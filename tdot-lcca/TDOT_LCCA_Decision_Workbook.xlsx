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BT" sheetId="2" state="visible" r:id="rId2"/>
    <sheet xmlns:r="http://schemas.openxmlformats.org/officeDocument/2006/relationships" name="SRB" sheetId="3" state="visible" r:id="rId3"/>
    <sheet xmlns:r="http://schemas.openxmlformats.org/officeDocument/2006/relationships" name="TEMPLATE" sheetId="4" state="visible" r:id="rId4"/>
  </sheets>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0;($#,##0);-"/>
    <numFmt numFmtId="167" formatCode="$#,##0"/>
    <numFmt numFmtId="168" formatCode="$#,##0,&quot;k&quot;"/>
  </numFmts>
  <fonts count="6">
    <font>
      <name val="Calibri"/>
      <family val="2"/>
      <color theme="1"/>
      <sz val="11"/>
      <scheme val="minor"/>
    </font>
    <font>
      <name val="Arial"/>
      <b val="1"/>
      <sz val="14"/>
    </font>
    <font>
      <name val="Arial"/>
      <sz val="10"/>
    </font>
    <font>
      <name val="Arial"/>
      <b val="1"/>
      <sz val="10"/>
    </font>
    <font>
      <name val="Arial"/>
      <i val="1"/>
      <color rgb="00595959"/>
      <sz val="9"/>
    </font>
    <font>
      <name val="Arial"/>
      <color rgb="000000FF"/>
      <sz val="10"/>
    </font>
  </fonts>
  <fills count="6">
    <fill>
      <patternFill/>
    </fill>
    <fill>
      <patternFill patternType="gray125"/>
    </fill>
    <fill>
      <patternFill patternType="solid">
        <fgColor rgb="00D9D9D9"/>
      </patternFill>
    </fill>
    <fill>
      <patternFill patternType="solid">
        <fgColor rgb="00FFFF99"/>
      </patternFill>
    </fill>
    <fill>
      <patternFill patternType="solid">
        <fgColor rgb="00DCE9F9"/>
      </patternFill>
    </fill>
    <fill>
      <patternFill patternType="solid">
        <fgColor rgb="00FBE3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pivotButton="0" quotePrefix="0" xfId="0"/>
    <xf numFmtId="0" fontId="3" fillId="2" borderId="1" applyAlignment="1" pivotButton="0" quotePrefix="0" xfId="0">
      <alignment vertical="center" wrapText="1"/>
    </xf>
    <xf numFmtId="0" fontId="2" fillId="0" borderId="0" pivotButton="0" quotePrefix="0" xfId="0"/>
    <xf numFmtId="2" fontId="5" fillId="3" borderId="1" pivotButton="0" quotePrefix="0" xfId="0"/>
    <xf numFmtId="0" fontId="3" fillId="0" borderId="0" pivotButton="0" quotePrefix="0" xfId="0"/>
    <xf numFmtId="0" fontId="5" fillId="3" borderId="1" pivotButton="0" quotePrefix="0" xfId="0"/>
    <xf numFmtId="1" fontId="0" fillId="0" borderId="0" pivotButton="0" quotePrefix="0" xfId="0"/>
    <xf numFmtId="9" fontId="0" fillId="0" borderId="0" pivotButton="0" quotePrefix="0" xfId="0"/>
    <xf numFmtId="164" fontId="5" fillId="3" borderId="1" pivotButton="0" quotePrefix="0" xfId="0"/>
    <xf numFmtId="166" fontId="0" fillId="0" borderId="0" pivotButton="0" quotePrefix="0" xfId="0"/>
    <xf numFmtId="9" fontId="5" fillId="3" borderId="1" pivotButton="0" quotePrefix="0" xfId="0"/>
    <xf numFmtId="3" fontId="5" fillId="3" borderId="1" pivotButton="0" quotePrefix="0" xfId="0"/>
    <xf numFmtId="165" fontId="5" fillId="3" borderId="1" pivotButton="0" quotePrefix="0" xfId="0"/>
    <xf numFmtId="168" fontId="0" fillId="0" borderId="0" pivotButton="0" quotePrefix="0" xfId="0"/>
    <xf numFmtId="0" fontId="3" fillId="4" borderId="1" applyAlignment="1" pivotButton="0" quotePrefix="0" xfId="0">
      <alignment vertical="center" wrapText="1"/>
    </xf>
    <xf numFmtId="0" fontId="3" fillId="5" borderId="1" applyAlignment="1" pivotButton="0" quotePrefix="0" xfId="0">
      <alignment vertical="center" wrapText="1"/>
    </xf>
    <xf numFmtId="166" fontId="5" fillId="3" borderId="1" pivotButton="0" quotePrefix="0" xfId="0"/>
    <xf numFmtId="166" fontId="3" fillId="0" borderId="0" pivotButton="0" quotePrefix="0" xfId="0"/>
    <xf numFmtId="0" fontId="2" fillId="0" borderId="1" pivotButton="0" quotePrefix="0" xfId="0"/>
    <xf numFmtId="166" fontId="0" fillId="0" borderId="1" pivotButton="0" quotePrefix="0" xfId="0"/>
    <xf numFmtId="165" fontId="0" fillId="0" borderId="1" pivotButton="0" quotePrefix="0" xfId="0"/>
    <xf numFmtId="0" fontId="0" fillId="0" borderId="1" pivotButton="0" quotePrefix="0" xfId="0"/>
    <xf numFmtId="164" fontId="0" fillId="0" borderId="1" pivotButton="0" quotePrefix="0" xfId="0"/>
    <xf numFmtId="0" fontId="3" fillId="0" borderId="1" pivotButton="0" quotePrefix="0" xfId="0"/>
    <xf numFmtId="1" fontId="0" fillId="0" borderId="1" pivotButton="0" quotePrefix="0" xfId="0"/>
    <xf numFmtId="10" fontId="0" fillId="0" borderId="1" pivotButton="0" quotePrefix="0" xfId="0"/>
    <xf numFmtId="165" fontId="0" fillId="0" borderId="0" pivotButton="0" quotePrefix="0" xfId="0"/>
    <xf numFmtId="9" fontId="3" fillId="0" borderId="0" pivotButton="0" quotePrefix="0" xfId="0"/>
    <xf numFmtId="167" fontId="0" fillId="0" borderId="1" pivotButton="0" quotePrefix="0" xfId="0"/>
    <xf numFmtId="2" fontId="0" fillId="0" borderId="1" pivotButton="0" quotePrefix="0" xfId="0"/>
    <xf numFmtId="2" fontId="0" fillId="0" borderId="0" pivotButton="0" quotePrefix="0" xfId="0"/>
    <xf numFmtId="0" fontId="3" fillId="2" borderId="0" pivotButton="0" quotePrefix="0" xfId="0"/>
  </cellXfs>
  <cellStyles count="1">
    <cellStyle name="Normal" xfId="0" builtinId="0" hidden="0"/>
  </cellStyles>
  <dxfs count="1">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'MBT'!B169</f>
            </strRef>
          </tx>
          <spPr>
            <a:solidFill xmlns:a="http://schemas.openxmlformats.org/drawingml/2006/main">
              <a:srgbClr val="4A4A4A"/>
            </a:solidFill>
            <a:ln xmlns:a="http://schemas.openxmlformats.org/drawingml/2006/main">
              <a:solidFill>
                <a:srgbClr val="4A4A4A"/>
              </a:solidFill>
              <a:prstDash val="solid"/>
            </a:ln>
          </spPr>
          <cat>
            <numRef>
              <f>'MBT'!$A$170:$A$171</f>
            </numRef>
          </cat>
          <val>
            <numRef>
              <f>'MBT'!$B$170:$B$171</f>
            </numRef>
          </val>
        </ser>
        <ser>
          <idx val="1"/>
          <order val="1"/>
          <tx>
            <strRef>
              <f>'MBT'!C169</f>
            </strRef>
          </tx>
          <spPr>
            <a:solidFill xmlns:a="http://schemas.openxmlformats.org/drawingml/2006/main">
              <a:srgbClr val="8C8C8C"/>
            </a:solidFill>
            <a:ln xmlns:a="http://schemas.openxmlformats.org/drawingml/2006/main">
              <a:solidFill>
                <a:srgbClr val="8C8C8C"/>
              </a:solidFill>
              <a:prstDash val="solid"/>
            </a:ln>
          </spPr>
          <cat>
            <numRef>
              <f>'MBT'!$A$170:$A$171</f>
            </numRef>
          </cat>
          <val>
            <numRef>
              <f>'MBT'!$C$170:$C$171</f>
            </numRef>
          </val>
        </ser>
        <ser>
          <idx val="2"/>
          <order val="2"/>
          <tx>
            <strRef>
              <f>'MBT'!D169</f>
            </strRef>
          </tx>
          <spPr>
            <a:solidFill xmlns:a="http://schemas.openxmlformats.org/drawingml/2006/main">
              <a:srgbClr val="646464"/>
            </a:solidFill>
            <a:ln xmlns:a="http://schemas.openxmlformats.org/drawingml/2006/main">
              <a:solidFill>
                <a:srgbClr val="646464"/>
              </a:solidFill>
              <a:prstDash val="solid"/>
            </a:ln>
          </spPr>
          <cat>
            <numRef>
              <f>'MBT'!$A$170:$A$171</f>
            </numRef>
          </cat>
          <val>
            <numRef>
              <f>'MBT'!$D$170:$D$171</f>
            </numRef>
          </val>
        </ser>
        <ser>
          <idx val="3"/>
          <order val="3"/>
          <tx>
            <strRef>
              <f>'MBT'!E169</f>
            </strRef>
          </tx>
          <spPr>
            <a:solidFill xmlns:a="http://schemas.openxmlformats.org/drawingml/2006/main">
              <a:srgbClr val="B8B6AE"/>
            </a:solidFill>
            <a:ln xmlns:a="http://schemas.openxmlformats.org/drawingml/2006/main">
              <a:solidFill>
                <a:srgbClr val="B8B6AE"/>
              </a:solidFill>
              <a:prstDash val="solid"/>
            </a:ln>
          </spPr>
          <cat>
            <numRef>
              <f>'MBT'!$A$170:$A$171</f>
            </numRef>
          </cat>
          <val>
            <numRef>
              <f>'MBT'!$E$170:$E$171</f>
            </numRef>
          </val>
        </ser>
        <ser>
          <idx val="4"/>
          <order val="4"/>
          <tx>
            <strRef>
              <f>'MBT'!F169</f>
            </strRef>
          </tx>
          <spPr>
            <a:solidFill xmlns:a="http://schemas.openxmlformats.org/drawingml/2006/main">
              <a:srgbClr val="DCDCDC"/>
            </a:solidFill>
            <a:ln xmlns:a="http://schemas.openxmlformats.org/drawingml/2006/main">
              <a:solidFill>
                <a:srgbClr val="DCDCDC"/>
              </a:solidFill>
              <a:prstDash val="solid"/>
            </a:ln>
          </spPr>
          <cat>
            <numRef>
              <f>'MBT'!$A$170:$A$171</f>
            </numRef>
          </cat>
          <val>
            <numRef>
              <f>'MBT'!$F$170:$F$171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'MBT'!M93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'MBT'!$M$94:$M$124</f>
            </numRef>
          </val>
        </ser>
        <ser>
          <idx val="1"/>
          <order val="1"/>
          <tx>
            <strRef>
              <f>'MBT'!N93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'MBT'!G93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'MBT'!$B$94:$B$124</f>
            </numRef>
          </cat>
          <val>
            <numRef>
              <f>'MBT'!$G$94:$G$124</f>
            </numRef>
          </val>
          <smooth val="0"/>
        </ser>
        <ser>
          <idx val="1"/>
          <order val="1"/>
          <tx>
            <strRef>
              <f>'MBT'!H93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'MBT'!$B$94:$B$124</f>
            </numRef>
          </cat>
          <val>
            <numRef>
              <f>'MBT'!$H$94:$H$124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'MBT'!B64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'MBT'!$A$65:$A$89</f>
            </numRef>
          </xVal>
          <yVal>
            <numRef>
              <f>'MBT'!$B$65:$B$89</f>
            </numRef>
          </yVal>
          <smooth val="0"/>
        </ser>
        <ser>
          <idx val="1"/>
          <order val="1"/>
          <tx>
            <strRef>
              <f>'MBT'!C64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'MBT'!$A$65:$A$89</f>
            </numRef>
          </xVal>
          <yVal>
            <numRef>
              <f>'MBT'!$C$65:$C$89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'MBT'!D129</f>
            </strRef>
          </tx>
          <spPr>
            <a:solidFill xmlns:a="http://schemas.openxmlformats.org/drawingml/2006/main">
              <a:srgbClr val="9E9E9E"/>
            </a:solidFill>
            <a:ln xmlns:a="http://schemas.openxmlformats.org/drawingml/2006/main">
              <a:solidFill>
                <a:srgbClr val="9E9E9E"/>
              </a:solidFill>
              <a:prstDash val="solid"/>
            </a:ln>
          </spPr>
          <cat>
            <numRef>
              <f>'MBT'!$A$130:$A$137</f>
            </numRef>
          </cat>
          <val>
            <numRef>
              <f>'MBT'!$D$130:$D$137</f>
            </numRef>
          </val>
        </ser>
        <ser>
          <idx val="1"/>
          <order val="1"/>
          <tx>
            <strRef>
              <f>'MBT'!E129</f>
            </strRef>
          </tx>
          <spPr>
            <a:solidFill xmlns:a="http://schemas.openxmlformats.org/drawingml/2006/main">
              <a:srgbClr val="4A4A4A"/>
            </a:solidFill>
            <a:ln xmlns:a="http://schemas.openxmlformats.org/drawingml/2006/main">
              <a:solidFill>
                <a:srgbClr val="4A4A4A"/>
              </a:solidFill>
              <a:prstDash val="solid"/>
            </a:ln>
          </spPr>
          <cat>
            <numRef>
              <f>'MBT'!$A$130:$A$137</f>
            </numRef>
          </cat>
          <val>
            <numRef>
              <f>'MBT'!$E$130:$E$137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6.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'MBT'!$B$175:$B$181</f>
            </numRef>
          </xVal>
          <yVal>
            <numRef>
              <f>'MBT'!$C$175:$C$181</f>
            </numRef>
          </yVal>
          <bubbleSize>
            <numRef>
              <f>'MBT'!$D$175:$D$181</f>
            </numRef>
          </bubbleSize>
        </ser>
        <ser>
          <idx val="1"/>
          <order val="1"/>
          <tx>
            <v>PCC closures</v>
          </tx>
          <spPr>
            <a:solidFill xmlns:a="http://schemas.openxmlformats.org/drawingml/2006/main">
              <a:srgbClr val="EB6834"/>
            </a:solidFill>
            <a:ln xmlns:a="http://schemas.openxmlformats.org/drawingml/2006/main">
              <a:prstDash val="solid"/>
            </a:ln>
          </spPr>
          <xVal>
            <numRef>
              <f>'MBT'!$B$182:$B$183</f>
            </numRef>
          </xVal>
          <yVal>
            <numRef>
              <f>'MBT'!$C$182:$C$183</f>
            </numRef>
          </yVal>
          <bubbleSize>
            <numRef>
              <f>'MBT'!$D$182:$D$183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'MBT'!I93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'MBT'!$I$94:$I$124</f>
            </numRef>
          </val>
        </ser>
        <ser>
          <idx val="1"/>
          <order val="1"/>
          <tx>
            <strRef>
              <f>'MBT'!J93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'MBT'!I142</f>
            </strRef>
          </tx>
          <spPr>
            <a:solidFill xmlns:a="http://schemas.openxmlformats.org/drawingml/2006/main">
              <a:srgbClr val="2A78D6"/>
            </a:solidFill>
            <a:ln xmlns:a="http://schemas.openxmlformats.org/drawingml/2006/main">
              <a:solidFill>
                <a:srgbClr val="2A78D6"/>
              </a:solidFill>
              <a:prstDash val="solid"/>
            </a:ln>
          </spPr>
          <cat>
            <numRef>
              <f>'MBT'!$A$143:$A$154</f>
            </numRef>
          </cat>
          <val>
            <numRef>
              <f>'MBT'!$I$143:$I$154</f>
            </numRef>
          </val>
        </ser>
        <ser>
          <idx val="1"/>
          <order val="1"/>
          <tx>
            <strRef>
              <f>'MBT'!J142</f>
            </strRef>
          </tx>
          <spPr>
            <a:solidFill xmlns:a="http://schemas.openxmlformats.org/drawingml/2006/main">
              <a:srgbClr val="EB6834"/>
            </a:solidFill>
            <a:ln xmlns:a="http://schemas.openxmlformats.org/drawingml/2006/main">
              <a:solidFill>
                <a:srgbClr val="EB6834"/>
              </a:solidFill>
              <a:prstDash val="solid"/>
            </a:ln>
          </spPr>
          <cat>
            <numRef>
              <f>'MBT'!$A$143:$A$154</f>
            </numRef>
          </cat>
          <val>
            <numRef>
              <f>'MBT'!$J$143:$J$154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'MBT'!BC14</f>
            </strRef>
          </tx>
          <spPr>
            <a:solidFill xmlns:a="http://schemas.openxmlformats.org/drawingml/2006/main">
              <a:srgbClr val="4A4A4A"/>
            </a:solidFill>
            <a:ln xmlns:a="http://schemas.openxmlformats.org/drawingml/2006/main">
              <a:solidFill>
                <a:srgbClr val="4A4A4A"/>
              </a:solidFill>
              <a:prstDash val="solid"/>
            </a:ln>
          </spPr>
          <cat>
            <numRef>
              <f>'MBT'!$BB$15:$BB$34</f>
            </numRef>
          </cat>
          <val>
            <numRef>
              <f>'MBT'!$BC$15:$BC$34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'SRB'!B169</f>
            </strRef>
          </tx>
          <spPr>
            <a:solidFill xmlns:a="http://schemas.openxmlformats.org/drawingml/2006/main">
              <a:srgbClr val="4A4A4A"/>
            </a:solidFill>
            <a:ln xmlns:a="http://schemas.openxmlformats.org/drawingml/2006/main">
              <a:solidFill>
                <a:srgbClr val="4A4A4A"/>
              </a:solidFill>
              <a:prstDash val="solid"/>
            </a:ln>
          </spPr>
          <cat>
            <numRef>
              <f>'SRB'!$A$170:$A$171</f>
            </numRef>
          </cat>
          <val>
            <numRef>
              <f>'SRB'!$B$170:$B$171</f>
            </numRef>
          </val>
        </ser>
        <ser>
          <idx val="1"/>
          <order val="1"/>
          <tx>
            <strRef>
              <f>'SRB'!C169</f>
            </strRef>
          </tx>
          <spPr>
            <a:solidFill xmlns:a="http://schemas.openxmlformats.org/drawingml/2006/main">
              <a:srgbClr val="8C8C8C"/>
            </a:solidFill>
            <a:ln xmlns:a="http://schemas.openxmlformats.org/drawingml/2006/main">
              <a:solidFill>
                <a:srgbClr val="8C8C8C"/>
              </a:solidFill>
              <a:prstDash val="solid"/>
            </a:ln>
          </spPr>
          <cat>
            <numRef>
              <f>'SRB'!$A$170:$A$171</f>
            </numRef>
          </cat>
          <val>
            <numRef>
              <f>'SRB'!$C$170:$C$171</f>
            </numRef>
          </val>
        </ser>
        <ser>
          <idx val="2"/>
          <order val="2"/>
          <tx>
            <strRef>
              <f>'SRB'!D169</f>
            </strRef>
          </tx>
          <spPr>
            <a:solidFill xmlns:a="http://schemas.openxmlformats.org/drawingml/2006/main">
              <a:srgbClr val="646464"/>
            </a:solidFill>
            <a:ln xmlns:a="http://schemas.openxmlformats.org/drawingml/2006/main">
              <a:solidFill>
                <a:srgbClr val="646464"/>
              </a:solidFill>
              <a:prstDash val="solid"/>
            </a:ln>
          </spPr>
          <cat>
            <numRef>
              <f>'SRB'!$A$170:$A$171</f>
            </numRef>
          </cat>
          <val>
            <numRef>
              <f>'SRB'!$D$170:$D$171</f>
            </numRef>
          </val>
        </ser>
        <ser>
          <idx val="3"/>
          <order val="3"/>
          <tx>
            <strRef>
              <f>'SRB'!E169</f>
            </strRef>
          </tx>
          <spPr>
            <a:solidFill xmlns:a="http://schemas.openxmlformats.org/drawingml/2006/main">
              <a:srgbClr val="B8B6AE"/>
            </a:solidFill>
            <a:ln xmlns:a="http://schemas.openxmlformats.org/drawingml/2006/main">
              <a:solidFill>
                <a:srgbClr val="B8B6AE"/>
              </a:solidFill>
              <a:prstDash val="solid"/>
            </a:ln>
          </spPr>
          <cat>
            <numRef>
              <f>'SRB'!$A$170:$A$171</f>
            </numRef>
          </cat>
          <val>
            <numRef>
              <f>'SRB'!$E$170:$E$171</f>
            </numRef>
          </val>
        </ser>
        <ser>
          <idx val="4"/>
          <order val="4"/>
          <tx>
            <strRef>
              <f>'SRB'!F169</f>
            </strRef>
          </tx>
          <spPr>
            <a:solidFill xmlns:a="http://schemas.openxmlformats.org/drawingml/2006/main">
              <a:srgbClr val="DCDCDC"/>
            </a:solidFill>
            <a:ln xmlns:a="http://schemas.openxmlformats.org/drawingml/2006/main">
              <a:solidFill>
                <a:srgbClr val="DCDCDC"/>
              </a:solidFill>
              <a:prstDash val="solid"/>
            </a:ln>
          </spPr>
          <cat>
            <numRef>
              <f>'SRB'!$A$170:$A$171</f>
            </numRef>
          </cat>
          <val>
            <numRef>
              <f>'SRB'!$F$170:$F$171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'SRB'!M93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'SRB'!$M$94:$M$124</f>
            </numRef>
          </val>
        </ser>
        <ser>
          <idx val="1"/>
          <order val="1"/>
          <tx>
            <strRef>
              <f>'SRB'!N93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'SRB'!G93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'SRB'!$B$94:$B$124</f>
            </numRef>
          </cat>
          <val>
            <numRef>
              <f>'SRB'!$G$94:$G$124</f>
            </numRef>
          </val>
          <smooth val="0"/>
        </ser>
        <ser>
          <idx val="1"/>
          <order val="1"/>
          <tx>
            <strRef>
              <f>'SRB'!H93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'SRB'!$B$94:$B$124</f>
            </numRef>
          </cat>
          <val>
            <numRef>
              <f>'SRB'!$H$94:$H$124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'SRB'!B64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'SRB'!$A$65:$A$89</f>
            </numRef>
          </xVal>
          <yVal>
            <numRef>
              <f>'SRB'!$B$65:$B$89</f>
            </numRef>
          </yVal>
          <smooth val="0"/>
        </ser>
        <ser>
          <idx val="1"/>
          <order val="1"/>
          <tx>
            <strRef>
              <f>'SRB'!C64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'SRB'!$A$65:$A$89</f>
            </numRef>
          </xVal>
          <yVal>
            <numRef>
              <f>'SRB'!$C$65:$C$89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'SRB'!D129</f>
            </strRef>
          </tx>
          <spPr>
            <a:solidFill xmlns:a="http://schemas.openxmlformats.org/drawingml/2006/main">
              <a:srgbClr val="9E9E9E"/>
            </a:solidFill>
            <a:ln xmlns:a="http://schemas.openxmlformats.org/drawingml/2006/main">
              <a:solidFill>
                <a:srgbClr val="9E9E9E"/>
              </a:solidFill>
              <a:prstDash val="solid"/>
            </a:ln>
          </spPr>
          <cat>
            <numRef>
              <f>'SRB'!$A$130:$A$137</f>
            </numRef>
          </cat>
          <val>
            <numRef>
              <f>'SRB'!$D$130:$D$137</f>
            </numRef>
          </val>
        </ser>
        <ser>
          <idx val="1"/>
          <order val="1"/>
          <tx>
            <strRef>
              <f>'SRB'!E129</f>
            </strRef>
          </tx>
          <spPr>
            <a:solidFill xmlns:a="http://schemas.openxmlformats.org/drawingml/2006/main">
              <a:srgbClr val="4A4A4A"/>
            </a:solidFill>
            <a:ln xmlns:a="http://schemas.openxmlformats.org/drawingml/2006/main">
              <a:solidFill>
                <a:srgbClr val="4A4A4A"/>
              </a:solidFill>
              <a:prstDash val="solid"/>
            </a:ln>
          </spPr>
          <cat>
            <numRef>
              <f>'SRB'!$A$130:$A$137</f>
            </numRef>
          </cat>
          <val>
            <numRef>
              <f>'SRB'!$E$130:$E$137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15.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'SRB'!$B$175:$B$181</f>
            </numRef>
          </xVal>
          <yVal>
            <numRef>
              <f>'SRB'!$C$175:$C$181</f>
            </numRef>
          </yVal>
          <bubbleSize>
            <numRef>
              <f>'SRB'!$D$175:$D$181</f>
            </numRef>
          </bubbleSize>
        </ser>
        <ser>
          <idx val="1"/>
          <order val="1"/>
          <tx>
            <v>PCC closures</v>
          </tx>
          <spPr>
            <a:solidFill xmlns:a="http://schemas.openxmlformats.org/drawingml/2006/main">
              <a:srgbClr val="EB6834"/>
            </a:solidFill>
            <a:ln xmlns:a="http://schemas.openxmlformats.org/drawingml/2006/main">
              <a:prstDash val="solid"/>
            </a:ln>
          </spPr>
          <xVal>
            <numRef>
              <f>'SRB'!$B$182:$B$183</f>
            </numRef>
          </xVal>
          <yVal>
            <numRef>
              <f>'SRB'!$C$182:$C$183</f>
            </numRef>
          </yVal>
          <bubbleSize>
            <numRef>
              <f>'SRB'!$D$182:$D$183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'SRB'!I93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'SRB'!$I$94:$I$124</f>
            </numRef>
          </val>
        </ser>
        <ser>
          <idx val="1"/>
          <order val="1"/>
          <tx>
            <strRef>
              <f>'SRB'!J93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'SRB'!I142</f>
            </strRef>
          </tx>
          <spPr>
            <a:solidFill xmlns:a="http://schemas.openxmlformats.org/drawingml/2006/main">
              <a:srgbClr val="2A78D6"/>
            </a:solidFill>
            <a:ln xmlns:a="http://schemas.openxmlformats.org/drawingml/2006/main">
              <a:solidFill>
                <a:srgbClr val="2A78D6"/>
              </a:solidFill>
              <a:prstDash val="solid"/>
            </a:ln>
          </spPr>
          <cat>
            <numRef>
              <f>'SRB'!$A$143:$A$154</f>
            </numRef>
          </cat>
          <val>
            <numRef>
              <f>'SRB'!$I$143:$I$154</f>
            </numRef>
          </val>
        </ser>
        <ser>
          <idx val="1"/>
          <order val="1"/>
          <tx>
            <strRef>
              <f>'SRB'!J142</f>
            </strRef>
          </tx>
          <spPr>
            <a:solidFill xmlns:a="http://schemas.openxmlformats.org/drawingml/2006/main">
              <a:srgbClr val="EB6834"/>
            </a:solidFill>
            <a:ln xmlns:a="http://schemas.openxmlformats.org/drawingml/2006/main">
              <a:solidFill>
                <a:srgbClr val="EB6834"/>
              </a:solidFill>
              <a:prstDash val="solid"/>
            </a:ln>
          </spPr>
          <cat>
            <numRef>
              <f>'SRB'!$A$143:$A$154</f>
            </numRef>
          </cat>
          <val>
            <numRef>
              <f>'SRB'!$J$143:$J$154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'SRB'!BC14</f>
            </strRef>
          </tx>
          <spPr>
            <a:solidFill xmlns:a="http://schemas.openxmlformats.org/drawingml/2006/main">
              <a:srgbClr val="4A4A4A"/>
            </a:solidFill>
            <a:ln xmlns:a="http://schemas.openxmlformats.org/drawingml/2006/main">
              <a:solidFill>
                <a:srgbClr val="4A4A4A"/>
              </a:solidFill>
              <a:prstDash val="solid"/>
            </a:ln>
          </spPr>
          <cat>
            <numRef>
              <f>'SRB'!$BB$15:$BB$34</f>
            </numRef>
          </cat>
          <val>
            <numRef>
              <f>'SRB'!$BC$15:$BC$34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'TEMPLATE'!B169</f>
            </strRef>
          </tx>
          <spPr>
            <a:solidFill xmlns:a="http://schemas.openxmlformats.org/drawingml/2006/main">
              <a:srgbClr val="4A4A4A"/>
            </a:solidFill>
            <a:ln xmlns:a="http://schemas.openxmlformats.org/drawingml/2006/main">
              <a:solidFill>
                <a:srgbClr val="4A4A4A"/>
              </a:solidFill>
              <a:prstDash val="solid"/>
            </a:ln>
          </spPr>
          <cat>
            <numRef>
              <f>'TEMPLATE'!$A$170:$A$171</f>
            </numRef>
          </cat>
          <val>
            <numRef>
              <f>'TEMPLATE'!$B$170:$B$171</f>
            </numRef>
          </val>
        </ser>
        <ser>
          <idx val="1"/>
          <order val="1"/>
          <tx>
            <strRef>
              <f>'TEMPLATE'!C169</f>
            </strRef>
          </tx>
          <spPr>
            <a:solidFill xmlns:a="http://schemas.openxmlformats.org/drawingml/2006/main">
              <a:srgbClr val="8C8C8C"/>
            </a:solidFill>
            <a:ln xmlns:a="http://schemas.openxmlformats.org/drawingml/2006/main">
              <a:solidFill>
                <a:srgbClr val="8C8C8C"/>
              </a:solidFill>
              <a:prstDash val="solid"/>
            </a:ln>
          </spPr>
          <cat>
            <numRef>
              <f>'TEMPLATE'!$A$170:$A$171</f>
            </numRef>
          </cat>
          <val>
            <numRef>
              <f>'TEMPLATE'!$C$170:$C$171</f>
            </numRef>
          </val>
        </ser>
        <ser>
          <idx val="2"/>
          <order val="2"/>
          <tx>
            <strRef>
              <f>'TEMPLATE'!D169</f>
            </strRef>
          </tx>
          <spPr>
            <a:solidFill xmlns:a="http://schemas.openxmlformats.org/drawingml/2006/main">
              <a:srgbClr val="646464"/>
            </a:solidFill>
            <a:ln xmlns:a="http://schemas.openxmlformats.org/drawingml/2006/main">
              <a:solidFill>
                <a:srgbClr val="646464"/>
              </a:solidFill>
              <a:prstDash val="solid"/>
            </a:ln>
          </spPr>
          <cat>
            <numRef>
              <f>'TEMPLATE'!$A$170:$A$171</f>
            </numRef>
          </cat>
          <val>
            <numRef>
              <f>'TEMPLATE'!$D$170:$D$171</f>
            </numRef>
          </val>
        </ser>
        <ser>
          <idx val="3"/>
          <order val="3"/>
          <tx>
            <strRef>
              <f>'TEMPLATE'!E169</f>
            </strRef>
          </tx>
          <spPr>
            <a:solidFill xmlns:a="http://schemas.openxmlformats.org/drawingml/2006/main">
              <a:srgbClr val="B8B6AE"/>
            </a:solidFill>
            <a:ln xmlns:a="http://schemas.openxmlformats.org/drawingml/2006/main">
              <a:solidFill>
                <a:srgbClr val="B8B6AE"/>
              </a:solidFill>
              <a:prstDash val="solid"/>
            </a:ln>
          </spPr>
          <cat>
            <numRef>
              <f>'TEMPLATE'!$A$170:$A$171</f>
            </numRef>
          </cat>
          <val>
            <numRef>
              <f>'TEMPLATE'!$E$170:$E$171</f>
            </numRef>
          </val>
        </ser>
        <ser>
          <idx val="4"/>
          <order val="4"/>
          <tx>
            <strRef>
              <f>'TEMPLATE'!F169</f>
            </strRef>
          </tx>
          <spPr>
            <a:solidFill xmlns:a="http://schemas.openxmlformats.org/drawingml/2006/main">
              <a:srgbClr val="DCDCDC"/>
            </a:solidFill>
            <a:ln xmlns:a="http://schemas.openxmlformats.org/drawingml/2006/main">
              <a:solidFill>
                <a:srgbClr val="DCDCDC"/>
              </a:solidFill>
              <a:prstDash val="solid"/>
            </a:ln>
          </spPr>
          <cat>
            <numRef>
              <f>'TEMPLATE'!$A$170:$A$171</f>
            </numRef>
          </cat>
          <val>
            <numRef>
              <f>'TEMPLATE'!$F$170:$F$171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'TEMPLATE'!M93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'TEMPLATE'!$M$94:$M$124</f>
            </numRef>
          </val>
        </ser>
        <ser>
          <idx val="1"/>
          <order val="1"/>
          <tx>
            <strRef>
              <f>'TEMPLATE'!N93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'TEMPLATE'!G93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'TEMPLATE'!$B$94:$B$124</f>
            </numRef>
          </cat>
          <val>
            <numRef>
              <f>'TEMPLATE'!$G$94:$G$124</f>
            </numRef>
          </val>
          <smooth val="0"/>
        </ser>
        <ser>
          <idx val="1"/>
          <order val="1"/>
          <tx>
            <strRef>
              <f>'TEMPLATE'!H93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'TEMPLATE'!$B$94:$B$124</f>
            </numRef>
          </cat>
          <val>
            <numRef>
              <f>'TEMPLATE'!$H$94:$H$124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22.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'TEMPLATE'!B64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'TEMPLATE'!$A$65:$A$89</f>
            </numRef>
          </xVal>
          <yVal>
            <numRef>
              <f>'TEMPLATE'!$B$65:$B$89</f>
            </numRef>
          </yVal>
          <smooth val="0"/>
        </ser>
        <ser>
          <idx val="1"/>
          <order val="1"/>
          <tx>
            <strRef>
              <f>'TEMPLATE'!C64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'TEMPLATE'!$A$65:$A$89</f>
            </numRef>
          </xVal>
          <yVal>
            <numRef>
              <f>'TEMPLATE'!$C$65:$C$89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'TEMPLATE'!D129</f>
            </strRef>
          </tx>
          <spPr>
            <a:solidFill xmlns:a="http://schemas.openxmlformats.org/drawingml/2006/main">
              <a:srgbClr val="9E9E9E"/>
            </a:solidFill>
            <a:ln xmlns:a="http://schemas.openxmlformats.org/drawingml/2006/main">
              <a:solidFill>
                <a:srgbClr val="9E9E9E"/>
              </a:solidFill>
              <a:prstDash val="solid"/>
            </a:ln>
          </spPr>
          <cat>
            <numRef>
              <f>'TEMPLATE'!$A$130:$A$137</f>
            </numRef>
          </cat>
          <val>
            <numRef>
              <f>'TEMPLATE'!$D$130:$D$137</f>
            </numRef>
          </val>
        </ser>
        <ser>
          <idx val="1"/>
          <order val="1"/>
          <tx>
            <strRef>
              <f>'TEMPLATE'!E129</f>
            </strRef>
          </tx>
          <spPr>
            <a:solidFill xmlns:a="http://schemas.openxmlformats.org/drawingml/2006/main">
              <a:srgbClr val="4A4A4A"/>
            </a:solidFill>
            <a:ln xmlns:a="http://schemas.openxmlformats.org/drawingml/2006/main">
              <a:solidFill>
                <a:srgbClr val="4A4A4A"/>
              </a:solidFill>
              <a:prstDash val="solid"/>
            </a:ln>
          </spPr>
          <cat>
            <numRef>
              <f>'TEMPLATE'!$A$130:$A$137</f>
            </numRef>
          </cat>
          <val>
            <numRef>
              <f>'TEMPLATE'!$E$130:$E$137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24.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'TEMPLATE'!$B$175:$B$181</f>
            </numRef>
          </xVal>
          <yVal>
            <numRef>
              <f>'TEMPLATE'!$C$175:$C$181</f>
            </numRef>
          </yVal>
          <bubbleSize>
            <numRef>
              <f>'TEMPLATE'!$D$175:$D$181</f>
            </numRef>
          </bubbleSize>
        </ser>
        <ser>
          <idx val="1"/>
          <order val="1"/>
          <tx>
            <v>PCC closures</v>
          </tx>
          <spPr>
            <a:solidFill xmlns:a="http://schemas.openxmlformats.org/drawingml/2006/main">
              <a:srgbClr val="EB6834"/>
            </a:solidFill>
            <a:ln xmlns:a="http://schemas.openxmlformats.org/drawingml/2006/main">
              <a:prstDash val="solid"/>
            </a:ln>
          </spPr>
          <xVal>
            <numRef>
              <f>'TEMPLATE'!$B$182:$B$183</f>
            </numRef>
          </xVal>
          <yVal>
            <numRef>
              <f>'TEMPLATE'!$C$182:$C$183</f>
            </numRef>
          </yVal>
          <bubbleSize>
            <numRef>
              <f>'TEMPLATE'!$D$182:$D$183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'TEMPLATE'!I93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'TEMPLATE'!$I$94:$I$124</f>
            </numRef>
          </val>
        </ser>
        <ser>
          <idx val="1"/>
          <order val="1"/>
          <tx>
            <strRef>
              <f>'TEMPLATE'!J93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'TEMPLATE'!I142</f>
            </strRef>
          </tx>
          <spPr>
            <a:solidFill xmlns:a="http://schemas.openxmlformats.org/drawingml/2006/main">
              <a:srgbClr val="2A78D6"/>
            </a:solidFill>
            <a:ln xmlns:a="http://schemas.openxmlformats.org/drawingml/2006/main">
              <a:solidFill>
                <a:srgbClr val="2A78D6"/>
              </a:solidFill>
              <a:prstDash val="solid"/>
            </a:ln>
          </spPr>
          <cat>
            <numRef>
              <f>'TEMPLATE'!$A$143:$A$154</f>
            </numRef>
          </cat>
          <val>
            <numRef>
              <f>'TEMPLATE'!$I$143:$I$154</f>
            </numRef>
          </val>
        </ser>
        <ser>
          <idx val="1"/>
          <order val="1"/>
          <tx>
            <strRef>
              <f>'TEMPLATE'!J142</f>
            </strRef>
          </tx>
          <spPr>
            <a:solidFill xmlns:a="http://schemas.openxmlformats.org/drawingml/2006/main">
              <a:srgbClr val="EB6834"/>
            </a:solidFill>
            <a:ln xmlns:a="http://schemas.openxmlformats.org/drawingml/2006/main">
              <a:solidFill>
                <a:srgbClr val="EB6834"/>
              </a:solidFill>
              <a:prstDash val="solid"/>
            </a:ln>
          </spPr>
          <cat>
            <numRef>
              <f>'TEMPLATE'!$A$143:$A$154</f>
            </numRef>
          </cat>
          <val>
            <numRef>
              <f>'TEMPLATE'!$J$143:$J$154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'TEMPLATE'!BC14</f>
            </strRef>
          </tx>
          <spPr>
            <a:solidFill xmlns:a="http://schemas.openxmlformats.org/drawingml/2006/main">
              <a:srgbClr val="4A4A4A"/>
            </a:solidFill>
            <a:ln xmlns:a="http://schemas.openxmlformats.org/drawingml/2006/main">
              <a:solidFill>
                <a:srgbClr val="4A4A4A"/>
              </a:solidFill>
              <a:prstDash val="solid"/>
            </a:ln>
          </spPr>
          <cat>
            <numRef>
              <f>'TEMPLATE'!$BB$15:$BB$34</f>
            </numRef>
          </cat>
          <val>
            <numRef>
              <f>'TEMPLATE'!$BC$15:$BC$34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_rels/drawing2.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s>
</file>

<file path=xl/drawings/_rels/drawing3.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 Type="http://schemas.openxmlformats.org/officeDocument/2006/relationships/chart" Target="/xl/charts/chart22.xml" Id="rId4"/><Relationship Type="http://schemas.openxmlformats.org/officeDocument/2006/relationships/chart" Target="/xl/charts/chart23.xml" Id="rId5"/><Relationship Type="http://schemas.openxmlformats.org/officeDocument/2006/relationships/chart" Target="/xl/charts/chart24.xml" Id="rId6"/><Relationship Type="http://schemas.openxmlformats.org/officeDocument/2006/relationships/chart" Target="/xl/charts/chart25.xml" Id="rId7"/><Relationship Type="http://schemas.openxmlformats.org/officeDocument/2006/relationships/chart" Target="/xl/charts/chart26.xml" Id="rId8"/><Relationship Type="http://schemas.openxmlformats.org/officeDocument/2006/relationships/chart" Target="/xl/charts/chart27.xml" Id="rId9"/></Relationships>
</file>

<file path=xl/drawings/drawing1.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2.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3.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TDOT Aeronautics LCCA - Decision Workbook (MBT and SRB runs)</t>
        </is>
      </c>
    </row>
    <row r="2">
      <c r="A2" s="2" t="inlineStr">
        <is>
          <t>Purpose: show the two 2026-05-21 analyzes side by side with the sensitivity, break-even and closure views the framework workbook does not produce. Companion to TDOA_LCCA_Framework v1.2.0; base costs, closure days and policies are copied from those files.</t>
        </is>
      </c>
    </row>
    <row r="3">
      <c r="A3" s="2" t="inlineStr"/>
    </row>
    <row r="4">
      <c r="A4" s="3" t="inlineStr">
        <is>
          <t>How to use</t>
        </is>
      </c>
    </row>
    <row r="5">
      <c r="A5" s="2" t="inlineStr">
        <is>
          <t>1. Open the MBT or SRB sheet. Yellow cells (B5:B14) are the only inputs. Change the discount rate, period, revenue share lost, closure multiplier, bid multipliers or salvage multiplier and every table and chart updates.</t>
        </is>
      </c>
    </row>
    <row r="6">
      <c r="A6" s="2" t="inlineStr">
        <is>
          <t>2. RESULTS gives present worth by category, EUAC, cost per SY, closure days and runway availability, the winner, the margin, and whether the winner holds at the FAA AIP 7% rate.</t>
        </is>
      </c>
    </row>
    <row r="7">
      <c r="A7" s="2" t="inlineStr">
        <is>
          <t>3. BREAK-EVEN VALUES answer "how wrong would an input have to be" without a goal seek: daily revenue, PCC and HMA bid levels, PCC salvage fraction and discount rate at which the two alternatives tie.</t>
        </is>
      </c>
    </row>
    <row r="8">
      <c r="A8" s="2" t="inlineStr">
        <is>
          <t>4. SENSITIVITY, TORNADO, SCENARIO SCORECARD and the DECISION MAP are pre-run: the scorecard rows carry their own parameters (TDOT policy, FAA AIP 7%/20 yr, no lost revenue, 40% revenue loss, no salvage, bids +20%, closures x2 and x0.5, and a stress case).</t>
        </is>
      </c>
    </row>
    <row r="9">
      <c r="A9" s="2" t="inlineStr">
        <is>
          <t>5. Charts start in column T of each project sheet: PW by category, expenditure stream, cumulative discounted cost, rate sensitivity, tornado, closure timeline, closure days by year, NPW by scenario.</t>
        </is>
      </c>
    </row>
    <row r="10">
      <c r="A10" s="2" t="inlineStr">
        <is>
          <t>6. A live Monte Carlo block (column AK onward on each project sheet) draws 1,000 joint scenarios from triangular ranges you can edit; RESULTS shows the probability that PCC is the lower-cost alternative. Press F9 to redraw; results move by a percent or two between draws.</t>
        </is>
      </c>
    </row>
    <row r="11">
      <c r="A11" s="2" t="inlineStr">
        <is>
          <t>7. To analyze a new project: right-click the TEMPLATE sheet tab &gt; Move or Copy &gt; Create a copy, rename it, then fill the yellow cells: parameters B5:B18, and for each alternative the base direct cost and closure days of every policy activity (columns C:D and L:M of the activity tables). Take them from the framework workbook: General Information D25 (year) and D39 (daily revenue), each Alt sheet column D of the NPW table and cells F4:F10. Every table and chart updates.</t>
        </is>
      </c>
    </row>
    <row r="12">
      <c r="A12" s="2" t="inlineStr">
        <is>
          <t>8. The workbook compares one HMA and one PCC alternative per sheet, which is how the TDOT framework is used. Activity rows follow the TDOT Maintenance Policies (six maintenance events and one rehabilitation for HMA, one maintenance and one rehabilitation for PCC); the years are editable if the policies change.</t>
        </is>
      </c>
    </row>
    <row r="13">
      <c r="A13" s="2" t="inlineStr"/>
    </row>
    <row r="14">
      <c r="A14" s="3" t="inlineStr">
        <is>
          <t>Method notes</t>
        </is>
      </c>
    </row>
    <row r="15">
      <c r="A15" s="2" t="inlineStr">
        <is>
          <t>Present worth = sum over activities within the period of (direct cost x cost multiplier + closure days x closure multiplier x daily revenue x revenue share lost) / (1 + r)^year, plus salvage x cost multiplier x salvage multiplier / (1 + r)^period. Initial construction is year 0. This reproduces the framework workbook NPW exactly at its own settings (3%, 30 years, multipliers = 1).</t>
        </is>
      </c>
    </row>
    <row r="16">
      <c r="A16" s="2" t="inlineStr">
        <is>
          <t>Salvage follows TDOT Maintenance Policies: PCC 25% of initial construction; HMA 12.5% of one mill-and-overlay (2 of 16 years). When the period is shortened the same fraction is applied at the end of the shorter period, which is a conservative simplification.</t>
        </is>
      </c>
    </row>
    <row r="17">
      <c r="A17" s="2" t="inlineStr">
        <is>
          <t>Closure days are the production-rate defaults from the framework (surface treatment 15,000 SY/day; mill and overlay 3,800 SY/day; PCC joint and slab rates). Initial construction closures are not modelled, as in the framework.</t>
        </is>
      </c>
    </row>
    <row r="18">
      <c r="A18" s="2" t="inlineStr">
        <is>
          <t>Lost revenue uses the framework method (sum of the seven RevenueData categories). The "revenue share lost" input lets you test margin-based assumptions.</t>
        </is>
      </c>
    </row>
    <row r="19">
      <c r="A19" s="2" t="inlineStr">
        <is>
          <t>Sources: TDOA_LCCA_Framework_v1.1.2_MBT_20260521_LostRevenue_1.xlsm and _SRB_20260521_LostRevenue.xlsm (ARA); TDOT Maintenance Policies tables 1 and 2; FAA AIP Handbook Appendix U (7% rate, 20-year life for AIP-funded LCCA).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Murfreesboro Municipal (MBT) - Runway 18-36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8841.379999999999</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52777.7</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(5" P-401 on 16" P-209)</t>
        </is>
      </c>
      <c r="J22" s="9" t="inlineStr">
        <is>
          <t>Alt 2 - New PCC  (8" P-501 on 6" P-209)</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5306576.53</v>
      </c>
      <c r="D24" s="10" t="n">
        <v>0</v>
      </c>
      <c r="E24" s="14">
        <f>C24*$B$11</f>
        <v/>
      </c>
      <c r="F24" s="14">
        <f>D24*$B$10*$B$8*$B$9</f>
        <v/>
      </c>
      <c r="G24" s="14">
        <f>IF(B24&gt;$B$6,0,(E24+F24)/(1+$B$5/100)^B24)</f>
        <v/>
      </c>
      <c r="J24" s="7" t="inlineStr">
        <is>
          <t>Initial construction</t>
        </is>
      </c>
      <c r="K24" s="7" t="n">
        <v>0</v>
      </c>
      <c r="L24" s="21" t="n">
        <v>8410244.970000001</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482829.92</v>
      </c>
      <c r="D25" s="10" t="n">
        <v>6</v>
      </c>
      <c r="E25" s="14">
        <f>C25*$B$11</f>
        <v/>
      </c>
      <c r="F25" s="14">
        <f>D25*$B$10*$B$8*$B$9</f>
        <v/>
      </c>
      <c r="G25" s="14">
        <f>IF(B25&gt;$B$6,0,(E25+F25)/(1+$B$5/100)^B25)</f>
        <v/>
      </c>
      <c r="J25" s="7" t="inlineStr">
        <is>
          <t>Maintenance 1</t>
        </is>
      </c>
      <c r="K25" s="7" t="n">
        <v>19</v>
      </c>
      <c r="L25" s="21" t="n">
        <v>306563.68</v>
      </c>
      <c r="M25" s="10" t="n">
        <v>9</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482829.92</v>
      </c>
      <c r="D26" s="10" t="n">
        <v>6</v>
      </c>
      <c r="E26" s="14">
        <f>C26*$B$11</f>
        <v/>
      </c>
      <c r="F26" s="14">
        <f>D26*$B$10*$B$8*$B$9</f>
        <v/>
      </c>
      <c r="G26" s="14">
        <f>IF(B26&gt;$B$6,0,(E26+F26)/(1+$B$5/100)^B26)</f>
        <v/>
      </c>
      <c r="J26" s="7" t="inlineStr">
        <is>
          <t>Rehabilitation 1</t>
        </is>
      </c>
      <c r="K26" s="7" t="n">
        <v>27</v>
      </c>
      <c r="L26" s="21" t="n">
        <v>428405.86</v>
      </c>
      <c r="M26" s="10" t="n">
        <v>18</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547129.3</v>
      </c>
      <c r="D27" s="10" t="n">
        <v>8</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561004.48</v>
      </c>
      <c r="D28" s="10" t="n">
        <v>8</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2302557.72</v>
      </c>
      <c r="D29" s="10" t="n">
        <v>15</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482829.92</v>
      </c>
      <c r="D30" s="10" t="n">
        <v>6</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577147.05</v>
      </c>
      <c r="D31" s="10" t="n">
        <v>8</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Upper Cumberland Regional (SRB) - Runway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4344.12</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74488.89</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2 - New HMA  (4" P-401 + 5" P-403 on 6" P-209)</t>
        </is>
      </c>
      <c r="J22" s="9" t="inlineStr">
        <is>
          <t>Alt 1 - New PCC  (11" P-501 on 6" P-209 + P-403 base)</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9009181.189999999</v>
      </c>
      <c r="D24" s="10" t="n">
        <v>0</v>
      </c>
      <c r="E24" s="14">
        <f>C24*$B$11</f>
        <v/>
      </c>
      <c r="F24" s="14">
        <f>D24*$B$10*$B$8*$B$9</f>
        <v/>
      </c>
      <c r="G24" s="14">
        <f>IF(B24&gt;$B$6,0,(E24+F24)/(1+$B$5/100)^B24)</f>
        <v/>
      </c>
      <c r="J24" s="7" t="inlineStr">
        <is>
          <t>Initial construction</t>
        </is>
      </c>
      <c r="K24" s="7" t="n">
        <v>0</v>
      </c>
      <c r="L24" s="21" t="n">
        <v>15445398.25</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714698.49</v>
      </c>
      <c r="D25" s="10" t="n">
        <v>8</v>
      </c>
      <c r="E25" s="14">
        <f>C25*$B$11</f>
        <v/>
      </c>
      <c r="F25" s="14">
        <f>D25*$B$10*$B$8*$B$9</f>
        <v/>
      </c>
      <c r="G25" s="14">
        <f>IF(B25&gt;$B$6,0,(E25+F25)/(1+$B$5/100)^B25)</f>
        <v/>
      </c>
      <c r="J25" s="7" t="inlineStr">
        <is>
          <t>Maintenance 1</t>
        </is>
      </c>
      <c r="K25" s="7" t="n">
        <v>19</v>
      </c>
      <c r="L25" s="21" t="n">
        <v>432674.93</v>
      </c>
      <c r="M25" s="10" t="n">
        <v>11</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714698.49</v>
      </c>
      <c r="D26" s="10" t="n">
        <v>8</v>
      </c>
      <c r="E26" s="14">
        <f>C26*$B$11</f>
        <v/>
      </c>
      <c r="F26" s="14">
        <f>D26*$B$10*$B$8*$B$9</f>
        <v/>
      </c>
      <c r="G26" s="14">
        <f>IF(B26&gt;$B$6,0,(E26+F26)/(1+$B$5/100)^B26)</f>
        <v/>
      </c>
      <c r="J26" s="7" t="inlineStr">
        <is>
          <t>Rehabilitation 1</t>
        </is>
      </c>
      <c r="K26" s="7" t="n">
        <v>27</v>
      </c>
      <c r="L26" s="21" t="n">
        <v>604639.4</v>
      </c>
      <c r="M26" s="10" t="n">
        <v>20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805448.74</v>
      </c>
      <c r="D27" s="10" t="n">
        <v>10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825031.76</v>
      </c>
      <c r="D28" s="10" t="n">
        <v>10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3270106.16</v>
      </c>
      <c r="D29" s="10" t="n">
        <v>21</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714698.49</v>
      </c>
      <c r="D30" s="10" t="n">
        <v>8</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847814.9</v>
      </c>
      <c r="D31" s="10" t="n">
        <v>10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NEW PROJECT (template) - copy this sheet, rename it, fill the yellow cells</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0</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0</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(fill in)</t>
        </is>
      </c>
      <c r="J22" s="9" t="inlineStr">
        <is>
          <t>Alt 2 - New PCC  (fill in)</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0</v>
      </c>
      <c r="D24" s="10" t="n">
        <v>0</v>
      </c>
      <c r="E24" s="14">
        <f>C24*$B$11</f>
        <v/>
      </c>
      <c r="F24" s="14">
        <f>D24*$B$10*$B$8*$B$9</f>
        <v/>
      </c>
      <c r="G24" s="14">
        <f>IF(B24&gt;$B$6,0,(E24+F24)/(1+$B$5/100)^B24)</f>
        <v/>
      </c>
      <c r="J24" s="7" t="inlineStr">
        <is>
          <t>Initial construction</t>
        </is>
      </c>
      <c r="K24" s="7" t="n">
        <v>0</v>
      </c>
      <c r="L24" s="21" t="n">
        <v>0</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0</v>
      </c>
      <c r="D25" s="10" t="n">
        <v>0</v>
      </c>
      <c r="E25" s="14">
        <f>C25*$B$11</f>
        <v/>
      </c>
      <c r="F25" s="14">
        <f>D25*$B$10*$B$8*$B$9</f>
        <v/>
      </c>
      <c r="G25" s="14">
        <f>IF(B25&gt;$B$6,0,(E25+F25)/(1+$B$5/100)^B25)</f>
        <v/>
      </c>
      <c r="J25" s="7" t="inlineStr">
        <is>
          <t>Maintenance 1</t>
        </is>
      </c>
      <c r="K25" s="7" t="n">
        <v>19</v>
      </c>
      <c r="L25" s="21" t="n">
        <v>0</v>
      </c>
      <c r="M25" s="10" t="n">
        <v>0</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0</v>
      </c>
      <c r="D26" s="10" t="n">
        <v>0</v>
      </c>
      <c r="E26" s="14">
        <f>C26*$B$11</f>
        <v/>
      </c>
      <c r="F26" s="14">
        <f>D26*$B$10*$B$8*$B$9</f>
        <v/>
      </c>
      <c r="G26" s="14">
        <f>IF(B26&gt;$B$6,0,(E26+F26)/(1+$B$5/100)^B26)</f>
        <v/>
      </c>
      <c r="J26" s="7" t="inlineStr">
        <is>
          <t>Rehabilitation 1</t>
        </is>
      </c>
      <c r="K26" s="7" t="n">
        <v>27</v>
      </c>
      <c r="L26" s="21" t="n">
        <v>0</v>
      </c>
      <c r="M26" s="10" t="n">
        <v>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0</v>
      </c>
      <c r="D27" s="10" t="n">
        <v>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0</v>
      </c>
      <c r="D28" s="10" t="n">
        <v>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0</v>
      </c>
      <c r="D29" s="10" t="n">
        <v>0</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0</v>
      </c>
      <c r="D30" s="10" t="n">
        <v>0</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0</v>
      </c>
      <c r="D31" s="10" t="n">
        <v>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2026-09-13T07:10:05Z</dcterms:created>
  <dcterms:modified xmlns:dcterms="http://purl.org/dc/terms/" xmlns:xsi="http://www.w3.org/2001/XMLSchema-instance" xsi:type="dcterms:W3CDTF">2026-09-13T07:10:05Z</dcterms:modified>
</cp:coreProperties>
</file>
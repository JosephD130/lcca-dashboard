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BT" sheetId="2" state="visible" r:id="rId2"/>
    <sheet xmlns:r="http://schemas.openxmlformats.org/officeDocument/2006/relationships" name="SRB" sheetId="3" state="visible" r:id="rId3"/>
    <sheet xmlns:r="http://schemas.openxmlformats.org/officeDocument/2006/relationships" name="MonteCar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$#,##0;($#,##0);-"/>
    <numFmt numFmtId="166" formatCode="0.0%"/>
    <numFmt numFmtId="167" formatCode="$#,##0"/>
    <numFmt numFmtId="168" formatCode="$#,##0,&quot;k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99"/>
      </patternFill>
    </fill>
    <fill>
      <patternFill patternType="solid">
        <fgColor rgb="00DCE9F9"/>
      </patternFill>
    </fill>
    <fill>
      <patternFill patternType="solid">
        <fgColor rgb="00FBE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0" pivotButton="0" quotePrefix="0" xfId="0"/>
    <xf numFmtId="2" fontId="5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3" fontId="5" fillId="3" borderId="1" pivotButton="0" quotePrefix="0" xfId="0"/>
    <xf numFmtId="0" fontId="3" fillId="0" borderId="0" pivotButton="0" quotePrefix="0" xfId="0"/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165" fontId="0" fillId="0" borderId="0" pivotButton="0" quotePrefix="0" xfId="0"/>
    <xf numFmtId="165" fontId="3" fillId="0" borderId="0" pivotButton="0" quotePrefix="0" xfId="0"/>
    <xf numFmtId="0" fontId="2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" fontId="0" fillId="0" borderId="1" pivotButton="0" quotePrefix="0" xfId="0"/>
    <xf numFmtId="10" fontId="0" fillId="0" borderId="1" pivotButton="0" quotePrefix="0" xfId="0"/>
    <xf numFmtId="166" fontId="0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2" fontId="0" fillId="0" borderId="0" pivotButton="0" quotePrefix="0" xfId="0"/>
    <xf numFmtId="0" fontId="3" fillId="2" borderId="0" pivotButton="0" quotePrefix="0" xfId="0"/>
    <xf numFmtId="9" fontId="3" fillId="0" borderId="0" pivotButton="0" quotePrefix="0" xfId="0"/>
    <xf numFmtId="168" fontId="0" fillId="0" borderId="0" pivotButton="0" quotePrefix="0" xfId="0"/>
    <xf numFmtId="0" fontId="4" fillId="0" borderId="0" applyAlignment="1" pivotButton="0" quotePrefix="0" xfId="0">
      <alignment wrapText="1"/>
    </xf>
    <xf numFmtId="9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Present worth by category (salvage shown below zero)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'MBT'!B163</f>
            </strRef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'MBT'!$A$164:$A$165</f>
            </numRef>
          </cat>
          <val>
            <numRef>
              <f>'MBT'!$B$164:$B$165</f>
            </numRef>
          </val>
        </ser>
        <ser>
          <idx val="1"/>
          <order val="1"/>
          <tx>
            <strRef>
              <f>'MBT'!C163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solidFill>
                <a:srgbClr val="8C8C8C"/>
              </a:solidFill>
              <a:prstDash val="solid"/>
            </a:ln>
          </spPr>
          <cat>
            <numRef>
              <f>'MBT'!$A$164:$A$165</f>
            </numRef>
          </cat>
          <val>
            <numRef>
              <f>'MBT'!$C$164:$C$165</f>
            </numRef>
          </val>
        </ser>
        <ser>
          <idx val="2"/>
          <order val="2"/>
          <tx>
            <strRef>
              <f>'MBT'!D163</f>
            </strRef>
          </tx>
          <spPr>
            <a:solidFill xmlns:a="http://schemas.openxmlformats.org/drawingml/2006/main">
              <a:srgbClr val="646464"/>
            </a:solidFill>
            <a:ln xmlns:a="http://schemas.openxmlformats.org/drawingml/2006/main">
              <a:solidFill>
                <a:srgbClr val="646464"/>
              </a:solidFill>
              <a:prstDash val="solid"/>
            </a:ln>
          </spPr>
          <cat>
            <numRef>
              <f>'MBT'!$A$164:$A$165</f>
            </numRef>
          </cat>
          <val>
            <numRef>
              <f>'MBT'!$D$164:$D$165</f>
            </numRef>
          </val>
        </ser>
        <ser>
          <idx val="3"/>
          <order val="3"/>
          <tx>
            <strRef>
              <f>'MBT'!E163</f>
            </strRef>
          </tx>
          <spPr>
            <a:solidFill xmlns:a="http://schemas.openxmlformats.org/drawingml/2006/main">
              <a:srgbClr val="B8B6AE"/>
            </a:solidFill>
            <a:ln xmlns:a="http://schemas.openxmlformats.org/drawingml/2006/main">
              <a:solidFill>
                <a:srgbClr val="B8B6AE"/>
              </a:solidFill>
              <a:prstDash val="solid"/>
            </a:ln>
          </spPr>
          <cat>
            <numRef>
              <f>'MBT'!$A$164:$A$165</f>
            </numRef>
          </cat>
          <val>
            <numRef>
              <f>'MBT'!$E$164:$E$165</f>
            </numRef>
          </val>
        </ser>
        <ser>
          <idx val="4"/>
          <order val="4"/>
          <tx>
            <strRef>
              <f>'MBT'!F163</f>
            </strRef>
          </tx>
          <spPr>
            <a:solidFill xmlns:a="http://schemas.openxmlformats.org/drawingml/2006/main">
              <a:srgbClr val="DCDCDC"/>
            </a:solidFill>
            <a:ln xmlns:a="http://schemas.openxmlformats.org/drawingml/2006/main">
              <a:solidFill>
                <a:srgbClr val="DCDCDC"/>
              </a:solidFill>
              <a:prstDash val="solid"/>
            </a:ln>
          </spPr>
          <cat>
            <numRef>
              <f>'MBT'!$A$164:$A$165</f>
            </numRef>
          </cat>
          <val>
            <numRef>
              <f>'MBT'!$F$164:$F$165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Expenditure stream by calendar year (undiscounted, incl. lost revenue)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'MBT'!M87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'MBT'!$B$88:$B$118</f>
            </numRef>
          </cat>
          <val>
            <numRef>
              <f>'MBT'!$M$88:$M$118</f>
            </numRef>
          </val>
        </ser>
        <ser>
          <idx val="1"/>
          <order val="1"/>
          <tx>
            <strRef>
              <f>'MBT'!N87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'MBT'!$B$88:$B$118</f>
            </numRef>
          </cat>
          <val>
            <numRef>
              <f>'MBT'!$N$88:$N$118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discounted cost (crossover = payback year of the higher first cost)</a:t>
            </a:r>
          </a:p>
        </rich>
      </tx>
    </title>
    <plotArea>
      <lineChart>
        <grouping val="standard"/>
        <ser>
          <idx val="0"/>
          <order val="0"/>
          <tx>
            <strRef>
              <f>'MBT'!G87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'MBT'!$B$88:$B$118</f>
            </numRef>
          </cat>
          <val>
            <numRef>
              <f>'MBT'!$G$88:$G$118</f>
            </numRef>
          </val>
          <smooth val="0"/>
        </ser>
        <ser>
          <idx val="1"/>
          <order val="1"/>
          <tx>
            <strRef>
              <f>'MBT'!H87</f>
            </strRef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'MBT'!$B$88:$B$118</f>
            </numRef>
          </cat>
          <val>
            <numRef>
              <f>'MBT'!$H$88:$H$118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present worth vs. discount rate (TDOT 3%, FAA AIP 7%)</a:t>
            </a:r>
          </a:p>
        </rich>
      </tx>
    </title>
    <plotArea>
      <scatterChart>
        <ser>
          <idx val="0"/>
          <order val="0"/>
          <tx>
            <strRef>
              <f>'MBT'!B58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'MBT'!$A$59:$A$83</f>
            </numRef>
          </xVal>
          <yVal>
            <numRef>
              <f>'MBT'!$B$59:$B$83</f>
            </numRef>
          </yVal>
          <smooth val="0"/>
        </ser>
        <ser>
          <idx val="1"/>
          <order val="1"/>
          <tx>
            <strRef>
              <f>'MBT'!C58</f>
            </strRef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'MBT'!$A$59:$A$83</f>
            </numRef>
          </xVal>
          <yVal>
            <numRef>
              <f>'MBT'!$C$59:$C$83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Discount rate</a:t>
                </a:r>
              </a:p>
            </rich>
          </tx>
        </title>
        <numFmt formatCode="0&quot;%&quot;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PCC minus HMA present worth when one input moves (bars crossing zero flip the winner)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'MBT'!D123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cat>
            <numRef>
              <f>'MBT'!$A$124:$A$131</f>
            </numRef>
          </cat>
          <val>
            <numRef>
              <f>'MBT'!$D$124:$D$131</f>
            </numRef>
          </val>
        </ser>
        <ser>
          <idx val="1"/>
          <order val="1"/>
          <tx>
            <strRef>
              <f>'MBT'!E123</f>
            </strRef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'MBT'!$A$124:$A$131</f>
            </numRef>
          </cat>
          <val>
            <numRef>
              <f>'MBT'!$E$124:$E$131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Runway closure timeline (bubble size = days closed; lane 1 HMA, lane 2 PCC)</a:t>
            </a:r>
          </a:p>
        </rich>
      </tx>
    </title>
    <plotArea>
      <bubbleChart>
        <ser>
          <idx val="0"/>
          <order val="0"/>
          <tx>
            <v>HMA closures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xVal>
            <numRef>
              <f>'MBT'!$B$169:$B$175</f>
            </numRef>
          </xVal>
          <yVal>
            <numRef>
              <f>'MBT'!$C$169:$C$175</f>
            </numRef>
          </yVal>
          <bubbleSize>
            <numRef>
              <f>'MBT'!$D$169:$D$175</f>
            </numRef>
          </bubbleSize>
        </ser>
        <ser>
          <idx val="1"/>
          <order val="1"/>
          <tx>
            <v>PCC closures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xVal>
            <numRef>
              <f>'MBT'!$B$176:$B$177</f>
            </numRef>
          </xVal>
          <yVal>
            <numRef>
              <f>'MBT'!$C$176:$C$177</f>
            </numRef>
          </yVal>
          <bubbleSize>
            <numRef>
              <f>'MBT'!$D$176:$D$177</f>
            </numRef>
          </bubbleSize>
        </ser>
        <axId val="10"/>
        <axId val="20"/>
      </bubbleChart>
      <valAx>
        <axId val="10"/>
        <scaling>
          <orientation val="minMax"/>
          <max val="2057"/>
          <min val="202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Calendar year</a:t>
                </a:r>
              </a:p>
            </rich>
          </tx>
        </title>
        <numFmt formatCode="0" sourceLinked="0"/>
        <majorTickMark val="none"/>
        <minorTickMark val="none"/>
        <crossAx val="20"/>
      </valAx>
      <valAx>
        <axId val="20"/>
        <scaling>
          <orientation val="minMax"/>
          <max val="3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Runway closure days by calendar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'MBT'!I87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'MBT'!$B$88:$B$118</f>
            </numRef>
          </cat>
          <val>
            <numRef>
              <f>'MBT'!$I$88:$I$118</f>
            </numRef>
          </val>
        </ser>
        <ser>
          <idx val="1"/>
          <order val="1"/>
          <tx>
            <strRef>
              <f>'MBT'!J87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'MBT'!$B$88:$B$118</f>
            </numRef>
          </cat>
          <val>
            <numRef>
              <f>'MBT'!$J$88:$J$118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present worth by scenario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'MBT'!I136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'MBT'!$A$137:$A$148</f>
            </numRef>
          </cat>
          <val>
            <numRef>
              <f>'MBT'!$I$137:$I$148</f>
            </numRef>
          </val>
        </ser>
        <ser>
          <idx val="1"/>
          <order val="1"/>
          <tx>
            <strRef>
              <f>'MBT'!J136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'MBT'!$A$137:$A$148</f>
            </numRef>
          </cat>
          <val>
            <numRef>
              <f>'MBT'!$J$137:$J$148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Present worth by category (salvage shown below zero)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'SRB'!B163</f>
            </strRef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'SRB'!$A$164:$A$165</f>
            </numRef>
          </cat>
          <val>
            <numRef>
              <f>'SRB'!$B$164:$B$165</f>
            </numRef>
          </val>
        </ser>
        <ser>
          <idx val="1"/>
          <order val="1"/>
          <tx>
            <strRef>
              <f>'SRB'!C163</f>
            </strRef>
          </tx>
          <spPr>
            <a:solidFill xmlns:a="http://schemas.openxmlformats.org/drawingml/2006/main">
              <a:srgbClr val="8C8C8C"/>
            </a:solidFill>
            <a:ln xmlns:a="http://schemas.openxmlformats.org/drawingml/2006/main">
              <a:solidFill>
                <a:srgbClr val="8C8C8C"/>
              </a:solidFill>
              <a:prstDash val="solid"/>
            </a:ln>
          </spPr>
          <cat>
            <numRef>
              <f>'SRB'!$A$164:$A$165</f>
            </numRef>
          </cat>
          <val>
            <numRef>
              <f>'SRB'!$C$164:$C$165</f>
            </numRef>
          </val>
        </ser>
        <ser>
          <idx val="2"/>
          <order val="2"/>
          <tx>
            <strRef>
              <f>'SRB'!D163</f>
            </strRef>
          </tx>
          <spPr>
            <a:solidFill xmlns:a="http://schemas.openxmlformats.org/drawingml/2006/main">
              <a:srgbClr val="646464"/>
            </a:solidFill>
            <a:ln xmlns:a="http://schemas.openxmlformats.org/drawingml/2006/main">
              <a:solidFill>
                <a:srgbClr val="646464"/>
              </a:solidFill>
              <a:prstDash val="solid"/>
            </a:ln>
          </spPr>
          <cat>
            <numRef>
              <f>'SRB'!$A$164:$A$165</f>
            </numRef>
          </cat>
          <val>
            <numRef>
              <f>'SRB'!$D$164:$D$165</f>
            </numRef>
          </val>
        </ser>
        <ser>
          <idx val="3"/>
          <order val="3"/>
          <tx>
            <strRef>
              <f>'SRB'!E163</f>
            </strRef>
          </tx>
          <spPr>
            <a:solidFill xmlns:a="http://schemas.openxmlformats.org/drawingml/2006/main">
              <a:srgbClr val="B8B6AE"/>
            </a:solidFill>
            <a:ln xmlns:a="http://schemas.openxmlformats.org/drawingml/2006/main">
              <a:solidFill>
                <a:srgbClr val="B8B6AE"/>
              </a:solidFill>
              <a:prstDash val="solid"/>
            </a:ln>
          </spPr>
          <cat>
            <numRef>
              <f>'SRB'!$A$164:$A$165</f>
            </numRef>
          </cat>
          <val>
            <numRef>
              <f>'SRB'!$E$164:$E$165</f>
            </numRef>
          </val>
        </ser>
        <ser>
          <idx val="4"/>
          <order val="4"/>
          <tx>
            <strRef>
              <f>'SRB'!F163</f>
            </strRef>
          </tx>
          <spPr>
            <a:solidFill xmlns:a="http://schemas.openxmlformats.org/drawingml/2006/main">
              <a:srgbClr val="DCDCDC"/>
            </a:solidFill>
            <a:ln xmlns:a="http://schemas.openxmlformats.org/drawingml/2006/main">
              <a:solidFill>
                <a:srgbClr val="DCDCDC"/>
              </a:solidFill>
              <a:prstDash val="solid"/>
            </a:ln>
          </spPr>
          <cat>
            <numRef>
              <f>'SRB'!$A$164:$A$165</f>
            </numRef>
          </cat>
          <val>
            <numRef>
              <f>'SRB'!$F$164:$F$165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Expenditure stream by calendar year (undiscounted, incl. lost revenue)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'SRB'!M87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'SRB'!$B$88:$B$118</f>
            </numRef>
          </cat>
          <val>
            <numRef>
              <f>'SRB'!$M$88:$M$118</f>
            </numRef>
          </val>
        </ser>
        <ser>
          <idx val="1"/>
          <order val="1"/>
          <tx>
            <strRef>
              <f>'SRB'!N87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'SRB'!$B$88:$B$118</f>
            </numRef>
          </cat>
          <val>
            <numRef>
              <f>'SRB'!$N$88:$N$118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discounted cost (crossover = payback year of the higher first cost)</a:t>
            </a:r>
          </a:p>
        </rich>
      </tx>
    </title>
    <plotArea>
      <lineChart>
        <grouping val="standard"/>
        <ser>
          <idx val="0"/>
          <order val="0"/>
          <tx>
            <strRef>
              <f>'SRB'!G87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'SRB'!$B$88:$B$118</f>
            </numRef>
          </cat>
          <val>
            <numRef>
              <f>'SRB'!$G$88:$G$118</f>
            </numRef>
          </val>
          <smooth val="0"/>
        </ser>
        <ser>
          <idx val="1"/>
          <order val="1"/>
          <tx>
            <strRef>
              <f>'SRB'!H87</f>
            </strRef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'SRB'!$B$88:$B$118</f>
            </numRef>
          </cat>
          <val>
            <numRef>
              <f>'SRB'!$H$88:$H$118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present worth vs. discount rate (TDOT 3%, FAA AIP 7%)</a:t>
            </a:r>
          </a:p>
        </rich>
      </tx>
    </title>
    <plotArea>
      <scatterChart>
        <ser>
          <idx val="0"/>
          <order val="0"/>
          <tx>
            <strRef>
              <f>'SRB'!B58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'SRB'!$A$59:$A$83</f>
            </numRef>
          </xVal>
          <yVal>
            <numRef>
              <f>'SRB'!$B$59:$B$83</f>
            </numRef>
          </yVal>
          <smooth val="0"/>
        </ser>
        <ser>
          <idx val="1"/>
          <order val="1"/>
          <tx>
            <strRef>
              <f>'SRB'!C58</f>
            </strRef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'SRB'!$A$59:$A$83</f>
            </numRef>
          </xVal>
          <yVal>
            <numRef>
              <f>'SRB'!$C$59:$C$83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Discount rate</a:t>
                </a:r>
              </a:p>
            </rich>
          </tx>
        </title>
        <numFmt formatCode="0&quot;%&quot;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PCC minus HMA present worth when one input moves (bars crossing zero flip the winner)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'SRB'!D123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cat>
            <numRef>
              <f>'SRB'!$A$124:$A$131</f>
            </numRef>
          </cat>
          <val>
            <numRef>
              <f>'SRB'!$D$124:$D$131</f>
            </numRef>
          </val>
        </ser>
        <ser>
          <idx val="1"/>
          <order val="1"/>
          <tx>
            <strRef>
              <f>'SRB'!E123</f>
            </strRef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'SRB'!$A$124:$A$131</f>
            </numRef>
          </cat>
          <val>
            <numRef>
              <f>'SRB'!$E$124:$E$131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Runway closure timeline (bubble size = days closed; lane 1 HMA, lane 2 PCC)</a:t>
            </a:r>
          </a:p>
        </rich>
      </tx>
    </title>
    <plotArea>
      <bubbleChart>
        <ser>
          <idx val="0"/>
          <order val="0"/>
          <tx>
            <v>HMA closures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xVal>
            <numRef>
              <f>'SRB'!$B$169:$B$175</f>
            </numRef>
          </xVal>
          <yVal>
            <numRef>
              <f>'SRB'!$C$169:$C$175</f>
            </numRef>
          </yVal>
          <bubbleSize>
            <numRef>
              <f>'SRB'!$D$169:$D$175</f>
            </numRef>
          </bubbleSize>
        </ser>
        <ser>
          <idx val="1"/>
          <order val="1"/>
          <tx>
            <v>PCC closures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xVal>
            <numRef>
              <f>'SRB'!$B$176:$B$177</f>
            </numRef>
          </xVal>
          <yVal>
            <numRef>
              <f>'SRB'!$C$176:$C$177</f>
            </numRef>
          </yVal>
          <bubbleSize>
            <numRef>
              <f>'SRB'!$D$176:$D$177</f>
            </numRef>
          </bubbleSize>
        </ser>
        <axId val="10"/>
        <axId val="20"/>
      </bubbleChart>
      <valAx>
        <axId val="10"/>
        <scaling>
          <orientation val="minMax"/>
          <max val="2057"/>
          <min val="202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Calendar year</a:t>
                </a:r>
              </a:p>
            </rich>
          </tx>
        </title>
        <numFmt formatCode="0" sourceLinked="0"/>
        <majorTickMark val="none"/>
        <minorTickMark val="none"/>
        <crossAx val="20"/>
      </valAx>
      <valAx>
        <axId val="20"/>
        <scaling>
          <orientation val="minMax"/>
          <max val="3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Runway closure days by calendar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'SRB'!I87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'SRB'!$B$88:$B$118</f>
            </numRef>
          </cat>
          <val>
            <numRef>
              <f>'SRB'!$I$88:$I$118</f>
            </numRef>
          </val>
        </ser>
        <ser>
          <idx val="1"/>
          <order val="1"/>
          <tx>
            <strRef>
              <f>'SRB'!J87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'SRB'!$B$88:$B$118</f>
            </numRef>
          </cat>
          <val>
            <numRef>
              <f>'SRB'!$J$88:$J$118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present worth by scenario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'SRB'!I136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'SRB'!$A$137:$A$148</f>
            </numRef>
          </cat>
          <val>
            <numRef>
              <f>'SRB'!$I$137:$I$148</f>
            </numRef>
          </val>
        </ser>
        <ser>
          <idx val="1"/>
          <order val="1"/>
          <tx>
            <strRef>
              <f>'SRB'!J136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'SRB'!$A$137:$A$148</f>
            </numRef>
          </cat>
          <val>
            <numRef>
              <f>'SRB'!$J$137:$J$148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PCC - HMA present worth: 5,000 joint-uncertainty draws (left of zero = PCC cheaper)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'MonteCarlo'!B15</f>
            </strRef>
          </tx>
          <spPr>
            <a:solidFill xmlns:a="http://schemas.openxmlformats.org/drawingml/2006/main">
              <a:srgbClr val="4A4A4A"/>
            </a:solidFill>
            <a:ln xmlns:a="http://schemas.openxmlformats.org/drawingml/2006/main">
              <a:solidFill>
                <a:srgbClr val="4A4A4A"/>
              </a:solidFill>
              <a:prstDash val="solid"/>
            </a:ln>
          </spPr>
          <cat>
            <numRef>
              <f>'MonteCarlo'!$A$16:$A$45</f>
            </numRef>
          </cat>
          <val>
            <numRef>
              <f>'MonteCarlo'!$B$16:$B$45</f>
            </numRef>
          </val>
        </ser>
        <ser>
          <idx val="1"/>
          <order val="1"/>
          <tx>
            <strRef>
              <f>'MonteCarlo'!C15</f>
            </strRef>
          </tx>
          <spPr>
            <a:solidFill xmlns:a="http://schemas.openxmlformats.org/drawingml/2006/main">
              <a:srgbClr val="B8B6AE"/>
            </a:solidFill>
            <a:ln xmlns:a="http://schemas.openxmlformats.org/drawingml/2006/main">
              <a:solidFill>
                <a:srgbClr val="B8B6AE"/>
              </a:solidFill>
              <a:prstDash val="solid"/>
            </a:ln>
          </spPr>
          <cat>
            <numRef>
              <f>'MonteCarlo'!$A$16:$A$45</f>
            </numRef>
          </cat>
          <val>
            <numRef>
              <f>'MonteCarlo'!$C$16:$C$45</f>
            </numRef>
          </val>
        </ser>
        <gapWidth val="10"/>
        <axId val="10"/>
        <axId val="100"/>
      </barChart>
      <catAx>
        <axId val="10"/>
        <scaling>
          <orientation val="minMax"/>
        </scaling>
        <delete val="0"/>
        <axPos val="l"/>
        <numFmt formatCode="$#,##0,&quot;k&quot;" sourceLinked="0"/>
        <majorTickMark val="none"/>
        <minorTickMark val="none"/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probability that PCC - HMA is below the value</a:t>
            </a:r>
          </a:p>
        </rich>
      </tx>
    </title>
    <plotArea>
      <lineChart>
        <grouping val="standard"/>
        <ser>
          <idx val="0"/>
          <order val="0"/>
          <tx>
            <strRef>
              <f>'MonteCarlo'!D15</f>
            </strRef>
          </tx>
          <spPr>
            <a:ln xmlns:a="http://schemas.openxmlformats.org/drawingml/2006/main" w="22000">
              <a:solidFill>
                <a:srgbClr val="4A4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'MonteCarlo'!$A$16:$A$45</f>
            </numRef>
          </cat>
          <val>
            <numRef>
              <f>'MonteCarlo'!$D$16:$D$45</f>
            </numRef>
          </val>
          <smooth val="0"/>
        </ser>
        <ser>
          <idx val="1"/>
          <order val="1"/>
          <tx>
            <strRef>
              <f>'MonteCarlo'!E15</f>
            </strRef>
          </tx>
          <spPr>
            <a:ln xmlns:a="http://schemas.openxmlformats.org/drawingml/2006/main" w="22000">
              <a:solidFill>
                <a:srgbClr val="B8B6A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'MonteCarlo'!$A$16:$A$45</f>
            </numRef>
          </cat>
          <val>
            <numRef>
              <f>'MonteCarlo'!$E$16:$E$45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$#,##0,&quot;k&quot;" sourceLinked="0"/>
        <majorTickMark val="none"/>
        <minorTickMark val="none"/>
        <crossAx val="100"/>
        <lblOffset val="100"/>
        <tickLblSkip val="3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Relationship Type="http://schemas.openxmlformats.org/officeDocument/2006/relationships/chart" Target="/xl/charts/chart15.xml" Id="rId7"/><Relationship Type="http://schemas.openxmlformats.org/officeDocument/2006/relationships/chart" Target="/xl/charts/chart16.xml" Id="rId8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/><Relationship Type="http://schemas.openxmlformats.org/officeDocument/2006/relationships/chart" Target="/xl/charts/chart18.xml" Id="rId2"/></Relationships>
</file>

<file path=xl/drawings/drawing1.xml><?xml version="1.0" encoding="utf-8"?>
<wsDr xmlns="http://schemas.openxmlformats.org/drawingml/2006/spreadsheetDrawing">
  <oneCellAnchor>
    <from>
      <col>19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23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43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63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83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103</row>
      <rowOff>0</rowOff>
    </from>
    <ext cx="64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19</col>
      <colOff>0</colOff>
      <row>123</row>
      <rowOff>0</rowOff>
    </from>
    <ext cx="64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143</row>
      <rowOff>0</rowOff>
    </from>
    <ext cx="648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19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23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43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63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19</col>
      <colOff>0</colOff>
      <row>83</row>
      <rowOff>0</rowOff>
    </from>
    <ext cx="64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103</row>
      <rowOff>0</rowOff>
    </from>
    <ext cx="64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19</col>
      <colOff>0</colOff>
      <row>123</row>
      <rowOff>0</rowOff>
    </from>
    <ext cx="64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19</col>
      <colOff>0</colOff>
      <row>143</row>
      <rowOff>0</rowOff>
    </from>
    <ext cx="648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TDOT Aeronautics LCCA - Decision Workbook (MBT and SRB runs)</t>
        </is>
      </c>
    </row>
    <row r="2">
      <c r="A2" s="2" t="inlineStr">
        <is>
          <t>Purpose: show the two 2026-05-21 analyses side by side with the sensitivity, break-even and closure views the framework workbook does not produce. Companion to TDOA_LCCA_Framework v1.2.0; base costs, closure days and policies are copied from those files.</t>
        </is>
      </c>
    </row>
    <row r="3">
      <c r="A3" s="2" t="inlineStr"/>
    </row>
    <row r="4">
      <c r="A4" s="3" t="inlineStr">
        <is>
          <t>How to use</t>
        </is>
      </c>
    </row>
    <row r="5">
      <c r="A5" s="2" t="inlineStr">
        <is>
          <t>1. Open the MBT or SRB sheet. Yellow cells (B5:B14) are the only inputs. Change the discount rate, period, revenue share lost, closure multiplier, bid multipliers or salvage multiplier and every table and chart updates.</t>
        </is>
      </c>
    </row>
    <row r="6">
      <c r="A6" s="2" t="inlineStr">
        <is>
          <t>2. RESULTS gives present worth by category, EUAC, cost per SY, closure days and runway availability, the winner, the margin, and whether the winner holds at the FAA AIP 7% rate.</t>
        </is>
      </c>
    </row>
    <row r="7">
      <c r="A7" s="2" t="inlineStr">
        <is>
          <t>3. BREAK-EVEN VALUES answer "how wrong would an input have to be" without a goal seek: daily revenue, PCC and HMA bid levels, PCC salvage fraction and discount rate at which the two alternatives tie.</t>
        </is>
      </c>
    </row>
    <row r="8">
      <c r="A8" s="2" t="inlineStr">
        <is>
          <t>4. SENSITIVITY, TORNADO, SCENARIO SCORECARD and the DECISION MAP are pre-run: the scorecard rows carry their own parameters (TDOT policy, FAA AIP 7%/20 yr, no lost revenue, 40% revenue loss, no salvage, bids +20%, closures x2 and x0.5, and a stress case).</t>
        </is>
      </c>
    </row>
    <row r="9">
      <c r="A9" s="2" t="inlineStr">
        <is>
          <t>5. Charts start in column T of each project sheet: PW by category, expenditure stream, cumulative discounted cost, rate sensitivity, tornado, closure timeline, closure days by year, NPW by scenario.</t>
        </is>
      </c>
    </row>
    <row r="10">
      <c r="A10" s="2" t="inlineStr">
        <is>
          <t>6. MonteCarlo holds 5,000 joint-uncertainty draws per project (values) with the probability that PCC is the lower-cost alternative.</t>
        </is>
      </c>
    </row>
    <row r="11">
      <c r="A11" s="2" t="inlineStr"/>
    </row>
    <row r="12">
      <c r="A12" s="3" t="inlineStr">
        <is>
          <t>Method notes</t>
        </is>
      </c>
    </row>
    <row r="13">
      <c r="A13" s="2" t="inlineStr">
        <is>
          <t>Present worth = sum over activities within the period of (direct cost x cost multiplier + closure days x closure multiplier x daily revenue x revenue share lost) / (1 + r)^year, plus salvage x cost multiplier x salvage multiplier / (1 + r)^period. Initial construction is year 0. This reproduces the framework workbook NPW exactly at its own settings (3%, 30 years, multipliers = 1).</t>
        </is>
      </c>
    </row>
    <row r="14">
      <c r="A14" s="2" t="inlineStr">
        <is>
          <t>Salvage follows TDOT Maintenance Policies: PCC 25% of initial construction; HMA 12.5% of one mill-and-overlay (2 of 16 years). When the period is shortened the same fraction is applied at the end of the shorter period, which is a conservative simplification.</t>
        </is>
      </c>
    </row>
    <row r="15">
      <c r="A15" s="2" t="inlineStr">
        <is>
          <t>Closure days are the production-rate defaults from the framework (surface treatment 15,000 SY/day; mill and overlay 3,800 SY/day; PCC joint and slab rates). Initial construction closures are not modelled, as in the framework.</t>
        </is>
      </c>
    </row>
    <row r="16">
      <c r="A16" s="2" t="inlineStr">
        <is>
          <t>Lost revenue uses the framework method (sum of the seven RevenueData categories). The "revenue share lost" input lets you test margin-based assumptions.</t>
        </is>
      </c>
    </row>
    <row r="17">
      <c r="A17" s="2" t="inlineStr">
        <is>
          <t>Sources: TDOA_LCCA_Framework_v1.1.2_MBT_20260521_LostRevenue_1.xlsm and _SRB_20260521_LostRevenue.xlsm (ARA); TDOT Maintenance Policies tables 1 and 2; FAA AIP Handbook Appendix U (7% rate, 20-year life for AIP-funded LCCA).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4" t="inlineStr">
        <is>
          <t>Murfreesboro Municipal (MBT) - Runway 18-36 Reconstruction</t>
        </is>
      </c>
    </row>
    <row r="2">
      <c r="A2" s="5" t="inlineStr">
        <is>
          <t>Life-cycle cost comparison with runway-closure lost revenue. Yellow cells are inputs; everything else recalculates.</t>
        </is>
      </c>
    </row>
    <row r="4">
      <c r="A4" s="6" t="inlineStr">
        <is>
          <t>Parameter</t>
        </is>
      </c>
      <c r="B4" s="6" t="inlineStr">
        <is>
          <t>Value</t>
        </is>
      </c>
      <c r="C4" s="6" t="inlineStr">
        <is>
          <t>Note</t>
        </is>
      </c>
    </row>
    <row r="5">
      <c r="A5" s="7" t="inlineStr">
        <is>
          <t>Discount rate (%)</t>
        </is>
      </c>
      <c r="B5" s="8" t="n">
        <v>3</v>
      </c>
      <c r="C5" s="5" t="inlineStr">
        <is>
          <t>TDOT default 3; FAA AIP handbook requires 7 for AIP-funded LCCA</t>
        </is>
      </c>
    </row>
    <row r="6">
      <c r="A6" s="7" t="inlineStr">
        <is>
          <t>Analysis period (years)</t>
        </is>
      </c>
      <c r="B6" s="9" t="n">
        <v>30</v>
      </c>
      <c r="C6" s="5" t="inlineStr">
        <is>
          <t>TDOT policy 30; FAA AIP caps project life at 20</t>
        </is>
      </c>
    </row>
    <row r="7">
      <c r="A7" s="7" t="inlineStr">
        <is>
          <t>Construction year</t>
        </is>
      </c>
      <c r="B7" s="9" t="n">
        <v>2027</v>
      </c>
      <c r="C7" s="5" t="inlineStr"/>
    </row>
    <row r="8">
      <c r="A8" s="7" t="inlineStr">
        <is>
          <t>Airport daily revenue ($/day)</t>
        </is>
      </c>
      <c r="B8" s="10" t="n">
        <v>8841.379999999999</v>
      </c>
      <c r="C8" s="5" t="inlineStr">
        <is>
          <t>Sum of the seven RevenueData columns for this airport (workbook method)</t>
        </is>
      </c>
    </row>
    <row r="9">
      <c r="A9" s="7" t="inlineStr">
        <is>
          <t>Share of daily revenue actually lost during a closure</t>
        </is>
      </c>
      <c r="B9" s="11" t="n">
        <v>1</v>
      </c>
      <c r="C9" s="5" t="inlineStr">
        <is>
          <t>1.0 = workbook method (gross fuel sales and tenant rent count as lost). Try 0.3 to 0.5 for margin-based revenue</t>
        </is>
      </c>
    </row>
    <row r="10">
      <c r="A10" s="7" t="inlineStr">
        <is>
          <t>Closure-days multiplier</t>
        </is>
      </c>
      <c r="B10" s="9" t="n">
        <v>1</v>
      </c>
      <c r="C10" s="5" t="inlineStr">
        <is>
          <t>Scales every closure duration (production-rate defaults from the workbook)</t>
        </is>
      </c>
    </row>
    <row r="11">
      <c r="A11" s="7" t="inlineStr">
        <is>
          <t>HMA cost multiplier</t>
        </is>
      </c>
      <c r="B11" s="9" t="n">
        <v>1</v>
      </c>
      <c r="C11" s="5" t="inlineStr">
        <is>
          <t>Bid-price uncertainty on all HMA direct costs</t>
        </is>
      </c>
    </row>
    <row r="12">
      <c r="A12" s="7" t="inlineStr">
        <is>
          <t>PCC cost multiplier</t>
        </is>
      </c>
      <c r="B12" s="9" t="n">
        <v>1</v>
      </c>
      <c r="C12" s="5" t="inlineStr">
        <is>
          <t>Bid-price uncertainty on all PCC direct costs</t>
        </is>
      </c>
    </row>
    <row r="13">
      <c r="A13" s="7" t="inlineStr">
        <is>
          <t>Salvage multiplier</t>
        </is>
      </c>
      <c r="B13" s="9" t="n">
        <v>1</v>
      </c>
      <c r="C13" s="5" t="inlineStr">
        <is>
          <t>0 = no salvage credit; 1 = workbook policy (PCC 25% of initial, HMA 12.5% of one mill-and-overlay)</t>
        </is>
      </c>
    </row>
    <row r="14">
      <c r="A14" s="7" t="inlineStr">
        <is>
          <t>Mainline area (SY)</t>
        </is>
      </c>
      <c r="B14" s="12" t="n">
        <v>52777.7</v>
      </c>
      <c r="C14" s="5" t="inlineStr"/>
    </row>
    <row r="16">
      <c r="A16" s="13" t="inlineStr">
        <is>
          <t>Alt 1 - New HMA  (5" P-401 on 16" P-209)</t>
        </is>
      </c>
      <c r="J16" s="13" t="inlineStr">
        <is>
          <t>Alt 2 - New PCC  (8" P-501 on 6" P-209)</t>
        </is>
      </c>
    </row>
    <row r="17">
      <c r="A17" s="14" t="inlineStr">
        <is>
          <t>Activity</t>
        </is>
      </c>
      <c r="B17" s="14" t="inlineStr">
        <is>
          <t>Year</t>
        </is>
      </c>
      <c r="C17" s="14" t="inlineStr">
        <is>
          <t>Direct cost (base $)</t>
        </is>
      </c>
      <c r="D17" s="14" t="inlineStr">
        <is>
          <t>Closure days (base)</t>
        </is>
      </c>
      <c r="E17" s="14" t="inlineStr">
        <is>
          <t>Direct cost (scenario)</t>
        </is>
      </c>
      <c r="F17" s="14" t="inlineStr">
        <is>
          <t>Lost revenue (scenario)</t>
        </is>
      </c>
      <c r="G17" s="14" t="inlineStr">
        <is>
          <t>Present worth</t>
        </is>
      </c>
      <c r="J17" s="15" t="inlineStr">
        <is>
          <t>Activity</t>
        </is>
      </c>
      <c r="K17" s="15" t="inlineStr">
        <is>
          <t>Year</t>
        </is>
      </c>
      <c r="L17" s="15" t="inlineStr">
        <is>
          <t>Direct cost (base $)</t>
        </is>
      </c>
      <c r="M17" s="15" t="inlineStr">
        <is>
          <t>Closure days (base)</t>
        </is>
      </c>
      <c r="N17" s="15" t="inlineStr">
        <is>
          <t>Direct cost (scenario)</t>
        </is>
      </c>
      <c r="O17" s="15" t="inlineStr">
        <is>
          <t>Lost revenue (scenario)</t>
        </is>
      </c>
      <c r="P17" s="15" t="inlineStr">
        <is>
          <t>Present worth</t>
        </is>
      </c>
    </row>
    <row r="18">
      <c r="A18" s="7" t="inlineStr">
        <is>
          <t>Initial construction</t>
        </is>
      </c>
      <c r="B18" s="7" t="n">
        <v>0</v>
      </c>
      <c r="C18" s="16" t="n">
        <v>5306576.53</v>
      </c>
      <c r="D18" t="n">
        <v>0</v>
      </c>
      <c r="E18" s="16">
        <f>C18*$B$11</f>
        <v/>
      </c>
      <c r="F18" s="16">
        <f>D18*$B$10*$B$8*$B$9</f>
        <v/>
      </c>
      <c r="G18" s="16">
        <f>IF(B18&gt;$B$6,0,(E18+F18)/(1+$B$5/100)^B18)</f>
        <v/>
      </c>
      <c r="J18" s="7" t="inlineStr">
        <is>
          <t>Initial construction</t>
        </is>
      </c>
      <c r="K18" s="7" t="n">
        <v>0</v>
      </c>
      <c r="L18" s="16" t="n">
        <v>8410244.970000001</v>
      </c>
      <c r="M18" t="n">
        <v>0</v>
      </c>
      <c r="N18" s="16">
        <f>L18*$B$12</f>
        <v/>
      </c>
      <c r="O18" s="16">
        <f>M18*$B$10*$B$8*$B$9</f>
        <v/>
      </c>
      <c r="P18" s="16">
        <f>IF(K18&gt;$B$6,0,(N18+O18)/(1+$B$5/100)^K18)</f>
        <v/>
      </c>
    </row>
    <row r="19">
      <c r="A19" s="7" t="inlineStr">
        <is>
          <t>Maintenance 1</t>
        </is>
      </c>
      <c r="B19" s="7" t="n">
        <v>4</v>
      </c>
      <c r="C19" s="16" t="n">
        <v>482829.92</v>
      </c>
      <c r="D19" t="n">
        <v>6</v>
      </c>
      <c r="E19" s="16">
        <f>C19*$B$11</f>
        <v/>
      </c>
      <c r="F19" s="16">
        <f>D19*$B$10*$B$8*$B$9</f>
        <v/>
      </c>
      <c r="G19" s="16">
        <f>IF(B19&gt;$B$6,0,(E19+F19)/(1+$B$5/100)^B19)</f>
        <v/>
      </c>
      <c r="J19" s="7" t="inlineStr">
        <is>
          <t>Maintenance 1</t>
        </is>
      </c>
      <c r="K19" s="7" t="n">
        <v>19</v>
      </c>
      <c r="L19" s="16" t="n">
        <v>306563.68</v>
      </c>
      <c r="M19" t="n">
        <v>9</v>
      </c>
      <c r="N19" s="16">
        <f>L19*$B$12</f>
        <v/>
      </c>
      <c r="O19" s="16">
        <f>M19*$B$10*$B$8*$B$9</f>
        <v/>
      </c>
      <c r="P19" s="16">
        <f>IF(K19&gt;$B$6,0,(N19+O19)/(1+$B$5/100)^K19)</f>
        <v/>
      </c>
    </row>
    <row r="20">
      <c r="A20" s="7" t="inlineStr">
        <is>
          <t>Maintenance 2</t>
        </is>
      </c>
      <c r="B20" s="7" t="n">
        <v>8</v>
      </c>
      <c r="C20" s="16" t="n">
        <v>482829.92</v>
      </c>
      <c r="D20" t="n">
        <v>6</v>
      </c>
      <c r="E20" s="16">
        <f>C20*$B$11</f>
        <v/>
      </c>
      <c r="F20" s="16">
        <f>D20*$B$10*$B$8*$B$9</f>
        <v/>
      </c>
      <c r="G20" s="16">
        <f>IF(B20&gt;$B$6,0,(E20+F20)/(1+$B$5/100)^B20)</f>
        <v/>
      </c>
      <c r="J20" s="7" t="inlineStr">
        <is>
          <t>Rehabilitation 1</t>
        </is>
      </c>
      <c r="K20" s="7" t="n">
        <v>27</v>
      </c>
      <c r="L20" s="16" t="n">
        <v>428405.86</v>
      </c>
      <c r="M20" t="n">
        <v>18</v>
      </c>
      <c r="N20" s="16">
        <f>L20*$B$12</f>
        <v/>
      </c>
      <c r="O20" s="16">
        <f>M20*$B$10*$B$8*$B$9</f>
        <v/>
      </c>
      <c r="P20" s="16">
        <f>IF(K20&gt;$B$6,0,(N20+O20)/(1+$B$5/100)^K20)</f>
        <v/>
      </c>
    </row>
    <row r="21">
      <c r="A21" s="7" t="inlineStr">
        <is>
          <t>Maintenance 3</t>
        </is>
      </c>
      <c r="B21" s="7" t="n">
        <v>12</v>
      </c>
      <c r="C21" s="16" t="n">
        <v>547129.3</v>
      </c>
      <c r="D21" t="n">
        <v>8</v>
      </c>
      <c r="E21" s="16">
        <f>C21*$B$11</f>
        <v/>
      </c>
      <c r="F21" s="16">
        <f>D21*$B$10*$B$8*$B$9</f>
        <v/>
      </c>
      <c r="G21" s="16">
        <f>IF(B21&gt;$B$6,0,(E21+F21)/(1+$B$5/100)^B21)</f>
        <v/>
      </c>
      <c r="J21" s="7" t="inlineStr">
        <is>
          <t>Salvage value (at end of period)</t>
        </is>
      </c>
      <c r="K21">
        <f>$B$6</f>
        <v/>
      </c>
      <c r="L21" s="16" t="n">
        <v>-2102561.2425</v>
      </c>
      <c r="N21" s="16">
        <f>L21*$B$12*$B$13</f>
        <v/>
      </c>
      <c r="P21" s="16">
        <f>N21/(1+$B$5/100)^K21</f>
        <v/>
      </c>
    </row>
    <row r="22">
      <c r="A22" s="7" t="inlineStr">
        <is>
          <t>Maintenance 4</t>
        </is>
      </c>
      <c r="B22" s="7" t="n">
        <v>16</v>
      </c>
      <c r="C22" s="16" t="n">
        <v>561004.48</v>
      </c>
      <c r="D22" t="n">
        <v>8</v>
      </c>
      <c r="E22" s="16">
        <f>C22*$B$11</f>
        <v/>
      </c>
      <c r="F22" s="16">
        <f>D22*$B$10*$B$8*$B$9</f>
        <v/>
      </c>
      <c r="G22" s="16">
        <f>IF(B22&gt;$B$6,0,(E22+F22)/(1+$B$5/100)^B22)</f>
        <v/>
      </c>
      <c r="J22" s="13" t="inlineStr">
        <is>
          <t>Net present worth</t>
        </is>
      </c>
      <c r="P22" s="17">
        <f>SUM(P18:P21)</f>
        <v/>
      </c>
    </row>
    <row r="23">
      <c r="A23" s="7" t="inlineStr">
        <is>
          <t>Rehabilitation 1</t>
        </is>
      </c>
      <c r="B23" s="7" t="n">
        <v>20</v>
      </c>
      <c r="C23" s="16" t="n">
        <v>2302557.72</v>
      </c>
      <c r="D23" t="n">
        <v>15</v>
      </c>
      <c r="E23" s="16">
        <f>C23*$B$11</f>
        <v/>
      </c>
      <c r="F23" s="16">
        <f>D23*$B$10*$B$8*$B$9</f>
        <v/>
      </c>
      <c r="G23" s="16">
        <f>IF(B23&gt;$B$6,0,(E23+F23)/(1+$B$5/100)^B23)</f>
        <v/>
      </c>
      <c r="J23" s="5" t="inlineStr">
        <is>
          <t>Salvage basis: 25% of initial construction per TDOT Maintenance Policies; base costs from the 2026-05-21 workbook run</t>
        </is>
      </c>
    </row>
    <row r="24">
      <c r="A24" s="7" t="inlineStr">
        <is>
          <t>Maintenance 5</t>
        </is>
      </c>
      <c r="B24" s="7" t="n">
        <v>24</v>
      </c>
      <c r="C24" s="16" t="n">
        <v>482829.92</v>
      </c>
      <c r="D24" t="n">
        <v>6</v>
      </c>
      <c r="E24" s="16">
        <f>C24*$B$11</f>
        <v/>
      </c>
      <c r="F24" s="16">
        <f>D24*$B$10*$B$8*$B$9</f>
        <v/>
      </c>
      <c r="G24" s="16">
        <f>IF(B24&gt;$B$6,0,(E24+F24)/(1+$B$5/100)^B24)</f>
        <v/>
      </c>
    </row>
    <row r="25">
      <c r="A25" s="7" t="inlineStr">
        <is>
          <t>Maintenance 6</t>
        </is>
      </c>
      <c r="B25" s="7" t="n">
        <v>28</v>
      </c>
      <c r="C25" s="16" t="n">
        <v>577147.05</v>
      </c>
      <c r="D25" t="n">
        <v>8</v>
      </c>
      <c r="E25" s="16">
        <f>C25*$B$11</f>
        <v/>
      </c>
      <c r="F25" s="16">
        <f>D25*$B$10*$B$8*$B$9</f>
        <v/>
      </c>
      <c r="G25" s="16">
        <f>IF(B25&gt;$B$6,0,(E25+F25)/(1+$B$5/100)^B25)</f>
        <v/>
      </c>
    </row>
    <row r="26">
      <c r="A26" s="7" t="inlineStr">
        <is>
          <t>Salvage value (at end of period)</t>
        </is>
      </c>
      <c r="B26">
        <f>$B$6</f>
        <v/>
      </c>
      <c r="C26" s="16" t="n">
        <v>-287819.715</v>
      </c>
      <c r="E26" s="16">
        <f>C26*$B$11*$B$13</f>
        <v/>
      </c>
      <c r="G26" s="16">
        <f>E26/(1+$B$5/100)^B26</f>
        <v/>
      </c>
    </row>
    <row r="27">
      <c r="A27" s="13" t="inlineStr">
        <is>
          <t>Net present worth</t>
        </is>
      </c>
      <c r="G27" s="17">
        <f>SUM(G18:G26)</f>
        <v/>
      </c>
    </row>
    <row r="28">
      <c r="A28" s="5" t="inlineStr">
        <is>
          <t>Salvage basis: 12.5% (2 of 16 years) of the mill-and-overlay per TDOT Maintenance Policies; base costs from the 2026-05-21 workbook run</t>
        </is>
      </c>
    </row>
    <row r="31">
      <c r="A31" s="4" t="inlineStr">
        <is>
          <t>RESULTS</t>
        </is>
      </c>
    </row>
    <row r="32">
      <c r="A32" s="6" t="inlineStr">
        <is>
          <t>Measure</t>
        </is>
      </c>
      <c r="B32" s="6" t="inlineStr">
        <is>
          <t>HMA</t>
        </is>
      </c>
      <c r="C32" s="6" t="inlineStr">
        <is>
          <t>PCC</t>
        </is>
      </c>
      <c r="D32" s="6" t="inlineStr">
        <is>
          <t>PCC - HMA</t>
        </is>
      </c>
    </row>
    <row r="33">
      <c r="A33" s="18" t="inlineStr">
        <is>
          <t>Initial construction (scenario)</t>
        </is>
      </c>
      <c r="B33" s="19">
        <f>E18</f>
        <v/>
      </c>
      <c r="C33" s="19">
        <f>N18</f>
        <v/>
      </c>
      <c r="D33" s="19">
        <f>C33-B33</f>
        <v/>
      </c>
    </row>
    <row r="34">
      <c r="A34" s="18" t="inlineStr">
        <is>
          <t>Maintenance PW</t>
        </is>
      </c>
      <c r="B34" s="19">
        <f>SUMPRODUCT((B19:B25&lt;=$B$6)*ISNUMBER(SEARCH("Maintenance",A19:A25))*E19:E25/(1+$B$5/100)^B19:B25)</f>
        <v/>
      </c>
      <c r="C34" s="19">
        <f>SUMPRODUCT((K19:K20&lt;=$B$6)*ISNUMBER(SEARCH("Maintenance",J19:J20))*N19:N20/(1+$B$5/100)^K19:K20)</f>
        <v/>
      </c>
      <c r="D34" s="19">
        <f>C34-B34</f>
        <v/>
      </c>
    </row>
    <row r="35">
      <c r="A35" s="18" t="inlineStr">
        <is>
          <t>Rehabilitation PW</t>
        </is>
      </c>
      <c r="B35" s="19">
        <f>SUMPRODUCT((B19:B25&lt;=$B$6)*ISNUMBER(SEARCH("Rehabilitation",A19:A25))*E19:E25/(1+$B$5/100)^B19:B25)</f>
        <v/>
      </c>
      <c r="C35" s="19">
        <f>SUMPRODUCT((K19:K20&lt;=$B$6)*ISNUMBER(SEARCH("Rehabilitation",J19:J20))*N19:N20/(1+$B$5/100)^K19:K20)</f>
        <v/>
      </c>
      <c r="D35" s="19">
        <f>C35-B35</f>
        <v/>
      </c>
    </row>
    <row r="36">
      <c r="A36" s="18" t="inlineStr">
        <is>
          <t>Lost revenue PW</t>
        </is>
      </c>
      <c r="B36" s="19">
        <f>SUMPRODUCT((B18:B25&lt;=$B$6)*F18:F25/(1+$B$5/100)^B18:B25)</f>
        <v/>
      </c>
      <c r="C36" s="19">
        <f>SUMPRODUCT((K18:K20&lt;=$B$6)*O18:O20/(1+$B$5/100)^K18:K20)</f>
        <v/>
      </c>
      <c r="D36" s="19">
        <f>C36-B36</f>
        <v/>
      </c>
    </row>
    <row r="37">
      <c r="A37" s="18" t="inlineStr">
        <is>
          <t>Salvage PW</t>
        </is>
      </c>
      <c r="B37" s="19">
        <f>G26</f>
        <v/>
      </c>
      <c r="C37" s="19">
        <f>P21</f>
        <v/>
      </c>
      <c r="D37" s="19">
        <f>C37-B37</f>
        <v/>
      </c>
    </row>
    <row r="38">
      <c r="A38" s="18" t="inlineStr">
        <is>
          <t>Net present worth</t>
        </is>
      </c>
      <c r="B38" s="19">
        <f>G27</f>
        <v/>
      </c>
      <c r="C38" s="19">
        <f>P22</f>
        <v/>
      </c>
      <c r="D38" s="19">
        <f>C38-B38</f>
        <v/>
      </c>
    </row>
    <row r="39">
      <c r="A39" s="18" t="inlineStr">
        <is>
          <t>Equivalent uniform annual cost</t>
        </is>
      </c>
      <c r="B39" s="19">
        <f>G27*($B$5/100)*(1+$B$5/100)^$B$6/((1+$B$5/100)^$B$6-1)</f>
        <v/>
      </c>
      <c r="C39" s="19">
        <f>P22*($B$5/100)*(1+$B$5/100)^$B$6/((1+$B$5/100)^$B$6-1)</f>
        <v/>
      </c>
      <c r="D39" s="19">
        <f>C39-B39</f>
        <v/>
      </c>
    </row>
    <row r="40">
      <c r="A40" s="18" t="inlineStr">
        <is>
          <t>NPW per SY of mainline</t>
        </is>
      </c>
      <c r="B40" s="20">
        <f>G27/$B$14</f>
        <v/>
      </c>
      <c r="C40" s="20">
        <f>P22/$B$14</f>
        <v/>
      </c>
      <c r="D40" s="20">
        <f>C40-B40</f>
        <v/>
      </c>
    </row>
    <row r="41">
      <c r="A41" s="18" t="inlineStr">
        <is>
          <t>Closure days in period</t>
        </is>
      </c>
      <c r="B41" s="21">
        <f>SUMPRODUCT((B18:B25&lt;=$B$6)*D18:D25)*$B$10</f>
        <v/>
      </c>
      <c r="C41" s="21">
        <f>SUMPRODUCT((K18:K20&lt;=$B$6)*M18:M20)*$B$10</f>
        <v/>
      </c>
      <c r="D41" s="21">
        <f>C41-B41</f>
        <v/>
      </c>
    </row>
    <row r="42">
      <c r="A42" s="18" t="inlineStr">
        <is>
          <t>Runway availability over period</t>
        </is>
      </c>
      <c r="B42" s="22">
        <f>1-(SUMPRODUCT((B18:B25&lt;=$B$6)*D18:D25)*$B$10)/($B$6*365)</f>
        <v/>
      </c>
      <c r="C42" s="22">
        <f>1-(SUMPRODUCT((K18:K20&lt;=$B$6)*M18:M20)*$B$10)/($B$6*365)</f>
        <v/>
      </c>
      <c r="D42" s="22">
        <f>C42-B42</f>
        <v/>
      </c>
    </row>
    <row r="43">
      <c r="A43" s="18" t="inlineStr">
        <is>
          <t>Lost revenue, undiscounted</t>
        </is>
      </c>
      <c r="B43" s="19">
        <f>SUMPRODUCT((B18:B25&lt;=$B$6)*F18:F25)</f>
        <v/>
      </c>
      <c r="C43" s="19">
        <f>SUMPRODUCT((K18:K20&lt;=$B$6)*O18:O20)</f>
        <v/>
      </c>
      <c r="D43" s="19">
        <f>C43-B43</f>
        <v/>
      </c>
    </row>
    <row r="44">
      <c r="A44" s="13" t="inlineStr">
        <is>
          <t>Lower-cost alternative</t>
        </is>
      </c>
      <c r="B44" s="13">
        <f>IF(C38&lt;B38,"PCC","HMA")</f>
        <v/>
      </c>
      <c r="C44" s="16">
        <f>ABS(D38)</f>
        <v/>
      </c>
      <c r="D44" s="23">
        <f>ABS(D38)/MAX(B38,C38)</f>
        <v/>
      </c>
      <c r="E44" s="5">
        <f>IF(D44&lt;0.1,"Margin inside estimating noise (&lt;10%): treat as a tie on cost; decide on closures and constructability","Margin outside estimating noise")</f>
        <v/>
      </c>
    </row>
    <row r="45">
      <c r="A45" s="13" t="inlineStr">
        <is>
          <t>Same winner at 7% (FAA AIP)?</t>
        </is>
      </c>
      <c r="B45">
        <f>IF((SUMPRODUCT((K18:K20&lt;=$B$6)*(L18:L20*$B$12+M18:M20*$B$10*$B$8*$B$9)/(1+7/100)^K18:K20)+L21*$B$12*$B$13/(1+7/100)^$B$6)&lt;(SUMPRODUCT((B18:B25&lt;=$B$6)*(C18:C25*$B$11+D18:D25*$B$10*$B$8*$B$9)/(1+7/100)^B18:B25)+C26*$B$11*$B$13/(1+7/100)^$B$6),"PCC","HMA")</f>
        <v/>
      </c>
      <c r="C45" s="13">
        <f>IF(B45=B44,"Yes","No - decision depends on the discount rate")</f>
        <v/>
      </c>
    </row>
    <row r="48">
      <c r="A48" s="4" t="inlineStr">
        <is>
          <t>BREAK-EVEN VALUES (where PCC and HMA present worth are equal)</t>
        </is>
      </c>
    </row>
    <row r="49">
      <c r="A49" s="6" t="inlineStr">
        <is>
          <t>Input</t>
        </is>
      </c>
      <c r="B49" s="6" t="inlineStr">
        <is>
          <t>Break-even value</t>
        </is>
      </c>
      <c r="C49" s="6" t="inlineStr">
        <is>
          <t>Current value</t>
        </is>
      </c>
      <c r="D49" s="6" t="inlineStr">
        <is>
          <t>Reading</t>
        </is>
      </c>
    </row>
    <row r="50">
      <c r="A50" s="18" t="inlineStr">
        <is>
          <t>Airport daily revenue ($/day)</t>
        </is>
      </c>
      <c r="B50" s="24">
        <f>IFERROR(IF(-(((SUMPRODUCT((K18:K20&lt;=$B$6)*N18:N20/(1+$B$5/100)^K18:K20)+P21))-((SUMPRODUCT((B18:B25&lt;=$B$6)*E18:E25/(1+$B$5/100)^B18:B25)+G26)))/((SUMPRODUCT((K18:K20&lt;=$B$6)*M18:M20*$B$10*$B$9/(1+$B$5/100)^K18:K20))-(SUMPRODUCT((B18:B25&lt;=$B$6)*D18:D25*$B$10*$B$9/(1+$B$5/100)^B18:B25)))&lt;=0,"none (no positive value ties them)",-(((SUMPRODUCT((K18:K20&lt;=$B$6)*N18:N20/(1+$B$5/100)^K18:K20)+P21))-((SUMPRODUCT((B18:B25&lt;=$B$6)*E18:E25/(1+$B$5/100)^B18:B25)+G26)))/((SUMPRODUCT((K18:K20&lt;=$B$6)*M18:M20*$B$10*$B$9/(1+$B$5/100)^K18:K20))-(SUMPRODUCT((B18:B25&lt;=$B$6)*D18:D25*$B$10*$B$9/(1+$B$5/100)^B18:B25)))),"n/a")</f>
        <v/>
      </c>
      <c r="C50" s="24">
        <f>$B$8</f>
        <v/>
      </c>
      <c r="D50" s="5" t="inlineStr">
        <is>
          <t>Daily revenue at which lost-revenue exposure alone flips the decision</t>
        </is>
      </c>
    </row>
    <row r="51">
      <c r="A51" s="18" t="inlineStr">
        <is>
          <t>PCC cost multiplier</t>
        </is>
      </c>
      <c r="B51" s="25">
        <f>IFERROR((G27-SUMPRODUCT((K18:K20&lt;=$B$6)*O18:O20/(1+$B$5/100)^K18:K20))/(((SUMPRODUCT((K18:K20&lt;=$B$6)*N18:N20/(1+$B$5/100)^K18:K20)+P21))/$B$12),"n/a")</f>
        <v/>
      </c>
      <c r="C51" s="25">
        <f>$B$12</f>
        <v/>
      </c>
      <c r="D51" s="5" t="inlineStr">
        <is>
          <t>PCC bid level (x base estimate) at which the two tie</t>
        </is>
      </c>
    </row>
    <row r="52">
      <c r="A52" s="18" t="inlineStr">
        <is>
          <t>HMA cost multiplier</t>
        </is>
      </c>
      <c r="B52" s="25">
        <f>IFERROR((P22-SUMPRODUCT((B18:B25&lt;=$B$6)*F18:F25/(1+$B$5/100)^B18:B25))/(((SUMPRODUCT((B18:B25&lt;=$B$6)*E18:E25/(1+$B$5/100)^B18:B25)+G26))/$B$11),"n/a")</f>
        <v/>
      </c>
      <c r="C52" s="25">
        <f>$B$11</f>
        <v/>
      </c>
      <c r="D52" s="5" t="inlineStr">
        <is>
          <t>HMA bid level (x base estimate) at which the two tie</t>
        </is>
      </c>
    </row>
    <row r="53">
      <c r="A53" s="18" t="inlineStr">
        <is>
          <t>PCC salvage credit (% of initial)</t>
        </is>
      </c>
      <c r="B53" s="26">
        <f>IFERROR((P22-P21-G27)/(N18/(1+$B$5/100)^$B$6),"n/a")</f>
        <v/>
      </c>
      <c r="C53" s="26">
        <f>-L21*$B$13/L18</f>
        <v/>
      </c>
      <c r="D53" s="5" t="inlineStr">
        <is>
          <t>Salvage fraction PCC needs to tie; compare with the 25% policy</t>
        </is>
      </c>
    </row>
    <row r="54">
      <c r="A54" s="7" t="inlineStr">
        <is>
          <t>Discount rate (%)</t>
        </is>
      </c>
      <c r="B54" s="27">
        <f>IFERROR(INDEX($A$59:$A$83,MATCH(TRUE,INDEX($E$59:$E$83&lt;&gt;$E$59,0),0)),"none in 2-8%")</f>
        <v/>
      </c>
      <c r="C54" s="27">
        <f>$B$5</f>
        <v/>
      </c>
      <c r="D54" s="5" t="inlineStr">
        <is>
          <t>First rate in the 2-8% sweep where the winner changes (from the sensitivity table)</t>
        </is>
      </c>
    </row>
    <row r="57">
      <c r="A57" s="4" t="inlineStr">
        <is>
          <t>DISCOUNT-RATE SENSITIVITY</t>
        </is>
      </c>
    </row>
    <row r="58">
      <c r="A58" s="6" t="inlineStr">
        <is>
          <t>Rate (%)</t>
        </is>
      </c>
      <c r="B58" s="6" t="inlineStr">
        <is>
          <t>NPW HMA</t>
        </is>
      </c>
      <c r="C58" s="6" t="inlineStr">
        <is>
          <t>NPW PCC</t>
        </is>
      </c>
      <c r="D58" s="6" t="inlineStr">
        <is>
          <t>PCC - HMA</t>
        </is>
      </c>
      <c r="E58" s="6" t="inlineStr">
        <is>
          <t>Winner</t>
        </is>
      </c>
    </row>
    <row r="59">
      <c r="A59" s="27" t="n">
        <v>2</v>
      </c>
      <c r="B59" s="16">
        <f>SUMPRODUCT((B18:B25&lt;=$B$6)*(C18:C25*$B$11+D18:D25*$B$10*$B$8*$B$9)/(1+$A59/100)^B18:B25)+C26*$B$11*$B$13/(1+$A59/100)^$B$6</f>
        <v/>
      </c>
      <c r="C59" s="16">
        <f>SUMPRODUCT((K18:K20&lt;=$B$6)*(L18:L20*$B$12+M18:M20*$B$10*$B$8*$B$9)/(1+$A59/100)^K18:K20)+L21*$B$12*$B$13/(1+$A59/100)^$B$6</f>
        <v/>
      </c>
      <c r="D59" s="16">
        <f>C59-B59</f>
        <v/>
      </c>
      <c r="E59">
        <f>IF(D59&lt;0,"PCC","HMA")</f>
        <v/>
      </c>
    </row>
    <row r="60">
      <c r="A60" s="27" t="n">
        <v>2.25</v>
      </c>
      <c r="B60" s="16">
        <f>SUMPRODUCT((B18:B25&lt;=$B$6)*(C18:C25*$B$11+D18:D25*$B$10*$B$8*$B$9)/(1+$A60/100)^B18:B25)+C26*$B$11*$B$13/(1+$A60/100)^$B$6</f>
        <v/>
      </c>
      <c r="C60" s="16">
        <f>SUMPRODUCT((K18:K20&lt;=$B$6)*(L18:L20*$B$12+M18:M20*$B$10*$B$8*$B$9)/(1+$A60/100)^K18:K20)+L21*$B$12*$B$13/(1+$A60/100)^$B$6</f>
        <v/>
      </c>
      <c r="D60" s="16">
        <f>C60-B60</f>
        <v/>
      </c>
      <c r="E60">
        <f>IF(D60&lt;0,"PCC","HMA")</f>
        <v/>
      </c>
    </row>
    <row r="61">
      <c r="A61" s="27" t="n">
        <v>2.5</v>
      </c>
      <c r="B61" s="16">
        <f>SUMPRODUCT((B18:B25&lt;=$B$6)*(C18:C25*$B$11+D18:D25*$B$10*$B$8*$B$9)/(1+$A61/100)^B18:B25)+C26*$B$11*$B$13/(1+$A61/100)^$B$6</f>
        <v/>
      </c>
      <c r="C61" s="16">
        <f>SUMPRODUCT((K18:K20&lt;=$B$6)*(L18:L20*$B$12+M18:M20*$B$10*$B$8*$B$9)/(1+$A61/100)^K18:K20)+L21*$B$12*$B$13/(1+$A61/100)^$B$6</f>
        <v/>
      </c>
      <c r="D61" s="16">
        <f>C61-B61</f>
        <v/>
      </c>
      <c r="E61">
        <f>IF(D61&lt;0,"PCC","HMA")</f>
        <v/>
      </c>
    </row>
    <row r="62">
      <c r="A62" s="27" t="n">
        <v>2.75</v>
      </c>
      <c r="B62" s="16">
        <f>SUMPRODUCT((B18:B25&lt;=$B$6)*(C18:C25*$B$11+D18:D25*$B$10*$B$8*$B$9)/(1+$A62/100)^B18:B25)+C26*$B$11*$B$13/(1+$A62/100)^$B$6</f>
        <v/>
      </c>
      <c r="C62" s="16">
        <f>SUMPRODUCT((K18:K20&lt;=$B$6)*(L18:L20*$B$12+M18:M20*$B$10*$B$8*$B$9)/(1+$A62/100)^K18:K20)+L21*$B$12*$B$13/(1+$A62/100)^$B$6</f>
        <v/>
      </c>
      <c r="D62" s="16">
        <f>C62-B62</f>
        <v/>
      </c>
      <c r="E62">
        <f>IF(D62&lt;0,"PCC","HMA")</f>
        <v/>
      </c>
    </row>
    <row r="63">
      <c r="A63" s="27" t="n">
        <v>3</v>
      </c>
      <c r="B63" s="16">
        <f>SUMPRODUCT((B18:B25&lt;=$B$6)*(C18:C25*$B$11+D18:D25*$B$10*$B$8*$B$9)/(1+$A63/100)^B18:B25)+C26*$B$11*$B$13/(1+$A63/100)^$B$6</f>
        <v/>
      </c>
      <c r="C63" s="16">
        <f>SUMPRODUCT((K18:K20&lt;=$B$6)*(L18:L20*$B$12+M18:M20*$B$10*$B$8*$B$9)/(1+$A63/100)^K18:K20)+L21*$B$12*$B$13/(1+$A63/100)^$B$6</f>
        <v/>
      </c>
      <c r="D63" s="16">
        <f>C63-B63</f>
        <v/>
      </c>
      <c r="E63">
        <f>IF(D63&lt;0,"PCC","HMA")</f>
        <v/>
      </c>
    </row>
    <row r="64">
      <c r="A64" s="27" t="n">
        <v>3.25</v>
      </c>
      <c r="B64" s="16">
        <f>SUMPRODUCT((B18:B25&lt;=$B$6)*(C18:C25*$B$11+D18:D25*$B$10*$B$8*$B$9)/(1+$A64/100)^B18:B25)+C26*$B$11*$B$13/(1+$A64/100)^$B$6</f>
        <v/>
      </c>
      <c r="C64" s="16">
        <f>SUMPRODUCT((K18:K20&lt;=$B$6)*(L18:L20*$B$12+M18:M20*$B$10*$B$8*$B$9)/(1+$A64/100)^K18:K20)+L21*$B$12*$B$13/(1+$A64/100)^$B$6</f>
        <v/>
      </c>
      <c r="D64" s="16">
        <f>C64-B64</f>
        <v/>
      </c>
      <c r="E64">
        <f>IF(D64&lt;0,"PCC","HMA")</f>
        <v/>
      </c>
    </row>
    <row r="65">
      <c r="A65" s="27" t="n">
        <v>3.5</v>
      </c>
      <c r="B65" s="16">
        <f>SUMPRODUCT((B18:B25&lt;=$B$6)*(C18:C25*$B$11+D18:D25*$B$10*$B$8*$B$9)/(1+$A65/100)^B18:B25)+C26*$B$11*$B$13/(1+$A65/100)^$B$6</f>
        <v/>
      </c>
      <c r="C65" s="16">
        <f>SUMPRODUCT((K18:K20&lt;=$B$6)*(L18:L20*$B$12+M18:M20*$B$10*$B$8*$B$9)/(1+$A65/100)^K18:K20)+L21*$B$12*$B$13/(1+$A65/100)^$B$6</f>
        <v/>
      </c>
      <c r="D65" s="16">
        <f>C65-B65</f>
        <v/>
      </c>
      <c r="E65">
        <f>IF(D65&lt;0,"PCC","HMA")</f>
        <v/>
      </c>
    </row>
    <row r="66">
      <c r="A66" s="27" t="n">
        <v>3.75</v>
      </c>
      <c r="B66" s="16">
        <f>SUMPRODUCT((B18:B25&lt;=$B$6)*(C18:C25*$B$11+D18:D25*$B$10*$B$8*$B$9)/(1+$A66/100)^B18:B25)+C26*$B$11*$B$13/(1+$A66/100)^$B$6</f>
        <v/>
      </c>
      <c r="C66" s="16">
        <f>SUMPRODUCT((K18:K20&lt;=$B$6)*(L18:L20*$B$12+M18:M20*$B$10*$B$8*$B$9)/(1+$A66/100)^K18:K20)+L21*$B$12*$B$13/(1+$A66/100)^$B$6</f>
        <v/>
      </c>
      <c r="D66" s="16">
        <f>C66-B66</f>
        <v/>
      </c>
      <c r="E66">
        <f>IF(D66&lt;0,"PCC","HMA")</f>
        <v/>
      </c>
    </row>
    <row r="67">
      <c r="A67" s="27" t="n">
        <v>4</v>
      </c>
      <c r="B67" s="16">
        <f>SUMPRODUCT((B18:B25&lt;=$B$6)*(C18:C25*$B$11+D18:D25*$B$10*$B$8*$B$9)/(1+$A67/100)^B18:B25)+C26*$B$11*$B$13/(1+$A67/100)^$B$6</f>
        <v/>
      </c>
      <c r="C67" s="16">
        <f>SUMPRODUCT((K18:K20&lt;=$B$6)*(L18:L20*$B$12+M18:M20*$B$10*$B$8*$B$9)/(1+$A67/100)^K18:K20)+L21*$B$12*$B$13/(1+$A67/100)^$B$6</f>
        <v/>
      </c>
      <c r="D67" s="16">
        <f>C67-B67</f>
        <v/>
      </c>
      <c r="E67">
        <f>IF(D67&lt;0,"PCC","HMA")</f>
        <v/>
      </c>
    </row>
    <row r="68">
      <c r="A68" s="27" t="n">
        <v>4.25</v>
      </c>
      <c r="B68" s="16">
        <f>SUMPRODUCT((B18:B25&lt;=$B$6)*(C18:C25*$B$11+D18:D25*$B$10*$B$8*$B$9)/(1+$A68/100)^B18:B25)+C26*$B$11*$B$13/(1+$A68/100)^$B$6</f>
        <v/>
      </c>
      <c r="C68" s="16">
        <f>SUMPRODUCT((K18:K20&lt;=$B$6)*(L18:L20*$B$12+M18:M20*$B$10*$B$8*$B$9)/(1+$A68/100)^K18:K20)+L21*$B$12*$B$13/(1+$A68/100)^$B$6</f>
        <v/>
      </c>
      <c r="D68" s="16">
        <f>C68-B68</f>
        <v/>
      </c>
      <c r="E68">
        <f>IF(D68&lt;0,"PCC","HMA")</f>
        <v/>
      </c>
    </row>
    <row r="69">
      <c r="A69" s="27" t="n">
        <v>4.5</v>
      </c>
      <c r="B69" s="16">
        <f>SUMPRODUCT((B18:B25&lt;=$B$6)*(C18:C25*$B$11+D18:D25*$B$10*$B$8*$B$9)/(1+$A69/100)^B18:B25)+C26*$B$11*$B$13/(1+$A69/100)^$B$6</f>
        <v/>
      </c>
      <c r="C69" s="16">
        <f>SUMPRODUCT((K18:K20&lt;=$B$6)*(L18:L20*$B$12+M18:M20*$B$10*$B$8*$B$9)/(1+$A69/100)^K18:K20)+L21*$B$12*$B$13/(1+$A69/100)^$B$6</f>
        <v/>
      </c>
      <c r="D69" s="16">
        <f>C69-B69</f>
        <v/>
      </c>
      <c r="E69">
        <f>IF(D69&lt;0,"PCC","HMA")</f>
        <v/>
      </c>
    </row>
    <row r="70">
      <c r="A70" s="27" t="n">
        <v>4.75</v>
      </c>
      <c r="B70" s="16">
        <f>SUMPRODUCT((B18:B25&lt;=$B$6)*(C18:C25*$B$11+D18:D25*$B$10*$B$8*$B$9)/(1+$A70/100)^B18:B25)+C26*$B$11*$B$13/(1+$A70/100)^$B$6</f>
        <v/>
      </c>
      <c r="C70" s="16">
        <f>SUMPRODUCT((K18:K20&lt;=$B$6)*(L18:L20*$B$12+M18:M20*$B$10*$B$8*$B$9)/(1+$A70/100)^K18:K20)+L21*$B$12*$B$13/(1+$A70/100)^$B$6</f>
        <v/>
      </c>
      <c r="D70" s="16">
        <f>C70-B70</f>
        <v/>
      </c>
      <c r="E70">
        <f>IF(D70&lt;0,"PCC","HMA")</f>
        <v/>
      </c>
    </row>
    <row r="71">
      <c r="A71" s="27" t="n">
        <v>5</v>
      </c>
      <c r="B71" s="16">
        <f>SUMPRODUCT((B18:B25&lt;=$B$6)*(C18:C25*$B$11+D18:D25*$B$10*$B$8*$B$9)/(1+$A71/100)^B18:B25)+C26*$B$11*$B$13/(1+$A71/100)^$B$6</f>
        <v/>
      </c>
      <c r="C71" s="16">
        <f>SUMPRODUCT((K18:K20&lt;=$B$6)*(L18:L20*$B$12+M18:M20*$B$10*$B$8*$B$9)/(1+$A71/100)^K18:K20)+L21*$B$12*$B$13/(1+$A71/100)^$B$6</f>
        <v/>
      </c>
      <c r="D71" s="16">
        <f>C71-B71</f>
        <v/>
      </c>
      <c r="E71">
        <f>IF(D71&lt;0,"PCC","HMA")</f>
        <v/>
      </c>
    </row>
    <row r="72">
      <c r="A72" s="27" t="n">
        <v>5.25</v>
      </c>
      <c r="B72" s="16">
        <f>SUMPRODUCT((B18:B25&lt;=$B$6)*(C18:C25*$B$11+D18:D25*$B$10*$B$8*$B$9)/(1+$A72/100)^B18:B25)+C26*$B$11*$B$13/(1+$A72/100)^$B$6</f>
        <v/>
      </c>
      <c r="C72" s="16">
        <f>SUMPRODUCT((K18:K20&lt;=$B$6)*(L18:L20*$B$12+M18:M20*$B$10*$B$8*$B$9)/(1+$A72/100)^K18:K20)+L21*$B$12*$B$13/(1+$A72/100)^$B$6</f>
        <v/>
      </c>
      <c r="D72" s="16">
        <f>C72-B72</f>
        <v/>
      </c>
      <c r="E72">
        <f>IF(D72&lt;0,"PCC","HMA")</f>
        <v/>
      </c>
    </row>
    <row r="73">
      <c r="A73" s="27" t="n">
        <v>5.5</v>
      </c>
      <c r="B73" s="16">
        <f>SUMPRODUCT((B18:B25&lt;=$B$6)*(C18:C25*$B$11+D18:D25*$B$10*$B$8*$B$9)/(1+$A73/100)^B18:B25)+C26*$B$11*$B$13/(1+$A73/100)^$B$6</f>
        <v/>
      </c>
      <c r="C73" s="16">
        <f>SUMPRODUCT((K18:K20&lt;=$B$6)*(L18:L20*$B$12+M18:M20*$B$10*$B$8*$B$9)/(1+$A73/100)^K18:K20)+L21*$B$12*$B$13/(1+$A73/100)^$B$6</f>
        <v/>
      </c>
      <c r="D73" s="16">
        <f>C73-B73</f>
        <v/>
      </c>
      <c r="E73">
        <f>IF(D73&lt;0,"PCC","HMA")</f>
        <v/>
      </c>
    </row>
    <row r="74">
      <c r="A74" s="27" t="n">
        <v>5.75</v>
      </c>
      <c r="B74" s="16">
        <f>SUMPRODUCT((B18:B25&lt;=$B$6)*(C18:C25*$B$11+D18:D25*$B$10*$B$8*$B$9)/(1+$A74/100)^B18:B25)+C26*$B$11*$B$13/(1+$A74/100)^$B$6</f>
        <v/>
      </c>
      <c r="C74" s="16">
        <f>SUMPRODUCT((K18:K20&lt;=$B$6)*(L18:L20*$B$12+M18:M20*$B$10*$B$8*$B$9)/(1+$A74/100)^K18:K20)+L21*$B$12*$B$13/(1+$A74/100)^$B$6</f>
        <v/>
      </c>
      <c r="D74" s="16">
        <f>C74-B74</f>
        <v/>
      </c>
      <c r="E74">
        <f>IF(D74&lt;0,"PCC","HMA")</f>
        <v/>
      </c>
    </row>
    <row r="75">
      <c r="A75" s="27" t="n">
        <v>6</v>
      </c>
      <c r="B75" s="16">
        <f>SUMPRODUCT((B18:B25&lt;=$B$6)*(C18:C25*$B$11+D18:D25*$B$10*$B$8*$B$9)/(1+$A75/100)^B18:B25)+C26*$B$11*$B$13/(1+$A75/100)^$B$6</f>
        <v/>
      </c>
      <c r="C75" s="16">
        <f>SUMPRODUCT((K18:K20&lt;=$B$6)*(L18:L20*$B$12+M18:M20*$B$10*$B$8*$B$9)/(1+$A75/100)^K18:K20)+L21*$B$12*$B$13/(1+$A75/100)^$B$6</f>
        <v/>
      </c>
      <c r="D75" s="16">
        <f>C75-B75</f>
        <v/>
      </c>
      <c r="E75">
        <f>IF(D75&lt;0,"PCC","HMA")</f>
        <v/>
      </c>
    </row>
    <row r="76">
      <c r="A76" s="27" t="n">
        <v>6.25</v>
      </c>
      <c r="B76" s="16">
        <f>SUMPRODUCT((B18:B25&lt;=$B$6)*(C18:C25*$B$11+D18:D25*$B$10*$B$8*$B$9)/(1+$A76/100)^B18:B25)+C26*$B$11*$B$13/(1+$A76/100)^$B$6</f>
        <v/>
      </c>
      <c r="C76" s="16">
        <f>SUMPRODUCT((K18:K20&lt;=$B$6)*(L18:L20*$B$12+M18:M20*$B$10*$B$8*$B$9)/(1+$A76/100)^K18:K20)+L21*$B$12*$B$13/(1+$A76/100)^$B$6</f>
        <v/>
      </c>
      <c r="D76" s="16">
        <f>C76-B76</f>
        <v/>
      </c>
      <c r="E76">
        <f>IF(D76&lt;0,"PCC","HMA")</f>
        <v/>
      </c>
    </row>
    <row r="77">
      <c r="A77" s="27" t="n">
        <v>6.5</v>
      </c>
      <c r="B77" s="16">
        <f>SUMPRODUCT((B18:B25&lt;=$B$6)*(C18:C25*$B$11+D18:D25*$B$10*$B$8*$B$9)/(1+$A77/100)^B18:B25)+C26*$B$11*$B$13/(1+$A77/100)^$B$6</f>
        <v/>
      </c>
      <c r="C77" s="16">
        <f>SUMPRODUCT((K18:K20&lt;=$B$6)*(L18:L20*$B$12+M18:M20*$B$10*$B$8*$B$9)/(1+$A77/100)^K18:K20)+L21*$B$12*$B$13/(1+$A77/100)^$B$6</f>
        <v/>
      </c>
      <c r="D77" s="16">
        <f>C77-B77</f>
        <v/>
      </c>
      <c r="E77">
        <f>IF(D77&lt;0,"PCC","HMA")</f>
        <v/>
      </c>
    </row>
    <row r="78">
      <c r="A78" s="27" t="n">
        <v>6.75</v>
      </c>
      <c r="B78" s="16">
        <f>SUMPRODUCT((B18:B25&lt;=$B$6)*(C18:C25*$B$11+D18:D25*$B$10*$B$8*$B$9)/(1+$A78/100)^B18:B25)+C26*$B$11*$B$13/(1+$A78/100)^$B$6</f>
        <v/>
      </c>
      <c r="C78" s="16">
        <f>SUMPRODUCT((K18:K20&lt;=$B$6)*(L18:L20*$B$12+M18:M20*$B$10*$B$8*$B$9)/(1+$A78/100)^K18:K20)+L21*$B$12*$B$13/(1+$A78/100)^$B$6</f>
        <v/>
      </c>
      <c r="D78" s="16">
        <f>C78-B78</f>
        <v/>
      </c>
      <c r="E78">
        <f>IF(D78&lt;0,"PCC","HMA")</f>
        <v/>
      </c>
    </row>
    <row r="79">
      <c r="A79" s="27" t="n">
        <v>7</v>
      </c>
      <c r="B79" s="16">
        <f>SUMPRODUCT((B18:B25&lt;=$B$6)*(C18:C25*$B$11+D18:D25*$B$10*$B$8*$B$9)/(1+$A79/100)^B18:B25)+C26*$B$11*$B$13/(1+$A79/100)^$B$6</f>
        <v/>
      </c>
      <c r="C79" s="16">
        <f>SUMPRODUCT((K18:K20&lt;=$B$6)*(L18:L20*$B$12+M18:M20*$B$10*$B$8*$B$9)/(1+$A79/100)^K18:K20)+L21*$B$12*$B$13/(1+$A79/100)^$B$6</f>
        <v/>
      </c>
      <c r="D79" s="16">
        <f>C79-B79</f>
        <v/>
      </c>
      <c r="E79">
        <f>IF(D79&lt;0,"PCC","HMA")</f>
        <v/>
      </c>
    </row>
    <row r="80">
      <c r="A80" s="27" t="n">
        <v>7.25</v>
      </c>
      <c r="B80" s="16">
        <f>SUMPRODUCT((B18:B25&lt;=$B$6)*(C18:C25*$B$11+D18:D25*$B$10*$B$8*$B$9)/(1+$A80/100)^B18:B25)+C26*$B$11*$B$13/(1+$A80/100)^$B$6</f>
        <v/>
      </c>
      <c r="C80" s="16">
        <f>SUMPRODUCT((K18:K20&lt;=$B$6)*(L18:L20*$B$12+M18:M20*$B$10*$B$8*$B$9)/(1+$A80/100)^K18:K20)+L21*$B$12*$B$13/(1+$A80/100)^$B$6</f>
        <v/>
      </c>
      <c r="D80" s="16">
        <f>C80-B80</f>
        <v/>
      </c>
      <c r="E80">
        <f>IF(D80&lt;0,"PCC","HMA")</f>
        <v/>
      </c>
    </row>
    <row r="81">
      <c r="A81" s="27" t="n">
        <v>7.5</v>
      </c>
      <c r="B81" s="16">
        <f>SUMPRODUCT((B18:B25&lt;=$B$6)*(C18:C25*$B$11+D18:D25*$B$10*$B$8*$B$9)/(1+$A81/100)^B18:B25)+C26*$B$11*$B$13/(1+$A81/100)^$B$6</f>
        <v/>
      </c>
      <c r="C81" s="16">
        <f>SUMPRODUCT((K18:K20&lt;=$B$6)*(L18:L20*$B$12+M18:M20*$B$10*$B$8*$B$9)/(1+$A81/100)^K18:K20)+L21*$B$12*$B$13/(1+$A81/100)^$B$6</f>
        <v/>
      </c>
      <c r="D81" s="16">
        <f>C81-B81</f>
        <v/>
      </c>
      <c r="E81">
        <f>IF(D81&lt;0,"PCC","HMA")</f>
        <v/>
      </c>
    </row>
    <row r="82">
      <c r="A82" s="27" t="n">
        <v>7.75</v>
      </c>
      <c r="B82" s="16">
        <f>SUMPRODUCT((B18:B25&lt;=$B$6)*(C18:C25*$B$11+D18:D25*$B$10*$B$8*$B$9)/(1+$A82/100)^B18:B25)+C26*$B$11*$B$13/(1+$A82/100)^$B$6</f>
        <v/>
      </c>
      <c r="C82" s="16">
        <f>SUMPRODUCT((K18:K20&lt;=$B$6)*(L18:L20*$B$12+M18:M20*$B$10*$B$8*$B$9)/(1+$A82/100)^K18:K20)+L21*$B$12*$B$13/(1+$A82/100)^$B$6</f>
        <v/>
      </c>
      <c r="D82" s="16">
        <f>C82-B82</f>
        <v/>
      </c>
      <c r="E82">
        <f>IF(D82&lt;0,"PCC","HMA")</f>
        <v/>
      </c>
    </row>
    <row r="83">
      <c r="A83" s="27" t="n">
        <v>8</v>
      </c>
      <c r="B83" s="16">
        <f>SUMPRODUCT((B18:B25&lt;=$B$6)*(C18:C25*$B$11+D18:D25*$B$10*$B$8*$B$9)/(1+$A83/100)^B18:B25)+C26*$B$11*$B$13/(1+$A83/100)^$B$6</f>
        <v/>
      </c>
      <c r="C83" s="16">
        <f>SUMPRODUCT((K18:K20&lt;=$B$6)*(L18:L20*$B$12+M18:M20*$B$10*$B$8*$B$9)/(1+$A83/100)^K18:K20)+L21*$B$12*$B$13/(1+$A83/100)^$B$6</f>
        <v/>
      </c>
      <c r="D83" s="16">
        <f>C83-B83</f>
        <v/>
      </c>
      <c r="E83">
        <f>IF(D83&lt;0,"PCC","HMA")</f>
        <v/>
      </c>
    </row>
    <row r="86">
      <c r="A86" s="4" t="inlineStr">
        <is>
          <t>EXPENDITURE BY CALENDAR YEAR</t>
        </is>
      </c>
    </row>
    <row r="87">
      <c r="A87" s="6" t="inlineStr">
        <is>
          <t>Year</t>
        </is>
      </c>
      <c r="B87" s="6" t="inlineStr">
        <is>
          <t>Calendar year</t>
        </is>
      </c>
      <c r="C87" s="6" t="inlineStr">
        <is>
          <t>HMA direct</t>
        </is>
      </c>
      <c r="D87" s="6" t="inlineStr">
        <is>
          <t>HMA lost revenue</t>
        </is>
      </c>
      <c r="E87" s="6" t="inlineStr">
        <is>
          <t>PCC direct</t>
        </is>
      </c>
      <c r="F87" s="6" t="inlineStr">
        <is>
          <t>PCC lost revenue</t>
        </is>
      </c>
      <c r="G87" s="6" t="inlineStr">
        <is>
          <t>HMA cumulative PW</t>
        </is>
      </c>
      <c r="H87" s="6" t="inlineStr">
        <is>
          <t>PCC cumulative PW</t>
        </is>
      </c>
      <c r="I87" s="6" t="inlineStr">
        <is>
          <t>HMA closure days</t>
        </is>
      </c>
      <c r="J87" s="6" t="inlineStr">
        <is>
          <t>PCC closure days</t>
        </is>
      </c>
      <c r="M87" t="inlineStr">
        <is>
          <t>HMA total</t>
        </is>
      </c>
      <c r="N87" t="inlineStr">
        <is>
          <t>PCC total</t>
        </is>
      </c>
    </row>
    <row r="88">
      <c r="A88" t="n">
        <v>0</v>
      </c>
      <c r="B88">
        <f>$B$7+A88</f>
        <v/>
      </c>
      <c r="C88" s="16">
        <f>IF(A88&gt;$B$6,0,SUMIF(B18:B25,A88,E18:E25)+IF(A88=$B$6,E26,0))</f>
        <v/>
      </c>
      <c r="D88" s="16">
        <f>IF(A88&gt;$B$6,0,SUMIF(B18:B25,A88,F18:F25))</f>
        <v/>
      </c>
      <c r="E88" s="16">
        <f>IF(A88&gt;$B$6,0,SUMIF(K18:K20,A88,N18:N20)+IF(A88=$B$6,N21,0))</f>
        <v/>
      </c>
      <c r="F88" s="16">
        <f>IF(A88&gt;$B$6,0,SUMIF(K18:K20,A88,O18:O20))</f>
        <v/>
      </c>
      <c r="G88" s="16">
        <f>IF(A88&gt;$B$6,0,SUMIF(B18:B25,A88,G18:G25)+IF(A88=$B$6,G26,0))</f>
        <v/>
      </c>
      <c r="H88" s="16">
        <f>IF(A88&gt;$B$6,0,SUMIF(K18:K20,A88,P18:P20)+IF(A88=$B$6,P21,0))</f>
        <v/>
      </c>
      <c r="I88">
        <f>IF(A88&gt;$B$6,0,SUMIF(B18:B25,A88,D18:D25)*$B$10)</f>
        <v/>
      </c>
      <c r="J88">
        <f>IF(A88&gt;$B$6,0,SUMIF(K18:K20,A88,M18:M20)*$B$10)</f>
        <v/>
      </c>
      <c r="M88" s="16">
        <f>C88+D88</f>
        <v/>
      </c>
      <c r="N88" s="16">
        <f>E88+F88</f>
        <v/>
      </c>
    </row>
    <row r="89">
      <c r="A89" t="n">
        <v>1</v>
      </c>
      <c r="B89">
        <f>$B$7+A89</f>
        <v/>
      </c>
      <c r="C89" s="16">
        <f>IF(A89&gt;$B$6,0,SUMIF(B18:B25,A89,E18:E25)+IF(A89=$B$6,E26,0))</f>
        <v/>
      </c>
      <c r="D89" s="16">
        <f>IF(A89&gt;$B$6,0,SUMIF(B18:B25,A89,F18:F25))</f>
        <v/>
      </c>
      <c r="E89" s="16">
        <f>IF(A89&gt;$B$6,0,SUMIF(K18:K20,A89,N18:N20)+IF(A89=$B$6,N21,0))</f>
        <v/>
      </c>
      <c r="F89" s="16">
        <f>IF(A89&gt;$B$6,0,SUMIF(K18:K20,A89,O18:O20))</f>
        <v/>
      </c>
      <c r="G89" s="16">
        <f>G88+IF(A89&gt;$B$6,0,SUMIF(B18:B25,A89,G18:G25)+IF(A89=$B$6,G26,0))</f>
        <v/>
      </c>
      <c r="H89" s="16">
        <f>H88+IF(A89&gt;$B$6,0,SUMIF(K18:K20,A89,P18:P20)+IF(A89=$B$6,P21,0))</f>
        <v/>
      </c>
      <c r="I89">
        <f>IF(A89&gt;$B$6,0,SUMIF(B18:B25,A89,D18:D25)*$B$10)</f>
        <v/>
      </c>
      <c r="J89">
        <f>IF(A89&gt;$B$6,0,SUMIF(K18:K20,A89,M18:M20)*$B$10)</f>
        <v/>
      </c>
      <c r="M89" s="16">
        <f>C89+D89</f>
        <v/>
      </c>
      <c r="N89" s="16">
        <f>E89+F89</f>
        <v/>
      </c>
    </row>
    <row r="90">
      <c r="A90" t="n">
        <v>2</v>
      </c>
      <c r="B90">
        <f>$B$7+A90</f>
        <v/>
      </c>
      <c r="C90" s="16">
        <f>IF(A90&gt;$B$6,0,SUMIF(B18:B25,A90,E18:E25)+IF(A90=$B$6,E26,0))</f>
        <v/>
      </c>
      <c r="D90" s="16">
        <f>IF(A90&gt;$B$6,0,SUMIF(B18:B25,A90,F18:F25))</f>
        <v/>
      </c>
      <c r="E90" s="16">
        <f>IF(A90&gt;$B$6,0,SUMIF(K18:K20,A90,N18:N20)+IF(A90=$B$6,N21,0))</f>
        <v/>
      </c>
      <c r="F90" s="16">
        <f>IF(A90&gt;$B$6,0,SUMIF(K18:K20,A90,O18:O20))</f>
        <v/>
      </c>
      <c r="G90" s="16">
        <f>G89+IF(A90&gt;$B$6,0,SUMIF(B18:B25,A90,G18:G25)+IF(A90=$B$6,G26,0))</f>
        <v/>
      </c>
      <c r="H90" s="16">
        <f>H89+IF(A90&gt;$B$6,0,SUMIF(K18:K20,A90,P18:P20)+IF(A90=$B$6,P21,0))</f>
        <v/>
      </c>
      <c r="I90">
        <f>IF(A90&gt;$B$6,0,SUMIF(B18:B25,A90,D18:D25)*$B$10)</f>
        <v/>
      </c>
      <c r="J90">
        <f>IF(A90&gt;$B$6,0,SUMIF(K18:K20,A90,M18:M20)*$B$10)</f>
        <v/>
      </c>
      <c r="M90" s="16">
        <f>C90+D90</f>
        <v/>
      </c>
      <c r="N90" s="16">
        <f>E90+F90</f>
        <v/>
      </c>
    </row>
    <row r="91">
      <c r="A91" t="n">
        <v>3</v>
      </c>
      <c r="B91">
        <f>$B$7+A91</f>
        <v/>
      </c>
      <c r="C91" s="16">
        <f>IF(A91&gt;$B$6,0,SUMIF(B18:B25,A91,E18:E25)+IF(A91=$B$6,E26,0))</f>
        <v/>
      </c>
      <c r="D91" s="16">
        <f>IF(A91&gt;$B$6,0,SUMIF(B18:B25,A91,F18:F25))</f>
        <v/>
      </c>
      <c r="E91" s="16">
        <f>IF(A91&gt;$B$6,0,SUMIF(K18:K20,A91,N18:N20)+IF(A91=$B$6,N21,0))</f>
        <v/>
      </c>
      <c r="F91" s="16">
        <f>IF(A91&gt;$B$6,0,SUMIF(K18:K20,A91,O18:O20))</f>
        <v/>
      </c>
      <c r="G91" s="16">
        <f>G90+IF(A91&gt;$B$6,0,SUMIF(B18:B25,A91,G18:G25)+IF(A91=$B$6,G26,0))</f>
        <v/>
      </c>
      <c r="H91" s="16">
        <f>H90+IF(A91&gt;$B$6,0,SUMIF(K18:K20,A91,P18:P20)+IF(A91=$B$6,P21,0))</f>
        <v/>
      </c>
      <c r="I91">
        <f>IF(A91&gt;$B$6,0,SUMIF(B18:B25,A91,D18:D25)*$B$10)</f>
        <v/>
      </c>
      <c r="J91">
        <f>IF(A91&gt;$B$6,0,SUMIF(K18:K20,A91,M18:M20)*$B$10)</f>
        <v/>
      </c>
      <c r="M91" s="16">
        <f>C91+D91</f>
        <v/>
      </c>
      <c r="N91" s="16">
        <f>E91+F91</f>
        <v/>
      </c>
    </row>
    <row r="92">
      <c r="A92" t="n">
        <v>4</v>
      </c>
      <c r="B92">
        <f>$B$7+A92</f>
        <v/>
      </c>
      <c r="C92" s="16">
        <f>IF(A92&gt;$B$6,0,SUMIF(B18:B25,A92,E18:E25)+IF(A92=$B$6,E26,0))</f>
        <v/>
      </c>
      <c r="D92" s="16">
        <f>IF(A92&gt;$B$6,0,SUMIF(B18:B25,A92,F18:F25))</f>
        <v/>
      </c>
      <c r="E92" s="16">
        <f>IF(A92&gt;$B$6,0,SUMIF(K18:K20,A92,N18:N20)+IF(A92=$B$6,N21,0))</f>
        <v/>
      </c>
      <c r="F92" s="16">
        <f>IF(A92&gt;$B$6,0,SUMIF(K18:K20,A92,O18:O20))</f>
        <v/>
      </c>
      <c r="G92" s="16">
        <f>G91+IF(A92&gt;$B$6,0,SUMIF(B18:B25,A92,G18:G25)+IF(A92=$B$6,G26,0))</f>
        <v/>
      </c>
      <c r="H92" s="16">
        <f>H91+IF(A92&gt;$B$6,0,SUMIF(K18:K20,A92,P18:P20)+IF(A92=$B$6,P21,0))</f>
        <v/>
      </c>
      <c r="I92">
        <f>IF(A92&gt;$B$6,0,SUMIF(B18:B25,A92,D18:D25)*$B$10)</f>
        <v/>
      </c>
      <c r="J92">
        <f>IF(A92&gt;$B$6,0,SUMIF(K18:K20,A92,M18:M20)*$B$10)</f>
        <v/>
      </c>
      <c r="M92" s="16">
        <f>C92+D92</f>
        <v/>
      </c>
      <c r="N92" s="16">
        <f>E92+F92</f>
        <v/>
      </c>
    </row>
    <row r="93">
      <c r="A93" t="n">
        <v>5</v>
      </c>
      <c r="B93">
        <f>$B$7+A93</f>
        <v/>
      </c>
      <c r="C93" s="16">
        <f>IF(A93&gt;$B$6,0,SUMIF(B18:B25,A93,E18:E25)+IF(A93=$B$6,E26,0))</f>
        <v/>
      </c>
      <c r="D93" s="16">
        <f>IF(A93&gt;$B$6,0,SUMIF(B18:B25,A93,F18:F25))</f>
        <v/>
      </c>
      <c r="E93" s="16">
        <f>IF(A93&gt;$B$6,0,SUMIF(K18:K20,A93,N18:N20)+IF(A93=$B$6,N21,0))</f>
        <v/>
      </c>
      <c r="F93" s="16">
        <f>IF(A93&gt;$B$6,0,SUMIF(K18:K20,A93,O18:O20))</f>
        <v/>
      </c>
      <c r="G93" s="16">
        <f>G92+IF(A93&gt;$B$6,0,SUMIF(B18:B25,A93,G18:G25)+IF(A93=$B$6,G26,0))</f>
        <v/>
      </c>
      <c r="H93" s="16">
        <f>H92+IF(A93&gt;$B$6,0,SUMIF(K18:K20,A93,P18:P20)+IF(A93=$B$6,P21,0))</f>
        <v/>
      </c>
      <c r="I93">
        <f>IF(A93&gt;$B$6,0,SUMIF(B18:B25,A93,D18:D25)*$B$10)</f>
        <v/>
      </c>
      <c r="J93">
        <f>IF(A93&gt;$B$6,0,SUMIF(K18:K20,A93,M18:M20)*$B$10)</f>
        <v/>
      </c>
      <c r="M93" s="16">
        <f>C93+D93</f>
        <v/>
      </c>
      <c r="N93" s="16">
        <f>E93+F93</f>
        <v/>
      </c>
    </row>
    <row r="94">
      <c r="A94" t="n">
        <v>6</v>
      </c>
      <c r="B94">
        <f>$B$7+A94</f>
        <v/>
      </c>
      <c r="C94" s="16">
        <f>IF(A94&gt;$B$6,0,SUMIF(B18:B25,A94,E18:E25)+IF(A94=$B$6,E26,0))</f>
        <v/>
      </c>
      <c r="D94" s="16">
        <f>IF(A94&gt;$B$6,0,SUMIF(B18:B25,A94,F18:F25))</f>
        <v/>
      </c>
      <c r="E94" s="16">
        <f>IF(A94&gt;$B$6,0,SUMIF(K18:K20,A94,N18:N20)+IF(A94=$B$6,N21,0))</f>
        <v/>
      </c>
      <c r="F94" s="16">
        <f>IF(A94&gt;$B$6,0,SUMIF(K18:K20,A94,O18:O20))</f>
        <v/>
      </c>
      <c r="G94" s="16">
        <f>G93+IF(A94&gt;$B$6,0,SUMIF(B18:B25,A94,G18:G25)+IF(A94=$B$6,G26,0))</f>
        <v/>
      </c>
      <c r="H94" s="16">
        <f>H93+IF(A94&gt;$B$6,0,SUMIF(K18:K20,A94,P18:P20)+IF(A94=$B$6,P21,0))</f>
        <v/>
      </c>
      <c r="I94">
        <f>IF(A94&gt;$B$6,0,SUMIF(B18:B25,A94,D18:D25)*$B$10)</f>
        <v/>
      </c>
      <c r="J94">
        <f>IF(A94&gt;$B$6,0,SUMIF(K18:K20,A94,M18:M20)*$B$10)</f>
        <v/>
      </c>
      <c r="M94" s="16">
        <f>C94+D94</f>
        <v/>
      </c>
      <c r="N94" s="16">
        <f>E94+F94</f>
        <v/>
      </c>
    </row>
    <row r="95">
      <c r="A95" t="n">
        <v>7</v>
      </c>
      <c r="B95">
        <f>$B$7+A95</f>
        <v/>
      </c>
      <c r="C95" s="16">
        <f>IF(A95&gt;$B$6,0,SUMIF(B18:B25,A95,E18:E25)+IF(A95=$B$6,E26,0))</f>
        <v/>
      </c>
      <c r="D95" s="16">
        <f>IF(A95&gt;$B$6,0,SUMIF(B18:B25,A95,F18:F25))</f>
        <v/>
      </c>
      <c r="E95" s="16">
        <f>IF(A95&gt;$B$6,0,SUMIF(K18:K20,A95,N18:N20)+IF(A95=$B$6,N21,0))</f>
        <v/>
      </c>
      <c r="F95" s="16">
        <f>IF(A95&gt;$B$6,0,SUMIF(K18:K20,A95,O18:O20))</f>
        <v/>
      </c>
      <c r="G95" s="16">
        <f>G94+IF(A95&gt;$B$6,0,SUMIF(B18:B25,A95,G18:G25)+IF(A95=$B$6,G26,0))</f>
        <v/>
      </c>
      <c r="H95" s="16">
        <f>H94+IF(A95&gt;$B$6,0,SUMIF(K18:K20,A95,P18:P20)+IF(A95=$B$6,P21,0))</f>
        <v/>
      </c>
      <c r="I95">
        <f>IF(A95&gt;$B$6,0,SUMIF(B18:B25,A95,D18:D25)*$B$10)</f>
        <v/>
      </c>
      <c r="J95">
        <f>IF(A95&gt;$B$6,0,SUMIF(K18:K20,A95,M18:M20)*$B$10)</f>
        <v/>
      </c>
      <c r="M95" s="16">
        <f>C95+D95</f>
        <v/>
      </c>
      <c r="N95" s="16">
        <f>E95+F95</f>
        <v/>
      </c>
    </row>
    <row r="96">
      <c r="A96" t="n">
        <v>8</v>
      </c>
      <c r="B96">
        <f>$B$7+A96</f>
        <v/>
      </c>
      <c r="C96" s="16">
        <f>IF(A96&gt;$B$6,0,SUMIF(B18:B25,A96,E18:E25)+IF(A96=$B$6,E26,0))</f>
        <v/>
      </c>
      <c r="D96" s="16">
        <f>IF(A96&gt;$B$6,0,SUMIF(B18:B25,A96,F18:F25))</f>
        <v/>
      </c>
      <c r="E96" s="16">
        <f>IF(A96&gt;$B$6,0,SUMIF(K18:K20,A96,N18:N20)+IF(A96=$B$6,N21,0))</f>
        <v/>
      </c>
      <c r="F96" s="16">
        <f>IF(A96&gt;$B$6,0,SUMIF(K18:K20,A96,O18:O20))</f>
        <v/>
      </c>
      <c r="G96" s="16">
        <f>G95+IF(A96&gt;$B$6,0,SUMIF(B18:B25,A96,G18:G25)+IF(A96=$B$6,G26,0))</f>
        <v/>
      </c>
      <c r="H96" s="16">
        <f>H95+IF(A96&gt;$B$6,0,SUMIF(K18:K20,A96,P18:P20)+IF(A96=$B$6,P21,0))</f>
        <v/>
      </c>
      <c r="I96">
        <f>IF(A96&gt;$B$6,0,SUMIF(B18:B25,A96,D18:D25)*$B$10)</f>
        <v/>
      </c>
      <c r="J96">
        <f>IF(A96&gt;$B$6,0,SUMIF(K18:K20,A96,M18:M20)*$B$10)</f>
        <v/>
      </c>
      <c r="M96" s="16">
        <f>C96+D96</f>
        <v/>
      </c>
      <c r="N96" s="16">
        <f>E96+F96</f>
        <v/>
      </c>
    </row>
    <row r="97">
      <c r="A97" t="n">
        <v>9</v>
      </c>
      <c r="B97">
        <f>$B$7+A97</f>
        <v/>
      </c>
      <c r="C97" s="16">
        <f>IF(A97&gt;$B$6,0,SUMIF(B18:B25,A97,E18:E25)+IF(A97=$B$6,E26,0))</f>
        <v/>
      </c>
      <c r="D97" s="16">
        <f>IF(A97&gt;$B$6,0,SUMIF(B18:B25,A97,F18:F25))</f>
        <v/>
      </c>
      <c r="E97" s="16">
        <f>IF(A97&gt;$B$6,0,SUMIF(K18:K20,A97,N18:N20)+IF(A97=$B$6,N21,0))</f>
        <v/>
      </c>
      <c r="F97" s="16">
        <f>IF(A97&gt;$B$6,0,SUMIF(K18:K20,A97,O18:O20))</f>
        <v/>
      </c>
      <c r="G97" s="16">
        <f>G96+IF(A97&gt;$B$6,0,SUMIF(B18:B25,A97,G18:G25)+IF(A97=$B$6,G26,0))</f>
        <v/>
      </c>
      <c r="H97" s="16">
        <f>H96+IF(A97&gt;$B$6,0,SUMIF(K18:K20,A97,P18:P20)+IF(A97=$B$6,P21,0))</f>
        <v/>
      </c>
      <c r="I97">
        <f>IF(A97&gt;$B$6,0,SUMIF(B18:B25,A97,D18:D25)*$B$10)</f>
        <v/>
      </c>
      <c r="J97">
        <f>IF(A97&gt;$B$6,0,SUMIF(K18:K20,A97,M18:M20)*$B$10)</f>
        <v/>
      </c>
      <c r="M97" s="16">
        <f>C97+D97</f>
        <v/>
      </c>
      <c r="N97" s="16">
        <f>E97+F97</f>
        <v/>
      </c>
    </row>
    <row r="98">
      <c r="A98" t="n">
        <v>10</v>
      </c>
      <c r="B98">
        <f>$B$7+A98</f>
        <v/>
      </c>
      <c r="C98" s="16">
        <f>IF(A98&gt;$B$6,0,SUMIF(B18:B25,A98,E18:E25)+IF(A98=$B$6,E26,0))</f>
        <v/>
      </c>
      <c r="D98" s="16">
        <f>IF(A98&gt;$B$6,0,SUMIF(B18:B25,A98,F18:F25))</f>
        <v/>
      </c>
      <c r="E98" s="16">
        <f>IF(A98&gt;$B$6,0,SUMIF(K18:K20,A98,N18:N20)+IF(A98=$B$6,N21,0))</f>
        <v/>
      </c>
      <c r="F98" s="16">
        <f>IF(A98&gt;$B$6,0,SUMIF(K18:K20,A98,O18:O20))</f>
        <v/>
      </c>
      <c r="G98" s="16">
        <f>G97+IF(A98&gt;$B$6,0,SUMIF(B18:B25,A98,G18:G25)+IF(A98=$B$6,G26,0))</f>
        <v/>
      </c>
      <c r="H98" s="16">
        <f>H97+IF(A98&gt;$B$6,0,SUMIF(K18:K20,A98,P18:P20)+IF(A98=$B$6,P21,0))</f>
        <v/>
      </c>
      <c r="I98">
        <f>IF(A98&gt;$B$6,0,SUMIF(B18:B25,A98,D18:D25)*$B$10)</f>
        <v/>
      </c>
      <c r="J98">
        <f>IF(A98&gt;$B$6,0,SUMIF(K18:K20,A98,M18:M20)*$B$10)</f>
        <v/>
      </c>
      <c r="M98" s="16">
        <f>C98+D98</f>
        <v/>
      </c>
      <c r="N98" s="16">
        <f>E98+F98</f>
        <v/>
      </c>
    </row>
    <row r="99">
      <c r="A99" t="n">
        <v>11</v>
      </c>
      <c r="B99">
        <f>$B$7+A99</f>
        <v/>
      </c>
      <c r="C99" s="16">
        <f>IF(A99&gt;$B$6,0,SUMIF(B18:B25,A99,E18:E25)+IF(A99=$B$6,E26,0))</f>
        <v/>
      </c>
      <c r="D99" s="16">
        <f>IF(A99&gt;$B$6,0,SUMIF(B18:B25,A99,F18:F25))</f>
        <v/>
      </c>
      <c r="E99" s="16">
        <f>IF(A99&gt;$B$6,0,SUMIF(K18:K20,A99,N18:N20)+IF(A99=$B$6,N21,0))</f>
        <v/>
      </c>
      <c r="F99" s="16">
        <f>IF(A99&gt;$B$6,0,SUMIF(K18:K20,A99,O18:O20))</f>
        <v/>
      </c>
      <c r="G99" s="16">
        <f>G98+IF(A99&gt;$B$6,0,SUMIF(B18:B25,A99,G18:G25)+IF(A99=$B$6,G26,0))</f>
        <v/>
      </c>
      <c r="H99" s="16">
        <f>H98+IF(A99&gt;$B$6,0,SUMIF(K18:K20,A99,P18:P20)+IF(A99=$B$6,P21,0))</f>
        <v/>
      </c>
      <c r="I99">
        <f>IF(A99&gt;$B$6,0,SUMIF(B18:B25,A99,D18:D25)*$B$10)</f>
        <v/>
      </c>
      <c r="J99">
        <f>IF(A99&gt;$B$6,0,SUMIF(K18:K20,A99,M18:M20)*$B$10)</f>
        <v/>
      </c>
      <c r="M99" s="16">
        <f>C99+D99</f>
        <v/>
      </c>
      <c r="N99" s="16">
        <f>E99+F99</f>
        <v/>
      </c>
    </row>
    <row r="100">
      <c r="A100" t="n">
        <v>12</v>
      </c>
      <c r="B100">
        <f>$B$7+A100</f>
        <v/>
      </c>
      <c r="C100" s="16">
        <f>IF(A100&gt;$B$6,0,SUMIF(B18:B25,A100,E18:E25)+IF(A100=$B$6,E26,0))</f>
        <v/>
      </c>
      <c r="D100" s="16">
        <f>IF(A100&gt;$B$6,0,SUMIF(B18:B25,A100,F18:F25))</f>
        <v/>
      </c>
      <c r="E100" s="16">
        <f>IF(A100&gt;$B$6,0,SUMIF(K18:K20,A100,N18:N20)+IF(A100=$B$6,N21,0))</f>
        <v/>
      </c>
      <c r="F100" s="16">
        <f>IF(A100&gt;$B$6,0,SUMIF(K18:K20,A100,O18:O20))</f>
        <v/>
      </c>
      <c r="G100" s="16">
        <f>G99+IF(A100&gt;$B$6,0,SUMIF(B18:B25,A100,G18:G25)+IF(A100=$B$6,G26,0))</f>
        <v/>
      </c>
      <c r="H100" s="16">
        <f>H99+IF(A100&gt;$B$6,0,SUMIF(K18:K20,A100,P18:P20)+IF(A100=$B$6,P21,0))</f>
        <v/>
      </c>
      <c r="I100">
        <f>IF(A100&gt;$B$6,0,SUMIF(B18:B25,A100,D18:D25)*$B$10)</f>
        <v/>
      </c>
      <c r="J100">
        <f>IF(A100&gt;$B$6,0,SUMIF(K18:K20,A100,M18:M20)*$B$10)</f>
        <v/>
      </c>
      <c r="M100" s="16">
        <f>C100+D100</f>
        <v/>
      </c>
      <c r="N100" s="16">
        <f>E100+F100</f>
        <v/>
      </c>
    </row>
    <row r="101">
      <c r="A101" t="n">
        <v>13</v>
      </c>
      <c r="B101">
        <f>$B$7+A101</f>
        <v/>
      </c>
      <c r="C101" s="16">
        <f>IF(A101&gt;$B$6,0,SUMIF(B18:B25,A101,E18:E25)+IF(A101=$B$6,E26,0))</f>
        <v/>
      </c>
      <c r="D101" s="16">
        <f>IF(A101&gt;$B$6,0,SUMIF(B18:B25,A101,F18:F25))</f>
        <v/>
      </c>
      <c r="E101" s="16">
        <f>IF(A101&gt;$B$6,0,SUMIF(K18:K20,A101,N18:N20)+IF(A101=$B$6,N21,0))</f>
        <v/>
      </c>
      <c r="F101" s="16">
        <f>IF(A101&gt;$B$6,0,SUMIF(K18:K20,A101,O18:O20))</f>
        <v/>
      </c>
      <c r="G101" s="16">
        <f>G100+IF(A101&gt;$B$6,0,SUMIF(B18:B25,A101,G18:G25)+IF(A101=$B$6,G26,0))</f>
        <v/>
      </c>
      <c r="H101" s="16">
        <f>H100+IF(A101&gt;$B$6,0,SUMIF(K18:K20,A101,P18:P20)+IF(A101=$B$6,P21,0))</f>
        <v/>
      </c>
      <c r="I101">
        <f>IF(A101&gt;$B$6,0,SUMIF(B18:B25,A101,D18:D25)*$B$10)</f>
        <v/>
      </c>
      <c r="J101">
        <f>IF(A101&gt;$B$6,0,SUMIF(K18:K20,A101,M18:M20)*$B$10)</f>
        <v/>
      </c>
      <c r="M101" s="16">
        <f>C101+D101</f>
        <v/>
      </c>
      <c r="N101" s="16">
        <f>E101+F101</f>
        <v/>
      </c>
    </row>
    <row r="102">
      <c r="A102" t="n">
        <v>14</v>
      </c>
      <c r="B102">
        <f>$B$7+A102</f>
        <v/>
      </c>
      <c r="C102" s="16">
        <f>IF(A102&gt;$B$6,0,SUMIF(B18:B25,A102,E18:E25)+IF(A102=$B$6,E26,0))</f>
        <v/>
      </c>
      <c r="D102" s="16">
        <f>IF(A102&gt;$B$6,0,SUMIF(B18:B25,A102,F18:F25))</f>
        <v/>
      </c>
      <c r="E102" s="16">
        <f>IF(A102&gt;$B$6,0,SUMIF(K18:K20,A102,N18:N20)+IF(A102=$B$6,N21,0))</f>
        <v/>
      </c>
      <c r="F102" s="16">
        <f>IF(A102&gt;$B$6,0,SUMIF(K18:K20,A102,O18:O20))</f>
        <v/>
      </c>
      <c r="G102" s="16">
        <f>G101+IF(A102&gt;$B$6,0,SUMIF(B18:B25,A102,G18:G25)+IF(A102=$B$6,G26,0))</f>
        <v/>
      </c>
      <c r="H102" s="16">
        <f>H101+IF(A102&gt;$B$6,0,SUMIF(K18:K20,A102,P18:P20)+IF(A102=$B$6,P21,0))</f>
        <v/>
      </c>
      <c r="I102">
        <f>IF(A102&gt;$B$6,0,SUMIF(B18:B25,A102,D18:D25)*$B$10)</f>
        <v/>
      </c>
      <c r="J102">
        <f>IF(A102&gt;$B$6,0,SUMIF(K18:K20,A102,M18:M20)*$B$10)</f>
        <v/>
      </c>
      <c r="M102" s="16">
        <f>C102+D102</f>
        <v/>
      </c>
      <c r="N102" s="16">
        <f>E102+F102</f>
        <v/>
      </c>
    </row>
    <row r="103">
      <c r="A103" t="n">
        <v>15</v>
      </c>
      <c r="B103">
        <f>$B$7+A103</f>
        <v/>
      </c>
      <c r="C103" s="16">
        <f>IF(A103&gt;$B$6,0,SUMIF(B18:B25,A103,E18:E25)+IF(A103=$B$6,E26,0))</f>
        <v/>
      </c>
      <c r="D103" s="16">
        <f>IF(A103&gt;$B$6,0,SUMIF(B18:B25,A103,F18:F25))</f>
        <v/>
      </c>
      <c r="E103" s="16">
        <f>IF(A103&gt;$B$6,0,SUMIF(K18:K20,A103,N18:N20)+IF(A103=$B$6,N21,0))</f>
        <v/>
      </c>
      <c r="F103" s="16">
        <f>IF(A103&gt;$B$6,0,SUMIF(K18:K20,A103,O18:O20))</f>
        <v/>
      </c>
      <c r="G103" s="16">
        <f>G102+IF(A103&gt;$B$6,0,SUMIF(B18:B25,A103,G18:G25)+IF(A103=$B$6,G26,0))</f>
        <v/>
      </c>
      <c r="H103" s="16">
        <f>H102+IF(A103&gt;$B$6,0,SUMIF(K18:K20,A103,P18:P20)+IF(A103=$B$6,P21,0))</f>
        <v/>
      </c>
      <c r="I103">
        <f>IF(A103&gt;$B$6,0,SUMIF(B18:B25,A103,D18:D25)*$B$10)</f>
        <v/>
      </c>
      <c r="J103">
        <f>IF(A103&gt;$B$6,0,SUMIF(K18:K20,A103,M18:M20)*$B$10)</f>
        <v/>
      </c>
      <c r="M103" s="16">
        <f>C103+D103</f>
        <v/>
      </c>
      <c r="N103" s="16">
        <f>E103+F103</f>
        <v/>
      </c>
    </row>
    <row r="104">
      <c r="A104" t="n">
        <v>16</v>
      </c>
      <c r="B104">
        <f>$B$7+A104</f>
        <v/>
      </c>
      <c r="C104" s="16">
        <f>IF(A104&gt;$B$6,0,SUMIF(B18:B25,A104,E18:E25)+IF(A104=$B$6,E26,0))</f>
        <v/>
      </c>
      <c r="D104" s="16">
        <f>IF(A104&gt;$B$6,0,SUMIF(B18:B25,A104,F18:F25))</f>
        <v/>
      </c>
      <c r="E104" s="16">
        <f>IF(A104&gt;$B$6,0,SUMIF(K18:K20,A104,N18:N20)+IF(A104=$B$6,N21,0))</f>
        <v/>
      </c>
      <c r="F104" s="16">
        <f>IF(A104&gt;$B$6,0,SUMIF(K18:K20,A104,O18:O20))</f>
        <v/>
      </c>
      <c r="G104" s="16">
        <f>G103+IF(A104&gt;$B$6,0,SUMIF(B18:B25,A104,G18:G25)+IF(A104=$B$6,G26,0))</f>
        <v/>
      </c>
      <c r="H104" s="16">
        <f>H103+IF(A104&gt;$B$6,0,SUMIF(K18:K20,A104,P18:P20)+IF(A104=$B$6,P21,0))</f>
        <v/>
      </c>
      <c r="I104">
        <f>IF(A104&gt;$B$6,0,SUMIF(B18:B25,A104,D18:D25)*$B$10)</f>
        <v/>
      </c>
      <c r="J104">
        <f>IF(A104&gt;$B$6,0,SUMIF(K18:K20,A104,M18:M20)*$B$10)</f>
        <v/>
      </c>
      <c r="M104" s="16">
        <f>C104+D104</f>
        <v/>
      </c>
      <c r="N104" s="16">
        <f>E104+F104</f>
        <v/>
      </c>
    </row>
    <row r="105">
      <c r="A105" t="n">
        <v>17</v>
      </c>
      <c r="B105">
        <f>$B$7+A105</f>
        <v/>
      </c>
      <c r="C105" s="16">
        <f>IF(A105&gt;$B$6,0,SUMIF(B18:B25,A105,E18:E25)+IF(A105=$B$6,E26,0))</f>
        <v/>
      </c>
      <c r="D105" s="16">
        <f>IF(A105&gt;$B$6,0,SUMIF(B18:B25,A105,F18:F25))</f>
        <v/>
      </c>
      <c r="E105" s="16">
        <f>IF(A105&gt;$B$6,0,SUMIF(K18:K20,A105,N18:N20)+IF(A105=$B$6,N21,0))</f>
        <v/>
      </c>
      <c r="F105" s="16">
        <f>IF(A105&gt;$B$6,0,SUMIF(K18:K20,A105,O18:O20))</f>
        <v/>
      </c>
      <c r="G105" s="16">
        <f>G104+IF(A105&gt;$B$6,0,SUMIF(B18:B25,A105,G18:G25)+IF(A105=$B$6,G26,0))</f>
        <v/>
      </c>
      <c r="H105" s="16">
        <f>H104+IF(A105&gt;$B$6,0,SUMIF(K18:K20,A105,P18:P20)+IF(A105=$B$6,P21,0))</f>
        <v/>
      </c>
      <c r="I105">
        <f>IF(A105&gt;$B$6,0,SUMIF(B18:B25,A105,D18:D25)*$B$10)</f>
        <v/>
      </c>
      <c r="J105">
        <f>IF(A105&gt;$B$6,0,SUMIF(K18:K20,A105,M18:M20)*$B$10)</f>
        <v/>
      </c>
      <c r="M105" s="16">
        <f>C105+D105</f>
        <v/>
      </c>
      <c r="N105" s="16">
        <f>E105+F105</f>
        <v/>
      </c>
    </row>
    <row r="106">
      <c r="A106" t="n">
        <v>18</v>
      </c>
      <c r="B106">
        <f>$B$7+A106</f>
        <v/>
      </c>
      <c r="C106" s="16">
        <f>IF(A106&gt;$B$6,0,SUMIF(B18:B25,A106,E18:E25)+IF(A106=$B$6,E26,0))</f>
        <v/>
      </c>
      <c r="D106" s="16">
        <f>IF(A106&gt;$B$6,0,SUMIF(B18:B25,A106,F18:F25))</f>
        <v/>
      </c>
      <c r="E106" s="16">
        <f>IF(A106&gt;$B$6,0,SUMIF(K18:K20,A106,N18:N20)+IF(A106=$B$6,N21,0))</f>
        <v/>
      </c>
      <c r="F106" s="16">
        <f>IF(A106&gt;$B$6,0,SUMIF(K18:K20,A106,O18:O20))</f>
        <v/>
      </c>
      <c r="G106" s="16">
        <f>G105+IF(A106&gt;$B$6,0,SUMIF(B18:B25,A106,G18:G25)+IF(A106=$B$6,G26,0))</f>
        <v/>
      </c>
      <c r="H106" s="16">
        <f>H105+IF(A106&gt;$B$6,0,SUMIF(K18:K20,A106,P18:P20)+IF(A106=$B$6,P21,0))</f>
        <v/>
      </c>
      <c r="I106">
        <f>IF(A106&gt;$B$6,0,SUMIF(B18:B25,A106,D18:D25)*$B$10)</f>
        <v/>
      </c>
      <c r="J106">
        <f>IF(A106&gt;$B$6,0,SUMIF(K18:K20,A106,M18:M20)*$B$10)</f>
        <v/>
      </c>
      <c r="M106" s="16">
        <f>C106+D106</f>
        <v/>
      </c>
      <c r="N106" s="16">
        <f>E106+F106</f>
        <v/>
      </c>
    </row>
    <row r="107">
      <c r="A107" t="n">
        <v>19</v>
      </c>
      <c r="B107">
        <f>$B$7+A107</f>
        <v/>
      </c>
      <c r="C107" s="16">
        <f>IF(A107&gt;$B$6,0,SUMIF(B18:B25,A107,E18:E25)+IF(A107=$B$6,E26,0))</f>
        <v/>
      </c>
      <c r="D107" s="16">
        <f>IF(A107&gt;$B$6,0,SUMIF(B18:B25,A107,F18:F25))</f>
        <v/>
      </c>
      <c r="E107" s="16">
        <f>IF(A107&gt;$B$6,0,SUMIF(K18:K20,A107,N18:N20)+IF(A107=$B$6,N21,0))</f>
        <v/>
      </c>
      <c r="F107" s="16">
        <f>IF(A107&gt;$B$6,0,SUMIF(K18:K20,A107,O18:O20))</f>
        <v/>
      </c>
      <c r="G107" s="16">
        <f>G106+IF(A107&gt;$B$6,0,SUMIF(B18:B25,A107,G18:G25)+IF(A107=$B$6,G26,0))</f>
        <v/>
      </c>
      <c r="H107" s="16">
        <f>H106+IF(A107&gt;$B$6,0,SUMIF(K18:K20,A107,P18:P20)+IF(A107=$B$6,P21,0))</f>
        <v/>
      </c>
      <c r="I107">
        <f>IF(A107&gt;$B$6,0,SUMIF(B18:B25,A107,D18:D25)*$B$10)</f>
        <v/>
      </c>
      <c r="J107">
        <f>IF(A107&gt;$B$6,0,SUMIF(K18:K20,A107,M18:M20)*$B$10)</f>
        <v/>
      </c>
      <c r="M107" s="16">
        <f>C107+D107</f>
        <v/>
      </c>
      <c r="N107" s="16">
        <f>E107+F107</f>
        <v/>
      </c>
    </row>
    <row r="108">
      <c r="A108" t="n">
        <v>20</v>
      </c>
      <c r="B108">
        <f>$B$7+A108</f>
        <v/>
      </c>
      <c r="C108" s="16">
        <f>IF(A108&gt;$B$6,0,SUMIF(B18:B25,A108,E18:E25)+IF(A108=$B$6,E26,0))</f>
        <v/>
      </c>
      <c r="D108" s="16">
        <f>IF(A108&gt;$B$6,0,SUMIF(B18:B25,A108,F18:F25))</f>
        <v/>
      </c>
      <c r="E108" s="16">
        <f>IF(A108&gt;$B$6,0,SUMIF(K18:K20,A108,N18:N20)+IF(A108=$B$6,N21,0))</f>
        <v/>
      </c>
      <c r="F108" s="16">
        <f>IF(A108&gt;$B$6,0,SUMIF(K18:K20,A108,O18:O20))</f>
        <v/>
      </c>
      <c r="G108" s="16">
        <f>G107+IF(A108&gt;$B$6,0,SUMIF(B18:B25,A108,G18:G25)+IF(A108=$B$6,G26,0))</f>
        <v/>
      </c>
      <c r="H108" s="16">
        <f>H107+IF(A108&gt;$B$6,0,SUMIF(K18:K20,A108,P18:P20)+IF(A108=$B$6,P21,0))</f>
        <v/>
      </c>
      <c r="I108">
        <f>IF(A108&gt;$B$6,0,SUMIF(B18:B25,A108,D18:D25)*$B$10)</f>
        <v/>
      </c>
      <c r="J108">
        <f>IF(A108&gt;$B$6,0,SUMIF(K18:K20,A108,M18:M20)*$B$10)</f>
        <v/>
      </c>
      <c r="M108" s="16">
        <f>C108+D108</f>
        <v/>
      </c>
      <c r="N108" s="16">
        <f>E108+F108</f>
        <v/>
      </c>
    </row>
    <row r="109">
      <c r="A109" t="n">
        <v>21</v>
      </c>
      <c r="B109">
        <f>$B$7+A109</f>
        <v/>
      </c>
      <c r="C109" s="16">
        <f>IF(A109&gt;$B$6,0,SUMIF(B18:B25,A109,E18:E25)+IF(A109=$B$6,E26,0))</f>
        <v/>
      </c>
      <c r="D109" s="16">
        <f>IF(A109&gt;$B$6,0,SUMIF(B18:B25,A109,F18:F25))</f>
        <v/>
      </c>
      <c r="E109" s="16">
        <f>IF(A109&gt;$B$6,0,SUMIF(K18:K20,A109,N18:N20)+IF(A109=$B$6,N21,0))</f>
        <v/>
      </c>
      <c r="F109" s="16">
        <f>IF(A109&gt;$B$6,0,SUMIF(K18:K20,A109,O18:O20))</f>
        <v/>
      </c>
      <c r="G109" s="16">
        <f>G108+IF(A109&gt;$B$6,0,SUMIF(B18:B25,A109,G18:G25)+IF(A109=$B$6,G26,0))</f>
        <v/>
      </c>
      <c r="H109" s="16">
        <f>H108+IF(A109&gt;$B$6,0,SUMIF(K18:K20,A109,P18:P20)+IF(A109=$B$6,P21,0))</f>
        <v/>
      </c>
      <c r="I109">
        <f>IF(A109&gt;$B$6,0,SUMIF(B18:B25,A109,D18:D25)*$B$10)</f>
        <v/>
      </c>
      <c r="J109">
        <f>IF(A109&gt;$B$6,0,SUMIF(K18:K20,A109,M18:M20)*$B$10)</f>
        <v/>
      </c>
      <c r="M109" s="16">
        <f>C109+D109</f>
        <v/>
      </c>
      <c r="N109" s="16">
        <f>E109+F109</f>
        <v/>
      </c>
    </row>
    <row r="110">
      <c r="A110" t="n">
        <v>22</v>
      </c>
      <c r="B110">
        <f>$B$7+A110</f>
        <v/>
      </c>
      <c r="C110" s="16">
        <f>IF(A110&gt;$B$6,0,SUMIF(B18:B25,A110,E18:E25)+IF(A110=$B$6,E26,0))</f>
        <v/>
      </c>
      <c r="D110" s="16">
        <f>IF(A110&gt;$B$6,0,SUMIF(B18:B25,A110,F18:F25))</f>
        <v/>
      </c>
      <c r="E110" s="16">
        <f>IF(A110&gt;$B$6,0,SUMIF(K18:K20,A110,N18:N20)+IF(A110=$B$6,N21,0))</f>
        <v/>
      </c>
      <c r="F110" s="16">
        <f>IF(A110&gt;$B$6,0,SUMIF(K18:K20,A110,O18:O20))</f>
        <v/>
      </c>
      <c r="G110" s="16">
        <f>G109+IF(A110&gt;$B$6,0,SUMIF(B18:B25,A110,G18:G25)+IF(A110=$B$6,G26,0))</f>
        <v/>
      </c>
      <c r="H110" s="16">
        <f>H109+IF(A110&gt;$B$6,0,SUMIF(K18:K20,A110,P18:P20)+IF(A110=$B$6,P21,0))</f>
        <v/>
      </c>
      <c r="I110">
        <f>IF(A110&gt;$B$6,0,SUMIF(B18:B25,A110,D18:D25)*$B$10)</f>
        <v/>
      </c>
      <c r="J110">
        <f>IF(A110&gt;$B$6,0,SUMIF(K18:K20,A110,M18:M20)*$B$10)</f>
        <v/>
      </c>
      <c r="M110" s="16">
        <f>C110+D110</f>
        <v/>
      </c>
      <c r="N110" s="16">
        <f>E110+F110</f>
        <v/>
      </c>
    </row>
    <row r="111">
      <c r="A111" t="n">
        <v>23</v>
      </c>
      <c r="B111">
        <f>$B$7+A111</f>
        <v/>
      </c>
      <c r="C111" s="16">
        <f>IF(A111&gt;$B$6,0,SUMIF(B18:B25,A111,E18:E25)+IF(A111=$B$6,E26,0))</f>
        <v/>
      </c>
      <c r="D111" s="16">
        <f>IF(A111&gt;$B$6,0,SUMIF(B18:B25,A111,F18:F25))</f>
        <v/>
      </c>
      <c r="E111" s="16">
        <f>IF(A111&gt;$B$6,0,SUMIF(K18:K20,A111,N18:N20)+IF(A111=$B$6,N21,0))</f>
        <v/>
      </c>
      <c r="F111" s="16">
        <f>IF(A111&gt;$B$6,0,SUMIF(K18:K20,A111,O18:O20))</f>
        <v/>
      </c>
      <c r="G111" s="16">
        <f>G110+IF(A111&gt;$B$6,0,SUMIF(B18:B25,A111,G18:G25)+IF(A111=$B$6,G26,0))</f>
        <v/>
      </c>
      <c r="H111" s="16">
        <f>H110+IF(A111&gt;$B$6,0,SUMIF(K18:K20,A111,P18:P20)+IF(A111=$B$6,P21,0))</f>
        <v/>
      </c>
      <c r="I111">
        <f>IF(A111&gt;$B$6,0,SUMIF(B18:B25,A111,D18:D25)*$B$10)</f>
        <v/>
      </c>
      <c r="J111">
        <f>IF(A111&gt;$B$6,0,SUMIF(K18:K20,A111,M18:M20)*$B$10)</f>
        <v/>
      </c>
      <c r="M111" s="16">
        <f>C111+D111</f>
        <v/>
      </c>
      <c r="N111" s="16">
        <f>E111+F111</f>
        <v/>
      </c>
    </row>
    <row r="112">
      <c r="A112" t="n">
        <v>24</v>
      </c>
      <c r="B112">
        <f>$B$7+A112</f>
        <v/>
      </c>
      <c r="C112" s="16">
        <f>IF(A112&gt;$B$6,0,SUMIF(B18:B25,A112,E18:E25)+IF(A112=$B$6,E26,0))</f>
        <v/>
      </c>
      <c r="D112" s="16">
        <f>IF(A112&gt;$B$6,0,SUMIF(B18:B25,A112,F18:F25))</f>
        <v/>
      </c>
      <c r="E112" s="16">
        <f>IF(A112&gt;$B$6,0,SUMIF(K18:K20,A112,N18:N20)+IF(A112=$B$6,N21,0))</f>
        <v/>
      </c>
      <c r="F112" s="16">
        <f>IF(A112&gt;$B$6,0,SUMIF(K18:K20,A112,O18:O20))</f>
        <v/>
      </c>
      <c r="G112" s="16">
        <f>G111+IF(A112&gt;$B$6,0,SUMIF(B18:B25,A112,G18:G25)+IF(A112=$B$6,G26,0))</f>
        <v/>
      </c>
      <c r="H112" s="16">
        <f>H111+IF(A112&gt;$B$6,0,SUMIF(K18:K20,A112,P18:P20)+IF(A112=$B$6,P21,0))</f>
        <v/>
      </c>
      <c r="I112">
        <f>IF(A112&gt;$B$6,0,SUMIF(B18:B25,A112,D18:D25)*$B$10)</f>
        <v/>
      </c>
      <c r="J112">
        <f>IF(A112&gt;$B$6,0,SUMIF(K18:K20,A112,M18:M20)*$B$10)</f>
        <v/>
      </c>
      <c r="M112" s="16">
        <f>C112+D112</f>
        <v/>
      </c>
      <c r="N112" s="16">
        <f>E112+F112</f>
        <v/>
      </c>
    </row>
    <row r="113">
      <c r="A113" t="n">
        <v>25</v>
      </c>
      <c r="B113">
        <f>$B$7+A113</f>
        <v/>
      </c>
      <c r="C113" s="16">
        <f>IF(A113&gt;$B$6,0,SUMIF(B18:B25,A113,E18:E25)+IF(A113=$B$6,E26,0))</f>
        <v/>
      </c>
      <c r="D113" s="16">
        <f>IF(A113&gt;$B$6,0,SUMIF(B18:B25,A113,F18:F25))</f>
        <v/>
      </c>
      <c r="E113" s="16">
        <f>IF(A113&gt;$B$6,0,SUMIF(K18:K20,A113,N18:N20)+IF(A113=$B$6,N21,0))</f>
        <v/>
      </c>
      <c r="F113" s="16">
        <f>IF(A113&gt;$B$6,0,SUMIF(K18:K20,A113,O18:O20))</f>
        <v/>
      </c>
      <c r="G113" s="16">
        <f>G112+IF(A113&gt;$B$6,0,SUMIF(B18:B25,A113,G18:G25)+IF(A113=$B$6,G26,0))</f>
        <v/>
      </c>
      <c r="H113" s="16">
        <f>H112+IF(A113&gt;$B$6,0,SUMIF(K18:K20,A113,P18:P20)+IF(A113=$B$6,P21,0))</f>
        <v/>
      </c>
      <c r="I113">
        <f>IF(A113&gt;$B$6,0,SUMIF(B18:B25,A113,D18:D25)*$B$10)</f>
        <v/>
      </c>
      <c r="J113">
        <f>IF(A113&gt;$B$6,0,SUMIF(K18:K20,A113,M18:M20)*$B$10)</f>
        <v/>
      </c>
      <c r="M113" s="16">
        <f>C113+D113</f>
        <v/>
      </c>
      <c r="N113" s="16">
        <f>E113+F113</f>
        <v/>
      </c>
    </row>
    <row r="114">
      <c r="A114" t="n">
        <v>26</v>
      </c>
      <c r="B114">
        <f>$B$7+A114</f>
        <v/>
      </c>
      <c r="C114" s="16">
        <f>IF(A114&gt;$B$6,0,SUMIF(B18:B25,A114,E18:E25)+IF(A114=$B$6,E26,0))</f>
        <v/>
      </c>
      <c r="D114" s="16">
        <f>IF(A114&gt;$B$6,0,SUMIF(B18:B25,A114,F18:F25))</f>
        <v/>
      </c>
      <c r="E114" s="16">
        <f>IF(A114&gt;$B$6,0,SUMIF(K18:K20,A114,N18:N20)+IF(A114=$B$6,N21,0))</f>
        <v/>
      </c>
      <c r="F114" s="16">
        <f>IF(A114&gt;$B$6,0,SUMIF(K18:K20,A114,O18:O20))</f>
        <v/>
      </c>
      <c r="G114" s="16">
        <f>G113+IF(A114&gt;$B$6,0,SUMIF(B18:B25,A114,G18:G25)+IF(A114=$B$6,G26,0))</f>
        <v/>
      </c>
      <c r="H114" s="16">
        <f>H113+IF(A114&gt;$B$6,0,SUMIF(K18:K20,A114,P18:P20)+IF(A114=$B$6,P21,0))</f>
        <v/>
      </c>
      <c r="I114">
        <f>IF(A114&gt;$B$6,0,SUMIF(B18:B25,A114,D18:D25)*$B$10)</f>
        <v/>
      </c>
      <c r="J114">
        <f>IF(A114&gt;$B$6,0,SUMIF(K18:K20,A114,M18:M20)*$B$10)</f>
        <v/>
      </c>
      <c r="M114" s="16">
        <f>C114+D114</f>
        <v/>
      </c>
      <c r="N114" s="16">
        <f>E114+F114</f>
        <v/>
      </c>
    </row>
    <row r="115">
      <c r="A115" t="n">
        <v>27</v>
      </c>
      <c r="B115">
        <f>$B$7+A115</f>
        <v/>
      </c>
      <c r="C115" s="16">
        <f>IF(A115&gt;$B$6,0,SUMIF(B18:B25,A115,E18:E25)+IF(A115=$B$6,E26,0))</f>
        <v/>
      </c>
      <c r="D115" s="16">
        <f>IF(A115&gt;$B$6,0,SUMIF(B18:B25,A115,F18:F25))</f>
        <v/>
      </c>
      <c r="E115" s="16">
        <f>IF(A115&gt;$B$6,0,SUMIF(K18:K20,A115,N18:N20)+IF(A115=$B$6,N21,0))</f>
        <v/>
      </c>
      <c r="F115" s="16">
        <f>IF(A115&gt;$B$6,0,SUMIF(K18:K20,A115,O18:O20))</f>
        <v/>
      </c>
      <c r="G115" s="16">
        <f>G114+IF(A115&gt;$B$6,0,SUMIF(B18:B25,A115,G18:G25)+IF(A115=$B$6,G26,0))</f>
        <v/>
      </c>
      <c r="H115" s="16">
        <f>H114+IF(A115&gt;$B$6,0,SUMIF(K18:K20,A115,P18:P20)+IF(A115=$B$6,P21,0))</f>
        <v/>
      </c>
      <c r="I115">
        <f>IF(A115&gt;$B$6,0,SUMIF(B18:B25,A115,D18:D25)*$B$10)</f>
        <v/>
      </c>
      <c r="J115">
        <f>IF(A115&gt;$B$6,0,SUMIF(K18:K20,A115,M18:M20)*$B$10)</f>
        <v/>
      </c>
      <c r="M115" s="16">
        <f>C115+D115</f>
        <v/>
      </c>
      <c r="N115" s="16">
        <f>E115+F115</f>
        <v/>
      </c>
    </row>
    <row r="116">
      <c r="A116" t="n">
        <v>28</v>
      </c>
      <c r="B116">
        <f>$B$7+A116</f>
        <v/>
      </c>
      <c r="C116" s="16">
        <f>IF(A116&gt;$B$6,0,SUMIF(B18:B25,A116,E18:E25)+IF(A116=$B$6,E26,0))</f>
        <v/>
      </c>
      <c r="D116" s="16">
        <f>IF(A116&gt;$B$6,0,SUMIF(B18:B25,A116,F18:F25))</f>
        <v/>
      </c>
      <c r="E116" s="16">
        <f>IF(A116&gt;$B$6,0,SUMIF(K18:K20,A116,N18:N20)+IF(A116=$B$6,N21,0))</f>
        <v/>
      </c>
      <c r="F116" s="16">
        <f>IF(A116&gt;$B$6,0,SUMIF(K18:K20,A116,O18:O20))</f>
        <v/>
      </c>
      <c r="G116" s="16">
        <f>G115+IF(A116&gt;$B$6,0,SUMIF(B18:B25,A116,G18:G25)+IF(A116=$B$6,G26,0))</f>
        <v/>
      </c>
      <c r="H116" s="16">
        <f>H115+IF(A116&gt;$B$6,0,SUMIF(K18:K20,A116,P18:P20)+IF(A116=$B$6,P21,0))</f>
        <v/>
      </c>
      <c r="I116">
        <f>IF(A116&gt;$B$6,0,SUMIF(B18:B25,A116,D18:D25)*$B$10)</f>
        <v/>
      </c>
      <c r="J116">
        <f>IF(A116&gt;$B$6,0,SUMIF(K18:K20,A116,M18:M20)*$B$10)</f>
        <v/>
      </c>
      <c r="M116" s="16">
        <f>C116+D116</f>
        <v/>
      </c>
      <c r="N116" s="16">
        <f>E116+F116</f>
        <v/>
      </c>
    </row>
    <row r="117">
      <c r="A117" t="n">
        <v>29</v>
      </c>
      <c r="B117">
        <f>$B$7+A117</f>
        <v/>
      </c>
      <c r="C117" s="16">
        <f>IF(A117&gt;$B$6,0,SUMIF(B18:B25,A117,E18:E25)+IF(A117=$B$6,E26,0))</f>
        <v/>
      </c>
      <c r="D117" s="16">
        <f>IF(A117&gt;$B$6,0,SUMIF(B18:B25,A117,F18:F25))</f>
        <v/>
      </c>
      <c r="E117" s="16">
        <f>IF(A117&gt;$B$6,0,SUMIF(K18:K20,A117,N18:N20)+IF(A117=$B$6,N21,0))</f>
        <v/>
      </c>
      <c r="F117" s="16">
        <f>IF(A117&gt;$B$6,0,SUMIF(K18:K20,A117,O18:O20))</f>
        <v/>
      </c>
      <c r="G117" s="16">
        <f>G116+IF(A117&gt;$B$6,0,SUMIF(B18:B25,A117,G18:G25)+IF(A117=$B$6,G26,0))</f>
        <v/>
      </c>
      <c r="H117" s="16">
        <f>H116+IF(A117&gt;$B$6,0,SUMIF(K18:K20,A117,P18:P20)+IF(A117=$B$6,P21,0))</f>
        <v/>
      </c>
      <c r="I117">
        <f>IF(A117&gt;$B$6,0,SUMIF(B18:B25,A117,D18:D25)*$B$10)</f>
        <v/>
      </c>
      <c r="J117">
        <f>IF(A117&gt;$B$6,0,SUMIF(K18:K20,A117,M18:M20)*$B$10)</f>
        <v/>
      </c>
      <c r="M117" s="16">
        <f>C117+D117</f>
        <v/>
      </c>
      <c r="N117" s="16">
        <f>E117+F117</f>
        <v/>
      </c>
    </row>
    <row r="118">
      <c r="A118" t="n">
        <v>30</v>
      </c>
      <c r="B118">
        <f>$B$7+A118</f>
        <v/>
      </c>
      <c r="C118" s="16">
        <f>IF(A118&gt;$B$6,0,SUMIF(B18:B25,A118,E18:E25)+IF(A118=$B$6,E26,0))</f>
        <v/>
      </c>
      <c r="D118" s="16">
        <f>IF(A118&gt;$B$6,0,SUMIF(B18:B25,A118,F18:F25))</f>
        <v/>
      </c>
      <c r="E118" s="16">
        <f>IF(A118&gt;$B$6,0,SUMIF(K18:K20,A118,N18:N20)+IF(A118=$B$6,N21,0))</f>
        <v/>
      </c>
      <c r="F118" s="16">
        <f>IF(A118&gt;$B$6,0,SUMIF(K18:K20,A118,O18:O20))</f>
        <v/>
      </c>
      <c r="G118" s="16">
        <f>G117+IF(A118&gt;$B$6,0,SUMIF(B18:B25,A118,G18:G25)+IF(A118=$B$6,G26,0))</f>
        <v/>
      </c>
      <c r="H118" s="16">
        <f>H117+IF(A118&gt;$B$6,0,SUMIF(K18:K20,A118,P18:P20)+IF(A118=$B$6,P21,0))</f>
        <v/>
      </c>
      <c r="I118">
        <f>IF(A118&gt;$B$6,0,SUMIF(B18:B25,A118,D18:D25)*$B$10)</f>
        <v/>
      </c>
      <c r="J118">
        <f>IF(A118&gt;$B$6,0,SUMIF(K18:K20,A118,M18:M20)*$B$10)</f>
        <v/>
      </c>
      <c r="M118" s="16">
        <f>C118+D118</f>
        <v/>
      </c>
      <c r="N118" s="16">
        <f>E118+F118</f>
        <v/>
      </c>
    </row>
    <row r="119">
      <c r="A119" s="7" t="inlineStr">
        <is>
          <t>Crossover year (cumulative PW lines cross)</t>
        </is>
      </c>
      <c r="B119">
        <f>IFERROR(INDEX($B$89:$B$118,MATCH(TRUE,INDEX(SIGN($H$89:$H$118-$G$89:$G$118)&lt;&gt;SIGN($H$88-$G$88),0),0)),"no crossover")</f>
        <v/>
      </c>
    </row>
    <row r="122">
      <c r="A122" s="4" t="inlineStr">
        <is>
          <t>WHAT COULD FLIP THE ANSWER (one input at a time, PCC - HMA present worth)</t>
        </is>
      </c>
    </row>
    <row r="123">
      <c r="A123" s="6" t="inlineStr">
        <is>
          <t>Input moved</t>
        </is>
      </c>
      <c r="B123" s="6" t="inlineStr">
        <is>
          <t>Low case</t>
        </is>
      </c>
      <c r="C123" s="6" t="inlineStr">
        <is>
          <t>High case</t>
        </is>
      </c>
      <c r="D123" s="6" t="inlineStr">
        <is>
          <t>Low PCC-HMA</t>
        </is>
      </c>
      <c r="E123" s="6" t="inlineStr">
        <is>
          <t>High PCC-HMA</t>
        </is>
      </c>
      <c r="F123" s="6" t="inlineStr">
        <is>
          <t>Swing</t>
        </is>
      </c>
      <c r="G123" s="6" t="inlineStr">
        <is>
          <t>Winner changes?</t>
        </is>
      </c>
    </row>
    <row r="124">
      <c r="A124" s="7" t="inlineStr">
        <is>
          <t>Discount rate</t>
        </is>
      </c>
      <c r="B124" t="inlineStr">
        <is>
          <t>2%</t>
        </is>
      </c>
      <c r="C124" t="inlineStr">
        <is>
          <t>8%</t>
        </is>
      </c>
      <c r="D124" s="16">
        <f>(SUMPRODUCT((K18:K20&lt;=$B$6)*(L18:L20*$B$12+M18:M20*$B$10*$B$8*$B$9)/(1+2/100)^K18:K20)+L21*$B$12*$B$13/(1+2/100)^$B$6)-(SUMPRODUCT((B18:B25&lt;=$B$6)*(C18:C25*$B$11+D18:D25*$B$10*$B$8*$B$9)/(1+2/100)^B18:B25)+C26*$B$11*$B$13/(1+2/100)^$B$6)</f>
        <v/>
      </c>
      <c r="E124" s="16">
        <f>(SUMPRODUCT((K18:K20&lt;=$B$6)*(L18:L20*$B$12+M18:M20*$B$10*$B$8*$B$9)/(1+8/100)^K18:K20)+L21*$B$12*$B$13/(1+8/100)^$B$6)-(SUMPRODUCT((B18:B25&lt;=$B$6)*(C18:C25*$B$11+D18:D25*$B$10*$B$8*$B$9)/(1+8/100)^B18:B25)+C26*$B$11*$B$13/(1+8/100)^$B$6)</f>
        <v/>
      </c>
      <c r="F124" s="16">
        <f>ABS(E124-D124)</f>
        <v/>
      </c>
      <c r="G124">
        <f>IF(SIGN(D124)&lt;&gt;SIGN(E124),"YES","no")</f>
        <v/>
      </c>
    </row>
    <row r="125">
      <c r="A125" s="7" t="inlineStr">
        <is>
          <t>PCC salvage credit</t>
        </is>
      </c>
      <c r="B125" t="inlineStr">
        <is>
          <t>0</t>
        </is>
      </c>
      <c r="C125" t="inlineStr">
        <is>
          <t>policy</t>
        </is>
      </c>
      <c r="D125" s="16">
        <f>(SUMPRODUCT((K18:K20&lt;=$B$6)*(L18:L20*$B$12+M18:M20*$B$10*$B$8*$B$9)/(1+$B$5/100)^K18:K20)+L21*$B$12*0/(1+$B$5/100)^$B$6)-(SUMPRODUCT((B18:B25&lt;=$B$6)*(C18:C25*$B$11+D18:D25*$B$10*$B$8*$B$9)/(1+$B$5/100)^B18:B25)+C26*$B$11*$B$13/(1+$B$5/100)^$B$6)</f>
        <v/>
      </c>
      <c r="E125" s="16">
        <f>$D$38</f>
        <v/>
      </c>
      <c r="F125" s="16">
        <f>ABS(E125-D125)</f>
        <v/>
      </c>
      <c r="G125">
        <f>IF(SIGN(D125)&lt;&gt;SIGN(E125),"YES","no")</f>
        <v/>
      </c>
    </row>
    <row r="126">
      <c r="A126" s="7" t="inlineStr">
        <is>
          <t>HMA salvage credit</t>
        </is>
      </c>
      <c r="B126" t="inlineStr">
        <is>
          <t>0</t>
        </is>
      </c>
      <c r="C126" t="inlineStr">
        <is>
          <t>policy</t>
        </is>
      </c>
      <c r="D126" s="16">
        <f>(SUMPRODUCT((K18:K20&lt;=$B$6)*(L18:L20*$B$12+M18:M20*$B$10*$B$8*$B$9)/(1+$B$5/100)^K18:K20)+L21*$B$12*$B$13/(1+$B$5/100)^$B$6)-(SUMPRODUCT((B18:B25&lt;=$B$6)*(C18:C25*$B$11+D18:D25*$B$10*$B$8*$B$9)/(1+$B$5/100)^B18:B25)+C26*$B$11*0/(1+$B$5/100)^$B$6)</f>
        <v/>
      </c>
      <c r="E126" s="16">
        <f>$D$38</f>
        <v/>
      </c>
      <c r="F126" s="16">
        <f>ABS(E126-D126)</f>
        <v/>
      </c>
      <c r="G126">
        <f>IF(SIGN(D126)&lt;&gt;SIGN(E126),"YES","no")</f>
        <v/>
      </c>
    </row>
    <row r="127">
      <c r="A127" s="7" t="inlineStr">
        <is>
          <t>PCC direct costs</t>
        </is>
      </c>
      <c r="B127" t="inlineStr">
        <is>
          <t>-20%</t>
        </is>
      </c>
      <c r="C127" t="inlineStr">
        <is>
          <t>+20%</t>
        </is>
      </c>
      <c r="D127" s="16">
        <f>(SUMPRODUCT((K18:K20&lt;=$B$6)*(L18:L20*($B$12*0.8)+M18:M20*$B$10*$B$8*$B$9)/(1+$B$5/100)^K18:K20)+L21*($B$12*0.8)*$B$13/(1+$B$5/100)^$B$6)-(SUMPRODUCT((B18:B25&lt;=$B$6)*(C18:C25*$B$11+D18:D25*$B$10*$B$8*$B$9)/(1+$B$5/100)^B18:B25)+C26*$B$11*$B$13/(1+$B$5/100)^$B$6)</f>
        <v/>
      </c>
      <c r="E127" s="16">
        <f>(SUMPRODUCT((K18:K20&lt;=$B$6)*(L18:L20*($B$12*1.2)+M18:M20*$B$10*$B$8*$B$9)/(1+$B$5/100)^K18:K20)+L21*($B$12*1.2)*$B$13/(1+$B$5/100)^$B$6)-(SUMPRODUCT((B18:B25&lt;=$B$6)*(C18:C25*$B$11+D18:D25*$B$10*$B$8*$B$9)/(1+$B$5/100)^B18:B25)+C26*$B$11*$B$13/(1+$B$5/100)^$B$6)</f>
        <v/>
      </c>
      <c r="F127" s="16">
        <f>ABS(E127-D127)</f>
        <v/>
      </c>
      <c r="G127">
        <f>IF(SIGN(D127)&lt;&gt;SIGN(E127),"YES","no")</f>
        <v/>
      </c>
    </row>
    <row r="128">
      <c r="A128" s="7" t="inlineStr">
        <is>
          <t>HMA direct costs</t>
        </is>
      </c>
      <c r="B128" t="inlineStr">
        <is>
          <t>-20%</t>
        </is>
      </c>
      <c r="C128" t="inlineStr">
        <is>
          <t>+20%</t>
        </is>
      </c>
      <c r="D128" s="16">
        <f>(SUMPRODUCT((K18:K20&lt;=$B$6)*(L18:L20*$B$12+M18:M20*$B$10*$B$8*$B$9)/(1+$B$5/100)^K18:K20)+L21*$B$12*$B$13/(1+$B$5/100)^$B$6)-(SUMPRODUCT((B18:B25&lt;=$B$6)*(C18:C25*($B$11*0.8)+D18:D25*$B$10*$B$8*$B$9)/(1+$B$5/100)^B18:B25)+C26*($B$11*0.8)*$B$13/(1+$B$5/100)^$B$6)</f>
        <v/>
      </c>
      <c r="E128" s="16">
        <f>(SUMPRODUCT((K18:K20&lt;=$B$6)*(L18:L20*$B$12+M18:M20*$B$10*$B$8*$B$9)/(1+$B$5/100)^K18:K20)+L21*$B$12*$B$13/(1+$B$5/100)^$B$6)-(SUMPRODUCT((B18:B25&lt;=$B$6)*(C18:C25*($B$11*1.2)+D18:D25*$B$10*$B$8*$B$9)/(1+$B$5/100)^B18:B25)+C26*($B$11*1.2)*$B$13/(1+$B$5/100)^$B$6)</f>
        <v/>
      </c>
      <c r="F128" s="16">
        <f>ABS(E128-D128)</f>
        <v/>
      </c>
      <c r="G128">
        <f>IF(SIGN(D128)&lt;&gt;SIGN(E128),"YES","no")</f>
        <v/>
      </c>
    </row>
    <row r="129">
      <c r="A129" s="7" t="inlineStr">
        <is>
          <t>Closure durations</t>
        </is>
      </c>
      <c r="B129" t="inlineStr">
        <is>
          <t>x0.5</t>
        </is>
      </c>
      <c r="C129" t="inlineStr">
        <is>
          <t>x2</t>
        </is>
      </c>
      <c r="D129" s="16">
        <f>(SUMPRODUCT((K18:K20&lt;=$B$6)*(L18:L20*$B$12+M18:M20*($B$10*0.5)*$B$8*$B$9)/(1+$B$5/100)^K18:K20)+L21*$B$12*$B$13/(1+$B$5/100)^$B$6)-(SUMPRODUCT((B18:B25&lt;=$B$6)*(C18:C25*$B$11+D18:D25*($B$10*0.5)*$B$8*$B$9)/(1+$B$5/100)^B18:B25)+C26*$B$11*$B$13/(1+$B$5/100)^$B$6)</f>
        <v/>
      </c>
      <c r="E129" s="16">
        <f>(SUMPRODUCT((K18:K20&lt;=$B$6)*(L18:L20*$B$12+M18:M20*($B$10*2)*$B$8*$B$9)/(1+$B$5/100)^K18:K20)+L21*$B$12*$B$13/(1+$B$5/100)^$B$6)-(SUMPRODUCT((B18:B25&lt;=$B$6)*(C18:C25*$B$11+D18:D25*($B$10*2)*$B$8*$B$9)/(1+$B$5/100)^B18:B25)+C26*$B$11*$B$13/(1+$B$5/100)^$B$6)</f>
        <v/>
      </c>
      <c r="F129" s="16">
        <f>ABS(E129-D129)</f>
        <v/>
      </c>
      <c r="G129">
        <f>IF(SIGN(D129)&lt;&gt;SIGN(E129),"YES","no")</f>
        <v/>
      </c>
    </row>
    <row r="130">
      <c r="A130" s="7" t="inlineStr">
        <is>
          <t>Lost revenue</t>
        </is>
      </c>
      <c r="B130" t="inlineStr">
        <is>
          <t>excluded</t>
        </is>
      </c>
      <c r="C130" t="inlineStr">
        <is>
          <t>included</t>
        </is>
      </c>
      <c r="D130" s="16">
        <f>(SUMPRODUCT((K18:K20&lt;=$B$6)*(L18:L20*$B$12+M18:M20*$B$10*$B$8*0)/(1+$B$5/100)^K18:K20)+L21*$B$12*$B$13/(1+$B$5/100)^$B$6)-(SUMPRODUCT((B18:B25&lt;=$B$6)*(C18:C25*$B$11+D18:D25*$B$10*$B$8*0)/(1+$B$5/100)^B18:B25)+C26*$B$11*$B$13/(1+$B$5/100)^$B$6)</f>
        <v/>
      </c>
      <c r="E130" s="16">
        <f>$D$38</f>
        <v/>
      </c>
      <c r="F130" s="16">
        <f>ABS(E130-D130)</f>
        <v/>
      </c>
      <c r="G130">
        <f>IF(SIGN(D130)&lt;&gt;SIGN(E130),"YES","no")</f>
        <v/>
      </c>
    </row>
    <row r="131">
      <c r="A131" s="7" t="inlineStr">
        <is>
          <t>Analysis period</t>
        </is>
      </c>
      <c r="B131" t="inlineStr">
        <is>
          <t>20 yr (FAA)</t>
        </is>
      </c>
      <c r="C131" t="inlineStr">
        <is>
          <t>30 yr</t>
        </is>
      </c>
      <c r="D131" s="16">
        <f>(SUMPRODUCT((K18:K20&lt;=20)*(L18:L20*$B$12+M18:M20*$B$10*$B$8*$B$9)/(1+$B$5/100)^K18:K20)+L21*$B$12*$B$13/(1+$B$5/100)^20)-(SUMPRODUCT((B18:B25&lt;=20)*(C18:C25*$B$11+D18:D25*$B$10*$B$8*$B$9)/(1+$B$5/100)^B18:B25)+C26*$B$11*$B$13/(1+$B$5/100)^20)</f>
        <v/>
      </c>
      <c r="E131" s="16">
        <f>$D$38</f>
        <v/>
      </c>
      <c r="F131" s="16">
        <f>ABS(E131-D131)</f>
        <v/>
      </c>
      <c r="G131">
        <f>IF(SIGN(D131)&lt;&gt;SIGN(E131),"YES","no")</f>
        <v/>
      </c>
    </row>
    <row r="132">
      <c r="A132" s="7" t="inlineStr">
        <is>
          <t>Base case PCC - HMA</t>
        </is>
      </c>
      <c r="D132" s="16">
        <f>$D$38</f>
        <v/>
      </c>
    </row>
    <row r="135">
      <c r="A135" s="4" t="inlineStr">
        <is>
          <t>SCENARIO SCORECARD</t>
        </is>
      </c>
    </row>
    <row r="136">
      <c r="A136" s="6" t="inlineStr">
        <is>
          <t>Scenario</t>
        </is>
      </c>
      <c r="B136" s="6" t="inlineStr">
        <is>
          <t>Rate %</t>
        </is>
      </c>
      <c r="C136" s="6" t="inlineStr">
        <is>
          <t>Period</t>
        </is>
      </c>
      <c r="D136" s="6" t="inlineStr">
        <is>
          <t>HMA cost x</t>
        </is>
      </c>
      <c r="E136" s="6" t="inlineStr">
        <is>
          <t>PCC cost x</t>
        </is>
      </c>
      <c r="F136" s="6" t="inlineStr">
        <is>
          <t>Closure x</t>
        </is>
      </c>
      <c r="G136" s="6" t="inlineStr">
        <is>
          <t>Salvage x</t>
        </is>
      </c>
      <c r="H136" s="6" t="inlineStr">
        <is>
          <t>Revenue share lost</t>
        </is>
      </c>
      <c r="I136" s="6" t="inlineStr">
        <is>
          <t>NPW HMA</t>
        </is>
      </c>
      <c r="J136" s="6" t="inlineStr">
        <is>
          <t>NPW PCC</t>
        </is>
      </c>
      <c r="K136" s="6" t="inlineStr">
        <is>
          <t>PCC - HMA</t>
        </is>
      </c>
      <c r="L136" s="6" t="inlineStr">
        <is>
          <t>Winner</t>
        </is>
      </c>
    </row>
    <row r="137">
      <c r="A137" s="7" t="inlineStr">
        <is>
          <t>Base: TDOT policy (3%, 30 yr)</t>
        </is>
      </c>
      <c r="B137" t="n">
        <v>3</v>
      </c>
      <c r="C137" t="n">
        <v>30</v>
      </c>
      <c r="D137" t="n">
        <v>1</v>
      </c>
      <c r="E137" t="n">
        <v>1</v>
      </c>
      <c r="F137" t="n">
        <v>1</v>
      </c>
      <c r="G137" t="n">
        <v>1</v>
      </c>
      <c r="H137" t="n">
        <v>1</v>
      </c>
      <c r="I137" s="16">
        <f>SUMPRODUCT((B18:B25&lt;=$C137)*(C18:C25*$D137+D18:D25*$F137*$B$8*$H137)/(1+$B137/100)^B18:B25)+C26*$D137*$G137/(1+$B137/100)^$C137</f>
        <v/>
      </c>
      <c r="J137" s="16">
        <f>SUMPRODUCT((K18:K20&lt;=$C137)*(L18:L20*$E137+M18:M20*$F137*$B$8*$H137)/(1+$B137/100)^K18:K20)+L21*$E137*$G137/(1+$B137/100)^$C137</f>
        <v/>
      </c>
      <c r="K137" s="16">
        <f>J137-I137</f>
        <v/>
      </c>
      <c r="L137">
        <f>IF(K137&lt;0,"PCC","HMA")</f>
        <v/>
      </c>
    </row>
    <row r="138">
      <c r="A138" s="7" t="inlineStr">
        <is>
          <t>FAA AIP funded (7%, 20 yr)</t>
        </is>
      </c>
      <c r="B138" t="n">
        <v>7</v>
      </c>
      <c r="C138" t="n">
        <v>20</v>
      </c>
      <c r="D138" t="n">
        <v>1</v>
      </c>
      <c r="E138" t="n">
        <v>1</v>
      </c>
      <c r="F138" t="n">
        <v>1</v>
      </c>
      <c r="G138" t="n">
        <v>1</v>
      </c>
      <c r="H138" t="n">
        <v>1</v>
      </c>
      <c r="I138" s="16">
        <f>SUMPRODUCT((B18:B25&lt;=$C138)*(C18:C25*$D138+D18:D25*$F138*$B$8*$H138)/(1+$B138/100)^B18:B25)+C26*$D138*$G138/(1+$B138/100)^$C138</f>
        <v/>
      </c>
      <c r="J138" s="16">
        <f>SUMPRODUCT((K18:K20&lt;=$C138)*(L18:L20*$E138+M18:M20*$F138*$B$8*$H138)/(1+$B138/100)^K18:K20)+L21*$E138*$G138/(1+$B138/100)^$C138</f>
        <v/>
      </c>
      <c r="K138" s="16">
        <f>J138-I138</f>
        <v/>
      </c>
      <c r="L138">
        <f>IF(K138&lt;0,"PCC","HMA")</f>
        <v/>
      </c>
    </row>
    <row r="139">
      <c r="A139" s="7" t="inlineStr">
        <is>
          <t>TDOT 3% but 20-yr life</t>
        </is>
      </c>
      <c r="B139" t="n">
        <v>3</v>
      </c>
      <c r="C139" t="n">
        <v>20</v>
      </c>
      <c r="D139" t="n">
        <v>1</v>
      </c>
      <c r="E139" t="n">
        <v>1</v>
      </c>
      <c r="F139" t="n">
        <v>1</v>
      </c>
      <c r="G139" t="n">
        <v>1</v>
      </c>
      <c r="H139" t="n">
        <v>1</v>
      </c>
      <c r="I139" s="16">
        <f>SUMPRODUCT((B18:B25&lt;=$C139)*(C18:C25*$D139+D18:D25*$F139*$B$8*$H139)/(1+$B139/100)^B18:B25)+C26*$D139*$G139/(1+$B139/100)^$C139</f>
        <v/>
      </c>
      <c r="J139" s="16">
        <f>SUMPRODUCT((K18:K20&lt;=$C139)*(L18:L20*$E139+M18:M20*$F139*$B$8*$H139)/(1+$B139/100)^K18:K20)+L21*$E139*$G139/(1+$B139/100)^$C139</f>
        <v/>
      </c>
      <c r="K139" s="16">
        <f>J139-I139</f>
        <v/>
      </c>
      <c r="L139">
        <f>IF(K139&lt;0,"PCC","HMA")</f>
        <v/>
      </c>
    </row>
    <row r="140">
      <c r="A140" s="7" t="inlineStr">
        <is>
          <t>High rate 5%</t>
        </is>
      </c>
      <c r="B140" t="n">
        <v>5</v>
      </c>
      <c r="C140" t="n">
        <v>30</v>
      </c>
      <c r="D140" t="n">
        <v>1</v>
      </c>
      <c r="E140" t="n">
        <v>1</v>
      </c>
      <c r="F140" t="n">
        <v>1</v>
      </c>
      <c r="G140" t="n">
        <v>1</v>
      </c>
      <c r="H140" t="n">
        <v>1</v>
      </c>
      <c r="I140" s="16">
        <f>SUMPRODUCT((B18:B25&lt;=$C140)*(C18:C25*$D140+D18:D25*$F140*$B$8*$H140)/(1+$B140/100)^B18:B25)+C26*$D140*$G140/(1+$B140/100)^$C140</f>
        <v/>
      </c>
      <c r="J140" s="16">
        <f>SUMPRODUCT((K18:K20&lt;=$C140)*(L18:L20*$E140+M18:M20*$F140*$B$8*$H140)/(1+$B140/100)^K18:K20)+L21*$E140*$G140/(1+$B140/100)^$C140</f>
        <v/>
      </c>
      <c r="K140" s="16">
        <f>J140-I140</f>
        <v/>
      </c>
      <c r="L140">
        <f>IF(K140&lt;0,"PCC","HMA")</f>
        <v/>
      </c>
    </row>
    <row r="141">
      <c r="A141" s="7" t="inlineStr">
        <is>
          <t>No lost-revenue term</t>
        </is>
      </c>
      <c r="B141" t="n">
        <v>3</v>
      </c>
      <c r="C141" t="n">
        <v>30</v>
      </c>
      <c r="D141" t="n">
        <v>1</v>
      </c>
      <c r="E141" t="n">
        <v>1</v>
      </c>
      <c r="F141" t="n">
        <v>1</v>
      </c>
      <c r="G141" t="n">
        <v>1</v>
      </c>
      <c r="H141" t="n">
        <v>0</v>
      </c>
      <c r="I141" s="16">
        <f>SUMPRODUCT((B18:B25&lt;=$C141)*(C18:C25*$D141+D18:D25*$F141*$B$8*$H141)/(1+$B141/100)^B18:B25)+C26*$D141*$G141/(1+$B141/100)^$C141</f>
        <v/>
      </c>
      <c r="J141" s="16">
        <f>SUMPRODUCT((K18:K20&lt;=$C141)*(L18:L20*$E141+M18:M20*$F141*$B$8*$H141)/(1+$B141/100)^K18:K20)+L21*$E141*$G141/(1+$B141/100)^$C141</f>
        <v/>
      </c>
      <c r="K141" s="16">
        <f>J141-I141</f>
        <v/>
      </c>
      <c r="L141">
        <f>IF(K141&lt;0,"PCC","HMA")</f>
        <v/>
      </c>
    </row>
    <row r="142">
      <c r="A142" s="7" t="inlineStr">
        <is>
          <t>Revenue loss at 40% of gross</t>
        </is>
      </c>
      <c r="B142" t="n">
        <v>3</v>
      </c>
      <c r="C142" t="n">
        <v>30</v>
      </c>
      <c r="D142" t="n">
        <v>1</v>
      </c>
      <c r="E142" t="n">
        <v>1</v>
      </c>
      <c r="F142" t="n">
        <v>1</v>
      </c>
      <c r="G142" t="n">
        <v>1</v>
      </c>
      <c r="H142" t="n">
        <v>0.4</v>
      </c>
      <c r="I142" s="16">
        <f>SUMPRODUCT((B18:B25&lt;=$C142)*(C18:C25*$D142+D18:D25*$F142*$B$8*$H142)/(1+$B142/100)^B18:B25)+C26*$D142*$G142/(1+$B142/100)^$C142</f>
        <v/>
      </c>
      <c r="J142" s="16">
        <f>SUMPRODUCT((K18:K20&lt;=$C142)*(L18:L20*$E142+M18:M20*$F142*$B$8*$H142)/(1+$B142/100)^K18:K20)+L21*$E142*$G142/(1+$B142/100)^$C142</f>
        <v/>
      </c>
      <c r="K142" s="16">
        <f>J142-I142</f>
        <v/>
      </c>
      <c r="L142">
        <f>IF(K142&lt;0,"PCC","HMA")</f>
        <v/>
      </c>
    </row>
    <row r="143">
      <c r="A143" s="7" t="inlineStr">
        <is>
          <t>No salvage credit</t>
        </is>
      </c>
      <c r="B143" t="n">
        <v>3</v>
      </c>
      <c r="C143" t="n">
        <v>30</v>
      </c>
      <c r="D143" t="n">
        <v>1</v>
      </c>
      <c r="E143" t="n">
        <v>1</v>
      </c>
      <c r="F143" t="n">
        <v>1</v>
      </c>
      <c r="G143" t="n">
        <v>0</v>
      </c>
      <c r="H143" t="n">
        <v>1</v>
      </c>
      <c r="I143" s="16">
        <f>SUMPRODUCT((B18:B25&lt;=$C143)*(C18:C25*$D143+D18:D25*$F143*$B$8*$H143)/(1+$B143/100)^B18:B25)+C26*$D143*$G143/(1+$B143/100)^$C143</f>
        <v/>
      </c>
      <c r="J143" s="16">
        <f>SUMPRODUCT((K18:K20&lt;=$C143)*(L18:L20*$E143+M18:M20*$F143*$B$8*$H143)/(1+$B143/100)^K18:K20)+L21*$E143*$G143/(1+$B143/100)^$C143</f>
        <v/>
      </c>
      <c r="K143" s="16">
        <f>J143-I143</f>
        <v/>
      </c>
      <c r="L143">
        <f>IF(K143&lt;0,"PCC","HMA")</f>
        <v/>
      </c>
    </row>
    <row r="144">
      <c r="A144" s="7" t="inlineStr">
        <is>
          <t>PCC bids +20%</t>
        </is>
      </c>
      <c r="B144" t="n">
        <v>3</v>
      </c>
      <c r="C144" t="n">
        <v>30</v>
      </c>
      <c r="D144" t="n">
        <v>1</v>
      </c>
      <c r="E144" t="n">
        <v>1.2</v>
      </c>
      <c r="F144" t="n">
        <v>1</v>
      </c>
      <c r="G144" t="n">
        <v>1</v>
      </c>
      <c r="H144" t="n">
        <v>1</v>
      </c>
      <c r="I144" s="16">
        <f>SUMPRODUCT((B18:B25&lt;=$C144)*(C18:C25*$D144+D18:D25*$F144*$B$8*$H144)/(1+$B144/100)^B18:B25)+C26*$D144*$G144/(1+$B144/100)^$C144</f>
        <v/>
      </c>
      <c r="J144" s="16">
        <f>SUMPRODUCT((K18:K20&lt;=$C144)*(L18:L20*$E144+M18:M20*$F144*$B$8*$H144)/(1+$B144/100)^K18:K20)+L21*$E144*$G144/(1+$B144/100)^$C144</f>
        <v/>
      </c>
      <c r="K144" s="16">
        <f>J144-I144</f>
        <v/>
      </c>
      <c r="L144">
        <f>IF(K144&lt;0,"PCC","HMA")</f>
        <v/>
      </c>
    </row>
    <row r="145">
      <c r="A145" s="7" t="inlineStr">
        <is>
          <t>HMA bids +20%</t>
        </is>
      </c>
      <c r="B145" t="n">
        <v>3</v>
      </c>
      <c r="C145" t="n">
        <v>30</v>
      </c>
      <c r="D145" t="n">
        <v>1.2</v>
      </c>
      <c r="E145" t="n">
        <v>1</v>
      </c>
      <c r="F145" t="n">
        <v>1</v>
      </c>
      <c r="G145" t="n">
        <v>1</v>
      </c>
      <c r="H145" t="n">
        <v>1</v>
      </c>
      <c r="I145" s="16">
        <f>SUMPRODUCT((B18:B25&lt;=$C145)*(C18:C25*$D145+D18:D25*$F145*$B$8*$H145)/(1+$B145/100)^B18:B25)+C26*$D145*$G145/(1+$B145/100)^$C145</f>
        <v/>
      </c>
      <c r="J145" s="16">
        <f>SUMPRODUCT((K18:K20&lt;=$C145)*(L18:L20*$E145+M18:M20*$F145*$B$8*$H145)/(1+$B145/100)^K18:K20)+L21*$E145*$G145/(1+$B145/100)^$C145</f>
        <v/>
      </c>
      <c r="K145" s="16">
        <f>J145-I145</f>
        <v/>
      </c>
      <c r="L145">
        <f>IF(K145&lt;0,"PCC","HMA")</f>
        <v/>
      </c>
    </row>
    <row r="146">
      <c r="A146" s="7" t="inlineStr">
        <is>
          <t>Closures twice as long</t>
        </is>
      </c>
      <c r="B146" t="n">
        <v>3</v>
      </c>
      <c r="C146" t="n">
        <v>30</v>
      </c>
      <c r="D146" t="n">
        <v>1</v>
      </c>
      <c r="E146" t="n">
        <v>1</v>
      </c>
      <c r="F146" t="n">
        <v>2</v>
      </c>
      <c r="G146" t="n">
        <v>1</v>
      </c>
      <c r="H146" t="n">
        <v>1</v>
      </c>
      <c r="I146" s="16">
        <f>SUMPRODUCT((B18:B25&lt;=$C146)*(C18:C25*$D146+D18:D25*$F146*$B$8*$H146)/(1+$B146/100)^B18:B25)+C26*$D146*$G146/(1+$B146/100)^$C146</f>
        <v/>
      </c>
      <c r="J146" s="16">
        <f>SUMPRODUCT((K18:K20&lt;=$C146)*(L18:L20*$E146+M18:M20*$F146*$B$8*$H146)/(1+$B146/100)^K18:K20)+L21*$E146*$G146/(1+$B146/100)^$C146</f>
        <v/>
      </c>
      <c r="K146" s="16">
        <f>J146-I146</f>
        <v/>
      </c>
      <c r="L146">
        <f>IF(K146&lt;0,"PCC","HMA")</f>
        <v/>
      </c>
    </row>
    <row r="147">
      <c r="A147" s="7" t="inlineStr">
        <is>
          <t>Closures half as long</t>
        </is>
      </c>
      <c r="B147" t="n">
        <v>3</v>
      </c>
      <c r="C147" t="n">
        <v>30</v>
      </c>
      <c r="D147" t="n">
        <v>1</v>
      </c>
      <c r="E147" t="n">
        <v>1</v>
      </c>
      <c r="F147" t="n">
        <v>0.5</v>
      </c>
      <c r="G147" t="n">
        <v>1</v>
      </c>
      <c r="H147" t="n">
        <v>1</v>
      </c>
      <c r="I147" s="16">
        <f>SUMPRODUCT((B18:B25&lt;=$C147)*(C18:C25*$D147+D18:D25*$F147*$B$8*$H147)/(1+$B147/100)^B18:B25)+C26*$D147*$G147/(1+$B147/100)^$C147</f>
        <v/>
      </c>
      <c r="J147" s="16">
        <f>SUMPRODUCT((K18:K20&lt;=$C147)*(L18:L20*$E147+M18:M20*$F147*$B$8*$H147)/(1+$B147/100)^K18:K20)+L21*$E147*$G147/(1+$B147/100)^$C147</f>
        <v/>
      </c>
      <c r="K147" s="16">
        <f>J147-I147</f>
        <v/>
      </c>
      <c r="L147">
        <f>IF(K147&lt;0,"PCC","HMA")</f>
        <v/>
      </c>
    </row>
    <row r="148">
      <c r="A148" s="7" t="inlineStr">
        <is>
          <t>Stress: 7%, no salvage, no lost revenue</t>
        </is>
      </c>
      <c r="B148" t="n">
        <v>7</v>
      </c>
      <c r="C148" t="n">
        <v>30</v>
      </c>
      <c r="D148" t="n">
        <v>1</v>
      </c>
      <c r="E148" t="n">
        <v>1</v>
      </c>
      <c r="F148" t="n">
        <v>1</v>
      </c>
      <c r="G148" t="n">
        <v>0</v>
      </c>
      <c r="H148" t="n">
        <v>0</v>
      </c>
      <c r="I148" s="16">
        <f>SUMPRODUCT((B18:B25&lt;=$C148)*(C18:C25*$D148+D18:D25*$F148*$B$8*$H148)/(1+$B148/100)^B18:B25)+C26*$D148*$G148/(1+$B148/100)^$C148</f>
        <v/>
      </c>
      <c r="J148" s="16">
        <f>SUMPRODUCT((K18:K20&lt;=$C148)*(L18:L20*$E148+M18:M20*$F148*$B$8*$H148)/(1+$B148/100)^K18:K20)+L21*$E148*$G148/(1+$B148/100)^$C148</f>
        <v/>
      </c>
      <c r="K148" s="16">
        <f>J148-I148</f>
        <v/>
      </c>
      <c r="L148">
        <f>IF(K148&lt;0,"PCC","HMA")</f>
        <v/>
      </c>
    </row>
    <row r="149">
      <c r="A149" s="5" t="inlineStr">
        <is>
          <t>Note: scenario rows use their own parameters, not the yellow inputs. A 20-year period applies the same salvage fraction at year 20 (conservative simplification).</t>
        </is>
      </c>
    </row>
    <row r="152">
      <c r="A152" s="4" t="inlineStr">
        <is>
          <t>DECISION MAP: PCC - HMA present worth by discount rate and salvage credit</t>
        </is>
      </c>
    </row>
    <row r="153">
      <c r="A153" s="13" t="inlineStr">
        <is>
          <t>Salvage multiplier \ Rate (%)</t>
        </is>
      </c>
      <c r="B153" s="28" t="n">
        <v>2</v>
      </c>
      <c r="C153" s="28" t="n">
        <v>3</v>
      </c>
      <c r="D153" s="28" t="n">
        <v>4</v>
      </c>
      <c r="E153" s="28" t="n">
        <v>5</v>
      </c>
      <c r="F153" s="28" t="n">
        <v>6</v>
      </c>
      <c r="G153" s="28" t="n">
        <v>7</v>
      </c>
      <c r="H153" s="28" t="n">
        <v>8</v>
      </c>
    </row>
    <row r="154">
      <c r="A154" s="29" t="n">
        <v>0</v>
      </c>
      <c r="B154" s="30">
        <f>(SUMPRODUCT((K18:K20&lt;=$B$6)*(L18:L20*$B$12+M18:M20*$B$10*$B$8*$B$9)/(1+2/100)^K18:K20)+L21*$B$12*0/(1+2/100)^$B$6)-(SUMPRODUCT((B18:B25&lt;=$B$6)*(C18:C25*$B$11+D18:D25*$B$10*$B$8*$B$9)/(1+2/100)^B18:B25)+C26*$B$11*0/(1+2/100)^$B$6)</f>
        <v/>
      </c>
      <c r="C154" s="30">
        <f>(SUMPRODUCT((K18:K20&lt;=$B$6)*(L18:L20*$B$12+M18:M20*$B$10*$B$8*$B$9)/(1+3/100)^K18:K20)+L21*$B$12*0/(1+3/100)^$B$6)-(SUMPRODUCT((B18:B25&lt;=$B$6)*(C18:C25*$B$11+D18:D25*$B$10*$B$8*$B$9)/(1+3/100)^B18:B25)+C26*$B$11*0/(1+3/100)^$B$6)</f>
        <v/>
      </c>
      <c r="D154" s="30">
        <f>(SUMPRODUCT((K18:K20&lt;=$B$6)*(L18:L20*$B$12+M18:M20*$B$10*$B$8*$B$9)/(1+4/100)^K18:K20)+L21*$B$12*0/(1+4/100)^$B$6)-(SUMPRODUCT((B18:B25&lt;=$B$6)*(C18:C25*$B$11+D18:D25*$B$10*$B$8*$B$9)/(1+4/100)^B18:B25)+C26*$B$11*0/(1+4/100)^$B$6)</f>
        <v/>
      </c>
      <c r="E154" s="30">
        <f>(SUMPRODUCT((K18:K20&lt;=$B$6)*(L18:L20*$B$12+M18:M20*$B$10*$B$8*$B$9)/(1+5/100)^K18:K20)+L21*$B$12*0/(1+5/100)^$B$6)-(SUMPRODUCT((B18:B25&lt;=$B$6)*(C18:C25*$B$11+D18:D25*$B$10*$B$8*$B$9)/(1+5/100)^B18:B25)+C26*$B$11*0/(1+5/100)^$B$6)</f>
        <v/>
      </c>
      <c r="F154" s="30">
        <f>(SUMPRODUCT((K18:K20&lt;=$B$6)*(L18:L20*$B$12+M18:M20*$B$10*$B$8*$B$9)/(1+6/100)^K18:K20)+L21*$B$12*0/(1+6/100)^$B$6)-(SUMPRODUCT((B18:B25&lt;=$B$6)*(C18:C25*$B$11+D18:D25*$B$10*$B$8*$B$9)/(1+6/100)^B18:B25)+C26*$B$11*0/(1+6/100)^$B$6)</f>
        <v/>
      </c>
      <c r="G154" s="30">
        <f>(SUMPRODUCT((K18:K20&lt;=$B$6)*(L18:L20*$B$12+M18:M20*$B$10*$B$8*$B$9)/(1+7/100)^K18:K20)+L21*$B$12*0/(1+7/100)^$B$6)-(SUMPRODUCT((B18:B25&lt;=$B$6)*(C18:C25*$B$11+D18:D25*$B$10*$B$8*$B$9)/(1+7/100)^B18:B25)+C26*$B$11*0/(1+7/100)^$B$6)</f>
        <v/>
      </c>
      <c r="H154" s="30">
        <f>(SUMPRODUCT((K18:K20&lt;=$B$6)*(L18:L20*$B$12+M18:M20*$B$10*$B$8*$B$9)/(1+8/100)^K18:K20)+L21*$B$12*0/(1+8/100)^$B$6)-(SUMPRODUCT((B18:B25&lt;=$B$6)*(C18:C25*$B$11+D18:D25*$B$10*$B$8*$B$9)/(1+8/100)^B18:B25)+C26*$B$11*0/(1+8/100)^$B$6)</f>
        <v/>
      </c>
    </row>
    <row r="155">
      <c r="A155" s="29" t="n">
        <v>0.25</v>
      </c>
      <c r="B155" s="30">
        <f>(SUMPRODUCT((K18:K20&lt;=$B$6)*(L18:L20*$B$12+M18:M20*$B$10*$B$8*$B$9)/(1+2/100)^K18:K20)+L21*$B$12*0.25/(1+2/100)^$B$6)-(SUMPRODUCT((B18:B25&lt;=$B$6)*(C18:C25*$B$11+D18:D25*$B$10*$B$8*$B$9)/(1+2/100)^B18:B25)+C26*$B$11*0.25/(1+2/100)^$B$6)</f>
        <v/>
      </c>
      <c r="C155" s="30">
        <f>(SUMPRODUCT((K18:K20&lt;=$B$6)*(L18:L20*$B$12+M18:M20*$B$10*$B$8*$B$9)/(1+3/100)^K18:K20)+L21*$B$12*0.25/(1+3/100)^$B$6)-(SUMPRODUCT((B18:B25&lt;=$B$6)*(C18:C25*$B$11+D18:D25*$B$10*$B$8*$B$9)/(1+3/100)^B18:B25)+C26*$B$11*0.25/(1+3/100)^$B$6)</f>
        <v/>
      </c>
      <c r="D155" s="30">
        <f>(SUMPRODUCT((K18:K20&lt;=$B$6)*(L18:L20*$B$12+M18:M20*$B$10*$B$8*$B$9)/(1+4/100)^K18:K20)+L21*$B$12*0.25/(1+4/100)^$B$6)-(SUMPRODUCT((B18:B25&lt;=$B$6)*(C18:C25*$B$11+D18:D25*$B$10*$B$8*$B$9)/(1+4/100)^B18:B25)+C26*$B$11*0.25/(1+4/100)^$B$6)</f>
        <v/>
      </c>
      <c r="E155" s="30">
        <f>(SUMPRODUCT((K18:K20&lt;=$B$6)*(L18:L20*$B$12+M18:M20*$B$10*$B$8*$B$9)/(1+5/100)^K18:K20)+L21*$B$12*0.25/(1+5/100)^$B$6)-(SUMPRODUCT((B18:B25&lt;=$B$6)*(C18:C25*$B$11+D18:D25*$B$10*$B$8*$B$9)/(1+5/100)^B18:B25)+C26*$B$11*0.25/(1+5/100)^$B$6)</f>
        <v/>
      </c>
      <c r="F155" s="30">
        <f>(SUMPRODUCT((K18:K20&lt;=$B$6)*(L18:L20*$B$12+M18:M20*$B$10*$B$8*$B$9)/(1+6/100)^K18:K20)+L21*$B$12*0.25/(1+6/100)^$B$6)-(SUMPRODUCT((B18:B25&lt;=$B$6)*(C18:C25*$B$11+D18:D25*$B$10*$B$8*$B$9)/(1+6/100)^B18:B25)+C26*$B$11*0.25/(1+6/100)^$B$6)</f>
        <v/>
      </c>
      <c r="G155" s="30">
        <f>(SUMPRODUCT((K18:K20&lt;=$B$6)*(L18:L20*$B$12+M18:M20*$B$10*$B$8*$B$9)/(1+7/100)^K18:K20)+L21*$B$12*0.25/(1+7/100)^$B$6)-(SUMPRODUCT((B18:B25&lt;=$B$6)*(C18:C25*$B$11+D18:D25*$B$10*$B$8*$B$9)/(1+7/100)^B18:B25)+C26*$B$11*0.25/(1+7/100)^$B$6)</f>
        <v/>
      </c>
      <c r="H155" s="30">
        <f>(SUMPRODUCT((K18:K20&lt;=$B$6)*(L18:L20*$B$12+M18:M20*$B$10*$B$8*$B$9)/(1+8/100)^K18:K20)+L21*$B$12*0.25/(1+8/100)^$B$6)-(SUMPRODUCT((B18:B25&lt;=$B$6)*(C18:C25*$B$11+D18:D25*$B$10*$B$8*$B$9)/(1+8/100)^B18:B25)+C26*$B$11*0.25/(1+8/100)^$B$6)</f>
        <v/>
      </c>
    </row>
    <row r="156">
      <c r="A156" s="29" t="n">
        <v>0.5</v>
      </c>
      <c r="B156" s="30">
        <f>(SUMPRODUCT((K18:K20&lt;=$B$6)*(L18:L20*$B$12+M18:M20*$B$10*$B$8*$B$9)/(1+2/100)^K18:K20)+L21*$B$12*0.5/(1+2/100)^$B$6)-(SUMPRODUCT((B18:B25&lt;=$B$6)*(C18:C25*$B$11+D18:D25*$B$10*$B$8*$B$9)/(1+2/100)^B18:B25)+C26*$B$11*0.5/(1+2/100)^$B$6)</f>
        <v/>
      </c>
      <c r="C156" s="30">
        <f>(SUMPRODUCT((K18:K20&lt;=$B$6)*(L18:L20*$B$12+M18:M20*$B$10*$B$8*$B$9)/(1+3/100)^K18:K20)+L21*$B$12*0.5/(1+3/100)^$B$6)-(SUMPRODUCT((B18:B25&lt;=$B$6)*(C18:C25*$B$11+D18:D25*$B$10*$B$8*$B$9)/(1+3/100)^B18:B25)+C26*$B$11*0.5/(1+3/100)^$B$6)</f>
        <v/>
      </c>
      <c r="D156" s="30">
        <f>(SUMPRODUCT((K18:K20&lt;=$B$6)*(L18:L20*$B$12+M18:M20*$B$10*$B$8*$B$9)/(1+4/100)^K18:K20)+L21*$B$12*0.5/(1+4/100)^$B$6)-(SUMPRODUCT((B18:B25&lt;=$B$6)*(C18:C25*$B$11+D18:D25*$B$10*$B$8*$B$9)/(1+4/100)^B18:B25)+C26*$B$11*0.5/(1+4/100)^$B$6)</f>
        <v/>
      </c>
      <c r="E156" s="30">
        <f>(SUMPRODUCT((K18:K20&lt;=$B$6)*(L18:L20*$B$12+M18:M20*$B$10*$B$8*$B$9)/(1+5/100)^K18:K20)+L21*$B$12*0.5/(1+5/100)^$B$6)-(SUMPRODUCT((B18:B25&lt;=$B$6)*(C18:C25*$B$11+D18:D25*$B$10*$B$8*$B$9)/(1+5/100)^B18:B25)+C26*$B$11*0.5/(1+5/100)^$B$6)</f>
        <v/>
      </c>
      <c r="F156" s="30">
        <f>(SUMPRODUCT((K18:K20&lt;=$B$6)*(L18:L20*$B$12+M18:M20*$B$10*$B$8*$B$9)/(1+6/100)^K18:K20)+L21*$B$12*0.5/(1+6/100)^$B$6)-(SUMPRODUCT((B18:B25&lt;=$B$6)*(C18:C25*$B$11+D18:D25*$B$10*$B$8*$B$9)/(1+6/100)^B18:B25)+C26*$B$11*0.5/(1+6/100)^$B$6)</f>
        <v/>
      </c>
      <c r="G156" s="30">
        <f>(SUMPRODUCT((K18:K20&lt;=$B$6)*(L18:L20*$B$12+M18:M20*$B$10*$B$8*$B$9)/(1+7/100)^K18:K20)+L21*$B$12*0.5/(1+7/100)^$B$6)-(SUMPRODUCT((B18:B25&lt;=$B$6)*(C18:C25*$B$11+D18:D25*$B$10*$B$8*$B$9)/(1+7/100)^B18:B25)+C26*$B$11*0.5/(1+7/100)^$B$6)</f>
        <v/>
      </c>
      <c r="H156" s="30">
        <f>(SUMPRODUCT((K18:K20&lt;=$B$6)*(L18:L20*$B$12+M18:M20*$B$10*$B$8*$B$9)/(1+8/100)^K18:K20)+L21*$B$12*0.5/(1+8/100)^$B$6)-(SUMPRODUCT((B18:B25&lt;=$B$6)*(C18:C25*$B$11+D18:D25*$B$10*$B$8*$B$9)/(1+8/100)^B18:B25)+C26*$B$11*0.5/(1+8/100)^$B$6)</f>
        <v/>
      </c>
    </row>
    <row r="157">
      <c r="A157" s="29" t="n">
        <v>0.75</v>
      </c>
      <c r="B157" s="30">
        <f>(SUMPRODUCT((K18:K20&lt;=$B$6)*(L18:L20*$B$12+M18:M20*$B$10*$B$8*$B$9)/(1+2/100)^K18:K20)+L21*$B$12*0.75/(1+2/100)^$B$6)-(SUMPRODUCT((B18:B25&lt;=$B$6)*(C18:C25*$B$11+D18:D25*$B$10*$B$8*$B$9)/(1+2/100)^B18:B25)+C26*$B$11*0.75/(1+2/100)^$B$6)</f>
        <v/>
      </c>
      <c r="C157" s="30">
        <f>(SUMPRODUCT((K18:K20&lt;=$B$6)*(L18:L20*$B$12+M18:M20*$B$10*$B$8*$B$9)/(1+3/100)^K18:K20)+L21*$B$12*0.75/(1+3/100)^$B$6)-(SUMPRODUCT((B18:B25&lt;=$B$6)*(C18:C25*$B$11+D18:D25*$B$10*$B$8*$B$9)/(1+3/100)^B18:B25)+C26*$B$11*0.75/(1+3/100)^$B$6)</f>
        <v/>
      </c>
      <c r="D157" s="30">
        <f>(SUMPRODUCT((K18:K20&lt;=$B$6)*(L18:L20*$B$12+M18:M20*$B$10*$B$8*$B$9)/(1+4/100)^K18:K20)+L21*$B$12*0.75/(1+4/100)^$B$6)-(SUMPRODUCT((B18:B25&lt;=$B$6)*(C18:C25*$B$11+D18:D25*$B$10*$B$8*$B$9)/(1+4/100)^B18:B25)+C26*$B$11*0.75/(1+4/100)^$B$6)</f>
        <v/>
      </c>
      <c r="E157" s="30">
        <f>(SUMPRODUCT((K18:K20&lt;=$B$6)*(L18:L20*$B$12+M18:M20*$B$10*$B$8*$B$9)/(1+5/100)^K18:K20)+L21*$B$12*0.75/(1+5/100)^$B$6)-(SUMPRODUCT((B18:B25&lt;=$B$6)*(C18:C25*$B$11+D18:D25*$B$10*$B$8*$B$9)/(1+5/100)^B18:B25)+C26*$B$11*0.75/(1+5/100)^$B$6)</f>
        <v/>
      </c>
      <c r="F157" s="30">
        <f>(SUMPRODUCT((K18:K20&lt;=$B$6)*(L18:L20*$B$12+M18:M20*$B$10*$B$8*$B$9)/(1+6/100)^K18:K20)+L21*$B$12*0.75/(1+6/100)^$B$6)-(SUMPRODUCT((B18:B25&lt;=$B$6)*(C18:C25*$B$11+D18:D25*$B$10*$B$8*$B$9)/(1+6/100)^B18:B25)+C26*$B$11*0.75/(1+6/100)^$B$6)</f>
        <v/>
      </c>
      <c r="G157" s="30">
        <f>(SUMPRODUCT((K18:K20&lt;=$B$6)*(L18:L20*$B$12+M18:M20*$B$10*$B$8*$B$9)/(1+7/100)^K18:K20)+L21*$B$12*0.75/(1+7/100)^$B$6)-(SUMPRODUCT((B18:B25&lt;=$B$6)*(C18:C25*$B$11+D18:D25*$B$10*$B$8*$B$9)/(1+7/100)^B18:B25)+C26*$B$11*0.75/(1+7/100)^$B$6)</f>
        <v/>
      </c>
      <c r="H157" s="30">
        <f>(SUMPRODUCT((K18:K20&lt;=$B$6)*(L18:L20*$B$12+M18:M20*$B$10*$B$8*$B$9)/(1+8/100)^K18:K20)+L21*$B$12*0.75/(1+8/100)^$B$6)-(SUMPRODUCT((B18:B25&lt;=$B$6)*(C18:C25*$B$11+D18:D25*$B$10*$B$8*$B$9)/(1+8/100)^B18:B25)+C26*$B$11*0.75/(1+8/100)^$B$6)</f>
        <v/>
      </c>
    </row>
    <row r="158">
      <c r="A158" s="29" t="n">
        <v>1</v>
      </c>
      <c r="B158" s="30">
        <f>(SUMPRODUCT((K18:K20&lt;=$B$6)*(L18:L20*$B$12+M18:M20*$B$10*$B$8*$B$9)/(1+2/100)^K18:K20)+L21*$B$12*1.0/(1+2/100)^$B$6)-(SUMPRODUCT((B18:B25&lt;=$B$6)*(C18:C25*$B$11+D18:D25*$B$10*$B$8*$B$9)/(1+2/100)^B18:B25)+C26*$B$11*1.0/(1+2/100)^$B$6)</f>
        <v/>
      </c>
      <c r="C158" s="30">
        <f>(SUMPRODUCT((K18:K20&lt;=$B$6)*(L18:L20*$B$12+M18:M20*$B$10*$B$8*$B$9)/(1+3/100)^K18:K20)+L21*$B$12*1.0/(1+3/100)^$B$6)-(SUMPRODUCT((B18:B25&lt;=$B$6)*(C18:C25*$B$11+D18:D25*$B$10*$B$8*$B$9)/(1+3/100)^B18:B25)+C26*$B$11*1.0/(1+3/100)^$B$6)</f>
        <v/>
      </c>
      <c r="D158" s="30">
        <f>(SUMPRODUCT((K18:K20&lt;=$B$6)*(L18:L20*$B$12+M18:M20*$B$10*$B$8*$B$9)/(1+4/100)^K18:K20)+L21*$B$12*1.0/(1+4/100)^$B$6)-(SUMPRODUCT((B18:B25&lt;=$B$6)*(C18:C25*$B$11+D18:D25*$B$10*$B$8*$B$9)/(1+4/100)^B18:B25)+C26*$B$11*1.0/(1+4/100)^$B$6)</f>
        <v/>
      </c>
      <c r="E158" s="30">
        <f>(SUMPRODUCT((K18:K20&lt;=$B$6)*(L18:L20*$B$12+M18:M20*$B$10*$B$8*$B$9)/(1+5/100)^K18:K20)+L21*$B$12*1.0/(1+5/100)^$B$6)-(SUMPRODUCT((B18:B25&lt;=$B$6)*(C18:C25*$B$11+D18:D25*$B$10*$B$8*$B$9)/(1+5/100)^B18:B25)+C26*$B$11*1.0/(1+5/100)^$B$6)</f>
        <v/>
      </c>
      <c r="F158" s="30">
        <f>(SUMPRODUCT((K18:K20&lt;=$B$6)*(L18:L20*$B$12+M18:M20*$B$10*$B$8*$B$9)/(1+6/100)^K18:K20)+L21*$B$12*1.0/(1+6/100)^$B$6)-(SUMPRODUCT((B18:B25&lt;=$B$6)*(C18:C25*$B$11+D18:D25*$B$10*$B$8*$B$9)/(1+6/100)^B18:B25)+C26*$B$11*1.0/(1+6/100)^$B$6)</f>
        <v/>
      </c>
      <c r="G158" s="30">
        <f>(SUMPRODUCT((K18:K20&lt;=$B$6)*(L18:L20*$B$12+M18:M20*$B$10*$B$8*$B$9)/(1+7/100)^K18:K20)+L21*$B$12*1.0/(1+7/100)^$B$6)-(SUMPRODUCT((B18:B25&lt;=$B$6)*(C18:C25*$B$11+D18:D25*$B$10*$B$8*$B$9)/(1+7/100)^B18:B25)+C26*$B$11*1.0/(1+7/100)^$B$6)</f>
        <v/>
      </c>
      <c r="H158" s="30">
        <f>(SUMPRODUCT((K18:K20&lt;=$B$6)*(L18:L20*$B$12+M18:M20*$B$10*$B$8*$B$9)/(1+8/100)^K18:K20)+L21*$B$12*1.0/(1+8/100)^$B$6)-(SUMPRODUCT((B18:B25&lt;=$B$6)*(C18:C25*$B$11+D18:D25*$B$10*$B$8*$B$9)/(1+8/100)^B18:B25)+C26*$B$11*1.0/(1+8/100)^$B$6)</f>
        <v/>
      </c>
    </row>
    <row r="159">
      <c r="A159" s="5" t="inlineStr">
        <is>
          <t>Orange = PCC lower, blue = HMA lower. White cells are within a rounding error of a tie.</t>
        </is>
      </c>
    </row>
    <row r="162">
      <c r="A162" s="13" t="inlineStr">
        <is>
          <t>PW by category (chart data)</t>
        </is>
      </c>
    </row>
    <row r="163">
      <c r="A163" s="6" t="inlineStr">
        <is>
          <t>Alternative</t>
        </is>
      </c>
      <c r="B163" s="6" t="inlineStr">
        <is>
          <t>Initial</t>
        </is>
      </c>
      <c r="C163" s="6" t="inlineStr">
        <is>
          <t>Maintenance</t>
        </is>
      </c>
      <c r="D163" s="6" t="inlineStr">
        <is>
          <t>Rehabilitation</t>
        </is>
      </c>
      <c r="E163" s="6" t="inlineStr">
        <is>
          <t>Lost revenue</t>
        </is>
      </c>
      <c r="F163" s="6" t="inlineStr">
        <is>
          <t>Salvage</t>
        </is>
      </c>
    </row>
    <row r="164">
      <c r="A164" t="inlineStr">
        <is>
          <t>HMA</t>
        </is>
      </c>
      <c r="B164" s="16">
        <f>B33</f>
        <v/>
      </c>
      <c r="C164" s="16">
        <f>B34</f>
        <v/>
      </c>
      <c r="D164" s="16">
        <f>B35</f>
        <v/>
      </c>
      <c r="E164" s="16">
        <f>B36</f>
        <v/>
      </c>
      <c r="F164" s="16">
        <f>B37</f>
        <v/>
      </c>
    </row>
    <row r="165">
      <c r="A165" t="inlineStr">
        <is>
          <t>PCC</t>
        </is>
      </c>
      <c r="B165" s="16">
        <f>C33</f>
        <v/>
      </c>
      <c r="C165" s="16">
        <f>C34</f>
        <v/>
      </c>
      <c r="D165" s="16">
        <f>C35</f>
        <v/>
      </c>
      <c r="E165" s="16">
        <f>C36</f>
        <v/>
      </c>
      <c r="F165" s="16">
        <f>C37</f>
        <v/>
      </c>
    </row>
    <row r="167">
      <c r="A167" s="13" t="inlineStr">
        <is>
          <t>Closure events (chart data)</t>
        </is>
      </c>
    </row>
    <row r="168">
      <c r="A168" s="6" t="inlineStr">
        <is>
          <t>Activity</t>
        </is>
      </c>
      <c r="B168" s="6" t="inlineStr">
        <is>
          <t>Calendar year</t>
        </is>
      </c>
      <c r="C168" s="6" t="inlineStr">
        <is>
          <t>Lane</t>
        </is>
      </c>
      <c r="D168" s="6" t="inlineStr">
        <is>
          <t>Days</t>
        </is>
      </c>
      <c r="E168" s="6" t="inlineStr">
        <is>
          <t>Lost revenue</t>
        </is>
      </c>
    </row>
    <row r="169">
      <c r="A169" t="inlineStr">
        <is>
          <t>HMA: Maintenance 1</t>
        </is>
      </c>
      <c r="B169">
        <f>IF(B19&lt;=$B$6,$B$7+B19,NA())</f>
        <v/>
      </c>
      <c r="C169" t="n">
        <v>1</v>
      </c>
      <c r="D169">
        <f>D19*$B$10</f>
        <v/>
      </c>
      <c r="E169" s="16">
        <f>F19</f>
        <v/>
      </c>
    </row>
    <row r="170">
      <c r="A170" t="inlineStr">
        <is>
          <t>HMA: Maintenance 2</t>
        </is>
      </c>
      <c r="B170">
        <f>IF(B20&lt;=$B$6,$B$7+B20,NA())</f>
        <v/>
      </c>
      <c r="C170" t="n">
        <v>1</v>
      </c>
      <c r="D170">
        <f>D20*$B$10</f>
        <v/>
      </c>
      <c r="E170" s="16">
        <f>F20</f>
        <v/>
      </c>
    </row>
    <row r="171">
      <c r="A171" t="inlineStr">
        <is>
          <t>HMA: Maintenance 3</t>
        </is>
      </c>
      <c r="B171">
        <f>IF(B21&lt;=$B$6,$B$7+B21,NA())</f>
        <v/>
      </c>
      <c r="C171" t="n">
        <v>1</v>
      </c>
      <c r="D171">
        <f>D21*$B$10</f>
        <v/>
      </c>
      <c r="E171" s="16">
        <f>F21</f>
        <v/>
      </c>
    </row>
    <row r="172">
      <c r="A172" t="inlineStr">
        <is>
          <t>HMA: Maintenance 4</t>
        </is>
      </c>
      <c r="B172">
        <f>IF(B22&lt;=$B$6,$B$7+B22,NA())</f>
        <v/>
      </c>
      <c r="C172" t="n">
        <v>1</v>
      </c>
      <c r="D172">
        <f>D22*$B$10</f>
        <v/>
      </c>
      <c r="E172" s="16">
        <f>F22</f>
        <v/>
      </c>
    </row>
    <row r="173">
      <c r="A173" t="inlineStr">
        <is>
          <t>HMA: Rehabilitation 1</t>
        </is>
      </c>
      <c r="B173">
        <f>IF(B23&lt;=$B$6,$B$7+B23,NA())</f>
        <v/>
      </c>
      <c r="C173" t="n">
        <v>1</v>
      </c>
      <c r="D173">
        <f>D23*$B$10</f>
        <v/>
      </c>
      <c r="E173" s="16">
        <f>F23</f>
        <v/>
      </c>
    </row>
    <row r="174">
      <c r="A174" t="inlineStr">
        <is>
          <t>HMA: Maintenance 5</t>
        </is>
      </c>
      <c r="B174">
        <f>IF(B24&lt;=$B$6,$B$7+B24,NA())</f>
        <v/>
      </c>
      <c r="C174" t="n">
        <v>1</v>
      </c>
      <c r="D174">
        <f>D24*$B$10</f>
        <v/>
      </c>
      <c r="E174" s="16">
        <f>F24</f>
        <v/>
      </c>
    </row>
    <row r="175">
      <c r="A175" t="inlineStr">
        <is>
          <t>HMA: Maintenance 6</t>
        </is>
      </c>
      <c r="B175">
        <f>IF(B25&lt;=$B$6,$B$7+B25,NA())</f>
        <v/>
      </c>
      <c r="C175" t="n">
        <v>1</v>
      </c>
      <c r="D175">
        <f>D25*$B$10</f>
        <v/>
      </c>
      <c r="E175" s="16">
        <f>F25</f>
        <v/>
      </c>
    </row>
    <row r="176">
      <c r="A176" t="inlineStr">
        <is>
          <t>PCC: Maintenance 1</t>
        </is>
      </c>
      <c r="B176">
        <f>IF(K19&lt;=$B$6,$B$7+K19,NA())</f>
        <v/>
      </c>
      <c r="C176" t="n">
        <v>2</v>
      </c>
      <c r="D176">
        <f>M19*$B$10</f>
        <v/>
      </c>
      <c r="E176" s="16">
        <f>O19</f>
        <v/>
      </c>
    </row>
    <row r="177">
      <c r="A177" t="inlineStr">
        <is>
          <t>PCC: Rehabilitation 1</t>
        </is>
      </c>
      <c r="B177">
        <f>IF(K20&lt;=$B$6,$B$7+K20,NA())</f>
        <v/>
      </c>
      <c r="C177" t="n">
        <v>2</v>
      </c>
      <c r="D177">
        <f>M20*$B$10</f>
        <v/>
      </c>
      <c r="E177" s="16">
        <f>O20</f>
        <v/>
      </c>
    </row>
  </sheetData>
  <conditionalFormatting sqref="D59:D83">
    <cfRule type="colorScale" priority="1">
      <colorScale>
        <cfvo type="min"/>
        <cfvo type="num" val="0"/>
        <cfvo type="max"/>
        <color rgb="00F8CDB9"/>
        <color rgb="00FFFFFF"/>
        <color rgb="00B7D3F6"/>
      </colorScale>
    </cfRule>
  </conditionalFormatting>
  <conditionalFormatting sqref="G124:G131">
    <cfRule type="cellIs" priority="2" operator="equal" dxfId="0">
      <formula>"YES"</formula>
    </cfRule>
  </conditionalFormatting>
  <conditionalFormatting sqref="K137:K148">
    <cfRule type="colorScale" priority="3">
      <colorScale>
        <cfvo type="min"/>
        <cfvo type="num" val="0"/>
        <cfvo type="max"/>
        <color rgb="00F8CDB9"/>
        <color rgb="00FFFFFF"/>
        <color rgb="00B7D3F6"/>
      </colorScale>
    </cfRule>
  </conditionalFormatting>
  <conditionalFormatting sqref="B154:H158">
    <cfRule type="colorScale" priority="4">
      <colorScale>
        <cfvo type="min"/>
        <cfvo type="num" val="0"/>
        <cfvo type="max"/>
        <color rgb="00F39C7A"/>
        <color rgb="00FFFFFF"/>
        <color rgb="006DA7E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4" t="inlineStr">
        <is>
          <t>Upper Cumberland Regional (SRB) - Runway Reconstruction</t>
        </is>
      </c>
    </row>
    <row r="2">
      <c r="A2" s="5" t="inlineStr">
        <is>
          <t>Life-cycle cost comparison with runway-closure lost revenue. Yellow cells are inputs; everything else recalculates.</t>
        </is>
      </c>
    </row>
    <row r="4">
      <c r="A4" s="6" t="inlineStr">
        <is>
          <t>Parameter</t>
        </is>
      </c>
      <c r="B4" s="6" t="inlineStr">
        <is>
          <t>Value</t>
        </is>
      </c>
      <c r="C4" s="6" t="inlineStr">
        <is>
          <t>Note</t>
        </is>
      </c>
    </row>
    <row r="5">
      <c r="A5" s="7" t="inlineStr">
        <is>
          <t>Discount rate (%)</t>
        </is>
      </c>
      <c r="B5" s="8" t="n">
        <v>3</v>
      </c>
      <c r="C5" s="5" t="inlineStr">
        <is>
          <t>TDOT default 3; FAA AIP handbook requires 7 for AIP-funded LCCA</t>
        </is>
      </c>
    </row>
    <row r="6">
      <c r="A6" s="7" t="inlineStr">
        <is>
          <t>Analysis period (years)</t>
        </is>
      </c>
      <c r="B6" s="9" t="n">
        <v>30</v>
      </c>
      <c r="C6" s="5" t="inlineStr">
        <is>
          <t>TDOT policy 30; FAA AIP caps project life at 20</t>
        </is>
      </c>
    </row>
    <row r="7">
      <c r="A7" s="7" t="inlineStr">
        <is>
          <t>Construction year</t>
        </is>
      </c>
      <c r="B7" s="9" t="n">
        <v>2027</v>
      </c>
      <c r="C7" s="5" t="inlineStr"/>
    </row>
    <row r="8">
      <c r="A8" s="7" t="inlineStr">
        <is>
          <t>Airport daily revenue ($/day)</t>
        </is>
      </c>
      <c r="B8" s="10" t="n">
        <v>4344.12</v>
      </c>
      <c r="C8" s="5" t="inlineStr">
        <is>
          <t>Sum of the seven RevenueData columns for this airport (workbook method)</t>
        </is>
      </c>
    </row>
    <row r="9">
      <c r="A9" s="7" t="inlineStr">
        <is>
          <t>Share of daily revenue actually lost during a closure</t>
        </is>
      </c>
      <c r="B9" s="11" t="n">
        <v>1</v>
      </c>
      <c r="C9" s="5" t="inlineStr">
        <is>
          <t>1.0 = workbook method (gross fuel sales and tenant rent count as lost). Try 0.3 to 0.5 for margin-based revenue</t>
        </is>
      </c>
    </row>
    <row r="10">
      <c r="A10" s="7" t="inlineStr">
        <is>
          <t>Closure-days multiplier</t>
        </is>
      </c>
      <c r="B10" s="9" t="n">
        <v>1</v>
      </c>
      <c r="C10" s="5" t="inlineStr">
        <is>
          <t>Scales every closure duration (production-rate defaults from the workbook)</t>
        </is>
      </c>
    </row>
    <row r="11">
      <c r="A11" s="7" t="inlineStr">
        <is>
          <t>HMA cost multiplier</t>
        </is>
      </c>
      <c r="B11" s="9" t="n">
        <v>1</v>
      </c>
      <c r="C11" s="5" t="inlineStr">
        <is>
          <t>Bid-price uncertainty on all HMA direct costs</t>
        </is>
      </c>
    </row>
    <row r="12">
      <c r="A12" s="7" t="inlineStr">
        <is>
          <t>PCC cost multiplier</t>
        </is>
      </c>
      <c r="B12" s="9" t="n">
        <v>1</v>
      </c>
      <c r="C12" s="5" t="inlineStr">
        <is>
          <t>Bid-price uncertainty on all PCC direct costs</t>
        </is>
      </c>
    </row>
    <row r="13">
      <c r="A13" s="7" t="inlineStr">
        <is>
          <t>Salvage multiplier</t>
        </is>
      </c>
      <c r="B13" s="9" t="n">
        <v>1</v>
      </c>
      <c r="C13" s="5" t="inlineStr">
        <is>
          <t>0 = no salvage credit; 1 = workbook policy (PCC 25% of initial, HMA 12.5% of one mill-and-overlay)</t>
        </is>
      </c>
    </row>
    <row r="14">
      <c r="A14" s="7" t="inlineStr">
        <is>
          <t>Mainline area (SY)</t>
        </is>
      </c>
      <c r="B14" s="12" t="n">
        <v>74488.89</v>
      </c>
      <c r="C14" s="5" t="inlineStr"/>
    </row>
    <row r="16">
      <c r="A16" s="13" t="inlineStr">
        <is>
          <t>Alt 2 - New HMA  (4" P-401 + 5" P-403 on 6" P-209)</t>
        </is>
      </c>
      <c r="J16" s="13" t="inlineStr">
        <is>
          <t>Alt 1 - New PCC  (11" P-501 on 6" P-209 + P-403 base)</t>
        </is>
      </c>
    </row>
    <row r="17">
      <c r="A17" s="14" t="inlineStr">
        <is>
          <t>Activity</t>
        </is>
      </c>
      <c r="B17" s="14" t="inlineStr">
        <is>
          <t>Year</t>
        </is>
      </c>
      <c r="C17" s="14" t="inlineStr">
        <is>
          <t>Direct cost (base $)</t>
        </is>
      </c>
      <c r="D17" s="14" t="inlineStr">
        <is>
          <t>Closure days (base)</t>
        </is>
      </c>
      <c r="E17" s="14" t="inlineStr">
        <is>
          <t>Direct cost (scenario)</t>
        </is>
      </c>
      <c r="F17" s="14" t="inlineStr">
        <is>
          <t>Lost revenue (scenario)</t>
        </is>
      </c>
      <c r="G17" s="14" t="inlineStr">
        <is>
          <t>Present worth</t>
        </is>
      </c>
      <c r="J17" s="15" t="inlineStr">
        <is>
          <t>Activity</t>
        </is>
      </c>
      <c r="K17" s="15" t="inlineStr">
        <is>
          <t>Year</t>
        </is>
      </c>
      <c r="L17" s="15" t="inlineStr">
        <is>
          <t>Direct cost (base $)</t>
        </is>
      </c>
      <c r="M17" s="15" t="inlineStr">
        <is>
          <t>Closure days (base)</t>
        </is>
      </c>
      <c r="N17" s="15" t="inlineStr">
        <is>
          <t>Direct cost (scenario)</t>
        </is>
      </c>
      <c r="O17" s="15" t="inlineStr">
        <is>
          <t>Lost revenue (scenario)</t>
        </is>
      </c>
      <c r="P17" s="15" t="inlineStr">
        <is>
          <t>Present worth</t>
        </is>
      </c>
    </row>
    <row r="18">
      <c r="A18" s="7" t="inlineStr">
        <is>
          <t>Initial construction</t>
        </is>
      </c>
      <c r="B18" s="7" t="n">
        <v>0</v>
      </c>
      <c r="C18" s="16" t="n">
        <v>9009181.189999999</v>
      </c>
      <c r="D18" t="n">
        <v>0</v>
      </c>
      <c r="E18" s="16">
        <f>C18*$B$11</f>
        <v/>
      </c>
      <c r="F18" s="16">
        <f>D18*$B$10*$B$8*$B$9</f>
        <v/>
      </c>
      <c r="G18" s="16">
        <f>IF(B18&gt;$B$6,0,(E18+F18)/(1+$B$5/100)^B18)</f>
        <v/>
      </c>
      <c r="J18" s="7" t="inlineStr">
        <is>
          <t>Initial construction</t>
        </is>
      </c>
      <c r="K18" s="7" t="n">
        <v>0</v>
      </c>
      <c r="L18" s="16" t="n">
        <v>15445398.25</v>
      </c>
      <c r="M18" t="n">
        <v>0</v>
      </c>
      <c r="N18" s="16">
        <f>L18*$B$12</f>
        <v/>
      </c>
      <c r="O18" s="16">
        <f>M18*$B$10*$B$8*$B$9</f>
        <v/>
      </c>
      <c r="P18" s="16">
        <f>IF(K18&gt;$B$6,0,(N18+O18)/(1+$B$5/100)^K18)</f>
        <v/>
      </c>
    </row>
    <row r="19">
      <c r="A19" s="7" t="inlineStr">
        <is>
          <t>Maintenance 1</t>
        </is>
      </c>
      <c r="B19" s="7" t="n">
        <v>4</v>
      </c>
      <c r="C19" s="16" t="n">
        <v>714698.49</v>
      </c>
      <c r="D19" t="n">
        <v>8</v>
      </c>
      <c r="E19" s="16">
        <f>C19*$B$11</f>
        <v/>
      </c>
      <c r="F19" s="16">
        <f>D19*$B$10*$B$8*$B$9</f>
        <v/>
      </c>
      <c r="G19" s="16">
        <f>IF(B19&gt;$B$6,0,(E19+F19)/(1+$B$5/100)^B19)</f>
        <v/>
      </c>
      <c r="J19" s="7" t="inlineStr">
        <is>
          <t>Maintenance 1</t>
        </is>
      </c>
      <c r="K19" s="7" t="n">
        <v>19</v>
      </c>
      <c r="L19" s="16" t="n">
        <v>432674.93</v>
      </c>
      <c r="M19" t="n">
        <v>11</v>
      </c>
      <c r="N19" s="16">
        <f>L19*$B$12</f>
        <v/>
      </c>
      <c r="O19" s="16">
        <f>M19*$B$10*$B$8*$B$9</f>
        <v/>
      </c>
      <c r="P19" s="16">
        <f>IF(K19&gt;$B$6,0,(N19+O19)/(1+$B$5/100)^K19)</f>
        <v/>
      </c>
    </row>
    <row r="20">
      <c r="A20" s="7" t="inlineStr">
        <is>
          <t>Maintenance 2</t>
        </is>
      </c>
      <c r="B20" s="7" t="n">
        <v>8</v>
      </c>
      <c r="C20" s="16" t="n">
        <v>714698.49</v>
      </c>
      <c r="D20" t="n">
        <v>8</v>
      </c>
      <c r="E20" s="16">
        <f>C20*$B$11</f>
        <v/>
      </c>
      <c r="F20" s="16">
        <f>D20*$B$10*$B$8*$B$9</f>
        <v/>
      </c>
      <c r="G20" s="16">
        <f>IF(B20&gt;$B$6,0,(E20+F20)/(1+$B$5/100)^B20)</f>
        <v/>
      </c>
      <c r="J20" s="7" t="inlineStr">
        <is>
          <t>Rehabilitation 1</t>
        </is>
      </c>
      <c r="K20" s="7" t="n">
        <v>27</v>
      </c>
      <c r="L20" s="16" t="n">
        <v>604639.4</v>
      </c>
      <c r="M20" t="n">
        <v>20</v>
      </c>
      <c r="N20" s="16">
        <f>L20*$B$12</f>
        <v/>
      </c>
      <c r="O20" s="16">
        <f>M20*$B$10*$B$8*$B$9</f>
        <v/>
      </c>
      <c r="P20" s="16">
        <f>IF(K20&gt;$B$6,0,(N20+O20)/(1+$B$5/100)^K20)</f>
        <v/>
      </c>
    </row>
    <row r="21">
      <c r="A21" s="7" t="inlineStr">
        <is>
          <t>Maintenance 3</t>
        </is>
      </c>
      <c r="B21" s="7" t="n">
        <v>12</v>
      </c>
      <c r="C21" s="16" t="n">
        <v>805448.74</v>
      </c>
      <c r="D21" t="n">
        <v>10</v>
      </c>
      <c r="E21" s="16">
        <f>C21*$B$11</f>
        <v/>
      </c>
      <c r="F21" s="16">
        <f>D21*$B$10*$B$8*$B$9</f>
        <v/>
      </c>
      <c r="G21" s="16">
        <f>IF(B21&gt;$B$6,0,(E21+F21)/(1+$B$5/100)^B21)</f>
        <v/>
      </c>
      <c r="J21" s="7" t="inlineStr">
        <is>
          <t>Salvage value (at end of period)</t>
        </is>
      </c>
      <c r="K21">
        <f>$B$6</f>
        <v/>
      </c>
      <c r="L21" s="16" t="n">
        <v>-3861349.5625</v>
      </c>
      <c r="N21" s="16">
        <f>L21*$B$12*$B$13</f>
        <v/>
      </c>
      <c r="P21" s="16">
        <f>N21/(1+$B$5/100)^K21</f>
        <v/>
      </c>
    </row>
    <row r="22">
      <c r="A22" s="7" t="inlineStr">
        <is>
          <t>Maintenance 4</t>
        </is>
      </c>
      <c r="B22" s="7" t="n">
        <v>16</v>
      </c>
      <c r="C22" s="16" t="n">
        <v>825031.76</v>
      </c>
      <c r="D22" t="n">
        <v>10</v>
      </c>
      <c r="E22" s="16">
        <f>C22*$B$11</f>
        <v/>
      </c>
      <c r="F22" s="16">
        <f>D22*$B$10*$B$8*$B$9</f>
        <v/>
      </c>
      <c r="G22" s="16">
        <f>IF(B22&gt;$B$6,0,(E22+F22)/(1+$B$5/100)^B22)</f>
        <v/>
      </c>
      <c r="J22" s="13" t="inlineStr">
        <is>
          <t>Net present worth</t>
        </is>
      </c>
      <c r="P22" s="17">
        <f>SUM(P18:P21)</f>
        <v/>
      </c>
    </row>
    <row r="23">
      <c r="A23" s="7" t="inlineStr">
        <is>
          <t>Rehabilitation 1</t>
        </is>
      </c>
      <c r="B23" s="7" t="n">
        <v>20</v>
      </c>
      <c r="C23" s="16" t="n">
        <v>3270106.16</v>
      </c>
      <c r="D23" t="n">
        <v>21</v>
      </c>
      <c r="E23" s="16">
        <f>C23*$B$11</f>
        <v/>
      </c>
      <c r="F23" s="16">
        <f>D23*$B$10*$B$8*$B$9</f>
        <v/>
      </c>
      <c r="G23" s="16">
        <f>IF(B23&gt;$B$6,0,(E23+F23)/(1+$B$5/100)^B23)</f>
        <v/>
      </c>
      <c r="J23" s="5" t="inlineStr">
        <is>
          <t>Salvage basis: 25% of initial construction per TDOT Maintenance Policies; base costs from the 2026-05-21 workbook run</t>
        </is>
      </c>
    </row>
    <row r="24">
      <c r="A24" s="7" t="inlineStr">
        <is>
          <t>Maintenance 5</t>
        </is>
      </c>
      <c r="B24" s="7" t="n">
        <v>24</v>
      </c>
      <c r="C24" s="16" t="n">
        <v>714698.49</v>
      </c>
      <c r="D24" t="n">
        <v>8</v>
      </c>
      <c r="E24" s="16">
        <f>C24*$B$11</f>
        <v/>
      </c>
      <c r="F24" s="16">
        <f>D24*$B$10*$B$8*$B$9</f>
        <v/>
      </c>
      <c r="G24" s="16">
        <f>IF(B24&gt;$B$6,0,(E24+F24)/(1+$B$5/100)^B24)</f>
        <v/>
      </c>
    </row>
    <row r="25">
      <c r="A25" s="7" t="inlineStr">
        <is>
          <t>Maintenance 6</t>
        </is>
      </c>
      <c r="B25" s="7" t="n">
        <v>28</v>
      </c>
      <c r="C25" s="16" t="n">
        <v>847814.9</v>
      </c>
      <c r="D25" t="n">
        <v>10</v>
      </c>
      <c r="E25" s="16">
        <f>C25*$B$11</f>
        <v/>
      </c>
      <c r="F25" s="16">
        <f>D25*$B$10*$B$8*$B$9</f>
        <v/>
      </c>
      <c r="G25" s="16">
        <f>IF(B25&gt;$B$6,0,(E25+F25)/(1+$B$5/100)^B25)</f>
        <v/>
      </c>
    </row>
    <row r="26">
      <c r="A26" s="7" t="inlineStr">
        <is>
          <t>Salvage value (at end of period)</t>
        </is>
      </c>
      <c r="B26">
        <f>$B$6</f>
        <v/>
      </c>
      <c r="C26" s="16" t="n">
        <v>-408763.27</v>
      </c>
      <c r="E26" s="16">
        <f>C26*$B$11*$B$13</f>
        <v/>
      </c>
      <c r="G26" s="16">
        <f>E26/(1+$B$5/100)^B26</f>
        <v/>
      </c>
    </row>
    <row r="27">
      <c r="A27" s="13" t="inlineStr">
        <is>
          <t>Net present worth</t>
        </is>
      </c>
      <c r="G27" s="17">
        <f>SUM(G18:G26)</f>
        <v/>
      </c>
    </row>
    <row r="28">
      <c r="A28" s="5" t="inlineStr">
        <is>
          <t>Salvage basis: 12.5% (2 of 16 years) of the mill-and-overlay per TDOT Maintenance Policies; base costs from the 2026-05-21 workbook run</t>
        </is>
      </c>
    </row>
    <row r="31">
      <c r="A31" s="4" t="inlineStr">
        <is>
          <t>RESULTS</t>
        </is>
      </c>
    </row>
    <row r="32">
      <c r="A32" s="6" t="inlineStr">
        <is>
          <t>Measure</t>
        </is>
      </c>
      <c r="B32" s="6" t="inlineStr">
        <is>
          <t>HMA</t>
        </is>
      </c>
      <c r="C32" s="6" t="inlineStr">
        <is>
          <t>PCC</t>
        </is>
      </c>
      <c r="D32" s="6" t="inlineStr">
        <is>
          <t>PCC - HMA</t>
        </is>
      </c>
    </row>
    <row r="33">
      <c r="A33" s="18" t="inlineStr">
        <is>
          <t>Initial construction (scenario)</t>
        </is>
      </c>
      <c r="B33" s="19">
        <f>E18</f>
        <v/>
      </c>
      <c r="C33" s="19">
        <f>N18</f>
        <v/>
      </c>
      <c r="D33" s="19">
        <f>C33-B33</f>
        <v/>
      </c>
    </row>
    <row r="34">
      <c r="A34" s="18" t="inlineStr">
        <is>
          <t>Maintenance PW</t>
        </is>
      </c>
      <c r="B34" s="19">
        <f>SUMPRODUCT((B19:B25&lt;=$B$6)*ISNUMBER(SEARCH("Maintenance",A19:A25))*E19:E25/(1+$B$5/100)^B19:B25)</f>
        <v/>
      </c>
      <c r="C34" s="19">
        <f>SUMPRODUCT((K19:K20&lt;=$B$6)*ISNUMBER(SEARCH("Maintenance",J19:J20))*N19:N20/(1+$B$5/100)^K19:K20)</f>
        <v/>
      </c>
      <c r="D34" s="19">
        <f>C34-B34</f>
        <v/>
      </c>
    </row>
    <row r="35">
      <c r="A35" s="18" t="inlineStr">
        <is>
          <t>Rehabilitation PW</t>
        </is>
      </c>
      <c r="B35" s="19">
        <f>SUMPRODUCT((B19:B25&lt;=$B$6)*ISNUMBER(SEARCH("Rehabilitation",A19:A25))*E19:E25/(1+$B$5/100)^B19:B25)</f>
        <v/>
      </c>
      <c r="C35" s="19">
        <f>SUMPRODUCT((K19:K20&lt;=$B$6)*ISNUMBER(SEARCH("Rehabilitation",J19:J20))*N19:N20/(1+$B$5/100)^K19:K20)</f>
        <v/>
      </c>
      <c r="D35" s="19">
        <f>C35-B35</f>
        <v/>
      </c>
    </row>
    <row r="36">
      <c r="A36" s="18" t="inlineStr">
        <is>
          <t>Lost revenue PW</t>
        </is>
      </c>
      <c r="B36" s="19">
        <f>SUMPRODUCT((B18:B25&lt;=$B$6)*F18:F25/(1+$B$5/100)^B18:B25)</f>
        <v/>
      </c>
      <c r="C36" s="19">
        <f>SUMPRODUCT((K18:K20&lt;=$B$6)*O18:O20/(1+$B$5/100)^K18:K20)</f>
        <v/>
      </c>
      <c r="D36" s="19">
        <f>C36-B36</f>
        <v/>
      </c>
    </row>
    <row r="37">
      <c r="A37" s="18" t="inlineStr">
        <is>
          <t>Salvage PW</t>
        </is>
      </c>
      <c r="B37" s="19">
        <f>G26</f>
        <v/>
      </c>
      <c r="C37" s="19">
        <f>P21</f>
        <v/>
      </c>
      <c r="D37" s="19">
        <f>C37-B37</f>
        <v/>
      </c>
    </row>
    <row r="38">
      <c r="A38" s="18" t="inlineStr">
        <is>
          <t>Net present worth</t>
        </is>
      </c>
      <c r="B38" s="19">
        <f>G27</f>
        <v/>
      </c>
      <c r="C38" s="19">
        <f>P22</f>
        <v/>
      </c>
      <c r="D38" s="19">
        <f>C38-B38</f>
        <v/>
      </c>
    </row>
    <row r="39">
      <c r="A39" s="18" t="inlineStr">
        <is>
          <t>Equivalent uniform annual cost</t>
        </is>
      </c>
      <c r="B39" s="19">
        <f>G27*($B$5/100)*(1+$B$5/100)^$B$6/((1+$B$5/100)^$B$6-1)</f>
        <v/>
      </c>
      <c r="C39" s="19">
        <f>P22*($B$5/100)*(1+$B$5/100)^$B$6/((1+$B$5/100)^$B$6-1)</f>
        <v/>
      </c>
      <c r="D39" s="19">
        <f>C39-B39</f>
        <v/>
      </c>
    </row>
    <row r="40">
      <c r="A40" s="18" t="inlineStr">
        <is>
          <t>NPW per SY of mainline</t>
        </is>
      </c>
      <c r="B40" s="20">
        <f>G27/$B$14</f>
        <v/>
      </c>
      <c r="C40" s="20">
        <f>P22/$B$14</f>
        <v/>
      </c>
      <c r="D40" s="20">
        <f>C40-B40</f>
        <v/>
      </c>
    </row>
    <row r="41">
      <c r="A41" s="18" t="inlineStr">
        <is>
          <t>Closure days in period</t>
        </is>
      </c>
      <c r="B41" s="21">
        <f>SUMPRODUCT((B18:B25&lt;=$B$6)*D18:D25)*$B$10</f>
        <v/>
      </c>
      <c r="C41" s="21">
        <f>SUMPRODUCT((K18:K20&lt;=$B$6)*M18:M20)*$B$10</f>
        <v/>
      </c>
      <c r="D41" s="21">
        <f>C41-B41</f>
        <v/>
      </c>
    </row>
    <row r="42">
      <c r="A42" s="18" t="inlineStr">
        <is>
          <t>Runway availability over period</t>
        </is>
      </c>
      <c r="B42" s="22">
        <f>1-(SUMPRODUCT((B18:B25&lt;=$B$6)*D18:D25)*$B$10)/($B$6*365)</f>
        <v/>
      </c>
      <c r="C42" s="22">
        <f>1-(SUMPRODUCT((K18:K20&lt;=$B$6)*M18:M20)*$B$10)/($B$6*365)</f>
        <v/>
      </c>
      <c r="D42" s="22">
        <f>C42-B42</f>
        <v/>
      </c>
    </row>
    <row r="43">
      <c r="A43" s="18" t="inlineStr">
        <is>
          <t>Lost revenue, undiscounted</t>
        </is>
      </c>
      <c r="B43" s="19">
        <f>SUMPRODUCT((B18:B25&lt;=$B$6)*F18:F25)</f>
        <v/>
      </c>
      <c r="C43" s="19">
        <f>SUMPRODUCT((K18:K20&lt;=$B$6)*O18:O20)</f>
        <v/>
      </c>
      <c r="D43" s="19">
        <f>C43-B43</f>
        <v/>
      </c>
    </row>
    <row r="44">
      <c r="A44" s="13" t="inlineStr">
        <is>
          <t>Lower-cost alternative</t>
        </is>
      </c>
      <c r="B44" s="13">
        <f>IF(C38&lt;B38,"PCC","HMA")</f>
        <v/>
      </c>
      <c r="C44" s="16">
        <f>ABS(D38)</f>
        <v/>
      </c>
      <c r="D44" s="23">
        <f>ABS(D38)/MAX(B38,C38)</f>
        <v/>
      </c>
      <c r="E44" s="5">
        <f>IF(D44&lt;0.1,"Margin inside estimating noise (&lt;10%): treat as a tie on cost; decide on closures and constructability","Margin outside estimating noise")</f>
        <v/>
      </c>
    </row>
    <row r="45">
      <c r="A45" s="13" t="inlineStr">
        <is>
          <t>Same winner at 7% (FAA AIP)?</t>
        </is>
      </c>
      <c r="B45">
        <f>IF((SUMPRODUCT((K18:K20&lt;=$B$6)*(L18:L20*$B$12+M18:M20*$B$10*$B$8*$B$9)/(1+7/100)^K18:K20)+L21*$B$12*$B$13/(1+7/100)^$B$6)&lt;(SUMPRODUCT((B18:B25&lt;=$B$6)*(C18:C25*$B$11+D18:D25*$B$10*$B$8*$B$9)/(1+7/100)^B18:B25)+C26*$B$11*$B$13/(1+7/100)^$B$6),"PCC","HMA")</f>
        <v/>
      </c>
      <c r="C45" s="13">
        <f>IF(B45=B44,"Yes","No - decision depends on the discount rate")</f>
        <v/>
      </c>
    </row>
    <row r="48">
      <c r="A48" s="4" t="inlineStr">
        <is>
          <t>BREAK-EVEN VALUES (where PCC and HMA present worth are equal)</t>
        </is>
      </c>
    </row>
    <row r="49">
      <c r="A49" s="6" t="inlineStr">
        <is>
          <t>Input</t>
        </is>
      </c>
      <c r="B49" s="6" t="inlineStr">
        <is>
          <t>Break-even value</t>
        </is>
      </c>
      <c r="C49" s="6" t="inlineStr">
        <is>
          <t>Current value</t>
        </is>
      </c>
      <c r="D49" s="6" t="inlineStr">
        <is>
          <t>Reading</t>
        </is>
      </c>
    </row>
    <row r="50">
      <c r="A50" s="18" t="inlineStr">
        <is>
          <t>Airport daily revenue ($/day)</t>
        </is>
      </c>
      <c r="B50" s="24">
        <f>IFERROR(IF(-(((SUMPRODUCT((K18:K20&lt;=$B$6)*N18:N20/(1+$B$5/100)^K18:K20)+P21))-((SUMPRODUCT((B18:B25&lt;=$B$6)*E18:E25/(1+$B$5/100)^B18:B25)+G26)))/((SUMPRODUCT((K18:K20&lt;=$B$6)*M18:M20*$B$10*$B$9/(1+$B$5/100)^K18:K20))-(SUMPRODUCT((B18:B25&lt;=$B$6)*D18:D25*$B$10*$B$9/(1+$B$5/100)^B18:B25)))&lt;=0,"none (no positive value ties them)",-(((SUMPRODUCT((K18:K20&lt;=$B$6)*N18:N20/(1+$B$5/100)^K18:K20)+P21))-((SUMPRODUCT((B18:B25&lt;=$B$6)*E18:E25/(1+$B$5/100)^B18:B25)+G26)))/((SUMPRODUCT((K18:K20&lt;=$B$6)*M18:M20*$B$10*$B$9/(1+$B$5/100)^K18:K20))-(SUMPRODUCT((B18:B25&lt;=$B$6)*D18:D25*$B$10*$B$9/(1+$B$5/100)^B18:B25)))),"n/a")</f>
        <v/>
      </c>
      <c r="C50" s="24">
        <f>$B$8</f>
        <v/>
      </c>
      <c r="D50" s="5" t="inlineStr">
        <is>
          <t>Daily revenue at which lost-revenue exposure alone flips the decision</t>
        </is>
      </c>
    </row>
    <row r="51">
      <c r="A51" s="18" t="inlineStr">
        <is>
          <t>PCC cost multiplier</t>
        </is>
      </c>
      <c r="B51" s="25">
        <f>IFERROR((G27-SUMPRODUCT((K18:K20&lt;=$B$6)*O18:O20/(1+$B$5/100)^K18:K20))/(((SUMPRODUCT((K18:K20&lt;=$B$6)*N18:N20/(1+$B$5/100)^K18:K20)+P21))/$B$12),"n/a")</f>
        <v/>
      </c>
      <c r="C51" s="25">
        <f>$B$12</f>
        <v/>
      </c>
      <c r="D51" s="5" t="inlineStr">
        <is>
          <t>PCC bid level (x base estimate) at which the two tie</t>
        </is>
      </c>
    </row>
    <row r="52">
      <c r="A52" s="18" t="inlineStr">
        <is>
          <t>HMA cost multiplier</t>
        </is>
      </c>
      <c r="B52" s="25">
        <f>IFERROR((P22-SUMPRODUCT((B18:B25&lt;=$B$6)*F18:F25/(1+$B$5/100)^B18:B25))/(((SUMPRODUCT((B18:B25&lt;=$B$6)*E18:E25/(1+$B$5/100)^B18:B25)+G26))/$B$11),"n/a")</f>
        <v/>
      </c>
      <c r="C52" s="25">
        <f>$B$11</f>
        <v/>
      </c>
      <c r="D52" s="5" t="inlineStr">
        <is>
          <t>HMA bid level (x base estimate) at which the two tie</t>
        </is>
      </c>
    </row>
    <row r="53">
      <c r="A53" s="18" t="inlineStr">
        <is>
          <t>PCC salvage credit (% of initial)</t>
        </is>
      </c>
      <c r="B53" s="26">
        <f>IFERROR((P22-P21-G27)/(N18/(1+$B$5/100)^$B$6),"n/a")</f>
        <v/>
      </c>
      <c r="C53" s="26">
        <f>-L21*$B$13/L18</f>
        <v/>
      </c>
      <c r="D53" s="5" t="inlineStr">
        <is>
          <t>Salvage fraction PCC needs to tie; compare with the 25% policy</t>
        </is>
      </c>
    </row>
    <row r="54">
      <c r="A54" s="7" t="inlineStr">
        <is>
          <t>Discount rate (%)</t>
        </is>
      </c>
      <c r="B54" s="27">
        <f>IFERROR(INDEX($A$59:$A$83,MATCH(TRUE,INDEX($E$59:$E$83&lt;&gt;$E$59,0),0)),"none in 2-8%")</f>
        <v/>
      </c>
      <c r="C54" s="27">
        <f>$B$5</f>
        <v/>
      </c>
      <c r="D54" s="5" t="inlineStr">
        <is>
          <t>First rate in the 2-8% sweep where the winner changes (from the sensitivity table)</t>
        </is>
      </c>
    </row>
    <row r="57">
      <c r="A57" s="4" t="inlineStr">
        <is>
          <t>DISCOUNT-RATE SENSITIVITY</t>
        </is>
      </c>
    </row>
    <row r="58">
      <c r="A58" s="6" t="inlineStr">
        <is>
          <t>Rate (%)</t>
        </is>
      </c>
      <c r="B58" s="6" t="inlineStr">
        <is>
          <t>NPW HMA</t>
        </is>
      </c>
      <c r="C58" s="6" t="inlineStr">
        <is>
          <t>NPW PCC</t>
        </is>
      </c>
      <c r="D58" s="6" t="inlineStr">
        <is>
          <t>PCC - HMA</t>
        </is>
      </c>
      <c r="E58" s="6" t="inlineStr">
        <is>
          <t>Winner</t>
        </is>
      </c>
    </row>
    <row r="59">
      <c r="A59" s="27" t="n">
        <v>2</v>
      </c>
      <c r="B59" s="16">
        <f>SUMPRODUCT((B18:B25&lt;=$B$6)*(C18:C25*$B$11+D18:D25*$B$10*$B$8*$B$9)/(1+$A59/100)^B18:B25)+C26*$B$11*$B$13/(1+$A59/100)^$B$6</f>
        <v/>
      </c>
      <c r="C59" s="16">
        <f>SUMPRODUCT((K18:K20&lt;=$B$6)*(L18:L20*$B$12+M18:M20*$B$10*$B$8*$B$9)/(1+$A59/100)^K18:K20)+L21*$B$12*$B$13/(1+$A59/100)^$B$6</f>
        <v/>
      </c>
      <c r="D59" s="16">
        <f>C59-B59</f>
        <v/>
      </c>
      <c r="E59">
        <f>IF(D59&lt;0,"PCC","HMA")</f>
        <v/>
      </c>
    </row>
    <row r="60">
      <c r="A60" s="27" t="n">
        <v>2.25</v>
      </c>
      <c r="B60" s="16">
        <f>SUMPRODUCT((B18:B25&lt;=$B$6)*(C18:C25*$B$11+D18:D25*$B$10*$B$8*$B$9)/(1+$A60/100)^B18:B25)+C26*$B$11*$B$13/(1+$A60/100)^$B$6</f>
        <v/>
      </c>
      <c r="C60" s="16">
        <f>SUMPRODUCT((K18:K20&lt;=$B$6)*(L18:L20*$B$12+M18:M20*$B$10*$B$8*$B$9)/(1+$A60/100)^K18:K20)+L21*$B$12*$B$13/(1+$A60/100)^$B$6</f>
        <v/>
      </c>
      <c r="D60" s="16">
        <f>C60-B60</f>
        <v/>
      </c>
      <c r="E60">
        <f>IF(D60&lt;0,"PCC","HMA")</f>
        <v/>
      </c>
    </row>
    <row r="61">
      <c r="A61" s="27" t="n">
        <v>2.5</v>
      </c>
      <c r="B61" s="16">
        <f>SUMPRODUCT((B18:B25&lt;=$B$6)*(C18:C25*$B$11+D18:D25*$B$10*$B$8*$B$9)/(1+$A61/100)^B18:B25)+C26*$B$11*$B$13/(1+$A61/100)^$B$6</f>
        <v/>
      </c>
      <c r="C61" s="16">
        <f>SUMPRODUCT((K18:K20&lt;=$B$6)*(L18:L20*$B$12+M18:M20*$B$10*$B$8*$B$9)/(1+$A61/100)^K18:K20)+L21*$B$12*$B$13/(1+$A61/100)^$B$6</f>
        <v/>
      </c>
      <c r="D61" s="16">
        <f>C61-B61</f>
        <v/>
      </c>
      <c r="E61">
        <f>IF(D61&lt;0,"PCC","HMA")</f>
        <v/>
      </c>
    </row>
    <row r="62">
      <c r="A62" s="27" t="n">
        <v>2.75</v>
      </c>
      <c r="B62" s="16">
        <f>SUMPRODUCT((B18:B25&lt;=$B$6)*(C18:C25*$B$11+D18:D25*$B$10*$B$8*$B$9)/(1+$A62/100)^B18:B25)+C26*$B$11*$B$13/(1+$A62/100)^$B$6</f>
        <v/>
      </c>
      <c r="C62" s="16">
        <f>SUMPRODUCT((K18:K20&lt;=$B$6)*(L18:L20*$B$12+M18:M20*$B$10*$B$8*$B$9)/(1+$A62/100)^K18:K20)+L21*$B$12*$B$13/(1+$A62/100)^$B$6</f>
        <v/>
      </c>
      <c r="D62" s="16">
        <f>C62-B62</f>
        <v/>
      </c>
      <c r="E62">
        <f>IF(D62&lt;0,"PCC","HMA")</f>
        <v/>
      </c>
    </row>
    <row r="63">
      <c r="A63" s="27" t="n">
        <v>3</v>
      </c>
      <c r="B63" s="16">
        <f>SUMPRODUCT((B18:B25&lt;=$B$6)*(C18:C25*$B$11+D18:D25*$B$10*$B$8*$B$9)/(1+$A63/100)^B18:B25)+C26*$B$11*$B$13/(1+$A63/100)^$B$6</f>
        <v/>
      </c>
      <c r="C63" s="16">
        <f>SUMPRODUCT((K18:K20&lt;=$B$6)*(L18:L20*$B$12+M18:M20*$B$10*$B$8*$B$9)/(1+$A63/100)^K18:K20)+L21*$B$12*$B$13/(1+$A63/100)^$B$6</f>
        <v/>
      </c>
      <c r="D63" s="16">
        <f>C63-B63</f>
        <v/>
      </c>
      <c r="E63">
        <f>IF(D63&lt;0,"PCC","HMA")</f>
        <v/>
      </c>
    </row>
    <row r="64">
      <c r="A64" s="27" t="n">
        <v>3.25</v>
      </c>
      <c r="B64" s="16">
        <f>SUMPRODUCT((B18:B25&lt;=$B$6)*(C18:C25*$B$11+D18:D25*$B$10*$B$8*$B$9)/(1+$A64/100)^B18:B25)+C26*$B$11*$B$13/(1+$A64/100)^$B$6</f>
        <v/>
      </c>
      <c r="C64" s="16">
        <f>SUMPRODUCT((K18:K20&lt;=$B$6)*(L18:L20*$B$12+M18:M20*$B$10*$B$8*$B$9)/(1+$A64/100)^K18:K20)+L21*$B$12*$B$13/(1+$A64/100)^$B$6</f>
        <v/>
      </c>
      <c r="D64" s="16">
        <f>C64-B64</f>
        <v/>
      </c>
      <c r="E64">
        <f>IF(D64&lt;0,"PCC","HMA")</f>
        <v/>
      </c>
    </row>
    <row r="65">
      <c r="A65" s="27" t="n">
        <v>3.5</v>
      </c>
      <c r="B65" s="16">
        <f>SUMPRODUCT((B18:B25&lt;=$B$6)*(C18:C25*$B$11+D18:D25*$B$10*$B$8*$B$9)/(1+$A65/100)^B18:B25)+C26*$B$11*$B$13/(1+$A65/100)^$B$6</f>
        <v/>
      </c>
      <c r="C65" s="16">
        <f>SUMPRODUCT((K18:K20&lt;=$B$6)*(L18:L20*$B$12+M18:M20*$B$10*$B$8*$B$9)/(1+$A65/100)^K18:K20)+L21*$B$12*$B$13/(1+$A65/100)^$B$6</f>
        <v/>
      </c>
      <c r="D65" s="16">
        <f>C65-B65</f>
        <v/>
      </c>
      <c r="E65">
        <f>IF(D65&lt;0,"PCC","HMA")</f>
        <v/>
      </c>
    </row>
    <row r="66">
      <c r="A66" s="27" t="n">
        <v>3.75</v>
      </c>
      <c r="B66" s="16">
        <f>SUMPRODUCT((B18:B25&lt;=$B$6)*(C18:C25*$B$11+D18:D25*$B$10*$B$8*$B$9)/(1+$A66/100)^B18:B25)+C26*$B$11*$B$13/(1+$A66/100)^$B$6</f>
        <v/>
      </c>
      <c r="C66" s="16">
        <f>SUMPRODUCT((K18:K20&lt;=$B$6)*(L18:L20*$B$12+M18:M20*$B$10*$B$8*$B$9)/(1+$A66/100)^K18:K20)+L21*$B$12*$B$13/(1+$A66/100)^$B$6</f>
        <v/>
      </c>
      <c r="D66" s="16">
        <f>C66-B66</f>
        <v/>
      </c>
      <c r="E66">
        <f>IF(D66&lt;0,"PCC","HMA")</f>
        <v/>
      </c>
    </row>
    <row r="67">
      <c r="A67" s="27" t="n">
        <v>4</v>
      </c>
      <c r="B67" s="16">
        <f>SUMPRODUCT((B18:B25&lt;=$B$6)*(C18:C25*$B$11+D18:D25*$B$10*$B$8*$B$9)/(1+$A67/100)^B18:B25)+C26*$B$11*$B$13/(1+$A67/100)^$B$6</f>
        <v/>
      </c>
      <c r="C67" s="16">
        <f>SUMPRODUCT((K18:K20&lt;=$B$6)*(L18:L20*$B$12+M18:M20*$B$10*$B$8*$B$9)/(1+$A67/100)^K18:K20)+L21*$B$12*$B$13/(1+$A67/100)^$B$6</f>
        <v/>
      </c>
      <c r="D67" s="16">
        <f>C67-B67</f>
        <v/>
      </c>
      <c r="E67">
        <f>IF(D67&lt;0,"PCC","HMA")</f>
        <v/>
      </c>
    </row>
    <row r="68">
      <c r="A68" s="27" t="n">
        <v>4.25</v>
      </c>
      <c r="B68" s="16">
        <f>SUMPRODUCT((B18:B25&lt;=$B$6)*(C18:C25*$B$11+D18:D25*$B$10*$B$8*$B$9)/(1+$A68/100)^B18:B25)+C26*$B$11*$B$13/(1+$A68/100)^$B$6</f>
        <v/>
      </c>
      <c r="C68" s="16">
        <f>SUMPRODUCT((K18:K20&lt;=$B$6)*(L18:L20*$B$12+M18:M20*$B$10*$B$8*$B$9)/(1+$A68/100)^K18:K20)+L21*$B$12*$B$13/(1+$A68/100)^$B$6</f>
        <v/>
      </c>
      <c r="D68" s="16">
        <f>C68-B68</f>
        <v/>
      </c>
      <c r="E68">
        <f>IF(D68&lt;0,"PCC","HMA")</f>
        <v/>
      </c>
    </row>
    <row r="69">
      <c r="A69" s="27" t="n">
        <v>4.5</v>
      </c>
      <c r="B69" s="16">
        <f>SUMPRODUCT((B18:B25&lt;=$B$6)*(C18:C25*$B$11+D18:D25*$B$10*$B$8*$B$9)/(1+$A69/100)^B18:B25)+C26*$B$11*$B$13/(1+$A69/100)^$B$6</f>
        <v/>
      </c>
      <c r="C69" s="16">
        <f>SUMPRODUCT((K18:K20&lt;=$B$6)*(L18:L20*$B$12+M18:M20*$B$10*$B$8*$B$9)/(1+$A69/100)^K18:K20)+L21*$B$12*$B$13/(1+$A69/100)^$B$6</f>
        <v/>
      </c>
      <c r="D69" s="16">
        <f>C69-B69</f>
        <v/>
      </c>
      <c r="E69">
        <f>IF(D69&lt;0,"PCC","HMA")</f>
        <v/>
      </c>
    </row>
    <row r="70">
      <c r="A70" s="27" t="n">
        <v>4.75</v>
      </c>
      <c r="B70" s="16">
        <f>SUMPRODUCT((B18:B25&lt;=$B$6)*(C18:C25*$B$11+D18:D25*$B$10*$B$8*$B$9)/(1+$A70/100)^B18:B25)+C26*$B$11*$B$13/(1+$A70/100)^$B$6</f>
        <v/>
      </c>
      <c r="C70" s="16">
        <f>SUMPRODUCT((K18:K20&lt;=$B$6)*(L18:L20*$B$12+M18:M20*$B$10*$B$8*$B$9)/(1+$A70/100)^K18:K20)+L21*$B$12*$B$13/(1+$A70/100)^$B$6</f>
        <v/>
      </c>
      <c r="D70" s="16">
        <f>C70-B70</f>
        <v/>
      </c>
      <c r="E70">
        <f>IF(D70&lt;0,"PCC","HMA")</f>
        <v/>
      </c>
    </row>
    <row r="71">
      <c r="A71" s="27" t="n">
        <v>5</v>
      </c>
      <c r="B71" s="16">
        <f>SUMPRODUCT((B18:B25&lt;=$B$6)*(C18:C25*$B$11+D18:D25*$B$10*$B$8*$B$9)/(1+$A71/100)^B18:B25)+C26*$B$11*$B$13/(1+$A71/100)^$B$6</f>
        <v/>
      </c>
      <c r="C71" s="16">
        <f>SUMPRODUCT((K18:K20&lt;=$B$6)*(L18:L20*$B$12+M18:M20*$B$10*$B$8*$B$9)/(1+$A71/100)^K18:K20)+L21*$B$12*$B$13/(1+$A71/100)^$B$6</f>
        <v/>
      </c>
      <c r="D71" s="16">
        <f>C71-B71</f>
        <v/>
      </c>
      <c r="E71">
        <f>IF(D71&lt;0,"PCC","HMA")</f>
        <v/>
      </c>
    </row>
    <row r="72">
      <c r="A72" s="27" t="n">
        <v>5.25</v>
      </c>
      <c r="B72" s="16">
        <f>SUMPRODUCT((B18:B25&lt;=$B$6)*(C18:C25*$B$11+D18:D25*$B$10*$B$8*$B$9)/(1+$A72/100)^B18:B25)+C26*$B$11*$B$13/(1+$A72/100)^$B$6</f>
        <v/>
      </c>
      <c r="C72" s="16">
        <f>SUMPRODUCT((K18:K20&lt;=$B$6)*(L18:L20*$B$12+M18:M20*$B$10*$B$8*$B$9)/(1+$A72/100)^K18:K20)+L21*$B$12*$B$13/(1+$A72/100)^$B$6</f>
        <v/>
      </c>
      <c r="D72" s="16">
        <f>C72-B72</f>
        <v/>
      </c>
      <c r="E72">
        <f>IF(D72&lt;0,"PCC","HMA")</f>
        <v/>
      </c>
    </row>
    <row r="73">
      <c r="A73" s="27" t="n">
        <v>5.5</v>
      </c>
      <c r="B73" s="16">
        <f>SUMPRODUCT((B18:B25&lt;=$B$6)*(C18:C25*$B$11+D18:D25*$B$10*$B$8*$B$9)/(1+$A73/100)^B18:B25)+C26*$B$11*$B$13/(1+$A73/100)^$B$6</f>
        <v/>
      </c>
      <c r="C73" s="16">
        <f>SUMPRODUCT((K18:K20&lt;=$B$6)*(L18:L20*$B$12+M18:M20*$B$10*$B$8*$B$9)/(1+$A73/100)^K18:K20)+L21*$B$12*$B$13/(1+$A73/100)^$B$6</f>
        <v/>
      </c>
      <c r="D73" s="16">
        <f>C73-B73</f>
        <v/>
      </c>
      <c r="E73">
        <f>IF(D73&lt;0,"PCC","HMA")</f>
        <v/>
      </c>
    </row>
    <row r="74">
      <c r="A74" s="27" t="n">
        <v>5.75</v>
      </c>
      <c r="B74" s="16">
        <f>SUMPRODUCT((B18:B25&lt;=$B$6)*(C18:C25*$B$11+D18:D25*$B$10*$B$8*$B$9)/(1+$A74/100)^B18:B25)+C26*$B$11*$B$13/(1+$A74/100)^$B$6</f>
        <v/>
      </c>
      <c r="C74" s="16">
        <f>SUMPRODUCT((K18:K20&lt;=$B$6)*(L18:L20*$B$12+M18:M20*$B$10*$B$8*$B$9)/(1+$A74/100)^K18:K20)+L21*$B$12*$B$13/(1+$A74/100)^$B$6</f>
        <v/>
      </c>
      <c r="D74" s="16">
        <f>C74-B74</f>
        <v/>
      </c>
      <c r="E74">
        <f>IF(D74&lt;0,"PCC","HMA")</f>
        <v/>
      </c>
    </row>
    <row r="75">
      <c r="A75" s="27" t="n">
        <v>6</v>
      </c>
      <c r="B75" s="16">
        <f>SUMPRODUCT((B18:B25&lt;=$B$6)*(C18:C25*$B$11+D18:D25*$B$10*$B$8*$B$9)/(1+$A75/100)^B18:B25)+C26*$B$11*$B$13/(1+$A75/100)^$B$6</f>
        <v/>
      </c>
      <c r="C75" s="16">
        <f>SUMPRODUCT((K18:K20&lt;=$B$6)*(L18:L20*$B$12+M18:M20*$B$10*$B$8*$B$9)/(1+$A75/100)^K18:K20)+L21*$B$12*$B$13/(1+$A75/100)^$B$6</f>
        <v/>
      </c>
      <c r="D75" s="16">
        <f>C75-B75</f>
        <v/>
      </c>
      <c r="E75">
        <f>IF(D75&lt;0,"PCC","HMA")</f>
        <v/>
      </c>
    </row>
    <row r="76">
      <c r="A76" s="27" t="n">
        <v>6.25</v>
      </c>
      <c r="B76" s="16">
        <f>SUMPRODUCT((B18:B25&lt;=$B$6)*(C18:C25*$B$11+D18:D25*$B$10*$B$8*$B$9)/(1+$A76/100)^B18:B25)+C26*$B$11*$B$13/(1+$A76/100)^$B$6</f>
        <v/>
      </c>
      <c r="C76" s="16">
        <f>SUMPRODUCT((K18:K20&lt;=$B$6)*(L18:L20*$B$12+M18:M20*$B$10*$B$8*$B$9)/(1+$A76/100)^K18:K20)+L21*$B$12*$B$13/(1+$A76/100)^$B$6</f>
        <v/>
      </c>
      <c r="D76" s="16">
        <f>C76-B76</f>
        <v/>
      </c>
      <c r="E76">
        <f>IF(D76&lt;0,"PCC","HMA")</f>
        <v/>
      </c>
    </row>
    <row r="77">
      <c r="A77" s="27" t="n">
        <v>6.5</v>
      </c>
      <c r="B77" s="16">
        <f>SUMPRODUCT((B18:B25&lt;=$B$6)*(C18:C25*$B$11+D18:D25*$B$10*$B$8*$B$9)/(1+$A77/100)^B18:B25)+C26*$B$11*$B$13/(1+$A77/100)^$B$6</f>
        <v/>
      </c>
      <c r="C77" s="16">
        <f>SUMPRODUCT((K18:K20&lt;=$B$6)*(L18:L20*$B$12+M18:M20*$B$10*$B$8*$B$9)/(1+$A77/100)^K18:K20)+L21*$B$12*$B$13/(1+$A77/100)^$B$6</f>
        <v/>
      </c>
      <c r="D77" s="16">
        <f>C77-B77</f>
        <v/>
      </c>
      <c r="E77">
        <f>IF(D77&lt;0,"PCC","HMA")</f>
        <v/>
      </c>
    </row>
    <row r="78">
      <c r="A78" s="27" t="n">
        <v>6.75</v>
      </c>
      <c r="B78" s="16">
        <f>SUMPRODUCT((B18:B25&lt;=$B$6)*(C18:C25*$B$11+D18:D25*$B$10*$B$8*$B$9)/(1+$A78/100)^B18:B25)+C26*$B$11*$B$13/(1+$A78/100)^$B$6</f>
        <v/>
      </c>
      <c r="C78" s="16">
        <f>SUMPRODUCT((K18:K20&lt;=$B$6)*(L18:L20*$B$12+M18:M20*$B$10*$B$8*$B$9)/(1+$A78/100)^K18:K20)+L21*$B$12*$B$13/(1+$A78/100)^$B$6</f>
        <v/>
      </c>
      <c r="D78" s="16">
        <f>C78-B78</f>
        <v/>
      </c>
      <c r="E78">
        <f>IF(D78&lt;0,"PCC","HMA")</f>
        <v/>
      </c>
    </row>
    <row r="79">
      <c r="A79" s="27" t="n">
        <v>7</v>
      </c>
      <c r="B79" s="16">
        <f>SUMPRODUCT((B18:B25&lt;=$B$6)*(C18:C25*$B$11+D18:D25*$B$10*$B$8*$B$9)/(1+$A79/100)^B18:B25)+C26*$B$11*$B$13/(1+$A79/100)^$B$6</f>
        <v/>
      </c>
      <c r="C79" s="16">
        <f>SUMPRODUCT((K18:K20&lt;=$B$6)*(L18:L20*$B$12+M18:M20*$B$10*$B$8*$B$9)/(1+$A79/100)^K18:K20)+L21*$B$12*$B$13/(1+$A79/100)^$B$6</f>
        <v/>
      </c>
      <c r="D79" s="16">
        <f>C79-B79</f>
        <v/>
      </c>
      <c r="E79">
        <f>IF(D79&lt;0,"PCC","HMA")</f>
        <v/>
      </c>
    </row>
    <row r="80">
      <c r="A80" s="27" t="n">
        <v>7.25</v>
      </c>
      <c r="B80" s="16">
        <f>SUMPRODUCT((B18:B25&lt;=$B$6)*(C18:C25*$B$11+D18:D25*$B$10*$B$8*$B$9)/(1+$A80/100)^B18:B25)+C26*$B$11*$B$13/(1+$A80/100)^$B$6</f>
        <v/>
      </c>
      <c r="C80" s="16">
        <f>SUMPRODUCT((K18:K20&lt;=$B$6)*(L18:L20*$B$12+M18:M20*$B$10*$B$8*$B$9)/(1+$A80/100)^K18:K20)+L21*$B$12*$B$13/(1+$A80/100)^$B$6</f>
        <v/>
      </c>
      <c r="D80" s="16">
        <f>C80-B80</f>
        <v/>
      </c>
      <c r="E80">
        <f>IF(D80&lt;0,"PCC","HMA")</f>
        <v/>
      </c>
    </row>
    <row r="81">
      <c r="A81" s="27" t="n">
        <v>7.5</v>
      </c>
      <c r="B81" s="16">
        <f>SUMPRODUCT((B18:B25&lt;=$B$6)*(C18:C25*$B$11+D18:D25*$B$10*$B$8*$B$9)/(1+$A81/100)^B18:B25)+C26*$B$11*$B$13/(1+$A81/100)^$B$6</f>
        <v/>
      </c>
      <c r="C81" s="16">
        <f>SUMPRODUCT((K18:K20&lt;=$B$6)*(L18:L20*$B$12+M18:M20*$B$10*$B$8*$B$9)/(1+$A81/100)^K18:K20)+L21*$B$12*$B$13/(1+$A81/100)^$B$6</f>
        <v/>
      </c>
      <c r="D81" s="16">
        <f>C81-B81</f>
        <v/>
      </c>
      <c r="E81">
        <f>IF(D81&lt;0,"PCC","HMA")</f>
        <v/>
      </c>
    </row>
    <row r="82">
      <c r="A82" s="27" t="n">
        <v>7.75</v>
      </c>
      <c r="B82" s="16">
        <f>SUMPRODUCT((B18:B25&lt;=$B$6)*(C18:C25*$B$11+D18:D25*$B$10*$B$8*$B$9)/(1+$A82/100)^B18:B25)+C26*$B$11*$B$13/(1+$A82/100)^$B$6</f>
        <v/>
      </c>
      <c r="C82" s="16">
        <f>SUMPRODUCT((K18:K20&lt;=$B$6)*(L18:L20*$B$12+M18:M20*$B$10*$B$8*$B$9)/(1+$A82/100)^K18:K20)+L21*$B$12*$B$13/(1+$A82/100)^$B$6</f>
        <v/>
      </c>
      <c r="D82" s="16">
        <f>C82-B82</f>
        <v/>
      </c>
      <c r="E82">
        <f>IF(D82&lt;0,"PCC","HMA")</f>
        <v/>
      </c>
    </row>
    <row r="83">
      <c r="A83" s="27" t="n">
        <v>8</v>
      </c>
      <c r="B83" s="16">
        <f>SUMPRODUCT((B18:B25&lt;=$B$6)*(C18:C25*$B$11+D18:D25*$B$10*$B$8*$B$9)/(1+$A83/100)^B18:B25)+C26*$B$11*$B$13/(1+$A83/100)^$B$6</f>
        <v/>
      </c>
      <c r="C83" s="16">
        <f>SUMPRODUCT((K18:K20&lt;=$B$6)*(L18:L20*$B$12+M18:M20*$B$10*$B$8*$B$9)/(1+$A83/100)^K18:K20)+L21*$B$12*$B$13/(1+$A83/100)^$B$6</f>
        <v/>
      </c>
      <c r="D83" s="16">
        <f>C83-B83</f>
        <v/>
      </c>
      <c r="E83">
        <f>IF(D83&lt;0,"PCC","HMA")</f>
        <v/>
      </c>
    </row>
    <row r="86">
      <c r="A86" s="4" t="inlineStr">
        <is>
          <t>EXPENDITURE BY CALENDAR YEAR</t>
        </is>
      </c>
    </row>
    <row r="87">
      <c r="A87" s="6" t="inlineStr">
        <is>
          <t>Year</t>
        </is>
      </c>
      <c r="B87" s="6" t="inlineStr">
        <is>
          <t>Calendar year</t>
        </is>
      </c>
      <c r="C87" s="6" t="inlineStr">
        <is>
          <t>HMA direct</t>
        </is>
      </c>
      <c r="D87" s="6" t="inlineStr">
        <is>
          <t>HMA lost revenue</t>
        </is>
      </c>
      <c r="E87" s="6" t="inlineStr">
        <is>
          <t>PCC direct</t>
        </is>
      </c>
      <c r="F87" s="6" t="inlineStr">
        <is>
          <t>PCC lost revenue</t>
        </is>
      </c>
      <c r="G87" s="6" t="inlineStr">
        <is>
          <t>HMA cumulative PW</t>
        </is>
      </c>
      <c r="H87" s="6" t="inlineStr">
        <is>
          <t>PCC cumulative PW</t>
        </is>
      </c>
      <c r="I87" s="6" t="inlineStr">
        <is>
          <t>HMA closure days</t>
        </is>
      </c>
      <c r="J87" s="6" t="inlineStr">
        <is>
          <t>PCC closure days</t>
        </is>
      </c>
      <c r="M87" t="inlineStr">
        <is>
          <t>HMA total</t>
        </is>
      </c>
      <c r="N87" t="inlineStr">
        <is>
          <t>PCC total</t>
        </is>
      </c>
    </row>
    <row r="88">
      <c r="A88" t="n">
        <v>0</v>
      </c>
      <c r="B88">
        <f>$B$7+A88</f>
        <v/>
      </c>
      <c r="C88" s="16">
        <f>IF(A88&gt;$B$6,0,SUMIF(B18:B25,A88,E18:E25)+IF(A88=$B$6,E26,0))</f>
        <v/>
      </c>
      <c r="D88" s="16">
        <f>IF(A88&gt;$B$6,0,SUMIF(B18:B25,A88,F18:F25))</f>
        <v/>
      </c>
      <c r="E88" s="16">
        <f>IF(A88&gt;$B$6,0,SUMIF(K18:K20,A88,N18:N20)+IF(A88=$B$6,N21,0))</f>
        <v/>
      </c>
      <c r="F88" s="16">
        <f>IF(A88&gt;$B$6,0,SUMIF(K18:K20,A88,O18:O20))</f>
        <v/>
      </c>
      <c r="G88" s="16">
        <f>IF(A88&gt;$B$6,0,SUMIF(B18:B25,A88,G18:G25)+IF(A88=$B$6,G26,0))</f>
        <v/>
      </c>
      <c r="H88" s="16">
        <f>IF(A88&gt;$B$6,0,SUMIF(K18:K20,A88,P18:P20)+IF(A88=$B$6,P21,0))</f>
        <v/>
      </c>
      <c r="I88">
        <f>IF(A88&gt;$B$6,0,SUMIF(B18:B25,A88,D18:D25)*$B$10)</f>
        <v/>
      </c>
      <c r="J88">
        <f>IF(A88&gt;$B$6,0,SUMIF(K18:K20,A88,M18:M20)*$B$10)</f>
        <v/>
      </c>
      <c r="M88" s="16">
        <f>C88+D88</f>
        <v/>
      </c>
      <c r="N88" s="16">
        <f>E88+F88</f>
        <v/>
      </c>
    </row>
    <row r="89">
      <c r="A89" t="n">
        <v>1</v>
      </c>
      <c r="B89">
        <f>$B$7+A89</f>
        <v/>
      </c>
      <c r="C89" s="16">
        <f>IF(A89&gt;$B$6,0,SUMIF(B18:B25,A89,E18:E25)+IF(A89=$B$6,E26,0))</f>
        <v/>
      </c>
      <c r="D89" s="16">
        <f>IF(A89&gt;$B$6,0,SUMIF(B18:B25,A89,F18:F25))</f>
        <v/>
      </c>
      <c r="E89" s="16">
        <f>IF(A89&gt;$B$6,0,SUMIF(K18:K20,A89,N18:N20)+IF(A89=$B$6,N21,0))</f>
        <v/>
      </c>
      <c r="F89" s="16">
        <f>IF(A89&gt;$B$6,0,SUMIF(K18:K20,A89,O18:O20))</f>
        <v/>
      </c>
      <c r="G89" s="16">
        <f>G88+IF(A89&gt;$B$6,0,SUMIF(B18:B25,A89,G18:G25)+IF(A89=$B$6,G26,0))</f>
        <v/>
      </c>
      <c r="H89" s="16">
        <f>H88+IF(A89&gt;$B$6,0,SUMIF(K18:K20,A89,P18:P20)+IF(A89=$B$6,P21,0))</f>
        <v/>
      </c>
      <c r="I89">
        <f>IF(A89&gt;$B$6,0,SUMIF(B18:B25,A89,D18:D25)*$B$10)</f>
        <v/>
      </c>
      <c r="J89">
        <f>IF(A89&gt;$B$6,0,SUMIF(K18:K20,A89,M18:M20)*$B$10)</f>
        <v/>
      </c>
      <c r="M89" s="16">
        <f>C89+D89</f>
        <v/>
      </c>
      <c r="N89" s="16">
        <f>E89+F89</f>
        <v/>
      </c>
    </row>
    <row r="90">
      <c r="A90" t="n">
        <v>2</v>
      </c>
      <c r="B90">
        <f>$B$7+A90</f>
        <v/>
      </c>
      <c r="C90" s="16">
        <f>IF(A90&gt;$B$6,0,SUMIF(B18:B25,A90,E18:E25)+IF(A90=$B$6,E26,0))</f>
        <v/>
      </c>
      <c r="D90" s="16">
        <f>IF(A90&gt;$B$6,0,SUMIF(B18:B25,A90,F18:F25))</f>
        <v/>
      </c>
      <c r="E90" s="16">
        <f>IF(A90&gt;$B$6,0,SUMIF(K18:K20,A90,N18:N20)+IF(A90=$B$6,N21,0))</f>
        <v/>
      </c>
      <c r="F90" s="16">
        <f>IF(A90&gt;$B$6,0,SUMIF(K18:K20,A90,O18:O20))</f>
        <v/>
      </c>
      <c r="G90" s="16">
        <f>G89+IF(A90&gt;$B$6,0,SUMIF(B18:B25,A90,G18:G25)+IF(A90=$B$6,G26,0))</f>
        <v/>
      </c>
      <c r="H90" s="16">
        <f>H89+IF(A90&gt;$B$6,0,SUMIF(K18:K20,A90,P18:P20)+IF(A90=$B$6,P21,0))</f>
        <v/>
      </c>
      <c r="I90">
        <f>IF(A90&gt;$B$6,0,SUMIF(B18:B25,A90,D18:D25)*$B$10)</f>
        <v/>
      </c>
      <c r="J90">
        <f>IF(A90&gt;$B$6,0,SUMIF(K18:K20,A90,M18:M20)*$B$10)</f>
        <v/>
      </c>
      <c r="M90" s="16">
        <f>C90+D90</f>
        <v/>
      </c>
      <c r="N90" s="16">
        <f>E90+F90</f>
        <v/>
      </c>
    </row>
    <row r="91">
      <c r="A91" t="n">
        <v>3</v>
      </c>
      <c r="B91">
        <f>$B$7+A91</f>
        <v/>
      </c>
      <c r="C91" s="16">
        <f>IF(A91&gt;$B$6,0,SUMIF(B18:B25,A91,E18:E25)+IF(A91=$B$6,E26,0))</f>
        <v/>
      </c>
      <c r="D91" s="16">
        <f>IF(A91&gt;$B$6,0,SUMIF(B18:B25,A91,F18:F25))</f>
        <v/>
      </c>
      <c r="E91" s="16">
        <f>IF(A91&gt;$B$6,0,SUMIF(K18:K20,A91,N18:N20)+IF(A91=$B$6,N21,0))</f>
        <v/>
      </c>
      <c r="F91" s="16">
        <f>IF(A91&gt;$B$6,0,SUMIF(K18:K20,A91,O18:O20))</f>
        <v/>
      </c>
      <c r="G91" s="16">
        <f>G90+IF(A91&gt;$B$6,0,SUMIF(B18:B25,A91,G18:G25)+IF(A91=$B$6,G26,0))</f>
        <v/>
      </c>
      <c r="H91" s="16">
        <f>H90+IF(A91&gt;$B$6,0,SUMIF(K18:K20,A91,P18:P20)+IF(A91=$B$6,P21,0))</f>
        <v/>
      </c>
      <c r="I91">
        <f>IF(A91&gt;$B$6,0,SUMIF(B18:B25,A91,D18:D25)*$B$10)</f>
        <v/>
      </c>
      <c r="J91">
        <f>IF(A91&gt;$B$6,0,SUMIF(K18:K20,A91,M18:M20)*$B$10)</f>
        <v/>
      </c>
      <c r="M91" s="16">
        <f>C91+D91</f>
        <v/>
      </c>
      <c r="N91" s="16">
        <f>E91+F91</f>
        <v/>
      </c>
    </row>
    <row r="92">
      <c r="A92" t="n">
        <v>4</v>
      </c>
      <c r="B92">
        <f>$B$7+A92</f>
        <v/>
      </c>
      <c r="C92" s="16">
        <f>IF(A92&gt;$B$6,0,SUMIF(B18:B25,A92,E18:E25)+IF(A92=$B$6,E26,0))</f>
        <v/>
      </c>
      <c r="D92" s="16">
        <f>IF(A92&gt;$B$6,0,SUMIF(B18:B25,A92,F18:F25))</f>
        <v/>
      </c>
      <c r="E92" s="16">
        <f>IF(A92&gt;$B$6,0,SUMIF(K18:K20,A92,N18:N20)+IF(A92=$B$6,N21,0))</f>
        <v/>
      </c>
      <c r="F92" s="16">
        <f>IF(A92&gt;$B$6,0,SUMIF(K18:K20,A92,O18:O20))</f>
        <v/>
      </c>
      <c r="G92" s="16">
        <f>G91+IF(A92&gt;$B$6,0,SUMIF(B18:B25,A92,G18:G25)+IF(A92=$B$6,G26,0))</f>
        <v/>
      </c>
      <c r="H92" s="16">
        <f>H91+IF(A92&gt;$B$6,0,SUMIF(K18:K20,A92,P18:P20)+IF(A92=$B$6,P21,0))</f>
        <v/>
      </c>
      <c r="I92">
        <f>IF(A92&gt;$B$6,0,SUMIF(B18:B25,A92,D18:D25)*$B$10)</f>
        <v/>
      </c>
      <c r="J92">
        <f>IF(A92&gt;$B$6,0,SUMIF(K18:K20,A92,M18:M20)*$B$10)</f>
        <v/>
      </c>
      <c r="M92" s="16">
        <f>C92+D92</f>
        <v/>
      </c>
      <c r="N92" s="16">
        <f>E92+F92</f>
        <v/>
      </c>
    </row>
    <row r="93">
      <c r="A93" t="n">
        <v>5</v>
      </c>
      <c r="B93">
        <f>$B$7+A93</f>
        <v/>
      </c>
      <c r="C93" s="16">
        <f>IF(A93&gt;$B$6,0,SUMIF(B18:B25,A93,E18:E25)+IF(A93=$B$6,E26,0))</f>
        <v/>
      </c>
      <c r="D93" s="16">
        <f>IF(A93&gt;$B$6,0,SUMIF(B18:B25,A93,F18:F25))</f>
        <v/>
      </c>
      <c r="E93" s="16">
        <f>IF(A93&gt;$B$6,0,SUMIF(K18:K20,A93,N18:N20)+IF(A93=$B$6,N21,0))</f>
        <v/>
      </c>
      <c r="F93" s="16">
        <f>IF(A93&gt;$B$6,0,SUMIF(K18:K20,A93,O18:O20))</f>
        <v/>
      </c>
      <c r="G93" s="16">
        <f>G92+IF(A93&gt;$B$6,0,SUMIF(B18:B25,A93,G18:G25)+IF(A93=$B$6,G26,0))</f>
        <v/>
      </c>
      <c r="H93" s="16">
        <f>H92+IF(A93&gt;$B$6,0,SUMIF(K18:K20,A93,P18:P20)+IF(A93=$B$6,P21,0))</f>
        <v/>
      </c>
      <c r="I93">
        <f>IF(A93&gt;$B$6,0,SUMIF(B18:B25,A93,D18:D25)*$B$10)</f>
        <v/>
      </c>
      <c r="J93">
        <f>IF(A93&gt;$B$6,0,SUMIF(K18:K20,A93,M18:M20)*$B$10)</f>
        <v/>
      </c>
      <c r="M93" s="16">
        <f>C93+D93</f>
        <v/>
      </c>
      <c r="N93" s="16">
        <f>E93+F93</f>
        <v/>
      </c>
    </row>
    <row r="94">
      <c r="A94" t="n">
        <v>6</v>
      </c>
      <c r="B94">
        <f>$B$7+A94</f>
        <v/>
      </c>
      <c r="C94" s="16">
        <f>IF(A94&gt;$B$6,0,SUMIF(B18:B25,A94,E18:E25)+IF(A94=$B$6,E26,0))</f>
        <v/>
      </c>
      <c r="D94" s="16">
        <f>IF(A94&gt;$B$6,0,SUMIF(B18:B25,A94,F18:F25))</f>
        <v/>
      </c>
      <c r="E94" s="16">
        <f>IF(A94&gt;$B$6,0,SUMIF(K18:K20,A94,N18:N20)+IF(A94=$B$6,N21,0))</f>
        <v/>
      </c>
      <c r="F94" s="16">
        <f>IF(A94&gt;$B$6,0,SUMIF(K18:K20,A94,O18:O20))</f>
        <v/>
      </c>
      <c r="G94" s="16">
        <f>G93+IF(A94&gt;$B$6,0,SUMIF(B18:B25,A94,G18:G25)+IF(A94=$B$6,G26,0))</f>
        <v/>
      </c>
      <c r="H94" s="16">
        <f>H93+IF(A94&gt;$B$6,0,SUMIF(K18:K20,A94,P18:P20)+IF(A94=$B$6,P21,0))</f>
        <v/>
      </c>
      <c r="I94">
        <f>IF(A94&gt;$B$6,0,SUMIF(B18:B25,A94,D18:D25)*$B$10)</f>
        <v/>
      </c>
      <c r="J94">
        <f>IF(A94&gt;$B$6,0,SUMIF(K18:K20,A94,M18:M20)*$B$10)</f>
        <v/>
      </c>
      <c r="M94" s="16">
        <f>C94+D94</f>
        <v/>
      </c>
      <c r="N94" s="16">
        <f>E94+F94</f>
        <v/>
      </c>
    </row>
    <row r="95">
      <c r="A95" t="n">
        <v>7</v>
      </c>
      <c r="B95">
        <f>$B$7+A95</f>
        <v/>
      </c>
      <c r="C95" s="16">
        <f>IF(A95&gt;$B$6,0,SUMIF(B18:B25,A95,E18:E25)+IF(A95=$B$6,E26,0))</f>
        <v/>
      </c>
      <c r="D95" s="16">
        <f>IF(A95&gt;$B$6,0,SUMIF(B18:B25,A95,F18:F25))</f>
        <v/>
      </c>
      <c r="E95" s="16">
        <f>IF(A95&gt;$B$6,0,SUMIF(K18:K20,A95,N18:N20)+IF(A95=$B$6,N21,0))</f>
        <v/>
      </c>
      <c r="F95" s="16">
        <f>IF(A95&gt;$B$6,0,SUMIF(K18:K20,A95,O18:O20))</f>
        <v/>
      </c>
      <c r="G95" s="16">
        <f>G94+IF(A95&gt;$B$6,0,SUMIF(B18:B25,A95,G18:G25)+IF(A95=$B$6,G26,0))</f>
        <v/>
      </c>
      <c r="H95" s="16">
        <f>H94+IF(A95&gt;$B$6,0,SUMIF(K18:K20,A95,P18:P20)+IF(A95=$B$6,P21,0))</f>
        <v/>
      </c>
      <c r="I95">
        <f>IF(A95&gt;$B$6,0,SUMIF(B18:B25,A95,D18:D25)*$B$10)</f>
        <v/>
      </c>
      <c r="J95">
        <f>IF(A95&gt;$B$6,0,SUMIF(K18:K20,A95,M18:M20)*$B$10)</f>
        <v/>
      </c>
      <c r="M95" s="16">
        <f>C95+D95</f>
        <v/>
      </c>
      <c r="N95" s="16">
        <f>E95+F95</f>
        <v/>
      </c>
    </row>
    <row r="96">
      <c r="A96" t="n">
        <v>8</v>
      </c>
      <c r="B96">
        <f>$B$7+A96</f>
        <v/>
      </c>
      <c r="C96" s="16">
        <f>IF(A96&gt;$B$6,0,SUMIF(B18:B25,A96,E18:E25)+IF(A96=$B$6,E26,0))</f>
        <v/>
      </c>
      <c r="D96" s="16">
        <f>IF(A96&gt;$B$6,0,SUMIF(B18:B25,A96,F18:F25))</f>
        <v/>
      </c>
      <c r="E96" s="16">
        <f>IF(A96&gt;$B$6,0,SUMIF(K18:K20,A96,N18:N20)+IF(A96=$B$6,N21,0))</f>
        <v/>
      </c>
      <c r="F96" s="16">
        <f>IF(A96&gt;$B$6,0,SUMIF(K18:K20,A96,O18:O20))</f>
        <v/>
      </c>
      <c r="G96" s="16">
        <f>G95+IF(A96&gt;$B$6,0,SUMIF(B18:B25,A96,G18:G25)+IF(A96=$B$6,G26,0))</f>
        <v/>
      </c>
      <c r="H96" s="16">
        <f>H95+IF(A96&gt;$B$6,0,SUMIF(K18:K20,A96,P18:P20)+IF(A96=$B$6,P21,0))</f>
        <v/>
      </c>
      <c r="I96">
        <f>IF(A96&gt;$B$6,0,SUMIF(B18:B25,A96,D18:D25)*$B$10)</f>
        <v/>
      </c>
      <c r="J96">
        <f>IF(A96&gt;$B$6,0,SUMIF(K18:K20,A96,M18:M20)*$B$10)</f>
        <v/>
      </c>
      <c r="M96" s="16">
        <f>C96+D96</f>
        <v/>
      </c>
      <c r="N96" s="16">
        <f>E96+F96</f>
        <v/>
      </c>
    </row>
    <row r="97">
      <c r="A97" t="n">
        <v>9</v>
      </c>
      <c r="B97">
        <f>$B$7+A97</f>
        <v/>
      </c>
      <c r="C97" s="16">
        <f>IF(A97&gt;$B$6,0,SUMIF(B18:B25,A97,E18:E25)+IF(A97=$B$6,E26,0))</f>
        <v/>
      </c>
      <c r="D97" s="16">
        <f>IF(A97&gt;$B$6,0,SUMIF(B18:B25,A97,F18:F25))</f>
        <v/>
      </c>
      <c r="E97" s="16">
        <f>IF(A97&gt;$B$6,0,SUMIF(K18:K20,A97,N18:N20)+IF(A97=$B$6,N21,0))</f>
        <v/>
      </c>
      <c r="F97" s="16">
        <f>IF(A97&gt;$B$6,0,SUMIF(K18:K20,A97,O18:O20))</f>
        <v/>
      </c>
      <c r="G97" s="16">
        <f>G96+IF(A97&gt;$B$6,0,SUMIF(B18:B25,A97,G18:G25)+IF(A97=$B$6,G26,0))</f>
        <v/>
      </c>
      <c r="H97" s="16">
        <f>H96+IF(A97&gt;$B$6,0,SUMIF(K18:K20,A97,P18:P20)+IF(A97=$B$6,P21,0))</f>
        <v/>
      </c>
      <c r="I97">
        <f>IF(A97&gt;$B$6,0,SUMIF(B18:B25,A97,D18:D25)*$B$10)</f>
        <v/>
      </c>
      <c r="J97">
        <f>IF(A97&gt;$B$6,0,SUMIF(K18:K20,A97,M18:M20)*$B$10)</f>
        <v/>
      </c>
      <c r="M97" s="16">
        <f>C97+D97</f>
        <v/>
      </c>
      <c r="N97" s="16">
        <f>E97+F97</f>
        <v/>
      </c>
    </row>
    <row r="98">
      <c r="A98" t="n">
        <v>10</v>
      </c>
      <c r="B98">
        <f>$B$7+A98</f>
        <v/>
      </c>
      <c r="C98" s="16">
        <f>IF(A98&gt;$B$6,0,SUMIF(B18:B25,A98,E18:E25)+IF(A98=$B$6,E26,0))</f>
        <v/>
      </c>
      <c r="D98" s="16">
        <f>IF(A98&gt;$B$6,0,SUMIF(B18:B25,A98,F18:F25))</f>
        <v/>
      </c>
      <c r="E98" s="16">
        <f>IF(A98&gt;$B$6,0,SUMIF(K18:K20,A98,N18:N20)+IF(A98=$B$6,N21,0))</f>
        <v/>
      </c>
      <c r="F98" s="16">
        <f>IF(A98&gt;$B$6,0,SUMIF(K18:K20,A98,O18:O20))</f>
        <v/>
      </c>
      <c r="G98" s="16">
        <f>G97+IF(A98&gt;$B$6,0,SUMIF(B18:B25,A98,G18:G25)+IF(A98=$B$6,G26,0))</f>
        <v/>
      </c>
      <c r="H98" s="16">
        <f>H97+IF(A98&gt;$B$6,0,SUMIF(K18:K20,A98,P18:P20)+IF(A98=$B$6,P21,0))</f>
        <v/>
      </c>
      <c r="I98">
        <f>IF(A98&gt;$B$6,0,SUMIF(B18:B25,A98,D18:D25)*$B$10)</f>
        <v/>
      </c>
      <c r="J98">
        <f>IF(A98&gt;$B$6,0,SUMIF(K18:K20,A98,M18:M20)*$B$10)</f>
        <v/>
      </c>
      <c r="M98" s="16">
        <f>C98+D98</f>
        <v/>
      </c>
      <c r="N98" s="16">
        <f>E98+F98</f>
        <v/>
      </c>
    </row>
    <row r="99">
      <c r="A99" t="n">
        <v>11</v>
      </c>
      <c r="B99">
        <f>$B$7+A99</f>
        <v/>
      </c>
      <c r="C99" s="16">
        <f>IF(A99&gt;$B$6,0,SUMIF(B18:B25,A99,E18:E25)+IF(A99=$B$6,E26,0))</f>
        <v/>
      </c>
      <c r="D99" s="16">
        <f>IF(A99&gt;$B$6,0,SUMIF(B18:B25,A99,F18:F25))</f>
        <v/>
      </c>
      <c r="E99" s="16">
        <f>IF(A99&gt;$B$6,0,SUMIF(K18:K20,A99,N18:N20)+IF(A99=$B$6,N21,0))</f>
        <v/>
      </c>
      <c r="F99" s="16">
        <f>IF(A99&gt;$B$6,0,SUMIF(K18:K20,A99,O18:O20))</f>
        <v/>
      </c>
      <c r="G99" s="16">
        <f>G98+IF(A99&gt;$B$6,0,SUMIF(B18:B25,A99,G18:G25)+IF(A99=$B$6,G26,0))</f>
        <v/>
      </c>
      <c r="H99" s="16">
        <f>H98+IF(A99&gt;$B$6,0,SUMIF(K18:K20,A99,P18:P20)+IF(A99=$B$6,P21,0))</f>
        <v/>
      </c>
      <c r="I99">
        <f>IF(A99&gt;$B$6,0,SUMIF(B18:B25,A99,D18:D25)*$B$10)</f>
        <v/>
      </c>
      <c r="J99">
        <f>IF(A99&gt;$B$6,0,SUMIF(K18:K20,A99,M18:M20)*$B$10)</f>
        <v/>
      </c>
      <c r="M99" s="16">
        <f>C99+D99</f>
        <v/>
      </c>
      <c r="N99" s="16">
        <f>E99+F99</f>
        <v/>
      </c>
    </row>
    <row r="100">
      <c r="A100" t="n">
        <v>12</v>
      </c>
      <c r="B100">
        <f>$B$7+A100</f>
        <v/>
      </c>
      <c r="C100" s="16">
        <f>IF(A100&gt;$B$6,0,SUMIF(B18:B25,A100,E18:E25)+IF(A100=$B$6,E26,0))</f>
        <v/>
      </c>
      <c r="D100" s="16">
        <f>IF(A100&gt;$B$6,0,SUMIF(B18:B25,A100,F18:F25))</f>
        <v/>
      </c>
      <c r="E100" s="16">
        <f>IF(A100&gt;$B$6,0,SUMIF(K18:K20,A100,N18:N20)+IF(A100=$B$6,N21,0))</f>
        <v/>
      </c>
      <c r="F100" s="16">
        <f>IF(A100&gt;$B$6,0,SUMIF(K18:K20,A100,O18:O20))</f>
        <v/>
      </c>
      <c r="G100" s="16">
        <f>G99+IF(A100&gt;$B$6,0,SUMIF(B18:B25,A100,G18:G25)+IF(A100=$B$6,G26,0))</f>
        <v/>
      </c>
      <c r="H100" s="16">
        <f>H99+IF(A100&gt;$B$6,0,SUMIF(K18:K20,A100,P18:P20)+IF(A100=$B$6,P21,0))</f>
        <v/>
      </c>
      <c r="I100">
        <f>IF(A100&gt;$B$6,0,SUMIF(B18:B25,A100,D18:D25)*$B$10)</f>
        <v/>
      </c>
      <c r="J100">
        <f>IF(A100&gt;$B$6,0,SUMIF(K18:K20,A100,M18:M20)*$B$10)</f>
        <v/>
      </c>
      <c r="M100" s="16">
        <f>C100+D100</f>
        <v/>
      </c>
      <c r="N100" s="16">
        <f>E100+F100</f>
        <v/>
      </c>
    </row>
    <row r="101">
      <c r="A101" t="n">
        <v>13</v>
      </c>
      <c r="B101">
        <f>$B$7+A101</f>
        <v/>
      </c>
      <c r="C101" s="16">
        <f>IF(A101&gt;$B$6,0,SUMIF(B18:B25,A101,E18:E25)+IF(A101=$B$6,E26,0))</f>
        <v/>
      </c>
      <c r="D101" s="16">
        <f>IF(A101&gt;$B$6,0,SUMIF(B18:B25,A101,F18:F25))</f>
        <v/>
      </c>
      <c r="E101" s="16">
        <f>IF(A101&gt;$B$6,0,SUMIF(K18:K20,A101,N18:N20)+IF(A101=$B$6,N21,0))</f>
        <v/>
      </c>
      <c r="F101" s="16">
        <f>IF(A101&gt;$B$6,0,SUMIF(K18:K20,A101,O18:O20))</f>
        <v/>
      </c>
      <c r="G101" s="16">
        <f>G100+IF(A101&gt;$B$6,0,SUMIF(B18:B25,A101,G18:G25)+IF(A101=$B$6,G26,0))</f>
        <v/>
      </c>
      <c r="H101" s="16">
        <f>H100+IF(A101&gt;$B$6,0,SUMIF(K18:K20,A101,P18:P20)+IF(A101=$B$6,P21,0))</f>
        <v/>
      </c>
      <c r="I101">
        <f>IF(A101&gt;$B$6,0,SUMIF(B18:B25,A101,D18:D25)*$B$10)</f>
        <v/>
      </c>
      <c r="J101">
        <f>IF(A101&gt;$B$6,0,SUMIF(K18:K20,A101,M18:M20)*$B$10)</f>
        <v/>
      </c>
      <c r="M101" s="16">
        <f>C101+D101</f>
        <v/>
      </c>
      <c r="N101" s="16">
        <f>E101+F101</f>
        <v/>
      </c>
    </row>
    <row r="102">
      <c r="A102" t="n">
        <v>14</v>
      </c>
      <c r="B102">
        <f>$B$7+A102</f>
        <v/>
      </c>
      <c r="C102" s="16">
        <f>IF(A102&gt;$B$6,0,SUMIF(B18:B25,A102,E18:E25)+IF(A102=$B$6,E26,0))</f>
        <v/>
      </c>
      <c r="D102" s="16">
        <f>IF(A102&gt;$B$6,0,SUMIF(B18:B25,A102,F18:F25))</f>
        <v/>
      </c>
      <c r="E102" s="16">
        <f>IF(A102&gt;$B$6,0,SUMIF(K18:K20,A102,N18:N20)+IF(A102=$B$6,N21,0))</f>
        <v/>
      </c>
      <c r="F102" s="16">
        <f>IF(A102&gt;$B$6,0,SUMIF(K18:K20,A102,O18:O20))</f>
        <v/>
      </c>
      <c r="G102" s="16">
        <f>G101+IF(A102&gt;$B$6,0,SUMIF(B18:B25,A102,G18:G25)+IF(A102=$B$6,G26,0))</f>
        <v/>
      </c>
      <c r="H102" s="16">
        <f>H101+IF(A102&gt;$B$6,0,SUMIF(K18:K20,A102,P18:P20)+IF(A102=$B$6,P21,0))</f>
        <v/>
      </c>
      <c r="I102">
        <f>IF(A102&gt;$B$6,0,SUMIF(B18:B25,A102,D18:D25)*$B$10)</f>
        <v/>
      </c>
      <c r="J102">
        <f>IF(A102&gt;$B$6,0,SUMIF(K18:K20,A102,M18:M20)*$B$10)</f>
        <v/>
      </c>
      <c r="M102" s="16">
        <f>C102+D102</f>
        <v/>
      </c>
      <c r="N102" s="16">
        <f>E102+F102</f>
        <v/>
      </c>
    </row>
    <row r="103">
      <c r="A103" t="n">
        <v>15</v>
      </c>
      <c r="B103">
        <f>$B$7+A103</f>
        <v/>
      </c>
      <c r="C103" s="16">
        <f>IF(A103&gt;$B$6,0,SUMIF(B18:B25,A103,E18:E25)+IF(A103=$B$6,E26,0))</f>
        <v/>
      </c>
      <c r="D103" s="16">
        <f>IF(A103&gt;$B$6,0,SUMIF(B18:B25,A103,F18:F25))</f>
        <v/>
      </c>
      <c r="E103" s="16">
        <f>IF(A103&gt;$B$6,0,SUMIF(K18:K20,A103,N18:N20)+IF(A103=$B$6,N21,0))</f>
        <v/>
      </c>
      <c r="F103" s="16">
        <f>IF(A103&gt;$B$6,0,SUMIF(K18:K20,A103,O18:O20))</f>
        <v/>
      </c>
      <c r="G103" s="16">
        <f>G102+IF(A103&gt;$B$6,0,SUMIF(B18:B25,A103,G18:G25)+IF(A103=$B$6,G26,0))</f>
        <v/>
      </c>
      <c r="H103" s="16">
        <f>H102+IF(A103&gt;$B$6,0,SUMIF(K18:K20,A103,P18:P20)+IF(A103=$B$6,P21,0))</f>
        <v/>
      </c>
      <c r="I103">
        <f>IF(A103&gt;$B$6,0,SUMIF(B18:B25,A103,D18:D25)*$B$10)</f>
        <v/>
      </c>
      <c r="J103">
        <f>IF(A103&gt;$B$6,0,SUMIF(K18:K20,A103,M18:M20)*$B$10)</f>
        <v/>
      </c>
      <c r="M103" s="16">
        <f>C103+D103</f>
        <v/>
      </c>
      <c r="N103" s="16">
        <f>E103+F103</f>
        <v/>
      </c>
    </row>
    <row r="104">
      <c r="A104" t="n">
        <v>16</v>
      </c>
      <c r="B104">
        <f>$B$7+A104</f>
        <v/>
      </c>
      <c r="C104" s="16">
        <f>IF(A104&gt;$B$6,0,SUMIF(B18:B25,A104,E18:E25)+IF(A104=$B$6,E26,0))</f>
        <v/>
      </c>
      <c r="D104" s="16">
        <f>IF(A104&gt;$B$6,0,SUMIF(B18:B25,A104,F18:F25))</f>
        <v/>
      </c>
      <c r="E104" s="16">
        <f>IF(A104&gt;$B$6,0,SUMIF(K18:K20,A104,N18:N20)+IF(A104=$B$6,N21,0))</f>
        <v/>
      </c>
      <c r="F104" s="16">
        <f>IF(A104&gt;$B$6,0,SUMIF(K18:K20,A104,O18:O20))</f>
        <v/>
      </c>
      <c r="G104" s="16">
        <f>G103+IF(A104&gt;$B$6,0,SUMIF(B18:B25,A104,G18:G25)+IF(A104=$B$6,G26,0))</f>
        <v/>
      </c>
      <c r="H104" s="16">
        <f>H103+IF(A104&gt;$B$6,0,SUMIF(K18:K20,A104,P18:P20)+IF(A104=$B$6,P21,0))</f>
        <v/>
      </c>
      <c r="I104">
        <f>IF(A104&gt;$B$6,0,SUMIF(B18:B25,A104,D18:D25)*$B$10)</f>
        <v/>
      </c>
      <c r="J104">
        <f>IF(A104&gt;$B$6,0,SUMIF(K18:K20,A104,M18:M20)*$B$10)</f>
        <v/>
      </c>
      <c r="M104" s="16">
        <f>C104+D104</f>
        <v/>
      </c>
      <c r="N104" s="16">
        <f>E104+F104</f>
        <v/>
      </c>
    </row>
    <row r="105">
      <c r="A105" t="n">
        <v>17</v>
      </c>
      <c r="B105">
        <f>$B$7+A105</f>
        <v/>
      </c>
      <c r="C105" s="16">
        <f>IF(A105&gt;$B$6,0,SUMIF(B18:B25,A105,E18:E25)+IF(A105=$B$6,E26,0))</f>
        <v/>
      </c>
      <c r="D105" s="16">
        <f>IF(A105&gt;$B$6,0,SUMIF(B18:B25,A105,F18:F25))</f>
        <v/>
      </c>
      <c r="E105" s="16">
        <f>IF(A105&gt;$B$6,0,SUMIF(K18:K20,A105,N18:N20)+IF(A105=$B$6,N21,0))</f>
        <v/>
      </c>
      <c r="F105" s="16">
        <f>IF(A105&gt;$B$6,0,SUMIF(K18:K20,A105,O18:O20))</f>
        <v/>
      </c>
      <c r="G105" s="16">
        <f>G104+IF(A105&gt;$B$6,0,SUMIF(B18:B25,A105,G18:G25)+IF(A105=$B$6,G26,0))</f>
        <v/>
      </c>
      <c r="H105" s="16">
        <f>H104+IF(A105&gt;$B$6,0,SUMIF(K18:K20,A105,P18:P20)+IF(A105=$B$6,P21,0))</f>
        <v/>
      </c>
      <c r="I105">
        <f>IF(A105&gt;$B$6,0,SUMIF(B18:B25,A105,D18:D25)*$B$10)</f>
        <v/>
      </c>
      <c r="J105">
        <f>IF(A105&gt;$B$6,0,SUMIF(K18:K20,A105,M18:M20)*$B$10)</f>
        <v/>
      </c>
      <c r="M105" s="16">
        <f>C105+D105</f>
        <v/>
      </c>
      <c r="N105" s="16">
        <f>E105+F105</f>
        <v/>
      </c>
    </row>
    <row r="106">
      <c r="A106" t="n">
        <v>18</v>
      </c>
      <c r="B106">
        <f>$B$7+A106</f>
        <v/>
      </c>
      <c r="C106" s="16">
        <f>IF(A106&gt;$B$6,0,SUMIF(B18:B25,A106,E18:E25)+IF(A106=$B$6,E26,0))</f>
        <v/>
      </c>
      <c r="D106" s="16">
        <f>IF(A106&gt;$B$6,0,SUMIF(B18:B25,A106,F18:F25))</f>
        <v/>
      </c>
      <c r="E106" s="16">
        <f>IF(A106&gt;$B$6,0,SUMIF(K18:K20,A106,N18:N20)+IF(A106=$B$6,N21,0))</f>
        <v/>
      </c>
      <c r="F106" s="16">
        <f>IF(A106&gt;$B$6,0,SUMIF(K18:K20,A106,O18:O20))</f>
        <v/>
      </c>
      <c r="G106" s="16">
        <f>G105+IF(A106&gt;$B$6,0,SUMIF(B18:B25,A106,G18:G25)+IF(A106=$B$6,G26,0))</f>
        <v/>
      </c>
      <c r="H106" s="16">
        <f>H105+IF(A106&gt;$B$6,0,SUMIF(K18:K20,A106,P18:P20)+IF(A106=$B$6,P21,0))</f>
        <v/>
      </c>
      <c r="I106">
        <f>IF(A106&gt;$B$6,0,SUMIF(B18:B25,A106,D18:D25)*$B$10)</f>
        <v/>
      </c>
      <c r="J106">
        <f>IF(A106&gt;$B$6,0,SUMIF(K18:K20,A106,M18:M20)*$B$10)</f>
        <v/>
      </c>
      <c r="M106" s="16">
        <f>C106+D106</f>
        <v/>
      </c>
      <c r="N106" s="16">
        <f>E106+F106</f>
        <v/>
      </c>
    </row>
    <row r="107">
      <c r="A107" t="n">
        <v>19</v>
      </c>
      <c r="B107">
        <f>$B$7+A107</f>
        <v/>
      </c>
      <c r="C107" s="16">
        <f>IF(A107&gt;$B$6,0,SUMIF(B18:B25,A107,E18:E25)+IF(A107=$B$6,E26,0))</f>
        <v/>
      </c>
      <c r="D107" s="16">
        <f>IF(A107&gt;$B$6,0,SUMIF(B18:B25,A107,F18:F25))</f>
        <v/>
      </c>
      <c r="E107" s="16">
        <f>IF(A107&gt;$B$6,0,SUMIF(K18:K20,A107,N18:N20)+IF(A107=$B$6,N21,0))</f>
        <v/>
      </c>
      <c r="F107" s="16">
        <f>IF(A107&gt;$B$6,0,SUMIF(K18:K20,A107,O18:O20))</f>
        <v/>
      </c>
      <c r="G107" s="16">
        <f>G106+IF(A107&gt;$B$6,0,SUMIF(B18:B25,A107,G18:G25)+IF(A107=$B$6,G26,0))</f>
        <v/>
      </c>
      <c r="H107" s="16">
        <f>H106+IF(A107&gt;$B$6,0,SUMIF(K18:K20,A107,P18:P20)+IF(A107=$B$6,P21,0))</f>
        <v/>
      </c>
      <c r="I107">
        <f>IF(A107&gt;$B$6,0,SUMIF(B18:B25,A107,D18:D25)*$B$10)</f>
        <v/>
      </c>
      <c r="J107">
        <f>IF(A107&gt;$B$6,0,SUMIF(K18:K20,A107,M18:M20)*$B$10)</f>
        <v/>
      </c>
      <c r="M107" s="16">
        <f>C107+D107</f>
        <v/>
      </c>
      <c r="N107" s="16">
        <f>E107+F107</f>
        <v/>
      </c>
    </row>
    <row r="108">
      <c r="A108" t="n">
        <v>20</v>
      </c>
      <c r="B108">
        <f>$B$7+A108</f>
        <v/>
      </c>
      <c r="C108" s="16">
        <f>IF(A108&gt;$B$6,0,SUMIF(B18:B25,A108,E18:E25)+IF(A108=$B$6,E26,0))</f>
        <v/>
      </c>
      <c r="D108" s="16">
        <f>IF(A108&gt;$B$6,0,SUMIF(B18:B25,A108,F18:F25))</f>
        <v/>
      </c>
      <c r="E108" s="16">
        <f>IF(A108&gt;$B$6,0,SUMIF(K18:K20,A108,N18:N20)+IF(A108=$B$6,N21,0))</f>
        <v/>
      </c>
      <c r="F108" s="16">
        <f>IF(A108&gt;$B$6,0,SUMIF(K18:K20,A108,O18:O20))</f>
        <v/>
      </c>
      <c r="G108" s="16">
        <f>G107+IF(A108&gt;$B$6,0,SUMIF(B18:B25,A108,G18:G25)+IF(A108=$B$6,G26,0))</f>
        <v/>
      </c>
      <c r="H108" s="16">
        <f>H107+IF(A108&gt;$B$6,0,SUMIF(K18:K20,A108,P18:P20)+IF(A108=$B$6,P21,0))</f>
        <v/>
      </c>
      <c r="I108">
        <f>IF(A108&gt;$B$6,0,SUMIF(B18:B25,A108,D18:D25)*$B$10)</f>
        <v/>
      </c>
      <c r="J108">
        <f>IF(A108&gt;$B$6,0,SUMIF(K18:K20,A108,M18:M20)*$B$10)</f>
        <v/>
      </c>
      <c r="M108" s="16">
        <f>C108+D108</f>
        <v/>
      </c>
      <c r="N108" s="16">
        <f>E108+F108</f>
        <v/>
      </c>
    </row>
    <row r="109">
      <c r="A109" t="n">
        <v>21</v>
      </c>
      <c r="B109">
        <f>$B$7+A109</f>
        <v/>
      </c>
      <c r="C109" s="16">
        <f>IF(A109&gt;$B$6,0,SUMIF(B18:B25,A109,E18:E25)+IF(A109=$B$6,E26,0))</f>
        <v/>
      </c>
      <c r="D109" s="16">
        <f>IF(A109&gt;$B$6,0,SUMIF(B18:B25,A109,F18:F25))</f>
        <v/>
      </c>
      <c r="E109" s="16">
        <f>IF(A109&gt;$B$6,0,SUMIF(K18:K20,A109,N18:N20)+IF(A109=$B$6,N21,0))</f>
        <v/>
      </c>
      <c r="F109" s="16">
        <f>IF(A109&gt;$B$6,0,SUMIF(K18:K20,A109,O18:O20))</f>
        <v/>
      </c>
      <c r="G109" s="16">
        <f>G108+IF(A109&gt;$B$6,0,SUMIF(B18:B25,A109,G18:G25)+IF(A109=$B$6,G26,0))</f>
        <v/>
      </c>
      <c r="H109" s="16">
        <f>H108+IF(A109&gt;$B$6,0,SUMIF(K18:K20,A109,P18:P20)+IF(A109=$B$6,P21,0))</f>
        <v/>
      </c>
      <c r="I109">
        <f>IF(A109&gt;$B$6,0,SUMIF(B18:B25,A109,D18:D25)*$B$10)</f>
        <v/>
      </c>
      <c r="J109">
        <f>IF(A109&gt;$B$6,0,SUMIF(K18:K20,A109,M18:M20)*$B$10)</f>
        <v/>
      </c>
      <c r="M109" s="16">
        <f>C109+D109</f>
        <v/>
      </c>
      <c r="N109" s="16">
        <f>E109+F109</f>
        <v/>
      </c>
    </row>
    <row r="110">
      <c r="A110" t="n">
        <v>22</v>
      </c>
      <c r="B110">
        <f>$B$7+A110</f>
        <v/>
      </c>
      <c r="C110" s="16">
        <f>IF(A110&gt;$B$6,0,SUMIF(B18:B25,A110,E18:E25)+IF(A110=$B$6,E26,0))</f>
        <v/>
      </c>
      <c r="D110" s="16">
        <f>IF(A110&gt;$B$6,0,SUMIF(B18:B25,A110,F18:F25))</f>
        <v/>
      </c>
      <c r="E110" s="16">
        <f>IF(A110&gt;$B$6,0,SUMIF(K18:K20,A110,N18:N20)+IF(A110=$B$6,N21,0))</f>
        <v/>
      </c>
      <c r="F110" s="16">
        <f>IF(A110&gt;$B$6,0,SUMIF(K18:K20,A110,O18:O20))</f>
        <v/>
      </c>
      <c r="G110" s="16">
        <f>G109+IF(A110&gt;$B$6,0,SUMIF(B18:B25,A110,G18:G25)+IF(A110=$B$6,G26,0))</f>
        <v/>
      </c>
      <c r="H110" s="16">
        <f>H109+IF(A110&gt;$B$6,0,SUMIF(K18:K20,A110,P18:P20)+IF(A110=$B$6,P21,0))</f>
        <v/>
      </c>
      <c r="I110">
        <f>IF(A110&gt;$B$6,0,SUMIF(B18:B25,A110,D18:D25)*$B$10)</f>
        <v/>
      </c>
      <c r="J110">
        <f>IF(A110&gt;$B$6,0,SUMIF(K18:K20,A110,M18:M20)*$B$10)</f>
        <v/>
      </c>
      <c r="M110" s="16">
        <f>C110+D110</f>
        <v/>
      </c>
      <c r="N110" s="16">
        <f>E110+F110</f>
        <v/>
      </c>
    </row>
    <row r="111">
      <c r="A111" t="n">
        <v>23</v>
      </c>
      <c r="B111">
        <f>$B$7+A111</f>
        <v/>
      </c>
      <c r="C111" s="16">
        <f>IF(A111&gt;$B$6,0,SUMIF(B18:B25,A111,E18:E25)+IF(A111=$B$6,E26,0))</f>
        <v/>
      </c>
      <c r="D111" s="16">
        <f>IF(A111&gt;$B$6,0,SUMIF(B18:B25,A111,F18:F25))</f>
        <v/>
      </c>
      <c r="E111" s="16">
        <f>IF(A111&gt;$B$6,0,SUMIF(K18:K20,A111,N18:N20)+IF(A111=$B$6,N21,0))</f>
        <v/>
      </c>
      <c r="F111" s="16">
        <f>IF(A111&gt;$B$6,0,SUMIF(K18:K20,A111,O18:O20))</f>
        <v/>
      </c>
      <c r="G111" s="16">
        <f>G110+IF(A111&gt;$B$6,0,SUMIF(B18:B25,A111,G18:G25)+IF(A111=$B$6,G26,0))</f>
        <v/>
      </c>
      <c r="H111" s="16">
        <f>H110+IF(A111&gt;$B$6,0,SUMIF(K18:K20,A111,P18:P20)+IF(A111=$B$6,P21,0))</f>
        <v/>
      </c>
      <c r="I111">
        <f>IF(A111&gt;$B$6,0,SUMIF(B18:B25,A111,D18:D25)*$B$10)</f>
        <v/>
      </c>
      <c r="J111">
        <f>IF(A111&gt;$B$6,0,SUMIF(K18:K20,A111,M18:M20)*$B$10)</f>
        <v/>
      </c>
      <c r="M111" s="16">
        <f>C111+D111</f>
        <v/>
      </c>
      <c r="N111" s="16">
        <f>E111+F111</f>
        <v/>
      </c>
    </row>
    <row r="112">
      <c r="A112" t="n">
        <v>24</v>
      </c>
      <c r="B112">
        <f>$B$7+A112</f>
        <v/>
      </c>
      <c r="C112" s="16">
        <f>IF(A112&gt;$B$6,0,SUMIF(B18:B25,A112,E18:E25)+IF(A112=$B$6,E26,0))</f>
        <v/>
      </c>
      <c r="D112" s="16">
        <f>IF(A112&gt;$B$6,0,SUMIF(B18:B25,A112,F18:F25))</f>
        <v/>
      </c>
      <c r="E112" s="16">
        <f>IF(A112&gt;$B$6,0,SUMIF(K18:K20,A112,N18:N20)+IF(A112=$B$6,N21,0))</f>
        <v/>
      </c>
      <c r="F112" s="16">
        <f>IF(A112&gt;$B$6,0,SUMIF(K18:K20,A112,O18:O20))</f>
        <v/>
      </c>
      <c r="G112" s="16">
        <f>G111+IF(A112&gt;$B$6,0,SUMIF(B18:B25,A112,G18:G25)+IF(A112=$B$6,G26,0))</f>
        <v/>
      </c>
      <c r="H112" s="16">
        <f>H111+IF(A112&gt;$B$6,0,SUMIF(K18:K20,A112,P18:P20)+IF(A112=$B$6,P21,0))</f>
        <v/>
      </c>
      <c r="I112">
        <f>IF(A112&gt;$B$6,0,SUMIF(B18:B25,A112,D18:D25)*$B$10)</f>
        <v/>
      </c>
      <c r="J112">
        <f>IF(A112&gt;$B$6,0,SUMIF(K18:K20,A112,M18:M20)*$B$10)</f>
        <v/>
      </c>
      <c r="M112" s="16">
        <f>C112+D112</f>
        <v/>
      </c>
      <c r="N112" s="16">
        <f>E112+F112</f>
        <v/>
      </c>
    </row>
    <row r="113">
      <c r="A113" t="n">
        <v>25</v>
      </c>
      <c r="B113">
        <f>$B$7+A113</f>
        <v/>
      </c>
      <c r="C113" s="16">
        <f>IF(A113&gt;$B$6,0,SUMIF(B18:B25,A113,E18:E25)+IF(A113=$B$6,E26,0))</f>
        <v/>
      </c>
      <c r="D113" s="16">
        <f>IF(A113&gt;$B$6,0,SUMIF(B18:B25,A113,F18:F25))</f>
        <v/>
      </c>
      <c r="E113" s="16">
        <f>IF(A113&gt;$B$6,0,SUMIF(K18:K20,A113,N18:N20)+IF(A113=$B$6,N21,0))</f>
        <v/>
      </c>
      <c r="F113" s="16">
        <f>IF(A113&gt;$B$6,0,SUMIF(K18:K20,A113,O18:O20))</f>
        <v/>
      </c>
      <c r="G113" s="16">
        <f>G112+IF(A113&gt;$B$6,0,SUMIF(B18:B25,A113,G18:G25)+IF(A113=$B$6,G26,0))</f>
        <v/>
      </c>
      <c r="H113" s="16">
        <f>H112+IF(A113&gt;$B$6,0,SUMIF(K18:K20,A113,P18:P20)+IF(A113=$B$6,P21,0))</f>
        <v/>
      </c>
      <c r="I113">
        <f>IF(A113&gt;$B$6,0,SUMIF(B18:B25,A113,D18:D25)*$B$10)</f>
        <v/>
      </c>
      <c r="J113">
        <f>IF(A113&gt;$B$6,0,SUMIF(K18:K20,A113,M18:M20)*$B$10)</f>
        <v/>
      </c>
      <c r="M113" s="16">
        <f>C113+D113</f>
        <v/>
      </c>
      <c r="N113" s="16">
        <f>E113+F113</f>
        <v/>
      </c>
    </row>
    <row r="114">
      <c r="A114" t="n">
        <v>26</v>
      </c>
      <c r="B114">
        <f>$B$7+A114</f>
        <v/>
      </c>
      <c r="C114" s="16">
        <f>IF(A114&gt;$B$6,0,SUMIF(B18:B25,A114,E18:E25)+IF(A114=$B$6,E26,0))</f>
        <v/>
      </c>
      <c r="D114" s="16">
        <f>IF(A114&gt;$B$6,0,SUMIF(B18:B25,A114,F18:F25))</f>
        <v/>
      </c>
      <c r="E114" s="16">
        <f>IF(A114&gt;$B$6,0,SUMIF(K18:K20,A114,N18:N20)+IF(A114=$B$6,N21,0))</f>
        <v/>
      </c>
      <c r="F114" s="16">
        <f>IF(A114&gt;$B$6,0,SUMIF(K18:K20,A114,O18:O20))</f>
        <v/>
      </c>
      <c r="G114" s="16">
        <f>G113+IF(A114&gt;$B$6,0,SUMIF(B18:B25,A114,G18:G25)+IF(A114=$B$6,G26,0))</f>
        <v/>
      </c>
      <c r="H114" s="16">
        <f>H113+IF(A114&gt;$B$6,0,SUMIF(K18:K20,A114,P18:P20)+IF(A114=$B$6,P21,0))</f>
        <v/>
      </c>
      <c r="I114">
        <f>IF(A114&gt;$B$6,0,SUMIF(B18:B25,A114,D18:D25)*$B$10)</f>
        <v/>
      </c>
      <c r="J114">
        <f>IF(A114&gt;$B$6,0,SUMIF(K18:K20,A114,M18:M20)*$B$10)</f>
        <v/>
      </c>
      <c r="M114" s="16">
        <f>C114+D114</f>
        <v/>
      </c>
      <c r="N114" s="16">
        <f>E114+F114</f>
        <v/>
      </c>
    </row>
    <row r="115">
      <c r="A115" t="n">
        <v>27</v>
      </c>
      <c r="B115">
        <f>$B$7+A115</f>
        <v/>
      </c>
      <c r="C115" s="16">
        <f>IF(A115&gt;$B$6,0,SUMIF(B18:B25,A115,E18:E25)+IF(A115=$B$6,E26,0))</f>
        <v/>
      </c>
      <c r="D115" s="16">
        <f>IF(A115&gt;$B$6,0,SUMIF(B18:B25,A115,F18:F25))</f>
        <v/>
      </c>
      <c r="E115" s="16">
        <f>IF(A115&gt;$B$6,0,SUMIF(K18:K20,A115,N18:N20)+IF(A115=$B$6,N21,0))</f>
        <v/>
      </c>
      <c r="F115" s="16">
        <f>IF(A115&gt;$B$6,0,SUMIF(K18:K20,A115,O18:O20))</f>
        <v/>
      </c>
      <c r="G115" s="16">
        <f>G114+IF(A115&gt;$B$6,0,SUMIF(B18:B25,A115,G18:G25)+IF(A115=$B$6,G26,0))</f>
        <v/>
      </c>
      <c r="H115" s="16">
        <f>H114+IF(A115&gt;$B$6,0,SUMIF(K18:K20,A115,P18:P20)+IF(A115=$B$6,P21,0))</f>
        <v/>
      </c>
      <c r="I115">
        <f>IF(A115&gt;$B$6,0,SUMIF(B18:B25,A115,D18:D25)*$B$10)</f>
        <v/>
      </c>
      <c r="J115">
        <f>IF(A115&gt;$B$6,0,SUMIF(K18:K20,A115,M18:M20)*$B$10)</f>
        <v/>
      </c>
      <c r="M115" s="16">
        <f>C115+D115</f>
        <v/>
      </c>
      <c r="N115" s="16">
        <f>E115+F115</f>
        <v/>
      </c>
    </row>
    <row r="116">
      <c r="A116" t="n">
        <v>28</v>
      </c>
      <c r="B116">
        <f>$B$7+A116</f>
        <v/>
      </c>
      <c r="C116" s="16">
        <f>IF(A116&gt;$B$6,0,SUMIF(B18:B25,A116,E18:E25)+IF(A116=$B$6,E26,0))</f>
        <v/>
      </c>
      <c r="D116" s="16">
        <f>IF(A116&gt;$B$6,0,SUMIF(B18:B25,A116,F18:F25))</f>
        <v/>
      </c>
      <c r="E116" s="16">
        <f>IF(A116&gt;$B$6,0,SUMIF(K18:K20,A116,N18:N20)+IF(A116=$B$6,N21,0))</f>
        <v/>
      </c>
      <c r="F116" s="16">
        <f>IF(A116&gt;$B$6,0,SUMIF(K18:K20,A116,O18:O20))</f>
        <v/>
      </c>
      <c r="G116" s="16">
        <f>G115+IF(A116&gt;$B$6,0,SUMIF(B18:B25,A116,G18:G25)+IF(A116=$B$6,G26,0))</f>
        <v/>
      </c>
      <c r="H116" s="16">
        <f>H115+IF(A116&gt;$B$6,0,SUMIF(K18:K20,A116,P18:P20)+IF(A116=$B$6,P21,0))</f>
        <v/>
      </c>
      <c r="I116">
        <f>IF(A116&gt;$B$6,0,SUMIF(B18:B25,A116,D18:D25)*$B$10)</f>
        <v/>
      </c>
      <c r="J116">
        <f>IF(A116&gt;$B$6,0,SUMIF(K18:K20,A116,M18:M20)*$B$10)</f>
        <v/>
      </c>
      <c r="M116" s="16">
        <f>C116+D116</f>
        <v/>
      </c>
      <c r="N116" s="16">
        <f>E116+F116</f>
        <v/>
      </c>
    </row>
    <row r="117">
      <c r="A117" t="n">
        <v>29</v>
      </c>
      <c r="B117">
        <f>$B$7+A117</f>
        <v/>
      </c>
      <c r="C117" s="16">
        <f>IF(A117&gt;$B$6,0,SUMIF(B18:B25,A117,E18:E25)+IF(A117=$B$6,E26,0))</f>
        <v/>
      </c>
      <c r="D117" s="16">
        <f>IF(A117&gt;$B$6,0,SUMIF(B18:B25,A117,F18:F25))</f>
        <v/>
      </c>
      <c r="E117" s="16">
        <f>IF(A117&gt;$B$6,0,SUMIF(K18:K20,A117,N18:N20)+IF(A117=$B$6,N21,0))</f>
        <v/>
      </c>
      <c r="F117" s="16">
        <f>IF(A117&gt;$B$6,0,SUMIF(K18:K20,A117,O18:O20))</f>
        <v/>
      </c>
      <c r="G117" s="16">
        <f>G116+IF(A117&gt;$B$6,0,SUMIF(B18:B25,A117,G18:G25)+IF(A117=$B$6,G26,0))</f>
        <v/>
      </c>
      <c r="H117" s="16">
        <f>H116+IF(A117&gt;$B$6,0,SUMIF(K18:K20,A117,P18:P20)+IF(A117=$B$6,P21,0))</f>
        <v/>
      </c>
      <c r="I117">
        <f>IF(A117&gt;$B$6,0,SUMIF(B18:B25,A117,D18:D25)*$B$10)</f>
        <v/>
      </c>
      <c r="J117">
        <f>IF(A117&gt;$B$6,0,SUMIF(K18:K20,A117,M18:M20)*$B$10)</f>
        <v/>
      </c>
      <c r="M117" s="16">
        <f>C117+D117</f>
        <v/>
      </c>
      <c r="N117" s="16">
        <f>E117+F117</f>
        <v/>
      </c>
    </row>
    <row r="118">
      <c r="A118" t="n">
        <v>30</v>
      </c>
      <c r="B118">
        <f>$B$7+A118</f>
        <v/>
      </c>
      <c r="C118" s="16">
        <f>IF(A118&gt;$B$6,0,SUMIF(B18:B25,A118,E18:E25)+IF(A118=$B$6,E26,0))</f>
        <v/>
      </c>
      <c r="D118" s="16">
        <f>IF(A118&gt;$B$6,0,SUMIF(B18:B25,A118,F18:F25))</f>
        <v/>
      </c>
      <c r="E118" s="16">
        <f>IF(A118&gt;$B$6,0,SUMIF(K18:K20,A118,N18:N20)+IF(A118=$B$6,N21,0))</f>
        <v/>
      </c>
      <c r="F118" s="16">
        <f>IF(A118&gt;$B$6,0,SUMIF(K18:K20,A118,O18:O20))</f>
        <v/>
      </c>
      <c r="G118" s="16">
        <f>G117+IF(A118&gt;$B$6,0,SUMIF(B18:B25,A118,G18:G25)+IF(A118=$B$6,G26,0))</f>
        <v/>
      </c>
      <c r="H118" s="16">
        <f>H117+IF(A118&gt;$B$6,0,SUMIF(K18:K20,A118,P18:P20)+IF(A118=$B$6,P21,0))</f>
        <v/>
      </c>
      <c r="I118">
        <f>IF(A118&gt;$B$6,0,SUMIF(B18:B25,A118,D18:D25)*$B$10)</f>
        <v/>
      </c>
      <c r="J118">
        <f>IF(A118&gt;$B$6,0,SUMIF(K18:K20,A118,M18:M20)*$B$10)</f>
        <v/>
      </c>
      <c r="M118" s="16">
        <f>C118+D118</f>
        <v/>
      </c>
      <c r="N118" s="16">
        <f>E118+F118</f>
        <v/>
      </c>
    </row>
    <row r="119">
      <c r="A119" s="7" t="inlineStr">
        <is>
          <t>Crossover year (cumulative PW lines cross)</t>
        </is>
      </c>
      <c r="B119">
        <f>IFERROR(INDEX($B$89:$B$118,MATCH(TRUE,INDEX(SIGN($H$89:$H$118-$G$89:$G$118)&lt;&gt;SIGN($H$88-$G$88),0),0)),"no crossover")</f>
        <v/>
      </c>
    </row>
    <row r="122">
      <c r="A122" s="4" t="inlineStr">
        <is>
          <t>WHAT COULD FLIP THE ANSWER (one input at a time, PCC - HMA present worth)</t>
        </is>
      </c>
    </row>
    <row r="123">
      <c r="A123" s="6" t="inlineStr">
        <is>
          <t>Input moved</t>
        </is>
      </c>
      <c r="B123" s="6" t="inlineStr">
        <is>
          <t>Low case</t>
        </is>
      </c>
      <c r="C123" s="6" t="inlineStr">
        <is>
          <t>High case</t>
        </is>
      </c>
      <c r="D123" s="6" t="inlineStr">
        <is>
          <t>Low PCC-HMA</t>
        </is>
      </c>
      <c r="E123" s="6" t="inlineStr">
        <is>
          <t>High PCC-HMA</t>
        </is>
      </c>
      <c r="F123" s="6" t="inlineStr">
        <is>
          <t>Swing</t>
        </is>
      </c>
      <c r="G123" s="6" t="inlineStr">
        <is>
          <t>Winner changes?</t>
        </is>
      </c>
    </row>
    <row r="124">
      <c r="A124" s="7" t="inlineStr">
        <is>
          <t>Discount rate</t>
        </is>
      </c>
      <c r="B124" t="inlineStr">
        <is>
          <t>2%</t>
        </is>
      </c>
      <c r="C124" t="inlineStr">
        <is>
          <t>8%</t>
        </is>
      </c>
      <c r="D124" s="16">
        <f>(SUMPRODUCT((K18:K20&lt;=$B$6)*(L18:L20*$B$12+M18:M20*$B$10*$B$8*$B$9)/(1+2/100)^K18:K20)+L21*$B$12*$B$13/(1+2/100)^$B$6)-(SUMPRODUCT((B18:B25&lt;=$B$6)*(C18:C25*$B$11+D18:D25*$B$10*$B$8*$B$9)/(1+2/100)^B18:B25)+C26*$B$11*$B$13/(1+2/100)^$B$6)</f>
        <v/>
      </c>
      <c r="E124" s="16">
        <f>(SUMPRODUCT((K18:K20&lt;=$B$6)*(L18:L20*$B$12+M18:M20*$B$10*$B$8*$B$9)/(1+8/100)^K18:K20)+L21*$B$12*$B$13/(1+8/100)^$B$6)-(SUMPRODUCT((B18:B25&lt;=$B$6)*(C18:C25*$B$11+D18:D25*$B$10*$B$8*$B$9)/(1+8/100)^B18:B25)+C26*$B$11*$B$13/(1+8/100)^$B$6)</f>
        <v/>
      </c>
      <c r="F124" s="16">
        <f>ABS(E124-D124)</f>
        <v/>
      </c>
      <c r="G124">
        <f>IF(SIGN(D124)&lt;&gt;SIGN(E124),"YES","no")</f>
        <v/>
      </c>
    </row>
    <row r="125">
      <c r="A125" s="7" t="inlineStr">
        <is>
          <t>PCC salvage credit</t>
        </is>
      </c>
      <c r="B125" t="inlineStr">
        <is>
          <t>0</t>
        </is>
      </c>
      <c r="C125" t="inlineStr">
        <is>
          <t>policy</t>
        </is>
      </c>
      <c r="D125" s="16">
        <f>(SUMPRODUCT((K18:K20&lt;=$B$6)*(L18:L20*$B$12+M18:M20*$B$10*$B$8*$B$9)/(1+$B$5/100)^K18:K20)+L21*$B$12*0/(1+$B$5/100)^$B$6)-(SUMPRODUCT((B18:B25&lt;=$B$6)*(C18:C25*$B$11+D18:D25*$B$10*$B$8*$B$9)/(1+$B$5/100)^B18:B25)+C26*$B$11*$B$13/(1+$B$5/100)^$B$6)</f>
        <v/>
      </c>
      <c r="E125" s="16">
        <f>$D$38</f>
        <v/>
      </c>
      <c r="F125" s="16">
        <f>ABS(E125-D125)</f>
        <v/>
      </c>
      <c r="G125">
        <f>IF(SIGN(D125)&lt;&gt;SIGN(E125),"YES","no")</f>
        <v/>
      </c>
    </row>
    <row r="126">
      <c r="A126" s="7" t="inlineStr">
        <is>
          <t>HMA salvage credit</t>
        </is>
      </c>
      <c r="B126" t="inlineStr">
        <is>
          <t>0</t>
        </is>
      </c>
      <c r="C126" t="inlineStr">
        <is>
          <t>policy</t>
        </is>
      </c>
      <c r="D126" s="16">
        <f>(SUMPRODUCT((K18:K20&lt;=$B$6)*(L18:L20*$B$12+M18:M20*$B$10*$B$8*$B$9)/(1+$B$5/100)^K18:K20)+L21*$B$12*$B$13/(1+$B$5/100)^$B$6)-(SUMPRODUCT((B18:B25&lt;=$B$6)*(C18:C25*$B$11+D18:D25*$B$10*$B$8*$B$9)/(1+$B$5/100)^B18:B25)+C26*$B$11*0/(1+$B$5/100)^$B$6)</f>
        <v/>
      </c>
      <c r="E126" s="16">
        <f>$D$38</f>
        <v/>
      </c>
      <c r="F126" s="16">
        <f>ABS(E126-D126)</f>
        <v/>
      </c>
      <c r="G126">
        <f>IF(SIGN(D126)&lt;&gt;SIGN(E126),"YES","no")</f>
        <v/>
      </c>
    </row>
    <row r="127">
      <c r="A127" s="7" t="inlineStr">
        <is>
          <t>PCC direct costs</t>
        </is>
      </c>
      <c r="B127" t="inlineStr">
        <is>
          <t>-20%</t>
        </is>
      </c>
      <c r="C127" t="inlineStr">
        <is>
          <t>+20%</t>
        </is>
      </c>
      <c r="D127" s="16">
        <f>(SUMPRODUCT((K18:K20&lt;=$B$6)*(L18:L20*($B$12*0.8)+M18:M20*$B$10*$B$8*$B$9)/(1+$B$5/100)^K18:K20)+L21*($B$12*0.8)*$B$13/(1+$B$5/100)^$B$6)-(SUMPRODUCT((B18:B25&lt;=$B$6)*(C18:C25*$B$11+D18:D25*$B$10*$B$8*$B$9)/(1+$B$5/100)^B18:B25)+C26*$B$11*$B$13/(1+$B$5/100)^$B$6)</f>
        <v/>
      </c>
      <c r="E127" s="16">
        <f>(SUMPRODUCT((K18:K20&lt;=$B$6)*(L18:L20*($B$12*1.2)+M18:M20*$B$10*$B$8*$B$9)/(1+$B$5/100)^K18:K20)+L21*($B$12*1.2)*$B$13/(1+$B$5/100)^$B$6)-(SUMPRODUCT((B18:B25&lt;=$B$6)*(C18:C25*$B$11+D18:D25*$B$10*$B$8*$B$9)/(1+$B$5/100)^B18:B25)+C26*$B$11*$B$13/(1+$B$5/100)^$B$6)</f>
        <v/>
      </c>
      <c r="F127" s="16">
        <f>ABS(E127-D127)</f>
        <v/>
      </c>
      <c r="G127">
        <f>IF(SIGN(D127)&lt;&gt;SIGN(E127),"YES","no")</f>
        <v/>
      </c>
    </row>
    <row r="128">
      <c r="A128" s="7" t="inlineStr">
        <is>
          <t>HMA direct costs</t>
        </is>
      </c>
      <c r="B128" t="inlineStr">
        <is>
          <t>-20%</t>
        </is>
      </c>
      <c r="C128" t="inlineStr">
        <is>
          <t>+20%</t>
        </is>
      </c>
      <c r="D128" s="16">
        <f>(SUMPRODUCT((K18:K20&lt;=$B$6)*(L18:L20*$B$12+M18:M20*$B$10*$B$8*$B$9)/(1+$B$5/100)^K18:K20)+L21*$B$12*$B$13/(1+$B$5/100)^$B$6)-(SUMPRODUCT((B18:B25&lt;=$B$6)*(C18:C25*($B$11*0.8)+D18:D25*$B$10*$B$8*$B$9)/(1+$B$5/100)^B18:B25)+C26*($B$11*0.8)*$B$13/(1+$B$5/100)^$B$6)</f>
        <v/>
      </c>
      <c r="E128" s="16">
        <f>(SUMPRODUCT((K18:K20&lt;=$B$6)*(L18:L20*$B$12+M18:M20*$B$10*$B$8*$B$9)/(1+$B$5/100)^K18:K20)+L21*$B$12*$B$13/(1+$B$5/100)^$B$6)-(SUMPRODUCT((B18:B25&lt;=$B$6)*(C18:C25*($B$11*1.2)+D18:D25*$B$10*$B$8*$B$9)/(1+$B$5/100)^B18:B25)+C26*($B$11*1.2)*$B$13/(1+$B$5/100)^$B$6)</f>
        <v/>
      </c>
      <c r="F128" s="16">
        <f>ABS(E128-D128)</f>
        <v/>
      </c>
      <c r="G128">
        <f>IF(SIGN(D128)&lt;&gt;SIGN(E128),"YES","no")</f>
        <v/>
      </c>
    </row>
    <row r="129">
      <c r="A129" s="7" t="inlineStr">
        <is>
          <t>Closure durations</t>
        </is>
      </c>
      <c r="B129" t="inlineStr">
        <is>
          <t>x0.5</t>
        </is>
      </c>
      <c r="C129" t="inlineStr">
        <is>
          <t>x2</t>
        </is>
      </c>
      <c r="D129" s="16">
        <f>(SUMPRODUCT((K18:K20&lt;=$B$6)*(L18:L20*$B$12+M18:M20*($B$10*0.5)*$B$8*$B$9)/(1+$B$5/100)^K18:K20)+L21*$B$12*$B$13/(1+$B$5/100)^$B$6)-(SUMPRODUCT((B18:B25&lt;=$B$6)*(C18:C25*$B$11+D18:D25*($B$10*0.5)*$B$8*$B$9)/(1+$B$5/100)^B18:B25)+C26*$B$11*$B$13/(1+$B$5/100)^$B$6)</f>
        <v/>
      </c>
      <c r="E129" s="16">
        <f>(SUMPRODUCT((K18:K20&lt;=$B$6)*(L18:L20*$B$12+M18:M20*($B$10*2)*$B$8*$B$9)/(1+$B$5/100)^K18:K20)+L21*$B$12*$B$13/(1+$B$5/100)^$B$6)-(SUMPRODUCT((B18:B25&lt;=$B$6)*(C18:C25*$B$11+D18:D25*($B$10*2)*$B$8*$B$9)/(1+$B$5/100)^B18:B25)+C26*$B$11*$B$13/(1+$B$5/100)^$B$6)</f>
        <v/>
      </c>
      <c r="F129" s="16">
        <f>ABS(E129-D129)</f>
        <v/>
      </c>
      <c r="G129">
        <f>IF(SIGN(D129)&lt;&gt;SIGN(E129),"YES","no")</f>
        <v/>
      </c>
    </row>
    <row r="130">
      <c r="A130" s="7" t="inlineStr">
        <is>
          <t>Lost revenue</t>
        </is>
      </c>
      <c r="B130" t="inlineStr">
        <is>
          <t>excluded</t>
        </is>
      </c>
      <c r="C130" t="inlineStr">
        <is>
          <t>included</t>
        </is>
      </c>
      <c r="D130" s="16">
        <f>(SUMPRODUCT((K18:K20&lt;=$B$6)*(L18:L20*$B$12+M18:M20*$B$10*$B$8*0)/(1+$B$5/100)^K18:K20)+L21*$B$12*$B$13/(1+$B$5/100)^$B$6)-(SUMPRODUCT((B18:B25&lt;=$B$6)*(C18:C25*$B$11+D18:D25*$B$10*$B$8*0)/(1+$B$5/100)^B18:B25)+C26*$B$11*$B$13/(1+$B$5/100)^$B$6)</f>
        <v/>
      </c>
      <c r="E130" s="16">
        <f>$D$38</f>
        <v/>
      </c>
      <c r="F130" s="16">
        <f>ABS(E130-D130)</f>
        <v/>
      </c>
      <c r="G130">
        <f>IF(SIGN(D130)&lt;&gt;SIGN(E130),"YES","no")</f>
        <v/>
      </c>
    </row>
    <row r="131">
      <c r="A131" s="7" t="inlineStr">
        <is>
          <t>Analysis period</t>
        </is>
      </c>
      <c r="B131" t="inlineStr">
        <is>
          <t>20 yr (FAA)</t>
        </is>
      </c>
      <c r="C131" t="inlineStr">
        <is>
          <t>30 yr</t>
        </is>
      </c>
      <c r="D131" s="16">
        <f>(SUMPRODUCT((K18:K20&lt;=20)*(L18:L20*$B$12+M18:M20*$B$10*$B$8*$B$9)/(1+$B$5/100)^K18:K20)+L21*$B$12*$B$13/(1+$B$5/100)^20)-(SUMPRODUCT((B18:B25&lt;=20)*(C18:C25*$B$11+D18:D25*$B$10*$B$8*$B$9)/(1+$B$5/100)^B18:B25)+C26*$B$11*$B$13/(1+$B$5/100)^20)</f>
        <v/>
      </c>
      <c r="E131" s="16">
        <f>$D$38</f>
        <v/>
      </c>
      <c r="F131" s="16">
        <f>ABS(E131-D131)</f>
        <v/>
      </c>
      <c r="G131">
        <f>IF(SIGN(D131)&lt;&gt;SIGN(E131),"YES","no")</f>
        <v/>
      </c>
    </row>
    <row r="132">
      <c r="A132" s="7" t="inlineStr">
        <is>
          <t>Base case PCC - HMA</t>
        </is>
      </c>
      <c r="D132" s="16">
        <f>$D$38</f>
        <v/>
      </c>
    </row>
    <row r="135">
      <c r="A135" s="4" t="inlineStr">
        <is>
          <t>SCENARIO SCORECARD</t>
        </is>
      </c>
    </row>
    <row r="136">
      <c r="A136" s="6" t="inlineStr">
        <is>
          <t>Scenario</t>
        </is>
      </c>
      <c r="B136" s="6" t="inlineStr">
        <is>
          <t>Rate %</t>
        </is>
      </c>
      <c r="C136" s="6" t="inlineStr">
        <is>
          <t>Period</t>
        </is>
      </c>
      <c r="D136" s="6" t="inlineStr">
        <is>
          <t>HMA cost x</t>
        </is>
      </c>
      <c r="E136" s="6" t="inlineStr">
        <is>
          <t>PCC cost x</t>
        </is>
      </c>
      <c r="F136" s="6" t="inlineStr">
        <is>
          <t>Closure x</t>
        </is>
      </c>
      <c r="G136" s="6" t="inlineStr">
        <is>
          <t>Salvage x</t>
        </is>
      </c>
      <c r="H136" s="6" t="inlineStr">
        <is>
          <t>Revenue share lost</t>
        </is>
      </c>
      <c r="I136" s="6" t="inlineStr">
        <is>
          <t>NPW HMA</t>
        </is>
      </c>
      <c r="J136" s="6" t="inlineStr">
        <is>
          <t>NPW PCC</t>
        </is>
      </c>
      <c r="K136" s="6" t="inlineStr">
        <is>
          <t>PCC - HMA</t>
        </is>
      </c>
      <c r="L136" s="6" t="inlineStr">
        <is>
          <t>Winner</t>
        </is>
      </c>
    </row>
    <row r="137">
      <c r="A137" s="7" t="inlineStr">
        <is>
          <t>Base: TDOT policy (3%, 30 yr)</t>
        </is>
      </c>
      <c r="B137" t="n">
        <v>3</v>
      </c>
      <c r="C137" t="n">
        <v>30</v>
      </c>
      <c r="D137" t="n">
        <v>1</v>
      </c>
      <c r="E137" t="n">
        <v>1</v>
      </c>
      <c r="F137" t="n">
        <v>1</v>
      </c>
      <c r="G137" t="n">
        <v>1</v>
      </c>
      <c r="H137" t="n">
        <v>1</v>
      </c>
      <c r="I137" s="16">
        <f>SUMPRODUCT((B18:B25&lt;=$C137)*(C18:C25*$D137+D18:D25*$F137*$B$8*$H137)/(1+$B137/100)^B18:B25)+C26*$D137*$G137/(1+$B137/100)^$C137</f>
        <v/>
      </c>
      <c r="J137" s="16">
        <f>SUMPRODUCT((K18:K20&lt;=$C137)*(L18:L20*$E137+M18:M20*$F137*$B$8*$H137)/(1+$B137/100)^K18:K20)+L21*$E137*$G137/(1+$B137/100)^$C137</f>
        <v/>
      </c>
      <c r="K137" s="16">
        <f>J137-I137</f>
        <v/>
      </c>
      <c r="L137">
        <f>IF(K137&lt;0,"PCC","HMA")</f>
        <v/>
      </c>
    </row>
    <row r="138">
      <c r="A138" s="7" t="inlineStr">
        <is>
          <t>FAA AIP funded (7%, 20 yr)</t>
        </is>
      </c>
      <c r="B138" t="n">
        <v>7</v>
      </c>
      <c r="C138" t="n">
        <v>20</v>
      </c>
      <c r="D138" t="n">
        <v>1</v>
      </c>
      <c r="E138" t="n">
        <v>1</v>
      </c>
      <c r="F138" t="n">
        <v>1</v>
      </c>
      <c r="G138" t="n">
        <v>1</v>
      </c>
      <c r="H138" t="n">
        <v>1</v>
      </c>
      <c r="I138" s="16">
        <f>SUMPRODUCT((B18:B25&lt;=$C138)*(C18:C25*$D138+D18:D25*$F138*$B$8*$H138)/(1+$B138/100)^B18:B25)+C26*$D138*$G138/(1+$B138/100)^$C138</f>
        <v/>
      </c>
      <c r="J138" s="16">
        <f>SUMPRODUCT((K18:K20&lt;=$C138)*(L18:L20*$E138+M18:M20*$F138*$B$8*$H138)/(1+$B138/100)^K18:K20)+L21*$E138*$G138/(1+$B138/100)^$C138</f>
        <v/>
      </c>
      <c r="K138" s="16">
        <f>J138-I138</f>
        <v/>
      </c>
      <c r="L138">
        <f>IF(K138&lt;0,"PCC","HMA")</f>
        <v/>
      </c>
    </row>
    <row r="139">
      <c r="A139" s="7" t="inlineStr">
        <is>
          <t>TDOT 3% but 20-yr life</t>
        </is>
      </c>
      <c r="B139" t="n">
        <v>3</v>
      </c>
      <c r="C139" t="n">
        <v>20</v>
      </c>
      <c r="D139" t="n">
        <v>1</v>
      </c>
      <c r="E139" t="n">
        <v>1</v>
      </c>
      <c r="F139" t="n">
        <v>1</v>
      </c>
      <c r="G139" t="n">
        <v>1</v>
      </c>
      <c r="H139" t="n">
        <v>1</v>
      </c>
      <c r="I139" s="16">
        <f>SUMPRODUCT((B18:B25&lt;=$C139)*(C18:C25*$D139+D18:D25*$F139*$B$8*$H139)/(1+$B139/100)^B18:B25)+C26*$D139*$G139/(1+$B139/100)^$C139</f>
        <v/>
      </c>
      <c r="J139" s="16">
        <f>SUMPRODUCT((K18:K20&lt;=$C139)*(L18:L20*$E139+M18:M20*$F139*$B$8*$H139)/(1+$B139/100)^K18:K20)+L21*$E139*$G139/(1+$B139/100)^$C139</f>
        <v/>
      </c>
      <c r="K139" s="16">
        <f>J139-I139</f>
        <v/>
      </c>
      <c r="L139">
        <f>IF(K139&lt;0,"PCC","HMA")</f>
        <v/>
      </c>
    </row>
    <row r="140">
      <c r="A140" s="7" t="inlineStr">
        <is>
          <t>High rate 5%</t>
        </is>
      </c>
      <c r="B140" t="n">
        <v>5</v>
      </c>
      <c r="C140" t="n">
        <v>30</v>
      </c>
      <c r="D140" t="n">
        <v>1</v>
      </c>
      <c r="E140" t="n">
        <v>1</v>
      </c>
      <c r="F140" t="n">
        <v>1</v>
      </c>
      <c r="G140" t="n">
        <v>1</v>
      </c>
      <c r="H140" t="n">
        <v>1</v>
      </c>
      <c r="I140" s="16">
        <f>SUMPRODUCT((B18:B25&lt;=$C140)*(C18:C25*$D140+D18:D25*$F140*$B$8*$H140)/(1+$B140/100)^B18:B25)+C26*$D140*$G140/(1+$B140/100)^$C140</f>
        <v/>
      </c>
      <c r="J140" s="16">
        <f>SUMPRODUCT((K18:K20&lt;=$C140)*(L18:L20*$E140+M18:M20*$F140*$B$8*$H140)/(1+$B140/100)^K18:K20)+L21*$E140*$G140/(1+$B140/100)^$C140</f>
        <v/>
      </c>
      <c r="K140" s="16">
        <f>J140-I140</f>
        <v/>
      </c>
      <c r="L140">
        <f>IF(K140&lt;0,"PCC","HMA")</f>
        <v/>
      </c>
    </row>
    <row r="141">
      <c r="A141" s="7" t="inlineStr">
        <is>
          <t>No lost-revenue term</t>
        </is>
      </c>
      <c r="B141" t="n">
        <v>3</v>
      </c>
      <c r="C141" t="n">
        <v>30</v>
      </c>
      <c r="D141" t="n">
        <v>1</v>
      </c>
      <c r="E141" t="n">
        <v>1</v>
      </c>
      <c r="F141" t="n">
        <v>1</v>
      </c>
      <c r="G141" t="n">
        <v>1</v>
      </c>
      <c r="H141" t="n">
        <v>0</v>
      </c>
      <c r="I141" s="16">
        <f>SUMPRODUCT((B18:B25&lt;=$C141)*(C18:C25*$D141+D18:D25*$F141*$B$8*$H141)/(1+$B141/100)^B18:B25)+C26*$D141*$G141/(1+$B141/100)^$C141</f>
        <v/>
      </c>
      <c r="J141" s="16">
        <f>SUMPRODUCT((K18:K20&lt;=$C141)*(L18:L20*$E141+M18:M20*$F141*$B$8*$H141)/(1+$B141/100)^K18:K20)+L21*$E141*$G141/(1+$B141/100)^$C141</f>
        <v/>
      </c>
      <c r="K141" s="16">
        <f>J141-I141</f>
        <v/>
      </c>
      <c r="L141">
        <f>IF(K141&lt;0,"PCC","HMA")</f>
        <v/>
      </c>
    </row>
    <row r="142">
      <c r="A142" s="7" t="inlineStr">
        <is>
          <t>Revenue loss at 40% of gross</t>
        </is>
      </c>
      <c r="B142" t="n">
        <v>3</v>
      </c>
      <c r="C142" t="n">
        <v>30</v>
      </c>
      <c r="D142" t="n">
        <v>1</v>
      </c>
      <c r="E142" t="n">
        <v>1</v>
      </c>
      <c r="F142" t="n">
        <v>1</v>
      </c>
      <c r="G142" t="n">
        <v>1</v>
      </c>
      <c r="H142" t="n">
        <v>0.4</v>
      </c>
      <c r="I142" s="16">
        <f>SUMPRODUCT((B18:B25&lt;=$C142)*(C18:C25*$D142+D18:D25*$F142*$B$8*$H142)/(1+$B142/100)^B18:B25)+C26*$D142*$G142/(1+$B142/100)^$C142</f>
        <v/>
      </c>
      <c r="J142" s="16">
        <f>SUMPRODUCT((K18:K20&lt;=$C142)*(L18:L20*$E142+M18:M20*$F142*$B$8*$H142)/(1+$B142/100)^K18:K20)+L21*$E142*$G142/(1+$B142/100)^$C142</f>
        <v/>
      </c>
      <c r="K142" s="16">
        <f>J142-I142</f>
        <v/>
      </c>
      <c r="L142">
        <f>IF(K142&lt;0,"PCC","HMA")</f>
        <v/>
      </c>
    </row>
    <row r="143">
      <c r="A143" s="7" t="inlineStr">
        <is>
          <t>No salvage credit</t>
        </is>
      </c>
      <c r="B143" t="n">
        <v>3</v>
      </c>
      <c r="C143" t="n">
        <v>30</v>
      </c>
      <c r="D143" t="n">
        <v>1</v>
      </c>
      <c r="E143" t="n">
        <v>1</v>
      </c>
      <c r="F143" t="n">
        <v>1</v>
      </c>
      <c r="G143" t="n">
        <v>0</v>
      </c>
      <c r="H143" t="n">
        <v>1</v>
      </c>
      <c r="I143" s="16">
        <f>SUMPRODUCT((B18:B25&lt;=$C143)*(C18:C25*$D143+D18:D25*$F143*$B$8*$H143)/(1+$B143/100)^B18:B25)+C26*$D143*$G143/(1+$B143/100)^$C143</f>
        <v/>
      </c>
      <c r="J143" s="16">
        <f>SUMPRODUCT((K18:K20&lt;=$C143)*(L18:L20*$E143+M18:M20*$F143*$B$8*$H143)/(1+$B143/100)^K18:K20)+L21*$E143*$G143/(1+$B143/100)^$C143</f>
        <v/>
      </c>
      <c r="K143" s="16">
        <f>J143-I143</f>
        <v/>
      </c>
      <c r="L143">
        <f>IF(K143&lt;0,"PCC","HMA")</f>
        <v/>
      </c>
    </row>
    <row r="144">
      <c r="A144" s="7" t="inlineStr">
        <is>
          <t>PCC bids +20%</t>
        </is>
      </c>
      <c r="B144" t="n">
        <v>3</v>
      </c>
      <c r="C144" t="n">
        <v>30</v>
      </c>
      <c r="D144" t="n">
        <v>1</v>
      </c>
      <c r="E144" t="n">
        <v>1.2</v>
      </c>
      <c r="F144" t="n">
        <v>1</v>
      </c>
      <c r="G144" t="n">
        <v>1</v>
      </c>
      <c r="H144" t="n">
        <v>1</v>
      </c>
      <c r="I144" s="16">
        <f>SUMPRODUCT((B18:B25&lt;=$C144)*(C18:C25*$D144+D18:D25*$F144*$B$8*$H144)/(1+$B144/100)^B18:B25)+C26*$D144*$G144/(1+$B144/100)^$C144</f>
        <v/>
      </c>
      <c r="J144" s="16">
        <f>SUMPRODUCT((K18:K20&lt;=$C144)*(L18:L20*$E144+M18:M20*$F144*$B$8*$H144)/(1+$B144/100)^K18:K20)+L21*$E144*$G144/(1+$B144/100)^$C144</f>
        <v/>
      </c>
      <c r="K144" s="16">
        <f>J144-I144</f>
        <v/>
      </c>
      <c r="L144">
        <f>IF(K144&lt;0,"PCC","HMA")</f>
        <v/>
      </c>
    </row>
    <row r="145">
      <c r="A145" s="7" t="inlineStr">
        <is>
          <t>HMA bids +20%</t>
        </is>
      </c>
      <c r="B145" t="n">
        <v>3</v>
      </c>
      <c r="C145" t="n">
        <v>30</v>
      </c>
      <c r="D145" t="n">
        <v>1.2</v>
      </c>
      <c r="E145" t="n">
        <v>1</v>
      </c>
      <c r="F145" t="n">
        <v>1</v>
      </c>
      <c r="G145" t="n">
        <v>1</v>
      </c>
      <c r="H145" t="n">
        <v>1</v>
      </c>
      <c r="I145" s="16">
        <f>SUMPRODUCT((B18:B25&lt;=$C145)*(C18:C25*$D145+D18:D25*$F145*$B$8*$H145)/(1+$B145/100)^B18:B25)+C26*$D145*$G145/(1+$B145/100)^$C145</f>
        <v/>
      </c>
      <c r="J145" s="16">
        <f>SUMPRODUCT((K18:K20&lt;=$C145)*(L18:L20*$E145+M18:M20*$F145*$B$8*$H145)/(1+$B145/100)^K18:K20)+L21*$E145*$G145/(1+$B145/100)^$C145</f>
        <v/>
      </c>
      <c r="K145" s="16">
        <f>J145-I145</f>
        <v/>
      </c>
      <c r="L145">
        <f>IF(K145&lt;0,"PCC","HMA")</f>
        <v/>
      </c>
    </row>
    <row r="146">
      <c r="A146" s="7" t="inlineStr">
        <is>
          <t>Closures twice as long</t>
        </is>
      </c>
      <c r="B146" t="n">
        <v>3</v>
      </c>
      <c r="C146" t="n">
        <v>30</v>
      </c>
      <c r="D146" t="n">
        <v>1</v>
      </c>
      <c r="E146" t="n">
        <v>1</v>
      </c>
      <c r="F146" t="n">
        <v>2</v>
      </c>
      <c r="G146" t="n">
        <v>1</v>
      </c>
      <c r="H146" t="n">
        <v>1</v>
      </c>
      <c r="I146" s="16">
        <f>SUMPRODUCT((B18:B25&lt;=$C146)*(C18:C25*$D146+D18:D25*$F146*$B$8*$H146)/(1+$B146/100)^B18:B25)+C26*$D146*$G146/(1+$B146/100)^$C146</f>
        <v/>
      </c>
      <c r="J146" s="16">
        <f>SUMPRODUCT((K18:K20&lt;=$C146)*(L18:L20*$E146+M18:M20*$F146*$B$8*$H146)/(1+$B146/100)^K18:K20)+L21*$E146*$G146/(1+$B146/100)^$C146</f>
        <v/>
      </c>
      <c r="K146" s="16">
        <f>J146-I146</f>
        <v/>
      </c>
      <c r="L146">
        <f>IF(K146&lt;0,"PCC","HMA")</f>
        <v/>
      </c>
    </row>
    <row r="147">
      <c r="A147" s="7" t="inlineStr">
        <is>
          <t>Closures half as long</t>
        </is>
      </c>
      <c r="B147" t="n">
        <v>3</v>
      </c>
      <c r="C147" t="n">
        <v>30</v>
      </c>
      <c r="D147" t="n">
        <v>1</v>
      </c>
      <c r="E147" t="n">
        <v>1</v>
      </c>
      <c r="F147" t="n">
        <v>0.5</v>
      </c>
      <c r="G147" t="n">
        <v>1</v>
      </c>
      <c r="H147" t="n">
        <v>1</v>
      </c>
      <c r="I147" s="16">
        <f>SUMPRODUCT((B18:B25&lt;=$C147)*(C18:C25*$D147+D18:D25*$F147*$B$8*$H147)/(1+$B147/100)^B18:B25)+C26*$D147*$G147/(1+$B147/100)^$C147</f>
        <v/>
      </c>
      <c r="J147" s="16">
        <f>SUMPRODUCT((K18:K20&lt;=$C147)*(L18:L20*$E147+M18:M20*$F147*$B$8*$H147)/(1+$B147/100)^K18:K20)+L21*$E147*$G147/(1+$B147/100)^$C147</f>
        <v/>
      </c>
      <c r="K147" s="16">
        <f>J147-I147</f>
        <v/>
      </c>
      <c r="L147">
        <f>IF(K147&lt;0,"PCC","HMA")</f>
        <v/>
      </c>
    </row>
    <row r="148">
      <c r="A148" s="7" t="inlineStr">
        <is>
          <t>Stress: 7%, no salvage, no lost revenue</t>
        </is>
      </c>
      <c r="B148" t="n">
        <v>7</v>
      </c>
      <c r="C148" t="n">
        <v>30</v>
      </c>
      <c r="D148" t="n">
        <v>1</v>
      </c>
      <c r="E148" t="n">
        <v>1</v>
      </c>
      <c r="F148" t="n">
        <v>1</v>
      </c>
      <c r="G148" t="n">
        <v>0</v>
      </c>
      <c r="H148" t="n">
        <v>0</v>
      </c>
      <c r="I148" s="16">
        <f>SUMPRODUCT((B18:B25&lt;=$C148)*(C18:C25*$D148+D18:D25*$F148*$B$8*$H148)/(1+$B148/100)^B18:B25)+C26*$D148*$G148/(1+$B148/100)^$C148</f>
        <v/>
      </c>
      <c r="J148" s="16">
        <f>SUMPRODUCT((K18:K20&lt;=$C148)*(L18:L20*$E148+M18:M20*$F148*$B$8*$H148)/(1+$B148/100)^K18:K20)+L21*$E148*$G148/(1+$B148/100)^$C148</f>
        <v/>
      </c>
      <c r="K148" s="16">
        <f>J148-I148</f>
        <v/>
      </c>
      <c r="L148">
        <f>IF(K148&lt;0,"PCC","HMA")</f>
        <v/>
      </c>
    </row>
    <row r="149">
      <c r="A149" s="5" t="inlineStr">
        <is>
          <t>Note: scenario rows use their own parameters, not the yellow inputs. A 20-year period applies the same salvage fraction at year 20 (conservative simplification).</t>
        </is>
      </c>
    </row>
    <row r="152">
      <c r="A152" s="4" t="inlineStr">
        <is>
          <t>DECISION MAP: PCC - HMA present worth by discount rate and salvage credit</t>
        </is>
      </c>
    </row>
    <row r="153">
      <c r="A153" s="13" t="inlineStr">
        <is>
          <t>Salvage multiplier \ Rate (%)</t>
        </is>
      </c>
      <c r="B153" s="28" t="n">
        <v>2</v>
      </c>
      <c r="C153" s="28" t="n">
        <v>3</v>
      </c>
      <c r="D153" s="28" t="n">
        <v>4</v>
      </c>
      <c r="E153" s="28" t="n">
        <v>5</v>
      </c>
      <c r="F153" s="28" t="n">
        <v>6</v>
      </c>
      <c r="G153" s="28" t="n">
        <v>7</v>
      </c>
      <c r="H153" s="28" t="n">
        <v>8</v>
      </c>
    </row>
    <row r="154">
      <c r="A154" s="29" t="n">
        <v>0</v>
      </c>
      <c r="B154" s="30">
        <f>(SUMPRODUCT((K18:K20&lt;=$B$6)*(L18:L20*$B$12+M18:M20*$B$10*$B$8*$B$9)/(1+2/100)^K18:K20)+L21*$B$12*0/(1+2/100)^$B$6)-(SUMPRODUCT((B18:B25&lt;=$B$6)*(C18:C25*$B$11+D18:D25*$B$10*$B$8*$B$9)/(1+2/100)^B18:B25)+C26*$B$11*0/(1+2/100)^$B$6)</f>
        <v/>
      </c>
      <c r="C154" s="30">
        <f>(SUMPRODUCT((K18:K20&lt;=$B$6)*(L18:L20*$B$12+M18:M20*$B$10*$B$8*$B$9)/(1+3/100)^K18:K20)+L21*$B$12*0/(1+3/100)^$B$6)-(SUMPRODUCT((B18:B25&lt;=$B$6)*(C18:C25*$B$11+D18:D25*$B$10*$B$8*$B$9)/(1+3/100)^B18:B25)+C26*$B$11*0/(1+3/100)^$B$6)</f>
        <v/>
      </c>
      <c r="D154" s="30">
        <f>(SUMPRODUCT((K18:K20&lt;=$B$6)*(L18:L20*$B$12+M18:M20*$B$10*$B$8*$B$9)/(1+4/100)^K18:K20)+L21*$B$12*0/(1+4/100)^$B$6)-(SUMPRODUCT((B18:B25&lt;=$B$6)*(C18:C25*$B$11+D18:D25*$B$10*$B$8*$B$9)/(1+4/100)^B18:B25)+C26*$B$11*0/(1+4/100)^$B$6)</f>
        <v/>
      </c>
      <c r="E154" s="30">
        <f>(SUMPRODUCT((K18:K20&lt;=$B$6)*(L18:L20*$B$12+M18:M20*$B$10*$B$8*$B$9)/(1+5/100)^K18:K20)+L21*$B$12*0/(1+5/100)^$B$6)-(SUMPRODUCT((B18:B25&lt;=$B$6)*(C18:C25*$B$11+D18:D25*$B$10*$B$8*$B$9)/(1+5/100)^B18:B25)+C26*$B$11*0/(1+5/100)^$B$6)</f>
        <v/>
      </c>
      <c r="F154" s="30">
        <f>(SUMPRODUCT((K18:K20&lt;=$B$6)*(L18:L20*$B$12+M18:M20*$B$10*$B$8*$B$9)/(1+6/100)^K18:K20)+L21*$B$12*0/(1+6/100)^$B$6)-(SUMPRODUCT((B18:B25&lt;=$B$6)*(C18:C25*$B$11+D18:D25*$B$10*$B$8*$B$9)/(1+6/100)^B18:B25)+C26*$B$11*0/(1+6/100)^$B$6)</f>
        <v/>
      </c>
      <c r="G154" s="30">
        <f>(SUMPRODUCT((K18:K20&lt;=$B$6)*(L18:L20*$B$12+M18:M20*$B$10*$B$8*$B$9)/(1+7/100)^K18:K20)+L21*$B$12*0/(1+7/100)^$B$6)-(SUMPRODUCT((B18:B25&lt;=$B$6)*(C18:C25*$B$11+D18:D25*$B$10*$B$8*$B$9)/(1+7/100)^B18:B25)+C26*$B$11*0/(1+7/100)^$B$6)</f>
        <v/>
      </c>
      <c r="H154" s="30">
        <f>(SUMPRODUCT((K18:K20&lt;=$B$6)*(L18:L20*$B$12+M18:M20*$B$10*$B$8*$B$9)/(1+8/100)^K18:K20)+L21*$B$12*0/(1+8/100)^$B$6)-(SUMPRODUCT((B18:B25&lt;=$B$6)*(C18:C25*$B$11+D18:D25*$B$10*$B$8*$B$9)/(1+8/100)^B18:B25)+C26*$B$11*0/(1+8/100)^$B$6)</f>
        <v/>
      </c>
    </row>
    <row r="155">
      <c r="A155" s="29" t="n">
        <v>0.25</v>
      </c>
      <c r="B155" s="30">
        <f>(SUMPRODUCT((K18:K20&lt;=$B$6)*(L18:L20*$B$12+M18:M20*$B$10*$B$8*$B$9)/(1+2/100)^K18:K20)+L21*$B$12*0.25/(1+2/100)^$B$6)-(SUMPRODUCT((B18:B25&lt;=$B$6)*(C18:C25*$B$11+D18:D25*$B$10*$B$8*$B$9)/(1+2/100)^B18:B25)+C26*$B$11*0.25/(1+2/100)^$B$6)</f>
        <v/>
      </c>
      <c r="C155" s="30">
        <f>(SUMPRODUCT((K18:K20&lt;=$B$6)*(L18:L20*$B$12+M18:M20*$B$10*$B$8*$B$9)/(1+3/100)^K18:K20)+L21*$B$12*0.25/(1+3/100)^$B$6)-(SUMPRODUCT((B18:B25&lt;=$B$6)*(C18:C25*$B$11+D18:D25*$B$10*$B$8*$B$9)/(1+3/100)^B18:B25)+C26*$B$11*0.25/(1+3/100)^$B$6)</f>
        <v/>
      </c>
      <c r="D155" s="30">
        <f>(SUMPRODUCT((K18:K20&lt;=$B$6)*(L18:L20*$B$12+M18:M20*$B$10*$B$8*$B$9)/(1+4/100)^K18:K20)+L21*$B$12*0.25/(1+4/100)^$B$6)-(SUMPRODUCT((B18:B25&lt;=$B$6)*(C18:C25*$B$11+D18:D25*$B$10*$B$8*$B$9)/(1+4/100)^B18:B25)+C26*$B$11*0.25/(1+4/100)^$B$6)</f>
        <v/>
      </c>
      <c r="E155" s="30">
        <f>(SUMPRODUCT((K18:K20&lt;=$B$6)*(L18:L20*$B$12+M18:M20*$B$10*$B$8*$B$9)/(1+5/100)^K18:K20)+L21*$B$12*0.25/(1+5/100)^$B$6)-(SUMPRODUCT((B18:B25&lt;=$B$6)*(C18:C25*$B$11+D18:D25*$B$10*$B$8*$B$9)/(1+5/100)^B18:B25)+C26*$B$11*0.25/(1+5/100)^$B$6)</f>
        <v/>
      </c>
      <c r="F155" s="30">
        <f>(SUMPRODUCT((K18:K20&lt;=$B$6)*(L18:L20*$B$12+M18:M20*$B$10*$B$8*$B$9)/(1+6/100)^K18:K20)+L21*$B$12*0.25/(1+6/100)^$B$6)-(SUMPRODUCT((B18:B25&lt;=$B$6)*(C18:C25*$B$11+D18:D25*$B$10*$B$8*$B$9)/(1+6/100)^B18:B25)+C26*$B$11*0.25/(1+6/100)^$B$6)</f>
        <v/>
      </c>
      <c r="G155" s="30">
        <f>(SUMPRODUCT((K18:K20&lt;=$B$6)*(L18:L20*$B$12+M18:M20*$B$10*$B$8*$B$9)/(1+7/100)^K18:K20)+L21*$B$12*0.25/(1+7/100)^$B$6)-(SUMPRODUCT((B18:B25&lt;=$B$6)*(C18:C25*$B$11+D18:D25*$B$10*$B$8*$B$9)/(1+7/100)^B18:B25)+C26*$B$11*0.25/(1+7/100)^$B$6)</f>
        <v/>
      </c>
      <c r="H155" s="30">
        <f>(SUMPRODUCT((K18:K20&lt;=$B$6)*(L18:L20*$B$12+M18:M20*$B$10*$B$8*$B$9)/(1+8/100)^K18:K20)+L21*$B$12*0.25/(1+8/100)^$B$6)-(SUMPRODUCT((B18:B25&lt;=$B$6)*(C18:C25*$B$11+D18:D25*$B$10*$B$8*$B$9)/(1+8/100)^B18:B25)+C26*$B$11*0.25/(1+8/100)^$B$6)</f>
        <v/>
      </c>
    </row>
    <row r="156">
      <c r="A156" s="29" t="n">
        <v>0.5</v>
      </c>
      <c r="B156" s="30">
        <f>(SUMPRODUCT((K18:K20&lt;=$B$6)*(L18:L20*$B$12+M18:M20*$B$10*$B$8*$B$9)/(1+2/100)^K18:K20)+L21*$B$12*0.5/(1+2/100)^$B$6)-(SUMPRODUCT((B18:B25&lt;=$B$6)*(C18:C25*$B$11+D18:D25*$B$10*$B$8*$B$9)/(1+2/100)^B18:B25)+C26*$B$11*0.5/(1+2/100)^$B$6)</f>
        <v/>
      </c>
      <c r="C156" s="30">
        <f>(SUMPRODUCT((K18:K20&lt;=$B$6)*(L18:L20*$B$12+M18:M20*$B$10*$B$8*$B$9)/(1+3/100)^K18:K20)+L21*$B$12*0.5/(1+3/100)^$B$6)-(SUMPRODUCT((B18:B25&lt;=$B$6)*(C18:C25*$B$11+D18:D25*$B$10*$B$8*$B$9)/(1+3/100)^B18:B25)+C26*$B$11*0.5/(1+3/100)^$B$6)</f>
        <v/>
      </c>
      <c r="D156" s="30">
        <f>(SUMPRODUCT((K18:K20&lt;=$B$6)*(L18:L20*$B$12+M18:M20*$B$10*$B$8*$B$9)/(1+4/100)^K18:K20)+L21*$B$12*0.5/(1+4/100)^$B$6)-(SUMPRODUCT((B18:B25&lt;=$B$6)*(C18:C25*$B$11+D18:D25*$B$10*$B$8*$B$9)/(1+4/100)^B18:B25)+C26*$B$11*0.5/(1+4/100)^$B$6)</f>
        <v/>
      </c>
      <c r="E156" s="30">
        <f>(SUMPRODUCT((K18:K20&lt;=$B$6)*(L18:L20*$B$12+M18:M20*$B$10*$B$8*$B$9)/(1+5/100)^K18:K20)+L21*$B$12*0.5/(1+5/100)^$B$6)-(SUMPRODUCT((B18:B25&lt;=$B$6)*(C18:C25*$B$11+D18:D25*$B$10*$B$8*$B$9)/(1+5/100)^B18:B25)+C26*$B$11*0.5/(1+5/100)^$B$6)</f>
        <v/>
      </c>
      <c r="F156" s="30">
        <f>(SUMPRODUCT((K18:K20&lt;=$B$6)*(L18:L20*$B$12+M18:M20*$B$10*$B$8*$B$9)/(1+6/100)^K18:K20)+L21*$B$12*0.5/(1+6/100)^$B$6)-(SUMPRODUCT((B18:B25&lt;=$B$6)*(C18:C25*$B$11+D18:D25*$B$10*$B$8*$B$9)/(1+6/100)^B18:B25)+C26*$B$11*0.5/(1+6/100)^$B$6)</f>
        <v/>
      </c>
      <c r="G156" s="30">
        <f>(SUMPRODUCT((K18:K20&lt;=$B$6)*(L18:L20*$B$12+M18:M20*$B$10*$B$8*$B$9)/(1+7/100)^K18:K20)+L21*$B$12*0.5/(1+7/100)^$B$6)-(SUMPRODUCT((B18:B25&lt;=$B$6)*(C18:C25*$B$11+D18:D25*$B$10*$B$8*$B$9)/(1+7/100)^B18:B25)+C26*$B$11*0.5/(1+7/100)^$B$6)</f>
        <v/>
      </c>
      <c r="H156" s="30">
        <f>(SUMPRODUCT((K18:K20&lt;=$B$6)*(L18:L20*$B$12+M18:M20*$B$10*$B$8*$B$9)/(1+8/100)^K18:K20)+L21*$B$12*0.5/(1+8/100)^$B$6)-(SUMPRODUCT((B18:B25&lt;=$B$6)*(C18:C25*$B$11+D18:D25*$B$10*$B$8*$B$9)/(1+8/100)^B18:B25)+C26*$B$11*0.5/(1+8/100)^$B$6)</f>
        <v/>
      </c>
    </row>
    <row r="157">
      <c r="A157" s="29" t="n">
        <v>0.75</v>
      </c>
      <c r="B157" s="30">
        <f>(SUMPRODUCT((K18:K20&lt;=$B$6)*(L18:L20*$B$12+M18:M20*$B$10*$B$8*$B$9)/(1+2/100)^K18:K20)+L21*$B$12*0.75/(1+2/100)^$B$6)-(SUMPRODUCT((B18:B25&lt;=$B$6)*(C18:C25*$B$11+D18:D25*$B$10*$B$8*$B$9)/(1+2/100)^B18:B25)+C26*$B$11*0.75/(1+2/100)^$B$6)</f>
        <v/>
      </c>
      <c r="C157" s="30">
        <f>(SUMPRODUCT((K18:K20&lt;=$B$6)*(L18:L20*$B$12+M18:M20*$B$10*$B$8*$B$9)/(1+3/100)^K18:K20)+L21*$B$12*0.75/(1+3/100)^$B$6)-(SUMPRODUCT((B18:B25&lt;=$B$6)*(C18:C25*$B$11+D18:D25*$B$10*$B$8*$B$9)/(1+3/100)^B18:B25)+C26*$B$11*0.75/(1+3/100)^$B$6)</f>
        <v/>
      </c>
      <c r="D157" s="30">
        <f>(SUMPRODUCT((K18:K20&lt;=$B$6)*(L18:L20*$B$12+M18:M20*$B$10*$B$8*$B$9)/(1+4/100)^K18:K20)+L21*$B$12*0.75/(1+4/100)^$B$6)-(SUMPRODUCT((B18:B25&lt;=$B$6)*(C18:C25*$B$11+D18:D25*$B$10*$B$8*$B$9)/(1+4/100)^B18:B25)+C26*$B$11*0.75/(1+4/100)^$B$6)</f>
        <v/>
      </c>
      <c r="E157" s="30">
        <f>(SUMPRODUCT((K18:K20&lt;=$B$6)*(L18:L20*$B$12+M18:M20*$B$10*$B$8*$B$9)/(1+5/100)^K18:K20)+L21*$B$12*0.75/(1+5/100)^$B$6)-(SUMPRODUCT((B18:B25&lt;=$B$6)*(C18:C25*$B$11+D18:D25*$B$10*$B$8*$B$9)/(1+5/100)^B18:B25)+C26*$B$11*0.75/(1+5/100)^$B$6)</f>
        <v/>
      </c>
      <c r="F157" s="30">
        <f>(SUMPRODUCT((K18:K20&lt;=$B$6)*(L18:L20*$B$12+M18:M20*$B$10*$B$8*$B$9)/(1+6/100)^K18:K20)+L21*$B$12*0.75/(1+6/100)^$B$6)-(SUMPRODUCT((B18:B25&lt;=$B$6)*(C18:C25*$B$11+D18:D25*$B$10*$B$8*$B$9)/(1+6/100)^B18:B25)+C26*$B$11*0.75/(1+6/100)^$B$6)</f>
        <v/>
      </c>
      <c r="G157" s="30">
        <f>(SUMPRODUCT((K18:K20&lt;=$B$6)*(L18:L20*$B$12+M18:M20*$B$10*$B$8*$B$9)/(1+7/100)^K18:K20)+L21*$B$12*0.75/(1+7/100)^$B$6)-(SUMPRODUCT((B18:B25&lt;=$B$6)*(C18:C25*$B$11+D18:D25*$B$10*$B$8*$B$9)/(1+7/100)^B18:B25)+C26*$B$11*0.75/(1+7/100)^$B$6)</f>
        <v/>
      </c>
      <c r="H157" s="30">
        <f>(SUMPRODUCT((K18:K20&lt;=$B$6)*(L18:L20*$B$12+M18:M20*$B$10*$B$8*$B$9)/(1+8/100)^K18:K20)+L21*$B$12*0.75/(1+8/100)^$B$6)-(SUMPRODUCT((B18:B25&lt;=$B$6)*(C18:C25*$B$11+D18:D25*$B$10*$B$8*$B$9)/(1+8/100)^B18:B25)+C26*$B$11*0.75/(1+8/100)^$B$6)</f>
        <v/>
      </c>
    </row>
    <row r="158">
      <c r="A158" s="29" t="n">
        <v>1</v>
      </c>
      <c r="B158" s="30">
        <f>(SUMPRODUCT((K18:K20&lt;=$B$6)*(L18:L20*$B$12+M18:M20*$B$10*$B$8*$B$9)/(1+2/100)^K18:K20)+L21*$B$12*1.0/(1+2/100)^$B$6)-(SUMPRODUCT((B18:B25&lt;=$B$6)*(C18:C25*$B$11+D18:D25*$B$10*$B$8*$B$9)/(1+2/100)^B18:B25)+C26*$B$11*1.0/(1+2/100)^$B$6)</f>
        <v/>
      </c>
      <c r="C158" s="30">
        <f>(SUMPRODUCT((K18:K20&lt;=$B$6)*(L18:L20*$B$12+M18:M20*$B$10*$B$8*$B$9)/(1+3/100)^K18:K20)+L21*$B$12*1.0/(1+3/100)^$B$6)-(SUMPRODUCT((B18:B25&lt;=$B$6)*(C18:C25*$B$11+D18:D25*$B$10*$B$8*$B$9)/(1+3/100)^B18:B25)+C26*$B$11*1.0/(1+3/100)^$B$6)</f>
        <v/>
      </c>
      <c r="D158" s="30">
        <f>(SUMPRODUCT((K18:K20&lt;=$B$6)*(L18:L20*$B$12+M18:M20*$B$10*$B$8*$B$9)/(1+4/100)^K18:K20)+L21*$B$12*1.0/(1+4/100)^$B$6)-(SUMPRODUCT((B18:B25&lt;=$B$6)*(C18:C25*$B$11+D18:D25*$B$10*$B$8*$B$9)/(1+4/100)^B18:B25)+C26*$B$11*1.0/(1+4/100)^$B$6)</f>
        <v/>
      </c>
      <c r="E158" s="30">
        <f>(SUMPRODUCT((K18:K20&lt;=$B$6)*(L18:L20*$B$12+M18:M20*$B$10*$B$8*$B$9)/(1+5/100)^K18:K20)+L21*$B$12*1.0/(1+5/100)^$B$6)-(SUMPRODUCT((B18:B25&lt;=$B$6)*(C18:C25*$B$11+D18:D25*$B$10*$B$8*$B$9)/(1+5/100)^B18:B25)+C26*$B$11*1.0/(1+5/100)^$B$6)</f>
        <v/>
      </c>
      <c r="F158" s="30">
        <f>(SUMPRODUCT((K18:K20&lt;=$B$6)*(L18:L20*$B$12+M18:M20*$B$10*$B$8*$B$9)/(1+6/100)^K18:K20)+L21*$B$12*1.0/(1+6/100)^$B$6)-(SUMPRODUCT((B18:B25&lt;=$B$6)*(C18:C25*$B$11+D18:D25*$B$10*$B$8*$B$9)/(1+6/100)^B18:B25)+C26*$B$11*1.0/(1+6/100)^$B$6)</f>
        <v/>
      </c>
      <c r="G158" s="30">
        <f>(SUMPRODUCT((K18:K20&lt;=$B$6)*(L18:L20*$B$12+M18:M20*$B$10*$B$8*$B$9)/(1+7/100)^K18:K20)+L21*$B$12*1.0/(1+7/100)^$B$6)-(SUMPRODUCT((B18:B25&lt;=$B$6)*(C18:C25*$B$11+D18:D25*$B$10*$B$8*$B$9)/(1+7/100)^B18:B25)+C26*$B$11*1.0/(1+7/100)^$B$6)</f>
        <v/>
      </c>
      <c r="H158" s="30">
        <f>(SUMPRODUCT((K18:K20&lt;=$B$6)*(L18:L20*$B$12+M18:M20*$B$10*$B$8*$B$9)/(1+8/100)^K18:K20)+L21*$B$12*1.0/(1+8/100)^$B$6)-(SUMPRODUCT((B18:B25&lt;=$B$6)*(C18:C25*$B$11+D18:D25*$B$10*$B$8*$B$9)/(1+8/100)^B18:B25)+C26*$B$11*1.0/(1+8/100)^$B$6)</f>
        <v/>
      </c>
    </row>
    <row r="159">
      <c r="A159" s="5" t="inlineStr">
        <is>
          <t>Orange = PCC lower, blue = HMA lower. White cells are within a rounding error of a tie.</t>
        </is>
      </c>
    </row>
    <row r="162">
      <c r="A162" s="13" t="inlineStr">
        <is>
          <t>PW by category (chart data)</t>
        </is>
      </c>
    </row>
    <row r="163">
      <c r="A163" s="6" t="inlineStr">
        <is>
          <t>Alternative</t>
        </is>
      </c>
      <c r="B163" s="6" t="inlineStr">
        <is>
          <t>Initial</t>
        </is>
      </c>
      <c r="C163" s="6" t="inlineStr">
        <is>
          <t>Maintenance</t>
        </is>
      </c>
      <c r="D163" s="6" t="inlineStr">
        <is>
          <t>Rehabilitation</t>
        </is>
      </c>
      <c r="E163" s="6" t="inlineStr">
        <is>
          <t>Lost revenue</t>
        </is>
      </c>
      <c r="F163" s="6" t="inlineStr">
        <is>
          <t>Salvage</t>
        </is>
      </c>
    </row>
    <row r="164">
      <c r="A164" t="inlineStr">
        <is>
          <t>HMA</t>
        </is>
      </c>
      <c r="B164" s="16">
        <f>B33</f>
        <v/>
      </c>
      <c r="C164" s="16">
        <f>B34</f>
        <v/>
      </c>
      <c r="D164" s="16">
        <f>B35</f>
        <v/>
      </c>
      <c r="E164" s="16">
        <f>B36</f>
        <v/>
      </c>
      <c r="F164" s="16">
        <f>B37</f>
        <v/>
      </c>
    </row>
    <row r="165">
      <c r="A165" t="inlineStr">
        <is>
          <t>PCC</t>
        </is>
      </c>
      <c r="B165" s="16">
        <f>C33</f>
        <v/>
      </c>
      <c r="C165" s="16">
        <f>C34</f>
        <v/>
      </c>
      <c r="D165" s="16">
        <f>C35</f>
        <v/>
      </c>
      <c r="E165" s="16">
        <f>C36</f>
        <v/>
      </c>
      <c r="F165" s="16">
        <f>C37</f>
        <v/>
      </c>
    </row>
    <row r="167">
      <c r="A167" s="13" t="inlineStr">
        <is>
          <t>Closure events (chart data)</t>
        </is>
      </c>
    </row>
    <row r="168">
      <c r="A168" s="6" t="inlineStr">
        <is>
          <t>Activity</t>
        </is>
      </c>
      <c r="B168" s="6" t="inlineStr">
        <is>
          <t>Calendar year</t>
        </is>
      </c>
      <c r="C168" s="6" t="inlineStr">
        <is>
          <t>Lane</t>
        </is>
      </c>
      <c r="D168" s="6" t="inlineStr">
        <is>
          <t>Days</t>
        </is>
      </c>
      <c r="E168" s="6" t="inlineStr">
        <is>
          <t>Lost revenue</t>
        </is>
      </c>
    </row>
    <row r="169">
      <c r="A169" t="inlineStr">
        <is>
          <t>HMA: Maintenance 1</t>
        </is>
      </c>
      <c r="B169">
        <f>IF(B19&lt;=$B$6,$B$7+B19,NA())</f>
        <v/>
      </c>
      <c r="C169" t="n">
        <v>1</v>
      </c>
      <c r="D169">
        <f>D19*$B$10</f>
        <v/>
      </c>
      <c r="E169" s="16">
        <f>F19</f>
        <v/>
      </c>
    </row>
    <row r="170">
      <c r="A170" t="inlineStr">
        <is>
          <t>HMA: Maintenance 2</t>
        </is>
      </c>
      <c r="B170">
        <f>IF(B20&lt;=$B$6,$B$7+B20,NA())</f>
        <v/>
      </c>
      <c r="C170" t="n">
        <v>1</v>
      </c>
      <c r="D170">
        <f>D20*$B$10</f>
        <v/>
      </c>
      <c r="E170" s="16">
        <f>F20</f>
        <v/>
      </c>
    </row>
    <row r="171">
      <c r="A171" t="inlineStr">
        <is>
          <t>HMA: Maintenance 3</t>
        </is>
      </c>
      <c r="B171">
        <f>IF(B21&lt;=$B$6,$B$7+B21,NA())</f>
        <v/>
      </c>
      <c r="C171" t="n">
        <v>1</v>
      </c>
      <c r="D171">
        <f>D21*$B$10</f>
        <v/>
      </c>
      <c r="E171" s="16">
        <f>F21</f>
        <v/>
      </c>
    </row>
    <row r="172">
      <c r="A172" t="inlineStr">
        <is>
          <t>HMA: Maintenance 4</t>
        </is>
      </c>
      <c r="B172">
        <f>IF(B22&lt;=$B$6,$B$7+B22,NA())</f>
        <v/>
      </c>
      <c r="C172" t="n">
        <v>1</v>
      </c>
      <c r="D172">
        <f>D22*$B$10</f>
        <v/>
      </c>
      <c r="E172" s="16">
        <f>F22</f>
        <v/>
      </c>
    </row>
    <row r="173">
      <c r="A173" t="inlineStr">
        <is>
          <t>HMA: Rehabilitation 1</t>
        </is>
      </c>
      <c r="B173">
        <f>IF(B23&lt;=$B$6,$B$7+B23,NA())</f>
        <v/>
      </c>
      <c r="C173" t="n">
        <v>1</v>
      </c>
      <c r="D173">
        <f>D23*$B$10</f>
        <v/>
      </c>
      <c r="E173" s="16">
        <f>F23</f>
        <v/>
      </c>
    </row>
    <row r="174">
      <c r="A174" t="inlineStr">
        <is>
          <t>HMA: Maintenance 5</t>
        </is>
      </c>
      <c r="B174">
        <f>IF(B24&lt;=$B$6,$B$7+B24,NA())</f>
        <v/>
      </c>
      <c r="C174" t="n">
        <v>1</v>
      </c>
      <c r="D174">
        <f>D24*$B$10</f>
        <v/>
      </c>
      <c r="E174" s="16">
        <f>F24</f>
        <v/>
      </c>
    </row>
    <row r="175">
      <c r="A175" t="inlineStr">
        <is>
          <t>HMA: Maintenance 6</t>
        </is>
      </c>
      <c r="B175">
        <f>IF(B25&lt;=$B$6,$B$7+B25,NA())</f>
        <v/>
      </c>
      <c r="C175" t="n">
        <v>1</v>
      </c>
      <c r="D175">
        <f>D25*$B$10</f>
        <v/>
      </c>
      <c r="E175" s="16">
        <f>F25</f>
        <v/>
      </c>
    </row>
    <row r="176">
      <c r="A176" t="inlineStr">
        <is>
          <t>PCC: Maintenance 1</t>
        </is>
      </c>
      <c r="B176">
        <f>IF(K19&lt;=$B$6,$B$7+K19,NA())</f>
        <v/>
      </c>
      <c r="C176" t="n">
        <v>2</v>
      </c>
      <c r="D176">
        <f>M19*$B$10</f>
        <v/>
      </c>
      <c r="E176" s="16">
        <f>O19</f>
        <v/>
      </c>
    </row>
    <row r="177">
      <c r="A177" t="inlineStr">
        <is>
          <t>PCC: Rehabilitation 1</t>
        </is>
      </c>
      <c r="B177">
        <f>IF(K20&lt;=$B$6,$B$7+K20,NA())</f>
        <v/>
      </c>
      <c r="C177" t="n">
        <v>2</v>
      </c>
      <c r="D177">
        <f>M20*$B$10</f>
        <v/>
      </c>
      <c r="E177" s="16">
        <f>O20</f>
        <v/>
      </c>
    </row>
  </sheetData>
  <conditionalFormatting sqref="D59:D83">
    <cfRule type="colorScale" priority="1">
      <colorScale>
        <cfvo type="min"/>
        <cfvo type="num" val="0"/>
        <cfvo type="max"/>
        <color rgb="00F8CDB9"/>
        <color rgb="00FFFFFF"/>
        <color rgb="00B7D3F6"/>
      </colorScale>
    </cfRule>
  </conditionalFormatting>
  <conditionalFormatting sqref="G124:G131">
    <cfRule type="cellIs" priority="2" operator="equal" dxfId="0">
      <formula>"YES"</formula>
    </cfRule>
  </conditionalFormatting>
  <conditionalFormatting sqref="K137:K148">
    <cfRule type="colorScale" priority="3">
      <colorScale>
        <cfvo type="min"/>
        <cfvo type="num" val="0"/>
        <cfvo type="max"/>
        <color rgb="00F8CDB9"/>
        <color rgb="00FFFFFF"/>
        <color rgb="00B7D3F6"/>
      </colorScale>
    </cfRule>
  </conditionalFormatting>
  <conditionalFormatting sqref="B154:H158">
    <cfRule type="colorScale" priority="4">
      <colorScale>
        <cfvo type="min"/>
        <cfvo type="num" val="0"/>
        <cfvo type="max"/>
        <color rgb="00F39C7A"/>
        <color rgb="00FFFFFF"/>
        <color rgb="006DA7E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Monte Carlo simulation of PCC - HMA present worth</t>
        </is>
      </c>
    </row>
    <row r="2" ht="30" customHeight="1">
      <c r="A2" s="31" t="inlineStr">
        <is>
          <t>5,000 draws per project, seed 42, computed in Python with the same engine as the project sheets (values, not formulas). Inputs varied jointly: discount rate ~ triangular(2, 3, 7)%; HMA and PCC cost multipliers ~ triangular(0.8, 1.0, 1.25) independently; closure-days multiplier ~ triangular(0.5, 1, 2); salvage multiplier ~ triangular(0.5, 1, 1); revenue share lost ~ uniform(0.3, 1.0).</t>
        </is>
      </c>
    </row>
    <row r="3"/>
    <row r="5">
      <c r="A5" s="6" t="inlineStr">
        <is>
          <t>Statistic</t>
        </is>
      </c>
      <c r="B5" s="6" t="inlineStr">
        <is>
          <t>MBT HMA NPW</t>
        </is>
      </c>
      <c r="C5" s="6" t="inlineStr">
        <is>
          <t>MBT PCC NPW</t>
        </is>
      </c>
      <c r="D5" s="6" t="inlineStr">
        <is>
          <t>MBT PCC-HMA</t>
        </is>
      </c>
      <c r="E5" s="6" t="inlineStr">
        <is>
          <t>SRB HMA NPW</t>
        </is>
      </c>
      <c r="F5" s="6" t="inlineStr">
        <is>
          <t>SRB PCC NPW</t>
        </is>
      </c>
      <c r="G5" s="6" t="inlineStr">
        <is>
          <t>SRB PCC-HMA</t>
        </is>
      </c>
    </row>
    <row r="6">
      <c r="A6" s="7" t="inlineStr">
        <is>
          <t>Mean</t>
        </is>
      </c>
      <c r="B6" s="16" t="n">
        <v>8459947.545743532</v>
      </c>
      <c r="C6" s="16" t="n">
        <v>8358472.13903142</v>
      </c>
      <c r="D6" s="16" t="n">
        <v>-101475.4067121096</v>
      </c>
      <c r="E6" s="16" t="n">
        <v>13489739.33762108</v>
      </c>
      <c r="F6" s="16" t="n">
        <v>15119286.88585309</v>
      </c>
      <c r="G6" s="16" t="n">
        <v>1629547.548232005</v>
      </c>
    </row>
    <row r="7">
      <c r="A7" s="7" t="inlineStr">
        <is>
          <t>P10</t>
        </is>
      </c>
      <c r="B7" s="16" t="n">
        <v>7321159.446957383</v>
      </c>
      <c r="C7" s="16" t="n">
        <v>7362963.756010443</v>
      </c>
      <c r="D7" s="16" t="n">
        <v>-1659051.70517789</v>
      </c>
      <c r="E7" s="16" t="n">
        <v>11726451.02929059</v>
      </c>
      <c r="F7" s="16" t="n">
        <v>13276840.87647495</v>
      </c>
      <c r="G7" s="16" t="n">
        <v>-962516.8798181979</v>
      </c>
    </row>
    <row r="8">
      <c r="A8" s="7" t="inlineStr">
        <is>
          <t>P50 (median)</t>
        </is>
      </c>
      <c r="B8" s="16" t="n">
        <v>8417219.618757581</v>
      </c>
      <c r="C8" s="16" t="n">
        <v>8336958.688026887</v>
      </c>
      <c r="D8" s="16" t="n">
        <v>-84509.4533430459</v>
      </c>
      <c r="E8" s="16" t="n">
        <v>13450417.7514905</v>
      </c>
      <c r="F8" s="16" t="n">
        <v>15071814.12867718</v>
      </c>
      <c r="G8" s="16" t="n">
        <v>1610893.016245493</v>
      </c>
    </row>
    <row r="9">
      <c r="A9" s="7" t="inlineStr">
        <is>
          <t>P90</t>
        </is>
      </c>
      <c r="B9" s="16" t="n">
        <v>9644250.264374958</v>
      </c>
      <c r="C9" s="16" t="n">
        <v>9387277.689904407</v>
      </c>
      <c r="D9" s="16" t="n">
        <v>1457699.876455588</v>
      </c>
      <c r="E9" s="16" t="n">
        <v>15356495.22430007</v>
      </c>
      <c r="F9" s="16" t="n">
        <v>16992679.30212106</v>
      </c>
      <c r="G9" s="16" t="n">
        <v>4287664.170361026</v>
      </c>
    </row>
    <row r="10">
      <c r="A10" s="7" t="inlineStr">
        <is>
          <t>Std. deviation</t>
        </is>
      </c>
      <c r="B10" s="16" t="n">
        <v>876697.920381657</v>
      </c>
      <c r="C10" s="16" t="n">
        <v>751876.3528006764</v>
      </c>
      <c r="D10" s="16" t="n">
        <v>1185090.551474112</v>
      </c>
      <c r="E10" s="16" t="n">
        <v>1373867.266188612</v>
      </c>
      <c r="F10" s="16" t="n">
        <v>1385835.950212785</v>
      </c>
      <c r="G10" s="16" t="n">
        <v>2013312.13575937</v>
      </c>
    </row>
    <row r="11">
      <c r="A11" s="13" t="inlineStr">
        <is>
          <t>Probability PCC is lower cost</t>
        </is>
      </c>
      <c r="D11" s="29" t="n">
        <v>0.5314</v>
      </c>
      <c r="G11" s="29" t="n">
        <v>0.2154</v>
      </c>
    </row>
    <row r="14">
      <c r="A14" s="13" t="inlineStr">
        <is>
          <t>Distribution of PCC - HMA present worth (bin upper edge, count of draws)</t>
        </is>
      </c>
    </row>
    <row r="15">
      <c r="A15" s="6" t="inlineStr">
        <is>
          <t>Bin upper edge ($)</t>
        </is>
      </c>
      <c r="B15" s="6" t="inlineStr">
        <is>
          <t>MBT draws</t>
        </is>
      </c>
      <c r="C15" s="6" t="inlineStr">
        <is>
          <t>SRB draws</t>
        </is>
      </c>
      <c r="D15" s="6" t="inlineStr">
        <is>
          <t>MBT cumulative %</t>
        </is>
      </c>
      <c r="E15" s="6" t="inlineStr">
        <is>
          <t>SRB cumulative %</t>
        </is>
      </c>
    </row>
    <row r="16">
      <c r="A16" s="30" t="n">
        <v>-2851179.444251476</v>
      </c>
      <c r="B16" t="n">
        <v>25</v>
      </c>
      <c r="C16" t="n">
        <v>24</v>
      </c>
      <c r="D16" s="32" t="n">
        <v>0.005</v>
      </c>
      <c r="E16" s="32" t="n">
        <v>0.0048</v>
      </c>
    </row>
    <row r="17">
      <c r="A17" s="30" t="n">
        <v>-2540271.465652399</v>
      </c>
      <c r="B17" t="n">
        <v>63</v>
      </c>
      <c r="C17" t="n">
        <v>33</v>
      </c>
      <c r="D17" s="32" t="n">
        <v>0.0176</v>
      </c>
      <c r="E17" s="32" t="n">
        <v>0.0114</v>
      </c>
    </row>
    <row r="18">
      <c r="A18" s="30" t="n">
        <v>-2229363.487053323</v>
      </c>
      <c r="B18" t="n">
        <v>89</v>
      </c>
      <c r="C18" t="n">
        <v>46</v>
      </c>
      <c r="D18" s="32" t="n">
        <v>0.0354</v>
      </c>
      <c r="E18" s="32" t="n">
        <v>0.0206</v>
      </c>
    </row>
    <row r="19">
      <c r="A19" s="30" t="n">
        <v>-1918455.508454247</v>
      </c>
      <c r="B19" t="n">
        <v>146</v>
      </c>
      <c r="C19" t="n">
        <v>55</v>
      </c>
      <c r="D19" s="32" t="n">
        <v>0.0646</v>
      </c>
      <c r="E19" s="32" t="n">
        <v>0.0316</v>
      </c>
    </row>
    <row r="20">
      <c r="A20" s="30" t="n">
        <v>-1607547.52985517</v>
      </c>
      <c r="B20" t="n">
        <v>207</v>
      </c>
      <c r="C20" t="n">
        <v>58</v>
      </c>
      <c r="D20" s="32" t="n">
        <v>0.106</v>
      </c>
      <c r="E20" s="32" t="n">
        <v>0.0432</v>
      </c>
    </row>
    <row r="21">
      <c r="A21" s="30" t="n">
        <v>-1296639.551256094</v>
      </c>
      <c r="B21" t="n">
        <v>260</v>
      </c>
      <c r="C21" t="n">
        <v>110</v>
      </c>
      <c r="D21" s="32" t="n">
        <v>0.158</v>
      </c>
      <c r="E21" s="32" t="n">
        <v>0.06519999999999999</v>
      </c>
    </row>
    <row r="22">
      <c r="A22" s="30" t="n">
        <v>-985731.5726570175</v>
      </c>
      <c r="B22" t="n">
        <v>378</v>
      </c>
      <c r="C22" t="n">
        <v>128</v>
      </c>
      <c r="D22" s="32" t="n">
        <v>0.2336</v>
      </c>
      <c r="E22" s="32" t="n">
        <v>0.09080000000000001</v>
      </c>
    </row>
    <row r="23">
      <c r="A23" s="30" t="n">
        <v>-674823.5940579413</v>
      </c>
      <c r="B23" t="n">
        <v>395</v>
      </c>
      <c r="C23" t="n">
        <v>148</v>
      </c>
      <c r="D23" s="32" t="n">
        <v>0.3126</v>
      </c>
      <c r="E23" s="32" t="n">
        <v>0.1204</v>
      </c>
    </row>
    <row r="24">
      <c r="A24" s="30" t="n">
        <v>-363915.6154588652</v>
      </c>
      <c r="B24" t="n">
        <v>463</v>
      </c>
      <c r="C24" t="n">
        <v>200</v>
      </c>
      <c r="D24" s="32" t="n">
        <v>0.4052</v>
      </c>
      <c r="E24" s="32" t="n">
        <v>0.1604</v>
      </c>
    </row>
    <row r="25">
      <c r="A25" s="30" t="n">
        <v>-53007.63685978856</v>
      </c>
      <c r="B25" t="n">
        <v>512</v>
      </c>
      <c r="C25" t="n">
        <v>210</v>
      </c>
      <c r="D25" s="32" t="n">
        <v>0.5076000000000001</v>
      </c>
      <c r="E25" s="32" t="n">
        <v>0.2024</v>
      </c>
    </row>
    <row r="26">
      <c r="A26" s="30" t="n">
        <v>257900.3417392876</v>
      </c>
      <c r="B26" t="n">
        <v>539</v>
      </c>
      <c r="C26" t="n">
        <v>214</v>
      </c>
      <c r="D26" s="32" t="n">
        <v>0.6153999999999999</v>
      </c>
      <c r="E26" s="32" t="n">
        <v>0.2452</v>
      </c>
    </row>
    <row r="27">
      <c r="A27" s="30" t="n">
        <v>568808.3203383638</v>
      </c>
      <c r="B27" t="n">
        <v>453</v>
      </c>
      <c r="C27" t="n">
        <v>274</v>
      </c>
      <c r="D27" s="32" t="n">
        <v>0.706</v>
      </c>
      <c r="E27" s="32" t="n">
        <v>0.3</v>
      </c>
    </row>
    <row r="28">
      <c r="A28" s="30" t="n">
        <v>879716.2989374404</v>
      </c>
      <c r="B28" t="n">
        <v>399</v>
      </c>
      <c r="C28" t="n">
        <v>273</v>
      </c>
      <c r="D28" s="32" t="n">
        <v>0.7858000000000001</v>
      </c>
      <c r="E28" s="32" t="n">
        <v>0.3546</v>
      </c>
    </row>
    <row r="29">
      <c r="A29" s="30" t="n">
        <v>1190624.277536517</v>
      </c>
      <c r="B29" t="n">
        <v>326</v>
      </c>
      <c r="C29" t="n">
        <v>305</v>
      </c>
      <c r="D29" s="32" t="n">
        <v>0.851</v>
      </c>
      <c r="E29" s="32" t="n">
        <v>0.4156</v>
      </c>
    </row>
    <row r="30">
      <c r="A30" s="30" t="n">
        <v>1501532.256135593</v>
      </c>
      <c r="B30" t="n">
        <v>280</v>
      </c>
      <c r="C30" t="n">
        <v>265</v>
      </c>
      <c r="D30" s="32" t="n">
        <v>0.907</v>
      </c>
      <c r="E30" s="32" t="n">
        <v>0.4686</v>
      </c>
    </row>
    <row r="31">
      <c r="A31" s="30" t="n">
        <v>1812440.234734669</v>
      </c>
      <c r="B31" t="n">
        <v>190</v>
      </c>
      <c r="C31" t="n">
        <v>305</v>
      </c>
      <c r="D31" s="32" t="n">
        <v>0.945</v>
      </c>
      <c r="E31" s="32" t="n">
        <v>0.5296</v>
      </c>
    </row>
    <row r="32">
      <c r="A32" s="30" t="n">
        <v>2123348.213333745</v>
      </c>
      <c r="B32" t="n">
        <v>131</v>
      </c>
      <c r="C32" t="n">
        <v>301</v>
      </c>
      <c r="D32" s="32" t="n">
        <v>0.9712</v>
      </c>
      <c r="E32" s="32" t="n">
        <v>0.5898</v>
      </c>
    </row>
    <row r="33">
      <c r="A33" s="30" t="n">
        <v>2434256.191932822</v>
      </c>
      <c r="B33" t="n">
        <v>68</v>
      </c>
      <c r="C33" t="n">
        <v>250</v>
      </c>
      <c r="D33" s="32" t="n">
        <v>0.9848</v>
      </c>
      <c r="E33" s="32" t="n">
        <v>0.6398</v>
      </c>
    </row>
    <row r="34">
      <c r="A34" s="30" t="n">
        <v>2745164.170531899</v>
      </c>
      <c r="B34" t="n">
        <v>28</v>
      </c>
      <c r="C34" t="n">
        <v>269</v>
      </c>
      <c r="D34" s="32" t="n">
        <v>0.9903999999999999</v>
      </c>
      <c r="E34" s="32" t="n">
        <v>0.6936</v>
      </c>
    </row>
    <row r="35">
      <c r="A35" s="30" t="n">
        <v>3056072.149130975</v>
      </c>
      <c r="B35" t="n">
        <v>21</v>
      </c>
      <c r="C35" t="n">
        <v>240</v>
      </c>
      <c r="D35" s="32" t="n">
        <v>0.9946</v>
      </c>
      <c r="E35" s="32" t="n">
        <v>0.7416</v>
      </c>
    </row>
    <row r="36">
      <c r="A36" s="30" t="n">
        <v>3366980.127730051</v>
      </c>
      <c r="B36" t="n">
        <v>9</v>
      </c>
      <c r="C36" t="n">
        <v>260</v>
      </c>
      <c r="D36" s="32" t="n">
        <v>0.9964</v>
      </c>
      <c r="E36" s="32" t="n">
        <v>0.7936</v>
      </c>
    </row>
    <row r="37">
      <c r="A37" s="30" t="n">
        <v>3677888.106329127</v>
      </c>
      <c r="B37" t="n">
        <v>4</v>
      </c>
      <c r="C37" t="n">
        <v>190</v>
      </c>
      <c r="D37" s="32" t="n">
        <v>0.9972</v>
      </c>
      <c r="E37" s="32" t="n">
        <v>0.8316</v>
      </c>
    </row>
    <row r="38">
      <c r="A38" s="30" t="n">
        <v>3988796.084928203</v>
      </c>
      <c r="B38" t="n">
        <v>1</v>
      </c>
      <c r="C38" t="n">
        <v>160</v>
      </c>
      <c r="D38" s="32" t="n">
        <v>0.9974</v>
      </c>
      <c r="E38" s="32" t="n">
        <v>0.8636</v>
      </c>
    </row>
    <row r="39">
      <c r="A39" s="30" t="n">
        <v>4299704.06352728</v>
      </c>
      <c r="B39" t="n">
        <v>0</v>
      </c>
      <c r="C39" t="n">
        <v>150</v>
      </c>
      <c r="D39" s="32" t="n">
        <v>0.9974</v>
      </c>
      <c r="E39" s="32" t="n">
        <v>0.8935999999999999</v>
      </c>
    </row>
    <row r="40">
      <c r="A40" s="30" t="n">
        <v>4610612.042126357</v>
      </c>
      <c r="B40" t="n">
        <v>0</v>
      </c>
      <c r="C40" t="n">
        <v>130</v>
      </c>
      <c r="D40" s="32" t="n">
        <v>0.9974</v>
      </c>
      <c r="E40" s="32" t="n">
        <v>0.9196</v>
      </c>
    </row>
    <row r="41">
      <c r="A41" s="30" t="n">
        <v>4921520.020725433</v>
      </c>
      <c r="B41" t="n">
        <v>0</v>
      </c>
      <c r="C41" t="n">
        <v>111</v>
      </c>
      <c r="D41" s="32" t="n">
        <v>0.9974</v>
      </c>
      <c r="E41" s="32" t="n">
        <v>0.9418</v>
      </c>
    </row>
    <row r="42">
      <c r="A42" s="30" t="n">
        <v>5232427.999324509</v>
      </c>
      <c r="B42" t="n">
        <v>0</v>
      </c>
      <c r="C42" t="n">
        <v>83</v>
      </c>
      <c r="D42" s="32" t="n">
        <v>0.9974</v>
      </c>
      <c r="E42" s="32" t="n">
        <v>0.9584</v>
      </c>
    </row>
    <row r="43">
      <c r="A43" s="30" t="n">
        <v>5543335.977923586</v>
      </c>
      <c r="B43" t="n">
        <v>0</v>
      </c>
      <c r="C43" t="n">
        <v>54</v>
      </c>
      <c r="D43" s="32" t="n">
        <v>0.9974</v>
      </c>
      <c r="E43" s="32" t="n">
        <v>0.9692</v>
      </c>
    </row>
    <row r="44">
      <c r="A44" s="30" t="n">
        <v>5854243.956522661</v>
      </c>
      <c r="B44" t="n">
        <v>0</v>
      </c>
      <c r="C44" t="n">
        <v>38</v>
      </c>
      <c r="D44" s="32" t="n">
        <v>0.9974</v>
      </c>
      <c r="E44" s="32" t="n">
        <v>0.9768</v>
      </c>
    </row>
    <row r="45">
      <c r="A45" s="30" t="n">
        <v>6165151.935121737</v>
      </c>
      <c r="B45" t="n">
        <v>0</v>
      </c>
      <c r="C45" t="n">
        <v>29</v>
      </c>
      <c r="D45" s="32" t="n">
        <v>0.9974</v>
      </c>
      <c r="E45" s="32" t="n">
        <v>0.9826</v>
      </c>
    </row>
  </sheetData>
  <mergeCells count="1">
    <mergeCell ref="A2:J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2026-09-11T18:04:30Z</dcterms:created>
  <dcterms:modified xmlns:dcterms="http://purl.org/dc/terms/" xmlns:xsi="http://www.w3.org/2001/XMLSchema-instance" xsi:type="dcterms:W3CDTF">2026-09-11T18:04:30Z</dcterms:modified>
</cp:coreProperties>
</file>
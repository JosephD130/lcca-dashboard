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BT" sheetId="2" state="visible" r:id="rId2"/>
    <sheet xmlns:r="http://schemas.openxmlformats.org/officeDocument/2006/relationships" name="SRB" sheetId="3" state="visible" r:id="rId3"/>
    <sheet xmlns:r="http://schemas.openxmlformats.org/officeDocument/2006/relationships" name="TEMPLATE" sheetId="4" state="visible" r:id="rId4"/>
  </sheets>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
    <numFmt numFmtId="167" formatCode="$#,##0"/>
    <numFmt numFmtId="168" formatCode="$#,##0,&quot;k&quot;"/>
  </numFmts>
  <fonts count="6">
    <font>
      <name val="Calibri"/>
      <family val="2"/>
      <color theme="1"/>
      <sz val="11"/>
      <scheme val="minor"/>
    </font>
    <font>
      <name val="Arial"/>
      <b val="1"/>
      <sz val="14"/>
    </font>
    <font>
      <name val="Arial"/>
      <sz val="10"/>
    </font>
    <font>
      <name val="Arial"/>
      <b val="1"/>
      <sz val="10"/>
    </font>
    <font>
      <name val="Arial"/>
      <i val="1"/>
      <color rgb="00595959"/>
      <sz val="9"/>
    </font>
    <font>
      <name val="Arial"/>
      <color rgb="000000FF"/>
      <sz val="10"/>
    </font>
  </fonts>
  <fills count="6">
    <fill>
      <patternFill/>
    </fill>
    <fill>
      <patternFill patternType="gray125"/>
    </fill>
    <fill>
      <patternFill patternType="solid">
        <fgColor rgb="00D9D9D9"/>
      </patternFill>
    </fill>
    <fill>
      <patternFill patternType="solid">
        <fgColor rgb="00FFFF99"/>
      </patternFill>
    </fill>
    <fill>
      <patternFill patternType="solid">
        <fgColor rgb="00DCE9F9"/>
      </patternFill>
    </fill>
    <fill>
      <patternFill patternType="solid">
        <fgColor rgb="00FBE3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0" pivotButton="0" quotePrefix="0" xfId="0"/>
    <xf numFmtId="0" fontId="3" fillId="2" borderId="1" applyAlignment="1" pivotButton="0" quotePrefix="0" xfId="0">
      <alignment vertical="center" wrapText="1"/>
    </xf>
    <xf numFmtId="0" fontId="2" fillId="0" borderId="0" pivotButton="0" quotePrefix="0" xfId="0"/>
    <xf numFmtId="2" fontId="5" fillId="3" borderId="1" pivotButton="0" quotePrefix="0" xfId="0"/>
    <xf numFmtId="0" fontId="3" fillId="0" borderId="0" pivotButton="0" quotePrefix="0" xfId="0"/>
    <xf numFmtId="0" fontId="5" fillId="3" borderId="1" pivotButton="0" quotePrefix="0" xfId="0"/>
    <xf numFmtId="1" fontId="0" fillId="0" borderId="0" pivotButton="0" quotePrefix="0" xfId="0"/>
    <xf numFmtId="9" fontId="0" fillId="0" borderId="0" pivotButton="0" quotePrefix="0" xfId="0"/>
    <xf numFmtId="164" fontId="5" fillId="3" borderId="1" pivotButton="0" quotePrefix="0" xfId="0"/>
    <xf numFmtId="166" fontId="0" fillId="0" borderId="0" pivotButton="0" quotePrefix="0" xfId="0"/>
    <xf numFmtId="9" fontId="5" fillId="3" borderId="1" pivotButton="0" quotePrefix="0" xfId="0"/>
    <xf numFmtId="3" fontId="5" fillId="3" borderId="1" pivotButton="0" quotePrefix="0" xfId="0"/>
    <xf numFmtId="165" fontId="5" fillId="3" borderId="1" pivotButton="0" quotePrefix="0" xfId="0"/>
    <xf numFmtId="168" fontId="0" fillId="0" borderId="0" pivotButton="0" quotePrefix="0" xfId="0"/>
    <xf numFmtId="0" fontId="3" fillId="4" borderId="1" applyAlignment="1" pivotButton="0" quotePrefix="0" xfId="0">
      <alignment vertical="center" wrapText="1"/>
    </xf>
    <xf numFmtId="0" fontId="3" fillId="5" borderId="1" applyAlignment="1" pivotButton="0" quotePrefix="0" xfId="0">
      <alignment vertical="center" wrapText="1"/>
    </xf>
    <xf numFmtId="166" fontId="5" fillId="3" borderId="1" pivotButton="0" quotePrefix="0" xfId="0"/>
    <xf numFmtId="166" fontId="3" fillId="0" borderId="0" pivotButton="0" quotePrefix="0" xfId="0"/>
    <xf numFmtId="0" fontId="2" fillId="0" borderId="1" pivotButton="0" quotePrefix="0" xfId="0"/>
    <xf numFmtId="166" fontId="0" fillId="0" borderId="1" pivotButton="0" quotePrefix="0" xfId="0"/>
    <xf numFmtId="164" fontId="0" fillId="0" borderId="1" pivotButton="0" quotePrefix="0" xfId="0"/>
    <xf numFmtId="1" fontId="0" fillId="0" borderId="1" pivotButton="0" quotePrefix="0" xfId="0"/>
    <xf numFmtId="10" fontId="0" fillId="0" borderId="1" pivotButton="0" quotePrefix="0" xfId="0"/>
    <xf numFmtId="165" fontId="0" fillId="0" borderId="0" pivotButton="0" quotePrefix="0" xfId="0"/>
    <xf numFmtId="9" fontId="3" fillId="0" borderId="0" pivotButton="0" quotePrefix="0" xfId="0"/>
    <xf numFmtId="167" fontId="0" fillId="0" borderId="1" pivotButton="0" quotePrefix="0" xfId="0"/>
    <xf numFmtId="2" fontId="0" fillId="0" borderId="1" pivotButton="0" quotePrefix="0" xfId="0"/>
    <xf numFmtId="165" fontId="0" fillId="0" borderId="1" pivotButton="0" quotePrefix="0" xfId="0"/>
    <xf numFmtId="2" fontId="0" fillId="0" borderId="0" pivotButton="0" quotePrefix="0" xfId="0"/>
    <xf numFmtId="0" fontId="3" fillId="2" borderId="0" pivotButton="0" quotePrefix="0" xfId="0"/>
  </cellXfs>
  <cellStyles count="1">
    <cellStyle name="Normal" xfId="0" builtinId="0" hidden="0"/>
  </cellStyles>
  <dxfs count="1">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Present worth by category (salvage shown below zero)</a:t>
            </a:r>
          </a:p>
        </rich>
      </tx>
    </title>
    <plotArea>
      <barChart>
        <barDir val="col"/>
        <grouping val="stacked"/>
        <ser>
          <idx val="0"/>
          <order val="0"/>
          <tx>
            <strRef>
              <f>'MBT'!B169</f>
            </strRef>
          </tx>
          <spPr>
            <a:solidFill xmlns:a="http://schemas.openxmlformats.org/drawingml/2006/main">
              <a:srgbClr val="4A4A4A"/>
            </a:solidFill>
            <a:ln xmlns:a="http://schemas.openxmlformats.org/drawingml/2006/main">
              <a:solidFill>
                <a:srgbClr val="4A4A4A"/>
              </a:solidFill>
              <a:prstDash val="solid"/>
            </a:ln>
          </spPr>
          <cat>
            <numRef>
              <f>'MBT'!$A$170:$A$171</f>
            </numRef>
          </cat>
          <val>
            <numRef>
              <f>'MBT'!$B$170:$B$171</f>
            </numRef>
          </val>
        </ser>
        <ser>
          <idx val="1"/>
          <order val="1"/>
          <tx>
            <strRef>
              <f>'MBT'!C169</f>
            </strRef>
          </tx>
          <spPr>
            <a:solidFill xmlns:a="http://schemas.openxmlformats.org/drawingml/2006/main">
              <a:srgbClr val="8C8C8C"/>
            </a:solidFill>
            <a:ln xmlns:a="http://schemas.openxmlformats.org/drawingml/2006/main">
              <a:solidFill>
                <a:srgbClr val="8C8C8C"/>
              </a:solidFill>
              <a:prstDash val="solid"/>
            </a:ln>
          </spPr>
          <cat>
            <numRef>
              <f>'MBT'!$A$170:$A$171</f>
            </numRef>
          </cat>
          <val>
            <numRef>
              <f>'MBT'!$C$170:$C$171</f>
            </numRef>
          </val>
        </ser>
        <ser>
          <idx val="2"/>
          <order val="2"/>
          <tx>
            <strRef>
              <f>'MBT'!D169</f>
            </strRef>
          </tx>
          <spPr>
            <a:solidFill xmlns:a="http://schemas.openxmlformats.org/drawingml/2006/main">
              <a:srgbClr val="646464"/>
            </a:solidFill>
            <a:ln xmlns:a="http://schemas.openxmlformats.org/drawingml/2006/main">
              <a:solidFill>
                <a:srgbClr val="646464"/>
              </a:solidFill>
              <a:prstDash val="solid"/>
            </a:ln>
          </spPr>
          <cat>
            <numRef>
              <f>'MBT'!$A$170:$A$171</f>
            </numRef>
          </cat>
          <val>
            <numRef>
              <f>'MBT'!$D$170:$D$171</f>
            </numRef>
          </val>
        </ser>
        <ser>
          <idx val="3"/>
          <order val="3"/>
          <tx>
            <strRef>
              <f>'MBT'!E169</f>
            </strRef>
          </tx>
          <spPr>
            <a:solidFill xmlns:a="http://schemas.openxmlformats.org/drawingml/2006/main">
              <a:srgbClr val="B8B6AE"/>
            </a:solidFill>
            <a:ln xmlns:a="http://schemas.openxmlformats.org/drawingml/2006/main">
              <a:solidFill>
                <a:srgbClr val="B8B6AE"/>
              </a:solidFill>
              <a:prstDash val="solid"/>
            </a:ln>
          </spPr>
          <cat>
            <numRef>
              <f>'MBT'!$A$170:$A$171</f>
            </numRef>
          </cat>
          <val>
            <numRef>
              <f>'MBT'!$E$170:$E$171</f>
            </numRef>
          </val>
        </ser>
        <ser>
          <idx val="4"/>
          <order val="4"/>
          <tx>
            <strRef>
              <f>'MBT'!F169</f>
            </strRef>
          </tx>
          <spPr>
            <a:solidFill xmlns:a="http://schemas.openxmlformats.org/drawingml/2006/main">
              <a:srgbClr val="DCDCDC"/>
            </a:solidFill>
            <a:ln xmlns:a="http://schemas.openxmlformats.org/drawingml/2006/main">
              <a:solidFill>
                <a:srgbClr val="DCDCDC"/>
              </a:solidFill>
              <a:prstDash val="solid"/>
            </a:ln>
          </spPr>
          <cat>
            <numRef>
              <f>'MBT'!$A$170:$A$171</f>
            </numRef>
          </cat>
          <val>
            <numRef>
              <f>'MBT'!$F$170:$F$171</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Expenditure stream by calendar year (undiscounted, incl. lost revenue)</a:t>
            </a:r>
          </a:p>
        </rich>
      </tx>
    </title>
    <plotArea>
      <barChart>
        <barDir val="col"/>
        <grouping val="clustered"/>
        <ser>
          <idx val="0"/>
          <order val="0"/>
          <tx>
            <strRef>
              <f>'MBT'!M93</f>
            </strRef>
          </tx>
          <spPr>
            <a:solidFill xmlns:a="http://schemas.openxmlformats.org/drawingml/2006/main">
              <a:srgbClr val="2A78D6"/>
            </a:solidFill>
            <a:ln xmlns:a="http://schemas.openxmlformats.org/drawingml/2006/main">
              <a:solidFill>
                <a:srgbClr val="2A78D6"/>
              </a:solidFill>
              <a:prstDash val="solid"/>
            </a:ln>
          </spPr>
          <cat>
            <numRef>
              <f>'MBT'!$B$94:$B$124</f>
            </numRef>
          </cat>
          <val>
            <numRef>
              <f>'MBT'!$M$94:$M$124</f>
            </numRef>
          </val>
        </ser>
        <ser>
          <idx val="1"/>
          <order val="1"/>
          <tx>
            <strRef>
              <f>'MBT'!N93</f>
            </strRef>
          </tx>
          <spPr>
            <a:solidFill xmlns:a="http://schemas.openxmlformats.org/drawingml/2006/main">
              <a:srgbClr val="EB6834"/>
            </a:solidFill>
            <a:ln xmlns:a="http://schemas.openxmlformats.org/drawingml/2006/main">
              <a:solidFill>
                <a:srgbClr val="EB6834"/>
              </a:solidFill>
              <a:prstDash val="solid"/>
            </a:ln>
          </spPr>
          <cat>
            <numRef>
              <f>'MBT'!$B$94:$B$124</f>
            </numRef>
          </cat>
          <val>
            <numRef>
              <f>'MBT'!$N$94:$N$124</f>
            </numRef>
          </val>
        </ser>
        <gapWidth val="40"/>
        <axId val="10"/>
        <axId val="100"/>
      </barChart>
      <catAx>
        <axId val="10"/>
        <scaling>
          <orientation val="minMax"/>
        </scaling>
        <delete val="0"/>
        <axPos val="l"/>
        <majorTickMark val="none"/>
        <minorTickMark val="none"/>
        <crossAx val="100"/>
        <lblOffset val="100"/>
        <tickLblSkip val="5"/>
        <tickMark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discounted cost (crossover = payback year of the higher first cost)</a:t>
            </a:r>
          </a:p>
        </rich>
      </tx>
    </title>
    <plotArea>
      <lineChart>
        <grouping val="standard"/>
        <ser>
          <idx val="0"/>
          <order val="0"/>
          <tx>
            <strRef>
              <f>'MBT'!G93</f>
            </strRef>
          </tx>
          <spPr>
            <a:ln xmlns:a="http://schemas.openxmlformats.org/drawingml/2006/main" w="22000">
              <a:solidFill>
                <a:srgbClr val="2A78D6"/>
              </a:solidFill>
              <a:prstDash val="solid"/>
            </a:ln>
          </spPr>
          <marker>
            <symbol val="none"/>
            <spPr>
              <a:ln xmlns:a="http://schemas.openxmlformats.org/drawingml/2006/main">
                <a:prstDash val="solid"/>
              </a:ln>
            </spPr>
          </marker>
          <cat>
            <numRef>
              <f>'MBT'!$B$94:$B$124</f>
            </numRef>
          </cat>
          <val>
            <numRef>
              <f>'MBT'!$G$94:$G$124</f>
            </numRef>
          </val>
          <smooth val="0"/>
        </ser>
        <ser>
          <idx val="1"/>
          <order val="1"/>
          <tx>
            <strRef>
              <f>'MBT'!H93</f>
            </strRef>
          </tx>
          <spPr>
            <a:ln xmlns:a="http://schemas.openxmlformats.org/drawingml/2006/main" w="22000">
              <a:solidFill>
                <a:srgbClr val="EB6834"/>
              </a:solidFill>
              <a:prstDash val="solid"/>
            </a:ln>
          </spPr>
          <marker>
            <symbol val="none"/>
            <spPr>
              <a:ln xmlns:a="http://schemas.openxmlformats.org/drawingml/2006/main">
                <a:prstDash val="solid"/>
              </a:ln>
            </spPr>
          </marker>
          <cat>
            <numRef>
              <f>'MBT'!$B$94:$B$124</f>
            </numRef>
          </cat>
          <val>
            <numRef>
              <f>'MBT'!$H$94:$H$124</f>
            </numRef>
          </val>
          <smooth val="0"/>
        </ser>
        <axId val="10"/>
        <axId val="100"/>
      </line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Net present worth vs. discount rate (TDOT 3%, FAA AIP 7%)</a:t>
            </a:r>
          </a:p>
        </rich>
      </tx>
    </title>
    <plotArea>
      <scatterChart>
        <ser>
          <idx val="0"/>
          <order val="0"/>
          <tx>
            <strRef>
              <f>'MBT'!B64</f>
            </strRef>
          </tx>
          <spPr>
            <a:ln xmlns:a="http://schemas.openxmlformats.org/drawingml/2006/main" w="22000">
              <a:solidFill>
                <a:srgbClr val="2A78D6"/>
              </a:solidFill>
              <a:prstDash val="solid"/>
            </a:ln>
          </spPr>
          <marker>
            <symbol val="none"/>
            <spPr>
              <a:ln xmlns:a="http://schemas.openxmlformats.org/drawingml/2006/main">
                <a:prstDash val="solid"/>
              </a:ln>
            </spPr>
          </marker>
          <xVal>
            <numRef>
              <f>'MBT'!$A$65:$A$89</f>
            </numRef>
          </xVal>
          <yVal>
            <numRef>
              <f>'MBT'!$B$65:$B$89</f>
            </numRef>
          </yVal>
          <smooth val="0"/>
        </ser>
        <ser>
          <idx val="1"/>
          <order val="1"/>
          <tx>
            <strRef>
              <f>'MBT'!C64</f>
            </strRef>
          </tx>
          <spPr>
            <a:ln xmlns:a="http://schemas.openxmlformats.org/drawingml/2006/main" w="22000">
              <a:solidFill>
                <a:srgbClr val="EB6834"/>
              </a:solidFill>
              <a:prstDash val="solid"/>
            </a:ln>
          </spPr>
          <marker>
            <symbol val="none"/>
            <spPr>
              <a:ln xmlns:a="http://schemas.openxmlformats.org/drawingml/2006/main">
                <a:prstDash val="solid"/>
              </a:ln>
            </spPr>
          </marker>
          <xVal>
            <numRef>
              <f>'MBT'!$A$65:$A$89</f>
            </numRef>
          </xVal>
          <yVal>
            <numRef>
              <f>'MBT'!$C$65:$C$89</f>
            </numRef>
          </yVal>
          <smooth val="0"/>
        </ser>
        <axId val="10"/>
        <axId val="20"/>
      </scatterChart>
      <valAx>
        <axId val="10"/>
        <scaling>
          <orientation val="minMax"/>
          <max val="8"/>
          <min val="2"/>
        </scaling>
        <delete val="0"/>
        <axPos val="l"/>
        <majorGridlines/>
        <title>
          <tx>
            <rich>
              <a:bodyPr xmlns:a="http://schemas.openxmlformats.org/drawingml/2006/main"/>
              <a:p xmlns:a="http://schemas.openxmlformats.org/drawingml/2006/main">
                <a:pPr>
                  <a:defRPr/>
                </a:pPr>
                <a:r>
                  <a:t>Discount rate</a:t>
                </a:r>
              </a:p>
            </rich>
          </tx>
        </title>
        <numFmt formatCode="0&quot;%&quot;" sourceLinked="0"/>
        <majorTickMark val="none"/>
        <minorTickMark val="none"/>
        <crossAx val="20"/>
      </valAx>
      <valAx>
        <axId val="2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PCC minus HMA present worth when one input moves (bars crossing zero flip the winner)</a:t>
            </a:r>
          </a:p>
        </rich>
      </tx>
    </title>
    <plotArea>
      <barChart>
        <barDir val="bar"/>
        <grouping val="clustered"/>
        <ser>
          <idx val="0"/>
          <order val="0"/>
          <tx>
            <strRef>
              <f>'MBT'!D129</f>
            </strRef>
          </tx>
          <spPr>
            <a:solidFill xmlns:a="http://schemas.openxmlformats.org/drawingml/2006/main">
              <a:srgbClr val="9E9E9E"/>
            </a:solidFill>
            <a:ln xmlns:a="http://schemas.openxmlformats.org/drawingml/2006/main">
              <a:solidFill>
                <a:srgbClr val="9E9E9E"/>
              </a:solidFill>
              <a:prstDash val="solid"/>
            </a:ln>
          </spPr>
          <cat>
            <numRef>
              <f>'MBT'!$A$130:$A$137</f>
            </numRef>
          </cat>
          <val>
            <numRef>
              <f>'MBT'!$D$130:$D$137</f>
            </numRef>
          </val>
        </ser>
        <ser>
          <idx val="1"/>
          <order val="1"/>
          <tx>
            <strRef>
              <f>'MBT'!E129</f>
            </strRef>
          </tx>
          <spPr>
            <a:solidFill xmlns:a="http://schemas.openxmlformats.org/drawingml/2006/main">
              <a:srgbClr val="4A4A4A"/>
            </a:solidFill>
            <a:ln xmlns:a="http://schemas.openxmlformats.org/drawingml/2006/main">
              <a:solidFill>
                <a:srgbClr val="4A4A4A"/>
              </a:solidFill>
              <a:prstDash val="solid"/>
            </a:ln>
          </spPr>
          <cat>
            <numRef>
              <f>'MBT'!$A$130:$A$137</f>
            </numRef>
          </cat>
          <val>
            <numRef>
              <f>'MBT'!$E$130:$E$137</f>
            </numRef>
          </val>
        </ser>
        <gapWidth val="5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style val="18"/>
  <chart>
    <title>
      <tx>
        <rich>
          <a:bodyPr xmlns:a="http://schemas.openxmlformats.org/drawingml/2006/main"/>
          <a:p xmlns:a="http://schemas.openxmlformats.org/drawingml/2006/main">
            <a:pPr>
              <a:defRPr/>
            </a:pPr>
            <a:r>
              <a:t>Runway closure timeline (bubble size = days closed; lane 1 HMA, lane 2 PCC)</a:t>
            </a:r>
          </a:p>
        </rich>
      </tx>
    </title>
    <plotArea>
      <bubbleChart>
        <ser>
          <idx val="0"/>
          <order val="0"/>
          <tx>
            <v>HMA closures</v>
          </tx>
          <spPr>
            <a:solidFill xmlns:a="http://schemas.openxmlformats.org/drawingml/2006/main">
              <a:srgbClr val="2A78D6"/>
            </a:solidFill>
            <a:ln xmlns:a="http://schemas.openxmlformats.org/drawingml/2006/main">
              <a:prstDash val="solid"/>
            </a:ln>
          </spPr>
          <xVal>
            <numRef>
              <f>'MBT'!$B$175:$B$181</f>
            </numRef>
          </xVal>
          <yVal>
            <numRef>
              <f>'MBT'!$C$175:$C$181</f>
            </numRef>
          </yVal>
          <bubbleSize>
            <numRef>
              <f>'MBT'!$D$175:$D$181</f>
            </numRef>
          </bubbleSize>
        </ser>
        <ser>
          <idx val="1"/>
          <order val="1"/>
          <tx>
            <v>PCC closures</v>
          </tx>
          <spPr>
            <a:solidFill xmlns:a="http://schemas.openxmlformats.org/drawingml/2006/main">
              <a:srgbClr val="EB6834"/>
            </a:solidFill>
            <a:ln xmlns:a="http://schemas.openxmlformats.org/drawingml/2006/main">
              <a:prstDash val="solid"/>
            </a:ln>
          </spPr>
          <xVal>
            <numRef>
              <f>'MBT'!$B$182:$B$183</f>
            </numRef>
          </xVal>
          <yVal>
            <numRef>
              <f>'MBT'!$C$182:$C$183</f>
            </numRef>
          </yVal>
          <bubbleSize>
            <numRef>
              <f>'MBT'!$D$182:$D$183</f>
            </numRef>
          </bubbleSize>
        </ser>
        <axId val="10"/>
        <axId val="20"/>
      </bubbleChart>
      <valAx>
        <axId val="10"/>
        <scaling>
          <orientation val="minMax"/>
          <max val="2057"/>
          <min val="2027"/>
        </scaling>
        <delete val="0"/>
        <axPos val="l"/>
        <majorGridlines/>
        <title>
          <tx>
            <rich>
              <a:bodyPr xmlns:a="http://schemas.openxmlformats.org/drawingml/2006/main"/>
              <a:p xmlns:a="http://schemas.openxmlformats.org/drawingml/2006/main">
                <a:pPr>
                  <a:defRPr/>
                </a:pPr>
                <a:r>
                  <a:t>Calendar year</a:t>
                </a:r>
              </a:p>
            </rich>
          </tx>
        </title>
        <numFmt formatCode="0" sourceLinked="0"/>
        <majorTickMark val="none"/>
        <minorTickMark val="none"/>
        <crossAx val="20"/>
      </valAx>
      <valAx>
        <axId val="20"/>
        <scaling>
          <orientation val="minMax"/>
          <max val="3"/>
          <min val="0"/>
        </scaling>
        <delete val="0"/>
        <axPos val="l"/>
        <numFmt formatCode="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Runway closure days by calendar year</a:t>
            </a:r>
          </a:p>
        </rich>
      </tx>
    </title>
    <plotArea>
      <barChart>
        <barDir val="col"/>
        <grouping val="clustered"/>
        <ser>
          <idx val="0"/>
          <order val="0"/>
          <tx>
            <strRef>
              <f>'MBT'!I93</f>
            </strRef>
          </tx>
          <spPr>
            <a:solidFill xmlns:a="http://schemas.openxmlformats.org/drawingml/2006/main">
              <a:srgbClr val="2A78D6"/>
            </a:solidFill>
            <a:ln xmlns:a="http://schemas.openxmlformats.org/drawingml/2006/main">
              <a:solidFill>
                <a:srgbClr val="2A78D6"/>
              </a:solidFill>
              <a:prstDash val="solid"/>
            </a:ln>
          </spPr>
          <cat>
            <numRef>
              <f>'MBT'!$B$94:$B$124</f>
            </numRef>
          </cat>
          <val>
            <numRef>
              <f>'MBT'!$I$94:$I$124</f>
            </numRef>
          </val>
        </ser>
        <ser>
          <idx val="1"/>
          <order val="1"/>
          <tx>
            <strRef>
              <f>'MBT'!J93</f>
            </strRef>
          </tx>
          <spPr>
            <a:solidFill xmlns:a="http://schemas.openxmlformats.org/drawingml/2006/main">
              <a:srgbClr val="EB6834"/>
            </a:solidFill>
            <a:ln xmlns:a="http://schemas.openxmlformats.org/drawingml/2006/main">
              <a:solidFill>
                <a:srgbClr val="EB6834"/>
              </a:solidFill>
              <a:prstDash val="solid"/>
            </a:ln>
          </spPr>
          <cat>
            <numRef>
              <f>'MBT'!$B$94:$B$124</f>
            </numRef>
          </cat>
          <val>
            <numRef>
              <f>'MBT'!$J$94:$J$124</f>
            </numRef>
          </val>
        </ser>
        <gapWidth val="40"/>
        <axId val="10"/>
        <axId val="100"/>
      </bar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Net present worth by scenario</a:t>
            </a:r>
          </a:p>
        </rich>
      </tx>
    </title>
    <plotArea>
      <barChart>
        <barDir val="bar"/>
        <grouping val="clustered"/>
        <ser>
          <idx val="0"/>
          <order val="0"/>
          <tx>
            <strRef>
              <f>'MBT'!I142</f>
            </strRef>
          </tx>
          <spPr>
            <a:solidFill xmlns:a="http://schemas.openxmlformats.org/drawingml/2006/main">
              <a:srgbClr val="2A78D6"/>
            </a:solidFill>
            <a:ln xmlns:a="http://schemas.openxmlformats.org/drawingml/2006/main">
              <a:solidFill>
                <a:srgbClr val="2A78D6"/>
              </a:solidFill>
              <a:prstDash val="solid"/>
            </a:ln>
          </spPr>
          <cat>
            <numRef>
              <f>'MBT'!$A$143:$A$154</f>
            </numRef>
          </cat>
          <val>
            <numRef>
              <f>'MBT'!$I$143:$I$154</f>
            </numRef>
          </val>
        </ser>
        <ser>
          <idx val="1"/>
          <order val="1"/>
          <tx>
            <strRef>
              <f>'MBT'!J142</f>
            </strRef>
          </tx>
          <spPr>
            <a:solidFill xmlns:a="http://schemas.openxmlformats.org/drawingml/2006/main">
              <a:srgbClr val="EB6834"/>
            </a:solidFill>
            <a:ln xmlns:a="http://schemas.openxmlformats.org/drawingml/2006/main">
              <a:solidFill>
                <a:srgbClr val="EB6834"/>
              </a:solidFill>
              <a:prstDash val="solid"/>
            </a:ln>
          </spPr>
          <cat>
            <numRef>
              <f>'MBT'!$A$143:$A$154</f>
            </numRef>
          </cat>
          <val>
            <numRef>
              <f>'MBT'!$J$143:$J$154</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Monte Carlo: PCC minus HMA present worth (left of zero = PCC cheaper)</a:t>
            </a:r>
          </a:p>
        </rich>
      </tx>
    </title>
    <plotArea>
      <barChart>
        <barDir val="col"/>
        <grouping val="clustered"/>
        <ser>
          <idx val="0"/>
          <order val="0"/>
          <tx>
            <strRef>
              <f>'MBT'!BC14</f>
            </strRef>
          </tx>
          <spPr>
            <a:solidFill xmlns:a="http://schemas.openxmlformats.org/drawingml/2006/main">
              <a:srgbClr val="4A4A4A"/>
            </a:solidFill>
            <a:ln xmlns:a="http://schemas.openxmlformats.org/drawingml/2006/main">
              <a:solidFill>
                <a:srgbClr val="4A4A4A"/>
              </a:solidFill>
              <a:prstDash val="solid"/>
            </a:ln>
          </spPr>
          <cat>
            <numRef>
              <f>'MBT'!$BB$15:$BB$34</f>
            </numRef>
          </cat>
          <val>
            <numRef>
              <f>'MBT'!$BC$15:$BC$34</f>
            </numRef>
          </val>
        </ser>
        <gapWidth val="10"/>
        <axId val="10"/>
        <axId val="100"/>
      </barChart>
      <catAx>
        <axId val="10"/>
        <scaling>
          <orientation val="minMax"/>
        </scaling>
        <delete val="0"/>
        <axPos val="l"/>
        <numFmt formatCode="$#,##0,&quot;k&quot;" sourceLinked="0"/>
        <majorTickMark val="none"/>
        <minorTickMark val="none"/>
        <crossAx val="100"/>
        <lblOffset val="100"/>
        <tickLblSkip val="2"/>
      </catAx>
      <valAx>
        <axId val="100"/>
        <scaling>
          <orientation val="minMax"/>
        </scaling>
        <delete val="0"/>
        <axPos val="l"/>
        <title>
          <tx>
            <rich>
              <a:bodyPr xmlns:a="http://schemas.openxmlformats.org/drawingml/2006/main"/>
              <a:p xmlns:a="http://schemas.openxmlformats.org/drawingml/2006/main">
                <a:pPr>
                  <a:defRPr/>
                </a:pPr>
                <a:r>
                  <a:t>Draws</a:t>
                </a:r>
              </a:p>
            </rich>
          </tx>
        </title>
        <numFmt formatCode="0" sourceLinked="0"/>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Present worth by category (salvage shown below zero)</a:t>
            </a:r>
          </a:p>
        </rich>
      </tx>
    </title>
    <plotArea>
      <barChart>
        <barDir val="col"/>
        <grouping val="stacked"/>
        <ser>
          <idx val="0"/>
          <order val="0"/>
          <tx>
            <strRef>
              <f>'SRB'!B169</f>
            </strRef>
          </tx>
          <spPr>
            <a:solidFill xmlns:a="http://schemas.openxmlformats.org/drawingml/2006/main">
              <a:srgbClr val="4A4A4A"/>
            </a:solidFill>
            <a:ln xmlns:a="http://schemas.openxmlformats.org/drawingml/2006/main">
              <a:solidFill>
                <a:srgbClr val="4A4A4A"/>
              </a:solidFill>
              <a:prstDash val="solid"/>
            </a:ln>
          </spPr>
          <cat>
            <numRef>
              <f>'SRB'!$A$170:$A$171</f>
            </numRef>
          </cat>
          <val>
            <numRef>
              <f>'SRB'!$B$170:$B$171</f>
            </numRef>
          </val>
        </ser>
        <ser>
          <idx val="1"/>
          <order val="1"/>
          <tx>
            <strRef>
              <f>'SRB'!C169</f>
            </strRef>
          </tx>
          <spPr>
            <a:solidFill xmlns:a="http://schemas.openxmlformats.org/drawingml/2006/main">
              <a:srgbClr val="8C8C8C"/>
            </a:solidFill>
            <a:ln xmlns:a="http://schemas.openxmlformats.org/drawingml/2006/main">
              <a:solidFill>
                <a:srgbClr val="8C8C8C"/>
              </a:solidFill>
              <a:prstDash val="solid"/>
            </a:ln>
          </spPr>
          <cat>
            <numRef>
              <f>'SRB'!$A$170:$A$171</f>
            </numRef>
          </cat>
          <val>
            <numRef>
              <f>'SRB'!$C$170:$C$171</f>
            </numRef>
          </val>
        </ser>
        <ser>
          <idx val="2"/>
          <order val="2"/>
          <tx>
            <strRef>
              <f>'SRB'!D169</f>
            </strRef>
          </tx>
          <spPr>
            <a:solidFill xmlns:a="http://schemas.openxmlformats.org/drawingml/2006/main">
              <a:srgbClr val="646464"/>
            </a:solidFill>
            <a:ln xmlns:a="http://schemas.openxmlformats.org/drawingml/2006/main">
              <a:solidFill>
                <a:srgbClr val="646464"/>
              </a:solidFill>
              <a:prstDash val="solid"/>
            </a:ln>
          </spPr>
          <cat>
            <numRef>
              <f>'SRB'!$A$170:$A$171</f>
            </numRef>
          </cat>
          <val>
            <numRef>
              <f>'SRB'!$D$170:$D$171</f>
            </numRef>
          </val>
        </ser>
        <ser>
          <idx val="3"/>
          <order val="3"/>
          <tx>
            <strRef>
              <f>'SRB'!E169</f>
            </strRef>
          </tx>
          <spPr>
            <a:solidFill xmlns:a="http://schemas.openxmlformats.org/drawingml/2006/main">
              <a:srgbClr val="B8B6AE"/>
            </a:solidFill>
            <a:ln xmlns:a="http://schemas.openxmlformats.org/drawingml/2006/main">
              <a:solidFill>
                <a:srgbClr val="B8B6AE"/>
              </a:solidFill>
              <a:prstDash val="solid"/>
            </a:ln>
          </spPr>
          <cat>
            <numRef>
              <f>'SRB'!$A$170:$A$171</f>
            </numRef>
          </cat>
          <val>
            <numRef>
              <f>'SRB'!$E$170:$E$171</f>
            </numRef>
          </val>
        </ser>
        <ser>
          <idx val="4"/>
          <order val="4"/>
          <tx>
            <strRef>
              <f>'SRB'!F169</f>
            </strRef>
          </tx>
          <spPr>
            <a:solidFill xmlns:a="http://schemas.openxmlformats.org/drawingml/2006/main">
              <a:srgbClr val="DCDCDC"/>
            </a:solidFill>
            <a:ln xmlns:a="http://schemas.openxmlformats.org/drawingml/2006/main">
              <a:solidFill>
                <a:srgbClr val="DCDCDC"/>
              </a:solidFill>
              <a:prstDash val="solid"/>
            </a:ln>
          </spPr>
          <cat>
            <numRef>
              <f>'SRB'!$A$170:$A$171</f>
            </numRef>
          </cat>
          <val>
            <numRef>
              <f>'SRB'!$F$170:$F$171</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Expenditure stream by calendar year (undiscounted, incl. lost revenue)</a:t>
            </a:r>
          </a:p>
        </rich>
      </tx>
    </title>
    <plotArea>
      <barChart>
        <barDir val="col"/>
        <grouping val="clustered"/>
        <ser>
          <idx val="0"/>
          <order val="0"/>
          <tx>
            <strRef>
              <f>'SRB'!M93</f>
            </strRef>
          </tx>
          <spPr>
            <a:solidFill xmlns:a="http://schemas.openxmlformats.org/drawingml/2006/main">
              <a:srgbClr val="2A78D6"/>
            </a:solidFill>
            <a:ln xmlns:a="http://schemas.openxmlformats.org/drawingml/2006/main">
              <a:solidFill>
                <a:srgbClr val="2A78D6"/>
              </a:solidFill>
              <a:prstDash val="solid"/>
            </a:ln>
          </spPr>
          <cat>
            <numRef>
              <f>'SRB'!$B$94:$B$124</f>
            </numRef>
          </cat>
          <val>
            <numRef>
              <f>'SRB'!$M$94:$M$124</f>
            </numRef>
          </val>
        </ser>
        <ser>
          <idx val="1"/>
          <order val="1"/>
          <tx>
            <strRef>
              <f>'SRB'!N93</f>
            </strRef>
          </tx>
          <spPr>
            <a:solidFill xmlns:a="http://schemas.openxmlformats.org/drawingml/2006/main">
              <a:srgbClr val="EB6834"/>
            </a:solidFill>
            <a:ln xmlns:a="http://schemas.openxmlformats.org/drawingml/2006/main">
              <a:solidFill>
                <a:srgbClr val="EB6834"/>
              </a:solidFill>
              <a:prstDash val="solid"/>
            </a:ln>
          </spPr>
          <cat>
            <numRef>
              <f>'SRB'!$B$94:$B$124</f>
            </numRef>
          </cat>
          <val>
            <numRef>
              <f>'SRB'!$N$94:$N$124</f>
            </numRef>
          </val>
        </ser>
        <gapWidth val="40"/>
        <axId val="10"/>
        <axId val="100"/>
      </barChart>
      <catAx>
        <axId val="10"/>
        <scaling>
          <orientation val="minMax"/>
        </scaling>
        <delete val="0"/>
        <axPos val="l"/>
        <majorTickMark val="none"/>
        <minorTickMark val="none"/>
        <crossAx val="100"/>
        <lblOffset val="100"/>
        <tickLblSkip val="5"/>
        <tickMark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Cumulative discounted cost (crossover = payback year of the higher first cost)</a:t>
            </a:r>
          </a:p>
        </rich>
      </tx>
    </title>
    <plotArea>
      <lineChart>
        <grouping val="standard"/>
        <ser>
          <idx val="0"/>
          <order val="0"/>
          <tx>
            <strRef>
              <f>'SRB'!G93</f>
            </strRef>
          </tx>
          <spPr>
            <a:ln xmlns:a="http://schemas.openxmlformats.org/drawingml/2006/main" w="22000">
              <a:solidFill>
                <a:srgbClr val="2A78D6"/>
              </a:solidFill>
              <a:prstDash val="solid"/>
            </a:ln>
          </spPr>
          <marker>
            <symbol val="none"/>
            <spPr>
              <a:ln xmlns:a="http://schemas.openxmlformats.org/drawingml/2006/main">
                <a:prstDash val="solid"/>
              </a:ln>
            </spPr>
          </marker>
          <cat>
            <numRef>
              <f>'SRB'!$B$94:$B$124</f>
            </numRef>
          </cat>
          <val>
            <numRef>
              <f>'SRB'!$G$94:$G$124</f>
            </numRef>
          </val>
          <smooth val="0"/>
        </ser>
        <ser>
          <idx val="1"/>
          <order val="1"/>
          <tx>
            <strRef>
              <f>'SRB'!H93</f>
            </strRef>
          </tx>
          <spPr>
            <a:ln xmlns:a="http://schemas.openxmlformats.org/drawingml/2006/main" w="22000">
              <a:solidFill>
                <a:srgbClr val="EB6834"/>
              </a:solidFill>
              <a:prstDash val="solid"/>
            </a:ln>
          </spPr>
          <marker>
            <symbol val="none"/>
            <spPr>
              <a:ln xmlns:a="http://schemas.openxmlformats.org/drawingml/2006/main">
                <a:prstDash val="solid"/>
              </a:ln>
            </spPr>
          </marker>
          <cat>
            <numRef>
              <f>'SRB'!$B$94:$B$124</f>
            </numRef>
          </cat>
          <val>
            <numRef>
              <f>'SRB'!$H$94:$H$124</f>
            </numRef>
          </val>
          <smooth val="0"/>
        </ser>
        <axId val="10"/>
        <axId val="100"/>
      </line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style val="13"/>
  <chart>
    <title>
      <tx>
        <rich>
          <a:bodyPr xmlns:a="http://schemas.openxmlformats.org/drawingml/2006/main"/>
          <a:p xmlns:a="http://schemas.openxmlformats.org/drawingml/2006/main">
            <a:pPr>
              <a:defRPr/>
            </a:pPr>
            <a:r>
              <a:t>Net present worth vs. discount rate (TDOT 3%, FAA AIP 7%)</a:t>
            </a:r>
          </a:p>
        </rich>
      </tx>
    </title>
    <plotArea>
      <scatterChart>
        <ser>
          <idx val="0"/>
          <order val="0"/>
          <tx>
            <strRef>
              <f>'SRB'!B64</f>
            </strRef>
          </tx>
          <spPr>
            <a:ln xmlns:a="http://schemas.openxmlformats.org/drawingml/2006/main" w="22000">
              <a:solidFill>
                <a:srgbClr val="2A78D6"/>
              </a:solidFill>
              <a:prstDash val="solid"/>
            </a:ln>
          </spPr>
          <marker>
            <symbol val="none"/>
            <spPr>
              <a:ln xmlns:a="http://schemas.openxmlformats.org/drawingml/2006/main">
                <a:prstDash val="solid"/>
              </a:ln>
            </spPr>
          </marker>
          <xVal>
            <numRef>
              <f>'SRB'!$A$65:$A$89</f>
            </numRef>
          </xVal>
          <yVal>
            <numRef>
              <f>'SRB'!$B$65:$B$89</f>
            </numRef>
          </yVal>
          <smooth val="0"/>
        </ser>
        <ser>
          <idx val="1"/>
          <order val="1"/>
          <tx>
            <strRef>
              <f>'SRB'!C64</f>
            </strRef>
          </tx>
          <spPr>
            <a:ln xmlns:a="http://schemas.openxmlformats.org/drawingml/2006/main" w="22000">
              <a:solidFill>
                <a:srgbClr val="EB6834"/>
              </a:solidFill>
              <a:prstDash val="solid"/>
            </a:ln>
          </spPr>
          <marker>
            <symbol val="none"/>
            <spPr>
              <a:ln xmlns:a="http://schemas.openxmlformats.org/drawingml/2006/main">
                <a:prstDash val="solid"/>
              </a:ln>
            </spPr>
          </marker>
          <xVal>
            <numRef>
              <f>'SRB'!$A$65:$A$89</f>
            </numRef>
          </xVal>
          <yVal>
            <numRef>
              <f>'SRB'!$C$65:$C$89</f>
            </numRef>
          </yVal>
          <smooth val="0"/>
        </ser>
        <axId val="10"/>
        <axId val="20"/>
      </scatterChart>
      <valAx>
        <axId val="10"/>
        <scaling>
          <orientation val="minMax"/>
          <max val="8"/>
          <min val="2"/>
        </scaling>
        <delete val="0"/>
        <axPos val="l"/>
        <majorGridlines/>
        <title>
          <tx>
            <rich>
              <a:bodyPr xmlns:a="http://schemas.openxmlformats.org/drawingml/2006/main"/>
              <a:p xmlns:a="http://schemas.openxmlformats.org/drawingml/2006/main">
                <a:pPr>
                  <a:defRPr/>
                </a:pPr>
                <a:r>
                  <a:t>Discount rate</a:t>
                </a:r>
              </a:p>
            </rich>
          </tx>
        </title>
        <numFmt formatCode="0&quot;%&quot;" sourceLinked="0"/>
        <majorTickMark val="none"/>
        <minorTickMark val="none"/>
        <crossAx val="20"/>
      </valAx>
      <valAx>
        <axId val="2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PCC minus HMA present worth when one input moves (bars crossing zero flip the winner)</a:t>
            </a:r>
          </a:p>
        </rich>
      </tx>
    </title>
    <plotArea>
      <barChart>
        <barDir val="bar"/>
        <grouping val="clustered"/>
        <ser>
          <idx val="0"/>
          <order val="0"/>
          <tx>
            <strRef>
              <f>'SRB'!D129</f>
            </strRef>
          </tx>
          <spPr>
            <a:solidFill xmlns:a="http://schemas.openxmlformats.org/drawingml/2006/main">
              <a:srgbClr val="9E9E9E"/>
            </a:solidFill>
            <a:ln xmlns:a="http://schemas.openxmlformats.org/drawingml/2006/main">
              <a:solidFill>
                <a:srgbClr val="9E9E9E"/>
              </a:solidFill>
              <a:prstDash val="solid"/>
            </a:ln>
          </spPr>
          <cat>
            <numRef>
              <f>'SRB'!$A$130:$A$137</f>
            </numRef>
          </cat>
          <val>
            <numRef>
              <f>'SRB'!$D$130:$D$137</f>
            </numRef>
          </val>
        </ser>
        <ser>
          <idx val="1"/>
          <order val="1"/>
          <tx>
            <strRef>
              <f>'SRB'!E129</f>
            </strRef>
          </tx>
          <spPr>
            <a:solidFill xmlns:a="http://schemas.openxmlformats.org/drawingml/2006/main">
              <a:srgbClr val="4A4A4A"/>
            </a:solidFill>
            <a:ln xmlns:a="http://schemas.openxmlformats.org/drawingml/2006/main">
              <a:solidFill>
                <a:srgbClr val="4A4A4A"/>
              </a:solidFill>
              <a:prstDash val="solid"/>
            </a:ln>
          </spPr>
          <cat>
            <numRef>
              <f>'SRB'!$A$130:$A$137</f>
            </numRef>
          </cat>
          <val>
            <numRef>
              <f>'SRB'!$E$130:$E$137</f>
            </numRef>
          </val>
        </ser>
        <gapWidth val="5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style val="18"/>
  <chart>
    <title>
      <tx>
        <rich>
          <a:bodyPr xmlns:a="http://schemas.openxmlformats.org/drawingml/2006/main"/>
          <a:p xmlns:a="http://schemas.openxmlformats.org/drawingml/2006/main">
            <a:pPr>
              <a:defRPr/>
            </a:pPr>
            <a:r>
              <a:t>Runway closure timeline (bubble size = days closed; lane 1 HMA, lane 2 PCC)</a:t>
            </a:r>
          </a:p>
        </rich>
      </tx>
    </title>
    <plotArea>
      <bubbleChart>
        <ser>
          <idx val="0"/>
          <order val="0"/>
          <tx>
            <v>HMA closures</v>
          </tx>
          <spPr>
            <a:solidFill xmlns:a="http://schemas.openxmlformats.org/drawingml/2006/main">
              <a:srgbClr val="2A78D6"/>
            </a:solidFill>
            <a:ln xmlns:a="http://schemas.openxmlformats.org/drawingml/2006/main">
              <a:prstDash val="solid"/>
            </a:ln>
          </spPr>
          <xVal>
            <numRef>
              <f>'SRB'!$B$175:$B$181</f>
            </numRef>
          </xVal>
          <yVal>
            <numRef>
              <f>'SRB'!$C$175:$C$181</f>
            </numRef>
          </yVal>
          <bubbleSize>
            <numRef>
              <f>'SRB'!$D$175:$D$181</f>
            </numRef>
          </bubbleSize>
        </ser>
        <ser>
          <idx val="1"/>
          <order val="1"/>
          <tx>
            <v>PCC closures</v>
          </tx>
          <spPr>
            <a:solidFill xmlns:a="http://schemas.openxmlformats.org/drawingml/2006/main">
              <a:srgbClr val="EB6834"/>
            </a:solidFill>
            <a:ln xmlns:a="http://schemas.openxmlformats.org/drawingml/2006/main">
              <a:prstDash val="solid"/>
            </a:ln>
          </spPr>
          <xVal>
            <numRef>
              <f>'SRB'!$B$182:$B$183</f>
            </numRef>
          </xVal>
          <yVal>
            <numRef>
              <f>'SRB'!$C$182:$C$183</f>
            </numRef>
          </yVal>
          <bubbleSize>
            <numRef>
              <f>'SRB'!$D$182:$D$183</f>
            </numRef>
          </bubbleSize>
        </ser>
        <axId val="10"/>
        <axId val="20"/>
      </bubbleChart>
      <valAx>
        <axId val="10"/>
        <scaling>
          <orientation val="minMax"/>
          <max val="2057"/>
          <min val="2027"/>
        </scaling>
        <delete val="0"/>
        <axPos val="l"/>
        <majorGridlines/>
        <title>
          <tx>
            <rich>
              <a:bodyPr xmlns:a="http://schemas.openxmlformats.org/drawingml/2006/main"/>
              <a:p xmlns:a="http://schemas.openxmlformats.org/drawingml/2006/main">
                <a:pPr>
                  <a:defRPr/>
                </a:pPr>
                <a:r>
                  <a:t>Calendar year</a:t>
                </a:r>
              </a:p>
            </rich>
          </tx>
        </title>
        <numFmt formatCode="0" sourceLinked="0"/>
        <majorTickMark val="none"/>
        <minorTickMark val="none"/>
        <crossAx val="20"/>
      </valAx>
      <valAx>
        <axId val="20"/>
        <scaling>
          <orientation val="minMax"/>
          <max val="3"/>
          <min val="0"/>
        </scaling>
        <delete val="0"/>
        <axPos val="l"/>
        <numFmt formatCode="0" sourceLinked="0"/>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Runway closure days by calendar year</a:t>
            </a:r>
          </a:p>
        </rich>
      </tx>
    </title>
    <plotArea>
      <barChart>
        <barDir val="col"/>
        <grouping val="clustered"/>
        <ser>
          <idx val="0"/>
          <order val="0"/>
          <tx>
            <strRef>
              <f>'SRB'!I93</f>
            </strRef>
          </tx>
          <spPr>
            <a:solidFill xmlns:a="http://schemas.openxmlformats.org/drawingml/2006/main">
              <a:srgbClr val="2A78D6"/>
            </a:solidFill>
            <a:ln xmlns:a="http://schemas.openxmlformats.org/drawingml/2006/main">
              <a:solidFill>
                <a:srgbClr val="2A78D6"/>
              </a:solidFill>
              <a:prstDash val="solid"/>
            </a:ln>
          </spPr>
          <cat>
            <numRef>
              <f>'SRB'!$B$94:$B$124</f>
            </numRef>
          </cat>
          <val>
            <numRef>
              <f>'SRB'!$I$94:$I$124</f>
            </numRef>
          </val>
        </ser>
        <ser>
          <idx val="1"/>
          <order val="1"/>
          <tx>
            <strRef>
              <f>'SRB'!J93</f>
            </strRef>
          </tx>
          <spPr>
            <a:solidFill xmlns:a="http://schemas.openxmlformats.org/drawingml/2006/main">
              <a:srgbClr val="EB6834"/>
            </a:solidFill>
            <a:ln xmlns:a="http://schemas.openxmlformats.org/drawingml/2006/main">
              <a:solidFill>
                <a:srgbClr val="EB6834"/>
              </a:solidFill>
              <a:prstDash val="solid"/>
            </a:ln>
          </spPr>
          <cat>
            <numRef>
              <f>'SRB'!$B$94:$B$124</f>
            </numRef>
          </cat>
          <val>
            <numRef>
              <f>'SRB'!$J$94:$J$124</f>
            </numRef>
          </val>
        </ser>
        <gapWidth val="40"/>
        <axId val="10"/>
        <axId val="100"/>
      </bar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Net present worth by scenario</a:t>
            </a:r>
          </a:p>
        </rich>
      </tx>
    </title>
    <plotArea>
      <barChart>
        <barDir val="bar"/>
        <grouping val="clustered"/>
        <ser>
          <idx val="0"/>
          <order val="0"/>
          <tx>
            <strRef>
              <f>'SRB'!I142</f>
            </strRef>
          </tx>
          <spPr>
            <a:solidFill xmlns:a="http://schemas.openxmlformats.org/drawingml/2006/main">
              <a:srgbClr val="2A78D6"/>
            </a:solidFill>
            <a:ln xmlns:a="http://schemas.openxmlformats.org/drawingml/2006/main">
              <a:solidFill>
                <a:srgbClr val="2A78D6"/>
              </a:solidFill>
              <a:prstDash val="solid"/>
            </a:ln>
          </spPr>
          <cat>
            <numRef>
              <f>'SRB'!$A$143:$A$154</f>
            </numRef>
          </cat>
          <val>
            <numRef>
              <f>'SRB'!$I$143:$I$154</f>
            </numRef>
          </val>
        </ser>
        <ser>
          <idx val="1"/>
          <order val="1"/>
          <tx>
            <strRef>
              <f>'SRB'!J142</f>
            </strRef>
          </tx>
          <spPr>
            <a:solidFill xmlns:a="http://schemas.openxmlformats.org/drawingml/2006/main">
              <a:srgbClr val="EB6834"/>
            </a:solidFill>
            <a:ln xmlns:a="http://schemas.openxmlformats.org/drawingml/2006/main">
              <a:solidFill>
                <a:srgbClr val="EB6834"/>
              </a:solidFill>
              <a:prstDash val="solid"/>
            </a:ln>
          </spPr>
          <cat>
            <numRef>
              <f>'SRB'!$A$143:$A$154</f>
            </numRef>
          </cat>
          <val>
            <numRef>
              <f>'SRB'!$J$143:$J$154</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Monte Carlo: PCC minus HMA present worth (left of zero = PCC cheaper)</a:t>
            </a:r>
          </a:p>
        </rich>
      </tx>
    </title>
    <plotArea>
      <barChart>
        <barDir val="col"/>
        <grouping val="clustered"/>
        <ser>
          <idx val="0"/>
          <order val="0"/>
          <tx>
            <strRef>
              <f>'SRB'!BC14</f>
            </strRef>
          </tx>
          <spPr>
            <a:solidFill xmlns:a="http://schemas.openxmlformats.org/drawingml/2006/main">
              <a:srgbClr val="4A4A4A"/>
            </a:solidFill>
            <a:ln xmlns:a="http://schemas.openxmlformats.org/drawingml/2006/main">
              <a:solidFill>
                <a:srgbClr val="4A4A4A"/>
              </a:solidFill>
              <a:prstDash val="solid"/>
            </a:ln>
          </spPr>
          <cat>
            <numRef>
              <f>'SRB'!$BB$15:$BB$34</f>
            </numRef>
          </cat>
          <val>
            <numRef>
              <f>'SRB'!$BC$15:$BC$34</f>
            </numRef>
          </val>
        </ser>
        <gapWidth val="10"/>
        <axId val="10"/>
        <axId val="100"/>
      </barChart>
      <catAx>
        <axId val="10"/>
        <scaling>
          <orientation val="minMax"/>
        </scaling>
        <delete val="0"/>
        <axPos val="l"/>
        <numFmt formatCode="$#,##0,&quot;k&quot;" sourceLinked="0"/>
        <majorTickMark val="none"/>
        <minorTickMark val="none"/>
        <crossAx val="100"/>
        <lblOffset val="100"/>
        <tickLblSkip val="2"/>
      </catAx>
      <valAx>
        <axId val="100"/>
        <scaling>
          <orientation val="minMax"/>
        </scaling>
        <delete val="0"/>
        <axPos val="l"/>
        <title>
          <tx>
            <rich>
              <a:bodyPr xmlns:a="http://schemas.openxmlformats.org/drawingml/2006/main"/>
              <a:p xmlns:a="http://schemas.openxmlformats.org/drawingml/2006/main">
                <a:pPr>
                  <a:defRPr/>
                </a:pPr>
                <a:r>
                  <a:t>Draws</a:t>
                </a:r>
              </a:p>
            </rich>
          </tx>
        </title>
        <numFmt formatCode="0" sourceLinked="0"/>
        <majorTickMark val="none"/>
        <minorTickMark val="none"/>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Present worth by category (salvage shown below zero)</a:t>
            </a:r>
          </a:p>
        </rich>
      </tx>
    </title>
    <plotArea>
      <barChart>
        <barDir val="col"/>
        <grouping val="stacked"/>
        <ser>
          <idx val="0"/>
          <order val="0"/>
          <tx>
            <strRef>
              <f>'TEMPLATE'!B169</f>
            </strRef>
          </tx>
          <spPr>
            <a:solidFill xmlns:a="http://schemas.openxmlformats.org/drawingml/2006/main">
              <a:srgbClr val="4A4A4A"/>
            </a:solidFill>
            <a:ln xmlns:a="http://schemas.openxmlformats.org/drawingml/2006/main">
              <a:solidFill>
                <a:srgbClr val="4A4A4A"/>
              </a:solidFill>
              <a:prstDash val="solid"/>
            </a:ln>
          </spPr>
          <cat>
            <numRef>
              <f>'TEMPLATE'!$A$170:$A$171</f>
            </numRef>
          </cat>
          <val>
            <numRef>
              <f>'TEMPLATE'!$B$170:$B$171</f>
            </numRef>
          </val>
        </ser>
        <ser>
          <idx val="1"/>
          <order val="1"/>
          <tx>
            <strRef>
              <f>'TEMPLATE'!C169</f>
            </strRef>
          </tx>
          <spPr>
            <a:solidFill xmlns:a="http://schemas.openxmlformats.org/drawingml/2006/main">
              <a:srgbClr val="8C8C8C"/>
            </a:solidFill>
            <a:ln xmlns:a="http://schemas.openxmlformats.org/drawingml/2006/main">
              <a:solidFill>
                <a:srgbClr val="8C8C8C"/>
              </a:solidFill>
              <a:prstDash val="solid"/>
            </a:ln>
          </spPr>
          <cat>
            <numRef>
              <f>'TEMPLATE'!$A$170:$A$171</f>
            </numRef>
          </cat>
          <val>
            <numRef>
              <f>'TEMPLATE'!$C$170:$C$171</f>
            </numRef>
          </val>
        </ser>
        <ser>
          <idx val="2"/>
          <order val="2"/>
          <tx>
            <strRef>
              <f>'TEMPLATE'!D169</f>
            </strRef>
          </tx>
          <spPr>
            <a:solidFill xmlns:a="http://schemas.openxmlformats.org/drawingml/2006/main">
              <a:srgbClr val="646464"/>
            </a:solidFill>
            <a:ln xmlns:a="http://schemas.openxmlformats.org/drawingml/2006/main">
              <a:solidFill>
                <a:srgbClr val="646464"/>
              </a:solidFill>
              <a:prstDash val="solid"/>
            </a:ln>
          </spPr>
          <cat>
            <numRef>
              <f>'TEMPLATE'!$A$170:$A$171</f>
            </numRef>
          </cat>
          <val>
            <numRef>
              <f>'TEMPLATE'!$D$170:$D$171</f>
            </numRef>
          </val>
        </ser>
        <ser>
          <idx val="3"/>
          <order val="3"/>
          <tx>
            <strRef>
              <f>'TEMPLATE'!E169</f>
            </strRef>
          </tx>
          <spPr>
            <a:solidFill xmlns:a="http://schemas.openxmlformats.org/drawingml/2006/main">
              <a:srgbClr val="B8B6AE"/>
            </a:solidFill>
            <a:ln xmlns:a="http://schemas.openxmlformats.org/drawingml/2006/main">
              <a:solidFill>
                <a:srgbClr val="B8B6AE"/>
              </a:solidFill>
              <a:prstDash val="solid"/>
            </a:ln>
          </spPr>
          <cat>
            <numRef>
              <f>'TEMPLATE'!$A$170:$A$171</f>
            </numRef>
          </cat>
          <val>
            <numRef>
              <f>'TEMPLATE'!$E$170:$E$171</f>
            </numRef>
          </val>
        </ser>
        <ser>
          <idx val="4"/>
          <order val="4"/>
          <tx>
            <strRef>
              <f>'TEMPLATE'!F169</f>
            </strRef>
          </tx>
          <spPr>
            <a:solidFill xmlns:a="http://schemas.openxmlformats.org/drawingml/2006/main">
              <a:srgbClr val="DCDCDC"/>
            </a:solidFill>
            <a:ln xmlns:a="http://schemas.openxmlformats.org/drawingml/2006/main">
              <a:solidFill>
                <a:srgbClr val="DCDCDC"/>
              </a:solidFill>
              <a:prstDash val="solid"/>
            </a:ln>
          </spPr>
          <cat>
            <numRef>
              <f>'TEMPLATE'!$A$170:$A$171</f>
            </numRef>
          </cat>
          <val>
            <numRef>
              <f>'TEMPLATE'!$F$170:$F$171</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Expenditure stream by calendar year (undiscounted, incl. lost revenue)</a:t>
            </a:r>
          </a:p>
        </rich>
      </tx>
    </title>
    <plotArea>
      <barChart>
        <barDir val="col"/>
        <grouping val="clustered"/>
        <ser>
          <idx val="0"/>
          <order val="0"/>
          <tx>
            <strRef>
              <f>'TEMPLATE'!M93</f>
            </strRef>
          </tx>
          <spPr>
            <a:solidFill xmlns:a="http://schemas.openxmlformats.org/drawingml/2006/main">
              <a:srgbClr val="2A78D6"/>
            </a:solidFill>
            <a:ln xmlns:a="http://schemas.openxmlformats.org/drawingml/2006/main">
              <a:solidFill>
                <a:srgbClr val="2A78D6"/>
              </a:solidFill>
              <a:prstDash val="solid"/>
            </a:ln>
          </spPr>
          <cat>
            <numRef>
              <f>'TEMPLATE'!$B$94:$B$124</f>
            </numRef>
          </cat>
          <val>
            <numRef>
              <f>'TEMPLATE'!$M$94:$M$124</f>
            </numRef>
          </val>
        </ser>
        <ser>
          <idx val="1"/>
          <order val="1"/>
          <tx>
            <strRef>
              <f>'TEMPLATE'!N93</f>
            </strRef>
          </tx>
          <spPr>
            <a:solidFill xmlns:a="http://schemas.openxmlformats.org/drawingml/2006/main">
              <a:srgbClr val="EB6834"/>
            </a:solidFill>
            <a:ln xmlns:a="http://schemas.openxmlformats.org/drawingml/2006/main">
              <a:solidFill>
                <a:srgbClr val="EB6834"/>
              </a:solidFill>
              <a:prstDash val="solid"/>
            </a:ln>
          </spPr>
          <cat>
            <numRef>
              <f>'TEMPLATE'!$B$94:$B$124</f>
            </numRef>
          </cat>
          <val>
            <numRef>
              <f>'TEMPLATE'!$N$94:$N$124</f>
            </numRef>
          </val>
        </ser>
        <gapWidth val="40"/>
        <axId val="10"/>
        <axId val="100"/>
      </barChart>
      <catAx>
        <axId val="10"/>
        <scaling>
          <orientation val="minMax"/>
        </scaling>
        <delete val="0"/>
        <axPos val="l"/>
        <majorTickMark val="none"/>
        <minorTickMark val="none"/>
        <crossAx val="100"/>
        <lblOffset val="100"/>
        <tickLblSkip val="5"/>
        <tickMark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Cumulative discounted cost (crossover = payback year of the higher first cost)</a:t>
            </a:r>
          </a:p>
        </rich>
      </tx>
    </title>
    <plotArea>
      <lineChart>
        <grouping val="standard"/>
        <ser>
          <idx val="0"/>
          <order val="0"/>
          <tx>
            <strRef>
              <f>'TEMPLATE'!G93</f>
            </strRef>
          </tx>
          <spPr>
            <a:ln xmlns:a="http://schemas.openxmlformats.org/drawingml/2006/main" w="22000">
              <a:solidFill>
                <a:srgbClr val="2A78D6"/>
              </a:solidFill>
              <a:prstDash val="solid"/>
            </a:ln>
          </spPr>
          <marker>
            <symbol val="none"/>
            <spPr>
              <a:ln xmlns:a="http://schemas.openxmlformats.org/drawingml/2006/main">
                <a:prstDash val="solid"/>
              </a:ln>
            </spPr>
          </marker>
          <cat>
            <numRef>
              <f>'TEMPLATE'!$B$94:$B$124</f>
            </numRef>
          </cat>
          <val>
            <numRef>
              <f>'TEMPLATE'!$G$94:$G$124</f>
            </numRef>
          </val>
          <smooth val="0"/>
        </ser>
        <ser>
          <idx val="1"/>
          <order val="1"/>
          <tx>
            <strRef>
              <f>'TEMPLATE'!H93</f>
            </strRef>
          </tx>
          <spPr>
            <a:ln xmlns:a="http://schemas.openxmlformats.org/drawingml/2006/main" w="22000">
              <a:solidFill>
                <a:srgbClr val="EB6834"/>
              </a:solidFill>
              <a:prstDash val="solid"/>
            </a:ln>
          </spPr>
          <marker>
            <symbol val="none"/>
            <spPr>
              <a:ln xmlns:a="http://schemas.openxmlformats.org/drawingml/2006/main">
                <a:prstDash val="solid"/>
              </a:ln>
            </spPr>
          </marker>
          <cat>
            <numRef>
              <f>'TEMPLATE'!$B$94:$B$124</f>
            </numRef>
          </cat>
          <val>
            <numRef>
              <f>'TEMPLATE'!$H$94:$H$124</f>
            </numRef>
          </val>
          <smooth val="0"/>
        </ser>
        <axId val="10"/>
        <axId val="100"/>
      </line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2.xml><?xml version="1.0" encoding="utf-8"?>
<chartSpace xmlns="http://schemas.openxmlformats.org/drawingml/2006/chart">
  <style val="13"/>
  <chart>
    <title>
      <tx>
        <rich>
          <a:bodyPr xmlns:a="http://schemas.openxmlformats.org/drawingml/2006/main"/>
          <a:p xmlns:a="http://schemas.openxmlformats.org/drawingml/2006/main">
            <a:pPr>
              <a:defRPr/>
            </a:pPr>
            <a:r>
              <a:t>Net present worth vs. discount rate (TDOT 3%, FAA AIP 7%)</a:t>
            </a:r>
          </a:p>
        </rich>
      </tx>
    </title>
    <plotArea>
      <scatterChart>
        <ser>
          <idx val="0"/>
          <order val="0"/>
          <tx>
            <strRef>
              <f>'TEMPLATE'!B64</f>
            </strRef>
          </tx>
          <spPr>
            <a:ln xmlns:a="http://schemas.openxmlformats.org/drawingml/2006/main" w="22000">
              <a:solidFill>
                <a:srgbClr val="2A78D6"/>
              </a:solidFill>
              <a:prstDash val="solid"/>
            </a:ln>
          </spPr>
          <marker>
            <symbol val="none"/>
            <spPr>
              <a:ln xmlns:a="http://schemas.openxmlformats.org/drawingml/2006/main">
                <a:prstDash val="solid"/>
              </a:ln>
            </spPr>
          </marker>
          <xVal>
            <numRef>
              <f>'TEMPLATE'!$A$65:$A$89</f>
            </numRef>
          </xVal>
          <yVal>
            <numRef>
              <f>'TEMPLATE'!$B$65:$B$89</f>
            </numRef>
          </yVal>
          <smooth val="0"/>
        </ser>
        <ser>
          <idx val="1"/>
          <order val="1"/>
          <tx>
            <strRef>
              <f>'TEMPLATE'!C64</f>
            </strRef>
          </tx>
          <spPr>
            <a:ln xmlns:a="http://schemas.openxmlformats.org/drawingml/2006/main" w="22000">
              <a:solidFill>
                <a:srgbClr val="EB6834"/>
              </a:solidFill>
              <a:prstDash val="solid"/>
            </a:ln>
          </spPr>
          <marker>
            <symbol val="none"/>
            <spPr>
              <a:ln xmlns:a="http://schemas.openxmlformats.org/drawingml/2006/main">
                <a:prstDash val="solid"/>
              </a:ln>
            </spPr>
          </marker>
          <xVal>
            <numRef>
              <f>'TEMPLATE'!$A$65:$A$89</f>
            </numRef>
          </xVal>
          <yVal>
            <numRef>
              <f>'TEMPLATE'!$C$65:$C$89</f>
            </numRef>
          </yVal>
          <smooth val="0"/>
        </ser>
        <axId val="10"/>
        <axId val="20"/>
      </scatterChart>
      <valAx>
        <axId val="10"/>
        <scaling>
          <orientation val="minMax"/>
          <max val="8"/>
          <min val="2"/>
        </scaling>
        <delete val="0"/>
        <axPos val="l"/>
        <majorGridlines/>
        <title>
          <tx>
            <rich>
              <a:bodyPr xmlns:a="http://schemas.openxmlformats.org/drawingml/2006/main"/>
              <a:p xmlns:a="http://schemas.openxmlformats.org/drawingml/2006/main">
                <a:pPr>
                  <a:defRPr/>
                </a:pPr>
                <a:r>
                  <a:t>Discount rate</a:t>
                </a:r>
              </a:p>
            </rich>
          </tx>
        </title>
        <numFmt formatCode="0&quot;%&quot;" sourceLinked="0"/>
        <majorTickMark val="none"/>
        <minorTickMark val="none"/>
        <crossAx val="20"/>
      </valAx>
      <valAx>
        <axId val="2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PCC minus HMA present worth when one input moves (bars crossing zero flip the winner)</a:t>
            </a:r>
          </a:p>
        </rich>
      </tx>
    </title>
    <plotArea>
      <barChart>
        <barDir val="bar"/>
        <grouping val="clustered"/>
        <ser>
          <idx val="0"/>
          <order val="0"/>
          <tx>
            <strRef>
              <f>'TEMPLATE'!D129</f>
            </strRef>
          </tx>
          <spPr>
            <a:solidFill xmlns:a="http://schemas.openxmlformats.org/drawingml/2006/main">
              <a:srgbClr val="9E9E9E"/>
            </a:solidFill>
            <a:ln xmlns:a="http://schemas.openxmlformats.org/drawingml/2006/main">
              <a:solidFill>
                <a:srgbClr val="9E9E9E"/>
              </a:solidFill>
              <a:prstDash val="solid"/>
            </a:ln>
          </spPr>
          <cat>
            <numRef>
              <f>'TEMPLATE'!$A$130:$A$137</f>
            </numRef>
          </cat>
          <val>
            <numRef>
              <f>'TEMPLATE'!$D$130:$D$137</f>
            </numRef>
          </val>
        </ser>
        <ser>
          <idx val="1"/>
          <order val="1"/>
          <tx>
            <strRef>
              <f>'TEMPLATE'!E129</f>
            </strRef>
          </tx>
          <spPr>
            <a:solidFill xmlns:a="http://schemas.openxmlformats.org/drawingml/2006/main">
              <a:srgbClr val="4A4A4A"/>
            </a:solidFill>
            <a:ln xmlns:a="http://schemas.openxmlformats.org/drawingml/2006/main">
              <a:solidFill>
                <a:srgbClr val="4A4A4A"/>
              </a:solidFill>
              <a:prstDash val="solid"/>
            </a:ln>
          </spPr>
          <cat>
            <numRef>
              <f>'TEMPLATE'!$A$130:$A$137</f>
            </numRef>
          </cat>
          <val>
            <numRef>
              <f>'TEMPLATE'!$E$130:$E$137</f>
            </numRef>
          </val>
        </ser>
        <gapWidth val="5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4.xml><?xml version="1.0" encoding="utf-8"?>
<chartSpace xmlns="http://schemas.openxmlformats.org/drawingml/2006/chart">
  <style val="18"/>
  <chart>
    <title>
      <tx>
        <rich>
          <a:bodyPr xmlns:a="http://schemas.openxmlformats.org/drawingml/2006/main"/>
          <a:p xmlns:a="http://schemas.openxmlformats.org/drawingml/2006/main">
            <a:pPr>
              <a:defRPr/>
            </a:pPr>
            <a:r>
              <a:t>Runway closure timeline (bubble size = days closed; lane 1 HMA, lane 2 PCC)</a:t>
            </a:r>
          </a:p>
        </rich>
      </tx>
    </title>
    <plotArea>
      <bubbleChart>
        <ser>
          <idx val="0"/>
          <order val="0"/>
          <tx>
            <v>HMA closures</v>
          </tx>
          <spPr>
            <a:solidFill xmlns:a="http://schemas.openxmlformats.org/drawingml/2006/main">
              <a:srgbClr val="2A78D6"/>
            </a:solidFill>
            <a:ln xmlns:a="http://schemas.openxmlformats.org/drawingml/2006/main">
              <a:prstDash val="solid"/>
            </a:ln>
          </spPr>
          <xVal>
            <numRef>
              <f>'TEMPLATE'!$B$175:$B$181</f>
            </numRef>
          </xVal>
          <yVal>
            <numRef>
              <f>'TEMPLATE'!$C$175:$C$181</f>
            </numRef>
          </yVal>
          <bubbleSize>
            <numRef>
              <f>'TEMPLATE'!$D$175:$D$181</f>
            </numRef>
          </bubbleSize>
        </ser>
        <ser>
          <idx val="1"/>
          <order val="1"/>
          <tx>
            <v>PCC closures</v>
          </tx>
          <spPr>
            <a:solidFill xmlns:a="http://schemas.openxmlformats.org/drawingml/2006/main">
              <a:srgbClr val="EB6834"/>
            </a:solidFill>
            <a:ln xmlns:a="http://schemas.openxmlformats.org/drawingml/2006/main">
              <a:prstDash val="solid"/>
            </a:ln>
          </spPr>
          <xVal>
            <numRef>
              <f>'TEMPLATE'!$B$182:$B$183</f>
            </numRef>
          </xVal>
          <yVal>
            <numRef>
              <f>'TEMPLATE'!$C$182:$C$183</f>
            </numRef>
          </yVal>
          <bubbleSize>
            <numRef>
              <f>'TEMPLATE'!$D$182:$D$183</f>
            </numRef>
          </bubbleSize>
        </ser>
        <axId val="10"/>
        <axId val="20"/>
      </bubbleChart>
      <valAx>
        <axId val="10"/>
        <scaling>
          <orientation val="minMax"/>
          <max val="2057"/>
          <min val="2027"/>
        </scaling>
        <delete val="0"/>
        <axPos val="l"/>
        <majorGridlines/>
        <title>
          <tx>
            <rich>
              <a:bodyPr xmlns:a="http://schemas.openxmlformats.org/drawingml/2006/main"/>
              <a:p xmlns:a="http://schemas.openxmlformats.org/drawingml/2006/main">
                <a:pPr>
                  <a:defRPr/>
                </a:pPr>
                <a:r>
                  <a:t>Calendar year</a:t>
                </a:r>
              </a:p>
            </rich>
          </tx>
        </title>
        <numFmt formatCode="0" sourceLinked="0"/>
        <majorTickMark val="none"/>
        <minorTickMark val="none"/>
        <crossAx val="20"/>
      </valAx>
      <valAx>
        <axId val="20"/>
        <scaling>
          <orientation val="minMax"/>
          <max val="3"/>
          <min val="0"/>
        </scaling>
        <delete val="0"/>
        <axPos val="l"/>
        <numFmt formatCode="0" sourceLinked="0"/>
        <majorTickMark val="none"/>
        <minorTickMark val="none"/>
        <crossAx val="10"/>
      </valAx>
    </plotArea>
    <legend>
      <legendPos val="b"/>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Runway closure days by calendar year</a:t>
            </a:r>
          </a:p>
        </rich>
      </tx>
    </title>
    <plotArea>
      <barChart>
        <barDir val="col"/>
        <grouping val="clustered"/>
        <ser>
          <idx val="0"/>
          <order val="0"/>
          <tx>
            <strRef>
              <f>'TEMPLATE'!I93</f>
            </strRef>
          </tx>
          <spPr>
            <a:solidFill xmlns:a="http://schemas.openxmlformats.org/drawingml/2006/main">
              <a:srgbClr val="2A78D6"/>
            </a:solidFill>
            <a:ln xmlns:a="http://schemas.openxmlformats.org/drawingml/2006/main">
              <a:solidFill>
                <a:srgbClr val="2A78D6"/>
              </a:solidFill>
              <a:prstDash val="solid"/>
            </a:ln>
          </spPr>
          <cat>
            <numRef>
              <f>'TEMPLATE'!$B$94:$B$124</f>
            </numRef>
          </cat>
          <val>
            <numRef>
              <f>'TEMPLATE'!$I$94:$I$124</f>
            </numRef>
          </val>
        </ser>
        <ser>
          <idx val="1"/>
          <order val="1"/>
          <tx>
            <strRef>
              <f>'TEMPLATE'!J93</f>
            </strRef>
          </tx>
          <spPr>
            <a:solidFill xmlns:a="http://schemas.openxmlformats.org/drawingml/2006/main">
              <a:srgbClr val="EB6834"/>
            </a:solidFill>
            <a:ln xmlns:a="http://schemas.openxmlformats.org/drawingml/2006/main">
              <a:solidFill>
                <a:srgbClr val="EB6834"/>
              </a:solidFill>
              <a:prstDash val="solid"/>
            </a:ln>
          </spPr>
          <cat>
            <numRef>
              <f>'TEMPLATE'!$B$94:$B$124</f>
            </numRef>
          </cat>
          <val>
            <numRef>
              <f>'TEMPLATE'!$J$94:$J$124</f>
            </numRef>
          </val>
        </ser>
        <gapWidth val="40"/>
        <axId val="10"/>
        <axId val="100"/>
      </barChart>
      <catAx>
        <axId val="10"/>
        <scaling>
          <orientation val="minMax"/>
        </scaling>
        <delete val="0"/>
        <axPos val="l"/>
        <majorTickMark val="none"/>
        <minorTickMark val="none"/>
        <crossAx val="100"/>
        <lblOffset val="100"/>
        <tickLblSkip val="5"/>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Net present worth by scenario</a:t>
            </a:r>
          </a:p>
        </rich>
      </tx>
    </title>
    <plotArea>
      <barChart>
        <barDir val="bar"/>
        <grouping val="clustered"/>
        <ser>
          <idx val="0"/>
          <order val="0"/>
          <tx>
            <strRef>
              <f>'TEMPLATE'!I142</f>
            </strRef>
          </tx>
          <spPr>
            <a:solidFill xmlns:a="http://schemas.openxmlformats.org/drawingml/2006/main">
              <a:srgbClr val="2A78D6"/>
            </a:solidFill>
            <a:ln xmlns:a="http://schemas.openxmlformats.org/drawingml/2006/main">
              <a:solidFill>
                <a:srgbClr val="2A78D6"/>
              </a:solidFill>
              <a:prstDash val="solid"/>
            </a:ln>
          </spPr>
          <cat>
            <numRef>
              <f>'TEMPLATE'!$A$143:$A$154</f>
            </numRef>
          </cat>
          <val>
            <numRef>
              <f>'TEMPLATE'!$I$143:$I$154</f>
            </numRef>
          </val>
        </ser>
        <ser>
          <idx val="1"/>
          <order val="1"/>
          <tx>
            <strRef>
              <f>'TEMPLATE'!J142</f>
            </strRef>
          </tx>
          <spPr>
            <a:solidFill xmlns:a="http://schemas.openxmlformats.org/drawingml/2006/main">
              <a:srgbClr val="EB6834"/>
            </a:solidFill>
            <a:ln xmlns:a="http://schemas.openxmlformats.org/drawingml/2006/main">
              <a:solidFill>
                <a:srgbClr val="EB6834"/>
              </a:solidFill>
              <a:prstDash val="solid"/>
            </a:ln>
          </spPr>
          <cat>
            <numRef>
              <f>'TEMPLATE'!$A$143:$A$154</f>
            </numRef>
          </cat>
          <val>
            <numRef>
              <f>'TEMPLATE'!$J$143:$J$154</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quot;M&quot;" sourceLinked="0"/>
        <majorTickMark val="none"/>
        <minorTickMark val="none"/>
        <crossAx val="10"/>
      </valAx>
    </plotArea>
    <legend>
      <legendPos val="b"/>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Monte Carlo: PCC minus HMA present worth (left of zero = PCC cheaper)</a:t>
            </a:r>
          </a:p>
        </rich>
      </tx>
    </title>
    <plotArea>
      <barChart>
        <barDir val="col"/>
        <grouping val="clustered"/>
        <ser>
          <idx val="0"/>
          <order val="0"/>
          <tx>
            <strRef>
              <f>'TEMPLATE'!BC14</f>
            </strRef>
          </tx>
          <spPr>
            <a:solidFill xmlns:a="http://schemas.openxmlformats.org/drawingml/2006/main">
              <a:srgbClr val="4A4A4A"/>
            </a:solidFill>
            <a:ln xmlns:a="http://schemas.openxmlformats.org/drawingml/2006/main">
              <a:solidFill>
                <a:srgbClr val="4A4A4A"/>
              </a:solidFill>
              <a:prstDash val="solid"/>
            </a:ln>
          </spPr>
          <cat>
            <numRef>
              <f>'TEMPLATE'!$BB$15:$BB$34</f>
            </numRef>
          </cat>
          <val>
            <numRef>
              <f>'TEMPLATE'!$BC$15:$BC$34</f>
            </numRef>
          </val>
        </ser>
        <gapWidth val="10"/>
        <axId val="10"/>
        <axId val="100"/>
      </barChart>
      <catAx>
        <axId val="10"/>
        <scaling>
          <orientation val="minMax"/>
        </scaling>
        <delete val="0"/>
        <axPos val="l"/>
        <numFmt formatCode="$#,##0,&quot;k&quot;" sourceLinked="0"/>
        <majorTickMark val="none"/>
        <minorTickMark val="none"/>
        <crossAx val="100"/>
        <lblOffset val="100"/>
        <tickLblSkip val="2"/>
      </catAx>
      <valAx>
        <axId val="100"/>
        <scaling>
          <orientation val="minMax"/>
        </scaling>
        <delete val="0"/>
        <axPos val="l"/>
        <title>
          <tx>
            <rich>
              <a:bodyPr xmlns:a="http://schemas.openxmlformats.org/drawingml/2006/main"/>
              <a:p xmlns:a="http://schemas.openxmlformats.org/drawingml/2006/main">
                <a:pPr>
                  <a:defRPr/>
                </a:pPr>
                <a:r>
                  <a:t>Draws</a:t>
                </a:r>
              </a:p>
            </rich>
          </tx>
        </title>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_rels/drawing2.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s>
</file>

<file path=xl/drawings/_rels/drawing3.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 Type="http://schemas.openxmlformats.org/officeDocument/2006/relationships/chart" Target="/xl/charts/chart21.xml" Id="rId3"/><Relationship Type="http://schemas.openxmlformats.org/officeDocument/2006/relationships/chart" Target="/xl/charts/chart22.xml" Id="rId4"/><Relationship Type="http://schemas.openxmlformats.org/officeDocument/2006/relationships/chart" Target="/xl/charts/chart23.xml" Id="rId5"/><Relationship Type="http://schemas.openxmlformats.org/officeDocument/2006/relationships/chart" Target="/xl/charts/chart24.xml" Id="rId6"/><Relationship Type="http://schemas.openxmlformats.org/officeDocument/2006/relationships/chart" Target="/xl/charts/chart25.xml" Id="rId7"/><Relationship Type="http://schemas.openxmlformats.org/officeDocument/2006/relationships/chart" Target="/xl/charts/chart26.xml" Id="rId8"/><Relationship Type="http://schemas.openxmlformats.org/officeDocument/2006/relationships/chart" Target="/xl/charts/chart27.xml" Id="rId9"/></Relationships>
</file>

<file path=xl/drawings/drawing1.xml><?xml version="1.0" encoding="utf-8"?>
<wsDr xmlns="http://schemas.openxmlformats.org/drawingml/2006/spreadsheetDrawing">
  <oneCellAnchor>
    <from>
      <col>19</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19</col>
      <colOff>0</colOff>
      <row>23</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19</col>
      <colOff>0</colOff>
      <row>43</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19</col>
      <colOff>0</colOff>
      <row>63</row>
      <rowOff>0</rowOff>
    </from>
    <ext cx="64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19</col>
      <colOff>0</colOff>
      <row>83</row>
      <rowOff>0</rowOff>
    </from>
    <ext cx="64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19</col>
      <colOff>0</colOff>
      <row>103</row>
      <rowOff>0</rowOff>
    </from>
    <ext cx="648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19</col>
      <colOff>0</colOff>
      <row>123</row>
      <rowOff>0</rowOff>
    </from>
    <ext cx="648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19</col>
      <colOff>0</colOff>
      <row>143</row>
      <rowOff>0</rowOff>
    </from>
    <ext cx="6480000" cy="43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19</col>
      <colOff>0</colOff>
      <row>163</row>
      <rowOff>0</rowOff>
    </from>
    <ext cx="648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2.xml><?xml version="1.0" encoding="utf-8"?>
<wsDr xmlns="http://schemas.openxmlformats.org/drawingml/2006/spreadsheetDrawing">
  <oneCellAnchor>
    <from>
      <col>19</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19</col>
      <colOff>0</colOff>
      <row>23</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19</col>
      <colOff>0</colOff>
      <row>43</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19</col>
      <colOff>0</colOff>
      <row>63</row>
      <rowOff>0</rowOff>
    </from>
    <ext cx="64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19</col>
      <colOff>0</colOff>
      <row>83</row>
      <rowOff>0</rowOff>
    </from>
    <ext cx="64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19</col>
      <colOff>0</colOff>
      <row>103</row>
      <rowOff>0</rowOff>
    </from>
    <ext cx="648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19</col>
      <colOff>0</colOff>
      <row>123</row>
      <rowOff>0</rowOff>
    </from>
    <ext cx="648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19</col>
      <colOff>0</colOff>
      <row>143</row>
      <rowOff>0</rowOff>
    </from>
    <ext cx="6480000" cy="43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19</col>
      <colOff>0</colOff>
      <row>163</row>
      <rowOff>0</rowOff>
    </from>
    <ext cx="648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3.xml><?xml version="1.0" encoding="utf-8"?>
<wsDr xmlns="http://schemas.openxmlformats.org/drawingml/2006/spreadsheetDrawing">
  <oneCellAnchor>
    <from>
      <col>19</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19</col>
      <colOff>0</colOff>
      <row>23</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19</col>
      <colOff>0</colOff>
      <row>43</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19</col>
      <colOff>0</colOff>
      <row>63</row>
      <rowOff>0</rowOff>
    </from>
    <ext cx="64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19</col>
      <colOff>0</colOff>
      <row>83</row>
      <rowOff>0</rowOff>
    </from>
    <ext cx="64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19</col>
      <colOff>0</colOff>
      <row>103</row>
      <rowOff>0</rowOff>
    </from>
    <ext cx="648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19</col>
      <colOff>0</colOff>
      <row>123</row>
      <rowOff>0</rowOff>
    </from>
    <ext cx="648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19</col>
      <colOff>0</colOff>
      <row>143</row>
      <rowOff>0</rowOff>
    </from>
    <ext cx="6480000" cy="43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19</col>
      <colOff>0</colOff>
      <row>163</row>
      <rowOff>0</rowOff>
    </from>
    <ext cx="648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TDOT Aeronautics LCCA - Decision Workbook (MBT and SRB runs)</t>
        </is>
      </c>
    </row>
    <row r="2">
      <c r="A2" s="2" t="inlineStr">
        <is>
          <t>Purpose: show the two 2026-05-21 analyses side by side with the sensitivity, break-even and closure views the framework workbook does not produce. Companion to TDOA_LCCA_Framework v1.2.0; base costs, closure days and policies are copied from those files.</t>
        </is>
      </c>
    </row>
    <row r="3">
      <c r="A3" s="2" t="inlineStr"/>
    </row>
    <row r="4">
      <c r="A4" s="3" t="inlineStr">
        <is>
          <t>How to use</t>
        </is>
      </c>
    </row>
    <row r="5">
      <c r="A5" s="2" t="inlineStr">
        <is>
          <t>1. Open the MBT or SRB sheet. Yellow cells (B5:B14) are the only inputs. Change the discount rate, period, revenue share lost, closure multiplier, bid multipliers or salvage multiplier and every table and chart updates.</t>
        </is>
      </c>
    </row>
    <row r="6">
      <c r="A6" s="2" t="inlineStr">
        <is>
          <t>2. RESULTS gives present worth by category, EUAC, cost per SY, closure days and runway availability, the winner, the margin, and whether the winner holds at the FAA AIP 7% rate.</t>
        </is>
      </c>
    </row>
    <row r="7">
      <c r="A7" s="2" t="inlineStr">
        <is>
          <t>3. BREAK-EVEN VALUES answer "how wrong would an input have to be" without a goal seek: daily revenue, PCC and HMA bid levels, PCC salvage fraction and discount rate at which the two alternatives tie.</t>
        </is>
      </c>
    </row>
    <row r="8">
      <c r="A8" s="2" t="inlineStr">
        <is>
          <t>4. SENSITIVITY, TORNADO, SCENARIO SCORECARD and the DECISION MAP are pre-run: the scorecard rows carry their own parameters (TDOT policy, FAA AIP 7%/20 yr, no lost revenue, 40% revenue loss, no salvage, bids +20%, closures x2 and x0.5, and a stress case).</t>
        </is>
      </c>
    </row>
    <row r="9">
      <c r="A9" s="2" t="inlineStr">
        <is>
          <t>5. Charts start in column T of each project sheet: PW by category, expenditure stream, cumulative discounted cost, rate sensitivity, tornado, closure timeline, closure days by year, NPW by scenario.</t>
        </is>
      </c>
    </row>
    <row r="10">
      <c r="A10" s="2" t="inlineStr">
        <is>
          <t>6. A live Monte Carlo block (column AK onward on each project sheet) draws 1,000 joint scenarios from triangular ranges you can edit; RESULTS shows the probability that PCC is the lower-cost alternative. Press F9 to redraw; results move by a percent or two between draws.</t>
        </is>
      </c>
    </row>
    <row r="11">
      <c r="A11" s="2" t="inlineStr">
        <is>
          <t>7. To analyse a new project: right-click the TEMPLATE sheet tab &gt; Move or Copy &gt; Create a copy, rename it, then fill the yellow cells: parameters B5:B18, and for each alternative the base direct cost and closure days of every policy activity (columns C:D and L:M of the activity tables). Take them from the framework workbook: General Information D25 (year) and D39 (daily revenue), each Alt sheet column D of the NPW table and cells F4:F10. Every table and chart updates.</t>
        </is>
      </c>
    </row>
    <row r="12">
      <c r="A12" s="2" t="inlineStr">
        <is>
          <t>8. The workbook compares one HMA and one PCC alternative per sheet, which is how the TDOT framework is used. Activity rows follow the TDOT Maintenance Policies (six maintenance events and one rehabilitation for HMA, one maintenance and one rehabilitation for PCC); the years are editable if the policies change.</t>
        </is>
      </c>
    </row>
    <row r="13">
      <c r="A13" s="2" t="inlineStr"/>
    </row>
    <row r="14">
      <c r="A14" s="3" t="inlineStr">
        <is>
          <t>Method notes</t>
        </is>
      </c>
    </row>
    <row r="15">
      <c r="A15" s="2" t="inlineStr">
        <is>
          <t>Present worth = sum over activities within the period of (direct cost x cost multiplier + closure days x closure multiplier x daily revenue x revenue share lost) / (1 + r)^year, plus salvage x cost multiplier x salvage multiplier / (1 + r)^period. Initial construction is year 0. This reproduces the framework workbook NPW exactly at its own settings (3%, 30 years, multipliers = 1).</t>
        </is>
      </c>
    </row>
    <row r="16">
      <c r="A16" s="2" t="inlineStr">
        <is>
          <t>Salvage follows TDOT Maintenance Policies: PCC 25% of initial construction; HMA 12.5% of one mill-and-overlay (2 of 16 years). When the period is shortened the same fraction is applied at the end of the shorter period, which is a conservative simplification.</t>
        </is>
      </c>
    </row>
    <row r="17">
      <c r="A17" s="2" t="inlineStr">
        <is>
          <t>Closure days are the production-rate defaults from the framework (surface treatment 15,000 SY/day; mill and overlay 3,800 SY/day; PCC joint and slab rates). Initial construction closures are not modelled, as in the framework.</t>
        </is>
      </c>
    </row>
    <row r="18">
      <c r="A18" s="2" t="inlineStr">
        <is>
          <t>Lost revenue uses the framework method (sum of the seven RevenueData categories). The "revenue share lost" input lets you test margin-based assumptions.</t>
        </is>
      </c>
    </row>
    <row r="19">
      <c r="A19" s="2" t="inlineStr">
        <is>
          <t>Sources: TDOA_LCCA_Framework_v1.1.2_MBT_20260521_LostRevenue_1.xlsm and _SRB_20260521_LostRevenue.xlsm (ARA); TDOT Maintenance Policies tables 1 and 2; FAA AIP Handbook Appendix U (7% rate, 20-year life for AIP-funded LCCA).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013"/>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4" t="inlineStr">
        <is>
          <t>Murfreesboro Municipal (MBT) - Runway 18-36 Reconstruction</t>
        </is>
      </c>
    </row>
    <row r="2">
      <c r="A2" s="5" t="inlineStr">
        <is>
          <t>Life-cycle cost comparison with runway-closure lost revenue. Yellow cells are inputs; everything else recalculates.</t>
        </is>
      </c>
    </row>
    <row r="4">
      <c r="A4" s="6" t="inlineStr">
        <is>
          <t>Parameter</t>
        </is>
      </c>
      <c r="B4" s="6" t="inlineStr">
        <is>
          <t>Value</t>
        </is>
      </c>
      <c r="C4" s="6" t="inlineStr">
        <is>
          <t>Note</t>
        </is>
      </c>
      <c r="AK4" s="4" t="inlineStr">
        <is>
          <t>MONTE CARLO (live): uncertain inputs drawn jointly from triangular ranges; press F9 to redraw</t>
        </is>
      </c>
    </row>
    <row r="5">
      <c r="A5" s="7" t="inlineStr">
        <is>
          <t>Discount rate (%)</t>
        </is>
      </c>
      <c r="B5" s="8" t="n">
        <v>3</v>
      </c>
      <c r="C5" s="5" t="inlineStr">
        <is>
          <t>TDOT default 3; FAA AIP handbook requires 7 for AIP-funded LCCA</t>
        </is>
      </c>
      <c r="AK5" s="6" t="inlineStr">
        <is>
          <t>Uncertain input</t>
        </is>
      </c>
      <c r="AL5" s="6" t="inlineStr">
        <is>
          <t>Min</t>
        </is>
      </c>
      <c r="AM5" s="6" t="inlineStr">
        <is>
          <t>Most likely</t>
        </is>
      </c>
      <c r="AN5" s="6" t="inlineStr">
        <is>
          <t>Max</t>
        </is>
      </c>
      <c r="BB5" s="9" t="inlineStr">
        <is>
          <t>Simulation summary</t>
        </is>
      </c>
    </row>
    <row r="6">
      <c r="A6" s="7" t="inlineStr">
        <is>
          <t>Analysis period (years)</t>
        </is>
      </c>
      <c r="B6" s="10" t="n">
        <v>30</v>
      </c>
      <c r="C6" s="5" t="inlineStr">
        <is>
          <t>TDOT policy 30; FAA AIP caps project life at 20</t>
        </is>
      </c>
      <c r="AK6" s="7" t="inlineStr">
        <is>
          <t>Discount rate (%)</t>
        </is>
      </c>
      <c r="AL6" s="10" t="n">
        <v>2</v>
      </c>
      <c r="AM6" s="10" t="n">
        <v>3</v>
      </c>
      <c r="AN6" s="10" t="n">
        <v>7</v>
      </c>
      <c r="BB6" s="7" t="inlineStr">
        <is>
          <t>Draws</t>
        </is>
      </c>
      <c r="BC6" s="11">
        <f>COUNT($AT$14:$AT$1013)</f>
        <v/>
      </c>
    </row>
    <row r="7">
      <c r="A7" s="7" t="inlineStr">
        <is>
          <t>Construction year</t>
        </is>
      </c>
      <c r="B7" s="10" t="n">
        <v>2027</v>
      </c>
      <c r="C7" s="5" t="inlineStr"/>
      <c r="AK7" s="7" t="inlineStr">
        <is>
          <t>HMA cost multiplier</t>
        </is>
      </c>
      <c r="AL7" s="10" t="n">
        <v>0.8</v>
      </c>
      <c r="AM7" s="10" t="n">
        <v>1</v>
      </c>
      <c r="AN7" s="10" t="n">
        <v>1.25</v>
      </c>
      <c r="BB7" s="7" t="inlineStr">
        <is>
          <t>Probability PCC is lower cost</t>
        </is>
      </c>
      <c r="BC7" s="12">
        <f>COUNTIF($AT$14:$AT$1013,"&lt;0")/COUNT($AT$14:$AT$1013)</f>
        <v/>
      </c>
    </row>
    <row r="8">
      <c r="A8" s="7" t="inlineStr">
        <is>
          <t>Airport daily revenue ($/day)</t>
        </is>
      </c>
      <c r="B8" s="13" t="n">
        <v>8841.379999999999</v>
      </c>
      <c r="C8" s="5" t="inlineStr">
        <is>
          <t>Sum of the seven RevenueData columns for this airport (workbook method)</t>
        </is>
      </c>
      <c r="AK8" s="7" t="inlineStr">
        <is>
          <t>PCC cost multiplier</t>
        </is>
      </c>
      <c r="AL8" s="10" t="n">
        <v>0.8</v>
      </c>
      <c r="AM8" s="10" t="n">
        <v>1</v>
      </c>
      <c r="AN8" s="10" t="n">
        <v>1.25</v>
      </c>
      <c r="BB8" s="7" t="inlineStr">
        <is>
          <t>Mean PCC - HMA</t>
        </is>
      </c>
      <c r="BC8" s="14">
        <f>AVERAGE($AT$14:$AT$1013)</f>
        <v/>
      </c>
    </row>
    <row r="9">
      <c r="A9" s="7" t="inlineStr">
        <is>
          <t>Share of daily revenue actually lost during a closure</t>
        </is>
      </c>
      <c r="B9" s="15" t="n">
        <v>1</v>
      </c>
      <c r="C9" s="5" t="inlineStr">
        <is>
          <t>1.0 = workbook method (gross fuel sales and tenant rent count as lost). Try 0.3 to 0.5 for margin-based revenue</t>
        </is>
      </c>
      <c r="AK9" s="7" t="inlineStr">
        <is>
          <t>Closure-days multiplier</t>
        </is>
      </c>
      <c r="AL9" s="10" t="n">
        <v>0.5</v>
      </c>
      <c r="AM9" s="10" t="n">
        <v>1</v>
      </c>
      <c r="AN9" s="10" t="n">
        <v>2</v>
      </c>
      <c r="BB9" s="7" t="inlineStr">
        <is>
          <t>P10</t>
        </is>
      </c>
      <c r="BC9" s="14">
        <f>PERCENTILE($AT$14:$AT$1013,0.1)</f>
        <v/>
      </c>
    </row>
    <row r="10">
      <c r="A10" s="7" t="inlineStr">
        <is>
          <t>Closure-days multiplier</t>
        </is>
      </c>
      <c r="B10" s="10" t="n">
        <v>1</v>
      </c>
      <c r="C10" s="5" t="inlineStr">
        <is>
          <t>Scales every closure duration (production-rate defaults from the workbook)</t>
        </is>
      </c>
      <c r="AK10" s="7" t="inlineStr">
        <is>
          <t>Salvage multiplier</t>
        </is>
      </c>
      <c r="AL10" s="10" t="n">
        <v>0.5</v>
      </c>
      <c r="AM10" s="10" t="n">
        <v>1</v>
      </c>
      <c r="AN10" s="10" t="n">
        <v>1</v>
      </c>
      <c r="BB10" s="7" t="inlineStr">
        <is>
          <t>P50 (median)</t>
        </is>
      </c>
      <c r="BC10" s="14">
        <f>PERCENTILE($AT$14:$AT$1013,0.5)</f>
        <v/>
      </c>
    </row>
    <row r="11">
      <c r="A11" s="7" t="inlineStr">
        <is>
          <t>HMA cost multiplier</t>
        </is>
      </c>
      <c r="B11" s="10" t="n">
        <v>1</v>
      </c>
      <c r="C11" s="5" t="inlineStr">
        <is>
          <t>Bid-price uncertainty on all HMA direct costs</t>
        </is>
      </c>
      <c r="AK11" s="7" t="inlineStr">
        <is>
          <t>Share of revenue lost</t>
        </is>
      </c>
      <c r="AL11" s="10" t="n">
        <v>0.3</v>
      </c>
      <c r="AM11" s="10" t="n">
        <v>0.65</v>
      </c>
      <c r="AN11" s="10" t="n">
        <v>1</v>
      </c>
      <c r="BB11" s="7" t="inlineStr">
        <is>
          <t>P90</t>
        </is>
      </c>
      <c r="BC11" s="14">
        <f>PERCENTILE($AT$14:$AT$1013,0.9)</f>
        <v/>
      </c>
    </row>
    <row r="12">
      <c r="A12" s="7" t="inlineStr">
        <is>
          <t>PCC cost multiplier</t>
        </is>
      </c>
      <c r="B12" s="10" t="n">
        <v>1</v>
      </c>
      <c r="C12" s="5" t="inlineStr">
        <is>
          <t>Bid-price uncertainty on all PCC direct costs</t>
        </is>
      </c>
    </row>
    <row r="13">
      <c r="A13" s="7" t="inlineStr">
        <is>
          <t>Salvage multiplier</t>
        </is>
      </c>
      <c r="B13" s="10" t="n">
        <v>1</v>
      </c>
      <c r="C13" s="5" t="inlineStr">
        <is>
          <t>0 = no salvage credit; 1 = workbook policy (PCC 25% of initial, HMA 12.5% of one mill-and-overlay)</t>
        </is>
      </c>
      <c r="AK13" s="6" t="inlineStr">
        <is>
          <t>Draw</t>
        </is>
      </c>
      <c r="AL13" s="6" t="inlineStr">
        <is>
          <t>Rate %</t>
        </is>
      </c>
      <c r="AM13" s="6" t="inlineStr">
        <is>
          <t>HMA cost x</t>
        </is>
      </c>
      <c r="AN13" s="6" t="inlineStr">
        <is>
          <t>PCC cost x</t>
        </is>
      </c>
      <c r="AO13" s="6" t="inlineStr">
        <is>
          <t>Closure x</t>
        </is>
      </c>
      <c r="AP13" s="6" t="inlineStr">
        <is>
          <t>Salvage x</t>
        </is>
      </c>
      <c r="AQ13" s="6" t="inlineStr">
        <is>
          <t>Revenue share</t>
        </is>
      </c>
      <c r="AR13" s="6" t="inlineStr">
        <is>
          <t>NPW HMA</t>
        </is>
      </c>
      <c r="AS13" s="6" t="inlineStr">
        <is>
          <t>NPW PCC</t>
        </is>
      </c>
      <c r="AT13" s="6" t="inlineStr">
        <is>
          <t>PCC - HMA</t>
        </is>
      </c>
      <c r="AU13" s="6" t="inlineStr">
        <is>
          <t>u1</t>
        </is>
      </c>
      <c r="AV13" s="6" t="inlineStr">
        <is>
          <t>u2</t>
        </is>
      </c>
      <c r="AW13" s="6" t="inlineStr">
        <is>
          <t>u3</t>
        </is>
      </c>
      <c r="AX13" s="6" t="inlineStr">
        <is>
          <t>u4</t>
        </is>
      </c>
      <c r="AY13" s="6" t="inlineStr">
        <is>
          <t>u5</t>
        </is>
      </c>
      <c r="AZ13" s="6" t="inlineStr">
        <is>
          <t>u6</t>
        </is>
      </c>
      <c r="BB13" s="9" t="inlineStr">
        <is>
          <t>Histogram of PCC - HMA</t>
        </is>
      </c>
    </row>
    <row r="14">
      <c r="A14" s="7" t="inlineStr">
        <is>
          <t>Mainline area (SY)</t>
        </is>
      </c>
      <c r="B14" s="16" t="n">
        <v>52777.7</v>
      </c>
      <c r="C14" s="5" t="inlineStr"/>
      <c r="AK14" t="n">
        <v>1</v>
      </c>
      <c r="AL14">
        <f>IFERROR(IF(AU14&lt;($AM$6-$AL$6)/($AN$6-$AL$6),$AL$6+SQRT(AU14*($AN$6-$AL$6)*($AM$6-$AL$6)),$AN$6-SQRT((1-AU14)*($AN$6-$AL$6)*($AN$6-$AM$6))),$AM$6)</f>
        <v/>
      </c>
      <c r="AM14">
        <f>IFERROR(IF(AV14&lt;($AM$7-$AL$7)/($AN$7-$AL$7),$AL$7+SQRT(AV14*($AN$7-$AL$7)*($AM$7-$AL$7)),$AN$7-SQRT((1-AV14)*($AN$7-$AL$7)*($AN$7-$AM$7))),$AM$7)</f>
        <v/>
      </c>
      <c r="AN14">
        <f>IFERROR(IF(AW14&lt;($AM$8-$AL$8)/($AN$8-$AL$8),$AL$8+SQRT(AW14*($AN$8-$AL$8)*($AM$8-$AL$8)),$AN$8-SQRT((1-AW14)*($AN$8-$AL$8)*($AN$8-$AM$8))),$AM$8)</f>
        <v/>
      </c>
      <c r="AO14">
        <f>IFERROR(IF(AX14&lt;($AM$9-$AL$9)/($AN$9-$AL$9),$AL$9+SQRT(AX14*($AN$9-$AL$9)*($AM$9-$AL$9)),$AN$9-SQRT((1-AX14)*($AN$9-$AL$9)*($AN$9-$AM$9))),$AM$9)</f>
        <v/>
      </c>
      <c r="AP14">
        <f>IFERROR(IF(AY14&lt;($AM$10-$AL$10)/($AN$10-$AL$10),$AL$10+SQRT(AY14*($AN$10-$AL$10)*($AM$10-$AL$10)),$AN$10-SQRT((1-AY14)*($AN$10-$AL$10)*($AN$10-$AM$10))),$AM$10)</f>
        <v/>
      </c>
      <c r="AQ14">
        <f>IFERROR(IF(AZ14&lt;($AM$11-$AL$11)/($AN$11-$AL$11),$AL$11+SQRT(AZ14*($AN$11-$AL$11)*($AM$11-$AL$11)),$AN$11-SQRT((1-AZ14)*($AN$11-$AL$11)*($AN$11-$AM$11))),$AM$11)</f>
        <v/>
      </c>
      <c r="AR14">
        <f>SUMPRODUCT((B24:B31&lt;=$B$6)*(C24:C31*AM14+D24:D31*AO14*$B$8*AQ14)/(1+AL14/100)^B24:B31)+C32*AM14*AP14/(1+AL14/100)^$B$6</f>
        <v/>
      </c>
      <c r="AS14">
        <f>SUMPRODUCT((K24:K26&lt;=$B$6)*(L24:L26*AN14+M24:M26*AO14*$B$8*AQ14)/(1+AL14/100)^K24:K26)+L27*AN14*AP14/(1+AL14/100)^$B$6</f>
        <v/>
      </c>
      <c r="AT14">
        <f>AS14-AR14</f>
        <v/>
      </c>
      <c r="AU14">
        <f>RAND()</f>
        <v/>
      </c>
      <c r="AV14">
        <f>RAND()</f>
        <v/>
      </c>
      <c r="AW14">
        <f>RAND()</f>
        <v/>
      </c>
      <c r="AX14">
        <f>RAND()</f>
        <v/>
      </c>
      <c r="AY14">
        <f>RAND()</f>
        <v/>
      </c>
      <c r="AZ14">
        <f>RAND()</f>
        <v/>
      </c>
      <c r="BB14" s="6" t="inlineStr">
        <is>
          <t>Bin upper edge</t>
        </is>
      </c>
      <c r="BC14" s="6" t="inlineStr">
        <is>
          <t>Draws</t>
        </is>
      </c>
      <c r="BD14" s="6" t="inlineStr">
        <is>
          <t>Cumulative</t>
        </is>
      </c>
    </row>
    <row r="15">
      <c r="A15" s="7" t="inlineStr">
        <is>
          <t>HMA salvage fraction</t>
        </is>
      </c>
      <c r="B15" s="17" t="n">
        <v>0.125</v>
      </c>
      <c r="C15" s="5" t="inlineStr">
        <is>
          <t>TDOT policy: 2 of 16 years of the mill-and-overlay = 0.125</t>
        </is>
      </c>
      <c r="AK15" t="n">
        <v>2</v>
      </c>
      <c r="AL15">
        <f>IFERROR(IF(AU15&lt;($AM$6-$AL$6)/($AN$6-$AL$6),$AL$6+SQRT(AU15*($AN$6-$AL$6)*($AM$6-$AL$6)),$AN$6-SQRT((1-AU15)*($AN$6-$AL$6)*($AN$6-$AM$6))),$AM$6)</f>
        <v/>
      </c>
      <c r="AM15">
        <f>IFERROR(IF(AV15&lt;($AM$7-$AL$7)/($AN$7-$AL$7),$AL$7+SQRT(AV15*($AN$7-$AL$7)*($AM$7-$AL$7)),$AN$7-SQRT((1-AV15)*($AN$7-$AL$7)*($AN$7-$AM$7))),$AM$7)</f>
        <v/>
      </c>
      <c r="AN15">
        <f>IFERROR(IF(AW15&lt;($AM$8-$AL$8)/($AN$8-$AL$8),$AL$8+SQRT(AW15*($AN$8-$AL$8)*($AM$8-$AL$8)),$AN$8-SQRT((1-AW15)*($AN$8-$AL$8)*($AN$8-$AM$8))),$AM$8)</f>
        <v/>
      </c>
      <c r="AO15">
        <f>IFERROR(IF(AX15&lt;($AM$9-$AL$9)/($AN$9-$AL$9),$AL$9+SQRT(AX15*($AN$9-$AL$9)*($AM$9-$AL$9)),$AN$9-SQRT((1-AX15)*($AN$9-$AL$9)*($AN$9-$AM$9))),$AM$9)</f>
        <v/>
      </c>
      <c r="AP15">
        <f>IFERROR(IF(AY15&lt;($AM$10-$AL$10)/($AN$10-$AL$10),$AL$10+SQRT(AY15*($AN$10-$AL$10)*($AM$10-$AL$10)),$AN$10-SQRT((1-AY15)*($AN$10-$AL$10)*($AN$10-$AM$10))),$AM$10)</f>
        <v/>
      </c>
      <c r="AQ15">
        <f>IFERROR(IF(AZ15&lt;($AM$11-$AL$11)/($AN$11-$AL$11),$AL$11+SQRT(AZ15*($AN$11-$AL$11)*($AM$11-$AL$11)),$AN$11-SQRT((1-AZ15)*($AN$11-$AL$11)*($AN$11-$AM$11))),$AM$11)</f>
        <v/>
      </c>
      <c r="AR15">
        <f>SUMPRODUCT((B24:B31&lt;=$B$6)*(C24:C31*AM15+D24:D31*AO15*$B$8*AQ15)/(1+AL15/100)^B24:B31)+C32*AM15*AP15/(1+AL15/100)^$B$6</f>
        <v/>
      </c>
      <c r="AS15">
        <f>SUMPRODUCT((K24:K26&lt;=$B$6)*(L24:L26*AN15+M24:M26*AO15*$B$8*AQ15)/(1+AL15/100)^K24:K26)+L27*AN15*AP15/(1+AL15/100)^$B$6</f>
        <v/>
      </c>
      <c r="AT15">
        <f>AS15-AR15</f>
        <v/>
      </c>
      <c r="AU15">
        <f>RAND()</f>
        <v/>
      </c>
      <c r="AV15">
        <f>RAND()</f>
        <v/>
      </c>
      <c r="AW15">
        <f>RAND()</f>
        <v/>
      </c>
      <c r="AX15">
        <f>RAND()</f>
        <v/>
      </c>
      <c r="AY15">
        <f>RAND()</f>
        <v/>
      </c>
      <c r="AZ15">
        <f>RAND()</f>
        <v/>
      </c>
      <c r="BB15" s="18">
        <f>PERCENTILE($AT$14:$AT$1013,0.01)+(PERCENTILE($AT$14:$AT$1013,0.99)-PERCENTILE($AT$14:$AT$1013,0.01))*1/20</f>
        <v/>
      </c>
      <c r="BC15">
        <f>COUNTIF($AT$14:$AT$1013,"&lt;="&amp;BB15)</f>
        <v/>
      </c>
      <c r="BD15" s="12">
        <f>COUNTIF($AT$14:$AT$1013,"&lt;="&amp;BB15)/COUNT($AT$14:$AT$1013)</f>
        <v/>
      </c>
    </row>
    <row r="16">
      <c r="A16" s="7" t="inlineStr">
        <is>
          <t>HMA salvage basis</t>
        </is>
      </c>
      <c r="B16" s="10" t="inlineStr">
        <is>
          <t>Rehabilitation</t>
        </is>
      </c>
      <c r="C16" s="5" t="inlineStr">
        <is>
          <t>Initial or Rehabilitation (which cost the fraction applies to)</t>
        </is>
      </c>
      <c r="AK16" t="n">
        <v>3</v>
      </c>
      <c r="AL16">
        <f>IFERROR(IF(AU16&lt;($AM$6-$AL$6)/($AN$6-$AL$6),$AL$6+SQRT(AU16*($AN$6-$AL$6)*($AM$6-$AL$6)),$AN$6-SQRT((1-AU16)*($AN$6-$AL$6)*($AN$6-$AM$6))),$AM$6)</f>
        <v/>
      </c>
      <c r="AM16">
        <f>IFERROR(IF(AV16&lt;($AM$7-$AL$7)/($AN$7-$AL$7),$AL$7+SQRT(AV16*($AN$7-$AL$7)*($AM$7-$AL$7)),$AN$7-SQRT((1-AV16)*($AN$7-$AL$7)*($AN$7-$AM$7))),$AM$7)</f>
        <v/>
      </c>
      <c r="AN16">
        <f>IFERROR(IF(AW16&lt;($AM$8-$AL$8)/($AN$8-$AL$8),$AL$8+SQRT(AW16*($AN$8-$AL$8)*($AM$8-$AL$8)),$AN$8-SQRT((1-AW16)*($AN$8-$AL$8)*($AN$8-$AM$8))),$AM$8)</f>
        <v/>
      </c>
      <c r="AO16">
        <f>IFERROR(IF(AX16&lt;($AM$9-$AL$9)/($AN$9-$AL$9),$AL$9+SQRT(AX16*($AN$9-$AL$9)*($AM$9-$AL$9)),$AN$9-SQRT((1-AX16)*($AN$9-$AL$9)*($AN$9-$AM$9))),$AM$9)</f>
        <v/>
      </c>
      <c r="AP16">
        <f>IFERROR(IF(AY16&lt;($AM$10-$AL$10)/($AN$10-$AL$10),$AL$10+SQRT(AY16*($AN$10-$AL$10)*($AM$10-$AL$10)),$AN$10-SQRT((1-AY16)*($AN$10-$AL$10)*($AN$10-$AM$10))),$AM$10)</f>
        <v/>
      </c>
      <c r="AQ16">
        <f>IFERROR(IF(AZ16&lt;($AM$11-$AL$11)/($AN$11-$AL$11),$AL$11+SQRT(AZ16*($AN$11-$AL$11)*($AM$11-$AL$11)),$AN$11-SQRT((1-AZ16)*($AN$11-$AL$11)*($AN$11-$AM$11))),$AM$11)</f>
        <v/>
      </c>
      <c r="AR16">
        <f>SUMPRODUCT((B24:B31&lt;=$B$6)*(C24:C31*AM16+D24:D31*AO16*$B$8*AQ16)/(1+AL16/100)^B24:B31)+C32*AM16*AP16/(1+AL16/100)^$B$6</f>
        <v/>
      </c>
      <c r="AS16">
        <f>SUMPRODUCT((K24:K26&lt;=$B$6)*(L24:L26*AN16+M24:M26*AO16*$B$8*AQ16)/(1+AL16/100)^K24:K26)+L27*AN16*AP16/(1+AL16/100)^$B$6</f>
        <v/>
      </c>
      <c r="AT16">
        <f>AS16-AR16</f>
        <v/>
      </c>
      <c r="AU16">
        <f>RAND()</f>
        <v/>
      </c>
      <c r="AV16">
        <f>RAND()</f>
        <v/>
      </c>
      <c r="AW16">
        <f>RAND()</f>
        <v/>
      </c>
      <c r="AX16">
        <f>RAND()</f>
        <v/>
      </c>
      <c r="AY16">
        <f>RAND()</f>
        <v/>
      </c>
      <c r="AZ16">
        <f>RAND()</f>
        <v/>
      </c>
      <c r="BB16" s="18">
        <f>PERCENTILE($AT$14:$AT$1013,0.01)+(PERCENTILE($AT$14:$AT$1013,0.99)-PERCENTILE($AT$14:$AT$1013,0.01))*2/20</f>
        <v/>
      </c>
      <c r="BC16">
        <f>COUNTIF($AT$14:$AT$1013,"&lt;="&amp;BB16)-COUNTIF($AT$14:$AT$1013,"&lt;="&amp;BB15)</f>
        <v/>
      </c>
      <c r="BD16" s="12">
        <f>COUNTIF($AT$14:$AT$1013,"&lt;="&amp;BB16)/COUNT($AT$14:$AT$1013)</f>
        <v/>
      </c>
    </row>
    <row r="17">
      <c r="A17" s="7" t="inlineStr">
        <is>
          <t>PCC salvage fraction</t>
        </is>
      </c>
      <c r="B17" s="17" t="n">
        <v>0.25</v>
      </c>
      <c r="C17" s="5" t="inlineStr">
        <is>
          <t>TDOT policy: 10 of 40 years of initial construction = 0.25</t>
        </is>
      </c>
      <c r="AK17" t="n">
        <v>4</v>
      </c>
      <c r="AL17">
        <f>IFERROR(IF(AU17&lt;($AM$6-$AL$6)/($AN$6-$AL$6),$AL$6+SQRT(AU17*($AN$6-$AL$6)*($AM$6-$AL$6)),$AN$6-SQRT((1-AU17)*($AN$6-$AL$6)*($AN$6-$AM$6))),$AM$6)</f>
        <v/>
      </c>
      <c r="AM17">
        <f>IFERROR(IF(AV17&lt;($AM$7-$AL$7)/($AN$7-$AL$7),$AL$7+SQRT(AV17*($AN$7-$AL$7)*($AM$7-$AL$7)),$AN$7-SQRT((1-AV17)*($AN$7-$AL$7)*($AN$7-$AM$7))),$AM$7)</f>
        <v/>
      </c>
      <c r="AN17">
        <f>IFERROR(IF(AW17&lt;($AM$8-$AL$8)/($AN$8-$AL$8),$AL$8+SQRT(AW17*($AN$8-$AL$8)*($AM$8-$AL$8)),$AN$8-SQRT((1-AW17)*($AN$8-$AL$8)*($AN$8-$AM$8))),$AM$8)</f>
        <v/>
      </c>
      <c r="AO17">
        <f>IFERROR(IF(AX17&lt;($AM$9-$AL$9)/($AN$9-$AL$9),$AL$9+SQRT(AX17*($AN$9-$AL$9)*($AM$9-$AL$9)),$AN$9-SQRT((1-AX17)*($AN$9-$AL$9)*($AN$9-$AM$9))),$AM$9)</f>
        <v/>
      </c>
      <c r="AP17">
        <f>IFERROR(IF(AY17&lt;($AM$10-$AL$10)/($AN$10-$AL$10),$AL$10+SQRT(AY17*($AN$10-$AL$10)*($AM$10-$AL$10)),$AN$10-SQRT((1-AY17)*($AN$10-$AL$10)*($AN$10-$AM$10))),$AM$10)</f>
        <v/>
      </c>
      <c r="AQ17">
        <f>IFERROR(IF(AZ17&lt;($AM$11-$AL$11)/($AN$11-$AL$11),$AL$11+SQRT(AZ17*($AN$11-$AL$11)*($AM$11-$AL$11)),$AN$11-SQRT((1-AZ17)*($AN$11-$AL$11)*($AN$11-$AM$11))),$AM$11)</f>
        <v/>
      </c>
      <c r="AR17">
        <f>SUMPRODUCT((B24:B31&lt;=$B$6)*(C24:C31*AM17+D24:D31*AO17*$B$8*AQ17)/(1+AL17/100)^B24:B31)+C32*AM17*AP17/(1+AL17/100)^$B$6</f>
        <v/>
      </c>
      <c r="AS17">
        <f>SUMPRODUCT((K24:K26&lt;=$B$6)*(L24:L26*AN17+M24:M26*AO17*$B$8*AQ17)/(1+AL17/100)^K24:K26)+L27*AN17*AP17/(1+AL17/100)^$B$6</f>
        <v/>
      </c>
      <c r="AT17">
        <f>AS17-AR17</f>
        <v/>
      </c>
      <c r="AU17">
        <f>RAND()</f>
        <v/>
      </c>
      <c r="AV17">
        <f>RAND()</f>
        <v/>
      </c>
      <c r="AW17">
        <f>RAND()</f>
        <v/>
      </c>
      <c r="AX17">
        <f>RAND()</f>
        <v/>
      </c>
      <c r="AY17">
        <f>RAND()</f>
        <v/>
      </c>
      <c r="AZ17">
        <f>RAND()</f>
        <v/>
      </c>
      <c r="BB17" s="18">
        <f>PERCENTILE($AT$14:$AT$1013,0.01)+(PERCENTILE($AT$14:$AT$1013,0.99)-PERCENTILE($AT$14:$AT$1013,0.01))*3/20</f>
        <v/>
      </c>
      <c r="BC17">
        <f>COUNTIF($AT$14:$AT$1013,"&lt;="&amp;BB17)-COUNTIF($AT$14:$AT$1013,"&lt;="&amp;BB16)</f>
        <v/>
      </c>
      <c r="BD17" s="12">
        <f>COUNTIF($AT$14:$AT$1013,"&lt;="&amp;BB17)/COUNT($AT$14:$AT$1013)</f>
        <v/>
      </c>
    </row>
    <row r="18">
      <c r="A18" s="7" t="inlineStr">
        <is>
          <t>PCC salvage basis</t>
        </is>
      </c>
      <c r="B18" s="10" t="inlineStr">
        <is>
          <t>Initial</t>
        </is>
      </c>
      <c r="C18" s="5" t="inlineStr">
        <is>
          <t>Initial or Rehabilitation</t>
        </is>
      </c>
      <c r="AK18" t="n">
        <v>5</v>
      </c>
      <c r="AL18">
        <f>IFERROR(IF(AU18&lt;($AM$6-$AL$6)/($AN$6-$AL$6),$AL$6+SQRT(AU18*($AN$6-$AL$6)*($AM$6-$AL$6)),$AN$6-SQRT((1-AU18)*($AN$6-$AL$6)*($AN$6-$AM$6))),$AM$6)</f>
        <v/>
      </c>
      <c r="AM18">
        <f>IFERROR(IF(AV18&lt;($AM$7-$AL$7)/($AN$7-$AL$7),$AL$7+SQRT(AV18*($AN$7-$AL$7)*($AM$7-$AL$7)),$AN$7-SQRT((1-AV18)*($AN$7-$AL$7)*($AN$7-$AM$7))),$AM$7)</f>
        <v/>
      </c>
      <c r="AN18">
        <f>IFERROR(IF(AW18&lt;($AM$8-$AL$8)/($AN$8-$AL$8),$AL$8+SQRT(AW18*($AN$8-$AL$8)*($AM$8-$AL$8)),$AN$8-SQRT((1-AW18)*($AN$8-$AL$8)*($AN$8-$AM$8))),$AM$8)</f>
        <v/>
      </c>
      <c r="AO18">
        <f>IFERROR(IF(AX18&lt;($AM$9-$AL$9)/($AN$9-$AL$9),$AL$9+SQRT(AX18*($AN$9-$AL$9)*($AM$9-$AL$9)),$AN$9-SQRT((1-AX18)*($AN$9-$AL$9)*($AN$9-$AM$9))),$AM$9)</f>
        <v/>
      </c>
      <c r="AP18">
        <f>IFERROR(IF(AY18&lt;($AM$10-$AL$10)/($AN$10-$AL$10),$AL$10+SQRT(AY18*($AN$10-$AL$10)*($AM$10-$AL$10)),$AN$10-SQRT((1-AY18)*($AN$10-$AL$10)*($AN$10-$AM$10))),$AM$10)</f>
        <v/>
      </c>
      <c r="AQ18">
        <f>IFERROR(IF(AZ18&lt;($AM$11-$AL$11)/($AN$11-$AL$11),$AL$11+SQRT(AZ18*($AN$11-$AL$11)*($AM$11-$AL$11)),$AN$11-SQRT((1-AZ18)*($AN$11-$AL$11)*($AN$11-$AM$11))),$AM$11)</f>
        <v/>
      </c>
      <c r="AR18">
        <f>SUMPRODUCT((B24:B31&lt;=$B$6)*(C24:C31*AM18+D24:D31*AO18*$B$8*AQ18)/(1+AL18/100)^B24:B31)+C32*AM18*AP18/(1+AL18/100)^$B$6</f>
        <v/>
      </c>
      <c r="AS18">
        <f>SUMPRODUCT((K24:K26&lt;=$B$6)*(L24:L26*AN18+M24:M26*AO18*$B$8*AQ18)/(1+AL18/100)^K24:K26)+L27*AN18*AP18/(1+AL18/100)^$B$6</f>
        <v/>
      </c>
      <c r="AT18">
        <f>AS18-AR18</f>
        <v/>
      </c>
      <c r="AU18">
        <f>RAND()</f>
        <v/>
      </c>
      <c r="AV18">
        <f>RAND()</f>
        <v/>
      </c>
      <c r="AW18">
        <f>RAND()</f>
        <v/>
      </c>
      <c r="AX18">
        <f>RAND()</f>
        <v/>
      </c>
      <c r="AY18">
        <f>RAND()</f>
        <v/>
      </c>
      <c r="AZ18">
        <f>RAND()</f>
        <v/>
      </c>
      <c r="BB18" s="18">
        <f>PERCENTILE($AT$14:$AT$1013,0.01)+(PERCENTILE($AT$14:$AT$1013,0.99)-PERCENTILE($AT$14:$AT$1013,0.01))*4/20</f>
        <v/>
      </c>
      <c r="BC18">
        <f>COUNTIF($AT$14:$AT$1013,"&lt;="&amp;BB18)-COUNTIF($AT$14:$AT$1013,"&lt;="&amp;BB17)</f>
        <v/>
      </c>
      <c r="BD18" s="12">
        <f>COUNTIF($AT$14:$AT$1013,"&lt;="&amp;BB18)/COUNT($AT$14:$AT$1013)</f>
        <v/>
      </c>
    </row>
    <row r="19">
      <c r="AK19" t="n">
        <v>6</v>
      </c>
      <c r="AL19">
        <f>IFERROR(IF(AU19&lt;($AM$6-$AL$6)/($AN$6-$AL$6),$AL$6+SQRT(AU19*($AN$6-$AL$6)*($AM$6-$AL$6)),$AN$6-SQRT((1-AU19)*($AN$6-$AL$6)*($AN$6-$AM$6))),$AM$6)</f>
        <v/>
      </c>
      <c r="AM19">
        <f>IFERROR(IF(AV19&lt;($AM$7-$AL$7)/($AN$7-$AL$7),$AL$7+SQRT(AV19*($AN$7-$AL$7)*($AM$7-$AL$7)),$AN$7-SQRT((1-AV19)*($AN$7-$AL$7)*($AN$7-$AM$7))),$AM$7)</f>
        <v/>
      </c>
      <c r="AN19">
        <f>IFERROR(IF(AW19&lt;($AM$8-$AL$8)/($AN$8-$AL$8),$AL$8+SQRT(AW19*($AN$8-$AL$8)*($AM$8-$AL$8)),$AN$8-SQRT((1-AW19)*($AN$8-$AL$8)*($AN$8-$AM$8))),$AM$8)</f>
        <v/>
      </c>
      <c r="AO19">
        <f>IFERROR(IF(AX19&lt;($AM$9-$AL$9)/($AN$9-$AL$9),$AL$9+SQRT(AX19*($AN$9-$AL$9)*($AM$9-$AL$9)),$AN$9-SQRT((1-AX19)*($AN$9-$AL$9)*($AN$9-$AM$9))),$AM$9)</f>
        <v/>
      </c>
      <c r="AP19">
        <f>IFERROR(IF(AY19&lt;($AM$10-$AL$10)/($AN$10-$AL$10),$AL$10+SQRT(AY19*($AN$10-$AL$10)*($AM$10-$AL$10)),$AN$10-SQRT((1-AY19)*($AN$10-$AL$10)*($AN$10-$AM$10))),$AM$10)</f>
        <v/>
      </c>
      <c r="AQ19">
        <f>IFERROR(IF(AZ19&lt;($AM$11-$AL$11)/($AN$11-$AL$11),$AL$11+SQRT(AZ19*($AN$11-$AL$11)*($AM$11-$AL$11)),$AN$11-SQRT((1-AZ19)*($AN$11-$AL$11)*($AN$11-$AM$11))),$AM$11)</f>
        <v/>
      </c>
      <c r="AR19">
        <f>SUMPRODUCT((B24:B31&lt;=$B$6)*(C24:C31*AM19+D24:D31*AO19*$B$8*AQ19)/(1+AL19/100)^B24:B31)+C32*AM19*AP19/(1+AL19/100)^$B$6</f>
        <v/>
      </c>
      <c r="AS19">
        <f>SUMPRODUCT((K24:K26&lt;=$B$6)*(L24:L26*AN19+M24:M26*AO19*$B$8*AQ19)/(1+AL19/100)^K24:K26)+L27*AN19*AP19/(1+AL19/100)^$B$6</f>
        <v/>
      </c>
      <c r="AT19">
        <f>AS19-AR19</f>
        <v/>
      </c>
      <c r="AU19">
        <f>RAND()</f>
        <v/>
      </c>
      <c r="AV19">
        <f>RAND()</f>
        <v/>
      </c>
      <c r="AW19">
        <f>RAND()</f>
        <v/>
      </c>
      <c r="AX19">
        <f>RAND()</f>
        <v/>
      </c>
      <c r="AY19">
        <f>RAND()</f>
        <v/>
      </c>
      <c r="AZ19">
        <f>RAND()</f>
        <v/>
      </c>
      <c r="BB19" s="18">
        <f>PERCENTILE($AT$14:$AT$1013,0.01)+(PERCENTILE($AT$14:$AT$1013,0.99)-PERCENTILE($AT$14:$AT$1013,0.01))*5/20</f>
        <v/>
      </c>
      <c r="BC19">
        <f>COUNTIF($AT$14:$AT$1013,"&lt;="&amp;BB19)-COUNTIF($AT$14:$AT$1013,"&lt;="&amp;BB18)</f>
        <v/>
      </c>
      <c r="BD19" s="12">
        <f>COUNTIF($AT$14:$AT$1013,"&lt;="&amp;BB19)/COUNT($AT$14:$AT$1013)</f>
        <v/>
      </c>
    </row>
    <row r="20">
      <c r="A20" s="5" t="inlineStr">
        <is>
          <t>ACTIVITY TABLES: type the base direct cost and closure days for each policy activity (yellow). Years follow the TDOT Maintenance Policies. Copy them from the framework workbook alternative sheets (column D of the NPW table and cells F4:F10).</t>
        </is>
      </c>
      <c r="AK20" t="n">
        <v>7</v>
      </c>
      <c r="AL20">
        <f>IFERROR(IF(AU20&lt;($AM$6-$AL$6)/($AN$6-$AL$6),$AL$6+SQRT(AU20*($AN$6-$AL$6)*($AM$6-$AL$6)),$AN$6-SQRT((1-AU20)*($AN$6-$AL$6)*($AN$6-$AM$6))),$AM$6)</f>
        <v/>
      </c>
      <c r="AM20">
        <f>IFERROR(IF(AV20&lt;($AM$7-$AL$7)/($AN$7-$AL$7),$AL$7+SQRT(AV20*($AN$7-$AL$7)*($AM$7-$AL$7)),$AN$7-SQRT((1-AV20)*($AN$7-$AL$7)*($AN$7-$AM$7))),$AM$7)</f>
        <v/>
      </c>
      <c r="AN20">
        <f>IFERROR(IF(AW20&lt;($AM$8-$AL$8)/($AN$8-$AL$8),$AL$8+SQRT(AW20*($AN$8-$AL$8)*($AM$8-$AL$8)),$AN$8-SQRT((1-AW20)*($AN$8-$AL$8)*($AN$8-$AM$8))),$AM$8)</f>
        <v/>
      </c>
      <c r="AO20">
        <f>IFERROR(IF(AX20&lt;($AM$9-$AL$9)/($AN$9-$AL$9),$AL$9+SQRT(AX20*($AN$9-$AL$9)*($AM$9-$AL$9)),$AN$9-SQRT((1-AX20)*($AN$9-$AL$9)*($AN$9-$AM$9))),$AM$9)</f>
        <v/>
      </c>
      <c r="AP20">
        <f>IFERROR(IF(AY20&lt;($AM$10-$AL$10)/($AN$10-$AL$10),$AL$10+SQRT(AY20*($AN$10-$AL$10)*($AM$10-$AL$10)),$AN$10-SQRT((1-AY20)*($AN$10-$AL$10)*($AN$10-$AM$10))),$AM$10)</f>
        <v/>
      </c>
      <c r="AQ20">
        <f>IFERROR(IF(AZ20&lt;($AM$11-$AL$11)/($AN$11-$AL$11),$AL$11+SQRT(AZ20*($AN$11-$AL$11)*($AM$11-$AL$11)),$AN$11-SQRT((1-AZ20)*($AN$11-$AL$11)*($AN$11-$AM$11))),$AM$11)</f>
        <v/>
      </c>
      <c r="AR20">
        <f>SUMPRODUCT((B24:B31&lt;=$B$6)*(C24:C31*AM20+D24:D31*AO20*$B$8*AQ20)/(1+AL20/100)^B24:B31)+C32*AM20*AP20/(1+AL20/100)^$B$6</f>
        <v/>
      </c>
      <c r="AS20">
        <f>SUMPRODUCT((K24:K26&lt;=$B$6)*(L24:L26*AN20+M24:M26*AO20*$B$8*AQ20)/(1+AL20/100)^K24:K26)+L27*AN20*AP20/(1+AL20/100)^$B$6</f>
        <v/>
      </c>
      <c r="AT20">
        <f>AS20-AR20</f>
        <v/>
      </c>
      <c r="AU20">
        <f>RAND()</f>
        <v/>
      </c>
      <c r="AV20">
        <f>RAND()</f>
        <v/>
      </c>
      <c r="AW20">
        <f>RAND()</f>
        <v/>
      </c>
      <c r="AX20">
        <f>RAND()</f>
        <v/>
      </c>
      <c r="AY20">
        <f>RAND()</f>
        <v/>
      </c>
      <c r="AZ20">
        <f>RAND()</f>
        <v/>
      </c>
      <c r="BB20" s="18">
        <f>PERCENTILE($AT$14:$AT$1013,0.01)+(PERCENTILE($AT$14:$AT$1013,0.99)-PERCENTILE($AT$14:$AT$1013,0.01))*6/20</f>
        <v/>
      </c>
      <c r="BC20">
        <f>COUNTIF($AT$14:$AT$1013,"&lt;="&amp;BB20)-COUNTIF($AT$14:$AT$1013,"&lt;="&amp;BB19)</f>
        <v/>
      </c>
      <c r="BD20" s="12">
        <f>COUNTIF($AT$14:$AT$1013,"&lt;="&amp;BB20)/COUNT($AT$14:$AT$1013)</f>
        <v/>
      </c>
    </row>
    <row r="21">
      <c r="AK21" t="n">
        <v>8</v>
      </c>
      <c r="AL21">
        <f>IFERROR(IF(AU21&lt;($AM$6-$AL$6)/($AN$6-$AL$6),$AL$6+SQRT(AU21*($AN$6-$AL$6)*($AM$6-$AL$6)),$AN$6-SQRT((1-AU21)*($AN$6-$AL$6)*($AN$6-$AM$6))),$AM$6)</f>
        <v/>
      </c>
      <c r="AM21">
        <f>IFERROR(IF(AV21&lt;($AM$7-$AL$7)/($AN$7-$AL$7),$AL$7+SQRT(AV21*($AN$7-$AL$7)*($AM$7-$AL$7)),$AN$7-SQRT((1-AV21)*($AN$7-$AL$7)*($AN$7-$AM$7))),$AM$7)</f>
        <v/>
      </c>
      <c r="AN21">
        <f>IFERROR(IF(AW21&lt;($AM$8-$AL$8)/($AN$8-$AL$8),$AL$8+SQRT(AW21*($AN$8-$AL$8)*($AM$8-$AL$8)),$AN$8-SQRT((1-AW21)*($AN$8-$AL$8)*($AN$8-$AM$8))),$AM$8)</f>
        <v/>
      </c>
      <c r="AO21">
        <f>IFERROR(IF(AX21&lt;($AM$9-$AL$9)/($AN$9-$AL$9),$AL$9+SQRT(AX21*($AN$9-$AL$9)*($AM$9-$AL$9)),$AN$9-SQRT((1-AX21)*($AN$9-$AL$9)*($AN$9-$AM$9))),$AM$9)</f>
        <v/>
      </c>
      <c r="AP21">
        <f>IFERROR(IF(AY21&lt;($AM$10-$AL$10)/($AN$10-$AL$10),$AL$10+SQRT(AY21*($AN$10-$AL$10)*($AM$10-$AL$10)),$AN$10-SQRT((1-AY21)*($AN$10-$AL$10)*($AN$10-$AM$10))),$AM$10)</f>
        <v/>
      </c>
      <c r="AQ21">
        <f>IFERROR(IF(AZ21&lt;($AM$11-$AL$11)/($AN$11-$AL$11),$AL$11+SQRT(AZ21*($AN$11-$AL$11)*($AM$11-$AL$11)),$AN$11-SQRT((1-AZ21)*($AN$11-$AL$11)*($AN$11-$AM$11))),$AM$11)</f>
        <v/>
      </c>
      <c r="AR21">
        <f>SUMPRODUCT((B24:B31&lt;=$B$6)*(C24:C31*AM21+D24:D31*AO21*$B$8*AQ21)/(1+AL21/100)^B24:B31)+C32*AM21*AP21/(1+AL21/100)^$B$6</f>
        <v/>
      </c>
      <c r="AS21">
        <f>SUMPRODUCT((K24:K26&lt;=$B$6)*(L24:L26*AN21+M24:M26*AO21*$B$8*AQ21)/(1+AL21/100)^K24:K26)+L27*AN21*AP21/(1+AL21/100)^$B$6</f>
        <v/>
      </c>
      <c r="AT21">
        <f>AS21-AR21</f>
        <v/>
      </c>
      <c r="AU21">
        <f>RAND()</f>
        <v/>
      </c>
      <c r="AV21">
        <f>RAND()</f>
        <v/>
      </c>
      <c r="AW21">
        <f>RAND()</f>
        <v/>
      </c>
      <c r="AX21">
        <f>RAND()</f>
        <v/>
      </c>
      <c r="AY21">
        <f>RAND()</f>
        <v/>
      </c>
      <c r="AZ21">
        <f>RAND()</f>
        <v/>
      </c>
      <c r="BB21" s="18">
        <f>PERCENTILE($AT$14:$AT$1013,0.01)+(PERCENTILE($AT$14:$AT$1013,0.99)-PERCENTILE($AT$14:$AT$1013,0.01))*7/20</f>
        <v/>
      </c>
      <c r="BC21">
        <f>COUNTIF($AT$14:$AT$1013,"&lt;="&amp;BB21)-COUNTIF($AT$14:$AT$1013,"&lt;="&amp;BB20)</f>
        <v/>
      </c>
      <c r="BD21" s="12">
        <f>COUNTIF($AT$14:$AT$1013,"&lt;="&amp;BB21)/COUNT($AT$14:$AT$1013)</f>
        <v/>
      </c>
    </row>
    <row r="22">
      <c r="A22" s="9" t="inlineStr">
        <is>
          <t>Alt 1 - New HMA  (5" P-401 on 16" P-209)</t>
        </is>
      </c>
      <c r="J22" s="9" t="inlineStr">
        <is>
          <t>Alt 2 - New PCC  (8" P-501 on 6" P-209)</t>
        </is>
      </c>
      <c r="AK22" t="n">
        <v>9</v>
      </c>
      <c r="AL22">
        <f>IFERROR(IF(AU22&lt;($AM$6-$AL$6)/($AN$6-$AL$6),$AL$6+SQRT(AU22*($AN$6-$AL$6)*($AM$6-$AL$6)),$AN$6-SQRT((1-AU22)*($AN$6-$AL$6)*($AN$6-$AM$6))),$AM$6)</f>
        <v/>
      </c>
      <c r="AM22">
        <f>IFERROR(IF(AV22&lt;($AM$7-$AL$7)/($AN$7-$AL$7),$AL$7+SQRT(AV22*($AN$7-$AL$7)*($AM$7-$AL$7)),$AN$7-SQRT((1-AV22)*($AN$7-$AL$7)*($AN$7-$AM$7))),$AM$7)</f>
        <v/>
      </c>
      <c r="AN22">
        <f>IFERROR(IF(AW22&lt;($AM$8-$AL$8)/($AN$8-$AL$8),$AL$8+SQRT(AW22*($AN$8-$AL$8)*($AM$8-$AL$8)),$AN$8-SQRT((1-AW22)*($AN$8-$AL$8)*($AN$8-$AM$8))),$AM$8)</f>
        <v/>
      </c>
      <c r="AO22">
        <f>IFERROR(IF(AX22&lt;($AM$9-$AL$9)/($AN$9-$AL$9),$AL$9+SQRT(AX22*($AN$9-$AL$9)*($AM$9-$AL$9)),$AN$9-SQRT((1-AX22)*($AN$9-$AL$9)*($AN$9-$AM$9))),$AM$9)</f>
        <v/>
      </c>
      <c r="AP22">
        <f>IFERROR(IF(AY22&lt;($AM$10-$AL$10)/($AN$10-$AL$10),$AL$10+SQRT(AY22*($AN$10-$AL$10)*($AM$10-$AL$10)),$AN$10-SQRT((1-AY22)*($AN$10-$AL$10)*($AN$10-$AM$10))),$AM$10)</f>
        <v/>
      </c>
      <c r="AQ22">
        <f>IFERROR(IF(AZ22&lt;($AM$11-$AL$11)/($AN$11-$AL$11),$AL$11+SQRT(AZ22*($AN$11-$AL$11)*($AM$11-$AL$11)),$AN$11-SQRT((1-AZ22)*($AN$11-$AL$11)*($AN$11-$AM$11))),$AM$11)</f>
        <v/>
      </c>
      <c r="AR22">
        <f>SUMPRODUCT((B24:B31&lt;=$B$6)*(C24:C31*AM22+D24:D31*AO22*$B$8*AQ22)/(1+AL22/100)^B24:B31)+C32*AM22*AP22/(1+AL22/100)^$B$6</f>
        <v/>
      </c>
      <c r="AS22">
        <f>SUMPRODUCT((K24:K26&lt;=$B$6)*(L24:L26*AN22+M24:M26*AO22*$B$8*AQ22)/(1+AL22/100)^K24:K26)+L27*AN22*AP22/(1+AL22/100)^$B$6</f>
        <v/>
      </c>
      <c r="AT22">
        <f>AS22-AR22</f>
        <v/>
      </c>
      <c r="AU22">
        <f>RAND()</f>
        <v/>
      </c>
      <c r="AV22">
        <f>RAND()</f>
        <v/>
      </c>
      <c r="AW22">
        <f>RAND()</f>
        <v/>
      </c>
      <c r="AX22">
        <f>RAND()</f>
        <v/>
      </c>
      <c r="AY22">
        <f>RAND()</f>
        <v/>
      </c>
      <c r="AZ22">
        <f>RAND()</f>
        <v/>
      </c>
      <c r="BB22" s="18">
        <f>PERCENTILE($AT$14:$AT$1013,0.01)+(PERCENTILE($AT$14:$AT$1013,0.99)-PERCENTILE($AT$14:$AT$1013,0.01))*8/20</f>
        <v/>
      </c>
      <c r="BC22">
        <f>COUNTIF($AT$14:$AT$1013,"&lt;="&amp;BB22)-COUNTIF($AT$14:$AT$1013,"&lt;="&amp;BB21)</f>
        <v/>
      </c>
      <c r="BD22" s="12">
        <f>COUNTIF($AT$14:$AT$1013,"&lt;="&amp;BB22)/COUNT($AT$14:$AT$1013)</f>
        <v/>
      </c>
    </row>
    <row r="23">
      <c r="A23" s="19" t="inlineStr">
        <is>
          <t>Activity</t>
        </is>
      </c>
      <c r="B23" s="19" t="inlineStr">
        <is>
          <t>Year</t>
        </is>
      </c>
      <c r="C23" s="19" t="inlineStr">
        <is>
          <t>Direct cost (base $)</t>
        </is>
      </c>
      <c r="D23" s="19" t="inlineStr">
        <is>
          <t>Closure days (base)</t>
        </is>
      </c>
      <c r="E23" s="19" t="inlineStr">
        <is>
          <t>Direct cost (scenario)</t>
        </is>
      </c>
      <c r="F23" s="19" t="inlineStr">
        <is>
          <t>Lost revenue (scenario)</t>
        </is>
      </c>
      <c r="G23" s="19" t="inlineStr">
        <is>
          <t>Present worth</t>
        </is>
      </c>
      <c r="J23" s="20" t="inlineStr">
        <is>
          <t>Activity</t>
        </is>
      </c>
      <c r="K23" s="20" t="inlineStr">
        <is>
          <t>Year</t>
        </is>
      </c>
      <c r="L23" s="20" t="inlineStr">
        <is>
          <t>Direct cost (base $)</t>
        </is>
      </c>
      <c r="M23" s="20" t="inlineStr">
        <is>
          <t>Closure days (base)</t>
        </is>
      </c>
      <c r="N23" s="20" t="inlineStr">
        <is>
          <t>Direct cost (scenario)</t>
        </is>
      </c>
      <c r="O23" s="20" t="inlineStr">
        <is>
          <t>Lost revenue (scenario)</t>
        </is>
      </c>
      <c r="P23" s="20" t="inlineStr">
        <is>
          <t>Present worth</t>
        </is>
      </c>
      <c r="AK23" t="n">
        <v>10</v>
      </c>
      <c r="AL23">
        <f>IFERROR(IF(AU23&lt;($AM$6-$AL$6)/($AN$6-$AL$6),$AL$6+SQRT(AU23*($AN$6-$AL$6)*($AM$6-$AL$6)),$AN$6-SQRT((1-AU23)*($AN$6-$AL$6)*($AN$6-$AM$6))),$AM$6)</f>
        <v/>
      </c>
      <c r="AM23">
        <f>IFERROR(IF(AV23&lt;($AM$7-$AL$7)/($AN$7-$AL$7),$AL$7+SQRT(AV23*($AN$7-$AL$7)*($AM$7-$AL$7)),$AN$7-SQRT((1-AV23)*($AN$7-$AL$7)*($AN$7-$AM$7))),$AM$7)</f>
        <v/>
      </c>
      <c r="AN23">
        <f>IFERROR(IF(AW23&lt;($AM$8-$AL$8)/($AN$8-$AL$8),$AL$8+SQRT(AW23*($AN$8-$AL$8)*($AM$8-$AL$8)),$AN$8-SQRT((1-AW23)*($AN$8-$AL$8)*($AN$8-$AM$8))),$AM$8)</f>
        <v/>
      </c>
      <c r="AO23">
        <f>IFERROR(IF(AX23&lt;($AM$9-$AL$9)/($AN$9-$AL$9),$AL$9+SQRT(AX23*($AN$9-$AL$9)*($AM$9-$AL$9)),$AN$9-SQRT((1-AX23)*($AN$9-$AL$9)*($AN$9-$AM$9))),$AM$9)</f>
        <v/>
      </c>
      <c r="AP23">
        <f>IFERROR(IF(AY23&lt;($AM$10-$AL$10)/($AN$10-$AL$10),$AL$10+SQRT(AY23*($AN$10-$AL$10)*($AM$10-$AL$10)),$AN$10-SQRT((1-AY23)*($AN$10-$AL$10)*($AN$10-$AM$10))),$AM$10)</f>
        <v/>
      </c>
      <c r="AQ23">
        <f>IFERROR(IF(AZ23&lt;($AM$11-$AL$11)/($AN$11-$AL$11),$AL$11+SQRT(AZ23*($AN$11-$AL$11)*($AM$11-$AL$11)),$AN$11-SQRT((1-AZ23)*($AN$11-$AL$11)*($AN$11-$AM$11))),$AM$11)</f>
        <v/>
      </c>
      <c r="AR23">
        <f>SUMPRODUCT((B24:B31&lt;=$B$6)*(C24:C31*AM23+D24:D31*AO23*$B$8*AQ23)/(1+AL23/100)^B24:B31)+C32*AM23*AP23/(1+AL23/100)^$B$6</f>
        <v/>
      </c>
      <c r="AS23">
        <f>SUMPRODUCT((K24:K26&lt;=$B$6)*(L24:L26*AN23+M24:M26*AO23*$B$8*AQ23)/(1+AL23/100)^K24:K26)+L27*AN23*AP23/(1+AL23/100)^$B$6</f>
        <v/>
      </c>
      <c r="AT23">
        <f>AS23-AR23</f>
        <v/>
      </c>
      <c r="AU23">
        <f>RAND()</f>
        <v/>
      </c>
      <c r="AV23">
        <f>RAND()</f>
        <v/>
      </c>
      <c r="AW23">
        <f>RAND()</f>
        <v/>
      </c>
      <c r="AX23">
        <f>RAND()</f>
        <v/>
      </c>
      <c r="AY23">
        <f>RAND()</f>
        <v/>
      </c>
      <c r="AZ23">
        <f>RAND()</f>
        <v/>
      </c>
      <c r="BB23" s="18">
        <f>PERCENTILE($AT$14:$AT$1013,0.01)+(PERCENTILE($AT$14:$AT$1013,0.99)-PERCENTILE($AT$14:$AT$1013,0.01))*9/20</f>
        <v/>
      </c>
      <c r="BC23">
        <f>COUNTIF($AT$14:$AT$1013,"&lt;="&amp;BB23)-COUNTIF($AT$14:$AT$1013,"&lt;="&amp;BB22)</f>
        <v/>
      </c>
      <c r="BD23" s="12">
        <f>COUNTIF($AT$14:$AT$1013,"&lt;="&amp;BB23)/COUNT($AT$14:$AT$1013)</f>
        <v/>
      </c>
    </row>
    <row r="24">
      <c r="A24" s="7" t="inlineStr">
        <is>
          <t>Initial construction</t>
        </is>
      </c>
      <c r="B24" s="7" t="n">
        <v>0</v>
      </c>
      <c r="C24" s="21" t="n">
        <v>5306576.53</v>
      </c>
      <c r="D24" s="10" t="n">
        <v>0</v>
      </c>
      <c r="E24" s="14">
        <f>C24*$B$11</f>
        <v/>
      </c>
      <c r="F24" s="14">
        <f>D24*$B$10*$B$8*$B$9</f>
        <v/>
      </c>
      <c r="G24" s="14">
        <f>IF(B24&gt;$B$6,0,(E24+F24)/(1+$B$5/100)^B24)</f>
        <v/>
      </c>
      <c r="J24" s="7" t="inlineStr">
        <is>
          <t>Initial construction</t>
        </is>
      </c>
      <c r="K24" s="7" t="n">
        <v>0</v>
      </c>
      <c r="L24" s="21" t="n">
        <v>8410244.970000001</v>
      </c>
      <c r="M24" s="10" t="n">
        <v>0</v>
      </c>
      <c r="N24" s="14">
        <f>L24*$B$12</f>
        <v/>
      </c>
      <c r="O24" s="14">
        <f>M24*$B$10*$B$8*$B$9</f>
        <v/>
      </c>
      <c r="P24" s="14">
        <f>IF(K24&gt;$B$6,0,(N24+O24)/(1+$B$5/100)^K24)</f>
        <v/>
      </c>
      <c r="AK24" t="n">
        <v>11</v>
      </c>
      <c r="AL24">
        <f>IFERROR(IF(AU24&lt;($AM$6-$AL$6)/($AN$6-$AL$6),$AL$6+SQRT(AU24*($AN$6-$AL$6)*($AM$6-$AL$6)),$AN$6-SQRT((1-AU24)*($AN$6-$AL$6)*($AN$6-$AM$6))),$AM$6)</f>
        <v/>
      </c>
      <c r="AM24">
        <f>IFERROR(IF(AV24&lt;($AM$7-$AL$7)/($AN$7-$AL$7),$AL$7+SQRT(AV24*($AN$7-$AL$7)*($AM$7-$AL$7)),$AN$7-SQRT((1-AV24)*($AN$7-$AL$7)*($AN$7-$AM$7))),$AM$7)</f>
        <v/>
      </c>
      <c r="AN24">
        <f>IFERROR(IF(AW24&lt;($AM$8-$AL$8)/($AN$8-$AL$8),$AL$8+SQRT(AW24*($AN$8-$AL$8)*($AM$8-$AL$8)),$AN$8-SQRT((1-AW24)*($AN$8-$AL$8)*($AN$8-$AM$8))),$AM$8)</f>
        <v/>
      </c>
      <c r="AO24">
        <f>IFERROR(IF(AX24&lt;($AM$9-$AL$9)/($AN$9-$AL$9),$AL$9+SQRT(AX24*($AN$9-$AL$9)*($AM$9-$AL$9)),$AN$9-SQRT((1-AX24)*($AN$9-$AL$9)*($AN$9-$AM$9))),$AM$9)</f>
        <v/>
      </c>
      <c r="AP24">
        <f>IFERROR(IF(AY24&lt;($AM$10-$AL$10)/($AN$10-$AL$10),$AL$10+SQRT(AY24*($AN$10-$AL$10)*($AM$10-$AL$10)),$AN$10-SQRT((1-AY24)*($AN$10-$AL$10)*($AN$10-$AM$10))),$AM$10)</f>
        <v/>
      </c>
      <c r="AQ24">
        <f>IFERROR(IF(AZ24&lt;($AM$11-$AL$11)/($AN$11-$AL$11),$AL$11+SQRT(AZ24*($AN$11-$AL$11)*($AM$11-$AL$11)),$AN$11-SQRT((1-AZ24)*($AN$11-$AL$11)*($AN$11-$AM$11))),$AM$11)</f>
        <v/>
      </c>
      <c r="AR24">
        <f>SUMPRODUCT((B24:B31&lt;=$B$6)*(C24:C31*AM24+D24:D31*AO24*$B$8*AQ24)/(1+AL24/100)^B24:B31)+C32*AM24*AP24/(1+AL24/100)^$B$6</f>
        <v/>
      </c>
      <c r="AS24">
        <f>SUMPRODUCT((K24:K26&lt;=$B$6)*(L24:L26*AN24+M24:M26*AO24*$B$8*AQ24)/(1+AL24/100)^K24:K26)+L27*AN24*AP24/(1+AL24/100)^$B$6</f>
        <v/>
      </c>
      <c r="AT24">
        <f>AS24-AR24</f>
        <v/>
      </c>
      <c r="AU24">
        <f>RAND()</f>
        <v/>
      </c>
      <c r="AV24">
        <f>RAND()</f>
        <v/>
      </c>
      <c r="AW24">
        <f>RAND()</f>
        <v/>
      </c>
      <c r="AX24">
        <f>RAND()</f>
        <v/>
      </c>
      <c r="AY24">
        <f>RAND()</f>
        <v/>
      </c>
      <c r="AZ24">
        <f>RAND()</f>
        <v/>
      </c>
      <c r="BB24" s="18">
        <f>PERCENTILE($AT$14:$AT$1013,0.01)+(PERCENTILE($AT$14:$AT$1013,0.99)-PERCENTILE($AT$14:$AT$1013,0.01))*10/20</f>
        <v/>
      </c>
      <c r="BC24">
        <f>COUNTIF($AT$14:$AT$1013,"&lt;="&amp;BB24)-COUNTIF($AT$14:$AT$1013,"&lt;="&amp;BB23)</f>
        <v/>
      </c>
      <c r="BD24" s="12">
        <f>COUNTIF($AT$14:$AT$1013,"&lt;="&amp;BB24)/COUNT($AT$14:$AT$1013)</f>
        <v/>
      </c>
    </row>
    <row r="25">
      <c r="A25" s="7" t="inlineStr">
        <is>
          <t>Maintenance 1</t>
        </is>
      </c>
      <c r="B25" s="7" t="n">
        <v>4</v>
      </c>
      <c r="C25" s="21" t="n">
        <v>482829.92</v>
      </c>
      <c r="D25" s="10" t="n">
        <v>6</v>
      </c>
      <c r="E25" s="14">
        <f>C25*$B$11</f>
        <v/>
      </c>
      <c r="F25" s="14">
        <f>D25*$B$10*$B$8*$B$9</f>
        <v/>
      </c>
      <c r="G25" s="14">
        <f>IF(B25&gt;$B$6,0,(E25+F25)/(1+$B$5/100)^B25)</f>
        <v/>
      </c>
      <c r="J25" s="7" t="inlineStr">
        <is>
          <t>Maintenance 1</t>
        </is>
      </c>
      <c r="K25" s="7" t="n">
        <v>19</v>
      </c>
      <c r="L25" s="21" t="n">
        <v>306563.68</v>
      </c>
      <c r="M25" s="10" t="n">
        <v>9</v>
      </c>
      <c r="N25" s="14">
        <f>L25*$B$12</f>
        <v/>
      </c>
      <c r="O25" s="14">
        <f>M25*$B$10*$B$8*$B$9</f>
        <v/>
      </c>
      <c r="P25" s="14">
        <f>IF(K25&gt;$B$6,0,(N25+O25)/(1+$B$5/100)^K25)</f>
        <v/>
      </c>
      <c r="AK25" t="n">
        <v>12</v>
      </c>
      <c r="AL25">
        <f>IFERROR(IF(AU25&lt;($AM$6-$AL$6)/($AN$6-$AL$6),$AL$6+SQRT(AU25*($AN$6-$AL$6)*($AM$6-$AL$6)),$AN$6-SQRT((1-AU25)*($AN$6-$AL$6)*($AN$6-$AM$6))),$AM$6)</f>
        <v/>
      </c>
      <c r="AM25">
        <f>IFERROR(IF(AV25&lt;($AM$7-$AL$7)/($AN$7-$AL$7),$AL$7+SQRT(AV25*($AN$7-$AL$7)*($AM$7-$AL$7)),$AN$7-SQRT((1-AV25)*($AN$7-$AL$7)*($AN$7-$AM$7))),$AM$7)</f>
        <v/>
      </c>
      <c r="AN25">
        <f>IFERROR(IF(AW25&lt;($AM$8-$AL$8)/($AN$8-$AL$8),$AL$8+SQRT(AW25*($AN$8-$AL$8)*($AM$8-$AL$8)),$AN$8-SQRT((1-AW25)*($AN$8-$AL$8)*($AN$8-$AM$8))),$AM$8)</f>
        <v/>
      </c>
      <c r="AO25">
        <f>IFERROR(IF(AX25&lt;($AM$9-$AL$9)/($AN$9-$AL$9),$AL$9+SQRT(AX25*($AN$9-$AL$9)*($AM$9-$AL$9)),$AN$9-SQRT((1-AX25)*($AN$9-$AL$9)*($AN$9-$AM$9))),$AM$9)</f>
        <v/>
      </c>
      <c r="AP25">
        <f>IFERROR(IF(AY25&lt;($AM$10-$AL$10)/($AN$10-$AL$10),$AL$10+SQRT(AY25*($AN$10-$AL$10)*($AM$10-$AL$10)),$AN$10-SQRT((1-AY25)*($AN$10-$AL$10)*($AN$10-$AM$10))),$AM$10)</f>
        <v/>
      </c>
      <c r="AQ25">
        <f>IFERROR(IF(AZ25&lt;($AM$11-$AL$11)/($AN$11-$AL$11),$AL$11+SQRT(AZ25*($AN$11-$AL$11)*($AM$11-$AL$11)),$AN$11-SQRT((1-AZ25)*($AN$11-$AL$11)*($AN$11-$AM$11))),$AM$11)</f>
        <v/>
      </c>
      <c r="AR25">
        <f>SUMPRODUCT((B24:B31&lt;=$B$6)*(C24:C31*AM25+D24:D31*AO25*$B$8*AQ25)/(1+AL25/100)^B24:B31)+C32*AM25*AP25/(1+AL25/100)^$B$6</f>
        <v/>
      </c>
      <c r="AS25">
        <f>SUMPRODUCT((K24:K26&lt;=$B$6)*(L24:L26*AN25+M24:M26*AO25*$B$8*AQ25)/(1+AL25/100)^K24:K26)+L27*AN25*AP25/(1+AL25/100)^$B$6</f>
        <v/>
      </c>
      <c r="AT25">
        <f>AS25-AR25</f>
        <v/>
      </c>
      <c r="AU25">
        <f>RAND()</f>
        <v/>
      </c>
      <c r="AV25">
        <f>RAND()</f>
        <v/>
      </c>
      <c r="AW25">
        <f>RAND()</f>
        <v/>
      </c>
      <c r="AX25">
        <f>RAND()</f>
        <v/>
      </c>
      <c r="AY25">
        <f>RAND()</f>
        <v/>
      </c>
      <c r="AZ25">
        <f>RAND()</f>
        <v/>
      </c>
      <c r="BB25" s="18">
        <f>PERCENTILE($AT$14:$AT$1013,0.01)+(PERCENTILE($AT$14:$AT$1013,0.99)-PERCENTILE($AT$14:$AT$1013,0.01))*11/20</f>
        <v/>
      </c>
      <c r="BC25">
        <f>COUNTIF($AT$14:$AT$1013,"&lt;="&amp;BB25)-COUNTIF($AT$14:$AT$1013,"&lt;="&amp;BB24)</f>
        <v/>
      </c>
      <c r="BD25" s="12">
        <f>COUNTIF($AT$14:$AT$1013,"&lt;="&amp;BB25)/COUNT($AT$14:$AT$1013)</f>
        <v/>
      </c>
    </row>
    <row r="26">
      <c r="A26" s="7" t="inlineStr">
        <is>
          <t>Maintenance 2</t>
        </is>
      </c>
      <c r="B26" s="7" t="n">
        <v>8</v>
      </c>
      <c r="C26" s="21" t="n">
        <v>482829.92</v>
      </c>
      <c r="D26" s="10" t="n">
        <v>6</v>
      </c>
      <c r="E26" s="14">
        <f>C26*$B$11</f>
        <v/>
      </c>
      <c r="F26" s="14">
        <f>D26*$B$10*$B$8*$B$9</f>
        <v/>
      </c>
      <c r="G26" s="14">
        <f>IF(B26&gt;$B$6,0,(E26+F26)/(1+$B$5/100)^B26)</f>
        <v/>
      </c>
      <c r="J26" s="7" t="inlineStr">
        <is>
          <t>Rehabilitation 1</t>
        </is>
      </c>
      <c r="K26" s="7" t="n">
        <v>27</v>
      </c>
      <c r="L26" s="21" t="n">
        <v>428405.86</v>
      </c>
      <c r="M26" s="10" t="n">
        <v>18</v>
      </c>
      <c r="N26" s="14">
        <f>L26*$B$12</f>
        <v/>
      </c>
      <c r="O26" s="14">
        <f>M26*$B$10*$B$8*$B$9</f>
        <v/>
      </c>
      <c r="P26" s="14">
        <f>IF(K26&gt;$B$6,0,(N26+O26)/(1+$B$5/100)^K26)</f>
        <v/>
      </c>
      <c r="AK26" t="n">
        <v>13</v>
      </c>
      <c r="AL26">
        <f>IFERROR(IF(AU26&lt;($AM$6-$AL$6)/($AN$6-$AL$6),$AL$6+SQRT(AU26*($AN$6-$AL$6)*($AM$6-$AL$6)),$AN$6-SQRT((1-AU26)*($AN$6-$AL$6)*($AN$6-$AM$6))),$AM$6)</f>
        <v/>
      </c>
      <c r="AM26">
        <f>IFERROR(IF(AV26&lt;($AM$7-$AL$7)/($AN$7-$AL$7),$AL$7+SQRT(AV26*($AN$7-$AL$7)*($AM$7-$AL$7)),$AN$7-SQRT((1-AV26)*($AN$7-$AL$7)*($AN$7-$AM$7))),$AM$7)</f>
        <v/>
      </c>
      <c r="AN26">
        <f>IFERROR(IF(AW26&lt;($AM$8-$AL$8)/($AN$8-$AL$8),$AL$8+SQRT(AW26*($AN$8-$AL$8)*($AM$8-$AL$8)),$AN$8-SQRT((1-AW26)*($AN$8-$AL$8)*($AN$8-$AM$8))),$AM$8)</f>
        <v/>
      </c>
      <c r="AO26">
        <f>IFERROR(IF(AX26&lt;($AM$9-$AL$9)/($AN$9-$AL$9),$AL$9+SQRT(AX26*($AN$9-$AL$9)*($AM$9-$AL$9)),$AN$9-SQRT((1-AX26)*($AN$9-$AL$9)*($AN$9-$AM$9))),$AM$9)</f>
        <v/>
      </c>
      <c r="AP26">
        <f>IFERROR(IF(AY26&lt;($AM$10-$AL$10)/($AN$10-$AL$10),$AL$10+SQRT(AY26*($AN$10-$AL$10)*($AM$10-$AL$10)),$AN$10-SQRT((1-AY26)*($AN$10-$AL$10)*($AN$10-$AM$10))),$AM$10)</f>
        <v/>
      </c>
      <c r="AQ26">
        <f>IFERROR(IF(AZ26&lt;($AM$11-$AL$11)/($AN$11-$AL$11),$AL$11+SQRT(AZ26*($AN$11-$AL$11)*($AM$11-$AL$11)),$AN$11-SQRT((1-AZ26)*($AN$11-$AL$11)*($AN$11-$AM$11))),$AM$11)</f>
        <v/>
      </c>
      <c r="AR26">
        <f>SUMPRODUCT((B24:B31&lt;=$B$6)*(C24:C31*AM26+D24:D31*AO26*$B$8*AQ26)/(1+AL26/100)^B24:B31)+C32*AM26*AP26/(1+AL26/100)^$B$6</f>
        <v/>
      </c>
      <c r="AS26">
        <f>SUMPRODUCT((K24:K26&lt;=$B$6)*(L24:L26*AN26+M24:M26*AO26*$B$8*AQ26)/(1+AL26/100)^K24:K26)+L27*AN26*AP26/(1+AL26/100)^$B$6</f>
        <v/>
      </c>
      <c r="AT26">
        <f>AS26-AR26</f>
        <v/>
      </c>
      <c r="AU26">
        <f>RAND()</f>
        <v/>
      </c>
      <c r="AV26">
        <f>RAND()</f>
        <v/>
      </c>
      <c r="AW26">
        <f>RAND()</f>
        <v/>
      </c>
      <c r="AX26">
        <f>RAND()</f>
        <v/>
      </c>
      <c r="AY26">
        <f>RAND()</f>
        <v/>
      </c>
      <c r="AZ26">
        <f>RAND()</f>
        <v/>
      </c>
      <c r="BB26" s="18">
        <f>PERCENTILE($AT$14:$AT$1013,0.01)+(PERCENTILE($AT$14:$AT$1013,0.99)-PERCENTILE($AT$14:$AT$1013,0.01))*12/20</f>
        <v/>
      </c>
      <c r="BC26">
        <f>COUNTIF($AT$14:$AT$1013,"&lt;="&amp;BB26)-COUNTIF($AT$14:$AT$1013,"&lt;="&amp;BB25)</f>
        <v/>
      </c>
      <c r="BD26" s="12">
        <f>COUNTIF($AT$14:$AT$1013,"&lt;="&amp;BB26)/COUNT($AT$14:$AT$1013)</f>
        <v/>
      </c>
    </row>
    <row r="27">
      <c r="A27" s="7" t="inlineStr">
        <is>
          <t>Maintenance 3</t>
        </is>
      </c>
      <c r="B27" s="7" t="n">
        <v>12</v>
      </c>
      <c r="C27" s="21" t="n">
        <v>547129.3</v>
      </c>
      <c r="D27" s="10" t="n">
        <v>8</v>
      </c>
      <c r="E27" s="14">
        <f>C27*$B$11</f>
        <v/>
      </c>
      <c r="F27" s="14">
        <f>D27*$B$10*$B$8*$B$9</f>
        <v/>
      </c>
      <c r="G27" s="14">
        <f>IF(B27&gt;$B$6,0,(E27+F27)/(1+$B$5/100)^B27)</f>
        <v/>
      </c>
      <c r="J27" s="7" t="inlineStr">
        <is>
          <t>Salvage value (at end of period)</t>
        </is>
      </c>
      <c r="K27">
        <f>$B$6</f>
        <v/>
      </c>
      <c r="L27" s="14">
        <f>-$B$17*IF($B$18="Initial",L24,SUMPRODUCT(ISNUMBER(SEARCH("Rehab",J25:J26))*L25:L26))</f>
        <v/>
      </c>
      <c r="N27" s="14">
        <f>L27*$B$12*$B$13</f>
        <v/>
      </c>
      <c r="P27" s="14">
        <f>N27/(1+$B$5/100)^K27</f>
        <v/>
      </c>
      <c r="AK27" t="n">
        <v>14</v>
      </c>
      <c r="AL27">
        <f>IFERROR(IF(AU27&lt;($AM$6-$AL$6)/($AN$6-$AL$6),$AL$6+SQRT(AU27*($AN$6-$AL$6)*($AM$6-$AL$6)),$AN$6-SQRT((1-AU27)*($AN$6-$AL$6)*($AN$6-$AM$6))),$AM$6)</f>
        <v/>
      </c>
      <c r="AM27">
        <f>IFERROR(IF(AV27&lt;($AM$7-$AL$7)/($AN$7-$AL$7),$AL$7+SQRT(AV27*($AN$7-$AL$7)*($AM$7-$AL$7)),$AN$7-SQRT((1-AV27)*($AN$7-$AL$7)*($AN$7-$AM$7))),$AM$7)</f>
        <v/>
      </c>
      <c r="AN27">
        <f>IFERROR(IF(AW27&lt;($AM$8-$AL$8)/($AN$8-$AL$8),$AL$8+SQRT(AW27*($AN$8-$AL$8)*($AM$8-$AL$8)),$AN$8-SQRT((1-AW27)*($AN$8-$AL$8)*($AN$8-$AM$8))),$AM$8)</f>
        <v/>
      </c>
      <c r="AO27">
        <f>IFERROR(IF(AX27&lt;($AM$9-$AL$9)/($AN$9-$AL$9),$AL$9+SQRT(AX27*($AN$9-$AL$9)*($AM$9-$AL$9)),$AN$9-SQRT((1-AX27)*($AN$9-$AL$9)*($AN$9-$AM$9))),$AM$9)</f>
        <v/>
      </c>
      <c r="AP27">
        <f>IFERROR(IF(AY27&lt;($AM$10-$AL$10)/($AN$10-$AL$10),$AL$10+SQRT(AY27*($AN$10-$AL$10)*($AM$10-$AL$10)),$AN$10-SQRT((1-AY27)*($AN$10-$AL$10)*($AN$10-$AM$10))),$AM$10)</f>
        <v/>
      </c>
      <c r="AQ27">
        <f>IFERROR(IF(AZ27&lt;($AM$11-$AL$11)/($AN$11-$AL$11),$AL$11+SQRT(AZ27*($AN$11-$AL$11)*($AM$11-$AL$11)),$AN$11-SQRT((1-AZ27)*($AN$11-$AL$11)*($AN$11-$AM$11))),$AM$11)</f>
        <v/>
      </c>
      <c r="AR27">
        <f>SUMPRODUCT((B24:B31&lt;=$B$6)*(C24:C31*AM27+D24:D31*AO27*$B$8*AQ27)/(1+AL27/100)^B24:B31)+C32*AM27*AP27/(1+AL27/100)^$B$6</f>
        <v/>
      </c>
      <c r="AS27">
        <f>SUMPRODUCT((K24:K26&lt;=$B$6)*(L24:L26*AN27+M24:M26*AO27*$B$8*AQ27)/(1+AL27/100)^K24:K26)+L27*AN27*AP27/(1+AL27/100)^$B$6</f>
        <v/>
      </c>
      <c r="AT27">
        <f>AS27-AR27</f>
        <v/>
      </c>
      <c r="AU27">
        <f>RAND()</f>
        <v/>
      </c>
      <c r="AV27">
        <f>RAND()</f>
        <v/>
      </c>
      <c r="AW27">
        <f>RAND()</f>
        <v/>
      </c>
      <c r="AX27">
        <f>RAND()</f>
        <v/>
      </c>
      <c r="AY27">
        <f>RAND()</f>
        <v/>
      </c>
      <c r="AZ27">
        <f>RAND()</f>
        <v/>
      </c>
      <c r="BB27" s="18">
        <f>PERCENTILE($AT$14:$AT$1013,0.01)+(PERCENTILE($AT$14:$AT$1013,0.99)-PERCENTILE($AT$14:$AT$1013,0.01))*13/20</f>
        <v/>
      </c>
      <c r="BC27">
        <f>COUNTIF($AT$14:$AT$1013,"&lt;="&amp;BB27)-COUNTIF($AT$14:$AT$1013,"&lt;="&amp;BB26)</f>
        <v/>
      </c>
      <c r="BD27" s="12">
        <f>COUNTIF($AT$14:$AT$1013,"&lt;="&amp;BB27)/COUNT($AT$14:$AT$1013)</f>
        <v/>
      </c>
    </row>
    <row r="28">
      <c r="A28" s="7" t="inlineStr">
        <is>
          <t>Maintenance 4</t>
        </is>
      </c>
      <c r="B28" s="7" t="n">
        <v>16</v>
      </c>
      <c r="C28" s="21" t="n">
        <v>561004.48</v>
      </c>
      <c r="D28" s="10" t="n">
        <v>8</v>
      </c>
      <c r="E28" s="14">
        <f>C28*$B$11</f>
        <v/>
      </c>
      <c r="F28" s="14">
        <f>D28*$B$10*$B$8*$B$9</f>
        <v/>
      </c>
      <c r="G28" s="14">
        <f>IF(B28&gt;$B$6,0,(E28+F28)/(1+$B$5/100)^B28)</f>
        <v/>
      </c>
      <c r="J28" s="9" t="inlineStr">
        <is>
          <t>Net present worth</t>
        </is>
      </c>
      <c r="P28" s="22">
        <f>SUM(P24:P27)</f>
        <v/>
      </c>
      <c r="AK28" t="n">
        <v>15</v>
      </c>
      <c r="AL28">
        <f>IFERROR(IF(AU28&lt;($AM$6-$AL$6)/($AN$6-$AL$6),$AL$6+SQRT(AU28*($AN$6-$AL$6)*($AM$6-$AL$6)),$AN$6-SQRT((1-AU28)*($AN$6-$AL$6)*($AN$6-$AM$6))),$AM$6)</f>
        <v/>
      </c>
      <c r="AM28">
        <f>IFERROR(IF(AV28&lt;($AM$7-$AL$7)/($AN$7-$AL$7),$AL$7+SQRT(AV28*($AN$7-$AL$7)*($AM$7-$AL$7)),$AN$7-SQRT((1-AV28)*($AN$7-$AL$7)*($AN$7-$AM$7))),$AM$7)</f>
        <v/>
      </c>
      <c r="AN28">
        <f>IFERROR(IF(AW28&lt;($AM$8-$AL$8)/($AN$8-$AL$8),$AL$8+SQRT(AW28*($AN$8-$AL$8)*($AM$8-$AL$8)),$AN$8-SQRT((1-AW28)*($AN$8-$AL$8)*($AN$8-$AM$8))),$AM$8)</f>
        <v/>
      </c>
      <c r="AO28">
        <f>IFERROR(IF(AX28&lt;($AM$9-$AL$9)/($AN$9-$AL$9),$AL$9+SQRT(AX28*($AN$9-$AL$9)*($AM$9-$AL$9)),$AN$9-SQRT((1-AX28)*($AN$9-$AL$9)*($AN$9-$AM$9))),$AM$9)</f>
        <v/>
      </c>
      <c r="AP28">
        <f>IFERROR(IF(AY28&lt;($AM$10-$AL$10)/($AN$10-$AL$10),$AL$10+SQRT(AY28*($AN$10-$AL$10)*($AM$10-$AL$10)),$AN$10-SQRT((1-AY28)*($AN$10-$AL$10)*($AN$10-$AM$10))),$AM$10)</f>
        <v/>
      </c>
      <c r="AQ28">
        <f>IFERROR(IF(AZ28&lt;($AM$11-$AL$11)/($AN$11-$AL$11),$AL$11+SQRT(AZ28*($AN$11-$AL$11)*($AM$11-$AL$11)),$AN$11-SQRT((1-AZ28)*($AN$11-$AL$11)*($AN$11-$AM$11))),$AM$11)</f>
        <v/>
      </c>
      <c r="AR28">
        <f>SUMPRODUCT((B24:B31&lt;=$B$6)*(C24:C31*AM28+D24:D31*AO28*$B$8*AQ28)/(1+AL28/100)^B24:B31)+C32*AM28*AP28/(1+AL28/100)^$B$6</f>
        <v/>
      </c>
      <c r="AS28">
        <f>SUMPRODUCT((K24:K26&lt;=$B$6)*(L24:L26*AN28+M24:M26*AO28*$B$8*AQ28)/(1+AL28/100)^K24:K26)+L27*AN28*AP28/(1+AL28/100)^$B$6</f>
        <v/>
      </c>
      <c r="AT28">
        <f>AS28-AR28</f>
        <v/>
      </c>
      <c r="AU28">
        <f>RAND()</f>
        <v/>
      </c>
      <c r="AV28">
        <f>RAND()</f>
        <v/>
      </c>
      <c r="AW28">
        <f>RAND()</f>
        <v/>
      </c>
      <c r="AX28">
        <f>RAND()</f>
        <v/>
      </c>
      <c r="AY28">
        <f>RAND()</f>
        <v/>
      </c>
      <c r="AZ28">
        <f>RAND()</f>
        <v/>
      </c>
      <c r="BB28" s="18">
        <f>PERCENTILE($AT$14:$AT$1013,0.01)+(PERCENTILE($AT$14:$AT$1013,0.99)-PERCENTILE($AT$14:$AT$1013,0.01))*14/20</f>
        <v/>
      </c>
      <c r="BC28">
        <f>COUNTIF($AT$14:$AT$1013,"&lt;="&amp;BB28)-COUNTIF($AT$14:$AT$1013,"&lt;="&amp;BB27)</f>
        <v/>
      </c>
      <c r="BD28" s="12">
        <f>COUNTIF($AT$14:$AT$1013,"&lt;="&amp;BB28)/COUNT($AT$14:$AT$1013)</f>
        <v/>
      </c>
    </row>
    <row r="29">
      <c r="A29" s="7" t="inlineStr">
        <is>
          <t>Rehabilitation 1</t>
        </is>
      </c>
      <c r="B29" s="7" t="n">
        <v>20</v>
      </c>
      <c r="C29" s="21" t="n">
        <v>2302557.72</v>
      </c>
      <c r="D29" s="10" t="n">
        <v>15</v>
      </c>
      <c r="E29" s="14">
        <f>C29*$B$11</f>
        <v/>
      </c>
      <c r="F29" s="14">
        <f>D29*$B$10*$B$8*$B$9</f>
        <v/>
      </c>
      <c r="G29" s="14">
        <f>IF(B29&gt;$B$6,0,(E29+F29)/(1+$B$5/100)^B29)</f>
        <v/>
      </c>
      <c r="J29" s="5" t="inlineStr">
        <is>
          <t>Salvage = fraction x basis from the parameter block (TDOT Maintenance Policies). Base costs and closure days are inputs.</t>
        </is>
      </c>
      <c r="AK29" t="n">
        <v>16</v>
      </c>
      <c r="AL29">
        <f>IFERROR(IF(AU29&lt;($AM$6-$AL$6)/($AN$6-$AL$6),$AL$6+SQRT(AU29*($AN$6-$AL$6)*($AM$6-$AL$6)),$AN$6-SQRT((1-AU29)*($AN$6-$AL$6)*($AN$6-$AM$6))),$AM$6)</f>
        <v/>
      </c>
      <c r="AM29">
        <f>IFERROR(IF(AV29&lt;($AM$7-$AL$7)/($AN$7-$AL$7),$AL$7+SQRT(AV29*($AN$7-$AL$7)*($AM$7-$AL$7)),$AN$7-SQRT((1-AV29)*($AN$7-$AL$7)*($AN$7-$AM$7))),$AM$7)</f>
        <v/>
      </c>
      <c r="AN29">
        <f>IFERROR(IF(AW29&lt;($AM$8-$AL$8)/($AN$8-$AL$8),$AL$8+SQRT(AW29*($AN$8-$AL$8)*($AM$8-$AL$8)),$AN$8-SQRT((1-AW29)*($AN$8-$AL$8)*($AN$8-$AM$8))),$AM$8)</f>
        <v/>
      </c>
      <c r="AO29">
        <f>IFERROR(IF(AX29&lt;($AM$9-$AL$9)/($AN$9-$AL$9),$AL$9+SQRT(AX29*($AN$9-$AL$9)*($AM$9-$AL$9)),$AN$9-SQRT((1-AX29)*($AN$9-$AL$9)*($AN$9-$AM$9))),$AM$9)</f>
        <v/>
      </c>
      <c r="AP29">
        <f>IFERROR(IF(AY29&lt;($AM$10-$AL$10)/($AN$10-$AL$10),$AL$10+SQRT(AY29*($AN$10-$AL$10)*($AM$10-$AL$10)),$AN$10-SQRT((1-AY29)*($AN$10-$AL$10)*($AN$10-$AM$10))),$AM$10)</f>
        <v/>
      </c>
      <c r="AQ29">
        <f>IFERROR(IF(AZ29&lt;($AM$11-$AL$11)/($AN$11-$AL$11),$AL$11+SQRT(AZ29*($AN$11-$AL$11)*($AM$11-$AL$11)),$AN$11-SQRT((1-AZ29)*($AN$11-$AL$11)*($AN$11-$AM$11))),$AM$11)</f>
        <v/>
      </c>
      <c r="AR29">
        <f>SUMPRODUCT((B24:B31&lt;=$B$6)*(C24:C31*AM29+D24:D31*AO29*$B$8*AQ29)/(1+AL29/100)^B24:B31)+C32*AM29*AP29/(1+AL29/100)^$B$6</f>
        <v/>
      </c>
      <c r="AS29">
        <f>SUMPRODUCT((K24:K26&lt;=$B$6)*(L24:L26*AN29+M24:M26*AO29*$B$8*AQ29)/(1+AL29/100)^K24:K26)+L27*AN29*AP29/(1+AL29/100)^$B$6</f>
        <v/>
      </c>
      <c r="AT29">
        <f>AS29-AR29</f>
        <v/>
      </c>
      <c r="AU29">
        <f>RAND()</f>
        <v/>
      </c>
      <c r="AV29">
        <f>RAND()</f>
        <v/>
      </c>
      <c r="AW29">
        <f>RAND()</f>
        <v/>
      </c>
      <c r="AX29">
        <f>RAND()</f>
        <v/>
      </c>
      <c r="AY29">
        <f>RAND()</f>
        <v/>
      </c>
      <c r="AZ29">
        <f>RAND()</f>
        <v/>
      </c>
      <c r="BB29" s="18">
        <f>PERCENTILE($AT$14:$AT$1013,0.01)+(PERCENTILE($AT$14:$AT$1013,0.99)-PERCENTILE($AT$14:$AT$1013,0.01))*15/20</f>
        <v/>
      </c>
      <c r="BC29">
        <f>COUNTIF($AT$14:$AT$1013,"&lt;="&amp;BB29)-COUNTIF($AT$14:$AT$1013,"&lt;="&amp;BB28)</f>
        <v/>
      </c>
      <c r="BD29" s="12">
        <f>COUNTIF($AT$14:$AT$1013,"&lt;="&amp;BB29)/COUNT($AT$14:$AT$1013)</f>
        <v/>
      </c>
    </row>
    <row r="30">
      <c r="A30" s="7" t="inlineStr">
        <is>
          <t>Maintenance 5</t>
        </is>
      </c>
      <c r="B30" s="7" t="n">
        <v>24</v>
      </c>
      <c r="C30" s="21" t="n">
        <v>482829.92</v>
      </c>
      <c r="D30" s="10" t="n">
        <v>6</v>
      </c>
      <c r="E30" s="14">
        <f>C30*$B$11</f>
        <v/>
      </c>
      <c r="F30" s="14">
        <f>D30*$B$10*$B$8*$B$9</f>
        <v/>
      </c>
      <c r="G30" s="14">
        <f>IF(B30&gt;$B$6,0,(E30+F30)/(1+$B$5/100)^B30)</f>
        <v/>
      </c>
      <c r="AK30" t="n">
        <v>17</v>
      </c>
      <c r="AL30">
        <f>IFERROR(IF(AU30&lt;($AM$6-$AL$6)/($AN$6-$AL$6),$AL$6+SQRT(AU30*($AN$6-$AL$6)*($AM$6-$AL$6)),$AN$6-SQRT((1-AU30)*($AN$6-$AL$6)*($AN$6-$AM$6))),$AM$6)</f>
        <v/>
      </c>
      <c r="AM30">
        <f>IFERROR(IF(AV30&lt;($AM$7-$AL$7)/($AN$7-$AL$7),$AL$7+SQRT(AV30*($AN$7-$AL$7)*($AM$7-$AL$7)),$AN$7-SQRT((1-AV30)*($AN$7-$AL$7)*($AN$7-$AM$7))),$AM$7)</f>
        <v/>
      </c>
      <c r="AN30">
        <f>IFERROR(IF(AW30&lt;($AM$8-$AL$8)/($AN$8-$AL$8),$AL$8+SQRT(AW30*($AN$8-$AL$8)*($AM$8-$AL$8)),$AN$8-SQRT((1-AW30)*($AN$8-$AL$8)*($AN$8-$AM$8))),$AM$8)</f>
        <v/>
      </c>
      <c r="AO30">
        <f>IFERROR(IF(AX30&lt;($AM$9-$AL$9)/($AN$9-$AL$9),$AL$9+SQRT(AX30*($AN$9-$AL$9)*($AM$9-$AL$9)),$AN$9-SQRT((1-AX30)*($AN$9-$AL$9)*($AN$9-$AM$9))),$AM$9)</f>
        <v/>
      </c>
      <c r="AP30">
        <f>IFERROR(IF(AY30&lt;($AM$10-$AL$10)/($AN$10-$AL$10),$AL$10+SQRT(AY30*($AN$10-$AL$10)*($AM$10-$AL$10)),$AN$10-SQRT((1-AY30)*($AN$10-$AL$10)*($AN$10-$AM$10))),$AM$10)</f>
        <v/>
      </c>
      <c r="AQ30">
        <f>IFERROR(IF(AZ30&lt;($AM$11-$AL$11)/($AN$11-$AL$11),$AL$11+SQRT(AZ30*($AN$11-$AL$11)*($AM$11-$AL$11)),$AN$11-SQRT((1-AZ30)*($AN$11-$AL$11)*($AN$11-$AM$11))),$AM$11)</f>
        <v/>
      </c>
      <c r="AR30">
        <f>SUMPRODUCT((B24:B31&lt;=$B$6)*(C24:C31*AM30+D24:D31*AO30*$B$8*AQ30)/(1+AL30/100)^B24:B31)+C32*AM30*AP30/(1+AL30/100)^$B$6</f>
        <v/>
      </c>
      <c r="AS30">
        <f>SUMPRODUCT((K24:K26&lt;=$B$6)*(L24:L26*AN30+M24:M26*AO30*$B$8*AQ30)/(1+AL30/100)^K24:K26)+L27*AN30*AP30/(1+AL30/100)^$B$6</f>
        <v/>
      </c>
      <c r="AT30">
        <f>AS30-AR30</f>
        <v/>
      </c>
      <c r="AU30">
        <f>RAND()</f>
        <v/>
      </c>
      <c r="AV30">
        <f>RAND()</f>
        <v/>
      </c>
      <c r="AW30">
        <f>RAND()</f>
        <v/>
      </c>
      <c r="AX30">
        <f>RAND()</f>
        <v/>
      </c>
      <c r="AY30">
        <f>RAND()</f>
        <v/>
      </c>
      <c r="AZ30">
        <f>RAND()</f>
        <v/>
      </c>
      <c r="BB30" s="18">
        <f>PERCENTILE($AT$14:$AT$1013,0.01)+(PERCENTILE($AT$14:$AT$1013,0.99)-PERCENTILE($AT$14:$AT$1013,0.01))*16/20</f>
        <v/>
      </c>
      <c r="BC30">
        <f>COUNTIF($AT$14:$AT$1013,"&lt;="&amp;BB30)-COUNTIF($AT$14:$AT$1013,"&lt;="&amp;BB29)</f>
        <v/>
      </c>
      <c r="BD30" s="12">
        <f>COUNTIF($AT$14:$AT$1013,"&lt;="&amp;BB30)/COUNT($AT$14:$AT$1013)</f>
        <v/>
      </c>
    </row>
    <row r="31">
      <c r="A31" s="7" t="inlineStr">
        <is>
          <t>Maintenance 6</t>
        </is>
      </c>
      <c r="B31" s="7" t="n">
        <v>28</v>
      </c>
      <c r="C31" s="21" t="n">
        <v>577147.05</v>
      </c>
      <c r="D31" s="10" t="n">
        <v>8</v>
      </c>
      <c r="E31" s="14">
        <f>C31*$B$11</f>
        <v/>
      </c>
      <c r="F31" s="14">
        <f>D31*$B$10*$B$8*$B$9</f>
        <v/>
      </c>
      <c r="G31" s="14">
        <f>IF(B31&gt;$B$6,0,(E31+F31)/(1+$B$5/100)^B31)</f>
        <v/>
      </c>
      <c r="AK31" t="n">
        <v>18</v>
      </c>
      <c r="AL31">
        <f>IFERROR(IF(AU31&lt;($AM$6-$AL$6)/($AN$6-$AL$6),$AL$6+SQRT(AU31*($AN$6-$AL$6)*($AM$6-$AL$6)),$AN$6-SQRT((1-AU31)*($AN$6-$AL$6)*($AN$6-$AM$6))),$AM$6)</f>
        <v/>
      </c>
      <c r="AM31">
        <f>IFERROR(IF(AV31&lt;($AM$7-$AL$7)/($AN$7-$AL$7),$AL$7+SQRT(AV31*($AN$7-$AL$7)*($AM$7-$AL$7)),$AN$7-SQRT((1-AV31)*($AN$7-$AL$7)*($AN$7-$AM$7))),$AM$7)</f>
        <v/>
      </c>
      <c r="AN31">
        <f>IFERROR(IF(AW31&lt;($AM$8-$AL$8)/($AN$8-$AL$8),$AL$8+SQRT(AW31*($AN$8-$AL$8)*($AM$8-$AL$8)),$AN$8-SQRT((1-AW31)*($AN$8-$AL$8)*($AN$8-$AM$8))),$AM$8)</f>
        <v/>
      </c>
      <c r="AO31">
        <f>IFERROR(IF(AX31&lt;($AM$9-$AL$9)/($AN$9-$AL$9),$AL$9+SQRT(AX31*($AN$9-$AL$9)*($AM$9-$AL$9)),$AN$9-SQRT((1-AX31)*($AN$9-$AL$9)*($AN$9-$AM$9))),$AM$9)</f>
        <v/>
      </c>
      <c r="AP31">
        <f>IFERROR(IF(AY31&lt;($AM$10-$AL$10)/($AN$10-$AL$10),$AL$10+SQRT(AY31*($AN$10-$AL$10)*($AM$10-$AL$10)),$AN$10-SQRT((1-AY31)*($AN$10-$AL$10)*($AN$10-$AM$10))),$AM$10)</f>
        <v/>
      </c>
      <c r="AQ31">
        <f>IFERROR(IF(AZ31&lt;($AM$11-$AL$11)/($AN$11-$AL$11),$AL$11+SQRT(AZ31*($AN$11-$AL$11)*($AM$11-$AL$11)),$AN$11-SQRT((1-AZ31)*($AN$11-$AL$11)*($AN$11-$AM$11))),$AM$11)</f>
        <v/>
      </c>
      <c r="AR31">
        <f>SUMPRODUCT((B24:B31&lt;=$B$6)*(C24:C31*AM31+D24:D31*AO31*$B$8*AQ31)/(1+AL31/100)^B24:B31)+C32*AM31*AP31/(1+AL31/100)^$B$6</f>
        <v/>
      </c>
      <c r="AS31">
        <f>SUMPRODUCT((K24:K26&lt;=$B$6)*(L24:L26*AN31+M24:M26*AO31*$B$8*AQ31)/(1+AL31/100)^K24:K26)+L27*AN31*AP31/(1+AL31/100)^$B$6</f>
        <v/>
      </c>
      <c r="AT31">
        <f>AS31-AR31</f>
        <v/>
      </c>
      <c r="AU31">
        <f>RAND()</f>
        <v/>
      </c>
      <c r="AV31">
        <f>RAND()</f>
        <v/>
      </c>
      <c r="AW31">
        <f>RAND()</f>
        <v/>
      </c>
      <c r="AX31">
        <f>RAND()</f>
        <v/>
      </c>
      <c r="AY31">
        <f>RAND()</f>
        <v/>
      </c>
      <c r="AZ31">
        <f>RAND()</f>
        <v/>
      </c>
      <c r="BB31" s="18">
        <f>PERCENTILE($AT$14:$AT$1013,0.01)+(PERCENTILE($AT$14:$AT$1013,0.99)-PERCENTILE($AT$14:$AT$1013,0.01))*17/20</f>
        <v/>
      </c>
      <c r="BC31">
        <f>COUNTIF($AT$14:$AT$1013,"&lt;="&amp;BB31)-COUNTIF($AT$14:$AT$1013,"&lt;="&amp;BB30)</f>
        <v/>
      </c>
      <c r="BD31" s="12">
        <f>COUNTIF($AT$14:$AT$1013,"&lt;="&amp;BB31)/COUNT($AT$14:$AT$1013)</f>
        <v/>
      </c>
    </row>
    <row r="32">
      <c r="A32" s="7" t="inlineStr">
        <is>
          <t>Salvage value (at end of period)</t>
        </is>
      </c>
      <c r="B32">
        <f>$B$6</f>
        <v/>
      </c>
      <c r="C32" s="14">
        <f>-$B$15*IF($B$16="Initial",C24,SUMPRODUCT(ISNUMBER(SEARCH("Rehab",A25:A31))*C25:C31))</f>
        <v/>
      </c>
      <c r="E32" s="14">
        <f>C32*$B$11*$B$13</f>
        <v/>
      </c>
      <c r="G32" s="14">
        <f>E32/(1+$B$5/100)^B32</f>
        <v/>
      </c>
      <c r="AK32" t="n">
        <v>19</v>
      </c>
      <c r="AL32">
        <f>IFERROR(IF(AU32&lt;($AM$6-$AL$6)/($AN$6-$AL$6),$AL$6+SQRT(AU32*($AN$6-$AL$6)*($AM$6-$AL$6)),$AN$6-SQRT((1-AU32)*($AN$6-$AL$6)*($AN$6-$AM$6))),$AM$6)</f>
        <v/>
      </c>
      <c r="AM32">
        <f>IFERROR(IF(AV32&lt;($AM$7-$AL$7)/($AN$7-$AL$7),$AL$7+SQRT(AV32*($AN$7-$AL$7)*($AM$7-$AL$7)),$AN$7-SQRT((1-AV32)*($AN$7-$AL$7)*($AN$7-$AM$7))),$AM$7)</f>
        <v/>
      </c>
      <c r="AN32">
        <f>IFERROR(IF(AW32&lt;($AM$8-$AL$8)/($AN$8-$AL$8),$AL$8+SQRT(AW32*($AN$8-$AL$8)*($AM$8-$AL$8)),$AN$8-SQRT((1-AW32)*($AN$8-$AL$8)*($AN$8-$AM$8))),$AM$8)</f>
        <v/>
      </c>
      <c r="AO32">
        <f>IFERROR(IF(AX32&lt;($AM$9-$AL$9)/($AN$9-$AL$9),$AL$9+SQRT(AX32*($AN$9-$AL$9)*($AM$9-$AL$9)),$AN$9-SQRT((1-AX32)*($AN$9-$AL$9)*($AN$9-$AM$9))),$AM$9)</f>
        <v/>
      </c>
      <c r="AP32">
        <f>IFERROR(IF(AY32&lt;($AM$10-$AL$10)/($AN$10-$AL$10),$AL$10+SQRT(AY32*($AN$10-$AL$10)*($AM$10-$AL$10)),$AN$10-SQRT((1-AY32)*($AN$10-$AL$10)*($AN$10-$AM$10))),$AM$10)</f>
        <v/>
      </c>
      <c r="AQ32">
        <f>IFERROR(IF(AZ32&lt;($AM$11-$AL$11)/($AN$11-$AL$11),$AL$11+SQRT(AZ32*($AN$11-$AL$11)*($AM$11-$AL$11)),$AN$11-SQRT((1-AZ32)*($AN$11-$AL$11)*($AN$11-$AM$11))),$AM$11)</f>
        <v/>
      </c>
      <c r="AR32">
        <f>SUMPRODUCT((B24:B31&lt;=$B$6)*(C24:C31*AM32+D24:D31*AO32*$B$8*AQ32)/(1+AL32/100)^B24:B31)+C32*AM32*AP32/(1+AL32/100)^$B$6</f>
        <v/>
      </c>
      <c r="AS32">
        <f>SUMPRODUCT((K24:K26&lt;=$B$6)*(L24:L26*AN32+M24:M26*AO32*$B$8*AQ32)/(1+AL32/100)^K24:K26)+L27*AN32*AP32/(1+AL32/100)^$B$6</f>
        <v/>
      </c>
      <c r="AT32">
        <f>AS32-AR32</f>
        <v/>
      </c>
      <c r="AU32">
        <f>RAND()</f>
        <v/>
      </c>
      <c r="AV32">
        <f>RAND()</f>
        <v/>
      </c>
      <c r="AW32">
        <f>RAND()</f>
        <v/>
      </c>
      <c r="AX32">
        <f>RAND()</f>
        <v/>
      </c>
      <c r="AY32">
        <f>RAND()</f>
        <v/>
      </c>
      <c r="AZ32">
        <f>RAND()</f>
        <v/>
      </c>
      <c r="BB32" s="18">
        <f>PERCENTILE($AT$14:$AT$1013,0.01)+(PERCENTILE($AT$14:$AT$1013,0.99)-PERCENTILE($AT$14:$AT$1013,0.01))*18/20</f>
        <v/>
      </c>
      <c r="BC32">
        <f>COUNTIF($AT$14:$AT$1013,"&lt;="&amp;BB32)-COUNTIF($AT$14:$AT$1013,"&lt;="&amp;BB31)</f>
        <v/>
      </c>
      <c r="BD32" s="12">
        <f>COUNTIF($AT$14:$AT$1013,"&lt;="&amp;BB32)/COUNT($AT$14:$AT$1013)</f>
        <v/>
      </c>
    </row>
    <row r="33">
      <c r="A33" s="9" t="inlineStr">
        <is>
          <t>Net present worth</t>
        </is>
      </c>
      <c r="G33" s="22">
        <f>SUM(G24:G32)</f>
        <v/>
      </c>
      <c r="AK33" t="n">
        <v>20</v>
      </c>
      <c r="AL33">
        <f>IFERROR(IF(AU33&lt;($AM$6-$AL$6)/($AN$6-$AL$6),$AL$6+SQRT(AU33*($AN$6-$AL$6)*($AM$6-$AL$6)),$AN$6-SQRT((1-AU33)*($AN$6-$AL$6)*($AN$6-$AM$6))),$AM$6)</f>
        <v/>
      </c>
      <c r="AM33">
        <f>IFERROR(IF(AV33&lt;($AM$7-$AL$7)/($AN$7-$AL$7),$AL$7+SQRT(AV33*($AN$7-$AL$7)*($AM$7-$AL$7)),$AN$7-SQRT((1-AV33)*($AN$7-$AL$7)*($AN$7-$AM$7))),$AM$7)</f>
        <v/>
      </c>
      <c r="AN33">
        <f>IFERROR(IF(AW33&lt;($AM$8-$AL$8)/($AN$8-$AL$8),$AL$8+SQRT(AW33*($AN$8-$AL$8)*($AM$8-$AL$8)),$AN$8-SQRT((1-AW33)*($AN$8-$AL$8)*($AN$8-$AM$8))),$AM$8)</f>
        <v/>
      </c>
      <c r="AO33">
        <f>IFERROR(IF(AX33&lt;($AM$9-$AL$9)/($AN$9-$AL$9),$AL$9+SQRT(AX33*($AN$9-$AL$9)*($AM$9-$AL$9)),$AN$9-SQRT((1-AX33)*($AN$9-$AL$9)*($AN$9-$AM$9))),$AM$9)</f>
        <v/>
      </c>
      <c r="AP33">
        <f>IFERROR(IF(AY33&lt;($AM$10-$AL$10)/($AN$10-$AL$10),$AL$10+SQRT(AY33*($AN$10-$AL$10)*($AM$10-$AL$10)),$AN$10-SQRT((1-AY33)*($AN$10-$AL$10)*($AN$10-$AM$10))),$AM$10)</f>
        <v/>
      </c>
      <c r="AQ33">
        <f>IFERROR(IF(AZ33&lt;($AM$11-$AL$11)/($AN$11-$AL$11),$AL$11+SQRT(AZ33*($AN$11-$AL$11)*($AM$11-$AL$11)),$AN$11-SQRT((1-AZ33)*($AN$11-$AL$11)*($AN$11-$AM$11))),$AM$11)</f>
        <v/>
      </c>
      <c r="AR33">
        <f>SUMPRODUCT((B24:B31&lt;=$B$6)*(C24:C31*AM33+D24:D31*AO33*$B$8*AQ33)/(1+AL33/100)^B24:B31)+C32*AM33*AP33/(1+AL33/100)^$B$6</f>
        <v/>
      </c>
      <c r="AS33">
        <f>SUMPRODUCT((K24:K26&lt;=$B$6)*(L24:L26*AN33+M24:M26*AO33*$B$8*AQ33)/(1+AL33/100)^K24:K26)+L27*AN33*AP33/(1+AL33/100)^$B$6</f>
        <v/>
      </c>
      <c r="AT33">
        <f>AS33-AR33</f>
        <v/>
      </c>
      <c r="AU33">
        <f>RAND()</f>
        <v/>
      </c>
      <c r="AV33">
        <f>RAND()</f>
        <v/>
      </c>
      <c r="AW33">
        <f>RAND()</f>
        <v/>
      </c>
      <c r="AX33">
        <f>RAND()</f>
        <v/>
      </c>
      <c r="AY33">
        <f>RAND()</f>
        <v/>
      </c>
      <c r="AZ33">
        <f>RAND()</f>
        <v/>
      </c>
      <c r="BB33" s="18">
        <f>PERCENTILE($AT$14:$AT$1013,0.01)+(PERCENTILE($AT$14:$AT$1013,0.99)-PERCENTILE($AT$14:$AT$1013,0.01))*19/20</f>
        <v/>
      </c>
      <c r="BC33">
        <f>COUNTIF($AT$14:$AT$1013,"&lt;="&amp;BB33)-COUNTIF($AT$14:$AT$1013,"&lt;="&amp;BB32)</f>
        <v/>
      </c>
      <c r="BD33" s="12">
        <f>COUNTIF($AT$14:$AT$1013,"&lt;="&amp;BB33)/COUNT($AT$14:$AT$1013)</f>
        <v/>
      </c>
    </row>
    <row r="34">
      <c r="A34" s="5" t="inlineStr">
        <is>
          <t>Salvage = fraction x basis from the parameter block (TDOT Maintenance Policies). Base costs and closure days are inputs.</t>
        </is>
      </c>
      <c r="AK34" t="n">
        <v>21</v>
      </c>
      <c r="AL34">
        <f>IFERROR(IF(AU34&lt;($AM$6-$AL$6)/($AN$6-$AL$6),$AL$6+SQRT(AU34*($AN$6-$AL$6)*($AM$6-$AL$6)),$AN$6-SQRT((1-AU34)*($AN$6-$AL$6)*($AN$6-$AM$6))),$AM$6)</f>
        <v/>
      </c>
      <c r="AM34">
        <f>IFERROR(IF(AV34&lt;($AM$7-$AL$7)/($AN$7-$AL$7),$AL$7+SQRT(AV34*($AN$7-$AL$7)*($AM$7-$AL$7)),$AN$7-SQRT((1-AV34)*($AN$7-$AL$7)*($AN$7-$AM$7))),$AM$7)</f>
        <v/>
      </c>
      <c r="AN34">
        <f>IFERROR(IF(AW34&lt;($AM$8-$AL$8)/($AN$8-$AL$8),$AL$8+SQRT(AW34*($AN$8-$AL$8)*($AM$8-$AL$8)),$AN$8-SQRT((1-AW34)*($AN$8-$AL$8)*($AN$8-$AM$8))),$AM$8)</f>
        <v/>
      </c>
      <c r="AO34">
        <f>IFERROR(IF(AX34&lt;($AM$9-$AL$9)/($AN$9-$AL$9),$AL$9+SQRT(AX34*($AN$9-$AL$9)*($AM$9-$AL$9)),$AN$9-SQRT((1-AX34)*($AN$9-$AL$9)*($AN$9-$AM$9))),$AM$9)</f>
        <v/>
      </c>
      <c r="AP34">
        <f>IFERROR(IF(AY34&lt;($AM$10-$AL$10)/($AN$10-$AL$10),$AL$10+SQRT(AY34*($AN$10-$AL$10)*($AM$10-$AL$10)),$AN$10-SQRT((1-AY34)*($AN$10-$AL$10)*($AN$10-$AM$10))),$AM$10)</f>
        <v/>
      </c>
      <c r="AQ34">
        <f>IFERROR(IF(AZ34&lt;($AM$11-$AL$11)/($AN$11-$AL$11),$AL$11+SQRT(AZ34*($AN$11-$AL$11)*($AM$11-$AL$11)),$AN$11-SQRT((1-AZ34)*($AN$11-$AL$11)*($AN$11-$AM$11))),$AM$11)</f>
        <v/>
      </c>
      <c r="AR34">
        <f>SUMPRODUCT((B24:B31&lt;=$B$6)*(C24:C31*AM34+D24:D31*AO34*$B$8*AQ34)/(1+AL34/100)^B24:B31)+C32*AM34*AP34/(1+AL34/100)^$B$6</f>
        <v/>
      </c>
      <c r="AS34">
        <f>SUMPRODUCT((K24:K26&lt;=$B$6)*(L24:L26*AN34+M24:M26*AO34*$B$8*AQ34)/(1+AL34/100)^K24:K26)+L27*AN34*AP34/(1+AL34/100)^$B$6</f>
        <v/>
      </c>
      <c r="AT34">
        <f>AS34-AR34</f>
        <v/>
      </c>
      <c r="AU34">
        <f>RAND()</f>
        <v/>
      </c>
      <c r="AV34">
        <f>RAND()</f>
        <v/>
      </c>
      <c r="AW34">
        <f>RAND()</f>
        <v/>
      </c>
      <c r="AX34">
        <f>RAND()</f>
        <v/>
      </c>
      <c r="AY34">
        <f>RAND()</f>
        <v/>
      </c>
      <c r="AZ34">
        <f>RAND()</f>
        <v/>
      </c>
      <c r="BB34" s="18">
        <f>PERCENTILE($AT$14:$AT$1013,0.01)+(PERCENTILE($AT$14:$AT$1013,0.99)-PERCENTILE($AT$14:$AT$1013,0.01))*20/20</f>
        <v/>
      </c>
      <c r="BC34">
        <f>COUNTIF($AT$14:$AT$1013,"&lt;="&amp;BB34)-COUNTIF($AT$14:$AT$1013,"&lt;="&amp;BB33)</f>
        <v/>
      </c>
      <c r="BD34" s="12">
        <f>COUNTIF($AT$14:$AT$1013,"&lt;="&amp;BB34)/COUNT($AT$14:$AT$1013)</f>
        <v/>
      </c>
    </row>
    <row r="35">
      <c r="AK35" t="n">
        <v>22</v>
      </c>
      <c r="AL35">
        <f>IFERROR(IF(AU35&lt;($AM$6-$AL$6)/($AN$6-$AL$6),$AL$6+SQRT(AU35*($AN$6-$AL$6)*($AM$6-$AL$6)),$AN$6-SQRT((1-AU35)*($AN$6-$AL$6)*($AN$6-$AM$6))),$AM$6)</f>
        <v/>
      </c>
      <c r="AM35">
        <f>IFERROR(IF(AV35&lt;($AM$7-$AL$7)/($AN$7-$AL$7),$AL$7+SQRT(AV35*($AN$7-$AL$7)*($AM$7-$AL$7)),$AN$7-SQRT((1-AV35)*($AN$7-$AL$7)*($AN$7-$AM$7))),$AM$7)</f>
        <v/>
      </c>
      <c r="AN35">
        <f>IFERROR(IF(AW35&lt;($AM$8-$AL$8)/($AN$8-$AL$8),$AL$8+SQRT(AW35*($AN$8-$AL$8)*($AM$8-$AL$8)),$AN$8-SQRT((1-AW35)*($AN$8-$AL$8)*($AN$8-$AM$8))),$AM$8)</f>
        <v/>
      </c>
      <c r="AO35">
        <f>IFERROR(IF(AX35&lt;($AM$9-$AL$9)/($AN$9-$AL$9),$AL$9+SQRT(AX35*($AN$9-$AL$9)*($AM$9-$AL$9)),$AN$9-SQRT((1-AX35)*($AN$9-$AL$9)*($AN$9-$AM$9))),$AM$9)</f>
        <v/>
      </c>
      <c r="AP35">
        <f>IFERROR(IF(AY35&lt;($AM$10-$AL$10)/($AN$10-$AL$10),$AL$10+SQRT(AY35*($AN$10-$AL$10)*($AM$10-$AL$10)),$AN$10-SQRT((1-AY35)*($AN$10-$AL$10)*($AN$10-$AM$10))),$AM$10)</f>
        <v/>
      </c>
      <c r="AQ35">
        <f>IFERROR(IF(AZ35&lt;($AM$11-$AL$11)/($AN$11-$AL$11),$AL$11+SQRT(AZ35*($AN$11-$AL$11)*($AM$11-$AL$11)),$AN$11-SQRT((1-AZ35)*($AN$11-$AL$11)*($AN$11-$AM$11))),$AM$11)</f>
        <v/>
      </c>
      <c r="AR35">
        <f>SUMPRODUCT((B24:B31&lt;=$B$6)*(C24:C31*AM35+D24:D31*AO35*$B$8*AQ35)/(1+AL35/100)^B24:B31)+C32*AM35*AP35/(1+AL35/100)^$B$6</f>
        <v/>
      </c>
      <c r="AS35">
        <f>SUMPRODUCT((K24:K26&lt;=$B$6)*(L24:L26*AN35+M24:M26*AO35*$B$8*AQ35)/(1+AL35/100)^K24:K26)+L27*AN35*AP35/(1+AL35/100)^$B$6</f>
        <v/>
      </c>
      <c r="AT35">
        <f>AS35-AR35</f>
        <v/>
      </c>
      <c r="AU35">
        <f>RAND()</f>
        <v/>
      </c>
      <c r="AV35">
        <f>RAND()</f>
        <v/>
      </c>
      <c r="AW35">
        <f>RAND()</f>
        <v/>
      </c>
      <c r="AX35">
        <f>RAND()</f>
        <v/>
      </c>
      <c r="AY35">
        <f>RAND()</f>
        <v/>
      </c>
      <c r="AZ35">
        <f>RAND()</f>
        <v/>
      </c>
    </row>
    <row r="36">
      <c r="AK36" t="n">
        <v>23</v>
      </c>
      <c r="AL36">
        <f>IFERROR(IF(AU36&lt;($AM$6-$AL$6)/($AN$6-$AL$6),$AL$6+SQRT(AU36*($AN$6-$AL$6)*($AM$6-$AL$6)),$AN$6-SQRT((1-AU36)*($AN$6-$AL$6)*($AN$6-$AM$6))),$AM$6)</f>
        <v/>
      </c>
      <c r="AM36">
        <f>IFERROR(IF(AV36&lt;($AM$7-$AL$7)/($AN$7-$AL$7),$AL$7+SQRT(AV36*($AN$7-$AL$7)*($AM$7-$AL$7)),$AN$7-SQRT((1-AV36)*($AN$7-$AL$7)*($AN$7-$AM$7))),$AM$7)</f>
        <v/>
      </c>
      <c r="AN36">
        <f>IFERROR(IF(AW36&lt;($AM$8-$AL$8)/($AN$8-$AL$8),$AL$8+SQRT(AW36*($AN$8-$AL$8)*($AM$8-$AL$8)),$AN$8-SQRT((1-AW36)*($AN$8-$AL$8)*($AN$8-$AM$8))),$AM$8)</f>
        <v/>
      </c>
      <c r="AO36">
        <f>IFERROR(IF(AX36&lt;($AM$9-$AL$9)/($AN$9-$AL$9),$AL$9+SQRT(AX36*($AN$9-$AL$9)*($AM$9-$AL$9)),$AN$9-SQRT((1-AX36)*($AN$9-$AL$9)*($AN$9-$AM$9))),$AM$9)</f>
        <v/>
      </c>
      <c r="AP36">
        <f>IFERROR(IF(AY36&lt;($AM$10-$AL$10)/($AN$10-$AL$10),$AL$10+SQRT(AY36*($AN$10-$AL$10)*($AM$10-$AL$10)),$AN$10-SQRT((1-AY36)*($AN$10-$AL$10)*($AN$10-$AM$10))),$AM$10)</f>
        <v/>
      </c>
      <c r="AQ36">
        <f>IFERROR(IF(AZ36&lt;($AM$11-$AL$11)/($AN$11-$AL$11),$AL$11+SQRT(AZ36*($AN$11-$AL$11)*($AM$11-$AL$11)),$AN$11-SQRT((1-AZ36)*($AN$11-$AL$11)*($AN$11-$AM$11))),$AM$11)</f>
        <v/>
      </c>
      <c r="AR36">
        <f>SUMPRODUCT((B24:B31&lt;=$B$6)*(C24:C31*AM36+D24:D31*AO36*$B$8*AQ36)/(1+AL36/100)^B24:B31)+C32*AM36*AP36/(1+AL36/100)^$B$6</f>
        <v/>
      </c>
      <c r="AS36">
        <f>SUMPRODUCT((K24:K26&lt;=$B$6)*(L24:L26*AN36+M24:M26*AO36*$B$8*AQ36)/(1+AL36/100)^K24:K26)+L27*AN36*AP36/(1+AL36/100)^$B$6</f>
        <v/>
      </c>
      <c r="AT36">
        <f>AS36-AR36</f>
        <v/>
      </c>
      <c r="AU36">
        <f>RAND()</f>
        <v/>
      </c>
      <c r="AV36">
        <f>RAND()</f>
        <v/>
      </c>
      <c r="AW36">
        <f>RAND()</f>
        <v/>
      </c>
      <c r="AX36">
        <f>RAND()</f>
        <v/>
      </c>
      <c r="AY36">
        <f>RAND()</f>
        <v/>
      </c>
      <c r="AZ36">
        <f>RAND()</f>
        <v/>
      </c>
    </row>
    <row r="37">
      <c r="A37" s="4" t="inlineStr">
        <is>
          <t>RESULTS</t>
        </is>
      </c>
      <c r="AK37" t="n">
        <v>24</v>
      </c>
      <c r="AL37">
        <f>IFERROR(IF(AU37&lt;($AM$6-$AL$6)/($AN$6-$AL$6),$AL$6+SQRT(AU37*($AN$6-$AL$6)*($AM$6-$AL$6)),$AN$6-SQRT((1-AU37)*($AN$6-$AL$6)*($AN$6-$AM$6))),$AM$6)</f>
        <v/>
      </c>
      <c r="AM37">
        <f>IFERROR(IF(AV37&lt;($AM$7-$AL$7)/($AN$7-$AL$7),$AL$7+SQRT(AV37*($AN$7-$AL$7)*($AM$7-$AL$7)),$AN$7-SQRT((1-AV37)*($AN$7-$AL$7)*($AN$7-$AM$7))),$AM$7)</f>
        <v/>
      </c>
      <c r="AN37">
        <f>IFERROR(IF(AW37&lt;($AM$8-$AL$8)/($AN$8-$AL$8),$AL$8+SQRT(AW37*($AN$8-$AL$8)*($AM$8-$AL$8)),$AN$8-SQRT((1-AW37)*($AN$8-$AL$8)*($AN$8-$AM$8))),$AM$8)</f>
        <v/>
      </c>
      <c r="AO37">
        <f>IFERROR(IF(AX37&lt;($AM$9-$AL$9)/($AN$9-$AL$9),$AL$9+SQRT(AX37*($AN$9-$AL$9)*($AM$9-$AL$9)),$AN$9-SQRT((1-AX37)*($AN$9-$AL$9)*($AN$9-$AM$9))),$AM$9)</f>
        <v/>
      </c>
      <c r="AP37">
        <f>IFERROR(IF(AY37&lt;($AM$10-$AL$10)/($AN$10-$AL$10),$AL$10+SQRT(AY37*($AN$10-$AL$10)*($AM$10-$AL$10)),$AN$10-SQRT((1-AY37)*($AN$10-$AL$10)*($AN$10-$AM$10))),$AM$10)</f>
        <v/>
      </c>
      <c r="AQ37">
        <f>IFERROR(IF(AZ37&lt;($AM$11-$AL$11)/($AN$11-$AL$11),$AL$11+SQRT(AZ37*($AN$11-$AL$11)*($AM$11-$AL$11)),$AN$11-SQRT((1-AZ37)*($AN$11-$AL$11)*($AN$11-$AM$11))),$AM$11)</f>
        <v/>
      </c>
      <c r="AR37">
        <f>SUMPRODUCT((B24:B31&lt;=$B$6)*(C24:C31*AM37+D24:D31*AO37*$B$8*AQ37)/(1+AL37/100)^B24:B31)+C32*AM37*AP37/(1+AL37/100)^$B$6</f>
        <v/>
      </c>
      <c r="AS37">
        <f>SUMPRODUCT((K24:K26&lt;=$B$6)*(L24:L26*AN37+M24:M26*AO37*$B$8*AQ37)/(1+AL37/100)^K24:K26)+L27*AN37*AP37/(1+AL37/100)^$B$6</f>
        <v/>
      </c>
      <c r="AT37">
        <f>AS37-AR37</f>
        <v/>
      </c>
      <c r="AU37">
        <f>RAND()</f>
        <v/>
      </c>
      <c r="AV37">
        <f>RAND()</f>
        <v/>
      </c>
      <c r="AW37">
        <f>RAND()</f>
        <v/>
      </c>
      <c r="AX37">
        <f>RAND()</f>
        <v/>
      </c>
      <c r="AY37">
        <f>RAND()</f>
        <v/>
      </c>
      <c r="AZ37">
        <f>RAND()</f>
        <v/>
      </c>
    </row>
    <row r="38">
      <c r="A38" s="6" t="inlineStr">
        <is>
          <t>Measure</t>
        </is>
      </c>
      <c r="B38" s="6" t="inlineStr">
        <is>
          <t>HMA</t>
        </is>
      </c>
      <c r="C38" s="6" t="inlineStr">
        <is>
          <t>PCC</t>
        </is>
      </c>
      <c r="D38" s="6" t="inlineStr">
        <is>
          <t>PCC - HMA</t>
        </is>
      </c>
      <c r="AK38" t="n">
        <v>25</v>
      </c>
      <c r="AL38">
        <f>IFERROR(IF(AU38&lt;($AM$6-$AL$6)/($AN$6-$AL$6),$AL$6+SQRT(AU38*($AN$6-$AL$6)*($AM$6-$AL$6)),$AN$6-SQRT((1-AU38)*($AN$6-$AL$6)*($AN$6-$AM$6))),$AM$6)</f>
        <v/>
      </c>
      <c r="AM38">
        <f>IFERROR(IF(AV38&lt;($AM$7-$AL$7)/($AN$7-$AL$7),$AL$7+SQRT(AV38*($AN$7-$AL$7)*($AM$7-$AL$7)),$AN$7-SQRT((1-AV38)*($AN$7-$AL$7)*($AN$7-$AM$7))),$AM$7)</f>
        <v/>
      </c>
      <c r="AN38">
        <f>IFERROR(IF(AW38&lt;($AM$8-$AL$8)/($AN$8-$AL$8),$AL$8+SQRT(AW38*($AN$8-$AL$8)*($AM$8-$AL$8)),$AN$8-SQRT((1-AW38)*($AN$8-$AL$8)*($AN$8-$AM$8))),$AM$8)</f>
        <v/>
      </c>
      <c r="AO38">
        <f>IFERROR(IF(AX38&lt;($AM$9-$AL$9)/($AN$9-$AL$9),$AL$9+SQRT(AX38*($AN$9-$AL$9)*($AM$9-$AL$9)),$AN$9-SQRT((1-AX38)*($AN$9-$AL$9)*($AN$9-$AM$9))),$AM$9)</f>
        <v/>
      </c>
      <c r="AP38">
        <f>IFERROR(IF(AY38&lt;($AM$10-$AL$10)/($AN$10-$AL$10),$AL$10+SQRT(AY38*($AN$10-$AL$10)*($AM$10-$AL$10)),$AN$10-SQRT((1-AY38)*($AN$10-$AL$10)*($AN$10-$AM$10))),$AM$10)</f>
        <v/>
      </c>
      <c r="AQ38">
        <f>IFERROR(IF(AZ38&lt;($AM$11-$AL$11)/($AN$11-$AL$11),$AL$11+SQRT(AZ38*($AN$11-$AL$11)*($AM$11-$AL$11)),$AN$11-SQRT((1-AZ38)*($AN$11-$AL$11)*($AN$11-$AM$11))),$AM$11)</f>
        <v/>
      </c>
      <c r="AR38">
        <f>SUMPRODUCT((B24:B31&lt;=$B$6)*(C24:C31*AM38+D24:D31*AO38*$B$8*AQ38)/(1+AL38/100)^B24:B31)+C32*AM38*AP38/(1+AL38/100)^$B$6</f>
        <v/>
      </c>
      <c r="AS38">
        <f>SUMPRODUCT((K24:K26&lt;=$B$6)*(L24:L26*AN38+M24:M26*AO38*$B$8*AQ38)/(1+AL38/100)^K24:K26)+L27*AN38*AP38/(1+AL38/100)^$B$6</f>
        <v/>
      </c>
      <c r="AT38">
        <f>AS38-AR38</f>
        <v/>
      </c>
      <c r="AU38">
        <f>RAND()</f>
        <v/>
      </c>
      <c r="AV38">
        <f>RAND()</f>
        <v/>
      </c>
      <c r="AW38">
        <f>RAND()</f>
        <v/>
      </c>
      <c r="AX38">
        <f>RAND()</f>
        <v/>
      </c>
      <c r="AY38">
        <f>RAND()</f>
        <v/>
      </c>
      <c r="AZ38">
        <f>RAND()</f>
        <v/>
      </c>
    </row>
    <row r="39">
      <c r="A39" s="23" t="inlineStr">
        <is>
          <t>Initial construction (scenario)</t>
        </is>
      </c>
      <c r="B39" s="24">
        <f>E24</f>
        <v/>
      </c>
      <c r="C39" s="24">
        <f>N24</f>
        <v/>
      </c>
      <c r="D39" s="24">
        <f>C39-B39</f>
        <v/>
      </c>
      <c r="AK39" t="n">
        <v>26</v>
      </c>
      <c r="AL39">
        <f>IFERROR(IF(AU39&lt;($AM$6-$AL$6)/($AN$6-$AL$6),$AL$6+SQRT(AU39*($AN$6-$AL$6)*($AM$6-$AL$6)),$AN$6-SQRT((1-AU39)*($AN$6-$AL$6)*($AN$6-$AM$6))),$AM$6)</f>
        <v/>
      </c>
      <c r="AM39">
        <f>IFERROR(IF(AV39&lt;($AM$7-$AL$7)/($AN$7-$AL$7),$AL$7+SQRT(AV39*($AN$7-$AL$7)*($AM$7-$AL$7)),$AN$7-SQRT((1-AV39)*($AN$7-$AL$7)*($AN$7-$AM$7))),$AM$7)</f>
        <v/>
      </c>
      <c r="AN39">
        <f>IFERROR(IF(AW39&lt;($AM$8-$AL$8)/($AN$8-$AL$8),$AL$8+SQRT(AW39*($AN$8-$AL$8)*($AM$8-$AL$8)),$AN$8-SQRT((1-AW39)*($AN$8-$AL$8)*($AN$8-$AM$8))),$AM$8)</f>
        <v/>
      </c>
      <c r="AO39">
        <f>IFERROR(IF(AX39&lt;($AM$9-$AL$9)/($AN$9-$AL$9),$AL$9+SQRT(AX39*($AN$9-$AL$9)*($AM$9-$AL$9)),$AN$9-SQRT((1-AX39)*($AN$9-$AL$9)*($AN$9-$AM$9))),$AM$9)</f>
        <v/>
      </c>
      <c r="AP39">
        <f>IFERROR(IF(AY39&lt;($AM$10-$AL$10)/($AN$10-$AL$10),$AL$10+SQRT(AY39*($AN$10-$AL$10)*($AM$10-$AL$10)),$AN$10-SQRT((1-AY39)*($AN$10-$AL$10)*($AN$10-$AM$10))),$AM$10)</f>
        <v/>
      </c>
      <c r="AQ39">
        <f>IFERROR(IF(AZ39&lt;($AM$11-$AL$11)/($AN$11-$AL$11),$AL$11+SQRT(AZ39*($AN$11-$AL$11)*($AM$11-$AL$11)),$AN$11-SQRT((1-AZ39)*($AN$11-$AL$11)*($AN$11-$AM$11))),$AM$11)</f>
        <v/>
      </c>
      <c r="AR39">
        <f>SUMPRODUCT((B24:B31&lt;=$B$6)*(C24:C31*AM39+D24:D31*AO39*$B$8*AQ39)/(1+AL39/100)^B24:B31)+C32*AM39*AP39/(1+AL39/100)^$B$6</f>
        <v/>
      </c>
      <c r="AS39">
        <f>SUMPRODUCT((K24:K26&lt;=$B$6)*(L24:L26*AN39+M24:M26*AO39*$B$8*AQ39)/(1+AL39/100)^K24:K26)+L27*AN39*AP39/(1+AL39/100)^$B$6</f>
        <v/>
      </c>
      <c r="AT39">
        <f>AS39-AR39</f>
        <v/>
      </c>
      <c r="AU39">
        <f>RAND()</f>
        <v/>
      </c>
      <c r="AV39">
        <f>RAND()</f>
        <v/>
      </c>
      <c r="AW39">
        <f>RAND()</f>
        <v/>
      </c>
      <c r="AX39">
        <f>RAND()</f>
        <v/>
      </c>
      <c r="AY39">
        <f>RAND()</f>
        <v/>
      </c>
      <c r="AZ39">
        <f>RAND()</f>
        <v/>
      </c>
    </row>
    <row r="40">
      <c r="A40" s="23" t="inlineStr">
        <is>
          <t>Maintenance PW</t>
        </is>
      </c>
      <c r="B40" s="24">
        <f>SUMPRODUCT((B25:B31&lt;=$B$6)*ISNUMBER(SEARCH("Maintenance",A25:A31))*E25:E31/(1+$B$5/100)^B25:B31)</f>
        <v/>
      </c>
      <c r="C40" s="24">
        <f>SUMPRODUCT((K25:K26&lt;=$B$6)*ISNUMBER(SEARCH("Maintenance",J25:J26))*N25:N26/(1+$B$5/100)^K25:K26)</f>
        <v/>
      </c>
      <c r="D40" s="24">
        <f>C40-B40</f>
        <v/>
      </c>
      <c r="AK40" t="n">
        <v>27</v>
      </c>
      <c r="AL40">
        <f>IFERROR(IF(AU40&lt;($AM$6-$AL$6)/($AN$6-$AL$6),$AL$6+SQRT(AU40*($AN$6-$AL$6)*($AM$6-$AL$6)),$AN$6-SQRT((1-AU40)*($AN$6-$AL$6)*($AN$6-$AM$6))),$AM$6)</f>
        <v/>
      </c>
      <c r="AM40">
        <f>IFERROR(IF(AV40&lt;($AM$7-$AL$7)/($AN$7-$AL$7),$AL$7+SQRT(AV40*($AN$7-$AL$7)*($AM$7-$AL$7)),$AN$7-SQRT((1-AV40)*($AN$7-$AL$7)*($AN$7-$AM$7))),$AM$7)</f>
        <v/>
      </c>
      <c r="AN40">
        <f>IFERROR(IF(AW40&lt;($AM$8-$AL$8)/($AN$8-$AL$8),$AL$8+SQRT(AW40*($AN$8-$AL$8)*($AM$8-$AL$8)),$AN$8-SQRT((1-AW40)*($AN$8-$AL$8)*($AN$8-$AM$8))),$AM$8)</f>
        <v/>
      </c>
      <c r="AO40">
        <f>IFERROR(IF(AX40&lt;($AM$9-$AL$9)/($AN$9-$AL$9),$AL$9+SQRT(AX40*($AN$9-$AL$9)*($AM$9-$AL$9)),$AN$9-SQRT((1-AX40)*($AN$9-$AL$9)*($AN$9-$AM$9))),$AM$9)</f>
        <v/>
      </c>
      <c r="AP40">
        <f>IFERROR(IF(AY40&lt;($AM$10-$AL$10)/($AN$10-$AL$10),$AL$10+SQRT(AY40*($AN$10-$AL$10)*($AM$10-$AL$10)),$AN$10-SQRT((1-AY40)*($AN$10-$AL$10)*($AN$10-$AM$10))),$AM$10)</f>
        <v/>
      </c>
      <c r="AQ40">
        <f>IFERROR(IF(AZ40&lt;($AM$11-$AL$11)/($AN$11-$AL$11),$AL$11+SQRT(AZ40*($AN$11-$AL$11)*($AM$11-$AL$11)),$AN$11-SQRT((1-AZ40)*($AN$11-$AL$11)*($AN$11-$AM$11))),$AM$11)</f>
        <v/>
      </c>
      <c r="AR40">
        <f>SUMPRODUCT((B24:B31&lt;=$B$6)*(C24:C31*AM40+D24:D31*AO40*$B$8*AQ40)/(1+AL40/100)^B24:B31)+C32*AM40*AP40/(1+AL40/100)^$B$6</f>
        <v/>
      </c>
      <c r="AS40">
        <f>SUMPRODUCT((K24:K26&lt;=$B$6)*(L24:L26*AN40+M24:M26*AO40*$B$8*AQ40)/(1+AL40/100)^K24:K26)+L27*AN40*AP40/(1+AL40/100)^$B$6</f>
        <v/>
      </c>
      <c r="AT40">
        <f>AS40-AR40</f>
        <v/>
      </c>
      <c r="AU40">
        <f>RAND()</f>
        <v/>
      </c>
      <c r="AV40">
        <f>RAND()</f>
        <v/>
      </c>
      <c r="AW40">
        <f>RAND()</f>
        <v/>
      </c>
      <c r="AX40">
        <f>RAND()</f>
        <v/>
      </c>
      <c r="AY40">
        <f>RAND()</f>
        <v/>
      </c>
      <c r="AZ40">
        <f>RAND()</f>
        <v/>
      </c>
    </row>
    <row r="41">
      <c r="A41" s="23" t="inlineStr">
        <is>
          <t>Rehabilitation PW</t>
        </is>
      </c>
      <c r="B41" s="24">
        <f>SUMPRODUCT((B25:B31&lt;=$B$6)*ISNUMBER(SEARCH("Rehabilitation",A25:A31))*E25:E31/(1+$B$5/100)^B25:B31)</f>
        <v/>
      </c>
      <c r="C41" s="24">
        <f>SUMPRODUCT((K25:K26&lt;=$B$6)*ISNUMBER(SEARCH("Rehabilitation",J25:J26))*N25:N26/(1+$B$5/100)^K25:K26)</f>
        <v/>
      </c>
      <c r="D41" s="24">
        <f>C41-B41</f>
        <v/>
      </c>
      <c r="AK41" t="n">
        <v>28</v>
      </c>
      <c r="AL41">
        <f>IFERROR(IF(AU41&lt;($AM$6-$AL$6)/($AN$6-$AL$6),$AL$6+SQRT(AU41*($AN$6-$AL$6)*($AM$6-$AL$6)),$AN$6-SQRT((1-AU41)*($AN$6-$AL$6)*($AN$6-$AM$6))),$AM$6)</f>
        <v/>
      </c>
      <c r="AM41">
        <f>IFERROR(IF(AV41&lt;($AM$7-$AL$7)/($AN$7-$AL$7),$AL$7+SQRT(AV41*($AN$7-$AL$7)*($AM$7-$AL$7)),$AN$7-SQRT((1-AV41)*($AN$7-$AL$7)*($AN$7-$AM$7))),$AM$7)</f>
        <v/>
      </c>
      <c r="AN41">
        <f>IFERROR(IF(AW41&lt;($AM$8-$AL$8)/($AN$8-$AL$8),$AL$8+SQRT(AW41*($AN$8-$AL$8)*($AM$8-$AL$8)),$AN$8-SQRT((1-AW41)*($AN$8-$AL$8)*($AN$8-$AM$8))),$AM$8)</f>
        <v/>
      </c>
      <c r="AO41">
        <f>IFERROR(IF(AX41&lt;($AM$9-$AL$9)/($AN$9-$AL$9),$AL$9+SQRT(AX41*($AN$9-$AL$9)*($AM$9-$AL$9)),$AN$9-SQRT((1-AX41)*($AN$9-$AL$9)*($AN$9-$AM$9))),$AM$9)</f>
        <v/>
      </c>
      <c r="AP41">
        <f>IFERROR(IF(AY41&lt;($AM$10-$AL$10)/($AN$10-$AL$10),$AL$10+SQRT(AY41*($AN$10-$AL$10)*($AM$10-$AL$10)),$AN$10-SQRT((1-AY41)*($AN$10-$AL$10)*($AN$10-$AM$10))),$AM$10)</f>
        <v/>
      </c>
      <c r="AQ41">
        <f>IFERROR(IF(AZ41&lt;($AM$11-$AL$11)/($AN$11-$AL$11),$AL$11+SQRT(AZ41*($AN$11-$AL$11)*($AM$11-$AL$11)),$AN$11-SQRT((1-AZ41)*($AN$11-$AL$11)*($AN$11-$AM$11))),$AM$11)</f>
        <v/>
      </c>
      <c r="AR41">
        <f>SUMPRODUCT((B24:B31&lt;=$B$6)*(C24:C31*AM41+D24:D31*AO41*$B$8*AQ41)/(1+AL41/100)^B24:B31)+C32*AM41*AP41/(1+AL41/100)^$B$6</f>
        <v/>
      </c>
      <c r="AS41">
        <f>SUMPRODUCT((K24:K26&lt;=$B$6)*(L24:L26*AN41+M24:M26*AO41*$B$8*AQ41)/(1+AL41/100)^K24:K26)+L27*AN41*AP41/(1+AL41/100)^$B$6</f>
        <v/>
      </c>
      <c r="AT41">
        <f>AS41-AR41</f>
        <v/>
      </c>
      <c r="AU41">
        <f>RAND()</f>
        <v/>
      </c>
      <c r="AV41">
        <f>RAND()</f>
        <v/>
      </c>
      <c r="AW41">
        <f>RAND()</f>
        <v/>
      </c>
      <c r="AX41">
        <f>RAND()</f>
        <v/>
      </c>
      <c r="AY41">
        <f>RAND()</f>
        <v/>
      </c>
      <c r="AZ41">
        <f>RAND()</f>
        <v/>
      </c>
    </row>
    <row r="42">
      <c r="A42" s="23" t="inlineStr">
        <is>
          <t>Lost revenue PW</t>
        </is>
      </c>
      <c r="B42" s="24">
        <f>SUMPRODUCT((B24:B31&lt;=$B$6)*F24:F31/(1+$B$5/100)^B24:B31)</f>
        <v/>
      </c>
      <c r="C42" s="24">
        <f>SUMPRODUCT((K24:K26&lt;=$B$6)*O24:O26/(1+$B$5/100)^K24:K26)</f>
        <v/>
      </c>
      <c r="D42" s="24">
        <f>C42-B42</f>
        <v/>
      </c>
      <c r="AK42" t="n">
        <v>29</v>
      </c>
      <c r="AL42">
        <f>IFERROR(IF(AU42&lt;($AM$6-$AL$6)/($AN$6-$AL$6),$AL$6+SQRT(AU42*($AN$6-$AL$6)*($AM$6-$AL$6)),$AN$6-SQRT((1-AU42)*($AN$6-$AL$6)*($AN$6-$AM$6))),$AM$6)</f>
        <v/>
      </c>
      <c r="AM42">
        <f>IFERROR(IF(AV42&lt;($AM$7-$AL$7)/($AN$7-$AL$7),$AL$7+SQRT(AV42*($AN$7-$AL$7)*($AM$7-$AL$7)),$AN$7-SQRT((1-AV42)*($AN$7-$AL$7)*($AN$7-$AM$7))),$AM$7)</f>
        <v/>
      </c>
      <c r="AN42">
        <f>IFERROR(IF(AW42&lt;($AM$8-$AL$8)/($AN$8-$AL$8),$AL$8+SQRT(AW42*($AN$8-$AL$8)*($AM$8-$AL$8)),$AN$8-SQRT((1-AW42)*($AN$8-$AL$8)*($AN$8-$AM$8))),$AM$8)</f>
        <v/>
      </c>
      <c r="AO42">
        <f>IFERROR(IF(AX42&lt;($AM$9-$AL$9)/($AN$9-$AL$9),$AL$9+SQRT(AX42*($AN$9-$AL$9)*($AM$9-$AL$9)),$AN$9-SQRT((1-AX42)*($AN$9-$AL$9)*($AN$9-$AM$9))),$AM$9)</f>
        <v/>
      </c>
      <c r="AP42">
        <f>IFERROR(IF(AY42&lt;($AM$10-$AL$10)/($AN$10-$AL$10),$AL$10+SQRT(AY42*($AN$10-$AL$10)*($AM$10-$AL$10)),$AN$10-SQRT((1-AY42)*($AN$10-$AL$10)*($AN$10-$AM$10))),$AM$10)</f>
        <v/>
      </c>
      <c r="AQ42">
        <f>IFERROR(IF(AZ42&lt;($AM$11-$AL$11)/($AN$11-$AL$11),$AL$11+SQRT(AZ42*($AN$11-$AL$11)*($AM$11-$AL$11)),$AN$11-SQRT((1-AZ42)*($AN$11-$AL$11)*($AN$11-$AM$11))),$AM$11)</f>
        <v/>
      </c>
      <c r="AR42">
        <f>SUMPRODUCT((B24:B31&lt;=$B$6)*(C24:C31*AM42+D24:D31*AO42*$B$8*AQ42)/(1+AL42/100)^B24:B31)+C32*AM42*AP42/(1+AL42/100)^$B$6</f>
        <v/>
      </c>
      <c r="AS42">
        <f>SUMPRODUCT((K24:K26&lt;=$B$6)*(L24:L26*AN42+M24:M26*AO42*$B$8*AQ42)/(1+AL42/100)^K24:K26)+L27*AN42*AP42/(1+AL42/100)^$B$6</f>
        <v/>
      </c>
      <c r="AT42">
        <f>AS42-AR42</f>
        <v/>
      </c>
      <c r="AU42">
        <f>RAND()</f>
        <v/>
      </c>
      <c r="AV42">
        <f>RAND()</f>
        <v/>
      </c>
      <c r="AW42">
        <f>RAND()</f>
        <v/>
      </c>
      <c r="AX42">
        <f>RAND()</f>
        <v/>
      </c>
      <c r="AY42">
        <f>RAND()</f>
        <v/>
      </c>
      <c r="AZ42">
        <f>RAND()</f>
        <v/>
      </c>
    </row>
    <row r="43">
      <c r="A43" s="23" t="inlineStr">
        <is>
          <t>Salvage PW</t>
        </is>
      </c>
      <c r="B43" s="24">
        <f>G32</f>
        <v/>
      </c>
      <c r="C43" s="24">
        <f>P27</f>
        <v/>
      </c>
      <c r="D43" s="24">
        <f>C43-B43</f>
        <v/>
      </c>
      <c r="AK43" t="n">
        <v>30</v>
      </c>
      <c r="AL43">
        <f>IFERROR(IF(AU43&lt;($AM$6-$AL$6)/($AN$6-$AL$6),$AL$6+SQRT(AU43*($AN$6-$AL$6)*($AM$6-$AL$6)),$AN$6-SQRT((1-AU43)*($AN$6-$AL$6)*($AN$6-$AM$6))),$AM$6)</f>
        <v/>
      </c>
      <c r="AM43">
        <f>IFERROR(IF(AV43&lt;($AM$7-$AL$7)/($AN$7-$AL$7),$AL$7+SQRT(AV43*($AN$7-$AL$7)*($AM$7-$AL$7)),$AN$7-SQRT((1-AV43)*($AN$7-$AL$7)*($AN$7-$AM$7))),$AM$7)</f>
        <v/>
      </c>
      <c r="AN43">
        <f>IFERROR(IF(AW43&lt;($AM$8-$AL$8)/($AN$8-$AL$8),$AL$8+SQRT(AW43*($AN$8-$AL$8)*($AM$8-$AL$8)),$AN$8-SQRT((1-AW43)*($AN$8-$AL$8)*($AN$8-$AM$8))),$AM$8)</f>
        <v/>
      </c>
      <c r="AO43">
        <f>IFERROR(IF(AX43&lt;($AM$9-$AL$9)/($AN$9-$AL$9),$AL$9+SQRT(AX43*($AN$9-$AL$9)*($AM$9-$AL$9)),$AN$9-SQRT((1-AX43)*($AN$9-$AL$9)*($AN$9-$AM$9))),$AM$9)</f>
        <v/>
      </c>
      <c r="AP43">
        <f>IFERROR(IF(AY43&lt;($AM$10-$AL$10)/($AN$10-$AL$10),$AL$10+SQRT(AY43*($AN$10-$AL$10)*($AM$10-$AL$10)),$AN$10-SQRT((1-AY43)*($AN$10-$AL$10)*($AN$10-$AM$10))),$AM$10)</f>
        <v/>
      </c>
      <c r="AQ43">
        <f>IFERROR(IF(AZ43&lt;($AM$11-$AL$11)/($AN$11-$AL$11),$AL$11+SQRT(AZ43*($AN$11-$AL$11)*($AM$11-$AL$11)),$AN$11-SQRT((1-AZ43)*($AN$11-$AL$11)*($AN$11-$AM$11))),$AM$11)</f>
        <v/>
      </c>
      <c r="AR43">
        <f>SUMPRODUCT((B24:B31&lt;=$B$6)*(C24:C31*AM43+D24:D31*AO43*$B$8*AQ43)/(1+AL43/100)^B24:B31)+C32*AM43*AP43/(1+AL43/100)^$B$6</f>
        <v/>
      </c>
      <c r="AS43">
        <f>SUMPRODUCT((K24:K26&lt;=$B$6)*(L24:L26*AN43+M24:M26*AO43*$B$8*AQ43)/(1+AL43/100)^K24:K26)+L27*AN43*AP43/(1+AL43/100)^$B$6</f>
        <v/>
      </c>
      <c r="AT43">
        <f>AS43-AR43</f>
        <v/>
      </c>
      <c r="AU43">
        <f>RAND()</f>
        <v/>
      </c>
      <c r="AV43">
        <f>RAND()</f>
        <v/>
      </c>
      <c r="AW43">
        <f>RAND()</f>
        <v/>
      </c>
      <c r="AX43">
        <f>RAND()</f>
        <v/>
      </c>
      <c r="AY43">
        <f>RAND()</f>
        <v/>
      </c>
      <c r="AZ43">
        <f>RAND()</f>
        <v/>
      </c>
    </row>
    <row r="44">
      <c r="A44" s="23" t="inlineStr">
        <is>
          <t>Net present worth</t>
        </is>
      </c>
      <c r="B44" s="24">
        <f>G33</f>
        <v/>
      </c>
      <c r="C44" s="24">
        <f>P28</f>
        <v/>
      </c>
      <c r="D44" s="24">
        <f>C44-B44</f>
        <v/>
      </c>
      <c r="AK44" t="n">
        <v>31</v>
      </c>
      <c r="AL44">
        <f>IFERROR(IF(AU44&lt;($AM$6-$AL$6)/($AN$6-$AL$6),$AL$6+SQRT(AU44*($AN$6-$AL$6)*($AM$6-$AL$6)),$AN$6-SQRT((1-AU44)*($AN$6-$AL$6)*($AN$6-$AM$6))),$AM$6)</f>
        <v/>
      </c>
      <c r="AM44">
        <f>IFERROR(IF(AV44&lt;($AM$7-$AL$7)/($AN$7-$AL$7),$AL$7+SQRT(AV44*($AN$7-$AL$7)*($AM$7-$AL$7)),$AN$7-SQRT((1-AV44)*($AN$7-$AL$7)*($AN$7-$AM$7))),$AM$7)</f>
        <v/>
      </c>
      <c r="AN44">
        <f>IFERROR(IF(AW44&lt;($AM$8-$AL$8)/($AN$8-$AL$8),$AL$8+SQRT(AW44*($AN$8-$AL$8)*($AM$8-$AL$8)),$AN$8-SQRT((1-AW44)*($AN$8-$AL$8)*($AN$8-$AM$8))),$AM$8)</f>
        <v/>
      </c>
      <c r="AO44">
        <f>IFERROR(IF(AX44&lt;($AM$9-$AL$9)/($AN$9-$AL$9),$AL$9+SQRT(AX44*($AN$9-$AL$9)*($AM$9-$AL$9)),$AN$9-SQRT((1-AX44)*($AN$9-$AL$9)*($AN$9-$AM$9))),$AM$9)</f>
        <v/>
      </c>
      <c r="AP44">
        <f>IFERROR(IF(AY44&lt;($AM$10-$AL$10)/($AN$10-$AL$10),$AL$10+SQRT(AY44*($AN$10-$AL$10)*($AM$10-$AL$10)),$AN$10-SQRT((1-AY44)*($AN$10-$AL$10)*($AN$10-$AM$10))),$AM$10)</f>
        <v/>
      </c>
      <c r="AQ44">
        <f>IFERROR(IF(AZ44&lt;($AM$11-$AL$11)/($AN$11-$AL$11),$AL$11+SQRT(AZ44*($AN$11-$AL$11)*($AM$11-$AL$11)),$AN$11-SQRT((1-AZ44)*($AN$11-$AL$11)*($AN$11-$AM$11))),$AM$11)</f>
        <v/>
      </c>
      <c r="AR44">
        <f>SUMPRODUCT((B24:B31&lt;=$B$6)*(C24:C31*AM44+D24:D31*AO44*$B$8*AQ44)/(1+AL44/100)^B24:B31)+C32*AM44*AP44/(1+AL44/100)^$B$6</f>
        <v/>
      </c>
      <c r="AS44">
        <f>SUMPRODUCT((K24:K26&lt;=$B$6)*(L24:L26*AN44+M24:M26*AO44*$B$8*AQ44)/(1+AL44/100)^K24:K26)+L27*AN44*AP44/(1+AL44/100)^$B$6</f>
        <v/>
      </c>
      <c r="AT44">
        <f>AS44-AR44</f>
        <v/>
      </c>
      <c r="AU44">
        <f>RAND()</f>
        <v/>
      </c>
      <c r="AV44">
        <f>RAND()</f>
        <v/>
      </c>
      <c r="AW44">
        <f>RAND()</f>
        <v/>
      </c>
      <c r="AX44">
        <f>RAND()</f>
        <v/>
      </c>
      <c r="AY44">
        <f>RAND()</f>
        <v/>
      </c>
      <c r="AZ44">
        <f>RAND()</f>
        <v/>
      </c>
    </row>
    <row r="45">
      <c r="A45" s="23" t="inlineStr">
        <is>
          <t>Equivalent uniform annual cost</t>
        </is>
      </c>
      <c r="B45" s="24">
        <f>G33*($B$5/100)*(1+$B$5/100)^$B$6/((1+$B$5/100)^$B$6-1)</f>
        <v/>
      </c>
      <c r="C45" s="24">
        <f>P28*($B$5/100)*(1+$B$5/100)^$B$6/((1+$B$5/100)^$B$6-1)</f>
        <v/>
      </c>
      <c r="D45" s="24">
        <f>C45-B45</f>
        <v/>
      </c>
      <c r="AK45" t="n">
        <v>32</v>
      </c>
      <c r="AL45">
        <f>IFERROR(IF(AU45&lt;($AM$6-$AL$6)/($AN$6-$AL$6),$AL$6+SQRT(AU45*($AN$6-$AL$6)*($AM$6-$AL$6)),$AN$6-SQRT((1-AU45)*($AN$6-$AL$6)*($AN$6-$AM$6))),$AM$6)</f>
        <v/>
      </c>
      <c r="AM45">
        <f>IFERROR(IF(AV45&lt;($AM$7-$AL$7)/($AN$7-$AL$7),$AL$7+SQRT(AV45*($AN$7-$AL$7)*($AM$7-$AL$7)),$AN$7-SQRT((1-AV45)*($AN$7-$AL$7)*($AN$7-$AM$7))),$AM$7)</f>
        <v/>
      </c>
      <c r="AN45">
        <f>IFERROR(IF(AW45&lt;($AM$8-$AL$8)/($AN$8-$AL$8),$AL$8+SQRT(AW45*($AN$8-$AL$8)*($AM$8-$AL$8)),$AN$8-SQRT((1-AW45)*($AN$8-$AL$8)*($AN$8-$AM$8))),$AM$8)</f>
        <v/>
      </c>
      <c r="AO45">
        <f>IFERROR(IF(AX45&lt;($AM$9-$AL$9)/($AN$9-$AL$9),$AL$9+SQRT(AX45*($AN$9-$AL$9)*($AM$9-$AL$9)),$AN$9-SQRT((1-AX45)*($AN$9-$AL$9)*($AN$9-$AM$9))),$AM$9)</f>
        <v/>
      </c>
      <c r="AP45">
        <f>IFERROR(IF(AY45&lt;($AM$10-$AL$10)/($AN$10-$AL$10),$AL$10+SQRT(AY45*($AN$10-$AL$10)*($AM$10-$AL$10)),$AN$10-SQRT((1-AY45)*($AN$10-$AL$10)*($AN$10-$AM$10))),$AM$10)</f>
        <v/>
      </c>
      <c r="AQ45">
        <f>IFERROR(IF(AZ45&lt;($AM$11-$AL$11)/($AN$11-$AL$11),$AL$11+SQRT(AZ45*($AN$11-$AL$11)*($AM$11-$AL$11)),$AN$11-SQRT((1-AZ45)*($AN$11-$AL$11)*($AN$11-$AM$11))),$AM$11)</f>
        <v/>
      </c>
      <c r="AR45">
        <f>SUMPRODUCT((B24:B31&lt;=$B$6)*(C24:C31*AM45+D24:D31*AO45*$B$8*AQ45)/(1+AL45/100)^B24:B31)+C32*AM45*AP45/(1+AL45/100)^$B$6</f>
        <v/>
      </c>
      <c r="AS45">
        <f>SUMPRODUCT((K24:K26&lt;=$B$6)*(L24:L26*AN45+M24:M26*AO45*$B$8*AQ45)/(1+AL45/100)^K24:K26)+L27*AN45*AP45/(1+AL45/100)^$B$6</f>
        <v/>
      </c>
      <c r="AT45">
        <f>AS45-AR45</f>
        <v/>
      </c>
      <c r="AU45">
        <f>RAND()</f>
        <v/>
      </c>
      <c r="AV45">
        <f>RAND()</f>
        <v/>
      </c>
      <c r="AW45">
        <f>RAND()</f>
        <v/>
      </c>
      <c r="AX45">
        <f>RAND()</f>
        <v/>
      </c>
      <c r="AY45">
        <f>RAND()</f>
        <v/>
      </c>
      <c r="AZ45">
        <f>RAND()</f>
        <v/>
      </c>
    </row>
    <row r="46">
      <c r="A46" s="23" t="inlineStr">
        <is>
          <t>NPW per SY of mainline</t>
        </is>
      </c>
      <c r="B46" s="25">
        <f>IFERROR(G33/$B$14,0)</f>
        <v/>
      </c>
      <c r="C46" s="25">
        <f>IFERROR(P28/$B$14,0)</f>
        <v/>
      </c>
      <c r="D46" s="25">
        <f>C46-B46</f>
        <v/>
      </c>
      <c r="AK46" t="n">
        <v>33</v>
      </c>
      <c r="AL46">
        <f>IFERROR(IF(AU46&lt;($AM$6-$AL$6)/($AN$6-$AL$6),$AL$6+SQRT(AU46*($AN$6-$AL$6)*($AM$6-$AL$6)),$AN$6-SQRT((1-AU46)*($AN$6-$AL$6)*($AN$6-$AM$6))),$AM$6)</f>
        <v/>
      </c>
      <c r="AM46">
        <f>IFERROR(IF(AV46&lt;($AM$7-$AL$7)/($AN$7-$AL$7),$AL$7+SQRT(AV46*($AN$7-$AL$7)*($AM$7-$AL$7)),$AN$7-SQRT((1-AV46)*($AN$7-$AL$7)*($AN$7-$AM$7))),$AM$7)</f>
        <v/>
      </c>
      <c r="AN46">
        <f>IFERROR(IF(AW46&lt;($AM$8-$AL$8)/($AN$8-$AL$8),$AL$8+SQRT(AW46*($AN$8-$AL$8)*($AM$8-$AL$8)),$AN$8-SQRT((1-AW46)*($AN$8-$AL$8)*($AN$8-$AM$8))),$AM$8)</f>
        <v/>
      </c>
      <c r="AO46">
        <f>IFERROR(IF(AX46&lt;($AM$9-$AL$9)/($AN$9-$AL$9),$AL$9+SQRT(AX46*($AN$9-$AL$9)*($AM$9-$AL$9)),$AN$9-SQRT((1-AX46)*($AN$9-$AL$9)*($AN$9-$AM$9))),$AM$9)</f>
        <v/>
      </c>
      <c r="AP46">
        <f>IFERROR(IF(AY46&lt;($AM$10-$AL$10)/($AN$10-$AL$10),$AL$10+SQRT(AY46*($AN$10-$AL$10)*($AM$10-$AL$10)),$AN$10-SQRT((1-AY46)*($AN$10-$AL$10)*($AN$10-$AM$10))),$AM$10)</f>
        <v/>
      </c>
      <c r="AQ46">
        <f>IFERROR(IF(AZ46&lt;($AM$11-$AL$11)/($AN$11-$AL$11),$AL$11+SQRT(AZ46*($AN$11-$AL$11)*($AM$11-$AL$11)),$AN$11-SQRT((1-AZ46)*($AN$11-$AL$11)*($AN$11-$AM$11))),$AM$11)</f>
        <v/>
      </c>
      <c r="AR46">
        <f>SUMPRODUCT((B24:B31&lt;=$B$6)*(C24:C31*AM46+D24:D31*AO46*$B$8*AQ46)/(1+AL46/100)^B24:B31)+C32*AM46*AP46/(1+AL46/100)^$B$6</f>
        <v/>
      </c>
      <c r="AS46">
        <f>SUMPRODUCT((K24:K26&lt;=$B$6)*(L24:L26*AN46+M24:M26*AO46*$B$8*AQ46)/(1+AL46/100)^K24:K26)+L27*AN46*AP46/(1+AL46/100)^$B$6</f>
        <v/>
      </c>
      <c r="AT46">
        <f>AS46-AR46</f>
        <v/>
      </c>
      <c r="AU46">
        <f>RAND()</f>
        <v/>
      </c>
      <c r="AV46">
        <f>RAND()</f>
        <v/>
      </c>
      <c r="AW46">
        <f>RAND()</f>
        <v/>
      </c>
      <c r="AX46">
        <f>RAND()</f>
        <v/>
      </c>
      <c r="AY46">
        <f>RAND()</f>
        <v/>
      </c>
      <c r="AZ46">
        <f>RAND()</f>
        <v/>
      </c>
    </row>
    <row r="47">
      <c r="A47" s="23" t="inlineStr">
        <is>
          <t>Closure days in period</t>
        </is>
      </c>
      <c r="B47" s="26">
        <f>SUMPRODUCT((B24:B31&lt;=$B$6)*D24:D31)*$B$10</f>
        <v/>
      </c>
      <c r="C47" s="26">
        <f>SUMPRODUCT((K24:K26&lt;=$B$6)*M24:M26)*$B$10</f>
        <v/>
      </c>
      <c r="D47" s="26">
        <f>C47-B47</f>
        <v/>
      </c>
      <c r="AK47" t="n">
        <v>34</v>
      </c>
      <c r="AL47">
        <f>IFERROR(IF(AU47&lt;($AM$6-$AL$6)/($AN$6-$AL$6),$AL$6+SQRT(AU47*($AN$6-$AL$6)*($AM$6-$AL$6)),$AN$6-SQRT((1-AU47)*($AN$6-$AL$6)*($AN$6-$AM$6))),$AM$6)</f>
        <v/>
      </c>
      <c r="AM47">
        <f>IFERROR(IF(AV47&lt;($AM$7-$AL$7)/($AN$7-$AL$7),$AL$7+SQRT(AV47*($AN$7-$AL$7)*($AM$7-$AL$7)),$AN$7-SQRT((1-AV47)*($AN$7-$AL$7)*($AN$7-$AM$7))),$AM$7)</f>
        <v/>
      </c>
      <c r="AN47">
        <f>IFERROR(IF(AW47&lt;($AM$8-$AL$8)/($AN$8-$AL$8),$AL$8+SQRT(AW47*($AN$8-$AL$8)*($AM$8-$AL$8)),$AN$8-SQRT((1-AW47)*($AN$8-$AL$8)*($AN$8-$AM$8))),$AM$8)</f>
        <v/>
      </c>
      <c r="AO47">
        <f>IFERROR(IF(AX47&lt;($AM$9-$AL$9)/($AN$9-$AL$9),$AL$9+SQRT(AX47*($AN$9-$AL$9)*($AM$9-$AL$9)),$AN$9-SQRT((1-AX47)*($AN$9-$AL$9)*($AN$9-$AM$9))),$AM$9)</f>
        <v/>
      </c>
      <c r="AP47">
        <f>IFERROR(IF(AY47&lt;($AM$10-$AL$10)/($AN$10-$AL$10),$AL$10+SQRT(AY47*($AN$10-$AL$10)*($AM$10-$AL$10)),$AN$10-SQRT((1-AY47)*($AN$10-$AL$10)*($AN$10-$AM$10))),$AM$10)</f>
        <v/>
      </c>
      <c r="AQ47">
        <f>IFERROR(IF(AZ47&lt;($AM$11-$AL$11)/($AN$11-$AL$11),$AL$11+SQRT(AZ47*($AN$11-$AL$11)*($AM$11-$AL$11)),$AN$11-SQRT((1-AZ47)*($AN$11-$AL$11)*($AN$11-$AM$11))),$AM$11)</f>
        <v/>
      </c>
      <c r="AR47">
        <f>SUMPRODUCT((B24:B31&lt;=$B$6)*(C24:C31*AM47+D24:D31*AO47*$B$8*AQ47)/(1+AL47/100)^B24:B31)+C32*AM47*AP47/(1+AL47/100)^$B$6</f>
        <v/>
      </c>
      <c r="AS47">
        <f>SUMPRODUCT((K24:K26&lt;=$B$6)*(L24:L26*AN47+M24:M26*AO47*$B$8*AQ47)/(1+AL47/100)^K24:K26)+L27*AN47*AP47/(1+AL47/100)^$B$6</f>
        <v/>
      </c>
      <c r="AT47">
        <f>AS47-AR47</f>
        <v/>
      </c>
      <c r="AU47">
        <f>RAND()</f>
        <v/>
      </c>
      <c r="AV47">
        <f>RAND()</f>
        <v/>
      </c>
      <c r="AW47">
        <f>RAND()</f>
        <v/>
      </c>
      <c r="AX47">
        <f>RAND()</f>
        <v/>
      </c>
      <c r="AY47">
        <f>RAND()</f>
        <v/>
      </c>
      <c r="AZ47">
        <f>RAND()</f>
        <v/>
      </c>
    </row>
    <row r="48">
      <c r="A48" s="23" t="inlineStr">
        <is>
          <t>Runway availability over period</t>
        </is>
      </c>
      <c r="B48" s="27">
        <f>1-(SUMPRODUCT((B24:B31&lt;=$B$6)*D24:D31)*$B$10)/($B$6*365)</f>
        <v/>
      </c>
      <c r="C48" s="27">
        <f>1-(SUMPRODUCT((K24:K26&lt;=$B$6)*M24:M26)*$B$10)/($B$6*365)</f>
        <v/>
      </c>
      <c r="D48" s="27">
        <f>C48-B48</f>
        <v/>
      </c>
      <c r="AK48" t="n">
        <v>35</v>
      </c>
      <c r="AL48">
        <f>IFERROR(IF(AU48&lt;($AM$6-$AL$6)/($AN$6-$AL$6),$AL$6+SQRT(AU48*($AN$6-$AL$6)*($AM$6-$AL$6)),$AN$6-SQRT((1-AU48)*($AN$6-$AL$6)*($AN$6-$AM$6))),$AM$6)</f>
        <v/>
      </c>
      <c r="AM48">
        <f>IFERROR(IF(AV48&lt;($AM$7-$AL$7)/($AN$7-$AL$7),$AL$7+SQRT(AV48*($AN$7-$AL$7)*($AM$7-$AL$7)),$AN$7-SQRT((1-AV48)*($AN$7-$AL$7)*($AN$7-$AM$7))),$AM$7)</f>
        <v/>
      </c>
      <c r="AN48">
        <f>IFERROR(IF(AW48&lt;($AM$8-$AL$8)/($AN$8-$AL$8),$AL$8+SQRT(AW48*($AN$8-$AL$8)*($AM$8-$AL$8)),$AN$8-SQRT((1-AW48)*($AN$8-$AL$8)*($AN$8-$AM$8))),$AM$8)</f>
        <v/>
      </c>
      <c r="AO48">
        <f>IFERROR(IF(AX48&lt;($AM$9-$AL$9)/($AN$9-$AL$9),$AL$9+SQRT(AX48*($AN$9-$AL$9)*($AM$9-$AL$9)),$AN$9-SQRT((1-AX48)*($AN$9-$AL$9)*($AN$9-$AM$9))),$AM$9)</f>
        <v/>
      </c>
      <c r="AP48">
        <f>IFERROR(IF(AY48&lt;($AM$10-$AL$10)/($AN$10-$AL$10),$AL$10+SQRT(AY48*($AN$10-$AL$10)*($AM$10-$AL$10)),$AN$10-SQRT((1-AY48)*($AN$10-$AL$10)*($AN$10-$AM$10))),$AM$10)</f>
        <v/>
      </c>
      <c r="AQ48">
        <f>IFERROR(IF(AZ48&lt;($AM$11-$AL$11)/($AN$11-$AL$11),$AL$11+SQRT(AZ48*($AN$11-$AL$11)*($AM$11-$AL$11)),$AN$11-SQRT((1-AZ48)*($AN$11-$AL$11)*($AN$11-$AM$11))),$AM$11)</f>
        <v/>
      </c>
      <c r="AR48">
        <f>SUMPRODUCT((B24:B31&lt;=$B$6)*(C24:C31*AM48+D24:D31*AO48*$B$8*AQ48)/(1+AL48/100)^B24:B31)+C32*AM48*AP48/(1+AL48/100)^$B$6</f>
        <v/>
      </c>
      <c r="AS48">
        <f>SUMPRODUCT((K24:K26&lt;=$B$6)*(L24:L26*AN48+M24:M26*AO48*$B$8*AQ48)/(1+AL48/100)^K24:K26)+L27*AN48*AP48/(1+AL48/100)^$B$6</f>
        <v/>
      </c>
      <c r="AT48">
        <f>AS48-AR48</f>
        <v/>
      </c>
      <c r="AU48">
        <f>RAND()</f>
        <v/>
      </c>
      <c r="AV48">
        <f>RAND()</f>
        <v/>
      </c>
      <c r="AW48">
        <f>RAND()</f>
        <v/>
      </c>
      <c r="AX48">
        <f>RAND()</f>
        <v/>
      </c>
      <c r="AY48">
        <f>RAND()</f>
        <v/>
      </c>
      <c r="AZ48">
        <f>RAND()</f>
        <v/>
      </c>
    </row>
    <row r="49">
      <c r="A49" s="23" t="inlineStr">
        <is>
          <t>Lost revenue, undiscounted</t>
        </is>
      </c>
      <c r="B49" s="24">
        <f>SUMPRODUCT((B24:B31&lt;=$B$6)*F24:F31)</f>
        <v/>
      </c>
      <c r="C49" s="24">
        <f>SUMPRODUCT((K24:K26&lt;=$B$6)*O24:O26)</f>
        <v/>
      </c>
      <c r="D49" s="24">
        <f>C49-B49</f>
        <v/>
      </c>
      <c r="AK49" t="n">
        <v>36</v>
      </c>
      <c r="AL49">
        <f>IFERROR(IF(AU49&lt;($AM$6-$AL$6)/($AN$6-$AL$6),$AL$6+SQRT(AU49*($AN$6-$AL$6)*($AM$6-$AL$6)),$AN$6-SQRT((1-AU49)*($AN$6-$AL$6)*($AN$6-$AM$6))),$AM$6)</f>
        <v/>
      </c>
      <c r="AM49">
        <f>IFERROR(IF(AV49&lt;($AM$7-$AL$7)/($AN$7-$AL$7),$AL$7+SQRT(AV49*($AN$7-$AL$7)*($AM$7-$AL$7)),$AN$7-SQRT((1-AV49)*($AN$7-$AL$7)*($AN$7-$AM$7))),$AM$7)</f>
        <v/>
      </c>
      <c r="AN49">
        <f>IFERROR(IF(AW49&lt;($AM$8-$AL$8)/($AN$8-$AL$8),$AL$8+SQRT(AW49*($AN$8-$AL$8)*($AM$8-$AL$8)),$AN$8-SQRT((1-AW49)*($AN$8-$AL$8)*($AN$8-$AM$8))),$AM$8)</f>
        <v/>
      </c>
      <c r="AO49">
        <f>IFERROR(IF(AX49&lt;($AM$9-$AL$9)/($AN$9-$AL$9),$AL$9+SQRT(AX49*($AN$9-$AL$9)*($AM$9-$AL$9)),$AN$9-SQRT((1-AX49)*($AN$9-$AL$9)*($AN$9-$AM$9))),$AM$9)</f>
        <v/>
      </c>
      <c r="AP49">
        <f>IFERROR(IF(AY49&lt;($AM$10-$AL$10)/($AN$10-$AL$10),$AL$10+SQRT(AY49*($AN$10-$AL$10)*($AM$10-$AL$10)),$AN$10-SQRT((1-AY49)*($AN$10-$AL$10)*($AN$10-$AM$10))),$AM$10)</f>
        <v/>
      </c>
      <c r="AQ49">
        <f>IFERROR(IF(AZ49&lt;($AM$11-$AL$11)/($AN$11-$AL$11),$AL$11+SQRT(AZ49*($AN$11-$AL$11)*($AM$11-$AL$11)),$AN$11-SQRT((1-AZ49)*($AN$11-$AL$11)*($AN$11-$AM$11))),$AM$11)</f>
        <v/>
      </c>
      <c r="AR49">
        <f>SUMPRODUCT((B24:B31&lt;=$B$6)*(C24:C31*AM49+D24:D31*AO49*$B$8*AQ49)/(1+AL49/100)^B24:B31)+C32*AM49*AP49/(1+AL49/100)^$B$6</f>
        <v/>
      </c>
      <c r="AS49">
        <f>SUMPRODUCT((K24:K26&lt;=$B$6)*(L24:L26*AN49+M24:M26*AO49*$B$8*AQ49)/(1+AL49/100)^K24:K26)+L27*AN49*AP49/(1+AL49/100)^$B$6</f>
        <v/>
      </c>
      <c r="AT49">
        <f>AS49-AR49</f>
        <v/>
      </c>
      <c r="AU49">
        <f>RAND()</f>
        <v/>
      </c>
      <c r="AV49">
        <f>RAND()</f>
        <v/>
      </c>
      <c r="AW49">
        <f>RAND()</f>
        <v/>
      </c>
      <c r="AX49">
        <f>RAND()</f>
        <v/>
      </c>
      <c r="AY49">
        <f>RAND()</f>
        <v/>
      </c>
      <c r="AZ49">
        <f>RAND()</f>
        <v/>
      </c>
    </row>
    <row r="50">
      <c r="A50" s="9" t="inlineStr">
        <is>
          <t>Lower-cost alternative</t>
        </is>
      </c>
      <c r="B50" s="9">
        <f>IF(C44&lt;B44,"PCC","HMA")</f>
        <v/>
      </c>
      <c r="C50" s="14">
        <f>ABS(D44)</f>
        <v/>
      </c>
      <c r="D50" s="28">
        <f>IFERROR(ABS(D44)/MAX(B44,C44),0)</f>
        <v/>
      </c>
      <c r="E50" s="5">
        <f>IF(D50&lt;0.1,"Margin inside estimating noise (&lt;10%): treat as a tie on cost; decide on closures and constructability","Margin outside estimating noise")</f>
        <v/>
      </c>
      <c r="AK50" t="n">
        <v>37</v>
      </c>
      <c r="AL50">
        <f>IFERROR(IF(AU50&lt;($AM$6-$AL$6)/($AN$6-$AL$6),$AL$6+SQRT(AU50*($AN$6-$AL$6)*($AM$6-$AL$6)),$AN$6-SQRT((1-AU50)*($AN$6-$AL$6)*($AN$6-$AM$6))),$AM$6)</f>
        <v/>
      </c>
      <c r="AM50">
        <f>IFERROR(IF(AV50&lt;($AM$7-$AL$7)/($AN$7-$AL$7),$AL$7+SQRT(AV50*($AN$7-$AL$7)*($AM$7-$AL$7)),$AN$7-SQRT((1-AV50)*($AN$7-$AL$7)*($AN$7-$AM$7))),$AM$7)</f>
        <v/>
      </c>
      <c r="AN50">
        <f>IFERROR(IF(AW50&lt;($AM$8-$AL$8)/($AN$8-$AL$8),$AL$8+SQRT(AW50*($AN$8-$AL$8)*($AM$8-$AL$8)),$AN$8-SQRT((1-AW50)*($AN$8-$AL$8)*($AN$8-$AM$8))),$AM$8)</f>
        <v/>
      </c>
      <c r="AO50">
        <f>IFERROR(IF(AX50&lt;($AM$9-$AL$9)/($AN$9-$AL$9),$AL$9+SQRT(AX50*($AN$9-$AL$9)*($AM$9-$AL$9)),$AN$9-SQRT((1-AX50)*($AN$9-$AL$9)*($AN$9-$AM$9))),$AM$9)</f>
        <v/>
      </c>
      <c r="AP50">
        <f>IFERROR(IF(AY50&lt;($AM$10-$AL$10)/($AN$10-$AL$10),$AL$10+SQRT(AY50*($AN$10-$AL$10)*($AM$10-$AL$10)),$AN$10-SQRT((1-AY50)*($AN$10-$AL$10)*($AN$10-$AM$10))),$AM$10)</f>
        <v/>
      </c>
      <c r="AQ50">
        <f>IFERROR(IF(AZ50&lt;($AM$11-$AL$11)/($AN$11-$AL$11),$AL$11+SQRT(AZ50*($AN$11-$AL$11)*($AM$11-$AL$11)),$AN$11-SQRT((1-AZ50)*($AN$11-$AL$11)*($AN$11-$AM$11))),$AM$11)</f>
        <v/>
      </c>
      <c r="AR50">
        <f>SUMPRODUCT((B24:B31&lt;=$B$6)*(C24:C31*AM50+D24:D31*AO50*$B$8*AQ50)/(1+AL50/100)^B24:B31)+C32*AM50*AP50/(1+AL50/100)^$B$6</f>
        <v/>
      </c>
      <c r="AS50">
        <f>SUMPRODUCT((K24:K26&lt;=$B$6)*(L24:L26*AN50+M24:M26*AO50*$B$8*AQ50)/(1+AL50/100)^K24:K26)+L27*AN50*AP50/(1+AL50/100)^$B$6</f>
        <v/>
      </c>
      <c r="AT50">
        <f>AS50-AR50</f>
        <v/>
      </c>
      <c r="AU50">
        <f>RAND()</f>
        <v/>
      </c>
      <c r="AV50">
        <f>RAND()</f>
        <v/>
      </c>
      <c r="AW50">
        <f>RAND()</f>
        <v/>
      </c>
      <c r="AX50">
        <f>RAND()</f>
        <v/>
      </c>
      <c r="AY50">
        <f>RAND()</f>
        <v/>
      </c>
      <c r="AZ50">
        <f>RAND()</f>
        <v/>
      </c>
    </row>
    <row r="51">
      <c r="A51" s="9" t="inlineStr">
        <is>
          <t>Same winner at 7% (FAA AIP)?</t>
        </is>
      </c>
      <c r="B51">
        <f>IF((SUMPRODUCT((K24:K26&lt;=$B$6)*(L24:L26*$B$12+M24:M26*$B$10*$B$8*$B$9)/(1+7/100)^K24:K26)+L27*$B$12*$B$13/(1+7/100)^$B$6)&lt;(SUMPRODUCT((B24:B31&lt;=$B$6)*(C24:C31*$B$11+D24:D31*$B$10*$B$8*$B$9)/(1+7/100)^B24:B31)+C32*$B$11*$B$13/(1+7/100)^$B$6),"PCC","HMA")</f>
        <v/>
      </c>
      <c r="C51" s="9">
        <f>IF(B51=B50,"Yes","No - decision depends on the discount rate")</f>
        <v/>
      </c>
      <c r="AK51" t="n">
        <v>38</v>
      </c>
      <c r="AL51">
        <f>IFERROR(IF(AU51&lt;($AM$6-$AL$6)/($AN$6-$AL$6),$AL$6+SQRT(AU51*($AN$6-$AL$6)*($AM$6-$AL$6)),$AN$6-SQRT((1-AU51)*($AN$6-$AL$6)*($AN$6-$AM$6))),$AM$6)</f>
        <v/>
      </c>
      <c r="AM51">
        <f>IFERROR(IF(AV51&lt;($AM$7-$AL$7)/($AN$7-$AL$7),$AL$7+SQRT(AV51*($AN$7-$AL$7)*($AM$7-$AL$7)),$AN$7-SQRT((1-AV51)*($AN$7-$AL$7)*($AN$7-$AM$7))),$AM$7)</f>
        <v/>
      </c>
      <c r="AN51">
        <f>IFERROR(IF(AW51&lt;($AM$8-$AL$8)/($AN$8-$AL$8),$AL$8+SQRT(AW51*($AN$8-$AL$8)*($AM$8-$AL$8)),$AN$8-SQRT((1-AW51)*($AN$8-$AL$8)*($AN$8-$AM$8))),$AM$8)</f>
        <v/>
      </c>
      <c r="AO51">
        <f>IFERROR(IF(AX51&lt;($AM$9-$AL$9)/($AN$9-$AL$9),$AL$9+SQRT(AX51*($AN$9-$AL$9)*($AM$9-$AL$9)),$AN$9-SQRT((1-AX51)*($AN$9-$AL$9)*($AN$9-$AM$9))),$AM$9)</f>
        <v/>
      </c>
      <c r="AP51">
        <f>IFERROR(IF(AY51&lt;($AM$10-$AL$10)/($AN$10-$AL$10),$AL$10+SQRT(AY51*($AN$10-$AL$10)*($AM$10-$AL$10)),$AN$10-SQRT((1-AY51)*($AN$10-$AL$10)*($AN$10-$AM$10))),$AM$10)</f>
        <v/>
      </c>
      <c r="AQ51">
        <f>IFERROR(IF(AZ51&lt;($AM$11-$AL$11)/($AN$11-$AL$11),$AL$11+SQRT(AZ51*($AN$11-$AL$11)*($AM$11-$AL$11)),$AN$11-SQRT((1-AZ51)*($AN$11-$AL$11)*($AN$11-$AM$11))),$AM$11)</f>
        <v/>
      </c>
      <c r="AR51">
        <f>SUMPRODUCT((B24:B31&lt;=$B$6)*(C24:C31*AM51+D24:D31*AO51*$B$8*AQ51)/(1+AL51/100)^B24:B31)+C32*AM51*AP51/(1+AL51/100)^$B$6</f>
        <v/>
      </c>
      <c r="AS51">
        <f>SUMPRODUCT((K24:K26&lt;=$B$6)*(L24:L26*AN51+M24:M26*AO51*$B$8*AQ51)/(1+AL51/100)^K24:K26)+L27*AN51*AP51/(1+AL51/100)^$B$6</f>
        <v/>
      </c>
      <c r="AT51">
        <f>AS51-AR51</f>
        <v/>
      </c>
      <c r="AU51">
        <f>RAND()</f>
        <v/>
      </c>
      <c r="AV51">
        <f>RAND()</f>
        <v/>
      </c>
      <c r="AW51">
        <f>RAND()</f>
        <v/>
      </c>
      <c r="AX51">
        <f>RAND()</f>
        <v/>
      </c>
      <c r="AY51">
        <f>RAND()</f>
        <v/>
      </c>
      <c r="AZ51">
        <f>RAND()</f>
        <v/>
      </c>
    </row>
    <row r="52">
      <c r="A52" s="9" t="inlineStr">
        <is>
          <t>Probability PCC is lower (live simulation, F9 redraws)</t>
        </is>
      </c>
      <c r="B52" s="29">
        <f>BC7</f>
        <v/>
      </c>
      <c r="C52" s="5">
        <f>"P10 "&amp;TEXT(BC9,"$#,##0,,")&amp;"M   P90 "&amp;TEXT(BC11,"$#,##0,,")&amp;"M   (PCC - HMA)"</f>
        <v/>
      </c>
      <c r="AK52" t="n">
        <v>39</v>
      </c>
      <c r="AL52">
        <f>IFERROR(IF(AU52&lt;($AM$6-$AL$6)/($AN$6-$AL$6),$AL$6+SQRT(AU52*($AN$6-$AL$6)*($AM$6-$AL$6)),$AN$6-SQRT((1-AU52)*($AN$6-$AL$6)*($AN$6-$AM$6))),$AM$6)</f>
        <v/>
      </c>
      <c r="AM52">
        <f>IFERROR(IF(AV52&lt;($AM$7-$AL$7)/($AN$7-$AL$7),$AL$7+SQRT(AV52*($AN$7-$AL$7)*($AM$7-$AL$7)),$AN$7-SQRT((1-AV52)*($AN$7-$AL$7)*($AN$7-$AM$7))),$AM$7)</f>
        <v/>
      </c>
      <c r="AN52">
        <f>IFERROR(IF(AW52&lt;($AM$8-$AL$8)/($AN$8-$AL$8),$AL$8+SQRT(AW52*($AN$8-$AL$8)*($AM$8-$AL$8)),$AN$8-SQRT((1-AW52)*($AN$8-$AL$8)*($AN$8-$AM$8))),$AM$8)</f>
        <v/>
      </c>
      <c r="AO52">
        <f>IFERROR(IF(AX52&lt;($AM$9-$AL$9)/($AN$9-$AL$9),$AL$9+SQRT(AX52*($AN$9-$AL$9)*($AM$9-$AL$9)),$AN$9-SQRT((1-AX52)*($AN$9-$AL$9)*($AN$9-$AM$9))),$AM$9)</f>
        <v/>
      </c>
      <c r="AP52">
        <f>IFERROR(IF(AY52&lt;($AM$10-$AL$10)/($AN$10-$AL$10),$AL$10+SQRT(AY52*($AN$10-$AL$10)*($AM$10-$AL$10)),$AN$10-SQRT((1-AY52)*($AN$10-$AL$10)*($AN$10-$AM$10))),$AM$10)</f>
        <v/>
      </c>
      <c r="AQ52">
        <f>IFERROR(IF(AZ52&lt;($AM$11-$AL$11)/($AN$11-$AL$11),$AL$11+SQRT(AZ52*($AN$11-$AL$11)*($AM$11-$AL$11)),$AN$11-SQRT((1-AZ52)*($AN$11-$AL$11)*($AN$11-$AM$11))),$AM$11)</f>
        <v/>
      </c>
      <c r="AR52">
        <f>SUMPRODUCT((B24:B31&lt;=$B$6)*(C24:C31*AM52+D24:D31*AO52*$B$8*AQ52)/(1+AL52/100)^B24:B31)+C32*AM52*AP52/(1+AL52/100)^$B$6</f>
        <v/>
      </c>
      <c r="AS52">
        <f>SUMPRODUCT((K24:K26&lt;=$B$6)*(L24:L26*AN52+M24:M26*AO52*$B$8*AQ52)/(1+AL52/100)^K24:K26)+L27*AN52*AP52/(1+AL52/100)^$B$6</f>
        <v/>
      </c>
      <c r="AT52">
        <f>AS52-AR52</f>
        <v/>
      </c>
      <c r="AU52">
        <f>RAND()</f>
        <v/>
      </c>
      <c r="AV52">
        <f>RAND()</f>
        <v/>
      </c>
      <c r="AW52">
        <f>RAND()</f>
        <v/>
      </c>
      <c r="AX52">
        <f>RAND()</f>
        <v/>
      </c>
      <c r="AY52">
        <f>RAND()</f>
        <v/>
      </c>
      <c r="AZ52">
        <f>RAND()</f>
        <v/>
      </c>
    </row>
    <row r="53">
      <c r="AK53" t="n">
        <v>40</v>
      </c>
      <c r="AL53">
        <f>IFERROR(IF(AU53&lt;($AM$6-$AL$6)/($AN$6-$AL$6),$AL$6+SQRT(AU53*($AN$6-$AL$6)*($AM$6-$AL$6)),$AN$6-SQRT((1-AU53)*($AN$6-$AL$6)*($AN$6-$AM$6))),$AM$6)</f>
        <v/>
      </c>
      <c r="AM53">
        <f>IFERROR(IF(AV53&lt;($AM$7-$AL$7)/($AN$7-$AL$7),$AL$7+SQRT(AV53*($AN$7-$AL$7)*($AM$7-$AL$7)),$AN$7-SQRT((1-AV53)*($AN$7-$AL$7)*($AN$7-$AM$7))),$AM$7)</f>
        <v/>
      </c>
      <c r="AN53">
        <f>IFERROR(IF(AW53&lt;($AM$8-$AL$8)/($AN$8-$AL$8),$AL$8+SQRT(AW53*($AN$8-$AL$8)*($AM$8-$AL$8)),$AN$8-SQRT((1-AW53)*($AN$8-$AL$8)*($AN$8-$AM$8))),$AM$8)</f>
        <v/>
      </c>
      <c r="AO53">
        <f>IFERROR(IF(AX53&lt;($AM$9-$AL$9)/($AN$9-$AL$9),$AL$9+SQRT(AX53*($AN$9-$AL$9)*($AM$9-$AL$9)),$AN$9-SQRT((1-AX53)*($AN$9-$AL$9)*($AN$9-$AM$9))),$AM$9)</f>
        <v/>
      </c>
      <c r="AP53">
        <f>IFERROR(IF(AY53&lt;($AM$10-$AL$10)/($AN$10-$AL$10),$AL$10+SQRT(AY53*($AN$10-$AL$10)*($AM$10-$AL$10)),$AN$10-SQRT((1-AY53)*($AN$10-$AL$10)*($AN$10-$AM$10))),$AM$10)</f>
        <v/>
      </c>
      <c r="AQ53">
        <f>IFERROR(IF(AZ53&lt;($AM$11-$AL$11)/($AN$11-$AL$11),$AL$11+SQRT(AZ53*($AN$11-$AL$11)*($AM$11-$AL$11)),$AN$11-SQRT((1-AZ53)*($AN$11-$AL$11)*($AN$11-$AM$11))),$AM$11)</f>
        <v/>
      </c>
      <c r="AR53">
        <f>SUMPRODUCT((B24:B31&lt;=$B$6)*(C24:C31*AM53+D24:D31*AO53*$B$8*AQ53)/(1+AL53/100)^B24:B31)+C32*AM53*AP53/(1+AL53/100)^$B$6</f>
        <v/>
      </c>
      <c r="AS53">
        <f>SUMPRODUCT((K24:K26&lt;=$B$6)*(L24:L26*AN53+M24:M26*AO53*$B$8*AQ53)/(1+AL53/100)^K24:K26)+L27*AN53*AP53/(1+AL53/100)^$B$6</f>
        <v/>
      </c>
      <c r="AT53">
        <f>AS53-AR53</f>
        <v/>
      </c>
      <c r="AU53">
        <f>RAND()</f>
        <v/>
      </c>
      <c r="AV53">
        <f>RAND()</f>
        <v/>
      </c>
      <c r="AW53">
        <f>RAND()</f>
        <v/>
      </c>
      <c r="AX53">
        <f>RAND()</f>
        <v/>
      </c>
      <c r="AY53">
        <f>RAND()</f>
        <v/>
      </c>
      <c r="AZ53">
        <f>RAND()</f>
        <v/>
      </c>
    </row>
    <row r="54">
      <c r="A54" s="4" t="inlineStr">
        <is>
          <t>BREAK-EVEN VALUES (where PCC and HMA present worth are equal)</t>
        </is>
      </c>
      <c r="AK54" t="n">
        <v>41</v>
      </c>
      <c r="AL54">
        <f>IFERROR(IF(AU54&lt;($AM$6-$AL$6)/($AN$6-$AL$6),$AL$6+SQRT(AU54*($AN$6-$AL$6)*($AM$6-$AL$6)),$AN$6-SQRT((1-AU54)*($AN$6-$AL$6)*($AN$6-$AM$6))),$AM$6)</f>
        <v/>
      </c>
      <c r="AM54">
        <f>IFERROR(IF(AV54&lt;($AM$7-$AL$7)/($AN$7-$AL$7),$AL$7+SQRT(AV54*($AN$7-$AL$7)*($AM$7-$AL$7)),$AN$7-SQRT((1-AV54)*($AN$7-$AL$7)*($AN$7-$AM$7))),$AM$7)</f>
        <v/>
      </c>
      <c r="AN54">
        <f>IFERROR(IF(AW54&lt;($AM$8-$AL$8)/($AN$8-$AL$8),$AL$8+SQRT(AW54*($AN$8-$AL$8)*($AM$8-$AL$8)),$AN$8-SQRT((1-AW54)*($AN$8-$AL$8)*($AN$8-$AM$8))),$AM$8)</f>
        <v/>
      </c>
      <c r="AO54">
        <f>IFERROR(IF(AX54&lt;($AM$9-$AL$9)/($AN$9-$AL$9),$AL$9+SQRT(AX54*($AN$9-$AL$9)*($AM$9-$AL$9)),$AN$9-SQRT((1-AX54)*($AN$9-$AL$9)*($AN$9-$AM$9))),$AM$9)</f>
        <v/>
      </c>
      <c r="AP54">
        <f>IFERROR(IF(AY54&lt;($AM$10-$AL$10)/($AN$10-$AL$10),$AL$10+SQRT(AY54*($AN$10-$AL$10)*($AM$10-$AL$10)),$AN$10-SQRT((1-AY54)*($AN$10-$AL$10)*($AN$10-$AM$10))),$AM$10)</f>
        <v/>
      </c>
      <c r="AQ54">
        <f>IFERROR(IF(AZ54&lt;($AM$11-$AL$11)/($AN$11-$AL$11),$AL$11+SQRT(AZ54*($AN$11-$AL$11)*($AM$11-$AL$11)),$AN$11-SQRT((1-AZ54)*($AN$11-$AL$11)*($AN$11-$AM$11))),$AM$11)</f>
        <v/>
      </c>
      <c r="AR54">
        <f>SUMPRODUCT((B24:B31&lt;=$B$6)*(C24:C31*AM54+D24:D31*AO54*$B$8*AQ54)/(1+AL54/100)^B24:B31)+C32*AM54*AP54/(1+AL54/100)^$B$6</f>
        <v/>
      </c>
      <c r="AS54">
        <f>SUMPRODUCT((K24:K26&lt;=$B$6)*(L24:L26*AN54+M24:M26*AO54*$B$8*AQ54)/(1+AL54/100)^K24:K26)+L27*AN54*AP54/(1+AL54/100)^$B$6</f>
        <v/>
      </c>
      <c r="AT54">
        <f>AS54-AR54</f>
        <v/>
      </c>
      <c r="AU54">
        <f>RAND()</f>
        <v/>
      </c>
      <c r="AV54">
        <f>RAND()</f>
        <v/>
      </c>
      <c r="AW54">
        <f>RAND()</f>
        <v/>
      </c>
      <c r="AX54">
        <f>RAND()</f>
        <v/>
      </c>
      <c r="AY54">
        <f>RAND()</f>
        <v/>
      </c>
      <c r="AZ54">
        <f>RAND()</f>
        <v/>
      </c>
    </row>
    <row r="55">
      <c r="A55" s="6" t="inlineStr">
        <is>
          <t>Input</t>
        </is>
      </c>
      <c r="B55" s="6" t="inlineStr">
        <is>
          <t>Break-even value</t>
        </is>
      </c>
      <c r="C55" s="6" t="inlineStr">
        <is>
          <t>Current value</t>
        </is>
      </c>
      <c r="D55" s="6" t="inlineStr">
        <is>
          <t>Reading</t>
        </is>
      </c>
      <c r="AK55" t="n">
        <v>42</v>
      </c>
      <c r="AL55">
        <f>IFERROR(IF(AU55&lt;($AM$6-$AL$6)/($AN$6-$AL$6),$AL$6+SQRT(AU55*($AN$6-$AL$6)*($AM$6-$AL$6)),$AN$6-SQRT((1-AU55)*($AN$6-$AL$6)*($AN$6-$AM$6))),$AM$6)</f>
        <v/>
      </c>
      <c r="AM55">
        <f>IFERROR(IF(AV55&lt;($AM$7-$AL$7)/($AN$7-$AL$7),$AL$7+SQRT(AV55*($AN$7-$AL$7)*($AM$7-$AL$7)),$AN$7-SQRT((1-AV55)*($AN$7-$AL$7)*($AN$7-$AM$7))),$AM$7)</f>
        <v/>
      </c>
      <c r="AN55">
        <f>IFERROR(IF(AW55&lt;($AM$8-$AL$8)/($AN$8-$AL$8),$AL$8+SQRT(AW55*($AN$8-$AL$8)*($AM$8-$AL$8)),$AN$8-SQRT((1-AW55)*($AN$8-$AL$8)*($AN$8-$AM$8))),$AM$8)</f>
        <v/>
      </c>
      <c r="AO55">
        <f>IFERROR(IF(AX55&lt;($AM$9-$AL$9)/($AN$9-$AL$9),$AL$9+SQRT(AX55*($AN$9-$AL$9)*($AM$9-$AL$9)),$AN$9-SQRT((1-AX55)*($AN$9-$AL$9)*($AN$9-$AM$9))),$AM$9)</f>
        <v/>
      </c>
      <c r="AP55">
        <f>IFERROR(IF(AY55&lt;($AM$10-$AL$10)/($AN$10-$AL$10),$AL$10+SQRT(AY55*($AN$10-$AL$10)*($AM$10-$AL$10)),$AN$10-SQRT((1-AY55)*($AN$10-$AL$10)*($AN$10-$AM$10))),$AM$10)</f>
        <v/>
      </c>
      <c r="AQ55">
        <f>IFERROR(IF(AZ55&lt;($AM$11-$AL$11)/($AN$11-$AL$11),$AL$11+SQRT(AZ55*($AN$11-$AL$11)*($AM$11-$AL$11)),$AN$11-SQRT((1-AZ55)*($AN$11-$AL$11)*($AN$11-$AM$11))),$AM$11)</f>
        <v/>
      </c>
      <c r="AR55">
        <f>SUMPRODUCT((B24:B31&lt;=$B$6)*(C24:C31*AM55+D24:D31*AO55*$B$8*AQ55)/(1+AL55/100)^B24:B31)+C32*AM55*AP55/(1+AL55/100)^$B$6</f>
        <v/>
      </c>
      <c r="AS55">
        <f>SUMPRODUCT((K24:K26&lt;=$B$6)*(L24:L26*AN55+M24:M26*AO55*$B$8*AQ55)/(1+AL55/100)^K24:K26)+L27*AN55*AP55/(1+AL55/100)^$B$6</f>
        <v/>
      </c>
      <c r="AT55">
        <f>AS55-AR55</f>
        <v/>
      </c>
      <c r="AU55">
        <f>RAND()</f>
        <v/>
      </c>
      <c r="AV55">
        <f>RAND()</f>
        <v/>
      </c>
      <c r="AW55">
        <f>RAND()</f>
        <v/>
      </c>
      <c r="AX55">
        <f>RAND()</f>
        <v/>
      </c>
      <c r="AY55">
        <f>RAND()</f>
        <v/>
      </c>
      <c r="AZ55">
        <f>RAND()</f>
        <v/>
      </c>
    </row>
    <row r="56">
      <c r="A56" s="23" t="inlineStr">
        <is>
          <t>Airport daily revenue ($/day)</t>
        </is>
      </c>
      <c r="B56" s="30">
        <f>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
      </c>
      <c r="C56" s="30">
        <f>$B$8</f>
        <v/>
      </c>
      <c r="D56" s="5" t="inlineStr">
        <is>
          <t>Daily revenue at which lost-revenue exposure alone flips the decision</t>
        </is>
      </c>
      <c r="AK56" t="n">
        <v>43</v>
      </c>
      <c r="AL56">
        <f>IFERROR(IF(AU56&lt;($AM$6-$AL$6)/($AN$6-$AL$6),$AL$6+SQRT(AU56*($AN$6-$AL$6)*($AM$6-$AL$6)),$AN$6-SQRT((1-AU56)*($AN$6-$AL$6)*($AN$6-$AM$6))),$AM$6)</f>
        <v/>
      </c>
      <c r="AM56">
        <f>IFERROR(IF(AV56&lt;($AM$7-$AL$7)/($AN$7-$AL$7),$AL$7+SQRT(AV56*($AN$7-$AL$7)*($AM$7-$AL$7)),$AN$7-SQRT((1-AV56)*($AN$7-$AL$7)*($AN$7-$AM$7))),$AM$7)</f>
        <v/>
      </c>
      <c r="AN56">
        <f>IFERROR(IF(AW56&lt;($AM$8-$AL$8)/($AN$8-$AL$8),$AL$8+SQRT(AW56*($AN$8-$AL$8)*($AM$8-$AL$8)),$AN$8-SQRT((1-AW56)*($AN$8-$AL$8)*($AN$8-$AM$8))),$AM$8)</f>
        <v/>
      </c>
      <c r="AO56">
        <f>IFERROR(IF(AX56&lt;($AM$9-$AL$9)/($AN$9-$AL$9),$AL$9+SQRT(AX56*($AN$9-$AL$9)*($AM$9-$AL$9)),$AN$9-SQRT((1-AX56)*($AN$9-$AL$9)*($AN$9-$AM$9))),$AM$9)</f>
        <v/>
      </c>
      <c r="AP56">
        <f>IFERROR(IF(AY56&lt;($AM$10-$AL$10)/($AN$10-$AL$10),$AL$10+SQRT(AY56*($AN$10-$AL$10)*($AM$10-$AL$10)),$AN$10-SQRT((1-AY56)*($AN$10-$AL$10)*($AN$10-$AM$10))),$AM$10)</f>
        <v/>
      </c>
      <c r="AQ56">
        <f>IFERROR(IF(AZ56&lt;($AM$11-$AL$11)/($AN$11-$AL$11),$AL$11+SQRT(AZ56*($AN$11-$AL$11)*($AM$11-$AL$11)),$AN$11-SQRT((1-AZ56)*($AN$11-$AL$11)*($AN$11-$AM$11))),$AM$11)</f>
        <v/>
      </c>
      <c r="AR56">
        <f>SUMPRODUCT((B24:B31&lt;=$B$6)*(C24:C31*AM56+D24:D31*AO56*$B$8*AQ56)/(1+AL56/100)^B24:B31)+C32*AM56*AP56/(1+AL56/100)^$B$6</f>
        <v/>
      </c>
      <c r="AS56">
        <f>SUMPRODUCT((K24:K26&lt;=$B$6)*(L24:L26*AN56+M24:M26*AO56*$B$8*AQ56)/(1+AL56/100)^K24:K26)+L27*AN56*AP56/(1+AL56/100)^$B$6</f>
        <v/>
      </c>
      <c r="AT56">
        <f>AS56-AR56</f>
        <v/>
      </c>
      <c r="AU56">
        <f>RAND()</f>
        <v/>
      </c>
      <c r="AV56">
        <f>RAND()</f>
        <v/>
      </c>
      <c r="AW56">
        <f>RAND()</f>
        <v/>
      </c>
      <c r="AX56">
        <f>RAND()</f>
        <v/>
      </c>
      <c r="AY56">
        <f>RAND()</f>
        <v/>
      </c>
      <c r="AZ56">
        <f>RAND()</f>
        <v/>
      </c>
    </row>
    <row r="57">
      <c r="A57" s="23" t="inlineStr">
        <is>
          <t>PCC cost multiplier</t>
        </is>
      </c>
      <c r="B57" s="31">
        <f>IFERROR((G33-SUMPRODUCT((K24:K26&lt;=$B$6)*O24:O26/(1+$B$5/100)^K24:K26))/(((SUMPRODUCT((K24:K26&lt;=$B$6)*N24:N26/(1+$B$5/100)^K24:K26)+P27))/$B$12),"n/a")</f>
        <v/>
      </c>
      <c r="C57" s="31">
        <f>$B$12</f>
        <v/>
      </c>
      <c r="D57" s="5" t="inlineStr">
        <is>
          <t>PCC bid level (x base estimate) at which the two tie</t>
        </is>
      </c>
      <c r="AK57" t="n">
        <v>44</v>
      </c>
      <c r="AL57">
        <f>IFERROR(IF(AU57&lt;($AM$6-$AL$6)/($AN$6-$AL$6),$AL$6+SQRT(AU57*($AN$6-$AL$6)*($AM$6-$AL$6)),$AN$6-SQRT((1-AU57)*($AN$6-$AL$6)*($AN$6-$AM$6))),$AM$6)</f>
        <v/>
      </c>
      <c r="AM57">
        <f>IFERROR(IF(AV57&lt;($AM$7-$AL$7)/($AN$7-$AL$7),$AL$7+SQRT(AV57*($AN$7-$AL$7)*($AM$7-$AL$7)),$AN$7-SQRT((1-AV57)*($AN$7-$AL$7)*($AN$7-$AM$7))),$AM$7)</f>
        <v/>
      </c>
      <c r="AN57">
        <f>IFERROR(IF(AW57&lt;($AM$8-$AL$8)/($AN$8-$AL$8),$AL$8+SQRT(AW57*($AN$8-$AL$8)*($AM$8-$AL$8)),$AN$8-SQRT((1-AW57)*($AN$8-$AL$8)*($AN$8-$AM$8))),$AM$8)</f>
        <v/>
      </c>
      <c r="AO57">
        <f>IFERROR(IF(AX57&lt;($AM$9-$AL$9)/($AN$9-$AL$9),$AL$9+SQRT(AX57*($AN$9-$AL$9)*($AM$9-$AL$9)),$AN$9-SQRT((1-AX57)*($AN$9-$AL$9)*($AN$9-$AM$9))),$AM$9)</f>
        <v/>
      </c>
      <c r="AP57">
        <f>IFERROR(IF(AY57&lt;($AM$10-$AL$10)/($AN$10-$AL$10),$AL$10+SQRT(AY57*($AN$10-$AL$10)*($AM$10-$AL$10)),$AN$10-SQRT((1-AY57)*($AN$10-$AL$10)*($AN$10-$AM$10))),$AM$10)</f>
        <v/>
      </c>
      <c r="AQ57">
        <f>IFERROR(IF(AZ57&lt;($AM$11-$AL$11)/($AN$11-$AL$11),$AL$11+SQRT(AZ57*($AN$11-$AL$11)*($AM$11-$AL$11)),$AN$11-SQRT((1-AZ57)*($AN$11-$AL$11)*($AN$11-$AM$11))),$AM$11)</f>
        <v/>
      </c>
      <c r="AR57">
        <f>SUMPRODUCT((B24:B31&lt;=$B$6)*(C24:C31*AM57+D24:D31*AO57*$B$8*AQ57)/(1+AL57/100)^B24:B31)+C32*AM57*AP57/(1+AL57/100)^$B$6</f>
        <v/>
      </c>
      <c r="AS57">
        <f>SUMPRODUCT((K24:K26&lt;=$B$6)*(L24:L26*AN57+M24:M26*AO57*$B$8*AQ57)/(1+AL57/100)^K24:K26)+L27*AN57*AP57/(1+AL57/100)^$B$6</f>
        <v/>
      </c>
      <c r="AT57">
        <f>AS57-AR57</f>
        <v/>
      </c>
      <c r="AU57">
        <f>RAND()</f>
        <v/>
      </c>
      <c r="AV57">
        <f>RAND()</f>
        <v/>
      </c>
      <c r="AW57">
        <f>RAND()</f>
        <v/>
      </c>
      <c r="AX57">
        <f>RAND()</f>
        <v/>
      </c>
      <c r="AY57">
        <f>RAND()</f>
        <v/>
      </c>
      <c r="AZ57">
        <f>RAND()</f>
        <v/>
      </c>
    </row>
    <row r="58">
      <c r="A58" s="23" t="inlineStr">
        <is>
          <t>HMA cost multiplier</t>
        </is>
      </c>
      <c r="B58" s="31">
        <f>IFERROR((P28-SUMPRODUCT((B24:B31&lt;=$B$6)*F24:F31/(1+$B$5/100)^B24:B31))/(((SUMPRODUCT((B24:B31&lt;=$B$6)*E24:E31/(1+$B$5/100)^B24:B31)+G32))/$B$11),"n/a")</f>
        <v/>
      </c>
      <c r="C58" s="31">
        <f>$B$11</f>
        <v/>
      </c>
      <c r="D58" s="5" t="inlineStr">
        <is>
          <t>HMA bid level (x base estimate) at which the two tie</t>
        </is>
      </c>
      <c r="AK58" t="n">
        <v>45</v>
      </c>
      <c r="AL58">
        <f>IFERROR(IF(AU58&lt;($AM$6-$AL$6)/($AN$6-$AL$6),$AL$6+SQRT(AU58*($AN$6-$AL$6)*($AM$6-$AL$6)),$AN$6-SQRT((1-AU58)*($AN$6-$AL$6)*($AN$6-$AM$6))),$AM$6)</f>
        <v/>
      </c>
      <c r="AM58">
        <f>IFERROR(IF(AV58&lt;($AM$7-$AL$7)/($AN$7-$AL$7),$AL$7+SQRT(AV58*($AN$7-$AL$7)*($AM$7-$AL$7)),$AN$7-SQRT((1-AV58)*($AN$7-$AL$7)*($AN$7-$AM$7))),$AM$7)</f>
        <v/>
      </c>
      <c r="AN58">
        <f>IFERROR(IF(AW58&lt;($AM$8-$AL$8)/($AN$8-$AL$8),$AL$8+SQRT(AW58*($AN$8-$AL$8)*($AM$8-$AL$8)),$AN$8-SQRT((1-AW58)*($AN$8-$AL$8)*($AN$8-$AM$8))),$AM$8)</f>
        <v/>
      </c>
      <c r="AO58">
        <f>IFERROR(IF(AX58&lt;($AM$9-$AL$9)/($AN$9-$AL$9),$AL$9+SQRT(AX58*($AN$9-$AL$9)*($AM$9-$AL$9)),$AN$9-SQRT((1-AX58)*($AN$9-$AL$9)*($AN$9-$AM$9))),$AM$9)</f>
        <v/>
      </c>
      <c r="AP58">
        <f>IFERROR(IF(AY58&lt;($AM$10-$AL$10)/($AN$10-$AL$10),$AL$10+SQRT(AY58*($AN$10-$AL$10)*($AM$10-$AL$10)),$AN$10-SQRT((1-AY58)*($AN$10-$AL$10)*($AN$10-$AM$10))),$AM$10)</f>
        <v/>
      </c>
      <c r="AQ58">
        <f>IFERROR(IF(AZ58&lt;($AM$11-$AL$11)/($AN$11-$AL$11),$AL$11+SQRT(AZ58*($AN$11-$AL$11)*($AM$11-$AL$11)),$AN$11-SQRT((1-AZ58)*($AN$11-$AL$11)*($AN$11-$AM$11))),$AM$11)</f>
        <v/>
      </c>
      <c r="AR58">
        <f>SUMPRODUCT((B24:B31&lt;=$B$6)*(C24:C31*AM58+D24:D31*AO58*$B$8*AQ58)/(1+AL58/100)^B24:B31)+C32*AM58*AP58/(1+AL58/100)^$B$6</f>
        <v/>
      </c>
      <c r="AS58">
        <f>SUMPRODUCT((K24:K26&lt;=$B$6)*(L24:L26*AN58+M24:M26*AO58*$B$8*AQ58)/(1+AL58/100)^K24:K26)+L27*AN58*AP58/(1+AL58/100)^$B$6</f>
        <v/>
      </c>
      <c r="AT58">
        <f>AS58-AR58</f>
        <v/>
      </c>
      <c r="AU58">
        <f>RAND()</f>
        <v/>
      </c>
      <c r="AV58">
        <f>RAND()</f>
        <v/>
      </c>
      <c r="AW58">
        <f>RAND()</f>
        <v/>
      </c>
      <c r="AX58">
        <f>RAND()</f>
        <v/>
      </c>
      <c r="AY58">
        <f>RAND()</f>
        <v/>
      </c>
      <c r="AZ58">
        <f>RAND()</f>
        <v/>
      </c>
    </row>
    <row r="59">
      <c r="A59" s="23" t="inlineStr">
        <is>
          <t>PCC salvage credit (% of initial)</t>
        </is>
      </c>
      <c r="B59" s="32">
        <f>IFERROR((P28-P27-G33)/(N24/(1+$B$5/100)^$B$6),"n/a")</f>
        <v/>
      </c>
      <c r="C59" s="32">
        <f>IFERROR(-L27*$B$13/L24,0)</f>
        <v/>
      </c>
      <c r="D59" s="5" t="inlineStr">
        <is>
          <t>Salvage fraction PCC needs to tie; compare with the 25% policy</t>
        </is>
      </c>
      <c r="AK59" t="n">
        <v>46</v>
      </c>
      <c r="AL59">
        <f>IFERROR(IF(AU59&lt;($AM$6-$AL$6)/($AN$6-$AL$6),$AL$6+SQRT(AU59*($AN$6-$AL$6)*($AM$6-$AL$6)),$AN$6-SQRT((1-AU59)*($AN$6-$AL$6)*($AN$6-$AM$6))),$AM$6)</f>
        <v/>
      </c>
      <c r="AM59">
        <f>IFERROR(IF(AV59&lt;($AM$7-$AL$7)/($AN$7-$AL$7),$AL$7+SQRT(AV59*($AN$7-$AL$7)*($AM$7-$AL$7)),$AN$7-SQRT((1-AV59)*($AN$7-$AL$7)*($AN$7-$AM$7))),$AM$7)</f>
        <v/>
      </c>
      <c r="AN59">
        <f>IFERROR(IF(AW59&lt;($AM$8-$AL$8)/($AN$8-$AL$8),$AL$8+SQRT(AW59*($AN$8-$AL$8)*($AM$8-$AL$8)),$AN$8-SQRT((1-AW59)*($AN$8-$AL$8)*($AN$8-$AM$8))),$AM$8)</f>
        <v/>
      </c>
      <c r="AO59">
        <f>IFERROR(IF(AX59&lt;($AM$9-$AL$9)/($AN$9-$AL$9),$AL$9+SQRT(AX59*($AN$9-$AL$9)*($AM$9-$AL$9)),$AN$9-SQRT((1-AX59)*($AN$9-$AL$9)*($AN$9-$AM$9))),$AM$9)</f>
        <v/>
      </c>
      <c r="AP59">
        <f>IFERROR(IF(AY59&lt;($AM$10-$AL$10)/($AN$10-$AL$10),$AL$10+SQRT(AY59*($AN$10-$AL$10)*($AM$10-$AL$10)),$AN$10-SQRT((1-AY59)*($AN$10-$AL$10)*($AN$10-$AM$10))),$AM$10)</f>
        <v/>
      </c>
      <c r="AQ59">
        <f>IFERROR(IF(AZ59&lt;($AM$11-$AL$11)/($AN$11-$AL$11),$AL$11+SQRT(AZ59*($AN$11-$AL$11)*($AM$11-$AL$11)),$AN$11-SQRT((1-AZ59)*($AN$11-$AL$11)*($AN$11-$AM$11))),$AM$11)</f>
        <v/>
      </c>
      <c r="AR59">
        <f>SUMPRODUCT((B24:B31&lt;=$B$6)*(C24:C31*AM59+D24:D31*AO59*$B$8*AQ59)/(1+AL59/100)^B24:B31)+C32*AM59*AP59/(1+AL59/100)^$B$6</f>
        <v/>
      </c>
      <c r="AS59">
        <f>SUMPRODUCT((K24:K26&lt;=$B$6)*(L24:L26*AN59+M24:M26*AO59*$B$8*AQ59)/(1+AL59/100)^K24:K26)+L27*AN59*AP59/(1+AL59/100)^$B$6</f>
        <v/>
      </c>
      <c r="AT59">
        <f>AS59-AR59</f>
        <v/>
      </c>
      <c r="AU59">
        <f>RAND()</f>
        <v/>
      </c>
      <c r="AV59">
        <f>RAND()</f>
        <v/>
      </c>
      <c r="AW59">
        <f>RAND()</f>
        <v/>
      </c>
      <c r="AX59">
        <f>RAND()</f>
        <v/>
      </c>
      <c r="AY59">
        <f>RAND()</f>
        <v/>
      </c>
      <c r="AZ59">
        <f>RAND()</f>
        <v/>
      </c>
    </row>
    <row r="60">
      <c r="A60" s="7" t="inlineStr">
        <is>
          <t>Discount rate (%)</t>
        </is>
      </c>
      <c r="B60" s="33">
        <f>IFERROR(INDEX($A$65:$A$89,MATCH(TRUE,INDEX($E$65:$E$89&lt;&gt;$E$65,0),0)),"none in 2-8%")</f>
        <v/>
      </c>
      <c r="C60" s="33">
        <f>$B$5</f>
        <v/>
      </c>
      <c r="D60" s="5" t="inlineStr">
        <is>
          <t>First rate in the 2-8% sweep where the winner changes (from the sensitivity table)</t>
        </is>
      </c>
      <c r="AK60" t="n">
        <v>47</v>
      </c>
      <c r="AL60">
        <f>IFERROR(IF(AU60&lt;($AM$6-$AL$6)/($AN$6-$AL$6),$AL$6+SQRT(AU60*($AN$6-$AL$6)*($AM$6-$AL$6)),$AN$6-SQRT((1-AU60)*($AN$6-$AL$6)*($AN$6-$AM$6))),$AM$6)</f>
        <v/>
      </c>
      <c r="AM60">
        <f>IFERROR(IF(AV60&lt;($AM$7-$AL$7)/($AN$7-$AL$7),$AL$7+SQRT(AV60*($AN$7-$AL$7)*($AM$7-$AL$7)),$AN$7-SQRT((1-AV60)*($AN$7-$AL$7)*($AN$7-$AM$7))),$AM$7)</f>
        <v/>
      </c>
      <c r="AN60">
        <f>IFERROR(IF(AW60&lt;($AM$8-$AL$8)/($AN$8-$AL$8),$AL$8+SQRT(AW60*($AN$8-$AL$8)*($AM$8-$AL$8)),$AN$8-SQRT((1-AW60)*($AN$8-$AL$8)*($AN$8-$AM$8))),$AM$8)</f>
        <v/>
      </c>
      <c r="AO60">
        <f>IFERROR(IF(AX60&lt;($AM$9-$AL$9)/($AN$9-$AL$9),$AL$9+SQRT(AX60*($AN$9-$AL$9)*($AM$9-$AL$9)),$AN$9-SQRT((1-AX60)*($AN$9-$AL$9)*($AN$9-$AM$9))),$AM$9)</f>
        <v/>
      </c>
      <c r="AP60">
        <f>IFERROR(IF(AY60&lt;($AM$10-$AL$10)/($AN$10-$AL$10),$AL$10+SQRT(AY60*($AN$10-$AL$10)*($AM$10-$AL$10)),$AN$10-SQRT((1-AY60)*($AN$10-$AL$10)*($AN$10-$AM$10))),$AM$10)</f>
        <v/>
      </c>
      <c r="AQ60">
        <f>IFERROR(IF(AZ60&lt;($AM$11-$AL$11)/($AN$11-$AL$11),$AL$11+SQRT(AZ60*($AN$11-$AL$11)*($AM$11-$AL$11)),$AN$11-SQRT((1-AZ60)*($AN$11-$AL$11)*($AN$11-$AM$11))),$AM$11)</f>
        <v/>
      </c>
      <c r="AR60">
        <f>SUMPRODUCT((B24:B31&lt;=$B$6)*(C24:C31*AM60+D24:D31*AO60*$B$8*AQ60)/(1+AL60/100)^B24:B31)+C32*AM60*AP60/(1+AL60/100)^$B$6</f>
        <v/>
      </c>
      <c r="AS60">
        <f>SUMPRODUCT((K24:K26&lt;=$B$6)*(L24:L26*AN60+M24:M26*AO60*$B$8*AQ60)/(1+AL60/100)^K24:K26)+L27*AN60*AP60/(1+AL60/100)^$B$6</f>
        <v/>
      </c>
      <c r="AT60">
        <f>AS60-AR60</f>
        <v/>
      </c>
      <c r="AU60">
        <f>RAND()</f>
        <v/>
      </c>
      <c r="AV60">
        <f>RAND()</f>
        <v/>
      </c>
      <c r="AW60">
        <f>RAND()</f>
        <v/>
      </c>
      <c r="AX60">
        <f>RAND()</f>
        <v/>
      </c>
      <c r="AY60">
        <f>RAND()</f>
        <v/>
      </c>
      <c r="AZ60">
        <f>RAND()</f>
        <v/>
      </c>
    </row>
    <row r="61">
      <c r="AK61" t="n">
        <v>48</v>
      </c>
      <c r="AL61">
        <f>IFERROR(IF(AU61&lt;($AM$6-$AL$6)/($AN$6-$AL$6),$AL$6+SQRT(AU61*($AN$6-$AL$6)*($AM$6-$AL$6)),$AN$6-SQRT((1-AU61)*($AN$6-$AL$6)*($AN$6-$AM$6))),$AM$6)</f>
        <v/>
      </c>
      <c r="AM61">
        <f>IFERROR(IF(AV61&lt;($AM$7-$AL$7)/($AN$7-$AL$7),$AL$7+SQRT(AV61*($AN$7-$AL$7)*($AM$7-$AL$7)),$AN$7-SQRT((1-AV61)*($AN$7-$AL$7)*($AN$7-$AM$7))),$AM$7)</f>
        <v/>
      </c>
      <c r="AN61">
        <f>IFERROR(IF(AW61&lt;($AM$8-$AL$8)/($AN$8-$AL$8),$AL$8+SQRT(AW61*($AN$8-$AL$8)*($AM$8-$AL$8)),$AN$8-SQRT((1-AW61)*($AN$8-$AL$8)*($AN$8-$AM$8))),$AM$8)</f>
        <v/>
      </c>
      <c r="AO61">
        <f>IFERROR(IF(AX61&lt;($AM$9-$AL$9)/($AN$9-$AL$9),$AL$9+SQRT(AX61*($AN$9-$AL$9)*($AM$9-$AL$9)),$AN$9-SQRT((1-AX61)*($AN$9-$AL$9)*($AN$9-$AM$9))),$AM$9)</f>
        <v/>
      </c>
      <c r="AP61">
        <f>IFERROR(IF(AY61&lt;($AM$10-$AL$10)/($AN$10-$AL$10),$AL$10+SQRT(AY61*($AN$10-$AL$10)*($AM$10-$AL$10)),$AN$10-SQRT((1-AY61)*($AN$10-$AL$10)*($AN$10-$AM$10))),$AM$10)</f>
        <v/>
      </c>
      <c r="AQ61">
        <f>IFERROR(IF(AZ61&lt;($AM$11-$AL$11)/($AN$11-$AL$11),$AL$11+SQRT(AZ61*($AN$11-$AL$11)*($AM$11-$AL$11)),$AN$11-SQRT((1-AZ61)*($AN$11-$AL$11)*($AN$11-$AM$11))),$AM$11)</f>
        <v/>
      </c>
      <c r="AR61">
        <f>SUMPRODUCT((B24:B31&lt;=$B$6)*(C24:C31*AM61+D24:D31*AO61*$B$8*AQ61)/(1+AL61/100)^B24:B31)+C32*AM61*AP61/(1+AL61/100)^$B$6</f>
        <v/>
      </c>
      <c r="AS61">
        <f>SUMPRODUCT((K24:K26&lt;=$B$6)*(L24:L26*AN61+M24:M26*AO61*$B$8*AQ61)/(1+AL61/100)^K24:K26)+L27*AN61*AP61/(1+AL61/100)^$B$6</f>
        <v/>
      </c>
      <c r="AT61">
        <f>AS61-AR61</f>
        <v/>
      </c>
      <c r="AU61">
        <f>RAND()</f>
        <v/>
      </c>
      <c r="AV61">
        <f>RAND()</f>
        <v/>
      </c>
      <c r="AW61">
        <f>RAND()</f>
        <v/>
      </c>
      <c r="AX61">
        <f>RAND()</f>
        <v/>
      </c>
      <c r="AY61">
        <f>RAND()</f>
        <v/>
      </c>
      <c r="AZ61">
        <f>RAND()</f>
        <v/>
      </c>
    </row>
    <row r="62">
      <c r="AK62" t="n">
        <v>49</v>
      </c>
      <c r="AL62">
        <f>IFERROR(IF(AU62&lt;($AM$6-$AL$6)/($AN$6-$AL$6),$AL$6+SQRT(AU62*($AN$6-$AL$6)*($AM$6-$AL$6)),$AN$6-SQRT((1-AU62)*($AN$6-$AL$6)*($AN$6-$AM$6))),$AM$6)</f>
        <v/>
      </c>
      <c r="AM62">
        <f>IFERROR(IF(AV62&lt;($AM$7-$AL$7)/($AN$7-$AL$7),$AL$7+SQRT(AV62*($AN$7-$AL$7)*($AM$7-$AL$7)),$AN$7-SQRT((1-AV62)*($AN$7-$AL$7)*($AN$7-$AM$7))),$AM$7)</f>
        <v/>
      </c>
      <c r="AN62">
        <f>IFERROR(IF(AW62&lt;($AM$8-$AL$8)/($AN$8-$AL$8),$AL$8+SQRT(AW62*($AN$8-$AL$8)*($AM$8-$AL$8)),$AN$8-SQRT((1-AW62)*($AN$8-$AL$8)*($AN$8-$AM$8))),$AM$8)</f>
        <v/>
      </c>
      <c r="AO62">
        <f>IFERROR(IF(AX62&lt;($AM$9-$AL$9)/($AN$9-$AL$9),$AL$9+SQRT(AX62*($AN$9-$AL$9)*($AM$9-$AL$9)),$AN$9-SQRT((1-AX62)*($AN$9-$AL$9)*($AN$9-$AM$9))),$AM$9)</f>
        <v/>
      </c>
      <c r="AP62">
        <f>IFERROR(IF(AY62&lt;($AM$10-$AL$10)/($AN$10-$AL$10),$AL$10+SQRT(AY62*($AN$10-$AL$10)*($AM$10-$AL$10)),$AN$10-SQRT((1-AY62)*($AN$10-$AL$10)*($AN$10-$AM$10))),$AM$10)</f>
        <v/>
      </c>
      <c r="AQ62">
        <f>IFERROR(IF(AZ62&lt;($AM$11-$AL$11)/($AN$11-$AL$11),$AL$11+SQRT(AZ62*($AN$11-$AL$11)*($AM$11-$AL$11)),$AN$11-SQRT((1-AZ62)*($AN$11-$AL$11)*($AN$11-$AM$11))),$AM$11)</f>
        <v/>
      </c>
      <c r="AR62">
        <f>SUMPRODUCT((B24:B31&lt;=$B$6)*(C24:C31*AM62+D24:D31*AO62*$B$8*AQ62)/(1+AL62/100)^B24:B31)+C32*AM62*AP62/(1+AL62/100)^$B$6</f>
        <v/>
      </c>
      <c r="AS62">
        <f>SUMPRODUCT((K24:K26&lt;=$B$6)*(L24:L26*AN62+M24:M26*AO62*$B$8*AQ62)/(1+AL62/100)^K24:K26)+L27*AN62*AP62/(1+AL62/100)^$B$6</f>
        <v/>
      </c>
      <c r="AT62">
        <f>AS62-AR62</f>
        <v/>
      </c>
      <c r="AU62">
        <f>RAND()</f>
        <v/>
      </c>
      <c r="AV62">
        <f>RAND()</f>
        <v/>
      </c>
      <c r="AW62">
        <f>RAND()</f>
        <v/>
      </c>
      <c r="AX62">
        <f>RAND()</f>
        <v/>
      </c>
      <c r="AY62">
        <f>RAND()</f>
        <v/>
      </c>
      <c r="AZ62">
        <f>RAND()</f>
        <v/>
      </c>
    </row>
    <row r="63">
      <c r="A63" s="4" t="inlineStr">
        <is>
          <t>DISCOUNT-RATE SENSITIVITY</t>
        </is>
      </c>
      <c r="AK63" t="n">
        <v>50</v>
      </c>
      <c r="AL63">
        <f>IFERROR(IF(AU63&lt;($AM$6-$AL$6)/($AN$6-$AL$6),$AL$6+SQRT(AU63*($AN$6-$AL$6)*($AM$6-$AL$6)),$AN$6-SQRT((1-AU63)*($AN$6-$AL$6)*($AN$6-$AM$6))),$AM$6)</f>
        <v/>
      </c>
      <c r="AM63">
        <f>IFERROR(IF(AV63&lt;($AM$7-$AL$7)/($AN$7-$AL$7),$AL$7+SQRT(AV63*($AN$7-$AL$7)*($AM$7-$AL$7)),$AN$7-SQRT((1-AV63)*($AN$7-$AL$7)*($AN$7-$AM$7))),$AM$7)</f>
        <v/>
      </c>
      <c r="AN63">
        <f>IFERROR(IF(AW63&lt;($AM$8-$AL$8)/($AN$8-$AL$8),$AL$8+SQRT(AW63*($AN$8-$AL$8)*($AM$8-$AL$8)),$AN$8-SQRT((1-AW63)*($AN$8-$AL$8)*($AN$8-$AM$8))),$AM$8)</f>
        <v/>
      </c>
      <c r="AO63">
        <f>IFERROR(IF(AX63&lt;($AM$9-$AL$9)/($AN$9-$AL$9),$AL$9+SQRT(AX63*($AN$9-$AL$9)*($AM$9-$AL$9)),$AN$9-SQRT((1-AX63)*($AN$9-$AL$9)*($AN$9-$AM$9))),$AM$9)</f>
        <v/>
      </c>
      <c r="AP63">
        <f>IFERROR(IF(AY63&lt;($AM$10-$AL$10)/($AN$10-$AL$10),$AL$10+SQRT(AY63*($AN$10-$AL$10)*($AM$10-$AL$10)),$AN$10-SQRT((1-AY63)*($AN$10-$AL$10)*($AN$10-$AM$10))),$AM$10)</f>
        <v/>
      </c>
      <c r="AQ63">
        <f>IFERROR(IF(AZ63&lt;($AM$11-$AL$11)/($AN$11-$AL$11),$AL$11+SQRT(AZ63*($AN$11-$AL$11)*($AM$11-$AL$11)),$AN$11-SQRT((1-AZ63)*($AN$11-$AL$11)*($AN$11-$AM$11))),$AM$11)</f>
        <v/>
      </c>
      <c r="AR63">
        <f>SUMPRODUCT((B24:B31&lt;=$B$6)*(C24:C31*AM63+D24:D31*AO63*$B$8*AQ63)/(1+AL63/100)^B24:B31)+C32*AM63*AP63/(1+AL63/100)^$B$6</f>
        <v/>
      </c>
      <c r="AS63">
        <f>SUMPRODUCT((K24:K26&lt;=$B$6)*(L24:L26*AN63+M24:M26*AO63*$B$8*AQ63)/(1+AL63/100)^K24:K26)+L27*AN63*AP63/(1+AL63/100)^$B$6</f>
        <v/>
      </c>
      <c r="AT63">
        <f>AS63-AR63</f>
        <v/>
      </c>
      <c r="AU63">
        <f>RAND()</f>
        <v/>
      </c>
      <c r="AV63">
        <f>RAND()</f>
        <v/>
      </c>
      <c r="AW63">
        <f>RAND()</f>
        <v/>
      </c>
      <c r="AX63">
        <f>RAND()</f>
        <v/>
      </c>
      <c r="AY63">
        <f>RAND()</f>
        <v/>
      </c>
      <c r="AZ63">
        <f>RAND()</f>
        <v/>
      </c>
    </row>
    <row r="64">
      <c r="A64" s="6" t="inlineStr">
        <is>
          <t>Rate (%)</t>
        </is>
      </c>
      <c r="B64" s="6" t="inlineStr">
        <is>
          <t>NPW HMA</t>
        </is>
      </c>
      <c r="C64" s="6" t="inlineStr">
        <is>
          <t>NPW PCC</t>
        </is>
      </c>
      <c r="D64" s="6" t="inlineStr">
        <is>
          <t>PCC - HMA</t>
        </is>
      </c>
      <c r="E64" s="6" t="inlineStr">
        <is>
          <t>Winner</t>
        </is>
      </c>
      <c r="AK64" t="n">
        <v>51</v>
      </c>
      <c r="AL64">
        <f>IFERROR(IF(AU64&lt;($AM$6-$AL$6)/($AN$6-$AL$6),$AL$6+SQRT(AU64*($AN$6-$AL$6)*($AM$6-$AL$6)),$AN$6-SQRT((1-AU64)*($AN$6-$AL$6)*($AN$6-$AM$6))),$AM$6)</f>
        <v/>
      </c>
      <c r="AM64">
        <f>IFERROR(IF(AV64&lt;($AM$7-$AL$7)/($AN$7-$AL$7),$AL$7+SQRT(AV64*($AN$7-$AL$7)*($AM$7-$AL$7)),$AN$7-SQRT((1-AV64)*($AN$7-$AL$7)*($AN$7-$AM$7))),$AM$7)</f>
        <v/>
      </c>
      <c r="AN64">
        <f>IFERROR(IF(AW64&lt;($AM$8-$AL$8)/($AN$8-$AL$8),$AL$8+SQRT(AW64*($AN$8-$AL$8)*($AM$8-$AL$8)),$AN$8-SQRT((1-AW64)*($AN$8-$AL$8)*($AN$8-$AM$8))),$AM$8)</f>
        <v/>
      </c>
      <c r="AO64">
        <f>IFERROR(IF(AX64&lt;($AM$9-$AL$9)/($AN$9-$AL$9),$AL$9+SQRT(AX64*($AN$9-$AL$9)*($AM$9-$AL$9)),$AN$9-SQRT((1-AX64)*($AN$9-$AL$9)*($AN$9-$AM$9))),$AM$9)</f>
        <v/>
      </c>
      <c r="AP64">
        <f>IFERROR(IF(AY64&lt;($AM$10-$AL$10)/($AN$10-$AL$10),$AL$10+SQRT(AY64*($AN$10-$AL$10)*($AM$10-$AL$10)),$AN$10-SQRT((1-AY64)*($AN$10-$AL$10)*($AN$10-$AM$10))),$AM$10)</f>
        <v/>
      </c>
      <c r="AQ64">
        <f>IFERROR(IF(AZ64&lt;($AM$11-$AL$11)/($AN$11-$AL$11),$AL$11+SQRT(AZ64*($AN$11-$AL$11)*($AM$11-$AL$11)),$AN$11-SQRT((1-AZ64)*($AN$11-$AL$11)*($AN$11-$AM$11))),$AM$11)</f>
        <v/>
      </c>
      <c r="AR64">
        <f>SUMPRODUCT((B24:B31&lt;=$B$6)*(C24:C31*AM64+D24:D31*AO64*$B$8*AQ64)/(1+AL64/100)^B24:B31)+C32*AM64*AP64/(1+AL64/100)^$B$6</f>
        <v/>
      </c>
      <c r="AS64">
        <f>SUMPRODUCT((K24:K26&lt;=$B$6)*(L24:L26*AN64+M24:M26*AO64*$B$8*AQ64)/(1+AL64/100)^K24:K26)+L27*AN64*AP64/(1+AL64/100)^$B$6</f>
        <v/>
      </c>
      <c r="AT64">
        <f>AS64-AR64</f>
        <v/>
      </c>
      <c r="AU64">
        <f>RAND()</f>
        <v/>
      </c>
      <c r="AV64">
        <f>RAND()</f>
        <v/>
      </c>
      <c r="AW64">
        <f>RAND()</f>
        <v/>
      </c>
      <c r="AX64">
        <f>RAND()</f>
        <v/>
      </c>
      <c r="AY64">
        <f>RAND()</f>
        <v/>
      </c>
      <c r="AZ64">
        <f>RAND()</f>
        <v/>
      </c>
    </row>
    <row r="65">
      <c r="A65" s="33" t="n">
        <v>2</v>
      </c>
      <c r="B65" s="14">
        <f>SUMPRODUCT((B24:B31&lt;=$B$6)*(C24:C31*$B$11+D24:D31*$B$10*$B$8*$B$9)/(1+$A65/100)^B24:B31)+C32*$B$11*$B$13/(1+$A65/100)^$B$6</f>
        <v/>
      </c>
      <c r="C65" s="14">
        <f>SUMPRODUCT((K24:K26&lt;=$B$6)*(L24:L26*$B$12+M24:M26*$B$10*$B$8*$B$9)/(1+$A65/100)^K24:K26)+L27*$B$12*$B$13/(1+$A65/100)^$B$6</f>
        <v/>
      </c>
      <c r="D65" s="14">
        <f>C65-B65</f>
        <v/>
      </c>
      <c r="E65">
        <f>IF(D65&lt;0,"PCC","HMA")</f>
        <v/>
      </c>
      <c r="AK65" t="n">
        <v>52</v>
      </c>
      <c r="AL65">
        <f>IFERROR(IF(AU65&lt;($AM$6-$AL$6)/($AN$6-$AL$6),$AL$6+SQRT(AU65*($AN$6-$AL$6)*($AM$6-$AL$6)),$AN$6-SQRT((1-AU65)*($AN$6-$AL$6)*($AN$6-$AM$6))),$AM$6)</f>
        <v/>
      </c>
      <c r="AM65">
        <f>IFERROR(IF(AV65&lt;($AM$7-$AL$7)/($AN$7-$AL$7),$AL$7+SQRT(AV65*($AN$7-$AL$7)*($AM$7-$AL$7)),$AN$7-SQRT((1-AV65)*($AN$7-$AL$7)*($AN$7-$AM$7))),$AM$7)</f>
        <v/>
      </c>
      <c r="AN65">
        <f>IFERROR(IF(AW65&lt;($AM$8-$AL$8)/($AN$8-$AL$8),$AL$8+SQRT(AW65*($AN$8-$AL$8)*($AM$8-$AL$8)),$AN$8-SQRT((1-AW65)*($AN$8-$AL$8)*($AN$8-$AM$8))),$AM$8)</f>
        <v/>
      </c>
      <c r="AO65">
        <f>IFERROR(IF(AX65&lt;($AM$9-$AL$9)/($AN$9-$AL$9),$AL$9+SQRT(AX65*($AN$9-$AL$9)*($AM$9-$AL$9)),$AN$9-SQRT((1-AX65)*($AN$9-$AL$9)*($AN$9-$AM$9))),$AM$9)</f>
        <v/>
      </c>
      <c r="AP65">
        <f>IFERROR(IF(AY65&lt;($AM$10-$AL$10)/($AN$10-$AL$10),$AL$10+SQRT(AY65*($AN$10-$AL$10)*($AM$10-$AL$10)),$AN$10-SQRT((1-AY65)*($AN$10-$AL$10)*($AN$10-$AM$10))),$AM$10)</f>
        <v/>
      </c>
      <c r="AQ65">
        <f>IFERROR(IF(AZ65&lt;($AM$11-$AL$11)/($AN$11-$AL$11),$AL$11+SQRT(AZ65*($AN$11-$AL$11)*($AM$11-$AL$11)),$AN$11-SQRT((1-AZ65)*($AN$11-$AL$11)*($AN$11-$AM$11))),$AM$11)</f>
        <v/>
      </c>
      <c r="AR65">
        <f>SUMPRODUCT((B24:B31&lt;=$B$6)*(C24:C31*AM65+D24:D31*AO65*$B$8*AQ65)/(1+AL65/100)^B24:B31)+C32*AM65*AP65/(1+AL65/100)^$B$6</f>
        <v/>
      </c>
      <c r="AS65">
        <f>SUMPRODUCT((K24:K26&lt;=$B$6)*(L24:L26*AN65+M24:M26*AO65*$B$8*AQ65)/(1+AL65/100)^K24:K26)+L27*AN65*AP65/(1+AL65/100)^$B$6</f>
        <v/>
      </c>
      <c r="AT65">
        <f>AS65-AR65</f>
        <v/>
      </c>
      <c r="AU65">
        <f>RAND()</f>
        <v/>
      </c>
      <c r="AV65">
        <f>RAND()</f>
        <v/>
      </c>
      <c r="AW65">
        <f>RAND()</f>
        <v/>
      </c>
      <c r="AX65">
        <f>RAND()</f>
        <v/>
      </c>
      <c r="AY65">
        <f>RAND()</f>
        <v/>
      </c>
      <c r="AZ65">
        <f>RAND()</f>
        <v/>
      </c>
    </row>
    <row r="66">
      <c r="A66" s="33" t="n">
        <v>2.25</v>
      </c>
      <c r="B66" s="14">
        <f>SUMPRODUCT((B24:B31&lt;=$B$6)*(C24:C31*$B$11+D24:D31*$B$10*$B$8*$B$9)/(1+$A66/100)^B24:B31)+C32*$B$11*$B$13/(1+$A66/100)^$B$6</f>
        <v/>
      </c>
      <c r="C66" s="14">
        <f>SUMPRODUCT((K24:K26&lt;=$B$6)*(L24:L26*$B$12+M24:M26*$B$10*$B$8*$B$9)/(1+$A66/100)^K24:K26)+L27*$B$12*$B$13/(1+$A66/100)^$B$6</f>
        <v/>
      </c>
      <c r="D66" s="14">
        <f>C66-B66</f>
        <v/>
      </c>
      <c r="E66">
        <f>IF(D66&lt;0,"PCC","HMA")</f>
        <v/>
      </c>
      <c r="AK66" t="n">
        <v>53</v>
      </c>
      <c r="AL66">
        <f>IFERROR(IF(AU66&lt;($AM$6-$AL$6)/($AN$6-$AL$6),$AL$6+SQRT(AU66*($AN$6-$AL$6)*($AM$6-$AL$6)),$AN$6-SQRT((1-AU66)*($AN$6-$AL$6)*($AN$6-$AM$6))),$AM$6)</f>
        <v/>
      </c>
      <c r="AM66">
        <f>IFERROR(IF(AV66&lt;($AM$7-$AL$7)/($AN$7-$AL$7),$AL$7+SQRT(AV66*($AN$7-$AL$7)*($AM$7-$AL$7)),$AN$7-SQRT((1-AV66)*($AN$7-$AL$7)*($AN$7-$AM$7))),$AM$7)</f>
        <v/>
      </c>
      <c r="AN66">
        <f>IFERROR(IF(AW66&lt;($AM$8-$AL$8)/($AN$8-$AL$8),$AL$8+SQRT(AW66*($AN$8-$AL$8)*($AM$8-$AL$8)),$AN$8-SQRT((1-AW66)*($AN$8-$AL$8)*($AN$8-$AM$8))),$AM$8)</f>
        <v/>
      </c>
      <c r="AO66">
        <f>IFERROR(IF(AX66&lt;($AM$9-$AL$9)/($AN$9-$AL$9),$AL$9+SQRT(AX66*($AN$9-$AL$9)*($AM$9-$AL$9)),$AN$9-SQRT((1-AX66)*($AN$9-$AL$9)*($AN$9-$AM$9))),$AM$9)</f>
        <v/>
      </c>
      <c r="AP66">
        <f>IFERROR(IF(AY66&lt;($AM$10-$AL$10)/($AN$10-$AL$10),$AL$10+SQRT(AY66*($AN$10-$AL$10)*($AM$10-$AL$10)),$AN$10-SQRT((1-AY66)*($AN$10-$AL$10)*($AN$10-$AM$10))),$AM$10)</f>
        <v/>
      </c>
      <c r="AQ66">
        <f>IFERROR(IF(AZ66&lt;($AM$11-$AL$11)/($AN$11-$AL$11),$AL$11+SQRT(AZ66*($AN$11-$AL$11)*($AM$11-$AL$11)),$AN$11-SQRT((1-AZ66)*($AN$11-$AL$11)*($AN$11-$AM$11))),$AM$11)</f>
        <v/>
      </c>
      <c r="AR66">
        <f>SUMPRODUCT((B24:B31&lt;=$B$6)*(C24:C31*AM66+D24:D31*AO66*$B$8*AQ66)/(1+AL66/100)^B24:B31)+C32*AM66*AP66/(1+AL66/100)^$B$6</f>
        <v/>
      </c>
      <c r="AS66">
        <f>SUMPRODUCT((K24:K26&lt;=$B$6)*(L24:L26*AN66+M24:M26*AO66*$B$8*AQ66)/(1+AL66/100)^K24:K26)+L27*AN66*AP66/(1+AL66/100)^$B$6</f>
        <v/>
      </c>
      <c r="AT66">
        <f>AS66-AR66</f>
        <v/>
      </c>
      <c r="AU66">
        <f>RAND()</f>
        <v/>
      </c>
      <c r="AV66">
        <f>RAND()</f>
        <v/>
      </c>
      <c r="AW66">
        <f>RAND()</f>
        <v/>
      </c>
      <c r="AX66">
        <f>RAND()</f>
        <v/>
      </c>
      <c r="AY66">
        <f>RAND()</f>
        <v/>
      </c>
      <c r="AZ66">
        <f>RAND()</f>
        <v/>
      </c>
    </row>
    <row r="67">
      <c r="A67" s="33" t="n">
        <v>2.5</v>
      </c>
      <c r="B67" s="14">
        <f>SUMPRODUCT((B24:B31&lt;=$B$6)*(C24:C31*$B$11+D24:D31*$B$10*$B$8*$B$9)/(1+$A67/100)^B24:B31)+C32*$B$11*$B$13/(1+$A67/100)^$B$6</f>
        <v/>
      </c>
      <c r="C67" s="14">
        <f>SUMPRODUCT((K24:K26&lt;=$B$6)*(L24:L26*$B$12+M24:M26*$B$10*$B$8*$B$9)/(1+$A67/100)^K24:K26)+L27*$B$12*$B$13/(1+$A67/100)^$B$6</f>
        <v/>
      </c>
      <c r="D67" s="14">
        <f>C67-B67</f>
        <v/>
      </c>
      <c r="E67">
        <f>IF(D67&lt;0,"PCC","HMA")</f>
        <v/>
      </c>
      <c r="AK67" t="n">
        <v>54</v>
      </c>
      <c r="AL67">
        <f>IFERROR(IF(AU67&lt;($AM$6-$AL$6)/($AN$6-$AL$6),$AL$6+SQRT(AU67*($AN$6-$AL$6)*($AM$6-$AL$6)),$AN$6-SQRT((1-AU67)*($AN$6-$AL$6)*($AN$6-$AM$6))),$AM$6)</f>
        <v/>
      </c>
      <c r="AM67">
        <f>IFERROR(IF(AV67&lt;($AM$7-$AL$7)/($AN$7-$AL$7),$AL$7+SQRT(AV67*($AN$7-$AL$7)*($AM$7-$AL$7)),$AN$7-SQRT((1-AV67)*($AN$7-$AL$7)*($AN$7-$AM$7))),$AM$7)</f>
        <v/>
      </c>
      <c r="AN67">
        <f>IFERROR(IF(AW67&lt;($AM$8-$AL$8)/($AN$8-$AL$8),$AL$8+SQRT(AW67*($AN$8-$AL$8)*($AM$8-$AL$8)),$AN$8-SQRT((1-AW67)*($AN$8-$AL$8)*($AN$8-$AM$8))),$AM$8)</f>
        <v/>
      </c>
      <c r="AO67">
        <f>IFERROR(IF(AX67&lt;($AM$9-$AL$9)/($AN$9-$AL$9),$AL$9+SQRT(AX67*($AN$9-$AL$9)*($AM$9-$AL$9)),$AN$9-SQRT((1-AX67)*($AN$9-$AL$9)*($AN$9-$AM$9))),$AM$9)</f>
        <v/>
      </c>
      <c r="AP67">
        <f>IFERROR(IF(AY67&lt;($AM$10-$AL$10)/($AN$10-$AL$10),$AL$10+SQRT(AY67*($AN$10-$AL$10)*($AM$10-$AL$10)),$AN$10-SQRT((1-AY67)*($AN$10-$AL$10)*($AN$10-$AM$10))),$AM$10)</f>
        <v/>
      </c>
      <c r="AQ67">
        <f>IFERROR(IF(AZ67&lt;($AM$11-$AL$11)/($AN$11-$AL$11),$AL$11+SQRT(AZ67*($AN$11-$AL$11)*($AM$11-$AL$11)),$AN$11-SQRT((1-AZ67)*($AN$11-$AL$11)*($AN$11-$AM$11))),$AM$11)</f>
        <v/>
      </c>
      <c r="AR67">
        <f>SUMPRODUCT((B24:B31&lt;=$B$6)*(C24:C31*AM67+D24:D31*AO67*$B$8*AQ67)/(1+AL67/100)^B24:B31)+C32*AM67*AP67/(1+AL67/100)^$B$6</f>
        <v/>
      </c>
      <c r="AS67">
        <f>SUMPRODUCT((K24:K26&lt;=$B$6)*(L24:L26*AN67+M24:M26*AO67*$B$8*AQ67)/(1+AL67/100)^K24:K26)+L27*AN67*AP67/(1+AL67/100)^$B$6</f>
        <v/>
      </c>
      <c r="AT67">
        <f>AS67-AR67</f>
        <v/>
      </c>
      <c r="AU67">
        <f>RAND()</f>
        <v/>
      </c>
      <c r="AV67">
        <f>RAND()</f>
        <v/>
      </c>
      <c r="AW67">
        <f>RAND()</f>
        <v/>
      </c>
      <c r="AX67">
        <f>RAND()</f>
        <v/>
      </c>
      <c r="AY67">
        <f>RAND()</f>
        <v/>
      </c>
      <c r="AZ67">
        <f>RAND()</f>
        <v/>
      </c>
    </row>
    <row r="68">
      <c r="A68" s="33" t="n">
        <v>2.75</v>
      </c>
      <c r="B68" s="14">
        <f>SUMPRODUCT((B24:B31&lt;=$B$6)*(C24:C31*$B$11+D24:D31*$B$10*$B$8*$B$9)/(1+$A68/100)^B24:B31)+C32*$B$11*$B$13/(1+$A68/100)^$B$6</f>
        <v/>
      </c>
      <c r="C68" s="14">
        <f>SUMPRODUCT((K24:K26&lt;=$B$6)*(L24:L26*$B$12+M24:M26*$B$10*$B$8*$B$9)/(1+$A68/100)^K24:K26)+L27*$B$12*$B$13/(1+$A68/100)^$B$6</f>
        <v/>
      </c>
      <c r="D68" s="14">
        <f>C68-B68</f>
        <v/>
      </c>
      <c r="E68">
        <f>IF(D68&lt;0,"PCC","HMA")</f>
        <v/>
      </c>
      <c r="AK68" t="n">
        <v>55</v>
      </c>
      <c r="AL68">
        <f>IFERROR(IF(AU68&lt;($AM$6-$AL$6)/($AN$6-$AL$6),$AL$6+SQRT(AU68*($AN$6-$AL$6)*($AM$6-$AL$6)),$AN$6-SQRT((1-AU68)*($AN$6-$AL$6)*($AN$6-$AM$6))),$AM$6)</f>
        <v/>
      </c>
      <c r="AM68">
        <f>IFERROR(IF(AV68&lt;($AM$7-$AL$7)/($AN$7-$AL$7),$AL$7+SQRT(AV68*($AN$7-$AL$7)*($AM$7-$AL$7)),$AN$7-SQRT((1-AV68)*($AN$7-$AL$7)*($AN$7-$AM$7))),$AM$7)</f>
        <v/>
      </c>
      <c r="AN68">
        <f>IFERROR(IF(AW68&lt;($AM$8-$AL$8)/($AN$8-$AL$8),$AL$8+SQRT(AW68*($AN$8-$AL$8)*($AM$8-$AL$8)),$AN$8-SQRT((1-AW68)*($AN$8-$AL$8)*($AN$8-$AM$8))),$AM$8)</f>
        <v/>
      </c>
      <c r="AO68">
        <f>IFERROR(IF(AX68&lt;($AM$9-$AL$9)/($AN$9-$AL$9),$AL$9+SQRT(AX68*($AN$9-$AL$9)*($AM$9-$AL$9)),$AN$9-SQRT((1-AX68)*($AN$9-$AL$9)*($AN$9-$AM$9))),$AM$9)</f>
        <v/>
      </c>
      <c r="AP68">
        <f>IFERROR(IF(AY68&lt;($AM$10-$AL$10)/($AN$10-$AL$10),$AL$10+SQRT(AY68*($AN$10-$AL$10)*($AM$10-$AL$10)),$AN$10-SQRT((1-AY68)*($AN$10-$AL$10)*($AN$10-$AM$10))),$AM$10)</f>
        <v/>
      </c>
      <c r="AQ68">
        <f>IFERROR(IF(AZ68&lt;($AM$11-$AL$11)/($AN$11-$AL$11),$AL$11+SQRT(AZ68*($AN$11-$AL$11)*($AM$11-$AL$11)),$AN$11-SQRT((1-AZ68)*($AN$11-$AL$11)*($AN$11-$AM$11))),$AM$11)</f>
        <v/>
      </c>
      <c r="AR68">
        <f>SUMPRODUCT((B24:B31&lt;=$B$6)*(C24:C31*AM68+D24:D31*AO68*$B$8*AQ68)/(1+AL68/100)^B24:B31)+C32*AM68*AP68/(1+AL68/100)^$B$6</f>
        <v/>
      </c>
      <c r="AS68">
        <f>SUMPRODUCT((K24:K26&lt;=$B$6)*(L24:L26*AN68+M24:M26*AO68*$B$8*AQ68)/(1+AL68/100)^K24:K26)+L27*AN68*AP68/(1+AL68/100)^$B$6</f>
        <v/>
      </c>
      <c r="AT68">
        <f>AS68-AR68</f>
        <v/>
      </c>
      <c r="AU68">
        <f>RAND()</f>
        <v/>
      </c>
      <c r="AV68">
        <f>RAND()</f>
        <v/>
      </c>
      <c r="AW68">
        <f>RAND()</f>
        <v/>
      </c>
      <c r="AX68">
        <f>RAND()</f>
        <v/>
      </c>
      <c r="AY68">
        <f>RAND()</f>
        <v/>
      </c>
      <c r="AZ68">
        <f>RAND()</f>
        <v/>
      </c>
    </row>
    <row r="69">
      <c r="A69" s="33" t="n">
        <v>3</v>
      </c>
      <c r="B69" s="14">
        <f>SUMPRODUCT((B24:B31&lt;=$B$6)*(C24:C31*$B$11+D24:D31*$B$10*$B$8*$B$9)/(1+$A69/100)^B24:B31)+C32*$B$11*$B$13/(1+$A69/100)^$B$6</f>
        <v/>
      </c>
      <c r="C69" s="14">
        <f>SUMPRODUCT((K24:K26&lt;=$B$6)*(L24:L26*$B$12+M24:M26*$B$10*$B$8*$B$9)/(1+$A69/100)^K24:K26)+L27*$B$12*$B$13/(1+$A69/100)^$B$6</f>
        <v/>
      </c>
      <c r="D69" s="14">
        <f>C69-B69</f>
        <v/>
      </c>
      <c r="E69">
        <f>IF(D69&lt;0,"PCC","HMA")</f>
        <v/>
      </c>
      <c r="AK69" t="n">
        <v>56</v>
      </c>
      <c r="AL69">
        <f>IFERROR(IF(AU69&lt;($AM$6-$AL$6)/($AN$6-$AL$6),$AL$6+SQRT(AU69*($AN$6-$AL$6)*($AM$6-$AL$6)),$AN$6-SQRT((1-AU69)*($AN$6-$AL$6)*($AN$6-$AM$6))),$AM$6)</f>
        <v/>
      </c>
      <c r="AM69">
        <f>IFERROR(IF(AV69&lt;($AM$7-$AL$7)/($AN$7-$AL$7),$AL$7+SQRT(AV69*($AN$7-$AL$7)*($AM$7-$AL$7)),$AN$7-SQRT((1-AV69)*($AN$7-$AL$7)*($AN$7-$AM$7))),$AM$7)</f>
        <v/>
      </c>
      <c r="AN69">
        <f>IFERROR(IF(AW69&lt;($AM$8-$AL$8)/($AN$8-$AL$8),$AL$8+SQRT(AW69*($AN$8-$AL$8)*($AM$8-$AL$8)),$AN$8-SQRT((1-AW69)*($AN$8-$AL$8)*($AN$8-$AM$8))),$AM$8)</f>
        <v/>
      </c>
      <c r="AO69">
        <f>IFERROR(IF(AX69&lt;($AM$9-$AL$9)/($AN$9-$AL$9),$AL$9+SQRT(AX69*($AN$9-$AL$9)*($AM$9-$AL$9)),$AN$9-SQRT((1-AX69)*($AN$9-$AL$9)*($AN$9-$AM$9))),$AM$9)</f>
        <v/>
      </c>
      <c r="AP69">
        <f>IFERROR(IF(AY69&lt;($AM$10-$AL$10)/($AN$10-$AL$10),$AL$10+SQRT(AY69*($AN$10-$AL$10)*($AM$10-$AL$10)),$AN$10-SQRT((1-AY69)*($AN$10-$AL$10)*($AN$10-$AM$10))),$AM$10)</f>
        <v/>
      </c>
      <c r="AQ69">
        <f>IFERROR(IF(AZ69&lt;($AM$11-$AL$11)/($AN$11-$AL$11),$AL$11+SQRT(AZ69*($AN$11-$AL$11)*($AM$11-$AL$11)),$AN$11-SQRT((1-AZ69)*($AN$11-$AL$11)*($AN$11-$AM$11))),$AM$11)</f>
        <v/>
      </c>
      <c r="AR69">
        <f>SUMPRODUCT((B24:B31&lt;=$B$6)*(C24:C31*AM69+D24:D31*AO69*$B$8*AQ69)/(1+AL69/100)^B24:B31)+C32*AM69*AP69/(1+AL69/100)^$B$6</f>
        <v/>
      </c>
      <c r="AS69">
        <f>SUMPRODUCT((K24:K26&lt;=$B$6)*(L24:L26*AN69+M24:M26*AO69*$B$8*AQ69)/(1+AL69/100)^K24:K26)+L27*AN69*AP69/(1+AL69/100)^$B$6</f>
        <v/>
      </c>
      <c r="AT69">
        <f>AS69-AR69</f>
        <v/>
      </c>
      <c r="AU69">
        <f>RAND()</f>
        <v/>
      </c>
      <c r="AV69">
        <f>RAND()</f>
        <v/>
      </c>
      <c r="AW69">
        <f>RAND()</f>
        <v/>
      </c>
      <c r="AX69">
        <f>RAND()</f>
        <v/>
      </c>
      <c r="AY69">
        <f>RAND()</f>
        <v/>
      </c>
      <c r="AZ69">
        <f>RAND()</f>
        <v/>
      </c>
    </row>
    <row r="70">
      <c r="A70" s="33" t="n">
        <v>3.25</v>
      </c>
      <c r="B70" s="14">
        <f>SUMPRODUCT((B24:B31&lt;=$B$6)*(C24:C31*$B$11+D24:D31*$B$10*$B$8*$B$9)/(1+$A70/100)^B24:B31)+C32*$B$11*$B$13/(1+$A70/100)^$B$6</f>
        <v/>
      </c>
      <c r="C70" s="14">
        <f>SUMPRODUCT((K24:K26&lt;=$B$6)*(L24:L26*$B$12+M24:M26*$B$10*$B$8*$B$9)/(1+$A70/100)^K24:K26)+L27*$B$12*$B$13/(1+$A70/100)^$B$6</f>
        <v/>
      </c>
      <c r="D70" s="14">
        <f>C70-B70</f>
        <v/>
      </c>
      <c r="E70">
        <f>IF(D70&lt;0,"PCC","HMA")</f>
        <v/>
      </c>
      <c r="AK70" t="n">
        <v>57</v>
      </c>
      <c r="AL70">
        <f>IFERROR(IF(AU70&lt;($AM$6-$AL$6)/($AN$6-$AL$6),$AL$6+SQRT(AU70*($AN$6-$AL$6)*($AM$6-$AL$6)),$AN$6-SQRT((1-AU70)*($AN$6-$AL$6)*($AN$6-$AM$6))),$AM$6)</f>
        <v/>
      </c>
      <c r="AM70">
        <f>IFERROR(IF(AV70&lt;($AM$7-$AL$7)/($AN$7-$AL$7),$AL$7+SQRT(AV70*($AN$7-$AL$7)*($AM$7-$AL$7)),$AN$7-SQRT((1-AV70)*($AN$7-$AL$7)*($AN$7-$AM$7))),$AM$7)</f>
        <v/>
      </c>
      <c r="AN70">
        <f>IFERROR(IF(AW70&lt;($AM$8-$AL$8)/($AN$8-$AL$8),$AL$8+SQRT(AW70*($AN$8-$AL$8)*($AM$8-$AL$8)),$AN$8-SQRT((1-AW70)*($AN$8-$AL$8)*($AN$8-$AM$8))),$AM$8)</f>
        <v/>
      </c>
      <c r="AO70">
        <f>IFERROR(IF(AX70&lt;($AM$9-$AL$9)/($AN$9-$AL$9),$AL$9+SQRT(AX70*($AN$9-$AL$9)*($AM$9-$AL$9)),$AN$9-SQRT((1-AX70)*($AN$9-$AL$9)*($AN$9-$AM$9))),$AM$9)</f>
        <v/>
      </c>
      <c r="AP70">
        <f>IFERROR(IF(AY70&lt;($AM$10-$AL$10)/($AN$10-$AL$10),$AL$10+SQRT(AY70*($AN$10-$AL$10)*($AM$10-$AL$10)),$AN$10-SQRT((1-AY70)*($AN$10-$AL$10)*($AN$10-$AM$10))),$AM$10)</f>
        <v/>
      </c>
      <c r="AQ70">
        <f>IFERROR(IF(AZ70&lt;($AM$11-$AL$11)/($AN$11-$AL$11),$AL$11+SQRT(AZ70*($AN$11-$AL$11)*($AM$11-$AL$11)),$AN$11-SQRT((1-AZ70)*($AN$11-$AL$11)*($AN$11-$AM$11))),$AM$11)</f>
        <v/>
      </c>
      <c r="AR70">
        <f>SUMPRODUCT((B24:B31&lt;=$B$6)*(C24:C31*AM70+D24:D31*AO70*$B$8*AQ70)/(1+AL70/100)^B24:B31)+C32*AM70*AP70/(1+AL70/100)^$B$6</f>
        <v/>
      </c>
      <c r="AS70">
        <f>SUMPRODUCT((K24:K26&lt;=$B$6)*(L24:L26*AN70+M24:M26*AO70*$B$8*AQ70)/(1+AL70/100)^K24:K26)+L27*AN70*AP70/(1+AL70/100)^$B$6</f>
        <v/>
      </c>
      <c r="AT70">
        <f>AS70-AR70</f>
        <v/>
      </c>
      <c r="AU70">
        <f>RAND()</f>
        <v/>
      </c>
      <c r="AV70">
        <f>RAND()</f>
        <v/>
      </c>
      <c r="AW70">
        <f>RAND()</f>
        <v/>
      </c>
      <c r="AX70">
        <f>RAND()</f>
        <v/>
      </c>
      <c r="AY70">
        <f>RAND()</f>
        <v/>
      </c>
      <c r="AZ70">
        <f>RAND()</f>
        <v/>
      </c>
    </row>
    <row r="71">
      <c r="A71" s="33" t="n">
        <v>3.5</v>
      </c>
      <c r="B71" s="14">
        <f>SUMPRODUCT((B24:B31&lt;=$B$6)*(C24:C31*$B$11+D24:D31*$B$10*$B$8*$B$9)/(1+$A71/100)^B24:B31)+C32*$B$11*$B$13/(1+$A71/100)^$B$6</f>
        <v/>
      </c>
      <c r="C71" s="14">
        <f>SUMPRODUCT((K24:K26&lt;=$B$6)*(L24:L26*$B$12+M24:M26*$B$10*$B$8*$B$9)/(1+$A71/100)^K24:K26)+L27*$B$12*$B$13/(1+$A71/100)^$B$6</f>
        <v/>
      </c>
      <c r="D71" s="14">
        <f>C71-B71</f>
        <v/>
      </c>
      <c r="E71">
        <f>IF(D71&lt;0,"PCC","HMA")</f>
        <v/>
      </c>
      <c r="AK71" t="n">
        <v>58</v>
      </c>
      <c r="AL71">
        <f>IFERROR(IF(AU71&lt;($AM$6-$AL$6)/($AN$6-$AL$6),$AL$6+SQRT(AU71*($AN$6-$AL$6)*($AM$6-$AL$6)),$AN$6-SQRT((1-AU71)*($AN$6-$AL$6)*($AN$6-$AM$6))),$AM$6)</f>
        <v/>
      </c>
      <c r="AM71">
        <f>IFERROR(IF(AV71&lt;($AM$7-$AL$7)/($AN$7-$AL$7),$AL$7+SQRT(AV71*($AN$7-$AL$7)*($AM$7-$AL$7)),$AN$7-SQRT((1-AV71)*($AN$7-$AL$7)*($AN$7-$AM$7))),$AM$7)</f>
        <v/>
      </c>
      <c r="AN71">
        <f>IFERROR(IF(AW71&lt;($AM$8-$AL$8)/($AN$8-$AL$8),$AL$8+SQRT(AW71*($AN$8-$AL$8)*($AM$8-$AL$8)),$AN$8-SQRT((1-AW71)*($AN$8-$AL$8)*($AN$8-$AM$8))),$AM$8)</f>
        <v/>
      </c>
      <c r="AO71">
        <f>IFERROR(IF(AX71&lt;($AM$9-$AL$9)/($AN$9-$AL$9),$AL$9+SQRT(AX71*($AN$9-$AL$9)*($AM$9-$AL$9)),$AN$9-SQRT((1-AX71)*($AN$9-$AL$9)*($AN$9-$AM$9))),$AM$9)</f>
        <v/>
      </c>
      <c r="AP71">
        <f>IFERROR(IF(AY71&lt;($AM$10-$AL$10)/($AN$10-$AL$10),$AL$10+SQRT(AY71*($AN$10-$AL$10)*($AM$10-$AL$10)),$AN$10-SQRT((1-AY71)*($AN$10-$AL$10)*($AN$10-$AM$10))),$AM$10)</f>
        <v/>
      </c>
      <c r="AQ71">
        <f>IFERROR(IF(AZ71&lt;($AM$11-$AL$11)/($AN$11-$AL$11),$AL$11+SQRT(AZ71*($AN$11-$AL$11)*($AM$11-$AL$11)),$AN$11-SQRT((1-AZ71)*($AN$11-$AL$11)*($AN$11-$AM$11))),$AM$11)</f>
        <v/>
      </c>
      <c r="AR71">
        <f>SUMPRODUCT((B24:B31&lt;=$B$6)*(C24:C31*AM71+D24:D31*AO71*$B$8*AQ71)/(1+AL71/100)^B24:B31)+C32*AM71*AP71/(1+AL71/100)^$B$6</f>
        <v/>
      </c>
      <c r="AS71">
        <f>SUMPRODUCT((K24:K26&lt;=$B$6)*(L24:L26*AN71+M24:M26*AO71*$B$8*AQ71)/(1+AL71/100)^K24:K26)+L27*AN71*AP71/(1+AL71/100)^$B$6</f>
        <v/>
      </c>
      <c r="AT71">
        <f>AS71-AR71</f>
        <v/>
      </c>
      <c r="AU71">
        <f>RAND()</f>
        <v/>
      </c>
      <c r="AV71">
        <f>RAND()</f>
        <v/>
      </c>
      <c r="AW71">
        <f>RAND()</f>
        <v/>
      </c>
      <c r="AX71">
        <f>RAND()</f>
        <v/>
      </c>
      <c r="AY71">
        <f>RAND()</f>
        <v/>
      </c>
      <c r="AZ71">
        <f>RAND()</f>
        <v/>
      </c>
    </row>
    <row r="72">
      <c r="A72" s="33" t="n">
        <v>3.75</v>
      </c>
      <c r="B72" s="14">
        <f>SUMPRODUCT((B24:B31&lt;=$B$6)*(C24:C31*$B$11+D24:D31*$B$10*$B$8*$B$9)/(1+$A72/100)^B24:B31)+C32*$B$11*$B$13/(1+$A72/100)^$B$6</f>
        <v/>
      </c>
      <c r="C72" s="14">
        <f>SUMPRODUCT((K24:K26&lt;=$B$6)*(L24:L26*$B$12+M24:M26*$B$10*$B$8*$B$9)/(1+$A72/100)^K24:K26)+L27*$B$12*$B$13/(1+$A72/100)^$B$6</f>
        <v/>
      </c>
      <c r="D72" s="14">
        <f>C72-B72</f>
        <v/>
      </c>
      <c r="E72">
        <f>IF(D72&lt;0,"PCC","HMA")</f>
        <v/>
      </c>
      <c r="AK72" t="n">
        <v>59</v>
      </c>
      <c r="AL72">
        <f>IFERROR(IF(AU72&lt;($AM$6-$AL$6)/($AN$6-$AL$6),$AL$6+SQRT(AU72*($AN$6-$AL$6)*($AM$6-$AL$6)),$AN$6-SQRT((1-AU72)*($AN$6-$AL$6)*($AN$6-$AM$6))),$AM$6)</f>
        <v/>
      </c>
      <c r="AM72">
        <f>IFERROR(IF(AV72&lt;($AM$7-$AL$7)/($AN$7-$AL$7),$AL$7+SQRT(AV72*($AN$7-$AL$7)*($AM$7-$AL$7)),$AN$7-SQRT((1-AV72)*($AN$7-$AL$7)*($AN$7-$AM$7))),$AM$7)</f>
        <v/>
      </c>
      <c r="AN72">
        <f>IFERROR(IF(AW72&lt;($AM$8-$AL$8)/($AN$8-$AL$8),$AL$8+SQRT(AW72*($AN$8-$AL$8)*($AM$8-$AL$8)),$AN$8-SQRT((1-AW72)*($AN$8-$AL$8)*($AN$8-$AM$8))),$AM$8)</f>
        <v/>
      </c>
      <c r="AO72">
        <f>IFERROR(IF(AX72&lt;($AM$9-$AL$9)/($AN$9-$AL$9),$AL$9+SQRT(AX72*($AN$9-$AL$9)*($AM$9-$AL$9)),$AN$9-SQRT((1-AX72)*($AN$9-$AL$9)*($AN$9-$AM$9))),$AM$9)</f>
        <v/>
      </c>
      <c r="AP72">
        <f>IFERROR(IF(AY72&lt;($AM$10-$AL$10)/($AN$10-$AL$10),$AL$10+SQRT(AY72*($AN$10-$AL$10)*($AM$10-$AL$10)),$AN$10-SQRT((1-AY72)*($AN$10-$AL$10)*($AN$10-$AM$10))),$AM$10)</f>
        <v/>
      </c>
      <c r="AQ72">
        <f>IFERROR(IF(AZ72&lt;($AM$11-$AL$11)/($AN$11-$AL$11),$AL$11+SQRT(AZ72*($AN$11-$AL$11)*($AM$11-$AL$11)),$AN$11-SQRT((1-AZ72)*($AN$11-$AL$11)*($AN$11-$AM$11))),$AM$11)</f>
        <v/>
      </c>
      <c r="AR72">
        <f>SUMPRODUCT((B24:B31&lt;=$B$6)*(C24:C31*AM72+D24:D31*AO72*$B$8*AQ72)/(1+AL72/100)^B24:B31)+C32*AM72*AP72/(1+AL72/100)^$B$6</f>
        <v/>
      </c>
      <c r="AS72">
        <f>SUMPRODUCT((K24:K26&lt;=$B$6)*(L24:L26*AN72+M24:M26*AO72*$B$8*AQ72)/(1+AL72/100)^K24:K26)+L27*AN72*AP72/(1+AL72/100)^$B$6</f>
        <v/>
      </c>
      <c r="AT72">
        <f>AS72-AR72</f>
        <v/>
      </c>
      <c r="AU72">
        <f>RAND()</f>
        <v/>
      </c>
      <c r="AV72">
        <f>RAND()</f>
        <v/>
      </c>
      <c r="AW72">
        <f>RAND()</f>
        <v/>
      </c>
      <c r="AX72">
        <f>RAND()</f>
        <v/>
      </c>
      <c r="AY72">
        <f>RAND()</f>
        <v/>
      </c>
      <c r="AZ72">
        <f>RAND()</f>
        <v/>
      </c>
    </row>
    <row r="73">
      <c r="A73" s="33" t="n">
        <v>4</v>
      </c>
      <c r="B73" s="14">
        <f>SUMPRODUCT((B24:B31&lt;=$B$6)*(C24:C31*$B$11+D24:D31*$B$10*$B$8*$B$9)/(1+$A73/100)^B24:B31)+C32*$B$11*$B$13/(1+$A73/100)^$B$6</f>
        <v/>
      </c>
      <c r="C73" s="14">
        <f>SUMPRODUCT((K24:K26&lt;=$B$6)*(L24:L26*$B$12+M24:M26*$B$10*$B$8*$B$9)/(1+$A73/100)^K24:K26)+L27*$B$12*$B$13/(1+$A73/100)^$B$6</f>
        <v/>
      </c>
      <c r="D73" s="14">
        <f>C73-B73</f>
        <v/>
      </c>
      <c r="E73">
        <f>IF(D73&lt;0,"PCC","HMA")</f>
        <v/>
      </c>
      <c r="AK73" t="n">
        <v>60</v>
      </c>
      <c r="AL73">
        <f>IFERROR(IF(AU73&lt;($AM$6-$AL$6)/($AN$6-$AL$6),$AL$6+SQRT(AU73*($AN$6-$AL$6)*($AM$6-$AL$6)),$AN$6-SQRT((1-AU73)*($AN$6-$AL$6)*($AN$6-$AM$6))),$AM$6)</f>
        <v/>
      </c>
      <c r="AM73">
        <f>IFERROR(IF(AV73&lt;($AM$7-$AL$7)/($AN$7-$AL$7),$AL$7+SQRT(AV73*($AN$7-$AL$7)*($AM$7-$AL$7)),$AN$7-SQRT((1-AV73)*($AN$7-$AL$7)*($AN$7-$AM$7))),$AM$7)</f>
        <v/>
      </c>
      <c r="AN73">
        <f>IFERROR(IF(AW73&lt;($AM$8-$AL$8)/($AN$8-$AL$8),$AL$8+SQRT(AW73*($AN$8-$AL$8)*($AM$8-$AL$8)),$AN$8-SQRT((1-AW73)*($AN$8-$AL$8)*($AN$8-$AM$8))),$AM$8)</f>
        <v/>
      </c>
      <c r="AO73">
        <f>IFERROR(IF(AX73&lt;($AM$9-$AL$9)/($AN$9-$AL$9),$AL$9+SQRT(AX73*($AN$9-$AL$9)*($AM$9-$AL$9)),$AN$9-SQRT((1-AX73)*($AN$9-$AL$9)*($AN$9-$AM$9))),$AM$9)</f>
        <v/>
      </c>
      <c r="AP73">
        <f>IFERROR(IF(AY73&lt;($AM$10-$AL$10)/($AN$10-$AL$10),$AL$10+SQRT(AY73*($AN$10-$AL$10)*($AM$10-$AL$10)),$AN$10-SQRT((1-AY73)*($AN$10-$AL$10)*($AN$10-$AM$10))),$AM$10)</f>
        <v/>
      </c>
      <c r="AQ73">
        <f>IFERROR(IF(AZ73&lt;($AM$11-$AL$11)/($AN$11-$AL$11),$AL$11+SQRT(AZ73*($AN$11-$AL$11)*($AM$11-$AL$11)),$AN$11-SQRT((1-AZ73)*($AN$11-$AL$11)*($AN$11-$AM$11))),$AM$11)</f>
        <v/>
      </c>
      <c r="AR73">
        <f>SUMPRODUCT((B24:B31&lt;=$B$6)*(C24:C31*AM73+D24:D31*AO73*$B$8*AQ73)/(1+AL73/100)^B24:B31)+C32*AM73*AP73/(1+AL73/100)^$B$6</f>
        <v/>
      </c>
      <c r="AS73">
        <f>SUMPRODUCT((K24:K26&lt;=$B$6)*(L24:L26*AN73+M24:M26*AO73*$B$8*AQ73)/(1+AL73/100)^K24:K26)+L27*AN73*AP73/(1+AL73/100)^$B$6</f>
        <v/>
      </c>
      <c r="AT73">
        <f>AS73-AR73</f>
        <v/>
      </c>
      <c r="AU73">
        <f>RAND()</f>
        <v/>
      </c>
      <c r="AV73">
        <f>RAND()</f>
        <v/>
      </c>
      <c r="AW73">
        <f>RAND()</f>
        <v/>
      </c>
      <c r="AX73">
        <f>RAND()</f>
        <v/>
      </c>
      <c r="AY73">
        <f>RAND()</f>
        <v/>
      </c>
      <c r="AZ73">
        <f>RAND()</f>
        <v/>
      </c>
    </row>
    <row r="74">
      <c r="A74" s="33" t="n">
        <v>4.25</v>
      </c>
      <c r="B74" s="14">
        <f>SUMPRODUCT((B24:B31&lt;=$B$6)*(C24:C31*$B$11+D24:D31*$B$10*$B$8*$B$9)/(1+$A74/100)^B24:B31)+C32*$B$11*$B$13/(1+$A74/100)^$B$6</f>
        <v/>
      </c>
      <c r="C74" s="14">
        <f>SUMPRODUCT((K24:K26&lt;=$B$6)*(L24:L26*$B$12+M24:M26*$B$10*$B$8*$B$9)/(1+$A74/100)^K24:K26)+L27*$B$12*$B$13/(1+$A74/100)^$B$6</f>
        <v/>
      </c>
      <c r="D74" s="14">
        <f>C74-B74</f>
        <v/>
      </c>
      <c r="E74">
        <f>IF(D74&lt;0,"PCC","HMA")</f>
        <v/>
      </c>
      <c r="AK74" t="n">
        <v>61</v>
      </c>
      <c r="AL74">
        <f>IFERROR(IF(AU74&lt;($AM$6-$AL$6)/($AN$6-$AL$6),$AL$6+SQRT(AU74*($AN$6-$AL$6)*($AM$6-$AL$6)),$AN$6-SQRT((1-AU74)*($AN$6-$AL$6)*($AN$6-$AM$6))),$AM$6)</f>
        <v/>
      </c>
      <c r="AM74">
        <f>IFERROR(IF(AV74&lt;($AM$7-$AL$7)/($AN$7-$AL$7),$AL$7+SQRT(AV74*($AN$7-$AL$7)*($AM$7-$AL$7)),$AN$7-SQRT((1-AV74)*($AN$7-$AL$7)*($AN$7-$AM$7))),$AM$7)</f>
        <v/>
      </c>
      <c r="AN74">
        <f>IFERROR(IF(AW74&lt;($AM$8-$AL$8)/($AN$8-$AL$8),$AL$8+SQRT(AW74*($AN$8-$AL$8)*($AM$8-$AL$8)),$AN$8-SQRT((1-AW74)*($AN$8-$AL$8)*($AN$8-$AM$8))),$AM$8)</f>
        <v/>
      </c>
      <c r="AO74">
        <f>IFERROR(IF(AX74&lt;($AM$9-$AL$9)/($AN$9-$AL$9),$AL$9+SQRT(AX74*($AN$9-$AL$9)*($AM$9-$AL$9)),$AN$9-SQRT((1-AX74)*($AN$9-$AL$9)*($AN$9-$AM$9))),$AM$9)</f>
        <v/>
      </c>
      <c r="AP74">
        <f>IFERROR(IF(AY74&lt;($AM$10-$AL$10)/($AN$10-$AL$10),$AL$10+SQRT(AY74*($AN$10-$AL$10)*($AM$10-$AL$10)),$AN$10-SQRT((1-AY74)*($AN$10-$AL$10)*($AN$10-$AM$10))),$AM$10)</f>
        <v/>
      </c>
      <c r="AQ74">
        <f>IFERROR(IF(AZ74&lt;($AM$11-$AL$11)/($AN$11-$AL$11),$AL$11+SQRT(AZ74*($AN$11-$AL$11)*($AM$11-$AL$11)),$AN$11-SQRT((1-AZ74)*($AN$11-$AL$11)*($AN$11-$AM$11))),$AM$11)</f>
        <v/>
      </c>
      <c r="AR74">
        <f>SUMPRODUCT((B24:B31&lt;=$B$6)*(C24:C31*AM74+D24:D31*AO74*$B$8*AQ74)/(1+AL74/100)^B24:B31)+C32*AM74*AP74/(1+AL74/100)^$B$6</f>
        <v/>
      </c>
      <c r="AS74">
        <f>SUMPRODUCT((K24:K26&lt;=$B$6)*(L24:L26*AN74+M24:M26*AO74*$B$8*AQ74)/(1+AL74/100)^K24:K26)+L27*AN74*AP74/(1+AL74/100)^$B$6</f>
        <v/>
      </c>
      <c r="AT74">
        <f>AS74-AR74</f>
        <v/>
      </c>
      <c r="AU74">
        <f>RAND()</f>
        <v/>
      </c>
      <c r="AV74">
        <f>RAND()</f>
        <v/>
      </c>
      <c r="AW74">
        <f>RAND()</f>
        <v/>
      </c>
      <c r="AX74">
        <f>RAND()</f>
        <v/>
      </c>
      <c r="AY74">
        <f>RAND()</f>
        <v/>
      </c>
      <c r="AZ74">
        <f>RAND()</f>
        <v/>
      </c>
    </row>
    <row r="75">
      <c r="A75" s="33" t="n">
        <v>4.5</v>
      </c>
      <c r="B75" s="14">
        <f>SUMPRODUCT((B24:B31&lt;=$B$6)*(C24:C31*$B$11+D24:D31*$B$10*$B$8*$B$9)/(1+$A75/100)^B24:B31)+C32*$B$11*$B$13/(1+$A75/100)^$B$6</f>
        <v/>
      </c>
      <c r="C75" s="14">
        <f>SUMPRODUCT((K24:K26&lt;=$B$6)*(L24:L26*$B$12+M24:M26*$B$10*$B$8*$B$9)/(1+$A75/100)^K24:K26)+L27*$B$12*$B$13/(1+$A75/100)^$B$6</f>
        <v/>
      </c>
      <c r="D75" s="14">
        <f>C75-B75</f>
        <v/>
      </c>
      <c r="E75">
        <f>IF(D75&lt;0,"PCC","HMA")</f>
        <v/>
      </c>
      <c r="AK75" t="n">
        <v>62</v>
      </c>
      <c r="AL75">
        <f>IFERROR(IF(AU75&lt;($AM$6-$AL$6)/($AN$6-$AL$6),$AL$6+SQRT(AU75*($AN$6-$AL$6)*($AM$6-$AL$6)),$AN$6-SQRT((1-AU75)*($AN$6-$AL$6)*($AN$6-$AM$6))),$AM$6)</f>
        <v/>
      </c>
      <c r="AM75">
        <f>IFERROR(IF(AV75&lt;($AM$7-$AL$7)/($AN$7-$AL$7),$AL$7+SQRT(AV75*($AN$7-$AL$7)*($AM$7-$AL$7)),$AN$7-SQRT((1-AV75)*($AN$7-$AL$7)*($AN$7-$AM$7))),$AM$7)</f>
        <v/>
      </c>
      <c r="AN75">
        <f>IFERROR(IF(AW75&lt;($AM$8-$AL$8)/($AN$8-$AL$8),$AL$8+SQRT(AW75*($AN$8-$AL$8)*($AM$8-$AL$8)),$AN$8-SQRT((1-AW75)*($AN$8-$AL$8)*($AN$8-$AM$8))),$AM$8)</f>
        <v/>
      </c>
      <c r="AO75">
        <f>IFERROR(IF(AX75&lt;($AM$9-$AL$9)/($AN$9-$AL$9),$AL$9+SQRT(AX75*($AN$9-$AL$9)*($AM$9-$AL$9)),$AN$9-SQRT((1-AX75)*($AN$9-$AL$9)*($AN$9-$AM$9))),$AM$9)</f>
        <v/>
      </c>
      <c r="AP75">
        <f>IFERROR(IF(AY75&lt;($AM$10-$AL$10)/($AN$10-$AL$10),$AL$10+SQRT(AY75*($AN$10-$AL$10)*($AM$10-$AL$10)),$AN$10-SQRT((1-AY75)*($AN$10-$AL$10)*($AN$10-$AM$10))),$AM$10)</f>
        <v/>
      </c>
      <c r="AQ75">
        <f>IFERROR(IF(AZ75&lt;($AM$11-$AL$11)/($AN$11-$AL$11),$AL$11+SQRT(AZ75*($AN$11-$AL$11)*($AM$11-$AL$11)),$AN$11-SQRT((1-AZ75)*($AN$11-$AL$11)*($AN$11-$AM$11))),$AM$11)</f>
        <v/>
      </c>
      <c r="AR75">
        <f>SUMPRODUCT((B24:B31&lt;=$B$6)*(C24:C31*AM75+D24:D31*AO75*$B$8*AQ75)/(1+AL75/100)^B24:B31)+C32*AM75*AP75/(1+AL75/100)^$B$6</f>
        <v/>
      </c>
      <c r="AS75">
        <f>SUMPRODUCT((K24:K26&lt;=$B$6)*(L24:L26*AN75+M24:M26*AO75*$B$8*AQ75)/(1+AL75/100)^K24:K26)+L27*AN75*AP75/(1+AL75/100)^$B$6</f>
        <v/>
      </c>
      <c r="AT75">
        <f>AS75-AR75</f>
        <v/>
      </c>
      <c r="AU75">
        <f>RAND()</f>
        <v/>
      </c>
      <c r="AV75">
        <f>RAND()</f>
        <v/>
      </c>
      <c r="AW75">
        <f>RAND()</f>
        <v/>
      </c>
      <c r="AX75">
        <f>RAND()</f>
        <v/>
      </c>
      <c r="AY75">
        <f>RAND()</f>
        <v/>
      </c>
      <c r="AZ75">
        <f>RAND()</f>
        <v/>
      </c>
    </row>
    <row r="76">
      <c r="A76" s="33" t="n">
        <v>4.75</v>
      </c>
      <c r="B76" s="14">
        <f>SUMPRODUCT((B24:B31&lt;=$B$6)*(C24:C31*$B$11+D24:D31*$B$10*$B$8*$B$9)/(1+$A76/100)^B24:B31)+C32*$B$11*$B$13/(1+$A76/100)^$B$6</f>
        <v/>
      </c>
      <c r="C76" s="14">
        <f>SUMPRODUCT((K24:K26&lt;=$B$6)*(L24:L26*$B$12+M24:M26*$B$10*$B$8*$B$9)/(1+$A76/100)^K24:K26)+L27*$B$12*$B$13/(1+$A76/100)^$B$6</f>
        <v/>
      </c>
      <c r="D76" s="14">
        <f>C76-B76</f>
        <v/>
      </c>
      <c r="E76">
        <f>IF(D76&lt;0,"PCC","HMA")</f>
        <v/>
      </c>
      <c r="AK76" t="n">
        <v>63</v>
      </c>
      <c r="AL76">
        <f>IFERROR(IF(AU76&lt;($AM$6-$AL$6)/($AN$6-$AL$6),$AL$6+SQRT(AU76*($AN$6-$AL$6)*($AM$6-$AL$6)),$AN$6-SQRT((1-AU76)*($AN$6-$AL$6)*($AN$6-$AM$6))),$AM$6)</f>
        <v/>
      </c>
      <c r="AM76">
        <f>IFERROR(IF(AV76&lt;($AM$7-$AL$7)/($AN$7-$AL$7),$AL$7+SQRT(AV76*($AN$7-$AL$7)*($AM$7-$AL$7)),$AN$7-SQRT((1-AV76)*($AN$7-$AL$7)*($AN$7-$AM$7))),$AM$7)</f>
        <v/>
      </c>
      <c r="AN76">
        <f>IFERROR(IF(AW76&lt;($AM$8-$AL$8)/($AN$8-$AL$8),$AL$8+SQRT(AW76*($AN$8-$AL$8)*($AM$8-$AL$8)),$AN$8-SQRT((1-AW76)*($AN$8-$AL$8)*($AN$8-$AM$8))),$AM$8)</f>
        <v/>
      </c>
      <c r="AO76">
        <f>IFERROR(IF(AX76&lt;($AM$9-$AL$9)/($AN$9-$AL$9),$AL$9+SQRT(AX76*($AN$9-$AL$9)*($AM$9-$AL$9)),$AN$9-SQRT((1-AX76)*($AN$9-$AL$9)*($AN$9-$AM$9))),$AM$9)</f>
        <v/>
      </c>
      <c r="AP76">
        <f>IFERROR(IF(AY76&lt;($AM$10-$AL$10)/($AN$10-$AL$10),$AL$10+SQRT(AY76*($AN$10-$AL$10)*($AM$10-$AL$10)),$AN$10-SQRT((1-AY76)*($AN$10-$AL$10)*($AN$10-$AM$10))),$AM$10)</f>
        <v/>
      </c>
      <c r="AQ76">
        <f>IFERROR(IF(AZ76&lt;($AM$11-$AL$11)/($AN$11-$AL$11),$AL$11+SQRT(AZ76*($AN$11-$AL$11)*($AM$11-$AL$11)),$AN$11-SQRT((1-AZ76)*($AN$11-$AL$11)*($AN$11-$AM$11))),$AM$11)</f>
        <v/>
      </c>
      <c r="AR76">
        <f>SUMPRODUCT((B24:B31&lt;=$B$6)*(C24:C31*AM76+D24:D31*AO76*$B$8*AQ76)/(1+AL76/100)^B24:B31)+C32*AM76*AP76/(1+AL76/100)^$B$6</f>
        <v/>
      </c>
      <c r="AS76">
        <f>SUMPRODUCT((K24:K26&lt;=$B$6)*(L24:L26*AN76+M24:M26*AO76*$B$8*AQ76)/(1+AL76/100)^K24:K26)+L27*AN76*AP76/(1+AL76/100)^$B$6</f>
        <v/>
      </c>
      <c r="AT76">
        <f>AS76-AR76</f>
        <v/>
      </c>
      <c r="AU76">
        <f>RAND()</f>
        <v/>
      </c>
      <c r="AV76">
        <f>RAND()</f>
        <v/>
      </c>
      <c r="AW76">
        <f>RAND()</f>
        <v/>
      </c>
      <c r="AX76">
        <f>RAND()</f>
        <v/>
      </c>
      <c r="AY76">
        <f>RAND()</f>
        <v/>
      </c>
      <c r="AZ76">
        <f>RAND()</f>
        <v/>
      </c>
    </row>
    <row r="77">
      <c r="A77" s="33" t="n">
        <v>5</v>
      </c>
      <c r="B77" s="14">
        <f>SUMPRODUCT((B24:B31&lt;=$B$6)*(C24:C31*$B$11+D24:D31*$B$10*$B$8*$B$9)/(1+$A77/100)^B24:B31)+C32*$B$11*$B$13/(1+$A77/100)^$B$6</f>
        <v/>
      </c>
      <c r="C77" s="14">
        <f>SUMPRODUCT((K24:K26&lt;=$B$6)*(L24:L26*$B$12+M24:M26*$B$10*$B$8*$B$9)/(1+$A77/100)^K24:K26)+L27*$B$12*$B$13/(1+$A77/100)^$B$6</f>
        <v/>
      </c>
      <c r="D77" s="14">
        <f>C77-B77</f>
        <v/>
      </c>
      <c r="E77">
        <f>IF(D77&lt;0,"PCC","HMA")</f>
        <v/>
      </c>
      <c r="AK77" t="n">
        <v>64</v>
      </c>
      <c r="AL77">
        <f>IFERROR(IF(AU77&lt;($AM$6-$AL$6)/($AN$6-$AL$6),$AL$6+SQRT(AU77*($AN$6-$AL$6)*($AM$6-$AL$6)),$AN$6-SQRT((1-AU77)*($AN$6-$AL$6)*($AN$6-$AM$6))),$AM$6)</f>
        <v/>
      </c>
      <c r="AM77">
        <f>IFERROR(IF(AV77&lt;($AM$7-$AL$7)/($AN$7-$AL$7),$AL$7+SQRT(AV77*($AN$7-$AL$7)*($AM$7-$AL$7)),$AN$7-SQRT((1-AV77)*($AN$7-$AL$7)*($AN$7-$AM$7))),$AM$7)</f>
        <v/>
      </c>
      <c r="AN77">
        <f>IFERROR(IF(AW77&lt;($AM$8-$AL$8)/($AN$8-$AL$8),$AL$8+SQRT(AW77*($AN$8-$AL$8)*($AM$8-$AL$8)),$AN$8-SQRT((1-AW77)*($AN$8-$AL$8)*($AN$8-$AM$8))),$AM$8)</f>
        <v/>
      </c>
      <c r="AO77">
        <f>IFERROR(IF(AX77&lt;($AM$9-$AL$9)/($AN$9-$AL$9),$AL$9+SQRT(AX77*($AN$9-$AL$9)*($AM$9-$AL$9)),$AN$9-SQRT((1-AX77)*($AN$9-$AL$9)*($AN$9-$AM$9))),$AM$9)</f>
        <v/>
      </c>
      <c r="AP77">
        <f>IFERROR(IF(AY77&lt;($AM$10-$AL$10)/($AN$10-$AL$10),$AL$10+SQRT(AY77*($AN$10-$AL$10)*($AM$10-$AL$10)),$AN$10-SQRT((1-AY77)*($AN$10-$AL$10)*($AN$10-$AM$10))),$AM$10)</f>
        <v/>
      </c>
      <c r="AQ77">
        <f>IFERROR(IF(AZ77&lt;($AM$11-$AL$11)/($AN$11-$AL$11),$AL$11+SQRT(AZ77*($AN$11-$AL$11)*($AM$11-$AL$11)),$AN$11-SQRT((1-AZ77)*($AN$11-$AL$11)*($AN$11-$AM$11))),$AM$11)</f>
        <v/>
      </c>
      <c r="AR77">
        <f>SUMPRODUCT((B24:B31&lt;=$B$6)*(C24:C31*AM77+D24:D31*AO77*$B$8*AQ77)/(1+AL77/100)^B24:B31)+C32*AM77*AP77/(1+AL77/100)^$B$6</f>
        <v/>
      </c>
      <c r="AS77">
        <f>SUMPRODUCT((K24:K26&lt;=$B$6)*(L24:L26*AN77+M24:M26*AO77*$B$8*AQ77)/(1+AL77/100)^K24:K26)+L27*AN77*AP77/(1+AL77/100)^$B$6</f>
        <v/>
      </c>
      <c r="AT77">
        <f>AS77-AR77</f>
        <v/>
      </c>
      <c r="AU77">
        <f>RAND()</f>
        <v/>
      </c>
      <c r="AV77">
        <f>RAND()</f>
        <v/>
      </c>
      <c r="AW77">
        <f>RAND()</f>
        <v/>
      </c>
      <c r="AX77">
        <f>RAND()</f>
        <v/>
      </c>
      <c r="AY77">
        <f>RAND()</f>
        <v/>
      </c>
      <c r="AZ77">
        <f>RAND()</f>
        <v/>
      </c>
    </row>
    <row r="78">
      <c r="A78" s="33" t="n">
        <v>5.25</v>
      </c>
      <c r="B78" s="14">
        <f>SUMPRODUCT((B24:B31&lt;=$B$6)*(C24:C31*$B$11+D24:D31*$B$10*$B$8*$B$9)/(1+$A78/100)^B24:B31)+C32*$B$11*$B$13/(1+$A78/100)^$B$6</f>
        <v/>
      </c>
      <c r="C78" s="14">
        <f>SUMPRODUCT((K24:K26&lt;=$B$6)*(L24:L26*$B$12+M24:M26*$B$10*$B$8*$B$9)/(1+$A78/100)^K24:K26)+L27*$B$12*$B$13/(1+$A78/100)^$B$6</f>
        <v/>
      </c>
      <c r="D78" s="14">
        <f>C78-B78</f>
        <v/>
      </c>
      <c r="E78">
        <f>IF(D78&lt;0,"PCC","HMA")</f>
        <v/>
      </c>
      <c r="AK78" t="n">
        <v>65</v>
      </c>
      <c r="AL78">
        <f>IFERROR(IF(AU78&lt;($AM$6-$AL$6)/($AN$6-$AL$6),$AL$6+SQRT(AU78*($AN$6-$AL$6)*($AM$6-$AL$6)),$AN$6-SQRT((1-AU78)*($AN$6-$AL$6)*($AN$6-$AM$6))),$AM$6)</f>
        <v/>
      </c>
      <c r="AM78">
        <f>IFERROR(IF(AV78&lt;($AM$7-$AL$7)/($AN$7-$AL$7),$AL$7+SQRT(AV78*($AN$7-$AL$7)*($AM$7-$AL$7)),$AN$7-SQRT((1-AV78)*($AN$7-$AL$7)*($AN$7-$AM$7))),$AM$7)</f>
        <v/>
      </c>
      <c r="AN78">
        <f>IFERROR(IF(AW78&lt;($AM$8-$AL$8)/($AN$8-$AL$8),$AL$8+SQRT(AW78*($AN$8-$AL$8)*($AM$8-$AL$8)),$AN$8-SQRT((1-AW78)*($AN$8-$AL$8)*($AN$8-$AM$8))),$AM$8)</f>
        <v/>
      </c>
      <c r="AO78">
        <f>IFERROR(IF(AX78&lt;($AM$9-$AL$9)/($AN$9-$AL$9),$AL$9+SQRT(AX78*($AN$9-$AL$9)*($AM$9-$AL$9)),$AN$9-SQRT((1-AX78)*($AN$9-$AL$9)*($AN$9-$AM$9))),$AM$9)</f>
        <v/>
      </c>
      <c r="AP78">
        <f>IFERROR(IF(AY78&lt;($AM$10-$AL$10)/($AN$10-$AL$10),$AL$10+SQRT(AY78*($AN$10-$AL$10)*($AM$10-$AL$10)),$AN$10-SQRT((1-AY78)*($AN$10-$AL$10)*($AN$10-$AM$10))),$AM$10)</f>
        <v/>
      </c>
      <c r="AQ78">
        <f>IFERROR(IF(AZ78&lt;($AM$11-$AL$11)/($AN$11-$AL$11),$AL$11+SQRT(AZ78*($AN$11-$AL$11)*($AM$11-$AL$11)),$AN$11-SQRT((1-AZ78)*($AN$11-$AL$11)*($AN$11-$AM$11))),$AM$11)</f>
        <v/>
      </c>
      <c r="AR78">
        <f>SUMPRODUCT((B24:B31&lt;=$B$6)*(C24:C31*AM78+D24:D31*AO78*$B$8*AQ78)/(1+AL78/100)^B24:B31)+C32*AM78*AP78/(1+AL78/100)^$B$6</f>
        <v/>
      </c>
      <c r="AS78">
        <f>SUMPRODUCT((K24:K26&lt;=$B$6)*(L24:L26*AN78+M24:M26*AO78*$B$8*AQ78)/(1+AL78/100)^K24:K26)+L27*AN78*AP78/(1+AL78/100)^$B$6</f>
        <v/>
      </c>
      <c r="AT78">
        <f>AS78-AR78</f>
        <v/>
      </c>
      <c r="AU78">
        <f>RAND()</f>
        <v/>
      </c>
      <c r="AV78">
        <f>RAND()</f>
        <v/>
      </c>
      <c r="AW78">
        <f>RAND()</f>
        <v/>
      </c>
      <c r="AX78">
        <f>RAND()</f>
        <v/>
      </c>
      <c r="AY78">
        <f>RAND()</f>
        <v/>
      </c>
      <c r="AZ78">
        <f>RAND()</f>
        <v/>
      </c>
    </row>
    <row r="79">
      <c r="A79" s="33" t="n">
        <v>5.5</v>
      </c>
      <c r="B79" s="14">
        <f>SUMPRODUCT((B24:B31&lt;=$B$6)*(C24:C31*$B$11+D24:D31*$B$10*$B$8*$B$9)/(1+$A79/100)^B24:B31)+C32*$B$11*$B$13/(1+$A79/100)^$B$6</f>
        <v/>
      </c>
      <c r="C79" s="14">
        <f>SUMPRODUCT((K24:K26&lt;=$B$6)*(L24:L26*$B$12+M24:M26*$B$10*$B$8*$B$9)/(1+$A79/100)^K24:K26)+L27*$B$12*$B$13/(1+$A79/100)^$B$6</f>
        <v/>
      </c>
      <c r="D79" s="14">
        <f>C79-B79</f>
        <v/>
      </c>
      <c r="E79">
        <f>IF(D79&lt;0,"PCC","HMA")</f>
        <v/>
      </c>
      <c r="AK79" t="n">
        <v>66</v>
      </c>
      <c r="AL79">
        <f>IFERROR(IF(AU79&lt;($AM$6-$AL$6)/($AN$6-$AL$6),$AL$6+SQRT(AU79*($AN$6-$AL$6)*($AM$6-$AL$6)),$AN$6-SQRT((1-AU79)*($AN$6-$AL$6)*($AN$6-$AM$6))),$AM$6)</f>
        <v/>
      </c>
      <c r="AM79">
        <f>IFERROR(IF(AV79&lt;($AM$7-$AL$7)/($AN$7-$AL$7),$AL$7+SQRT(AV79*($AN$7-$AL$7)*($AM$7-$AL$7)),$AN$7-SQRT((1-AV79)*($AN$7-$AL$7)*($AN$7-$AM$7))),$AM$7)</f>
        <v/>
      </c>
      <c r="AN79">
        <f>IFERROR(IF(AW79&lt;($AM$8-$AL$8)/($AN$8-$AL$8),$AL$8+SQRT(AW79*($AN$8-$AL$8)*($AM$8-$AL$8)),$AN$8-SQRT((1-AW79)*($AN$8-$AL$8)*($AN$8-$AM$8))),$AM$8)</f>
        <v/>
      </c>
      <c r="AO79">
        <f>IFERROR(IF(AX79&lt;($AM$9-$AL$9)/($AN$9-$AL$9),$AL$9+SQRT(AX79*($AN$9-$AL$9)*($AM$9-$AL$9)),$AN$9-SQRT((1-AX79)*($AN$9-$AL$9)*($AN$9-$AM$9))),$AM$9)</f>
        <v/>
      </c>
      <c r="AP79">
        <f>IFERROR(IF(AY79&lt;($AM$10-$AL$10)/($AN$10-$AL$10),$AL$10+SQRT(AY79*($AN$10-$AL$10)*($AM$10-$AL$10)),$AN$10-SQRT((1-AY79)*($AN$10-$AL$10)*($AN$10-$AM$10))),$AM$10)</f>
        <v/>
      </c>
      <c r="AQ79">
        <f>IFERROR(IF(AZ79&lt;($AM$11-$AL$11)/($AN$11-$AL$11),$AL$11+SQRT(AZ79*($AN$11-$AL$11)*($AM$11-$AL$11)),$AN$11-SQRT((1-AZ79)*($AN$11-$AL$11)*($AN$11-$AM$11))),$AM$11)</f>
        <v/>
      </c>
      <c r="AR79">
        <f>SUMPRODUCT((B24:B31&lt;=$B$6)*(C24:C31*AM79+D24:D31*AO79*$B$8*AQ79)/(1+AL79/100)^B24:B31)+C32*AM79*AP79/(1+AL79/100)^$B$6</f>
        <v/>
      </c>
      <c r="AS79">
        <f>SUMPRODUCT((K24:K26&lt;=$B$6)*(L24:L26*AN79+M24:M26*AO79*$B$8*AQ79)/(1+AL79/100)^K24:K26)+L27*AN79*AP79/(1+AL79/100)^$B$6</f>
        <v/>
      </c>
      <c r="AT79">
        <f>AS79-AR79</f>
        <v/>
      </c>
      <c r="AU79">
        <f>RAND()</f>
        <v/>
      </c>
      <c r="AV79">
        <f>RAND()</f>
        <v/>
      </c>
      <c r="AW79">
        <f>RAND()</f>
        <v/>
      </c>
      <c r="AX79">
        <f>RAND()</f>
        <v/>
      </c>
      <c r="AY79">
        <f>RAND()</f>
        <v/>
      </c>
      <c r="AZ79">
        <f>RAND()</f>
        <v/>
      </c>
    </row>
    <row r="80">
      <c r="A80" s="33" t="n">
        <v>5.75</v>
      </c>
      <c r="B80" s="14">
        <f>SUMPRODUCT((B24:B31&lt;=$B$6)*(C24:C31*$B$11+D24:D31*$B$10*$B$8*$B$9)/(1+$A80/100)^B24:B31)+C32*$B$11*$B$13/(1+$A80/100)^$B$6</f>
        <v/>
      </c>
      <c r="C80" s="14">
        <f>SUMPRODUCT((K24:K26&lt;=$B$6)*(L24:L26*$B$12+M24:M26*$B$10*$B$8*$B$9)/(1+$A80/100)^K24:K26)+L27*$B$12*$B$13/(1+$A80/100)^$B$6</f>
        <v/>
      </c>
      <c r="D80" s="14">
        <f>C80-B80</f>
        <v/>
      </c>
      <c r="E80">
        <f>IF(D80&lt;0,"PCC","HMA")</f>
        <v/>
      </c>
      <c r="AK80" t="n">
        <v>67</v>
      </c>
      <c r="AL80">
        <f>IFERROR(IF(AU80&lt;($AM$6-$AL$6)/($AN$6-$AL$6),$AL$6+SQRT(AU80*($AN$6-$AL$6)*($AM$6-$AL$6)),$AN$6-SQRT((1-AU80)*($AN$6-$AL$6)*($AN$6-$AM$6))),$AM$6)</f>
        <v/>
      </c>
      <c r="AM80">
        <f>IFERROR(IF(AV80&lt;($AM$7-$AL$7)/($AN$7-$AL$7),$AL$7+SQRT(AV80*($AN$7-$AL$7)*($AM$7-$AL$7)),$AN$7-SQRT((1-AV80)*($AN$7-$AL$7)*($AN$7-$AM$7))),$AM$7)</f>
        <v/>
      </c>
      <c r="AN80">
        <f>IFERROR(IF(AW80&lt;($AM$8-$AL$8)/($AN$8-$AL$8),$AL$8+SQRT(AW80*($AN$8-$AL$8)*($AM$8-$AL$8)),$AN$8-SQRT((1-AW80)*($AN$8-$AL$8)*($AN$8-$AM$8))),$AM$8)</f>
        <v/>
      </c>
      <c r="AO80">
        <f>IFERROR(IF(AX80&lt;($AM$9-$AL$9)/($AN$9-$AL$9),$AL$9+SQRT(AX80*($AN$9-$AL$9)*($AM$9-$AL$9)),$AN$9-SQRT((1-AX80)*($AN$9-$AL$9)*($AN$9-$AM$9))),$AM$9)</f>
        <v/>
      </c>
      <c r="AP80">
        <f>IFERROR(IF(AY80&lt;($AM$10-$AL$10)/($AN$10-$AL$10),$AL$10+SQRT(AY80*($AN$10-$AL$10)*($AM$10-$AL$10)),$AN$10-SQRT((1-AY80)*($AN$10-$AL$10)*($AN$10-$AM$10))),$AM$10)</f>
        <v/>
      </c>
      <c r="AQ80">
        <f>IFERROR(IF(AZ80&lt;($AM$11-$AL$11)/($AN$11-$AL$11),$AL$11+SQRT(AZ80*($AN$11-$AL$11)*($AM$11-$AL$11)),$AN$11-SQRT((1-AZ80)*($AN$11-$AL$11)*($AN$11-$AM$11))),$AM$11)</f>
        <v/>
      </c>
      <c r="AR80">
        <f>SUMPRODUCT((B24:B31&lt;=$B$6)*(C24:C31*AM80+D24:D31*AO80*$B$8*AQ80)/(1+AL80/100)^B24:B31)+C32*AM80*AP80/(1+AL80/100)^$B$6</f>
        <v/>
      </c>
      <c r="AS80">
        <f>SUMPRODUCT((K24:K26&lt;=$B$6)*(L24:L26*AN80+M24:M26*AO80*$B$8*AQ80)/(1+AL80/100)^K24:K26)+L27*AN80*AP80/(1+AL80/100)^$B$6</f>
        <v/>
      </c>
      <c r="AT80">
        <f>AS80-AR80</f>
        <v/>
      </c>
      <c r="AU80">
        <f>RAND()</f>
        <v/>
      </c>
      <c r="AV80">
        <f>RAND()</f>
        <v/>
      </c>
      <c r="AW80">
        <f>RAND()</f>
        <v/>
      </c>
      <c r="AX80">
        <f>RAND()</f>
        <v/>
      </c>
      <c r="AY80">
        <f>RAND()</f>
        <v/>
      </c>
      <c r="AZ80">
        <f>RAND()</f>
        <v/>
      </c>
    </row>
    <row r="81">
      <c r="A81" s="33" t="n">
        <v>6</v>
      </c>
      <c r="B81" s="14">
        <f>SUMPRODUCT((B24:B31&lt;=$B$6)*(C24:C31*$B$11+D24:D31*$B$10*$B$8*$B$9)/(1+$A81/100)^B24:B31)+C32*$B$11*$B$13/(1+$A81/100)^$B$6</f>
        <v/>
      </c>
      <c r="C81" s="14">
        <f>SUMPRODUCT((K24:K26&lt;=$B$6)*(L24:L26*$B$12+M24:M26*$B$10*$B$8*$B$9)/(1+$A81/100)^K24:K26)+L27*$B$12*$B$13/(1+$A81/100)^$B$6</f>
        <v/>
      </c>
      <c r="D81" s="14">
        <f>C81-B81</f>
        <v/>
      </c>
      <c r="E81">
        <f>IF(D81&lt;0,"PCC","HMA")</f>
        <v/>
      </c>
      <c r="AK81" t="n">
        <v>68</v>
      </c>
      <c r="AL81">
        <f>IFERROR(IF(AU81&lt;($AM$6-$AL$6)/($AN$6-$AL$6),$AL$6+SQRT(AU81*($AN$6-$AL$6)*($AM$6-$AL$6)),$AN$6-SQRT((1-AU81)*($AN$6-$AL$6)*($AN$6-$AM$6))),$AM$6)</f>
        <v/>
      </c>
      <c r="AM81">
        <f>IFERROR(IF(AV81&lt;($AM$7-$AL$7)/($AN$7-$AL$7),$AL$7+SQRT(AV81*($AN$7-$AL$7)*($AM$7-$AL$7)),$AN$7-SQRT((1-AV81)*($AN$7-$AL$7)*($AN$7-$AM$7))),$AM$7)</f>
        <v/>
      </c>
      <c r="AN81">
        <f>IFERROR(IF(AW81&lt;($AM$8-$AL$8)/($AN$8-$AL$8),$AL$8+SQRT(AW81*($AN$8-$AL$8)*($AM$8-$AL$8)),$AN$8-SQRT((1-AW81)*($AN$8-$AL$8)*($AN$8-$AM$8))),$AM$8)</f>
        <v/>
      </c>
      <c r="AO81">
        <f>IFERROR(IF(AX81&lt;($AM$9-$AL$9)/($AN$9-$AL$9),$AL$9+SQRT(AX81*($AN$9-$AL$9)*($AM$9-$AL$9)),$AN$9-SQRT((1-AX81)*($AN$9-$AL$9)*($AN$9-$AM$9))),$AM$9)</f>
        <v/>
      </c>
      <c r="AP81">
        <f>IFERROR(IF(AY81&lt;($AM$10-$AL$10)/($AN$10-$AL$10),$AL$10+SQRT(AY81*($AN$10-$AL$10)*($AM$10-$AL$10)),$AN$10-SQRT((1-AY81)*($AN$10-$AL$10)*($AN$10-$AM$10))),$AM$10)</f>
        <v/>
      </c>
      <c r="AQ81">
        <f>IFERROR(IF(AZ81&lt;($AM$11-$AL$11)/($AN$11-$AL$11),$AL$11+SQRT(AZ81*($AN$11-$AL$11)*($AM$11-$AL$11)),$AN$11-SQRT((1-AZ81)*($AN$11-$AL$11)*($AN$11-$AM$11))),$AM$11)</f>
        <v/>
      </c>
      <c r="AR81">
        <f>SUMPRODUCT((B24:B31&lt;=$B$6)*(C24:C31*AM81+D24:D31*AO81*$B$8*AQ81)/(1+AL81/100)^B24:B31)+C32*AM81*AP81/(1+AL81/100)^$B$6</f>
        <v/>
      </c>
      <c r="AS81">
        <f>SUMPRODUCT((K24:K26&lt;=$B$6)*(L24:L26*AN81+M24:M26*AO81*$B$8*AQ81)/(1+AL81/100)^K24:K26)+L27*AN81*AP81/(1+AL81/100)^$B$6</f>
        <v/>
      </c>
      <c r="AT81">
        <f>AS81-AR81</f>
        <v/>
      </c>
      <c r="AU81">
        <f>RAND()</f>
        <v/>
      </c>
      <c r="AV81">
        <f>RAND()</f>
        <v/>
      </c>
      <c r="AW81">
        <f>RAND()</f>
        <v/>
      </c>
      <c r="AX81">
        <f>RAND()</f>
        <v/>
      </c>
      <c r="AY81">
        <f>RAND()</f>
        <v/>
      </c>
      <c r="AZ81">
        <f>RAND()</f>
        <v/>
      </c>
    </row>
    <row r="82">
      <c r="A82" s="33" t="n">
        <v>6.25</v>
      </c>
      <c r="B82" s="14">
        <f>SUMPRODUCT((B24:B31&lt;=$B$6)*(C24:C31*$B$11+D24:D31*$B$10*$B$8*$B$9)/(1+$A82/100)^B24:B31)+C32*$B$11*$B$13/(1+$A82/100)^$B$6</f>
        <v/>
      </c>
      <c r="C82" s="14">
        <f>SUMPRODUCT((K24:K26&lt;=$B$6)*(L24:L26*$B$12+M24:M26*$B$10*$B$8*$B$9)/(1+$A82/100)^K24:K26)+L27*$B$12*$B$13/(1+$A82/100)^$B$6</f>
        <v/>
      </c>
      <c r="D82" s="14">
        <f>C82-B82</f>
        <v/>
      </c>
      <c r="E82">
        <f>IF(D82&lt;0,"PCC","HMA")</f>
        <v/>
      </c>
      <c r="AK82" t="n">
        <v>69</v>
      </c>
      <c r="AL82">
        <f>IFERROR(IF(AU82&lt;($AM$6-$AL$6)/($AN$6-$AL$6),$AL$6+SQRT(AU82*($AN$6-$AL$6)*($AM$6-$AL$6)),$AN$6-SQRT((1-AU82)*($AN$6-$AL$6)*($AN$6-$AM$6))),$AM$6)</f>
        <v/>
      </c>
      <c r="AM82">
        <f>IFERROR(IF(AV82&lt;($AM$7-$AL$7)/($AN$7-$AL$7),$AL$7+SQRT(AV82*($AN$7-$AL$7)*($AM$7-$AL$7)),$AN$7-SQRT((1-AV82)*($AN$7-$AL$7)*($AN$7-$AM$7))),$AM$7)</f>
        <v/>
      </c>
      <c r="AN82">
        <f>IFERROR(IF(AW82&lt;($AM$8-$AL$8)/($AN$8-$AL$8),$AL$8+SQRT(AW82*($AN$8-$AL$8)*($AM$8-$AL$8)),$AN$8-SQRT((1-AW82)*($AN$8-$AL$8)*($AN$8-$AM$8))),$AM$8)</f>
        <v/>
      </c>
      <c r="AO82">
        <f>IFERROR(IF(AX82&lt;($AM$9-$AL$9)/($AN$9-$AL$9),$AL$9+SQRT(AX82*($AN$9-$AL$9)*($AM$9-$AL$9)),$AN$9-SQRT((1-AX82)*($AN$9-$AL$9)*($AN$9-$AM$9))),$AM$9)</f>
        <v/>
      </c>
      <c r="AP82">
        <f>IFERROR(IF(AY82&lt;($AM$10-$AL$10)/($AN$10-$AL$10),$AL$10+SQRT(AY82*($AN$10-$AL$10)*($AM$10-$AL$10)),$AN$10-SQRT((1-AY82)*($AN$10-$AL$10)*($AN$10-$AM$10))),$AM$10)</f>
        <v/>
      </c>
      <c r="AQ82">
        <f>IFERROR(IF(AZ82&lt;($AM$11-$AL$11)/($AN$11-$AL$11),$AL$11+SQRT(AZ82*($AN$11-$AL$11)*($AM$11-$AL$11)),$AN$11-SQRT((1-AZ82)*($AN$11-$AL$11)*($AN$11-$AM$11))),$AM$11)</f>
        <v/>
      </c>
      <c r="AR82">
        <f>SUMPRODUCT((B24:B31&lt;=$B$6)*(C24:C31*AM82+D24:D31*AO82*$B$8*AQ82)/(1+AL82/100)^B24:B31)+C32*AM82*AP82/(1+AL82/100)^$B$6</f>
        <v/>
      </c>
      <c r="AS82">
        <f>SUMPRODUCT((K24:K26&lt;=$B$6)*(L24:L26*AN82+M24:M26*AO82*$B$8*AQ82)/(1+AL82/100)^K24:K26)+L27*AN82*AP82/(1+AL82/100)^$B$6</f>
        <v/>
      </c>
      <c r="AT82">
        <f>AS82-AR82</f>
        <v/>
      </c>
      <c r="AU82">
        <f>RAND()</f>
        <v/>
      </c>
      <c r="AV82">
        <f>RAND()</f>
        <v/>
      </c>
      <c r="AW82">
        <f>RAND()</f>
        <v/>
      </c>
      <c r="AX82">
        <f>RAND()</f>
        <v/>
      </c>
      <c r="AY82">
        <f>RAND()</f>
        <v/>
      </c>
      <c r="AZ82">
        <f>RAND()</f>
        <v/>
      </c>
    </row>
    <row r="83">
      <c r="A83" s="33" t="n">
        <v>6.5</v>
      </c>
      <c r="B83" s="14">
        <f>SUMPRODUCT((B24:B31&lt;=$B$6)*(C24:C31*$B$11+D24:D31*$B$10*$B$8*$B$9)/(1+$A83/100)^B24:B31)+C32*$B$11*$B$13/(1+$A83/100)^$B$6</f>
        <v/>
      </c>
      <c r="C83" s="14">
        <f>SUMPRODUCT((K24:K26&lt;=$B$6)*(L24:L26*$B$12+M24:M26*$B$10*$B$8*$B$9)/(1+$A83/100)^K24:K26)+L27*$B$12*$B$13/(1+$A83/100)^$B$6</f>
        <v/>
      </c>
      <c r="D83" s="14">
        <f>C83-B83</f>
        <v/>
      </c>
      <c r="E83">
        <f>IF(D83&lt;0,"PCC","HMA")</f>
        <v/>
      </c>
      <c r="AK83" t="n">
        <v>70</v>
      </c>
      <c r="AL83">
        <f>IFERROR(IF(AU83&lt;($AM$6-$AL$6)/($AN$6-$AL$6),$AL$6+SQRT(AU83*($AN$6-$AL$6)*($AM$6-$AL$6)),$AN$6-SQRT((1-AU83)*($AN$6-$AL$6)*($AN$6-$AM$6))),$AM$6)</f>
        <v/>
      </c>
      <c r="AM83">
        <f>IFERROR(IF(AV83&lt;($AM$7-$AL$7)/($AN$7-$AL$7),$AL$7+SQRT(AV83*($AN$7-$AL$7)*($AM$7-$AL$7)),$AN$7-SQRT((1-AV83)*($AN$7-$AL$7)*($AN$7-$AM$7))),$AM$7)</f>
        <v/>
      </c>
      <c r="AN83">
        <f>IFERROR(IF(AW83&lt;($AM$8-$AL$8)/($AN$8-$AL$8),$AL$8+SQRT(AW83*($AN$8-$AL$8)*($AM$8-$AL$8)),$AN$8-SQRT((1-AW83)*($AN$8-$AL$8)*($AN$8-$AM$8))),$AM$8)</f>
        <v/>
      </c>
      <c r="AO83">
        <f>IFERROR(IF(AX83&lt;($AM$9-$AL$9)/($AN$9-$AL$9),$AL$9+SQRT(AX83*($AN$9-$AL$9)*($AM$9-$AL$9)),$AN$9-SQRT((1-AX83)*($AN$9-$AL$9)*($AN$9-$AM$9))),$AM$9)</f>
        <v/>
      </c>
      <c r="AP83">
        <f>IFERROR(IF(AY83&lt;($AM$10-$AL$10)/($AN$10-$AL$10),$AL$10+SQRT(AY83*($AN$10-$AL$10)*($AM$10-$AL$10)),$AN$10-SQRT((1-AY83)*($AN$10-$AL$10)*($AN$10-$AM$10))),$AM$10)</f>
        <v/>
      </c>
      <c r="AQ83">
        <f>IFERROR(IF(AZ83&lt;($AM$11-$AL$11)/($AN$11-$AL$11),$AL$11+SQRT(AZ83*($AN$11-$AL$11)*($AM$11-$AL$11)),$AN$11-SQRT((1-AZ83)*($AN$11-$AL$11)*($AN$11-$AM$11))),$AM$11)</f>
        <v/>
      </c>
      <c r="AR83">
        <f>SUMPRODUCT((B24:B31&lt;=$B$6)*(C24:C31*AM83+D24:D31*AO83*$B$8*AQ83)/(1+AL83/100)^B24:B31)+C32*AM83*AP83/(1+AL83/100)^$B$6</f>
        <v/>
      </c>
      <c r="AS83">
        <f>SUMPRODUCT((K24:K26&lt;=$B$6)*(L24:L26*AN83+M24:M26*AO83*$B$8*AQ83)/(1+AL83/100)^K24:K26)+L27*AN83*AP83/(1+AL83/100)^$B$6</f>
        <v/>
      </c>
      <c r="AT83">
        <f>AS83-AR83</f>
        <v/>
      </c>
      <c r="AU83">
        <f>RAND()</f>
        <v/>
      </c>
      <c r="AV83">
        <f>RAND()</f>
        <v/>
      </c>
      <c r="AW83">
        <f>RAND()</f>
        <v/>
      </c>
      <c r="AX83">
        <f>RAND()</f>
        <v/>
      </c>
      <c r="AY83">
        <f>RAND()</f>
        <v/>
      </c>
      <c r="AZ83">
        <f>RAND()</f>
        <v/>
      </c>
    </row>
    <row r="84">
      <c r="A84" s="33" t="n">
        <v>6.75</v>
      </c>
      <c r="B84" s="14">
        <f>SUMPRODUCT((B24:B31&lt;=$B$6)*(C24:C31*$B$11+D24:D31*$B$10*$B$8*$B$9)/(1+$A84/100)^B24:B31)+C32*$B$11*$B$13/(1+$A84/100)^$B$6</f>
        <v/>
      </c>
      <c r="C84" s="14">
        <f>SUMPRODUCT((K24:K26&lt;=$B$6)*(L24:L26*$B$12+M24:M26*$B$10*$B$8*$B$9)/(1+$A84/100)^K24:K26)+L27*$B$12*$B$13/(1+$A84/100)^$B$6</f>
        <v/>
      </c>
      <c r="D84" s="14">
        <f>C84-B84</f>
        <v/>
      </c>
      <c r="E84">
        <f>IF(D84&lt;0,"PCC","HMA")</f>
        <v/>
      </c>
      <c r="AK84" t="n">
        <v>71</v>
      </c>
      <c r="AL84">
        <f>IFERROR(IF(AU84&lt;($AM$6-$AL$6)/($AN$6-$AL$6),$AL$6+SQRT(AU84*($AN$6-$AL$6)*($AM$6-$AL$6)),$AN$6-SQRT((1-AU84)*($AN$6-$AL$6)*($AN$6-$AM$6))),$AM$6)</f>
        <v/>
      </c>
      <c r="AM84">
        <f>IFERROR(IF(AV84&lt;($AM$7-$AL$7)/($AN$7-$AL$7),$AL$7+SQRT(AV84*($AN$7-$AL$7)*($AM$7-$AL$7)),$AN$7-SQRT((1-AV84)*($AN$7-$AL$7)*($AN$7-$AM$7))),$AM$7)</f>
        <v/>
      </c>
      <c r="AN84">
        <f>IFERROR(IF(AW84&lt;($AM$8-$AL$8)/($AN$8-$AL$8),$AL$8+SQRT(AW84*($AN$8-$AL$8)*($AM$8-$AL$8)),$AN$8-SQRT((1-AW84)*($AN$8-$AL$8)*($AN$8-$AM$8))),$AM$8)</f>
        <v/>
      </c>
      <c r="AO84">
        <f>IFERROR(IF(AX84&lt;($AM$9-$AL$9)/($AN$9-$AL$9),$AL$9+SQRT(AX84*($AN$9-$AL$9)*($AM$9-$AL$9)),$AN$9-SQRT((1-AX84)*($AN$9-$AL$9)*($AN$9-$AM$9))),$AM$9)</f>
        <v/>
      </c>
      <c r="AP84">
        <f>IFERROR(IF(AY84&lt;($AM$10-$AL$10)/($AN$10-$AL$10),$AL$10+SQRT(AY84*($AN$10-$AL$10)*($AM$10-$AL$10)),$AN$10-SQRT((1-AY84)*($AN$10-$AL$10)*($AN$10-$AM$10))),$AM$10)</f>
        <v/>
      </c>
      <c r="AQ84">
        <f>IFERROR(IF(AZ84&lt;($AM$11-$AL$11)/($AN$11-$AL$11),$AL$11+SQRT(AZ84*($AN$11-$AL$11)*($AM$11-$AL$11)),$AN$11-SQRT((1-AZ84)*($AN$11-$AL$11)*($AN$11-$AM$11))),$AM$11)</f>
        <v/>
      </c>
      <c r="AR84">
        <f>SUMPRODUCT((B24:B31&lt;=$B$6)*(C24:C31*AM84+D24:D31*AO84*$B$8*AQ84)/(1+AL84/100)^B24:B31)+C32*AM84*AP84/(1+AL84/100)^$B$6</f>
        <v/>
      </c>
      <c r="AS84">
        <f>SUMPRODUCT((K24:K26&lt;=$B$6)*(L24:L26*AN84+M24:M26*AO84*$B$8*AQ84)/(1+AL84/100)^K24:K26)+L27*AN84*AP84/(1+AL84/100)^$B$6</f>
        <v/>
      </c>
      <c r="AT84">
        <f>AS84-AR84</f>
        <v/>
      </c>
      <c r="AU84">
        <f>RAND()</f>
        <v/>
      </c>
      <c r="AV84">
        <f>RAND()</f>
        <v/>
      </c>
      <c r="AW84">
        <f>RAND()</f>
        <v/>
      </c>
      <c r="AX84">
        <f>RAND()</f>
        <v/>
      </c>
      <c r="AY84">
        <f>RAND()</f>
        <v/>
      </c>
      <c r="AZ84">
        <f>RAND()</f>
        <v/>
      </c>
    </row>
    <row r="85">
      <c r="A85" s="33" t="n">
        <v>7</v>
      </c>
      <c r="B85" s="14">
        <f>SUMPRODUCT((B24:B31&lt;=$B$6)*(C24:C31*$B$11+D24:D31*$B$10*$B$8*$B$9)/(1+$A85/100)^B24:B31)+C32*$B$11*$B$13/(1+$A85/100)^$B$6</f>
        <v/>
      </c>
      <c r="C85" s="14">
        <f>SUMPRODUCT((K24:K26&lt;=$B$6)*(L24:L26*$B$12+M24:M26*$B$10*$B$8*$B$9)/(1+$A85/100)^K24:K26)+L27*$B$12*$B$13/(1+$A85/100)^$B$6</f>
        <v/>
      </c>
      <c r="D85" s="14">
        <f>C85-B85</f>
        <v/>
      </c>
      <c r="E85">
        <f>IF(D85&lt;0,"PCC","HMA")</f>
        <v/>
      </c>
      <c r="AK85" t="n">
        <v>72</v>
      </c>
      <c r="AL85">
        <f>IFERROR(IF(AU85&lt;($AM$6-$AL$6)/($AN$6-$AL$6),$AL$6+SQRT(AU85*($AN$6-$AL$6)*($AM$6-$AL$6)),$AN$6-SQRT((1-AU85)*($AN$6-$AL$6)*($AN$6-$AM$6))),$AM$6)</f>
        <v/>
      </c>
      <c r="AM85">
        <f>IFERROR(IF(AV85&lt;($AM$7-$AL$7)/($AN$7-$AL$7),$AL$7+SQRT(AV85*($AN$7-$AL$7)*($AM$7-$AL$7)),$AN$7-SQRT((1-AV85)*($AN$7-$AL$7)*($AN$7-$AM$7))),$AM$7)</f>
        <v/>
      </c>
      <c r="AN85">
        <f>IFERROR(IF(AW85&lt;($AM$8-$AL$8)/($AN$8-$AL$8),$AL$8+SQRT(AW85*($AN$8-$AL$8)*($AM$8-$AL$8)),$AN$8-SQRT((1-AW85)*($AN$8-$AL$8)*($AN$8-$AM$8))),$AM$8)</f>
        <v/>
      </c>
      <c r="AO85">
        <f>IFERROR(IF(AX85&lt;($AM$9-$AL$9)/($AN$9-$AL$9),$AL$9+SQRT(AX85*($AN$9-$AL$9)*($AM$9-$AL$9)),$AN$9-SQRT((1-AX85)*($AN$9-$AL$9)*($AN$9-$AM$9))),$AM$9)</f>
        <v/>
      </c>
      <c r="AP85">
        <f>IFERROR(IF(AY85&lt;($AM$10-$AL$10)/($AN$10-$AL$10),$AL$10+SQRT(AY85*($AN$10-$AL$10)*($AM$10-$AL$10)),$AN$10-SQRT((1-AY85)*($AN$10-$AL$10)*($AN$10-$AM$10))),$AM$10)</f>
        <v/>
      </c>
      <c r="AQ85">
        <f>IFERROR(IF(AZ85&lt;($AM$11-$AL$11)/($AN$11-$AL$11),$AL$11+SQRT(AZ85*($AN$11-$AL$11)*($AM$11-$AL$11)),$AN$11-SQRT((1-AZ85)*($AN$11-$AL$11)*($AN$11-$AM$11))),$AM$11)</f>
        <v/>
      </c>
      <c r="AR85">
        <f>SUMPRODUCT((B24:B31&lt;=$B$6)*(C24:C31*AM85+D24:D31*AO85*$B$8*AQ85)/(1+AL85/100)^B24:B31)+C32*AM85*AP85/(1+AL85/100)^$B$6</f>
        <v/>
      </c>
      <c r="AS85">
        <f>SUMPRODUCT((K24:K26&lt;=$B$6)*(L24:L26*AN85+M24:M26*AO85*$B$8*AQ85)/(1+AL85/100)^K24:K26)+L27*AN85*AP85/(1+AL85/100)^$B$6</f>
        <v/>
      </c>
      <c r="AT85">
        <f>AS85-AR85</f>
        <v/>
      </c>
      <c r="AU85">
        <f>RAND()</f>
        <v/>
      </c>
      <c r="AV85">
        <f>RAND()</f>
        <v/>
      </c>
      <c r="AW85">
        <f>RAND()</f>
        <v/>
      </c>
      <c r="AX85">
        <f>RAND()</f>
        <v/>
      </c>
      <c r="AY85">
        <f>RAND()</f>
        <v/>
      </c>
      <c r="AZ85">
        <f>RAND()</f>
        <v/>
      </c>
    </row>
    <row r="86">
      <c r="A86" s="33" t="n">
        <v>7.25</v>
      </c>
      <c r="B86" s="14">
        <f>SUMPRODUCT((B24:B31&lt;=$B$6)*(C24:C31*$B$11+D24:D31*$B$10*$B$8*$B$9)/(1+$A86/100)^B24:B31)+C32*$B$11*$B$13/(1+$A86/100)^$B$6</f>
        <v/>
      </c>
      <c r="C86" s="14">
        <f>SUMPRODUCT((K24:K26&lt;=$B$6)*(L24:L26*$B$12+M24:M26*$B$10*$B$8*$B$9)/(1+$A86/100)^K24:K26)+L27*$B$12*$B$13/(1+$A86/100)^$B$6</f>
        <v/>
      </c>
      <c r="D86" s="14">
        <f>C86-B86</f>
        <v/>
      </c>
      <c r="E86">
        <f>IF(D86&lt;0,"PCC","HMA")</f>
        <v/>
      </c>
      <c r="AK86" t="n">
        <v>73</v>
      </c>
      <c r="AL86">
        <f>IFERROR(IF(AU86&lt;($AM$6-$AL$6)/($AN$6-$AL$6),$AL$6+SQRT(AU86*($AN$6-$AL$6)*($AM$6-$AL$6)),$AN$6-SQRT((1-AU86)*($AN$6-$AL$6)*($AN$6-$AM$6))),$AM$6)</f>
        <v/>
      </c>
      <c r="AM86">
        <f>IFERROR(IF(AV86&lt;($AM$7-$AL$7)/($AN$7-$AL$7),$AL$7+SQRT(AV86*($AN$7-$AL$7)*($AM$7-$AL$7)),$AN$7-SQRT((1-AV86)*($AN$7-$AL$7)*($AN$7-$AM$7))),$AM$7)</f>
        <v/>
      </c>
      <c r="AN86">
        <f>IFERROR(IF(AW86&lt;($AM$8-$AL$8)/($AN$8-$AL$8),$AL$8+SQRT(AW86*($AN$8-$AL$8)*($AM$8-$AL$8)),$AN$8-SQRT((1-AW86)*($AN$8-$AL$8)*($AN$8-$AM$8))),$AM$8)</f>
        <v/>
      </c>
      <c r="AO86">
        <f>IFERROR(IF(AX86&lt;($AM$9-$AL$9)/($AN$9-$AL$9),$AL$9+SQRT(AX86*($AN$9-$AL$9)*($AM$9-$AL$9)),$AN$9-SQRT((1-AX86)*($AN$9-$AL$9)*($AN$9-$AM$9))),$AM$9)</f>
        <v/>
      </c>
      <c r="AP86">
        <f>IFERROR(IF(AY86&lt;($AM$10-$AL$10)/($AN$10-$AL$10),$AL$10+SQRT(AY86*($AN$10-$AL$10)*($AM$10-$AL$10)),$AN$10-SQRT((1-AY86)*($AN$10-$AL$10)*($AN$10-$AM$10))),$AM$10)</f>
        <v/>
      </c>
      <c r="AQ86">
        <f>IFERROR(IF(AZ86&lt;($AM$11-$AL$11)/($AN$11-$AL$11),$AL$11+SQRT(AZ86*($AN$11-$AL$11)*($AM$11-$AL$11)),$AN$11-SQRT((1-AZ86)*($AN$11-$AL$11)*($AN$11-$AM$11))),$AM$11)</f>
        <v/>
      </c>
      <c r="AR86">
        <f>SUMPRODUCT((B24:B31&lt;=$B$6)*(C24:C31*AM86+D24:D31*AO86*$B$8*AQ86)/(1+AL86/100)^B24:B31)+C32*AM86*AP86/(1+AL86/100)^$B$6</f>
        <v/>
      </c>
      <c r="AS86">
        <f>SUMPRODUCT((K24:K26&lt;=$B$6)*(L24:L26*AN86+M24:M26*AO86*$B$8*AQ86)/(1+AL86/100)^K24:K26)+L27*AN86*AP86/(1+AL86/100)^$B$6</f>
        <v/>
      </c>
      <c r="AT86">
        <f>AS86-AR86</f>
        <v/>
      </c>
      <c r="AU86">
        <f>RAND()</f>
        <v/>
      </c>
      <c r="AV86">
        <f>RAND()</f>
        <v/>
      </c>
      <c r="AW86">
        <f>RAND()</f>
        <v/>
      </c>
      <c r="AX86">
        <f>RAND()</f>
        <v/>
      </c>
      <c r="AY86">
        <f>RAND()</f>
        <v/>
      </c>
      <c r="AZ86">
        <f>RAND()</f>
        <v/>
      </c>
    </row>
    <row r="87">
      <c r="A87" s="33" t="n">
        <v>7.5</v>
      </c>
      <c r="B87" s="14">
        <f>SUMPRODUCT((B24:B31&lt;=$B$6)*(C24:C31*$B$11+D24:D31*$B$10*$B$8*$B$9)/(1+$A87/100)^B24:B31)+C32*$B$11*$B$13/(1+$A87/100)^$B$6</f>
        <v/>
      </c>
      <c r="C87" s="14">
        <f>SUMPRODUCT((K24:K26&lt;=$B$6)*(L24:L26*$B$12+M24:M26*$B$10*$B$8*$B$9)/(1+$A87/100)^K24:K26)+L27*$B$12*$B$13/(1+$A87/100)^$B$6</f>
        <v/>
      </c>
      <c r="D87" s="14">
        <f>C87-B87</f>
        <v/>
      </c>
      <c r="E87">
        <f>IF(D87&lt;0,"PCC","HMA")</f>
        <v/>
      </c>
      <c r="AK87" t="n">
        <v>74</v>
      </c>
      <c r="AL87">
        <f>IFERROR(IF(AU87&lt;($AM$6-$AL$6)/($AN$6-$AL$6),$AL$6+SQRT(AU87*($AN$6-$AL$6)*($AM$6-$AL$6)),$AN$6-SQRT((1-AU87)*($AN$6-$AL$6)*($AN$6-$AM$6))),$AM$6)</f>
        <v/>
      </c>
      <c r="AM87">
        <f>IFERROR(IF(AV87&lt;($AM$7-$AL$7)/($AN$7-$AL$7),$AL$7+SQRT(AV87*($AN$7-$AL$7)*($AM$7-$AL$7)),$AN$7-SQRT((1-AV87)*($AN$7-$AL$7)*($AN$7-$AM$7))),$AM$7)</f>
        <v/>
      </c>
      <c r="AN87">
        <f>IFERROR(IF(AW87&lt;($AM$8-$AL$8)/($AN$8-$AL$8),$AL$8+SQRT(AW87*($AN$8-$AL$8)*($AM$8-$AL$8)),$AN$8-SQRT((1-AW87)*($AN$8-$AL$8)*($AN$8-$AM$8))),$AM$8)</f>
        <v/>
      </c>
      <c r="AO87">
        <f>IFERROR(IF(AX87&lt;($AM$9-$AL$9)/($AN$9-$AL$9),$AL$9+SQRT(AX87*($AN$9-$AL$9)*($AM$9-$AL$9)),$AN$9-SQRT((1-AX87)*($AN$9-$AL$9)*($AN$9-$AM$9))),$AM$9)</f>
        <v/>
      </c>
      <c r="AP87">
        <f>IFERROR(IF(AY87&lt;($AM$10-$AL$10)/($AN$10-$AL$10),$AL$10+SQRT(AY87*($AN$10-$AL$10)*($AM$10-$AL$10)),$AN$10-SQRT((1-AY87)*($AN$10-$AL$10)*($AN$10-$AM$10))),$AM$10)</f>
        <v/>
      </c>
      <c r="AQ87">
        <f>IFERROR(IF(AZ87&lt;($AM$11-$AL$11)/($AN$11-$AL$11),$AL$11+SQRT(AZ87*($AN$11-$AL$11)*($AM$11-$AL$11)),$AN$11-SQRT((1-AZ87)*($AN$11-$AL$11)*($AN$11-$AM$11))),$AM$11)</f>
        <v/>
      </c>
      <c r="AR87">
        <f>SUMPRODUCT((B24:B31&lt;=$B$6)*(C24:C31*AM87+D24:D31*AO87*$B$8*AQ87)/(1+AL87/100)^B24:B31)+C32*AM87*AP87/(1+AL87/100)^$B$6</f>
        <v/>
      </c>
      <c r="AS87">
        <f>SUMPRODUCT((K24:K26&lt;=$B$6)*(L24:L26*AN87+M24:M26*AO87*$B$8*AQ87)/(1+AL87/100)^K24:K26)+L27*AN87*AP87/(1+AL87/100)^$B$6</f>
        <v/>
      </c>
      <c r="AT87">
        <f>AS87-AR87</f>
        <v/>
      </c>
      <c r="AU87">
        <f>RAND()</f>
        <v/>
      </c>
      <c r="AV87">
        <f>RAND()</f>
        <v/>
      </c>
      <c r="AW87">
        <f>RAND()</f>
        <v/>
      </c>
      <c r="AX87">
        <f>RAND()</f>
        <v/>
      </c>
      <c r="AY87">
        <f>RAND()</f>
        <v/>
      </c>
      <c r="AZ87">
        <f>RAND()</f>
        <v/>
      </c>
    </row>
    <row r="88">
      <c r="A88" s="33" t="n">
        <v>7.75</v>
      </c>
      <c r="B88" s="14">
        <f>SUMPRODUCT((B24:B31&lt;=$B$6)*(C24:C31*$B$11+D24:D31*$B$10*$B$8*$B$9)/(1+$A88/100)^B24:B31)+C32*$B$11*$B$13/(1+$A88/100)^$B$6</f>
        <v/>
      </c>
      <c r="C88" s="14">
        <f>SUMPRODUCT((K24:K26&lt;=$B$6)*(L24:L26*$B$12+M24:M26*$B$10*$B$8*$B$9)/(1+$A88/100)^K24:K26)+L27*$B$12*$B$13/(1+$A88/100)^$B$6</f>
        <v/>
      </c>
      <c r="D88" s="14">
        <f>C88-B88</f>
        <v/>
      </c>
      <c r="E88">
        <f>IF(D88&lt;0,"PCC","HMA")</f>
        <v/>
      </c>
      <c r="AK88" t="n">
        <v>75</v>
      </c>
      <c r="AL88">
        <f>IFERROR(IF(AU88&lt;($AM$6-$AL$6)/($AN$6-$AL$6),$AL$6+SQRT(AU88*($AN$6-$AL$6)*($AM$6-$AL$6)),$AN$6-SQRT((1-AU88)*($AN$6-$AL$6)*($AN$6-$AM$6))),$AM$6)</f>
        <v/>
      </c>
      <c r="AM88">
        <f>IFERROR(IF(AV88&lt;($AM$7-$AL$7)/($AN$7-$AL$7),$AL$7+SQRT(AV88*($AN$7-$AL$7)*($AM$7-$AL$7)),$AN$7-SQRT((1-AV88)*($AN$7-$AL$7)*($AN$7-$AM$7))),$AM$7)</f>
        <v/>
      </c>
      <c r="AN88">
        <f>IFERROR(IF(AW88&lt;($AM$8-$AL$8)/($AN$8-$AL$8),$AL$8+SQRT(AW88*($AN$8-$AL$8)*($AM$8-$AL$8)),$AN$8-SQRT((1-AW88)*($AN$8-$AL$8)*($AN$8-$AM$8))),$AM$8)</f>
        <v/>
      </c>
      <c r="AO88">
        <f>IFERROR(IF(AX88&lt;($AM$9-$AL$9)/($AN$9-$AL$9),$AL$9+SQRT(AX88*($AN$9-$AL$9)*($AM$9-$AL$9)),$AN$9-SQRT((1-AX88)*($AN$9-$AL$9)*($AN$9-$AM$9))),$AM$9)</f>
        <v/>
      </c>
      <c r="AP88">
        <f>IFERROR(IF(AY88&lt;($AM$10-$AL$10)/($AN$10-$AL$10),$AL$10+SQRT(AY88*($AN$10-$AL$10)*($AM$10-$AL$10)),$AN$10-SQRT((1-AY88)*($AN$10-$AL$10)*($AN$10-$AM$10))),$AM$10)</f>
        <v/>
      </c>
      <c r="AQ88">
        <f>IFERROR(IF(AZ88&lt;($AM$11-$AL$11)/($AN$11-$AL$11),$AL$11+SQRT(AZ88*($AN$11-$AL$11)*($AM$11-$AL$11)),$AN$11-SQRT((1-AZ88)*($AN$11-$AL$11)*($AN$11-$AM$11))),$AM$11)</f>
        <v/>
      </c>
      <c r="AR88">
        <f>SUMPRODUCT((B24:B31&lt;=$B$6)*(C24:C31*AM88+D24:D31*AO88*$B$8*AQ88)/(1+AL88/100)^B24:B31)+C32*AM88*AP88/(1+AL88/100)^$B$6</f>
        <v/>
      </c>
      <c r="AS88">
        <f>SUMPRODUCT((K24:K26&lt;=$B$6)*(L24:L26*AN88+M24:M26*AO88*$B$8*AQ88)/(1+AL88/100)^K24:K26)+L27*AN88*AP88/(1+AL88/100)^$B$6</f>
        <v/>
      </c>
      <c r="AT88">
        <f>AS88-AR88</f>
        <v/>
      </c>
      <c r="AU88">
        <f>RAND()</f>
        <v/>
      </c>
      <c r="AV88">
        <f>RAND()</f>
        <v/>
      </c>
      <c r="AW88">
        <f>RAND()</f>
        <v/>
      </c>
      <c r="AX88">
        <f>RAND()</f>
        <v/>
      </c>
      <c r="AY88">
        <f>RAND()</f>
        <v/>
      </c>
      <c r="AZ88">
        <f>RAND()</f>
        <v/>
      </c>
    </row>
    <row r="89">
      <c r="A89" s="33" t="n">
        <v>8</v>
      </c>
      <c r="B89" s="14">
        <f>SUMPRODUCT((B24:B31&lt;=$B$6)*(C24:C31*$B$11+D24:D31*$B$10*$B$8*$B$9)/(1+$A89/100)^B24:B31)+C32*$B$11*$B$13/(1+$A89/100)^$B$6</f>
        <v/>
      </c>
      <c r="C89" s="14">
        <f>SUMPRODUCT((K24:K26&lt;=$B$6)*(L24:L26*$B$12+M24:M26*$B$10*$B$8*$B$9)/(1+$A89/100)^K24:K26)+L27*$B$12*$B$13/(1+$A89/100)^$B$6</f>
        <v/>
      </c>
      <c r="D89" s="14">
        <f>C89-B89</f>
        <v/>
      </c>
      <c r="E89">
        <f>IF(D89&lt;0,"PCC","HMA")</f>
        <v/>
      </c>
      <c r="AK89" t="n">
        <v>76</v>
      </c>
      <c r="AL89">
        <f>IFERROR(IF(AU89&lt;($AM$6-$AL$6)/($AN$6-$AL$6),$AL$6+SQRT(AU89*($AN$6-$AL$6)*($AM$6-$AL$6)),$AN$6-SQRT((1-AU89)*($AN$6-$AL$6)*($AN$6-$AM$6))),$AM$6)</f>
        <v/>
      </c>
      <c r="AM89">
        <f>IFERROR(IF(AV89&lt;($AM$7-$AL$7)/($AN$7-$AL$7),$AL$7+SQRT(AV89*($AN$7-$AL$7)*($AM$7-$AL$7)),$AN$7-SQRT((1-AV89)*($AN$7-$AL$7)*($AN$7-$AM$7))),$AM$7)</f>
        <v/>
      </c>
      <c r="AN89">
        <f>IFERROR(IF(AW89&lt;($AM$8-$AL$8)/($AN$8-$AL$8),$AL$8+SQRT(AW89*($AN$8-$AL$8)*($AM$8-$AL$8)),$AN$8-SQRT((1-AW89)*($AN$8-$AL$8)*($AN$8-$AM$8))),$AM$8)</f>
        <v/>
      </c>
      <c r="AO89">
        <f>IFERROR(IF(AX89&lt;($AM$9-$AL$9)/($AN$9-$AL$9),$AL$9+SQRT(AX89*($AN$9-$AL$9)*($AM$9-$AL$9)),$AN$9-SQRT((1-AX89)*($AN$9-$AL$9)*($AN$9-$AM$9))),$AM$9)</f>
        <v/>
      </c>
      <c r="AP89">
        <f>IFERROR(IF(AY89&lt;($AM$10-$AL$10)/($AN$10-$AL$10),$AL$10+SQRT(AY89*($AN$10-$AL$10)*($AM$10-$AL$10)),$AN$10-SQRT((1-AY89)*($AN$10-$AL$10)*($AN$10-$AM$10))),$AM$10)</f>
        <v/>
      </c>
      <c r="AQ89">
        <f>IFERROR(IF(AZ89&lt;($AM$11-$AL$11)/($AN$11-$AL$11),$AL$11+SQRT(AZ89*($AN$11-$AL$11)*($AM$11-$AL$11)),$AN$11-SQRT((1-AZ89)*($AN$11-$AL$11)*($AN$11-$AM$11))),$AM$11)</f>
        <v/>
      </c>
      <c r="AR89">
        <f>SUMPRODUCT((B24:B31&lt;=$B$6)*(C24:C31*AM89+D24:D31*AO89*$B$8*AQ89)/(1+AL89/100)^B24:B31)+C32*AM89*AP89/(1+AL89/100)^$B$6</f>
        <v/>
      </c>
      <c r="AS89">
        <f>SUMPRODUCT((K24:K26&lt;=$B$6)*(L24:L26*AN89+M24:M26*AO89*$B$8*AQ89)/(1+AL89/100)^K24:K26)+L27*AN89*AP89/(1+AL89/100)^$B$6</f>
        <v/>
      </c>
      <c r="AT89">
        <f>AS89-AR89</f>
        <v/>
      </c>
      <c r="AU89">
        <f>RAND()</f>
        <v/>
      </c>
      <c r="AV89">
        <f>RAND()</f>
        <v/>
      </c>
      <c r="AW89">
        <f>RAND()</f>
        <v/>
      </c>
      <c r="AX89">
        <f>RAND()</f>
        <v/>
      </c>
      <c r="AY89">
        <f>RAND()</f>
        <v/>
      </c>
      <c r="AZ89">
        <f>RAND()</f>
        <v/>
      </c>
    </row>
    <row r="90">
      <c r="AK90" t="n">
        <v>77</v>
      </c>
      <c r="AL90">
        <f>IFERROR(IF(AU90&lt;($AM$6-$AL$6)/($AN$6-$AL$6),$AL$6+SQRT(AU90*($AN$6-$AL$6)*($AM$6-$AL$6)),$AN$6-SQRT((1-AU90)*($AN$6-$AL$6)*($AN$6-$AM$6))),$AM$6)</f>
        <v/>
      </c>
      <c r="AM90">
        <f>IFERROR(IF(AV90&lt;($AM$7-$AL$7)/($AN$7-$AL$7),$AL$7+SQRT(AV90*($AN$7-$AL$7)*($AM$7-$AL$7)),$AN$7-SQRT((1-AV90)*($AN$7-$AL$7)*($AN$7-$AM$7))),$AM$7)</f>
        <v/>
      </c>
      <c r="AN90">
        <f>IFERROR(IF(AW90&lt;($AM$8-$AL$8)/($AN$8-$AL$8),$AL$8+SQRT(AW90*($AN$8-$AL$8)*($AM$8-$AL$8)),$AN$8-SQRT((1-AW90)*($AN$8-$AL$8)*($AN$8-$AM$8))),$AM$8)</f>
        <v/>
      </c>
      <c r="AO90">
        <f>IFERROR(IF(AX90&lt;($AM$9-$AL$9)/($AN$9-$AL$9),$AL$9+SQRT(AX90*($AN$9-$AL$9)*($AM$9-$AL$9)),$AN$9-SQRT((1-AX90)*($AN$9-$AL$9)*($AN$9-$AM$9))),$AM$9)</f>
        <v/>
      </c>
      <c r="AP90">
        <f>IFERROR(IF(AY90&lt;($AM$10-$AL$10)/($AN$10-$AL$10),$AL$10+SQRT(AY90*($AN$10-$AL$10)*($AM$10-$AL$10)),$AN$10-SQRT((1-AY90)*($AN$10-$AL$10)*($AN$10-$AM$10))),$AM$10)</f>
        <v/>
      </c>
      <c r="AQ90">
        <f>IFERROR(IF(AZ90&lt;($AM$11-$AL$11)/($AN$11-$AL$11),$AL$11+SQRT(AZ90*($AN$11-$AL$11)*($AM$11-$AL$11)),$AN$11-SQRT((1-AZ90)*($AN$11-$AL$11)*($AN$11-$AM$11))),$AM$11)</f>
        <v/>
      </c>
      <c r="AR90">
        <f>SUMPRODUCT((B24:B31&lt;=$B$6)*(C24:C31*AM90+D24:D31*AO90*$B$8*AQ90)/(1+AL90/100)^B24:B31)+C32*AM90*AP90/(1+AL90/100)^$B$6</f>
        <v/>
      </c>
      <c r="AS90">
        <f>SUMPRODUCT((K24:K26&lt;=$B$6)*(L24:L26*AN90+M24:M26*AO90*$B$8*AQ90)/(1+AL90/100)^K24:K26)+L27*AN90*AP90/(1+AL90/100)^$B$6</f>
        <v/>
      </c>
      <c r="AT90">
        <f>AS90-AR90</f>
        <v/>
      </c>
      <c r="AU90">
        <f>RAND()</f>
        <v/>
      </c>
      <c r="AV90">
        <f>RAND()</f>
        <v/>
      </c>
      <c r="AW90">
        <f>RAND()</f>
        <v/>
      </c>
      <c r="AX90">
        <f>RAND()</f>
        <v/>
      </c>
      <c r="AY90">
        <f>RAND()</f>
        <v/>
      </c>
      <c r="AZ90">
        <f>RAND()</f>
        <v/>
      </c>
    </row>
    <row r="91">
      <c r="AK91" t="n">
        <v>78</v>
      </c>
      <c r="AL91">
        <f>IFERROR(IF(AU91&lt;($AM$6-$AL$6)/($AN$6-$AL$6),$AL$6+SQRT(AU91*($AN$6-$AL$6)*($AM$6-$AL$6)),$AN$6-SQRT((1-AU91)*($AN$6-$AL$6)*($AN$6-$AM$6))),$AM$6)</f>
        <v/>
      </c>
      <c r="AM91">
        <f>IFERROR(IF(AV91&lt;($AM$7-$AL$7)/($AN$7-$AL$7),$AL$7+SQRT(AV91*($AN$7-$AL$7)*($AM$7-$AL$7)),$AN$7-SQRT((1-AV91)*($AN$7-$AL$7)*($AN$7-$AM$7))),$AM$7)</f>
        <v/>
      </c>
      <c r="AN91">
        <f>IFERROR(IF(AW91&lt;($AM$8-$AL$8)/($AN$8-$AL$8),$AL$8+SQRT(AW91*($AN$8-$AL$8)*($AM$8-$AL$8)),$AN$8-SQRT((1-AW91)*($AN$8-$AL$8)*($AN$8-$AM$8))),$AM$8)</f>
        <v/>
      </c>
      <c r="AO91">
        <f>IFERROR(IF(AX91&lt;($AM$9-$AL$9)/($AN$9-$AL$9),$AL$9+SQRT(AX91*($AN$9-$AL$9)*($AM$9-$AL$9)),$AN$9-SQRT((1-AX91)*($AN$9-$AL$9)*($AN$9-$AM$9))),$AM$9)</f>
        <v/>
      </c>
      <c r="AP91">
        <f>IFERROR(IF(AY91&lt;($AM$10-$AL$10)/($AN$10-$AL$10),$AL$10+SQRT(AY91*($AN$10-$AL$10)*($AM$10-$AL$10)),$AN$10-SQRT((1-AY91)*($AN$10-$AL$10)*($AN$10-$AM$10))),$AM$10)</f>
        <v/>
      </c>
      <c r="AQ91">
        <f>IFERROR(IF(AZ91&lt;($AM$11-$AL$11)/($AN$11-$AL$11),$AL$11+SQRT(AZ91*($AN$11-$AL$11)*($AM$11-$AL$11)),$AN$11-SQRT((1-AZ91)*($AN$11-$AL$11)*($AN$11-$AM$11))),$AM$11)</f>
        <v/>
      </c>
      <c r="AR91">
        <f>SUMPRODUCT((B24:B31&lt;=$B$6)*(C24:C31*AM91+D24:D31*AO91*$B$8*AQ91)/(1+AL91/100)^B24:B31)+C32*AM91*AP91/(1+AL91/100)^$B$6</f>
        <v/>
      </c>
      <c r="AS91">
        <f>SUMPRODUCT((K24:K26&lt;=$B$6)*(L24:L26*AN91+M24:M26*AO91*$B$8*AQ91)/(1+AL91/100)^K24:K26)+L27*AN91*AP91/(1+AL91/100)^$B$6</f>
        <v/>
      </c>
      <c r="AT91">
        <f>AS91-AR91</f>
        <v/>
      </c>
      <c r="AU91">
        <f>RAND()</f>
        <v/>
      </c>
      <c r="AV91">
        <f>RAND()</f>
        <v/>
      </c>
      <c r="AW91">
        <f>RAND()</f>
        <v/>
      </c>
      <c r="AX91">
        <f>RAND()</f>
        <v/>
      </c>
      <c r="AY91">
        <f>RAND()</f>
        <v/>
      </c>
      <c r="AZ91">
        <f>RAND()</f>
        <v/>
      </c>
    </row>
    <row r="92">
      <c r="A92" s="4" t="inlineStr">
        <is>
          <t>EXPENDITURE BY CALENDAR YEAR</t>
        </is>
      </c>
      <c r="AK92" t="n">
        <v>79</v>
      </c>
      <c r="AL92">
        <f>IFERROR(IF(AU92&lt;($AM$6-$AL$6)/($AN$6-$AL$6),$AL$6+SQRT(AU92*($AN$6-$AL$6)*($AM$6-$AL$6)),$AN$6-SQRT((1-AU92)*($AN$6-$AL$6)*($AN$6-$AM$6))),$AM$6)</f>
        <v/>
      </c>
      <c r="AM92">
        <f>IFERROR(IF(AV92&lt;($AM$7-$AL$7)/($AN$7-$AL$7),$AL$7+SQRT(AV92*($AN$7-$AL$7)*($AM$7-$AL$7)),$AN$7-SQRT((1-AV92)*($AN$7-$AL$7)*($AN$7-$AM$7))),$AM$7)</f>
        <v/>
      </c>
      <c r="AN92">
        <f>IFERROR(IF(AW92&lt;($AM$8-$AL$8)/($AN$8-$AL$8),$AL$8+SQRT(AW92*($AN$8-$AL$8)*($AM$8-$AL$8)),$AN$8-SQRT((1-AW92)*($AN$8-$AL$8)*($AN$8-$AM$8))),$AM$8)</f>
        <v/>
      </c>
      <c r="AO92">
        <f>IFERROR(IF(AX92&lt;($AM$9-$AL$9)/($AN$9-$AL$9),$AL$9+SQRT(AX92*($AN$9-$AL$9)*($AM$9-$AL$9)),$AN$9-SQRT((1-AX92)*($AN$9-$AL$9)*($AN$9-$AM$9))),$AM$9)</f>
        <v/>
      </c>
      <c r="AP92">
        <f>IFERROR(IF(AY92&lt;($AM$10-$AL$10)/($AN$10-$AL$10),$AL$10+SQRT(AY92*($AN$10-$AL$10)*($AM$10-$AL$10)),$AN$10-SQRT((1-AY92)*($AN$10-$AL$10)*($AN$10-$AM$10))),$AM$10)</f>
        <v/>
      </c>
      <c r="AQ92">
        <f>IFERROR(IF(AZ92&lt;($AM$11-$AL$11)/($AN$11-$AL$11),$AL$11+SQRT(AZ92*($AN$11-$AL$11)*($AM$11-$AL$11)),$AN$11-SQRT((1-AZ92)*($AN$11-$AL$11)*($AN$11-$AM$11))),$AM$11)</f>
        <v/>
      </c>
      <c r="AR92">
        <f>SUMPRODUCT((B24:B31&lt;=$B$6)*(C24:C31*AM92+D24:D31*AO92*$B$8*AQ92)/(1+AL92/100)^B24:B31)+C32*AM92*AP92/(1+AL92/100)^$B$6</f>
        <v/>
      </c>
      <c r="AS92">
        <f>SUMPRODUCT((K24:K26&lt;=$B$6)*(L24:L26*AN92+M24:M26*AO92*$B$8*AQ92)/(1+AL92/100)^K24:K26)+L27*AN92*AP92/(1+AL92/100)^$B$6</f>
        <v/>
      </c>
      <c r="AT92">
        <f>AS92-AR92</f>
        <v/>
      </c>
      <c r="AU92">
        <f>RAND()</f>
        <v/>
      </c>
      <c r="AV92">
        <f>RAND()</f>
        <v/>
      </c>
      <c r="AW92">
        <f>RAND()</f>
        <v/>
      </c>
      <c r="AX92">
        <f>RAND()</f>
        <v/>
      </c>
      <c r="AY92">
        <f>RAND()</f>
        <v/>
      </c>
      <c r="AZ92">
        <f>RAND()</f>
        <v/>
      </c>
    </row>
    <row r="93">
      <c r="A93" s="6" t="inlineStr">
        <is>
          <t>Year</t>
        </is>
      </c>
      <c r="B93" s="6" t="inlineStr">
        <is>
          <t>Calendar year</t>
        </is>
      </c>
      <c r="C93" s="6" t="inlineStr">
        <is>
          <t>HMA direct</t>
        </is>
      </c>
      <c r="D93" s="6" t="inlineStr">
        <is>
          <t>HMA lost revenue</t>
        </is>
      </c>
      <c r="E93" s="6" t="inlineStr">
        <is>
          <t>PCC direct</t>
        </is>
      </c>
      <c r="F93" s="6" t="inlineStr">
        <is>
          <t>PCC lost revenue</t>
        </is>
      </c>
      <c r="G93" s="6" t="inlineStr">
        <is>
          <t>HMA cumulative PW</t>
        </is>
      </c>
      <c r="H93" s="6" t="inlineStr">
        <is>
          <t>PCC cumulative PW</t>
        </is>
      </c>
      <c r="I93" s="6" t="inlineStr">
        <is>
          <t>HMA closure days</t>
        </is>
      </c>
      <c r="J93" s="6" t="inlineStr">
        <is>
          <t>PCC closure days</t>
        </is>
      </c>
      <c r="M93" t="inlineStr">
        <is>
          <t>HMA total</t>
        </is>
      </c>
      <c r="N93" t="inlineStr">
        <is>
          <t>PCC total</t>
        </is>
      </c>
      <c r="AK93" t="n">
        <v>80</v>
      </c>
      <c r="AL93">
        <f>IFERROR(IF(AU93&lt;($AM$6-$AL$6)/($AN$6-$AL$6),$AL$6+SQRT(AU93*($AN$6-$AL$6)*($AM$6-$AL$6)),$AN$6-SQRT((1-AU93)*($AN$6-$AL$6)*($AN$6-$AM$6))),$AM$6)</f>
        <v/>
      </c>
      <c r="AM93">
        <f>IFERROR(IF(AV93&lt;($AM$7-$AL$7)/($AN$7-$AL$7),$AL$7+SQRT(AV93*($AN$7-$AL$7)*($AM$7-$AL$7)),$AN$7-SQRT((1-AV93)*($AN$7-$AL$7)*($AN$7-$AM$7))),$AM$7)</f>
        <v/>
      </c>
      <c r="AN93">
        <f>IFERROR(IF(AW93&lt;($AM$8-$AL$8)/($AN$8-$AL$8),$AL$8+SQRT(AW93*($AN$8-$AL$8)*($AM$8-$AL$8)),$AN$8-SQRT((1-AW93)*($AN$8-$AL$8)*($AN$8-$AM$8))),$AM$8)</f>
        <v/>
      </c>
      <c r="AO93">
        <f>IFERROR(IF(AX93&lt;($AM$9-$AL$9)/($AN$9-$AL$9),$AL$9+SQRT(AX93*($AN$9-$AL$9)*($AM$9-$AL$9)),$AN$9-SQRT((1-AX93)*($AN$9-$AL$9)*($AN$9-$AM$9))),$AM$9)</f>
        <v/>
      </c>
      <c r="AP93">
        <f>IFERROR(IF(AY93&lt;($AM$10-$AL$10)/($AN$10-$AL$10),$AL$10+SQRT(AY93*($AN$10-$AL$10)*($AM$10-$AL$10)),$AN$10-SQRT((1-AY93)*($AN$10-$AL$10)*($AN$10-$AM$10))),$AM$10)</f>
        <v/>
      </c>
      <c r="AQ93">
        <f>IFERROR(IF(AZ93&lt;($AM$11-$AL$11)/($AN$11-$AL$11),$AL$11+SQRT(AZ93*($AN$11-$AL$11)*($AM$11-$AL$11)),$AN$11-SQRT((1-AZ93)*($AN$11-$AL$11)*($AN$11-$AM$11))),$AM$11)</f>
        <v/>
      </c>
      <c r="AR93">
        <f>SUMPRODUCT((B24:B31&lt;=$B$6)*(C24:C31*AM93+D24:D31*AO93*$B$8*AQ93)/(1+AL93/100)^B24:B31)+C32*AM93*AP93/(1+AL93/100)^$B$6</f>
        <v/>
      </c>
      <c r="AS93">
        <f>SUMPRODUCT((K24:K26&lt;=$B$6)*(L24:L26*AN93+M24:M26*AO93*$B$8*AQ93)/(1+AL93/100)^K24:K26)+L27*AN93*AP93/(1+AL93/100)^$B$6</f>
        <v/>
      </c>
      <c r="AT93">
        <f>AS93-AR93</f>
        <v/>
      </c>
      <c r="AU93">
        <f>RAND()</f>
        <v/>
      </c>
      <c r="AV93">
        <f>RAND()</f>
        <v/>
      </c>
      <c r="AW93">
        <f>RAND()</f>
        <v/>
      </c>
      <c r="AX93">
        <f>RAND()</f>
        <v/>
      </c>
      <c r="AY93">
        <f>RAND()</f>
        <v/>
      </c>
      <c r="AZ93">
        <f>RAND()</f>
        <v/>
      </c>
    </row>
    <row r="94">
      <c r="A94" t="n">
        <v>0</v>
      </c>
      <c r="B94">
        <f>$B$7+A94</f>
        <v/>
      </c>
      <c r="C94" s="14">
        <f>IF(A94&gt;$B$6,0,SUMIF(B24:B31,A94,E24:E31)+IF(A94=$B$6,E32,0))</f>
        <v/>
      </c>
      <c r="D94" s="14">
        <f>IF(A94&gt;$B$6,0,SUMIF(B24:B31,A94,F24:F31))</f>
        <v/>
      </c>
      <c r="E94" s="14">
        <f>IF(A94&gt;$B$6,0,SUMIF(K24:K26,A94,N24:N26)+IF(A94=$B$6,N27,0))</f>
        <v/>
      </c>
      <c r="F94" s="14">
        <f>IF(A94&gt;$B$6,0,SUMIF(K24:K26,A94,O24:O26))</f>
        <v/>
      </c>
      <c r="G94" s="14">
        <f>IF(A94&gt;$B$6,0,SUMIF(B24:B31,A94,G24:G31)+IF(A94=$B$6,G32,0))</f>
        <v/>
      </c>
      <c r="H94" s="14">
        <f>IF(A94&gt;$B$6,0,SUMIF(K24:K26,A94,P24:P26)+IF(A94=$B$6,P27,0))</f>
        <v/>
      </c>
      <c r="I94">
        <f>IF(A94&gt;$B$6,0,SUMIF(B24:B31,A94,D24:D31)*$B$10)</f>
        <v/>
      </c>
      <c r="J94">
        <f>IF(A94&gt;$B$6,0,SUMIF(K24:K26,A94,M24:M26)*$B$10)</f>
        <v/>
      </c>
      <c r="M94" s="14">
        <f>C94+D94</f>
        <v/>
      </c>
      <c r="N94" s="14">
        <f>E94+F94</f>
        <v/>
      </c>
      <c r="AK94" t="n">
        <v>81</v>
      </c>
      <c r="AL94">
        <f>IFERROR(IF(AU94&lt;($AM$6-$AL$6)/($AN$6-$AL$6),$AL$6+SQRT(AU94*($AN$6-$AL$6)*($AM$6-$AL$6)),$AN$6-SQRT((1-AU94)*($AN$6-$AL$6)*($AN$6-$AM$6))),$AM$6)</f>
        <v/>
      </c>
      <c r="AM94">
        <f>IFERROR(IF(AV94&lt;($AM$7-$AL$7)/($AN$7-$AL$7),$AL$7+SQRT(AV94*($AN$7-$AL$7)*($AM$7-$AL$7)),$AN$7-SQRT((1-AV94)*($AN$7-$AL$7)*($AN$7-$AM$7))),$AM$7)</f>
        <v/>
      </c>
      <c r="AN94">
        <f>IFERROR(IF(AW94&lt;($AM$8-$AL$8)/($AN$8-$AL$8),$AL$8+SQRT(AW94*($AN$8-$AL$8)*($AM$8-$AL$8)),$AN$8-SQRT((1-AW94)*($AN$8-$AL$8)*($AN$8-$AM$8))),$AM$8)</f>
        <v/>
      </c>
      <c r="AO94">
        <f>IFERROR(IF(AX94&lt;($AM$9-$AL$9)/($AN$9-$AL$9),$AL$9+SQRT(AX94*($AN$9-$AL$9)*($AM$9-$AL$9)),$AN$9-SQRT((1-AX94)*($AN$9-$AL$9)*($AN$9-$AM$9))),$AM$9)</f>
        <v/>
      </c>
      <c r="AP94">
        <f>IFERROR(IF(AY94&lt;($AM$10-$AL$10)/($AN$10-$AL$10),$AL$10+SQRT(AY94*($AN$10-$AL$10)*($AM$10-$AL$10)),$AN$10-SQRT((1-AY94)*($AN$10-$AL$10)*($AN$10-$AM$10))),$AM$10)</f>
        <v/>
      </c>
      <c r="AQ94">
        <f>IFERROR(IF(AZ94&lt;($AM$11-$AL$11)/($AN$11-$AL$11),$AL$11+SQRT(AZ94*($AN$11-$AL$11)*($AM$11-$AL$11)),$AN$11-SQRT((1-AZ94)*($AN$11-$AL$11)*($AN$11-$AM$11))),$AM$11)</f>
        <v/>
      </c>
      <c r="AR94">
        <f>SUMPRODUCT((B24:B31&lt;=$B$6)*(C24:C31*AM94+D24:D31*AO94*$B$8*AQ94)/(1+AL94/100)^B24:B31)+C32*AM94*AP94/(1+AL94/100)^$B$6</f>
        <v/>
      </c>
      <c r="AS94">
        <f>SUMPRODUCT((K24:K26&lt;=$B$6)*(L24:L26*AN94+M24:M26*AO94*$B$8*AQ94)/(1+AL94/100)^K24:K26)+L27*AN94*AP94/(1+AL94/100)^$B$6</f>
        <v/>
      </c>
      <c r="AT94">
        <f>AS94-AR94</f>
        <v/>
      </c>
      <c r="AU94">
        <f>RAND()</f>
        <v/>
      </c>
      <c r="AV94">
        <f>RAND()</f>
        <v/>
      </c>
      <c r="AW94">
        <f>RAND()</f>
        <v/>
      </c>
      <c r="AX94">
        <f>RAND()</f>
        <v/>
      </c>
      <c r="AY94">
        <f>RAND()</f>
        <v/>
      </c>
      <c r="AZ94">
        <f>RAND()</f>
        <v/>
      </c>
    </row>
    <row r="95">
      <c r="A95" t="n">
        <v>1</v>
      </c>
      <c r="B95">
        <f>$B$7+A95</f>
        <v/>
      </c>
      <c r="C95" s="14">
        <f>IF(A95&gt;$B$6,0,SUMIF(B24:B31,A95,E24:E31)+IF(A95=$B$6,E32,0))</f>
        <v/>
      </c>
      <c r="D95" s="14">
        <f>IF(A95&gt;$B$6,0,SUMIF(B24:B31,A95,F24:F31))</f>
        <v/>
      </c>
      <c r="E95" s="14">
        <f>IF(A95&gt;$B$6,0,SUMIF(K24:K26,A95,N24:N26)+IF(A95=$B$6,N27,0))</f>
        <v/>
      </c>
      <c r="F95" s="14">
        <f>IF(A95&gt;$B$6,0,SUMIF(K24:K26,A95,O24:O26))</f>
        <v/>
      </c>
      <c r="G95" s="14">
        <f>G94+IF(A95&gt;$B$6,0,SUMIF(B24:B31,A95,G24:G31)+IF(A95=$B$6,G32,0))</f>
        <v/>
      </c>
      <c r="H95" s="14">
        <f>H94+IF(A95&gt;$B$6,0,SUMIF(K24:K26,A95,P24:P26)+IF(A95=$B$6,P27,0))</f>
        <v/>
      </c>
      <c r="I95">
        <f>IF(A95&gt;$B$6,0,SUMIF(B24:B31,A95,D24:D31)*$B$10)</f>
        <v/>
      </c>
      <c r="J95">
        <f>IF(A95&gt;$B$6,0,SUMIF(K24:K26,A95,M24:M26)*$B$10)</f>
        <v/>
      </c>
      <c r="M95" s="14">
        <f>C95+D95</f>
        <v/>
      </c>
      <c r="N95" s="14">
        <f>E95+F95</f>
        <v/>
      </c>
      <c r="AK95" t="n">
        <v>82</v>
      </c>
      <c r="AL95">
        <f>IFERROR(IF(AU95&lt;($AM$6-$AL$6)/($AN$6-$AL$6),$AL$6+SQRT(AU95*($AN$6-$AL$6)*($AM$6-$AL$6)),$AN$6-SQRT((1-AU95)*($AN$6-$AL$6)*($AN$6-$AM$6))),$AM$6)</f>
        <v/>
      </c>
      <c r="AM95">
        <f>IFERROR(IF(AV95&lt;($AM$7-$AL$7)/($AN$7-$AL$7),$AL$7+SQRT(AV95*($AN$7-$AL$7)*($AM$7-$AL$7)),$AN$7-SQRT((1-AV95)*($AN$7-$AL$7)*($AN$7-$AM$7))),$AM$7)</f>
        <v/>
      </c>
      <c r="AN95">
        <f>IFERROR(IF(AW95&lt;($AM$8-$AL$8)/($AN$8-$AL$8),$AL$8+SQRT(AW95*($AN$8-$AL$8)*($AM$8-$AL$8)),$AN$8-SQRT((1-AW95)*($AN$8-$AL$8)*($AN$8-$AM$8))),$AM$8)</f>
        <v/>
      </c>
      <c r="AO95">
        <f>IFERROR(IF(AX95&lt;($AM$9-$AL$9)/($AN$9-$AL$9),$AL$9+SQRT(AX95*($AN$9-$AL$9)*($AM$9-$AL$9)),$AN$9-SQRT((1-AX95)*($AN$9-$AL$9)*($AN$9-$AM$9))),$AM$9)</f>
        <v/>
      </c>
      <c r="AP95">
        <f>IFERROR(IF(AY95&lt;($AM$10-$AL$10)/($AN$10-$AL$10),$AL$10+SQRT(AY95*($AN$10-$AL$10)*($AM$10-$AL$10)),$AN$10-SQRT((1-AY95)*($AN$10-$AL$10)*($AN$10-$AM$10))),$AM$10)</f>
        <v/>
      </c>
      <c r="AQ95">
        <f>IFERROR(IF(AZ95&lt;($AM$11-$AL$11)/($AN$11-$AL$11),$AL$11+SQRT(AZ95*($AN$11-$AL$11)*($AM$11-$AL$11)),$AN$11-SQRT((1-AZ95)*($AN$11-$AL$11)*($AN$11-$AM$11))),$AM$11)</f>
        <v/>
      </c>
      <c r="AR95">
        <f>SUMPRODUCT((B24:B31&lt;=$B$6)*(C24:C31*AM95+D24:D31*AO95*$B$8*AQ95)/(1+AL95/100)^B24:B31)+C32*AM95*AP95/(1+AL95/100)^$B$6</f>
        <v/>
      </c>
      <c r="AS95">
        <f>SUMPRODUCT((K24:K26&lt;=$B$6)*(L24:L26*AN95+M24:M26*AO95*$B$8*AQ95)/(1+AL95/100)^K24:K26)+L27*AN95*AP95/(1+AL95/100)^$B$6</f>
        <v/>
      </c>
      <c r="AT95">
        <f>AS95-AR95</f>
        <v/>
      </c>
      <c r="AU95">
        <f>RAND()</f>
        <v/>
      </c>
      <c r="AV95">
        <f>RAND()</f>
        <v/>
      </c>
      <c r="AW95">
        <f>RAND()</f>
        <v/>
      </c>
      <c r="AX95">
        <f>RAND()</f>
        <v/>
      </c>
      <c r="AY95">
        <f>RAND()</f>
        <v/>
      </c>
      <c r="AZ95">
        <f>RAND()</f>
        <v/>
      </c>
    </row>
    <row r="96">
      <c r="A96" t="n">
        <v>2</v>
      </c>
      <c r="B96">
        <f>$B$7+A96</f>
        <v/>
      </c>
      <c r="C96" s="14">
        <f>IF(A96&gt;$B$6,0,SUMIF(B24:B31,A96,E24:E31)+IF(A96=$B$6,E32,0))</f>
        <v/>
      </c>
      <c r="D96" s="14">
        <f>IF(A96&gt;$B$6,0,SUMIF(B24:B31,A96,F24:F31))</f>
        <v/>
      </c>
      <c r="E96" s="14">
        <f>IF(A96&gt;$B$6,0,SUMIF(K24:K26,A96,N24:N26)+IF(A96=$B$6,N27,0))</f>
        <v/>
      </c>
      <c r="F96" s="14">
        <f>IF(A96&gt;$B$6,0,SUMIF(K24:K26,A96,O24:O26))</f>
        <v/>
      </c>
      <c r="G96" s="14">
        <f>G95+IF(A96&gt;$B$6,0,SUMIF(B24:B31,A96,G24:G31)+IF(A96=$B$6,G32,0))</f>
        <v/>
      </c>
      <c r="H96" s="14">
        <f>H95+IF(A96&gt;$B$6,0,SUMIF(K24:K26,A96,P24:P26)+IF(A96=$B$6,P27,0))</f>
        <v/>
      </c>
      <c r="I96">
        <f>IF(A96&gt;$B$6,0,SUMIF(B24:B31,A96,D24:D31)*$B$10)</f>
        <v/>
      </c>
      <c r="J96">
        <f>IF(A96&gt;$B$6,0,SUMIF(K24:K26,A96,M24:M26)*$B$10)</f>
        <v/>
      </c>
      <c r="M96" s="14">
        <f>C96+D96</f>
        <v/>
      </c>
      <c r="N96" s="14">
        <f>E96+F96</f>
        <v/>
      </c>
      <c r="AK96" t="n">
        <v>83</v>
      </c>
      <c r="AL96">
        <f>IFERROR(IF(AU96&lt;($AM$6-$AL$6)/($AN$6-$AL$6),$AL$6+SQRT(AU96*($AN$6-$AL$6)*($AM$6-$AL$6)),$AN$6-SQRT((1-AU96)*($AN$6-$AL$6)*($AN$6-$AM$6))),$AM$6)</f>
        <v/>
      </c>
      <c r="AM96">
        <f>IFERROR(IF(AV96&lt;($AM$7-$AL$7)/($AN$7-$AL$7),$AL$7+SQRT(AV96*($AN$7-$AL$7)*($AM$7-$AL$7)),$AN$7-SQRT((1-AV96)*($AN$7-$AL$7)*($AN$7-$AM$7))),$AM$7)</f>
        <v/>
      </c>
      <c r="AN96">
        <f>IFERROR(IF(AW96&lt;($AM$8-$AL$8)/($AN$8-$AL$8),$AL$8+SQRT(AW96*($AN$8-$AL$8)*($AM$8-$AL$8)),$AN$8-SQRT((1-AW96)*($AN$8-$AL$8)*($AN$8-$AM$8))),$AM$8)</f>
        <v/>
      </c>
      <c r="AO96">
        <f>IFERROR(IF(AX96&lt;($AM$9-$AL$9)/($AN$9-$AL$9),$AL$9+SQRT(AX96*($AN$9-$AL$9)*($AM$9-$AL$9)),$AN$9-SQRT((1-AX96)*($AN$9-$AL$9)*($AN$9-$AM$9))),$AM$9)</f>
        <v/>
      </c>
      <c r="AP96">
        <f>IFERROR(IF(AY96&lt;($AM$10-$AL$10)/($AN$10-$AL$10),$AL$10+SQRT(AY96*($AN$10-$AL$10)*($AM$10-$AL$10)),$AN$10-SQRT((1-AY96)*($AN$10-$AL$10)*($AN$10-$AM$10))),$AM$10)</f>
        <v/>
      </c>
      <c r="AQ96">
        <f>IFERROR(IF(AZ96&lt;($AM$11-$AL$11)/($AN$11-$AL$11),$AL$11+SQRT(AZ96*($AN$11-$AL$11)*($AM$11-$AL$11)),$AN$11-SQRT((1-AZ96)*($AN$11-$AL$11)*($AN$11-$AM$11))),$AM$11)</f>
        <v/>
      </c>
      <c r="AR96">
        <f>SUMPRODUCT((B24:B31&lt;=$B$6)*(C24:C31*AM96+D24:D31*AO96*$B$8*AQ96)/(1+AL96/100)^B24:B31)+C32*AM96*AP96/(1+AL96/100)^$B$6</f>
        <v/>
      </c>
      <c r="AS96">
        <f>SUMPRODUCT((K24:K26&lt;=$B$6)*(L24:L26*AN96+M24:M26*AO96*$B$8*AQ96)/(1+AL96/100)^K24:K26)+L27*AN96*AP96/(1+AL96/100)^$B$6</f>
        <v/>
      </c>
      <c r="AT96">
        <f>AS96-AR96</f>
        <v/>
      </c>
      <c r="AU96">
        <f>RAND()</f>
        <v/>
      </c>
      <c r="AV96">
        <f>RAND()</f>
        <v/>
      </c>
      <c r="AW96">
        <f>RAND()</f>
        <v/>
      </c>
      <c r="AX96">
        <f>RAND()</f>
        <v/>
      </c>
      <c r="AY96">
        <f>RAND()</f>
        <v/>
      </c>
      <c r="AZ96">
        <f>RAND()</f>
        <v/>
      </c>
    </row>
    <row r="97">
      <c r="A97" t="n">
        <v>3</v>
      </c>
      <c r="B97">
        <f>$B$7+A97</f>
        <v/>
      </c>
      <c r="C97" s="14">
        <f>IF(A97&gt;$B$6,0,SUMIF(B24:B31,A97,E24:E31)+IF(A97=$B$6,E32,0))</f>
        <v/>
      </c>
      <c r="D97" s="14">
        <f>IF(A97&gt;$B$6,0,SUMIF(B24:B31,A97,F24:F31))</f>
        <v/>
      </c>
      <c r="E97" s="14">
        <f>IF(A97&gt;$B$6,0,SUMIF(K24:K26,A97,N24:N26)+IF(A97=$B$6,N27,0))</f>
        <v/>
      </c>
      <c r="F97" s="14">
        <f>IF(A97&gt;$B$6,0,SUMIF(K24:K26,A97,O24:O26))</f>
        <v/>
      </c>
      <c r="G97" s="14">
        <f>G96+IF(A97&gt;$B$6,0,SUMIF(B24:B31,A97,G24:G31)+IF(A97=$B$6,G32,0))</f>
        <v/>
      </c>
      <c r="H97" s="14">
        <f>H96+IF(A97&gt;$B$6,0,SUMIF(K24:K26,A97,P24:P26)+IF(A97=$B$6,P27,0))</f>
        <v/>
      </c>
      <c r="I97">
        <f>IF(A97&gt;$B$6,0,SUMIF(B24:B31,A97,D24:D31)*$B$10)</f>
        <v/>
      </c>
      <c r="J97">
        <f>IF(A97&gt;$B$6,0,SUMIF(K24:K26,A97,M24:M26)*$B$10)</f>
        <v/>
      </c>
      <c r="M97" s="14">
        <f>C97+D97</f>
        <v/>
      </c>
      <c r="N97" s="14">
        <f>E97+F97</f>
        <v/>
      </c>
      <c r="AK97" t="n">
        <v>84</v>
      </c>
      <c r="AL97">
        <f>IFERROR(IF(AU97&lt;($AM$6-$AL$6)/($AN$6-$AL$6),$AL$6+SQRT(AU97*($AN$6-$AL$6)*($AM$6-$AL$6)),$AN$6-SQRT((1-AU97)*($AN$6-$AL$6)*($AN$6-$AM$6))),$AM$6)</f>
        <v/>
      </c>
      <c r="AM97">
        <f>IFERROR(IF(AV97&lt;($AM$7-$AL$7)/($AN$7-$AL$7),$AL$7+SQRT(AV97*($AN$7-$AL$7)*($AM$7-$AL$7)),$AN$7-SQRT((1-AV97)*($AN$7-$AL$7)*($AN$7-$AM$7))),$AM$7)</f>
        <v/>
      </c>
      <c r="AN97">
        <f>IFERROR(IF(AW97&lt;($AM$8-$AL$8)/($AN$8-$AL$8),$AL$8+SQRT(AW97*($AN$8-$AL$8)*($AM$8-$AL$8)),$AN$8-SQRT((1-AW97)*($AN$8-$AL$8)*($AN$8-$AM$8))),$AM$8)</f>
        <v/>
      </c>
      <c r="AO97">
        <f>IFERROR(IF(AX97&lt;($AM$9-$AL$9)/($AN$9-$AL$9),$AL$9+SQRT(AX97*($AN$9-$AL$9)*($AM$9-$AL$9)),$AN$9-SQRT((1-AX97)*($AN$9-$AL$9)*($AN$9-$AM$9))),$AM$9)</f>
        <v/>
      </c>
      <c r="AP97">
        <f>IFERROR(IF(AY97&lt;($AM$10-$AL$10)/($AN$10-$AL$10),$AL$10+SQRT(AY97*($AN$10-$AL$10)*($AM$10-$AL$10)),$AN$10-SQRT((1-AY97)*($AN$10-$AL$10)*($AN$10-$AM$10))),$AM$10)</f>
        <v/>
      </c>
      <c r="AQ97">
        <f>IFERROR(IF(AZ97&lt;($AM$11-$AL$11)/($AN$11-$AL$11),$AL$11+SQRT(AZ97*($AN$11-$AL$11)*($AM$11-$AL$11)),$AN$11-SQRT((1-AZ97)*($AN$11-$AL$11)*($AN$11-$AM$11))),$AM$11)</f>
        <v/>
      </c>
      <c r="AR97">
        <f>SUMPRODUCT((B24:B31&lt;=$B$6)*(C24:C31*AM97+D24:D31*AO97*$B$8*AQ97)/(1+AL97/100)^B24:B31)+C32*AM97*AP97/(1+AL97/100)^$B$6</f>
        <v/>
      </c>
      <c r="AS97">
        <f>SUMPRODUCT((K24:K26&lt;=$B$6)*(L24:L26*AN97+M24:M26*AO97*$B$8*AQ97)/(1+AL97/100)^K24:K26)+L27*AN97*AP97/(1+AL97/100)^$B$6</f>
        <v/>
      </c>
      <c r="AT97">
        <f>AS97-AR97</f>
        <v/>
      </c>
      <c r="AU97">
        <f>RAND()</f>
        <v/>
      </c>
      <c r="AV97">
        <f>RAND()</f>
        <v/>
      </c>
      <c r="AW97">
        <f>RAND()</f>
        <v/>
      </c>
      <c r="AX97">
        <f>RAND()</f>
        <v/>
      </c>
      <c r="AY97">
        <f>RAND()</f>
        <v/>
      </c>
      <c r="AZ97">
        <f>RAND()</f>
        <v/>
      </c>
    </row>
    <row r="98">
      <c r="A98" t="n">
        <v>4</v>
      </c>
      <c r="B98">
        <f>$B$7+A98</f>
        <v/>
      </c>
      <c r="C98" s="14">
        <f>IF(A98&gt;$B$6,0,SUMIF(B24:B31,A98,E24:E31)+IF(A98=$B$6,E32,0))</f>
        <v/>
      </c>
      <c r="D98" s="14">
        <f>IF(A98&gt;$B$6,0,SUMIF(B24:B31,A98,F24:F31))</f>
        <v/>
      </c>
      <c r="E98" s="14">
        <f>IF(A98&gt;$B$6,0,SUMIF(K24:K26,A98,N24:N26)+IF(A98=$B$6,N27,0))</f>
        <v/>
      </c>
      <c r="F98" s="14">
        <f>IF(A98&gt;$B$6,0,SUMIF(K24:K26,A98,O24:O26))</f>
        <v/>
      </c>
      <c r="G98" s="14">
        <f>G97+IF(A98&gt;$B$6,0,SUMIF(B24:B31,A98,G24:G31)+IF(A98=$B$6,G32,0))</f>
        <v/>
      </c>
      <c r="H98" s="14">
        <f>H97+IF(A98&gt;$B$6,0,SUMIF(K24:K26,A98,P24:P26)+IF(A98=$B$6,P27,0))</f>
        <v/>
      </c>
      <c r="I98">
        <f>IF(A98&gt;$B$6,0,SUMIF(B24:B31,A98,D24:D31)*$B$10)</f>
        <v/>
      </c>
      <c r="J98">
        <f>IF(A98&gt;$B$6,0,SUMIF(K24:K26,A98,M24:M26)*$B$10)</f>
        <v/>
      </c>
      <c r="M98" s="14">
        <f>C98+D98</f>
        <v/>
      </c>
      <c r="N98" s="14">
        <f>E98+F98</f>
        <v/>
      </c>
      <c r="AK98" t="n">
        <v>85</v>
      </c>
      <c r="AL98">
        <f>IFERROR(IF(AU98&lt;($AM$6-$AL$6)/($AN$6-$AL$6),$AL$6+SQRT(AU98*($AN$6-$AL$6)*($AM$6-$AL$6)),$AN$6-SQRT((1-AU98)*($AN$6-$AL$6)*($AN$6-$AM$6))),$AM$6)</f>
        <v/>
      </c>
      <c r="AM98">
        <f>IFERROR(IF(AV98&lt;($AM$7-$AL$7)/($AN$7-$AL$7),$AL$7+SQRT(AV98*($AN$7-$AL$7)*($AM$7-$AL$7)),$AN$7-SQRT((1-AV98)*($AN$7-$AL$7)*($AN$7-$AM$7))),$AM$7)</f>
        <v/>
      </c>
      <c r="AN98">
        <f>IFERROR(IF(AW98&lt;($AM$8-$AL$8)/($AN$8-$AL$8),$AL$8+SQRT(AW98*($AN$8-$AL$8)*($AM$8-$AL$8)),$AN$8-SQRT((1-AW98)*($AN$8-$AL$8)*($AN$8-$AM$8))),$AM$8)</f>
        <v/>
      </c>
      <c r="AO98">
        <f>IFERROR(IF(AX98&lt;($AM$9-$AL$9)/($AN$9-$AL$9),$AL$9+SQRT(AX98*($AN$9-$AL$9)*($AM$9-$AL$9)),$AN$9-SQRT((1-AX98)*($AN$9-$AL$9)*($AN$9-$AM$9))),$AM$9)</f>
        <v/>
      </c>
      <c r="AP98">
        <f>IFERROR(IF(AY98&lt;($AM$10-$AL$10)/($AN$10-$AL$10),$AL$10+SQRT(AY98*($AN$10-$AL$10)*($AM$10-$AL$10)),$AN$10-SQRT((1-AY98)*($AN$10-$AL$10)*($AN$10-$AM$10))),$AM$10)</f>
        <v/>
      </c>
      <c r="AQ98">
        <f>IFERROR(IF(AZ98&lt;($AM$11-$AL$11)/($AN$11-$AL$11),$AL$11+SQRT(AZ98*($AN$11-$AL$11)*($AM$11-$AL$11)),$AN$11-SQRT((1-AZ98)*($AN$11-$AL$11)*($AN$11-$AM$11))),$AM$11)</f>
        <v/>
      </c>
      <c r="AR98">
        <f>SUMPRODUCT((B24:B31&lt;=$B$6)*(C24:C31*AM98+D24:D31*AO98*$B$8*AQ98)/(1+AL98/100)^B24:B31)+C32*AM98*AP98/(1+AL98/100)^$B$6</f>
        <v/>
      </c>
      <c r="AS98">
        <f>SUMPRODUCT((K24:K26&lt;=$B$6)*(L24:L26*AN98+M24:M26*AO98*$B$8*AQ98)/(1+AL98/100)^K24:K26)+L27*AN98*AP98/(1+AL98/100)^$B$6</f>
        <v/>
      </c>
      <c r="AT98">
        <f>AS98-AR98</f>
        <v/>
      </c>
      <c r="AU98">
        <f>RAND()</f>
        <v/>
      </c>
      <c r="AV98">
        <f>RAND()</f>
        <v/>
      </c>
      <c r="AW98">
        <f>RAND()</f>
        <v/>
      </c>
      <c r="AX98">
        <f>RAND()</f>
        <v/>
      </c>
      <c r="AY98">
        <f>RAND()</f>
        <v/>
      </c>
      <c r="AZ98">
        <f>RAND()</f>
        <v/>
      </c>
    </row>
    <row r="99">
      <c r="A99" t="n">
        <v>5</v>
      </c>
      <c r="B99">
        <f>$B$7+A99</f>
        <v/>
      </c>
      <c r="C99" s="14">
        <f>IF(A99&gt;$B$6,0,SUMIF(B24:B31,A99,E24:E31)+IF(A99=$B$6,E32,0))</f>
        <v/>
      </c>
      <c r="D99" s="14">
        <f>IF(A99&gt;$B$6,0,SUMIF(B24:B31,A99,F24:F31))</f>
        <v/>
      </c>
      <c r="E99" s="14">
        <f>IF(A99&gt;$B$6,0,SUMIF(K24:K26,A99,N24:N26)+IF(A99=$B$6,N27,0))</f>
        <v/>
      </c>
      <c r="F99" s="14">
        <f>IF(A99&gt;$B$6,0,SUMIF(K24:K26,A99,O24:O26))</f>
        <v/>
      </c>
      <c r="G99" s="14">
        <f>G98+IF(A99&gt;$B$6,0,SUMIF(B24:B31,A99,G24:G31)+IF(A99=$B$6,G32,0))</f>
        <v/>
      </c>
      <c r="H99" s="14">
        <f>H98+IF(A99&gt;$B$6,0,SUMIF(K24:K26,A99,P24:P26)+IF(A99=$B$6,P27,0))</f>
        <v/>
      </c>
      <c r="I99">
        <f>IF(A99&gt;$B$6,0,SUMIF(B24:B31,A99,D24:D31)*$B$10)</f>
        <v/>
      </c>
      <c r="J99">
        <f>IF(A99&gt;$B$6,0,SUMIF(K24:K26,A99,M24:M26)*$B$10)</f>
        <v/>
      </c>
      <c r="M99" s="14">
        <f>C99+D99</f>
        <v/>
      </c>
      <c r="N99" s="14">
        <f>E99+F99</f>
        <v/>
      </c>
      <c r="AK99" t="n">
        <v>86</v>
      </c>
      <c r="AL99">
        <f>IFERROR(IF(AU99&lt;($AM$6-$AL$6)/($AN$6-$AL$6),$AL$6+SQRT(AU99*($AN$6-$AL$6)*($AM$6-$AL$6)),$AN$6-SQRT((1-AU99)*($AN$6-$AL$6)*($AN$6-$AM$6))),$AM$6)</f>
        <v/>
      </c>
      <c r="AM99">
        <f>IFERROR(IF(AV99&lt;($AM$7-$AL$7)/($AN$7-$AL$7),$AL$7+SQRT(AV99*($AN$7-$AL$7)*($AM$7-$AL$7)),$AN$7-SQRT((1-AV99)*($AN$7-$AL$7)*($AN$7-$AM$7))),$AM$7)</f>
        <v/>
      </c>
      <c r="AN99">
        <f>IFERROR(IF(AW99&lt;($AM$8-$AL$8)/($AN$8-$AL$8),$AL$8+SQRT(AW99*($AN$8-$AL$8)*($AM$8-$AL$8)),$AN$8-SQRT((1-AW99)*($AN$8-$AL$8)*($AN$8-$AM$8))),$AM$8)</f>
        <v/>
      </c>
      <c r="AO99">
        <f>IFERROR(IF(AX99&lt;($AM$9-$AL$9)/($AN$9-$AL$9),$AL$9+SQRT(AX99*($AN$9-$AL$9)*($AM$9-$AL$9)),$AN$9-SQRT((1-AX99)*($AN$9-$AL$9)*($AN$9-$AM$9))),$AM$9)</f>
        <v/>
      </c>
      <c r="AP99">
        <f>IFERROR(IF(AY99&lt;($AM$10-$AL$10)/($AN$10-$AL$10),$AL$10+SQRT(AY99*($AN$10-$AL$10)*($AM$10-$AL$10)),$AN$10-SQRT((1-AY99)*($AN$10-$AL$10)*($AN$10-$AM$10))),$AM$10)</f>
        <v/>
      </c>
      <c r="AQ99">
        <f>IFERROR(IF(AZ99&lt;($AM$11-$AL$11)/($AN$11-$AL$11),$AL$11+SQRT(AZ99*($AN$11-$AL$11)*($AM$11-$AL$11)),$AN$11-SQRT((1-AZ99)*($AN$11-$AL$11)*($AN$11-$AM$11))),$AM$11)</f>
        <v/>
      </c>
      <c r="AR99">
        <f>SUMPRODUCT((B24:B31&lt;=$B$6)*(C24:C31*AM99+D24:D31*AO99*$B$8*AQ99)/(1+AL99/100)^B24:B31)+C32*AM99*AP99/(1+AL99/100)^$B$6</f>
        <v/>
      </c>
      <c r="AS99">
        <f>SUMPRODUCT((K24:K26&lt;=$B$6)*(L24:L26*AN99+M24:M26*AO99*$B$8*AQ99)/(1+AL99/100)^K24:K26)+L27*AN99*AP99/(1+AL99/100)^$B$6</f>
        <v/>
      </c>
      <c r="AT99">
        <f>AS99-AR99</f>
        <v/>
      </c>
      <c r="AU99">
        <f>RAND()</f>
        <v/>
      </c>
      <c r="AV99">
        <f>RAND()</f>
        <v/>
      </c>
      <c r="AW99">
        <f>RAND()</f>
        <v/>
      </c>
      <c r="AX99">
        <f>RAND()</f>
        <v/>
      </c>
      <c r="AY99">
        <f>RAND()</f>
        <v/>
      </c>
      <c r="AZ99">
        <f>RAND()</f>
        <v/>
      </c>
    </row>
    <row r="100">
      <c r="A100" t="n">
        <v>6</v>
      </c>
      <c r="B100">
        <f>$B$7+A100</f>
        <v/>
      </c>
      <c r="C100" s="14">
        <f>IF(A100&gt;$B$6,0,SUMIF(B24:B31,A100,E24:E31)+IF(A100=$B$6,E32,0))</f>
        <v/>
      </c>
      <c r="D100" s="14">
        <f>IF(A100&gt;$B$6,0,SUMIF(B24:B31,A100,F24:F31))</f>
        <v/>
      </c>
      <c r="E100" s="14">
        <f>IF(A100&gt;$B$6,0,SUMIF(K24:K26,A100,N24:N26)+IF(A100=$B$6,N27,0))</f>
        <v/>
      </c>
      <c r="F100" s="14">
        <f>IF(A100&gt;$B$6,0,SUMIF(K24:K26,A100,O24:O26))</f>
        <v/>
      </c>
      <c r="G100" s="14">
        <f>G99+IF(A100&gt;$B$6,0,SUMIF(B24:B31,A100,G24:G31)+IF(A100=$B$6,G32,0))</f>
        <v/>
      </c>
      <c r="H100" s="14">
        <f>H99+IF(A100&gt;$B$6,0,SUMIF(K24:K26,A100,P24:P26)+IF(A100=$B$6,P27,0))</f>
        <v/>
      </c>
      <c r="I100">
        <f>IF(A100&gt;$B$6,0,SUMIF(B24:B31,A100,D24:D31)*$B$10)</f>
        <v/>
      </c>
      <c r="J100">
        <f>IF(A100&gt;$B$6,0,SUMIF(K24:K26,A100,M24:M26)*$B$10)</f>
        <v/>
      </c>
      <c r="M100" s="14">
        <f>C100+D100</f>
        <v/>
      </c>
      <c r="N100" s="14">
        <f>E100+F100</f>
        <v/>
      </c>
      <c r="AK100" t="n">
        <v>87</v>
      </c>
      <c r="AL100">
        <f>IFERROR(IF(AU100&lt;($AM$6-$AL$6)/($AN$6-$AL$6),$AL$6+SQRT(AU100*($AN$6-$AL$6)*($AM$6-$AL$6)),$AN$6-SQRT((1-AU100)*($AN$6-$AL$6)*($AN$6-$AM$6))),$AM$6)</f>
        <v/>
      </c>
      <c r="AM100">
        <f>IFERROR(IF(AV100&lt;($AM$7-$AL$7)/($AN$7-$AL$7),$AL$7+SQRT(AV100*($AN$7-$AL$7)*($AM$7-$AL$7)),$AN$7-SQRT((1-AV100)*($AN$7-$AL$7)*($AN$7-$AM$7))),$AM$7)</f>
        <v/>
      </c>
      <c r="AN100">
        <f>IFERROR(IF(AW100&lt;($AM$8-$AL$8)/($AN$8-$AL$8),$AL$8+SQRT(AW100*($AN$8-$AL$8)*($AM$8-$AL$8)),$AN$8-SQRT((1-AW100)*($AN$8-$AL$8)*($AN$8-$AM$8))),$AM$8)</f>
        <v/>
      </c>
      <c r="AO100">
        <f>IFERROR(IF(AX100&lt;($AM$9-$AL$9)/($AN$9-$AL$9),$AL$9+SQRT(AX100*($AN$9-$AL$9)*($AM$9-$AL$9)),$AN$9-SQRT((1-AX100)*($AN$9-$AL$9)*($AN$9-$AM$9))),$AM$9)</f>
        <v/>
      </c>
      <c r="AP100">
        <f>IFERROR(IF(AY100&lt;($AM$10-$AL$10)/($AN$10-$AL$10),$AL$10+SQRT(AY100*($AN$10-$AL$10)*($AM$10-$AL$10)),$AN$10-SQRT((1-AY100)*($AN$10-$AL$10)*($AN$10-$AM$10))),$AM$10)</f>
        <v/>
      </c>
      <c r="AQ100">
        <f>IFERROR(IF(AZ100&lt;($AM$11-$AL$11)/($AN$11-$AL$11),$AL$11+SQRT(AZ100*($AN$11-$AL$11)*($AM$11-$AL$11)),$AN$11-SQRT((1-AZ100)*($AN$11-$AL$11)*($AN$11-$AM$11))),$AM$11)</f>
        <v/>
      </c>
      <c r="AR100">
        <f>SUMPRODUCT((B24:B31&lt;=$B$6)*(C24:C31*AM100+D24:D31*AO100*$B$8*AQ100)/(1+AL100/100)^B24:B31)+C32*AM100*AP100/(1+AL100/100)^$B$6</f>
        <v/>
      </c>
      <c r="AS100">
        <f>SUMPRODUCT((K24:K26&lt;=$B$6)*(L24:L26*AN100+M24:M26*AO100*$B$8*AQ100)/(1+AL100/100)^K24:K26)+L27*AN100*AP100/(1+AL100/100)^$B$6</f>
        <v/>
      </c>
      <c r="AT100">
        <f>AS100-AR100</f>
        <v/>
      </c>
      <c r="AU100">
        <f>RAND()</f>
        <v/>
      </c>
      <c r="AV100">
        <f>RAND()</f>
        <v/>
      </c>
      <c r="AW100">
        <f>RAND()</f>
        <v/>
      </c>
      <c r="AX100">
        <f>RAND()</f>
        <v/>
      </c>
      <c r="AY100">
        <f>RAND()</f>
        <v/>
      </c>
      <c r="AZ100">
        <f>RAND()</f>
        <v/>
      </c>
    </row>
    <row r="101">
      <c r="A101" t="n">
        <v>7</v>
      </c>
      <c r="B101">
        <f>$B$7+A101</f>
        <v/>
      </c>
      <c r="C101" s="14">
        <f>IF(A101&gt;$B$6,0,SUMIF(B24:B31,A101,E24:E31)+IF(A101=$B$6,E32,0))</f>
        <v/>
      </c>
      <c r="D101" s="14">
        <f>IF(A101&gt;$B$6,0,SUMIF(B24:B31,A101,F24:F31))</f>
        <v/>
      </c>
      <c r="E101" s="14">
        <f>IF(A101&gt;$B$6,0,SUMIF(K24:K26,A101,N24:N26)+IF(A101=$B$6,N27,0))</f>
        <v/>
      </c>
      <c r="F101" s="14">
        <f>IF(A101&gt;$B$6,0,SUMIF(K24:K26,A101,O24:O26))</f>
        <v/>
      </c>
      <c r="G101" s="14">
        <f>G100+IF(A101&gt;$B$6,0,SUMIF(B24:B31,A101,G24:G31)+IF(A101=$B$6,G32,0))</f>
        <v/>
      </c>
      <c r="H101" s="14">
        <f>H100+IF(A101&gt;$B$6,0,SUMIF(K24:K26,A101,P24:P26)+IF(A101=$B$6,P27,0))</f>
        <v/>
      </c>
      <c r="I101">
        <f>IF(A101&gt;$B$6,0,SUMIF(B24:B31,A101,D24:D31)*$B$10)</f>
        <v/>
      </c>
      <c r="J101">
        <f>IF(A101&gt;$B$6,0,SUMIF(K24:K26,A101,M24:M26)*$B$10)</f>
        <v/>
      </c>
      <c r="M101" s="14">
        <f>C101+D101</f>
        <v/>
      </c>
      <c r="N101" s="14">
        <f>E101+F101</f>
        <v/>
      </c>
      <c r="AK101" t="n">
        <v>88</v>
      </c>
      <c r="AL101">
        <f>IFERROR(IF(AU101&lt;($AM$6-$AL$6)/($AN$6-$AL$6),$AL$6+SQRT(AU101*($AN$6-$AL$6)*($AM$6-$AL$6)),$AN$6-SQRT((1-AU101)*($AN$6-$AL$6)*($AN$6-$AM$6))),$AM$6)</f>
        <v/>
      </c>
      <c r="AM101">
        <f>IFERROR(IF(AV101&lt;($AM$7-$AL$7)/($AN$7-$AL$7),$AL$7+SQRT(AV101*($AN$7-$AL$7)*($AM$7-$AL$7)),$AN$7-SQRT((1-AV101)*($AN$7-$AL$7)*($AN$7-$AM$7))),$AM$7)</f>
        <v/>
      </c>
      <c r="AN101">
        <f>IFERROR(IF(AW101&lt;($AM$8-$AL$8)/($AN$8-$AL$8),$AL$8+SQRT(AW101*($AN$8-$AL$8)*($AM$8-$AL$8)),$AN$8-SQRT((1-AW101)*($AN$8-$AL$8)*($AN$8-$AM$8))),$AM$8)</f>
        <v/>
      </c>
      <c r="AO101">
        <f>IFERROR(IF(AX101&lt;($AM$9-$AL$9)/($AN$9-$AL$9),$AL$9+SQRT(AX101*($AN$9-$AL$9)*($AM$9-$AL$9)),$AN$9-SQRT((1-AX101)*($AN$9-$AL$9)*($AN$9-$AM$9))),$AM$9)</f>
        <v/>
      </c>
      <c r="AP101">
        <f>IFERROR(IF(AY101&lt;($AM$10-$AL$10)/($AN$10-$AL$10),$AL$10+SQRT(AY101*($AN$10-$AL$10)*($AM$10-$AL$10)),$AN$10-SQRT((1-AY101)*($AN$10-$AL$10)*($AN$10-$AM$10))),$AM$10)</f>
        <v/>
      </c>
      <c r="AQ101">
        <f>IFERROR(IF(AZ101&lt;($AM$11-$AL$11)/($AN$11-$AL$11),$AL$11+SQRT(AZ101*($AN$11-$AL$11)*($AM$11-$AL$11)),$AN$11-SQRT((1-AZ101)*($AN$11-$AL$11)*($AN$11-$AM$11))),$AM$11)</f>
        <v/>
      </c>
      <c r="AR101">
        <f>SUMPRODUCT((B24:B31&lt;=$B$6)*(C24:C31*AM101+D24:D31*AO101*$B$8*AQ101)/(1+AL101/100)^B24:B31)+C32*AM101*AP101/(1+AL101/100)^$B$6</f>
        <v/>
      </c>
      <c r="AS101">
        <f>SUMPRODUCT((K24:K26&lt;=$B$6)*(L24:L26*AN101+M24:M26*AO101*$B$8*AQ101)/(1+AL101/100)^K24:K26)+L27*AN101*AP101/(1+AL101/100)^$B$6</f>
        <v/>
      </c>
      <c r="AT101">
        <f>AS101-AR101</f>
        <v/>
      </c>
      <c r="AU101">
        <f>RAND()</f>
        <v/>
      </c>
      <c r="AV101">
        <f>RAND()</f>
        <v/>
      </c>
      <c r="AW101">
        <f>RAND()</f>
        <v/>
      </c>
      <c r="AX101">
        <f>RAND()</f>
        <v/>
      </c>
      <c r="AY101">
        <f>RAND()</f>
        <v/>
      </c>
      <c r="AZ101">
        <f>RAND()</f>
        <v/>
      </c>
    </row>
    <row r="102">
      <c r="A102" t="n">
        <v>8</v>
      </c>
      <c r="B102">
        <f>$B$7+A102</f>
        <v/>
      </c>
      <c r="C102" s="14">
        <f>IF(A102&gt;$B$6,0,SUMIF(B24:B31,A102,E24:E31)+IF(A102=$B$6,E32,0))</f>
        <v/>
      </c>
      <c r="D102" s="14">
        <f>IF(A102&gt;$B$6,0,SUMIF(B24:B31,A102,F24:F31))</f>
        <v/>
      </c>
      <c r="E102" s="14">
        <f>IF(A102&gt;$B$6,0,SUMIF(K24:K26,A102,N24:N26)+IF(A102=$B$6,N27,0))</f>
        <v/>
      </c>
      <c r="F102" s="14">
        <f>IF(A102&gt;$B$6,0,SUMIF(K24:K26,A102,O24:O26))</f>
        <v/>
      </c>
      <c r="G102" s="14">
        <f>G101+IF(A102&gt;$B$6,0,SUMIF(B24:B31,A102,G24:G31)+IF(A102=$B$6,G32,0))</f>
        <v/>
      </c>
      <c r="H102" s="14">
        <f>H101+IF(A102&gt;$B$6,0,SUMIF(K24:K26,A102,P24:P26)+IF(A102=$B$6,P27,0))</f>
        <v/>
      </c>
      <c r="I102">
        <f>IF(A102&gt;$B$6,0,SUMIF(B24:B31,A102,D24:D31)*$B$10)</f>
        <v/>
      </c>
      <c r="J102">
        <f>IF(A102&gt;$B$6,0,SUMIF(K24:K26,A102,M24:M26)*$B$10)</f>
        <v/>
      </c>
      <c r="M102" s="14">
        <f>C102+D102</f>
        <v/>
      </c>
      <c r="N102" s="14">
        <f>E102+F102</f>
        <v/>
      </c>
      <c r="AK102" t="n">
        <v>89</v>
      </c>
      <c r="AL102">
        <f>IFERROR(IF(AU102&lt;($AM$6-$AL$6)/($AN$6-$AL$6),$AL$6+SQRT(AU102*($AN$6-$AL$6)*($AM$6-$AL$6)),$AN$6-SQRT((1-AU102)*($AN$6-$AL$6)*($AN$6-$AM$6))),$AM$6)</f>
        <v/>
      </c>
      <c r="AM102">
        <f>IFERROR(IF(AV102&lt;($AM$7-$AL$7)/($AN$7-$AL$7),$AL$7+SQRT(AV102*($AN$7-$AL$7)*($AM$7-$AL$7)),$AN$7-SQRT((1-AV102)*($AN$7-$AL$7)*($AN$7-$AM$7))),$AM$7)</f>
        <v/>
      </c>
      <c r="AN102">
        <f>IFERROR(IF(AW102&lt;($AM$8-$AL$8)/($AN$8-$AL$8),$AL$8+SQRT(AW102*($AN$8-$AL$8)*($AM$8-$AL$8)),$AN$8-SQRT((1-AW102)*($AN$8-$AL$8)*($AN$8-$AM$8))),$AM$8)</f>
        <v/>
      </c>
      <c r="AO102">
        <f>IFERROR(IF(AX102&lt;($AM$9-$AL$9)/($AN$9-$AL$9),$AL$9+SQRT(AX102*($AN$9-$AL$9)*($AM$9-$AL$9)),$AN$9-SQRT((1-AX102)*($AN$9-$AL$9)*($AN$9-$AM$9))),$AM$9)</f>
        <v/>
      </c>
      <c r="AP102">
        <f>IFERROR(IF(AY102&lt;($AM$10-$AL$10)/($AN$10-$AL$10),$AL$10+SQRT(AY102*($AN$10-$AL$10)*($AM$10-$AL$10)),$AN$10-SQRT((1-AY102)*($AN$10-$AL$10)*($AN$10-$AM$10))),$AM$10)</f>
        <v/>
      </c>
      <c r="AQ102">
        <f>IFERROR(IF(AZ102&lt;($AM$11-$AL$11)/($AN$11-$AL$11),$AL$11+SQRT(AZ102*($AN$11-$AL$11)*($AM$11-$AL$11)),$AN$11-SQRT((1-AZ102)*($AN$11-$AL$11)*($AN$11-$AM$11))),$AM$11)</f>
        <v/>
      </c>
      <c r="AR102">
        <f>SUMPRODUCT((B24:B31&lt;=$B$6)*(C24:C31*AM102+D24:D31*AO102*$B$8*AQ102)/(1+AL102/100)^B24:B31)+C32*AM102*AP102/(1+AL102/100)^$B$6</f>
        <v/>
      </c>
      <c r="AS102">
        <f>SUMPRODUCT((K24:K26&lt;=$B$6)*(L24:L26*AN102+M24:M26*AO102*$B$8*AQ102)/(1+AL102/100)^K24:K26)+L27*AN102*AP102/(1+AL102/100)^$B$6</f>
        <v/>
      </c>
      <c r="AT102">
        <f>AS102-AR102</f>
        <v/>
      </c>
      <c r="AU102">
        <f>RAND()</f>
        <v/>
      </c>
      <c r="AV102">
        <f>RAND()</f>
        <v/>
      </c>
      <c r="AW102">
        <f>RAND()</f>
        <v/>
      </c>
      <c r="AX102">
        <f>RAND()</f>
        <v/>
      </c>
      <c r="AY102">
        <f>RAND()</f>
        <v/>
      </c>
      <c r="AZ102">
        <f>RAND()</f>
        <v/>
      </c>
    </row>
    <row r="103">
      <c r="A103" t="n">
        <v>9</v>
      </c>
      <c r="B103">
        <f>$B$7+A103</f>
        <v/>
      </c>
      <c r="C103" s="14">
        <f>IF(A103&gt;$B$6,0,SUMIF(B24:B31,A103,E24:E31)+IF(A103=$B$6,E32,0))</f>
        <v/>
      </c>
      <c r="D103" s="14">
        <f>IF(A103&gt;$B$6,0,SUMIF(B24:B31,A103,F24:F31))</f>
        <v/>
      </c>
      <c r="E103" s="14">
        <f>IF(A103&gt;$B$6,0,SUMIF(K24:K26,A103,N24:N26)+IF(A103=$B$6,N27,0))</f>
        <v/>
      </c>
      <c r="F103" s="14">
        <f>IF(A103&gt;$B$6,0,SUMIF(K24:K26,A103,O24:O26))</f>
        <v/>
      </c>
      <c r="G103" s="14">
        <f>G102+IF(A103&gt;$B$6,0,SUMIF(B24:B31,A103,G24:G31)+IF(A103=$B$6,G32,0))</f>
        <v/>
      </c>
      <c r="H103" s="14">
        <f>H102+IF(A103&gt;$B$6,0,SUMIF(K24:K26,A103,P24:P26)+IF(A103=$B$6,P27,0))</f>
        <v/>
      </c>
      <c r="I103">
        <f>IF(A103&gt;$B$6,0,SUMIF(B24:B31,A103,D24:D31)*$B$10)</f>
        <v/>
      </c>
      <c r="J103">
        <f>IF(A103&gt;$B$6,0,SUMIF(K24:K26,A103,M24:M26)*$B$10)</f>
        <v/>
      </c>
      <c r="M103" s="14">
        <f>C103+D103</f>
        <v/>
      </c>
      <c r="N103" s="14">
        <f>E103+F103</f>
        <v/>
      </c>
      <c r="AK103" t="n">
        <v>90</v>
      </c>
      <c r="AL103">
        <f>IFERROR(IF(AU103&lt;($AM$6-$AL$6)/($AN$6-$AL$6),$AL$6+SQRT(AU103*($AN$6-$AL$6)*($AM$6-$AL$6)),$AN$6-SQRT((1-AU103)*($AN$6-$AL$6)*($AN$6-$AM$6))),$AM$6)</f>
        <v/>
      </c>
      <c r="AM103">
        <f>IFERROR(IF(AV103&lt;($AM$7-$AL$7)/($AN$7-$AL$7),$AL$7+SQRT(AV103*($AN$7-$AL$7)*($AM$7-$AL$7)),$AN$7-SQRT((1-AV103)*($AN$7-$AL$7)*($AN$7-$AM$7))),$AM$7)</f>
        <v/>
      </c>
      <c r="AN103">
        <f>IFERROR(IF(AW103&lt;($AM$8-$AL$8)/($AN$8-$AL$8),$AL$8+SQRT(AW103*($AN$8-$AL$8)*($AM$8-$AL$8)),$AN$8-SQRT((1-AW103)*($AN$8-$AL$8)*($AN$8-$AM$8))),$AM$8)</f>
        <v/>
      </c>
      <c r="AO103">
        <f>IFERROR(IF(AX103&lt;($AM$9-$AL$9)/($AN$9-$AL$9),$AL$9+SQRT(AX103*($AN$9-$AL$9)*($AM$9-$AL$9)),$AN$9-SQRT((1-AX103)*($AN$9-$AL$9)*($AN$9-$AM$9))),$AM$9)</f>
        <v/>
      </c>
      <c r="AP103">
        <f>IFERROR(IF(AY103&lt;($AM$10-$AL$10)/($AN$10-$AL$10),$AL$10+SQRT(AY103*($AN$10-$AL$10)*($AM$10-$AL$10)),$AN$10-SQRT((1-AY103)*($AN$10-$AL$10)*($AN$10-$AM$10))),$AM$10)</f>
        <v/>
      </c>
      <c r="AQ103">
        <f>IFERROR(IF(AZ103&lt;($AM$11-$AL$11)/($AN$11-$AL$11),$AL$11+SQRT(AZ103*($AN$11-$AL$11)*($AM$11-$AL$11)),$AN$11-SQRT((1-AZ103)*($AN$11-$AL$11)*($AN$11-$AM$11))),$AM$11)</f>
        <v/>
      </c>
      <c r="AR103">
        <f>SUMPRODUCT((B24:B31&lt;=$B$6)*(C24:C31*AM103+D24:D31*AO103*$B$8*AQ103)/(1+AL103/100)^B24:B31)+C32*AM103*AP103/(1+AL103/100)^$B$6</f>
        <v/>
      </c>
      <c r="AS103">
        <f>SUMPRODUCT((K24:K26&lt;=$B$6)*(L24:L26*AN103+M24:M26*AO103*$B$8*AQ103)/(1+AL103/100)^K24:K26)+L27*AN103*AP103/(1+AL103/100)^$B$6</f>
        <v/>
      </c>
      <c r="AT103">
        <f>AS103-AR103</f>
        <v/>
      </c>
      <c r="AU103">
        <f>RAND()</f>
        <v/>
      </c>
      <c r="AV103">
        <f>RAND()</f>
        <v/>
      </c>
      <c r="AW103">
        <f>RAND()</f>
        <v/>
      </c>
      <c r="AX103">
        <f>RAND()</f>
        <v/>
      </c>
      <c r="AY103">
        <f>RAND()</f>
        <v/>
      </c>
      <c r="AZ103">
        <f>RAND()</f>
        <v/>
      </c>
    </row>
    <row r="104">
      <c r="A104" t="n">
        <v>10</v>
      </c>
      <c r="B104">
        <f>$B$7+A104</f>
        <v/>
      </c>
      <c r="C104" s="14">
        <f>IF(A104&gt;$B$6,0,SUMIF(B24:B31,A104,E24:E31)+IF(A104=$B$6,E32,0))</f>
        <v/>
      </c>
      <c r="D104" s="14">
        <f>IF(A104&gt;$B$6,0,SUMIF(B24:B31,A104,F24:F31))</f>
        <v/>
      </c>
      <c r="E104" s="14">
        <f>IF(A104&gt;$B$6,0,SUMIF(K24:K26,A104,N24:N26)+IF(A104=$B$6,N27,0))</f>
        <v/>
      </c>
      <c r="F104" s="14">
        <f>IF(A104&gt;$B$6,0,SUMIF(K24:K26,A104,O24:O26))</f>
        <v/>
      </c>
      <c r="G104" s="14">
        <f>G103+IF(A104&gt;$B$6,0,SUMIF(B24:B31,A104,G24:G31)+IF(A104=$B$6,G32,0))</f>
        <v/>
      </c>
      <c r="H104" s="14">
        <f>H103+IF(A104&gt;$B$6,0,SUMIF(K24:K26,A104,P24:P26)+IF(A104=$B$6,P27,0))</f>
        <v/>
      </c>
      <c r="I104">
        <f>IF(A104&gt;$B$6,0,SUMIF(B24:B31,A104,D24:D31)*$B$10)</f>
        <v/>
      </c>
      <c r="J104">
        <f>IF(A104&gt;$B$6,0,SUMIF(K24:K26,A104,M24:M26)*$B$10)</f>
        <v/>
      </c>
      <c r="M104" s="14">
        <f>C104+D104</f>
        <v/>
      </c>
      <c r="N104" s="14">
        <f>E104+F104</f>
        <v/>
      </c>
      <c r="AK104" t="n">
        <v>91</v>
      </c>
      <c r="AL104">
        <f>IFERROR(IF(AU104&lt;($AM$6-$AL$6)/($AN$6-$AL$6),$AL$6+SQRT(AU104*($AN$6-$AL$6)*($AM$6-$AL$6)),$AN$6-SQRT((1-AU104)*($AN$6-$AL$6)*($AN$6-$AM$6))),$AM$6)</f>
        <v/>
      </c>
      <c r="AM104">
        <f>IFERROR(IF(AV104&lt;($AM$7-$AL$7)/($AN$7-$AL$7),$AL$7+SQRT(AV104*($AN$7-$AL$7)*($AM$7-$AL$7)),$AN$7-SQRT((1-AV104)*($AN$7-$AL$7)*($AN$7-$AM$7))),$AM$7)</f>
        <v/>
      </c>
      <c r="AN104">
        <f>IFERROR(IF(AW104&lt;($AM$8-$AL$8)/($AN$8-$AL$8),$AL$8+SQRT(AW104*($AN$8-$AL$8)*($AM$8-$AL$8)),$AN$8-SQRT((1-AW104)*($AN$8-$AL$8)*($AN$8-$AM$8))),$AM$8)</f>
        <v/>
      </c>
      <c r="AO104">
        <f>IFERROR(IF(AX104&lt;($AM$9-$AL$9)/($AN$9-$AL$9),$AL$9+SQRT(AX104*($AN$9-$AL$9)*($AM$9-$AL$9)),$AN$9-SQRT((1-AX104)*($AN$9-$AL$9)*($AN$9-$AM$9))),$AM$9)</f>
        <v/>
      </c>
      <c r="AP104">
        <f>IFERROR(IF(AY104&lt;($AM$10-$AL$10)/($AN$10-$AL$10),$AL$10+SQRT(AY104*($AN$10-$AL$10)*($AM$10-$AL$10)),$AN$10-SQRT((1-AY104)*($AN$10-$AL$10)*($AN$10-$AM$10))),$AM$10)</f>
        <v/>
      </c>
      <c r="AQ104">
        <f>IFERROR(IF(AZ104&lt;($AM$11-$AL$11)/($AN$11-$AL$11),$AL$11+SQRT(AZ104*($AN$11-$AL$11)*($AM$11-$AL$11)),$AN$11-SQRT((1-AZ104)*($AN$11-$AL$11)*($AN$11-$AM$11))),$AM$11)</f>
        <v/>
      </c>
      <c r="AR104">
        <f>SUMPRODUCT((B24:B31&lt;=$B$6)*(C24:C31*AM104+D24:D31*AO104*$B$8*AQ104)/(1+AL104/100)^B24:B31)+C32*AM104*AP104/(1+AL104/100)^$B$6</f>
        <v/>
      </c>
      <c r="AS104">
        <f>SUMPRODUCT((K24:K26&lt;=$B$6)*(L24:L26*AN104+M24:M26*AO104*$B$8*AQ104)/(1+AL104/100)^K24:K26)+L27*AN104*AP104/(1+AL104/100)^$B$6</f>
        <v/>
      </c>
      <c r="AT104">
        <f>AS104-AR104</f>
        <v/>
      </c>
      <c r="AU104">
        <f>RAND()</f>
        <v/>
      </c>
      <c r="AV104">
        <f>RAND()</f>
        <v/>
      </c>
      <c r="AW104">
        <f>RAND()</f>
        <v/>
      </c>
      <c r="AX104">
        <f>RAND()</f>
        <v/>
      </c>
      <c r="AY104">
        <f>RAND()</f>
        <v/>
      </c>
      <c r="AZ104">
        <f>RAND()</f>
        <v/>
      </c>
    </row>
    <row r="105">
      <c r="A105" t="n">
        <v>11</v>
      </c>
      <c r="B105">
        <f>$B$7+A105</f>
        <v/>
      </c>
      <c r="C105" s="14">
        <f>IF(A105&gt;$B$6,0,SUMIF(B24:B31,A105,E24:E31)+IF(A105=$B$6,E32,0))</f>
        <v/>
      </c>
      <c r="D105" s="14">
        <f>IF(A105&gt;$B$6,0,SUMIF(B24:B31,A105,F24:F31))</f>
        <v/>
      </c>
      <c r="E105" s="14">
        <f>IF(A105&gt;$B$6,0,SUMIF(K24:K26,A105,N24:N26)+IF(A105=$B$6,N27,0))</f>
        <v/>
      </c>
      <c r="F105" s="14">
        <f>IF(A105&gt;$B$6,0,SUMIF(K24:K26,A105,O24:O26))</f>
        <v/>
      </c>
      <c r="G105" s="14">
        <f>G104+IF(A105&gt;$B$6,0,SUMIF(B24:B31,A105,G24:G31)+IF(A105=$B$6,G32,0))</f>
        <v/>
      </c>
      <c r="H105" s="14">
        <f>H104+IF(A105&gt;$B$6,0,SUMIF(K24:K26,A105,P24:P26)+IF(A105=$B$6,P27,0))</f>
        <v/>
      </c>
      <c r="I105">
        <f>IF(A105&gt;$B$6,0,SUMIF(B24:B31,A105,D24:D31)*$B$10)</f>
        <v/>
      </c>
      <c r="J105">
        <f>IF(A105&gt;$B$6,0,SUMIF(K24:K26,A105,M24:M26)*$B$10)</f>
        <v/>
      </c>
      <c r="M105" s="14">
        <f>C105+D105</f>
        <v/>
      </c>
      <c r="N105" s="14">
        <f>E105+F105</f>
        <v/>
      </c>
      <c r="AK105" t="n">
        <v>92</v>
      </c>
      <c r="AL105">
        <f>IFERROR(IF(AU105&lt;($AM$6-$AL$6)/($AN$6-$AL$6),$AL$6+SQRT(AU105*($AN$6-$AL$6)*($AM$6-$AL$6)),$AN$6-SQRT((1-AU105)*($AN$6-$AL$6)*($AN$6-$AM$6))),$AM$6)</f>
        <v/>
      </c>
      <c r="AM105">
        <f>IFERROR(IF(AV105&lt;($AM$7-$AL$7)/($AN$7-$AL$7),$AL$7+SQRT(AV105*($AN$7-$AL$7)*($AM$7-$AL$7)),$AN$7-SQRT((1-AV105)*($AN$7-$AL$7)*($AN$7-$AM$7))),$AM$7)</f>
        <v/>
      </c>
      <c r="AN105">
        <f>IFERROR(IF(AW105&lt;($AM$8-$AL$8)/($AN$8-$AL$8),$AL$8+SQRT(AW105*($AN$8-$AL$8)*($AM$8-$AL$8)),$AN$8-SQRT((1-AW105)*($AN$8-$AL$8)*($AN$8-$AM$8))),$AM$8)</f>
        <v/>
      </c>
      <c r="AO105">
        <f>IFERROR(IF(AX105&lt;($AM$9-$AL$9)/($AN$9-$AL$9),$AL$9+SQRT(AX105*($AN$9-$AL$9)*($AM$9-$AL$9)),$AN$9-SQRT((1-AX105)*($AN$9-$AL$9)*($AN$9-$AM$9))),$AM$9)</f>
        <v/>
      </c>
      <c r="AP105">
        <f>IFERROR(IF(AY105&lt;($AM$10-$AL$10)/($AN$10-$AL$10),$AL$10+SQRT(AY105*($AN$10-$AL$10)*($AM$10-$AL$10)),$AN$10-SQRT((1-AY105)*($AN$10-$AL$10)*($AN$10-$AM$10))),$AM$10)</f>
        <v/>
      </c>
      <c r="AQ105">
        <f>IFERROR(IF(AZ105&lt;($AM$11-$AL$11)/($AN$11-$AL$11),$AL$11+SQRT(AZ105*($AN$11-$AL$11)*($AM$11-$AL$11)),$AN$11-SQRT((1-AZ105)*($AN$11-$AL$11)*($AN$11-$AM$11))),$AM$11)</f>
        <v/>
      </c>
      <c r="AR105">
        <f>SUMPRODUCT((B24:B31&lt;=$B$6)*(C24:C31*AM105+D24:D31*AO105*$B$8*AQ105)/(1+AL105/100)^B24:B31)+C32*AM105*AP105/(1+AL105/100)^$B$6</f>
        <v/>
      </c>
      <c r="AS105">
        <f>SUMPRODUCT((K24:K26&lt;=$B$6)*(L24:L26*AN105+M24:M26*AO105*$B$8*AQ105)/(1+AL105/100)^K24:K26)+L27*AN105*AP105/(1+AL105/100)^$B$6</f>
        <v/>
      </c>
      <c r="AT105">
        <f>AS105-AR105</f>
        <v/>
      </c>
      <c r="AU105">
        <f>RAND()</f>
        <v/>
      </c>
      <c r="AV105">
        <f>RAND()</f>
        <v/>
      </c>
      <c r="AW105">
        <f>RAND()</f>
        <v/>
      </c>
      <c r="AX105">
        <f>RAND()</f>
        <v/>
      </c>
      <c r="AY105">
        <f>RAND()</f>
        <v/>
      </c>
      <c r="AZ105">
        <f>RAND()</f>
        <v/>
      </c>
    </row>
    <row r="106">
      <c r="A106" t="n">
        <v>12</v>
      </c>
      <c r="B106">
        <f>$B$7+A106</f>
        <v/>
      </c>
      <c r="C106" s="14">
        <f>IF(A106&gt;$B$6,0,SUMIF(B24:B31,A106,E24:E31)+IF(A106=$B$6,E32,0))</f>
        <v/>
      </c>
      <c r="D106" s="14">
        <f>IF(A106&gt;$B$6,0,SUMIF(B24:B31,A106,F24:F31))</f>
        <v/>
      </c>
      <c r="E106" s="14">
        <f>IF(A106&gt;$B$6,0,SUMIF(K24:K26,A106,N24:N26)+IF(A106=$B$6,N27,0))</f>
        <v/>
      </c>
      <c r="F106" s="14">
        <f>IF(A106&gt;$B$6,0,SUMIF(K24:K26,A106,O24:O26))</f>
        <v/>
      </c>
      <c r="G106" s="14">
        <f>G105+IF(A106&gt;$B$6,0,SUMIF(B24:B31,A106,G24:G31)+IF(A106=$B$6,G32,0))</f>
        <v/>
      </c>
      <c r="H106" s="14">
        <f>H105+IF(A106&gt;$B$6,0,SUMIF(K24:K26,A106,P24:P26)+IF(A106=$B$6,P27,0))</f>
        <v/>
      </c>
      <c r="I106">
        <f>IF(A106&gt;$B$6,0,SUMIF(B24:B31,A106,D24:D31)*$B$10)</f>
        <v/>
      </c>
      <c r="J106">
        <f>IF(A106&gt;$B$6,0,SUMIF(K24:K26,A106,M24:M26)*$B$10)</f>
        <v/>
      </c>
      <c r="M106" s="14">
        <f>C106+D106</f>
        <v/>
      </c>
      <c r="N106" s="14">
        <f>E106+F106</f>
        <v/>
      </c>
      <c r="AK106" t="n">
        <v>93</v>
      </c>
      <c r="AL106">
        <f>IFERROR(IF(AU106&lt;($AM$6-$AL$6)/($AN$6-$AL$6),$AL$6+SQRT(AU106*($AN$6-$AL$6)*($AM$6-$AL$6)),$AN$6-SQRT((1-AU106)*($AN$6-$AL$6)*($AN$6-$AM$6))),$AM$6)</f>
        <v/>
      </c>
      <c r="AM106">
        <f>IFERROR(IF(AV106&lt;($AM$7-$AL$7)/($AN$7-$AL$7),$AL$7+SQRT(AV106*($AN$7-$AL$7)*($AM$7-$AL$7)),$AN$7-SQRT((1-AV106)*($AN$7-$AL$7)*($AN$7-$AM$7))),$AM$7)</f>
        <v/>
      </c>
      <c r="AN106">
        <f>IFERROR(IF(AW106&lt;($AM$8-$AL$8)/($AN$8-$AL$8),$AL$8+SQRT(AW106*($AN$8-$AL$8)*($AM$8-$AL$8)),$AN$8-SQRT((1-AW106)*($AN$8-$AL$8)*($AN$8-$AM$8))),$AM$8)</f>
        <v/>
      </c>
      <c r="AO106">
        <f>IFERROR(IF(AX106&lt;($AM$9-$AL$9)/($AN$9-$AL$9),$AL$9+SQRT(AX106*($AN$9-$AL$9)*($AM$9-$AL$9)),$AN$9-SQRT((1-AX106)*($AN$9-$AL$9)*($AN$9-$AM$9))),$AM$9)</f>
        <v/>
      </c>
      <c r="AP106">
        <f>IFERROR(IF(AY106&lt;($AM$10-$AL$10)/($AN$10-$AL$10),$AL$10+SQRT(AY106*($AN$10-$AL$10)*($AM$10-$AL$10)),$AN$10-SQRT((1-AY106)*($AN$10-$AL$10)*($AN$10-$AM$10))),$AM$10)</f>
        <v/>
      </c>
      <c r="AQ106">
        <f>IFERROR(IF(AZ106&lt;($AM$11-$AL$11)/($AN$11-$AL$11),$AL$11+SQRT(AZ106*($AN$11-$AL$11)*($AM$11-$AL$11)),$AN$11-SQRT((1-AZ106)*($AN$11-$AL$11)*($AN$11-$AM$11))),$AM$11)</f>
        <v/>
      </c>
      <c r="AR106">
        <f>SUMPRODUCT((B24:B31&lt;=$B$6)*(C24:C31*AM106+D24:D31*AO106*$B$8*AQ106)/(1+AL106/100)^B24:B31)+C32*AM106*AP106/(1+AL106/100)^$B$6</f>
        <v/>
      </c>
      <c r="AS106">
        <f>SUMPRODUCT((K24:K26&lt;=$B$6)*(L24:L26*AN106+M24:M26*AO106*$B$8*AQ106)/(1+AL106/100)^K24:K26)+L27*AN106*AP106/(1+AL106/100)^$B$6</f>
        <v/>
      </c>
      <c r="AT106">
        <f>AS106-AR106</f>
        <v/>
      </c>
      <c r="AU106">
        <f>RAND()</f>
        <v/>
      </c>
      <c r="AV106">
        <f>RAND()</f>
        <v/>
      </c>
      <c r="AW106">
        <f>RAND()</f>
        <v/>
      </c>
      <c r="AX106">
        <f>RAND()</f>
        <v/>
      </c>
      <c r="AY106">
        <f>RAND()</f>
        <v/>
      </c>
      <c r="AZ106">
        <f>RAND()</f>
        <v/>
      </c>
    </row>
    <row r="107">
      <c r="A107" t="n">
        <v>13</v>
      </c>
      <c r="B107">
        <f>$B$7+A107</f>
        <v/>
      </c>
      <c r="C107" s="14">
        <f>IF(A107&gt;$B$6,0,SUMIF(B24:B31,A107,E24:E31)+IF(A107=$B$6,E32,0))</f>
        <v/>
      </c>
      <c r="D107" s="14">
        <f>IF(A107&gt;$B$6,0,SUMIF(B24:B31,A107,F24:F31))</f>
        <v/>
      </c>
      <c r="E107" s="14">
        <f>IF(A107&gt;$B$6,0,SUMIF(K24:K26,A107,N24:N26)+IF(A107=$B$6,N27,0))</f>
        <v/>
      </c>
      <c r="F107" s="14">
        <f>IF(A107&gt;$B$6,0,SUMIF(K24:K26,A107,O24:O26))</f>
        <v/>
      </c>
      <c r="G107" s="14">
        <f>G106+IF(A107&gt;$B$6,0,SUMIF(B24:B31,A107,G24:G31)+IF(A107=$B$6,G32,0))</f>
        <v/>
      </c>
      <c r="H107" s="14">
        <f>H106+IF(A107&gt;$B$6,0,SUMIF(K24:K26,A107,P24:P26)+IF(A107=$B$6,P27,0))</f>
        <v/>
      </c>
      <c r="I107">
        <f>IF(A107&gt;$B$6,0,SUMIF(B24:B31,A107,D24:D31)*$B$10)</f>
        <v/>
      </c>
      <c r="J107">
        <f>IF(A107&gt;$B$6,0,SUMIF(K24:K26,A107,M24:M26)*$B$10)</f>
        <v/>
      </c>
      <c r="M107" s="14">
        <f>C107+D107</f>
        <v/>
      </c>
      <c r="N107" s="14">
        <f>E107+F107</f>
        <v/>
      </c>
      <c r="AK107" t="n">
        <v>94</v>
      </c>
      <c r="AL107">
        <f>IFERROR(IF(AU107&lt;($AM$6-$AL$6)/($AN$6-$AL$6),$AL$6+SQRT(AU107*($AN$6-$AL$6)*($AM$6-$AL$6)),$AN$6-SQRT((1-AU107)*($AN$6-$AL$6)*($AN$6-$AM$6))),$AM$6)</f>
        <v/>
      </c>
      <c r="AM107">
        <f>IFERROR(IF(AV107&lt;($AM$7-$AL$7)/($AN$7-$AL$7),$AL$7+SQRT(AV107*($AN$7-$AL$7)*($AM$7-$AL$7)),$AN$7-SQRT((1-AV107)*($AN$7-$AL$7)*($AN$7-$AM$7))),$AM$7)</f>
        <v/>
      </c>
      <c r="AN107">
        <f>IFERROR(IF(AW107&lt;($AM$8-$AL$8)/($AN$8-$AL$8),$AL$8+SQRT(AW107*($AN$8-$AL$8)*($AM$8-$AL$8)),$AN$8-SQRT((1-AW107)*($AN$8-$AL$8)*($AN$8-$AM$8))),$AM$8)</f>
        <v/>
      </c>
      <c r="AO107">
        <f>IFERROR(IF(AX107&lt;($AM$9-$AL$9)/($AN$9-$AL$9),$AL$9+SQRT(AX107*($AN$9-$AL$9)*($AM$9-$AL$9)),$AN$9-SQRT((1-AX107)*($AN$9-$AL$9)*($AN$9-$AM$9))),$AM$9)</f>
        <v/>
      </c>
      <c r="AP107">
        <f>IFERROR(IF(AY107&lt;($AM$10-$AL$10)/($AN$10-$AL$10),$AL$10+SQRT(AY107*($AN$10-$AL$10)*($AM$10-$AL$10)),$AN$10-SQRT((1-AY107)*($AN$10-$AL$10)*($AN$10-$AM$10))),$AM$10)</f>
        <v/>
      </c>
      <c r="AQ107">
        <f>IFERROR(IF(AZ107&lt;($AM$11-$AL$11)/($AN$11-$AL$11),$AL$11+SQRT(AZ107*($AN$11-$AL$11)*($AM$11-$AL$11)),$AN$11-SQRT((1-AZ107)*($AN$11-$AL$11)*($AN$11-$AM$11))),$AM$11)</f>
        <v/>
      </c>
      <c r="AR107">
        <f>SUMPRODUCT((B24:B31&lt;=$B$6)*(C24:C31*AM107+D24:D31*AO107*$B$8*AQ107)/(1+AL107/100)^B24:B31)+C32*AM107*AP107/(1+AL107/100)^$B$6</f>
        <v/>
      </c>
      <c r="AS107">
        <f>SUMPRODUCT((K24:K26&lt;=$B$6)*(L24:L26*AN107+M24:M26*AO107*$B$8*AQ107)/(1+AL107/100)^K24:K26)+L27*AN107*AP107/(1+AL107/100)^$B$6</f>
        <v/>
      </c>
      <c r="AT107">
        <f>AS107-AR107</f>
        <v/>
      </c>
      <c r="AU107">
        <f>RAND()</f>
        <v/>
      </c>
      <c r="AV107">
        <f>RAND()</f>
        <v/>
      </c>
      <c r="AW107">
        <f>RAND()</f>
        <v/>
      </c>
      <c r="AX107">
        <f>RAND()</f>
        <v/>
      </c>
      <c r="AY107">
        <f>RAND()</f>
        <v/>
      </c>
      <c r="AZ107">
        <f>RAND()</f>
        <v/>
      </c>
    </row>
    <row r="108">
      <c r="A108" t="n">
        <v>14</v>
      </c>
      <c r="B108">
        <f>$B$7+A108</f>
        <v/>
      </c>
      <c r="C108" s="14">
        <f>IF(A108&gt;$B$6,0,SUMIF(B24:B31,A108,E24:E31)+IF(A108=$B$6,E32,0))</f>
        <v/>
      </c>
      <c r="D108" s="14">
        <f>IF(A108&gt;$B$6,0,SUMIF(B24:B31,A108,F24:F31))</f>
        <v/>
      </c>
      <c r="E108" s="14">
        <f>IF(A108&gt;$B$6,0,SUMIF(K24:K26,A108,N24:N26)+IF(A108=$B$6,N27,0))</f>
        <v/>
      </c>
      <c r="F108" s="14">
        <f>IF(A108&gt;$B$6,0,SUMIF(K24:K26,A108,O24:O26))</f>
        <v/>
      </c>
      <c r="G108" s="14">
        <f>G107+IF(A108&gt;$B$6,0,SUMIF(B24:B31,A108,G24:G31)+IF(A108=$B$6,G32,0))</f>
        <v/>
      </c>
      <c r="H108" s="14">
        <f>H107+IF(A108&gt;$B$6,0,SUMIF(K24:K26,A108,P24:P26)+IF(A108=$B$6,P27,0))</f>
        <v/>
      </c>
      <c r="I108">
        <f>IF(A108&gt;$B$6,0,SUMIF(B24:B31,A108,D24:D31)*$B$10)</f>
        <v/>
      </c>
      <c r="J108">
        <f>IF(A108&gt;$B$6,0,SUMIF(K24:K26,A108,M24:M26)*$B$10)</f>
        <v/>
      </c>
      <c r="M108" s="14">
        <f>C108+D108</f>
        <v/>
      </c>
      <c r="N108" s="14">
        <f>E108+F108</f>
        <v/>
      </c>
      <c r="AK108" t="n">
        <v>95</v>
      </c>
      <c r="AL108">
        <f>IFERROR(IF(AU108&lt;($AM$6-$AL$6)/($AN$6-$AL$6),$AL$6+SQRT(AU108*($AN$6-$AL$6)*($AM$6-$AL$6)),$AN$6-SQRT((1-AU108)*($AN$6-$AL$6)*($AN$6-$AM$6))),$AM$6)</f>
        <v/>
      </c>
      <c r="AM108">
        <f>IFERROR(IF(AV108&lt;($AM$7-$AL$7)/($AN$7-$AL$7),$AL$7+SQRT(AV108*($AN$7-$AL$7)*($AM$7-$AL$7)),$AN$7-SQRT((1-AV108)*($AN$7-$AL$7)*($AN$7-$AM$7))),$AM$7)</f>
        <v/>
      </c>
      <c r="AN108">
        <f>IFERROR(IF(AW108&lt;($AM$8-$AL$8)/($AN$8-$AL$8),$AL$8+SQRT(AW108*($AN$8-$AL$8)*($AM$8-$AL$8)),$AN$8-SQRT((1-AW108)*($AN$8-$AL$8)*($AN$8-$AM$8))),$AM$8)</f>
        <v/>
      </c>
      <c r="AO108">
        <f>IFERROR(IF(AX108&lt;($AM$9-$AL$9)/($AN$9-$AL$9),$AL$9+SQRT(AX108*($AN$9-$AL$9)*($AM$9-$AL$9)),$AN$9-SQRT((1-AX108)*($AN$9-$AL$9)*($AN$9-$AM$9))),$AM$9)</f>
        <v/>
      </c>
      <c r="AP108">
        <f>IFERROR(IF(AY108&lt;($AM$10-$AL$10)/($AN$10-$AL$10),$AL$10+SQRT(AY108*($AN$10-$AL$10)*($AM$10-$AL$10)),$AN$10-SQRT((1-AY108)*($AN$10-$AL$10)*($AN$10-$AM$10))),$AM$10)</f>
        <v/>
      </c>
      <c r="AQ108">
        <f>IFERROR(IF(AZ108&lt;($AM$11-$AL$11)/($AN$11-$AL$11),$AL$11+SQRT(AZ108*($AN$11-$AL$11)*($AM$11-$AL$11)),$AN$11-SQRT((1-AZ108)*($AN$11-$AL$11)*($AN$11-$AM$11))),$AM$11)</f>
        <v/>
      </c>
      <c r="AR108">
        <f>SUMPRODUCT((B24:B31&lt;=$B$6)*(C24:C31*AM108+D24:D31*AO108*$B$8*AQ108)/(1+AL108/100)^B24:B31)+C32*AM108*AP108/(1+AL108/100)^$B$6</f>
        <v/>
      </c>
      <c r="AS108">
        <f>SUMPRODUCT((K24:K26&lt;=$B$6)*(L24:L26*AN108+M24:M26*AO108*$B$8*AQ108)/(1+AL108/100)^K24:K26)+L27*AN108*AP108/(1+AL108/100)^$B$6</f>
        <v/>
      </c>
      <c r="AT108">
        <f>AS108-AR108</f>
        <v/>
      </c>
      <c r="AU108">
        <f>RAND()</f>
        <v/>
      </c>
      <c r="AV108">
        <f>RAND()</f>
        <v/>
      </c>
      <c r="AW108">
        <f>RAND()</f>
        <v/>
      </c>
      <c r="AX108">
        <f>RAND()</f>
        <v/>
      </c>
      <c r="AY108">
        <f>RAND()</f>
        <v/>
      </c>
      <c r="AZ108">
        <f>RAND()</f>
        <v/>
      </c>
    </row>
    <row r="109">
      <c r="A109" t="n">
        <v>15</v>
      </c>
      <c r="B109">
        <f>$B$7+A109</f>
        <v/>
      </c>
      <c r="C109" s="14">
        <f>IF(A109&gt;$B$6,0,SUMIF(B24:B31,A109,E24:E31)+IF(A109=$B$6,E32,0))</f>
        <v/>
      </c>
      <c r="D109" s="14">
        <f>IF(A109&gt;$B$6,0,SUMIF(B24:B31,A109,F24:F31))</f>
        <v/>
      </c>
      <c r="E109" s="14">
        <f>IF(A109&gt;$B$6,0,SUMIF(K24:K26,A109,N24:N26)+IF(A109=$B$6,N27,0))</f>
        <v/>
      </c>
      <c r="F109" s="14">
        <f>IF(A109&gt;$B$6,0,SUMIF(K24:K26,A109,O24:O26))</f>
        <v/>
      </c>
      <c r="G109" s="14">
        <f>G108+IF(A109&gt;$B$6,0,SUMIF(B24:B31,A109,G24:G31)+IF(A109=$B$6,G32,0))</f>
        <v/>
      </c>
      <c r="H109" s="14">
        <f>H108+IF(A109&gt;$B$6,0,SUMIF(K24:K26,A109,P24:P26)+IF(A109=$B$6,P27,0))</f>
        <v/>
      </c>
      <c r="I109">
        <f>IF(A109&gt;$B$6,0,SUMIF(B24:B31,A109,D24:D31)*$B$10)</f>
        <v/>
      </c>
      <c r="J109">
        <f>IF(A109&gt;$B$6,0,SUMIF(K24:K26,A109,M24:M26)*$B$10)</f>
        <v/>
      </c>
      <c r="M109" s="14">
        <f>C109+D109</f>
        <v/>
      </c>
      <c r="N109" s="14">
        <f>E109+F109</f>
        <v/>
      </c>
      <c r="AK109" t="n">
        <v>96</v>
      </c>
      <c r="AL109">
        <f>IFERROR(IF(AU109&lt;($AM$6-$AL$6)/($AN$6-$AL$6),$AL$6+SQRT(AU109*($AN$6-$AL$6)*($AM$6-$AL$6)),$AN$6-SQRT((1-AU109)*($AN$6-$AL$6)*($AN$6-$AM$6))),$AM$6)</f>
        <v/>
      </c>
      <c r="AM109">
        <f>IFERROR(IF(AV109&lt;($AM$7-$AL$7)/($AN$7-$AL$7),$AL$7+SQRT(AV109*($AN$7-$AL$7)*($AM$7-$AL$7)),$AN$7-SQRT((1-AV109)*($AN$7-$AL$7)*($AN$7-$AM$7))),$AM$7)</f>
        <v/>
      </c>
      <c r="AN109">
        <f>IFERROR(IF(AW109&lt;($AM$8-$AL$8)/($AN$8-$AL$8),$AL$8+SQRT(AW109*($AN$8-$AL$8)*($AM$8-$AL$8)),$AN$8-SQRT((1-AW109)*($AN$8-$AL$8)*($AN$8-$AM$8))),$AM$8)</f>
        <v/>
      </c>
      <c r="AO109">
        <f>IFERROR(IF(AX109&lt;($AM$9-$AL$9)/($AN$9-$AL$9),$AL$9+SQRT(AX109*($AN$9-$AL$9)*($AM$9-$AL$9)),$AN$9-SQRT((1-AX109)*($AN$9-$AL$9)*($AN$9-$AM$9))),$AM$9)</f>
        <v/>
      </c>
      <c r="AP109">
        <f>IFERROR(IF(AY109&lt;($AM$10-$AL$10)/($AN$10-$AL$10),$AL$10+SQRT(AY109*($AN$10-$AL$10)*($AM$10-$AL$10)),$AN$10-SQRT((1-AY109)*($AN$10-$AL$10)*($AN$10-$AM$10))),$AM$10)</f>
        <v/>
      </c>
      <c r="AQ109">
        <f>IFERROR(IF(AZ109&lt;($AM$11-$AL$11)/($AN$11-$AL$11),$AL$11+SQRT(AZ109*($AN$11-$AL$11)*($AM$11-$AL$11)),$AN$11-SQRT((1-AZ109)*($AN$11-$AL$11)*($AN$11-$AM$11))),$AM$11)</f>
        <v/>
      </c>
      <c r="AR109">
        <f>SUMPRODUCT((B24:B31&lt;=$B$6)*(C24:C31*AM109+D24:D31*AO109*$B$8*AQ109)/(1+AL109/100)^B24:B31)+C32*AM109*AP109/(1+AL109/100)^$B$6</f>
        <v/>
      </c>
      <c r="AS109">
        <f>SUMPRODUCT((K24:K26&lt;=$B$6)*(L24:L26*AN109+M24:M26*AO109*$B$8*AQ109)/(1+AL109/100)^K24:K26)+L27*AN109*AP109/(1+AL109/100)^$B$6</f>
        <v/>
      </c>
      <c r="AT109">
        <f>AS109-AR109</f>
        <v/>
      </c>
      <c r="AU109">
        <f>RAND()</f>
        <v/>
      </c>
      <c r="AV109">
        <f>RAND()</f>
        <v/>
      </c>
      <c r="AW109">
        <f>RAND()</f>
        <v/>
      </c>
      <c r="AX109">
        <f>RAND()</f>
        <v/>
      </c>
      <c r="AY109">
        <f>RAND()</f>
        <v/>
      </c>
      <c r="AZ109">
        <f>RAND()</f>
        <v/>
      </c>
    </row>
    <row r="110">
      <c r="A110" t="n">
        <v>16</v>
      </c>
      <c r="B110">
        <f>$B$7+A110</f>
        <v/>
      </c>
      <c r="C110" s="14">
        <f>IF(A110&gt;$B$6,0,SUMIF(B24:B31,A110,E24:E31)+IF(A110=$B$6,E32,0))</f>
        <v/>
      </c>
      <c r="D110" s="14">
        <f>IF(A110&gt;$B$6,0,SUMIF(B24:B31,A110,F24:F31))</f>
        <v/>
      </c>
      <c r="E110" s="14">
        <f>IF(A110&gt;$B$6,0,SUMIF(K24:K26,A110,N24:N26)+IF(A110=$B$6,N27,0))</f>
        <v/>
      </c>
      <c r="F110" s="14">
        <f>IF(A110&gt;$B$6,0,SUMIF(K24:K26,A110,O24:O26))</f>
        <v/>
      </c>
      <c r="G110" s="14">
        <f>G109+IF(A110&gt;$B$6,0,SUMIF(B24:B31,A110,G24:G31)+IF(A110=$B$6,G32,0))</f>
        <v/>
      </c>
      <c r="H110" s="14">
        <f>H109+IF(A110&gt;$B$6,0,SUMIF(K24:K26,A110,P24:P26)+IF(A110=$B$6,P27,0))</f>
        <v/>
      </c>
      <c r="I110">
        <f>IF(A110&gt;$B$6,0,SUMIF(B24:B31,A110,D24:D31)*$B$10)</f>
        <v/>
      </c>
      <c r="J110">
        <f>IF(A110&gt;$B$6,0,SUMIF(K24:K26,A110,M24:M26)*$B$10)</f>
        <v/>
      </c>
      <c r="M110" s="14">
        <f>C110+D110</f>
        <v/>
      </c>
      <c r="N110" s="14">
        <f>E110+F110</f>
        <v/>
      </c>
      <c r="AK110" t="n">
        <v>97</v>
      </c>
      <c r="AL110">
        <f>IFERROR(IF(AU110&lt;($AM$6-$AL$6)/($AN$6-$AL$6),$AL$6+SQRT(AU110*($AN$6-$AL$6)*($AM$6-$AL$6)),$AN$6-SQRT((1-AU110)*($AN$6-$AL$6)*($AN$6-$AM$6))),$AM$6)</f>
        <v/>
      </c>
      <c r="AM110">
        <f>IFERROR(IF(AV110&lt;($AM$7-$AL$7)/($AN$7-$AL$7),$AL$7+SQRT(AV110*($AN$7-$AL$7)*($AM$7-$AL$7)),$AN$7-SQRT((1-AV110)*($AN$7-$AL$7)*($AN$7-$AM$7))),$AM$7)</f>
        <v/>
      </c>
      <c r="AN110">
        <f>IFERROR(IF(AW110&lt;($AM$8-$AL$8)/($AN$8-$AL$8),$AL$8+SQRT(AW110*($AN$8-$AL$8)*($AM$8-$AL$8)),$AN$8-SQRT((1-AW110)*($AN$8-$AL$8)*($AN$8-$AM$8))),$AM$8)</f>
        <v/>
      </c>
      <c r="AO110">
        <f>IFERROR(IF(AX110&lt;($AM$9-$AL$9)/($AN$9-$AL$9),$AL$9+SQRT(AX110*($AN$9-$AL$9)*($AM$9-$AL$9)),$AN$9-SQRT((1-AX110)*($AN$9-$AL$9)*($AN$9-$AM$9))),$AM$9)</f>
        <v/>
      </c>
      <c r="AP110">
        <f>IFERROR(IF(AY110&lt;($AM$10-$AL$10)/($AN$10-$AL$10),$AL$10+SQRT(AY110*($AN$10-$AL$10)*($AM$10-$AL$10)),$AN$10-SQRT((1-AY110)*($AN$10-$AL$10)*($AN$10-$AM$10))),$AM$10)</f>
        <v/>
      </c>
      <c r="AQ110">
        <f>IFERROR(IF(AZ110&lt;($AM$11-$AL$11)/($AN$11-$AL$11),$AL$11+SQRT(AZ110*($AN$11-$AL$11)*($AM$11-$AL$11)),$AN$11-SQRT((1-AZ110)*($AN$11-$AL$11)*($AN$11-$AM$11))),$AM$11)</f>
        <v/>
      </c>
      <c r="AR110">
        <f>SUMPRODUCT((B24:B31&lt;=$B$6)*(C24:C31*AM110+D24:D31*AO110*$B$8*AQ110)/(1+AL110/100)^B24:B31)+C32*AM110*AP110/(1+AL110/100)^$B$6</f>
        <v/>
      </c>
      <c r="AS110">
        <f>SUMPRODUCT((K24:K26&lt;=$B$6)*(L24:L26*AN110+M24:M26*AO110*$B$8*AQ110)/(1+AL110/100)^K24:K26)+L27*AN110*AP110/(1+AL110/100)^$B$6</f>
        <v/>
      </c>
      <c r="AT110">
        <f>AS110-AR110</f>
        <v/>
      </c>
      <c r="AU110">
        <f>RAND()</f>
        <v/>
      </c>
      <c r="AV110">
        <f>RAND()</f>
        <v/>
      </c>
      <c r="AW110">
        <f>RAND()</f>
        <v/>
      </c>
      <c r="AX110">
        <f>RAND()</f>
        <v/>
      </c>
      <c r="AY110">
        <f>RAND()</f>
        <v/>
      </c>
      <c r="AZ110">
        <f>RAND()</f>
        <v/>
      </c>
    </row>
    <row r="111">
      <c r="A111" t="n">
        <v>17</v>
      </c>
      <c r="B111">
        <f>$B$7+A111</f>
        <v/>
      </c>
      <c r="C111" s="14">
        <f>IF(A111&gt;$B$6,0,SUMIF(B24:B31,A111,E24:E31)+IF(A111=$B$6,E32,0))</f>
        <v/>
      </c>
      <c r="D111" s="14">
        <f>IF(A111&gt;$B$6,0,SUMIF(B24:B31,A111,F24:F31))</f>
        <v/>
      </c>
      <c r="E111" s="14">
        <f>IF(A111&gt;$B$6,0,SUMIF(K24:K26,A111,N24:N26)+IF(A111=$B$6,N27,0))</f>
        <v/>
      </c>
      <c r="F111" s="14">
        <f>IF(A111&gt;$B$6,0,SUMIF(K24:K26,A111,O24:O26))</f>
        <v/>
      </c>
      <c r="G111" s="14">
        <f>G110+IF(A111&gt;$B$6,0,SUMIF(B24:B31,A111,G24:G31)+IF(A111=$B$6,G32,0))</f>
        <v/>
      </c>
      <c r="H111" s="14">
        <f>H110+IF(A111&gt;$B$6,0,SUMIF(K24:K26,A111,P24:P26)+IF(A111=$B$6,P27,0))</f>
        <v/>
      </c>
      <c r="I111">
        <f>IF(A111&gt;$B$6,0,SUMIF(B24:B31,A111,D24:D31)*$B$10)</f>
        <v/>
      </c>
      <c r="J111">
        <f>IF(A111&gt;$B$6,0,SUMIF(K24:K26,A111,M24:M26)*$B$10)</f>
        <v/>
      </c>
      <c r="M111" s="14">
        <f>C111+D111</f>
        <v/>
      </c>
      <c r="N111" s="14">
        <f>E111+F111</f>
        <v/>
      </c>
      <c r="AK111" t="n">
        <v>98</v>
      </c>
      <c r="AL111">
        <f>IFERROR(IF(AU111&lt;($AM$6-$AL$6)/($AN$6-$AL$6),$AL$6+SQRT(AU111*($AN$6-$AL$6)*($AM$6-$AL$6)),$AN$6-SQRT((1-AU111)*($AN$6-$AL$6)*($AN$6-$AM$6))),$AM$6)</f>
        <v/>
      </c>
      <c r="AM111">
        <f>IFERROR(IF(AV111&lt;($AM$7-$AL$7)/($AN$7-$AL$7),$AL$7+SQRT(AV111*($AN$7-$AL$7)*($AM$7-$AL$7)),$AN$7-SQRT((1-AV111)*($AN$7-$AL$7)*($AN$7-$AM$7))),$AM$7)</f>
        <v/>
      </c>
      <c r="AN111">
        <f>IFERROR(IF(AW111&lt;($AM$8-$AL$8)/($AN$8-$AL$8),$AL$8+SQRT(AW111*($AN$8-$AL$8)*($AM$8-$AL$8)),$AN$8-SQRT((1-AW111)*($AN$8-$AL$8)*($AN$8-$AM$8))),$AM$8)</f>
        <v/>
      </c>
      <c r="AO111">
        <f>IFERROR(IF(AX111&lt;($AM$9-$AL$9)/($AN$9-$AL$9),$AL$9+SQRT(AX111*($AN$9-$AL$9)*($AM$9-$AL$9)),$AN$9-SQRT((1-AX111)*($AN$9-$AL$9)*($AN$9-$AM$9))),$AM$9)</f>
        <v/>
      </c>
      <c r="AP111">
        <f>IFERROR(IF(AY111&lt;($AM$10-$AL$10)/($AN$10-$AL$10),$AL$10+SQRT(AY111*($AN$10-$AL$10)*($AM$10-$AL$10)),$AN$10-SQRT((1-AY111)*($AN$10-$AL$10)*($AN$10-$AM$10))),$AM$10)</f>
        <v/>
      </c>
      <c r="AQ111">
        <f>IFERROR(IF(AZ111&lt;($AM$11-$AL$11)/($AN$11-$AL$11),$AL$11+SQRT(AZ111*($AN$11-$AL$11)*($AM$11-$AL$11)),$AN$11-SQRT((1-AZ111)*($AN$11-$AL$11)*($AN$11-$AM$11))),$AM$11)</f>
        <v/>
      </c>
      <c r="AR111">
        <f>SUMPRODUCT((B24:B31&lt;=$B$6)*(C24:C31*AM111+D24:D31*AO111*$B$8*AQ111)/(1+AL111/100)^B24:B31)+C32*AM111*AP111/(1+AL111/100)^$B$6</f>
        <v/>
      </c>
      <c r="AS111">
        <f>SUMPRODUCT((K24:K26&lt;=$B$6)*(L24:L26*AN111+M24:M26*AO111*$B$8*AQ111)/(1+AL111/100)^K24:K26)+L27*AN111*AP111/(1+AL111/100)^$B$6</f>
        <v/>
      </c>
      <c r="AT111">
        <f>AS111-AR111</f>
        <v/>
      </c>
      <c r="AU111">
        <f>RAND()</f>
        <v/>
      </c>
      <c r="AV111">
        <f>RAND()</f>
        <v/>
      </c>
      <c r="AW111">
        <f>RAND()</f>
        <v/>
      </c>
      <c r="AX111">
        <f>RAND()</f>
        <v/>
      </c>
      <c r="AY111">
        <f>RAND()</f>
        <v/>
      </c>
      <c r="AZ111">
        <f>RAND()</f>
        <v/>
      </c>
    </row>
    <row r="112">
      <c r="A112" t="n">
        <v>18</v>
      </c>
      <c r="B112">
        <f>$B$7+A112</f>
        <v/>
      </c>
      <c r="C112" s="14">
        <f>IF(A112&gt;$B$6,0,SUMIF(B24:B31,A112,E24:E31)+IF(A112=$B$6,E32,0))</f>
        <v/>
      </c>
      <c r="D112" s="14">
        <f>IF(A112&gt;$B$6,0,SUMIF(B24:B31,A112,F24:F31))</f>
        <v/>
      </c>
      <c r="E112" s="14">
        <f>IF(A112&gt;$B$6,0,SUMIF(K24:K26,A112,N24:N26)+IF(A112=$B$6,N27,0))</f>
        <v/>
      </c>
      <c r="F112" s="14">
        <f>IF(A112&gt;$B$6,0,SUMIF(K24:K26,A112,O24:O26))</f>
        <v/>
      </c>
      <c r="G112" s="14">
        <f>G111+IF(A112&gt;$B$6,0,SUMIF(B24:B31,A112,G24:G31)+IF(A112=$B$6,G32,0))</f>
        <v/>
      </c>
      <c r="H112" s="14">
        <f>H111+IF(A112&gt;$B$6,0,SUMIF(K24:K26,A112,P24:P26)+IF(A112=$B$6,P27,0))</f>
        <v/>
      </c>
      <c r="I112">
        <f>IF(A112&gt;$B$6,0,SUMIF(B24:B31,A112,D24:D31)*$B$10)</f>
        <v/>
      </c>
      <c r="J112">
        <f>IF(A112&gt;$B$6,0,SUMIF(K24:K26,A112,M24:M26)*$B$10)</f>
        <v/>
      </c>
      <c r="M112" s="14">
        <f>C112+D112</f>
        <v/>
      </c>
      <c r="N112" s="14">
        <f>E112+F112</f>
        <v/>
      </c>
      <c r="AK112" t="n">
        <v>99</v>
      </c>
      <c r="AL112">
        <f>IFERROR(IF(AU112&lt;($AM$6-$AL$6)/($AN$6-$AL$6),$AL$6+SQRT(AU112*($AN$6-$AL$6)*($AM$6-$AL$6)),$AN$6-SQRT((1-AU112)*($AN$6-$AL$6)*($AN$6-$AM$6))),$AM$6)</f>
        <v/>
      </c>
      <c r="AM112">
        <f>IFERROR(IF(AV112&lt;($AM$7-$AL$7)/($AN$7-$AL$7),$AL$7+SQRT(AV112*($AN$7-$AL$7)*($AM$7-$AL$7)),$AN$7-SQRT((1-AV112)*($AN$7-$AL$7)*($AN$7-$AM$7))),$AM$7)</f>
        <v/>
      </c>
      <c r="AN112">
        <f>IFERROR(IF(AW112&lt;($AM$8-$AL$8)/($AN$8-$AL$8),$AL$8+SQRT(AW112*($AN$8-$AL$8)*($AM$8-$AL$8)),$AN$8-SQRT((1-AW112)*($AN$8-$AL$8)*($AN$8-$AM$8))),$AM$8)</f>
        <v/>
      </c>
      <c r="AO112">
        <f>IFERROR(IF(AX112&lt;($AM$9-$AL$9)/($AN$9-$AL$9),$AL$9+SQRT(AX112*($AN$9-$AL$9)*($AM$9-$AL$9)),$AN$9-SQRT((1-AX112)*($AN$9-$AL$9)*($AN$9-$AM$9))),$AM$9)</f>
        <v/>
      </c>
      <c r="AP112">
        <f>IFERROR(IF(AY112&lt;($AM$10-$AL$10)/($AN$10-$AL$10),$AL$10+SQRT(AY112*($AN$10-$AL$10)*($AM$10-$AL$10)),$AN$10-SQRT((1-AY112)*($AN$10-$AL$10)*($AN$10-$AM$10))),$AM$10)</f>
        <v/>
      </c>
      <c r="AQ112">
        <f>IFERROR(IF(AZ112&lt;($AM$11-$AL$11)/($AN$11-$AL$11),$AL$11+SQRT(AZ112*($AN$11-$AL$11)*($AM$11-$AL$11)),$AN$11-SQRT((1-AZ112)*($AN$11-$AL$11)*($AN$11-$AM$11))),$AM$11)</f>
        <v/>
      </c>
      <c r="AR112">
        <f>SUMPRODUCT((B24:B31&lt;=$B$6)*(C24:C31*AM112+D24:D31*AO112*$B$8*AQ112)/(1+AL112/100)^B24:B31)+C32*AM112*AP112/(1+AL112/100)^$B$6</f>
        <v/>
      </c>
      <c r="AS112">
        <f>SUMPRODUCT((K24:K26&lt;=$B$6)*(L24:L26*AN112+M24:M26*AO112*$B$8*AQ112)/(1+AL112/100)^K24:K26)+L27*AN112*AP112/(1+AL112/100)^$B$6</f>
        <v/>
      </c>
      <c r="AT112">
        <f>AS112-AR112</f>
        <v/>
      </c>
      <c r="AU112">
        <f>RAND()</f>
        <v/>
      </c>
      <c r="AV112">
        <f>RAND()</f>
        <v/>
      </c>
      <c r="AW112">
        <f>RAND()</f>
        <v/>
      </c>
      <c r="AX112">
        <f>RAND()</f>
        <v/>
      </c>
      <c r="AY112">
        <f>RAND()</f>
        <v/>
      </c>
      <c r="AZ112">
        <f>RAND()</f>
        <v/>
      </c>
    </row>
    <row r="113">
      <c r="A113" t="n">
        <v>19</v>
      </c>
      <c r="B113">
        <f>$B$7+A113</f>
        <v/>
      </c>
      <c r="C113" s="14">
        <f>IF(A113&gt;$B$6,0,SUMIF(B24:B31,A113,E24:E31)+IF(A113=$B$6,E32,0))</f>
        <v/>
      </c>
      <c r="D113" s="14">
        <f>IF(A113&gt;$B$6,0,SUMIF(B24:B31,A113,F24:F31))</f>
        <v/>
      </c>
      <c r="E113" s="14">
        <f>IF(A113&gt;$B$6,0,SUMIF(K24:K26,A113,N24:N26)+IF(A113=$B$6,N27,0))</f>
        <v/>
      </c>
      <c r="F113" s="14">
        <f>IF(A113&gt;$B$6,0,SUMIF(K24:K26,A113,O24:O26))</f>
        <v/>
      </c>
      <c r="G113" s="14">
        <f>G112+IF(A113&gt;$B$6,0,SUMIF(B24:B31,A113,G24:G31)+IF(A113=$B$6,G32,0))</f>
        <v/>
      </c>
      <c r="H113" s="14">
        <f>H112+IF(A113&gt;$B$6,0,SUMIF(K24:K26,A113,P24:P26)+IF(A113=$B$6,P27,0))</f>
        <v/>
      </c>
      <c r="I113">
        <f>IF(A113&gt;$B$6,0,SUMIF(B24:B31,A113,D24:D31)*$B$10)</f>
        <v/>
      </c>
      <c r="J113">
        <f>IF(A113&gt;$B$6,0,SUMIF(K24:K26,A113,M24:M26)*$B$10)</f>
        <v/>
      </c>
      <c r="M113" s="14">
        <f>C113+D113</f>
        <v/>
      </c>
      <c r="N113" s="14">
        <f>E113+F113</f>
        <v/>
      </c>
      <c r="AK113" t="n">
        <v>100</v>
      </c>
      <c r="AL113">
        <f>IFERROR(IF(AU113&lt;($AM$6-$AL$6)/($AN$6-$AL$6),$AL$6+SQRT(AU113*($AN$6-$AL$6)*($AM$6-$AL$6)),$AN$6-SQRT((1-AU113)*($AN$6-$AL$6)*($AN$6-$AM$6))),$AM$6)</f>
        <v/>
      </c>
      <c r="AM113">
        <f>IFERROR(IF(AV113&lt;($AM$7-$AL$7)/($AN$7-$AL$7),$AL$7+SQRT(AV113*($AN$7-$AL$7)*($AM$7-$AL$7)),$AN$7-SQRT((1-AV113)*($AN$7-$AL$7)*($AN$7-$AM$7))),$AM$7)</f>
        <v/>
      </c>
      <c r="AN113">
        <f>IFERROR(IF(AW113&lt;($AM$8-$AL$8)/($AN$8-$AL$8),$AL$8+SQRT(AW113*($AN$8-$AL$8)*($AM$8-$AL$8)),$AN$8-SQRT((1-AW113)*($AN$8-$AL$8)*($AN$8-$AM$8))),$AM$8)</f>
        <v/>
      </c>
      <c r="AO113">
        <f>IFERROR(IF(AX113&lt;($AM$9-$AL$9)/($AN$9-$AL$9),$AL$9+SQRT(AX113*($AN$9-$AL$9)*($AM$9-$AL$9)),$AN$9-SQRT((1-AX113)*($AN$9-$AL$9)*($AN$9-$AM$9))),$AM$9)</f>
        <v/>
      </c>
      <c r="AP113">
        <f>IFERROR(IF(AY113&lt;($AM$10-$AL$10)/($AN$10-$AL$10),$AL$10+SQRT(AY113*($AN$10-$AL$10)*($AM$10-$AL$10)),$AN$10-SQRT((1-AY113)*($AN$10-$AL$10)*($AN$10-$AM$10))),$AM$10)</f>
        <v/>
      </c>
      <c r="AQ113">
        <f>IFERROR(IF(AZ113&lt;($AM$11-$AL$11)/($AN$11-$AL$11),$AL$11+SQRT(AZ113*($AN$11-$AL$11)*($AM$11-$AL$11)),$AN$11-SQRT((1-AZ113)*($AN$11-$AL$11)*($AN$11-$AM$11))),$AM$11)</f>
        <v/>
      </c>
      <c r="AR113">
        <f>SUMPRODUCT((B24:B31&lt;=$B$6)*(C24:C31*AM113+D24:D31*AO113*$B$8*AQ113)/(1+AL113/100)^B24:B31)+C32*AM113*AP113/(1+AL113/100)^$B$6</f>
        <v/>
      </c>
      <c r="AS113">
        <f>SUMPRODUCT((K24:K26&lt;=$B$6)*(L24:L26*AN113+M24:M26*AO113*$B$8*AQ113)/(1+AL113/100)^K24:K26)+L27*AN113*AP113/(1+AL113/100)^$B$6</f>
        <v/>
      </c>
      <c r="AT113">
        <f>AS113-AR113</f>
        <v/>
      </c>
      <c r="AU113">
        <f>RAND()</f>
        <v/>
      </c>
      <c r="AV113">
        <f>RAND()</f>
        <v/>
      </c>
      <c r="AW113">
        <f>RAND()</f>
        <v/>
      </c>
      <c r="AX113">
        <f>RAND()</f>
        <v/>
      </c>
      <c r="AY113">
        <f>RAND()</f>
        <v/>
      </c>
      <c r="AZ113">
        <f>RAND()</f>
        <v/>
      </c>
    </row>
    <row r="114">
      <c r="A114" t="n">
        <v>20</v>
      </c>
      <c r="B114">
        <f>$B$7+A114</f>
        <v/>
      </c>
      <c r="C114" s="14">
        <f>IF(A114&gt;$B$6,0,SUMIF(B24:B31,A114,E24:E31)+IF(A114=$B$6,E32,0))</f>
        <v/>
      </c>
      <c r="D114" s="14">
        <f>IF(A114&gt;$B$6,0,SUMIF(B24:B31,A114,F24:F31))</f>
        <v/>
      </c>
      <c r="E114" s="14">
        <f>IF(A114&gt;$B$6,0,SUMIF(K24:K26,A114,N24:N26)+IF(A114=$B$6,N27,0))</f>
        <v/>
      </c>
      <c r="F114" s="14">
        <f>IF(A114&gt;$B$6,0,SUMIF(K24:K26,A114,O24:O26))</f>
        <v/>
      </c>
      <c r="G114" s="14">
        <f>G113+IF(A114&gt;$B$6,0,SUMIF(B24:B31,A114,G24:G31)+IF(A114=$B$6,G32,0))</f>
        <v/>
      </c>
      <c r="H114" s="14">
        <f>H113+IF(A114&gt;$B$6,0,SUMIF(K24:K26,A114,P24:P26)+IF(A114=$B$6,P27,0))</f>
        <v/>
      </c>
      <c r="I114">
        <f>IF(A114&gt;$B$6,0,SUMIF(B24:B31,A114,D24:D31)*$B$10)</f>
        <v/>
      </c>
      <c r="J114">
        <f>IF(A114&gt;$B$6,0,SUMIF(K24:K26,A114,M24:M26)*$B$10)</f>
        <v/>
      </c>
      <c r="M114" s="14">
        <f>C114+D114</f>
        <v/>
      </c>
      <c r="N114" s="14">
        <f>E114+F114</f>
        <v/>
      </c>
      <c r="AK114" t="n">
        <v>101</v>
      </c>
      <c r="AL114">
        <f>IFERROR(IF(AU114&lt;($AM$6-$AL$6)/($AN$6-$AL$6),$AL$6+SQRT(AU114*($AN$6-$AL$6)*($AM$6-$AL$6)),$AN$6-SQRT((1-AU114)*($AN$6-$AL$6)*($AN$6-$AM$6))),$AM$6)</f>
        <v/>
      </c>
      <c r="AM114">
        <f>IFERROR(IF(AV114&lt;($AM$7-$AL$7)/($AN$7-$AL$7),$AL$7+SQRT(AV114*($AN$7-$AL$7)*($AM$7-$AL$7)),$AN$7-SQRT((1-AV114)*($AN$7-$AL$7)*($AN$7-$AM$7))),$AM$7)</f>
        <v/>
      </c>
      <c r="AN114">
        <f>IFERROR(IF(AW114&lt;($AM$8-$AL$8)/($AN$8-$AL$8),$AL$8+SQRT(AW114*($AN$8-$AL$8)*($AM$8-$AL$8)),$AN$8-SQRT((1-AW114)*($AN$8-$AL$8)*($AN$8-$AM$8))),$AM$8)</f>
        <v/>
      </c>
      <c r="AO114">
        <f>IFERROR(IF(AX114&lt;($AM$9-$AL$9)/($AN$9-$AL$9),$AL$9+SQRT(AX114*($AN$9-$AL$9)*($AM$9-$AL$9)),$AN$9-SQRT((1-AX114)*($AN$9-$AL$9)*($AN$9-$AM$9))),$AM$9)</f>
        <v/>
      </c>
      <c r="AP114">
        <f>IFERROR(IF(AY114&lt;($AM$10-$AL$10)/($AN$10-$AL$10),$AL$10+SQRT(AY114*($AN$10-$AL$10)*($AM$10-$AL$10)),$AN$10-SQRT((1-AY114)*($AN$10-$AL$10)*($AN$10-$AM$10))),$AM$10)</f>
        <v/>
      </c>
      <c r="AQ114">
        <f>IFERROR(IF(AZ114&lt;($AM$11-$AL$11)/($AN$11-$AL$11),$AL$11+SQRT(AZ114*($AN$11-$AL$11)*($AM$11-$AL$11)),$AN$11-SQRT((1-AZ114)*($AN$11-$AL$11)*($AN$11-$AM$11))),$AM$11)</f>
        <v/>
      </c>
      <c r="AR114">
        <f>SUMPRODUCT((B24:B31&lt;=$B$6)*(C24:C31*AM114+D24:D31*AO114*$B$8*AQ114)/(1+AL114/100)^B24:B31)+C32*AM114*AP114/(1+AL114/100)^$B$6</f>
        <v/>
      </c>
      <c r="AS114">
        <f>SUMPRODUCT((K24:K26&lt;=$B$6)*(L24:L26*AN114+M24:M26*AO114*$B$8*AQ114)/(1+AL114/100)^K24:K26)+L27*AN114*AP114/(1+AL114/100)^$B$6</f>
        <v/>
      </c>
      <c r="AT114">
        <f>AS114-AR114</f>
        <v/>
      </c>
      <c r="AU114">
        <f>RAND()</f>
        <v/>
      </c>
      <c r="AV114">
        <f>RAND()</f>
        <v/>
      </c>
      <c r="AW114">
        <f>RAND()</f>
        <v/>
      </c>
      <c r="AX114">
        <f>RAND()</f>
        <v/>
      </c>
      <c r="AY114">
        <f>RAND()</f>
        <v/>
      </c>
      <c r="AZ114">
        <f>RAND()</f>
        <v/>
      </c>
    </row>
    <row r="115">
      <c r="A115" t="n">
        <v>21</v>
      </c>
      <c r="B115">
        <f>$B$7+A115</f>
        <v/>
      </c>
      <c r="C115" s="14">
        <f>IF(A115&gt;$B$6,0,SUMIF(B24:B31,A115,E24:E31)+IF(A115=$B$6,E32,0))</f>
        <v/>
      </c>
      <c r="D115" s="14">
        <f>IF(A115&gt;$B$6,0,SUMIF(B24:B31,A115,F24:F31))</f>
        <v/>
      </c>
      <c r="E115" s="14">
        <f>IF(A115&gt;$B$6,0,SUMIF(K24:K26,A115,N24:N26)+IF(A115=$B$6,N27,0))</f>
        <v/>
      </c>
      <c r="F115" s="14">
        <f>IF(A115&gt;$B$6,0,SUMIF(K24:K26,A115,O24:O26))</f>
        <v/>
      </c>
      <c r="G115" s="14">
        <f>G114+IF(A115&gt;$B$6,0,SUMIF(B24:B31,A115,G24:G31)+IF(A115=$B$6,G32,0))</f>
        <v/>
      </c>
      <c r="H115" s="14">
        <f>H114+IF(A115&gt;$B$6,0,SUMIF(K24:K26,A115,P24:P26)+IF(A115=$B$6,P27,0))</f>
        <v/>
      </c>
      <c r="I115">
        <f>IF(A115&gt;$B$6,0,SUMIF(B24:B31,A115,D24:D31)*$B$10)</f>
        <v/>
      </c>
      <c r="J115">
        <f>IF(A115&gt;$B$6,0,SUMIF(K24:K26,A115,M24:M26)*$B$10)</f>
        <v/>
      </c>
      <c r="M115" s="14">
        <f>C115+D115</f>
        <v/>
      </c>
      <c r="N115" s="14">
        <f>E115+F115</f>
        <v/>
      </c>
      <c r="AK115" t="n">
        <v>102</v>
      </c>
      <c r="AL115">
        <f>IFERROR(IF(AU115&lt;($AM$6-$AL$6)/($AN$6-$AL$6),$AL$6+SQRT(AU115*($AN$6-$AL$6)*($AM$6-$AL$6)),$AN$6-SQRT((1-AU115)*($AN$6-$AL$6)*($AN$6-$AM$6))),$AM$6)</f>
        <v/>
      </c>
      <c r="AM115">
        <f>IFERROR(IF(AV115&lt;($AM$7-$AL$7)/($AN$7-$AL$7),$AL$7+SQRT(AV115*($AN$7-$AL$7)*($AM$7-$AL$7)),$AN$7-SQRT((1-AV115)*($AN$7-$AL$7)*($AN$7-$AM$7))),$AM$7)</f>
        <v/>
      </c>
      <c r="AN115">
        <f>IFERROR(IF(AW115&lt;($AM$8-$AL$8)/($AN$8-$AL$8),$AL$8+SQRT(AW115*($AN$8-$AL$8)*($AM$8-$AL$8)),$AN$8-SQRT((1-AW115)*($AN$8-$AL$8)*($AN$8-$AM$8))),$AM$8)</f>
        <v/>
      </c>
      <c r="AO115">
        <f>IFERROR(IF(AX115&lt;($AM$9-$AL$9)/($AN$9-$AL$9),$AL$9+SQRT(AX115*($AN$9-$AL$9)*($AM$9-$AL$9)),$AN$9-SQRT((1-AX115)*($AN$9-$AL$9)*($AN$9-$AM$9))),$AM$9)</f>
        <v/>
      </c>
      <c r="AP115">
        <f>IFERROR(IF(AY115&lt;($AM$10-$AL$10)/($AN$10-$AL$10),$AL$10+SQRT(AY115*($AN$10-$AL$10)*($AM$10-$AL$10)),$AN$10-SQRT((1-AY115)*($AN$10-$AL$10)*($AN$10-$AM$10))),$AM$10)</f>
        <v/>
      </c>
      <c r="AQ115">
        <f>IFERROR(IF(AZ115&lt;($AM$11-$AL$11)/($AN$11-$AL$11),$AL$11+SQRT(AZ115*($AN$11-$AL$11)*($AM$11-$AL$11)),$AN$11-SQRT((1-AZ115)*($AN$11-$AL$11)*($AN$11-$AM$11))),$AM$11)</f>
        <v/>
      </c>
      <c r="AR115">
        <f>SUMPRODUCT((B24:B31&lt;=$B$6)*(C24:C31*AM115+D24:D31*AO115*$B$8*AQ115)/(1+AL115/100)^B24:B31)+C32*AM115*AP115/(1+AL115/100)^$B$6</f>
        <v/>
      </c>
      <c r="AS115">
        <f>SUMPRODUCT((K24:K26&lt;=$B$6)*(L24:L26*AN115+M24:M26*AO115*$B$8*AQ115)/(1+AL115/100)^K24:K26)+L27*AN115*AP115/(1+AL115/100)^$B$6</f>
        <v/>
      </c>
      <c r="AT115">
        <f>AS115-AR115</f>
        <v/>
      </c>
      <c r="AU115">
        <f>RAND()</f>
        <v/>
      </c>
      <c r="AV115">
        <f>RAND()</f>
        <v/>
      </c>
      <c r="AW115">
        <f>RAND()</f>
        <v/>
      </c>
      <c r="AX115">
        <f>RAND()</f>
        <v/>
      </c>
      <c r="AY115">
        <f>RAND()</f>
        <v/>
      </c>
      <c r="AZ115">
        <f>RAND()</f>
        <v/>
      </c>
    </row>
    <row r="116">
      <c r="A116" t="n">
        <v>22</v>
      </c>
      <c r="B116">
        <f>$B$7+A116</f>
        <v/>
      </c>
      <c r="C116" s="14">
        <f>IF(A116&gt;$B$6,0,SUMIF(B24:B31,A116,E24:E31)+IF(A116=$B$6,E32,0))</f>
        <v/>
      </c>
      <c r="D116" s="14">
        <f>IF(A116&gt;$B$6,0,SUMIF(B24:B31,A116,F24:F31))</f>
        <v/>
      </c>
      <c r="E116" s="14">
        <f>IF(A116&gt;$B$6,0,SUMIF(K24:K26,A116,N24:N26)+IF(A116=$B$6,N27,0))</f>
        <v/>
      </c>
      <c r="F116" s="14">
        <f>IF(A116&gt;$B$6,0,SUMIF(K24:K26,A116,O24:O26))</f>
        <v/>
      </c>
      <c r="G116" s="14">
        <f>G115+IF(A116&gt;$B$6,0,SUMIF(B24:B31,A116,G24:G31)+IF(A116=$B$6,G32,0))</f>
        <v/>
      </c>
      <c r="H116" s="14">
        <f>H115+IF(A116&gt;$B$6,0,SUMIF(K24:K26,A116,P24:P26)+IF(A116=$B$6,P27,0))</f>
        <v/>
      </c>
      <c r="I116">
        <f>IF(A116&gt;$B$6,0,SUMIF(B24:B31,A116,D24:D31)*$B$10)</f>
        <v/>
      </c>
      <c r="J116">
        <f>IF(A116&gt;$B$6,0,SUMIF(K24:K26,A116,M24:M26)*$B$10)</f>
        <v/>
      </c>
      <c r="M116" s="14">
        <f>C116+D116</f>
        <v/>
      </c>
      <c r="N116" s="14">
        <f>E116+F116</f>
        <v/>
      </c>
      <c r="AK116" t="n">
        <v>103</v>
      </c>
      <c r="AL116">
        <f>IFERROR(IF(AU116&lt;($AM$6-$AL$6)/($AN$6-$AL$6),$AL$6+SQRT(AU116*($AN$6-$AL$6)*($AM$6-$AL$6)),$AN$6-SQRT((1-AU116)*($AN$6-$AL$6)*($AN$6-$AM$6))),$AM$6)</f>
        <v/>
      </c>
      <c r="AM116">
        <f>IFERROR(IF(AV116&lt;($AM$7-$AL$7)/($AN$7-$AL$7),$AL$7+SQRT(AV116*($AN$7-$AL$7)*($AM$7-$AL$7)),$AN$7-SQRT((1-AV116)*($AN$7-$AL$7)*($AN$7-$AM$7))),$AM$7)</f>
        <v/>
      </c>
      <c r="AN116">
        <f>IFERROR(IF(AW116&lt;($AM$8-$AL$8)/($AN$8-$AL$8),$AL$8+SQRT(AW116*($AN$8-$AL$8)*($AM$8-$AL$8)),$AN$8-SQRT((1-AW116)*($AN$8-$AL$8)*($AN$8-$AM$8))),$AM$8)</f>
        <v/>
      </c>
      <c r="AO116">
        <f>IFERROR(IF(AX116&lt;($AM$9-$AL$9)/($AN$9-$AL$9),$AL$9+SQRT(AX116*($AN$9-$AL$9)*($AM$9-$AL$9)),$AN$9-SQRT((1-AX116)*($AN$9-$AL$9)*($AN$9-$AM$9))),$AM$9)</f>
        <v/>
      </c>
      <c r="AP116">
        <f>IFERROR(IF(AY116&lt;($AM$10-$AL$10)/($AN$10-$AL$10),$AL$10+SQRT(AY116*($AN$10-$AL$10)*($AM$10-$AL$10)),$AN$10-SQRT((1-AY116)*($AN$10-$AL$10)*($AN$10-$AM$10))),$AM$10)</f>
        <v/>
      </c>
      <c r="AQ116">
        <f>IFERROR(IF(AZ116&lt;($AM$11-$AL$11)/($AN$11-$AL$11),$AL$11+SQRT(AZ116*($AN$11-$AL$11)*($AM$11-$AL$11)),$AN$11-SQRT((1-AZ116)*($AN$11-$AL$11)*($AN$11-$AM$11))),$AM$11)</f>
        <v/>
      </c>
      <c r="AR116">
        <f>SUMPRODUCT((B24:B31&lt;=$B$6)*(C24:C31*AM116+D24:D31*AO116*$B$8*AQ116)/(1+AL116/100)^B24:B31)+C32*AM116*AP116/(1+AL116/100)^$B$6</f>
        <v/>
      </c>
      <c r="AS116">
        <f>SUMPRODUCT((K24:K26&lt;=$B$6)*(L24:L26*AN116+M24:M26*AO116*$B$8*AQ116)/(1+AL116/100)^K24:K26)+L27*AN116*AP116/(1+AL116/100)^$B$6</f>
        <v/>
      </c>
      <c r="AT116">
        <f>AS116-AR116</f>
        <v/>
      </c>
      <c r="AU116">
        <f>RAND()</f>
        <v/>
      </c>
      <c r="AV116">
        <f>RAND()</f>
        <v/>
      </c>
      <c r="AW116">
        <f>RAND()</f>
        <v/>
      </c>
      <c r="AX116">
        <f>RAND()</f>
        <v/>
      </c>
      <c r="AY116">
        <f>RAND()</f>
        <v/>
      </c>
      <c r="AZ116">
        <f>RAND()</f>
        <v/>
      </c>
    </row>
    <row r="117">
      <c r="A117" t="n">
        <v>23</v>
      </c>
      <c r="B117">
        <f>$B$7+A117</f>
        <v/>
      </c>
      <c r="C117" s="14">
        <f>IF(A117&gt;$B$6,0,SUMIF(B24:B31,A117,E24:E31)+IF(A117=$B$6,E32,0))</f>
        <v/>
      </c>
      <c r="D117" s="14">
        <f>IF(A117&gt;$B$6,0,SUMIF(B24:B31,A117,F24:F31))</f>
        <v/>
      </c>
      <c r="E117" s="14">
        <f>IF(A117&gt;$B$6,0,SUMIF(K24:K26,A117,N24:N26)+IF(A117=$B$6,N27,0))</f>
        <v/>
      </c>
      <c r="F117" s="14">
        <f>IF(A117&gt;$B$6,0,SUMIF(K24:K26,A117,O24:O26))</f>
        <v/>
      </c>
      <c r="G117" s="14">
        <f>G116+IF(A117&gt;$B$6,0,SUMIF(B24:B31,A117,G24:G31)+IF(A117=$B$6,G32,0))</f>
        <v/>
      </c>
      <c r="H117" s="14">
        <f>H116+IF(A117&gt;$B$6,0,SUMIF(K24:K26,A117,P24:P26)+IF(A117=$B$6,P27,0))</f>
        <v/>
      </c>
      <c r="I117">
        <f>IF(A117&gt;$B$6,0,SUMIF(B24:B31,A117,D24:D31)*$B$10)</f>
        <v/>
      </c>
      <c r="J117">
        <f>IF(A117&gt;$B$6,0,SUMIF(K24:K26,A117,M24:M26)*$B$10)</f>
        <v/>
      </c>
      <c r="M117" s="14">
        <f>C117+D117</f>
        <v/>
      </c>
      <c r="N117" s="14">
        <f>E117+F117</f>
        <v/>
      </c>
      <c r="AK117" t="n">
        <v>104</v>
      </c>
      <c r="AL117">
        <f>IFERROR(IF(AU117&lt;($AM$6-$AL$6)/($AN$6-$AL$6),$AL$6+SQRT(AU117*($AN$6-$AL$6)*($AM$6-$AL$6)),$AN$6-SQRT((1-AU117)*($AN$6-$AL$6)*($AN$6-$AM$6))),$AM$6)</f>
        <v/>
      </c>
      <c r="AM117">
        <f>IFERROR(IF(AV117&lt;($AM$7-$AL$7)/($AN$7-$AL$7),$AL$7+SQRT(AV117*($AN$7-$AL$7)*($AM$7-$AL$7)),$AN$7-SQRT((1-AV117)*($AN$7-$AL$7)*($AN$7-$AM$7))),$AM$7)</f>
        <v/>
      </c>
      <c r="AN117">
        <f>IFERROR(IF(AW117&lt;($AM$8-$AL$8)/($AN$8-$AL$8),$AL$8+SQRT(AW117*($AN$8-$AL$8)*($AM$8-$AL$8)),$AN$8-SQRT((1-AW117)*($AN$8-$AL$8)*($AN$8-$AM$8))),$AM$8)</f>
        <v/>
      </c>
      <c r="AO117">
        <f>IFERROR(IF(AX117&lt;($AM$9-$AL$9)/($AN$9-$AL$9),$AL$9+SQRT(AX117*($AN$9-$AL$9)*($AM$9-$AL$9)),$AN$9-SQRT((1-AX117)*($AN$9-$AL$9)*($AN$9-$AM$9))),$AM$9)</f>
        <v/>
      </c>
      <c r="AP117">
        <f>IFERROR(IF(AY117&lt;($AM$10-$AL$10)/($AN$10-$AL$10),$AL$10+SQRT(AY117*($AN$10-$AL$10)*($AM$10-$AL$10)),$AN$10-SQRT((1-AY117)*($AN$10-$AL$10)*($AN$10-$AM$10))),$AM$10)</f>
        <v/>
      </c>
      <c r="AQ117">
        <f>IFERROR(IF(AZ117&lt;($AM$11-$AL$11)/($AN$11-$AL$11),$AL$11+SQRT(AZ117*($AN$11-$AL$11)*($AM$11-$AL$11)),$AN$11-SQRT((1-AZ117)*($AN$11-$AL$11)*($AN$11-$AM$11))),$AM$11)</f>
        <v/>
      </c>
      <c r="AR117">
        <f>SUMPRODUCT((B24:B31&lt;=$B$6)*(C24:C31*AM117+D24:D31*AO117*$B$8*AQ117)/(1+AL117/100)^B24:B31)+C32*AM117*AP117/(1+AL117/100)^$B$6</f>
        <v/>
      </c>
      <c r="AS117">
        <f>SUMPRODUCT((K24:K26&lt;=$B$6)*(L24:L26*AN117+M24:M26*AO117*$B$8*AQ117)/(1+AL117/100)^K24:K26)+L27*AN117*AP117/(1+AL117/100)^$B$6</f>
        <v/>
      </c>
      <c r="AT117">
        <f>AS117-AR117</f>
        <v/>
      </c>
      <c r="AU117">
        <f>RAND()</f>
        <v/>
      </c>
      <c r="AV117">
        <f>RAND()</f>
        <v/>
      </c>
      <c r="AW117">
        <f>RAND()</f>
        <v/>
      </c>
      <c r="AX117">
        <f>RAND()</f>
        <v/>
      </c>
      <c r="AY117">
        <f>RAND()</f>
        <v/>
      </c>
      <c r="AZ117">
        <f>RAND()</f>
        <v/>
      </c>
    </row>
    <row r="118">
      <c r="A118" t="n">
        <v>24</v>
      </c>
      <c r="B118">
        <f>$B$7+A118</f>
        <v/>
      </c>
      <c r="C118" s="14">
        <f>IF(A118&gt;$B$6,0,SUMIF(B24:B31,A118,E24:E31)+IF(A118=$B$6,E32,0))</f>
        <v/>
      </c>
      <c r="D118" s="14">
        <f>IF(A118&gt;$B$6,0,SUMIF(B24:B31,A118,F24:F31))</f>
        <v/>
      </c>
      <c r="E118" s="14">
        <f>IF(A118&gt;$B$6,0,SUMIF(K24:K26,A118,N24:N26)+IF(A118=$B$6,N27,0))</f>
        <v/>
      </c>
      <c r="F118" s="14">
        <f>IF(A118&gt;$B$6,0,SUMIF(K24:K26,A118,O24:O26))</f>
        <v/>
      </c>
      <c r="G118" s="14">
        <f>G117+IF(A118&gt;$B$6,0,SUMIF(B24:B31,A118,G24:G31)+IF(A118=$B$6,G32,0))</f>
        <v/>
      </c>
      <c r="H118" s="14">
        <f>H117+IF(A118&gt;$B$6,0,SUMIF(K24:K26,A118,P24:P26)+IF(A118=$B$6,P27,0))</f>
        <v/>
      </c>
      <c r="I118">
        <f>IF(A118&gt;$B$6,0,SUMIF(B24:B31,A118,D24:D31)*$B$10)</f>
        <v/>
      </c>
      <c r="J118">
        <f>IF(A118&gt;$B$6,0,SUMIF(K24:K26,A118,M24:M26)*$B$10)</f>
        <v/>
      </c>
      <c r="M118" s="14">
        <f>C118+D118</f>
        <v/>
      </c>
      <c r="N118" s="14">
        <f>E118+F118</f>
        <v/>
      </c>
      <c r="AK118" t="n">
        <v>105</v>
      </c>
      <c r="AL118">
        <f>IFERROR(IF(AU118&lt;($AM$6-$AL$6)/($AN$6-$AL$6),$AL$6+SQRT(AU118*($AN$6-$AL$6)*($AM$6-$AL$6)),$AN$6-SQRT((1-AU118)*($AN$6-$AL$6)*($AN$6-$AM$6))),$AM$6)</f>
        <v/>
      </c>
      <c r="AM118">
        <f>IFERROR(IF(AV118&lt;($AM$7-$AL$7)/($AN$7-$AL$7),$AL$7+SQRT(AV118*($AN$7-$AL$7)*($AM$7-$AL$7)),$AN$7-SQRT((1-AV118)*($AN$7-$AL$7)*($AN$7-$AM$7))),$AM$7)</f>
        <v/>
      </c>
      <c r="AN118">
        <f>IFERROR(IF(AW118&lt;($AM$8-$AL$8)/($AN$8-$AL$8),$AL$8+SQRT(AW118*($AN$8-$AL$8)*($AM$8-$AL$8)),$AN$8-SQRT((1-AW118)*($AN$8-$AL$8)*($AN$8-$AM$8))),$AM$8)</f>
        <v/>
      </c>
      <c r="AO118">
        <f>IFERROR(IF(AX118&lt;($AM$9-$AL$9)/($AN$9-$AL$9),$AL$9+SQRT(AX118*($AN$9-$AL$9)*($AM$9-$AL$9)),$AN$9-SQRT((1-AX118)*($AN$9-$AL$9)*($AN$9-$AM$9))),$AM$9)</f>
        <v/>
      </c>
      <c r="AP118">
        <f>IFERROR(IF(AY118&lt;($AM$10-$AL$10)/($AN$10-$AL$10),$AL$10+SQRT(AY118*($AN$10-$AL$10)*($AM$10-$AL$10)),$AN$10-SQRT((1-AY118)*($AN$10-$AL$10)*($AN$10-$AM$10))),$AM$10)</f>
        <v/>
      </c>
      <c r="AQ118">
        <f>IFERROR(IF(AZ118&lt;($AM$11-$AL$11)/($AN$11-$AL$11),$AL$11+SQRT(AZ118*($AN$11-$AL$11)*($AM$11-$AL$11)),$AN$11-SQRT((1-AZ118)*($AN$11-$AL$11)*($AN$11-$AM$11))),$AM$11)</f>
        <v/>
      </c>
      <c r="AR118">
        <f>SUMPRODUCT((B24:B31&lt;=$B$6)*(C24:C31*AM118+D24:D31*AO118*$B$8*AQ118)/(1+AL118/100)^B24:B31)+C32*AM118*AP118/(1+AL118/100)^$B$6</f>
        <v/>
      </c>
      <c r="AS118">
        <f>SUMPRODUCT((K24:K26&lt;=$B$6)*(L24:L26*AN118+M24:M26*AO118*$B$8*AQ118)/(1+AL118/100)^K24:K26)+L27*AN118*AP118/(1+AL118/100)^$B$6</f>
        <v/>
      </c>
      <c r="AT118">
        <f>AS118-AR118</f>
        <v/>
      </c>
      <c r="AU118">
        <f>RAND()</f>
        <v/>
      </c>
      <c r="AV118">
        <f>RAND()</f>
        <v/>
      </c>
      <c r="AW118">
        <f>RAND()</f>
        <v/>
      </c>
      <c r="AX118">
        <f>RAND()</f>
        <v/>
      </c>
      <c r="AY118">
        <f>RAND()</f>
        <v/>
      </c>
      <c r="AZ118">
        <f>RAND()</f>
        <v/>
      </c>
    </row>
    <row r="119">
      <c r="A119" t="n">
        <v>25</v>
      </c>
      <c r="B119">
        <f>$B$7+A119</f>
        <v/>
      </c>
      <c r="C119" s="14">
        <f>IF(A119&gt;$B$6,0,SUMIF(B24:B31,A119,E24:E31)+IF(A119=$B$6,E32,0))</f>
        <v/>
      </c>
      <c r="D119" s="14">
        <f>IF(A119&gt;$B$6,0,SUMIF(B24:B31,A119,F24:F31))</f>
        <v/>
      </c>
      <c r="E119" s="14">
        <f>IF(A119&gt;$B$6,0,SUMIF(K24:K26,A119,N24:N26)+IF(A119=$B$6,N27,0))</f>
        <v/>
      </c>
      <c r="F119" s="14">
        <f>IF(A119&gt;$B$6,0,SUMIF(K24:K26,A119,O24:O26))</f>
        <v/>
      </c>
      <c r="G119" s="14">
        <f>G118+IF(A119&gt;$B$6,0,SUMIF(B24:B31,A119,G24:G31)+IF(A119=$B$6,G32,0))</f>
        <v/>
      </c>
      <c r="H119" s="14">
        <f>H118+IF(A119&gt;$B$6,0,SUMIF(K24:K26,A119,P24:P26)+IF(A119=$B$6,P27,0))</f>
        <v/>
      </c>
      <c r="I119">
        <f>IF(A119&gt;$B$6,0,SUMIF(B24:B31,A119,D24:D31)*$B$10)</f>
        <v/>
      </c>
      <c r="J119">
        <f>IF(A119&gt;$B$6,0,SUMIF(K24:K26,A119,M24:M26)*$B$10)</f>
        <v/>
      </c>
      <c r="M119" s="14">
        <f>C119+D119</f>
        <v/>
      </c>
      <c r="N119" s="14">
        <f>E119+F119</f>
        <v/>
      </c>
      <c r="AK119" t="n">
        <v>106</v>
      </c>
      <c r="AL119">
        <f>IFERROR(IF(AU119&lt;($AM$6-$AL$6)/($AN$6-$AL$6),$AL$6+SQRT(AU119*($AN$6-$AL$6)*($AM$6-$AL$6)),$AN$6-SQRT((1-AU119)*($AN$6-$AL$6)*($AN$6-$AM$6))),$AM$6)</f>
        <v/>
      </c>
      <c r="AM119">
        <f>IFERROR(IF(AV119&lt;($AM$7-$AL$7)/($AN$7-$AL$7),$AL$7+SQRT(AV119*($AN$7-$AL$7)*($AM$7-$AL$7)),$AN$7-SQRT((1-AV119)*($AN$7-$AL$7)*($AN$7-$AM$7))),$AM$7)</f>
        <v/>
      </c>
      <c r="AN119">
        <f>IFERROR(IF(AW119&lt;($AM$8-$AL$8)/($AN$8-$AL$8),$AL$8+SQRT(AW119*($AN$8-$AL$8)*($AM$8-$AL$8)),$AN$8-SQRT((1-AW119)*($AN$8-$AL$8)*($AN$8-$AM$8))),$AM$8)</f>
        <v/>
      </c>
      <c r="AO119">
        <f>IFERROR(IF(AX119&lt;($AM$9-$AL$9)/($AN$9-$AL$9),$AL$9+SQRT(AX119*($AN$9-$AL$9)*($AM$9-$AL$9)),$AN$9-SQRT((1-AX119)*($AN$9-$AL$9)*($AN$9-$AM$9))),$AM$9)</f>
        <v/>
      </c>
      <c r="AP119">
        <f>IFERROR(IF(AY119&lt;($AM$10-$AL$10)/($AN$10-$AL$10),$AL$10+SQRT(AY119*($AN$10-$AL$10)*($AM$10-$AL$10)),$AN$10-SQRT((1-AY119)*($AN$10-$AL$10)*($AN$10-$AM$10))),$AM$10)</f>
        <v/>
      </c>
      <c r="AQ119">
        <f>IFERROR(IF(AZ119&lt;($AM$11-$AL$11)/($AN$11-$AL$11),$AL$11+SQRT(AZ119*($AN$11-$AL$11)*($AM$11-$AL$11)),$AN$11-SQRT((1-AZ119)*($AN$11-$AL$11)*($AN$11-$AM$11))),$AM$11)</f>
        <v/>
      </c>
      <c r="AR119">
        <f>SUMPRODUCT((B24:B31&lt;=$B$6)*(C24:C31*AM119+D24:D31*AO119*$B$8*AQ119)/(1+AL119/100)^B24:B31)+C32*AM119*AP119/(1+AL119/100)^$B$6</f>
        <v/>
      </c>
      <c r="AS119">
        <f>SUMPRODUCT((K24:K26&lt;=$B$6)*(L24:L26*AN119+M24:M26*AO119*$B$8*AQ119)/(1+AL119/100)^K24:K26)+L27*AN119*AP119/(1+AL119/100)^$B$6</f>
        <v/>
      </c>
      <c r="AT119">
        <f>AS119-AR119</f>
        <v/>
      </c>
      <c r="AU119">
        <f>RAND()</f>
        <v/>
      </c>
      <c r="AV119">
        <f>RAND()</f>
        <v/>
      </c>
      <c r="AW119">
        <f>RAND()</f>
        <v/>
      </c>
      <c r="AX119">
        <f>RAND()</f>
        <v/>
      </c>
      <c r="AY119">
        <f>RAND()</f>
        <v/>
      </c>
      <c r="AZ119">
        <f>RAND()</f>
        <v/>
      </c>
    </row>
    <row r="120">
      <c r="A120" t="n">
        <v>26</v>
      </c>
      <c r="B120">
        <f>$B$7+A120</f>
        <v/>
      </c>
      <c r="C120" s="14">
        <f>IF(A120&gt;$B$6,0,SUMIF(B24:B31,A120,E24:E31)+IF(A120=$B$6,E32,0))</f>
        <v/>
      </c>
      <c r="D120" s="14">
        <f>IF(A120&gt;$B$6,0,SUMIF(B24:B31,A120,F24:F31))</f>
        <v/>
      </c>
      <c r="E120" s="14">
        <f>IF(A120&gt;$B$6,0,SUMIF(K24:K26,A120,N24:N26)+IF(A120=$B$6,N27,0))</f>
        <v/>
      </c>
      <c r="F120" s="14">
        <f>IF(A120&gt;$B$6,0,SUMIF(K24:K26,A120,O24:O26))</f>
        <v/>
      </c>
      <c r="G120" s="14">
        <f>G119+IF(A120&gt;$B$6,0,SUMIF(B24:B31,A120,G24:G31)+IF(A120=$B$6,G32,0))</f>
        <v/>
      </c>
      <c r="H120" s="14">
        <f>H119+IF(A120&gt;$B$6,0,SUMIF(K24:K26,A120,P24:P26)+IF(A120=$B$6,P27,0))</f>
        <v/>
      </c>
      <c r="I120">
        <f>IF(A120&gt;$B$6,0,SUMIF(B24:B31,A120,D24:D31)*$B$10)</f>
        <v/>
      </c>
      <c r="J120">
        <f>IF(A120&gt;$B$6,0,SUMIF(K24:K26,A120,M24:M26)*$B$10)</f>
        <v/>
      </c>
      <c r="M120" s="14">
        <f>C120+D120</f>
        <v/>
      </c>
      <c r="N120" s="14">
        <f>E120+F120</f>
        <v/>
      </c>
      <c r="AK120" t="n">
        <v>107</v>
      </c>
      <c r="AL120">
        <f>IFERROR(IF(AU120&lt;($AM$6-$AL$6)/($AN$6-$AL$6),$AL$6+SQRT(AU120*($AN$6-$AL$6)*($AM$6-$AL$6)),$AN$6-SQRT((1-AU120)*($AN$6-$AL$6)*($AN$6-$AM$6))),$AM$6)</f>
        <v/>
      </c>
      <c r="AM120">
        <f>IFERROR(IF(AV120&lt;($AM$7-$AL$7)/($AN$7-$AL$7),$AL$7+SQRT(AV120*($AN$7-$AL$7)*($AM$7-$AL$7)),$AN$7-SQRT((1-AV120)*($AN$7-$AL$7)*($AN$7-$AM$7))),$AM$7)</f>
        <v/>
      </c>
      <c r="AN120">
        <f>IFERROR(IF(AW120&lt;($AM$8-$AL$8)/($AN$8-$AL$8),$AL$8+SQRT(AW120*($AN$8-$AL$8)*($AM$8-$AL$8)),$AN$8-SQRT((1-AW120)*($AN$8-$AL$8)*($AN$8-$AM$8))),$AM$8)</f>
        <v/>
      </c>
      <c r="AO120">
        <f>IFERROR(IF(AX120&lt;($AM$9-$AL$9)/($AN$9-$AL$9),$AL$9+SQRT(AX120*($AN$9-$AL$9)*($AM$9-$AL$9)),$AN$9-SQRT((1-AX120)*($AN$9-$AL$9)*($AN$9-$AM$9))),$AM$9)</f>
        <v/>
      </c>
      <c r="AP120">
        <f>IFERROR(IF(AY120&lt;($AM$10-$AL$10)/($AN$10-$AL$10),$AL$10+SQRT(AY120*($AN$10-$AL$10)*($AM$10-$AL$10)),$AN$10-SQRT((1-AY120)*($AN$10-$AL$10)*($AN$10-$AM$10))),$AM$10)</f>
        <v/>
      </c>
      <c r="AQ120">
        <f>IFERROR(IF(AZ120&lt;($AM$11-$AL$11)/($AN$11-$AL$11),$AL$11+SQRT(AZ120*($AN$11-$AL$11)*($AM$11-$AL$11)),$AN$11-SQRT((1-AZ120)*($AN$11-$AL$11)*($AN$11-$AM$11))),$AM$11)</f>
        <v/>
      </c>
      <c r="AR120">
        <f>SUMPRODUCT((B24:B31&lt;=$B$6)*(C24:C31*AM120+D24:D31*AO120*$B$8*AQ120)/(1+AL120/100)^B24:B31)+C32*AM120*AP120/(1+AL120/100)^$B$6</f>
        <v/>
      </c>
      <c r="AS120">
        <f>SUMPRODUCT((K24:K26&lt;=$B$6)*(L24:L26*AN120+M24:M26*AO120*$B$8*AQ120)/(1+AL120/100)^K24:K26)+L27*AN120*AP120/(1+AL120/100)^$B$6</f>
        <v/>
      </c>
      <c r="AT120">
        <f>AS120-AR120</f>
        <v/>
      </c>
      <c r="AU120">
        <f>RAND()</f>
        <v/>
      </c>
      <c r="AV120">
        <f>RAND()</f>
        <v/>
      </c>
      <c r="AW120">
        <f>RAND()</f>
        <v/>
      </c>
      <c r="AX120">
        <f>RAND()</f>
        <v/>
      </c>
      <c r="AY120">
        <f>RAND()</f>
        <v/>
      </c>
      <c r="AZ120">
        <f>RAND()</f>
        <v/>
      </c>
    </row>
    <row r="121">
      <c r="A121" t="n">
        <v>27</v>
      </c>
      <c r="B121">
        <f>$B$7+A121</f>
        <v/>
      </c>
      <c r="C121" s="14">
        <f>IF(A121&gt;$B$6,0,SUMIF(B24:B31,A121,E24:E31)+IF(A121=$B$6,E32,0))</f>
        <v/>
      </c>
      <c r="D121" s="14">
        <f>IF(A121&gt;$B$6,0,SUMIF(B24:B31,A121,F24:F31))</f>
        <v/>
      </c>
      <c r="E121" s="14">
        <f>IF(A121&gt;$B$6,0,SUMIF(K24:K26,A121,N24:N26)+IF(A121=$B$6,N27,0))</f>
        <v/>
      </c>
      <c r="F121" s="14">
        <f>IF(A121&gt;$B$6,0,SUMIF(K24:K26,A121,O24:O26))</f>
        <v/>
      </c>
      <c r="G121" s="14">
        <f>G120+IF(A121&gt;$B$6,0,SUMIF(B24:B31,A121,G24:G31)+IF(A121=$B$6,G32,0))</f>
        <v/>
      </c>
      <c r="H121" s="14">
        <f>H120+IF(A121&gt;$B$6,0,SUMIF(K24:K26,A121,P24:P26)+IF(A121=$B$6,P27,0))</f>
        <v/>
      </c>
      <c r="I121">
        <f>IF(A121&gt;$B$6,0,SUMIF(B24:B31,A121,D24:D31)*$B$10)</f>
        <v/>
      </c>
      <c r="J121">
        <f>IF(A121&gt;$B$6,0,SUMIF(K24:K26,A121,M24:M26)*$B$10)</f>
        <v/>
      </c>
      <c r="M121" s="14">
        <f>C121+D121</f>
        <v/>
      </c>
      <c r="N121" s="14">
        <f>E121+F121</f>
        <v/>
      </c>
      <c r="AK121" t="n">
        <v>108</v>
      </c>
      <c r="AL121">
        <f>IFERROR(IF(AU121&lt;($AM$6-$AL$6)/($AN$6-$AL$6),$AL$6+SQRT(AU121*($AN$6-$AL$6)*($AM$6-$AL$6)),$AN$6-SQRT((1-AU121)*($AN$6-$AL$6)*($AN$6-$AM$6))),$AM$6)</f>
        <v/>
      </c>
      <c r="AM121">
        <f>IFERROR(IF(AV121&lt;($AM$7-$AL$7)/($AN$7-$AL$7),$AL$7+SQRT(AV121*($AN$7-$AL$7)*($AM$7-$AL$7)),$AN$7-SQRT((1-AV121)*($AN$7-$AL$7)*($AN$7-$AM$7))),$AM$7)</f>
        <v/>
      </c>
      <c r="AN121">
        <f>IFERROR(IF(AW121&lt;($AM$8-$AL$8)/($AN$8-$AL$8),$AL$8+SQRT(AW121*($AN$8-$AL$8)*($AM$8-$AL$8)),$AN$8-SQRT((1-AW121)*($AN$8-$AL$8)*($AN$8-$AM$8))),$AM$8)</f>
        <v/>
      </c>
      <c r="AO121">
        <f>IFERROR(IF(AX121&lt;($AM$9-$AL$9)/($AN$9-$AL$9),$AL$9+SQRT(AX121*($AN$9-$AL$9)*($AM$9-$AL$9)),$AN$9-SQRT((1-AX121)*($AN$9-$AL$9)*($AN$9-$AM$9))),$AM$9)</f>
        <v/>
      </c>
      <c r="AP121">
        <f>IFERROR(IF(AY121&lt;($AM$10-$AL$10)/($AN$10-$AL$10),$AL$10+SQRT(AY121*($AN$10-$AL$10)*($AM$10-$AL$10)),$AN$10-SQRT((1-AY121)*($AN$10-$AL$10)*($AN$10-$AM$10))),$AM$10)</f>
        <v/>
      </c>
      <c r="AQ121">
        <f>IFERROR(IF(AZ121&lt;($AM$11-$AL$11)/($AN$11-$AL$11),$AL$11+SQRT(AZ121*($AN$11-$AL$11)*($AM$11-$AL$11)),$AN$11-SQRT((1-AZ121)*($AN$11-$AL$11)*($AN$11-$AM$11))),$AM$11)</f>
        <v/>
      </c>
      <c r="AR121">
        <f>SUMPRODUCT((B24:B31&lt;=$B$6)*(C24:C31*AM121+D24:D31*AO121*$B$8*AQ121)/(1+AL121/100)^B24:B31)+C32*AM121*AP121/(1+AL121/100)^$B$6</f>
        <v/>
      </c>
      <c r="AS121">
        <f>SUMPRODUCT((K24:K26&lt;=$B$6)*(L24:L26*AN121+M24:M26*AO121*$B$8*AQ121)/(1+AL121/100)^K24:K26)+L27*AN121*AP121/(1+AL121/100)^$B$6</f>
        <v/>
      </c>
      <c r="AT121">
        <f>AS121-AR121</f>
        <v/>
      </c>
      <c r="AU121">
        <f>RAND()</f>
        <v/>
      </c>
      <c r="AV121">
        <f>RAND()</f>
        <v/>
      </c>
      <c r="AW121">
        <f>RAND()</f>
        <v/>
      </c>
      <c r="AX121">
        <f>RAND()</f>
        <v/>
      </c>
      <c r="AY121">
        <f>RAND()</f>
        <v/>
      </c>
      <c r="AZ121">
        <f>RAND()</f>
        <v/>
      </c>
    </row>
    <row r="122">
      <c r="A122" t="n">
        <v>28</v>
      </c>
      <c r="B122">
        <f>$B$7+A122</f>
        <v/>
      </c>
      <c r="C122" s="14">
        <f>IF(A122&gt;$B$6,0,SUMIF(B24:B31,A122,E24:E31)+IF(A122=$B$6,E32,0))</f>
        <v/>
      </c>
      <c r="D122" s="14">
        <f>IF(A122&gt;$B$6,0,SUMIF(B24:B31,A122,F24:F31))</f>
        <v/>
      </c>
      <c r="E122" s="14">
        <f>IF(A122&gt;$B$6,0,SUMIF(K24:K26,A122,N24:N26)+IF(A122=$B$6,N27,0))</f>
        <v/>
      </c>
      <c r="F122" s="14">
        <f>IF(A122&gt;$B$6,0,SUMIF(K24:K26,A122,O24:O26))</f>
        <v/>
      </c>
      <c r="G122" s="14">
        <f>G121+IF(A122&gt;$B$6,0,SUMIF(B24:B31,A122,G24:G31)+IF(A122=$B$6,G32,0))</f>
        <v/>
      </c>
      <c r="H122" s="14">
        <f>H121+IF(A122&gt;$B$6,0,SUMIF(K24:K26,A122,P24:P26)+IF(A122=$B$6,P27,0))</f>
        <v/>
      </c>
      <c r="I122">
        <f>IF(A122&gt;$B$6,0,SUMIF(B24:B31,A122,D24:D31)*$B$10)</f>
        <v/>
      </c>
      <c r="J122">
        <f>IF(A122&gt;$B$6,0,SUMIF(K24:K26,A122,M24:M26)*$B$10)</f>
        <v/>
      </c>
      <c r="M122" s="14">
        <f>C122+D122</f>
        <v/>
      </c>
      <c r="N122" s="14">
        <f>E122+F122</f>
        <v/>
      </c>
      <c r="AK122" t="n">
        <v>109</v>
      </c>
      <c r="AL122">
        <f>IFERROR(IF(AU122&lt;($AM$6-$AL$6)/($AN$6-$AL$6),$AL$6+SQRT(AU122*($AN$6-$AL$6)*($AM$6-$AL$6)),$AN$6-SQRT((1-AU122)*($AN$6-$AL$6)*($AN$6-$AM$6))),$AM$6)</f>
        <v/>
      </c>
      <c r="AM122">
        <f>IFERROR(IF(AV122&lt;($AM$7-$AL$7)/($AN$7-$AL$7),$AL$7+SQRT(AV122*($AN$7-$AL$7)*($AM$7-$AL$7)),$AN$7-SQRT((1-AV122)*($AN$7-$AL$7)*($AN$7-$AM$7))),$AM$7)</f>
        <v/>
      </c>
      <c r="AN122">
        <f>IFERROR(IF(AW122&lt;($AM$8-$AL$8)/($AN$8-$AL$8),$AL$8+SQRT(AW122*($AN$8-$AL$8)*($AM$8-$AL$8)),$AN$8-SQRT((1-AW122)*($AN$8-$AL$8)*($AN$8-$AM$8))),$AM$8)</f>
        <v/>
      </c>
      <c r="AO122">
        <f>IFERROR(IF(AX122&lt;($AM$9-$AL$9)/($AN$9-$AL$9),$AL$9+SQRT(AX122*($AN$9-$AL$9)*($AM$9-$AL$9)),$AN$9-SQRT((1-AX122)*($AN$9-$AL$9)*($AN$9-$AM$9))),$AM$9)</f>
        <v/>
      </c>
      <c r="AP122">
        <f>IFERROR(IF(AY122&lt;($AM$10-$AL$10)/($AN$10-$AL$10),$AL$10+SQRT(AY122*($AN$10-$AL$10)*($AM$10-$AL$10)),$AN$10-SQRT((1-AY122)*($AN$10-$AL$10)*($AN$10-$AM$10))),$AM$10)</f>
        <v/>
      </c>
      <c r="AQ122">
        <f>IFERROR(IF(AZ122&lt;($AM$11-$AL$11)/($AN$11-$AL$11),$AL$11+SQRT(AZ122*($AN$11-$AL$11)*($AM$11-$AL$11)),$AN$11-SQRT((1-AZ122)*($AN$11-$AL$11)*($AN$11-$AM$11))),$AM$11)</f>
        <v/>
      </c>
      <c r="AR122">
        <f>SUMPRODUCT((B24:B31&lt;=$B$6)*(C24:C31*AM122+D24:D31*AO122*$B$8*AQ122)/(1+AL122/100)^B24:B31)+C32*AM122*AP122/(1+AL122/100)^$B$6</f>
        <v/>
      </c>
      <c r="AS122">
        <f>SUMPRODUCT((K24:K26&lt;=$B$6)*(L24:L26*AN122+M24:M26*AO122*$B$8*AQ122)/(1+AL122/100)^K24:K26)+L27*AN122*AP122/(1+AL122/100)^$B$6</f>
        <v/>
      </c>
      <c r="AT122">
        <f>AS122-AR122</f>
        <v/>
      </c>
      <c r="AU122">
        <f>RAND()</f>
        <v/>
      </c>
      <c r="AV122">
        <f>RAND()</f>
        <v/>
      </c>
      <c r="AW122">
        <f>RAND()</f>
        <v/>
      </c>
      <c r="AX122">
        <f>RAND()</f>
        <v/>
      </c>
      <c r="AY122">
        <f>RAND()</f>
        <v/>
      </c>
      <c r="AZ122">
        <f>RAND()</f>
        <v/>
      </c>
    </row>
    <row r="123">
      <c r="A123" t="n">
        <v>29</v>
      </c>
      <c r="B123">
        <f>$B$7+A123</f>
        <v/>
      </c>
      <c r="C123" s="14">
        <f>IF(A123&gt;$B$6,0,SUMIF(B24:B31,A123,E24:E31)+IF(A123=$B$6,E32,0))</f>
        <v/>
      </c>
      <c r="D123" s="14">
        <f>IF(A123&gt;$B$6,0,SUMIF(B24:B31,A123,F24:F31))</f>
        <v/>
      </c>
      <c r="E123" s="14">
        <f>IF(A123&gt;$B$6,0,SUMIF(K24:K26,A123,N24:N26)+IF(A123=$B$6,N27,0))</f>
        <v/>
      </c>
      <c r="F123" s="14">
        <f>IF(A123&gt;$B$6,0,SUMIF(K24:K26,A123,O24:O26))</f>
        <v/>
      </c>
      <c r="G123" s="14">
        <f>G122+IF(A123&gt;$B$6,0,SUMIF(B24:B31,A123,G24:G31)+IF(A123=$B$6,G32,0))</f>
        <v/>
      </c>
      <c r="H123" s="14">
        <f>H122+IF(A123&gt;$B$6,0,SUMIF(K24:K26,A123,P24:P26)+IF(A123=$B$6,P27,0))</f>
        <v/>
      </c>
      <c r="I123">
        <f>IF(A123&gt;$B$6,0,SUMIF(B24:B31,A123,D24:D31)*$B$10)</f>
        <v/>
      </c>
      <c r="J123">
        <f>IF(A123&gt;$B$6,0,SUMIF(K24:K26,A123,M24:M26)*$B$10)</f>
        <v/>
      </c>
      <c r="M123" s="14">
        <f>C123+D123</f>
        <v/>
      </c>
      <c r="N123" s="14">
        <f>E123+F123</f>
        <v/>
      </c>
      <c r="AK123" t="n">
        <v>110</v>
      </c>
      <c r="AL123">
        <f>IFERROR(IF(AU123&lt;($AM$6-$AL$6)/($AN$6-$AL$6),$AL$6+SQRT(AU123*($AN$6-$AL$6)*($AM$6-$AL$6)),$AN$6-SQRT((1-AU123)*($AN$6-$AL$6)*($AN$6-$AM$6))),$AM$6)</f>
        <v/>
      </c>
      <c r="AM123">
        <f>IFERROR(IF(AV123&lt;($AM$7-$AL$7)/($AN$7-$AL$7),$AL$7+SQRT(AV123*($AN$7-$AL$7)*($AM$7-$AL$7)),$AN$7-SQRT((1-AV123)*($AN$7-$AL$7)*($AN$7-$AM$7))),$AM$7)</f>
        <v/>
      </c>
      <c r="AN123">
        <f>IFERROR(IF(AW123&lt;($AM$8-$AL$8)/($AN$8-$AL$8),$AL$8+SQRT(AW123*($AN$8-$AL$8)*($AM$8-$AL$8)),$AN$8-SQRT((1-AW123)*($AN$8-$AL$8)*($AN$8-$AM$8))),$AM$8)</f>
        <v/>
      </c>
      <c r="AO123">
        <f>IFERROR(IF(AX123&lt;($AM$9-$AL$9)/($AN$9-$AL$9),$AL$9+SQRT(AX123*($AN$9-$AL$9)*($AM$9-$AL$9)),$AN$9-SQRT((1-AX123)*($AN$9-$AL$9)*($AN$9-$AM$9))),$AM$9)</f>
        <v/>
      </c>
      <c r="AP123">
        <f>IFERROR(IF(AY123&lt;($AM$10-$AL$10)/($AN$10-$AL$10),$AL$10+SQRT(AY123*($AN$10-$AL$10)*($AM$10-$AL$10)),$AN$10-SQRT((1-AY123)*($AN$10-$AL$10)*($AN$10-$AM$10))),$AM$10)</f>
        <v/>
      </c>
      <c r="AQ123">
        <f>IFERROR(IF(AZ123&lt;($AM$11-$AL$11)/($AN$11-$AL$11),$AL$11+SQRT(AZ123*($AN$11-$AL$11)*($AM$11-$AL$11)),$AN$11-SQRT((1-AZ123)*($AN$11-$AL$11)*($AN$11-$AM$11))),$AM$11)</f>
        <v/>
      </c>
      <c r="AR123">
        <f>SUMPRODUCT((B24:B31&lt;=$B$6)*(C24:C31*AM123+D24:D31*AO123*$B$8*AQ123)/(1+AL123/100)^B24:B31)+C32*AM123*AP123/(1+AL123/100)^$B$6</f>
        <v/>
      </c>
      <c r="AS123">
        <f>SUMPRODUCT((K24:K26&lt;=$B$6)*(L24:L26*AN123+M24:M26*AO123*$B$8*AQ123)/(1+AL123/100)^K24:K26)+L27*AN123*AP123/(1+AL123/100)^$B$6</f>
        <v/>
      </c>
      <c r="AT123">
        <f>AS123-AR123</f>
        <v/>
      </c>
      <c r="AU123">
        <f>RAND()</f>
        <v/>
      </c>
      <c r="AV123">
        <f>RAND()</f>
        <v/>
      </c>
      <c r="AW123">
        <f>RAND()</f>
        <v/>
      </c>
      <c r="AX123">
        <f>RAND()</f>
        <v/>
      </c>
      <c r="AY123">
        <f>RAND()</f>
        <v/>
      </c>
      <c r="AZ123">
        <f>RAND()</f>
        <v/>
      </c>
    </row>
    <row r="124">
      <c r="A124" t="n">
        <v>30</v>
      </c>
      <c r="B124">
        <f>$B$7+A124</f>
        <v/>
      </c>
      <c r="C124" s="14">
        <f>IF(A124&gt;$B$6,0,SUMIF(B24:B31,A124,E24:E31)+IF(A124=$B$6,E32,0))</f>
        <v/>
      </c>
      <c r="D124" s="14">
        <f>IF(A124&gt;$B$6,0,SUMIF(B24:B31,A124,F24:F31))</f>
        <v/>
      </c>
      <c r="E124" s="14">
        <f>IF(A124&gt;$B$6,0,SUMIF(K24:K26,A124,N24:N26)+IF(A124=$B$6,N27,0))</f>
        <v/>
      </c>
      <c r="F124" s="14">
        <f>IF(A124&gt;$B$6,0,SUMIF(K24:K26,A124,O24:O26))</f>
        <v/>
      </c>
      <c r="G124" s="14">
        <f>G123+IF(A124&gt;$B$6,0,SUMIF(B24:B31,A124,G24:G31)+IF(A124=$B$6,G32,0))</f>
        <v/>
      </c>
      <c r="H124" s="14">
        <f>H123+IF(A124&gt;$B$6,0,SUMIF(K24:K26,A124,P24:P26)+IF(A124=$B$6,P27,0))</f>
        <v/>
      </c>
      <c r="I124">
        <f>IF(A124&gt;$B$6,0,SUMIF(B24:B31,A124,D24:D31)*$B$10)</f>
        <v/>
      </c>
      <c r="J124">
        <f>IF(A124&gt;$B$6,0,SUMIF(K24:K26,A124,M24:M26)*$B$10)</f>
        <v/>
      </c>
      <c r="M124" s="14">
        <f>C124+D124</f>
        <v/>
      </c>
      <c r="N124" s="14">
        <f>E124+F124</f>
        <v/>
      </c>
      <c r="AK124" t="n">
        <v>111</v>
      </c>
      <c r="AL124">
        <f>IFERROR(IF(AU124&lt;($AM$6-$AL$6)/($AN$6-$AL$6),$AL$6+SQRT(AU124*($AN$6-$AL$6)*($AM$6-$AL$6)),$AN$6-SQRT((1-AU124)*($AN$6-$AL$6)*($AN$6-$AM$6))),$AM$6)</f>
        <v/>
      </c>
      <c r="AM124">
        <f>IFERROR(IF(AV124&lt;($AM$7-$AL$7)/($AN$7-$AL$7),$AL$7+SQRT(AV124*($AN$7-$AL$7)*($AM$7-$AL$7)),$AN$7-SQRT((1-AV124)*($AN$7-$AL$7)*($AN$7-$AM$7))),$AM$7)</f>
        <v/>
      </c>
      <c r="AN124">
        <f>IFERROR(IF(AW124&lt;($AM$8-$AL$8)/($AN$8-$AL$8),$AL$8+SQRT(AW124*($AN$8-$AL$8)*($AM$8-$AL$8)),$AN$8-SQRT((1-AW124)*($AN$8-$AL$8)*($AN$8-$AM$8))),$AM$8)</f>
        <v/>
      </c>
      <c r="AO124">
        <f>IFERROR(IF(AX124&lt;($AM$9-$AL$9)/($AN$9-$AL$9),$AL$9+SQRT(AX124*($AN$9-$AL$9)*($AM$9-$AL$9)),$AN$9-SQRT((1-AX124)*($AN$9-$AL$9)*($AN$9-$AM$9))),$AM$9)</f>
        <v/>
      </c>
      <c r="AP124">
        <f>IFERROR(IF(AY124&lt;($AM$10-$AL$10)/($AN$10-$AL$10),$AL$10+SQRT(AY124*($AN$10-$AL$10)*($AM$10-$AL$10)),$AN$10-SQRT((1-AY124)*($AN$10-$AL$10)*($AN$10-$AM$10))),$AM$10)</f>
        <v/>
      </c>
      <c r="AQ124">
        <f>IFERROR(IF(AZ124&lt;($AM$11-$AL$11)/($AN$11-$AL$11),$AL$11+SQRT(AZ124*($AN$11-$AL$11)*($AM$11-$AL$11)),$AN$11-SQRT((1-AZ124)*($AN$11-$AL$11)*($AN$11-$AM$11))),$AM$11)</f>
        <v/>
      </c>
      <c r="AR124">
        <f>SUMPRODUCT((B24:B31&lt;=$B$6)*(C24:C31*AM124+D24:D31*AO124*$B$8*AQ124)/(1+AL124/100)^B24:B31)+C32*AM124*AP124/(1+AL124/100)^$B$6</f>
        <v/>
      </c>
      <c r="AS124">
        <f>SUMPRODUCT((K24:K26&lt;=$B$6)*(L24:L26*AN124+M24:M26*AO124*$B$8*AQ124)/(1+AL124/100)^K24:K26)+L27*AN124*AP124/(1+AL124/100)^$B$6</f>
        <v/>
      </c>
      <c r="AT124">
        <f>AS124-AR124</f>
        <v/>
      </c>
      <c r="AU124">
        <f>RAND()</f>
        <v/>
      </c>
      <c r="AV124">
        <f>RAND()</f>
        <v/>
      </c>
      <c r="AW124">
        <f>RAND()</f>
        <v/>
      </c>
      <c r="AX124">
        <f>RAND()</f>
        <v/>
      </c>
      <c r="AY124">
        <f>RAND()</f>
        <v/>
      </c>
      <c r="AZ124">
        <f>RAND()</f>
        <v/>
      </c>
    </row>
    <row r="125">
      <c r="A125" s="7" t="inlineStr">
        <is>
          <t>Crossover year (cumulative PW lines cross)</t>
        </is>
      </c>
      <c r="B125">
        <f>IFERROR(INDEX($B$95:$B$124,MATCH(TRUE,INDEX(SIGN($H$95:$H$124-$G$95:$G$124)&lt;&gt;SIGN($H$94-$G$94),0),0)),"no crossover")</f>
        <v/>
      </c>
      <c r="AK125" t="n">
        <v>112</v>
      </c>
      <c r="AL125">
        <f>IFERROR(IF(AU125&lt;($AM$6-$AL$6)/($AN$6-$AL$6),$AL$6+SQRT(AU125*($AN$6-$AL$6)*($AM$6-$AL$6)),$AN$6-SQRT((1-AU125)*($AN$6-$AL$6)*($AN$6-$AM$6))),$AM$6)</f>
        <v/>
      </c>
      <c r="AM125">
        <f>IFERROR(IF(AV125&lt;($AM$7-$AL$7)/($AN$7-$AL$7),$AL$7+SQRT(AV125*($AN$7-$AL$7)*($AM$7-$AL$7)),$AN$7-SQRT((1-AV125)*($AN$7-$AL$7)*($AN$7-$AM$7))),$AM$7)</f>
        <v/>
      </c>
      <c r="AN125">
        <f>IFERROR(IF(AW125&lt;($AM$8-$AL$8)/($AN$8-$AL$8),$AL$8+SQRT(AW125*($AN$8-$AL$8)*($AM$8-$AL$8)),$AN$8-SQRT((1-AW125)*($AN$8-$AL$8)*($AN$8-$AM$8))),$AM$8)</f>
        <v/>
      </c>
      <c r="AO125">
        <f>IFERROR(IF(AX125&lt;($AM$9-$AL$9)/($AN$9-$AL$9),$AL$9+SQRT(AX125*($AN$9-$AL$9)*($AM$9-$AL$9)),$AN$9-SQRT((1-AX125)*($AN$9-$AL$9)*($AN$9-$AM$9))),$AM$9)</f>
        <v/>
      </c>
      <c r="AP125">
        <f>IFERROR(IF(AY125&lt;($AM$10-$AL$10)/($AN$10-$AL$10),$AL$10+SQRT(AY125*($AN$10-$AL$10)*($AM$10-$AL$10)),$AN$10-SQRT((1-AY125)*($AN$10-$AL$10)*($AN$10-$AM$10))),$AM$10)</f>
        <v/>
      </c>
      <c r="AQ125">
        <f>IFERROR(IF(AZ125&lt;($AM$11-$AL$11)/($AN$11-$AL$11),$AL$11+SQRT(AZ125*($AN$11-$AL$11)*($AM$11-$AL$11)),$AN$11-SQRT((1-AZ125)*($AN$11-$AL$11)*($AN$11-$AM$11))),$AM$11)</f>
        <v/>
      </c>
      <c r="AR125">
        <f>SUMPRODUCT((B24:B31&lt;=$B$6)*(C24:C31*AM125+D24:D31*AO125*$B$8*AQ125)/(1+AL125/100)^B24:B31)+C32*AM125*AP125/(1+AL125/100)^$B$6</f>
        <v/>
      </c>
      <c r="AS125">
        <f>SUMPRODUCT((K24:K26&lt;=$B$6)*(L24:L26*AN125+M24:M26*AO125*$B$8*AQ125)/(1+AL125/100)^K24:K26)+L27*AN125*AP125/(1+AL125/100)^$B$6</f>
        <v/>
      </c>
      <c r="AT125">
        <f>AS125-AR125</f>
        <v/>
      </c>
      <c r="AU125">
        <f>RAND()</f>
        <v/>
      </c>
      <c r="AV125">
        <f>RAND()</f>
        <v/>
      </c>
      <c r="AW125">
        <f>RAND()</f>
        <v/>
      </c>
      <c r="AX125">
        <f>RAND()</f>
        <v/>
      </c>
      <c r="AY125">
        <f>RAND()</f>
        <v/>
      </c>
      <c r="AZ125">
        <f>RAND()</f>
        <v/>
      </c>
    </row>
    <row r="126">
      <c r="AK126" t="n">
        <v>113</v>
      </c>
      <c r="AL126">
        <f>IFERROR(IF(AU126&lt;($AM$6-$AL$6)/($AN$6-$AL$6),$AL$6+SQRT(AU126*($AN$6-$AL$6)*($AM$6-$AL$6)),$AN$6-SQRT((1-AU126)*($AN$6-$AL$6)*($AN$6-$AM$6))),$AM$6)</f>
        <v/>
      </c>
      <c r="AM126">
        <f>IFERROR(IF(AV126&lt;($AM$7-$AL$7)/($AN$7-$AL$7),$AL$7+SQRT(AV126*($AN$7-$AL$7)*($AM$7-$AL$7)),$AN$7-SQRT((1-AV126)*($AN$7-$AL$7)*($AN$7-$AM$7))),$AM$7)</f>
        <v/>
      </c>
      <c r="AN126">
        <f>IFERROR(IF(AW126&lt;($AM$8-$AL$8)/($AN$8-$AL$8),$AL$8+SQRT(AW126*($AN$8-$AL$8)*($AM$8-$AL$8)),$AN$8-SQRT((1-AW126)*($AN$8-$AL$8)*($AN$8-$AM$8))),$AM$8)</f>
        <v/>
      </c>
      <c r="AO126">
        <f>IFERROR(IF(AX126&lt;($AM$9-$AL$9)/($AN$9-$AL$9),$AL$9+SQRT(AX126*($AN$9-$AL$9)*($AM$9-$AL$9)),$AN$9-SQRT((1-AX126)*($AN$9-$AL$9)*($AN$9-$AM$9))),$AM$9)</f>
        <v/>
      </c>
      <c r="AP126">
        <f>IFERROR(IF(AY126&lt;($AM$10-$AL$10)/($AN$10-$AL$10),$AL$10+SQRT(AY126*($AN$10-$AL$10)*($AM$10-$AL$10)),$AN$10-SQRT((1-AY126)*($AN$10-$AL$10)*($AN$10-$AM$10))),$AM$10)</f>
        <v/>
      </c>
      <c r="AQ126">
        <f>IFERROR(IF(AZ126&lt;($AM$11-$AL$11)/($AN$11-$AL$11),$AL$11+SQRT(AZ126*($AN$11-$AL$11)*($AM$11-$AL$11)),$AN$11-SQRT((1-AZ126)*($AN$11-$AL$11)*($AN$11-$AM$11))),$AM$11)</f>
        <v/>
      </c>
      <c r="AR126">
        <f>SUMPRODUCT((B24:B31&lt;=$B$6)*(C24:C31*AM126+D24:D31*AO126*$B$8*AQ126)/(1+AL126/100)^B24:B31)+C32*AM126*AP126/(1+AL126/100)^$B$6</f>
        <v/>
      </c>
      <c r="AS126">
        <f>SUMPRODUCT((K24:K26&lt;=$B$6)*(L24:L26*AN126+M24:M26*AO126*$B$8*AQ126)/(1+AL126/100)^K24:K26)+L27*AN126*AP126/(1+AL126/100)^$B$6</f>
        <v/>
      </c>
      <c r="AT126">
        <f>AS126-AR126</f>
        <v/>
      </c>
      <c r="AU126">
        <f>RAND()</f>
        <v/>
      </c>
      <c r="AV126">
        <f>RAND()</f>
        <v/>
      </c>
      <c r="AW126">
        <f>RAND()</f>
        <v/>
      </c>
      <c r="AX126">
        <f>RAND()</f>
        <v/>
      </c>
      <c r="AY126">
        <f>RAND()</f>
        <v/>
      </c>
      <c r="AZ126">
        <f>RAND()</f>
        <v/>
      </c>
    </row>
    <row r="127">
      <c r="AK127" t="n">
        <v>114</v>
      </c>
      <c r="AL127">
        <f>IFERROR(IF(AU127&lt;($AM$6-$AL$6)/($AN$6-$AL$6),$AL$6+SQRT(AU127*($AN$6-$AL$6)*($AM$6-$AL$6)),$AN$6-SQRT((1-AU127)*($AN$6-$AL$6)*($AN$6-$AM$6))),$AM$6)</f>
        <v/>
      </c>
      <c r="AM127">
        <f>IFERROR(IF(AV127&lt;($AM$7-$AL$7)/($AN$7-$AL$7),$AL$7+SQRT(AV127*($AN$7-$AL$7)*($AM$7-$AL$7)),$AN$7-SQRT((1-AV127)*($AN$7-$AL$7)*($AN$7-$AM$7))),$AM$7)</f>
        <v/>
      </c>
      <c r="AN127">
        <f>IFERROR(IF(AW127&lt;($AM$8-$AL$8)/($AN$8-$AL$8),$AL$8+SQRT(AW127*($AN$8-$AL$8)*($AM$8-$AL$8)),$AN$8-SQRT((1-AW127)*($AN$8-$AL$8)*($AN$8-$AM$8))),$AM$8)</f>
        <v/>
      </c>
      <c r="AO127">
        <f>IFERROR(IF(AX127&lt;($AM$9-$AL$9)/($AN$9-$AL$9),$AL$9+SQRT(AX127*($AN$9-$AL$9)*($AM$9-$AL$9)),$AN$9-SQRT((1-AX127)*($AN$9-$AL$9)*($AN$9-$AM$9))),$AM$9)</f>
        <v/>
      </c>
      <c r="AP127">
        <f>IFERROR(IF(AY127&lt;($AM$10-$AL$10)/($AN$10-$AL$10),$AL$10+SQRT(AY127*($AN$10-$AL$10)*($AM$10-$AL$10)),$AN$10-SQRT((1-AY127)*($AN$10-$AL$10)*($AN$10-$AM$10))),$AM$10)</f>
        <v/>
      </c>
      <c r="AQ127">
        <f>IFERROR(IF(AZ127&lt;($AM$11-$AL$11)/($AN$11-$AL$11),$AL$11+SQRT(AZ127*($AN$11-$AL$11)*($AM$11-$AL$11)),$AN$11-SQRT((1-AZ127)*($AN$11-$AL$11)*($AN$11-$AM$11))),$AM$11)</f>
        <v/>
      </c>
      <c r="AR127">
        <f>SUMPRODUCT((B24:B31&lt;=$B$6)*(C24:C31*AM127+D24:D31*AO127*$B$8*AQ127)/(1+AL127/100)^B24:B31)+C32*AM127*AP127/(1+AL127/100)^$B$6</f>
        <v/>
      </c>
      <c r="AS127">
        <f>SUMPRODUCT((K24:K26&lt;=$B$6)*(L24:L26*AN127+M24:M26*AO127*$B$8*AQ127)/(1+AL127/100)^K24:K26)+L27*AN127*AP127/(1+AL127/100)^$B$6</f>
        <v/>
      </c>
      <c r="AT127">
        <f>AS127-AR127</f>
        <v/>
      </c>
      <c r="AU127">
        <f>RAND()</f>
        <v/>
      </c>
      <c r="AV127">
        <f>RAND()</f>
        <v/>
      </c>
      <c r="AW127">
        <f>RAND()</f>
        <v/>
      </c>
      <c r="AX127">
        <f>RAND()</f>
        <v/>
      </c>
      <c r="AY127">
        <f>RAND()</f>
        <v/>
      </c>
      <c r="AZ127">
        <f>RAND()</f>
        <v/>
      </c>
    </row>
    <row r="128">
      <c r="A128" s="4" t="inlineStr">
        <is>
          <t>WHAT COULD FLIP THE ANSWER (one input at a time, PCC - HMA present worth)</t>
        </is>
      </c>
      <c r="AK128" t="n">
        <v>115</v>
      </c>
      <c r="AL128">
        <f>IFERROR(IF(AU128&lt;($AM$6-$AL$6)/($AN$6-$AL$6),$AL$6+SQRT(AU128*($AN$6-$AL$6)*($AM$6-$AL$6)),$AN$6-SQRT((1-AU128)*($AN$6-$AL$6)*($AN$6-$AM$6))),$AM$6)</f>
        <v/>
      </c>
      <c r="AM128">
        <f>IFERROR(IF(AV128&lt;($AM$7-$AL$7)/($AN$7-$AL$7),$AL$7+SQRT(AV128*($AN$7-$AL$7)*($AM$7-$AL$7)),$AN$7-SQRT((1-AV128)*($AN$7-$AL$7)*($AN$7-$AM$7))),$AM$7)</f>
        <v/>
      </c>
      <c r="AN128">
        <f>IFERROR(IF(AW128&lt;($AM$8-$AL$8)/($AN$8-$AL$8),$AL$8+SQRT(AW128*($AN$8-$AL$8)*($AM$8-$AL$8)),$AN$8-SQRT((1-AW128)*($AN$8-$AL$8)*($AN$8-$AM$8))),$AM$8)</f>
        <v/>
      </c>
      <c r="AO128">
        <f>IFERROR(IF(AX128&lt;($AM$9-$AL$9)/($AN$9-$AL$9),$AL$9+SQRT(AX128*($AN$9-$AL$9)*($AM$9-$AL$9)),$AN$9-SQRT((1-AX128)*($AN$9-$AL$9)*($AN$9-$AM$9))),$AM$9)</f>
        <v/>
      </c>
      <c r="AP128">
        <f>IFERROR(IF(AY128&lt;($AM$10-$AL$10)/($AN$10-$AL$10),$AL$10+SQRT(AY128*($AN$10-$AL$10)*($AM$10-$AL$10)),$AN$10-SQRT((1-AY128)*($AN$10-$AL$10)*($AN$10-$AM$10))),$AM$10)</f>
        <v/>
      </c>
      <c r="AQ128">
        <f>IFERROR(IF(AZ128&lt;($AM$11-$AL$11)/($AN$11-$AL$11),$AL$11+SQRT(AZ128*($AN$11-$AL$11)*($AM$11-$AL$11)),$AN$11-SQRT((1-AZ128)*($AN$11-$AL$11)*($AN$11-$AM$11))),$AM$11)</f>
        <v/>
      </c>
      <c r="AR128">
        <f>SUMPRODUCT((B24:B31&lt;=$B$6)*(C24:C31*AM128+D24:D31*AO128*$B$8*AQ128)/(1+AL128/100)^B24:B31)+C32*AM128*AP128/(1+AL128/100)^$B$6</f>
        <v/>
      </c>
      <c r="AS128">
        <f>SUMPRODUCT((K24:K26&lt;=$B$6)*(L24:L26*AN128+M24:M26*AO128*$B$8*AQ128)/(1+AL128/100)^K24:K26)+L27*AN128*AP128/(1+AL128/100)^$B$6</f>
        <v/>
      </c>
      <c r="AT128">
        <f>AS128-AR128</f>
        <v/>
      </c>
      <c r="AU128">
        <f>RAND()</f>
        <v/>
      </c>
      <c r="AV128">
        <f>RAND()</f>
        <v/>
      </c>
      <c r="AW128">
        <f>RAND()</f>
        <v/>
      </c>
      <c r="AX128">
        <f>RAND()</f>
        <v/>
      </c>
      <c r="AY128">
        <f>RAND()</f>
        <v/>
      </c>
      <c r="AZ128">
        <f>RAND()</f>
        <v/>
      </c>
    </row>
    <row r="129">
      <c r="A129" s="6" t="inlineStr">
        <is>
          <t>Input moved</t>
        </is>
      </c>
      <c r="B129" s="6" t="inlineStr">
        <is>
          <t>Low case</t>
        </is>
      </c>
      <c r="C129" s="6" t="inlineStr">
        <is>
          <t>High case</t>
        </is>
      </c>
      <c r="D129" s="6" t="inlineStr">
        <is>
          <t>Low PCC-HMA</t>
        </is>
      </c>
      <c r="E129" s="6" t="inlineStr">
        <is>
          <t>High PCC-HMA</t>
        </is>
      </c>
      <c r="F129" s="6" t="inlineStr">
        <is>
          <t>Swing</t>
        </is>
      </c>
      <c r="G129" s="6" t="inlineStr">
        <is>
          <t>Winner changes?</t>
        </is>
      </c>
      <c r="AK129" t="n">
        <v>116</v>
      </c>
      <c r="AL129">
        <f>IFERROR(IF(AU129&lt;($AM$6-$AL$6)/($AN$6-$AL$6),$AL$6+SQRT(AU129*($AN$6-$AL$6)*($AM$6-$AL$6)),$AN$6-SQRT((1-AU129)*($AN$6-$AL$6)*($AN$6-$AM$6))),$AM$6)</f>
        <v/>
      </c>
      <c r="AM129">
        <f>IFERROR(IF(AV129&lt;($AM$7-$AL$7)/($AN$7-$AL$7),$AL$7+SQRT(AV129*($AN$7-$AL$7)*($AM$7-$AL$7)),$AN$7-SQRT((1-AV129)*($AN$7-$AL$7)*($AN$7-$AM$7))),$AM$7)</f>
        <v/>
      </c>
      <c r="AN129">
        <f>IFERROR(IF(AW129&lt;($AM$8-$AL$8)/($AN$8-$AL$8),$AL$8+SQRT(AW129*($AN$8-$AL$8)*($AM$8-$AL$8)),$AN$8-SQRT((1-AW129)*($AN$8-$AL$8)*($AN$8-$AM$8))),$AM$8)</f>
        <v/>
      </c>
      <c r="AO129">
        <f>IFERROR(IF(AX129&lt;($AM$9-$AL$9)/($AN$9-$AL$9),$AL$9+SQRT(AX129*($AN$9-$AL$9)*($AM$9-$AL$9)),$AN$9-SQRT((1-AX129)*($AN$9-$AL$9)*($AN$9-$AM$9))),$AM$9)</f>
        <v/>
      </c>
      <c r="AP129">
        <f>IFERROR(IF(AY129&lt;($AM$10-$AL$10)/($AN$10-$AL$10),$AL$10+SQRT(AY129*($AN$10-$AL$10)*($AM$10-$AL$10)),$AN$10-SQRT((1-AY129)*($AN$10-$AL$10)*($AN$10-$AM$10))),$AM$10)</f>
        <v/>
      </c>
      <c r="AQ129">
        <f>IFERROR(IF(AZ129&lt;($AM$11-$AL$11)/($AN$11-$AL$11),$AL$11+SQRT(AZ129*($AN$11-$AL$11)*($AM$11-$AL$11)),$AN$11-SQRT((1-AZ129)*($AN$11-$AL$11)*($AN$11-$AM$11))),$AM$11)</f>
        <v/>
      </c>
      <c r="AR129">
        <f>SUMPRODUCT((B24:B31&lt;=$B$6)*(C24:C31*AM129+D24:D31*AO129*$B$8*AQ129)/(1+AL129/100)^B24:B31)+C32*AM129*AP129/(1+AL129/100)^$B$6</f>
        <v/>
      </c>
      <c r="AS129">
        <f>SUMPRODUCT((K24:K26&lt;=$B$6)*(L24:L26*AN129+M24:M26*AO129*$B$8*AQ129)/(1+AL129/100)^K24:K26)+L27*AN129*AP129/(1+AL129/100)^$B$6</f>
        <v/>
      </c>
      <c r="AT129">
        <f>AS129-AR129</f>
        <v/>
      </c>
      <c r="AU129">
        <f>RAND()</f>
        <v/>
      </c>
      <c r="AV129">
        <f>RAND()</f>
        <v/>
      </c>
      <c r="AW129">
        <f>RAND()</f>
        <v/>
      </c>
      <c r="AX129">
        <f>RAND()</f>
        <v/>
      </c>
      <c r="AY129">
        <f>RAND()</f>
        <v/>
      </c>
      <c r="AZ129">
        <f>RAND()</f>
        <v/>
      </c>
    </row>
    <row r="130">
      <c r="A130" s="7" t="inlineStr">
        <is>
          <t>Discount rate</t>
        </is>
      </c>
      <c r="B130" t="inlineStr">
        <is>
          <t>2%</t>
        </is>
      </c>
      <c r="C130" t="inlineStr">
        <is>
          <t>8%</t>
        </is>
      </c>
      <c r="D130" s="14">
        <f>(SUMPRODUCT((K24:K26&lt;=$B$6)*(L24:L26*$B$12+M24:M26*$B$10*$B$8*$B$9)/(1+2/100)^K24:K26)+L27*$B$12*$B$13/(1+2/100)^$B$6)-(SUMPRODUCT((B24:B31&lt;=$B$6)*(C24:C31*$B$11+D24:D31*$B$10*$B$8*$B$9)/(1+2/100)^B24:B31)+C32*$B$11*$B$13/(1+2/100)^$B$6)</f>
        <v/>
      </c>
      <c r="E130" s="14">
        <f>(SUMPRODUCT((K24:K26&lt;=$B$6)*(L24:L26*$B$12+M24:M26*$B$10*$B$8*$B$9)/(1+8/100)^K24:K26)+L27*$B$12*$B$13/(1+8/100)^$B$6)-(SUMPRODUCT((B24:B31&lt;=$B$6)*(C24:C31*$B$11+D24:D31*$B$10*$B$8*$B$9)/(1+8/100)^B24:B31)+C32*$B$11*$B$13/(1+8/100)^$B$6)</f>
        <v/>
      </c>
      <c r="F130" s="14">
        <f>ABS(E130-D130)</f>
        <v/>
      </c>
      <c r="G130">
        <f>IF(SIGN(D130)&lt;&gt;SIGN(E130),"YES","no")</f>
        <v/>
      </c>
      <c r="AK130" t="n">
        <v>117</v>
      </c>
      <c r="AL130">
        <f>IFERROR(IF(AU130&lt;($AM$6-$AL$6)/($AN$6-$AL$6),$AL$6+SQRT(AU130*($AN$6-$AL$6)*($AM$6-$AL$6)),$AN$6-SQRT((1-AU130)*($AN$6-$AL$6)*($AN$6-$AM$6))),$AM$6)</f>
        <v/>
      </c>
      <c r="AM130">
        <f>IFERROR(IF(AV130&lt;($AM$7-$AL$7)/($AN$7-$AL$7),$AL$7+SQRT(AV130*($AN$7-$AL$7)*($AM$7-$AL$7)),$AN$7-SQRT((1-AV130)*($AN$7-$AL$7)*($AN$7-$AM$7))),$AM$7)</f>
        <v/>
      </c>
      <c r="AN130">
        <f>IFERROR(IF(AW130&lt;($AM$8-$AL$8)/($AN$8-$AL$8),$AL$8+SQRT(AW130*($AN$8-$AL$8)*($AM$8-$AL$8)),$AN$8-SQRT((1-AW130)*($AN$8-$AL$8)*($AN$8-$AM$8))),$AM$8)</f>
        <v/>
      </c>
      <c r="AO130">
        <f>IFERROR(IF(AX130&lt;($AM$9-$AL$9)/($AN$9-$AL$9),$AL$9+SQRT(AX130*($AN$9-$AL$9)*($AM$9-$AL$9)),$AN$9-SQRT((1-AX130)*($AN$9-$AL$9)*($AN$9-$AM$9))),$AM$9)</f>
        <v/>
      </c>
      <c r="AP130">
        <f>IFERROR(IF(AY130&lt;($AM$10-$AL$10)/($AN$10-$AL$10),$AL$10+SQRT(AY130*($AN$10-$AL$10)*($AM$10-$AL$10)),$AN$10-SQRT((1-AY130)*($AN$10-$AL$10)*($AN$10-$AM$10))),$AM$10)</f>
        <v/>
      </c>
      <c r="AQ130">
        <f>IFERROR(IF(AZ130&lt;($AM$11-$AL$11)/($AN$11-$AL$11),$AL$11+SQRT(AZ130*($AN$11-$AL$11)*($AM$11-$AL$11)),$AN$11-SQRT((1-AZ130)*($AN$11-$AL$11)*($AN$11-$AM$11))),$AM$11)</f>
        <v/>
      </c>
      <c r="AR130">
        <f>SUMPRODUCT((B24:B31&lt;=$B$6)*(C24:C31*AM130+D24:D31*AO130*$B$8*AQ130)/(1+AL130/100)^B24:B31)+C32*AM130*AP130/(1+AL130/100)^$B$6</f>
        <v/>
      </c>
      <c r="AS130">
        <f>SUMPRODUCT((K24:K26&lt;=$B$6)*(L24:L26*AN130+M24:M26*AO130*$B$8*AQ130)/(1+AL130/100)^K24:K26)+L27*AN130*AP130/(1+AL130/100)^$B$6</f>
        <v/>
      </c>
      <c r="AT130">
        <f>AS130-AR130</f>
        <v/>
      </c>
      <c r="AU130">
        <f>RAND()</f>
        <v/>
      </c>
      <c r="AV130">
        <f>RAND()</f>
        <v/>
      </c>
      <c r="AW130">
        <f>RAND()</f>
        <v/>
      </c>
      <c r="AX130">
        <f>RAND()</f>
        <v/>
      </c>
      <c r="AY130">
        <f>RAND()</f>
        <v/>
      </c>
      <c r="AZ130">
        <f>RAND()</f>
        <v/>
      </c>
    </row>
    <row r="131">
      <c r="A131" s="7" t="inlineStr">
        <is>
          <t>PCC salvage credit</t>
        </is>
      </c>
      <c r="B131" t="inlineStr">
        <is>
          <t>0</t>
        </is>
      </c>
      <c r="C131" t="inlineStr">
        <is>
          <t>policy</t>
        </is>
      </c>
      <c r="D131" s="14">
        <f>(SUMPRODUCT((K24:K26&lt;=$B$6)*(L24:L26*$B$12+M24:M26*$B$10*$B$8*$B$9)/(1+$B$5/100)^K24:K26)+L27*$B$12*0/(1+$B$5/100)^$B$6)-(SUMPRODUCT((B24:B31&lt;=$B$6)*(C24:C31*$B$11+D24:D31*$B$10*$B$8*$B$9)/(1+$B$5/100)^B24:B31)+C32*$B$11*$B$13/(1+$B$5/100)^$B$6)</f>
        <v/>
      </c>
      <c r="E131" s="14">
        <f>$D$44</f>
        <v/>
      </c>
      <c r="F131" s="14">
        <f>ABS(E131-D131)</f>
        <v/>
      </c>
      <c r="G131">
        <f>IF(SIGN(D131)&lt;&gt;SIGN(E131),"YES","no")</f>
        <v/>
      </c>
      <c r="AK131" t="n">
        <v>118</v>
      </c>
      <c r="AL131">
        <f>IFERROR(IF(AU131&lt;($AM$6-$AL$6)/($AN$6-$AL$6),$AL$6+SQRT(AU131*($AN$6-$AL$6)*($AM$6-$AL$6)),$AN$6-SQRT((1-AU131)*($AN$6-$AL$6)*($AN$6-$AM$6))),$AM$6)</f>
        <v/>
      </c>
      <c r="AM131">
        <f>IFERROR(IF(AV131&lt;($AM$7-$AL$7)/($AN$7-$AL$7),$AL$7+SQRT(AV131*($AN$7-$AL$7)*($AM$7-$AL$7)),$AN$7-SQRT((1-AV131)*($AN$7-$AL$7)*($AN$7-$AM$7))),$AM$7)</f>
        <v/>
      </c>
      <c r="AN131">
        <f>IFERROR(IF(AW131&lt;($AM$8-$AL$8)/($AN$8-$AL$8),$AL$8+SQRT(AW131*($AN$8-$AL$8)*($AM$8-$AL$8)),$AN$8-SQRT((1-AW131)*($AN$8-$AL$8)*($AN$8-$AM$8))),$AM$8)</f>
        <v/>
      </c>
      <c r="AO131">
        <f>IFERROR(IF(AX131&lt;($AM$9-$AL$9)/($AN$9-$AL$9),$AL$9+SQRT(AX131*($AN$9-$AL$9)*($AM$9-$AL$9)),$AN$9-SQRT((1-AX131)*($AN$9-$AL$9)*($AN$9-$AM$9))),$AM$9)</f>
        <v/>
      </c>
      <c r="AP131">
        <f>IFERROR(IF(AY131&lt;($AM$10-$AL$10)/($AN$10-$AL$10),$AL$10+SQRT(AY131*($AN$10-$AL$10)*($AM$10-$AL$10)),$AN$10-SQRT((1-AY131)*($AN$10-$AL$10)*($AN$10-$AM$10))),$AM$10)</f>
        <v/>
      </c>
      <c r="AQ131">
        <f>IFERROR(IF(AZ131&lt;($AM$11-$AL$11)/($AN$11-$AL$11),$AL$11+SQRT(AZ131*($AN$11-$AL$11)*($AM$11-$AL$11)),$AN$11-SQRT((1-AZ131)*($AN$11-$AL$11)*($AN$11-$AM$11))),$AM$11)</f>
        <v/>
      </c>
      <c r="AR131">
        <f>SUMPRODUCT((B24:B31&lt;=$B$6)*(C24:C31*AM131+D24:D31*AO131*$B$8*AQ131)/(1+AL131/100)^B24:B31)+C32*AM131*AP131/(1+AL131/100)^$B$6</f>
        <v/>
      </c>
      <c r="AS131">
        <f>SUMPRODUCT((K24:K26&lt;=$B$6)*(L24:L26*AN131+M24:M26*AO131*$B$8*AQ131)/(1+AL131/100)^K24:K26)+L27*AN131*AP131/(1+AL131/100)^$B$6</f>
        <v/>
      </c>
      <c r="AT131">
        <f>AS131-AR131</f>
        <v/>
      </c>
      <c r="AU131">
        <f>RAND()</f>
        <v/>
      </c>
      <c r="AV131">
        <f>RAND()</f>
        <v/>
      </c>
      <c r="AW131">
        <f>RAND()</f>
        <v/>
      </c>
      <c r="AX131">
        <f>RAND()</f>
        <v/>
      </c>
      <c r="AY131">
        <f>RAND()</f>
        <v/>
      </c>
      <c r="AZ131">
        <f>RAND()</f>
        <v/>
      </c>
    </row>
    <row r="132">
      <c r="A132" s="7" t="inlineStr">
        <is>
          <t>HMA salvage credit</t>
        </is>
      </c>
      <c r="B132" t="inlineStr">
        <is>
          <t>0</t>
        </is>
      </c>
      <c r="C132" t="inlineStr">
        <is>
          <t>policy</t>
        </is>
      </c>
      <c r="D132" s="14">
        <f>(SUMPRODUCT((K24:K26&lt;=$B$6)*(L24:L26*$B$12+M24:M26*$B$10*$B$8*$B$9)/(1+$B$5/100)^K24:K26)+L27*$B$12*$B$13/(1+$B$5/100)^$B$6)-(SUMPRODUCT((B24:B31&lt;=$B$6)*(C24:C31*$B$11+D24:D31*$B$10*$B$8*$B$9)/(1+$B$5/100)^B24:B31)+C32*$B$11*0/(1+$B$5/100)^$B$6)</f>
        <v/>
      </c>
      <c r="E132" s="14">
        <f>$D$44</f>
        <v/>
      </c>
      <c r="F132" s="14">
        <f>ABS(E132-D132)</f>
        <v/>
      </c>
      <c r="G132">
        <f>IF(SIGN(D132)&lt;&gt;SIGN(E132),"YES","no")</f>
        <v/>
      </c>
      <c r="AK132" t="n">
        <v>119</v>
      </c>
      <c r="AL132">
        <f>IFERROR(IF(AU132&lt;($AM$6-$AL$6)/($AN$6-$AL$6),$AL$6+SQRT(AU132*($AN$6-$AL$6)*($AM$6-$AL$6)),$AN$6-SQRT((1-AU132)*($AN$6-$AL$6)*($AN$6-$AM$6))),$AM$6)</f>
        <v/>
      </c>
      <c r="AM132">
        <f>IFERROR(IF(AV132&lt;($AM$7-$AL$7)/($AN$7-$AL$7),$AL$7+SQRT(AV132*($AN$7-$AL$7)*($AM$7-$AL$7)),$AN$7-SQRT((1-AV132)*($AN$7-$AL$7)*($AN$7-$AM$7))),$AM$7)</f>
        <v/>
      </c>
      <c r="AN132">
        <f>IFERROR(IF(AW132&lt;($AM$8-$AL$8)/($AN$8-$AL$8),$AL$8+SQRT(AW132*($AN$8-$AL$8)*($AM$8-$AL$8)),$AN$8-SQRT((1-AW132)*($AN$8-$AL$8)*($AN$8-$AM$8))),$AM$8)</f>
        <v/>
      </c>
      <c r="AO132">
        <f>IFERROR(IF(AX132&lt;($AM$9-$AL$9)/($AN$9-$AL$9),$AL$9+SQRT(AX132*($AN$9-$AL$9)*($AM$9-$AL$9)),$AN$9-SQRT((1-AX132)*($AN$9-$AL$9)*($AN$9-$AM$9))),$AM$9)</f>
        <v/>
      </c>
      <c r="AP132">
        <f>IFERROR(IF(AY132&lt;($AM$10-$AL$10)/($AN$10-$AL$10),$AL$10+SQRT(AY132*($AN$10-$AL$10)*($AM$10-$AL$10)),$AN$10-SQRT((1-AY132)*($AN$10-$AL$10)*($AN$10-$AM$10))),$AM$10)</f>
        <v/>
      </c>
      <c r="AQ132">
        <f>IFERROR(IF(AZ132&lt;($AM$11-$AL$11)/($AN$11-$AL$11),$AL$11+SQRT(AZ132*($AN$11-$AL$11)*($AM$11-$AL$11)),$AN$11-SQRT((1-AZ132)*($AN$11-$AL$11)*($AN$11-$AM$11))),$AM$11)</f>
        <v/>
      </c>
      <c r="AR132">
        <f>SUMPRODUCT((B24:B31&lt;=$B$6)*(C24:C31*AM132+D24:D31*AO132*$B$8*AQ132)/(1+AL132/100)^B24:B31)+C32*AM132*AP132/(1+AL132/100)^$B$6</f>
        <v/>
      </c>
      <c r="AS132">
        <f>SUMPRODUCT((K24:K26&lt;=$B$6)*(L24:L26*AN132+M24:M26*AO132*$B$8*AQ132)/(1+AL132/100)^K24:K26)+L27*AN132*AP132/(1+AL132/100)^$B$6</f>
        <v/>
      </c>
      <c r="AT132">
        <f>AS132-AR132</f>
        <v/>
      </c>
      <c r="AU132">
        <f>RAND()</f>
        <v/>
      </c>
      <c r="AV132">
        <f>RAND()</f>
        <v/>
      </c>
      <c r="AW132">
        <f>RAND()</f>
        <v/>
      </c>
      <c r="AX132">
        <f>RAND()</f>
        <v/>
      </c>
      <c r="AY132">
        <f>RAND()</f>
        <v/>
      </c>
      <c r="AZ132">
        <f>RAND()</f>
        <v/>
      </c>
    </row>
    <row r="133">
      <c r="A133" s="7" t="inlineStr">
        <is>
          <t>PCC direct costs</t>
        </is>
      </c>
      <c r="B133" t="inlineStr">
        <is>
          <t>-20%</t>
        </is>
      </c>
      <c r="C133" t="inlineStr">
        <is>
          <t>+20%</t>
        </is>
      </c>
      <c r="D133" s="14">
        <f>(SUMPRODUCT((K24:K26&lt;=$B$6)*(L24:L26*($B$12*0.8)+M24:M26*$B$10*$B$8*$B$9)/(1+$B$5/100)^K24:K26)+L27*($B$12*0.8)*$B$13/(1+$B$5/100)^$B$6)-(SUMPRODUCT((B24:B31&lt;=$B$6)*(C24:C31*$B$11+D24:D31*$B$10*$B$8*$B$9)/(1+$B$5/100)^B24:B31)+C32*$B$11*$B$13/(1+$B$5/100)^$B$6)</f>
        <v/>
      </c>
      <c r="E133" s="14">
        <f>(SUMPRODUCT((K24:K26&lt;=$B$6)*(L24:L26*($B$12*1.2)+M24:M26*$B$10*$B$8*$B$9)/(1+$B$5/100)^K24:K26)+L27*($B$12*1.2)*$B$13/(1+$B$5/100)^$B$6)-(SUMPRODUCT((B24:B31&lt;=$B$6)*(C24:C31*$B$11+D24:D31*$B$10*$B$8*$B$9)/(1+$B$5/100)^B24:B31)+C32*$B$11*$B$13/(1+$B$5/100)^$B$6)</f>
        <v/>
      </c>
      <c r="F133" s="14">
        <f>ABS(E133-D133)</f>
        <v/>
      </c>
      <c r="G133">
        <f>IF(SIGN(D133)&lt;&gt;SIGN(E133),"YES","no")</f>
        <v/>
      </c>
      <c r="AK133" t="n">
        <v>120</v>
      </c>
      <c r="AL133">
        <f>IFERROR(IF(AU133&lt;($AM$6-$AL$6)/($AN$6-$AL$6),$AL$6+SQRT(AU133*($AN$6-$AL$6)*($AM$6-$AL$6)),$AN$6-SQRT((1-AU133)*($AN$6-$AL$6)*($AN$6-$AM$6))),$AM$6)</f>
        <v/>
      </c>
      <c r="AM133">
        <f>IFERROR(IF(AV133&lt;($AM$7-$AL$7)/($AN$7-$AL$7),$AL$7+SQRT(AV133*($AN$7-$AL$7)*($AM$7-$AL$7)),$AN$7-SQRT((1-AV133)*($AN$7-$AL$7)*($AN$7-$AM$7))),$AM$7)</f>
        <v/>
      </c>
      <c r="AN133">
        <f>IFERROR(IF(AW133&lt;($AM$8-$AL$8)/($AN$8-$AL$8),$AL$8+SQRT(AW133*($AN$8-$AL$8)*($AM$8-$AL$8)),$AN$8-SQRT((1-AW133)*($AN$8-$AL$8)*($AN$8-$AM$8))),$AM$8)</f>
        <v/>
      </c>
      <c r="AO133">
        <f>IFERROR(IF(AX133&lt;($AM$9-$AL$9)/($AN$9-$AL$9),$AL$9+SQRT(AX133*($AN$9-$AL$9)*($AM$9-$AL$9)),$AN$9-SQRT((1-AX133)*($AN$9-$AL$9)*($AN$9-$AM$9))),$AM$9)</f>
        <v/>
      </c>
      <c r="AP133">
        <f>IFERROR(IF(AY133&lt;($AM$10-$AL$10)/($AN$10-$AL$10),$AL$10+SQRT(AY133*($AN$10-$AL$10)*($AM$10-$AL$10)),$AN$10-SQRT((1-AY133)*($AN$10-$AL$10)*($AN$10-$AM$10))),$AM$10)</f>
        <v/>
      </c>
      <c r="AQ133">
        <f>IFERROR(IF(AZ133&lt;($AM$11-$AL$11)/($AN$11-$AL$11),$AL$11+SQRT(AZ133*($AN$11-$AL$11)*($AM$11-$AL$11)),$AN$11-SQRT((1-AZ133)*($AN$11-$AL$11)*($AN$11-$AM$11))),$AM$11)</f>
        <v/>
      </c>
      <c r="AR133">
        <f>SUMPRODUCT((B24:B31&lt;=$B$6)*(C24:C31*AM133+D24:D31*AO133*$B$8*AQ133)/(1+AL133/100)^B24:B31)+C32*AM133*AP133/(1+AL133/100)^$B$6</f>
        <v/>
      </c>
      <c r="AS133">
        <f>SUMPRODUCT((K24:K26&lt;=$B$6)*(L24:L26*AN133+M24:M26*AO133*$B$8*AQ133)/(1+AL133/100)^K24:K26)+L27*AN133*AP133/(1+AL133/100)^$B$6</f>
        <v/>
      </c>
      <c r="AT133">
        <f>AS133-AR133</f>
        <v/>
      </c>
      <c r="AU133">
        <f>RAND()</f>
        <v/>
      </c>
      <c r="AV133">
        <f>RAND()</f>
        <v/>
      </c>
      <c r="AW133">
        <f>RAND()</f>
        <v/>
      </c>
      <c r="AX133">
        <f>RAND()</f>
        <v/>
      </c>
      <c r="AY133">
        <f>RAND()</f>
        <v/>
      </c>
      <c r="AZ133">
        <f>RAND()</f>
        <v/>
      </c>
    </row>
    <row r="134">
      <c r="A134" s="7" t="inlineStr">
        <is>
          <t>HMA direct costs</t>
        </is>
      </c>
      <c r="B134" t="inlineStr">
        <is>
          <t>-20%</t>
        </is>
      </c>
      <c r="C134" t="inlineStr">
        <is>
          <t>+20%</t>
        </is>
      </c>
      <c r="D134" s="14">
        <f>(SUMPRODUCT((K24:K26&lt;=$B$6)*(L24:L26*$B$12+M24:M26*$B$10*$B$8*$B$9)/(1+$B$5/100)^K24:K26)+L27*$B$12*$B$13/(1+$B$5/100)^$B$6)-(SUMPRODUCT((B24:B31&lt;=$B$6)*(C24:C31*($B$11*0.8)+D24:D31*$B$10*$B$8*$B$9)/(1+$B$5/100)^B24:B31)+C32*($B$11*0.8)*$B$13/(1+$B$5/100)^$B$6)</f>
        <v/>
      </c>
      <c r="E134" s="14">
        <f>(SUMPRODUCT((K24:K26&lt;=$B$6)*(L24:L26*$B$12+M24:M26*$B$10*$B$8*$B$9)/(1+$B$5/100)^K24:K26)+L27*$B$12*$B$13/(1+$B$5/100)^$B$6)-(SUMPRODUCT((B24:B31&lt;=$B$6)*(C24:C31*($B$11*1.2)+D24:D31*$B$10*$B$8*$B$9)/(1+$B$5/100)^B24:B31)+C32*($B$11*1.2)*$B$13/(1+$B$5/100)^$B$6)</f>
        <v/>
      </c>
      <c r="F134" s="14">
        <f>ABS(E134-D134)</f>
        <v/>
      </c>
      <c r="G134">
        <f>IF(SIGN(D134)&lt;&gt;SIGN(E134),"YES","no")</f>
        <v/>
      </c>
      <c r="AK134" t="n">
        <v>121</v>
      </c>
      <c r="AL134">
        <f>IFERROR(IF(AU134&lt;($AM$6-$AL$6)/($AN$6-$AL$6),$AL$6+SQRT(AU134*($AN$6-$AL$6)*($AM$6-$AL$6)),$AN$6-SQRT((1-AU134)*($AN$6-$AL$6)*($AN$6-$AM$6))),$AM$6)</f>
        <v/>
      </c>
      <c r="AM134">
        <f>IFERROR(IF(AV134&lt;($AM$7-$AL$7)/($AN$7-$AL$7),$AL$7+SQRT(AV134*($AN$7-$AL$7)*($AM$7-$AL$7)),$AN$7-SQRT((1-AV134)*($AN$7-$AL$7)*($AN$7-$AM$7))),$AM$7)</f>
        <v/>
      </c>
      <c r="AN134">
        <f>IFERROR(IF(AW134&lt;($AM$8-$AL$8)/($AN$8-$AL$8),$AL$8+SQRT(AW134*($AN$8-$AL$8)*($AM$8-$AL$8)),$AN$8-SQRT((1-AW134)*($AN$8-$AL$8)*($AN$8-$AM$8))),$AM$8)</f>
        <v/>
      </c>
      <c r="AO134">
        <f>IFERROR(IF(AX134&lt;($AM$9-$AL$9)/($AN$9-$AL$9),$AL$9+SQRT(AX134*($AN$9-$AL$9)*($AM$9-$AL$9)),$AN$9-SQRT((1-AX134)*($AN$9-$AL$9)*($AN$9-$AM$9))),$AM$9)</f>
        <v/>
      </c>
      <c r="AP134">
        <f>IFERROR(IF(AY134&lt;($AM$10-$AL$10)/($AN$10-$AL$10),$AL$10+SQRT(AY134*($AN$10-$AL$10)*($AM$10-$AL$10)),$AN$10-SQRT((1-AY134)*($AN$10-$AL$10)*($AN$10-$AM$10))),$AM$10)</f>
        <v/>
      </c>
      <c r="AQ134">
        <f>IFERROR(IF(AZ134&lt;($AM$11-$AL$11)/($AN$11-$AL$11),$AL$11+SQRT(AZ134*($AN$11-$AL$11)*($AM$11-$AL$11)),$AN$11-SQRT((1-AZ134)*($AN$11-$AL$11)*($AN$11-$AM$11))),$AM$11)</f>
        <v/>
      </c>
      <c r="AR134">
        <f>SUMPRODUCT((B24:B31&lt;=$B$6)*(C24:C31*AM134+D24:D31*AO134*$B$8*AQ134)/(1+AL134/100)^B24:B31)+C32*AM134*AP134/(1+AL134/100)^$B$6</f>
        <v/>
      </c>
      <c r="AS134">
        <f>SUMPRODUCT((K24:K26&lt;=$B$6)*(L24:L26*AN134+M24:M26*AO134*$B$8*AQ134)/(1+AL134/100)^K24:K26)+L27*AN134*AP134/(1+AL134/100)^$B$6</f>
        <v/>
      </c>
      <c r="AT134">
        <f>AS134-AR134</f>
        <v/>
      </c>
      <c r="AU134">
        <f>RAND()</f>
        <v/>
      </c>
      <c r="AV134">
        <f>RAND()</f>
        <v/>
      </c>
      <c r="AW134">
        <f>RAND()</f>
        <v/>
      </c>
      <c r="AX134">
        <f>RAND()</f>
        <v/>
      </c>
      <c r="AY134">
        <f>RAND()</f>
        <v/>
      </c>
      <c r="AZ134">
        <f>RAND()</f>
        <v/>
      </c>
    </row>
    <row r="135">
      <c r="A135" s="7" t="inlineStr">
        <is>
          <t>Closure durations</t>
        </is>
      </c>
      <c r="B135" t="inlineStr">
        <is>
          <t>x0.5</t>
        </is>
      </c>
      <c r="C135" t="inlineStr">
        <is>
          <t>x2</t>
        </is>
      </c>
      <c r="D135" s="14">
        <f>(SUMPRODUCT((K24:K26&lt;=$B$6)*(L24:L26*$B$12+M24:M26*($B$10*0.5)*$B$8*$B$9)/(1+$B$5/100)^K24:K26)+L27*$B$12*$B$13/(1+$B$5/100)^$B$6)-(SUMPRODUCT((B24:B31&lt;=$B$6)*(C24:C31*$B$11+D24:D31*($B$10*0.5)*$B$8*$B$9)/(1+$B$5/100)^B24:B31)+C32*$B$11*$B$13/(1+$B$5/100)^$B$6)</f>
        <v/>
      </c>
      <c r="E135" s="14">
        <f>(SUMPRODUCT((K24:K26&lt;=$B$6)*(L24:L26*$B$12+M24:M26*($B$10*2)*$B$8*$B$9)/(1+$B$5/100)^K24:K26)+L27*$B$12*$B$13/(1+$B$5/100)^$B$6)-(SUMPRODUCT((B24:B31&lt;=$B$6)*(C24:C31*$B$11+D24:D31*($B$10*2)*$B$8*$B$9)/(1+$B$5/100)^B24:B31)+C32*$B$11*$B$13/(1+$B$5/100)^$B$6)</f>
        <v/>
      </c>
      <c r="F135" s="14">
        <f>ABS(E135-D135)</f>
        <v/>
      </c>
      <c r="G135">
        <f>IF(SIGN(D135)&lt;&gt;SIGN(E135),"YES","no")</f>
        <v/>
      </c>
      <c r="AK135" t="n">
        <v>122</v>
      </c>
      <c r="AL135">
        <f>IFERROR(IF(AU135&lt;($AM$6-$AL$6)/($AN$6-$AL$6),$AL$6+SQRT(AU135*($AN$6-$AL$6)*($AM$6-$AL$6)),$AN$6-SQRT((1-AU135)*($AN$6-$AL$6)*($AN$6-$AM$6))),$AM$6)</f>
        <v/>
      </c>
      <c r="AM135">
        <f>IFERROR(IF(AV135&lt;($AM$7-$AL$7)/($AN$7-$AL$7),$AL$7+SQRT(AV135*($AN$7-$AL$7)*($AM$7-$AL$7)),$AN$7-SQRT((1-AV135)*($AN$7-$AL$7)*($AN$7-$AM$7))),$AM$7)</f>
        <v/>
      </c>
      <c r="AN135">
        <f>IFERROR(IF(AW135&lt;($AM$8-$AL$8)/($AN$8-$AL$8),$AL$8+SQRT(AW135*($AN$8-$AL$8)*($AM$8-$AL$8)),$AN$8-SQRT((1-AW135)*($AN$8-$AL$8)*($AN$8-$AM$8))),$AM$8)</f>
        <v/>
      </c>
      <c r="AO135">
        <f>IFERROR(IF(AX135&lt;($AM$9-$AL$9)/($AN$9-$AL$9),$AL$9+SQRT(AX135*($AN$9-$AL$9)*($AM$9-$AL$9)),$AN$9-SQRT((1-AX135)*($AN$9-$AL$9)*($AN$9-$AM$9))),$AM$9)</f>
        <v/>
      </c>
      <c r="AP135">
        <f>IFERROR(IF(AY135&lt;($AM$10-$AL$10)/($AN$10-$AL$10),$AL$10+SQRT(AY135*($AN$10-$AL$10)*($AM$10-$AL$10)),$AN$10-SQRT((1-AY135)*($AN$10-$AL$10)*($AN$10-$AM$10))),$AM$10)</f>
        <v/>
      </c>
      <c r="AQ135">
        <f>IFERROR(IF(AZ135&lt;($AM$11-$AL$11)/($AN$11-$AL$11),$AL$11+SQRT(AZ135*($AN$11-$AL$11)*($AM$11-$AL$11)),$AN$11-SQRT((1-AZ135)*($AN$11-$AL$11)*($AN$11-$AM$11))),$AM$11)</f>
        <v/>
      </c>
      <c r="AR135">
        <f>SUMPRODUCT((B24:B31&lt;=$B$6)*(C24:C31*AM135+D24:D31*AO135*$B$8*AQ135)/(1+AL135/100)^B24:B31)+C32*AM135*AP135/(1+AL135/100)^$B$6</f>
        <v/>
      </c>
      <c r="AS135">
        <f>SUMPRODUCT((K24:K26&lt;=$B$6)*(L24:L26*AN135+M24:M26*AO135*$B$8*AQ135)/(1+AL135/100)^K24:K26)+L27*AN135*AP135/(1+AL135/100)^$B$6</f>
        <v/>
      </c>
      <c r="AT135">
        <f>AS135-AR135</f>
        <v/>
      </c>
      <c r="AU135">
        <f>RAND()</f>
        <v/>
      </c>
      <c r="AV135">
        <f>RAND()</f>
        <v/>
      </c>
      <c r="AW135">
        <f>RAND()</f>
        <v/>
      </c>
      <c r="AX135">
        <f>RAND()</f>
        <v/>
      </c>
      <c r="AY135">
        <f>RAND()</f>
        <v/>
      </c>
      <c r="AZ135">
        <f>RAND()</f>
        <v/>
      </c>
    </row>
    <row r="136">
      <c r="A136" s="7" t="inlineStr">
        <is>
          <t>Lost revenue</t>
        </is>
      </c>
      <c r="B136" t="inlineStr">
        <is>
          <t>excluded</t>
        </is>
      </c>
      <c r="C136" t="inlineStr">
        <is>
          <t>included</t>
        </is>
      </c>
      <c r="D136" s="14">
        <f>(SUMPRODUCT((K24:K26&lt;=$B$6)*(L24:L26*$B$12+M24:M26*$B$10*$B$8*0)/(1+$B$5/100)^K24:K26)+L27*$B$12*$B$13/(1+$B$5/100)^$B$6)-(SUMPRODUCT((B24:B31&lt;=$B$6)*(C24:C31*$B$11+D24:D31*$B$10*$B$8*0)/(1+$B$5/100)^B24:B31)+C32*$B$11*$B$13/(1+$B$5/100)^$B$6)</f>
        <v/>
      </c>
      <c r="E136" s="14">
        <f>$D$44</f>
        <v/>
      </c>
      <c r="F136" s="14">
        <f>ABS(E136-D136)</f>
        <v/>
      </c>
      <c r="G136">
        <f>IF(SIGN(D136)&lt;&gt;SIGN(E136),"YES","no")</f>
        <v/>
      </c>
      <c r="AK136" t="n">
        <v>123</v>
      </c>
      <c r="AL136">
        <f>IFERROR(IF(AU136&lt;($AM$6-$AL$6)/($AN$6-$AL$6),$AL$6+SQRT(AU136*($AN$6-$AL$6)*($AM$6-$AL$6)),$AN$6-SQRT((1-AU136)*($AN$6-$AL$6)*($AN$6-$AM$6))),$AM$6)</f>
        <v/>
      </c>
      <c r="AM136">
        <f>IFERROR(IF(AV136&lt;($AM$7-$AL$7)/($AN$7-$AL$7),$AL$7+SQRT(AV136*($AN$7-$AL$7)*($AM$7-$AL$7)),$AN$7-SQRT((1-AV136)*($AN$7-$AL$7)*($AN$7-$AM$7))),$AM$7)</f>
        <v/>
      </c>
      <c r="AN136">
        <f>IFERROR(IF(AW136&lt;($AM$8-$AL$8)/($AN$8-$AL$8),$AL$8+SQRT(AW136*($AN$8-$AL$8)*($AM$8-$AL$8)),$AN$8-SQRT((1-AW136)*($AN$8-$AL$8)*($AN$8-$AM$8))),$AM$8)</f>
        <v/>
      </c>
      <c r="AO136">
        <f>IFERROR(IF(AX136&lt;($AM$9-$AL$9)/($AN$9-$AL$9),$AL$9+SQRT(AX136*($AN$9-$AL$9)*($AM$9-$AL$9)),$AN$9-SQRT((1-AX136)*($AN$9-$AL$9)*($AN$9-$AM$9))),$AM$9)</f>
        <v/>
      </c>
      <c r="AP136">
        <f>IFERROR(IF(AY136&lt;($AM$10-$AL$10)/($AN$10-$AL$10),$AL$10+SQRT(AY136*($AN$10-$AL$10)*($AM$10-$AL$10)),$AN$10-SQRT((1-AY136)*($AN$10-$AL$10)*($AN$10-$AM$10))),$AM$10)</f>
        <v/>
      </c>
      <c r="AQ136">
        <f>IFERROR(IF(AZ136&lt;($AM$11-$AL$11)/($AN$11-$AL$11),$AL$11+SQRT(AZ136*($AN$11-$AL$11)*($AM$11-$AL$11)),$AN$11-SQRT((1-AZ136)*($AN$11-$AL$11)*($AN$11-$AM$11))),$AM$11)</f>
        <v/>
      </c>
      <c r="AR136">
        <f>SUMPRODUCT((B24:B31&lt;=$B$6)*(C24:C31*AM136+D24:D31*AO136*$B$8*AQ136)/(1+AL136/100)^B24:B31)+C32*AM136*AP136/(1+AL136/100)^$B$6</f>
        <v/>
      </c>
      <c r="AS136">
        <f>SUMPRODUCT((K24:K26&lt;=$B$6)*(L24:L26*AN136+M24:M26*AO136*$B$8*AQ136)/(1+AL136/100)^K24:K26)+L27*AN136*AP136/(1+AL136/100)^$B$6</f>
        <v/>
      </c>
      <c r="AT136">
        <f>AS136-AR136</f>
        <v/>
      </c>
      <c r="AU136">
        <f>RAND()</f>
        <v/>
      </c>
      <c r="AV136">
        <f>RAND()</f>
        <v/>
      </c>
      <c r="AW136">
        <f>RAND()</f>
        <v/>
      </c>
      <c r="AX136">
        <f>RAND()</f>
        <v/>
      </c>
      <c r="AY136">
        <f>RAND()</f>
        <v/>
      </c>
      <c r="AZ136">
        <f>RAND()</f>
        <v/>
      </c>
    </row>
    <row r="137">
      <c r="A137" s="7" t="inlineStr">
        <is>
          <t>Analysis period</t>
        </is>
      </c>
      <c r="B137" t="inlineStr">
        <is>
          <t>20 yr (FAA)</t>
        </is>
      </c>
      <c r="C137" t="inlineStr">
        <is>
          <t>30 yr</t>
        </is>
      </c>
      <c r="D137" s="14">
        <f>(SUMPRODUCT((K24:K26&lt;=20)*(L24:L26*$B$12+M24:M26*$B$10*$B$8*$B$9)/(1+$B$5/100)^K24:K26)+L27*$B$12*$B$13/(1+$B$5/100)^20)-(SUMPRODUCT((B24:B31&lt;=20)*(C24:C31*$B$11+D24:D31*$B$10*$B$8*$B$9)/(1+$B$5/100)^B24:B31)+C32*$B$11*$B$13/(1+$B$5/100)^20)</f>
        <v/>
      </c>
      <c r="E137" s="14">
        <f>$D$44</f>
        <v/>
      </c>
      <c r="F137" s="14">
        <f>ABS(E137-D137)</f>
        <v/>
      </c>
      <c r="G137">
        <f>IF(SIGN(D137)&lt;&gt;SIGN(E137),"YES","no")</f>
        <v/>
      </c>
      <c r="AK137" t="n">
        <v>124</v>
      </c>
      <c r="AL137">
        <f>IFERROR(IF(AU137&lt;($AM$6-$AL$6)/($AN$6-$AL$6),$AL$6+SQRT(AU137*($AN$6-$AL$6)*($AM$6-$AL$6)),$AN$6-SQRT((1-AU137)*($AN$6-$AL$6)*($AN$6-$AM$6))),$AM$6)</f>
        <v/>
      </c>
      <c r="AM137">
        <f>IFERROR(IF(AV137&lt;($AM$7-$AL$7)/($AN$7-$AL$7),$AL$7+SQRT(AV137*($AN$7-$AL$7)*($AM$7-$AL$7)),$AN$7-SQRT((1-AV137)*($AN$7-$AL$7)*($AN$7-$AM$7))),$AM$7)</f>
        <v/>
      </c>
      <c r="AN137">
        <f>IFERROR(IF(AW137&lt;($AM$8-$AL$8)/($AN$8-$AL$8),$AL$8+SQRT(AW137*($AN$8-$AL$8)*($AM$8-$AL$8)),$AN$8-SQRT((1-AW137)*($AN$8-$AL$8)*($AN$8-$AM$8))),$AM$8)</f>
        <v/>
      </c>
      <c r="AO137">
        <f>IFERROR(IF(AX137&lt;($AM$9-$AL$9)/($AN$9-$AL$9),$AL$9+SQRT(AX137*($AN$9-$AL$9)*($AM$9-$AL$9)),$AN$9-SQRT((1-AX137)*($AN$9-$AL$9)*($AN$9-$AM$9))),$AM$9)</f>
        <v/>
      </c>
      <c r="AP137">
        <f>IFERROR(IF(AY137&lt;($AM$10-$AL$10)/($AN$10-$AL$10),$AL$10+SQRT(AY137*($AN$10-$AL$10)*($AM$10-$AL$10)),$AN$10-SQRT((1-AY137)*($AN$10-$AL$10)*($AN$10-$AM$10))),$AM$10)</f>
        <v/>
      </c>
      <c r="AQ137">
        <f>IFERROR(IF(AZ137&lt;($AM$11-$AL$11)/($AN$11-$AL$11),$AL$11+SQRT(AZ137*($AN$11-$AL$11)*($AM$11-$AL$11)),$AN$11-SQRT((1-AZ137)*($AN$11-$AL$11)*($AN$11-$AM$11))),$AM$11)</f>
        <v/>
      </c>
      <c r="AR137">
        <f>SUMPRODUCT((B24:B31&lt;=$B$6)*(C24:C31*AM137+D24:D31*AO137*$B$8*AQ137)/(1+AL137/100)^B24:B31)+C32*AM137*AP137/(1+AL137/100)^$B$6</f>
        <v/>
      </c>
      <c r="AS137">
        <f>SUMPRODUCT((K24:K26&lt;=$B$6)*(L24:L26*AN137+M24:M26*AO137*$B$8*AQ137)/(1+AL137/100)^K24:K26)+L27*AN137*AP137/(1+AL137/100)^$B$6</f>
        <v/>
      </c>
      <c r="AT137">
        <f>AS137-AR137</f>
        <v/>
      </c>
      <c r="AU137">
        <f>RAND()</f>
        <v/>
      </c>
      <c r="AV137">
        <f>RAND()</f>
        <v/>
      </c>
      <c r="AW137">
        <f>RAND()</f>
        <v/>
      </c>
      <c r="AX137">
        <f>RAND()</f>
        <v/>
      </c>
      <c r="AY137">
        <f>RAND()</f>
        <v/>
      </c>
      <c r="AZ137">
        <f>RAND()</f>
        <v/>
      </c>
    </row>
    <row r="138">
      <c r="A138" s="7" t="inlineStr">
        <is>
          <t>Base case PCC - HMA</t>
        </is>
      </c>
      <c r="D138" s="14">
        <f>$D$44</f>
        <v/>
      </c>
      <c r="AK138" t="n">
        <v>125</v>
      </c>
      <c r="AL138">
        <f>IFERROR(IF(AU138&lt;($AM$6-$AL$6)/($AN$6-$AL$6),$AL$6+SQRT(AU138*($AN$6-$AL$6)*($AM$6-$AL$6)),$AN$6-SQRT((1-AU138)*($AN$6-$AL$6)*($AN$6-$AM$6))),$AM$6)</f>
        <v/>
      </c>
      <c r="AM138">
        <f>IFERROR(IF(AV138&lt;($AM$7-$AL$7)/($AN$7-$AL$7),$AL$7+SQRT(AV138*($AN$7-$AL$7)*($AM$7-$AL$7)),$AN$7-SQRT((1-AV138)*($AN$7-$AL$7)*($AN$7-$AM$7))),$AM$7)</f>
        <v/>
      </c>
      <c r="AN138">
        <f>IFERROR(IF(AW138&lt;($AM$8-$AL$8)/($AN$8-$AL$8),$AL$8+SQRT(AW138*($AN$8-$AL$8)*($AM$8-$AL$8)),$AN$8-SQRT((1-AW138)*($AN$8-$AL$8)*($AN$8-$AM$8))),$AM$8)</f>
        <v/>
      </c>
      <c r="AO138">
        <f>IFERROR(IF(AX138&lt;($AM$9-$AL$9)/($AN$9-$AL$9),$AL$9+SQRT(AX138*($AN$9-$AL$9)*($AM$9-$AL$9)),$AN$9-SQRT((1-AX138)*($AN$9-$AL$9)*($AN$9-$AM$9))),$AM$9)</f>
        <v/>
      </c>
      <c r="AP138">
        <f>IFERROR(IF(AY138&lt;($AM$10-$AL$10)/($AN$10-$AL$10),$AL$10+SQRT(AY138*($AN$10-$AL$10)*($AM$10-$AL$10)),$AN$10-SQRT((1-AY138)*($AN$10-$AL$10)*($AN$10-$AM$10))),$AM$10)</f>
        <v/>
      </c>
      <c r="AQ138">
        <f>IFERROR(IF(AZ138&lt;($AM$11-$AL$11)/($AN$11-$AL$11),$AL$11+SQRT(AZ138*($AN$11-$AL$11)*($AM$11-$AL$11)),$AN$11-SQRT((1-AZ138)*($AN$11-$AL$11)*($AN$11-$AM$11))),$AM$11)</f>
        <v/>
      </c>
      <c r="AR138">
        <f>SUMPRODUCT((B24:B31&lt;=$B$6)*(C24:C31*AM138+D24:D31*AO138*$B$8*AQ138)/(1+AL138/100)^B24:B31)+C32*AM138*AP138/(1+AL138/100)^$B$6</f>
        <v/>
      </c>
      <c r="AS138">
        <f>SUMPRODUCT((K24:K26&lt;=$B$6)*(L24:L26*AN138+M24:M26*AO138*$B$8*AQ138)/(1+AL138/100)^K24:K26)+L27*AN138*AP138/(1+AL138/100)^$B$6</f>
        <v/>
      </c>
      <c r="AT138">
        <f>AS138-AR138</f>
        <v/>
      </c>
      <c r="AU138">
        <f>RAND()</f>
        <v/>
      </c>
      <c r="AV138">
        <f>RAND()</f>
        <v/>
      </c>
      <c r="AW138">
        <f>RAND()</f>
        <v/>
      </c>
      <c r="AX138">
        <f>RAND()</f>
        <v/>
      </c>
      <c r="AY138">
        <f>RAND()</f>
        <v/>
      </c>
      <c r="AZ138">
        <f>RAND()</f>
        <v/>
      </c>
    </row>
    <row r="139">
      <c r="AK139" t="n">
        <v>126</v>
      </c>
      <c r="AL139">
        <f>IFERROR(IF(AU139&lt;($AM$6-$AL$6)/($AN$6-$AL$6),$AL$6+SQRT(AU139*($AN$6-$AL$6)*($AM$6-$AL$6)),$AN$6-SQRT((1-AU139)*($AN$6-$AL$6)*($AN$6-$AM$6))),$AM$6)</f>
        <v/>
      </c>
      <c r="AM139">
        <f>IFERROR(IF(AV139&lt;($AM$7-$AL$7)/($AN$7-$AL$7),$AL$7+SQRT(AV139*($AN$7-$AL$7)*($AM$7-$AL$7)),$AN$7-SQRT((1-AV139)*($AN$7-$AL$7)*($AN$7-$AM$7))),$AM$7)</f>
        <v/>
      </c>
      <c r="AN139">
        <f>IFERROR(IF(AW139&lt;($AM$8-$AL$8)/($AN$8-$AL$8),$AL$8+SQRT(AW139*($AN$8-$AL$8)*($AM$8-$AL$8)),$AN$8-SQRT((1-AW139)*($AN$8-$AL$8)*($AN$8-$AM$8))),$AM$8)</f>
        <v/>
      </c>
      <c r="AO139">
        <f>IFERROR(IF(AX139&lt;($AM$9-$AL$9)/($AN$9-$AL$9),$AL$9+SQRT(AX139*($AN$9-$AL$9)*($AM$9-$AL$9)),$AN$9-SQRT((1-AX139)*($AN$9-$AL$9)*($AN$9-$AM$9))),$AM$9)</f>
        <v/>
      </c>
      <c r="AP139">
        <f>IFERROR(IF(AY139&lt;($AM$10-$AL$10)/($AN$10-$AL$10),$AL$10+SQRT(AY139*($AN$10-$AL$10)*($AM$10-$AL$10)),$AN$10-SQRT((1-AY139)*($AN$10-$AL$10)*($AN$10-$AM$10))),$AM$10)</f>
        <v/>
      </c>
      <c r="AQ139">
        <f>IFERROR(IF(AZ139&lt;($AM$11-$AL$11)/($AN$11-$AL$11),$AL$11+SQRT(AZ139*($AN$11-$AL$11)*($AM$11-$AL$11)),$AN$11-SQRT((1-AZ139)*($AN$11-$AL$11)*($AN$11-$AM$11))),$AM$11)</f>
        <v/>
      </c>
      <c r="AR139">
        <f>SUMPRODUCT((B24:B31&lt;=$B$6)*(C24:C31*AM139+D24:D31*AO139*$B$8*AQ139)/(1+AL139/100)^B24:B31)+C32*AM139*AP139/(1+AL139/100)^$B$6</f>
        <v/>
      </c>
      <c r="AS139">
        <f>SUMPRODUCT((K24:K26&lt;=$B$6)*(L24:L26*AN139+M24:M26*AO139*$B$8*AQ139)/(1+AL139/100)^K24:K26)+L27*AN139*AP139/(1+AL139/100)^$B$6</f>
        <v/>
      </c>
      <c r="AT139">
        <f>AS139-AR139</f>
        <v/>
      </c>
      <c r="AU139">
        <f>RAND()</f>
        <v/>
      </c>
      <c r="AV139">
        <f>RAND()</f>
        <v/>
      </c>
      <c r="AW139">
        <f>RAND()</f>
        <v/>
      </c>
      <c r="AX139">
        <f>RAND()</f>
        <v/>
      </c>
      <c r="AY139">
        <f>RAND()</f>
        <v/>
      </c>
      <c r="AZ139">
        <f>RAND()</f>
        <v/>
      </c>
    </row>
    <row r="140">
      <c r="AK140" t="n">
        <v>127</v>
      </c>
      <c r="AL140">
        <f>IFERROR(IF(AU140&lt;($AM$6-$AL$6)/($AN$6-$AL$6),$AL$6+SQRT(AU140*($AN$6-$AL$6)*($AM$6-$AL$6)),$AN$6-SQRT((1-AU140)*($AN$6-$AL$6)*($AN$6-$AM$6))),$AM$6)</f>
        <v/>
      </c>
      <c r="AM140">
        <f>IFERROR(IF(AV140&lt;($AM$7-$AL$7)/($AN$7-$AL$7),$AL$7+SQRT(AV140*($AN$7-$AL$7)*($AM$7-$AL$7)),$AN$7-SQRT((1-AV140)*($AN$7-$AL$7)*($AN$7-$AM$7))),$AM$7)</f>
        <v/>
      </c>
      <c r="AN140">
        <f>IFERROR(IF(AW140&lt;($AM$8-$AL$8)/($AN$8-$AL$8),$AL$8+SQRT(AW140*($AN$8-$AL$8)*($AM$8-$AL$8)),$AN$8-SQRT((1-AW140)*($AN$8-$AL$8)*($AN$8-$AM$8))),$AM$8)</f>
        <v/>
      </c>
      <c r="AO140">
        <f>IFERROR(IF(AX140&lt;($AM$9-$AL$9)/($AN$9-$AL$9),$AL$9+SQRT(AX140*($AN$9-$AL$9)*($AM$9-$AL$9)),$AN$9-SQRT((1-AX140)*($AN$9-$AL$9)*($AN$9-$AM$9))),$AM$9)</f>
        <v/>
      </c>
      <c r="AP140">
        <f>IFERROR(IF(AY140&lt;($AM$10-$AL$10)/($AN$10-$AL$10),$AL$10+SQRT(AY140*($AN$10-$AL$10)*($AM$10-$AL$10)),$AN$10-SQRT((1-AY140)*($AN$10-$AL$10)*($AN$10-$AM$10))),$AM$10)</f>
        <v/>
      </c>
      <c r="AQ140">
        <f>IFERROR(IF(AZ140&lt;($AM$11-$AL$11)/($AN$11-$AL$11),$AL$11+SQRT(AZ140*($AN$11-$AL$11)*($AM$11-$AL$11)),$AN$11-SQRT((1-AZ140)*($AN$11-$AL$11)*($AN$11-$AM$11))),$AM$11)</f>
        <v/>
      </c>
      <c r="AR140">
        <f>SUMPRODUCT((B24:B31&lt;=$B$6)*(C24:C31*AM140+D24:D31*AO140*$B$8*AQ140)/(1+AL140/100)^B24:B31)+C32*AM140*AP140/(1+AL140/100)^$B$6</f>
        <v/>
      </c>
      <c r="AS140">
        <f>SUMPRODUCT((K24:K26&lt;=$B$6)*(L24:L26*AN140+M24:M26*AO140*$B$8*AQ140)/(1+AL140/100)^K24:K26)+L27*AN140*AP140/(1+AL140/100)^$B$6</f>
        <v/>
      </c>
      <c r="AT140">
        <f>AS140-AR140</f>
        <v/>
      </c>
      <c r="AU140">
        <f>RAND()</f>
        <v/>
      </c>
      <c r="AV140">
        <f>RAND()</f>
        <v/>
      </c>
      <c r="AW140">
        <f>RAND()</f>
        <v/>
      </c>
      <c r="AX140">
        <f>RAND()</f>
        <v/>
      </c>
      <c r="AY140">
        <f>RAND()</f>
        <v/>
      </c>
      <c r="AZ140">
        <f>RAND()</f>
        <v/>
      </c>
    </row>
    <row r="141">
      <c r="A141" s="4" t="inlineStr">
        <is>
          <t>SCENARIO SCORECARD</t>
        </is>
      </c>
      <c r="AK141" t="n">
        <v>128</v>
      </c>
      <c r="AL141">
        <f>IFERROR(IF(AU141&lt;($AM$6-$AL$6)/($AN$6-$AL$6),$AL$6+SQRT(AU141*($AN$6-$AL$6)*($AM$6-$AL$6)),$AN$6-SQRT((1-AU141)*($AN$6-$AL$6)*($AN$6-$AM$6))),$AM$6)</f>
        <v/>
      </c>
      <c r="AM141">
        <f>IFERROR(IF(AV141&lt;($AM$7-$AL$7)/($AN$7-$AL$7),$AL$7+SQRT(AV141*($AN$7-$AL$7)*($AM$7-$AL$7)),$AN$7-SQRT((1-AV141)*($AN$7-$AL$7)*($AN$7-$AM$7))),$AM$7)</f>
        <v/>
      </c>
      <c r="AN141">
        <f>IFERROR(IF(AW141&lt;($AM$8-$AL$8)/($AN$8-$AL$8),$AL$8+SQRT(AW141*($AN$8-$AL$8)*($AM$8-$AL$8)),$AN$8-SQRT((1-AW141)*($AN$8-$AL$8)*($AN$8-$AM$8))),$AM$8)</f>
        <v/>
      </c>
      <c r="AO141">
        <f>IFERROR(IF(AX141&lt;($AM$9-$AL$9)/($AN$9-$AL$9),$AL$9+SQRT(AX141*($AN$9-$AL$9)*($AM$9-$AL$9)),$AN$9-SQRT((1-AX141)*($AN$9-$AL$9)*($AN$9-$AM$9))),$AM$9)</f>
        <v/>
      </c>
      <c r="AP141">
        <f>IFERROR(IF(AY141&lt;($AM$10-$AL$10)/($AN$10-$AL$10),$AL$10+SQRT(AY141*($AN$10-$AL$10)*($AM$10-$AL$10)),$AN$10-SQRT((1-AY141)*($AN$10-$AL$10)*($AN$10-$AM$10))),$AM$10)</f>
        <v/>
      </c>
      <c r="AQ141">
        <f>IFERROR(IF(AZ141&lt;($AM$11-$AL$11)/($AN$11-$AL$11),$AL$11+SQRT(AZ141*($AN$11-$AL$11)*($AM$11-$AL$11)),$AN$11-SQRT((1-AZ141)*($AN$11-$AL$11)*($AN$11-$AM$11))),$AM$11)</f>
        <v/>
      </c>
      <c r="AR141">
        <f>SUMPRODUCT((B24:B31&lt;=$B$6)*(C24:C31*AM141+D24:D31*AO141*$B$8*AQ141)/(1+AL141/100)^B24:B31)+C32*AM141*AP141/(1+AL141/100)^$B$6</f>
        <v/>
      </c>
      <c r="AS141">
        <f>SUMPRODUCT((K24:K26&lt;=$B$6)*(L24:L26*AN141+M24:M26*AO141*$B$8*AQ141)/(1+AL141/100)^K24:K26)+L27*AN141*AP141/(1+AL141/100)^$B$6</f>
        <v/>
      </c>
      <c r="AT141">
        <f>AS141-AR141</f>
        <v/>
      </c>
      <c r="AU141">
        <f>RAND()</f>
        <v/>
      </c>
      <c r="AV141">
        <f>RAND()</f>
        <v/>
      </c>
      <c r="AW141">
        <f>RAND()</f>
        <v/>
      </c>
      <c r="AX141">
        <f>RAND()</f>
        <v/>
      </c>
      <c r="AY141">
        <f>RAND()</f>
        <v/>
      </c>
      <c r="AZ141">
        <f>RAND()</f>
        <v/>
      </c>
    </row>
    <row r="142">
      <c r="A142" s="6" t="inlineStr">
        <is>
          <t>Scenario</t>
        </is>
      </c>
      <c r="B142" s="6" t="inlineStr">
        <is>
          <t>Rate %</t>
        </is>
      </c>
      <c r="C142" s="6" t="inlineStr">
        <is>
          <t>Period</t>
        </is>
      </c>
      <c r="D142" s="6" t="inlineStr">
        <is>
          <t>HMA cost x</t>
        </is>
      </c>
      <c r="E142" s="6" t="inlineStr">
        <is>
          <t>PCC cost x</t>
        </is>
      </c>
      <c r="F142" s="6" t="inlineStr">
        <is>
          <t>Closure x</t>
        </is>
      </c>
      <c r="G142" s="6" t="inlineStr">
        <is>
          <t>Salvage x</t>
        </is>
      </c>
      <c r="H142" s="6" t="inlineStr">
        <is>
          <t>Revenue share lost</t>
        </is>
      </c>
      <c r="I142" s="6" t="inlineStr">
        <is>
          <t>NPW HMA</t>
        </is>
      </c>
      <c r="J142" s="6" t="inlineStr">
        <is>
          <t>NPW PCC</t>
        </is>
      </c>
      <c r="K142" s="6" t="inlineStr">
        <is>
          <t>PCC - HMA</t>
        </is>
      </c>
      <c r="L142" s="6" t="inlineStr">
        <is>
          <t>Winner</t>
        </is>
      </c>
      <c r="AK142" t="n">
        <v>129</v>
      </c>
      <c r="AL142">
        <f>IFERROR(IF(AU142&lt;($AM$6-$AL$6)/($AN$6-$AL$6),$AL$6+SQRT(AU142*($AN$6-$AL$6)*($AM$6-$AL$6)),$AN$6-SQRT((1-AU142)*($AN$6-$AL$6)*($AN$6-$AM$6))),$AM$6)</f>
        <v/>
      </c>
      <c r="AM142">
        <f>IFERROR(IF(AV142&lt;($AM$7-$AL$7)/($AN$7-$AL$7),$AL$7+SQRT(AV142*($AN$7-$AL$7)*($AM$7-$AL$7)),$AN$7-SQRT((1-AV142)*($AN$7-$AL$7)*($AN$7-$AM$7))),$AM$7)</f>
        <v/>
      </c>
      <c r="AN142">
        <f>IFERROR(IF(AW142&lt;($AM$8-$AL$8)/($AN$8-$AL$8),$AL$8+SQRT(AW142*($AN$8-$AL$8)*($AM$8-$AL$8)),$AN$8-SQRT((1-AW142)*($AN$8-$AL$8)*($AN$8-$AM$8))),$AM$8)</f>
        <v/>
      </c>
      <c r="AO142">
        <f>IFERROR(IF(AX142&lt;($AM$9-$AL$9)/($AN$9-$AL$9),$AL$9+SQRT(AX142*($AN$9-$AL$9)*($AM$9-$AL$9)),$AN$9-SQRT((1-AX142)*($AN$9-$AL$9)*($AN$9-$AM$9))),$AM$9)</f>
        <v/>
      </c>
      <c r="AP142">
        <f>IFERROR(IF(AY142&lt;($AM$10-$AL$10)/($AN$10-$AL$10),$AL$10+SQRT(AY142*($AN$10-$AL$10)*($AM$10-$AL$10)),$AN$10-SQRT((1-AY142)*($AN$10-$AL$10)*($AN$10-$AM$10))),$AM$10)</f>
        <v/>
      </c>
      <c r="AQ142">
        <f>IFERROR(IF(AZ142&lt;($AM$11-$AL$11)/($AN$11-$AL$11),$AL$11+SQRT(AZ142*($AN$11-$AL$11)*($AM$11-$AL$11)),$AN$11-SQRT((1-AZ142)*($AN$11-$AL$11)*($AN$11-$AM$11))),$AM$11)</f>
        <v/>
      </c>
      <c r="AR142">
        <f>SUMPRODUCT((B24:B31&lt;=$B$6)*(C24:C31*AM142+D24:D31*AO142*$B$8*AQ142)/(1+AL142/100)^B24:B31)+C32*AM142*AP142/(1+AL142/100)^$B$6</f>
        <v/>
      </c>
      <c r="AS142">
        <f>SUMPRODUCT((K24:K26&lt;=$B$6)*(L24:L26*AN142+M24:M26*AO142*$B$8*AQ142)/(1+AL142/100)^K24:K26)+L27*AN142*AP142/(1+AL142/100)^$B$6</f>
        <v/>
      </c>
      <c r="AT142">
        <f>AS142-AR142</f>
        <v/>
      </c>
      <c r="AU142">
        <f>RAND()</f>
        <v/>
      </c>
      <c r="AV142">
        <f>RAND()</f>
        <v/>
      </c>
      <c r="AW142">
        <f>RAND()</f>
        <v/>
      </c>
      <c r="AX142">
        <f>RAND()</f>
        <v/>
      </c>
      <c r="AY142">
        <f>RAND()</f>
        <v/>
      </c>
      <c r="AZ142">
        <f>RAND()</f>
        <v/>
      </c>
    </row>
    <row r="143">
      <c r="A143" s="7" t="inlineStr">
        <is>
          <t>Base: TDOT policy (3%, 30 yr)</t>
        </is>
      </c>
      <c r="B143" t="n">
        <v>3</v>
      </c>
      <c r="C143" t="n">
        <v>30</v>
      </c>
      <c r="D143" t="n">
        <v>1</v>
      </c>
      <c r="E143" t="n">
        <v>1</v>
      </c>
      <c r="F143" t="n">
        <v>1</v>
      </c>
      <c r="G143" t="n">
        <v>1</v>
      </c>
      <c r="H143" t="n">
        <v>1</v>
      </c>
      <c r="I143" s="14">
        <f>SUMPRODUCT((B24:B31&lt;=$C143)*(C24:C31*$D143+D24:D31*$F143*$B$8*$H143)/(1+$B143/100)^B24:B31)+C32*$D143*$G143/(1+$B143/100)^$C143</f>
        <v/>
      </c>
      <c r="J143" s="14">
        <f>SUMPRODUCT((K24:K26&lt;=$C143)*(L24:L26*$E143+M24:M26*$F143*$B$8*$H143)/(1+$B143/100)^K24:K26)+L27*$E143*$G143/(1+$B143/100)^$C143</f>
        <v/>
      </c>
      <c r="K143" s="14">
        <f>J143-I143</f>
        <v/>
      </c>
      <c r="L143">
        <f>IF(K143&lt;0,"PCC","HMA")</f>
        <v/>
      </c>
      <c r="AK143" t="n">
        <v>130</v>
      </c>
      <c r="AL143">
        <f>IFERROR(IF(AU143&lt;($AM$6-$AL$6)/($AN$6-$AL$6),$AL$6+SQRT(AU143*($AN$6-$AL$6)*($AM$6-$AL$6)),$AN$6-SQRT((1-AU143)*($AN$6-$AL$6)*($AN$6-$AM$6))),$AM$6)</f>
        <v/>
      </c>
      <c r="AM143">
        <f>IFERROR(IF(AV143&lt;($AM$7-$AL$7)/($AN$7-$AL$7),$AL$7+SQRT(AV143*($AN$7-$AL$7)*($AM$7-$AL$7)),$AN$7-SQRT((1-AV143)*($AN$7-$AL$7)*($AN$7-$AM$7))),$AM$7)</f>
        <v/>
      </c>
      <c r="AN143">
        <f>IFERROR(IF(AW143&lt;($AM$8-$AL$8)/($AN$8-$AL$8),$AL$8+SQRT(AW143*($AN$8-$AL$8)*($AM$8-$AL$8)),$AN$8-SQRT((1-AW143)*($AN$8-$AL$8)*($AN$8-$AM$8))),$AM$8)</f>
        <v/>
      </c>
      <c r="AO143">
        <f>IFERROR(IF(AX143&lt;($AM$9-$AL$9)/($AN$9-$AL$9),$AL$9+SQRT(AX143*($AN$9-$AL$9)*($AM$9-$AL$9)),$AN$9-SQRT((1-AX143)*($AN$9-$AL$9)*($AN$9-$AM$9))),$AM$9)</f>
        <v/>
      </c>
      <c r="AP143">
        <f>IFERROR(IF(AY143&lt;($AM$10-$AL$10)/($AN$10-$AL$10),$AL$10+SQRT(AY143*($AN$10-$AL$10)*($AM$10-$AL$10)),$AN$10-SQRT((1-AY143)*($AN$10-$AL$10)*($AN$10-$AM$10))),$AM$10)</f>
        <v/>
      </c>
      <c r="AQ143">
        <f>IFERROR(IF(AZ143&lt;($AM$11-$AL$11)/($AN$11-$AL$11),$AL$11+SQRT(AZ143*($AN$11-$AL$11)*($AM$11-$AL$11)),$AN$11-SQRT((1-AZ143)*($AN$11-$AL$11)*($AN$11-$AM$11))),$AM$11)</f>
        <v/>
      </c>
      <c r="AR143">
        <f>SUMPRODUCT((B24:B31&lt;=$B$6)*(C24:C31*AM143+D24:D31*AO143*$B$8*AQ143)/(1+AL143/100)^B24:B31)+C32*AM143*AP143/(1+AL143/100)^$B$6</f>
        <v/>
      </c>
      <c r="AS143">
        <f>SUMPRODUCT((K24:K26&lt;=$B$6)*(L24:L26*AN143+M24:M26*AO143*$B$8*AQ143)/(1+AL143/100)^K24:K26)+L27*AN143*AP143/(1+AL143/100)^$B$6</f>
        <v/>
      </c>
      <c r="AT143">
        <f>AS143-AR143</f>
        <v/>
      </c>
      <c r="AU143">
        <f>RAND()</f>
        <v/>
      </c>
      <c r="AV143">
        <f>RAND()</f>
        <v/>
      </c>
      <c r="AW143">
        <f>RAND()</f>
        <v/>
      </c>
      <c r="AX143">
        <f>RAND()</f>
        <v/>
      </c>
      <c r="AY143">
        <f>RAND()</f>
        <v/>
      </c>
      <c r="AZ143">
        <f>RAND()</f>
        <v/>
      </c>
    </row>
    <row r="144">
      <c r="A144" s="7" t="inlineStr">
        <is>
          <t>FAA AIP funded (7%, 20 yr)</t>
        </is>
      </c>
      <c r="B144" t="n">
        <v>7</v>
      </c>
      <c r="C144" t="n">
        <v>20</v>
      </c>
      <c r="D144" t="n">
        <v>1</v>
      </c>
      <c r="E144" t="n">
        <v>1</v>
      </c>
      <c r="F144" t="n">
        <v>1</v>
      </c>
      <c r="G144" t="n">
        <v>1</v>
      </c>
      <c r="H144" t="n">
        <v>1</v>
      </c>
      <c r="I144" s="14">
        <f>SUMPRODUCT((B24:B31&lt;=$C144)*(C24:C31*$D144+D24:D31*$F144*$B$8*$H144)/(1+$B144/100)^B24:B31)+C32*$D144*$G144/(1+$B144/100)^$C144</f>
        <v/>
      </c>
      <c r="J144" s="14">
        <f>SUMPRODUCT((K24:K26&lt;=$C144)*(L24:L26*$E144+M24:M26*$F144*$B$8*$H144)/(1+$B144/100)^K24:K26)+L27*$E144*$G144/(1+$B144/100)^$C144</f>
        <v/>
      </c>
      <c r="K144" s="14">
        <f>J144-I144</f>
        <v/>
      </c>
      <c r="L144">
        <f>IF(K144&lt;0,"PCC","HMA")</f>
        <v/>
      </c>
      <c r="AK144" t="n">
        <v>131</v>
      </c>
      <c r="AL144">
        <f>IFERROR(IF(AU144&lt;($AM$6-$AL$6)/($AN$6-$AL$6),$AL$6+SQRT(AU144*($AN$6-$AL$6)*($AM$6-$AL$6)),$AN$6-SQRT((1-AU144)*($AN$6-$AL$6)*($AN$6-$AM$6))),$AM$6)</f>
        <v/>
      </c>
      <c r="AM144">
        <f>IFERROR(IF(AV144&lt;($AM$7-$AL$7)/($AN$7-$AL$7),$AL$7+SQRT(AV144*($AN$7-$AL$7)*($AM$7-$AL$7)),$AN$7-SQRT((1-AV144)*($AN$7-$AL$7)*($AN$7-$AM$7))),$AM$7)</f>
        <v/>
      </c>
      <c r="AN144">
        <f>IFERROR(IF(AW144&lt;($AM$8-$AL$8)/($AN$8-$AL$8),$AL$8+SQRT(AW144*($AN$8-$AL$8)*($AM$8-$AL$8)),$AN$8-SQRT((1-AW144)*($AN$8-$AL$8)*($AN$8-$AM$8))),$AM$8)</f>
        <v/>
      </c>
      <c r="AO144">
        <f>IFERROR(IF(AX144&lt;($AM$9-$AL$9)/($AN$9-$AL$9),$AL$9+SQRT(AX144*($AN$9-$AL$9)*($AM$9-$AL$9)),$AN$9-SQRT((1-AX144)*($AN$9-$AL$9)*($AN$9-$AM$9))),$AM$9)</f>
        <v/>
      </c>
      <c r="AP144">
        <f>IFERROR(IF(AY144&lt;($AM$10-$AL$10)/($AN$10-$AL$10),$AL$10+SQRT(AY144*($AN$10-$AL$10)*($AM$10-$AL$10)),$AN$10-SQRT((1-AY144)*($AN$10-$AL$10)*($AN$10-$AM$10))),$AM$10)</f>
        <v/>
      </c>
      <c r="AQ144">
        <f>IFERROR(IF(AZ144&lt;($AM$11-$AL$11)/($AN$11-$AL$11),$AL$11+SQRT(AZ144*($AN$11-$AL$11)*($AM$11-$AL$11)),$AN$11-SQRT((1-AZ144)*($AN$11-$AL$11)*($AN$11-$AM$11))),$AM$11)</f>
        <v/>
      </c>
      <c r="AR144">
        <f>SUMPRODUCT((B24:B31&lt;=$B$6)*(C24:C31*AM144+D24:D31*AO144*$B$8*AQ144)/(1+AL144/100)^B24:B31)+C32*AM144*AP144/(1+AL144/100)^$B$6</f>
        <v/>
      </c>
      <c r="AS144">
        <f>SUMPRODUCT((K24:K26&lt;=$B$6)*(L24:L26*AN144+M24:M26*AO144*$B$8*AQ144)/(1+AL144/100)^K24:K26)+L27*AN144*AP144/(1+AL144/100)^$B$6</f>
        <v/>
      </c>
      <c r="AT144">
        <f>AS144-AR144</f>
        <v/>
      </c>
      <c r="AU144">
        <f>RAND()</f>
        <v/>
      </c>
      <c r="AV144">
        <f>RAND()</f>
        <v/>
      </c>
      <c r="AW144">
        <f>RAND()</f>
        <v/>
      </c>
      <c r="AX144">
        <f>RAND()</f>
        <v/>
      </c>
      <c r="AY144">
        <f>RAND()</f>
        <v/>
      </c>
      <c r="AZ144">
        <f>RAND()</f>
        <v/>
      </c>
    </row>
    <row r="145">
      <c r="A145" s="7" t="inlineStr">
        <is>
          <t>TDOT 3% but 20-yr life</t>
        </is>
      </c>
      <c r="B145" t="n">
        <v>3</v>
      </c>
      <c r="C145" t="n">
        <v>20</v>
      </c>
      <c r="D145" t="n">
        <v>1</v>
      </c>
      <c r="E145" t="n">
        <v>1</v>
      </c>
      <c r="F145" t="n">
        <v>1</v>
      </c>
      <c r="G145" t="n">
        <v>1</v>
      </c>
      <c r="H145" t="n">
        <v>1</v>
      </c>
      <c r="I145" s="14">
        <f>SUMPRODUCT((B24:B31&lt;=$C145)*(C24:C31*$D145+D24:D31*$F145*$B$8*$H145)/(1+$B145/100)^B24:B31)+C32*$D145*$G145/(1+$B145/100)^$C145</f>
        <v/>
      </c>
      <c r="J145" s="14">
        <f>SUMPRODUCT((K24:K26&lt;=$C145)*(L24:L26*$E145+M24:M26*$F145*$B$8*$H145)/(1+$B145/100)^K24:K26)+L27*$E145*$G145/(1+$B145/100)^$C145</f>
        <v/>
      </c>
      <c r="K145" s="14">
        <f>J145-I145</f>
        <v/>
      </c>
      <c r="L145">
        <f>IF(K145&lt;0,"PCC","HMA")</f>
        <v/>
      </c>
      <c r="AK145" t="n">
        <v>132</v>
      </c>
      <c r="AL145">
        <f>IFERROR(IF(AU145&lt;($AM$6-$AL$6)/($AN$6-$AL$6),$AL$6+SQRT(AU145*($AN$6-$AL$6)*($AM$6-$AL$6)),$AN$6-SQRT((1-AU145)*($AN$6-$AL$6)*($AN$6-$AM$6))),$AM$6)</f>
        <v/>
      </c>
      <c r="AM145">
        <f>IFERROR(IF(AV145&lt;($AM$7-$AL$7)/($AN$7-$AL$7),$AL$7+SQRT(AV145*($AN$7-$AL$7)*($AM$7-$AL$7)),$AN$7-SQRT((1-AV145)*($AN$7-$AL$7)*($AN$7-$AM$7))),$AM$7)</f>
        <v/>
      </c>
      <c r="AN145">
        <f>IFERROR(IF(AW145&lt;($AM$8-$AL$8)/($AN$8-$AL$8),$AL$8+SQRT(AW145*($AN$8-$AL$8)*($AM$8-$AL$8)),$AN$8-SQRT((1-AW145)*($AN$8-$AL$8)*($AN$8-$AM$8))),$AM$8)</f>
        <v/>
      </c>
      <c r="AO145">
        <f>IFERROR(IF(AX145&lt;($AM$9-$AL$9)/($AN$9-$AL$9),$AL$9+SQRT(AX145*($AN$9-$AL$9)*($AM$9-$AL$9)),$AN$9-SQRT((1-AX145)*($AN$9-$AL$9)*($AN$9-$AM$9))),$AM$9)</f>
        <v/>
      </c>
      <c r="AP145">
        <f>IFERROR(IF(AY145&lt;($AM$10-$AL$10)/($AN$10-$AL$10),$AL$10+SQRT(AY145*($AN$10-$AL$10)*($AM$10-$AL$10)),$AN$10-SQRT((1-AY145)*($AN$10-$AL$10)*($AN$10-$AM$10))),$AM$10)</f>
        <v/>
      </c>
      <c r="AQ145">
        <f>IFERROR(IF(AZ145&lt;($AM$11-$AL$11)/($AN$11-$AL$11),$AL$11+SQRT(AZ145*($AN$11-$AL$11)*($AM$11-$AL$11)),$AN$11-SQRT((1-AZ145)*($AN$11-$AL$11)*($AN$11-$AM$11))),$AM$11)</f>
        <v/>
      </c>
      <c r="AR145">
        <f>SUMPRODUCT((B24:B31&lt;=$B$6)*(C24:C31*AM145+D24:D31*AO145*$B$8*AQ145)/(1+AL145/100)^B24:B31)+C32*AM145*AP145/(1+AL145/100)^$B$6</f>
        <v/>
      </c>
      <c r="AS145">
        <f>SUMPRODUCT((K24:K26&lt;=$B$6)*(L24:L26*AN145+M24:M26*AO145*$B$8*AQ145)/(1+AL145/100)^K24:K26)+L27*AN145*AP145/(1+AL145/100)^$B$6</f>
        <v/>
      </c>
      <c r="AT145">
        <f>AS145-AR145</f>
        <v/>
      </c>
      <c r="AU145">
        <f>RAND()</f>
        <v/>
      </c>
      <c r="AV145">
        <f>RAND()</f>
        <v/>
      </c>
      <c r="AW145">
        <f>RAND()</f>
        <v/>
      </c>
      <c r="AX145">
        <f>RAND()</f>
        <v/>
      </c>
      <c r="AY145">
        <f>RAND()</f>
        <v/>
      </c>
      <c r="AZ145">
        <f>RAND()</f>
        <v/>
      </c>
    </row>
    <row r="146">
      <c r="A146" s="7" t="inlineStr">
        <is>
          <t>High rate 5%</t>
        </is>
      </c>
      <c r="B146" t="n">
        <v>5</v>
      </c>
      <c r="C146" t="n">
        <v>30</v>
      </c>
      <c r="D146" t="n">
        <v>1</v>
      </c>
      <c r="E146" t="n">
        <v>1</v>
      </c>
      <c r="F146" t="n">
        <v>1</v>
      </c>
      <c r="G146" t="n">
        <v>1</v>
      </c>
      <c r="H146" t="n">
        <v>1</v>
      </c>
      <c r="I146" s="14">
        <f>SUMPRODUCT((B24:B31&lt;=$C146)*(C24:C31*$D146+D24:D31*$F146*$B$8*$H146)/(1+$B146/100)^B24:B31)+C32*$D146*$G146/(1+$B146/100)^$C146</f>
        <v/>
      </c>
      <c r="J146" s="14">
        <f>SUMPRODUCT((K24:K26&lt;=$C146)*(L24:L26*$E146+M24:M26*$F146*$B$8*$H146)/(1+$B146/100)^K24:K26)+L27*$E146*$G146/(1+$B146/100)^$C146</f>
        <v/>
      </c>
      <c r="K146" s="14">
        <f>J146-I146</f>
        <v/>
      </c>
      <c r="L146">
        <f>IF(K146&lt;0,"PCC","HMA")</f>
        <v/>
      </c>
      <c r="AK146" t="n">
        <v>133</v>
      </c>
      <c r="AL146">
        <f>IFERROR(IF(AU146&lt;($AM$6-$AL$6)/($AN$6-$AL$6),$AL$6+SQRT(AU146*($AN$6-$AL$6)*($AM$6-$AL$6)),$AN$6-SQRT((1-AU146)*($AN$6-$AL$6)*($AN$6-$AM$6))),$AM$6)</f>
        <v/>
      </c>
      <c r="AM146">
        <f>IFERROR(IF(AV146&lt;($AM$7-$AL$7)/($AN$7-$AL$7),$AL$7+SQRT(AV146*($AN$7-$AL$7)*($AM$7-$AL$7)),$AN$7-SQRT((1-AV146)*($AN$7-$AL$7)*($AN$7-$AM$7))),$AM$7)</f>
        <v/>
      </c>
      <c r="AN146">
        <f>IFERROR(IF(AW146&lt;($AM$8-$AL$8)/($AN$8-$AL$8),$AL$8+SQRT(AW146*($AN$8-$AL$8)*($AM$8-$AL$8)),$AN$8-SQRT((1-AW146)*($AN$8-$AL$8)*($AN$8-$AM$8))),$AM$8)</f>
        <v/>
      </c>
      <c r="AO146">
        <f>IFERROR(IF(AX146&lt;($AM$9-$AL$9)/($AN$9-$AL$9),$AL$9+SQRT(AX146*($AN$9-$AL$9)*($AM$9-$AL$9)),$AN$9-SQRT((1-AX146)*($AN$9-$AL$9)*($AN$9-$AM$9))),$AM$9)</f>
        <v/>
      </c>
      <c r="AP146">
        <f>IFERROR(IF(AY146&lt;($AM$10-$AL$10)/($AN$10-$AL$10),$AL$10+SQRT(AY146*($AN$10-$AL$10)*($AM$10-$AL$10)),$AN$10-SQRT((1-AY146)*($AN$10-$AL$10)*($AN$10-$AM$10))),$AM$10)</f>
        <v/>
      </c>
      <c r="AQ146">
        <f>IFERROR(IF(AZ146&lt;($AM$11-$AL$11)/($AN$11-$AL$11),$AL$11+SQRT(AZ146*($AN$11-$AL$11)*($AM$11-$AL$11)),$AN$11-SQRT((1-AZ146)*($AN$11-$AL$11)*($AN$11-$AM$11))),$AM$11)</f>
        <v/>
      </c>
      <c r="AR146">
        <f>SUMPRODUCT((B24:B31&lt;=$B$6)*(C24:C31*AM146+D24:D31*AO146*$B$8*AQ146)/(1+AL146/100)^B24:B31)+C32*AM146*AP146/(1+AL146/100)^$B$6</f>
        <v/>
      </c>
      <c r="AS146">
        <f>SUMPRODUCT((K24:K26&lt;=$B$6)*(L24:L26*AN146+M24:M26*AO146*$B$8*AQ146)/(1+AL146/100)^K24:K26)+L27*AN146*AP146/(1+AL146/100)^$B$6</f>
        <v/>
      </c>
      <c r="AT146">
        <f>AS146-AR146</f>
        <v/>
      </c>
      <c r="AU146">
        <f>RAND()</f>
        <v/>
      </c>
      <c r="AV146">
        <f>RAND()</f>
        <v/>
      </c>
      <c r="AW146">
        <f>RAND()</f>
        <v/>
      </c>
      <c r="AX146">
        <f>RAND()</f>
        <v/>
      </c>
      <c r="AY146">
        <f>RAND()</f>
        <v/>
      </c>
      <c r="AZ146">
        <f>RAND()</f>
        <v/>
      </c>
    </row>
    <row r="147">
      <c r="A147" s="7" t="inlineStr">
        <is>
          <t>No lost-revenue term</t>
        </is>
      </c>
      <c r="B147" t="n">
        <v>3</v>
      </c>
      <c r="C147" t="n">
        <v>30</v>
      </c>
      <c r="D147" t="n">
        <v>1</v>
      </c>
      <c r="E147" t="n">
        <v>1</v>
      </c>
      <c r="F147" t="n">
        <v>1</v>
      </c>
      <c r="G147" t="n">
        <v>1</v>
      </c>
      <c r="H147" t="n">
        <v>0</v>
      </c>
      <c r="I147" s="14">
        <f>SUMPRODUCT((B24:B31&lt;=$C147)*(C24:C31*$D147+D24:D31*$F147*$B$8*$H147)/(1+$B147/100)^B24:B31)+C32*$D147*$G147/(1+$B147/100)^$C147</f>
        <v/>
      </c>
      <c r="J147" s="14">
        <f>SUMPRODUCT((K24:K26&lt;=$C147)*(L24:L26*$E147+M24:M26*$F147*$B$8*$H147)/(1+$B147/100)^K24:K26)+L27*$E147*$G147/(1+$B147/100)^$C147</f>
        <v/>
      </c>
      <c r="K147" s="14">
        <f>J147-I147</f>
        <v/>
      </c>
      <c r="L147">
        <f>IF(K147&lt;0,"PCC","HMA")</f>
        <v/>
      </c>
      <c r="AK147" t="n">
        <v>134</v>
      </c>
      <c r="AL147">
        <f>IFERROR(IF(AU147&lt;($AM$6-$AL$6)/($AN$6-$AL$6),$AL$6+SQRT(AU147*($AN$6-$AL$6)*($AM$6-$AL$6)),$AN$6-SQRT((1-AU147)*($AN$6-$AL$6)*($AN$6-$AM$6))),$AM$6)</f>
        <v/>
      </c>
      <c r="AM147">
        <f>IFERROR(IF(AV147&lt;($AM$7-$AL$7)/($AN$7-$AL$7),$AL$7+SQRT(AV147*($AN$7-$AL$7)*($AM$7-$AL$7)),$AN$7-SQRT((1-AV147)*($AN$7-$AL$7)*($AN$7-$AM$7))),$AM$7)</f>
        <v/>
      </c>
      <c r="AN147">
        <f>IFERROR(IF(AW147&lt;($AM$8-$AL$8)/($AN$8-$AL$8),$AL$8+SQRT(AW147*($AN$8-$AL$8)*($AM$8-$AL$8)),$AN$8-SQRT((1-AW147)*($AN$8-$AL$8)*($AN$8-$AM$8))),$AM$8)</f>
        <v/>
      </c>
      <c r="AO147">
        <f>IFERROR(IF(AX147&lt;($AM$9-$AL$9)/($AN$9-$AL$9),$AL$9+SQRT(AX147*($AN$9-$AL$9)*($AM$9-$AL$9)),$AN$9-SQRT((1-AX147)*($AN$9-$AL$9)*($AN$9-$AM$9))),$AM$9)</f>
        <v/>
      </c>
      <c r="AP147">
        <f>IFERROR(IF(AY147&lt;($AM$10-$AL$10)/($AN$10-$AL$10),$AL$10+SQRT(AY147*($AN$10-$AL$10)*($AM$10-$AL$10)),$AN$10-SQRT((1-AY147)*($AN$10-$AL$10)*($AN$10-$AM$10))),$AM$10)</f>
        <v/>
      </c>
      <c r="AQ147">
        <f>IFERROR(IF(AZ147&lt;($AM$11-$AL$11)/($AN$11-$AL$11),$AL$11+SQRT(AZ147*($AN$11-$AL$11)*($AM$11-$AL$11)),$AN$11-SQRT((1-AZ147)*($AN$11-$AL$11)*($AN$11-$AM$11))),$AM$11)</f>
        <v/>
      </c>
      <c r="AR147">
        <f>SUMPRODUCT((B24:B31&lt;=$B$6)*(C24:C31*AM147+D24:D31*AO147*$B$8*AQ147)/(1+AL147/100)^B24:B31)+C32*AM147*AP147/(1+AL147/100)^$B$6</f>
        <v/>
      </c>
      <c r="AS147">
        <f>SUMPRODUCT((K24:K26&lt;=$B$6)*(L24:L26*AN147+M24:M26*AO147*$B$8*AQ147)/(1+AL147/100)^K24:K26)+L27*AN147*AP147/(1+AL147/100)^$B$6</f>
        <v/>
      </c>
      <c r="AT147">
        <f>AS147-AR147</f>
        <v/>
      </c>
      <c r="AU147">
        <f>RAND()</f>
        <v/>
      </c>
      <c r="AV147">
        <f>RAND()</f>
        <v/>
      </c>
      <c r="AW147">
        <f>RAND()</f>
        <v/>
      </c>
      <c r="AX147">
        <f>RAND()</f>
        <v/>
      </c>
      <c r="AY147">
        <f>RAND()</f>
        <v/>
      </c>
      <c r="AZ147">
        <f>RAND()</f>
        <v/>
      </c>
    </row>
    <row r="148">
      <c r="A148" s="7" t="inlineStr">
        <is>
          <t>Revenue loss at 40% of gross</t>
        </is>
      </c>
      <c r="B148" t="n">
        <v>3</v>
      </c>
      <c r="C148" t="n">
        <v>30</v>
      </c>
      <c r="D148" t="n">
        <v>1</v>
      </c>
      <c r="E148" t="n">
        <v>1</v>
      </c>
      <c r="F148" t="n">
        <v>1</v>
      </c>
      <c r="G148" t="n">
        <v>1</v>
      </c>
      <c r="H148" t="n">
        <v>0.4</v>
      </c>
      <c r="I148" s="14">
        <f>SUMPRODUCT((B24:B31&lt;=$C148)*(C24:C31*$D148+D24:D31*$F148*$B$8*$H148)/(1+$B148/100)^B24:B31)+C32*$D148*$G148/(1+$B148/100)^$C148</f>
        <v/>
      </c>
      <c r="J148" s="14">
        <f>SUMPRODUCT((K24:K26&lt;=$C148)*(L24:L26*$E148+M24:M26*$F148*$B$8*$H148)/(1+$B148/100)^K24:K26)+L27*$E148*$G148/(1+$B148/100)^$C148</f>
        <v/>
      </c>
      <c r="K148" s="14">
        <f>J148-I148</f>
        <v/>
      </c>
      <c r="L148">
        <f>IF(K148&lt;0,"PCC","HMA")</f>
        <v/>
      </c>
      <c r="AK148" t="n">
        <v>135</v>
      </c>
      <c r="AL148">
        <f>IFERROR(IF(AU148&lt;($AM$6-$AL$6)/($AN$6-$AL$6),$AL$6+SQRT(AU148*($AN$6-$AL$6)*($AM$6-$AL$6)),$AN$6-SQRT((1-AU148)*($AN$6-$AL$6)*($AN$6-$AM$6))),$AM$6)</f>
        <v/>
      </c>
      <c r="AM148">
        <f>IFERROR(IF(AV148&lt;($AM$7-$AL$7)/($AN$7-$AL$7),$AL$7+SQRT(AV148*($AN$7-$AL$7)*($AM$7-$AL$7)),$AN$7-SQRT((1-AV148)*($AN$7-$AL$7)*($AN$7-$AM$7))),$AM$7)</f>
        <v/>
      </c>
      <c r="AN148">
        <f>IFERROR(IF(AW148&lt;($AM$8-$AL$8)/($AN$8-$AL$8),$AL$8+SQRT(AW148*($AN$8-$AL$8)*($AM$8-$AL$8)),$AN$8-SQRT((1-AW148)*($AN$8-$AL$8)*($AN$8-$AM$8))),$AM$8)</f>
        <v/>
      </c>
      <c r="AO148">
        <f>IFERROR(IF(AX148&lt;($AM$9-$AL$9)/($AN$9-$AL$9),$AL$9+SQRT(AX148*($AN$9-$AL$9)*($AM$9-$AL$9)),$AN$9-SQRT((1-AX148)*($AN$9-$AL$9)*($AN$9-$AM$9))),$AM$9)</f>
        <v/>
      </c>
      <c r="AP148">
        <f>IFERROR(IF(AY148&lt;($AM$10-$AL$10)/($AN$10-$AL$10),$AL$10+SQRT(AY148*($AN$10-$AL$10)*($AM$10-$AL$10)),$AN$10-SQRT((1-AY148)*($AN$10-$AL$10)*($AN$10-$AM$10))),$AM$10)</f>
        <v/>
      </c>
      <c r="AQ148">
        <f>IFERROR(IF(AZ148&lt;($AM$11-$AL$11)/($AN$11-$AL$11),$AL$11+SQRT(AZ148*($AN$11-$AL$11)*($AM$11-$AL$11)),$AN$11-SQRT((1-AZ148)*($AN$11-$AL$11)*($AN$11-$AM$11))),$AM$11)</f>
        <v/>
      </c>
      <c r="AR148">
        <f>SUMPRODUCT((B24:B31&lt;=$B$6)*(C24:C31*AM148+D24:D31*AO148*$B$8*AQ148)/(1+AL148/100)^B24:B31)+C32*AM148*AP148/(1+AL148/100)^$B$6</f>
        <v/>
      </c>
      <c r="AS148">
        <f>SUMPRODUCT((K24:K26&lt;=$B$6)*(L24:L26*AN148+M24:M26*AO148*$B$8*AQ148)/(1+AL148/100)^K24:K26)+L27*AN148*AP148/(1+AL148/100)^$B$6</f>
        <v/>
      </c>
      <c r="AT148">
        <f>AS148-AR148</f>
        <v/>
      </c>
      <c r="AU148">
        <f>RAND()</f>
        <v/>
      </c>
      <c r="AV148">
        <f>RAND()</f>
        <v/>
      </c>
      <c r="AW148">
        <f>RAND()</f>
        <v/>
      </c>
      <c r="AX148">
        <f>RAND()</f>
        <v/>
      </c>
      <c r="AY148">
        <f>RAND()</f>
        <v/>
      </c>
      <c r="AZ148">
        <f>RAND()</f>
        <v/>
      </c>
    </row>
    <row r="149">
      <c r="A149" s="7" t="inlineStr">
        <is>
          <t>No salvage credit</t>
        </is>
      </c>
      <c r="B149" t="n">
        <v>3</v>
      </c>
      <c r="C149" t="n">
        <v>30</v>
      </c>
      <c r="D149" t="n">
        <v>1</v>
      </c>
      <c r="E149" t="n">
        <v>1</v>
      </c>
      <c r="F149" t="n">
        <v>1</v>
      </c>
      <c r="G149" t="n">
        <v>0</v>
      </c>
      <c r="H149" t="n">
        <v>1</v>
      </c>
      <c r="I149" s="14">
        <f>SUMPRODUCT((B24:B31&lt;=$C149)*(C24:C31*$D149+D24:D31*$F149*$B$8*$H149)/(1+$B149/100)^B24:B31)+C32*$D149*$G149/(1+$B149/100)^$C149</f>
        <v/>
      </c>
      <c r="J149" s="14">
        <f>SUMPRODUCT((K24:K26&lt;=$C149)*(L24:L26*$E149+M24:M26*$F149*$B$8*$H149)/(1+$B149/100)^K24:K26)+L27*$E149*$G149/(1+$B149/100)^$C149</f>
        <v/>
      </c>
      <c r="K149" s="14">
        <f>J149-I149</f>
        <v/>
      </c>
      <c r="L149">
        <f>IF(K149&lt;0,"PCC","HMA")</f>
        <v/>
      </c>
      <c r="AK149" t="n">
        <v>136</v>
      </c>
      <c r="AL149">
        <f>IFERROR(IF(AU149&lt;($AM$6-$AL$6)/($AN$6-$AL$6),$AL$6+SQRT(AU149*($AN$6-$AL$6)*($AM$6-$AL$6)),$AN$6-SQRT((1-AU149)*($AN$6-$AL$6)*($AN$6-$AM$6))),$AM$6)</f>
        <v/>
      </c>
      <c r="AM149">
        <f>IFERROR(IF(AV149&lt;($AM$7-$AL$7)/($AN$7-$AL$7),$AL$7+SQRT(AV149*($AN$7-$AL$7)*($AM$7-$AL$7)),$AN$7-SQRT((1-AV149)*($AN$7-$AL$7)*($AN$7-$AM$7))),$AM$7)</f>
        <v/>
      </c>
      <c r="AN149">
        <f>IFERROR(IF(AW149&lt;($AM$8-$AL$8)/($AN$8-$AL$8),$AL$8+SQRT(AW149*($AN$8-$AL$8)*($AM$8-$AL$8)),$AN$8-SQRT((1-AW149)*($AN$8-$AL$8)*($AN$8-$AM$8))),$AM$8)</f>
        <v/>
      </c>
      <c r="AO149">
        <f>IFERROR(IF(AX149&lt;($AM$9-$AL$9)/($AN$9-$AL$9),$AL$9+SQRT(AX149*($AN$9-$AL$9)*($AM$9-$AL$9)),$AN$9-SQRT((1-AX149)*($AN$9-$AL$9)*($AN$9-$AM$9))),$AM$9)</f>
        <v/>
      </c>
      <c r="AP149">
        <f>IFERROR(IF(AY149&lt;($AM$10-$AL$10)/($AN$10-$AL$10),$AL$10+SQRT(AY149*($AN$10-$AL$10)*($AM$10-$AL$10)),$AN$10-SQRT((1-AY149)*($AN$10-$AL$10)*($AN$10-$AM$10))),$AM$10)</f>
        <v/>
      </c>
      <c r="AQ149">
        <f>IFERROR(IF(AZ149&lt;($AM$11-$AL$11)/($AN$11-$AL$11),$AL$11+SQRT(AZ149*($AN$11-$AL$11)*($AM$11-$AL$11)),$AN$11-SQRT((1-AZ149)*($AN$11-$AL$11)*($AN$11-$AM$11))),$AM$11)</f>
        <v/>
      </c>
      <c r="AR149">
        <f>SUMPRODUCT((B24:B31&lt;=$B$6)*(C24:C31*AM149+D24:D31*AO149*$B$8*AQ149)/(1+AL149/100)^B24:B31)+C32*AM149*AP149/(1+AL149/100)^$B$6</f>
        <v/>
      </c>
      <c r="AS149">
        <f>SUMPRODUCT((K24:K26&lt;=$B$6)*(L24:L26*AN149+M24:M26*AO149*$B$8*AQ149)/(1+AL149/100)^K24:K26)+L27*AN149*AP149/(1+AL149/100)^$B$6</f>
        <v/>
      </c>
      <c r="AT149">
        <f>AS149-AR149</f>
        <v/>
      </c>
      <c r="AU149">
        <f>RAND()</f>
        <v/>
      </c>
      <c r="AV149">
        <f>RAND()</f>
        <v/>
      </c>
      <c r="AW149">
        <f>RAND()</f>
        <v/>
      </c>
      <c r="AX149">
        <f>RAND()</f>
        <v/>
      </c>
      <c r="AY149">
        <f>RAND()</f>
        <v/>
      </c>
      <c r="AZ149">
        <f>RAND()</f>
        <v/>
      </c>
    </row>
    <row r="150">
      <c r="A150" s="7" t="inlineStr">
        <is>
          <t>PCC bids +20%</t>
        </is>
      </c>
      <c r="B150" t="n">
        <v>3</v>
      </c>
      <c r="C150" t="n">
        <v>30</v>
      </c>
      <c r="D150" t="n">
        <v>1</v>
      </c>
      <c r="E150" t="n">
        <v>1.2</v>
      </c>
      <c r="F150" t="n">
        <v>1</v>
      </c>
      <c r="G150" t="n">
        <v>1</v>
      </c>
      <c r="H150" t="n">
        <v>1</v>
      </c>
      <c r="I150" s="14">
        <f>SUMPRODUCT((B24:B31&lt;=$C150)*(C24:C31*$D150+D24:D31*$F150*$B$8*$H150)/(1+$B150/100)^B24:B31)+C32*$D150*$G150/(1+$B150/100)^$C150</f>
        <v/>
      </c>
      <c r="J150" s="14">
        <f>SUMPRODUCT((K24:K26&lt;=$C150)*(L24:L26*$E150+M24:M26*$F150*$B$8*$H150)/(1+$B150/100)^K24:K26)+L27*$E150*$G150/(1+$B150/100)^$C150</f>
        <v/>
      </c>
      <c r="K150" s="14">
        <f>J150-I150</f>
        <v/>
      </c>
      <c r="L150">
        <f>IF(K150&lt;0,"PCC","HMA")</f>
        <v/>
      </c>
      <c r="AK150" t="n">
        <v>137</v>
      </c>
      <c r="AL150">
        <f>IFERROR(IF(AU150&lt;($AM$6-$AL$6)/($AN$6-$AL$6),$AL$6+SQRT(AU150*($AN$6-$AL$6)*($AM$6-$AL$6)),$AN$6-SQRT((1-AU150)*($AN$6-$AL$6)*($AN$6-$AM$6))),$AM$6)</f>
        <v/>
      </c>
      <c r="AM150">
        <f>IFERROR(IF(AV150&lt;($AM$7-$AL$7)/($AN$7-$AL$7),$AL$7+SQRT(AV150*($AN$7-$AL$7)*($AM$7-$AL$7)),$AN$7-SQRT((1-AV150)*($AN$7-$AL$7)*($AN$7-$AM$7))),$AM$7)</f>
        <v/>
      </c>
      <c r="AN150">
        <f>IFERROR(IF(AW150&lt;($AM$8-$AL$8)/($AN$8-$AL$8),$AL$8+SQRT(AW150*($AN$8-$AL$8)*($AM$8-$AL$8)),$AN$8-SQRT((1-AW150)*($AN$8-$AL$8)*($AN$8-$AM$8))),$AM$8)</f>
        <v/>
      </c>
      <c r="AO150">
        <f>IFERROR(IF(AX150&lt;($AM$9-$AL$9)/($AN$9-$AL$9),$AL$9+SQRT(AX150*($AN$9-$AL$9)*($AM$9-$AL$9)),$AN$9-SQRT((1-AX150)*($AN$9-$AL$9)*($AN$9-$AM$9))),$AM$9)</f>
        <v/>
      </c>
      <c r="AP150">
        <f>IFERROR(IF(AY150&lt;($AM$10-$AL$10)/($AN$10-$AL$10),$AL$10+SQRT(AY150*($AN$10-$AL$10)*($AM$10-$AL$10)),$AN$10-SQRT((1-AY150)*($AN$10-$AL$10)*($AN$10-$AM$10))),$AM$10)</f>
        <v/>
      </c>
      <c r="AQ150">
        <f>IFERROR(IF(AZ150&lt;($AM$11-$AL$11)/($AN$11-$AL$11),$AL$11+SQRT(AZ150*($AN$11-$AL$11)*($AM$11-$AL$11)),$AN$11-SQRT((1-AZ150)*($AN$11-$AL$11)*($AN$11-$AM$11))),$AM$11)</f>
        <v/>
      </c>
      <c r="AR150">
        <f>SUMPRODUCT((B24:B31&lt;=$B$6)*(C24:C31*AM150+D24:D31*AO150*$B$8*AQ150)/(1+AL150/100)^B24:B31)+C32*AM150*AP150/(1+AL150/100)^$B$6</f>
        <v/>
      </c>
      <c r="AS150">
        <f>SUMPRODUCT((K24:K26&lt;=$B$6)*(L24:L26*AN150+M24:M26*AO150*$B$8*AQ150)/(1+AL150/100)^K24:K26)+L27*AN150*AP150/(1+AL150/100)^$B$6</f>
        <v/>
      </c>
      <c r="AT150">
        <f>AS150-AR150</f>
        <v/>
      </c>
      <c r="AU150">
        <f>RAND()</f>
        <v/>
      </c>
      <c r="AV150">
        <f>RAND()</f>
        <v/>
      </c>
      <c r="AW150">
        <f>RAND()</f>
        <v/>
      </c>
      <c r="AX150">
        <f>RAND()</f>
        <v/>
      </c>
      <c r="AY150">
        <f>RAND()</f>
        <v/>
      </c>
      <c r="AZ150">
        <f>RAND()</f>
        <v/>
      </c>
    </row>
    <row r="151">
      <c r="A151" s="7" t="inlineStr">
        <is>
          <t>HMA bids +20%</t>
        </is>
      </c>
      <c r="B151" t="n">
        <v>3</v>
      </c>
      <c r="C151" t="n">
        <v>30</v>
      </c>
      <c r="D151" t="n">
        <v>1.2</v>
      </c>
      <c r="E151" t="n">
        <v>1</v>
      </c>
      <c r="F151" t="n">
        <v>1</v>
      </c>
      <c r="G151" t="n">
        <v>1</v>
      </c>
      <c r="H151" t="n">
        <v>1</v>
      </c>
      <c r="I151" s="14">
        <f>SUMPRODUCT((B24:B31&lt;=$C151)*(C24:C31*$D151+D24:D31*$F151*$B$8*$H151)/(1+$B151/100)^B24:B31)+C32*$D151*$G151/(1+$B151/100)^$C151</f>
        <v/>
      </c>
      <c r="J151" s="14">
        <f>SUMPRODUCT((K24:K26&lt;=$C151)*(L24:L26*$E151+M24:M26*$F151*$B$8*$H151)/(1+$B151/100)^K24:K26)+L27*$E151*$G151/(1+$B151/100)^$C151</f>
        <v/>
      </c>
      <c r="K151" s="14">
        <f>J151-I151</f>
        <v/>
      </c>
      <c r="L151">
        <f>IF(K151&lt;0,"PCC","HMA")</f>
        <v/>
      </c>
      <c r="AK151" t="n">
        <v>138</v>
      </c>
      <c r="AL151">
        <f>IFERROR(IF(AU151&lt;($AM$6-$AL$6)/($AN$6-$AL$6),$AL$6+SQRT(AU151*($AN$6-$AL$6)*($AM$6-$AL$6)),$AN$6-SQRT((1-AU151)*($AN$6-$AL$6)*($AN$6-$AM$6))),$AM$6)</f>
        <v/>
      </c>
      <c r="AM151">
        <f>IFERROR(IF(AV151&lt;($AM$7-$AL$7)/($AN$7-$AL$7),$AL$7+SQRT(AV151*($AN$7-$AL$7)*($AM$7-$AL$7)),$AN$7-SQRT((1-AV151)*($AN$7-$AL$7)*($AN$7-$AM$7))),$AM$7)</f>
        <v/>
      </c>
      <c r="AN151">
        <f>IFERROR(IF(AW151&lt;($AM$8-$AL$8)/($AN$8-$AL$8),$AL$8+SQRT(AW151*($AN$8-$AL$8)*($AM$8-$AL$8)),$AN$8-SQRT((1-AW151)*($AN$8-$AL$8)*($AN$8-$AM$8))),$AM$8)</f>
        <v/>
      </c>
      <c r="AO151">
        <f>IFERROR(IF(AX151&lt;($AM$9-$AL$9)/($AN$9-$AL$9),$AL$9+SQRT(AX151*($AN$9-$AL$9)*($AM$9-$AL$9)),$AN$9-SQRT((1-AX151)*($AN$9-$AL$9)*($AN$9-$AM$9))),$AM$9)</f>
        <v/>
      </c>
      <c r="AP151">
        <f>IFERROR(IF(AY151&lt;($AM$10-$AL$10)/($AN$10-$AL$10),$AL$10+SQRT(AY151*($AN$10-$AL$10)*($AM$10-$AL$10)),$AN$10-SQRT((1-AY151)*($AN$10-$AL$10)*($AN$10-$AM$10))),$AM$10)</f>
        <v/>
      </c>
      <c r="AQ151">
        <f>IFERROR(IF(AZ151&lt;($AM$11-$AL$11)/($AN$11-$AL$11),$AL$11+SQRT(AZ151*($AN$11-$AL$11)*($AM$11-$AL$11)),$AN$11-SQRT((1-AZ151)*($AN$11-$AL$11)*($AN$11-$AM$11))),$AM$11)</f>
        <v/>
      </c>
      <c r="AR151">
        <f>SUMPRODUCT((B24:B31&lt;=$B$6)*(C24:C31*AM151+D24:D31*AO151*$B$8*AQ151)/(1+AL151/100)^B24:B31)+C32*AM151*AP151/(1+AL151/100)^$B$6</f>
        <v/>
      </c>
      <c r="AS151">
        <f>SUMPRODUCT((K24:K26&lt;=$B$6)*(L24:L26*AN151+M24:M26*AO151*$B$8*AQ151)/(1+AL151/100)^K24:K26)+L27*AN151*AP151/(1+AL151/100)^$B$6</f>
        <v/>
      </c>
      <c r="AT151">
        <f>AS151-AR151</f>
        <v/>
      </c>
      <c r="AU151">
        <f>RAND()</f>
        <v/>
      </c>
      <c r="AV151">
        <f>RAND()</f>
        <v/>
      </c>
      <c r="AW151">
        <f>RAND()</f>
        <v/>
      </c>
      <c r="AX151">
        <f>RAND()</f>
        <v/>
      </c>
      <c r="AY151">
        <f>RAND()</f>
        <v/>
      </c>
      <c r="AZ151">
        <f>RAND()</f>
        <v/>
      </c>
    </row>
    <row r="152">
      <c r="A152" s="7" t="inlineStr">
        <is>
          <t>Closures twice as long</t>
        </is>
      </c>
      <c r="B152" t="n">
        <v>3</v>
      </c>
      <c r="C152" t="n">
        <v>30</v>
      </c>
      <c r="D152" t="n">
        <v>1</v>
      </c>
      <c r="E152" t="n">
        <v>1</v>
      </c>
      <c r="F152" t="n">
        <v>2</v>
      </c>
      <c r="G152" t="n">
        <v>1</v>
      </c>
      <c r="H152" t="n">
        <v>1</v>
      </c>
      <c r="I152" s="14">
        <f>SUMPRODUCT((B24:B31&lt;=$C152)*(C24:C31*$D152+D24:D31*$F152*$B$8*$H152)/(1+$B152/100)^B24:B31)+C32*$D152*$G152/(1+$B152/100)^$C152</f>
        <v/>
      </c>
      <c r="J152" s="14">
        <f>SUMPRODUCT((K24:K26&lt;=$C152)*(L24:L26*$E152+M24:M26*$F152*$B$8*$H152)/(1+$B152/100)^K24:K26)+L27*$E152*$G152/(1+$B152/100)^$C152</f>
        <v/>
      </c>
      <c r="K152" s="14">
        <f>J152-I152</f>
        <v/>
      </c>
      <c r="L152">
        <f>IF(K152&lt;0,"PCC","HMA")</f>
        <v/>
      </c>
      <c r="AK152" t="n">
        <v>139</v>
      </c>
      <c r="AL152">
        <f>IFERROR(IF(AU152&lt;($AM$6-$AL$6)/($AN$6-$AL$6),$AL$6+SQRT(AU152*($AN$6-$AL$6)*($AM$6-$AL$6)),$AN$6-SQRT((1-AU152)*($AN$6-$AL$6)*($AN$6-$AM$6))),$AM$6)</f>
        <v/>
      </c>
      <c r="AM152">
        <f>IFERROR(IF(AV152&lt;($AM$7-$AL$7)/($AN$7-$AL$7),$AL$7+SQRT(AV152*($AN$7-$AL$7)*($AM$7-$AL$7)),$AN$7-SQRT((1-AV152)*($AN$7-$AL$7)*($AN$7-$AM$7))),$AM$7)</f>
        <v/>
      </c>
      <c r="AN152">
        <f>IFERROR(IF(AW152&lt;($AM$8-$AL$8)/($AN$8-$AL$8),$AL$8+SQRT(AW152*($AN$8-$AL$8)*($AM$8-$AL$8)),$AN$8-SQRT((1-AW152)*($AN$8-$AL$8)*($AN$8-$AM$8))),$AM$8)</f>
        <v/>
      </c>
      <c r="AO152">
        <f>IFERROR(IF(AX152&lt;($AM$9-$AL$9)/($AN$9-$AL$9),$AL$9+SQRT(AX152*($AN$9-$AL$9)*($AM$9-$AL$9)),$AN$9-SQRT((1-AX152)*($AN$9-$AL$9)*($AN$9-$AM$9))),$AM$9)</f>
        <v/>
      </c>
      <c r="AP152">
        <f>IFERROR(IF(AY152&lt;($AM$10-$AL$10)/($AN$10-$AL$10),$AL$10+SQRT(AY152*($AN$10-$AL$10)*($AM$10-$AL$10)),$AN$10-SQRT((1-AY152)*($AN$10-$AL$10)*($AN$10-$AM$10))),$AM$10)</f>
        <v/>
      </c>
      <c r="AQ152">
        <f>IFERROR(IF(AZ152&lt;($AM$11-$AL$11)/($AN$11-$AL$11),$AL$11+SQRT(AZ152*($AN$11-$AL$11)*($AM$11-$AL$11)),$AN$11-SQRT((1-AZ152)*($AN$11-$AL$11)*($AN$11-$AM$11))),$AM$11)</f>
        <v/>
      </c>
      <c r="AR152">
        <f>SUMPRODUCT((B24:B31&lt;=$B$6)*(C24:C31*AM152+D24:D31*AO152*$B$8*AQ152)/(1+AL152/100)^B24:B31)+C32*AM152*AP152/(1+AL152/100)^$B$6</f>
        <v/>
      </c>
      <c r="AS152">
        <f>SUMPRODUCT((K24:K26&lt;=$B$6)*(L24:L26*AN152+M24:M26*AO152*$B$8*AQ152)/(1+AL152/100)^K24:K26)+L27*AN152*AP152/(1+AL152/100)^$B$6</f>
        <v/>
      </c>
      <c r="AT152">
        <f>AS152-AR152</f>
        <v/>
      </c>
      <c r="AU152">
        <f>RAND()</f>
        <v/>
      </c>
      <c r="AV152">
        <f>RAND()</f>
        <v/>
      </c>
      <c r="AW152">
        <f>RAND()</f>
        <v/>
      </c>
      <c r="AX152">
        <f>RAND()</f>
        <v/>
      </c>
      <c r="AY152">
        <f>RAND()</f>
        <v/>
      </c>
      <c r="AZ152">
        <f>RAND()</f>
        <v/>
      </c>
    </row>
    <row r="153">
      <c r="A153" s="7" t="inlineStr">
        <is>
          <t>Closures half as long</t>
        </is>
      </c>
      <c r="B153" t="n">
        <v>3</v>
      </c>
      <c r="C153" t="n">
        <v>30</v>
      </c>
      <c r="D153" t="n">
        <v>1</v>
      </c>
      <c r="E153" t="n">
        <v>1</v>
      </c>
      <c r="F153" t="n">
        <v>0.5</v>
      </c>
      <c r="G153" t="n">
        <v>1</v>
      </c>
      <c r="H153" t="n">
        <v>1</v>
      </c>
      <c r="I153" s="14">
        <f>SUMPRODUCT((B24:B31&lt;=$C153)*(C24:C31*$D153+D24:D31*$F153*$B$8*$H153)/(1+$B153/100)^B24:B31)+C32*$D153*$G153/(1+$B153/100)^$C153</f>
        <v/>
      </c>
      <c r="J153" s="14">
        <f>SUMPRODUCT((K24:K26&lt;=$C153)*(L24:L26*$E153+M24:M26*$F153*$B$8*$H153)/(1+$B153/100)^K24:K26)+L27*$E153*$G153/(1+$B153/100)^$C153</f>
        <v/>
      </c>
      <c r="K153" s="14">
        <f>J153-I153</f>
        <v/>
      </c>
      <c r="L153">
        <f>IF(K153&lt;0,"PCC","HMA")</f>
        <v/>
      </c>
      <c r="AK153" t="n">
        <v>140</v>
      </c>
      <c r="AL153">
        <f>IFERROR(IF(AU153&lt;($AM$6-$AL$6)/($AN$6-$AL$6),$AL$6+SQRT(AU153*($AN$6-$AL$6)*($AM$6-$AL$6)),$AN$6-SQRT((1-AU153)*($AN$6-$AL$6)*($AN$6-$AM$6))),$AM$6)</f>
        <v/>
      </c>
      <c r="AM153">
        <f>IFERROR(IF(AV153&lt;($AM$7-$AL$7)/($AN$7-$AL$7),$AL$7+SQRT(AV153*($AN$7-$AL$7)*($AM$7-$AL$7)),$AN$7-SQRT((1-AV153)*($AN$7-$AL$7)*($AN$7-$AM$7))),$AM$7)</f>
        <v/>
      </c>
      <c r="AN153">
        <f>IFERROR(IF(AW153&lt;($AM$8-$AL$8)/($AN$8-$AL$8),$AL$8+SQRT(AW153*($AN$8-$AL$8)*($AM$8-$AL$8)),$AN$8-SQRT((1-AW153)*($AN$8-$AL$8)*($AN$8-$AM$8))),$AM$8)</f>
        <v/>
      </c>
      <c r="AO153">
        <f>IFERROR(IF(AX153&lt;($AM$9-$AL$9)/($AN$9-$AL$9),$AL$9+SQRT(AX153*($AN$9-$AL$9)*($AM$9-$AL$9)),$AN$9-SQRT((1-AX153)*($AN$9-$AL$9)*($AN$9-$AM$9))),$AM$9)</f>
        <v/>
      </c>
      <c r="AP153">
        <f>IFERROR(IF(AY153&lt;($AM$10-$AL$10)/($AN$10-$AL$10),$AL$10+SQRT(AY153*($AN$10-$AL$10)*($AM$10-$AL$10)),$AN$10-SQRT((1-AY153)*($AN$10-$AL$10)*($AN$10-$AM$10))),$AM$10)</f>
        <v/>
      </c>
      <c r="AQ153">
        <f>IFERROR(IF(AZ153&lt;($AM$11-$AL$11)/($AN$11-$AL$11),$AL$11+SQRT(AZ153*($AN$11-$AL$11)*($AM$11-$AL$11)),$AN$11-SQRT((1-AZ153)*($AN$11-$AL$11)*($AN$11-$AM$11))),$AM$11)</f>
        <v/>
      </c>
      <c r="AR153">
        <f>SUMPRODUCT((B24:B31&lt;=$B$6)*(C24:C31*AM153+D24:D31*AO153*$B$8*AQ153)/(1+AL153/100)^B24:B31)+C32*AM153*AP153/(1+AL153/100)^$B$6</f>
        <v/>
      </c>
      <c r="AS153">
        <f>SUMPRODUCT((K24:K26&lt;=$B$6)*(L24:L26*AN153+M24:M26*AO153*$B$8*AQ153)/(1+AL153/100)^K24:K26)+L27*AN153*AP153/(1+AL153/100)^$B$6</f>
        <v/>
      </c>
      <c r="AT153">
        <f>AS153-AR153</f>
        <v/>
      </c>
      <c r="AU153">
        <f>RAND()</f>
        <v/>
      </c>
      <c r="AV153">
        <f>RAND()</f>
        <v/>
      </c>
      <c r="AW153">
        <f>RAND()</f>
        <v/>
      </c>
      <c r="AX153">
        <f>RAND()</f>
        <v/>
      </c>
      <c r="AY153">
        <f>RAND()</f>
        <v/>
      </c>
      <c r="AZ153">
        <f>RAND()</f>
        <v/>
      </c>
    </row>
    <row r="154">
      <c r="A154" s="7" t="inlineStr">
        <is>
          <t>Stress: 7%, no salvage, no lost revenue</t>
        </is>
      </c>
      <c r="B154" t="n">
        <v>7</v>
      </c>
      <c r="C154" t="n">
        <v>30</v>
      </c>
      <c r="D154" t="n">
        <v>1</v>
      </c>
      <c r="E154" t="n">
        <v>1</v>
      </c>
      <c r="F154" t="n">
        <v>1</v>
      </c>
      <c r="G154" t="n">
        <v>0</v>
      </c>
      <c r="H154" t="n">
        <v>0</v>
      </c>
      <c r="I154" s="14">
        <f>SUMPRODUCT((B24:B31&lt;=$C154)*(C24:C31*$D154+D24:D31*$F154*$B$8*$H154)/(1+$B154/100)^B24:B31)+C32*$D154*$G154/(1+$B154/100)^$C154</f>
        <v/>
      </c>
      <c r="J154" s="14">
        <f>SUMPRODUCT((K24:K26&lt;=$C154)*(L24:L26*$E154+M24:M26*$F154*$B$8*$H154)/(1+$B154/100)^K24:K26)+L27*$E154*$G154/(1+$B154/100)^$C154</f>
        <v/>
      </c>
      <c r="K154" s="14">
        <f>J154-I154</f>
        <v/>
      </c>
      <c r="L154">
        <f>IF(K154&lt;0,"PCC","HMA")</f>
        <v/>
      </c>
      <c r="AK154" t="n">
        <v>141</v>
      </c>
      <c r="AL154">
        <f>IFERROR(IF(AU154&lt;($AM$6-$AL$6)/($AN$6-$AL$6),$AL$6+SQRT(AU154*($AN$6-$AL$6)*($AM$6-$AL$6)),$AN$6-SQRT((1-AU154)*($AN$6-$AL$6)*($AN$6-$AM$6))),$AM$6)</f>
        <v/>
      </c>
      <c r="AM154">
        <f>IFERROR(IF(AV154&lt;($AM$7-$AL$7)/($AN$7-$AL$7),$AL$7+SQRT(AV154*($AN$7-$AL$7)*($AM$7-$AL$7)),$AN$7-SQRT((1-AV154)*($AN$7-$AL$7)*($AN$7-$AM$7))),$AM$7)</f>
        <v/>
      </c>
      <c r="AN154">
        <f>IFERROR(IF(AW154&lt;($AM$8-$AL$8)/($AN$8-$AL$8),$AL$8+SQRT(AW154*($AN$8-$AL$8)*($AM$8-$AL$8)),$AN$8-SQRT((1-AW154)*($AN$8-$AL$8)*($AN$8-$AM$8))),$AM$8)</f>
        <v/>
      </c>
      <c r="AO154">
        <f>IFERROR(IF(AX154&lt;($AM$9-$AL$9)/($AN$9-$AL$9),$AL$9+SQRT(AX154*($AN$9-$AL$9)*($AM$9-$AL$9)),$AN$9-SQRT((1-AX154)*($AN$9-$AL$9)*($AN$9-$AM$9))),$AM$9)</f>
        <v/>
      </c>
      <c r="AP154">
        <f>IFERROR(IF(AY154&lt;($AM$10-$AL$10)/($AN$10-$AL$10),$AL$10+SQRT(AY154*($AN$10-$AL$10)*($AM$10-$AL$10)),$AN$10-SQRT((1-AY154)*($AN$10-$AL$10)*($AN$10-$AM$10))),$AM$10)</f>
        <v/>
      </c>
      <c r="AQ154">
        <f>IFERROR(IF(AZ154&lt;($AM$11-$AL$11)/($AN$11-$AL$11),$AL$11+SQRT(AZ154*($AN$11-$AL$11)*($AM$11-$AL$11)),$AN$11-SQRT((1-AZ154)*($AN$11-$AL$11)*($AN$11-$AM$11))),$AM$11)</f>
        <v/>
      </c>
      <c r="AR154">
        <f>SUMPRODUCT((B24:B31&lt;=$B$6)*(C24:C31*AM154+D24:D31*AO154*$B$8*AQ154)/(1+AL154/100)^B24:B31)+C32*AM154*AP154/(1+AL154/100)^$B$6</f>
        <v/>
      </c>
      <c r="AS154">
        <f>SUMPRODUCT((K24:K26&lt;=$B$6)*(L24:L26*AN154+M24:M26*AO154*$B$8*AQ154)/(1+AL154/100)^K24:K26)+L27*AN154*AP154/(1+AL154/100)^$B$6</f>
        <v/>
      </c>
      <c r="AT154">
        <f>AS154-AR154</f>
        <v/>
      </c>
      <c r="AU154">
        <f>RAND()</f>
        <v/>
      </c>
      <c r="AV154">
        <f>RAND()</f>
        <v/>
      </c>
      <c r="AW154">
        <f>RAND()</f>
        <v/>
      </c>
      <c r="AX154">
        <f>RAND()</f>
        <v/>
      </c>
      <c r="AY154">
        <f>RAND()</f>
        <v/>
      </c>
      <c r="AZ154">
        <f>RAND()</f>
        <v/>
      </c>
    </row>
    <row r="155">
      <c r="A155" s="5" t="inlineStr">
        <is>
          <t>Note: scenario rows use their own parameters, not the yellow inputs. A 20-year period applies the same salvage fraction at year 20 (conservative simplification).</t>
        </is>
      </c>
      <c r="AK155" t="n">
        <v>142</v>
      </c>
      <c r="AL155">
        <f>IFERROR(IF(AU155&lt;($AM$6-$AL$6)/($AN$6-$AL$6),$AL$6+SQRT(AU155*($AN$6-$AL$6)*($AM$6-$AL$6)),$AN$6-SQRT((1-AU155)*($AN$6-$AL$6)*($AN$6-$AM$6))),$AM$6)</f>
        <v/>
      </c>
      <c r="AM155">
        <f>IFERROR(IF(AV155&lt;($AM$7-$AL$7)/($AN$7-$AL$7),$AL$7+SQRT(AV155*($AN$7-$AL$7)*($AM$7-$AL$7)),$AN$7-SQRT((1-AV155)*($AN$7-$AL$7)*($AN$7-$AM$7))),$AM$7)</f>
        <v/>
      </c>
      <c r="AN155">
        <f>IFERROR(IF(AW155&lt;($AM$8-$AL$8)/($AN$8-$AL$8),$AL$8+SQRT(AW155*($AN$8-$AL$8)*($AM$8-$AL$8)),$AN$8-SQRT((1-AW155)*($AN$8-$AL$8)*($AN$8-$AM$8))),$AM$8)</f>
        <v/>
      </c>
      <c r="AO155">
        <f>IFERROR(IF(AX155&lt;($AM$9-$AL$9)/($AN$9-$AL$9),$AL$9+SQRT(AX155*($AN$9-$AL$9)*($AM$9-$AL$9)),$AN$9-SQRT((1-AX155)*($AN$9-$AL$9)*($AN$9-$AM$9))),$AM$9)</f>
        <v/>
      </c>
      <c r="AP155">
        <f>IFERROR(IF(AY155&lt;($AM$10-$AL$10)/($AN$10-$AL$10),$AL$10+SQRT(AY155*($AN$10-$AL$10)*($AM$10-$AL$10)),$AN$10-SQRT((1-AY155)*($AN$10-$AL$10)*($AN$10-$AM$10))),$AM$10)</f>
        <v/>
      </c>
      <c r="AQ155">
        <f>IFERROR(IF(AZ155&lt;($AM$11-$AL$11)/($AN$11-$AL$11),$AL$11+SQRT(AZ155*($AN$11-$AL$11)*($AM$11-$AL$11)),$AN$11-SQRT((1-AZ155)*($AN$11-$AL$11)*($AN$11-$AM$11))),$AM$11)</f>
        <v/>
      </c>
      <c r="AR155">
        <f>SUMPRODUCT((B24:B31&lt;=$B$6)*(C24:C31*AM155+D24:D31*AO155*$B$8*AQ155)/(1+AL155/100)^B24:B31)+C32*AM155*AP155/(1+AL155/100)^$B$6</f>
        <v/>
      </c>
      <c r="AS155">
        <f>SUMPRODUCT((K24:K26&lt;=$B$6)*(L24:L26*AN155+M24:M26*AO155*$B$8*AQ155)/(1+AL155/100)^K24:K26)+L27*AN155*AP155/(1+AL155/100)^$B$6</f>
        <v/>
      </c>
      <c r="AT155">
        <f>AS155-AR155</f>
        <v/>
      </c>
      <c r="AU155">
        <f>RAND()</f>
        <v/>
      </c>
      <c r="AV155">
        <f>RAND()</f>
        <v/>
      </c>
      <c r="AW155">
        <f>RAND()</f>
        <v/>
      </c>
      <c r="AX155">
        <f>RAND()</f>
        <v/>
      </c>
      <c r="AY155">
        <f>RAND()</f>
        <v/>
      </c>
      <c r="AZ155">
        <f>RAND()</f>
        <v/>
      </c>
    </row>
    <row r="156">
      <c r="AK156" t="n">
        <v>143</v>
      </c>
      <c r="AL156">
        <f>IFERROR(IF(AU156&lt;($AM$6-$AL$6)/($AN$6-$AL$6),$AL$6+SQRT(AU156*($AN$6-$AL$6)*($AM$6-$AL$6)),$AN$6-SQRT((1-AU156)*($AN$6-$AL$6)*($AN$6-$AM$6))),$AM$6)</f>
        <v/>
      </c>
      <c r="AM156">
        <f>IFERROR(IF(AV156&lt;($AM$7-$AL$7)/($AN$7-$AL$7),$AL$7+SQRT(AV156*($AN$7-$AL$7)*($AM$7-$AL$7)),$AN$7-SQRT((1-AV156)*($AN$7-$AL$7)*($AN$7-$AM$7))),$AM$7)</f>
        <v/>
      </c>
      <c r="AN156">
        <f>IFERROR(IF(AW156&lt;($AM$8-$AL$8)/($AN$8-$AL$8),$AL$8+SQRT(AW156*($AN$8-$AL$8)*($AM$8-$AL$8)),$AN$8-SQRT((1-AW156)*($AN$8-$AL$8)*($AN$8-$AM$8))),$AM$8)</f>
        <v/>
      </c>
      <c r="AO156">
        <f>IFERROR(IF(AX156&lt;($AM$9-$AL$9)/($AN$9-$AL$9),$AL$9+SQRT(AX156*($AN$9-$AL$9)*($AM$9-$AL$9)),$AN$9-SQRT((1-AX156)*($AN$9-$AL$9)*($AN$9-$AM$9))),$AM$9)</f>
        <v/>
      </c>
      <c r="AP156">
        <f>IFERROR(IF(AY156&lt;($AM$10-$AL$10)/($AN$10-$AL$10),$AL$10+SQRT(AY156*($AN$10-$AL$10)*($AM$10-$AL$10)),$AN$10-SQRT((1-AY156)*($AN$10-$AL$10)*($AN$10-$AM$10))),$AM$10)</f>
        <v/>
      </c>
      <c r="AQ156">
        <f>IFERROR(IF(AZ156&lt;($AM$11-$AL$11)/($AN$11-$AL$11),$AL$11+SQRT(AZ156*($AN$11-$AL$11)*($AM$11-$AL$11)),$AN$11-SQRT((1-AZ156)*($AN$11-$AL$11)*($AN$11-$AM$11))),$AM$11)</f>
        <v/>
      </c>
      <c r="AR156">
        <f>SUMPRODUCT((B24:B31&lt;=$B$6)*(C24:C31*AM156+D24:D31*AO156*$B$8*AQ156)/(1+AL156/100)^B24:B31)+C32*AM156*AP156/(1+AL156/100)^$B$6</f>
        <v/>
      </c>
      <c r="AS156">
        <f>SUMPRODUCT((K24:K26&lt;=$B$6)*(L24:L26*AN156+M24:M26*AO156*$B$8*AQ156)/(1+AL156/100)^K24:K26)+L27*AN156*AP156/(1+AL156/100)^$B$6</f>
        <v/>
      </c>
      <c r="AT156">
        <f>AS156-AR156</f>
        <v/>
      </c>
      <c r="AU156">
        <f>RAND()</f>
        <v/>
      </c>
      <c r="AV156">
        <f>RAND()</f>
        <v/>
      </c>
      <c r="AW156">
        <f>RAND()</f>
        <v/>
      </c>
      <c r="AX156">
        <f>RAND()</f>
        <v/>
      </c>
      <c r="AY156">
        <f>RAND()</f>
        <v/>
      </c>
      <c r="AZ156">
        <f>RAND()</f>
        <v/>
      </c>
    </row>
    <row r="157">
      <c r="AK157" t="n">
        <v>144</v>
      </c>
      <c r="AL157">
        <f>IFERROR(IF(AU157&lt;($AM$6-$AL$6)/($AN$6-$AL$6),$AL$6+SQRT(AU157*($AN$6-$AL$6)*($AM$6-$AL$6)),$AN$6-SQRT((1-AU157)*($AN$6-$AL$6)*($AN$6-$AM$6))),$AM$6)</f>
        <v/>
      </c>
      <c r="AM157">
        <f>IFERROR(IF(AV157&lt;($AM$7-$AL$7)/($AN$7-$AL$7),$AL$7+SQRT(AV157*($AN$7-$AL$7)*($AM$7-$AL$7)),$AN$7-SQRT((1-AV157)*($AN$7-$AL$7)*($AN$7-$AM$7))),$AM$7)</f>
        <v/>
      </c>
      <c r="AN157">
        <f>IFERROR(IF(AW157&lt;($AM$8-$AL$8)/($AN$8-$AL$8),$AL$8+SQRT(AW157*($AN$8-$AL$8)*($AM$8-$AL$8)),$AN$8-SQRT((1-AW157)*($AN$8-$AL$8)*($AN$8-$AM$8))),$AM$8)</f>
        <v/>
      </c>
      <c r="AO157">
        <f>IFERROR(IF(AX157&lt;($AM$9-$AL$9)/($AN$9-$AL$9),$AL$9+SQRT(AX157*($AN$9-$AL$9)*($AM$9-$AL$9)),$AN$9-SQRT((1-AX157)*($AN$9-$AL$9)*($AN$9-$AM$9))),$AM$9)</f>
        <v/>
      </c>
      <c r="AP157">
        <f>IFERROR(IF(AY157&lt;($AM$10-$AL$10)/($AN$10-$AL$10),$AL$10+SQRT(AY157*($AN$10-$AL$10)*($AM$10-$AL$10)),$AN$10-SQRT((1-AY157)*($AN$10-$AL$10)*($AN$10-$AM$10))),$AM$10)</f>
        <v/>
      </c>
      <c r="AQ157">
        <f>IFERROR(IF(AZ157&lt;($AM$11-$AL$11)/($AN$11-$AL$11),$AL$11+SQRT(AZ157*($AN$11-$AL$11)*($AM$11-$AL$11)),$AN$11-SQRT((1-AZ157)*($AN$11-$AL$11)*($AN$11-$AM$11))),$AM$11)</f>
        <v/>
      </c>
      <c r="AR157">
        <f>SUMPRODUCT((B24:B31&lt;=$B$6)*(C24:C31*AM157+D24:D31*AO157*$B$8*AQ157)/(1+AL157/100)^B24:B31)+C32*AM157*AP157/(1+AL157/100)^$B$6</f>
        <v/>
      </c>
      <c r="AS157">
        <f>SUMPRODUCT((K24:K26&lt;=$B$6)*(L24:L26*AN157+M24:M26*AO157*$B$8*AQ157)/(1+AL157/100)^K24:K26)+L27*AN157*AP157/(1+AL157/100)^$B$6</f>
        <v/>
      </c>
      <c r="AT157">
        <f>AS157-AR157</f>
        <v/>
      </c>
      <c r="AU157">
        <f>RAND()</f>
        <v/>
      </c>
      <c r="AV157">
        <f>RAND()</f>
        <v/>
      </c>
      <c r="AW157">
        <f>RAND()</f>
        <v/>
      </c>
      <c r="AX157">
        <f>RAND()</f>
        <v/>
      </c>
      <c r="AY157">
        <f>RAND()</f>
        <v/>
      </c>
      <c r="AZ157">
        <f>RAND()</f>
        <v/>
      </c>
    </row>
    <row r="158">
      <c r="A158" s="4" t="inlineStr">
        <is>
          <t>DECISION MAP: PCC - HMA present worth by discount rate and salvage credit</t>
        </is>
      </c>
      <c r="AK158" t="n">
        <v>145</v>
      </c>
      <c r="AL158">
        <f>IFERROR(IF(AU158&lt;($AM$6-$AL$6)/($AN$6-$AL$6),$AL$6+SQRT(AU158*($AN$6-$AL$6)*($AM$6-$AL$6)),$AN$6-SQRT((1-AU158)*($AN$6-$AL$6)*($AN$6-$AM$6))),$AM$6)</f>
        <v/>
      </c>
      <c r="AM158">
        <f>IFERROR(IF(AV158&lt;($AM$7-$AL$7)/($AN$7-$AL$7),$AL$7+SQRT(AV158*($AN$7-$AL$7)*($AM$7-$AL$7)),$AN$7-SQRT((1-AV158)*($AN$7-$AL$7)*($AN$7-$AM$7))),$AM$7)</f>
        <v/>
      </c>
      <c r="AN158">
        <f>IFERROR(IF(AW158&lt;($AM$8-$AL$8)/($AN$8-$AL$8),$AL$8+SQRT(AW158*($AN$8-$AL$8)*($AM$8-$AL$8)),$AN$8-SQRT((1-AW158)*($AN$8-$AL$8)*($AN$8-$AM$8))),$AM$8)</f>
        <v/>
      </c>
      <c r="AO158">
        <f>IFERROR(IF(AX158&lt;($AM$9-$AL$9)/($AN$9-$AL$9),$AL$9+SQRT(AX158*($AN$9-$AL$9)*($AM$9-$AL$9)),$AN$9-SQRT((1-AX158)*($AN$9-$AL$9)*($AN$9-$AM$9))),$AM$9)</f>
        <v/>
      </c>
      <c r="AP158">
        <f>IFERROR(IF(AY158&lt;($AM$10-$AL$10)/($AN$10-$AL$10),$AL$10+SQRT(AY158*($AN$10-$AL$10)*($AM$10-$AL$10)),$AN$10-SQRT((1-AY158)*($AN$10-$AL$10)*($AN$10-$AM$10))),$AM$10)</f>
        <v/>
      </c>
      <c r="AQ158">
        <f>IFERROR(IF(AZ158&lt;($AM$11-$AL$11)/($AN$11-$AL$11),$AL$11+SQRT(AZ158*($AN$11-$AL$11)*($AM$11-$AL$11)),$AN$11-SQRT((1-AZ158)*($AN$11-$AL$11)*($AN$11-$AM$11))),$AM$11)</f>
        <v/>
      </c>
      <c r="AR158">
        <f>SUMPRODUCT((B24:B31&lt;=$B$6)*(C24:C31*AM158+D24:D31*AO158*$B$8*AQ158)/(1+AL158/100)^B24:B31)+C32*AM158*AP158/(1+AL158/100)^$B$6</f>
        <v/>
      </c>
      <c r="AS158">
        <f>SUMPRODUCT((K24:K26&lt;=$B$6)*(L24:L26*AN158+M24:M26*AO158*$B$8*AQ158)/(1+AL158/100)^K24:K26)+L27*AN158*AP158/(1+AL158/100)^$B$6</f>
        <v/>
      </c>
      <c r="AT158">
        <f>AS158-AR158</f>
        <v/>
      </c>
      <c r="AU158">
        <f>RAND()</f>
        <v/>
      </c>
      <c r="AV158">
        <f>RAND()</f>
        <v/>
      </c>
      <c r="AW158">
        <f>RAND()</f>
        <v/>
      </c>
      <c r="AX158">
        <f>RAND()</f>
        <v/>
      </c>
      <c r="AY158">
        <f>RAND()</f>
        <v/>
      </c>
      <c r="AZ158">
        <f>RAND()</f>
        <v/>
      </c>
    </row>
    <row r="159">
      <c r="A159" s="9" t="inlineStr">
        <is>
          <t>Salvage multiplier \ Rate (%)</t>
        </is>
      </c>
      <c r="B159" s="34" t="n">
        <v>2</v>
      </c>
      <c r="C159" s="34" t="n">
        <v>3</v>
      </c>
      <c r="D159" s="34" t="n">
        <v>4</v>
      </c>
      <c r="E159" s="34" t="n">
        <v>5</v>
      </c>
      <c r="F159" s="34" t="n">
        <v>6</v>
      </c>
      <c r="G159" s="34" t="n">
        <v>7</v>
      </c>
      <c r="H159" s="34" t="n">
        <v>8</v>
      </c>
      <c r="AK159" t="n">
        <v>146</v>
      </c>
      <c r="AL159">
        <f>IFERROR(IF(AU159&lt;($AM$6-$AL$6)/($AN$6-$AL$6),$AL$6+SQRT(AU159*($AN$6-$AL$6)*($AM$6-$AL$6)),$AN$6-SQRT((1-AU159)*($AN$6-$AL$6)*($AN$6-$AM$6))),$AM$6)</f>
        <v/>
      </c>
      <c r="AM159">
        <f>IFERROR(IF(AV159&lt;($AM$7-$AL$7)/($AN$7-$AL$7),$AL$7+SQRT(AV159*($AN$7-$AL$7)*($AM$7-$AL$7)),$AN$7-SQRT((1-AV159)*($AN$7-$AL$7)*($AN$7-$AM$7))),$AM$7)</f>
        <v/>
      </c>
      <c r="AN159">
        <f>IFERROR(IF(AW159&lt;($AM$8-$AL$8)/($AN$8-$AL$8),$AL$8+SQRT(AW159*($AN$8-$AL$8)*($AM$8-$AL$8)),$AN$8-SQRT((1-AW159)*($AN$8-$AL$8)*($AN$8-$AM$8))),$AM$8)</f>
        <v/>
      </c>
      <c r="AO159">
        <f>IFERROR(IF(AX159&lt;($AM$9-$AL$9)/($AN$9-$AL$9),$AL$9+SQRT(AX159*($AN$9-$AL$9)*($AM$9-$AL$9)),$AN$9-SQRT((1-AX159)*($AN$9-$AL$9)*($AN$9-$AM$9))),$AM$9)</f>
        <v/>
      </c>
      <c r="AP159">
        <f>IFERROR(IF(AY159&lt;($AM$10-$AL$10)/($AN$10-$AL$10),$AL$10+SQRT(AY159*($AN$10-$AL$10)*($AM$10-$AL$10)),$AN$10-SQRT((1-AY159)*($AN$10-$AL$10)*($AN$10-$AM$10))),$AM$10)</f>
        <v/>
      </c>
      <c r="AQ159">
        <f>IFERROR(IF(AZ159&lt;($AM$11-$AL$11)/($AN$11-$AL$11),$AL$11+SQRT(AZ159*($AN$11-$AL$11)*($AM$11-$AL$11)),$AN$11-SQRT((1-AZ159)*($AN$11-$AL$11)*($AN$11-$AM$11))),$AM$11)</f>
        <v/>
      </c>
      <c r="AR159">
        <f>SUMPRODUCT((B24:B31&lt;=$B$6)*(C24:C31*AM159+D24:D31*AO159*$B$8*AQ159)/(1+AL159/100)^B24:B31)+C32*AM159*AP159/(1+AL159/100)^$B$6</f>
        <v/>
      </c>
      <c r="AS159">
        <f>SUMPRODUCT((K24:K26&lt;=$B$6)*(L24:L26*AN159+M24:M26*AO159*$B$8*AQ159)/(1+AL159/100)^K24:K26)+L27*AN159*AP159/(1+AL159/100)^$B$6</f>
        <v/>
      </c>
      <c r="AT159">
        <f>AS159-AR159</f>
        <v/>
      </c>
      <c r="AU159">
        <f>RAND()</f>
        <v/>
      </c>
      <c r="AV159">
        <f>RAND()</f>
        <v/>
      </c>
      <c r="AW159">
        <f>RAND()</f>
        <v/>
      </c>
      <c r="AX159">
        <f>RAND()</f>
        <v/>
      </c>
      <c r="AY159">
        <f>RAND()</f>
        <v/>
      </c>
      <c r="AZ159">
        <f>RAND()</f>
        <v/>
      </c>
    </row>
    <row r="160">
      <c r="A160" s="29" t="n">
        <v>0</v>
      </c>
      <c r="B160" s="18">
        <f>(SUMPRODUCT((K24:K26&lt;=$B$6)*(L24:L26*$B$12+M24:M26*$B$10*$B$8*$B$9)/(1+2/100)^K24:K26)+L27*$B$12*0/(1+2/100)^$B$6)-(SUMPRODUCT((B24:B31&lt;=$B$6)*(C24:C31*$B$11+D24:D31*$B$10*$B$8*$B$9)/(1+2/100)^B24:B31)+C32*$B$11*0/(1+2/100)^$B$6)</f>
        <v/>
      </c>
      <c r="C160" s="18">
        <f>(SUMPRODUCT((K24:K26&lt;=$B$6)*(L24:L26*$B$12+M24:M26*$B$10*$B$8*$B$9)/(1+3/100)^K24:K26)+L27*$B$12*0/(1+3/100)^$B$6)-(SUMPRODUCT((B24:B31&lt;=$B$6)*(C24:C31*$B$11+D24:D31*$B$10*$B$8*$B$9)/(1+3/100)^B24:B31)+C32*$B$11*0/(1+3/100)^$B$6)</f>
        <v/>
      </c>
      <c r="D160" s="18">
        <f>(SUMPRODUCT((K24:K26&lt;=$B$6)*(L24:L26*$B$12+M24:M26*$B$10*$B$8*$B$9)/(1+4/100)^K24:K26)+L27*$B$12*0/(1+4/100)^$B$6)-(SUMPRODUCT((B24:B31&lt;=$B$6)*(C24:C31*$B$11+D24:D31*$B$10*$B$8*$B$9)/(1+4/100)^B24:B31)+C32*$B$11*0/(1+4/100)^$B$6)</f>
        <v/>
      </c>
      <c r="E160" s="18">
        <f>(SUMPRODUCT((K24:K26&lt;=$B$6)*(L24:L26*$B$12+M24:M26*$B$10*$B$8*$B$9)/(1+5/100)^K24:K26)+L27*$B$12*0/(1+5/100)^$B$6)-(SUMPRODUCT((B24:B31&lt;=$B$6)*(C24:C31*$B$11+D24:D31*$B$10*$B$8*$B$9)/(1+5/100)^B24:B31)+C32*$B$11*0/(1+5/100)^$B$6)</f>
        <v/>
      </c>
      <c r="F160" s="18">
        <f>(SUMPRODUCT((K24:K26&lt;=$B$6)*(L24:L26*$B$12+M24:M26*$B$10*$B$8*$B$9)/(1+6/100)^K24:K26)+L27*$B$12*0/(1+6/100)^$B$6)-(SUMPRODUCT((B24:B31&lt;=$B$6)*(C24:C31*$B$11+D24:D31*$B$10*$B$8*$B$9)/(1+6/100)^B24:B31)+C32*$B$11*0/(1+6/100)^$B$6)</f>
        <v/>
      </c>
      <c r="G160" s="18">
        <f>(SUMPRODUCT((K24:K26&lt;=$B$6)*(L24:L26*$B$12+M24:M26*$B$10*$B$8*$B$9)/(1+7/100)^K24:K26)+L27*$B$12*0/(1+7/100)^$B$6)-(SUMPRODUCT((B24:B31&lt;=$B$6)*(C24:C31*$B$11+D24:D31*$B$10*$B$8*$B$9)/(1+7/100)^B24:B31)+C32*$B$11*0/(1+7/100)^$B$6)</f>
        <v/>
      </c>
      <c r="H160" s="18">
        <f>(SUMPRODUCT((K24:K26&lt;=$B$6)*(L24:L26*$B$12+M24:M26*$B$10*$B$8*$B$9)/(1+8/100)^K24:K26)+L27*$B$12*0/(1+8/100)^$B$6)-(SUMPRODUCT((B24:B31&lt;=$B$6)*(C24:C31*$B$11+D24:D31*$B$10*$B$8*$B$9)/(1+8/100)^B24:B31)+C32*$B$11*0/(1+8/100)^$B$6)</f>
        <v/>
      </c>
      <c r="AK160" t="n">
        <v>147</v>
      </c>
      <c r="AL160">
        <f>IFERROR(IF(AU160&lt;($AM$6-$AL$6)/($AN$6-$AL$6),$AL$6+SQRT(AU160*($AN$6-$AL$6)*($AM$6-$AL$6)),$AN$6-SQRT((1-AU160)*($AN$6-$AL$6)*($AN$6-$AM$6))),$AM$6)</f>
        <v/>
      </c>
      <c r="AM160">
        <f>IFERROR(IF(AV160&lt;($AM$7-$AL$7)/($AN$7-$AL$7),$AL$7+SQRT(AV160*($AN$7-$AL$7)*($AM$7-$AL$7)),$AN$7-SQRT((1-AV160)*($AN$7-$AL$7)*($AN$7-$AM$7))),$AM$7)</f>
        <v/>
      </c>
      <c r="AN160">
        <f>IFERROR(IF(AW160&lt;($AM$8-$AL$8)/($AN$8-$AL$8),$AL$8+SQRT(AW160*($AN$8-$AL$8)*($AM$8-$AL$8)),$AN$8-SQRT((1-AW160)*($AN$8-$AL$8)*($AN$8-$AM$8))),$AM$8)</f>
        <v/>
      </c>
      <c r="AO160">
        <f>IFERROR(IF(AX160&lt;($AM$9-$AL$9)/($AN$9-$AL$9),$AL$9+SQRT(AX160*($AN$9-$AL$9)*($AM$9-$AL$9)),$AN$9-SQRT((1-AX160)*($AN$9-$AL$9)*($AN$9-$AM$9))),$AM$9)</f>
        <v/>
      </c>
      <c r="AP160">
        <f>IFERROR(IF(AY160&lt;($AM$10-$AL$10)/($AN$10-$AL$10),$AL$10+SQRT(AY160*($AN$10-$AL$10)*($AM$10-$AL$10)),$AN$10-SQRT((1-AY160)*($AN$10-$AL$10)*($AN$10-$AM$10))),$AM$10)</f>
        <v/>
      </c>
      <c r="AQ160">
        <f>IFERROR(IF(AZ160&lt;($AM$11-$AL$11)/($AN$11-$AL$11),$AL$11+SQRT(AZ160*($AN$11-$AL$11)*($AM$11-$AL$11)),$AN$11-SQRT((1-AZ160)*($AN$11-$AL$11)*($AN$11-$AM$11))),$AM$11)</f>
        <v/>
      </c>
      <c r="AR160">
        <f>SUMPRODUCT((B24:B31&lt;=$B$6)*(C24:C31*AM160+D24:D31*AO160*$B$8*AQ160)/(1+AL160/100)^B24:B31)+C32*AM160*AP160/(1+AL160/100)^$B$6</f>
        <v/>
      </c>
      <c r="AS160">
        <f>SUMPRODUCT((K24:K26&lt;=$B$6)*(L24:L26*AN160+M24:M26*AO160*$B$8*AQ160)/(1+AL160/100)^K24:K26)+L27*AN160*AP160/(1+AL160/100)^$B$6</f>
        <v/>
      </c>
      <c r="AT160">
        <f>AS160-AR160</f>
        <v/>
      </c>
      <c r="AU160">
        <f>RAND()</f>
        <v/>
      </c>
      <c r="AV160">
        <f>RAND()</f>
        <v/>
      </c>
      <c r="AW160">
        <f>RAND()</f>
        <v/>
      </c>
      <c r="AX160">
        <f>RAND()</f>
        <v/>
      </c>
      <c r="AY160">
        <f>RAND()</f>
        <v/>
      </c>
      <c r="AZ160">
        <f>RAND()</f>
        <v/>
      </c>
    </row>
    <row r="161">
      <c r="A161" s="29" t="n">
        <v>0.25</v>
      </c>
      <c r="B161" s="18">
        <f>(SUMPRODUCT((K24:K26&lt;=$B$6)*(L24:L26*$B$12+M24:M26*$B$10*$B$8*$B$9)/(1+2/100)^K24:K26)+L27*$B$12*0.25/(1+2/100)^$B$6)-(SUMPRODUCT((B24:B31&lt;=$B$6)*(C24:C31*$B$11+D24:D31*$B$10*$B$8*$B$9)/(1+2/100)^B24:B31)+C32*$B$11*0.25/(1+2/100)^$B$6)</f>
        <v/>
      </c>
      <c r="C161" s="18">
        <f>(SUMPRODUCT((K24:K26&lt;=$B$6)*(L24:L26*$B$12+M24:M26*$B$10*$B$8*$B$9)/(1+3/100)^K24:K26)+L27*$B$12*0.25/(1+3/100)^$B$6)-(SUMPRODUCT((B24:B31&lt;=$B$6)*(C24:C31*$B$11+D24:D31*$B$10*$B$8*$B$9)/(1+3/100)^B24:B31)+C32*$B$11*0.25/(1+3/100)^$B$6)</f>
        <v/>
      </c>
      <c r="D161" s="18">
        <f>(SUMPRODUCT((K24:K26&lt;=$B$6)*(L24:L26*$B$12+M24:M26*$B$10*$B$8*$B$9)/(1+4/100)^K24:K26)+L27*$B$12*0.25/(1+4/100)^$B$6)-(SUMPRODUCT((B24:B31&lt;=$B$6)*(C24:C31*$B$11+D24:D31*$B$10*$B$8*$B$9)/(1+4/100)^B24:B31)+C32*$B$11*0.25/(1+4/100)^$B$6)</f>
        <v/>
      </c>
      <c r="E161" s="18">
        <f>(SUMPRODUCT((K24:K26&lt;=$B$6)*(L24:L26*$B$12+M24:M26*$B$10*$B$8*$B$9)/(1+5/100)^K24:K26)+L27*$B$12*0.25/(1+5/100)^$B$6)-(SUMPRODUCT((B24:B31&lt;=$B$6)*(C24:C31*$B$11+D24:D31*$B$10*$B$8*$B$9)/(1+5/100)^B24:B31)+C32*$B$11*0.25/(1+5/100)^$B$6)</f>
        <v/>
      </c>
      <c r="F161" s="18">
        <f>(SUMPRODUCT((K24:K26&lt;=$B$6)*(L24:L26*$B$12+M24:M26*$B$10*$B$8*$B$9)/(1+6/100)^K24:K26)+L27*$B$12*0.25/(1+6/100)^$B$6)-(SUMPRODUCT((B24:B31&lt;=$B$6)*(C24:C31*$B$11+D24:D31*$B$10*$B$8*$B$9)/(1+6/100)^B24:B31)+C32*$B$11*0.25/(1+6/100)^$B$6)</f>
        <v/>
      </c>
      <c r="G161" s="18">
        <f>(SUMPRODUCT((K24:K26&lt;=$B$6)*(L24:L26*$B$12+M24:M26*$B$10*$B$8*$B$9)/(1+7/100)^K24:K26)+L27*$B$12*0.25/(1+7/100)^$B$6)-(SUMPRODUCT((B24:B31&lt;=$B$6)*(C24:C31*$B$11+D24:D31*$B$10*$B$8*$B$9)/(1+7/100)^B24:B31)+C32*$B$11*0.25/(1+7/100)^$B$6)</f>
        <v/>
      </c>
      <c r="H161" s="18">
        <f>(SUMPRODUCT((K24:K26&lt;=$B$6)*(L24:L26*$B$12+M24:M26*$B$10*$B$8*$B$9)/(1+8/100)^K24:K26)+L27*$B$12*0.25/(1+8/100)^$B$6)-(SUMPRODUCT((B24:B31&lt;=$B$6)*(C24:C31*$B$11+D24:D31*$B$10*$B$8*$B$9)/(1+8/100)^B24:B31)+C32*$B$11*0.25/(1+8/100)^$B$6)</f>
        <v/>
      </c>
      <c r="AK161" t="n">
        <v>148</v>
      </c>
      <c r="AL161">
        <f>IFERROR(IF(AU161&lt;($AM$6-$AL$6)/($AN$6-$AL$6),$AL$6+SQRT(AU161*($AN$6-$AL$6)*($AM$6-$AL$6)),$AN$6-SQRT((1-AU161)*($AN$6-$AL$6)*($AN$6-$AM$6))),$AM$6)</f>
        <v/>
      </c>
      <c r="AM161">
        <f>IFERROR(IF(AV161&lt;($AM$7-$AL$7)/($AN$7-$AL$7),$AL$7+SQRT(AV161*($AN$7-$AL$7)*($AM$7-$AL$7)),$AN$7-SQRT((1-AV161)*($AN$7-$AL$7)*($AN$7-$AM$7))),$AM$7)</f>
        <v/>
      </c>
      <c r="AN161">
        <f>IFERROR(IF(AW161&lt;($AM$8-$AL$8)/($AN$8-$AL$8),$AL$8+SQRT(AW161*($AN$8-$AL$8)*($AM$8-$AL$8)),$AN$8-SQRT((1-AW161)*($AN$8-$AL$8)*($AN$8-$AM$8))),$AM$8)</f>
        <v/>
      </c>
      <c r="AO161">
        <f>IFERROR(IF(AX161&lt;($AM$9-$AL$9)/($AN$9-$AL$9),$AL$9+SQRT(AX161*($AN$9-$AL$9)*($AM$9-$AL$9)),$AN$9-SQRT((1-AX161)*($AN$9-$AL$9)*($AN$9-$AM$9))),$AM$9)</f>
        <v/>
      </c>
      <c r="AP161">
        <f>IFERROR(IF(AY161&lt;($AM$10-$AL$10)/($AN$10-$AL$10),$AL$10+SQRT(AY161*($AN$10-$AL$10)*($AM$10-$AL$10)),$AN$10-SQRT((1-AY161)*($AN$10-$AL$10)*($AN$10-$AM$10))),$AM$10)</f>
        <v/>
      </c>
      <c r="AQ161">
        <f>IFERROR(IF(AZ161&lt;($AM$11-$AL$11)/($AN$11-$AL$11),$AL$11+SQRT(AZ161*($AN$11-$AL$11)*($AM$11-$AL$11)),$AN$11-SQRT((1-AZ161)*($AN$11-$AL$11)*($AN$11-$AM$11))),$AM$11)</f>
        <v/>
      </c>
      <c r="AR161">
        <f>SUMPRODUCT((B24:B31&lt;=$B$6)*(C24:C31*AM161+D24:D31*AO161*$B$8*AQ161)/(1+AL161/100)^B24:B31)+C32*AM161*AP161/(1+AL161/100)^$B$6</f>
        <v/>
      </c>
      <c r="AS161">
        <f>SUMPRODUCT((K24:K26&lt;=$B$6)*(L24:L26*AN161+M24:M26*AO161*$B$8*AQ161)/(1+AL161/100)^K24:K26)+L27*AN161*AP161/(1+AL161/100)^$B$6</f>
        <v/>
      </c>
      <c r="AT161">
        <f>AS161-AR161</f>
        <v/>
      </c>
      <c r="AU161">
        <f>RAND()</f>
        <v/>
      </c>
      <c r="AV161">
        <f>RAND()</f>
        <v/>
      </c>
      <c r="AW161">
        <f>RAND()</f>
        <v/>
      </c>
      <c r="AX161">
        <f>RAND()</f>
        <v/>
      </c>
      <c r="AY161">
        <f>RAND()</f>
        <v/>
      </c>
      <c r="AZ161">
        <f>RAND()</f>
        <v/>
      </c>
    </row>
    <row r="162">
      <c r="A162" s="29" t="n">
        <v>0.5</v>
      </c>
      <c r="B162" s="18">
        <f>(SUMPRODUCT((K24:K26&lt;=$B$6)*(L24:L26*$B$12+M24:M26*$B$10*$B$8*$B$9)/(1+2/100)^K24:K26)+L27*$B$12*0.5/(1+2/100)^$B$6)-(SUMPRODUCT((B24:B31&lt;=$B$6)*(C24:C31*$B$11+D24:D31*$B$10*$B$8*$B$9)/(1+2/100)^B24:B31)+C32*$B$11*0.5/(1+2/100)^$B$6)</f>
        <v/>
      </c>
      <c r="C162" s="18">
        <f>(SUMPRODUCT((K24:K26&lt;=$B$6)*(L24:L26*$B$12+M24:M26*$B$10*$B$8*$B$9)/(1+3/100)^K24:K26)+L27*$B$12*0.5/(1+3/100)^$B$6)-(SUMPRODUCT((B24:B31&lt;=$B$6)*(C24:C31*$B$11+D24:D31*$B$10*$B$8*$B$9)/(1+3/100)^B24:B31)+C32*$B$11*0.5/(1+3/100)^$B$6)</f>
        <v/>
      </c>
      <c r="D162" s="18">
        <f>(SUMPRODUCT((K24:K26&lt;=$B$6)*(L24:L26*$B$12+M24:M26*$B$10*$B$8*$B$9)/(1+4/100)^K24:K26)+L27*$B$12*0.5/(1+4/100)^$B$6)-(SUMPRODUCT((B24:B31&lt;=$B$6)*(C24:C31*$B$11+D24:D31*$B$10*$B$8*$B$9)/(1+4/100)^B24:B31)+C32*$B$11*0.5/(1+4/100)^$B$6)</f>
        <v/>
      </c>
      <c r="E162" s="18">
        <f>(SUMPRODUCT((K24:K26&lt;=$B$6)*(L24:L26*$B$12+M24:M26*$B$10*$B$8*$B$9)/(1+5/100)^K24:K26)+L27*$B$12*0.5/(1+5/100)^$B$6)-(SUMPRODUCT((B24:B31&lt;=$B$6)*(C24:C31*$B$11+D24:D31*$B$10*$B$8*$B$9)/(1+5/100)^B24:B31)+C32*$B$11*0.5/(1+5/100)^$B$6)</f>
        <v/>
      </c>
      <c r="F162" s="18">
        <f>(SUMPRODUCT((K24:K26&lt;=$B$6)*(L24:L26*$B$12+M24:M26*$B$10*$B$8*$B$9)/(1+6/100)^K24:K26)+L27*$B$12*0.5/(1+6/100)^$B$6)-(SUMPRODUCT((B24:B31&lt;=$B$6)*(C24:C31*$B$11+D24:D31*$B$10*$B$8*$B$9)/(1+6/100)^B24:B31)+C32*$B$11*0.5/(1+6/100)^$B$6)</f>
        <v/>
      </c>
      <c r="G162" s="18">
        <f>(SUMPRODUCT((K24:K26&lt;=$B$6)*(L24:L26*$B$12+M24:M26*$B$10*$B$8*$B$9)/(1+7/100)^K24:K26)+L27*$B$12*0.5/(1+7/100)^$B$6)-(SUMPRODUCT((B24:B31&lt;=$B$6)*(C24:C31*$B$11+D24:D31*$B$10*$B$8*$B$9)/(1+7/100)^B24:B31)+C32*$B$11*0.5/(1+7/100)^$B$6)</f>
        <v/>
      </c>
      <c r="H162" s="18">
        <f>(SUMPRODUCT((K24:K26&lt;=$B$6)*(L24:L26*$B$12+M24:M26*$B$10*$B$8*$B$9)/(1+8/100)^K24:K26)+L27*$B$12*0.5/(1+8/100)^$B$6)-(SUMPRODUCT((B24:B31&lt;=$B$6)*(C24:C31*$B$11+D24:D31*$B$10*$B$8*$B$9)/(1+8/100)^B24:B31)+C32*$B$11*0.5/(1+8/100)^$B$6)</f>
        <v/>
      </c>
      <c r="AK162" t="n">
        <v>149</v>
      </c>
      <c r="AL162">
        <f>IFERROR(IF(AU162&lt;($AM$6-$AL$6)/($AN$6-$AL$6),$AL$6+SQRT(AU162*($AN$6-$AL$6)*($AM$6-$AL$6)),$AN$6-SQRT((1-AU162)*($AN$6-$AL$6)*($AN$6-$AM$6))),$AM$6)</f>
        <v/>
      </c>
      <c r="AM162">
        <f>IFERROR(IF(AV162&lt;($AM$7-$AL$7)/($AN$7-$AL$7),$AL$7+SQRT(AV162*($AN$7-$AL$7)*($AM$7-$AL$7)),$AN$7-SQRT((1-AV162)*($AN$7-$AL$7)*($AN$7-$AM$7))),$AM$7)</f>
        <v/>
      </c>
      <c r="AN162">
        <f>IFERROR(IF(AW162&lt;($AM$8-$AL$8)/($AN$8-$AL$8),$AL$8+SQRT(AW162*($AN$8-$AL$8)*($AM$8-$AL$8)),$AN$8-SQRT((1-AW162)*($AN$8-$AL$8)*($AN$8-$AM$8))),$AM$8)</f>
        <v/>
      </c>
      <c r="AO162">
        <f>IFERROR(IF(AX162&lt;($AM$9-$AL$9)/($AN$9-$AL$9),$AL$9+SQRT(AX162*($AN$9-$AL$9)*($AM$9-$AL$9)),$AN$9-SQRT((1-AX162)*($AN$9-$AL$9)*($AN$9-$AM$9))),$AM$9)</f>
        <v/>
      </c>
      <c r="AP162">
        <f>IFERROR(IF(AY162&lt;($AM$10-$AL$10)/($AN$10-$AL$10),$AL$10+SQRT(AY162*($AN$10-$AL$10)*($AM$10-$AL$10)),$AN$10-SQRT((1-AY162)*($AN$10-$AL$10)*($AN$10-$AM$10))),$AM$10)</f>
        <v/>
      </c>
      <c r="AQ162">
        <f>IFERROR(IF(AZ162&lt;($AM$11-$AL$11)/($AN$11-$AL$11),$AL$11+SQRT(AZ162*($AN$11-$AL$11)*($AM$11-$AL$11)),$AN$11-SQRT((1-AZ162)*($AN$11-$AL$11)*($AN$11-$AM$11))),$AM$11)</f>
        <v/>
      </c>
      <c r="AR162">
        <f>SUMPRODUCT((B24:B31&lt;=$B$6)*(C24:C31*AM162+D24:D31*AO162*$B$8*AQ162)/(1+AL162/100)^B24:B31)+C32*AM162*AP162/(1+AL162/100)^$B$6</f>
        <v/>
      </c>
      <c r="AS162">
        <f>SUMPRODUCT((K24:K26&lt;=$B$6)*(L24:L26*AN162+M24:M26*AO162*$B$8*AQ162)/(1+AL162/100)^K24:K26)+L27*AN162*AP162/(1+AL162/100)^$B$6</f>
        <v/>
      </c>
      <c r="AT162">
        <f>AS162-AR162</f>
        <v/>
      </c>
      <c r="AU162">
        <f>RAND()</f>
        <v/>
      </c>
      <c r="AV162">
        <f>RAND()</f>
        <v/>
      </c>
      <c r="AW162">
        <f>RAND()</f>
        <v/>
      </c>
      <c r="AX162">
        <f>RAND()</f>
        <v/>
      </c>
      <c r="AY162">
        <f>RAND()</f>
        <v/>
      </c>
      <c r="AZ162">
        <f>RAND()</f>
        <v/>
      </c>
    </row>
    <row r="163">
      <c r="A163" s="29" t="n">
        <v>0.75</v>
      </c>
      <c r="B163" s="18">
        <f>(SUMPRODUCT((K24:K26&lt;=$B$6)*(L24:L26*$B$12+M24:M26*$B$10*$B$8*$B$9)/(1+2/100)^K24:K26)+L27*$B$12*0.75/(1+2/100)^$B$6)-(SUMPRODUCT((B24:B31&lt;=$B$6)*(C24:C31*$B$11+D24:D31*$B$10*$B$8*$B$9)/(1+2/100)^B24:B31)+C32*$B$11*0.75/(1+2/100)^$B$6)</f>
        <v/>
      </c>
      <c r="C163" s="18">
        <f>(SUMPRODUCT((K24:K26&lt;=$B$6)*(L24:L26*$B$12+M24:M26*$B$10*$B$8*$B$9)/(1+3/100)^K24:K26)+L27*$B$12*0.75/(1+3/100)^$B$6)-(SUMPRODUCT((B24:B31&lt;=$B$6)*(C24:C31*$B$11+D24:D31*$B$10*$B$8*$B$9)/(1+3/100)^B24:B31)+C32*$B$11*0.75/(1+3/100)^$B$6)</f>
        <v/>
      </c>
      <c r="D163" s="18">
        <f>(SUMPRODUCT((K24:K26&lt;=$B$6)*(L24:L26*$B$12+M24:M26*$B$10*$B$8*$B$9)/(1+4/100)^K24:K26)+L27*$B$12*0.75/(1+4/100)^$B$6)-(SUMPRODUCT((B24:B31&lt;=$B$6)*(C24:C31*$B$11+D24:D31*$B$10*$B$8*$B$9)/(1+4/100)^B24:B31)+C32*$B$11*0.75/(1+4/100)^$B$6)</f>
        <v/>
      </c>
      <c r="E163" s="18">
        <f>(SUMPRODUCT((K24:K26&lt;=$B$6)*(L24:L26*$B$12+M24:M26*$B$10*$B$8*$B$9)/(1+5/100)^K24:K26)+L27*$B$12*0.75/(1+5/100)^$B$6)-(SUMPRODUCT((B24:B31&lt;=$B$6)*(C24:C31*$B$11+D24:D31*$B$10*$B$8*$B$9)/(1+5/100)^B24:B31)+C32*$B$11*0.75/(1+5/100)^$B$6)</f>
        <v/>
      </c>
      <c r="F163" s="18">
        <f>(SUMPRODUCT((K24:K26&lt;=$B$6)*(L24:L26*$B$12+M24:M26*$B$10*$B$8*$B$9)/(1+6/100)^K24:K26)+L27*$B$12*0.75/(1+6/100)^$B$6)-(SUMPRODUCT((B24:B31&lt;=$B$6)*(C24:C31*$B$11+D24:D31*$B$10*$B$8*$B$9)/(1+6/100)^B24:B31)+C32*$B$11*0.75/(1+6/100)^$B$6)</f>
        <v/>
      </c>
      <c r="G163" s="18">
        <f>(SUMPRODUCT((K24:K26&lt;=$B$6)*(L24:L26*$B$12+M24:M26*$B$10*$B$8*$B$9)/(1+7/100)^K24:K26)+L27*$B$12*0.75/(1+7/100)^$B$6)-(SUMPRODUCT((B24:B31&lt;=$B$6)*(C24:C31*$B$11+D24:D31*$B$10*$B$8*$B$9)/(1+7/100)^B24:B31)+C32*$B$11*0.75/(1+7/100)^$B$6)</f>
        <v/>
      </c>
      <c r="H163" s="18">
        <f>(SUMPRODUCT((K24:K26&lt;=$B$6)*(L24:L26*$B$12+M24:M26*$B$10*$B$8*$B$9)/(1+8/100)^K24:K26)+L27*$B$12*0.75/(1+8/100)^$B$6)-(SUMPRODUCT((B24:B31&lt;=$B$6)*(C24:C31*$B$11+D24:D31*$B$10*$B$8*$B$9)/(1+8/100)^B24:B31)+C32*$B$11*0.75/(1+8/100)^$B$6)</f>
        <v/>
      </c>
      <c r="AK163" t="n">
        <v>150</v>
      </c>
      <c r="AL163">
        <f>IFERROR(IF(AU163&lt;($AM$6-$AL$6)/($AN$6-$AL$6),$AL$6+SQRT(AU163*($AN$6-$AL$6)*($AM$6-$AL$6)),$AN$6-SQRT((1-AU163)*($AN$6-$AL$6)*($AN$6-$AM$6))),$AM$6)</f>
        <v/>
      </c>
      <c r="AM163">
        <f>IFERROR(IF(AV163&lt;($AM$7-$AL$7)/($AN$7-$AL$7),$AL$7+SQRT(AV163*($AN$7-$AL$7)*($AM$7-$AL$7)),$AN$7-SQRT((1-AV163)*($AN$7-$AL$7)*($AN$7-$AM$7))),$AM$7)</f>
        <v/>
      </c>
      <c r="AN163">
        <f>IFERROR(IF(AW163&lt;($AM$8-$AL$8)/($AN$8-$AL$8),$AL$8+SQRT(AW163*($AN$8-$AL$8)*($AM$8-$AL$8)),$AN$8-SQRT((1-AW163)*($AN$8-$AL$8)*($AN$8-$AM$8))),$AM$8)</f>
        <v/>
      </c>
      <c r="AO163">
        <f>IFERROR(IF(AX163&lt;($AM$9-$AL$9)/($AN$9-$AL$9),$AL$9+SQRT(AX163*($AN$9-$AL$9)*($AM$9-$AL$9)),$AN$9-SQRT((1-AX163)*($AN$9-$AL$9)*($AN$9-$AM$9))),$AM$9)</f>
        <v/>
      </c>
      <c r="AP163">
        <f>IFERROR(IF(AY163&lt;($AM$10-$AL$10)/($AN$10-$AL$10),$AL$10+SQRT(AY163*($AN$10-$AL$10)*($AM$10-$AL$10)),$AN$10-SQRT((1-AY163)*($AN$10-$AL$10)*($AN$10-$AM$10))),$AM$10)</f>
        <v/>
      </c>
      <c r="AQ163">
        <f>IFERROR(IF(AZ163&lt;($AM$11-$AL$11)/($AN$11-$AL$11),$AL$11+SQRT(AZ163*($AN$11-$AL$11)*($AM$11-$AL$11)),$AN$11-SQRT((1-AZ163)*($AN$11-$AL$11)*($AN$11-$AM$11))),$AM$11)</f>
        <v/>
      </c>
      <c r="AR163">
        <f>SUMPRODUCT((B24:B31&lt;=$B$6)*(C24:C31*AM163+D24:D31*AO163*$B$8*AQ163)/(1+AL163/100)^B24:B31)+C32*AM163*AP163/(1+AL163/100)^$B$6</f>
        <v/>
      </c>
      <c r="AS163">
        <f>SUMPRODUCT((K24:K26&lt;=$B$6)*(L24:L26*AN163+M24:M26*AO163*$B$8*AQ163)/(1+AL163/100)^K24:K26)+L27*AN163*AP163/(1+AL163/100)^$B$6</f>
        <v/>
      </c>
      <c r="AT163">
        <f>AS163-AR163</f>
        <v/>
      </c>
      <c r="AU163">
        <f>RAND()</f>
        <v/>
      </c>
      <c r="AV163">
        <f>RAND()</f>
        <v/>
      </c>
      <c r="AW163">
        <f>RAND()</f>
        <v/>
      </c>
      <c r="AX163">
        <f>RAND()</f>
        <v/>
      </c>
      <c r="AY163">
        <f>RAND()</f>
        <v/>
      </c>
      <c r="AZ163">
        <f>RAND()</f>
        <v/>
      </c>
    </row>
    <row r="164">
      <c r="A164" s="29" t="n">
        <v>1</v>
      </c>
      <c r="B164" s="18">
        <f>(SUMPRODUCT((K24:K26&lt;=$B$6)*(L24:L26*$B$12+M24:M26*$B$10*$B$8*$B$9)/(1+2/100)^K24:K26)+L27*$B$12*1.0/(1+2/100)^$B$6)-(SUMPRODUCT((B24:B31&lt;=$B$6)*(C24:C31*$B$11+D24:D31*$B$10*$B$8*$B$9)/(1+2/100)^B24:B31)+C32*$B$11*1.0/(1+2/100)^$B$6)</f>
        <v/>
      </c>
      <c r="C164" s="18">
        <f>(SUMPRODUCT((K24:K26&lt;=$B$6)*(L24:L26*$B$12+M24:M26*$B$10*$B$8*$B$9)/(1+3/100)^K24:K26)+L27*$B$12*1.0/(1+3/100)^$B$6)-(SUMPRODUCT((B24:B31&lt;=$B$6)*(C24:C31*$B$11+D24:D31*$B$10*$B$8*$B$9)/(1+3/100)^B24:B31)+C32*$B$11*1.0/(1+3/100)^$B$6)</f>
        <v/>
      </c>
      <c r="D164" s="18">
        <f>(SUMPRODUCT((K24:K26&lt;=$B$6)*(L24:L26*$B$12+M24:M26*$B$10*$B$8*$B$9)/(1+4/100)^K24:K26)+L27*$B$12*1.0/(1+4/100)^$B$6)-(SUMPRODUCT((B24:B31&lt;=$B$6)*(C24:C31*$B$11+D24:D31*$B$10*$B$8*$B$9)/(1+4/100)^B24:B31)+C32*$B$11*1.0/(1+4/100)^$B$6)</f>
        <v/>
      </c>
      <c r="E164" s="18">
        <f>(SUMPRODUCT((K24:K26&lt;=$B$6)*(L24:L26*$B$12+M24:M26*$B$10*$B$8*$B$9)/(1+5/100)^K24:K26)+L27*$B$12*1.0/(1+5/100)^$B$6)-(SUMPRODUCT((B24:B31&lt;=$B$6)*(C24:C31*$B$11+D24:D31*$B$10*$B$8*$B$9)/(1+5/100)^B24:B31)+C32*$B$11*1.0/(1+5/100)^$B$6)</f>
        <v/>
      </c>
      <c r="F164" s="18">
        <f>(SUMPRODUCT((K24:K26&lt;=$B$6)*(L24:L26*$B$12+M24:M26*$B$10*$B$8*$B$9)/(1+6/100)^K24:K26)+L27*$B$12*1.0/(1+6/100)^$B$6)-(SUMPRODUCT((B24:B31&lt;=$B$6)*(C24:C31*$B$11+D24:D31*$B$10*$B$8*$B$9)/(1+6/100)^B24:B31)+C32*$B$11*1.0/(1+6/100)^$B$6)</f>
        <v/>
      </c>
      <c r="G164" s="18">
        <f>(SUMPRODUCT((K24:K26&lt;=$B$6)*(L24:L26*$B$12+M24:M26*$B$10*$B$8*$B$9)/(1+7/100)^K24:K26)+L27*$B$12*1.0/(1+7/100)^$B$6)-(SUMPRODUCT((B24:B31&lt;=$B$6)*(C24:C31*$B$11+D24:D31*$B$10*$B$8*$B$9)/(1+7/100)^B24:B31)+C32*$B$11*1.0/(1+7/100)^$B$6)</f>
        <v/>
      </c>
      <c r="H164" s="18">
        <f>(SUMPRODUCT((K24:K26&lt;=$B$6)*(L24:L26*$B$12+M24:M26*$B$10*$B$8*$B$9)/(1+8/100)^K24:K26)+L27*$B$12*1.0/(1+8/100)^$B$6)-(SUMPRODUCT((B24:B31&lt;=$B$6)*(C24:C31*$B$11+D24:D31*$B$10*$B$8*$B$9)/(1+8/100)^B24:B31)+C32*$B$11*1.0/(1+8/100)^$B$6)</f>
        <v/>
      </c>
      <c r="AK164" t="n">
        <v>151</v>
      </c>
      <c r="AL164">
        <f>IFERROR(IF(AU164&lt;($AM$6-$AL$6)/($AN$6-$AL$6),$AL$6+SQRT(AU164*($AN$6-$AL$6)*($AM$6-$AL$6)),$AN$6-SQRT((1-AU164)*($AN$6-$AL$6)*($AN$6-$AM$6))),$AM$6)</f>
        <v/>
      </c>
      <c r="AM164">
        <f>IFERROR(IF(AV164&lt;($AM$7-$AL$7)/($AN$7-$AL$7),$AL$7+SQRT(AV164*($AN$7-$AL$7)*($AM$7-$AL$7)),$AN$7-SQRT((1-AV164)*($AN$7-$AL$7)*($AN$7-$AM$7))),$AM$7)</f>
        <v/>
      </c>
      <c r="AN164">
        <f>IFERROR(IF(AW164&lt;($AM$8-$AL$8)/($AN$8-$AL$8),$AL$8+SQRT(AW164*($AN$8-$AL$8)*($AM$8-$AL$8)),$AN$8-SQRT((1-AW164)*($AN$8-$AL$8)*($AN$8-$AM$8))),$AM$8)</f>
        <v/>
      </c>
      <c r="AO164">
        <f>IFERROR(IF(AX164&lt;($AM$9-$AL$9)/($AN$9-$AL$9),$AL$9+SQRT(AX164*($AN$9-$AL$9)*($AM$9-$AL$9)),$AN$9-SQRT((1-AX164)*($AN$9-$AL$9)*($AN$9-$AM$9))),$AM$9)</f>
        <v/>
      </c>
      <c r="AP164">
        <f>IFERROR(IF(AY164&lt;($AM$10-$AL$10)/($AN$10-$AL$10),$AL$10+SQRT(AY164*($AN$10-$AL$10)*($AM$10-$AL$10)),$AN$10-SQRT((1-AY164)*($AN$10-$AL$10)*($AN$10-$AM$10))),$AM$10)</f>
        <v/>
      </c>
      <c r="AQ164">
        <f>IFERROR(IF(AZ164&lt;($AM$11-$AL$11)/($AN$11-$AL$11),$AL$11+SQRT(AZ164*($AN$11-$AL$11)*($AM$11-$AL$11)),$AN$11-SQRT((1-AZ164)*($AN$11-$AL$11)*($AN$11-$AM$11))),$AM$11)</f>
        <v/>
      </c>
      <c r="AR164">
        <f>SUMPRODUCT((B24:B31&lt;=$B$6)*(C24:C31*AM164+D24:D31*AO164*$B$8*AQ164)/(1+AL164/100)^B24:B31)+C32*AM164*AP164/(1+AL164/100)^$B$6</f>
        <v/>
      </c>
      <c r="AS164">
        <f>SUMPRODUCT((K24:K26&lt;=$B$6)*(L24:L26*AN164+M24:M26*AO164*$B$8*AQ164)/(1+AL164/100)^K24:K26)+L27*AN164*AP164/(1+AL164/100)^$B$6</f>
        <v/>
      </c>
      <c r="AT164">
        <f>AS164-AR164</f>
        <v/>
      </c>
      <c r="AU164">
        <f>RAND()</f>
        <v/>
      </c>
      <c r="AV164">
        <f>RAND()</f>
        <v/>
      </c>
      <c r="AW164">
        <f>RAND()</f>
        <v/>
      </c>
      <c r="AX164">
        <f>RAND()</f>
        <v/>
      </c>
      <c r="AY164">
        <f>RAND()</f>
        <v/>
      </c>
      <c r="AZ164">
        <f>RAND()</f>
        <v/>
      </c>
    </row>
    <row r="165">
      <c r="A165" s="5" t="inlineStr">
        <is>
          <t>Orange = PCC lower, blue = HMA lower. White cells are within a rounding error of a tie.</t>
        </is>
      </c>
      <c r="AK165" t="n">
        <v>152</v>
      </c>
      <c r="AL165">
        <f>IFERROR(IF(AU165&lt;($AM$6-$AL$6)/($AN$6-$AL$6),$AL$6+SQRT(AU165*($AN$6-$AL$6)*($AM$6-$AL$6)),$AN$6-SQRT((1-AU165)*($AN$6-$AL$6)*($AN$6-$AM$6))),$AM$6)</f>
        <v/>
      </c>
      <c r="AM165">
        <f>IFERROR(IF(AV165&lt;($AM$7-$AL$7)/($AN$7-$AL$7),$AL$7+SQRT(AV165*($AN$7-$AL$7)*($AM$7-$AL$7)),$AN$7-SQRT((1-AV165)*($AN$7-$AL$7)*($AN$7-$AM$7))),$AM$7)</f>
        <v/>
      </c>
      <c r="AN165">
        <f>IFERROR(IF(AW165&lt;($AM$8-$AL$8)/($AN$8-$AL$8),$AL$8+SQRT(AW165*($AN$8-$AL$8)*($AM$8-$AL$8)),$AN$8-SQRT((1-AW165)*($AN$8-$AL$8)*($AN$8-$AM$8))),$AM$8)</f>
        <v/>
      </c>
      <c r="AO165">
        <f>IFERROR(IF(AX165&lt;($AM$9-$AL$9)/($AN$9-$AL$9),$AL$9+SQRT(AX165*($AN$9-$AL$9)*($AM$9-$AL$9)),$AN$9-SQRT((1-AX165)*($AN$9-$AL$9)*($AN$9-$AM$9))),$AM$9)</f>
        <v/>
      </c>
      <c r="AP165">
        <f>IFERROR(IF(AY165&lt;($AM$10-$AL$10)/($AN$10-$AL$10),$AL$10+SQRT(AY165*($AN$10-$AL$10)*($AM$10-$AL$10)),$AN$10-SQRT((1-AY165)*($AN$10-$AL$10)*($AN$10-$AM$10))),$AM$10)</f>
        <v/>
      </c>
      <c r="AQ165">
        <f>IFERROR(IF(AZ165&lt;($AM$11-$AL$11)/($AN$11-$AL$11),$AL$11+SQRT(AZ165*($AN$11-$AL$11)*($AM$11-$AL$11)),$AN$11-SQRT((1-AZ165)*($AN$11-$AL$11)*($AN$11-$AM$11))),$AM$11)</f>
        <v/>
      </c>
      <c r="AR165">
        <f>SUMPRODUCT((B24:B31&lt;=$B$6)*(C24:C31*AM165+D24:D31*AO165*$B$8*AQ165)/(1+AL165/100)^B24:B31)+C32*AM165*AP165/(1+AL165/100)^$B$6</f>
        <v/>
      </c>
      <c r="AS165">
        <f>SUMPRODUCT((K24:K26&lt;=$B$6)*(L24:L26*AN165+M24:M26*AO165*$B$8*AQ165)/(1+AL165/100)^K24:K26)+L27*AN165*AP165/(1+AL165/100)^$B$6</f>
        <v/>
      </c>
      <c r="AT165">
        <f>AS165-AR165</f>
        <v/>
      </c>
      <c r="AU165">
        <f>RAND()</f>
        <v/>
      </c>
      <c r="AV165">
        <f>RAND()</f>
        <v/>
      </c>
      <c r="AW165">
        <f>RAND()</f>
        <v/>
      </c>
      <c r="AX165">
        <f>RAND()</f>
        <v/>
      </c>
      <c r="AY165">
        <f>RAND()</f>
        <v/>
      </c>
      <c r="AZ165">
        <f>RAND()</f>
        <v/>
      </c>
    </row>
    <row r="166">
      <c r="AK166" t="n">
        <v>153</v>
      </c>
      <c r="AL166">
        <f>IFERROR(IF(AU166&lt;($AM$6-$AL$6)/($AN$6-$AL$6),$AL$6+SQRT(AU166*($AN$6-$AL$6)*($AM$6-$AL$6)),$AN$6-SQRT((1-AU166)*($AN$6-$AL$6)*($AN$6-$AM$6))),$AM$6)</f>
        <v/>
      </c>
      <c r="AM166">
        <f>IFERROR(IF(AV166&lt;($AM$7-$AL$7)/($AN$7-$AL$7),$AL$7+SQRT(AV166*($AN$7-$AL$7)*($AM$7-$AL$7)),$AN$7-SQRT((1-AV166)*($AN$7-$AL$7)*($AN$7-$AM$7))),$AM$7)</f>
        <v/>
      </c>
      <c r="AN166">
        <f>IFERROR(IF(AW166&lt;($AM$8-$AL$8)/($AN$8-$AL$8),$AL$8+SQRT(AW166*($AN$8-$AL$8)*($AM$8-$AL$8)),$AN$8-SQRT((1-AW166)*($AN$8-$AL$8)*($AN$8-$AM$8))),$AM$8)</f>
        <v/>
      </c>
      <c r="AO166">
        <f>IFERROR(IF(AX166&lt;($AM$9-$AL$9)/($AN$9-$AL$9),$AL$9+SQRT(AX166*($AN$9-$AL$9)*($AM$9-$AL$9)),$AN$9-SQRT((1-AX166)*($AN$9-$AL$9)*($AN$9-$AM$9))),$AM$9)</f>
        <v/>
      </c>
      <c r="AP166">
        <f>IFERROR(IF(AY166&lt;($AM$10-$AL$10)/($AN$10-$AL$10),$AL$10+SQRT(AY166*($AN$10-$AL$10)*($AM$10-$AL$10)),$AN$10-SQRT((1-AY166)*($AN$10-$AL$10)*($AN$10-$AM$10))),$AM$10)</f>
        <v/>
      </c>
      <c r="AQ166">
        <f>IFERROR(IF(AZ166&lt;($AM$11-$AL$11)/($AN$11-$AL$11),$AL$11+SQRT(AZ166*($AN$11-$AL$11)*($AM$11-$AL$11)),$AN$11-SQRT((1-AZ166)*($AN$11-$AL$11)*($AN$11-$AM$11))),$AM$11)</f>
        <v/>
      </c>
      <c r="AR166">
        <f>SUMPRODUCT((B24:B31&lt;=$B$6)*(C24:C31*AM166+D24:D31*AO166*$B$8*AQ166)/(1+AL166/100)^B24:B31)+C32*AM166*AP166/(1+AL166/100)^$B$6</f>
        <v/>
      </c>
      <c r="AS166">
        <f>SUMPRODUCT((K24:K26&lt;=$B$6)*(L24:L26*AN166+M24:M26*AO166*$B$8*AQ166)/(1+AL166/100)^K24:K26)+L27*AN166*AP166/(1+AL166/100)^$B$6</f>
        <v/>
      </c>
      <c r="AT166">
        <f>AS166-AR166</f>
        <v/>
      </c>
      <c r="AU166">
        <f>RAND()</f>
        <v/>
      </c>
      <c r="AV166">
        <f>RAND()</f>
        <v/>
      </c>
      <c r="AW166">
        <f>RAND()</f>
        <v/>
      </c>
      <c r="AX166">
        <f>RAND()</f>
        <v/>
      </c>
      <c r="AY166">
        <f>RAND()</f>
        <v/>
      </c>
      <c r="AZ166">
        <f>RAND()</f>
        <v/>
      </c>
    </row>
    <row r="167">
      <c r="AK167" t="n">
        <v>154</v>
      </c>
      <c r="AL167">
        <f>IFERROR(IF(AU167&lt;($AM$6-$AL$6)/($AN$6-$AL$6),$AL$6+SQRT(AU167*($AN$6-$AL$6)*($AM$6-$AL$6)),$AN$6-SQRT((1-AU167)*($AN$6-$AL$6)*($AN$6-$AM$6))),$AM$6)</f>
        <v/>
      </c>
      <c r="AM167">
        <f>IFERROR(IF(AV167&lt;($AM$7-$AL$7)/($AN$7-$AL$7),$AL$7+SQRT(AV167*($AN$7-$AL$7)*($AM$7-$AL$7)),$AN$7-SQRT((1-AV167)*($AN$7-$AL$7)*($AN$7-$AM$7))),$AM$7)</f>
        <v/>
      </c>
      <c r="AN167">
        <f>IFERROR(IF(AW167&lt;($AM$8-$AL$8)/($AN$8-$AL$8),$AL$8+SQRT(AW167*($AN$8-$AL$8)*($AM$8-$AL$8)),$AN$8-SQRT((1-AW167)*($AN$8-$AL$8)*($AN$8-$AM$8))),$AM$8)</f>
        <v/>
      </c>
      <c r="AO167">
        <f>IFERROR(IF(AX167&lt;($AM$9-$AL$9)/($AN$9-$AL$9),$AL$9+SQRT(AX167*($AN$9-$AL$9)*($AM$9-$AL$9)),$AN$9-SQRT((1-AX167)*($AN$9-$AL$9)*($AN$9-$AM$9))),$AM$9)</f>
        <v/>
      </c>
      <c r="AP167">
        <f>IFERROR(IF(AY167&lt;($AM$10-$AL$10)/($AN$10-$AL$10),$AL$10+SQRT(AY167*($AN$10-$AL$10)*($AM$10-$AL$10)),$AN$10-SQRT((1-AY167)*($AN$10-$AL$10)*($AN$10-$AM$10))),$AM$10)</f>
        <v/>
      </c>
      <c r="AQ167">
        <f>IFERROR(IF(AZ167&lt;($AM$11-$AL$11)/($AN$11-$AL$11),$AL$11+SQRT(AZ167*($AN$11-$AL$11)*($AM$11-$AL$11)),$AN$11-SQRT((1-AZ167)*($AN$11-$AL$11)*($AN$11-$AM$11))),$AM$11)</f>
        <v/>
      </c>
      <c r="AR167">
        <f>SUMPRODUCT((B24:B31&lt;=$B$6)*(C24:C31*AM167+D24:D31*AO167*$B$8*AQ167)/(1+AL167/100)^B24:B31)+C32*AM167*AP167/(1+AL167/100)^$B$6</f>
        <v/>
      </c>
      <c r="AS167">
        <f>SUMPRODUCT((K24:K26&lt;=$B$6)*(L24:L26*AN167+M24:M26*AO167*$B$8*AQ167)/(1+AL167/100)^K24:K26)+L27*AN167*AP167/(1+AL167/100)^$B$6</f>
        <v/>
      </c>
      <c r="AT167">
        <f>AS167-AR167</f>
        <v/>
      </c>
      <c r="AU167">
        <f>RAND()</f>
        <v/>
      </c>
      <c r="AV167">
        <f>RAND()</f>
        <v/>
      </c>
      <c r="AW167">
        <f>RAND()</f>
        <v/>
      </c>
      <c r="AX167">
        <f>RAND()</f>
        <v/>
      </c>
      <c r="AY167">
        <f>RAND()</f>
        <v/>
      </c>
      <c r="AZ167">
        <f>RAND()</f>
        <v/>
      </c>
    </row>
    <row r="168">
      <c r="A168" s="9" t="inlineStr">
        <is>
          <t>PW by category (chart data)</t>
        </is>
      </c>
      <c r="AK168" t="n">
        <v>155</v>
      </c>
      <c r="AL168">
        <f>IFERROR(IF(AU168&lt;($AM$6-$AL$6)/($AN$6-$AL$6),$AL$6+SQRT(AU168*($AN$6-$AL$6)*($AM$6-$AL$6)),$AN$6-SQRT((1-AU168)*($AN$6-$AL$6)*($AN$6-$AM$6))),$AM$6)</f>
        <v/>
      </c>
      <c r="AM168">
        <f>IFERROR(IF(AV168&lt;($AM$7-$AL$7)/($AN$7-$AL$7),$AL$7+SQRT(AV168*($AN$7-$AL$7)*($AM$7-$AL$7)),$AN$7-SQRT((1-AV168)*($AN$7-$AL$7)*($AN$7-$AM$7))),$AM$7)</f>
        <v/>
      </c>
      <c r="AN168">
        <f>IFERROR(IF(AW168&lt;($AM$8-$AL$8)/($AN$8-$AL$8),$AL$8+SQRT(AW168*($AN$8-$AL$8)*($AM$8-$AL$8)),$AN$8-SQRT((1-AW168)*($AN$8-$AL$8)*($AN$8-$AM$8))),$AM$8)</f>
        <v/>
      </c>
      <c r="AO168">
        <f>IFERROR(IF(AX168&lt;($AM$9-$AL$9)/($AN$9-$AL$9),$AL$9+SQRT(AX168*($AN$9-$AL$9)*($AM$9-$AL$9)),$AN$9-SQRT((1-AX168)*($AN$9-$AL$9)*($AN$9-$AM$9))),$AM$9)</f>
        <v/>
      </c>
      <c r="AP168">
        <f>IFERROR(IF(AY168&lt;($AM$10-$AL$10)/($AN$10-$AL$10),$AL$10+SQRT(AY168*($AN$10-$AL$10)*($AM$10-$AL$10)),$AN$10-SQRT((1-AY168)*($AN$10-$AL$10)*($AN$10-$AM$10))),$AM$10)</f>
        <v/>
      </c>
      <c r="AQ168">
        <f>IFERROR(IF(AZ168&lt;($AM$11-$AL$11)/($AN$11-$AL$11),$AL$11+SQRT(AZ168*($AN$11-$AL$11)*($AM$11-$AL$11)),$AN$11-SQRT((1-AZ168)*($AN$11-$AL$11)*($AN$11-$AM$11))),$AM$11)</f>
        <v/>
      </c>
      <c r="AR168">
        <f>SUMPRODUCT((B24:B31&lt;=$B$6)*(C24:C31*AM168+D24:D31*AO168*$B$8*AQ168)/(1+AL168/100)^B24:B31)+C32*AM168*AP168/(1+AL168/100)^$B$6</f>
        <v/>
      </c>
      <c r="AS168">
        <f>SUMPRODUCT((K24:K26&lt;=$B$6)*(L24:L26*AN168+M24:M26*AO168*$B$8*AQ168)/(1+AL168/100)^K24:K26)+L27*AN168*AP168/(1+AL168/100)^$B$6</f>
        <v/>
      </c>
      <c r="AT168">
        <f>AS168-AR168</f>
        <v/>
      </c>
      <c r="AU168">
        <f>RAND()</f>
        <v/>
      </c>
      <c r="AV168">
        <f>RAND()</f>
        <v/>
      </c>
      <c r="AW168">
        <f>RAND()</f>
        <v/>
      </c>
      <c r="AX168">
        <f>RAND()</f>
        <v/>
      </c>
      <c r="AY168">
        <f>RAND()</f>
        <v/>
      </c>
      <c r="AZ168">
        <f>RAND()</f>
        <v/>
      </c>
    </row>
    <row r="169">
      <c r="A169" s="6" t="inlineStr">
        <is>
          <t>Alternative</t>
        </is>
      </c>
      <c r="B169" s="6" t="inlineStr">
        <is>
          <t>Initial</t>
        </is>
      </c>
      <c r="C169" s="6" t="inlineStr">
        <is>
          <t>Maintenance</t>
        </is>
      </c>
      <c r="D169" s="6" t="inlineStr">
        <is>
          <t>Rehabilitation</t>
        </is>
      </c>
      <c r="E169" s="6" t="inlineStr">
        <is>
          <t>Lost revenue</t>
        </is>
      </c>
      <c r="F169" s="6" t="inlineStr">
        <is>
          <t>Salvage</t>
        </is>
      </c>
      <c r="AK169" t="n">
        <v>156</v>
      </c>
      <c r="AL169">
        <f>IFERROR(IF(AU169&lt;($AM$6-$AL$6)/($AN$6-$AL$6),$AL$6+SQRT(AU169*($AN$6-$AL$6)*($AM$6-$AL$6)),$AN$6-SQRT((1-AU169)*($AN$6-$AL$6)*($AN$6-$AM$6))),$AM$6)</f>
        <v/>
      </c>
      <c r="AM169">
        <f>IFERROR(IF(AV169&lt;($AM$7-$AL$7)/($AN$7-$AL$7),$AL$7+SQRT(AV169*($AN$7-$AL$7)*($AM$7-$AL$7)),$AN$7-SQRT((1-AV169)*($AN$7-$AL$7)*($AN$7-$AM$7))),$AM$7)</f>
        <v/>
      </c>
      <c r="AN169">
        <f>IFERROR(IF(AW169&lt;($AM$8-$AL$8)/($AN$8-$AL$8),$AL$8+SQRT(AW169*($AN$8-$AL$8)*($AM$8-$AL$8)),$AN$8-SQRT((1-AW169)*($AN$8-$AL$8)*($AN$8-$AM$8))),$AM$8)</f>
        <v/>
      </c>
      <c r="AO169">
        <f>IFERROR(IF(AX169&lt;($AM$9-$AL$9)/($AN$9-$AL$9),$AL$9+SQRT(AX169*($AN$9-$AL$9)*($AM$9-$AL$9)),$AN$9-SQRT((1-AX169)*($AN$9-$AL$9)*($AN$9-$AM$9))),$AM$9)</f>
        <v/>
      </c>
      <c r="AP169">
        <f>IFERROR(IF(AY169&lt;($AM$10-$AL$10)/($AN$10-$AL$10),$AL$10+SQRT(AY169*($AN$10-$AL$10)*($AM$10-$AL$10)),$AN$10-SQRT((1-AY169)*($AN$10-$AL$10)*($AN$10-$AM$10))),$AM$10)</f>
        <v/>
      </c>
      <c r="AQ169">
        <f>IFERROR(IF(AZ169&lt;($AM$11-$AL$11)/($AN$11-$AL$11),$AL$11+SQRT(AZ169*($AN$11-$AL$11)*($AM$11-$AL$11)),$AN$11-SQRT((1-AZ169)*($AN$11-$AL$11)*($AN$11-$AM$11))),$AM$11)</f>
        <v/>
      </c>
      <c r="AR169">
        <f>SUMPRODUCT((B24:B31&lt;=$B$6)*(C24:C31*AM169+D24:D31*AO169*$B$8*AQ169)/(1+AL169/100)^B24:B31)+C32*AM169*AP169/(1+AL169/100)^$B$6</f>
        <v/>
      </c>
      <c r="AS169">
        <f>SUMPRODUCT((K24:K26&lt;=$B$6)*(L24:L26*AN169+M24:M26*AO169*$B$8*AQ169)/(1+AL169/100)^K24:K26)+L27*AN169*AP169/(1+AL169/100)^$B$6</f>
        <v/>
      </c>
      <c r="AT169">
        <f>AS169-AR169</f>
        <v/>
      </c>
      <c r="AU169">
        <f>RAND()</f>
        <v/>
      </c>
      <c r="AV169">
        <f>RAND()</f>
        <v/>
      </c>
      <c r="AW169">
        <f>RAND()</f>
        <v/>
      </c>
      <c r="AX169">
        <f>RAND()</f>
        <v/>
      </c>
      <c r="AY169">
        <f>RAND()</f>
        <v/>
      </c>
      <c r="AZ169">
        <f>RAND()</f>
        <v/>
      </c>
    </row>
    <row r="170">
      <c r="A170" t="inlineStr">
        <is>
          <t>HMA</t>
        </is>
      </c>
      <c r="B170" s="14">
        <f>B39</f>
        <v/>
      </c>
      <c r="C170" s="14">
        <f>B40</f>
        <v/>
      </c>
      <c r="D170" s="14">
        <f>B41</f>
        <v/>
      </c>
      <c r="E170" s="14">
        <f>B42</f>
        <v/>
      </c>
      <c r="F170" s="14">
        <f>B43</f>
        <v/>
      </c>
      <c r="AK170" t="n">
        <v>157</v>
      </c>
      <c r="AL170">
        <f>IFERROR(IF(AU170&lt;($AM$6-$AL$6)/($AN$6-$AL$6),$AL$6+SQRT(AU170*($AN$6-$AL$6)*($AM$6-$AL$6)),$AN$6-SQRT((1-AU170)*($AN$6-$AL$6)*($AN$6-$AM$6))),$AM$6)</f>
        <v/>
      </c>
      <c r="AM170">
        <f>IFERROR(IF(AV170&lt;($AM$7-$AL$7)/($AN$7-$AL$7),$AL$7+SQRT(AV170*($AN$7-$AL$7)*($AM$7-$AL$7)),$AN$7-SQRT((1-AV170)*($AN$7-$AL$7)*($AN$7-$AM$7))),$AM$7)</f>
        <v/>
      </c>
      <c r="AN170">
        <f>IFERROR(IF(AW170&lt;($AM$8-$AL$8)/($AN$8-$AL$8),$AL$8+SQRT(AW170*($AN$8-$AL$8)*($AM$8-$AL$8)),$AN$8-SQRT((1-AW170)*($AN$8-$AL$8)*($AN$8-$AM$8))),$AM$8)</f>
        <v/>
      </c>
      <c r="AO170">
        <f>IFERROR(IF(AX170&lt;($AM$9-$AL$9)/($AN$9-$AL$9),$AL$9+SQRT(AX170*($AN$9-$AL$9)*($AM$9-$AL$9)),$AN$9-SQRT((1-AX170)*($AN$9-$AL$9)*($AN$9-$AM$9))),$AM$9)</f>
        <v/>
      </c>
      <c r="AP170">
        <f>IFERROR(IF(AY170&lt;($AM$10-$AL$10)/($AN$10-$AL$10),$AL$10+SQRT(AY170*($AN$10-$AL$10)*($AM$10-$AL$10)),$AN$10-SQRT((1-AY170)*($AN$10-$AL$10)*($AN$10-$AM$10))),$AM$10)</f>
        <v/>
      </c>
      <c r="AQ170">
        <f>IFERROR(IF(AZ170&lt;($AM$11-$AL$11)/($AN$11-$AL$11),$AL$11+SQRT(AZ170*($AN$11-$AL$11)*($AM$11-$AL$11)),$AN$11-SQRT((1-AZ170)*($AN$11-$AL$11)*($AN$11-$AM$11))),$AM$11)</f>
        <v/>
      </c>
      <c r="AR170">
        <f>SUMPRODUCT((B24:B31&lt;=$B$6)*(C24:C31*AM170+D24:D31*AO170*$B$8*AQ170)/(1+AL170/100)^B24:B31)+C32*AM170*AP170/(1+AL170/100)^$B$6</f>
        <v/>
      </c>
      <c r="AS170">
        <f>SUMPRODUCT((K24:K26&lt;=$B$6)*(L24:L26*AN170+M24:M26*AO170*$B$8*AQ170)/(1+AL170/100)^K24:K26)+L27*AN170*AP170/(1+AL170/100)^$B$6</f>
        <v/>
      </c>
      <c r="AT170">
        <f>AS170-AR170</f>
        <v/>
      </c>
      <c r="AU170">
        <f>RAND()</f>
        <v/>
      </c>
      <c r="AV170">
        <f>RAND()</f>
        <v/>
      </c>
      <c r="AW170">
        <f>RAND()</f>
        <v/>
      </c>
      <c r="AX170">
        <f>RAND()</f>
        <v/>
      </c>
      <c r="AY170">
        <f>RAND()</f>
        <v/>
      </c>
      <c r="AZ170">
        <f>RAND()</f>
        <v/>
      </c>
    </row>
    <row r="171">
      <c r="A171" t="inlineStr">
        <is>
          <t>PCC</t>
        </is>
      </c>
      <c r="B171" s="14">
        <f>C39</f>
        <v/>
      </c>
      <c r="C171" s="14">
        <f>C40</f>
        <v/>
      </c>
      <c r="D171" s="14">
        <f>C41</f>
        <v/>
      </c>
      <c r="E171" s="14">
        <f>C42</f>
        <v/>
      </c>
      <c r="F171" s="14">
        <f>C43</f>
        <v/>
      </c>
      <c r="AK171" t="n">
        <v>158</v>
      </c>
      <c r="AL171">
        <f>IFERROR(IF(AU171&lt;($AM$6-$AL$6)/($AN$6-$AL$6),$AL$6+SQRT(AU171*($AN$6-$AL$6)*($AM$6-$AL$6)),$AN$6-SQRT((1-AU171)*($AN$6-$AL$6)*($AN$6-$AM$6))),$AM$6)</f>
        <v/>
      </c>
      <c r="AM171">
        <f>IFERROR(IF(AV171&lt;($AM$7-$AL$7)/($AN$7-$AL$7),$AL$7+SQRT(AV171*($AN$7-$AL$7)*($AM$7-$AL$7)),$AN$7-SQRT((1-AV171)*($AN$7-$AL$7)*($AN$7-$AM$7))),$AM$7)</f>
        <v/>
      </c>
      <c r="AN171">
        <f>IFERROR(IF(AW171&lt;($AM$8-$AL$8)/($AN$8-$AL$8),$AL$8+SQRT(AW171*($AN$8-$AL$8)*($AM$8-$AL$8)),$AN$8-SQRT((1-AW171)*($AN$8-$AL$8)*($AN$8-$AM$8))),$AM$8)</f>
        <v/>
      </c>
      <c r="AO171">
        <f>IFERROR(IF(AX171&lt;($AM$9-$AL$9)/($AN$9-$AL$9),$AL$9+SQRT(AX171*($AN$9-$AL$9)*($AM$9-$AL$9)),$AN$9-SQRT((1-AX171)*($AN$9-$AL$9)*($AN$9-$AM$9))),$AM$9)</f>
        <v/>
      </c>
      <c r="AP171">
        <f>IFERROR(IF(AY171&lt;($AM$10-$AL$10)/($AN$10-$AL$10),$AL$10+SQRT(AY171*($AN$10-$AL$10)*($AM$10-$AL$10)),$AN$10-SQRT((1-AY171)*($AN$10-$AL$10)*($AN$10-$AM$10))),$AM$10)</f>
        <v/>
      </c>
      <c r="AQ171">
        <f>IFERROR(IF(AZ171&lt;($AM$11-$AL$11)/($AN$11-$AL$11),$AL$11+SQRT(AZ171*($AN$11-$AL$11)*($AM$11-$AL$11)),$AN$11-SQRT((1-AZ171)*($AN$11-$AL$11)*($AN$11-$AM$11))),$AM$11)</f>
        <v/>
      </c>
      <c r="AR171">
        <f>SUMPRODUCT((B24:B31&lt;=$B$6)*(C24:C31*AM171+D24:D31*AO171*$B$8*AQ171)/(1+AL171/100)^B24:B31)+C32*AM171*AP171/(1+AL171/100)^$B$6</f>
        <v/>
      </c>
      <c r="AS171">
        <f>SUMPRODUCT((K24:K26&lt;=$B$6)*(L24:L26*AN171+M24:M26*AO171*$B$8*AQ171)/(1+AL171/100)^K24:K26)+L27*AN171*AP171/(1+AL171/100)^$B$6</f>
        <v/>
      </c>
      <c r="AT171">
        <f>AS171-AR171</f>
        <v/>
      </c>
      <c r="AU171">
        <f>RAND()</f>
        <v/>
      </c>
      <c r="AV171">
        <f>RAND()</f>
        <v/>
      </c>
      <c r="AW171">
        <f>RAND()</f>
        <v/>
      </c>
      <c r="AX171">
        <f>RAND()</f>
        <v/>
      </c>
      <c r="AY171">
        <f>RAND()</f>
        <v/>
      </c>
      <c r="AZ171">
        <f>RAND()</f>
        <v/>
      </c>
    </row>
    <row r="172">
      <c r="AK172" t="n">
        <v>159</v>
      </c>
      <c r="AL172">
        <f>IFERROR(IF(AU172&lt;($AM$6-$AL$6)/($AN$6-$AL$6),$AL$6+SQRT(AU172*($AN$6-$AL$6)*($AM$6-$AL$6)),$AN$6-SQRT((1-AU172)*($AN$6-$AL$6)*($AN$6-$AM$6))),$AM$6)</f>
        <v/>
      </c>
      <c r="AM172">
        <f>IFERROR(IF(AV172&lt;($AM$7-$AL$7)/($AN$7-$AL$7),$AL$7+SQRT(AV172*($AN$7-$AL$7)*($AM$7-$AL$7)),$AN$7-SQRT((1-AV172)*($AN$7-$AL$7)*($AN$7-$AM$7))),$AM$7)</f>
        <v/>
      </c>
      <c r="AN172">
        <f>IFERROR(IF(AW172&lt;($AM$8-$AL$8)/($AN$8-$AL$8),$AL$8+SQRT(AW172*($AN$8-$AL$8)*($AM$8-$AL$8)),$AN$8-SQRT((1-AW172)*($AN$8-$AL$8)*($AN$8-$AM$8))),$AM$8)</f>
        <v/>
      </c>
      <c r="AO172">
        <f>IFERROR(IF(AX172&lt;($AM$9-$AL$9)/($AN$9-$AL$9),$AL$9+SQRT(AX172*($AN$9-$AL$9)*($AM$9-$AL$9)),$AN$9-SQRT((1-AX172)*($AN$9-$AL$9)*($AN$9-$AM$9))),$AM$9)</f>
        <v/>
      </c>
      <c r="AP172">
        <f>IFERROR(IF(AY172&lt;($AM$10-$AL$10)/($AN$10-$AL$10),$AL$10+SQRT(AY172*($AN$10-$AL$10)*($AM$10-$AL$10)),$AN$10-SQRT((1-AY172)*($AN$10-$AL$10)*($AN$10-$AM$10))),$AM$10)</f>
        <v/>
      </c>
      <c r="AQ172">
        <f>IFERROR(IF(AZ172&lt;($AM$11-$AL$11)/($AN$11-$AL$11),$AL$11+SQRT(AZ172*($AN$11-$AL$11)*($AM$11-$AL$11)),$AN$11-SQRT((1-AZ172)*($AN$11-$AL$11)*($AN$11-$AM$11))),$AM$11)</f>
        <v/>
      </c>
      <c r="AR172">
        <f>SUMPRODUCT((B24:B31&lt;=$B$6)*(C24:C31*AM172+D24:D31*AO172*$B$8*AQ172)/(1+AL172/100)^B24:B31)+C32*AM172*AP172/(1+AL172/100)^$B$6</f>
        <v/>
      </c>
      <c r="AS172">
        <f>SUMPRODUCT((K24:K26&lt;=$B$6)*(L24:L26*AN172+M24:M26*AO172*$B$8*AQ172)/(1+AL172/100)^K24:K26)+L27*AN172*AP172/(1+AL172/100)^$B$6</f>
        <v/>
      </c>
      <c r="AT172">
        <f>AS172-AR172</f>
        <v/>
      </c>
      <c r="AU172">
        <f>RAND()</f>
        <v/>
      </c>
      <c r="AV172">
        <f>RAND()</f>
        <v/>
      </c>
      <c r="AW172">
        <f>RAND()</f>
        <v/>
      </c>
      <c r="AX172">
        <f>RAND()</f>
        <v/>
      </c>
      <c r="AY172">
        <f>RAND()</f>
        <v/>
      </c>
      <c r="AZ172">
        <f>RAND()</f>
        <v/>
      </c>
    </row>
    <row r="173">
      <c r="A173" s="9" t="inlineStr">
        <is>
          <t>Closure events (chart data)</t>
        </is>
      </c>
      <c r="AK173" t="n">
        <v>160</v>
      </c>
      <c r="AL173">
        <f>IFERROR(IF(AU173&lt;($AM$6-$AL$6)/($AN$6-$AL$6),$AL$6+SQRT(AU173*($AN$6-$AL$6)*($AM$6-$AL$6)),$AN$6-SQRT((1-AU173)*($AN$6-$AL$6)*($AN$6-$AM$6))),$AM$6)</f>
        <v/>
      </c>
      <c r="AM173">
        <f>IFERROR(IF(AV173&lt;($AM$7-$AL$7)/($AN$7-$AL$7),$AL$7+SQRT(AV173*($AN$7-$AL$7)*($AM$7-$AL$7)),$AN$7-SQRT((1-AV173)*($AN$7-$AL$7)*($AN$7-$AM$7))),$AM$7)</f>
        <v/>
      </c>
      <c r="AN173">
        <f>IFERROR(IF(AW173&lt;($AM$8-$AL$8)/($AN$8-$AL$8),$AL$8+SQRT(AW173*($AN$8-$AL$8)*($AM$8-$AL$8)),$AN$8-SQRT((1-AW173)*($AN$8-$AL$8)*($AN$8-$AM$8))),$AM$8)</f>
        <v/>
      </c>
      <c r="AO173">
        <f>IFERROR(IF(AX173&lt;($AM$9-$AL$9)/($AN$9-$AL$9),$AL$9+SQRT(AX173*($AN$9-$AL$9)*($AM$9-$AL$9)),$AN$9-SQRT((1-AX173)*($AN$9-$AL$9)*($AN$9-$AM$9))),$AM$9)</f>
        <v/>
      </c>
      <c r="AP173">
        <f>IFERROR(IF(AY173&lt;($AM$10-$AL$10)/($AN$10-$AL$10),$AL$10+SQRT(AY173*($AN$10-$AL$10)*($AM$10-$AL$10)),$AN$10-SQRT((1-AY173)*($AN$10-$AL$10)*($AN$10-$AM$10))),$AM$10)</f>
        <v/>
      </c>
      <c r="AQ173">
        <f>IFERROR(IF(AZ173&lt;($AM$11-$AL$11)/($AN$11-$AL$11),$AL$11+SQRT(AZ173*($AN$11-$AL$11)*($AM$11-$AL$11)),$AN$11-SQRT((1-AZ173)*($AN$11-$AL$11)*($AN$11-$AM$11))),$AM$11)</f>
        <v/>
      </c>
      <c r="AR173">
        <f>SUMPRODUCT((B24:B31&lt;=$B$6)*(C24:C31*AM173+D24:D31*AO173*$B$8*AQ173)/(1+AL173/100)^B24:B31)+C32*AM173*AP173/(1+AL173/100)^$B$6</f>
        <v/>
      </c>
      <c r="AS173">
        <f>SUMPRODUCT((K24:K26&lt;=$B$6)*(L24:L26*AN173+M24:M26*AO173*$B$8*AQ173)/(1+AL173/100)^K24:K26)+L27*AN173*AP173/(1+AL173/100)^$B$6</f>
        <v/>
      </c>
      <c r="AT173">
        <f>AS173-AR173</f>
        <v/>
      </c>
      <c r="AU173">
        <f>RAND()</f>
        <v/>
      </c>
      <c r="AV173">
        <f>RAND()</f>
        <v/>
      </c>
      <c r="AW173">
        <f>RAND()</f>
        <v/>
      </c>
      <c r="AX173">
        <f>RAND()</f>
        <v/>
      </c>
      <c r="AY173">
        <f>RAND()</f>
        <v/>
      </c>
      <c r="AZ173">
        <f>RAND()</f>
        <v/>
      </c>
    </row>
    <row r="174">
      <c r="A174" s="6" t="inlineStr">
        <is>
          <t>Activity</t>
        </is>
      </c>
      <c r="B174" s="6" t="inlineStr">
        <is>
          <t>Calendar year</t>
        </is>
      </c>
      <c r="C174" s="6" t="inlineStr">
        <is>
          <t>Lane</t>
        </is>
      </c>
      <c r="D174" s="6" t="inlineStr">
        <is>
          <t>Days</t>
        </is>
      </c>
      <c r="E174" s="6" t="inlineStr">
        <is>
          <t>Lost revenue</t>
        </is>
      </c>
      <c r="AK174" t="n">
        <v>161</v>
      </c>
      <c r="AL174">
        <f>IFERROR(IF(AU174&lt;($AM$6-$AL$6)/($AN$6-$AL$6),$AL$6+SQRT(AU174*($AN$6-$AL$6)*($AM$6-$AL$6)),$AN$6-SQRT((1-AU174)*($AN$6-$AL$6)*($AN$6-$AM$6))),$AM$6)</f>
        <v/>
      </c>
      <c r="AM174">
        <f>IFERROR(IF(AV174&lt;($AM$7-$AL$7)/($AN$7-$AL$7),$AL$7+SQRT(AV174*($AN$7-$AL$7)*($AM$7-$AL$7)),$AN$7-SQRT((1-AV174)*($AN$7-$AL$7)*($AN$7-$AM$7))),$AM$7)</f>
        <v/>
      </c>
      <c r="AN174">
        <f>IFERROR(IF(AW174&lt;($AM$8-$AL$8)/($AN$8-$AL$8),$AL$8+SQRT(AW174*($AN$8-$AL$8)*($AM$8-$AL$8)),$AN$8-SQRT((1-AW174)*($AN$8-$AL$8)*($AN$8-$AM$8))),$AM$8)</f>
        <v/>
      </c>
      <c r="AO174">
        <f>IFERROR(IF(AX174&lt;($AM$9-$AL$9)/($AN$9-$AL$9),$AL$9+SQRT(AX174*($AN$9-$AL$9)*($AM$9-$AL$9)),$AN$9-SQRT((1-AX174)*($AN$9-$AL$9)*($AN$9-$AM$9))),$AM$9)</f>
        <v/>
      </c>
      <c r="AP174">
        <f>IFERROR(IF(AY174&lt;($AM$10-$AL$10)/($AN$10-$AL$10),$AL$10+SQRT(AY174*($AN$10-$AL$10)*($AM$10-$AL$10)),$AN$10-SQRT((1-AY174)*($AN$10-$AL$10)*($AN$10-$AM$10))),$AM$10)</f>
        <v/>
      </c>
      <c r="AQ174">
        <f>IFERROR(IF(AZ174&lt;($AM$11-$AL$11)/($AN$11-$AL$11),$AL$11+SQRT(AZ174*($AN$11-$AL$11)*($AM$11-$AL$11)),$AN$11-SQRT((1-AZ174)*($AN$11-$AL$11)*($AN$11-$AM$11))),$AM$11)</f>
        <v/>
      </c>
      <c r="AR174">
        <f>SUMPRODUCT((B24:B31&lt;=$B$6)*(C24:C31*AM174+D24:D31*AO174*$B$8*AQ174)/(1+AL174/100)^B24:B31)+C32*AM174*AP174/(1+AL174/100)^$B$6</f>
        <v/>
      </c>
      <c r="AS174">
        <f>SUMPRODUCT((K24:K26&lt;=$B$6)*(L24:L26*AN174+M24:M26*AO174*$B$8*AQ174)/(1+AL174/100)^K24:K26)+L27*AN174*AP174/(1+AL174/100)^$B$6</f>
        <v/>
      </c>
      <c r="AT174">
        <f>AS174-AR174</f>
        <v/>
      </c>
      <c r="AU174">
        <f>RAND()</f>
        <v/>
      </c>
      <c r="AV174">
        <f>RAND()</f>
        <v/>
      </c>
      <c r="AW174">
        <f>RAND()</f>
        <v/>
      </c>
      <c r="AX174">
        <f>RAND()</f>
        <v/>
      </c>
      <c r="AY174">
        <f>RAND()</f>
        <v/>
      </c>
      <c r="AZ174">
        <f>RAND()</f>
        <v/>
      </c>
    </row>
    <row r="175">
      <c r="A175" t="inlineStr">
        <is>
          <t>HMA: Maintenance 1</t>
        </is>
      </c>
      <c r="B175">
        <f>IF(B25&lt;=$B$6,$B$7+B25,NA())</f>
        <v/>
      </c>
      <c r="C175" t="n">
        <v>1</v>
      </c>
      <c r="D175">
        <f>D25*$B$10</f>
        <v/>
      </c>
      <c r="E175" s="14">
        <f>F25</f>
        <v/>
      </c>
      <c r="AK175" t="n">
        <v>162</v>
      </c>
      <c r="AL175">
        <f>IFERROR(IF(AU175&lt;($AM$6-$AL$6)/($AN$6-$AL$6),$AL$6+SQRT(AU175*($AN$6-$AL$6)*($AM$6-$AL$6)),$AN$6-SQRT((1-AU175)*($AN$6-$AL$6)*($AN$6-$AM$6))),$AM$6)</f>
        <v/>
      </c>
      <c r="AM175">
        <f>IFERROR(IF(AV175&lt;($AM$7-$AL$7)/($AN$7-$AL$7),$AL$7+SQRT(AV175*($AN$7-$AL$7)*($AM$7-$AL$7)),$AN$7-SQRT((1-AV175)*($AN$7-$AL$7)*($AN$7-$AM$7))),$AM$7)</f>
        <v/>
      </c>
      <c r="AN175">
        <f>IFERROR(IF(AW175&lt;($AM$8-$AL$8)/($AN$8-$AL$8),$AL$8+SQRT(AW175*($AN$8-$AL$8)*($AM$8-$AL$8)),$AN$8-SQRT((1-AW175)*($AN$8-$AL$8)*($AN$8-$AM$8))),$AM$8)</f>
        <v/>
      </c>
      <c r="AO175">
        <f>IFERROR(IF(AX175&lt;($AM$9-$AL$9)/($AN$9-$AL$9),$AL$9+SQRT(AX175*($AN$9-$AL$9)*($AM$9-$AL$9)),$AN$9-SQRT((1-AX175)*($AN$9-$AL$9)*($AN$9-$AM$9))),$AM$9)</f>
        <v/>
      </c>
      <c r="AP175">
        <f>IFERROR(IF(AY175&lt;($AM$10-$AL$10)/($AN$10-$AL$10),$AL$10+SQRT(AY175*($AN$10-$AL$10)*($AM$10-$AL$10)),$AN$10-SQRT((1-AY175)*($AN$10-$AL$10)*($AN$10-$AM$10))),$AM$10)</f>
        <v/>
      </c>
      <c r="AQ175">
        <f>IFERROR(IF(AZ175&lt;($AM$11-$AL$11)/($AN$11-$AL$11),$AL$11+SQRT(AZ175*($AN$11-$AL$11)*($AM$11-$AL$11)),$AN$11-SQRT((1-AZ175)*($AN$11-$AL$11)*($AN$11-$AM$11))),$AM$11)</f>
        <v/>
      </c>
      <c r="AR175">
        <f>SUMPRODUCT((B24:B31&lt;=$B$6)*(C24:C31*AM175+D24:D31*AO175*$B$8*AQ175)/(1+AL175/100)^B24:B31)+C32*AM175*AP175/(1+AL175/100)^$B$6</f>
        <v/>
      </c>
      <c r="AS175">
        <f>SUMPRODUCT((K24:K26&lt;=$B$6)*(L24:L26*AN175+M24:M26*AO175*$B$8*AQ175)/(1+AL175/100)^K24:K26)+L27*AN175*AP175/(1+AL175/100)^$B$6</f>
        <v/>
      </c>
      <c r="AT175">
        <f>AS175-AR175</f>
        <v/>
      </c>
      <c r="AU175">
        <f>RAND()</f>
        <v/>
      </c>
      <c r="AV175">
        <f>RAND()</f>
        <v/>
      </c>
      <c r="AW175">
        <f>RAND()</f>
        <v/>
      </c>
      <c r="AX175">
        <f>RAND()</f>
        <v/>
      </c>
      <c r="AY175">
        <f>RAND()</f>
        <v/>
      </c>
      <c r="AZ175">
        <f>RAND()</f>
        <v/>
      </c>
    </row>
    <row r="176">
      <c r="A176" t="inlineStr">
        <is>
          <t>HMA: Maintenance 2</t>
        </is>
      </c>
      <c r="B176">
        <f>IF(B26&lt;=$B$6,$B$7+B26,NA())</f>
        <v/>
      </c>
      <c r="C176" t="n">
        <v>1</v>
      </c>
      <c r="D176">
        <f>D26*$B$10</f>
        <v/>
      </c>
      <c r="E176" s="14">
        <f>F26</f>
        <v/>
      </c>
      <c r="AK176" t="n">
        <v>163</v>
      </c>
      <c r="AL176">
        <f>IFERROR(IF(AU176&lt;($AM$6-$AL$6)/($AN$6-$AL$6),$AL$6+SQRT(AU176*($AN$6-$AL$6)*($AM$6-$AL$6)),$AN$6-SQRT((1-AU176)*($AN$6-$AL$6)*($AN$6-$AM$6))),$AM$6)</f>
        <v/>
      </c>
      <c r="AM176">
        <f>IFERROR(IF(AV176&lt;($AM$7-$AL$7)/($AN$7-$AL$7),$AL$7+SQRT(AV176*($AN$7-$AL$7)*($AM$7-$AL$7)),$AN$7-SQRT((1-AV176)*($AN$7-$AL$7)*($AN$7-$AM$7))),$AM$7)</f>
        <v/>
      </c>
      <c r="AN176">
        <f>IFERROR(IF(AW176&lt;($AM$8-$AL$8)/($AN$8-$AL$8),$AL$8+SQRT(AW176*($AN$8-$AL$8)*($AM$8-$AL$8)),$AN$8-SQRT((1-AW176)*($AN$8-$AL$8)*($AN$8-$AM$8))),$AM$8)</f>
        <v/>
      </c>
      <c r="AO176">
        <f>IFERROR(IF(AX176&lt;($AM$9-$AL$9)/($AN$9-$AL$9),$AL$9+SQRT(AX176*($AN$9-$AL$9)*($AM$9-$AL$9)),$AN$9-SQRT((1-AX176)*($AN$9-$AL$9)*($AN$9-$AM$9))),$AM$9)</f>
        <v/>
      </c>
      <c r="AP176">
        <f>IFERROR(IF(AY176&lt;($AM$10-$AL$10)/($AN$10-$AL$10),$AL$10+SQRT(AY176*($AN$10-$AL$10)*($AM$10-$AL$10)),$AN$10-SQRT((1-AY176)*($AN$10-$AL$10)*($AN$10-$AM$10))),$AM$10)</f>
        <v/>
      </c>
      <c r="AQ176">
        <f>IFERROR(IF(AZ176&lt;($AM$11-$AL$11)/($AN$11-$AL$11),$AL$11+SQRT(AZ176*($AN$11-$AL$11)*($AM$11-$AL$11)),$AN$11-SQRT((1-AZ176)*($AN$11-$AL$11)*($AN$11-$AM$11))),$AM$11)</f>
        <v/>
      </c>
      <c r="AR176">
        <f>SUMPRODUCT((B24:B31&lt;=$B$6)*(C24:C31*AM176+D24:D31*AO176*$B$8*AQ176)/(1+AL176/100)^B24:B31)+C32*AM176*AP176/(1+AL176/100)^$B$6</f>
        <v/>
      </c>
      <c r="AS176">
        <f>SUMPRODUCT((K24:K26&lt;=$B$6)*(L24:L26*AN176+M24:M26*AO176*$B$8*AQ176)/(1+AL176/100)^K24:K26)+L27*AN176*AP176/(1+AL176/100)^$B$6</f>
        <v/>
      </c>
      <c r="AT176">
        <f>AS176-AR176</f>
        <v/>
      </c>
      <c r="AU176">
        <f>RAND()</f>
        <v/>
      </c>
      <c r="AV176">
        <f>RAND()</f>
        <v/>
      </c>
      <c r="AW176">
        <f>RAND()</f>
        <v/>
      </c>
      <c r="AX176">
        <f>RAND()</f>
        <v/>
      </c>
      <c r="AY176">
        <f>RAND()</f>
        <v/>
      </c>
      <c r="AZ176">
        <f>RAND()</f>
        <v/>
      </c>
    </row>
    <row r="177">
      <c r="A177" t="inlineStr">
        <is>
          <t>HMA: Maintenance 3</t>
        </is>
      </c>
      <c r="B177">
        <f>IF(B27&lt;=$B$6,$B$7+B27,NA())</f>
        <v/>
      </c>
      <c r="C177" t="n">
        <v>1</v>
      </c>
      <c r="D177">
        <f>D27*$B$10</f>
        <v/>
      </c>
      <c r="E177" s="14">
        <f>F27</f>
        <v/>
      </c>
      <c r="AK177" t="n">
        <v>164</v>
      </c>
      <c r="AL177">
        <f>IFERROR(IF(AU177&lt;($AM$6-$AL$6)/($AN$6-$AL$6),$AL$6+SQRT(AU177*($AN$6-$AL$6)*($AM$6-$AL$6)),$AN$6-SQRT((1-AU177)*($AN$6-$AL$6)*($AN$6-$AM$6))),$AM$6)</f>
        <v/>
      </c>
      <c r="AM177">
        <f>IFERROR(IF(AV177&lt;($AM$7-$AL$7)/($AN$7-$AL$7),$AL$7+SQRT(AV177*($AN$7-$AL$7)*($AM$7-$AL$7)),$AN$7-SQRT((1-AV177)*($AN$7-$AL$7)*($AN$7-$AM$7))),$AM$7)</f>
        <v/>
      </c>
      <c r="AN177">
        <f>IFERROR(IF(AW177&lt;($AM$8-$AL$8)/($AN$8-$AL$8),$AL$8+SQRT(AW177*($AN$8-$AL$8)*($AM$8-$AL$8)),$AN$8-SQRT((1-AW177)*($AN$8-$AL$8)*($AN$8-$AM$8))),$AM$8)</f>
        <v/>
      </c>
      <c r="AO177">
        <f>IFERROR(IF(AX177&lt;($AM$9-$AL$9)/($AN$9-$AL$9),$AL$9+SQRT(AX177*($AN$9-$AL$9)*($AM$9-$AL$9)),$AN$9-SQRT((1-AX177)*($AN$9-$AL$9)*($AN$9-$AM$9))),$AM$9)</f>
        <v/>
      </c>
      <c r="AP177">
        <f>IFERROR(IF(AY177&lt;($AM$10-$AL$10)/($AN$10-$AL$10),$AL$10+SQRT(AY177*($AN$10-$AL$10)*($AM$10-$AL$10)),$AN$10-SQRT((1-AY177)*($AN$10-$AL$10)*($AN$10-$AM$10))),$AM$10)</f>
        <v/>
      </c>
      <c r="AQ177">
        <f>IFERROR(IF(AZ177&lt;($AM$11-$AL$11)/($AN$11-$AL$11),$AL$11+SQRT(AZ177*($AN$11-$AL$11)*($AM$11-$AL$11)),$AN$11-SQRT((1-AZ177)*($AN$11-$AL$11)*($AN$11-$AM$11))),$AM$11)</f>
        <v/>
      </c>
      <c r="AR177">
        <f>SUMPRODUCT((B24:B31&lt;=$B$6)*(C24:C31*AM177+D24:D31*AO177*$B$8*AQ177)/(1+AL177/100)^B24:B31)+C32*AM177*AP177/(1+AL177/100)^$B$6</f>
        <v/>
      </c>
      <c r="AS177">
        <f>SUMPRODUCT((K24:K26&lt;=$B$6)*(L24:L26*AN177+M24:M26*AO177*$B$8*AQ177)/(1+AL177/100)^K24:K26)+L27*AN177*AP177/(1+AL177/100)^$B$6</f>
        <v/>
      </c>
      <c r="AT177">
        <f>AS177-AR177</f>
        <v/>
      </c>
      <c r="AU177">
        <f>RAND()</f>
        <v/>
      </c>
      <c r="AV177">
        <f>RAND()</f>
        <v/>
      </c>
      <c r="AW177">
        <f>RAND()</f>
        <v/>
      </c>
      <c r="AX177">
        <f>RAND()</f>
        <v/>
      </c>
      <c r="AY177">
        <f>RAND()</f>
        <v/>
      </c>
      <c r="AZ177">
        <f>RAND()</f>
        <v/>
      </c>
    </row>
    <row r="178">
      <c r="A178" t="inlineStr">
        <is>
          <t>HMA: Maintenance 4</t>
        </is>
      </c>
      <c r="B178">
        <f>IF(B28&lt;=$B$6,$B$7+B28,NA())</f>
        <v/>
      </c>
      <c r="C178" t="n">
        <v>1</v>
      </c>
      <c r="D178">
        <f>D28*$B$10</f>
        <v/>
      </c>
      <c r="E178" s="14">
        <f>F28</f>
        <v/>
      </c>
      <c r="AK178" t="n">
        <v>165</v>
      </c>
      <c r="AL178">
        <f>IFERROR(IF(AU178&lt;($AM$6-$AL$6)/($AN$6-$AL$6),$AL$6+SQRT(AU178*($AN$6-$AL$6)*($AM$6-$AL$6)),$AN$6-SQRT((1-AU178)*($AN$6-$AL$6)*($AN$6-$AM$6))),$AM$6)</f>
        <v/>
      </c>
      <c r="AM178">
        <f>IFERROR(IF(AV178&lt;($AM$7-$AL$7)/($AN$7-$AL$7),$AL$7+SQRT(AV178*($AN$7-$AL$7)*($AM$7-$AL$7)),$AN$7-SQRT((1-AV178)*($AN$7-$AL$7)*($AN$7-$AM$7))),$AM$7)</f>
        <v/>
      </c>
      <c r="AN178">
        <f>IFERROR(IF(AW178&lt;($AM$8-$AL$8)/($AN$8-$AL$8),$AL$8+SQRT(AW178*($AN$8-$AL$8)*($AM$8-$AL$8)),$AN$8-SQRT((1-AW178)*($AN$8-$AL$8)*($AN$8-$AM$8))),$AM$8)</f>
        <v/>
      </c>
      <c r="AO178">
        <f>IFERROR(IF(AX178&lt;($AM$9-$AL$9)/($AN$9-$AL$9),$AL$9+SQRT(AX178*($AN$9-$AL$9)*($AM$9-$AL$9)),$AN$9-SQRT((1-AX178)*($AN$9-$AL$9)*($AN$9-$AM$9))),$AM$9)</f>
        <v/>
      </c>
      <c r="AP178">
        <f>IFERROR(IF(AY178&lt;($AM$10-$AL$10)/($AN$10-$AL$10),$AL$10+SQRT(AY178*($AN$10-$AL$10)*($AM$10-$AL$10)),$AN$10-SQRT((1-AY178)*($AN$10-$AL$10)*($AN$10-$AM$10))),$AM$10)</f>
        <v/>
      </c>
      <c r="AQ178">
        <f>IFERROR(IF(AZ178&lt;($AM$11-$AL$11)/($AN$11-$AL$11),$AL$11+SQRT(AZ178*($AN$11-$AL$11)*($AM$11-$AL$11)),$AN$11-SQRT((1-AZ178)*($AN$11-$AL$11)*($AN$11-$AM$11))),$AM$11)</f>
        <v/>
      </c>
      <c r="AR178">
        <f>SUMPRODUCT((B24:B31&lt;=$B$6)*(C24:C31*AM178+D24:D31*AO178*$B$8*AQ178)/(1+AL178/100)^B24:B31)+C32*AM178*AP178/(1+AL178/100)^$B$6</f>
        <v/>
      </c>
      <c r="AS178">
        <f>SUMPRODUCT((K24:K26&lt;=$B$6)*(L24:L26*AN178+M24:M26*AO178*$B$8*AQ178)/(1+AL178/100)^K24:K26)+L27*AN178*AP178/(1+AL178/100)^$B$6</f>
        <v/>
      </c>
      <c r="AT178">
        <f>AS178-AR178</f>
        <v/>
      </c>
      <c r="AU178">
        <f>RAND()</f>
        <v/>
      </c>
      <c r="AV178">
        <f>RAND()</f>
        <v/>
      </c>
      <c r="AW178">
        <f>RAND()</f>
        <v/>
      </c>
      <c r="AX178">
        <f>RAND()</f>
        <v/>
      </c>
      <c r="AY178">
        <f>RAND()</f>
        <v/>
      </c>
      <c r="AZ178">
        <f>RAND()</f>
        <v/>
      </c>
    </row>
    <row r="179">
      <c r="A179" t="inlineStr">
        <is>
          <t>HMA: Rehabilitation 1</t>
        </is>
      </c>
      <c r="B179">
        <f>IF(B29&lt;=$B$6,$B$7+B29,NA())</f>
        <v/>
      </c>
      <c r="C179" t="n">
        <v>1</v>
      </c>
      <c r="D179">
        <f>D29*$B$10</f>
        <v/>
      </c>
      <c r="E179" s="14">
        <f>F29</f>
        <v/>
      </c>
      <c r="AK179" t="n">
        <v>166</v>
      </c>
      <c r="AL179">
        <f>IFERROR(IF(AU179&lt;($AM$6-$AL$6)/($AN$6-$AL$6),$AL$6+SQRT(AU179*($AN$6-$AL$6)*($AM$6-$AL$6)),$AN$6-SQRT((1-AU179)*($AN$6-$AL$6)*($AN$6-$AM$6))),$AM$6)</f>
        <v/>
      </c>
      <c r="AM179">
        <f>IFERROR(IF(AV179&lt;($AM$7-$AL$7)/($AN$7-$AL$7),$AL$7+SQRT(AV179*($AN$7-$AL$7)*($AM$7-$AL$7)),$AN$7-SQRT((1-AV179)*($AN$7-$AL$7)*($AN$7-$AM$7))),$AM$7)</f>
        <v/>
      </c>
      <c r="AN179">
        <f>IFERROR(IF(AW179&lt;($AM$8-$AL$8)/($AN$8-$AL$8),$AL$8+SQRT(AW179*($AN$8-$AL$8)*($AM$8-$AL$8)),$AN$8-SQRT((1-AW179)*($AN$8-$AL$8)*($AN$8-$AM$8))),$AM$8)</f>
        <v/>
      </c>
      <c r="AO179">
        <f>IFERROR(IF(AX179&lt;($AM$9-$AL$9)/($AN$9-$AL$9),$AL$9+SQRT(AX179*($AN$9-$AL$9)*($AM$9-$AL$9)),$AN$9-SQRT((1-AX179)*($AN$9-$AL$9)*($AN$9-$AM$9))),$AM$9)</f>
        <v/>
      </c>
      <c r="AP179">
        <f>IFERROR(IF(AY179&lt;($AM$10-$AL$10)/($AN$10-$AL$10),$AL$10+SQRT(AY179*($AN$10-$AL$10)*($AM$10-$AL$10)),$AN$10-SQRT((1-AY179)*($AN$10-$AL$10)*($AN$10-$AM$10))),$AM$10)</f>
        <v/>
      </c>
      <c r="AQ179">
        <f>IFERROR(IF(AZ179&lt;($AM$11-$AL$11)/($AN$11-$AL$11),$AL$11+SQRT(AZ179*($AN$11-$AL$11)*($AM$11-$AL$11)),$AN$11-SQRT((1-AZ179)*($AN$11-$AL$11)*($AN$11-$AM$11))),$AM$11)</f>
        <v/>
      </c>
      <c r="AR179">
        <f>SUMPRODUCT((B24:B31&lt;=$B$6)*(C24:C31*AM179+D24:D31*AO179*$B$8*AQ179)/(1+AL179/100)^B24:B31)+C32*AM179*AP179/(1+AL179/100)^$B$6</f>
        <v/>
      </c>
      <c r="AS179">
        <f>SUMPRODUCT((K24:K26&lt;=$B$6)*(L24:L26*AN179+M24:M26*AO179*$B$8*AQ179)/(1+AL179/100)^K24:K26)+L27*AN179*AP179/(1+AL179/100)^$B$6</f>
        <v/>
      </c>
      <c r="AT179">
        <f>AS179-AR179</f>
        <v/>
      </c>
      <c r="AU179">
        <f>RAND()</f>
        <v/>
      </c>
      <c r="AV179">
        <f>RAND()</f>
        <v/>
      </c>
      <c r="AW179">
        <f>RAND()</f>
        <v/>
      </c>
      <c r="AX179">
        <f>RAND()</f>
        <v/>
      </c>
      <c r="AY179">
        <f>RAND()</f>
        <v/>
      </c>
      <c r="AZ179">
        <f>RAND()</f>
        <v/>
      </c>
    </row>
    <row r="180">
      <c r="A180" t="inlineStr">
        <is>
          <t>HMA: Maintenance 5</t>
        </is>
      </c>
      <c r="B180">
        <f>IF(B30&lt;=$B$6,$B$7+B30,NA())</f>
        <v/>
      </c>
      <c r="C180" t="n">
        <v>1</v>
      </c>
      <c r="D180">
        <f>D30*$B$10</f>
        <v/>
      </c>
      <c r="E180" s="14">
        <f>F30</f>
        <v/>
      </c>
      <c r="AK180" t="n">
        <v>167</v>
      </c>
      <c r="AL180">
        <f>IFERROR(IF(AU180&lt;($AM$6-$AL$6)/($AN$6-$AL$6),$AL$6+SQRT(AU180*($AN$6-$AL$6)*($AM$6-$AL$6)),$AN$6-SQRT((1-AU180)*($AN$6-$AL$6)*($AN$6-$AM$6))),$AM$6)</f>
        <v/>
      </c>
      <c r="AM180">
        <f>IFERROR(IF(AV180&lt;($AM$7-$AL$7)/($AN$7-$AL$7),$AL$7+SQRT(AV180*($AN$7-$AL$7)*($AM$7-$AL$7)),$AN$7-SQRT((1-AV180)*($AN$7-$AL$7)*($AN$7-$AM$7))),$AM$7)</f>
        <v/>
      </c>
      <c r="AN180">
        <f>IFERROR(IF(AW180&lt;($AM$8-$AL$8)/($AN$8-$AL$8),$AL$8+SQRT(AW180*($AN$8-$AL$8)*($AM$8-$AL$8)),$AN$8-SQRT((1-AW180)*($AN$8-$AL$8)*($AN$8-$AM$8))),$AM$8)</f>
        <v/>
      </c>
      <c r="AO180">
        <f>IFERROR(IF(AX180&lt;($AM$9-$AL$9)/($AN$9-$AL$9),$AL$9+SQRT(AX180*($AN$9-$AL$9)*($AM$9-$AL$9)),$AN$9-SQRT((1-AX180)*($AN$9-$AL$9)*($AN$9-$AM$9))),$AM$9)</f>
        <v/>
      </c>
      <c r="AP180">
        <f>IFERROR(IF(AY180&lt;($AM$10-$AL$10)/($AN$10-$AL$10),$AL$10+SQRT(AY180*($AN$10-$AL$10)*($AM$10-$AL$10)),$AN$10-SQRT((1-AY180)*($AN$10-$AL$10)*($AN$10-$AM$10))),$AM$10)</f>
        <v/>
      </c>
      <c r="AQ180">
        <f>IFERROR(IF(AZ180&lt;($AM$11-$AL$11)/($AN$11-$AL$11),$AL$11+SQRT(AZ180*($AN$11-$AL$11)*($AM$11-$AL$11)),$AN$11-SQRT((1-AZ180)*($AN$11-$AL$11)*($AN$11-$AM$11))),$AM$11)</f>
        <v/>
      </c>
      <c r="AR180">
        <f>SUMPRODUCT((B24:B31&lt;=$B$6)*(C24:C31*AM180+D24:D31*AO180*$B$8*AQ180)/(1+AL180/100)^B24:B31)+C32*AM180*AP180/(1+AL180/100)^$B$6</f>
        <v/>
      </c>
      <c r="AS180">
        <f>SUMPRODUCT((K24:K26&lt;=$B$6)*(L24:L26*AN180+M24:M26*AO180*$B$8*AQ180)/(1+AL180/100)^K24:K26)+L27*AN180*AP180/(1+AL180/100)^$B$6</f>
        <v/>
      </c>
      <c r="AT180">
        <f>AS180-AR180</f>
        <v/>
      </c>
      <c r="AU180">
        <f>RAND()</f>
        <v/>
      </c>
      <c r="AV180">
        <f>RAND()</f>
        <v/>
      </c>
      <c r="AW180">
        <f>RAND()</f>
        <v/>
      </c>
      <c r="AX180">
        <f>RAND()</f>
        <v/>
      </c>
      <c r="AY180">
        <f>RAND()</f>
        <v/>
      </c>
      <c r="AZ180">
        <f>RAND()</f>
        <v/>
      </c>
    </row>
    <row r="181">
      <c r="A181" t="inlineStr">
        <is>
          <t>HMA: Maintenance 6</t>
        </is>
      </c>
      <c r="B181">
        <f>IF(B31&lt;=$B$6,$B$7+B31,NA())</f>
        <v/>
      </c>
      <c r="C181" t="n">
        <v>1</v>
      </c>
      <c r="D181">
        <f>D31*$B$10</f>
        <v/>
      </c>
      <c r="E181" s="14">
        <f>F31</f>
        <v/>
      </c>
      <c r="AK181" t="n">
        <v>168</v>
      </c>
      <c r="AL181">
        <f>IFERROR(IF(AU181&lt;($AM$6-$AL$6)/($AN$6-$AL$6),$AL$6+SQRT(AU181*($AN$6-$AL$6)*($AM$6-$AL$6)),$AN$6-SQRT((1-AU181)*($AN$6-$AL$6)*($AN$6-$AM$6))),$AM$6)</f>
        <v/>
      </c>
      <c r="AM181">
        <f>IFERROR(IF(AV181&lt;($AM$7-$AL$7)/($AN$7-$AL$7),$AL$7+SQRT(AV181*($AN$7-$AL$7)*($AM$7-$AL$7)),$AN$7-SQRT((1-AV181)*($AN$7-$AL$7)*($AN$7-$AM$7))),$AM$7)</f>
        <v/>
      </c>
      <c r="AN181">
        <f>IFERROR(IF(AW181&lt;($AM$8-$AL$8)/($AN$8-$AL$8),$AL$8+SQRT(AW181*($AN$8-$AL$8)*($AM$8-$AL$8)),$AN$8-SQRT((1-AW181)*($AN$8-$AL$8)*($AN$8-$AM$8))),$AM$8)</f>
        <v/>
      </c>
      <c r="AO181">
        <f>IFERROR(IF(AX181&lt;($AM$9-$AL$9)/($AN$9-$AL$9),$AL$9+SQRT(AX181*($AN$9-$AL$9)*($AM$9-$AL$9)),$AN$9-SQRT((1-AX181)*($AN$9-$AL$9)*($AN$9-$AM$9))),$AM$9)</f>
        <v/>
      </c>
      <c r="AP181">
        <f>IFERROR(IF(AY181&lt;($AM$10-$AL$10)/($AN$10-$AL$10),$AL$10+SQRT(AY181*($AN$10-$AL$10)*($AM$10-$AL$10)),$AN$10-SQRT((1-AY181)*($AN$10-$AL$10)*($AN$10-$AM$10))),$AM$10)</f>
        <v/>
      </c>
      <c r="AQ181">
        <f>IFERROR(IF(AZ181&lt;($AM$11-$AL$11)/($AN$11-$AL$11),$AL$11+SQRT(AZ181*($AN$11-$AL$11)*($AM$11-$AL$11)),$AN$11-SQRT((1-AZ181)*($AN$11-$AL$11)*($AN$11-$AM$11))),$AM$11)</f>
        <v/>
      </c>
      <c r="AR181">
        <f>SUMPRODUCT((B24:B31&lt;=$B$6)*(C24:C31*AM181+D24:D31*AO181*$B$8*AQ181)/(1+AL181/100)^B24:B31)+C32*AM181*AP181/(1+AL181/100)^$B$6</f>
        <v/>
      </c>
      <c r="AS181">
        <f>SUMPRODUCT((K24:K26&lt;=$B$6)*(L24:L26*AN181+M24:M26*AO181*$B$8*AQ181)/(1+AL181/100)^K24:K26)+L27*AN181*AP181/(1+AL181/100)^$B$6</f>
        <v/>
      </c>
      <c r="AT181">
        <f>AS181-AR181</f>
        <v/>
      </c>
      <c r="AU181">
        <f>RAND()</f>
        <v/>
      </c>
      <c r="AV181">
        <f>RAND()</f>
        <v/>
      </c>
      <c r="AW181">
        <f>RAND()</f>
        <v/>
      </c>
      <c r="AX181">
        <f>RAND()</f>
        <v/>
      </c>
      <c r="AY181">
        <f>RAND()</f>
        <v/>
      </c>
      <c r="AZ181">
        <f>RAND()</f>
        <v/>
      </c>
    </row>
    <row r="182">
      <c r="A182" t="inlineStr">
        <is>
          <t>PCC: Maintenance 1</t>
        </is>
      </c>
      <c r="B182">
        <f>IF(K25&lt;=$B$6,$B$7+K25,NA())</f>
        <v/>
      </c>
      <c r="C182" t="n">
        <v>2</v>
      </c>
      <c r="D182">
        <f>M25*$B$10</f>
        <v/>
      </c>
      <c r="E182" s="14">
        <f>O25</f>
        <v/>
      </c>
      <c r="AK182" t="n">
        <v>169</v>
      </c>
      <c r="AL182">
        <f>IFERROR(IF(AU182&lt;($AM$6-$AL$6)/($AN$6-$AL$6),$AL$6+SQRT(AU182*($AN$6-$AL$6)*($AM$6-$AL$6)),$AN$6-SQRT((1-AU182)*($AN$6-$AL$6)*($AN$6-$AM$6))),$AM$6)</f>
        <v/>
      </c>
      <c r="AM182">
        <f>IFERROR(IF(AV182&lt;($AM$7-$AL$7)/($AN$7-$AL$7),$AL$7+SQRT(AV182*($AN$7-$AL$7)*($AM$7-$AL$7)),$AN$7-SQRT((1-AV182)*($AN$7-$AL$7)*($AN$7-$AM$7))),$AM$7)</f>
        <v/>
      </c>
      <c r="AN182">
        <f>IFERROR(IF(AW182&lt;($AM$8-$AL$8)/($AN$8-$AL$8),$AL$8+SQRT(AW182*($AN$8-$AL$8)*($AM$8-$AL$8)),$AN$8-SQRT((1-AW182)*($AN$8-$AL$8)*($AN$8-$AM$8))),$AM$8)</f>
        <v/>
      </c>
      <c r="AO182">
        <f>IFERROR(IF(AX182&lt;($AM$9-$AL$9)/($AN$9-$AL$9),$AL$9+SQRT(AX182*($AN$9-$AL$9)*($AM$9-$AL$9)),$AN$9-SQRT((1-AX182)*($AN$9-$AL$9)*($AN$9-$AM$9))),$AM$9)</f>
        <v/>
      </c>
      <c r="AP182">
        <f>IFERROR(IF(AY182&lt;($AM$10-$AL$10)/($AN$10-$AL$10),$AL$10+SQRT(AY182*($AN$10-$AL$10)*($AM$10-$AL$10)),$AN$10-SQRT((1-AY182)*($AN$10-$AL$10)*($AN$10-$AM$10))),$AM$10)</f>
        <v/>
      </c>
      <c r="AQ182">
        <f>IFERROR(IF(AZ182&lt;($AM$11-$AL$11)/($AN$11-$AL$11),$AL$11+SQRT(AZ182*($AN$11-$AL$11)*($AM$11-$AL$11)),$AN$11-SQRT((1-AZ182)*($AN$11-$AL$11)*($AN$11-$AM$11))),$AM$11)</f>
        <v/>
      </c>
      <c r="AR182">
        <f>SUMPRODUCT((B24:B31&lt;=$B$6)*(C24:C31*AM182+D24:D31*AO182*$B$8*AQ182)/(1+AL182/100)^B24:B31)+C32*AM182*AP182/(1+AL182/100)^$B$6</f>
        <v/>
      </c>
      <c r="AS182">
        <f>SUMPRODUCT((K24:K26&lt;=$B$6)*(L24:L26*AN182+M24:M26*AO182*$B$8*AQ182)/(1+AL182/100)^K24:K26)+L27*AN182*AP182/(1+AL182/100)^$B$6</f>
        <v/>
      </c>
      <c r="AT182">
        <f>AS182-AR182</f>
        <v/>
      </c>
      <c r="AU182">
        <f>RAND()</f>
        <v/>
      </c>
      <c r="AV182">
        <f>RAND()</f>
        <v/>
      </c>
      <c r="AW182">
        <f>RAND()</f>
        <v/>
      </c>
      <c r="AX182">
        <f>RAND()</f>
        <v/>
      </c>
      <c r="AY182">
        <f>RAND()</f>
        <v/>
      </c>
      <c r="AZ182">
        <f>RAND()</f>
        <v/>
      </c>
    </row>
    <row r="183">
      <c r="A183" t="inlineStr">
        <is>
          <t>PCC: Rehabilitation 1</t>
        </is>
      </c>
      <c r="B183">
        <f>IF(K26&lt;=$B$6,$B$7+K26,NA())</f>
        <v/>
      </c>
      <c r="C183" t="n">
        <v>2</v>
      </c>
      <c r="D183">
        <f>M26*$B$10</f>
        <v/>
      </c>
      <c r="E183" s="14">
        <f>O26</f>
        <v/>
      </c>
      <c r="AK183" t="n">
        <v>170</v>
      </c>
      <c r="AL183">
        <f>IFERROR(IF(AU183&lt;($AM$6-$AL$6)/($AN$6-$AL$6),$AL$6+SQRT(AU183*($AN$6-$AL$6)*($AM$6-$AL$6)),$AN$6-SQRT((1-AU183)*($AN$6-$AL$6)*($AN$6-$AM$6))),$AM$6)</f>
        <v/>
      </c>
      <c r="AM183">
        <f>IFERROR(IF(AV183&lt;($AM$7-$AL$7)/($AN$7-$AL$7),$AL$7+SQRT(AV183*($AN$7-$AL$7)*($AM$7-$AL$7)),$AN$7-SQRT((1-AV183)*($AN$7-$AL$7)*($AN$7-$AM$7))),$AM$7)</f>
        <v/>
      </c>
      <c r="AN183">
        <f>IFERROR(IF(AW183&lt;($AM$8-$AL$8)/($AN$8-$AL$8),$AL$8+SQRT(AW183*($AN$8-$AL$8)*($AM$8-$AL$8)),$AN$8-SQRT((1-AW183)*($AN$8-$AL$8)*($AN$8-$AM$8))),$AM$8)</f>
        <v/>
      </c>
      <c r="AO183">
        <f>IFERROR(IF(AX183&lt;($AM$9-$AL$9)/($AN$9-$AL$9),$AL$9+SQRT(AX183*($AN$9-$AL$9)*($AM$9-$AL$9)),$AN$9-SQRT((1-AX183)*($AN$9-$AL$9)*($AN$9-$AM$9))),$AM$9)</f>
        <v/>
      </c>
      <c r="AP183">
        <f>IFERROR(IF(AY183&lt;($AM$10-$AL$10)/($AN$10-$AL$10),$AL$10+SQRT(AY183*($AN$10-$AL$10)*($AM$10-$AL$10)),$AN$10-SQRT((1-AY183)*($AN$10-$AL$10)*($AN$10-$AM$10))),$AM$10)</f>
        <v/>
      </c>
      <c r="AQ183">
        <f>IFERROR(IF(AZ183&lt;($AM$11-$AL$11)/($AN$11-$AL$11),$AL$11+SQRT(AZ183*($AN$11-$AL$11)*($AM$11-$AL$11)),$AN$11-SQRT((1-AZ183)*($AN$11-$AL$11)*($AN$11-$AM$11))),$AM$11)</f>
        <v/>
      </c>
      <c r="AR183">
        <f>SUMPRODUCT((B24:B31&lt;=$B$6)*(C24:C31*AM183+D24:D31*AO183*$B$8*AQ183)/(1+AL183/100)^B24:B31)+C32*AM183*AP183/(1+AL183/100)^$B$6</f>
        <v/>
      </c>
      <c r="AS183">
        <f>SUMPRODUCT((K24:K26&lt;=$B$6)*(L24:L26*AN183+M24:M26*AO183*$B$8*AQ183)/(1+AL183/100)^K24:K26)+L27*AN183*AP183/(1+AL183/100)^$B$6</f>
        <v/>
      </c>
      <c r="AT183">
        <f>AS183-AR183</f>
        <v/>
      </c>
      <c r="AU183">
        <f>RAND()</f>
        <v/>
      </c>
      <c r="AV183">
        <f>RAND()</f>
        <v/>
      </c>
      <c r="AW183">
        <f>RAND()</f>
        <v/>
      </c>
      <c r="AX183">
        <f>RAND()</f>
        <v/>
      </c>
      <c r="AY183">
        <f>RAND()</f>
        <v/>
      </c>
      <c r="AZ183">
        <f>RAND()</f>
        <v/>
      </c>
    </row>
    <row r="184">
      <c r="AK184" t="n">
        <v>171</v>
      </c>
      <c r="AL184">
        <f>IFERROR(IF(AU184&lt;($AM$6-$AL$6)/($AN$6-$AL$6),$AL$6+SQRT(AU184*($AN$6-$AL$6)*($AM$6-$AL$6)),$AN$6-SQRT((1-AU184)*($AN$6-$AL$6)*($AN$6-$AM$6))),$AM$6)</f>
        <v/>
      </c>
      <c r="AM184">
        <f>IFERROR(IF(AV184&lt;($AM$7-$AL$7)/($AN$7-$AL$7),$AL$7+SQRT(AV184*($AN$7-$AL$7)*($AM$7-$AL$7)),$AN$7-SQRT((1-AV184)*($AN$7-$AL$7)*($AN$7-$AM$7))),$AM$7)</f>
        <v/>
      </c>
      <c r="AN184">
        <f>IFERROR(IF(AW184&lt;($AM$8-$AL$8)/($AN$8-$AL$8),$AL$8+SQRT(AW184*($AN$8-$AL$8)*($AM$8-$AL$8)),$AN$8-SQRT((1-AW184)*($AN$8-$AL$8)*($AN$8-$AM$8))),$AM$8)</f>
        <v/>
      </c>
      <c r="AO184">
        <f>IFERROR(IF(AX184&lt;($AM$9-$AL$9)/($AN$9-$AL$9),$AL$9+SQRT(AX184*($AN$9-$AL$9)*($AM$9-$AL$9)),$AN$9-SQRT((1-AX184)*($AN$9-$AL$9)*($AN$9-$AM$9))),$AM$9)</f>
        <v/>
      </c>
      <c r="AP184">
        <f>IFERROR(IF(AY184&lt;($AM$10-$AL$10)/($AN$10-$AL$10),$AL$10+SQRT(AY184*($AN$10-$AL$10)*($AM$10-$AL$10)),$AN$10-SQRT((1-AY184)*($AN$10-$AL$10)*($AN$10-$AM$10))),$AM$10)</f>
        <v/>
      </c>
      <c r="AQ184">
        <f>IFERROR(IF(AZ184&lt;($AM$11-$AL$11)/($AN$11-$AL$11),$AL$11+SQRT(AZ184*($AN$11-$AL$11)*($AM$11-$AL$11)),$AN$11-SQRT((1-AZ184)*($AN$11-$AL$11)*($AN$11-$AM$11))),$AM$11)</f>
        <v/>
      </c>
      <c r="AR184">
        <f>SUMPRODUCT((B24:B31&lt;=$B$6)*(C24:C31*AM184+D24:D31*AO184*$B$8*AQ184)/(1+AL184/100)^B24:B31)+C32*AM184*AP184/(1+AL184/100)^$B$6</f>
        <v/>
      </c>
      <c r="AS184">
        <f>SUMPRODUCT((K24:K26&lt;=$B$6)*(L24:L26*AN184+M24:M26*AO184*$B$8*AQ184)/(1+AL184/100)^K24:K26)+L27*AN184*AP184/(1+AL184/100)^$B$6</f>
        <v/>
      </c>
      <c r="AT184">
        <f>AS184-AR184</f>
        <v/>
      </c>
      <c r="AU184">
        <f>RAND()</f>
        <v/>
      </c>
      <c r="AV184">
        <f>RAND()</f>
        <v/>
      </c>
      <c r="AW184">
        <f>RAND()</f>
        <v/>
      </c>
      <c r="AX184">
        <f>RAND()</f>
        <v/>
      </c>
      <c r="AY184">
        <f>RAND()</f>
        <v/>
      </c>
      <c r="AZ184">
        <f>RAND()</f>
        <v/>
      </c>
    </row>
    <row r="185">
      <c r="AK185" t="n">
        <v>172</v>
      </c>
      <c r="AL185">
        <f>IFERROR(IF(AU185&lt;($AM$6-$AL$6)/($AN$6-$AL$6),$AL$6+SQRT(AU185*($AN$6-$AL$6)*($AM$6-$AL$6)),$AN$6-SQRT((1-AU185)*($AN$6-$AL$6)*($AN$6-$AM$6))),$AM$6)</f>
        <v/>
      </c>
      <c r="AM185">
        <f>IFERROR(IF(AV185&lt;($AM$7-$AL$7)/($AN$7-$AL$7),$AL$7+SQRT(AV185*($AN$7-$AL$7)*($AM$7-$AL$7)),$AN$7-SQRT((1-AV185)*($AN$7-$AL$7)*($AN$7-$AM$7))),$AM$7)</f>
        <v/>
      </c>
      <c r="AN185">
        <f>IFERROR(IF(AW185&lt;($AM$8-$AL$8)/($AN$8-$AL$8),$AL$8+SQRT(AW185*($AN$8-$AL$8)*($AM$8-$AL$8)),$AN$8-SQRT((1-AW185)*($AN$8-$AL$8)*($AN$8-$AM$8))),$AM$8)</f>
        <v/>
      </c>
      <c r="AO185">
        <f>IFERROR(IF(AX185&lt;($AM$9-$AL$9)/($AN$9-$AL$9),$AL$9+SQRT(AX185*($AN$9-$AL$9)*($AM$9-$AL$9)),$AN$9-SQRT((1-AX185)*($AN$9-$AL$9)*($AN$9-$AM$9))),$AM$9)</f>
        <v/>
      </c>
      <c r="AP185">
        <f>IFERROR(IF(AY185&lt;($AM$10-$AL$10)/($AN$10-$AL$10),$AL$10+SQRT(AY185*($AN$10-$AL$10)*($AM$10-$AL$10)),$AN$10-SQRT((1-AY185)*($AN$10-$AL$10)*($AN$10-$AM$10))),$AM$10)</f>
        <v/>
      </c>
      <c r="AQ185">
        <f>IFERROR(IF(AZ185&lt;($AM$11-$AL$11)/($AN$11-$AL$11),$AL$11+SQRT(AZ185*($AN$11-$AL$11)*($AM$11-$AL$11)),$AN$11-SQRT((1-AZ185)*($AN$11-$AL$11)*($AN$11-$AM$11))),$AM$11)</f>
        <v/>
      </c>
      <c r="AR185">
        <f>SUMPRODUCT((B24:B31&lt;=$B$6)*(C24:C31*AM185+D24:D31*AO185*$B$8*AQ185)/(1+AL185/100)^B24:B31)+C32*AM185*AP185/(1+AL185/100)^$B$6</f>
        <v/>
      </c>
      <c r="AS185">
        <f>SUMPRODUCT((K24:K26&lt;=$B$6)*(L24:L26*AN185+M24:M26*AO185*$B$8*AQ185)/(1+AL185/100)^K24:K26)+L27*AN185*AP185/(1+AL185/100)^$B$6</f>
        <v/>
      </c>
      <c r="AT185">
        <f>AS185-AR185</f>
        <v/>
      </c>
      <c r="AU185">
        <f>RAND()</f>
        <v/>
      </c>
      <c r="AV185">
        <f>RAND()</f>
        <v/>
      </c>
      <c r="AW185">
        <f>RAND()</f>
        <v/>
      </c>
      <c r="AX185">
        <f>RAND()</f>
        <v/>
      </c>
      <c r="AY185">
        <f>RAND()</f>
        <v/>
      </c>
      <c r="AZ185">
        <f>RAND()</f>
        <v/>
      </c>
    </row>
    <row r="186">
      <c r="AK186" t="n">
        <v>173</v>
      </c>
      <c r="AL186">
        <f>IFERROR(IF(AU186&lt;($AM$6-$AL$6)/($AN$6-$AL$6),$AL$6+SQRT(AU186*($AN$6-$AL$6)*($AM$6-$AL$6)),$AN$6-SQRT((1-AU186)*($AN$6-$AL$6)*($AN$6-$AM$6))),$AM$6)</f>
        <v/>
      </c>
      <c r="AM186">
        <f>IFERROR(IF(AV186&lt;($AM$7-$AL$7)/($AN$7-$AL$7),$AL$7+SQRT(AV186*($AN$7-$AL$7)*($AM$7-$AL$7)),$AN$7-SQRT((1-AV186)*($AN$7-$AL$7)*($AN$7-$AM$7))),$AM$7)</f>
        <v/>
      </c>
      <c r="AN186">
        <f>IFERROR(IF(AW186&lt;($AM$8-$AL$8)/($AN$8-$AL$8),$AL$8+SQRT(AW186*($AN$8-$AL$8)*($AM$8-$AL$8)),$AN$8-SQRT((1-AW186)*($AN$8-$AL$8)*($AN$8-$AM$8))),$AM$8)</f>
        <v/>
      </c>
      <c r="AO186">
        <f>IFERROR(IF(AX186&lt;($AM$9-$AL$9)/($AN$9-$AL$9),$AL$9+SQRT(AX186*($AN$9-$AL$9)*($AM$9-$AL$9)),$AN$9-SQRT((1-AX186)*($AN$9-$AL$9)*($AN$9-$AM$9))),$AM$9)</f>
        <v/>
      </c>
      <c r="AP186">
        <f>IFERROR(IF(AY186&lt;($AM$10-$AL$10)/($AN$10-$AL$10),$AL$10+SQRT(AY186*($AN$10-$AL$10)*($AM$10-$AL$10)),$AN$10-SQRT((1-AY186)*($AN$10-$AL$10)*($AN$10-$AM$10))),$AM$10)</f>
        <v/>
      </c>
      <c r="AQ186">
        <f>IFERROR(IF(AZ186&lt;($AM$11-$AL$11)/($AN$11-$AL$11),$AL$11+SQRT(AZ186*($AN$11-$AL$11)*($AM$11-$AL$11)),$AN$11-SQRT((1-AZ186)*($AN$11-$AL$11)*($AN$11-$AM$11))),$AM$11)</f>
        <v/>
      </c>
      <c r="AR186">
        <f>SUMPRODUCT((B24:B31&lt;=$B$6)*(C24:C31*AM186+D24:D31*AO186*$B$8*AQ186)/(1+AL186/100)^B24:B31)+C32*AM186*AP186/(1+AL186/100)^$B$6</f>
        <v/>
      </c>
      <c r="AS186">
        <f>SUMPRODUCT((K24:K26&lt;=$B$6)*(L24:L26*AN186+M24:M26*AO186*$B$8*AQ186)/(1+AL186/100)^K24:K26)+L27*AN186*AP186/(1+AL186/100)^$B$6</f>
        <v/>
      </c>
      <c r="AT186">
        <f>AS186-AR186</f>
        <v/>
      </c>
      <c r="AU186">
        <f>RAND()</f>
        <v/>
      </c>
      <c r="AV186">
        <f>RAND()</f>
        <v/>
      </c>
      <c r="AW186">
        <f>RAND()</f>
        <v/>
      </c>
      <c r="AX186">
        <f>RAND()</f>
        <v/>
      </c>
      <c r="AY186">
        <f>RAND()</f>
        <v/>
      </c>
      <c r="AZ186">
        <f>RAND()</f>
        <v/>
      </c>
    </row>
    <row r="187">
      <c r="AK187" t="n">
        <v>174</v>
      </c>
      <c r="AL187">
        <f>IFERROR(IF(AU187&lt;($AM$6-$AL$6)/($AN$6-$AL$6),$AL$6+SQRT(AU187*($AN$6-$AL$6)*($AM$6-$AL$6)),$AN$6-SQRT((1-AU187)*($AN$6-$AL$6)*($AN$6-$AM$6))),$AM$6)</f>
        <v/>
      </c>
      <c r="AM187">
        <f>IFERROR(IF(AV187&lt;($AM$7-$AL$7)/($AN$7-$AL$7),$AL$7+SQRT(AV187*($AN$7-$AL$7)*($AM$7-$AL$7)),$AN$7-SQRT((1-AV187)*($AN$7-$AL$7)*($AN$7-$AM$7))),$AM$7)</f>
        <v/>
      </c>
      <c r="AN187">
        <f>IFERROR(IF(AW187&lt;($AM$8-$AL$8)/($AN$8-$AL$8),$AL$8+SQRT(AW187*($AN$8-$AL$8)*($AM$8-$AL$8)),$AN$8-SQRT((1-AW187)*($AN$8-$AL$8)*($AN$8-$AM$8))),$AM$8)</f>
        <v/>
      </c>
      <c r="AO187">
        <f>IFERROR(IF(AX187&lt;($AM$9-$AL$9)/($AN$9-$AL$9),$AL$9+SQRT(AX187*($AN$9-$AL$9)*($AM$9-$AL$9)),$AN$9-SQRT((1-AX187)*($AN$9-$AL$9)*($AN$9-$AM$9))),$AM$9)</f>
        <v/>
      </c>
      <c r="AP187">
        <f>IFERROR(IF(AY187&lt;($AM$10-$AL$10)/($AN$10-$AL$10),$AL$10+SQRT(AY187*($AN$10-$AL$10)*($AM$10-$AL$10)),$AN$10-SQRT((1-AY187)*($AN$10-$AL$10)*($AN$10-$AM$10))),$AM$10)</f>
        <v/>
      </c>
      <c r="AQ187">
        <f>IFERROR(IF(AZ187&lt;($AM$11-$AL$11)/($AN$11-$AL$11),$AL$11+SQRT(AZ187*($AN$11-$AL$11)*($AM$11-$AL$11)),$AN$11-SQRT((1-AZ187)*($AN$11-$AL$11)*($AN$11-$AM$11))),$AM$11)</f>
        <v/>
      </c>
      <c r="AR187">
        <f>SUMPRODUCT((B24:B31&lt;=$B$6)*(C24:C31*AM187+D24:D31*AO187*$B$8*AQ187)/(1+AL187/100)^B24:B31)+C32*AM187*AP187/(1+AL187/100)^$B$6</f>
        <v/>
      </c>
      <c r="AS187">
        <f>SUMPRODUCT((K24:K26&lt;=$B$6)*(L24:L26*AN187+M24:M26*AO187*$B$8*AQ187)/(1+AL187/100)^K24:K26)+L27*AN187*AP187/(1+AL187/100)^$B$6</f>
        <v/>
      </c>
      <c r="AT187">
        <f>AS187-AR187</f>
        <v/>
      </c>
      <c r="AU187">
        <f>RAND()</f>
        <v/>
      </c>
      <c r="AV187">
        <f>RAND()</f>
        <v/>
      </c>
      <c r="AW187">
        <f>RAND()</f>
        <v/>
      </c>
      <c r="AX187">
        <f>RAND()</f>
        <v/>
      </c>
      <c r="AY187">
        <f>RAND()</f>
        <v/>
      </c>
      <c r="AZ187">
        <f>RAND()</f>
        <v/>
      </c>
    </row>
    <row r="188">
      <c r="AK188" t="n">
        <v>175</v>
      </c>
      <c r="AL188">
        <f>IFERROR(IF(AU188&lt;($AM$6-$AL$6)/($AN$6-$AL$6),$AL$6+SQRT(AU188*($AN$6-$AL$6)*($AM$6-$AL$6)),$AN$6-SQRT((1-AU188)*($AN$6-$AL$6)*($AN$6-$AM$6))),$AM$6)</f>
        <v/>
      </c>
      <c r="AM188">
        <f>IFERROR(IF(AV188&lt;($AM$7-$AL$7)/($AN$7-$AL$7),$AL$7+SQRT(AV188*($AN$7-$AL$7)*($AM$7-$AL$7)),$AN$7-SQRT((1-AV188)*($AN$7-$AL$7)*($AN$7-$AM$7))),$AM$7)</f>
        <v/>
      </c>
      <c r="AN188">
        <f>IFERROR(IF(AW188&lt;($AM$8-$AL$8)/($AN$8-$AL$8),$AL$8+SQRT(AW188*($AN$8-$AL$8)*($AM$8-$AL$8)),$AN$8-SQRT((1-AW188)*($AN$8-$AL$8)*($AN$8-$AM$8))),$AM$8)</f>
        <v/>
      </c>
      <c r="AO188">
        <f>IFERROR(IF(AX188&lt;($AM$9-$AL$9)/($AN$9-$AL$9),$AL$9+SQRT(AX188*($AN$9-$AL$9)*($AM$9-$AL$9)),$AN$9-SQRT((1-AX188)*($AN$9-$AL$9)*($AN$9-$AM$9))),$AM$9)</f>
        <v/>
      </c>
      <c r="AP188">
        <f>IFERROR(IF(AY188&lt;($AM$10-$AL$10)/($AN$10-$AL$10),$AL$10+SQRT(AY188*($AN$10-$AL$10)*($AM$10-$AL$10)),$AN$10-SQRT((1-AY188)*($AN$10-$AL$10)*($AN$10-$AM$10))),$AM$10)</f>
        <v/>
      </c>
      <c r="AQ188">
        <f>IFERROR(IF(AZ188&lt;($AM$11-$AL$11)/($AN$11-$AL$11),$AL$11+SQRT(AZ188*($AN$11-$AL$11)*($AM$11-$AL$11)),$AN$11-SQRT((1-AZ188)*($AN$11-$AL$11)*($AN$11-$AM$11))),$AM$11)</f>
        <v/>
      </c>
      <c r="AR188">
        <f>SUMPRODUCT((B24:B31&lt;=$B$6)*(C24:C31*AM188+D24:D31*AO188*$B$8*AQ188)/(1+AL188/100)^B24:B31)+C32*AM188*AP188/(1+AL188/100)^$B$6</f>
        <v/>
      </c>
      <c r="AS188">
        <f>SUMPRODUCT((K24:K26&lt;=$B$6)*(L24:L26*AN188+M24:M26*AO188*$B$8*AQ188)/(1+AL188/100)^K24:K26)+L27*AN188*AP188/(1+AL188/100)^$B$6</f>
        <v/>
      </c>
      <c r="AT188">
        <f>AS188-AR188</f>
        <v/>
      </c>
      <c r="AU188">
        <f>RAND()</f>
        <v/>
      </c>
      <c r="AV188">
        <f>RAND()</f>
        <v/>
      </c>
      <c r="AW188">
        <f>RAND()</f>
        <v/>
      </c>
      <c r="AX188">
        <f>RAND()</f>
        <v/>
      </c>
      <c r="AY188">
        <f>RAND()</f>
        <v/>
      </c>
      <c r="AZ188">
        <f>RAND()</f>
        <v/>
      </c>
    </row>
    <row r="189">
      <c r="AK189" t="n">
        <v>176</v>
      </c>
      <c r="AL189">
        <f>IFERROR(IF(AU189&lt;($AM$6-$AL$6)/($AN$6-$AL$6),$AL$6+SQRT(AU189*($AN$6-$AL$6)*($AM$6-$AL$6)),$AN$6-SQRT((1-AU189)*($AN$6-$AL$6)*($AN$6-$AM$6))),$AM$6)</f>
        <v/>
      </c>
      <c r="AM189">
        <f>IFERROR(IF(AV189&lt;($AM$7-$AL$7)/($AN$7-$AL$7),$AL$7+SQRT(AV189*($AN$7-$AL$7)*($AM$7-$AL$7)),$AN$7-SQRT((1-AV189)*($AN$7-$AL$7)*($AN$7-$AM$7))),$AM$7)</f>
        <v/>
      </c>
      <c r="AN189">
        <f>IFERROR(IF(AW189&lt;($AM$8-$AL$8)/($AN$8-$AL$8),$AL$8+SQRT(AW189*($AN$8-$AL$8)*($AM$8-$AL$8)),$AN$8-SQRT((1-AW189)*($AN$8-$AL$8)*($AN$8-$AM$8))),$AM$8)</f>
        <v/>
      </c>
      <c r="AO189">
        <f>IFERROR(IF(AX189&lt;($AM$9-$AL$9)/($AN$9-$AL$9),$AL$9+SQRT(AX189*($AN$9-$AL$9)*($AM$9-$AL$9)),$AN$9-SQRT((1-AX189)*($AN$9-$AL$9)*($AN$9-$AM$9))),$AM$9)</f>
        <v/>
      </c>
      <c r="AP189">
        <f>IFERROR(IF(AY189&lt;($AM$10-$AL$10)/($AN$10-$AL$10),$AL$10+SQRT(AY189*($AN$10-$AL$10)*($AM$10-$AL$10)),$AN$10-SQRT((1-AY189)*($AN$10-$AL$10)*($AN$10-$AM$10))),$AM$10)</f>
        <v/>
      </c>
      <c r="AQ189">
        <f>IFERROR(IF(AZ189&lt;($AM$11-$AL$11)/($AN$11-$AL$11),$AL$11+SQRT(AZ189*($AN$11-$AL$11)*($AM$11-$AL$11)),$AN$11-SQRT((1-AZ189)*($AN$11-$AL$11)*($AN$11-$AM$11))),$AM$11)</f>
        <v/>
      </c>
      <c r="AR189">
        <f>SUMPRODUCT((B24:B31&lt;=$B$6)*(C24:C31*AM189+D24:D31*AO189*$B$8*AQ189)/(1+AL189/100)^B24:B31)+C32*AM189*AP189/(1+AL189/100)^$B$6</f>
        <v/>
      </c>
      <c r="AS189">
        <f>SUMPRODUCT((K24:K26&lt;=$B$6)*(L24:L26*AN189+M24:M26*AO189*$B$8*AQ189)/(1+AL189/100)^K24:K26)+L27*AN189*AP189/(1+AL189/100)^$B$6</f>
        <v/>
      </c>
      <c r="AT189">
        <f>AS189-AR189</f>
        <v/>
      </c>
      <c r="AU189">
        <f>RAND()</f>
        <v/>
      </c>
      <c r="AV189">
        <f>RAND()</f>
        <v/>
      </c>
      <c r="AW189">
        <f>RAND()</f>
        <v/>
      </c>
      <c r="AX189">
        <f>RAND()</f>
        <v/>
      </c>
      <c r="AY189">
        <f>RAND()</f>
        <v/>
      </c>
      <c r="AZ189">
        <f>RAND()</f>
        <v/>
      </c>
    </row>
    <row r="190">
      <c r="AK190" t="n">
        <v>177</v>
      </c>
      <c r="AL190">
        <f>IFERROR(IF(AU190&lt;($AM$6-$AL$6)/($AN$6-$AL$6),$AL$6+SQRT(AU190*($AN$6-$AL$6)*($AM$6-$AL$6)),$AN$6-SQRT((1-AU190)*($AN$6-$AL$6)*($AN$6-$AM$6))),$AM$6)</f>
        <v/>
      </c>
      <c r="AM190">
        <f>IFERROR(IF(AV190&lt;($AM$7-$AL$7)/($AN$7-$AL$7),$AL$7+SQRT(AV190*($AN$7-$AL$7)*($AM$7-$AL$7)),$AN$7-SQRT((1-AV190)*($AN$7-$AL$7)*($AN$7-$AM$7))),$AM$7)</f>
        <v/>
      </c>
      <c r="AN190">
        <f>IFERROR(IF(AW190&lt;($AM$8-$AL$8)/($AN$8-$AL$8),$AL$8+SQRT(AW190*($AN$8-$AL$8)*($AM$8-$AL$8)),$AN$8-SQRT((1-AW190)*($AN$8-$AL$8)*($AN$8-$AM$8))),$AM$8)</f>
        <v/>
      </c>
      <c r="AO190">
        <f>IFERROR(IF(AX190&lt;($AM$9-$AL$9)/($AN$9-$AL$9),$AL$9+SQRT(AX190*($AN$9-$AL$9)*($AM$9-$AL$9)),$AN$9-SQRT((1-AX190)*($AN$9-$AL$9)*($AN$9-$AM$9))),$AM$9)</f>
        <v/>
      </c>
      <c r="AP190">
        <f>IFERROR(IF(AY190&lt;($AM$10-$AL$10)/($AN$10-$AL$10),$AL$10+SQRT(AY190*($AN$10-$AL$10)*($AM$10-$AL$10)),$AN$10-SQRT((1-AY190)*($AN$10-$AL$10)*($AN$10-$AM$10))),$AM$10)</f>
        <v/>
      </c>
      <c r="AQ190">
        <f>IFERROR(IF(AZ190&lt;($AM$11-$AL$11)/($AN$11-$AL$11),$AL$11+SQRT(AZ190*($AN$11-$AL$11)*($AM$11-$AL$11)),$AN$11-SQRT((1-AZ190)*($AN$11-$AL$11)*($AN$11-$AM$11))),$AM$11)</f>
        <v/>
      </c>
      <c r="AR190">
        <f>SUMPRODUCT((B24:B31&lt;=$B$6)*(C24:C31*AM190+D24:D31*AO190*$B$8*AQ190)/(1+AL190/100)^B24:B31)+C32*AM190*AP190/(1+AL190/100)^$B$6</f>
        <v/>
      </c>
      <c r="AS190">
        <f>SUMPRODUCT((K24:K26&lt;=$B$6)*(L24:L26*AN190+M24:M26*AO190*$B$8*AQ190)/(1+AL190/100)^K24:K26)+L27*AN190*AP190/(1+AL190/100)^$B$6</f>
        <v/>
      </c>
      <c r="AT190">
        <f>AS190-AR190</f>
        <v/>
      </c>
      <c r="AU190">
        <f>RAND()</f>
        <v/>
      </c>
      <c r="AV190">
        <f>RAND()</f>
        <v/>
      </c>
      <c r="AW190">
        <f>RAND()</f>
        <v/>
      </c>
      <c r="AX190">
        <f>RAND()</f>
        <v/>
      </c>
      <c r="AY190">
        <f>RAND()</f>
        <v/>
      </c>
      <c r="AZ190">
        <f>RAND()</f>
        <v/>
      </c>
    </row>
    <row r="191">
      <c r="AK191" t="n">
        <v>178</v>
      </c>
      <c r="AL191">
        <f>IFERROR(IF(AU191&lt;($AM$6-$AL$6)/($AN$6-$AL$6),$AL$6+SQRT(AU191*($AN$6-$AL$6)*($AM$6-$AL$6)),$AN$6-SQRT((1-AU191)*($AN$6-$AL$6)*($AN$6-$AM$6))),$AM$6)</f>
        <v/>
      </c>
      <c r="AM191">
        <f>IFERROR(IF(AV191&lt;($AM$7-$AL$7)/($AN$7-$AL$7),$AL$7+SQRT(AV191*($AN$7-$AL$7)*($AM$7-$AL$7)),$AN$7-SQRT((1-AV191)*($AN$7-$AL$7)*($AN$7-$AM$7))),$AM$7)</f>
        <v/>
      </c>
      <c r="AN191">
        <f>IFERROR(IF(AW191&lt;($AM$8-$AL$8)/($AN$8-$AL$8),$AL$8+SQRT(AW191*($AN$8-$AL$8)*($AM$8-$AL$8)),$AN$8-SQRT((1-AW191)*($AN$8-$AL$8)*($AN$8-$AM$8))),$AM$8)</f>
        <v/>
      </c>
      <c r="AO191">
        <f>IFERROR(IF(AX191&lt;($AM$9-$AL$9)/($AN$9-$AL$9),$AL$9+SQRT(AX191*($AN$9-$AL$9)*($AM$9-$AL$9)),$AN$9-SQRT((1-AX191)*($AN$9-$AL$9)*($AN$9-$AM$9))),$AM$9)</f>
        <v/>
      </c>
      <c r="AP191">
        <f>IFERROR(IF(AY191&lt;($AM$10-$AL$10)/($AN$10-$AL$10),$AL$10+SQRT(AY191*($AN$10-$AL$10)*($AM$10-$AL$10)),$AN$10-SQRT((1-AY191)*($AN$10-$AL$10)*($AN$10-$AM$10))),$AM$10)</f>
        <v/>
      </c>
      <c r="AQ191">
        <f>IFERROR(IF(AZ191&lt;($AM$11-$AL$11)/($AN$11-$AL$11),$AL$11+SQRT(AZ191*($AN$11-$AL$11)*($AM$11-$AL$11)),$AN$11-SQRT((1-AZ191)*($AN$11-$AL$11)*($AN$11-$AM$11))),$AM$11)</f>
        <v/>
      </c>
      <c r="AR191">
        <f>SUMPRODUCT((B24:B31&lt;=$B$6)*(C24:C31*AM191+D24:D31*AO191*$B$8*AQ191)/(1+AL191/100)^B24:B31)+C32*AM191*AP191/(1+AL191/100)^$B$6</f>
        <v/>
      </c>
      <c r="AS191">
        <f>SUMPRODUCT((K24:K26&lt;=$B$6)*(L24:L26*AN191+M24:M26*AO191*$B$8*AQ191)/(1+AL191/100)^K24:K26)+L27*AN191*AP191/(1+AL191/100)^$B$6</f>
        <v/>
      </c>
      <c r="AT191">
        <f>AS191-AR191</f>
        <v/>
      </c>
      <c r="AU191">
        <f>RAND()</f>
        <v/>
      </c>
      <c r="AV191">
        <f>RAND()</f>
        <v/>
      </c>
      <c r="AW191">
        <f>RAND()</f>
        <v/>
      </c>
      <c r="AX191">
        <f>RAND()</f>
        <v/>
      </c>
      <c r="AY191">
        <f>RAND()</f>
        <v/>
      </c>
      <c r="AZ191">
        <f>RAND()</f>
        <v/>
      </c>
    </row>
    <row r="192">
      <c r="AK192" t="n">
        <v>179</v>
      </c>
      <c r="AL192">
        <f>IFERROR(IF(AU192&lt;($AM$6-$AL$6)/($AN$6-$AL$6),$AL$6+SQRT(AU192*($AN$6-$AL$6)*($AM$6-$AL$6)),$AN$6-SQRT((1-AU192)*($AN$6-$AL$6)*($AN$6-$AM$6))),$AM$6)</f>
        <v/>
      </c>
      <c r="AM192">
        <f>IFERROR(IF(AV192&lt;($AM$7-$AL$7)/($AN$7-$AL$7),$AL$7+SQRT(AV192*($AN$7-$AL$7)*($AM$7-$AL$7)),$AN$7-SQRT((1-AV192)*($AN$7-$AL$7)*($AN$7-$AM$7))),$AM$7)</f>
        <v/>
      </c>
      <c r="AN192">
        <f>IFERROR(IF(AW192&lt;($AM$8-$AL$8)/($AN$8-$AL$8),$AL$8+SQRT(AW192*($AN$8-$AL$8)*($AM$8-$AL$8)),$AN$8-SQRT((1-AW192)*($AN$8-$AL$8)*($AN$8-$AM$8))),$AM$8)</f>
        <v/>
      </c>
      <c r="AO192">
        <f>IFERROR(IF(AX192&lt;($AM$9-$AL$9)/($AN$9-$AL$9),$AL$9+SQRT(AX192*($AN$9-$AL$9)*($AM$9-$AL$9)),$AN$9-SQRT((1-AX192)*($AN$9-$AL$9)*($AN$9-$AM$9))),$AM$9)</f>
        <v/>
      </c>
      <c r="AP192">
        <f>IFERROR(IF(AY192&lt;($AM$10-$AL$10)/($AN$10-$AL$10),$AL$10+SQRT(AY192*($AN$10-$AL$10)*($AM$10-$AL$10)),$AN$10-SQRT((1-AY192)*($AN$10-$AL$10)*($AN$10-$AM$10))),$AM$10)</f>
        <v/>
      </c>
      <c r="AQ192">
        <f>IFERROR(IF(AZ192&lt;($AM$11-$AL$11)/($AN$11-$AL$11),$AL$11+SQRT(AZ192*($AN$11-$AL$11)*($AM$11-$AL$11)),$AN$11-SQRT((1-AZ192)*($AN$11-$AL$11)*($AN$11-$AM$11))),$AM$11)</f>
        <v/>
      </c>
      <c r="AR192">
        <f>SUMPRODUCT((B24:B31&lt;=$B$6)*(C24:C31*AM192+D24:D31*AO192*$B$8*AQ192)/(1+AL192/100)^B24:B31)+C32*AM192*AP192/(1+AL192/100)^$B$6</f>
        <v/>
      </c>
      <c r="AS192">
        <f>SUMPRODUCT((K24:K26&lt;=$B$6)*(L24:L26*AN192+M24:M26*AO192*$B$8*AQ192)/(1+AL192/100)^K24:K26)+L27*AN192*AP192/(1+AL192/100)^$B$6</f>
        <v/>
      </c>
      <c r="AT192">
        <f>AS192-AR192</f>
        <v/>
      </c>
      <c r="AU192">
        <f>RAND()</f>
        <v/>
      </c>
      <c r="AV192">
        <f>RAND()</f>
        <v/>
      </c>
      <c r="AW192">
        <f>RAND()</f>
        <v/>
      </c>
      <c r="AX192">
        <f>RAND()</f>
        <v/>
      </c>
      <c r="AY192">
        <f>RAND()</f>
        <v/>
      </c>
      <c r="AZ192">
        <f>RAND()</f>
        <v/>
      </c>
    </row>
    <row r="193">
      <c r="AK193" t="n">
        <v>180</v>
      </c>
      <c r="AL193">
        <f>IFERROR(IF(AU193&lt;($AM$6-$AL$6)/($AN$6-$AL$6),$AL$6+SQRT(AU193*($AN$6-$AL$6)*($AM$6-$AL$6)),$AN$6-SQRT((1-AU193)*($AN$6-$AL$6)*($AN$6-$AM$6))),$AM$6)</f>
        <v/>
      </c>
      <c r="AM193">
        <f>IFERROR(IF(AV193&lt;($AM$7-$AL$7)/($AN$7-$AL$7),$AL$7+SQRT(AV193*($AN$7-$AL$7)*($AM$7-$AL$7)),$AN$7-SQRT((1-AV193)*($AN$7-$AL$7)*($AN$7-$AM$7))),$AM$7)</f>
        <v/>
      </c>
      <c r="AN193">
        <f>IFERROR(IF(AW193&lt;($AM$8-$AL$8)/($AN$8-$AL$8),$AL$8+SQRT(AW193*($AN$8-$AL$8)*($AM$8-$AL$8)),$AN$8-SQRT((1-AW193)*($AN$8-$AL$8)*($AN$8-$AM$8))),$AM$8)</f>
        <v/>
      </c>
      <c r="AO193">
        <f>IFERROR(IF(AX193&lt;($AM$9-$AL$9)/($AN$9-$AL$9),$AL$9+SQRT(AX193*($AN$9-$AL$9)*($AM$9-$AL$9)),$AN$9-SQRT((1-AX193)*($AN$9-$AL$9)*($AN$9-$AM$9))),$AM$9)</f>
        <v/>
      </c>
      <c r="AP193">
        <f>IFERROR(IF(AY193&lt;($AM$10-$AL$10)/($AN$10-$AL$10),$AL$10+SQRT(AY193*($AN$10-$AL$10)*($AM$10-$AL$10)),$AN$10-SQRT((1-AY193)*($AN$10-$AL$10)*($AN$10-$AM$10))),$AM$10)</f>
        <v/>
      </c>
      <c r="AQ193">
        <f>IFERROR(IF(AZ193&lt;($AM$11-$AL$11)/($AN$11-$AL$11),$AL$11+SQRT(AZ193*($AN$11-$AL$11)*($AM$11-$AL$11)),$AN$11-SQRT((1-AZ193)*($AN$11-$AL$11)*($AN$11-$AM$11))),$AM$11)</f>
        <v/>
      </c>
      <c r="AR193">
        <f>SUMPRODUCT((B24:B31&lt;=$B$6)*(C24:C31*AM193+D24:D31*AO193*$B$8*AQ193)/(1+AL193/100)^B24:B31)+C32*AM193*AP193/(1+AL193/100)^$B$6</f>
        <v/>
      </c>
      <c r="AS193">
        <f>SUMPRODUCT((K24:K26&lt;=$B$6)*(L24:L26*AN193+M24:M26*AO193*$B$8*AQ193)/(1+AL193/100)^K24:K26)+L27*AN193*AP193/(1+AL193/100)^$B$6</f>
        <v/>
      </c>
      <c r="AT193">
        <f>AS193-AR193</f>
        <v/>
      </c>
      <c r="AU193">
        <f>RAND()</f>
        <v/>
      </c>
      <c r="AV193">
        <f>RAND()</f>
        <v/>
      </c>
      <c r="AW193">
        <f>RAND()</f>
        <v/>
      </c>
      <c r="AX193">
        <f>RAND()</f>
        <v/>
      </c>
      <c r="AY193">
        <f>RAND()</f>
        <v/>
      </c>
      <c r="AZ193">
        <f>RAND()</f>
        <v/>
      </c>
    </row>
    <row r="194">
      <c r="AK194" t="n">
        <v>181</v>
      </c>
      <c r="AL194">
        <f>IFERROR(IF(AU194&lt;($AM$6-$AL$6)/($AN$6-$AL$6),$AL$6+SQRT(AU194*($AN$6-$AL$6)*($AM$6-$AL$6)),$AN$6-SQRT((1-AU194)*($AN$6-$AL$6)*($AN$6-$AM$6))),$AM$6)</f>
        <v/>
      </c>
      <c r="AM194">
        <f>IFERROR(IF(AV194&lt;($AM$7-$AL$7)/($AN$7-$AL$7),$AL$7+SQRT(AV194*($AN$7-$AL$7)*($AM$7-$AL$7)),$AN$7-SQRT((1-AV194)*($AN$7-$AL$7)*($AN$7-$AM$7))),$AM$7)</f>
        <v/>
      </c>
      <c r="AN194">
        <f>IFERROR(IF(AW194&lt;($AM$8-$AL$8)/($AN$8-$AL$8),$AL$8+SQRT(AW194*($AN$8-$AL$8)*($AM$8-$AL$8)),$AN$8-SQRT((1-AW194)*($AN$8-$AL$8)*($AN$8-$AM$8))),$AM$8)</f>
        <v/>
      </c>
      <c r="AO194">
        <f>IFERROR(IF(AX194&lt;($AM$9-$AL$9)/($AN$9-$AL$9),$AL$9+SQRT(AX194*($AN$9-$AL$9)*($AM$9-$AL$9)),$AN$9-SQRT((1-AX194)*($AN$9-$AL$9)*($AN$9-$AM$9))),$AM$9)</f>
        <v/>
      </c>
      <c r="AP194">
        <f>IFERROR(IF(AY194&lt;($AM$10-$AL$10)/($AN$10-$AL$10),$AL$10+SQRT(AY194*($AN$10-$AL$10)*($AM$10-$AL$10)),$AN$10-SQRT((1-AY194)*($AN$10-$AL$10)*($AN$10-$AM$10))),$AM$10)</f>
        <v/>
      </c>
      <c r="AQ194">
        <f>IFERROR(IF(AZ194&lt;($AM$11-$AL$11)/($AN$11-$AL$11),$AL$11+SQRT(AZ194*($AN$11-$AL$11)*($AM$11-$AL$11)),$AN$11-SQRT((1-AZ194)*($AN$11-$AL$11)*($AN$11-$AM$11))),$AM$11)</f>
        <v/>
      </c>
      <c r="AR194">
        <f>SUMPRODUCT((B24:B31&lt;=$B$6)*(C24:C31*AM194+D24:D31*AO194*$B$8*AQ194)/(1+AL194/100)^B24:B31)+C32*AM194*AP194/(1+AL194/100)^$B$6</f>
        <v/>
      </c>
      <c r="AS194">
        <f>SUMPRODUCT((K24:K26&lt;=$B$6)*(L24:L26*AN194+M24:M26*AO194*$B$8*AQ194)/(1+AL194/100)^K24:K26)+L27*AN194*AP194/(1+AL194/100)^$B$6</f>
        <v/>
      </c>
      <c r="AT194">
        <f>AS194-AR194</f>
        <v/>
      </c>
      <c r="AU194">
        <f>RAND()</f>
        <v/>
      </c>
      <c r="AV194">
        <f>RAND()</f>
        <v/>
      </c>
      <c r="AW194">
        <f>RAND()</f>
        <v/>
      </c>
      <c r="AX194">
        <f>RAND()</f>
        <v/>
      </c>
      <c r="AY194">
        <f>RAND()</f>
        <v/>
      </c>
      <c r="AZ194">
        <f>RAND()</f>
        <v/>
      </c>
    </row>
    <row r="195">
      <c r="AK195" t="n">
        <v>182</v>
      </c>
      <c r="AL195">
        <f>IFERROR(IF(AU195&lt;($AM$6-$AL$6)/($AN$6-$AL$6),$AL$6+SQRT(AU195*($AN$6-$AL$6)*($AM$6-$AL$6)),$AN$6-SQRT((1-AU195)*($AN$6-$AL$6)*($AN$6-$AM$6))),$AM$6)</f>
        <v/>
      </c>
      <c r="AM195">
        <f>IFERROR(IF(AV195&lt;($AM$7-$AL$7)/($AN$7-$AL$7),$AL$7+SQRT(AV195*($AN$7-$AL$7)*($AM$7-$AL$7)),$AN$7-SQRT((1-AV195)*($AN$7-$AL$7)*($AN$7-$AM$7))),$AM$7)</f>
        <v/>
      </c>
      <c r="AN195">
        <f>IFERROR(IF(AW195&lt;($AM$8-$AL$8)/($AN$8-$AL$8),$AL$8+SQRT(AW195*($AN$8-$AL$8)*($AM$8-$AL$8)),$AN$8-SQRT((1-AW195)*($AN$8-$AL$8)*($AN$8-$AM$8))),$AM$8)</f>
        <v/>
      </c>
      <c r="AO195">
        <f>IFERROR(IF(AX195&lt;($AM$9-$AL$9)/($AN$9-$AL$9),$AL$9+SQRT(AX195*($AN$9-$AL$9)*($AM$9-$AL$9)),$AN$9-SQRT((1-AX195)*($AN$9-$AL$9)*($AN$9-$AM$9))),$AM$9)</f>
        <v/>
      </c>
      <c r="AP195">
        <f>IFERROR(IF(AY195&lt;($AM$10-$AL$10)/($AN$10-$AL$10),$AL$10+SQRT(AY195*($AN$10-$AL$10)*($AM$10-$AL$10)),$AN$10-SQRT((1-AY195)*($AN$10-$AL$10)*($AN$10-$AM$10))),$AM$10)</f>
        <v/>
      </c>
      <c r="AQ195">
        <f>IFERROR(IF(AZ195&lt;($AM$11-$AL$11)/($AN$11-$AL$11),$AL$11+SQRT(AZ195*($AN$11-$AL$11)*($AM$11-$AL$11)),$AN$11-SQRT((1-AZ195)*($AN$11-$AL$11)*($AN$11-$AM$11))),$AM$11)</f>
        <v/>
      </c>
      <c r="AR195">
        <f>SUMPRODUCT((B24:B31&lt;=$B$6)*(C24:C31*AM195+D24:D31*AO195*$B$8*AQ195)/(1+AL195/100)^B24:B31)+C32*AM195*AP195/(1+AL195/100)^$B$6</f>
        <v/>
      </c>
      <c r="AS195">
        <f>SUMPRODUCT((K24:K26&lt;=$B$6)*(L24:L26*AN195+M24:M26*AO195*$B$8*AQ195)/(1+AL195/100)^K24:K26)+L27*AN195*AP195/(1+AL195/100)^$B$6</f>
        <v/>
      </c>
      <c r="AT195">
        <f>AS195-AR195</f>
        <v/>
      </c>
      <c r="AU195">
        <f>RAND()</f>
        <v/>
      </c>
      <c r="AV195">
        <f>RAND()</f>
        <v/>
      </c>
      <c r="AW195">
        <f>RAND()</f>
        <v/>
      </c>
      <c r="AX195">
        <f>RAND()</f>
        <v/>
      </c>
      <c r="AY195">
        <f>RAND()</f>
        <v/>
      </c>
      <c r="AZ195">
        <f>RAND()</f>
        <v/>
      </c>
    </row>
    <row r="196">
      <c r="AK196" t="n">
        <v>183</v>
      </c>
      <c r="AL196">
        <f>IFERROR(IF(AU196&lt;($AM$6-$AL$6)/($AN$6-$AL$6),$AL$6+SQRT(AU196*($AN$6-$AL$6)*($AM$6-$AL$6)),$AN$6-SQRT((1-AU196)*($AN$6-$AL$6)*($AN$6-$AM$6))),$AM$6)</f>
        <v/>
      </c>
      <c r="AM196">
        <f>IFERROR(IF(AV196&lt;($AM$7-$AL$7)/($AN$7-$AL$7),$AL$7+SQRT(AV196*($AN$7-$AL$7)*($AM$7-$AL$7)),$AN$7-SQRT((1-AV196)*($AN$7-$AL$7)*($AN$7-$AM$7))),$AM$7)</f>
        <v/>
      </c>
      <c r="AN196">
        <f>IFERROR(IF(AW196&lt;($AM$8-$AL$8)/($AN$8-$AL$8),$AL$8+SQRT(AW196*($AN$8-$AL$8)*($AM$8-$AL$8)),$AN$8-SQRT((1-AW196)*($AN$8-$AL$8)*($AN$8-$AM$8))),$AM$8)</f>
        <v/>
      </c>
      <c r="AO196">
        <f>IFERROR(IF(AX196&lt;($AM$9-$AL$9)/($AN$9-$AL$9),$AL$9+SQRT(AX196*($AN$9-$AL$9)*($AM$9-$AL$9)),$AN$9-SQRT((1-AX196)*($AN$9-$AL$9)*($AN$9-$AM$9))),$AM$9)</f>
        <v/>
      </c>
      <c r="AP196">
        <f>IFERROR(IF(AY196&lt;($AM$10-$AL$10)/($AN$10-$AL$10),$AL$10+SQRT(AY196*($AN$10-$AL$10)*($AM$10-$AL$10)),$AN$10-SQRT((1-AY196)*($AN$10-$AL$10)*($AN$10-$AM$10))),$AM$10)</f>
        <v/>
      </c>
      <c r="AQ196">
        <f>IFERROR(IF(AZ196&lt;($AM$11-$AL$11)/($AN$11-$AL$11),$AL$11+SQRT(AZ196*($AN$11-$AL$11)*($AM$11-$AL$11)),$AN$11-SQRT((1-AZ196)*($AN$11-$AL$11)*($AN$11-$AM$11))),$AM$11)</f>
        <v/>
      </c>
      <c r="AR196">
        <f>SUMPRODUCT((B24:B31&lt;=$B$6)*(C24:C31*AM196+D24:D31*AO196*$B$8*AQ196)/(1+AL196/100)^B24:B31)+C32*AM196*AP196/(1+AL196/100)^$B$6</f>
        <v/>
      </c>
      <c r="AS196">
        <f>SUMPRODUCT((K24:K26&lt;=$B$6)*(L24:L26*AN196+M24:M26*AO196*$B$8*AQ196)/(1+AL196/100)^K24:K26)+L27*AN196*AP196/(1+AL196/100)^$B$6</f>
        <v/>
      </c>
      <c r="AT196">
        <f>AS196-AR196</f>
        <v/>
      </c>
      <c r="AU196">
        <f>RAND()</f>
        <v/>
      </c>
      <c r="AV196">
        <f>RAND()</f>
        <v/>
      </c>
      <c r="AW196">
        <f>RAND()</f>
        <v/>
      </c>
      <c r="AX196">
        <f>RAND()</f>
        <v/>
      </c>
      <c r="AY196">
        <f>RAND()</f>
        <v/>
      </c>
      <c r="AZ196">
        <f>RAND()</f>
        <v/>
      </c>
    </row>
    <row r="197">
      <c r="AK197" t="n">
        <v>184</v>
      </c>
      <c r="AL197">
        <f>IFERROR(IF(AU197&lt;($AM$6-$AL$6)/($AN$6-$AL$6),$AL$6+SQRT(AU197*($AN$6-$AL$6)*($AM$6-$AL$6)),$AN$6-SQRT((1-AU197)*($AN$6-$AL$6)*($AN$6-$AM$6))),$AM$6)</f>
        <v/>
      </c>
      <c r="AM197">
        <f>IFERROR(IF(AV197&lt;($AM$7-$AL$7)/($AN$7-$AL$7),$AL$7+SQRT(AV197*($AN$7-$AL$7)*($AM$7-$AL$7)),$AN$7-SQRT((1-AV197)*($AN$7-$AL$7)*($AN$7-$AM$7))),$AM$7)</f>
        <v/>
      </c>
      <c r="AN197">
        <f>IFERROR(IF(AW197&lt;($AM$8-$AL$8)/($AN$8-$AL$8),$AL$8+SQRT(AW197*($AN$8-$AL$8)*($AM$8-$AL$8)),$AN$8-SQRT((1-AW197)*($AN$8-$AL$8)*($AN$8-$AM$8))),$AM$8)</f>
        <v/>
      </c>
      <c r="AO197">
        <f>IFERROR(IF(AX197&lt;($AM$9-$AL$9)/($AN$9-$AL$9),$AL$9+SQRT(AX197*($AN$9-$AL$9)*($AM$9-$AL$9)),$AN$9-SQRT((1-AX197)*($AN$9-$AL$9)*($AN$9-$AM$9))),$AM$9)</f>
        <v/>
      </c>
      <c r="AP197">
        <f>IFERROR(IF(AY197&lt;($AM$10-$AL$10)/($AN$10-$AL$10),$AL$10+SQRT(AY197*($AN$10-$AL$10)*($AM$10-$AL$10)),$AN$10-SQRT((1-AY197)*($AN$10-$AL$10)*($AN$10-$AM$10))),$AM$10)</f>
        <v/>
      </c>
      <c r="AQ197">
        <f>IFERROR(IF(AZ197&lt;($AM$11-$AL$11)/($AN$11-$AL$11),$AL$11+SQRT(AZ197*($AN$11-$AL$11)*($AM$11-$AL$11)),$AN$11-SQRT((1-AZ197)*($AN$11-$AL$11)*($AN$11-$AM$11))),$AM$11)</f>
        <v/>
      </c>
      <c r="AR197">
        <f>SUMPRODUCT((B24:B31&lt;=$B$6)*(C24:C31*AM197+D24:D31*AO197*$B$8*AQ197)/(1+AL197/100)^B24:B31)+C32*AM197*AP197/(1+AL197/100)^$B$6</f>
        <v/>
      </c>
      <c r="AS197">
        <f>SUMPRODUCT((K24:K26&lt;=$B$6)*(L24:L26*AN197+M24:M26*AO197*$B$8*AQ197)/(1+AL197/100)^K24:K26)+L27*AN197*AP197/(1+AL197/100)^$B$6</f>
        <v/>
      </c>
      <c r="AT197">
        <f>AS197-AR197</f>
        <v/>
      </c>
      <c r="AU197">
        <f>RAND()</f>
        <v/>
      </c>
      <c r="AV197">
        <f>RAND()</f>
        <v/>
      </c>
      <c r="AW197">
        <f>RAND()</f>
        <v/>
      </c>
      <c r="AX197">
        <f>RAND()</f>
        <v/>
      </c>
      <c r="AY197">
        <f>RAND()</f>
        <v/>
      </c>
      <c r="AZ197">
        <f>RAND()</f>
        <v/>
      </c>
    </row>
    <row r="198">
      <c r="AK198" t="n">
        <v>185</v>
      </c>
      <c r="AL198">
        <f>IFERROR(IF(AU198&lt;($AM$6-$AL$6)/($AN$6-$AL$6),$AL$6+SQRT(AU198*($AN$6-$AL$6)*($AM$6-$AL$6)),$AN$6-SQRT((1-AU198)*($AN$6-$AL$6)*($AN$6-$AM$6))),$AM$6)</f>
        <v/>
      </c>
      <c r="AM198">
        <f>IFERROR(IF(AV198&lt;($AM$7-$AL$7)/($AN$7-$AL$7),$AL$7+SQRT(AV198*($AN$7-$AL$7)*($AM$7-$AL$7)),$AN$7-SQRT((1-AV198)*($AN$7-$AL$7)*($AN$7-$AM$7))),$AM$7)</f>
        <v/>
      </c>
      <c r="AN198">
        <f>IFERROR(IF(AW198&lt;($AM$8-$AL$8)/($AN$8-$AL$8),$AL$8+SQRT(AW198*($AN$8-$AL$8)*($AM$8-$AL$8)),$AN$8-SQRT((1-AW198)*($AN$8-$AL$8)*($AN$8-$AM$8))),$AM$8)</f>
        <v/>
      </c>
      <c r="AO198">
        <f>IFERROR(IF(AX198&lt;($AM$9-$AL$9)/($AN$9-$AL$9),$AL$9+SQRT(AX198*($AN$9-$AL$9)*($AM$9-$AL$9)),$AN$9-SQRT((1-AX198)*($AN$9-$AL$9)*($AN$9-$AM$9))),$AM$9)</f>
        <v/>
      </c>
      <c r="AP198">
        <f>IFERROR(IF(AY198&lt;($AM$10-$AL$10)/($AN$10-$AL$10),$AL$10+SQRT(AY198*($AN$10-$AL$10)*($AM$10-$AL$10)),$AN$10-SQRT((1-AY198)*($AN$10-$AL$10)*($AN$10-$AM$10))),$AM$10)</f>
        <v/>
      </c>
      <c r="AQ198">
        <f>IFERROR(IF(AZ198&lt;($AM$11-$AL$11)/($AN$11-$AL$11),$AL$11+SQRT(AZ198*($AN$11-$AL$11)*($AM$11-$AL$11)),$AN$11-SQRT((1-AZ198)*($AN$11-$AL$11)*($AN$11-$AM$11))),$AM$11)</f>
        <v/>
      </c>
      <c r="AR198">
        <f>SUMPRODUCT((B24:B31&lt;=$B$6)*(C24:C31*AM198+D24:D31*AO198*$B$8*AQ198)/(1+AL198/100)^B24:B31)+C32*AM198*AP198/(1+AL198/100)^$B$6</f>
        <v/>
      </c>
      <c r="AS198">
        <f>SUMPRODUCT((K24:K26&lt;=$B$6)*(L24:L26*AN198+M24:M26*AO198*$B$8*AQ198)/(1+AL198/100)^K24:K26)+L27*AN198*AP198/(1+AL198/100)^$B$6</f>
        <v/>
      </c>
      <c r="AT198">
        <f>AS198-AR198</f>
        <v/>
      </c>
      <c r="AU198">
        <f>RAND()</f>
        <v/>
      </c>
      <c r="AV198">
        <f>RAND()</f>
        <v/>
      </c>
      <c r="AW198">
        <f>RAND()</f>
        <v/>
      </c>
      <c r="AX198">
        <f>RAND()</f>
        <v/>
      </c>
      <c r="AY198">
        <f>RAND()</f>
        <v/>
      </c>
      <c r="AZ198">
        <f>RAND()</f>
        <v/>
      </c>
    </row>
    <row r="199">
      <c r="AK199" t="n">
        <v>186</v>
      </c>
      <c r="AL199">
        <f>IFERROR(IF(AU199&lt;($AM$6-$AL$6)/($AN$6-$AL$6),$AL$6+SQRT(AU199*($AN$6-$AL$6)*($AM$6-$AL$6)),$AN$6-SQRT((1-AU199)*($AN$6-$AL$6)*($AN$6-$AM$6))),$AM$6)</f>
        <v/>
      </c>
      <c r="AM199">
        <f>IFERROR(IF(AV199&lt;($AM$7-$AL$7)/($AN$7-$AL$7),$AL$7+SQRT(AV199*($AN$7-$AL$7)*($AM$7-$AL$7)),$AN$7-SQRT((1-AV199)*($AN$7-$AL$7)*($AN$7-$AM$7))),$AM$7)</f>
        <v/>
      </c>
      <c r="AN199">
        <f>IFERROR(IF(AW199&lt;($AM$8-$AL$8)/($AN$8-$AL$8),$AL$8+SQRT(AW199*($AN$8-$AL$8)*($AM$8-$AL$8)),$AN$8-SQRT((1-AW199)*($AN$8-$AL$8)*($AN$8-$AM$8))),$AM$8)</f>
        <v/>
      </c>
      <c r="AO199">
        <f>IFERROR(IF(AX199&lt;($AM$9-$AL$9)/($AN$9-$AL$9),$AL$9+SQRT(AX199*($AN$9-$AL$9)*($AM$9-$AL$9)),$AN$9-SQRT((1-AX199)*($AN$9-$AL$9)*($AN$9-$AM$9))),$AM$9)</f>
        <v/>
      </c>
      <c r="AP199">
        <f>IFERROR(IF(AY199&lt;($AM$10-$AL$10)/($AN$10-$AL$10),$AL$10+SQRT(AY199*($AN$10-$AL$10)*($AM$10-$AL$10)),$AN$10-SQRT((1-AY199)*($AN$10-$AL$10)*($AN$10-$AM$10))),$AM$10)</f>
        <v/>
      </c>
      <c r="AQ199">
        <f>IFERROR(IF(AZ199&lt;($AM$11-$AL$11)/($AN$11-$AL$11),$AL$11+SQRT(AZ199*($AN$11-$AL$11)*($AM$11-$AL$11)),$AN$11-SQRT((1-AZ199)*($AN$11-$AL$11)*($AN$11-$AM$11))),$AM$11)</f>
        <v/>
      </c>
      <c r="AR199">
        <f>SUMPRODUCT((B24:B31&lt;=$B$6)*(C24:C31*AM199+D24:D31*AO199*$B$8*AQ199)/(1+AL199/100)^B24:B31)+C32*AM199*AP199/(1+AL199/100)^$B$6</f>
        <v/>
      </c>
      <c r="AS199">
        <f>SUMPRODUCT((K24:K26&lt;=$B$6)*(L24:L26*AN199+M24:M26*AO199*$B$8*AQ199)/(1+AL199/100)^K24:K26)+L27*AN199*AP199/(1+AL199/100)^$B$6</f>
        <v/>
      </c>
      <c r="AT199">
        <f>AS199-AR199</f>
        <v/>
      </c>
      <c r="AU199">
        <f>RAND()</f>
        <v/>
      </c>
      <c r="AV199">
        <f>RAND()</f>
        <v/>
      </c>
      <c r="AW199">
        <f>RAND()</f>
        <v/>
      </c>
      <c r="AX199">
        <f>RAND()</f>
        <v/>
      </c>
      <c r="AY199">
        <f>RAND()</f>
        <v/>
      </c>
      <c r="AZ199">
        <f>RAND()</f>
        <v/>
      </c>
    </row>
    <row r="200">
      <c r="AK200" t="n">
        <v>187</v>
      </c>
      <c r="AL200">
        <f>IFERROR(IF(AU200&lt;($AM$6-$AL$6)/($AN$6-$AL$6),$AL$6+SQRT(AU200*($AN$6-$AL$6)*($AM$6-$AL$6)),$AN$6-SQRT((1-AU200)*($AN$6-$AL$6)*($AN$6-$AM$6))),$AM$6)</f>
        <v/>
      </c>
      <c r="AM200">
        <f>IFERROR(IF(AV200&lt;($AM$7-$AL$7)/($AN$7-$AL$7),$AL$7+SQRT(AV200*($AN$7-$AL$7)*($AM$7-$AL$7)),$AN$7-SQRT((1-AV200)*($AN$7-$AL$7)*($AN$7-$AM$7))),$AM$7)</f>
        <v/>
      </c>
      <c r="AN200">
        <f>IFERROR(IF(AW200&lt;($AM$8-$AL$8)/($AN$8-$AL$8),$AL$8+SQRT(AW200*($AN$8-$AL$8)*($AM$8-$AL$8)),$AN$8-SQRT((1-AW200)*($AN$8-$AL$8)*($AN$8-$AM$8))),$AM$8)</f>
        <v/>
      </c>
      <c r="AO200">
        <f>IFERROR(IF(AX200&lt;($AM$9-$AL$9)/($AN$9-$AL$9),$AL$9+SQRT(AX200*($AN$9-$AL$9)*($AM$9-$AL$9)),$AN$9-SQRT((1-AX200)*($AN$9-$AL$9)*($AN$9-$AM$9))),$AM$9)</f>
        <v/>
      </c>
      <c r="AP200">
        <f>IFERROR(IF(AY200&lt;($AM$10-$AL$10)/($AN$10-$AL$10),$AL$10+SQRT(AY200*($AN$10-$AL$10)*($AM$10-$AL$10)),$AN$10-SQRT((1-AY200)*($AN$10-$AL$10)*($AN$10-$AM$10))),$AM$10)</f>
        <v/>
      </c>
      <c r="AQ200">
        <f>IFERROR(IF(AZ200&lt;($AM$11-$AL$11)/($AN$11-$AL$11),$AL$11+SQRT(AZ200*($AN$11-$AL$11)*($AM$11-$AL$11)),$AN$11-SQRT((1-AZ200)*($AN$11-$AL$11)*($AN$11-$AM$11))),$AM$11)</f>
        <v/>
      </c>
      <c r="AR200">
        <f>SUMPRODUCT((B24:B31&lt;=$B$6)*(C24:C31*AM200+D24:D31*AO200*$B$8*AQ200)/(1+AL200/100)^B24:B31)+C32*AM200*AP200/(1+AL200/100)^$B$6</f>
        <v/>
      </c>
      <c r="AS200">
        <f>SUMPRODUCT((K24:K26&lt;=$B$6)*(L24:L26*AN200+M24:M26*AO200*$B$8*AQ200)/(1+AL200/100)^K24:K26)+L27*AN200*AP200/(1+AL200/100)^$B$6</f>
        <v/>
      </c>
      <c r="AT200">
        <f>AS200-AR200</f>
        <v/>
      </c>
      <c r="AU200">
        <f>RAND()</f>
        <v/>
      </c>
      <c r="AV200">
        <f>RAND()</f>
        <v/>
      </c>
      <c r="AW200">
        <f>RAND()</f>
        <v/>
      </c>
      <c r="AX200">
        <f>RAND()</f>
        <v/>
      </c>
      <c r="AY200">
        <f>RAND()</f>
        <v/>
      </c>
      <c r="AZ200">
        <f>RAND()</f>
        <v/>
      </c>
    </row>
    <row r="201">
      <c r="AK201" t="n">
        <v>188</v>
      </c>
      <c r="AL201">
        <f>IFERROR(IF(AU201&lt;($AM$6-$AL$6)/($AN$6-$AL$6),$AL$6+SQRT(AU201*($AN$6-$AL$6)*($AM$6-$AL$6)),$AN$6-SQRT((1-AU201)*($AN$6-$AL$6)*($AN$6-$AM$6))),$AM$6)</f>
        <v/>
      </c>
      <c r="AM201">
        <f>IFERROR(IF(AV201&lt;($AM$7-$AL$7)/($AN$7-$AL$7),$AL$7+SQRT(AV201*($AN$7-$AL$7)*($AM$7-$AL$7)),$AN$7-SQRT((1-AV201)*($AN$7-$AL$7)*($AN$7-$AM$7))),$AM$7)</f>
        <v/>
      </c>
      <c r="AN201">
        <f>IFERROR(IF(AW201&lt;($AM$8-$AL$8)/($AN$8-$AL$8),$AL$8+SQRT(AW201*($AN$8-$AL$8)*($AM$8-$AL$8)),$AN$8-SQRT((1-AW201)*($AN$8-$AL$8)*($AN$8-$AM$8))),$AM$8)</f>
        <v/>
      </c>
      <c r="AO201">
        <f>IFERROR(IF(AX201&lt;($AM$9-$AL$9)/($AN$9-$AL$9),$AL$9+SQRT(AX201*($AN$9-$AL$9)*($AM$9-$AL$9)),$AN$9-SQRT((1-AX201)*($AN$9-$AL$9)*($AN$9-$AM$9))),$AM$9)</f>
        <v/>
      </c>
      <c r="AP201">
        <f>IFERROR(IF(AY201&lt;($AM$10-$AL$10)/($AN$10-$AL$10),$AL$10+SQRT(AY201*($AN$10-$AL$10)*($AM$10-$AL$10)),$AN$10-SQRT((1-AY201)*($AN$10-$AL$10)*($AN$10-$AM$10))),$AM$10)</f>
        <v/>
      </c>
      <c r="AQ201">
        <f>IFERROR(IF(AZ201&lt;($AM$11-$AL$11)/($AN$11-$AL$11),$AL$11+SQRT(AZ201*($AN$11-$AL$11)*($AM$11-$AL$11)),$AN$11-SQRT((1-AZ201)*($AN$11-$AL$11)*($AN$11-$AM$11))),$AM$11)</f>
        <v/>
      </c>
      <c r="AR201">
        <f>SUMPRODUCT((B24:B31&lt;=$B$6)*(C24:C31*AM201+D24:D31*AO201*$B$8*AQ201)/(1+AL201/100)^B24:B31)+C32*AM201*AP201/(1+AL201/100)^$B$6</f>
        <v/>
      </c>
      <c r="AS201">
        <f>SUMPRODUCT((K24:K26&lt;=$B$6)*(L24:L26*AN201+M24:M26*AO201*$B$8*AQ201)/(1+AL201/100)^K24:K26)+L27*AN201*AP201/(1+AL201/100)^$B$6</f>
        <v/>
      </c>
      <c r="AT201">
        <f>AS201-AR201</f>
        <v/>
      </c>
      <c r="AU201">
        <f>RAND()</f>
        <v/>
      </c>
      <c r="AV201">
        <f>RAND()</f>
        <v/>
      </c>
      <c r="AW201">
        <f>RAND()</f>
        <v/>
      </c>
      <c r="AX201">
        <f>RAND()</f>
        <v/>
      </c>
      <c r="AY201">
        <f>RAND()</f>
        <v/>
      </c>
      <c r="AZ201">
        <f>RAND()</f>
        <v/>
      </c>
    </row>
    <row r="202">
      <c r="AK202" t="n">
        <v>189</v>
      </c>
      <c r="AL202">
        <f>IFERROR(IF(AU202&lt;($AM$6-$AL$6)/($AN$6-$AL$6),$AL$6+SQRT(AU202*($AN$6-$AL$6)*($AM$6-$AL$6)),$AN$6-SQRT((1-AU202)*($AN$6-$AL$6)*($AN$6-$AM$6))),$AM$6)</f>
        <v/>
      </c>
      <c r="AM202">
        <f>IFERROR(IF(AV202&lt;($AM$7-$AL$7)/($AN$7-$AL$7),$AL$7+SQRT(AV202*($AN$7-$AL$7)*($AM$7-$AL$7)),$AN$7-SQRT((1-AV202)*($AN$7-$AL$7)*($AN$7-$AM$7))),$AM$7)</f>
        <v/>
      </c>
      <c r="AN202">
        <f>IFERROR(IF(AW202&lt;($AM$8-$AL$8)/($AN$8-$AL$8),$AL$8+SQRT(AW202*($AN$8-$AL$8)*($AM$8-$AL$8)),$AN$8-SQRT((1-AW202)*($AN$8-$AL$8)*($AN$8-$AM$8))),$AM$8)</f>
        <v/>
      </c>
      <c r="AO202">
        <f>IFERROR(IF(AX202&lt;($AM$9-$AL$9)/($AN$9-$AL$9),$AL$9+SQRT(AX202*($AN$9-$AL$9)*($AM$9-$AL$9)),$AN$9-SQRT((1-AX202)*($AN$9-$AL$9)*($AN$9-$AM$9))),$AM$9)</f>
        <v/>
      </c>
      <c r="AP202">
        <f>IFERROR(IF(AY202&lt;($AM$10-$AL$10)/($AN$10-$AL$10),$AL$10+SQRT(AY202*($AN$10-$AL$10)*($AM$10-$AL$10)),$AN$10-SQRT((1-AY202)*($AN$10-$AL$10)*($AN$10-$AM$10))),$AM$10)</f>
        <v/>
      </c>
      <c r="AQ202">
        <f>IFERROR(IF(AZ202&lt;($AM$11-$AL$11)/($AN$11-$AL$11),$AL$11+SQRT(AZ202*($AN$11-$AL$11)*($AM$11-$AL$11)),$AN$11-SQRT((1-AZ202)*($AN$11-$AL$11)*($AN$11-$AM$11))),$AM$11)</f>
        <v/>
      </c>
      <c r="AR202">
        <f>SUMPRODUCT((B24:B31&lt;=$B$6)*(C24:C31*AM202+D24:D31*AO202*$B$8*AQ202)/(1+AL202/100)^B24:B31)+C32*AM202*AP202/(1+AL202/100)^$B$6</f>
        <v/>
      </c>
      <c r="AS202">
        <f>SUMPRODUCT((K24:K26&lt;=$B$6)*(L24:L26*AN202+M24:M26*AO202*$B$8*AQ202)/(1+AL202/100)^K24:K26)+L27*AN202*AP202/(1+AL202/100)^$B$6</f>
        <v/>
      </c>
      <c r="AT202">
        <f>AS202-AR202</f>
        <v/>
      </c>
      <c r="AU202">
        <f>RAND()</f>
        <v/>
      </c>
      <c r="AV202">
        <f>RAND()</f>
        <v/>
      </c>
      <c r="AW202">
        <f>RAND()</f>
        <v/>
      </c>
      <c r="AX202">
        <f>RAND()</f>
        <v/>
      </c>
      <c r="AY202">
        <f>RAND()</f>
        <v/>
      </c>
      <c r="AZ202">
        <f>RAND()</f>
        <v/>
      </c>
    </row>
    <row r="203">
      <c r="AK203" t="n">
        <v>190</v>
      </c>
      <c r="AL203">
        <f>IFERROR(IF(AU203&lt;($AM$6-$AL$6)/($AN$6-$AL$6),$AL$6+SQRT(AU203*($AN$6-$AL$6)*($AM$6-$AL$6)),$AN$6-SQRT((1-AU203)*($AN$6-$AL$6)*($AN$6-$AM$6))),$AM$6)</f>
        <v/>
      </c>
      <c r="AM203">
        <f>IFERROR(IF(AV203&lt;($AM$7-$AL$7)/($AN$7-$AL$7),$AL$7+SQRT(AV203*($AN$7-$AL$7)*($AM$7-$AL$7)),$AN$7-SQRT((1-AV203)*($AN$7-$AL$7)*($AN$7-$AM$7))),$AM$7)</f>
        <v/>
      </c>
      <c r="AN203">
        <f>IFERROR(IF(AW203&lt;($AM$8-$AL$8)/($AN$8-$AL$8),$AL$8+SQRT(AW203*($AN$8-$AL$8)*($AM$8-$AL$8)),$AN$8-SQRT((1-AW203)*($AN$8-$AL$8)*($AN$8-$AM$8))),$AM$8)</f>
        <v/>
      </c>
      <c r="AO203">
        <f>IFERROR(IF(AX203&lt;($AM$9-$AL$9)/($AN$9-$AL$9),$AL$9+SQRT(AX203*($AN$9-$AL$9)*($AM$9-$AL$9)),$AN$9-SQRT((1-AX203)*($AN$9-$AL$9)*($AN$9-$AM$9))),$AM$9)</f>
        <v/>
      </c>
      <c r="AP203">
        <f>IFERROR(IF(AY203&lt;($AM$10-$AL$10)/($AN$10-$AL$10),$AL$10+SQRT(AY203*($AN$10-$AL$10)*($AM$10-$AL$10)),$AN$10-SQRT((1-AY203)*($AN$10-$AL$10)*($AN$10-$AM$10))),$AM$10)</f>
        <v/>
      </c>
      <c r="AQ203">
        <f>IFERROR(IF(AZ203&lt;($AM$11-$AL$11)/($AN$11-$AL$11),$AL$11+SQRT(AZ203*($AN$11-$AL$11)*($AM$11-$AL$11)),$AN$11-SQRT((1-AZ203)*($AN$11-$AL$11)*($AN$11-$AM$11))),$AM$11)</f>
        <v/>
      </c>
      <c r="AR203">
        <f>SUMPRODUCT((B24:B31&lt;=$B$6)*(C24:C31*AM203+D24:D31*AO203*$B$8*AQ203)/(1+AL203/100)^B24:B31)+C32*AM203*AP203/(1+AL203/100)^$B$6</f>
        <v/>
      </c>
      <c r="AS203">
        <f>SUMPRODUCT((K24:K26&lt;=$B$6)*(L24:L26*AN203+M24:M26*AO203*$B$8*AQ203)/(1+AL203/100)^K24:K26)+L27*AN203*AP203/(1+AL203/100)^$B$6</f>
        <v/>
      </c>
      <c r="AT203">
        <f>AS203-AR203</f>
        <v/>
      </c>
      <c r="AU203">
        <f>RAND()</f>
        <v/>
      </c>
      <c r="AV203">
        <f>RAND()</f>
        <v/>
      </c>
      <c r="AW203">
        <f>RAND()</f>
        <v/>
      </c>
      <c r="AX203">
        <f>RAND()</f>
        <v/>
      </c>
      <c r="AY203">
        <f>RAND()</f>
        <v/>
      </c>
      <c r="AZ203">
        <f>RAND()</f>
        <v/>
      </c>
    </row>
    <row r="204">
      <c r="AK204" t="n">
        <v>191</v>
      </c>
      <c r="AL204">
        <f>IFERROR(IF(AU204&lt;($AM$6-$AL$6)/($AN$6-$AL$6),$AL$6+SQRT(AU204*($AN$6-$AL$6)*($AM$6-$AL$6)),$AN$6-SQRT((1-AU204)*($AN$6-$AL$6)*($AN$6-$AM$6))),$AM$6)</f>
        <v/>
      </c>
      <c r="AM204">
        <f>IFERROR(IF(AV204&lt;($AM$7-$AL$7)/($AN$7-$AL$7),$AL$7+SQRT(AV204*($AN$7-$AL$7)*($AM$7-$AL$7)),$AN$7-SQRT((1-AV204)*($AN$7-$AL$7)*($AN$7-$AM$7))),$AM$7)</f>
        <v/>
      </c>
      <c r="AN204">
        <f>IFERROR(IF(AW204&lt;($AM$8-$AL$8)/($AN$8-$AL$8),$AL$8+SQRT(AW204*($AN$8-$AL$8)*($AM$8-$AL$8)),$AN$8-SQRT((1-AW204)*($AN$8-$AL$8)*($AN$8-$AM$8))),$AM$8)</f>
        <v/>
      </c>
      <c r="AO204">
        <f>IFERROR(IF(AX204&lt;($AM$9-$AL$9)/($AN$9-$AL$9),$AL$9+SQRT(AX204*($AN$9-$AL$9)*($AM$9-$AL$9)),$AN$9-SQRT((1-AX204)*($AN$9-$AL$9)*($AN$9-$AM$9))),$AM$9)</f>
        <v/>
      </c>
      <c r="AP204">
        <f>IFERROR(IF(AY204&lt;($AM$10-$AL$10)/($AN$10-$AL$10),$AL$10+SQRT(AY204*($AN$10-$AL$10)*($AM$10-$AL$10)),$AN$10-SQRT((1-AY204)*($AN$10-$AL$10)*($AN$10-$AM$10))),$AM$10)</f>
        <v/>
      </c>
      <c r="AQ204">
        <f>IFERROR(IF(AZ204&lt;($AM$11-$AL$11)/($AN$11-$AL$11),$AL$11+SQRT(AZ204*($AN$11-$AL$11)*($AM$11-$AL$11)),$AN$11-SQRT((1-AZ204)*($AN$11-$AL$11)*($AN$11-$AM$11))),$AM$11)</f>
        <v/>
      </c>
      <c r="AR204">
        <f>SUMPRODUCT((B24:B31&lt;=$B$6)*(C24:C31*AM204+D24:D31*AO204*$B$8*AQ204)/(1+AL204/100)^B24:B31)+C32*AM204*AP204/(1+AL204/100)^$B$6</f>
        <v/>
      </c>
      <c r="AS204">
        <f>SUMPRODUCT((K24:K26&lt;=$B$6)*(L24:L26*AN204+M24:M26*AO204*$B$8*AQ204)/(1+AL204/100)^K24:K26)+L27*AN204*AP204/(1+AL204/100)^$B$6</f>
        <v/>
      </c>
      <c r="AT204">
        <f>AS204-AR204</f>
        <v/>
      </c>
      <c r="AU204">
        <f>RAND()</f>
        <v/>
      </c>
      <c r="AV204">
        <f>RAND()</f>
        <v/>
      </c>
      <c r="AW204">
        <f>RAND()</f>
        <v/>
      </c>
      <c r="AX204">
        <f>RAND()</f>
        <v/>
      </c>
      <c r="AY204">
        <f>RAND()</f>
        <v/>
      </c>
      <c r="AZ204">
        <f>RAND()</f>
        <v/>
      </c>
    </row>
    <row r="205">
      <c r="AK205" t="n">
        <v>192</v>
      </c>
      <c r="AL205">
        <f>IFERROR(IF(AU205&lt;($AM$6-$AL$6)/($AN$6-$AL$6),$AL$6+SQRT(AU205*($AN$6-$AL$6)*($AM$6-$AL$6)),$AN$6-SQRT((1-AU205)*($AN$6-$AL$6)*($AN$6-$AM$6))),$AM$6)</f>
        <v/>
      </c>
      <c r="AM205">
        <f>IFERROR(IF(AV205&lt;($AM$7-$AL$7)/($AN$7-$AL$7),$AL$7+SQRT(AV205*($AN$7-$AL$7)*($AM$7-$AL$7)),$AN$7-SQRT((1-AV205)*($AN$7-$AL$7)*($AN$7-$AM$7))),$AM$7)</f>
        <v/>
      </c>
      <c r="AN205">
        <f>IFERROR(IF(AW205&lt;($AM$8-$AL$8)/($AN$8-$AL$8),$AL$8+SQRT(AW205*($AN$8-$AL$8)*($AM$8-$AL$8)),$AN$8-SQRT((1-AW205)*($AN$8-$AL$8)*($AN$8-$AM$8))),$AM$8)</f>
        <v/>
      </c>
      <c r="AO205">
        <f>IFERROR(IF(AX205&lt;($AM$9-$AL$9)/($AN$9-$AL$9),$AL$9+SQRT(AX205*($AN$9-$AL$9)*($AM$9-$AL$9)),$AN$9-SQRT((1-AX205)*($AN$9-$AL$9)*($AN$9-$AM$9))),$AM$9)</f>
        <v/>
      </c>
      <c r="AP205">
        <f>IFERROR(IF(AY205&lt;($AM$10-$AL$10)/($AN$10-$AL$10),$AL$10+SQRT(AY205*($AN$10-$AL$10)*($AM$10-$AL$10)),$AN$10-SQRT((1-AY205)*($AN$10-$AL$10)*($AN$10-$AM$10))),$AM$10)</f>
        <v/>
      </c>
      <c r="AQ205">
        <f>IFERROR(IF(AZ205&lt;($AM$11-$AL$11)/($AN$11-$AL$11),$AL$11+SQRT(AZ205*($AN$11-$AL$11)*($AM$11-$AL$11)),$AN$11-SQRT((1-AZ205)*($AN$11-$AL$11)*($AN$11-$AM$11))),$AM$11)</f>
        <v/>
      </c>
      <c r="AR205">
        <f>SUMPRODUCT((B24:B31&lt;=$B$6)*(C24:C31*AM205+D24:D31*AO205*$B$8*AQ205)/(1+AL205/100)^B24:B31)+C32*AM205*AP205/(1+AL205/100)^$B$6</f>
        <v/>
      </c>
      <c r="AS205">
        <f>SUMPRODUCT((K24:K26&lt;=$B$6)*(L24:L26*AN205+M24:M26*AO205*$B$8*AQ205)/(1+AL205/100)^K24:K26)+L27*AN205*AP205/(1+AL205/100)^$B$6</f>
        <v/>
      </c>
      <c r="AT205">
        <f>AS205-AR205</f>
        <v/>
      </c>
      <c r="AU205">
        <f>RAND()</f>
        <v/>
      </c>
      <c r="AV205">
        <f>RAND()</f>
        <v/>
      </c>
      <c r="AW205">
        <f>RAND()</f>
        <v/>
      </c>
      <c r="AX205">
        <f>RAND()</f>
        <v/>
      </c>
      <c r="AY205">
        <f>RAND()</f>
        <v/>
      </c>
      <c r="AZ205">
        <f>RAND()</f>
        <v/>
      </c>
    </row>
    <row r="206">
      <c r="AK206" t="n">
        <v>193</v>
      </c>
      <c r="AL206">
        <f>IFERROR(IF(AU206&lt;($AM$6-$AL$6)/($AN$6-$AL$6),$AL$6+SQRT(AU206*($AN$6-$AL$6)*($AM$6-$AL$6)),$AN$6-SQRT((1-AU206)*($AN$6-$AL$6)*($AN$6-$AM$6))),$AM$6)</f>
        <v/>
      </c>
      <c r="AM206">
        <f>IFERROR(IF(AV206&lt;($AM$7-$AL$7)/($AN$7-$AL$7),$AL$7+SQRT(AV206*($AN$7-$AL$7)*($AM$7-$AL$7)),$AN$7-SQRT((1-AV206)*($AN$7-$AL$7)*($AN$7-$AM$7))),$AM$7)</f>
        <v/>
      </c>
      <c r="AN206">
        <f>IFERROR(IF(AW206&lt;($AM$8-$AL$8)/($AN$8-$AL$8),$AL$8+SQRT(AW206*($AN$8-$AL$8)*($AM$8-$AL$8)),$AN$8-SQRT((1-AW206)*($AN$8-$AL$8)*($AN$8-$AM$8))),$AM$8)</f>
        <v/>
      </c>
      <c r="AO206">
        <f>IFERROR(IF(AX206&lt;($AM$9-$AL$9)/($AN$9-$AL$9),$AL$9+SQRT(AX206*($AN$9-$AL$9)*($AM$9-$AL$9)),$AN$9-SQRT((1-AX206)*($AN$9-$AL$9)*($AN$9-$AM$9))),$AM$9)</f>
        <v/>
      </c>
      <c r="AP206">
        <f>IFERROR(IF(AY206&lt;($AM$10-$AL$10)/($AN$10-$AL$10),$AL$10+SQRT(AY206*($AN$10-$AL$10)*($AM$10-$AL$10)),$AN$10-SQRT((1-AY206)*($AN$10-$AL$10)*($AN$10-$AM$10))),$AM$10)</f>
        <v/>
      </c>
      <c r="AQ206">
        <f>IFERROR(IF(AZ206&lt;($AM$11-$AL$11)/($AN$11-$AL$11),$AL$11+SQRT(AZ206*($AN$11-$AL$11)*($AM$11-$AL$11)),$AN$11-SQRT((1-AZ206)*($AN$11-$AL$11)*($AN$11-$AM$11))),$AM$11)</f>
        <v/>
      </c>
      <c r="AR206">
        <f>SUMPRODUCT((B24:B31&lt;=$B$6)*(C24:C31*AM206+D24:D31*AO206*$B$8*AQ206)/(1+AL206/100)^B24:B31)+C32*AM206*AP206/(1+AL206/100)^$B$6</f>
        <v/>
      </c>
      <c r="AS206">
        <f>SUMPRODUCT((K24:K26&lt;=$B$6)*(L24:L26*AN206+M24:M26*AO206*$B$8*AQ206)/(1+AL206/100)^K24:K26)+L27*AN206*AP206/(1+AL206/100)^$B$6</f>
        <v/>
      </c>
      <c r="AT206">
        <f>AS206-AR206</f>
        <v/>
      </c>
      <c r="AU206">
        <f>RAND()</f>
        <v/>
      </c>
      <c r="AV206">
        <f>RAND()</f>
        <v/>
      </c>
      <c r="AW206">
        <f>RAND()</f>
        <v/>
      </c>
      <c r="AX206">
        <f>RAND()</f>
        <v/>
      </c>
      <c r="AY206">
        <f>RAND()</f>
        <v/>
      </c>
      <c r="AZ206">
        <f>RAND()</f>
        <v/>
      </c>
    </row>
    <row r="207">
      <c r="AK207" t="n">
        <v>194</v>
      </c>
      <c r="AL207">
        <f>IFERROR(IF(AU207&lt;($AM$6-$AL$6)/($AN$6-$AL$6),$AL$6+SQRT(AU207*($AN$6-$AL$6)*($AM$6-$AL$6)),$AN$6-SQRT((1-AU207)*($AN$6-$AL$6)*($AN$6-$AM$6))),$AM$6)</f>
        <v/>
      </c>
      <c r="AM207">
        <f>IFERROR(IF(AV207&lt;($AM$7-$AL$7)/($AN$7-$AL$7),$AL$7+SQRT(AV207*($AN$7-$AL$7)*($AM$7-$AL$7)),$AN$7-SQRT((1-AV207)*($AN$7-$AL$7)*($AN$7-$AM$7))),$AM$7)</f>
        <v/>
      </c>
      <c r="AN207">
        <f>IFERROR(IF(AW207&lt;($AM$8-$AL$8)/($AN$8-$AL$8),$AL$8+SQRT(AW207*($AN$8-$AL$8)*($AM$8-$AL$8)),$AN$8-SQRT((1-AW207)*($AN$8-$AL$8)*($AN$8-$AM$8))),$AM$8)</f>
        <v/>
      </c>
      <c r="AO207">
        <f>IFERROR(IF(AX207&lt;($AM$9-$AL$9)/($AN$9-$AL$9),$AL$9+SQRT(AX207*($AN$9-$AL$9)*($AM$9-$AL$9)),$AN$9-SQRT((1-AX207)*($AN$9-$AL$9)*($AN$9-$AM$9))),$AM$9)</f>
        <v/>
      </c>
      <c r="AP207">
        <f>IFERROR(IF(AY207&lt;($AM$10-$AL$10)/($AN$10-$AL$10),$AL$10+SQRT(AY207*($AN$10-$AL$10)*($AM$10-$AL$10)),$AN$10-SQRT((1-AY207)*($AN$10-$AL$10)*($AN$10-$AM$10))),$AM$10)</f>
        <v/>
      </c>
      <c r="AQ207">
        <f>IFERROR(IF(AZ207&lt;($AM$11-$AL$11)/($AN$11-$AL$11),$AL$11+SQRT(AZ207*($AN$11-$AL$11)*($AM$11-$AL$11)),$AN$11-SQRT((1-AZ207)*($AN$11-$AL$11)*($AN$11-$AM$11))),$AM$11)</f>
        <v/>
      </c>
      <c r="AR207">
        <f>SUMPRODUCT((B24:B31&lt;=$B$6)*(C24:C31*AM207+D24:D31*AO207*$B$8*AQ207)/(1+AL207/100)^B24:B31)+C32*AM207*AP207/(1+AL207/100)^$B$6</f>
        <v/>
      </c>
      <c r="AS207">
        <f>SUMPRODUCT((K24:K26&lt;=$B$6)*(L24:L26*AN207+M24:M26*AO207*$B$8*AQ207)/(1+AL207/100)^K24:K26)+L27*AN207*AP207/(1+AL207/100)^$B$6</f>
        <v/>
      </c>
      <c r="AT207">
        <f>AS207-AR207</f>
        <v/>
      </c>
      <c r="AU207">
        <f>RAND()</f>
        <v/>
      </c>
      <c r="AV207">
        <f>RAND()</f>
        <v/>
      </c>
      <c r="AW207">
        <f>RAND()</f>
        <v/>
      </c>
      <c r="AX207">
        <f>RAND()</f>
        <v/>
      </c>
      <c r="AY207">
        <f>RAND()</f>
        <v/>
      </c>
      <c r="AZ207">
        <f>RAND()</f>
        <v/>
      </c>
    </row>
    <row r="208">
      <c r="AK208" t="n">
        <v>195</v>
      </c>
      <c r="AL208">
        <f>IFERROR(IF(AU208&lt;($AM$6-$AL$6)/($AN$6-$AL$6),$AL$6+SQRT(AU208*($AN$6-$AL$6)*($AM$6-$AL$6)),$AN$6-SQRT((1-AU208)*($AN$6-$AL$6)*($AN$6-$AM$6))),$AM$6)</f>
        <v/>
      </c>
      <c r="AM208">
        <f>IFERROR(IF(AV208&lt;($AM$7-$AL$7)/($AN$7-$AL$7),$AL$7+SQRT(AV208*($AN$7-$AL$7)*($AM$7-$AL$7)),$AN$7-SQRT((1-AV208)*($AN$7-$AL$7)*($AN$7-$AM$7))),$AM$7)</f>
        <v/>
      </c>
      <c r="AN208">
        <f>IFERROR(IF(AW208&lt;($AM$8-$AL$8)/($AN$8-$AL$8),$AL$8+SQRT(AW208*($AN$8-$AL$8)*($AM$8-$AL$8)),$AN$8-SQRT((1-AW208)*($AN$8-$AL$8)*($AN$8-$AM$8))),$AM$8)</f>
        <v/>
      </c>
      <c r="AO208">
        <f>IFERROR(IF(AX208&lt;($AM$9-$AL$9)/($AN$9-$AL$9),$AL$9+SQRT(AX208*($AN$9-$AL$9)*($AM$9-$AL$9)),$AN$9-SQRT((1-AX208)*($AN$9-$AL$9)*($AN$9-$AM$9))),$AM$9)</f>
        <v/>
      </c>
      <c r="AP208">
        <f>IFERROR(IF(AY208&lt;($AM$10-$AL$10)/($AN$10-$AL$10),$AL$10+SQRT(AY208*($AN$10-$AL$10)*($AM$10-$AL$10)),$AN$10-SQRT((1-AY208)*($AN$10-$AL$10)*($AN$10-$AM$10))),$AM$10)</f>
        <v/>
      </c>
      <c r="AQ208">
        <f>IFERROR(IF(AZ208&lt;($AM$11-$AL$11)/($AN$11-$AL$11),$AL$11+SQRT(AZ208*($AN$11-$AL$11)*($AM$11-$AL$11)),$AN$11-SQRT((1-AZ208)*($AN$11-$AL$11)*($AN$11-$AM$11))),$AM$11)</f>
        <v/>
      </c>
      <c r="AR208">
        <f>SUMPRODUCT((B24:B31&lt;=$B$6)*(C24:C31*AM208+D24:D31*AO208*$B$8*AQ208)/(1+AL208/100)^B24:B31)+C32*AM208*AP208/(1+AL208/100)^$B$6</f>
        <v/>
      </c>
      <c r="AS208">
        <f>SUMPRODUCT((K24:K26&lt;=$B$6)*(L24:L26*AN208+M24:M26*AO208*$B$8*AQ208)/(1+AL208/100)^K24:K26)+L27*AN208*AP208/(1+AL208/100)^$B$6</f>
        <v/>
      </c>
      <c r="AT208">
        <f>AS208-AR208</f>
        <v/>
      </c>
      <c r="AU208">
        <f>RAND()</f>
        <v/>
      </c>
      <c r="AV208">
        <f>RAND()</f>
        <v/>
      </c>
      <c r="AW208">
        <f>RAND()</f>
        <v/>
      </c>
      <c r="AX208">
        <f>RAND()</f>
        <v/>
      </c>
      <c r="AY208">
        <f>RAND()</f>
        <v/>
      </c>
      <c r="AZ208">
        <f>RAND()</f>
        <v/>
      </c>
    </row>
    <row r="209">
      <c r="AK209" t="n">
        <v>196</v>
      </c>
      <c r="AL209">
        <f>IFERROR(IF(AU209&lt;($AM$6-$AL$6)/($AN$6-$AL$6),$AL$6+SQRT(AU209*($AN$6-$AL$6)*($AM$6-$AL$6)),$AN$6-SQRT((1-AU209)*($AN$6-$AL$6)*($AN$6-$AM$6))),$AM$6)</f>
        <v/>
      </c>
      <c r="AM209">
        <f>IFERROR(IF(AV209&lt;($AM$7-$AL$7)/($AN$7-$AL$7),$AL$7+SQRT(AV209*($AN$7-$AL$7)*($AM$7-$AL$7)),$AN$7-SQRT((1-AV209)*($AN$7-$AL$7)*($AN$7-$AM$7))),$AM$7)</f>
        <v/>
      </c>
      <c r="AN209">
        <f>IFERROR(IF(AW209&lt;($AM$8-$AL$8)/($AN$8-$AL$8),$AL$8+SQRT(AW209*($AN$8-$AL$8)*($AM$8-$AL$8)),$AN$8-SQRT((1-AW209)*($AN$8-$AL$8)*($AN$8-$AM$8))),$AM$8)</f>
        <v/>
      </c>
      <c r="AO209">
        <f>IFERROR(IF(AX209&lt;($AM$9-$AL$9)/($AN$9-$AL$9),$AL$9+SQRT(AX209*($AN$9-$AL$9)*($AM$9-$AL$9)),$AN$9-SQRT((1-AX209)*($AN$9-$AL$9)*($AN$9-$AM$9))),$AM$9)</f>
        <v/>
      </c>
      <c r="AP209">
        <f>IFERROR(IF(AY209&lt;($AM$10-$AL$10)/($AN$10-$AL$10),$AL$10+SQRT(AY209*($AN$10-$AL$10)*($AM$10-$AL$10)),$AN$10-SQRT((1-AY209)*($AN$10-$AL$10)*($AN$10-$AM$10))),$AM$10)</f>
        <v/>
      </c>
      <c r="AQ209">
        <f>IFERROR(IF(AZ209&lt;($AM$11-$AL$11)/($AN$11-$AL$11),$AL$11+SQRT(AZ209*($AN$11-$AL$11)*($AM$11-$AL$11)),$AN$11-SQRT((1-AZ209)*($AN$11-$AL$11)*($AN$11-$AM$11))),$AM$11)</f>
        <v/>
      </c>
      <c r="AR209">
        <f>SUMPRODUCT((B24:B31&lt;=$B$6)*(C24:C31*AM209+D24:D31*AO209*$B$8*AQ209)/(1+AL209/100)^B24:B31)+C32*AM209*AP209/(1+AL209/100)^$B$6</f>
        <v/>
      </c>
      <c r="AS209">
        <f>SUMPRODUCT((K24:K26&lt;=$B$6)*(L24:L26*AN209+M24:M26*AO209*$B$8*AQ209)/(1+AL209/100)^K24:K26)+L27*AN209*AP209/(1+AL209/100)^$B$6</f>
        <v/>
      </c>
      <c r="AT209">
        <f>AS209-AR209</f>
        <v/>
      </c>
      <c r="AU209">
        <f>RAND()</f>
        <v/>
      </c>
      <c r="AV209">
        <f>RAND()</f>
        <v/>
      </c>
      <c r="AW209">
        <f>RAND()</f>
        <v/>
      </c>
      <c r="AX209">
        <f>RAND()</f>
        <v/>
      </c>
      <c r="AY209">
        <f>RAND()</f>
        <v/>
      </c>
      <c r="AZ209">
        <f>RAND()</f>
        <v/>
      </c>
    </row>
    <row r="210">
      <c r="AK210" t="n">
        <v>197</v>
      </c>
      <c r="AL210">
        <f>IFERROR(IF(AU210&lt;($AM$6-$AL$6)/($AN$6-$AL$6),$AL$6+SQRT(AU210*($AN$6-$AL$6)*($AM$6-$AL$6)),$AN$6-SQRT((1-AU210)*($AN$6-$AL$6)*($AN$6-$AM$6))),$AM$6)</f>
        <v/>
      </c>
      <c r="AM210">
        <f>IFERROR(IF(AV210&lt;($AM$7-$AL$7)/($AN$7-$AL$7),$AL$7+SQRT(AV210*($AN$7-$AL$7)*($AM$7-$AL$7)),$AN$7-SQRT((1-AV210)*($AN$7-$AL$7)*($AN$7-$AM$7))),$AM$7)</f>
        <v/>
      </c>
      <c r="AN210">
        <f>IFERROR(IF(AW210&lt;($AM$8-$AL$8)/($AN$8-$AL$8),$AL$8+SQRT(AW210*($AN$8-$AL$8)*($AM$8-$AL$8)),$AN$8-SQRT((1-AW210)*($AN$8-$AL$8)*($AN$8-$AM$8))),$AM$8)</f>
        <v/>
      </c>
      <c r="AO210">
        <f>IFERROR(IF(AX210&lt;($AM$9-$AL$9)/($AN$9-$AL$9),$AL$9+SQRT(AX210*($AN$9-$AL$9)*($AM$9-$AL$9)),$AN$9-SQRT((1-AX210)*($AN$9-$AL$9)*($AN$9-$AM$9))),$AM$9)</f>
        <v/>
      </c>
      <c r="AP210">
        <f>IFERROR(IF(AY210&lt;($AM$10-$AL$10)/($AN$10-$AL$10),$AL$10+SQRT(AY210*($AN$10-$AL$10)*($AM$10-$AL$10)),$AN$10-SQRT((1-AY210)*($AN$10-$AL$10)*($AN$10-$AM$10))),$AM$10)</f>
        <v/>
      </c>
      <c r="AQ210">
        <f>IFERROR(IF(AZ210&lt;($AM$11-$AL$11)/($AN$11-$AL$11),$AL$11+SQRT(AZ210*($AN$11-$AL$11)*($AM$11-$AL$11)),$AN$11-SQRT((1-AZ210)*($AN$11-$AL$11)*($AN$11-$AM$11))),$AM$11)</f>
        <v/>
      </c>
      <c r="AR210">
        <f>SUMPRODUCT((B24:B31&lt;=$B$6)*(C24:C31*AM210+D24:D31*AO210*$B$8*AQ210)/(1+AL210/100)^B24:B31)+C32*AM210*AP210/(1+AL210/100)^$B$6</f>
        <v/>
      </c>
      <c r="AS210">
        <f>SUMPRODUCT((K24:K26&lt;=$B$6)*(L24:L26*AN210+M24:M26*AO210*$B$8*AQ210)/(1+AL210/100)^K24:K26)+L27*AN210*AP210/(1+AL210/100)^$B$6</f>
        <v/>
      </c>
      <c r="AT210">
        <f>AS210-AR210</f>
        <v/>
      </c>
      <c r="AU210">
        <f>RAND()</f>
        <v/>
      </c>
      <c r="AV210">
        <f>RAND()</f>
        <v/>
      </c>
      <c r="AW210">
        <f>RAND()</f>
        <v/>
      </c>
      <c r="AX210">
        <f>RAND()</f>
        <v/>
      </c>
      <c r="AY210">
        <f>RAND()</f>
        <v/>
      </c>
      <c r="AZ210">
        <f>RAND()</f>
        <v/>
      </c>
    </row>
    <row r="211">
      <c r="AK211" t="n">
        <v>198</v>
      </c>
      <c r="AL211">
        <f>IFERROR(IF(AU211&lt;($AM$6-$AL$6)/($AN$6-$AL$6),$AL$6+SQRT(AU211*($AN$6-$AL$6)*($AM$6-$AL$6)),$AN$6-SQRT((1-AU211)*($AN$6-$AL$6)*($AN$6-$AM$6))),$AM$6)</f>
        <v/>
      </c>
      <c r="AM211">
        <f>IFERROR(IF(AV211&lt;($AM$7-$AL$7)/($AN$7-$AL$7),$AL$7+SQRT(AV211*($AN$7-$AL$7)*($AM$7-$AL$7)),$AN$7-SQRT((1-AV211)*($AN$7-$AL$7)*($AN$7-$AM$7))),$AM$7)</f>
        <v/>
      </c>
      <c r="AN211">
        <f>IFERROR(IF(AW211&lt;($AM$8-$AL$8)/($AN$8-$AL$8),$AL$8+SQRT(AW211*($AN$8-$AL$8)*($AM$8-$AL$8)),$AN$8-SQRT((1-AW211)*($AN$8-$AL$8)*($AN$8-$AM$8))),$AM$8)</f>
        <v/>
      </c>
      <c r="AO211">
        <f>IFERROR(IF(AX211&lt;($AM$9-$AL$9)/($AN$9-$AL$9),$AL$9+SQRT(AX211*($AN$9-$AL$9)*($AM$9-$AL$9)),$AN$9-SQRT((1-AX211)*($AN$9-$AL$9)*($AN$9-$AM$9))),$AM$9)</f>
        <v/>
      </c>
      <c r="AP211">
        <f>IFERROR(IF(AY211&lt;($AM$10-$AL$10)/($AN$10-$AL$10),$AL$10+SQRT(AY211*($AN$10-$AL$10)*($AM$10-$AL$10)),$AN$10-SQRT((1-AY211)*($AN$10-$AL$10)*($AN$10-$AM$10))),$AM$10)</f>
        <v/>
      </c>
      <c r="AQ211">
        <f>IFERROR(IF(AZ211&lt;($AM$11-$AL$11)/($AN$11-$AL$11),$AL$11+SQRT(AZ211*($AN$11-$AL$11)*($AM$11-$AL$11)),$AN$11-SQRT((1-AZ211)*($AN$11-$AL$11)*($AN$11-$AM$11))),$AM$11)</f>
        <v/>
      </c>
      <c r="AR211">
        <f>SUMPRODUCT((B24:B31&lt;=$B$6)*(C24:C31*AM211+D24:D31*AO211*$B$8*AQ211)/(1+AL211/100)^B24:B31)+C32*AM211*AP211/(1+AL211/100)^$B$6</f>
        <v/>
      </c>
      <c r="AS211">
        <f>SUMPRODUCT((K24:K26&lt;=$B$6)*(L24:L26*AN211+M24:M26*AO211*$B$8*AQ211)/(1+AL211/100)^K24:K26)+L27*AN211*AP211/(1+AL211/100)^$B$6</f>
        <v/>
      </c>
      <c r="AT211">
        <f>AS211-AR211</f>
        <v/>
      </c>
      <c r="AU211">
        <f>RAND()</f>
        <v/>
      </c>
      <c r="AV211">
        <f>RAND()</f>
        <v/>
      </c>
      <c r="AW211">
        <f>RAND()</f>
        <v/>
      </c>
      <c r="AX211">
        <f>RAND()</f>
        <v/>
      </c>
      <c r="AY211">
        <f>RAND()</f>
        <v/>
      </c>
      <c r="AZ211">
        <f>RAND()</f>
        <v/>
      </c>
    </row>
    <row r="212">
      <c r="AK212" t="n">
        <v>199</v>
      </c>
      <c r="AL212">
        <f>IFERROR(IF(AU212&lt;($AM$6-$AL$6)/($AN$6-$AL$6),$AL$6+SQRT(AU212*($AN$6-$AL$6)*($AM$6-$AL$6)),$AN$6-SQRT((1-AU212)*($AN$6-$AL$6)*($AN$6-$AM$6))),$AM$6)</f>
        <v/>
      </c>
      <c r="AM212">
        <f>IFERROR(IF(AV212&lt;($AM$7-$AL$7)/($AN$7-$AL$7),$AL$7+SQRT(AV212*($AN$7-$AL$7)*($AM$7-$AL$7)),$AN$7-SQRT((1-AV212)*($AN$7-$AL$7)*($AN$7-$AM$7))),$AM$7)</f>
        <v/>
      </c>
      <c r="AN212">
        <f>IFERROR(IF(AW212&lt;($AM$8-$AL$8)/($AN$8-$AL$8),$AL$8+SQRT(AW212*($AN$8-$AL$8)*($AM$8-$AL$8)),$AN$8-SQRT((1-AW212)*($AN$8-$AL$8)*($AN$8-$AM$8))),$AM$8)</f>
        <v/>
      </c>
      <c r="AO212">
        <f>IFERROR(IF(AX212&lt;($AM$9-$AL$9)/($AN$9-$AL$9),$AL$9+SQRT(AX212*($AN$9-$AL$9)*($AM$9-$AL$9)),$AN$9-SQRT((1-AX212)*($AN$9-$AL$9)*($AN$9-$AM$9))),$AM$9)</f>
        <v/>
      </c>
      <c r="AP212">
        <f>IFERROR(IF(AY212&lt;($AM$10-$AL$10)/($AN$10-$AL$10),$AL$10+SQRT(AY212*($AN$10-$AL$10)*($AM$10-$AL$10)),$AN$10-SQRT((1-AY212)*($AN$10-$AL$10)*($AN$10-$AM$10))),$AM$10)</f>
        <v/>
      </c>
      <c r="AQ212">
        <f>IFERROR(IF(AZ212&lt;($AM$11-$AL$11)/($AN$11-$AL$11),$AL$11+SQRT(AZ212*($AN$11-$AL$11)*($AM$11-$AL$11)),$AN$11-SQRT((1-AZ212)*($AN$11-$AL$11)*($AN$11-$AM$11))),$AM$11)</f>
        <v/>
      </c>
      <c r="AR212">
        <f>SUMPRODUCT((B24:B31&lt;=$B$6)*(C24:C31*AM212+D24:D31*AO212*$B$8*AQ212)/(1+AL212/100)^B24:B31)+C32*AM212*AP212/(1+AL212/100)^$B$6</f>
        <v/>
      </c>
      <c r="AS212">
        <f>SUMPRODUCT((K24:K26&lt;=$B$6)*(L24:L26*AN212+M24:M26*AO212*$B$8*AQ212)/(1+AL212/100)^K24:K26)+L27*AN212*AP212/(1+AL212/100)^$B$6</f>
        <v/>
      </c>
      <c r="AT212">
        <f>AS212-AR212</f>
        <v/>
      </c>
      <c r="AU212">
        <f>RAND()</f>
        <v/>
      </c>
      <c r="AV212">
        <f>RAND()</f>
        <v/>
      </c>
      <c r="AW212">
        <f>RAND()</f>
        <v/>
      </c>
      <c r="AX212">
        <f>RAND()</f>
        <v/>
      </c>
      <c r="AY212">
        <f>RAND()</f>
        <v/>
      </c>
      <c r="AZ212">
        <f>RAND()</f>
        <v/>
      </c>
    </row>
    <row r="213">
      <c r="AK213" t="n">
        <v>200</v>
      </c>
      <c r="AL213">
        <f>IFERROR(IF(AU213&lt;($AM$6-$AL$6)/($AN$6-$AL$6),$AL$6+SQRT(AU213*($AN$6-$AL$6)*($AM$6-$AL$6)),$AN$6-SQRT((1-AU213)*($AN$6-$AL$6)*($AN$6-$AM$6))),$AM$6)</f>
        <v/>
      </c>
      <c r="AM213">
        <f>IFERROR(IF(AV213&lt;($AM$7-$AL$7)/($AN$7-$AL$7),$AL$7+SQRT(AV213*($AN$7-$AL$7)*($AM$7-$AL$7)),$AN$7-SQRT((1-AV213)*($AN$7-$AL$7)*($AN$7-$AM$7))),$AM$7)</f>
        <v/>
      </c>
      <c r="AN213">
        <f>IFERROR(IF(AW213&lt;($AM$8-$AL$8)/($AN$8-$AL$8),$AL$8+SQRT(AW213*($AN$8-$AL$8)*($AM$8-$AL$8)),$AN$8-SQRT((1-AW213)*($AN$8-$AL$8)*($AN$8-$AM$8))),$AM$8)</f>
        <v/>
      </c>
      <c r="AO213">
        <f>IFERROR(IF(AX213&lt;($AM$9-$AL$9)/($AN$9-$AL$9),$AL$9+SQRT(AX213*($AN$9-$AL$9)*($AM$9-$AL$9)),$AN$9-SQRT((1-AX213)*($AN$9-$AL$9)*($AN$9-$AM$9))),$AM$9)</f>
        <v/>
      </c>
      <c r="AP213">
        <f>IFERROR(IF(AY213&lt;($AM$10-$AL$10)/($AN$10-$AL$10),$AL$10+SQRT(AY213*($AN$10-$AL$10)*($AM$10-$AL$10)),$AN$10-SQRT((1-AY213)*($AN$10-$AL$10)*($AN$10-$AM$10))),$AM$10)</f>
        <v/>
      </c>
      <c r="AQ213">
        <f>IFERROR(IF(AZ213&lt;($AM$11-$AL$11)/($AN$11-$AL$11),$AL$11+SQRT(AZ213*($AN$11-$AL$11)*($AM$11-$AL$11)),$AN$11-SQRT((1-AZ213)*($AN$11-$AL$11)*($AN$11-$AM$11))),$AM$11)</f>
        <v/>
      </c>
      <c r="AR213">
        <f>SUMPRODUCT((B24:B31&lt;=$B$6)*(C24:C31*AM213+D24:D31*AO213*$B$8*AQ213)/(1+AL213/100)^B24:B31)+C32*AM213*AP213/(1+AL213/100)^$B$6</f>
        <v/>
      </c>
      <c r="AS213">
        <f>SUMPRODUCT((K24:K26&lt;=$B$6)*(L24:L26*AN213+M24:M26*AO213*$B$8*AQ213)/(1+AL213/100)^K24:K26)+L27*AN213*AP213/(1+AL213/100)^$B$6</f>
        <v/>
      </c>
      <c r="AT213">
        <f>AS213-AR213</f>
        <v/>
      </c>
      <c r="AU213">
        <f>RAND()</f>
        <v/>
      </c>
      <c r="AV213">
        <f>RAND()</f>
        <v/>
      </c>
      <c r="AW213">
        <f>RAND()</f>
        <v/>
      </c>
      <c r="AX213">
        <f>RAND()</f>
        <v/>
      </c>
      <c r="AY213">
        <f>RAND()</f>
        <v/>
      </c>
      <c r="AZ213">
        <f>RAND()</f>
        <v/>
      </c>
    </row>
    <row r="214">
      <c r="AK214" t="n">
        <v>201</v>
      </c>
      <c r="AL214">
        <f>IFERROR(IF(AU214&lt;($AM$6-$AL$6)/($AN$6-$AL$6),$AL$6+SQRT(AU214*($AN$6-$AL$6)*($AM$6-$AL$6)),$AN$6-SQRT((1-AU214)*($AN$6-$AL$6)*($AN$6-$AM$6))),$AM$6)</f>
        <v/>
      </c>
      <c r="AM214">
        <f>IFERROR(IF(AV214&lt;($AM$7-$AL$7)/($AN$7-$AL$7),$AL$7+SQRT(AV214*($AN$7-$AL$7)*($AM$7-$AL$7)),$AN$7-SQRT((1-AV214)*($AN$7-$AL$7)*($AN$7-$AM$7))),$AM$7)</f>
        <v/>
      </c>
      <c r="AN214">
        <f>IFERROR(IF(AW214&lt;($AM$8-$AL$8)/($AN$8-$AL$8),$AL$8+SQRT(AW214*($AN$8-$AL$8)*($AM$8-$AL$8)),$AN$8-SQRT((1-AW214)*($AN$8-$AL$8)*($AN$8-$AM$8))),$AM$8)</f>
        <v/>
      </c>
      <c r="AO214">
        <f>IFERROR(IF(AX214&lt;($AM$9-$AL$9)/($AN$9-$AL$9),$AL$9+SQRT(AX214*($AN$9-$AL$9)*($AM$9-$AL$9)),$AN$9-SQRT((1-AX214)*($AN$9-$AL$9)*($AN$9-$AM$9))),$AM$9)</f>
        <v/>
      </c>
      <c r="AP214">
        <f>IFERROR(IF(AY214&lt;($AM$10-$AL$10)/($AN$10-$AL$10),$AL$10+SQRT(AY214*($AN$10-$AL$10)*($AM$10-$AL$10)),$AN$10-SQRT((1-AY214)*($AN$10-$AL$10)*($AN$10-$AM$10))),$AM$10)</f>
        <v/>
      </c>
      <c r="AQ214">
        <f>IFERROR(IF(AZ214&lt;($AM$11-$AL$11)/($AN$11-$AL$11),$AL$11+SQRT(AZ214*($AN$11-$AL$11)*($AM$11-$AL$11)),$AN$11-SQRT((1-AZ214)*($AN$11-$AL$11)*($AN$11-$AM$11))),$AM$11)</f>
        <v/>
      </c>
      <c r="AR214">
        <f>SUMPRODUCT((B24:B31&lt;=$B$6)*(C24:C31*AM214+D24:D31*AO214*$B$8*AQ214)/(1+AL214/100)^B24:B31)+C32*AM214*AP214/(1+AL214/100)^$B$6</f>
        <v/>
      </c>
      <c r="AS214">
        <f>SUMPRODUCT((K24:K26&lt;=$B$6)*(L24:L26*AN214+M24:M26*AO214*$B$8*AQ214)/(1+AL214/100)^K24:K26)+L27*AN214*AP214/(1+AL214/100)^$B$6</f>
        <v/>
      </c>
      <c r="AT214">
        <f>AS214-AR214</f>
        <v/>
      </c>
      <c r="AU214">
        <f>RAND()</f>
        <v/>
      </c>
      <c r="AV214">
        <f>RAND()</f>
        <v/>
      </c>
      <c r="AW214">
        <f>RAND()</f>
        <v/>
      </c>
      <c r="AX214">
        <f>RAND()</f>
        <v/>
      </c>
      <c r="AY214">
        <f>RAND()</f>
        <v/>
      </c>
      <c r="AZ214">
        <f>RAND()</f>
        <v/>
      </c>
    </row>
    <row r="215">
      <c r="AK215" t="n">
        <v>202</v>
      </c>
      <c r="AL215">
        <f>IFERROR(IF(AU215&lt;($AM$6-$AL$6)/($AN$6-$AL$6),$AL$6+SQRT(AU215*($AN$6-$AL$6)*($AM$6-$AL$6)),$AN$6-SQRT((1-AU215)*($AN$6-$AL$6)*($AN$6-$AM$6))),$AM$6)</f>
        <v/>
      </c>
      <c r="AM215">
        <f>IFERROR(IF(AV215&lt;($AM$7-$AL$7)/($AN$7-$AL$7),$AL$7+SQRT(AV215*($AN$7-$AL$7)*($AM$7-$AL$7)),$AN$7-SQRT((1-AV215)*($AN$7-$AL$7)*($AN$7-$AM$7))),$AM$7)</f>
        <v/>
      </c>
      <c r="AN215">
        <f>IFERROR(IF(AW215&lt;($AM$8-$AL$8)/($AN$8-$AL$8),$AL$8+SQRT(AW215*($AN$8-$AL$8)*($AM$8-$AL$8)),$AN$8-SQRT((1-AW215)*($AN$8-$AL$8)*($AN$8-$AM$8))),$AM$8)</f>
        <v/>
      </c>
      <c r="AO215">
        <f>IFERROR(IF(AX215&lt;($AM$9-$AL$9)/($AN$9-$AL$9),$AL$9+SQRT(AX215*($AN$9-$AL$9)*($AM$9-$AL$9)),$AN$9-SQRT((1-AX215)*($AN$9-$AL$9)*($AN$9-$AM$9))),$AM$9)</f>
        <v/>
      </c>
      <c r="AP215">
        <f>IFERROR(IF(AY215&lt;($AM$10-$AL$10)/($AN$10-$AL$10),$AL$10+SQRT(AY215*($AN$10-$AL$10)*($AM$10-$AL$10)),$AN$10-SQRT((1-AY215)*($AN$10-$AL$10)*($AN$10-$AM$10))),$AM$10)</f>
        <v/>
      </c>
      <c r="AQ215">
        <f>IFERROR(IF(AZ215&lt;($AM$11-$AL$11)/($AN$11-$AL$11),$AL$11+SQRT(AZ215*($AN$11-$AL$11)*($AM$11-$AL$11)),$AN$11-SQRT((1-AZ215)*($AN$11-$AL$11)*($AN$11-$AM$11))),$AM$11)</f>
        <v/>
      </c>
      <c r="AR215">
        <f>SUMPRODUCT((B24:B31&lt;=$B$6)*(C24:C31*AM215+D24:D31*AO215*$B$8*AQ215)/(1+AL215/100)^B24:B31)+C32*AM215*AP215/(1+AL215/100)^$B$6</f>
        <v/>
      </c>
      <c r="AS215">
        <f>SUMPRODUCT((K24:K26&lt;=$B$6)*(L24:L26*AN215+M24:M26*AO215*$B$8*AQ215)/(1+AL215/100)^K24:K26)+L27*AN215*AP215/(1+AL215/100)^$B$6</f>
        <v/>
      </c>
      <c r="AT215">
        <f>AS215-AR215</f>
        <v/>
      </c>
      <c r="AU215">
        <f>RAND()</f>
        <v/>
      </c>
      <c r="AV215">
        <f>RAND()</f>
        <v/>
      </c>
      <c r="AW215">
        <f>RAND()</f>
        <v/>
      </c>
      <c r="AX215">
        <f>RAND()</f>
        <v/>
      </c>
      <c r="AY215">
        <f>RAND()</f>
        <v/>
      </c>
      <c r="AZ215">
        <f>RAND()</f>
        <v/>
      </c>
    </row>
    <row r="216">
      <c r="AK216" t="n">
        <v>203</v>
      </c>
      <c r="AL216">
        <f>IFERROR(IF(AU216&lt;($AM$6-$AL$6)/($AN$6-$AL$6),$AL$6+SQRT(AU216*($AN$6-$AL$6)*($AM$6-$AL$6)),$AN$6-SQRT((1-AU216)*($AN$6-$AL$6)*($AN$6-$AM$6))),$AM$6)</f>
        <v/>
      </c>
      <c r="AM216">
        <f>IFERROR(IF(AV216&lt;($AM$7-$AL$7)/($AN$7-$AL$7),$AL$7+SQRT(AV216*($AN$7-$AL$7)*($AM$7-$AL$7)),$AN$7-SQRT((1-AV216)*($AN$7-$AL$7)*($AN$7-$AM$7))),$AM$7)</f>
        <v/>
      </c>
      <c r="AN216">
        <f>IFERROR(IF(AW216&lt;($AM$8-$AL$8)/($AN$8-$AL$8),$AL$8+SQRT(AW216*($AN$8-$AL$8)*($AM$8-$AL$8)),$AN$8-SQRT((1-AW216)*($AN$8-$AL$8)*($AN$8-$AM$8))),$AM$8)</f>
        <v/>
      </c>
      <c r="AO216">
        <f>IFERROR(IF(AX216&lt;($AM$9-$AL$9)/($AN$9-$AL$9),$AL$9+SQRT(AX216*($AN$9-$AL$9)*($AM$9-$AL$9)),$AN$9-SQRT((1-AX216)*($AN$9-$AL$9)*($AN$9-$AM$9))),$AM$9)</f>
        <v/>
      </c>
      <c r="AP216">
        <f>IFERROR(IF(AY216&lt;($AM$10-$AL$10)/($AN$10-$AL$10),$AL$10+SQRT(AY216*($AN$10-$AL$10)*($AM$10-$AL$10)),$AN$10-SQRT((1-AY216)*($AN$10-$AL$10)*($AN$10-$AM$10))),$AM$10)</f>
        <v/>
      </c>
      <c r="AQ216">
        <f>IFERROR(IF(AZ216&lt;($AM$11-$AL$11)/($AN$11-$AL$11),$AL$11+SQRT(AZ216*($AN$11-$AL$11)*($AM$11-$AL$11)),$AN$11-SQRT((1-AZ216)*($AN$11-$AL$11)*($AN$11-$AM$11))),$AM$11)</f>
        <v/>
      </c>
      <c r="AR216">
        <f>SUMPRODUCT((B24:B31&lt;=$B$6)*(C24:C31*AM216+D24:D31*AO216*$B$8*AQ216)/(1+AL216/100)^B24:B31)+C32*AM216*AP216/(1+AL216/100)^$B$6</f>
        <v/>
      </c>
      <c r="AS216">
        <f>SUMPRODUCT((K24:K26&lt;=$B$6)*(L24:L26*AN216+M24:M26*AO216*$B$8*AQ216)/(1+AL216/100)^K24:K26)+L27*AN216*AP216/(1+AL216/100)^$B$6</f>
        <v/>
      </c>
      <c r="AT216">
        <f>AS216-AR216</f>
        <v/>
      </c>
      <c r="AU216">
        <f>RAND()</f>
        <v/>
      </c>
      <c r="AV216">
        <f>RAND()</f>
        <v/>
      </c>
      <c r="AW216">
        <f>RAND()</f>
        <v/>
      </c>
      <c r="AX216">
        <f>RAND()</f>
        <v/>
      </c>
      <c r="AY216">
        <f>RAND()</f>
        <v/>
      </c>
      <c r="AZ216">
        <f>RAND()</f>
        <v/>
      </c>
    </row>
    <row r="217">
      <c r="AK217" t="n">
        <v>204</v>
      </c>
      <c r="AL217">
        <f>IFERROR(IF(AU217&lt;($AM$6-$AL$6)/($AN$6-$AL$6),$AL$6+SQRT(AU217*($AN$6-$AL$6)*($AM$6-$AL$6)),$AN$6-SQRT((1-AU217)*($AN$6-$AL$6)*($AN$6-$AM$6))),$AM$6)</f>
        <v/>
      </c>
      <c r="AM217">
        <f>IFERROR(IF(AV217&lt;($AM$7-$AL$7)/($AN$7-$AL$7),$AL$7+SQRT(AV217*($AN$7-$AL$7)*($AM$7-$AL$7)),$AN$7-SQRT((1-AV217)*($AN$7-$AL$7)*($AN$7-$AM$7))),$AM$7)</f>
        <v/>
      </c>
      <c r="AN217">
        <f>IFERROR(IF(AW217&lt;($AM$8-$AL$8)/($AN$8-$AL$8),$AL$8+SQRT(AW217*($AN$8-$AL$8)*($AM$8-$AL$8)),$AN$8-SQRT((1-AW217)*($AN$8-$AL$8)*($AN$8-$AM$8))),$AM$8)</f>
        <v/>
      </c>
      <c r="AO217">
        <f>IFERROR(IF(AX217&lt;($AM$9-$AL$9)/($AN$9-$AL$9),$AL$9+SQRT(AX217*($AN$9-$AL$9)*($AM$9-$AL$9)),$AN$9-SQRT((1-AX217)*($AN$9-$AL$9)*($AN$9-$AM$9))),$AM$9)</f>
        <v/>
      </c>
      <c r="AP217">
        <f>IFERROR(IF(AY217&lt;($AM$10-$AL$10)/($AN$10-$AL$10),$AL$10+SQRT(AY217*($AN$10-$AL$10)*($AM$10-$AL$10)),$AN$10-SQRT((1-AY217)*($AN$10-$AL$10)*($AN$10-$AM$10))),$AM$10)</f>
        <v/>
      </c>
      <c r="AQ217">
        <f>IFERROR(IF(AZ217&lt;($AM$11-$AL$11)/($AN$11-$AL$11),$AL$11+SQRT(AZ217*($AN$11-$AL$11)*($AM$11-$AL$11)),$AN$11-SQRT((1-AZ217)*($AN$11-$AL$11)*($AN$11-$AM$11))),$AM$11)</f>
        <v/>
      </c>
      <c r="AR217">
        <f>SUMPRODUCT((B24:B31&lt;=$B$6)*(C24:C31*AM217+D24:D31*AO217*$B$8*AQ217)/(1+AL217/100)^B24:B31)+C32*AM217*AP217/(1+AL217/100)^$B$6</f>
        <v/>
      </c>
      <c r="AS217">
        <f>SUMPRODUCT((K24:K26&lt;=$B$6)*(L24:L26*AN217+M24:M26*AO217*$B$8*AQ217)/(1+AL217/100)^K24:K26)+L27*AN217*AP217/(1+AL217/100)^$B$6</f>
        <v/>
      </c>
      <c r="AT217">
        <f>AS217-AR217</f>
        <v/>
      </c>
      <c r="AU217">
        <f>RAND()</f>
        <v/>
      </c>
      <c r="AV217">
        <f>RAND()</f>
        <v/>
      </c>
      <c r="AW217">
        <f>RAND()</f>
        <v/>
      </c>
      <c r="AX217">
        <f>RAND()</f>
        <v/>
      </c>
      <c r="AY217">
        <f>RAND()</f>
        <v/>
      </c>
      <c r="AZ217">
        <f>RAND()</f>
        <v/>
      </c>
    </row>
    <row r="218">
      <c r="AK218" t="n">
        <v>205</v>
      </c>
      <c r="AL218">
        <f>IFERROR(IF(AU218&lt;($AM$6-$AL$6)/($AN$6-$AL$6),$AL$6+SQRT(AU218*($AN$6-$AL$6)*($AM$6-$AL$6)),$AN$6-SQRT((1-AU218)*($AN$6-$AL$6)*($AN$6-$AM$6))),$AM$6)</f>
        <v/>
      </c>
      <c r="AM218">
        <f>IFERROR(IF(AV218&lt;($AM$7-$AL$7)/($AN$7-$AL$7),$AL$7+SQRT(AV218*($AN$7-$AL$7)*($AM$7-$AL$7)),$AN$7-SQRT((1-AV218)*($AN$7-$AL$7)*($AN$7-$AM$7))),$AM$7)</f>
        <v/>
      </c>
      <c r="AN218">
        <f>IFERROR(IF(AW218&lt;($AM$8-$AL$8)/($AN$8-$AL$8),$AL$8+SQRT(AW218*($AN$8-$AL$8)*($AM$8-$AL$8)),$AN$8-SQRT((1-AW218)*($AN$8-$AL$8)*($AN$8-$AM$8))),$AM$8)</f>
        <v/>
      </c>
      <c r="AO218">
        <f>IFERROR(IF(AX218&lt;($AM$9-$AL$9)/($AN$9-$AL$9),$AL$9+SQRT(AX218*($AN$9-$AL$9)*($AM$9-$AL$9)),$AN$9-SQRT((1-AX218)*($AN$9-$AL$9)*($AN$9-$AM$9))),$AM$9)</f>
        <v/>
      </c>
      <c r="AP218">
        <f>IFERROR(IF(AY218&lt;($AM$10-$AL$10)/($AN$10-$AL$10),$AL$10+SQRT(AY218*($AN$10-$AL$10)*($AM$10-$AL$10)),$AN$10-SQRT((1-AY218)*($AN$10-$AL$10)*($AN$10-$AM$10))),$AM$10)</f>
        <v/>
      </c>
      <c r="AQ218">
        <f>IFERROR(IF(AZ218&lt;($AM$11-$AL$11)/($AN$11-$AL$11),$AL$11+SQRT(AZ218*($AN$11-$AL$11)*($AM$11-$AL$11)),$AN$11-SQRT((1-AZ218)*($AN$11-$AL$11)*($AN$11-$AM$11))),$AM$11)</f>
        <v/>
      </c>
      <c r="AR218">
        <f>SUMPRODUCT((B24:B31&lt;=$B$6)*(C24:C31*AM218+D24:D31*AO218*$B$8*AQ218)/(1+AL218/100)^B24:B31)+C32*AM218*AP218/(1+AL218/100)^$B$6</f>
        <v/>
      </c>
      <c r="AS218">
        <f>SUMPRODUCT((K24:K26&lt;=$B$6)*(L24:L26*AN218+M24:M26*AO218*$B$8*AQ218)/(1+AL218/100)^K24:K26)+L27*AN218*AP218/(1+AL218/100)^$B$6</f>
        <v/>
      </c>
      <c r="AT218">
        <f>AS218-AR218</f>
        <v/>
      </c>
      <c r="AU218">
        <f>RAND()</f>
        <v/>
      </c>
      <c r="AV218">
        <f>RAND()</f>
        <v/>
      </c>
      <c r="AW218">
        <f>RAND()</f>
        <v/>
      </c>
      <c r="AX218">
        <f>RAND()</f>
        <v/>
      </c>
      <c r="AY218">
        <f>RAND()</f>
        <v/>
      </c>
      <c r="AZ218">
        <f>RAND()</f>
        <v/>
      </c>
    </row>
    <row r="219">
      <c r="AK219" t="n">
        <v>206</v>
      </c>
      <c r="AL219">
        <f>IFERROR(IF(AU219&lt;($AM$6-$AL$6)/($AN$6-$AL$6),$AL$6+SQRT(AU219*($AN$6-$AL$6)*($AM$6-$AL$6)),$AN$6-SQRT((1-AU219)*($AN$6-$AL$6)*($AN$6-$AM$6))),$AM$6)</f>
        <v/>
      </c>
      <c r="AM219">
        <f>IFERROR(IF(AV219&lt;($AM$7-$AL$7)/($AN$7-$AL$7),$AL$7+SQRT(AV219*($AN$7-$AL$7)*($AM$7-$AL$7)),$AN$7-SQRT((1-AV219)*($AN$7-$AL$7)*($AN$7-$AM$7))),$AM$7)</f>
        <v/>
      </c>
      <c r="AN219">
        <f>IFERROR(IF(AW219&lt;($AM$8-$AL$8)/($AN$8-$AL$8),$AL$8+SQRT(AW219*($AN$8-$AL$8)*($AM$8-$AL$8)),$AN$8-SQRT((1-AW219)*($AN$8-$AL$8)*($AN$8-$AM$8))),$AM$8)</f>
        <v/>
      </c>
      <c r="AO219">
        <f>IFERROR(IF(AX219&lt;($AM$9-$AL$9)/($AN$9-$AL$9),$AL$9+SQRT(AX219*($AN$9-$AL$9)*($AM$9-$AL$9)),$AN$9-SQRT((1-AX219)*($AN$9-$AL$9)*($AN$9-$AM$9))),$AM$9)</f>
        <v/>
      </c>
      <c r="AP219">
        <f>IFERROR(IF(AY219&lt;($AM$10-$AL$10)/($AN$10-$AL$10),$AL$10+SQRT(AY219*($AN$10-$AL$10)*($AM$10-$AL$10)),$AN$10-SQRT((1-AY219)*($AN$10-$AL$10)*($AN$10-$AM$10))),$AM$10)</f>
        <v/>
      </c>
      <c r="AQ219">
        <f>IFERROR(IF(AZ219&lt;($AM$11-$AL$11)/($AN$11-$AL$11),$AL$11+SQRT(AZ219*($AN$11-$AL$11)*($AM$11-$AL$11)),$AN$11-SQRT((1-AZ219)*($AN$11-$AL$11)*($AN$11-$AM$11))),$AM$11)</f>
        <v/>
      </c>
      <c r="AR219">
        <f>SUMPRODUCT((B24:B31&lt;=$B$6)*(C24:C31*AM219+D24:D31*AO219*$B$8*AQ219)/(1+AL219/100)^B24:B31)+C32*AM219*AP219/(1+AL219/100)^$B$6</f>
        <v/>
      </c>
      <c r="AS219">
        <f>SUMPRODUCT((K24:K26&lt;=$B$6)*(L24:L26*AN219+M24:M26*AO219*$B$8*AQ219)/(1+AL219/100)^K24:K26)+L27*AN219*AP219/(1+AL219/100)^$B$6</f>
        <v/>
      </c>
      <c r="AT219">
        <f>AS219-AR219</f>
        <v/>
      </c>
      <c r="AU219">
        <f>RAND()</f>
        <v/>
      </c>
      <c r="AV219">
        <f>RAND()</f>
        <v/>
      </c>
      <c r="AW219">
        <f>RAND()</f>
        <v/>
      </c>
      <c r="AX219">
        <f>RAND()</f>
        <v/>
      </c>
      <c r="AY219">
        <f>RAND()</f>
        <v/>
      </c>
      <c r="AZ219">
        <f>RAND()</f>
        <v/>
      </c>
    </row>
    <row r="220">
      <c r="AK220" t="n">
        <v>207</v>
      </c>
      <c r="AL220">
        <f>IFERROR(IF(AU220&lt;($AM$6-$AL$6)/($AN$6-$AL$6),$AL$6+SQRT(AU220*($AN$6-$AL$6)*($AM$6-$AL$6)),$AN$6-SQRT((1-AU220)*($AN$6-$AL$6)*($AN$6-$AM$6))),$AM$6)</f>
        <v/>
      </c>
      <c r="AM220">
        <f>IFERROR(IF(AV220&lt;($AM$7-$AL$7)/($AN$7-$AL$7),$AL$7+SQRT(AV220*($AN$7-$AL$7)*($AM$7-$AL$7)),$AN$7-SQRT((1-AV220)*($AN$7-$AL$7)*($AN$7-$AM$7))),$AM$7)</f>
        <v/>
      </c>
      <c r="AN220">
        <f>IFERROR(IF(AW220&lt;($AM$8-$AL$8)/($AN$8-$AL$8),$AL$8+SQRT(AW220*($AN$8-$AL$8)*($AM$8-$AL$8)),$AN$8-SQRT((1-AW220)*($AN$8-$AL$8)*($AN$8-$AM$8))),$AM$8)</f>
        <v/>
      </c>
      <c r="AO220">
        <f>IFERROR(IF(AX220&lt;($AM$9-$AL$9)/($AN$9-$AL$9),$AL$9+SQRT(AX220*($AN$9-$AL$9)*($AM$9-$AL$9)),$AN$9-SQRT((1-AX220)*($AN$9-$AL$9)*($AN$9-$AM$9))),$AM$9)</f>
        <v/>
      </c>
      <c r="AP220">
        <f>IFERROR(IF(AY220&lt;($AM$10-$AL$10)/($AN$10-$AL$10),$AL$10+SQRT(AY220*($AN$10-$AL$10)*($AM$10-$AL$10)),$AN$10-SQRT((1-AY220)*($AN$10-$AL$10)*($AN$10-$AM$10))),$AM$10)</f>
        <v/>
      </c>
      <c r="AQ220">
        <f>IFERROR(IF(AZ220&lt;($AM$11-$AL$11)/($AN$11-$AL$11),$AL$11+SQRT(AZ220*($AN$11-$AL$11)*($AM$11-$AL$11)),$AN$11-SQRT((1-AZ220)*($AN$11-$AL$11)*($AN$11-$AM$11))),$AM$11)</f>
        <v/>
      </c>
      <c r="AR220">
        <f>SUMPRODUCT((B24:B31&lt;=$B$6)*(C24:C31*AM220+D24:D31*AO220*$B$8*AQ220)/(1+AL220/100)^B24:B31)+C32*AM220*AP220/(1+AL220/100)^$B$6</f>
        <v/>
      </c>
      <c r="AS220">
        <f>SUMPRODUCT((K24:K26&lt;=$B$6)*(L24:L26*AN220+M24:M26*AO220*$B$8*AQ220)/(1+AL220/100)^K24:K26)+L27*AN220*AP220/(1+AL220/100)^$B$6</f>
        <v/>
      </c>
      <c r="AT220">
        <f>AS220-AR220</f>
        <v/>
      </c>
      <c r="AU220">
        <f>RAND()</f>
        <v/>
      </c>
      <c r="AV220">
        <f>RAND()</f>
        <v/>
      </c>
      <c r="AW220">
        <f>RAND()</f>
        <v/>
      </c>
      <c r="AX220">
        <f>RAND()</f>
        <v/>
      </c>
      <c r="AY220">
        <f>RAND()</f>
        <v/>
      </c>
      <c r="AZ220">
        <f>RAND()</f>
        <v/>
      </c>
    </row>
    <row r="221">
      <c r="AK221" t="n">
        <v>208</v>
      </c>
      <c r="AL221">
        <f>IFERROR(IF(AU221&lt;($AM$6-$AL$6)/($AN$6-$AL$6),$AL$6+SQRT(AU221*($AN$6-$AL$6)*($AM$6-$AL$6)),$AN$6-SQRT((1-AU221)*($AN$6-$AL$6)*($AN$6-$AM$6))),$AM$6)</f>
        <v/>
      </c>
      <c r="AM221">
        <f>IFERROR(IF(AV221&lt;($AM$7-$AL$7)/($AN$7-$AL$7),$AL$7+SQRT(AV221*($AN$7-$AL$7)*($AM$7-$AL$7)),$AN$7-SQRT((1-AV221)*($AN$7-$AL$7)*($AN$7-$AM$7))),$AM$7)</f>
        <v/>
      </c>
      <c r="AN221">
        <f>IFERROR(IF(AW221&lt;($AM$8-$AL$8)/($AN$8-$AL$8),$AL$8+SQRT(AW221*($AN$8-$AL$8)*($AM$8-$AL$8)),$AN$8-SQRT((1-AW221)*($AN$8-$AL$8)*($AN$8-$AM$8))),$AM$8)</f>
        <v/>
      </c>
      <c r="AO221">
        <f>IFERROR(IF(AX221&lt;($AM$9-$AL$9)/($AN$9-$AL$9),$AL$9+SQRT(AX221*($AN$9-$AL$9)*($AM$9-$AL$9)),$AN$9-SQRT((1-AX221)*($AN$9-$AL$9)*($AN$9-$AM$9))),$AM$9)</f>
        <v/>
      </c>
      <c r="AP221">
        <f>IFERROR(IF(AY221&lt;($AM$10-$AL$10)/($AN$10-$AL$10),$AL$10+SQRT(AY221*($AN$10-$AL$10)*($AM$10-$AL$10)),$AN$10-SQRT((1-AY221)*($AN$10-$AL$10)*($AN$10-$AM$10))),$AM$10)</f>
        <v/>
      </c>
      <c r="AQ221">
        <f>IFERROR(IF(AZ221&lt;($AM$11-$AL$11)/($AN$11-$AL$11),$AL$11+SQRT(AZ221*($AN$11-$AL$11)*($AM$11-$AL$11)),$AN$11-SQRT((1-AZ221)*($AN$11-$AL$11)*($AN$11-$AM$11))),$AM$11)</f>
        <v/>
      </c>
      <c r="AR221">
        <f>SUMPRODUCT((B24:B31&lt;=$B$6)*(C24:C31*AM221+D24:D31*AO221*$B$8*AQ221)/(1+AL221/100)^B24:B31)+C32*AM221*AP221/(1+AL221/100)^$B$6</f>
        <v/>
      </c>
      <c r="AS221">
        <f>SUMPRODUCT((K24:K26&lt;=$B$6)*(L24:L26*AN221+M24:M26*AO221*$B$8*AQ221)/(1+AL221/100)^K24:K26)+L27*AN221*AP221/(1+AL221/100)^$B$6</f>
        <v/>
      </c>
      <c r="AT221">
        <f>AS221-AR221</f>
        <v/>
      </c>
      <c r="AU221">
        <f>RAND()</f>
        <v/>
      </c>
      <c r="AV221">
        <f>RAND()</f>
        <v/>
      </c>
      <c r="AW221">
        <f>RAND()</f>
        <v/>
      </c>
      <c r="AX221">
        <f>RAND()</f>
        <v/>
      </c>
      <c r="AY221">
        <f>RAND()</f>
        <v/>
      </c>
      <c r="AZ221">
        <f>RAND()</f>
        <v/>
      </c>
    </row>
    <row r="222">
      <c r="AK222" t="n">
        <v>209</v>
      </c>
      <c r="AL222">
        <f>IFERROR(IF(AU222&lt;($AM$6-$AL$6)/($AN$6-$AL$6),$AL$6+SQRT(AU222*($AN$6-$AL$6)*($AM$6-$AL$6)),$AN$6-SQRT((1-AU222)*($AN$6-$AL$6)*($AN$6-$AM$6))),$AM$6)</f>
        <v/>
      </c>
      <c r="AM222">
        <f>IFERROR(IF(AV222&lt;($AM$7-$AL$7)/($AN$7-$AL$7),$AL$7+SQRT(AV222*($AN$7-$AL$7)*($AM$7-$AL$7)),$AN$7-SQRT((1-AV222)*($AN$7-$AL$7)*($AN$7-$AM$7))),$AM$7)</f>
        <v/>
      </c>
      <c r="AN222">
        <f>IFERROR(IF(AW222&lt;($AM$8-$AL$8)/($AN$8-$AL$8),$AL$8+SQRT(AW222*($AN$8-$AL$8)*($AM$8-$AL$8)),$AN$8-SQRT((1-AW222)*($AN$8-$AL$8)*($AN$8-$AM$8))),$AM$8)</f>
        <v/>
      </c>
      <c r="AO222">
        <f>IFERROR(IF(AX222&lt;($AM$9-$AL$9)/($AN$9-$AL$9),$AL$9+SQRT(AX222*($AN$9-$AL$9)*($AM$9-$AL$9)),$AN$9-SQRT((1-AX222)*($AN$9-$AL$9)*($AN$9-$AM$9))),$AM$9)</f>
        <v/>
      </c>
      <c r="AP222">
        <f>IFERROR(IF(AY222&lt;($AM$10-$AL$10)/($AN$10-$AL$10),$AL$10+SQRT(AY222*($AN$10-$AL$10)*($AM$10-$AL$10)),$AN$10-SQRT((1-AY222)*($AN$10-$AL$10)*($AN$10-$AM$10))),$AM$10)</f>
        <v/>
      </c>
      <c r="AQ222">
        <f>IFERROR(IF(AZ222&lt;($AM$11-$AL$11)/($AN$11-$AL$11),$AL$11+SQRT(AZ222*($AN$11-$AL$11)*($AM$11-$AL$11)),$AN$11-SQRT((1-AZ222)*($AN$11-$AL$11)*($AN$11-$AM$11))),$AM$11)</f>
        <v/>
      </c>
      <c r="AR222">
        <f>SUMPRODUCT((B24:B31&lt;=$B$6)*(C24:C31*AM222+D24:D31*AO222*$B$8*AQ222)/(1+AL222/100)^B24:B31)+C32*AM222*AP222/(1+AL222/100)^$B$6</f>
        <v/>
      </c>
      <c r="AS222">
        <f>SUMPRODUCT((K24:K26&lt;=$B$6)*(L24:L26*AN222+M24:M26*AO222*$B$8*AQ222)/(1+AL222/100)^K24:K26)+L27*AN222*AP222/(1+AL222/100)^$B$6</f>
        <v/>
      </c>
      <c r="AT222">
        <f>AS222-AR222</f>
        <v/>
      </c>
      <c r="AU222">
        <f>RAND()</f>
        <v/>
      </c>
      <c r="AV222">
        <f>RAND()</f>
        <v/>
      </c>
      <c r="AW222">
        <f>RAND()</f>
        <v/>
      </c>
      <c r="AX222">
        <f>RAND()</f>
        <v/>
      </c>
      <c r="AY222">
        <f>RAND()</f>
        <v/>
      </c>
      <c r="AZ222">
        <f>RAND()</f>
        <v/>
      </c>
    </row>
    <row r="223">
      <c r="AK223" t="n">
        <v>210</v>
      </c>
      <c r="AL223">
        <f>IFERROR(IF(AU223&lt;($AM$6-$AL$6)/($AN$6-$AL$6),$AL$6+SQRT(AU223*($AN$6-$AL$6)*($AM$6-$AL$6)),$AN$6-SQRT((1-AU223)*($AN$6-$AL$6)*($AN$6-$AM$6))),$AM$6)</f>
        <v/>
      </c>
      <c r="AM223">
        <f>IFERROR(IF(AV223&lt;($AM$7-$AL$7)/($AN$7-$AL$7),$AL$7+SQRT(AV223*($AN$7-$AL$7)*($AM$7-$AL$7)),$AN$7-SQRT((1-AV223)*($AN$7-$AL$7)*($AN$7-$AM$7))),$AM$7)</f>
        <v/>
      </c>
      <c r="AN223">
        <f>IFERROR(IF(AW223&lt;($AM$8-$AL$8)/($AN$8-$AL$8),$AL$8+SQRT(AW223*($AN$8-$AL$8)*($AM$8-$AL$8)),$AN$8-SQRT((1-AW223)*($AN$8-$AL$8)*($AN$8-$AM$8))),$AM$8)</f>
        <v/>
      </c>
      <c r="AO223">
        <f>IFERROR(IF(AX223&lt;($AM$9-$AL$9)/($AN$9-$AL$9),$AL$9+SQRT(AX223*($AN$9-$AL$9)*($AM$9-$AL$9)),$AN$9-SQRT((1-AX223)*($AN$9-$AL$9)*($AN$9-$AM$9))),$AM$9)</f>
        <v/>
      </c>
      <c r="AP223">
        <f>IFERROR(IF(AY223&lt;($AM$10-$AL$10)/($AN$10-$AL$10),$AL$10+SQRT(AY223*($AN$10-$AL$10)*($AM$10-$AL$10)),$AN$10-SQRT((1-AY223)*($AN$10-$AL$10)*($AN$10-$AM$10))),$AM$10)</f>
        <v/>
      </c>
      <c r="AQ223">
        <f>IFERROR(IF(AZ223&lt;($AM$11-$AL$11)/($AN$11-$AL$11),$AL$11+SQRT(AZ223*($AN$11-$AL$11)*($AM$11-$AL$11)),$AN$11-SQRT((1-AZ223)*($AN$11-$AL$11)*($AN$11-$AM$11))),$AM$11)</f>
        <v/>
      </c>
      <c r="AR223">
        <f>SUMPRODUCT((B24:B31&lt;=$B$6)*(C24:C31*AM223+D24:D31*AO223*$B$8*AQ223)/(1+AL223/100)^B24:B31)+C32*AM223*AP223/(1+AL223/100)^$B$6</f>
        <v/>
      </c>
      <c r="AS223">
        <f>SUMPRODUCT((K24:K26&lt;=$B$6)*(L24:L26*AN223+M24:M26*AO223*$B$8*AQ223)/(1+AL223/100)^K24:K26)+L27*AN223*AP223/(1+AL223/100)^$B$6</f>
        <v/>
      </c>
      <c r="AT223">
        <f>AS223-AR223</f>
        <v/>
      </c>
      <c r="AU223">
        <f>RAND()</f>
        <v/>
      </c>
      <c r="AV223">
        <f>RAND()</f>
        <v/>
      </c>
      <c r="AW223">
        <f>RAND()</f>
        <v/>
      </c>
      <c r="AX223">
        <f>RAND()</f>
        <v/>
      </c>
      <c r="AY223">
        <f>RAND()</f>
        <v/>
      </c>
      <c r="AZ223">
        <f>RAND()</f>
        <v/>
      </c>
    </row>
    <row r="224">
      <c r="AK224" t="n">
        <v>211</v>
      </c>
      <c r="AL224">
        <f>IFERROR(IF(AU224&lt;($AM$6-$AL$6)/($AN$6-$AL$6),$AL$6+SQRT(AU224*($AN$6-$AL$6)*($AM$6-$AL$6)),$AN$6-SQRT((1-AU224)*($AN$6-$AL$6)*($AN$6-$AM$6))),$AM$6)</f>
        <v/>
      </c>
      <c r="AM224">
        <f>IFERROR(IF(AV224&lt;($AM$7-$AL$7)/($AN$7-$AL$7),$AL$7+SQRT(AV224*($AN$7-$AL$7)*($AM$7-$AL$7)),$AN$7-SQRT((1-AV224)*($AN$7-$AL$7)*($AN$7-$AM$7))),$AM$7)</f>
        <v/>
      </c>
      <c r="AN224">
        <f>IFERROR(IF(AW224&lt;($AM$8-$AL$8)/($AN$8-$AL$8),$AL$8+SQRT(AW224*($AN$8-$AL$8)*($AM$8-$AL$8)),$AN$8-SQRT((1-AW224)*($AN$8-$AL$8)*($AN$8-$AM$8))),$AM$8)</f>
        <v/>
      </c>
      <c r="AO224">
        <f>IFERROR(IF(AX224&lt;($AM$9-$AL$9)/($AN$9-$AL$9),$AL$9+SQRT(AX224*($AN$9-$AL$9)*($AM$9-$AL$9)),$AN$9-SQRT((1-AX224)*($AN$9-$AL$9)*($AN$9-$AM$9))),$AM$9)</f>
        <v/>
      </c>
      <c r="AP224">
        <f>IFERROR(IF(AY224&lt;($AM$10-$AL$10)/($AN$10-$AL$10),$AL$10+SQRT(AY224*($AN$10-$AL$10)*($AM$10-$AL$10)),$AN$10-SQRT((1-AY224)*($AN$10-$AL$10)*($AN$10-$AM$10))),$AM$10)</f>
        <v/>
      </c>
      <c r="AQ224">
        <f>IFERROR(IF(AZ224&lt;($AM$11-$AL$11)/($AN$11-$AL$11),$AL$11+SQRT(AZ224*($AN$11-$AL$11)*($AM$11-$AL$11)),$AN$11-SQRT((1-AZ224)*($AN$11-$AL$11)*($AN$11-$AM$11))),$AM$11)</f>
        <v/>
      </c>
      <c r="AR224">
        <f>SUMPRODUCT((B24:B31&lt;=$B$6)*(C24:C31*AM224+D24:D31*AO224*$B$8*AQ224)/(1+AL224/100)^B24:B31)+C32*AM224*AP224/(1+AL224/100)^$B$6</f>
        <v/>
      </c>
      <c r="AS224">
        <f>SUMPRODUCT((K24:K26&lt;=$B$6)*(L24:L26*AN224+M24:M26*AO224*$B$8*AQ224)/(1+AL224/100)^K24:K26)+L27*AN224*AP224/(1+AL224/100)^$B$6</f>
        <v/>
      </c>
      <c r="AT224">
        <f>AS224-AR224</f>
        <v/>
      </c>
      <c r="AU224">
        <f>RAND()</f>
        <v/>
      </c>
      <c r="AV224">
        <f>RAND()</f>
        <v/>
      </c>
      <c r="AW224">
        <f>RAND()</f>
        <v/>
      </c>
      <c r="AX224">
        <f>RAND()</f>
        <v/>
      </c>
      <c r="AY224">
        <f>RAND()</f>
        <v/>
      </c>
      <c r="AZ224">
        <f>RAND()</f>
        <v/>
      </c>
    </row>
    <row r="225">
      <c r="AK225" t="n">
        <v>212</v>
      </c>
      <c r="AL225">
        <f>IFERROR(IF(AU225&lt;($AM$6-$AL$6)/($AN$6-$AL$6),$AL$6+SQRT(AU225*($AN$6-$AL$6)*($AM$6-$AL$6)),$AN$6-SQRT((1-AU225)*($AN$6-$AL$6)*($AN$6-$AM$6))),$AM$6)</f>
        <v/>
      </c>
      <c r="AM225">
        <f>IFERROR(IF(AV225&lt;($AM$7-$AL$7)/($AN$7-$AL$7),$AL$7+SQRT(AV225*($AN$7-$AL$7)*($AM$7-$AL$7)),$AN$7-SQRT((1-AV225)*($AN$7-$AL$7)*($AN$7-$AM$7))),$AM$7)</f>
        <v/>
      </c>
      <c r="AN225">
        <f>IFERROR(IF(AW225&lt;($AM$8-$AL$8)/($AN$8-$AL$8),$AL$8+SQRT(AW225*($AN$8-$AL$8)*($AM$8-$AL$8)),$AN$8-SQRT((1-AW225)*($AN$8-$AL$8)*($AN$8-$AM$8))),$AM$8)</f>
        <v/>
      </c>
      <c r="AO225">
        <f>IFERROR(IF(AX225&lt;($AM$9-$AL$9)/($AN$9-$AL$9),$AL$9+SQRT(AX225*($AN$9-$AL$9)*($AM$9-$AL$9)),$AN$9-SQRT((1-AX225)*($AN$9-$AL$9)*($AN$9-$AM$9))),$AM$9)</f>
        <v/>
      </c>
      <c r="AP225">
        <f>IFERROR(IF(AY225&lt;($AM$10-$AL$10)/($AN$10-$AL$10),$AL$10+SQRT(AY225*($AN$10-$AL$10)*($AM$10-$AL$10)),$AN$10-SQRT((1-AY225)*($AN$10-$AL$10)*($AN$10-$AM$10))),$AM$10)</f>
        <v/>
      </c>
      <c r="AQ225">
        <f>IFERROR(IF(AZ225&lt;($AM$11-$AL$11)/($AN$11-$AL$11),$AL$11+SQRT(AZ225*($AN$11-$AL$11)*($AM$11-$AL$11)),$AN$11-SQRT((1-AZ225)*($AN$11-$AL$11)*($AN$11-$AM$11))),$AM$11)</f>
        <v/>
      </c>
      <c r="AR225">
        <f>SUMPRODUCT((B24:B31&lt;=$B$6)*(C24:C31*AM225+D24:D31*AO225*$B$8*AQ225)/(1+AL225/100)^B24:B31)+C32*AM225*AP225/(1+AL225/100)^$B$6</f>
        <v/>
      </c>
      <c r="AS225">
        <f>SUMPRODUCT((K24:K26&lt;=$B$6)*(L24:L26*AN225+M24:M26*AO225*$B$8*AQ225)/(1+AL225/100)^K24:K26)+L27*AN225*AP225/(1+AL225/100)^$B$6</f>
        <v/>
      </c>
      <c r="AT225">
        <f>AS225-AR225</f>
        <v/>
      </c>
      <c r="AU225">
        <f>RAND()</f>
        <v/>
      </c>
      <c r="AV225">
        <f>RAND()</f>
        <v/>
      </c>
      <c r="AW225">
        <f>RAND()</f>
        <v/>
      </c>
      <c r="AX225">
        <f>RAND()</f>
        <v/>
      </c>
      <c r="AY225">
        <f>RAND()</f>
        <v/>
      </c>
      <c r="AZ225">
        <f>RAND()</f>
        <v/>
      </c>
    </row>
    <row r="226">
      <c r="AK226" t="n">
        <v>213</v>
      </c>
      <c r="AL226">
        <f>IFERROR(IF(AU226&lt;($AM$6-$AL$6)/($AN$6-$AL$6),$AL$6+SQRT(AU226*($AN$6-$AL$6)*($AM$6-$AL$6)),$AN$6-SQRT((1-AU226)*($AN$6-$AL$6)*($AN$6-$AM$6))),$AM$6)</f>
        <v/>
      </c>
      <c r="AM226">
        <f>IFERROR(IF(AV226&lt;($AM$7-$AL$7)/($AN$7-$AL$7),$AL$7+SQRT(AV226*($AN$7-$AL$7)*($AM$7-$AL$7)),$AN$7-SQRT((1-AV226)*($AN$7-$AL$7)*($AN$7-$AM$7))),$AM$7)</f>
        <v/>
      </c>
      <c r="AN226">
        <f>IFERROR(IF(AW226&lt;($AM$8-$AL$8)/($AN$8-$AL$8),$AL$8+SQRT(AW226*($AN$8-$AL$8)*($AM$8-$AL$8)),$AN$8-SQRT((1-AW226)*($AN$8-$AL$8)*($AN$8-$AM$8))),$AM$8)</f>
        <v/>
      </c>
      <c r="AO226">
        <f>IFERROR(IF(AX226&lt;($AM$9-$AL$9)/($AN$9-$AL$9),$AL$9+SQRT(AX226*($AN$9-$AL$9)*($AM$9-$AL$9)),$AN$9-SQRT((1-AX226)*($AN$9-$AL$9)*($AN$9-$AM$9))),$AM$9)</f>
        <v/>
      </c>
      <c r="AP226">
        <f>IFERROR(IF(AY226&lt;($AM$10-$AL$10)/($AN$10-$AL$10),$AL$10+SQRT(AY226*($AN$10-$AL$10)*($AM$10-$AL$10)),$AN$10-SQRT((1-AY226)*($AN$10-$AL$10)*($AN$10-$AM$10))),$AM$10)</f>
        <v/>
      </c>
      <c r="AQ226">
        <f>IFERROR(IF(AZ226&lt;($AM$11-$AL$11)/($AN$11-$AL$11),$AL$11+SQRT(AZ226*($AN$11-$AL$11)*($AM$11-$AL$11)),$AN$11-SQRT((1-AZ226)*($AN$11-$AL$11)*($AN$11-$AM$11))),$AM$11)</f>
        <v/>
      </c>
      <c r="AR226">
        <f>SUMPRODUCT((B24:B31&lt;=$B$6)*(C24:C31*AM226+D24:D31*AO226*$B$8*AQ226)/(1+AL226/100)^B24:B31)+C32*AM226*AP226/(1+AL226/100)^$B$6</f>
        <v/>
      </c>
      <c r="AS226">
        <f>SUMPRODUCT((K24:K26&lt;=$B$6)*(L24:L26*AN226+M24:M26*AO226*$B$8*AQ226)/(1+AL226/100)^K24:K26)+L27*AN226*AP226/(1+AL226/100)^$B$6</f>
        <v/>
      </c>
      <c r="AT226">
        <f>AS226-AR226</f>
        <v/>
      </c>
      <c r="AU226">
        <f>RAND()</f>
        <v/>
      </c>
      <c r="AV226">
        <f>RAND()</f>
        <v/>
      </c>
      <c r="AW226">
        <f>RAND()</f>
        <v/>
      </c>
      <c r="AX226">
        <f>RAND()</f>
        <v/>
      </c>
      <c r="AY226">
        <f>RAND()</f>
        <v/>
      </c>
      <c r="AZ226">
        <f>RAND()</f>
        <v/>
      </c>
    </row>
    <row r="227">
      <c r="AK227" t="n">
        <v>214</v>
      </c>
      <c r="AL227">
        <f>IFERROR(IF(AU227&lt;($AM$6-$AL$6)/($AN$6-$AL$6),$AL$6+SQRT(AU227*($AN$6-$AL$6)*($AM$6-$AL$6)),$AN$6-SQRT((1-AU227)*($AN$6-$AL$6)*($AN$6-$AM$6))),$AM$6)</f>
        <v/>
      </c>
      <c r="AM227">
        <f>IFERROR(IF(AV227&lt;($AM$7-$AL$7)/($AN$7-$AL$7),$AL$7+SQRT(AV227*($AN$7-$AL$7)*($AM$7-$AL$7)),$AN$7-SQRT((1-AV227)*($AN$7-$AL$7)*($AN$7-$AM$7))),$AM$7)</f>
        <v/>
      </c>
      <c r="AN227">
        <f>IFERROR(IF(AW227&lt;($AM$8-$AL$8)/($AN$8-$AL$8),$AL$8+SQRT(AW227*($AN$8-$AL$8)*($AM$8-$AL$8)),$AN$8-SQRT((1-AW227)*($AN$8-$AL$8)*($AN$8-$AM$8))),$AM$8)</f>
        <v/>
      </c>
      <c r="AO227">
        <f>IFERROR(IF(AX227&lt;($AM$9-$AL$9)/($AN$9-$AL$9),$AL$9+SQRT(AX227*($AN$9-$AL$9)*($AM$9-$AL$9)),$AN$9-SQRT((1-AX227)*($AN$9-$AL$9)*($AN$9-$AM$9))),$AM$9)</f>
        <v/>
      </c>
      <c r="AP227">
        <f>IFERROR(IF(AY227&lt;($AM$10-$AL$10)/($AN$10-$AL$10),$AL$10+SQRT(AY227*($AN$10-$AL$10)*($AM$10-$AL$10)),$AN$10-SQRT((1-AY227)*($AN$10-$AL$10)*($AN$10-$AM$10))),$AM$10)</f>
        <v/>
      </c>
      <c r="AQ227">
        <f>IFERROR(IF(AZ227&lt;($AM$11-$AL$11)/($AN$11-$AL$11),$AL$11+SQRT(AZ227*($AN$11-$AL$11)*($AM$11-$AL$11)),$AN$11-SQRT((1-AZ227)*($AN$11-$AL$11)*($AN$11-$AM$11))),$AM$11)</f>
        <v/>
      </c>
      <c r="AR227">
        <f>SUMPRODUCT((B24:B31&lt;=$B$6)*(C24:C31*AM227+D24:D31*AO227*$B$8*AQ227)/(1+AL227/100)^B24:B31)+C32*AM227*AP227/(1+AL227/100)^$B$6</f>
        <v/>
      </c>
      <c r="AS227">
        <f>SUMPRODUCT((K24:K26&lt;=$B$6)*(L24:L26*AN227+M24:M26*AO227*$B$8*AQ227)/(1+AL227/100)^K24:K26)+L27*AN227*AP227/(1+AL227/100)^$B$6</f>
        <v/>
      </c>
      <c r="AT227">
        <f>AS227-AR227</f>
        <v/>
      </c>
      <c r="AU227">
        <f>RAND()</f>
        <v/>
      </c>
      <c r="AV227">
        <f>RAND()</f>
        <v/>
      </c>
      <c r="AW227">
        <f>RAND()</f>
        <v/>
      </c>
      <c r="AX227">
        <f>RAND()</f>
        <v/>
      </c>
      <c r="AY227">
        <f>RAND()</f>
        <v/>
      </c>
      <c r="AZ227">
        <f>RAND()</f>
        <v/>
      </c>
    </row>
    <row r="228">
      <c r="AK228" t="n">
        <v>215</v>
      </c>
      <c r="AL228">
        <f>IFERROR(IF(AU228&lt;($AM$6-$AL$6)/($AN$6-$AL$6),$AL$6+SQRT(AU228*($AN$6-$AL$6)*($AM$6-$AL$6)),$AN$6-SQRT((1-AU228)*($AN$6-$AL$6)*($AN$6-$AM$6))),$AM$6)</f>
        <v/>
      </c>
      <c r="AM228">
        <f>IFERROR(IF(AV228&lt;($AM$7-$AL$7)/($AN$7-$AL$7),$AL$7+SQRT(AV228*($AN$7-$AL$7)*($AM$7-$AL$7)),$AN$7-SQRT((1-AV228)*($AN$7-$AL$7)*($AN$7-$AM$7))),$AM$7)</f>
        <v/>
      </c>
      <c r="AN228">
        <f>IFERROR(IF(AW228&lt;($AM$8-$AL$8)/($AN$8-$AL$8),$AL$8+SQRT(AW228*($AN$8-$AL$8)*($AM$8-$AL$8)),$AN$8-SQRT((1-AW228)*($AN$8-$AL$8)*($AN$8-$AM$8))),$AM$8)</f>
        <v/>
      </c>
      <c r="AO228">
        <f>IFERROR(IF(AX228&lt;($AM$9-$AL$9)/($AN$9-$AL$9),$AL$9+SQRT(AX228*($AN$9-$AL$9)*($AM$9-$AL$9)),$AN$9-SQRT((1-AX228)*($AN$9-$AL$9)*($AN$9-$AM$9))),$AM$9)</f>
        <v/>
      </c>
      <c r="AP228">
        <f>IFERROR(IF(AY228&lt;($AM$10-$AL$10)/($AN$10-$AL$10),$AL$10+SQRT(AY228*($AN$10-$AL$10)*($AM$10-$AL$10)),$AN$10-SQRT((1-AY228)*($AN$10-$AL$10)*($AN$10-$AM$10))),$AM$10)</f>
        <v/>
      </c>
      <c r="AQ228">
        <f>IFERROR(IF(AZ228&lt;($AM$11-$AL$11)/($AN$11-$AL$11),$AL$11+SQRT(AZ228*($AN$11-$AL$11)*($AM$11-$AL$11)),$AN$11-SQRT((1-AZ228)*($AN$11-$AL$11)*($AN$11-$AM$11))),$AM$11)</f>
        <v/>
      </c>
      <c r="AR228">
        <f>SUMPRODUCT((B24:B31&lt;=$B$6)*(C24:C31*AM228+D24:D31*AO228*$B$8*AQ228)/(1+AL228/100)^B24:B31)+C32*AM228*AP228/(1+AL228/100)^$B$6</f>
        <v/>
      </c>
      <c r="AS228">
        <f>SUMPRODUCT((K24:K26&lt;=$B$6)*(L24:L26*AN228+M24:M26*AO228*$B$8*AQ228)/(1+AL228/100)^K24:K26)+L27*AN228*AP228/(1+AL228/100)^$B$6</f>
        <v/>
      </c>
      <c r="AT228">
        <f>AS228-AR228</f>
        <v/>
      </c>
      <c r="AU228">
        <f>RAND()</f>
        <v/>
      </c>
      <c r="AV228">
        <f>RAND()</f>
        <v/>
      </c>
      <c r="AW228">
        <f>RAND()</f>
        <v/>
      </c>
      <c r="AX228">
        <f>RAND()</f>
        <v/>
      </c>
      <c r="AY228">
        <f>RAND()</f>
        <v/>
      </c>
      <c r="AZ228">
        <f>RAND()</f>
        <v/>
      </c>
    </row>
    <row r="229">
      <c r="AK229" t="n">
        <v>216</v>
      </c>
      <c r="AL229">
        <f>IFERROR(IF(AU229&lt;($AM$6-$AL$6)/($AN$6-$AL$6),$AL$6+SQRT(AU229*($AN$6-$AL$6)*($AM$6-$AL$6)),$AN$6-SQRT((1-AU229)*($AN$6-$AL$6)*($AN$6-$AM$6))),$AM$6)</f>
        <v/>
      </c>
      <c r="AM229">
        <f>IFERROR(IF(AV229&lt;($AM$7-$AL$7)/($AN$7-$AL$7),$AL$7+SQRT(AV229*($AN$7-$AL$7)*($AM$7-$AL$7)),$AN$7-SQRT((1-AV229)*($AN$7-$AL$7)*($AN$7-$AM$7))),$AM$7)</f>
        <v/>
      </c>
      <c r="AN229">
        <f>IFERROR(IF(AW229&lt;($AM$8-$AL$8)/($AN$8-$AL$8),$AL$8+SQRT(AW229*($AN$8-$AL$8)*($AM$8-$AL$8)),$AN$8-SQRT((1-AW229)*($AN$8-$AL$8)*($AN$8-$AM$8))),$AM$8)</f>
        <v/>
      </c>
      <c r="AO229">
        <f>IFERROR(IF(AX229&lt;($AM$9-$AL$9)/($AN$9-$AL$9),$AL$9+SQRT(AX229*($AN$9-$AL$9)*($AM$9-$AL$9)),$AN$9-SQRT((1-AX229)*($AN$9-$AL$9)*($AN$9-$AM$9))),$AM$9)</f>
        <v/>
      </c>
      <c r="AP229">
        <f>IFERROR(IF(AY229&lt;($AM$10-$AL$10)/($AN$10-$AL$10),$AL$10+SQRT(AY229*($AN$10-$AL$10)*($AM$10-$AL$10)),$AN$10-SQRT((1-AY229)*($AN$10-$AL$10)*($AN$10-$AM$10))),$AM$10)</f>
        <v/>
      </c>
      <c r="AQ229">
        <f>IFERROR(IF(AZ229&lt;($AM$11-$AL$11)/($AN$11-$AL$11),$AL$11+SQRT(AZ229*($AN$11-$AL$11)*($AM$11-$AL$11)),$AN$11-SQRT((1-AZ229)*($AN$11-$AL$11)*($AN$11-$AM$11))),$AM$11)</f>
        <v/>
      </c>
      <c r="AR229">
        <f>SUMPRODUCT((B24:B31&lt;=$B$6)*(C24:C31*AM229+D24:D31*AO229*$B$8*AQ229)/(1+AL229/100)^B24:B31)+C32*AM229*AP229/(1+AL229/100)^$B$6</f>
        <v/>
      </c>
      <c r="AS229">
        <f>SUMPRODUCT((K24:K26&lt;=$B$6)*(L24:L26*AN229+M24:M26*AO229*$B$8*AQ229)/(1+AL229/100)^K24:K26)+L27*AN229*AP229/(1+AL229/100)^$B$6</f>
        <v/>
      </c>
      <c r="AT229">
        <f>AS229-AR229</f>
        <v/>
      </c>
      <c r="AU229">
        <f>RAND()</f>
        <v/>
      </c>
      <c r="AV229">
        <f>RAND()</f>
        <v/>
      </c>
      <c r="AW229">
        <f>RAND()</f>
        <v/>
      </c>
      <c r="AX229">
        <f>RAND()</f>
        <v/>
      </c>
      <c r="AY229">
        <f>RAND()</f>
        <v/>
      </c>
      <c r="AZ229">
        <f>RAND()</f>
        <v/>
      </c>
    </row>
    <row r="230">
      <c r="AK230" t="n">
        <v>217</v>
      </c>
      <c r="AL230">
        <f>IFERROR(IF(AU230&lt;($AM$6-$AL$6)/($AN$6-$AL$6),$AL$6+SQRT(AU230*($AN$6-$AL$6)*($AM$6-$AL$6)),$AN$6-SQRT((1-AU230)*($AN$6-$AL$6)*($AN$6-$AM$6))),$AM$6)</f>
        <v/>
      </c>
      <c r="AM230">
        <f>IFERROR(IF(AV230&lt;($AM$7-$AL$7)/($AN$7-$AL$7),$AL$7+SQRT(AV230*($AN$7-$AL$7)*($AM$7-$AL$7)),$AN$7-SQRT((1-AV230)*($AN$7-$AL$7)*($AN$7-$AM$7))),$AM$7)</f>
        <v/>
      </c>
      <c r="AN230">
        <f>IFERROR(IF(AW230&lt;($AM$8-$AL$8)/($AN$8-$AL$8),$AL$8+SQRT(AW230*($AN$8-$AL$8)*($AM$8-$AL$8)),$AN$8-SQRT((1-AW230)*($AN$8-$AL$8)*($AN$8-$AM$8))),$AM$8)</f>
        <v/>
      </c>
      <c r="AO230">
        <f>IFERROR(IF(AX230&lt;($AM$9-$AL$9)/($AN$9-$AL$9),$AL$9+SQRT(AX230*($AN$9-$AL$9)*($AM$9-$AL$9)),$AN$9-SQRT((1-AX230)*($AN$9-$AL$9)*($AN$9-$AM$9))),$AM$9)</f>
        <v/>
      </c>
      <c r="AP230">
        <f>IFERROR(IF(AY230&lt;($AM$10-$AL$10)/($AN$10-$AL$10),$AL$10+SQRT(AY230*($AN$10-$AL$10)*($AM$10-$AL$10)),$AN$10-SQRT((1-AY230)*($AN$10-$AL$10)*($AN$10-$AM$10))),$AM$10)</f>
        <v/>
      </c>
      <c r="AQ230">
        <f>IFERROR(IF(AZ230&lt;($AM$11-$AL$11)/($AN$11-$AL$11),$AL$11+SQRT(AZ230*($AN$11-$AL$11)*($AM$11-$AL$11)),$AN$11-SQRT((1-AZ230)*($AN$11-$AL$11)*($AN$11-$AM$11))),$AM$11)</f>
        <v/>
      </c>
      <c r="AR230">
        <f>SUMPRODUCT((B24:B31&lt;=$B$6)*(C24:C31*AM230+D24:D31*AO230*$B$8*AQ230)/(1+AL230/100)^B24:B31)+C32*AM230*AP230/(1+AL230/100)^$B$6</f>
        <v/>
      </c>
      <c r="AS230">
        <f>SUMPRODUCT((K24:K26&lt;=$B$6)*(L24:L26*AN230+M24:M26*AO230*$B$8*AQ230)/(1+AL230/100)^K24:K26)+L27*AN230*AP230/(1+AL230/100)^$B$6</f>
        <v/>
      </c>
      <c r="AT230">
        <f>AS230-AR230</f>
        <v/>
      </c>
      <c r="AU230">
        <f>RAND()</f>
        <v/>
      </c>
      <c r="AV230">
        <f>RAND()</f>
        <v/>
      </c>
      <c r="AW230">
        <f>RAND()</f>
        <v/>
      </c>
      <c r="AX230">
        <f>RAND()</f>
        <v/>
      </c>
      <c r="AY230">
        <f>RAND()</f>
        <v/>
      </c>
      <c r="AZ230">
        <f>RAND()</f>
        <v/>
      </c>
    </row>
    <row r="231">
      <c r="AK231" t="n">
        <v>218</v>
      </c>
      <c r="AL231">
        <f>IFERROR(IF(AU231&lt;($AM$6-$AL$6)/($AN$6-$AL$6),$AL$6+SQRT(AU231*($AN$6-$AL$6)*($AM$6-$AL$6)),$AN$6-SQRT((1-AU231)*($AN$6-$AL$6)*($AN$6-$AM$6))),$AM$6)</f>
        <v/>
      </c>
      <c r="AM231">
        <f>IFERROR(IF(AV231&lt;($AM$7-$AL$7)/($AN$7-$AL$7),$AL$7+SQRT(AV231*($AN$7-$AL$7)*($AM$7-$AL$7)),$AN$7-SQRT((1-AV231)*($AN$7-$AL$7)*($AN$7-$AM$7))),$AM$7)</f>
        <v/>
      </c>
      <c r="AN231">
        <f>IFERROR(IF(AW231&lt;($AM$8-$AL$8)/($AN$8-$AL$8),$AL$8+SQRT(AW231*($AN$8-$AL$8)*($AM$8-$AL$8)),$AN$8-SQRT((1-AW231)*($AN$8-$AL$8)*($AN$8-$AM$8))),$AM$8)</f>
        <v/>
      </c>
      <c r="AO231">
        <f>IFERROR(IF(AX231&lt;($AM$9-$AL$9)/($AN$9-$AL$9),$AL$9+SQRT(AX231*($AN$9-$AL$9)*($AM$9-$AL$9)),$AN$9-SQRT((1-AX231)*($AN$9-$AL$9)*($AN$9-$AM$9))),$AM$9)</f>
        <v/>
      </c>
      <c r="AP231">
        <f>IFERROR(IF(AY231&lt;($AM$10-$AL$10)/($AN$10-$AL$10),$AL$10+SQRT(AY231*($AN$10-$AL$10)*($AM$10-$AL$10)),$AN$10-SQRT((1-AY231)*($AN$10-$AL$10)*($AN$10-$AM$10))),$AM$10)</f>
        <v/>
      </c>
      <c r="AQ231">
        <f>IFERROR(IF(AZ231&lt;($AM$11-$AL$11)/($AN$11-$AL$11),$AL$11+SQRT(AZ231*($AN$11-$AL$11)*($AM$11-$AL$11)),$AN$11-SQRT((1-AZ231)*($AN$11-$AL$11)*($AN$11-$AM$11))),$AM$11)</f>
        <v/>
      </c>
      <c r="AR231">
        <f>SUMPRODUCT((B24:B31&lt;=$B$6)*(C24:C31*AM231+D24:D31*AO231*$B$8*AQ231)/(1+AL231/100)^B24:B31)+C32*AM231*AP231/(1+AL231/100)^$B$6</f>
        <v/>
      </c>
      <c r="AS231">
        <f>SUMPRODUCT((K24:K26&lt;=$B$6)*(L24:L26*AN231+M24:M26*AO231*$B$8*AQ231)/(1+AL231/100)^K24:K26)+L27*AN231*AP231/(1+AL231/100)^$B$6</f>
        <v/>
      </c>
      <c r="AT231">
        <f>AS231-AR231</f>
        <v/>
      </c>
      <c r="AU231">
        <f>RAND()</f>
        <v/>
      </c>
      <c r="AV231">
        <f>RAND()</f>
        <v/>
      </c>
      <c r="AW231">
        <f>RAND()</f>
        <v/>
      </c>
      <c r="AX231">
        <f>RAND()</f>
        <v/>
      </c>
      <c r="AY231">
        <f>RAND()</f>
        <v/>
      </c>
      <c r="AZ231">
        <f>RAND()</f>
        <v/>
      </c>
    </row>
    <row r="232">
      <c r="AK232" t="n">
        <v>219</v>
      </c>
      <c r="AL232">
        <f>IFERROR(IF(AU232&lt;($AM$6-$AL$6)/($AN$6-$AL$6),$AL$6+SQRT(AU232*($AN$6-$AL$6)*($AM$6-$AL$6)),$AN$6-SQRT((1-AU232)*($AN$6-$AL$6)*($AN$6-$AM$6))),$AM$6)</f>
        <v/>
      </c>
      <c r="AM232">
        <f>IFERROR(IF(AV232&lt;($AM$7-$AL$7)/($AN$7-$AL$7),$AL$7+SQRT(AV232*($AN$7-$AL$7)*($AM$7-$AL$7)),$AN$7-SQRT((1-AV232)*($AN$7-$AL$7)*($AN$7-$AM$7))),$AM$7)</f>
        <v/>
      </c>
      <c r="AN232">
        <f>IFERROR(IF(AW232&lt;($AM$8-$AL$8)/($AN$8-$AL$8),$AL$8+SQRT(AW232*($AN$8-$AL$8)*($AM$8-$AL$8)),$AN$8-SQRT((1-AW232)*($AN$8-$AL$8)*($AN$8-$AM$8))),$AM$8)</f>
        <v/>
      </c>
      <c r="AO232">
        <f>IFERROR(IF(AX232&lt;($AM$9-$AL$9)/($AN$9-$AL$9),$AL$9+SQRT(AX232*($AN$9-$AL$9)*($AM$9-$AL$9)),$AN$9-SQRT((1-AX232)*($AN$9-$AL$9)*($AN$9-$AM$9))),$AM$9)</f>
        <v/>
      </c>
      <c r="AP232">
        <f>IFERROR(IF(AY232&lt;($AM$10-$AL$10)/($AN$10-$AL$10),$AL$10+SQRT(AY232*($AN$10-$AL$10)*($AM$10-$AL$10)),$AN$10-SQRT((1-AY232)*($AN$10-$AL$10)*($AN$10-$AM$10))),$AM$10)</f>
        <v/>
      </c>
      <c r="AQ232">
        <f>IFERROR(IF(AZ232&lt;($AM$11-$AL$11)/($AN$11-$AL$11),$AL$11+SQRT(AZ232*($AN$11-$AL$11)*($AM$11-$AL$11)),$AN$11-SQRT((1-AZ232)*($AN$11-$AL$11)*($AN$11-$AM$11))),$AM$11)</f>
        <v/>
      </c>
      <c r="AR232">
        <f>SUMPRODUCT((B24:B31&lt;=$B$6)*(C24:C31*AM232+D24:D31*AO232*$B$8*AQ232)/(1+AL232/100)^B24:B31)+C32*AM232*AP232/(1+AL232/100)^$B$6</f>
        <v/>
      </c>
      <c r="AS232">
        <f>SUMPRODUCT((K24:K26&lt;=$B$6)*(L24:L26*AN232+M24:M26*AO232*$B$8*AQ232)/(1+AL232/100)^K24:K26)+L27*AN232*AP232/(1+AL232/100)^$B$6</f>
        <v/>
      </c>
      <c r="AT232">
        <f>AS232-AR232</f>
        <v/>
      </c>
      <c r="AU232">
        <f>RAND()</f>
        <v/>
      </c>
      <c r="AV232">
        <f>RAND()</f>
        <v/>
      </c>
      <c r="AW232">
        <f>RAND()</f>
        <v/>
      </c>
      <c r="AX232">
        <f>RAND()</f>
        <v/>
      </c>
      <c r="AY232">
        <f>RAND()</f>
        <v/>
      </c>
      <c r="AZ232">
        <f>RAND()</f>
        <v/>
      </c>
    </row>
    <row r="233">
      <c r="AK233" t="n">
        <v>220</v>
      </c>
      <c r="AL233">
        <f>IFERROR(IF(AU233&lt;($AM$6-$AL$6)/($AN$6-$AL$6),$AL$6+SQRT(AU233*($AN$6-$AL$6)*($AM$6-$AL$6)),$AN$6-SQRT((1-AU233)*($AN$6-$AL$6)*($AN$6-$AM$6))),$AM$6)</f>
        <v/>
      </c>
      <c r="AM233">
        <f>IFERROR(IF(AV233&lt;($AM$7-$AL$7)/($AN$7-$AL$7),$AL$7+SQRT(AV233*($AN$7-$AL$7)*($AM$7-$AL$7)),$AN$7-SQRT((1-AV233)*($AN$7-$AL$7)*($AN$7-$AM$7))),$AM$7)</f>
        <v/>
      </c>
      <c r="AN233">
        <f>IFERROR(IF(AW233&lt;($AM$8-$AL$8)/($AN$8-$AL$8),$AL$8+SQRT(AW233*($AN$8-$AL$8)*($AM$8-$AL$8)),$AN$8-SQRT((1-AW233)*($AN$8-$AL$8)*($AN$8-$AM$8))),$AM$8)</f>
        <v/>
      </c>
      <c r="AO233">
        <f>IFERROR(IF(AX233&lt;($AM$9-$AL$9)/($AN$9-$AL$9),$AL$9+SQRT(AX233*($AN$9-$AL$9)*($AM$9-$AL$9)),$AN$9-SQRT((1-AX233)*($AN$9-$AL$9)*($AN$9-$AM$9))),$AM$9)</f>
        <v/>
      </c>
      <c r="AP233">
        <f>IFERROR(IF(AY233&lt;($AM$10-$AL$10)/($AN$10-$AL$10),$AL$10+SQRT(AY233*($AN$10-$AL$10)*($AM$10-$AL$10)),$AN$10-SQRT((1-AY233)*($AN$10-$AL$10)*($AN$10-$AM$10))),$AM$10)</f>
        <v/>
      </c>
      <c r="AQ233">
        <f>IFERROR(IF(AZ233&lt;($AM$11-$AL$11)/($AN$11-$AL$11),$AL$11+SQRT(AZ233*($AN$11-$AL$11)*($AM$11-$AL$11)),$AN$11-SQRT((1-AZ233)*($AN$11-$AL$11)*($AN$11-$AM$11))),$AM$11)</f>
        <v/>
      </c>
      <c r="AR233">
        <f>SUMPRODUCT((B24:B31&lt;=$B$6)*(C24:C31*AM233+D24:D31*AO233*$B$8*AQ233)/(1+AL233/100)^B24:B31)+C32*AM233*AP233/(1+AL233/100)^$B$6</f>
        <v/>
      </c>
      <c r="AS233">
        <f>SUMPRODUCT((K24:K26&lt;=$B$6)*(L24:L26*AN233+M24:M26*AO233*$B$8*AQ233)/(1+AL233/100)^K24:K26)+L27*AN233*AP233/(1+AL233/100)^$B$6</f>
        <v/>
      </c>
      <c r="AT233">
        <f>AS233-AR233</f>
        <v/>
      </c>
      <c r="AU233">
        <f>RAND()</f>
        <v/>
      </c>
      <c r="AV233">
        <f>RAND()</f>
        <v/>
      </c>
      <c r="AW233">
        <f>RAND()</f>
        <v/>
      </c>
      <c r="AX233">
        <f>RAND()</f>
        <v/>
      </c>
      <c r="AY233">
        <f>RAND()</f>
        <v/>
      </c>
      <c r="AZ233">
        <f>RAND()</f>
        <v/>
      </c>
    </row>
    <row r="234">
      <c r="AK234" t="n">
        <v>221</v>
      </c>
      <c r="AL234">
        <f>IFERROR(IF(AU234&lt;($AM$6-$AL$6)/($AN$6-$AL$6),$AL$6+SQRT(AU234*($AN$6-$AL$6)*($AM$6-$AL$6)),$AN$6-SQRT((1-AU234)*($AN$6-$AL$6)*($AN$6-$AM$6))),$AM$6)</f>
        <v/>
      </c>
      <c r="AM234">
        <f>IFERROR(IF(AV234&lt;($AM$7-$AL$7)/($AN$7-$AL$7),$AL$7+SQRT(AV234*($AN$7-$AL$7)*($AM$7-$AL$7)),$AN$7-SQRT((1-AV234)*($AN$7-$AL$7)*($AN$7-$AM$7))),$AM$7)</f>
        <v/>
      </c>
      <c r="AN234">
        <f>IFERROR(IF(AW234&lt;($AM$8-$AL$8)/($AN$8-$AL$8),$AL$8+SQRT(AW234*($AN$8-$AL$8)*($AM$8-$AL$8)),$AN$8-SQRT((1-AW234)*($AN$8-$AL$8)*($AN$8-$AM$8))),$AM$8)</f>
        <v/>
      </c>
      <c r="AO234">
        <f>IFERROR(IF(AX234&lt;($AM$9-$AL$9)/($AN$9-$AL$9),$AL$9+SQRT(AX234*($AN$9-$AL$9)*($AM$9-$AL$9)),$AN$9-SQRT((1-AX234)*($AN$9-$AL$9)*($AN$9-$AM$9))),$AM$9)</f>
        <v/>
      </c>
      <c r="AP234">
        <f>IFERROR(IF(AY234&lt;($AM$10-$AL$10)/($AN$10-$AL$10),$AL$10+SQRT(AY234*($AN$10-$AL$10)*($AM$10-$AL$10)),$AN$10-SQRT((1-AY234)*($AN$10-$AL$10)*($AN$10-$AM$10))),$AM$10)</f>
        <v/>
      </c>
      <c r="AQ234">
        <f>IFERROR(IF(AZ234&lt;($AM$11-$AL$11)/($AN$11-$AL$11),$AL$11+SQRT(AZ234*($AN$11-$AL$11)*($AM$11-$AL$11)),$AN$11-SQRT((1-AZ234)*($AN$11-$AL$11)*($AN$11-$AM$11))),$AM$11)</f>
        <v/>
      </c>
      <c r="AR234">
        <f>SUMPRODUCT((B24:B31&lt;=$B$6)*(C24:C31*AM234+D24:D31*AO234*$B$8*AQ234)/(1+AL234/100)^B24:B31)+C32*AM234*AP234/(1+AL234/100)^$B$6</f>
        <v/>
      </c>
      <c r="AS234">
        <f>SUMPRODUCT((K24:K26&lt;=$B$6)*(L24:L26*AN234+M24:M26*AO234*$B$8*AQ234)/(1+AL234/100)^K24:K26)+L27*AN234*AP234/(1+AL234/100)^$B$6</f>
        <v/>
      </c>
      <c r="AT234">
        <f>AS234-AR234</f>
        <v/>
      </c>
      <c r="AU234">
        <f>RAND()</f>
        <v/>
      </c>
      <c r="AV234">
        <f>RAND()</f>
        <v/>
      </c>
      <c r="AW234">
        <f>RAND()</f>
        <v/>
      </c>
      <c r="AX234">
        <f>RAND()</f>
        <v/>
      </c>
      <c r="AY234">
        <f>RAND()</f>
        <v/>
      </c>
      <c r="AZ234">
        <f>RAND()</f>
        <v/>
      </c>
    </row>
    <row r="235">
      <c r="AK235" t="n">
        <v>222</v>
      </c>
      <c r="AL235">
        <f>IFERROR(IF(AU235&lt;($AM$6-$AL$6)/($AN$6-$AL$6),$AL$6+SQRT(AU235*($AN$6-$AL$6)*($AM$6-$AL$6)),$AN$6-SQRT((1-AU235)*($AN$6-$AL$6)*($AN$6-$AM$6))),$AM$6)</f>
        <v/>
      </c>
      <c r="AM235">
        <f>IFERROR(IF(AV235&lt;($AM$7-$AL$7)/($AN$7-$AL$7),$AL$7+SQRT(AV235*($AN$7-$AL$7)*($AM$7-$AL$7)),$AN$7-SQRT((1-AV235)*($AN$7-$AL$7)*($AN$7-$AM$7))),$AM$7)</f>
        <v/>
      </c>
      <c r="AN235">
        <f>IFERROR(IF(AW235&lt;($AM$8-$AL$8)/($AN$8-$AL$8),$AL$8+SQRT(AW235*($AN$8-$AL$8)*($AM$8-$AL$8)),$AN$8-SQRT((1-AW235)*($AN$8-$AL$8)*($AN$8-$AM$8))),$AM$8)</f>
        <v/>
      </c>
      <c r="AO235">
        <f>IFERROR(IF(AX235&lt;($AM$9-$AL$9)/($AN$9-$AL$9),$AL$9+SQRT(AX235*($AN$9-$AL$9)*($AM$9-$AL$9)),$AN$9-SQRT((1-AX235)*($AN$9-$AL$9)*($AN$9-$AM$9))),$AM$9)</f>
        <v/>
      </c>
      <c r="AP235">
        <f>IFERROR(IF(AY235&lt;($AM$10-$AL$10)/($AN$10-$AL$10),$AL$10+SQRT(AY235*($AN$10-$AL$10)*($AM$10-$AL$10)),$AN$10-SQRT((1-AY235)*($AN$10-$AL$10)*($AN$10-$AM$10))),$AM$10)</f>
        <v/>
      </c>
      <c r="AQ235">
        <f>IFERROR(IF(AZ235&lt;($AM$11-$AL$11)/($AN$11-$AL$11),$AL$11+SQRT(AZ235*($AN$11-$AL$11)*($AM$11-$AL$11)),$AN$11-SQRT((1-AZ235)*($AN$11-$AL$11)*($AN$11-$AM$11))),$AM$11)</f>
        <v/>
      </c>
      <c r="AR235">
        <f>SUMPRODUCT((B24:B31&lt;=$B$6)*(C24:C31*AM235+D24:D31*AO235*$B$8*AQ235)/(1+AL235/100)^B24:B31)+C32*AM235*AP235/(1+AL235/100)^$B$6</f>
        <v/>
      </c>
      <c r="AS235">
        <f>SUMPRODUCT((K24:K26&lt;=$B$6)*(L24:L26*AN235+M24:M26*AO235*$B$8*AQ235)/(1+AL235/100)^K24:K26)+L27*AN235*AP235/(1+AL235/100)^$B$6</f>
        <v/>
      </c>
      <c r="AT235">
        <f>AS235-AR235</f>
        <v/>
      </c>
      <c r="AU235">
        <f>RAND()</f>
        <v/>
      </c>
      <c r="AV235">
        <f>RAND()</f>
        <v/>
      </c>
      <c r="AW235">
        <f>RAND()</f>
        <v/>
      </c>
      <c r="AX235">
        <f>RAND()</f>
        <v/>
      </c>
      <c r="AY235">
        <f>RAND()</f>
        <v/>
      </c>
      <c r="AZ235">
        <f>RAND()</f>
        <v/>
      </c>
    </row>
    <row r="236">
      <c r="AK236" t="n">
        <v>223</v>
      </c>
      <c r="AL236">
        <f>IFERROR(IF(AU236&lt;($AM$6-$AL$6)/($AN$6-$AL$6),$AL$6+SQRT(AU236*($AN$6-$AL$6)*($AM$6-$AL$6)),$AN$6-SQRT((1-AU236)*($AN$6-$AL$6)*($AN$6-$AM$6))),$AM$6)</f>
        <v/>
      </c>
      <c r="AM236">
        <f>IFERROR(IF(AV236&lt;($AM$7-$AL$7)/($AN$7-$AL$7),$AL$7+SQRT(AV236*($AN$7-$AL$7)*($AM$7-$AL$7)),$AN$7-SQRT((1-AV236)*($AN$7-$AL$7)*($AN$7-$AM$7))),$AM$7)</f>
        <v/>
      </c>
      <c r="AN236">
        <f>IFERROR(IF(AW236&lt;($AM$8-$AL$8)/($AN$8-$AL$8),$AL$8+SQRT(AW236*($AN$8-$AL$8)*($AM$8-$AL$8)),$AN$8-SQRT((1-AW236)*($AN$8-$AL$8)*($AN$8-$AM$8))),$AM$8)</f>
        <v/>
      </c>
      <c r="AO236">
        <f>IFERROR(IF(AX236&lt;($AM$9-$AL$9)/($AN$9-$AL$9),$AL$9+SQRT(AX236*($AN$9-$AL$9)*($AM$9-$AL$9)),$AN$9-SQRT((1-AX236)*($AN$9-$AL$9)*($AN$9-$AM$9))),$AM$9)</f>
        <v/>
      </c>
      <c r="AP236">
        <f>IFERROR(IF(AY236&lt;($AM$10-$AL$10)/($AN$10-$AL$10),$AL$10+SQRT(AY236*($AN$10-$AL$10)*($AM$10-$AL$10)),$AN$10-SQRT((1-AY236)*($AN$10-$AL$10)*($AN$10-$AM$10))),$AM$10)</f>
        <v/>
      </c>
      <c r="AQ236">
        <f>IFERROR(IF(AZ236&lt;($AM$11-$AL$11)/($AN$11-$AL$11),$AL$11+SQRT(AZ236*($AN$11-$AL$11)*($AM$11-$AL$11)),$AN$11-SQRT((1-AZ236)*($AN$11-$AL$11)*($AN$11-$AM$11))),$AM$11)</f>
        <v/>
      </c>
      <c r="AR236">
        <f>SUMPRODUCT((B24:B31&lt;=$B$6)*(C24:C31*AM236+D24:D31*AO236*$B$8*AQ236)/(1+AL236/100)^B24:B31)+C32*AM236*AP236/(1+AL236/100)^$B$6</f>
        <v/>
      </c>
      <c r="AS236">
        <f>SUMPRODUCT((K24:K26&lt;=$B$6)*(L24:L26*AN236+M24:M26*AO236*$B$8*AQ236)/(1+AL236/100)^K24:K26)+L27*AN236*AP236/(1+AL236/100)^$B$6</f>
        <v/>
      </c>
      <c r="AT236">
        <f>AS236-AR236</f>
        <v/>
      </c>
      <c r="AU236">
        <f>RAND()</f>
        <v/>
      </c>
      <c r="AV236">
        <f>RAND()</f>
        <v/>
      </c>
      <c r="AW236">
        <f>RAND()</f>
        <v/>
      </c>
      <c r="AX236">
        <f>RAND()</f>
        <v/>
      </c>
      <c r="AY236">
        <f>RAND()</f>
        <v/>
      </c>
      <c r="AZ236">
        <f>RAND()</f>
        <v/>
      </c>
    </row>
    <row r="237">
      <c r="AK237" t="n">
        <v>224</v>
      </c>
      <c r="AL237">
        <f>IFERROR(IF(AU237&lt;($AM$6-$AL$6)/($AN$6-$AL$6),$AL$6+SQRT(AU237*($AN$6-$AL$6)*($AM$6-$AL$6)),$AN$6-SQRT((1-AU237)*($AN$6-$AL$6)*($AN$6-$AM$6))),$AM$6)</f>
        <v/>
      </c>
      <c r="AM237">
        <f>IFERROR(IF(AV237&lt;($AM$7-$AL$7)/($AN$7-$AL$7),$AL$7+SQRT(AV237*($AN$7-$AL$7)*($AM$7-$AL$7)),$AN$7-SQRT((1-AV237)*($AN$7-$AL$7)*($AN$7-$AM$7))),$AM$7)</f>
        <v/>
      </c>
      <c r="AN237">
        <f>IFERROR(IF(AW237&lt;($AM$8-$AL$8)/($AN$8-$AL$8),$AL$8+SQRT(AW237*($AN$8-$AL$8)*($AM$8-$AL$8)),$AN$8-SQRT((1-AW237)*($AN$8-$AL$8)*($AN$8-$AM$8))),$AM$8)</f>
        <v/>
      </c>
      <c r="AO237">
        <f>IFERROR(IF(AX237&lt;($AM$9-$AL$9)/($AN$9-$AL$9),$AL$9+SQRT(AX237*($AN$9-$AL$9)*($AM$9-$AL$9)),$AN$9-SQRT((1-AX237)*($AN$9-$AL$9)*($AN$9-$AM$9))),$AM$9)</f>
        <v/>
      </c>
      <c r="AP237">
        <f>IFERROR(IF(AY237&lt;($AM$10-$AL$10)/($AN$10-$AL$10),$AL$10+SQRT(AY237*($AN$10-$AL$10)*($AM$10-$AL$10)),$AN$10-SQRT((1-AY237)*($AN$10-$AL$10)*($AN$10-$AM$10))),$AM$10)</f>
        <v/>
      </c>
      <c r="AQ237">
        <f>IFERROR(IF(AZ237&lt;($AM$11-$AL$11)/($AN$11-$AL$11),$AL$11+SQRT(AZ237*($AN$11-$AL$11)*($AM$11-$AL$11)),$AN$11-SQRT((1-AZ237)*($AN$11-$AL$11)*($AN$11-$AM$11))),$AM$11)</f>
        <v/>
      </c>
      <c r="AR237">
        <f>SUMPRODUCT((B24:B31&lt;=$B$6)*(C24:C31*AM237+D24:D31*AO237*$B$8*AQ237)/(1+AL237/100)^B24:B31)+C32*AM237*AP237/(1+AL237/100)^$B$6</f>
        <v/>
      </c>
      <c r="AS237">
        <f>SUMPRODUCT((K24:K26&lt;=$B$6)*(L24:L26*AN237+M24:M26*AO237*$B$8*AQ237)/(1+AL237/100)^K24:K26)+L27*AN237*AP237/(1+AL237/100)^$B$6</f>
        <v/>
      </c>
      <c r="AT237">
        <f>AS237-AR237</f>
        <v/>
      </c>
      <c r="AU237">
        <f>RAND()</f>
        <v/>
      </c>
      <c r="AV237">
        <f>RAND()</f>
        <v/>
      </c>
      <c r="AW237">
        <f>RAND()</f>
        <v/>
      </c>
      <c r="AX237">
        <f>RAND()</f>
        <v/>
      </c>
      <c r="AY237">
        <f>RAND()</f>
        <v/>
      </c>
      <c r="AZ237">
        <f>RAND()</f>
        <v/>
      </c>
    </row>
    <row r="238">
      <c r="AK238" t="n">
        <v>225</v>
      </c>
      <c r="AL238">
        <f>IFERROR(IF(AU238&lt;($AM$6-$AL$6)/($AN$6-$AL$6),$AL$6+SQRT(AU238*($AN$6-$AL$6)*($AM$6-$AL$6)),$AN$6-SQRT((1-AU238)*($AN$6-$AL$6)*($AN$6-$AM$6))),$AM$6)</f>
        <v/>
      </c>
      <c r="AM238">
        <f>IFERROR(IF(AV238&lt;($AM$7-$AL$7)/($AN$7-$AL$7),$AL$7+SQRT(AV238*($AN$7-$AL$7)*($AM$7-$AL$7)),$AN$7-SQRT((1-AV238)*($AN$7-$AL$7)*($AN$7-$AM$7))),$AM$7)</f>
        <v/>
      </c>
      <c r="AN238">
        <f>IFERROR(IF(AW238&lt;($AM$8-$AL$8)/($AN$8-$AL$8),$AL$8+SQRT(AW238*($AN$8-$AL$8)*($AM$8-$AL$8)),$AN$8-SQRT((1-AW238)*($AN$8-$AL$8)*($AN$8-$AM$8))),$AM$8)</f>
        <v/>
      </c>
      <c r="AO238">
        <f>IFERROR(IF(AX238&lt;($AM$9-$AL$9)/($AN$9-$AL$9),$AL$9+SQRT(AX238*($AN$9-$AL$9)*($AM$9-$AL$9)),$AN$9-SQRT((1-AX238)*($AN$9-$AL$9)*($AN$9-$AM$9))),$AM$9)</f>
        <v/>
      </c>
      <c r="AP238">
        <f>IFERROR(IF(AY238&lt;($AM$10-$AL$10)/($AN$10-$AL$10),$AL$10+SQRT(AY238*($AN$10-$AL$10)*($AM$10-$AL$10)),$AN$10-SQRT((1-AY238)*($AN$10-$AL$10)*($AN$10-$AM$10))),$AM$10)</f>
        <v/>
      </c>
      <c r="AQ238">
        <f>IFERROR(IF(AZ238&lt;($AM$11-$AL$11)/($AN$11-$AL$11),$AL$11+SQRT(AZ238*($AN$11-$AL$11)*($AM$11-$AL$11)),$AN$11-SQRT((1-AZ238)*($AN$11-$AL$11)*($AN$11-$AM$11))),$AM$11)</f>
        <v/>
      </c>
      <c r="AR238">
        <f>SUMPRODUCT((B24:B31&lt;=$B$6)*(C24:C31*AM238+D24:D31*AO238*$B$8*AQ238)/(1+AL238/100)^B24:B31)+C32*AM238*AP238/(1+AL238/100)^$B$6</f>
        <v/>
      </c>
      <c r="AS238">
        <f>SUMPRODUCT((K24:K26&lt;=$B$6)*(L24:L26*AN238+M24:M26*AO238*$B$8*AQ238)/(1+AL238/100)^K24:K26)+L27*AN238*AP238/(1+AL238/100)^$B$6</f>
        <v/>
      </c>
      <c r="AT238">
        <f>AS238-AR238</f>
        <v/>
      </c>
      <c r="AU238">
        <f>RAND()</f>
        <v/>
      </c>
      <c r="AV238">
        <f>RAND()</f>
        <v/>
      </c>
      <c r="AW238">
        <f>RAND()</f>
        <v/>
      </c>
      <c r="AX238">
        <f>RAND()</f>
        <v/>
      </c>
      <c r="AY238">
        <f>RAND()</f>
        <v/>
      </c>
      <c r="AZ238">
        <f>RAND()</f>
        <v/>
      </c>
    </row>
    <row r="239">
      <c r="AK239" t="n">
        <v>226</v>
      </c>
      <c r="AL239">
        <f>IFERROR(IF(AU239&lt;($AM$6-$AL$6)/($AN$6-$AL$6),$AL$6+SQRT(AU239*($AN$6-$AL$6)*($AM$6-$AL$6)),$AN$6-SQRT((1-AU239)*($AN$6-$AL$6)*($AN$6-$AM$6))),$AM$6)</f>
        <v/>
      </c>
      <c r="AM239">
        <f>IFERROR(IF(AV239&lt;($AM$7-$AL$7)/($AN$7-$AL$7),$AL$7+SQRT(AV239*($AN$7-$AL$7)*($AM$7-$AL$7)),$AN$7-SQRT((1-AV239)*($AN$7-$AL$7)*($AN$7-$AM$7))),$AM$7)</f>
        <v/>
      </c>
      <c r="AN239">
        <f>IFERROR(IF(AW239&lt;($AM$8-$AL$8)/($AN$8-$AL$8),$AL$8+SQRT(AW239*($AN$8-$AL$8)*($AM$8-$AL$8)),$AN$8-SQRT((1-AW239)*($AN$8-$AL$8)*($AN$8-$AM$8))),$AM$8)</f>
        <v/>
      </c>
      <c r="AO239">
        <f>IFERROR(IF(AX239&lt;($AM$9-$AL$9)/($AN$9-$AL$9),$AL$9+SQRT(AX239*($AN$9-$AL$9)*($AM$9-$AL$9)),$AN$9-SQRT((1-AX239)*($AN$9-$AL$9)*($AN$9-$AM$9))),$AM$9)</f>
        <v/>
      </c>
      <c r="AP239">
        <f>IFERROR(IF(AY239&lt;($AM$10-$AL$10)/($AN$10-$AL$10),$AL$10+SQRT(AY239*($AN$10-$AL$10)*($AM$10-$AL$10)),$AN$10-SQRT((1-AY239)*($AN$10-$AL$10)*($AN$10-$AM$10))),$AM$10)</f>
        <v/>
      </c>
      <c r="AQ239">
        <f>IFERROR(IF(AZ239&lt;($AM$11-$AL$11)/($AN$11-$AL$11),$AL$11+SQRT(AZ239*($AN$11-$AL$11)*($AM$11-$AL$11)),$AN$11-SQRT((1-AZ239)*($AN$11-$AL$11)*($AN$11-$AM$11))),$AM$11)</f>
        <v/>
      </c>
      <c r="AR239">
        <f>SUMPRODUCT((B24:B31&lt;=$B$6)*(C24:C31*AM239+D24:D31*AO239*$B$8*AQ239)/(1+AL239/100)^B24:B31)+C32*AM239*AP239/(1+AL239/100)^$B$6</f>
        <v/>
      </c>
      <c r="AS239">
        <f>SUMPRODUCT((K24:K26&lt;=$B$6)*(L24:L26*AN239+M24:M26*AO239*$B$8*AQ239)/(1+AL239/100)^K24:K26)+L27*AN239*AP239/(1+AL239/100)^$B$6</f>
        <v/>
      </c>
      <c r="AT239">
        <f>AS239-AR239</f>
        <v/>
      </c>
      <c r="AU239">
        <f>RAND()</f>
        <v/>
      </c>
      <c r="AV239">
        <f>RAND()</f>
        <v/>
      </c>
      <c r="AW239">
        <f>RAND()</f>
        <v/>
      </c>
      <c r="AX239">
        <f>RAND()</f>
        <v/>
      </c>
      <c r="AY239">
        <f>RAND()</f>
        <v/>
      </c>
      <c r="AZ239">
        <f>RAND()</f>
        <v/>
      </c>
    </row>
    <row r="240">
      <c r="AK240" t="n">
        <v>227</v>
      </c>
      <c r="AL240">
        <f>IFERROR(IF(AU240&lt;($AM$6-$AL$6)/($AN$6-$AL$6),$AL$6+SQRT(AU240*($AN$6-$AL$6)*($AM$6-$AL$6)),$AN$6-SQRT((1-AU240)*($AN$6-$AL$6)*($AN$6-$AM$6))),$AM$6)</f>
        <v/>
      </c>
      <c r="AM240">
        <f>IFERROR(IF(AV240&lt;($AM$7-$AL$7)/($AN$7-$AL$7),$AL$7+SQRT(AV240*($AN$7-$AL$7)*($AM$7-$AL$7)),$AN$7-SQRT((1-AV240)*($AN$7-$AL$7)*($AN$7-$AM$7))),$AM$7)</f>
        <v/>
      </c>
      <c r="AN240">
        <f>IFERROR(IF(AW240&lt;($AM$8-$AL$8)/($AN$8-$AL$8),$AL$8+SQRT(AW240*($AN$8-$AL$8)*($AM$8-$AL$8)),$AN$8-SQRT((1-AW240)*($AN$8-$AL$8)*($AN$8-$AM$8))),$AM$8)</f>
        <v/>
      </c>
      <c r="AO240">
        <f>IFERROR(IF(AX240&lt;($AM$9-$AL$9)/($AN$9-$AL$9),$AL$9+SQRT(AX240*($AN$9-$AL$9)*($AM$9-$AL$9)),$AN$9-SQRT((1-AX240)*($AN$9-$AL$9)*($AN$9-$AM$9))),$AM$9)</f>
        <v/>
      </c>
      <c r="AP240">
        <f>IFERROR(IF(AY240&lt;($AM$10-$AL$10)/($AN$10-$AL$10),$AL$10+SQRT(AY240*($AN$10-$AL$10)*($AM$10-$AL$10)),$AN$10-SQRT((1-AY240)*($AN$10-$AL$10)*($AN$10-$AM$10))),$AM$10)</f>
        <v/>
      </c>
      <c r="AQ240">
        <f>IFERROR(IF(AZ240&lt;($AM$11-$AL$11)/($AN$11-$AL$11),$AL$11+SQRT(AZ240*($AN$11-$AL$11)*($AM$11-$AL$11)),$AN$11-SQRT((1-AZ240)*($AN$11-$AL$11)*($AN$11-$AM$11))),$AM$11)</f>
        <v/>
      </c>
      <c r="AR240">
        <f>SUMPRODUCT((B24:B31&lt;=$B$6)*(C24:C31*AM240+D24:D31*AO240*$B$8*AQ240)/(1+AL240/100)^B24:B31)+C32*AM240*AP240/(1+AL240/100)^$B$6</f>
        <v/>
      </c>
      <c r="AS240">
        <f>SUMPRODUCT((K24:K26&lt;=$B$6)*(L24:L26*AN240+M24:M26*AO240*$B$8*AQ240)/(1+AL240/100)^K24:K26)+L27*AN240*AP240/(1+AL240/100)^$B$6</f>
        <v/>
      </c>
      <c r="AT240">
        <f>AS240-AR240</f>
        <v/>
      </c>
      <c r="AU240">
        <f>RAND()</f>
        <v/>
      </c>
      <c r="AV240">
        <f>RAND()</f>
        <v/>
      </c>
      <c r="AW240">
        <f>RAND()</f>
        <v/>
      </c>
      <c r="AX240">
        <f>RAND()</f>
        <v/>
      </c>
      <c r="AY240">
        <f>RAND()</f>
        <v/>
      </c>
      <c r="AZ240">
        <f>RAND()</f>
        <v/>
      </c>
    </row>
    <row r="241">
      <c r="AK241" t="n">
        <v>228</v>
      </c>
      <c r="AL241">
        <f>IFERROR(IF(AU241&lt;($AM$6-$AL$6)/($AN$6-$AL$6),$AL$6+SQRT(AU241*($AN$6-$AL$6)*($AM$6-$AL$6)),$AN$6-SQRT((1-AU241)*($AN$6-$AL$6)*($AN$6-$AM$6))),$AM$6)</f>
        <v/>
      </c>
      <c r="AM241">
        <f>IFERROR(IF(AV241&lt;($AM$7-$AL$7)/($AN$7-$AL$7),$AL$7+SQRT(AV241*($AN$7-$AL$7)*($AM$7-$AL$7)),$AN$7-SQRT((1-AV241)*($AN$7-$AL$7)*($AN$7-$AM$7))),$AM$7)</f>
        <v/>
      </c>
      <c r="AN241">
        <f>IFERROR(IF(AW241&lt;($AM$8-$AL$8)/($AN$8-$AL$8),$AL$8+SQRT(AW241*($AN$8-$AL$8)*($AM$8-$AL$8)),$AN$8-SQRT((1-AW241)*($AN$8-$AL$8)*($AN$8-$AM$8))),$AM$8)</f>
        <v/>
      </c>
      <c r="AO241">
        <f>IFERROR(IF(AX241&lt;($AM$9-$AL$9)/($AN$9-$AL$9),$AL$9+SQRT(AX241*($AN$9-$AL$9)*($AM$9-$AL$9)),$AN$9-SQRT((1-AX241)*($AN$9-$AL$9)*($AN$9-$AM$9))),$AM$9)</f>
        <v/>
      </c>
      <c r="AP241">
        <f>IFERROR(IF(AY241&lt;($AM$10-$AL$10)/($AN$10-$AL$10),$AL$10+SQRT(AY241*($AN$10-$AL$10)*($AM$10-$AL$10)),$AN$10-SQRT((1-AY241)*($AN$10-$AL$10)*($AN$10-$AM$10))),$AM$10)</f>
        <v/>
      </c>
      <c r="AQ241">
        <f>IFERROR(IF(AZ241&lt;($AM$11-$AL$11)/($AN$11-$AL$11),$AL$11+SQRT(AZ241*($AN$11-$AL$11)*($AM$11-$AL$11)),$AN$11-SQRT((1-AZ241)*($AN$11-$AL$11)*($AN$11-$AM$11))),$AM$11)</f>
        <v/>
      </c>
      <c r="AR241">
        <f>SUMPRODUCT((B24:B31&lt;=$B$6)*(C24:C31*AM241+D24:D31*AO241*$B$8*AQ241)/(1+AL241/100)^B24:B31)+C32*AM241*AP241/(1+AL241/100)^$B$6</f>
        <v/>
      </c>
      <c r="AS241">
        <f>SUMPRODUCT((K24:K26&lt;=$B$6)*(L24:L26*AN241+M24:M26*AO241*$B$8*AQ241)/(1+AL241/100)^K24:K26)+L27*AN241*AP241/(1+AL241/100)^$B$6</f>
        <v/>
      </c>
      <c r="AT241">
        <f>AS241-AR241</f>
        <v/>
      </c>
      <c r="AU241">
        <f>RAND()</f>
        <v/>
      </c>
      <c r="AV241">
        <f>RAND()</f>
        <v/>
      </c>
      <c r="AW241">
        <f>RAND()</f>
        <v/>
      </c>
      <c r="AX241">
        <f>RAND()</f>
        <v/>
      </c>
      <c r="AY241">
        <f>RAND()</f>
        <v/>
      </c>
      <c r="AZ241">
        <f>RAND()</f>
        <v/>
      </c>
    </row>
    <row r="242">
      <c r="AK242" t="n">
        <v>229</v>
      </c>
      <c r="AL242">
        <f>IFERROR(IF(AU242&lt;($AM$6-$AL$6)/($AN$6-$AL$6),$AL$6+SQRT(AU242*($AN$6-$AL$6)*($AM$6-$AL$6)),$AN$6-SQRT((1-AU242)*($AN$6-$AL$6)*($AN$6-$AM$6))),$AM$6)</f>
        <v/>
      </c>
      <c r="AM242">
        <f>IFERROR(IF(AV242&lt;($AM$7-$AL$7)/($AN$7-$AL$7),$AL$7+SQRT(AV242*($AN$7-$AL$7)*($AM$7-$AL$7)),$AN$7-SQRT((1-AV242)*($AN$7-$AL$7)*($AN$7-$AM$7))),$AM$7)</f>
        <v/>
      </c>
      <c r="AN242">
        <f>IFERROR(IF(AW242&lt;($AM$8-$AL$8)/($AN$8-$AL$8),$AL$8+SQRT(AW242*($AN$8-$AL$8)*($AM$8-$AL$8)),$AN$8-SQRT((1-AW242)*($AN$8-$AL$8)*($AN$8-$AM$8))),$AM$8)</f>
        <v/>
      </c>
      <c r="AO242">
        <f>IFERROR(IF(AX242&lt;($AM$9-$AL$9)/($AN$9-$AL$9),$AL$9+SQRT(AX242*($AN$9-$AL$9)*($AM$9-$AL$9)),$AN$9-SQRT((1-AX242)*($AN$9-$AL$9)*($AN$9-$AM$9))),$AM$9)</f>
        <v/>
      </c>
      <c r="AP242">
        <f>IFERROR(IF(AY242&lt;($AM$10-$AL$10)/($AN$10-$AL$10),$AL$10+SQRT(AY242*($AN$10-$AL$10)*($AM$10-$AL$10)),$AN$10-SQRT((1-AY242)*($AN$10-$AL$10)*($AN$10-$AM$10))),$AM$10)</f>
        <v/>
      </c>
      <c r="AQ242">
        <f>IFERROR(IF(AZ242&lt;($AM$11-$AL$11)/($AN$11-$AL$11),$AL$11+SQRT(AZ242*($AN$11-$AL$11)*($AM$11-$AL$11)),$AN$11-SQRT((1-AZ242)*($AN$11-$AL$11)*($AN$11-$AM$11))),$AM$11)</f>
        <v/>
      </c>
      <c r="AR242">
        <f>SUMPRODUCT((B24:B31&lt;=$B$6)*(C24:C31*AM242+D24:D31*AO242*$B$8*AQ242)/(1+AL242/100)^B24:B31)+C32*AM242*AP242/(1+AL242/100)^$B$6</f>
        <v/>
      </c>
      <c r="AS242">
        <f>SUMPRODUCT((K24:K26&lt;=$B$6)*(L24:L26*AN242+M24:M26*AO242*$B$8*AQ242)/(1+AL242/100)^K24:K26)+L27*AN242*AP242/(1+AL242/100)^$B$6</f>
        <v/>
      </c>
      <c r="AT242">
        <f>AS242-AR242</f>
        <v/>
      </c>
      <c r="AU242">
        <f>RAND()</f>
        <v/>
      </c>
      <c r="AV242">
        <f>RAND()</f>
        <v/>
      </c>
      <c r="AW242">
        <f>RAND()</f>
        <v/>
      </c>
      <c r="AX242">
        <f>RAND()</f>
        <v/>
      </c>
      <c r="AY242">
        <f>RAND()</f>
        <v/>
      </c>
      <c r="AZ242">
        <f>RAND()</f>
        <v/>
      </c>
    </row>
    <row r="243">
      <c r="AK243" t="n">
        <v>230</v>
      </c>
      <c r="AL243">
        <f>IFERROR(IF(AU243&lt;($AM$6-$AL$6)/($AN$6-$AL$6),$AL$6+SQRT(AU243*($AN$6-$AL$6)*($AM$6-$AL$6)),$AN$6-SQRT((1-AU243)*($AN$6-$AL$6)*($AN$6-$AM$6))),$AM$6)</f>
        <v/>
      </c>
      <c r="AM243">
        <f>IFERROR(IF(AV243&lt;($AM$7-$AL$7)/($AN$7-$AL$7),$AL$7+SQRT(AV243*($AN$7-$AL$7)*($AM$7-$AL$7)),$AN$7-SQRT((1-AV243)*($AN$7-$AL$7)*($AN$7-$AM$7))),$AM$7)</f>
        <v/>
      </c>
      <c r="AN243">
        <f>IFERROR(IF(AW243&lt;($AM$8-$AL$8)/($AN$8-$AL$8),$AL$8+SQRT(AW243*($AN$8-$AL$8)*($AM$8-$AL$8)),$AN$8-SQRT((1-AW243)*($AN$8-$AL$8)*($AN$8-$AM$8))),$AM$8)</f>
        <v/>
      </c>
      <c r="AO243">
        <f>IFERROR(IF(AX243&lt;($AM$9-$AL$9)/($AN$9-$AL$9),$AL$9+SQRT(AX243*($AN$9-$AL$9)*($AM$9-$AL$9)),$AN$9-SQRT((1-AX243)*($AN$9-$AL$9)*($AN$9-$AM$9))),$AM$9)</f>
        <v/>
      </c>
      <c r="AP243">
        <f>IFERROR(IF(AY243&lt;($AM$10-$AL$10)/($AN$10-$AL$10),$AL$10+SQRT(AY243*($AN$10-$AL$10)*($AM$10-$AL$10)),$AN$10-SQRT((1-AY243)*($AN$10-$AL$10)*($AN$10-$AM$10))),$AM$10)</f>
        <v/>
      </c>
      <c r="AQ243">
        <f>IFERROR(IF(AZ243&lt;($AM$11-$AL$11)/($AN$11-$AL$11),$AL$11+SQRT(AZ243*($AN$11-$AL$11)*($AM$11-$AL$11)),$AN$11-SQRT((1-AZ243)*($AN$11-$AL$11)*($AN$11-$AM$11))),$AM$11)</f>
        <v/>
      </c>
      <c r="AR243">
        <f>SUMPRODUCT((B24:B31&lt;=$B$6)*(C24:C31*AM243+D24:D31*AO243*$B$8*AQ243)/(1+AL243/100)^B24:B31)+C32*AM243*AP243/(1+AL243/100)^$B$6</f>
        <v/>
      </c>
      <c r="AS243">
        <f>SUMPRODUCT((K24:K26&lt;=$B$6)*(L24:L26*AN243+M24:M26*AO243*$B$8*AQ243)/(1+AL243/100)^K24:K26)+L27*AN243*AP243/(1+AL243/100)^$B$6</f>
        <v/>
      </c>
      <c r="AT243">
        <f>AS243-AR243</f>
        <v/>
      </c>
      <c r="AU243">
        <f>RAND()</f>
        <v/>
      </c>
      <c r="AV243">
        <f>RAND()</f>
        <v/>
      </c>
      <c r="AW243">
        <f>RAND()</f>
        <v/>
      </c>
      <c r="AX243">
        <f>RAND()</f>
        <v/>
      </c>
      <c r="AY243">
        <f>RAND()</f>
        <v/>
      </c>
      <c r="AZ243">
        <f>RAND()</f>
        <v/>
      </c>
    </row>
    <row r="244">
      <c r="AK244" t="n">
        <v>231</v>
      </c>
      <c r="AL244">
        <f>IFERROR(IF(AU244&lt;($AM$6-$AL$6)/($AN$6-$AL$6),$AL$6+SQRT(AU244*($AN$6-$AL$6)*($AM$6-$AL$6)),$AN$6-SQRT((1-AU244)*($AN$6-$AL$6)*($AN$6-$AM$6))),$AM$6)</f>
        <v/>
      </c>
      <c r="AM244">
        <f>IFERROR(IF(AV244&lt;($AM$7-$AL$7)/($AN$7-$AL$7),$AL$7+SQRT(AV244*($AN$7-$AL$7)*($AM$7-$AL$7)),$AN$7-SQRT((1-AV244)*($AN$7-$AL$7)*($AN$7-$AM$7))),$AM$7)</f>
        <v/>
      </c>
      <c r="AN244">
        <f>IFERROR(IF(AW244&lt;($AM$8-$AL$8)/($AN$8-$AL$8),$AL$8+SQRT(AW244*($AN$8-$AL$8)*($AM$8-$AL$8)),$AN$8-SQRT((1-AW244)*($AN$8-$AL$8)*($AN$8-$AM$8))),$AM$8)</f>
        <v/>
      </c>
      <c r="AO244">
        <f>IFERROR(IF(AX244&lt;($AM$9-$AL$9)/($AN$9-$AL$9),$AL$9+SQRT(AX244*($AN$9-$AL$9)*($AM$9-$AL$9)),$AN$9-SQRT((1-AX244)*($AN$9-$AL$9)*($AN$9-$AM$9))),$AM$9)</f>
        <v/>
      </c>
      <c r="AP244">
        <f>IFERROR(IF(AY244&lt;($AM$10-$AL$10)/($AN$10-$AL$10),$AL$10+SQRT(AY244*($AN$10-$AL$10)*($AM$10-$AL$10)),$AN$10-SQRT((1-AY244)*($AN$10-$AL$10)*($AN$10-$AM$10))),$AM$10)</f>
        <v/>
      </c>
      <c r="AQ244">
        <f>IFERROR(IF(AZ244&lt;($AM$11-$AL$11)/($AN$11-$AL$11),$AL$11+SQRT(AZ244*($AN$11-$AL$11)*($AM$11-$AL$11)),$AN$11-SQRT((1-AZ244)*($AN$11-$AL$11)*($AN$11-$AM$11))),$AM$11)</f>
        <v/>
      </c>
      <c r="AR244">
        <f>SUMPRODUCT((B24:B31&lt;=$B$6)*(C24:C31*AM244+D24:D31*AO244*$B$8*AQ244)/(1+AL244/100)^B24:B31)+C32*AM244*AP244/(1+AL244/100)^$B$6</f>
        <v/>
      </c>
      <c r="AS244">
        <f>SUMPRODUCT((K24:K26&lt;=$B$6)*(L24:L26*AN244+M24:M26*AO244*$B$8*AQ244)/(1+AL244/100)^K24:K26)+L27*AN244*AP244/(1+AL244/100)^$B$6</f>
        <v/>
      </c>
      <c r="AT244">
        <f>AS244-AR244</f>
        <v/>
      </c>
      <c r="AU244">
        <f>RAND()</f>
        <v/>
      </c>
      <c r="AV244">
        <f>RAND()</f>
        <v/>
      </c>
      <c r="AW244">
        <f>RAND()</f>
        <v/>
      </c>
      <c r="AX244">
        <f>RAND()</f>
        <v/>
      </c>
      <c r="AY244">
        <f>RAND()</f>
        <v/>
      </c>
      <c r="AZ244">
        <f>RAND()</f>
        <v/>
      </c>
    </row>
    <row r="245">
      <c r="AK245" t="n">
        <v>232</v>
      </c>
      <c r="AL245">
        <f>IFERROR(IF(AU245&lt;($AM$6-$AL$6)/($AN$6-$AL$6),$AL$6+SQRT(AU245*($AN$6-$AL$6)*($AM$6-$AL$6)),$AN$6-SQRT((1-AU245)*($AN$6-$AL$6)*($AN$6-$AM$6))),$AM$6)</f>
        <v/>
      </c>
      <c r="AM245">
        <f>IFERROR(IF(AV245&lt;($AM$7-$AL$7)/($AN$7-$AL$7),$AL$7+SQRT(AV245*($AN$7-$AL$7)*($AM$7-$AL$7)),$AN$7-SQRT((1-AV245)*($AN$7-$AL$7)*($AN$7-$AM$7))),$AM$7)</f>
        <v/>
      </c>
      <c r="AN245">
        <f>IFERROR(IF(AW245&lt;($AM$8-$AL$8)/($AN$8-$AL$8),$AL$8+SQRT(AW245*($AN$8-$AL$8)*($AM$8-$AL$8)),$AN$8-SQRT((1-AW245)*($AN$8-$AL$8)*($AN$8-$AM$8))),$AM$8)</f>
        <v/>
      </c>
      <c r="AO245">
        <f>IFERROR(IF(AX245&lt;($AM$9-$AL$9)/($AN$9-$AL$9),$AL$9+SQRT(AX245*($AN$9-$AL$9)*($AM$9-$AL$9)),$AN$9-SQRT((1-AX245)*($AN$9-$AL$9)*($AN$9-$AM$9))),$AM$9)</f>
        <v/>
      </c>
      <c r="AP245">
        <f>IFERROR(IF(AY245&lt;($AM$10-$AL$10)/($AN$10-$AL$10),$AL$10+SQRT(AY245*($AN$10-$AL$10)*($AM$10-$AL$10)),$AN$10-SQRT((1-AY245)*($AN$10-$AL$10)*($AN$10-$AM$10))),$AM$10)</f>
        <v/>
      </c>
      <c r="AQ245">
        <f>IFERROR(IF(AZ245&lt;($AM$11-$AL$11)/($AN$11-$AL$11),$AL$11+SQRT(AZ245*($AN$11-$AL$11)*($AM$11-$AL$11)),$AN$11-SQRT((1-AZ245)*($AN$11-$AL$11)*($AN$11-$AM$11))),$AM$11)</f>
        <v/>
      </c>
      <c r="AR245">
        <f>SUMPRODUCT((B24:B31&lt;=$B$6)*(C24:C31*AM245+D24:D31*AO245*$B$8*AQ245)/(1+AL245/100)^B24:B31)+C32*AM245*AP245/(1+AL245/100)^$B$6</f>
        <v/>
      </c>
      <c r="AS245">
        <f>SUMPRODUCT((K24:K26&lt;=$B$6)*(L24:L26*AN245+M24:M26*AO245*$B$8*AQ245)/(1+AL245/100)^K24:K26)+L27*AN245*AP245/(1+AL245/100)^$B$6</f>
        <v/>
      </c>
      <c r="AT245">
        <f>AS245-AR245</f>
        <v/>
      </c>
      <c r="AU245">
        <f>RAND()</f>
        <v/>
      </c>
      <c r="AV245">
        <f>RAND()</f>
        <v/>
      </c>
      <c r="AW245">
        <f>RAND()</f>
        <v/>
      </c>
      <c r="AX245">
        <f>RAND()</f>
        <v/>
      </c>
      <c r="AY245">
        <f>RAND()</f>
        <v/>
      </c>
      <c r="AZ245">
        <f>RAND()</f>
        <v/>
      </c>
    </row>
    <row r="246">
      <c r="AK246" t="n">
        <v>233</v>
      </c>
      <c r="AL246">
        <f>IFERROR(IF(AU246&lt;($AM$6-$AL$6)/($AN$6-$AL$6),$AL$6+SQRT(AU246*($AN$6-$AL$6)*($AM$6-$AL$6)),$AN$6-SQRT((1-AU246)*($AN$6-$AL$6)*($AN$6-$AM$6))),$AM$6)</f>
        <v/>
      </c>
      <c r="AM246">
        <f>IFERROR(IF(AV246&lt;($AM$7-$AL$7)/($AN$7-$AL$7),$AL$7+SQRT(AV246*($AN$7-$AL$7)*($AM$7-$AL$7)),$AN$7-SQRT((1-AV246)*($AN$7-$AL$7)*($AN$7-$AM$7))),$AM$7)</f>
        <v/>
      </c>
      <c r="AN246">
        <f>IFERROR(IF(AW246&lt;($AM$8-$AL$8)/($AN$8-$AL$8),$AL$8+SQRT(AW246*($AN$8-$AL$8)*($AM$8-$AL$8)),$AN$8-SQRT((1-AW246)*($AN$8-$AL$8)*($AN$8-$AM$8))),$AM$8)</f>
        <v/>
      </c>
      <c r="AO246">
        <f>IFERROR(IF(AX246&lt;($AM$9-$AL$9)/($AN$9-$AL$9),$AL$9+SQRT(AX246*($AN$9-$AL$9)*($AM$9-$AL$9)),$AN$9-SQRT((1-AX246)*($AN$9-$AL$9)*($AN$9-$AM$9))),$AM$9)</f>
        <v/>
      </c>
      <c r="AP246">
        <f>IFERROR(IF(AY246&lt;($AM$10-$AL$10)/($AN$10-$AL$10),$AL$10+SQRT(AY246*($AN$10-$AL$10)*($AM$10-$AL$10)),$AN$10-SQRT((1-AY246)*($AN$10-$AL$10)*($AN$10-$AM$10))),$AM$10)</f>
        <v/>
      </c>
      <c r="AQ246">
        <f>IFERROR(IF(AZ246&lt;($AM$11-$AL$11)/($AN$11-$AL$11),$AL$11+SQRT(AZ246*($AN$11-$AL$11)*($AM$11-$AL$11)),$AN$11-SQRT((1-AZ246)*($AN$11-$AL$11)*($AN$11-$AM$11))),$AM$11)</f>
        <v/>
      </c>
      <c r="AR246">
        <f>SUMPRODUCT((B24:B31&lt;=$B$6)*(C24:C31*AM246+D24:D31*AO246*$B$8*AQ246)/(1+AL246/100)^B24:B31)+C32*AM246*AP246/(1+AL246/100)^$B$6</f>
        <v/>
      </c>
      <c r="AS246">
        <f>SUMPRODUCT((K24:K26&lt;=$B$6)*(L24:L26*AN246+M24:M26*AO246*$B$8*AQ246)/(1+AL246/100)^K24:K26)+L27*AN246*AP246/(1+AL246/100)^$B$6</f>
        <v/>
      </c>
      <c r="AT246">
        <f>AS246-AR246</f>
        <v/>
      </c>
      <c r="AU246">
        <f>RAND()</f>
        <v/>
      </c>
      <c r="AV246">
        <f>RAND()</f>
        <v/>
      </c>
      <c r="AW246">
        <f>RAND()</f>
        <v/>
      </c>
      <c r="AX246">
        <f>RAND()</f>
        <v/>
      </c>
      <c r="AY246">
        <f>RAND()</f>
        <v/>
      </c>
      <c r="AZ246">
        <f>RAND()</f>
        <v/>
      </c>
    </row>
    <row r="247">
      <c r="AK247" t="n">
        <v>234</v>
      </c>
      <c r="AL247">
        <f>IFERROR(IF(AU247&lt;($AM$6-$AL$6)/($AN$6-$AL$6),$AL$6+SQRT(AU247*($AN$6-$AL$6)*($AM$6-$AL$6)),$AN$6-SQRT((1-AU247)*($AN$6-$AL$6)*($AN$6-$AM$6))),$AM$6)</f>
        <v/>
      </c>
      <c r="AM247">
        <f>IFERROR(IF(AV247&lt;($AM$7-$AL$7)/($AN$7-$AL$7),$AL$7+SQRT(AV247*($AN$7-$AL$7)*($AM$7-$AL$7)),$AN$7-SQRT((1-AV247)*($AN$7-$AL$7)*($AN$7-$AM$7))),$AM$7)</f>
        <v/>
      </c>
      <c r="AN247">
        <f>IFERROR(IF(AW247&lt;($AM$8-$AL$8)/($AN$8-$AL$8),$AL$8+SQRT(AW247*($AN$8-$AL$8)*($AM$8-$AL$8)),$AN$8-SQRT((1-AW247)*($AN$8-$AL$8)*($AN$8-$AM$8))),$AM$8)</f>
        <v/>
      </c>
      <c r="AO247">
        <f>IFERROR(IF(AX247&lt;($AM$9-$AL$9)/($AN$9-$AL$9),$AL$9+SQRT(AX247*($AN$9-$AL$9)*($AM$9-$AL$9)),$AN$9-SQRT((1-AX247)*($AN$9-$AL$9)*($AN$9-$AM$9))),$AM$9)</f>
        <v/>
      </c>
      <c r="AP247">
        <f>IFERROR(IF(AY247&lt;($AM$10-$AL$10)/($AN$10-$AL$10),$AL$10+SQRT(AY247*($AN$10-$AL$10)*($AM$10-$AL$10)),$AN$10-SQRT((1-AY247)*($AN$10-$AL$10)*($AN$10-$AM$10))),$AM$10)</f>
        <v/>
      </c>
      <c r="AQ247">
        <f>IFERROR(IF(AZ247&lt;($AM$11-$AL$11)/($AN$11-$AL$11),$AL$11+SQRT(AZ247*($AN$11-$AL$11)*($AM$11-$AL$11)),$AN$11-SQRT((1-AZ247)*($AN$11-$AL$11)*($AN$11-$AM$11))),$AM$11)</f>
        <v/>
      </c>
      <c r="AR247">
        <f>SUMPRODUCT((B24:B31&lt;=$B$6)*(C24:C31*AM247+D24:D31*AO247*$B$8*AQ247)/(1+AL247/100)^B24:B31)+C32*AM247*AP247/(1+AL247/100)^$B$6</f>
        <v/>
      </c>
      <c r="AS247">
        <f>SUMPRODUCT((K24:K26&lt;=$B$6)*(L24:L26*AN247+M24:M26*AO247*$B$8*AQ247)/(1+AL247/100)^K24:K26)+L27*AN247*AP247/(1+AL247/100)^$B$6</f>
        <v/>
      </c>
      <c r="AT247">
        <f>AS247-AR247</f>
        <v/>
      </c>
      <c r="AU247">
        <f>RAND()</f>
        <v/>
      </c>
      <c r="AV247">
        <f>RAND()</f>
        <v/>
      </c>
      <c r="AW247">
        <f>RAND()</f>
        <v/>
      </c>
      <c r="AX247">
        <f>RAND()</f>
        <v/>
      </c>
      <c r="AY247">
        <f>RAND()</f>
        <v/>
      </c>
      <c r="AZ247">
        <f>RAND()</f>
        <v/>
      </c>
    </row>
    <row r="248">
      <c r="AK248" t="n">
        <v>235</v>
      </c>
      <c r="AL248">
        <f>IFERROR(IF(AU248&lt;($AM$6-$AL$6)/($AN$6-$AL$6),$AL$6+SQRT(AU248*($AN$6-$AL$6)*($AM$6-$AL$6)),$AN$6-SQRT((1-AU248)*($AN$6-$AL$6)*($AN$6-$AM$6))),$AM$6)</f>
        <v/>
      </c>
      <c r="AM248">
        <f>IFERROR(IF(AV248&lt;($AM$7-$AL$7)/($AN$7-$AL$7),$AL$7+SQRT(AV248*($AN$7-$AL$7)*($AM$7-$AL$7)),$AN$7-SQRT((1-AV248)*($AN$7-$AL$7)*($AN$7-$AM$7))),$AM$7)</f>
        <v/>
      </c>
      <c r="AN248">
        <f>IFERROR(IF(AW248&lt;($AM$8-$AL$8)/($AN$8-$AL$8),$AL$8+SQRT(AW248*($AN$8-$AL$8)*($AM$8-$AL$8)),$AN$8-SQRT((1-AW248)*($AN$8-$AL$8)*($AN$8-$AM$8))),$AM$8)</f>
        <v/>
      </c>
      <c r="AO248">
        <f>IFERROR(IF(AX248&lt;($AM$9-$AL$9)/($AN$9-$AL$9),$AL$9+SQRT(AX248*($AN$9-$AL$9)*($AM$9-$AL$9)),$AN$9-SQRT((1-AX248)*($AN$9-$AL$9)*($AN$9-$AM$9))),$AM$9)</f>
        <v/>
      </c>
      <c r="AP248">
        <f>IFERROR(IF(AY248&lt;($AM$10-$AL$10)/($AN$10-$AL$10),$AL$10+SQRT(AY248*($AN$10-$AL$10)*($AM$10-$AL$10)),$AN$10-SQRT((1-AY248)*($AN$10-$AL$10)*($AN$10-$AM$10))),$AM$10)</f>
        <v/>
      </c>
      <c r="AQ248">
        <f>IFERROR(IF(AZ248&lt;($AM$11-$AL$11)/($AN$11-$AL$11),$AL$11+SQRT(AZ248*($AN$11-$AL$11)*($AM$11-$AL$11)),$AN$11-SQRT((1-AZ248)*($AN$11-$AL$11)*($AN$11-$AM$11))),$AM$11)</f>
        <v/>
      </c>
      <c r="AR248">
        <f>SUMPRODUCT((B24:B31&lt;=$B$6)*(C24:C31*AM248+D24:D31*AO248*$B$8*AQ248)/(1+AL248/100)^B24:B31)+C32*AM248*AP248/(1+AL248/100)^$B$6</f>
        <v/>
      </c>
      <c r="AS248">
        <f>SUMPRODUCT((K24:K26&lt;=$B$6)*(L24:L26*AN248+M24:M26*AO248*$B$8*AQ248)/(1+AL248/100)^K24:K26)+L27*AN248*AP248/(1+AL248/100)^$B$6</f>
        <v/>
      </c>
      <c r="AT248">
        <f>AS248-AR248</f>
        <v/>
      </c>
      <c r="AU248">
        <f>RAND()</f>
        <v/>
      </c>
      <c r="AV248">
        <f>RAND()</f>
        <v/>
      </c>
      <c r="AW248">
        <f>RAND()</f>
        <v/>
      </c>
      <c r="AX248">
        <f>RAND()</f>
        <v/>
      </c>
      <c r="AY248">
        <f>RAND()</f>
        <v/>
      </c>
      <c r="AZ248">
        <f>RAND()</f>
        <v/>
      </c>
    </row>
    <row r="249">
      <c r="AK249" t="n">
        <v>236</v>
      </c>
      <c r="AL249">
        <f>IFERROR(IF(AU249&lt;($AM$6-$AL$6)/($AN$6-$AL$6),$AL$6+SQRT(AU249*($AN$6-$AL$6)*($AM$6-$AL$6)),$AN$6-SQRT((1-AU249)*($AN$6-$AL$6)*($AN$6-$AM$6))),$AM$6)</f>
        <v/>
      </c>
      <c r="AM249">
        <f>IFERROR(IF(AV249&lt;($AM$7-$AL$7)/($AN$7-$AL$7),$AL$7+SQRT(AV249*($AN$7-$AL$7)*($AM$7-$AL$7)),$AN$7-SQRT((1-AV249)*($AN$7-$AL$7)*($AN$7-$AM$7))),$AM$7)</f>
        <v/>
      </c>
      <c r="AN249">
        <f>IFERROR(IF(AW249&lt;($AM$8-$AL$8)/($AN$8-$AL$8),$AL$8+SQRT(AW249*($AN$8-$AL$8)*($AM$8-$AL$8)),$AN$8-SQRT((1-AW249)*($AN$8-$AL$8)*($AN$8-$AM$8))),$AM$8)</f>
        <v/>
      </c>
      <c r="AO249">
        <f>IFERROR(IF(AX249&lt;($AM$9-$AL$9)/($AN$9-$AL$9),$AL$9+SQRT(AX249*($AN$9-$AL$9)*($AM$9-$AL$9)),$AN$9-SQRT((1-AX249)*($AN$9-$AL$9)*($AN$9-$AM$9))),$AM$9)</f>
        <v/>
      </c>
      <c r="AP249">
        <f>IFERROR(IF(AY249&lt;($AM$10-$AL$10)/($AN$10-$AL$10),$AL$10+SQRT(AY249*($AN$10-$AL$10)*($AM$10-$AL$10)),$AN$10-SQRT((1-AY249)*($AN$10-$AL$10)*($AN$10-$AM$10))),$AM$10)</f>
        <v/>
      </c>
      <c r="AQ249">
        <f>IFERROR(IF(AZ249&lt;($AM$11-$AL$11)/($AN$11-$AL$11),$AL$11+SQRT(AZ249*($AN$11-$AL$11)*($AM$11-$AL$11)),$AN$11-SQRT((1-AZ249)*($AN$11-$AL$11)*($AN$11-$AM$11))),$AM$11)</f>
        <v/>
      </c>
      <c r="AR249">
        <f>SUMPRODUCT((B24:B31&lt;=$B$6)*(C24:C31*AM249+D24:D31*AO249*$B$8*AQ249)/(1+AL249/100)^B24:B31)+C32*AM249*AP249/(1+AL249/100)^$B$6</f>
        <v/>
      </c>
      <c r="AS249">
        <f>SUMPRODUCT((K24:K26&lt;=$B$6)*(L24:L26*AN249+M24:M26*AO249*$B$8*AQ249)/(1+AL249/100)^K24:K26)+L27*AN249*AP249/(1+AL249/100)^$B$6</f>
        <v/>
      </c>
      <c r="AT249">
        <f>AS249-AR249</f>
        <v/>
      </c>
      <c r="AU249">
        <f>RAND()</f>
        <v/>
      </c>
      <c r="AV249">
        <f>RAND()</f>
        <v/>
      </c>
      <c r="AW249">
        <f>RAND()</f>
        <v/>
      </c>
      <c r="AX249">
        <f>RAND()</f>
        <v/>
      </c>
      <c r="AY249">
        <f>RAND()</f>
        <v/>
      </c>
      <c r="AZ249">
        <f>RAND()</f>
        <v/>
      </c>
    </row>
    <row r="250">
      <c r="AK250" t="n">
        <v>237</v>
      </c>
      <c r="AL250">
        <f>IFERROR(IF(AU250&lt;($AM$6-$AL$6)/($AN$6-$AL$6),$AL$6+SQRT(AU250*($AN$6-$AL$6)*($AM$6-$AL$6)),$AN$6-SQRT((1-AU250)*($AN$6-$AL$6)*($AN$6-$AM$6))),$AM$6)</f>
        <v/>
      </c>
      <c r="AM250">
        <f>IFERROR(IF(AV250&lt;($AM$7-$AL$7)/($AN$7-$AL$7),$AL$7+SQRT(AV250*($AN$7-$AL$7)*($AM$7-$AL$7)),$AN$7-SQRT((1-AV250)*($AN$7-$AL$7)*($AN$7-$AM$7))),$AM$7)</f>
        <v/>
      </c>
      <c r="AN250">
        <f>IFERROR(IF(AW250&lt;($AM$8-$AL$8)/($AN$8-$AL$8),$AL$8+SQRT(AW250*($AN$8-$AL$8)*($AM$8-$AL$8)),$AN$8-SQRT((1-AW250)*($AN$8-$AL$8)*($AN$8-$AM$8))),$AM$8)</f>
        <v/>
      </c>
      <c r="AO250">
        <f>IFERROR(IF(AX250&lt;($AM$9-$AL$9)/($AN$9-$AL$9),$AL$9+SQRT(AX250*($AN$9-$AL$9)*($AM$9-$AL$9)),$AN$9-SQRT((1-AX250)*($AN$9-$AL$9)*($AN$9-$AM$9))),$AM$9)</f>
        <v/>
      </c>
      <c r="AP250">
        <f>IFERROR(IF(AY250&lt;($AM$10-$AL$10)/($AN$10-$AL$10),$AL$10+SQRT(AY250*($AN$10-$AL$10)*($AM$10-$AL$10)),$AN$10-SQRT((1-AY250)*($AN$10-$AL$10)*($AN$10-$AM$10))),$AM$10)</f>
        <v/>
      </c>
      <c r="AQ250">
        <f>IFERROR(IF(AZ250&lt;($AM$11-$AL$11)/($AN$11-$AL$11),$AL$11+SQRT(AZ250*($AN$11-$AL$11)*($AM$11-$AL$11)),$AN$11-SQRT((1-AZ250)*($AN$11-$AL$11)*($AN$11-$AM$11))),$AM$11)</f>
        <v/>
      </c>
      <c r="AR250">
        <f>SUMPRODUCT((B24:B31&lt;=$B$6)*(C24:C31*AM250+D24:D31*AO250*$B$8*AQ250)/(1+AL250/100)^B24:B31)+C32*AM250*AP250/(1+AL250/100)^$B$6</f>
        <v/>
      </c>
      <c r="AS250">
        <f>SUMPRODUCT((K24:K26&lt;=$B$6)*(L24:L26*AN250+M24:M26*AO250*$B$8*AQ250)/(1+AL250/100)^K24:K26)+L27*AN250*AP250/(1+AL250/100)^$B$6</f>
        <v/>
      </c>
      <c r="AT250">
        <f>AS250-AR250</f>
        <v/>
      </c>
      <c r="AU250">
        <f>RAND()</f>
        <v/>
      </c>
      <c r="AV250">
        <f>RAND()</f>
        <v/>
      </c>
      <c r="AW250">
        <f>RAND()</f>
        <v/>
      </c>
      <c r="AX250">
        <f>RAND()</f>
        <v/>
      </c>
      <c r="AY250">
        <f>RAND()</f>
        <v/>
      </c>
      <c r="AZ250">
        <f>RAND()</f>
        <v/>
      </c>
    </row>
    <row r="251">
      <c r="AK251" t="n">
        <v>238</v>
      </c>
      <c r="AL251">
        <f>IFERROR(IF(AU251&lt;($AM$6-$AL$6)/($AN$6-$AL$6),$AL$6+SQRT(AU251*($AN$6-$AL$6)*($AM$6-$AL$6)),$AN$6-SQRT((1-AU251)*($AN$6-$AL$6)*($AN$6-$AM$6))),$AM$6)</f>
        <v/>
      </c>
      <c r="AM251">
        <f>IFERROR(IF(AV251&lt;($AM$7-$AL$7)/($AN$7-$AL$7),$AL$7+SQRT(AV251*($AN$7-$AL$7)*($AM$7-$AL$7)),$AN$7-SQRT((1-AV251)*($AN$7-$AL$7)*($AN$7-$AM$7))),$AM$7)</f>
        <v/>
      </c>
      <c r="AN251">
        <f>IFERROR(IF(AW251&lt;($AM$8-$AL$8)/($AN$8-$AL$8),$AL$8+SQRT(AW251*($AN$8-$AL$8)*($AM$8-$AL$8)),$AN$8-SQRT((1-AW251)*($AN$8-$AL$8)*($AN$8-$AM$8))),$AM$8)</f>
        <v/>
      </c>
      <c r="AO251">
        <f>IFERROR(IF(AX251&lt;($AM$9-$AL$9)/($AN$9-$AL$9),$AL$9+SQRT(AX251*($AN$9-$AL$9)*($AM$9-$AL$9)),$AN$9-SQRT((1-AX251)*($AN$9-$AL$9)*($AN$9-$AM$9))),$AM$9)</f>
        <v/>
      </c>
      <c r="AP251">
        <f>IFERROR(IF(AY251&lt;($AM$10-$AL$10)/($AN$10-$AL$10),$AL$10+SQRT(AY251*($AN$10-$AL$10)*($AM$10-$AL$10)),$AN$10-SQRT((1-AY251)*($AN$10-$AL$10)*($AN$10-$AM$10))),$AM$10)</f>
        <v/>
      </c>
      <c r="AQ251">
        <f>IFERROR(IF(AZ251&lt;($AM$11-$AL$11)/($AN$11-$AL$11),$AL$11+SQRT(AZ251*($AN$11-$AL$11)*($AM$11-$AL$11)),$AN$11-SQRT((1-AZ251)*($AN$11-$AL$11)*($AN$11-$AM$11))),$AM$11)</f>
        <v/>
      </c>
      <c r="AR251">
        <f>SUMPRODUCT((B24:B31&lt;=$B$6)*(C24:C31*AM251+D24:D31*AO251*$B$8*AQ251)/(1+AL251/100)^B24:B31)+C32*AM251*AP251/(1+AL251/100)^$B$6</f>
        <v/>
      </c>
      <c r="AS251">
        <f>SUMPRODUCT((K24:K26&lt;=$B$6)*(L24:L26*AN251+M24:M26*AO251*$B$8*AQ251)/(1+AL251/100)^K24:K26)+L27*AN251*AP251/(1+AL251/100)^$B$6</f>
        <v/>
      </c>
      <c r="AT251">
        <f>AS251-AR251</f>
        <v/>
      </c>
      <c r="AU251">
        <f>RAND()</f>
        <v/>
      </c>
      <c r="AV251">
        <f>RAND()</f>
        <v/>
      </c>
      <c r="AW251">
        <f>RAND()</f>
        <v/>
      </c>
      <c r="AX251">
        <f>RAND()</f>
        <v/>
      </c>
      <c r="AY251">
        <f>RAND()</f>
        <v/>
      </c>
      <c r="AZ251">
        <f>RAND()</f>
        <v/>
      </c>
    </row>
    <row r="252">
      <c r="AK252" t="n">
        <v>239</v>
      </c>
      <c r="AL252">
        <f>IFERROR(IF(AU252&lt;($AM$6-$AL$6)/($AN$6-$AL$6),$AL$6+SQRT(AU252*($AN$6-$AL$6)*($AM$6-$AL$6)),$AN$6-SQRT((1-AU252)*($AN$6-$AL$6)*($AN$6-$AM$6))),$AM$6)</f>
        <v/>
      </c>
      <c r="AM252">
        <f>IFERROR(IF(AV252&lt;($AM$7-$AL$7)/($AN$7-$AL$7),$AL$7+SQRT(AV252*($AN$7-$AL$7)*($AM$7-$AL$7)),$AN$7-SQRT((1-AV252)*($AN$7-$AL$7)*($AN$7-$AM$7))),$AM$7)</f>
        <v/>
      </c>
      <c r="AN252">
        <f>IFERROR(IF(AW252&lt;($AM$8-$AL$8)/($AN$8-$AL$8),$AL$8+SQRT(AW252*($AN$8-$AL$8)*($AM$8-$AL$8)),$AN$8-SQRT((1-AW252)*($AN$8-$AL$8)*($AN$8-$AM$8))),$AM$8)</f>
        <v/>
      </c>
      <c r="AO252">
        <f>IFERROR(IF(AX252&lt;($AM$9-$AL$9)/($AN$9-$AL$9),$AL$9+SQRT(AX252*($AN$9-$AL$9)*($AM$9-$AL$9)),$AN$9-SQRT((1-AX252)*($AN$9-$AL$9)*($AN$9-$AM$9))),$AM$9)</f>
        <v/>
      </c>
      <c r="AP252">
        <f>IFERROR(IF(AY252&lt;($AM$10-$AL$10)/($AN$10-$AL$10),$AL$10+SQRT(AY252*($AN$10-$AL$10)*($AM$10-$AL$10)),$AN$10-SQRT((1-AY252)*($AN$10-$AL$10)*($AN$10-$AM$10))),$AM$10)</f>
        <v/>
      </c>
      <c r="AQ252">
        <f>IFERROR(IF(AZ252&lt;($AM$11-$AL$11)/($AN$11-$AL$11),$AL$11+SQRT(AZ252*($AN$11-$AL$11)*($AM$11-$AL$11)),$AN$11-SQRT((1-AZ252)*($AN$11-$AL$11)*($AN$11-$AM$11))),$AM$11)</f>
        <v/>
      </c>
      <c r="AR252">
        <f>SUMPRODUCT((B24:B31&lt;=$B$6)*(C24:C31*AM252+D24:D31*AO252*$B$8*AQ252)/(1+AL252/100)^B24:B31)+C32*AM252*AP252/(1+AL252/100)^$B$6</f>
        <v/>
      </c>
      <c r="AS252">
        <f>SUMPRODUCT((K24:K26&lt;=$B$6)*(L24:L26*AN252+M24:M26*AO252*$B$8*AQ252)/(1+AL252/100)^K24:K26)+L27*AN252*AP252/(1+AL252/100)^$B$6</f>
        <v/>
      </c>
      <c r="AT252">
        <f>AS252-AR252</f>
        <v/>
      </c>
      <c r="AU252">
        <f>RAND()</f>
        <v/>
      </c>
      <c r="AV252">
        <f>RAND()</f>
        <v/>
      </c>
      <c r="AW252">
        <f>RAND()</f>
        <v/>
      </c>
      <c r="AX252">
        <f>RAND()</f>
        <v/>
      </c>
      <c r="AY252">
        <f>RAND()</f>
        <v/>
      </c>
      <c r="AZ252">
        <f>RAND()</f>
        <v/>
      </c>
    </row>
    <row r="253">
      <c r="AK253" t="n">
        <v>240</v>
      </c>
      <c r="AL253">
        <f>IFERROR(IF(AU253&lt;($AM$6-$AL$6)/($AN$6-$AL$6),$AL$6+SQRT(AU253*($AN$6-$AL$6)*($AM$6-$AL$6)),$AN$6-SQRT((1-AU253)*($AN$6-$AL$6)*($AN$6-$AM$6))),$AM$6)</f>
        <v/>
      </c>
      <c r="AM253">
        <f>IFERROR(IF(AV253&lt;($AM$7-$AL$7)/($AN$7-$AL$7),$AL$7+SQRT(AV253*($AN$7-$AL$7)*($AM$7-$AL$7)),$AN$7-SQRT((1-AV253)*($AN$7-$AL$7)*($AN$7-$AM$7))),$AM$7)</f>
        <v/>
      </c>
      <c r="AN253">
        <f>IFERROR(IF(AW253&lt;($AM$8-$AL$8)/($AN$8-$AL$8),$AL$8+SQRT(AW253*($AN$8-$AL$8)*($AM$8-$AL$8)),$AN$8-SQRT((1-AW253)*($AN$8-$AL$8)*($AN$8-$AM$8))),$AM$8)</f>
        <v/>
      </c>
      <c r="AO253">
        <f>IFERROR(IF(AX253&lt;($AM$9-$AL$9)/($AN$9-$AL$9),$AL$9+SQRT(AX253*($AN$9-$AL$9)*($AM$9-$AL$9)),$AN$9-SQRT((1-AX253)*($AN$9-$AL$9)*($AN$9-$AM$9))),$AM$9)</f>
        <v/>
      </c>
      <c r="AP253">
        <f>IFERROR(IF(AY253&lt;($AM$10-$AL$10)/($AN$10-$AL$10),$AL$10+SQRT(AY253*($AN$10-$AL$10)*($AM$10-$AL$10)),$AN$10-SQRT((1-AY253)*($AN$10-$AL$10)*($AN$10-$AM$10))),$AM$10)</f>
        <v/>
      </c>
      <c r="AQ253">
        <f>IFERROR(IF(AZ253&lt;($AM$11-$AL$11)/($AN$11-$AL$11),$AL$11+SQRT(AZ253*($AN$11-$AL$11)*($AM$11-$AL$11)),$AN$11-SQRT((1-AZ253)*($AN$11-$AL$11)*($AN$11-$AM$11))),$AM$11)</f>
        <v/>
      </c>
      <c r="AR253">
        <f>SUMPRODUCT((B24:B31&lt;=$B$6)*(C24:C31*AM253+D24:D31*AO253*$B$8*AQ253)/(1+AL253/100)^B24:B31)+C32*AM253*AP253/(1+AL253/100)^$B$6</f>
        <v/>
      </c>
      <c r="AS253">
        <f>SUMPRODUCT((K24:K26&lt;=$B$6)*(L24:L26*AN253+M24:M26*AO253*$B$8*AQ253)/(1+AL253/100)^K24:K26)+L27*AN253*AP253/(1+AL253/100)^$B$6</f>
        <v/>
      </c>
      <c r="AT253">
        <f>AS253-AR253</f>
        <v/>
      </c>
      <c r="AU253">
        <f>RAND()</f>
        <v/>
      </c>
      <c r="AV253">
        <f>RAND()</f>
        <v/>
      </c>
      <c r="AW253">
        <f>RAND()</f>
        <v/>
      </c>
      <c r="AX253">
        <f>RAND()</f>
        <v/>
      </c>
      <c r="AY253">
        <f>RAND()</f>
        <v/>
      </c>
      <c r="AZ253">
        <f>RAND()</f>
        <v/>
      </c>
    </row>
    <row r="254">
      <c r="AK254" t="n">
        <v>241</v>
      </c>
      <c r="AL254">
        <f>IFERROR(IF(AU254&lt;($AM$6-$AL$6)/($AN$6-$AL$6),$AL$6+SQRT(AU254*($AN$6-$AL$6)*($AM$6-$AL$6)),$AN$6-SQRT((1-AU254)*($AN$6-$AL$6)*($AN$6-$AM$6))),$AM$6)</f>
        <v/>
      </c>
      <c r="AM254">
        <f>IFERROR(IF(AV254&lt;($AM$7-$AL$7)/($AN$7-$AL$7),$AL$7+SQRT(AV254*($AN$7-$AL$7)*($AM$7-$AL$7)),$AN$7-SQRT((1-AV254)*($AN$7-$AL$7)*($AN$7-$AM$7))),$AM$7)</f>
        <v/>
      </c>
      <c r="AN254">
        <f>IFERROR(IF(AW254&lt;($AM$8-$AL$8)/($AN$8-$AL$8),$AL$8+SQRT(AW254*($AN$8-$AL$8)*($AM$8-$AL$8)),$AN$8-SQRT((1-AW254)*($AN$8-$AL$8)*($AN$8-$AM$8))),$AM$8)</f>
        <v/>
      </c>
      <c r="AO254">
        <f>IFERROR(IF(AX254&lt;($AM$9-$AL$9)/($AN$9-$AL$9),$AL$9+SQRT(AX254*($AN$9-$AL$9)*($AM$9-$AL$9)),$AN$9-SQRT((1-AX254)*($AN$9-$AL$9)*($AN$9-$AM$9))),$AM$9)</f>
        <v/>
      </c>
      <c r="AP254">
        <f>IFERROR(IF(AY254&lt;($AM$10-$AL$10)/($AN$10-$AL$10),$AL$10+SQRT(AY254*($AN$10-$AL$10)*($AM$10-$AL$10)),$AN$10-SQRT((1-AY254)*($AN$10-$AL$10)*($AN$10-$AM$10))),$AM$10)</f>
        <v/>
      </c>
      <c r="AQ254">
        <f>IFERROR(IF(AZ254&lt;($AM$11-$AL$11)/($AN$11-$AL$11),$AL$11+SQRT(AZ254*($AN$11-$AL$11)*($AM$11-$AL$11)),$AN$11-SQRT((1-AZ254)*($AN$11-$AL$11)*($AN$11-$AM$11))),$AM$11)</f>
        <v/>
      </c>
      <c r="AR254">
        <f>SUMPRODUCT((B24:B31&lt;=$B$6)*(C24:C31*AM254+D24:D31*AO254*$B$8*AQ254)/(1+AL254/100)^B24:B31)+C32*AM254*AP254/(1+AL254/100)^$B$6</f>
        <v/>
      </c>
      <c r="AS254">
        <f>SUMPRODUCT((K24:K26&lt;=$B$6)*(L24:L26*AN254+M24:M26*AO254*$B$8*AQ254)/(1+AL254/100)^K24:K26)+L27*AN254*AP254/(1+AL254/100)^$B$6</f>
        <v/>
      </c>
      <c r="AT254">
        <f>AS254-AR254</f>
        <v/>
      </c>
      <c r="AU254">
        <f>RAND()</f>
        <v/>
      </c>
      <c r="AV254">
        <f>RAND()</f>
        <v/>
      </c>
      <c r="AW254">
        <f>RAND()</f>
        <v/>
      </c>
      <c r="AX254">
        <f>RAND()</f>
        <v/>
      </c>
      <c r="AY254">
        <f>RAND()</f>
        <v/>
      </c>
      <c r="AZ254">
        <f>RAND()</f>
        <v/>
      </c>
    </row>
    <row r="255">
      <c r="AK255" t="n">
        <v>242</v>
      </c>
      <c r="AL255">
        <f>IFERROR(IF(AU255&lt;($AM$6-$AL$6)/($AN$6-$AL$6),$AL$6+SQRT(AU255*($AN$6-$AL$6)*($AM$6-$AL$6)),$AN$6-SQRT((1-AU255)*($AN$6-$AL$6)*($AN$6-$AM$6))),$AM$6)</f>
        <v/>
      </c>
      <c r="AM255">
        <f>IFERROR(IF(AV255&lt;($AM$7-$AL$7)/($AN$7-$AL$7),$AL$7+SQRT(AV255*($AN$7-$AL$7)*($AM$7-$AL$7)),$AN$7-SQRT((1-AV255)*($AN$7-$AL$7)*($AN$7-$AM$7))),$AM$7)</f>
        <v/>
      </c>
      <c r="AN255">
        <f>IFERROR(IF(AW255&lt;($AM$8-$AL$8)/($AN$8-$AL$8),$AL$8+SQRT(AW255*($AN$8-$AL$8)*($AM$8-$AL$8)),$AN$8-SQRT((1-AW255)*($AN$8-$AL$8)*($AN$8-$AM$8))),$AM$8)</f>
        <v/>
      </c>
      <c r="AO255">
        <f>IFERROR(IF(AX255&lt;($AM$9-$AL$9)/($AN$9-$AL$9),$AL$9+SQRT(AX255*($AN$9-$AL$9)*($AM$9-$AL$9)),$AN$9-SQRT((1-AX255)*($AN$9-$AL$9)*($AN$9-$AM$9))),$AM$9)</f>
        <v/>
      </c>
      <c r="AP255">
        <f>IFERROR(IF(AY255&lt;($AM$10-$AL$10)/($AN$10-$AL$10),$AL$10+SQRT(AY255*($AN$10-$AL$10)*($AM$10-$AL$10)),$AN$10-SQRT((1-AY255)*($AN$10-$AL$10)*($AN$10-$AM$10))),$AM$10)</f>
        <v/>
      </c>
      <c r="AQ255">
        <f>IFERROR(IF(AZ255&lt;($AM$11-$AL$11)/($AN$11-$AL$11),$AL$11+SQRT(AZ255*($AN$11-$AL$11)*($AM$11-$AL$11)),$AN$11-SQRT((1-AZ255)*($AN$11-$AL$11)*($AN$11-$AM$11))),$AM$11)</f>
        <v/>
      </c>
      <c r="AR255">
        <f>SUMPRODUCT((B24:B31&lt;=$B$6)*(C24:C31*AM255+D24:D31*AO255*$B$8*AQ255)/(1+AL255/100)^B24:B31)+C32*AM255*AP255/(1+AL255/100)^$B$6</f>
        <v/>
      </c>
      <c r="AS255">
        <f>SUMPRODUCT((K24:K26&lt;=$B$6)*(L24:L26*AN255+M24:M26*AO255*$B$8*AQ255)/(1+AL255/100)^K24:K26)+L27*AN255*AP255/(1+AL255/100)^$B$6</f>
        <v/>
      </c>
      <c r="AT255">
        <f>AS255-AR255</f>
        <v/>
      </c>
      <c r="AU255">
        <f>RAND()</f>
        <v/>
      </c>
      <c r="AV255">
        <f>RAND()</f>
        <v/>
      </c>
      <c r="AW255">
        <f>RAND()</f>
        <v/>
      </c>
      <c r="AX255">
        <f>RAND()</f>
        <v/>
      </c>
      <c r="AY255">
        <f>RAND()</f>
        <v/>
      </c>
      <c r="AZ255">
        <f>RAND()</f>
        <v/>
      </c>
    </row>
    <row r="256">
      <c r="AK256" t="n">
        <v>243</v>
      </c>
      <c r="AL256">
        <f>IFERROR(IF(AU256&lt;($AM$6-$AL$6)/($AN$6-$AL$6),$AL$6+SQRT(AU256*($AN$6-$AL$6)*($AM$6-$AL$6)),$AN$6-SQRT((1-AU256)*($AN$6-$AL$6)*($AN$6-$AM$6))),$AM$6)</f>
        <v/>
      </c>
      <c r="AM256">
        <f>IFERROR(IF(AV256&lt;($AM$7-$AL$7)/($AN$7-$AL$7),$AL$7+SQRT(AV256*($AN$7-$AL$7)*($AM$7-$AL$7)),$AN$7-SQRT((1-AV256)*($AN$7-$AL$7)*($AN$7-$AM$7))),$AM$7)</f>
        <v/>
      </c>
      <c r="AN256">
        <f>IFERROR(IF(AW256&lt;($AM$8-$AL$8)/($AN$8-$AL$8),$AL$8+SQRT(AW256*($AN$8-$AL$8)*($AM$8-$AL$8)),$AN$8-SQRT((1-AW256)*($AN$8-$AL$8)*($AN$8-$AM$8))),$AM$8)</f>
        <v/>
      </c>
      <c r="AO256">
        <f>IFERROR(IF(AX256&lt;($AM$9-$AL$9)/($AN$9-$AL$9),$AL$9+SQRT(AX256*($AN$9-$AL$9)*($AM$9-$AL$9)),$AN$9-SQRT((1-AX256)*($AN$9-$AL$9)*($AN$9-$AM$9))),$AM$9)</f>
        <v/>
      </c>
      <c r="AP256">
        <f>IFERROR(IF(AY256&lt;($AM$10-$AL$10)/($AN$10-$AL$10),$AL$10+SQRT(AY256*($AN$10-$AL$10)*($AM$10-$AL$10)),$AN$10-SQRT((1-AY256)*($AN$10-$AL$10)*($AN$10-$AM$10))),$AM$10)</f>
        <v/>
      </c>
      <c r="AQ256">
        <f>IFERROR(IF(AZ256&lt;($AM$11-$AL$11)/($AN$11-$AL$11),$AL$11+SQRT(AZ256*($AN$11-$AL$11)*($AM$11-$AL$11)),$AN$11-SQRT((1-AZ256)*($AN$11-$AL$11)*($AN$11-$AM$11))),$AM$11)</f>
        <v/>
      </c>
      <c r="AR256">
        <f>SUMPRODUCT((B24:B31&lt;=$B$6)*(C24:C31*AM256+D24:D31*AO256*$B$8*AQ256)/(1+AL256/100)^B24:B31)+C32*AM256*AP256/(1+AL256/100)^$B$6</f>
        <v/>
      </c>
      <c r="AS256">
        <f>SUMPRODUCT((K24:K26&lt;=$B$6)*(L24:L26*AN256+M24:M26*AO256*$B$8*AQ256)/(1+AL256/100)^K24:K26)+L27*AN256*AP256/(1+AL256/100)^$B$6</f>
        <v/>
      </c>
      <c r="AT256">
        <f>AS256-AR256</f>
        <v/>
      </c>
      <c r="AU256">
        <f>RAND()</f>
        <v/>
      </c>
      <c r="AV256">
        <f>RAND()</f>
        <v/>
      </c>
      <c r="AW256">
        <f>RAND()</f>
        <v/>
      </c>
      <c r="AX256">
        <f>RAND()</f>
        <v/>
      </c>
      <c r="AY256">
        <f>RAND()</f>
        <v/>
      </c>
      <c r="AZ256">
        <f>RAND()</f>
        <v/>
      </c>
    </row>
    <row r="257">
      <c r="AK257" t="n">
        <v>244</v>
      </c>
      <c r="AL257">
        <f>IFERROR(IF(AU257&lt;($AM$6-$AL$6)/($AN$6-$AL$6),$AL$6+SQRT(AU257*($AN$6-$AL$6)*($AM$6-$AL$6)),$AN$6-SQRT((1-AU257)*($AN$6-$AL$6)*($AN$6-$AM$6))),$AM$6)</f>
        <v/>
      </c>
      <c r="AM257">
        <f>IFERROR(IF(AV257&lt;($AM$7-$AL$7)/($AN$7-$AL$7),$AL$7+SQRT(AV257*($AN$7-$AL$7)*($AM$7-$AL$7)),$AN$7-SQRT((1-AV257)*($AN$7-$AL$7)*($AN$7-$AM$7))),$AM$7)</f>
        <v/>
      </c>
      <c r="AN257">
        <f>IFERROR(IF(AW257&lt;($AM$8-$AL$8)/($AN$8-$AL$8),$AL$8+SQRT(AW257*($AN$8-$AL$8)*($AM$8-$AL$8)),$AN$8-SQRT((1-AW257)*($AN$8-$AL$8)*($AN$8-$AM$8))),$AM$8)</f>
        <v/>
      </c>
      <c r="AO257">
        <f>IFERROR(IF(AX257&lt;($AM$9-$AL$9)/($AN$9-$AL$9),$AL$9+SQRT(AX257*($AN$9-$AL$9)*($AM$9-$AL$9)),$AN$9-SQRT((1-AX257)*($AN$9-$AL$9)*($AN$9-$AM$9))),$AM$9)</f>
        <v/>
      </c>
      <c r="AP257">
        <f>IFERROR(IF(AY257&lt;($AM$10-$AL$10)/($AN$10-$AL$10),$AL$10+SQRT(AY257*($AN$10-$AL$10)*($AM$10-$AL$10)),$AN$10-SQRT((1-AY257)*($AN$10-$AL$10)*($AN$10-$AM$10))),$AM$10)</f>
        <v/>
      </c>
      <c r="AQ257">
        <f>IFERROR(IF(AZ257&lt;($AM$11-$AL$11)/($AN$11-$AL$11),$AL$11+SQRT(AZ257*($AN$11-$AL$11)*($AM$11-$AL$11)),$AN$11-SQRT((1-AZ257)*($AN$11-$AL$11)*($AN$11-$AM$11))),$AM$11)</f>
        <v/>
      </c>
      <c r="AR257">
        <f>SUMPRODUCT((B24:B31&lt;=$B$6)*(C24:C31*AM257+D24:D31*AO257*$B$8*AQ257)/(1+AL257/100)^B24:B31)+C32*AM257*AP257/(1+AL257/100)^$B$6</f>
        <v/>
      </c>
      <c r="AS257">
        <f>SUMPRODUCT((K24:K26&lt;=$B$6)*(L24:L26*AN257+M24:M26*AO257*$B$8*AQ257)/(1+AL257/100)^K24:K26)+L27*AN257*AP257/(1+AL257/100)^$B$6</f>
        <v/>
      </c>
      <c r="AT257">
        <f>AS257-AR257</f>
        <v/>
      </c>
      <c r="AU257">
        <f>RAND()</f>
        <v/>
      </c>
      <c r="AV257">
        <f>RAND()</f>
        <v/>
      </c>
      <c r="AW257">
        <f>RAND()</f>
        <v/>
      </c>
      <c r="AX257">
        <f>RAND()</f>
        <v/>
      </c>
      <c r="AY257">
        <f>RAND()</f>
        <v/>
      </c>
      <c r="AZ257">
        <f>RAND()</f>
        <v/>
      </c>
    </row>
    <row r="258">
      <c r="AK258" t="n">
        <v>245</v>
      </c>
      <c r="AL258">
        <f>IFERROR(IF(AU258&lt;($AM$6-$AL$6)/($AN$6-$AL$6),$AL$6+SQRT(AU258*($AN$6-$AL$6)*($AM$6-$AL$6)),$AN$6-SQRT((1-AU258)*($AN$6-$AL$6)*($AN$6-$AM$6))),$AM$6)</f>
        <v/>
      </c>
      <c r="AM258">
        <f>IFERROR(IF(AV258&lt;($AM$7-$AL$7)/($AN$7-$AL$7),$AL$7+SQRT(AV258*($AN$7-$AL$7)*($AM$7-$AL$7)),$AN$7-SQRT((1-AV258)*($AN$7-$AL$7)*($AN$7-$AM$7))),$AM$7)</f>
        <v/>
      </c>
      <c r="AN258">
        <f>IFERROR(IF(AW258&lt;($AM$8-$AL$8)/($AN$8-$AL$8),$AL$8+SQRT(AW258*($AN$8-$AL$8)*($AM$8-$AL$8)),$AN$8-SQRT((1-AW258)*($AN$8-$AL$8)*($AN$8-$AM$8))),$AM$8)</f>
        <v/>
      </c>
      <c r="AO258">
        <f>IFERROR(IF(AX258&lt;($AM$9-$AL$9)/($AN$9-$AL$9),$AL$9+SQRT(AX258*($AN$9-$AL$9)*($AM$9-$AL$9)),$AN$9-SQRT((1-AX258)*($AN$9-$AL$9)*($AN$9-$AM$9))),$AM$9)</f>
        <v/>
      </c>
      <c r="AP258">
        <f>IFERROR(IF(AY258&lt;($AM$10-$AL$10)/($AN$10-$AL$10),$AL$10+SQRT(AY258*($AN$10-$AL$10)*($AM$10-$AL$10)),$AN$10-SQRT((1-AY258)*($AN$10-$AL$10)*($AN$10-$AM$10))),$AM$10)</f>
        <v/>
      </c>
      <c r="AQ258">
        <f>IFERROR(IF(AZ258&lt;($AM$11-$AL$11)/($AN$11-$AL$11),$AL$11+SQRT(AZ258*($AN$11-$AL$11)*($AM$11-$AL$11)),$AN$11-SQRT((1-AZ258)*($AN$11-$AL$11)*($AN$11-$AM$11))),$AM$11)</f>
        <v/>
      </c>
      <c r="AR258">
        <f>SUMPRODUCT((B24:B31&lt;=$B$6)*(C24:C31*AM258+D24:D31*AO258*$B$8*AQ258)/(1+AL258/100)^B24:B31)+C32*AM258*AP258/(1+AL258/100)^$B$6</f>
        <v/>
      </c>
      <c r="AS258">
        <f>SUMPRODUCT((K24:K26&lt;=$B$6)*(L24:L26*AN258+M24:M26*AO258*$B$8*AQ258)/(1+AL258/100)^K24:K26)+L27*AN258*AP258/(1+AL258/100)^$B$6</f>
        <v/>
      </c>
      <c r="AT258">
        <f>AS258-AR258</f>
        <v/>
      </c>
      <c r="AU258">
        <f>RAND()</f>
        <v/>
      </c>
      <c r="AV258">
        <f>RAND()</f>
        <v/>
      </c>
      <c r="AW258">
        <f>RAND()</f>
        <v/>
      </c>
      <c r="AX258">
        <f>RAND()</f>
        <v/>
      </c>
      <c r="AY258">
        <f>RAND()</f>
        <v/>
      </c>
      <c r="AZ258">
        <f>RAND()</f>
        <v/>
      </c>
    </row>
    <row r="259">
      <c r="AK259" t="n">
        <v>246</v>
      </c>
      <c r="AL259">
        <f>IFERROR(IF(AU259&lt;($AM$6-$AL$6)/($AN$6-$AL$6),$AL$6+SQRT(AU259*($AN$6-$AL$6)*($AM$6-$AL$6)),$AN$6-SQRT((1-AU259)*($AN$6-$AL$6)*($AN$6-$AM$6))),$AM$6)</f>
        <v/>
      </c>
      <c r="AM259">
        <f>IFERROR(IF(AV259&lt;($AM$7-$AL$7)/($AN$7-$AL$7),$AL$7+SQRT(AV259*($AN$7-$AL$7)*($AM$7-$AL$7)),$AN$7-SQRT((1-AV259)*($AN$7-$AL$7)*($AN$7-$AM$7))),$AM$7)</f>
        <v/>
      </c>
      <c r="AN259">
        <f>IFERROR(IF(AW259&lt;($AM$8-$AL$8)/($AN$8-$AL$8),$AL$8+SQRT(AW259*($AN$8-$AL$8)*($AM$8-$AL$8)),$AN$8-SQRT((1-AW259)*($AN$8-$AL$8)*($AN$8-$AM$8))),$AM$8)</f>
        <v/>
      </c>
      <c r="AO259">
        <f>IFERROR(IF(AX259&lt;($AM$9-$AL$9)/($AN$9-$AL$9),$AL$9+SQRT(AX259*($AN$9-$AL$9)*($AM$9-$AL$9)),$AN$9-SQRT((1-AX259)*($AN$9-$AL$9)*($AN$9-$AM$9))),$AM$9)</f>
        <v/>
      </c>
      <c r="AP259">
        <f>IFERROR(IF(AY259&lt;($AM$10-$AL$10)/($AN$10-$AL$10),$AL$10+SQRT(AY259*($AN$10-$AL$10)*($AM$10-$AL$10)),$AN$10-SQRT((1-AY259)*($AN$10-$AL$10)*($AN$10-$AM$10))),$AM$10)</f>
        <v/>
      </c>
      <c r="AQ259">
        <f>IFERROR(IF(AZ259&lt;($AM$11-$AL$11)/($AN$11-$AL$11),$AL$11+SQRT(AZ259*($AN$11-$AL$11)*($AM$11-$AL$11)),$AN$11-SQRT((1-AZ259)*($AN$11-$AL$11)*($AN$11-$AM$11))),$AM$11)</f>
        <v/>
      </c>
      <c r="AR259">
        <f>SUMPRODUCT((B24:B31&lt;=$B$6)*(C24:C31*AM259+D24:D31*AO259*$B$8*AQ259)/(1+AL259/100)^B24:B31)+C32*AM259*AP259/(1+AL259/100)^$B$6</f>
        <v/>
      </c>
      <c r="AS259">
        <f>SUMPRODUCT((K24:K26&lt;=$B$6)*(L24:L26*AN259+M24:M26*AO259*$B$8*AQ259)/(1+AL259/100)^K24:K26)+L27*AN259*AP259/(1+AL259/100)^$B$6</f>
        <v/>
      </c>
      <c r="AT259">
        <f>AS259-AR259</f>
        <v/>
      </c>
      <c r="AU259">
        <f>RAND()</f>
        <v/>
      </c>
      <c r="AV259">
        <f>RAND()</f>
        <v/>
      </c>
      <c r="AW259">
        <f>RAND()</f>
        <v/>
      </c>
      <c r="AX259">
        <f>RAND()</f>
        <v/>
      </c>
      <c r="AY259">
        <f>RAND()</f>
        <v/>
      </c>
      <c r="AZ259">
        <f>RAND()</f>
        <v/>
      </c>
    </row>
    <row r="260">
      <c r="AK260" t="n">
        <v>247</v>
      </c>
      <c r="AL260">
        <f>IFERROR(IF(AU260&lt;($AM$6-$AL$6)/($AN$6-$AL$6),$AL$6+SQRT(AU260*($AN$6-$AL$6)*($AM$6-$AL$6)),$AN$6-SQRT((1-AU260)*($AN$6-$AL$6)*($AN$6-$AM$6))),$AM$6)</f>
        <v/>
      </c>
      <c r="AM260">
        <f>IFERROR(IF(AV260&lt;($AM$7-$AL$7)/($AN$7-$AL$7),$AL$7+SQRT(AV260*($AN$7-$AL$7)*($AM$7-$AL$7)),$AN$7-SQRT((1-AV260)*($AN$7-$AL$7)*($AN$7-$AM$7))),$AM$7)</f>
        <v/>
      </c>
      <c r="AN260">
        <f>IFERROR(IF(AW260&lt;($AM$8-$AL$8)/($AN$8-$AL$8),$AL$8+SQRT(AW260*($AN$8-$AL$8)*($AM$8-$AL$8)),$AN$8-SQRT((1-AW260)*($AN$8-$AL$8)*($AN$8-$AM$8))),$AM$8)</f>
        <v/>
      </c>
      <c r="AO260">
        <f>IFERROR(IF(AX260&lt;($AM$9-$AL$9)/($AN$9-$AL$9),$AL$9+SQRT(AX260*($AN$9-$AL$9)*($AM$9-$AL$9)),$AN$9-SQRT((1-AX260)*($AN$9-$AL$9)*($AN$9-$AM$9))),$AM$9)</f>
        <v/>
      </c>
      <c r="AP260">
        <f>IFERROR(IF(AY260&lt;($AM$10-$AL$10)/($AN$10-$AL$10),$AL$10+SQRT(AY260*($AN$10-$AL$10)*($AM$10-$AL$10)),$AN$10-SQRT((1-AY260)*($AN$10-$AL$10)*($AN$10-$AM$10))),$AM$10)</f>
        <v/>
      </c>
      <c r="AQ260">
        <f>IFERROR(IF(AZ260&lt;($AM$11-$AL$11)/($AN$11-$AL$11),$AL$11+SQRT(AZ260*($AN$11-$AL$11)*($AM$11-$AL$11)),$AN$11-SQRT((1-AZ260)*($AN$11-$AL$11)*($AN$11-$AM$11))),$AM$11)</f>
        <v/>
      </c>
      <c r="AR260">
        <f>SUMPRODUCT((B24:B31&lt;=$B$6)*(C24:C31*AM260+D24:D31*AO260*$B$8*AQ260)/(1+AL260/100)^B24:B31)+C32*AM260*AP260/(1+AL260/100)^$B$6</f>
        <v/>
      </c>
      <c r="AS260">
        <f>SUMPRODUCT((K24:K26&lt;=$B$6)*(L24:L26*AN260+M24:M26*AO260*$B$8*AQ260)/(1+AL260/100)^K24:K26)+L27*AN260*AP260/(1+AL260/100)^$B$6</f>
        <v/>
      </c>
      <c r="AT260">
        <f>AS260-AR260</f>
        <v/>
      </c>
      <c r="AU260">
        <f>RAND()</f>
        <v/>
      </c>
      <c r="AV260">
        <f>RAND()</f>
        <v/>
      </c>
      <c r="AW260">
        <f>RAND()</f>
        <v/>
      </c>
      <c r="AX260">
        <f>RAND()</f>
        <v/>
      </c>
      <c r="AY260">
        <f>RAND()</f>
        <v/>
      </c>
      <c r="AZ260">
        <f>RAND()</f>
        <v/>
      </c>
    </row>
    <row r="261">
      <c r="AK261" t="n">
        <v>248</v>
      </c>
      <c r="AL261">
        <f>IFERROR(IF(AU261&lt;($AM$6-$AL$6)/($AN$6-$AL$6),$AL$6+SQRT(AU261*($AN$6-$AL$6)*($AM$6-$AL$6)),$AN$6-SQRT((1-AU261)*($AN$6-$AL$6)*($AN$6-$AM$6))),$AM$6)</f>
        <v/>
      </c>
      <c r="AM261">
        <f>IFERROR(IF(AV261&lt;($AM$7-$AL$7)/($AN$7-$AL$7),$AL$7+SQRT(AV261*($AN$7-$AL$7)*($AM$7-$AL$7)),$AN$7-SQRT((1-AV261)*($AN$7-$AL$7)*($AN$7-$AM$7))),$AM$7)</f>
        <v/>
      </c>
      <c r="AN261">
        <f>IFERROR(IF(AW261&lt;($AM$8-$AL$8)/($AN$8-$AL$8),$AL$8+SQRT(AW261*($AN$8-$AL$8)*($AM$8-$AL$8)),$AN$8-SQRT((1-AW261)*($AN$8-$AL$8)*($AN$8-$AM$8))),$AM$8)</f>
        <v/>
      </c>
      <c r="AO261">
        <f>IFERROR(IF(AX261&lt;($AM$9-$AL$9)/($AN$9-$AL$9),$AL$9+SQRT(AX261*($AN$9-$AL$9)*($AM$9-$AL$9)),$AN$9-SQRT((1-AX261)*($AN$9-$AL$9)*($AN$9-$AM$9))),$AM$9)</f>
        <v/>
      </c>
      <c r="AP261">
        <f>IFERROR(IF(AY261&lt;($AM$10-$AL$10)/($AN$10-$AL$10),$AL$10+SQRT(AY261*($AN$10-$AL$10)*($AM$10-$AL$10)),$AN$10-SQRT((1-AY261)*($AN$10-$AL$10)*($AN$10-$AM$10))),$AM$10)</f>
        <v/>
      </c>
      <c r="AQ261">
        <f>IFERROR(IF(AZ261&lt;($AM$11-$AL$11)/($AN$11-$AL$11),$AL$11+SQRT(AZ261*($AN$11-$AL$11)*($AM$11-$AL$11)),$AN$11-SQRT((1-AZ261)*($AN$11-$AL$11)*($AN$11-$AM$11))),$AM$11)</f>
        <v/>
      </c>
      <c r="AR261">
        <f>SUMPRODUCT((B24:B31&lt;=$B$6)*(C24:C31*AM261+D24:D31*AO261*$B$8*AQ261)/(1+AL261/100)^B24:B31)+C32*AM261*AP261/(1+AL261/100)^$B$6</f>
        <v/>
      </c>
      <c r="AS261">
        <f>SUMPRODUCT((K24:K26&lt;=$B$6)*(L24:L26*AN261+M24:M26*AO261*$B$8*AQ261)/(1+AL261/100)^K24:K26)+L27*AN261*AP261/(1+AL261/100)^$B$6</f>
        <v/>
      </c>
      <c r="AT261">
        <f>AS261-AR261</f>
        <v/>
      </c>
      <c r="AU261">
        <f>RAND()</f>
        <v/>
      </c>
      <c r="AV261">
        <f>RAND()</f>
        <v/>
      </c>
      <c r="AW261">
        <f>RAND()</f>
        <v/>
      </c>
      <c r="AX261">
        <f>RAND()</f>
        <v/>
      </c>
      <c r="AY261">
        <f>RAND()</f>
        <v/>
      </c>
      <c r="AZ261">
        <f>RAND()</f>
        <v/>
      </c>
    </row>
    <row r="262">
      <c r="AK262" t="n">
        <v>249</v>
      </c>
      <c r="AL262">
        <f>IFERROR(IF(AU262&lt;($AM$6-$AL$6)/($AN$6-$AL$6),$AL$6+SQRT(AU262*($AN$6-$AL$6)*($AM$6-$AL$6)),$AN$6-SQRT((1-AU262)*($AN$6-$AL$6)*($AN$6-$AM$6))),$AM$6)</f>
        <v/>
      </c>
      <c r="AM262">
        <f>IFERROR(IF(AV262&lt;($AM$7-$AL$7)/($AN$7-$AL$7),$AL$7+SQRT(AV262*($AN$7-$AL$7)*($AM$7-$AL$7)),$AN$7-SQRT((1-AV262)*($AN$7-$AL$7)*($AN$7-$AM$7))),$AM$7)</f>
        <v/>
      </c>
      <c r="AN262">
        <f>IFERROR(IF(AW262&lt;($AM$8-$AL$8)/($AN$8-$AL$8),$AL$8+SQRT(AW262*($AN$8-$AL$8)*($AM$8-$AL$8)),$AN$8-SQRT((1-AW262)*($AN$8-$AL$8)*($AN$8-$AM$8))),$AM$8)</f>
        <v/>
      </c>
      <c r="AO262">
        <f>IFERROR(IF(AX262&lt;($AM$9-$AL$9)/($AN$9-$AL$9),$AL$9+SQRT(AX262*($AN$9-$AL$9)*($AM$9-$AL$9)),$AN$9-SQRT((1-AX262)*($AN$9-$AL$9)*($AN$9-$AM$9))),$AM$9)</f>
        <v/>
      </c>
      <c r="AP262">
        <f>IFERROR(IF(AY262&lt;($AM$10-$AL$10)/($AN$10-$AL$10),$AL$10+SQRT(AY262*($AN$10-$AL$10)*($AM$10-$AL$10)),$AN$10-SQRT((1-AY262)*($AN$10-$AL$10)*($AN$10-$AM$10))),$AM$10)</f>
        <v/>
      </c>
      <c r="AQ262">
        <f>IFERROR(IF(AZ262&lt;($AM$11-$AL$11)/($AN$11-$AL$11),$AL$11+SQRT(AZ262*($AN$11-$AL$11)*($AM$11-$AL$11)),$AN$11-SQRT((1-AZ262)*($AN$11-$AL$11)*($AN$11-$AM$11))),$AM$11)</f>
        <v/>
      </c>
      <c r="AR262">
        <f>SUMPRODUCT((B24:B31&lt;=$B$6)*(C24:C31*AM262+D24:D31*AO262*$B$8*AQ262)/(1+AL262/100)^B24:B31)+C32*AM262*AP262/(1+AL262/100)^$B$6</f>
        <v/>
      </c>
      <c r="AS262">
        <f>SUMPRODUCT((K24:K26&lt;=$B$6)*(L24:L26*AN262+M24:M26*AO262*$B$8*AQ262)/(1+AL262/100)^K24:K26)+L27*AN262*AP262/(1+AL262/100)^$B$6</f>
        <v/>
      </c>
      <c r="AT262">
        <f>AS262-AR262</f>
        <v/>
      </c>
      <c r="AU262">
        <f>RAND()</f>
        <v/>
      </c>
      <c r="AV262">
        <f>RAND()</f>
        <v/>
      </c>
      <c r="AW262">
        <f>RAND()</f>
        <v/>
      </c>
      <c r="AX262">
        <f>RAND()</f>
        <v/>
      </c>
      <c r="AY262">
        <f>RAND()</f>
        <v/>
      </c>
      <c r="AZ262">
        <f>RAND()</f>
        <v/>
      </c>
    </row>
    <row r="263">
      <c r="AK263" t="n">
        <v>250</v>
      </c>
      <c r="AL263">
        <f>IFERROR(IF(AU263&lt;($AM$6-$AL$6)/($AN$6-$AL$6),$AL$6+SQRT(AU263*($AN$6-$AL$6)*($AM$6-$AL$6)),$AN$6-SQRT((1-AU263)*($AN$6-$AL$6)*($AN$6-$AM$6))),$AM$6)</f>
        <v/>
      </c>
      <c r="AM263">
        <f>IFERROR(IF(AV263&lt;($AM$7-$AL$7)/($AN$7-$AL$7),$AL$7+SQRT(AV263*($AN$7-$AL$7)*($AM$7-$AL$7)),$AN$7-SQRT((1-AV263)*($AN$7-$AL$7)*($AN$7-$AM$7))),$AM$7)</f>
        <v/>
      </c>
      <c r="AN263">
        <f>IFERROR(IF(AW263&lt;($AM$8-$AL$8)/($AN$8-$AL$8),$AL$8+SQRT(AW263*($AN$8-$AL$8)*($AM$8-$AL$8)),$AN$8-SQRT((1-AW263)*($AN$8-$AL$8)*($AN$8-$AM$8))),$AM$8)</f>
        <v/>
      </c>
      <c r="AO263">
        <f>IFERROR(IF(AX263&lt;($AM$9-$AL$9)/($AN$9-$AL$9),$AL$9+SQRT(AX263*($AN$9-$AL$9)*($AM$9-$AL$9)),$AN$9-SQRT((1-AX263)*($AN$9-$AL$9)*($AN$9-$AM$9))),$AM$9)</f>
        <v/>
      </c>
      <c r="AP263">
        <f>IFERROR(IF(AY263&lt;($AM$10-$AL$10)/($AN$10-$AL$10),$AL$10+SQRT(AY263*($AN$10-$AL$10)*($AM$10-$AL$10)),$AN$10-SQRT((1-AY263)*($AN$10-$AL$10)*($AN$10-$AM$10))),$AM$10)</f>
        <v/>
      </c>
      <c r="AQ263">
        <f>IFERROR(IF(AZ263&lt;($AM$11-$AL$11)/($AN$11-$AL$11),$AL$11+SQRT(AZ263*($AN$11-$AL$11)*($AM$11-$AL$11)),$AN$11-SQRT((1-AZ263)*($AN$11-$AL$11)*($AN$11-$AM$11))),$AM$11)</f>
        <v/>
      </c>
      <c r="AR263">
        <f>SUMPRODUCT((B24:B31&lt;=$B$6)*(C24:C31*AM263+D24:D31*AO263*$B$8*AQ263)/(1+AL263/100)^B24:B31)+C32*AM263*AP263/(1+AL263/100)^$B$6</f>
        <v/>
      </c>
      <c r="AS263">
        <f>SUMPRODUCT((K24:K26&lt;=$B$6)*(L24:L26*AN263+M24:M26*AO263*$B$8*AQ263)/(1+AL263/100)^K24:K26)+L27*AN263*AP263/(1+AL263/100)^$B$6</f>
        <v/>
      </c>
      <c r="AT263">
        <f>AS263-AR263</f>
        <v/>
      </c>
      <c r="AU263">
        <f>RAND()</f>
        <v/>
      </c>
      <c r="AV263">
        <f>RAND()</f>
        <v/>
      </c>
      <c r="AW263">
        <f>RAND()</f>
        <v/>
      </c>
      <c r="AX263">
        <f>RAND()</f>
        <v/>
      </c>
      <c r="AY263">
        <f>RAND()</f>
        <v/>
      </c>
      <c r="AZ263">
        <f>RAND()</f>
        <v/>
      </c>
    </row>
    <row r="264">
      <c r="AK264" t="n">
        <v>251</v>
      </c>
      <c r="AL264">
        <f>IFERROR(IF(AU264&lt;($AM$6-$AL$6)/($AN$6-$AL$6),$AL$6+SQRT(AU264*($AN$6-$AL$6)*($AM$6-$AL$6)),$AN$6-SQRT((1-AU264)*($AN$6-$AL$6)*($AN$6-$AM$6))),$AM$6)</f>
        <v/>
      </c>
      <c r="AM264">
        <f>IFERROR(IF(AV264&lt;($AM$7-$AL$7)/($AN$7-$AL$7),$AL$7+SQRT(AV264*($AN$7-$AL$7)*($AM$7-$AL$7)),$AN$7-SQRT((1-AV264)*($AN$7-$AL$7)*($AN$7-$AM$7))),$AM$7)</f>
        <v/>
      </c>
      <c r="AN264">
        <f>IFERROR(IF(AW264&lt;($AM$8-$AL$8)/($AN$8-$AL$8),$AL$8+SQRT(AW264*($AN$8-$AL$8)*($AM$8-$AL$8)),$AN$8-SQRT((1-AW264)*($AN$8-$AL$8)*($AN$8-$AM$8))),$AM$8)</f>
        <v/>
      </c>
      <c r="AO264">
        <f>IFERROR(IF(AX264&lt;($AM$9-$AL$9)/($AN$9-$AL$9),$AL$9+SQRT(AX264*($AN$9-$AL$9)*($AM$9-$AL$9)),$AN$9-SQRT((1-AX264)*($AN$9-$AL$9)*($AN$9-$AM$9))),$AM$9)</f>
        <v/>
      </c>
      <c r="AP264">
        <f>IFERROR(IF(AY264&lt;($AM$10-$AL$10)/($AN$10-$AL$10),$AL$10+SQRT(AY264*($AN$10-$AL$10)*($AM$10-$AL$10)),$AN$10-SQRT((1-AY264)*($AN$10-$AL$10)*($AN$10-$AM$10))),$AM$10)</f>
        <v/>
      </c>
      <c r="AQ264">
        <f>IFERROR(IF(AZ264&lt;($AM$11-$AL$11)/($AN$11-$AL$11),$AL$11+SQRT(AZ264*($AN$11-$AL$11)*($AM$11-$AL$11)),$AN$11-SQRT((1-AZ264)*($AN$11-$AL$11)*($AN$11-$AM$11))),$AM$11)</f>
        <v/>
      </c>
      <c r="AR264">
        <f>SUMPRODUCT((B24:B31&lt;=$B$6)*(C24:C31*AM264+D24:D31*AO264*$B$8*AQ264)/(1+AL264/100)^B24:B31)+C32*AM264*AP264/(1+AL264/100)^$B$6</f>
        <v/>
      </c>
      <c r="AS264">
        <f>SUMPRODUCT((K24:K26&lt;=$B$6)*(L24:L26*AN264+M24:M26*AO264*$B$8*AQ264)/(1+AL264/100)^K24:K26)+L27*AN264*AP264/(1+AL264/100)^$B$6</f>
        <v/>
      </c>
      <c r="AT264">
        <f>AS264-AR264</f>
        <v/>
      </c>
      <c r="AU264">
        <f>RAND()</f>
        <v/>
      </c>
      <c r="AV264">
        <f>RAND()</f>
        <v/>
      </c>
      <c r="AW264">
        <f>RAND()</f>
        <v/>
      </c>
      <c r="AX264">
        <f>RAND()</f>
        <v/>
      </c>
      <c r="AY264">
        <f>RAND()</f>
        <v/>
      </c>
      <c r="AZ264">
        <f>RAND()</f>
        <v/>
      </c>
    </row>
    <row r="265">
      <c r="AK265" t="n">
        <v>252</v>
      </c>
      <c r="AL265">
        <f>IFERROR(IF(AU265&lt;($AM$6-$AL$6)/($AN$6-$AL$6),$AL$6+SQRT(AU265*($AN$6-$AL$6)*($AM$6-$AL$6)),$AN$6-SQRT((1-AU265)*($AN$6-$AL$6)*($AN$6-$AM$6))),$AM$6)</f>
        <v/>
      </c>
      <c r="AM265">
        <f>IFERROR(IF(AV265&lt;($AM$7-$AL$7)/($AN$7-$AL$7),$AL$7+SQRT(AV265*($AN$7-$AL$7)*($AM$7-$AL$7)),$AN$7-SQRT((1-AV265)*($AN$7-$AL$7)*($AN$7-$AM$7))),$AM$7)</f>
        <v/>
      </c>
      <c r="AN265">
        <f>IFERROR(IF(AW265&lt;($AM$8-$AL$8)/($AN$8-$AL$8),$AL$8+SQRT(AW265*($AN$8-$AL$8)*($AM$8-$AL$8)),$AN$8-SQRT((1-AW265)*($AN$8-$AL$8)*($AN$8-$AM$8))),$AM$8)</f>
        <v/>
      </c>
      <c r="AO265">
        <f>IFERROR(IF(AX265&lt;($AM$9-$AL$9)/($AN$9-$AL$9),$AL$9+SQRT(AX265*($AN$9-$AL$9)*($AM$9-$AL$9)),$AN$9-SQRT((1-AX265)*($AN$9-$AL$9)*($AN$9-$AM$9))),$AM$9)</f>
        <v/>
      </c>
      <c r="AP265">
        <f>IFERROR(IF(AY265&lt;($AM$10-$AL$10)/($AN$10-$AL$10),$AL$10+SQRT(AY265*($AN$10-$AL$10)*($AM$10-$AL$10)),$AN$10-SQRT((1-AY265)*($AN$10-$AL$10)*($AN$10-$AM$10))),$AM$10)</f>
        <v/>
      </c>
      <c r="AQ265">
        <f>IFERROR(IF(AZ265&lt;($AM$11-$AL$11)/($AN$11-$AL$11),$AL$11+SQRT(AZ265*($AN$11-$AL$11)*($AM$11-$AL$11)),$AN$11-SQRT((1-AZ265)*($AN$11-$AL$11)*($AN$11-$AM$11))),$AM$11)</f>
        <v/>
      </c>
      <c r="AR265">
        <f>SUMPRODUCT((B24:B31&lt;=$B$6)*(C24:C31*AM265+D24:D31*AO265*$B$8*AQ265)/(1+AL265/100)^B24:B31)+C32*AM265*AP265/(1+AL265/100)^$B$6</f>
        <v/>
      </c>
      <c r="AS265">
        <f>SUMPRODUCT((K24:K26&lt;=$B$6)*(L24:L26*AN265+M24:M26*AO265*$B$8*AQ265)/(1+AL265/100)^K24:K26)+L27*AN265*AP265/(1+AL265/100)^$B$6</f>
        <v/>
      </c>
      <c r="AT265">
        <f>AS265-AR265</f>
        <v/>
      </c>
      <c r="AU265">
        <f>RAND()</f>
        <v/>
      </c>
      <c r="AV265">
        <f>RAND()</f>
        <v/>
      </c>
      <c r="AW265">
        <f>RAND()</f>
        <v/>
      </c>
      <c r="AX265">
        <f>RAND()</f>
        <v/>
      </c>
      <c r="AY265">
        <f>RAND()</f>
        <v/>
      </c>
      <c r="AZ265">
        <f>RAND()</f>
        <v/>
      </c>
    </row>
    <row r="266">
      <c r="AK266" t="n">
        <v>253</v>
      </c>
      <c r="AL266">
        <f>IFERROR(IF(AU266&lt;($AM$6-$AL$6)/($AN$6-$AL$6),$AL$6+SQRT(AU266*($AN$6-$AL$6)*($AM$6-$AL$6)),$AN$6-SQRT((1-AU266)*($AN$6-$AL$6)*($AN$6-$AM$6))),$AM$6)</f>
        <v/>
      </c>
      <c r="AM266">
        <f>IFERROR(IF(AV266&lt;($AM$7-$AL$7)/($AN$7-$AL$7),$AL$7+SQRT(AV266*($AN$7-$AL$7)*($AM$7-$AL$7)),$AN$7-SQRT((1-AV266)*($AN$7-$AL$7)*($AN$7-$AM$7))),$AM$7)</f>
        <v/>
      </c>
      <c r="AN266">
        <f>IFERROR(IF(AW266&lt;($AM$8-$AL$8)/($AN$8-$AL$8),$AL$8+SQRT(AW266*($AN$8-$AL$8)*($AM$8-$AL$8)),$AN$8-SQRT((1-AW266)*($AN$8-$AL$8)*($AN$8-$AM$8))),$AM$8)</f>
        <v/>
      </c>
      <c r="AO266">
        <f>IFERROR(IF(AX266&lt;($AM$9-$AL$9)/($AN$9-$AL$9),$AL$9+SQRT(AX266*($AN$9-$AL$9)*($AM$9-$AL$9)),$AN$9-SQRT((1-AX266)*($AN$9-$AL$9)*($AN$9-$AM$9))),$AM$9)</f>
        <v/>
      </c>
      <c r="AP266">
        <f>IFERROR(IF(AY266&lt;($AM$10-$AL$10)/($AN$10-$AL$10),$AL$10+SQRT(AY266*($AN$10-$AL$10)*($AM$10-$AL$10)),$AN$10-SQRT((1-AY266)*($AN$10-$AL$10)*($AN$10-$AM$10))),$AM$10)</f>
        <v/>
      </c>
      <c r="AQ266">
        <f>IFERROR(IF(AZ266&lt;($AM$11-$AL$11)/($AN$11-$AL$11),$AL$11+SQRT(AZ266*($AN$11-$AL$11)*($AM$11-$AL$11)),$AN$11-SQRT((1-AZ266)*($AN$11-$AL$11)*($AN$11-$AM$11))),$AM$11)</f>
        <v/>
      </c>
      <c r="AR266">
        <f>SUMPRODUCT((B24:B31&lt;=$B$6)*(C24:C31*AM266+D24:D31*AO266*$B$8*AQ266)/(1+AL266/100)^B24:B31)+C32*AM266*AP266/(1+AL266/100)^$B$6</f>
        <v/>
      </c>
      <c r="AS266">
        <f>SUMPRODUCT((K24:K26&lt;=$B$6)*(L24:L26*AN266+M24:M26*AO266*$B$8*AQ266)/(1+AL266/100)^K24:K26)+L27*AN266*AP266/(1+AL266/100)^$B$6</f>
        <v/>
      </c>
      <c r="AT266">
        <f>AS266-AR266</f>
        <v/>
      </c>
      <c r="AU266">
        <f>RAND()</f>
        <v/>
      </c>
      <c r="AV266">
        <f>RAND()</f>
        <v/>
      </c>
      <c r="AW266">
        <f>RAND()</f>
        <v/>
      </c>
      <c r="AX266">
        <f>RAND()</f>
        <v/>
      </c>
      <c r="AY266">
        <f>RAND()</f>
        <v/>
      </c>
      <c r="AZ266">
        <f>RAND()</f>
        <v/>
      </c>
    </row>
    <row r="267">
      <c r="AK267" t="n">
        <v>254</v>
      </c>
      <c r="AL267">
        <f>IFERROR(IF(AU267&lt;($AM$6-$AL$6)/($AN$6-$AL$6),$AL$6+SQRT(AU267*($AN$6-$AL$6)*($AM$6-$AL$6)),$AN$6-SQRT((1-AU267)*($AN$6-$AL$6)*($AN$6-$AM$6))),$AM$6)</f>
        <v/>
      </c>
      <c r="AM267">
        <f>IFERROR(IF(AV267&lt;($AM$7-$AL$7)/($AN$7-$AL$7),$AL$7+SQRT(AV267*($AN$7-$AL$7)*($AM$7-$AL$7)),$AN$7-SQRT((1-AV267)*($AN$7-$AL$7)*($AN$7-$AM$7))),$AM$7)</f>
        <v/>
      </c>
      <c r="AN267">
        <f>IFERROR(IF(AW267&lt;($AM$8-$AL$8)/($AN$8-$AL$8),$AL$8+SQRT(AW267*($AN$8-$AL$8)*($AM$8-$AL$8)),$AN$8-SQRT((1-AW267)*($AN$8-$AL$8)*($AN$8-$AM$8))),$AM$8)</f>
        <v/>
      </c>
      <c r="AO267">
        <f>IFERROR(IF(AX267&lt;($AM$9-$AL$9)/($AN$9-$AL$9),$AL$9+SQRT(AX267*($AN$9-$AL$9)*($AM$9-$AL$9)),$AN$9-SQRT((1-AX267)*($AN$9-$AL$9)*($AN$9-$AM$9))),$AM$9)</f>
        <v/>
      </c>
      <c r="AP267">
        <f>IFERROR(IF(AY267&lt;($AM$10-$AL$10)/($AN$10-$AL$10),$AL$10+SQRT(AY267*($AN$10-$AL$10)*($AM$10-$AL$10)),$AN$10-SQRT((1-AY267)*($AN$10-$AL$10)*($AN$10-$AM$10))),$AM$10)</f>
        <v/>
      </c>
      <c r="AQ267">
        <f>IFERROR(IF(AZ267&lt;($AM$11-$AL$11)/($AN$11-$AL$11),$AL$11+SQRT(AZ267*($AN$11-$AL$11)*($AM$11-$AL$11)),$AN$11-SQRT((1-AZ267)*($AN$11-$AL$11)*($AN$11-$AM$11))),$AM$11)</f>
        <v/>
      </c>
      <c r="AR267">
        <f>SUMPRODUCT((B24:B31&lt;=$B$6)*(C24:C31*AM267+D24:D31*AO267*$B$8*AQ267)/(1+AL267/100)^B24:B31)+C32*AM267*AP267/(1+AL267/100)^$B$6</f>
        <v/>
      </c>
      <c r="AS267">
        <f>SUMPRODUCT((K24:K26&lt;=$B$6)*(L24:L26*AN267+M24:M26*AO267*$B$8*AQ267)/(1+AL267/100)^K24:K26)+L27*AN267*AP267/(1+AL267/100)^$B$6</f>
        <v/>
      </c>
      <c r="AT267">
        <f>AS267-AR267</f>
        <v/>
      </c>
      <c r="AU267">
        <f>RAND()</f>
        <v/>
      </c>
      <c r="AV267">
        <f>RAND()</f>
        <v/>
      </c>
      <c r="AW267">
        <f>RAND()</f>
        <v/>
      </c>
      <c r="AX267">
        <f>RAND()</f>
        <v/>
      </c>
      <c r="AY267">
        <f>RAND()</f>
        <v/>
      </c>
      <c r="AZ267">
        <f>RAND()</f>
        <v/>
      </c>
    </row>
    <row r="268">
      <c r="AK268" t="n">
        <v>255</v>
      </c>
      <c r="AL268">
        <f>IFERROR(IF(AU268&lt;($AM$6-$AL$6)/($AN$6-$AL$6),$AL$6+SQRT(AU268*($AN$6-$AL$6)*($AM$6-$AL$6)),$AN$6-SQRT((1-AU268)*($AN$6-$AL$6)*($AN$6-$AM$6))),$AM$6)</f>
        <v/>
      </c>
      <c r="AM268">
        <f>IFERROR(IF(AV268&lt;($AM$7-$AL$7)/($AN$7-$AL$7),$AL$7+SQRT(AV268*($AN$7-$AL$7)*($AM$7-$AL$7)),$AN$7-SQRT((1-AV268)*($AN$7-$AL$7)*($AN$7-$AM$7))),$AM$7)</f>
        <v/>
      </c>
      <c r="AN268">
        <f>IFERROR(IF(AW268&lt;($AM$8-$AL$8)/($AN$8-$AL$8),$AL$8+SQRT(AW268*($AN$8-$AL$8)*($AM$8-$AL$8)),$AN$8-SQRT((1-AW268)*($AN$8-$AL$8)*($AN$8-$AM$8))),$AM$8)</f>
        <v/>
      </c>
      <c r="AO268">
        <f>IFERROR(IF(AX268&lt;($AM$9-$AL$9)/($AN$9-$AL$9),$AL$9+SQRT(AX268*($AN$9-$AL$9)*($AM$9-$AL$9)),$AN$9-SQRT((1-AX268)*($AN$9-$AL$9)*($AN$9-$AM$9))),$AM$9)</f>
        <v/>
      </c>
      <c r="AP268">
        <f>IFERROR(IF(AY268&lt;($AM$10-$AL$10)/($AN$10-$AL$10),$AL$10+SQRT(AY268*($AN$10-$AL$10)*($AM$10-$AL$10)),$AN$10-SQRT((1-AY268)*($AN$10-$AL$10)*($AN$10-$AM$10))),$AM$10)</f>
        <v/>
      </c>
      <c r="AQ268">
        <f>IFERROR(IF(AZ268&lt;($AM$11-$AL$11)/($AN$11-$AL$11),$AL$11+SQRT(AZ268*($AN$11-$AL$11)*($AM$11-$AL$11)),$AN$11-SQRT((1-AZ268)*($AN$11-$AL$11)*($AN$11-$AM$11))),$AM$11)</f>
        <v/>
      </c>
      <c r="AR268">
        <f>SUMPRODUCT((B24:B31&lt;=$B$6)*(C24:C31*AM268+D24:D31*AO268*$B$8*AQ268)/(1+AL268/100)^B24:B31)+C32*AM268*AP268/(1+AL268/100)^$B$6</f>
        <v/>
      </c>
      <c r="AS268">
        <f>SUMPRODUCT((K24:K26&lt;=$B$6)*(L24:L26*AN268+M24:M26*AO268*$B$8*AQ268)/(1+AL268/100)^K24:K26)+L27*AN268*AP268/(1+AL268/100)^$B$6</f>
        <v/>
      </c>
      <c r="AT268">
        <f>AS268-AR268</f>
        <v/>
      </c>
      <c r="AU268">
        <f>RAND()</f>
        <v/>
      </c>
      <c r="AV268">
        <f>RAND()</f>
        <v/>
      </c>
      <c r="AW268">
        <f>RAND()</f>
        <v/>
      </c>
      <c r="AX268">
        <f>RAND()</f>
        <v/>
      </c>
      <c r="AY268">
        <f>RAND()</f>
        <v/>
      </c>
      <c r="AZ268">
        <f>RAND()</f>
        <v/>
      </c>
    </row>
    <row r="269">
      <c r="AK269" t="n">
        <v>256</v>
      </c>
      <c r="AL269">
        <f>IFERROR(IF(AU269&lt;($AM$6-$AL$6)/($AN$6-$AL$6),$AL$6+SQRT(AU269*($AN$6-$AL$6)*($AM$6-$AL$6)),$AN$6-SQRT((1-AU269)*($AN$6-$AL$6)*($AN$6-$AM$6))),$AM$6)</f>
        <v/>
      </c>
      <c r="AM269">
        <f>IFERROR(IF(AV269&lt;($AM$7-$AL$7)/($AN$7-$AL$7),$AL$7+SQRT(AV269*($AN$7-$AL$7)*($AM$7-$AL$7)),$AN$7-SQRT((1-AV269)*($AN$7-$AL$7)*($AN$7-$AM$7))),$AM$7)</f>
        <v/>
      </c>
      <c r="AN269">
        <f>IFERROR(IF(AW269&lt;($AM$8-$AL$8)/($AN$8-$AL$8),$AL$8+SQRT(AW269*($AN$8-$AL$8)*($AM$8-$AL$8)),$AN$8-SQRT((1-AW269)*($AN$8-$AL$8)*($AN$8-$AM$8))),$AM$8)</f>
        <v/>
      </c>
      <c r="AO269">
        <f>IFERROR(IF(AX269&lt;($AM$9-$AL$9)/($AN$9-$AL$9),$AL$9+SQRT(AX269*($AN$9-$AL$9)*($AM$9-$AL$9)),$AN$9-SQRT((1-AX269)*($AN$9-$AL$9)*($AN$9-$AM$9))),$AM$9)</f>
        <v/>
      </c>
      <c r="AP269">
        <f>IFERROR(IF(AY269&lt;($AM$10-$AL$10)/($AN$10-$AL$10),$AL$10+SQRT(AY269*($AN$10-$AL$10)*($AM$10-$AL$10)),$AN$10-SQRT((1-AY269)*($AN$10-$AL$10)*($AN$10-$AM$10))),$AM$10)</f>
        <v/>
      </c>
      <c r="AQ269">
        <f>IFERROR(IF(AZ269&lt;($AM$11-$AL$11)/($AN$11-$AL$11),$AL$11+SQRT(AZ269*($AN$11-$AL$11)*($AM$11-$AL$11)),$AN$11-SQRT((1-AZ269)*($AN$11-$AL$11)*($AN$11-$AM$11))),$AM$11)</f>
        <v/>
      </c>
      <c r="AR269">
        <f>SUMPRODUCT((B24:B31&lt;=$B$6)*(C24:C31*AM269+D24:D31*AO269*$B$8*AQ269)/(1+AL269/100)^B24:B31)+C32*AM269*AP269/(1+AL269/100)^$B$6</f>
        <v/>
      </c>
      <c r="AS269">
        <f>SUMPRODUCT((K24:K26&lt;=$B$6)*(L24:L26*AN269+M24:M26*AO269*$B$8*AQ269)/(1+AL269/100)^K24:K26)+L27*AN269*AP269/(1+AL269/100)^$B$6</f>
        <v/>
      </c>
      <c r="AT269">
        <f>AS269-AR269</f>
        <v/>
      </c>
      <c r="AU269">
        <f>RAND()</f>
        <v/>
      </c>
      <c r="AV269">
        <f>RAND()</f>
        <v/>
      </c>
      <c r="AW269">
        <f>RAND()</f>
        <v/>
      </c>
      <c r="AX269">
        <f>RAND()</f>
        <v/>
      </c>
      <c r="AY269">
        <f>RAND()</f>
        <v/>
      </c>
      <c r="AZ269">
        <f>RAND()</f>
        <v/>
      </c>
    </row>
    <row r="270">
      <c r="AK270" t="n">
        <v>257</v>
      </c>
      <c r="AL270">
        <f>IFERROR(IF(AU270&lt;($AM$6-$AL$6)/($AN$6-$AL$6),$AL$6+SQRT(AU270*($AN$6-$AL$6)*($AM$6-$AL$6)),$AN$6-SQRT((1-AU270)*($AN$6-$AL$6)*($AN$6-$AM$6))),$AM$6)</f>
        <v/>
      </c>
      <c r="AM270">
        <f>IFERROR(IF(AV270&lt;($AM$7-$AL$7)/($AN$7-$AL$7),$AL$7+SQRT(AV270*($AN$7-$AL$7)*($AM$7-$AL$7)),$AN$7-SQRT((1-AV270)*($AN$7-$AL$7)*($AN$7-$AM$7))),$AM$7)</f>
        <v/>
      </c>
      <c r="AN270">
        <f>IFERROR(IF(AW270&lt;($AM$8-$AL$8)/($AN$8-$AL$8),$AL$8+SQRT(AW270*($AN$8-$AL$8)*($AM$8-$AL$8)),$AN$8-SQRT((1-AW270)*($AN$8-$AL$8)*($AN$8-$AM$8))),$AM$8)</f>
        <v/>
      </c>
      <c r="AO270">
        <f>IFERROR(IF(AX270&lt;($AM$9-$AL$9)/($AN$9-$AL$9),$AL$9+SQRT(AX270*($AN$9-$AL$9)*($AM$9-$AL$9)),$AN$9-SQRT((1-AX270)*($AN$9-$AL$9)*($AN$9-$AM$9))),$AM$9)</f>
        <v/>
      </c>
      <c r="AP270">
        <f>IFERROR(IF(AY270&lt;($AM$10-$AL$10)/($AN$10-$AL$10),$AL$10+SQRT(AY270*($AN$10-$AL$10)*($AM$10-$AL$10)),$AN$10-SQRT((1-AY270)*($AN$10-$AL$10)*($AN$10-$AM$10))),$AM$10)</f>
        <v/>
      </c>
      <c r="AQ270">
        <f>IFERROR(IF(AZ270&lt;($AM$11-$AL$11)/($AN$11-$AL$11),$AL$11+SQRT(AZ270*($AN$11-$AL$11)*($AM$11-$AL$11)),$AN$11-SQRT((1-AZ270)*($AN$11-$AL$11)*($AN$11-$AM$11))),$AM$11)</f>
        <v/>
      </c>
      <c r="AR270">
        <f>SUMPRODUCT((B24:B31&lt;=$B$6)*(C24:C31*AM270+D24:D31*AO270*$B$8*AQ270)/(1+AL270/100)^B24:B31)+C32*AM270*AP270/(1+AL270/100)^$B$6</f>
        <v/>
      </c>
      <c r="AS270">
        <f>SUMPRODUCT((K24:K26&lt;=$B$6)*(L24:L26*AN270+M24:M26*AO270*$B$8*AQ270)/(1+AL270/100)^K24:K26)+L27*AN270*AP270/(1+AL270/100)^$B$6</f>
        <v/>
      </c>
      <c r="AT270">
        <f>AS270-AR270</f>
        <v/>
      </c>
      <c r="AU270">
        <f>RAND()</f>
        <v/>
      </c>
      <c r="AV270">
        <f>RAND()</f>
        <v/>
      </c>
      <c r="AW270">
        <f>RAND()</f>
        <v/>
      </c>
      <c r="AX270">
        <f>RAND()</f>
        <v/>
      </c>
      <c r="AY270">
        <f>RAND()</f>
        <v/>
      </c>
      <c r="AZ270">
        <f>RAND()</f>
        <v/>
      </c>
    </row>
    <row r="271">
      <c r="AK271" t="n">
        <v>258</v>
      </c>
      <c r="AL271">
        <f>IFERROR(IF(AU271&lt;($AM$6-$AL$6)/($AN$6-$AL$6),$AL$6+SQRT(AU271*($AN$6-$AL$6)*($AM$6-$AL$6)),$AN$6-SQRT((1-AU271)*($AN$6-$AL$6)*($AN$6-$AM$6))),$AM$6)</f>
        <v/>
      </c>
      <c r="AM271">
        <f>IFERROR(IF(AV271&lt;($AM$7-$AL$7)/($AN$7-$AL$7),$AL$7+SQRT(AV271*($AN$7-$AL$7)*($AM$7-$AL$7)),$AN$7-SQRT((1-AV271)*($AN$7-$AL$7)*($AN$7-$AM$7))),$AM$7)</f>
        <v/>
      </c>
      <c r="AN271">
        <f>IFERROR(IF(AW271&lt;($AM$8-$AL$8)/($AN$8-$AL$8),$AL$8+SQRT(AW271*($AN$8-$AL$8)*($AM$8-$AL$8)),$AN$8-SQRT((1-AW271)*($AN$8-$AL$8)*($AN$8-$AM$8))),$AM$8)</f>
        <v/>
      </c>
      <c r="AO271">
        <f>IFERROR(IF(AX271&lt;($AM$9-$AL$9)/($AN$9-$AL$9),$AL$9+SQRT(AX271*($AN$9-$AL$9)*($AM$9-$AL$9)),$AN$9-SQRT((1-AX271)*($AN$9-$AL$9)*($AN$9-$AM$9))),$AM$9)</f>
        <v/>
      </c>
      <c r="AP271">
        <f>IFERROR(IF(AY271&lt;($AM$10-$AL$10)/($AN$10-$AL$10),$AL$10+SQRT(AY271*($AN$10-$AL$10)*($AM$10-$AL$10)),$AN$10-SQRT((1-AY271)*($AN$10-$AL$10)*($AN$10-$AM$10))),$AM$10)</f>
        <v/>
      </c>
      <c r="AQ271">
        <f>IFERROR(IF(AZ271&lt;($AM$11-$AL$11)/($AN$11-$AL$11),$AL$11+SQRT(AZ271*($AN$11-$AL$11)*($AM$11-$AL$11)),$AN$11-SQRT((1-AZ271)*($AN$11-$AL$11)*($AN$11-$AM$11))),$AM$11)</f>
        <v/>
      </c>
      <c r="AR271">
        <f>SUMPRODUCT((B24:B31&lt;=$B$6)*(C24:C31*AM271+D24:D31*AO271*$B$8*AQ271)/(1+AL271/100)^B24:B31)+C32*AM271*AP271/(1+AL271/100)^$B$6</f>
        <v/>
      </c>
      <c r="AS271">
        <f>SUMPRODUCT((K24:K26&lt;=$B$6)*(L24:L26*AN271+M24:M26*AO271*$B$8*AQ271)/(1+AL271/100)^K24:K26)+L27*AN271*AP271/(1+AL271/100)^$B$6</f>
        <v/>
      </c>
      <c r="AT271">
        <f>AS271-AR271</f>
        <v/>
      </c>
      <c r="AU271">
        <f>RAND()</f>
        <v/>
      </c>
      <c r="AV271">
        <f>RAND()</f>
        <v/>
      </c>
      <c r="AW271">
        <f>RAND()</f>
        <v/>
      </c>
      <c r="AX271">
        <f>RAND()</f>
        <v/>
      </c>
      <c r="AY271">
        <f>RAND()</f>
        <v/>
      </c>
      <c r="AZ271">
        <f>RAND()</f>
        <v/>
      </c>
    </row>
    <row r="272">
      <c r="AK272" t="n">
        <v>259</v>
      </c>
      <c r="AL272">
        <f>IFERROR(IF(AU272&lt;($AM$6-$AL$6)/($AN$6-$AL$6),$AL$6+SQRT(AU272*($AN$6-$AL$6)*($AM$6-$AL$6)),$AN$6-SQRT((1-AU272)*($AN$6-$AL$6)*($AN$6-$AM$6))),$AM$6)</f>
        <v/>
      </c>
      <c r="AM272">
        <f>IFERROR(IF(AV272&lt;($AM$7-$AL$7)/($AN$7-$AL$7),$AL$7+SQRT(AV272*($AN$7-$AL$7)*($AM$7-$AL$7)),$AN$7-SQRT((1-AV272)*($AN$7-$AL$7)*($AN$7-$AM$7))),$AM$7)</f>
        <v/>
      </c>
      <c r="AN272">
        <f>IFERROR(IF(AW272&lt;($AM$8-$AL$8)/($AN$8-$AL$8),$AL$8+SQRT(AW272*($AN$8-$AL$8)*($AM$8-$AL$8)),$AN$8-SQRT((1-AW272)*($AN$8-$AL$8)*($AN$8-$AM$8))),$AM$8)</f>
        <v/>
      </c>
      <c r="AO272">
        <f>IFERROR(IF(AX272&lt;($AM$9-$AL$9)/($AN$9-$AL$9),$AL$9+SQRT(AX272*($AN$9-$AL$9)*($AM$9-$AL$9)),$AN$9-SQRT((1-AX272)*($AN$9-$AL$9)*($AN$9-$AM$9))),$AM$9)</f>
        <v/>
      </c>
      <c r="AP272">
        <f>IFERROR(IF(AY272&lt;($AM$10-$AL$10)/($AN$10-$AL$10),$AL$10+SQRT(AY272*($AN$10-$AL$10)*($AM$10-$AL$10)),$AN$10-SQRT((1-AY272)*($AN$10-$AL$10)*($AN$10-$AM$10))),$AM$10)</f>
        <v/>
      </c>
      <c r="AQ272">
        <f>IFERROR(IF(AZ272&lt;($AM$11-$AL$11)/($AN$11-$AL$11),$AL$11+SQRT(AZ272*($AN$11-$AL$11)*($AM$11-$AL$11)),$AN$11-SQRT((1-AZ272)*($AN$11-$AL$11)*($AN$11-$AM$11))),$AM$11)</f>
        <v/>
      </c>
      <c r="AR272">
        <f>SUMPRODUCT((B24:B31&lt;=$B$6)*(C24:C31*AM272+D24:D31*AO272*$B$8*AQ272)/(1+AL272/100)^B24:B31)+C32*AM272*AP272/(1+AL272/100)^$B$6</f>
        <v/>
      </c>
      <c r="AS272">
        <f>SUMPRODUCT((K24:K26&lt;=$B$6)*(L24:L26*AN272+M24:M26*AO272*$B$8*AQ272)/(1+AL272/100)^K24:K26)+L27*AN272*AP272/(1+AL272/100)^$B$6</f>
        <v/>
      </c>
      <c r="AT272">
        <f>AS272-AR272</f>
        <v/>
      </c>
      <c r="AU272">
        <f>RAND()</f>
        <v/>
      </c>
      <c r="AV272">
        <f>RAND()</f>
        <v/>
      </c>
      <c r="AW272">
        <f>RAND()</f>
        <v/>
      </c>
      <c r="AX272">
        <f>RAND()</f>
        <v/>
      </c>
      <c r="AY272">
        <f>RAND()</f>
        <v/>
      </c>
      <c r="AZ272">
        <f>RAND()</f>
        <v/>
      </c>
    </row>
    <row r="273">
      <c r="AK273" t="n">
        <v>260</v>
      </c>
      <c r="AL273">
        <f>IFERROR(IF(AU273&lt;($AM$6-$AL$6)/($AN$6-$AL$6),$AL$6+SQRT(AU273*($AN$6-$AL$6)*($AM$6-$AL$6)),$AN$6-SQRT((1-AU273)*($AN$6-$AL$6)*($AN$6-$AM$6))),$AM$6)</f>
        <v/>
      </c>
      <c r="AM273">
        <f>IFERROR(IF(AV273&lt;($AM$7-$AL$7)/($AN$7-$AL$7),$AL$7+SQRT(AV273*($AN$7-$AL$7)*($AM$7-$AL$7)),$AN$7-SQRT((1-AV273)*($AN$7-$AL$7)*($AN$7-$AM$7))),$AM$7)</f>
        <v/>
      </c>
      <c r="AN273">
        <f>IFERROR(IF(AW273&lt;($AM$8-$AL$8)/($AN$8-$AL$8),$AL$8+SQRT(AW273*($AN$8-$AL$8)*($AM$8-$AL$8)),$AN$8-SQRT((1-AW273)*($AN$8-$AL$8)*($AN$8-$AM$8))),$AM$8)</f>
        <v/>
      </c>
      <c r="AO273">
        <f>IFERROR(IF(AX273&lt;($AM$9-$AL$9)/($AN$9-$AL$9),$AL$9+SQRT(AX273*($AN$9-$AL$9)*($AM$9-$AL$9)),$AN$9-SQRT((1-AX273)*($AN$9-$AL$9)*($AN$9-$AM$9))),$AM$9)</f>
        <v/>
      </c>
      <c r="AP273">
        <f>IFERROR(IF(AY273&lt;($AM$10-$AL$10)/($AN$10-$AL$10),$AL$10+SQRT(AY273*($AN$10-$AL$10)*($AM$10-$AL$10)),$AN$10-SQRT((1-AY273)*($AN$10-$AL$10)*($AN$10-$AM$10))),$AM$10)</f>
        <v/>
      </c>
      <c r="AQ273">
        <f>IFERROR(IF(AZ273&lt;($AM$11-$AL$11)/($AN$11-$AL$11),$AL$11+SQRT(AZ273*($AN$11-$AL$11)*($AM$11-$AL$11)),$AN$11-SQRT((1-AZ273)*($AN$11-$AL$11)*($AN$11-$AM$11))),$AM$11)</f>
        <v/>
      </c>
      <c r="AR273">
        <f>SUMPRODUCT((B24:B31&lt;=$B$6)*(C24:C31*AM273+D24:D31*AO273*$B$8*AQ273)/(1+AL273/100)^B24:B31)+C32*AM273*AP273/(1+AL273/100)^$B$6</f>
        <v/>
      </c>
      <c r="AS273">
        <f>SUMPRODUCT((K24:K26&lt;=$B$6)*(L24:L26*AN273+M24:M26*AO273*$B$8*AQ273)/(1+AL273/100)^K24:K26)+L27*AN273*AP273/(1+AL273/100)^$B$6</f>
        <v/>
      </c>
      <c r="AT273">
        <f>AS273-AR273</f>
        <v/>
      </c>
      <c r="AU273">
        <f>RAND()</f>
        <v/>
      </c>
      <c r="AV273">
        <f>RAND()</f>
        <v/>
      </c>
      <c r="AW273">
        <f>RAND()</f>
        <v/>
      </c>
      <c r="AX273">
        <f>RAND()</f>
        <v/>
      </c>
      <c r="AY273">
        <f>RAND()</f>
        <v/>
      </c>
      <c r="AZ273">
        <f>RAND()</f>
        <v/>
      </c>
    </row>
    <row r="274">
      <c r="AK274" t="n">
        <v>261</v>
      </c>
      <c r="AL274">
        <f>IFERROR(IF(AU274&lt;($AM$6-$AL$6)/($AN$6-$AL$6),$AL$6+SQRT(AU274*($AN$6-$AL$6)*($AM$6-$AL$6)),$AN$6-SQRT((1-AU274)*($AN$6-$AL$6)*($AN$6-$AM$6))),$AM$6)</f>
        <v/>
      </c>
      <c r="AM274">
        <f>IFERROR(IF(AV274&lt;($AM$7-$AL$7)/($AN$7-$AL$7),$AL$7+SQRT(AV274*($AN$7-$AL$7)*($AM$7-$AL$7)),$AN$7-SQRT((1-AV274)*($AN$7-$AL$7)*($AN$7-$AM$7))),$AM$7)</f>
        <v/>
      </c>
      <c r="AN274">
        <f>IFERROR(IF(AW274&lt;($AM$8-$AL$8)/($AN$8-$AL$8),$AL$8+SQRT(AW274*($AN$8-$AL$8)*($AM$8-$AL$8)),$AN$8-SQRT((1-AW274)*($AN$8-$AL$8)*($AN$8-$AM$8))),$AM$8)</f>
        <v/>
      </c>
      <c r="AO274">
        <f>IFERROR(IF(AX274&lt;($AM$9-$AL$9)/($AN$9-$AL$9),$AL$9+SQRT(AX274*($AN$9-$AL$9)*($AM$9-$AL$9)),$AN$9-SQRT((1-AX274)*($AN$9-$AL$9)*($AN$9-$AM$9))),$AM$9)</f>
        <v/>
      </c>
      <c r="AP274">
        <f>IFERROR(IF(AY274&lt;($AM$10-$AL$10)/($AN$10-$AL$10),$AL$10+SQRT(AY274*($AN$10-$AL$10)*($AM$10-$AL$10)),$AN$10-SQRT((1-AY274)*($AN$10-$AL$10)*($AN$10-$AM$10))),$AM$10)</f>
        <v/>
      </c>
      <c r="AQ274">
        <f>IFERROR(IF(AZ274&lt;($AM$11-$AL$11)/($AN$11-$AL$11),$AL$11+SQRT(AZ274*($AN$11-$AL$11)*($AM$11-$AL$11)),$AN$11-SQRT((1-AZ274)*($AN$11-$AL$11)*($AN$11-$AM$11))),$AM$11)</f>
        <v/>
      </c>
      <c r="AR274">
        <f>SUMPRODUCT((B24:B31&lt;=$B$6)*(C24:C31*AM274+D24:D31*AO274*$B$8*AQ274)/(1+AL274/100)^B24:B31)+C32*AM274*AP274/(1+AL274/100)^$B$6</f>
        <v/>
      </c>
      <c r="AS274">
        <f>SUMPRODUCT((K24:K26&lt;=$B$6)*(L24:L26*AN274+M24:M26*AO274*$B$8*AQ274)/(1+AL274/100)^K24:K26)+L27*AN274*AP274/(1+AL274/100)^$B$6</f>
        <v/>
      </c>
      <c r="AT274">
        <f>AS274-AR274</f>
        <v/>
      </c>
      <c r="AU274">
        <f>RAND()</f>
        <v/>
      </c>
      <c r="AV274">
        <f>RAND()</f>
        <v/>
      </c>
      <c r="AW274">
        <f>RAND()</f>
        <v/>
      </c>
      <c r="AX274">
        <f>RAND()</f>
        <v/>
      </c>
      <c r="AY274">
        <f>RAND()</f>
        <v/>
      </c>
      <c r="AZ274">
        <f>RAND()</f>
        <v/>
      </c>
    </row>
    <row r="275">
      <c r="AK275" t="n">
        <v>262</v>
      </c>
      <c r="AL275">
        <f>IFERROR(IF(AU275&lt;($AM$6-$AL$6)/($AN$6-$AL$6),$AL$6+SQRT(AU275*($AN$6-$AL$6)*($AM$6-$AL$6)),$AN$6-SQRT((1-AU275)*($AN$6-$AL$6)*($AN$6-$AM$6))),$AM$6)</f>
        <v/>
      </c>
      <c r="AM275">
        <f>IFERROR(IF(AV275&lt;($AM$7-$AL$7)/($AN$7-$AL$7),$AL$7+SQRT(AV275*($AN$7-$AL$7)*($AM$7-$AL$7)),$AN$7-SQRT((1-AV275)*($AN$7-$AL$7)*($AN$7-$AM$7))),$AM$7)</f>
        <v/>
      </c>
      <c r="AN275">
        <f>IFERROR(IF(AW275&lt;($AM$8-$AL$8)/($AN$8-$AL$8),$AL$8+SQRT(AW275*($AN$8-$AL$8)*($AM$8-$AL$8)),$AN$8-SQRT((1-AW275)*($AN$8-$AL$8)*($AN$8-$AM$8))),$AM$8)</f>
        <v/>
      </c>
      <c r="AO275">
        <f>IFERROR(IF(AX275&lt;($AM$9-$AL$9)/($AN$9-$AL$9),$AL$9+SQRT(AX275*($AN$9-$AL$9)*($AM$9-$AL$9)),$AN$9-SQRT((1-AX275)*($AN$9-$AL$9)*($AN$9-$AM$9))),$AM$9)</f>
        <v/>
      </c>
      <c r="AP275">
        <f>IFERROR(IF(AY275&lt;($AM$10-$AL$10)/($AN$10-$AL$10),$AL$10+SQRT(AY275*($AN$10-$AL$10)*($AM$10-$AL$10)),$AN$10-SQRT((1-AY275)*($AN$10-$AL$10)*($AN$10-$AM$10))),$AM$10)</f>
        <v/>
      </c>
      <c r="AQ275">
        <f>IFERROR(IF(AZ275&lt;($AM$11-$AL$11)/($AN$11-$AL$11),$AL$11+SQRT(AZ275*($AN$11-$AL$11)*($AM$11-$AL$11)),$AN$11-SQRT((1-AZ275)*($AN$11-$AL$11)*($AN$11-$AM$11))),$AM$11)</f>
        <v/>
      </c>
      <c r="AR275">
        <f>SUMPRODUCT((B24:B31&lt;=$B$6)*(C24:C31*AM275+D24:D31*AO275*$B$8*AQ275)/(1+AL275/100)^B24:B31)+C32*AM275*AP275/(1+AL275/100)^$B$6</f>
        <v/>
      </c>
      <c r="AS275">
        <f>SUMPRODUCT((K24:K26&lt;=$B$6)*(L24:L26*AN275+M24:M26*AO275*$B$8*AQ275)/(1+AL275/100)^K24:K26)+L27*AN275*AP275/(1+AL275/100)^$B$6</f>
        <v/>
      </c>
      <c r="AT275">
        <f>AS275-AR275</f>
        <v/>
      </c>
      <c r="AU275">
        <f>RAND()</f>
        <v/>
      </c>
      <c r="AV275">
        <f>RAND()</f>
        <v/>
      </c>
      <c r="AW275">
        <f>RAND()</f>
        <v/>
      </c>
      <c r="AX275">
        <f>RAND()</f>
        <v/>
      </c>
      <c r="AY275">
        <f>RAND()</f>
        <v/>
      </c>
      <c r="AZ275">
        <f>RAND()</f>
        <v/>
      </c>
    </row>
    <row r="276">
      <c r="AK276" t="n">
        <v>263</v>
      </c>
      <c r="AL276">
        <f>IFERROR(IF(AU276&lt;($AM$6-$AL$6)/($AN$6-$AL$6),$AL$6+SQRT(AU276*($AN$6-$AL$6)*($AM$6-$AL$6)),$AN$6-SQRT((1-AU276)*($AN$6-$AL$6)*($AN$6-$AM$6))),$AM$6)</f>
        <v/>
      </c>
      <c r="AM276">
        <f>IFERROR(IF(AV276&lt;($AM$7-$AL$7)/($AN$7-$AL$7),$AL$7+SQRT(AV276*($AN$7-$AL$7)*($AM$7-$AL$7)),$AN$7-SQRT((1-AV276)*($AN$7-$AL$7)*($AN$7-$AM$7))),$AM$7)</f>
        <v/>
      </c>
      <c r="AN276">
        <f>IFERROR(IF(AW276&lt;($AM$8-$AL$8)/($AN$8-$AL$8),$AL$8+SQRT(AW276*($AN$8-$AL$8)*($AM$8-$AL$8)),$AN$8-SQRT((1-AW276)*($AN$8-$AL$8)*($AN$8-$AM$8))),$AM$8)</f>
        <v/>
      </c>
      <c r="AO276">
        <f>IFERROR(IF(AX276&lt;($AM$9-$AL$9)/($AN$9-$AL$9),$AL$9+SQRT(AX276*($AN$9-$AL$9)*($AM$9-$AL$9)),$AN$9-SQRT((1-AX276)*($AN$9-$AL$9)*($AN$9-$AM$9))),$AM$9)</f>
        <v/>
      </c>
      <c r="AP276">
        <f>IFERROR(IF(AY276&lt;($AM$10-$AL$10)/($AN$10-$AL$10),$AL$10+SQRT(AY276*($AN$10-$AL$10)*($AM$10-$AL$10)),$AN$10-SQRT((1-AY276)*($AN$10-$AL$10)*($AN$10-$AM$10))),$AM$10)</f>
        <v/>
      </c>
      <c r="AQ276">
        <f>IFERROR(IF(AZ276&lt;($AM$11-$AL$11)/($AN$11-$AL$11),$AL$11+SQRT(AZ276*($AN$11-$AL$11)*($AM$11-$AL$11)),$AN$11-SQRT((1-AZ276)*($AN$11-$AL$11)*($AN$11-$AM$11))),$AM$11)</f>
        <v/>
      </c>
      <c r="AR276">
        <f>SUMPRODUCT((B24:B31&lt;=$B$6)*(C24:C31*AM276+D24:D31*AO276*$B$8*AQ276)/(1+AL276/100)^B24:B31)+C32*AM276*AP276/(1+AL276/100)^$B$6</f>
        <v/>
      </c>
      <c r="AS276">
        <f>SUMPRODUCT((K24:K26&lt;=$B$6)*(L24:L26*AN276+M24:M26*AO276*$B$8*AQ276)/(1+AL276/100)^K24:K26)+L27*AN276*AP276/(1+AL276/100)^$B$6</f>
        <v/>
      </c>
      <c r="AT276">
        <f>AS276-AR276</f>
        <v/>
      </c>
      <c r="AU276">
        <f>RAND()</f>
        <v/>
      </c>
      <c r="AV276">
        <f>RAND()</f>
        <v/>
      </c>
      <c r="AW276">
        <f>RAND()</f>
        <v/>
      </c>
      <c r="AX276">
        <f>RAND()</f>
        <v/>
      </c>
      <c r="AY276">
        <f>RAND()</f>
        <v/>
      </c>
      <c r="AZ276">
        <f>RAND()</f>
        <v/>
      </c>
    </row>
    <row r="277">
      <c r="AK277" t="n">
        <v>264</v>
      </c>
      <c r="AL277">
        <f>IFERROR(IF(AU277&lt;($AM$6-$AL$6)/($AN$6-$AL$6),$AL$6+SQRT(AU277*($AN$6-$AL$6)*($AM$6-$AL$6)),$AN$6-SQRT((1-AU277)*($AN$6-$AL$6)*($AN$6-$AM$6))),$AM$6)</f>
        <v/>
      </c>
      <c r="AM277">
        <f>IFERROR(IF(AV277&lt;($AM$7-$AL$7)/($AN$7-$AL$7),$AL$7+SQRT(AV277*($AN$7-$AL$7)*($AM$7-$AL$7)),$AN$7-SQRT((1-AV277)*($AN$7-$AL$7)*($AN$7-$AM$7))),$AM$7)</f>
        <v/>
      </c>
      <c r="AN277">
        <f>IFERROR(IF(AW277&lt;($AM$8-$AL$8)/($AN$8-$AL$8),$AL$8+SQRT(AW277*($AN$8-$AL$8)*($AM$8-$AL$8)),$AN$8-SQRT((1-AW277)*($AN$8-$AL$8)*($AN$8-$AM$8))),$AM$8)</f>
        <v/>
      </c>
      <c r="AO277">
        <f>IFERROR(IF(AX277&lt;($AM$9-$AL$9)/($AN$9-$AL$9),$AL$9+SQRT(AX277*($AN$9-$AL$9)*($AM$9-$AL$9)),$AN$9-SQRT((1-AX277)*($AN$9-$AL$9)*($AN$9-$AM$9))),$AM$9)</f>
        <v/>
      </c>
      <c r="AP277">
        <f>IFERROR(IF(AY277&lt;($AM$10-$AL$10)/($AN$10-$AL$10),$AL$10+SQRT(AY277*($AN$10-$AL$10)*($AM$10-$AL$10)),$AN$10-SQRT((1-AY277)*($AN$10-$AL$10)*($AN$10-$AM$10))),$AM$10)</f>
        <v/>
      </c>
      <c r="AQ277">
        <f>IFERROR(IF(AZ277&lt;($AM$11-$AL$11)/($AN$11-$AL$11),$AL$11+SQRT(AZ277*($AN$11-$AL$11)*($AM$11-$AL$11)),$AN$11-SQRT((1-AZ277)*($AN$11-$AL$11)*($AN$11-$AM$11))),$AM$11)</f>
        <v/>
      </c>
      <c r="AR277">
        <f>SUMPRODUCT((B24:B31&lt;=$B$6)*(C24:C31*AM277+D24:D31*AO277*$B$8*AQ277)/(1+AL277/100)^B24:B31)+C32*AM277*AP277/(1+AL277/100)^$B$6</f>
        <v/>
      </c>
      <c r="AS277">
        <f>SUMPRODUCT((K24:K26&lt;=$B$6)*(L24:L26*AN277+M24:M26*AO277*$B$8*AQ277)/(1+AL277/100)^K24:K26)+L27*AN277*AP277/(1+AL277/100)^$B$6</f>
        <v/>
      </c>
      <c r="AT277">
        <f>AS277-AR277</f>
        <v/>
      </c>
      <c r="AU277">
        <f>RAND()</f>
        <v/>
      </c>
      <c r="AV277">
        <f>RAND()</f>
        <v/>
      </c>
      <c r="AW277">
        <f>RAND()</f>
        <v/>
      </c>
      <c r="AX277">
        <f>RAND()</f>
        <v/>
      </c>
      <c r="AY277">
        <f>RAND()</f>
        <v/>
      </c>
      <c r="AZ277">
        <f>RAND()</f>
        <v/>
      </c>
    </row>
    <row r="278">
      <c r="AK278" t="n">
        <v>265</v>
      </c>
      <c r="AL278">
        <f>IFERROR(IF(AU278&lt;($AM$6-$AL$6)/($AN$6-$AL$6),$AL$6+SQRT(AU278*($AN$6-$AL$6)*($AM$6-$AL$6)),$AN$6-SQRT((1-AU278)*($AN$6-$AL$6)*($AN$6-$AM$6))),$AM$6)</f>
        <v/>
      </c>
      <c r="AM278">
        <f>IFERROR(IF(AV278&lt;($AM$7-$AL$7)/($AN$7-$AL$7),$AL$7+SQRT(AV278*($AN$7-$AL$7)*($AM$7-$AL$7)),$AN$7-SQRT((1-AV278)*($AN$7-$AL$7)*($AN$7-$AM$7))),$AM$7)</f>
        <v/>
      </c>
      <c r="AN278">
        <f>IFERROR(IF(AW278&lt;($AM$8-$AL$8)/($AN$8-$AL$8),$AL$8+SQRT(AW278*($AN$8-$AL$8)*($AM$8-$AL$8)),$AN$8-SQRT((1-AW278)*($AN$8-$AL$8)*($AN$8-$AM$8))),$AM$8)</f>
        <v/>
      </c>
      <c r="AO278">
        <f>IFERROR(IF(AX278&lt;($AM$9-$AL$9)/($AN$9-$AL$9),$AL$9+SQRT(AX278*($AN$9-$AL$9)*($AM$9-$AL$9)),$AN$9-SQRT((1-AX278)*($AN$9-$AL$9)*($AN$9-$AM$9))),$AM$9)</f>
        <v/>
      </c>
      <c r="AP278">
        <f>IFERROR(IF(AY278&lt;($AM$10-$AL$10)/($AN$10-$AL$10),$AL$10+SQRT(AY278*($AN$10-$AL$10)*($AM$10-$AL$10)),$AN$10-SQRT((1-AY278)*($AN$10-$AL$10)*($AN$10-$AM$10))),$AM$10)</f>
        <v/>
      </c>
      <c r="AQ278">
        <f>IFERROR(IF(AZ278&lt;($AM$11-$AL$11)/($AN$11-$AL$11),$AL$11+SQRT(AZ278*($AN$11-$AL$11)*($AM$11-$AL$11)),$AN$11-SQRT((1-AZ278)*($AN$11-$AL$11)*($AN$11-$AM$11))),$AM$11)</f>
        <v/>
      </c>
      <c r="AR278">
        <f>SUMPRODUCT((B24:B31&lt;=$B$6)*(C24:C31*AM278+D24:D31*AO278*$B$8*AQ278)/(1+AL278/100)^B24:B31)+C32*AM278*AP278/(1+AL278/100)^$B$6</f>
        <v/>
      </c>
      <c r="AS278">
        <f>SUMPRODUCT((K24:K26&lt;=$B$6)*(L24:L26*AN278+M24:M26*AO278*$B$8*AQ278)/(1+AL278/100)^K24:K26)+L27*AN278*AP278/(1+AL278/100)^$B$6</f>
        <v/>
      </c>
      <c r="AT278">
        <f>AS278-AR278</f>
        <v/>
      </c>
      <c r="AU278">
        <f>RAND()</f>
        <v/>
      </c>
      <c r="AV278">
        <f>RAND()</f>
        <v/>
      </c>
      <c r="AW278">
        <f>RAND()</f>
        <v/>
      </c>
      <c r="AX278">
        <f>RAND()</f>
        <v/>
      </c>
      <c r="AY278">
        <f>RAND()</f>
        <v/>
      </c>
      <c r="AZ278">
        <f>RAND()</f>
        <v/>
      </c>
    </row>
    <row r="279">
      <c r="AK279" t="n">
        <v>266</v>
      </c>
      <c r="AL279">
        <f>IFERROR(IF(AU279&lt;($AM$6-$AL$6)/($AN$6-$AL$6),$AL$6+SQRT(AU279*($AN$6-$AL$6)*($AM$6-$AL$6)),$AN$6-SQRT((1-AU279)*($AN$6-$AL$6)*($AN$6-$AM$6))),$AM$6)</f>
        <v/>
      </c>
      <c r="AM279">
        <f>IFERROR(IF(AV279&lt;($AM$7-$AL$7)/($AN$7-$AL$7),$AL$7+SQRT(AV279*($AN$7-$AL$7)*($AM$7-$AL$7)),$AN$7-SQRT((1-AV279)*($AN$7-$AL$7)*($AN$7-$AM$7))),$AM$7)</f>
        <v/>
      </c>
      <c r="AN279">
        <f>IFERROR(IF(AW279&lt;($AM$8-$AL$8)/($AN$8-$AL$8),$AL$8+SQRT(AW279*($AN$8-$AL$8)*($AM$8-$AL$8)),$AN$8-SQRT((1-AW279)*($AN$8-$AL$8)*($AN$8-$AM$8))),$AM$8)</f>
        <v/>
      </c>
      <c r="AO279">
        <f>IFERROR(IF(AX279&lt;($AM$9-$AL$9)/($AN$9-$AL$9),$AL$9+SQRT(AX279*($AN$9-$AL$9)*($AM$9-$AL$9)),$AN$9-SQRT((1-AX279)*($AN$9-$AL$9)*($AN$9-$AM$9))),$AM$9)</f>
        <v/>
      </c>
      <c r="AP279">
        <f>IFERROR(IF(AY279&lt;($AM$10-$AL$10)/($AN$10-$AL$10),$AL$10+SQRT(AY279*($AN$10-$AL$10)*($AM$10-$AL$10)),$AN$10-SQRT((1-AY279)*($AN$10-$AL$10)*($AN$10-$AM$10))),$AM$10)</f>
        <v/>
      </c>
      <c r="AQ279">
        <f>IFERROR(IF(AZ279&lt;($AM$11-$AL$11)/($AN$11-$AL$11),$AL$11+SQRT(AZ279*($AN$11-$AL$11)*($AM$11-$AL$11)),$AN$11-SQRT((1-AZ279)*($AN$11-$AL$11)*($AN$11-$AM$11))),$AM$11)</f>
        <v/>
      </c>
      <c r="AR279">
        <f>SUMPRODUCT((B24:B31&lt;=$B$6)*(C24:C31*AM279+D24:D31*AO279*$B$8*AQ279)/(1+AL279/100)^B24:B31)+C32*AM279*AP279/(1+AL279/100)^$B$6</f>
        <v/>
      </c>
      <c r="AS279">
        <f>SUMPRODUCT((K24:K26&lt;=$B$6)*(L24:L26*AN279+M24:M26*AO279*$B$8*AQ279)/(1+AL279/100)^K24:K26)+L27*AN279*AP279/(1+AL279/100)^$B$6</f>
        <v/>
      </c>
      <c r="AT279">
        <f>AS279-AR279</f>
        <v/>
      </c>
      <c r="AU279">
        <f>RAND()</f>
        <v/>
      </c>
      <c r="AV279">
        <f>RAND()</f>
        <v/>
      </c>
      <c r="AW279">
        <f>RAND()</f>
        <v/>
      </c>
      <c r="AX279">
        <f>RAND()</f>
        <v/>
      </c>
      <c r="AY279">
        <f>RAND()</f>
        <v/>
      </c>
      <c r="AZ279">
        <f>RAND()</f>
        <v/>
      </c>
    </row>
    <row r="280">
      <c r="AK280" t="n">
        <v>267</v>
      </c>
      <c r="AL280">
        <f>IFERROR(IF(AU280&lt;($AM$6-$AL$6)/($AN$6-$AL$6),$AL$6+SQRT(AU280*($AN$6-$AL$6)*($AM$6-$AL$6)),$AN$6-SQRT((1-AU280)*($AN$6-$AL$6)*($AN$6-$AM$6))),$AM$6)</f>
        <v/>
      </c>
      <c r="AM280">
        <f>IFERROR(IF(AV280&lt;($AM$7-$AL$7)/($AN$7-$AL$7),$AL$7+SQRT(AV280*($AN$7-$AL$7)*($AM$7-$AL$7)),$AN$7-SQRT((1-AV280)*($AN$7-$AL$7)*($AN$7-$AM$7))),$AM$7)</f>
        <v/>
      </c>
      <c r="AN280">
        <f>IFERROR(IF(AW280&lt;($AM$8-$AL$8)/($AN$8-$AL$8),$AL$8+SQRT(AW280*($AN$8-$AL$8)*($AM$8-$AL$8)),$AN$8-SQRT((1-AW280)*($AN$8-$AL$8)*($AN$8-$AM$8))),$AM$8)</f>
        <v/>
      </c>
      <c r="AO280">
        <f>IFERROR(IF(AX280&lt;($AM$9-$AL$9)/($AN$9-$AL$9),$AL$9+SQRT(AX280*($AN$9-$AL$9)*($AM$9-$AL$9)),$AN$9-SQRT((1-AX280)*($AN$9-$AL$9)*($AN$9-$AM$9))),$AM$9)</f>
        <v/>
      </c>
      <c r="AP280">
        <f>IFERROR(IF(AY280&lt;($AM$10-$AL$10)/($AN$10-$AL$10),$AL$10+SQRT(AY280*($AN$10-$AL$10)*($AM$10-$AL$10)),$AN$10-SQRT((1-AY280)*($AN$10-$AL$10)*($AN$10-$AM$10))),$AM$10)</f>
        <v/>
      </c>
      <c r="AQ280">
        <f>IFERROR(IF(AZ280&lt;($AM$11-$AL$11)/($AN$11-$AL$11),$AL$11+SQRT(AZ280*($AN$11-$AL$11)*($AM$11-$AL$11)),$AN$11-SQRT((1-AZ280)*($AN$11-$AL$11)*($AN$11-$AM$11))),$AM$11)</f>
        <v/>
      </c>
      <c r="AR280">
        <f>SUMPRODUCT((B24:B31&lt;=$B$6)*(C24:C31*AM280+D24:D31*AO280*$B$8*AQ280)/(1+AL280/100)^B24:B31)+C32*AM280*AP280/(1+AL280/100)^$B$6</f>
        <v/>
      </c>
      <c r="AS280">
        <f>SUMPRODUCT((K24:K26&lt;=$B$6)*(L24:L26*AN280+M24:M26*AO280*$B$8*AQ280)/(1+AL280/100)^K24:K26)+L27*AN280*AP280/(1+AL280/100)^$B$6</f>
        <v/>
      </c>
      <c r="AT280">
        <f>AS280-AR280</f>
        <v/>
      </c>
      <c r="AU280">
        <f>RAND()</f>
        <v/>
      </c>
      <c r="AV280">
        <f>RAND()</f>
        <v/>
      </c>
      <c r="AW280">
        <f>RAND()</f>
        <v/>
      </c>
      <c r="AX280">
        <f>RAND()</f>
        <v/>
      </c>
      <c r="AY280">
        <f>RAND()</f>
        <v/>
      </c>
      <c r="AZ280">
        <f>RAND()</f>
        <v/>
      </c>
    </row>
    <row r="281">
      <c r="AK281" t="n">
        <v>268</v>
      </c>
      <c r="AL281">
        <f>IFERROR(IF(AU281&lt;($AM$6-$AL$6)/($AN$6-$AL$6),$AL$6+SQRT(AU281*($AN$6-$AL$6)*($AM$6-$AL$6)),$AN$6-SQRT((1-AU281)*($AN$6-$AL$6)*($AN$6-$AM$6))),$AM$6)</f>
        <v/>
      </c>
      <c r="AM281">
        <f>IFERROR(IF(AV281&lt;($AM$7-$AL$7)/($AN$7-$AL$7),$AL$7+SQRT(AV281*($AN$7-$AL$7)*($AM$7-$AL$7)),$AN$7-SQRT((1-AV281)*($AN$7-$AL$7)*($AN$7-$AM$7))),$AM$7)</f>
        <v/>
      </c>
      <c r="AN281">
        <f>IFERROR(IF(AW281&lt;($AM$8-$AL$8)/($AN$8-$AL$8),$AL$8+SQRT(AW281*($AN$8-$AL$8)*($AM$8-$AL$8)),$AN$8-SQRT((1-AW281)*($AN$8-$AL$8)*($AN$8-$AM$8))),$AM$8)</f>
        <v/>
      </c>
      <c r="AO281">
        <f>IFERROR(IF(AX281&lt;($AM$9-$AL$9)/($AN$9-$AL$9),$AL$9+SQRT(AX281*($AN$9-$AL$9)*($AM$9-$AL$9)),$AN$9-SQRT((1-AX281)*($AN$9-$AL$9)*($AN$9-$AM$9))),$AM$9)</f>
        <v/>
      </c>
      <c r="AP281">
        <f>IFERROR(IF(AY281&lt;($AM$10-$AL$10)/($AN$10-$AL$10),$AL$10+SQRT(AY281*($AN$10-$AL$10)*($AM$10-$AL$10)),$AN$10-SQRT((1-AY281)*($AN$10-$AL$10)*($AN$10-$AM$10))),$AM$10)</f>
        <v/>
      </c>
      <c r="AQ281">
        <f>IFERROR(IF(AZ281&lt;($AM$11-$AL$11)/($AN$11-$AL$11),$AL$11+SQRT(AZ281*($AN$11-$AL$11)*($AM$11-$AL$11)),$AN$11-SQRT((1-AZ281)*($AN$11-$AL$11)*($AN$11-$AM$11))),$AM$11)</f>
        <v/>
      </c>
      <c r="AR281">
        <f>SUMPRODUCT((B24:B31&lt;=$B$6)*(C24:C31*AM281+D24:D31*AO281*$B$8*AQ281)/(1+AL281/100)^B24:B31)+C32*AM281*AP281/(1+AL281/100)^$B$6</f>
        <v/>
      </c>
      <c r="AS281">
        <f>SUMPRODUCT((K24:K26&lt;=$B$6)*(L24:L26*AN281+M24:M26*AO281*$B$8*AQ281)/(1+AL281/100)^K24:K26)+L27*AN281*AP281/(1+AL281/100)^$B$6</f>
        <v/>
      </c>
      <c r="AT281">
        <f>AS281-AR281</f>
        <v/>
      </c>
      <c r="AU281">
        <f>RAND()</f>
        <v/>
      </c>
      <c r="AV281">
        <f>RAND()</f>
        <v/>
      </c>
      <c r="AW281">
        <f>RAND()</f>
        <v/>
      </c>
      <c r="AX281">
        <f>RAND()</f>
        <v/>
      </c>
      <c r="AY281">
        <f>RAND()</f>
        <v/>
      </c>
      <c r="AZ281">
        <f>RAND()</f>
        <v/>
      </c>
    </row>
    <row r="282">
      <c r="AK282" t="n">
        <v>269</v>
      </c>
      <c r="AL282">
        <f>IFERROR(IF(AU282&lt;($AM$6-$AL$6)/($AN$6-$AL$6),$AL$6+SQRT(AU282*($AN$6-$AL$6)*($AM$6-$AL$6)),$AN$6-SQRT((1-AU282)*($AN$6-$AL$6)*($AN$6-$AM$6))),$AM$6)</f>
        <v/>
      </c>
      <c r="AM282">
        <f>IFERROR(IF(AV282&lt;($AM$7-$AL$7)/($AN$7-$AL$7),$AL$7+SQRT(AV282*($AN$7-$AL$7)*($AM$7-$AL$7)),$AN$7-SQRT((1-AV282)*($AN$7-$AL$7)*($AN$7-$AM$7))),$AM$7)</f>
        <v/>
      </c>
      <c r="AN282">
        <f>IFERROR(IF(AW282&lt;($AM$8-$AL$8)/($AN$8-$AL$8),$AL$8+SQRT(AW282*($AN$8-$AL$8)*($AM$8-$AL$8)),$AN$8-SQRT((1-AW282)*($AN$8-$AL$8)*($AN$8-$AM$8))),$AM$8)</f>
        <v/>
      </c>
      <c r="AO282">
        <f>IFERROR(IF(AX282&lt;($AM$9-$AL$9)/($AN$9-$AL$9),$AL$9+SQRT(AX282*($AN$9-$AL$9)*($AM$9-$AL$9)),$AN$9-SQRT((1-AX282)*($AN$9-$AL$9)*($AN$9-$AM$9))),$AM$9)</f>
        <v/>
      </c>
      <c r="AP282">
        <f>IFERROR(IF(AY282&lt;($AM$10-$AL$10)/($AN$10-$AL$10),$AL$10+SQRT(AY282*($AN$10-$AL$10)*($AM$10-$AL$10)),$AN$10-SQRT((1-AY282)*($AN$10-$AL$10)*($AN$10-$AM$10))),$AM$10)</f>
        <v/>
      </c>
      <c r="AQ282">
        <f>IFERROR(IF(AZ282&lt;($AM$11-$AL$11)/($AN$11-$AL$11),$AL$11+SQRT(AZ282*($AN$11-$AL$11)*($AM$11-$AL$11)),$AN$11-SQRT((1-AZ282)*($AN$11-$AL$11)*($AN$11-$AM$11))),$AM$11)</f>
        <v/>
      </c>
      <c r="AR282">
        <f>SUMPRODUCT((B24:B31&lt;=$B$6)*(C24:C31*AM282+D24:D31*AO282*$B$8*AQ282)/(1+AL282/100)^B24:B31)+C32*AM282*AP282/(1+AL282/100)^$B$6</f>
        <v/>
      </c>
      <c r="AS282">
        <f>SUMPRODUCT((K24:K26&lt;=$B$6)*(L24:L26*AN282+M24:M26*AO282*$B$8*AQ282)/(1+AL282/100)^K24:K26)+L27*AN282*AP282/(1+AL282/100)^$B$6</f>
        <v/>
      </c>
      <c r="AT282">
        <f>AS282-AR282</f>
        <v/>
      </c>
      <c r="AU282">
        <f>RAND()</f>
        <v/>
      </c>
      <c r="AV282">
        <f>RAND()</f>
        <v/>
      </c>
      <c r="AW282">
        <f>RAND()</f>
        <v/>
      </c>
      <c r="AX282">
        <f>RAND()</f>
        <v/>
      </c>
      <c r="AY282">
        <f>RAND()</f>
        <v/>
      </c>
      <c r="AZ282">
        <f>RAND()</f>
        <v/>
      </c>
    </row>
    <row r="283">
      <c r="AK283" t="n">
        <v>270</v>
      </c>
      <c r="AL283">
        <f>IFERROR(IF(AU283&lt;($AM$6-$AL$6)/($AN$6-$AL$6),$AL$6+SQRT(AU283*($AN$6-$AL$6)*($AM$6-$AL$6)),$AN$6-SQRT((1-AU283)*($AN$6-$AL$6)*($AN$6-$AM$6))),$AM$6)</f>
        <v/>
      </c>
      <c r="AM283">
        <f>IFERROR(IF(AV283&lt;($AM$7-$AL$7)/($AN$7-$AL$7),$AL$7+SQRT(AV283*($AN$7-$AL$7)*($AM$7-$AL$7)),$AN$7-SQRT((1-AV283)*($AN$7-$AL$7)*($AN$7-$AM$7))),$AM$7)</f>
        <v/>
      </c>
      <c r="AN283">
        <f>IFERROR(IF(AW283&lt;($AM$8-$AL$8)/($AN$8-$AL$8),$AL$8+SQRT(AW283*($AN$8-$AL$8)*($AM$8-$AL$8)),$AN$8-SQRT((1-AW283)*($AN$8-$AL$8)*($AN$8-$AM$8))),$AM$8)</f>
        <v/>
      </c>
      <c r="AO283">
        <f>IFERROR(IF(AX283&lt;($AM$9-$AL$9)/($AN$9-$AL$9),$AL$9+SQRT(AX283*($AN$9-$AL$9)*($AM$9-$AL$9)),$AN$9-SQRT((1-AX283)*($AN$9-$AL$9)*($AN$9-$AM$9))),$AM$9)</f>
        <v/>
      </c>
      <c r="AP283">
        <f>IFERROR(IF(AY283&lt;($AM$10-$AL$10)/($AN$10-$AL$10),$AL$10+SQRT(AY283*($AN$10-$AL$10)*($AM$10-$AL$10)),$AN$10-SQRT((1-AY283)*($AN$10-$AL$10)*($AN$10-$AM$10))),$AM$10)</f>
        <v/>
      </c>
      <c r="AQ283">
        <f>IFERROR(IF(AZ283&lt;($AM$11-$AL$11)/($AN$11-$AL$11),$AL$11+SQRT(AZ283*($AN$11-$AL$11)*($AM$11-$AL$11)),$AN$11-SQRT((1-AZ283)*($AN$11-$AL$11)*($AN$11-$AM$11))),$AM$11)</f>
        <v/>
      </c>
      <c r="AR283">
        <f>SUMPRODUCT((B24:B31&lt;=$B$6)*(C24:C31*AM283+D24:D31*AO283*$B$8*AQ283)/(1+AL283/100)^B24:B31)+C32*AM283*AP283/(1+AL283/100)^$B$6</f>
        <v/>
      </c>
      <c r="AS283">
        <f>SUMPRODUCT((K24:K26&lt;=$B$6)*(L24:L26*AN283+M24:M26*AO283*$B$8*AQ283)/(1+AL283/100)^K24:K26)+L27*AN283*AP283/(1+AL283/100)^$B$6</f>
        <v/>
      </c>
      <c r="AT283">
        <f>AS283-AR283</f>
        <v/>
      </c>
      <c r="AU283">
        <f>RAND()</f>
        <v/>
      </c>
      <c r="AV283">
        <f>RAND()</f>
        <v/>
      </c>
      <c r="AW283">
        <f>RAND()</f>
        <v/>
      </c>
      <c r="AX283">
        <f>RAND()</f>
        <v/>
      </c>
      <c r="AY283">
        <f>RAND()</f>
        <v/>
      </c>
      <c r="AZ283">
        <f>RAND()</f>
        <v/>
      </c>
    </row>
    <row r="284">
      <c r="AK284" t="n">
        <v>271</v>
      </c>
      <c r="AL284">
        <f>IFERROR(IF(AU284&lt;($AM$6-$AL$6)/($AN$6-$AL$6),$AL$6+SQRT(AU284*($AN$6-$AL$6)*($AM$6-$AL$6)),$AN$6-SQRT((1-AU284)*($AN$6-$AL$6)*($AN$6-$AM$6))),$AM$6)</f>
        <v/>
      </c>
      <c r="AM284">
        <f>IFERROR(IF(AV284&lt;($AM$7-$AL$7)/($AN$7-$AL$7),$AL$7+SQRT(AV284*($AN$7-$AL$7)*($AM$7-$AL$7)),$AN$7-SQRT((1-AV284)*($AN$7-$AL$7)*($AN$7-$AM$7))),$AM$7)</f>
        <v/>
      </c>
      <c r="AN284">
        <f>IFERROR(IF(AW284&lt;($AM$8-$AL$8)/($AN$8-$AL$8),$AL$8+SQRT(AW284*($AN$8-$AL$8)*($AM$8-$AL$8)),$AN$8-SQRT((1-AW284)*($AN$8-$AL$8)*($AN$8-$AM$8))),$AM$8)</f>
        <v/>
      </c>
      <c r="AO284">
        <f>IFERROR(IF(AX284&lt;($AM$9-$AL$9)/($AN$9-$AL$9),$AL$9+SQRT(AX284*($AN$9-$AL$9)*($AM$9-$AL$9)),$AN$9-SQRT((1-AX284)*($AN$9-$AL$9)*($AN$9-$AM$9))),$AM$9)</f>
        <v/>
      </c>
      <c r="AP284">
        <f>IFERROR(IF(AY284&lt;($AM$10-$AL$10)/($AN$10-$AL$10),$AL$10+SQRT(AY284*($AN$10-$AL$10)*($AM$10-$AL$10)),$AN$10-SQRT((1-AY284)*($AN$10-$AL$10)*($AN$10-$AM$10))),$AM$10)</f>
        <v/>
      </c>
      <c r="AQ284">
        <f>IFERROR(IF(AZ284&lt;($AM$11-$AL$11)/($AN$11-$AL$11),$AL$11+SQRT(AZ284*($AN$11-$AL$11)*($AM$11-$AL$11)),$AN$11-SQRT((1-AZ284)*($AN$11-$AL$11)*($AN$11-$AM$11))),$AM$11)</f>
        <v/>
      </c>
      <c r="AR284">
        <f>SUMPRODUCT((B24:B31&lt;=$B$6)*(C24:C31*AM284+D24:D31*AO284*$B$8*AQ284)/(1+AL284/100)^B24:B31)+C32*AM284*AP284/(1+AL284/100)^$B$6</f>
        <v/>
      </c>
      <c r="AS284">
        <f>SUMPRODUCT((K24:K26&lt;=$B$6)*(L24:L26*AN284+M24:M26*AO284*$B$8*AQ284)/(1+AL284/100)^K24:K26)+L27*AN284*AP284/(1+AL284/100)^$B$6</f>
        <v/>
      </c>
      <c r="AT284">
        <f>AS284-AR284</f>
        <v/>
      </c>
      <c r="AU284">
        <f>RAND()</f>
        <v/>
      </c>
      <c r="AV284">
        <f>RAND()</f>
        <v/>
      </c>
      <c r="AW284">
        <f>RAND()</f>
        <v/>
      </c>
      <c r="AX284">
        <f>RAND()</f>
        <v/>
      </c>
      <c r="AY284">
        <f>RAND()</f>
        <v/>
      </c>
      <c r="AZ284">
        <f>RAND()</f>
        <v/>
      </c>
    </row>
    <row r="285">
      <c r="AK285" t="n">
        <v>272</v>
      </c>
      <c r="AL285">
        <f>IFERROR(IF(AU285&lt;($AM$6-$AL$6)/($AN$6-$AL$6),$AL$6+SQRT(AU285*($AN$6-$AL$6)*($AM$6-$AL$6)),$AN$6-SQRT((1-AU285)*($AN$6-$AL$6)*($AN$6-$AM$6))),$AM$6)</f>
        <v/>
      </c>
      <c r="AM285">
        <f>IFERROR(IF(AV285&lt;($AM$7-$AL$7)/($AN$7-$AL$7),$AL$7+SQRT(AV285*($AN$7-$AL$7)*($AM$7-$AL$7)),$AN$7-SQRT((1-AV285)*($AN$7-$AL$7)*($AN$7-$AM$7))),$AM$7)</f>
        <v/>
      </c>
      <c r="AN285">
        <f>IFERROR(IF(AW285&lt;($AM$8-$AL$8)/($AN$8-$AL$8),$AL$8+SQRT(AW285*($AN$8-$AL$8)*($AM$8-$AL$8)),$AN$8-SQRT((1-AW285)*($AN$8-$AL$8)*($AN$8-$AM$8))),$AM$8)</f>
        <v/>
      </c>
      <c r="AO285">
        <f>IFERROR(IF(AX285&lt;($AM$9-$AL$9)/($AN$9-$AL$9),$AL$9+SQRT(AX285*($AN$9-$AL$9)*($AM$9-$AL$9)),$AN$9-SQRT((1-AX285)*($AN$9-$AL$9)*($AN$9-$AM$9))),$AM$9)</f>
        <v/>
      </c>
      <c r="AP285">
        <f>IFERROR(IF(AY285&lt;($AM$10-$AL$10)/($AN$10-$AL$10),$AL$10+SQRT(AY285*($AN$10-$AL$10)*($AM$10-$AL$10)),$AN$10-SQRT((1-AY285)*($AN$10-$AL$10)*($AN$10-$AM$10))),$AM$10)</f>
        <v/>
      </c>
      <c r="AQ285">
        <f>IFERROR(IF(AZ285&lt;($AM$11-$AL$11)/($AN$11-$AL$11),$AL$11+SQRT(AZ285*($AN$11-$AL$11)*($AM$11-$AL$11)),$AN$11-SQRT((1-AZ285)*($AN$11-$AL$11)*($AN$11-$AM$11))),$AM$11)</f>
        <v/>
      </c>
      <c r="AR285">
        <f>SUMPRODUCT((B24:B31&lt;=$B$6)*(C24:C31*AM285+D24:D31*AO285*$B$8*AQ285)/(1+AL285/100)^B24:B31)+C32*AM285*AP285/(1+AL285/100)^$B$6</f>
        <v/>
      </c>
      <c r="AS285">
        <f>SUMPRODUCT((K24:K26&lt;=$B$6)*(L24:L26*AN285+M24:M26*AO285*$B$8*AQ285)/(1+AL285/100)^K24:K26)+L27*AN285*AP285/(1+AL285/100)^$B$6</f>
        <v/>
      </c>
      <c r="AT285">
        <f>AS285-AR285</f>
        <v/>
      </c>
      <c r="AU285">
        <f>RAND()</f>
        <v/>
      </c>
      <c r="AV285">
        <f>RAND()</f>
        <v/>
      </c>
      <c r="AW285">
        <f>RAND()</f>
        <v/>
      </c>
      <c r="AX285">
        <f>RAND()</f>
        <v/>
      </c>
      <c r="AY285">
        <f>RAND()</f>
        <v/>
      </c>
      <c r="AZ285">
        <f>RAND()</f>
        <v/>
      </c>
    </row>
    <row r="286">
      <c r="AK286" t="n">
        <v>273</v>
      </c>
      <c r="AL286">
        <f>IFERROR(IF(AU286&lt;($AM$6-$AL$6)/($AN$6-$AL$6),$AL$6+SQRT(AU286*($AN$6-$AL$6)*($AM$6-$AL$6)),$AN$6-SQRT((1-AU286)*($AN$6-$AL$6)*($AN$6-$AM$6))),$AM$6)</f>
        <v/>
      </c>
      <c r="AM286">
        <f>IFERROR(IF(AV286&lt;($AM$7-$AL$7)/($AN$7-$AL$7),$AL$7+SQRT(AV286*($AN$7-$AL$7)*($AM$7-$AL$7)),$AN$7-SQRT((1-AV286)*($AN$7-$AL$7)*($AN$7-$AM$7))),$AM$7)</f>
        <v/>
      </c>
      <c r="AN286">
        <f>IFERROR(IF(AW286&lt;($AM$8-$AL$8)/($AN$8-$AL$8),$AL$8+SQRT(AW286*($AN$8-$AL$8)*($AM$8-$AL$8)),$AN$8-SQRT((1-AW286)*($AN$8-$AL$8)*($AN$8-$AM$8))),$AM$8)</f>
        <v/>
      </c>
      <c r="AO286">
        <f>IFERROR(IF(AX286&lt;($AM$9-$AL$9)/($AN$9-$AL$9),$AL$9+SQRT(AX286*($AN$9-$AL$9)*($AM$9-$AL$9)),$AN$9-SQRT((1-AX286)*($AN$9-$AL$9)*($AN$9-$AM$9))),$AM$9)</f>
        <v/>
      </c>
      <c r="AP286">
        <f>IFERROR(IF(AY286&lt;($AM$10-$AL$10)/($AN$10-$AL$10),$AL$10+SQRT(AY286*($AN$10-$AL$10)*($AM$10-$AL$10)),$AN$10-SQRT((1-AY286)*($AN$10-$AL$10)*($AN$10-$AM$10))),$AM$10)</f>
        <v/>
      </c>
      <c r="AQ286">
        <f>IFERROR(IF(AZ286&lt;($AM$11-$AL$11)/($AN$11-$AL$11),$AL$11+SQRT(AZ286*($AN$11-$AL$11)*($AM$11-$AL$11)),$AN$11-SQRT((1-AZ286)*($AN$11-$AL$11)*($AN$11-$AM$11))),$AM$11)</f>
        <v/>
      </c>
      <c r="AR286">
        <f>SUMPRODUCT((B24:B31&lt;=$B$6)*(C24:C31*AM286+D24:D31*AO286*$B$8*AQ286)/(1+AL286/100)^B24:B31)+C32*AM286*AP286/(1+AL286/100)^$B$6</f>
        <v/>
      </c>
      <c r="AS286">
        <f>SUMPRODUCT((K24:K26&lt;=$B$6)*(L24:L26*AN286+M24:M26*AO286*$B$8*AQ286)/(1+AL286/100)^K24:K26)+L27*AN286*AP286/(1+AL286/100)^$B$6</f>
        <v/>
      </c>
      <c r="AT286">
        <f>AS286-AR286</f>
        <v/>
      </c>
      <c r="AU286">
        <f>RAND()</f>
        <v/>
      </c>
      <c r="AV286">
        <f>RAND()</f>
        <v/>
      </c>
      <c r="AW286">
        <f>RAND()</f>
        <v/>
      </c>
      <c r="AX286">
        <f>RAND()</f>
        <v/>
      </c>
      <c r="AY286">
        <f>RAND()</f>
        <v/>
      </c>
      <c r="AZ286">
        <f>RAND()</f>
        <v/>
      </c>
    </row>
    <row r="287">
      <c r="AK287" t="n">
        <v>274</v>
      </c>
      <c r="AL287">
        <f>IFERROR(IF(AU287&lt;($AM$6-$AL$6)/($AN$6-$AL$6),$AL$6+SQRT(AU287*($AN$6-$AL$6)*($AM$6-$AL$6)),$AN$6-SQRT((1-AU287)*($AN$6-$AL$6)*($AN$6-$AM$6))),$AM$6)</f>
        <v/>
      </c>
      <c r="AM287">
        <f>IFERROR(IF(AV287&lt;($AM$7-$AL$7)/($AN$7-$AL$7),$AL$7+SQRT(AV287*($AN$7-$AL$7)*($AM$7-$AL$7)),$AN$7-SQRT((1-AV287)*($AN$7-$AL$7)*($AN$7-$AM$7))),$AM$7)</f>
        <v/>
      </c>
      <c r="AN287">
        <f>IFERROR(IF(AW287&lt;($AM$8-$AL$8)/($AN$8-$AL$8),$AL$8+SQRT(AW287*($AN$8-$AL$8)*($AM$8-$AL$8)),$AN$8-SQRT((1-AW287)*($AN$8-$AL$8)*($AN$8-$AM$8))),$AM$8)</f>
        <v/>
      </c>
      <c r="AO287">
        <f>IFERROR(IF(AX287&lt;($AM$9-$AL$9)/($AN$9-$AL$9),$AL$9+SQRT(AX287*($AN$9-$AL$9)*($AM$9-$AL$9)),$AN$9-SQRT((1-AX287)*($AN$9-$AL$9)*($AN$9-$AM$9))),$AM$9)</f>
        <v/>
      </c>
      <c r="AP287">
        <f>IFERROR(IF(AY287&lt;($AM$10-$AL$10)/($AN$10-$AL$10),$AL$10+SQRT(AY287*($AN$10-$AL$10)*($AM$10-$AL$10)),$AN$10-SQRT((1-AY287)*($AN$10-$AL$10)*($AN$10-$AM$10))),$AM$10)</f>
        <v/>
      </c>
      <c r="AQ287">
        <f>IFERROR(IF(AZ287&lt;($AM$11-$AL$11)/($AN$11-$AL$11),$AL$11+SQRT(AZ287*($AN$11-$AL$11)*($AM$11-$AL$11)),$AN$11-SQRT((1-AZ287)*($AN$11-$AL$11)*($AN$11-$AM$11))),$AM$11)</f>
        <v/>
      </c>
      <c r="AR287">
        <f>SUMPRODUCT((B24:B31&lt;=$B$6)*(C24:C31*AM287+D24:D31*AO287*$B$8*AQ287)/(1+AL287/100)^B24:B31)+C32*AM287*AP287/(1+AL287/100)^$B$6</f>
        <v/>
      </c>
      <c r="AS287">
        <f>SUMPRODUCT((K24:K26&lt;=$B$6)*(L24:L26*AN287+M24:M26*AO287*$B$8*AQ287)/(1+AL287/100)^K24:K26)+L27*AN287*AP287/(1+AL287/100)^$B$6</f>
        <v/>
      </c>
      <c r="AT287">
        <f>AS287-AR287</f>
        <v/>
      </c>
      <c r="AU287">
        <f>RAND()</f>
        <v/>
      </c>
      <c r="AV287">
        <f>RAND()</f>
        <v/>
      </c>
      <c r="AW287">
        <f>RAND()</f>
        <v/>
      </c>
      <c r="AX287">
        <f>RAND()</f>
        <v/>
      </c>
      <c r="AY287">
        <f>RAND()</f>
        <v/>
      </c>
      <c r="AZ287">
        <f>RAND()</f>
        <v/>
      </c>
    </row>
    <row r="288">
      <c r="AK288" t="n">
        <v>275</v>
      </c>
      <c r="AL288">
        <f>IFERROR(IF(AU288&lt;($AM$6-$AL$6)/($AN$6-$AL$6),$AL$6+SQRT(AU288*($AN$6-$AL$6)*($AM$6-$AL$6)),$AN$6-SQRT((1-AU288)*($AN$6-$AL$6)*($AN$6-$AM$6))),$AM$6)</f>
        <v/>
      </c>
      <c r="AM288">
        <f>IFERROR(IF(AV288&lt;($AM$7-$AL$7)/($AN$7-$AL$7),$AL$7+SQRT(AV288*($AN$7-$AL$7)*($AM$7-$AL$7)),$AN$7-SQRT((1-AV288)*($AN$7-$AL$7)*($AN$7-$AM$7))),$AM$7)</f>
        <v/>
      </c>
      <c r="AN288">
        <f>IFERROR(IF(AW288&lt;($AM$8-$AL$8)/($AN$8-$AL$8),$AL$8+SQRT(AW288*($AN$8-$AL$8)*($AM$8-$AL$8)),$AN$8-SQRT((1-AW288)*($AN$8-$AL$8)*($AN$8-$AM$8))),$AM$8)</f>
        <v/>
      </c>
      <c r="AO288">
        <f>IFERROR(IF(AX288&lt;($AM$9-$AL$9)/($AN$9-$AL$9),$AL$9+SQRT(AX288*($AN$9-$AL$9)*($AM$9-$AL$9)),$AN$9-SQRT((1-AX288)*($AN$9-$AL$9)*($AN$9-$AM$9))),$AM$9)</f>
        <v/>
      </c>
      <c r="AP288">
        <f>IFERROR(IF(AY288&lt;($AM$10-$AL$10)/($AN$10-$AL$10),$AL$10+SQRT(AY288*($AN$10-$AL$10)*($AM$10-$AL$10)),$AN$10-SQRT((1-AY288)*($AN$10-$AL$10)*($AN$10-$AM$10))),$AM$10)</f>
        <v/>
      </c>
      <c r="AQ288">
        <f>IFERROR(IF(AZ288&lt;($AM$11-$AL$11)/($AN$11-$AL$11),$AL$11+SQRT(AZ288*($AN$11-$AL$11)*($AM$11-$AL$11)),$AN$11-SQRT((1-AZ288)*($AN$11-$AL$11)*($AN$11-$AM$11))),$AM$11)</f>
        <v/>
      </c>
      <c r="AR288">
        <f>SUMPRODUCT((B24:B31&lt;=$B$6)*(C24:C31*AM288+D24:D31*AO288*$B$8*AQ288)/(1+AL288/100)^B24:B31)+C32*AM288*AP288/(1+AL288/100)^$B$6</f>
        <v/>
      </c>
      <c r="AS288">
        <f>SUMPRODUCT((K24:K26&lt;=$B$6)*(L24:L26*AN288+M24:M26*AO288*$B$8*AQ288)/(1+AL288/100)^K24:K26)+L27*AN288*AP288/(1+AL288/100)^$B$6</f>
        <v/>
      </c>
      <c r="AT288">
        <f>AS288-AR288</f>
        <v/>
      </c>
      <c r="AU288">
        <f>RAND()</f>
        <v/>
      </c>
      <c r="AV288">
        <f>RAND()</f>
        <v/>
      </c>
      <c r="AW288">
        <f>RAND()</f>
        <v/>
      </c>
      <c r="AX288">
        <f>RAND()</f>
        <v/>
      </c>
      <c r="AY288">
        <f>RAND()</f>
        <v/>
      </c>
      <c r="AZ288">
        <f>RAND()</f>
        <v/>
      </c>
    </row>
    <row r="289">
      <c r="AK289" t="n">
        <v>276</v>
      </c>
      <c r="AL289">
        <f>IFERROR(IF(AU289&lt;($AM$6-$AL$6)/($AN$6-$AL$6),$AL$6+SQRT(AU289*($AN$6-$AL$6)*($AM$6-$AL$6)),$AN$6-SQRT((1-AU289)*($AN$6-$AL$6)*($AN$6-$AM$6))),$AM$6)</f>
        <v/>
      </c>
      <c r="AM289">
        <f>IFERROR(IF(AV289&lt;($AM$7-$AL$7)/($AN$7-$AL$7),$AL$7+SQRT(AV289*($AN$7-$AL$7)*($AM$7-$AL$7)),$AN$7-SQRT((1-AV289)*($AN$7-$AL$7)*($AN$7-$AM$7))),$AM$7)</f>
        <v/>
      </c>
      <c r="AN289">
        <f>IFERROR(IF(AW289&lt;($AM$8-$AL$8)/($AN$8-$AL$8),$AL$8+SQRT(AW289*($AN$8-$AL$8)*($AM$8-$AL$8)),$AN$8-SQRT((1-AW289)*($AN$8-$AL$8)*($AN$8-$AM$8))),$AM$8)</f>
        <v/>
      </c>
      <c r="AO289">
        <f>IFERROR(IF(AX289&lt;($AM$9-$AL$9)/($AN$9-$AL$9),$AL$9+SQRT(AX289*($AN$9-$AL$9)*($AM$9-$AL$9)),$AN$9-SQRT((1-AX289)*($AN$9-$AL$9)*($AN$9-$AM$9))),$AM$9)</f>
        <v/>
      </c>
      <c r="AP289">
        <f>IFERROR(IF(AY289&lt;($AM$10-$AL$10)/($AN$10-$AL$10),$AL$10+SQRT(AY289*($AN$10-$AL$10)*($AM$10-$AL$10)),$AN$10-SQRT((1-AY289)*($AN$10-$AL$10)*($AN$10-$AM$10))),$AM$10)</f>
        <v/>
      </c>
      <c r="AQ289">
        <f>IFERROR(IF(AZ289&lt;($AM$11-$AL$11)/($AN$11-$AL$11),$AL$11+SQRT(AZ289*($AN$11-$AL$11)*($AM$11-$AL$11)),$AN$11-SQRT((1-AZ289)*($AN$11-$AL$11)*($AN$11-$AM$11))),$AM$11)</f>
        <v/>
      </c>
      <c r="AR289">
        <f>SUMPRODUCT((B24:B31&lt;=$B$6)*(C24:C31*AM289+D24:D31*AO289*$B$8*AQ289)/(1+AL289/100)^B24:B31)+C32*AM289*AP289/(1+AL289/100)^$B$6</f>
        <v/>
      </c>
      <c r="AS289">
        <f>SUMPRODUCT((K24:K26&lt;=$B$6)*(L24:L26*AN289+M24:M26*AO289*$B$8*AQ289)/(1+AL289/100)^K24:K26)+L27*AN289*AP289/(1+AL289/100)^$B$6</f>
        <v/>
      </c>
      <c r="AT289">
        <f>AS289-AR289</f>
        <v/>
      </c>
      <c r="AU289">
        <f>RAND()</f>
        <v/>
      </c>
      <c r="AV289">
        <f>RAND()</f>
        <v/>
      </c>
      <c r="AW289">
        <f>RAND()</f>
        <v/>
      </c>
      <c r="AX289">
        <f>RAND()</f>
        <v/>
      </c>
      <c r="AY289">
        <f>RAND()</f>
        <v/>
      </c>
      <c r="AZ289">
        <f>RAND()</f>
        <v/>
      </c>
    </row>
    <row r="290">
      <c r="AK290" t="n">
        <v>277</v>
      </c>
      <c r="AL290">
        <f>IFERROR(IF(AU290&lt;($AM$6-$AL$6)/($AN$6-$AL$6),$AL$6+SQRT(AU290*($AN$6-$AL$6)*($AM$6-$AL$6)),$AN$6-SQRT((1-AU290)*($AN$6-$AL$6)*($AN$6-$AM$6))),$AM$6)</f>
        <v/>
      </c>
      <c r="AM290">
        <f>IFERROR(IF(AV290&lt;($AM$7-$AL$7)/($AN$7-$AL$7),$AL$7+SQRT(AV290*($AN$7-$AL$7)*($AM$7-$AL$7)),$AN$7-SQRT((1-AV290)*($AN$7-$AL$7)*($AN$7-$AM$7))),$AM$7)</f>
        <v/>
      </c>
      <c r="AN290">
        <f>IFERROR(IF(AW290&lt;($AM$8-$AL$8)/($AN$8-$AL$8),$AL$8+SQRT(AW290*($AN$8-$AL$8)*($AM$8-$AL$8)),$AN$8-SQRT((1-AW290)*($AN$8-$AL$8)*($AN$8-$AM$8))),$AM$8)</f>
        <v/>
      </c>
      <c r="AO290">
        <f>IFERROR(IF(AX290&lt;($AM$9-$AL$9)/($AN$9-$AL$9),$AL$9+SQRT(AX290*($AN$9-$AL$9)*($AM$9-$AL$9)),$AN$9-SQRT((1-AX290)*($AN$9-$AL$9)*($AN$9-$AM$9))),$AM$9)</f>
        <v/>
      </c>
      <c r="AP290">
        <f>IFERROR(IF(AY290&lt;($AM$10-$AL$10)/($AN$10-$AL$10),$AL$10+SQRT(AY290*($AN$10-$AL$10)*($AM$10-$AL$10)),$AN$10-SQRT((1-AY290)*($AN$10-$AL$10)*($AN$10-$AM$10))),$AM$10)</f>
        <v/>
      </c>
      <c r="AQ290">
        <f>IFERROR(IF(AZ290&lt;($AM$11-$AL$11)/($AN$11-$AL$11),$AL$11+SQRT(AZ290*($AN$11-$AL$11)*($AM$11-$AL$11)),$AN$11-SQRT((1-AZ290)*($AN$11-$AL$11)*($AN$11-$AM$11))),$AM$11)</f>
        <v/>
      </c>
      <c r="AR290">
        <f>SUMPRODUCT((B24:B31&lt;=$B$6)*(C24:C31*AM290+D24:D31*AO290*$B$8*AQ290)/(1+AL290/100)^B24:B31)+C32*AM290*AP290/(1+AL290/100)^$B$6</f>
        <v/>
      </c>
      <c r="AS290">
        <f>SUMPRODUCT((K24:K26&lt;=$B$6)*(L24:L26*AN290+M24:M26*AO290*$B$8*AQ290)/(1+AL290/100)^K24:K26)+L27*AN290*AP290/(1+AL290/100)^$B$6</f>
        <v/>
      </c>
      <c r="AT290">
        <f>AS290-AR290</f>
        <v/>
      </c>
      <c r="AU290">
        <f>RAND()</f>
        <v/>
      </c>
      <c r="AV290">
        <f>RAND()</f>
        <v/>
      </c>
      <c r="AW290">
        <f>RAND()</f>
        <v/>
      </c>
      <c r="AX290">
        <f>RAND()</f>
        <v/>
      </c>
      <c r="AY290">
        <f>RAND()</f>
        <v/>
      </c>
      <c r="AZ290">
        <f>RAND()</f>
        <v/>
      </c>
    </row>
    <row r="291">
      <c r="AK291" t="n">
        <v>278</v>
      </c>
      <c r="AL291">
        <f>IFERROR(IF(AU291&lt;($AM$6-$AL$6)/($AN$6-$AL$6),$AL$6+SQRT(AU291*($AN$6-$AL$6)*($AM$6-$AL$6)),$AN$6-SQRT((1-AU291)*($AN$6-$AL$6)*($AN$6-$AM$6))),$AM$6)</f>
        <v/>
      </c>
      <c r="AM291">
        <f>IFERROR(IF(AV291&lt;($AM$7-$AL$7)/($AN$7-$AL$7),$AL$7+SQRT(AV291*($AN$7-$AL$7)*($AM$7-$AL$7)),$AN$7-SQRT((1-AV291)*($AN$7-$AL$7)*($AN$7-$AM$7))),$AM$7)</f>
        <v/>
      </c>
      <c r="AN291">
        <f>IFERROR(IF(AW291&lt;($AM$8-$AL$8)/($AN$8-$AL$8),$AL$8+SQRT(AW291*($AN$8-$AL$8)*($AM$8-$AL$8)),$AN$8-SQRT((1-AW291)*($AN$8-$AL$8)*($AN$8-$AM$8))),$AM$8)</f>
        <v/>
      </c>
      <c r="AO291">
        <f>IFERROR(IF(AX291&lt;($AM$9-$AL$9)/($AN$9-$AL$9),$AL$9+SQRT(AX291*($AN$9-$AL$9)*($AM$9-$AL$9)),$AN$9-SQRT((1-AX291)*($AN$9-$AL$9)*($AN$9-$AM$9))),$AM$9)</f>
        <v/>
      </c>
      <c r="AP291">
        <f>IFERROR(IF(AY291&lt;($AM$10-$AL$10)/($AN$10-$AL$10),$AL$10+SQRT(AY291*($AN$10-$AL$10)*($AM$10-$AL$10)),$AN$10-SQRT((1-AY291)*($AN$10-$AL$10)*($AN$10-$AM$10))),$AM$10)</f>
        <v/>
      </c>
      <c r="AQ291">
        <f>IFERROR(IF(AZ291&lt;($AM$11-$AL$11)/($AN$11-$AL$11),$AL$11+SQRT(AZ291*($AN$11-$AL$11)*($AM$11-$AL$11)),$AN$11-SQRT((1-AZ291)*($AN$11-$AL$11)*($AN$11-$AM$11))),$AM$11)</f>
        <v/>
      </c>
      <c r="AR291">
        <f>SUMPRODUCT((B24:B31&lt;=$B$6)*(C24:C31*AM291+D24:D31*AO291*$B$8*AQ291)/(1+AL291/100)^B24:B31)+C32*AM291*AP291/(1+AL291/100)^$B$6</f>
        <v/>
      </c>
      <c r="AS291">
        <f>SUMPRODUCT((K24:K26&lt;=$B$6)*(L24:L26*AN291+M24:M26*AO291*$B$8*AQ291)/(1+AL291/100)^K24:K26)+L27*AN291*AP291/(1+AL291/100)^$B$6</f>
        <v/>
      </c>
      <c r="AT291">
        <f>AS291-AR291</f>
        <v/>
      </c>
      <c r="AU291">
        <f>RAND()</f>
        <v/>
      </c>
      <c r="AV291">
        <f>RAND()</f>
        <v/>
      </c>
      <c r="AW291">
        <f>RAND()</f>
        <v/>
      </c>
      <c r="AX291">
        <f>RAND()</f>
        <v/>
      </c>
      <c r="AY291">
        <f>RAND()</f>
        <v/>
      </c>
      <c r="AZ291">
        <f>RAND()</f>
        <v/>
      </c>
    </row>
    <row r="292">
      <c r="AK292" t="n">
        <v>279</v>
      </c>
      <c r="AL292">
        <f>IFERROR(IF(AU292&lt;($AM$6-$AL$6)/($AN$6-$AL$6),$AL$6+SQRT(AU292*($AN$6-$AL$6)*($AM$6-$AL$6)),$AN$6-SQRT((1-AU292)*($AN$6-$AL$6)*($AN$6-$AM$6))),$AM$6)</f>
        <v/>
      </c>
      <c r="AM292">
        <f>IFERROR(IF(AV292&lt;($AM$7-$AL$7)/($AN$7-$AL$7),$AL$7+SQRT(AV292*($AN$7-$AL$7)*($AM$7-$AL$7)),$AN$7-SQRT((1-AV292)*($AN$7-$AL$7)*($AN$7-$AM$7))),$AM$7)</f>
        <v/>
      </c>
      <c r="AN292">
        <f>IFERROR(IF(AW292&lt;($AM$8-$AL$8)/($AN$8-$AL$8),$AL$8+SQRT(AW292*($AN$8-$AL$8)*($AM$8-$AL$8)),$AN$8-SQRT((1-AW292)*($AN$8-$AL$8)*($AN$8-$AM$8))),$AM$8)</f>
        <v/>
      </c>
      <c r="AO292">
        <f>IFERROR(IF(AX292&lt;($AM$9-$AL$9)/($AN$9-$AL$9),$AL$9+SQRT(AX292*($AN$9-$AL$9)*($AM$9-$AL$9)),$AN$9-SQRT((1-AX292)*($AN$9-$AL$9)*($AN$9-$AM$9))),$AM$9)</f>
        <v/>
      </c>
      <c r="AP292">
        <f>IFERROR(IF(AY292&lt;($AM$10-$AL$10)/($AN$10-$AL$10),$AL$10+SQRT(AY292*($AN$10-$AL$10)*($AM$10-$AL$10)),$AN$10-SQRT((1-AY292)*($AN$10-$AL$10)*($AN$10-$AM$10))),$AM$10)</f>
        <v/>
      </c>
      <c r="AQ292">
        <f>IFERROR(IF(AZ292&lt;($AM$11-$AL$11)/($AN$11-$AL$11),$AL$11+SQRT(AZ292*($AN$11-$AL$11)*($AM$11-$AL$11)),$AN$11-SQRT((1-AZ292)*($AN$11-$AL$11)*($AN$11-$AM$11))),$AM$11)</f>
        <v/>
      </c>
      <c r="AR292">
        <f>SUMPRODUCT((B24:B31&lt;=$B$6)*(C24:C31*AM292+D24:D31*AO292*$B$8*AQ292)/(1+AL292/100)^B24:B31)+C32*AM292*AP292/(1+AL292/100)^$B$6</f>
        <v/>
      </c>
      <c r="AS292">
        <f>SUMPRODUCT((K24:K26&lt;=$B$6)*(L24:L26*AN292+M24:M26*AO292*$B$8*AQ292)/(1+AL292/100)^K24:K26)+L27*AN292*AP292/(1+AL292/100)^$B$6</f>
        <v/>
      </c>
      <c r="AT292">
        <f>AS292-AR292</f>
        <v/>
      </c>
      <c r="AU292">
        <f>RAND()</f>
        <v/>
      </c>
      <c r="AV292">
        <f>RAND()</f>
        <v/>
      </c>
      <c r="AW292">
        <f>RAND()</f>
        <v/>
      </c>
      <c r="AX292">
        <f>RAND()</f>
        <v/>
      </c>
      <c r="AY292">
        <f>RAND()</f>
        <v/>
      </c>
      <c r="AZ292">
        <f>RAND()</f>
        <v/>
      </c>
    </row>
    <row r="293">
      <c r="AK293" t="n">
        <v>280</v>
      </c>
      <c r="AL293">
        <f>IFERROR(IF(AU293&lt;($AM$6-$AL$6)/($AN$6-$AL$6),$AL$6+SQRT(AU293*($AN$6-$AL$6)*($AM$6-$AL$6)),$AN$6-SQRT((1-AU293)*($AN$6-$AL$6)*($AN$6-$AM$6))),$AM$6)</f>
        <v/>
      </c>
      <c r="AM293">
        <f>IFERROR(IF(AV293&lt;($AM$7-$AL$7)/($AN$7-$AL$7),$AL$7+SQRT(AV293*($AN$7-$AL$7)*($AM$7-$AL$7)),$AN$7-SQRT((1-AV293)*($AN$7-$AL$7)*($AN$7-$AM$7))),$AM$7)</f>
        <v/>
      </c>
      <c r="AN293">
        <f>IFERROR(IF(AW293&lt;($AM$8-$AL$8)/($AN$8-$AL$8),$AL$8+SQRT(AW293*($AN$8-$AL$8)*($AM$8-$AL$8)),$AN$8-SQRT((1-AW293)*($AN$8-$AL$8)*($AN$8-$AM$8))),$AM$8)</f>
        <v/>
      </c>
      <c r="AO293">
        <f>IFERROR(IF(AX293&lt;($AM$9-$AL$9)/($AN$9-$AL$9),$AL$9+SQRT(AX293*($AN$9-$AL$9)*($AM$9-$AL$9)),$AN$9-SQRT((1-AX293)*($AN$9-$AL$9)*($AN$9-$AM$9))),$AM$9)</f>
        <v/>
      </c>
      <c r="AP293">
        <f>IFERROR(IF(AY293&lt;($AM$10-$AL$10)/($AN$10-$AL$10),$AL$10+SQRT(AY293*($AN$10-$AL$10)*($AM$10-$AL$10)),$AN$10-SQRT((1-AY293)*($AN$10-$AL$10)*($AN$10-$AM$10))),$AM$10)</f>
        <v/>
      </c>
      <c r="AQ293">
        <f>IFERROR(IF(AZ293&lt;($AM$11-$AL$11)/($AN$11-$AL$11),$AL$11+SQRT(AZ293*($AN$11-$AL$11)*($AM$11-$AL$11)),$AN$11-SQRT((1-AZ293)*($AN$11-$AL$11)*($AN$11-$AM$11))),$AM$11)</f>
        <v/>
      </c>
      <c r="AR293">
        <f>SUMPRODUCT((B24:B31&lt;=$B$6)*(C24:C31*AM293+D24:D31*AO293*$B$8*AQ293)/(1+AL293/100)^B24:B31)+C32*AM293*AP293/(1+AL293/100)^$B$6</f>
        <v/>
      </c>
      <c r="AS293">
        <f>SUMPRODUCT((K24:K26&lt;=$B$6)*(L24:L26*AN293+M24:M26*AO293*$B$8*AQ293)/(1+AL293/100)^K24:K26)+L27*AN293*AP293/(1+AL293/100)^$B$6</f>
        <v/>
      </c>
      <c r="AT293">
        <f>AS293-AR293</f>
        <v/>
      </c>
      <c r="AU293">
        <f>RAND()</f>
        <v/>
      </c>
      <c r="AV293">
        <f>RAND()</f>
        <v/>
      </c>
      <c r="AW293">
        <f>RAND()</f>
        <v/>
      </c>
      <c r="AX293">
        <f>RAND()</f>
        <v/>
      </c>
      <c r="AY293">
        <f>RAND()</f>
        <v/>
      </c>
      <c r="AZ293">
        <f>RAND()</f>
        <v/>
      </c>
    </row>
    <row r="294">
      <c r="AK294" t="n">
        <v>281</v>
      </c>
      <c r="AL294">
        <f>IFERROR(IF(AU294&lt;($AM$6-$AL$6)/($AN$6-$AL$6),$AL$6+SQRT(AU294*($AN$6-$AL$6)*($AM$6-$AL$6)),$AN$6-SQRT((1-AU294)*($AN$6-$AL$6)*($AN$6-$AM$6))),$AM$6)</f>
        <v/>
      </c>
      <c r="AM294">
        <f>IFERROR(IF(AV294&lt;($AM$7-$AL$7)/($AN$7-$AL$7),$AL$7+SQRT(AV294*($AN$7-$AL$7)*($AM$7-$AL$7)),$AN$7-SQRT((1-AV294)*($AN$7-$AL$7)*($AN$7-$AM$7))),$AM$7)</f>
        <v/>
      </c>
      <c r="AN294">
        <f>IFERROR(IF(AW294&lt;($AM$8-$AL$8)/($AN$8-$AL$8),$AL$8+SQRT(AW294*($AN$8-$AL$8)*($AM$8-$AL$8)),$AN$8-SQRT((1-AW294)*($AN$8-$AL$8)*($AN$8-$AM$8))),$AM$8)</f>
        <v/>
      </c>
      <c r="AO294">
        <f>IFERROR(IF(AX294&lt;($AM$9-$AL$9)/($AN$9-$AL$9),$AL$9+SQRT(AX294*($AN$9-$AL$9)*($AM$9-$AL$9)),$AN$9-SQRT((1-AX294)*($AN$9-$AL$9)*($AN$9-$AM$9))),$AM$9)</f>
        <v/>
      </c>
      <c r="AP294">
        <f>IFERROR(IF(AY294&lt;($AM$10-$AL$10)/($AN$10-$AL$10),$AL$10+SQRT(AY294*($AN$10-$AL$10)*($AM$10-$AL$10)),$AN$10-SQRT((1-AY294)*($AN$10-$AL$10)*($AN$10-$AM$10))),$AM$10)</f>
        <v/>
      </c>
      <c r="AQ294">
        <f>IFERROR(IF(AZ294&lt;($AM$11-$AL$11)/($AN$11-$AL$11),$AL$11+SQRT(AZ294*($AN$11-$AL$11)*($AM$11-$AL$11)),$AN$11-SQRT((1-AZ294)*($AN$11-$AL$11)*($AN$11-$AM$11))),$AM$11)</f>
        <v/>
      </c>
      <c r="AR294">
        <f>SUMPRODUCT((B24:B31&lt;=$B$6)*(C24:C31*AM294+D24:D31*AO294*$B$8*AQ294)/(1+AL294/100)^B24:B31)+C32*AM294*AP294/(1+AL294/100)^$B$6</f>
        <v/>
      </c>
      <c r="AS294">
        <f>SUMPRODUCT((K24:K26&lt;=$B$6)*(L24:L26*AN294+M24:M26*AO294*$B$8*AQ294)/(1+AL294/100)^K24:K26)+L27*AN294*AP294/(1+AL294/100)^$B$6</f>
        <v/>
      </c>
      <c r="AT294">
        <f>AS294-AR294</f>
        <v/>
      </c>
      <c r="AU294">
        <f>RAND()</f>
        <v/>
      </c>
      <c r="AV294">
        <f>RAND()</f>
        <v/>
      </c>
      <c r="AW294">
        <f>RAND()</f>
        <v/>
      </c>
      <c r="AX294">
        <f>RAND()</f>
        <v/>
      </c>
      <c r="AY294">
        <f>RAND()</f>
        <v/>
      </c>
      <c r="AZ294">
        <f>RAND()</f>
        <v/>
      </c>
    </row>
    <row r="295">
      <c r="AK295" t="n">
        <v>282</v>
      </c>
      <c r="AL295">
        <f>IFERROR(IF(AU295&lt;($AM$6-$AL$6)/($AN$6-$AL$6),$AL$6+SQRT(AU295*($AN$6-$AL$6)*($AM$6-$AL$6)),$AN$6-SQRT((1-AU295)*($AN$6-$AL$6)*($AN$6-$AM$6))),$AM$6)</f>
        <v/>
      </c>
      <c r="AM295">
        <f>IFERROR(IF(AV295&lt;($AM$7-$AL$7)/($AN$7-$AL$7),$AL$7+SQRT(AV295*($AN$7-$AL$7)*($AM$7-$AL$7)),$AN$7-SQRT((1-AV295)*($AN$7-$AL$7)*($AN$7-$AM$7))),$AM$7)</f>
        <v/>
      </c>
      <c r="AN295">
        <f>IFERROR(IF(AW295&lt;($AM$8-$AL$8)/($AN$8-$AL$8),$AL$8+SQRT(AW295*($AN$8-$AL$8)*($AM$8-$AL$8)),$AN$8-SQRT((1-AW295)*($AN$8-$AL$8)*($AN$8-$AM$8))),$AM$8)</f>
        <v/>
      </c>
      <c r="AO295">
        <f>IFERROR(IF(AX295&lt;($AM$9-$AL$9)/($AN$9-$AL$9),$AL$9+SQRT(AX295*($AN$9-$AL$9)*($AM$9-$AL$9)),$AN$9-SQRT((1-AX295)*($AN$9-$AL$9)*($AN$9-$AM$9))),$AM$9)</f>
        <v/>
      </c>
      <c r="AP295">
        <f>IFERROR(IF(AY295&lt;($AM$10-$AL$10)/($AN$10-$AL$10),$AL$10+SQRT(AY295*($AN$10-$AL$10)*($AM$10-$AL$10)),$AN$10-SQRT((1-AY295)*($AN$10-$AL$10)*($AN$10-$AM$10))),$AM$10)</f>
        <v/>
      </c>
      <c r="AQ295">
        <f>IFERROR(IF(AZ295&lt;($AM$11-$AL$11)/($AN$11-$AL$11),$AL$11+SQRT(AZ295*($AN$11-$AL$11)*($AM$11-$AL$11)),$AN$11-SQRT((1-AZ295)*($AN$11-$AL$11)*($AN$11-$AM$11))),$AM$11)</f>
        <v/>
      </c>
      <c r="AR295">
        <f>SUMPRODUCT((B24:B31&lt;=$B$6)*(C24:C31*AM295+D24:D31*AO295*$B$8*AQ295)/(1+AL295/100)^B24:B31)+C32*AM295*AP295/(1+AL295/100)^$B$6</f>
        <v/>
      </c>
      <c r="AS295">
        <f>SUMPRODUCT((K24:K26&lt;=$B$6)*(L24:L26*AN295+M24:M26*AO295*$B$8*AQ295)/(1+AL295/100)^K24:K26)+L27*AN295*AP295/(1+AL295/100)^$B$6</f>
        <v/>
      </c>
      <c r="AT295">
        <f>AS295-AR295</f>
        <v/>
      </c>
      <c r="AU295">
        <f>RAND()</f>
        <v/>
      </c>
      <c r="AV295">
        <f>RAND()</f>
        <v/>
      </c>
      <c r="AW295">
        <f>RAND()</f>
        <v/>
      </c>
      <c r="AX295">
        <f>RAND()</f>
        <v/>
      </c>
      <c r="AY295">
        <f>RAND()</f>
        <v/>
      </c>
      <c r="AZ295">
        <f>RAND()</f>
        <v/>
      </c>
    </row>
    <row r="296">
      <c r="AK296" t="n">
        <v>283</v>
      </c>
      <c r="AL296">
        <f>IFERROR(IF(AU296&lt;($AM$6-$AL$6)/($AN$6-$AL$6),$AL$6+SQRT(AU296*($AN$6-$AL$6)*($AM$6-$AL$6)),$AN$6-SQRT((1-AU296)*($AN$6-$AL$6)*($AN$6-$AM$6))),$AM$6)</f>
        <v/>
      </c>
      <c r="AM296">
        <f>IFERROR(IF(AV296&lt;($AM$7-$AL$7)/($AN$7-$AL$7),$AL$7+SQRT(AV296*($AN$7-$AL$7)*($AM$7-$AL$7)),$AN$7-SQRT((1-AV296)*($AN$7-$AL$7)*($AN$7-$AM$7))),$AM$7)</f>
        <v/>
      </c>
      <c r="AN296">
        <f>IFERROR(IF(AW296&lt;($AM$8-$AL$8)/($AN$8-$AL$8),$AL$8+SQRT(AW296*($AN$8-$AL$8)*($AM$8-$AL$8)),$AN$8-SQRT((1-AW296)*($AN$8-$AL$8)*($AN$8-$AM$8))),$AM$8)</f>
        <v/>
      </c>
      <c r="AO296">
        <f>IFERROR(IF(AX296&lt;($AM$9-$AL$9)/($AN$9-$AL$9),$AL$9+SQRT(AX296*($AN$9-$AL$9)*($AM$9-$AL$9)),$AN$9-SQRT((1-AX296)*($AN$9-$AL$9)*($AN$9-$AM$9))),$AM$9)</f>
        <v/>
      </c>
      <c r="AP296">
        <f>IFERROR(IF(AY296&lt;($AM$10-$AL$10)/($AN$10-$AL$10),$AL$10+SQRT(AY296*($AN$10-$AL$10)*($AM$10-$AL$10)),$AN$10-SQRT((1-AY296)*($AN$10-$AL$10)*($AN$10-$AM$10))),$AM$10)</f>
        <v/>
      </c>
      <c r="AQ296">
        <f>IFERROR(IF(AZ296&lt;($AM$11-$AL$11)/($AN$11-$AL$11),$AL$11+SQRT(AZ296*($AN$11-$AL$11)*($AM$11-$AL$11)),$AN$11-SQRT((1-AZ296)*($AN$11-$AL$11)*($AN$11-$AM$11))),$AM$11)</f>
        <v/>
      </c>
      <c r="AR296">
        <f>SUMPRODUCT((B24:B31&lt;=$B$6)*(C24:C31*AM296+D24:D31*AO296*$B$8*AQ296)/(1+AL296/100)^B24:B31)+C32*AM296*AP296/(1+AL296/100)^$B$6</f>
        <v/>
      </c>
      <c r="AS296">
        <f>SUMPRODUCT((K24:K26&lt;=$B$6)*(L24:L26*AN296+M24:M26*AO296*$B$8*AQ296)/(1+AL296/100)^K24:K26)+L27*AN296*AP296/(1+AL296/100)^$B$6</f>
        <v/>
      </c>
      <c r="AT296">
        <f>AS296-AR296</f>
        <v/>
      </c>
      <c r="AU296">
        <f>RAND()</f>
        <v/>
      </c>
      <c r="AV296">
        <f>RAND()</f>
        <v/>
      </c>
      <c r="AW296">
        <f>RAND()</f>
        <v/>
      </c>
      <c r="AX296">
        <f>RAND()</f>
        <v/>
      </c>
      <c r="AY296">
        <f>RAND()</f>
        <v/>
      </c>
      <c r="AZ296">
        <f>RAND()</f>
        <v/>
      </c>
    </row>
    <row r="297">
      <c r="AK297" t="n">
        <v>284</v>
      </c>
      <c r="AL297">
        <f>IFERROR(IF(AU297&lt;($AM$6-$AL$6)/($AN$6-$AL$6),$AL$6+SQRT(AU297*($AN$6-$AL$6)*($AM$6-$AL$6)),$AN$6-SQRT((1-AU297)*($AN$6-$AL$6)*($AN$6-$AM$6))),$AM$6)</f>
        <v/>
      </c>
      <c r="AM297">
        <f>IFERROR(IF(AV297&lt;($AM$7-$AL$7)/($AN$7-$AL$7),$AL$7+SQRT(AV297*($AN$7-$AL$7)*($AM$7-$AL$7)),$AN$7-SQRT((1-AV297)*($AN$7-$AL$7)*($AN$7-$AM$7))),$AM$7)</f>
        <v/>
      </c>
      <c r="AN297">
        <f>IFERROR(IF(AW297&lt;($AM$8-$AL$8)/($AN$8-$AL$8),$AL$8+SQRT(AW297*($AN$8-$AL$8)*($AM$8-$AL$8)),$AN$8-SQRT((1-AW297)*($AN$8-$AL$8)*($AN$8-$AM$8))),$AM$8)</f>
        <v/>
      </c>
      <c r="AO297">
        <f>IFERROR(IF(AX297&lt;($AM$9-$AL$9)/($AN$9-$AL$9),$AL$9+SQRT(AX297*($AN$9-$AL$9)*($AM$9-$AL$9)),$AN$9-SQRT((1-AX297)*($AN$9-$AL$9)*($AN$9-$AM$9))),$AM$9)</f>
        <v/>
      </c>
      <c r="AP297">
        <f>IFERROR(IF(AY297&lt;($AM$10-$AL$10)/($AN$10-$AL$10),$AL$10+SQRT(AY297*($AN$10-$AL$10)*($AM$10-$AL$10)),$AN$10-SQRT((1-AY297)*($AN$10-$AL$10)*($AN$10-$AM$10))),$AM$10)</f>
        <v/>
      </c>
      <c r="AQ297">
        <f>IFERROR(IF(AZ297&lt;($AM$11-$AL$11)/($AN$11-$AL$11),$AL$11+SQRT(AZ297*($AN$11-$AL$11)*($AM$11-$AL$11)),$AN$11-SQRT((1-AZ297)*($AN$11-$AL$11)*($AN$11-$AM$11))),$AM$11)</f>
        <v/>
      </c>
      <c r="AR297">
        <f>SUMPRODUCT((B24:B31&lt;=$B$6)*(C24:C31*AM297+D24:D31*AO297*$B$8*AQ297)/(1+AL297/100)^B24:B31)+C32*AM297*AP297/(1+AL297/100)^$B$6</f>
        <v/>
      </c>
      <c r="AS297">
        <f>SUMPRODUCT((K24:K26&lt;=$B$6)*(L24:L26*AN297+M24:M26*AO297*$B$8*AQ297)/(1+AL297/100)^K24:K26)+L27*AN297*AP297/(1+AL297/100)^$B$6</f>
        <v/>
      </c>
      <c r="AT297">
        <f>AS297-AR297</f>
        <v/>
      </c>
      <c r="AU297">
        <f>RAND()</f>
        <v/>
      </c>
      <c r="AV297">
        <f>RAND()</f>
        <v/>
      </c>
      <c r="AW297">
        <f>RAND()</f>
        <v/>
      </c>
      <c r="AX297">
        <f>RAND()</f>
        <v/>
      </c>
      <c r="AY297">
        <f>RAND()</f>
        <v/>
      </c>
      <c r="AZ297">
        <f>RAND()</f>
        <v/>
      </c>
    </row>
    <row r="298">
      <c r="AK298" t="n">
        <v>285</v>
      </c>
      <c r="AL298">
        <f>IFERROR(IF(AU298&lt;($AM$6-$AL$6)/($AN$6-$AL$6),$AL$6+SQRT(AU298*($AN$6-$AL$6)*($AM$6-$AL$6)),$AN$6-SQRT((1-AU298)*($AN$6-$AL$6)*($AN$6-$AM$6))),$AM$6)</f>
        <v/>
      </c>
      <c r="AM298">
        <f>IFERROR(IF(AV298&lt;($AM$7-$AL$7)/($AN$7-$AL$7),$AL$7+SQRT(AV298*($AN$7-$AL$7)*($AM$7-$AL$7)),$AN$7-SQRT((1-AV298)*($AN$7-$AL$7)*($AN$7-$AM$7))),$AM$7)</f>
        <v/>
      </c>
      <c r="AN298">
        <f>IFERROR(IF(AW298&lt;($AM$8-$AL$8)/($AN$8-$AL$8),$AL$8+SQRT(AW298*($AN$8-$AL$8)*($AM$8-$AL$8)),$AN$8-SQRT((1-AW298)*($AN$8-$AL$8)*($AN$8-$AM$8))),$AM$8)</f>
        <v/>
      </c>
      <c r="AO298">
        <f>IFERROR(IF(AX298&lt;($AM$9-$AL$9)/($AN$9-$AL$9),$AL$9+SQRT(AX298*($AN$9-$AL$9)*($AM$9-$AL$9)),$AN$9-SQRT((1-AX298)*($AN$9-$AL$9)*($AN$9-$AM$9))),$AM$9)</f>
        <v/>
      </c>
      <c r="AP298">
        <f>IFERROR(IF(AY298&lt;($AM$10-$AL$10)/($AN$10-$AL$10),$AL$10+SQRT(AY298*($AN$10-$AL$10)*($AM$10-$AL$10)),$AN$10-SQRT((1-AY298)*($AN$10-$AL$10)*($AN$10-$AM$10))),$AM$10)</f>
        <v/>
      </c>
      <c r="AQ298">
        <f>IFERROR(IF(AZ298&lt;($AM$11-$AL$11)/($AN$11-$AL$11),$AL$11+SQRT(AZ298*($AN$11-$AL$11)*($AM$11-$AL$11)),$AN$11-SQRT((1-AZ298)*($AN$11-$AL$11)*($AN$11-$AM$11))),$AM$11)</f>
        <v/>
      </c>
      <c r="AR298">
        <f>SUMPRODUCT((B24:B31&lt;=$B$6)*(C24:C31*AM298+D24:D31*AO298*$B$8*AQ298)/(1+AL298/100)^B24:B31)+C32*AM298*AP298/(1+AL298/100)^$B$6</f>
        <v/>
      </c>
      <c r="AS298">
        <f>SUMPRODUCT((K24:K26&lt;=$B$6)*(L24:L26*AN298+M24:M26*AO298*$B$8*AQ298)/(1+AL298/100)^K24:K26)+L27*AN298*AP298/(1+AL298/100)^$B$6</f>
        <v/>
      </c>
      <c r="AT298">
        <f>AS298-AR298</f>
        <v/>
      </c>
      <c r="AU298">
        <f>RAND()</f>
        <v/>
      </c>
      <c r="AV298">
        <f>RAND()</f>
        <v/>
      </c>
      <c r="AW298">
        <f>RAND()</f>
        <v/>
      </c>
      <c r="AX298">
        <f>RAND()</f>
        <v/>
      </c>
      <c r="AY298">
        <f>RAND()</f>
        <v/>
      </c>
      <c r="AZ298">
        <f>RAND()</f>
        <v/>
      </c>
    </row>
    <row r="299">
      <c r="AK299" t="n">
        <v>286</v>
      </c>
      <c r="AL299">
        <f>IFERROR(IF(AU299&lt;($AM$6-$AL$6)/($AN$6-$AL$6),$AL$6+SQRT(AU299*($AN$6-$AL$6)*($AM$6-$AL$6)),$AN$6-SQRT((1-AU299)*($AN$6-$AL$6)*($AN$6-$AM$6))),$AM$6)</f>
        <v/>
      </c>
      <c r="AM299">
        <f>IFERROR(IF(AV299&lt;($AM$7-$AL$7)/($AN$7-$AL$7),$AL$7+SQRT(AV299*($AN$7-$AL$7)*($AM$7-$AL$7)),$AN$7-SQRT((1-AV299)*($AN$7-$AL$7)*($AN$7-$AM$7))),$AM$7)</f>
        <v/>
      </c>
      <c r="AN299">
        <f>IFERROR(IF(AW299&lt;($AM$8-$AL$8)/($AN$8-$AL$8),$AL$8+SQRT(AW299*($AN$8-$AL$8)*($AM$8-$AL$8)),$AN$8-SQRT((1-AW299)*($AN$8-$AL$8)*($AN$8-$AM$8))),$AM$8)</f>
        <v/>
      </c>
      <c r="AO299">
        <f>IFERROR(IF(AX299&lt;($AM$9-$AL$9)/($AN$9-$AL$9),$AL$9+SQRT(AX299*($AN$9-$AL$9)*($AM$9-$AL$9)),$AN$9-SQRT((1-AX299)*($AN$9-$AL$9)*($AN$9-$AM$9))),$AM$9)</f>
        <v/>
      </c>
      <c r="AP299">
        <f>IFERROR(IF(AY299&lt;($AM$10-$AL$10)/($AN$10-$AL$10),$AL$10+SQRT(AY299*($AN$10-$AL$10)*($AM$10-$AL$10)),$AN$10-SQRT((1-AY299)*($AN$10-$AL$10)*($AN$10-$AM$10))),$AM$10)</f>
        <v/>
      </c>
      <c r="AQ299">
        <f>IFERROR(IF(AZ299&lt;($AM$11-$AL$11)/($AN$11-$AL$11),$AL$11+SQRT(AZ299*($AN$11-$AL$11)*($AM$11-$AL$11)),$AN$11-SQRT((1-AZ299)*($AN$11-$AL$11)*($AN$11-$AM$11))),$AM$11)</f>
        <v/>
      </c>
      <c r="AR299">
        <f>SUMPRODUCT((B24:B31&lt;=$B$6)*(C24:C31*AM299+D24:D31*AO299*$B$8*AQ299)/(1+AL299/100)^B24:B31)+C32*AM299*AP299/(1+AL299/100)^$B$6</f>
        <v/>
      </c>
      <c r="AS299">
        <f>SUMPRODUCT((K24:K26&lt;=$B$6)*(L24:L26*AN299+M24:M26*AO299*$B$8*AQ299)/(1+AL299/100)^K24:K26)+L27*AN299*AP299/(1+AL299/100)^$B$6</f>
        <v/>
      </c>
      <c r="AT299">
        <f>AS299-AR299</f>
        <v/>
      </c>
      <c r="AU299">
        <f>RAND()</f>
        <v/>
      </c>
      <c r="AV299">
        <f>RAND()</f>
        <v/>
      </c>
      <c r="AW299">
        <f>RAND()</f>
        <v/>
      </c>
      <c r="AX299">
        <f>RAND()</f>
        <v/>
      </c>
      <c r="AY299">
        <f>RAND()</f>
        <v/>
      </c>
      <c r="AZ299">
        <f>RAND()</f>
        <v/>
      </c>
    </row>
    <row r="300">
      <c r="AK300" t="n">
        <v>287</v>
      </c>
      <c r="AL300">
        <f>IFERROR(IF(AU300&lt;($AM$6-$AL$6)/($AN$6-$AL$6),$AL$6+SQRT(AU300*($AN$6-$AL$6)*($AM$6-$AL$6)),$AN$6-SQRT((1-AU300)*($AN$6-$AL$6)*($AN$6-$AM$6))),$AM$6)</f>
        <v/>
      </c>
      <c r="AM300">
        <f>IFERROR(IF(AV300&lt;($AM$7-$AL$7)/($AN$7-$AL$7),$AL$7+SQRT(AV300*($AN$7-$AL$7)*($AM$7-$AL$7)),$AN$7-SQRT((1-AV300)*($AN$7-$AL$7)*($AN$7-$AM$7))),$AM$7)</f>
        <v/>
      </c>
      <c r="AN300">
        <f>IFERROR(IF(AW300&lt;($AM$8-$AL$8)/($AN$8-$AL$8),$AL$8+SQRT(AW300*($AN$8-$AL$8)*($AM$8-$AL$8)),$AN$8-SQRT((1-AW300)*($AN$8-$AL$8)*($AN$8-$AM$8))),$AM$8)</f>
        <v/>
      </c>
      <c r="AO300">
        <f>IFERROR(IF(AX300&lt;($AM$9-$AL$9)/($AN$9-$AL$9),$AL$9+SQRT(AX300*($AN$9-$AL$9)*($AM$9-$AL$9)),$AN$9-SQRT((1-AX300)*($AN$9-$AL$9)*($AN$9-$AM$9))),$AM$9)</f>
        <v/>
      </c>
      <c r="AP300">
        <f>IFERROR(IF(AY300&lt;($AM$10-$AL$10)/($AN$10-$AL$10),$AL$10+SQRT(AY300*($AN$10-$AL$10)*($AM$10-$AL$10)),$AN$10-SQRT((1-AY300)*($AN$10-$AL$10)*($AN$10-$AM$10))),$AM$10)</f>
        <v/>
      </c>
      <c r="AQ300">
        <f>IFERROR(IF(AZ300&lt;($AM$11-$AL$11)/($AN$11-$AL$11),$AL$11+SQRT(AZ300*($AN$11-$AL$11)*($AM$11-$AL$11)),$AN$11-SQRT((1-AZ300)*($AN$11-$AL$11)*($AN$11-$AM$11))),$AM$11)</f>
        <v/>
      </c>
      <c r="AR300">
        <f>SUMPRODUCT((B24:B31&lt;=$B$6)*(C24:C31*AM300+D24:D31*AO300*$B$8*AQ300)/(1+AL300/100)^B24:B31)+C32*AM300*AP300/(1+AL300/100)^$B$6</f>
        <v/>
      </c>
      <c r="AS300">
        <f>SUMPRODUCT((K24:K26&lt;=$B$6)*(L24:L26*AN300+M24:M26*AO300*$B$8*AQ300)/(1+AL300/100)^K24:K26)+L27*AN300*AP300/(1+AL300/100)^$B$6</f>
        <v/>
      </c>
      <c r="AT300">
        <f>AS300-AR300</f>
        <v/>
      </c>
      <c r="AU300">
        <f>RAND()</f>
        <v/>
      </c>
      <c r="AV300">
        <f>RAND()</f>
        <v/>
      </c>
      <c r="AW300">
        <f>RAND()</f>
        <v/>
      </c>
      <c r="AX300">
        <f>RAND()</f>
        <v/>
      </c>
      <c r="AY300">
        <f>RAND()</f>
        <v/>
      </c>
      <c r="AZ300">
        <f>RAND()</f>
        <v/>
      </c>
    </row>
    <row r="301">
      <c r="AK301" t="n">
        <v>288</v>
      </c>
      <c r="AL301">
        <f>IFERROR(IF(AU301&lt;($AM$6-$AL$6)/($AN$6-$AL$6),$AL$6+SQRT(AU301*($AN$6-$AL$6)*($AM$6-$AL$6)),$AN$6-SQRT((1-AU301)*($AN$6-$AL$6)*($AN$6-$AM$6))),$AM$6)</f>
        <v/>
      </c>
      <c r="AM301">
        <f>IFERROR(IF(AV301&lt;($AM$7-$AL$7)/($AN$7-$AL$7),$AL$7+SQRT(AV301*($AN$7-$AL$7)*($AM$7-$AL$7)),$AN$7-SQRT((1-AV301)*($AN$7-$AL$7)*($AN$7-$AM$7))),$AM$7)</f>
        <v/>
      </c>
      <c r="AN301">
        <f>IFERROR(IF(AW301&lt;($AM$8-$AL$8)/($AN$8-$AL$8),$AL$8+SQRT(AW301*($AN$8-$AL$8)*($AM$8-$AL$8)),$AN$8-SQRT((1-AW301)*($AN$8-$AL$8)*($AN$8-$AM$8))),$AM$8)</f>
        <v/>
      </c>
      <c r="AO301">
        <f>IFERROR(IF(AX301&lt;($AM$9-$AL$9)/($AN$9-$AL$9),$AL$9+SQRT(AX301*($AN$9-$AL$9)*($AM$9-$AL$9)),$AN$9-SQRT((1-AX301)*($AN$9-$AL$9)*($AN$9-$AM$9))),$AM$9)</f>
        <v/>
      </c>
      <c r="AP301">
        <f>IFERROR(IF(AY301&lt;($AM$10-$AL$10)/($AN$10-$AL$10),$AL$10+SQRT(AY301*($AN$10-$AL$10)*($AM$10-$AL$10)),$AN$10-SQRT((1-AY301)*($AN$10-$AL$10)*($AN$10-$AM$10))),$AM$10)</f>
        <v/>
      </c>
      <c r="AQ301">
        <f>IFERROR(IF(AZ301&lt;($AM$11-$AL$11)/($AN$11-$AL$11),$AL$11+SQRT(AZ301*($AN$11-$AL$11)*($AM$11-$AL$11)),$AN$11-SQRT((1-AZ301)*($AN$11-$AL$11)*($AN$11-$AM$11))),$AM$11)</f>
        <v/>
      </c>
      <c r="AR301">
        <f>SUMPRODUCT((B24:B31&lt;=$B$6)*(C24:C31*AM301+D24:D31*AO301*$B$8*AQ301)/(1+AL301/100)^B24:B31)+C32*AM301*AP301/(1+AL301/100)^$B$6</f>
        <v/>
      </c>
      <c r="AS301">
        <f>SUMPRODUCT((K24:K26&lt;=$B$6)*(L24:L26*AN301+M24:M26*AO301*$B$8*AQ301)/(1+AL301/100)^K24:K26)+L27*AN301*AP301/(1+AL301/100)^$B$6</f>
        <v/>
      </c>
      <c r="AT301">
        <f>AS301-AR301</f>
        <v/>
      </c>
      <c r="AU301">
        <f>RAND()</f>
        <v/>
      </c>
      <c r="AV301">
        <f>RAND()</f>
        <v/>
      </c>
      <c r="AW301">
        <f>RAND()</f>
        <v/>
      </c>
      <c r="AX301">
        <f>RAND()</f>
        <v/>
      </c>
      <c r="AY301">
        <f>RAND()</f>
        <v/>
      </c>
      <c r="AZ301">
        <f>RAND()</f>
        <v/>
      </c>
    </row>
    <row r="302">
      <c r="AK302" t="n">
        <v>289</v>
      </c>
      <c r="AL302">
        <f>IFERROR(IF(AU302&lt;($AM$6-$AL$6)/($AN$6-$AL$6),$AL$6+SQRT(AU302*($AN$6-$AL$6)*($AM$6-$AL$6)),$AN$6-SQRT((1-AU302)*($AN$6-$AL$6)*($AN$6-$AM$6))),$AM$6)</f>
        <v/>
      </c>
      <c r="AM302">
        <f>IFERROR(IF(AV302&lt;($AM$7-$AL$7)/($AN$7-$AL$7),$AL$7+SQRT(AV302*($AN$7-$AL$7)*($AM$7-$AL$7)),$AN$7-SQRT((1-AV302)*($AN$7-$AL$7)*($AN$7-$AM$7))),$AM$7)</f>
        <v/>
      </c>
      <c r="AN302">
        <f>IFERROR(IF(AW302&lt;($AM$8-$AL$8)/($AN$8-$AL$8),$AL$8+SQRT(AW302*($AN$8-$AL$8)*($AM$8-$AL$8)),$AN$8-SQRT((1-AW302)*($AN$8-$AL$8)*($AN$8-$AM$8))),$AM$8)</f>
        <v/>
      </c>
      <c r="AO302">
        <f>IFERROR(IF(AX302&lt;($AM$9-$AL$9)/($AN$9-$AL$9),$AL$9+SQRT(AX302*($AN$9-$AL$9)*($AM$9-$AL$9)),$AN$9-SQRT((1-AX302)*($AN$9-$AL$9)*($AN$9-$AM$9))),$AM$9)</f>
        <v/>
      </c>
      <c r="AP302">
        <f>IFERROR(IF(AY302&lt;($AM$10-$AL$10)/($AN$10-$AL$10),$AL$10+SQRT(AY302*($AN$10-$AL$10)*($AM$10-$AL$10)),$AN$10-SQRT((1-AY302)*($AN$10-$AL$10)*($AN$10-$AM$10))),$AM$10)</f>
        <v/>
      </c>
      <c r="AQ302">
        <f>IFERROR(IF(AZ302&lt;($AM$11-$AL$11)/($AN$11-$AL$11),$AL$11+SQRT(AZ302*($AN$11-$AL$11)*($AM$11-$AL$11)),$AN$11-SQRT((1-AZ302)*($AN$11-$AL$11)*($AN$11-$AM$11))),$AM$11)</f>
        <v/>
      </c>
      <c r="AR302">
        <f>SUMPRODUCT((B24:B31&lt;=$B$6)*(C24:C31*AM302+D24:D31*AO302*$B$8*AQ302)/(1+AL302/100)^B24:B31)+C32*AM302*AP302/(1+AL302/100)^$B$6</f>
        <v/>
      </c>
      <c r="AS302">
        <f>SUMPRODUCT((K24:K26&lt;=$B$6)*(L24:L26*AN302+M24:M26*AO302*$B$8*AQ302)/(1+AL302/100)^K24:K26)+L27*AN302*AP302/(1+AL302/100)^$B$6</f>
        <v/>
      </c>
      <c r="AT302">
        <f>AS302-AR302</f>
        <v/>
      </c>
      <c r="AU302">
        <f>RAND()</f>
        <v/>
      </c>
      <c r="AV302">
        <f>RAND()</f>
        <v/>
      </c>
      <c r="AW302">
        <f>RAND()</f>
        <v/>
      </c>
      <c r="AX302">
        <f>RAND()</f>
        <v/>
      </c>
      <c r="AY302">
        <f>RAND()</f>
        <v/>
      </c>
      <c r="AZ302">
        <f>RAND()</f>
        <v/>
      </c>
    </row>
    <row r="303">
      <c r="AK303" t="n">
        <v>290</v>
      </c>
      <c r="AL303">
        <f>IFERROR(IF(AU303&lt;($AM$6-$AL$6)/($AN$6-$AL$6),$AL$6+SQRT(AU303*($AN$6-$AL$6)*($AM$6-$AL$6)),$AN$6-SQRT((1-AU303)*($AN$6-$AL$6)*($AN$6-$AM$6))),$AM$6)</f>
        <v/>
      </c>
      <c r="AM303">
        <f>IFERROR(IF(AV303&lt;($AM$7-$AL$7)/($AN$7-$AL$7),$AL$7+SQRT(AV303*($AN$7-$AL$7)*($AM$7-$AL$7)),$AN$7-SQRT((1-AV303)*($AN$7-$AL$7)*($AN$7-$AM$7))),$AM$7)</f>
        <v/>
      </c>
      <c r="AN303">
        <f>IFERROR(IF(AW303&lt;($AM$8-$AL$8)/($AN$8-$AL$8),$AL$8+SQRT(AW303*($AN$8-$AL$8)*($AM$8-$AL$8)),$AN$8-SQRT((1-AW303)*($AN$8-$AL$8)*($AN$8-$AM$8))),$AM$8)</f>
        <v/>
      </c>
      <c r="AO303">
        <f>IFERROR(IF(AX303&lt;($AM$9-$AL$9)/($AN$9-$AL$9),$AL$9+SQRT(AX303*($AN$9-$AL$9)*($AM$9-$AL$9)),$AN$9-SQRT((1-AX303)*($AN$9-$AL$9)*($AN$9-$AM$9))),$AM$9)</f>
        <v/>
      </c>
      <c r="AP303">
        <f>IFERROR(IF(AY303&lt;($AM$10-$AL$10)/($AN$10-$AL$10),$AL$10+SQRT(AY303*($AN$10-$AL$10)*($AM$10-$AL$10)),$AN$10-SQRT((1-AY303)*($AN$10-$AL$10)*($AN$10-$AM$10))),$AM$10)</f>
        <v/>
      </c>
      <c r="AQ303">
        <f>IFERROR(IF(AZ303&lt;($AM$11-$AL$11)/($AN$11-$AL$11),$AL$11+SQRT(AZ303*($AN$11-$AL$11)*($AM$11-$AL$11)),$AN$11-SQRT((1-AZ303)*($AN$11-$AL$11)*($AN$11-$AM$11))),$AM$11)</f>
        <v/>
      </c>
      <c r="AR303">
        <f>SUMPRODUCT((B24:B31&lt;=$B$6)*(C24:C31*AM303+D24:D31*AO303*$B$8*AQ303)/(1+AL303/100)^B24:B31)+C32*AM303*AP303/(1+AL303/100)^$B$6</f>
        <v/>
      </c>
      <c r="AS303">
        <f>SUMPRODUCT((K24:K26&lt;=$B$6)*(L24:L26*AN303+M24:M26*AO303*$B$8*AQ303)/(1+AL303/100)^K24:K26)+L27*AN303*AP303/(1+AL303/100)^$B$6</f>
        <v/>
      </c>
      <c r="AT303">
        <f>AS303-AR303</f>
        <v/>
      </c>
      <c r="AU303">
        <f>RAND()</f>
        <v/>
      </c>
      <c r="AV303">
        <f>RAND()</f>
        <v/>
      </c>
      <c r="AW303">
        <f>RAND()</f>
        <v/>
      </c>
      <c r="AX303">
        <f>RAND()</f>
        <v/>
      </c>
      <c r="AY303">
        <f>RAND()</f>
        <v/>
      </c>
      <c r="AZ303">
        <f>RAND()</f>
        <v/>
      </c>
    </row>
    <row r="304">
      <c r="AK304" t="n">
        <v>291</v>
      </c>
      <c r="AL304">
        <f>IFERROR(IF(AU304&lt;($AM$6-$AL$6)/($AN$6-$AL$6),$AL$6+SQRT(AU304*($AN$6-$AL$6)*($AM$6-$AL$6)),$AN$6-SQRT((1-AU304)*($AN$6-$AL$6)*($AN$6-$AM$6))),$AM$6)</f>
        <v/>
      </c>
      <c r="AM304">
        <f>IFERROR(IF(AV304&lt;($AM$7-$AL$7)/($AN$7-$AL$7),$AL$7+SQRT(AV304*($AN$7-$AL$7)*($AM$7-$AL$7)),$AN$7-SQRT((1-AV304)*($AN$7-$AL$7)*($AN$7-$AM$7))),$AM$7)</f>
        <v/>
      </c>
      <c r="AN304">
        <f>IFERROR(IF(AW304&lt;($AM$8-$AL$8)/($AN$8-$AL$8),$AL$8+SQRT(AW304*($AN$8-$AL$8)*($AM$8-$AL$8)),$AN$8-SQRT((1-AW304)*($AN$8-$AL$8)*($AN$8-$AM$8))),$AM$8)</f>
        <v/>
      </c>
      <c r="AO304">
        <f>IFERROR(IF(AX304&lt;($AM$9-$AL$9)/($AN$9-$AL$9),$AL$9+SQRT(AX304*($AN$9-$AL$9)*($AM$9-$AL$9)),$AN$9-SQRT((1-AX304)*($AN$9-$AL$9)*($AN$9-$AM$9))),$AM$9)</f>
        <v/>
      </c>
      <c r="AP304">
        <f>IFERROR(IF(AY304&lt;($AM$10-$AL$10)/($AN$10-$AL$10),$AL$10+SQRT(AY304*($AN$10-$AL$10)*($AM$10-$AL$10)),$AN$10-SQRT((1-AY304)*($AN$10-$AL$10)*($AN$10-$AM$10))),$AM$10)</f>
        <v/>
      </c>
      <c r="AQ304">
        <f>IFERROR(IF(AZ304&lt;($AM$11-$AL$11)/($AN$11-$AL$11),$AL$11+SQRT(AZ304*($AN$11-$AL$11)*($AM$11-$AL$11)),$AN$11-SQRT((1-AZ304)*($AN$11-$AL$11)*($AN$11-$AM$11))),$AM$11)</f>
        <v/>
      </c>
      <c r="AR304">
        <f>SUMPRODUCT((B24:B31&lt;=$B$6)*(C24:C31*AM304+D24:D31*AO304*$B$8*AQ304)/(1+AL304/100)^B24:B31)+C32*AM304*AP304/(1+AL304/100)^$B$6</f>
        <v/>
      </c>
      <c r="AS304">
        <f>SUMPRODUCT((K24:K26&lt;=$B$6)*(L24:L26*AN304+M24:M26*AO304*$B$8*AQ304)/(1+AL304/100)^K24:K26)+L27*AN304*AP304/(1+AL304/100)^$B$6</f>
        <v/>
      </c>
      <c r="AT304">
        <f>AS304-AR304</f>
        <v/>
      </c>
      <c r="AU304">
        <f>RAND()</f>
        <v/>
      </c>
      <c r="AV304">
        <f>RAND()</f>
        <v/>
      </c>
      <c r="AW304">
        <f>RAND()</f>
        <v/>
      </c>
      <c r="AX304">
        <f>RAND()</f>
        <v/>
      </c>
      <c r="AY304">
        <f>RAND()</f>
        <v/>
      </c>
      <c r="AZ304">
        <f>RAND()</f>
        <v/>
      </c>
    </row>
    <row r="305">
      <c r="AK305" t="n">
        <v>292</v>
      </c>
      <c r="AL305">
        <f>IFERROR(IF(AU305&lt;($AM$6-$AL$6)/($AN$6-$AL$6),$AL$6+SQRT(AU305*($AN$6-$AL$6)*($AM$6-$AL$6)),$AN$6-SQRT((1-AU305)*($AN$6-$AL$6)*($AN$6-$AM$6))),$AM$6)</f>
        <v/>
      </c>
      <c r="AM305">
        <f>IFERROR(IF(AV305&lt;($AM$7-$AL$7)/($AN$7-$AL$7),$AL$7+SQRT(AV305*($AN$7-$AL$7)*($AM$7-$AL$7)),$AN$7-SQRT((1-AV305)*($AN$7-$AL$7)*($AN$7-$AM$7))),$AM$7)</f>
        <v/>
      </c>
      <c r="AN305">
        <f>IFERROR(IF(AW305&lt;($AM$8-$AL$8)/($AN$8-$AL$8),$AL$8+SQRT(AW305*($AN$8-$AL$8)*($AM$8-$AL$8)),$AN$8-SQRT((1-AW305)*($AN$8-$AL$8)*($AN$8-$AM$8))),$AM$8)</f>
        <v/>
      </c>
      <c r="AO305">
        <f>IFERROR(IF(AX305&lt;($AM$9-$AL$9)/($AN$9-$AL$9),$AL$9+SQRT(AX305*($AN$9-$AL$9)*($AM$9-$AL$9)),$AN$9-SQRT((1-AX305)*($AN$9-$AL$9)*($AN$9-$AM$9))),$AM$9)</f>
        <v/>
      </c>
      <c r="AP305">
        <f>IFERROR(IF(AY305&lt;($AM$10-$AL$10)/($AN$10-$AL$10),$AL$10+SQRT(AY305*($AN$10-$AL$10)*($AM$10-$AL$10)),$AN$10-SQRT((1-AY305)*($AN$10-$AL$10)*($AN$10-$AM$10))),$AM$10)</f>
        <v/>
      </c>
      <c r="AQ305">
        <f>IFERROR(IF(AZ305&lt;($AM$11-$AL$11)/($AN$11-$AL$11),$AL$11+SQRT(AZ305*($AN$11-$AL$11)*($AM$11-$AL$11)),$AN$11-SQRT((1-AZ305)*($AN$11-$AL$11)*($AN$11-$AM$11))),$AM$11)</f>
        <v/>
      </c>
      <c r="AR305">
        <f>SUMPRODUCT((B24:B31&lt;=$B$6)*(C24:C31*AM305+D24:D31*AO305*$B$8*AQ305)/(1+AL305/100)^B24:B31)+C32*AM305*AP305/(1+AL305/100)^$B$6</f>
        <v/>
      </c>
      <c r="AS305">
        <f>SUMPRODUCT((K24:K26&lt;=$B$6)*(L24:L26*AN305+M24:M26*AO305*$B$8*AQ305)/(1+AL305/100)^K24:K26)+L27*AN305*AP305/(1+AL305/100)^$B$6</f>
        <v/>
      </c>
      <c r="AT305">
        <f>AS305-AR305</f>
        <v/>
      </c>
      <c r="AU305">
        <f>RAND()</f>
        <v/>
      </c>
      <c r="AV305">
        <f>RAND()</f>
        <v/>
      </c>
      <c r="AW305">
        <f>RAND()</f>
        <v/>
      </c>
      <c r="AX305">
        <f>RAND()</f>
        <v/>
      </c>
      <c r="AY305">
        <f>RAND()</f>
        <v/>
      </c>
      <c r="AZ305">
        <f>RAND()</f>
        <v/>
      </c>
    </row>
    <row r="306">
      <c r="AK306" t="n">
        <v>293</v>
      </c>
      <c r="AL306">
        <f>IFERROR(IF(AU306&lt;($AM$6-$AL$6)/($AN$6-$AL$6),$AL$6+SQRT(AU306*($AN$6-$AL$6)*($AM$6-$AL$6)),$AN$6-SQRT((1-AU306)*($AN$6-$AL$6)*($AN$6-$AM$6))),$AM$6)</f>
        <v/>
      </c>
      <c r="AM306">
        <f>IFERROR(IF(AV306&lt;($AM$7-$AL$7)/($AN$7-$AL$7),$AL$7+SQRT(AV306*($AN$7-$AL$7)*($AM$7-$AL$7)),$AN$7-SQRT((1-AV306)*($AN$7-$AL$7)*($AN$7-$AM$7))),$AM$7)</f>
        <v/>
      </c>
      <c r="AN306">
        <f>IFERROR(IF(AW306&lt;($AM$8-$AL$8)/($AN$8-$AL$8),$AL$8+SQRT(AW306*($AN$8-$AL$8)*($AM$8-$AL$8)),$AN$8-SQRT((1-AW306)*($AN$8-$AL$8)*($AN$8-$AM$8))),$AM$8)</f>
        <v/>
      </c>
      <c r="AO306">
        <f>IFERROR(IF(AX306&lt;($AM$9-$AL$9)/($AN$9-$AL$9),$AL$9+SQRT(AX306*($AN$9-$AL$9)*($AM$9-$AL$9)),$AN$9-SQRT((1-AX306)*($AN$9-$AL$9)*($AN$9-$AM$9))),$AM$9)</f>
        <v/>
      </c>
      <c r="AP306">
        <f>IFERROR(IF(AY306&lt;($AM$10-$AL$10)/($AN$10-$AL$10),$AL$10+SQRT(AY306*($AN$10-$AL$10)*($AM$10-$AL$10)),$AN$10-SQRT((1-AY306)*($AN$10-$AL$10)*($AN$10-$AM$10))),$AM$10)</f>
        <v/>
      </c>
      <c r="AQ306">
        <f>IFERROR(IF(AZ306&lt;($AM$11-$AL$11)/($AN$11-$AL$11),$AL$11+SQRT(AZ306*($AN$11-$AL$11)*($AM$11-$AL$11)),$AN$11-SQRT((1-AZ306)*($AN$11-$AL$11)*($AN$11-$AM$11))),$AM$11)</f>
        <v/>
      </c>
      <c r="AR306">
        <f>SUMPRODUCT((B24:B31&lt;=$B$6)*(C24:C31*AM306+D24:D31*AO306*$B$8*AQ306)/(1+AL306/100)^B24:B31)+C32*AM306*AP306/(1+AL306/100)^$B$6</f>
        <v/>
      </c>
      <c r="AS306">
        <f>SUMPRODUCT((K24:K26&lt;=$B$6)*(L24:L26*AN306+M24:M26*AO306*$B$8*AQ306)/(1+AL306/100)^K24:K26)+L27*AN306*AP306/(1+AL306/100)^$B$6</f>
        <v/>
      </c>
      <c r="AT306">
        <f>AS306-AR306</f>
        <v/>
      </c>
      <c r="AU306">
        <f>RAND()</f>
        <v/>
      </c>
      <c r="AV306">
        <f>RAND()</f>
        <v/>
      </c>
      <c r="AW306">
        <f>RAND()</f>
        <v/>
      </c>
      <c r="AX306">
        <f>RAND()</f>
        <v/>
      </c>
      <c r="AY306">
        <f>RAND()</f>
        <v/>
      </c>
      <c r="AZ306">
        <f>RAND()</f>
        <v/>
      </c>
    </row>
    <row r="307">
      <c r="AK307" t="n">
        <v>294</v>
      </c>
      <c r="AL307">
        <f>IFERROR(IF(AU307&lt;($AM$6-$AL$6)/($AN$6-$AL$6),$AL$6+SQRT(AU307*($AN$6-$AL$6)*($AM$6-$AL$6)),$AN$6-SQRT((1-AU307)*($AN$6-$AL$6)*($AN$6-$AM$6))),$AM$6)</f>
        <v/>
      </c>
      <c r="AM307">
        <f>IFERROR(IF(AV307&lt;($AM$7-$AL$7)/($AN$7-$AL$7),$AL$7+SQRT(AV307*($AN$7-$AL$7)*($AM$7-$AL$7)),$AN$7-SQRT((1-AV307)*($AN$7-$AL$7)*($AN$7-$AM$7))),$AM$7)</f>
        <v/>
      </c>
      <c r="AN307">
        <f>IFERROR(IF(AW307&lt;($AM$8-$AL$8)/($AN$8-$AL$8),$AL$8+SQRT(AW307*($AN$8-$AL$8)*($AM$8-$AL$8)),$AN$8-SQRT((1-AW307)*($AN$8-$AL$8)*($AN$8-$AM$8))),$AM$8)</f>
        <v/>
      </c>
      <c r="AO307">
        <f>IFERROR(IF(AX307&lt;($AM$9-$AL$9)/($AN$9-$AL$9),$AL$9+SQRT(AX307*($AN$9-$AL$9)*($AM$9-$AL$9)),$AN$9-SQRT((1-AX307)*($AN$9-$AL$9)*($AN$9-$AM$9))),$AM$9)</f>
        <v/>
      </c>
      <c r="AP307">
        <f>IFERROR(IF(AY307&lt;($AM$10-$AL$10)/($AN$10-$AL$10),$AL$10+SQRT(AY307*($AN$10-$AL$10)*($AM$10-$AL$10)),$AN$10-SQRT((1-AY307)*($AN$10-$AL$10)*($AN$10-$AM$10))),$AM$10)</f>
        <v/>
      </c>
      <c r="AQ307">
        <f>IFERROR(IF(AZ307&lt;($AM$11-$AL$11)/($AN$11-$AL$11),$AL$11+SQRT(AZ307*($AN$11-$AL$11)*($AM$11-$AL$11)),$AN$11-SQRT((1-AZ307)*($AN$11-$AL$11)*($AN$11-$AM$11))),$AM$11)</f>
        <v/>
      </c>
      <c r="AR307">
        <f>SUMPRODUCT((B24:B31&lt;=$B$6)*(C24:C31*AM307+D24:D31*AO307*$B$8*AQ307)/(1+AL307/100)^B24:B31)+C32*AM307*AP307/(1+AL307/100)^$B$6</f>
        <v/>
      </c>
      <c r="AS307">
        <f>SUMPRODUCT((K24:K26&lt;=$B$6)*(L24:L26*AN307+M24:M26*AO307*$B$8*AQ307)/(1+AL307/100)^K24:K26)+L27*AN307*AP307/(1+AL307/100)^$B$6</f>
        <v/>
      </c>
      <c r="AT307">
        <f>AS307-AR307</f>
        <v/>
      </c>
      <c r="AU307">
        <f>RAND()</f>
        <v/>
      </c>
      <c r="AV307">
        <f>RAND()</f>
        <v/>
      </c>
      <c r="AW307">
        <f>RAND()</f>
        <v/>
      </c>
      <c r="AX307">
        <f>RAND()</f>
        <v/>
      </c>
      <c r="AY307">
        <f>RAND()</f>
        <v/>
      </c>
      <c r="AZ307">
        <f>RAND()</f>
        <v/>
      </c>
    </row>
    <row r="308">
      <c r="AK308" t="n">
        <v>295</v>
      </c>
      <c r="AL308">
        <f>IFERROR(IF(AU308&lt;($AM$6-$AL$6)/($AN$6-$AL$6),$AL$6+SQRT(AU308*($AN$6-$AL$6)*($AM$6-$AL$6)),$AN$6-SQRT((1-AU308)*($AN$6-$AL$6)*($AN$6-$AM$6))),$AM$6)</f>
        <v/>
      </c>
      <c r="AM308">
        <f>IFERROR(IF(AV308&lt;($AM$7-$AL$7)/($AN$7-$AL$7),$AL$7+SQRT(AV308*($AN$7-$AL$7)*($AM$7-$AL$7)),$AN$7-SQRT((1-AV308)*($AN$7-$AL$7)*($AN$7-$AM$7))),$AM$7)</f>
        <v/>
      </c>
      <c r="AN308">
        <f>IFERROR(IF(AW308&lt;($AM$8-$AL$8)/($AN$8-$AL$8),$AL$8+SQRT(AW308*($AN$8-$AL$8)*($AM$8-$AL$8)),$AN$8-SQRT((1-AW308)*($AN$8-$AL$8)*($AN$8-$AM$8))),$AM$8)</f>
        <v/>
      </c>
      <c r="AO308">
        <f>IFERROR(IF(AX308&lt;($AM$9-$AL$9)/($AN$9-$AL$9),$AL$9+SQRT(AX308*($AN$9-$AL$9)*($AM$9-$AL$9)),$AN$9-SQRT((1-AX308)*($AN$9-$AL$9)*($AN$9-$AM$9))),$AM$9)</f>
        <v/>
      </c>
      <c r="AP308">
        <f>IFERROR(IF(AY308&lt;($AM$10-$AL$10)/($AN$10-$AL$10),$AL$10+SQRT(AY308*($AN$10-$AL$10)*($AM$10-$AL$10)),$AN$10-SQRT((1-AY308)*($AN$10-$AL$10)*($AN$10-$AM$10))),$AM$10)</f>
        <v/>
      </c>
      <c r="AQ308">
        <f>IFERROR(IF(AZ308&lt;($AM$11-$AL$11)/($AN$11-$AL$11),$AL$11+SQRT(AZ308*($AN$11-$AL$11)*($AM$11-$AL$11)),$AN$11-SQRT((1-AZ308)*($AN$11-$AL$11)*($AN$11-$AM$11))),$AM$11)</f>
        <v/>
      </c>
      <c r="AR308">
        <f>SUMPRODUCT((B24:B31&lt;=$B$6)*(C24:C31*AM308+D24:D31*AO308*$B$8*AQ308)/(1+AL308/100)^B24:B31)+C32*AM308*AP308/(1+AL308/100)^$B$6</f>
        <v/>
      </c>
      <c r="AS308">
        <f>SUMPRODUCT((K24:K26&lt;=$B$6)*(L24:L26*AN308+M24:M26*AO308*$B$8*AQ308)/(1+AL308/100)^K24:K26)+L27*AN308*AP308/(1+AL308/100)^$B$6</f>
        <v/>
      </c>
      <c r="AT308">
        <f>AS308-AR308</f>
        <v/>
      </c>
      <c r="AU308">
        <f>RAND()</f>
        <v/>
      </c>
      <c r="AV308">
        <f>RAND()</f>
        <v/>
      </c>
      <c r="AW308">
        <f>RAND()</f>
        <v/>
      </c>
      <c r="AX308">
        <f>RAND()</f>
        <v/>
      </c>
      <c r="AY308">
        <f>RAND()</f>
        <v/>
      </c>
      <c r="AZ308">
        <f>RAND()</f>
        <v/>
      </c>
    </row>
    <row r="309">
      <c r="AK309" t="n">
        <v>296</v>
      </c>
      <c r="AL309">
        <f>IFERROR(IF(AU309&lt;($AM$6-$AL$6)/($AN$6-$AL$6),$AL$6+SQRT(AU309*($AN$6-$AL$6)*($AM$6-$AL$6)),$AN$6-SQRT((1-AU309)*($AN$6-$AL$6)*($AN$6-$AM$6))),$AM$6)</f>
        <v/>
      </c>
      <c r="AM309">
        <f>IFERROR(IF(AV309&lt;($AM$7-$AL$7)/($AN$7-$AL$7),$AL$7+SQRT(AV309*($AN$7-$AL$7)*($AM$7-$AL$7)),$AN$7-SQRT((1-AV309)*($AN$7-$AL$7)*($AN$7-$AM$7))),$AM$7)</f>
        <v/>
      </c>
      <c r="AN309">
        <f>IFERROR(IF(AW309&lt;($AM$8-$AL$8)/($AN$8-$AL$8),$AL$8+SQRT(AW309*($AN$8-$AL$8)*($AM$8-$AL$8)),$AN$8-SQRT((1-AW309)*($AN$8-$AL$8)*($AN$8-$AM$8))),$AM$8)</f>
        <v/>
      </c>
      <c r="AO309">
        <f>IFERROR(IF(AX309&lt;($AM$9-$AL$9)/($AN$9-$AL$9),$AL$9+SQRT(AX309*($AN$9-$AL$9)*($AM$9-$AL$9)),$AN$9-SQRT((1-AX309)*($AN$9-$AL$9)*($AN$9-$AM$9))),$AM$9)</f>
        <v/>
      </c>
      <c r="AP309">
        <f>IFERROR(IF(AY309&lt;($AM$10-$AL$10)/($AN$10-$AL$10),$AL$10+SQRT(AY309*($AN$10-$AL$10)*($AM$10-$AL$10)),$AN$10-SQRT((1-AY309)*($AN$10-$AL$10)*($AN$10-$AM$10))),$AM$10)</f>
        <v/>
      </c>
      <c r="AQ309">
        <f>IFERROR(IF(AZ309&lt;($AM$11-$AL$11)/($AN$11-$AL$11),$AL$11+SQRT(AZ309*($AN$11-$AL$11)*($AM$11-$AL$11)),$AN$11-SQRT((1-AZ309)*($AN$11-$AL$11)*($AN$11-$AM$11))),$AM$11)</f>
        <v/>
      </c>
      <c r="AR309">
        <f>SUMPRODUCT((B24:B31&lt;=$B$6)*(C24:C31*AM309+D24:D31*AO309*$B$8*AQ309)/(1+AL309/100)^B24:B31)+C32*AM309*AP309/(1+AL309/100)^$B$6</f>
        <v/>
      </c>
      <c r="AS309">
        <f>SUMPRODUCT((K24:K26&lt;=$B$6)*(L24:L26*AN309+M24:M26*AO309*$B$8*AQ309)/(1+AL309/100)^K24:K26)+L27*AN309*AP309/(1+AL309/100)^$B$6</f>
        <v/>
      </c>
      <c r="AT309">
        <f>AS309-AR309</f>
        <v/>
      </c>
      <c r="AU309">
        <f>RAND()</f>
        <v/>
      </c>
      <c r="AV309">
        <f>RAND()</f>
        <v/>
      </c>
      <c r="AW309">
        <f>RAND()</f>
        <v/>
      </c>
      <c r="AX309">
        <f>RAND()</f>
        <v/>
      </c>
      <c r="AY309">
        <f>RAND()</f>
        <v/>
      </c>
      <c r="AZ309">
        <f>RAND()</f>
        <v/>
      </c>
    </row>
    <row r="310">
      <c r="AK310" t="n">
        <v>297</v>
      </c>
      <c r="AL310">
        <f>IFERROR(IF(AU310&lt;($AM$6-$AL$6)/($AN$6-$AL$6),$AL$6+SQRT(AU310*($AN$6-$AL$6)*($AM$6-$AL$6)),$AN$6-SQRT((1-AU310)*($AN$6-$AL$6)*($AN$6-$AM$6))),$AM$6)</f>
        <v/>
      </c>
      <c r="AM310">
        <f>IFERROR(IF(AV310&lt;($AM$7-$AL$7)/($AN$7-$AL$7),$AL$7+SQRT(AV310*($AN$7-$AL$7)*($AM$7-$AL$7)),$AN$7-SQRT((1-AV310)*($AN$7-$AL$7)*($AN$7-$AM$7))),$AM$7)</f>
        <v/>
      </c>
      <c r="AN310">
        <f>IFERROR(IF(AW310&lt;($AM$8-$AL$8)/($AN$8-$AL$8),$AL$8+SQRT(AW310*($AN$8-$AL$8)*($AM$8-$AL$8)),$AN$8-SQRT((1-AW310)*($AN$8-$AL$8)*($AN$8-$AM$8))),$AM$8)</f>
        <v/>
      </c>
      <c r="AO310">
        <f>IFERROR(IF(AX310&lt;($AM$9-$AL$9)/($AN$9-$AL$9),$AL$9+SQRT(AX310*($AN$9-$AL$9)*($AM$9-$AL$9)),$AN$9-SQRT((1-AX310)*($AN$9-$AL$9)*($AN$9-$AM$9))),$AM$9)</f>
        <v/>
      </c>
      <c r="AP310">
        <f>IFERROR(IF(AY310&lt;($AM$10-$AL$10)/($AN$10-$AL$10),$AL$10+SQRT(AY310*($AN$10-$AL$10)*($AM$10-$AL$10)),$AN$10-SQRT((1-AY310)*($AN$10-$AL$10)*($AN$10-$AM$10))),$AM$10)</f>
        <v/>
      </c>
      <c r="AQ310">
        <f>IFERROR(IF(AZ310&lt;($AM$11-$AL$11)/($AN$11-$AL$11),$AL$11+SQRT(AZ310*($AN$11-$AL$11)*($AM$11-$AL$11)),$AN$11-SQRT((1-AZ310)*($AN$11-$AL$11)*($AN$11-$AM$11))),$AM$11)</f>
        <v/>
      </c>
      <c r="AR310">
        <f>SUMPRODUCT((B24:B31&lt;=$B$6)*(C24:C31*AM310+D24:D31*AO310*$B$8*AQ310)/(1+AL310/100)^B24:B31)+C32*AM310*AP310/(1+AL310/100)^$B$6</f>
        <v/>
      </c>
      <c r="AS310">
        <f>SUMPRODUCT((K24:K26&lt;=$B$6)*(L24:L26*AN310+M24:M26*AO310*$B$8*AQ310)/(1+AL310/100)^K24:K26)+L27*AN310*AP310/(1+AL310/100)^$B$6</f>
        <v/>
      </c>
      <c r="AT310">
        <f>AS310-AR310</f>
        <v/>
      </c>
      <c r="AU310">
        <f>RAND()</f>
        <v/>
      </c>
      <c r="AV310">
        <f>RAND()</f>
        <v/>
      </c>
      <c r="AW310">
        <f>RAND()</f>
        <v/>
      </c>
      <c r="AX310">
        <f>RAND()</f>
        <v/>
      </c>
      <c r="AY310">
        <f>RAND()</f>
        <v/>
      </c>
      <c r="AZ310">
        <f>RAND()</f>
        <v/>
      </c>
    </row>
    <row r="311">
      <c r="AK311" t="n">
        <v>298</v>
      </c>
      <c r="AL311">
        <f>IFERROR(IF(AU311&lt;($AM$6-$AL$6)/($AN$6-$AL$6),$AL$6+SQRT(AU311*($AN$6-$AL$6)*($AM$6-$AL$6)),$AN$6-SQRT((1-AU311)*($AN$6-$AL$6)*($AN$6-$AM$6))),$AM$6)</f>
        <v/>
      </c>
      <c r="AM311">
        <f>IFERROR(IF(AV311&lt;($AM$7-$AL$7)/($AN$7-$AL$7),$AL$7+SQRT(AV311*($AN$7-$AL$7)*($AM$7-$AL$7)),$AN$7-SQRT((1-AV311)*($AN$7-$AL$7)*($AN$7-$AM$7))),$AM$7)</f>
        <v/>
      </c>
      <c r="AN311">
        <f>IFERROR(IF(AW311&lt;($AM$8-$AL$8)/($AN$8-$AL$8),$AL$8+SQRT(AW311*($AN$8-$AL$8)*($AM$8-$AL$8)),$AN$8-SQRT((1-AW311)*($AN$8-$AL$8)*($AN$8-$AM$8))),$AM$8)</f>
        <v/>
      </c>
      <c r="AO311">
        <f>IFERROR(IF(AX311&lt;($AM$9-$AL$9)/($AN$9-$AL$9),$AL$9+SQRT(AX311*($AN$9-$AL$9)*($AM$9-$AL$9)),$AN$9-SQRT((1-AX311)*($AN$9-$AL$9)*($AN$9-$AM$9))),$AM$9)</f>
        <v/>
      </c>
      <c r="AP311">
        <f>IFERROR(IF(AY311&lt;($AM$10-$AL$10)/($AN$10-$AL$10),$AL$10+SQRT(AY311*($AN$10-$AL$10)*($AM$10-$AL$10)),$AN$10-SQRT((1-AY311)*($AN$10-$AL$10)*($AN$10-$AM$10))),$AM$10)</f>
        <v/>
      </c>
      <c r="AQ311">
        <f>IFERROR(IF(AZ311&lt;($AM$11-$AL$11)/($AN$11-$AL$11),$AL$11+SQRT(AZ311*($AN$11-$AL$11)*($AM$11-$AL$11)),$AN$11-SQRT((1-AZ311)*($AN$11-$AL$11)*($AN$11-$AM$11))),$AM$11)</f>
        <v/>
      </c>
      <c r="AR311">
        <f>SUMPRODUCT((B24:B31&lt;=$B$6)*(C24:C31*AM311+D24:D31*AO311*$B$8*AQ311)/(1+AL311/100)^B24:B31)+C32*AM311*AP311/(1+AL311/100)^$B$6</f>
        <v/>
      </c>
      <c r="AS311">
        <f>SUMPRODUCT((K24:K26&lt;=$B$6)*(L24:L26*AN311+M24:M26*AO311*$B$8*AQ311)/(1+AL311/100)^K24:K26)+L27*AN311*AP311/(1+AL311/100)^$B$6</f>
        <v/>
      </c>
      <c r="AT311">
        <f>AS311-AR311</f>
        <v/>
      </c>
      <c r="AU311">
        <f>RAND()</f>
        <v/>
      </c>
      <c r="AV311">
        <f>RAND()</f>
        <v/>
      </c>
      <c r="AW311">
        <f>RAND()</f>
        <v/>
      </c>
      <c r="AX311">
        <f>RAND()</f>
        <v/>
      </c>
      <c r="AY311">
        <f>RAND()</f>
        <v/>
      </c>
      <c r="AZ311">
        <f>RAND()</f>
        <v/>
      </c>
    </row>
    <row r="312">
      <c r="AK312" t="n">
        <v>299</v>
      </c>
      <c r="AL312">
        <f>IFERROR(IF(AU312&lt;($AM$6-$AL$6)/($AN$6-$AL$6),$AL$6+SQRT(AU312*($AN$6-$AL$6)*($AM$6-$AL$6)),$AN$6-SQRT((1-AU312)*($AN$6-$AL$6)*($AN$6-$AM$6))),$AM$6)</f>
        <v/>
      </c>
      <c r="AM312">
        <f>IFERROR(IF(AV312&lt;($AM$7-$AL$7)/($AN$7-$AL$7),$AL$7+SQRT(AV312*($AN$7-$AL$7)*($AM$7-$AL$7)),$AN$7-SQRT((1-AV312)*($AN$7-$AL$7)*($AN$7-$AM$7))),$AM$7)</f>
        <v/>
      </c>
      <c r="AN312">
        <f>IFERROR(IF(AW312&lt;($AM$8-$AL$8)/($AN$8-$AL$8),$AL$8+SQRT(AW312*($AN$8-$AL$8)*($AM$8-$AL$8)),$AN$8-SQRT((1-AW312)*($AN$8-$AL$8)*($AN$8-$AM$8))),$AM$8)</f>
        <v/>
      </c>
      <c r="AO312">
        <f>IFERROR(IF(AX312&lt;($AM$9-$AL$9)/($AN$9-$AL$9),$AL$9+SQRT(AX312*($AN$9-$AL$9)*($AM$9-$AL$9)),$AN$9-SQRT((1-AX312)*($AN$9-$AL$9)*($AN$9-$AM$9))),$AM$9)</f>
        <v/>
      </c>
      <c r="AP312">
        <f>IFERROR(IF(AY312&lt;($AM$10-$AL$10)/($AN$10-$AL$10),$AL$10+SQRT(AY312*($AN$10-$AL$10)*($AM$10-$AL$10)),$AN$10-SQRT((1-AY312)*($AN$10-$AL$10)*($AN$10-$AM$10))),$AM$10)</f>
        <v/>
      </c>
      <c r="AQ312">
        <f>IFERROR(IF(AZ312&lt;($AM$11-$AL$11)/($AN$11-$AL$11),$AL$11+SQRT(AZ312*($AN$11-$AL$11)*($AM$11-$AL$11)),$AN$11-SQRT((1-AZ312)*($AN$11-$AL$11)*($AN$11-$AM$11))),$AM$11)</f>
        <v/>
      </c>
      <c r="AR312">
        <f>SUMPRODUCT((B24:B31&lt;=$B$6)*(C24:C31*AM312+D24:D31*AO312*$B$8*AQ312)/(1+AL312/100)^B24:B31)+C32*AM312*AP312/(1+AL312/100)^$B$6</f>
        <v/>
      </c>
      <c r="AS312">
        <f>SUMPRODUCT((K24:K26&lt;=$B$6)*(L24:L26*AN312+M24:M26*AO312*$B$8*AQ312)/(1+AL312/100)^K24:K26)+L27*AN312*AP312/(1+AL312/100)^$B$6</f>
        <v/>
      </c>
      <c r="AT312">
        <f>AS312-AR312</f>
        <v/>
      </c>
      <c r="AU312">
        <f>RAND()</f>
        <v/>
      </c>
      <c r="AV312">
        <f>RAND()</f>
        <v/>
      </c>
      <c r="AW312">
        <f>RAND()</f>
        <v/>
      </c>
      <c r="AX312">
        <f>RAND()</f>
        <v/>
      </c>
      <c r="AY312">
        <f>RAND()</f>
        <v/>
      </c>
      <c r="AZ312">
        <f>RAND()</f>
        <v/>
      </c>
    </row>
    <row r="313">
      <c r="AK313" t="n">
        <v>300</v>
      </c>
      <c r="AL313">
        <f>IFERROR(IF(AU313&lt;($AM$6-$AL$6)/($AN$6-$AL$6),$AL$6+SQRT(AU313*($AN$6-$AL$6)*($AM$6-$AL$6)),$AN$6-SQRT((1-AU313)*($AN$6-$AL$6)*($AN$6-$AM$6))),$AM$6)</f>
        <v/>
      </c>
      <c r="AM313">
        <f>IFERROR(IF(AV313&lt;($AM$7-$AL$7)/($AN$7-$AL$7),$AL$7+SQRT(AV313*($AN$7-$AL$7)*($AM$7-$AL$7)),$AN$7-SQRT((1-AV313)*($AN$7-$AL$7)*($AN$7-$AM$7))),$AM$7)</f>
        <v/>
      </c>
      <c r="AN313">
        <f>IFERROR(IF(AW313&lt;($AM$8-$AL$8)/($AN$8-$AL$8),$AL$8+SQRT(AW313*($AN$8-$AL$8)*($AM$8-$AL$8)),$AN$8-SQRT((1-AW313)*($AN$8-$AL$8)*($AN$8-$AM$8))),$AM$8)</f>
        <v/>
      </c>
      <c r="AO313">
        <f>IFERROR(IF(AX313&lt;($AM$9-$AL$9)/($AN$9-$AL$9),$AL$9+SQRT(AX313*($AN$9-$AL$9)*($AM$9-$AL$9)),$AN$9-SQRT((1-AX313)*($AN$9-$AL$9)*($AN$9-$AM$9))),$AM$9)</f>
        <v/>
      </c>
      <c r="AP313">
        <f>IFERROR(IF(AY313&lt;($AM$10-$AL$10)/($AN$10-$AL$10),$AL$10+SQRT(AY313*($AN$10-$AL$10)*($AM$10-$AL$10)),$AN$10-SQRT((1-AY313)*($AN$10-$AL$10)*($AN$10-$AM$10))),$AM$10)</f>
        <v/>
      </c>
      <c r="AQ313">
        <f>IFERROR(IF(AZ313&lt;($AM$11-$AL$11)/($AN$11-$AL$11),$AL$11+SQRT(AZ313*($AN$11-$AL$11)*($AM$11-$AL$11)),$AN$11-SQRT((1-AZ313)*($AN$11-$AL$11)*($AN$11-$AM$11))),$AM$11)</f>
        <v/>
      </c>
      <c r="AR313">
        <f>SUMPRODUCT((B24:B31&lt;=$B$6)*(C24:C31*AM313+D24:D31*AO313*$B$8*AQ313)/(1+AL313/100)^B24:B31)+C32*AM313*AP313/(1+AL313/100)^$B$6</f>
        <v/>
      </c>
      <c r="AS313">
        <f>SUMPRODUCT((K24:K26&lt;=$B$6)*(L24:L26*AN313+M24:M26*AO313*$B$8*AQ313)/(1+AL313/100)^K24:K26)+L27*AN313*AP313/(1+AL313/100)^$B$6</f>
        <v/>
      </c>
      <c r="AT313">
        <f>AS313-AR313</f>
        <v/>
      </c>
      <c r="AU313">
        <f>RAND()</f>
        <v/>
      </c>
      <c r="AV313">
        <f>RAND()</f>
        <v/>
      </c>
      <c r="AW313">
        <f>RAND()</f>
        <v/>
      </c>
      <c r="AX313">
        <f>RAND()</f>
        <v/>
      </c>
      <c r="AY313">
        <f>RAND()</f>
        <v/>
      </c>
      <c r="AZ313">
        <f>RAND()</f>
        <v/>
      </c>
    </row>
    <row r="314">
      <c r="AK314" t="n">
        <v>301</v>
      </c>
      <c r="AL314">
        <f>IFERROR(IF(AU314&lt;($AM$6-$AL$6)/($AN$6-$AL$6),$AL$6+SQRT(AU314*($AN$6-$AL$6)*($AM$6-$AL$6)),$AN$6-SQRT((1-AU314)*($AN$6-$AL$6)*($AN$6-$AM$6))),$AM$6)</f>
        <v/>
      </c>
      <c r="AM314">
        <f>IFERROR(IF(AV314&lt;($AM$7-$AL$7)/($AN$7-$AL$7),$AL$7+SQRT(AV314*($AN$7-$AL$7)*($AM$7-$AL$7)),$AN$7-SQRT((1-AV314)*($AN$7-$AL$7)*($AN$7-$AM$7))),$AM$7)</f>
        <v/>
      </c>
      <c r="AN314">
        <f>IFERROR(IF(AW314&lt;($AM$8-$AL$8)/($AN$8-$AL$8),$AL$8+SQRT(AW314*($AN$8-$AL$8)*($AM$8-$AL$8)),$AN$8-SQRT((1-AW314)*($AN$8-$AL$8)*($AN$8-$AM$8))),$AM$8)</f>
        <v/>
      </c>
      <c r="AO314">
        <f>IFERROR(IF(AX314&lt;($AM$9-$AL$9)/($AN$9-$AL$9),$AL$9+SQRT(AX314*($AN$9-$AL$9)*($AM$9-$AL$9)),$AN$9-SQRT((1-AX314)*($AN$9-$AL$9)*($AN$9-$AM$9))),$AM$9)</f>
        <v/>
      </c>
      <c r="AP314">
        <f>IFERROR(IF(AY314&lt;($AM$10-$AL$10)/($AN$10-$AL$10),$AL$10+SQRT(AY314*($AN$10-$AL$10)*($AM$10-$AL$10)),$AN$10-SQRT((1-AY314)*($AN$10-$AL$10)*($AN$10-$AM$10))),$AM$10)</f>
        <v/>
      </c>
      <c r="AQ314">
        <f>IFERROR(IF(AZ314&lt;($AM$11-$AL$11)/($AN$11-$AL$11),$AL$11+SQRT(AZ314*($AN$11-$AL$11)*($AM$11-$AL$11)),$AN$11-SQRT((1-AZ314)*($AN$11-$AL$11)*($AN$11-$AM$11))),$AM$11)</f>
        <v/>
      </c>
      <c r="AR314">
        <f>SUMPRODUCT((B24:B31&lt;=$B$6)*(C24:C31*AM314+D24:D31*AO314*$B$8*AQ314)/(1+AL314/100)^B24:B31)+C32*AM314*AP314/(1+AL314/100)^$B$6</f>
        <v/>
      </c>
      <c r="AS314">
        <f>SUMPRODUCT((K24:K26&lt;=$B$6)*(L24:L26*AN314+M24:M26*AO314*$B$8*AQ314)/(1+AL314/100)^K24:K26)+L27*AN314*AP314/(1+AL314/100)^$B$6</f>
        <v/>
      </c>
      <c r="AT314">
        <f>AS314-AR314</f>
        <v/>
      </c>
      <c r="AU314">
        <f>RAND()</f>
        <v/>
      </c>
      <c r="AV314">
        <f>RAND()</f>
        <v/>
      </c>
      <c r="AW314">
        <f>RAND()</f>
        <v/>
      </c>
      <c r="AX314">
        <f>RAND()</f>
        <v/>
      </c>
      <c r="AY314">
        <f>RAND()</f>
        <v/>
      </c>
      <c r="AZ314">
        <f>RAND()</f>
        <v/>
      </c>
    </row>
    <row r="315">
      <c r="AK315" t="n">
        <v>302</v>
      </c>
      <c r="AL315">
        <f>IFERROR(IF(AU315&lt;($AM$6-$AL$6)/($AN$6-$AL$6),$AL$6+SQRT(AU315*($AN$6-$AL$6)*($AM$6-$AL$6)),$AN$6-SQRT((1-AU315)*($AN$6-$AL$6)*($AN$6-$AM$6))),$AM$6)</f>
        <v/>
      </c>
      <c r="AM315">
        <f>IFERROR(IF(AV315&lt;($AM$7-$AL$7)/($AN$7-$AL$7),$AL$7+SQRT(AV315*($AN$7-$AL$7)*($AM$7-$AL$7)),$AN$7-SQRT((1-AV315)*($AN$7-$AL$7)*($AN$7-$AM$7))),$AM$7)</f>
        <v/>
      </c>
      <c r="AN315">
        <f>IFERROR(IF(AW315&lt;($AM$8-$AL$8)/($AN$8-$AL$8),$AL$8+SQRT(AW315*($AN$8-$AL$8)*($AM$8-$AL$8)),$AN$8-SQRT((1-AW315)*($AN$8-$AL$8)*($AN$8-$AM$8))),$AM$8)</f>
        <v/>
      </c>
      <c r="AO315">
        <f>IFERROR(IF(AX315&lt;($AM$9-$AL$9)/($AN$9-$AL$9),$AL$9+SQRT(AX315*($AN$9-$AL$9)*($AM$9-$AL$9)),$AN$9-SQRT((1-AX315)*($AN$9-$AL$9)*($AN$9-$AM$9))),$AM$9)</f>
        <v/>
      </c>
      <c r="AP315">
        <f>IFERROR(IF(AY315&lt;($AM$10-$AL$10)/($AN$10-$AL$10),$AL$10+SQRT(AY315*($AN$10-$AL$10)*($AM$10-$AL$10)),$AN$10-SQRT((1-AY315)*($AN$10-$AL$10)*($AN$10-$AM$10))),$AM$10)</f>
        <v/>
      </c>
      <c r="AQ315">
        <f>IFERROR(IF(AZ315&lt;($AM$11-$AL$11)/($AN$11-$AL$11),$AL$11+SQRT(AZ315*($AN$11-$AL$11)*($AM$11-$AL$11)),$AN$11-SQRT((1-AZ315)*($AN$11-$AL$11)*($AN$11-$AM$11))),$AM$11)</f>
        <v/>
      </c>
      <c r="AR315">
        <f>SUMPRODUCT((B24:B31&lt;=$B$6)*(C24:C31*AM315+D24:D31*AO315*$B$8*AQ315)/(1+AL315/100)^B24:B31)+C32*AM315*AP315/(1+AL315/100)^$B$6</f>
        <v/>
      </c>
      <c r="AS315">
        <f>SUMPRODUCT((K24:K26&lt;=$B$6)*(L24:L26*AN315+M24:M26*AO315*$B$8*AQ315)/(1+AL315/100)^K24:K26)+L27*AN315*AP315/(1+AL315/100)^$B$6</f>
        <v/>
      </c>
      <c r="AT315">
        <f>AS315-AR315</f>
        <v/>
      </c>
      <c r="AU315">
        <f>RAND()</f>
        <v/>
      </c>
      <c r="AV315">
        <f>RAND()</f>
        <v/>
      </c>
      <c r="AW315">
        <f>RAND()</f>
        <v/>
      </c>
      <c r="AX315">
        <f>RAND()</f>
        <v/>
      </c>
      <c r="AY315">
        <f>RAND()</f>
        <v/>
      </c>
      <c r="AZ315">
        <f>RAND()</f>
        <v/>
      </c>
    </row>
    <row r="316">
      <c r="AK316" t="n">
        <v>303</v>
      </c>
      <c r="AL316">
        <f>IFERROR(IF(AU316&lt;($AM$6-$AL$6)/($AN$6-$AL$6),$AL$6+SQRT(AU316*($AN$6-$AL$6)*($AM$6-$AL$6)),$AN$6-SQRT((1-AU316)*($AN$6-$AL$6)*($AN$6-$AM$6))),$AM$6)</f>
        <v/>
      </c>
      <c r="AM316">
        <f>IFERROR(IF(AV316&lt;($AM$7-$AL$7)/($AN$7-$AL$7),$AL$7+SQRT(AV316*($AN$7-$AL$7)*($AM$7-$AL$7)),$AN$7-SQRT((1-AV316)*($AN$7-$AL$7)*($AN$7-$AM$7))),$AM$7)</f>
        <v/>
      </c>
      <c r="AN316">
        <f>IFERROR(IF(AW316&lt;($AM$8-$AL$8)/($AN$8-$AL$8),$AL$8+SQRT(AW316*($AN$8-$AL$8)*($AM$8-$AL$8)),$AN$8-SQRT((1-AW316)*($AN$8-$AL$8)*($AN$8-$AM$8))),$AM$8)</f>
        <v/>
      </c>
      <c r="AO316">
        <f>IFERROR(IF(AX316&lt;($AM$9-$AL$9)/($AN$9-$AL$9),$AL$9+SQRT(AX316*($AN$9-$AL$9)*($AM$9-$AL$9)),$AN$9-SQRT((1-AX316)*($AN$9-$AL$9)*($AN$9-$AM$9))),$AM$9)</f>
        <v/>
      </c>
      <c r="AP316">
        <f>IFERROR(IF(AY316&lt;($AM$10-$AL$10)/($AN$10-$AL$10),$AL$10+SQRT(AY316*($AN$10-$AL$10)*($AM$10-$AL$10)),$AN$10-SQRT((1-AY316)*($AN$10-$AL$10)*($AN$10-$AM$10))),$AM$10)</f>
        <v/>
      </c>
      <c r="AQ316">
        <f>IFERROR(IF(AZ316&lt;($AM$11-$AL$11)/($AN$11-$AL$11),$AL$11+SQRT(AZ316*($AN$11-$AL$11)*($AM$11-$AL$11)),$AN$11-SQRT((1-AZ316)*($AN$11-$AL$11)*($AN$11-$AM$11))),$AM$11)</f>
        <v/>
      </c>
      <c r="AR316">
        <f>SUMPRODUCT((B24:B31&lt;=$B$6)*(C24:C31*AM316+D24:D31*AO316*$B$8*AQ316)/(1+AL316/100)^B24:B31)+C32*AM316*AP316/(1+AL316/100)^$B$6</f>
        <v/>
      </c>
      <c r="AS316">
        <f>SUMPRODUCT((K24:K26&lt;=$B$6)*(L24:L26*AN316+M24:M26*AO316*$B$8*AQ316)/(1+AL316/100)^K24:K26)+L27*AN316*AP316/(1+AL316/100)^$B$6</f>
        <v/>
      </c>
      <c r="AT316">
        <f>AS316-AR316</f>
        <v/>
      </c>
      <c r="AU316">
        <f>RAND()</f>
        <v/>
      </c>
      <c r="AV316">
        <f>RAND()</f>
        <v/>
      </c>
      <c r="AW316">
        <f>RAND()</f>
        <v/>
      </c>
      <c r="AX316">
        <f>RAND()</f>
        <v/>
      </c>
      <c r="AY316">
        <f>RAND()</f>
        <v/>
      </c>
      <c r="AZ316">
        <f>RAND()</f>
        <v/>
      </c>
    </row>
    <row r="317">
      <c r="AK317" t="n">
        <v>304</v>
      </c>
      <c r="AL317">
        <f>IFERROR(IF(AU317&lt;($AM$6-$AL$6)/($AN$6-$AL$6),$AL$6+SQRT(AU317*($AN$6-$AL$6)*($AM$6-$AL$6)),$AN$6-SQRT((1-AU317)*($AN$6-$AL$6)*($AN$6-$AM$6))),$AM$6)</f>
        <v/>
      </c>
      <c r="AM317">
        <f>IFERROR(IF(AV317&lt;($AM$7-$AL$7)/($AN$7-$AL$7),$AL$7+SQRT(AV317*($AN$7-$AL$7)*($AM$7-$AL$7)),$AN$7-SQRT((1-AV317)*($AN$7-$AL$7)*($AN$7-$AM$7))),$AM$7)</f>
        <v/>
      </c>
      <c r="AN317">
        <f>IFERROR(IF(AW317&lt;($AM$8-$AL$8)/($AN$8-$AL$8),$AL$8+SQRT(AW317*($AN$8-$AL$8)*($AM$8-$AL$8)),$AN$8-SQRT((1-AW317)*($AN$8-$AL$8)*($AN$8-$AM$8))),$AM$8)</f>
        <v/>
      </c>
      <c r="AO317">
        <f>IFERROR(IF(AX317&lt;($AM$9-$AL$9)/($AN$9-$AL$9),$AL$9+SQRT(AX317*($AN$9-$AL$9)*($AM$9-$AL$9)),$AN$9-SQRT((1-AX317)*($AN$9-$AL$9)*($AN$9-$AM$9))),$AM$9)</f>
        <v/>
      </c>
      <c r="AP317">
        <f>IFERROR(IF(AY317&lt;($AM$10-$AL$10)/($AN$10-$AL$10),$AL$10+SQRT(AY317*($AN$10-$AL$10)*($AM$10-$AL$10)),$AN$10-SQRT((1-AY317)*($AN$10-$AL$10)*($AN$10-$AM$10))),$AM$10)</f>
        <v/>
      </c>
      <c r="AQ317">
        <f>IFERROR(IF(AZ317&lt;($AM$11-$AL$11)/($AN$11-$AL$11),$AL$11+SQRT(AZ317*($AN$11-$AL$11)*($AM$11-$AL$11)),$AN$11-SQRT((1-AZ317)*($AN$11-$AL$11)*($AN$11-$AM$11))),$AM$11)</f>
        <v/>
      </c>
      <c r="AR317">
        <f>SUMPRODUCT((B24:B31&lt;=$B$6)*(C24:C31*AM317+D24:D31*AO317*$B$8*AQ317)/(1+AL317/100)^B24:B31)+C32*AM317*AP317/(1+AL317/100)^$B$6</f>
        <v/>
      </c>
      <c r="AS317">
        <f>SUMPRODUCT((K24:K26&lt;=$B$6)*(L24:L26*AN317+M24:M26*AO317*$B$8*AQ317)/(1+AL317/100)^K24:K26)+L27*AN317*AP317/(1+AL317/100)^$B$6</f>
        <v/>
      </c>
      <c r="AT317">
        <f>AS317-AR317</f>
        <v/>
      </c>
      <c r="AU317">
        <f>RAND()</f>
        <v/>
      </c>
      <c r="AV317">
        <f>RAND()</f>
        <v/>
      </c>
      <c r="AW317">
        <f>RAND()</f>
        <v/>
      </c>
      <c r="AX317">
        <f>RAND()</f>
        <v/>
      </c>
      <c r="AY317">
        <f>RAND()</f>
        <v/>
      </c>
      <c r="AZ317">
        <f>RAND()</f>
        <v/>
      </c>
    </row>
    <row r="318">
      <c r="AK318" t="n">
        <v>305</v>
      </c>
      <c r="AL318">
        <f>IFERROR(IF(AU318&lt;($AM$6-$AL$6)/($AN$6-$AL$6),$AL$6+SQRT(AU318*($AN$6-$AL$6)*($AM$6-$AL$6)),$AN$6-SQRT((1-AU318)*($AN$6-$AL$6)*($AN$6-$AM$6))),$AM$6)</f>
        <v/>
      </c>
      <c r="AM318">
        <f>IFERROR(IF(AV318&lt;($AM$7-$AL$7)/($AN$7-$AL$7),$AL$7+SQRT(AV318*($AN$7-$AL$7)*($AM$7-$AL$7)),$AN$7-SQRT((1-AV318)*($AN$7-$AL$7)*($AN$7-$AM$7))),$AM$7)</f>
        <v/>
      </c>
      <c r="AN318">
        <f>IFERROR(IF(AW318&lt;($AM$8-$AL$8)/($AN$8-$AL$8),$AL$8+SQRT(AW318*($AN$8-$AL$8)*($AM$8-$AL$8)),$AN$8-SQRT((1-AW318)*($AN$8-$AL$8)*($AN$8-$AM$8))),$AM$8)</f>
        <v/>
      </c>
      <c r="AO318">
        <f>IFERROR(IF(AX318&lt;($AM$9-$AL$9)/($AN$9-$AL$9),$AL$9+SQRT(AX318*($AN$9-$AL$9)*($AM$9-$AL$9)),$AN$9-SQRT((1-AX318)*($AN$9-$AL$9)*($AN$9-$AM$9))),$AM$9)</f>
        <v/>
      </c>
      <c r="AP318">
        <f>IFERROR(IF(AY318&lt;($AM$10-$AL$10)/($AN$10-$AL$10),$AL$10+SQRT(AY318*($AN$10-$AL$10)*($AM$10-$AL$10)),$AN$10-SQRT((1-AY318)*($AN$10-$AL$10)*($AN$10-$AM$10))),$AM$10)</f>
        <v/>
      </c>
      <c r="AQ318">
        <f>IFERROR(IF(AZ318&lt;($AM$11-$AL$11)/($AN$11-$AL$11),$AL$11+SQRT(AZ318*($AN$11-$AL$11)*($AM$11-$AL$11)),$AN$11-SQRT((1-AZ318)*($AN$11-$AL$11)*($AN$11-$AM$11))),$AM$11)</f>
        <v/>
      </c>
      <c r="AR318">
        <f>SUMPRODUCT((B24:B31&lt;=$B$6)*(C24:C31*AM318+D24:D31*AO318*$B$8*AQ318)/(1+AL318/100)^B24:B31)+C32*AM318*AP318/(1+AL318/100)^$B$6</f>
        <v/>
      </c>
      <c r="AS318">
        <f>SUMPRODUCT((K24:K26&lt;=$B$6)*(L24:L26*AN318+M24:M26*AO318*$B$8*AQ318)/(1+AL318/100)^K24:K26)+L27*AN318*AP318/(1+AL318/100)^$B$6</f>
        <v/>
      </c>
      <c r="AT318">
        <f>AS318-AR318</f>
        <v/>
      </c>
      <c r="AU318">
        <f>RAND()</f>
        <v/>
      </c>
      <c r="AV318">
        <f>RAND()</f>
        <v/>
      </c>
      <c r="AW318">
        <f>RAND()</f>
        <v/>
      </c>
      <c r="AX318">
        <f>RAND()</f>
        <v/>
      </c>
      <c r="AY318">
        <f>RAND()</f>
        <v/>
      </c>
      <c r="AZ318">
        <f>RAND()</f>
        <v/>
      </c>
    </row>
    <row r="319">
      <c r="AK319" t="n">
        <v>306</v>
      </c>
      <c r="AL319">
        <f>IFERROR(IF(AU319&lt;($AM$6-$AL$6)/($AN$6-$AL$6),$AL$6+SQRT(AU319*($AN$6-$AL$6)*($AM$6-$AL$6)),$AN$6-SQRT((1-AU319)*($AN$6-$AL$6)*($AN$6-$AM$6))),$AM$6)</f>
        <v/>
      </c>
      <c r="AM319">
        <f>IFERROR(IF(AV319&lt;($AM$7-$AL$7)/($AN$7-$AL$7),$AL$7+SQRT(AV319*($AN$7-$AL$7)*($AM$7-$AL$7)),$AN$7-SQRT((1-AV319)*($AN$7-$AL$7)*($AN$7-$AM$7))),$AM$7)</f>
        <v/>
      </c>
      <c r="AN319">
        <f>IFERROR(IF(AW319&lt;($AM$8-$AL$8)/($AN$8-$AL$8),$AL$8+SQRT(AW319*($AN$8-$AL$8)*($AM$8-$AL$8)),$AN$8-SQRT((1-AW319)*($AN$8-$AL$8)*($AN$8-$AM$8))),$AM$8)</f>
        <v/>
      </c>
      <c r="AO319">
        <f>IFERROR(IF(AX319&lt;($AM$9-$AL$9)/($AN$9-$AL$9),$AL$9+SQRT(AX319*($AN$9-$AL$9)*($AM$9-$AL$9)),$AN$9-SQRT((1-AX319)*($AN$9-$AL$9)*($AN$9-$AM$9))),$AM$9)</f>
        <v/>
      </c>
      <c r="AP319">
        <f>IFERROR(IF(AY319&lt;($AM$10-$AL$10)/($AN$10-$AL$10),$AL$10+SQRT(AY319*($AN$10-$AL$10)*($AM$10-$AL$10)),$AN$10-SQRT((1-AY319)*($AN$10-$AL$10)*($AN$10-$AM$10))),$AM$10)</f>
        <v/>
      </c>
      <c r="AQ319">
        <f>IFERROR(IF(AZ319&lt;($AM$11-$AL$11)/($AN$11-$AL$11),$AL$11+SQRT(AZ319*($AN$11-$AL$11)*($AM$11-$AL$11)),$AN$11-SQRT((1-AZ319)*($AN$11-$AL$11)*($AN$11-$AM$11))),$AM$11)</f>
        <v/>
      </c>
      <c r="AR319">
        <f>SUMPRODUCT((B24:B31&lt;=$B$6)*(C24:C31*AM319+D24:D31*AO319*$B$8*AQ319)/(1+AL319/100)^B24:B31)+C32*AM319*AP319/(1+AL319/100)^$B$6</f>
        <v/>
      </c>
      <c r="AS319">
        <f>SUMPRODUCT((K24:K26&lt;=$B$6)*(L24:L26*AN319+M24:M26*AO319*$B$8*AQ319)/(1+AL319/100)^K24:K26)+L27*AN319*AP319/(1+AL319/100)^$B$6</f>
        <v/>
      </c>
      <c r="AT319">
        <f>AS319-AR319</f>
        <v/>
      </c>
      <c r="AU319">
        <f>RAND()</f>
        <v/>
      </c>
      <c r="AV319">
        <f>RAND()</f>
        <v/>
      </c>
      <c r="AW319">
        <f>RAND()</f>
        <v/>
      </c>
      <c r="AX319">
        <f>RAND()</f>
        <v/>
      </c>
      <c r="AY319">
        <f>RAND()</f>
        <v/>
      </c>
      <c r="AZ319">
        <f>RAND()</f>
        <v/>
      </c>
    </row>
    <row r="320">
      <c r="AK320" t="n">
        <v>307</v>
      </c>
      <c r="AL320">
        <f>IFERROR(IF(AU320&lt;($AM$6-$AL$6)/($AN$6-$AL$6),$AL$6+SQRT(AU320*($AN$6-$AL$6)*($AM$6-$AL$6)),$AN$6-SQRT((1-AU320)*($AN$6-$AL$6)*($AN$6-$AM$6))),$AM$6)</f>
        <v/>
      </c>
      <c r="AM320">
        <f>IFERROR(IF(AV320&lt;($AM$7-$AL$7)/($AN$7-$AL$7),$AL$7+SQRT(AV320*($AN$7-$AL$7)*($AM$7-$AL$7)),$AN$7-SQRT((1-AV320)*($AN$7-$AL$7)*($AN$7-$AM$7))),$AM$7)</f>
        <v/>
      </c>
      <c r="AN320">
        <f>IFERROR(IF(AW320&lt;($AM$8-$AL$8)/($AN$8-$AL$8),$AL$8+SQRT(AW320*($AN$8-$AL$8)*($AM$8-$AL$8)),$AN$8-SQRT((1-AW320)*($AN$8-$AL$8)*($AN$8-$AM$8))),$AM$8)</f>
        <v/>
      </c>
      <c r="AO320">
        <f>IFERROR(IF(AX320&lt;($AM$9-$AL$9)/($AN$9-$AL$9),$AL$9+SQRT(AX320*($AN$9-$AL$9)*($AM$9-$AL$9)),$AN$9-SQRT((1-AX320)*($AN$9-$AL$9)*($AN$9-$AM$9))),$AM$9)</f>
        <v/>
      </c>
      <c r="AP320">
        <f>IFERROR(IF(AY320&lt;($AM$10-$AL$10)/($AN$10-$AL$10),$AL$10+SQRT(AY320*($AN$10-$AL$10)*($AM$10-$AL$10)),$AN$10-SQRT((1-AY320)*($AN$10-$AL$10)*($AN$10-$AM$10))),$AM$10)</f>
        <v/>
      </c>
      <c r="AQ320">
        <f>IFERROR(IF(AZ320&lt;($AM$11-$AL$11)/($AN$11-$AL$11),$AL$11+SQRT(AZ320*($AN$11-$AL$11)*($AM$11-$AL$11)),$AN$11-SQRT((1-AZ320)*($AN$11-$AL$11)*($AN$11-$AM$11))),$AM$11)</f>
        <v/>
      </c>
      <c r="AR320">
        <f>SUMPRODUCT((B24:B31&lt;=$B$6)*(C24:C31*AM320+D24:D31*AO320*$B$8*AQ320)/(1+AL320/100)^B24:B31)+C32*AM320*AP320/(1+AL320/100)^$B$6</f>
        <v/>
      </c>
      <c r="AS320">
        <f>SUMPRODUCT((K24:K26&lt;=$B$6)*(L24:L26*AN320+M24:M26*AO320*$B$8*AQ320)/(1+AL320/100)^K24:K26)+L27*AN320*AP320/(1+AL320/100)^$B$6</f>
        <v/>
      </c>
      <c r="AT320">
        <f>AS320-AR320</f>
        <v/>
      </c>
      <c r="AU320">
        <f>RAND()</f>
        <v/>
      </c>
      <c r="AV320">
        <f>RAND()</f>
        <v/>
      </c>
      <c r="AW320">
        <f>RAND()</f>
        <v/>
      </c>
      <c r="AX320">
        <f>RAND()</f>
        <v/>
      </c>
      <c r="AY320">
        <f>RAND()</f>
        <v/>
      </c>
      <c r="AZ320">
        <f>RAND()</f>
        <v/>
      </c>
    </row>
    <row r="321">
      <c r="AK321" t="n">
        <v>308</v>
      </c>
      <c r="AL321">
        <f>IFERROR(IF(AU321&lt;($AM$6-$AL$6)/($AN$6-$AL$6),$AL$6+SQRT(AU321*($AN$6-$AL$6)*($AM$6-$AL$6)),$AN$6-SQRT((1-AU321)*($AN$6-$AL$6)*($AN$6-$AM$6))),$AM$6)</f>
        <v/>
      </c>
      <c r="AM321">
        <f>IFERROR(IF(AV321&lt;($AM$7-$AL$7)/($AN$7-$AL$7),$AL$7+SQRT(AV321*($AN$7-$AL$7)*($AM$7-$AL$7)),$AN$7-SQRT((1-AV321)*($AN$7-$AL$7)*($AN$7-$AM$7))),$AM$7)</f>
        <v/>
      </c>
      <c r="AN321">
        <f>IFERROR(IF(AW321&lt;($AM$8-$AL$8)/($AN$8-$AL$8),$AL$8+SQRT(AW321*($AN$8-$AL$8)*($AM$8-$AL$8)),$AN$8-SQRT((1-AW321)*($AN$8-$AL$8)*($AN$8-$AM$8))),$AM$8)</f>
        <v/>
      </c>
      <c r="AO321">
        <f>IFERROR(IF(AX321&lt;($AM$9-$AL$9)/($AN$9-$AL$9),$AL$9+SQRT(AX321*($AN$9-$AL$9)*($AM$9-$AL$9)),$AN$9-SQRT((1-AX321)*($AN$9-$AL$9)*($AN$9-$AM$9))),$AM$9)</f>
        <v/>
      </c>
      <c r="AP321">
        <f>IFERROR(IF(AY321&lt;($AM$10-$AL$10)/($AN$10-$AL$10),$AL$10+SQRT(AY321*($AN$10-$AL$10)*($AM$10-$AL$10)),$AN$10-SQRT((1-AY321)*($AN$10-$AL$10)*($AN$10-$AM$10))),$AM$10)</f>
        <v/>
      </c>
      <c r="AQ321">
        <f>IFERROR(IF(AZ321&lt;($AM$11-$AL$11)/($AN$11-$AL$11),$AL$11+SQRT(AZ321*($AN$11-$AL$11)*($AM$11-$AL$11)),$AN$11-SQRT((1-AZ321)*($AN$11-$AL$11)*($AN$11-$AM$11))),$AM$11)</f>
        <v/>
      </c>
      <c r="AR321">
        <f>SUMPRODUCT((B24:B31&lt;=$B$6)*(C24:C31*AM321+D24:D31*AO321*$B$8*AQ321)/(1+AL321/100)^B24:B31)+C32*AM321*AP321/(1+AL321/100)^$B$6</f>
        <v/>
      </c>
      <c r="AS321">
        <f>SUMPRODUCT((K24:K26&lt;=$B$6)*(L24:L26*AN321+M24:M26*AO321*$B$8*AQ321)/(1+AL321/100)^K24:K26)+L27*AN321*AP321/(1+AL321/100)^$B$6</f>
        <v/>
      </c>
      <c r="AT321">
        <f>AS321-AR321</f>
        <v/>
      </c>
      <c r="AU321">
        <f>RAND()</f>
        <v/>
      </c>
      <c r="AV321">
        <f>RAND()</f>
        <v/>
      </c>
      <c r="AW321">
        <f>RAND()</f>
        <v/>
      </c>
      <c r="AX321">
        <f>RAND()</f>
        <v/>
      </c>
      <c r="AY321">
        <f>RAND()</f>
        <v/>
      </c>
      <c r="AZ321">
        <f>RAND()</f>
        <v/>
      </c>
    </row>
    <row r="322">
      <c r="AK322" t="n">
        <v>309</v>
      </c>
      <c r="AL322">
        <f>IFERROR(IF(AU322&lt;($AM$6-$AL$6)/($AN$6-$AL$6),$AL$6+SQRT(AU322*($AN$6-$AL$6)*($AM$6-$AL$6)),$AN$6-SQRT((1-AU322)*($AN$6-$AL$6)*($AN$6-$AM$6))),$AM$6)</f>
        <v/>
      </c>
      <c r="AM322">
        <f>IFERROR(IF(AV322&lt;($AM$7-$AL$7)/($AN$7-$AL$7),$AL$7+SQRT(AV322*($AN$7-$AL$7)*($AM$7-$AL$7)),$AN$7-SQRT((1-AV322)*($AN$7-$AL$7)*($AN$7-$AM$7))),$AM$7)</f>
        <v/>
      </c>
      <c r="AN322">
        <f>IFERROR(IF(AW322&lt;($AM$8-$AL$8)/($AN$8-$AL$8),$AL$8+SQRT(AW322*($AN$8-$AL$8)*($AM$8-$AL$8)),$AN$8-SQRT((1-AW322)*($AN$8-$AL$8)*($AN$8-$AM$8))),$AM$8)</f>
        <v/>
      </c>
      <c r="AO322">
        <f>IFERROR(IF(AX322&lt;($AM$9-$AL$9)/($AN$9-$AL$9),$AL$9+SQRT(AX322*($AN$9-$AL$9)*($AM$9-$AL$9)),$AN$9-SQRT((1-AX322)*($AN$9-$AL$9)*($AN$9-$AM$9))),$AM$9)</f>
        <v/>
      </c>
      <c r="AP322">
        <f>IFERROR(IF(AY322&lt;($AM$10-$AL$10)/($AN$10-$AL$10),$AL$10+SQRT(AY322*($AN$10-$AL$10)*($AM$10-$AL$10)),$AN$10-SQRT((1-AY322)*($AN$10-$AL$10)*($AN$10-$AM$10))),$AM$10)</f>
        <v/>
      </c>
      <c r="AQ322">
        <f>IFERROR(IF(AZ322&lt;($AM$11-$AL$11)/($AN$11-$AL$11),$AL$11+SQRT(AZ322*($AN$11-$AL$11)*($AM$11-$AL$11)),$AN$11-SQRT((1-AZ322)*($AN$11-$AL$11)*($AN$11-$AM$11))),$AM$11)</f>
        <v/>
      </c>
      <c r="AR322">
        <f>SUMPRODUCT((B24:B31&lt;=$B$6)*(C24:C31*AM322+D24:D31*AO322*$B$8*AQ322)/(1+AL322/100)^B24:B31)+C32*AM322*AP322/(1+AL322/100)^$B$6</f>
        <v/>
      </c>
      <c r="AS322">
        <f>SUMPRODUCT((K24:K26&lt;=$B$6)*(L24:L26*AN322+M24:M26*AO322*$B$8*AQ322)/(1+AL322/100)^K24:K26)+L27*AN322*AP322/(1+AL322/100)^$B$6</f>
        <v/>
      </c>
      <c r="AT322">
        <f>AS322-AR322</f>
        <v/>
      </c>
      <c r="AU322">
        <f>RAND()</f>
        <v/>
      </c>
      <c r="AV322">
        <f>RAND()</f>
        <v/>
      </c>
      <c r="AW322">
        <f>RAND()</f>
        <v/>
      </c>
      <c r="AX322">
        <f>RAND()</f>
        <v/>
      </c>
      <c r="AY322">
        <f>RAND()</f>
        <v/>
      </c>
      <c r="AZ322">
        <f>RAND()</f>
        <v/>
      </c>
    </row>
    <row r="323">
      <c r="AK323" t="n">
        <v>310</v>
      </c>
      <c r="AL323">
        <f>IFERROR(IF(AU323&lt;($AM$6-$AL$6)/($AN$6-$AL$6),$AL$6+SQRT(AU323*($AN$6-$AL$6)*($AM$6-$AL$6)),$AN$6-SQRT((1-AU323)*($AN$6-$AL$6)*($AN$6-$AM$6))),$AM$6)</f>
        <v/>
      </c>
      <c r="AM323">
        <f>IFERROR(IF(AV323&lt;($AM$7-$AL$7)/($AN$7-$AL$7),$AL$7+SQRT(AV323*($AN$7-$AL$7)*($AM$7-$AL$7)),$AN$7-SQRT((1-AV323)*($AN$7-$AL$7)*($AN$7-$AM$7))),$AM$7)</f>
        <v/>
      </c>
      <c r="AN323">
        <f>IFERROR(IF(AW323&lt;($AM$8-$AL$8)/($AN$8-$AL$8),$AL$8+SQRT(AW323*($AN$8-$AL$8)*($AM$8-$AL$8)),$AN$8-SQRT((1-AW323)*($AN$8-$AL$8)*($AN$8-$AM$8))),$AM$8)</f>
        <v/>
      </c>
      <c r="AO323">
        <f>IFERROR(IF(AX323&lt;($AM$9-$AL$9)/($AN$9-$AL$9),$AL$9+SQRT(AX323*($AN$9-$AL$9)*($AM$9-$AL$9)),$AN$9-SQRT((1-AX323)*($AN$9-$AL$9)*($AN$9-$AM$9))),$AM$9)</f>
        <v/>
      </c>
      <c r="AP323">
        <f>IFERROR(IF(AY323&lt;($AM$10-$AL$10)/($AN$10-$AL$10),$AL$10+SQRT(AY323*($AN$10-$AL$10)*($AM$10-$AL$10)),$AN$10-SQRT((1-AY323)*($AN$10-$AL$10)*($AN$10-$AM$10))),$AM$10)</f>
        <v/>
      </c>
      <c r="AQ323">
        <f>IFERROR(IF(AZ323&lt;($AM$11-$AL$11)/($AN$11-$AL$11),$AL$11+SQRT(AZ323*($AN$11-$AL$11)*($AM$11-$AL$11)),$AN$11-SQRT((1-AZ323)*($AN$11-$AL$11)*($AN$11-$AM$11))),$AM$11)</f>
        <v/>
      </c>
      <c r="AR323">
        <f>SUMPRODUCT((B24:B31&lt;=$B$6)*(C24:C31*AM323+D24:D31*AO323*$B$8*AQ323)/(1+AL323/100)^B24:B31)+C32*AM323*AP323/(1+AL323/100)^$B$6</f>
        <v/>
      </c>
      <c r="AS323">
        <f>SUMPRODUCT((K24:K26&lt;=$B$6)*(L24:L26*AN323+M24:M26*AO323*$B$8*AQ323)/(1+AL323/100)^K24:K26)+L27*AN323*AP323/(1+AL323/100)^$B$6</f>
        <v/>
      </c>
      <c r="AT323">
        <f>AS323-AR323</f>
        <v/>
      </c>
      <c r="AU323">
        <f>RAND()</f>
        <v/>
      </c>
      <c r="AV323">
        <f>RAND()</f>
        <v/>
      </c>
      <c r="AW323">
        <f>RAND()</f>
        <v/>
      </c>
      <c r="AX323">
        <f>RAND()</f>
        <v/>
      </c>
      <c r="AY323">
        <f>RAND()</f>
        <v/>
      </c>
      <c r="AZ323">
        <f>RAND()</f>
        <v/>
      </c>
    </row>
    <row r="324">
      <c r="AK324" t="n">
        <v>311</v>
      </c>
      <c r="AL324">
        <f>IFERROR(IF(AU324&lt;($AM$6-$AL$6)/($AN$6-$AL$6),$AL$6+SQRT(AU324*($AN$6-$AL$6)*($AM$6-$AL$6)),$AN$6-SQRT((1-AU324)*($AN$6-$AL$6)*($AN$6-$AM$6))),$AM$6)</f>
        <v/>
      </c>
      <c r="AM324">
        <f>IFERROR(IF(AV324&lt;($AM$7-$AL$7)/($AN$7-$AL$7),$AL$7+SQRT(AV324*($AN$7-$AL$7)*($AM$7-$AL$7)),$AN$7-SQRT((1-AV324)*($AN$7-$AL$7)*($AN$7-$AM$7))),$AM$7)</f>
        <v/>
      </c>
      <c r="AN324">
        <f>IFERROR(IF(AW324&lt;($AM$8-$AL$8)/($AN$8-$AL$8),$AL$8+SQRT(AW324*($AN$8-$AL$8)*($AM$8-$AL$8)),$AN$8-SQRT((1-AW324)*($AN$8-$AL$8)*($AN$8-$AM$8))),$AM$8)</f>
        <v/>
      </c>
      <c r="AO324">
        <f>IFERROR(IF(AX324&lt;($AM$9-$AL$9)/($AN$9-$AL$9),$AL$9+SQRT(AX324*($AN$9-$AL$9)*($AM$9-$AL$9)),$AN$9-SQRT((1-AX324)*($AN$9-$AL$9)*($AN$9-$AM$9))),$AM$9)</f>
        <v/>
      </c>
      <c r="AP324">
        <f>IFERROR(IF(AY324&lt;($AM$10-$AL$10)/($AN$10-$AL$10),$AL$10+SQRT(AY324*($AN$10-$AL$10)*($AM$10-$AL$10)),$AN$10-SQRT((1-AY324)*($AN$10-$AL$10)*($AN$10-$AM$10))),$AM$10)</f>
        <v/>
      </c>
      <c r="AQ324">
        <f>IFERROR(IF(AZ324&lt;($AM$11-$AL$11)/($AN$11-$AL$11),$AL$11+SQRT(AZ324*($AN$11-$AL$11)*($AM$11-$AL$11)),$AN$11-SQRT((1-AZ324)*($AN$11-$AL$11)*($AN$11-$AM$11))),$AM$11)</f>
        <v/>
      </c>
      <c r="AR324">
        <f>SUMPRODUCT((B24:B31&lt;=$B$6)*(C24:C31*AM324+D24:D31*AO324*$B$8*AQ324)/(1+AL324/100)^B24:B31)+C32*AM324*AP324/(1+AL324/100)^$B$6</f>
        <v/>
      </c>
      <c r="AS324">
        <f>SUMPRODUCT((K24:K26&lt;=$B$6)*(L24:L26*AN324+M24:M26*AO324*$B$8*AQ324)/(1+AL324/100)^K24:K26)+L27*AN324*AP324/(1+AL324/100)^$B$6</f>
        <v/>
      </c>
      <c r="AT324">
        <f>AS324-AR324</f>
        <v/>
      </c>
      <c r="AU324">
        <f>RAND()</f>
        <v/>
      </c>
      <c r="AV324">
        <f>RAND()</f>
        <v/>
      </c>
      <c r="AW324">
        <f>RAND()</f>
        <v/>
      </c>
      <c r="AX324">
        <f>RAND()</f>
        <v/>
      </c>
      <c r="AY324">
        <f>RAND()</f>
        <v/>
      </c>
      <c r="AZ324">
        <f>RAND()</f>
        <v/>
      </c>
    </row>
    <row r="325">
      <c r="AK325" t="n">
        <v>312</v>
      </c>
      <c r="AL325">
        <f>IFERROR(IF(AU325&lt;($AM$6-$AL$6)/($AN$6-$AL$6),$AL$6+SQRT(AU325*($AN$6-$AL$6)*($AM$6-$AL$6)),$AN$6-SQRT((1-AU325)*($AN$6-$AL$6)*($AN$6-$AM$6))),$AM$6)</f>
        <v/>
      </c>
      <c r="AM325">
        <f>IFERROR(IF(AV325&lt;($AM$7-$AL$7)/($AN$7-$AL$7),$AL$7+SQRT(AV325*($AN$7-$AL$7)*($AM$7-$AL$7)),$AN$7-SQRT((1-AV325)*($AN$7-$AL$7)*($AN$7-$AM$7))),$AM$7)</f>
        <v/>
      </c>
      <c r="AN325">
        <f>IFERROR(IF(AW325&lt;($AM$8-$AL$8)/($AN$8-$AL$8),$AL$8+SQRT(AW325*($AN$8-$AL$8)*($AM$8-$AL$8)),$AN$8-SQRT((1-AW325)*($AN$8-$AL$8)*($AN$8-$AM$8))),$AM$8)</f>
        <v/>
      </c>
      <c r="AO325">
        <f>IFERROR(IF(AX325&lt;($AM$9-$AL$9)/($AN$9-$AL$9),$AL$9+SQRT(AX325*($AN$9-$AL$9)*($AM$9-$AL$9)),$AN$9-SQRT((1-AX325)*($AN$9-$AL$9)*($AN$9-$AM$9))),$AM$9)</f>
        <v/>
      </c>
      <c r="AP325">
        <f>IFERROR(IF(AY325&lt;($AM$10-$AL$10)/($AN$10-$AL$10),$AL$10+SQRT(AY325*($AN$10-$AL$10)*($AM$10-$AL$10)),$AN$10-SQRT((1-AY325)*($AN$10-$AL$10)*($AN$10-$AM$10))),$AM$10)</f>
        <v/>
      </c>
      <c r="AQ325">
        <f>IFERROR(IF(AZ325&lt;($AM$11-$AL$11)/($AN$11-$AL$11),$AL$11+SQRT(AZ325*($AN$11-$AL$11)*($AM$11-$AL$11)),$AN$11-SQRT((1-AZ325)*($AN$11-$AL$11)*($AN$11-$AM$11))),$AM$11)</f>
        <v/>
      </c>
      <c r="AR325">
        <f>SUMPRODUCT((B24:B31&lt;=$B$6)*(C24:C31*AM325+D24:D31*AO325*$B$8*AQ325)/(1+AL325/100)^B24:B31)+C32*AM325*AP325/(1+AL325/100)^$B$6</f>
        <v/>
      </c>
      <c r="AS325">
        <f>SUMPRODUCT((K24:K26&lt;=$B$6)*(L24:L26*AN325+M24:M26*AO325*$B$8*AQ325)/(1+AL325/100)^K24:K26)+L27*AN325*AP325/(1+AL325/100)^$B$6</f>
        <v/>
      </c>
      <c r="AT325">
        <f>AS325-AR325</f>
        <v/>
      </c>
      <c r="AU325">
        <f>RAND()</f>
        <v/>
      </c>
      <c r="AV325">
        <f>RAND()</f>
        <v/>
      </c>
      <c r="AW325">
        <f>RAND()</f>
        <v/>
      </c>
      <c r="AX325">
        <f>RAND()</f>
        <v/>
      </c>
      <c r="AY325">
        <f>RAND()</f>
        <v/>
      </c>
      <c r="AZ325">
        <f>RAND()</f>
        <v/>
      </c>
    </row>
    <row r="326">
      <c r="AK326" t="n">
        <v>313</v>
      </c>
      <c r="AL326">
        <f>IFERROR(IF(AU326&lt;($AM$6-$AL$6)/($AN$6-$AL$6),$AL$6+SQRT(AU326*($AN$6-$AL$6)*($AM$6-$AL$6)),$AN$6-SQRT((1-AU326)*($AN$6-$AL$6)*($AN$6-$AM$6))),$AM$6)</f>
        <v/>
      </c>
      <c r="AM326">
        <f>IFERROR(IF(AV326&lt;($AM$7-$AL$7)/($AN$7-$AL$7),$AL$7+SQRT(AV326*($AN$7-$AL$7)*($AM$7-$AL$7)),$AN$7-SQRT((1-AV326)*($AN$7-$AL$7)*($AN$7-$AM$7))),$AM$7)</f>
        <v/>
      </c>
      <c r="AN326">
        <f>IFERROR(IF(AW326&lt;($AM$8-$AL$8)/($AN$8-$AL$8),$AL$8+SQRT(AW326*($AN$8-$AL$8)*($AM$8-$AL$8)),$AN$8-SQRT((1-AW326)*($AN$8-$AL$8)*($AN$8-$AM$8))),$AM$8)</f>
        <v/>
      </c>
      <c r="AO326">
        <f>IFERROR(IF(AX326&lt;($AM$9-$AL$9)/($AN$9-$AL$9),$AL$9+SQRT(AX326*($AN$9-$AL$9)*($AM$9-$AL$9)),$AN$9-SQRT((1-AX326)*($AN$9-$AL$9)*($AN$9-$AM$9))),$AM$9)</f>
        <v/>
      </c>
      <c r="AP326">
        <f>IFERROR(IF(AY326&lt;($AM$10-$AL$10)/($AN$10-$AL$10),$AL$10+SQRT(AY326*($AN$10-$AL$10)*($AM$10-$AL$10)),$AN$10-SQRT((1-AY326)*($AN$10-$AL$10)*($AN$10-$AM$10))),$AM$10)</f>
        <v/>
      </c>
      <c r="AQ326">
        <f>IFERROR(IF(AZ326&lt;($AM$11-$AL$11)/($AN$11-$AL$11),$AL$11+SQRT(AZ326*($AN$11-$AL$11)*($AM$11-$AL$11)),$AN$11-SQRT((1-AZ326)*($AN$11-$AL$11)*($AN$11-$AM$11))),$AM$11)</f>
        <v/>
      </c>
      <c r="AR326">
        <f>SUMPRODUCT((B24:B31&lt;=$B$6)*(C24:C31*AM326+D24:D31*AO326*$B$8*AQ326)/(1+AL326/100)^B24:B31)+C32*AM326*AP326/(1+AL326/100)^$B$6</f>
        <v/>
      </c>
      <c r="AS326">
        <f>SUMPRODUCT((K24:K26&lt;=$B$6)*(L24:L26*AN326+M24:M26*AO326*$B$8*AQ326)/(1+AL326/100)^K24:K26)+L27*AN326*AP326/(1+AL326/100)^$B$6</f>
        <v/>
      </c>
      <c r="AT326">
        <f>AS326-AR326</f>
        <v/>
      </c>
      <c r="AU326">
        <f>RAND()</f>
        <v/>
      </c>
      <c r="AV326">
        <f>RAND()</f>
        <v/>
      </c>
      <c r="AW326">
        <f>RAND()</f>
        <v/>
      </c>
      <c r="AX326">
        <f>RAND()</f>
        <v/>
      </c>
      <c r="AY326">
        <f>RAND()</f>
        <v/>
      </c>
      <c r="AZ326">
        <f>RAND()</f>
        <v/>
      </c>
    </row>
    <row r="327">
      <c r="AK327" t="n">
        <v>314</v>
      </c>
      <c r="AL327">
        <f>IFERROR(IF(AU327&lt;($AM$6-$AL$6)/($AN$6-$AL$6),$AL$6+SQRT(AU327*($AN$6-$AL$6)*($AM$6-$AL$6)),$AN$6-SQRT((1-AU327)*($AN$6-$AL$6)*($AN$6-$AM$6))),$AM$6)</f>
        <v/>
      </c>
      <c r="AM327">
        <f>IFERROR(IF(AV327&lt;($AM$7-$AL$7)/($AN$7-$AL$7),$AL$7+SQRT(AV327*($AN$7-$AL$7)*($AM$7-$AL$7)),$AN$7-SQRT((1-AV327)*($AN$7-$AL$7)*($AN$7-$AM$7))),$AM$7)</f>
        <v/>
      </c>
      <c r="AN327">
        <f>IFERROR(IF(AW327&lt;($AM$8-$AL$8)/($AN$8-$AL$8),$AL$8+SQRT(AW327*($AN$8-$AL$8)*($AM$8-$AL$8)),$AN$8-SQRT((1-AW327)*($AN$8-$AL$8)*($AN$8-$AM$8))),$AM$8)</f>
        <v/>
      </c>
      <c r="AO327">
        <f>IFERROR(IF(AX327&lt;($AM$9-$AL$9)/($AN$9-$AL$9),$AL$9+SQRT(AX327*($AN$9-$AL$9)*($AM$9-$AL$9)),$AN$9-SQRT((1-AX327)*($AN$9-$AL$9)*($AN$9-$AM$9))),$AM$9)</f>
        <v/>
      </c>
      <c r="AP327">
        <f>IFERROR(IF(AY327&lt;($AM$10-$AL$10)/($AN$10-$AL$10),$AL$10+SQRT(AY327*($AN$10-$AL$10)*($AM$10-$AL$10)),$AN$10-SQRT((1-AY327)*($AN$10-$AL$10)*($AN$10-$AM$10))),$AM$10)</f>
        <v/>
      </c>
      <c r="AQ327">
        <f>IFERROR(IF(AZ327&lt;($AM$11-$AL$11)/($AN$11-$AL$11),$AL$11+SQRT(AZ327*($AN$11-$AL$11)*($AM$11-$AL$11)),$AN$11-SQRT((1-AZ327)*($AN$11-$AL$11)*($AN$11-$AM$11))),$AM$11)</f>
        <v/>
      </c>
      <c r="AR327">
        <f>SUMPRODUCT((B24:B31&lt;=$B$6)*(C24:C31*AM327+D24:D31*AO327*$B$8*AQ327)/(1+AL327/100)^B24:B31)+C32*AM327*AP327/(1+AL327/100)^$B$6</f>
        <v/>
      </c>
      <c r="AS327">
        <f>SUMPRODUCT((K24:K26&lt;=$B$6)*(L24:L26*AN327+M24:M26*AO327*$B$8*AQ327)/(1+AL327/100)^K24:K26)+L27*AN327*AP327/(1+AL327/100)^$B$6</f>
        <v/>
      </c>
      <c r="AT327">
        <f>AS327-AR327</f>
        <v/>
      </c>
      <c r="AU327">
        <f>RAND()</f>
        <v/>
      </c>
      <c r="AV327">
        <f>RAND()</f>
        <v/>
      </c>
      <c r="AW327">
        <f>RAND()</f>
        <v/>
      </c>
      <c r="AX327">
        <f>RAND()</f>
        <v/>
      </c>
      <c r="AY327">
        <f>RAND()</f>
        <v/>
      </c>
      <c r="AZ327">
        <f>RAND()</f>
        <v/>
      </c>
    </row>
    <row r="328">
      <c r="AK328" t="n">
        <v>315</v>
      </c>
      <c r="AL328">
        <f>IFERROR(IF(AU328&lt;($AM$6-$AL$6)/($AN$6-$AL$6),$AL$6+SQRT(AU328*($AN$6-$AL$6)*($AM$6-$AL$6)),$AN$6-SQRT((1-AU328)*($AN$6-$AL$6)*($AN$6-$AM$6))),$AM$6)</f>
        <v/>
      </c>
      <c r="AM328">
        <f>IFERROR(IF(AV328&lt;($AM$7-$AL$7)/($AN$7-$AL$7),$AL$7+SQRT(AV328*($AN$7-$AL$7)*($AM$7-$AL$7)),$AN$7-SQRT((1-AV328)*($AN$7-$AL$7)*($AN$7-$AM$7))),$AM$7)</f>
        <v/>
      </c>
      <c r="AN328">
        <f>IFERROR(IF(AW328&lt;($AM$8-$AL$8)/($AN$8-$AL$8),$AL$8+SQRT(AW328*($AN$8-$AL$8)*($AM$8-$AL$8)),$AN$8-SQRT((1-AW328)*($AN$8-$AL$8)*($AN$8-$AM$8))),$AM$8)</f>
        <v/>
      </c>
      <c r="AO328">
        <f>IFERROR(IF(AX328&lt;($AM$9-$AL$9)/($AN$9-$AL$9),$AL$9+SQRT(AX328*($AN$9-$AL$9)*($AM$9-$AL$9)),$AN$9-SQRT((1-AX328)*($AN$9-$AL$9)*($AN$9-$AM$9))),$AM$9)</f>
        <v/>
      </c>
      <c r="AP328">
        <f>IFERROR(IF(AY328&lt;($AM$10-$AL$10)/($AN$10-$AL$10),$AL$10+SQRT(AY328*($AN$10-$AL$10)*($AM$10-$AL$10)),$AN$10-SQRT((1-AY328)*($AN$10-$AL$10)*($AN$10-$AM$10))),$AM$10)</f>
        <v/>
      </c>
      <c r="AQ328">
        <f>IFERROR(IF(AZ328&lt;($AM$11-$AL$11)/($AN$11-$AL$11),$AL$11+SQRT(AZ328*($AN$11-$AL$11)*($AM$11-$AL$11)),$AN$11-SQRT((1-AZ328)*($AN$11-$AL$11)*($AN$11-$AM$11))),$AM$11)</f>
        <v/>
      </c>
      <c r="AR328">
        <f>SUMPRODUCT((B24:B31&lt;=$B$6)*(C24:C31*AM328+D24:D31*AO328*$B$8*AQ328)/(1+AL328/100)^B24:B31)+C32*AM328*AP328/(1+AL328/100)^$B$6</f>
        <v/>
      </c>
      <c r="AS328">
        <f>SUMPRODUCT((K24:K26&lt;=$B$6)*(L24:L26*AN328+M24:M26*AO328*$B$8*AQ328)/(1+AL328/100)^K24:K26)+L27*AN328*AP328/(1+AL328/100)^$B$6</f>
        <v/>
      </c>
      <c r="AT328">
        <f>AS328-AR328</f>
        <v/>
      </c>
      <c r="AU328">
        <f>RAND()</f>
        <v/>
      </c>
      <c r="AV328">
        <f>RAND()</f>
        <v/>
      </c>
      <c r="AW328">
        <f>RAND()</f>
        <v/>
      </c>
      <c r="AX328">
        <f>RAND()</f>
        <v/>
      </c>
      <c r="AY328">
        <f>RAND()</f>
        <v/>
      </c>
      <c r="AZ328">
        <f>RAND()</f>
        <v/>
      </c>
    </row>
    <row r="329">
      <c r="AK329" t="n">
        <v>316</v>
      </c>
      <c r="AL329">
        <f>IFERROR(IF(AU329&lt;($AM$6-$AL$6)/($AN$6-$AL$6),$AL$6+SQRT(AU329*($AN$6-$AL$6)*($AM$6-$AL$6)),$AN$6-SQRT((1-AU329)*($AN$6-$AL$6)*($AN$6-$AM$6))),$AM$6)</f>
        <v/>
      </c>
      <c r="AM329">
        <f>IFERROR(IF(AV329&lt;($AM$7-$AL$7)/($AN$7-$AL$7),$AL$7+SQRT(AV329*($AN$7-$AL$7)*($AM$7-$AL$7)),$AN$7-SQRT((1-AV329)*($AN$7-$AL$7)*($AN$7-$AM$7))),$AM$7)</f>
        <v/>
      </c>
      <c r="AN329">
        <f>IFERROR(IF(AW329&lt;($AM$8-$AL$8)/($AN$8-$AL$8),$AL$8+SQRT(AW329*($AN$8-$AL$8)*($AM$8-$AL$8)),$AN$8-SQRT((1-AW329)*($AN$8-$AL$8)*($AN$8-$AM$8))),$AM$8)</f>
        <v/>
      </c>
      <c r="AO329">
        <f>IFERROR(IF(AX329&lt;($AM$9-$AL$9)/($AN$9-$AL$9),$AL$9+SQRT(AX329*($AN$9-$AL$9)*($AM$9-$AL$9)),$AN$9-SQRT((1-AX329)*($AN$9-$AL$9)*($AN$9-$AM$9))),$AM$9)</f>
        <v/>
      </c>
      <c r="AP329">
        <f>IFERROR(IF(AY329&lt;($AM$10-$AL$10)/($AN$10-$AL$10),$AL$10+SQRT(AY329*($AN$10-$AL$10)*($AM$10-$AL$10)),$AN$10-SQRT((1-AY329)*($AN$10-$AL$10)*($AN$10-$AM$10))),$AM$10)</f>
        <v/>
      </c>
      <c r="AQ329">
        <f>IFERROR(IF(AZ329&lt;($AM$11-$AL$11)/($AN$11-$AL$11),$AL$11+SQRT(AZ329*($AN$11-$AL$11)*($AM$11-$AL$11)),$AN$11-SQRT((1-AZ329)*($AN$11-$AL$11)*($AN$11-$AM$11))),$AM$11)</f>
        <v/>
      </c>
      <c r="AR329">
        <f>SUMPRODUCT((B24:B31&lt;=$B$6)*(C24:C31*AM329+D24:D31*AO329*$B$8*AQ329)/(1+AL329/100)^B24:B31)+C32*AM329*AP329/(1+AL329/100)^$B$6</f>
        <v/>
      </c>
      <c r="AS329">
        <f>SUMPRODUCT((K24:K26&lt;=$B$6)*(L24:L26*AN329+M24:M26*AO329*$B$8*AQ329)/(1+AL329/100)^K24:K26)+L27*AN329*AP329/(1+AL329/100)^$B$6</f>
        <v/>
      </c>
      <c r="AT329">
        <f>AS329-AR329</f>
        <v/>
      </c>
      <c r="AU329">
        <f>RAND()</f>
        <v/>
      </c>
      <c r="AV329">
        <f>RAND()</f>
        <v/>
      </c>
      <c r="AW329">
        <f>RAND()</f>
        <v/>
      </c>
      <c r="AX329">
        <f>RAND()</f>
        <v/>
      </c>
      <c r="AY329">
        <f>RAND()</f>
        <v/>
      </c>
      <c r="AZ329">
        <f>RAND()</f>
        <v/>
      </c>
    </row>
    <row r="330">
      <c r="AK330" t="n">
        <v>317</v>
      </c>
      <c r="AL330">
        <f>IFERROR(IF(AU330&lt;($AM$6-$AL$6)/($AN$6-$AL$6),$AL$6+SQRT(AU330*($AN$6-$AL$6)*($AM$6-$AL$6)),$AN$6-SQRT((1-AU330)*($AN$6-$AL$6)*($AN$6-$AM$6))),$AM$6)</f>
        <v/>
      </c>
      <c r="AM330">
        <f>IFERROR(IF(AV330&lt;($AM$7-$AL$7)/($AN$7-$AL$7),$AL$7+SQRT(AV330*($AN$7-$AL$7)*($AM$7-$AL$7)),$AN$7-SQRT((1-AV330)*($AN$7-$AL$7)*($AN$7-$AM$7))),$AM$7)</f>
        <v/>
      </c>
      <c r="AN330">
        <f>IFERROR(IF(AW330&lt;($AM$8-$AL$8)/($AN$8-$AL$8),$AL$8+SQRT(AW330*($AN$8-$AL$8)*($AM$8-$AL$8)),$AN$8-SQRT((1-AW330)*($AN$8-$AL$8)*($AN$8-$AM$8))),$AM$8)</f>
        <v/>
      </c>
      <c r="AO330">
        <f>IFERROR(IF(AX330&lt;($AM$9-$AL$9)/($AN$9-$AL$9),$AL$9+SQRT(AX330*($AN$9-$AL$9)*($AM$9-$AL$9)),$AN$9-SQRT((1-AX330)*($AN$9-$AL$9)*($AN$9-$AM$9))),$AM$9)</f>
        <v/>
      </c>
      <c r="AP330">
        <f>IFERROR(IF(AY330&lt;($AM$10-$AL$10)/($AN$10-$AL$10),$AL$10+SQRT(AY330*($AN$10-$AL$10)*($AM$10-$AL$10)),$AN$10-SQRT((1-AY330)*($AN$10-$AL$10)*($AN$10-$AM$10))),$AM$10)</f>
        <v/>
      </c>
      <c r="AQ330">
        <f>IFERROR(IF(AZ330&lt;($AM$11-$AL$11)/($AN$11-$AL$11),$AL$11+SQRT(AZ330*($AN$11-$AL$11)*($AM$11-$AL$11)),$AN$11-SQRT((1-AZ330)*($AN$11-$AL$11)*($AN$11-$AM$11))),$AM$11)</f>
        <v/>
      </c>
      <c r="AR330">
        <f>SUMPRODUCT((B24:B31&lt;=$B$6)*(C24:C31*AM330+D24:D31*AO330*$B$8*AQ330)/(1+AL330/100)^B24:B31)+C32*AM330*AP330/(1+AL330/100)^$B$6</f>
        <v/>
      </c>
      <c r="AS330">
        <f>SUMPRODUCT((K24:K26&lt;=$B$6)*(L24:L26*AN330+M24:M26*AO330*$B$8*AQ330)/(1+AL330/100)^K24:K26)+L27*AN330*AP330/(1+AL330/100)^$B$6</f>
        <v/>
      </c>
      <c r="AT330">
        <f>AS330-AR330</f>
        <v/>
      </c>
      <c r="AU330">
        <f>RAND()</f>
        <v/>
      </c>
      <c r="AV330">
        <f>RAND()</f>
        <v/>
      </c>
      <c r="AW330">
        <f>RAND()</f>
        <v/>
      </c>
      <c r="AX330">
        <f>RAND()</f>
        <v/>
      </c>
      <c r="AY330">
        <f>RAND()</f>
        <v/>
      </c>
      <c r="AZ330">
        <f>RAND()</f>
        <v/>
      </c>
    </row>
    <row r="331">
      <c r="AK331" t="n">
        <v>318</v>
      </c>
      <c r="AL331">
        <f>IFERROR(IF(AU331&lt;($AM$6-$AL$6)/($AN$6-$AL$6),$AL$6+SQRT(AU331*($AN$6-$AL$6)*($AM$6-$AL$6)),$AN$6-SQRT((1-AU331)*($AN$6-$AL$6)*($AN$6-$AM$6))),$AM$6)</f>
        <v/>
      </c>
      <c r="AM331">
        <f>IFERROR(IF(AV331&lt;($AM$7-$AL$7)/($AN$7-$AL$7),$AL$7+SQRT(AV331*($AN$7-$AL$7)*($AM$7-$AL$7)),$AN$7-SQRT((1-AV331)*($AN$7-$AL$7)*($AN$7-$AM$7))),$AM$7)</f>
        <v/>
      </c>
      <c r="AN331">
        <f>IFERROR(IF(AW331&lt;($AM$8-$AL$8)/($AN$8-$AL$8),$AL$8+SQRT(AW331*($AN$8-$AL$8)*($AM$8-$AL$8)),$AN$8-SQRT((1-AW331)*($AN$8-$AL$8)*($AN$8-$AM$8))),$AM$8)</f>
        <v/>
      </c>
      <c r="AO331">
        <f>IFERROR(IF(AX331&lt;($AM$9-$AL$9)/($AN$9-$AL$9),$AL$9+SQRT(AX331*($AN$9-$AL$9)*($AM$9-$AL$9)),$AN$9-SQRT((1-AX331)*($AN$9-$AL$9)*($AN$9-$AM$9))),$AM$9)</f>
        <v/>
      </c>
      <c r="AP331">
        <f>IFERROR(IF(AY331&lt;($AM$10-$AL$10)/($AN$10-$AL$10),$AL$10+SQRT(AY331*($AN$10-$AL$10)*($AM$10-$AL$10)),$AN$10-SQRT((1-AY331)*($AN$10-$AL$10)*($AN$10-$AM$10))),$AM$10)</f>
        <v/>
      </c>
      <c r="AQ331">
        <f>IFERROR(IF(AZ331&lt;($AM$11-$AL$11)/($AN$11-$AL$11),$AL$11+SQRT(AZ331*($AN$11-$AL$11)*($AM$11-$AL$11)),$AN$11-SQRT((1-AZ331)*($AN$11-$AL$11)*($AN$11-$AM$11))),$AM$11)</f>
        <v/>
      </c>
      <c r="AR331">
        <f>SUMPRODUCT((B24:B31&lt;=$B$6)*(C24:C31*AM331+D24:D31*AO331*$B$8*AQ331)/(1+AL331/100)^B24:B31)+C32*AM331*AP331/(1+AL331/100)^$B$6</f>
        <v/>
      </c>
      <c r="AS331">
        <f>SUMPRODUCT((K24:K26&lt;=$B$6)*(L24:L26*AN331+M24:M26*AO331*$B$8*AQ331)/(1+AL331/100)^K24:K26)+L27*AN331*AP331/(1+AL331/100)^$B$6</f>
        <v/>
      </c>
      <c r="AT331">
        <f>AS331-AR331</f>
        <v/>
      </c>
      <c r="AU331">
        <f>RAND()</f>
        <v/>
      </c>
      <c r="AV331">
        <f>RAND()</f>
        <v/>
      </c>
      <c r="AW331">
        <f>RAND()</f>
        <v/>
      </c>
      <c r="AX331">
        <f>RAND()</f>
        <v/>
      </c>
      <c r="AY331">
        <f>RAND()</f>
        <v/>
      </c>
      <c r="AZ331">
        <f>RAND()</f>
        <v/>
      </c>
    </row>
    <row r="332">
      <c r="AK332" t="n">
        <v>319</v>
      </c>
      <c r="AL332">
        <f>IFERROR(IF(AU332&lt;($AM$6-$AL$6)/($AN$6-$AL$6),$AL$6+SQRT(AU332*($AN$6-$AL$6)*($AM$6-$AL$6)),$AN$6-SQRT((1-AU332)*($AN$6-$AL$6)*($AN$6-$AM$6))),$AM$6)</f>
        <v/>
      </c>
      <c r="AM332">
        <f>IFERROR(IF(AV332&lt;($AM$7-$AL$7)/($AN$7-$AL$7),$AL$7+SQRT(AV332*($AN$7-$AL$7)*($AM$7-$AL$7)),$AN$7-SQRT((1-AV332)*($AN$7-$AL$7)*($AN$7-$AM$7))),$AM$7)</f>
        <v/>
      </c>
      <c r="AN332">
        <f>IFERROR(IF(AW332&lt;($AM$8-$AL$8)/($AN$8-$AL$8),$AL$8+SQRT(AW332*($AN$8-$AL$8)*($AM$8-$AL$8)),$AN$8-SQRT((1-AW332)*($AN$8-$AL$8)*($AN$8-$AM$8))),$AM$8)</f>
        <v/>
      </c>
      <c r="AO332">
        <f>IFERROR(IF(AX332&lt;($AM$9-$AL$9)/($AN$9-$AL$9),$AL$9+SQRT(AX332*($AN$9-$AL$9)*($AM$9-$AL$9)),$AN$9-SQRT((1-AX332)*($AN$9-$AL$9)*($AN$9-$AM$9))),$AM$9)</f>
        <v/>
      </c>
      <c r="AP332">
        <f>IFERROR(IF(AY332&lt;($AM$10-$AL$10)/($AN$10-$AL$10),$AL$10+SQRT(AY332*($AN$10-$AL$10)*($AM$10-$AL$10)),$AN$10-SQRT((1-AY332)*($AN$10-$AL$10)*($AN$10-$AM$10))),$AM$10)</f>
        <v/>
      </c>
      <c r="AQ332">
        <f>IFERROR(IF(AZ332&lt;($AM$11-$AL$11)/($AN$11-$AL$11),$AL$11+SQRT(AZ332*($AN$11-$AL$11)*($AM$11-$AL$11)),$AN$11-SQRT((1-AZ332)*($AN$11-$AL$11)*($AN$11-$AM$11))),$AM$11)</f>
        <v/>
      </c>
      <c r="AR332">
        <f>SUMPRODUCT((B24:B31&lt;=$B$6)*(C24:C31*AM332+D24:D31*AO332*$B$8*AQ332)/(1+AL332/100)^B24:B31)+C32*AM332*AP332/(1+AL332/100)^$B$6</f>
        <v/>
      </c>
      <c r="AS332">
        <f>SUMPRODUCT((K24:K26&lt;=$B$6)*(L24:L26*AN332+M24:M26*AO332*$B$8*AQ332)/(1+AL332/100)^K24:K26)+L27*AN332*AP332/(1+AL332/100)^$B$6</f>
        <v/>
      </c>
      <c r="AT332">
        <f>AS332-AR332</f>
        <v/>
      </c>
      <c r="AU332">
        <f>RAND()</f>
        <v/>
      </c>
      <c r="AV332">
        <f>RAND()</f>
        <v/>
      </c>
      <c r="AW332">
        <f>RAND()</f>
        <v/>
      </c>
      <c r="AX332">
        <f>RAND()</f>
        <v/>
      </c>
      <c r="AY332">
        <f>RAND()</f>
        <v/>
      </c>
      <c r="AZ332">
        <f>RAND()</f>
        <v/>
      </c>
    </row>
    <row r="333">
      <c r="AK333" t="n">
        <v>320</v>
      </c>
      <c r="AL333">
        <f>IFERROR(IF(AU333&lt;($AM$6-$AL$6)/($AN$6-$AL$6),$AL$6+SQRT(AU333*($AN$6-$AL$6)*($AM$6-$AL$6)),$AN$6-SQRT((1-AU333)*($AN$6-$AL$6)*($AN$6-$AM$6))),$AM$6)</f>
        <v/>
      </c>
      <c r="AM333">
        <f>IFERROR(IF(AV333&lt;($AM$7-$AL$7)/($AN$7-$AL$7),$AL$7+SQRT(AV333*($AN$7-$AL$7)*($AM$7-$AL$7)),$AN$7-SQRT((1-AV333)*($AN$7-$AL$7)*($AN$7-$AM$7))),$AM$7)</f>
        <v/>
      </c>
      <c r="AN333">
        <f>IFERROR(IF(AW333&lt;($AM$8-$AL$8)/($AN$8-$AL$8),$AL$8+SQRT(AW333*($AN$8-$AL$8)*($AM$8-$AL$8)),$AN$8-SQRT((1-AW333)*($AN$8-$AL$8)*($AN$8-$AM$8))),$AM$8)</f>
        <v/>
      </c>
      <c r="AO333">
        <f>IFERROR(IF(AX333&lt;($AM$9-$AL$9)/($AN$9-$AL$9),$AL$9+SQRT(AX333*($AN$9-$AL$9)*($AM$9-$AL$9)),$AN$9-SQRT((1-AX333)*($AN$9-$AL$9)*($AN$9-$AM$9))),$AM$9)</f>
        <v/>
      </c>
      <c r="AP333">
        <f>IFERROR(IF(AY333&lt;($AM$10-$AL$10)/($AN$10-$AL$10),$AL$10+SQRT(AY333*($AN$10-$AL$10)*($AM$10-$AL$10)),$AN$10-SQRT((1-AY333)*($AN$10-$AL$10)*($AN$10-$AM$10))),$AM$10)</f>
        <v/>
      </c>
      <c r="AQ333">
        <f>IFERROR(IF(AZ333&lt;($AM$11-$AL$11)/($AN$11-$AL$11),$AL$11+SQRT(AZ333*($AN$11-$AL$11)*($AM$11-$AL$11)),$AN$11-SQRT((1-AZ333)*($AN$11-$AL$11)*($AN$11-$AM$11))),$AM$11)</f>
        <v/>
      </c>
      <c r="AR333">
        <f>SUMPRODUCT((B24:B31&lt;=$B$6)*(C24:C31*AM333+D24:D31*AO333*$B$8*AQ333)/(1+AL333/100)^B24:B31)+C32*AM333*AP333/(1+AL333/100)^$B$6</f>
        <v/>
      </c>
      <c r="AS333">
        <f>SUMPRODUCT((K24:K26&lt;=$B$6)*(L24:L26*AN333+M24:M26*AO333*$B$8*AQ333)/(1+AL333/100)^K24:K26)+L27*AN333*AP333/(1+AL333/100)^$B$6</f>
        <v/>
      </c>
      <c r="AT333">
        <f>AS333-AR333</f>
        <v/>
      </c>
      <c r="AU333">
        <f>RAND()</f>
        <v/>
      </c>
      <c r="AV333">
        <f>RAND()</f>
        <v/>
      </c>
      <c r="AW333">
        <f>RAND()</f>
        <v/>
      </c>
      <c r="AX333">
        <f>RAND()</f>
        <v/>
      </c>
      <c r="AY333">
        <f>RAND()</f>
        <v/>
      </c>
      <c r="AZ333">
        <f>RAND()</f>
        <v/>
      </c>
    </row>
    <row r="334">
      <c r="AK334" t="n">
        <v>321</v>
      </c>
      <c r="AL334">
        <f>IFERROR(IF(AU334&lt;($AM$6-$AL$6)/($AN$6-$AL$6),$AL$6+SQRT(AU334*($AN$6-$AL$6)*($AM$6-$AL$6)),$AN$6-SQRT((1-AU334)*($AN$6-$AL$6)*($AN$6-$AM$6))),$AM$6)</f>
        <v/>
      </c>
      <c r="AM334">
        <f>IFERROR(IF(AV334&lt;($AM$7-$AL$7)/($AN$7-$AL$7),$AL$7+SQRT(AV334*($AN$7-$AL$7)*($AM$7-$AL$7)),$AN$7-SQRT((1-AV334)*($AN$7-$AL$7)*($AN$7-$AM$7))),$AM$7)</f>
        <v/>
      </c>
      <c r="AN334">
        <f>IFERROR(IF(AW334&lt;($AM$8-$AL$8)/($AN$8-$AL$8),$AL$8+SQRT(AW334*($AN$8-$AL$8)*($AM$8-$AL$8)),$AN$8-SQRT((1-AW334)*($AN$8-$AL$8)*($AN$8-$AM$8))),$AM$8)</f>
        <v/>
      </c>
      <c r="AO334">
        <f>IFERROR(IF(AX334&lt;($AM$9-$AL$9)/($AN$9-$AL$9),$AL$9+SQRT(AX334*($AN$9-$AL$9)*($AM$9-$AL$9)),$AN$9-SQRT((1-AX334)*($AN$9-$AL$9)*($AN$9-$AM$9))),$AM$9)</f>
        <v/>
      </c>
      <c r="AP334">
        <f>IFERROR(IF(AY334&lt;($AM$10-$AL$10)/($AN$10-$AL$10),$AL$10+SQRT(AY334*($AN$10-$AL$10)*($AM$10-$AL$10)),$AN$10-SQRT((1-AY334)*($AN$10-$AL$10)*($AN$10-$AM$10))),$AM$10)</f>
        <v/>
      </c>
      <c r="AQ334">
        <f>IFERROR(IF(AZ334&lt;($AM$11-$AL$11)/($AN$11-$AL$11),$AL$11+SQRT(AZ334*($AN$11-$AL$11)*($AM$11-$AL$11)),$AN$11-SQRT((1-AZ334)*($AN$11-$AL$11)*($AN$11-$AM$11))),$AM$11)</f>
        <v/>
      </c>
      <c r="AR334">
        <f>SUMPRODUCT((B24:B31&lt;=$B$6)*(C24:C31*AM334+D24:D31*AO334*$B$8*AQ334)/(1+AL334/100)^B24:B31)+C32*AM334*AP334/(1+AL334/100)^$B$6</f>
        <v/>
      </c>
      <c r="AS334">
        <f>SUMPRODUCT((K24:K26&lt;=$B$6)*(L24:L26*AN334+M24:M26*AO334*$B$8*AQ334)/(1+AL334/100)^K24:K26)+L27*AN334*AP334/(1+AL334/100)^$B$6</f>
        <v/>
      </c>
      <c r="AT334">
        <f>AS334-AR334</f>
        <v/>
      </c>
      <c r="AU334">
        <f>RAND()</f>
        <v/>
      </c>
      <c r="AV334">
        <f>RAND()</f>
        <v/>
      </c>
      <c r="AW334">
        <f>RAND()</f>
        <v/>
      </c>
      <c r="AX334">
        <f>RAND()</f>
        <v/>
      </c>
      <c r="AY334">
        <f>RAND()</f>
        <v/>
      </c>
      <c r="AZ334">
        <f>RAND()</f>
        <v/>
      </c>
    </row>
    <row r="335">
      <c r="AK335" t="n">
        <v>322</v>
      </c>
      <c r="AL335">
        <f>IFERROR(IF(AU335&lt;($AM$6-$AL$6)/($AN$6-$AL$6),$AL$6+SQRT(AU335*($AN$6-$AL$6)*($AM$6-$AL$6)),$AN$6-SQRT((1-AU335)*($AN$6-$AL$6)*($AN$6-$AM$6))),$AM$6)</f>
        <v/>
      </c>
      <c r="AM335">
        <f>IFERROR(IF(AV335&lt;($AM$7-$AL$7)/($AN$7-$AL$7),$AL$7+SQRT(AV335*($AN$7-$AL$7)*($AM$7-$AL$7)),$AN$7-SQRT((1-AV335)*($AN$7-$AL$7)*($AN$7-$AM$7))),$AM$7)</f>
        <v/>
      </c>
      <c r="AN335">
        <f>IFERROR(IF(AW335&lt;($AM$8-$AL$8)/($AN$8-$AL$8),$AL$8+SQRT(AW335*($AN$8-$AL$8)*($AM$8-$AL$8)),$AN$8-SQRT((1-AW335)*($AN$8-$AL$8)*($AN$8-$AM$8))),$AM$8)</f>
        <v/>
      </c>
      <c r="AO335">
        <f>IFERROR(IF(AX335&lt;($AM$9-$AL$9)/($AN$9-$AL$9),$AL$9+SQRT(AX335*($AN$9-$AL$9)*($AM$9-$AL$9)),$AN$9-SQRT((1-AX335)*($AN$9-$AL$9)*($AN$9-$AM$9))),$AM$9)</f>
        <v/>
      </c>
      <c r="AP335">
        <f>IFERROR(IF(AY335&lt;($AM$10-$AL$10)/($AN$10-$AL$10),$AL$10+SQRT(AY335*($AN$10-$AL$10)*($AM$10-$AL$10)),$AN$10-SQRT((1-AY335)*($AN$10-$AL$10)*($AN$10-$AM$10))),$AM$10)</f>
        <v/>
      </c>
      <c r="AQ335">
        <f>IFERROR(IF(AZ335&lt;($AM$11-$AL$11)/($AN$11-$AL$11),$AL$11+SQRT(AZ335*($AN$11-$AL$11)*($AM$11-$AL$11)),$AN$11-SQRT((1-AZ335)*($AN$11-$AL$11)*($AN$11-$AM$11))),$AM$11)</f>
        <v/>
      </c>
      <c r="AR335">
        <f>SUMPRODUCT((B24:B31&lt;=$B$6)*(C24:C31*AM335+D24:D31*AO335*$B$8*AQ335)/(1+AL335/100)^B24:B31)+C32*AM335*AP335/(1+AL335/100)^$B$6</f>
        <v/>
      </c>
      <c r="AS335">
        <f>SUMPRODUCT((K24:K26&lt;=$B$6)*(L24:L26*AN335+M24:M26*AO335*$B$8*AQ335)/(1+AL335/100)^K24:K26)+L27*AN335*AP335/(1+AL335/100)^$B$6</f>
        <v/>
      </c>
      <c r="AT335">
        <f>AS335-AR335</f>
        <v/>
      </c>
      <c r="AU335">
        <f>RAND()</f>
        <v/>
      </c>
      <c r="AV335">
        <f>RAND()</f>
        <v/>
      </c>
      <c r="AW335">
        <f>RAND()</f>
        <v/>
      </c>
      <c r="AX335">
        <f>RAND()</f>
        <v/>
      </c>
      <c r="AY335">
        <f>RAND()</f>
        <v/>
      </c>
      <c r="AZ335">
        <f>RAND()</f>
        <v/>
      </c>
    </row>
    <row r="336">
      <c r="AK336" t="n">
        <v>323</v>
      </c>
      <c r="AL336">
        <f>IFERROR(IF(AU336&lt;($AM$6-$AL$6)/($AN$6-$AL$6),$AL$6+SQRT(AU336*($AN$6-$AL$6)*($AM$6-$AL$6)),$AN$6-SQRT((1-AU336)*($AN$6-$AL$6)*($AN$6-$AM$6))),$AM$6)</f>
        <v/>
      </c>
      <c r="AM336">
        <f>IFERROR(IF(AV336&lt;($AM$7-$AL$7)/($AN$7-$AL$7),$AL$7+SQRT(AV336*($AN$7-$AL$7)*($AM$7-$AL$7)),$AN$7-SQRT((1-AV336)*($AN$7-$AL$7)*($AN$7-$AM$7))),$AM$7)</f>
        <v/>
      </c>
      <c r="AN336">
        <f>IFERROR(IF(AW336&lt;($AM$8-$AL$8)/($AN$8-$AL$8),$AL$8+SQRT(AW336*($AN$8-$AL$8)*($AM$8-$AL$8)),$AN$8-SQRT((1-AW336)*($AN$8-$AL$8)*($AN$8-$AM$8))),$AM$8)</f>
        <v/>
      </c>
      <c r="AO336">
        <f>IFERROR(IF(AX336&lt;($AM$9-$AL$9)/($AN$9-$AL$9),$AL$9+SQRT(AX336*($AN$9-$AL$9)*($AM$9-$AL$9)),$AN$9-SQRT((1-AX336)*($AN$9-$AL$9)*($AN$9-$AM$9))),$AM$9)</f>
        <v/>
      </c>
      <c r="AP336">
        <f>IFERROR(IF(AY336&lt;($AM$10-$AL$10)/($AN$10-$AL$10),$AL$10+SQRT(AY336*($AN$10-$AL$10)*($AM$10-$AL$10)),$AN$10-SQRT((1-AY336)*($AN$10-$AL$10)*($AN$10-$AM$10))),$AM$10)</f>
        <v/>
      </c>
      <c r="AQ336">
        <f>IFERROR(IF(AZ336&lt;($AM$11-$AL$11)/($AN$11-$AL$11),$AL$11+SQRT(AZ336*($AN$11-$AL$11)*($AM$11-$AL$11)),$AN$11-SQRT((1-AZ336)*($AN$11-$AL$11)*($AN$11-$AM$11))),$AM$11)</f>
        <v/>
      </c>
      <c r="AR336">
        <f>SUMPRODUCT((B24:B31&lt;=$B$6)*(C24:C31*AM336+D24:D31*AO336*$B$8*AQ336)/(1+AL336/100)^B24:B31)+C32*AM336*AP336/(1+AL336/100)^$B$6</f>
        <v/>
      </c>
      <c r="AS336">
        <f>SUMPRODUCT((K24:K26&lt;=$B$6)*(L24:L26*AN336+M24:M26*AO336*$B$8*AQ336)/(1+AL336/100)^K24:K26)+L27*AN336*AP336/(1+AL336/100)^$B$6</f>
        <v/>
      </c>
      <c r="AT336">
        <f>AS336-AR336</f>
        <v/>
      </c>
      <c r="AU336">
        <f>RAND()</f>
        <v/>
      </c>
      <c r="AV336">
        <f>RAND()</f>
        <v/>
      </c>
      <c r="AW336">
        <f>RAND()</f>
        <v/>
      </c>
      <c r="AX336">
        <f>RAND()</f>
        <v/>
      </c>
      <c r="AY336">
        <f>RAND()</f>
        <v/>
      </c>
      <c r="AZ336">
        <f>RAND()</f>
        <v/>
      </c>
    </row>
    <row r="337">
      <c r="AK337" t="n">
        <v>324</v>
      </c>
      <c r="AL337">
        <f>IFERROR(IF(AU337&lt;($AM$6-$AL$6)/($AN$6-$AL$6),$AL$6+SQRT(AU337*($AN$6-$AL$6)*($AM$6-$AL$6)),$AN$6-SQRT((1-AU337)*($AN$6-$AL$6)*($AN$6-$AM$6))),$AM$6)</f>
        <v/>
      </c>
      <c r="AM337">
        <f>IFERROR(IF(AV337&lt;($AM$7-$AL$7)/($AN$7-$AL$7),$AL$7+SQRT(AV337*($AN$7-$AL$7)*($AM$7-$AL$7)),$AN$7-SQRT((1-AV337)*($AN$7-$AL$7)*($AN$7-$AM$7))),$AM$7)</f>
        <v/>
      </c>
      <c r="AN337">
        <f>IFERROR(IF(AW337&lt;($AM$8-$AL$8)/($AN$8-$AL$8),$AL$8+SQRT(AW337*($AN$8-$AL$8)*($AM$8-$AL$8)),$AN$8-SQRT((1-AW337)*($AN$8-$AL$8)*($AN$8-$AM$8))),$AM$8)</f>
        <v/>
      </c>
      <c r="AO337">
        <f>IFERROR(IF(AX337&lt;($AM$9-$AL$9)/($AN$9-$AL$9),$AL$9+SQRT(AX337*($AN$9-$AL$9)*($AM$9-$AL$9)),$AN$9-SQRT((1-AX337)*($AN$9-$AL$9)*($AN$9-$AM$9))),$AM$9)</f>
        <v/>
      </c>
      <c r="AP337">
        <f>IFERROR(IF(AY337&lt;($AM$10-$AL$10)/($AN$10-$AL$10),$AL$10+SQRT(AY337*($AN$10-$AL$10)*($AM$10-$AL$10)),$AN$10-SQRT((1-AY337)*($AN$10-$AL$10)*($AN$10-$AM$10))),$AM$10)</f>
        <v/>
      </c>
      <c r="AQ337">
        <f>IFERROR(IF(AZ337&lt;($AM$11-$AL$11)/($AN$11-$AL$11),$AL$11+SQRT(AZ337*($AN$11-$AL$11)*($AM$11-$AL$11)),$AN$11-SQRT((1-AZ337)*($AN$11-$AL$11)*($AN$11-$AM$11))),$AM$11)</f>
        <v/>
      </c>
      <c r="AR337">
        <f>SUMPRODUCT((B24:B31&lt;=$B$6)*(C24:C31*AM337+D24:D31*AO337*$B$8*AQ337)/(1+AL337/100)^B24:B31)+C32*AM337*AP337/(1+AL337/100)^$B$6</f>
        <v/>
      </c>
      <c r="AS337">
        <f>SUMPRODUCT((K24:K26&lt;=$B$6)*(L24:L26*AN337+M24:M26*AO337*$B$8*AQ337)/(1+AL337/100)^K24:K26)+L27*AN337*AP337/(1+AL337/100)^$B$6</f>
        <v/>
      </c>
      <c r="AT337">
        <f>AS337-AR337</f>
        <v/>
      </c>
      <c r="AU337">
        <f>RAND()</f>
        <v/>
      </c>
      <c r="AV337">
        <f>RAND()</f>
        <v/>
      </c>
      <c r="AW337">
        <f>RAND()</f>
        <v/>
      </c>
      <c r="AX337">
        <f>RAND()</f>
        <v/>
      </c>
      <c r="AY337">
        <f>RAND()</f>
        <v/>
      </c>
      <c r="AZ337">
        <f>RAND()</f>
        <v/>
      </c>
    </row>
    <row r="338">
      <c r="AK338" t="n">
        <v>325</v>
      </c>
      <c r="AL338">
        <f>IFERROR(IF(AU338&lt;($AM$6-$AL$6)/($AN$6-$AL$6),$AL$6+SQRT(AU338*($AN$6-$AL$6)*($AM$6-$AL$6)),$AN$6-SQRT((1-AU338)*($AN$6-$AL$6)*($AN$6-$AM$6))),$AM$6)</f>
        <v/>
      </c>
      <c r="AM338">
        <f>IFERROR(IF(AV338&lt;($AM$7-$AL$7)/($AN$7-$AL$7),$AL$7+SQRT(AV338*($AN$7-$AL$7)*($AM$7-$AL$7)),$AN$7-SQRT((1-AV338)*($AN$7-$AL$7)*($AN$7-$AM$7))),$AM$7)</f>
        <v/>
      </c>
      <c r="AN338">
        <f>IFERROR(IF(AW338&lt;($AM$8-$AL$8)/($AN$8-$AL$8),$AL$8+SQRT(AW338*($AN$8-$AL$8)*($AM$8-$AL$8)),$AN$8-SQRT((1-AW338)*($AN$8-$AL$8)*($AN$8-$AM$8))),$AM$8)</f>
        <v/>
      </c>
      <c r="AO338">
        <f>IFERROR(IF(AX338&lt;($AM$9-$AL$9)/($AN$9-$AL$9),$AL$9+SQRT(AX338*($AN$9-$AL$9)*($AM$9-$AL$9)),$AN$9-SQRT((1-AX338)*($AN$9-$AL$9)*($AN$9-$AM$9))),$AM$9)</f>
        <v/>
      </c>
      <c r="AP338">
        <f>IFERROR(IF(AY338&lt;($AM$10-$AL$10)/($AN$10-$AL$10),$AL$10+SQRT(AY338*($AN$10-$AL$10)*($AM$10-$AL$10)),$AN$10-SQRT((1-AY338)*($AN$10-$AL$10)*($AN$10-$AM$10))),$AM$10)</f>
        <v/>
      </c>
      <c r="AQ338">
        <f>IFERROR(IF(AZ338&lt;($AM$11-$AL$11)/($AN$11-$AL$11),$AL$11+SQRT(AZ338*($AN$11-$AL$11)*($AM$11-$AL$11)),$AN$11-SQRT((1-AZ338)*($AN$11-$AL$11)*($AN$11-$AM$11))),$AM$11)</f>
        <v/>
      </c>
      <c r="AR338">
        <f>SUMPRODUCT((B24:B31&lt;=$B$6)*(C24:C31*AM338+D24:D31*AO338*$B$8*AQ338)/(1+AL338/100)^B24:B31)+C32*AM338*AP338/(1+AL338/100)^$B$6</f>
        <v/>
      </c>
      <c r="AS338">
        <f>SUMPRODUCT((K24:K26&lt;=$B$6)*(L24:L26*AN338+M24:M26*AO338*$B$8*AQ338)/(1+AL338/100)^K24:K26)+L27*AN338*AP338/(1+AL338/100)^$B$6</f>
        <v/>
      </c>
      <c r="AT338">
        <f>AS338-AR338</f>
        <v/>
      </c>
      <c r="AU338">
        <f>RAND()</f>
        <v/>
      </c>
      <c r="AV338">
        <f>RAND()</f>
        <v/>
      </c>
      <c r="AW338">
        <f>RAND()</f>
        <v/>
      </c>
      <c r="AX338">
        <f>RAND()</f>
        <v/>
      </c>
      <c r="AY338">
        <f>RAND()</f>
        <v/>
      </c>
      <c r="AZ338">
        <f>RAND()</f>
        <v/>
      </c>
    </row>
    <row r="339">
      <c r="AK339" t="n">
        <v>326</v>
      </c>
      <c r="AL339">
        <f>IFERROR(IF(AU339&lt;($AM$6-$AL$6)/($AN$6-$AL$6),$AL$6+SQRT(AU339*($AN$6-$AL$6)*($AM$6-$AL$6)),$AN$6-SQRT((1-AU339)*($AN$6-$AL$6)*($AN$6-$AM$6))),$AM$6)</f>
        <v/>
      </c>
      <c r="AM339">
        <f>IFERROR(IF(AV339&lt;($AM$7-$AL$7)/($AN$7-$AL$7),$AL$7+SQRT(AV339*($AN$7-$AL$7)*($AM$7-$AL$7)),$AN$7-SQRT((1-AV339)*($AN$7-$AL$7)*($AN$7-$AM$7))),$AM$7)</f>
        <v/>
      </c>
      <c r="AN339">
        <f>IFERROR(IF(AW339&lt;($AM$8-$AL$8)/($AN$8-$AL$8),$AL$8+SQRT(AW339*($AN$8-$AL$8)*($AM$8-$AL$8)),$AN$8-SQRT((1-AW339)*($AN$8-$AL$8)*($AN$8-$AM$8))),$AM$8)</f>
        <v/>
      </c>
      <c r="AO339">
        <f>IFERROR(IF(AX339&lt;($AM$9-$AL$9)/($AN$9-$AL$9),$AL$9+SQRT(AX339*($AN$9-$AL$9)*($AM$9-$AL$9)),$AN$9-SQRT((1-AX339)*($AN$9-$AL$9)*($AN$9-$AM$9))),$AM$9)</f>
        <v/>
      </c>
      <c r="AP339">
        <f>IFERROR(IF(AY339&lt;($AM$10-$AL$10)/($AN$10-$AL$10),$AL$10+SQRT(AY339*($AN$10-$AL$10)*($AM$10-$AL$10)),$AN$10-SQRT((1-AY339)*($AN$10-$AL$10)*($AN$10-$AM$10))),$AM$10)</f>
        <v/>
      </c>
      <c r="AQ339">
        <f>IFERROR(IF(AZ339&lt;($AM$11-$AL$11)/($AN$11-$AL$11),$AL$11+SQRT(AZ339*($AN$11-$AL$11)*($AM$11-$AL$11)),$AN$11-SQRT((1-AZ339)*($AN$11-$AL$11)*($AN$11-$AM$11))),$AM$11)</f>
        <v/>
      </c>
      <c r="AR339">
        <f>SUMPRODUCT((B24:B31&lt;=$B$6)*(C24:C31*AM339+D24:D31*AO339*$B$8*AQ339)/(1+AL339/100)^B24:B31)+C32*AM339*AP339/(1+AL339/100)^$B$6</f>
        <v/>
      </c>
      <c r="AS339">
        <f>SUMPRODUCT((K24:K26&lt;=$B$6)*(L24:L26*AN339+M24:M26*AO339*$B$8*AQ339)/(1+AL339/100)^K24:K26)+L27*AN339*AP339/(1+AL339/100)^$B$6</f>
        <v/>
      </c>
      <c r="AT339">
        <f>AS339-AR339</f>
        <v/>
      </c>
      <c r="AU339">
        <f>RAND()</f>
        <v/>
      </c>
      <c r="AV339">
        <f>RAND()</f>
        <v/>
      </c>
      <c r="AW339">
        <f>RAND()</f>
        <v/>
      </c>
      <c r="AX339">
        <f>RAND()</f>
        <v/>
      </c>
      <c r="AY339">
        <f>RAND()</f>
        <v/>
      </c>
      <c r="AZ339">
        <f>RAND()</f>
        <v/>
      </c>
    </row>
    <row r="340">
      <c r="AK340" t="n">
        <v>327</v>
      </c>
      <c r="AL340">
        <f>IFERROR(IF(AU340&lt;($AM$6-$AL$6)/($AN$6-$AL$6),$AL$6+SQRT(AU340*($AN$6-$AL$6)*($AM$6-$AL$6)),$AN$6-SQRT((1-AU340)*($AN$6-$AL$6)*($AN$6-$AM$6))),$AM$6)</f>
        <v/>
      </c>
      <c r="AM340">
        <f>IFERROR(IF(AV340&lt;($AM$7-$AL$7)/($AN$7-$AL$7),$AL$7+SQRT(AV340*($AN$7-$AL$7)*($AM$7-$AL$7)),$AN$7-SQRT((1-AV340)*($AN$7-$AL$7)*($AN$7-$AM$7))),$AM$7)</f>
        <v/>
      </c>
      <c r="AN340">
        <f>IFERROR(IF(AW340&lt;($AM$8-$AL$8)/($AN$8-$AL$8),$AL$8+SQRT(AW340*($AN$8-$AL$8)*($AM$8-$AL$8)),$AN$8-SQRT((1-AW340)*($AN$8-$AL$8)*($AN$8-$AM$8))),$AM$8)</f>
        <v/>
      </c>
      <c r="AO340">
        <f>IFERROR(IF(AX340&lt;($AM$9-$AL$9)/($AN$9-$AL$9),$AL$9+SQRT(AX340*($AN$9-$AL$9)*($AM$9-$AL$9)),$AN$9-SQRT((1-AX340)*($AN$9-$AL$9)*($AN$9-$AM$9))),$AM$9)</f>
        <v/>
      </c>
      <c r="AP340">
        <f>IFERROR(IF(AY340&lt;($AM$10-$AL$10)/($AN$10-$AL$10),$AL$10+SQRT(AY340*($AN$10-$AL$10)*($AM$10-$AL$10)),$AN$10-SQRT((1-AY340)*($AN$10-$AL$10)*($AN$10-$AM$10))),$AM$10)</f>
        <v/>
      </c>
      <c r="AQ340">
        <f>IFERROR(IF(AZ340&lt;($AM$11-$AL$11)/($AN$11-$AL$11),$AL$11+SQRT(AZ340*($AN$11-$AL$11)*($AM$11-$AL$11)),$AN$11-SQRT((1-AZ340)*($AN$11-$AL$11)*($AN$11-$AM$11))),$AM$11)</f>
        <v/>
      </c>
      <c r="AR340">
        <f>SUMPRODUCT((B24:B31&lt;=$B$6)*(C24:C31*AM340+D24:D31*AO340*$B$8*AQ340)/(1+AL340/100)^B24:B31)+C32*AM340*AP340/(1+AL340/100)^$B$6</f>
        <v/>
      </c>
      <c r="AS340">
        <f>SUMPRODUCT((K24:K26&lt;=$B$6)*(L24:L26*AN340+M24:M26*AO340*$B$8*AQ340)/(1+AL340/100)^K24:K26)+L27*AN340*AP340/(1+AL340/100)^$B$6</f>
        <v/>
      </c>
      <c r="AT340">
        <f>AS340-AR340</f>
        <v/>
      </c>
      <c r="AU340">
        <f>RAND()</f>
        <v/>
      </c>
      <c r="AV340">
        <f>RAND()</f>
        <v/>
      </c>
      <c r="AW340">
        <f>RAND()</f>
        <v/>
      </c>
      <c r="AX340">
        <f>RAND()</f>
        <v/>
      </c>
      <c r="AY340">
        <f>RAND()</f>
        <v/>
      </c>
      <c r="AZ340">
        <f>RAND()</f>
        <v/>
      </c>
    </row>
    <row r="341">
      <c r="AK341" t="n">
        <v>328</v>
      </c>
      <c r="AL341">
        <f>IFERROR(IF(AU341&lt;($AM$6-$AL$6)/($AN$6-$AL$6),$AL$6+SQRT(AU341*($AN$6-$AL$6)*($AM$6-$AL$6)),$AN$6-SQRT((1-AU341)*($AN$6-$AL$6)*($AN$6-$AM$6))),$AM$6)</f>
        <v/>
      </c>
      <c r="AM341">
        <f>IFERROR(IF(AV341&lt;($AM$7-$AL$7)/($AN$7-$AL$7),$AL$7+SQRT(AV341*($AN$7-$AL$7)*($AM$7-$AL$7)),$AN$7-SQRT((1-AV341)*($AN$7-$AL$7)*($AN$7-$AM$7))),$AM$7)</f>
        <v/>
      </c>
      <c r="AN341">
        <f>IFERROR(IF(AW341&lt;($AM$8-$AL$8)/($AN$8-$AL$8),$AL$8+SQRT(AW341*($AN$8-$AL$8)*($AM$8-$AL$8)),$AN$8-SQRT((1-AW341)*($AN$8-$AL$8)*($AN$8-$AM$8))),$AM$8)</f>
        <v/>
      </c>
      <c r="AO341">
        <f>IFERROR(IF(AX341&lt;($AM$9-$AL$9)/($AN$9-$AL$9),$AL$9+SQRT(AX341*($AN$9-$AL$9)*($AM$9-$AL$9)),$AN$9-SQRT((1-AX341)*($AN$9-$AL$9)*($AN$9-$AM$9))),$AM$9)</f>
        <v/>
      </c>
      <c r="AP341">
        <f>IFERROR(IF(AY341&lt;($AM$10-$AL$10)/($AN$10-$AL$10),$AL$10+SQRT(AY341*($AN$10-$AL$10)*($AM$10-$AL$10)),$AN$10-SQRT((1-AY341)*($AN$10-$AL$10)*($AN$10-$AM$10))),$AM$10)</f>
        <v/>
      </c>
      <c r="AQ341">
        <f>IFERROR(IF(AZ341&lt;($AM$11-$AL$11)/($AN$11-$AL$11),$AL$11+SQRT(AZ341*($AN$11-$AL$11)*($AM$11-$AL$11)),$AN$11-SQRT((1-AZ341)*($AN$11-$AL$11)*($AN$11-$AM$11))),$AM$11)</f>
        <v/>
      </c>
      <c r="AR341">
        <f>SUMPRODUCT((B24:B31&lt;=$B$6)*(C24:C31*AM341+D24:D31*AO341*$B$8*AQ341)/(1+AL341/100)^B24:B31)+C32*AM341*AP341/(1+AL341/100)^$B$6</f>
        <v/>
      </c>
      <c r="AS341">
        <f>SUMPRODUCT((K24:K26&lt;=$B$6)*(L24:L26*AN341+M24:M26*AO341*$B$8*AQ341)/(1+AL341/100)^K24:K26)+L27*AN341*AP341/(1+AL341/100)^$B$6</f>
        <v/>
      </c>
      <c r="AT341">
        <f>AS341-AR341</f>
        <v/>
      </c>
      <c r="AU341">
        <f>RAND()</f>
        <v/>
      </c>
      <c r="AV341">
        <f>RAND()</f>
        <v/>
      </c>
      <c r="AW341">
        <f>RAND()</f>
        <v/>
      </c>
      <c r="AX341">
        <f>RAND()</f>
        <v/>
      </c>
      <c r="AY341">
        <f>RAND()</f>
        <v/>
      </c>
      <c r="AZ341">
        <f>RAND()</f>
        <v/>
      </c>
    </row>
    <row r="342">
      <c r="AK342" t="n">
        <v>329</v>
      </c>
      <c r="AL342">
        <f>IFERROR(IF(AU342&lt;($AM$6-$AL$6)/($AN$6-$AL$6),$AL$6+SQRT(AU342*($AN$6-$AL$6)*($AM$6-$AL$6)),$AN$6-SQRT((1-AU342)*($AN$6-$AL$6)*($AN$6-$AM$6))),$AM$6)</f>
        <v/>
      </c>
      <c r="AM342">
        <f>IFERROR(IF(AV342&lt;($AM$7-$AL$7)/($AN$7-$AL$7),$AL$7+SQRT(AV342*($AN$7-$AL$7)*($AM$7-$AL$7)),$AN$7-SQRT((1-AV342)*($AN$7-$AL$7)*($AN$7-$AM$7))),$AM$7)</f>
        <v/>
      </c>
      <c r="AN342">
        <f>IFERROR(IF(AW342&lt;($AM$8-$AL$8)/($AN$8-$AL$8),$AL$8+SQRT(AW342*($AN$8-$AL$8)*($AM$8-$AL$8)),$AN$8-SQRT((1-AW342)*($AN$8-$AL$8)*($AN$8-$AM$8))),$AM$8)</f>
        <v/>
      </c>
      <c r="AO342">
        <f>IFERROR(IF(AX342&lt;($AM$9-$AL$9)/($AN$9-$AL$9),$AL$9+SQRT(AX342*($AN$9-$AL$9)*($AM$9-$AL$9)),$AN$9-SQRT((1-AX342)*($AN$9-$AL$9)*($AN$9-$AM$9))),$AM$9)</f>
        <v/>
      </c>
      <c r="AP342">
        <f>IFERROR(IF(AY342&lt;($AM$10-$AL$10)/($AN$10-$AL$10),$AL$10+SQRT(AY342*($AN$10-$AL$10)*($AM$10-$AL$10)),$AN$10-SQRT((1-AY342)*($AN$10-$AL$10)*($AN$10-$AM$10))),$AM$10)</f>
        <v/>
      </c>
      <c r="AQ342">
        <f>IFERROR(IF(AZ342&lt;($AM$11-$AL$11)/($AN$11-$AL$11),$AL$11+SQRT(AZ342*($AN$11-$AL$11)*($AM$11-$AL$11)),$AN$11-SQRT((1-AZ342)*($AN$11-$AL$11)*($AN$11-$AM$11))),$AM$11)</f>
        <v/>
      </c>
      <c r="AR342">
        <f>SUMPRODUCT((B24:B31&lt;=$B$6)*(C24:C31*AM342+D24:D31*AO342*$B$8*AQ342)/(1+AL342/100)^B24:B31)+C32*AM342*AP342/(1+AL342/100)^$B$6</f>
        <v/>
      </c>
      <c r="AS342">
        <f>SUMPRODUCT((K24:K26&lt;=$B$6)*(L24:L26*AN342+M24:M26*AO342*$B$8*AQ342)/(1+AL342/100)^K24:K26)+L27*AN342*AP342/(1+AL342/100)^$B$6</f>
        <v/>
      </c>
      <c r="AT342">
        <f>AS342-AR342</f>
        <v/>
      </c>
      <c r="AU342">
        <f>RAND()</f>
        <v/>
      </c>
      <c r="AV342">
        <f>RAND()</f>
        <v/>
      </c>
      <c r="AW342">
        <f>RAND()</f>
        <v/>
      </c>
      <c r="AX342">
        <f>RAND()</f>
        <v/>
      </c>
      <c r="AY342">
        <f>RAND()</f>
        <v/>
      </c>
      <c r="AZ342">
        <f>RAND()</f>
        <v/>
      </c>
    </row>
    <row r="343">
      <c r="AK343" t="n">
        <v>330</v>
      </c>
      <c r="AL343">
        <f>IFERROR(IF(AU343&lt;($AM$6-$AL$6)/($AN$6-$AL$6),$AL$6+SQRT(AU343*($AN$6-$AL$6)*($AM$6-$AL$6)),$AN$6-SQRT((1-AU343)*($AN$6-$AL$6)*($AN$6-$AM$6))),$AM$6)</f>
        <v/>
      </c>
      <c r="AM343">
        <f>IFERROR(IF(AV343&lt;($AM$7-$AL$7)/($AN$7-$AL$7),$AL$7+SQRT(AV343*($AN$7-$AL$7)*($AM$7-$AL$7)),$AN$7-SQRT((1-AV343)*($AN$7-$AL$7)*($AN$7-$AM$7))),$AM$7)</f>
        <v/>
      </c>
      <c r="AN343">
        <f>IFERROR(IF(AW343&lt;($AM$8-$AL$8)/($AN$8-$AL$8),$AL$8+SQRT(AW343*($AN$8-$AL$8)*($AM$8-$AL$8)),$AN$8-SQRT((1-AW343)*($AN$8-$AL$8)*($AN$8-$AM$8))),$AM$8)</f>
        <v/>
      </c>
      <c r="AO343">
        <f>IFERROR(IF(AX343&lt;($AM$9-$AL$9)/($AN$9-$AL$9),$AL$9+SQRT(AX343*($AN$9-$AL$9)*($AM$9-$AL$9)),$AN$9-SQRT((1-AX343)*($AN$9-$AL$9)*($AN$9-$AM$9))),$AM$9)</f>
        <v/>
      </c>
      <c r="AP343">
        <f>IFERROR(IF(AY343&lt;($AM$10-$AL$10)/($AN$10-$AL$10),$AL$10+SQRT(AY343*($AN$10-$AL$10)*($AM$10-$AL$10)),$AN$10-SQRT((1-AY343)*($AN$10-$AL$10)*($AN$10-$AM$10))),$AM$10)</f>
        <v/>
      </c>
      <c r="AQ343">
        <f>IFERROR(IF(AZ343&lt;($AM$11-$AL$11)/($AN$11-$AL$11),$AL$11+SQRT(AZ343*($AN$11-$AL$11)*($AM$11-$AL$11)),$AN$11-SQRT((1-AZ343)*($AN$11-$AL$11)*($AN$11-$AM$11))),$AM$11)</f>
        <v/>
      </c>
      <c r="AR343">
        <f>SUMPRODUCT((B24:B31&lt;=$B$6)*(C24:C31*AM343+D24:D31*AO343*$B$8*AQ343)/(1+AL343/100)^B24:B31)+C32*AM343*AP343/(1+AL343/100)^$B$6</f>
        <v/>
      </c>
      <c r="AS343">
        <f>SUMPRODUCT((K24:K26&lt;=$B$6)*(L24:L26*AN343+M24:M26*AO343*$B$8*AQ343)/(1+AL343/100)^K24:K26)+L27*AN343*AP343/(1+AL343/100)^$B$6</f>
        <v/>
      </c>
      <c r="AT343">
        <f>AS343-AR343</f>
        <v/>
      </c>
      <c r="AU343">
        <f>RAND()</f>
        <v/>
      </c>
      <c r="AV343">
        <f>RAND()</f>
        <v/>
      </c>
      <c r="AW343">
        <f>RAND()</f>
        <v/>
      </c>
      <c r="AX343">
        <f>RAND()</f>
        <v/>
      </c>
      <c r="AY343">
        <f>RAND()</f>
        <v/>
      </c>
      <c r="AZ343">
        <f>RAND()</f>
        <v/>
      </c>
    </row>
    <row r="344">
      <c r="AK344" t="n">
        <v>331</v>
      </c>
      <c r="AL344">
        <f>IFERROR(IF(AU344&lt;($AM$6-$AL$6)/($AN$6-$AL$6),$AL$6+SQRT(AU344*($AN$6-$AL$6)*($AM$6-$AL$6)),$AN$6-SQRT((1-AU344)*($AN$6-$AL$6)*($AN$6-$AM$6))),$AM$6)</f>
        <v/>
      </c>
      <c r="AM344">
        <f>IFERROR(IF(AV344&lt;($AM$7-$AL$7)/($AN$7-$AL$7),$AL$7+SQRT(AV344*($AN$7-$AL$7)*($AM$7-$AL$7)),$AN$7-SQRT((1-AV344)*($AN$7-$AL$7)*($AN$7-$AM$7))),$AM$7)</f>
        <v/>
      </c>
      <c r="AN344">
        <f>IFERROR(IF(AW344&lt;($AM$8-$AL$8)/($AN$8-$AL$8),$AL$8+SQRT(AW344*($AN$8-$AL$8)*($AM$8-$AL$8)),$AN$8-SQRT((1-AW344)*($AN$8-$AL$8)*($AN$8-$AM$8))),$AM$8)</f>
        <v/>
      </c>
      <c r="AO344">
        <f>IFERROR(IF(AX344&lt;($AM$9-$AL$9)/($AN$9-$AL$9),$AL$9+SQRT(AX344*($AN$9-$AL$9)*($AM$9-$AL$9)),$AN$9-SQRT((1-AX344)*($AN$9-$AL$9)*($AN$9-$AM$9))),$AM$9)</f>
        <v/>
      </c>
      <c r="AP344">
        <f>IFERROR(IF(AY344&lt;($AM$10-$AL$10)/($AN$10-$AL$10),$AL$10+SQRT(AY344*($AN$10-$AL$10)*($AM$10-$AL$10)),$AN$10-SQRT((1-AY344)*($AN$10-$AL$10)*($AN$10-$AM$10))),$AM$10)</f>
        <v/>
      </c>
      <c r="AQ344">
        <f>IFERROR(IF(AZ344&lt;($AM$11-$AL$11)/($AN$11-$AL$11),$AL$11+SQRT(AZ344*($AN$11-$AL$11)*($AM$11-$AL$11)),$AN$11-SQRT((1-AZ344)*($AN$11-$AL$11)*($AN$11-$AM$11))),$AM$11)</f>
        <v/>
      </c>
      <c r="AR344">
        <f>SUMPRODUCT((B24:B31&lt;=$B$6)*(C24:C31*AM344+D24:D31*AO344*$B$8*AQ344)/(1+AL344/100)^B24:B31)+C32*AM344*AP344/(1+AL344/100)^$B$6</f>
        <v/>
      </c>
      <c r="AS344">
        <f>SUMPRODUCT((K24:K26&lt;=$B$6)*(L24:L26*AN344+M24:M26*AO344*$B$8*AQ344)/(1+AL344/100)^K24:K26)+L27*AN344*AP344/(1+AL344/100)^$B$6</f>
        <v/>
      </c>
      <c r="AT344">
        <f>AS344-AR344</f>
        <v/>
      </c>
      <c r="AU344">
        <f>RAND()</f>
        <v/>
      </c>
      <c r="AV344">
        <f>RAND()</f>
        <v/>
      </c>
      <c r="AW344">
        <f>RAND()</f>
        <v/>
      </c>
      <c r="AX344">
        <f>RAND()</f>
        <v/>
      </c>
      <c r="AY344">
        <f>RAND()</f>
        <v/>
      </c>
      <c r="AZ344">
        <f>RAND()</f>
        <v/>
      </c>
    </row>
    <row r="345">
      <c r="AK345" t="n">
        <v>332</v>
      </c>
      <c r="AL345">
        <f>IFERROR(IF(AU345&lt;($AM$6-$AL$6)/($AN$6-$AL$6),$AL$6+SQRT(AU345*($AN$6-$AL$6)*($AM$6-$AL$6)),$AN$6-SQRT((1-AU345)*($AN$6-$AL$6)*($AN$6-$AM$6))),$AM$6)</f>
        <v/>
      </c>
      <c r="AM345">
        <f>IFERROR(IF(AV345&lt;($AM$7-$AL$7)/($AN$7-$AL$7),$AL$7+SQRT(AV345*($AN$7-$AL$7)*($AM$7-$AL$7)),$AN$7-SQRT((1-AV345)*($AN$7-$AL$7)*($AN$7-$AM$7))),$AM$7)</f>
        <v/>
      </c>
      <c r="AN345">
        <f>IFERROR(IF(AW345&lt;($AM$8-$AL$8)/($AN$8-$AL$8),$AL$8+SQRT(AW345*($AN$8-$AL$8)*($AM$8-$AL$8)),$AN$8-SQRT((1-AW345)*($AN$8-$AL$8)*($AN$8-$AM$8))),$AM$8)</f>
        <v/>
      </c>
      <c r="AO345">
        <f>IFERROR(IF(AX345&lt;($AM$9-$AL$9)/($AN$9-$AL$9),$AL$9+SQRT(AX345*($AN$9-$AL$9)*($AM$9-$AL$9)),$AN$9-SQRT((1-AX345)*($AN$9-$AL$9)*($AN$9-$AM$9))),$AM$9)</f>
        <v/>
      </c>
      <c r="AP345">
        <f>IFERROR(IF(AY345&lt;($AM$10-$AL$10)/($AN$10-$AL$10),$AL$10+SQRT(AY345*($AN$10-$AL$10)*($AM$10-$AL$10)),$AN$10-SQRT((1-AY345)*($AN$10-$AL$10)*($AN$10-$AM$10))),$AM$10)</f>
        <v/>
      </c>
      <c r="AQ345">
        <f>IFERROR(IF(AZ345&lt;($AM$11-$AL$11)/($AN$11-$AL$11),$AL$11+SQRT(AZ345*($AN$11-$AL$11)*($AM$11-$AL$11)),$AN$11-SQRT((1-AZ345)*($AN$11-$AL$11)*($AN$11-$AM$11))),$AM$11)</f>
        <v/>
      </c>
      <c r="AR345">
        <f>SUMPRODUCT((B24:B31&lt;=$B$6)*(C24:C31*AM345+D24:D31*AO345*$B$8*AQ345)/(1+AL345/100)^B24:B31)+C32*AM345*AP345/(1+AL345/100)^$B$6</f>
        <v/>
      </c>
      <c r="AS345">
        <f>SUMPRODUCT((K24:K26&lt;=$B$6)*(L24:L26*AN345+M24:M26*AO345*$B$8*AQ345)/(1+AL345/100)^K24:K26)+L27*AN345*AP345/(1+AL345/100)^$B$6</f>
        <v/>
      </c>
      <c r="AT345">
        <f>AS345-AR345</f>
        <v/>
      </c>
      <c r="AU345">
        <f>RAND()</f>
        <v/>
      </c>
      <c r="AV345">
        <f>RAND()</f>
        <v/>
      </c>
      <c r="AW345">
        <f>RAND()</f>
        <v/>
      </c>
      <c r="AX345">
        <f>RAND()</f>
        <v/>
      </c>
      <c r="AY345">
        <f>RAND()</f>
        <v/>
      </c>
      <c r="AZ345">
        <f>RAND()</f>
        <v/>
      </c>
    </row>
    <row r="346">
      <c r="AK346" t="n">
        <v>333</v>
      </c>
      <c r="AL346">
        <f>IFERROR(IF(AU346&lt;($AM$6-$AL$6)/($AN$6-$AL$6),$AL$6+SQRT(AU346*($AN$6-$AL$6)*($AM$6-$AL$6)),$AN$6-SQRT((1-AU346)*($AN$6-$AL$6)*($AN$6-$AM$6))),$AM$6)</f>
        <v/>
      </c>
      <c r="AM346">
        <f>IFERROR(IF(AV346&lt;($AM$7-$AL$7)/($AN$7-$AL$7),$AL$7+SQRT(AV346*($AN$7-$AL$7)*($AM$7-$AL$7)),$AN$7-SQRT((1-AV346)*($AN$7-$AL$7)*($AN$7-$AM$7))),$AM$7)</f>
        <v/>
      </c>
      <c r="AN346">
        <f>IFERROR(IF(AW346&lt;($AM$8-$AL$8)/($AN$8-$AL$8),$AL$8+SQRT(AW346*($AN$8-$AL$8)*($AM$8-$AL$8)),$AN$8-SQRT((1-AW346)*($AN$8-$AL$8)*($AN$8-$AM$8))),$AM$8)</f>
        <v/>
      </c>
      <c r="AO346">
        <f>IFERROR(IF(AX346&lt;($AM$9-$AL$9)/($AN$9-$AL$9),$AL$9+SQRT(AX346*($AN$9-$AL$9)*($AM$9-$AL$9)),$AN$9-SQRT((1-AX346)*($AN$9-$AL$9)*($AN$9-$AM$9))),$AM$9)</f>
        <v/>
      </c>
      <c r="AP346">
        <f>IFERROR(IF(AY346&lt;($AM$10-$AL$10)/($AN$10-$AL$10),$AL$10+SQRT(AY346*($AN$10-$AL$10)*($AM$10-$AL$10)),$AN$10-SQRT((1-AY346)*($AN$10-$AL$10)*($AN$10-$AM$10))),$AM$10)</f>
        <v/>
      </c>
      <c r="AQ346">
        <f>IFERROR(IF(AZ346&lt;($AM$11-$AL$11)/($AN$11-$AL$11),$AL$11+SQRT(AZ346*($AN$11-$AL$11)*($AM$11-$AL$11)),$AN$11-SQRT((1-AZ346)*($AN$11-$AL$11)*($AN$11-$AM$11))),$AM$11)</f>
        <v/>
      </c>
      <c r="AR346">
        <f>SUMPRODUCT((B24:B31&lt;=$B$6)*(C24:C31*AM346+D24:D31*AO346*$B$8*AQ346)/(1+AL346/100)^B24:B31)+C32*AM346*AP346/(1+AL346/100)^$B$6</f>
        <v/>
      </c>
      <c r="AS346">
        <f>SUMPRODUCT((K24:K26&lt;=$B$6)*(L24:L26*AN346+M24:M26*AO346*$B$8*AQ346)/(1+AL346/100)^K24:K26)+L27*AN346*AP346/(1+AL346/100)^$B$6</f>
        <v/>
      </c>
      <c r="AT346">
        <f>AS346-AR346</f>
        <v/>
      </c>
      <c r="AU346">
        <f>RAND()</f>
        <v/>
      </c>
      <c r="AV346">
        <f>RAND()</f>
        <v/>
      </c>
      <c r="AW346">
        <f>RAND()</f>
        <v/>
      </c>
      <c r="AX346">
        <f>RAND()</f>
        <v/>
      </c>
      <c r="AY346">
        <f>RAND()</f>
        <v/>
      </c>
      <c r="AZ346">
        <f>RAND()</f>
        <v/>
      </c>
    </row>
    <row r="347">
      <c r="AK347" t="n">
        <v>334</v>
      </c>
      <c r="AL347">
        <f>IFERROR(IF(AU347&lt;($AM$6-$AL$6)/($AN$6-$AL$6),$AL$6+SQRT(AU347*($AN$6-$AL$6)*($AM$6-$AL$6)),$AN$6-SQRT((1-AU347)*($AN$6-$AL$6)*($AN$6-$AM$6))),$AM$6)</f>
        <v/>
      </c>
      <c r="AM347">
        <f>IFERROR(IF(AV347&lt;($AM$7-$AL$7)/($AN$7-$AL$7),$AL$7+SQRT(AV347*($AN$7-$AL$7)*($AM$7-$AL$7)),$AN$7-SQRT((1-AV347)*($AN$7-$AL$7)*($AN$7-$AM$7))),$AM$7)</f>
        <v/>
      </c>
      <c r="AN347">
        <f>IFERROR(IF(AW347&lt;($AM$8-$AL$8)/($AN$8-$AL$8),$AL$8+SQRT(AW347*($AN$8-$AL$8)*($AM$8-$AL$8)),$AN$8-SQRT((1-AW347)*($AN$8-$AL$8)*($AN$8-$AM$8))),$AM$8)</f>
        <v/>
      </c>
      <c r="AO347">
        <f>IFERROR(IF(AX347&lt;($AM$9-$AL$9)/($AN$9-$AL$9),$AL$9+SQRT(AX347*($AN$9-$AL$9)*($AM$9-$AL$9)),$AN$9-SQRT((1-AX347)*($AN$9-$AL$9)*($AN$9-$AM$9))),$AM$9)</f>
        <v/>
      </c>
      <c r="AP347">
        <f>IFERROR(IF(AY347&lt;($AM$10-$AL$10)/($AN$10-$AL$10),$AL$10+SQRT(AY347*($AN$10-$AL$10)*($AM$10-$AL$10)),$AN$10-SQRT((1-AY347)*($AN$10-$AL$10)*($AN$10-$AM$10))),$AM$10)</f>
        <v/>
      </c>
      <c r="AQ347">
        <f>IFERROR(IF(AZ347&lt;($AM$11-$AL$11)/($AN$11-$AL$11),$AL$11+SQRT(AZ347*($AN$11-$AL$11)*($AM$11-$AL$11)),$AN$11-SQRT((1-AZ347)*($AN$11-$AL$11)*($AN$11-$AM$11))),$AM$11)</f>
        <v/>
      </c>
      <c r="AR347">
        <f>SUMPRODUCT((B24:B31&lt;=$B$6)*(C24:C31*AM347+D24:D31*AO347*$B$8*AQ347)/(1+AL347/100)^B24:B31)+C32*AM347*AP347/(1+AL347/100)^$B$6</f>
        <v/>
      </c>
      <c r="AS347">
        <f>SUMPRODUCT((K24:K26&lt;=$B$6)*(L24:L26*AN347+M24:M26*AO347*$B$8*AQ347)/(1+AL347/100)^K24:K26)+L27*AN347*AP347/(1+AL347/100)^$B$6</f>
        <v/>
      </c>
      <c r="AT347">
        <f>AS347-AR347</f>
        <v/>
      </c>
      <c r="AU347">
        <f>RAND()</f>
        <v/>
      </c>
      <c r="AV347">
        <f>RAND()</f>
        <v/>
      </c>
      <c r="AW347">
        <f>RAND()</f>
        <v/>
      </c>
      <c r="AX347">
        <f>RAND()</f>
        <v/>
      </c>
      <c r="AY347">
        <f>RAND()</f>
        <v/>
      </c>
      <c r="AZ347">
        <f>RAND()</f>
        <v/>
      </c>
    </row>
    <row r="348">
      <c r="AK348" t="n">
        <v>335</v>
      </c>
      <c r="AL348">
        <f>IFERROR(IF(AU348&lt;($AM$6-$AL$6)/($AN$6-$AL$6),$AL$6+SQRT(AU348*($AN$6-$AL$6)*($AM$6-$AL$6)),$AN$6-SQRT((1-AU348)*($AN$6-$AL$6)*($AN$6-$AM$6))),$AM$6)</f>
        <v/>
      </c>
      <c r="AM348">
        <f>IFERROR(IF(AV348&lt;($AM$7-$AL$7)/($AN$7-$AL$7),$AL$7+SQRT(AV348*($AN$7-$AL$7)*($AM$7-$AL$7)),$AN$7-SQRT((1-AV348)*($AN$7-$AL$7)*($AN$7-$AM$7))),$AM$7)</f>
        <v/>
      </c>
      <c r="AN348">
        <f>IFERROR(IF(AW348&lt;($AM$8-$AL$8)/($AN$8-$AL$8),$AL$8+SQRT(AW348*($AN$8-$AL$8)*($AM$8-$AL$8)),$AN$8-SQRT((1-AW348)*($AN$8-$AL$8)*($AN$8-$AM$8))),$AM$8)</f>
        <v/>
      </c>
      <c r="AO348">
        <f>IFERROR(IF(AX348&lt;($AM$9-$AL$9)/($AN$9-$AL$9),$AL$9+SQRT(AX348*($AN$9-$AL$9)*($AM$9-$AL$9)),$AN$9-SQRT((1-AX348)*($AN$9-$AL$9)*($AN$9-$AM$9))),$AM$9)</f>
        <v/>
      </c>
      <c r="AP348">
        <f>IFERROR(IF(AY348&lt;($AM$10-$AL$10)/($AN$10-$AL$10),$AL$10+SQRT(AY348*($AN$10-$AL$10)*($AM$10-$AL$10)),$AN$10-SQRT((1-AY348)*($AN$10-$AL$10)*($AN$10-$AM$10))),$AM$10)</f>
        <v/>
      </c>
      <c r="AQ348">
        <f>IFERROR(IF(AZ348&lt;($AM$11-$AL$11)/($AN$11-$AL$11),$AL$11+SQRT(AZ348*($AN$11-$AL$11)*($AM$11-$AL$11)),$AN$11-SQRT((1-AZ348)*($AN$11-$AL$11)*($AN$11-$AM$11))),$AM$11)</f>
        <v/>
      </c>
      <c r="AR348">
        <f>SUMPRODUCT((B24:B31&lt;=$B$6)*(C24:C31*AM348+D24:D31*AO348*$B$8*AQ348)/(1+AL348/100)^B24:B31)+C32*AM348*AP348/(1+AL348/100)^$B$6</f>
        <v/>
      </c>
      <c r="AS348">
        <f>SUMPRODUCT((K24:K26&lt;=$B$6)*(L24:L26*AN348+M24:M26*AO348*$B$8*AQ348)/(1+AL348/100)^K24:K26)+L27*AN348*AP348/(1+AL348/100)^$B$6</f>
        <v/>
      </c>
      <c r="AT348">
        <f>AS348-AR348</f>
        <v/>
      </c>
      <c r="AU348">
        <f>RAND()</f>
        <v/>
      </c>
      <c r="AV348">
        <f>RAND()</f>
        <v/>
      </c>
      <c r="AW348">
        <f>RAND()</f>
        <v/>
      </c>
      <c r="AX348">
        <f>RAND()</f>
        <v/>
      </c>
      <c r="AY348">
        <f>RAND()</f>
        <v/>
      </c>
      <c r="AZ348">
        <f>RAND()</f>
        <v/>
      </c>
    </row>
    <row r="349">
      <c r="AK349" t="n">
        <v>336</v>
      </c>
      <c r="AL349">
        <f>IFERROR(IF(AU349&lt;($AM$6-$AL$6)/($AN$6-$AL$6),$AL$6+SQRT(AU349*($AN$6-$AL$6)*($AM$6-$AL$6)),$AN$6-SQRT((1-AU349)*($AN$6-$AL$6)*($AN$6-$AM$6))),$AM$6)</f>
        <v/>
      </c>
      <c r="AM349">
        <f>IFERROR(IF(AV349&lt;($AM$7-$AL$7)/($AN$7-$AL$7),$AL$7+SQRT(AV349*($AN$7-$AL$7)*($AM$7-$AL$7)),$AN$7-SQRT((1-AV349)*($AN$7-$AL$7)*($AN$7-$AM$7))),$AM$7)</f>
        <v/>
      </c>
      <c r="AN349">
        <f>IFERROR(IF(AW349&lt;($AM$8-$AL$8)/($AN$8-$AL$8),$AL$8+SQRT(AW349*($AN$8-$AL$8)*($AM$8-$AL$8)),$AN$8-SQRT((1-AW349)*($AN$8-$AL$8)*($AN$8-$AM$8))),$AM$8)</f>
        <v/>
      </c>
      <c r="AO349">
        <f>IFERROR(IF(AX349&lt;($AM$9-$AL$9)/($AN$9-$AL$9),$AL$9+SQRT(AX349*($AN$9-$AL$9)*($AM$9-$AL$9)),$AN$9-SQRT((1-AX349)*($AN$9-$AL$9)*($AN$9-$AM$9))),$AM$9)</f>
        <v/>
      </c>
      <c r="AP349">
        <f>IFERROR(IF(AY349&lt;($AM$10-$AL$10)/($AN$10-$AL$10),$AL$10+SQRT(AY349*($AN$10-$AL$10)*($AM$10-$AL$10)),$AN$10-SQRT((1-AY349)*($AN$10-$AL$10)*($AN$10-$AM$10))),$AM$10)</f>
        <v/>
      </c>
      <c r="AQ349">
        <f>IFERROR(IF(AZ349&lt;($AM$11-$AL$11)/($AN$11-$AL$11),$AL$11+SQRT(AZ349*($AN$11-$AL$11)*($AM$11-$AL$11)),$AN$11-SQRT((1-AZ349)*($AN$11-$AL$11)*($AN$11-$AM$11))),$AM$11)</f>
        <v/>
      </c>
      <c r="AR349">
        <f>SUMPRODUCT((B24:B31&lt;=$B$6)*(C24:C31*AM349+D24:D31*AO349*$B$8*AQ349)/(1+AL349/100)^B24:B31)+C32*AM349*AP349/(1+AL349/100)^$B$6</f>
        <v/>
      </c>
      <c r="AS349">
        <f>SUMPRODUCT((K24:K26&lt;=$B$6)*(L24:L26*AN349+M24:M26*AO349*$B$8*AQ349)/(1+AL349/100)^K24:K26)+L27*AN349*AP349/(1+AL349/100)^$B$6</f>
        <v/>
      </c>
      <c r="AT349">
        <f>AS349-AR349</f>
        <v/>
      </c>
      <c r="AU349">
        <f>RAND()</f>
        <v/>
      </c>
      <c r="AV349">
        <f>RAND()</f>
        <v/>
      </c>
      <c r="AW349">
        <f>RAND()</f>
        <v/>
      </c>
      <c r="AX349">
        <f>RAND()</f>
        <v/>
      </c>
      <c r="AY349">
        <f>RAND()</f>
        <v/>
      </c>
      <c r="AZ349">
        <f>RAND()</f>
        <v/>
      </c>
    </row>
    <row r="350">
      <c r="AK350" t="n">
        <v>337</v>
      </c>
      <c r="AL350">
        <f>IFERROR(IF(AU350&lt;($AM$6-$AL$6)/($AN$6-$AL$6),$AL$6+SQRT(AU350*($AN$6-$AL$6)*($AM$6-$AL$6)),$AN$6-SQRT((1-AU350)*($AN$6-$AL$6)*($AN$6-$AM$6))),$AM$6)</f>
        <v/>
      </c>
      <c r="AM350">
        <f>IFERROR(IF(AV350&lt;($AM$7-$AL$7)/($AN$7-$AL$7),$AL$7+SQRT(AV350*($AN$7-$AL$7)*($AM$7-$AL$7)),$AN$7-SQRT((1-AV350)*($AN$7-$AL$7)*($AN$7-$AM$7))),$AM$7)</f>
        <v/>
      </c>
      <c r="AN350">
        <f>IFERROR(IF(AW350&lt;($AM$8-$AL$8)/($AN$8-$AL$8),$AL$8+SQRT(AW350*($AN$8-$AL$8)*($AM$8-$AL$8)),$AN$8-SQRT((1-AW350)*($AN$8-$AL$8)*($AN$8-$AM$8))),$AM$8)</f>
        <v/>
      </c>
      <c r="AO350">
        <f>IFERROR(IF(AX350&lt;($AM$9-$AL$9)/($AN$9-$AL$9),$AL$9+SQRT(AX350*($AN$9-$AL$9)*($AM$9-$AL$9)),$AN$9-SQRT((1-AX350)*($AN$9-$AL$9)*($AN$9-$AM$9))),$AM$9)</f>
        <v/>
      </c>
      <c r="AP350">
        <f>IFERROR(IF(AY350&lt;($AM$10-$AL$10)/($AN$10-$AL$10),$AL$10+SQRT(AY350*($AN$10-$AL$10)*($AM$10-$AL$10)),$AN$10-SQRT((1-AY350)*($AN$10-$AL$10)*($AN$10-$AM$10))),$AM$10)</f>
        <v/>
      </c>
      <c r="AQ350">
        <f>IFERROR(IF(AZ350&lt;($AM$11-$AL$11)/($AN$11-$AL$11),$AL$11+SQRT(AZ350*($AN$11-$AL$11)*($AM$11-$AL$11)),$AN$11-SQRT((1-AZ350)*($AN$11-$AL$11)*($AN$11-$AM$11))),$AM$11)</f>
        <v/>
      </c>
      <c r="AR350">
        <f>SUMPRODUCT((B24:B31&lt;=$B$6)*(C24:C31*AM350+D24:D31*AO350*$B$8*AQ350)/(1+AL350/100)^B24:B31)+C32*AM350*AP350/(1+AL350/100)^$B$6</f>
        <v/>
      </c>
      <c r="AS350">
        <f>SUMPRODUCT((K24:K26&lt;=$B$6)*(L24:L26*AN350+M24:M26*AO350*$B$8*AQ350)/(1+AL350/100)^K24:K26)+L27*AN350*AP350/(1+AL350/100)^$B$6</f>
        <v/>
      </c>
      <c r="AT350">
        <f>AS350-AR350</f>
        <v/>
      </c>
      <c r="AU350">
        <f>RAND()</f>
        <v/>
      </c>
      <c r="AV350">
        <f>RAND()</f>
        <v/>
      </c>
      <c r="AW350">
        <f>RAND()</f>
        <v/>
      </c>
      <c r="AX350">
        <f>RAND()</f>
        <v/>
      </c>
      <c r="AY350">
        <f>RAND()</f>
        <v/>
      </c>
      <c r="AZ350">
        <f>RAND()</f>
        <v/>
      </c>
    </row>
    <row r="351">
      <c r="AK351" t="n">
        <v>338</v>
      </c>
      <c r="AL351">
        <f>IFERROR(IF(AU351&lt;($AM$6-$AL$6)/($AN$6-$AL$6),$AL$6+SQRT(AU351*($AN$6-$AL$6)*($AM$6-$AL$6)),$AN$6-SQRT((1-AU351)*($AN$6-$AL$6)*($AN$6-$AM$6))),$AM$6)</f>
        <v/>
      </c>
      <c r="AM351">
        <f>IFERROR(IF(AV351&lt;($AM$7-$AL$7)/($AN$7-$AL$7),$AL$7+SQRT(AV351*($AN$7-$AL$7)*($AM$7-$AL$7)),$AN$7-SQRT((1-AV351)*($AN$7-$AL$7)*($AN$7-$AM$7))),$AM$7)</f>
        <v/>
      </c>
      <c r="AN351">
        <f>IFERROR(IF(AW351&lt;($AM$8-$AL$8)/($AN$8-$AL$8),$AL$8+SQRT(AW351*($AN$8-$AL$8)*($AM$8-$AL$8)),$AN$8-SQRT((1-AW351)*($AN$8-$AL$8)*($AN$8-$AM$8))),$AM$8)</f>
        <v/>
      </c>
      <c r="AO351">
        <f>IFERROR(IF(AX351&lt;($AM$9-$AL$9)/($AN$9-$AL$9),$AL$9+SQRT(AX351*($AN$9-$AL$9)*($AM$9-$AL$9)),$AN$9-SQRT((1-AX351)*($AN$9-$AL$9)*($AN$9-$AM$9))),$AM$9)</f>
        <v/>
      </c>
      <c r="AP351">
        <f>IFERROR(IF(AY351&lt;($AM$10-$AL$10)/($AN$10-$AL$10),$AL$10+SQRT(AY351*($AN$10-$AL$10)*($AM$10-$AL$10)),$AN$10-SQRT((1-AY351)*($AN$10-$AL$10)*($AN$10-$AM$10))),$AM$10)</f>
        <v/>
      </c>
      <c r="AQ351">
        <f>IFERROR(IF(AZ351&lt;($AM$11-$AL$11)/($AN$11-$AL$11),$AL$11+SQRT(AZ351*($AN$11-$AL$11)*($AM$11-$AL$11)),$AN$11-SQRT((1-AZ351)*($AN$11-$AL$11)*($AN$11-$AM$11))),$AM$11)</f>
        <v/>
      </c>
      <c r="AR351">
        <f>SUMPRODUCT((B24:B31&lt;=$B$6)*(C24:C31*AM351+D24:D31*AO351*$B$8*AQ351)/(1+AL351/100)^B24:B31)+C32*AM351*AP351/(1+AL351/100)^$B$6</f>
        <v/>
      </c>
      <c r="AS351">
        <f>SUMPRODUCT((K24:K26&lt;=$B$6)*(L24:L26*AN351+M24:M26*AO351*$B$8*AQ351)/(1+AL351/100)^K24:K26)+L27*AN351*AP351/(1+AL351/100)^$B$6</f>
        <v/>
      </c>
      <c r="AT351">
        <f>AS351-AR351</f>
        <v/>
      </c>
      <c r="AU351">
        <f>RAND()</f>
        <v/>
      </c>
      <c r="AV351">
        <f>RAND()</f>
        <v/>
      </c>
      <c r="AW351">
        <f>RAND()</f>
        <v/>
      </c>
      <c r="AX351">
        <f>RAND()</f>
        <v/>
      </c>
      <c r="AY351">
        <f>RAND()</f>
        <v/>
      </c>
      <c r="AZ351">
        <f>RAND()</f>
        <v/>
      </c>
    </row>
    <row r="352">
      <c r="AK352" t="n">
        <v>339</v>
      </c>
      <c r="AL352">
        <f>IFERROR(IF(AU352&lt;($AM$6-$AL$6)/($AN$6-$AL$6),$AL$6+SQRT(AU352*($AN$6-$AL$6)*($AM$6-$AL$6)),$AN$6-SQRT((1-AU352)*($AN$6-$AL$6)*($AN$6-$AM$6))),$AM$6)</f>
        <v/>
      </c>
      <c r="AM352">
        <f>IFERROR(IF(AV352&lt;($AM$7-$AL$7)/($AN$7-$AL$7),$AL$7+SQRT(AV352*($AN$7-$AL$7)*($AM$7-$AL$7)),$AN$7-SQRT((1-AV352)*($AN$7-$AL$7)*($AN$7-$AM$7))),$AM$7)</f>
        <v/>
      </c>
      <c r="AN352">
        <f>IFERROR(IF(AW352&lt;($AM$8-$AL$8)/($AN$8-$AL$8),$AL$8+SQRT(AW352*($AN$8-$AL$8)*($AM$8-$AL$8)),$AN$8-SQRT((1-AW352)*($AN$8-$AL$8)*($AN$8-$AM$8))),$AM$8)</f>
        <v/>
      </c>
      <c r="AO352">
        <f>IFERROR(IF(AX352&lt;($AM$9-$AL$9)/($AN$9-$AL$9),$AL$9+SQRT(AX352*($AN$9-$AL$9)*($AM$9-$AL$9)),$AN$9-SQRT((1-AX352)*($AN$9-$AL$9)*($AN$9-$AM$9))),$AM$9)</f>
        <v/>
      </c>
      <c r="AP352">
        <f>IFERROR(IF(AY352&lt;($AM$10-$AL$10)/($AN$10-$AL$10),$AL$10+SQRT(AY352*($AN$10-$AL$10)*($AM$10-$AL$10)),$AN$10-SQRT((1-AY352)*($AN$10-$AL$10)*($AN$10-$AM$10))),$AM$10)</f>
        <v/>
      </c>
      <c r="AQ352">
        <f>IFERROR(IF(AZ352&lt;($AM$11-$AL$11)/($AN$11-$AL$11),$AL$11+SQRT(AZ352*($AN$11-$AL$11)*($AM$11-$AL$11)),$AN$11-SQRT((1-AZ352)*($AN$11-$AL$11)*($AN$11-$AM$11))),$AM$11)</f>
        <v/>
      </c>
      <c r="AR352">
        <f>SUMPRODUCT((B24:B31&lt;=$B$6)*(C24:C31*AM352+D24:D31*AO352*$B$8*AQ352)/(1+AL352/100)^B24:B31)+C32*AM352*AP352/(1+AL352/100)^$B$6</f>
        <v/>
      </c>
      <c r="AS352">
        <f>SUMPRODUCT((K24:K26&lt;=$B$6)*(L24:L26*AN352+M24:M26*AO352*$B$8*AQ352)/(1+AL352/100)^K24:K26)+L27*AN352*AP352/(1+AL352/100)^$B$6</f>
        <v/>
      </c>
      <c r="AT352">
        <f>AS352-AR352</f>
        <v/>
      </c>
      <c r="AU352">
        <f>RAND()</f>
        <v/>
      </c>
      <c r="AV352">
        <f>RAND()</f>
        <v/>
      </c>
      <c r="AW352">
        <f>RAND()</f>
        <v/>
      </c>
      <c r="AX352">
        <f>RAND()</f>
        <v/>
      </c>
      <c r="AY352">
        <f>RAND()</f>
        <v/>
      </c>
      <c r="AZ352">
        <f>RAND()</f>
        <v/>
      </c>
    </row>
    <row r="353">
      <c r="AK353" t="n">
        <v>340</v>
      </c>
      <c r="AL353">
        <f>IFERROR(IF(AU353&lt;($AM$6-$AL$6)/($AN$6-$AL$6),$AL$6+SQRT(AU353*($AN$6-$AL$6)*($AM$6-$AL$6)),$AN$6-SQRT((1-AU353)*($AN$6-$AL$6)*($AN$6-$AM$6))),$AM$6)</f>
        <v/>
      </c>
      <c r="AM353">
        <f>IFERROR(IF(AV353&lt;($AM$7-$AL$7)/($AN$7-$AL$7),$AL$7+SQRT(AV353*($AN$7-$AL$7)*($AM$7-$AL$7)),$AN$7-SQRT((1-AV353)*($AN$7-$AL$7)*($AN$7-$AM$7))),$AM$7)</f>
        <v/>
      </c>
      <c r="AN353">
        <f>IFERROR(IF(AW353&lt;($AM$8-$AL$8)/($AN$8-$AL$8),$AL$8+SQRT(AW353*($AN$8-$AL$8)*($AM$8-$AL$8)),$AN$8-SQRT((1-AW353)*($AN$8-$AL$8)*($AN$8-$AM$8))),$AM$8)</f>
        <v/>
      </c>
      <c r="AO353">
        <f>IFERROR(IF(AX353&lt;($AM$9-$AL$9)/($AN$9-$AL$9),$AL$9+SQRT(AX353*($AN$9-$AL$9)*($AM$9-$AL$9)),$AN$9-SQRT((1-AX353)*($AN$9-$AL$9)*($AN$9-$AM$9))),$AM$9)</f>
        <v/>
      </c>
      <c r="AP353">
        <f>IFERROR(IF(AY353&lt;($AM$10-$AL$10)/($AN$10-$AL$10),$AL$10+SQRT(AY353*($AN$10-$AL$10)*($AM$10-$AL$10)),$AN$10-SQRT((1-AY353)*($AN$10-$AL$10)*($AN$10-$AM$10))),$AM$10)</f>
        <v/>
      </c>
      <c r="AQ353">
        <f>IFERROR(IF(AZ353&lt;($AM$11-$AL$11)/($AN$11-$AL$11),$AL$11+SQRT(AZ353*($AN$11-$AL$11)*($AM$11-$AL$11)),$AN$11-SQRT((1-AZ353)*($AN$11-$AL$11)*($AN$11-$AM$11))),$AM$11)</f>
        <v/>
      </c>
      <c r="AR353">
        <f>SUMPRODUCT((B24:B31&lt;=$B$6)*(C24:C31*AM353+D24:D31*AO353*$B$8*AQ353)/(1+AL353/100)^B24:B31)+C32*AM353*AP353/(1+AL353/100)^$B$6</f>
        <v/>
      </c>
      <c r="AS353">
        <f>SUMPRODUCT((K24:K26&lt;=$B$6)*(L24:L26*AN353+M24:M26*AO353*$B$8*AQ353)/(1+AL353/100)^K24:K26)+L27*AN353*AP353/(1+AL353/100)^$B$6</f>
        <v/>
      </c>
      <c r="AT353">
        <f>AS353-AR353</f>
        <v/>
      </c>
      <c r="AU353">
        <f>RAND()</f>
        <v/>
      </c>
      <c r="AV353">
        <f>RAND()</f>
        <v/>
      </c>
      <c r="AW353">
        <f>RAND()</f>
        <v/>
      </c>
      <c r="AX353">
        <f>RAND()</f>
        <v/>
      </c>
      <c r="AY353">
        <f>RAND()</f>
        <v/>
      </c>
      <c r="AZ353">
        <f>RAND()</f>
        <v/>
      </c>
    </row>
    <row r="354">
      <c r="AK354" t="n">
        <v>341</v>
      </c>
      <c r="AL354">
        <f>IFERROR(IF(AU354&lt;($AM$6-$AL$6)/($AN$6-$AL$6),$AL$6+SQRT(AU354*($AN$6-$AL$6)*($AM$6-$AL$6)),$AN$6-SQRT((1-AU354)*($AN$6-$AL$6)*($AN$6-$AM$6))),$AM$6)</f>
        <v/>
      </c>
      <c r="AM354">
        <f>IFERROR(IF(AV354&lt;($AM$7-$AL$7)/($AN$7-$AL$7),$AL$7+SQRT(AV354*($AN$7-$AL$7)*($AM$7-$AL$7)),$AN$7-SQRT((1-AV354)*($AN$7-$AL$7)*($AN$7-$AM$7))),$AM$7)</f>
        <v/>
      </c>
      <c r="AN354">
        <f>IFERROR(IF(AW354&lt;($AM$8-$AL$8)/($AN$8-$AL$8),$AL$8+SQRT(AW354*($AN$8-$AL$8)*($AM$8-$AL$8)),$AN$8-SQRT((1-AW354)*($AN$8-$AL$8)*($AN$8-$AM$8))),$AM$8)</f>
        <v/>
      </c>
      <c r="AO354">
        <f>IFERROR(IF(AX354&lt;($AM$9-$AL$9)/($AN$9-$AL$9),$AL$9+SQRT(AX354*($AN$9-$AL$9)*($AM$9-$AL$9)),$AN$9-SQRT((1-AX354)*($AN$9-$AL$9)*($AN$9-$AM$9))),$AM$9)</f>
        <v/>
      </c>
      <c r="AP354">
        <f>IFERROR(IF(AY354&lt;($AM$10-$AL$10)/($AN$10-$AL$10),$AL$10+SQRT(AY354*($AN$10-$AL$10)*($AM$10-$AL$10)),$AN$10-SQRT((1-AY354)*($AN$10-$AL$10)*($AN$10-$AM$10))),$AM$10)</f>
        <v/>
      </c>
      <c r="AQ354">
        <f>IFERROR(IF(AZ354&lt;($AM$11-$AL$11)/($AN$11-$AL$11),$AL$11+SQRT(AZ354*($AN$11-$AL$11)*($AM$11-$AL$11)),$AN$11-SQRT((1-AZ354)*($AN$11-$AL$11)*($AN$11-$AM$11))),$AM$11)</f>
        <v/>
      </c>
      <c r="AR354">
        <f>SUMPRODUCT((B24:B31&lt;=$B$6)*(C24:C31*AM354+D24:D31*AO354*$B$8*AQ354)/(1+AL354/100)^B24:B31)+C32*AM354*AP354/(1+AL354/100)^$B$6</f>
        <v/>
      </c>
      <c r="AS354">
        <f>SUMPRODUCT((K24:K26&lt;=$B$6)*(L24:L26*AN354+M24:M26*AO354*$B$8*AQ354)/(1+AL354/100)^K24:K26)+L27*AN354*AP354/(1+AL354/100)^$B$6</f>
        <v/>
      </c>
      <c r="AT354">
        <f>AS354-AR354</f>
        <v/>
      </c>
      <c r="AU354">
        <f>RAND()</f>
        <v/>
      </c>
      <c r="AV354">
        <f>RAND()</f>
        <v/>
      </c>
      <c r="AW354">
        <f>RAND()</f>
        <v/>
      </c>
      <c r="AX354">
        <f>RAND()</f>
        <v/>
      </c>
      <c r="AY354">
        <f>RAND()</f>
        <v/>
      </c>
      <c r="AZ354">
        <f>RAND()</f>
        <v/>
      </c>
    </row>
    <row r="355">
      <c r="AK355" t="n">
        <v>342</v>
      </c>
      <c r="AL355">
        <f>IFERROR(IF(AU355&lt;($AM$6-$AL$6)/($AN$6-$AL$6),$AL$6+SQRT(AU355*($AN$6-$AL$6)*($AM$6-$AL$6)),$AN$6-SQRT((1-AU355)*($AN$6-$AL$6)*($AN$6-$AM$6))),$AM$6)</f>
        <v/>
      </c>
      <c r="AM355">
        <f>IFERROR(IF(AV355&lt;($AM$7-$AL$7)/($AN$7-$AL$7),$AL$7+SQRT(AV355*($AN$7-$AL$7)*($AM$7-$AL$7)),$AN$7-SQRT((1-AV355)*($AN$7-$AL$7)*($AN$7-$AM$7))),$AM$7)</f>
        <v/>
      </c>
      <c r="AN355">
        <f>IFERROR(IF(AW355&lt;($AM$8-$AL$8)/($AN$8-$AL$8),$AL$8+SQRT(AW355*($AN$8-$AL$8)*($AM$8-$AL$8)),$AN$8-SQRT((1-AW355)*($AN$8-$AL$8)*($AN$8-$AM$8))),$AM$8)</f>
        <v/>
      </c>
      <c r="AO355">
        <f>IFERROR(IF(AX355&lt;($AM$9-$AL$9)/($AN$9-$AL$9),$AL$9+SQRT(AX355*($AN$9-$AL$9)*($AM$9-$AL$9)),$AN$9-SQRT((1-AX355)*($AN$9-$AL$9)*($AN$9-$AM$9))),$AM$9)</f>
        <v/>
      </c>
      <c r="AP355">
        <f>IFERROR(IF(AY355&lt;($AM$10-$AL$10)/($AN$10-$AL$10),$AL$10+SQRT(AY355*($AN$10-$AL$10)*($AM$10-$AL$10)),$AN$10-SQRT((1-AY355)*($AN$10-$AL$10)*($AN$10-$AM$10))),$AM$10)</f>
        <v/>
      </c>
      <c r="AQ355">
        <f>IFERROR(IF(AZ355&lt;($AM$11-$AL$11)/($AN$11-$AL$11),$AL$11+SQRT(AZ355*($AN$11-$AL$11)*($AM$11-$AL$11)),$AN$11-SQRT((1-AZ355)*($AN$11-$AL$11)*($AN$11-$AM$11))),$AM$11)</f>
        <v/>
      </c>
      <c r="AR355">
        <f>SUMPRODUCT((B24:B31&lt;=$B$6)*(C24:C31*AM355+D24:D31*AO355*$B$8*AQ355)/(1+AL355/100)^B24:B31)+C32*AM355*AP355/(1+AL355/100)^$B$6</f>
        <v/>
      </c>
      <c r="AS355">
        <f>SUMPRODUCT((K24:K26&lt;=$B$6)*(L24:L26*AN355+M24:M26*AO355*$B$8*AQ355)/(1+AL355/100)^K24:K26)+L27*AN355*AP355/(1+AL355/100)^$B$6</f>
        <v/>
      </c>
      <c r="AT355">
        <f>AS355-AR355</f>
        <v/>
      </c>
      <c r="AU355">
        <f>RAND()</f>
        <v/>
      </c>
      <c r="AV355">
        <f>RAND()</f>
        <v/>
      </c>
      <c r="AW355">
        <f>RAND()</f>
        <v/>
      </c>
      <c r="AX355">
        <f>RAND()</f>
        <v/>
      </c>
      <c r="AY355">
        <f>RAND()</f>
        <v/>
      </c>
      <c r="AZ355">
        <f>RAND()</f>
        <v/>
      </c>
    </row>
    <row r="356">
      <c r="AK356" t="n">
        <v>343</v>
      </c>
      <c r="AL356">
        <f>IFERROR(IF(AU356&lt;($AM$6-$AL$6)/($AN$6-$AL$6),$AL$6+SQRT(AU356*($AN$6-$AL$6)*($AM$6-$AL$6)),$AN$6-SQRT((1-AU356)*($AN$6-$AL$6)*($AN$6-$AM$6))),$AM$6)</f>
        <v/>
      </c>
      <c r="AM356">
        <f>IFERROR(IF(AV356&lt;($AM$7-$AL$7)/($AN$7-$AL$7),$AL$7+SQRT(AV356*($AN$7-$AL$7)*($AM$7-$AL$7)),$AN$7-SQRT((1-AV356)*($AN$7-$AL$7)*($AN$7-$AM$7))),$AM$7)</f>
        <v/>
      </c>
      <c r="AN356">
        <f>IFERROR(IF(AW356&lt;($AM$8-$AL$8)/($AN$8-$AL$8),$AL$8+SQRT(AW356*($AN$8-$AL$8)*($AM$8-$AL$8)),$AN$8-SQRT((1-AW356)*($AN$8-$AL$8)*($AN$8-$AM$8))),$AM$8)</f>
        <v/>
      </c>
      <c r="AO356">
        <f>IFERROR(IF(AX356&lt;($AM$9-$AL$9)/($AN$9-$AL$9),$AL$9+SQRT(AX356*($AN$9-$AL$9)*($AM$9-$AL$9)),$AN$9-SQRT((1-AX356)*($AN$9-$AL$9)*($AN$9-$AM$9))),$AM$9)</f>
        <v/>
      </c>
      <c r="AP356">
        <f>IFERROR(IF(AY356&lt;($AM$10-$AL$10)/($AN$10-$AL$10),$AL$10+SQRT(AY356*($AN$10-$AL$10)*($AM$10-$AL$10)),$AN$10-SQRT((1-AY356)*($AN$10-$AL$10)*($AN$10-$AM$10))),$AM$10)</f>
        <v/>
      </c>
      <c r="AQ356">
        <f>IFERROR(IF(AZ356&lt;($AM$11-$AL$11)/($AN$11-$AL$11),$AL$11+SQRT(AZ356*($AN$11-$AL$11)*($AM$11-$AL$11)),$AN$11-SQRT((1-AZ356)*($AN$11-$AL$11)*($AN$11-$AM$11))),$AM$11)</f>
        <v/>
      </c>
      <c r="AR356">
        <f>SUMPRODUCT((B24:B31&lt;=$B$6)*(C24:C31*AM356+D24:D31*AO356*$B$8*AQ356)/(1+AL356/100)^B24:B31)+C32*AM356*AP356/(1+AL356/100)^$B$6</f>
        <v/>
      </c>
      <c r="AS356">
        <f>SUMPRODUCT((K24:K26&lt;=$B$6)*(L24:L26*AN356+M24:M26*AO356*$B$8*AQ356)/(1+AL356/100)^K24:K26)+L27*AN356*AP356/(1+AL356/100)^$B$6</f>
        <v/>
      </c>
      <c r="AT356">
        <f>AS356-AR356</f>
        <v/>
      </c>
      <c r="AU356">
        <f>RAND()</f>
        <v/>
      </c>
      <c r="AV356">
        <f>RAND()</f>
        <v/>
      </c>
      <c r="AW356">
        <f>RAND()</f>
        <v/>
      </c>
      <c r="AX356">
        <f>RAND()</f>
        <v/>
      </c>
      <c r="AY356">
        <f>RAND()</f>
        <v/>
      </c>
      <c r="AZ356">
        <f>RAND()</f>
        <v/>
      </c>
    </row>
    <row r="357">
      <c r="AK357" t="n">
        <v>344</v>
      </c>
      <c r="AL357">
        <f>IFERROR(IF(AU357&lt;($AM$6-$AL$6)/($AN$6-$AL$6),$AL$6+SQRT(AU357*($AN$6-$AL$6)*($AM$6-$AL$6)),$AN$6-SQRT((1-AU357)*($AN$6-$AL$6)*($AN$6-$AM$6))),$AM$6)</f>
        <v/>
      </c>
      <c r="AM357">
        <f>IFERROR(IF(AV357&lt;($AM$7-$AL$7)/($AN$7-$AL$7),$AL$7+SQRT(AV357*($AN$7-$AL$7)*($AM$7-$AL$7)),$AN$7-SQRT((1-AV357)*($AN$7-$AL$7)*($AN$7-$AM$7))),$AM$7)</f>
        <v/>
      </c>
      <c r="AN357">
        <f>IFERROR(IF(AW357&lt;($AM$8-$AL$8)/($AN$8-$AL$8),$AL$8+SQRT(AW357*($AN$8-$AL$8)*($AM$8-$AL$8)),$AN$8-SQRT((1-AW357)*($AN$8-$AL$8)*($AN$8-$AM$8))),$AM$8)</f>
        <v/>
      </c>
      <c r="AO357">
        <f>IFERROR(IF(AX357&lt;($AM$9-$AL$9)/($AN$9-$AL$9),$AL$9+SQRT(AX357*($AN$9-$AL$9)*($AM$9-$AL$9)),$AN$9-SQRT((1-AX357)*($AN$9-$AL$9)*($AN$9-$AM$9))),$AM$9)</f>
        <v/>
      </c>
      <c r="AP357">
        <f>IFERROR(IF(AY357&lt;($AM$10-$AL$10)/($AN$10-$AL$10),$AL$10+SQRT(AY357*($AN$10-$AL$10)*($AM$10-$AL$10)),$AN$10-SQRT((1-AY357)*($AN$10-$AL$10)*($AN$10-$AM$10))),$AM$10)</f>
        <v/>
      </c>
      <c r="AQ357">
        <f>IFERROR(IF(AZ357&lt;($AM$11-$AL$11)/($AN$11-$AL$11),$AL$11+SQRT(AZ357*($AN$11-$AL$11)*($AM$11-$AL$11)),$AN$11-SQRT((1-AZ357)*($AN$11-$AL$11)*($AN$11-$AM$11))),$AM$11)</f>
        <v/>
      </c>
      <c r="AR357">
        <f>SUMPRODUCT((B24:B31&lt;=$B$6)*(C24:C31*AM357+D24:D31*AO357*$B$8*AQ357)/(1+AL357/100)^B24:B31)+C32*AM357*AP357/(1+AL357/100)^$B$6</f>
        <v/>
      </c>
      <c r="AS357">
        <f>SUMPRODUCT((K24:K26&lt;=$B$6)*(L24:L26*AN357+M24:M26*AO357*$B$8*AQ357)/(1+AL357/100)^K24:K26)+L27*AN357*AP357/(1+AL357/100)^$B$6</f>
        <v/>
      </c>
      <c r="AT357">
        <f>AS357-AR357</f>
        <v/>
      </c>
      <c r="AU357">
        <f>RAND()</f>
        <v/>
      </c>
      <c r="AV357">
        <f>RAND()</f>
        <v/>
      </c>
      <c r="AW357">
        <f>RAND()</f>
        <v/>
      </c>
      <c r="AX357">
        <f>RAND()</f>
        <v/>
      </c>
      <c r="AY357">
        <f>RAND()</f>
        <v/>
      </c>
      <c r="AZ357">
        <f>RAND()</f>
        <v/>
      </c>
    </row>
    <row r="358">
      <c r="AK358" t="n">
        <v>345</v>
      </c>
      <c r="AL358">
        <f>IFERROR(IF(AU358&lt;($AM$6-$AL$6)/($AN$6-$AL$6),$AL$6+SQRT(AU358*($AN$6-$AL$6)*($AM$6-$AL$6)),$AN$6-SQRT((1-AU358)*($AN$6-$AL$6)*($AN$6-$AM$6))),$AM$6)</f>
        <v/>
      </c>
      <c r="AM358">
        <f>IFERROR(IF(AV358&lt;($AM$7-$AL$7)/($AN$7-$AL$7),$AL$7+SQRT(AV358*($AN$7-$AL$7)*($AM$7-$AL$7)),$AN$7-SQRT((1-AV358)*($AN$7-$AL$7)*($AN$7-$AM$7))),$AM$7)</f>
        <v/>
      </c>
      <c r="AN358">
        <f>IFERROR(IF(AW358&lt;($AM$8-$AL$8)/($AN$8-$AL$8),$AL$8+SQRT(AW358*($AN$8-$AL$8)*($AM$8-$AL$8)),$AN$8-SQRT((1-AW358)*($AN$8-$AL$8)*($AN$8-$AM$8))),$AM$8)</f>
        <v/>
      </c>
      <c r="AO358">
        <f>IFERROR(IF(AX358&lt;($AM$9-$AL$9)/($AN$9-$AL$9),$AL$9+SQRT(AX358*($AN$9-$AL$9)*($AM$9-$AL$9)),$AN$9-SQRT((1-AX358)*($AN$9-$AL$9)*($AN$9-$AM$9))),$AM$9)</f>
        <v/>
      </c>
      <c r="AP358">
        <f>IFERROR(IF(AY358&lt;($AM$10-$AL$10)/($AN$10-$AL$10),$AL$10+SQRT(AY358*($AN$10-$AL$10)*($AM$10-$AL$10)),$AN$10-SQRT((1-AY358)*($AN$10-$AL$10)*($AN$10-$AM$10))),$AM$10)</f>
        <v/>
      </c>
      <c r="AQ358">
        <f>IFERROR(IF(AZ358&lt;($AM$11-$AL$11)/($AN$11-$AL$11),$AL$11+SQRT(AZ358*($AN$11-$AL$11)*($AM$11-$AL$11)),$AN$11-SQRT((1-AZ358)*($AN$11-$AL$11)*($AN$11-$AM$11))),$AM$11)</f>
        <v/>
      </c>
      <c r="AR358">
        <f>SUMPRODUCT((B24:B31&lt;=$B$6)*(C24:C31*AM358+D24:D31*AO358*$B$8*AQ358)/(1+AL358/100)^B24:B31)+C32*AM358*AP358/(1+AL358/100)^$B$6</f>
        <v/>
      </c>
      <c r="AS358">
        <f>SUMPRODUCT((K24:K26&lt;=$B$6)*(L24:L26*AN358+M24:M26*AO358*$B$8*AQ358)/(1+AL358/100)^K24:K26)+L27*AN358*AP358/(1+AL358/100)^$B$6</f>
        <v/>
      </c>
      <c r="AT358">
        <f>AS358-AR358</f>
        <v/>
      </c>
      <c r="AU358">
        <f>RAND()</f>
        <v/>
      </c>
      <c r="AV358">
        <f>RAND()</f>
        <v/>
      </c>
      <c r="AW358">
        <f>RAND()</f>
        <v/>
      </c>
      <c r="AX358">
        <f>RAND()</f>
        <v/>
      </c>
      <c r="AY358">
        <f>RAND()</f>
        <v/>
      </c>
      <c r="AZ358">
        <f>RAND()</f>
        <v/>
      </c>
    </row>
    <row r="359">
      <c r="AK359" t="n">
        <v>346</v>
      </c>
      <c r="AL359">
        <f>IFERROR(IF(AU359&lt;($AM$6-$AL$6)/($AN$6-$AL$6),$AL$6+SQRT(AU359*($AN$6-$AL$6)*($AM$6-$AL$6)),$AN$6-SQRT((1-AU359)*($AN$6-$AL$6)*($AN$6-$AM$6))),$AM$6)</f>
        <v/>
      </c>
      <c r="AM359">
        <f>IFERROR(IF(AV359&lt;($AM$7-$AL$7)/($AN$7-$AL$7),$AL$7+SQRT(AV359*($AN$7-$AL$7)*($AM$7-$AL$7)),$AN$7-SQRT((1-AV359)*($AN$7-$AL$7)*($AN$7-$AM$7))),$AM$7)</f>
        <v/>
      </c>
      <c r="AN359">
        <f>IFERROR(IF(AW359&lt;($AM$8-$AL$8)/($AN$8-$AL$8),$AL$8+SQRT(AW359*($AN$8-$AL$8)*($AM$8-$AL$8)),$AN$8-SQRT((1-AW359)*($AN$8-$AL$8)*($AN$8-$AM$8))),$AM$8)</f>
        <v/>
      </c>
      <c r="AO359">
        <f>IFERROR(IF(AX359&lt;($AM$9-$AL$9)/($AN$9-$AL$9),$AL$9+SQRT(AX359*($AN$9-$AL$9)*($AM$9-$AL$9)),$AN$9-SQRT((1-AX359)*($AN$9-$AL$9)*($AN$9-$AM$9))),$AM$9)</f>
        <v/>
      </c>
      <c r="AP359">
        <f>IFERROR(IF(AY359&lt;($AM$10-$AL$10)/($AN$10-$AL$10),$AL$10+SQRT(AY359*($AN$10-$AL$10)*($AM$10-$AL$10)),$AN$10-SQRT((1-AY359)*($AN$10-$AL$10)*($AN$10-$AM$10))),$AM$10)</f>
        <v/>
      </c>
      <c r="AQ359">
        <f>IFERROR(IF(AZ359&lt;($AM$11-$AL$11)/($AN$11-$AL$11),$AL$11+SQRT(AZ359*($AN$11-$AL$11)*($AM$11-$AL$11)),$AN$11-SQRT((1-AZ359)*($AN$11-$AL$11)*($AN$11-$AM$11))),$AM$11)</f>
        <v/>
      </c>
      <c r="AR359">
        <f>SUMPRODUCT((B24:B31&lt;=$B$6)*(C24:C31*AM359+D24:D31*AO359*$B$8*AQ359)/(1+AL359/100)^B24:B31)+C32*AM359*AP359/(1+AL359/100)^$B$6</f>
        <v/>
      </c>
      <c r="AS359">
        <f>SUMPRODUCT((K24:K26&lt;=$B$6)*(L24:L26*AN359+M24:M26*AO359*$B$8*AQ359)/(1+AL359/100)^K24:K26)+L27*AN359*AP359/(1+AL359/100)^$B$6</f>
        <v/>
      </c>
      <c r="AT359">
        <f>AS359-AR359</f>
        <v/>
      </c>
      <c r="AU359">
        <f>RAND()</f>
        <v/>
      </c>
      <c r="AV359">
        <f>RAND()</f>
        <v/>
      </c>
      <c r="AW359">
        <f>RAND()</f>
        <v/>
      </c>
      <c r="AX359">
        <f>RAND()</f>
        <v/>
      </c>
      <c r="AY359">
        <f>RAND()</f>
        <v/>
      </c>
      <c r="AZ359">
        <f>RAND()</f>
        <v/>
      </c>
    </row>
    <row r="360">
      <c r="AK360" t="n">
        <v>347</v>
      </c>
      <c r="AL360">
        <f>IFERROR(IF(AU360&lt;($AM$6-$AL$6)/($AN$6-$AL$6),$AL$6+SQRT(AU360*($AN$6-$AL$6)*($AM$6-$AL$6)),$AN$6-SQRT((1-AU360)*($AN$6-$AL$6)*($AN$6-$AM$6))),$AM$6)</f>
        <v/>
      </c>
      <c r="AM360">
        <f>IFERROR(IF(AV360&lt;($AM$7-$AL$7)/($AN$7-$AL$7),$AL$7+SQRT(AV360*($AN$7-$AL$7)*($AM$7-$AL$7)),$AN$7-SQRT((1-AV360)*($AN$7-$AL$7)*($AN$7-$AM$7))),$AM$7)</f>
        <v/>
      </c>
      <c r="AN360">
        <f>IFERROR(IF(AW360&lt;($AM$8-$AL$8)/($AN$8-$AL$8),$AL$8+SQRT(AW360*($AN$8-$AL$8)*($AM$8-$AL$8)),$AN$8-SQRT((1-AW360)*($AN$8-$AL$8)*($AN$8-$AM$8))),$AM$8)</f>
        <v/>
      </c>
      <c r="AO360">
        <f>IFERROR(IF(AX360&lt;($AM$9-$AL$9)/($AN$9-$AL$9),$AL$9+SQRT(AX360*($AN$9-$AL$9)*($AM$9-$AL$9)),$AN$9-SQRT((1-AX360)*($AN$9-$AL$9)*($AN$9-$AM$9))),$AM$9)</f>
        <v/>
      </c>
      <c r="AP360">
        <f>IFERROR(IF(AY360&lt;($AM$10-$AL$10)/($AN$10-$AL$10),$AL$10+SQRT(AY360*($AN$10-$AL$10)*($AM$10-$AL$10)),$AN$10-SQRT((1-AY360)*($AN$10-$AL$10)*($AN$10-$AM$10))),$AM$10)</f>
        <v/>
      </c>
      <c r="AQ360">
        <f>IFERROR(IF(AZ360&lt;($AM$11-$AL$11)/($AN$11-$AL$11),$AL$11+SQRT(AZ360*($AN$11-$AL$11)*($AM$11-$AL$11)),$AN$11-SQRT((1-AZ360)*($AN$11-$AL$11)*($AN$11-$AM$11))),$AM$11)</f>
        <v/>
      </c>
      <c r="AR360">
        <f>SUMPRODUCT((B24:B31&lt;=$B$6)*(C24:C31*AM360+D24:D31*AO360*$B$8*AQ360)/(1+AL360/100)^B24:B31)+C32*AM360*AP360/(1+AL360/100)^$B$6</f>
        <v/>
      </c>
      <c r="AS360">
        <f>SUMPRODUCT((K24:K26&lt;=$B$6)*(L24:L26*AN360+M24:M26*AO360*$B$8*AQ360)/(1+AL360/100)^K24:K26)+L27*AN360*AP360/(1+AL360/100)^$B$6</f>
        <v/>
      </c>
      <c r="AT360">
        <f>AS360-AR360</f>
        <v/>
      </c>
      <c r="AU360">
        <f>RAND()</f>
        <v/>
      </c>
      <c r="AV360">
        <f>RAND()</f>
        <v/>
      </c>
      <c r="AW360">
        <f>RAND()</f>
        <v/>
      </c>
      <c r="AX360">
        <f>RAND()</f>
        <v/>
      </c>
      <c r="AY360">
        <f>RAND()</f>
        <v/>
      </c>
      <c r="AZ360">
        <f>RAND()</f>
        <v/>
      </c>
    </row>
    <row r="361">
      <c r="AK361" t="n">
        <v>348</v>
      </c>
      <c r="AL361">
        <f>IFERROR(IF(AU361&lt;($AM$6-$AL$6)/($AN$6-$AL$6),$AL$6+SQRT(AU361*($AN$6-$AL$6)*($AM$6-$AL$6)),$AN$6-SQRT((1-AU361)*($AN$6-$AL$6)*($AN$6-$AM$6))),$AM$6)</f>
        <v/>
      </c>
      <c r="AM361">
        <f>IFERROR(IF(AV361&lt;($AM$7-$AL$7)/($AN$7-$AL$7),$AL$7+SQRT(AV361*($AN$7-$AL$7)*($AM$7-$AL$7)),$AN$7-SQRT((1-AV361)*($AN$7-$AL$7)*($AN$7-$AM$7))),$AM$7)</f>
        <v/>
      </c>
      <c r="AN361">
        <f>IFERROR(IF(AW361&lt;($AM$8-$AL$8)/($AN$8-$AL$8),$AL$8+SQRT(AW361*($AN$8-$AL$8)*($AM$8-$AL$8)),$AN$8-SQRT((1-AW361)*($AN$8-$AL$8)*($AN$8-$AM$8))),$AM$8)</f>
        <v/>
      </c>
      <c r="AO361">
        <f>IFERROR(IF(AX361&lt;($AM$9-$AL$9)/($AN$9-$AL$9),$AL$9+SQRT(AX361*($AN$9-$AL$9)*($AM$9-$AL$9)),$AN$9-SQRT((1-AX361)*($AN$9-$AL$9)*($AN$9-$AM$9))),$AM$9)</f>
        <v/>
      </c>
      <c r="AP361">
        <f>IFERROR(IF(AY361&lt;($AM$10-$AL$10)/($AN$10-$AL$10),$AL$10+SQRT(AY361*($AN$10-$AL$10)*($AM$10-$AL$10)),$AN$10-SQRT((1-AY361)*($AN$10-$AL$10)*($AN$10-$AM$10))),$AM$10)</f>
        <v/>
      </c>
      <c r="AQ361">
        <f>IFERROR(IF(AZ361&lt;($AM$11-$AL$11)/($AN$11-$AL$11),$AL$11+SQRT(AZ361*($AN$11-$AL$11)*($AM$11-$AL$11)),$AN$11-SQRT((1-AZ361)*($AN$11-$AL$11)*($AN$11-$AM$11))),$AM$11)</f>
        <v/>
      </c>
      <c r="AR361">
        <f>SUMPRODUCT((B24:B31&lt;=$B$6)*(C24:C31*AM361+D24:D31*AO361*$B$8*AQ361)/(1+AL361/100)^B24:B31)+C32*AM361*AP361/(1+AL361/100)^$B$6</f>
        <v/>
      </c>
      <c r="AS361">
        <f>SUMPRODUCT((K24:K26&lt;=$B$6)*(L24:L26*AN361+M24:M26*AO361*$B$8*AQ361)/(1+AL361/100)^K24:K26)+L27*AN361*AP361/(1+AL361/100)^$B$6</f>
        <v/>
      </c>
      <c r="AT361">
        <f>AS361-AR361</f>
        <v/>
      </c>
      <c r="AU361">
        <f>RAND()</f>
        <v/>
      </c>
      <c r="AV361">
        <f>RAND()</f>
        <v/>
      </c>
      <c r="AW361">
        <f>RAND()</f>
        <v/>
      </c>
      <c r="AX361">
        <f>RAND()</f>
        <v/>
      </c>
      <c r="AY361">
        <f>RAND()</f>
        <v/>
      </c>
      <c r="AZ361">
        <f>RAND()</f>
        <v/>
      </c>
    </row>
    <row r="362">
      <c r="AK362" t="n">
        <v>349</v>
      </c>
      <c r="AL362">
        <f>IFERROR(IF(AU362&lt;($AM$6-$AL$6)/($AN$6-$AL$6),$AL$6+SQRT(AU362*($AN$6-$AL$6)*($AM$6-$AL$6)),$AN$6-SQRT((1-AU362)*($AN$6-$AL$6)*($AN$6-$AM$6))),$AM$6)</f>
        <v/>
      </c>
      <c r="AM362">
        <f>IFERROR(IF(AV362&lt;($AM$7-$AL$7)/($AN$7-$AL$7),$AL$7+SQRT(AV362*($AN$7-$AL$7)*($AM$7-$AL$7)),$AN$7-SQRT((1-AV362)*($AN$7-$AL$7)*($AN$7-$AM$7))),$AM$7)</f>
        <v/>
      </c>
      <c r="AN362">
        <f>IFERROR(IF(AW362&lt;($AM$8-$AL$8)/($AN$8-$AL$8),$AL$8+SQRT(AW362*($AN$8-$AL$8)*($AM$8-$AL$8)),$AN$8-SQRT((1-AW362)*($AN$8-$AL$8)*($AN$8-$AM$8))),$AM$8)</f>
        <v/>
      </c>
      <c r="AO362">
        <f>IFERROR(IF(AX362&lt;($AM$9-$AL$9)/($AN$9-$AL$9),$AL$9+SQRT(AX362*($AN$9-$AL$9)*($AM$9-$AL$9)),$AN$9-SQRT((1-AX362)*($AN$9-$AL$9)*($AN$9-$AM$9))),$AM$9)</f>
        <v/>
      </c>
      <c r="AP362">
        <f>IFERROR(IF(AY362&lt;($AM$10-$AL$10)/($AN$10-$AL$10),$AL$10+SQRT(AY362*($AN$10-$AL$10)*($AM$10-$AL$10)),$AN$10-SQRT((1-AY362)*($AN$10-$AL$10)*($AN$10-$AM$10))),$AM$10)</f>
        <v/>
      </c>
      <c r="AQ362">
        <f>IFERROR(IF(AZ362&lt;($AM$11-$AL$11)/($AN$11-$AL$11),$AL$11+SQRT(AZ362*($AN$11-$AL$11)*($AM$11-$AL$11)),$AN$11-SQRT((1-AZ362)*($AN$11-$AL$11)*($AN$11-$AM$11))),$AM$11)</f>
        <v/>
      </c>
      <c r="AR362">
        <f>SUMPRODUCT((B24:B31&lt;=$B$6)*(C24:C31*AM362+D24:D31*AO362*$B$8*AQ362)/(1+AL362/100)^B24:B31)+C32*AM362*AP362/(1+AL362/100)^$B$6</f>
        <v/>
      </c>
      <c r="AS362">
        <f>SUMPRODUCT((K24:K26&lt;=$B$6)*(L24:L26*AN362+M24:M26*AO362*$B$8*AQ362)/(1+AL362/100)^K24:K26)+L27*AN362*AP362/(1+AL362/100)^$B$6</f>
        <v/>
      </c>
      <c r="AT362">
        <f>AS362-AR362</f>
        <v/>
      </c>
      <c r="AU362">
        <f>RAND()</f>
        <v/>
      </c>
      <c r="AV362">
        <f>RAND()</f>
        <v/>
      </c>
      <c r="AW362">
        <f>RAND()</f>
        <v/>
      </c>
      <c r="AX362">
        <f>RAND()</f>
        <v/>
      </c>
      <c r="AY362">
        <f>RAND()</f>
        <v/>
      </c>
      <c r="AZ362">
        <f>RAND()</f>
        <v/>
      </c>
    </row>
    <row r="363">
      <c r="AK363" t="n">
        <v>350</v>
      </c>
      <c r="AL363">
        <f>IFERROR(IF(AU363&lt;($AM$6-$AL$6)/($AN$6-$AL$6),$AL$6+SQRT(AU363*($AN$6-$AL$6)*($AM$6-$AL$6)),$AN$6-SQRT((1-AU363)*($AN$6-$AL$6)*($AN$6-$AM$6))),$AM$6)</f>
        <v/>
      </c>
      <c r="AM363">
        <f>IFERROR(IF(AV363&lt;($AM$7-$AL$7)/($AN$7-$AL$7),$AL$7+SQRT(AV363*($AN$7-$AL$7)*($AM$7-$AL$7)),$AN$7-SQRT((1-AV363)*($AN$7-$AL$7)*($AN$7-$AM$7))),$AM$7)</f>
        <v/>
      </c>
      <c r="AN363">
        <f>IFERROR(IF(AW363&lt;($AM$8-$AL$8)/($AN$8-$AL$8),$AL$8+SQRT(AW363*($AN$8-$AL$8)*($AM$8-$AL$8)),$AN$8-SQRT((1-AW363)*($AN$8-$AL$8)*($AN$8-$AM$8))),$AM$8)</f>
        <v/>
      </c>
      <c r="AO363">
        <f>IFERROR(IF(AX363&lt;($AM$9-$AL$9)/($AN$9-$AL$9),$AL$9+SQRT(AX363*($AN$9-$AL$9)*($AM$9-$AL$9)),$AN$9-SQRT((1-AX363)*($AN$9-$AL$9)*($AN$9-$AM$9))),$AM$9)</f>
        <v/>
      </c>
      <c r="AP363">
        <f>IFERROR(IF(AY363&lt;($AM$10-$AL$10)/($AN$10-$AL$10),$AL$10+SQRT(AY363*($AN$10-$AL$10)*($AM$10-$AL$10)),$AN$10-SQRT((1-AY363)*($AN$10-$AL$10)*($AN$10-$AM$10))),$AM$10)</f>
        <v/>
      </c>
      <c r="AQ363">
        <f>IFERROR(IF(AZ363&lt;($AM$11-$AL$11)/($AN$11-$AL$11),$AL$11+SQRT(AZ363*($AN$11-$AL$11)*($AM$11-$AL$11)),$AN$11-SQRT((1-AZ363)*($AN$11-$AL$11)*($AN$11-$AM$11))),$AM$11)</f>
        <v/>
      </c>
      <c r="AR363">
        <f>SUMPRODUCT((B24:B31&lt;=$B$6)*(C24:C31*AM363+D24:D31*AO363*$B$8*AQ363)/(1+AL363/100)^B24:B31)+C32*AM363*AP363/(1+AL363/100)^$B$6</f>
        <v/>
      </c>
      <c r="AS363">
        <f>SUMPRODUCT((K24:K26&lt;=$B$6)*(L24:L26*AN363+M24:M26*AO363*$B$8*AQ363)/(1+AL363/100)^K24:K26)+L27*AN363*AP363/(1+AL363/100)^$B$6</f>
        <v/>
      </c>
      <c r="AT363">
        <f>AS363-AR363</f>
        <v/>
      </c>
      <c r="AU363">
        <f>RAND()</f>
        <v/>
      </c>
      <c r="AV363">
        <f>RAND()</f>
        <v/>
      </c>
      <c r="AW363">
        <f>RAND()</f>
        <v/>
      </c>
      <c r="AX363">
        <f>RAND()</f>
        <v/>
      </c>
      <c r="AY363">
        <f>RAND()</f>
        <v/>
      </c>
      <c r="AZ363">
        <f>RAND()</f>
        <v/>
      </c>
    </row>
    <row r="364">
      <c r="AK364" t="n">
        <v>351</v>
      </c>
      <c r="AL364">
        <f>IFERROR(IF(AU364&lt;($AM$6-$AL$6)/($AN$6-$AL$6),$AL$6+SQRT(AU364*($AN$6-$AL$6)*($AM$6-$AL$6)),$AN$6-SQRT((1-AU364)*($AN$6-$AL$6)*($AN$6-$AM$6))),$AM$6)</f>
        <v/>
      </c>
      <c r="AM364">
        <f>IFERROR(IF(AV364&lt;($AM$7-$AL$7)/($AN$7-$AL$7),$AL$7+SQRT(AV364*($AN$7-$AL$7)*($AM$7-$AL$7)),$AN$7-SQRT((1-AV364)*($AN$7-$AL$7)*($AN$7-$AM$7))),$AM$7)</f>
        <v/>
      </c>
      <c r="AN364">
        <f>IFERROR(IF(AW364&lt;($AM$8-$AL$8)/($AN$8-$AL$8),$AL$8+SQRT(AW364*($AN$8-$AL$8)*($AM$8-$AL$8)),$AN$8-SQRT((1-AW364)*($AN$8-$AL$8)*($AN$8-$AM$8))),$AM$8)</f>
        <v/>
      </c>
      <c r="AO364">
        <f>IFERROR(IF(AX364&lt;($AM$9-$AL$9)/($AN$9-$AL$9),$AL$9+SQRT(AX364*($AN$9-$AL$9)*($AM$9-$AL$9)),$AN$9-SQRT((1-AX364)*($AN$9-$AL$9)*($AN$9-$AM$9))),$AM$9)</f>
        <v/>
      </c>
      <c r="AP364">
        <f>IFERROR(IF(AY364&lt;($AM$10-$AL$10)/($AN$10-$AL$10),$AL$10+SQRT(AY364*($AN$10-$AL$10)*($AM$10-$AL$10)),$AN$10-SQRT((1-AY364)*($AN$10-$AL$10)*($AN$10-$AM$10))),$AM$10)</f>
        <v/>
      </c>
      <c r="AQ364">
        <f>IFERROR(IF(AZ364&lt;($AM$11-$AL$11)/($AN$11-$AL$11),$AL$11+SQRT(AZ364*($AN$11-$AL$11)*($AM$11-$AL$11)),$AN$11-SQRT((1-AZ364)*($AN$11-$AL$11)*($AN$11-$AM$11))),$AM$11)</f>
        <v/>
      </c>
      <c r="AR364">
        <f>SUMPRODUCT((B24:B31&lt;=$B$6)*(C24:C31*AM364+D24:D31*AO364*$B$8*AQ364)/(1+AL364/100)^B24:B31)+C32*AM364*AP364/(1+AL364/100)^$B$6</f>
        <v/>
      </c>
      <c r="AS364">
        <f>SUMPRODUCT((K24:K26&lt;=$B$6)*(L24:L26*AN364+M24:M26*AO364*$B$8*AQ364)/(1+AL364/100)^K24:K26)+L27*AN364*AP364/(1+AL364/100)^$B$6</f>
        <v/>
      </c>
      <c r="AT364">
        <f>AS364-AR364</f>
        <v/>
      </c>
      <c r="AU364">
        <f>RAND()</f>
        <v/>
      </c>
      <c r="AV364">
        <f>RAND()</f>
        <v/>
      </c>
      <c r="AW364">
        <f>RAND()</f>
        <v/>
      </c>
      <c r="AX364">
        <f>RAND()</f>
        <v/>
      </c>
      <c r="AY364">
        <f>RAND()</f>
        <v/>
      </c>
      <c r="AZ364">
        <f>RAND()</f>
        <v/>
      </c>
    </row>
    <row r="365">
      <c r="AK365" t="n">
        <v>352</v>
      </c>
      <c r="AL365">
        <f>IFERROR(IF(AU365&lt;($AM$6-$AL$6)/($AN$6-$AL$6),$AL$6+SQRT(AU365*($AN$6-$AL$6)*($AM$6-$AL$6)),$AN$6-SQRT((1-AU365)*($AN$6-$AL$6)*($AN$6-$AM$6))),$AM$6)</f>
        <v/>
      </c>
      <c r="AM365">
        <f>IFERROR(IF(AV365&lt;($AM$7-$AL$7)/($AN$7-$AL$7),$AL$7+SQRT(AV365*($AN$7-$AL$7)*($AM$7-$AL$7)),$AN$7-SQRT((1-AV365)*($AN$7-$AL$7)*($AN$7-$AM$7))),$AM$7)</f>
        <v/>
      </c>
      <c r="AN365">
        <f>IFERROR(IF(AW365&lt;($AM$8-$AL$8)/($AN$8-$AL$8),$AL$8+SQRT(AW365*($AN$8-$AL$8)*($AM$8-$AL$8)),$AN$8-SQRT((1-AW365)*($AN$8-$AL$8)*($AN$8-$AM$8))),$AM$8)</f>
        <v/>
      </c>
      <c r="AO365">
        <f>IFERROR(IF(AX365&lt;($AM$9-$AL$9)/($AN$9-$AL$9),$AL$9+SQRT(AX365*($AN$9-$AL$9)*($AM$9-$AL$9)),$AN$9-SQRT((1-AX365)*($AN$9-$AL$9)*($AN$9-$AM$9))),$AM$9)</f>
        <v/>
      </c>
      <c r="AP365">
        <f>IFERROR(IF(AY365&lt;($AM$10-$AL$10)/($AN$10-$AL$10),$AL$10+SQRT(AY365*($AN$10-$AL$10)*($AM$10-$AL$10)),$AN$10-SQRT((1-AY365)*($AN$10-$AL$10)*($AN$10-$AM$10))),$AM$10)</f>
        <v/>
      </c>
      <c r="AQ365">
        <f>IFERROR(IF(AZ365&lt;($AM$11-$AL$11)/($AN$11-$AL$11),$AL$11+SQRT(AZ365*($AN$11-$AL$11)*($AM$11-$AL$11)),$AN$11-SQRT((1-AZ365)*($AN$11-$AL$11)*($AN$11-$AM$11))),$AM$11)</f>
        <v/>
      </c>
      <c r="AR365">
        <f>SUMPRODUCT((B24:B31&lt;=$B$6)*(C24:C31*AM365+D24:D31*AO365*$B$8*AQ365)/(1+AL365/100)^B24:B31)+C32*AM365*AP365/(1+AL365/100)^$B$6</f>
        <v/>
      </c>
      <c r="AS365">
        <f>SUMPRODUCT((K24:K26&lt;=$B$6)*(L24:L26*AN365+M24:M26*AO365*$B$8*AQ365)/(1+AL365/100)^K24:K26)+L27*AN365*AP365/(1+AL365/100)^$B$6</f>
        <v/>
      </c>
      <c r="AT365">
        <f>AS365-AR365</f>
        <v/>
      </c>
      <c r="AU365">
        <f>RAND()</f>
        <v/>
      </c>
      <c r="AV365">
        <f>RAND()</f>
        <v/>
      </c>
      <c r="AW365">
        <f>RAND()</f>
        <v/>
      </c>
      <c r="AX365">
        <f>RAND()</f>
        <v/>
      </c>
      <c r="AY365">
        <f>RAND()</f>
        <v/>
      </c>
      <c r="AZ365">
        <f>RAND()</f>
        <v/>
      </c>
    </row>
    <row r="366">
      <c r="AK366" t="n">
        <v>353</v>
      </c>
      <c r="AL366">
        <f>IFERROR(IF(AU366&lt;($AM$6-$AL$6)/($AN$6-$AL$6),$AL$6+SQRT(AU366*($AN$6-$AL$6)*($AM$6-$AL$6)),$AN$6-SQRT((1-AU366)*($AN$6-$AL$6)*($AN$6-$AM$6))),$AM$6)</f>
        <v/>
      </c>
      <c r="AM366">
        <f>IFERROR(IF(AV366&lt;($AM$7-$AL$7)/($AN$7-$AL$7),$AL$7+SQRT(AV366*($AN$7-$AL$7)*($AM$7-$AL$7)),$AN$7-SQRT((1-AV366)*($AN$7-$AL$7)*($AN$7-$AM$7))),$AM$7)</f>
        <v/>
      </c>
      <c r="AN366">
        <f>IFERROR(IF(AW366&lt;($AM$8-$AL$8)/($AN$8-$AL$8),$AL$8+SQRT(AW366*($AN$8-$AL$8)*($AM$8-$AL$8)),$AN$8-SQRT((1-AW366)*($AN$8-$AL$8)*($AN$8-$AM$8))),$AM$8)</f>
        <v/>
      </c>
      <c r="AO366">
        <f>IFERROR(IF(AX366&lt;($AM$9-$AL$9)/($AN$9-$AL$9),$AL$9+SQRT(AX366*($AN$9-$AL$9)*($AM$9-$AL$9)),$AN$9-SQRT((1-AX366)*($AN$9-$AL$9)*($AN$9-$AM$9))),$AM$9)</f>
        <v/>
      </c>
      <c r="AP366">
        <f>IFERROR(IF(AY366&lt;($AM$10-$AL$10)/($AN$10-$AL$10),$AL$10+SQRT(AY366*($AN$10-$AL$10)*($AM$10-$AL$10)),$AN$10-SQRT((1-AY366)*($AN$10-$AL$10)*($AN$10-$AM$10))),$AM$10)</f>
        <v/>
      </c>
      <c r="AQ366">
        <f>IFERROR(IF(AZ366&lt;($AM$11-$AL$11)/($AN$11-$AL$11),$AL$11+SQRT(AZ366*($AN$11-$AL$11)*($AM$11-$AL$11)),$AN$11-SQRT((1-AZ366)*($AN$11-$AL$11)*($AN$11-$AM$11))),$AM$11)</f>
        <v/>
      </c>
      <c r="AR366">
        <f>SUMPRODUCT((B24:B31&lt;=$B$6)*(C24:C31*AM366+D24:D31*AO366*$B$8*AQ366)/(1+AL366/100)^B24:B31)+C32*AM366*AP366/(1+AL366/100)^$B$6</f>
        <v/>
      </c>
      <c r="AS366">
        <f>SUMPRODUCT((K24:K26&lt;=$B$6)*(L24:L26*AN366+M24:M26*AO366*$B$8*AQ366)/(1+AL366/100)^K24:K26)+L27*AN366*AP366/(1+AL366/100)^$B$6</f>
        <v/>
      </c>
      <c r="AT366">
        <f>AS366-AR366</f>
        <v/>
      </c>
      <c r="AU366">
        <f>RAND()</f>
        <v/>
      </c>
      <c r="AV366">
        <f>RAND()</f>
        <v/>
      </c>
      <c r="AW366">
        <f>RAND()</f>
        <v/>
      </c>
      <c r="AX366">
        <f>RAND()</f>
        <v/>
      </c>
      <c r="AY366">
        <f>RAND()</f>
        <v/>
      </c>
      <c r="AZ366">
        <f>RAND()</f>
        <v/>
      </c>
    </row>
    <row r="367">
      <c r="AK367" t="n">
        <v>354</v>
      </c>
      <c r="AL367">
        <f>IFERROR(IF(AU367&lt;($AM$6-$AL$6)/($AN$6-$AL$6),$AL$6+SQRT(AU367*($AN$6-$AL$6)*($AM$6-$AL$6)),$AN$6-SQRT((1-AU367)*($AN$6-$AL$6)*($AN$6-$AM$6))),$AM$6)</f>
        <v/>
      </c>
      <c r="AM367">
        <f>IFERROR(IF(AV367&lt;($AM$7-$AL$7)/($AN$7-$AL$7),$AL$7+SQRT(AV367*($AN$7-$AL$7)*($AM$7-$AL$7)),$AN$7-SQRT((1-AV367)*($AN$7-$AL$7)*($AN$7-$AM$7))),$AM$7)</f>
        <v/>
      </c>
      <c r="AN367">
        <f>IFERROR(IF(AW367&lt;($AM$8-$AL$8)/($AN$8-$AL$8),$AL$8+SQRT(AW367*($AN$8-$AL$8)*($AM$8-$AL$8)),$AN$8-SQRT((1-AW367)*($AN$8-$AL$8)*($AN$8-$AM$8))),$AM$8)</f>
        <v/>
      </c>
      <c r="AO367">
        <f>IFERROR(IF(AX367&lt;($AM$9-$AL$9)/($AN$9-$AL$9),$AL$9+SQRT(AX367*($AN$9-$AL$9)*($AM$9-$AL$9)),$AN$9-SQRT((1-AX367)*($AN$9-$AL$9)*($AN$9-$AM$9))),$AM$9)</f>
        <v/>
      </c>
      <c r="AP367">
        <f>IFERROR(IF(AY367&lt;($AM$10-$AL$10)/($AN$10-$AL$10),$AL$10+SQRT(AY367*($AN$10-$AL$10)*($AM$10-$AL$10)),$AN$10-SQRT((1-AY367)*($AN$10-$AL$10)*($AN$10-$AM$10))),$AM$10)</f>
        <v/>
      </c>
      <c r="AQ367">
        <f>IFERROR(IF(AZ367&lt;($AM$11-$AL$11)/($AN$11-$AL$11),$AL$11+SQRT(AZ367*($AN$11-$AL$11)*($AM$11-$AL$11)),$AN$11-SQRT((1-AZ367)*($AN$11-$AL$11)*($AN$11-$AM$11))),$AM$11)</f>
        <v/>
      </c>
      <c r="AR367">
        <f>SUMPRODUCT((B24:B31&lt;=$B$6)*(C24:C31*AM367+D24:D31*AO367*$B$8*AQ367)/(1+AL367/100)^B24:B31)+C32*AM367*AP367/(1+AL367/100)^$B$6</f>
        <v/>
      </c>
      <c r="AS367">
        <f>SUMPRODUCT((K24:K26&lt;=$B$6)*(L24:L26*AN367+M24:M26*AO367*$B$8*AQ367)/(1+AL367/100)^K24:K26)+L27*AN367*AP367/(1+AL367/100)^$B$6</f>
        <v/>
      </c>
      <c r="AT367">
        <f>AS367-AR367</f>
        <v/>
      </c>
      <c r="AU367">
        <f>RAND()</f>
        <v/>
      </c>
      <c r="AV367">
        <f>RAND()</f>
        <v/>
      </c>
      <c r="AW367">
        <f>RAND()</f>
        <v/>
      </c>
      <c r="AX367">
        <f>RAND()</f>
        <v/>
      </c>
      <c r="AY367">
        <f>RAND()</f>
        <v/>
      </c>
      <c r="AZ367">
        <f>RAND()</f>
        <v/>
      </c>
    </row>
    <row r="368">
      <c r="AK368" t="n">
        <v>355</v>
      </c>
      <c r="AL368">
        <f>IFERROR(IF(AU368&lt;($AM$6-$AL$6)/($AN$6-$AL$6),$AL$6+SQRT(AU368*($AN$6-$AL$6)*($AM$6-$AL$6)),$AN$6-SQRT((1-AU368)*($AN$6-$AL$6)*($AN$6-$AM$6))),$AM$6)</f>
        <v/>
      </c>
      <c r="AM368">
        <f>IFERROR(IF(AV368&lt;($AM$7-$AL$7)/($AN$7-$AL$7),$AL$7+SQRT(AV368*($AN$7-$AL$7)*($AM$7-$AL$7)),$AN$7-SQRT((1-AV368)*($AN$7-$AL$7)*($AN$7-$AM$7))),$AM$7)</f>
        <v/>
      </c>
      <c r="AN368">
        <f>IFERROR(IF(AW368&lt;($AM$8-$AL$8)/($AN$8-$AL$8),$AL$8+SQRT(AW368*($AN$8-$AL$8)*($AM$8-$AL$8)),$AN$8-SQRT((1-AW368)*($AN$8-$AL$8)*($AN$8-$AM$8))),$AM$8)</f>
        <v/>
      </c>
      <c r="AO368">
        <f>IFERROR(IF(AX368&lt;($AM$9-$AL$9)/($AN$9-$AL$9),$AL$9+SQRT(AX368*($AN$9-$AL$9)*($AM$9-$AL$9)),$AN$9-SQRT((1-AX368)*($AN$9-$AL$9)*($AN$9-$AM$9))),$AM$9)</f>
        <v/>
      </c>
      <c r="AP368">
        <f>IFERROR(IF(AY368&lt;($AM$10-$AL$10)/($AN$10-$AL$10),$AL$10+SQRT(AY368*($AN$10-$AL$10)*($AM$10-$AL$10)),$AN$10-SQRT((1-AY368)*($AN$10-$AL$10)*($AN$10-$AM$10))),$AM$10)</f>
        <v/>
      </c>
      <c r="AQ368">
        <f>IFERROR(IF(AZ368&lt;($AM$11-$AL$11)/($AN$11-$AL$11),$AL$11+SQRT(AZ368*($AN$11-$AL$11)*($AM$11-$AL$11)),$AN$11-SQRT((1-AZ368)*($AN$11-$AL$11)*($AN$11-$AM$11))),$AM$11)</f>
        <v/>
      </c>
      <c r="AR368">
        <f>SUMPRODUCT((B24:B31&lt;=$B$6)*(C24:C31*AM368+D24:D31*AO368*$B$8*AQ368)/(1+AL368/100)^B24:B31)+C32*AM368*AP368/(1+AL368/100)^$B$6</f>
        <v/>
      </c>
      <c r="AS368">
        <f>SUMPRODUCT((K24:K26&lt;=$B$6)*(L24:L26*AN368+M24:M26*AO368*$B$8*AQ368)/(1+AL368/100)^K24:K26)+L27*AN368*AP368/(1+AL368/100)^$B$6</f>
        <v/>
      </c>
      <c r="AT368">
        <f>AS368-AR368</f>
        <v/>
      </c>
      <c r="AU368">
        <f>RAND()</f>
        <v/>
      </c>
      <c r="AV368">
        <f>RAND()</f>
        <v/>
      </c>
      <c r="AW368">
        <f>RAND()</f>
        <v/>
      </c>
      <c r="AX368">
        <f>RAND()</f>
        <v/>
      </c>
      <c r="AY368">
        <f>RAND()</f>
        <v/>
      </c>
      <c r="AZ368">
        <f>RAND()</f>
        <v/>
      </c>
    </row>
    <row r="369">
      <c r="AK369" t="n">
        <v>356</v>
      </c>
      <c r="AL369">
        <f>IFERROR(IF(AU369&lt;($AM$6-$AL$6)/($AN$6-$AL$6),$AL$6+SQRT(AU369*($AN$6-$AL$6)*($AM$6-$AL$6)),$AN$6-SQRT((1-AU369)*($AN$6-$AL$6)*($AN$6-$AM$6))),$AM$6)</f>
        <v/>
      </c>
      <c r="AM369">
        <f>IFERROR(IF(AV369&lt;($AM$7-$AL$7)/($AN$7-$AL$7),$AL$7+SQRT(AV369*($AN$7-$AL$7)*($AM$7-$AL$7)),$AN$7-SQRT((1-AV369)*($AN$7-$AL$7)*($AN$7-$AM$7))),$AM$7)</f>
        <v/>
      </c>
      <c r="AN369">
        <f>IFERROR(IF(AW369&lt;($AM$8-$AL$8)/($AN$8-$AL$8),$AL$8+SQRT(AW369*($AN$8-$AL$8)*($AM$8-$AL$8)),$AN$8-SQRT((1-AW369)*($AN$8-$AL$8)*($AN$8-$AM$8))),$AM$8)</f>
        <v/>
      </c>
      <c r="AO369">
        <f>IFERROR(IF(AX369&lt;($AM$9-$AL$9)/($AN$9-$AL$9),$AL$9+SQRT(AX369*($AN$9-$AL$9)*($AM$9-$AL$9)),$AN$9-SQRT((1-AX369)*($AN$9-$AL$9)*($AN$9-$AM$9))),$AM$9)</f>
        <v/>
      </c>
      <c r="AP369">
        <f>IFERROR(IF(AY369&lt;($AM$10-$AL$10)/($AN$10-$AL$10),$AL$10+SQRT(AY369*($AN$10-$AL$10)*($AM$10-$AL$10)),$AN$10-SQRT((1-AY369)*($AN$10-$AL$10)*($AN$10-$AM$10))),$AM$10)</f>
        <v/>
      </c>
      <c r="AQ369">
        <f>IFERROR(IF(AZ369&lt;($AM$11-$AL$11)/($AN$11-$AL$11),$AL$11+SQRT(AZ369*($AN$11-$AL$11)*($AM$11-$AL$11)),$AN$11-SQRT((1-AZ369)*($AN$11-$AL$11)*($AN$11-$AM$11))),$AM$11)</f>
        <v/>
      </c>
      <c r="AR369">
        <f>SUMPRODUCT((B24:B31&lt;=$B$6)*(C24:C31*AM369+D24:D31*AO369*$B$8*AQ369)/(1+AL369/100)^B24:B31)+C32*AM369*AP369/(1+AL369/100)^$B$6</f>
        <v/>
      </c>
      <c r="AS369">
        <f>SUMPRODUCT((K24:K26&lt;=$B$6)*(L24:L26*AN369+M24:M26*AO369*$B$8*AQ369)/(1+AL369/100)^K24:K26)+L27*AN369*AP369/(1+AL369/100)^$B$6</f>
        <v/>
      </c>
      <c r="AT369">
        <f>AS369-AR369</f>
        <v/>
      </c>
      <c r="AU369">
        <f>RAND()</f>
        <v/>
      </c>
      <c r="AV369">
        <f>RAND()</f>
        <v/>
      </c>
      <c r="AW369">
        <f>RAND()</f>
        <v/>
      </c>
      <c r="AX369">
        <f>RAND()</f>
        <v/>
      </c>
      <c r="AY369">
        <f>RAND()</f>
        <v/>
      </c>
      <c r="AZ369">
        <f>RAND()</f>
        <v/>
      </c>
    </row>
    <row r="370">
      <c r="AK370" t="n">
        <v>357</v>
      </c>
      <c r="AL370">
        <f>IFERROR(IF(AU370&lt;($AM$6-$AL$6)/($AN$6-$AL$6),$AL$6+SQRT(AU370*($AN$6-$AL$6)*($AM$6-$AL$6)),$AN$6-SQRT((1-AU370)*($AN$6-$AL$6)*($AN$6-$AM$6))),$AM$6)</f>
        <v/>
      </c>
      <c r="AM370">
        <f>IFERROR(IF(AV370&lt;($AM$7-$AL$7)/($AN$7-$AL$7),$AL$7+SQRT(AV370*($AN$7-$AL$7)*($AM$7-$AL$7)),$AN$7-SQRT((1-AV370)*($AN$7-$AL$7)*($AN$7-$AM$7))),$AM$7)</f>
        <v/>
      </c>
      <c r="AN370">
        <f>IFERROR(IF(AW370&lt;($AM$8-$AL$8)/($AN$8-$AL$8),$AL$8+SQRT(AW370*($AN$8-$AL$8)*($AM$8-$AL$8)),$AN$8-SQRT((1-AW370)*($AN$8-$AL$8)*($AN$8-$AM$8))),$AM$8)</f>
        <v/>
      </c>
      <c r="AO370">
        <f>IFERROR(IF(AX370&lt;($AM$9-$AL$9)/($AN$9-$AL$9),$AL$9+SQRT(AX370*($AN$9-$AL$9)*($AM$9-$AL$9)),$AN$9-SQRT((1-AX370)*($AN$9-$AL$9)*($AN$9-$AM$9))),$AM$9)</f>
        <v/>
      </c>
      <c r="AP370">
        <f>IFERROR(IF(AY370&lt;($AM$10-$AL$10)/($AN$10-$AL$10),$AL$10+SQRT(AY370*($AN$10-$AL$10)*($AM$10-$AL$10)),$AN$10-SQRT((1-AY370)*($AN$10-$AL$10)*($AN$10-$AM$10))),$AM$10)</f>
        <v/>
      </c>
      <c r="AQ370">
        <f>IFERROR(IF(AZ370&lt;($AM$11-$AL$11)/($AN$11-$AL$11),$AL$11+SQRT(AZ370*($AN$11-$AL$11)*($AM$11-$AL$11)),$AN$11-SQRT((1-AZ370)*($AN$11-$AL$11)*($AN$11-$AM$11))),$AM$11)</f>
        <v/>
      </c>
      <c r="AR370">
        <f>SUMPRODUCT((B24:B31&lt;=$B$6)*(C24:C31*AM370+D24:D31*AO370*$B$8*AQ370)/(1+AL370/100)^B24:B31)+C32*AM370*AP370/(1+AL370/100)^$B$6</f>
        <v/>
      </c>
      <c r="AS370">
        <f>SUMPRODUCT((K24:K26&lt;=$B$6)*(L24:L26*AN370+M24:M26*AO370*$B$8*AQ370)/(1+AL370/100)^K24:K26)+L27*AN370*AP370/(1+AL370/100)^$B$6</f>
        <v/>
      </c>
      <c r="AT370">
        <f>AS370-AR370</f>
        <v/>
      </c>
      <c r="AU370">
        <f>RAND()</f>
        <v/>
      </c>
      <c r="AV370">
        <f>RAND()</f>
        <v/>
      </c>
      <c r="AW370">
        <f>RAND()</f>
        <v/>
      </c>
      <c r="AX370">
        <f>RAND()</f>
        <v/>
      </c>
      <c r="AY370">
        <f>RAND()</f>
        <v/>
      </c>
      <c r="AZ370">
        <f>RAND()</f>
        <v/>
      </c>
    </row>
    <row r="371">
      <c r="AK371" t="n">
        <v>358</v>
      </c>
      <c r="AL371">
        <f>IFERROR(IF(AU371&lt;($AM$6-$AL$6)/($AN$6-$AL$6),$AL$6+SQRT(AU371*($AN$6-$AL$6)*($AM$6-$AL$6)),$AN$6-SQRT((1-AU371)*($AN$6-$AL$6)*($AN$6-$AM$6))),$AM$6)</f>
        <v/>
      </c>
      <c r="AM371">
        <f>IFERROR(IF(AV371&lt;($AM$7-$AL$7)/($AN$7-$AL$7),$AL$7+SQRT(AV371*($AN$7-$AL$7)*($AM$7-$AL$7)),$AN$7-SQRT((1-AV371)*($AN$7-$AL$7)*($AN$7-$AM$7))),$AM$7)</f>
        <v/>
      </c>
      <c r="AN371">
        <f>IFERROR(IF(AW371&lt;($AM$8-$AL$8)/($AN$8-$AL$8),$AL$8+SQRT(AW371*($AN$8-$AL$8)*($AM$8-$AL$8)),$AN$8-SQRT((1-AW371)*($AN$8-$AL$8)*($AN$8-$AM$8))),$AM$8)</f>
        <v/>
      </c>
      <c r="AO371">
        <f>IFERROR(IF(AX371&lt;($AM$9-$AL$9)/($AN$9-$AL$9),$AL$9+SQRT(AX371*($AN$9-$AL$9)*($AM$9-$AL$9)),$AN$9-SQRT((1-AX371)*($AN$9-$AL$9)*($AN$9-$AM$9))),$AM$9)</f>
        <v/>
      </c>
      <c r="AP371">
        <f>IFERROR(IF(AY371&lt;($AM$10-$AL$10)/($AN$10-$AL$10),$AL$10+SQRT(AY371*($AN$10-$AL$10)*($AM$10-$AL$10)),$AN$10-SQRT((1-AY371)*($AN$10-$AL$10)*($AN$10-$AM$10))),$AM$10)</f>
        <v/>
      </c>
      <c r="AQ371">
        <f>IFERROR(IF(AZ371&lt;($AM$11-$AL$11)/($AN$11-$AL$11),$AL$11+SQRT(AZ371*($AN$11-$AL$11)*($AM$11-$AL$11)),$AN$11-SQRT((1-AZ371)*($AN$11-$AL$11)*($AN$11-$AM$11))),$AM$11)</f>
        <v/>
      </c>
      <c r="AR371">
        <f>SUMPRODUCT((B24:B31&lt;=$B$6)*(C24:C31*AM371+D24:D31*AO371*$B$8*AQ371)/(1+AL371/100)^B24:B31)+C32*AM371*AP371/(1+AL371/100)^$B$6</f>
        <v/>
      </c>
      <c r="AS371">
        <f>SUMPRODUCT((K24:K26&lt;=$B$6)*(L24:L26*AN371+M24:M26*AO371*$B$8*AQ371)/(1+AL371/100)^K24:K26)+L27*AN371*AP371/(1+AL371/100)^$B$6</f>
        <v/>
      </c>
      <c r="AT371">
        <f>AS371-AR371</f>
        <v/>
      </c>
      <c r="AU371">
        <f>RAND()</f>
        <v/>
      </c>
      <c r="AV371">
        <f>RAND()</f>
        <v/>
      </c>
      <c r="AW371">
        <f>RAND()</f>
        <v/>
      </c>
      <c r="AX371">
        <f>RAND()</f>
        <v/>
      </c>
      <c r="AY371">
        <f>RAND()</f>
        <v/>
      </c>
      <c r="AZ371">
        <f>RAND()</f>
        <v/>
      </c>
    </row>
    <row r="372">
      <c r="AK372" t="n">
        <v>359</v>
      </c>
      <c r="AL372">
        <f>IFERROR(IF(AU372&lt;($AM$6-$AL$6)/($AN$6-$AL$6),$AL$6+SQRT(AU372*($AN$6-$AL$6)*($AM$6-$AL$6)),$AN$6-SQRT((1-AU372)*($AN$6-$AL$6)*($AN$6-$AM$6))),$AM$6)</f>
        <v/>
      </c>
      <c r="AM372">
        <f>IFERROR(IF(AV372&lt;($AM$7-$AL$7)/($AN$7-$AL$7),$AL$7+SQRT(AV372*($AN$7-$AL$7)*($AM$7-$AL$7)),$AN$7-SQRT((1-AV372)*($AN$7-$AL$7)*($AN$7-$AM$7))),$AM$7)</f>
        <v/>
      </c>
      <c r="AN372">
        <f>IFERROR(IF(AW372&lt;($AM$8-$AL$8)/($AN$8-$AL$8),$AL$8+SQRT(AW372*($AN$8-$AL$8)*($AM$8-$AL$8)),$AN$8-SQRT((1-AW372)*($AN$8-$AL$8)*($AN$8-$AM$8))),$AM$8)</f>
        <v/>
      </c>
      <c r="AO372">
        <f>IFERROR(IF(AX372&lt;($AM$9-$AL$9)/($AN$9-$AL$9),$AL$9+SQRT(AX372*($AN$9-$AL$9)*($AM$9-$AL$9)),$AN$9-SQRT((1-AX372)*($AN$9-$AL$9)*($AN$9-$AM$9))),$AM$9)</f>
        <v/>
      </c>
      <c r="AP372">
        <f>IFERROR(IF(AY372&lt;($AM$10-$AL$10)/($AN$10-$AL$10),$AL$10+SQRT(AY372*($AN$10-$AL$10)*($AM$10-$AL$10)),$AN$10-SQRT((1-AY372)*($AN$10-$AL$10)*($AN$10-$AM$10))),$AM$10)</f>
        <v/>
      </c>
      <c r="AQ372">
        <f>IFERROR(IF(AZ372&lt;($AM$11-$AL$11)/($AN$11-$AL$11),$AL$11+SQRT(AZ372*($AN$11-$AL$11)*($AM$11-$AL$11)),$AN$11-SQRT((1-AZ372)*($AN$11-$AL$11)*($AN$11-$AM$11))),$AM$11)</f>
        <v/>
      </c>
      <c r="AR372">
        <f>SUMPRODUCT((B24:B31&lt;=$B$6)*(C24:C31*AM372+D24:D31*AO372*$B$8*AQ372)/(1+AL372/100)^B24:B31)+C32*AM372*AP372/(1+AL372/100)^$B$6</f>
        <v/>
      </c>
      <c r="AS372">
        <f>SUMPRODUCT((K24:K26&lt;=$B$6)*(L24:L26*AN372+M24:M26*AO372*$B$8*AQ372)/(1+AL372/100)^K24:K26)+L27*AN372*AP372/(1+AL372/100)^$B$6</f>
        <v/>
      </c>
      <c r="AT372">
        <f>AS372-AR372</f>
        <v/>
      </c>
      <c r="AU372">
        <f>RAND()</f>
        <v/>
      </c>
      <c r="AV372">
        <f>RAND()</f>
        <v/>
      </c>
      <c r="AW372">
        <f>RAND()</f>
        <v/>
      </c>
      <c r="AX372">
        <f>RAND()</f>
        <v/>
      </c>
      <c r="AY372">
        <f>RAND()</f>
        <v/>
      </c>
      <c r="AZ372">
        <f>RAND()</f>
        <v/>
      </c>
    </row>
    <row r="373">
      <c r="AK373" t="n">
        <v>360</v>
      </c>
      <c r="AL373">
        <f>IFERROR(IF(AU373&lt;($AM$6-$AL$6)/($AN$6-$AL$6),$AL$6+SQRT(AU373*($AN$6-$AL$6)*($AM$6-$AL$6)),$AN$6-SQRT((1-AU373)*($AN$6-$AL$6)*($AN$6-$AM$6))),$AM$6)</f>
        <v/>
      </c>
      <c r="AM373">
        <f>IFERROR(IF(AV373&lt;($AM$7-$AL$7)/($AN$7-$AL$7),$AL$7+SQRT(AV373*($AN$7-$AL$7)*($AM$7-$AL$7)),$AN$7-SQRT((1-AV373)*($AN$7-$AL$7)*($AN$7-$AM$7))),$AM$7)</f>
        <v/>
      </c>
      <c r="AN373">
        <f>IFERROR(IF(AW373&lt;($AM$8-$AL$8)/($AN$8-$AL$8),$AL$8+SQRT(AW373*($AN$8-$AL$8)*($AM$8-$AL$8)),$AN$8-SQRT((1-AW373)*($AN$8-$AL$8)*($AN$8-$AM$8))),$AM$8)</f>
        <v/>
      </c>
      <c r="AO373">
        <f>IFERROR(IF(AX373&lt;($AM$9-$AL$9)/($AN$9-$AL$9),$AL$9+SQRT(AX373*($AN$9-$AL$9)*($AM$9-$AL$9)),$AN$9-SQRT((1-AX373)*($AN$9-$AL$9)*($AN$9-$AM$9))),$AM$9)</f>
        <v/>
      </c>
      <c r="AP373">
        <f>IFERROR(IF(AY373&lt;($AM$10-$AL$10)/($AN$10-$AL$10),$AL$10+SQRT(AY373*($AN$10-$AL$10)*($AM$10-$AL$10)),$AN$10-SQRT((1-AY373)*($AN$10-$AL$10)*($AN$10-$AM$10))),$AM$10)</f>
        <v/>
      </c>
      <c r="AQ373">
        <f>IFERROR(IF(AZ373&lt;($AM$11-$AL$11)/($AN$11-$AL$11),$AL$11+SQRT(AZ373*($AN$11-$AL$11)*($AM$11-$AL$11)),$AN$11-SQRT((1-AZ373)*($AN$11-$AL$11)*($AN$11-$AM$11))),$AM$11)</f>
        <v/>
      </c>
      <c r="AR373">
        <f>SUMPRODUCT((B24:B31&lt;=$B$6)*(C24:C31*AM373+D24:D31*AO373*$B$8*AQ373)/(1+AL373/100)^B24:B31)+C32*AM373*AP373/(1+AL373/100)^$B$6</f>
        <v/>
      </c>
      <c r="AS373">
        <f>SUMPRODUCT((K24:K26&lt;=$B$6)*(L24:L26*AN373+M24:M26*AO373*$B$8*AQ373)/(1+AL373/100)^K24:K26)+L27*AN373*AP373/(1+AL373/100)^$B$6</f>
        <v/>
      </c>
      <c r="AT373">
        <f>AS373-AR373</f>
        <v/>
      </c>
      <c r="AU373">
        <f>RAND()</f>
        <v/>
      </c>
      <c r="AV373">
        <f>RAND()</f>
        <v/>
      </c>
      <c r="AW373">
        <f>RAND()</f>
        <v/>
      </c>
      <c r="AX373">
        <f>RAND()</f>
        <v/>
      </c>
      <c r="AY373">
        <f>RAND()</f>
        <v/>
      </c>
      <c r="AZ373">
        <f>RAND()</f>
        <v/>
      </c>
    </row>
    <row r="374">
      <c r="AK374" t="n">
        <v>361</v>
      </c>
      <c r="AL374">
        <f>IFERROR(IF(AU374&lt;($AM$6-$AL$6)/($AN$6-$AL$6),$AL$6+SQRT(AU374*($AN$6-$AL$6)*($AM$6-$AL$6)),$AN$6-SQRT((1-AU374)*($AN$6-$AL$6)*($AN$6-$AM$6))),$AM$6)</f>
        <v/>
      </c>
      <c r="AM374">
        <f>IFERROR(IF(AV374&lt;($AM$7-$AL$7)/($AN$7-$AL$7),$AL$7+SQRT(AV374*($AN$7-$AL$7)*($AM$7-$AL$7)),$AN$7-SQRT((1-AV374)*($AN$7-$AL$7)*($AN$7-$AM$7))),$AM$7)</f>
        <v/>
      </c>
      <c r="AN374">
        <f>IFERROR(IF(AW374&lt;($AM$8-$AL$8)/($AN$8-$AL$8),$AL$8+SQRT(AW374*($AN$8-$AL$8)*($AM$8-$AL$8)),$AN$8-SQRT((1-AW374)*($AN$8-$AL$8)*($AN$8-$AM$8))),$AM$8)</f>
        <v/>
      </c>
      <c r="AO374">
        <f>IFERROR(IF(AX374&lt;($AM$9-$AL$9)/($AN$9-$AL$9),$AL$9+SQRT(AX374*($AN$9-$AL$9)*($AM$9-$AL$9)),$AN$9-SQRT((1-AX374)*($AN$9-$AL$9)*($AN$9-$AM$9))),$AM$9)</f>
        <v/>
      </c>
      <c r="AP374">
        <f>IFERROR(IF(AY374&lt;($AM$10-$AL$10)/($AN$10-$AL$10),$AL$10+SQRT(AY374*($AN$10-$AL$10)*($AM$10-$AL$10)),$AN$10-SQRT((1-AY374)*($AN$10-$AL$10)*($AN$10-$AM$10))),$AM$10)</f>
        <v/>
      </c>
      <c r="AQ374">
        <f>IFERROR(IF(AZ374&lt;($AM$11-$AL$11)/($AN$11-$AL$11),$AL$11+SQRT(AZ374*($AN$11-$AL$11)*($AM$11-$AL$11)),$AN$11-SQRT((1-AZ374)*($AN$11-$AL$11)*($AN$11-$AM$11))),$AM$11)</f>
        <v/>
      </c>
      <c r="AR374">
        <f>SUMPRODUCT((B24:B31&lt;=$B$6)*(C24:C31*AM374+D24:D31*AO374*$B$8*AQ374)/(1+AL374/100)^B24:B31)+C32*AM374*AP374/(1+AL374/100)^$B$6</f>
        <v/>
      </c>
      <c r="AS374">
        <f>SUMPRODUCT((K24:K26&lt;=$B$6)*(L24:L26*AN374+M24:M26*AO374*$B$8*AQ374)/(1+AL374/100)^K24:K26)+L27*AN374*AP374/(1+AL374/100)^$B$6</f>
        <v/>
      </c>
      <c r="AT374">
        <f>AS374-AR374</f>
        <v/>
      </c>
      <c r="AU374">
        <f>RAND()</f>
        <v/>
      </c>
      <c r="AV374">
        <f>RAND()</f>
        <v/>
      </c>
      <c r="AW374">
        <f>RAND()</f>
        <v/>
      </c>
      <c r="AX374">
        <f>RAND()</f>
        <v/>
      </c>
      <c r="AY374">
        <f>RAND()</f>
        <v/>
      </c>
      <c r="AZ374">
        <f>RAND()</f>
        <v/>
      </c>
    </row>
    <row r="375">
      <c r="AK375" t="n">
        <v>362</v>
      </c>
      <c r="AL375">
        <f>IFERROR(IF(AU375&lt;($AM$6-$AL$6)/($AN$6-$AL$6),$AL$6+SQRT(AU375*($AN$6-$AL$6)*($AM$6-$AL$6)),$AN$6-SQRT((1-AU375)*($AN$6-$AL$6)*($AN$6-$AM$6))),$AM$6)</f>
        <v/>
      </c>
      <c r="AM375">
        <f>IFERROR(IF(AV375&lt;($AM$7-$AL$7)/($AN$7-$AL$7),$AL$7+SQRT(AV375*($AN$7-$AL$7)*($AM$7-$AL$7)),$AN$7-SQRT((1-AV375)*($AN$7-$AL$7)*($AN$7-$AM$7))),$AM$7)</f>
        <v/>
      </c>
      <c r="AN375">
        <f>IFERROR(IF(AW375&lt;($AM$8-$AL$8)/($AN$8-$AL$8),$AL$8+SQRT(AW375*($AN$8-$AL$8)*($AM$8-$AL$8)),$AN$8-SQRT((1-AW375)*($AN$8-$AL$8)*($AN$8-$AM$8))),$AM$8)</f>
        <v/>
      </c>
      <c r="AO375">
        <f>IFERROR(IF(AX375&lt;($AM$9-$AL$9)/($AN$9-$AL$9),$AL$9+SQRT(AX375*($AN$9-$AL$9)*($AM$9-$AL$9)),$AN$9-SQRT((1-AX375)*($AN$9-$AL$9)*($AN$9-$AM$9))),$AM$9)</f>
        <v/>
      </c>
      <c r="AP375">
        <f>IFERROR(IF(AY375&lt;($AM$10-$AL$10)/($AN$10-$AL$10),$AL$10+SQRT(AY375*($AN$10-$AL$10)*($AM$10-$AL$10)),$AN$10-SQRT((1-AY375)*($AN$10-$AL$10)*($AN$10-$AM$10))),$AM$10)</f>
        <v/>
      </c>
      <c r="AQ375">
        <f>IFERROR(IF(AZ375&lt;($AM$11-$AL$11)/($AN$11-$AL$11),$AL$11+SQRT(AZ375*($AN$11-$AL$11)*($AM$11-$AL$11)),$AN$11-SQRT((1-AZ375)*($AN$11-$AL$11)*($AN$11-$AM$11))),$AM$11)</f>
        <v/>
      </c>
      <c r="AR375">
        <f>SUMPRODUCT((B24:B31&lt;=$B$6)*(C24:C31*AM375+D24:D31*AO375*$B$8*AQ375)/(1+AL375/100)^B24:B31)+C32*AM375*AP375/(1+AL375/100)^$B$6</f>
        <v/>
      </c>
      <c r="AS375">
        <f>SUMPRODUCT((K24:K26&lt;=$B$6)*(L24:L26*AN375+M24:M26*AO375*$B$8*AQ375)/(1+AL375/100)^K24:K26)+L27*AN375*AP375/(1+AL375/100)^$B$6</f>
        <v/>
      </c>
      <c r="AT375">
        <f>AS375-AR375</f>
        <v/>
      </c>
      <c r="AU375">
        <f>RAND()</f>
        <v/>
      </c>
      <c r="AV375">
        <f>RAND()</f>
        <v/>
      </c>
      <c r="AW375">
        <f>RAND()</f>
        <v/>
      </c>
      <c r="AX375">
        <f>RAND()</f>
        <v/>
      </c>
      <c r="AY375">
        <f>RAND()</f>
        <v/>
      </c>
      <c r="AZ375">
        <f>RAND()</f>
        <v/>
      </c>
    </row>
    <row r="376">
      <c r="AK376" t="n">
        <v>363</v>
      </c>
      <c r="AL376">
        <f>IFERROR(IF(AU376&lt;($AM$6-$AL$6)/($AN$6-$AL$6),$AL$6+SQRT(AU376*($AN$6-$AL$6)*($AM$6-$AL$6)),$AN$6-SQRT((1-AU376)*($AN$6-$AL$6)*($AN$6-$AM$6))),$AM$6)</f>
        <v/>
      </c>
      <c r="AM376">
        <f>IFERROR(IF(AV376&lt;($AM$7-$AL$7)/($AN$7-$AL$7),$AL$7+SQRT(AV376*($AN$7-$AL$7)*($AM$7-$AL$7)),$AN$7-SQRT((1-AV376)*($AN$7-$AL$7)*($AN$7-$AM$7))),$AM$7)</f>
        <v/>
      </c>
      <c r="AN376">
        <f>IFERROR(IF(AW376&lt;($AM$8-$AL$8)/($AN$8-$AL$8),$AL$8+SQRT(AW376*($AN$8-$AL$8)*($AM$8-$AL$8)),$AN$8-SQRT((1-AW376)*($AN$8-$AL$8)*($AN$8-$AM$8))),$AM$8)</f>
        <v/>
      </c>
      <c r="AO376">
        <f>IFERROR(IF(AX376&lt;($AM$9-$AL$9)/($AN$9-$AL$9),$AL$9+SQRT(AX376*($AN$9-$AL$9)*($AM$9-$AL$9)),$AN$9-SQRT((1-AX376)*($AN$9-$AL$9)*($AN$9-$AM$9))),$AM$9)</f>
        <v/>
      </c>
      <c r="AP376">
        <f>IFERROR(IF(AY376&lt;($AM$10-$AL$10)/($AN$10-$AL$10),$AL$10+SQRT(AY376*($AN$10-$AL$10)*($AM$10-$AL$10)),$AN$10-SQRT((1-AY376)*($AN$10-$AL$10)*($AN$10-$AM$10))),$AM$10)</f>
        <v/>
      </c>
      <c r="AQ376">
        <f>IFERROR(IF(AZ376&lt;($AM$11-$AL$11)/($AN$11-$AL$11),$AL$11+SQRT(AZ376*($AN$11-$AL$11)*($AM$11-$AL$11)),$AN$11-SQRT((1-AZ376)*($AN$11-$AL$11)*($AN$11-$AM$11))),$AM$11)</f>
        <v/>
      </c>
      <c r="AR376">
        <f>SUMPRODUCT((B24:B31&lt;=$B$6)*(C24:C31*AM376+D24:D31*AO376*$B$8*AQ376)/(1+AL376/100)^B24:B31)+C32*AM376*AP376/(1+AL376/100)^$B$6</f>
        <v/>
      </c>
      <c r="AS376">
        <f>SUMPRODUCT((K24:K26&lt;=$B$6)*(L24:L26*AN376+M24:M26*AO376*$B$8*AQ376)/(1+AL376/100)^K24:K26)+L27*AN376*AP376/(1+AL376/100)^$B$6</f>
        <v/>
      </c>
      <c r="AT376">
        <f>AS376-AR376</f>
        <v/>
      </c>
      <c r="AU376">
        <f>RAND()</f>
        <v/>
      </c>
      <c r="AV376">
        <f>RAND()</f>
        <v/>
      </c>
      <c r="AW376">
        <f>RAND()</f>
        <v/>
      </c>
      <c r="AX376">
        <f>RAND()</f>
        <v/>
      </c>
      <c r="AY376">
        <f>RAND()</f>
        <v/>
      </c>
      <c r="AZ376">
        <f>RAND()</f>
        <v/>
      </c>
    </row>
    <row r="377">
      <c r="AK377" t="n">
        <v>364</v>
      </c>
      <c r="AL377">
        <f>IFERROR(IF(AU377&lt;($AM$6-$AL$6)/($AN$6-$AL$6),$AL$6+SQRT(AU377*($AN$6-$AL$6)*($AM$6-$AL$6)),$AN$6-SQRT((1-AU377)*($AN$6-$AL$6)*($AN$6-$AM$6))),$AM$6)</f>
        <v/>
      </c>
      <c r="AM377">
        <f>IFERROR(IF(AV377&lt;($AM$7-$AL$7)/($AN$7-$AL$7),$AL$7+SQRT(AV377*($AN$7-$AL$7)*($AM$7-$AL$7)),$AN$7-SQRT((1-AV377)*($AN$7-$AL$7)*($AN$7-$AM$7))),$AM$7)</f>
        <v/>
      </c>
      <c r="AN377">
        <f>IFERROR(IF(AW377&lt;($AM$8-$AL$8)/($AN$8-$AL$8),$AL$8+SQRT(AW377*($AN$8-$AL$8)*($AM$8-$AL$8)),$AN$8-SQRT((1-AW377)*($AN$8-$AL$8)*($AN$8-$AM$8))),$AM$8)</f>
        <v/>
      </c>
      <c r="AO377">
        <f>IFERROR(IF(AX377&lt;($AM$9-$AL$9)/($AN$9-$AL$9),$AL$9+SQRT(AX377*($AN$9-$AL$9)*($AM$9-$AL$9)),$AN$9-SQRT((1-AX377)*($AN$9-$AL$9)*($AN$9-$AM$9))),$AM$9)</f>
        <v/>
      </c>
      <c r="AP377">
        <f>IFERROR(IF(AY377&lt;($AM$10-$AL$10)/($AN$10-$AL$10),$AL$10+SQRT(AY377*($AN$10-$AL$10)*($AM$10-$AL$10)),$AN$10-SQRT((1-AY377)*($AN$10-$AL$10)*($AN$10-$AM$10))),$AM$10)</f>
        <v/>
      </c>
      <c r="AQ377">
        <f>IFERROR(IF(AZ377&lt;($AM$11-$AL$11)/($AN$11-$AL$11),$AL$11+SQRT(AZ377*($AN$11-$AL$11)*($AM$11-$AL$11)),$AN$11-SQRT((1-AZ377)*($AN$11-$AL$11)*($AN$11-$AM$11))),$AM$11)</f>
        <v/>
      </c>
      <c r="AR377">
        <f>SUMPRODUCT((B24:B31&lt;=$B$6)*(C24:C31*AM377+D24:D31*AO377*$B$8*AQ377)/(1+AL377/100)^B24:B31)+C32*AM377*AP377/(1+AL377/100)^$B$6</f>
        <v/>
      </c>
      <c r="AS377">
        <f>SUMPRODUCT((K24:K26&lt;=$B$6)*(L24:L26*AN377+M24:M26*AO377*$B$8*AQ377)/(1+AL377/100)^K24:K26)+L27*AN377*AP377/(1+AL377/100)^$B$6</f>
        <v/>
      </c>
      <c r="AT377">
        <f>AS377-AR377</f>
        <v/>
      </c>
      <c r="AU377">
        <f>RAND()</f>
        <v/>
      </c>
      <c r="AV377">
        <f>RAND()</f>
        <v/>
      </c>
      <c r="AW377">
        <f>RAND()</f>
        <v/>
      </c>
      <c r="AX377">
        <f>RAND()</f>
        <v/>
      </c>
      <c r="AY377">
        <f>RAND()</f>
        <v/>
      </c>
      <c r="AZ377">
        <f>RAND()</f>
        <v/>
      </c>
    </row>
    <row r="378">
      <c r="AK378" t="n">
        <v>365</v>
      </c>
      <c r="AL378">
        <f>IFERROR(IF(AU378&lt;($AM$6-$AL$6)/($AN$6-$AL$6),$AL$6+SQRT(AU378*($AN$6-$AL$6)*($AM$6-$AL$6)),$AN$6-SQRT((1-AU378)*($AN$6-$AL$6)*($AN$6-$AM$6))),$AM$6)</f>
        <v/>
      </c>
      <c r="AM378">
        <f>IFERROR(IF(AV378&lt;($AM$7-$AL$7)/($AN$7-$AL$7),$AL$7+SQRT(AV378*($AN$7-$AL$7)*($AM$7-$AL$7)),$AN$7-SQRT((1-AV378)*($AN$7-$AL$7)*($AN$7-$AM$7))),$AM$7)</f>
        <v/>
      </c>
      <c r="AN378">
        <f>IFERROR(IF(AW378&lt;($AM$8-$AL$8)/($AN$8-$AL$8),$AL$8+SQRT(AW378*($AN$8-$AL$8)*($AM$8-$AL$8)),$AN$8-SQRT((1-AW378)*($AN$8-$AL$8)*($AN$8-$AM$8))),$AM$8)</f>
        <v/>
      </c>
      <c r="AO378">
        <f>IFERROR(IF(AX378&lt;($AM$9-$AL$9)/($AN$9-$AL$9),$AL$9+SQRT(AX378*($AN$9-$AL$9)*($AM$9-$AL$9)),$AN$9-SQRT((1-AX378)*($AN$9-$AL$9)*($AN$9-$AM$9))),$AM$9)</f>
        <v/>
      </c>
      <c r="AP378">
        <f>IFERROR(IF(AY378&lt;($AM$10-$AL$10)/($AN$10-$AL$10),$AL$10+SQRT(AY378*($AN$10-$AL$10)*($AM$10-$AL$10)),$AN$10-SQRT((1-AY378)*($AN$10-$AL$10)*($AN$10-$AM$10))),$AM$10)</f>
        <v/>
      </c>
      <c r="AQ378">
        <f>IFERROR(IF(AZ378&lt;($AM$11-$AL$11)/($AN$11-$AL$11),$AL$11+SQRT(AZ378*($AN$11-$AL$11)*($AM$11-$AL$11)),$AN$11-SQRT((1-AZ378)*($AN$11-$AL$11)*($AN$11-$AM$11))),$AM$11)</f>
        <v/>
      </c>
      <c r="AR378">
        <f>SUMPRODUCT((B24:B31&lt;=$B$6)*(C24:C31*AM378+D24:D31*AO378*$B$8*AQ378)/(1+AL378/100)^B24:B31)+C32*AM378*AP378/(1+AL378/100)^$B$6</f>
        <v/>
      </c>
      <c r="AS378">
        <f>SUMPRODUCT((K24:K26&lt;=$B$6)*(L24:L26*AN378+M24:M26*AO378*$B$8*AQ378)/(1+AL378/100)^K24:K26)+L27*AN378*AP378/(1+AL378/100)^$B$6</f>
        <v/>
      </c>
      <c r="AT378">
        <f>AS378-AR378</f>
        <v/>
      </c>
      <c r="AU378">
        <f>RAND()</f>
        <v/>
      </c>
      <c r="AV378">
        <f>RAND()</f>
        <v/>
      </c>
      <c r="AW378">
        <f>RAND()</f>
        <v/>
      </c>
      <c r="AX378">
        <f>RAND()</f>
        <v/>
      </c>
      <c r="AY378">
        <f>RAND()</f>
        <v/>
      </c>
      <c r="AZ378">
        <f>RAND()</f>
        <v/>
      </c>
    </row>
    <row r="379">
      <c r="AK379" t="n">
        <v>366</v>
      </c>
      <c r="AL379">
        <f>IFERROR(IF(AU379&lt;($AM$6-$AL$6)/($AN$6-$AL$6),$AL$6+SQRT(AU379*($AN$6-$AL$6)*($AM$6-$AL$6)),$AN$6-SQRT((1-AU379)*($AN$6-$AL$6)*($AN$6-$AM$6))),$AM$6)</f>
        <v/>
      </c>
      <c r="AM379">
        <f>IFERROR(IF(AV379&lt;($AM$7-$AL$7)/($AN$7-$AL$7),$AL$7+SQRT(AV379*($AN$7-$AL$7)*($AM$7-$AL$7)),$AN$7-SQRT((1-AV379)*($AN$7-$AL$7)*($AN$7-$AM$7))),$AM$7)</f>
        <v/>
      </c>
      <c r="AN379">
        <f>IFERROR(IF(AW379&lt;($AM$8-$AL$8)/($AN$8-$AL$8),$AL$8+SQRT(AW379*($AN$8-$AL$8)*($AM$8-$AL$8)),$AN$8-SQRT((1-AW379)*($AN$8-$AL$8)*($AN$8-$AM$8))),$AM$8)</f>
        <v/>
      </c>
      <c r="AO379">
        <f>IFERROR(IF(AX379&lt;($AM$9-$AL$9)/($AN$9-$AL$9),$AL$9+SQRT(AX379*($AN$9-$AL$9)*($AM$9-$AL$9)),$AN$9-SQRT((1-AX379)*($AN$9-$AL$9)*($AN$9-$AM$9))),$AM$9)</f>
        <v/>
      </c>
      <c r="AP379">
        <f>IFERROR(IF(AY379&lt;($AM$10-$AL$10)/($AN$10-$AL$10),$AL$10+SQRT(AY379*($AN$10-$AL$10)*($AM$10-$AL$10)),$AN$10-SQRT((1-AY379)*($AN$10-$AL$10)*($AN$10-$AM$10))),$AM$10)</f>
        <v/>
      </c>
      <c r="AQ379">
        <f>IFERROR(IF(AZ379&lt;($AM$11-$AL$11)/($AN$11-$AL$11),$AL$11+SQRT(AZ379*($AN$11-$AL$11)*($AM$11-$AL$11)),$AN$11-SQRT((1-AZ379)*($AN$11-$AL$11)*($AN$11-$AM$11))),$AM$11)</f>
        <v/>
      </c>
      <c r="AR379">
        <f>SUMPRODUCT((B24:B31&lt;=$B$6)*(C24:C31*AM379+D24:D31*AO379*$B$8*AQ379)/(1+AL379/100)^B24:B31)+C32*AM379*AP379/(1+AL379/100)^$B$6</f>
        <v/>
      </c>
      <c r="AS379">
        <f>SUMPRODUCT((K24:K26&lt;=$B$6)*(L24:L26*AN379+M24:M26*AO379*$B$8*AQ379)/(1+AL379/100)^K24:K26)+L27*AN379*AP379/(1+AL379/100)^$B$6</f>
        <v/>
      </c>
      <c r="AT379">
        <f>AS379-AR379</f>
        <v/>
      </c>
      <c r="AU379">
        <f>RAND()</f>
        <v/>
      </c>
      <c r="AV379">
        <f>RAND()</f>
        <v/>
      </c>
      <c r="AW379">
        <f>RAND()</f>
        <v/>
      </c>
      <c r="AX379">
        <f>RAND()</f>
        <v/>
      </c>
      <c r="AY379">
        <f>RAND()</f>
        <v/>
      </c>
      <c r="AZ379">
        <f>RAND()</f>
        <v/>
      </c>
    </row>
    <row r="380">
      <c r="AK380" t="n">
        <v>367</v>
      </c>
      <c r="AL380">
        <f>IFERROR(IF(AU380&lt;($AM$6-$AL$6)/($AN$6-$AL$6),$AL$6+SQRT(AU380*($AN$6-$AL$6)*($AM$6-$AL$6)),$AN$6-SQRT((1-AU380)*($AN$6-$AL$6)*($AN$6-$AM$6))),$AM$6)</f>
        <v/>
      </c>
      <c r="AM380">
        <f>IFERROR(IF(AV380&lt;($AM$7-$AL$7)/($AN$7-$AL$7),$AL$7+SQRT(AV380*($AN$7-$AL$7)*($AM$7-$AL$7)),$AN$7-SQRT((1-AV380)*($AN$7-$AL$7)*($AN$7-$AM$7))),$AM$7)</f>
        <v/>
      </c>
      <c r="AN380">
        <f>IFERROR(IF(AW380&lt;($AM$8-$AL$8)/($AN$8-$AL$8),$AL$8+SQRT(AW380*($AN$8-$AL$8)*($AM$8-$AL$8)),$AN$8-SQRT((1-AW380)*($AN$8-$AL$8)*($AN$8-$AM$8))),$AM$8)</f>
        <v/>
      </c>
      <c r="AO380">
        <f>IFERROR(IF(AX380&lt;($AM$9-$AL$9)/($AN$9-$AL$9),$AL$9+SQRT(AX380*($AN$9-$AL$9)*($AM$9-$AL$9)),$AN$9-SQRT((1-AX380)*($AN$9-$AL$9)*($AN$9-$AM$9))),$AM$9)</f>
        <v/>
      </c>
      <c r="AP380">
        <f>IFERROR(IF(AY380&lt;($AM$10-$AL$10)/($AN$10-$AL$10),$AL$10+SQRT(AY380*($AN$10-$AL$10)*($AM$10-$AL$10)),$AN$10-SQRT((1-AY380)*($AN$10-$AL$10)*($AN$10-$AM$10))),$AM$10)</f>
        <v/>
      </c>
      <c r="AQ380">
        <f>IFERROR(IF(AZ380&lt;($AM$11-$AL$11)/($AN$11-$AL$11),$AL$11+SQRT(AZ380*($AN$11-$AL$11)*($AM$11-$AL$11)),$AN$11-SQRT((1-AZ380)*($AN$11-$AL$11)*($AN$11-$AM$11))),$AM$11)</f>
        <v/>
      </c>
      <c r="AR380">
        <f>SUMPRODUCT((B24:B31&lt;=$B$6)*(C24:C31*AM380+D24:D31*AO380*$B$8*AQ380)/(1+AL380/100)^B24:B31)+C32*AM380*AP380/(1+AL380/100)^$B$6</f>
        <v/>
      </c>
      <c r="AS380">
        <f>SUMPRODUCT((K24:K26&lt;=$B$6)*(L24:L26*AN380+M24:M26*AO380*$B$8*AQ380)/(1+AL380/100)^K24:K26)+L27*AN380*AP380/(1+AL380/100)^$B$6</f>
        <v/>
      </c>
      <c r="AT380">
        <f>AS380-AR380</f>
        <v/>
      </c>
      <c r="AU380">
        <f>RAND()</f>
        <v/>
      </c>
      <c r="AV380">
        <f>RAND()</f>
        <v/>
      </c>
      <c r="AW380">
        <f>RAND()</f>
        <v/>
      </c>
      <c r="AX380">
        <f>RAND()</f>
        <v/>
      </c>
      <c r="AY380">
        <f>RAND()</f>
        <v/>
      </c>
      <c r="AZ380">
        <f>RAND()</f>
        <v/>
      </c>
    </row>
    <row r="381">
      <c r="AK381" t="n">
        <v>368</v>
      </c>
      <c r="AL381">
        <f>IFERROR(IF(AU381&lt;($AM$6-$AL$6)/($AN$6-$AL$6),$AL$6+SQRT(AU381*($AN$6-$AL$6)*($AM$6-$AL$6)),$AN$6-SQRT((1-AU381)*($AN$6-$AL$6)*($AN$6-$AM$6))),$AM$6)</f>
        <v/>
      </c>
      <c r="AM381">
        <f>IFERROR(IF(AV381&lt;($AM$7-$AL$7)/($AN$7-$AL$7),$AL$7+SQRT(AV381*($AN$7-$AL$7)*($AM$7-$AL$7)),$AN$7-SQRT((1-AV381)*($AN$7-$AL$7)*($AN$7-$AM$7))),$AM$7)</f>
        <v/>
      </c>
      <c r="AN381">
        <f>IFERROR(IF(AW381&lt;($AM$8-$AL$8)/($AN$8-$AL$8),$AL$8+SQRT(AW381*($AN$8-$AL$8)*($AM$8-$AL$8)),$AN$8-SQRT((1-AW381)*($AN$8-$AL$8)*($AN$8-$AM$8))),$AM$8)</f>
        <v/>
      </c>
      <c r="AO381">
        <f>IFERROR(IF(AX381&lt;($AM$9-$AL$9)/($AN$9-$AL$9),$AL$9+SQRT(AX381*($AN$9-$AL$9)*($AM$9-$AL$9)),$AN$9-SQRT((1-AX381)*($AN$9-$AL$9)*($AN$9-$AM$9))),$AM$9)</f>
        <v/>
      </c>
      <c r="AP381">
        <f>IFERROR(IF(AY381&lt;($AM$10-$AL$10)/($AN$10-$AL$10),$AL$10+SQRT(AY381*($AN$10-$AL$10)*($AM$10-$AL$10)),$AN$10-SQRT((1-AY381)*($AN$10-$AL$10)*($AN$10-$AM$10))),$AM$10)</f>
        <v/>
      </c>
      <c r="AQ381">
        <f>IFERROR(IF(AZ381&lt;($AM$11-$AL$11)/($AN$11-$AL$11),$AL$11+SQRT(AZ381*($AN$11-$AL$11)*($AM$11-$AL$11)),$AN$11-SQRT((1-AZ381)*($AN$11-$AL$11)*($AN$11-$AM$11))),$AM$11)</f>
        <v/>
      </c>
      <c r="AR381">
        <f>SUMPRODUCT((B24:B31&lt;=$B$6)*(C24:C31*AM381+D24:D31*AO381*$B$8*AQ381)/(1+AL381/100)^B24:B31)+C32*AM381*AP381/(1+AL381/100)^$B$6</f>
        <v/>
      </c>
      <c r="AS381">
        <f>SUMPRODUCT((K24:K26&lt;=$B$6)*(L24:L26*AN381+M24:M26*AO381*$B$8*AQ381)/(1+AL381/100)^K24:K26)+L27*AN381*AP381/(1+AL381/100)^$B$6</f>
        <v/>
      </c>
      <c r="AT381">
        <f>AS381-AR381</f>
        <v/>
      </c>
      <c r="AU381">
        <f>RAND()</f>
        <v/>
      </c>
      <c r="AV381">
        <f>RAND()</f>
        <v/>
      </c>
      <c r="AW381">
        <f>RAND()</f>
        <v/>
      </c>
      <c r="AX381">
        <f>RAND()</f>
        <v/>
      </c>
      <c r="AY381">
        <f>RAND()</f>
        <v/>
      </c>
      <c r="AZ381">
        <f>RAND()</f>
        <v/>
      </c>
    </row>
    <row r="382">
      <c r="AK382" t="n">
        <v>369</v>
      </c>
      <c r="AL382">
        <f>IFERROR(IF(AU382&lt;($AM$6-$AL$6)/($AN$6-$AL$6),$AL$6+SQRT(AU382*($AN$6-$AL$6)*($AM$6-$AL$6)),$AN$6-SQRT((1-AU382)*($AN$6-$AL$6)*($AN$6-$AM$6))),$AM$6)</f>
        <v/>
      </c>
      <c r="AM382">
        <f>IFERROR(IF(AV382&lt;($AM$7-$AL$7)/($AN$7-$AL$7),$AL$7+SQRT(AV382*($AN$7-$AL$7)*($AM$7-$AL$7)),$AN$7-SQRT((1-AV382)*($AN$7-$AL$7)*($AN$7-$AM$7))),$AM$7)</f>
        <v/>
      </c>
      <c r="AN382">
        <f>IFERROR(IF(AW382&lt;($AM$8-$AL$8)/($AN$8-$AL$8),$AL$8+SQRT(AW382*($AN$8-$AL$8)*($AM$8-$AL$8)),$AN$8-SQRT((1-AW382)*($AN$8-$AL$8)*($AN$8-$AM$8))),$AM$8)</f>
        <v/>
      </c>
      <c r="AO382">
        <f>IFERROR(IF(AX382&lt;($AM$9-$AL$9)/($AN$9-$AL$9),$AL$9+SQRT(AX382*($AN$9-$AL$9)*($AM$9-$AL$9)),$AN$9-SQRT((1-AX382)*($AN$9-$AL$9)*($AN$9-$AM$9))),$AM$9)</f>
        <v/>
      </c>
      <c r="AP382">
        <f>IFERROR(IF(AY382&lt;($AM$10-$AL$10)/($AN$10-$AL$10),$AL$10+SQRT(AY382*($AN$10-$AL$10)*($AM$10-$AL$10)),$AN$10-SQRT((1-AY382)*($AN$10-$AL$10)*($AN$10-$AM$10))),$AM$10)</f>
        <v/>
      </c>
      <c r="AQ382">
        <f>IFERROR(IF(AZ382&lt;($AM$11-$AL$11)/($AN$11-$AL$11),$AL$11+SQRT(AZ382*($AN$11-$AL$11)*($AM$11-$AL$11)),$AN$11-SQRT((1-AZ382)*($AN$11-$AL$11)*($AN$11-$AM$11))),$AM$11)</f>
        <v/>
      </c>
      <c r="AR382">
        <f>SUMPRODUCT((B24:B31&lt;=$B$6)*(C24:C31*AM382+D24:D31*AO382*$B$8*AQ382)/(1+AL382/100)^B24:B31)+C32*AM382*AP382/(1+AL382/100)^$B$6</f>
        <v/>
      </c>
      <c r="AS382">
        <f>SUMPRODUCT((K24:K26&lt;=$B$6)*(L24:L26*AN382+M24:M26*AO382*$B$8*AQ382)/(1+AL382/100)^K24:K26)+L27*AN382*AP382/(1+AL382/100)^$B$6</f>
        <v/>
      </c>
      <c r="AT382">
        <f>AS382-AR382</f>
        <v/>
      </c>
      <c r="AU382">
        <f>RAND()</f>
        <v/>
      </c>
      <c r="AV382">
        <f>RAND()</f>
        <v/>
      </c>
      <c r="AW382">
        <f>RAND()</f>
        <v/>
      </c>
      <c r="AX382">
        <f>RAND()</f>
        <v/>
      </c>
      <c r="AY382">
        <f>RAND()</f>
        <v/>
      </c>
      <c r="AZ382">
        <f>RAND()</f>
        <v/>
      </c>
    </row>
    <row r="383">
      <c r="AK383" t="n">
        <v>370</v>
      </c>
      <c r="AL383">
        <f>IFERROR(IF(AU383&lt;($AM$6-$AL$6)/($AN$6-$AL$6),$AL$6+SQRT(AU383*($AN$6-$AL$6)*($AM$6-$AL$6)),$AN$6-SQRT((1-AU383)*($AN$6-$AL$6)*($AN$6-$AM$6))),$AM$6)</f>
        <v/>
      </c>
      <c r="AM383">
        <f>IFERROR(IF(AV383&lt;($AM$7-$AL$7)/($AN$7-$AL$7),$AL$7+SQRT(AV383*($AN$7-$AL$7)*($AM$7-$AL$7)),$AN$7-SQRT((1-AV383)*($AN$7-$AL$7)*($AN$7-$AM$7))),$AM$7)</f>
        <v/>
      </c>
      <c r="AN383">
        <f>IFERROR(IF(AW383&lt;($AM$8-$AL$8)/($AN$8-$AL$8),$AL$8+SQRT(AW383*($AN$8-$AL$8)*($AM$8-$AL$8)),$AN$8-SQRT((1-AW383)*($AN$8-$AL$8)*($AN$8-$AM$8))),$AM$8)</f>
        <v/>
      </c>
      <c r="AO383">
        <f>IFERROR(IF(AX383&lt;($AM$9-$AL$9)/($AN$9-$AL$9),$AL$9+SQRT(AX383*($AN$9-$AL$9)*($AM$9-$AL$9)),$AN$9-SQRT((1-AX383)*($AN$9-$AL$9)*($AN$9-$AM$9))),$AM$9)</f>
        <v/>
      </c>
      <c r="AP383">
        <f>IFERROR(IF(AY383&lt;($AM$10-$AL$10)/($AN$10-$AL$10),$AL$10+SQRT(AY383*($AN$10-$AL$10)*($AM$10-$AL$10)),$AN$10-SQRT((1-AY383)*($AN$10-$AL$10)*($AN$10-$AM$10))),$AM$10)</f>
        <v/>
      </c>
      <c r="AQ383">
        <f>IFERROR(IF(AZ383&lt;($AM$11-$AL$11)/($AN$11-$AL$11),$AL$11+SQRT(AZ383*($AN$11-$AL$11)*($AM$11-$AL$11)),$AN$11-SQRT((1-AZ383)*($AN$11-$AL$11)*($AN$11-$AM$11))),$AM$11)</f>
        <v/>
      </c>
      <c r="AR383">
        <f>SUMPRODUCT((B24:B31&lt;=$B$6)*(C24:C31*AM383+D24:D31*AO383*$B$8*AQ383)/(1+AL383/100)^B24:B31)+C32*AM383*AP383/(1+AL383/100)^$B$6</f>
        <v/>
      </c>
      <c r="AS383">
        <f>SUMPRODUCT((K24:K26&lt;=$B$6)*(L24:L26*AN383+M24:M26*AO383*$B$8*AQ383)/(1+AL383/100)^K24:K26)+L27*AN383*AP383/(1+AL383/100)^$B$6</f>
        <v/>
      </c>
      <c r="AT383">
        <f>AS383-AR383</f>
        <v/>
      </c>
      <c r="AU383">
        <f>RAND()</f>
        <v/>
      </c>
      <c r="AV383">
        <f>RAND()</f>
        <v/>
      </c>
      <c r="AW383">
        <f>RAND()</f>
        <v/>
      </c>
      <c r="AX383">
        <f>RAND()</f>
        <v/>
      </c>
      <c r="AY383">
        <f>RAND()</f>
        <v/>
      </c>
      <c r="AZ383">
        <f>RAND()</f>
        <v/>
      </c>
    </row>
    <row r="384">
      <c r="AK384" t="n">
        <v>371</v>
      </c>
      <c r="AL384">
        <f>IFERROR(IF(AU384&lt;($AM$6-$AL$6)/($AN$6-$AL$6),$AL$6+SQRT(AU384*($AN$6-$AL$6)*($AM$6-$AL$6)),$AN$6-SQRT((1-AU384)*($AN$6-$AL$6)*($AN$6-$AM$6))),$AM$6)</f>
        <v/>
      </c>
      <c r="AM384">
        <f>IFERROR(IF(AV384&lt;($AM$7-$AL$7)/($AN$7-$AL$7),$AL$7+SQRT(AV384*($AN$7-$AL$7)*($AM$7-$AL$7)),$AN$7-SQRT((1-AV384)*($AN$7-$AL$7)*($AN$7-$AM$7))),$AM$7)</f>
        <v/>
      </c>
      <c r="AN384">
        <f>IFERROR(IF(AW384&lt;($AM$8-$AL$8)/($AN$8-$AL$8),$AL$8+SQRT(AW384*($AN$8-$AL$8)*($AM$8-$AL$8)),$AN$8-SQRT((1-AW384)*($AN$8-$AL$8)*($AN$8-$AM$8))),$AM$8)</f>
        <v/>
      </c>
      <c r="AO384">
        <f>IFERROR(IF(AX384&lt;($AM$9-$AL$9)/($AN$9-$AL$9),$AL$9+SQRT(AX384*($AN$9-$AL$9)*($AM$9-$AL$9)),$AN$9-SQRT((1-AX384)*($AN$9-$AL$9)*($AN$9-$AM$9))),$AM$9)</f>
        <v/>
      </c>
      <c r="AP384">
        <f>IFERROR(IF(AY384&lt;($AM$10-$AL$10)/($AN$10-$AL$10),$AL$10+SQRT(AY384*($AN$10-$AL$10)*($AM$10-$AL$10)),$AN$10-SQRT((1-AY384)*($AN$10-$AL$10)*($AN$10-$AM$10))),$AM$10)</f>
        <v/>
      </c>
      <c r="AQ384">
        <f>IFERROR(IF(AZ384&lt;($AM$11-$AL$11)/($AN$11-$AL$11),$AL$11+SQRT(AZ384*($AN$11-$AL$11)*($AM$11-$AL$11)),$AN$11-SQRT((1-AZ384)*($AN$11-$AL$11)*($AN$11-$AM$11))),$AM$11)</f>
        <v/>
      </c>
      <c r="AR384">
        <f>SUMPRODUCT((B24:B31&lt;=$B$6)*(C24:C31*AM384+D24:D31*AO384*$B$8*AQ384)/(1+AL384/100)^B24:B31)+C32*AM384*AP384/(1+AL384/100)^$B$6</f>
        <v/>
      </c>
      <c r="AS384">
        <f>SUMPRODUCT((K24:K26&lt;=$B$6)*(L24:L26*AN384+M24:M26*AO384*$B$8*AQ384)/(1+AL384/100)^K24:K26)+L27*AN384*AP384/(1+AL384/100)^$B$6</f>
        <v/>
      </c>
      <c r="AT384">
        <f>AS384-AR384</f>
        <v/>
      </c>
      <c r="AU384">
        <f>RAND()</f>
        <v/>
      </c>
      <c r="AV384">
        <f>RAND()</f>
        <v/>
      </c>
      <c r="AW384">
        <f>RAND()</f>
        <v/>
      </c>
      <c r="AX384">
        <f>RAND()</f>
        <v/>
      </c>
      <c r="AY384">
        <f>RAND()</f>
        <v/>
      </c>
      <c r="AZ384">
        <f>RAND()</f>
        <v/>
      </c>
    </row>
    <row r="385">
      <c r="AK385" t="n">
        <v>372</v>
      </c>
      <c r="AL385">
        <f>IFERROR(IF(AU385&lt;($AM$6-$AL$6)/($AN$6-$AL$6),$AL$6+SQRT(AU385*($AN$6-$AL$6)*($AM$6-$AL$6)),$AN$6-SQRT((1-AU385)*($AN$6-$AL$6)*($AN$6-$AM$6))),$AM$6)</f>
        <v/>
      </c>
      <c r="AM385">
        <f>IFERROR(IF(AV385&lt;($AM$7-$AL$7)/($AN$7-$AL$7),$AL$7+SQRT(AV385*($AN$7-$AL$7)*($AM$7-$AL$7)),$AN$7-SQRT((1-AV385)*($AN$7-$AL$7)*($AN$7-$AM$7))),$AM$7)</f>
        <v/>
      </c>
      <c r="AN385">
        <f>IFERROR(IF(AW385&lt;($AM$8-$AL$8)/($AN$8-$AL$8),$AL$8+SQRT(AW385*($AN$8-$AL$8)*($AM$8-$AL$8)),$AN$8-SQRT((1-AW385)*($AN$8-$AL$8)*($AN$8-$AM$8))),$AM$8)</f>
        <v/>
      </c>
      <c r="AO385">
        <f>IFERROR(IF(AX385&lt;($AM$9-$AL$9)/($AN$9-$AL$9),$AL$9+SQRT(AX385*($AN$9-$AL$9)*($AM$9-$AL$9)),$AN$9-SQRT((1-AX385)*($AN$9-$AL$9)*($AN$9-$AM$9))),$AM$9)</f>
        <v/>
      </c>
      <c r="AP385">
        <f>IFERROR(IF(AY385&lt;($AM$10-$AL$10)/($AN$10-$AL$10),$AL$10+SQRT(AY385*($AN$10-$AL$10)*($AM$10-$AL$10)),$AN$10-SQRT((1-AY385)*($AN$10-$AL$10)*($AN$10-$AM$10))),$AM$10)</f>
        <v/>
      </c>
      <c r="AQ385">
        <f>IFERROR(IF(AZ385&lt;($AM$11-$AL$11)/($AN$11-$AL$11),$AL$11+SQRT(AZ385*($AN$11-$AL$11)*($AM$11-$AL$11)),$AN$11-SQRT((1-AZ385)*($AN$11-$AL$11)*($AN$11-$AM$11))),$AM$11)</f>
        <v/>
      </c>
      <c r="AR385">
        <f>SUMPRODUCT((B24:B31&lt;=$B$6)*(C24:C31*AM385+D24:D31*AO385*$B$8*AQ385)/(1+AL385/100)^B24:B31)+C32*AM385*AP385/(1+AL385/100)^$B$6</f>
        <v/>
      </c>
      <c r="AS385">
        <f>SUMPRODUCT((K24:K26&lt;=$B$6)*(L24:L26*AN385+M24:M26*AO385*$B$8*AQ385)/(1+AL385/100)^K24:K26)+L27*AN385*AP385/(1+AL385/100)^$B$6</f>
        <v/>
      </c>
      <c r="AT385">
        <f>AS385-AR385</f>
        <v/>
      </c>
      <c r="AU385">
        <f>RAND()</f>
        <v/>
      </c>
      <c r="AV385">
        <f>RAND()</f>
        <v/>
      </c>
      <c r="AW385">
        <f>RAND()</f>
        <v/>
      </c>
      <c r="AX385">
        <f>RAND()</f>
        <v/>
      </c>
      <c r="AY385">
        <f>RAND()</f>
        <v/>
      </c>
      <c r="AZ385">
        <f>RAND()</f>
        <v/>
      </c>
    </row>
    <row r="386">
      <c r="AK386" t="n">
        <v>373</v>
      </c>
      <c r="AL386">
        <f>IFERROR(IF(AU386&lt;($AM$6-$AL$6)/($AN$6-$AL$6),$AL$6+SQRT(AU386*($AN$6-$AL$6)*($AM$6-$AL$6)),$AN$6-SQRT((1-AU386)*($AN$6-$AL$6)*($AN$6-$AM$6))),$AM$6)</f>
        <v/>
      </c>
      <c r="AM386">
        <f>IFERROR(IF(AV386&lt;($AM$7-$AL$7)/($AN$7-$AL$7),$AL$7+SQRT(AV386*($AN$7-$AL$7)*($AM$7-$AL$7)),$AN$7-SQRT((1-AV386)*($AN$7-$AL$7)*($AN$7-$AM$7))),$AM$7)</f>
        <v/>
      </c>
      <c r="AN386">
        <f>IFERROR(IF(AW386&lt;($AM$8-$AL$8)/($AN$8-$AL$8),$AL$8+SQRT(AW386*($AN$8-$AL$8)*($AM$8-$AL$8)),$AN$8-SQRT((1-AW386)*($AN$8-$AL$8)*($AN$8-$AM$8))),$AM$8)</f>
        <v/>
      </c>
      <c r="AO386">
        <f>IFERROR(IF(AX386&lt;($AM$9-$AL$9)/($AN$9-$AL$9),$AL$9+SQRT(AX386*($AN$9-$AL$9)*($AM$9-$AL$9)),$AN$9-SQRT((1-AX386)*($AN$9-$AL$9)*($AN$9-$AM$9))),$AM$9)</f>
        <v/>
      </c>
      <c r="AP386">
        <f>IFERROR(IF(AY386&lt;($AM$10-$AL$10)/($AN$10-$AL$10),$AL$10+SQRT(AY386*($AN$10-$AL$10)*($AM$10-$AL$10)),$AN$10-SQRT((1-AY386)*($AN$10-$AL$10)*($AN$10-$AM$10))),$AM$10)</f>
        <v/>
      </c>
      <c r="AQ386">
        <f>IFERROR(IF(AZ386&lt;($AM$11-$AL$11)/($AN$11-$AL$11),$AL$11+SQRT(AZ386*($AN$11-$AL$11)*($AM$11-$AL$11)),$AN$11-SQRT((1-AZ386)*($AN$11-$AL$11)*($AN$11-$AM$11))),$AM$11)</f>
        <v/>
      </c>
      <c r="AR386">
        <f>SUMPRODUCT((B24:B31&lt;=$B$6)*(C24:C31*AM386+D24:D31*AO386*$B$8*AQ386)/(1+AL386/100)^B24:B31)+C32*AM386*AP386/(1+AL386/100)^$B$6</f>
        <v/>
      </c>
      <c r="AS386">
        <f>SUMPRODUCT((K24:K26&lt;=$B$6)*(L24:L26*AN386+M24:M26*AO386*$B$8*AQ386)/(1+AL386/100)^K24:K26)+L27*AN386*AP386/(1+AL386/100)^$B$6</f>
        <v/>
      </c>
      <c r="AT386">
        <f>AS386-AR386</f>
        <v/>
      </c>
      <c r="AU386">
        <f>RAND()</f>
        <v/>
      </c>
      <c r="AV386">
        <f>RAND()</f>
        <v/>
      </c>
      <c r="AW386">
        <f>RAND()</f>
        <v/>
      </c>
      <c r="AX386">
        <f>RAND()</f>
        <v/>
      </c>
      <c r="AY386">
        <f>RAND()</f>
        <v/>
      </c>
      <c r="AZ386">
        <f>RAND()</f>
        <v/>
      </c>
    </row>
    <row r="387">
      <c r="AK387" t="n">
        <v>374</v>
      </c>
      <c r="AL387">
        <f>IFERROR(IF(AU387&lt;($AM$6-$AL$6)/($AN$6-$AL$6),$AL$6+SQRT(AU387*($AN$6-$AL$6)*($AM$6-$AL$6)),$AN$6-SQRT((1-AU387)*($AN$6-$AL$6)*($AN$6-$AM$6))),$AM$6)</f>
        <v/>
      </c>
      <c r="AM387">
        <f>IFERROR(IF(AV387&lt;($AM$7-$AL$7)/($AN$7-$AL$7),$AL$7+SQRT(AV387*($AN$7-$AL$7)*($AM$7-$AL$7)),$AN$7-SQRT((1-AV387)*($AN$7-$AL$7)*($AN$7-$AM$7))),$AM$7)</f>
        <v/>
      </c>
      <c r="AN387">
        <f>IFERROR(IF(AW387&lt;($AM$8-$AL$8)/($AN$8-$AL$8),$AL$8+SQRT(AW387*($AN$8-$AL$8)*($AM$8-$AL$8)),$AN$8-SQRT((1-AW387)*($AN$8-$AL$8)*($AN$8-$AM$8))),$AM$8)</f>
        <v/>
      </c>
      <c r="AO387">
        <f>IFERROR(IF(AX387&lt;($AM$9-$AL$9)/($AN$9-$AL$9),$AL$9+SQRT(AX387*($AN$9-$AL$9)*($AM$9-$AL$9)),$AN$9-SQRT((1-AX387)*($AN$9-$AL$9)*($AN$9-$AM$9))),$AM$9)</f>
        <v/>
      </c>
      <c r="AP387">
        <f>IFERROR(IF(AY387&lt;($AM$10-$AL$10)/($AN$10-$AL$10),$AL$10+SQRT(AY387*($AN$10-$AL$10)*($AM$10-$AL$10)),$AN$10-SQRT((1-AY387)*($AN$10-$AL$10)*($AN$10-$AM$10))),$AM$10)</f>
        <v/>
      </c>
      <c r="AQ387">
        <f>IFERROR(IF(AZ387&lt;($AM$11-$AL$11)/($AN$11-$AL$11),$AL$11+SQRT(AZ387*($AN$11-$AL$11)*($AM$11-$AL$11)),$AN$11-SQRT((1-AZ387)*($AN$11-$AL$11)*($AN$11-$AM$11))),$AM$11)</f>
        <v/>
      </c>
      <c r="AR387">
        <f>SUMPRODUCT((B24:B31&lt;=$B$6)*(C24:C31*AM387+D24:D31*AO387*$B$8*AQ387)/(1+AL387/100)^B24:B31)+C32*AM387*AP387/(1+AL387/100)^$B$6</f>
        <v/>
      </c>
      <c r="AS387">
        <f>SUMPRODUCT((K24:K26&lt;=$B$6)*(L24:L26*AN387+M24:M26*AO387*$B$8*AQ387)/(1+AL387/100)^K24:K26)+L27*AN387*AP387/(1+AL387/100)^$B$6</f>
        <v/>
      </c>
      <c r="AT387">
        <f>AS387-AR387</f>
        <v/>
      </c>
      <c r="AU387">
        <f>RAND()</f>
        <v/>
      </c>
      <c r="AV387">
        <f>RAND()</f>
        <v/>
      </c>
      <c r="AW387">
        <f>RAND()</f>
        <v/>
      </c>
      <c r="AX387">
        <f>RAND()</f>
        <v/>
      </c>
      <c r="AY387">
        <f>RAND()</f>
        <v/>
      </c>
      <c r="AZ387">
        <f>RAND()</f>
        <v/>
      </c>
    </row>
    <row r="388">
      <c r="AK388" t="n">
        <v>375</v>
      </c>
      <c r="AL388">
        <f>IFERROR(IF(AU388&lt;($AM$6-$AL$6)/($AN$6-$AL$6),$AL$6+SQRT(AU388*($AN$6-$AL$6)*($AM$6-$AL$6)),$AN$6-SQRT((1-AU388)*($AN$6-$AL$6)*($AN$6-$AM$6))),$AM$6)</f>
        <v/>
      </c>
      <c r="AM388">
        <f>IFERROR(IF(AV388&lt;($AM$7-$AL$7)/($AN$7-$AL$7),$AL$7+SQRT(AV388*($AN$7-$AL$7)*($AM$7-$AL$7)),$AN$7-SQRT((1-AV388)*($AN$7-$AL$7)*($AN$7-$AM$7))),$AM$7)</f>
        <v/>
      </c>
      <c r="AN388">
        <f>IFERROR(IF(AW388&lt;($AM$8-$AL$8)/($AN$8-$AL$8),$AL$8+SQRT(AW388*($AN$8-$AL$8)*($AM$8-$AL$8)),$AN$8-SQRT((1-AW388)*($AN$8-$AL$8)*($AN$8-$AM$8))),$AM$8)</f>
        <v/>
      </c>
      <c r="AO388">
        <f>IFERROR(IF(AX388&lt;($AM$9-$AL$9)/($AN$9-$AL$9),$AL$9+SQRT(AX388*($AN$9-$AL$9)*($AM$9-$AL$9)),$AN$9-SQRT((1-AX388)*($AN$9-$AL$9)*($AN$9-$AM$9))),$AM$9)</f>
        <v/>
      </c>
      <c r="AP388">
        <f>IFERROR(IF(AY388&lt;($AM$10-$AL$10)/($AN$10-$AL$10),$AL$10+SQRT(AY388*($AN$10-$AL$10)*($AM$10-$AL$10)),$AN$10-SQRT((1-AY388)*($AN$10-$AL$10)*($AN$10-$AM$10))),$AM$10)</f>
        <v/>
      </c>
      <c r="AQ388">
        <f>IFERROR(IF(AZ388&lt;($AM$11-$AL$11)/($AN$11-$AL$11),$AL$11+SQRT(AZ388*($AN$11-$AL$11)*($AM$11-$AL$11)),$AN$11-SQRT((1-AZ388)*($AN$11-$AL$11)*($AN$11-$AM$11))),$AM$11)</f>
        <v/>
      </c>
      <c r="AR388">
        <f>SUMPRODUCT((B24:B31&lt;=$B$6)*(C24:C31*AM388+D24:D31*AO388*$B$8*AQ388)/(1+AL388/100)^B24:B31)+C32*AM388*AP388/(1+AL388/100)^$B$6</f>
        <v/>
      </c>
      <c r="AS388">
        <f>SUMPRODUCT((K24:K26&lt;=$B$6)*(L24:L26*AN388+M24:M26*AO388*$B$8*AQ388)/(1+AL388/100)^K24:K26)+L27*AN388*AP388/(1+AL388/100)^$B$6</f>
        <v/>
      </c>
      <c r="AT388">
        <f>AS388-AR388</f>
        <v/>
      </c>
      <c r="AU388">
        <f>RAND()</f>
        <v/>
      </c>
      <c r="AV388">
        <f>RAND()</f>
        <v/>
      </c>
      <c r="AW388">
        <f>RAND()</f>
        <v/>
      </c>
      <c r="AX388">
        <f>RAND()</f>
        <v/>
      </c>
      <c r="AY388">
        <f>RAND()</f>
        <v/>
      </c>
      <c r="AZ388">
        <f>RAND()</f>
        <v/>
      </c>
    </row>
    <row r="389">
      <c r="AK389" t="n">
        <v>376</v>
      </c>
      <c r="AL389">
        <f>IFERROR(IF(AU389&lt;($AM$6-$AL$6)/($AN$6-$AL$6),$AL$6+SQRT(AU389*($AN$6-$AL$6)*($AM$6-$AL$6)),$AN$6-SQRT((1-AU389)*($AN$6-$AL$6)*($AN$6-$AM$6))),$AM$6)</f>
        <v/>
      </c>
      <c r="AM389">
        <f>IFERROR(IF(AV389&lt;($AM$7-$AL$7)/($AN$7-$AL$7),$AL$7+SQRT(AV389*($AN$7-$AL$7)*($AM$7-$AL$7)),$AN$7-SQRT((1-AV389)*($AN$7-$AL$7)*($AN$7-$AM$7))),$AM$7)</f>
        <v/>
      </c>
      <c r="AN389">
        <f>IFERROR(IF(AW389&lt;($AM$8-$AL$8)/($AN$8-$AL$8),$AL$8+SQRT(AW389*($AN$8-$AL$8)*($AM$8-$AL$8)),$AN$8-SQRT((1-AW389)*($AN$8-$AL$8)*($AN$8-$AM$8))),$AM$8)</f>
        <v/>
      </c>
      <c r="AO389">
        <f>IFERROR(IF(AX389&lt;($AM$9-$AL$9)/($AN$9-$AL$9),$AL$9+SQRT(AX389*($AN$9-$AL$9)*($AM$9-$AL$9)),$AN$9-SQRT((1-AX389)*($AN$9-$AL$9)*($AN$9-$AM$9))),$AM$9)</f>
        <v/>
      </c>
      <c r="AP389">
        <f>IFERROR(IF(AY389&lt;($AM$10-$AL$10)/($AN$10-$AL$10),$AL$10+SQRT(AY389*($AN$10-$AL$10)*($AM$10-$AL$10)),$AN$10-SQRT((1-AY389)*($AN$10-$AL$10)*($AN$10-$AM$10))),$AM$10)</f>
        <v/>
      </c>
      <c r="AQ389">
        <f>IFERROR(IF(AZ389&lt;($AM$11-$AL$11)/($AN$11-$AL$11),$AL$11+SQRT(AZ389*($AN$11-$AL$11)*($AM$11-$AL$11)),$AN$11-SQRT((1-AZ389)*($AN$11-$AL$11)*($AN$11-$AM$11))),$AM$11)</f>
        <v/>
      </c>
      <c r="AR389">
        <f>SUMPRODUCT((B24:B31&lt;=$B$6)*(C24:C31*AM389+D24:D31*AO389*$B$8*AQ389)/(1+AL389/100)^B24:B31)+C32*AM389*AP389/(1+AL389/100)^$B$6</f>
        <v/>
      </c>
      <c r="AS389">
        <f>SUMPRODUCT((K24:K26&lt;=$B$6)*(L24:L26*AN389+M24:M26*AO389*$B$8*AQ389)/(1+AL389/100)^K24:K26)+L27*AN389*AP389/(1+AL389/100)^$B$6</f>
        <v/>
      </c>
      <c r="AT389">
        <f>AS389-AR389</f>
        <v/>
      </c>
      <c r="AU389">
        <f>RAND()</f>
        <v/>
      </c>
      <c r="AV389">
        <f>RAND()</f>
        <v/>
      </c>
      <c r="AW389">
        <f>RAND()</f>
        <v/>
      </c>
      <c r="AX389">
        <f>RAND()</f>
        <v/>
      </c>
      <c r="AY389">
        <f>RAND()</f>
        <v/>
      </c>
      <c r="AZ389">
        <f>RAND()</f>
        <v/>
      </c>
    </row>
    <row r="390">
      <c r="AK390" t="n">
        <v>377</v>
      </c>
      <c r="AL390">
        <f>IFERROR(IF(AU390&lt;($AM$6-$AL$6)/($AN$6-$AL$6),$AL$6+SQRT(AU390*($AN$6-$AL$6)*($AM$6-$AL$6)),$AN$6-SQRT((1-AU390)*($AN$6-$AL$6)*($AN$6-$AM$6))),$AM$6)</f>
        <v/>
      </c>
      <c r="AM390">
        <f>IFERROR(IF(AV390&lt;($AM$7-$AL$7)/($AN$7-$AL$7),$AL$7+SQRT(AV390*($AN$7-$AL$7)*($AM$7-$AL$7)),$AN$7-SQRT((1-AV390)*($AN$7-$AL$7)*($AN$7-$AM$7))),$AM$7)</f>
        <v/>
      </c>
      <c r="AN390">
        <f>IFERROR(IF(AW390&lt;($AM$8-$AL$8)/($AN$8-$AL$8),$AL$8+SQRT(AW390*($AN$8-$AL$8)*($AM$8-$AL$8)),$AN$8-SQRT((1-AW390)*($AN$8-$AL$8)*($AN$8-$AM$8))),$AM$8)</f>
        <v/>
      </c>
      <c r="AO390">
        <f>IFERROR(IF(AX390&lt;($AM$9-$AL$9)/($AN$9-$AL$9),$AL$9+SQRT(AX390*($AN$9-$AL$9)*($AM$9-$AL$9)),$AN$9-SQRT((1-AX390)*($AN$9-$AL$9)*($AN$9-$AM$9))),$AM$9)</f>
        <v/>
      </c>
      <c r="AP390">
        <f>IFERROR(IF(AY390&lt;($AM$10-$AL$10)/($AN$10-$AL$10),$AL$10+SQRT(AY390*($AN$10-$AL$10)*($AM$10-$AL$10)),$AN$10-SQRT((1-AY390)*($AN$10-$AL$10)*($AN$10-$AM$10))),$AM$10)</f>
        <v/>
      </c>
      <c r="AQ390">
        <f>IFERROR(IF(AZ390&lt;($AM$11-$AL$11)/($AN$11-$AL$11),$AL$11+SQRT(AZ390*($AN$11-$AL$11)*($AM$11-$AL$11)),$AN$11-SQRT((1-AZ390)*($AN$11-$AL$11)*($AN$11-$AM$11))),$AM$11)</f>
        <v/>
      </c>
      <c r="AR390">
        <f>SUMPRODUCT((B24:B31&lt;=$B$6)*(C24:C31*AM390+D24:D31*AO390*$B$8*AQ390)/(1+AL390/100)^B24:B31)+C32*AM390*AP390/(1+AL390/100)^$B$6</f>
        <v/>
      </c>
      <c r="AS390">
        <f>SUMPRODUCT((K24:K26&lt;=$B$6)*(L24:L26*AN390+M24:M26*AO390*$B$8*AQ390)/(1+AL390/100)^K24:K26)+L27*AN390*AP390/(1+AL390/100)^$B$6</f>
        <v/>
      </c>
      <c r="AT390">
        <f>AS390-AR390</f>
        <v/>
      </c>
      <c r="AU390">
        <f>RAND()</f>
        <v/>
      </c>
      <c r="AV390">
        <f>RAND()</f>
        <v/>
      </c>
      <c r="AW390">
        <f>RAND()</f>
        <v/>
      </c>
      <c r="AX390">
        <f>RAND()</f>
        <v/>
      </c>
      <c r="AY390">
        <f>RAND()</f>
        <v/>
      </c>
      <c r="AZ390">
        <f>RAND()</f>
        <v/>
      </c>
    </row>
    <row r="391">
      <c r="AK391" t="n">
        <v>378</v>
      </c>
      <c r="AL391">
        <f>IFERROR(IF(AU391&lt;($AM$6-$AL$6)/($AN$6-$AL$6),$AL$6+SQRT(AU391*($AN$6-$AL$6)*($AM$6-$AL$6)),$AN$6-SQRT((1-AU391)*($AN$6-$AL$6)*($AN$6-$AM$6))),$AM$6)</f>
        <v/>
      </c>
      <c r="AM391">
        <f>IFERROR(IF(AV391&lt;($AM$7-$AL$7)/($AN$7-$AL$7),$AL$7+SQRT(AV391*($AN$7-$AL$7)*($AM$7-$AL$7)),$AN$7-SQRT((1-AV391)*($AN$7-$AL$7)*($AN$7-$AM$7))),$AM$7)</f>
        <v/>
      </c>
      <c r="AN391">
        <f>IFERROR(IF(AW391&lt;($AM$8-$AL$8)/($AN$8-$AL$8),$AL$8+SQRT(AW391*($AN$8-$AL$8)*($AM$8-$AL$8)),$AN$8-SQRT((1-AW391)*($AN$8-$AL$8)*($AN$8-$AM$8))),$AM$8)</f>
        <v/>
      </c>
      <c r="AO391">
        <f>IFERROR(IF(AX391&lt;($AM$9-$AL$9)/($AN$9-$AL$9),$AL$9+SQRT(AX391*($AN$9-$AL$9)*($AM$9-$AL$9)),$AN$9-SQRT((1-AX391)*($AN$9-$AL$9)*($AN$9-$AM$9))),$AM$9)</f>
        <v/>
      </c>
      <c r="AP391">
        <f>IFERROR(IF(AY391&lt;($AM$10-$AL$10)/($AN$10-$AL$10),$AL$10+SQRT(AY391*($AN$10-$AL$10)*($AM$10-$AL$10)),$AN$10-SQRT((1-AY391)*($AN$10-$AL$10)*($AN$10-$AM$10))),$AM$10)</f>
        <v/>
      </c>
      <c r="AQ391">
        <f>IFERROR(IF(AZ391&lt;($AM$11-$AL$11)/($AN$11-$AL$11),$AL$11+SQRT(AZ391*($AN$11-$AL$11)*($AM$11-$AL$11)),$AN$11-SQRT((1-AZ391)*($AN$11-$AL$11)*($AN$11-$AM$11))),$AM$11)</f>
        <v/>
      </c>
      <c r="AR391">
        <f>SUMPRODUCT((B24:B31&lt;=$B$6)*(C24:C31*AM391+D24:D31*AO391*$B$8*AQ391)/(1+AL391/100)^B24:B31)+C32*AM391*AP391/(1+AL391/100)^$B$6</f>
        <v/>
      </c>
      <c r="AS391">
        <f>SUMPRODUCT((K24:K26&lt;=$B$6)*(L24:L26*AN391+M24:M26*AO391*$B$8*AQ391)/(1+AL391/100)^K24:K26)+L27*AN391*AP391/(1+AL391/100)^$B$6</f>
        <v/>
      </c>
      <c r="AT391">
        <f>AS391-AR391</f>
        <v/>
      </c>
      <c r="AU391">
        <f>RAND()</f>
        <v/>
      </c>
      <c r="AV391">
        <f>RAND()</f>
        <v/>
      </c>
      <c r="AW391">
        <f>RAND()</f>
        <v/>
      </c>
      <c r="AX391">
        <f>RAND()</f>
        <v/>
      </c>
      <c r="AY391">
        <f>RAND()</f>
        <v/>
      </c>
      <c r="AZ391">
        <f>RAND()</f>
        <v/>
      </c>
    </row>
    <row r="392">
      <c r="AK392" t="n">
        <v>379</v>
      </c>
      <c r="AL392">
        <f>IFERROR(IF(AU392&lt;($AM$6-$AL$6)/($AN$6-$AL$6),$AL$6+SQRT(AU392*($AN$6-$AL$6)*($AM$6-$AL$6)),$AN$6-SQRT((1-AU392)*($AN$6-$AL$6)*($AN$6-$AM$6))),$AM$6)</f>
        <v/>
      </c>
      <c r="AM392">
        <f>IFERROR(IF(AV392&lt;($AM$7-$AL$7)/($AN$7-$AL$7),$AL$7+SQRT(AV392*($AN$7-$AL$7)*($AM$7-$AL$7)),$AN$7-SQRT((1-AV392)*($AN$7-$AL$7)*($AN$7-$AM$7))),$AM$7)</f>
        <v/>
      </c>
      <c r="AN392">
        <f>IFERROR(IF(AW392&lt;($AM$8-$AL$8)/($AN$8-$AL$8),$AL$8+SQRT(AW392*($AN$8-$AL$8)*($AM$8-$AL$8)),$AN$8-SQRT((1-AW392)*($AN$8-$AL$8)*($AN$8-$AM$8))),$AM$8)</f>
        <v/>
      </c>
      <c r="AO392">
        <f>IFERROR(IF(AX392&lt;($AM$9-$AL$9)/($AN$9-$AL$9),$AL$9+SQRT(AX392*($AN$9-$AL$9)*($AM$9-$AL$9)),$AN$9-SQRT((1-AX392)*($AN$9-$AL$9)*($AN$9-$AM$9))),$AM$9)</f>
        <v/>
      </c>
      <c r="AP392">
        <f>IFERROR(IF(AY392&lt;($AM$10-$AL$10)/($AN$10-$AL$10),$AL$10+SQRT(AY392*($AN$10-$AL$10)*($AM$10-$AL$10)),$AN$10-SQRT((1-AY392)*($AN$10-$AL$10)*($AN$10-$AM$10))),$AM$10)</f>
        <v/>
      </c>
      <c r="AQ392">
        <f>IFERROR(IF(AZ392&lt;($AM$11-$AL$11)/($AN$11-$AL$11),$AL$11+SQRT(AZ392*($AN$11-$AL$11)*($AM$11-$AL$11)),$AN$11-SQRT((1-AZ392)*($AN$11-$AL$11)*($AN$11-$AM$11))),$AM$11)</f>
        <v/>
      </c>
      <c r="AR392">
        <f>SUMPRODUCT((B24:B31&lt;=$B$6)*(C24:C31*AM392+D24:D31*AO392*$B$8*AQ392)/(1+AL392/100)^B24:B31)+C32*AM392*AP392/(1+AL392/100)^$B$6</f>
        <v/>
      </c>
      <c r="AS392">
        <f>SUMPRODUCT((K24:K26&lt;=$B$6)*(L24:L26*AN392+M24:M26*AO392*$B$8*AQ392)/(1+AL392/100)^K24:K26)+L27*AN392*AP392/(1+AL392/100)^$B$6</f>
        <v/>
      </c>
      <c r="AT392">
        <f>AS392-AR392</f>
        <v/>
      </c>
      <c r="AU392">
        <f>RAND()</f>
        <v/>
      </c>
      <c r="AV392">
        <f>RAND()</f>
        <v/>
      </c>
      <c r="AW392">
        <f>RAND()</f>
        <v/>
      </c>
      <c r="AX392">
        <f>RAND()</f>
        <v/>
      </c>
      <c r="AY392">
        <f>RAND()</f>
        <v/>
      </c>
      <c r="AZ392">
        <f>RAND()</f>
        <v/>
      </c>
    </row>
    <row r="393">
      <c r="AK393" t="n">
        <v>380</v>
      </c>
      <c r="AL393">
        <f>IFERROR(IF(AU393&lt;($AM$6-$AL$6)/($AN$6-$AL$6),$AL$6+SQRT(AU393*($AN$6-$AL$6)*($AM$6-$AL$6)),$AN$6-SQRT((1-AU393)*($AN$6-$AL$6)*($AN$6-$AM$6))),$AM$6)</f>
        <v/>
      </c>
      <c r="AM393">
        <f>IFERROR(IF(AV393&lt;($AM$7-$AL$7)/($AN$7-$AL$7),$AL$7+SQRT(AV393*($AN$7-$AL$7)*($AM$7-$AL$7)),$AN$7-SQRT((1-AV393)*($AN$7-$AL$7)*($AN$7-$AM$7))),$AM$7)</f>
        <v/>
      </c>
      <c r="AN393">
        <f>IFERROR(IF(AW393&lt;($AM$8-$AL$8)/($AN$8-$AL$8),$AL$8+SQRT(AW393*($AN$8-$AL$8)*($AM$8-$AL$8)),$AN$8-SQRT((1-AW393)*($AN$8-$AL$8)*($AN$8-$AM$8))),$AM$8)</f>
        <v/>
      </c>
      <c r="AO393">
        <f>IFERROR(IF(AX393&lt;($AM$9-$AL$9)/($AN$9-$AL$9),$AL$9+SQRT(AX393*($AN$9-$AL$9)*($AM$9-$AL$9)),$AN$9-SQRT((1-AX393)*($AN$9-$AL$9)*($AN$9-$AM$9))),$AM$9)</f>
        <v/>
      </c>
      <c r="AP393">
        <f>IFERROR(IF(AY393&lt;($AM$10-$AL$10)/($AN$10-$AL$10),$AL$10+SQRT(AY393*($AN$10-$AL$10)*($AM$10-$AL$10)),$AN$10-SQRT((1-AY393)*($AN$10-$AL$10)*($AN$10-$AM$10))),$AM$10)</f>
        <v/>
      </c>
      <c r="AQ393">
        <f>IFERROR(IF(AZ393&lt;($AM$11-$AL$11)/($AN$11-$AL$11),$AL$11+SQRT(AZ393*($AN$11-$AL$11)*($AM$11-$AL$11)),$AN$11-SQRT((1-AZ393)*($AN$11-$AL$11)*($AN$11-$AM$11))),$AM$11)</f>
        <v/>
      </c>
      <c r="AR393">
        <f>SUMPRODUCT((B24:B31&lt;=$B$6)*(C24:C31*AM393+D24:D31*AO393*$B$8*AQ393)/(1+AL393/100)^B24:B31)+C32*AM393*AP393/(1+AL393/100)^$B$6</f>
        <v/>
      </c>
      <c r="AS393">
        <f>SUMPRODUCT((K24:K26&lt;=$B$6)*(L24:L26*AN393+M24:M26*AO393*$B$8*AQ393)/(1+AL393/100)^K24:K26)+L27*AN393*AP393/(1+AL393/100)^$B$6</f>
        <v/>
      </c>
      <c r="AT393">
        <f>AS393-AR393</f>
        <v/>
      </c>
      <c r="AU393">
        <f>RAND()</f>
        <v/>
      </c>
      <c r="AV393">
        <f>RAND()</f>
        <v/>
      </c>
      <c r="AW393">
        <f>RAND()</f>
        <v/>
      </c>
      <c r="AX393">
        <f>RAND()</f>
        <v/>
      </c>
      <c r="AY393">
        <f>RAND()</f>
        <v/>
      </c>
      <c r="AZ393">
        <f>RAND()</f>
        <v/>
      </c>
    </row>
    <row r="394">
      <c r="AK394" t="n">
        <v>381</v>
      </c>
      <c r="AL394">
        <f>IFERROR(IF(AU394&lt;($AM$6-$AL$6)/($AN$6-$AL$6),$AL$6+SQRT(AU394*($AN$6-$AL$6)*($AM$6-$AL$6)),$AN$6-SQRT((1-AU394)*($AN$6-$AL$6)*($AN$6-$AM$6))),$AM$6)</f>
        <v/>
      </c>
      <c r="AM394">
        <f>IFERROR(IF(AV394&lt;($AM$7-$AL$7)/($AN$7-$AL$7),$AL$7+SQRT(AV394*($AN$7-$AL$7)*($AM$7-$AL$7)),$AN$7-SQRT((1-AV394)*($AN$7-$AL$7)*($AN$7-$AM$7))),$AM$7)</f>
        <v/>
      </c>
      <c r="AN394">
        <f>IFERROR(IF(AW394&lt;($AM$8-$AL$8)/($AN$8-$AL$8),$AL$8+SQRT(AW394*($AN$8-$AL$8)*($AM$8-$AL$8)),$AN$8-SQRT((1-AW394)*($AN$8-$AL$8)*($AN$8-$AM$8))),$AM$8)</f>
        <v/>
      </c>
      <c r="AO394">
        <f>IFERROR(IF(AX394&lt;($AM$9-$AL$9)/($AN$9-$AL$9),$AL$9+SQRT(AX394*($AN$9-$AL$9)*($AM$9-$AL$9)),$AN$9-SQRT((1-AX394)*($AN$9-$AL$9)*($AN$9-$AM$9))),$AM$9)</f>
        <v/>
      </c>
      <c r="AP394">
        <f>IFERROR(IF(AY394&lt;($AM$10-$AL$10)/($AN$10-$AL$10),$AL$10+SQRT(AY394*($AN$10-$AL$10)*($AM$10-$AL$10)),$AN$10-SQRT((1-AY394)*($AN$10-$AL$10)*($AN$10-$AM$10))),$AM$10)</f>
        <v/>
      </c>
      <c r="AQ394">
        <f>IFERROR(IF(AZ394&lt;($AM$11-$AL$11)/($AN$11-$AL$11),$AL$11+SQRT(AZ394*($AN$11-$AL$11)*($AM$11-$AL$11)),$AN$11-SQRT((1-AZ394)*($AN$11-$AL$11)*($AN$11-$AM$11))),$AM$11)</f>
        <v/>
      </c>
      <c r="AR394">
        <f>SUMPRODUCT((B24:B31&lt;=$B$6)*(C24:C31*AM394+D24:D31*AO394*$B$8*AQ394)/(1+AL394/100)^B24:B31)+C32*AM394*AP394/(1+AL394/100)^$B$6</f>
        <v/>
      </c>
      <c r="AS394">
        <f>SUMPRODUCT((K24:K26&lt;=$B$6)*(L24:L26*AN394+M24:M26*AO394*$B$8*AQ394)/(1+AL394/100)^K24:K26)+L27*AN394*AP394/(1+AL394/100)^$B$6</f>
        <v/>
      </c>
      <c r="AT394">
        <f>AS394-AR394</f>
        <v/>
      </c>
      <c r="AU394">
        <f>RAND()</f>
        <v/>
      </c>
      <c r="AV394">
        <f>RAND()</f>
        <v/>
      </c>
      <c r="AW394">
        <f>RAND()</f>
        <v/>
      </c>
      <c r="AX394">
        <f>RAND()</f>
        <v/>
      </c>
      <c r="AY394">
        <f>RAND()</f>
        <v/>
      </c>
      <c r="AZ394">
        <f>RAND()</f>
        <v/>
      </c>
    </row>
    <row r="395">
      <c r="AK395" t="n">
        <v>382</v>
      </c>
      <c r="AL395">
        <f>IFERROR(IF(AU395&lt;($AM$6-$AL$6)/($AN$6-$AL$6),$AL$6+SQRT(AU395*($AN$6-$AL$6)*($AM$6-$AL$6)),$AN$6-SQRT((1-AU395)*($AN$6-$AL$6)*($AN$6-$AM$6))),$AM$6)</f>
        <v/>
      </c>
      <c r="AM395">
        <f>IFERROR(IF(AV395&lt;($AM$7-$AL$7)/($AN$7-$AL$7),$AL$7+SQRT(AV395*($AN$7-$AL$7)*($AM$7-$AL$7)),$AN$7-SQRT((1-AV395)*($AN$7-$AL$7)*($AN$7-$AM$7))),$AM$7)</f>
        <v/>
      </c>
      <c r="AN395">
        <f>IFERROR(IF(AW395&lt;($AM$8-$AL$8)/($AN$8-$AL$8),$AL$8+SQRT(AW395*($AN$8-$AL$8)*($AM$8-$AL$8)),$AN$8-SQRT((1-AW395)*($AN$8-$AL$8)*($AN$8-$AM$8))),$AM$8)</f>
        <v/>
      </c>
      <c r="AO395">
        <f>IFERROR(IF(AX395&lt;($AM$9-$AL$9)/($AN$9-$AL$9),$AL$9+SQRT(AX395*($AN$9-$AL$9)*($AM$9-$AL$9)),$AN$9-SQRT((1-AX395)*($AN$9-$AL$9)*($AN$9-$AM$9))),$AM$9)</f>
        <v/>
      </c>
      <c r="AP395">
        <f>IFERROR(IF(AY395&lt;($AM$10-$AL$10)/($AN$10-$AL$10),$AL$10+SQRT(AY395*($AN$10-$AL$10)*($AM$10-$AL$10)),$AN$10-SQRT((1-AY395)*($AN$10-$AL$10)*($AN$10-$AM$10))),$AM$10)</f>
        <v/>
      </c>
      <c r="AQ395">
        <f>IFERROR(IF(AZ395&lt;($AM$11-$AL$11)/($AN$11-$AL$11),$AL$11+SQRT(AZ395*($AN$11-$AL$11)*($AM$11-$AL$11)),$AN$11-SQRT((1-AZ395)*($AN$11-$AL$11)*($AN$11-$AM$11))),$AM$11)</f>
        <v/>
      </c>
      <c r="AR395">
        <f>SUMPRODUCT((B24:B31&lt;=$B$6)*(C24:C31*AM395+D24:D31*AO395*$B$8*AQ395)/(1+AL395/100)^B24:B31)+C32*AM395*AP395/(1+AL395/100)^$B$6</f>
        <v/>
      </c>
      <c r="AS395">
        <f>SUMPRODUCT((K24:K26&lt;=$B$6)*(L24:L26*AN395+M24:M26*AO395*$B$8*AQ395)/(1+AL395/100)^K24:K26)+L27*AN395*AP395/(1+AL395/100)^$B$6</f>
        <v/>
      </c>
      <c r="AT395">
        <f>AS395-AR395</f>
        <v/>
      </c>
      <c r="AU395">
        <f>RAND()</f>
        <v/>
      </c>
      <c r="AV395">
        <f>RAND()</f>
        <v/>
      </c>
      <c r="AW395">
        <f>RAND()</f>
        <v/>
      </c>
      <c r="AX395">
        <f>RAND()</f>
        <v/>
      </c>
      <c r="AY395">
        <f>RAND()</f>
        <v/>
      </c>
      <c r="AZ395">
        <f>RAND()</f>
        <v/>
      </c>
    </row>
    <row r="396">
      <c r="AK396" t="n">
        <v>383</v>
      </c>
      <c r="AL396">
        <f>IFERROR(IF(AU396&lt;($AM$6-$AL$6)/($AN$6-$AL$6),$AL$6+SQRT(AU396*($AN$6-$AL$6)*($AM$6-$AL$6)),$AN$6-SQRT((1-AU396)*($AN$6-$AL$6)*($AN$6-$AM$6))),$AM$6)</f>
        <v/>
      </c>
      <c r="AM396">
        <f>IFERROR(IF(AV396&lt;($AM$7-$AL$7)/($AN$7-$AL$7),$AL$7+SQRT(AV396*($AN$7-$AL$7)*($AM$7-$AL$7)),$AN$7-SQRT((1-AV396)*($AN$7-$AL$7)*($AN$7-$AM$7))),$AM$7)</f>
        <v/>
      </c>
      <c r="AN396">
        <f>IFERROR(IF(AW396&lt;($AM$8-$AL$8)/($AN$8-$AL$8),$AL$8+SQRT(AW396*($AN$8-$AL$8)*($AM$8-$AL$8)),$AN$8-SQRT((1-AW396)*($AN$8-$AL$8)*($AN$8-$AM$8))),$AM$8)</f>
        <v/>
      </c>
      <c r="AO396">
        <f>IFERROR(IF(AX396&lt;($AM$9-$AL$9)/($AN$9-$AL$9),$AL$9+SQRT(AX396*($AN$9-$AL$9)*($AM$9-$AL$9)),$AN$9-SQRT((1-AX396)*($AN$9-$AL$9)*($AN$9-$AM$9))),$AM$9)</f>
        <v/>
      </c>
      <c r="AP396">
        <f>IFERROR(IF(AY396&lt;($AM$10-$AL$10)/($AN$10-$AL$10),$AL$10+SQRT(AY396*($AN$10-$AL$10)*($AM$10-$AL$10)),$AN$10-SQRT((1-AY396)*($AN$10-$AL$10)*($AN$10-$AM$10))),$AM$10)</f>
        <v/>
      </c>
      <c r="AQ396">
        <f>IFERROR(IF(AZ396&lt;($AM$11-$AL$11)/($AN$11-$AL$11),$AL$11+SQRT(AZ396*($AN$11-$AL$11)*($AM$11-$AL$11)),$AN$11-SQRT((1-AZ396)*($AN$11-$AL$11)*($AN$11-$AM$11))),$AM$11)</f>
        <v/>
      </c>
      <c r="AR396">
        <f>SUMPRODUCT((B24:B31&lt;=$B$6)*(C24:C31*AM396+D24:D31*AO396*$B$8*AQ396)/(1+AL396/100)^B24:B31)+C32*AM396*AP396/(1+AL396/100)^$B$6</f>
        <v/>
      </c>
      <c r="AS396">
        <f>SUMPRODUCT((K24:K26&lt;=$B$6)*(L24:L26*AN396+M24:M26*AO396*$B$8*AQ396)/(1+AL396/100)^K24:K26)+L27*AN396*AP396/(1+AL396/100)^$B$6</f>
        <v/>
      </c>
      <c r="AT396">
        <f>AS396-AR396</f>
        <v/>
      </c>
      <c r="AU396">
        <f>RAND()</f>
        <v/>
      </c>
      <c r="AV396">
        <f>RAND()</f>
        <v/>
      </c>
      <c r="AW396">
        <f>RAND()</f>
        <v/>
      </c>
      <c r="AX396">
        <f>RAND()</f>
        <v/>
      </c>
      <c r="AY396">
        <f>RAND()</f>
        <v/>
      </c>
      <c r="AZ396">
        <f>RAND()</f>
        <v/>
      </c>
    </row>
    <row r="397">
      <c r="AK397" t="n">
        <v>384</v>
      </c>
      <c r="AL397">
        <f>IFERROR(IF(AU397&lt;($AM$6-$AL$6)/($AN$6-$AL$6),$AL$6+SQRT(AU397*($AN$6-$AL$6)*($AM$6-$AL$6)),$AN$6-SQRT((1-AU397)*($AN$6-$AL$6)*($AN$6-$AM$6))),$AM$6)</f>
        <v/>
      </c>
      <c r="AM397">
        <f>IFERROR(IF(AV397&lt;($AM$7-$AL$7)/($AN$7-$AL$7),$AL$7+SQRT(AV397*($AN$7-$AL$7)*($AM$7-$AL$7)),$AN$7-SQRT((1-AV397)*($AN$7-$AL$7)*($AN$7-$AM$7))),$AM$7)</f>
        <v/>
      </c>
      <c r="AN397">
        <f>IFERROR(IF(AW397&lt;($AM$8-$AL$8)/($AN$8-$AL$8),$AL$8+SQRT(AW397*($AN$8-$AL$8)*($AM$8-$AL$8)),$AN$8-SQRT((1-AW397)*($AN$8-$AL$8)*($AN$8-$AM$8))),$AM$8)</f>
        <v/>
      </c>
      <c r="AO397">
        <f>IFERROR(IF(AX397&lt;($AM$9-$AL$9)/($AN$9-$AL$9),$AL$9+SQRT(AX397*($AN$9-$AL$9)*($AM$9-$AL$9)),$AN$9-SQRT((1-AX397)*($AN$9-$AL$9)*($AN$9-$AM$9))),$AM$9)</f>
        <v/>
      </c>
      <c r="AP397">
        <f>IFERROR(IF(AY397&lt;($AM$10-$AL$10)/($AN$10-$AL$10),$AL$10+SQRT(AY397*($AN$10-$AL$10)*($AM$10-$AL$10)),$AN$10-SQRT((1-AY397)*($AN$10-$AL$10)*($AN$10-$AM$10))),$AM$10)</f>
        <v/>
      </c>
      <c r="AQ397">
        <f>IFERROR(IF(AZ397&lt;($AM$11-$AL$11)/($AN$11-$AL$11),$AL$11+SQRT(AZ397*($AN$11-$AL$11)*($AM$11-$AL$11)),$AN$11-SQRT((1-AZ397)*($AN$11-$AL$11)*($AN$11-$AM$11))),$AM$11)</f>
        <v/>
      </c>
      <c r="AR397">
        <f>SUMPRODUCT((B24:B31&lt;=$B$6)*(C24:C31*AM397+D24:D31*AO397*$B$8*AQ397)/(1+AL397/100)^B24:B31)+C32*AM397*AP397/(1+AL397/100)^$B$6</f>
        <v/>
      </c>
      <c r="AS397">
        <f>SUMPRODUCT((K24:K26&lt;=$B$6)*(L24:L26*AN397+M24:M26*AO397*$B$8*AQ397)/(1+AL397/100)^K24:K26)+L27*AN397*AP397/(1+AL397/100)^$B$6</f>
        <v/>
      </c>
      <c r="AT397">
        <f>AS397-AR397</f>
        <v/>
      </c>
      <c r="AU397">
        <f>RAND()</f>
        <v/>
      </c>
      <c r="AV397">
        <f>RAND()</f>
        <v/>
      </c>
      <c r="AW397">
        <f>RAND()</f>
        <v/>
      </c>
      <c r="AX397">
        <f>RAND()</f>
        <v/>
      </c>
      <c r="AY397">
        <f>RAND()</f>
        <v/>
      </c>
      <c r="AZ397">
        <f>RAND()</f>
        <v/>
      </c>
    </row>
    <row r="398">
      <c r="AK398" t="n">
        <v>385</v>
      </c>
      <c r="AL398">
        <f>IFERROR(IF(AU398&lt;($AM$6-$AL$6)/($AN$6-$AL$6),$AL$6+SQRT(AU398*($AN$6-$AL$6)*($AM$6-$AL$6)),$AN$6-SQRT((1-AU398)*($AN$6-$AL$6)*($AN$6-$AM$6))),$AM$6)</f>
        <v/>
      </c>
      <c r="AM398">
        <f>IFERROR(IF(AV398&lt;($AM$7-$AL$7)/($AN$7-$AL$7),$AL$7+SQRT(AV398*($AN$7-$AL$7)*($AM$7-$AL$7)),$AN$7-SQRT((1-AV398)*($AN$7-$AL$7)*($AN$7-$AM$7))),$AM$7)</f>
        <v/>
      </c>
      <c r="AN398">
        <f>IFERROR(IF(AW398&lt;($AM$8-$AL$8)/($AN$8-$AL$8),$AL$8+SQRT(AW398*($AN$8-$AL$8)*($AM$8-$AL$8)),$AN$8-SQRT((1-AW398)*($AN$8-$AL$8)*($AN$8-$AM$8))),$AM$8)</f>
        <v/>
      </c>
      <c r="AO398">
        <f>IFERROR(IF(AX398&lt;($AM$9-$AL$9)/($AN$9-$AL$9),$AL$9+SQRT(AX398*($AN$9-$AL$9)*($AM$9-$AL$9)),$AN$9-SQRT((1-AX398)*($AN$9-$AL$9)*($AN$9-$AM$9))),$AM$9)</f>
        <v/>
      </c>
      <c r="AP398">
        <f>IFERROR(IF(AY398&lt;($AM$10-$AL$10)/($AN$10-$AL$10),$AL$10+SQRT(AY398*($AN$10-$AL$10)*($AM$10-$AL$10)),$AN$10-SQRT((1-AY398)*($AN$10-$AL$10)*($AN$10-$AM$10))),$AM$10)</f>
        <v/>
      </c>
      <c r="AQ398">
        <f>IFERROR(IF(AZ398&lt;($AM$11-$AL$11)/($AN$11-$AL$11),$AL$11+SQRT(AZ398*($AN$11-$AL$11)*($AM$11-$AL$11)),$AN$11-SQRT((1-AZ398)*($AN$11-$AL$11)*($AN$11-$AM$11))),$AM$11)</f>
        <v/>
      </c>
      <c r="AR398">
        <f>SUMPRODUCT((B24:B31&lt;=$B$6)*(C24:C31*AM398+D24:D31*AO398*$B$8*AQ398)/(1+AL398/100)^B24:B31)+C32*AM398*AP398/(1+AL398/100)^$B$6</f>
        <v/>
      </c>
      <c r="AS398">
        <f>SUMPRODUCT((K24:K26&lt;=$B$6)*(L24:L26*AN398+M24:M26*AO398*$B$8*AQ398)/(1+AL398/100)^K24:K26)+L27*AN398*AP398/(1+AL398/100)^$B$6</f>
        <v/>
      </c>
      <c r="AT398">
        <f>AS398-AR398</f>
        <v/>
      </c>
      <c r="AU398">
        <f>RAND()</f>
        <v/>
      </c>
      <c r="AV398">
        <f>RAND()</f>
        <v/>
      </c>
      <c r="AW398">
        <f>RAND()</f>
        <v/>
      </c>
      <c r="AX398">
        <f>RAND()</f>
        <v/>
      </c>
      <c r="AY398">
        <f>RAND()</f>
        <v/>
      </c>
      <c r="AZ398">
        <f>RAND()</f>
        <v/>
      </c>
    </row>
    <row r="399">
      <c r="AK399" t="n">
        <v>386</v>
      </c>
      <c r="AL399">
        <f>IFERROR(IF(AU399&lt;($AM$6-$AL$6)/($AN$6-$AL$6),$AL$6+SQRT(AU399*($AN$6-$AL$6)*($AM$6-$AL$6)),$AN$6-SQRT((1-AU399)*($AN$6-$AL$6)*($AN$6-$AM$6))),$AM$6)</f>
        <v/>
      </c>
      <c r="AM399">
        <f>IFERROR(IF(AV399&lt;($AM$7-$AL$7)/($AN$7-$AL$7),$AL$7+SQRT(AV399*($AN$7-$AL$7)*($AM$7-$AL$7)),$AN$7-SQRT((1-AV399)*($AN$7-$AL$7)*($AN$7-$AM$7))),$AM$7)</f>
        <v/>
      </c>
      <c r="AN399">
        <f>IFERROR(IF(AW399&lt;($AM$8-$AL$8)/($AN$8-$AL$8),$AL$8+SQRT(AW399*($AN$8-$AL$8)*($AM$8-$AL$8)),$AN$8-SQRT((1-AW399)*($AN$8-$AL$8)*($AN$8-$AM$8))),$AM$8)</f>
        <v/>
      </c>
      <c r="AO399">
        <f>IFERROR(IF(AX399&lt;($AM$9-$AL$9)/($AN$9-$AL$9),$AL$9+SQRT(AX399*($AN$9-$AL$9)*($AM$9-$AL$9)),$AN$9-SQRT((1-AX399)*($AN$9-$AL$9)*($AN$9-$AM$9))),$AM$9)</f>
        <v/>
      </c>
      <c r="AP399">
        <f>IFERROR(IF(AY399&lt;($AM$10-$AL$10)/($AN$10-$AL$10),$AL$10+SQRT(AY399*($AN$10-$AL$10)*($AM$10-$AL$10)),$AN$10-SQRT((1-AY399)*($AN$10-$AL$10)*($AN$10-$AM$10))),$AM$10)</f>
        <v/>
      </c>
      <c r="AQ399">
        <f>IFERROR(IF(AZ399&lt;($AM$11-$AL$11)/($AN$11-$AL$11),$AL$11+SQRT(AZ399*($AN$11-$AL$11)*($AM$11-$AL$11)),$AN$11-SQRT((1-AZ399)*($AN$11-$AL$11)*($AN$11-$AM$11))),$AM$11)</f>
        <v/>
      </c>
      <c r="AR399">
        <f>SUMPRODUCT((B24:B31&lt;=$B$6)*(C24:C31*AM399+D24:D31*AO399*$B$8*AQ399)/(1+AL399/100)^B24:B31)+C32*AM399*AP399/(1+AL399/100)^$B$6</f>
        <v/>
      </c>
      <c r="AS399">
        <f>SUMPRODUCT((K24:K26&lt;=$B$6)*(L24:L26*AN399+M24:M26*AO399*$B$8*AQ399)/(1+AL399/100)^K24:K26)+L27*AN399*AP399/(1+AL399/100)^$B$6</f>
        <v/>
      </c>
      <c r="AT399">
        <f>AS399-AR399</f>
        <v/>
      </c>
      <c r="AU399">
        <f>RAND()</f>
        <v/>
      </c>
      <c r="AV399">
        <f>RAND()</f>
        <v/>
      </c>
      <c r="AW399">
        <f>RAND()</f>
        <v/>
      </c>
      <c r="AX399">
        <f>RAND()</f>
        <v/>
      </c>
      <c r="AY399">
        <f>RAND()</f>
        <v/>
      </c>
      <c r="AZ399">
        <f>RAND()</f>
        <v/>
      </c>
    </row>
    <row r="400">
      <c r="AK400" t="n">
        <v>387</v>
      </c>
      <c r="AL400">
        <f>IFERROR(IF(AU400&lt;($AM$6-$AL$6)/($AN$6-$AL$6),$AL$6+SQRT(AU400*($AN$6-$AL$6)*($AM$6-$AL$6)),$AN$6-SQRT((1-AU400)*($AN$6-$AL$6)*($AN$6-$AM$6))),$AM$6)</f>
        <v/>
      </c>
      <c r="AM400">
        <f>IFERROR(IF(AV400&lt;($AM$7-$AL$7)/($AN$7-$AL$7),$AL$7+SQRT(AV400*($AN$7-$AL$7)*($AM$7-$AL$7)),$AN$7-SQRT((1-AV400)*($AN$7-$AL$7)*($AN$7-$AM$7))),$AM$7)</f>
        <v/>
      </c>
      <c r="AN400">
        <f>IFERROR(IF(AW400&lt;($AM$8-$AL$8)/($AN$8-$AL$8),$AL$8+SQRT(AW400*($AN$8-$AL$8)*($AM$8-$AL$8)),$AN$8-SQRT((1-AW400)*($AN$8-$AL$8)*($AN$8-$AM$8))),$AM$8)</f>
        <v/>
      </c>
      <c r="AO400">
        <f>IFERROR(IF(AX400&lt;($AM$9-$AL$9)/($AN$9-$AL$9),$AL$9+SQRT(AX400*($AN$9-$AL$9)*($AM$9-$AL$9)),$AN$9-SQRT((1-AX400)*($AN$9-$AL$9)*($AN$9-$AM$9))),$AM$9)</f>
        <v/>
      </c>
      <c r="AP400">
        <f>IFERROR(IF(AY400&lt;($AM$10-$AL$10)/($AN$10-$AL$10),$AL$10+SQRT(AY400*($AN$10-$AL$10)*($AM$10-$AL$10)),$AN$10-SQRT((1-AY400)*($AN$10-$AL$10)*($AN$10-$AM$10))),$AM$10)</f>
        <v/>
      </c>
      <c r="AQ400">
        <f>IFERROR(IF(AZ400&lt;($AM$11-$AL$11)/($AN$11-$AL$11),$AL$11+SQRT(AZ400*($AN$11-$AL$11)*($AM$11-$AL$11)),$AN$11-SQRT((1-AZ400)*($AN$11-$AL$11)*($AN$11-$AM$11))),$AM$11)</f>
        <v/>
      </c>
      <c r="AR400">
        <f>SUMPRODUCT((B24:B31&lt;=$B$6)*(C24:C31*AM400+D24:D31*AO400*$B$8*AQ400)/(1+AL400/100)^B24:B31)+C32*AM400*AP400/(1+AL400/100)^$B$6</f>
        <v/>
      </c>
      <c r="AS400">
        <f>SUMPRODUCT((K24:K26&lt;=$B$6)*(L24:L26*AN400+M24:M26*AO400*$B$8*AQ400)/(1+AL400/100)^K24:K26)+L27*AN400*AP400/(1+AL400/100)^$B$6</f>
        <v/>
      </c>
      <c r="AT400">
        <f>AS400-AR400</f>
        <v/>
      </c>
      <c r="AU400">
        <f>RAND()</f>
        <v/>
      </c>
      <c r="AV400">
        <f>RAND()</f>
        <v/>
      </c>
      <c r="AW400">
        <f>RAND()</f>
        <v/>
      </c>
      <c r="AX400">
        <f>RAND()</f>
        <v/>
      </c>
      <c r="AY400">
        <f>RAND()</f>
        <v/>
      </c>
      <c r="AZ400">
        <f>RAND()</f>
        <v/>
      </c>
    </row>
    <row r="401">
      <c r="AK401" t="n">
        <v>388</v>
      </c>
      <c r="AL401">
        <f>IFERROR(IF(AU401&lt;($AM$6-$AL$6)/($AN$6-$AL$6),$AL$6+SQRT(AU401*($AN$6-$AL$6)*($AM$6-$AL$6)),$AN$6-SQRT((1-AU401)*($AN$6-$AL$6)*($AN$6-$AM$6))),$AM$6)</f>
        <v/>
      </c>
      <c r="AM401">
        <f>IFERROR(IF(AV401&lt;($AM$7-$AL$7)/($AN$7-$AL$7),$AL$7+SQRT(AV401*($AN$7-$AL$7)*($AM$7-$AL$7)),$AN$7-SQRT((1-AV401)*($AN$7-$AL$7)*($AN$7-$AM$7))),$AM$7)</f>
        <v/>
      </c>
      <c r="AN401">
        <f>IFERROR(IF(AW401&lt;($AM$8-$AL$8)/($AN$8-$AL$8),$AL$8+SQRT(AW401*($AN$8-$AL$8)*($AM$8-$AL$8)),$AN$8-SQRT((1-AW401)*($AN$8-$AL$8)*($AN$8-$AM$8))),$AM$8)</f>
        <v/>
      </c>
      <c r="AO401">
        <f>IFERROR(IF(AX401&lt;($AM$9-$AL$9)/($AN$9-$AL$9),$AL$9+SQRT(AX401*($AN$9-$AL$9)*($AM$9-$AL$9)),$AN$9-SQRT((1-AX401)*($AN$9-$AL$9)*($AN$9-$AM$9))),$AM$9)</f>
        <v/>
      </c>
      <c r="AP401">
        <f>IFERROR(IF(AY401&lt;($AM$10-$AL$10)/($AN$10-$AL$10),$AL$10+SQRT(AY401*($AN$10-$AL$10)*($AM$10-$AL$10)),$AN$10-SQRT((1-AY401)*($AN$10-$AL$10)*($AN$10-$AM$10))),$AM$10)</f>
        <v/>
      </c>
      <c r="AQ401">
        <f>IFERROR(IF(AZ401&lt;($AM$11-$AL$11)/($AN$11-$AL$11),$AL$11+SQRT(AZ401*($AN$11-$AL$11)*($AM$11-$AL$11)),$AN$11-SQRT((1-AZ401)*($AN$11-$AL$11)*($AN$11-$AM$11))),$AM$11)</f>
        <v/>
      </c>
      <c r="AR401">
        <f>SUMPRODUCT((B24:B31&lt;=$B$6)*(C24:C31*AM401+D24:D31*AO401*$B$8*AQ401)/(1+AL401/100)^B24:B31)+C32*AM401*AP401/(1+AL401/100)^$B$6</f>
        <v/>
      </c>
      <c r="AS401">
        <f>SUMPRODUCT((K24:K26&lt;=$B$6)*(L24:L26*AN401+M24:M26*AO401*$B$8*AQ401)/(1+AL401/100)^K24:K26)+L27*AN401*AP401/(1+AL401/100)^$B$6</f>
        <v/>
      </c>
      <c r="AT401">
        <f>AS401-AR401</f>
        <v/>
      </c>
      <c r="AU401">
        <f>RAND()</f>
        <v/>
      </c>
      <c r="AV401">
        <f>RAND()</f>
        <v/>
      </c>
      <c r="AW401">
        <f>RAND()</f>
        <v/>
      </c>
      <c r="AX401">
        <f>RAND()</f>
        <v/>
      </c>
      <c r="AY401">
        <f>RAND()</f>
        <v/>
      </c>
      <c r="AZ401">
        <f>RAND()</f>
        <v/>
      </c>
    </row>
    <row r="402">
      <c r="AK402" t="n">
        <v>389</v>
      </c>
      <c r="AL402">
        <f>IFERROR(IF(AU402&lt;($AM$6-$AL$6)/($AN$6-$AL$6),$AL$6+SQRT(AU402*($AN$6-$AL$6)*($AM$6-$AL$6)),$AN$6-SQRT((1-AU402)*($AN$6-$AL$6)*($AN$6-$AM$6))),$AM$6)</f>
        <v/>
      </c>
      <c r="AM402">
        <f>IFERROR(IF(AV402&lt;($AM$7-$AL$7)/($AN$7-$AL$7),$AL$7+SQRT(AV402*($AN$7-$AL$7)*($AM$7-$AL$7)),$AN$7-SQRT((1-AV402)*($AN$7-$AL$7)*($AN$7-$AM$7))),$AM$7)</f>
        <v/>
      </c>
      <c r="AN402">
        <f>IFERROR(IF(AW402&lt;($AM$8-$AL$8)/($AN$8-$AL$8),$AL$8+SQRT(AW402*($AN$8-$AL$8)*($AM$8-$AL$8)),$AN$8-SQRT((1-AW402)*($AN$8-$AL$8)*($AN$8-$AM$8))),$AM$8)</f>
        <v/>
      </c>
      <c r="AO402">
        <f>IFERROR(IF(AX402&lt;($AM$9-$AL$9)/($AN$9-$AL$9),$AL$9+SQRT(AX402*($AN$9-$AL$9)*($AM$9-$AL$9)),$AN$9-SQRT((1-AX402)*($AN$9-$AL$9)*($AN$9-$AM$9))),$AM$9)</f>
        <v/>
      </c>
      <c r="AP402">
        <f>IFERROR(IF(AY402&lt;($AM$10-$AL$10)/($AN$10-$AL$10),$AL$10+SQRT(AY402*($AN$10-$AL$10)*($AM$10-$AL$10)),$AN$10-SQRT((1-AY402)*($AN$10-$AL$10)*($AN$10-$AM$10))),$AM$10)</f>
        <v/>
      </c>
      <c r="AQ402">
        <f>IFERROR(IF(AZ402&lt;($AM$11-$AL$11)/($AN$11-$AL$11),$AL$11+SQRT(AZ402*($AN$11-$AL$11)*($AM$11-$AL$11)),$AN$11-SQRT((1-AZ402)*($AN$11-$AL$11)*($AN$11-$AM$11))),$AM$11)</f>
        <v/>
      </c>
      <c r="AR402">
        <f>SUMPRODUCT((B24:B31&lt;=$B$6)*(C24:C31*AM402+D24:D31*AO402*$B$8*AQ402)/(1+AL402/100)^B24:B31)+C32*AM402*AP402/(1+AL402/100)^$B$6</f>
        <v/>
      </c>
      <c r="AS402">
        <f>SUMPRODUCT((K24:K26&lt;=$B$6)*(L24:L26*AN402+M24:M26*AO402*$B$8*AQ402)/(1+AL402/100)^K24:K26)+L27*AN402*AP402/(1+AL402/100)^$B$6</f>
        <v/>
      </c>
      <c r="AT402">
        <f>AS402-AR402</f>
        <v/>
      </c>
      <c r="AU402">
        <f>RAND()</f>
        <v/>
      </c>
      <c r="AV402">
        <f>RAND()</f>
        <v/>
      </c>
      <c r="AW402">
        <f>RAND()</f>
        <v/>
      </c>
      <c r="AX402">
        <f>RAND()</f>
        <v/>
      </c>
      <c r="AY402">
        <f>RAND()</f>
        <v/>
      </c>
      <c r="AZ402">
        <f>RAND()</f>
        <v/>
      </c>
    </row>
    <row r="403">
      <c r="AK403" t="n">
        <v>390</v>
      </c>
      <c r="AL403">
        <f>IFERROR(IF(AU403&lt;($AM$6-$AL$6)/($AN$6-$AL$6),$AL$6+SQRT(AU403*($AN$6-$AL$6)*($AM$6-$AL$6)),$AN$6-SQRT((1-AU403)*($AN$6-$AL$6)*($AN$6-$AM$6))),$AM$6)</f>
        <v/>
      </c>
      <c r="AM403">
        <f>IFERROR(IF(AV403&lt;($AM$7-$AL$7)/($AN$7-$AL$7),$AL$7+SQRT(AV403*($AN$7-$AL$7)*($AM$7-$AL$7)),$AN$7-SQRT((1-AV403)*($AN$7-$AL$7)*($AN$7-$AM$7))),$AM$7)</f>
        <v/>
      </c>
      <c r="AN403">
        <f>IFERROR(IF(AW403&lt;($AM$8-$AL$8)/($AN$8-$AL$8),$AL$8+SQRT(AW403*($AN$8-$AL$8)*($AM$8-$AL$8)),$AN$8-SQRT((1-AW403)*($AN$8-$AL$8)*($AN$8-$AM$8))),$AM$8)</f>
        <v/>
      </c>
      <c r="AO403">
        <f>IFERROR(IF(AX403&lt;($AM$9-$AL$9)/($AN$9-$AL$9),$AL$9+SQRT(AX403*($AN$9-$AL$9)*($AM$9-$AL$9)),$AN$9-SQRT((1-AX403)*($AN$9-$AL$9)*($AN$9-$AM$9))),$AM$9)</f>
        <v/>
      </c>
      <c r="AP403">
        <f>IFERROR(IF(AY403&lt;($AM$10-$AL$10)/($AN$10-$AL$10),$AL$10+SQRT(AY403*($AN$10-$AL$10)*($AM$10-$AL$10)),$AN$10-SQRT((1-AY403)*($AN$10-$AL$10)*($AN$10-$AM$10))),$AM$10)</f>
        <v/>
      </c>
      <c r="AQ403">
        <f>IFERROR(IF(AZ403&lt;($AM$11-$AL$11)/($AN$11-$AL$11),$AL$11+SQRT(AZ403*($AN$11-$AL$11)*($AM$11-$AL$11)),$AN$11-SQRT((1-AZ403)*($AN$11-$AL$11)*($AN$11-$AM$11))),$AM$11)</f>
        <v/>
      </c>
      <c r="AR403">
        <f>SUMPRODUCT((B24:B31&lt;=$B$6)*(C24:C31*AM403+D24:D31*AO403*$B$8*AQ403)/(1+AL403/100)^B24:B31)+C32*AM403*AP403/(1+AL403/100)^$B$6</f>
        <v/>
      </c>
      <c r="AS403">
        <f>SUMPRODUCT((K24:K26&lt;=$B$6)*(L24:L26*AN403+M24:M26*AO403*$B$8*AQ403)/(1+AL403/100)^K24:K26)+L27*AN403*AP403/(1+AL403/100)^$B$6</f>
        <v/>
      </c>
      <c r="AT403">
        <f>AS403-AR403</f>
        <v/>
      </c>
      <c r="AU403">
        <f>RAND()</f>
        <v/>
      </c>
      <c r="AV403">
        <f>RAND()</f>
        <v/>
      </c>
      <c r="AW403">
        <f>RAND()</f>
        <v/>
      </c>
      <c r="AX403">
        <f>RAND()</f>
        <v/>
      </c>
      <c r="AY403">
        <f>RAND()</f>
        <v/>
      </c>
      <c r="AZ403">
        <f>RAND()</f>
        <v/>
      </c>
    </row>
    <row r="404">
      <c r="AK404" t="n">
        <v>391</v>
      </c>
      <c r="AL404">
        <f>IFERROR(IF(AU404&lt;($AM$6-$AL$6)/($AN$6-$AL$6),$AL$6+SQRT(AU404*($AN$6-$AL$6)*($AM$6-$AL$6)),$AN$6-SQRT((1-AU404)*($AN$6-$AL$6)*($AN$6-$AM$6))),$AM$6)</f>
        <v/>
      </c>
      <c r="AM404">
        <f>IFERROR(IF(AV404&lt;($AM$7-$AL$7)/($AN$7-$AL$7),$AL$7+SQRT(AV404*($AN$7-$AL$7)*($AM$7-$AL$7)),$AN$7-SQRT((1-AV404)*($AN$7-$AL$7)*($AN$7-$AM$7))),$AM$7)</f>
        <v/>
      </c>
      <c r="AN404">
        <f>IFERROR(IF(AW404&lt;($AM$8-$AL$8)/($AN$8-$AL$8),$AL$8+SQRT(AW404*($AN$8-$AL$8)*($AM$8-$AL$8)),$AN$8-SQRT((1-AW404)*($AN$8-$AL$8)*($AN$8-$AM$8))),$AM$8)</f>
        <v/>
      </c>
      <c r="AO404">
        <f>IFERROR(IF(AX404&lt;($AM$9-$AL$9)/($AN$9-$AL$9),$AL$9+SQRT(AX404*($AN$9-$AL$9)*($AM$9-$AL$9)),$AN$9-SQRT((1-AX404)*($AN$9-$AL$9)*($AN$9-$AM$9))),$AM$9)</f>
        <v/>
      </c>
      <c r="AP404">
        <f>IFERROR(IF(AY404&lt;($AM$10-$AL$10)/($AN$10-$AL$10),$AL$10+SQRT(AY404*($AN$10-$AL$10)*($AM$10-$AL$10)),$AN$10-SQRT((1-AY404)*($AN$10-$AL$10)*($AN$10-$AM$10))),$AM$10)</f>
        <v/>
      </c>
      <c r="AQ404">
        <f>IFERROR(IF(AZ404&lt;($AM$11-$AL$11)/($AN$11-$AL$11),$AL$11+SQRT(AZ404*($AN$11-$AL$11)*($AM$11-$AL$11)),$AN$11-SQRT((1-AZ404)*($AN$11-$AL$11)*($AN$11-$AM$11))),$AM$11)</f>
        <v/>
      </c>
      <c r="AR404">
        <f>SUMPRODUCT((B24:B31&lt;=$B$6)*(C24:C31*AM404+D24:D31*AO404*$B$8*AQ404)/(1+AL404/100)^B24:B31)+C32*AM404*AP404/(1+AL404/100)^$B$6</f>
        <v/>
      </c>
      <c r="AS404">
        <f>SUMPRODUCT((K24:K26&lt;=$B$6)*(L24:L26*AN404+M24:M26*AO404*$B$8*AQ404)/(1+AL404/100)^K24:K26)+L27*AN404*AP404/(1+AL404/100)^$B$6</f>
        <v/>
      </c>
      <c r="AT404">
        <f>AS404-AR404</f>
        <v/>
      </c>
      <c r="AU404">
        <f>RAND()</f>
        <v/>
      </c>
      <c r="AV404">
        <f>RAND()</f>
        <v/>
      </c>
      <c r="AW404">
        <f>RAND()</f>
        <v/>
      </c>
      <c r="AX404">
        <f>RAND()</f>
        <v/>
      </c>
      <c r="AY404">
        <f>RAND()</f>
        <v/>
      </c>
      <c r="AZ404">
        <f>RAND()</f>
        <v/>
      </c>
    </row>
    <row r="405">
      <c r="AK405" t="n">
        <v>392</v>
      </c>
      <c r="AL405">
        <f>IFERROR(IF(AU405&lt;($AM$6-$AL$6)/($AN$6-$AL$6),$AL$6+SQRT(AU405*($AN$6-$AL$6)*($AM$6-$AL$6)),$AN$6-SQRT((1-AU405)*($AN$6-$AL$6)*($AN$6-$AM$6))),$AM$6)</f>
        <v/>
      </c>
      <c r="AM405">
        <f>IFERROR(IF(AV405&lt;($AM$7-$AL$7)/($AN$7-$AL$7),$AL$7+SQRT(AV405*($AN$7-$AL$7)*($AM$7-$AL$7)),$AN$7-SQRT((1-AV405)*($AN$7-$AL$7)*($AN$7-$AM$7))),$AM$7)</f>
        <v/>
      </c>
      <c r="AN405">
        <f>IFERROR(IF(AW405&lt;($AM$8-$AL$8)/($AN$8-$AL$8),$AL$8+SQRT(AW405*($AN$8-$AL$8)*($AM$8-$AL$8)),$AN$8-SQRT((1-AW405)*($AN$8-$AL$8)*($AN$8-$AM$8))),$AM$8)</f>
        <v/>
      </c>
      <c r="AO405">
        <f>IFERROR(IF(AX405&lt;($AM$9-$AL$9)/($AN$9-$AL$9),$AL$9+SQRT(AX405*($AN$9-$AL$9)*($AM$9-$AL$9)),$AN$9-SQRT((1-AX405)*($AN$9-$AL$9)*($AN$9-$AM$9))),$AM$9)</f>
        <v/>
      </c>
      <c r="AP405">
        <f>IFERROR(IF(AY405&lt;($AM$10-$AL$10)/($AN$10-$AL$10),$AL$10+SQRT(AY405*($AN$10-$AL$10)*($AM$10-$AL$10)),$AN$10-SQRT((1-AY405)*($AN$10-$AL$10)*($AN$10-$AM$10))),$AM$10)</f>
        <v/>
      </c>
      <c r="AQ405">
        <f>IFERROR(IF(AZ405&lt;($AM$11-$AL$11)/($AN$11-$AL$11),$AL$11+SQRT(AZ405*($AN$11-$AL$11)*($AM$11-$AL$11)),$AN$11-SQRT((1-AZ405)*($AN$11-$AL$11)*($AN$11-$AM$11))),$AM$11)</f>
        <v/>
      </c>
      <c r="AR405">
        <f>SUMPRODUCT((B24:B31&lt;=$B$6)*(C24:C31*AM405+D24:D31*AO405*$B$8*AQ405)/(1+AL405/100)^B24:B31)+C32*AM405*AP405/(1+AL405/100)^$B$6</f>
        <v/>
      </c>
      <c r="AS405">
        <f>SUMPRODUCT((K24:K26&lt;=$B$6)*(L24:L26*AN405+M24:M26*AO405*$B$8*AQ405)/(1+AL405/100)^K24:K26)+L27*AN405*AP405/(1+AL405/100)^$B$6</f>
        <v/>
      </c>
      <c r="AT405">
        <f>AS405-AR405</f>
        <v/>
      </c>
      <c r="AU405">
        <f>RAND()</f>
        <v/>
      </c>
      <c r="AV405">
        <f>RAND()</f>
        <v/>
      </c>
      <c r="AW405">
        <f>RAND()</f>
        <v/>
      </c>
      <c r="AX405">
        <f>RAND()</f>
        <v/>
      </c>
      <c r="AY405">
        <f>RAND()</f>
        <v/>
      </c>
      <c r="AZ405">
        <f>RAND()</f>
        <v/>
      </c>
    </row>
    <row r="406">
      <c r="AK406" t="n">
        <v>393</v>
      </c>
      <c r="AL406">
        <f>IFERROR(IF(AU406&lt;($AM$6-$AL$6)/($AN$6-$AL$6),$AL$6+SQRT(AU406*($AN$6-$AL$6)*($AM$6-$AL$6)),$AN$6-SQRT((1-AU406)*($AN$6-$AL$6)*($AN$6-$AM$6))),$AM$6)</f>
        <v/>
      </c>
      <c r="AM406">
        <f>IFERROR(IF(AV406&lt;($AM$7-$AL$7)/($AN$7-$AL$7),$AL$7+SQRT(AV406*($AN$7-$AL$7)*($AM$7-$AL$7)),$AN$7-SQRT((1-AV406)*($AN$7-$AL$7)*($AN$7-$AM$7))),$AM$7)</f>
        <v/>
      </c>
      <c r="AN406">
        <f>IFERROR(IF(AW406&lt;($AM$8-$AL$8)/($AN$8-$AL$8),$AL$8+SQRT(AW406*($AN$8-$AL$8)*($AM$8-$AL$8)),$AN$8-SQRT((1-AW406)*($AN$8-$AL$8)*($AN$8-$AM$8))),$AM$8)</f>
        <v/>
      </c>
      <c r="AO406">
        <f>IFERROR(IF(AX406&lt;($AM$9-$AL$9)/($AN$9-$AL$9),$AL$9+SQRT(AX406*($AN$9-$AL$9)*($AM$9-$AL$9)),$AN$9-SQRT((1-AX406)*($AN$9-$AL$9)*($AN$9-$AM$9))),$AM$9)</f>
        <v/>
      </c>
      <c r="AP406">
        <f>IFERROR(IF(AY406&lt;($AM$10-$AL$10)/($AN$10-$AL$10),$AL$10+SQRT(AY406*($AN$10-$AL$10)*($AM$10-$AL$10)),$AN$10-SQRT((1-AY406)*($AN$10-$AL$10)*($AN$10-$AM$10))),$AM$10)</f>
        <v/>
      </c>
      <c r="AQ406">
        <f>IFERROR(IF(AZ406&lt;($AM$11-$AL$11)/($AN$11-$AL$11),$AL$11+SQRT(AZ406*($AN$11-$AL$11)*($AM$11-$AL$11)),$AN$11-SQRT((1-AZ406)*($AN$11-$AL$11)*($AN$11-$AM$11))),$AM$11)</f>
        <v/>
      </c>
      <c r="AR406">
        <f>SUMPRODUCT((B24:B31&lt;=$B$6)*(C24:C31*AM406+D24:D31*AO406*$B$8*AQ406)/(1+AL406/100)^B24:B31)+C32*AM406*AP406/(1+AL406/100)^$B$6</f>
        <v/>
      </c>
      <c r="AS406">
        <f>SUMPRODUCT((K24:K26&lt;=$B$6)*(L24:L26*AN406+M24:M26*AO406*$B$8*AQ406)/(1+AL406/100)^K24:K26)+L27*AN406*AP406/(1+AL406/100)^$B$6</f>
        <v/>
      </c>
      <c r="AT406">
        <f>AS406-AR406</f>
        <v/>
      </c>
      <c r="AU406">
        <f>RAND()</f>
        <v/>
      </c>
      <c r="AV406">
        <f>RAND()</f>
        <v/>
      </c>
      <c r="AW406">
        <f>RAND()</f>
        <v/>
      </c>
      <c r="AX406">
        <f>RAND()</f>
        <v/>
      </c>
      <c r="AY406">
        <f>RAND()</f>
        <v/>
      </c>
      <c r="AZ406">
        <f>RAND()</f>
        <v/>
      </c>
    </row>
    <row r="407">
      <c r="AK407" t="n">
        <v>394</v>
      </c>
      <c r="AL407">
        <f>IFERROR(IF(AU407&lt;($AM$6-$AL$6)/($AN$6-$AL$6),$AL$6+SQRT(AU407*($AN$6-$AL$6)*($AM$6-$AL$6)),$AN$6-SQRT((1-AU407)*($AN$6-$AL$6)*($AN$6-$AM$6))),$AM$6)</f>
        <v/>
      </c>
      <c r="AM407">
        <f>IFERROR(IF(AV407&lt;($AM$7-$AL$7)/($AN$7-$AL$7),$AL$7+SQRT(AV407*($AN$7-$AL$7)*($AM$7-$AL$7)),$AN$7-SQRT((1-AV407)*($AN$7-$AL$7)*($AN$7-$AM$7))),$AM$7)</f>
        <v/>
      </c>
      <c r="AN407">
        <f>IFERROR(IF(AW407&lt;($AM$8-$AL$8)/($AN$8-$AL$8),$AL$8+SQRT(AW407*($AN$8-$AL$8)*($AM$8-$AL$8)),$AN$8-SQRT((1-AW407)*($AN$8-$AL$8)*($AN$8-$AM$8))),$AM$8)</f>
        <v/>
      </c>
      <c r="AO407">
        <f>IFERROR(IF(AX407&lt;($AM$9-$AL$9)/($AN$9-$AL$9),$AL$9+SQRT(AX407*($AN$9-$AL$9)*($AM$9-$AL$9)),$AN$9-SQRT((1-AX407)*($AN$9-$AL$9)*($AN$9-$AM$9))),$AM$9)</f>
        <v/>
      </c>
      <c r="AP407">
        <f>IFERROR(IF(AY407&lt;($AM$10-$AL$10)/($AN$10-$AL$10),$AL$10+SQRT(AY407*($AN$10-$AL$10)*($AM$10-$AL$10)),$AN$10-SQRT((1-AY407)*($AN$10-$AL$10)*($AN$10-$AM$10))),$AM$10)</f>
        <v/>
      </c>
      <c r="AQ407">
        <f>IFERROR(IF(AZ407&lt;($AM$11-$AL$11)/($AN$11-$AL$11),$AL$11+SQRT(AZ407*($AN$11-$AL$11)*($AM$11-$AL$11)),$AN$11-SQRT((1-AZ407)*($AN$11-$AL$11)*($AN$11-$AM$11))),$AM$11)</f>
        <v/>
      </c>
      <c r="AR407">
        <f>SUMPRODUCT((B24:B31&lt;=$B$6)*(C24:C31*AM407+D24:D31*AO407*$B$8*AQ407)/(1+AL407/100)^B24:B31)+C32*AM407*AP407/(1+AL407/100)^$B$6</f>
        <v/>
      </c>
      <c r="AS407">
        <f>SUMPRODUCT((K24:K26&lt;=$B$6)*(L24:L26*AN407+M24:M26*AO407*$B$8*AQ407)/(1+AL407/100)^K24:K26)+L27*AN407*AP407/(1+AL407/100)^$B$6</f>
        <v/>
      </c>
      <c r="AT407">
        <f>AS407-AR407</f>
        <v/>
      </c>
      <c r="AU407">
        <f>RAND()</f>
        <v/>
      </c>
      <c r="AV407">
        <f>RAND()</f>
        <v/>
      </c>
      <c r="AW407">
        <f>RAND()</f>
        <v/>
      </c>
      <c r="AX407">
        <f>RAND()</f>
        <v/>
      </c>
      <c r="AY407">
        <f>RAND()</f>
        <v/>
      </c>
      <c r="AZ407">
        <f>RAND()</f>
        <v/>
      </c>
    </row>
    <row r="408">
      <c r="AK408" t="n">
        <v>395</v>
      </c>
      <c r="AL408">
        <f>IFERROR(IF(AU408&lt;($AM$6-$AL$6)/($AN$6-$AL$6),$AL$6+SQRT(AU408*($AN$6-$AL$6)*($AM$6-$AL$6)),$AN$6-SQRT((1-AU408)*($AN$6-$AL$6)*($AN$6-$AM$6))),$AM$6)</f>
        <v/>
      </c>
      <c r="AM408">
        <f>IFERROR(IF(AV408&lt;($AM$7-$AL$7)/($AN$7-$AL$7),$AL$7+SQRT(AV408*($AN$7-$AL$7)*($AM$7-$AL$7)),$AN$7-SQRT((1-AV408)*($AN$7-$AL$7)*($AN$7-$AM$7))),$AM$7)</f>
        <v/>
      </c>
      <c r="AN408">
        <f>IFERROR(IF(AW408&lt;($AM$8-$AL$8)/($AN$8-$AL$8),$AL$8+SQRT(AW408*($AN$8-$AL$8)*($AM$8-$AL$8)),$AN$8-SQRT((1-AW408)*($AN$8-$AL$8)*($AN$8-$AM$8))),$AM$8)</f>
        <v/>
      </c>
      <c r="AO408">
        <f>IFERROR(IF(AX408&lt;($AM$9-$AL$9)/($AN$9-$AL$9),$AL$9+SQRT(AX408*($AN$9-$AL$9)*($AM$9-$AL$9)),$AN$9-SQRT((1-AX408)*($AN$9-$AL$9)*($AN$9-$AM$9))),$AM$9)</f>
        <v/>
      </c>
      <c r="AP408">
        <f>IFERROR(IF(AY408&lt;($AM$10-$AL$10)/($AN$10-$AL$10),$AL$10+SQRT(AY408*($AN$10-$AL$10)*($AM$10-$AL$10)),$AN$10-SQRT((1-AY408)*($AN$10-$AL$10)*($AN$10-$AM$10))),$AM$10)</f>
        <v/>
      </c>
      <c r="AQ408">
        <f>IFERROR(IF(AZ408&lt;($AM$11-$AL$11)/($AN$11-$AL$11),$AL$11+SQRT(AZ408*($AN$11-$AL$11)*($AM$11-$AL$11)),$AN$11-SQRT((1-AZ408)*($AN$11-$AL$11)*($AN$11-$AM$11))),$AM$11)</f>
        <v/>
      </c>
      <c r="AR408">
        <f>SUMPRODUCT((B24:B31&lt;=$B$6)*(C24:C31*AM408+D24:D31*AO408*$B$8*AQ408)/(1+AL408/100)^B24:B31)+C32*AM408*AP408/(1+AL408/100)^$B$6</f>
        <v/>
      </c>
      <c r="AS408">
        <f>SUMPRODUCT((K24:K26&lt;=$B$6)*(L24:L26*AN408+M24:M26*AO408*$B$8*AQ408)/(1+AL408/100)^K24:K26)+L27*AN408*AP408/(1+AL408/100)^$B$6</f>
        <v/>
      </c>
      <c r="AT408">
        <f>AS408-AR408</f>
        <v/>
      </c>
      <c r="AU408">
        <f>RAND()</f>
        <v/>
      </c>
      <c r="AV408">
        <f>RAND()</f>
        <v/>
      </c>
      <c r="AW408">
        <f>RAND()</f>
        <v/>
      </c>
      <c r="AX408">
        <f>RAND()</f>
        <v/>
      </c>
      <c r="AY408">
        <f>RAND()</f>
        <v/>
      </c>
      <c r="AZ408">
        <f>RAND()</f>
        <v/>
      </c>
    </row>
    <row r="409">
      <c r="AK409" t="n">
        <v>396</v>
      </c>
      <c r="AL409">
        <f>IFERROR(IF(AU409&lt;($AM$6-$AL$6)/($AN$6-$AL$6),$AL$6+SQRT(AU409*($AN$6-$AL$6)*($AM$6-$AL$6)),$AN$6-SQRT((1-AU409)*($AN$6-$AL$6)*($AN$6-$AM$6))),$AM$6)</f>
        <v/>
      </c>
      <c r="AM409">
        <f>IFERROR(IF(AV409&lt;($AM$7-$AL$7)/($AN$7-$AL$7),$AL$7+SQRT(AV409*($AN$7-$AL$7)*($AM$7-$AL$7)),$AN$7-SQRT((1-AV409)*($AN$7-$AL$7)*($AN$7-$AM$7))),$AM$7)</f>
        <v/>
      </c>
      <c r="AN409">
        <f>IFERROR(IF(AW409&lt;($AM$8-$AL$8)/($AN$8-$AL$8),$AL$8+SQRT(AW409*($AN$8-$AL$8)*($AM$8-$AL$8)),$AN$8-SQRT((1-AW409)*($AN$8-$AL$8)*($AN$8-$AM$8))),$AM$8)</f>
        <v/>
      </c>
      <c r="AO409">
        <f>IFERROR(IF(AX409&lt;($AM$9-$AL$9)/($AN$9-$AL$9),$AL$9+SQRT(AX409*($AN$9-$AL$9)*($AM$9-$AL$9)),$AN$9-SQRT((1-AX409)*($AN$9-$AL$9)*($AN$9-$AM$9))),$AM$9)</f>
        <v/>
      </c>
      <c r="AP409">
        <f>IFERROR(IF(AY409&lt;($AM$10-$AL$10)/($AN$10-$AL$10),$AL$10+SQRT(AY409*($AN$10-$AL$10)*($AM$10-$AL$10)),$AN$10-SQRT((1-AY409)*($AN$10-$AL$10)*($AN$10-$AM$10))),$AM$10)</f>
        <v/>
      </c>
      <c r="AQ409">
        <f>IFERROR(IF(AZ409&lt;($AM$11-$AL$11)/($AN$11-$AL$11),$AL$11+SQRT(AZ409*($AN$11-$AL$11)*($AM$11-$AL$11)),$AN$11-SQRT((1-AZ409)*($AN$11-$AL$11)*($AN$11-$AM$11))),$AM$11)</f>
        <v/>
      </c>
      <c r="AR409">
        <f>SUMPRODUCT((B24:B31&lt;=$B$6)*(C24:C31*AM409+D24:D31*AO409*$B$8*AQ409)/(1+AL409/100)^B24:B31)+C32*AM409*AP409/(1+AL409/100)^$B$6</f>
        <v/>
      </c>
      <c r="AS409">
        <f>SUMPRODUCT((K24:K26&lt;=$B$6)*(L24:L26*AN409+M24:M26*AO409*$B$8*AQ409)/(1+AL409/100)^K24:K26)+L27*AN409*AP409/(1+AL409/100)^$B$6</f>
        <v/>
      </c>
      <c r="AT409">
        <f>AS409-AR409</f>
        <v/>
      </c>
      <c r="AU409">
        <f>RAND()</f>
        <v/>
      </c>
      <c r="AV409">
        <f>RAND()</f>
        <v/>
      </c>
      <c r="AW409">
        <f>RAND()</f>
        <v/>
      </c>
      <c r="AX409">
        <f>RAND()</f>
        <v/>
      </c>
      <c r="AY409">
        <f>RAND()</f>
        <v/>
      </c>
      <c r="AZ409">
        <f>RAND()</f>
        <v/>
      </c>
    </row>
    <row r="410">
      <c r="AK410" t="n">
        <v>397</v>
      </c>
      <c r="AL410">
        <f>IFERROR(IF(AU410&lt;($AM$6-$AL$6)/($AN$6-$AL$6),$AL$6+SQRT(AU410*($AN$6-$AL$6)*($AM$6-$AL$6)),$AN$6-SQRT((1-AU410)*($AN$6-$AL$6)*($AN$6-$AM$6))),$AM$6)</f>
        <v/>
      </c>
      <c r="AM410">
        <f>IFERROR(IF(AV410&lt;($AM$7-$AL$7)/($AN$7-$AL$7),$AL$7+SQRT(AV410*($AN$7-$AL$7)*($AM$7-$AL$7)),$AN$7-SQRT((1-AV410)*($AN$7-$AL$7)*($AN$7-$AM$7))),$AM$7)</f>
        <v/>
      </c>
      <c r="AN410">
        <f>IFERROR(IF(AW410&lt;($AM$8-$AL$8)/($AN$8-$AL$8),$AL$8+SQRT(AW410*($AN$8-$AL$8)*($AM$8-$AL$8)),$AN$8-SQRT((1-AW410)*($AN$8-$AL$8)*($AN$8-$AM$8))),$AM$8)</f>
        <v/>
      </c>
      <c r="AO410">
        <f>IFERROR(IF(AX410&lt;($AM$9-$AL$9)/($AN$9-$AL$9),$AL$9+SQRT(AX410*($AN$9-$AL$9)*($AM$9-$AL$9)),$AN$9-SQRT((1-AX410)*($AN$9-$AL$9)*($AN$9-$AM$9))),$AM$9)</f>
        <v/>
      </c>
      <c r="AP410">
        <f>IFERROR(IF(AY410&lt;($AM$10-$AL$10)/($AN$10-$AL$10),$AL$10+SQRT(AY410*($AN$10-$AL$10)*($AM$10-$AL$10)),$AN$10-SQRT((1-AY410)*($AN$10-$AL$10)*($AN$10-$AM$10))),$AM$10)</f>
        <v/>
      </c>
      <c r="AQ410">
        <f>IFERROR(IF(AZ410&lt;($AM$11-$AL$11)/($AN$11-$AL$11),$AL$11+SQRT(AZ410*($AN$11-$AL$11)*($AM$11-$AL$11)),$AN$11-SQRT((1-AZ410)*($AN$11-$AL$11)*($AN$11-$AM$11))),$AM$11)</f>
        <v/>
      </c>
      <c r="AR410">
        <f>SUMPRODUCT((B24:B31&lt;=$B$6)*(C24:C31*AM410+D24:D31*AO410*$B$8*AQ410)/(1+AL410/100)^B24:B31)+C32*AM410*AP410/(1+AL410/100)^$B$6</f>
        <v/>
      </c>
      <c r="AS410">
        <f>SUMPRODUCT((K24:K26&lt;=$B$6)*(L24:L26*AN410+M24:M26*AO410*$B$8*AQ410)/(1+AL410/100)^K24:K26)+L27*AN410*AP410/(1+AL410/100)^$B$6</f>
        <v/>
      </c>
      <c r="AT410">
        <f>AS410-AR410</f>
        <v/>
      </c>
      <c r="AU410">
        <f>RAND()</f>
        <v/>
      </c>
      <c r="AV410">
        <f>RAND()</f>
        <v/>
      </c>
      <c r="AW410">
        <f>RAND()</f>
        <v/>
      </c>
      <c r="AX410">
        <f>RAND()</f>
        <v/>
      </c>
      <c r="AY410">
        <f>RAND()</f>
        <v/>
      </c>
      <c r="AZ410">
        <f>RAND()</f>
        <v/>
      </c>
    </row>
    <row r="411">
      <c r="AK411" t="n">
        <v>398</v>
      </c>
      <c r="AL411">
        <f>IFERROR(IF(AU411&lt;($AM$6-$AL$6)/($AN$6-$AL$6),$AL$6+SQRT(AU411*($AN$6-$AL$6)*($AM$6-$AL$6)),$AN$6-SQRT((1-AU411)*($AN$6-$AL$6)*($AN$6-$AM$6))),$AM$6)</f>
        <v/>
      </c>
      <c r="AM411">
        <f>IFERROR(IF(AV411&lt;($AM$7-$AL$7)/($AN$7-$AL$7),$AL$7+SQRT(AV411*($AN$7-$AL$7)*($AM$7-$AL$7)),$AN$7-SQRT((1-AV411)*($AN$7-$AL$7)*($AN$7-$AM$7))),$AM$7)</f>
        <v/>
      </c>
      <c r="AN411">
        <f>IFERROR(IF(AW411&lt;($AM$8-$AL$8)/($AN$8-$AL$8),$AL$8+SQRT(AW411*($AN$8-$AL$8)*($AM$8-$AL$8)),$AN$8-SQRT((1-AW411)*($AN$8-$AL$8)*($AN$8-$AM$8))),$AM$8)</f>
        <v/>
      </c>
      <c r="AO411">
        <f>IFERROR(IF(AX411&lt;($AM$9-$AL$9)/($AN$9-$AL$9),$AL$9+SQRT(AX411*($AN$9-$AL$9)*($AM$9-$AL$9)),$AN$9-SQRT((1-AX411)*($AN$9-$AL$9)*($AN$9-$AM$9))),$AM$9)</f>
        <v/>
      </c>
      <c r="AP411">
        <f>IFERROR(IF(AY411&lt;($AM$10-$AL$10)/($AN$10-$AL$10),$AL$10+SQRT(AY411*($AN$10-$AL$10)*($AM$10-$AL$10)),$AN$10-SQRT((1-AY411)*($AN$10-$AL$10)*($AN$10-$AM$10))),$AM$10)</f>
        <v/>
      </c>
      <c r="AQ411">
        <f>IFERROR(IF(AZ411&lt;($AM$11-$AL$11)/($AN$11-$AL$11),$AL$11+SQRT(AZ411*($AN$11-$AL$11)*($AM$11-$AL$11)),$AN$11-SQRT((1-AZ411)*($AN$11-$AL$11)*($AN$11-$AM$11))),$AM$11)</f>
        <v/>
      </c>
      <c r="AR411">
        <f>SUMPRODUCT((B24:B31&lt;=$B$6)*(C24:C31*AM411+D24:D31*AO411*$B$8*AQ411)/(1+AL411/100)^B24:B31)+C32*AM411*AP411/(1+AL411/100)^$B$6</f>
        <v/>
      </c>
      <c r="AS411">
        <f>SUMPRODUCT((K24:K26&lt;=$B$6)*(L24:L26*AN411+M24:M26*AO411*$B$8*AQ411)/(1+AL411/100)^K24:K26)+L27*AN411*AP411/(1+AL411/100)^$B$6</f>
        <v/>
      </c>
      <c r="AT411">
        <f>AS411-AR411</f>
        <v/>
      </c>
      <c r="AU411">
        <f>RAND()</f>
        <v/>
      </c>
      <c r="AV411">
        <f>RAND()</f>
        <v/>
      </c>
      <c r="AW411">
        <f>RAND()</f>
        <v/>
      </c>
      <c r="AX411">
        <f>RAND()</f>
        <v/>
      </c>
      <c r="AY411">
        <f>RAND()</f>
        <v/>
      </c>
      <c r="AZ411">
        <f>RAND()</f>
        <v/>
      </c>
    </row>
    <row r="412">
      <c r="AK412" t="n">
        <v>399</v>
      </c>
      <c r="AL412">
        <f>IFERROR(IF(AU412&lt;($AM$6-$AL$6)/($AN$6-$AL$6),$AL$6+SQRT(AU412*($AN$6-$AL$6)*($AM$6-$AL$6)),$AN$6-SQRT((1-AU412)*($AN$6-$AL$6)*($AN$6-$AM$6))),$AM$6)</f>
        <v/>
      </c>
      <c r="AM412">
        <f>IFERROR(IF(AV412&lt;($AM$7-$AL$7)/($AN$7-$AL$7),$AL$7+SQRT(AV412*($AN$7-$AL$7)*($AM$7-$AL$7)),$AN$7-SQRT((1-AV412)*($AN$7-$AL$7)*($AN$7-$AM$7))),$AM$7)</f>
        <v/>
      </c>
      <c r="AN412">
        <f>IFERROR(IF(AW412&lt;($AM$8-$AL$8)/($AN$8-$AL$8),$AL$8+SQRT(AW412*($AN$8-$AL$8)*($AM$8-$AL$8)),$AN$8-SQRT((1-AW412)*($AN$8-$AL$8)*($AN$8-$AM$8))),$AM$8)</f>
        <v/>
      </c>
      <c r="AO412">
        <f>IFERROR(IF(AX412&lt;($AM$9-$AL$9)/($AN$9-$AL$9),$AL$9+SQRT(AX412*($AN$9-$AL$9)*($AM$9-$AL$9)),$AN$9-SQRT((1-AX412)*($AN$9-$AL$9)*($AN$9-$AM$9))),$AM$9)</f>
        <v/>
      </c>
      <c r="AP412">
        <f>IFERROR(IF(AY412&lt;($AM$10-$AL$10)/($AN$10-$AL$10),$AL$10+SQRT(AY412*($AN$10-$AL$10)*($AM$10-$AL$10)),$AN$10-SQRT((1-AY412)*($AN$10-$AL$10)*($AN$10-$AM$10))),$AM$10)</f>
        <v/>
      </c>
      <c r="AQ412">
        <f>IFERROR(IF(AZ412&lt;($AM$11-$AL$11)/($AN$11-$AL$11),$AL$11+SQRT(AZ412*($AN$11-$AL$11)*($AM$11-$AL$11)),$AN$11-SQRT((1-AZ412)*($AN$11-$AL$11)*($AN$11-$AM$11))),$AM$11)</f>
        <v/>
      </c>
      <c r="AR412">
        <f>SUMPRODUCT((B24:B31&lt;=$B$6)*(C24:C31*AM412+D24:D31*AO412*$B$8*AQ412)/(1+AL412/100)^B24:B31)+C32*AM412*AP412/(1+AL412/100)^$B$6</f>
        <v/>
      </c>
      <c r="AS412">
        <f>SUMPRODUCT((K24:K26&lt;=$B$6)*(L24:L26*AN412+M24:M26*AO412*$B$8*AQ412)/(1+AL412/100)^K24:K26)+L27*AN412*AP412/(1+AL412/100)^$B$6</f>
        <v/>
      </c>
      <c r="AT412">
        <f>AS412-AR412</f>
        <v/>
      </c>
      <c r="AU412">
        <f>RAND()</f>
        <v/>
      </c>
      <c r="AV412">
        <f>RAND()</f>
        <v/>
      </c>
      <c r="AW412">
        <f>RAND()</f>
        <v/>
      </c>
      <c r="AX412">
        <f>RAND()</f>
        <v/>
      </c>
      <c r="AY412">
        <f>RAND()</f>
        <v/>
      </c>
      <c r="AZ412">
        <f>RAND()</f>
        <v/>
      </c>
    </row>
    <row r="413">
      <c r="AK413" t="n">
        <v>400</v>
      </c>
      <c r="AL413">
        <f>IFERROR(IF(AU413&lt;($AM$6-$AL$6)/($AN$6-$AL$6),$AL$6+SQRT(AU413*($AN$6-$AL$6)*($AM$6-$AL$6)),$AN$6-SQRT((1-AU413)*($AN$6-$AL$6)*($AN$6-$AM$6))),$AM$6)</f>
        <v/>
      </c>
      <c r="AM413">
        <f>IFERROR(IF(AV413&lt;($AM$7-$AL$7)/($AN$7-$AL$7),$AL$7+SQRT(AV413*($AN$7-$AL$7)*($AM$7-$AL$7)),$AN$7-SQRT((1-AV413)*($AN$7-$AL$7)*($AN$7-$AM$7))),$AM$7)</f>
        <v/>
      </c>
      <c r="AN413">
        <f>IFERROR(IF(AW413&lt;($AM$8-$AL$8)/($AN$8-$AL$8),$AL$8+SQRT(AW413*($AN$8-$AL$8)*($AM$8-$AL$8)),$AN$8-SQRT((1-AW413)*($AN$8-$AL$8)*($AN$8-$AM$8))),$AM$8)</f>
        <v/>
      </c>
      <c r="AO413">
        <f>IFERROR(IF(AX413&lt;($AM$9-$AL$9)/($AN$9-$AL$9),$AL$9+SQRT(AX413*($AN$9-$AL$9)*($AM$9-$AL$9)),$AN$9-SQRT((1-AX413)*($AN$9-$AL$9)*($AN$9-$AM$9))),$AM$9)</f>
        <v/>
      </c>
      <c r="AP413">
        <f>IFERROR(IF(AY413&lt;($AM$10-$AL$10)/($AN$10-$AL$10),$AL$10+SQRT(AY413*($AN$10-$AL$10)*($AM$10-$AL$10)),$AN$10-SQRT((1-AY413)*($AN$10-$AL$10)*($AN$10-$AM$10))),$AM$10)</f>
        <v/>
      </c>
      <c r="AQ413">
        <f>IFERROR(IF(AZ413&lt;($AM$11-$AL$11)/($AN$11-$AL$11),$AL$11+SQRT(AZ413*($AN$11-$AL$11)*($AM$11-$AL$11)),$AN$11-SQRT((1-AZ413)*($AN$11-$AL$11)*($AN$11-$AM$11))),$AM$11)</f>
        <v/>
      </c>
      <c r="AR413">
        <f>SUMPRODUCT((B24:B31&lt;=$B$6)*(C24:C31*AM413+D24:D31*AO413*$B$8*AQ413)/(1+AL413/100)^B24:B31)+C32*AM413*AP413/(1+AL413/100)^$B$6</f>
        <v/>
      </c>
      <c r="AS413">
        <f>SUMPRODUCT((K24:K26&lt;=$B$6)*(L24:L26*AN413+M24:M26*AO413*$B$8*AQ413)/(1+AL413/100)^K24:K26)+L27*AN413*AP413/(1+AL413/100)^$B$6</f>
        <v/>
      </c>
      <c r="AT413">
        <f>AS413-AR413</f>
        <v/>
      </c>
      <c r="AU413">
        <f>RAND()</f>
        <v/>
      </c>
      <c r="AV413">
        <f>RAND()</f>
        <v/>
      </c>
      <c r="AW413">
        <f>RAND()</f>
        <v/>
      </c>
      <c r="AX413">
        <f>RAND()</f>
        <v/>
      </c>
      <c r="AY413">
        <f>RAND()</f>
        <v/>
      </c>
      <c r="AZ413">
        <f>RAND()</f>
        <v/>
      </c>
    </row>
    <row r="414">
      <c r="AK414" t="n">
        <v>401</v>
      </c>
      <c r="AL414">
        <f>IFERROR(IF(AU414&lt;($AM$6-$AL$6)/($AN$6-$AL$6),$AL$6+SQRT(AU414*($AN$6-$AL$6)*($AM$6-$AL$6)),$AN$6-SQRT((1-AU414)*($AN$6-$AL$6)*($AN$6-$AM$6))),$AM$6)</f>
        <v/>
      </c>
      <c r="AM414">
        <f>IFERROR(IF(AV414&lt;($AM$7-$AL$7)/($AN$7-$AL$7),$AL$7+SQRT(AV414*($AN$7-$AL$7)*($AM$7-$AL$7)),$AN$7-SQRT((1-AV414)*($AN$7-$AL$7)*($AN$7-$AM$7))),$AM$7)</f>
        <v/>
      </c>
      <c r="AN414">
        <f>IFERROR(IF(AW414&lt;($AM$8-$AL$8)/($AN$8-$AL$8),$AL$8+SQRT(AW414*($AN$8-$AL$8)*($AM$8-$AL$8)),$AN$8-SQRT((1-AW414)*($AN$8-$AL$8)*($AN$8-$AM$8))),$AM$8)</f>
        <v/>
      </c>
      <c r="AO414">
        <f>IFERROR(IF(AX414&lt;($AM$9-$AL$9)/($AN$9-$AL$9),$AL$9+SQRT(AX414*($AN$9-$AL$9)*($AM$9-$AL$9)),$AN$9-SQRT((1-AX414)*($AN$9-$AL$9)*($AN$9-$AM$9))),$AM$9)</f>
        <v/>
      </c>
      <c r="AP414">
        <f>IFERROR(IF(AY414&lt;($AM$10-$AL$10)/($AN$10-$AL$10),$AL$10+SQRT(AY414*($AN$10-$AL$10)*($AM$10-$AL$10)),$AN$10-SQRT((1-AY414)*($AN$10-$AL$10)*($AN$10-$AM$10))),$AM$10)</f>
        <v/>
      </c>
      <c r="AQ414">
        <f>IFERROR(IF(AZ414&lt;($AM$11-$AL$11)/($AN$11-$AL$11),$AL$11+SQRT(AZ414*($AN$11-$AL$11)*($AM$11-$AL$11)),$AN$11-SQRT((1-AZ414)*($AN$11-$AL$11)*($AN$11-$AM$11))),$AM$11)</f>
        <v/>
      </c>
      <c r="AR414">
        <f>SUMPRODUCT((B24:B31&lt;=$B$6)*(C24:C31*AM414+D24:D31*AO414*$B$8*AQ414)/(1+AL414/100)^B24:B31)+C32*AM414*AP414/(1+AL414/100)^$B$6</f>
        <v/>
      </c>
      <c r="AS414">
        <f>SUMPRODUCT((K24:K26&lt;=$B$6)*(L24:L26*AN414+M24:M26*AO414*$B$8*AQ414)/(1+AL414/100)^K24:K26)+L27*AN414*AP414/(1+AL414/100)^$B$6</f>
        <v/>
      </c>
      <c r="AT414">
        <f>AS414-AR414</f>
        <v/>
      </c>
      <c r="AU414">
        <f>RAND()</f>
        <v/>
      </c>
      <c r="AV414">
        <f>RAND()</f>
        <v/>
      </c>
      <c r="AW414">
        <f>RAND()</f>
        <v/>
      </c>
      <c r="AX414">
        <f>RAND()</f>
        <v/>
      </c>
      <c r="AY414">
        <f>RAND()</f>
        <v/>
      </c>
      <c r="AZ414">
        <f>RAND()</f>
        <v/>
      </c>
    </row>
    <row r="415">
      <c r="AK415" t="n">
        <v>402</v>
      </c>
      <c r="AL415">
        <f>IFERROR(IF(AU415&lt;($AM$6-$AL$6)/($AN$6-$AL$6),$AL$6+SQRT(AU415*($AN$6-$AL$6)*($AM$6-$AL$6)),$AN$6-SQRT((1-AU415)*($AN$6-$AL$6)*($AN$6-$AM$6))),$AM$6)</f>
        <v/>
      </c>
      <c r="AM415">
        <f>IFERROR(IF(AV415&lt;($AM$7-$AL$7)/($AN$7-$AL$7),$AL$7+SQRT(AV415*($AN$7-$AL$7)*($AM$7-$AL$7)),$AN$7-SQRT((1-AV415)*($AN$7-$AL$7)*($AN$7-$AM$7))),$AM$7)</f>
        <v/>
      </c>
      <c r="AN415">
        <f>IFERROR(IF(AW415&lt;($AM$8-$AL$8)/($AN$8-$AL$8),$AL$8+SQRT(AW415*($AN$8-$AL$8)*($AM$8-$AL$8)),$AN$8-SQRT((1-AW415)*($AN$8-$AL$8)*($AN$8-$AM$8))),$AM$8)</f>
        <v/>
      </c>
      <c r="AO415">
        <f>IFERROR(IF(AX415&lt;($AM$9-$AL$9)/($AN$9-$AL$9),$AL$9+SQRT(AX415*($AN$9-$AL$9)*($AM$9-$AL$9)),$AN$9-SQRT((1-AX415)*($AN$9-$AL$9)*($AN$9-$AM$9))),$AM$9)</f>
        <v/>
      </c>
      <c r="AP415">
        <f>IFERROR(IF(AY415&lt;($AM$10-$AL$10)/($AN$10-$AL$10),$AL$10+SQRT(AY415*($AN$10-$AL$10)*($AM$10-$AL$10)),$AN$10-SQRT((1-AY415)*($AN$10-$AL$10)*($AN$10-$AM$10))),$AM$10)</f>
        <v/>
      </c>
      <c r="AQ415">
        <f>IFERROR(IF(AZ415&lt;($AM$11-$AL$11)/($AN$11-$AL$11),$AL$11+SQRT(AZ415*($AN$11-$AL$11)*($AM$11-$AL$11)),$AN$11-SQRT((1-AZ415)*($AN$11-$AL$11)*($AN$11-$AM$11))),$AM$11)</f>
        <v/>
      </c>
      <c r="AR415">
        <f>SUMPRODUCT((B24:B31&lt;=$B$6)*(C24:C31*AM415+D24:D31*AO415*$B$8*AQ415)/(1+AL415/100)^B24:B31)+C32*AM415*AP415/(1+AL415/100)^$B$6</f>
        <v/>
      </c>
      <c r="AS415">
        <f>SUMPRODUCT((K24:K26&lt;=$B$6)*(L24:L26*AN415+M24:M26*AO415*$B$8*AQ415)/(1+AL415/100)^K24:K26)+L27*AN415*AP415/(1+AL415/100)^$B$6</f>
        <v/>
      </c>
      <c r="AT415">
        <f>AS415-AR415</f>
        <v/>
      </c>
      <c r="AU415">
        <f>RAND()</f>
        <v/>
      </c>
      <c r="AV415">
        <f>RAND()</f>
        <v/>
      </c>
      <c r="AW415">
        <f>RAND()</f>
        <v/>
      </c>
      <c r="AX415">
        <f>RAND()</f>
        <v/>
      </c>
      <c r="AY415">
        <f>RAND()</f>
        <v/>
      </c>
      <c r="AZ415">
        <f>RAND()</f>
        <v/>
      </c>
    </row>
    <row r="416">
      <c r="AK416" t="n">
        <v>403</v>
      </c>
      <c r="AL416">
        <f>IFERROR(IF(AU416&lt;($AM$6-$AL$6)/($AN$6-$AL$6),$AL$6+SQRT(AU416*($AN$6-$AL$6)*($AM$6-$AL$6)),$AN$6-SQRT((1-AU416)*($AN$6-$AL$6)*($AN$6-$AM$6))),$AM$6)</f>
        <v/>
      </c>
      <c r="AM416">
        <f>IFERROR(IF(AV416&lt;($AM$7-$AL$7)/($AN$7-$AL$7),$AL$7+SQRT(AV416*($AN$7-$AL$7)*($AM$7-$AL$7)),$AN$7-SQRT((1-AV416)*($AN$7-$AL$7)*($AN$7-$AM$7))),$AM$7)</f>
        <v/>
      </c>
      <c r="AN416">
        <f>IFERROR(IF(AW416&lt;($AM$8-$AL$8)/($AN$8-$AL$8),$AL$8+SQRT(AW416*($AN$8-$AL$8)*($AM$8-$AL$8)),$AN$8-SQRT((1-AW416)*($AN$8-$AL$8)*($AN$8-$AM$8))),$AM$8)</f>
        <v/>
      </c>
      <c r="AO416">
        <f>IFERROR(IF(AX416&lt;($AM$9-$AL$9)/($AN$9-$AL$9),$AL$9+SQRT(AX416*($AN$9-$AL$9)*($AM$9-$AL$9)),$AN$9-SQRT((1-AX416)*($AN$9-$AL$9)*($AN$9-$AM$9))),$AM$9)</f>
        <v/>
      </c>
      <c r="AP416">
        <f>IFERROR(IF(AY416&lt;($AM$10-$AL$10)/($AN$10-$AL$10),$AL$10+SQRT(AY416*($AN$10-$AL$10)*($AM$10-$AL$10)),$AN$10-SQRT((1-AY416)*($AN$10-$AL$10)*($AN$10-$AM$10))),$AM$10)</f>
        <v/>
      </c>
      <c r="AQ416">
        <f>IFERROR(IF(AZ416&lt;($AM$11-$AL$11)/($AN$11-$AL$11),$AL$11+SQRT(AZ416*($AN$11-$AL$11)*($AM$11-$AL$11)),$AN$11-SQRT((1-AZ416)*($AN$11-$AL$11)*($AN$11-$AM$11))),$AM$11)</f>
        <v/>
      </c>
      <c r="AR416">
        <f>SUMPRODUCT((B24:B31&lt;=$B$6)*(C24:C31*AM416+D24:D31*AO416*$B$8*AQ416)/(1+AL416/100)^B24:B31)+C32*AM416*AP416/(1+AL416/100)^$B$6</f>
        <v/>
      </c>
      <c r="AS416">
        <f>SUMPRODUCT((K24:K26&lt;=$B$6)*(L24:L26*AN416+M24:M26*AO416*$B$8*AQ416)/(1+AL416/100)^K24:K26)+L27*AN416*AP416/(1+AL416/100)^$B$6</f>
        <v/>
      </c>
      <c r="AT416">
        <f>AS416-AR416</f>
        <v/>
      </c>
      <c r="AU416">
        <f>RAND()</f>
        <v/>
      </c>
      <c r="AV416">
        <f>RAND()</f>
        <v/>
      </c>
      <c r="AW416">
        <f>RAND()</f>
        <v/>
      </c>
      <c r="AX416">
        <f>RAND()</f>
        <v/>
      </c>
      <c r="AY416">
        <f>RAND()</f>
        <v/>
      </c>
      <c r="AZ416">
        <f>RAND()</f>
        <v/>
      </c>
    </row>
    <row r="417">
      <c r="AK417" t="n">
        <v>404</v>
      </c>
      <c r="AL417">
        <f>IFERROR(IF(AU417&lt;($AM$6-$AL$6)/($AN$6-$AL$6),$AL$6+SQRT(AU417*($AN$6-$AL$6)*($AM$6-$AL$6)),$AN$6-SQRT((1-AU417)*($AN$6-$AL$6)*($AN$6-$AM$6))),$AM$6)</f>
        <v/>
      </c>
      <c r="AM417">
        <f>IFERROR(IF(AV417&lt;($AM$7-$AL$7)/($AN$7-$AL$7),$AL$7+SQRT(AV417*($AN$7-$AL$7)*($AM$7-$AL$7)),$AN$7-SQRT((1-AV417)*($AN$7-$AL$7)*($AN$7-$AM$7))),$AM$7)</f>
        <v/>
      </c>
      <c r="AN417">
        <f>IFERROR(IF(AW417&lt;($AM$8-$AL$8)/($AN$8-$AL$8),$AL$8+SQRT(AW417*($AN$8-$AL$8)*($AM$8-$AL$8)),$AN$8-SQRT((1-AW417)*($AN$8-$AL$8)*($AN$8-$AM$8))),$AM$8)</f>
        <v/>
      </c>
      <c r="AO417">
        <f>IFERROR(IF(AX417&lt;($AM$9-$AL$9)/($AN$9-$AL$9),$AL$9+SQRT(AX417*($AN$9-$AL$9)*($AM$9-$AL$9)),$AN$9-SQRT((1-AX417)*($AN$9-$AL$9)*($AN$9-$AM$9))),$AM$9)</f>
        <v/>
      </c>
      <c r="AP417">
        <f>IFERROR(IF(AY417&lt;($AM$10-$AL$10)/($AN$10-$AL$10),$AL$10+SQRT(AY417*($AN$10-$AL$10)*($AM$10-$AL$10)),$AN$10-SQRT((1-AY417)*($AN$10-$AL$10)*($AN$10-$AM$10))),$AM$10)</f>
        <v/>
      </c>
      <c r="AQ417">
        <f>IFERROR(IF(AZ417&lt;($AM$11-$AL$11)/($AN$11-$AL$11),$AL$11+SQRT(AZ417*($AN$11-$AL$11)*($AM$11-$AL$11)),$AN$11-SQRT((1-AZ417)*($AN$11-$AL$11)*($AN$11-$AM$11))),$AM$11)</f>
        <v/>
      </c>
      <c r="AR417">
        <f>SUMPRODUCT((B24:B31&lt;=$B$6)*(C24:C31*AM417+D24:D31*AO417*$B$8*AQ417)/(1+AL417/100)^B24:B31)+C32*AM417*AP417/(1+AL417/100)^$B$6</f>
        <v/>
      </c>
      <c r="AS417">
        <f>SUMPRODUCT((K24:K26&lt;=$B$6)*(L24:L26*AN417+M24:M26*AO417*$B$8*AQ417)/(1+AL417/100)^K24:K26)+L27*AN417*AP417/(1+AL417/100)^$B$6</f>
        <v/>
      </c>
      <c r="AT417">
        <f>AS417-AR417</f>
        <v/>
      </c>
      <c r="AU417">
        <f>RAND()</f>
        <v/>
      </c>
      <c r="AV417">
        <f>RAND()</f>
        <v/>
      </c>
      <c r="AW417">
        <f>RAND()</f>
        <v/>
      </c>
      <c r="AX417">
        <f>RAND()</f>
        <v/>
      </c>
      <c r="AY417">
        <f>RAND()</f>
        <v/>
      </c>
      <c r="AZ417">
        <f>RAND()</f>
        <v/>
      </c>
    </row>
    <row r="418">
      <c r="AK418" t="n">
        <v>405</v>
      </c>
      <c r="AL418">
        <f>IFERROR(IF(AU418&lt;($AM$6-$AL$6)/($AN$6-$AL$6),$AL$6+SQRT(AU418*($AN$6-$AL$6)*($AM$6-$AL$6)),$AN$6-SQRT((1-AU418)*($AN$6-$AL$6)*($AN$6-$AM$6))),$AM$6)</f>
        <v/>
      </c>
      <c r="AM418">
        <f>IFERROR(IF(AV418&lt;($AM$7-$AL$7)/($AN$7-$AL$7),$AL$7+SQRT(AV418*($AN$7-$AL$7)*($AM$7-$AL$7)),$AN$7-SQRT((1-AV418)*($AN$7-$AL$7)*($AN$7-$AM$7))),$AM$7)</f>
        <v/>
      </c>
      <c r="AN418">
        <f>IFERROR(IF(AW418&lt;($AM$8-$AL$8)/($AN$8-$AL$8),$AL$8+SQRT(AW418*($AN$8-$AL$8)*($AM$8-$AL$8)),$AN$8-SQRT((1-AW418)*($AN$8-$AL$8)*($AN$8-$AM$8))),$AM$8)</f>
        <v/>
      </c>
      <c r="AO418">
        <f>IFERROR(IF(AX418&lt;($AM$9-$AL$9)/($AN$9-$AL$9),$AL$9+SQRT(AX418*($AN$9-$AL$9)*($AM$9-$AL$9)),$AN$9-SQRT((1-AX418)*($AN$9-$AL$9)*($AN$9-$AM$9))),$AM$9)</f>
        <v/>
      </c>
      <c r="AP418">
        <f>IFERROR(IF(AY418&lt;($AM$10-$AL$10)/($AN$10-$AL$10),$AL$10+SQRT(AY418*($AN$10-$AL$10)*($AM$10-$AL$10)),$AN$10-SQRT((1-AY418)*($AN$10-$AL$10)*($AN$10-$AM$10))),$AM$10)</f>
        <v/>
      </c>
      <c r="AQ418">
        <f>IFERROR(IF(AZ418&lt;($AM$11-$AL$11)/($AN$11-$AL$11),$AL$11+SQRT(AZ418*($AN$11-$AL$11)*($AM$11-$AL$11)),$AN$11-SQRT((1-AZ418)*($AN$11-$AL$11)*($AN$11-$AM$11))),$AM$11)</f>
        <v/>
      </c>
      <c r="AR418">
        <f>SUMPRODUCT((B24:B31&lt;=$B$6)*(C24:C31*AM418+D24:D31*AO418*$B$8*AQ418)/(1+AL418/100)^B24:B31)+C32*AM418*AP418/(1+AL418/100)^$B$6</f>
        <v/>
      </c>
      <c r="AS418">
        <f>SUMPRODUCT((K24:K26&lt;=$B$6)*(L24:L26*AN418+M24:M26*AO418*$B$8*AQ418)/(1+AL418/100)^K24:K26)+L27*AN418*AP418/(1+AL418/100)^$B$6</f>
        <v/>
      </c>
      <c r="AT418">
        <f>AS418-AR418</f>
        <v/>
      </c>
      <c r="AU418">
        <f>RAND()</f>
        <v/>
      </c>
      <c r="AV418">
        <f>RAND()</f>
        <v/>
      </c>
      <c r="AW418">
        <f>RAND()</f>
        <v/>
      </c>
      <c r="AX418">
        <f>RAND()</f>
        <v/>
      </c>
      <c r="AY418">
        <f>RAND()</f>
        <v/>
      </c>
      <c r="AZ418">
        <f>RAND()</f>
        <v/>
      </c>
    </row>
    <row r="419">
      <c r="AK419" t="n">
        <v>406</v>
      </c>
      <c r="AL419">
        <f>IFERROR(IF(AU419&lt;($AM$6-$AL$6)/($AN$6-$AL$6),$AL$6+SQRT(AU419*($AN$6-$AL$6)*($AM$6-$AL$6)),$AN$6-SQRT((1-AU419)*($AN$6-$AL$6)*($AN$6-$AM$6))),$AM$6)</f>
        <v/>
      </c>
      <c r="AM419">
        <f>IFERROR(IF(AV419&lt;($AM$7-$AL$7)/($AN$7-$AL$7),$AL$7+SQRT(AV419*($AN$7-$AL$7)*($AM$7-$AL$7)),$AN$7-SQRT((1-AV419)*($AN$7-$AL$7)*($AN$7-$AM$7))),$AM$7)</f>
        <v/>
      </c>
      <c r="AN419">
        <f>IFERROR(IF(AW419&lt;($AM$8-$AL$8)/($AN$8-$AL$8),$AL$8+SQRT(AW419*($AN$8-$AL$8)*($AM$8-$AL$8)),$AN$8-SQRT((1-AW419)*($AN$8-$AL$8)*($AN$8-$AM$8))),$AM$8)</f>
        <v/>
      </c>
      <c r="AO419">
        <f>IFERROR(IF(AX419&lt;($AM$9-$AL$9)/($AN$9-$AL$9),$AL$9+SQRT(AX419*($AN$9-$AL$9)*($AM$9-$AL$9)),$AN$9-SQRT((1-AX419)*($AN$9-$AL$9)*($AN$9-$AM$9))),$AM$9)</f>
        <v/>
      </c>
      <c r="AP419">
        <f>IFERROR(IF(AY419&lt;($AM$10-$AL$10)/($AN$10-$AL$10),$AL$10+SQRT(AY419*($AN$10-$AL$10)*($AM$10-$AL$10)),$AN$10-SQRT((1-AY419)*($AN$10-$AL$10)*($AN$10-$AM$10))),$AM$10)</f>
        <v/>
      </c>
      <c r="AQ419">
        <f>IFERROR(IF(AZ419&lt;($AM$11-$AL$11)/($AN$11-$AL$11),$AL$11+SQRT(AZ419*($AN$11-$AL$11)*($AM$11-$AL$11)),$AN$11-SQRT((1-AZ419)*($AN$11-$AL$11)*($AN$11-$AM$11))),$AM$11)</f>
        <v/>
      </c>
      <c r="AR419">
        <f>SUMPRODUCT((B24:B31&lt;=$B$6)*(C24:C31*AM419+D24:D31*AO419*$B$8*AQ419)/(1+AL419/100)^B24:B31)+C32*AM419*AP419/(1+AL419/100)^$B$6</f>
        <v/>
      </c>
      <c r="AS419">
        <f>SUMPRODUCT((K24:K26&lt;=$B$6)*(L24:L26*AN419+M24:M26*AO419*$B$8*AQ419)/(1+AL419/100)^K24:K26)+L27*AN419*AP419/(1+AL419/100)^$B$6</f>
        <v/>
      </c>
      <c r="AT419">
        <f>AS419-AR419</f>
        <v/>
      </c>
      <c r="AU419">
        <f>RAND()</f>
        <v/>
      </c>
      <c r="AV419">
        <f>RAND()</f>
        <v/>
      </c>
      <c r="AW419">
        <f>RAND()</f>
        <v/>
      </c>
      <c r="AX419">
        <f>RAND()</f>
        <v/>
      </c>
      <c r="AY419">
        <f>RAND()</f>
        <v/>
      </c>
      <c r="AZ419">
        <f>RAND()</f>
        <v/>
      </c>
    </row>
    <row r="420">
      <c r="AK420" t="n">
        <v>407</v>
      </c>
      <c r="AL420">
        <f>IFERROR(IF(AU420&lt;($AM$6-$AL$6)/($AN$6-$AL$6),$AL$6+SQRT(AU420*($AN$6-$AL$6)*($AM$6-$AL$6)),$AN$6-SQRT((1-AU420)*($AN$6-$AL$6)*($AN$6-$AM$6))),$AM$6)</f>
        <v/>
      </c>
      <c r="AM420">
        <f>IFERROR(IF(AV420&lt;($AM$7-$AL$7)/($AN$7-$AL$7),$AL$7+SQRT(AV420*($AN$7-$AL$7)*($AM$7-$AL$7)),$AN$7-SQRT((1-AV420)*($AN$7-$AL$7)*($AN$7-$AM$7))),$AM$7)</f>
        <v/>
      </c>
      <c r="AN420">
        <f>IFERROR(IF(AW420&lt;($AM$8-$AL$8)/($AN$8-$AL$8),$AL$8+SQRT(AW420*($AN$8-$AL$8)*($AM$8-$AL$8)),$AN$8-SQRT((1-AW420)*($AN$8-$AL$8)*($AN$8-$AM$8))),$AM$8)</f>
        <v/>
      </c>
      <c r="AO420">
        <f>IFERROR(IF(AX420&lt;($AM$9-$AL$9)/($AN$9-$AL$9),$AL$9+SQRT(AX420*($AN$9-$AL$9)*($AM$9-$AL$9)),$AN$9-SQRT((1-AX420)*($AN$9-$AL$9)*($AN$9-$AM$9))),$AM$9)</f>
        <v/>
      </c>
      <c r="AP420">
        <f>IFERROR(IF(AY420&lt;($AM$10-$AL$10)/($AN$10-$AL$10),$AL$10+SQRT(AY420*($AN$10-$AL$10)*($AM$10-$AL$10)),$AN$10-SQRT((1-AY420)*($AN$10-$AL$10)*($AN$10-$AM$10))),$AM$10)</f>
        <v/>
      </c>
      <c r="AQ420">
        <f>IFERROR(IF(AZ420&lt;($AM$11-$AL$11)/($AN$11-$AL$11),$AL$11+SQRT(AZ420*($AN$11-$AL$11)*($AM$11-$AL$11)),$AN$11-SQRT((1-AZ420)*($AN$11-$AL$11)*($AN$11-$AM$11))),$AM$11)</f>
        <v/>
      </c>
      <c r="AR420">
        <f>SUMPRODUCT((B24:B31&lt;=$B$6)*(C24:C31*AM420+D24:D31*AO420*$B$8*AQ420)/(1+AL420/100)^B24:B31)+C32*AM420*AP420/(1+AL420/100)^$B$6</f>
        <v/>
      </c>
      <c r="AS420">
        <f>SUMPRODUCT((K24:K26&lt;=$B$6)*(L24:L26*AN420+M24:M26*AO420*$B$8*AQ420)/(1+AL420/100)^K24:K26)+L27*AN420*AP420/(1+AL420/100)^$B$6</f>
        <v/>
      </c>
      <c r="AT420">
        <f>AS420-AR420</f>
        <v/>
      </c>
      <c r="AU420">
        <f>RAND()</f>
        <v/>
      </c>
      <c r="AV420">
        <f>RAND()</f>
        <v/>
      </c>
      <c r="AW420">
        <f>RAND()</f>
        <v/>
      </c>
      <c r="AX420">
        <f>RAND()</f>
        <v/>
      </c>
      <c r="AY420">
        <f>RAND()</f>
        <v/>
      </c>
      <c r="AZ420">
        <f>RAND()</f>
        <v/>
      </c>
    </row>
    <row r="421">
      <c r="AK421" t="n">
        <v>408</v>
      </c>
      <c r="AL421">
        <f>IFERROR(IF(AU421&lt;($AM$6-$AL$6)/($AN$6-$AL$6),$AL$6+SQRT(AU421*($AN$6-$AL$6)*($AM$6-$AL$6)),$AN$6-SQRT((1-AU421)*($AN$6-$AL$6)*($AN$6-$AM$6))),$AM$6)</f>
        <v/>
      </c>
      <c r="AM421">
        <f>IFERROR(IF(AV421&lt;($AM$7-$AL$7)/($AN$7-$AL$7),$AL$7+SQRT(AV421*($AN$7-$AL$7)*($AM$7-$AL$7)),$AN$7-SQRT((1-AV421)*($AN$7-$AL$7)*($AN$7-$AM$7))),$AM$7)</f>
        <v/>
      </c>
      <c r="AN421">
        <f>IFERROR(IF(AW421&lt;($AM$8-$AL$8)/($AN$8-$AL$8),$AL$8+SQRT(AW421*($AN$8-$AL$8)*($AM$8-$AL$8)),$AN$8-SQRT((1-AW421)*($AN$8-$AL$8)*($AN$8-$AM$8))),$AM$8)</f>
        <v/>
      </c>
      <c r="AO421">
        <f>IFERROR(IF(AX421&lt;($AM$9-$AL$9)/($AN$9-$AL$9),$AL$9+SQRT(AX421*($AN$9-$AL$9)*($AM$9-$AL$9)),$AN$9-SQRT((1-AX421)*($AN$9-$AL$9)*($AN$9-$AM$9))),$AM$9)</f>
        <v/>
      </c>
      <c r="AP421">
        <f>IFERROR(IF(AY421&lt;($AM$10-$AL$10)/($AN$10-$AL$10),$AL$10+SQRT(AY421*($AN$10-$AL$10)*($AM$10-$AL$10)),$AN$10-SQRT((1-AY421)*($AN$10-$AL$10)*($AN$10-$AM$10))),$AM$10)</f>
        <v/>
      </c>
      <c r="AQ421">
        <f>IFERROR(IF(AZ421&lt;($AM$11-$AL$11)/($AN$11-$AL$11),$AL$11+SQRT(AZ421*($AN$11-$AL$11)*($AM$11-$AL$11)),$AN$11-SQRT((1-AZ421)*($AN$11-$AL$11)*($AN$11-$AM$11))),$AM$11)</f>
        <v/>
      </c>
      <c r="AR421">
        <f>SUMPRODUCT((B24:B31&lt;=$B$6)*(C24:C31*AM421+D24:D31*AO421*$B$8*AQ421)/(1+AL421/100)^B24:B31)+C32*AM421*AP421/(1+AL421/100)^$B$6</f>
        <v/>
      </c>
      <c r="AS421">
        <f>SUMPRODUCT((K24:K26&lt;=$B$6)*(L24:L26*AN421+M24:M26*AO421*$B$8*AQ421)/(1+AL421/100)^K24:K26)+L27*AN421*AP421/(1+AL421/100)^$B$6</f>
        <v/>
      </c>
      <c r="AT421">
        <f>AS421-AR421</f>
        <v/>
      </c>
      <c r="AU421">
        <f>RAND()</f>
        <v/>
      </c>
      <c r="AV421">
        <f>RAND()</f>
        <v/>
      </c>
      <c r="AW421">
        <f>RAND()</f>
        <v/>
      </c>
      <c r="AX421">
        <f>RAND()</f>
        <v/>
      </c>
      <c r="AY421">
        <f>RAND()</f>
        <v/>
      </c>
      <c r="AZ421">
        <f>RAND()</f>
        <v/>
      </c>
    </row>
    <row r="422">
      <c r="AK422" t="n">
        <v>409</v>
      </c>
      <c r="AL422">
        <f>IFERROR(IF(AU422&lt;($AM$6-$AL$6)/($AN$6-$AL$6),$AL$6+SQRT(AU422*($AN$6-$AL$6)*($AM$6-$AL$6)),$AN$6-SQRT((1-AU422)*($AN$6-$AL$6)*($AN$6-$AM$6))),$AM$6)</f>
        <v/>
      </c>
      <c r="AM422">
        <f>IFERROR(IF(AV422&lt;($AM$7-$AL$7)/($AN$7-$AL$7),$AL$7+SQRT(AV422*($AN$7-$AL$7)*($AM$7-$AL$7)),$AN$7-SQRT((1-AV422)*($AN$7-$AL$7)*($AN$7-$AM$7))),$AM$7)</f>
        <v/>
      </c>
      <c r="AN422">
        <f>IFERROR(IF(AW422&lt;($AM$8-$AL$8)/($AN$8-$AL$8),$AL$8+SQRT(AW422*($AN$8-$AL$8)*($AM$8-$AL$8)),$AN$8-SQRT((1-AW422)*($AN$8-$AL$8)*($AN$8-$AM$8))),$AM$8)</f>
        <v/>
      </c>
      <c r="AO422">
        <f>IFERROR(IF(AX422&lt;($AM$9-$AL$9)/($AN$9-$AL$9),$AL$9+SQRT(AX422*($AN$9-$AL$9)*($AM$9-$AL$9)),$AN$9-SQRT((1-AX422)*($AN$9-$AL$9)*($AN$9-$AM$9))),$AM$9)</f>
        <v/>
      </c>
      <c r="AP422">
        <f>IFERROR(IF(AY422&lt;($AM$10-$AL$10)/($AN$10-$AL$10),$AL$10+SQRT(AY422*($AN$10-$AL$10)*($AM$10-$AL$10)),$AN$10-SQRT((1-AY422)*($AN$10-$AL$10)*($AN$10-$AM$10))),$AM$10)</f>
        <v/>
      </c>
      <c r="AQ422">
        <f>IFERROR(IF(AZ422&lt;($AM$11-$AL$11)/($AN$11-$AL$11),$AL$11+SQRT(AZ422*($AN$11-$AL$11)*($AM$11-$AL$11)),$AN$11-SQRT((1-AZ422)*($AN$11-$AL$11)*($AN$11-$AM$11))),$AM$11)</f>
        <v/>
      </c>
      <c r="AR422">
        <f>SUMPRODUCT((B24:B31&lt;=$B$6)*(C24:C31*AM422+D24:D31*AO422*$B$8*AQ422)/(1+AL422/100)^B24:B31)+C32*AM422*AP422/(1+AL422/100)^$B$6</f>
        <v/>
      </c>
      <c r="AS422">
        <f>SUMPRODUCT((K24:K26&lt;=$B$6)*(L24:L26*AN422+M24:M26*AO422*$B$8*AQ422)/(1+AL422/100)^K24:K26)+L27*AN422*AP422/(1+AL422/100)^$B$6</f>
        <v/>
      </c>
      <c r="AT422">
        <f>AS422-AR422</f>
        <v/>
      </c>
      <c r="AU422">
        <f>RAND()</f>
        <v/>
      </c>
      <c r="AV422">
        <f>RAND()</f>
        <v/>
      </c>
      <c r="AW422">
        <f>RAND()</f>
        <v/>
      </c>
      <c r="AX422">
        <f>RAND()</f>
        <v/>
      </c>
      <c r="AY422">
        <f>RAND()</f>
        <v/>
      </c>
      <c r="AZ422">
        <f>RAND()</f>
        <v/>
      </c>
    </row>
    <row r="423">
      <c r="AK423" t="n">
        <v>410</v>
      </c>
      <c r="AL423">
        <f>IFERROR(IF(AU423&lt;($AM$6-$AL$6)/($AN$6-$AL$6),$AL$6+SQRT(AU423*($AN$6-$AL$6)*($AM$6-$AL$6)),$AN$6-SQRT((1-AU423)*($AN$6-$AL$6)*($AN$6-$AM$6))),$AM$6)</f>
        <v/>
      </c>
      <c r="AM423">
        <f>IFERROR(IF(AV423&lt;($AM$7-$AL$7)/($AN$7-$AL$7),$AL$7+SQRT(AV423*($AN$7-$AL$7)*($AM$7-$AL$7)),$AN$7-SQRT((1-AV423)*($AN$7-$AL$7)*($AN$7-$AM$7))),$AM$7)</f>
        <v/>
      </c>
      <c r="AN423">
        <f>IFERROR(IF(AW423&lt;($AM$8-$AL$8)/($AN$8-$AL$8),$AL$8+SQRT(AW423*($AN$8-$AL$8)*($AM$8-$AL$8)),$AN$8-SQRT((1-AW423)*($AN$8-$AL$8)*($AN$8-$AM$8))),$AM$8)</f>
        <v/>
      </c>
      <c r="AO423">
        <f>IFERROR(IF(AX423&lt;($AM$9-$AL$9)/($AN$9-$AL$9),$AL$9+SQRT(AX423*($AN$9-$AL$9)*($AM$9-$AL$9)),$AN$9-SQRT((1-AX423)*($AN$9-$AL$9)*($AN$9-$AM$9))),$AM$9)</f>
        <v/>
      </c>
      <c r="AP423">
        <f>IFERROR(IF(AY423&lt;($AM$10-$AL$10)/($AN$10-$AL$10),$AL$10+SQRT(AY423*($AN$10-$AL$10)*($AM$10-$AL$10)),$AN$10-SQRT((1-AY423)*($AN$10-$AL$10)*($AN$10-$AM$10))),$AM$10)</f>
        <v/>
      </c>
      <c r="AQ423">
        <f>IFERROR(IF(AZ423&lt;($AM$11-$AL$11)/($AN$11-$AL$11),$AL$11+SQRT(AZ423*($AN$11-$AL$11)*($AM$11-$AL$11)),$AN$11-SQRT((1-AZ423)*($AN$11-$AL$11)*($AN$11-$AM$11))),$AM$11)</f>
        <v/>
      </c>
      <c r="AR423">
        <f>SUMPRODUCT((B24:B31&lt;=$B$6)*(C24:C31*AM423+D24:D31*AO423*$B$8*AQ423)/(1+AL423/100)^B24:B31)+C32*AM423*AP423/(1+AL423/100)^$B$6</f>
        <v/>
      </c>
      <c r="AS423">
        <f>SUMPRODUCT((K24:K26&lt;=$B$6)*(L24:L26*AN423+M24:M26*AO423*$B$8*AQ423)/(1+AL423/100)^K24:K26)+L27*AN423*AP423/(1+AL423/100)^$B$6</f>
        <v/>
      </c>
      <c r="AT423">
        <f>AS423-AR423</f>
        <v/>
      </c>
      <c r="AU423">
        <f>RAND()</f>
        <v/>
      </c>
      <c r="AV423">
        <f>RAND()</f>
        <v/>
      </c>
      <c r="AW423">
        <f>RAND()</f>
        <v/>
      </c>
      <c r="AX423">
        <f>RAND()</f>
        <v/>
      </c>
      <c r="AY423">
        <f>RAND()</f>
        <v/>
      </c>
      <c r="AZ423">
        <f>RAND()</f>
        <v/>
      </c>
    </row>
    <row r="424">
      <c r="AK424" t="n">
        <v>411</v>
      </c>
      <c r="AL424">
        <f>IFERROR(IF(AU424&lt;($AM$6-$AL$6)/($AN$6-$AL$6),$AL$6+SQRT(AU424*($AN$6-$AL$6)*($AM$6-$AL$6)),$AN$6-SQRT((1-AU424)*($AN$6-$AL$6)*($AN$6-$AM$6))),$AM$6)</f>
        <v/>
      </c>
      <c r="AM424">
        <f>IFERROR(IF(AV424&lt;($AM$7-$AL$7)/($AN$7-$AL$7),$AL$7+SQRT(AV424*($AN$7-$AL$7)*($AM$7-$AL$7)),$AN$7-SQRT((1-AV424)*($AN$7-$AL$7)*($AN$7-$AM$7))),$AM$7)</f>
        <v/>
      </c>
      <c r="AN424">
        <f>IFERROR(IF(AW424&lt;($AM$8-$AL$8)/($AN$8-$AL$8),$AL$8+SQRT(AW424*($AN$8-$AL$8)*($AM$8-$AL$8)),$AN$8-SQRT((1-AW424)*($AN$8-$AL$8)*($AN$8-$AM$8))),$AM$8)</f>
        <v/>
      </c>
      <c r="AO424">
        <f>IFERROR(IF(AX424&lt;($AM$9-$AL$9)/($AN$9-$AL$9),$AL$9+SQRT(AX424*($AN$9-$AL$9)*($AM$9-$AL$9)),$AN$9-SQRT((1-AX424)*($AN$9-$AL$9)*($AN$9-$AM$9))),$AM$9)</f>
        <v/>
      </c>
      <c r="AP424">
        <f>IFERROR(IF(AY424&lt;($AM$10-$AL$10)/($AN$10-$AL$10),$AL$10+SQRT(AY424*($AN$10-$AL$10)*($AM$10-$AL$10)),$AN$10-SQRT((1-AY424)*($AN$10-$AL$10)*($AN$10-$AM$10))),$AM$10)</f>
        <v/>
      </c>
      <c r="AQ424">
        <f>IFERROR(IF(AZ424&lt;($AM$11-$AL$11)/($AN$11-$AL$11),$AL$11+SQRT(AZ424*($AN$11-$AL$11)*($AM$11-$AL$11)),$AN$11-SQRT((1-AZ424)*($AN$11-$AL$11)*($AN$11-$AM$11))),$AM$11)</f>
        <v/>
      </c>
      <c r="AR424">
        <f>SUMPRODUCT((B24:B31&lt;=$B$6)*(C24:C31*AM424+D24:D31*AO424*$B$8*AQ424)/(1+AL424/100)^B24:B31)+C32*AM424*AP424/(1+AL424/100)^$B$6</f>
        <v/>
      </c>
      <c r="AS424">
        <f>SUMPRODUCT((K24:K26&lt;=$B$6)*(L24:L26*AN424+M24:M26*AO424*$B$8*AQ424)/(1+AL424/100)^K24:K26)+L27*AN424*AP424/(1+AL424/100)^$B$6</f>
        <v/>
      </c>
      <c r="AT424">
        <f>AS424-AR424</f>
        <v/>
      </c>
      <c r="AU424">
        <f>RAND()</f>
        <v/>
      </c>
      <c r="AV424">
        <f>RAND()</f>
        <v/>
      </c>
      <c r="AW424">
        <f>RAND()</f>
        <v/>
      </c>
      <c r="AX424">
        <f>RAND()</f>
        <v/>
      </c>
      <c r="AY424">
        <f>RAND()</f>
        <v/>
      </c>
      <c r="AZ424">
        <f>RAND()</f>
        <v/>
      </c>
    </row>
    <row r="425">
      <c r="AK425" t="n">
        <v>412</v>
      </c>
      <c r="AL425">
        <f>IFERROR(IF(AU425&lt;($AM$6-$AL$6)/($AN$6-$AL$6),$AL$6+SQRT(AU425*($AN$6-$AL$6)*($AM$6-$AL$6)),$AN$6-SQRT((1-AU425)*($AN$6-$AL$6)*($AN$6-$AM$6))),$AM$6)</f>
        <v/>
      </c>
      <c r="AM425">
        <f>IFERROR(IF(AV425&lt;($AM$7-$AL$7)/($AN$7-$AL$7),$AL$7+SQRT(AV425*($AN$7-$AL$7)*($AM$7-$AL$7)),$AN$7-SQRT((1-AV425)*($AN$7-$AL$7)*($AN$7-$AM$7))),$AM$7)</f>
        <v/>
      </c>
      <c r="AN425">
        <f>IFERROR(IF(AW425&lt;($AM$8-$AL$8)/($AN$8-$AL$8),$AL$8+SQRT(AW425*($AN$8-$AL$8)*($AM$8-$AL$8)),$AN$8-SQRT((1-AW425)*($AN$8-$AL$8)*($AN$8-$AM$8))),$AM$8)</f>
        <v/>
      </c>
      <c r="AO425">
        <f>IFERROR(IF(AX425&lt;($AM$9-$AL$9)/($AN$9-$AL$9),$AL$9+SQRT(AX425*($AN$9-$AL$9)*($AM$9-$AL$9)),$AN$9-SQRT((1-AX425)*($AN$9-$AL$9)*($AN$9-$AM$9))),$AM$9)</f>
        <v/>
      </c>
      <c r="AP425">
        <f>IFERROR(IF(AY425&lt;($AM$10-$AL$10)/($AN$10-$AL$10),$AL$10+SQRT(AY425*($AN$10-$AL$10)*($AM$10-$AL$10)),$AN$10-SQRT((1-AY425)*($AN$10-$AL$10)*($AN$10-$AM$10))),$AM$10)</f>
        <v/>
      </c>
      <c r="AQ425">
        <f>IFERROR(IF(AZ425&lt;($AM$11-$AL$11)/($AN$11-$AL$11),$AL$11+SQRT(AZ425*($AN$11-$AL$11)*($AM$11-$AL$11)),$AN$11-SQRT((1-AZ425)*($AN$11-$AL$11)*($AN$11-$AM$11))),$AM$11)</f>
        <v/>
      </c>
      <c r="AR425">
        <f>SUMPRODUCT((B24:B31&lt;=$B$6)*(C24:C31*AM425+D24:D31*AO425*$B$8*AQ425)/(1+AL425/100)^B24:B31)+C32*AM425*AP425/(1+AL425/100)^$B$6</f>
        <v/>
      </c>
      <c r="AS425">
        <f>SUMPRODUCT((K24:K26&lt;=$B$6)*(L24:L26*AN425+M24:M26*AO425*$B$8*AQ425)/(1+AL425/100)^K24:K26)+L27*AN425*AP425/(1+AL425/100)^$B$6</f>
        <v/>
      </c>
      <c r="AT425">
        <f>AS425-AR425</f>
        <v/>
      </c>
      <c r="AU425">
        <f>RAND()</f>
        <v/>
      </c>
      <c r="AV425">
        <f>RAND()</f>
        <v/>
      </c>
      <c r="AW425">
        <f>RAND()</f>
        <v/>
      </c>
      <c r="AX425">
        <f>RAND()</f>
        <v/>
      </c>
      <c r="AY425">
        <f>RAND()</f>
        <v/>
      </c>
      <c r="AZ425">
        <f>RAND()</f>
        <v/>
      </c>
    </row>
    <row r="426">
      <c r="AK426" t="n">
        <v>413</v>
      </c>
      <c r="AL426">
        <f>IFERROR(IF(AU426&lt;($AM$6-$AL$6)/($AN$6-$AL$6),$AL$6+SQRT(AU426*($AN$6-$AL$6)*($AM$6-$AL$6)),$AN$6-SQRT((1-AU426)*($AN$6-$AL$6)*($AN$6-$AM$6))),$AM$6)</f>
        <v/>
      </c>
      <c r="AM426">
        <f>IFERROR(IF(AV426&lt;($AM$7-$AL$7)/($AN$7-$AL$7),$AL$7+SQRT(AV426*($AN$7-$AL$7)*($AM$7-$AL$7)),$AN$7-SQRT((1-AV426)*($AN$7-$AL$7)*($AN$7-$AM$7))),$AM$7)</f>
        <v/>
      </c>
      <c r="AN426">
        <f>IFERROR(IF(AW426&lt;($AM$8-$AL$8)/($AN$8-$AL$8),$AL$8+SQRT(AW426*($AN$8-$AL$8)*($AM$8-$AL$8)),$AN$8-SQRT((1-AW426)*($AN$8-$AL$8)*($AN$8-$AM$8))),$AM$8)</f>
        <v/>
      </c>
      <c r="AO426">
        <f>IFERROR(IF(AX426&lt;($AM$9-$AL$9)/($AN$9-$AL$9),$AL$9+SQRT(AX426*($AN$9-$AL$9)*($AM$9-$AL$9)),$AN$9-SQRT((1-AX426)*($AN$9-$AL$9)*($AN$9-$AM$9))),$AM$9)</f>
        <v/>
      </c>
      <c r="AP426">
        <f>IFERROR(IF(AY426&lt;($AM$10-$AL$10)/($AN$10-$AL$10),$AL$10+SQRT(AY426*($AN$10-$AL$10)*($AM$10-$AL$10)),$AN$10-SQRT((1-AY426)*($AN$10-$AL$10)*($AN$10-$AM$10))),$AM$10)</f>
        <v/>
      </c>
      <c r="AQ426">
        <f>IFERROR(IF(AZ426&lt;($AM$11-$AL$11)/($AN$11-$AL$11),$AL$11+SQRT(AZ426*($AN$11-$AL$11)*($AM$11-$AL$11)),$AN$11-SQRT((1-AZ426)*($AN$11-$AL$11)*($AN$11-$AM$11))),$AM$11)</f>
        <v/>
      </c>
      <c r="AR426">
        <f>SUMPRODUCT((B24:B31&lt;=$B$6)*(C24:C31*AM426+D24:D31*AO426*$B$8*AQ426)/(1+AL426/100)^B24:B31)+C32*AM426*AP426/(1+AL426/100)^$B$6</f>
        <v/>
      </c>
      <c r="AS426">
        <f>SUMPRODUCT((K24:K26&lt;=$B$6)*(L24:L26*AN426+M24:M26*AO426*$B$8*AQ426)/(1+AL426/100)^K24:K26)+L27*AN426*AP426/(1+AL426/100)^$B$6</f>
        <v/>
      </c>
      <c r="AT426">
        <f>AS426-AR426</f>
        <v/>
      </c>
      <c r="AU426">
        <f>RAND()</f>
        <v/>
      </c>
      <c r="AV426">
        <f>RAND()</f>
        <v/>
      </c>
      <c r="AW426">
        <f>RAND()</f>
        <v/>
      </c>
      <c r="AX426">
        <f>RAND()</f>
        <v/>
      </c>
      <c r="AY426">
        <f>RAND()</f>
        <v/>
      </c>
      <c r="AZ426">
        <f>RAND()</f>
        <v/>
      </c>
    </row>
    <row r="427">
      <c r="AK427" t="n">
        <v>414</v>
      </c>
      <c r="AL427">
        <f>IFERROR(IF(AU427&lt;($AM$6-$AL$6)/($AN$6-$AL$6),$AL$6+SQRT(AU427*($AN$6-$AL$6)*($AM$6-$AL$6)),$AN$6-SQRT((1-AU427)*($AN$6-$AL$6)*($AN$6-$AM$6))),$AM$6)</f>
        <v/>
      </c>
      <c r="AM427">
        <f>IFERROR(IF(AV427&lt;($AM$7-$AL$7)/($AN$7-$AL$7),$AL$7+SQRT(AV427*($AN$7-$AL$7)*($AM$7-$AL$7)),$AN$7-SQRT((1-AV427)*($AN$7-$AL$7)*($AN$7-$AM$7))),$AM$7)</f>
        <v/>
      </c>
      <c r="AN427">
        <f>IFERROR(IF(AW427&lt;($AM$8-$AL$8)/($AN$8-$AL$8),$AL$8+SQRT(AW427*($AN$8-$AL$8)*($AM$8-$AL$8)),$AN$8-SQRT((1-AW427)*($AN$8-$AL$8)*($AN$8-$AM$8))),$AM$8)</f>
        <v/>
      </c>
      <c r="AO427">
        <f>IFERROR(IF(AX427&lt;($AM$9-$AL$9)/($AN$9-$AL$9),$AL$9+SQRT(AX427*($AN$9-$AL$9)*($AM$9-$AL$9)),$AN$9-SQRT((1-AX427)*($AN$9-$AL$9)*($AN$9-$AM$9))),$AM$9)</f>
        <v/>
      </c>
      <c r="AP427">
        <f>IFERROR(IF(AY427&lt;($AM$10-$AL$10)/($AN$10-$AL$10),$AL$10+SQRT(AY427*($AN$10-$AL$10)*($AM$10-$AL$10)),$AN$10-SQRT((1-AY427)*($AN$10-$AL$10)*($AN$10-$AM$10))),$AM$10)</f>
        <v/>
      </c>
      <c r="AQ427">
        <f>IFERROR(IF(AZ427&lt;($AM$11-$AL$11)/($AN$11-$AL$11),$AL$11+SQRT(AZ427*($AN$11-$AL$11)*($AM$11-$AL$11)),$AN$11-SQRT((1-AZ427)*($AN$11-$AL$11)*($AN$11-$AM$11))),$AM$11)</f>
        <v/>
      </c>
      <c r="AR427">
        <f>SUMPRODUCT((B24:B31&lt;=$B$6)*(C24:C31*AM427+D24:D31*AO427*$B$8*AQ427)/(1+AL427/100)^B24:B31)+C32*AM427*AP427/(1+AL427/100)^$B$6</f>
        <v/>
      </c>
      <c r="AS427">
        <f>SUMPRODUCT((K24:K26&lt;=$B$6)*(L24:L26*AN427+M24:M26*AO427*$B$8*AQ427)/(1+AL427/100)^K24:K26)+L27*AN427*AP427/(1+AL427/100)^$B$6</f>
        <v/>
      </c>
      <c r="AT427">
        <f>AS427-AR427</f>
        <v/>
      </c>
      <c r="AU427">
        <f>RAND()</f>
        <v/>
      </c>
      <c r="AV427">
        <f>RAND()</f>
        <v/>
      </c>
      <c r="AW427">
        <f>RAND()</f>
        <v/>
      </c>
      <c r="AX427">
        <f>RAND()</f>
        <v/>
      </c>
      <c r="AY427">
        <f>RAND()</f>
        <v/>
      </c>
      <c r="AZ427">
        <f>RAND()</f>
        <v/>
      </c>
    </row>
    <row r="428">
      <c r="AK428" t="n">
        <v>415</v>
      </c>
      <c r="AL428">
        <f>IFERROR(IF(AU428&lt;($AM$6-$AL$6)/($AN$6-$AL$6),$AL$6+SQRT(AU428*($AN$6-$AL$6)*($AM$6-$AL$6)),$AN$6-SQRT((1-AU428)*($AN$6-$AL$6)*($AN$6-$AM$6))),$AM$6)</f>
        <v/>
      </c>
      <c r="AM428">
        <f>IFERROR(IF(AV428&lt;($AM$7-$AL$7)/($AN$7-$AL$7),$AL$7+SQRT(AV428*($AN$7-$AL$7)*($AM$7-$AL$7)),$AN$7-SQRT((1-AV428)*($AN$7-$AL$7)*($AN$7-$AM$7))),$AM$7)</f>
        <v/>
      </c>
      <c r="AN428">
        <f>IFERROR(IF(AW428&lt;($AM$8-$AL$8)/($AN$8-$AL$8),$AL$8+SQRT(AW428*($AN$8-$AL$8)*($AM$8-$AL$8)),$AN$8-SQRT((1-AW428)*($AN$8-$AL$8)*($AN$8-$AM$8))),$AM$8)</f>
        <v/>
      </c>
      <c r="AO428">
        <f>IFERROR(IF(AX428&lt;($AM$9-$AL$9)/($AN$9-$AL$9),$AL$9+SQRT(AX428*($AN$9-$AL$9)*($AM$9-$AL$9)),$AN$9-SQRT((1-AX428)*($AN$9-$AL$9)*($AN$9-$AM$9))),$AM$9)</f>
        <v/>
      </c>
      <c r="AP428">
        <f>IFERROR(IF(AY428&lt;($AM$10-$AL$10)/($AN$10-$AL$10),$AL$10+SQRT(AY428*($AN$10-$AL$10)*($AM$10-$AL$10)),$AN$10-SQRT((1-AY428)*($AN$10-$AL$10)*($AN$10-$AM$10))),$AM$10)</f>
        <v/>
      </c>
      <c r="AQ428">
        <f>IFERROR(IF(AZ428&lt;($AM$11-$AL$11)/($AN$11-$AL$11),$AL$11+SQRT(AZ428*($AN$11-$AL$11)*($AM$11-$AL$11)),$AN$11-SQRT((1-AZ428)*($AN$11-$AL$11)*($AN$11-$AM$11))),$AM$11)</f>
        <v/>
      </c>
      <c r="AR428">
        <f>SUMPRODUCT((B24:B31&lt;=$B$6)*(C24:C31*AM428+D24:D31*AO428*$B$8*AQ428)/(1+AL428/100)^B24:B31)+C32*AM428*AP428/(1+AL428/100)^$B$6</f>
        <v/>
      </c>
      <c r="AS428">
        <f>SUMPRODUCT((K24:K26&lt;=$B$6)*(L24:L26*AN428+M24:M26*AO428*$B$8*AQ428)/(1+AL428/100)^K24:K26)+L27*AN428*AP428/(1+AL428/100)^$B$6</f>
        <v/>
      </c>
      <c r="AT428">
        <f>AS428-AR428</f>
        <v/>
      </c>
      <c r="AU428">
        <f>RAND()</f>
        <v/>
      </c>
      <c r="AV428">
        <f>RAND()</f>
        <v/>
      </c>
      <c r="AW428">
        <f>RAND()</f>
        <v/>
      </c>
      <c r="AX428">
        <f>RAND()</f>
        <v/>
      </c>
      <c r="AY428">
        <f>RAND()</f>
        <v/>
      </c>
      <c r="AZ428">
        <f>RAND()</f>
        <v/>
      </c>
    </row>
    <row r="429">
      <c r="AK429" t="n">
        <v>416</v>
      </c>
      <c r="AL429">
        <f>IFERROR(IF(AU429&lt;($AM$6-$AL$6)/($AN$6-$AL$6),$AL$6+SQRT(AU429*($AN$6-$AL$6)*($AM$6-$AL$6)),$AN$6-SQRT((1-AU429)*($AN$6-$AL$6)*($AN$6-$AM$6))),$AM$6)</f>
        <v/>
      </c>
      <c r="AM429">
        <f>IFERROR(IF(AV429&lt;($AM$7-$AL$7)/($AN$7-$AL$7),$AL$7+SQRT(AV429*($AN$7-$AL$7)*($AM$7-$AL$7)),$AN$7-SQRT((1-AV429)*($AN$7-$AL$7)*($AN$7-$AM$7))),$AM$7)</f>
        <v/>
      </c>
      <c r="AN429">
        <f>IFERROR(IF(AW429&lt;($AM$8-$AL$8)/($AN$8-$AL$8),$AL$8+SQRT(AW429*($AN$8-$AL$8)*($AM$8-$AL$8)),$AN$8-SQRT((1-AW429)*($AN$8-$AL$8)*($AN$8-$AM$8))),$AM$8)</f>
        <v/>
      </c>
      <c r="AO429">
        <f>IFERROR(IF(AX429&lt;($AM$9-$AL$9)/($AN$9-$AL$9),$AL$9+SQRT(AX429*($AN$9-$AL$9)*($AM$9-$AL$9)),$AN$9-SQRT((1-AX429)*($AN$9-$AL$9)*($AN$9-$AM$9))),$AM$9)</f>
        <v/>
      </c>
      <c r="AP429">
        <f>IFERROR(IF(AY429&lt;($AM$10-$AL$10)/($AN$10-$AL$10),$AL$10+SQRT(AY429*($AN$10-$AL$10)*($AM$10-$AL$10)),$AN$10-SQRT((1-AY429)*($AN$10-$AL$10)*($AN$10-$AM$10))),$AM$10)</f>
        <v/>
      </c>
      <c r="AQ429">
        <f>IFERROR(IF(AZ429&lt;($AM$11-$AL$11)/($AN$11-$AL$11),$AL$11+SQRT(AZ429*($AN$11-$AL$11)*($AM$11-$AL$11)),$AN$11-SQRT((1-AZ429)*($AN$11-$AL$11)*($AN$11-$AM$11))),$AM$11)</f>
        <v/>
      </c>
      <c r="AR429">
        <f>SUMPRODUCT((B24:B31&lt;=$B$6)*(C24:C31*AM429+D24:D31*AO429*$B$8*AQ429)/(1+AL429/100)^B24:B31)+C32*AM429*AP429/(1+AL429/100)^$B$6</f>
        <v/>
      </c>
      <c r="AS429">
        <f>SUMPRODUCT((K24:K26&lt;=$B$6)*(L24:L26*AN429+M24:M26*AO429*$B$8*AQ429)/(1+AL429/100)^K24:K26)+L27*AN429*AP429/(1+AL429/100)^$B$6</f>
        <v/>
      </c>
      <c r="AT429">
        <f>AS429-AR429</f>
        <v/>
      </c>
      <c r="AU429">
        <f>RAND()</f>
        <v/>
      </c>
      <c r="AV429">
        <f>RAND()</f>
        <v/>
      </c>
      <c r="AW429">
        <f>RAND()</f>
        <v/>
      </c>
      <c r="AX429">
        <f>RAND()</f>
        <v/>
      </c>
      <c r="AY429">
        <f>RAND()</f>
        <v/>
      </c>
      <c r="AZ429">
        <f>RAND()</f>
        <v/>
      </c>
    </row>
    <row r="430">
      <c r="AK430" t="n">
        <v>417</v>
      </c>
      <c r="AL430">
        <f>IFERROR(IF(AU430&lt;($AM$6-$AL$6)/($AN$6-$AL$6),$AL$6+SQRT(AU430*($AN$6-$AL$6)*($AM$6-$AL$6)),$AN$6-SQRT((1-AU430)*($AN$6-$AL$6)*($AN$6-$AM$6))),$AM$6)</f>
        <v/>
      </c>
      <c r="AM430">
        <f>IFERROR(IF(AV430&lt;($AM$7-$AL$7)/($AN$7-$AL$7),$AL$7+SQRT(AV430*($AN$7-$AL$7)*($AM$7-$AL$7)),$AN$7-SQRT((1-AV430)*($AN$7-$AL$7)*($AN$7-$AM$7))),$AM$7)</f>
        <v/>
      </c>
      <c r="AN430">
        <f>IFERROR(IF(AW430&lt;($AM$8-$AL$8)/($AN$8-$AL$8),$AL$8+SQRT(AW430*($AN$8-$AL$8)*($AM$8-$AL$8)),$AN$8-SQRT((1-AW430)*($AN$8-$AL$8)*($AN$8-$AM$8))),$AM$8)</f>
        <v/>
      </c>
      <c r="AO430">
        <f>IFERROR(IF(AX430&lt;($AM$9-$AL$9)/($AN$9-$AL$9),$AL$9+SQRT(AX430*($AN$9-$AL$9)*($AM$9-$AL$9)),$AN$9-SQRT((1-AX430)*($AN$9-$AL$9)*($AN$9-$AM$9))),$AM$9)</f>
        <v/>
      </c>
      <c r="AP430">
        <f>IFERROR(IF(AY430&lt;($AM$10-$AL$10)/($AN$10-$AL$10),$AL$10+SQRT(AY430*($AN$10-$AL$10)*($AM$10-$AL$10)),$AN$10-SQRT((1-AY430)*($AN$10-$AL$10)*($AN$10-$AM$10))),$AM$10)</f>
        <v/>
      </c>
      <c r="AQ430">
        <f>IFERROR(IF(AZ430&lt;($AM$11-$AL$11)/($AN$11-$AL$11),$AL$11+SQRT(AZ430*($AN$11-$AL$11)*($AM$11-$AL$11)),$AN$11-SQRT((1-AZ430)*($AN$11-$AL$11)*($AN$11-$AM$11))),$AM$11)</f>
        <v/>
      </c>
      <c r="AR430">
        <f>SUMPRODUCT((B24:B31&lt;=$B$6)*(C24:C31*AM430+D24:D31*AO430*$B$8*AQ430)/(1+AL430/100)^B24:B31)+C32*AM430*AP430/(1+AL430/100)^$B$6</f>
        <v/>
      </c>
      <c r="AS430">
        <f>SUMPRODUCT((K24:K26&lt;=$B$6)*(L24:L26*AN430+M24:M26*AO430*$B$8*AQ430)/(1+AL430/100)^K24:K26)+L27*AN430*AP430/(1+AL430/100)^$B$6</f>
        <v/>
      </c>
      <c r="AT430">
        <f>AS430-AR430</f>
        <v/>
      </c>
      <c r="AU430">
        <f>RAND()</f>
        <v/>
      </c>
      <c r="AV430">
        <f>RAND()</f>
        <v/>
      </c>
      <c r="AW430">
        <f>RAND()</f>
        <v/>
      </c>
      <c r="AX430">
        <f>RAND()</f>
        <v/>
      </c>
      <c r="AY430">
        <f>RAND()</f>
        <v/>
      </c>
      <c r="AZ430">
        <f>RAND()</f>
        <v/>
      </c>
    </row>
    <row r="431">
      <c r="AK431" t="n">
        <v>418</v>
      </c>
      <c r="AL431">
        <f>IFERROR(IF(AU431&lt;($AM$6-$AL$6)/($AN$6-$AL$6),$AL$6+SQRT(AU431*($AN$6-$AL$6)*($AM$6-$AL$6)),$AN$6-SQRT((1-AU431)*($AN$6-$AL$6)*($AN$6-$AM$6))),$AM$6)</f>
        <v/>
      </c>
      <c r="AM431">
        <f>IFERROR(IF(AV431&lt;($AM$7-$AL$7)/($AN$7-$AL$7),$AL$7+SQRT(AV431*($AN$7-$AL$7)*($AM$7-$AL$7)),$AN$7-SQRT((1-AV431)*($AN$7-$AL$7)*($AN$7-$AM$7))),$AM$7)</f>
        <v/>
      </c>
      <c r="AN431">
        <f>IFERROR(IF(AW431&lt;($AM$8-$AL$8)/($AN$8-$AL$8),$AL$8+SQRT(AW431*($AN$8-$AL$8)*($AM$8-$AL$8)),$AN$8-SQRT((1-AW431)*($AN$8-$AL$8)*($AN$8-$AM$8))),$AM$8)</f>
        <v/>
      </c>
      <c r="AO431">
        <f>IFERROR(IF(AX431&lt;($AM$9-$AL$9)/($AN$9-$AL$9),$AL$9+SQRT(AX431*($AN$9-$AL$9)*($AM$9-$AL$9)),$AN$9-SQRT((1-AX431)*($AN$9-$AL$9)*($AN$9-$AM$9))),$AM$9)</f>
        <v/>
      </c>
      <c r="AP431">
        <f>IFERROR(IF(AY431&lt;($AM$10-$AL$10)/($AN$10-$AL$10),$AL$10+SQRT(AY431*($AN$10-$AL$10)*($AM$10-$AL$10)),$AN$10-SQRT((1-AY431)*($AN$10-$AL$10)*($AN$10-$AM$10))),$AM$10)</f>
        <v/>
      </c>
      <c r="AQ431">
        <f>IFERROR(IF(AZ431&lt;($AM$11-$AL$11)/($AN$11-$AL$11),$AL$11+SQRT(AZ431*($AN$11-$AL$11)*($AM$11-$AL$11)),$AN$11-SQRT((1-AZ431)*($AN$11-$AL$11)*($AN$11-$AM$11))),$AM$11)</f>
        <v/>
      </c>
      <c r="AR431">
        <f>SUMPRODUCT((B24:B31&lt;=$B$6)*(C24:C31*AM431+D24:D31*AO431*$B$8*AQ431)/(1+AL431/100)^B24:B31)+C32*AM431*AP431/(1+AL431/100)^$B$6</f>
        <v/>
      </c>
      <c r="AS431">
        <f>SUMPRODUCT((K24:K26&lt;=$B$6)*(L24:L26*AN431+M24:M26*AO431*$B$8*AQ431)/(1+AL431/100)^K24:K26)+L27*AN431*AP431/(1+AL431/100)^$B$6</f>
        <v/>
      </c>
      <c r="AT431">
        <f>AS431-AR431</f>
        <v/>
      </c>
      <c r="AU431">
        <f>RAND()</f>
        <v/>
      </c>
      <c r="AV431">
        <f>RAND()</f>
        <v/>
      </c>
      <c r="AW431">
        <f>RAND()</f>
        <v/>
      </c>
      <c r="AX431">
        <f>RAND()</f>
        <v/>
      </c>
      <c r="AY431">
        <f>RAND()</f>
        <v/>
      </c>
      <c r="AZ431">
        <f>RAND()</f>
        <v/>
      </c>
    </row>
    <row r="432">
      <c r="AK432" t="n">
        <v>419</v>
      </c>
      <c r="AL432">
        <f>IFERROR(IF(AU432&lt;($AM$6-$AL$6)/($AN$6-$AL$6),$AL$6+SQRT(AU432*($AN$6-$AL$6)*($AM$6-$AL$6)),$AN$6-SQRT((1-AU432)*($AN$6-$AL$6)*($AN$6-$AM$6))),$AM$6)</f>
        <v/>
      </c>
      <c r="AM432">
        <f>IFERROR(IF(AV432&lt;($AM$7-$AL$7)/($AN$7-$AL$7),$AL$7+SQRT(AV432*($AN$7-$AL$7)*($AM$7-$AL$7)),$AN$7-SQRT((1-AV432)*($AN$7-$AL$7)*($AN$7-$AM$7))),$AM$7)</f>
        <v/>
      </c>
      <c r="AN432">
        <f>IFERROR(IF(AW432&lt;($AM$8-$AL$8)/($AN$8-$AL$8),$AL$8+SQRT(AW432*($AN$8-$AL$8)*($AM$8-$AL$8)),$AN$8-SQRT((1-AW432)*($AN$8-$AL$8)*($AN$8-$AM$8))),$AM$8)</f>
        <v/>
      </c>
      <c r="AO432">
        <f>IFERROR(IF(AX432&lt;($AM$9-$AL$9)/($AN$9-$AL$9),$AL$9+SQRT(AX432*($AN$9-$AL$9)*($AM$9-$AL$9)),$AN$9-SQRT((1-AX432)*($AN$9-$AL$9)*($AN$9-$AM$9))),$AM$9)</f>
        <v/>
      </c>
      <c r="AP432">
        <f>IFERROR(IF(AY432&lt;($AM$10-$AL$10)/($AN$10-$AL$10),$AL$10+SQRT(AY432*($AN$10-$AL$10)*($AM$10-$AL$10)),$AN$10-SQRT((1-AY432)*($AN$10-$AL$10)*($AN$10-$AM$10))),$AM$10)</f>
        <v/>
      </c>
      <c r="AQ432">
        <f>IFERROR(IF(AZ432&lt;($AM$11-$AL$11)/($AN$11-$AL$11),$AL$11+SQRT(AZ432*($AN$11-$AL$11)*($AM$11-$AL$11)),$AN$11-SQRT((1-AZ432)*($AN$11-$AL$11)*($AN$11-$AM$11))),$AM$11)</f>
        <v/>
      </c>
      <c r="AR432">
        <f>SUMPRODUCT((B24:B31&lt;=$B$6)*(C24:C31*AM432+D24:D31*AO432*$B$8*AQ432)/(1+AL432/100)^B24:B31)+C32*AM432*AP432/(1+AL432/100)^$B$6</f>
        <v/>
      </c>
      <c r="AS432">
        <f>SUMPRODUCT((K24:K26&lt;=$B$6)*(L24:L26*AN432+M24:M26*AO432*$B$8*AQ432)/(1+AL432/100)^K24:K26)+L27*AN432*AP432/(1+AL432/100)^$B$6</f>
        <v/>
      </c>
      <c r="AT432">
        <f>AS432-AR432</f>
        <v/>
      </c>
      <c r="AU432">
        <f>RAND()</f>
        <v/>
      </c>
      <c r="AV432">
        <f>RAND()</f>
        <v/>
      </c>
      <c r="AW432">
        <f>RAND()</f>
        <v/>
      </c>
      <c r="AX432">
        <f>RAND()</f>
        <v/>
      </c>
      <c r="AY432">
        <f>RAND()</f>
        <v/>
      </c>
      <c r="AZ432">
        <f>RAND()</f>
        <v/>
      </c>
    </row>
    <row r="433">
      <c r="AK433" t="n">
        <v>420</v>
      </c>
      <c r="AL433">
        <f>IFERROR(IF(AU433&lt;($AM$6-$AL$6)/($AN$6-$AL$6),$AL$6+SQRT(AU433*($AN$6-$AL$6)*($AM$6-$AL$6)),$AN$6-SQRT((1-AU433)*($AN$6-$AL$6)*($AN$6-$AM$6))),$AM$6)</f>
        <v/>
      </c>
      <c r="AM433">
        <f>IFERROR(IF(AV433&lt;($AM$7-$AL$7)/($AN$7-$AL$7),$AL$7+SQRT(AV433*($AN$7-$AL$7)*($AM$7-$AL$7)),$AN$7-SQRT((1-AV433)*($AN$7-$AL$7)*($AN$7-$AM$7))),$AM$7)</f>
        <v/>
      </c>
      <c r="AN433">
        <f>IFERROR(IF(AW433&lt;($AM$8-$AL$8)/($AN$8-$AL$8),$AL$8+SQRT(AW433*($AN$8-$AL$8)*($AM$8-$AL$8)),$AN$8-SQRT((1-AW433)*($AN$8-$AL$8)*($AN$8-$AM$8))),$AM$8)</f>
        <v/>
      </c>
      <c r="AO433">
        <f>IFERROR(IF(AX433&lt;($AM$9-$AL$9)/($AN$9-$AL$9),$AL$9+SQRT(AX433*($AN$9-$AL$9)*($AM$9-$AL$9)),$AN$9-SQRT((1-AX433)*($AN$9-$AL$9)*($AN$9-$AM$9))),$AM$9)</f>
        <v/>
      </c>
      <c r="AP433">
        <f>IFERROR(IF(AY433&lt;($AM$10-$AL$10)/($AN$10-$AL$10),$AL$10+SQRT(AY433*($AN$10-$AL$10)*($AM$10-$AL$10)),$AN$10-SQRT((1-AY433)*($AN$10-$AL$10)*($AN$10-$AM$10))),$AM$10)</f>
        <v/>
      </c>
      <c r="AQ433">
        <f>IFERROR(IF(AZ433&lt;($AM$11-$AL$11)/($AN$11-$AL$11),$AL$11+SQRT(AZ433*($AN$11-$AL$11)*($AM$11-$AL$11)),$AN$11-SQRT((1-AZ433)*($AN$11-$AL$11)*($AN$11-$AM$11))),$AM$11)</f>
        <v/>
      </c>
      <c r="AR433">
        <f>SUMPRODUCT((B24:B31&lt;=$B$6)*(C24:C31*AM433+D24:D31*AO433*$B$8*AQ433)/(1+AL433/100)^B24:B31)+C32*AM433*AP433/(1+AL433/100)^$B$6</f>
        <v/>
      </c>
      <c r="AS433">
        <f>SUMPRODUCT((K24:K26&lt;=$B$6)*(L24:L26*AN433+M24:M26*AO433*$B$8*AQ433)/(1+AL433/100)^K24:K26)+L27*AN433*AP433/(1+AL433/100)^$B$6</f>
        <v/>
      </c>
      <c r="AT433">
        <f>AS433-AR433</f>
        <v/>
      </c>
      <c r="AU433">
        <f>RAND()</f>
        <v/>
      </c>
      <c r="AV433">
        <f>RAND()</f>
        <v/>
      </c>
      <c r="AW433">
        <f>RAND()</f>
        <v/>
      </c>
      <c r="AX433">
        <f>RAND()</f>
        <v/>
      </c>
      <c r="AY433">
        <f>RAND()</f>
        <v/>
      </c>
      <c r="AZ433">
        <f>RAND()</f>
        <v/>
      </c>
    </row>
    <row r="434">
      <c r="AK434" t="n">
        <v>421</v>
      </c>
      <c r="AL434">
        <f>IFERROR(IF(AU434&lt;($AM$6-$AL$6)/($AN$6-$AL$6),$AL$6+SQRT(AU434*($AN$6-$AL$6)*($AM$6-$AL$6)),$AN$6-SQRT((1-AU434)*($AN$6-$AL$6)*($AN$6-$AM$6))),$AM$6)</f>
        <v/>
      </c>
      <c r="AM434">
        <f>IFERROR(IF(AV434&lt;($AM$7-$AL$7)/($AN$7-$AL$7),$AL$7+SQRT(AV434*($AN$7-$AL$7)*($AM$7-$AL$7)),$AN$7-SQRT((1-AV434)*($AN$7-$AL$7)*($AN$7-$AM$7))),$AM$7)</f>
        <v/>
      </c>
      <c r="AN434">
        <f>IFERROR(IF(AW434&lt;($AM$8-$AL$8)/($AN$8-$AL$8),$AL$8+SQRT(AW434*($AN$8-$AL$8)*($AM$8-$AL$8)),$AN$8-SQRT((1-AW434)*($AN$8-$AL$8)*($AN$8-$AM$8))),$AM$8)</f>
        <v/>
      </c>
      <c r="AO434">
        <f>IFERROR(IF(AX434&lt;($AM$9-$AL$9)/($AN$9-$AL$9),$AL$9+SQRT(AX434*($AN$9-$AL$9)*($AM$9-$AL$9)),$AN$9-SQRT((1-AX434)*($AN$9-$AL$9)*($AN$9-$AM$9))),$AM$9)</f>
        <v/>
      </c>
      <c r="AP434">
        <f>IFERROR(IF(AY434&lt;($AM$10-$AL$10)/($AN$10-$AL$10),$AL$10+SQRT(AY434*($AN$10-$AL$10)*($AM$10-$AL$10)),$AN$10-SQRT((1-AY434)*($AN$10-$AL$10)*($AN$10-$AM$10))),$AM$10)</f>
        <v/>
      </c>
      <c r="AQ434">
        <f>IFERROR(IF(AZ434&lt;($AM$11-$AL$11)/($AN$11-$AL$11),$AL$11+SQRT(AZ434*($AN$11-$AL$11)*($AM$11-$AL$11)),$AN$11-SQRT((1-AZ434)*($AN$11-$AL$11)*($AN$11-$AM$11))),$AM$11)</f>
        <v/>
      </c>
      <c r="AR434">
        <f>SUMPRODUCT((B24:B31&lt;=$B$6)*(C24:C31*AM434+D24:D31*AO434*$B$8*AQ434)/(1+AL434/100)^B24:B31)+C32*AM434*AP434/(1+AL434/100)^$B$6</f>
        <v/>
      </c>
      <c r="AS434">
        <f>SUMPRODUCT((K24:K26&lt;=$B$6)*(L24:L26*AN434+M24:M26*AO434*$B$8*AQ434)/(1+AL434/100)^K24:K26)+L27*AN434*AP434/(1+AL434/100)^$B$6</f>
        <v/>
      </c>
      <c r="AT434">
        <f>AS434-AR434</f>
        <v/>
      </c>
      <c r="AU434">
        <f>RAND()</f>
        <v/>
      </c>
      <c r="AV434">
        <f>RAND()</f>
        <v/>
      </c>
      <c r="AW434">
        <f>RAND()</f>
        <v/>
      </c>
      <c r="AX434">
        <f>RAND()</f>
        <v/>
      </c>
      <c r="AY434">
        <f>RAND()</f>
        <v/>
      </c>
      <c r="AZ434">
        <f>RAND()</f>
        <v/>
      </c>
    </row>
    <row r="435">
      <c r="AK435" t="n">
        <v>422</v>
      </c>
      <c r="AL435">
        <f>IFERROR(IF(AU435&lt;($AM$6-$AL$6)/($AN$6-$AL$6),$AL$6+SQRT(AU435*($AN$6-$AL$6)*($AM$6-$AL$6)),$AN$6-SQRT((1-AU435)*($AN$6-$AL$6)*($AN$6-$AM$6))),$AM$6)</f>
        <v/>
      </c>
      <c r="AM435">
        <f>IFERROR(IF(AV435&lt;($AM$7-$AL$7)/($AN$7-$AL$7),$AL$7+SQRT(AV435*($AN$7-$AL$7)*($AM$7-$AL$7)),$AN$7-SQRT((1-AV435)*($AN$7-$AL$7)*($AN$7-$AM$7))),$AM$7)</f>
        <v/>
      </c>
      <c r="AN435">
        <f>IFERROR(IF(AW435&lt;($AM$8-$AL$8)/($AN$8-$AL$8),$AL$8+SQRT(AW435*($AN$8-$AL$8)*($AM$8-$AL$8)),$AN$8-SQRT((1-AW435)*($AN$8-$AL$8)*($AN$8-$AM$8))),$AM$8)</f>
        <v/>
      </c>
      <c r="AO435">
        <f>IFERROR(IF(AX435&lt;($AM$9-$AL$9)/($AN$9-$AL$9),$AL$9+SQRT(AX435*($AN$9-$AL$9)*($AM$9-$AL$9)),$AN$9-SQRT((1-AX435)*($AN$9-$AL$9)*($AN$9-$AM$9))),$AM$9)</f>
        <v/>
      </c>
      <c r="AP435">
        <f>IFERROR(IF(AY435&lt;($AM$10-$AL$10)/($AN$10-$AL$10),$AL$10+SQRT(AY435*($AN$10-$AL$10)*($AM$10-$AL$10)),$AN$10-SQRT((1-AY435)*($AN$10-$AL$10)*($AN$10-$AM$10))),$AM$10)</f>
        <v/>
      </c>
      <c r="AQ435">
        <f>IFERROR(IF(AZ435&lt;($AM$11-$AL$11)/($AN$11-$AL$11),$AL$11+SQRT(AZ435*($AN$11-$AL$11)*($AM$11-$AL$11)),$AN$11-SQRT((1-AZ435)*($AN$11-$AL$11)*($AN$11-$AM$11))),$AM$11)</f>
        <v/>
      </c>
      <c r="AR435">
        <f>SUMPRODUCT((B24:B31&lt;=$B$6)*(C24:C31*AM435+D24:D31*AO435*$B$8*AQ435)/(1+AL435/100)^B24:B31)+C32*AM435*AP435/(1+AL435/100)^$B$6</f>
        <v/>
      </c>
      <c r="AS435">
        <f>SUMPRODUCT((K24:K26&lt;=$B$6)*(L24:L26*AN435+M24:M26*AO435*$B$8*AQ435)/(1+AL435/100)^K24:K26)+L27*AN435*AP435/(1+AL435/100)^$B$6</f>
        <v/>
      </c>
      <c r="AT435">
        <f>AS435-AR435</f>
        <v/>
      </c>
      <c r="AU435">
        <f>RAND()</f>
        <v/>
      </c>
      <c r="AV435">
        <f>RAND()</f>
        <v/>
      </c>
      <c r="AW435">
        <f>RAND()</f>
        <v/>
      </c>
      <c r="AX435">
        <f>RAND()</f>
        <v/>
      </c>
      <c r="AY435">
        <f>RAND()</f>
        <v/>
      </c>
      <c r="AZ435">
        <f>RAND()</f>
        <v/>
      </c>
    </row>
    <row r="436">
      <c r="AK436" t="n">
        <v>423</v>
      </c>
      <c r="AL436">
        <f>IFERROR(IF(AU436&lt;($AM$6-$AL$6)/($AN$6-$AL$6),$AL$6+SQRT(AU436*($AN$6-$AL$6)*($AM$6-$AL$6)),$AN$6-SQRT((1-AU436)*($AN$6-$AL$6)*($AN$6-$AM$6))),$AM$6)</f>
        <v/>
      </c>
      <c r="AM436">
        <f>IFERROR(IF(AV436&lt;($AM$7-$AL$7)/($AN$7-$AL$7),$AL$7+SQRT(AV436*($AN$7-$AL$7)*($AM$7-$AL$7)),$AN$7-SQRT((1-AV436)*($AN$7-$AL$7)*($AN$7-$AM$7))),$AM$7)</f>
        <v/>
      </c>
      <c r="AN436">
        <f>IFERROR(IF(AW436&lt;($AM$8-$AL$8)/($AN$8-$AL$8),$AL$8+SQRT(AW436*($AN$8-$AL$8)*($AM$8-$AL$8)),$AN$8-SQRT((1-AW436)*($AN$8-$AL$8)*($AN$8-$AM$8))),$AM$8)</f>
        <v/>
      </c>
      <c r="AO436">
        <f>IFERROR(IF(AX436&lt;($AM$9-$AL$9)/($AN$9-$AL$9),$AL$9+SQRT(AX436*($AN$9-$AL$9)*($AM$9-$AL$9)),$AN$9-SQRT((1-AX436)*($AN$9-$AL$9)*($AN$9-$AM$9))),$AM$9)</f>
        <v/>
      </c>
      <c r="AP436">
        <f>IFERROR(IF(AY436&lt;($AM$10-$AL$10)/($AN$10-$AL$10),$AL$10+SQRT(AY436*($AN$10-$AL$10)*($AM$10-$AL$10)),$AN$10-SQRT((1-AY436)*($AN$10-$AL$10)*($AN$10-$AM$10))),$AM$10)</f>
        <v/>
      </c>
      <c r="AQ436">
        <f>IFERROR(IF(AZ436&lt;($AM$11-$AL$11)/($AN$11-$AL$11),$AL$11+SQRT(AZ436*($AN$11-$AL$11)*($AM$11-$AL$11)),$AN$11-SQRT((1-AZ436)*($AN$11-$AL$11)*($AN$11-$AM$11))),$AM$11)</f>
        <v/>
      </c>
      <c r="AR436">
        <f>SUMPRODUCT((B24:B31&lt;=$B$6)*(C24:C31*AM436+D24:D31*AO436*$B$8*AQ436)/(1+AL436/100)^B24:B31)+C32*AM436*AP436/(1+AL436/100)^$B$6</f>
        <v/>
      </c>
      <c r="AS436">
        <f>SUMPRODUCT((K24:K26&lt;=$B$6)*(L24:L26*AN436+M24:M26*AO436*$B$8*AQ436)/(1+AL436/100)^K24:K26)+L27*AN436*AP436/(1+AL436/100)^$B$6</f>
        <v/>
      </c>
      <c r="AT436">
        <f>AS436-AR436</f>
        <v/>
      </c>
      <c r="AU436">
        <f>RAND()</f>
        <v/>
      </c>
      <c r="AV436">
        <f>RAND()</f>
        <v/>
      </c>
      <c r="AW436">
        <f>RAND()</f>
        <v/>
      </c>
      <c r="AX436">
        <f>RAND()</f>
        <v/>
      </c>
      <c r="AY436">
        <f>RAND()</f>
        <v/>
      </c>
      <c r="AZ436">
        <f>RAND()</f>
        <v/>
      </c>
    </row>
    <row r="437">
      <c r="AK437" t="n">
        <v>424</v>
      </c>
      <c r="AL437">
        <f>IFERROR(IF(AU437&lt;($AM$6-$AL$6)/($AN$6-$AL$6),$AL$6+SQRT(AU437*($AN$6-$AL$6)*($AM$6-$AL$6)),$AN$6-SQRT((1-AU437)*($AN$6-$AL$6)*($AN$6-$AM$6))),$AM$6)</f>
        <v/>
      </c>
      <c r="AM437">
        <f>IFERROR(IF(AV437&lt;($AM$7-$AL$7)/($AN$7-$AL$7),$AL$7+SQRT(AV437*($AN$7-$AL$7)*($AM$7-$AL$7)),$AN$7-SQRT((1-AV437)*($AN$7-$AL$7)*($AN$7-$AM$7))),$AM$7)</f>
        <v/>
      </c>
      <c r="AN437">
        <f>IFERROR(IF(AW437&lt;($AM$8-$AL$8)/($AN$8-$AL$8),$AL$8+SQRT(AW437*($AN$8-$AL$8)*($AM$8-$AL$8)),$AN$8-SQRT((1-AW437)*($AN$8-$AL$8)*($AN$8-$AM$8))),$AM$8)</f>
        <v/>
      </c>
      <c r="AO437">
        <f>IFERROR(IF(AX437&lt;($AM$9-$AL$9)/($AN$9-$AL$9),$AL$9+SQRT(AX437*($AN$9-$AL$9)*($AM$9-$AL$9)),$AN$9-SQRT((1-AX437)*($AN$9-$AL$9)*($AN$9-$AM$9))),$AM$9)</f>
        <v/>
      </c>
      <c r="AP437">
        <f>IFERROR(IF(AY437&lt;($AM$10-$AL$10)/($AN$10-$AL$10),$AL$10+SQRT(AY437*($AN$10-$AL$10)*($AM$10-$AL$10)),$AN$10-SQRT((1-AY437)*($AN$10-$AL$10)*($AN$10-$AM$10))),$AM$10)</f>
        <v/>
      </c>
      <c r="AQ437">
        <f>IFERROR(IF(AZ437&lt;($AM$11-$AL$11)/($AN$11-$AL$11),$AL$11+SQRT(AZ437*($AN$11-$AL$11)*($AM$11-$AL$11)),$AN$11-SQRT((1-AZ437)*($AN$11-$AL$11)*($AN$11-$AM$11))),$AM$11)</f>
        <v/>
      </c>
      <c r="AR437">
        <f>SUMPRODUCT((B24:B31&lt;=$B$6)*(C24:C31*AM437+D24:D31*AO437*$B$8*AQ437)/(1+AL437/100)^B24:B31)+C32*AM437*AP437/(1+AL437/100)^$B$6</f>
        <v/>
      </c>
      <c r="AS437">
        <f>SUMPRODUCT((K24:K26&lt;=$B$6)*(L24:L26*AN437+M24:M26*AO437*$B$8*AQ437)/(1+AL437/100)^K24:K26)+L27*AN437*AP437/(1+AL437/100)^$B$6</f>
        <v/>
      </c>
      <c r="AT437">
        <f>AS437-AR437</f>
        <v/>
      </c>
      <c r="AU437">
        <f>RAND()</f>
        <v/>
      </c>
      <c r="AV437">
        <f>RAND()</f>
        <v/>
      </c>
      <c r="AW437">
        <f>RAND()</f>
        <v/>
      </c>
      <c r="AX437">
        <f>RAND()</f>
        <v/>
      </c>
      <c r="AY437">
        <f>RAND()</f>
        <v/>
      </c>
      <c r="AZ437">
        <f>RAND()</f>
        <v/>
      </c>
    </row>
    <row r="438">
      <c r="AK438" t="n">
        <v>425</v>
      </c>
      <c r="AL438">
        <f>IFERROR(IF(AU438&lt;($AM$6-$AL$6)/($AN$6-$AL$6),$AL$6+SQRT(AU438*($AN$6-$AL$6)*($AM$6-$AL$6)),$AN$6-SQRT((1-AU438)*($AN$6-$AL$6)*($AN$6-$AM$6))),$AM$6)</f>
        <v/>
      </c>
      <c r="AM438">
        <f>IFERROR(IF(AV438&lt;($AM$7-$AL$7)/($AN$7-$AL$7),$AL$7+SQRT(AV438*($AN$7-$AL$7)*($AM$7-$AL$7)),$AN$7-SQRT((1-AV438)*($AN$7-$AL$7)*($AN$7-$AM$7))),$AM$7)</f>
        <v/>
      </c>
      <c r="AN438">
        <f>IFERROR(IF(AW438&lt;($AM$8-$AL$8)/($AN$8-$AL$8),$AL$8+SQRT(AW438*($AN$8-$AL$8)*($AM$8-$AL$8)),$AN$8-SQRT((1-AW438)*($AN$8-$AL$8)*($AN$8-$AM$8))),$AM$8)</f>
        <v/>
      </c>
      <c r="AO438">
        <f>IFERROR(IF(AX438&lt;($AM$9-$AL$9)/($AN$9-$AL$9),$AL$9+SQRT(AX438*($AN$9-$AL$9)*($AM$9-$AL$9)),$AN$9-SQRT((1-AX438)*($AN$9-$AL$9)*($AN$9-$AM$9))),$AM$9)</f>
        <v/>
      </c>
      <c r="AP438">
        <f>IFERROR(IF(AY438&lt;($AM$10-$AL$10)/($AN$10-$AL$10),$AL$10+SQRT(AY438*($AN$10-$AL$10)*($AM$10-$AL$10)),$AN$10-SQRT((1-AY438)*($AN$10-$AL$10)*($AN$10-$AM$10))),$AM$10)</f>
        <v/>
      </c>
      <c r="AQ438">
        <f>IFERROR(IF(AZ438&lt;($AM$11-$AL$11)/($AN$11-$AL$11),$AL$11+SQRT(AZ438*($AN$11-$AL$11)*($AM$11-$AL$11)),$AN$11-SQRT((1-AZ438)*($AN$11-$AL$11)*($AN$11-$AM$11))),$AM$11)</f>
        <v/>
      </c>
      <c r="AR438">
        <f>SUMPRODUCT((B24:B31&lt;=$B$6)*(C24:C31*AM438+D24:D31*AO438*$B$8*AQ438)/(1+AL438/100)^B24:B31)+C32*AM438*AP438/(1+AL438/100)^$B$6</f>
        <v/>
      </c>
      <c r="AS438">
        <f>SUMPRODUCT((K24:K26&lt;=$B$6)*(L24:L26*AN438+M24:M26*AO438*$B$8*AQ438)/(1+AL438/100)^K24:K26)+L27*AN438*AP438/(1+AL438/100)^$B$6</f>
        <v/>
      </c>
      <c r="AT438">
        <f>AS438-AR438</f>
        <v/>
      </c>
      <c r="AU438">
        <f>RAND()</f>
        <v/>
      </c>
      <c r="AV438">
        <f>RAND()</f>
        <v/>
      </c>
      <c r="AW438">
        <f>RAND()</f>
        <v/>
      </c>
      <c r="AX438">
        <f>RAND()</f>
        <v/>
      </c>
      <c r="AY438">
        <f>RAND()</f>
        <v/>
      </c>
      <c r="AZ438">
        <f>RAND()</f>
        <v/>
      </c>
    </row>
    <row r="439">
      <c r="AK439" t="n">
        <v>426</v>
      </c>
      <c r="AL439">
        <f>IFERROR(IF(AU439&lt;($AM$6-$AL$6)/($AN$6-$AL$6),$AL$6+SQRT(AU439*($AN$6-$AL$6)*($AM$6-$AL$6)),$AN$6-SQRT((1-AU439)*($AN$6-$AL$6)*($AN$6-$AM$6))),$AM$6)</f>
        <v/>
      </c>
      <c r="AM439">
        <f>IFERROR(IF(AV439&lt;($AM$7-$AL$7)/($AN$7-$AL$7),$AL$7+SQRT(AV439*($AN$7-$AL$7)*($AM$7-$AL$7)),$AN$7-SQRT((1-AV439)*($AN$7-$AL$7)*($AN$7-$AM$7))),$AM$7)</f>
        <v/>
      </c>
      <c r="AN439">
        <f>IFERROR(IF(AW439&lt;($AM$8-$AL$8)/($AN$8-$AL$8),$AL$8+SQRT(AW439*($AN$8-$AL$8)*($AM$8-$AL$8)),$AN$8-SQRT((1-AW439)*($AN$8-$AL$8)*($AN$8-$AM$8))),$AM$8)</f>
        <v/>
      </c>
      <c r="AO439">
        <f>IFERROR(IF(AX439&lt;($AM$9-$AL$9)/($AN$9-$AL$9),$AL$9+SQRT(AX439*($AN$9-$AL$9)*($AM$9-$AL$9)),$AN$9-SQRT((1-AX439)*($AN$9-$AL$9)*($AN$9-$AM$9))),$AM$9)</f>
        <v/>
      </c>
      <c r="AP439">
        <f>IFERROR(IF(AY439&lt;($AM$10-$AL$10)/($AN$10-$AL$10),$AL$10+SQRT(AY439*($AN$10-$AL$10)*($AM$10-$AL$10)),$AN$10-SQRT((1-AY439)*($AN$10-$AL$10)*($AN$10-$AM$10))),$AM$10)</f>
        <v/>
      </c>
      <c r="AQ439">
        <f>IFERROR(IF(AZ439&lt;($AM$11-$AL$11)/($AN$11-$AL$11),$AL$11+SQRT(AZ439*($AN$11-$AL$11)*($AM$11-$AL$11)),$AN$11-SQRT((1-AZ439)*($AN$11-$AL$11)*($AN$11-$AM$11))),$AM$11)</f>
        <v/>
      </c>
      <c r="AR439">
        <f>SUMPRODUCT((B24:B31&lt;=$B$6)*(C24:C31*AM439+D24:D31*AO439*$B$8*AQ439)/(1+AL439/100)^B24:B31)+C32*AM439*AP439/(1+AL439/100)^$B$6</f>
        <v/>
      </c>
      <c r="AS439">
        <f>SUMPRODUCT((K24:K26&lt;=$B$6)*(L24:L26*AN439+M24:M26*AO439*$B$8*AQ439)/(1+AL439/100)^K24:K26)+L27*AN439*AP439/(1+AL439/100)^$B$6</f>
        <v/>
      </c>
      <c r="AT439">
        <f>AS439-AR439</f>
        <v/>
      </c>
      <c r="AU439">
        <f>RAND()</f>
        <v/>
      </c>
      <c r="AV439">
        <f>RAND()</f>
        <v/>
      </c>
      <c r="AW439">
        <f>RAND()</f>
        <v/>
      </c>
      <c r="AX439">
        <f>RAND()</f>
        <v/>
      </c>
      <c r="AY439">
        <f>RAND()</f>
        <v/>
      </c>
      <c r="AZ439">
        <f>RAND()</f>
        <v/>
      </c>
    </row>
    <row r="440">
      <c r="AK440" t="n">
        <v>427</v>
      </c>
      <c r="AL440">
        <f>IFERROR(IF(AU440&lt;($AM$6-$AL$6)/($AN$6-$AL$6),$AL$6+SQRT(AU440*($AN$6-$AL$6)*($AM$6-$AL$6)),$AN$6-SQRT((1-AU440)*($AN$6-$AL$6)*($AN$6-$AM$6))),$AM$6)</f>
        <v/>
      </c>
      <c r="AM440">
        <f>IFERROR(IF(AV440&lt;($AM$7-$AL$7)/($AN$7-$AL$7),$AL$7+SQRT(AV440*($AN$7-$AL$7)*($AM$7-$AL$7)),$AN$7-SQRT((1-AV440)*($AN$7-$AL$7)*($AN$7-$AM$7))),$AM$7)</f>
        <v/>
      </c>
      <c r="AN440">
        <f>IFERROR(IF(AW440&lt;($AM$8-$AL$8)/($AN$8-$AL$8),$AL$8+SQRT(AW440*($AN$8-$AL$8)*($AM$8-$AL$8)),$AN$8-SQRT((1-AW440)*($AN$8-$AL$8)*($AN$8-$AM$8))),$AM$8)</f>
        <v/>
      </c>
      <c r="AO440">
        <f>IFERROR(IF(AX440&lt;($AM$9-$AL$9)/($AN$9-$AL$9),$AL$9+SQRT(AX440*($AN$9-$AL$9)*($AM$9-$AL$9)),$AN$9-SQRT((1-AX440)*($AN$9-$AL$9)*($AN$9-$AM$9))),$AM$9)</f>
        <v/>
      </c>
      <c r="AP440">
        <f>IFERROR(IF(AY440&lt;($AM$10-$AL$10)/($AN$10-$AL$10),$AL$10+SQRT(AY440*($AN$10-$AL$10)*($AM$10-$AL$10)),$AN$10-SQRT((1-AY440)*($AN$10-$AL$10)*($AN$10-$AM$10))),$AM$10)</f>
        <v/>
      </c>
      <c r="AQ440">
        <f>IFERROR(IF(AZ440&lt;($AM$11-$AL$11)/($AN$11-$AL$11),$AL$11+SQRT(AZ440*($AN$11-$AL$11)*($AM$11-$AL$11)),$AN$11-SQRT((1-AZ440)*($AN$11-$AL$11)*($AN$11-$AM$11))),$AM$11)</f>
        <v/>
      </c>
      <c r="AR440">
        <f>SUMPRODUCT((B24:B31&lt;=$B$6)*(C24:C31*AM440+D24:D31*AO440*$B$8*AQ440)/(1+AL440/100)^B24:B31)+C32*AM440*AP440/(1+AL440/100)^$B$6</f>
        <v/>
      </c>
      <c r="AS440">
        <f>SUMPRODUCT((K24:K26&lt;=$B$6)*(L24:L26*AN440+M24:M26*AO440*$B$8*AQ440)/(1+AL440/100)^K24:K26)+L27*AN440*AP440/(1+AL440/100)^$B$6</f>
        <v/>
      </c>
      <c r="AT440">
        <f>AS440-AR440</f>
        <v/>
      </c>
      <c r="AU440">
        <f>RAND()</f>
        <v/>
      </c>
      <c r="AV440">
        <f>RAND()</f>
        <v/>
      </c>
      <c r="AW440">
        <f>RAND()</f>
        <v/>
      </c>
      <c r="AX440">
        <f>RAND()</f>
        <v/>
      </c>
      <c r="AY440">
        <f>RAND()</f>
        <v/>
      </c>
      <c r="AZ440">
        <f>RAND()</f>
        <v/>
      </c>
    </row>
    <row r="441">
      <c r="AK441" t="n">
        <v>428</v>
      </c>
      <c r="AL441">
        <f>IFERROR(IF(AU441&lt;($AM$6-$AL$6)/($AN$6-$AL$6),$AL$6+SQRT(AU441*($AN$6-$AL$6)*($AM$6-$AL$6)),$AN$6-SQRT((1-AU441)*($AN$6-$AL$6)*($AN$6-$AM$6))),$AM$6)</f>
        <v/>
      </c>
      <c r="AM441">
        <f>IFERROR(IF(AV441&lt;($AM$7-$AL$7)/($AN$7-$AL$7),$AL$7+SQRT(AV441*($AN$7-$AL$7)*($AM$7-$AL$7)),$AN$7-SQRT((1-AV441)*($AN$7-$AL$7)*($AN$7-$AM$7))),$AM$7)</f>
        <v/>
      </c>
      <c r="AN441">
        <f>IFERROR(IF(AW441&lt;($AM$8-$AL$8)/($AN$8-$AL$8),$AL$8+SQRT(AW441*($AN$8-$AL$8)*($AM$8-$AL$8)),$AN$8-SQRT((1-AW441)*($AN$8-$AL$8)*($AN$8-$AM$8))),$AM$8)</f>
        <v/>
      </c>
      <c r="AO441">
        <f>IFERROR(IF(AX441&lt;($AM$9-$AL$9)/($AN$9-$AL$9),$AL$9+SQRT(AX441*($AN$9-$AL$9)*($AM$9-$AL$9)),$AN$9-SQRT((1-AX441)*($AN$9-$AL$9)*($AN$9-$AM$9))),$AM$9)</f>
        <v/>
      </c>
      <c r="AP441">
        <f>IFERROR(IF(AY441&lt;($AM$10-$AL$10)/($AN$10-$AL$10),$AL$10+SQRT(AY441*($AN$10-$AL$10)*($AM$10-$AL$10)),$AN$10-SQRT((1-AY441)*($AN$10-$AL$10)*($AN$10-$AM$10))),$AM$10)</f>
        <v/>
      </c>
      <c r="AQ441">
        <f>IFERROR(IF(AZ441&lt;($AM$11-$AL$11)/($AN$11-$AL$11),$AL$11+SQRT(AZ441*($AN$11-$AL$11)*($AM$11-$AL$11)),$AN$11-SQRT((1-AZ441)*($AN$11-$AL$11)*($AN$11-$AM$11))),$AM$11)</f>
        <v/>
      </c>
      <c r="AR441">
        <f>SUMPRODUCT((B24:B31&lt;=$B$6)*(C24:C31*AM441+D24:D31*AO441*$B$8*AQ441)/(1+AL441/100)^B24:B31)+C32*AM441*AP441/(1+AL441/100)^$B$6</f>
        <v/>
      </c>
      <c r="AS441">
        <f>SUMPRODUCT((K24:K26&lt;=$B$6)*(L24:L26*AN441+M24:M26*AO441*$B$8*AQ441)/(1+AL441/100)^K24:K26)+L27*AN441*AP441/(1+AL441/100)^$B$6</f>
        <v/>
      </c>
      <c r="AT441">
        <f>AS441-AR441</f>
        <v/>
      </c>
      <c r="AU441">
        <f>RAND()</f>
        <v/>
      </c>
      <c r="AV441">
        <f>RAND()</f>
        <v/>
      </c>
      <c r="AW441">
        <f>RAND()</f>
        <v/>
      </c>
      <c r="AX441">
        <f>RAND()</f>
        <v/>
      </c>
      <c r="AY441">
        <f>RAND()</f>
        <v/>
      </c>
      <c r="AZ441">
        <f>RAND()</f>
        <v/>
      </c>
    </row>
    <row r="442">
      <c r="AK442" t="n">
        <v>429</v>
      </c>
      <c r="AL442">
        <f>IFERROR(IF(AU442&lt;($AM$6-$AL$6)/($AN$6-$AL$6),$AL$6+SQRT(AU442*($AN$6-$AL$6)*($AM$6-$AL$6)),$AN$6-SQRT((1-AU442)*($AN$6-$AL$6)*($AN$6-$AM$6))),$AM$6)</f>
        <v/>
      </c>
      <c r="AM442">
        <f>IFERROR(IF(AV442&lt;($AM$7-$AL$7)/($AN$7-$AL$7),$AL$7+SQRT(AV442*($AN$7-$AL$7)*($AM$7-$AL$7)),$AN$7-SQRT((1-AV442)*($AN$7-$AL$7)*($AN$7-$AM$7))),$AM$7)</f>
        <v/>
      </c>
      <c r="AN442">
        <f>IFERROR(IF(AW442&lt;($AM$8-$AL$8)/($AN$8-$AL$8),$AL$8+SQRT(AW442*($AN$8-$AL$8)*($AM$8-$AL$8)),$AN$8-SQRT((1-AW442)*($AN$8-$AL$8)*($AN$8-$AM$8))),$AM$8)</f>
        <v/>
      </c>
      <c r="AO442">
        <f>IFERROR(IF(AX442&lt;($AM$9-$AL$9)/($AN$9-$AL$9),$AL$9+SQRT(AX442*($AN$9-$AL$9)*($AM$9-$AL$9)),$AN$9-SQRT((1-AX442)*($AN$9-$AL$9)*($AN$9-$AM$9))),$AM$9)</f>
        <v/>
      </c>
      <c r="AP442">
        <f>IFERROR(IF(AY442&lt;($AM$10-$AL$10)/($AN$10-$AL$10),$AL$10+SQRT(AY442*($AN$10-$AL$10)*($AM$10-$AL$10)),$AN$10-SQRT((1-AY442)*($AN$10-$AL$10)*($AN$10-$AM$10))),$AM$10)</f>
        <v/>
      </c>
      <c r="AQ442">
        <f>IFERROR(IF(AZ442&lt;($AM$11-$AL$11)/($AN$11-$AL$11),$AL$11+SQRT(AZ442*($AN$11-$AL$11)*($AM$11-$AL$11)),$AN$11-SQRT((1-AZ442)*($AN$11-$AL$11)*($AN$11-$AM$11))),$AM$11)</f>
        <v/>
      </c>
      <c r="AR442">
        <f>SUMPRODUCT((B24:B31&lt;=$B$6)*(C24:C31*AM442+D24:D31*AO442*$B$8*AQ442)/(1+AL442/100)^B24:B31)+C32*AM442*AP442/(1+AL442/100)^$B$6</f>
        <v/>
      </c>
      <c r="AS442">
        <f>SUMPRODUCT((K24:K26&lt;=$B$6)*(L24:L26*AN442+M24:M26*AO442*$B$8*AQ442)/(1+AL442/100)^K24:K26)+L27*AN442*AP442/(1+AL442/100)^$B$6</f>
        <v/>
      </c>
      <c r="AT442">
        <f>AS442-AR442</f>
        <v/>
      </c>
      <c r="AU442">
        <f>RAND()</f>
        <v/>
      </c>
      <c r="AV442">
        <f>RAND()</f>
        <v/>
      </c>
      <c r="AW442">
        <f>RAND()</f>
        <v/>
      </c>
      <c r="AX442">
        <f>RAND()</f>
        <v/>
      </c>
      <c r="AY442">
        <f>RAND()</f>
        <v/>
      </c>
      <c r="AZ442">
        <f>RAND()</f>
        <v/>
      </c>
    </row>
    <row r="443">
      <c r="AK443" t="n">
        <v>430</v>
      </c>
      <c r="AL443">
        <f>IFERROR(IF(AU443&lt;($AM$6-$AL$6)/($AN$6-$AL$6),$AL$6+SQRT(AU443*($AN$6-$AL$6)*($AM$6-$AL$6)),$AN$6-SQRT((1-AU443)*($AN$6-$AL$6)*($AN$6-$AM$6))),$AM$6)</f>
        <v/>
      </c>
      <c r="AM443">
        <f>IFERROR(IF(AV443&lt;($AM$7-$AL$7)/($AN$7-$AL$7),$AL$7+SQRT(AV443*($AN$7-$AL$7)*($AM$7-$AL$7)),$AN$7-SQRT((1-AV443)*($AN$7-$AL$7)*($AN$7-$AM$7))),$AM$7)</f>
        <v/>
      </c>
      <c r="AN443">
        <f>IFERROR(IF(AW443&lt;($AM$8-$AL$8)/($AN$8-$AL$8),$AL$8+SQRT(AW443*($AN$8-$AL$8)*($AM$8-$AL$8)),$AN$8-SQRT((1-AW443)*($AN$8-$AL$8)*($AN$8-$AM$8))),$AM$8)</f>
        <v/>
      </c>
      <c r="AO443">
        <f>IFERROR(IF(AX443&lt;($AM$9-$AL$9)/($AN$9-$AL$9),$AL$9+SQRT(AX443*($AN$9-$AL$9)*($AM$9-$AL$9)),$AN$9-SQRT((1-AX443)*($AN$9-$AL$9)*($AN$9-$AM$9))),$AM$9)</f>
        <v/>
      </c>
      <c r="AP443">
        <f>IFERROR(IF(AY443&lt;($AM$10-$AL$10)/($AN$10-$AL$10),$AL$10+SQRT(AY443*($AN$10-$AL$10)*($AM$10-$AL$10)),$AN$10-SQRT((1-AY443)*($AN$10-$AL$10)*($AN$10-$AM$10))),$AM$10)</f>
        <v/>
      </c>
      <c r="AQ443">
        <f>IFERROR(IF(AZ443&lt;($AM$11-$AL$11)/($AN$11-$AL$11),$AL$11+SQRT(AZ443*($AN$11-$AL$11)*($AM$11-$AL$11)),$AN$11-SQRT((1-AZ443)*($AN$11-$AL$11)*($AN$11-$AM$11))),$AM$11)</f>
        <v/>
      </c>
      <c r="AR443">
        <f>SUMPRODUCT((B24:B31&lt;=$B$6)*(C24:C31*AM443+D24:D31*AO443*$B$8*AQ443)/(1+AL443/100)^B24:B31)+C32*AM443*AP443/(1+AL443/100)^$B$6</f>
        <v/>
      </c>
      <c r="AS443">
        <f>SUMPRODUCT((K24:K26&lt;=$B$6)*(L24:L26*AN443+M24:M26*AO443*$B$8*AQ443)/(1+AL443/100)^K24:K26)+L27*AN443*AP443/(1+AL443/100)^$B$6</f>
        <v/>
      </c>
      <c r="AT443">
        <f>AS443-AR443</f>
        <v/>
      </c>
      <c r="AU443">
        <f>RAND()</f>
        <v/>
      </c>
      <c r="AV443">
        <f>RAND()</f>
        <v/>
      </c>
      <c r="AW443">
        <f>RAND()</f>
        <v/>
      </c>
      <c r="AX443">
        <f>RAND()</f>
        <v/>
      </c>
      <c r="AY443">
        <f>RAND()</f>
        <v/>
      </c>
      <c r="AZ443">
        <f>RAND()</f>
        <v/>
      </c>
    </row>
    <row r="444">
      <c r="AK444" t="n">
        <v>431</v>
      </c>
      <c r="AL444">
        <f>IFERROR(IF(AU444&lt;($AM$6-$AL$6)/($AN$6-$AL$6),$AL$6+SQRT(AU444*($AN$6-$AL$6)*($AM$6-$AL$6)),$AN$6-SQRT((1-AU444)*($AN$6-$AL$6)*($AN$6-$AM$6))),$AM$6)</f>
        <v/>
      </c>
      <c r="AM444">
        <f>IFERROR(IF(AV444&lt;($AM$7-$AL$7)/($AN$7-$AL$7),$AL$7+SQRT(AV444*($AN$7-$AL$7)*($AM$7-$AL$7)),$AN$7-SQRT((1-AV444)*($AN$7-$AL$7)*($AN$7-$AM$7))),$AM$7)</f>
        <v/>
      </c>
      <c r="AN444">
        <f>IFERROR(IF(AW444&lt;($AM$8-$AL$8)/($AN$8-$AL$8),$AL$8+SQRT(AW444*($AN$8-$AL$8)*($AM$8-$AL$8)),$AN$8-SQRT((1-AW444)*($AN$8-$AL$8)*($AN$8-$AM$8))),$AM$8)</f>
        <v/>
      </c>
      <c r="AO444">
        <f>IFERROR(IF(AX444&lt;($AM$9-$AL$9)/($AN$9-$AL$9),$AL$9+SQRT(AX444*($AN$9-$AL$9)*($AM$9-$AL$9)),$AN$9-SQRT((1-AX444)*($AN$9-$AL$9)*($AN$9-$AM$9))),$AM$9)</f>
        <v/>
      </c>
      <c r="AP444">
        <f>IFERROR(IF(AY444&lt;($AM$10-$AL$10)/($AN$10-$AL$10),$AL$10+SQRT(AY444*($AN$10-$AL$10)*($AM$10-$AL$10)),$AN$10-SQRT((1-AY444)*($AN$10-$AL$10)*($AN$10-$AM$10))),$AM$10)</f>
        <v/>
      </c>
      <c r="AQ444">
        <f>IFERROR(IF(AZ444&lt;($AM$11-$AL$11)/($AN$11-$AL$11),$AL$11+SQRT(AZ444*($AN$11-$AL$11)*($AM$11-$AL$11)),$AN$11-SQRT((1-AZ444)*($AN$11-$AL$11)*($AN$11-$AM$11))),$AM$11)</f>
        <v/>
      </c>
      <c r="AR444">
        <f>SUMPRODUCT((B24:B31&lt;=$B$6)*(C24:C31*AM444+D24:D31*AO444*$B$8*AQ444)/(1+AL444/100)^B24:B31)+C32*AM444*AP444/(1+AL444/100)^$B$6</f>
        <v/>
      </c>
      <c r="AS444">
        <f>SUMPRODUCT((K24:K26&lt;=$B$6)*(L24:L26*AN444+M24:M26*AO444*$B$8*AQ444)/(1+AL444/100)^K24:K26)+L27*AN444*AP444/(1+AL444/100)^$B$6</f>
        <v/>
      </c>
      <c r="AT444">
        <f>AS444-AR444</f>
        <v/>
      </c>
      <c r="AU444">
        <f>RAND()</f>
        <v/>
      </c>
      <c r="AV444">
        <f>RAND()</f>
        <v/>
      </c>
      <c r="AW444">
        <f>RAND()</f>
        <v/>
      </c>
      <c r="AX444">
        <f>RAND()</f>
        <v/>
      </c>
      <c r="AY444">
        <f>RAND()</f>
        <v/>
      </c>
      <c r="AZ444">
        <f>RAND()</f>
        <v/>
      </c>
    </row>
    <row r="445">
      <c r="AK445" t="n">
        <v>432</v>
      </c>
      <c r="AL445">
        <f>IFERROR(IF(AU445&lt;($AM$6-$AL$6)/($AN$6-$AL$6),$AL$6+SQRT(AU445*($AN$6-$AL$6)*($AM$6-$AL$6)),$AN$6-SQRT((1-AU445)*($AN$6-$AL$6)*($AN$6-$AM$6))),$AM$6)</f>
        <v/>
      </c>
      <c r="AM445">
        <f>IFERROR(IF(AV445&lt;($AM$7-$AL$7)/($AN$7-$AL$7),$AL$7+SQRT(AV445*($AN$7-$AL$7)*($AM$7-$AL$7)),$AN$7-SQRT((1-AV445)*($AN$7-$AL$7)*($AN$7-$AM$7))),$AM$7)</f>
        <v/>
      </c>
      <c r="AN445">
        <f>IFERROR(IF(AW445&lt;($AM$8-$AL$8)/($AN$8-$AL$8),$AL$8+SQRT(AW445*($AN$8-$AL$8)*($AM$8-$AL$8)),$AN$8-SQRT((1-AW445)*($AN$8-$AL$8)*($AN$8-$AM$8))),$AM$8)</f>
        <v/>
      </c>
      <c r="AO445">
        <f>IFERROR(IF(AX445&lt;($AM$9-$AL$9)/($AN$9-$AL$9),$AL$9+SQRT(AX445*($AN$9-$AL$9)*($AM$9-$AL$9)),$AN$9-SQRT((1-AX445)*($AN$9-$AL$9)*($AN$9-$AM$9))),$AM$9)</f>
        <v/>
      </c>
      <c r="AP445">
        <f>IFERROR(IF(AY445&lt;($AM$10-$AL$10)/($AN$10-$AL$10),$AL$10+SQRT(AY445*($AN$10-$AL$10)*($AM$10-$AL$10)),$AN$10-SQRT((1-AY445)*($AN$10-$AL$10)*($AN$10-$AM$10))),$AM$10)</f>
        <v/>
      </c>
      <c r="AQ445">
        <f>IFERROR(IF(AZ445&lt;($AM$11-$AL$11)/($AN$11-$AL$11),$AL$11+SQRT(AZ445*($AN$11-$AL$11)*($AM$11-$AL$11)),$AN$11-SQRT((1-AZ445)*($AN$11-$AL$11)*($AN$11-$AM$11))),$AM$11)</f>
        <v/>
      </c>
      <c r="AR445">
        <f>SUMPRODUCT((B24:B31&lt;=$B$6)*(C24:C31*AM445+D24:D31*AO445*$B$8*AQ445)/(1+AL445/100)^B24:B31)+C32*AM445*AP445/(1+AL445/100)^$B$6</f>
        <v/>
      </c>
      <c r="AS445">
        <f>SUMPRODUCT((K24:K26&lt;=$B$6)*(L24:L26*AN445+M24:M26*AO445*$B$8*AQ445)/(1+AL445/100)^K24:K26)+L27*AN445*AP445/(1+AL445/100)^$B$6</f>
        <v/>
      </c>
      <c r="AT445">
        <f>AS445-AR445</f>
        <v/>
      </c>
      <c r="AU445">
        <f>RAND()</f>
        <v/>
      </c>
      <c r="AV445">
        <f>RAND()</f>
        <v/>
      </c>
      <c r="AW445">
        <f>RAND()</f>
        <v/>
      </c>
      <c r="AX445">
        <f>RAND()</f>
        <v/>
      </c>
      <c r="AY445">
        <f>RAND()</f>
        <v/>
      </c>
      <c r="AZ445">
        <f>RAND()</f>
        <v/>
      </c>
    </row>
    <row r="446">
      <c r="AK446" t="n">
        <v>433</v>
      </c>
      <c r="AL446">
        <f>IFERROR(IF(AU446&lt;($AM$6-$AL$6)/($AN$6-$AL$6),$AL$6+SQRT(AU446*($AN$6-$AL$6)*($AM$6-$AL$6)),$AN$6-SQRT((1-AU446)*($AN$6-$AL$6)*($AN$6-$AM$6))),$AM$6)</f>
        <v/>
      </c>
      <c r="AM446">
        <f>IFERROR(IF(AV446&lt;($AM$7-$AL$7)/($AN$7-$AL$7),$AL$7+SQRT(AV446*($AN$7-$AL$7)*($AM$7-$AL$7)),$AN$7-SQRT((1-AV446)*($AN$7-$AL$7)*($AN$7-$AM$7))),$AM$7)</f>
        <v/>
      </c>
      <c r="AN446">
        <f>IFERROR(IF(AW446&lt;($AM$8-$AL$8)/($AN$8-$AL$8),$AL$8+SQRT(AW446*($AN$8-$AL$8)*($AM$8-$AL$8)),$AN$8-SQRT((1-AW446)*($AN$8-$AL$8)*($AN$8-$AM$8))),$AM$8)</f>
        <v/>
      </c>
      <c r="AO446">
        <f>IFERROR(IF(AX446&lt;($AM$9-$AL$9)/($AN$9-$AL$9),$AL$9+SQRT(AX446*($AN$9-$AL$9)*($AM$9-$AL$9)),$AN$9-SQRT((1-AX446)*($AN$9-$AL$9)*($AN$9-$AM$9))),$AM$9)</f>
        <v/>
      </c>
      <c r="AP446">
        <f>IFERROR(IF(AY446&lt;($AM$10-$AL$10)/($AN$10-$AL$10),$AL$10+SQRT(AY446*($AN$10-$AL$10)*($AM$10-$AL$10)),$AN$10-SQRT((1-AY446)*($AN$10-$AL$10)*($AN$10-$AM$10))),$AM$10)</f>
        <v/>
      </c>
      <c r="AQ446">
        <f>IFERROR(IF(AZ446&lt;($AM$11-$AL$11)/($AN$11-$AL$11),$AL$11+SQRT(AZ446*($AN$11-$AL$11)*($AM$11-$AL$11)),$AN$11-SQRT((1-AZ446)*($AN$11-$AL$11)*($AN$11-$AM$11))),$AM$11)</f>
        <v/>
      </c>
      <c r="AR446">
        <f>SUMPRODUCT((B24:B31&lt;=$B$6)*(C24:C31*AM446+D24:D31*AO446*$B$8*AQ446)/(1+AL446/100)^B24:B31)+C32*AM446*AP446/(1+AL446/100)^$B$6</f>
        <v/>
      </c>
      <c r="AS446">
        <f>SUMPRODUCT((K24:K26&lt;=$B$6)*(L24:L26*AN446+M24:M26*AO446*$B$8*AQ446)/(1+AL446/100)^K24:K26)+L27*AN446*AP446/(1+AL446/100)^$B$6</f>
        <v/>
      </c>
      <c r="AT446">
        <f>AS446-AR446</f>
        <v/>
      </c>
      <c r="AU446">
        <f>RAND()</f>
        <v/>
      </c>
      <c r="AV446">
        <f>RAND()</f>
        <v/>
      </c>
      <c r="AW446">
        <f>RAND()</f>
        <v/>
      </c>
      <c r="AX446">
        <f>RAND()</f>
        <v/>
      </c>
      <c r="AY446">
        <f>RAND()</f>
        <v/>
      </c>
      <c r="AZ446">
        <f>RAND()</f>
        <v/>
      </c>
    </row>
    <row r="447">
      <c r="AK447" t="n">
        <v>434</v>
      </c>
      <c r="AL447">
        <f>IFERROR(IF(AU447&lt;($AM$6-$AL$6)/($AN$6-$AL$6),$AL$6+SQRT(AU447*($AN$6-$AL$6)*($AM$6-$AL$6)),$AN$6-SQRT((1-AU447)*($AN$6-$AL$6)*($AN$6-$AM$6))),$AM$6)</f>
        <v/>
      </c>
      <c r="AM447">
        <f>IFERROR(IF(AV447&lt;($AM$7-$AL$7)/($AN$7-$AL$7),$AL$7+SQRT(AV447*($AN$7-$AL$7)*($AM$7-$AL$7)),$AN$7-SQRT((1-AV447)*($AN$7-$AL$7)*($AN$7-$AM$7))),$AM$7)</f>
        <v/>
      </c>
      <c r="AN447">
        <f>IFERROR(IF(AW447&lt;($AM$8-$AL$8)/($AN$8-$AL$8),$AL$8+SQRT(AW447*($AN$8-$AL$8)*($AM$8-$AL$8)),$AN$8-SQRT((1-AW447)*($AN$8-$AL$8)*($AN$8-$AM$8))),$AM$8)</f>
        <v/>
      </c>
      <c r="AO447">
        <f>IFERROR(IF(AX447&lt;($AM$9-$AL$9)/($AN$9-$AL$9),$AL$9+SQRT(AX447*($AN$9-$AL$9)*($AM$9-$AL$9)),$AN$9-SQRT((1-AX447)*($AN$9-$AL$9)*($AN$9-$AM$9))),$AM$9)</f>
        <v/>
      </c>
      <c r="AP447">
        <f>IFERROR(IF(AY447&lt;($AM$10-$AL$10)/($AN$10-$AL$10),$AL$10+SQRT(AY447*($AN$10-$AL$10)*($AM$10-$AL$10)),$AN$10-SQRT((1-AY447)*($AN$10-$AL$10)*($AN$10-$AM$10))),$AM$10)</f>
        <v/>
      </c>
      <c r="AQ447">
        <f>IFERROR(IF(AZ447&lt;($AM$11-$AL$11)/($AN$11-$AL$11),$AL$11+SQRT(AZ447*($AN$11-$AL$11)*($AM$11-$AL$11)),$AN$11-SQRT((1-AZ447)*($AN$11-$AL$11)*($AN$11-$AM$11))),$AM$11)</f>
        <v/>
      </c>
      <c r="AR447">
        <f>SUMPRODUCT((B24:B31&lt;=$B$6)*(C24:C31*AM447+D24:D31*AO447*$B$8*AQ447)/(1+AL447/100)^B24:B31)+C32*AM447*AP447/(1+AL447/100)^$B$6</f>
        <v/>
      </c>
      <c r="AS447">
        <f>SUMPRODUCT((K24:K26&lt;=$B$6)*(L24:L26*AN447+M24:M26*AO447*$B$8*AQ447)/(1+AL447/100)^K24:K26)+L27*AN447*AP447/(1+AL447/100)^$B$6</f>
        <v/>
      </c>
      <c r="AT447">
        <f>AS447-AR447</f>
        <v/>
      </c>
      <c r="AU447">
        <f>RAND()</f>
        <v/>
      </c>
      <c r="AV447">
        <f>RAND()</f>
        <v/>
      </c>
      <c r="AW447">
        <f>RAND()</f>
        <v/>
      </c>
      <c r="AX447">
        <f>RAND()</f>
        <v/>
      </c>
      <c r="AY447">
        <f>RAND()</f>
        <v/>
      </c>
      <c r="AZ447">
        <f>RAND()</f>
        <v/>
      </c>
    </row>
    <row r="448">
      <c r="AK448" t="n">
        <v>435</v>
      </c>
      <c r="AL448">
        <f>IFERROR(IF(AU448&lt;($AM$6-$AL$6)/($AN$6-$AL$6),$AL$6+SQRT(AU448*($AN$6-$AL$6)*($AM$6-$AL$6)),$AN$6-SQRT((1-AU448)*($AN$6-$AL$6)*($AN$6-$AM$6))),$AM$6)</f>
        <v/>
      </c>
      <c r="AM448">
        <f>IFERROR(IF(AV448&lt;($AM$7-$AL$7)/($AN$7-$AL$7),$AL$7+SQRT(AV448*($AN$7-$AL$7)*($AM$7-$AL$7)),$AN$7-SQRT((1-AV448)*($AN$7-$AL$7)*($AN$7-$AM$7))),$AM$7)</f>
        <v/>
      </c>
      <c r="AN448">
        <f>IFERROR(IF(AW448&lt;($AM$8-$AL$8)/($AN$8-$AL$8),$AL$8+SQRT(AW448*($AN$8-$AL$8)*($AM$8-$AL$8)),$AN$8-SQRT((1-AW448)*($AN$8-$AL$8)*($AN$8-$AM$8))),$AM$8)</f>
        <v/>
      </c>
      <c r="AO448">
        <f>IFERROR(IF(AX448&lt;($AM$9-$AL$9)/($AN$9-$AL$9),$AL$9+SQRT(AX448*($AN$9-$AL$9)*($AM$9-$AL$9)),$AN$9-SQRT((1-AX448)*($AN$9-$AL$9)*($AN$9-$AM$9))),$AM$9)</f>
        <v/>
      </c>
      <c r="AP448">
        <f>IFERROR(IF(AY448&lt;($AM$10-$AL$10)/($AN$10-$AL$10),$AL$10+SQRT(AY448*($AN$10-$AL$10)*($AM$10-$AL$10)),$AN$10-SQRT((1-AY448)*($AN$10-$AL$10)*($AN$10-$AM$10))),$AM$10)</f>
        <v/>
      </c>
      <c r="AQ448">
        <f>IFERROR(IF(AZ448&lt;($AM$11-$AL$11)/($AN$11-$AL$11),$AL$11+SQRT(AZ448*($AN$11-$AL$11)*($AM$11-$AL$11)),$AN$11-SQRT((1-AZ448)*($AN$11-$AL$11)*($AN$11-$AM$11))),$AM$11)</f>
        <v/>
      </c>
      <c r="AR448">
        <f>SUMPRODUCT((B24:B31&lt;=$B$6)*(C24:C31*AM448+D24:D31*AO448*$B$8*AQ448)/(1+AL448/100)^B24:B31)+C32*AM448*AP448/(1+AL448/100)^$B$6</f>
        <v/>
      </c>
      <c r="AS448">
        <f>SUMPRODUCT((K24:K26&lt;=$B$6)*(L24:L26*AN448+M24:M26*AO448*$B$8*AQ448)/(1+AL448/100)^K24:K26)+L27*AN448*AP448/(1+AL448/100)^$B$6</f>
        <v/>
      </c>
      <c r="AT448">
        <f>AS448-AR448</f>
        <v/>
      </c>
      <c r="AU448">
        <f>RAND()</f>
        <v/>
      </c>
      <c r="AV448">
        <f>RAND()</f>
        <v/>
      </c>
      <c r="AW448">
        <f>RAND()</f>
        <v/>
      </c>
      <c r="AX448">
        <f>RAND()</f>
        <v/>
      </c>
      <c r="AY448">
        <f>RAND()</f>
        <v/>
      </c>
      <c r="AZ448">
        <f>RAND()</f>
        <v/>
      </c>
    </row>
    <row r="449">
      <c r="AK449" t="n">
        <v>436</v>
      </c>
      <c r="AL449">
        <f>IFERROR(IF(AU449&lt;($AM$6-$AL$6)/($AN$6-$AL$6),$AL$6+SQRT(AU449*($AN$6-$AL$6)*($AM$6-$AL$6)),$AN$6-SQRT((1-AU449)*($AN$6-$AL$6)*($AN$6-$AM$6))),$AM$6)</f>
        <v/>
      </c>
      <c r="AM449">
        <f>IFERROR(IF(AV449&lt;($AM$7-$AL$7)/($AN$7-$AL$7),$AL$7+SQRT(AV449*($AN$7-$AL$7)*($AM$7-$AL$7)),$AN$7-SQRT((1-AV449)*($AN$7-$AL$7)*($AN$7-$AM$7))),$AM$7)</f>
        <v/>
      </c>
      <c r="AN449">
        <f>IFERROR(IF(AW449&lt;($AM$8-$AL$8)/($AN$8-$AL$8),$AL$8+SQRT(AW449*($AN$8-$AL$8)*($AM$8-$AL$8)),$AN$8-SQRT((1-AW449)*($AN$8-$AL$8)*($AN$8-$AM$8))),$AM$8)</f>
        <v/>
      </c>
      <c r="AO449">
        <f>IFERROR(IF(AX449&lt;($AM$9-$AL$9)/($AN$9-$AL$9),$AL$9+SQRT(AX449*($AN$9-$AL$9)*($AM$9-$AL$9)),$AN$9-SQRT((1-AX449)*($AN$9-$AL$9)*($AN$9-$AM$9))),$AM$9)</f>
        <v/>
      </c>
      <c r="AP449">
        <f>IFERROR(IF(AY449&lt;($AM$10-$AL$10)/($AN$10-$AL$10),$AL$10+SQRT(AY449*($AN$10-$AL$10)*($AM$10-$AL$10)),$AN$10-SQRT((1-AY449)*($AN$10-$AL$10)*($AN$10-$AM$10))),$AM$10)</f>
        <v/>
      </c>
      <c r="AQ449">
        <f>IFERROR(IF(AZ449&lt;($AM$11-$AL$11)/($AN$11-$AL$11),$AL$11+SQRT(AZ449*($AN$11-$AL$11)*($AM$11-$AL$11)),$AN$11-SQRT((1-AZ449)*($AN$11-$AL$11)*($AN$11-$AM$11))),$AM$11)</f>
        <v/>
      </c>
      <c r="AR449">
        <f>SUMPRODUCT((B24:B31&lt;=$B$6)*(C24:C31*AM449+D24:D31*AO449*$B$8*AQ449)/(1+AL449/100)^B24:B31)+C32*AM449*AP449/(1+AL449/100)^$B$6</f>
        <v/>
      </c>
      <c r="AS449">
        <f>SUMPRODUCT((K24:K26&lt;=$B$6)*(L24:L26*AN449+M24:M26*AO449*$B$8*AQ449)/(1+AL449/100)^K24:K26)+L27*AN449*AP449/(1+AL449/100)^$B$6</f>
        <v/>
      </c>
      <c r="AT449">
        <f>AS449-AR449</f>
        <v/>
      </c>
      <c r="AU449">
        <f>RAND()</f>
        <v/>
      </c>
      <c r="AV449">
        <f>RAND()</f>
        <v/>
      </c>
      <c r="AW449">
        <f>RAND()</f>
        <v/>
      </c>
      <c r="AX449">
        <f>RAND()</f>
        <v/>
      </c>
      <c r="AY449">
        <f>RAND()</f>
        <v/>
      </c>
      <c r="AZ449">
        <f>RAND()</f>
        <v/>
      </c>
    </row>
    <row r="450">
      <c r="AK450" t="n">
        <v>437</v>
      </c>
      <c r="AL450">
        <f>IFERROR(IF(AU450&lt;($AM$6-$AL$6)/($AN$6-$AL$6),$AL$6+SQRT(AU450*($AN$6-$AL$6)*($AM$6-$AL$6)),$AN$6-SQRT((1-AU450)*($AN$6-$AL$6)*($AN$6-$AM$6))),$AM$6)</f>
        <v/>
      </c>
      <c r="AM450">
        <f>IFERROR(IF(AV450&lt;($AM$7-$AL$7)/($AN$7-$AL$7),$AL$7+SQRT(AV450*($AN$7-$AL$7)*($AM$7-$AL$7)),$AN$7-SQRT((1-AV450)*($AN$7-$AL$7)*($AN$7-$AM$7))),$AM$7)</f>
        <v/>
      </c>
      <c r="AN450">
        <f>IFERROR(IF(AW450&lt;($AM$8-$AL$8)/($AN$8-$AL$8),$AL$8+SQRT(AW450*($AN$8-$AL$8)*($AM$8-$AL$8)),$AN$8-SQRT((1-AW450)*($AN$8-$AL$8)*($AN$8-$AM$8))),$AM$8)</f>
        <v/>
      </c>
      <c r="AO450">
        <f>IFERROR(IF(AX450&lt;($AM$9-$AL$9)/($AN$9-$AL$9),$AL$9+SQRT(AX450*($AN$9-$AL$9)*($AM$9-$AL$9)),$AN$9-SQRT((1-AX450)*($AN$9-$AL$9)*($AN$9-$AM$9))),$AM$9)</f>
        <v/>
      </c>
      <c r="AP450">
        <f>IFERROR(IF(AY450&lt;($AM$10-$AL$10)/($AN$10-$AL$10),$AL$10+SQRT(AY450*($AN$10-$AL$10)*($AM$10-$AL$10)),$AN$10-SQRT((1-AY450)*($AN$10-$AL$10)*($AN$10-$AM$10))),$AM$10)</f>
        <v/>
      </c>
      <c r="AQ450">
        <f>IFERROR(IF(AZ450&lt;($AM$11-$AL$11)/($AN$11-$AL$11),$AL$11+SQRT(AZ450*($AN$11-$AL$11)*($AM$11-$AL$11)),$AN$11-SQRT((1-AZ450)*($AN$11-$AL$11)*($AN$11-$AM$11))),$AM$11)</f>
        <v/>
      </c>
      <c r="AR450">
        <f>SUMPRODUCT((B24:B31&lt;=$B$6)*(C24:C31*AM450+D24:D31*AO450*$B$8*AQ450)/(1+AL450/100)^B24:B31)+C32*AM450*AP450/(1+AL450/100)^$B$6</f>
        <v/>
      </c>
      <c r="AS450">
        <f>SUMPRODUCT((K24:K26&lt;=$B$6)*(L24:L26*AN450+M24:M26*AO450*$B$8*AQ450)/(1+AL450/100)^K24:K26)+L27*AN450*AP450/(1+AL450/100)^$B$6</f>
        <v/>
      </c>
      <c r="AT450">
        <f>AS450-AR450</f>
        <v/>
      </c>
      <c r="AU450">
        <f>RAND()</f>
        <v/>
      </c>
      <c r="AV450">
        <f>RAND()</f>
        <v/>
      </c>
      <c r="AW450">
        <f>RAND()</f>
        <v/>
      </c>
      <c r="AX450">
        <f>RAND()</f>
        <v/>
      </c>
      <c r="AY450">
        <f>RAND()</f>
        <v/>
      </c>
      <c r="AZ450">
        <f>RAND()</f>
        <v/>
      </c>
    </row>
    <row r="451">
      <c r="AK451" t="n">
        <v>438</v>
      </c>
      <c r="AL451">
        <f>IFERROR(IF(AU451&lt;($AM$6-$AL$6)/($AN$6-$AL$6),$AL$6+SQRT(AU451*($AN$6-$AL$6)*($AM$6-$AL$6)),$AN$6-SQRT((1-AU451)*($AN$6-$AL$6)*($AN$6-$AM$6))),$AM$6)</f>
        <v/>
      </c>
      <c r="AM451">
        <f>IFERROR(IF(AV451&lt;($AM$7-$AL$7)/($AN$7-$AL$7),$AL$7+SQRT(AV451*($AN$7-$AL$7)*($AM$7-$AL$7)),$AN$7-SQRT((1-AV451)*($AN$7-$AL$7)*($AN$7-$AM$7))),$AM$7)</f>
        <v/>
      </c>
      <c r="AN451">
        <f>IFERROR(IF(AW451&lt;($AM$8-$AL$8)/($AN$8-$AL$8),$AL$8+SQRT(AW451*($AN$8-$AL$8)*($AM$8-$AL$8)),$AN$8-SQRT((1-AW451)*($AN$8-$AL$8)*($AN$8-$AM$8))),$AM$8)</f>
        <v/>
      </c>
      <c r="AO451">
        <f>IFERROR(IF(AX451&lt;($AM$9-$AL$9)/($AN$9-$AL$9),$AL$9+SQRT(AX451*($AN$9-$AL$9)*($AM$9-$AL$9)),$AN$9-SQRT((1-AX451)*($AN$9-$AL$9)*($AN$9-$AM$9))),$AM$9)</f>
        <v/>
      </c>
      <c r="AP451">
        <f>IFERROR(IF(AY451&lt;($AM$10-$AL$10)/($AN$10-$AL$10),$AL$10+SQRT(AY451*($AN$10-$AL$10)*($AM$10-$AL$10)),$AN$10-SQRT((1-AY451)*($AN$10-$AL$10)*($AN$10-$AM$10))),$AM$10)</f>
        <v/>
      </c>
      <c r="AQ451">
        <f>IFERROR(IF(AZ451&lt;($AM$11-$AL$11)/($AN$11-$AL$11),$AL$11+SQRT(AZ451*($AN$11-$AL$11)*($AM$11-$AL$11)),$AN$11-SQRT((1-AZ451)*($AN$11-$AL$11)*($AN$11-$AM$11))),$AM$11)</f>
        <v/>
      </c>
      <c r="AR451">
        <f>SUMPRODUCT((B24:B31&lt;=$B$6)*(C24:C31*AM451+D24:D31*AO451*$B$8*AQ451)/(1+AL451/100)^B24:B31)+C32*AM451*AP451/(1+AL451/100)^$B$6</f>
        <v/>
      </c>
      <c r="AS451">
        <f>SUMPRODUCT((K24:K26&lt;=$B$6)*(L24:L26*AN451+M24:M26*AO451*$B$8*AQ451)/(1+AL451/100)^K24:K26)+L27*AN451*AP451/(1+AL451/100)^$B$6</f>
        <v/>
      </c>
      <c r="AT451">
        <f>AS451-AR451</f>
        <v/>
      </c>
      <c r="AU451">
        <f>RAND()</f>
        <v/>
      </c>
      <c r="AV451">
        <f>RAND()</f>
        <v/>
      </c>
      <c r="AW451">
        <f>RAND()</f>
        <v/>
      </c>
      <c r="AX451">
        <f>RAND()</f>
        <v/>
      </c>
      <c r="AY451">
        <f>RAND()</f>
        <v/>
      </c>
      <c r="AZ451">
        <f>RAND()</f>
        <v/>
      </c>
    </row>
    <row r="452">
      <c r="AK452" t="n">
        <v>439</v>
      </c>
      <c r="AL452">
        <f>IFERROR(IF(AU452&lt;($AM$6-$AL$6)/($AN$6-$AL$6),$AL$6+SQRT(AU452*($AN$6-$AL$6)*($AM$6-$AL$6)),$AN$6-SQRT((1-AU452)*($AN$6-$AL$6)*($AN$6-$AM$6))),$AM$6)</f>
        <v/>
      </c>
      <c r="AM452">
        <f>IFERROR(IF(AV452&lt;($AM$7-$AL$7)/($AN$7-$AL$7),$AL$7+SQRT(AV452*($AN$7-$AL$7)*($AM$7-$AL$7)),$AN$7-SQRT((1-AV452)*($AN$7-$AL$7)*($AN$7-$AM$7))),$AM$7)</f>
        <v/>
      </c>
      <c r="AN452">
        <f>IFERROR(IF(AW452&lt;($AM$8-$AL$8)/($AN$8-$AL$8),$AL$8+SQRT(AW452*($AN$8-$AL$8)*($AM$8-$AL$8)),$AN$8-SQRT((1-AW452)*($AN$8-$AL$8)*($AN$8-$AM$8))),$AM$8)</f>
        <v/>
      </c>
      <c r="AO452">
        <f>IFERROR(IF(AX452&lt;($AM$9-$AL$9)/($AN$9-$AL$9),$AL$9+SQRT(AX452*($AN$9-$AL$9)*($AM$9-$AL$9)),$AN$9-SQRT((1-AX452)*($AN$9-$AL$9)*($AN$9-$AM$9))),$AM$9)</f>
        <v/>
      </c>
      <c r="AP452">
        <f>IFERROR(IF(AY452&lt;($AM$10-$AL$10)/($AN$10-$AL$10),$AL$10+SQRT(AY452*($AN$10-$AL$10)*($AM$10-$AL$10)),$AN$10-SQRT((1-AY452)*($AN$10-$AL$10)*($AN$10-$AM$10))),$AM$10)</f>
        <v/>
      </c>
      <c r="AQ452">
        <f>IFERROR(IF(AZ452&lt;($AM$11-$AL$11)/($AN$11-$AL$11),$AL$11+SQRT(AZ452*($AN$11-$AL$11)*($AM$11-$AL$11)),$AN$11-SQRT((1-AZ452)*($AN$11-$AL$11)*($AN$11-$AM$11))),$AM$11)</f>
        <v/>
      </c>
      <c r="AR452">
        <f>SUMPRODUCT((B24:B31&lt;=$B$6)*(C24:C31*AM452+D24:D31*AO452*$B$8*AQ452)/(1+AL452/100)^B24:B31)+C32*AM452*AP452/(1+AL452/100)^$B$6</f>
        <v/>
      </c>
      <c r="AS452">
        <f>SUMPRODUCT((K24:K26&lt;=$B$6)*(L24:L26*AN452+M24:M26*AO452*$B$8*AQ452)/(1+AL452/100)^K24:K26)+L27*AN452*AP452/(1+AL452/100)^$B$6</f>
        <v/>
      </c>
      <c r="AT452">
        <f>AS452-AR452</f>
        <v/>
      </c>
      <c r="AU452">
        <f>RAND()</f>
        <v/>
      </c>
      <c r="AV452">
        <f>RAND()</f>
        <v/>
      </c>
      <c r="AW452">
        <f>RAND()</f>
        <v/>
      </c>
      <c r="AX452">
        <f>RAND()</f>
        <v/>
      </c>
      <c r="AY452">
        <f>RAND()</f>
        <v/>
      </c>
      <c r="AZ452">
        <f>RAND()</f>
        <v/>
      </c>
    </row>
    <row r="453">
      <c r="AK453" t="n">
        <v>440</v>
      </c>
      <c r="AL453">
        <f>IFERROR(IF(AU453&lt;($AM$6-$AL$6)/($AN$6-$AL$6),$AL$6+SQRT(AU453*($AN$6-$AL$6)*($AM$6-$AL$6)),$AN$6-SQRT((1-AU453)*($AN$6-$AL$6)*($AN$6-$AM$6))),$AM$6)</f>
        <v/>
      </c>
      <c r="AM453">
        <f>IFERROR(IF(AV453&lt;($AM$7-$AL$7)/($AN$7-$AL$7),$AL$7+SQRT(AV453*($AN$7-$AL$7)*($AM$7-$AL$7)),$AN$7-SQRT((1-AV453)*($AN$7-$AL$7)*($AN$7-$AM$7))),$AM$7)</f>
        <v/>
      </c>
      <c r="AN453">
        <f>IFERROR(IF(AW453&lt;($AM$8-$AL$8)/($AN$8-$AL$8),$AL$8+SQRT(AW453*($AN$8-$AL$8)*($AM$8-$AL$8)),$AN$8-SQRT((1-AW453)*($AN$8-$AL$8)*($AN$8-$AM$8))),$AM$8)</f>
        <v/>
      </c>
      <c r="AO453">
        <f>IFERROR(IF(AX453&lt;($AM$9-$AL$9)/($AN$9-$AL$9),$AL$9+SQRT(AX453*($AN$9-$AL$9)*($AM$9-$AL$9)),$AN$9-SQRT((1-AX453)*($AN$9-$AL$9)*($AN$9-$AM$9))),$AM$9)</f>
        <v/>
      </c>
      <c r="AP453">
        <f>IFERROR(IF(AY453&lt;($AM$10-$AL$10)/($AN$10-$AL$10),$AL$10+SQRT(AY453*($AN$10-$AL$10)*($AM$10-$AL$10)),$AN$10-SQRT((1-AY453)*($AN$10-$AL$10)*($AN$10-$AM$10))),$AM$10)</f>
        <v/>
      </c>
      <c r="AQ453">
        <f>IFERROR(IF(AZ453&lt;($AM$11-$AL$11)/($AN$11-$AL$11),$AL$11+SQRT(AZ453*($AN$11-$AL$11)*($AM$11-$AL$11)),$AN$11-SQRT((1-AZ453)*($AN$11-$AL$11)*($AN$11-$AM$11))),$AM$11)</f>
        <v/>
      </c>
      <c r="AR453">
        <f>SUMPRODUCT((B24:B31&lt;=$B$6)*(C24:C31*AM453+D24:D31*AO453*$B$8*AQ453)/(1+AL453/100)^B24:B31)+C32*AM453*AP453/(1+AL453/100)^$B$6</f>
        <v/>
      </c>
      <c r="AS453">
        <f>SUMPRODUCT((K24:K26&lt;=$B$6)*(L24:L26*AN453+M24:M26*AO453*$B$8*AQ453)/(1+AL453/100)^K24:K26)+L27*AN453*AP453/(1+AL453/100)^$B$6</f>
        <v/>
      </c>
      <c r="AT453">
        <f>AS453-AR453</f>
        <v/>
      </c>
      <c r="AU453">
        <f>RAND()</f>
        <v/>
      </c>
      <c r="AV453">
        <f>RAND()</f>
        <v/>
      </c>
      <c r="AW453">
        <f>RAND()</f>
        <v/>
      </c>
      <c r="AX453">
        <f>RAND()</f>
        <v/>
      </c>
      <c r="AY453">
        <f>RAND()</f>
        <v/>
      </c>
      <c r="AZ453">
        <f>RAND()</f>
        <v/>
      </c>
    </row>
    <row r="454">
      <c r="AK454" t="n">
        <v>441</v>
      </c>
      <c r="AL454">
        <f>IFERROR(IF(AU454&lt;($AM$6-$AL$6)/($AN$6-$AL$6),$AL$6+SQRT(AU454*($AN$6-$AL$6)*($AM$6-$AL$6)),$AN$6-SQRT((1-AU454)*($AN$6-$AL$6)*($AN$6-$AM$6))),$AM$6)</f>
        <v/>
      </c>
      <c r="AM454">
        <f>IFERROR(IF(AV454&lt;($AM$7-$AL$7)/($AN$7-$AL$7),$AL$7+SQRT(AV454*($AN$7-$AL$7)*($AM$7-$AL$7)),$AN$7-SQRT((1-AV454)*($AN$7-$AL$7)*($AN$7-$AM$7))),$AM$7)</f>
        <v/>
      </c>
      <c r="AN454">
        <f>IFERROR(IF(AW454&lt;($AM$8-$AL$8)/($AN$8-$AL$8),$AL$8+SQRT(AW454*($AN$8-$AL$8)*($AM$8-$AL$8)),$AN$8-SQRT((1-AW454)*($AN$8-$AL$8)*($AN$8-$AM$8))),$AM$8)</f>
        <v/>
      </c>
      <c r="AO454">
        <f>IFERROR(IF(AX454&lt;($AM$9-$AL$9)/($AN$9-$AL$9),$AL$9+SQRT(AX454*($AN$9-$AL$9)*($AM$9-$AL$9)),$AN$9-SQRT((1-AX454)*($AN$9-$AL$9)*($AN$9-$AM$9))),$AM$9)</f>
        <v/>
      </c>
      <c r="AP454">
        <f>IFERROR(IF(AY454&lt;($AM$10-$AL$10)/($AN$10-$AL$10),$AL$10+SQRT(AY454*($AN$10-$AL$10)*($AM$10-$AL$10)),$AN$10-SQRT((1-AY454)*($AN$10-$AL$10)*($AN$10-$AM$10))),$AM$10)</f>
        <v/>
      </c>
      <c r="AQ454">
        <f>IFERROR(IF(AZ454&lt;($AM$11-$AL$11)/($AN$11-$AL$11),$AL$11+SQRT(AZ454*($AN$11-$AL$11)*($AM$11-$AL$11)),$AN$11-SQRT((1-AZ454)*($AN$11-$AL$11)*($AN$11-$AM$11))),$AM$11)</f>
        <v/>
      </c>
      <c r="AR454">
        <f>SUMPRODUCT((B24:B31&lt;=$B$6)*(C24:C31*AM454+D24:D31*AO454*$B$8*AQ454)/(1+AL454/100)^B24:B31)+C32*AM454*AP454/(1+AL454/100)^$B$6</f>
        <v/>
      </c>
      <c r="AS454">
        <f>SUMPRODUCT((K24:K26&lt;=$B$6)*(L24:L26*AN454+M24:M26*AO454*$B$8*AQ454)/(1+AL454/100)^K24:K26)+L27*AN454*AP454/(1+AL454/100)^$B$6</f>
        <v/>
      </c>
      <c r="AT454">
        <f>AS454-AR454</f>
        <v/>
      </c>
      <c r="AU454">
        <f>RAND()</f>
        <v/>
      </c>
      <c r="AV454">
        <f>RAND()</f>
        <v/>
      </c>
      <c r="AW454">
        <f>RAND()</f>
        <v/>
      </c>
      <c r="AX454">
        <f>RAND()</f>
        <v/>
      </c>
      <c r="AY454">
        <f>RAND()</f>
        <v/>
      </c>
      <c r="AZ454">
        <f>RAND()</f>
        <v/>
      </c>
    </row>
    <row r="455">
      <c r="AK455" t="n">
        <v>442</v>
      </c>
      <c r="AL455">
        <f>IFERROR(IF(AU455&lt;($AM$6-$AL$6)/($AN$6-$AL$6),$AL$6+SQRT(AU455*($AN$6-$AL$6)*($AM$6-$AL$6)),$AN$6-SQRT((1-AU455)*($AN$6-$AL$6)*($AN$6-$AM$6))),$AM$6)</f>
        <v/>
      </c>
      <c r="AM455">
        <f>IFERROR(IF(AV455&lt;($AM$7-$AL$7)/($AN$7-$AL$7),$AL$7+SQRT(AV455*($AN$7-$AL$7)*($AM$7-$AL$7)),$AN$7-SQRT((1-AV455)*($AN$7-$AL$7)*($AN$7-$AM$7))),$AM$7)</f>
        <v/>
      </c>
      <c r="AN455">
        <f>IFERROR(IF(AW455&lt;($AM$8-$AL$8)/($AN$8-$AL$8),$AL$8+SQRT(AW455*($AN$8-$AL$8)*($AM$8-$AL$8)),$AN$8-SQRT((1-AW455)*($AN$8-$AL$8)*($AN$8-$AM$8))),$AM$8)</f>
        <v/>
      </c>
      <c r="AO455">
        <f>IFERROR(IF(AX455&lt;($AM$9-$AL$9)/($AN$9-$AL$9),$AL$9+SQRT(AX455*($AN$9-$AL$9)*($AM$9-$AL$9)),$AN$9-SQRT((1-AX455)*($AN$9-$AL$9)*($AN$9-$AM$9))),$AM$9)</f>
        <v/>
      </c>
      <c r="AP455">
        <f>IFERROR(IF(AY455&lt;($AM$10-$AL$10)/($AN$10-$AL$10),$AL$10+SQRT(AY455*($AN$10-$AL$10)*($AM$10-$AL$10)),$AN$10-SQRT((1-AY455)*($AN$10-$AL$10)*($AN$10-$AM$10))),$AM$10)</f>
        <v/>
      </c>
      <c r="AQ455">
        <f>IFERROR(IF(AZ455&lt;($AM$11-$AL$11)/($AN$11-$AL$11),$AL$11+SQRT(AZ455*($AN$11-$AL$11)*($AM$11-$AL$11)),$AN$11-SQRT((1-AZ455)*($AN$11-$AL$11)*($AN$11-$AM$11))),$AM$11)</f>
        <v/>
      </c>
      <c r="AR455">
        <f>SUMPRODUCT((B24:B31&lt;=$B$6)*(C24:C31*AM455+D24:D31*AO455*$B$8*AQ455)/(1+AL455/100)^B24:B31)+C32*AM455*AP455/(1+AL455/100)^$B$6</f>
        <v/>
      </c>
      <c r="AS455">
        <f>SUMPRODUCT((K24:K26&lt;=$B$6)*(L24:L26*AN455+M24:M26*AO455*$B$8*AQ455)/(1+AL455/100)^K24:K26)+L27*AN455*AP455/(1+AL455/100)^$B$6</f>
        <v/>
      </c>
      <c r="AT455">
        <f>AS455-AR455</f>
        <v/>
      </c>
      <c r="AU455">
        <f>RAND()</f>
        <v/>
      </c>
      <c r="AV455">
        <f>RAND()</f>
        <v/>
      </c>
      <c r="AW455">
        <f>RAND()</f>
        <v/>
      </c>
      <c r="AX455">
        <f>RAND()</f>
        <v/>
      </c>
      <c r="AY455">
        <f>RAND()</f>
        <v/>
      </c>
      <c r="AZ455">
        <f>RAND()</f>
        <v/>
      </c>
    </row>
    <row r="456">
      <c r="AK456" t="n">
        <v>443</v>
      </c>
      <c r="AL456">
        <f>IFERROR(IF(AU456&lt;($AM$6-$AL$6)/($AN$6-$AL$6),$AL$6+SQRT(AU456*($AN$6-$AL$6)*($AM$6-$AL$6)),$AN$6-SQRT((1-AU456)*($AN$6-$AL$6)*($AN$6-$AM$6))),$AM$6)</f>
        <v/>
      </c>
      <c r="AM456">
        <f>IFERROR(IF(AV456&lt;($AM$7-$AL$7)/($AN$7-$AL$7),$AL$7+SQRT(AV456*($AN$7-$AL$7)*($AM$7-$AL$7)),$AN$7-SQRT((1-AV456)*($AN$7-$AL$7)*($AN$7-$AM$7))),$AM$7)</f>
        <v/>
      </c>
      <c r="AN456">
        <f>IFERROR(IF(AW456&lt;($AM$8-$AL$8)/($AN$8-$AL$8),$AL$8+SQRT(AW456*($AN$8-$AL$8)*($AM$8-$AL$8)),$AN$8-SQRT((1-AW456)*($AN$8-$AL$8)*($AN$8-$AM$8))),$AM$8)</f>
        <v/>
      </c>
      <c r="AO456">
        <f>IFERROR(IF(AX456&lt;($AM$9-$AL$9)/($AN$9-$AL$9),$AL$9+SQRT(AX456*($AN$9-$AL$9)*($AM$9-$AL$9)),$AN$9-SQRT((1-AX456)*($AN$9-$AL$9)*($AN$9-$AM$9))),$AM$9)</f>
        <v/>
      </c>
      <c r="AP456">
        <f>IFERROR(IF(AY456&lt;($AM$10-$AL$10)/($AN$10-$AL$10),$AL$10+SQRT(AY456*($AN$10-$AL$10)*($AM$10-$AL$10)),$AN$10-SQRT((1-AY456)*($AN$10-$AL$10)*($AN$10-$AM$10))),$AM$10)</f>
        <v/>
      </c>
      <c r="AQ456">
        <f>IFERROR(IF(AZ456&lt;($AM$11-$AL$11)/($AN$11-$AL$11),$AL$11+SQRT(AZ456*($AN$11-$AL$11)*($AM$11-$AL$11)),$AN$11-SQRT((1-AZ456)*($AN$11-$AL$11)*($AN$11-$AM$11))),$AM$11)</f>
        <v/>
      </c>
      <c r="AR456">
        <f>SUMPRODUCT((B24:B31&lt;=$B$6)*(C24:C31*AM456+D24:D31*AO456*$B$8*AQ456)/(1+AL456/100)^B24:B31)+C32*AM456*AP456/(1+AL456/100)^$B$6</f>
        <v/>
      </c>
      <c r="AS456">
        <f>SUMPRODUCT((K24:K26&lt;=$B$6)*(L24:L26*AN456+M24:M26*AO456*$B$8*AQ456)/(1+AL456/100)^K24:K26)+L27*AN456*AP456/(1+AL456/100)^$B$6</f>
        <v/>
      </c>
      <c r="AT456">
        <f>AS456-AR456</f>
        <v/>
      </c>
      <c r="AU456">
        <f>RAND()</f>
        <v/>
      </c>
      <c r="AV456">
        <f>RAND()</f>
        <v/>
      </c>
      <c r="AW456">
        <f>RAND()</f>
        <v/>
      </c>
      <c r="AX456">
        <f>RAND()</f>
        <v/>
      </c>
      <c r="AY456">
        <f>RAND()</f>
        <v/>
      </c>
      <c r="AZ456">
        <f>RAND()</f>
        <v/>
      </c>
    </row>
    <row r="457">
      <c r="AK457" t="n">
        <v>444</v>
      </c>
      <c r="AL457">
        <f>IFERROR(IF(AU457&lt;($AM$6-$AL$6)/($AN$6-$AL$6),$AL$6+SQRT(AU457*($AN$6-$AL$6)*($AM$6-$AL$6)),$AN$6-SQRT((1-AU457)*($AN$6-$AL$6)*($AN$6-$AM$6))),$AM$6)</f>
        <v/>
      </c>
      <c r="AM457">
        <f>IFERROR(IF(AV457&lt;($AM$7-$AL$7)/($AN$7-$AL$7),$AL$7+SQRT(AV457*($AN$7-$AL$7)*($AM$7-$AL$7)),$AN$7-SQRT((1-AV457)*($AN$7-$AL$7)*($AN$7-$AM$7))),$AM$7)</f>
        <v/>
      </c>
      <c r="AN457">
        <f>IFERROR(IF(AW457&lt;($AM$8-$AL$8)/($AN$8-$AL$8),$AL$8+SQRT(AW457*($AN$8-$AL$8)*($AM$8-$AL$8)),$AN$8-SQRT((1-AW457)*($AN$8-$AL$8)*($AN$8-$AM$8))),$AM$8)</f>
        <v/>
      </c>
      <c r="AO457">
        <f>IFERROR(IF(AX457&lt;($AM$9-$AL$9)/($AN$9-$AL$9),$AL$9+SQRT(AX457*($AN$9-$AL$9)*($AM$9-$AL$9)),$AN$9-SQRT((1-AX457)*($AN$9-$AL$9)*($AN$9-$AM$9))),$AM$9)</f>
        <v/>
      </c>
      <c r="AP457">
        <f>IFERROR(IF(AY457&lt;($AM$10-$AL$10)/($AN$10-$AL$10),$AL$10+SQRT(AY457*($AN$10-$AL$10)*($AM$10-$AL$10)),$AN$10-SQRT((1-AY457)*($AN$10-$AL$10)*($AN$10-$AM$10))),$AM$10)</f>
        <v/>
      </c>
      <c r="AQ457">
        <f>IFERROR(IF(AZ457&lt;($AM$11-$AL$11)/($AN$11-$AL$11),$AL$11+SQRT(AZ457*($AN$11-$AL$11)*($AM$11-$AL$11)),$AN$11-SQRT((1-AZ457)*($AN$11-$AL$11)*($AN$11-$AM$11))),$AM$11)</f>
        <v/>
      </c>
      <c r="AR457">
        <f>SUMPRODUCT((B24:B31&lt;=$B$6)*(C24:C31*AM457+D24:D31*AO457*$B$8*AQ457)/(1+AL457/100)^B24:B31)+C32*AM457*AP457/(1+AL457/100)^$B$6</f>
        <v/>
      </c>
      <c r="AS457">
        <f>SUMPRODUCT((K24:K26&lt;=$B$6)*(L24:L26*AN457+M24:M26*AO457*$B$8*AQ457)/(1+AL457/100)^K24:K26)+L27*AN457*AP457/(1+AL457/100)^$B$6</f>
        <v/>
      </c>
      <c r="AT457">
        <f>AS457-AR457</f>
        <v/>
      </c>
      <c r="AU457">
        <f>RAND()</f>
        <v/>
      </c>
      <c r="AV457">
        <f>RAND()</f>
        <v/>
      </c>
      <c r="AW457">
        <f>RAND()</f>
        <v/>
      </c>
      <c r="AX457">
        <f>RAND()</f>
        <v/>
      </c>
      <c r="AY457">
        <f>RAND()</f>
        <v/>
      </c>
      <c r="AZ457">
        <f>RAND()</f>
        <v/>
      </c>
    </row>
    <row r="458">
      <c r="AK458" t="n">
        <v>445</v>
      </c>
      <c r="AL458">
        <f>IFERROR(IF(AU458&lt;($AM$6-$AL$6)/($AN$6-$AL$6),$AL$6+SQRT(AU458*($AN$6-$AL$6)*($AM$6-$AL$6)),$AN$6-SQRT((1-AU458)*($AN$6-$AL$6)*($AN$6-$AM$6))),$AM$6)</f>
        <v/>
      </c>
      <c r="AM458">
        <f>IFERROR(IF(AV458&lt;($AM$7-$AL$7)/($AN$7-$AL$7),$AL$7+SQRT(AV458*($AN$7-$AL$7)*($AM$7-$AL$7)),$AN$7-SQRT((1-AV458)*($AN$7-$AL$7)*($AN$7-$AM$7))),$AM$7)</f>
        <v/>
      </c>
      <c r="AN458">
        <f>IFERROR(IF(AW458&lt;($AM$8-$AL$8)/($AN$8-$AL$8),$AL$8+SQRT(AW458*($AN$8-$AL$8)*($AM$8-$AL$8)),$AN$8-SQRT((1-AW458)*($AN$8-$AL$8)*($AN$8-$AM$8))),$AM$8)</f>
        <v/>
      </c>
      <c r="AO458">
        <f>IFERROR(IF(AX458&lt;($AM$9-$AL$9)/($AN$9-$AL$9),$AL$9+SQRT(AX458*($AN$9-$AL$9)*($AM$9-$AL$9)),$AN$9-SQRT((1-AX458)*($AN$9-$AL$9)*($AN$9-$AM$9))),$AM$9)</f>
        <v/>
      </c>
      <c r="AP458">
        <f>IFERROR(IF(AY458&lt;($AM$10-$AL$10)/($AN$10-$AL$10),$AL$10+SQRT(AY458*($AN$10-$AL$10)*($AM$10-$AL$10)),$AN$10-SQRT((1-AY458)*($AN$10-$AL$10)*($AN$10-$AM$10))),$AM$10)</f>
        <v/>
      </c>
      <c r="AQ458">
        <f>IFERROR(IF(AZ458&lt;($AM$11-$AL$11)/($AN$11-$AL$11),$AL$11+SQRT(AZ458*($AN$11-$AL$11)*($AM$11-$AL$11)),$AN$11-SQRT((1-AZ458)*($AN$11-$AL$11)*($AN$11-$AM$11))),$AM$11)</f>
        <v/>
      </c>
      <c r="AR458">
        <f>SUMPRODUCT((B24:B31&lt;=$B$6)*(C24:C31*AM458+D24:D31*AO458*$B$8*AQ458)/(1+AL458/100)^B24:B31)+C32*AM458*AP458/(1+AL458/100)^$B$6</f>
        <v/>
      </c>
      <c r="AS458">
        <f>SUMPRODUCT((K24:K26&lt;=$B$6)*(L24:L26*AN458+M24:M26*AO458*$B$8*AQ458)/(1+AL458/100)^K24:K26)+L27*AN458*AP458/(1+AL458/100)^$B$6</f>
        <v/>
      </c>
      <c r="AT458">
        <f>AS458-AR458</f>
        <v/>
      </c>
      <c r="AU458">
        <f>RAND()</f>
        <v/>
      </c>
      <c r="AV458">
        <f>RAND()</f>
        <v/>
      </c>
      <c r="AW458">
        <f>RAND()</f>
        <v/>
      </c>
      <c r="AX458">
        <f>RAND()</f>
        <v/>
      </c>
      <c r="AY458">
        <f>RAND()</f>
        <v/>
      </c>
      <c r="AZ458">
        <f>RAND()</f>
        <v/>
      </c>
    </row>
    <row r="459">
      <c r="AK459" t="n">
        <v>446</v>
      </c>
      <c r="AL459">
        <f>IFERROR(IF(AU459&lt;($AM$6-$AL$6)/($AN$6-$AL$6),$AL$6+SQRT(AU459*($AN$6-$AL$6)*($AM$6-$AL$6)),$AN$6-SQRT((1-AU459)*($AN$6-$AL$6)*($AN$6-$AM$6))),$AM$6)</f>
        <v/>
      </c>
      <c r="AM459">
        <f>IFERROR(IF(AV459&lt;($AM$7-$AL$7)/($AN$7-$AL$7),$AL$7+SQRT(AV459*($AN$7-$AL$7)*($AM$7-$AL$7)),$AN$7-SQRT((1-AV459)*($AN$7-$AL$7)*($AN$7-$AM$7))),$AM$7)</f>
        <v/>
      </c>
      <c r="AN459">
        <f>IFERROR(IF(AW459&lt;($AM$8-$AL$8)/($AN$8-$AL$8),$AL$8+SQRT(AW459*($AN$8-$AL$8)*($AM$8-$AL$8)),$AN$8-SQRT((1-AW459)*($AN$8-$AL$8)*($AN$8-$AM$8))),$AM$8)</f>
        <v/>
      </c>
      <c r="AO459">
        <f>IFERROR(IF(AX459&lt;($AM$9-$AL$9)/($AN$9-$AL$9),$AL$9+SQRT(AX459*($AN$9-$AL$9)*($AM$9-$AL$9)),$AN$9-SQRT((1-AX459)*($AN$9-$AL$9)*($AN$9-$AM$9))),$AM$9)</f>
        <v/>
      </c>
      <c r="AP459">
        <f>IFERROR(IF(AY459&lt;($AM$10-$AL$10)/($AN$10-$AL$10),$AL$10+SQRT(AY459*($AN$10-$AL$10)*($AM$10-$AL$10)),$AN$10-SQRT((1-AY459)*($AN$10-$AL$10)*($AN$10-$AM$10))),$AM$10)</f>
        <v/>
      </c>
      <c r="AQ459">
        <f>IFERROR(IF(AZ459&lt;($AM$11-$AL$11)/($AN$11-$AL$11),$AL$11+SQRT(AZ459*($AN$11-$AL$11)*($AM$11-$AL$11)),$AN$11-SQRT((1-AZ459)*($AN$11-$AL$11)*($AN$11-$AM$11))),$AM$11)</f>
        <v/>
      </c>
      <c r="AR459">
        <f>SUMPRODUCT((B24:B31&lt;=$B$6)*(C24:C31*AM459+D24:D31*AO459*$B$8*AQ459)/(1+AL459/100)^B24:B31)+C32*AM459*AP459/(1+AL459/100)^$B$6</f>
        <v/>
      </c>
      <c r="AS459">
        <f>SUMPRODUCT((K24:K26&lt;=$B$6)*(L24:L26*AN459+M24:M26*AO459*$B$8*AQ459)/(1+AL459/100)^K24:K26)+L27*AN459*AP459/(1+AL459/100)^$B$6</f>
        <v/>
      </c>
      <c r="AT459">
        <f>AS459-AR459</f>
        <v/>
      </c>
      <c r="AU459">
        <f>RAND()</f>
        <v/>
      </c>
      <c r="AV459">
        <f>RAND()</f>
        <v/>
      </c>
      <c r="AW459">
        <f>RAND()</f>
        <v/>
      </c>
      <c r="AX459">
        <f>RAND()</f>
        <v/>
      </c>
      <c r="AY459">
        <f>RAND()</f>
        <v/>
      </c>
      <c r="AZ459">
        <f>RAND()</f>
        <v/>
      </c>
    </row>
    <row r="460">
      <c r="AK460" t="n">
        <v>447</v>
      </c>
      <c r="AL460">
        <f>IFERROR(IF(AU460&lt;($AM$6-$AL$6)/($AN$6-$AL$6),$AL$6+SQRT(AU460*($AN$6-$AL$6)*($AM$6-$AL$6)),$AN$6-SQRT((1-AU460)*($AN$6-$AL$6)*($AN$6-$AM$6))),$AM$6)</f>
        <v/>
      </c>
      <c r="AM460">
        <f>IFERROR(IF(AV460&lt;($AM$7-$AL$7)/($AN$7-$AL$7),$AL$7+SQRT(AV460*($AN$7-$AL$7)*($AM$7-$AL$7)),$AN$7-SQRT((1-AV460)*($AN$7-$AL$7)*($AN$7-$AM$7))),$AM$7)</f>
        <v/>
      </c>
      <c r="AN460">
        <f>IFERROR(IF(AW460&lt;($AM$8-$AL$8)/($AN$8-$AL$8),$AL$8+SQRT(AW460*($AN$8-$AL$8)*($AM$8-$AL$8)),$AN$8-SQRT((1-AW460)*($AN$8-$AL$8)*($AN$8-$AM$8))),$AM$8)</f>
        <v/>
      </c>
      <c r="AO460">
        <f>IFERROR(IF(AX460&lt;($AM$9-$AL$9)/($AN$9-$AL$9),$AL$9+SQRT(AX460*($AN$9-$AL$9)*($AM$9-$AL$9)),$AN$9-SQRT((1-AX460)*($AN$9-$AL$9)*($AN$9-$AM$9))),$AM$9)</f>
        <v/>
      </c>
      <c r="AP460">
        <f>IFERROR(IF(AY460&lt;($AM$10-$AL$10)/($AN$10-$AL$10),$AL$10+SQRT(AY460*($AN$10-$AL$10)*($AM$10-$AL$10)),$AN$10-SQRT((1-AY460)*($AN$10-$AL$10)*($AN$10-$AM$10))),$AM$10)</f>
        <v/>
      </c>
      <c r="AQ460">
        <f>IFERROR(IF(AZ460&lt;($AM$11-$AL$11)/($AN$11-$AL$11),$AL$11+SQRT(AZ460*($AN$11-$AL$11)*($AM$11-$AL$11)),$AN$11-SQRT((1-AZ460)*($AN$11-$AL$11)*($AN$11-$AM$11))),$AM$11)</f>
        <v/>
      </c>
      <c r="AR460">
        <f>SUMPRODUCT((B24:B31&lt;=$B$6)*(C24:C31*AM460+D24:D31*AO460*$B$8*AQ460)/(1+AL460/100)^B24:B31)+C32*AM460*AP460/(1+AL460/100)^$B$6</f>
        <v/>
      </c>
      <c r="AS460">
        <f>SUMPRODUCT((K24:K26&lt;=$B$6)*(L24:L26*AN460+M24:M26*AO460*$B$8*AQ460)/(1+AL460/100)^K24:K26)+L27*AN460*AP460/(1+AL460/100)^$B$6</f>
        <v/>
      </c>
      <c r="AT460">
        <f>AS460-AR460</f>
        <v/>
      </c>
      <c r="AU460">
        <f>RAND()</f>
        <v/>
      </c>
      <c r="AV460">
        <f>RAND()</f>
        <v/>
      </c>
      <c r="AW460">
        <f>RAND()</f>
        <v/>
      </c>
      <c r="AX460">
        <f>RAND()</f>
        <v/>
      </c>
      <c r="AY460">
        <f>RAND()</f>
        <v/>
      </c>
      <c r="AZ460">
        <f>RAND()</f>
        <v/>
      </c>
    </row>
    <row r="461">
      <c r="AK461" t="n">
        <v>448</v>
      </c>
      <c r="AL461">
        <f>IFERROR(IF(AU461&lt;($AM$6-$AL$6)/($AN$6-$AL$6),$AL$6+SQRT(AU461*($AN$6-$AL$6)*($AM$6-$AL$6)),$AN$6-SQRT((1-AU461)*($AN$6-$AL$6)*($AN$6-$AM$6))),$AM$6)</f>
        <v/>
      </c>
      <c r="AM461">
        <f>IFERROR(IF(AV461&lt;($AM$7-$AL$7)/($AN$7-$AL$7),$AL$7+SQRT(AV461*($AN$7-$AL$7)*($AM$7-$AL$7)),$AN$7-SQRT((1-AV461)*($AN$7-$AL$7)*($AN$7-$AM$7))),$AM$7)</f>
        <v/>
      </c>
      <c r="AN461">
        <f>IFERROR(IF(AW461&lt;($AM$8-$AL$8)/($AN$8-$AL$8),$AL$8+SQRT(AW461*($AN$8-$AL$8)*($AM$8-$AL$8)),$AN$8-SQRT((1-AW461)*($AN$8-$AL$8)*($AN$8-$AM$8))),$AM$8)</f>
        <v/>
      </c>
      <c r="AO461">
        <f>IFERROR(IF(AX461&lt;($AM$9-$AL$9)/($AN$9-$AL$9),$AL$9+SQRT(AX461*($AN$9-$AL$9)*($AM$9-$AL$9)),$AN$9-SQRT((1-AX461)*($AN$9-$AL$9)*($AN$9-$AM$9))),$AM$9)</f>
        <v/>
      </c>
      <c r="AP461">
        <f>IFERROR(IF(AY461&lt;($AM$10-$AL$10)/($AN$10-$AL$10),$AL$10+SQRT(AY461*($AN$10-$AL$10)*($AM$10-$AL$10)),$AN$10-SQRT((1-AY461)*($AN$10-$AL$10)*($AN$10-$AM$10))),$AM$10)</f>
        <v/>
      </c>
      <c r="AQ461">
        <f>IFERROR(IF(AZ461&lt;($AM$11-$AL$11)/($AN$11-$AL$11),$AL$11+SQRT(AZ461*($AN$11-$AL$11)*($AM$11-$AL$11)),$AN$11-SQRT((1-AZ461)*($AN$11-$AL$11)*($AN$11-$AM$11))),$AM$11)</f>
        <v/>
      </c>
      <c r="AR461">
        <f>SUMPRODUCT((B24:B31&lt;=$B$6)*(C24:C31*AM461+D24:D31*AO461*$B$8*AQ461)/(1+AL461/100)^B24:B31)+C32*AM461*AP461/(1+AL461/100)^$B$6</f>
        <v/>
      </c>
      <c r="AS461">
        <f>SUMPRODUCT((K24:K26&lt;=$B$6)*(L24:L26*AN461+M24:M26*AO461*$B$8*AQ461)/(1+AL461/100)^K24:K26)+L27*AN461*AP461/(1+AL461/100)^$B$6</f>
        <v/>
      </c>
      <c r="AT461">
        <f>AS461-AR461</f>
        <v/>
      </c>
      <c r="AU461">
        <f>RAND()</f>
        <v/>
      </c>
      <c r="AV461">
        <f>RAND()</f>
        <v/>
      </c>
      <c r="AW461">
        <f>RAND()</f>
        <v/>
      </c>
      <c r="AX461">
        <f>RAND()</f>
        <v/>
      </c>
      <c r="AY461">
        <f>RAND()</f>
        <v/>
      </c>
      <c r="AZ461">
        <f>RAND()</f>
        <v/>
      </c>
    </row>
    <row r="462">
      <c r="AK462" t="n">
        <v>449</v>
      </c>
      <c r="AL462">
        <f>IFERROR(IF(AU462&lt;($AM$6-$AL$6)/($AN$6-$AL$6),$AL$6+SQRT(AU462*($AN$6-$AL$6)*($AM$6-$AL$6)),$AN$6-SQRT((1-AU462)*($AN$6-$AL$6)*($AN$6-$AM$6))),$AM$6)</f>
        <v/>
      </c>
      <c r="AM462">
        <f>IFERROR(IF(AV462&lt;($AM$7-$AL$7)/($AN$7-$AL$7),$AL$7+SQRT(AV462*($AN$7-$AL$7)*($AM$7-$AL$7)),$AN$7-SQRT((1-AV462)*($AN$7-$AL$7)*($AN$7-$AM$7))),$AM$7)</f>
        <v/>
      </c>
      <c r="AN462">
        <f>IFERROR(IF(AW462&lt;($AM$8-$AL$8)/($AN$8-$AL$8),$AL$8+SQRT(AW462*($AN$8-$AL$8)*($AM$8-$AL$8)),$AN$8-SQRT((1-AW462)*($AN$8-$AL$8)*($AN$8-$AM$8))),$AM$8)</f>
        <v/>
      </c>
      <c r="AO462">
        <f>IFERROR(IF(AX462&lt;($AM$9-$AL$9)/($AN$9-$AL$9),$AL$9+SQRT(AX462*($AN$9-$AL$9)*($AM$9-$AL$9)),$AN$9-SQRT((1-AX462)*($AN$9-$AL$9)*($AN$9-$AM$9))),$AM$9)</f>
        <v/>
      </c>
      <c r="AP462">
        <f>IFERROR(IF(AY462&lt;($AM$10-$AL$10)/($AN$10-$AL$10),$AL$10+SQRT(AY462*($AN$10-$AL$10)*($AM$10-$AL$10)),$AN$10-SQRT((1-AY462)*($AN$10-$AL$10)*($AN$10-$AM$10))),$AM$10)</f>
        <v/>
      </c>
      <c r="AQ462">
        <f>IFERROR(IF(AZ462&lt;($AM$11-$AL$11)/($AN$11-$AL$11),$AL$11+SQRT(AZ462*($AN$11-$AL$11)*($AM$11-$AL$11)),$AN$11-SQRT((1-AZ462)*($AN$11-$AL$11)*($AN$11-$AM$11))),$AM$11)</f>
        <v/>
      </c>
      <c r="AR462">
        <f>SUMPRODUCT((B24:B31&lt;=$B$6)*(C24:C31*AM462+D24:D31*AO462*$B$8*AQ462)/(1+AL462/100)^B24:B31)+C32*AM462*AP462/(1+AL462/100)^$B$6</f>
        <v/>
      </c>
      <c r="AS462">
        <f>SUMPRODUCT((K24:K26&lt;=$B$6)*(L24:L26*AN462+M24:M26*AO462*$B$8*AQ462)/(1+AL462/100)^K24:K26)+L27*AN462*AP462/(1+AL462/100)^$B$6</f>
        <v/>
      </c>
      <c r="AT462">
        <f>AS462-AR462</f>
        <v/>
      </c>
      <c r="AU462">
        <f>RAND()</f>
        <v/>
      </c>
      <c r="AV462">
        <f>RAND()</f>
        <v/>
      </c>
      <c r="AW462">
        <f>RAND()</f>
        <v/>
      </c>
      <c r="AX462">
        <f>RAND()</f>
        <v/>
      </c>
      <c r="AY462">
        <f>RAND()</f>
        <v/>
      </c>
      <c r="AZ462">
        <f>RAND()</f>
        <v/>
      </c>
    </row>
    <row r="463">
      <c r="AK463" t="n">
        <v>450</v>
      </c>
      <c r="AL463">
        <f>IFERROR(IF(AU463&lt;($AM$6-$AL$6)/($AN$6-$AL$6),$AL$6+SQRT(AU463*($AN$6-$AL$6)*($AM$6-$AL$6)),$AN$6-SQRT((1-AU463)*($AN$6-$AL$6)*($AN$6-$AM$6))),$AM$6)</f>
        <v/>
      </c>
      <c r="AM463">
        <f>IFERROR(IF(AV463&lt;($AM$7-$AL$7)/($AN$7-$AL$7),$AL$7+SQRT(AV463*($AN$7-$AL$7)*($AM$7-$AL$7)),$AN$7-SQRT((1-AV463)*($AN$7-$AL$7)*($AN$7-$AM$7))),$AM$7)</f>
        <v/>
      </c>
      <c r="AN463">
        <f>IFERROR(IF(AW463&lt;($AM$8-$AL$8)/($AN$8-$AL$8),$AL$8+SQRT(AW463*($AN$8-$AL$8)*($AM$8-$AL$8)),$AN$8-SQRT((1-AW463)*($AN$8-$AL$8)*($AN$8-$AM$8))),$AM$8)</f>
        <v/>
      </c>
      <c r="AO463">
        <f>IFERROR(IF(AX463&lt;($AM$9-$AL$9)/($AN$9-$AL$9),$AL$9+SQRT(AX463*($AN$9-$AL$9)*($AM$9-$AL$9)),$AN$9-SQRT((1-AX463)*($AN$9-$AL$9)*($AN$9-$AM$9))),$AM$9)</f>
        <v/>
      </c>
      <c r="AP463">
        <f>IFERROR(IF(AY463&lt;($AM$10-$AL$10)/($AN$10-$AL$10),$AL$10+SQRT(AY463*($AN$10-$AL$10)*($AM$10-$AL$10)),$AN$10-SQRT((1-AY463)*($AN$10-$AL$10)*($AN$10-$AM$10))),$AM$10)</f>
        <v/>
      </c>
      <c r="AQ463">
        <f>IFERROR(IF(AZ463&lt;($AM$11-$AL$11)/($AN$11-$AL$11),$AL$11+SQRT(AZ463*($AN$11-$AL$11)*($AM$11-$AL$11)),$AN$11-SQRT((1-AZ463)*($AN$11-$AL$11)*($AN$11-$AM$11))),$AM$11)</f>
        <v/>
      </c>
      <c r="AR463">
        <f>SUMPRODUCT((B24:B31&lt;=$B$6)*(C24:C31*AM463+D24:D31*AO463*$B$8*AQ463)/(1+AL463/100)^B24:B31)+C32*AM463*AP463/(1+AL463/100)^$B$6</f>
        <v/>
      </c>
      <c r="AS463">
        <f>SUMPRODUCT((K24:K26&lt;=$B$6)*(L24:L26*AN463+M24:M26*AO463*$B$8*AQ463)/(1+AL463/100)^K24:K26)+L27*AN463*AP463/(1+AL463/100)^$B$6</f>
        <v/>
      </c>
      <c r="AT463">
        <f>AS463-AR463</f>
        <v/>
      </c>
      <c r="AU463">
        <f>RAND()</f>
        <v/>
      </c>
      <c r="AV463">
        <f>RAND()</f>
        <v/>
      </c>
      <c r="AW463">
        <f>RAND()</f>
        <v/>
      </c>
      <c r="AX463">
        <f>RAND()</f>
        <v/>
      </c>
      <c r="AY463">
        <f>RAND()</f>
        <v/>
      </c>
      <c r="AZ463">
        <f>RAND()</f>
        <v/>
      </c>
    </row>
    <row r="464">
      <c r="AK464" t="n">
        <v>451</v>
      </c>
      <c r="AL464">
        <f>IFERROR(IF(AU464&lt;($AM$6-$AL$6)/($AN$6-$AL$6),$AL$6+SQRT(AU464*($AN$6-$AL$6)*($AM$6-$AL$6)),$AN$6-SQRT((1-AU464)*($AN$6-$AL$6)*($AN$6-$AM$6))),$AM$6)</f>
        <v/>
      </c>
      <c r="AM464">
        <f>IFERROR(IF(AV464&lt;($AM$7-$AL$7)/($AN$7-$AL$7),$AL$7+SQRT(AV464*($AN$7-$AL$7)*($AM$7-$AL$7)),$AN$7-SQRT((1-AV464)*($AN$7-$AL$7)*($AN$7-$AM$7))),$AM$7)</f>
        <v/>
      </c>
      <c r="AN464">
        <f>IFERROR(IF(AW464&lt;($AM$8-$AL$8)/($AN$8-$AL$8),$AL$8+SQRT(AW464*($AN$8-$AL$8)*($AM$8-$AL$8)),$AN$8-SQRT((1-AW464)*($AN$8-$AL$8)*($AN$8-$AM$8))),$AM$8)</f>
        <v/>
      </c>
      <c r="AO464">
        <f>IFERROR(IF(AX464&lt;($AM$9-$AL$9)/($AN$9-$AL$9),$AL$9+SQRT(AX464*($AN$9-$AL$9)*($AM$9-$AL$9)),$AN$9-SQRT((1-AX464)*($AN$9-$AL$9)*($AN$9-$AM$9))),$AM$9)</f>
        <v/>
      </c>
      <c r="AP464">
        <f>IFERROR(IF(AY464&lt;($AM$10-$AL$10)/($AN$10-$AL$10),$AL$10+SQRT(AY464*($AN$10-$AL$10)*($AM$10-$AL$10)),$AN$10-SQRT((1-AY464)*($AN$10-$AL$10)*($AN$10-$AM$10))),$AM$10)</f>
        <v/>
      </c>
      <c r="AQ464">
        <f>IFERROR(IF(AZ464&lt;($AM$11-$AL$11)/($AN$11-$AL$11),$AL$11+SQRT(AZ464*($AN$11-$AL$11)*($AM$11-$AL$11)),$AN$11-SQRT((1-AZ464)*($AN$11-$AL$11)*($AN$11-$AM$11))),$AM$11)</f>
        <v/>
      </c>
      <c r="AR464">
        <f>SUMPRODUCT((B24:B31&lt;=$B$6)*(C24:C31*AM464+D24:D31*AO464*$B$8*AQ464)/(1+AL464/100)^B24:B31)+C32*AM464*AP464/(1+AL464/100)^$B$6</f>
        <v/>
      </c>
      <c r="AS464">
        <f>SUMPRODUCT((K24:K26&lt;=$B$6)*(L24:L26*AN464+M24:M26*AO464*$B$8*AQ464)/(1+AL464/100)^K24:K26)+L27*AN464*AP464/(1+AL464/100)^$B$6</f>
        <v/>
      </c>
      <c r="AT464">
        <f>AS464-AR464</f>
        <v/>
      </c>
      <c r="AU464">
        <f>RAND()</f>
        <v/>
      </c>
      <c r="AV464">
        <f>RAND()</f>
        <v/>
      </c>
      <c r="AW464">
        <f>RAND()</f>
        <v/>
      </c>
      <c r="AX464">
        <f>RAND()</f>
        <v/>
      </c>
      <c r="AY464">
        <f>RAND()</f>
        <v/>
      </c>
      <c r="AZ464">
        <f>RAND()</f>
        <v/>
      </c>
    </row>
    <row r="465">
      <c r="AK465" t="n">
        <v>452</v>
      </c>
      <c r="AL465">
        <f>IFERROR(IF(AU465&lt;($AM$6-$AL$6)/($AN$6-$AL$6),$AL$6+SQRT(AU465*($AN$6-$AL$6)*($AM$6-$AL$6)),$AN$6-SQRT((1-AU465)*($AN$6-$AL$6)*($AN$6-$AM$6))),$AM$6)</f>
        <v/>
      </c>
      <c r="AM465">
        <f>IFERROR(IF(AV465&lt;($AM$7-$AL$7)/($AN$7-$AL$7),$AL$7+SQRT(AV465*($AN$7-$AL$7)*($AM$7-$AL$7)),$AN$7-SQRT((1-AV465)*($AN$7-$AL$7)*($AN$7-$AM$7))),$AM$7)</f>
        <v/>
      </c>
      <c r="AN465">
        <f>IFERROR(IF(AW465&lt;($AM$8-$AL$8)/($AN$8-$AL$8),$AL$8+SQRT(AW465*($AN$8-$AL$8)*($AM$8-$AL$8)),$AN$8-SQRT((1-AW465)*($AN$8-$AL$8)*($AN$8-$AM$8))),$AM$8)</f>
        <v/>
      </c>
      <c r="AO465">
        <f>IFERROR(IF(AX465&lt;($AM$9-$AL$9)/($AN$9-$AL$9),$AL$9+SQRT(AX465*($AN$9-$AL$9)*($AM$9-$AL$9)),$AN$9-SQRT((1-AX465)*($AN$9-$AL$9)*($AN$9-$AM$9))),$AM$9)</f>
        <v/>
      </c>
      <c r="AP465">
        <f>IFERROR(IF(AY465&lt;($AM$10-$AL$10)/($AN$10-$AL$10),$AL$10+SQRT(AY465*($AN$10-$AL$10)*($AM$10-$AL$10)),$AN$10-SQRT((1-AY465)*($AN$10-$AL$10)*($AN$10-$AM$10))),$AM$10)</f>
        <v/>
      </c>
      <c r="AQ465">
        <f>IFERROR(IF(AZ465&lt;($AM$11-$AL$11)/($AN$11-$AL$11),$AL$11+SQRT(AZ465*($AN$11-$AL$11)*($AM$11-$AL$11)),$AN$11-SQRT((1-AZ465)*($AN$11-$AL$11)*($AN$11-$AM$11))),$AM$11)</f>
        <v/>
      </c>
      <c r="AR465">
        <f>SUMPRODUCT((B24:B31&lt;=$B$6)*(C24:C31*AM465+D24:D31*AO465*$B$8*AQ465)/(1+AL465/100)^B24:B31)+C32*AM465*AP465/(1+AL465/100)^$B$6</f>
        <v/>
      </c>
      <c r="AS465">
        <f>SUMPRODUCT((K24:K26&lt;=$B$6)*(L24:L26*AN465+M24:M26*AO465*$B$8*AQ465)/(1+AL465/100)^K24:K26)+L27*AN465*AP465/(1+AL465/100)^$B$6</f>
        <v/>
      </c>
      <c r="AT465">
        <f>AS465-AR465</f>
        <v/>
      </c>
      <c r="AU465">
        <f>RAND()</f>
        <v/>
      </c>
      <c r="AV465">
        <f>RAND()</f>
        <v/>
      </c>
      <c r="AW465">
        <f>RAND()</f>
        <v/>
      </c>
      <c r="AX465">
        <f>RAND()</f>
        <v/>
      </c>
      <c r="AY465">
        <f>RAND()</f>
        <v/>
      </c>
      <c r="AZ465">
        <f>RAND()</f>
        <v/>
      </c>
    </row>
    <row r="466">
      <c r="AK466" t="n">
        <v>453</v>
      </c>
      <c r="AL466">
        <f>IFERROR(IF(AU466&lt;($AM$6-$AL$6)/($AN$6-$AL$6),$AL$6+SQRT(AU466*($AN$6-$AL$6)*($AM$6-$AL$6)),$AN$6-SQRT((1-AU466)*($AN$6-$AL$6)*($AN$6-$AM$6))),$AM$6)</f>
        <v/>
      </c>
      <c r="AM466">
        <f>IFERROR(IF(AV466&lt;($AM$7-$AL$7)/($AN$7-$AL$7),$AL$7+SQRT(AV466*($AN$7-$AL$7)*($AM$7-$AL$7)),$AN$7-SQRT((1-AV466)*($AN$7-$AL$7)*($AN$7-$AM$7))),$AM$7)</f>
        <v/>
      </c>
      <c r="AN466">
        <f>IFERROR(IF(AW466&lt;($AM$8-$AL$8)/($AN$8-$AL$8),$AL$8+SQRT(AW466*($AN$8-$AL$8)*($AM$8-$AL$8)),$AN$8-SQRT((1-AW466)*($AN$8-$AL$8)*($AN$8-$AM$8))),$AM$8)</f>
        <v/>
      </c>
      <c r="AO466">
        <f>IFERROR(IF(AX466&lt;($AM$9-$AL$9)/($AN$9-$AL$9),$AL$9+SQRT(AX466*($AN$9-$AL$9)*($AM$9-$AL$9)),$AN$9-SQRT((1-AX466)*($AN$9-$AL$9)*($AN$9-$AM$9))),$AM$9)</f>
        <v/>
      </c>
      <c r="AP466">
        <f>IFERROR(IF(AY466&lt;($AM$10-$AL$10)/($AN$10-$AL$10),$AL$10+SQRT(AY466*($AN$10-$AL$10)*($AM$10-$AL$10)),$AN$10-SQRT((1-AY466)*($AN$10-$AL$10)*($AN$10-$AM$10))),$AM$10)</f>
        <v/>
      </c>
      <c r="AQ466">
        <f>IFERROR(IF(AZ466&lt;($AM$11-$AL$11)/($AN$11-$AL$11),$AL$11+SQRT(AZ466*($AN$11-$AL$11)*($AM$11-$AL$11)),$AN$11-SQRT((1-AZ466)*($AN$11-$AL$11)*($AN$11-$AM$11))),$AM$11)</f>
        <v/>
      </c>
      <c r="AR466">
        <f>SUMPRODUCT((B24:B31&lt;=$B$6)*(C24:C31*AM466+D24:D31*AO466*$B$8*AQ466)/(1+AL466/100)^B24:B31)+C32*AM466*AP466/(1+AL466/100)^$B$6</f>
        <v/>
      </c>
      <c r="AS466">
        <f>SUMPRODUCT((K24:K26&lt;=$B$6)*(L24:L26*AN466+M24:M26*AO466*$B$8*AQ466)/(1+AL466/100)^K24:K26)+L27*AN466*AP466/(1+AL466/100)^$B$6</f>
        <v/>
      </c>
      <c r="AT466">
        <f>AS466-AR466</f>
        <v/>
      </c>
      <c r="AU466">
        <f>RAND()</f>
        <v/>
      </c>
      <c r="AV466">
        <f>RAND()</f>
        <v/>
      </c>
      <c r="AW466">
        <f>RAND()</f>
        <v/>
      </c>
      <c r="AX466">
        <f>RAND()</f>
        <v/>
      </c>
      <c r="AY466">
        <f>RAND()</f>
        <v/>
      </c>
      <c r="AZ466">
        <f>RAND()</f>
        <v/>
      </c>
    </row>
    <row r="467">
      <c r="AK467" t="n">
        <v>454</v>
      </c>
      <c r="AL467">
        <f>IFERROR(IF(AU467&lt;($AM$6-$AL$6)/($AN$6-$AL$6),$AL$6+SQRT(AU467*($AN$6-$AL$6)*($AM$6-$AL$6)),$AN$6-SQRT((1-AU467)*($AN$6-$AL$6)*($AN$6-$AM$6))),$AM$6)</f>
        <v/>
      </c>
      <c r="AM467">
        <f>IFERROR(IF(AV467&lt;($AM$7-$AL$7)/($AN$7-$AL$7),$AL$7+SQRT(AV467*($AN$7-$AL$7)*($AM$7-$AL$7)),$AN$7-SQRT((1-AV467)*($AN$7-$AL$7)*($AN$7-$AM$7))),$AM$7)</f>
        <v/>
      </c>
      <c r="AN467">
        <f>IFERROR(IF(AW467&lt;($AM$8-$AL$8)/($AN$8-$AL$8),$AL$8+SQRT(AW467*($AN$8-$AL$8)*($AM$8-$AL$8)),$AN$8-SQRT((1-AW467)*($AN$8-$AL$8)*($AN$8-$AM$8))),$AM$8)</f>
        <v/>
      </c>
      <c r="AO467">
        <f>IFERROR(IF(AX467&lt;($AM$9-$AL$9)/($AN$9-$AL$9),$AL$9+SQRT(AX467*($AN$9-$AL$9)*($AM$9-$AL$9)),$AN$9-SQRT((1-AX467)*($AN$9-$AL$9)*($AN$9-$AM$9))),$AM$9)</f>
        <v/>
      </c>
      <c r="AP467">
        <f>IFERROR(IF(AY467&lt;($AM$10-$AL$10)/($AN$10-$AL$10),$AL$10+SQRT(AY467*($AN$10-$AL$10)*($AM$10-$AL$10)),$AN$10-SQRT((1-AY467)*($AN$10-$AL$10)*($AN$10-$AM$10))),$AM$10)</f>
        <v/>
      </c>
      <c r="AQ467">
        <f>IFERROR(IF(AZ467&lt;($AM$11-$AL$11)/($AN$11-$AL$11),$AL$11+SQRT(AZ467*($AN$11-$AL$11)*($AM$11-$AL$11)),$AN$11-SQRT((1-AZ467)*($AN$11-$AL$11)*($AN$11-$AM$11))),$AM$11)</f>
        <v/>
      </c>
      <c r="AR467">
        <f>SUMPRODUCT((B24:B31&lt;=$B$6)*(C24:C31*AM467+D24:D31*AO467*$B$8*AQ467)/(1+AL467/100)^B24:B31)+C32*AM467*AP467/(1+AL467/100)^$B$6</f>
        <v/>
      </c>
      <c r="AS467">
        <f>SUMPRODUCT((K24:K26&lt;=$B$6)*(L24:L26*AN467+M24:M26*AO467*$B$8*AQ467)/(1+AL467/100)^K24:K26)+L27*AN467*AP467/(1+AL467/100)^$B$6</f>
        <v/>
      </c>
      <c r="AT467">
        <f>AS467-AR467</f>
        <v/>
      </c>
      <c r="AU467">
        <f>RAND()</f>
        <v/>
      </c>
      <c r="AV467">
        <f>RAND()</f>
        <v/>
      </c>
      <c r="AW467">
        <f>RAND()</f>
        <v/>
      </c>
      <c r="AX467">
        <f>RAND()</f>
        <v/>
      </c>
      <c r="AY467">
        <f>RAND()</f>
        <v/>
      </c>
      <c r="AZ467">
        <f>RAND()</f>
        <v/>
      </c>
    </row>
    <row r="468">
      <c r="AK468" t="n">
        <v>455</v>
      </c>
      <c r="AL468">
        <f>IFERROR(IF(AU468&lt;($AM$6-$AL$6)/($AN$6-$AL$6),$AL$6+SQRT(AU468*($AN$6-$AL$6)*($AM$6-$AL$6)),$AN$6-SQRT((1-AU468)*($AN$6-$AL$6)*($AN$6-$AM$6))),$AM$6)</f>
        <v/>
      </c>
      <c r="AM468">
        <f>IFERROR(IF(AV468&lt;($AM$7-$AL$7)/($AN$7-$AL$7),$AL$7+SQRT(AV468*($AN$7-$AL$7)*($AM$7-$AL$7)),$AN$7-SQRT((1-AV468)*($AN$7-$AL$7)*($AN$7-$AM$7))),$AM$7)</f>
        <v/>
      </c>
      <c r="AN468">
        <f>IFERROR(IF(AW468&lt;($AM$8-$AL$8)/($AN$8-$AL$8),$AL$8+SQRT(AW468*($AN$8-$AL$8)*($AM$8-$AL$8)),$AN$8-SQRT((1-AW468)*($AN$8-$AL$8)*($AN$8-$AM$8))),$AM$8)</f>
        <v/>
      </c>
      <c r="AO468">
        <f>IFERROR(IF(AX468&lt;($AM$9-$AL$9)/($AN$9-$AL$9),$AL$9+SQRT(AX468*($AN$9-$AL$9)*($AM$9-$AL$9)),$AN$9-SQRT((1-AX468)*($AN$9-$AL$9)*($AN$9-$AM$9))),$AM$9)</f>
        <v/>
      </c>
      <c r="AP468">
        <f>IFERROR(IF(AY468&lt;($AM$10-$AL$10)/($AN$10-$AL$10),$AL$10+SQRT(AY468*($AN$10-$AL$10)*($AM$10-$AL$10)),$AN$10-SQRT((1-AY468)*($AN$10-$AL$10)*($AN$10-$AM$10))),$AM$10)</f>
        <v/>
      </c>
      <c r="AQ468">
        <f>IFERROR(IF(AZ468&lt;($AM$11-$AL$11)/($AN$11-$AL$11),$AL$11+SQRT(AZ468*($AN$11-$AL$11)*($AM$11-$AL$11)),$AN$11-SQRT((1-AZ468)*($AN$11-$AL$11)*($AN$11-$AM$11))),$AM$11)</f>
        <v/>
      </c>
      <c r="AR468">
        <f>SUMPRODUCT((B24:B31&lt;=$B$6)*(C24:C31*AM468+D24:D31*AO468*$B$8*AQ468)/(1+AL468/100)^B24:B31)+C32*AM468*AP468/(1+AL468/100)^$B$6</f>
        <v/>
      </c>
      <c r="AS468">
        <f>SUMPRODUCT((K24:K26&lt;=$B$6)*(L24:L26*AN468+M24:M26*AO468*$B$8*AQ468)/(1+AL468/100)^K24:K26)+L27*AN468*AP468/(1+AL468/100)^$B$6</f>
        <v/>
      </c>
      <c r="AT468">
        <f>AS468-AR468</f>
        <v/>
      </c>
      <c r="AU468">
        <f>RAND()</f>
        <v/>
      </c>
      <c r="AV468">
        <f>RAND()</f>
        <v/>
      </c>
      <c r="AW468">
        <f>RAND()</f>
        <v/>
      </c>
      <c r="AX468">
        <f>RAND()</f>
        <v/>
      </c>
      <c r="AY468">
        <f>RAND()</f>
        <v/>
      </c>
      <c r="AZ468">
        <f>RAND()</f>
        <v/>
      </c>
    </row>
    <row r="469">
      <c r="AK469" t="n">
        <v>456</v>
      </c>
      <c r="AL469">
        <f>IFERROR(IF(AU469&lt;($AM$6-$AL$6)/($AN$6-$AL$6),$AL$6+SQRT(AU469*($AN$6-$AL$6)*($AM$6-$AL$6)),$AN$6-SQRT((1-AU469)*($AN$6-$AL$6)*($AN$6-$AM$6))),$AM$6)</f>
        <v/>
      </c>
      <c r="AM469">
        <f>IFERROR(IF(AV469&lt;($AM$7-$AL$7)/($AN$7-$AL$7),$AL$7+SQRT(AV469*($AN$7-$AL$7)*($AM$7-$AL$7)),$AN$7-SQRT((1-AV469)*($AN$7-$AL$7)*($AN$7-$AM$7))),$AM$7)</f>
        <v/>
      </c>
      <c r="AN469">
        <f>IFERROR(IF(AW469&lt;($AM$8-$AL$8)/($AN$8-$AL$8),$AL$8+SQRT(AW469*($AN$8-$AL$8)*($AM$8-$AL$8)),$AN$8-SQRT((1-AW469)*($AN$8-$AL$8)*($AN$8-$AM$8))),$AM$8)</f>
        <v/>
      </c>
      <c r="AO469">
        <f>IFERROR(IF(AX469&lt;($AM$9-$AL$9)/($AN$9-$AL$9),$AL$9+SQRT(AX469*($AN$9-$AL$9)*($AM$9-$AL$9)),$AN$9-SQRT((1-AX469)*($AN$9-$AL$9)*($AN$9-$AM$9))),$AM$9)</f>
        <v/>
      </c>
      <c r="AP469">
        <f>IFERROR(IF(AY469&lt;($AM$10-$AL$10)/($AN$10-$AL$10),$AL$10+SQRT(AY469*($AN$10-$AL$10)*($AM$10-$AL$10)),$AN$10-SQRT((1-AY469)*($AN$10-$AL$10)*($AN$10-$AM$10))),$AM$10)</f>
        <v/>
      </c>
      <c r="AQ469">
        <f>IFERROR(IF(AZ469&lt;($AM$11-$AL$11)/($AN$11-$AL$11),$AL$11+SQRT(AZ469*($AN$11-$AL$11)*($AM$11-$AL$11)),$AN$11-SQRT((1-AZ469)*($AN$11-$AL$11)*($AN$11-$AM$11))),$AM$11)</f>
        <v/>
      </c>
      <c r="AR469">
        <f>SUMPRODUCT((B24:B31&lt;=$B$6)*(C24:C31*AM469+D24:D31*AO469*$B$8*AQ469)/(1+AL469/100)^B24:B31)+C32*AM469*AP469/(1+AL469/100)^$B$6</f>
        <v/>
      </c>
      <c r="AS469">
        <f>SUMPRODUCT((K24:K26&lt;=$B$6)*(L24:L26*AN469+M24:M26*AO469*$B$8*AQ469)/(1+AL469/100)^K24:K26)+L27*AN469*AP469/(1+AL469/100)^$B$6</f>
        <v/>
      </c>
      <c r="AT469">
        <f>AS469-AR469</f>
        <v/>
      </c>
      <c r="AU469">
        <f>RAND()</f>
        <v/>
      </c>
      <c r="AV469">
        <f>RAND()</f>
        <v/>
      </c>
      <c r="AW469">
        <f>RAND()</f>
        <v/>
      </c>
      <c r="AX469">
        <f>RAND()</f>
        <v/>
      </c>
      <c r="AY469">
        <f>RAND()</f>
        <v/>
      </c>
      <c r="AZ469">
        <f>RAND()</f>
        <v/>
      </c>
    </row>
    <row r="470">
      <c r="AK470" t="n">
        <v>457</v>
      </c>
      <c r="AL470">
        <f>IFERROR(IF(AU470&lt;($AM$6-$AL$6)/($AN$6-$AL$6),$AL$6+SQRT(AU470*($AN$6-$AL$6)*($AM$6-$AL$6)),$AN$6-SQRT((1-AU470)*($AN$6-$AL$6)*($AN$6-$AM$6))),$AM$6)</f>
        <v/>
      </c>
      <c r="AM470">
        <f>IFERROR(IF(AV470&lt;($AM$7-$AL$7)/($AN$7-$AL$7),$AL$7+SQRT(AV470*($AN$7-$AL$7)*($AM$7-$AL$7)),$AN$7-SQRT((1-AV470)*($AN$7-$AL$7)*($AN$7-$AM$7))),$AM$7)</f>
        <v/>
      </c>
      <c r="AN470">
        <f>IFERROR(IF(AW470&lt;($AM$8-$AL$8)/($AN$8-$AL$8),$AL$8+SQRT(AW470*($AN$8-$AL$8)*($AM$8-$AL$8)),$AN$8-SQRT((1-AW470)*($AN$8-$AL$8)*($AN$8-$AM$8))),$AM$8)</f>
        <v/>
      </c>
      <c r="AO470">
        <f>IFERROR(IF(AX470&lt;($AM$9-$AL$9)/($AN$9-$AL$9),$AL$9+SQRT(AX470*($AN$9-$AL$9)*($AM$9-$AL$9)),$AN$9-SQRT((1-AX470)*($AN$9-$AL$9)*($AN$9-$AM$9))),$AM$9)</f>
        <v/>
      </c>
      <c r="AP470">
        <f>IFERROR(IF(AY470&lt;($AM$10-$AL$10)/($AN$10-$AL$10),$AL$10+SQRT(AY470*($AN$10-$AL$10)*($AM$10-$AL$10)),$AN$10-SQRT((1-AY470)*($AN$10-$AL$10)*($AN$10-$AM$10))),$AM$10)</f>
        <v/>
      </c>
      <c r="AQ470">
        <f>IFERROR(IF(AZ470&lt;($AM$11-$AL$11)/($AN$11-$AL$11),$AL$11+SQRT(AZ470*($AN$11-$AL$11)*($AM$11-$AL$11)),$AN$11-SQRT((1-AZ470)*($AN$11-$AL$11)*($AN$11-$AM$11))),$AM$11)</f>
        <v/>
      </c>
      <c r="AR470">
        <f>SUMPRODUCT((B24:B31&lt;=$B$6)*(C24:C31*AM470+D24:D31*AO470*$B$8*AQ470)/(1+AL470/100)^B24:B31)+C32*AM470*AP470/(1+AL470/100)^$B$6</f>
        <v/>
      </c>
      <c r="AS470">
        <f>SUMPRODUCT((K24:K26&lt;=$B$6)*(L24:L26*AN470+M24:M26*AO470*$B$8*AQ470)/(1+AL470/100)^K24:K26)+L27*AN470*AP470/(1+AL470/100)^$B$6</f>
        <v/>
      </c>
      <c r="AT470">
        <f>AS470-AR470</f>
        <v/>
      </c>
      <c r="AU470">
        <f>RAND()</f>
        <v/>
      </c>
      <c r="AV470">
        <f>RAND()</f>
        <v/>
      </c>
      <c r="AW470">
        <f>RAND()</f>
        <v/>
      </c>
      <c r="AX470">
        <f>RAND()</f>
        <v/>
      </c>
      <c r="AY470">
        <f>RAND()</f>
        <v/>
      </c>
      <c r="AZ470">
        <f>RAND()</f>
        <v/>
      </c>
    </row>
    <row r="471">
      <c r="AK471" t="n">
        <v>458</v>
      </c>
      <c r="AL471">
        <f>IFERROR(IF(AU471&lt;($AM$6-$AL$6)/($AN$6-$AL$6),$AL$6+SQRT(AU471*($AN$6-$AL$6)*($AM$6-$AL$6)),$AN$6-SQRT((1-AU471)*($AN$6-$AL$6)*($AN$6-$AM$6))),$AM$6)</f>
        <v/>
      </c>
      <c r="AM471">
        <f>IFERROR(IF(AV471&lt;($AM$7-$AL$7)/($AN$7-$AL$7),$AL$7+SQRT(AV471*($AN$7-$AL$7)*($AM$7-$AL$7)),$AN$7-SQRT((1-AV471)*($AN$7-$AL$7)*($AN$7-$AM$7))),$AM$7)</f>
        <v/>
      </c>
      <c r="AN471">
        <f>IFERROR(IF(AW471&lt;($AM$8-$AL$8)/($AN$8-$AL$8),$AL$8+SQRT(AW471*($AN$8-$AL$8)*($AM$8-$AL$8)),$AN$8-SQRT((1-AW471)*($AN$8-$AL$8)*($AN$8-$AM$8))),$AM$8)</f>
        <v/>
      </c>
      <c r="AO471">
        <f>IFERROR(IF(AX471&lt;($AM$9-$AL$9)/($AN$9-$AL$9),$AL$9+SQRT(AX471*($AN$9-$AL$9)*($AM$9-$AL$9)),$AN$9-SQRT((1-AX471)*($AN$9-$AL$9)*($AN$9-$AM$9))),$AM$9)</f>
        <v/>
      </c>
      <c r="AP471">
        <f>IFERROR(IF(AY471&lt;($AM$10-$AL$10)/($AN$10-$AL$10),$AL$10+SQRT(AY471*($AN$10-$AL$10)*($AM$10-$AL$10)),$AN$10-SQRT((1-AY471)*($AN$10-$AL$10)*($AN$10-$AM$10))),$AM$10)</f>
        <v/>
      </c>
      <c r="AQ471">
        <f>IFERROR(IF(AZ471&lt;($AM$11-$AL$11)/($AN$11-$AL$11),$AL$11+SQRT(AZ471*($AN$11-$AL$11)*($AM$11-$AL$11)),$AN$11-SQRT((1-AZ471)*($AN$11-$AL$11)*($AN$11-$AM$11))),$AM$11)</f>
        <v/>
      </c>
      <c r="AR471">
        <f>SUMPRODUCT((B24:B31&lt;=$B$6)*(C24:C31*AM471+D24:D31*AO471*$B$8*AQ471)/(1+AL471/100)^B24:B31)+C32*AM471*AP471/(1+AL471/100)^$B$6</f>
        <v/>
      </c>
      <c r="AS471">
        <f>SUMPRODUCT((K24:K26&lt;=$B$6)*(L24:L26*AN471+M24:M26*AO471*$B$8*AQ471)/(1+AL471/100)^K24:K26)+L27*AN471*AP471/(1+AL471/100)^$B$6</f>
        <v/>
      </c>
      <c r="AT471">
        <f>AS471-AR471</f>
        <v/>
      </c>
      <c r="AU471">
        <f>RAND()</f>
        <v/>
      </c>
      <c r="AV471">
        <f>RAND()</f>
        <v/>
      </c>
      <c r="AW471">
        <f>RAND()</f>
        <v/>
      </c>
      <c r="AX471">
        <f>RAND()</f>
        <v/>
      </c>
      <c r="AY471">
        <f>RAND()</f>
        <v/>
      </c>
      <c r="AZ471">
        <f>RAND()</f>
        <v/>
      </c>
    </row>
    <row r="472">
      <c r="AK472" t="n">
        <v>459</v>
      </c>
      <c r="AL472">
        <f>IFERROR(IF(AU472&lt;($AM$6-$AL$6)/($AN$6-$AL$6),$AL$6+SQRT(AU472*($AN$6-$AL$6)*($AM$6-$AL$6)),$AN$6-SQRT((1-AU472)*($AN$6-$AL$6)*($AN$6-$AM$6))),$AM$6)</f>
        <v/>
      </c>
      <c r="AM472">
        <f>IFERROR(IF(AV472&lt;($AM$7-$AL$7)/($AN$7-$AL$7),$AL$7+SQRT(AV472*($AN$7-$AL$7)*($AM$7-$AL$7)),$AN$7-SQRT((1-AV472)*($AN$7-$AL$7)*($AN$7-$AM$7))),$AM$7)</f>
        <v/>
      </c>
      <c r="AN472">
        <f>IFERROR(IF(AW472&lt;($AM$8-$AL$8)/($AN$8-$AL$8),$AL$8+SQRT(AW472*($AN$8-$AL$8)*($AM$8-$AL$8)),$AN$8-SQRT((1-AW472)*($AN$8-$AL$8)*($AN$8-$AM$8))),$AM$8)</f>
        <v/>
      </c>
      <c r="AO472">
        <f>IFERROR(IF(AX472&lt;($AM$9-$AL$9)/($AN$9-$AL$9),$AL$9+SQRT(AX472*($AN$9-$AL$9)*($AM$9-$AL$9)),$AN$9-SQRT((1-AX472)*($AN$9-$AL$9)*($AN$9-$AM$9))),$AM$9)</f>
        <v/>
      </c>
      <c r="AP472">
        <f>IFERROR(IF(AY472&lt;($AM$10-$AL$10)/($AN$10-$AL$10),$AL$10+SQRT(AY472*($AN$10-$AL$10)*($AM$10-$AL$10)),$AN$10-SQRT((1-AY472)*($AN$10-$AL$10)*($AN$10-$AM$10))),$AM$10)</f>
        <v/>
      </c>
      <c r="AQ472">
        <f>IFERROR(IF(AZ472&lt;($AM$11-$AL$11)/($AN$11-$AL$11),$AL$11+SQRT(AZ472*($AN$11-$AL$11)*($AM$11-$AL$11)),$AN$11-SQRT((1-AZ472)*($AN$11-$AL$11)*($AN$11-$AM$11))),$AM$11)</f>
        <v/>
      </c>
      <c r="AR472">
        <f>SUMPRODUCT((B24:B31&lt;=$B$6)*(C24:C31*AM472+D24:D31*AO472*$B$8*AQ472)/(1+AL472/100)^B24:B31)+C32*AM472*AP472/(1+AL472/100)^$B$6</f>
        <v/>
      </c>
      <c r="AS472">
        <f>SUMPRODUCT((K24:K26&lt;=$B$6)*(L24:L26*AN472+M24:M26*AO472*$B$8*AQ472)/(1+AL472/100)^K24:K26)+L27*AN472*AP472/(1+AL472/100)^$B$6</f>
        <v/>
      </c>
      <c r="AT472">
        <f>AS472-AR472</f>
        <v/>
      </c>
      <c r="AU472">
        <f>RAND()</f>
        <v/>
      </c>
      <c r="AV472">
        <f>RAND()</f>
        <v/>
      </c>
      <c r="AW472">
        <f>RAND()</f>
        <v/>
      </c>
      <c r="AX472">
        <f>RAND()</f>
        <v/>
      </c>
      <c r="AY472">
        <f>RAND()</f>
        <v/>
      </c>
      <c r="AZ472">
        <f>RAND()</f>
        <v/>
      </c>
    </row>
    <row r="473">
      <c r="AK473" t="n">
        <v>460</v>
      </c>
      <c r="AL473">
        <f>IFERROR(IF(AU473&lt;($AM$6-$AL$6)/($AN$6-$AL$6),$AL$6+SQRT(AU473*($AN$6-$AL$6)*($AM$6-$AL$6)),$AN$6-SQRT((1-AU473)*($AN$6-$AL$6)*($AN$6-$AM$6))),$AM$6)</f>
        <v/>
      </c>
      <c r="AM473">
        <f>IFERROR(IF(AV473&lt;($AM$7-$AL$7)/($AN$7-$AL$7),$AL$7+SQRT(AV473*($AN$7-$AL$7)*($AM$7-$AL$7)),$AN$7-SQRT((1-AV473)*($AN$7-$AL$7)*($AN$7-$AM$7))),$AM$7)</f>
        <v/>
      </c>
      <c r="AN473">
        <f>IFERROR(IF(AW473&lt;($AM$8-$AL$8)/($AN$8-$AL$8),$AL$8+SQRT(AW473*($AN$8-$AL$8)*($AM$8-$AL$8)),$AN$8-SQRT((1-AW473)*($AN$8-$AL$8)*($AN$8-$AM$8))),$AM$8)</f>
        <v/>
      </c>
      <c r="AO473">
        <f>IFERROR(IF(AX473&lt;($AM$9-$AL$9)/($AN$9-$AL$9),$AL$9+SQRT(AX473*($AN$9-$AL$9)*($AM$9-$AL$9)),$AN$9-SQRT((1-AX473)*($AN$9-$AL$9)*($AN$9-$AM$9))),$AM$9)</f>
        <v/>
      </c>
      <c r="AP473">
        <f>IFERROR(IF(AY473&lt;($AM$10-$AL$10)/($AN$10-$AL$10),$AL$10+SQRT(AY473*($AN$10-$AL$10)*($AM$10-$AL$10)),$AN$10-SQRT((1-AY473)*($AN$10-$AL$10)*($AN$10-$AM$10))),$AM$10)</f>
        <v/>
      </c>
      <c r="AQ473">
        <f>IFERROR(IF(AZ473&lt;($AM$11-$AL$11)/($AN$11-$AL$11),$AL$11+SQRT(AZ473*($AN$11-$AL$11)*($AM$11-$AL$11)),$AN$11-SQRT((1-AZ473)*($AN$11-$AL$11)*($AN$11-$AM$11))),$AM$11)</f>
        <v/>
      </c>
      <c r="AR473">
        <f>SUMPRODUCT((B24:B31&lt;=$B$6)*(C24:C31*AM473+D24:D31*AO473*$B$8*AQ473)/(1+AL473/100)^B24:B31)+C32*AM473*AP473/(1+AL473/100)^$B$6</f>
        <v/>
      </c>
      <c r="AS473">
        <f>SUMPRODUCT((K24:K26&lt;=$B$6)*(L24:L26*AN473+M24:M26*AO473*$B$8*AQ473)/(1+AL473/100)^K24:K26)+L27*AN473*AP473/(1+AL473/100)^$B$6</f>
        <v/>
      </c>
      <c r="AT473">
        <f>AS473-AR473</f>
        <v/>
      </c>
      <c r="AU473">
        <f>RAND()</f>
        <v/>
      </c>
      <c r="AV473">
        <f>RAND()</f>
        <v/>
      </c>
      <c r="AW473">
        <f>RAND()</f>
        <v/>
      </c>
      <c r="AX473">
        <f>RAND()</f>
        <v/>
      </c>
      <c r="AY473">
        <f>RAND()</f>
        <v/>
      </c>
      <c r="AZ473">
        <f>RAND()</f>
        <v/>
      </c>
    </row>
    <row r="474">
      <c r="AK474" t="n">
        <v>461</v>
      </c>
      <c r="AL474">
        <f>IFERROR(IF(AU474&lt;($AM$6-$AL$6)/($AN$6-$AL$6),$AL$6+SQRT(AU474*($AN$6-$AL$6)*($AM$6-$AL$6)),$AN$6-SQRT((1-AU474)*($AN$6-$AL$6)*($AN$6-$AM$6))),$AM$6)</f>
        <v/>
      </c>
      <c r="AM474">
        <f>IFERROR(IF(AV474&lt;($AM$7-$AL$7)/($AN$7-$AL$7),$AL$7+SQRT(AV474*($AN$7-$AL$7)*($AM$7-$AL$7)),$AN$7-SQRT((1-AV474)*($AN$7-$AL$7)*($AN$7-$AM$7))),$AM$7)</f>
        <v/>
      </c>
      <c r="AN474">
        <f>IFERROR(IF(AW474&lt;($AM$8-$AL$8)/($AN$8-$AL$8),$AL$8+SQRT(AW474*($AN$8-$AL$8)*($AM$8-$AL$8)),$AN$8-SQRT((1-AW474)*($AN$8-$AL$8)*($AN$8-$AM$8))),$AM$8)</f>
        <v/>
      </c>
      <c r="AO474">
        <f>IFERROR(IF(AX474&lt;($AM$9-$AL$9)/($AN$9-$AL$9),$AL$9+SQRT(AX474*($AN$9-$AL$9)*($AM$9-$AL$9)),$AN$9-SQRT((1-AX474)*($AN$9-$AL$9)*($AN$9-$AM$9))),$AM$9)</f>
        <v/>
      </c>
      <c r="AP474">
        <f>IFERROR(IF(AY474&lt;($AM$10-$AL$10)/($AN$10-$AL$10),$AL$10+SQRT(AY474*($AN$10-$AL$10)*($AM$10-$AL$10)),$AN$10-SQRT((1-AY474)*($AN$10-$AL$10)*($AN$10-$AM$10))),$AM$10)</f>
        <v/>
      </c>
      <c r="AQ474">
        <f>IFERROR(IF(AZ474&lt;($AM$11-$AL$11)/($AN$11-$AL$11),$AL$11+SQRT(AZ474*($AN$11-$AL$11)*($AM$11-$AL$11)),$AN$11-SQRT((1-AZ474)*($AN$11-$AL$11)*($AN$11-$AM$11))),$AM$11)</f>
        <v/>
      </c>
      <c r="AR474">
        <f>SUMPRODUCT((B24:B31&lt;=$B$6)*(C24:C31*AM474+D24:D31*AO474*$B$8*AQ474)/(1+AL474/100)^B24:B31)+C32*AM474*AP474/(1+AL474/100)^$B$6</f>
        <v/>
      </c>
      <c r="AS474">
        <f>SUMPRODUCT((K24:K26&lt;=$B$6)*(L24:L26*AN474+M24:M26*AO474*$B$8*AQ474)/(1+AL474/100)^K24:K26)+L27*AN474*AP474/(1+AL474/100)^$B$6</f>
        <v/>
      </c>
      <c r="AT474">
        <f>AS474-AR474</f>
        <v/>
      </c>
      <c r="AU474">
        <f>RAND()</f>
        <v/>
      </c>
      <c r="AV474">
        <f>RAND()</f>
        <v/>
      </c>
      <c r="AW474">
        <f>RAND()</f>
        <v/>
      </c>
      <c r="AX474">
        <f>RAND()</f>
        <v/>
      </c>
      <c r="AY474">
        <f>RAND()</f>
        <v/>
      </c>
      <c r="AZ474">
        <f>RAND()</f>
        <v/>
      </c>
    </row>
    <row r="475">
      <c r="AK475" t="n">
        <v>462</v>
      </c>
      <c r="AL475">
        <f>IFERROR(IF(AU475&lt;($AM$6-$AL$6)/($AN$6-$AL$6),$AL$6+SQRT(AU475*($AN$6-$AL$6)*($AM$6-$AL$6)),$AN$6-SQRT((1-AU475)*($AN$6-$AL$6)*($AN$6-$AM$6))),$AM$6)</f>
        <v/>
      </c>
      <c r="AM475">
        <f>IFERROR(IF(AV475&lt;($AM$7-$AL$7)/($AN$7-$AL$7),$AL$7+SQRT(AV475*($AN$7-$AL$7)*($AM$7-$AL$7)),$AN$7-SQRT((1-AV475)*($AN$7-$AL$7)*($AN$7-$AM$7))),$AM$7)</f>
        <v/>
      </c>
      <c r="AN475">
        <f>IFERROR(IF(AW475&lt;($AM$8-$AL$8)/($AN$8-$AL$8),$AL$8+SQRT(AW475*($AN$8-$AL$8)*($AM$8-$AL$8)),$AN$8-SQRT((1-AW475)*($AN$8-$AL$8)*($AN$8-$AM$8))),$AM$8)</f>
        <v/>
      </c>
      <c r="AO475">
        <f>IFERROR(IF(AX475&lt;($AM$9-$AL$9)/($AN$9-$AL$9),$AL$9+SQRT(AX475*($AN$9-$AL$9)*($AM$9-$AL$9)),$AN$9-SQRT((1-AX475)*($AN$9-$AL$9)*($AN$9-$AM$9))),$AM$9)</f>
        <v/>
      </c>
      <c r="AP475">
        <f>IFERROR(IF(AY475&lt;($AM$10-$AL$10)/($AN$10-$AL$10),$AL$10+SQRT(AY475*($AN$10-$AL$10)*($AM$10-$AL$10)),$AN$10-SQRT((1-AY475)*($AN$10-$AL$10)*($AN$10-$AM$10))),$AM$10)</f>
        <v/>
      </c>
      <c r="AQ475">
        <f>IFERROR(IF(AZ475&lt;($AM$11-$AL$11)/($AN$11-$AL$11),$AL$11+SQRT(AZ475*($AN$11-$AL$11)*($AM$11-$AL$11)),$AN$11-SQRT((1-AZ475)*($AN$11-$AL$11)*($AN$11-$AM$11))),$AM$11)</f>
        <v/>
      </c>
      <c r="AR475">
        <f>SUMPRODUCT((B24:B31&lt;=$B$6)*(C24:C31*AM475+D24:D31*AO475*$B$8*AQ475)/(1+AL475/100)^B24:B31)+C32*AM475*AP475/(1+AL475/100)^$B$6</f>
        <v/>
      </c>
      <c r="AS475">
        <f>SUMPRODUCT((K24:K26&lt;=$B$6)*(L24:L26*AN475+M24:M26*AO475*$B$8*AQ475)/(1+AL475/100)^K24:K26)+L27*AN475*AP475/(1+AL475/100)^$B$6</f>
        <v/>
      </c>
      <c r="AT475">
        <f>AS475-AR475</f>
        <v/>
      </c>
      <c r="AU475">
        <f>RAND()</f>
        <v/>
      </c>
      <c r="AV475">
        <f>RAND()</f>
        <v/>
      </c>
      <c r="AW475">
        <f>RAND()</f>
        <v/>
      </c>
      <c r="AX475">
        <f>RAND()</f>
        <v/>
      </c>
      <c r="AY475">
        <f>RAND()</f>
        <v/>
      </c>
      <c r="AZ475">
        <f>RAND()</f>
        <v/>
      </c>
    </row>
    <row r="476">
      <c r="AK476" t="n">
        <v>463</v>
      </c>
      <c r="AL476">
        <f>IFERROR(IF(AU476&lt;($AM$6-$AL$6)/($AN$6-$AL$6),$AL$6+SQRT(AU476*($AN$6-$AL$6)*($AM$6-$AL$6)),$AN$6-SQRT((1-AU476)*($AN$6-$AL$6)*($AN$6-$AM$6))),$AM$6)</f>
        <v/>
      </c>
      <c r="AM476">
        <f>IFERROR(IF(AV476&lt;($AM$7-$AL$7)/($AN$7-$AL$7),$AL$7+SQRT(AV476*($AN$7-$AL$7)*($AM$7-$AL$7)),$AN$7-SQRT((1-AV476)*($AN$7-$AL$7)*($AN$7-$AM$7))),$AM$7)</f>
        <v/>
      </c>
      <c r="AN476">
        <f>IFERROR(IF(AW476&lt;($AM$8-$AL$8)/($AN$8-$AL$8),$AL$8+SQRT(AW476*($AN$8-$AL$8)*($AM$8-$AL$8)),$AN$8-SQRT((1-AW476)*($AN$8-$AL$8)*($AN$8-$AM$8))),$AM$8)</f>
        <v/>
      </c>
      <c r="AO476">
        <f>IFERROR(IF(AX476&lt;($AM$9-$AL$9)/($AN$9-$AL$9),$AL$9+SQRT(AX476*($AN$9-$AL$9)*($AM$9-$AL$9)),$AN$9-SQRT((1-AX476)*($AN$9-$AL$9)*($AN$9-$AM$9))),$AM$9)</f>
        <v/>
      </c>
      <c r="AP476">
        <f>IFERROR(IF(AY476&lt;($AM$10-$AL$10)/($AN$10-$AL$10),$AL$10+SQRT(AY476*($AN$10-$AL$10)*($AM$10-$AL$10)),$AN$10-SQRT((1-AY476)*($AN$10-$AL$10)*($AN$10-$AM$10))),$AM$10)</f>
        <v/>
      </c>
      <c r="AQ476">
        <f>IFERROR(IF(AZ476&lt;($AM$11-$AL$11)/($AN$11-$AL$11),$AL$11+SQRT(AZ476*($AN$11-$AL$11)*($AM$11-$AL$11)),$AN$11-SQRT((1-AZ476)*($AN$11-$AL$11)*($AN$11-$AM$11))),$AM$11)</f>
        <v/>
      </c>
      <c r="AR476">
        <f>SUMPRODUCT((B24:B31&lt;=$B$6)*(C24:C31*AM476+D24:D31*AO476*$B$8*AQ476)/(1+AL476/100)^B24:B31)+C32*AM476*AP476/(1+AL476/100)^$B$6</f>
        <v/>
      </c>
      <c r="AS476">
        <f>SUMPRODUCT((K24:K26&lt;=$B$6)*(L24:L26*AN476+M24:M26*AO476*$B$8*AQ476)/(1+AL476/100)^K24:K26)+L27*AN476*AP476/(1+AL476/100)^$B$6</f>
        <v/>
      </c>
      <c r="AT476">
        <f>AS476-AR476</f>
        <v/>
      </c>
      <c r="AU476">
        <f>RAND()</f>
        <v/>
      </c>
      <c r="AV476">
        <f>RAND()</f>
        <v/>
      </c>
      <c r="AW476">
        <f>RAND()</f>
        <v/>
      </c>
      <c r="AX476">
        <f>RAND()</f>
        <v/>
      </c>
      <c r="AY476">
        <f>RAND()</f>
        <v/>
      </c>
      <c r="AZ476">
        <f>RAND()</f>
        <v/>
      </c>
    </row>
    <row r="477">
      <c r="AK477" t="n">
        <v>464</v>
      </c>
      <c r="AL477">
        <f>IFERROR(IF(AU477&lt;($AM$6-$AL$6)/($AN$6-$AL$6),$AL$6+SQRT(AU477*($AN$6-$AL$6)*($AM$6-$AL$6)),$AN$6-SQRT((1-AU477)*($AN$6-$AL$6)*($AN$6-$AM$6))),$AM$6)</f>
        <v/>
      </c>
      <c r="AM477">
        <f>IFERROR(IF(AV477&lt;($AM$7-$AL$7)/($AN$7-$AL$7),$AL$7+SQRT(AV477*($AN$7-$AL$7)*($AM$7-$AL$7)),$AN$7-SQRT((1-AV477)*($AN$7-$AL$7)*($AN$7-$AM$7))),$AM$7)</f>
        <v/>
      </c>
      <c r="AN477">
        <f>IFERROR(IF(AW477&lt;($AM$8-$AL$8)/($AN$8-$AL$8),$AL$8+SQRT(AW477*($AN$8-$AL$8)*($AM$8-$AL$8)),$AN$8-SQRT((1-AW477)*($AN$8-$AL$8)*($AN$8-$AM$8))),$AM$8)</f>
        <v/>
      </c>
      <c r="AO477">
        <f>IFERROR(IF(AX477&lt;($AM$9-$AL$9)/($AN$9-$AL$9),$AL$9+SQRT(AX477*($AN$9-$AL$9)*($AM$9-$AL$9)),$AN$9-SQRT((1-AX477)*($AN$9-$AL$9)*($AN$9-$AM$9))),$AM$9)</f>
        <v/>
      </c>
      <c r="AP477">
        <f>IFERROR(IF(AY477&lt;($AM$10-$AL$10)/($AN$10-$AL$10),$AL$10+SQRT(AY477*($AN$10-$AL$10)*($AM$10-$AL$10)),$AN$10-SQRT((1-AY477)*($AN$10-$AL$10)*($AN$10-$AM$10))),$AM$10)</f>
        <v/>
      </c>
      <c r="AQ477">
        <f>IFERROR(IF(AZ477&lt;($AM$11-$AL$11)/($AN$11-$AL$11),$AL$11+SQRT(AZ477*($AN$11-$AL$11)*($AM$11-$AL$11)),$AN$11-SQRT((1-AZ477)*($AN$11-$AL$11)*($AN$11-$AM$11))),$AM$11)</f>
        <v/>
      </c>
      <c r="AR477">
        <f>SUMPRODUCT((B24:B31&lt;=$B$6)*(C24:C31*AM477+D24:D31*AO477*$B$8*AQ477)/(1+AL477/100)^B24:B31)+C32*AM477*AP477/(1+AL477/100)^$B$6</f>
        <v/>
      </c>
      <c r="AS477">
        <f>SUMPRODUCT((K24:K26&lt;=$B$6)*(L24:L26*AN477+M24:M26*AO477*$B$8*AQ477)/(1+AL477/100)^K24:K26)+L27*AN477*AP477/(1+AL477/100)^$B$6</f>
        <v/>
      </c>
      <c r="AT477">
        <f>AS477-AR477</f>
        <v/>
      </c>
      <c r="AU477">
        <f>RAND()</f>
        <v/>
      </c>
      <c r="AV477">
        <f>RAND()</f>
        <v/>
      </c>
      <c r="AW477">
        <f>RAND()</f>
        <v/>
      </c>
      <c r="AX477">
        <f>RAND()</f>
        <v/>
      </c>
      <c r="AY477">
        <f>RAND()</f>
        <v/>
      </c>
      <c r="AZ477">
        <f>RAND()</f>
        <v/>
      </c>
    </row>
    <row r="478">
      <c r="AK478" t="n">
        <v>465</v>
      </c>
      <c r="AL478">
        <f>IFERROR(IF(AU478&lt;($AM$6-$AL$6)/($AN$6-$AL$6),$AL$6+SQRT(AU478*($AN$6-$AL$6)*($AM$6-$AL$6)),$AN$6-SQRT((1-AU478)*($AN$6-$AL$6)*($AN$6-$AM$6))),$AM$6)</f>
        <v/>
      </c>
      <c r="AM478">
        <f>IFERROR(IF(AV478&lt;($AM$7-$AL$7)/($AN$7-$AL$7),$AL$7+SQRT(AV478*($AN$7-$AL$7)*($AM$7-$AL$7)),$AN$7-SQRT((1-AV478)*($AN$7-$AL$7)*($AN$7-$AM$7))),$AM$7)</f>
        <v/>
      </c>
      <c r="AN478">
        <f>IFERROR(IF(AW478&lt;($AM$8-$AL$8)/($AN$8-$AL$8),$AL$8+SQRT(AW478*($AN$8-$AL$8)*($AM$8-$AL$8)),$AN$8-SQRT((1-AW478)*($AN$8-$AL$8)*($AN$8-$AM$8))),$AM$8)</f>
        <v/>
      </c>
      <c r="AO478">
        <f>IFERROR(IF(AX478&lt;($AM$9-$AL$9)/($AN$9-$AL$9),$AL$9+SQRT(AX478*($AN$9-$AL$9)*($AM$9-$AL$9)),$AN$9-SQRT((1-AX478)*($AN$9-$AL$9)*($AN$9-$AM$9))),$AM$9)</f>
        <v/>
      </c>
      <c r="AP478">
        <f>IFERROR(IF(AY478&lt;($AM$10-$AL$10)/($AN$10-$AL$10),$AL$10+SQRT(AY478*($AN$10-$AL$10)*($AM$10-$AL$10)),$AN$10-SQRT((1-AY478)*($AN$10-$AL$10)*($AN$10-$AM$10))),$AM$10)</f>
        <v/>
      </c>
      <c r="AQ478">
        <f>IFERROR(IF(AZ478&lt;($AM$11-$AL$11)/($AN$11-$AL$11),$AL$11+SQRT(AZ478*($AN$11-$AL$11)*($AM$11-$AL$11)),$AN$11-SQRT((1-AZ478)*($AN$11-$AL$11)*($AN$11-$AM$11))),$AM$11)</f>
        <v/>
      </c>
      <c r="AR478">
        <f>SUMPRODUCT((B24:B31&lt;=$B$6)*(C24:C31*AM478+D24:D31*AO478*$B$8*AQ478)/(1+AL478/100)^B24:B31)+C32*AM478*AP478/(1+AL478/100)^$B$6</f>
        <v/>
      </c>
      <c r="AS478">
        <f>SUMPRODUCT((K24:K26&lt;=$B$6)*(L24:L26*AN478+M24:M26*AO478*$B$8*AQ478)/(1+AL478/100)^K24:K26)+L27*AN478*AP478/(1+AL478/100)^$B$6</f>
        <v/>
      </c>
      <c r="AT478">
        <f>AS478-AR478</f>
        <v/>
      </c>
      <c r="AU478">
        <f>RAND()</f>
        <v/>
      </c>
      <c r="AV478">
        <f>RAND()</f>
        <v/>
      </c>
      <c r="AW478">
        <f>RAND()</f>
        <v/>
      </c>
      <c r="AX478">
        <f>RAND()</f>
        <v/>
      </c>
      <c r="AY478">
        <f>RAND()</f>
        <v/>
      </c>
      <c r="AZ478">
        <f>RAND()</f>
        <v/>
      </c>
    </row>
    <row r="479">
      <c r="AK479" t="n">
        <v>466</v>
      </c>
      <c r="AL479">
        <f>IFERROR(IF(AU479&lt;($AM$6-$AL$6)/($AN$6-$AL$6),$AL$6+SQRT(AU479*($AN$6-$AL$6)*($AM$6-$AL$6)),$AN$6-SQRT((1-AU479)*($AN$6-$AL$6)*($AN$6-$AM$6))),$AM$6)</f>
        <v/>
      </c>
      <c r="AM479">
        <f>IFERROR(IF(AV479&lt;($AM$7-$AL$7)/($AN$7-$AL$7),$AL$7+SQRT(AV479*($AN$7-$AL$7)*($AM$7-$AL$7)),$AN$7-SQRT((1-AV479)*($AN$7-$AL$7)*($AN$7-$AM$7))),$AM$7)</f>
        <v/>
      </c>
      <c r="AN479">
        <f>IFERROR(IF(AW479&lt;($AM$8-$AL$8)/($AN$8-$AL$8),$AL$8+SQRT(AW479*($AN$8-$AL$8)*($AM$8-$AL$8)),$AN$8-SQRT((1-AW479)*($AN$8-$AL$8)*($AN$8-$AM$8))),$AM$8)</f>
        <v/>
      </c>
      <c r="AO479">
        <f>IFERROR(IF(AX479&lt;($AM$9-$AL$9)/($AN$9-$AL$9),$AL$9+SQRT(AX479*($AN$9-$AL$9)*($AM$9-$AL$9)),$AN$9-SQRT((1-AX479)*($AN$9-$AL$9)*($AN$9-$AM$9))),$AM$9)</f>
        <v/>
      </c>
      <c r="AP479">
        <f>IFERROR(IF(AY479&lt;($AM$10-$AL$10)/($AN$10-$AL$10),$AL$10+SQRT(AY479*($AN$10-$AL$10)*($AM$10-$AL$10)),$AN$10-SQRT((1-AY479)*($AN$10-$AL$10)*($AN$10-$AM$10))),$AM$10)</f>
        <v/>
      </c>
      <c r="AQ479">
        <f>IFERROR(IF(AZ479&lt;($AM$11-$AL$11)/($AN$11-$AL$11),$AL$11+SQRT(AZ479*($AN$11-$AL$11)*($AM$11-$AL$11)),$AN$11-SQRT((1-AZ479)*($AN$11-$AL$11)*($AN$11-$AM$11))),$AM$11)</f>
        <v/>
      </c>
      <c r="AR479">
        <f>SUMPRODUCT((B24:B31&lt;=$B$6)*(C24:C31*AM479+D24:D31*AO479*$B$8*AQ479)/(1+AL479/100)^B24:B31)+C32*AM479*AP479/(1+AL479/100)^$B$6</f>
        <v/>
      </c>
      <c r="AS479">
        <f>SUMPRODUCT((K24:K26&lt;=$B$6)*(L24:L26*AN479+M24:M26*AO479*$B$8*AQ479)/(1+AL479/100)^K24:K26)+L27*AN479*AP479/(1+AL479/100)^$B$6</f>
        <v/>
      </c>
      <c r="AT479">
        <f>AS479-AR479</f>
        <v/>
      </c>
      <c r="AU479">
        <f>RAND()</f>
        <v/>
      </c>
      <c r="AV479">
        <f>RAND()</f>
        <v/>
      </c>
      <c r="AW479">
        <f>RAND()</f>
        <v/>
      </c>
      <c r="AX479">
        <f>RAND()</f>
        <v/>
      </c>
      <c r="AY479">
        <f>RAND()</f>
        <v/>
      </c>
      <c r="AZ479">
        <f>RAND()</f>
        <v/>
      </c>
    </row>
    <row r="480">
      <c r="AK480" t="n">
        <v>467</v>
      </c>
      <c r="AL480">
        <f>IFERROR(IF(AU480&lt;($AM$6-$AL$6)/($AN$6-$AL$6),$AL$6+SQRT(AU480*($AN$6-$AL$6)*($AM$6-$AL$6)),$AN$6-SQRT((1-AU480)*($AN$6-$AL$6)*($AN$6-$AM$6))),$AM$6)</f>
        <v/>
      </c>
      <c r="AM480">
        <f>IFERROR(IF(AV480&lt;($AM$7-$AL$7)/($AN$7-$AL$7),$AL$7+SQRT(AV480*($AN$7-$AL$7)*($AM$7-$AL$7)),$AN$7-SQRT((1-AV480)*($AN$7-$AL$7)*($AN$7-$AM$7))),$AM$7)</f>
        <v/>
      </c>
      <c r="AN480">
        <f>IFERROR(IF(AW480&lt;($AM$8-$AL$8)/($AN$8-$AL$8),$AL$8+SQRT(AW480*($AN$8-$AL$8)*($AM$8-$AL$8)),$AN$8-SQRT((1-AW480)*($AN$8-$AL$8)*($AN$8-$AM$8))),$AM$8)</f>
        <v/>
      </c>
      <c r="AO480">
        <f>IFERROR(IF(AX480&lt;($AM$9-$AL$9)/($AN$9-$AL$9),$AL$9+SQRT(AX480*($AN$9-$AL$9)*($AM$9-$AL$9)),$AN$9-SQRT((1-AX480)*($AN$9-$AL$9)*($AN$9-$AM$9))),$AM$9)</f>
        <v/>
      </c>
      <c r="AP480">
        <f>IFERROR(IF(AY480&lt;($AM$10-$AL$10)/($AN$10-$AL$10),$AL$10+SQRT(AY480*($AN$10-$AL$10)*($AM$10-$AL$10)),$AN$10-SQRT((1-AY480)*($AN$10-$AL$10)*($AN$10-$AM$10))),$AM$10)</f>
        <v/>
      </c>
      <c r="AQ480">
        <f>IFERROR(IF(AZ480&lt;($AM$11-$AL$11)/($AN$11-$AL$11),$AL$11+SQRT(AZ480*($AN$11-$AL$11)*($AM$11-$AL$11)),$AN$11-SQRT((1-AZ480)*($AN$11-$AL$11)*($AN$11-$AM$11))),$AM$11)</f>
        <v/>
      </c>
      <c r="AR480">
        <f>SUMPRODUCT((B24:B31&lt;=$B$6)*(C24:C31*AM480+D24:D31*AO480*$B$8*AQ480)/(1+AL480/100)^B24:B31)+C32*AM480*AP480/(1+AL480/100)^$B$6</f>
        <v/>
      </c>
      <c r="AS480">
        <f>SUMPRODUCT((K24:K26&lt;=$B$6)*(L24:L26*AN480+M24:M26*AO480*$B$8*AQ480)/(1+AL480/100)^K24:K26)+L27*AN480*AP480/(1+AL480/100)^$B$6</f>
        <v/>
      </c>
      <c r="AT480">
        <f>AS480-AR480</f>
        <v/>
      </c>
      <c r="AU480">
        <f>RAND()</f>
        <v/>
      </c>
      <c r="AV480">
        <f>RAND()</f>
        <v/>
      </c>
      <c r="AW480">
        <f>RAND()</f>
        <v/>
      </c>
      <c r="AX480">
        <f>RAND()</f>
        <v/>
      </c>
      <c r="AY480">
        <f>RAND()</f>
        <v/>
      </c>
      <c r="AZ480">
        <f>RAND()</f>
        <v/>
      </c>
    </row>
    <row r="481">
      <c r="AK481" t="n">
        <v>468</v>
      </c>
      <c r="AL481">
        <f>IFERROR(IF(AU481&lt;($AM$6-$AL$6)/($AN$6-$AL$6),$AL$6+SQRT(AU481*($AN$6-$AL$6)*($AM$6-$AL$6)),$AN$6-SQRT((1-AU481)*($AN$6-$AL$6)*($AN$6-$AM$6))),$AM$6)</f>
        <v/>
      </c>
      <c r="AM481">
        <f>IFERROR(IF(AV481&lt;($AM$7-$AL$7)/($AN$7-$AL$7),$AL$7+SQRT(AV481*($AN$7-$AL$7)*($AM$7-$AL$7)),$AN$7-SQRT((1-AV481)*($AN$7-$AL$7)*($AN$7-$AM$7))),$AM$7)</f>
        <v/>
      </c>
      <c r="AN481">
        <f>IFERROR(IF(AW481&lt;($AM$8-$AL$8)/($AN$8-$AL$8),$AL$8+SQRT(AW481*($AN$8-$AL$8)*($AM$8-$AL$8)),$AN$8-SQRT((1-AW481)*($AN$8-$AL$8)*($AN$8-$AM$8))),$AM$8)</f>
        <v/>
      </c>
      <c r="AO481">
        <f>IFERROR(IF(AX481&lt;($AM$9-$AL$9)/($AN$9-$AL$9),$AL$9+SQRT(AX481*($AN$9-$AL$9)*($AM$9-$AL$9)),$AN$9-SQRT((1-AX481)*($AN$9-$AL$9)*($AN$9-$AM$9))),$AM$9)</f>
        <v/>
      </c>
      <c r="AP481">
        <f>IFERROR(IF(AY481&lt;($AM$10-$AL$10)/($AN$10-$AL$10),$AL$10+SQRT(AY481*($AN$10-$AL$10)*($AM$10-$AL$10)),$AN$10-SQRT((1-AY481)*($AN$10-$AL$10)*($AN$10-$AM$10))),$AM$10)</f>
        <v/>
      </c>
      <c r="AQ481">
        <f>IFERROR(IF(AZ481&lt;($AM$11-$AL$11)/($AN$11-$AL$11),$AL$11+SQRT(AZ481*($AN$11-$AL$11)*($AM$11-$AL$11)),$AN$11-SQRT((1-AZ481)*($AN$11-$AL$11)*($AN$11-$AM$11))),$AM$11)</f>
        <v/>
      </c>
      <c r="AR481">
        <f>SUMPRODUCT((B24:B31&lt;=$B$6)*(C24:C31*AM481+D24:D31*AO481*$B$8*AQ481)/(1+AL481/100)^B24:B31)+C32*AM481*AP481/(1+AL481/100)^$B$6</f>
        <v/>
      </c>
      <c r="AS481">
        <f>SUMPRODUCT((K24:K26&lt;=$B$6)*(L24:L26*AN481+M24:M26*AO481*$B$8*AQ481)/(1+AL481/100)^K24:K26)+L27*AN481*AP481/(1+AL481/100)^$B$6</f>
        <v/>
      </c>
      <c r="AT481">
        <f>AS481-AR481</f>
        <v/>
      </c>
      <c r="AU481">
        <f>RAND()</f>
        <v/>
      </c>
      <c r="AV481">
        <f>RAND()</f>
        <v/>
      </c>
      <c r="AW481">
        <f>RAND()</f>
        <v/>
      </c>
      <c r="AX481">
        <f>RAND()</f>
        <v/>
      </c>
      <c r="AY481">
        <f>RAND()</f>
        <v/>
      </c>
      <c r="AZ481">
        <f>RAND()</f>
        <v/>
      </c>
    </row>
    <row r="482">
      <c r="AK482" t="n">
        <v>469</v>
      </c>
      <c r="AL482">
        <f>IFERROR(IF(AU482&lt;($AM$6-$AL$6)/($AN$6-$AL$6),$AL$6+SQRT(AU482*($AN$6-$AL$6)*($AM$6-$AL$6)),$AN$6-SQRT((1-AU482)*($AN$6-$AL$6)*($AN$6-$AM$6))),$AM$6)</f>
        <v/>
      </c>
      <c r="AM482">
        <f>IFERROR(IF(AV482&lt;($AM$7-$AL$7)/($AN$7-$AL$7),$AL$7+SQRT(AV482*($AN$7-$AL$7)*($AM$7-$AL$7)),$AN$7-SQRT((1-AV482)*($AN$7-$AL$7)*($AN$7-$AM$7))),$AM$7)</f>
        <v/>
      </c>
      <c r="AN482">
        <f>IFERROR(IF(AW482&lt;($AM$8-$AL$8)/($AN$8-$AL$8),$AL$8+SQRT(AW482*($AN$8-$AL$8)*($AM$8-$AL$8)),$AN$8-SQRT((1-AW482)*($AN$8-$AL$8)*($AN$8-$AM$8))),$AM$8)</f>
        <v/>
      </c>
      <c r="AO482">
        <f>IFERROR(IF(AX482&lt;($AM$9-$AL$9)/($AN$9-$AL$9),$AL$9+SQRT(AX482*($AN$9-$AL$9)*($AM$9-$AL$9)),$AN$9-SQRT((1-AX482)*($AN$9-$AL$9)*($AN$9-$AM$9))),$AM$9)</f>
        <v/>
      </c>
      <c r="AP482">
        <f>IFERROR(IF(AY482&lt;($AM$10-$AL$10)/($AN$10-$AL$10),$AL$10+SQRT(AY482*($AN$10-$AL$10)*($AM$10-$AL$10)),$AN$10-SQRT((1-AY482)*($AN$10-$AL$10)*($AN$10-$AM$10))),$AM$10)</f>
        <v/>
      </c>
      <c r="AQ482">
        <f>IFERROR(IF(AZ482&lt;($AM$11-$AL$11)/($AN$11-$AL$11),$AL$11+SQRT(AZ482*($AN$11-$AL$11)*($AM$11-$AL$11)),$AN$11-SQRT((1-AZ482)*($AN$11-$AL$11)*($AN$11-$AM$11))),$AM$11)</f>
        <v/>
      </c>
      <c r="AR482">
        <f>SUMPRODUCT((B24:B31&lt;=$B$6)*(C24:C31*AM482+D24:D31*AO482*$B$8*AQ482)/(1+AL482/100)^B24:B31)+C32*AM482*AP482/(1+AL482/100)^$B$6</f>
        <v/>
      </c>
      <c r="AS482">
        <f>SUMPRODUCT((K24:K26&lt;=$B$6)*(L24:L26*AN482+M24:M26*AO482*$B$8*AQ482)/(1+AL482/100)^K24:K26)+L27*AN482*AP482/(1+AL482/100)^$B$6</f>
        <v/>
      </c>
      <c r="AT482">
        <f>AS482-AR482</f>
        <v/>
      </c>
      <c r="AU482">
        <f>RAND()</f>
        <v/>
      </c>
      <c r="AV482">
        <f>RAND()</f>
        <v/>
      </c>
      <c r="AW482">
        <f>RAND()</f>
        <v/>
      </c>
      <c r="AX482">
        <f>RAND()</f>
        <v/>
      </c>
      <c r="AY482">
        <f>RAND()</f>
        <v/>
      </c>
      <c r="AZ482">
        <f>RAND()</f>
        <v/>
      </c>
    </row>
    <row r="483">
      <c r="AK483" t="n">
        <v>470</v>
      </c>
      <c r="AL483">
        <f>IFERROR(IF(AU483&lt;($AM$6-$AL$6)/($AN$6-$AL$6),$AL$6+SQRT(AU483*($AN$6-$AL$6)*($AM$6-$AL$6)),$AN$6-SQRT((1-AU483)*($AN$6-$AL$6)*($AN$6-$AM$6))),$AM$6)</f>
        <v/>
      </c>
      <c r="AM483">
        <f>IFERROR(IF(AV483&lt;($AM$7-$AL$7)/($AN$7-$AL$7),$AL$7+SQRT(AV483*($AN$7-$AL$7)*($AM$7-$AL$7)),$AN$7-SQRT((1-AV483)*($AN$7-$AL$7)*($AN$7-$AM$7))),$AM$7)</f>
        <v/>
      </c>
      <c r="AN483">
        <f>IFERROR(IF(AW483&lt;($AM$8-$AL$8)/($AN$8-$AL$8),$AL$8+SQRT(AW483*($AN$8-$AL$8)*($AM$8-$AL$8)),$AN$8-SQRT((1-AW483)*($AN$8-$AL$8)*($AN$8-$AM$8))),$AM$8)</f>
        <v/>
      </c>
      <c r="AO483">
        <f>IFERROR(IF(AX483&lt;($AM$9-$AL$9)/($AN$9-$AL$9),$AL$9+SQRT(AX483*($AN$9-$AL$9)*($AM$9-$AL$9)),$AN$9-SQRT((1-AX483)*($AN$9-$AL$9)*($AN$9-$AM$9))),$AM$9)</f>
        <v/>
      </c>
      <c r="AP483">
        <f>IFERROR(IF(AY483&lt;($AM$10-$AL$10)/($AN$10-$AL$10),$AL$10+SQRT(AY483*($AN$10-$AL$10)*($AM$10-$AL$10)),$AN$10-SQRT((1-AY483)*($AN$10-$AL$10)*($AN$10-$AM$10))),$AM$10)</f>
        <v/>
      </c>
      <c r="AQ483">
        <f>IFERROR(IF(AZ483&lt;($AM$11-$AL$11)/($AN$11-$AL$11),$AL$11+SQRT(AZ483*($AN$11-$AL$11)*($AM$11-$AL$11)),$AN$11-SQRT((1-AZ483)*($AN$11-$AL$11)*($AN$11-$AM$11))),$AM$11)</f>
        <v/>
      </c>
      <c r="AR483">
        <f>SUMPRODUCT((B24:B31&lt;=$B$6)*(C24:C31*AM483+D24:D31*AO483*$B$8*AQ483)/(1+AL483/100)^B24:B31)+C32*AM483*AP483/(1+AL483/100)^$B$6</f>
        <v/>
      </c>
      <c r="AS483">
        <f>SUMPRODUCT((K24:K26&lt;=$B$6)*(L24:L26*AN483+M24:M26*AO483*$B$8*AQ483)/(1+AL483/100)^K24:K26)+L27*AN483*AP483/(1+AL483/100)^$B$6</f>
        <v/>
      </c>
      <c r="AT483">
        <f>AS483-AR483</f>
        <v/>
      </c>
      <c r="AU483">
        <f>RAND()</f>
        <v/>
      </c>
      <c r="AV483">
        <f>RAND()</f>
        <v/>
      </c>
      <c r="AW483">
        <f>RAND()</f>
        <v/>
      </c>
      <c r="AX483">
        <f>RAND()</f>
        <v/>
      </c>
      <c r="AY483">
        <f>RAND()</f>
        <v/>
      </c>
      <c r="AZ483">
        <f>RAND()</f>
        <v/>
      </c>
    </row>
    <row r="484">
      <c r="AK484" t="n">
        <v>471</v>
      </c>
      <c r="AL484">
        <f>IFERROR(IF(AU484&lt;($AM$6-$AL$6)/($AN$6-$AL$6),$AL$6+SQRT(AU484*($AN$6-$AL$6)*($AM$6-$AL$6)),$AN$6-SQRT((1-AU484)*($AN$6-$AL$6)*($AN$6-$AM$6))),$AM$6)</f>
        <v/>
      </c>
      <c r="AM484">
        <f>IFERROR(IF(AV484&lt;($AM$7-$AL$7)/($AN$7-$AL$7),$AL$7+SQRT(AV484*($AN$7-$AL$7)*($AM$7-$AL$7)),$AN$7-SQRT((1-AV484)*($AN$7-$AL$7)*($AN$7-$AM$7))),$AM$7)</f>
        <v/>
      </c>
      <c r="AN484">
        <f>IFERROR(IF(AW484&lt;($AM$8-$AL$8)/($AN$8-$AL$8),$AL$8+SQRT(AW484*($AN$8-$AL$8)*($AM$8-$AL$8)),$AN$8-SQRT((1-AW484)*($AN$8-$AL$8)*($AN$8-$AM$8))),$AM$8)</f>
        <v/>
      </c>
      <c r="AO484">
        <f>IFERROR(IF(AX484&lt;($AM$9-$AL$9)/($AN$9-$AL$9),$AL$9+SQRT(AX484*($AN$9-$AL$9)*($AM$9-$AL$9)),$AN$9-SQRT((1-AX484)*($AN$9-$AL$9)*($AN$9-$AM$9))),$AM$9)</f>
        <v/>
      </c>
      <c r="AP484">
        <f>IFERROR(IF(AY484&lt;($AM$10-$AL$10)/($AN$10-$AL$10),$AL$10+SQRT(AY484*($AN$10-$AL$10)*($AM$10-$AL$10)),$AN$10-SQRT((1-AY484)*($AN$10-$AL$10)*($AN$10-$AM$10))),$AM$10)</f>
        <v/>
      </c>
      <c r="AQ484">
        <f>IFERROR(IF(AZ484&lt;($AM$11-$AL$11)/($AN$11-$AL$11),$AL$11+SQRT(AZ484*($AN$11-$AL$11)*($AM$11-$AL$11)),$AN$11-SQRT((1-AZ484)*($AN$11-$AL$11)*($AN$11-$AM$11))),$AM$11)</f>
        <v/>
      </c>
      <c r="AR484">
        <f>SUMPRODUCT((B24:B31&lt;=$B$6)*(C24:C31*AM484+D24:D31*AO484*$B$8*AQ484)/(1+AL484/100)^B24:B31)+C32*AM484*AP484/(1+AL484/100)^$B$6</f>
        <v/>
      </c>
      <c r="AS484">
        <f>SUMPRODUCT((K24:K26&lt;=$B$6)*(L24:L26*AN484+M24:M26*AO484*$B$8*AQ484)/(1+AL484/100)^K24:K26)+L27*AN484*AP484/(1+AL484/100)^$B$6</f>
        <v/>
      </c>
      <c r="AT484">
        <f>AS484-AR484</f>
        <v/>
      </c>
      <c r="AU484">
        <f>RAND()</f>
        <v/>
      </c>
      <c r="AV484">
        <f>RAND()</f>
        <v/>
      </c>
      <c r="AW484">
        <f>RAND()</f>
        <v/>
      </c>
      <c r="AX484">
        <f>RAND()</f>
        <v/>
      </c>
      <c r="AY484">
        <f>RAND()</f>
        <v/>
      </c>
      <c r="AZ484">
        <f>RAND()</f>
        <v/>
      </c>
    </row>
    <row r="485">
      <c r="AK485" t="n">
        <v>472</v>
      </c>
      <c r="AL485">
        <f>IFERROR(IF(AU485&lt;($AM$6-$AL$6)/($AN$6-$AL$6),$AL$6+SQRT(AU485*($AN$6-$AL$6)*($AM$6-$AL$6)),$AN$6-SQRT((1-AU485)*($AN$6-$AL$6)*($AN$6-$AM$6))),$AM$6)</f>
        <v/>
      </c>
      <c r="AM485">
        <f>IFERROR(IF(AV485&lt;($AM$7-$AL$7)/($AN$7-$AL$7),$AL$7+SQRT(AV485*($AN$7-$AL$7)*($AM$7-$AL$7)),$AN$7-SQRT((1-AV485)*($AN$7-$AL$7)*($AN$7-$AM$7))),$AM$7)</f>
        <v/>
      </c>
      <c r="AN485">
        <f>IFERROR(IF(AW485&lt;($AM$8-$AL$8)/($AN$8-$AL$8),$AL$8+SQRT(AW485*($AN$8-$AL$8)*($AM$8-$AL$8)),$AN$8-SQRT((1-AW485)*($AN$8-$AL$8)*($AN$8-$AM$8))),$AM$8)</f>
        <v/>
      </c>
      <c r="AO485">
        <f>IFERROR(IF(AX485&lt;($AM$9-$AL$9)/($AN$9-$AL$9),$AL$9+SQRT(AX485*($AN$9-$AL$9)*($AM$9-$AL$9)),$AN$9-SQRT((1-AX485)*($AN$9-$AL$9)*($AN$9-$AM$9))),$AM$9)</f>
        <v/>
      </c>
      <c r="AP485">
        <f>IFERROR(IF(AY485&lt;($AM$10-$AL$10)/($AN$10-$AL$10),$AL$10+SQRT(AY485*($AN$10-$AL$10)*($AM$10-$AL$10)),$AN$10-SQRT((1-AY485)*($AN$10-$AL$10)*($AN$10-$AM$10))),$AM$10)</f>
        <v/>
      </c>
      <c r="AQ485">
        <f>IFERROR(IF(AZ485&lt;($AM$11-$AL$11)/($AN$11-$AL$11),$AL$11+SQRT(AZ485*($AN$11-$AL$11)*($AM$11-$AL$11)),$AN$11-SQRT((1-AZ485)*($AN$11-$AL$11)*($AN$11-$AM$11))),$AM$11)</f>
        <v/>
      </c>
      <c r="AR485">
        <f>SUMPRODUCT((B24:B31&lt;=$B$6)*(C24:C31*AM485+D24:D31*AO485*$B$8*AQ485)/(1+AL485/100)^B24:B31)+C32*AM485*AP485/(1+AL485/100)^$B$6</f>
        <v/>
      </c>
      <c r="AS485">
        <f>SUMPRODUCT((K24:K26&lt;=$B$6)*(L24:L26*AN485+M24:M26*AO485*$B$8*AQ485)/(1+AL485/100)^K24:K26)+L27*AN485*AP485/(1+AL485/100)^$B$6</f>
        <v/>
      </c>
      <c r="AT485">
        <f>AS485-AR485</f>
        <v/>
      </c>
      <c r="AU485">
        <f>RAND()</f>
        <v/>
      </c>
      <c r="AV485">
        <f>RAND()</f>
        <v/>
      </c>
      <c r="AW485">
        <f>RAND()</f>
        <v/>
      </c>
      <c r="AX485">
        <f>RAND()</f>
        <v/>
      </c>
      <c r="AY485">
        <f>RAND()</f>
        <v/>
      </c>
      <c r="AZ485">
        <f>RAND()</f>
        <v/>
      </c>
    </row>
    <row r="486">
      <c r="AK486" t="n">
        <v>473</v>
      </c>
      <c r="AL486">
        <f>IFERROR(IF(AU486&lt;($AM$6-$AL$6)/($AN$6-$AL$6),$AL$6+SQRT(AU486*($AN$6-$AL$6)*($AM$6-$AL$6)),$AN$6-SQRT((1-AU486)*($AN$6-$AL$6)*($AN$6-$AM$6))),$AM$6)</f>
        <v/>
      </c>
      <c r="AM486">
        <f>IFERROR(IF(AV486&lt;($AM$7-$AL$7)/($AN$7-$AL$7),$AL$7+SQRT(AV486*($AN$7-$AL$7)*($AM$7-$AL$7)),$AN$7-SQRT((1-AV486)*($AN$7-$AL$7)*($AN$7-$AM$7))),$AM$7)</f>
        <v/>
      </c>
      <c r="AN486">
        <f>IFERROR(IF(AW486&lt;($AM$8-$AL$8)/($AN$8-$AL$8),$AL$8+SQRT(AW486*($AN$8-$AL$8)*($AM$8-$AL$8)),$AN$8-SQRT((1-AW486)*($AN$8-$AL$8)*($AN$8-$AM$8))),$AM$8)</f>
        <v/>
      </c>
      <c r="AO486">
        <f>IFERROR(IF(AX486&lt;($AM$9-$AL$9)/($AN$9-$AL$9),$AL$9+SQRT(AX486*($AN$9-$AL$9)*($AM$9-$AL$9)),$AN$9-SQRT((1-AX486)*($AN$9-$AL$9)*($AN$9-$AM$9))),$AM$9)</f>
        <v/>
      </c>
      <c r="AP486">
        <f>IFERROR(IF(AY486&lt;($AM$10-$AL$10)/($AN$10-$AL$10),$AL$10+SQRT(AY486*($AN$10-$AL$10)*($AM$10-$AL$10)),$AN$10-SQRT((1-AY486)*($AN$10-$AL$10)*($AN$10-$AM$10))),$AM$10)</f>
        <v/>
      </c>
      <c r="AQ486">
        <f>IFERROR(IF(AZ486&lt;($AM$11-$AL$11)/($AN$11-$AL$11),$AL$11+SQRT(AZ486*($AN$11-$AL$11)*($AM$11-$AL$11)),$AN$11-SQRT((1-AZ486)*($AN$11-$AL$11)*($AN$11-$AM$11))),$AM$11)</f>
        <v/>
      </c>
      <c r="AR486">
        <f>SUMPRODUCT((B24:B31&lt;=$B$6)*(C24:C31*AM486+D24:D31*AO486*$B$8*AQ486)/(1+AL486/100)^B24:B31)+C32*AM486*AP486/(1+AL486/100)^$B$6</f>
        <v/>
      </c>
      <c r="AS486">
        <f>SUMPRODUCT((K24:K26&lt;=$B$6)*(L24:L26*AN486+M24:M26*AO486*$B$8*AQ486)/(1+AL486/100)^K24:K26)+L27*AN486*AP486/(1+AL486/100)^$B$6</f>
        <v/>
      </c>
      <c r="AT486">
        <f>AS486-AR486</f>
        <v/>
      </c>
      <c r="AU486">
        <f>RAND()</f>
        <v/>
      </c>
      <c r="AV486">
        <f>RAND()</f>
        <v/>
      </c>
      <c r="AW486">
        <f>RAND()</f>
        <v/>
      </c>
      <c r="AX486">
        <f>RAND()</f>
        <v/>
      </c>
      <c r="AY486">
        <f>RAND()</f>
        <v/>
      </c>
      <c r="AZ486">
        <f>RAND()</f>
        <v/>
      </c>
    </row>
    <row r="487">
      <c r="AK487" t="n">
        <v>474</v>
      </c>
      <c r="AL487">
        <f>IFERROR(IF(AU487&lt;($AM$6-$AL$6)/($AN$6-$AL$6),$AL$6+SQRT(AU487*($AN$6-$AL$6)*($AM$6-$AL$6)),$AN$6-SQRT((1-AU487)*($AN$6-$AL$6)*($AN$6-$AM$6))),$AM$6)</f>
        <v/>
      </c>
      <c r="AM487">
        <f>IFERROR(IF(AV487&lt;($AM$7-$AL$7)/($AN$7-$AL$7),$AL$7+SQRT(AV487*($AN$7-$AL$7)*($AM$7-$AL$7)),$AN$7-SQRT((1-AV487)*($AN$7-$AL$7)*($AN$7-$AM$7))),$AM$7)</f>
        <v/>
      </c>
      <c r="AN487">
        <f>IFERROR(IF(AW487&lt;($AM$8-$AL$8)/($AN$8-$AL$8),$AL$8+SQRT(AW487*($AN$8-$AL$8)*($AM$8-$AL$8)),$AN$8-SQRT((1-AW487)*($AN$8-$AL$8)*($AN$8-$AM$8))),$AM$8)</f>
        <v/>
      </c>
      <c r="AO487">
        <f>IFERROR(IF(AX487&lt;($AM$9-$AL$9)/($AN$9-$AL$9),$AL$9+SQRT(AX487*($AN$9-$AL$9)*($AM$9-$AL$9)),$AN$9-SQRT((1-AX487)*($AN$9-$AL$9)*($AN$9-$AM$9))),$AM$9)</f>
        <v/>
      </c>
      <c r="AP487">
        <f>IFERROR(IF(AY487&lt;($AM$10-$AL$10)/($AN$10-$AL$10),$AL$10+SQRT(AY487*($AN$10-$AL$10)*($AM$10-$AL$10)),$AN$10-SQRT((1-AY487)*($AN$10-$AL$10)*($AN$10-$AM$10))),$AM$10)</f>
        <v/>
      </c>
      <c r="AQ487">
        <f>IFERROR(IF(AZ487&lt;($AM$11-$AL$11)/($AN$11-$AL$11),$AL$11+SQRT(AZ487*($AN$11-$AL$11)*($AM$11-$AL$11)),$AN$11-SQRT((1-AZ487)*($AN$11-$AL$11)*($AN$11-$AM$11))),$AM$11)</f>
        <v/>
      </c>
      <c r="AR487">
        <f>SUMPRODUCT((B24:B31&lt;=$B$6)*(C24:C31*AM487+D24:D31*AO487*$B$8*AQ487)/(1+AL487/100)^B24:B31)+C32*AM487*AP487/(1+AL487/100)^$B$6</f>
        <v/>
      </c>
      <c r="AS487">
        <f>SUMPRODUCT((K24:K26&lt;=$B$6)*(L24:L26*AN487+M24:M26*AO487*$B$8*AQ487)/(1+AL487/100)^K24:K26)+L27*AN487*AP487/(1+AL487/100)^$B$6</f>
        <v/>
      </c>
      <c r="AT487">
        <f>AS487-AR487</f>
        <v/>
      </c>
      <c r="AU487">
        <f>RAND()</f>
        <v/>
      </c>
      <c r="AV487">
        <f>RAND()</f>
        <v/>
      </c>
      <c r="AW487">
        <f>RAND()</f>
        <v/>
      </c>
      <c r="AX487">
        <f>RAND()</f>
        <v/>
      </c>
      <c r="AY487">
        <f>RAND()</f>
        <v/>
      </c>
      <c r="AZ487">
        <f>RAND()</f>
        <v/>
      </c>
    </row>
    <row r="488">
      <c r="AK488" t="n">
        <v>475</v>
      </c>
      <c r="AL488">
        <f>IFERROR(IF(AU488&lt;($AM$6-$AL$6)/($AN$6-$AL$6),$AL$6+SQRT(AU488*($AN$6-$AL$6)*($AM$6-$AL$6)),$AN$6-SQRT((1-AU488)*($AN$6-$AL$6)*($AN$6-$AM$6))),$AM$6)</f>
        <v/>
      </c>
      <c r="AM488">
        <f>IFERROR(IF(AV488&lt;($AM$7-$AL$7)/($AN$7-$AL$7),$AL$7+SQRT(AV488*($AN$7-$AL$7)*($AM$7-$AL$7)),$AN$7-SQRT((1-AV488)*($AN$7-$AL$7)*($AN$7-$AM$7))),$AM$7)</f>
        <v/>
      </c>
      <c r="AN488">
        <f>IFERROR(IF(AW488&lt;($AM$8-$AL$8)/($AN$8-$AL$8),$AL$8+SQRT(AW488*($AN$8-$AL$8)*($AM$8-$AL$8)),$AN$8-SQRT((1-AW488)*($AN$8-$AL$8)*($AN$8-$AM$8))),$AM$8)</f>
        <v/>
      </c>
      <c r="AO488">
        <f>IFERROR(IF(AX488&lt;($AM$9-$AL$9)/($AN$9-$AL$9),$AL$9+SQRT(AX488*($AN$9-$AL$9)*($AM$9-$AL$9)),$AN$9-SQRT((1-AX488)*($AN$9-$AL$9)*($AN$9-$AM$9))),$AM$9)</f>
        <v/>
      </c>
      <c r="AP488">
        <f>IFERROR(IF(AY488&lt;($AM$10-$AL$10)/($AN$10-$AL$10),$AL$10+SQRT(AY488*($AN$10-$AL$10)*($AM$10-$AL$10)),$AN$10-SQRT((1-AY488)*($AN$10-$AL$10)*($AN$10-$AM$10))),$AM$10)</f>
        <v/>
      </c>
      <c r="AQ488">
        <f>IFERROR(IF(AZ488&lt;($AM$11-$AL$11)/($AN$11-$AL$11),$AL$11+SQRT(AZ488*($AN$11-$AL$11)*($AM$11-$AL$11)),$AN$11-SQRT((1-AZ488)*($AN$11-$AL$11)*($AN$11-$AM$11))),$AM$11)</f>
        <v/>
      </c>
      <c r="AR488">
        <f>SUMPRODUCT((B24:B31&lt;=$B$6)*(C24:C31*AM488+D24:D31*AO488*$B$8*AQ488)/(1+AL488/100)^B24:B31)+C32*AM488*AP488/(1+AL488/100)^$B$6</f>
        <v/>
      </c>
      <c r="AS488">
        <f>SUMPRODUCT((K24:K26&lt;=$B$6)*(L24:L26*AN488+M24:M26*AO488*$B$8*AQ488)/(1+AL488/100)^K24:K26)+L27*AN488*AP488/(1+AL488/100)^$B$6</f>
        <v/>
      </c>
      <c r="AT488">
        <f>AS488-AR488</f>
        <v/>
      </c>
      <c r="AU488">
        <f>RAND()</f>
        <v/>
      </c>
      <c r="AV488">
        <f>RAND()</f>
        <v/>
      </c>
      <c r="AW488">
        <f>RAND()</f>
        <v/>
      </c>
      <c r="AX488">
        <f>RAND()</f>
        <v/>
      </c>
      <c r="AY488">
        <f>RAND()</f>
        <v/>
      </c>
      <c r="AZ488">
        <f>RAND()</f>
        <v/>
      </c>
    </row>
    <row r="489">
      <c r="AK489" t="n">
        <v>476</v>
      </c>
      <c r="AL489">
        <f>IFERROR(IF(AU489&lt;($AM$6-$AL$6)/($AN$6-$AL$6),$AL$6+SQRT(AU489*($AN$6-$AL$6)*($AM$6-$AL$6)),$AN$6-SQRT((1-AU489)*($AN$6-$AL$6)*($AN$6-$AM$6))),$AM$6)</f>
        <v/>
      </c>
      <c r="AM489">
        <f>IFERROR(IF(AV489&lt;($AM$7-$AL$7)/($AN$7-$AL$7),$AL$7+SQRT(AV489*($AN$7-$AL$7)*($AM$7-$AL$7)),$AN$7-SQRT((1-AV489)*($AN$7-$AL$7)*($AN$7-$AM$7))),$AM$7)</f>
        <v/>
      </c>
      <c r="AN489">
        <f>IFERROR(IF(AW489&lt;($AM$8-$AL$8)/($AN$8-$AL$8),$AL$8+SQRT(AW489*($AN$8-$AL$8)*($AM$8-$AL$8)),$AN$8-SQRT((1-AW489)*($AN$8-$AL$8)*($AN$8-$AM$8))),$AM$8)</f>
        <v/>
      </c>
      <c r="AO489">
        <f>IFERROR(IF(AX489&lt;($AM$9-$AL$9)/($AN$9-$AL$9),$AL$9+SQRT(AX489*($AN$9-$AL$9)*($AM$9-$AL$9)),$AN$9-SQRT((1-AX489)*($AN$9-$AL$9)*($AN$9-$AM$9))),$AM$9)</f>
        <v/>
      </c>
      <c r="AP489">
        <f>IFERROR(IF(AY489&lt;($AM$10-$AL$10)/($AN$10-$AL$10),$AL$10+SQRT(AY489*($AN$10-$AL$10)*($AM$10-$AL$10)),$AN$10-SQRT((1-AY489)*($AN$10-$AL$10)*($AN$10-$AM$10))),$AM$10)</f>
        <v/>
      </c>
      <c r="AQ489">
        <f>IFERROR(IF(AZ489&lt;($AM$11-$AL$11)/($AN$11-$AL$11),$AL$11+SQRT(AZ489*($AN$11-$AL$11)*($AM$11-$AL$11)),$AN$11-SQRT((1-AZ489)*($AN$11-$AL$11)*($AN$11-$AM$11))),$AM$11)</f>
        <v/>
      </c>
      <c r="AR489">
        <f>SUMPRODUCT((B24:B31&lt;=$B$6)*(C24:C31*AM489+D24:D31*AO489*$B$8*AQ489)/(1+AL489/100)^B24:B31)+C32*AM489*AP489/(1+AL489/100)^$B$6</f>
        <v/>
      </c>
      <c r="AS489">
        <f>SUMPRODUCT((K24:K26&lt;=$B$6)*(L24:L26*AN489+M24:M26*AO489*$B$8*AQ489)/(1+AL489/100)^K24:K26)+L27*AN489*AP489/(1+AL489/100)^$B$6</f>
        <v/>
      </c>
      <c r="AT489">
        <f>AS489-AR489</f>
        <v/>
      </c>
      <c r="AU489">
        <f>RAND()</f>
        <v/>
      </c>
      <c r="AV489">
        <f>RAND()</f>
        <v/>
      </c>
      <c r="AW489">
        <f>RAND()</f>
        <v/>
      </c>
      <c r="AX489">
        <f>RAND()</f>
        <v/>
      </c>
      <c r="AY489">
        <f>RAND()</f>
        <v/>
      </c>
      <c r="AZ489">
        <f>RAND()</f>
        <v/>
      </c>
    </row>
    <row r="490">
      <c r="AK490" t="n">
        <v>477</v>
      </c>
      <c r="AL490">
        <f>IFERROR(IF(AU490&lt;($AM$6-$AL$6)/($AN$6-$AL$6),$AL$6+SQRT(AU490*($AN$6-$AL$6)*($AM$6-$AL$6)),$AN$6-SQRT((1-AU490)*($AN$6-$AL$6)*($AN$6-$AM$6))),$AM$6)</f>
        <v/>
      </c>
      <c r="AM490">
        <f>IFERROR(IF(AV490&lt;($AM$7-$AL$7)/($AN$7-$AL$7),$AL$7+SQRT(AV490*($AN$7-$AL$7)*($AM$7-$AL$7)),$AN$7-SQRT((1-AV490)*($AN$7-$AL$7)*($AN$7-$AM$7))),$AM$7)</f>
        <v/>
      </c>
      <c r="AN490">
        <f>IFERROR(IF(AW490&lt;($AM$8-$AL$8)/($AN$8-$AL$8),$AL$8+SQRT(AW490*($AN$8-$AL$8)*($AM$8-$AL$8)),$AN$8-SQRT((1-AW490)*($AN$8-$AL$8)*($AN$8-$AM$8))),$AM$8)</f>
        <v/>
      </c>
      <c r="AO490">
        <f>IFERROR(IF(AX490&lt;($AM$9-$AL$9)/($AN$9-$AL$9),$AL$9+SQRT(AX490*($AN$9-$AL$9)*($AM$9-$AL$9)),$AN$9-SQRT((1-AX490)*($AN$9-$AL$9)*($AN$9-$AM$9))),$AM$9)</f>
        <v/>
      </c>
      <c r="AP490">
        <f>IFERROR(IF(AY490&lt;($AM$10-$AL$10)/($AN$10-$AL$10),$AL$10+SQRT(AY490*($AN$10-$AL$10)*($AM$10-$AL$10)),$AN$10-SQRT((1-AY490)*($AN$10-$AL$10)*($AN$10-$AM$10))),$AM$10)</f>
        <v/>
      </c>
      <c r="AQ490">
        <f>IFERROR(IF(AZ490&lt;($AM$11-$AL$11)/($AN$11-$AL$11),$AL$11+SQRT(AZ490*($AN$11-$AL$11)*($AM$11-$AL$11)),$AN$11-SQRT((1-AZ490)*($AN$11-$AL$11)*($AN$11-$AM$11))),$AM$11)</f>
        <v/>
      </c>
      <c r="AR490">
        <f>SUMPRODUCT((B24:B31&lt;=$B$6)*(C24:C31*AM490+D24:D31*AO490*$B$8*AQ490)/(1+AL490/100)^B24:B31)+C32*AM490*AP490/(1+AL490/100)^$B$6</f>
        <v/>
      </c>
      <c r="AS490">
        <f>SUMPRODUCT((K24:K26&lt;=$B$6)*(L24:L26*AN490+M24:M26*AO490*$B$8*AQ490)/(1+AL490/100)^K24:K26)+L27*AN490*AP490/(1+AL490/100)^$B$6</f>
        <v/>
      </c>
      <c r="AT490">
        <f>AS490-AR490</f>
        <v/>
      </c>
      <c r="AU490">
        <f>RAND()</f>
        <v/>
      </c>
      <c r="AV490">
        <f>RAND()</f>
        <v/>
      </c>
      <c r="AW490">
        <f>RAND()</f>
        <v/>
      </c>
      <c r="AX490">
        <f>RAND()</f>
        <v/>
      </c>
      <c r="AY490">
        <f>RAND()</f>
        <v/>
      </c>
      <c r="AZ490">
        <f>RAND()</f>
        <v/>
      </c>
    </row>
    <row r="491">
      <c r="AK491" t="n">
        <v>478</v>
      </c>
      <c r="AL491">
        <f>IFERROR(IF(AU491&lt;($AM$6-$AL$6)/($AN$6-$AL$6),$AL$6+SQRT(AU491*($AN$6-$AL$6)*($AM$6-$AL$6)),$AN$6-SQRT((1-AU491)*($AN$6-$AL$6)*($AN$6-$AM$6))),$AM$6)</f>
        <v/>
      </c>
      <c r="AM491">
        <f>IFERROR(IF(AV491&lt;($AM$7-$AL$7)/($AN$7-$AL$7),$AL$7+SQRT(AV491*($AN$7-$AL$7)*($AM$7-$AL$7)),$AN$7-SQRT((1-AV491)*($AN$7-$AL$7)*($AN$7-$AM$7))),$AM$7)</f>
        <v/>
      </c>
      <c r="AN491">
        <f>IFERROR(IF(AW491&lt;($AM$8-$AL$8)/($AN$8-$AL$8),$AL$8+SQRT(AW491*($AN$8-$AL$8)*($AM$8-$AL$8)),$AN$8-SQRT((1-AW491)*($AN$8-$AL$8)*($AN$8-$AM$8))),$AM$8)</f>
        <v/>
      </c>
      <c r="AO491">
        <f>IFERROR(IF(AX491&lt;($AM$9-$AL$9)/($AN$9-$AL$9),$AL$9+SQRT(AX491*($AN$9-$AL$9)*($AM$9-$AL$9)),$AN$9-SQRT((1-AX491)*($AN$9-$AL$9)*($AN$9-$AM$9))),$AM$9)</f>
        <v/>
      </c>
      <c r="AP491">
        <f>IFERROR(IF(AY491&lt;($AM$10-$AL$10)/($AN$10-$AL$10),$AL$10+SQRT(AY491*($AN$10-$AL$10)*($AM$10-$AL$10)),$AN$10-SQRT((1-AY491)*($AN$10-$AL$10)*($AN$10-$AM$10))),$AM$10)</f>
        <v/>
      </c>
      <c r="AQ491">
        <f>IFERROR(IF(AZ491&lt;($AM$11-$AL$11)/($AN$11-$AL$11),$AL$11+SQRT(AZ491*($AN$11-$AL$11)*($AM$11-$AL$11)),$AN$11-SQRT((1-AZ491)*($AN$11-$AL$11)*($AN$11-$AM$11))),$AM$11)</f>
        <v/>
      </c>
      <c r="AR491">
        <f>SUMPRODUCT((B24:B31&lt;=$B$6)*(C24:C31*AM491+D24:D31*AO491*$B$8*AQ491)/(1+AL491/100)^B24:B31)+C32*AM491*AP491/(1+AL491/100)^$B$6</f>
        <v/>
      </c>
      <c r="AS491">
        <f>SUMPRODUCT((K24:K26&lt;=$B$6)*(L24:L26*AN491+M24:M26*AO491*$B$8*AQ491)/(1+AL491/100)^K24:K26)+L27*AN491*AP491/(1+AL491/100)^$B$6</f>
        <v/>
      </c>
      <c r="AT491">
        <f>AS491-AR491</f>
        <v/>
      </c>
      <c r="AU491">
        <f>RAND()</f>
        <v/>
      </c>
      <c r="AV491">
        <f>RAND()</f>
        <v/>
      </c>
      <c r="AW491">
        <f>RAND()</f>
        <v/>
      </c>
      <c r="AX491">
        <f>RAND()</f>
        <v/>
      </c>
      <c r="AY491">
        <f>RAND()</f>
        <v/>
      </c>
      <c r="AZ491">
        <f>RAND()</f>
        <v/>
      </c>
    </row>
    <row r="492">
      <c r="AK492" t="n">
        <v>479</v>
      </c>
      <c r="AL492">
        <f>IFERROR(IF(AU492&lt;($AM$6-$AL$6)/($AN$6-$AL$6),$AL$6+SQRT(AU492*($AN$6-$AL$6)*($AM$6-$AL$6)),$AN$6-SQRT((1-AU492)*($AN$6-$AL$6)*($AN$6-$AM$6))),$AM$6)</f>
        <v/>
      </c>
      <c r="AM492">
        <f>IFERROR(IF(AV492&lt;($AM$7-$AL$7)/($AN$7-$AL$7),$AL$7+SQRT(AV492*($AN$7-$AL$7)*($AM$7-$AL$7)),$AN$7-SQRT((1-AV492)*($AN$7-$AL$7)*($AN$7-$AM$7))),$AM$7)</f>
        <v/>
      </c>
      <c r="AN492">
        <f>IFERROR(IF(AW492&lt;($AM$8-$AL$8)/($AN$8-$AL$8),$AL$8+SQRT(AW492*($AN$8-$AL$8)*($AM$8-$AL$8)),$AN$8-SQRT((1-AW492)*($AN$8-$AL$8)*($AN$8-$AM$8))),$AM$8)</f>
        <v/>
      </c>
      <c r="AO492">
        <f>IFERROR(IF(AX492&lt;($AM$9-$AL$9)/($AN$9-$AL$9),$AL$9+SQRT(AX492*($AN$9-$AL$9)*($AM$9-$AL$9)),$AN$9-SQRT((1-AX492)*($AN$9-$AL$9)*($AN$9-$AM$9))),$AM$9)</f>
        <v/>
      </c>
      <c r="AP492">
        <f>IFERROR(IF(AY492&lt;($AM$10-$AL$10)/($AN$10-$AL$10),$AL$10+SQRT(AY492*($AN$10-$AL$10)*($AM$10-$AL$10)),$AN$10-SQRT((1-AY492)*($AN$10-$AL$10)*($AN$10-$AM$10))),$AM$10)</f>
        <v/>
      </c>
      <c r="AQ492">
        <f>IFERROR(IF(AZ492&lt;($AM$11-$AL$11)/($AN$11-$AL$11),$AL$11+SQRT(AZ492*($AN$11-$AL$11)*($AM$11-$AL$11)),$AN$11-SQRT((1-AZ492)*($AN$11-$AL$11)*($AN$11-$AM$11))),$AM$11)</f>
        <v/>
      </c>
      <c r="AR492">
        <f>SUMPRODUCT((B24:B31&lt;=$B$6)*(C24:C31*AM492+D24:D31*AO492*$B$8*AQ492)/(1+AL492/100)^B24:B31)+C32*AM492*AP492/(1+AL492/100)^$B$6</f>
        <v/>
      </c>
      <c r="AS492">
        <f>SUMPRODUCT((K24:K26&lt;=$B$6)*(L24:L26*AN492+M24:M26*AO492*$B$8*AQ492)/(1+AL492/100)^K24:K26)+L27*AN492*AP492/(1+AL492/100)^$B$6</f>
        <v/>
      </c>
      <c r="AT492">
        <f>AS492-AR492</f>
        <v/>
      </c>
      <c r="AU492">
        <f>RAND()</f>
        <v/>
      </c>
      <c r="AV492">
        <f>RAND()</f>
        <v/>
      </c>
      <c r="AW492">
        <f>RAND()</f>
        <v/>
      </c>
      <c r="AX492">
        <f>RAND()</f>
        <v/>
      </c>
      <c r="AY492">
        <f>RAND()</f>
        <v/>
      </c>
      <c r="AZ492">
        <f>RAND()</f>
        <v/>
      </c>
    </row>
    <row r="493">
      <c r="AK493" t="n">
        <v>480</v>
      </c>
      <c r="AL493">
        <f>IFERROR(IF(AU493&lt;($AM$6-$AL$6)/($AN$6-$AL$6),$AL$6+SQRT(AU493*($AN$6-$AL$6)*($AM$6-$AL$6)),$AN$6-SQRT((1-AU493)*($AN$6-$AL$6)*($AN$6-$AM$6))),$AM$6)</f>
        <v/>
      </c>
      <c r="AM493">
        <f>IFERROR(IF(AV493&lt;($AM$7-$AL$7)/($AN$7-$AL$7),$AL$7+SQRT(AV493*($AN$7-$AL$7)*($AM$7-$AL$7)),$AN$7-SQRT((1-AV493)*($AN$7-$AL$7)*($AN$7-$AM$7))),$AM$7)</f>
        <v/>
      </c>
      <c r="AN493">
        <f>IFERROR(IF(AW493&lt;($AM$8-$AL$8)/($AN$8-$AL$8),$AL$8+SQRT(AW493*($AN$8-$AL$8)*($AM$8-$AL$8)),$AN$8-SQRT((1-AW493)*($AN$8-$AL$8)*($AN$8-$AM$8))),$AM$8)</f>
        <v/>
      </c>
      <c r="AO493">
        <f>IFERROR(IF(AX493&lt;($AM$9-$AL$9)/($AN$9-$AL$9),$AL$9+SQRT(AX493*($AN$9-$AL$9)*($AM$9-$AL$9)),$AN$9-SQRT((1-AX493)*($AN$9-$AL$9)*($AN$9-$AM$9))),$AM$9)</f>
        <v/>
      </c>
      <c r="AP493">
        <f>IFERROR(IF(AY493&lt;($AM$10-$AL$10)/($AN$10-$AL$10),$AL$10+SQRT(AY493*($AN$10-$AL$10)*($AM$10-$AL$10)),$AN$10-SQRT((1-AY493)*($AN$10-$AL$10)*($AN$10-$AM$10))),$AM$10)</f>
        <v/>
      </c>
      <c r="AQ493">
        <f>IFERROR(IF(AZ493&lt;($AM$11-$AL$11)/($AN$11-$AL$11),$AL$11+SQRT(AZ493*($AN$11-$AL$11)*($AM$11-$AL$11)),$AN$11-SQRT((1-AZ493)*($AN$11-$AL$11)*($AN$11-$AM$11))),$AM$11)</f>
        <v/>
      </c>
      <c r="AR493">
        <f>SUMPRODUCT((B24:B31&lt;=$B$6)*(C24:C31*AM493+D24:D31*AO493*$B$8*AQ493)/(1+AL493/100)^B24:B31)+C32*AM493*AP493/(1+AL493/100)^$B$6</f>
        <v/>
      </c>
      <c r="AS493">
        <f>SUMPRODUCT((K24:K26&lt;=$B$6)*(L24:L26*AN493+M24:M26*AO493*$B$8*AQ493)/(1+AL493/100)^K24:K26)+L27*AN493*AP493/(1+AL493/100)^$B$6</f>
        <v/>
      </c>
      <c r="AT493">
        <f>AS493-AR493</f>
        <v/>
      </c>
      <c r="AU493">
        <f>RAND()</f>
        <v/>
      </c>
      <c r="AV493">
        <f>RAND()</f>
        <v/>
      </c>
      <c r="AW493">
        <f>RAND()</f>
        <v/>
      </c>
      <c r="AX493">
        <f>RAND()</f>
        <v/>
      </c>
      <c r="AY493">
        <f>RAND()</f>
        <v/>
      </c>
      <c r="AZ493">
        <f>RAND()</f>
        <v/>
      </c>
    </row>
    <row r="494">
      <c r="AK494" t="n">
        <v>481</v>
      </c>
      <c r="AL494">
        <f>IFERROR(IF(AU494&lt;($AM$6-$AL$6)/($AN$6-$AL$6),$AL$6+SQRT(AU494*($AN$6-$AL$6)*($AM$6-$AL$6)),$AN$6-SQRT((1-AU494)*($AN$6-$AL$6)*($AN$6-$AM$6))),$AM$6)</f>
        <v/>
      </c>
      <c r="AM494">
        <f>IFERROR(IF(AV494&lt;($AM$7-$AL$7)/($AN$7-$AL$7),$AL$7+SQRT(AV494*($AN$7-$AL$7)*($AM$7-$AL$7)),$AN$7-SQRT((1-AV494)*($AN$7-$AL$7)*($AN$7-$AM$7))),$AM$7)</f>
        <v/>
      </c>
      <c r="AN494">
        <f>IFERROR(IF(AW494&lt;($AM$8-$AL$8)/($AN$8-$AL$8),$AL$8+SQRT(AW494*($AN$8-$AL$8)*($AM$8-$AL$8)),$AN$8-SQRT((1-AW494)*($AN$8-$AL$8)*($AN$8-$AM$8))),$AM$8)</f>
        <v/>
      </c>
      <c r="AO494">
        <f>IFERROR(IF(AX494&lt;($AM$9-$AL$9)/($AN$9-$AL$9),$AL$9+SQRT(AX494*($AN$9-$AL$9)*($AM$9-$AL$9)),$AN$9-SQRT((1-AX494)*($AN$9-$AL$9)*($AN$9-$AM$9))),$AM$9)</f>
        <v/>
      </c>
      <c r="AP494">
        <f>IFERROR(IF(AY494&lt;($AM$10-$AL$10)/($AN$10-$AL$10),$AL$10+SQRT(AY494*($AN$10-$AL$10)*($AM$10-$AL$10)),$AN$10-SQRT((1-AY494)*($AN$10-$AL$10)*($AN$10-$AM$10))),$AM$10)</f>
        <v/>
      </c>
      <c r="AQ494">
        <f>IFERROR(IF(AZ494&lt;($AM$11-$AL$11)/($AN$11-$AL$11),$AL$11+SQRT(AZ494*($AN$11-$AL$11)*($AM$11-$AL$11)),$AN$11-SQRT((1-AZ494)*($AN$11-$AL$11)*($AN$11-$AM$11))),$AM$11)</f>
        <v/>
      </c>
      <c r="AR494">
        <f>SUMPRODUCT((B24:B31&lt;=$B$6)*(C24:C31*AM494+D24:D31*AO494*$B$8*AQ494)/(1+AL494/100)^B24:B31)+C32*AM494*AP494/(1+AL494/100)^$B$6</f>
        <v/>
      </c>
      <c r="AS494">
        <f>SUMPRODUCT((K24:K26&lt;=$B$6)*(L24:L26*AN494+M24:M26*AO494*$B$8*AQ494)/(1+AL494/100)^K24:K26)+L27*AN494*AP494/(1+AL494/100)^$B$6</f>
        <v/>
      </c>
      <c r="AT494">
        <f>AS494-AR494</f>
        <v/>
      </c>
      <c r="AU494">
        <f>RAND()</f>
        <v/>
      </c>
      <c r="AV494">
        <f>RAND()</f>
        <v/>
      </c>
      <c r="AW494">
        <f>RAND()</f>
        <v/>
      </c>
      <c r="AX494">
        <f>RAND()</f>
        <v/>
      </c>
      <c r="AY494">
        <f>RAND()</f>
        <v/>
      </c>
      <c r="AZ494">
        <f>RAND()</f>
        <v/>
      </c>
    </row>
    <row r="495">
      <c r="AK495" t="n">
        <v>482</v>
      </c>
      <c r="AL495">
        <f>IFERROR(IF(AU495&lt;($AM$6-$AL$6)/($AN$6-$AL$6),$AL$6+SQRT(AU495*($AN$6-$AL$6)*($AM$6-$AL$6)),$AN$6-SQRT((1-AU495)*($AN$6-$AL$6)*($AN$6-$AM$6))),$AM$6)</f>
        <v/>
      </c>
      <c r="AM495">
        <f>IFERROR(IF(AV495&lt;($AM$7-$AL$7)/($AN$7-$AL$7),$AL$7+SQRT(AV495*($AN$7-$AL$7)*($AM$7-$AL$7)),$AN$7-SQRT((1-AV495)*($AN$7-$AL$7)*($AN$7-$AM$7))),$AM$7)</f>
        <v/>
      </c>
      <c r="AN495">
        <f>IFERROR(IF(AW495&lt;($AM$8-$AL$8)/($AN$8-$AL$8),$AL$8+SQRT(AW495*($AN$8-$AL$8)*($AM$8-$AL$8)),$AN$8-SQRT((1-AW495)*($AN$8-$AL$8)*($AN$8-$AM$8))),$AM$8)</f>
        <v/>
      </c>
      <c r="AO495">
        <f>IFERROR(IF(AX495&lt;($AM$9-$AL$9)/($AN$9-$AL$9),$AL$9+SQRT(AX495*($AN$9-$AL$9)*($AM$9-$AL$9)),$AN$9-SQRT((1-AX495)*($AN$9-$AL$9)*($AN$9-$AM$9))),$AM$9)</f>
        <v/>
      </c>
      <c r="AP495">
        <f>IFERROR(IF(AY495&lt;($AM$10-$AL$10)/($AN$10-$AL$10),$AL$10+SQRT(AY495*($AN$10-$AL$10)*($AM$10-$AL$10)),$AN$10-SQRT((1-AY495)*($AN$10-$AL$10)*($AN$10-$AM$10))),$AM$10)</f>
        <v/>
      </c>
      <c r="AQ495">
        <f>IFERROR(IF(AZ495&lt;($AM$11-$AL$11)/($AN$11-$AL$11),$AL$11+SQRT(AZ495*($AN$11-$AL$11)*($AM$11-$AL$11)),$AN$11-SQRT((1-AZ495)*($AN$11-$AL$11)*($AN$11-$AM$11))),$AM$11)</f>
        <v/>
      </c>
      <c r="AR495">
        <f>SUMPRODUCT((B24:B31&lt;=$B$6)*(C24:C31*AM495+D24:D31*AO495*$B$8*AQ495)/(1+AL495/100)^B24:B31)+C32*AM495*AP495/(1+AL495/100)^$B$6</f>
        <v/>
      </c>
      <c r="AS495">
        <f>SUMPRODUCT((K24:K26&lt;=$B$6)*(L24:L26*AN495+M24:M26*AO495*$B$8*AQ495)/(1+AL495/100)^K24:K26)+L27*AN495*AP495/(1+AL495/100)^$B$6</f>
        <v/>
      </c>
      <c r="AT495">
        <f>AS495-AR495</f>
        <v/>
      </c>
      <c r="AU495">
        <f>RAND()</f>
        <v/>
      </c>
      <c r="AV495">
        <f>RAND()</f>
        <v/>
      </c>
      <c r="AW495">
        <f>RAND()</f>
        <v/>
      </c>
      <c r="AX495">
        <f>RAND()</f>
        <v/>
      </c>
      <c r="AY495">
        <f>RAND()</f>
        <v/>
      </c>
      <c r="AZ495">
        <f>RAND()</f>
        <v/>
      </c>
    </row>
    <row r="496">
      <c r="AK496" t="n">
        <v>483</v>
      </c>
      <c r="AL496">
        <f>IFERROR(IF(AU496&lt;($AM$6-$AL$6)/($AN$6-$AL$6),$AL$6+SQRT(AU496*($AN$6-$AL$6)*($AM$6-$AL$6)),$AN$6-SQRT((1-AU496)*($AN$6-$AL$6)*($AN$6-$AM$6))),$AM$6)</f>
        <v/>
      </c>
      <c r="AM496">
        <f>IFERROR(IF(AV496&lt;($AM$7-$AL$7)/($AN$7-$AL$7),$AL$7+SQRT(AV496*($AN$7-$AL$7)*($AM$7-$AL$7)),$AN$7-SQRT((1-AV496)*($AN$7-$AL$7)*($AN$7-$AM$7))),$AM$7)</f>
        <v/>
      </c>
      <c r="AN496">
        <f>IFERROR(IF(AW496&lt;($AM$8-$AL$8)/($AN$8-$AL$8),$AL$8+SQRT(AW496*($AN$8-$AL$8)*($AM$8-$AL$8)),$AN$8-SQRT((1-AW496)*($AN$8-$AL$8)*($AN$8-$AM$8))),$AM$8)</f>
        <v/>
      </c>
      <c r="AO496">
        <f>IFERROR(IF(AX496&lt;($AM$9-$AL$9)/($AN$9-$AL$9),$AL$9+SQRT(AX496*($AN$9-$AL$9)*($AM$9-$AL$9)),$AN$9-SQRT((1-AX496)*($AN$9-$AL$9)*($AN$9-$AM$9))),$AM$9)</f>
        <v/>
      </c>
      <c r="AP496">
        <f>IFERROR(IF(AY496&lt;($AM$10-$AL$10)/($AN$10-$AL$10),$AL$10+SQRT(AY496*($AN$10-$AL$10)*($AM$10-$AL$10)),$AN$10-SQRT((1-AY496)*($AN$10-$AL$10)*($AN$10-$AM$10))),$AM$10)</f>
        <v/>
      </c>
      <c r="AQ496">
        <f>IFERROR(IF(AZ496&lt;($AM$11-$AL$11)/($AN$11-$AL$11),$AL$11+SQRT(AZ496*($AN$11-$AL$11)*($AM$11-$AL$11)),$AN$11-SQRT((1-AZ496)*($AN$11-$AL$11)*($AN$11-$AM$11))),$AM$11)</f>
        <v/>
      </c>
      <c r="AR496">
        <f>SUMPRODUCT((B24:B31&lt;=$B$6)*(C24:C31*AM496+D24:D31*AO496*$B$8*AQ496)/(1+AL496/100)^B24:B31)+C32*AM496*AP496/(1+AL496/100)^$B$6</f>
        <v/>
      </c>
      <c r="AS496">
        <f>SUMPRODUCT((K24:K26&lt;=$B$6)*(L24:L26*AN496+M24:M26*AO496*$B$8*AQ496)/(1+AL496/100)^K24:K26)+L27*AN496*AP496/(1+AL496/100)^$B$6</f>
        <v/>
      </c>
      <c r="AT496">
        <f>AS496-AR496</f>
        <v/>
      </c>
      <c r="AU496">
        <f>RAND()</f>
        <v/>
      </c>
      <c r="AV496">
        <f>RAND()</f>
        <v/>
      </c>
      <c r="AW496">
        <f>RAND()</f>
        <v/>
      </c>
      <c r="AX496">
        <f>RAND()</f>
        <v/>
      </c>
      <c r="AY496">
        <f>RAND()</f>
        <v/>
      </c>
      <c r="AZ496">
        <f>RAND()</f>
        <v/>
      </c>
    </row>
    <row r="497">
      <c r="AK497" t="n">
        <v>484</v>
      </c>
      <c r="AL497">
        <f>IFERROR(IF(AU497&lt;($AM$6-$AL$6)/($AN$6-$AL$6),$AL$6+SQRT(AU497*($AN$6-$AL$6)*($AM$6-$AL$6)),$AN$6-SQRT((1-AU497)*($AN$6-$AL$6)*($AN$6-$AM$6))),$AM$6)</f>
        <v/>
      </c>
      <c r="AM497">
        <f>IFERROR(IF(AV497&lt;($AM$7-$AL$7)/($AN$7-$AL$7),$AL$7+SQRT(AV497*($AN$7-$AL$7)*($AM$7-$AL$7)),$AN$7-SQRT((1-AV497)*($AN$7-$AL$7)*($AN$7-$AM$7))),$AM$7)</f>
        <v/>
      </c>
      <c r="AN497">
        <f>IFERROR(IF(AW497&lt;($AM$8-$AL$8)/($AN$8-$AL$8),$AL$8+SQRT(AW497*($AN$8-$AL$8)*($AM$8-$AL$8)),$AN$8-SQRT((1-AW497)*($AN$8-$AL$8)*($AN$8-$AM$8))),$AM$8)</f>
        <v/>
      </c>
      <c r="AO497">
        <f>IFERROR(IF(AX497&lt;($AM$9-$AL$9)/($AN$9-$AL$9),$AL$9+SQRT(AX497*($AN$9-$AL$9)*($AM$9-$AL$9)),$AN$9-SQRT((1-AX497)*($AN$9-$AL$9)*($AN$9-$AM$9))),$AM$9)</f>
        <v/>
      </c>
      <c r="AP497">
        <f>IFERROR(IF(AY497&lt;($AM$10-$AL$10)/($AN$10-$AL$10),$AL$10+SQRT(AY497*($AN$10-$AL$10)*($AM$10-$AL$10)),$AN$10-SQRT((1-AY497)*($AN$10-$AL$10)*($AN$10-$AM$10))),$AM$10)</f>
        <v/>
      </c>
      <c r="AQ497">
        <f>IFERROR(IF(AZ497&lt;($AM$11-$AL$11)/($AN$11-$AL$11),$AL$11+SQRT(AZ497*($AN$11-$AL$11)*($AM$11-$AL$11)),$AN$11-SQRT((1-AZ497)*($AN$11-$AL$11)*($AN$11-$AM$11))),$AM$11)</f>
        <v/>
      </c>
      <c r="AR497">
        <f>SUMPRODUCT((B24:B31&lt;=$B$6)*(C24:C31*AM497+D24:D31*AO497*$B$8*AQ497)/(1+AL497/100)^B24:B31)+C32*AM497*AP497/(1+AL497/100)^$B$6</f>
        <v/>
      </c>
      <c r="AS497">
        <f>SUMPRODUCT((K24:K26&lt;=$B$6)*(L24:L26*AN497+M24:M26*AO497*$B$8*AQ497)/(1+AL497/100)^K24:K26)+L27*AN497*AP497/(1+AL497/100)^$B$6</f>
        <v/>
      </c>
      <c r="AT497">
        <f>AS497-AR497</f>
        <v/>
      </c>
      <c r="AU497">
        <f>RAND()</f>
        <v/>
      </c>
      <c r="AV497">
        <f>RAND()</f>
        <v/>
      </c>
      <c r="AW497">
        <f>RAND()</f>
        <v/>
      </c>
      <c r="AX497">
        <f>RAND()</f>
        <v/>
      </c>
      <c r="AY497">
        <f>RAND()</f>
        <v/>
      </c>
      <c r="AZ497">
        <f>RAND()</f>
        <v/>
      </c>
    </row>
    <row r="498">
      <c r="AK498" t="n">
        <v>485</v>
      </c>
      <c r="AL498">
        <f>IFERROR(IF(AU498&lt;($AM$6-$AL$6)/($AN$6-$AL$6),$AL$6+SQRT(AU498*($AN$6-$AL$6)*($AM$6-$AL$6)),$AN$6-SQRT((1-AU498)*($AN$6-$AL$6)*($AN$6-$AM$6))),$AM$6)</f>
        <v/>
      </c>
      <c r="AM498">
        <f>IFERROR(IF(AV498&lt;($AM$7-$AL$7)/($AN$7-$AL$7),$AL$7+SQRT(AV498*($AN$7-$AL$7)*($AM$7-$AL$7)),$AN$7-SQRT((1-AV498)*($AN$7-$AL$7)*($AN$7-$AM$7))),$AM$7)</f>
        <v/>
      </c>
      <c r="AN498">
        <f>IFERROR(IF(AW498&lt;($AM$8-$AL$8)/($AN$8-$AL$8),$AL$8+SQRT(AW498*($AN$8-$AL$8)*($AM$8-$AL$8)),$AN$8-SQRT((1-AW498)*($AN$8-$AL$8)*($AN$8-$AM$8))),$AM$8)</f>
        <v/>
      </c>
      <c r="AO498">
        <f>IFERROR(IF(AX498&lt;($AM$9-$AL$9)/($AN$9-$AL$9),$AL$9+SQRT(AX498*($AN$9-$AL$9)*($AM$9-$AL$9)),$AN$9-SQRT((1-AX498)*($AN$9-$AL$9)*($AN$9-$AM$9))),$AM$9)</f>
        <v/>
      </c>
      <c r="AP498">
        <f>IFERROR(IF(AY498&lt;($AM$10-$AL$10)/($AN$10-$AL$10),$AL$10+SQRT(AY498*($AN$10-$AL$10)*($AM$10-$AL$10)),$AN$10-SQRT((1-AY498)*($AN$10-$AL$10)*($AN$10-$AM$10))),$AM$10)</f>
        <v/>
      </c>
      <c r="AQ498">
        <f>IFERROR(IF(AZ498&lt;($AM$11-$AL$11)/($AN$11-$AL$11),$AL$11+SQRT(AZ498*($AN$11-$AL$11)*($AM$11-$AL$11)),$AN$11-SQRT((1-AZ498)*($AN$11-$AL$11)*($AN$11-$AM$11))),$AM$11)</f>
        <v/>
      </c>
      <c r="AR498">
        <f>SUMPRODUCT((B24:B31&lt;=$B$6)*(C24:C31*AM498+D24:D31*AO498*$B$8*AQ498)/(1+AL498/100)^B24:B31)+C32*AM498*AP498/(1+AL498/100)^$B$6</f>
        <v/>
      </c>
      <c r="AS498">
        <f>SUMPRODUCT((K24:K26&lt;=$B$6)*(L24:L26*AN498+M24:M26*AO498*$B$8*AQ498)/(1+AL498/100)^K24:K26)+L27*AN498*AP498/(1+AL498/100)^$B$6</f>
        <v/>
      </c>
      <c r="AT498">
        <f>AS498-AR498</f>
        <v/>
      </c>
      <c r="AU498">
        <f>RAND()</f>
        <v/>
      </c>
      <c r="AV498">
        <f>RAND()</f>
        <v/>
      </c>
      <c r="AW498">
        <f>RAND()</f>
        <v/>
      </c>
      <c r="AX498">
        <f>RAND()</f>
        <v/>
      </c>
      <c r="AY498">
        <f>RAND()</f>
        <v/>
      </c>
      <c r="AZ498">
        <f>RAND()</f>
        <v/>
      </c>
    </row>
    <row r="499">
      <c r="AK499" t="n">
        <v>486</v>
      </c>
      <c r="AL499">
        <f>IFERROR(IF(AU499&lt;($AM$6-$AL$6)/($AN$6-$AL$6),$AL$6+SQRT(AU499*($AN$6-$AL$6)*($AM$6-$AL$6)),$AN$6-SQRT((1-AU499)*($AN$6-$AL$6)*($AN$6-$AM$6))),$AM$6)</f>
        <v/>
      </c>
      <c r="AM499">
        <f>IFERROR(IF(AV499&lt;($AM$7-$AL$7)/($AN$7-$AL$7),$AL$7+SQRT(AV499*($AN$7-$AL$7)*($AM$7-$AL$7)),$AN$7-SQRT((1-AV499)*($AN$7-$AL$7)*($AN$7-$AM$7))),$AM$7)</f>
        <v/>
      </c>
      <c r="AN499">
        <f>IFERROR(IF(AW499&lt;($AM$8-$AL$8)/($AN$8-$AL$8),$AL$8+SQRT(AW499*($AN$8-$AL$8)*($AM$8-$AL$8)),$AN$8-SQRT((1-AW499)*($AN$8-$AL$8)*($AN$8-$AM$8))),$AM$8)</f>
        <v/>
      </c>
      <c r="AO499">
        <f>IFERROR(IF(AX499&lt;($AM$9-$AL$9)/($AN$9-$AL$9),$AL$9+SQRT(AX499*($AN$9-$AL$9)*($AM$9-$AL$9)),$AN$9-SQRT((1-AX499)*($AN$9-$AL$9)*($AN$9-$AM$9))),$AM$9)</f>
        <v/>
      </c>
      <c r="AP499">
        <f>IFERROR(IF(AY499&lt;($AM$10-$AL$10)/($AN$10-$AL$10),$AL$10+SQRT(AY499*($AN$10-$AL$10)*($AM$10-$AL$10)),$AN$10-SQRT((1-AY499)*($AN$10-$AL$10)*($AN$10-$AM$10))),$AM$10)</f>
        <v/>
      </c>
      <c r="AQ499">
        <f>IFERROR(IF(AZ499&lt;($AM$11-$AL$11)/($AN$11-$AL$11),$AL$11+SQRT(AZ499*($AN$11-$AL$11)*($AM$11-$AL$11)),$AN$11-SQRT((1-AZ499)*($AN$11-$AL$11)*($AN$11-$AM$11))),$AM$11)</f>
        <v/>
      </c>
      <c r="AR499">
        <f>SUMPRODUCT((B24:B31&lt;=$B$6)*(C24:C31*AM499+D24:D31*AO499*$B$8*AQ499)/(1+AL499/100)^B24:B31)+C32*AM499*AP499/(1+AL499/100)^$B$6</f>
        <v/>
      </c>
      <c r="AS499">
        <f>SUMPRODUCT((K24:K26&lt;=$B$6)*(L24:L26*AN499+M24:M26*AO499*$B$8*AQ499)/(1+AL499/100)^K24:K26)+L27*AN499*AP499/(1+AL499/100)^$B$6</f>
        <v/>
      </c>
      <c r="AT499">
        <f>AS499-AR499</f>
        <v/>
      </c>
      <c r="AU499">
        <f>RAND()</f>
        <v/>
      </c>
      <c r="AV499">
        <f>RAND()</f>
        <v/>
      </c>
      <c r="AW499">
        <f>RAND()</f>
        <v/>
      </c>
      <c r="AX499">
        <f>RAND()</f>
        <v/>
      </c>
      <c r="AY499">
        <f>RAND()</f>
        <v/>
      </c>
      <c r="AZ499">
        <f>RAND()</f>
        <v/>
      </c>
    </row>
    <row r="500">
      <c r="AK500" t="n">
        <v>487</v>
      </c>
      <c r="AL500">
        <f>IFERROR(IF(AU500&lt;($AM$6-$AL$6)/($AN$6-$AL$6),$AL$6+SQRT(AU500*($AN$6-$AL$6)*($AM$6-$AL$6)),$AN$6-SQRT((1-AU500)*($AN$6-$AL$6)*($AN$6-$AM$6))),$AM$6)</f>
        <v/>
      </c>
      <c r="AM500">
        <f>IFERROR(IF(AV500&lt;($AM$7-$AL$7)/($AN$7-$AL$7),$AL$7+SQRT(AV500*($AN$7-$AL$7)*($AM$7-$AL$7)),$AN$7-SQRT((1-AV500)*($AN$7-$AL$7)*($AN$7-$AM$7))),$AM$7)</f>
        <v/>
      </c>
      <c r="AN500">
        <f>IFERROR(IF(AW500&lt;($AM$8-$AL$8)/($AN$8-$AL$8),$AL$8+SQRT(AW500*($AN$8-$AL$8)*($AM$8-$AL$8)),$AN$8-SQRT((1-AW500)*($AN$8-$AL$8)*($AN$8-$AM$8))),$AM$8)</f>
        <v/>
      </c>
      <c r="AO500">
        <f>IFERROR(IF(AX500&lt;($AM$9-$AL$9)/($AN$9-$AL$9),$AL$9+SQRT(AX500*($AN$9-$AL$9)*($AM$9-$AL$9)),$AN$9-SQRT((1-AX500)*($AN$9-$AL$9)*($AN$9-$AM$9))),$AM$9)</f>
        <v/>
      </c>
      <c r="AP500">
        <f>IFERROR(IF(AY500&lt;($AM$10-$AL$10)/($AN$10-$AL$10),$AL$10+SQRT(AY500*($AN$10-$AL$10)*($AM$10-$AL$10)),$AN$10-SQRT((1-AY500)*($AN$10-$AL$10)*($AN$10-$AM$10))),$AM$10)</f>
        <v/>
      </c>
      <c r="AQ500">
        <f>IFERROR(IF(AZ500&lt;($AM$11-$AL$11)/($AN$11-$AL$11),$AL$11+SQRT(AZ500*($AN$11-$AL$11)*($AM$11-$AL$11)),$AN$11-SQRT((1-AZ500)*($AN$11-$AL$11)*($AN$11-$AM$11))),$AM$11)</f>
        <v/>
      </c>
      <c r="AR500">
        <f>SUMPRODUCT((B24:B31&lt;=$B$6)*(C24:C31*AM500+D24:D31*AO500*$B$8*AQ500)/(1+AL500/100)^B24:B31)+C32*AM500*AP500/(1+AL500/100)^$B$6</f>
        <v/>
      </c>
      <c r="AS500">
        <f>SUMPRODUCT((K24:K26&lt;=$B$6)*(L24:L26*AN500+M24:M26*AO500*$B$8*AQ500)/(1+AL500/100)^K24:K26)+L27*AN500*AP500/(1+AL500/100)^$B$6</f>
        <v/>
      </c>
      <c r="AT500">
        <f>AS500-AR500</f>
        <v/>
      </c>
      <c r="AU500">
        <f>RAND()</f>
        <v/>
      </c>
      <c r="AV500">
        <f>RAND()</f>
        <v/>
      </c>
      <c r="AW500">
        <f>RAND()</f>
        <v/>
      </c>
      <c r="AX500">
        <f>RAND()</f>
        <v/>
      </c>
      <c r="AY500">
        <f>RAND()</f>
        <v/>
      </c>
      <c r="AZ500">
        <f>RAND()</f>
        <v/>
      </c>
    </row>
    <row r="501">
      <c r="AK501" t="n">
        <v>488</v>
      </c>
      <c r="AL501">
        <f>IFERROR(IF(AU501&lt;($AM$6-$AL$6)/($AN$6-$AL$6),$AL$6+SQRT(AU501*($AN$6-$AL$6)*($AM$6-$AL$6)),$AN$6-SQRT((1-AU501)*($AN$6-$AL$6)*($AN$6-$AM$6))),$AM$6)</f>
        <v/>
      </c>
      <c r="AM501">
        <f>IFERROR(IF(AV501&lt;($AM$7-$AL$7)/($AN$7-$AL$7),$AL$7+SQRT(AV501*($AN$7-$AL$7)*($AM$7-$AL$7)),$AN$7-SQRT((1-AV501)*($AN$7-$AL$7)*($AN$7-$AM$7))),$AM$7)</f>
        <v/>
      </c>
      <c r="AN501">
        <f>IFERROR(IF(AW501&lt;($AM$8-$AL$8)/($AN$8-$AL$8),$AL$8+SQRT(AW501*($AN$8-$AL$8)*($AM$8-$AL$8)),$AN$8-SQRT((1-AW501)*($AN$8-$AL$8)*($AN$8-$AM$8))),$AM$8)</f>
        <v/>
      </c>
      <c r="AO501">
        <f>IFERROR(IF(AX501&lt;($AM$9-$AL$9)/($AN$9-$AL$9),$AL$9+SQRT(AX501*($AN$9-$AL$9)*($AM$9-$AL$9)),$AN$9-SQRT((1-AX501)*($AN$9-$AL$9)*($AN$9-$AM$9))),$AM$9)</f>
        <v/>
      </c>
      <c r="AP501">
        <f>IFERROR(IF(AY501&lt;($AM$10-$AL$10)/($AN$10-$AL$10),$AL$10+SQRT(AY501*($AN$10-$AL$10)*($AM$10-$AL$10)),$AN$10-SQRT((1-AY501)*($AN$10-$AL$10)*($AN$10-$AM$10))),$AM$10)</f>
        <v/>
      </c>
      <c r="AQ501">
        <f>IFERROR(IF(AZ501&lt;($AM$11-$AL$11)/($AN$11-$AL$11),$AL$11+SQRT(AZ501*($AN$11-$AL$11)*($AM$11-$AL$11)),$AN$11-SQRT((1-AZ501)*($AN$11-$AL$11)*($AN$11-$AM$11))),$AM$11)</f>
        <v/>
      </c>
      <c r="AR501">
        <f>SUMPRODUCT((B24:B31&lt;=$B$6)*(C24:C31*AM501+D24:D31*AO501*$B$8*AQ501)/(1+AL501/100)^B24:B31)+C32*AM501*AP501/(1+AL501/100)^$B$6</f>
        <v/>
      </c>
      <c r="AS501">
        <f>SUMPRODUCT((K24:K26&lt;=$B$6)*(L24:L26*AN501+M24:M26*AO501*$B$8*AQ501)/(1+AL501/100)^K24:K26)+L27*AN501*AP501/(1+AL501/100)^$B$6</f>
        <v/>
      </c>
      <c r="AT501">
        <f>AS501-AR501</f>
        <v/>
      </c>
      <c r="AU501">
        <f>RAND()</f>
        <v/>
      </c>
      <c r="AV501">
        <f>RAND()</f>
        <v/>
      </c>
      <c r="AW501">
        <f>RAND()</f>
        <v/>
      </c>
      <c r="AX501">
        <f>RAND()</f>
        <v/>
      </c>
      <c r="AY501">
        <f>RAND()</f>
        <v/>
      </c>
      <c r="AZ501">
        <f>RAND()</f>
        <v/>
      </c>
    </row>
    <row r="502">
      <c r="AK502" t="n">
        <v>489</v>
      </c>
      <c r="AL502">
        <f>IFERROR(IF(AU502&lt;($AM$6-$AL$6)/($AN$6-$AL$6),$AL$6+SQRT(AU502*($AN$6-$AL$6)*($AM$6-$AL$6)),$AN$6-SQRT((1-AU502)*($AN$6-$AL$6)*($AN$6-$AM$6))),$AM$6)</f>
        <v/>
      </c>
      <c r="AM502">
        <f>IFERROR(IF(AV502&lt;($AM$7-$AL$7)/($AN$7-$AL$7),$AL$7+SQRT(AV502*($AN$7-$AL$7)*($AM$7-$AL$7)),$AN$7-SQRT((1-AV502)*($AN$7-$AL$7)*($AN$7-$AM$7))),$AM$7)</f>
        <v/>
      </c>
      <c r="AN502">
        <f>IFERROR(IF(AW502&lt;($AM$8-$AL$8)/($AN$8-$AL$8),$AL$8+SQRT(AW502*($AN$8-$AL$8)*($AM$8-$AL$8)),$AN$8-SQRT((1-AW502)*($AN$8-$AL$8)*($AN$8-$AM$8))),$AM$8)</f>
        <v/>
      </c>
      <c r="AO502">
        <f>IFERROR(IF(AX502&lt;($AM$9-$AL$9)/($AN$9-$AL$9),$AL$9+SQRT(AX502*($AN$9-$AL$9)*($AM$9-$AL$9)),$AN$9-SQRT((1-AX502)*($AN$9-$AL$9)*($AN$9-$AM$9))),$AM$9)</f>
        <v/>
      </c>
      <c r="AP502">
        <f>IFERROR(IF(AY502&lt;($AM$10-$AL$10)/($AN$10-$AL$10),$AL$10+SQRT(AY502*($AN$10-$AL$10)*($AM$10-$AL$10)),$AN$10-SQRT((1-AY502)*($AN$10-$AL$10)*($AN$10-$AM$10))),$AM$10)</f>
        <v/>
      </c>
      <c r="AQ502">
        <f>IFERROR(IF(AZ502&lt;($AM$11-$AL$11)/($AN$11-$AL$11),$AL$11+SQRT(AZ502*($AN$11-$AL$11)*($AM$11-$AL$11)),$AN$11-SQRT((1-AZ502)*($AN$11-$AL$11)*($AN$11-$AM$11))),$AM$11)</f>
        <v/>
      </c>
      <c r="AR502">
        <f>SUMPRODUCT((B24:B31&lt;=$B$6)*(C24:C31*AM502+D24:D31*AO502*$B$8*AQ502)/(1+AL502/100)^B24:B31)+C32*AM502*AP502/(1+AL502/100)^$B$6</f>
        <v/>
      </c>
      <c r="AS502">
        <f>SUMPRODUCT((K24:K26&lt;=$B$6)*(L24:L26*AN502+M24:M26*AO502*$B$8*AQ502)/(1+AL502/100)^K24:K26)+L27*AN502*AP502/(1+AL502/100)^$B$6</f>
        <v/>
      </c>
      <c r="AT502">
        <f>AS502-AR502</f>
        <v/>
      </c>
      <c r="AU502">
        <f>RAND()</f>
        <v/>
      </c>
      <c r="AV502">
        <f>RAND()</f>
        <v/>
      </c>
      <c r="AW502">
        <f>RAND()</f>
        <v/>
      </c>
      <c r="AX502">
        <f>RAND()</f>
        <v/>
      </c>
      <c r="AY502">
        <f>RAND()</f>
        <v/>
      </c>
      <c r="AZ502">
        <f>RAND()</f>
        <v/>
      </c>
    </row>
    <row r="503">
      <c r="AK503" t="n">
        <v>490</v>
      </c>
      <c r="AL503">
        <f>IFERROR(IF(AU503&lt;($AM$6-$AL$6)/($AN$6-$AL$6),$AL$6+SQRT(AU503*($AN$6-$AL$6)*($AM$6-$AL$6)),$AN$6-SQRT((1-AU503)*($AN$6-$AL$6)*($AN$6-$AM$6))),$AM$6)</f>
        <v/>
      </c>
      <c r="AM503">
        <f>IFERROR(IF(AV503&lt;($AM$7-$AL$7)/($AN$7-$AL$7),$AL$7+SQRT(AV503*($AN$7-$AL$7)*($AM$7-$AL$7)),$AN$7-SQRT((1-AV503)*($AN$7-$AL$7)*($AN$7-$AM$7))),$AM$7)</f>
        <v/>
      </c>
      <c r="AN503">
        <f>IFERROR(IF(AW503&lt;($AM$8-$AL$8)/($AN$8-$AL$8),$AL$8+SQRT(AW503*($AN$8-$AL$8)*($AM$8-$AL$8)),$AN$8-SQRT((1-AW503)*($AN$8-$AL$8)*($AN$8-$AM$8))),$AM$8)</f>
        <v/>
      </c>
      <c r="AO503">
        <f>IFERROR(IF(AX503&lt;($AM$9-$AL$9)/($AN$9-$AL$9),$AL$9+SQRT(AX503*($AN$9-$AL$9)*($AM$9-$AL$9)),$AN$9-SQRT((1-AX503)*($AN$9-$AL$9)*($AN$9-$AM$9))),$AM$9)</f>
        <v/>
      </c>
      <c r="AP503">
        <f>IFERROR(IF(AY503&lt;($AM$10-$AL$10)/($AN$10-$AL$10),$AL$10+SQRT(AY503*($AN$10-$AL$10)*($AM$10-$AL$10)),$AN$10-SQRT((1-AY503)*($AN$10-$AL$10)*($AN$10-$AM$10))),$AM$10)</f>
        <v/>
      </c>
      <c r="AQ503">
        <f>IFERROR(IF(AZ503&lt;($AM$11-$AL$11)/($AN$11-$AL$11),$AL$11+SQRT(AZ503*($AN$11-$AL$11)*($AM$11-$AL$11)),$AN$11-SQRT((1-AZ503)*($AN$11-$AL$11)*($AN$11-$AM$11))),$AM$11)</f>
        <v/>
      </c>
      <c r="AR503">
        <f>SUMPRODUCT((B24:B31&lt;=$B$6)*(C24:C31*AM503+D24:D31*AO503*$B$8*AQ503)/(1+AL503/100)^B24:B31)+C32*AM503*AP503/(1+AL503/100)^$B$6</f>
        <v/>
      </c>
      <c r="AS503">
        <f>SUMPRODUCT((K24:K26&lt;=$B$6)*(L24:L26*AN503+M24:M26*AO503*$B$8*AQ503)/(1+AL503/100)^K24:K26)+L27*AN503*AP503/(1+AL503/100)^$B$6</f>
        <v/>
      </c>
      <c r="AT503">
        <f>AS503-AR503</f>
        <v/>
      </c>
      <c r="AU503">
        <f>RAND()</f>
        <v/>
      </c>
      <c r="AV503">
        <f>RAND()</f>
        <v/>
      </c>
      <c r="AW503">
        <f>RAND()</f>
        <v/>
      </c>
      <c r="AX503">
        <f>RAND()</f>
        <v/>
      </c>
      <c r="AY503">
        <f>RAND()</f>
        <v/>
      </c>
      <c r="AZ503">
        <f>RAND()</f>
        <v/>
      </c>
    </row>
    <row r="504">
      <c r="AK504" t="n">
        <v>491</v>
      </c>
      <c r="AL504">
        <f>IFERROR(IF(AU504&lt;($AM$6-$AL$6)/($AN$6-$AL$6),$AL$6+SQRT(AU504*($AN$6-$AL$6)*($AM$6-$AL$6)),$AN$6-SQRT((1-AU504)*($AN$6-$AL$6)*($AN$6-$AM$6))),$AM$6)</f>
        <v/>
      </c>
      <c r="AM504">
        <f>IFERROR(IF(AV504&lt;($AM$7-$AL$7)/($AN$7-$AL$7),$AL$7+SQRT(AV504*($AN$7-$AL$7)*($AM$7-$AL$7)),$AN$7-SQRT((1-AV504)*($AN$7-$AL$7)*($AN$7-$AM$7))),$AM$7)</f>
        <v/>
      </c>
      <c r="AN504">
        <f>IFERROR(IF(AW504&lt;($AM$8-$AL$8)/($AN$8-$AL$8),$AL$8+SQRT(AW504*($AN$8-$AL$8)*($AM$8-$AL$8)),$AN$8-SQRT((1-AW504)*($AN$8-$AL$8)*($AN$8-$AM$8))),$AM$8)</f>
        <v/>
      </c>
      <c r="AO504">
        <f>IFERROR(IF(AX504&lt;($AM$9-$AL$9)/($AN$9-$AL$9),$AL$9+SQRT(AX504*($AN$9-$AL$9)*($AM$9-$AL$9)),$AN$9-SQRT((1-AX504)*($AN$9-$AL$9)*($AN$9-$AM$9))),$AM$9)</f>
        <v/>
      </c>
      <c r="AP504">
        <f>IFERROR(IF(AY504&lt;($AM$10-$AL$10)/($AN$10-$AL$10),$AL$10+SQRT(AY504*($AN$10-$AL$10)*($AM$10-$AL$10)),$AN$10-SQRT((1-AY504)*($AN$10-$AL$10)*($AN$10-$AM$10))),$AM$10)</f>
        <v/>
      </c>
      <c r="AQ504">
        <f>IFERROR(IF(AZ504&lt;($AM$11-$AL$11)/($AN$11-$AL$11),$AL$11+SQRT(AZ504*($AN$11-$AL$11)*($AM$11-$AL$11)),$AN$11-SQRT((1-AZ504)*($AN$11-$AL$11)*($AN$11-$AM$11))),$AM$11)</f>
        <v/>
      </c>
      <c r="AR504">
        <f>SUMPRODUCT((B24:B31&lt;=$B$6)*(C24:C31*AM504+D24:D31*AO504*$B$8*AQ504)/(1+AL504/100)^B24:B31)+C32*AM504*AP504/(1+AL504/100)^$B$6</f>
        <v/>
      </c>
      <c r="AS504">
        <f>SUMPRODUCT((K24:K26&lt;=$B$6)*(L24:L26*AN504+M24:M26*AO504*$B$8*AQ504)/(1+AL504/100)^K24:K26)+L27*AN504*AP504/(1+AL504/100)^$B$6</f>
        <v/>
      </c>
      <c r="AT504">
        <f>AS504-AR504</f>
        <v/>
      </c>
      <c r="AU504">
        <f>RAND()</f>
        <v/>
      </c>
      <c r="AV504">
        <f>RAND()</f>
        <v/>
      </c>
      <c r="AW504">
        <f>RAND()</f>
        <v/>
      </c>
      <c r="AX504">
        <f>RAND()</f>
        <v/>
      </c>
      <c r="AY504">
        <f>RAND()</f>
        <v/>
      </c>
      <c r="AZ504">
        <f>RAND()</f>
        <v/>
      </c>
    </row>
    <row r="505">
      <c r="AK505" t="n">
        <v>492</v>
      </c>
      <c r="AL505">
        <f>IFERROR(IF(AU505&lt;($AM$6-$AL$6)/($AN$6-$AL$6),$AL$6+SQRT(AU505*($AN$6-$AL$6)*($AM$6-$AL$6)),$AN$6-SQRT((1-AU505)*($AN$6-$AL$6)*($AN$6-$AM$6))),$AM$6)</f>
        <v/>
      </c>
      <c r="AM505">
        <f>IFERROR(IF(AV505&lt;($AM$7-$AL$7)/($AN$7-$AL$7),$AL$7+SQRT(AV505*($AN$7-$AL$7)*($AM$7-$AL$7)),$AN$7-SQRT((1-AV505)*($AN$7-$AL$7)*($AN$7-$AM$7))),$AM$7)</f>
        <v/>
      </c>
      <c r="AN505">
        <f>IFERROR(IF(AW505&lt;($AM$8-$AL$8)/($AN$8-$AL$8),$AL$8+SQRT(AW505*($AN$8-$AL$8)*($AM$8-$AL$8)),$AN$8-SQRT((1-AW505)*($AN$8-$AL$8)*($AN$8-$AM$8))),$AM$8)</f>
        <v/>
      </c>
      <c r="AO505">
        <f>IFERROR(IF(AX505&lt;($AM$9-$AL$9)/($AN$9-$AL$9),$AL$9+SQRT(AX505*($AN$9-$AL$9)*($AM$9-$AL$9)),$AN$9-SQRT((1-AX505)*($AN$9-$AL$9)*($AN$9-$AM$9))),$AM$9)</f>
        <v/>
      </c>
      <c r="AP505">
        <f>IFERROR(IF(AY505&lt;($AM$10-$AL$10)/($AN$10-$AL$10),$AL$10+SQRT(AY505*($AN$10-$AL$10)*($AM$10-$AL$10)),$AN$10-SQRT((1-AY505)*($AN$10-$AL$10)*($AN$10-$AM$10))),$AM$10)</f>
        <v/>
      </c>
      <c r="AQ505">
        <f>IFERROR(IF(AZ505&lt;($AM$11-$AL$11)/($AN$11-$AL$11),$AL$11+SQRT(AZ505*($AN$11-$AL$11)*($AM$11-$AL$11)),$AN$11-SQRT((1-AZ505)*($AN$11-$AL$11)*($AN$11-$AM$11))),$AM$11)</f>
        <v/>
      </c>
      <c r="AR505">
        <f>SUMPRODUCT((B24:B31&lt;=$B$6)*(C24:C31*AM505+D24:D31*AO505*$B$8*AQ505)/(1+AL505/100)^B24:B31)+C32*AM505*AP505/(1+AL505/100)^$B$6</f>
        <v/>
      </c>
      <c r="AS505">
        <f>SUMPRODUCT((K24:K26&lt;=$B$6)*(L24:L26*AN505+M24:M26*AO505*$B$8*AQ505)/(1+AL505/100)^K24:K26)+L27*AN505*AP505/(1+AL505/100)^$B$6</f>
        <v/>
      </c>
      <c r="AT505">
        <f>AS505-AR505</f>
        <v/>
      </c>
      <c r="AU505">
        <f>RAND()</f>
        <v/>
      </c>
      <c r="AV505">
        <f>RAND()</f>
        <v/>
      </c>
      <c r="AW505">
        <f>RAND()</f>
        <v/>
      </c>
      <c r="AX505">
        <f>RAND()</f>
        <v/>
      </c>
      <c r="AY505">
        <f>RAND()</f>
        <v/>
      </c>
      <c r="AZ505">
        <f>RAND()</f>
        <v/>
      </c>
    </row>
    <row r="506">
      <c r="AK506" t="n">
        <v>493</v>
      </c>
      <c r="AL506">
        <f>IFERROR(IF(AU506&lt;($AM$6-$AL$6)/($AN$6-$AL$6),$AL$6+SQRT(AU506*($AN$6-$AL$6)*($AM$6-$AL$6)),$AN$6-SQRT((1-AU506)*($AN$6-$AL$6)*($AN$6-$AM$6))),$AM$6)</f>
        <v/>
      </c>
      <c r="AM506">
        <f>IFERROR(IF(AV506&lt;($AM$7-$AL$7)/($AN$7-$AL$7),$AL$7+SQRT(AV506*($AN$7-$AL$7)*($AM$7-$AL$7)),$AN$7-SQRT((1-AV506)*($AN$7-$AL$7)*($AN$7-$AM$7))),$AM$7)</f>
        <v/>
      </c>
      <c r="AN506">
        <f>IFERROR(IF(AW506&lt;($AM$8-$AL$8)/($AN$8-$AL$8),$AL$8+SQRT(AW506*($AN$8-$AL$8)*($AM$8-$AL$8)),$AN$8-SQRT((1-AW506)*($AN$8-$AL$8)*($AN$8-$AM$8))),$AM$8)</f>
        <v/>
      </c>
      <c r="AO506">
        <f>IFERROR(IF(AX506&lt;($AM$9-$AL$9)/($AN$9-$AL$9),$AL$9+SQRT(AX506*($AN$9-$AL$9)*($AM$9-$AL$9)),$AN$9-SQRT((1-AX506)*($AN$9-$AL$9)*($AN$9-$AM$9))),$AM$9)</f>
        <v/>
      </c>
      <c r="AP506">
        <f>IFERROR(IF(AY506&lt;($AM$10-$AL$10)/($AN$10-$AL$10),$AL$10+SQRT(AY506*($AN$10-$AL$10)*($AM$10-$AL$10)),$AN$10-SQRT((1-AY506)*($AN$10-$AL$10)*($AN$10-$AM$10))),$AM$10)</f>
        <v/>
      </c>
      <c r="AQ506">
        <f>IFERROR(IF(AZ506&lt;($AM$11-$AL$11)/($AN$11-$AL$11),$AL$11+SQRT(AZ506*($AN$11-$AL$11)*($AM$11-$AL$11)),$AN$11-SQRT((1-AZ506)*($AN$11-$AL$11)*($AN$11-$AM$11))),$AM$11)</f>
        <v/>
      </c>
      <c r="AR506">
        <f>SUMPRODUCT((B24:B31&lt;=$B$6)*(C24:C31*AM506+D24:D31*AO506*$B$8*AQ506)/(1+AL506/100)^B24:B31)+C32*AM506*AP506/(1+AL506/100)^$B$6</f>
        <v/>
      </c>
      <c r="AS506">
        <f>SUMPRODUCT((K24:K26&lt;=$B$6)*(L24:L26*AN506+M24:M26*AO506*$B$8*AQ506)/(1+AL506/100)^K24:K26)+L27*AN506*AP506/(1+AL506/100)^$B$6</f>
        <v/>
      </c>
      <c r="AT506">
        <f>AS506-AR506</f>
        <v/>
      </c>
      <c r="AU506">
        <f>RAND()</f>
        <v/>
      </c>
      <c r="AV506">
        <f>RAND()</f>
        <v/>
      </c>
      <c r="AW506">
        <f>RAND()</f>
        <v/>
      </c>
      <c r="AX506">
        <f>RAND()</f>
        <v/>
      </c>
      <c r="AY506">
        <f>RAND()</f>
        <v/>
      </c>
      <c r="AZ506">
        <f>RAND()</f>
        <v/>
      </c>
    </row>
    <row r="507">
      <c r="AK507" t="n">
        <v>494</v>
      </c>
      <c r="AL507">
        <f>IFERROR(IF(AU507&lt;($AM$6-$AL$6)/($AN$6-$AL$6),$AL$6+SQRT(AU507*($AN$6-$AL$6)*($AM$6-$AL$6)),$AN$6-SQRT((1-AU507)*($AN$6-$AL$6)*($AN$6-$AM$6))),$AM$6)</f>
        <v/>
      </c>
      <c r="AM507">
        <f>IFERROR(IF(AV507&lt;($AM$7-$AL$7)/($AN$7-$AL$7),$AL$7+SQRT(AV507*($AN$7-$AL$7)*($AM$7-$AL$7)),$AN$7-SQRT((1-AV507)*($AN$7-$AL$7)*($AN$7-$AM$7))),$AM$7)</f>
        <v/>
      </c>
      <c r="AN507">
        <f>IFERROR(IF(AW507&lt;($AM$8-$AL$8)/($AN$8-$AL$8),$AL$8+SQRT(AW507*($AN$8-$AL$8)*($AM$8-$AL$8)),$AN$8-SQRT((1-AW507)*($AN$8-$AL$8)*($AN$8-$AM$8))),$AM$8)</f>
        <v/>
      </c>
      <c r="AO507">
        <f>IFERROR(IF(AX507&lt;($AM$9-$AL$9)/($AN$9-$AL$9),$AL$9+SQRT(AX507*($AN$9-$AL$9)*($AM$9-$AL$9)),$AN$9-SQRT((1-AX507)*($AN$9-$AL$9)*($AN$9-$AM$9))),$AM$9)</f>
        <v/>
      </c>
      <c r="AP507">
        <f>IFERROR(IF(AY507&lt;($AM$10-$AL$10)/($AN$10-$AL$10),$AL$10+SQRT(AY507*($AN$10-$AL$10)*($AM$10-$AL$10)),$AN$10-SQRT((1-AY507)*($AN$10-$AL$10)*($AN$10-$AM$10))),$AM$10)</f>
        <v/>
      </c>
      <c r="AQ507">
        <f>IFERROR(IF(AZ507&lt;($AM$11-$AL$11)/($AN$11-$AL$11),$AL$11+SQRT(AZ507*($AN$11-$AL$11)*($AM$11-$AL$11)),$AN$11-SQRT((1-AZ507)*($AN$11-$AL$11)*($AN$11-$AM$11))),$AM$11)</f>
        <v/>
      </c>
      <c r="AR507">
        <f>SUMPRODUCT((B24:B31&lt;=$B$6)*(C24:C31*AM507+D24:D31*AO507*$B$8*AQ507)/(1+AL507/100)^B24:B31)+C32*AM507*AP507/(1+AL507/100)^$B$6</f>
        <v/>
      </c>
      <c r="AS507">
        <f>SUMPRODUCT((K24:K26&lt;=$B$6)*(L24:L26*AN507+M24:M26*AO507*$B$8*AQ507)/(1+AL507/100)^K24:K26)+L27*AN507*AP507/(1+AL507/100)^$B$6</f>
        <v/>
      </c>
      <c r="AT507">
        <f>AS507-AR507</f>
        <v/>
      </c>
      <c r="AU507">
        <f>RAND()</f>
        <v/>
      </c>
      <c r="AV507">
        <f>RAND()</f>
        <v/>
      </c>
      <c r="AW507">
        <f>RAND()</f>
        <v/>
      </c>
      <c r="AX507">
        <f>RAND()</f>
        <v/>
      </c>
      <c r="AY507">
        <f>RAND()</f>
        <v/>
      </c>
      <c r="AZ507">
        <f>RAND()</f>
        <v/>
      </c>
    </row>
    <row r="508">
      <c r="AK508" t="n">
        <v>495</v>
      </c>
      <c r="AL508">
        <f>IFERROR(IF(AU508&lt;($AM$6-$AL$6)/($AN$6-$AL$6),$AL$6+SQRT(AU508*($AN$6-$AL$6)*($AM$6-$AL$6)),$AN$6-SQRT((1-AU508)*($AN$6-$AL$6)*($AN$6-$AM$6))),$AM$6)</f>
        <v/>
      </c>
      <c r="AM508">
        <f>IFERROR(IF(AV508&lt;($AM$7-$AL$7)/($AN$7-$AL$7),$AL$7+SQRT(AV508*($AN$7-$AL$7)*($AM$7-$AL$7)),$AN$7-SQRT((1-AV508)*($AN$7-$AL$7)*($AN$7-$AM$7))),$AM$7)</f>
        <v/>
      </c>
      <c r="AN508">
        <f>IFERROR(IF(AW508&lt;($AM$8-$AL$8)/($AN$8-$AL$8),$AL$8+SQRT(AW508*($AN$8-$AL$8)*($AM$8-$AL$8)),$AN$8-SQRT((1-AW508)*($AN$8-$AL$8)*($AN$8-$AM$8))),$AM$8)</f>
        <v/>
      </c>
      <c r="AO508">
        <f>IFERROR(IF(AX508&lt;($AM$9-$AL$9)/($AN$9-$AL$9),$AL$9+SQRT(AX508*($AN$9-$AL$9)*($AM$9-$AL$9)),$AN$9-SQRT((1-AX508)*($AN$9-$AL$9)*($AN$9-$AM$9))),$AM$9)</f>
        <v/>
      </c>
      <c r="AP508">
        <f>IFERROR(IF(AY508&lt;($AM$10-$AL$10)/($AN$10-$AL$10),$AL$10+SQRT(AY508*($AN$10-$AL$10)*($AM$10-$AL$10)),$AN$10-SQRT((1-AY508)*($AN$10-$AL$10)*($AN$10-$AM$10))),$AM$10)</f>
        <v/>
      </c>
      <c r="AQ508">
        <f>IFERROR(IF(AZ508&lt;($AM$11-$AL$11)/($AN$11-$AL$11),$AL$11+SQRT(AZ508*($AN$11-$AL$11)*($AM$11-$AL$11)),$AN$11-SQRT((1-AZ508)*($AN$11-$AL$11)*($AN$11-$AM$11))),$AM$11)</f>
        <v/>
      </c>
      <c r="AR508">
        <f>SUMPRODUCT((B24:B31&lt;=$B$6)*(C24:C31*AM508+D24:D31*AO508*$B$8*AQ508)/(1+AL508/100)^B24:B31)+C32*AM508*AP508/(1+AL508/100)^$B$6</f>
        <v/>
      </c>
      <c r="AS508">
        <f>SUMPRODUCT((K24:K26&lt;=$B$6)*(L24:L26*AN508+M24:M26*AO508*$B$8*AQ508)/(1+AL508/100)^K24:K26)+L27*AN508*AP508/(1+AL508/100)^$B$6</f>
        <v/>
      </c>
      <c r="AT508">
        <f>AS508-AR508</f>
        <v/>
      </c>
      <c r="AU508">
        <f>RAND()</f>
        <v/>
      </c>
      <c r="AV508">
        <f>RAND()</f>
        <v/>
      </c>
      <c r="AW508">
        <f>RAND()</f>
        <v/>
      </c>
      <c r="AX508">
        <f>RAND()</f>
        <v/>
      </c>
      <c r="AY508">
        <f>RAND()</f>
        <v/>
      </c>
      <c r="AZ508">
        <f>RAND()</f>
        <v/>
      </c>
    </row>
    <row r="509">
      <c r="AK509" t="n">
        <v>496</v>
      </c>
      <c r="AL509">
        <f>IFERROR(IF(AU509&lt;($AM$6-$AL$6)/($AN$6-$AL$6),$AL$6+SQRT(AU509*($AN$6-$AL$6)*($AM$6-$AL$6)),$AN$6-SQRT((1-AU509)*($AN$6-$AL$6)*($AN$6-$AM$6))),$AM$6)</f>
        <v/>
      </c>
      <c r="AM509">
        <f>IFERROR(IF(AV509&lt;($AM$7-$AL$7)/($AN$7-$AL$7),$AL$7+SQRT(AV509*($AN$7-$AL$7)*($AM$7-$AL$7)),$AN$7-SQRT((1-AV509)*($AN$7-$AL$7)*($AN$7-$AM$7))),$AM$7)</f>
        <v/>
      </c>
      <c r="AN509">
        <f>IFERROR(IF(AW509&lt;($AM$8-$AL$8)/($AN$8-$AL$8),$AL$8+SQRT(AW509*($AN$8-$AL$8)*($AM$8-$AL$8)),$AN$8-SQRT((1-AW509)*($AN$8-$AL$8)*($AN$8-$AM$8))),$AM$8)</f>
        <v/>
      </c>
      <c r="AO509">
        <f>IFERROR(IF(AX509&lt;($AM$9-$AL$9)/($AN$9-$AL$9),$AL$9+SQRT(AX509*($AN$9-$AL$9)*($AM$9-$AL$9)),$AN$9-SQRT((1-AX509)*($AN$9-$AL$9)*($AN$9-$AM$9))),$AM$9)</f>
        <v/>
      </c>
      <c r="AP509">
        <f>IFERROR(IF(AY509&lt;($AM$10-$AL$10)/($AN$10-$AL$10),$AL$10+SQRT(AY509*($AN$10-$AL$10)*($AM$10-$AL$10)),$AN$10-SQRT((1-AY509)*($AN$10-$AL$10)*($AN$10-$AM$10))),$AM$10)</f>
        <v/>
      </c>
      <c r="AQ509">
        <f>IFERROR(IF(AZ509&lt;($AM$11-$AL$11)/($AN$11-$AL$11),$AL$11+SQRT(AZ509*($AN$11-$AL$11)*($AM$11-$AL$11)),$AN$11-SQRT((1-AZ509)*($AN$11-$AL$11)*($AN$11-$AM$11))),$AM$11)</f>
        <v/>
      </c>
      <c r="AR509">
        <f>SUMPRODUCT((B24:B31&lt;=$B$6)*(C24:C31*AM509+D24:D31*AO509*$B$8*AQ509)/(1+AL509/100)^B24:B31)+C32*AM509*AP509/(1+AL509/100)^$B$6</f>
        <v/>
      </c>
      <c r="AS509">
        <f>SUMPRODUCT((K24:K26&lt;=$B$6)*(L24:L26*AN509+M24:M26*AO509*$B$8*AQ509)/(1+AL509/100)^K24:K26)+L27*AN509*AP509/(1+AL509/100)^$B$6</f>
        <v/>
      </c>
      <c r="AT509">
        <f>AS509-AR509</f>
        <v/>
      </c>
      <c r="AU509">
        <f>RAND()</f>
        <v/>
      </c>
      <c r="AV509">
        <f>RAND()</f>
        <v/>
      </c>
      <c r="AW509">
        <f>RAND()</f>
        <v/>
      </c>
      <c r="AX509">
        <f>RAND()</f>
        <v/>
      </c>
      <c r="AY509">
        <f>RAND()</f>
        <v/>
      </c>
      <c r="AZ509">
        <f>RAND()</f>
        <v/>
      </c>
    </row>
    <row r="510">
      <c r="AK510" t="n">
        <v>497</v>
      </c>
      <c r="AL510">
        <f>IFERROR(IF(AU510&lt;($AM$6-$AL$6)/($AN$6-$AL$6),$AL$6+SQRT(AU510*($AN$6-$AL$6)*($AM$6-$AL$6)),$AN$6-SQRT((1-AU510)*($AN$6-$AL$6)*($AN$6-$AM$6))),$AM$6)</f>
        <v/>
      </c>
      <c r="AM510">
        <f>IFERROR(IF(AV510&lt;($AM$7-$AL$7)/($AN$7-$AL$7),$AL$7+SQRT(AV510*($AN$7-$AL$7)*($AM$7-$AL$7)),$AN$7-SQRT((1-AV510)*($AN$7-$AL$7)*($AN$7-$AM$7))),$AM$7)</f>
        <v/>
      </c>
      <c r="AN510">
        <f>IFERROR(IF(AW510&lt;($AM$8-$AL$8)/($AN$8-$AL$8),$AL$8+SQRT(AW510*($AN$8-$AL$8)*($AM$8-$AL$8)),$AN$8-SQRT((1-AW510)*($AN$8-$AL$8)*($AN$8-$AM$8))),$AM$8)</f>
        <v/>
      </c>
      <c r="AO510">
        <f>IFERROR(IF(AX510&lt;($AM$9-$AL$9)/($AN$9-$AL$9),$AL$9+SQRT(AX510*($AN$9-$AL$9)*($AM$9-$AL$9)),$AN$9-SQRT((1-AX510)*($AN$9-$AL$9)*($AN$9-$AM$9))),$AM$9)</f>
        <v/>
      </c>
      <c r="AP510">
        <f>IFERROR(IF(AY510&lt;($AM$10-$AL$10)/($AN$10-$AL$10),$AL$10+SQRT(AY510*($AN$10-$AL$10)*($AM$10-$AL$10)),$AN$10-SQRT((1-AY510)*($AN$10-$AL$10)*($AN$10-$AM$10))),$AM$10)</f>
        <v/>
      </c>
      <c r="AQ510">
        <f>IFERROR(IF(AZ510&lt;($AM$11-$AL$11)/($AN$11-$AL$11),$AL$11+SQRT(AZ510*($AN$11-$AL$11)*($AM$11-$AL$11)),$AN$11-SQRT((1-AZ510)*($AN$11-$AL$11)*($AN$11-$AM$11))),$AM$11)</f>
        <v/>
      </c>
      <c r="AR510">
        <f>SUMPRODUCT((B24:B31&lt;=$B$6)*(C24:C31*AM510+D24:D31*AO510*$B$8*AQ510)/(1+AL510/100)^B24:B31)+C32*AM510*AP510/(1+AL510/100)^$B$6</f>
        <v/>
      </c>
      <c r="AS510">
        <f>SUMPRODUCT((K24:K26&lt;=$B$6)*(L24:L26*AN510+M24:M26*AO510*$B$8*AQ510)/(1+AL510/100)^K24:K26)+L27*AN510*AP510/(1+AL510/100)^$B$6</f>
        <v/>
      </c>
      <c r="AT510">
        <f>AS510-AR510</f>
        <v/>
      </c>
      <c r="AU510">
        <f>RAND()</f>
        <v/>
      </c>
      <c r="AV510">
        <f>RAND()</f>
        <v/>
      </c>
      <c r="AW510">
        <f>RAND()</f>
        <v/>
      </c>
      <c r="AX510">
        <f>RAND()</f>
        <v/>
      </c>
      <c r="AY510">
        <f>RAND()</f>
        <v/>
      </c>
      <c r="AZ510">
        <f>RAND()</f>
        <v/>
      </c>
    </row>
    <row r="511">
      <c r="AK511" t="n">
        <v>498</v>
      </c>
      <c r="AL511">
        <f>IFERROR(IF(AU511&lt;($AM$6-$AL$6)/($AN$6-$AL$6),$AL$6+SQRT(AU511*($AN$6-$AL$6)*($AM$6-$AL$6)),$AN$6-SQRT((1-AU511)*($AN$6-$AL$6)*($AN$6-$AM$6))),$AM$6)</f>
        <v/>
      </c>
      <c r="AM511">
        <f>IFERROR(IF(AV511&lt;($AM$7-$AL$7)/($AN$7-$AL$7),$AL$7+SQRT(AV511*($AN$7-$AL$7)*($AM$7-$AL$7)),$AN$7-SQRT((1-AV511)*($AN$7-$AL$7)*($AN$7-$AM$7))),$AM$7)</f>
        <v/>
      </c>
      <c r="AN511">
        <f>IFERROR(IF(AW511&lt;($AM$8-$AL$8)/($AN$8-$AL$8),$AL$8+SQRT(AW511*($AN$8-$AL$8)*($AM$8-$AL$8)),$AN$8-SQRT((1-AW511)*($AN$8-$AL$8)*($AN$8-$AM$8))),$AM$8)</f>
        <v/>
      </c>
      <c r="AO511">
        <f>IFERROR(IF(AX511&lt;($AM$9-$AL$9)/($AN$9-$AL$9),$AL$9+SQRT(AX511*($AN$9-$AL$9)*($AM$9-$AL$9)),$AN$9-SQRT((1-AX511)*($AN$9-$AL$9)*($AN$9-$AM$9))),$AM$9)</f>
        <v/>
      </c>
      <c r="AP511">
        <f>IFERROR(IF(AY511&lt;($AM$10-$AL$10)/($AN$10-$AL$10),$AL$10+SQRT(AY511*($AN$10-$AL$10)*($AM$10-$AL$10)),$AN$10-SQRT((1-AY511)*($AN$10-$AL$10)*($AN$10-$AM$10))),$AM$10)</f>
        <v/>
      </c>
      <c r="AQ511">
        <f>IFERROR(IF(AZ511&lt;($AM$11-$AL$11)/($AN$11-$AL$11),$AL$11+SQRT(AZ511*($AN$11-$AL$11)*($AM$11-$AL$11)),$AN$11-SQRT((1-AZ511)*($AN$11-$AL$11)*($AN$11-$AM$11))),$AM$11)</f>
        <v/>
      </c>
      <c r="AR511">
        <f>SUMPRODUCT((B24:B31&lt;=$B$6)*(C24:C31*AM511+D24:D31*AO511*$B$8*AQ511)/(1+AL511/100)^B24:B31)+C32*AM511*AP511/(1+AL511/100)^$B$6</f>
        <v/>
      </c>
      <c r="AS511">
        <f>SUMPRODUCT((K24:K26&lt;=$B$6)*(L24:L26*AN511+M24:M26*AO511*$B$8*AQ511)/(1+AL511/100)^K24:K26)+L27*AN511*AP511/(1+AL511/100)^$B$6</f>
        <v/>
      </c>
      <c r="AT511">
        <f>AS511-AR511</f>
        <v/>
      </c>
      <c r="AU511">
        <f>RAND()</f>
        <v/>
      </c>
      <c r="AV511">
        <f>RAND()</f>
        <v/>
      </c>
      <c r="AW511">
        <f>RAND()</f>
        <v/>
      </c>
      <c r="AX511">
        <f>RAND()</f>
        <v/>
      </c>
      <c r="AY511">
        <f>RAND()</f>
        <v/>
      </c>
      <c r="AZ511">
        <f>RAND()</f>
        <v/>
      </c>
    </row>
    <row r="512">
      <c r="AK512" t="n">
        <v>499</v>
      </c>
      <c r="AL512">
        <f>IFERROR(IF(AU512&lt;($AM$6-$AL$6)/($AN$6-$AL$6),$AL$6+SQRT(AU512*($AN$6-$AL$6)*($AM$6-$AL$6)),$AN$6-SQRT((1-AU512)*($AN$6-$AL$6)*($AN$6-$AM$6))),$AM$6)</f>
        <v/>
      </c>
      <c r="AM512">
        <f>IFERROR(IF(AV512&lt;($AM$7-$AL$7)/($AN$7-$AL$7),$AL$7+SQRT(AV512*($AN$7-$AL$7)*($AM$7-$AL$7)),$AN$7-SQRT((1-AV512)*($AN$7-$AL$7)*($AN$7-$AM$7))),$AM$7)</f>
        <v/>
      </c>
      <c r="AN512">
        <f>IFERROR(IF(AW512&lt;($AM$8-$AL$8)/($AN$8-$AL$8),$AL$8+SQRT(AW512*($AN$8-$AL$8)*($AM$8-$AL$8)),$AN$8-SQRT((1-AW512)*($AN$8-$AL$8)*($AN$8-$AM$8))),$AM$8)</f>
        <v/>
      </c>
      <c r="AO512">
        <f>IFERROR(IF(AX512&lt;($AM$9-$AL$9)/($AN$9-$AL$9),$AL$9+SQRT(AX512*($AN$9-$AL$9)*($AM$9-$AL$9)),$AN$9-SQRT((1-AX512)*($AN$9-$AL$9)*($AN$9-$AM$9))),$AM$9)</f>
        <v/>
      </c>
      <c r="AP512">
        <f>IFERROR(IF(AY512&lt;($AM$10-$AL$10)/($AN$10-$AL$10),$AL$10+SQRT(AY512*($AN$10-$AL$10)*($AM$10-$AL$10)),$AN$10-SQRT((1-AY512)*($AN$10-$AL$10)*($AN$10-$AM$10))),$AM$10)</f>
        <v/>
      </c>
      <c r="AQ512">
        <f>IFERROR(IF(AZ512&lt;($AM$11-$AL$11)/($AN$11-$AL$11),$AL$11+SQRT(AZ512*($AN$11-$AL$11)*($AM$11-$AL$11)),$AN$11-SQRT((1-AZ512)*($AN$11-$AL$11)*($AN$11-$AM$11))),$AM$11)</f>
        <v/>
      </c>
      <c r="AR512">
        <f>SUMPRODUCT((B24:B31&lt;=$B$6)*(C24:C31*AM512+D24:D31*AO512*$B$8*AQ512)/(1+AL512/100)^B24:B31)+C32*AM512*AP512/(1+AL512/100)^$B$6</f>
        <v/>
      </c>
      <c r="AS512">
        <f>SUMPRODUCT((K24:K26&lt;=$B$6)*(L24:L26*AN512+M24:M26*AO512*$B$8*AQ512)/(1+AL512/100)^K24:K26)+L27*AN512*AP512/(1+AL512/100)^$B$6</f>
        <v/>
      </c>
      <c r="AT512">
        <f>AS512-AR512</f>
        <v/>
      </c>
      <c r="AU512">
        <f>RAND()</f>
        <v/>
      </c>
      <c r="AV512">
        <f>RAND()</f>
        <v/>
      </c>
      <c r="AW512">
        <f>RAND()</f>
        <v/>
      </c>
      <c r="AX512">
        <f>RAND()</f>
        <v/>
      </c>
      <c r="AY512">
        <f>RAND()</f>
        <v/>
      </c>
      <c r="AZ512">
        <f>RAND()</f>
        <v/>
      </c>
    </row>
    <row r="513">
      <c r="AK513" t="n">
        <v>500</v>
      </c>
      <c r="AL513">
        <f>IFERROR(IF(AU513&lt;($AM$6-$AL$6)/($AN$6-$AL$6),$AL$6+SQRT(AU513*($AN$6-$AL$6)*($AM$6-$AL$6)),$AN$6-SQRT((1-AU513)*($AN$6-$AL$6)*($AN$6-$AM$6))),$AM$6)</f>
        <v/>
      </c>
      <c r="AM513">
        <f>IFERROR(IF(AV513&lt;($AM$7-$AL$7)/($AN$7-$AL$7),$AL$7+SQRT(AV513*($AN$7-$AL$7)*($AM$7-$AL$7)),$AN$7-SQRT((1-AV513)*($AN$7-$AL$7)*($AN$7-$AM$7))),$AM$7)</f>
        <v/>
      </c>
      <c r="AN513">
        <f>IFERROR(IF(AW513&lt;($AM$8-$AL$8)/($AN$8-$AL$8),$AL$8+SQRT(AW513*($AN$8-$AL$8)*($AM$8-$AL$8)),$AN$8-SQRT((1-AW513)*($AN$8-$AL$8)*($AN$8-$AM$8))),$AM$8)</f>
        <v/>
      </c>
      <c r="AO513">
        <f>IFERROR(IF(AX513&lt;($AM$9-$AL$9)/($AN$9-$AL$9),$AL$9+SQRT(AX513*($AN$9-$AL$9)*($AM$9-$AL$9)),$AN$9-SQRT((1-AX513)*($AN$9-$AL$9)*($AN$9-$AM$9))),$AM$9)</f>
        <v/>
      </c>
      <c r="AP513">
        <f>IFERROR(IF(AY513&lt;($AM$10-$AL$10)/($AN$10-$AL$10),$AL$10+SQRT(AY513*($AN$10-$AL$10)*($AM$10-$AL$10)),$AN$10-SQRT((1-AY513)*($AN$10-$AL$10)*($AN$10-$AM$10))),$AM$10)</f>
        <v/>
      </c>
      <c r="AQ513">
        <f>IFERROR(IF(AZ513&lt;($AM$11-$AL$11)/($AN$11-$AL$11),$AL$11+SQRT(AZ513*($AN$11-$AL$11)*($AM$11-$AL$11)),$AN$11-SQRT((1-AZ513)*($AN$11-$AL$11)*($AN$11-$AM$11))),$AM$11)</f>
        <v/>
      </c>
      <c r="AR513">
        <f>SUMPRODUCT((B24:B31&lt;=$B$6)*(C24:C31*AM513+D24:D31*AO513*$B$8*AQ513)/(1+AL513/100)^B24:B31)+C32*AM513*AP513/(1+AL513/100)^$B$6</f>
        <v/>
      </c>
      <c r="AS513">
        <f>SUMPRODUCT((K24:K26&lt;=$B$6)*(L24:L26*AN513+M24:M26*AO513*$B$8*AQ513)/(1+AL513/100)^K24:K26)+L27*AN513*AP513/(1+AL513/100)^$B$6</f>
        <v/>
      </c>
      <c r="AT513">
        <f>AS513-AR513</f>
        <v/>
      </c>
      <c r="AU513">
        <f>RAND()</f>
        <v/>
      </c>
      <c r="AV513">
        <f>RAND()</f>
        <v/>
      </c>
      <c r="AW513">
        <f>RAND()</f>
        <v/>
      </c>
      <c r="AX513">
        <f>RAND()</f>
        <v/>
      </c>
      <c r="AY513">
        <f>RAND()</f>
        <v/>
      </c>
      <c r="AZ513">
        <f>RAND()</f>
        <v/>
      </c>
    </row>
    <row r="514">
      <c r="AK514" t="n">
        <v>501</v>
      </c>
      <c r="AL514">
        <f>IFERROR(IF(AU514&lt;($AM$6-$AL$6)/($AN$6-$AL$6),$AL$6+SQRT(AU514*($AN$6-$AL$6)*($AM$6-$AL$6)),$AN$6-SQRT((1-AU514)*($AN$6-$AL$6)*($AN$6-$AM$6))),$AM$6)</f>
        <v/>
      </c>
      <c r="AM514">
        <f>IFERROR(IF(AV514&lt;($AM$7-$AL$7)/($AN$7-$AL$7),$AL$7+SQRT(AV514*($AN$7-$AL$7)*($AM$7-$AL$7)),$AN$7-SQRT((1-AV514)*($AN$7-$AL$7)*($AN$7-$AM$7))),$AM$7)</f>
        <v/>
      </c>
      <c r="AN514">
        <f>IFERROR(IF(AW514&lt;($AM$8-$AL$8)/($AN$8-$AL$8),$AL$8+SQRT(AW514*($AN$8-$AL$8)*($AM$8-$AL$8)),$AN$8-SQRT((1-AW514)*($AN$8-$AL$8)*($AN$8-$AM$8))),$AM$8)</f>
        <v/>
      </c>
      <c r="AO514">
        <f>IFERROR(IF(AX514&lt;($AM$9-$AL$9)/($AN$9-$AL$9),$AL$9+SQRT(AX514*($AN$9-$AL$9)*($AM$9-$AL$9)),$AN$9-SQRT((1-AX514)*($AN$9-$AL$9)*($AN$9-$AM$9))),$AM$9)</f>
        <v/>
      </c>
      <c r="AP514">
        <f>IFERROR(IF(AY514&lt;($AM$10-$AL$10)/($AN$10-$AL$10),$AL$10+SQRT(AY514*($AN$10-$AL$10)*($AM$10-$AL$10)),$AN$10-SQRT((1-AY514)*($AN$10-$AL$10)*($AN$10-$AM$10))),$AM$10)</f>
        <v/>
      </c>
      <c r="AQ514">
        <f>IFERROR(IF(AZ514&lt;($AM$11-$AL$11)/($AN$11-$AL$11),$AL$11+SQRT(AZ514*($AN$11-$AL$11)*($AM$11-$AL$11)),$AN$11-SQRT((1-AZ514)*($AN$11-$AL$11)*($AN$11-$AM$11))),$AM$11)</f>
        <v/>
      </c>
      <c r="AR514">
        <f>SUMPRODUCT((B24:B31&lt;=$B$6)*(C24:C31*AM514+D24:D31*AO514*$B$8*AQ514)/(1+AL514/100)^B24:B31)+C32*AM514*AP514/(1+AL514/100)^$B$6</f>
        <v/>
      </c>
      <c r="AS514">
        <f>SUMPRODUCT((K24:K26&lt;=$B$6)*(L24:L26*AN514+M24:M26*AO514*$B$8*AQ514)/(1+AL514/100)^K24:K26)+L27*AN514*AP514/(1+AL514/100)^$B$6</f>
        <v/>
      </c>
      <c r="AT514">
        <f>AS514-AR514</f>
        <v/>
      </c>
      <c r="AU514">
        <f>RAND()</f>
        <v/>
      </c>
      <c r="AV514">
        <f>RAND()</f>
        <v/>
      </c>
      <c r="AW514">
        <f>RAND()</f>
        <v/>
      </c>
      <c r="AX514">
        <f>RAND()</f>
        <v/>
      </c>
      <c r="AY514">
        <f>RAND()</f>
        <v/>
      </c>
      <c r="AZ514">
        <f>RAND()</f>
        <v/>
      </c>
    </row>
    <row r="515">
      <c r="AK515" t="n">
        <v>502</v>
      </c>
      <c r="AL515">
        <f>IFERROR(IF(AU515&lt;($AM$6-$AL$6)/($AN$6-$AL$6),$AL$6+SQRT(AU515*($AN$6-$AL$6)*($AM$6-$AL$6)),$AN$6-SQRT((1-AU515)*($AN$6-$AL$6)*($AN$6-$AM$6))),$AM$6)</f>
        <v/>
      </c>
      <c r="AM515">
        <f>IFERROR(IF(AV515&lt;($AM$7-$AL$7)/($AN$7-$AL$7),$AL$7+SQRT(AV515*($AN$7-$AL$7)*($AM$7-$AL$7)),$AN$7-SQRT((1-AV515)*($AN$7-$AL$7)*($AN$7-$AM$7))),$AM$7)</f>
        <v/>
      </c>
      <c r="AN515">
        <f>IFERROR(IF(AW515&lt;($AM$8-$AL$8)/($AN$8-$AL$8),$AL$8+SQRT(AW515*($AN$8-$AL$8)*($AM$8-$AL$8)),$AN$8-SQRT((1-AW515)*($AN$8-$AL$8)*($AN$8-$AM$8))),$AM$8)</f>
        <v/>
      </c>
      <c r="AO515">
        <f>IFERROR(IF(AX515&lt;($AM$9-$AL$9)/($AN$9-$AL$9),$AL$9+SQRT(AX515*($AN$9-$AL$9)*($AM$9-$AL$9)),$AN$9-SQRT((1-AX515)*($AN$9-$AL$9)*($AN$9-$AM$9))),$AM$9)</f>
        <v/>
      </c>
      <c r="AP515">
        <f>IFERROR(IF(AY515&lt;($AM$10-$AL$10)/($AN$10-$AL$10),$AL$10+SQRT(AY515*($AN$10-$AL$10)*($AM$10-$AL$10)),$AN$10-SQRT((1-AY515)*($AN$10-$AL$10)*($AN$10-$AM$10))),$AM$10)</f>
        <v/>
      </c>
      <c r="AQ515">
        <f>IFERROR(IF(AZ515&lt;($AM$11-$AL$11)/($AN$11-$AL$11),$AL$11+SQRT(AZ515*($AN$11-$AL$11)*($AM$11-$AL$11)),$AN$11-SQRT((1-AZ515)*($AN$11-$AL$11)*($AN$11-$AM$11))),$AM$11)</f>
        <v/>
      </c>
      <c r="AR515">
        <f>SUMPRODUCT((B24:B31&lt;=$B$6)*(C24:C31*AM515+D24:D31*AO515*$B$8*AQ515)/(1+AL515/100)^B24:B31)+C32*AM515*AP515/(1+AL515/100)^$B$6</f>
        <v/>
      </c>
      <c r="AS515">
        <f>SUMPRODUCT((K24:K26&lt;=$B$6)*(L24:L26*AN515+M24:M26*AO515*$B$8*AQ515)/(1+AL515/100)^K24:K26)+L27*AN515*AP515/(1+AL515/100)^$B$6</f>
        <v/>
      </c>
      <c r="AT515">
        <f>AS515-AR515</f>
        <v/>
      </c>
      <c r="AU515">
        <f>RAND()</f>
        <v/>
      </c>
      <c r="AV515">
        <f>RAND()</f>
        <v/>
      </c>
      <c r="AW515">
        <f>RAND()</f>
        <v/>
      </c>
      <c r="AX515">
        <f>RAND()</f>
        <v/>
      </c>
      <c r="AY515">
        <f>RAND()</f>
        <v/>
      </c>
      <c r="AZ515">
        <f>RAND()</f>
        <v/>
      </c>
    </row>
    <row r="516">
      <c r="AK516" t="n">
        <v>503</v>
      </c>
      <c r="AL516">
        <f>IFERROR(IF(AU516&lt;($AM$6-$AL$6)/($AN$6-$AL$6),$AL$6+SQRT(AU516*($AN$6-$AL$6)*($AM$6-$AL$6)),$AN$6-SQRT((1-AU516)*($AN$6-$AL$6)*($AN$6-$AM$6))),$AM$6)</f>
        <v/>
      </c>
      <c r="AM516">
        <f>IFERROR(IF(AV516&lt;($AM$7-$AL$7)/($AN$7-$AL$7),$AL$7+SQRT(AV516*($AN$7-$AL$7)*($AM$7-$AL$7)),$AN$7-SQRT((1-AV516)*($AN$7-$AL$7)*($AN$7-$AM$7))),$AM$7)</f>
        <v/>
      </c>
      <c r="AN516">
        <f>IFERROR(IF(AW516&lt;($AM$8-$AL$8)/($AN$8-$AL$8),$AL$8+SQRT(AW516*($AN$8-$AL$8)*($AM$8-$AL$8)),$AN$8-SQRT((1-AW516)*($AN$8-$AL$8)*($AN$8-$AM$8))),$AM$8)</f>
        <v/>
      </c>
      <c r="AO516">
        <f>IFERROR(IF(AX516&lt;($AM$9-$AL$9)/($AN$9-$AL$9),$AL$9+SQRT(AX516*($AN$9-$AL$9)*($AM$9-$AL$9)),$AN$9-SQRT((1-AX516)*($AN$9-$AL$9)*($AN$9-$AM$9))),$AM$9)</f>
        <v/>
      </c>
      <c r="AP516">
        <f>IFERROR(IF(AY516&lt;($AM$10-$AL$10)/($AN$10-$AL$10),$AL$10+SQRT(AY516*($AN$10-$AL$10)*($AM$10-$AL$10)),$AN$10-SQRT((1-AY516)*($AN$10-$AL$10)*($AN$10-$AM$10))),$AM$10)</f>
        <v/>
      </c>
      <c r="AQ516">
        <f>IFERROR(IF(AZ516&lt;($AM$11-$AL$11)/($AN$11-$AL$11),$AL$11+SQRT(AZ516*($AN$11-$AL$11)*($AM$11-$AL$11)),$AN$11-SQRT((1-AZ516)*($AN$11-$AL$11)*($AN$11-$AM$11))),$AM$11)</f>
        <v/>
      </c>
      <c r="AR516">
        <f>SUMPRODUCT((B24:B31&lt;=$B$6)*(C24:C31*AM516+D24:D31*AO516*$B$8*AQ516)/(1+AL516/100)^B24:B31)+C32*AM516*AP516/(1+AL516/100)^$B$6</f>
        <v/>
      </c>
      <c r="AS516">
        <f>SUMPRODUCT((K24:K26&lt;=$B$6)*(L24:L26*AN516+M24:M26*AO516*$B$8*AQ516)/(1+AL516/100)^K24:K26)+L27*AN516*AP516/(1+AL516/100)^$B$6</f>
        <v/>
      </c>
      <c r="AT516">
        <f>AS516-AR516</f>
        <v/>
      </c>
      <c r="AU516">
        <f>RAND()</f>
        <v/>
      </c>
      <c r="AV516">
        <f>RAND()</f>
        <v/>
      </c>
      <c r="AW516">
        <f>RAND()</f>
        <v/>
      </c>
      <c r="AX516">
        <f>RAND()</f>
        <v/>
      </c>
      <c r="AY516">
        <f>RAND()</f>
        <v/>
      </c>
      <c r="AZ516">
        <f>RAND()</f>
        <v/>
      </c>
    </row>
    <row r="517">
      <c r="AK517" t="n">
        <v>504</v>
      </c>
      <c r="AL517">
        <f>IFERROR(IF(AU517&lt;($AM$6-$AL$6)/($AN$6-$AL$6),$AL$6+SQRT(AU517*($AN$6-$AL$6)*($AM$6-$AL$6)),$AN$6-SQRT((1-AU517)*($AN$6-$AL$6)*($AN$6-$AM$6))),$AM$6)</f>
        <v/>
      </c>
      <c r="AM517">
        <f>IFERROR(IF(AV517&lt;($AM$7-$AL$7)/($AN$7-$AL$7),$AL$7+SQRT(AV517*($AN$7-$AL$7)*($AM$7-$AL$7)),$AN$7-SQRT((1-AV517)*($AN$7-$AL$7)*($AN$7-$AM$7))),$AM$7)</f>
        <v/>
      </c>
      <c r="AN517">
        <f>IFERROR(IF(AW517&lt;($AM$8-$AL$8)/($AN$8-$AL$8),$AL$8+SQRT(AW517*($AN$8-$AL$8)*($AM$8-$AL$8)),$AN$8-SQRT((1-AW517)*($AN$8-$AL$8)*($AN$8-$AM$8))),$AM$8)</f>
        <v/>
      </c>
      <c r="AO517">
        <f>IFERROR(IF(AX517&lt;($AM$9-$AL$9)/($AN$9-$AL$9),$AL$9+SQRT(AX517*($AN$9-$AL$9)*($AM$9-$AL$9)),$AN$9-SQRT((1-AX517)*($AN$9-$AL$9)*($AN$9-$AM$9))),$AM$9)</f>
        <v/>
      </c>
      <c r="AP517">
        <f>IFERROR(IF(AY517&lt;($AM$10-$AL$10)/($AN$10-$AL$10),$AL$10+SQRT(AY517*($AN$10-$AL$10)*($AM$10-$AL$10)),$AN$10-SQRT((1-AY517)*($AN$10-$AL$10)*($AN$10-$AM$10))),$AM$10)</f>
        <v/>
      </c>
      <c r="AQ517">
        <f>IFERROR(IF(AZ517&lt;($AM$11-$AL$11)/($AN$11-$AL$11),$AL$11+SQRT(AZ517*($AN$11-$AL$11)*($AM$11-$AL$11)),$AN$11-SQRT((1-AZ517)*($AN$11-$AL$11)*($AN$11-$AM$11))),$AM$11)</f>
        <v/>
      </c>
      <c r="AR517">
        <f>SUMPRODUCT((B24:B31&lt;=$B$6)*(C24:C31*AM517+D24:D31*AO517*$B$8*AQ517)/(1+AL517/100)^B24:B31)+C32*AM517*AP517/(1+AL517/100)^$B$6</f>
        <v/>
      </c>
      <c r="AS517">
        <f>SUMPRODUCT((K24:K26&lt;=$B$6)*(L24:L26*AN517+M24:M26*AO517*$B$8*AQ517)/(1+AL517/100)^K24:K26)+L27*AN517*AP517/(1+AL517/100)^$B$6</f>
        <v/>
      </c>
      <c r="AT517">
        <f>AS517-AR517</f>
        <v/>
      </c>
      <c r="AU517">
        <f>RAND()</f>
        <v/>
      </c>
      <c r="AV517">
        <f>RAND()</f>
        <v/>
      </c>
      <c r="AW517">
        <f>RAND()</f>
        <v/>
      </c>
      <c r="AX517">
        <f>RAND()</f>
        <v/>
      </c>
      <c r="AY517">
        <f>RAND()</f>
        <v/>
      </c>
      <c r="AZ517">
        <f>RAND()</f>
        <v/>
      </c>
    </row>
    <row r="518">
      <c r="AK518" t="n">
        <v>505</v>
      </c>
      <c r="AL518">
        <f>IFERROR(IF(AU518&lt;($AM$6-$AL$6)/($AN$6-$AL$6),$AL$6+SQRT(AU518*($AN$6-$AL$6)*($AM$6-$AL$6)),$AN$6-SQRT((1-AU518)*($AN$6-$AL$6)*($AN$6-$AM$6))),$AM$6)</f>
        <v/>
      </c>
      <c r="AM518">
        <f>IFERROR(IF(AV518&lt;($AM$7-$AL$7)/($AN$7-$AL$7),$AL$7+SQRT(AV518*($AN$7-$AL$7)*($AM$7-$AL$7)),$AN$7-SQRT((1-AV518)*($AN$7-$AL$7)*($AN$7-$AM$7))),$AM$7)</f>
        <v/>
      </c>
      <c r="AN518">
        <f>IFERROR(IF(AW518&lt;($AM$8-$AL$8)/($AN$8-$AL$8),$AL$8+SQRT(AW518*($AN$8-$AL$8)*($AM$8-$AL$8)),$AN$8-SQRT((1-AW518)*($AN$8-$AL$8)*($AN$8-$AM$8))),$AM$8)</f>
        <v/>
      </c>
      <c r="AO518">
        <f>IFERROR(IF(AX518&lt;($AM$9-$AL$9)/($AN$9-$AL$9),$AL$9+SQRT(AX518*($AN$9-$AL$9)*($AM$9-$AL$9)),$AN$9-SQRT((1-AX518)*($AN$9-$AL$9)*($AN$9-$AM$9))),$AM$9)</f>
        <v/>
      </c>
      <c r="AP518">
        <f>IFERROR(IF(AY518&lt;($AM$10-$AL$10)/($AN$10-$AL$10),$AL$10+SQRT(AY518*($AN$10-$AL$10)*($AM$10-$AL$10)),$AN$10-SQRT((1-AY518)*($AN$10-$AL$10)*($AN$10-$AM$10))),$AM$10)</f>
        <v/>
      </c>
      <c r="AQ518">
        <f>IFERROR(IF(AZ518&lt;($AM$11-$AL$11)/($AN$11-$AL$11),$AL$11+SQRT(AZ518*($AN$11-$AL$11)*($AM$11-$AL$11)),$AN$11-SQRT((1-AZ518)*($AN$11-$AL$11)*($AN$11-$AM$11))),$AM$11)</f>
        <v/>
      </c>
      <c r="AR518">
        <f>SUMPRODUCT((B24:B31&lt;=$B$6)*(C24:C31*AM518+D24:D31*AO518*$B$8*AQ518)/(1+AL518/100)^B24:B31)+C32*AM518*AP518/(1+AL518/100)^$B$6</f>
        <v/>
      </c>
      <c r="AS518">
        <f>SUMPRODUCT((K24:K26&lt;=$B$6)*(L24:L26*AN518+M24:M26*AO518*$B$8*AQ518)/(1+AL518/100)^K24:K26)+L27*AN518*AP518/(1+AL518/100)^$B$6</f>
        <v/>
      </c>
      <c r="AT518">
        <f>AS518-AR518</f>
        <v/>
      </c>
      <c r="AU518">
        <f>RAND()</f>
        <v/>
      </c>
      <c r="AV518">
        <f>RAND()</f>
        <v/>
      </c>
      <c r="AW518">
        <f>RAND()</f>
        <v/>
      </c>
      <c r="AX518">
        <f>RAND()</f>
        <v/>
      </c>
      <c r="AY518">
        <f>RAND()</f>
        <v/>
      </c>
      <c r="AZ518">
        <f>RAND()</f>
        <v/>
      </c>
    </row>
    <row r="519">
      <c r="AK519" t="n">
        <v>506</v>
      </c>
      <c r="AL519">
        <f>IFERROR(IF(AU519&lt;($AM$6-$AL$6)/($AN$6-$AL$6),$AL$6+SQRT(AU519*($AN$6-$AL$6)*($AM$6-$AL$6)),$AN$6-SQRT((1-AU519)*($AN$6-$AL$6)*($AN$6-$AM$6))),$AM$6)</f>
        <v/>
      </c>
      <c r="AM519">
        <f>IFERROR(IF(AV519&lt;($AM$7-$AL$7)/($AN$7-$AL$7),$AL$7+SQRT(AV519*($AN$7-$AL$7)*($AM$7-$AL$7)),$AN$7-SQRT((1-AV519)*($AN$7-$AL$7)*($AN$7-$AM$7))),$AM$7)</f>
        <v/>
      </c>
      <c r="AN519">
        <f>IFERROR(IF(AW519&lt;($AM$8-$AL$8)/($AN$8-$AL$8),$AL$8+SQRT(AW519*($AN$8-$AL$8)*($AM$8-$AL$8)),$AN$8-SQRT((1-AW519)*($AN$8-$AL$8)*($AN$8-$AM$8))),$AM$8)</f>
        <v/>
      </c>
      <c r="AO519">
        <f>IFERROR(IF(AX519&lt;($AM$9-$AL$9)/($AN$9-$AL$9),$AL$9+SQRT(AX519*($AN$9-$AL$9)*($AM$9-$AL$9)),$AN$9-SQRT((1-AX519)*($AN$9-$AL$9)*($AN$9-$AM$9))),$AM$9)</f>
        <v/>
      </c>
      <c r="AP519">
        <f>IFERROR(IF(AY519&lt;($AM$10-$AL$10)/($AN$10-$AL$10),$AL$10+SQRT(AY519*($AN$10-$AL$10)*($AM$10-$AL$10)),$AN$10-SQRT((1-AY519)*($AN$10-$AL$10)*($AN$10-$AM$10))),$AM$10)</f>
        <v/>
      </c>
      <c r="AQ519">
        <f>IFERROR(IF(AZ519&lt;($AM$11-$AL$11)/($AN$11-$AL$11),$AL$11+SQRT(AZ519*($AN$11-$AL$11)*($AM$11-$AL$11)),$AN$11-SQRT((1-AZ519)*($AN$11-$AL$11)*($AN$11-$AM$11))),$AM$11)</f>
        <v/>
      </c>
      <c r="AR519">
        <f>SUMPRODUCT((B24:B31&lt;=$B$6)*(C24:C31*AM519+D24:D31*AO519*$B$8*AQ519)/(1+AL519/100)^B24:B31)+C32*AM519*AP519/(1+AL519/100)^$B$6</f>
        <v/>
      </c>
      <c r="AS519">
        <f>SUMPRODUCT((K24:K26&lt;=$B$6)*(L24:L26*AN519+M24:M26*AO519*$B$8*AQ519)/(1+AL519/100)^K24:K26)+L27*AN519*AP519/(1+AL519/100)^$B$6</f>
        <v/>
      </c>
      <c r="AT519">
        <f>AS519-AR519</f>
        <v/>
      </c>
      <c r="AU519">
        <f>RAND()</f>
        <v/>
      </c>
      <c r="AV519">
        <f>RAND()</f>
        <v/>
      </c>
      <c r="AW519">
        <f>RAND()</f>
        <v/>
      </c>
      <c r="AX519">
        <f>RAND()</f>
        <v/>
      </c>
      <c r="AY519">
        <f>RAND()</f>
        <v/>
      </c>
      <c r="AZ519">
        <f>RAND()</f>
        <v/>
      </c>
    </row>
    <row r="520">
      <c r="AK520" t="n">
        <v>507</v>
      </c>
      <c r="AL520">
        <f>IFERROR(IF(AU520&lt;($AM$6-$AL$6)/($AN$6-$AL$6),$AL$6+SQRT(AU520*($AN$6-$AL$6)*($AM$6-$AL$6)),$AN$6-SQRT((1-AU520)*($AN$6-$AL$6)*($AN$6-$AM$6))),$AM$6)</f>
        <v/>
      </c>
      <c r="AM520">
        <f>IFERROR(IF(AV520&lt;($AM$7-$AL$7)/($AN$7-$AL$7),$AL$7+SQRT(AV520*($AN$7-$AL$7)*($AM$7-$AL$7)),$AN$7-SQRT((1-AV520)*($AN$7-$AL$7)*($AN$7-$AM$7))),$AM$7)</f>
        <v/>
      </c>
      <c r="AN520">
        <f>IFERROR(IF(AW520&lt;($AM$8-$AL$8)/($AN$8-$AL$8),$AL$8+SQRT(AW520*($AN$8-$AL$8)*($AM$8-$AL$8)),$AN$8-SQRT((1-AW520)*($AN$8-$AL$8)*($AN$8-$AM$8))),$AM$8)</f>
        <v/>
      </c>
      <c r="AO520">
        <f>IFERROR(IF(AX520&lt;($AM$9-$AL$9)/($AN$9-$AL$9),$AL$9+SQRT(AX520*($AN$9-$AL$9)*($AM$9-$AL$9)),$AN$9-SQRT((1-AX520)*($AN$9-$AL$9)*($AN$9-$AM$9))),$AM$9)</f>
        <v/>
      </c>
      <c r="AP520">
        <f>IFERROR(IF(AY520&lt;($AM$10-$AL$10)/($AN$10-$AL$10),$AL$10+SQRT(AY520*($AN$10-$AL$10)*($AM$10-$AL$10)),$AN$10-SQRT((1-AY520)*($AN$10-$AL$10)*($AN$10-$AM$10))),$AM$10)</f>
        <v/>
      </c>
      <c r="AQ520">
        <f>IFERROR(IF(AZ520&lt;($AM$11-$AL$11)/($AN$11-$AL$11),$AL$11+SQRT(AZ520*($AN$11-$AL$11)*($AM$11-$AL$11)),$AN$11-SQRT((1-AZ520)*($AN$11-$AL$11)*($AN$11-$AM$11))),$AM$11)</f>
        <v/>
      </c>
      <c r="AR520">
        <f>SUMPRODUCT((B24:B31&lt;=$B$6)*(C24:C31*AM520+D24:D31*AO520*$B$8*AQ520)/(1+AL520/100)^B24:B31)+C32*AM520*AP520/(1+AL520/100)^$B$6</f>
        <v/>
      </c>
      <c r="AS520">
        <f>SUMPRODUCT((K24:K26&lt;=$B$6)*(L24:L26*AN520+M24:M26*AO520*$B$8*AQ520)/(1+AL520/100)^K24:K26)+L27*AN520*AP520/(1+AL520/100)^$B$6</f>
        <v/>
      </c>
      <c r="AT520">
        <f>AS520-AR520</f>
        <v/>
      </c>
      <c r="AU520">
        <f>RAND()</f>
        <v/>
      </c>
      <c r="AV520">
        <f>RAND()</f>
        <v/>
      </c>
      <c r="AW520">
        <f>RAND()</f>
        <v/>
      </c>
      <c r="AX520">
        <f>RAND()</f>
        <v/>
      </c>
      <c r="AY520">
        <f>RAND()</f>
        <v/>
      </c>
      <c r="AZ520">
        <f>RAND()</f>
        <v/>
      </c>
    </row>
    <row r="521">
      <c r="AK521" t="n">
        <v>508</v>
      </c>
      <c r="AL521">
        <f>IFERROR(IF(AU521&lt;($AM$6-$AL$6)/($AN$6-$AL$6),$AL$6+SQRT(AU521*($AN$6-$AL$6)*($AM$6-$AL$6)),$AN$6-SQRT((1-AU521)*($AN$6-$AL$6)*($AN$6-$AM$6))),$AM$6)</f>
        <v/>
      </c>
      <c r="AM521">
        <f>IFERROR(IF(AV521&lt;($AM$7-$AL$7)/($AN$7-$AL$7),$AL$7+SQRT(AV521*($AN$7-$AL$7)*($AM$7-$AL$7)),$AN$7-SQRT((1-AV521)*($AN$7-$AL$7)*($AN$7-$AM$7))),$AM$7)</f>
        <v/>
      </c>
      <c r="AN521">
        <f>IFERROR(IF(AW521&lt;($AM$8-$AL$8)/($AN$8-$AL$8),$AL$8+SQRT(AW521*($AN$8-$AL$8)*($AM$8-$AL$8)),$AN$8-SQRT((1-AW521)*($AN$8-$AL$8)*($AN$8-$AM$8))),$AM$8)</f>
        <v/>
      </c>
      <c r="AO521">
        <f>IFERROR(IF(AX521&lt;($AM$9-$AL$9)/($AN$9-$AL$9),$AL$9+SQRT(AX521*($AN$9-$AL$9)*($AM$9-$AL$9)),$AN$9-SQRT((1-AX521)*($AN$9-$AL$9)*($AN$9-$AM$9))),$AM$9)</f>
        <v/>
      </c>
      <c r="AP521">
        <f>IFERROR(IF(AY521&lt;($AM$10-$AL$10)/($AN$10-$AL$10),$AL$10+SQRT(AY521*($AN$10-$AL$10)*($AM$10-$AL$10)),$AN$10-SQRT((1-AY521)*($AN$10-$AL$10)*($AN$10-$AM$10))),$AM$10)</f>
        <v/>
      </c>
      <c r="AQ521">
        <f>IFERROR(IF(AZ521&lt;($AM$11-$AL$11)/($AN$11-$AL$11),$AL$11+SQRT(AZ521*($AN$11-$AL$11)*($AM$11-$AL$11)),$AN$11-SQRT((1-AZ521)*($AN$11-$AL$11)*($AN$11-$AM$11))),$AM$11)</f>
        <v/>
      </c>
      <c r="AR521">
        <f>SUMPRODUCT((B24:B31&lt;=$B$6)*(C24:C31*AM521+D24:D31*AO521*$B$8*AQ521)/(1+AL521/100)^B24:B31)+C32*AM521*AP521/(1+AL521/100)^$B$6</f>
        <v/>
      </c>
      <c r="AS521">
        <f>SUMPRODUCT((K24:K26&lt;=$B$6)*(L24:L26*AN521+M24:M26*AO521*$B$8*AQ521)/(1+AL521/100)^K24:K26)+L27*AN521*AP521/(1+AL521/100)^$B$6</f>
        <v/>
      </c>
      <c r="AT521">
        <f>AS521-AR521</f>
        <v/>
      </c>
      <c r="AU521">
        <f>RAND()</f>
        <v/>
      </c>
      <c r="AV521">
        <f>RAND()</f>
        <v/>
      </c>
      <c r="AW521">
        <f>RAND()</f>
        <v/>
      </c>
      <c r="AX521">
        <f>RAND()</f>
        <v/>
      </c>
      <c r="AY521">
        <f>RAND()</f>
        <v/>
      </c>
      <c r="AZ521">
        <f>RAND()</f>
        <v/>
      </c>
    </row>
    <row r="522">
      <c r="AK522" t="n">
        <v>509</v>
      </c>
      <c r="AL522">
        <f>IFERROR(IF(AU522&lt;($AM$6-$AL$6)/($AN$6-$AL$6),$AL$6+SQRT(AU522*($AN$6-$AL$6)*($AM$6-$AL$6)),$AN$6-SQRT((1-AU522)*($AN$6-$AL$6)*($AN$6-$AM$6))),$AM$6)</f>
        <v/>
      </c>
      <c r="AM522">
        <f>IFERROR(IF(AV522&lt;($AM$7-$AL$7)/($AN$7-$AL$7),$AL$7+SQRT(AV522*($AN$7-$AL$7)*($AM$7-$AL$7)),$AN$7-SQRT((1-AV522)*($AN$7-$AL$7)*($AN$7-$AM$7))),$AM$7)</f>
        <v/>
      </c>
      <c r="AN522">
        <f>IFERROR(IF(AW522&lt;($AM$8-$AL$8)/($AN$8-$AL$8),$AL$8+SQRT(AW522*($AN$8-$AL$8)*($AM$8-$AL$8)),$AN$8-SQRT((1-AW522)*($AN$8-$AL$8)*($AN$8-$AM$8))),$AM$8)</f>
        <v/>
      </c>
      <c r="AO522">
        <f>IFERROR(IF(AX522&lt;($AM$9-$AL$9)/($AN$9-$AL$9),$AL$9+SQRT(AX522*($AN$9-$AL$9)*($AM$9-$AL$9)),$AN$9-SQRT((1-AX522)*($AN$9-$AL$9)*($AN$9-$AM$9))),$AM$9)</f>
        <v/>
      </c>
      <c r="AP522">
        <f>IFERROR(IF(AY522&lt;($AM$10-$AL$10)/($AN$10-$AL$10),$AL$10+SQRT(AY522*($AN$10-$AL$10)*($AM$10-$AL$10)),$AN$10-SQRT((1-AY522)*($AN$10-$AL$10)*($AN$10-$AM$10))),$AM$10)</f>
        <v/>
      </c>
      <c r="AQ522">
        <f>IFERROR(IF(AZ522&lt;($AM$11-$AL$11)/($AN$11-$AL$11),$AL$11+SQRT(AZ522*($AN$11-$AL$11)*($AM$11-$AL$11)),$AN$11-SQRT((1-AZ522)*($AN$11-$AL$11)*($AN$11-$AM$11))),$AM$11)</f>
        <v/>
      </c>
      <c r="AR522">
        <f>SUMPRODUCT((B24:B31&lt;=$B$6)*(C24:C31*AM522+D24:D31*AO522*$B$8*AQ522)/(1+AL522/100)^B24:B31)+C32*AM522*AP522/(1+AL522/100)^$B$6</f>
        <v/>
      </c>
      <c r="AS522">
        <f>SUMPRODUCT((K24:K26&lt;=$B$6)*(L24:L26*AN522+M24:M26*AO522*$B$8*AQ522)/(1+AL522/100)^K24:K26)+L27*AN522*AP522/(1+AL522/100)^$B$6</f>
        <v/>
      </c>
      <c r="AT522">
        <f>AS522-AR522</f>
        <v/>
      </c>
      <c r="AU522">
        <f>RAND()</f>
        <v/>
      </c>
      <c r="AV522">
        <f>RAND()</f>
        <v/>
      </c>
      <c r="AW522">
        <f>RAND()</f>
        <v/>
      </c>
      <c r="AX522">
        <f>RAND()</f>
        <v/>
      </c>
      <c r="AY522">
        <f>RAND()</f>
        <v/>
      </c>
      <c r="AZ522">
        <f>RAND()</f>
        <v/>
      </c>
    </row>
    <row r="523">
      <c r="AK523" t="n">
        <v>510</v>
      </c>
      <c r="AL523">
        <f>IFERROR(IF(AU523&lt;($AM$6-$AL$6)/($AN$6-$AL$6),$AL$6+SQRT(AU523*($AN$6-$AL$6)*($AM$6-$AL$6)),$AN$6-SQRT((1-AU523)*($AN$6-$AL$6)*($AN$6-$AM$6))),$AM$6)</f>
        <v/>
      </c>
      <c r="AM523">
        <f>IFERROR(IF(AV523&lt;($AM$7-$AL$7)/($AN$7-$AL$7),$AL$7+SQRT(AV523*($AN$7-$AL$7)*($AM$7-$AL$7)),$AN$7-SQRT((1-AV523)*($AN$7-$AL$7)*($AN$7-$AM$7))),$AM$7)</f>
        <v/>
      </c>
      <c r="AN523">
        <f>IFERROR(IF(AW523&lt;($AM$8-$AL$8)/($AN$8-$AL$8),$AL$8+SQRT(AW523*($AN$8-$AL$8)*($AM$8-$AL$8)),$AN$8-SQRT((1-AW523)*($AN$8-$AL$8)*($AN$8-$AM$8))),$AM$8)</f>
        <v/>
      </c>
      <c r="AO523">
        <f>IFERROR(IF(AX523&lt;($AM$9-$AL$9)/($AN$9-$AL$9),$AL$9+SQRT(AX523*($AN$9-$AL$9)*($AM$9-$AL$9)),$AN$9-SQRT((1-AX523)*($AN$9-$AL$9)*($AN$9-$AM$9))),$AM$9)</f>
        <v/>
      </c>
      <c r="AP523">
        <f>IFERROR(IF(AY523&lt;($AM$10-$AL$10)/($AN$10-$AL$10),$AL$10+SQRT(AY523*($AN$10-$AL$10)*($AM$10-$AL$10)),$AN$10-SQRT((1-AY523)*($AN$10-$AL$10)*($AN$10-$AM$10))),$AM$10)</f>
        <v/>
      </c>
      <c r="AQ523">
        <f>IFERROR(IF(AZ523&lt;($AM$11-$AL$11)/($AN$11-$AL$11),$AL$11+SQRT(AZ523*($AN$11-$AL$11)*($AM$11-$AL$11)),$AN$11-SQRT((1-AZ523)*($AN$11-$AL$11)*($AN$11-$AM$11))),$AM$11)</f>
        <v/>
      </c>
      <c r="AR523">
        <f>SUMPRODUCT((B24:B31&lt;=$B$6)*(C24:C31*AM523+D24:D31*AO523*$B$8*AQ523)/(1+AL523/100)^B24:B31)+C32*AM523*AP523/(1+AL523/100)^$B$6</f>
        <v/>
      </c>
      <c r="AS523">
        <f>SUMPRODUCT((K24:K26&lt;=$B$6)*(L24:L26*AN523+M24:M26*AO523*$B$8*AQ523)/(1+AL523/100)^K24:K26)+L27*AN523*AP523/(1+AL523/100)^$B$6</f>
        <v/>
      </c>
      <c r="AT523">
        <f>AS523-AR523</f>
        <v/>
      </c>
      <c r="AU523">
        <f>RAND()</f>
        <v/>
      </c>
      <c r="AV523">
        <f>RAND()</f>
        <v/>
      </c>
      <c r="AW523">
        <f>RAND()</f>
        <v/>
      </c>
      <c r="AX523">
        <f>RAND()</f>
        <v/>
      </c>
      <c r="AY523">
        <f>RAND()</f>
        <v/>
      </c>
      <c r="AZ523">
        <f>RAND()</f>
        <v/>
      </c>
    </row>
    <row r="524">
      <c r="AK524" t="n">
        <v>511</v>
      </c>
      <c r="AL524">
        <f>IFERROR(IF(AU524&lt;($AM$6-$AL$6)/($AN$6-$AL$6),$AL$6+SQRT(AU524*($AN$6-$AL$6)*($AM$6-$AL$6)),$AN$6-SQRT((1-AU524)*($AN$6-$AL$6)*($AN$6-$AM$6))),$AM$6)</f>
        <v/>
      </c>
      <c r="AM524">
        <f>IFERROR(IF(AV524&lt;($AM$7-$AL$7)/($AN$7-$AL$7),$AL$7+SQRT(AV524*($AN$7-$AL$7)*($AM$7-$AL$7)),$AN$7-SQRT((1-AV524)*($AN$7-$AL$7)*($AN$7-$AM$7))),$AM$7)</f>
        <v/>
      </c>
      <c r="AN524">
        <f>IFERROR(IF(AW524&lt;($AM$8-$AL$8)/($AN$8-$AL$8),$AL$8+SQRT(AW524*($AN$8-$AL$8)*($AM$8-$AL$8)),$AN$8-SQRT((1-AW524)*($AN$8-$AL$8)*($AN$8-$AM$8))),$AM$8)</f>
        <v/>
      </c>
      <c r="AO524">
        <f>IFERROR(IF(AX524&lt;($AM$9-$AL$9)/($AN$9-$AL$9),$AL$9+SQRT(AX524*($AN$9-$AL$9)*($AM$9-$AL$9)),$AN$9-SQRT((1-AX524)*($AN$9-$AL$9)*($AN$9-$AM$9))),$AM$9)</f>
        <v/>
      </c>
      <c r="AP524">
        <f>IFERROR(IF(AY524&lt;($AM$10-$AL$10)/($AN$10-$AL$10),$AL$10+SQRT(AY524*($AN$10-$AL$10)*($AM$10-$AL$10)),$AN$10-SQRT((1-AY524)*($AN$10-$AL$10)*($AN$10-$AM$10))),$AM$10)</f>
        <v/>
      </c>
      <c r="AQ524">
        <f>IFERROR(IF(AZ524&lt;($AM$11-$AL$11)/($AN$11-$AL$11),$AL$11+SQRT(AZ524*($AN$11-$AL$11)*($AM$11-$AL$11)),$AN$11-SQRT((1-AZ524)*($AN$11-$AL$11)*($AN$11-$AM$11))),$AM$11)</f>
        <v/>
      </c>
      <c r="AR524">
        <f>SUMPRODUCT((B24:B31&lt;=$B$6)*(C24:C31*AM524+D24:D31*AO524*$B$8*AQ524)/(1+AL524/100)^B24:B31)+C32*AM524*AP524/(1+AL524/100)^$B$6</f>
        <v/>
      </c>
      <c r="AS524">
        <f>SUMPRODUCT((K24:K26&lt;=$B$6)*(L24:L26*AN524+M24:M26*AO524*$B$8*AQ524)/(1+AL524/100)^K24:K26)+L27*AN524*AP524/(1+AL524/100)^$B$6</f>
        <v/>
      </c>
      <c r="AT524">
        <f>AS524-AR524</f>
        <v/>
      </c>
      <c r="AU524">
        <f>RAND()</f>
        <v/>
      </c>
      <c r="AV524">
        <f>RAND()</f>
        <v/>
      </c>
      <c r="AW524">
        <f>RAND()</f>
        <v/>
      </c>
      <c r="AX524">
        <f>RAND()</f>
        <v/>
      </c>
      <c r="AY524">
        <f>RAND()</f>
        <v/>
      </c>
      <c r="AZ524">
        <f>RAND()</f>
        <v/>
      </c>
    </row>
    <row r="525">
      <c r="AK525" t="n">
        <v>512</v>
      </c>
      <c r="AL525">
        <f>IFERROR(IF(AU525&lt;($AM$6-$AL$6)/($AN$6-$AL$6),$AL$6+SQRT(AU525*($AN$6-$AL$6)*($AM$6-$AL$6)),$AN$6-SQRT((1-AU525)*($AN$6-$AL$6)*($AN$6-$AM$6))),$AM$6)</f>
        <v/>
      </c>
      <c r="AM525">
        <f>IFERROR(IF(AV525&lt;($AM$7-$AL$7)/($AN$7-$AL$7),$AL$7+SQRT(AV525*($AN$7-$AL$7)*($AM$7-$AL$7)),$AN$7-SQRT((1-AV525)*($AN$7-$AL$7)*($AN$7-$AM$7))),$AM$7)</f>
        <v/>
      </c>
      <c r="AN525">
        <f>IFERROR(IF(AW525&lt;($AM$8-$AL$8)/($AN$8-$AL$8),$AL$8+SQRT(AW525*($AN$8-$AL$8)*($AM$8-$AL$8)),$AN$8-SQRT((1-AW525)*($AN$8-$AL$8)*($AN$8-$AM$8))),$AM$8)</f>
        <v/>
      </c>
      <c r="AO525">
        <f>IFERROR(IF(AX525&lt;($AM$9-$AL$9)/($AN$9-$AL$9),$AL$9+SQRT(AX525*($AN$9-$AL$9)*($AM$9-$AL$9)),$AN$9-SQRT((1-AX525)*($AN$9-$AL$9)*($AN$9-$AM$9))),$AM$9)</f>
        <v/>
      </c>
      <c r="AP525">
        <f>IFERROR(IF(AY525&lt;($AM$10-$AL$10)/($AN$10-$AL$10),$AL$10+SQRT(AY525*($AN$10-$AL$10)*($AM$10-$AL$10)),$AN$10-SQRT((1-AY525)*($AN$10-$AL$10)*($AN$10-$AM$10))),$AM$10)</f>
        <v/>
      </c>
      <c r="AQ525">
        <f>IFERROR(IF(AZ525&lt;($AM$11-$AL$11)/($AN$11-$AL$11),$AL$11+SQRT(AZ525*($AN$11-$AL$11)*($AM$11-$AL$11)),$AN$11-SQRT((1-AZ525)*($AN$11-$AL$11)*($AN$11-$AM$11))),$AM$11)</f>
        <v/>
      </c>
      <c r="AR525">
        <f>SUMPRODUCT((B24:B31&lt;=$B$6)*(C24:C31*AM525+D24:D31*AO525*$B$8*AQ525)/(1+AL525/100)^B24:B31)+C32*AM525*AP525/(1+AL525/100)^$B$6</f>
        <v/>
      </c>
      <c r="AS525">
        <f>SUMPRODUCT((K24:K26&lt;=$B$6)*(L24:L26*AN525+M24:M26*AO525*$B$8*AQ525)/(1+AL525/100)^K24:K26)+L27*AN525*AP525/(1+AL525/100)^$B$6</f>
        <v/>
      </c>
      <c r="AT525">
        <f>AS525-AR525</f>
        <v/>
      </c>
      <c r="AU525">
        <f>RAND()</f>
        <v/>
      </c>
      <c r="AV525">
        <f>RAND()</f>
        <v/>
      </c>
      <c r="AW525">
        <f>RAND()</f>
        <v/>
      </c>
      <c r="AX525">
        <f>RAND()</f>
        <v/>
      </c>
      <c r="AY525">
        <f>RAND()</f>
        <v/>
      </c>
      <c r="AZ525">
        <f>RAND()</f>
        <v/>
      </c>
    </row>
    <row r="526">
      <c r="AK526" t="n">
        <v>513</v>
      </c>
      <c r="AL526">
        <f>IFERROR(IF(AU526&lt;($AM$6-$AL$6)/($AN$6-$AL$6),$AL$6+SQRT(AU526*($AN$6-$AL$6)*($AM$6-$AL$6)),$AN$6-SQRT((1-AU526)*($AN$6-$AL$6)*($AN$6-$AM$6))),$AM$6)</f>
        <v/>
      </c>
      <c r="AM526">
        <f>IFERROR(IF(AV526&lt;($AM$7-$AL$7)/($AN$7-$AL$7),$AL$7+SQRT(AV526*($AN$7-$AL$7)*($AM$7-$AL$7)),$AN$7-SQRT((1-AV526)*($AN$7-$AL$7)*($AN$7-$AM$7))),$AM$7)</f>
        <v/>
      </c>
      <c r="AN526">
        <f>IFERROR(IF(AW526&lt;($AM$8-$AL$8)/($AN$8-$AL$8),$AL$8+SQRT(AW526*($AN$8-$AL$8)*($AM$8-$AL$8)),$AN$8-SQRT((1-AW526)*($AN$8-$AL$8)*($AN$8-$AM$8))),$AM$8)</f>
        <v/>
      </c>
      <c r="AO526">
        <f>IFERROR(IF(AX526&lt;($AM$9-$AL$9)/($AN$9-$AL$9),$AL$9+SQRT(AX526*($AN$9-$AL$9)*($AM$9-$AL$9)),$AN$9-SQRT((1-AX526)*($AN$9-$AL$9)*($AN$9-$AM$9))),$AM$9)</f>
        <v/>
      </c>
      <c r="AP526">
        <f>IFERROR(IF(AY526&lt;($AM$10-$AL$10)/($AN$10-$AL$10),$AL$10+SQRT(AY526*($AN$10-$AL$10)*($AM$10-$AL$10)),$AN$10-SQRT((1-AY526)*($AN$10-$AL$10)*($AN$10-$AM$10))),$AM$10)</f>
        <v/>
      </c>
      <c r="AQ526">
        <f>IFERROR(IF(AZ526&lt;($AM$11-$AL$11)/($AN$11-$AL$11),$AL$11+SQRT(AZ526*($AN$11-$AL$11)*($AM$11-$AL$11)),$AN$11-SQRT((1-AZ526)*($AN$11-$AL$11)*($AN$11-$AM$11))),$AM$11)</f>
        <v/>
      </c>
      <c r="AR526">
        <f>SUMPRODUCT((B24:B31&lt;=$B$6)*(C24:C31*AM526+D24:D31*AO526*$B$8*AQ526)/(1+AL526/100)^B24:B31)+C32*AM526*AP526/(1+AL526/100)^$B$6</f>
        <v/>
      </c>
      <c r="AS526">
        <f>SUMPRODUCT((K24:K26&lt;=$B$6)*(L24:L26*AN526+M24:M26*AO526*$B$8*AQ526)/(1+AL526/100)^K24:K26)+L27*AN526*AP526/(1+AL526/100)^$B$6</f>
        <v/>
      </c>
      <c r="AT526">
        <f>AS526-AR526</f>
        <v/>
      </c>
      <c r="AU526">
        <f>RAND()</f>
        <v/>
      </c>
      <c r="AV526">
        <f>RAND()</f>
        <v/>
      </c>
      <c r="AW526">
        <f>RAND()</f>
        <v/>
      </c>
      <c r="AX526">
        <f>RAND()</f>
        <v/>
      </c>
      <c r="AY526">
        <f>RAND()</f>
        <v/>
      </c>
      <c r="AZ526">
        <f>RAND()</f>
        <v/>
      </c>
    </row>
    <row r="527">
      <c r="AK527" t="n">
        <v>514</v>
      </c>
      <c r="AL527">
        <f>IFERROR(IF(AU527&lt;($AM$6-$AL$6)/($AN$6-$AL$6),$AL$6+SQRT(AU527*($AN$6-$AL$6)*($AM$6-$AL$6)),$AN$6-SQRT((1-AU527)*($AN$6-$AL$6)*($AN$6-$AM$6))),$AM$6)</f>
        <v/>
      </c>
      <c r="AM527">
        <f>IFERROR(IF(AV527&lt;($AM$7-$AL$7)/($AN$7-$AL$7),$AL$7+SQRT(AV527*($AN$7-$AL$7)*($AM$7-$AL$7)),$AN$7-SQRT((1-AV527)*($AN$7-$AL$7)*($AN$7-$AM$7))),$AM$7)</f>
        <v/>
      </c>
      <c r="AN527">
        <f>IFERROR(IF(AW527&lt;($AM$8-$AL$8)/($AN$8-$AL$8),$AL$8+SQRT(AW527*($AN$8-$AL$8)*($AM$8-$AL$8)),$AN$8-SQRT((1-AW527)*($AN$8-$AL$8)*($AN$8-$AM$8))),$AM$8)</f>
        <v/>
      </c>
      <c r="AO527">
        <f>IFERROR(IF(AX527&lt;($AM$9-$AL$9)/($AN$9-$AL$9),$AL$9+SQRT(AX527*($AN$9-$AL$9)*($AM$9-$AL$9)),$AN$9-SQRT((1-AX527)*($AN$9-$AL$9)*($AN$9-$AM$9))),$AM$9)</f>
        <v/>
      </c>
      <c r="AP527">
        <f>IFERROR(IF(AY527&lt;($AM$10-$AL$10)/($AN$10-$AL$10),$AL$10+SQRT(AY527*($AN$10-$AL$10)*($AM$10-$AL$10)),$AN$10-SQRT((1-AY527)*($AN$10-$AL$10)*($AN$10-$AM$10))),$AM$10)</f>
        <v/>
      </c>
      <c r="AQ527">
        <f>IFERROR(IF(AZ527&lt;($AM$11-$AL$11)/($AN$11-$AL$11),$AL$11+SQRT(AZ527*($AN$11-$AL$11)*($AM$11-$AL$11)),$AN$11-SQRT((1-AZ527)*($AN$11-$AL$11)*($AN$11-$AM$11))),$AM$11)</f>
        <v/>
      </c>
      <c r="AR527">
        <f>SUMPRODUCT((B24:B31&lt;=$B$6)*(C24:C31*AM527+D24:D31*AO527*$B$8*AQ527)/(1+AL527/100)^B24:B31)+C32*AM527*AP527/(1+AL527/100)^$B$6</f>
        <v/>
      </c>
      <c r="AS527">
        <f>SUMPRODUCT((K24:K26&lt;=$B$6)*(L24:L26*AN527+M24:M26*AO527*$B$8*AQ527)/(1+AL527/100)^K24:K26)+L27*AN527*AP527/(1+AL527/100)^$B$6</f>
        <v/>
      </c>
      <c r="AT527">
        <f>AS527-AR527</f>
        <v/>
      </c>
      <c r="AU527">
        <f>RAND()</f>
        <v/>
      </c>
      <c r="AV527">
        <f>RAND()</f>
        <v/>
      </c>
      <c r="AW527">
        <f>RAND()</f>
        <v/>
      </c>
      <c r="AX527">
        <f>RAND()</f>
        <v/>
      </c>
      <c r="AY527">
        <f>RAND()</f>
        <v/>
      </c>
      <c r="AZ527">
        <f>RAND()</f>
        <v/>
      </c>
    </row>
    <row r="528">
      <c r="AK528" t="n">
        <v>515</v>
      </c>
      <c r="AL528">
        <f>IFERROR(IF(AU528&lt;($AM$6-$AL$6)/($AN$6-$AL$6),$AL$6+SQRT(AU528*($AN$6-$AL$6)*($AM$6-$AL$6)),$AN$6-SQRT((1-AU528)*($AN$6-$AL$6)*($AN$6-$AM$6))),$AM$6)</f>
        <v/>
      </c>
      <c r="AM528">
        <f>IFERROR(IF(AV528&lt;($AM$7-$AL$7)/($AN$7-$AL$7),$AL$7+SQRT(AV528*($AN$7-$AL$7)*($AM$7-$AL$7)),$AN$7-SQRT((1-AV528)*($AN$7-$AL$7)*($AN$7-$AM$7))),$AM$7)</f>
        <v/>
      </c>
      <c r="AN528">
        <f>IFERROR(IF(AW528&lt;($AM$8-$AL$8)/($AN$8-$AL$8),$AL$8+SQRT(AW528*($AN$8-$AL$8)*($AM$8-$AL$8)),$AN$8-SQRT((1-AW528)*($AN$8-$AL$8)*($AN$8-$AM$8))),$AM$8)</f>
        <v/>
      </c>
      <c r="AO528">
        <f>IFERROR(IF(AX528&lt;($AM$9-$AL$9)/($AN$9-$AL$9),$AL$9+SQRT(AX528*($AN$9-$AL$9)*($AM$9-$AL$9)),$AN$9-SQRT((1-AX528)*($AN$9-$AL$9)*($AN$9-$AM$9))),$AM$9)</f>
        <v/>
      </c>
      <c r="AP528">
        <f>IFERROR(IF(AY528&lt;($AM$10-$AL$10)/($AN$10-$AL$10),$AL$10+SQRT(AY528*($AN$10-$AL$10)*($AM$10-$AL$10)),$AN$10-SQRT((1-AY528)*($AN$10-$AL$10)*($AN$10-$AM$10))),$AM$10)</f>
        <v/>
      </c>
      <c r="AQ528">
        <f>IFERROR(IF(AZ528&lt;($AM$11-$AL$11)/($AN$11-$AL$11),$AL$11+SQRT(AZ528*($AN$11-$AL$11)*($AM$11-$AL$11)),$AN$11-SQRT((1-AZ528)*($AN$11-$AL$11)*($AN$11-$AM$11))),$AM$11)</f>
        <v/>
      </c>
      <c r="AR528">
        <f>SUMPRODUCT((B24:B31&lt;=$B$6)*(C24:C31*AM528+D24:D31*AO528*$B$8*AQ528)/(1+AL528/100)^B24:B31)+C32*AM528*AP528/(1+AL528/100)^$B$6</f>
        <v/>
      </c>
      <c r="AS528">
        <f>SUMPRODUCT((K24:K26&lt;=$B$6)*(L24:L26*AN528+M24:M26*AO528*$B$8*AQ528)/(1+AL528/100)^K24:K26)+L27*AN528*AP528/(1+AL528/100)^$B$6</f>
        <v/>
      </c>
      <c r="AT528">
        <f>AS528-AR528</f>
        <v/>
      </c>
      <c r="AU528">
        <f>RAND()</f>
        <v/>
      </c>
      <c r="AV528">
        <f>RAND()</f>
        <v/>
      </c>
      <c r="AW528">
        <f>RAND()</f>
        <v/>
      </c>
      <c r="AX528">
        <f>RAND()</f>
        <v/>
      </c>
      <c r="AY528">
        <f>RAND()</f>
        <v/>
      </c>
      <c r="AZ528">
        <f>RAND()</f>
        <v/>
      </c>
    </row>
    <row r="529">
      <c r="AK529" t="n">
        <v>516</v>
      </c>
      <c r="AL529">
        <f>IFERROR(IF(AU529&lt;($AM$6-$AL$6)/($AN$6-$AL$6),$AL$6+SQRT(AU529*($AN$6-$AL$6)*($AM$6-$AL$6)),$AN$6-SQRT((1-AU529)*($AN$6-$AL$6)*($AN$6-$AM$6))),$AM$6)</f>
        <v/>
      </c>
      <c r="AM529">
        <f>IFERROR(IF(AV529&lt;($AM$7-$AL$7)/($AN$7-$AL$7),$AL$7+SQRT(AV529*($AN$7-$AL$7)*($AM$7-$AL$7)),$AN$7-SQRT((1-AV529)*($AN$7-$AL$7)*($AN$7-$AM$7))),$AM$7)</f>
        <v/>
      </c>
      <c r="AN529">
        <f>IFERROR(IF(AW529&lt;($AM$8-$AL$8)/($AN$8-$AL$8),$AL$8+SQRT(AW529*($AN$8-$AL$8)*($AM$8-$AL$8)),$AN$8-SQRT((1-AW529)*($AN$8-$AL$8)*($AN$8-$AM$8))),$AM$8)</f>
        <v/>
      </c>
      <c r="AO529">
        <f>IFERROR(IF(AX529&lt;($AM$9-$AL$9)/($AN$9-$AL$9),$AL$9+SQRT(AX529*($AN$9-$AL$9)*($AM$9-$AL$9)),$AN$9-SQRT((1-AX529)*($AN$9-$AL$9)*($AN$9-$AM$9))),$AM$9)</f>
        <v/>
      </c>
      <c r="AP529">
        <f>IFERROR(IF(AY529&lt;($AM$10-$AL$10)/($AN$10-$AL$10),$AL$10+SQRT(AY529*($AN$10-$AL$10)*($AM$10-$AL$10)),$AN$10-SQRT((1-AY529)*($AN$10-$AL$10)*($AN$10-$AM$10))),$AM$10)</f>
        <v/>
      </c>
      <c r="AQ529">
        <f>IFERROR(IF(AZ529&lt;($AM$11-$AL$11)/($AN$11-$AL$11),$AL$11+SQRT(AZ529*($AN$11-$AL$11)*($AM$11-$AL$11)),$AN$11-SQRT((1-AZ529)*($AN$11-$AL$11)*($AN$11-$AM$11))),$AM$11)</f>
        <v/>
      </c>
      <c r="AR529">
        <f>SUMPRODUCT((B24:B31&lt;=$B$6)*(C24:C31*AM529+D24:D31*AO529*$B$8*AQ529)/(1+AL529/100)^B24:B31)+C32*AM529*AP529/(1+AL529/100)^$B$6</f>
        <v/>
      </c>
      <c r="AS529">
        <f>SUMPRODUCT((K24:K26&lt;=$B$6)*(L24:L26*AN529+M24:M26*AO529*$B$8*AQ529)/(1+AL529/100)^K24:K26)+L27*AN529*AP529/(1+AL529/100)^$B$6</f>
        <v/>
      </c>
      <c r="AT529">
        <f>AS529-AR529</f>
        <v/>
      </c>
      <c r="AU529">
        <f>RAND()</f>
        <v/>
      </c>
      <c r="AV529">
        <f>RAND()</f>
        <v/>
      </c>
      <c r="AW529">
        <f>RAND()</f>
        <v/>
      </c>
      <c r="AX529">
        <f>RAND()</f>
        <v/>
      </c>
      <c r="AY529">
        <f>RAND()</f>
        <v/>
      </c>
      <c r="AZ529">
        <f>RAND()</f>
        <v/>
      </c>
    </row>
    <row r="530">
      <c r="AK530" t="n">
        <v>517</v>
      </c>
      <c r="AL530">
        <f>IFERROR(IF(AU530&lt;($AM$6-$AL$6)/($AN$6-$AL$6),$AL$6+SQRT(AU530*($AN$6-$AL$6)*($AM$6-$AL$6)),$AN$6-SQRT((1-AU530)*($AN$6-$AL$6)*($AN$6-$AM$6))),$AM$6)</f>
        <v/>
      </c>
      <c r="AM530">
        <f>IFERROR(IF(AV530&lt;($AM$7-$AL$7)/($AN$7-$AL$7),$AL$7+SQRT(AV530*($AN$7-$AL$7)*($AM$7-$AL$7)),$AN$7-SQRT((1-AV530)*($AN$7-$AL$7)*($AN$7-$AM$7))),$AM$7)</f>
        <v/>
      </c>
      <c r="AN530">
        <f>IFERROR(IF(AW530&lt;($AM$8-$AL$8)/($AN$8-$AL$8),$AL$8+SQRT(AW530*($AN$8-$AL$8)*($AM$8-$AL$8)),$AN$8-SQRT((1-AW530)*($AN$8-$AL$8)*($AN$8-$AM$8))),$AM$8)</f>
        <v/>
      </c>
      <c r="AO530">
        <f>IFERROR(IF(AX530&lt;($AM$9-$AL$9)/($AN$9-$AL$9),$AL$9+SQRT(AX530*($AN$9-$AL$9)*($AM$9-$AL$9)),$AN$9-SQRT((1-AX530)*($AN$9-$AL$9)*($AN$9-$AM$9))),$AM$9)</f>
        <v/>
      </c>
      <c r="AP530">
        <f>IFERROR(IF(AY530&lt;($AM$10-$AL$10)/($AN$10-$AL$10),$AL$10+SQRT(AY530*($AN$10-$AL$10)*($AM$10-$AL$10)),$AN$10-SQRT((1-AY530)*($AN$10-$AL$10)*($AN$10-$AM$10))),$AM$10)</f>
        <v/>
      </c>
      <c r="AQ530">
        <f>IFERROR(IF(AZ530&lt;($AM$11-$AL$11)/($AN$11-$AL$11),$AL$11+SQRT(AZ530*($AN$11-$AL$11)*($AM$11-$AL$11)),$AN$11-SQRT((1-AZ530)*($AN$11-$AL$11)*($AN$11-$AM$11))),$AM$11)</f>
        <v/>
      </c>
      <c r="AR530">
        <f>SUMPRODUCT((B24:B31&lt;=$B$6)*(C24:C31*AM530+D24:D31*AO530*$B$8*AQ530)/(1+AL530/100)^B24:B31)+C32*AM530*AP530/(1+AL530/100)^$B$6</f>
        <v/>
      </c>
      <c r="AS530">
        <f>SUMPRODUCT((K24:K26&lt;=$B$6)*(L24:L26*AN530+M24:M26*AO530*$B$8*AQ530)/(1+AL530/100)^K24:K26)+L27*AN530*AP530/(1+AL530/100)^$B$6</f>
        <v/>
      </c>
      <c r="AT530">
        <f>AS530-AR530</f>
        <v/>
      </c>
      <c r="AU530">
        <f>RAND()</f>
        <v/>
      </c>
      <c r="AV530">
        <f>RAND()</f>
        <v/>
      </c>
      <c r="AW530">
        <f>RAND()</f>
        <v/>
      </c>
      <c r="AX530">
        <f>RAND()</f>
        <v/>
      </c>
      <c r="AY530">
        <f>RAND()</f>
        <v/>
      </c>
      <c r="AZ530">
        <f>RAND()</f>
        <v/>
      </c>
    </row>
    <row r="531">
      <c r="AK531" t="n">
        <v>518</v>
      </c>
      <c r="AL531">
        <f>IFERROR(IF(AU531&lt;($AM$6-$AL$6)/($AN$6-$AL$6),$AL$6+SQRT(AU531*($AN$6-$AL$6)*($AM$6-$AL$6)),$AN$6-SQRT((1-AU531)*($AN$6-$AL$6)*($AN$6-$AM$6))),$AM$6)</f>
        <v/>
      </c>
      <c r="AM531">
        <f>IFERROR(IF(AV531&lt;($AM$7-$AL$7)/($AN$7-$AL$7),$AL$7+SQRT(AV531*($AN$7-$AL$7)*($AM$7-$AL$7)),$AN$7-SQRT((1-AV531)*($AN$7-$AL$7)*($AN$7-$AM$7))),$AM$7)</f>
        <v/>
      </c>
      <c r="AN531">
        <f>IFERROR(IF(AW531&lt;($AM$8-$AL$8)/($AN$8-$AL$8),$AL$8+SQRT(AW531*($AN$8-$AL$8)*($AM$8-$AL$8)),$AN$8-SQRT((1-AW531)*($AN$8-$AL$8)*($AN$8-$AM$8))),$AM$8)</f>
        <v/>
      </c>
      <c r="AO531">
        <f>IFERROR(IF(AX531&lt;($AM$9-$AL$9)/($AN$9-$AL$9),$AL$9+SQRT(AX531*($AN$9-$AL$9)*($AM$9-$AL$9)),$AN$9-SQRT((1-AX531)*($AN$9-$AL$9)*($AN$9-$AM$9))),$AM$9)</f>
        <v/>
      </c>
      <c r="AP531">
        <f>IFERROR(IF(AY531&lt;($AM$10-$AL$10)/($AN$10-$AL$10),$AL$10+SQRT(AY531*($AN$10-$AL$10)*($AM$10-$AL$10)),$AN$10-SQRT((1-AY531)*($AN$10-$AL$10)*($AN$10-$AM$10))),$AM$10)</f>
        <v/>
      </c>
      <c r="AQ531">
        <f>IFERROR(IF(AZ531&lt;($AM$11-$AL$11)/($AN$11-$AL$11),$AL$11+SQRT(AZ531*($AN$11-$AL$11)*($AM$11-$AL$11)),$AN$11-SQRT((1-AZ531)*($AN$11-$AL$11)*($AN$11-$AM$11))),$AM$11)</f>
        <v/>
      </c>
      <c r="AR531">
        <f>SUMPRODUCT((B24:B31&lt;=$B$6)*(C24:C31*AM531+D24:D31*AO531*$B$8*AQ531)/(1+AL531/100)^B24:B31)+C32*AM531*AP531/(1+AL531/100)^$B$6</f>
        <v/>
      </c>
      <c r="AS531">
        <f>SUMPRODUCT((K24:K26&lt;=$B$6)*(L24:L26*AN531+M24:M26*AO531*$B$8*AQ531)/(1+AL531/100)^K24:K26)+L27*AN531*AP531/(1+AL531/100)^$B$6</f>
        <v/>
      </c>
      <c r="AT531">
        <f>AS531-AR531</f>
        <v/>
      </c>
      <c r="AU531">
        <f>RAND()</f>
        <v/>
      </c>
      <c r="AV531">
        <f>RAND()</f>
        <v/>
      </c>
      <c r="AW531">
        <f>RAND()</f>
        <v/>
      </c>
      <c r="AX531">
        <f>RAND()</f>
        <v/>
      </c>
      <c r="AY531">
        <f>RAND()</f>
        <v/>
      </c>
      <c r="AZ531">
        <f>RAND()</f>
        <v/>
      </c>
    </row>
    <row r="532">
      <c r="AK532" t="n">
        <v>519</v>
      </c>
      <c r="AL532">
        <f>IFERROR(IF(AU532&lt;($AM$6-$AL$6)/($AN$6-$AL$6),$AL$6+SQRT(AU532*($AN$6-$AL$6)*($AM$6-$AL$6)),$AN$6-SQRT((1-AU532)*($AN$6-$AL$6)*($AN$6-$AM$6))),$AM$6)</f>
        <v/>
      </c>
      <c r="AM532">
        <f>IFERROR(IF(AV532&lt;($AM$7-$AL$7)/($AN$7-$AL$7),$AL$7+SQRT(AV532*($AN$7-$AL$7)*($AM$7-$AL$7)),$AN$7-SQRT((1-AV532)*($AN$7-$AL$7)*($AN$7-$AM$7))),$AM$7)</f>
        <v/>
      </c>
      <c r="AN532">
        <f>IFERROR(IF(AW532&lt;($AM$8-$AL$8)/($AN$8-$AL$8),$AL$8+SQRT(AW532*($AN$8-$AL$8)*($AM$8-$AL$8)),$AN$8-SQRT((1-AW532)*($AN$8-$AL$8)*($AN$8-$AM$8))),$AM$8)</f>
        <v/>
      </c>
      <c r="AO532">
        <f>IFERROR(IF(AX532&lt;($AM$9-$AL$9)/($AN$9-$AL$9),$AL$9+SQRT(AX532*($AN$9-$AL$9)*($AM$9-$AL$9)),$AN$9-SQRT((1-AX532)*($AN$9-$AL$9)*($AN$9-$AM$9))),$AM$9)</f>
        <v/>
      </c>
      <c r="AP532">
        <f>IFERROR(IF(AY532&lt;($AM$10-$AL$10)/($AN$10-$AL$10),$AL$10+SQRT(AY532*($AN$10-$AL$10)*($AM$10-$AL$10)),$AN$10-SQRT((1-AY532)*($AN$10-$AL$10)*($AN$10-$AM$10))),$AM$10)</f>
        <v/>
      </c>
      <c r="AQ532">
        <f>IFERROR(IF(AZ532&lt;($AM$11-$AL$11)/($AN$11-$AL$11),$AL$11+SQRT(AZ532*($AN$11-$AL$11)*($AM$11-$AL$11)),$AN$11-SQRT((1-AZ532)*($AN$11-$AL$11)*($AN$11-$AM$11))),$AM$11)</f>
        <v/>
      </c>
      <c r="AR532">
        <f>SUMPRODUCT((B24:B31&lt;=$B$6)*(C24:C31*AM532+D24:D31*AO532*$B$8*AQ532)/(1+AL532/100)^B24:B31)+C32*AM532*AP532/(1+AL532/100)^$B$6</f>
        <v/>
      </c>
      <c r="AS532">
        <f>SUMPRODUCT((K24:K26&lt;=$B$6)*(L24:L26*AN532+M24:M26*AO532*$B$8*AQ532)/(1+AL532/100)^K24:K26)+L27*AN532*AP532/(1+AL532/100)^$B$6</f>
        <v/>
      </c>
      <c r="AT532">
        <f>AS532-AR532</f>
        <v/>
      </c>
      <c r="AU532">
        <f>RAND()</f>
        <v/>
      </c>
      <c r="AV532">
        <f>RAND()</f>
        <v/>
      </c>
      <c r="AW532">
        <f>RAND()</f>
        <v/>
      </c>
      <c r="AX532">
        <f>RAND()</f>
        <v/>
      </c>
      <c r="AY532">
        <f>RAND()</f>
        <v/>
      </c>
      <c r="AZ532">
        <f>RAND()</f>
        <v/>
      </c>
    </row>
    <row r="533">
      <c r="AK533" t="n">
        <v>520</v>
      </c>
      <c r="AL533">
        <f>IFERROR(IF(AU533&lt;($AM$6-$AL$6)/($AN$6-$AL$6),$AL$6+SQRT(AU533*($AN$6-$AL$6)*($AM$6-$AL$6)),$AN$6-SQRT((1-AU533)*($AN$6-$AL$6)*($AN$6-$AM$6))),$AM$6)</f>
        <v/>
      </c>
      <c r="AM533">
        <f>IFERROR(IF(AV533&lt;($AM$7-$AL$7)/($AN$7-$AL$7),$AL$7+SQRT(AV533*($AN$7-$AL$7)*($AM$7-$AL$7)),$AN$7-SQRT((1-AV533)*($AN$7-$AL$7)*($AN$7-$AM$7))),$AM$7)</f>
        <v/>
      </c>
      <c r="AN533">
        <f>IFERROR(IF(AW533&lt;($AM$8-$AL$8)/($AN$8-$AL$8),$AL$8+SQRT(AW533*($AN$8-$AL$8)*($AM$8-$AL$8)),$AN$8-SQRT((1-AW533)*($AN$8-$AL$8)*($AN$8-$AM$8))),$AM$8)</f>
        <v/>
      </c>
      <c r="AO533">
        <f>IFERROR(IF(AX533&lt;($AM$9-$AL$9)/($AN$9-$AL$9),$AL$9+SQRT(AX533*($AN$9-$AL$9)*($AM$9-$AL$9)),$AN$9-SQRT((1-AX533)*($AN$9-$AL$9)*($AN$9-$AM$9))),$AM$9)</f>
        <v/>
      </c>
      <c r="AP533">
        <f>IFERROR(IF(AY533&lt;($AM$10-$AL$10)/($AN$10-$AL$10),$AL$10+SQRT(AY533*($AN$10-$AL$10)*($AM$10-$AL$10)),$AN$10-SQRT((1-AY533)*($AN$10-$AL$10)*($AN$10-$AM$10))),$AM$10)</f>
        <v/>
      </c>
      <c r="AQ533">
        <f>IFERROR(IF(AZ533&lt;($AM$11-$AL$11)/($AN$11-$AL$11),$AL$11+SQRT(AZ533*($AN$11-$AL$11)*($AM$11-$AL$11)),$AN$11-SQRT((1-AZ533)*($AN$11-$AL$11)*($AN$11-$AM$11))),$AM$11)</f>
        <v/>
      </c>
      <c r="AR533">
        <f>SUMPRODUCT((B24:B31&lt;=$B$6)*(C24:C31*AM533+D24:D31*AO533*$B$8*AQ533)/(1+AL533/100)^B24:B31)+C32*AM533*AP533/(1+AL533/100)^$B$6</f>
        <v/>
      </c>
      <c r="AS533">
        <f>SUMPRODUCT((K24:K26&lt;=$B$6)*(L24:L26*AN533+M24:M26*AO533*$B$8*AQ533)/(1+AL533/100)^K24:K26)+L27*AN533*AP533/(1+AL533/100)^$B$6</f>
        <v/>
      </c>
      <c r="AT533">
        <f>AS533-AR533</f>
        <v/>
      </c>
      <c r="AU533">
        <f>RAND()</f>
        <v/>
      </c>
      <c r="AV533">
        <f>RAND()</f>
        <v/>
      </c>
      <c r="AW533">
        <f>RAND()</f>
        <v/>
      </c>
      <c r="AX533">
        <f>RAND()</f>
        <v/>
      </c>
      <c r="AY533">
        <f>RAND()</f>
        <v/>
      </c>
      <c r="AZ533">
        <f>RAND()</f>
        <v/>
      </c>
    </row>
    <row r="534">
      <c r="AK534" t="n">
        <v>521</v>
      </c>
      <c r="AL534">
        <f>IFERROR(IF(AU534&lt;($AM$6-$AL$6)/($AN$6-$AL$6),$AL$6+SQRT(AU534*($AN$6-$AL$6)*($AM$6-$AL$6)),$AN$6-SQRT((1-AU534)*($AN$6-$AL$6)*($AN$6-$AM$6))),$AM$6)</f>
        <v/>
      </c>
      <c r="AM534">
        <f>IFERROR(IF(AV534&lt;($AM$7-$AL$7)/($AN$7-$AL$7),$AL$7+SQRT(AV534*($AN$7-$AL$7)*($AM$7-$AL$7)),$AN$7-SQRT((1-AV534)*($AN$7-$AL$7)*($AN$7-$AM$7))),$AM$7)</f>
        <v/>
      </c>
      <c r="AN534">
        <f>IFERROR(IF(AW534&lt;($AM$8-$AL$8)/($AN$8-$AL$8),$AL$8+SQRT(AW534*($AN$8-$AL$8)*($AM$8-$AL$8)),$AN$8-SQRT((1-AW534)*($AN$8-$AL$8)*($AN$8-$AM$8))),$AM$8)</f>
        <v/>
      </c>
      <c r="AO534">
        <f>IFERROR(IF(AX534&lt;($AM$9-$AL$9)/($AN$9-$AL$9),$AL$9+SQRT(AX534*($AN$9-$AL$9)*($AM$9-$AL$9)),$AN$9-SQRT((1-AX534)*($AN$9-$AL$9)*($AN$9-$AM$9))),$AM$9)</f>
        <v/>
      </c>
      <c r="AP534">
        <f>IFERROR(IF(AY534&lt;($AM$10-$AL$10)/($AN$10-$AL$10),$AL$10+SQRT(AY534*($AN$10-$AL$10)*($AM$10-$AL$10)),$AN$10-SQRT((1-AY534)*($AN$10-$AL$10)*($AN$10-$AM$10))),$AM$10)</f>
        <v/>
      </c>
      <c r="AQ534">
        <f>IFERROR(IF(AZ534&lt;($AM$11-$AL$11)/($AN$11-$AL$11),$AL$11+SQRT(AZ534*($AN$11-$AL$11)*($AM$11-$AL$11)),$AN$11-SQRT((1-AZ534)*($AN$11-$AL$11)*($AN$11-$AM$11))),$AM$11)</f>
        <v/>
      </c>
      <c r="AR534">
        <f>SUMPRODUCT((B24:B31&lt;=$B$6)*(C24:C31*AM534+D24:D31*AO534*$B$8*AQ534)/(1+AL534/100)^B24:B31)+C32*AM534*AP534/(1+AL534/100)^$B$6</f>
        <v/>
      </c>
      <c r="AS534">
        <f>SUMPRODUCT((K24:K26&lt;=$B$6)*(L24:L26*AN534+M24:M26*AO534*$B$8*AQ534)/(1+AL534/100)^K24:K26)+L27*AN534*AP534/(1+AL534/100)^$B$6</f>
        <v/>
      </c>
      <c r="AT534">
        <f>AS534-AR534</f>
        <v/>
      </c>
      <c r="AU534">
        <f>RAND()</f>
        <v/>
      </c>
      <c r="AV534">
        <f>RAND()</f>
        <v/>
      </c>
      <c r="AW534">
        <f>RAND()</f>
        <v/>
      </c>
      <c r="AX534">
        <f>RAND()</f>
        <v/>
      </c>
      <c r="AY534">
        <f>RAND()</f>
        <v/>
      </c>
      <c r="AZ534">
        <f>RAND()</f>
        <v/>
      </c>
    </row>
    <row r="535">
      <c r="AK535" t="n">
        <v>522</v>
      </c>
      <c r="AL535">
        <f>IFERROR(IF(AU535&lt;($AM$6-$AL$6)/($AN$6-$AL$6),$AL$6+SQRT(AU535*($AN$6-$AL$6)*($AM$6-$AL$6)),$AN$6-SQRT((1-AU535)*($AN$6-$AL$6)*($AN$6-$AM$6))),$AM$6)</f>
        <v/>
      </c>
      <c r="AM535">
        <f>IFERROR(IF(AV535&lt;($AM$7-$AL$7)/($AN$7-$AL$7),$AL$7+SQRT(AV535*($AN$7-$AL$7)*($AM$7-$AL$7)),$AN$7-SQRT((1-AV535)*($AN$7-$AL$7)*($AN$7-$AM$7))),$AM$7)</f>
        <v/>
      </c>
      <c r="AN535">
        <f>IFERROR(IF(AW535&lt;($AM$8-$AL$8)/($AN$8-$AL$8),$AL$8+SQRT(AW535*($AN$8-$AL$8)*($AM$8-$AL$8)),$AN$8-SQRT((1-AW535)*($AN$8-$AL$8)*($AN$8-$AM$8))),$AM$8)</f>
        <v/>
      </c>
      <c r="AO535">
        <f>IFERROR(IF(AX535&lt;($AM$9-$AL$9)/($AN$9-$AL$9),$AL$9+SQRT(AX535*($AN$9-$AL$9)*($AM$9-$AL$9)),$AN$9-SQRT((1-AX535)*($AN$9-$AL$9)*($AN$9-$AM$9))),$AM$9)</f>
        <v/>
      </c>
      <c r="AP535">
        <f>IFERROR(IF(AY535&lt;($AM$10-$AL$10)/($AN$10-$AL$10),$AL$10+SQRT(AY535*($AN$10-$AL$10)*($AM$10-$AL$10)),$AN$10-SQRT((1-AY535)*($AN$10-$AL$10)*($AN$10-$AM$10))),$AM$10)</f>
        <v/>
      </c>
      <c r="AQ535">
        <f>IFERROR(IF(AZ535&lt;($AM$11-$AL$11)/($AN$11-$AL$11),$AL$11+SQRT(AZ535*($AN$11-$AL$11)*($AM$11-$AL$11)),$AN$11-SQRT((1-AZ535)*($AN$11-$AL$11)*($AN$11-$AM$11))),$AM$11)</f>
        <v/>
      </c>
      <c r="AR535">
        <f>SUMPRODUCT((B24:B31&lt;=$B$6)*(C24:C31*AM535+D24:D31*AO535*$B$8*AQ535)/(1+AL535/100)^B24:B31)+C32*AM535*AP535/(1+AL535/100)^$B$6</f>
        <v/>
      </c>
      <c r="AS535">
        <f>SUMPRODUCT((K24:K26&lt;=$B$6)*(L24:L26*AN535+M24:M26*AO535*$B$8*AQ535)/(1+AL535/100)^K24:K26)+L27*AN535*AP535/(1+AL535/100)^$B$6</f>
        <v/>
      </c>
      <c r="AT535">
        <f>AS535-AR535</f>
        <v/>
      </c>
      <c r="AU535">
        <f>RAND()</f>
        <v/>
      </c>
      <c r="AV535">
        <f>RAND()</f>
        <v/>
      </c>
      <c r="AW535">
        <f>RAND()</f>
        <v/>
      </c>
      <c r="AX535">
        <f>RAND()</f>
        <v/>
      </c>
      <c r="AY535">
        <f>RAND()</f>
        <v/>
      </c>
      <c r="AZ535">
        <f>RAND()</f>
        <v/>
      </c>
    </row>
    <row r="536">
      <c r="AK536" t="n">
        <v>523</v>
      </c>
      <c r="AL536">
        <f>IFERROR(IF(AU536&lt;($AM$6-$AL$6)/($AN$6-$AL$6),$AL$6+SQRT(AU536*($AN$6-$AL$6)*($AM$6-$AL$6)),$AN$6-SQRT((1-AU536)*($AN$6-$AL$6)*($AN$6-$AM$6))),$AM$6)</f>
        <v/>
      </c>
      <c r="AM536">
        <f>IFERROR(IF(AV536&lt;($AM$7-$AL$7)/($AN$7-$AL$7),$AL$7+SQRT(AV536*($AN$7-$AL$7)*($AM$7-$AL$7)),$AN$7-SQRT((1-AV536)*($AN$7-$AL$7)*($AN$7-$AM$7))),$AM$7)</f>
        <v/>
      </c>
      <c r="AN536">
        <f>IFERROR(IF(AW536&lt;($AM$8-$AL$8)/($AN$8-$AL$8),$AL$8+SQRT(AW536*($AN$8-$AL$8)*($AM$8-$AL$8)),$AN$8-SQRT((1-AW536)*($AN$8-$AL$8)*($AN$8-$AM$8))),$AM$8)</f>
        <v/>
      </c>
      <c r="AO536">
        <f>IFERROR(IF(AX536&lt;($AM$9-$AL$9)/($AN$9-$AL$9),$AL$9+SQRT(AX536*($AN$9-$AL$9)*($AM$9-$AL$9)),$AN$9-SQRT((1-AX536)*($AN$9-$AL$9)*($AN$9-$AM$9))),$AM$9)</f>
        <v/>
      </c>
      <c r="AP536">
        <f>IFERROR(IF(AY536&lt;($AM$10-$AL$10)/($AN$10-$AL$10),$AL$10+SQRT(AY536*($AN$10-$AL$10)*($AM$10-$AL$10)),$AN$10-SQRT((1-AY536)*($AN$10-$AL$10)*($AN$10-$AM$10))),$AM$10)</f>
        <v/>
      </c>
      <c r="AQ536">
        <f>IFERROR(IF(AZ536&lt;($AM$11-$AL$11)/($AN$11-$AL$11),$AL$11+SQRT(AZ536*($AN$11-$AL$11)*($AM$11-$AL$11)),$AN$11-SQRT((1-AZ536)*($AN$11-$AL$11)*($AN$11-$AM$11))),$AM$11)</f>
        <v/>
      </c>
      <c r="AR536">
        <f>SUMPRODUCT((B24:B31&lt;=$B$6)*(C24:C31*AM536+D24:D31*AO536*$B$8*AQ536)/(1+AL536/100)^B24:B31)+C32*AM536*AP536/(1+AL536/100)^$B$6</f>
        <v/>
      </c>
      <c r="AS536">
        <f>SUMPRODUCT((K24:K26&lt;=$B$6)*(L24:L26*AN536+M24:M26*AO536*$B$8*AQ536)/(1+AL536/100)^K24:K26)+L27*AN536*AP536/(1+AL536/100)^$B$6</f>
        <v/>
      </c>
      <c r="AT536">
        <f>AS536-AR536</f>
        <v/>
      </c>
      <c r="AU536">
        <f>RAND()</f>
        <v/>
      </c>
      <c r="AV536">
        <f>RAND()</f>
        <v/>
      </c>
      <c r="AW536">
        <f>RAND()</f>
        <v/>
      </c>
      <c r="AX536">
        <f>RAND()</f>
        <v/>
      </c>
      <c r="AY536">
        <f>RAND()</f>
        <v/>
      </c>
      <c r="AZ536">
        <f>RAND()</f>
        <v/>
      </c>
    </row>
    <row r="537">
      <c r="AK537" t="n">
        <v>524</v>
      </c>
      <c r="AL537">
        <f>IFERROR(IF(AU537&lt;($AM$6-$AL$6)/($AN$6-$AL$6),$AL$6+SQRT(AU537*($AN$6-$AL$6)*($AM$6-$AL$6)),$AN$6-SQRT((1-AU537)*($AN$6-$AL$6)*($AN$6-$AM$6))),$AM$6)</f>
        <v/>
      </c>
      <c r="AM537">
        <f>IFERROR(IF(AV537&lt;($AM$7-$AL$7)/($AN$7-$AL$7),$AL$7+SQRT(AV537*($AN$7-$AL$7)*($AM$7-$AL$7)),$AN$7-SQRT((1-AV537)*($AN$7-$AL$7)*($AN$7-$AM$7))),$AM$7)</f>
        <v/>
      </c>
      <c r="AN537">
        <f>IFERROR(IF(AW537&lt;($AM$8-$AL$8)/($AN$8-$AL$8),$AL$8+SQRT(AW537*($AN$8-$AL$8)*($AM$8-$AL$8)),$AN$8-SQRT((1-AW537)*($AN$8-$AL$8)*($AN$8-$AM$8))),$AM$8)</f>
        <v/>
      </c>
      <c r="AO537">
        <f>IFERROR(IF(AX537&lt;($AM$9-$AL$9)/($AN$9-$AL$9),$AL$9+SQRT(AX537*($AN$9-$AL$9)*($AM$9-$AL$9)),$AN$9-SQRT((1-AX537)*($AN$9-$AL$9)*($AN$9-$AM$9))),$AM$9)</f>
        <v/>
      </c>
      <c r="AP537">
        <f>IFERROR(IF(AY537&lt;($AM$10-$AL$10)/($AN$10-$AL$10),$AL$10+SQRT(AY537*($AN$10-$AL$10)*($AM$10-$AL$10)),$AN$10-SQRT((1-AY537)*($AN$10-$AL$10)*($AN$10-$AM$10))),$AM$10)</f>
        <v/>
      </c>
      <c r="AQ537">
        <f>IFERROR(IF(AZ537&lt;($AM$11-$AL$11)/($AN$11-$AL$11),$AL$11+SQRT(AZ537*($AN$11-$AL$11)*($AM$11-$AL$11)),$AN$11-SQRT((1-AZ537)*($AN$11-$AL$11)*($AN$11-$AM$11))),$AM$11)</f>
        <v/>
      </c>
      <c r="AR537">
        <f>SUMPRODUCT((B24:B31&lt;=$B$6)*(C24:C31*AM537+D24:D31*AO537*$B$8*AQ537)/(1+AL537/100)^B24:B31)+C32*AM537*AP537/(1+AL537/100)^$B$6</f>
        <v/>
      </c>
      <c r="AS537">
        <f>SUMPRODUCT((K24:K26&lt;=$B$6)*(L24:L26*AN537+M24:M26*AO537*$B$8*AQ537)/(1+AL537/100)^K24:K26)+L27*AN537*AP537/(1+AL537/100)^$B$6</f>
        <v/>
      </c>
      <c r="AT537">
        <f>AS537-AR537</f>
        <v/>
      </c>
      <c r="AU537">
        <f>RAND()</f>
        <v/>
      </c>
      <c r="AV537">
        <f>RAND()</f>
        <v/>
      </c>
      <c r="AW537">
        <f>RAND()</f>
        <v/>
      </c>
      <c r="AX537">
        <f>RAND()</f>
        <v/>
      </c>
      <c r="AY537">
        <f>RAND()</f>
        <v/>
      </c>
      <c r="AZ537">
        <f>RAND()</f>
        <v/>
      </c>
    </row>
    <row r="538">
      <c r="AK538" t="n">
        <v>525</v>
      </c>
      <c r="AL538">
        <f>IFERROR(IF(AU538&lt;($AM$6-$AL$6)/($AN$6-$AL$6),$AL$6+SQRT(AU538*($AN$6-$AL$6)*($AM$6-$AL$6)),$AN$6-SQRT((1-AU538)*($AN$6-$AL$6)*($AN$6-$AM$6))),$AM$6)</f>
        <v/>
      </c>
      <c r="AM538">
        <f>IFERROR(IF(AV538&lt;($AM$7-$AL$7)/($AN$7-$AL$7),$AL$7+SQRT(AV538*($AN$7-$AL$7)*($AM$7-$AL$7)),$AN$7-SQRT((1-AV538)*($AN$7-$AL$7)*($AN$7-$AM$7))),$AM$7)</f>
        <v/>
      </c>
      <c r="AN538">
        <f>IFERROR(IF(AW538&lt;($AM$8-$AL$8)/($AN$8-$AL$8),$AL$8+SQRT(AW538*($AN$8-$AL$8)*($AM$8-$AL$8)),$AN$8-SQRT((1-AW538)*($AN$8-$AL$8)*($AN$8-$AM$8))),$AM$8)</f>
        <v/>
      </c>
      <c r="AO538">
        <f>IFERROR(IF(AX538&lt;($AM$9-$AL$9)/($AN$9-$AL$9),$AL$9+SQRT(AX538*($AN$9-$AL$9)*($AM$9-$AL$9)),$AN$9-SQRT((1-AX538)*($AN$9-$AL$9)*($AN$9-$AM$9))),$AM$9)</f>
        <v/>
      </c>
      <c r="AP538">
        <f>IFERROR(IF(AY538&lt;($AM$10-$AL$10)/($AN$10-$AL$10),$AL$10+SQRT(AY538*($AN$10-$AL$10)*($AM$10-$AL$10)),$AN$10-SQRT((1-AY538)*($AN$10-$AL$10)*($AN$10-$AM$10))),$AM$10)</f>
        <v/>
      </c>
      <c r="AQ538">
        <f>IFERROR(IF(AZ538&lt;($AM$11-$AL$11)/($AN$11-$AL$11),$AL$11+SQRT(AZ538*($AN$11-$AL$11)*($AM$11-$AL$11)),$AN$11-SQRT((1-AZ538)*($AN$11-$AL$11)*($AN$11-$AM$11))),$AM$11)</f>
        <v/>
      </c>
      <c r="AR538">
        <f>SUMPRODUCT((B24:B31&lt;=$B$6)*(C24:C31*AM538+D24:D31*AO538*$B$8*AQ538)/(1+AL538/100)^B24:B31)+C32*AM538*AP538/(1+AL538/100)^$B$6</f>
        <v/>
      </c>
      <c r="AS538">
        <f>SUMPRODUCT((K24:K26&lt;=$B$6)*(L24:L26*AN538+M24:M26*AO538*$B$8*AQ538)/(1+AL538/100)^K24:K26)+L27*AN538*AP538/(1+AL538/100)^$B$6</f>
        <v/>
      </c>
      <c r="AT538">
        <f>AS538-AR538</f>
        <v/>
      </c>
      <c r="AU538">
        <f>RAND()</f>
        <v/>
      </c>
      <c r="AV538">
        <f>RAND()</f>
        <v/>
      </c>
      <c r="AW538">
        <f>RAND()</f>
        <v/>
      </c>
      <c r="AX538">
        <f>RAND()</f>
        <v/>
      </c>
      <c r="AY538">
        <f>RAND()</f>
        <v/>
      </c>
      <c r="AZ538">
        <f>RAND()</f>
        <v/>
      </c>
    </row>
    <row r="539">
      <c r="AK539" t="n">
        <v>526</v>
      </c>
      <c r="AL539">
        <f>IFERROR(IF(AU539&lt;($AM$6-$AL$6)/($AN$6-$AL$6),$AL$6+SQRT(AU539*($AN$6-$AL$6)*($AM$6-$AL$6)),$AN$6-SQRT((1-AU539)*($AN$6-$AL$6)*($AN$6-$AM$6))),$AM$6)</f>
        <v/>
      </c>
      <c r="AM539">
        <f>IFERROR(IF(AV539&lt;($AM$7-$AL$7)/($AN$7-$AL$7),$AL$7+SQRT(AV539*($AN$7-$AL$7)*($AM$7-$AL$7)),$AN$7-SQRT((1-AV539)*($AN$7-$AL$7)*($AN$7-$AM$7))),$AM$7)</f>
        <v/>
      </c>
      <c r="AN539">
        <f>IFERROR(IF(AW539&lt;($AM$8-$AL$8)/($AN$8-$AL$8),$AL$8+SQRT(AW539*($AN$8-$AL$8)*($AM$8-$AL$8)),$AN$8-SQRT((1-AW539)*($AN$8-$AL$8)*($AN$8-$AM$8))),$AM$8)</f>
        <v/>
      </c>
      <c r="AO539">
        <f>IFERROR(IF(AX539&lt;($AM$9-$AL$9)/($AN$9-$AL$9),$AL$9+SQRT(AX539*($AN$9-$AL$9)*($AM$9-$AL$9)),$AN$9-SQRT((1-AX539)*($AN$9-$AL$9)*($AN$9-$AM$9))),$AM$9)</f>
        <v/>
      </c>
      <c r="AP539">
        <f>IFERROR(IF(AY539&lt;($AM$10-$AL$10)/($AN$10-$AL$10),$AL$10+SQRT(AY539*($AN$10-$AL$10)*($AM$10-$AL$10)),$AN$10-SQRT((1-AY539)*($AN$10-$AL$10)*($AN$10-$AM$10))),$AM$10)</f>
        <v/>
      </c>
      <c r="AQ539">
        <f>IFERROR(IF(AZ539&lt;($AM$11-$AL$11)/($AN$11-$AL$11),$AL$11+SQRT(AZ539*($AN$11-$AL$11)*($AM$11-$AL$11)),$AN$11-SQRT((1-AZ539)*($AN$11-$AL$11)*($AN$11-$AM$11))),$AM$11)</f>
        <v/>
      </c>
      <c r="AR539">
        <f>SUMPRODUCT((B24:B31&lt;=$B$6)*(C24:C31*AM539+D24:D31*AO539*$B$8*AQ539)/(1+AL539/100)^B24:B31)+C32*AM539*AP539/(1+AL539/100)^$B$6</f>
        <v/>
      </c>
      <c r="AS539">
        <f>SUMPRODUCT((K24:K26&lt;=$B$6)*(L24:L26*AN539+M24:M26*AO539*$B$8*AQ539)/(1+AL539/100)^K24:K26)+L27*AN539*AP539/(1+AL539/100)^$B$6</f>
        <v/>
      </c>
      <c r="AT539">
        <f>AS539-AR539</f>
        <v/>
      </c>
      <c r="AU539">
        <f>RAND()</f>
        <v/>
      </c>
      <c r="AV539">
        <f>RAND()</f>
        <v/>
      </c>
      <c r="AW539">
        <f>RAND()</f>
        <v/>
      </c>
      <c r="AX539">
        <f>RAND()</f>
        <v/>
      </c>
      <c r="AY539">
        <f>RAND()</f>
        <v/>
      </c>
      <c r="AZ539">
        <f>RAND()</f>
        <v/>
      </c>
    </row>
    <row r="540">
      <c r="AK540" t="n">
        <v>527</v>
      </c>
      <c r="AL540">
        <f>IFERROR(IF(AU540&lt;($AM$6-$AL$6)/($AN$6-$AL$6),$AL$6+SQRT(AU540*($AN$6-$AL$6)*($AM$6-$AL$6)),$AN$6-SQRT((1-AU540)*($AN$6-$AL$6)*($AN$6-$AM$6))),$AM$6)</f>
        <v/>
      </c>
      <c r="AM540">
        <f>IFERROR(IF(AV540&lt;($AM$7-$AL$7)/($AN$7-$AL$7),$AL$7+SQRT(AV540*($AN$7-$AL$7)*($AM$7-$AL$7)),$AN$7-SQRT((1-AV540)*($AN$7-$AL$7)*($AN$7-$AM$7))),$AM$7)</f>
        <v/>
      </c>
      <c r="AN540">
        <f>IFERROR(IF(AW540&lt;($AM$8-$AL$8)/($AN$8-$AL$8),$AL$8+SQRT(AW540*($AN$8-$AL$8)*($AM$8-$AL$8)),$AN$8-SQRT((1-AW540)*($AN$8-$AL$8)*($AN$8-$AM$8))),$AM$8)</f>
        <v/>
      </c>
      <c r="AO540">
        <f>IFERROR(IF(AX540&lt;($AM$9-$AL$9)/($AN$9-$AL$9),$AL$9+SQRT(AX540*($AN$9-$AL$9)*($AM$9-$AL$9)),$AN$9-SQRT((1-AX540)*($AN$9-$AL$9)*($AN$9-$AM$9))),$AM$9)</f>
        <v/>
      </c>
      <c r="AP540">
        <f>IFERROR(IF(AY540&lt;($AM$10-$AL$10)/($AN$10-$AL$10),$AL$10+SQRT(AY540*($AN$10-$AL$10)*($AM$10-$AL$10)),$AN$10-SQRT((1-AY540)*($AN$10-$AL$10)*($AN$10-$AM$10))),$AM$10)</f>
        <v/>
      </c>
      <c r="AQ540">
        <f>IFERROR(IF(AZ540&lt;($AM$11-$AL$11)/($AN$11-$AL$11),$AL$11+SQRT(AZ540*($AN$11-$AL$11)*($AM$11-$AL$11)),$AN$11-SQRT((1-AZ540)*($AN$11-$AL$11)*($AN$11-$AM$11))),$AM$11)</f>
        <v/>
      </c>
      <c r="AR540">
        <f>SUMPRODUCT((B24:B31&lt;=$B$6)*(C24:C31*AM540+D24:D31*AO540*$B$8*AQ540)/(1+AL540/100)^B24:B31)+C32*AM540*AP540/(1+AL540/100)^$B$6</f>
        <v/>
      </c>
      <c r="AS540">
        <f>SUMPRODUCT((K24:K26&lt;=$B$6)*(L24:L26*AN540+M24:M26*AO540*$B$8*AQ540)/(1+AL540/100)^K24:K26)+L27*AN540*AP540/(1+AL540/100)^$B$6</f>
        <v/>
      </c>
      <c r="AT540">
        <f>AS540-AR540</f>
        <v/>
      </c>
      <c r="AU540">
        <f>RAND()</f>
        <v/>
      </c>
      <c r="AV540">
        <f>RAND()</f>
        <v/>
      </c>
      <c r="AW540">
        <f>RAND()</f>
        <v/>
      </c>
      <c r="AX540">
        <f>RAND()</f>
        <v/>
      </c>
      <c r="AY540">
        <f>RAND()</f>
        <v/>
      </c>
      <c r="AZ540">
        <f>RAND()</f>
        <v/>
      </c>
    </row>
    <row r="541">
      <c r="AK541" t="n">
        <v>528</v>
      </c>
      <c r="AL541">
        <f>IFERROR(IF(AU541&lt;($AM$6-$AL$6)/($AN$6-$AL$6),$AL$6+SQRT(AU541*($AN$6-$AL$6)*($AM$6-$AL$6)),$AN$6-SQRT((1-AU541)*($AN$6-$AL$6)*($AN$6-$AM$6))),$AM$6)</f>
        <v/>
      </c>
      <c r="AM541">
        <f>IFERROR(IF(AV541&lt;($AM$7-$AL$7)/($AN$7-$AL$7),$AL$7+SQRT(AV541*($AN$7-$AL$7)*($AM$7-$AL$7)),$AN$7-SQRT((1-AV541)*($AN$7-$AL$7)*($AN$7-$AM$7))),$AM$7)</f>
        <v/>
      </c>
      <c r="AN541">
        <f>IFERROR(IF(AW541&lt;($AM$8-$AL$8)/($AN$8-$AL$8),$AL$8+SQRT(AW541*($AN$8-$AL$8)*($AM$8-$AL$8)),$AN$8-SQRT((1-AW541)*($AN$8-$AL$8)*($AN$8-$AM$8))),$AM$8)</f>
        <v/>
      </c>
      <c r="AO541">
        <f>IFERROR(IF(AX541&lt;($AM$9-$AL$9)/($AN$9-$AL$9),$AL$9+SQRT(AX541*($AN$9-$AL$9)*($AM$9-$AL$9)),$AN$9-SQRT((1-AX541)*($AN$9-$AL$9)*($AN$9-$AM$9))),$AM$9)</f>
        <v/>
      </c>
      <c r="AP541">
        <f>IFERROR(IF(AY541&lt;($AM$10-$AL$10)/($AN$10-$AL$10),$AL$10+SQRT(AY541*($AN$10-$AL$10)*($AM$10-$AL$10)),$AN$10-SQRT((1-AY541)*($AN$10-$AL$10)*($AN$10-$AM$10))),$AM$10)</f>
        <v/>
      </c>
      <c r="AQ541">
        <f>IFERROR(IF(AZ541&lt;($AM$11-$AL$11)/($AN$11-$AL$11),$AL$11+SQRT(AZ541*($AN$11-$AL$11)*($AM$11-$AL$11)),$AN$11-SQRT((1-AZ541)*($AN$11-$AL$11)*($AN$11-$AM$11))),$AM$11)</f>
        <v/>
      </c>
      <c r="AR541">
        <f>SUMPRODUCT((B24:B31&lt;=$B$6)*(C24:C31*AM541+D24:D31*AO541*$B$8*AQ541)/(1+AL541/100)^B24:B31)+C32*AM541*AP541/(1+AL541/100)^$B$6</f>
        <v/>
      </c>
      <c r="AS541">
        <f>SUMPRODUCT((K24:K26&lt;=$B$6)*(L24:L26*AN541+M24:M26*AO541*$B$8*AQ541)/(1+AL541/100)^K24:K26)+L27*AN541*AP541/(1+AL541/100)^$B$6</f>
        <v/>
      </c>
      <c r="AT541">
        <f>AS541-AR541</f>
        <v/>
      </c>
      <c r="AU541">
        <f>RAND()</f>
        <v/>
      </c>
      <c r="AV541">
        <f>RAND()</f>
        <v/>
      </c>
      <c r="AW541">
        <f>RAND()</f>
        <v/>
      </c>
      <c r="AX541">
        <f>RAND()</f>
        <v/>
      </c>
      <c r="AY541">
        <f>RAND()</f>
        <v/>
      </c>
      <c r="AZ541">
        <f>RAND()</f>
        <v/>
      </c>
    </row>
    <row r="542">
      <c r="AK542" t="n">
        <v>529</v>
      </c>
      <c r="AL542">
        <f>IFERROR(IF(AU542&lt;($AM$6-$AL$6)/($AN$6-$AL$6),$AL$6+SQRT(AU542*($AN$6-$AL$6)*($AM$6-$AL$6)),$AN$6-SQRT((1-AU542)*($AN$6-$AL$6)*($AN$6-$AM$6))),$AM$6)</f>
        <v/>
      </c>
      <c r="AM542">
        <f>IFERROR(IF(AV542&lt;($AM$7-$AL$7)/($AN$7-$AL$7),$AL$7+SQRT(AV542*($AN$7-$AL$7)*($AM$7-$AL$7)),$AN$7-SQRT((1-AV542)*($AN$7-$AL$7)*($AN$7-$AM$7))),$AM$7)</f>
        <v/>
      </c>
      <c r="AN542">
        <f>IFERROR(IF(AW542&lt;($AM$8-$AL$8)/($AN$8-$AL$8),$AL$8+SQRT(AW542*($AN$8-$AL$8)*($AM$8-$AL$8)),$AN$8-SQRT((1-AW542)*($AN$8-$AL$8)*($AN$8-$AM$8))),$AM$8)</f>
        <v/>
      </c>
      <c r="AO542">
        <f>IFERROR(IF(AX542&lt;($AM$9-$AL$9)/($AN$9-$AL$9),$AL$9+SQRT(AX542*($AN$9-$AL$9)*($AM$9-$AL$9)),$AN$9-SQRT((1-AX542)*($AN$9-$AL$9)*($AN$9-$AM$9))),$AM$9)</f>
        <v/>
      </c>
      <c r="AP542">
        <f>IFERROR(IF(AY542&lt;($AM$10-$AL$10)/($AN$10-$AL$10),$AL$10+SQRT(AY542*($AN$10-$AL$10)*($AM$10-$AL$10)),$AN$10-SQRT((1-AY542)*($AN$10-$AL$10)*($AN$10-$AM$10))),$AM$10)</f>
        <v/>
      </c>
      <c r="AQ542">
        <f>IFERROR(IF(AZ542&lt;($AM$11-$AL$11)/($AN$11-$AL$11),$AL$11+SQRT(AZ542*($AN$11-$AL$11)*($AM$11-$AL$11)),$AN$11-SQRT((1-AZ542)*($AN$11-$AL$11)*($AN$11-$AM$11))),$AM$11)</f>
        <v/>
      </c>
      <c r="AR542">
        <f>SUMPRODUCT((B24:B31&lt;=$B$6)*(C24:C31*AM542+D24:D31*AO542*$B$8*AQ542)/(1+AL542/100)^B24:B31)+C32*AM542*AP542/(1+AL542/100)^$B$6</f>
        <v/>
      </c>
      <c r="AS542">
        <f>SUMPRODUCT((K24:K26&lt;=$B$6)*(L24:L26*AN542+M24:M26*AO542*$B$8*AQ542)/(1+AL542/100)^K24:K26)+L27*AN542*AP542/(1+AL542/100)^$B$6</f>
        <v/>
      </c>
      <c r="AT542">
        <f>AS542-AR542</f>
        <v/>
      </c>
      <c r="AU542">
        <f>RAND()</f>
        <v/>
      </c>
      <c r="AV542">
        <f>RAND()</f>
        <v/>
      </c>
      <c r="AW542">
        <f>RAND()</f>
        <v/>
      </c>
      <c r="AX542">
        <f>RAND()</f>
        <v/>
      </c>
      <c r="AY542">
        <f>RAND()</f>
        <v/>
      </c>
      <c r="AZ542">
        <f>RAND()</f>
        <v/>
      </c>
    </row>
    <row r="543">
      <c r="AK543" t="n">
        <v>530</v>
      </c>
      <c r="AL543">
        <f>IFERROR(IF(AU543&lt;($AM$6-$AL$6)/($AN$6-$AL$6),$AL$6+SQRT(AU543*($AN$6-$AL$6)*($AM$6-$AL$6)),$AN$6-SQRT((1-AU543)*($AN$6-$AL$6)*($AN$6-$AM$6))),$AM$6)</f>
        <v/>
      </c>
      <c r="AM543">
        <f>IFERROR(IF(AV543&lt;($AM$7-$AL$7)/($AN$7-$AL$7),$AL$7+SQRT(AV543*($AN$7-$AL$7)*($AM$7-$AL$7)),$AN$7-SQRT((1-AV543)*($AN$7-$AL$7)*($AN$7-$AM$7))),$AM$7)</f>
        <v/>
      </c>
      <c r="AN543">
        <f>IFERROR(IF(AW543&lt;($AM$8-$AL$8)/($AN$8-$AL$8),$AL$8+SQRT(AW543*($AN$8-$AL$8)*($AM$8-$AL$8)),$AN$8-SQRT((1-AW543)*($AN$8-$AL$8)*($AN$8-$AM$8))),$AM$8)</f>
        <v/>
      </c>
      <c r="AO543">
        <f>IFERROR(IF(AX543&lt;($AM$9-$AL$9)/($AN$9-$AL$9),$AL$9+SQRT(AX543*($AN$9-$AL$9)*($AM$9-$AL$9)),$AN$9-SQRT((1-AX543)*($AN$9-$AL$9)*($AN$9-$AM$9))),$AM$9)</f>
        <v/>
      </c>
      <c r="AP543">
        <f>IFERROR(IF(AY543&lt;($AM$10-$AL$10)/($AN$10-$AL$10),$AL$10+SQRT(AY543*($AN$10-$AL$10)*($AM$10-$AL$10)),$AN$10-SQRT((1-AY543)*($AN$10-$AL$10)*($AN$10-$AM$10))),$AM$10)</f>
        <v/>
      </c>
      <c r="AQ543">
        <f>IFERROR(IF(AZ543&lt;($AM$11-$AL$11)/($AN$11-$AL$11),$AL$11+SQRT(AZ543*($AN$11-$AL$11)*($AM$11-$AL$11)),$AN$11-SQRT((1-AZ543)*($AN$11-$AL$11)*($AN$11-$AM$11))),$AM$11)</f>
        <v/>
      </c>
      <c r="AR543">
        <f>SUMPRODUCT((B24:B31&lt;=$B$6)*(C24:C31*AM543+D24:D31*AO543*$B$8*AQ543)/(1+AL543/100)^B24:B31)+C32*AM543*AP543/(1+AL543/100)^$B$6</f>
        <v/>
      </c>
      <c r="AS543">
        <f>SUMPRODUCT((K24:K26&lt;=$B$6)*(L24:L26*AN543+M24:M26*AO543*$B$8*AQ543)/(1+AL543/100)^K24:K26)+L27*AN543*AP543/(1+AL543/100)^$B$6</f>
        <v/>
      </c>
      <c r="AT543">
        <f>AS543-AR543</f>
        <v/>
      </c>
      <c r="AU543">
        <f>RAND()</f>
        <v/>
      </c>
      <c r="AV543">
        <f>RAND()</f>
        <v/>
      </c>
      <c r="AW543">
        <f>RAND()</f>
        <v/>
      </c>
      <c r="AX543">
        <f>RAND()</f>
        <v/>
      </c>
      <c r="AY543">
        <f>RAND()</f>
        <v/>
      </c>
      <c r="AZ543">
        <f>RAND()</f>
        <v/>
      </c>
    </row>
    <row r="544">
      <c r="AK544" t="n">
        <v>531</v>
      </c>
      <c r="AL544">
        <f>IFERROR(IF(AU544&lt;($AM$6-$AL$6)/($AN$6-$AL$6),$AL$6+SQRT(AU544*($AN$6-$AL$6)*($AM$6-$AL$6)),$AN$6-SQRT((1-AU544)*($AN$6-$AL$6)*($AN$6-$AM$6))),$AM$6)</f>
        <v/>
      </c>
      <c r="AM544">
        <f>IFERROR(IF(AV544&lt;($AM$7-$AL$7)/($AN$7-$AL$7),$AL$7+SQRT(AV544*($AN$7-$AL$7)*($AM$7-$AL$7)),$AN$7-SQRT((1-AV544)*($AN$7-$AL$7)*($AN$7-$AM$7))),$AM$7)</f>
        <v/>
      </c>
      <c r="AN544">
        <f>IFERROR(IF(AW544&lt;($AM$8-$AL$8)/($AN$8-$AL$8),$AL$8+SQRT(AW544*($AN$8-$AL$8)*($AM$8-$AL$8)),$AN$8-SQRT((1-AW544)*($AN$8-$AL$8)*($AN$8-$AM$8))),$AM$8)</f>
        <v/>
      </c>
      <c r="AO544">
        <f>IFERROR(IF(AX544&lt;($AM$9-$AL$9)/($AN$9-$AL$9),$AL$9+SQRT(AX544*($AN$9-$AL$9)*($AM$9-$AL$9)),$AN$9-SQRT((1-AX544)*($AN$9-$AL$9)*($AN$9-$AM$9))),$AM$9)</f>
        <v/>
      </c>
      <c r="AP544">
        <f>IFERROR(IF(AY544&lt;($AM$10-$AL$10)/($AN$10-$AL$10),$AL$10+SQRT(AY544*($AN$10-$AL$10)*($AM$10-$AL$10)),$AN$10-SQRT((1-AY544)*($AN$10-$AL$10)*($AN$10-$AM$10))),$AM$10)</f>
        <v/>
      </c>
      <c r="AQ544">
        <f>IFERROR(IF(AZ544&lt;($AM$11-$AL$11)/($AN$11-$AL$11),$AL$11+SQRT(AZ544*($AN$11-$AL$11)*($AM$11-$AL$11)),$AN$11-SQRT((1-AZ544)*($AN$11-$AL$11)*($AN$11-$AM$11))),$AM$11)</f>
        <v/>
      </c>
      <c r="AR544">
        <f>SUMPRODUCT((B24:B31&lt;=$B$6)*(C24:C31*AM544+D24:D31*AO544*$B$8*AQ544)/(1+AL544/100)^B24:B31)+C32*AM544*AP544/(1+AL544/100)^$B$6</f>
        <v/>
      </c>
      <c r="AS544">
        <f>SUMPRODUCT((K24:K26&lt;=$B$6)*(L24:L26*AN544+M24:M26*AO544*$B$8*AQ544)/(1+AL544/100)^K24:K26)+L27*AN544*AP544/(1+AL544/100)^$B$6</f>
        <v/>
      </c>
      <c r="AT544">
        <f>AS544-AR544</f>
        <v/>
      </c>
      <c r="AU544">
        <f>RAND()</f>
        <v/>
      </c>
      <c r="AV544">
        <f>RAND()</f>
        <v/>
      </c>
      <c r="AW544">
        <f>RAND()</f>
        <v/>
      </c>
      <c r="AX544">
        <f>RAND()</f>
        <v/>
      </c>
      <c r="AY544">
        <f>RAND()</f>
        <v/>
      </c>
      <c r="AZ544">
        <f>RAND()</f>
        <v/>
      </c>
    </row>
    <row r="545">
      <c r="AK545" t="n">
        <v>532</v>
      </c>
      <c r="AL545">
        <f>IFERROR(IF(AU545&lt;($AM$6-$AL$6)/($AN$6-$AL$6),$AL$6+SQRT(AU545*($AN$6-$AL$6)*($AM$6-$AL$6)),$AN$6-SQRT((1-AU545)*($AN$6-$AL$6)*($AN$6-$AM$6))),$AM$6)</f>
        <v/>
      </c>
      <c r="AM545">
        <f>IFERROR(IF(AV545&lt;($AM$7-$AL$7)/($AN$7-$AL$7),$AL$7+SQRT(AV545*($AN$7-$AL$7)*($AM$7-$AL$7)),$AN$7-SQRT((1-AV545)*($AN$7-$AL$7)*($AN$7-$AM$7))),$AM$7)</f>
        <v/>
      </c>
      <c r="AN545">
        <f>IFERROR(IF(AW545&lt;($AM$8-$AL$8)/($AN$8-$AL$8),$AL$8+SQRT(AW545*($AN$8-$AL$8)*($AM$8-$AL$8)),$AN$8-SQRT((1-AW545)*($AN$8-$AL$8)*($AN$8-$AM$8))),$AM$8)</f>
        <v/>
      </c>
      <c r="AO545">
        <f>IFERROR(IF(AX545&lt;($AM$9-$AL$9)/($AN$9-$AL$9),$AL$9+SQRT(AX545*($AN$9-$AL$9)*($AM$9-$AL$9)),$AN$9-SQRT((1-AX545)*($AN$9-$AL$9)*($AN$9-$AM$9))),$AM$9)</f>
        <v/>
      </c>
      <c r="AP545">
        <f>IFERROR(IF(AY545&lt;($AM$10-$AL$10)/($AN$10-$AL$10),$AL$10+SQRT(AY545*($AN$10-$AL$10)*($AM$10-$AL$10)),$AN$10-SQRT((1-AY545)*($AN$10-$AL$10)*($AN$10-$AM$10))),$AM$10)</f>
        <v/>
      </c>
      <c r="AQ545">
        <f>IFERROR(IF(AZ545&lt;($AM$11-$AL$11)/($AN$11-$AL$11),$AL$11+SQRT(AZ545*($AN$11-$AL$11)*($AM$11-$AL$11)),$AN$11-SQRT((1-AZ545)*($AN$11-$AL$11)*($AN$11-$AM$11))),$AM$11)</f>
        <v/>
      </c>
      <c r="AR545">
        <f>SUMPRODUCT((B24:B31&lt;=$B$6)*(C24:C31*AM545+D24:D31*AO545*$B$8*AQ545)/(1+AL545/100)^B24:B31)+C32*AM545*AP545/(1+AL545/100)^$B$6</f>
        <v/>
      </c>
      <c r="AS545">
        <f>SUMPRODUCT((K24:K26&lt;=$B$6)*(L24:L26*AN545+M24:M26*AO545*$B$8*AQ545)/(1+AL545/100)^K24:K26)+L27*AN545*AP545/(1+AL545/100)^$B$6</f>
        <v/>
      </c>
      <c r="AT545">
        <f>AS545-AR545</f>
        <v/>
      </c>
      <c r="AU545">
        <f>RAND()</f>
        <v/>
      </c>
      <c r="AV545">
        <f>RAND()</f>
        <v/>
      </c>
      <c r="AW545">
        <f>RAND()</f>
        <v/>
      </c>
      <c r="AX545">
        <f>RAND()</f>
        <v/>
      </c>
      <c r="AY545">
        <f>RAND()</f>
        <v/>
      </c>
      <c r="AZ545">
        <f>RAND()</f>
        <v/>
      </c>
    </row>
    <row r="546">
      <c r="AK546" t="n">
        <v>533</v>
      </c>
      <c r="AL546">
        <f>IFERROR(IF(AU546&lt;($AM$6-$AL$6)/($AN$6-$AL$6),$AL$6+SQRT(AU546*($AN$6-$AL$6)*($AM$6-$AL$6)),$AN$6-SQRT((1-AU546)*($AN$6-$AL$6)*($AN$6-$AM$6))),$AM$6)</f>
        <v/>
      </c>
      <c r="AM546">
        <f>IFERROR(IF(AV546&lt;($AM$7-$AL$7)/($AN$7-$AL$7),$AL$7+SQRT(AV546*($AN$7-$AL$7)*($AM$7-$AL$7)),$AN$7-SQRT((1-AV546)*($AN$7-$AL$7)*($AN$7-$AM$7))),$AM$7)</f>
        <v/>
      </c>
      <c r="AN546">
        <f>IFERROR(IF(AW546&lt;($AM$8-$AL$8)/($AN$8-$AL$8),$AL$8+SQRT(AW546*($AN$8-$AL$8)*($AM$8-$AL$8)),$AN$8-SQRT((1-AW546)*($AN$8-$AL$8)*($AN$8-$AM$8))),$AM$8)</f>
        <v/>
      </c>
      <c r="AO546">
        <f>IFERROR(IF(AX546&lt;($AM$9-$AL$9)/($AN$9-$AL$9),$AL$9+SQRT(AX546*($AN$9-$AL$9)*($AM$9-$AL$9)),$AN$9-SQRT((1-AX546)*($AN$9-$AL$9)*($AN$9-$AM$9))),$AM$9)</f>
        <v/>
      </c>
      <c r="AP546">
        <f>IFERROR(IF(AY546&lt;($AM$10-$AL$10)/($AN$10-$AL$10),$AL$10+SQRT(AY546*($AN$10-$AL$10)*($AM$10-$AL$10)),$AN$10-SQRT((1-AY546)*($AN$10-$AL$10)*($AN$10-$AM$10))),$AM$10)</f>
        <v/>
      </c>
      <c r="AQ546">
        <f>IFERROR(IF(AZ546&lt;($AM$11-$AL$11)/($AN$11-$AL$11),$AL$11+SQRT(AZ546*($AN$11-$AL$11)*($AM$11-$AL$11)),$AN$11-SQRT((1-AZ546)*($AN$11-$AL$11)*($AN$11-$AM$11))),$AM$11)</f>
        <v/>
      </c>
      <c r="AR546">
        <f>SUMPRODUCT((B24:B31&lt;=$B$6)*(C24:C31*AM546+D24:D31*AO546*$B$8*AQ546)/(1+AL546/100)^B24:B31)+C32*AM546*AP546/(1+AL546/100)^$B$6</f>
        <v/>
      </c>
      <c r="AS546">
        <f>SUMPRODUCT((K24:K26&lt;=$B$6)*(L24:L26*AN546+M24:M26*AO546*$B$8*AQ546)/(1+AL546/100)^K24:K26)+L27*AN546*AP546/(1+AL546/100)^$B$6</f>
        <v/>
      </c>
      <c r="AT546">
        <f>AS546-AR546</f>
        <v/>
      </c>
      <c r="AU546">
        <f>RAND()</f>
        <v/>
      </c>
      <c r="AV546">
        <f>RAND()</f>
        <v/>
      </c>
      <c r="AW546">
        <f>RAND()</f>
        <v/>
      </c>
      <c r="AX546">
        <f>RAND()</f>
        <v/>
      </c>
      <c r="AY546">
        <f>RAND()</f>
        <v/>
      </c>
      <c r="AZ546">
        <f>RAND()</f>
        <v/>
      </c>
    </row>
    <row r="547">
      <c r="AK547" t="n">
        <v>534</v>
      </c>
      <c r="AL547">
        <f>IFERROR(IF(AU547&lt;($AM$6-$AL$6)/($AN$6-$AL$6),$AL$6+SQRT(AU547*($AN$6-$AL$6)*($AM$6-$AL$6)),$AN$6-SQRT((1-AU547)*($AN$6-$AL$6)*($AN$6-$AM$6))),$AM$6)</f>
        <v/>
      </c>
      <c r="AM547">
        <f>IFERROR(IF(AV547&lt;($AM$7-$AL$7)/($AN$7-$AL$7),$AL$7+SQRT(AV547*($AN$7-$AL$7)*($AM$7-$AL$7)),$AN$7-SQRT((1-AV547)*($AN$7-$AL$7)*($AN$7-$AM$7))),$AM$7)</f>
        <v/>
      </c>
      <c r="AN547">
        <f>IFERROR(IF(AW547&lt;($AM$8-$AL$8)/($AN$8-$AL$8),$AL$8+SQRT(AW547*($AN$8-$AL$8)*($AM$8-$AL$8)),$AN$8-SQRT((1-AW547)*($AN$8-$AL$8)*($AN$8-$AM$8))),$AM$8)</f>
        <v/>
      </c>
      <c r="AO547">
        <f>IFERROR(IF(AX547&lt;($AM$9-$AL$9)/($AN$9-$AL$9),$AL$9+SQRT(AX547*($AN$9-$AL$9)*($AM$9-$AL$9)),$AN$9-SQRT((1-AX547)*($AN$9-$AL$9)*($AN$9-$AM$9))),$AM$9)</f>
        <v/>
      </c>
      <c r="AP547">
        <f>IFERROR(IF(AY547&lt;($AM$10-$AL$10)/($AN$10-$AL$10),$AL$10+SQRT(AY547*($AN$10-$AL$10)*($AM$10-$AL$10)),$AN$10-SQRT((1-AY547)*($AN$10-$AL$10)*($AN$10-$AM$10))),$AM$10)</f>
        <v/>
      </c>
      <c r="AQ547">
        <f>IFERROR(IF(AZ547&lt;($AM$11-$AL$11)/($AN$11-$AL$11),$AL$11+SQRT(AZ547*($AN$11-$AL$11)*($AM$11-$AL$11)),$AN$11-SQRT((1-AZ547)*($AN$11-$AL$11)*($AN$11-$AM$11))),$AM$11)</f>
        <v/>
      </c>
      <c r="AR547">
        <f>SUMPRODUCT((B24:B31&lt;=$B$6)*(C24:C31*AM547+D24:D31*AO547*$B$8*AQ547)/(1+AL547/100)^B24:B31)+C32*AM547*AP547/(1+AL547/100)^$B$6</f>
        <v/>
      </c>
      <c r="AS547">
        <f>SUMPRODUCT((K24:K26&lt;=$B$6)*(L24:L26*AN547+M24:M26*AO547*$B$8*AQ547)/(1+AL547/100)^K24:K26)+L27*AN547*AP547/(1+AL547/100)^$B$6</f>
        <v/>
      </c>
      <c r="AT547">
        <f>AS547-AR547</f>
        <v/>
      </c>
      <c r="AU547">
        <f>RAND()</f>
        <v/>
      </c>
      <c r="AV547">
        <f>RAND()</f>
        <v/>
      </c>
      <c r="AW547">
        <f>RAND()</f>
        <v/>
      </c>
      <c r="AX547">
        <f>RAND()</f>
        <v/>
      </c>
      <c r="AY547">
        <f>RAND()</f>
        <v/>
      </c>
      <c r="AZ547">
        <f>RAND()</f>
        <v/>
      </c>
    </row>
    <row r="548">
      <c r="AK548" t="n">
        <v>535</v>
      </c>
      <c r="AL548">
        <f>IFERROR(IF(AU548&lt;($AM$6-$AL$6)/($AN$6-$AL$6),$AL$6+SQRT(AU548*($AN$6-$AL$6)*($AM$6-$AL$6)),$AN$6-SQRT((1-AU548)*($AN$6-$AL$6)*($AN$6-$AM$6))),$AM$6)</f>
        <v/>
      </c>
      <c r="AM548">
        <f>IFERROR(IF(AV548&lt;($AM$7-$AL$7)/($AN$7-$AL$7),$AL$7+SQRT(AV548*($AN$7-$AL$7)*($AM$7-$AL$7)),$AN$7-SQRT((1-AV548)*($AN$7-$AL$7)*($AN$7-$AM$7))),$AM$7)</f>
        <v/>
      </c>
      <c r="AN548">
        <f>IFERROR(IF(AW548&lt;($AM$8-$AL$8)/($AN$8-$AL$8),$AL$8+SQRT(AW548*($AN$8-$AL$8)*($AM$8-$AL$8)),$AN$8-SQRT((1-AW548)*($AN$8-$AL$8)*($AN$8-$AM$8))),$AM$8)</f>
        <v/>
      </c>
      <c r="AO548">
        <f>IFERROR(IF(AX548&lt;($AM$9-$AL$9)/($AN$9-$AL$9),$AL$9+SQRT(AX548*($AN$9-$AL$9)*($AM$9-$AL$9)),$AN$9-SQRT((1-AX548)*($AN$9-$AL$9)*($AN$9-$AM$9))),$AM$9)</f>
        <v/>
      </c>
      <c r="AP548">
        <f>IFERROR(IF(AY548&lt;($AM$10-$AL$10)/($AN$10-$AL$10),$AL$10+SQRT(AY548*($AN$10-$AL$10)*($AM$10-$AL$10)),$AN$10-SQRT((1-AY548)*($AN$10-$AL$10)*($AN$10-$AM$10))),$AM$10)</f>
        <v/>
      </c>
      <c r="AQ548">
        <f>IFERROR(IF(AZ548&lt;($AM$11-$AL$11)/($AN$11-$AL$11),$AL$11+SQRT(AZ548*($AN$11-$AL$11)*($AM$11-$AL$11)),$AN$11-SQRT((1-AZ548)*($AN$11-$AL$11)*($AN$11-$AM$11))),$AM$11)</f>
        <v/>
      </c>
      <c r="AR548">
        <f>SUMPRODUCT((B24:B31&lt;=$B$6)*(C24:C31*AM548+D24:D31*AO548*$B$8*AQ548)/(1+AL548/100)^B24:B31)+C32*AM548*AP548/(1+AL548/100)^$B$6</f>
        <v/>
      </c>
      <c r="AS548">
        <f>SUMPRODUCT((K24:K26&lt;=$B$6)*(L24:L26*AN548+M24:M26*AO548*$B$8*AQ548)/(1+AL548/100)^K24:K26)+L27*AN548*AP548/(1+AL548/100)^$B$6</f>
        <v/>
      </c>
      <c r="AT548">
        <f>AS548-AR548</f>
        <v/>
      </c>
      <c r="AU548">
        <f>RAND()</f>
        <v/>
      </c>
      <c r="AV548">
        <f>RAND()</f>
        <v/>
      </c>
      <c r="AW548">
        <f>RAND()</f>
        <v/>
      </c>
      <c r="AX548">
        <f>RAND()</f>
        <v/>
      </c>
      <c r="AY548">
        <f>RAND()</f>
        <v/>
      </c>
      <c r="AZ548">
        <f>RAND()</f>
        <v/>
      </c>
    </row>
    <row r="549">
      <c r="AK549" t="n">
        <v>536</v>
      </c>
      <c r="AL549">
        <f>IFERROR(IF(AU549&lt;($AM$6-$AL$6)/($AN$6-$AL$6),$AL$6+SQRT(AU549*($AN$6-$AL$6)*($AM$6-$AL$6)),$AN$6-SQRT((1-AU549)*($AN$6-$AL$6)*($AN$6-$AM$6))),$AM$6)</f>
        <v/>
      </c>
      <c r="AM549">
        <f>IFERROR(IF(AV549&lt;($AM$7-$AL$7)/($AN$7-$AL$7),$AL$7+SQRT(AV549*($AN$7-$AL$7)*($AM$7-$AL$7)),$AN$7-SQRT((1-AV549)*($AN$7-$AL$7)*($AN$7-$AM$7))),$AM$7)</f>
        <v/>
      </c>
      <c r="AN549">
        <f>IFERROR(IF(AW549&lt;($AM$8-$AL$8)/($AN$8-$AL$8),$AL$8+SQRT(AW549*($AN$8-$AL$8)*($AM$8-$AL$8)),$AN$8-SQRT((1-AW549)*($AN$8-$AL$8)*($AN$8-$AM$8))),$AM$8)</f>
        <v/>
      </c>
      <c r="AO549">
        <f>IFERROR(IF(AX549&lt;($AM$9-$AL$9)/($AN$9-$AL$9),$AL$9+SQRT(AX549*($AN$9-$AL$9)*($AM$9-$AL$9)),$AN$9-SQRT((1-AX549)*($AN$9-$AL$9)*($AN$9-$AM$9))),$AM$9)</f>
        <v/>
      </c>
      <c r="AP549">
        <f>IFERROR(IF(AY549&lt;($AM$10-$AL$10)/($AN$10-$AL$10),$AL$10+SQRT(AY549*($AN$10-$AL$10)*($AM$10-$AL$10)),$AN$10-SQRT((1-AY549)*($AN$10-$AL$10)*($AN$10-$AM$10))),$AM$10)</f>
        <v/>
      </c>
      <c r="AQ549">
        <f>IFERROR(IF(AZ549&lt;($AM$11-$AL$11)/($AN$11-$AL$11),$AL$11+SQRT(AZ549*($AN$11-$AL$11)*($AM$11-$AL$11)),$AN$11-SQRT((1-AZ549)*($AN$11-$AL$11)*($AN$11-$AM$11))),$AM$11)</f>
        <v/>
      </c>
      <c r="AR549">
        <f>SUMPRODUCT((B24:B31&lt;=$B$6)*(C24:C31*AM549+D24:D31*AO549*$B$8*AQ549)/(1+AL549/100)^B24:B31)+C32*AM549*AP549/(1+AL549/100)^$B$6</f>
        <v/>
      </c>
      <c r="AS549">
        <f>SUMPRODUCT((K24:K26&lt;=$B$6)*(L24:L26*AN549+M24:M26*AO549*$B$8*AQ549)/(1+AL549/100)^K24:K26)+L27*AN549*AP549/(1+AL549/100)^$B$6</f>
        <v/>
      </c>
      <c r="AT549">
        <f>AS549-AR549</f>
        <v/>
      </c>
      <c r="AU549">
        <f>RAND()</f>
        <v/>
      </c>
      <c r="AV549">
        <f>RAND()</f>
        <v/>
      </c>
      <c r="AW549">
        <f>RAND()</f>
        <v/>
      </c>
      <c r="AX549">
        <f>RAND()</f>
        <v/>
      </c>
      <c r="AY549">
        <f>RAND()</f>
        <v/>
      </c>
      <c r="AZ549">
        <f>RAND()</f>
        <v/>
      </c>
    </row>
    <row r="550">
      <c r="AK550" t="n">
        <v>537</v>
      </c>
      <c r="AL550">
        <f>IFERROR(IF(AU550&lt;($AM$6-$AL$6)/($AN$6-$AL$6),$AL$6+SQRT(AU550*($AN$6-$AL$6)*($AM$6-$AL$6)),$AN$6-SQRT((1-AU550)*($AN$6-$AL$6)*($AN$6-$AM$6))),$AM$6)</f>
        <v/>
      </c>
      <c r="AM550">
        <f>IFERROR(IF(AV550&lt;($AM$7-$AL$7)/($AN$7-$AL$7),$AL$7+SQRT(AV550*($AN$7-$AL$7)*($AM$7-$AL$7)),$AN$7-SQRT((1-AV550)*($AN$7-$AL$7)*($AN$7-$AM$7))),$AM$7)</f>
        <v/>
      </c>
      <c r="AN550">
        <f>IFERROR(IF(AW550&lt;($AM$8-$AL$8)/($AN$8-$AL$8),$AL$8+SQRT(AW550*($AN$8-$AL$8)*($AM$8-$AL$8)),$AN$8-SQRT((1-AW550)*($AN$8-$AL$8)*($AN$8-$AM$8))),$AM$8)</f>
        <v/>
      </c>
      <c r="AO550">
        <f>IFERROR(IF(AX550&lt;($AM$9-$AL$9)/($AN$9-$AL$9),$AL$9+SQRT(AX550*($AN$9-$AL$9)*($AM$9-$AL$9)),$AN$9-SQRT((1-AX550)*($AN$9-$AL$9)*($AN$9-$AM$9))),$AM$9)</f>
        <v/>
      </c>
      <c r="AP550">
        <f>IFERROR(IF(AY550&lt;($AM$10-$AL$10)/($AN$10-$AL$10),$AL$10+SQRT(AY550*($AN$10-$AL$10)*($AM$10-$AL$10)),$AN$10-SQRT((1-AY550)*($AN$10-$AL$10)*($AN$10-$AM$10))),$AM$10)</f>
        <v/>
      </c>
      <c r="AQ550">
        <f>IFERROR(IF(AZ550&lt;($AM$11-$AL$11)/($AN$11-$AL$11),$AL$11+SQRT(AZ550*($AN$11-$AL$11)*($AM$11-$AL$11)),$AN$11-SQRT((1-AZ550)*($AN$11-$AL$11)*($AN$11-$AM$11))),$AM$11)</f>
        <v/>
      </c>
      <c r="AR550">
        <f>SUMPRODUCT((B24:B31&lt;=$B$6)*(C24:C31*AM550+D24:D31*AO550*$B$8*AQ550)/(1+AL550/100)^B24:B31)+C32*AM550*AP550/(1+AL550/100)^$B$6</f>
        <v/>
      </c>
      <c r="AS550">
        <f>SUMPRODUCT((K24:K26&lt;=$B$6)*(L24:L26*AN550+M24:M26*AO550*$B$8*AQ550)/(1+AL550/100)^K24:K26)+L27*AN550*AP550/(1+AL550/100)^$B$6</f>
        <v/>
      </c>
      <c r="AT550">
        <f>AS550-AR550</f>
        <v/>
      </c>
      <c r="AU550">
        <f>RAND()</f>
        <v/>
      </c>
      <c r="AV550">
        <f>RAND()</f>
        <v/>
      </c>
      <c r="AW550">
        <f>RAND()</f>
        <v/>
      </c>
      <c r="AX550">
        <f>RAND()</f>
        <v/>
      </c>
      <c r="AY550">
        <f>RAND()</f>
        <v/>
      </c>
      <c r="AZ550">
        <f>RAND()</f>
        <v/>
      </c>
    </row>
    <row r="551">
      <c r="AK551" t="n">
        <v>538</v>
      </c>
      <c r="AL551">
        <f>IFERROR(IF(AU551&lt;($AM$6-$AL$6)/($AN$6-$AL$6),$AL$6+SQRT(AU551*($AN$6-$AL$6)*($AM$6-$AL$6)),$AN$6-SQRT((1-AU551)*($AN$6-$AL$6)*($AN$6-$AM$6))),$AM$6)</f>
        <v/>
      </c>
      <c r="AM551">
        <f>IFERROR(IF(AV551&lt;($AM$7-$AL$7)/($AN$7-$AL$7),$AL$7+SQRT(AV551*($AN$7-$AL$7)*($AM$7-$AL$7)),$AN$7-SQRT((1-AV551)*($AN$7-$AL$7)*($AN$7-$AM$7))),$AM$7)</f>
        <v/>
      </c>
      <c r="AN551">
        <f>IFERROR(IF(AW551&lt;($AM$8-$AL$8)/($AN$8-$AL$8),$AL$8+SQRT(AW551*($AN$8-$AL$8)*($AM$8-$AL$8)),$AN$8-SQRT((1-AW551)*($AN$8-$AL$8)*($AN$8-$AM$8))),$AM$8)</f>
        <v/>
      </c>
      <c r="AO551">
        <f>IFERROR(IF(AX551&lt;($AM$9-$AL$9)/($AN$9-$AL$9),$AL$9+SQRT(AX551*($AN$9-$AL$9)*($AM$9-$AL$9)),$AN$9-SQRT((1-AX551)*($AN$9-$AL$9)*($AN$9-$AM$9))),$AM$9)</f>
        <v/>
      </c>
      <c r="AP551">
        <f>IFERROR(IF(AY551&lt;($AM$10-$AL$10)/($AN$10-$AL$10),$AL$10+SQRT(AY551*($AN$10-$AL$10)*($AM$10-$AL$10)),$AN$10-SQRT((1-AY551)*($AN$10-$AL$10)*($AN$10-$AM$10))),$AM$10)</f>
        <v/>
      </c>
      <c r="AQ551">
        <f>IFERROR(IF(AZ551&lt;($AM$11-$AL$11)/($AN$11-$AL$11),$AL$11+SQRT(AZ551*($AN$11-$AL$11)*($AM$11-$AL$11)),$AN$11-SQRT((1-AZ551)*($AN$11-$AL$11)*($AN$11-$AM$11))),$AM$11)</f>
        <v/>
      </c>
      <c r="AR551">
        <f>SUMPRODUCT((B24:B31&lt;=$B$6)*(C24:C31*AM551+D24:D31*AO551*$B$8*AQ551)/(1+AL551/100)^B24:B31)+C32*AM551*AP551/(1+AL551/100)^$B$6</f>
        <v/>
      </c>
      <c r="AS551">
        <f>SUMPRODUCT((K24:K26&lt;=$B$6)*(L24:L26*AN551+M24:M26*AO551*$B$8*AQ551)/(1+AL551/100)^K24:K26)+L27*AN551*AP551/(1+AL551/100)^$B$6</f>
        <v/>
      </c>
      <c r="AT551">
        <f>AS551-AR551</f>
        <v/>
      </c>
      <c r="AU551">
        <f>RAND()</f>
        <v/>
      </c>
      <c r="AV551">
        <f>RAND()</f>
        <v/>
      </c>
      <c r="AW551">
        <f>RAND()</f>
        <v/>
      </c>
      <c r="AX551">
        <f>RAND()</f>
        <v/>
      </c>
      <c r="AY551">
        <f>RAND()</f>
        <v/>
      </c>
      <c r="AZ551">
        <f>RAND()</f>
        <v/>
      </c>
    </row>
    <row r="552">
      <c r="AK552" t="n">
        <v>539</v>
      </c>
      <c r="AL552">
        <f>IFERROR(IF(AU552&lt;($AM$6-$AL$6)/($AN$6-$AL$6),$AL$6+SQRT(AU552*($AN$6-$AL$6)*($AM$6-$AL$6)),$AN$6-SQRT((1-AU552)*($AN$6-$AL$6)*($AN$6-$AM$6))),$AM$6)</f>
        <v/>
      </c>
      <c r="AM552">
        <f>IFERROR(IF(AV552&lt;($AM$7-$AL$7)/($AN$7-$AL$7),$AL$7+SQRT(AV552*($AN$7-$AL$7)*($AM$7-$AL$7)),$AN$7-SQRT((1-AV552)*($AN$7-$AL$7)*($AN$7-$AM$7))),$AM$7)</f>
        <v/>
      </c>
      <c r="AN552">
        <f>IFERROR(IF(AW552&lt;($AM$8-$AL$8)/($AN$8-$AL$8),$AL$8+SQRT(AW552*($AN$8-$AL$8)*($AM$8-$AL$8)),$AN$8-SQRT((1-AW552)*($AN$8-$AL$8)*($AN$8-$AM$8))),$AM$8)</f>
        <v/>
      </c>
      <c r="AO552">
        <f>IFERROR(IF(AX552&lt;($AM$9-$AL$9)/($AN$9-$AL$9),$AL$9+SQRT(AX552*($AN$9-$AL$9)*($AM$9-$AL$9)),$AN$9-SQRT((1-AX552)*($AN$9-$AL$9)*($AN$9-$AM$9))),$AM$9)</f>
        <v/>
      </c>
      <c r="AP552">
        <f>IFERROR(IF(AY552&lt;($AM$10-$AL$10)/($AN$10-$AL$10),$AL$10+SQRT(AY552*($AN$10-$AL$10)*($AM$10-$AL$10)),$AN$10-SQRT((1-AY552)*($AN$10-$AL$10)*($AN$10-$AM$10))),$AM$10)</f>
        <v/>
      </c>
      <c r="AQ552">
        <f>IFERROR(IF(AZ552&lt;($AM$11-$AL$11)/($AN$11-$AL$11),$AL$11+SQRT(AZ552*($AN$11-$AL$11)*($AM$11-$AL$11)),$AN$11-SQRT((1-AZ552)*($AN$11-$AL$11)*($AN$11-$AM$11))),$AM$11)</f>
        <v/>
      </c>
      <c r="AR552">
        <f>SUMPRODUCT((B24:B31&lt;=$B$6)*(C24:C31*AM552+D24:D31*AO552*$B$8*AQ552)/(1+AL552/100)^B24:B31)+C32*AM552*AP552/(1+AL552/100)^$B$6</f>
        <v/>
      </c>
      <c r="AS552">
        <f>SUMPRODUCT((K24:K26&lt;=$B$6)*(L24:L26*AN552+M24:M26*AO552*$B$8*AQ552)/(1+AL552/100)^K24:K26)+L27*AN552*AP552/(1+AL552/100)^$B$6</f>
        <v/>
      </c>
      <c r="AT552">
        <f>AS552-AR552</f>
        <v/>
      </c>
      <c r="AU552">
        <f>RAND()</f>
        <v/>
      </c>
      <c r="AV552">
        <f>RAND()</f>
        <v/>
      </c>
      <c r="AW552">
        <f>RAND()</f>
        <v/>
      </c>
      <c r="AX552">
        <f>RAND()</f>
        <v/>
      </c>
      <c r="AY552">
        <f>RAND()</f>
        <v/>
      </c>
      <c r="AZ552">
        <f>RAND()</f>
        <v/>
      </c>
    </row>
    <row r="553">
      <c r="AK553" t="n">
        <v>540</v>
      </c>
      <c r="AL553">
        <f>IFERROR(IF(AU553&lt;($AM$6-$AL$6)/($AN$6-$AL$6),$AL$6+SQRT(AU553*($AN$6-$AL$6)*($AM$6-$AL$6)),$AN$6-SQRT((1-AU553)*($AN$6-$AL$6)*($AN$6-$AM$6))),$AM$6)</f>
        <v/>
      </c>
      <c r="AM553">
        <f>IFERROR(IF(AV553&lt;($AM$7-$AL$7)/($AN$7-$AL$7),$AL$7+SQRT(AV553*($AN$7-$AL$7)*($AM$7-$AL$7)),$AN$7-SQRT((1-AV553)*($AN$7-$AL$7)*($AN$7-$AM$7))),$AM$7)</f>
        <v/>
      </c>
      <c r="AN553">
        <f>IFERROR(IF(AW553&lt;($AM$8-$AL$8)/($AN$8-$AL$8),$AL$8+SQRT(AW553*($AN$8-$AL$8)*($AM$8-$AL$8)),$AN$8-SQRT((1-AW553)*($AN$8-$AL$8)*($AN$8-$AM$8))),$AM$8)</f>
        <v/>
      </c>
      <c r="AO553">
        <f>IFERROR(IF(AX553&lt;($AM$9-$AL$9)/($AN$9-$AL$9),$AL$9+SQRT(AX553*($AN$9-$AL$9)*($AM$9-$AL$9)),$AN$9-SQRT((1-AX553)*($AN$9-$AL$9)*($AN$9-$AM$9))),$AM$9)</f>
        <v/>
      </c>
      <c r="AP553">
        <f>IFERROR(IF(AY553&lt;($AM$10-$AL$10)/($AN$10-$AL$10),$AL$10+SQRT(AY553*($AN$10-$AL$10)*($AM$10-$AL$10)),$AN$10-SQRT((1-AY553)*($AN$10-$AL$10)*($AN$10-$AM$10))),$AM$10)</f>
        <v/>
      </c>
      <c r="AQ553">
        <f>IFERROR(IF(AZ553&lt;($AM$11-$AL$11)/($AN$11-$AL$11),$AL$11+SQRT(AZ553*($AN$11-$AL$11)*($AM$11-$AL$11)),$AN$11-SQRT((1-AZ553)*($AN$11-$AL$11)*($AN$11-$AM$11))),$AM$11)</f>
        <v/>
      </c>
      <c r="AR553">
        <f>SUMPRODUCT((B24:B31&lt;=$B$6)*(C24:C31*AM553+D24:D31*AO553*$B$8*AQ553)/(1+AL553/100)^B24:B31)+C32*AM553*AP553/(1+AL553/100)^$B$6</f>
        <v/>
      </c>
      <c r="AS553">
        <f>SUMPRODUCT((K24:K26&lt;=$B$6)*(L24:L26*AN553+M24:M26*AO553*$B$8*AQ553)/(1+AL553/100)^K24:K26)+L27*AN553*AP553/(1+AL553/100)^$B$6</f>
        <v/>
      </c>
      <c r="AT553">
        <f>AS553-AR553</f>
        <v/>
      </c>
      <c r="AU553">
        <f>RAND()</f>
        <v/>
      </c>
      <c r="AV553">
        <f>RAND()</f>
        <v/>
      </c>
      <c r="AW553">
        <f>RAND()</f>
        <v/>
      </c>
      <c r="AX553">
        <f>RAND()</f>
        <v/>
      </c>
      <c r="AY553">
        <f>RAND()</f>
        <v/>
      </c>
      <c r="AZ553">
        <f>RAND()</f>
        <v/>
      </c>
    </row>
    <row r="554">
      <c r="AK554" t="n">
        <v>541</v>
      </c>
      <c r="AL554">
        <f>IFERROR(IF(AU554&lt;($AM$6-$AL$6)/($AN$6-$AL$6),$AL$6+SQRT(AU554*($AN$6-$AL$6)*($AM$6-$AL$6)),$AN$6-SQRT((1-AU554)*($AN$6-$AL$6)*($AN$6-$AM$6))),$AM$6)</f>
        <v/>
      </c>
      <c r="AM554">
        <f>IFERROR(IF(AV554&lt;($AM$7-$AL$7)/($AN$7-$AL$7),$AL$7+SQRT(AV554*($AN$7-$AL$7)*($AM$7-$AL$7)),$AN$7-SQRT((1-AV554)*($AN$7-$AL$7)*($AN$7-$AM$7))),$AM$7)</f>
        <v/>
      </c>
      <c r="AN554">
        <f>IFERROR(IF(AW554&lt;($AM$8-$AL$8)/($AN$8-$AL$8),$AL$8+SQRT(AW554*($AN$8-$AL$8)*($AM$8-$AL$8)),$AN$8-SQRT((1-AW554)*($AN$8-$AL$8)*($AN$8-$AM$8))),$AM$8)</f>
        <v/>
      </c>
      <c r="AO554">
        <f>IFERROR(IF(AX554&lt;($AM$9-$AL$9)/($AN$9-$AL$9),$AL$9+SQRT(AX554*($AN$9-$AL$9)*($AM$9-$AL$9)),$AN$9-SQRT((1-AX554)*($AN$9-$AL$9)*($AN$9-$AM$9))),$AM$9)</f>
        <v/>
      </c>
      <c r="AP554">
        <f>IFERROR(IF(AY554&lt;($AM$10-$AL$10)/($AN$10-$AL$10),$AL$10+SQRT(AY554*($AN$10-$AL$10)*($AM$10-$AL$10)),$AN$10-SQRT((1-AY554)*($AN$10-$AL$10)*($AN$10-$AM$10))),$AM$10)</f>
        <v/>
      </c>
      <c r="AQ554">
        <f>IFERROR(IF(AZ554&lt;($AM$11-$AL$11)/($AN$11-$AL$11),$AL$11+SQRT(AZ554*($AN$11-$AL$11)*($AM$11-$AL$11)),$AN$11-SQRT((1-AZ554)*($AN$11-$AL$11)*($AN$11-$AM$11))),$AM$11)</f>
        <v/>
      </c>
      <c r="AR554">
        <f>SUMPRODUCT((B24:B31&lt;=$B$6)*(C24:C31*AM554+D24:D31*AO554*$B$8*AQ554)/(1+AL554/100)^B24:B31)+C32*AM554*AP554/(1+AL554/100)^$B$6</f>
        <v/>
      </c>
      <c r="AS554">
        <f>SUMPRODUCT((K24:K26&lt;=$B$6)*(L24:L26*AN554+M24:M26*AO554*$B$8*AQ554)/(1+AL554/100)^K24:K26)+L27*AN554*AP554/(1+AL554/100)^$B$6</f>
        <v/>
      </c>
      <c r="AT554">
        <f>AS554-AR554</f>
        <v/>
      </c>
      <c r="AU554">
        <f>RAND()</f>
        <v/>
      </c>
      <c r="AV554">
        <f>RAND()</f>
        <v/>
      </c>
      <c r="AW554">
        <f>RAND()</f>
        <v/>
      </c>
      <c r="AX554">
        <f>RAND()</f>
        <v/>
      </c>
      <c r="AY554">
        <f>RAND()</f>
        <v/>
      </c>
      <c r="AZ554">
        <f>RAND()</f>
        <v/>
      </c>
    </row>
    <row r="555">
      <c r="AK555" t="n">
        <v>542</v>
      </c>
      <c r="AL555">
        <f>IFERROR(IF(AU555&lt;($AM$6-$AL$6)/($AN$6-$AL$6),$AL$6+SQRT(AU555*($AN$6-$AL$6)*($AM$6-$AL$6)),$AN$6-SQRT((1-AU555)*($AN$6-$AL$6)*($AN$6-$AM$6))),$AM$6)</f>
        <v/>
      </c>
      <c r="AM555">
        <f>IFERROR(IF(AV555&lt;($AM$7-$AL$7)/($AN$7-$AL$7),$AL$7+SQRT(AV555*($AN$7-$AL$7)*($AM$7-$AL$7)),$AN$7-SQRT((1-AV555)*($AN$7-$AL$7)*($AN$7-$AM$7))),$AM$7)</f>
        <v/>
      </c>
      <c r="AN555">
        <f>IFERROR(IF(AW555&lt;($AM$8-$AL$8)/($AN$8-$AL$8),$AL$8+SQRT(AW555*($AN$8-$AL$8)*($AM$8-$AL$8)),$AN$8-SQRT((1-AW555)*($AN$8-$AL$8)*($AN$8-$AM$8))),$AM$8)</f>
        <v/>
      </c>
      <c r="AO555">
        <f>IFERROR(IF(AX555&lt;($AM$9-$AL$9)/($AN$9-$AL$9),$AL$9+SQRT(AX555*($AN$9-$AL$9)*($AM$9-$AL$9)),$AN$9-SQRT((1-AX555)*($AN$9-$AL$9)*($AN$9-$AM$9))),$AM$9)</f>
        <v/>
      </c>
      <c r="AP555">
        <f>IFERROR(IF(AY555&lt;($AM$10-$AL$10)/($AN$10-$AL$10),$AL$10+SQRT(AY555*($AN$10-$AL$10)*($AM$10-$AL$10)),$AN$10-SQRT((1-AY555)*($AN$10-$AL$10)*($AN$10-$AM$10))),$AM$10)</f>
        <v/>
      </c>
      <c r="AQ555">
        <f>IFERROR(IF(AZ555&lt;($AM$11-$AL$11)/($AN$11-$AL$11),$AL$11+SQRT(AZ555*($AN$11-$AL$11)*($AM$11-$AL$11)),$AN$11-SQRT((1-AZ555)*($AN$11-$AL$11)*($AN$11-$AM$11))),$AM$11)</f>
        <v/>
      </c>
      <c r="AR555">
        <f>SUMPRODUCT((B24:B31&lt;=$B$6)*(C24:C31*AM555+D24:D31*AO555*$B$8*AQ555)/(1+AL555/100)^B24:B31)+C32*AM555*AP555/(1+AL555/100)^$B$6</f>
        <v/>
      </c>
      <c r="AS555">
        <f>SUMPRODUCT((K24:K26&lt;=$B$6)*(L24:L26*AN555+M24:M26*AO555*$B$8*AQ555)/(1+AL555/100)^K24:K26)+L27*AN555*AP555/(1+AL555/100)^$B$6</f>
        <v/>
      </c>
      <c r="AT555">
        <f>AS555-AR555</f>
        <v/>
      </c>
      <c r="AU555">
        <f>RAND()</f>
        <v/>
      </c>
      <c r="AV555">
        <f>RAND()</f>
        <v/>
      </c>
      <c r="AW555">
        <f>RAND()</f>
        <v/>
      </c>
      <c r="AX555">
        <f>RAND()</f>
        <v/>
      </c>
      <c r="AY555">
        <f>RAND()</f>
        <v/>
      </c>
      <c r="AZ555">
        <f>RAND()</f>
        <v/>
      </c>
    </row>
    <row r="556">
      <c r="AK556" t="n">
        <v>543</v>
      </c>
      <c r="AL556">
        <f>IFERROR(IF(AU556&lt;($AM$6-$AL$6)/($AN$6-$AL$6),$AL$6+SQRT(AU556*($AN$6-$AL$6)*($AM$6-$AL$6)),$AN$6-SQRT((1-AU556)*($AN$6-$AL$6)*($AN$6-$AM$6))),$AM$6)</f>
        <v/>
      </c>
      <c r="AM556">
        <f>IFERROR(IF(AV556&lt;($AM$7-$AL$7)/($AN$7-$AL$7),$AL$7+SQRT(AV556*($AN$7-$AL$7)*($AM$7-$AL$7)),$AN$7-SQRT((1-AV556)*($AN$7-$AL$7)*($AN$7-$AM$7))),$AM$7)</f>
        <v/>
      </c>
      <c r="AN556">
        <f>IFERROR(IF(AW556&lt;($AM$8-$AL$8)/($AN$8-$AL$8),$AL$8+SQRT(AW556*($AN$8-$AL$8)*($AM$8-$AL$8)),$AN$8-SQRT((1-AW556)*($AN$8-$AL$8)*($AN$8-$AM$8))),$AM$8)</f>
        <v/>
      </c>
      <c r="AO556">
        <f>IFERROR(IF(AX556&lt;($AM$9-$AL$9)/($AN$9-$AL$9),$AL$9+SQRT(AX556*($AN$9-$AL$9)*($AM$9-$AL$9)),$AN$9-SQRT((1-AX556)*($AN$9-$AL$9)*($AN$9-$AM$9))),$AM$9)</f>
        <v/>
      </c>
      <c r="AP556">
        <f>IFERROR(IF(AY556&lt;($AM$10-$AL$10)/($AN$10-$AL$10),$AL$10+SQRT(AY556*($AN$10-$AL$10)*($AM$10-$AL$10)),$AN$10-SQRT((1-AY556)*($AN$10-$AL$10)*($AN$10-$AM$10))),$AM$10)</f>
        <v/>
      </c>
      <c r="AQ556">
        <f>IFERROR(IF(AZ556&lt;($AM$11-$AL$11)/($AN$11-$AL$11),$AL$11+SQRT(AZ556*($AN$11-$AL$11)*($AM$11-$AL$11)),$AN$11-SQRT((1-AZ556)*($AN$11-$AL$11)*($AN$11-$AM$11))),$AM$11)</f>
        <v/>
      </c>
      <c r="AR556">
        <f>SUMPRODUCT((B24:B31&lt;=$B$6)*(C24:C31*AM556+D24:D31*AO556*$B$8*AQ556)/(1+AL556/100)^B24:B31)+C32*AM556*AP556/(1+AL556/100)^$B$6</f>
        <v/>
      </c>
      <c r="AS556">
        <f>SUMPRODUCT((K24:K26&lt;=$B$6)*(L24:L26*AN556+M24:M26*AO556*$B$8*AQ556)/(1+AL556/100)^K24:K26)+L27*AN556*AP556/(1+AL556/100)^$B$6</f>
        <v/>
      </c>
      <c r="AT556">
        <f>AS556-AR556</f>
        <v/>
      </c>
      <c r="AU556">
        <f>RAND()</f>
        <v/>
      </c>
      <c r="AV556">
        <f>RAND()</f>
        <v/>
      </c>
      <c r="AW556">
        <f>RAND()</f>
        <v/>
      </c>
      <c r="AX556">
        <f>RAND()</f>
        <v/>
      </c>
      <c r="AY556">
        <f>RAND()</f>
        <v/>
      </c>
      <c r="AZ556">
        <f>RAND()</f>
        <v/>
      </c>
    </row>
    <row r="557">
      <c r="AK557" t="n">
        <v>544</v>
      </c>
      <c r="AL557">
        <f>IFERROR(IF(AU557&lt;($AM$6-$AL$6)/($AN$6-$AL$6),$AL$6+SQRT(AU557*($AN$6-$AL$6)*($AM$6-$AL$6)),$AN$6-SQRT((1-AU557)*($AN$6-$AL$6)*($AN$6-$AM$6))),$AM$6)</f>
        <v/>
      </c>
      <c r="AM557">
        <f>IFERROR(IF(AV557&lt;($AM$7-$AL$7)/($AN$7-$AL$7),$AL$7+SQRT(AV557*($AN$7-$AL$7)*($AM$7-$AL$7)),$AN$7-SQRT((1-AV557)*($AN$7-$AL$7)*($AN$7-$AM$7))),$AM$7)</f>
        <v/>
      </c>
      <c r="AN557">
        <f>IFERROR(IF(AW557&lt;($AM$8-$AL$8)/($AN$8-$AL$8),$AL$8+SQRT(AW557*($AN$8-$AL$8)*($AM$8-$AL$8)),$AN$8-SQRT((1-AW557)*($AN$8-$AL$8)*($AN$8-$AM$8))),$AM$8)</f>
        <v/>
      </c>
      <c r="AO557">
        <f>IFERROR(IF(AX557&lt;($AM$9-$AL$9)/($AN$9-$AL$9),$AL$9+SQRT(AX557*($AN$9-$AL$9)*($AM$9-$AL$9)),$AN$9-SQRT((1-AX557)*($AN$9-$AL$9)*($AN$9-$AM$9))),$AM$9)</f>
        <v/>
      </c>
      <c r="AP557">
        <f>IFERROR(IF(AY557&lt;($AM$10-$AL$10)/($AN$10-$AL$10),$AL$10+SQRT(AY557*($AN$10-$AL$10)*($AM$10-$AL$10)),$AN$10-SQRT((1-AY557)*($AN$10-$AL$10)*($AN$10-$AM$10))),$AM$10)</f>
        <v/>
      </c>
      <c r="AQ557">
        <f>IFERROR(IF(AZ557&lt;($AM$11-$AL$11)/($AN$11-$AL$11),$AL$11+SQRT(AZ557*($AN$11-$AL$11)*($AM$11-$AL$11)),$AN$11-SQRT((1-AZ557)*($AN$11-$AL$11)*($AN$11-$AM$11))),$AM$11)</f>
        <v/>
      </c>
      <c r="AR557">
        <f>SUMPRODUCT((B24:B31&lt;=$B$6)*(C24:C31*AM557+D24:D31*AO557*$B$8*AQ557)/(1+AL557/100)^B24:B31)+C32*AM557*AP557/(1+AL557/100)^$B$6</f>
        <v/>
      </c>
      <c r="AS557">
        <f>SUMPRODUCT((K24:K26&lt;=$B$6)*(L24:L26*AN557+M24:M26*AO557*$B$8*AQ557)/(1+AL557/100)^K24:K26)+L27*AN557*AP557/(1+AL557/100)^$B$6</f>
        <v/>
      </c>
      <c r="AT557">
        <f>AS557-AR557</f>
        <v/>
      </c>
      <c r="AU557">
        <f>RAND()</f>
        <v/>
      </c>
      <c r="AV557">
        <f>RAND()</f>
        <v/>
      </c>
      <c r="AW557">
        <f>RAND()</f>
        <v/>
      </c>
      <c r="AX557">
        <f>RAND()</f>
        <v/>
      </c>
      <c r="AY557">
        <f>RAND()</f>
        <v/>
      </c>
      <c r="AZ557">
        <f>RAND()</f>
        <v/>
      </c>
    </row>
    <row r="558">
      <c r="AK558" t="n">
        <v>545</v>
      </c>
      <c r="AL558">
        <f>IFERROR(IF(AU558&lt;($AM$6-$AL$6)/($AN$6-$AL$6),$AL$6+SQRT(AU558*($AN$6-$AL$6)*($AM$6-$AL$6)),$AN$6-SQRT((1-AU558)*($AN$6-$AL$6)*($AN$6-$AM$6))),$AM$6)</f>
        <v/>
      </c>
      <c r="AM558">
        <f>IFERROR(IF(AV558&lt;($AM$7-$AL$7)/($AN$7-$AL$7),$AL$7+SQRT(AV558*($AN$7-$AL$7)*($AM$7-$AL$7)),$AN$7-SQRT((1-AV558)*($AN$7-$AL$7)*($AN$7-$AM$7))),$AM$7)</f>
        <v/>
      </c>
      <c r="AN558">
        <f>IFERROR(IF(AW558&lt;($AM$8-$AL$8)/($AN$8-$AL$8),$AL$8+SQRT(AW558*($AN$8-$AL$8)*($AM$8-$AL$8)),$AN$8-SQRT((1-AW558)*($AN$8-$AL$8)*($AN$8-$AM$8))),$AM$8)</f>
        <v/>
      </c>
      <c r="AO558">
        <f>IFERROR(IF(AX558&lt;($AM$9-$AL$9)/($AN$9-$AL$9),$AL$9+SQRT(AX558*($AN$9-$AL$9)*($AM$9-$AL$9)),$AN$9-SQRT((1-AX558)*($AN$9-$AL$9)*($AN$9-$AM$9))),$AM$9)</f>
        <v/>
      </c>
      <c r="AP558">
        <f>IFERROR(IF(AY558&lt;($AM$10-$AL$10)/($AN$10-$AL$10),$AL$10+SQRT(AY558*($AN$10-$AL$10)*($AM$10-$AL$10)),$AN$10-SQRT((1-AY558)*($AN$10-$AL$10)*($AN$10-$AM$10))),$AM$10)</f>
        <v/>
      </c>
      <c r="AQ558">
        <f>IFERROR(IF(AZ558&lt;($AM$11-$AL$11)/($AN$11-$AL$11),$AL$11+SQRT(AZ558*($AN$11-$AL$11)*($AM$11-$AL$11)),$AN$11-SQRT((1-AZ558)*($AN$11-$AL$11)*($AN$11-$AM$11))),$AM$11)</f>
        <v/>
      </c>
      <c r="AR558">
        <f>SUMPRODUCT((B24:B31&lt;=$B$6)*(C24:C31*AM558+D24:D31*AO558*$B$8*AQ558)/(1+AL558/100)^B24:B31)+C32*AM558*AP558/(1+AL558/100)^$B$6</f>
        <v/>
      </c>
      <c r="AS558">
        <f>SUMPRODUCT((K24:K26&lt;=$B$6)*(L24:L26*AN558+M24:M26*AO558*$B$8*AQ558)/(1+AL558/100)^K24:K26)+L27*AN558*AP558/(1+AL558/100)^$B$6</f>
        <v/>
      </c>
      <c r="AT558">
        <f>AS558-AR558</f>
        <v/>
      </c>
      <c r="AU558">
        <f>RAND()</f>
        <v/>
      </c>
      <c r="AV558">
        <f>RAND()</f>
        <v/>
      </c>
      <c r="AW558">
        <f>RAND()</f>
        <v/>
      </c>
      <c r="AX558">
        <f>RAND()</f>
        <v/>
      </c>
      <c r="AY558">
        <f>RAND()</f>
        <v/>
      </c>
      <c r="AZ558">
        <f>RAND()</f>
        <v/>
      </c>
    </row>
    <row r="559">
      <c r="AK559" t="n">
        <v>546</v>
      </c>
      <c r="AL559">
        <f>IFERROR(IF(AU559&lt;($AM$6-$AL$6)/($AN$6-$AL$6),$AL$6+SQRT(AU559*($AN$6-$AL$6)*($AM$6-$AL$6)),$AN$6-SQRT((1-AU559)*($AN$6-$AL$6)*($AN$6-$AM$6))),$AM$6)</f>
        <v/>
      </c>
      <c r="AM559">
        <f>IFERROR(IF(AV559&lt;($AM$7-$AL$7)/($AN$7-$AL$7),$AL$7+SQRT(AV559*($AN$7-$AL$7)*($AM$7-$AL$7)),$AN$7-SQRT((1-AV559)*($AN$7-$AL$7)*($AN$7-$AM$7))),$AM$7)</f>
        <v/>
      </c>
      <c r="AN559">
        <f>IFERROR(IF(AW559&lt;($AM$8-$AL$8)/($AN$8-$AL$8),$AL$8+SQRT(AW559*($AN$8-$AL$8)*($AM$8-$AL$8)),$AN$8-SQRT((1-AW559)*($AN$8-$AL$8)*($AN$8-$AM$8))),$AM$8)</f>
        <v/>
      </c>
      <c r="AO559">
        <f>IFERROR(IF(AX559&lt;($AM$9-$AL$9)/($AN$9-$AL$9),$AL$9+SQRT(AX559*($AN$9-$AL$9)*($AM$9-$AL$9)),$AN$9-SQRT((1-AX559)*($AN$9-$AL$9)*($AN$9-$AM$9))),$AM$9)</f>
        <v/>
      </c>
      <c r="AP559">
        <f>IFERROR(IF(AY559&lt;($AM$10-$AL$10)/($AN$10-$AL$10),$AL$10+SQRT(AY559*($AN$10-$AL$10)*($AM$10-$AL$10)),$AN$10-SQRT((1-AY559)*($AN$10-$AL$10)*($AN$10-$AM$10))),$AM$10)</f>
        <v/>
      </c>
      <c r="AQ559">
        <f>IFERROR(IF(AZ559&lt;($AM$11-$AL$11)/($AN$11-$AL$11),$AL$11+SQRT(AZ559*($AN$11-$AL$11)*($AM$11-$AL$11)),$AN$11-SQRT((1-AZ559)*($AN$11-$AL$11)*($AN$11-$AM$11))),$AM$11)</f>
        <v/>
      </c>
      <c r="AR559">
        <f>SUMPRODUCT((B24:B31&lt;=$B$6)*(C24:C31*AM559+D24:D31*AO559*$B$8*AQ559)/(1+AL559/100)^B24:B31)+C32*AM559*AP559/(1+AL559/100)^$B$6</f>
        <v/>
      </c>
      <c r="AS559">
        <f>SUMPRODUCT((K24:K26&lt;=$B$6)*(L24:L26*AN559+M24:M26*AO559*$B$8*AQ559)/(1+AL559/100)^K24:K26)+L27*AN559*AP559/(1+AL559/100)^$B$6</f>
        <v/>
      </c>
      <c r="AT559">
        <f>AS559-AR559</f>
        <v/>
      </c>
      <c r="AU559">
        <f>RAND()</f>
        <v/>
      </c>
      <c r="AV559">
        <f>RAND()</f>
        <v/>
      </c>
      <c r="AW559">
        <f>RAND()</f>
        <v/>
      </c>
      <c r="AX559">
        <f>RAND()</f>
        <v/>
      </c>
      <c r="AY559">
        <f>RAND()</f>
        <v/>
      </c>
      <c r="AZ559">
        <f>RAND()</f>
        <v/>
      </c>
    </row>
    <row r="560">
      <c r="AK560" t="n">
        <v>547</v>
      </c>
      <c r="AL560">
        <f>IFERROR(IF(AU560&lt;($AM$6-$AL$6)/($AN$6-$AL$6),$AL$6+SQRT(AU560*($AN$6-$AL$6)*($AM$6-$AL$6)),$AN$6-SQRT((1-AU560)*($AN$6-$AL$6)*($AN$6-$AM$6))),$AM$6)</f>
        <v/>
      </c>
      <c r="AM560">
        <f>IFERROR(IF(AV560&lt;($AM$7-$AL$7)/($AN$7-$AL$7),$AL$7+SQRT(AV560*($AN$7-$AL$7)*($AM$7-$AL$7)),$AN$7-SQRT((1-AV560)*($AN$7-$AL$7)*($AN$7-$AM$7))),$AM$7)</f>
        <v/>
      </c>
      <c r="AN560">
        <f>IFERROR(IF(AW560&lt;($AM$8-$AL$8)/($AN$8-$AL$8),$AL$8+SQRT(AW560*($AN$8-$AL$8)*($AM$8-$AL$8)),$AN$8-SQRT((1-AW560)*($AN$8-$AL$8)*($AN$8-$AM$8))),$AM$8)</f>
        <v/>
      </c>
      <c r="AO560">
        <f>IFERROR(IF(AX560&lt;($AM$9-$AL$9)/($AN$9-$AL$9),$AL$9+SQRT(AX560*($AN$9-$AL$9)*($AM$9-$AL$9)),$AN$9-SQRT((1-AX560)*($AN$9-$AL$9)*($AN$9-$AM$9))),$AM$9)</f>
        <v/>
      </c>
      <c r="AP560">
        <f>IFERROR(IF(AY560&lt;($AM$10-$AL$10)/($AN$10-$AL$10),$AL$10+SQRT(AY560*($AN$10-$AL$10)*($AM$10-$AL$10)),$AN$10-SQRT((1-AY560)*($AN$10-$AL$10)*($AN$10-$AM$10))),$AM$10)</f>
        <v/>
      </c>
      <c r="AQ560">
        <f>IFERROR(IF(AZ560&lt;($AM$11-$AL$11)/($AN$11-$AL$11),$AL$11+SQRT(AZ560*($AN$11-$AL$11)*($AM$11-$AL$11)),$AN$11-SQRT((1-AZ560)*($AN$11-$AL$11)*($AN$11-$AM$11))),$AM$11)</f>
        <v/>
      </c>
      <c r="AR560">
        <f>SUMPRODUCT((B24:B31&lt;=$B$6)*(C24:C31*AM560+D24:D31*AO560*$B$8*AQ560)/(1+AL560/100)^B24:B31)+C32*AM560*AP560/(1+AL560/100)^$B$6</f>
        <v/>
      </c>
      <c r="AS560">
        <f>SUMPRODUCT((K24:K26&lt;=$B$6)*(L24:L26*AN560+M24:M26*AO560*$B$8*AQ560)/(1+AL560/100)^K24:K26)+L27*AN560*AP560/(1+AL560/100)^$B$6</f>
        <v/>
      </c>
      <c r="AT560">
        <f>AS560-AR560</f>
        <v/>
      </c>
      <c r="AU560">
        <f>RAND()</f>
        <v/>
      </c>
      <c r="AV560">
        <f>RAND()</f>
        <v/>
      </c>
      <c r="AW560">
        <f>RAND()</f>
        <v/>
      </c>
      <c r="AX560">
        <f>RAND()</f>
        <v/>
      </c>
      <c r="AY560">
        <f>RAND()</f>
        <v/>
      </c>
      <c r="AZ560">
        <f>RAND()</f>
        <v/>
      </c>
    </row>
    <row r="561">
      <c r="AK561" t="n">
        <v>548</v>
      </c>
      <c r="AL561">
        <f>IFERROR(IF(AU561&lt;($AM$6-$AL$6)/($AN$6-$AL$6),$AL$6+SQRT(AU561*($AN$6-$AL$6)*($AM$6-$AL$6)),$AN$6-SQRT((1-AU561)*($AN$6-$AL$6)*($AN$6-$AM$6))),$AM$6)</f>
        <v/>
      </c>
      <c r="AM561">
        <f>IFERROR(IF(AV561&lt;($AM$7-$AL$7)/($AN$7-$AL$7),$AL$7+SQRT(AV561*($AN$7-$AL$7)*($AM$7-$AL$7)),$AN$7-SQRT((1-AV561)*($AN$7-$AL$7)*($AN$7-$AM$7))),$AM$7)</f>
        <v/>
      </c>
      <c r="AN561">
        <f>IFERROR(IF(AW561&lt;($AM$8-$AL$8)/($AN$8-$AL$8),$AL$8+SQRT(AW561*($AN$8-$AL$8)*($AM$8-$AL$8)),$AN$8-SQRT((1-AW561)*($AN$8-$AL$8)*($AN$8-$AM$8))),$AM$8)</f>
        <v/>
      </c>
      <c r="AO561">
        <f>IFERROR(IF(AX561&lt;($AM$9-$AL$9)/($AN$9-$AL$9),$AL$9+SQRT(AX561*($AN$9-$AL$9)*($AM$9-$AL$9)),$AN$9-SQRT((1-AX561)*($AN$9-$AL$9)*($AN$9-$AM$9))),$AM$9)</f>
        <v/>
      </c>
      <c r="AP561">
        <f>IFERROR(IF(AY561&lt;($AM$10-$AL$10)/($AN$10-$AL$10),$AL$10+SQRT(AY561*($AN$10-$AL$10)*($AM$10-$AL$10)),$AN$10-SQRT((1-AY561)*($AN$10-$AL$10)*($AN$10-$AM$10))),$AM$10)</f>
        <v/>
      </c>
      <c r="AQ561">
        <f>IFERROR(IF(AZ561&lt;($AM$11-$AL$11)/($AN$11-$AL$11),$AL$11+SQRT(AZ561*($AN$11-$AL$11)*($AM$11-$AL$11)),$AN$11-SQRT((1-AZ561)*($AN$11-$AL$11)*($AN$11-$AM$11))),$AM$11)</f>
        <v/>
      </c>
      <c r="AR561">
        <f>SUMPRODUCT((B24:B31&lt;=$B$6)*(C24:C31*AM561+D24:D31*AO561*$B$8*AQ561)/(1+AL561/100)^B24:B31)+C32*AM561*AP561/(1+AL561/100)^$B$6</f>
        <v/>
      </c>
      <c r="AS561">
        <f>SUMPRODUCT((K24:K26&lt;=$B$6)*(L24:L26*AN561+M24:M26*AO561*$B$8*AQ561)/(1+AL561/100)^K24:K26)+L27*AN561*AP561/(1+AL561/100)^$B$6</f>
        <v/>
      </c>
      <c r="AT561">
        <f>AS561-AR561</f>
        <v/>
      </c>
      <c r="AU561">
        <f>RAND()</f>
        <v/>
      </c>
      <c r="AV561">
        <f>RAND()</f>
        <v/>
      </c>
      <c r="AW561">
        <f>RAND()</f>
        <v/>
      </c>
      <c r="AX561">
        <f>RAND()</f>
        <v/>
      </c>
      <c r="AY561">
        <f>RAND()</f>
        <v/>
      </c>
      <c r="AZ561">
        <f>RAND()</f>
        <v/>
      </c>
    </row>
    <row r="562">
      <c r="AK562" t="n">
        <v>549</v>
      </c>
      <c r="AL562">
        <f>IFERROR(IF(AU562&lt;($AM$6-$AL$6)/($AN$6-$AL$6),$AL$6+SQRT(AU562*($AN$6-$AL$6)*($AM$6-$AL$6)),$AN$6-SQRT((1-AU562)*($AN$6-$AL$6)*($AN$6-$AM$6))),$AM$6)</f>
        <v/>
      </c>
      <c r="AM562">
        <f>IFERROR(IF(AV562&lt;($AM$7-$AL$7)/($AN$7-$AL$7),$AL$7+SQRT(AV562*($AN$7-$AL$7)*($AM$7-$AL$7)),$AN$7-SQRT((1-AV562)*($AN$7-$AL$7)*($AN$7-$AM$7))),$AM$7)</f>
        <v/>
      </c>
      <c r="AN562">
        <f>IFERROR(IF(AW562&lt;($AM$8-$AL$8)/($AN$8-$AL$8),$AL$8+SQRT(AW562*($AN$8-$AL$8)*($AM$8-$AL$8)),$AN$8-SQRT((1-AW562)*($AN$8-$AL$8)*($AN$8-$AM$8))),$AM$8)</f>
        <v/>
      </c>
      <c r="AO562">
        <f>IFERROR(IF(AX562&lt;($AM$9-$AL$9)/($AN$9-$AL$9),$AL$9+SQRT(AX562*($AN$9-$AL$9)*($AM$9-$AL$9)),$AN$9-SQRT((1-AX562)*($AN$9-$AL$9)*($AN$9-$AM$9))),$AM$9)</f>
        <v/>
      </c>
      <c r="AP562">
        <f>IFERROR(IF(AY562&lt;($AM$10-$AL$10)/($AN$10-$AL$10),$AL$10+SQRT(AY562*($AN$10-$AL$10)*($AM$10-$AL$10)),$AN$10-SQRT((1-AY562)*($AN$10-$AL$10)*($AN$10-$AM$10))),$AM$10)</f>
        <v/>
      </c>
      <c r="AQ562">
        <f>IFERROR(IF(AZ562&lt;($AM$11-$AL$11)/($AN$11-$AL$11),$AL$11+SQRT(AZ562*($AN$11-$AL$11)*($AM$11-$AL$11)),$AN$11-SQRT((1-AZ562)*($AN$11-$AL$11)*($AN$11-$AM$11))),$AM$11)</f>
        <v/>
      </c>
      <c r="AR562">
        <f>SUMPRODUCT((B24:B31&lt;=$B$6)*(C24:C31*AM562+D24:D31*AO562*$B$8*AQ562)/(1+AL562/100)^B24:B31)+C32*AM562*AP562/(1+AL562/100)^$B$6</f>
        <v/>
      </c>
      <c r="AS562">
        <f>SUMPRODUCT((K24:K26&lt;=$B$6)*(L24:L26*AN562+M24:M26*AO562*$B$8*AQ562)/(1+AL562/100)^K24:K26)+L27*AN562*AP562/(1+AL562/100)^$B$6</f>
        <v/>
      </c>
      <c r="AT562">
        <f>AS562-AR562</f>
        <v/>
      </c>
      <c r="AU562">
        <f>RAND()</f>
        <v/>
      </c>
      <c r="AV562">
        <f>RAND()</f>
        <v/>
      </c>
      <c r="AW562">
        <f>RAND()</f>
        <v/>
      </c>
      <c r="AX562">
        <f>RAND()</f>
        <v/>
      </c>
      <c r="AY562">
        <f>RAND()</f>
        <v/>
      </c>
      <c r="AZ562">
        <f>RAND()</f>
        <v/>
      </c>
    </row>
    <row r="563">
      <c r="AK563" t="n">
        <v>550</v>
      </c>
      <c r="AL563">
        <f>IFERROR(IF(AU563&lt;($AM$6-$AL$6)/($AN$6-$AL$6),$AL$6+SQRT(AU563*($AN$6-$AL$6)*($AM$6-$AL$6)),$AN$6-SQRT((1-AU563)*($AN$6-$AL$6)*($AN$6-$AM$6))),$AM$6)</f>
        <v/>
      </c>
      <c r="AM563">
        <f>IFERROR(IF(AV563&lt;($AM$7-$AL$7)/($AN$7-$AL$7),$AL$7+SQRT(AV563*($AN$7-$AL$7)*($AM$7-$AL$7)),$AN$7-SQRT((1-AV563)*($AN$7-$AL$7)*($AN$7-$AM$7))),$AM$7)</f>
        <v/>
      </c>
      <c r="AN563">
        <f>IFERROR(IF(AW563&lt;($AM$8-$AL$8)/($AN$8-$AL$8),$AL$8+SQRT(AW563*($AN$8-$AL$8)*($AM$8-$AL$8)),$AN$8-SQRT((1-AW563)*($AN$8-$AL$8)*($AN$8-$AM$8))),$AM$8)</f>
        <v/>
      </c>
      <c r="AO563">
        <f>IFERROR(IF(AX563&lt;($AM$9-$AL$9)/($AN$9-$AL$9),$AL$9+SQRT(AX563*($AN$9-$AL$9)*($AM$9-$AL$9)),$AN$9-SQRT((1-AX563)*($AN$9-$AL$9)*($AN$9-$AM$9))),$AM$9)</f>
        <v/>
      </c>
      <c r="AP563">
        <f>IFERROR(IF(AY563&lt;($AM$10-$AL$10)/($AN$10-$AL$10),$AL$10+SQRT(AY563*($AN$10-$AL$10)*($AM$10-$AL$10)),$AN$10-SQRT((1-AY563)*($AN$10-$AL$10)*($AN$10-$AM$10))),$AM$10)</f>
        <v/>
      </c>
      <c r="AQ563">
        <f>IFERROR(IF(AZ563&lt;($AM$11-$AL$11)/($AN$11-$AL$11),$AL$11+SQRT(AZ563*($AN$11-$AL$11)*($AM$11-$AL$11)),$AN$11-SQRT((1-AZ563)*($AN$11-$AL$11)*($AN$11-$AM$11))),$AM$11)</f>
        <v/>
      </c>
      <c r="AR563">
        <f>SUMPRODUCT((B24:B31&lt;=$B$6)*(C24:C31*AM563+D24:D31*AO563*$B$8*AQ563)/(1+AL563/100)^B24:B31)+C32*AM563*AP563/(1+AL563/100)^$B$6</f>
        <v/>
      </c>
      <c r="AS563">
        <f>SUMPRODUCT((K24:K26&lt;=$B$6)*(L24:L26*AN563+M24:M26*AO563*$B$8*AQ563)/(1+AL563/100)^K24:K26)+L27*AN563*AP563/(1+AL563/100)^$B$6</f>
        <v/>
      </c>
      <c r="AT563">
        <f>AS563-AR563</f>
        <v/>
      </c>
      <c r="AU563">
        <f>RAND()</f>
        <v/>
      </c>
      <c r="AV563">
        <f>RAND()</f>
        <v/>
      </c>
      <c r="AW563">
        <f>RAND()</f>
        <v/>
      </c>
      <c r="AX563">
        <f>RAND()</f>
        <v/>
      </c>
      <c r="AY563">
        <f>RAND()</f>
        <v/>
      </c>
      <c r="AZ563">
        <f>RAND()</f>
        <v/>
      </c>
    </row>
    <row r="564">
      <c r="AK564" t="n">
        <v>551</v>
      </c>
      <c r="AL564">
        <f>IFERROR(IF(AU564&lt;($AM$6-$AL$6)/($AN$6-$AL$6),$AL$6+SQRT(AU564*($AN$6-$AL$6)*($AM$6-$AL$6)),$AN$6-SQRT((1-AU564)*($AN$6-$AL$6)*($AN$6-$AM$6))),$AM$6)</f>
        <v/>
      </c>
      <c r="AM564">
        <f>IFERROR(IF(AV564&lt;($AM$7-$AL$7)/($AN$7-$AL$7),$AL$7+SQRT(AV564*($AN$7-$AL$7)*($AM$7-$AL$7)),$AN$7-SQRT((1-AV564)*($AN$7-$AL$7)*($AN$7-$AM$7))),$AM$7)</f>
        <v/>
      </c>
      <c r="AN564">
        <f>IFERROR(IF(AW564&lt;($AM$8-$AL$8)/($AN$8-$AL$8),$AL$8+SQRT(AW564*($AN$8-$AL$8)*($AM$8-$AL$8)),$AN$8-SQRT((1-AW564)*($AN$8-$AL$8)*($AN$8-$AM$8))),$AM$8)</f>
        <v/>
      </c>
      <c r="AO564">
        <f>IFERROR(IF(AX564&lt;($AM$9-$AL$9)/($AN$9-$AL$9),$AL$9+SQRT(AX564*($AN$9-$AL$9)*($AM$9-$AL$9)),$AN$9-SQRT((1-AX564)*($AN$9-$AL$9)*($AN$9-$AM$9))),$AM$9)</f>
        <v/>
      </c>
      <c r="AP564">
        <f>IFERROR(IF(AY564&lt;($AM$10-$AL$10)/($AN$10-$AL$10),$AL$10+SQRT(AY564*($AN$10-$AL$10)*($AM$10-$AL$10)),$AN$10-SQRT((1-AY564)*($AN$10-$AL$10)*($AN$10-$AM$10))),$AM$10)</f>
        <v/>
      </c>
      <c r="AQ564">
        <f>IFERROR(IF(AZ564&lt;($AM$11-$AL$11)/($AN$11-$AL$11),$AL$11+SQRT(AZ564*($AN$11-$AL$11)*($AM$11-$AL$11)),$AN$11-SQRT((1-AZ564)*($AN$11-$AL$11)*($AN$11-$AM$11))),$AM$11)</f>
        <v/>
      </c>
      <c r="AR564">
        <f>SUMPRODUCT((B24:B31&lt;=$B$6)*(C24:C31*AM564+D24:D31*AO564*$B$8*AQ564)/(1+AL564/100)^B24:B31)+C32*AM564*AP564/(1+AL564/100)^$B$6</f>
        <v/>
      </c>
      <c r="AS564">
        <f>SUMPRODUCT((K24:K26&lt;=$B$6)*(L24:L26*AN564+M24:M26*AO564*$B$8*AQ564)/(1+AL564/100)^K24:K26)+L27*AN564*AP564/(1+AL564/100)^$B$6</f>
        <v/>
      </c>
      <c r="AT564">
        <f>AS564-AR564</f>
        <v/>
      </c>
      <c r="AU564">
        <f>RAND()</f>
        <v/>
      </c>
      <c r="AV564">
        <f>RAND()</f>
        <v/>
      </c>
      <c r="AW564">
        <f>RAND()</f>
        <v/>
      </c>
      <c r="AX564">
        <f>RAND()</f>
        <v/>
      </c>
      <c r="AY564">
        <f>RAND()</f>
        <v/>
      </c>
      <c r="AZ564">
        <f>RAND()</f>
        <v/>
      </c>
    </row>
    <row r="565">
      <c r="AK565" t="n">
        <v>552</v>
      </c>
      <c r="AL565">
        <f>IFERROR(IF(AU565&lt;($AM$6-$AL$6)/($AN$6-$AL$6),$AL$6+SQRT(AU565*($AN$6-$AL$6)*($AM$6-$AL$6)),$AN$6-SQRT((1-AU565)*($AN$6-$AL$6)*($AN$6-$AM$6))),$AM$6)</f>
        <v/>
      </c>
      <c r="AM565">
        <f>IFERROR(IF(AV565&lt;($AM$7-$AL$7)/($AN$7-$AL$7),$AL$7+SQRT(AV565*($AN$7-$AL$7)*($AM$7-$AL$7)),$AN$7-SQRT((1-AV565)*($AN$7-$AL$7)*($AN$7-$AM$7))),$AM$7)</f>
        <v/>
      </c>
      <c r="AN565">
        <f>IFERROR(IF(AW565&lt;($AM$8-$AL$8)/($AN$8-$AL$8),$AL$8+SQRT(AW565*($AN$8-$AL$8)*($AM$8-$AL$8)),$AN$8-SQRT((1-AW565)*($AN$8-$AL$8)*($AN$8-$AM$8))),$AM$8)</f>
        <v/>
      </c>
      <c r="AO565">
        <f>IFERROR(IF(AX565&lt;($AM$9-$AL$9)/($AN$9-$AL$9),$AL$9+SQRT(AX565*($AN$9-$AL$9)*($AM$9-$AL$9)),$AN$9-SQRT((1-AX565)*($AN$9-$AL$9)*($AN$9-$AM$9))),$AM$9)</f>
        <v/>
      </c>
      <c r="AP565">
        <f>IFERROR(IF(AY565&lt;($AM$10-$AL$10)/($AN$10-$AL$10),$AL$10+SQRT(AY565*($AN$10-$AL$10)*($AM$10-$AL$10)),$AN$10-SQRT((1-AY565)*($AN$10-$AL$10)*($AN$10-$AM$10))),$AM$10)</f>
        <v/>
      </c>
      <c r="AQ565">
        <f>IFERROR(IF(AZ565&lt;($AM$11-$AL$11)/($AN$11-$AL$11),$AL$11+SQRT(AZ565*($AN$11-$AL$11)*($AM$11-$AL$11)),$AN$11-SQRT((1-AZ565)*($AN$11-$AL$11)*($AN$11-$AM$11))),$AM$11)</f>
        <v/>
      </c>
      <c r="AR565">
        <f>SUMPRODUCT((B24:B31&lt;=$B$6)*(C24:C31*AM565+D24:D31*AO565*$B$8*AQ565)/(1+AL565/100)^B24:B31)+C32*AM565*AP565/(1+AL565/100)^$B$6</f>
        <v/>
      </c>
      <c r="AS565">
        <f>SUMPRODUCT((K24:K26&lt;=$B$6)*(L24:L26*AN565+M24:M26*AO565*$B$8*AQ565)/(1+AL565/100)^K24:K26)+L27*AN565*AP565/(1+AL565/100)^$B$6</f>
        <v/>
      </c>
      <c r="AT565">
        <f>AS565-AR565</f>
        <v/>
      </c>
      <c r="AU565">
        <f>RAND()</f>
        <v/>
      </c>
      <c r="AV565">
        <f>RAND()</f>
        <v/>
      </c>
      <c r="AW565">
        <f>RAND()</f>
        <v/>
      </c>
      <c r="AX565">
        <f>RAND()</f>
        <v/>
      </c>
      <c r="AY565">
        <f>RAND()</f>
        <v/>
      </c>
      <c r="AZ565">
        <f>RAND()</f>
        <v/>
      </c>
    </row>
    <row r="566">
      <c r="AK566" t="n">
        <v>553</v>
      </c>
      <c r="AL566">
        <f>IFERROR(IF(AU566&lt;($AM$6-$AL$6)/($AN$6-$AL$6),$AL$6+SQRT(AU566*($AN$6-$AL$6)*($AM$6-$AL$6)),$AN$6-SQRT((1-AU566)*($AN$6-$AL$6)*($AN$6-$AM$6))),$AM$6)</f>
        <v/>
      </c>
      <c r="AM566">
        <f>IFERROR(IF(AV566&lt;($AM$7-$AL$7)/($AN$7-$AL$7),$AL$7+SQRT(AV566*($AN$7-$AL$7)*($AM$7-$AL$7)),$AN$7-SQRT((1-AV566)*($AN$7-$AL$7)*($AN$7-$AM$7))),$AM$7)</f>
        <v/>
      </c>
      <c r="AN566">
        <f>IFERROR(IF(AW566&lt;($AM$8-$AL$8)/($AN$8-$AL$8),$AL$8+SQRT(AW566*($AN$8-$AL$8)*($AM$8-$AL$8)),$AN$8-SQRT((1-AW566)*($AN$8-$AL$8)*($AN$8-$AM$8))),$AM$8)</f>
        <v/>
      </c>
      <c r="AO566">
        <f>IFERROR(IF(AX566&lt;($AM$9-$AL$9)/($AN$9-$AL$9),$AL$9+SQRT(AX566*($AN$9-$AL$9)*($AM$9-$AL$9)),$AN$9-SQRT((1-AX566)*($AN$9-$AL$9)*($AN$9-$AM$9))),$AM$9)</f>
        <v/>
      </c>
      <c r="AP566">
        <f>IFERROR(IF(AY566&lt;($AM$10-$AL$10)/($AN$10-$AL$10),$AL$10+SQRT(AY566*($AN$10-$AL$10)*($AM$10-$AL$10)),$AN$10-SQRT((1-AY566)*($AN$10-$AL$10)*($AN$10-$AM$10))),$AM$10)</f>
        <v/>
      </c>
      <c r="AQ566">
        <f>IFERROR(IF(AZ566&lt;($AM$11-$AL$11)/($AN$11-$AL$11),$AL$11+SQRT(AZ566*($AN$11-$AL$11)*($AM$11-$AL$11)),$AN$11-SQRT((1-AZ566)*($AN$11-$AL$11)*($AN$11-$AM$11))),$AM$11)</f>
        <v/>
      </c>
      <c r="AR566">
        <f>SUMPRODUCT((B24:B31&lt;=$B$6)*(C24:C31*AM566+D24:D31*AO566*$B$8*AQ566)/(1+AL566/100)^B24:B31)+C32*AM566*AP566/(1+AL566/100)^$B$6</f>
        <v/>
      </c>
      <c r="AS566">
        <f>SUMPRODUCT((K24:K26&lt;=$B$6)*(L24:L26*AN566+M24:M26*AO566*$B$8*AQ566)/(1+AL566/100)^K24:K26)+L27*AN566*AP566/(1+AL566/100)^$B$6</f>
        <v/>
      </c>
      <c r="AT566">
        <f>AS566-AR566</f>
        <v/>
      </c>
      <c r="AU566">
        <f>RAND()</f>
        <v/>
      </c>
      <c r="AV566">
        <f>RAND()</f>
        <v/>
      </c>
      <c r="AW566">
        <f>RAND()</f>
        <v/>
      </c>
      <c r="AX566">
        <f>RAND()</f>
        <v/>
      </c>
      <c r="AY566">
        <f>RAND()</f>
        <v/>
      </c>
      <c r="AZ566">
        <f>RAND()</f>
        <v/>
      </c>
    </row>
    <row r="567">
      <c r="AK567" t="n">
        <v>554</v>
      </c>
      <c r="AL567">
        <f>IFERROR(IF(AU567&lt;($AM$6-$AL$6)/($AN$6-$AL$6),$AL$6+SQRT(AU567*($AN$6-$AL$6)*($AM$6-$AL$6)),$AN$6-SQRT((1-AU567)*($AN$6-$AL$6)*($AN$6-$AM$6))),$AM$6)</f>
        <v/>
      </c>
      <c r="AM567">
        <f>IFERROR(IF(AV567&lt;($AM$7-$AL$7)/($AN$7-$AL$7),$AL$7+SQRT(AV567*($AN$7-$AL$7)*($AM$7-$AL$7)),$AN$7-SQRT((1-AV567)*($AN$7-$AL$7)*($AN$7-$AM$7))),$AM$7)</f>
        <v/>
      </c>
      <c r="AN567">
        <f>IFERROR(IF(AW567&lt;($AM$8-$AL$8)/($AN$8-$AL$8),$AL$8+SQRT(AW567*($AN$8-$AL$8)*($AM$8-$AL$8)),$AN$8-SQRT((1-AW567)*($AN$8-$AL$8)*($AN$8-$AM$8))),$AM$8)</f>
        <v/>
      </c>
      <c r="AO567">
        <f>IFERROR(IF(AX567&lt;($AM$9-$AL$9)/($AN$9-$AL$9),$AL$9+SQRT(AX567*($AN$9-$AL$9)*($AM$9-$AL$9)),$AN$9-SQRT((1-AX567)*($AN$9-$AL$9)*($AN$9-$AM$9))),$AM$9)</f>
        <v/>
      </c>
      <c r="AP567">
        <f>IFERROR(IF(AY567&lt;($AM$10-$AL$10)/($AN$10-$AL$10),$AL$10+SQRT(AY567*($AN$10-$AL$10)*($AM$10-$AL$10)),$AN$10-SQRT((1-AY567)*($AN$10-$AL$10)*($AN$10-$AM$10))),$AM$10)</f>
        <v/>
      </c>
      <c r="AQ567">
        <f>IFERROR(IF(AZ567&lt;($AM$11-$AL$11)/($AN$11-$AL$11),$AL$11+SQRT(AZ567*($AN$11-$AL$11)*($AM$11-$AL$11)),$AN$11-SQRT((1-AZ567)*($AN$11-$AL$11)*($AN$11-$AM$11))),$AM$11)</f>
        <v/>
      </c>
      <c r="AR567">
        <f>SUMPRODUCT((B24:B31&lt;=$B$6)*(C24:C31*AM567+D24:D31*AO567*$B$8*AQ567)/(1+AL567/100)^B24:B31)+C32*AM567*AP567/(1+AL567/100)^$B$6</f>
        <v/>
      </c>
      <c r="AS567">
        <f>SUMPRODUCT((K24:K26&lt;=$B$6)*(L24:L26*AN567+M24:M26*AO567*$B$8*AQ567)/(1+AL567/100)^K24:K26)+L27*AN567*AP567/(1+AL567/100)^$B$6</f>
        <v/>
      </c>
      <c r="AT567">
        <f>AS567-AR567</f>
        <v/>
      </c>
      <c r="AU567">
        <f>RAND()</f>
        <v/>
      </c>
      <c r="AV567">
        <f>RAND()</f>
        <v/>
      </c>
      <c r="AW567">
        <f>RAND()</f>
        <v/>
      </c>
      <c r="AX567">
        <f>RAND()</f>
        <v/>
      </c>
      <c r="AY567">
        <f>RAND()</f>
        <v/>
      </c>
      <c r="AZ567">
        <f>RAND()</f>
        <v/>
      </c>
    </row>
    <row r="568">
      <c r="AK568" t="n">
        <v>555</v>
      </c>
      <c r="AL568">
        <f>IFERROR(IF(AU568&lt;($AM$6-$AL$6)/($AN$6-$AL$6),$AL$6+SQRT(AU568*($AN$6-$AL$6)*($AM$6-$AL$6)),$AN$6-SQRT((1-AU568)*($AN$6-$AL$6)*($AN$6-$AM$6))),$AM$6)</f>
        <v/>
      </c>
      <c r="AM568">
        <f>IFERROR(IF(AV568&lt;($AM$7-$AL$7)/($AN$7-$AL$7),$AL$7+SQRT(AV568*($AN$7-$AL$7)*($AM$7-$AL$7)),$AN$7-SQRT((1-AV568)*($AN$7-$AL$7)*($AN$7-$AM$7))),$AM$7)</f>
        <v/>
      </c>
      <c r="AN568">
        <f>IFERROR(IF(AW568&lt;($AM$8-$AL$8)/($AN$8-$AL$8),$AL$8+SQRT(AW568*($AN$8-$AL$8)*($AM$8-$AL$8)),$AN$8-SQRT((1-AW568)*($AN$8-$AL$8)*($AN$8-$AM$8))),$AM$8)</f>
        <v/>
      </c>
      <c r="AO568">
        <f>IFERROR(IF(AX568&lt;($AM$9-$AL$9)/($AN$9-$AL$9),$AL$9+SQRT(AX568*($AN$9-$AL$9)*($AM$9-$AL$9)),$AN$9-SQRT((1-AX568)*($AN$9-$AL$9)*($AN$9-$AM$9))),$AM$9)</f>
        <v/>
      </c>
      <c r="AP568">
        <f>IFERROR(IF(AY568&lt;($AM$10-$AL$10)/($AN$10-$AL$10),$AL$10+SQRT(AY568*($AN$10-$AL$10)*($AM$10-$AL$10)),$AN$10-SQRT((1-AY568)*($AN$10-$AL$10)*($AN$10-$AM$10))),$AM$10)</f>
        <v/>
      </c>
      <c r="AQ568">
        <f>IFERROR(IF(AZ568&lt;($AM$11-$AL$11)/($AN$11-$AL$11),$AL$11+SQRT(AZ568*($AN$11-$AL$11)*($AM$11-$AL$11)),$AN$11-SQRT((1-AZ568)*($AN$11-$AL$11)*($AN$11-$AM$11))),$AM$11)</f>
        <v/>
      </c>
      <c r="AR568">
        <f>SUMPRODUCT((B24:B31&lt;=$B$6)*(C24:C31*AM568+D24:D31*AO568*$B$8*AQ568)/(1+AL568/100)^B24:B31)+C32*AM568*AP568/(1+AL568/100)^$B$6</f>
        <v/>
      </c>
      <c r="AS568">
        <f>SUMPRODUCT((K24:K26&lt;=$B$6)*(L24:L26*AN568+M24:M26*AO568*$B$8*AQ568)/(1+AL568/100)^K24:K26)+L27*AN568*AP568/(1+AL568/100)^$B$6</f>
        <v/>
      </c>
      <c r="AT568">
        <f>AS568-AR568</f>
        <v/>
      </c>
      <c r="AU568">
        <f>RAND()</f>
        <v/>
      </c>
      <c r="AV568">
        <f>RAND()</f>
        <v/>
      </c>
      <c r="AW568">
        <f>RAND()</f>
        <v/>
      </c>
      <c r="AX568">
        <f>RAND()</f>
        <v/>
      </c>
      <c r="AY568">
        <f>RAND()</f>
        <v/>
      </c>
      <c r="AZ568">
        <f>RAND()</f>
        <v/>
      </c>
    </row>
    <row r="569">
      <c r="AK569" t="n">
        <v>556</v>
      </c>
      <c r="AL569">
        <f>IFERROR(IF(AU569&lt;($AM$6-$AL$6)/($AN$6-$AL$6),$AL$6+SQRT(AU569*($AN$6-$AL$6)*($AM$6-$AL$6)),$AN$6-SQRT((1-AU569)*($AN$6-$AL$6)*($AN$6-$AM$6))),$AM$6)</f>
        <v/>
      </c>
      <c r="AM569">
        <f>IFERROR(IF(AV569&lt;($AM$7-$AL$7)/($AN$7-$AL$7),$AL$7+SQRT(AV569*($AN$7-$AL$7)*($AM$7-$AL$7)),$AN$7-SQRT((1-AV569)*($AN$7-$AL$7)*($AN$7-$AM$7))),$AM$7)</f>
        <v/>
      </c>
      <c r="AN569">
        <f>IFERROR(IF(AW569&lt;($AM$8-$AL$8)/($AN$8-$AL$8),$AL$8+SQRT(AW569*($AN$8-$AL$8)*($AM$8-$AL$8)),$AN$8-SQRT((1-AW569)*($AN$8-$AL$8)*($AN$8-$AM$8))),$AM$8)</f>
        <v/>
      </c>
      <c r="AO569">
        <f>IFERROR(IF(AX569&lt;($AM$9-$AL$9)/($AN$9-$AL$9),$AL$9+SQRT(AX569*($AN$9-$AL$9)*($AM$9-$AL$9)),$AN$9-SQRT((1-AX569)*($AN$9-$AL$9)*($AN$9-$AM$9))),$AM$9)</f>
        <v/>
      </c>
      <c r="AP569">
        <f>IFERROR(IF(AY569&lt;($AM$10-$AL$10)/($AN$10-$AL$10),$AL$10+SQRT(AY569*($AN$10-$AL$10)*($AM$10-$AL$10)),$AN$10-SQRT((1-AY569)*($AN$10-$AL$10)*($AN$10-$AM$10))),$AM$10)</f>
        <v/>
      </c>
      <c r="AQ569">
        <f>IFERROR(IF(AZ569&lt;($AM$11-$AL$11)/($AN$11-$AL$11),$AL$11+SQRT(AZ569*($AN$11-$AL$11)*($AM$11-$AL$11)),$AN$11-SQRT((1-AZ569)*($AN$11-$AL$11)*($AN$11-$AM$11))),$AM$11)</f>
        <v/>
      </c>
      <c r="AR569">
        <f>SUMPRODUCT((B24:B31&lt;=$B$6)*(C24:C31*AM569+D24:D31*AO569*$B$8*AQ569)/(1+AL569/100)^B24:B31)+C32*AM569*AP569/(1+AL569/100)^$B$6</f>
        <v/>
      </c>
      <c r="AS569">
        <f>SUMPRODUCT((K24:K26&lt;=$B$6)*(L24:L26*AN569+M24:M26*AO569*$B$8*AQ569)/(1+AL569/100)^K24:K26)+L27*AN569*AP569/(1+AL569/100)^$B$6</f>
        <v/>
      </c>
      <c r="AT569">
        <f>AS569-AR569</f>
        <v/>
      </c>
      <c r="AU569">
        <f>RAND()</f>
        <v/>
      </c>
      <c r="AV569">
        <f>RAND()</f>
        <v/>
      </c>
      <c r="AW569">
        <f>RAND()</f>
        <v/>
      </c>
      <c r="AX569">
        <f>RAND()</f>
        <v/>
      </c>
      <c r="AY569">
        <f>RAND()</f>
        <v/>
      </c>
      <c r="AZ569">
        <f>RAND()</f>
        <v/>
      </c>
    </row>
    <row r="570">
      <c r="AK570" t="n">
        <v>557</v>
      </c>
      <c r="AL570">
        <f>IFERROR(IF(AU570&lt;($AM$6-$AL$6)/($AN$6-$AL$6),$AL$6+SQRT(AU570*($AN$6-$AL$6)*($AM$6-$AL$6)),$AN$6-SQRT((1-AU570)*($AN$6-$AL$6)*($AN$6-$AM$6))),$AM$6)</f>
        <v/>
      </c>
      <c r="AM570">
        <f>IFERROR(IF(AV570&lt;($AM$7-$AL$7)/($AN$7-$AL$7),$AL$7+SQRT(AV570*($AN$7-$AL$7)*($AM$7-$AL$7)),$AN$7-SQRT((1-AV570)*($AN$7-$AL$7)*($AN$7-$AM$7))),$AM$7)</f>
        <v/>
      </c>
      <c r="AN570">
        <f>IFERROR(IF(AW570&lt;($AM$8-$AL$8)/($AN$8-$AL$8),$AL$8+SQRT(AW570*($AN$8-$AL$8)*($AM$8-$AL$8)),$AN$8-SQRT((1-AW570)*($AN$8-$AL$8)*($AN$8-$AM$8))),$AM$8)</f>
        <v/>
      </c>
      <c r="AO570">
        <f>IFERROR(IF(AX570&lt;($AM$9-$AL$9)/($AN$9-$AL$9),$AL$9+SQRT(AX570*($AN$9-$AL$9)*($AM$9-$AL$9)),$AN$9-SQRT((1-AX570)*($AN$9-$AL$9)*($AN$9-$AM$9))),$AM$9)</f>
        <v/>
      </c>
      <c r="AP570">
        <f>IFERROR(IF(AY570&lt;($AM$10-$AL$10)/($AN$10-$AL$10),$AL$10+SQRT(AY570*($AN$10-$AL$10)*($AM$10-$AL$10)),$AN$10-SQRT((1-AY570)*($AN$10-$AL$10)*($AN$10-$AM$10))),$AM$10)</f>
        <v/>
      </c>
      <c r="AQ570">
        <f>IFERROR(IF(AZ570&lt;($AM$11-$AL$11)/($AN$11-$AL$11),$AL$11+SQRT(AZ570*($AN$11-$AL$11)*($AM$11-$AL$11)),$AN$11-SQRT((1-AZ570)*($AN$11-$AL$11)*($AN$11-$AM$11))),$AM$11)</f>
        <v/>
      </c>
      <c r="AR570">
        <f>SUMPRODUCT((B24:B31&lt;=$B$6)*(C24:C31*AM570+D24:D31*AO570*$B$8*AQ570)/(1+AL570/100)^B24:B31)+C32*AM570*AP570/(1+AL570/100)^$B$6</f>
        <v/>
      </c>
      <c r="AS570">
        <f>SUMPRODUCT((K24:K26&lt;=$B$6)*(L24:L26*AN570+M24:M26*AO570*$B$8*AQ570)/(1+AL570/100)^K24:K26)+L27*AN570*AP570/(1+AL570/100)^$B$6</f>
        <v/>
      </c>
      <c r="AT570">
        <f>AS570-AR570</f>
        <v/>
      </c>
      <c r="AU570">
        <f>RAND()</f>
        <v/>
      </c>
      <c r="AV570">
        <f>RAND()</f>
        <v/>
      </c>
      <c r="AW570">
        <f>RAND()</f>
        <v/>
      </c>
      <c r="AX570">
        <f>RAND()</f>
        <v/>
      </c>
      <c r="AY570">
        <f>RAND()</f>
        <v/>
      </c>
      <c r="AZ570">
        <f>RAND()</f>
        <v/>
      </c>
    </row>
    <row r="571">
      <c r="AK571" t="n">
        <v>558</v>
      </c>
      <c r="AL571">
        <f>IFERROR(IF(AU571&lt;($AM$6-$AL$6)/($AN$6-$AL$6),$AL$6+SQRT(AU571*($AN$6-$AL$6)*($AM$6-$AL$6)),$AN$6-SQRT((1-AU571)*($AN$6-$AL$6)*($AN$6-$AM$6))),$AM$6)</f>
        <v/>
      </c>
      <c r="AM571">
        <f>IFERROR(IF(AV571&lt;($AM$7-$AL$7)/($AN$7-$AL$7),$AL$7+SQRT(AV571*($AN$7-$AL$7)*($AM$7-$AL$7)),$AN$7-SQRT((1-AV571)*($AN$7-$AL$7)*($AN$7-$AM$7))),$AM$7)</f>
        <v/>
      </c>
      <c r="AN571">
        <f>IFERROR(IF(AW571&lt;($AM$8-$AL$8)/($AN$8-$AL$8),$AL$8+SQRT(AW571*($AN$8-$AL$8)*($AM$8-$AL$8)),$AN$8-SQRT((1-AW571)*($AN$8-$AL$8)*($AN$8-$AM$8))),$AM$8)</f>
        <v/>
      </c>
      <c r="AO571">
        <f>IFERROR(IF(AX571&lt;($AM$9-$AL$9)/($AN$9-$AL$9),$AL$9+SQRT(AX571*($AN$9-$AL$9)*($AM$9-$AL$9)),$AN$9-SQRT((1-AX571)*($AN$9-$AL$9)*($AN$9-$AM$9))),$AM$9)</f>
        <v/>
      </c>
      <c r="AP571">
        <f>IFERROR(IF(AY571&lt;($AM$10-$AL$10)/($AN$10-$AL$10),$AL$10+SQRT(AY571*($AN$10-$AL$10)*($AM$10-$AL$10)),$AN$10-SQRT((1-AY571)*($AN$10-$AL$10)*($AN$10-$AM$10))),$AM$10)</f>
        <v/>
      </c>
      <c r="AQ571">
        <f>IFERROR(IF(AZ571&lt;($AM$11-$AL$11)/($AN$11-$AL$11),$AL$11+SQRT(AZ571*($AN$11-$AL$11)*($AM$11-$AL$11)),$AN$11-SQRT((1-AZ571)*($AN$11-$AL$11)*($AN$11-$AM$11))),$AM$11)</f>
        <v/>
      </c>
      <c r="AR571">
        <f>SUMPRODUCT((B24:B31&lt;=$B$6)*(C24:C31*AM571+D24:D31*AO571*$B$8*AQ571)/(1+AL571/100)^B24:B31)+C32*AM571*AP571/(1+AL571/100)^$B$6</f>
        <v/>
      </c>
      <c r="AS571">
        <f>SUMPRODUCT((K24:K26&lt;=$B$6)*(L24:L26*AN571+M24:M26*AO571*$B$8*AQ571)/(1+AL571/100)^K24:K26)+L27*AN571*AP571/(1+AL571/100)^$B$6</f>
        <v/>
      </c>
      <c r="AT571">
        <f>AS571-AR571</f>
        <v/>
      </c>
      <c r="AU571">
        <f>RAND()</f>
        <v/>
      </c>
      <c r="AV571">
        <f>RAND()</f>
        <v/>
      </c>
      <c r="AW571">
        <f>RAND()</f>
        <v/>
      </c>
      <c r="AX571">
        <f>RAND()</f>
        <v/>
      </c>
      <c r="AY571">
        <f>RAND()</f>
        <v/>
      </c>
      <c r="AZ571">
        <f>RAND()</f>
        <v/>
      </c>
    </row>
    <row r="572">
      <c r="AK572" t="n">
        <v>559</v>
      </c>
      <c r="AL572">
        <f>IFERROR(IF(AU572&lt;($AM$6-$AL$6)/($AN$6-$AL$6),$AL$6+SQRT(AU572*($AN$6-$AL$6)*($AM$6-$AL$6)),$AN$6-SQRT((1-AU572)*($AN$6-$AL$6)*($AN$6-$AM$6))),$AM$6)</f>
        <v/>
      </c>
      <c r="AM572">
        <f>IFERROR(IF(AV572&lt;($AM$7-$AL$7)/($AN$7-$AL$7),$AL$7+SQRT(AV572*($AN$7-$AL$7)*($AM$7-$AL$7)),$AN$7-SQRT((1-AV572)*($AN$7-$AL$7)*($AN$7-$AM$7))),$AM$7)</f>
        <v/>
      </c>
      <c r="AN572">
        <f>IFERROR(IF(AW572&lt;($AM$8-$AL$8)/($AN$8-$AL$8),$AL$8+SQRT(AW572*($AN$8-$AL$8)*($AM$8-$AL$8)),$AN$8-SQRT((1-AW572)*($AN$8-$AL$8)*($AN$8-$AM$8))),$AM$8)</f>
        <v/>
      </c>
      <c r="AO572">
        <f>IFERROR(IF(AX572&lt;($AM$9-$AL$9)/($AN$9-$AL$9),$AL$9+SQRT(AX572*($AN$9-$AL$9)*($AM$9-$AL$9)),$AN$9-SQRT((1-AX572)*($AN$9-$AL$9)*($AN$9-$AM$9))),$AM$9)</f>
        <v/>
      </c>
      <c r="AP572">
        <f>IFERROR(IF(AY572&lt;($AM$10-$AL$10)/($AN$10-$AL$10),$AL$10+SQRT(AY572*($AN$10-$AL$10)*($AM$10-$AL$10)),$AN$10-SQRT((1-AY572)*($AN$10-$AL$10)*($AN$10-$AM$10))),$AM$10)</f>
        <v/>
      </c>
      <c r="AQ572">
        <f>IFERROR(IF(AZ572&lt;($AM$11-$AL$11)/($AN$11-$AL$11),$AL$11+SQRT(AZ572*($AN$11-$AL$11)*($AM$11-$AL$11)),$AN$11-SQRT((1-AZ572)*($AN$11-$AL$11)*($AN$11-$AM$11))),$AM$11)</f>
        <v/>
      </c>
      <c r="AR572">
        <f>SUMPRODUCT((B24:B31&lt;=$B$6)*(C24:C31*AM572+D24:D31*AO572*$B$8*AQ572)/(1+AL572/100)^B24:B31)+C32*AM572*AP572/(1+AL572/100)^$B$6</f>
        <v/>
      </c>
      <c r="AS572">
        <f>SUMPRODUCT((K24:K26&lt;=$B$6)*(L24:L26*AN572+M24:M26*AO572*$B$8*AQ572)/(1+AL572/100)^K24:K26)+L27*AN572*AP572/(1+AL572/100)^$B$6</f>
        <v/>
      </c>
      <c r="AT572">
        <f>AS572-AR572</f>
        <v/>
      </c>
      <c r="AU572">
        <f>RAND()</f>
        <v/>
      </c>
      <c r="AV572">
        <f>RAND()</f>
        <v/>
      </c>
      <c r="AW572">
        <f>RAND()</f>
        <v/>
      </c>
      <c r="AX572">
        <f>RAND()</f>
        <v/>
      </c>
      <c r="AY572">
        <f>RAND()</f>
        <v/>
      </c>
      <c r="AZ572">
        <f>RAND()</f>
        <v/>
      </c>
    </row>
    <row r="573">
      <c r="AK573" t="n">
        <v>560</v>
      </c>
      <c r="AL573">
        <f>IFERROR(IF(AU573&lt;($AM$6-$AL$6)/($AN$6-$AL$6),$AL$6+SQRT(AU573*($AN$6-$AL$6)*($AM$6-$AL$6)),$AN$6-SQRT((1-AU573)*($AN$6-$AL$6)*($AN$6-$AM$6))),$AM$6)</f>
        <v/>
      </c>
      <c r="AM573">
        <f>IFERROR(IF(AV573&lt;($AM$7-$AL$7)/($AN$7-$AL$7),$AL$7+SQRT(AV573*($AN$7-$AL$7)*($AM$7-$AL$7)),$AN$7-SQRT((1-AV573)*($AN$7-$AL$7)*($AN$7-$AM$7))),$AM$7)</f>
        <v/>
      </c>
      <c r="AN573">
        <f>IFERROR(IF(AW573&lt;($AM$8-$AL$8)/($AN$8-$AL$8),$AL$8+SQRT(AW573*($AN$8-$AL$8)*($AM$8-$AL$8)),$AN$8-SQRT((1-AW573)*($AN$8-$AL$8)*($AN$8-$AM$8))),$AM$8)</f>
        <v/>
      </c>
      <c r="AO573">
        <f>IFERROR(IF(AX573&lt;($AM$9-$AL$9)/($AN$9-$AL$9),$AL$9+SQRT(AX573*($AN$9-$AL$9)*($AM$9-$AL$9)),$AN$9-SQRT((1-AX573)*($AN$9-$AL$9)*($AN$9-$AM$9))),$AM$9)</f>
        <v/>
      </c>
      <c r="AP573">
        <f>IFERROR(IF(AY573&lt;($AM$10-$AL$10)/($AN$10-$AL$10),$AL$10+SQRT(AY573*($AN$10-$AL$10)*($AM$10-$AL$10)),$AN$10-SQRT((1-AY573)*($AN$10-$AL$10)*($AN$10-$AM$10))),$AM$10)</f>
        <v/>
      </c>
      <c r="AQ573">
        <f>IFERROR(IF(AZ573&lt;($AM$11-$AL$11)/($AN$11-$AL$11),$AL$11+SQRT(AZ573*($AN$11-$AL$11)*($AM$11-$AL$11)),$AN$11-SQRT((1-AZ573)*($AN$11-$AL$11)*($AN$11-$AM$11))),$AM$11)</f>
        <v/>
      </c>
      <c r="AR573">
        <f>SUMPRODUCT((B24:B31&lt;=$B$6)*(C24:C31*AM573+D24:D31*AO573*$B$8*AQ573)/(1+AL573/100)^B24:B31)+C32*AM573*AP573/(1+AL573/100)^$B$6</f>
        <v/>
      </c>
      <c r="AS573">
        <f>SUMPRODUCT((K24:K26&lt;=$B$6)*(L24:L26*AN573+M24:M26*AO573*$B$8*AQ573)/(1+AL573/100)^K24:K26)+L27*AN573*AP573/(1+AL573/100)^$B$6</f>
        <v/>
      </c>
      <c r="AT573">
        <f>AS573-AR573</f>
        <v/>
      </c>
      <c r="AU573">
        <f>RAND()</f>
        <v/>
      </c>
      <c r="AV573">
        <f>RAND()</f>
        <v/>
      </c>
      <c r="AW573">
        <f>RAND()</f>
        <v/>
      </c>
      <c r="AX573">
        <f>RAND()</f>
        <v/>
      </c>
      <c r="AY573">
        <f>RAND()</f>
        <v/>
      </c>
      <c r="AZ573">
        <f>RAND()</f>
        <v/>
      </c>
    </row>
    <row r="574">
      <c r="AK574" t="n">
        <v>561</v>
      </c>
      <c r="AL574">
        <f>IFERROR(IF(AU574&lt;($AM$6-$AL$6)/($AN$6-$AL$6),$AL$6+SQRT(AU574*($AN$6-$AL$6)*($AM$6-$AL$6)),$AN$6-SQRT((1-AU574)*($AN$6-$AL$6)*($AN$6-$AM$6))),$AM$6)</f>
        <v/>
      </c>
      <c r="AM574">
        <f>IFERROR(IF(AV574&lt;($AM$7-$AL$7)/($AN$7-$AL$7),$AL$7+SQRT(AV574*($AN$7-$AL$7)*($AM$7-$AL$7)),$AN$7-SQRT((1-AV574)*($AN$7-$AL$7)*($AN$7-$AM$7))),$AM$7)</f>
        <v/>
      </c>
      <c r="AN574">
        <f>IFERROR(IF(AW574&lt;($AM$8-$AL$8)/($AN$8-$AL$8),$AL$8+SQRT(AW574*($AN$8-$AL$8)*($AM$8-$AL$8)),$AN$8-SQRT((1-AW574)*($AN$8-$AL$8)*($AN$8-$AM$8))),$AM$8)</f>
        <v/>
      </c>
      <c r="AO574">
        <f>IFERROR(IF(AX574&lt;($AM$9-$AL$9)/($AN$9-$AL$9),$AL$9+SQRT(AX574*($AN$9-$AL$9)*($AM$9-$AL$9)),$AN$9-SQRT((1-AX574)*($AN$9-$AL$9)*($AN$9-$AM$9))),$AM$9)</f>
        <v/>
      </c>
      <c r="AP574">
        <f>IFERROR(IF(AY574&lt;($AM$10-$AL$10)/($AN$10-$AL$10),$AL$10+SQRT(AY574*($AN$10-$AL$10)*($AM$10-$AL$10)),$AN$10-SQRT((1-AY574)*($AN$10-$AL$10)*($AN$10-$AM$10))),$AM$10)</f>
        <v/>
      </c>
      <c r="AQ574">
        <f>IFERROR(IF(AZ574&lt;($AM$11-$AL$11)/($AN$11-$AL$11),$AL$11+SQRT(AZ574*($AN$11-$AL$11)*($AM$11-$AL$11)),$AN$11-SQRT((1-AZ574)*($AN$11-$AL$11)*($AN$11-$AM$11))),$AM$11)</f>
        <v/>
      </c>
      <c r="AR574">
        <f>SUMPRODUCT((B24:B31&lt;=$B$6)*(C24:C31*AM574+D24:D31*AO574*$B$8*AQ574)/(1+AL574/100)^B24:B31)+C32*AM574*AP574/(1+AL574/100)^$B$6</f>
        <v/>
      </c>
      <c r="AS574">
        <f>SUMPRODUCT((K24:K26&lt;=$B$6)*(L24:L26*AN574+M24:M26*AO574*$B$8*AQ574)/(1+AL574/100)^K24:K26)+L27*AN574*AP574/(1+AL574/100)^$B$6</f>
        <v/>
      </c>
      <c r="AT574">
        <f>AS574-AR574</f>
        <v/>
      </c>
      <c r="AU574">
        <f>RAND()</f>
        <v/>
      </c>
      <c r="AV574">
        <f>RAND()</f>
        <v/>
      </c>
      <c r="AW574">
        <f>RAND()</f>
        <v/>
      </c>
      <c r="AX574">
        <f>RAND()</f>
        <v/>
      </c>
      <c r="AY574">
        <f>RAND()</f>
        <v/>
      </c>
      <c r="AZ574">
        <f>RAND()</f>
        <v/>
      </c>
    </row>
    <row r="575">
      <c r="AK575" t="n">
        <v>562</v>
      </c>
      <c r="AL575">
        <f>IFERROR(IF(AU575&lt;($AM$6-$AL$6)/($AN$6-$AL$6),$AL$6+SQRT(AU575*($AN$6-$AL$6)*($AM$6-$AL$6)),$AN$6-SQRT((1-AU575)*($AN$6-$AL$6)*($AN$6-$AM$6))),$AM$6)</f>
        <v/>
      </c>
      <c r="AM575">
        <f>IFERROR(IF(AV575&lt;($AM$7-$AL$7)/($AN$7-$AL$7),$AL$7+SQRT(AV575*($AN$7-$AL$7)*($AM$7-$AL$7)),$AN$7-SQRT((1-AV575)*($AN$7-$AL$7)*($AN$7-$AM$7))),$AM$7)</f>
        <v/>
      </c>
      <c r="AN575">
        <f>IFERROR(IF(AW575&lt;($AM$8-$AL$8)/($AN$8-$AL$8),$AL$8+SQRT(AW575*($AN$8-$AL$8)*($AM$8-$AL$8)),$AN$8-SQRT((1-AW575)*($AN$8-$AL$8)*($AN$8-$AM$8))),$AM$8)</f>
        <v/>
      </c>
      <c r="AO575">
        <f>IFERROR(IF(AX575&lt;($AM$9-$AL$9)/($AN$9-$AL$9),$AL$9+SQRT(AX575*($AN$9-$AL$9)*($AM$9-$AL$9)),$AN$9-SQRT((1-AX575)*($AN$9-$AL$9)*($AN$9-$AM$9))),$AM$9)</f>
        <v/>
      </c>
      <c r="AP575">
        <f>IFERROR(IF(AY575&lt;($AM$10-$AL$10)/($AN$10-$AL$10),$AL$10+SQRT(AY575*($AN$10-$AL$10)*($AM$10-$AL$10)),$AN$10-SQRT((1-AY575)*($AN$10-$AL$10)*($AN$10-$AM$10))),$AM$10)</f>
        <v/>
      </c>
      <c r="AQ575">
        <f>IFERROR(IF(AZ575&lt;($AM$11-$AL$11)/($AN$11-$AL$11),$AL$11+SQRT(AZ575*($AN$11-$AL$11)*($AM$11-$AL$11)),$AN$11-SQRT((1-AZ575)*($AN$11-$AL$11)*($AN$11-$AM$11))),$AM$11)</f>
        <v/>
      </c>
      <c r="AR575">
        <f>SUMPRODUCT((B24:B31&lt;=$B$6)*(C24:C31*AM575+D24:D31*AO575*$B$8*AQ575)/(1+AL575/100)^B24:B31)+C32*AM575*AP575/(1+AL575/100)^$B$6</f>
        <v/>
      </c>
      <c r="AS575">
        <f>SUMPRODUCT((K24:K26&lt;=$B$6)*(L24:L26*AN575+M24:M26*AO575*$B$8*AQ575)/(1+AL575/100)^K24:K26)+L27*AN575*AP575/(1+AL575/100)^$B$6</f>
        <v/>
      </c>
      <c r="AT575">
        <f>AS575-AR575</f>
        <v/>
      </c>
      <c r="AU575">
        <f>RAND()</f>
        <v/>
      </c>
      <c r="AV575">
        <f>RAND()</f>
        <v/>
      </c>
      <c r="AW575">
        <f>RAND()</f>
        <v/>
      </c>
      <c r="AX575">
        <f>RAND()</f>
        <v/>
      </c>
      <c r="AY575">
        <f>RAND()</f>
        <v/>
      </c>
      <c r="AZ575">
        <f>RAND()</f>
        <v/>
      </c>
    </row>
    <row r="576">
      <c r="AK576" t="n">
        <v>563</v>
      </c>
      <c r="AL576">
        <f>IFERROR(IF(AU576&lt;($AM$6-$AL$6)/($AN$6-$AL$6),$AL$6+SQRT(AU576*($AN$6-$AL$6)*($AM$6-$AL$6)),$AN$6-SQRT((1-AU576)*($AN$6-$AL$6)*($AN$6-$AM$6))),$AM$6)</f>
        <v/>
      </c>
      <c r="AM576">
        <f>IFERROR(IF(AV576&lt;($AM$7-$AL$7)/($AN$7-$AL$7),$AL$7+SQRT(AV576*($AN$7-$AL$7)*($AM$7-$AL$7)),$AN$7-SQRT((1-AV576)*($AN$7-$AL$7)*($AN$7-$AM$7))),$AM$7)</f>
        <v/>
      </c>
      <c r="AN576">
        <f>IFERROR(IF(AW576&lt;($AM$8-$AL$8)/($AN$8-$AL$8),$AL$8+SQRT(AW576*($AN$8-$AL$8)*($AM$8-$AL$8)),$AN$8-SQRT((1-AW576)*($AN$8-$AL$8)*($AN$8-$AM$8))),$AM$8)</f>
        <v/>
      </c>
      <c r="AO576">
        <f>IFERROR(IF(AX576&lt;($AM$9-$AL$9)/($AN$9-$AL$9),$AL$9+SQRT(AX576*($AN$9-$AL$9)*($AM$9-$AL$9)),$AN$9-SQRT((1-AX576)*($AN$9-$AL$9)*($AN$9-$AM$9))),$AM$9)</f>
        <v/>
      </c>
      <c r="AP576">
        <f>IFERROR(IF(AY576&lt;($AM$10-$AL$10)/($AN$10-$AL$10),$AL$10+SQRT(AY576*($AN$10-$AL$10)*($AM$10-$AL$10)),$AN$10-SQRT((1-AY576)*($AN$10-$AL$10)*($AN$10-$AM$10))),$AM$10)</f>
        <v/>
      </c>
      <c r="AQ576">
        <f>IFERROR(IF(AZ576&lt;($AM$11-$AL$11)/($AN$11-$AL$11),$AL$11+SQRT(AZ576*($AN$11-$AL$11)*($AM$11-$AL$11)),$AN$11-SQRT((1-AZ576)*($AN$11-$AL$11)*($AN$11-$AM$11))),$AM$11)</f>
        <v/>
      </c>
      <c r="AR576">
        <f>SUMPRODUCT((B24:B31&lt;=$B$6)*(C24:C31*AM576+D24:D31*AO576*$B$8*AQ576)/(1+AL576/100)^B24:B31)+C32*AM576*AP576/(1+AL576/100)^$B$6</f>
        <v/>
      </c>
      <c r="AS576">
        <f>SUMPRODUCT((K24:K26&lt;=$B$6)*(L24:L26*AN576+M24:M26*AO576*$B$8*AQ576)/(1+AL576/100)^K24:K26)+L27*AN576*AP576/(1+AL576/100)^$B$6</f>
        <v/>
      </c>
      <c r="AT576">
        <f>AS576-AR576</f>
        <v/>
      </c>
      <c r="AU576">
        <f>RAND()</f>
        <v/>
      </c>
      <c r="AV576">
        <f>RAND()</f>
        <v/>
      </c>
      <c r="AW576">
        <f>RAND()</f>
        <v/>
      </c>
      <c r="AX576">
        <f>RAND()</f>
        <v/>
      </c>
      <c r="AY576">
        <f>RAND()</f>
        <v/>
      </c>
      <c r="AZ576">
        <f>RAND()</f>
        <v/>
      </c>
    </row>
    <row r="577">
      <c r="AK577" t="n">
        <v>564</v>
      </c>
      <c r="AL577">
        <f>IFERROR(IF(AU577&lt;($AM$6-$AL$6)/($AN$6-$AL$6),$AL$6+SQRT(AU577*($AN$6-$AL$6)*($AM$6-$AL$6)),$AN$6-SQRT((1-AU577)*($AN$6-$AL$6)*($AN$6-$AM$6))),$AM$6)</f>
        <v/>
      </c>
      <c r="AM577">
        <f>IFERROR(IF(AV577&lt;($AM$7-$AL$7)/($AN$7-$AL$7),$AL$7+SQRT(AV577*($AN$7-$AL$7)*($AM$7-$AL$7)),$AN$7-SQRT((1-AV577)*($AN$7-$AL$7)*($AN$7-$AM$7))),$AM$7)</f>
        <v/>
      </c>
      <c r="AN577">
        <f>IFERROR(IF(AW577&lt;($AM$8-$AL$8)/($AN$8-$AL$8),$AL$8+SQRT(AW577*($AN$8-$AL$8)*($AM$8-$AL$8)),$AN$8-SQRT((1-AW577)*($AN$8-$AL$8)*($AN$8-$AM$8))),$AM$8)</f>
        <v/>
      </c>
      <c r="AO577">
        <f>IFERROR(IF(AX577&lt;($AM$9-$AL$9)/($AN$9-$AL$9),$AL$9+SQRT(AX577*($AN$9-$AL$9)*($AM$9-$AL$9)),$AN$9-SQRT((1-AX577)*($AN$9-$AL$9)*($AN$9-$AM$9))),$AM$9)</f>
        <v/>
      </c>
      <c r="AP577">
        <f>IFERROR(IF(AY577&lt;($AM$10-$AL$10)/($AN$10-$AL$10),$AL$10+SQRT(AY577*($AN$10-$AL$10)*($AM$10-$AL$10)),$AN$10-SQRT((1-AY577)*($AN$10-$AL$10)*($AN$10-$AM$10))),$AM$10)</f>
        <v/>
      </c>
      <c r="AQ577">
        <f>IFERROR(IF(AZ577&lt;($AM$11-$AL$11)/($AN$11-$AL$11),$AL$11+SQRT(AZ577*($AN$11-$AL$11)*($AM$11-$AL$11)),$AN$11-SQRT((1-AZ577)*($AN$11-$AL$11)*($AN$11-$AM$11))),$AM$11)</f>
        <v/>
      </c>
      <c r="AR577">
        <f>SUMPRODUCT((B24:B31&lt;=$B$6)*(C24:C31*AM577+D24:D31*AO577*$B$8*AQ577)/(1+AL577/100)^B24:B31)+C32*AM577*AP577/(1+AL577/100)^$B$6</f>
        <v/>
      </c>
      <c r="AS577">
        <f>SUMPRODUCT((K24:K26&lt;=$B$6)*(L24:L26*AN577+M24:M26*AO577*$B$8*AQ577)/(1+AL577/100)^K24:K26)+L27*AN577*AP577/(1+AL577/100)^$B$6</f>
        <v/>
      </c>
      <c r="AT577">
        <f>AS577-AR577</f>
        <v/>
      </c>
      <c r="AU577">
        <f>RAND()</f>
        <v/>
      </c>
      <c r="AV577">
        <f>RAND()</f>
        <v/>
      </c>
      <c r="AW577">
        <f>RAND()</f>
        <v/>
      </c>
      <c r="AX577">
        <f>RAND()</f>
        <v/>
      </c>
      <c r="AY577">
        <f>RAND()</f>
        <v/>
      </c>
      <c r="AZ577">
        <f>RAND()</f>
        <v/>
      </c>
    </row>
    <row r="578">
      <c r="AK578" t="n">
        <v>565</v>
      </c>
      <c r="AL578">
        <f>IFERROR(IF(AU578&lt;($AM$6-$AL$6)/($AN$6-$AL$6),$AL$6+SQRT(AU578*($AN$6-$AL$6)*($AM$6-$AL$6)),$AN$6-SQRT((1-AU578)*($AN$6-$AL$6)*($AN$6-$AM$6))),$AM$6)</f>
        <v/>
      </c>
      <c r="AM578">
        <f>IFERROR(IF(AV578&lt;($AM$7-$AL$7)/($AN$7-$AL$7),$AL$7+SQRT(AV578*($AN$7-$AL$7)*($AM$7-$AL$7)),$AN$7-SQRT((1-AV578)*($AN$7-$AL$7)*($AN$7-$AM$7))),$AM$7)</f>
        <v/>
      </c>
      <c r="AN578">
        <f>IFERROR(IF(AW578&lt;($AM$8-$AL$8)/($AN$8-$AL$8),$AL$8+SQRT(AW578*($AN$8-$AL$8)*($AM$8-$AL$8)),$AN$8-SQRT((1-AW578)*($AN$8-$AL$8)*($AN$8-$AM$8))),$AM$8)</f>
        <v/>
      </c>
      <c r="AO578">
        <f>IFERROR(IF(AX578&lt;($AM$9-$AL$9)/($AN$9-$AL$9),$AL$9+SQRT(AX578*($AN$9-$AL$9)*($AM$9-$AL$9)),$AN$9-SQRT((1-AX578)*($AN$9-$AL$9)*($AN$9-$AM$9))),$AM$9)</f>
        <v/>
      </c>
      <c r="AP578">
        <f>IFERROR(IF(AY578&lt;($AM$10-$AL$10)/($AN$10-$AL$10),$AL$10+SQRT(AY578*($AN$10-$AL$10)*($AM$10-$AL$10)),$AN$10-SQRT((1-AY578)*($AN$10-$AL$10)*($AN$10-$AM$10))),$AM$10)</f>
        <v/>
      </c>
      <c r="AQ578">
        <f>IFERROR(IF(AZ578&lt;($AM$11-$AL$11)/($AN$11-$AL$11),$AL$11+SQRT(AZ578*($AN$11-$AL$11)*($AM$11-$AL$11)),$AN$11-SQRT((1-AZ578)*($AN$11-$AL$11)*($AN$11-$AM$11))),$AM$11)</f>
        <v/>
      </c>
      <c r="AR578">
        <f>SUMPRODUCT((B24:B31&lt;=$B$6)*(C24:C31*AM578+D24:D31*AO578*$B$8*AQ578)/(1+AL578/100)^B24:B31)+C32*AM578*AP578/(1+AL578/100)^$B$6</f>
        <v/>
      </c>
      <c r="AS578">
        <f>SUMPRODUCT((K24:K26&lt;=$B$6)*(L24:L26*AN578+M24:M26*AO578*$B$8*AQ578)/(1+AL578/100)^K24:K26)+L27*AN578*AP578/(1+AL578/100)^$B$6</f>
        <v/>
      </c>
      <c r="AT578">
        <f>AS578-AR578</f>
        <v/>
      </c>
      <c r="AU578">
        <f>RAND()</f>
        <v/>
      </c>
      <c r="AV578">
        <f>RAND()</f>
        <v/>
      </c>
      <c r="AW578">
        <f>RAND()</f>
        <v/>
      </c>
      <c r="AX578">
        <f>RAND()</f>
        <v/>
      </c>
      <c r="AY578">
        <f>RAND()</f>
        <v/>
      </c>
      <c r="AZ578">
        <f>RAND()</f>
        <v/>
      </c>
    </row>
    <row r="579">
      <c r="AK579" t="n">
        <v>566</v>
      </c>
      <c r="AL579">
        <f>IFERROR(IF(AU579&lt;($AM$6-$AL$6)/($AN$6-$AL$6),$AL$6+SQRT(AU579*($AN$6-$AL$6)*($AM$6-$AL$6)),$AN$6-SQRT((1-AU579)*($AN$6-$AL$6)*($AN$6-$AM$6))),$AM$6)</f>
        <v/>
      </c>
      <c r="AM579">
        <f>IFERROR(IF(AV579&lt;($AM$7-$AL$7)/($AN$7-$AL$7),$AL$7+SQRT(AV579*($AN$7-$AL$7)*($AM$7-$AL$7)),$AN$7-SQRT((1-AV579)*($AN$7-$AL$7)*($AN$7-$AM$7))),$AM$7)</f>
        <v/>
      </c>
      <c r="AN579">
        <f>IFERROR(IF(AW579&lt;($AM$8-$AL$8)/($AN$8-$AL$8),$AL$8+SQRT(AW579*($AN$8-$AL$8)*($AM$8-$AL$8)),$AN$8-SQRT((1-AW579)*($AN$8-$AL$8)*($AN$8-$AM$8))),$AM$8)</f>
        <v/>
      </c>
      <c r="AO579">
        <f>IFERROR(IF(AX579&lt;($AM$9-$AL$9)/($AN$9-$AL$9),$AL$9+SQRT(AX579*($AN$9-$AL$9)*($AM$9-$AL$9)),$AN$9-SQRT((1-AX579)*($AN$9-$AL$9)*($AN$9-$AM$9))),$AM$9)</f>
        <v/>
      </c>
      <c r="AP579">
        <f>IFERROR(IF(AY579&lt;($AM$10-$AL$10)/($AN$10-$AL$10),$AL$10+SQRT(AY579*($AN$10-$AL$10)*($AM$10-$AL$10)),$AN$10-SQRT((1-AY579)*($AN$10-$AL$10)*($AN$10-$AM$10))),$AM$10)</f>
        <v/>
      </c>
      <c r="AQ579">
        <f>IFERROR(IF(AZ579&lt;($AM$11-$AL$11)/($AN$11-$AL$11),$AL$11+SQRT(AZ579*($AN$11-$AL$11)*($AM$11-$AL$11)),$AN$11-SQRT((1-AZ579)*($AN$11-$AL$11)*($AN$11-$AM$11))),$AM$11)</f>
        <v/>
      </c>
      <c r="AR579">
        <f>SUMPRODUCT((B24:B31&lt;=$B$6)*(C24:C31*AM579+D24:D31*AO579*$B$8*AQ579)/(1+AL579/100)^B24:B31)+C32*AM579*AP579/(1+AL579/100)^$B$6</f>
        <v/>
      </c>
      <c r="AS579">
        <f>SUMPRODUCT((K24:K26&lt;=$B$6)*(L24:L26*AN579+M24:M26*AO579*$B$8*AQ579)/(1+AL579/100)^K24:K26)+L27*AN579*AP579/(1+AL579/100)^$B$6</f>
        <v/>
      </c>
      <c r="AT579">
        <f>AS579-AR579</f>
        <v/>
      </c>
      <c r="AU579">
        <f>RAND()</f>
        <v/>
      </c>
      <c r="AV579">
        <f>RAND()</f>
        <v/>
      </c>
      <c r="AW579">
        <f>RAND()</f>
        <v/>
      </c>
      <c r="AX579">
        <f>RAND()</f>
        <v/>
      </c>
      <c r="AY579">
        <f>RAND()</f>
        <v/>
      </c>
      <c r="AZ579">
        <f>RAND()</f>
        <v/>
      </c>
    </row>
    <row r="580">
      <c r="AK580" t="n">
        <v>567</v>
      </c>
      <c r="AL580">
        <f>IFERROR(IF(AU580&lt;($AM$6-$AL$6)/($AN$6-$AL$6),$AL$6+SQRT(AU580*($AN$6-$AL$6)*($AM$6-$AL$6)),$AN$6-SQRT((1-AU580)*($AN$6-$AL$6)*($AN$6-$AM$6))),$AM$6)</f>
        <v/>
      </c>
      <c r="AM580">
        <f>IFERROR(IF(AV580&lt;($AM$7-$AL$7)/($AN$7-$AL$7),$AL$7+SQRT(AV580*($AN$7-$AL$7)*($AM$7-$AL$7)),$AN$7-SQRT((1-AV580)*($AN$7-$AL$7)*($AN$7-$AM$7))),$AM$7)</f>
        <v/>
      </c>
      <c r="AN580">
        <f>IFERROR(IF(AW580&lt;($AM$8-$AL$8)/($AN$8-$AL$8),$AL$8+SQRT(AW580*($AN$8-$AL$8)*($AM$8-$AL$8)),$AN$8-SQRT((1-AW580)*($AN$8-$AL$8)*($AN$8-$AM$8))),$AM$8)</f>
        <v/>
      </c>
      <c r="AO580">
        <f>IFERROR(IF(AX580&lt;($AM$9-$AL$9)/($AN$9-$AL$9),$AL$9+SQRT(AX580*($AN$9-$AL$9)*($AM$9-$AL$9)),$AN$9-SQRT((1-AX580)*($AN$9-$AL$9)*($AN$9-$AM$9))),$AM$9)</f>
        <v/>
      </c>
      <c r="AP580">
        <f>IFERROR(IF(AY580&lt;($AM$10-$AL$10)/($AN$10-$AL$10),$AL$10+SQRT(AY580*($AN$10-$AL$10)*($AM$10-$AL$10)),$AN$10-SQRT((1-AY580)*($AN$10-$AL$10)*($AN$10-$AM$10))),$AM$10)</f>
        <v/>
      </c>
      <c r="AQ580">
        <f>IFERROR(IF(AZ580&lt;($AM$11-$AL$11)/($AN$11-$AL$11),$AL$11+SQRT(AZ580*($AN$11-$AL$11)*($AM$11-$AL$11)),$AN$11-SQRT((1-AZ580)*($AN$11-$AL$11)*($AN$11-$AM$11))),$AM$11)</f>
        <v/>
      </c>
      <c r="AR580">
        <f>SUMPRODUCT((B24:B31&lt;=$B$6)*(C24:C31*AM580+D24:D31*AO580*$B$8*AQ580)/(1+AL580/100)^B24:B31)+C32*AM580*AP580/(1+AL580/100)^$B$6</f>
        <v/>
      </c>
      <c r="AS580">
        <f>SUMPRODUCT((K24:K26&lt;=$B$6)*(L24:L26*AN580+M24:M26*AO580*$B$8*AQ580)/(1+AL580/100)^K24:K26)+L27*AN580*AP580/(1+AL580/100)^$B$6</f>
        <v/>
      </c>
      <c r="AT580">
        <f>AS580-AR580</f>
        <v/>
      </c>
      <c r="AU580">
        <f>RAND()</f>
        <v/>
      </c>
      <c r="AV580">
        <f>RAND()</f>
        <v/>
      </c>
      <c r="AW580">
        <f>RAND()</f>
        <v/>
      </c>
      <c r="AX580">
        <f>RAND()</f>
        <v/>
      </c>
      <c r="AY580">
        <f>RAND()</f>
        <v/>
      </c>
      <c r="AZ580">
        <f>RAND()</f>
        <v/>
      </c>
    </row>
    <row r="581">
      <c r="AK581" t="n">
        <v>568</v>
      </c>
      <c r="AL581">
        <f>IFERROR(IF(AU581&lt;($AM$6-$AL$6)/($AN$6-$AL$6),$AL$6+SQRT(AU581*($AN$6-$AL$6)*($AM$6-$AL$6)),$AN$6-SQRT((1-AU581)*($AN$6-$AL$6)*($AN$6-$AM$6))),$AM$6)</f>
        <v/>
      </c>
      <c r="AM581">
        <f>IFERROR(IF(AV581&lt;($AM$7-$AL$7)/($AN$7-$AL$7),$AL$7+SQRT(AV581*($AN$7-$AL$7)*($AM$7-$AL$7)),$AN$7-SQRT((1-AV581)*($AN$7-$AL$7)*($AN$7-$AM$7))),$AM$7)</f>
        <v/>
      </c>
      <c r="AN581">
        <f>IFERROR(IF(AW581&lt;($AM$8-$AL$8)/($AN$8-$AL$8),$AL$8+SQRT(AW581*($AN$8-$AL$8)*($AM$8-$AL$8)),$AN$8-SQRT((1-AW581)*($AN$8-$AL$8)*($AN$8-$AM$8))),$AM$8)</f>
        <v/>
      </c>
      <c r="AO581">
        <f>IFERROR(IF(AX581&lt;($AM$9-$AL$9)/($AN$9-$AL$9),$AL$9+SQRT(AX581*($AN$9-$AL$9)*($AM$9-$AL$9)),$AN$9-SQRT((1-AX581)*($AN$9-$AL$9)*($AN$9-$AM$9))),$AM$9)</f>
        <v/>
      </c>
      <c r="AP581">
        <f>IFERROR(IF(AY581&lt;($AM$10-$AL$10)/($AN$10-$AL$10),$AL$10+SQRT(AY581*($AN$10-$AL$10)*($AM$10-$AL$10)),$AN$10-SQRT((1-AY581)*($AN$10-$AL$10)*($AN$10-$AM$10))),$AM$10)</f>
        <v/>
      </c>
      <c r="AQ581">
        <f>IFERROR(IF(AZ581&lt;($AM$11-$AL$11)/($AN$11-$AL$11),$AL$11+SQRT(AZ581*($AN$11-$AL$11)*($AM$11-$AL$11)),$AN$11-SQRT((1-AZ581)*($AN$11-$AL$11)*($AN$11-$AM$11))),$AM$11)</f>
        <v/>
      </c>
      <c r="AR581">
        <f>SUMPRODUCT((B24:B31&lt;=$B$6)*(C24:C31*AM581+D24:D31*AO581*$B$8*AQ581)/(1+AL581/100)^B24:B31)+C32*AM581*AP581/(1+AL581/100)^$B$6</f>
        <v/>
      </c>
      <c r="AS581">
        <f>SUMPRODUCT((K24:K26&lt;=$B$6)*(L24:L26*AN581+M24:M26*AO581*$B$8*AQ581)/(1+AL581/100)^K24:K26)+L27*AN581*AP581/(1+AL581/100)^$B$6</f>
        <v/>
      </c>
      <c r="AT581">
        <f>AS581-AR581</f>
        <v/>
      </c>
      <c r="AU581">
        <f>RAND()</f>
        <v/>
      </c>
      <c r="AV581">
        <f>RAND()</f>
        <v/>
      </c>
      <c r="AW581">
        <f>RAND()</f>
        <v/>
      </c>
      <c r="AX581">
        <f>RAND()</f>
        <v/>
      </c>
      <c r="AY581">
        <f>RAND()</f>
        <v/>
      </c>
      <c r="AZ581">
        <f>RAND()</f>
        <v/>
      </c>
    </row>
    <row r="582">
      <c r="AK582" t="n">
        <v>569</v>
      </c>
      <c r="AL582">
        <f>IFERROR(IF(AU582&lt;($AM$6-$AL$6)/($AN$6-$AL$6),$AL$6+SQRT(AU582*($AN$6-$AL$6)*($AM$6-$AL$6)),$AN$6-SQRT((1-AU582)*($AN$6-$AL$6)*($AN$6-$AM$6))),$AM$6)</f>
        <v/>
      </c>
      <c r="AM582">
        <f>IFERROR(IF(AV582&lt;($AM$7-$AL$7)/($AN$7-$AL$7),$AL$7+SQRT(AV582*($AN$7-$AL$7)*($AM$7-$AL$7)),$AN$7-SQRT((1-AV582)*($AN$7-$AL$7)*($AN$7-$AM$7))),$AM$7)</f>
        <v/>
      </c>
      <c r="AN582">
        <f>IFERROR(IF(AW582&lt;($AM$8-$AL$8)/($AN$8-$AL$8),$AL$8+SQRT(AW582*($AN$8-$AL$8)*($AM$8-$AL$8)),$AN$8-SQRT((1-AW582)*($AN$8-$AL$8)*($AN$8-$AM$8))),$AM$8)</f>
        <v/>
      </c>
      <c r="AO582">
        <f>IFERROR(IF(AX582&lt;($AM$9-$AL$9)/($AN$9-$AL$9),$AL$9+SQRT(AX582*($AN$9-$AL$9)*($AM$9-$AL$9)),$AN$9-SQRT((1-AX582)*($AN$9-$AL$9)*($AN$9-$AM$9))),$AM$9)</f>
        <v/>
      </c>
      <c r="AP582">
        <f>IFERROR(IF(AY582&lt;($AM$10-$AL$10)/($AN$10-$AL$10),$AL$10+SQRT(AY582*($AN$10-$AL$10)*($AM$10-$AL$10)),$AN$10-SQRT((1-AY582)*($AN$10-$AL$10)*($AN$10-$AM$10))),$AM$10)</f>
        <v/>
      </c>
      <c r="AQ582">
        <f>IFERROR(IF(AZ582&lt;($AM$11-$AL$11)/($AN$11-$AL$11),$AL$11+SQRT(AZ582*($AN$11-$AL$11)*($AM$11-$AL$11)),$AN$11-SQRT((1-AZ582)*($AN$11-$AL$11)*($AN$11-$AM$11))),$AM$11)</f>
        <v/>
      </c>
      <c r="AR582">
        <f>SUMPRODUCT((B24:B31&lt;=$B$6)*(C24:C31*AM582+D24:D31*AO582*$B$8*AQ582)/(1+AL582/100)^B24:B31)+C32*AM582*AP582/(1+AL582/100)^$B$6</f>
        <v/>
      </c>
      <c r="AS582">
        <f>SUMPRODUCT((K24:K26&lt;=$B$6)*(L24:L26*AN582+M24:M26*AO582*$B$8*AQ582)/(1+AL582/100)^K24:K26)+L27*AN582*AP582/(1+AL582/100)^$B$6</f>
        <v/>
      </c>
      <c r="AT582">
        <f>AS582-AR582</f>
        <v/>
      </c>
      <c r="AU582">
        <f>RAND()</f>
        <v/>
      </c>
      <c r="AV582">
        <f>RAND()</f>
        <v/>
      </c>
      <c r="AW582">
        <f>RAND()</f>
        <v/>
      </c>
      <c r="AX582">
        <f>RAND()</f>
        <v/>
      </c>
      <c r="AY582">
        <f>RAND()</f>
        <v/>
      </c>
      <c r="AZ582">
        <f>RAND()</f>
        <v/>
      </c>
    </row>
    <row r="583">
      <c r="AK583" t="n">
        <v>570</v>
      </c>
      <c r="AL583">
        <f>IFERROR(IF(AU583&lt;($AM$6-$AL$6)/($AN$6-$AL$6),$AL$6+SQRT(AU583*($AN$6-$AL$6)*($AM$6-$AL$6)),$AN$6-SQRT((1-AU583)*($AN$6-$AL$6)*($AN$6-$AM$6))),$AM$6)</f>
        <v/>
      </c>
      <c r="AM583">
        <f>IFERROR(IF(AV583&lt;($AM$7-$AL$7)/($AN$7-$AL$7),$AL$7+SQRT(AV583*($AN$7-$AL$7)*($AM$7-$AL$7)),$AN$7-SQRT((1-AV583)*($AN$7-$AL$7)*($AN$7-$AM$7))),$AM$7)</f>
        <v/>
      </c>
      <c r="AN583">
        <f>IFERROR(IF(AW583&lt;($AM$8-$AL$8)/($AN$8-$AL$8),$AL$8+SQRT(AW583*($AN$8-$AL$8)*($AM$8-$AL$8)),$AN$8-SQRT((1-AW583)*($AN$8-$AL$8)*($AN$8-$AM$8))),$AM$8)</f>
        <v/>
      </c>
      <c r="AO583">
        <f>IFERROR(IF(AX583&lt;($AM$9-$AL$9)/($AN$9-$AL$9),$AL$9+SQRT(AX583*($AN$9-$AL$9)*($AM$9-$AL$9)),$AN$9-SQRT((1-AX583)*($AN$9-$AL$9)*($AN$9-$AM$9))),$AM$9)</f>
        <v/>
      </c>
      <c r="AP583">
        <f>IFERROR(IF(AY583&lt;($AM$10-$AL$10)/($AN$10-$AL$10),$AL$10+SQRT(AY583*($AN$10-$AL$10)*($AM$10-$AL$10)),$AN$10-SQRT((1-AY583)*($AN$10-$AL$10)*($AN$10-$AM$10))),$AM$10)</f>
        <v/>
      </c>
      <c r="AQ583">
        <f>IFERROR(IF(AZ583&lt;($AM$11-$AL$11)/($AN$11-$AL$11),$AL$11+SQRT(AZ583*($AN$11-$AL$11)*($AM$11-$AL$11)),$AN$11-SQRT((1-AZ583)*($AN$11-$AL$11)*($AN$11-$AM$11))),$AM$11)</f>
        <v/>
      </c>
      <c r="AR583">
        <f>SUMPRODUCT((B24:B31&lt;=$B$6)*(C24:C31*AM583+D24:D31*AO583*$B$8*AQ583)/(1+AL583/100)^B24:B31)+C32*AM583*AP583/(1+AL583/100)^$B$6</f>
        <v/>
      </c>
      <c r="AS583">
        <f>SUMPRODUCT((K24:K26&lt;=$B$6)*(L24:L26*AN583+M24:M26*AO583*$B$8*AQ583)/(1+AL583/100)^K24:K26)+L27*AN583*AP583/(1+AL583/100)^$B$6</f>
        <v/>
      </c>
      <c r="AT583">
        <f>AS583-AR583</f>
        <v/>
      </c>
      <c r="AU583">
        <f>RAND()</f>
        <v/>
      </c>
      <c r="AV583">
        <f>RAND()</f>
        <v/>
      </c>
      <c r="AW583">
        <f>RAND()</f>
        <v/>
      </c>
      <c r="AX583">
        <f>RAND()</f>
        <v/>
      </c>
      <c r="AY583">
        <f>RAND()</f>
        <v/>
      </c>
      <c r="AZ583">
        <f>RAND()</f>
        <v/>
      </c>
    </row>
    <row r="584">
      <c r="AK584" t="n">
        <v>571</v>
      </c>
      <c r="AL584">
        <f>IFERROR(IF(AU584&lt;($AM$6-$AL$6)/($AN$6-$AL$6),$AL$6+SQRT(AU584*($AN$6-$AL$6)*($AM$6-$AL$6)),$AN$6-SQRT((1-AU584)*($AN$6-$AL$6)*($AN$6-$AM$6))),$AM$6)</f>
        <v/>
      </c>
      <c r="AM584">
        <f>IFERROR(IF(AV584&lt;($AM$7-$AL$7)/($AN$7-$AL$7),$AL$7+SQRT(AV584*($AN$7-$AL$7)*($AM$7-$AL$7)),$AN$7-SQRT((1-AV584)*($AN$7-$AL$7)*($AN$7-$AM$7))),$AM$7)</f>
        <v/>
      </c>
      <c r="AN584">
        <f>IFERROR(IF(AW584&lt;($AM$8-$AL$8)/($AN$8-$AL$8),$AL$8+SQRT(AW584*($AN$8-$AL$8)*($AM$8-$AL$8)),$AN$8-SQRT((1-AW584)*($AN$8-$AL$8)*($AN$8-$AM$8))),$AM$8)</f>
        <v/>
      </c>
      <c r="AO584">
        <f>IFERROR(IF(AX584&lt;($AM$9-$AL$9)/($AN$9-$AL$9),$AL$9+SQRT(AX584*($AN$9-$AL$9)*($AM$9-$AL$9)),$AN$9-SQRT((1-AX584)*($AN$9-$AL$9)*($AN$9-$AM$9))),$AM$9)</f>
        <v/>
      </c>
      <c r="AP584">
        <f>IFERROR(IF(AY584&lt;($AM$10-$AL$10)/($AN$10-$AL$10),$AL$10+SQRT(AY584*($AN$10-$AL$10)*($AM$10-$AL$10)),$AN$10-SQRT((1-AY584)*($AN$10-$AL$10)*($AN$10-$AM$10))),$AM$10)</f>
        <v/>
      </c>
      <c r="AQ584">
        <f>IFERROR(IF(AZ584&lt;($AM$11-$AL$11)/($AN$11-$AL$11),$AL$11+SQRT(AZ584*($AN$11-$AL$11)*($AM$11-$AL$11)),$AN$11-SQRT((1-AZ584)*($AN$11-$AL$11)*($AN$11-$AM$11))),$AM$11)</f>
        <v/>
      </c>
      <c r="AR584">
        <f>SUMPRODUCT((B24:B31&lt;=$B$6)*(C24:C31*AM584+D24:D31*AO584*$B$8*AQ584)/(1+AL584/100)^B24:B31)+C32*AM584*AP584/(1+AL584/100)^$B$6</f>
        <v/>
      </c>
      <c r="AS584">
        <f>SUMPRODUCT((K24:K26&lt;=$B$6)*(L24:L26*AN584+M24:M26*AO584*$B$8*AQ584)/(1+AL584/100)^K24:K26)+L27*AN584*AP584/(1+AL584/100)^$B$6</f>
        <v/>
      </c>
      <c r="AT584">
        <f>AS584-AR584</f>
        <v/>
      </c>
      <c r="AU584">
        <f>RAND()</f>
        <v/>
      </c>
      <c r="AV584">
        <f>RAND()</f>
        <v/>
      </c>
      <c r="AW584">
        <f>RAND()</f>
        <v/>
      </c>
      <c r="AX584">
        <f>RAND()</f>
        <v/>
      </c>
      <c r="AY584">
        <f>RAND()</f>
        <v/>
      </c>
      <c r="AZ584">
        <f>RAND()</f>
        <v/>
      </c>
    </row>
    <row r="585">
      <c r="AK585" t="n">
        <v>572</v>
      </c>
      <c r="AL585">
        <f>IFERROR(IF(AU585&lt;($AM$6-$AL$6)/($AN$6-$AL$6),$AL$6+SQRT(AU585*($AN$6-$AL$6)*($AM$6-$AL$6)),$AN$6-SQRT((1-AU585)*($AN$6-$AL$6)*($AN$6-$AM$6))),$AM$6)</f>
        <v/>
      </c>
      <c r="AM585">
        <f>IFERROR(IF(AV585&lt;($AM$7-$AL$7)/($AN$7-$AL$7),$AL$7+SQRT(AV585*($AN$7-$AL$7)*($AM$7-$AL$7)),$AN$7-SQRT((1-AV585)*($AN$7-$AL$7)*($AN$7-$AM$7))),$AM$7)</f>
        <v/>
      </c>
      <c r="AN585">
        <f>IFERROR(IF(AW585&lt;($AM$8-$AL$8)/($AN$8-$AL$8),$AL$8+SQRT(AW585*($AN$8-$AL$8)*($AM$8-$AL$8)),$AN$8-SQRT((1-AW585)*($AN$8-$AL$8)*($AN$8-$AM$8))),$AM$8)</f>
        <v/>
      </c>
      <c r="AO585">
        <f>IFERROR(IF(AX585&lt;($AM$9-$AL$9)/($AN$9-$AL$9),$AL$9+SQRT(AX585*($AN$9-$AL$9)*($AM$9-$AL$9)),$AN$9-SQRT((1-AX585)*($AN$9-$AL$9)*($AN$9-$AM$9))),$AM$9)</f>
        <v/>
      </c>
      <c r="AP585">
        <f>IFERROR(IF(AY585&lt;($AM$10-$AL$10)/($AN$10-$AL$10),$AL$10+SQRT(AY585*($AN$10-$AL$10)*($AM$10-$AL$10)),$AN$10-SQRT((1-AY585)*($AN$10-$AL$10)*($AN$10-$AM$10))),$AM$10)</f>
        <v/>
      </c>
      <c r="AQ585">
        <f>IFERROR(IF(AZ585&lt;($AM$11-$AL$11)/($AN$11-$AL$11),$AL$11+SQRT(AZ585*($AN$11-$AL$11)*($AM$11-$AL$11)),$AN$11-SQRT((1-AZ585)*($AN$11-$AL$11)*($AN$11-$AM$11))),$AM$11)</f>
        <v/>
      </c>
      <c r="AR585">
        <f>SUMPRODUCT((B24:B31&lt;=$B$6)*(C24:C31*AM585+D24:D31*AO585*$B$8*AQ585)/(1+AL585/100)^B24:B31)+C32*AM585*AP585/(1+AL585/100)^$B$6</f>
        <v/>
      </c>
      <c r="AS585">
        <f>SUMPRODUCT((K24:K26&lt;=$B$6)*(L24:L26*AN585+M24:M26*AO585*$B$8*AQ585)/(1+AL585/100)^K24:K26)+L27*AN585*AP585/(1+AL585/100)^$B$6</f>
        <v/>
      </c>
      <c r="AT585">
        <f>AS585-AR585</f>
        <v/>
      </c>
      <c r="AU585">
        <f>RAND()</f>
        <v/>
      </c>
      <c r="AV585">
        <f>RAND()</f>
        <v/>
      </c>
      <c r="AW585">
        <f>RAND()</f>
        <v/>
      </c>
      <c r="AX585">
        <f>RAND()</f>
        <v/>
      </c>
      <c r="AY585">
        <f>RAND()</f>
        <v/>
      </c>
      <c r="AZ585">
        <f>RAND()</f>
        <v/>
      </c>
    </row>
    <row r="586">
      <c r="AK586" t="n">
        <v>573</v>
      </c>
      <c r="AL586">
        <f>IFERROR(IF(AU586&lt;($AM$6-$AL$6)/($AN$6-$AL$6),$AL$6+SQRT(AU586*($AN$6-$AL$6)*($AM$6-$AL$6)),$AN$6-SQRT((1-AU586)*($AN$6-$AL$6)*($AN$6-$AM$6))),$AM$6)</f>
        <v/>
      </c>
      <c r="AM586">
        <f>IFERROR(IF(AV586&lt;($AM$7-$AL$7)/($AN$7-$AL$7),$AL$7+SQRT(AV586*($AN$7-$AL$7)*($AM$7-$AL$7)),$AN$7-SQRT((1-AV586)*($AN$7-$AL$7)*($AN$7-$AM$7))),$AM$7)</f>
        <v/>
      </c>
      <c r="AN586">
        <f>IFERROR(IF(AW586&lt;($AM$8-$AL$8)/($AN$8-$AL$8),$AL$8+SQRT(AW586*($AN$8-$AL$8)*($AM$8-$AL$8)),$AN$8-SQRT((1-AW586)*($AN$8-$AL$8)*($AN$8-$AM$8))),$AM$8)</f>
        <v/>
      </c>
      <c r="AO586">
        <f>IFERROR(IF(AX586&lt;($AM$9-$AL$9)/($AN$9-$AL$9),$AL$9+SQRT(AX586*($AN$9-$AL$9)*($AM$9-$AL$9)),$AN$9-SQRT((1-AX586)*($AN$9-$AL$9)*($AN$9-$AM$9))),$AM$9)</f>
        <v/>
      </c>
      <c r="AP586">
        <f>IFERROR(IF(AY586&lt;($AM$10-$AL$10)/($AN$10-$AL$10),$AL$10+SQRT(AY586*($AN$10-$AL$10)*($AM$10-$AL$10)),$AN$10-SQRT((1-AY586)*($AN$10-$AL$10)*($AN$10-$AM$10))),$AM$10)</f>
        <v/>
      </c>
      <c r="AQ586">
        <f>IFERROR(IF(AZ586&lt;($AM$11-$AL$11)/($AN$11-$AL$11),$AL$11+SQRT(AZ586*($AN$11-$AL$11)*($AM$11-$AL$11)),$AN$11-SQRT((1-AZ586)*($AN$11-$AL$11)*($AN$11-$AM$11))),$AM$11)</f>
        <v/>
      </c>
      <c r="AR586">
        <f>SUMPRODUCT((B24:B31&lt;=$B$6)*(C24:C31*AM586+D24:D31*AO586*$B$8*AQ586)/(1+AL586/100)^B24:B31)+C32*AM586*AP586/(1+AL586/100)^$B$6</f>
        <v/>
      </c>
      <c r="AS586">
        <f>SUMPRODUCT((K24:K26&lt;=$B$6)*(L24:L26*AN586+M24:M26*AO586*$B$8*AQ586)/(1+AL586/100)^K24:K26)+L27*AN586*AP586/(1+AL586/100)^$B$6</f>
        <v/>
      </c>
      <c r="AT586">
        <f>AS586-AR586</f>
        <v/>
      </c>
      <c r="AU586">
        <f>RAND()</f>
        <v/>
      </c>
      <c r="AV586">
        <f>RAND()</f>
        <v/>
      </c>
      <c r="AW586">
        <f>RAND()</f>
        <v/>
      </c>
      <c r="AX586">
        <f>RAND()</f>
        <v/>
      </c>
      <c r="AY586">
        <f>RAND()</f>
        <v/>
      </c>
      <c r="AZ586">
        <f>RAND()</f>
        <v/>
      </c>
    </row>
    <row r="587">
      <c r="AK587" t="n">
        <v>574</v>
      </c>
      <c r="AL587">
        <f>IFERROR(IF(AU587&lt;($AM$6-$AL$6)/($AN$6-$AL$6),$AL$6+SQRT(AU587*($AN$6-$AL$6)*($AM$6-$AL$6)),$AN$6-SQRT((1-AU587)*($AN$6-$AL$6)*($AN$6-$AM$6))),$AM$6)</f>
        <v/>
      </c>
      <c r="AM587">
        <f>IFERROR(IF(AV587&lt;($AM$7-$AL$7)/($AN$7-$AL$7),$AL$7+SQRT(AV587*($AN$7-$AL$7)*($AM$7-$AL$7)),$AN$7-SQRT((1-AV587)*($AN$7-$AL$7)*($AN$7-$AM$7))),$AM$7)</f>
        <v/>
      </c>
      <c r="AN587">
        <f>IFERROR(IF(AW587&lt;($AM$8-$AL$8)/($AN$8-$AL$8),$AL$8+SQRT(AW587*($AN$8-$AL$8)*($AM$8-$AL$8)),$AN$8-SQRT((1-AW587)*($AN$8-$AL$8)*($AN$8-$AM$8))),$AM$8)</f>
        <v/>
      </c>
      <c r="AO587">
        <f>IFERROR(IF(AX587&lt;($AM$9-$AL$9)/($AN$9-$AL$9),$AL$9+SQRT(AX587*($AN$9-$AL$9)*($AM$9-$AL$9)),$AN$9-SQRT((1-AX587)*($AN$9-$AL$9)*($AN$9-$AM$9))),$AM$9)</f>
        <v/>
      </c>
      <c r="AP587">
        <f>IFERROR(IF(AY587&lt;($AM$10-$AL$10)/($AN$10-$AL$10),$AL$10+SQRT(AY587*($AN$10-$AL$10)*($AM$10-$AL$10)),$AN$10-SQRT((1-AY587)*($AN$10-$AL$10)*($AN$10-$AM$10))),$AM$10)</f>
        <v/>
      </c>
      <c r="AQ587">
        <f>IFERROR(IF(AZ587&lt;($AM$11-$AL$11)/($AN$11-$AL$11),$AL$11+SQRT(AZ587*($AN$11-$AL$11)*($AM$11-$AL$11)),$AN$11-SQRT((1-AZ587)*($AN$11-$AL$11)*($AN$11-$AM$11))),$AM$11)</f>
        <v/>
      </c>
      <c r="AR587">
        <f>SUMPRODUCT((B24:B31&lt;=$B$6)*(C24:C31*AM587+D24:D31*AO587*$B$8*AQ587)/(1+AL587/100)^B24:B31)+C32*AM587*AP587/(1+AL587/100)^$B$6</f>
        <v/>
      </c>
      <c r="AS587">
        <f>SUMPRODUCT((K24:K26&lt;=$B$6)*(L24:L26*AN587+M24:M26*AO587*$B$8*AQ587)/(1+AL587/100)^K24:K26)+L27*AN587*AP587/(1+AL587/100)^$B$6</f>
        <v/>
      </c>
      <c r="AT587">
        <f>AS587-AR587</f>
        <v/>
      </c>
      <c r="AU587">
        <f>RAND()</f>
        <v/>
      </c>
      <c r="AV587">
        <f>RAND()</f>
        <v/>
      </c>
      <c r="AW587">
        <f>RAND()</f>
        <v/>
      </c>
      <c r="AX587">
        <f>RAND()</f>
        <v/>
      </c>
      <c r="AY587">
        <f>RAND()</f>
        <v/>
      </c>
      <c r="AZ587">
        <f>RAND()</f>
        <v/>
      </c>
    </row>
    <row r="588">
      <c r="AK588" t="n">
        <v>575</v>
      </c>
      <c r="AL588">
        <f>IFERROR(IF(AU588&lt;($AM$6-$AL$6)/($AN$6-$AL$6),$AL$6+SQRT(AU588*($AN$6-$AL$6)*($AM$6-$AL$6)),$AN$6-SQRT((1-AU588)*($AN$6-$AL$6)*($AN$6-$AM$6))),$AM$6)</f>
        <v/>
      </c>
      <c r="AM588">
        <f>IFERROR(IF(AV588&lt;($AM$7-$AL$7)/($AN$7-$AL$7),$AL$7+SQRT(AV588*($AN$7-$AL$7)*($AM$7-$AL$7)),$AN$7-SQRT((1-AV588)*($AN$7-$AL$7)*($AN$7-$AM$7))),$AM$7)</f>
        <v/>
      </c>
      <c r="AN588">
        <f>IFERROR(IF(AW588&lt;($AM$8-$AL$8)/($AN$8-$AL$8),$AL$8+SQRT(AW588*($AN$8-$AL$8)*($AM$8-$AL$8)),$AN$8-SQRT((1-AW588)*($AN$8-$AL$8)*($AN$8-$AM$8))),$AM$8)</f>
        <v/>
      </c>
      <c r="AO588">
        <f>IFERROR(IF(AX588&lt;($AM$9-$AL$9)/($AN$9-$AL$9),$AL$9+SQRT(AX588*($AN$9-$AL$9)*($AM$9-$AL$9)),$AN$9-SQRT((1-AX588)*($AN$9-$AL$9)*($AN$9-$AM$9))),$AM$9)</f>
        <v/>
      </c>
      <c r="AP588">
        <f>IFERROR(IF(AY588&lt;($AM$10-$AL$10)/($AN$10-$AL$10),$AL$10+SQRT(AY588*($AN$10-$AL$10)*($AM$10-$AL$10)),$AN$10-SQRT((1-AY588)*($AN$10-$AL$10)*($AN$10-$AM$10))),$AM$10)</f>
        <v/>
      </c>
      <c r="AQ588">
        <f>IFERROR(IF(AZ588&lt;($AM$11-$AL$11)/($AN$11-$AL$11),$AL$11+SQRT(AZ588*($AN$11-$AL$11)*($AM$11-$AL$11)),$AN$11-SQRT((1-AZ588)*($AN$11-$AL$11)*($AN$11-$AM$11))),$AM$11)</f>
        <v/>
      </c>
      <c r="AR588">
        <f>SUMPRODUCT((B24:B31&lt;=$B$6)*(C24:C31*AM588+D24:D31*AO588*$B$8*AQ588)/(1+AL588/100)^B24:B31)+C32*AM588*AP588/(1+AL588/100)^$B$6</f>
        <v/>
      </c>
      <c r="AS588">
        <f>SUMPRODUCT((K24:K26&lt;=$B$6)*(L24:L26*AN588+M24:M26*AO588*$B$8*AQ588)/(1+AL588/100)^K24:K26)+L27*AN588*AP588/(1+AL588/100)^$B$6</f>
        <v/>
      </c>
      <c r="AT588">
        <f>AS588-AR588</f>
        <v/>
      </c>
      <c r="AU588">
        <f>RAND()</f>
        <v/>
      </c>
      <c r="AV588">
        <f>RAND()</f>
        <v/>
      </c>
      <c r="AW588">
        <f>RAND()</f>
        <v/>
      </c>
      <c r="AX588">
        <f>RAND()</f>
        <v/>
      </c>
      <c r="AY588">
        <f>RAND()</f>
        <v/>
      </c>
      <c r="AZ588">
        <f>RAND()</f>
        <v/>
      </c>
    </row>
    <row r="589">
      <c r="AK589" t="n">
        <v>576</v>
      </c>
      <c r="AL589">
        <f>IFERROR(IF(AU589&lt;($AM$6-$AL$6)/($AN$6-$AL$6),$AL$6+SQRT(AU589*($AN$6-$AL$6)*($AM$6-$AL$6)),$AN$6-SQRT((1-AU589)*($AN$6-$AL$6)*($AN$6-$AM$6))),$AM$6)</f>
        <v/>
      </c>
      <c r="AM589">
        <f>IFERROR(IF(AV589&lt;($AM$7-$AL$7)/($AN$7-$AL$7),$AL$7+SQRT(AV589*($AN$7-$AL$7)*($AM$7-$AL$7)),$AN$7-SQRT((1-AV589)*($AN$7-$AL$7)*($AN$7-$AM$7))),$AM$7)</f>
        <v/>
      </c>
      <c r="AN589">
        <f>IFERROR(IF(AW589&lt;($AM$8-$AL$8)/($AN$8-$AL$8),$AL$8+SQRT(AW589*($AN$8-$AL$8)*($AM$8-$AL$8)),$AN$8-SQRT((1-AW589)*($AN$8-$AL$8)*($AN$8-$AM$8))),$AM$8)</f>
        <v/>
      </c>
      <c r="AO589">
        <f>IFERROR(IF(AX589&lt;($AM$9-$AL$9)/($AN$9-$AL$9),$AL$9+SQRT(AX589*($AN$9-$AL$9)*($AM$9-$AL$9)),$AN$9-SQRT((1-AX589)*($AN$9-$AL$9)*($AN$9-$AM$9))),$AM$9)</f>
        <v/>
      </c>
      <c r="AP589">
        <f>IFERROR(IF(AY589&lt;($AM$10-$AL$10)/($AN$10-$AL$10),$AL$10+SQRT(AY589*($AN$10-$AL$10)*($AM$10-$AL$10)),$AN$10-SQRT((1-AY589)*($AN$10-$AL$10)*($AN$10-$AM$10))),$AM$10)</f>
        <v/>
      </c>
      <c r="AQ589">
        <f>IFERROR(IF(AZ589&lt;($AM$11-$AL$11)/($AN$11-$AL$11),$AL$11+SQRT(AZ589*($AN$11-$AL$11)*($AM$11-$AL$11)),$AN$11-SQRT((1-AZ589)*($AN$11-$AL$11)*($AN$11-$AM$11))),$AM$11)</f>
        <v/>
      </c>
      <c r="AR589">
        <f>SUMPRODUCT((B24:B31&lt;=$B$6)*(C24:C31*AM589+D24:D31*AO589*$B$8*AQ589)/(1+AL589/100)^B24:B31)+C32*AM589*AP589/(1+AL589/100)^$B$6</f>
        <v/>
      </c>
      <c r="AS589">
        <f>SUMPRODUCT((K24:K26&lt;=$B$6)*(L24:L26*AN589+M24:M26*AO589*$B$8*AQ589)/(1+AL589/100)^K24:K26)+L27*AN589*AP589/(1+AL589/100)^$B$6</f>
        <v/>
      </c>
      <c r="AT589">
        <f>AS589-AR589</f>
        <v/>
      </c>
      <c r="AU589">
        <f>RAND()</f>
        <v/>
      </c>
      <c r="AV589">
        <f>RAND()</f>
        <v/>
      </c>
      <c r="AW589">
        <f>RAND()</f>
        <v/>
      </c>
      <c r="AX589">
        <f>RAND()</f>
        <v/>
      </c>
      <c r="AY589">
        <f>RAND()</f>
        <v/>
      </c>
      <c r="AZ589">
        <f>RAND()</f>
        <v/>
      </c>
    </row>
    <row r="590">
      <c r="AK590" t="n">
        <v>577</v>
      </c>
      <c r="AL590">
        <f>IFERROR(IF(AU590&lt;($AM$6-$AL$6)/($AN$6-$AL$6),$AL$6+SQRT(AU590*($AN$6-$AL$6)*($AM$6-$AL$6)),$AN$6-SQRT((1-AU590)*($AN$6-$AL$6)*($AN$6-$AM$6))),$AM$6)</f>
        <v/>
      </c>
      <c r="AM590">
        <f>IFERROR(IF(AV590&lt;($AM$7-$AL$7)/($AN$7-$AL$7),$AL$7+SQRT(AV590*($AN$7-$AL$7)*($AM$7-$AL$7)),$AN$7-SQRT((1-AV590)*($AN$7-$AL$7)*($AN$7-$AM$7))),$AM$7)</f>
        <v/>
      </c>
      <c r="AN590">
        <f>IFERROR(IF(AW590&lt;($AM$8-$AL$8)/($AN$8-$AL$8),$AL$8+SQRT(AW590*($AN$8-$AL$8)*($AM$8-$AL$8)),$AN$8-SQRT((1-AW590)*($AN$8-$AL$8)*($AN$8-$AM$8))),$AM$8)</f>
        <v/>
      </c>
      <c r="AO590">
        <f>IFERROR(IF(AX590&lt;($AM$9-$AL$9)/($AN$9-$AL$9),$AL$9+SQRT(AX590*($AN$9-$AL$9)*($AM$9-$AL$9)),$AN$9-SQRT((1-AX590)*($AN$9-$AL$9)*($AN$9-$AM$9))),$AM$9)</f>
        <v/>
      </c>
      <c r="AP590">
        <f>IFERROR(IF(AY590&lt;($AM$10-$AL$10)/($AN$10-$AL$10),$AL$10+SQRT(AY590*($AN$10-$AL$10)*($AM$10-$AL$10)),$AN$10-SQRT((1-AY590)*($AN$10-$AL$10)*($AN$10-$AM$10))),$AM$10)</f>
        <v/>
      </c>
      <c r="AQ590">
        <f>IFERROR(IF(AZ590&lt;($AM$11-$AL$11)/($AN$11-$AL$11),$AL$11+SQRT(AZ590*($AN$11-$AL$11)*($AM$11-$AL$11)),$AN$11-SQRT((1-AZ590)*($AN$11-$AL$11)*($AN$11-$AM$11))),$AM$11)</f>
        <v/>
      </c>
      <c r="AR590">
        <f>SUMPRODUCT((B24:B31&lt;=$B$6)*(C24:C31*AM590+D24:D31*AO590*$B$8*AQ590)/(1+AL590/100)^B24:B31)+C32*AM590*AP590/(1+AL590/100)^$B$6</f>
        <v/>
      </c>
      <c r="AS590">
        <f>SUMPRODUCT((K24:K26&lt;=$B$6)*(L24:L26*AN590+M24:M26*AO590*$B$8*AQ590)/(1+AL590/100)^K24:K26)+L27*AN590*AP590/(1+AL590/100)^$B$6</f>
        <v/>
      </c>
      <c r="AT590">
        <f>AS590-AR590</f>
        <v/>
      </c>
      <c r="AU590">
        <f>RAND()</f>
        <v/>
      </c>
      <c r="AV590">
        <f>RAND()</f>
        <v/>
      </c>
      <c r="AW590">
        <f>RAND()</f>
        <v/>
      </c>
      <c r="AX590">
        <f>RAND()</f>
        <v/>
      </c>
      <c r="AY590">
        <f>RAND()</f>
        <v/>
      </c>
      <c r="AZ590">
        <f>RAND()</f>
        <v/>
      </c>
    </row>
    <row r="591">
      <c r="AK591" t="n">
        <v>578</v>
      </c>
      <c r="AL591">
        <f>IFERROR(IF(AU591&lt;($AM$6-$AL$6)/($AN$6-$AL$6),$AL$6+SQRT(AU591*($AN$6-$AL$6)*($AM$6-$AL$6)),$AN$6-SQRT((1-AU591)*($AN$6-$AL$6)*($AN$6-$AM$6))),$AM$6)</f>
        <v/>
      </c>
      <c r="AM591">
        <f>IFERROR(IF(AV591&lt;($AM$7-$AL$7)/($AN$7-$AL$7),$AL$7+SQRT(AV591*($AN$7-$AL$7)*($AM$7-$AL$7)),$AN$7-SQRT((1-AV591)*($AN$7-$AL$7)*($AN$7-$AM$7))),$AM$7)</f>
        <v/>
      </c>
      <c r="AN591">
        <f>IFERROR(IF(AW591&lt;($AM$8-$AL$8)/($AN$8-$AL$8),$AL$8+SQRT(AW591*($AN$8-$AL$8)*($AM$8-$AL$8)),$AN$8-SQRT((1-AW591)*($AN$8-$AL$8)*($AN$8-$AM$8))),$AM$8)</f>
        <v/>
      </c>
      <c r="AO591">
        <f>IFERROR(IF(AX591&lt;($AM$9-$AL$9)/($AN$9-$AL$9),$AL$9+SQRT(AX591*($AN$9-$AL$9)*($AM$9-$AL$9)),$AN$9-SQRT((1-AX591)*($AN$9-$AL$9)*($AN$9-$AM$9))),$AM$9)</f>
        <v/>
      </c>
      <c r="AP591">
        <f>IFERROR(IF(AY591&lt;($AM$10-$AL$10)/($AN$10-$AL$10),$AL$10+SQRT(AY591*($AN$10-$AL$10)*($AM$10-$AL$10)),$AN$10-SQRT((1-AY591)*($AN$10-$AL$10)*($AN$10-$AM$10))),$AM$10)</f>
        <v/>
      </c>
      <c r="AQ591">
        <f>IFERROR(IF(AZ591&lt;($AM$11-$AL$11)/($AN$11-$AL$11),$AL$11+SQRT(AZ591*($AN$11-$AL$11)*($AM$11-$AL$11)),$AN$11-SQRT((1-AZ591)*($AN$11-$AL$11)*($AN$11-$AM$11))),$AM$11)</f>
        <v/>
      </c>
      <c r="AR591">
        <f>SUMPRODUCT((B24:B31&lt;=$B$6)*(C24:C31*AM591+D24:D31*AO591*$B$8*AQ591)/(1+AL591/100)^B24:B31)+C32*AM591*AP591/(1+AL591/100)^$B$6</f>
        <v/>
      </c>
      <c r="AS591">
        <f>SUMPRODUCT((K24:K26&lt;=$B$6)*(L24:L26*AN591+M24:M26*AO591*$B$8*AQ591)/(1+AL591/100)^K24:K26)+L27*AN591*AP591/(1+AL591/100)^$B$6</f>
        <v/>
      </c>
      <c r="AT591">
        <f>AS591-AR591</f>
        <v/>
      </c>
      <c r="AU591">
        <f>RAND()</f>
        <v/>
      </c>
      <c r="AV591">
        <f>RAND()</f>
        <v/>
      </c>
      <c r="AW591">
        <f>RAND()</f>
        <v/>
      </c>
      <c r="AX591">
        <f>RAND()</f>
        <v/>
      </c>
      <c r="AY591">
        <f>RAND()</f>
        <v/>
      </c>
      <c r="AZ591">
        <f>RAND()</f>
        <v/>
      </c>
    </row>
    <row r="592">
      <c r="AK592" t="n">
        <v>579</v>
      </c>
      <c r="AL592">
        <f>IFERROR(IF(AU592&lt;($AM$6-$AL$6)/($AN$6-$AL$6),$AL$6+SQRT(AU592*($AN$6-$AL$6)*($AM$6-$AL$6)),$AN$6-SQRT((1-AU592)*($AN$6-$AL$6)*($AN$6-$AM$6))),$AM$6)</f>
        <v/>
      </c>
      <c r="AM592">
        <f>IFERROR(IF(AV592&lt;($AM$7-$AL$7)/($AN$7-$AL$7),$AL$7+SQRT(AV592*($AN$7-$AL$7)*($AM$7-$AL$7)),$AN$7-SQRT((1-AV592)*($AN$7-$AL$7)*($AN$7-$AM$7))),$AM$7)</f>
        <v/>
      </c>
      <c r="AN592">
        <f>IFERROR(IF(AW592&lt;($AM$8-$AL$8)/($AN$8-$AL$8),$AL$8+SQRT(AW592*($AN$8-$AL$8)*($AM$8-$AL$8)),$AN$8-SQRT((1-AW592)*($AN$8-$AL$8)*($AN$8-$AM$8))),$AM$8)</f>
        <v/>
      </c>
      <c r="AO592">
        <f>IFERROR(IF(AX592&lt;($AM$9-$AL$9)/($AN$9-$AL$9),$AL$9+SQRT(AX592*($AN$9-$AL$9)*($AM$9-$AL$9)),$AN$9-SQRT((1-AX592)*($AN$9-$AL$9)*($AN$9-$AM$9))),$AM$9)</f>
        <v/>
      </c>
      <c r="AP592">
        <f>IFERROR(IF(AY592&lt;($AM$10-$AL$10)/($AN$10-$AL$10),$AL$10+SQRT(AY592*($AN$10-$AL$10)*($AM$10-$AL$10)),$AN$10-SQRT((1-AY592)*($AN$10-$AL$10)*($AN$10-$AM$10))),$AM$10)</f>
        <v/>
      </c>
      <c r="AQ592">
        <f>IFERROR(IF(AZ592&lt;($AM$11-$AL$11)/($AN$11-$AL$11),$AL$11+SQRT(AZ592*($AN$11-$AL$11)*($AM$11-$AL$11)),$AN$11-SQRT((1-AZ592)*($AN$11-$AL$11)*($AN$11-$AM$11))),$AM$11)</f>
        <v/>
      </c>
      <c r="AR592">
        <f>SUMPRODUCT((B24:B31&lt;=$B$6)*(C24:C31*AM592+D24:D31*AO592*$B$8*AQ592)/(1+AL592/100)^B24:B31)+C32*AM592*AP592/(1+AL592/100)^$B$6</f>
        <v/>
      </c>
      <c r="AS592">
        <f>SUMPRODUCT((K24:K26&lt;=$B$6)*(L24:L26*AN592+M24:M26*AO592*$B$8*AQ592)/(1+AL592/100)^K24:K26)+L27*AN592*AP592/(1+AL592/100)^$B$6</f>
        <v/>
      </c>
      <c r="AT592">
        <f>AS592-AR592</f>
        <v/>
      </c>
      <c r="AU592">
        <f>RAND()</f>
        <v/>
      </c>
      <c r="AV592">
        <f>RAND()</f>
        <v/>
      </c>
      <c r="AW592">
        <f>RAND()</f>
        <v/>
      </c>
      <c r="AX592">
        <f>RAND()</f>
        <v/>
      </c>
      <c r="AY592">
        <f>RAND()</f>
        <v/>
      </c>
      <c r="AZ592">
        <f>RAND()</f>
        <v/>
      </c>
    </row>
    <row r="593">
      <c r="AK593" t="n">
        <v>580</v>
      </c>
      <c r="AL593">
        <f>IFERROR(IF(AU593&lt;($AM$6-$AL$6)/($AN$6-$AL$6),$AL$6+SQRT(AU593*($AN$6-$AL$6)*($AM$6-$AL$6)),$AN$6-SQRT((1-AU593)*($AN$6-$AL$6)*($AN$6-$AM$6))),$AM$6)</f>
        <v/>
      </c>
      <c r="AM593">
        <f>IFERROR(IF(AV593&lt;($AM$7-$AL$7)/($AN$7-$AL$7),$AL$7+SQRT(AV593*($AN$7-$AL$7)*($AM$7-$AL$7)),$AN$7-SQRT((1-AV593)*($AN$7-$AL$7)*($AN$7-$AM$7))),$AM$7)</f>
        <v/>
      </c>
      <c r="AN593">
        <f>IFERROR(IF(AW593&lt;($AM$8-$AL$8)/($AN$8-$AL$8),$AL$8+SQRT(AW593*($AN$8-$AL$8)*($AM$8-$AL$8)),$AN$8-SQRT((1-AW593)*($AN$8-$AL$8)*($AN$8-$AM$8))),$AM$8)</f>
        <v/>
      </c>
      <c r="AO593">
        <f>IFERROR(IF(AX593&lt;($AM$9-$AL$9)/($AN$9-$AL$9),$AL$9+SQRT(AX593*($AN$9-$AL$9)*($AM$9-$AL$9)),$AN$9-SQRT((1-AX593)*($AN$9-$AL$9)*($AN$9-$AM$9))),$AM$9)</f>
        <v/>
      </c>
      <c r="AP593">
        <f>IFERROR(IF(AY593&lt;($AM$10-$AL$10)/($AN$10-$AL$10),$AL$10+SQRT(AY593*($AN$10-$AL$10)*($AM$10-$AL$10)),$AN$10-SQRT((1-AY593)*($AN$10-$AL$10)*($AN$10-$AM$10))),$AM$10)</f>
        <v/>
      </c>
      <c r="AQ593">
        <f>IFERROR(IF(AZ593&lt;($AM$11-$AL$11)/($AN$11-$AL$11),$AL$11+SQRT(AZ593*($AN$11-$AL$11)*($AM$11-$AL$11)),$AN$11-SQRT((1-AZ593)*($AN$11-$AL$11)*($AN$11-$AM$11))),$AM$11)</f>
        <v/>
      </c>
      <c r="AR593">
        <f>SUMPRODUCT((B24:B31&lt;=$B$6)*(C24:C31*AM593+D24:D31*AO593*$B$8*AQ593)/(1+AL593/100)^B24:B31)+C32*AM593*AP593/(1+AL593/100)^$B$6</f>
        <v/>
      </c>
      <c r="AS593">
        <f>SUMPRODUCT((K24:K26&lt;=$B$6)*(L24:L26*AN593+M24:M26*AO593*$B$8*AQ593)/(1+AL593/100)^K24:K26)+L27*AN593*AP593/(1+AL593/100)^$B$6</f>
        <v/>
      </c>
      <c r="AT593">
        <f>AS593-AR593</f>
        <v/>
      </c>
      <c r="AU593">
        <f>RAND()</f>
        <v/>
      </c>
      <c r="AV593">
        <f>RAND()</f>
        <v/>
      </c>
      <c r="AW593">
        <f>RAND()</f>
        <v/>
      </c>
      <c r="AX593">
        <f>RAND()</f>
        <v/>
      </c>
      <c r="AY593">
        <f>RAND()</f>
        <v/>
      </c>
      <c r="AZ593">
        <f>RAND()</f>
        <v/>
      </c>
    </row>
    <row r="594">
      <c r="AK594" t="n">
        <v>581</v>
      </c>
      <c r="AL594">
        <f>IFERROR(IF(AU594&lt;($AM$6-$AL$6)/($AN$6-$AL$6),$AL$6+SQRT(AU594*($AN$6-$AL$6)*($AM$6-$AL$6)),$AN$6-SQRT((1-AU594)*($AN$6-$AL$6)*($AN$6-$AM$6))),$AM$6)</f>
        <v/>
      </c>
      <c r="AM594">
        <f>IFERROR(IF(AV594&lt;($AM$7-$AL$7)/($AN$7-$AL$7),$AL$7+SQRT(AV594*($AN$7-$AL$7)*($AM$7-$AL$7)),$AN$7-SQRT((1-AV594)*($AN$7-$AL$7)*($AN$7-$AM$7))),$AM$7)</f>
        <v/>
      </c>
      <c r="AN594">
        <f>IFERROR(IF(AW594&lt;($AM$8-$AL$8)/($AN$8-$AL$8),$AL$8+SQRT(AW594*($AN$8-$AL$8)*($AM$8-$AL$8)),$AN$8-SQRT((1-AW594)*($AN$8-$AL$8)*($AN$8-$AM$8))),$AM$8)</f>
        <v/>
      </c>
      <c r="AO594">
        <f>IFERROR(IF(AX594&lt;($AM$9-$AL$9)/($AN$9-$AL$9),$AL$9+SQRT(AX594*($AN$9-$AL$9)*($AM$9-$AL$9)),$AN$9-SQRT((1-AX594)*($AN$9-$AL$9)*($AN$9-$AM$9))),$AM$9)</f>
        <v/>
      </c>
      <c r="AP594">
        <f>IFERROR(IF(AY594&lt;($AM$10-$AL$10)/($AN$10-$AL$10),$AL$10+SQRT(AY594*($AN$10-$AL$10)*($AM$10-$AL$10)),$AN$10-SQRT((1-AY594)*($AN$10-$AL$10)*($AN$10-$AM$10))),$AM$10)</f>
        <v/>
      </c>
      <c r="AQ594">
        <f>IFERROR(IF(AZ594&lt;($AM$11-$AL$11)/($AN$11-$AL$11),$AL$11+SQRT(AZ594*($AN$11-$AL$11)*($AM$11-$AL$11)),$AN$11-SQRT((1-AZ594)*($AN$11-$AL$11)*($AN$11-$AM$11))),$AM$11)</f>
        <v/>
      </c>
      <c r="AR594">
        <f>SUMPRODUCT((B24:B31&lt;=$B$6)*(C24:C31*AM594+D24:D31*AO594*$B$8*AQ594)/(1+AL594/100)^B24:B31)+C32*AM594*AP594/(1+AL594/100)^$B$6</f>
        <v/>
      </c>
      <c r="AS594">
        <f>SUMPRODUCT((K24:K26&lt;=$B$6)*(L24:L26*AN594+M24:M26*AO594*$B$8*AQ594)/(1+AL594/100)^K24:K26)+L27*AN594*AP594/(1+AL594/100)^$B$6</f>
        <v/>
      </c>
      <c r="AT594">
        <f>AS594-AR594</f>
        <v/>
      </c>
      <c r="AU594">
        <f>RAND()</f>
        <v/>
      </c>
      <c r="AV594">
        <f>RAND()</f>
        <v/>
      </c>
      <c r="AW594">
        <f>RAND()</f>
        <v/>
      </c>
      <c r="AX594">
        <f>RAND()</f>
        <v/>
      </c>
      <c r="AY594">
        <f>RAND()</f>
        <v/>
      </c>
      <c r="AZ594">
        <f>RAND()</f>
        <v/>
      </c>
    </row>
    <row r="595">
      <c r="AK595" t="n">
        <v>582</v>
      </c>
      <c r="AL595">
        <f>IFERROR(IF(AU595&lt;($AM$6-$AL$6)/($AN$6-$AL$6),$AL$6+SQRT(AU595*($AN$6-$AL$6)*($AM$6-$AL$6)),$AN$6-SQRT((1-AU595)*($AN$6-$AL$6)*($AN$6-$AM$6))),$AM$6)</f>
        <v/>
      </c>
      <c r="AM595">
        <f>IFERROR(IF(AV595&lt;($AM$7-$AL$7)/($AN$7-$AL$7),$AL$7+SQRT(AV595*($AN$7-$AL$7)*($AM$7-$AL$7)),$AN$7-SQRT((1-AV595)*($AN$7-$AL$7)*($AN$7-$AM$7))),$AM$7)</f>
        <v/>
      </c>
      <c r="AN595">
        <f>IFERROR(IF(AW595&lt;($AM$8-$AL$8)/($AN$8-$AL$8),$AL$8+SQRT(AW595*($AN$8-$AL$8)*($AM$8-$AL$8)),$AN$8-SQRT((1-AW595)*($AN$8-$AL$8)*($AN$8-$AM$8))),$AM$8)</f>
        <v/>
      </c>
      <c r="AO595">
        <f>IFERROR(IF(AX595&lt;($AM$9-$AL$9)/($AN$9-$AL$9),$AL$9+SQRT(AX595*($AN$9-$AL$9)*($AM$9-$AL$9)),$AN$9-SQRT((1-AX595)*($AN$9-$AL$9)*($AN$9-$AM$9))),$AM$9)</f>
        <v/>
      </c>
      <c r="AP595">
        <f>IFERROR(IF(AY595&lt;($AM$10-$AL$10)/($AN$10-$AL$10),$AL$10+SQRT(AY595*($AN$10-$AL$10)*($AM$10-$AL$10)),$AN$10-SQRT((1-AY595)*($AN$10-$AL$10)*($AN$10-$AM$10))),$AM$10)</f>
        <v/>
      </c>
      <c r="AQ595">
        <f>IFERROR(IF(AZ595&lt;($AM$11-$AL$11)/($AN$11-$AL$11),$AL$11+SQRT(AZ595*($AN$11-$AL$11)*($AM$11-$AL$11)),$AN$11-SQRT((1-AZ595)*($AN$11-$AL$11)*($AN$11-$AM$11))),$AM$11)</f>
        <v/>
      </c>
      <c r="AR595">
        <f>SUMPRODUCT((B24:B31&lt;=$B$6)*(C24:C31*AM595+D24:D31*AO595*$B$8*AQ595)/(1+AL595/100)^B24:B31)+C32*AM595*AP595/(1+AL595/100)^$B$6</f>
        <v/>
      </c>
      <c r="AS595">
        <f>SUMPRODUCT((K24:K26&lt;=$B$6)*(L24:L26*AN595+M24:M26*AO595*$B$8*AQ595)/(1+AL595/100)^K24:K26)+L27*AN595*AP595/(1+AL595/100)^$B$6</f>
        <v/>
      </c>
      <c r="AT595">
        <f>AS595-AR595</f>
        <v/>
      </c>
      <c r="AU595">
        <f>RAND()</f>
        <v/>
      </c>
      <c r="AV595">
        <f>RAND()</f>
        <v/>
      </c>
      <c r="AW595">
        <f>RAND()</f>
        <v/>
      </c>
      <c r="AX595">
        <f>RAND()</f>
        <v/>
      </c>
      <c r="AY595">
        <f>RAND()</f>
        <v/>
      </c>
      <c r="AZ595">
        <f>RAND()</f>
        <v/>
      </c>
    </row>
    <row r="596">
      <c r="AK596" t="n">
        <v>583</v>
      </c>
      <c r="AL596">
        <f>IFERROR(IF(AU596&lt;($AM$6-$AL$6)/($AN$6-$AL$6),$AL$6+SQRT(AU596*($AN$6-$AL$6)*($AM$6-$AL$6)),$AN$6-SQRT((1-AU596)*($AN$6-$AL$6)*($AN$6-$AM$6))),$AM$6)</f>
        <v/>
      </c>
      <c r="AM596">
        <f>IFERROR(IF(AV596&lt;($AM$7-$AL$7)/($AN$7-$AL$7),$AL$7+SQRT(AV596*($AN$7-$AL$7)*($AM$7-$AL$7)),$AN$7-SQRT((1-AV596)*($AN$7-$AL$7)*($AN$7-$AM$7))),$AM$7)</f>
        <v/>
      </c>
      <c r="AN596">
        <f>IFERROR(IF(AW596&lt;($AM$8-$AL$8)/($AN$8-$AL$8),$AL$8+SQRT(AW596*($AN$8-$AL$8)*($AM$8-$AL$8)),$AN$8-SQRT((1-AW596)*($AN$8-$AL$8)*($AN$8-$AM$8))),$AM$8)</f>
        <v/>
      </c>
      <c r="AO596">
        <f>IFERROR(IF(AX596&lt;($AM$9-$AL$9)/($AN$9-$AL$9),$AL$9+SQRT(AX596*($AN$9-$AL$9)*($AM$9-$AL$9)),$AN$9-SQRT((1-AX596)*($AN$9-$AL$9)*($AN$9-$AM$9))),$AM$9)</f>
        <v/>
      </c>
      <c r="AP596">
        <f>IFERROR(IF(AY596&lt;($AM$10-$AL$10)/($AN$10-$AL$10),$AL$10+SQRT(AY596*($AN$10-$AL$10)*($AM$10-$AL$10)),$AN$10-SQRT((1-AY596)*($AN$10-$AL$10)*($AN$10-$AM$10))),$AM$10)</f>
        <v/>
      </c>
      <c r="AQ596">
        <f>IFERROR(IF(AZ596&lt;($AM$11-$AL$11)/($AN$11-$AL$11),$AL$11+SQRT(AZ596*($AN$11-$AL$11)*($AM$11-$AL$11)),$AN$11-SQRT((1-AZ596)*($AN$11-$AL$11)*($AN$11-$AM$11))),$AM$11)</f>
        <v/>
      </c>
      <c r="AR596">
        <f>SUMPRODUCT((B24:B31&lt;=$B$6)*(C24:C31*AM596+D24:D31*AO596*$B$8*AQ596)/(1+AL596/100)^B24:B31)+C32*AM596*AP596/(1+AL596/100)^$B$6</f>
        <v/>
      </c>
      <c r="AS596">
        <f>SUMPRODUCT((K24:K26&lt;=$B$6)*(L24:L26*AN596+M24:M26*AO596*$B$8*AQ596)/(1+AL596/100)^K24:K26)+L27*AN596*AP596/(1+AL596/100)^$B$6</f>
        <v/>
      </c>
      <c r="AT596">
        <f>AS596-AR596</f>
        <v/>
      </c>
      <c r="AU596">
        <f>RAND()</f>
        <v/>
      </c>
      <c r="AV596">
        <f>RAND()</f>
        <v/>
      </c>
      <c r="AW596">
        <f>RAND()</f>
        <v/>
      </c>
      <c r="AX596">
        <f>RAND()</f>
        <v/>
      </c>
      <c r="AY596">
        <f>RAND()</f>
        <v/>
      </c>
      <c r="AZ596">
        <f>RAND()</f>
        <v/>
      </c>
    </row>
    <row r="597">
      <c r="AK597" t="n">
        <v>584</v>
      </c>
      <c r="AL597">
        <f>IFERROR(IF(AU597&lt;($AM$6-$AL$6)/($AN$6-$AL$6),$AL$6+SQRT(AU597*($AN$6-$AL$6)*($AM$6-$AL$6)),$AN$6-SQRT((1-AU597)*($AN$6-$AL$6)*($AN$6-$AM$6))),$AM$6)</f>
        <v/>
      </c>
      <c r="AM597">
        <f>IFERROR(IF(AV597&lt;($AM$7-$AL$7)/($AN$7-$AL$7),$AL$7+SQRT(AV597*($AN$7-$AL$7)*($AM$7-$AL$7)),$AN$7-SQRT((1-AV597)*($AN$7-$AL$7)*($AN$7-$AM$7))),$AM$7)</f>
        <v/>
      </c>
      <c r="AN597">
        <f>IFERROR(IF(AW597&lt;($AM$8-$AL$8)/($AN$8-$AL$8),$AL$8+SQRT(AW597*($AN$8-$AL$8)*($AM$8-$AL$8)),$AN$8-SQRT((1-AW597)*($AN$8-$AL$8)*($AN$8-$AM$8))),$AM$8)</f>
        <v/>
      </c>
      <c r="AO597">
        <f>IFERROR(IF(AX597&lt;($AM$9-$AL$9)/($AN$9-$AL$9),$AL$9+SQRT(AX597*($AN$9-$AL$9)*($AM$9-$AL$9)),$AN$9-SQRT((1-AX597)*($AN$9-$AL$9)*($AN$9-$AM$9))),$AM$9)</f>
        <v/>
      </c>
      <c r="AP597">
        <f>IFERROR(IF(AY597&lt;($AM$10-$AL$10)/($AN$10-$AL$10),$AL$10+SQRT(AY597*($AN$10-$AL$10)*($AM$10-$AL$10)),$AN$10-SQRT((1-AY597)*($AN$10-$AL$10)*($AN$10-$AM$10))),$AM$10)</f>
        <v/>
      </c>
      <c r="AQ597">
        <f>IFERROR(IF(AZ597&lt;($AM$11-$AL$11)/($AN$11-$AL$11),$AL$11+SQRT(AZ597*($AN$11-$AL$11)*($AM$11-$AL$11)),$AN$11-SQRT((1-AZ597)*($AN$11-$AL$11)*($AN$11-$AM$11))),$AM$11)</f>
        <v/>
      </c>
      <c r="AR597">
        <f>SUMPRODUCT((B24:B31&lt;=$B$6)*(C24:C31*AM597+D24:D31*AO597*$B$8*AQ597)/(1+AL597/100)^B24:B31)+C32*AM597*AP597/(1+AL597/100)^$B$6</f>
        <v/>
      </c>
      <c r="AS597">
        <f>SUMPRODUCT((K24:K26&lt;=$B$6)*(L24:L26*AN597+M24:M26*AO597*$B$8*AQ597)/(1+AL597/100)^K24:K26)+L27*AN597*AP597/(1+AL597/100)^$B$6</f>
        <v/>
      </c>
      <c r="AT597">
        <f>AS597-AR597</f>
        <v/>
      </c>
      <c r="AU597">
        <f>RAND()</f>
        <v/>
      </c>
      <c r="AV597">
        <f>RAND()</f>
        <v/>
      </c>
      <c r="AW597">
        <f>RAND()</f>
        <v/>
      </c>
      <c r="AX597">
        <f>RAND()</f>
        <v/>
      </c>
      <c r="AY597">
        <f>RAND()</f>
        <v/>
      </c>
      <c r="AZ597">
        <f>RAND()</f>
        <v/>
      </c>
    </row>
    <row r="598">
      <c r="AK598" t="n">
        <v>585</v>
      </c>
      <c r="AL598">
        <f>IFERROR(IF(AU598&lt;($AM$6-$AL$6)/($AN$6-$AL$6),$AL$6+SQRT(AU598*($AN$6-$AL$6)*($AM$6-$AL$6)),$AN$6-SQRT((1-AU598)*($AN$6-$AL$6)*($AN$6-$AM$6))),$AM$6)</f>
        <v/>
      </c>
      <c r="AM598">
        <f>IFERROR(IF(AV598&lt;($AM$7-$AL$7)/($AN$7-$AL$7),$AL$7+SQRT(AV598*($AN$7-$AL$7)*($AM$7-$AL$7)),$AN$7-SQRT((1-AV598)*($AN$7-$AL$7)*($AN$7-$AM$7))),$AM$7)</f>
        <v/>
      </c>
      <c r="AN598">
        <f>IFERROR(IF(AW598&lt;($AM$8-$AL$8)/($AN$8-$AL$8),$AL$8+SQRT(AW598*($AN$8-$AL$8)*($AM$8-$AL$8)),$AN$8-SQRT((1-AW598)*($AN$8-$AL$8)*($AN$8-$AM$8))),$AM$8)</f>
        <v/>
      </c>
      <c r="AO598">
        <f>IFERROR(IF(AX598&lt;($AM$9-$AL$9)/($AN$9-$AL$9),$AL$9+SQRT(AX598*($AN$9-$AL$9)*($AM$9-$AL$9)),$AN$9-SQRT((1-AX598)*($AN$9-$AL$9)*($AN$9-$AM$9))),$AM$9)</f>
        <v/>
      </c>
      <c r="AP598">
        <f>IFERROR(IF(AY598&lt;($AM$10-$AL$10)/($AN$10-$AL$10),$AL$10+SQRT(AY598*($AN$10-$AL$10)*($AM$10-$AL$10)),$AN$10-SQRT((1-AY598)*($AN$10-$AL$10)*($AN$10-$AM$10))),$AM$10)</f>
        <v/>
      </c>
      <c r="AQ598">
        <f>IFERROR(IF(AZ598&lt;($AM$11-$AL$11)/($AN$11-$AL$11),$AL$11+SQRT(AZ598*($AN$11-$AL$11)*($AM$11-$AL$11)),$AN$11-SQRT((1-AZ598)*($AN$11-$AL$11)*($AN$11-$AM$11))),$AM$11)</f>
        <v/>
      </c>
      <c r="AR598">
        <f>SUMPRODUCT((B24:B31&lt;=$B$6)*(C24:C31*AM598+D24:D31*AO598*$B$8*AQ598)/(1+AL598/100)^B24:B31)+C32*AM598*AP598/(1+AL598/100)^$B$6</f>
        <v/>
      </c>
      <c r="AS598">
        <f>SUMPRODUCT((K24:K26&lt;=$B$6)*(L24:L26*AN598+M24:M26*AO598*$B$8*AQ598)/(1+AL598/100)^K24:K26)+L27*AN598*AP598/(1+AL598/100)^$B$6</f>
        <v/>
      </c>
      <c r="AT598">
        <f>AS598-AR598</f>
        <v/>
      </c>
      <c r="AU598">
        <f>RAND()</f>
        <v/>
      </c>
      <c r="AV598">
        <f>RAND()</f>
        <v/>
      </c>
      <c r="AW598">
        <f>RAND()</f>
        <v/>
      </c>
      <c r="AX598">
        <f>RAND()</f>
        <v/>
      </c>
      <c r="AY598">
        <f>RAND()</f>
        <v/>
      </c>
      <c r="AZ598">
        <f>RAND()</f>
        <v/>
      </c>
    </row>
    <row r="599">
      <c r="AK599" t="n">
        <v>586</v>
      </c>
      <c r="AL599">
        <f>IFERROR(IF(AU599&lt;($AM$6-$AL$6)/($AN$6-$AL$6),$AL$6+SQRT(AU599*($AN$6-$AL$6)*($AM$6-$AL$6)),$AN$6-SQRT((1-AU599)*($AN$6-$AL$6)*($AN$6-$AM$6))),$AM$6)</f>
        <v/>
      </c>
      <c r="AM599">
        <f>IFERROR(IF(AV599&lt;($AM$7-$AL$7)/($AN$7-$AL$7),$AL$7+SQRT(AV599*($AN$7-$AL$7)*($AM$7-$AL$7)),$AN$7-SQRT((1-AV599)*($AN$7-$AL$7)*($AN$7-$AM$7))),$AM$7)</f>
        <v/>
      </c>
      <c r="AN599">
        <f>IFERROR(IF(AW599&lt;($AM$8-$AL$8)/($AN$8-$AL$8),$AL$8+SQRT(AW599*($AN$8-$AL$8)*($AM$8-$AL$8)),$AN$8-SQRT((1-AW599)*($AN$8-$AL$8)*($AN$8-$AM$8))),$AM$8)</f>
        <v/>
      </c>
      <c r="AO599">
        <f>IFERROR(IF(AX599&lt;($AM$9-$AL$9)/($AN$9-$AL$9),$AL$9+SQRT(AX599*($AN$9-$AL$9)*($AM$9-$AL$9)),$AN$9-SQRT((1-AX599)*($AN$9-$AL$9)*($AN$9-$AM$9))),$AM$9)</f>
        <v/>
      </c>
      <c r="AP599">
        <f>IFERROR(IF(AY599&lt;($AM$10-$AL$10)/($AN$10-$AL$10),$AL$10+SQRT(AY599*($AN$10-$AL$10)*($AM$10-$AL$10)),$AN$10-SQRT((1-AY599)*($AN$10-$AL$10)*($AN$10-$AM$10))),$AM$10)</f>
        <v/>
      </c>
      <c r="AQ599">
        <f>IFERROR(IF(AZ599&lt;($AM$11-$AL$11)/($AN$11-$AL$11),$AL$11+SQRT(AZ599*($AN$11-$AL$11)*($AM$11-$AL$11)),$AN$11-SQRT((1-AZ599)*($AN$11-$AL$11)*($AN$11-$AM$11))),$AM$11)</f>
        <v/>
      </c>
      <c r="AR599">
        <f>SUMPRODUCT((B24:B31&lt;=$B$6)*(C24:C31*AM599+D24:D31*AO599*$B$8*AQ599)/(1+AL599/100)^B24:B31)+C32*AM599*AP599/(1+AL599/100)^$B$6</f>
        <v/>
      </c>
      <c r="AS599">
        <f>SUMPRODUCT((K24:K26&lt;=$B$6)*(L24:L26*AN599+M24:M26*AO599*$B$8*AQ599)/(1+AL599/100)^K24:K26)+L27*AN599*AP599/(1+AL599/100)^$B$6</f>
        <v/>
      </c>
      <c r="AT599">
        <f>AS599-AR599</f>
        <v/>
      </c>
      <c r="AU599">
        <f>RAND()</f>
        <v/>
      </c>
      <c r="AV599">
        <f>RAND()</f>
        <v/>
      </c>
      <c r="AW599">
        <f>RAND()</f>
        <v/>
      </c>
      <c r="AX599">
        <f>RAND()</f>
        <v/>
      </c>
      <c r="AY599">
        <f>RAND()</f>
        <v/>
      </c>
      <c r="AZ599">
        <f>RAND()</f>
        <v/>
      </c>
    </row>
    <row r="600">
      <c r="AK600" t="n">
        <v>587</v>
      </c>
      <c r="AL600">
        <f>IFERROR(IF(AU600&lt;($AM$6-$AL$6)/($AN$6-$AL$6),$AL$6+SQRT(AU600*($AN$6-$AL$6)*($AM$6-$AL$6)),$AN$6-SQRT((1-AU600)*($AN$6-$AL$6)*($AN$6-$AM$6))),$AM$6)</f>
        <v/>
      </c>
      <c r="AM600">
        <f>IFERROR(IF(AV600&lt;($AM$7-$AL$7)/($AN$7-$AL$7),$AL$7+SQRT(AV600*($AN$7-$AL$7)*($AM$7-$AL$7)),$AN$7-SQRT((1-AV600)*($AN$7-$AL$7)*($AN$7-$AM$7))),$AM$7)</f>
        <v/>
      </c>
      <c r="AN600">
        <f>IFERROR(IF(AW600&lt;($AM$8-$AL$8)/($AN$8-$AL$8),$AL$8+SQRT(AW600*($AN$8-$AL$8)*($AM$8-$AL$8)),$AN$8-SQRT((1-AW600)*($AN$8-$AL$8)*($AN$8-$AM$8))),$AM$8)</f>
        <v/>
      </c>
      <c r="AO600">
        <f>IFERROR(IF(AX600&lt;($AM$9-$AL$9)/($AN$9-$AL$9),$AL$9+SQRT(AX600*($AN$9-$AL$9)*($AM$9-$AL$9)),$AN$9-SQRT((1-AX600)*($AN$9-$AL$9)*($AN$9-$AM$9))),$AM$9)</f>
        <v/>
      </c>
      <c r="AP600">
        <f>IFERROR(IF(AY600&lt;($AM$10-$AL$10)/($AN$10-$AL$10),$AL$10+SQRT(AY600*($AN$10-$AL$10)*($AM$10-$AL$10)),$AN$10-SQRT((1-AY600)*($AN$10-$AL$10)*($AN$10-$AM$10))),$AM$10)</f>
        <v/>
      </c>
      <c r="AQ600">
        <f>IFERROR(IF(AZ600&lt;($AM$11-$AL$11)/($AN$11-$AL$11),$AL$11+SQRT(AZ600*($AN$11-$AL$11)*($AM$11-$AL$11)),$AN$11-SQRT((1-AZ600)*($AN$11-$AL$11)*($AN$11-$AM$11))),$AM$11)</f>
        <v/>
      </c>
      <c r="AR600">
        <f>SUMPRODUCT((B24:B31&lt;=$B$6)*(C24:C31*AM600+D24:D31*AO600*$B$8*AQ600)/(1+AL600/100)^B24:B31)+C32*AM600*AP600/(1+AL600/100)^$B$6</f>
        <v/>
      </c>
      <c r="AS600">
        <f>SUMPRODUCT((K24:K26&lt;=$B$6)*(L24:L26*AN600+M24:M26*AO600*$B$8*AQ600)/(1+AL600/100)^K24:K26)+L27*AN600*AP600/(1+AL600/100)^$B$6</f>
        <v/>
      </c>
      <c r="AT600">
        <f>AS600-AR600</f>
        <v/>
      </c>
      <c r="AU600">
        <f>RAND()</f>
        <v/>
      </c>
      <c r="AV600">
        <f>RAND()</f>
        <v/>
      </c>
      <c r="AW600">
        <f>RAND()</f>
        <v/>
      </c>
      <c r="AX600">
        <f>RAND()</f>
        <v/>
      </c>
      <c r="AY600">
        <f>RAND()</f>
        <v/>
      </c>
      <c r="AZ600">
        <f>RAND()</f>
        <v/>
      </c>
    </row>
    <row r="601">
      <c r="AK601" t="n">
        <v>588</v>
      </c>
      <c r="AL601">
        <f>IFERROR(IF(AU601&lt;($AM$6-$AL$6)/($AN$6-$AL$6),$AL$6+SQRT(AU601*($AN$6-$AL$6)*($AM$6-$AL$6)),$AN$6-SQRT((1-AU601)*($AN$6-$AL$6)*($AN$6-$AM$6))),$AM$6)</f>
        <v/>
      </c>
      <c r="AM601">
        <f>IFERROR(IF(AV601&lt;($AM$7-$AL$7)/($AN$7-$AL$7),$AL$7+SQRT(AV601*($AN$7-$AL$7)*($AM$7-$AL$7)),$AN$7-SQRT((1-AV601)*($AN$7-$AL$7)*($AN$7-$AM$7))),$AM$7)</f>
        <v/>
      </c>
      <c r="AN601">
        <f>IFERROR(IF(AW601&lt;($AM$8-$AL$8)/($AN$8-$AL$8),$AL$8+SQRT(AW601*($AN$8-$AL$8)*($AM$8-$AL$8)),$AN$8-SQRT((1-AW601)*($AN$8-$AL$8)*($AN$8-$AM$8))),$AM$8)</f>
        <v/>
      </c>
      <c r="AO601">
        <f>IFERROR(IF(AX601&lt;($AM$9-$AL$9)/($AN$9-$AL$9),$AL$9+SQRT(AX601*($AN$9-$AL$9)*($AM$9-$AL$9)),$AN$9-SQRT((1-AX601)*($AN$9-$AL$9)*($AN$9-$AM$9))),$AM$9)</f>
        <v/>
      </c>
      <c r="AP601">
        <f>IFERROR(IF(AY601&lt;($AM$10-$AL$10)/($AN$10-$AL$10),$AL$10+SQRT(AY601*($AN$10-$AL$10)*($AM$10-$AL$10)),$AN$10-SQRT((1-AY601)*($AN$10-$AL$10)*($AN$10-$AM$10))),$AM$10)</f>
        <v/>
      </c>
      <c r="AQ601">
        <f>IFERROR(IF(AZ601&lt;($AM$11-$AL$11)/($AN$11-$AL$11),$AL$11+SQRT(AZ601*($AN$11-$AL$11)*($AM$11-$AL$11)),$AN$11-SQRT((1-AZ601)*($AN$11-$AL$11)*($AN$11-$AM$11))),$AM$11)</f>
        <v/>
      </c>
      <c r="AR601">
        <f>SUMPRODUCT((B24:B31&lt;=$B$6)*(C24:C31*AM601+D24:D31*AO601*$B$8*AQ601)/(1+AL601/100)^B24:B31)+C32*AM601*AP601/(1+AL601/100)^$B$6</f>
        <v/>
      </c>
      <c r="AS601">
        <f>SUMPRODUCT((K24:K26&lt;=$B$6)*(L24:L26*AN601+M24:M26*AO601*$B$8*AQ601)/(1+AL601/100)^K24:K26)+L27*AN601*AP601/(1+AL601/100)^$B$6</f>
        <v/>
      </c>
      <c r="AT601">
        <f>AS601-AR601</f>
        <v/>
      </c>
      <c r="AU601">
        <f>RAND()</f>
        <v/>
      </c>
      <c r="AV601">
        <f>RAND()</f>
        <v/>
      </c>
      <c r="AW601">
        <f>RAND()</f>
        <v/>
      </c>
      <c r="AX601">
        <f>RAND()</f>
        <v/>
      </c>
      <c r="AY601">
        <f>RAND()</f>
        <v/>
      </c>
      <c r="AZ601">
        <f>RAND()</f>
        <v/>
      </c>
    </row>
    <row r="602">
      <c r="AK602" t="n">
        <v>589</v>
      </c>
      <c r="AL602">
        <f>IFERROR(IF(AU602&lt;($AM$6-$AL$6)/($AN$6-$AL$6),$AL$6+SQRT(AU602*($AN$6-$AL$6)*($AM$6-$AL$6)),$AN$6-SQRT((1-AU602)*($AN$6-$AL$6)*($AN$6-$AM$6))),$AM$6)</f>
        <v/>
      </c>
      <c r="AM602">
        <f>IFERROR(IF(AV602&lt;($AM$7-$AL$7)/($AN$7-$AL$7),$AL$7+SQRT(AV602*($AN$7-$AL$7)*($AM$7-$AL$7)),$AN$7-SQRT((1-AV602)*($AN$7-$AL$7)*($AN$7-$AM$7))),$AM$7)</f>
        <v/>
      </c>
      <c r="AN602">
        <f>IFERROR(IF(AW602&lt;($AM$8-$AL$8)/($AN$8-$AL$8),$AL$8+SQRT(AW602*($AN$8-$AL$8)*($AM$8-$AL$8)),$AN$8-SQRT((1-AW602)*($AN$8-$AL$8)*($AN$8-$AM$8))),$AM$8)</f>
        <v/>
      </c>
      <c r="AO602">
        <f>IFERROR(IF(AX602&lt;($AM$9-$AL$9)/($AN$9-$AL$9),$AL$9+SQRT(AX602*($AN$9-$AL$9)*($AM$9-$AL$9)),$AN$9-SQRT((1-AX602)*($AN$9-$AL$9)*($AN$9-$AM$9))),$AM$9)</f>
        <v/>
      </c>
      <c r="AP602">
        <f>IFERROR(IF(AY602&lt;($AM$10-$AL$10)/($AN$10-$AL$10),$AL$10+SQRT(AY602*($AN$10-$AL$10)*($AM$10-$AL$10)),$AN$10-SQRT((1-AY602)*($AN$10-$AL$10)*($AN$10-$AM$10))),$AM$10)</f>
        <v/>
      </c>
      <c r="AQ602">
        <f>IFERROR(IF(AZ602&lt;($AM$11-$AL$11)/($AN$11-$AL$11),$AL$11+SQRT(AZ602*($AN$11-$AL$11)*($AM$11-$AL$11)),$AN$11-SQRT((1-AZ602)*($AN$11-$AL$11)*($AN$11-$AM$11))),$AM$11)</f>
        <v/>
      </c>
      <c r="AR602">
        <f>SUMPRODUCT((B24:B31&lt;=$B$6)*(C24:C31*AM602+D24:D31*AO602*$B$8*AQ602)/(1+AL602/100)^B24:B31)+C32*AM602*AP602/(1+AL602/100)^$B$6</f>
        <v/>
      </c>
      <c r="AS602">
        <f>SUMPRODUCT((K24:K26&lt;=$B$6)*(L24:L26*AN602+M24:M26*AO602*$B$8*AQ602)/(1+AL602/100)^K24:K26)+L27*AN602*AP602/(1+AL602/100)^$B$6</f>
        <v/>
      </c>
      <c r="AT602">
        <f>AS602-AR602</f>
        <v/>
      </c>
      <c r="AU602">
        <f>RAND()</f>
        <v/>
      </c>
      <c r="AV602">
        <f>RAND()</f>
        <v/>
      </c>
      <c r="AW602">
        <f>RAND()</f>
        <v/>
      </c>
      <c r="AX602">
        <f>RAND()</f>
        <v/>
      </c>
      <c r="AY602">
        <f>RAND()</f>
        <v/>
      </c>
      <c r="AZ602">
        <f>RAND()</f>
        <v/>
      </c>
    </row>
    <row r="603">
      <c r="AK603" t="n">
        <v>590</v>
      </c>
      <c r="AL603">
        <f>IFERROR(IF(AU603&lt;($AM$6-$AL$6)/($AN$6-$AL$6),$AL$6+SQRT(AU603*($AN$6-$AL$6)*($AM$6-$AL$6)),$AN$6-SQRT((1-AU603)*($AN$6-$AL$6)*($AN$6-$AM$6))),$AM$6)</f>
        <v/>
      </c>
      <c r="AM603">
        <f>IFERROR(IF(AV603&lt;($AM$7-$AL$7)/($AN$7-$AL$7),$AL$7+SQRT(AV603*($AN$7-$AL$7)*($AM$7-$AL$7)),$AN$7-SQRT((1-AV603)*($AN$7-$AL$7)*($AN$7-$AM$7))),$AM$7)</f>
        <v/>
      </c>
      <c r="AN603">
        <f>IFERROR(IF(AW603&lt;($AM$8-$AL$8)/($AN$8-$AL$8),$AL$8+SQRT(AW603*($AN$8-$AL$8)*($AM$8-$AL$8)),$AN$8-SQRT((1-AW603)*($AN$8-$AL$8)*($AN$8-$AM$8))),$AM$8)</f>
        <v/>
      </c>
      <c r="AO603">
        <f>IFERROR(IF(AX603&lt;($AM$9-$AL$9)/($AN$9-$AL$9),$AL$9+SQRT(AX603*($AN$9-$AL$9)*($AM$9-$AL$9)),$AN$9-SQRT((1-AX603)*($AN$9-$AL$9)*($AN$9-$AM$9))),$AM$9)</f>
        <v/>
      </c>
      <c r="AP603">
        <f>IFERROR(IF(AY603&lt;($AM$10-$AL$10)/($AN$10-$AL$10),$AL$10+SQRT(AY603*($AN$10-$AL$10)*($AM$10-$AL$10)),$AN$10-SQRT((1-AY603)*($AN$10-$AL$10)*($AN$10-$AM$10))),$AM$10)</f>
        <v/>
      </c>
      <c r="AQ603">
        <f>IFERROR(IF(AZ603&lt;($AM$11-$AL$11)/($AN$11-$AL$11),$AL$11+SQRT(AZ603*($AN$11-$AL$11)*($AM$11-$AL$11)),$AN$11-SQRT((1-AZ603)*($AN$11-$AL$11)*($AN$11-$AM$11))),$AM$11)</f>
        <v/>
      </c>
      <c r="AR603">
        <f>SUMPRODUCT((B24:B31&lt;=$B$6)*(C24:C31*AM603+D24:D31*AO603*$B$8*AQ603)/(1+AL603/100)^B24:B31)+C32*AM603*AP603/(1+AL603/100)^$B$6</f>
        <v/>
      </c>
      <c r="AS603">
        <f>SUMPRODUCT((K24:K26&lt;=$B$6)*(L24:L26*AN603+M24:M26*AO603*$B$8*AQ603)/(1+AL603/100)^K24:K26)+L27*AN603*AP603/(1+AL603/100)^$B$6</f>
        <v/>
      </c>
      <c r="AT603">
        <f>AS603-AR603</f>
        <v/>
      </c>
      <c r="AU603">
        <f>RAND()</f>
        <v/>
      </c>
      <c r="AV603">
        <f>RAND()</f>
        <v/>
      </c>
      <c r="AW603">
        <f>RAND()</f>
        <v/>
      </c>
      <c r="AX603">
        <f>RAND()</f>
        <v/>
      </c>
      <c r="AY603">
        <f>RAND()</f>
        <v/>
      </c>
      <c r="AZ603">
        <f>RAND()</f>
        <v/>
      </c>
    </row>
    <row r="604">
      <c r="AK604" t="n">
        <v>591</v>
      </c>
      <c r="AL604">
        <f>IFERROR(IF(AU604&lt;($AM$6-$AL$6)/($AN$6-$AL$6),$AL$6+SQRT(AU604*($AN$6-$AL$6)*($AM$6-$AL$6)),$AN$6-SQRT((1-AU604)*($AN$6-$AL$6)*($AN$6-$AM$6))),$AM$6)</f>
        <v/>
      </c>
      <c r="AM604">
        <f>IFERROR(IF(AV604&lt;($AM$7-$AL$7)/($AN$7-$AL$7),$AL$7+SQRT(AV604*($AN$7-$AL$7)*($AM$7-$AL$7)),$AN$7-SQRT((1-AV604)*($AN$7-$AL$7)*($AN$7-$AM$7))),$AM$7)</f>
        <v/>
      </c>
      <c r="AN604">
        <f>IFERROR(IF(AW604&lt;($AM$8-$AL$8)/($AN$8-$AL$8),$AL$8+SQRT(AW604*($AN$8-$AL$8)*($AM$8-$AL$8)),$AN$8-SQRT((1-AW604)*($AN$8-$AL$8)*($AN$8-$AM$8))),$AM$8)</f>
        <v/>
      </c>
      <c r="AO604">
        <f>IFERROR(IF(AX604&lt;($AM$9-$AL$9)/($AN$9-$AL$9),$AL$9+SQRT(AX604*($AN$9-$AL$9)*($AM$9-$AL$9)),$AN$9-SQRT((1-AX604)*($AN$9-$AL$9)*($AN$9-$AM$9))),$AM$9)</f>
        <v/>
      </c>
      <c r="AP604">
        <f>IFERROR(IF(AY604&lt;($AM$10-$AL$10)/($AN$10-$AL$10),$AL$10+SQRT(AY604*($AN$10-$AL$10)*($AM$10-$AL$10)),$AN$10-SQRT((1-AY604)*($AN$10-$AL$10)*($AN$10-$AM$10))),$AM$10)</f>
        <v/>
      </c>
      <c r="AQ604">
        <f>IFERROR(IF(AZ604&lt;($AM$11-$AL$11)/($AN$11-$AL$11),$AL$11+SQRT(AZ604*($AN$11-$AL$11)*($AM$11-$AL$11)),$AN$11-SQRT((1-AZ604)*($AN$11-$AL$11)*($AN$11-$AM$11))),$AM$11)</f>
        <v/>
      </c>
      <c r="AR604">
        <f>SUMPRODUCT((B24:B31&lt;=$B$6)*(C24:C31*AM604+D24:D31*AO604*$B$8*AQ604)/(1+AL604/100)^B24:B31)+C32*AM604*AP604/(1+AL604/100)^$B$6</f>
        <v/>
      </c>
      <c r="AS604">
        <f>SUMPRODUCT((K24:K26&lt;=$B$6)*(L24:L26*AN604+M24:M26*AO604*$B$8*AQ604)/(1+AL604/100)^K24:K26)+L27*AN604*AP604/(1+AL604/100)^$B$6</f>
        <v/>
      </c>
      <c r="AT604">
        <f>AS604-AR604</f>
        <v/>
      </c>
      <c r="AU604">
        <f>RAND()</f>
        <v/>
      </c>
      <c r="AV604">
        <f>RAND()</f>
        <v/>
      </c>
      <c r="AW604">
        <f>RAND()</f>
        <v/>
      </c>
      <c r="AX604">
        <f>RAND()</f>
        <v/>
      </c>
      <c r="AY604">
        <f>RAND()</f>
        <v/>
      </c>
      <c r="AZ604">
        <f>RAND()</f>
        <v/>
      </c>
    </row>
    <row r="605">
      <c r="AK605" t="n">
        <v>592</v>
      </c>
      <c r="AL605">
        <f>IFERROR(IF(AU605&lt;($AM$6-$AL$6)/($AN$6-$AL$6),$AL$6+SQRT(AU605*($AN$6-$AL$6)*($AM$6-$AL$6)),$AN$6-SQRT((1-AU605)*($AN$6-$AL$6)*($AN$6-$AM$6))),$AM$6)</f>
        <v/>
      </c>
      <c r="AM605">
        <f>IFERROR(IF(AV605&lt;($AM$7-$AL$7)/($AN$7-$AL$7),$AL$7+SQRT(AV605*($AN$7-$AL$7)*($AM$7-$AL$7)),$AN$7-SQRT((1-AV605)*($AN$7-$AL$7)*($AN$7-$AM$7))),$AM$7)</f>
        <v/>
      </c>
      <c r="AN605">
        <f>IFERROR(IF(AW605&lt;($AM$8-$AL$8)/($AN$8-$AL$8),$AL$8+SQRT(AW605*($AN$8-$AL$8)*($AM$8-$AL$8)),$AN$8-SQRT((1-AW605)*($AN$8-$AL$8)*($AN$8-$AM$8))),$AM$8)</f>
        <v/>
      </c>
      <c r="AO605">
        <f>IFERROR(IF(AX605&lt;($AM$9-$AL$9)/($AN$9-$AL$9),$AL$9+SQRT(AX605*($AN$9-$AL$9)*($AM$9-$AL$9)),$AN$9-SQRT((1-AX605)*($AN$9-$AL$9)*($AN$9-$AM$9))),$AM$9)</f>
        <v/>
      </c>
      <c r="AP605">
        <f>IFERROR(IF(AY605&lt;($AM$10-$AL$10)/($AN$10-$AL$10),$AL$10+SQRT(AY605*($AN$10-$AL$10)*($AM$10-$AL$10)),$AN$10-SQRT((1-AY605)*($AN$10-$AL$10)*($AN$10-$AM$10))),$AM$10)</f>
        <v/>
      </c>
      <c r="AQ605">
        <f>IFERROR(IF(AZ605&lt;($AM$11-$AL$11)/($AN$11-$AL$11),$AL$11+SQRT(AZ605*($AN$11-$AL$11)*($AM$11-$AL$11)),$AN$11-SQRT((1-AZ605)*($AN$11-$AL$11)*($AN$11-$AM$11))),$AM$11)</f>
        <v/>
      </c>
      <c r="AR605">
        <f>SUMPRODUCT((B24:B31&lt;=$B$6)*(C24:C31*AM605+D24:D31*AO605*$B$8*AQ605)/(1+AL605/100)^B24:B31)+C32*AM605*AP605/(1+AL605/100)^$B$6</f>
        <v/>
      </c>
      <c r="AS605">
        <f>SUMPRODUCT((K24:K26&lt;=$B$6)*(L24:L26*AN605+M24:M26*AO605*$B$8*AQ605)/(1+AL605/100)^K24:K26)+L27*AN605*AP605/(1+AL605/100)^$B$6</f>
        <v/>
      </c>
      <c r="AT605">
        <f>AS605-AR605</f>
        <v/>
      </c>
      <c r="AU605">
        <f>RAND()</f>
        <v/>
      </c>
      <c r="AV605">
        <f>RAND()</f>
        <v/>
      </c>
      <c r="AW605">
        <f>RAND()</f>
        <v/>
      </c>
      <c r="AX605">
        <f>RAND()</f>
        <v/>
      </c>
      <c r="AY605">
        <f>RAND()</f>
        <v/>
      </c>
      <c r="AZ605">
        <f>RAND()</f>
        <v/>
      </c>
    </row>
    <row r="606">
      <c r="AK606" t="n">
        <v>593</v>
      </c>
      <c r="AL606">
        <f>IFERROR(IF(AU606&lt;($AM$6-$AL$6)/($AN$6-$AL$6),$AL$6+SQRT(AU606*($AN$6-$AL$6)*($AM$6-$AL$6)),$AN$6-SQRT((1-AU606)*($AN$6-$AL$6)*($AN$6-$AM$6))),$AM$6)</f>
        <v/>
      </c>
      <c r="AM606">
        <f>IFERROR(IF(AV606&lt;($AM$7-$AL$7)/($AN$7-$AL$7),$AL$7+SQRT(AV606*($AN$7-$AL$7)*($AM$7-$AL$7)),$AN$7-SQRT((1-AV606)*($AN$7-$AL$7)*($AN$7-$AM$7))),$AM$7)</f>
        <v/>
      </c>
      <c r="AN606">
        <f>IFERROR(IF(AW606&lt;($AM$8-$AL$8)/($AN$8-$AL$8),$AL$8+SQRT(AW606*($AN$8-$AL$8)*($AM$8-$AL$8)),$AN$8-SQRT((1-AW606)*($AN$8-$AL$8)*($AN$8-$AM$8))),$AM$8)</f>
        <v/>
      </c>
      <c r="AO606">
        <f>IFERROR(IF(AX606&lt;($AM$9-$AL$9)/($AN$9-$AL$9),$AL$9+SQRT(AX606*($AN$9-$AL$9)*($AM$9-$AL$9)),$AN$9-SQRT((1-AX606)*($AN$9-$AL$9)*($AN$9-$AM$9))),$AM$9)</f>
        <v/>
      </c>
      <c r="AP606">
        <f>IFERROR(IF(AY606&lt;($AM$10-$AL$10)/($AN$10-$AL$10),$AL$10+SQRT(AY606*($AN$10-$AL$10)*($AM$10-$AL$10)),$AN$10-SQRT((1-AY606)*($AN$10-$AL$10)*($AN$10-$AM$10))),$AM$10)</f>
        <v/>
      </c>
      <c r="AQ606">
        <f>IFERROR(IF(AZ606&lt;($AM$11-$AL$11)/($AN$11-$AL$11),$AL$11+SQRT(AZ606*($AN$11-$AL$11)*($AM$11-$AL$11)),$AN$11-SQRT((1-AZ606)*($AN$11-$AL$11)*($AN$11-$AM$11))),$AM$11)</f>
        <v/>
      </c>
      <c r="AR606">
        <f>SUMPRODUCT((B24:B31&lt;=$B$6)*(C24:C31*AM606+D24:D31*AO606*$B$8*AQ606)/(1+AL606/100)^B24:B31)+C32*AM606*AP606/(1+AL606/100)^$B$6</f>
        <v/>
      </c>
      <c r="AS606">
        <f>SUMPRODUCT((K24:K26&lt;=$B$6)*(L24:L26*AN606+M24:M26*AO606*$B$8*AQ606)/(1+AL606/100)^K24:K26)+L27*AN606*AP606/(1+AL606/100)^$B$6</f>
        <v/>
      </c>
      <c r="AT606">
        <f>AS606-AR606</f>
        <v/>
      </c>
      <c r="AU606">
        <f>RAND()</f>
        <v/>
      </c>
      <c r="AV606">
        <f>RAND()</f>
        <v/>
      </c>
      <c r="AW606">
        <f>RAND()</f>
        <v/>
      </c>
      <c r="AX606">
        <f>RAND()</f>
        <v/>
      </c>
      <c r="AY606">
        <f>RAND()</f>
        <v/>
      </c>
      <c r="AZ606">
        <f>RAND()</f>
        <v/>
      </c>
    </row>
    <row r="607">
      <c r="AK607" t="n">
        <v>594</v>
      </c>
      <c r="AL607">
        <f>IFERROR(IF(AU607&lt;($AM$6-$AL$6)/($AN$6-$AL$6),$AL$6+SQRT(AU607*($AN$6-$AL$6)*($AM$6-$AL$6)),$AN$6-SQRT((1-AU607)*($AN$6-$AL$6)*($AN$6-$AM$6))),$AM$6)</f>
        <v/>
      </c>
      <c r="AM607">
        <f>IFERROR(IF(AV607&lt;($AM$7-$AL$7)/($AN$7-$AL$7),$AL$7+SQRT(AV607*($AN$7-$AL$7)*($AM$7-$AL$7)),$AN$7-SQRT((1-AV607)*($AN$7-$AL$7)*($AN$7-$AM$7))),$AM$7)</f>
        <v/>
      </c>
      <c r="AN607">
        <f>IFERROR(IF(AW607&lt;($AM$8-$AL$8)/($AN$8-$AL$8),$AL$8+SQRT(AW607*($AN$8-$AL$8)*($AM$8-$AL$8)),$AN$8-SQRT((1-AW607)*($AN$8-$AL$8)*($AN$8-$AM$8))),$AM$8)</f>
        <v/>
      </c>
      <c r="AO607">
        <f>IFERROR(IF(AX607&lt;($AM$9-$AL$9)/($AN$9-$AL$9),$AL$9+SQRT(AX607*($AN$9-$AL$9)*($AM$9-$AL$9)),$AN$9-SQRT((1-AX607)*($AN$9-$AL$9)*($AN$9-$AM$9))),$AM$9)</f>
        <v/>
      </c>
      <c r="AP607">
        <f>IFERROR(IF(AY607&lt;($AM$10-$AL$10)/($AN$10-$AL$10),$AL$10+SQRT(AY607*($AN$10-$AL$10)*($AM$10-$AL$10)),$AN$10-SQRT((1-AY607)*($AN$10-$AL$10)*($AN$10-$AM$10))),$AM$10)</f>
        <v/>
      </c>
      <c r="AQ607">
        <f>IFERROR(IF(AZ607&lt;($AM$11-$AL$11)/($AN$11-$AL$11),$AL$11+SQRT(AZ607*($AN$11-$AL$11)*($AM$11-$AL$11)),$AN$11-SQRT((1-AZ607)*($AN$11-$AL$11)*($AN$11-$AM$11))),$AM$11)</f>
        <v/>
      </c>
      <c r="AR607">
        <f>SUMPRODUCT((B24:B31&lt;=$B$6)*(C24:C31*AM607+D24:D31*AO607*$B$8*AQ607)/(1+AL607/100)^B24:B31)+C32*AM607*AP607/(1+AL607/100)^$B$6</f>
        <v/>
      </c>
      <c r="AS607">
        <f>SUMPRODUCT((K24:K26&lt;=$B$6)*(L24:L26*AN607+M24:M26*AO607*$B$8*AQ607)/(1+AL607/100)^K24:K26)+L27*AN607*AP607/(1+AL607/100)^$B$6</f>
        <v/>
      </c>
      <c r="AT607">
        <f>AS607-AR607</f>
        <v/>
      </c>
      <c r="AU607">
        <f>RAND()</f>
        <v/>
      </c>
      <c r="AV607">
        <f>RAND()</f>
        <v/>
      </c>
      <c r="AW607">
        <f>RAND()</f>
        <v/>
      </c>
      <c r="AX607">
        <f>RAND()</f>
        <v/>
      </c>
      <c r="AY607">
        <f>RAND()</f>
        <v/>
      </c>
      <c r="AZ607">
        <f>RAND()</f>
        <v/>
      </c>
    </row>
    <row r="608">
      <c r="AK608" t="n">
        <v>595</v>
      </c>
      <c r="AL608">
        <f>IFERROR(IF(AU608&lt;($AM$6-$AL$6)/($AN$6-$AL$6),$AL$6+SQRT(AU608*($AN$6-$AL$6)*($AM$6-$AL$6)),$AN$6-SQRT((1-AU608)*($AN$6-$AL$6)*($AN$6-$AM$6))),$AM$6)</f>
        <v/>
      </c>
      <c r="AM608">
        <f>IFERROR(IF(AV608&lt;($AM$7-$AL$7)/($AN$7-$AL$7),$AL$7+SQRT(AV608*($AN$7-$AL$7)*($AM$7-$AL$7)),$AN$7-SQRT((1-AV608)*($AN$7-$AL$7)*($AN$7-$AM$7))),$AM$7)</f>
        <v/>
      </c>
      <c r="AN608">
        <f>IFERROR(IF(AW608&lt;($AM$8-$AL$8)/($AN$8-$AL$8),$AL$8+SQRT(AW608*($AN$8-$AL$8)*($AM$8-$AL$8)),$AN$8-SQRT((1-AW608)*($AN$8-$AL$8)*($AN$8-$AM$8))),$AM$8)</f>
        <v/>
      </c>
      <c r="AO608">
        <f>IFERROR(IF(AX608&lt;($AM$9-$AL$9)/($AN$9-$AL$9),$AL$9+SQRT(AX608*($AN$9-$AL$9)*($AM$9-$AL$9)),$AN$9-SQRT((1-AX608)*($AN$9-$AL$9)*($AN$9-$AM$9))),$AM$9)</f>
        <v/>
      </c>
      <c r="AP608">
        <f>IFERROR(IF(AY608&lt;($AM$10-$AL$10)/($AN$10-$AL$10),$AL$10+SQRT(AY608*($AN$10-$AL$10)*($AM$10-$AL$10)),$AN$10-SQRT((1-AY608)*($AN$10-$AL$10)*($AN$10-$AM$10))),$AM$10)</f>
        <v/>
      </c>
      <c r="AQ608">
        <f>IFERROR(IF(AZ608&lt;($AM$11-$AL$11)/($AN$11-$AL$11),$AL$11+SQRT(AZ608*($AN$11-$AL$11)*($AM$11-$AL$11)),$AN$11-SQRT((1-AZ608)*($AN$11-$AL$11)*($AN$11-$AM$11))),$AM$11)</f>
        <v/>
      </c>
      <c r="AR608">
        <f>SUMPRODUCT((B24:B31&lt;=$B$6)*(C24:C31*AM608+D24:D31*AO608*$B$8*AQ608)/(1+AL608/100)^B24:B31)+C32*AM608*AP608/(1+AL608/100)^$B$6</f>
        <v/>
      </c>
      <c r="AS608">
        <f>SUMPRODUCT((K24:K26&lt;=$B$6)*(L24:L26*AN608+M24:M26*AO608*$B$8*AQ608)/(1+AL608/100)^K24:K26)+L27*AN608*AP608/(1+AL608/100)^$B$6</f>
        <v/>
      </c>
      <c r="AT608">
        <f>AS608-AR608</f>
        <v/>
      </c>
      <c r="AU608">
        <f>RAND()</f>
        <v/>
      </c>
      <c r="AV608">
        <f>RAND()</f>
        <v/>
      </c>
      <c r="AW608">
        <f>RAND()</f>
        <v/>
      </c>
      <c r="AX608">
        <f>RAND()</f>
        <v/>
      </c>
      <c r="AY608">
        <f>RAND()</f>
        <v/>
      </c>
      <c r="AZ608">
        <f>RAND()</f>
        <v/>
      </c>
    </row>
    <row r="609">
      <c r="AK609" t="n">
        <v>596</v>
      </c>
      <c r="AL609">
        <f>IFERROR(IF(AU609&lt;($AM$6-$AL$6)/($AN$6-$AL$6),$AL$6+SQRT(AU609*($AN$6-$AL$6)*($AM$6-$AL$6)),$AN$6-SQRT((1-AU609)*($AN$6-$AL$6)*($AN$6-$AM$6))),$AM$6)</f>
        <v/>
      </c>
      <c r="AM609">
        <f>IFERROR(IF(AV609&lt;($AM$7-$AL$7)/($AN$7-$AL$7),$AL$7+SQRT(AV609*($AN$7-$AL$7)*($AM$7-$AL$7)),$AN$7-SQRT((1-AV609)*($AN$7-$AL$7)*($AN$7-$AM$7))),$AM$7)</f>
        <v/>
      </c>
      <c r="AN609">
        <f>IFERROR(IF(AW609&lt;($AM$8-$AL$8)/($AN$8-$AL$8),$AL$8+SQRT(AW609*($AN$8-$AL$8)*($AM$8-$AL$8)),$AN$8-SQRT((1-AW609)*($AN$8-$AL$8)*($AN$8-$AM$8))),$AM$8)</f>
        <v/>
      </c>
      <c r="AO609">
        <f>IFERROR(IF(AX609&lt;($AM$9-$AL$9)/($AN$9-$AL$9),$AL$9+SQRT(AX609*($AN$9-$AL$9)*($AM$9-$AL$9)),$AN$9-SQRT((1-AX609)*($AN$9-$AL$9)*($AN$9-$AM$9))),$AM$9)</f>
        <v/>
      </c>
      <c r="AP609">
        <f>IFERROR(IF(AY609&lt;($AM$10-$AL$10)/($AN$10-$AL$10),$AL$10+SQRT(AY609*($AN$10-$AL$10)*($AM$10-$AL$10)),$AN$10-SQRT((1-AY609)*($AN$10-$AL$10)*($AN$10-$AM$10))),$AM$10)</f>
        <v/>
      </c>
      <c r="AQ609">
        <f>IFERROR(IF(AZ609&lt;($AM$11-$AL$11)/($AN$11-$AL$11),$AL$11+SQRT(AZ609*($AN$11-$AL$11)*($AM$11-$AL$11)),$AN$11-SQRT((1-AZ609)*($AN$11-$AL$11)*($AN$11-$AM$11))),$AM$11)</f>
        <v/>
      </c>
      <c r="AR609">
        <f>SUMPRODUCT((B24:B31&lt;=$B$6)*(C24:C31*AM609+D24:D31*AO609*$B$8*AQ609)/(1+AL609/100)^B24:B31)+C32*AM609*AP609/(1+AL609/100)^$B$6</f>
        <v/>
      </c>
      <c r="AS609">
        <f>SUMPRODUCT((K24:K26&lt;=$B$6)*(L24:L26*AN609+M24:M26*AO609*$B$8*AQ609)/(1+AL609/100)^K24:K26)+L27*AN609*AP609/(1+AL609/100)^$B$6</f>
        <v/>
      </c>
      <c r="AT609">
        <f>AS609-AR609</f>
        <v/>
      </c>
      <c r="AU609">
        <f>RAND()</f>
        <v/>
      </c>
      <c r="AV609">
        <f>RAND()</f>
        <v/>
      </c>
      <c r="AW609">
        <f>RAND()</f>
        <v/>
      </c>
      <c r="AX609">
        <f>RAND()</f>
        <v/>
      </c>
      <c r="AY609">
        <f>RAND()</f>
        <v/>
      </c>
      <c r="AZ609">
        <f>RAND()</f>
        <v/>
      </c>
    </row>
    <row r="610">
      <c r="AK610" t="n">
        <v>597</v>
      </c>
      <c r="AL610">
        <f>IFERROR(IF(AU610&lt;($AM$6-$AL$6)/($AN$6-$AL$6),$AL$6+SQRT(AU610*($AN$6-$AL$6)*($AM$6-$AL$6)),$AN$6-SQRT((1-AU610)*($AN$6-$AL$6)*($AN$6-$AM$6))),$AM$6)</f>
        <v/>
      </c>
      <c r="AM610">
        <f>IFERROR(IF(AV610&lt;($AM$7-$AL$7)/($AN$7-$AL$7),$AL$7+SQRT(AV610*($AN$7-$AL$7)*($AM$7-$AL$7)),$AN$7-SQRT((1-AV610)*($AN$7-$AL$7)*($AN$7-$AM$7))),$AM$7)</f>
        <v/>
      </c>
      <c r="AN610">
        <f>IFERROR(IF(AW610&lt;($AM$8-$AL$8)/($AN$8-$AL$8),$AL$8+SQRT(AW610*($AN$8-$AL$8)*($AM$8-$AL$8)),$AN$8-SQRT((1-AW610)*($AN$8-$AL$8)*($AN$8-$AM$8))),$AM$8)</f>
        <v/>
      </c>
      <c r="AO610">
        <f>IFERROR(IF(AX610&lt;($AM$9-$AL$9)/($AN$9-$AL$9),$AL$9+SQRT(AX610*($AN$9-$AL$9)*($AM$9-$AL$9)),$AN$9-SQRT((1-AX610)*($AN$9-$AL$9)*($AN$9-$AM$9))),$AM$9)</f>
        <v/>
      </c>
      <c r="AP610">
        <f>IFERROR(IF(AY610&lt;($AM$10-$AL$10)/($AN$10-$AL$10),$AL$10+SQRT(AY610*($AN$10-$AL$10)*($AM$10-$AL$10)),$AN$10-SQRT((1-AY610)*($AN$10-$AL$10)*($AN$10-$AM$10))),$AM$10)</f>
        <v/>
      </c>
      <c r="AQ610">
        <f>IFERROR(IF(AZ610&lt;($AM$11-$AL$11)/($AN$11-$AL$11),$AL$11+SQRT(AZ610*($AN$11-$AL$11)*($AM$11-$AL$11)),$AN$11-SQRT((1-AZ610)*($AN$11-$AL$11)*($AN$11-$AM$11))),$AM$11)</f>
        <v/>
      </c>
      <c r="AR610">
        <f>SUMPRODUCT((B24:B31&lt;=$B$6)*(C24:C31*AM610+D24:D31*AO610*$B$8*AQ610)/(1+AL610/100)^B24:B31)+C32*AM610*AP610/(1+AL610/100)^$B$6</f>
        <v/>
      </c>
      <c r="AS610">
        <f>SUMPRODUCT((K24:K26&lt;=$B$6)*(L24:L26*AN610+M24:M26*AO610*$B$8*AQ610)/(1+AL610/100)^K24:K26)+L27*AN610*AP610/(1+AL610/100)^$B$6</f>
        <v/>
      </c>
      <c r="AT610">
        <f>AS610-AR610</f>
        <v/>
      </c>
      <c r="AU610">
        <f>RAND()</f>
        <v/>
      </c>
      <c r="AV610">
        <f>RAND()</f>
        <v/>
      </c>
      <c r="AW610">
        <f>RAND()</f>
        <v/>
      </c>
      <c r="AX610">
        <f>RAND()</f>
        <v/>
      </c>
      <c r="AY610">
        <f>RAND()</f>
        <v/>
      </c>
      <c r="AZ610">
        <f>RAND()</f>
        <v/>
      </c>
    </row>
    <row r="611">
      <c r="AK611" t="n">
        <v>598</v>
      </c>
      <c r="AL611">
        <f>IFERROR(IF(AU611&lt;($AM$6-$AL$6)/($AN$6-$AL$6),$AL$6+SQRT(AU611*($AN$6-$AL$6)*($AM$6-$AL$6)),$AN$6-SQRT((1-AU611)*($AN$6-$AL$6)*($AN$6-$AM$6))),$AM$6)</f>
        <v/>
      </c>
      <c r="AM611">
        <f>IFERROR(IF(AV611&lt;($AM$7-$AL$7)/($AN$7-$AL$7),$AL$7+SQRT(AV611*($AN$7-$AL$7)*($AM$7-$AL$7)),$AN$7-SQRT((1-AV611)*($AN$7-$AL$7)*($AN$7-$AM$7))),$AM$7)</f>
        <v/>
      </c>
      <c r="AN611">
        <f>IFERROR(IF(AW611&lt;($AM$8-$AL$8)/($AN$8-$AL$8),$AL$8+SQRT(AW611*($AN$8-$AL$8)*($AM$8-$AL$8)),$AN$8-SQRT((1-AW611)*($AN$8-$AL$8)*($AN$8-$AM$8))),$AM$8)</f>
        <v/>
      </c>
      <c r="AO611">
        <f>IFERROR(IF(AX611&lt;($AM$9-$AL$9)/($AN$9-$AL$9),$AL$9+SQRT(AX611*($AN$9-$AL$9)*($AM$9-$AL$9)),$AN$9-SQRT((1-AX611)*($AN$9-$AL$9)*($AN$9-$AM$9))),$AM$9)</f>
        <v/>
      </c>
      <c r="AP611">
        <f>IFERROR(IF(AY611&lt;($AM$10-$AL$10)/($AN$10-$AL$10),$AL$10+SQRT(AY611*($AN$10-$AL$10)*($AM$10-$AL$10)),$AN$10-SQRT((1-AY611)*($AN$10-$AL$10)*($AN$10-$AM$10))),$AM$10)</f>
        <v/>
      </c>
      <c r="AQ611">
        <f>IFERROR(IF(AZ611&lt;($AM$11-$AL$11)/($AN$11-$AL$11),$AL$11+SQRT(AZ611*($AN$11-$AL$11)*($AM$11-$AL$11)),$AN$11-SQRT((1-AZ611)*($AN$11-$AL$11)*($AN$11-$AM$11))),$AM$11)</f>
        <v/>
      </c>
      <c r="AR611">
        <f>SUMPRODUCT((B24:B31&lt;=$B$6)*(C24:C31*AM611+D24:D31*AO611*$B$8*AQ611)/(1+AL611/100)^B24:B31)+C32*AM611*AP611/(1+AL611/100)^$B$6</f>
        <v/>
      </c>
      <c r="AS611">
        <f>SUMPRODUCT((K24:K26&lt;=$B$6)*(L24:L26*AN611+M24:M26*AO611*$B$8*AQ611)/(1+AL611/100)^K24:K26)+L27*AN611*AP611/(1+AL611/100)^$B$6</f>
        <v/>
      </c>
      <c r="AT611">
        <f>AS611-AR611</f>
        <v/>
      </c>
      <c r="AU611">
        <f>RAND()</f>
        <v/>
      </c>
      <c r="AV611">
        <f>RAND()</f>
        <v/>
      </c>
      <c r="AW611">
        <f>RAND()</f>
        <v/>
      </c>
      <c r="AX611">
        <f>RAND()</f>
        <v/>
      </c>
      <c r="AY611">
        <f>RAND()</f>
        <v/>
      </c>
      <c r="AZ611">
        <f>RAND()</f>
        <v/>
      </c>
    </row>
    <row r="612">
      <c r="AK612" t="n">
        <v>599</v>
      </c>
      <c r="AL612">
        <f>IFERROR(IF(AU612&lt;($AM$6-$AL$6)/($AN$6-$AL$6),$AL$6+SQRT(AU612*($AN$6-$AL$6)*($AM$6-$AL$6)),$AN$6-SQRT((1-AU612)*($AN$6-$AL$6)*($AN$6-$AM$6))),$AM$6)</f>
        <v/>
      </c>
      <c r="AM612">
        <f>IFERROR(IF(AV612&lt;($AM$7-$AL$7)/($AN$7-$AL$7),$AL$7+SQRT(AV612*($AN$7-$AL$7)*($AM$7-$AL$7)),$AN$7-SQRT((1-AV612)*($AN$7-$AL$7)*($AN$7-$AM$7))),$AM$7)</f>
        <v/>
      </c>
      <c r="AN612">
        <f>IFERROR(IF(AW612&lt;($AM$8-$AL$8)/($AN$8-$AL$8),$AL$8+SQRT(AW612*($AN$8-$AL$8)*($AM$8-$AL$8)),$AN$8-SQRT((1-AW612)*($AN$8-$AL$8)*($AN$8-$AM$8))),$AM$8)</f>
        <v/>
      </c>
      <c r="AO612">
        <f>IFERROR(IF(AX612&lt;($AM$9-$AL$9)/($AN$9-$AL$9),$AL$9+SQRT(AX612*($AN$9-$AL$9)*($AM$9-$AL$9)),$AN$9-SQRT((1-AX612)*($AN$9-$AL$9)*($AN$9-$AM$9))),$AM$9)</f>
        <v/>
      </c>
      <c r="AP612">
        <f>IFERROR(IF(AY612&lt;($AM$10-$AL$10)/($AN$10-$AL$10),$AL$10+SQRT(AY612*($AN$10-$AL$10)*($AM$10-$AL$10)),$AN$10-SQRT((1-AY612)*($AN$10-$AL$10)*($AN$10-$AM$10))),$AM$10)</f>
        <v/>
      </c>
      <c r="AQ612">
        <f>IFERROR(IF(AZ612&lt;($AM$11-$AL$11)/($AN$11-$AL$11),$AL$11+SQRT(AZ612*($AN$11-$AL$11)*($AM$11-$AL$11)),$AN$11-SQRT((1-AZ612)*($AN$11-$AL$11)*($AN$11-$AM$11))),$AM$11)</f>
        <v/>
      </c>
      <c r="AR612">
        <f>SUMPRODUCT((B24:B31&lt;=$B$6)*(C24:C31*AM612+D24:D31*AO612*$B$8*AQ612)/(1+AL612/100)^B24:B31)+C32*AM612*AP612/(1+AL612/100)^$B$6</f>
        <v/>
      </c>
      <c r="AS612">
        <f>SUMPRODUCT((K24:K26&lt;=$B$6)*(L24:L26*AN612+M24:M26*AO612*$B$8*AQ612)/(1+AL612/100)^K24:K26)+L27*AN612*AP612/(1+AL612/100)^$B$6</f>
        <v/>
      </c>
      <c r="AT612">
        <f>AS612-AR612</f>
        <v/>
      </c>
      <c r="AU612">
        <f>RAND()</f>
        <v/>
      </c>
      <c r="AV612">
        <f>RAND()</f>
        <v/>
      </c>
      <c r="AW612">
        <f>RAND()</f>
        <v/>
      </c>
      <c r="AX612">
        <f>RAND()</f>
        <v/>
      </c>
      <c r="AY612">
        <f>RAND()</f>
        <v/>
      </c>
      <c r="AZ612">
        <f>RAND()</f>
        <v/>
      </c>
    </row>
    <row r="613">
      <c r="AK613" t="n">
        <v>600</v>
      </c>
      <c r="AL613">
        <f>IFERROR(IF(AU613&lt;($AM$6-$AL$6)/($AN$6-$AL$6),$AL$6+SQRT(AU613*($AN$6-$AL$6)*($AM$6-$AL$6)),$AN$6-SQRT((1-AU613)*($AN$6-$AL$6)*($AN$6-$AM$6))),$AM$6)</f>
        <v/>
      </c>
      <c r="AM613">
        <f>IFERROR(IF(AV613&lt;($AM$7-$AL$7)/($AN$7-$AL$7),$AL$7+SQRT(AV613*($AN$7-$AL$7)*($AM$7-$AL$7)),$AN$7-SQRT((1-AV613)*($AN$7-$AL$7)*($AN$7-$AM$7))),$AM$7)</f>
        <v/>
      </c>
      <c r="AN613">
        <f>IFERROR(IF(AW613&lt;($AM$8-$AL$8)/($AN$8-$AL$8),$AL$8+SQRT(AW613*($AN$8-$AL$8)*($AM$8-$AL$8)),$AN$8-SQRT((1-AW613)*($AN$8-$AL$8)*($AN$8-$AM$8))),$AM$8)</f>
        <v/>
      </c>
      <c r="AO613">
        <f>IFERROR(IF(AX613&lt;($AM$9-$AL$9)/($AN$9-$AL$9),$AL$9+SQRT(AX613*($AN$9-$AL$9)*($AM$9-$AL$9)),$AN$9-SQRT((1-AX613)*($AN$9-$AL$9)*($AN$9-$AM$9))),$AM$9)</f>
        <v/>
      </c>
      <c r="AP613">
        <f>IFERROR(IF(AY613&lt;($AM$10-$AL$10)/($AN$10-$AL$10),$AL$10+SQRT(AY613*($AN$10-$AL$10)*($AM$10-$AL$10)),$AN$10-SQRT((1-AY613)*($AN$10-$AL$10)*($AN$10-$AM$10))),$AM$10)</f>
        <v/>
      </c>
      <c r="AQ613">
        <f>IFERROR(IF(AZ613&lt;($AM$11-$AL$11)/($AN$11-$AL$11),$AL$11+SQRT(AZ613*($AN$11-$AL$11)*($AM$11-$AL$11)),$AN$11-SQRT((1-AZ613)*($AN$11-$AL$11)*($AN$11-$AM$11))),$AM$11)</f>
        <v/>
      </c>
      <c r="AR613">
        <f>SUMPRODUCT((B24:B31&lt;=$B$6)*(C24:C31*AM613+D24:D31*AO613*$B$8*AQ613)/(1+AL613/100)^B24:B31)+C32*AM613*AP613/(1+AL613/100)^$B$6</f>
        <v/>
      </c>
      <c r="AS613">
        <f>SUMPRODUCT((K24:K26&lt;=$B$6)*(L24:L26*AN613+M24:M26*AO613*$B$8*AQ613)/(1+AL613/100)^K24:K26)+L27*AN613*AP613/(1+AL613/100)^$B$6</f>
        <v/>
      </c>
      <c r="AT613">
        <f>AS613-AR613</f>
        <v/>
      </c>
      <c r="AU613">
        <f>RAND()</f>
        <v/>
      </c>
      <c r="AV613">
        <f>RAND()</f>
        <v/>
      </c>
      <c r="AW613">
        <f>RAND()</f>
        <v/>
      </c>
      <c r="AX613">
        <f>RAND()</f>
        <v/>
      </c>
      <c r="AY613">
        <f>RAND()</f>
        <v/>
      </c>
      <c r="AZ613">
        <f>RAND()</f>
        <v/>
      </c>
    </row>
    <row r="614">
      <c r="AK614" t="n">
        <v>601</v>
      </c>
      <c r="AL614">
        <f>IFERROR(IF(AU614&lt;($AM$6-$AL$6)/($AN$6-$AL$6),$AL$6+SQRT(AU614*($AN$6-$AL$6)*($AM$6-$AL$6)),$AN$6-SQRT((1-AU614)*($AN$6-$AL$6)*($AN$6-$AM$6))),$AM$6)</f>
        <v/>
      </c>
      <c r="AM614">
        <f>IFERROR(IF(AV614&lt;($AM$7-$AL$7)/($AN$7-$AL$7),$AL$7+SQRT(AV614*($AN$7-$AL$7)*($AM$7-$AL$7)),$AN$7-SQRT((1-AV614)*($AN$7-$AL$7)*($AN$7-$AM$7))),$AM$7)</f>
        <v/>
      </c>
      <c r="AN614">
        <f>IFERROR(IF(AW614&lt;($AM$8-$AL$8)/($AN$8-$AL$8),$AL$8+SQRT(AW614*($AN$8-$AL$8)*($AM$8-$AL$8)),$AN$8-SQRT((1-AW614)*($AN$8-$AL$8)*($AN$8-$AM$8))),$AM$8)</f>
        <v/>
      </c>
      <c r="AO614">
        <f>IFERROR(IF(AX614&lt;($AM$9-$AL$9)/($AN$9-$AL$9),$AL$9+SQRT(AX614*($AN$9-$AL$9)*($AM$9-$AL$9)),$AN$9-SQRT((1-AX614)*($AN$9-$AL$9)*($AN$9-$AM$9))),$AM$9)</f>
        <v/>
      </c>
      <c r="AP614">
        <f>IFERROR(IF(AY614&lt;($AM$10-$AL$10)/($AN$10-$AL$10),$AL$10+SQRT(AY614*($AN$10-$AL$10)*($AM$10-$AL$10)),$AN$10-SQRT((1-AY614)*($AN$10-$AL$10)*($AN$10-$AM$10))),$AM$10)</f>
        <v/>
      </c>
      <c r="AQ614">
        <f>IFERROR(IF(AZ614&lt;($AM$11-$AL$11)/($AN$11-$AL$11),$AL$11+SQRT(AZ614*($AN$11-$AL$11)*($AM$11-$AL$11)),$AN$11-SQRT((1-AZ614)*($AN$11-$AL$11)*($AN$11-$AM$11))),$AM$11)</f>
        <v/>
      </c>
      <c r="AR614">
        <f>SUMPRODUCT((B24:B31&lt;=$B$6)*(C24:C31*AM614+D24:D31*AO614*$B$8*AQ614)/(1+AL614/100)^B24:B31)+C32*AM614*AP614/(1+AL614/100)^$B$6</f>
        <v/>
      </c>
      <c r="AS614">
        <f>SUMPRODUCT((K24:K26&lt;=$B$6)*(L24:L26*AN614+M24:M26*AO614*$B$8*AQ614)/(1+AL614/100)^K24:K26)+L27*AN614*AP614/(1+AL614/100)^$B$6</f>
        <v/>
      </c>
      <c r="AT614">
        <f>AS614-AR614</f>
        <v/>
      </c>
      <c r="AU614">
        <f>RAND()</f>
        <v/>
      </c>
      <c r="AV614">
        <f>RAND()</f>
        <v/>
      </c>
      <c r="AW614">
        <f>RAND()</f>
        <v/>
      </c>
      <c r="AX614">
        <f>RAND()</f>
        <v/>
      </c>
      <c r="AY614">
        <f>RAND()</f>
        <v/>
      </c>
      <c r="AZ614">
        <f>RAND()</f>
        <v/>
      </c>
    </row>
    <row r="615">
      <c r="AK615" t="n">
        <v>602</v>
      </c>
      <c r="AL615">
        <f>IFERROR(IF(AU615&lt;($AM$6-$AL$6)/($AN$6-$AL$6),$AL$6+SQRT(AU615*($AN$6-$AL$6)*($AM$6-$AL$6)),$AN$6-SQRT((1-AU615)*($AN$6-$AL$6)*($AN$6-$AM$6))),$AM$6)</f>
        <v/>
      </c>
      <c r="AM615">
        <f>IFERROR(IF(AV615&lt;($AM$7-$AL$7)/($AN$7-$AL$7),$AL$7+SQRT(AV615*($AN$7-$AL$7)*($AM$7-$AL$7)),$AN$7-SQRT((1-AV615)*($AN$7-$AL$7)*($AN$7-$AM$7))),$AM$7)</f>
        <v/>
      </c>
      <c r="AN615">
        <f>IFERROR(IF(AW615&lt;($AM$8-$AL$8)/($AN$8-$AL$8),$AL$8+SQRT(AW615*($AN$8-$AL$8)*($AM$8-$AL$8)),$AN$8-SQRT((1-AW615)*($AN$8-$AL$8)*($AN$8-$AM$8))),$AM$8)</f>
        <v/>
      </c>
      <c r="AO615">
        <f>IFERROR(IF(AX615&lt;($AM$9-$AL$9)/($AN$9-$AL$9),$AL$9+SQRT(AX615*($AN$9-$AL$9)*($AM$9-$AL$9)),$AN$9-SQRT((1-AX615)*($AN$9-$AL$9)*($AN$9-$AM$9))),$AM$9)</f>
        <v/>
      </c>
      <c r="AP615">
        <f>IFERROR(IF(AY615&lt;($AM$10-$AL$10)/($AN$10-$AL$10),$AL$10+SQRT(AY615*($AN$10-$AL$10)*($AM$10-$AL$10)),$AN$10-SQRT((1-AY615)*($AN$10-$AL$10)*($AN$10-$AM$10))),$AM$10)</f>
        <v/>
      </c>
      <c r="AQ615">
        <f>IFERROR(IF(AZ615&lt;($AM$11-$AL$11)/($AN$11-$AL$11),$AL$11+SQRT(AZ615*($AN$11-$AL$11)*($AM$11-$AL$11)),$AN$11-SQRT((1-AZ615)*($AN$11-$AL$11)*($AN$11-$AM$11))),$AM$11)</f>
        <v/>
      </c>
      <c r="AR615">
        <f>SUMPRODUCT((B24:B31&lt;=$B$6)*(C24:C31*AM615+D24:D31*AO615*$B$8*AQ615)/(1+AL615/100)^B24:B31)+C32*AM615*AP615/(1+AL615/100)^$B$6</f>
        <v/>
      </c>
      <c r="AS615">
        <f>SUMPRODUCT((K24:K26&lt;=$B$6)*(L24:L26*AN615+M24:M26*AO615*$B$8*AQ615)/(1+AL615/100)^K24:K26)+L27*AN615*AP615/(1+AL615/100)^$B$6</f>
        <v/>
      </c>
      <c r="AT615">
        <f>AS615-AR615</f>
        <v/>
      </c>
      <c r="AU615">
        <f>RAND()</f>
        <v/>
      </c>
      <c r="AV615">
        <f>RAND()</f>
        <v/>
      </c>
      <c r="AW615">
        <f>RAND()</f>
        <v/>
      </c>
      <c r="AX615">
        <f>RAND()</f>
        <v/>
      </c>
      <c r="AY615">
        <f>RAND()</f>
        <v/>
      </c>
      <c r="AZ615">
        <f>RAND()</f>
        <v/>
      </c>
    </row>
    <row r="616">
      <c r="AK616" t="n">
        <v>603</v>
      </c>
      <c r="AL616">
        <f>IFERROR(IF(AU616&lt;($AM$6-$AL$6)/($AN$6-$AL$6),$AL$6+SQRT(AU616*($AN$6-$AL$6)*($AM$6-$AL$6)),$AN$6-SQRT((1-AU616)*($AN$6-$AL$6)*($AN$6-$AM$6))),$AM$6)</f>
        <v/>
      </c>
      <c r="AM616">
        <f>IFERROR(IF(AV616&lt;($AM$7-$AL$7)/($AN$7-$AL$7),$AL$7+SQRT(AV616*($AN$7-$AL$7)*($AM$7-$AL$7)),$AN$7-SQRT((1-AV616)*($AN$7-$AL$7)*($AN$7-$AM$7))),$AM$7)</f>
        <v/>
      </c>
      <c r="AN616">
        <f>IFERROR(IF(AW616&lt;($AM$8-$AL$8)/($AN$8-$AL$8),$AL$8+SQRT(AW616*($AN$8-$AL$8)*($AM$8-$AL$8)),$AN$8-SQRT((1-AW616)*($AN$8-$AL$8)*($AN$8-$AM$8))),$AM$8)</f>
        <v/>
      </c>
      <c r="AO616">
        <f>IFERROR(IF(AX616&lt;($AM$9-$AL$9)/($AN$9-$AL$9),$AL$9+SQRT(AX616*($AN$9-$AL$9)*($AM$9-$AL$9)),$AN$9-SQRT((1-AX616)*($AN$9-$AL$9)*($AN$9-$AM$9))),$AM$9)</f>
        <v/>
      </c>
      <c r="AP616">
        <f>IFERROR(IF(AY616&lt;($AM$10-$AL$10)/($AN$10-$AL$10),$AL$10+SQRT(AY616*($AN$10-$AL$10)*($AM$10-$AL$10)),$AN$10-SQRT((1-AY616)*($AN$10-$AL$10)*($AN$10-$AM$10))),$AM$10)</f>
        <v/>
      </c>
      <c r="AQ616">
        <f>IFERROR(IF(AZ616&lt;($AM$11-$AL$11)/($AN$11-$AL$11),$AL$11+SQRT(AZ616*($AN$11-$AL$11)*($AM$11-$AL$11)),$AN$11-SQRT((1-AZ616)*($AN$11-$AL$11)*($AN$11-$AM$11))),$AM$11)</f>
        <v/>
      </c>
      <c r="AR616">
        <f>SUMPRODUCT((B24:B31&lt;=$B$6)*(C24:C31*AM616+D24:D31*AO616*$B$8*AQ616)/(1+AL616/100)^B24:B31)+C32*AM616*AP616/(1+AL616/100)^$B$6</f>
        <v/>
      </c>
      <c r="AS616">
        <f>SUMPRODUCT((K24:K26&lt;=$B$6)*(L24:L26*AN616+M24:M26*AO616*$B$8*AQ616)/(1+AL616/100)^K24:K26)+L27*AN616*AP616/(1+AL616/100)^$B$6</f>
        <v/>
      </c>
      <c r="AT616">
        <f>AS616-AR616</f>
        <v/>
      </c>
      <c r="AU616">
        <f>RAND()</f>
        <v/>
      </c>
      <c r="AV616">
        <f>RAND()</f>
        <v/>
      </c>
      <c r="AW616">
        <f>RAND()</f>
        <v/>
      </c>
      <c r="AX616">
        <f>RAND()</f>
        <v/>
      </c>
      <c r="AY616">
        <f>RAND()</f>
        <v/>
      </c>
      <c r="AZ616">
        <f>RAND()</f>
        <v/>
      </c>
    </row>
    <row r="617">
      <c r="AK617" t="n">
        <v>604</v>
      </c>
      <c r="AL617">
        <f>IFERROR(IF(AU617&lt;($AM$6-$AL$6)/($AN$6-$AL$6),$AL$6+SQRT(AU617*($AN$6-$AL$6)*($AM$6-$AL$6)),$AN$6-SQRT((1-AU617)*($AN$6-$AL$6)*($AN$6-$AM$6))),$AM$6)</f>
        <v/>
      </c>
      <c r="AM617">
        <f>IFERROR(IF(AV617&lt;($AM$7-$AL$7)/($AN$7-$AL$7),$AL$7+SQRT(AV617*($AN$7-$AL$7)*($AM$7-$AL$7)),$AN$7-SQRT((1-AV617)*($AN$7-$AL$7)*($AN$7-$AM$7))),$AM$7)</f>
        <v/>
      </c>
      <c r="AN617">
        <f>IFERROR(IF(AW617&lt;($AM$8-$AL$8)/($AN$8-$AL$8),$AL$8+SQRT(AW617*($AN$8-$AL$8)*($AM$8-$AL$8)),$AN$8-SQRT((1-AW617)*($AN$8-$AL$8)*($AN$8-$AM$8))),$AM$8)</f>
        <v/>
      </c>
      <c r="AO617">
        <f>IFERROR(IF(AX617&lt;($AM$9-$AL$9)/($AN$9-$AL$9),$AL$9+SQRT(AX617*($AN$9-$AL$9)*($AM$9-$AL$9)),$AN$9-SQRT((1-AX617)*($AN$9-$AL$9)*($AN$9-$AM$9))),$AM$9)</f>
        <v/>
      </c>
      <c r="AP617">
        <f>IFERROR(IF(AY617&lt;($AM$10-$AL$10)/($AN$10-$AL$10),$AL$10+SQRT(AY617*($AN$10-$AL$10)*($AM$10-$AL$10)),$AN$10-SQRT((1-AY617)*($AN$10-$AL$10)*($AN$10-$AM$10))),$AM$10)</f>
        <v/>
      </c>
      <c r="AQ617">
        <f>IFERROR(IF(AZ617&lt;($AM$11-$AL$11)/($AN$11-$AL$11),$AL$11+SQRT(AZ617*($AN$11-$AL$11)*($AM$11-$AL$11)),$AN$11-SQRT((1-AZ617)*($AN$11-$AL$11)*($AN$11-$AM$11))),$AM$11)</f>
        <v/>
      </c>
      <c r="AR617">
        <f>SUMPRODUCT((B24:B31&lt;=$B$6)*(C24:C31*AM617+D24:D31*AO617*$B$8*AQ617)/(1+AL617/100)^B24:B31)+C32*AM617*AP617/(1+AL617/100)^$B$6</f>
        <v/>
      </c>
      <c r="AS617">
        <f>SUMPRODUCT((K24:K26&lt;=$B$6)*(L24:L26*AN617+M24:M26*AO617*$B$8*AQ617)/(1+AL617/100)^K24:K26)+L27*AN617*AP617/(1+AL617/100)^$B$6</f>
        <v/>
      </c>
      <c r="AT617">
        <f>AS617-AR617</f>
        <v/>
      </c>
      <c r="AU617">
        <f>RAND()</f>
        <v/>
      </c>
      <c r="AV617">
        <f>RAND()</f>
        <v/>
      </c>
      <c r="AW617">
        <f>RAND()</f>
        <v/>
      </c>
      <c r="AX617">
        <f>RAND()</f>
        <v/>
      </c>
      <c r="AY617">
        <f>RAND()</f>
        <v/>
      </c>
      <c r="AZ617">
        <f>RAND()</f>
        <v/>
      </c>
    </row>
    <row r="618">
      <c r="AK618" t="n">
        <v>605</v>
      </c>
      <c r="AL618">
        <f>IFERROR(IF(AU618&lt;($AM$6-$AL$6)/($AN$6-$AL$6),$AL$6+SQRT(AU618*($AN$6-$AL$6)*($AM$6-$AL$6)),$AN$6-SQRT((1-AU618)*($AN$6-$AL$6)*($AN$6-$AM$6))),$AM$6)</f>
        <v/>
      </c>
      <c r="AM618">
        <f>IFERROR(IF(AV618&lt;($AM$7-$AL$7)/($AN$7-$AL$7),$AL$7+SQRT(AV618*($AN$7-$AL$7)*($AM$7-$AL$7)),$AN$7-SQRT((1-AV618)*($AN$7-$AL$7)*($AN$7-$AM$7))),$AM$7)</f>
        <v/>
      </c>
      <c r="AN618">
        <f>IFERROR(IF(AW618&lt;($AM$8-$AL$8)/($AN$8-$AL$8),$AL$8+SQRT(AW618*($AN$8-$AL$8)*($AM$8-$AL$8)),$AN$8-SQRT((1-AW618)*($AN$8-$AL$8)*($AN$8-$AM$8))),$AM$8)</f>
        <v/>
      </c>
      <c r="AO618">
        <f>IFERROR(IF(AX618&lt;($AM$9-$AL$9)/($AN$9-$AL$9),$AL$9+SQRT(AX618*($AN$9-$AL$9)*($AM$9-$AL$9)),$AN$9-SQRT((1-AX618)*($AN$9-$AL$9)*($AN$9-$AM$9))),$AM$9)</f>
        <v/>
      </c>
      <c r="AP618">
        <f>IFERROR(IF(AY618&lt;($AM$10-$AL$10)/($AN$10-$AL$10),$AL$10+SQRT(AY618*($AN$10-$AL$10)*($AM$10-$AL$10)),$AN$10-SQRT((1-AY618)*($AN$10-$AL$10)*($AN$10-$AM$10))),$AM$10)</f>
        <v/>
      </c>
      <c r="AQ618">
        <f>IFERROR(IF(AZ618&lt;($AM$11-$AL$11)/($AN$11-$AL$11),$AL$11+SQRT(AZ618*($AN$11-$AL$11)*($AM$11-$AL$11)),$AN$11-SQRT((1-AZ618)*($AN$11-$AL$11)*($AN$11-$AM$11))),$AM$11)</f>
        <v/>
      </c>
      <c r="AR618">
        <f>SUMPRODUCT((B24:B31&lt;=$B$6)*(C24:C31*AM618+D24:D31*AO618*$B$8*AQ618)/(1+AL618/100)^B24:B31)+C32*AM618*AP618/(1+AL618/100)^$B$6</f>
        <v/>
      </c>
      <c r="AS618">
        <f>SUMPRODUCT((K24:K26&lt;=$B$6)*(L24:L26*AN618+M24:M26*AO618*$B$8*AQ618)/(1+AL618/100)^K24:K26)+L27*AN618*AP618/(1+AL618/100)^$B$6</f>
        <v/>
      </c>
      <c r="AT618">
        <f>AS618-AR618</f>
        <v/>
      </c>
      <c r="AU618">
        <f>RAND()</f>
        <v/>
      </c>
      <c r="AV618">
        <f>RAND()</f>
        <v/>
      </c>
      <c r="AW618">
        <f>RAND()</f>
        <v/>
      </c>
      <c r="AX618">
        <f>RAND()</f>
        <v/>
      </c>
      <c r="AY618">
        <f>RAND()</f>
        <v/>
      </c>
      <c r="AZ618">
        <f>RAND()</f>
        <v/>
      </c>
    </row>
    <row r="619">
      <c r="AK619" t="n">
        <v>606</v>
      </c>
      <c r="AL619">
        <f>IFERROR(IF(AU619&lt;($AM$6-$AL$6)/($AN$6-$AL$6),$AL$6+SQRT(AU619*($AN$6-$AL$6)*($AM$6-$AL$6)),$AN$6-SQRT((1-AU619)*($AN$6-$AL$6)*($AN$6-$AM$6))),$AM$6)</f>
        <v/>
      </c>
      <c r="AM619">
        <f>IFERROR(IF(AV619&lt;($AM$7-$AL$7)/($AN$7-$AL$7),$AL$7+SQRT(AV619*($AN$7-$AL$7)*($AM$7-$AL$7)),$AN$7-SQRT((1-AV619)*($AN$7-$AL$7)*($AN$7-$AM$7))),$AM$7)</f>
        <v/>
      </c>
      <c r="AN619">
        <f>IFERROR(IF(AW619&lt;($AM$8-$AL$8)/($AN$8-$AL$8),$AL$8+SQRT(AW619*($AN$8-$AL$8)*($AM$8-$AL$8)),$AN$8-SQRT((1-AW619)*($AN$8-$AL$8)*($AN$8-$AM$8))),$AM$8)</f>
        <v/>
      </c>
      <c r="AO619">
        <f>IFERROR(IF(AX619&lt;($AM$9-$AL$9)/($AN$9-$AL$9),$AL$9+SQRT(AX619*($AN$9-$AL$9)*($AM$9-$AL$9)),$AN$9-SQRT((1-AX619)*($AN$9-$AL$9)*($AN$9-$AM$9))),$AM$9)</f>
        <v/>
      </c>
      <c r="AP619">
        <f>IFERROR(IF(AY619&lt;($AM$10-$AL$10)/($AN$10-$AL$10),$AL$10+SQRT(AY619*($AN$10-$AL$10)*($AM$10-$AL$10)),$AN$10-SQRT((1-AY619)*($AN$10-$AL$10)*($AN$10-$AM$10))),$AM$10)</f>
        <v/>
      </c>
      <c r="AQ619">
        <f>IFERROR(IF(AZ619&lt;($AM$11-$AL$11)/($AN$11-$AL$11),$AL$11+SQRT(AZ619*($AN$11-$AL$11)*($AM$11-$AL$11)),$AN$11-SQRT((1-AZ619)*($AN$11-$AL$11)*($AN$11-$AM$11))),$AM$11)</f>
        <v/>
      </c>
      <c r="AR619">
        <f>SUMPRODUCT((B24:B31&lt;=$B$6)*(C24:C31*AM619+D24:D31*AO619*$B$8*AQ619)/(1+AL619/100)^B24:B31)+C32*AM619*AP619/(1+AL619/100)^$B$6</f>
        <v/>
      </c>
      <c r="AS619">
        <f>SUMPRODUCT((K24:K26&lt;=$B$6)*(L24:L26*AN619+M24:M26*AO619*$B$8*AQ619)/(1+AL619/100)^K24:K26)+L27*AN619*AP619/(1+AL619/100)^$B$6</f>
        <v/>
      </c>
      <c r="AT619">
        <f>AS619-AR619</f>
        <v/>
      </c>
      <c r="AU619">
        <f>RAND()</f>
        <v/>
      </c>
      <c r="AV619">
        <f>RAND()</f>
        <v/>
      </c>
      <c r="AW619">
        <f>RAND()</f>
        <v/>
      </c>
      <c r="AX619">
        <f>RAND()</f>
        <v/>
      </c>
      <c r="AY619">
        <f>RAND()</f>
        <v/>
      </c>
      <c r="AZ619">
        <f>RAND()</f>
        <v/>
      </c>
    </row>
    <row r="620">
      <c r="AK620" t="n">
        <v>607</v>
      </c>
      <c r="AL620">
        <f>IFERROR(IF(AU620&lt;($AM$6-$AL$6)/($AN$6-$AL$6),$AL$6+SQRT(AU620*($AN$6-$AL$6)*($AM$6-$AL$6)),$AN$6-SQRT((1-AU620)*($AN$6-$AL$6)*($AN$6-$AM$6))),$AM$6)</f>
        <v/>
      </c>
      <c r="AM620">
        <f>IFERROR(IF(AV620&lt;($AM$7-$AL$7)/($AN$7-$AL$7),$AL$7+SQRT(AV620*($AN$7-$AL$7)*($AM$7-$AL$7)),$AN$7-SQRT((1-AV620)*($AN$7-$AL$7)*($AN$7-$AM$7))),$AM$7)</f>
        <v/>
      </c>
      <c r="AN620">
        <f>IFERROR(IF(AW620&lt;($AM$8-$AL$8)/($AN$8-$AL$8),$AL$8+SQRT(AW620*($AN$8-$AL$8)*($AM$8-$AL$8)),$AN$8-SQRT((1-AW620)*($AN$8-$AL$8)*($AN$8-$AM$8))),$AM$8)</f>
        <v/>
      </c>
      <c r="AO620">
        <f>IFERROR(IF(AX620&lt;($AM$9-$AL$9)/($AN$9-$AL$9),$AL$9+SQRT(AX620*($AN$9-$AL$9)*($AM$9-$AL$9)),$AN$9-SQRT((1-AX620)*($AN$9-$AL$9)*($AN$9-$AM$9))),$AM$9)</f>
        <v/>
      </c>
      <c r="AP620">
        <f>IFERROR(IF(AY620&lt;($AM$10-$AL$10)/($AN$10-$AL$10),$AL$10+SQRT(AY620*($AN$10-$AL$10)*($AM$10-$AL$10)),$AN$10-SQRT((1-AY620)*($AN$10-$AL$10)*($AN$10-$AM$10))),$AM$10)</f>
        <v/>
      </c>
      <c r="AQ620">
        <f>IFERROR(IF(AZ620&lt;($AM$11-$AL$11)/($AN$11-$AL$11),$AL$11+SQRT(AZ620*($AN$11-$AL$11)*($AM$11-$AL$11)),$AN$11-SQRT((1-AZ620)*($AN$11-$AL$11)*($AN$11-$AM$11))),$AM$11)</f>
        <v/>
      </c>
      <c r="AR620">
        <f>SUMPRODUCT((B24:B31&lt;=$B$6)*(C24:C31*AM620+D24:D31*AO620*$B$8*AQ620)/(1+AL620/100)^B24:B31)+C32*AM620*AP620/(1+AL620/100)^$B$6</f>
        <v/>
      </c>
      <c r="AS620">
        <f>SUMPRODUCT((K24:K26&lt;=$B$6)*(L24:L26*AN620+M24:M26*AO620*$B$8*AQ620)/(1+AL620/100)^K24:K26)+L27*AN620*AP620/(1+AL620/100)^$B$6</f>
        <v/>
      </c>
      <c r="AT620">
        <f>AS620-AR620</f>
        <v/>
      </c>
      <c r="AU620">
        <f>RAND()</f>
        <v/>
      </c>
      <c r="AV620">
        <f>RAND()</f>
        <v/>
      </c>
      <c r="AW620">
        <f>RAND()</f>
        <v/>
      </c>
      <c r="AX620">
        <f>RAND()</f>
        <v/>
      </c>
      <c r="AY620">
        <f>RAND()</f>
        <v/>
      </c>
      <c r="AZ620">
        <f>RAND()</f>
        <v/>
      </c>
    </row>
    <row r="621">
      <c r="AK621" t="n">
        <v>608</v>
      </c>
      <c r="AL621">
        <f>IFERROR(IF(AU621&lt;($AM$6-$AL$6)/($AN$6-$AL$6),$AL$6+SQRT(AU621*($AN$6-$AL$6)*($AM$6-$AL$6)),$AN$6-SQRT((1-AU621)*($AN$6-$AL$6)*($AN$6-$AM$6))),$AM$6)</f>
        <v/>
      </c>
      <c r="AM621">
        <f>IFERROR(IF(AV621&lt;($AM$7-$AL$7)/($AN$7-$AL$7),$AL$7+SQRT(AV621*($AN$7-$AL$7)*($AM$7-$AL$7)),$AN$7-SQRT((1-AV621)*($AN$7-$AL$7)*($AN$7-$AM$7))),$AM$7)</f>
        <v/>
      </c>
      <c r="AN621">
        <f>IFERROR(IF(AW621&lt;($AM$8-$AL$8)/($AN$8-$AL$8),$AL$8+SQRT(AW621*($AN$8-$AL$8)*($AM$8-$AL$8)),$AN$8-SQRT((1-AW621)*($AN$8-$AL$8)*($AN$8-$AM$8))),$AM$8)</f>
        <v/>
      </c>
      <c r="AO621">
        <f>IFERROR(IF(AX621&lt;($AM$9-$AL$9)/($AN$9-$AL$9),$AL$9+SQRT(AX621*($AN$9-$AL$9)*($AM$9-$AL$9)),$AN$9-SQRT((1-AX621)*($AN$9-$AL$9)*($AN$9-$AM$9))),$AM$9)</f>
        <v/>
      </c>
      <c r="AP621">
        <f>IFERROR(IF(AY621&lt;($AM$10-$AL$10)/($AN$10-$AL$10),$AL$10+SQRT(AY621*($AN$10-$AL$10)*($AM$10-$AL$10)),$AN$10-SQRT((1-AY621)*($AN$10-$AL$10)*($AN$10-$AM$10))),$AM$10)</f>
        <v/>
      </c>
      <c r="AQ621">
        <f>IFERROR(IF(AZ621&lt;($AM$11-$AL$11)/($AN$11-$AL$11),$AL$11+SQRT(AZ621*($AN$11-$AL$11)*($AM$11-$AL$11)),$AN$11-SQRT((1-AZ621)*($AN$11-$AL$11)*($AN$11-$AM$11))),$AM$11)</f>
        <v/>
      </c>
      <c r="AR621">
        <f>SUMPRODUCT((B24:B31&lt;=$B$6)*(C24:C31*AM621+D24:D31*AO621*$B$8*AQ621)/(1+AL621/100)^B24:B31)+C32*AM621*AP621/(1+AL621/100)^$B$6</f>
        <v/>
      </c>
      <c r="AS621">
        <f>SUMPRODUCT((K24:K26&lt;=$B$6)*(L24:L26*AN621+M24:M26*AO621*$B$8*AQ621)/(1+AL621/100)^K24:K26)+L27*AN621*AP621/(1+AL621/100)^$B$6</f>
        <v/>
      </c>
      <c r="AT621">
        <f>AS621-AR621</f>
        <v/>
      </c>
      <c r="AU621">
        <f>RAND()</f>
        <v/>
      </c>
      <c r="AV621">
        <f>RAND()</f>
        <v/>
      </c>
      <c r="AW621">
        <f>RAND()</f>
        <v/>
      </c>
      <c r="AX621">
        <f>RAND()</f>
        <v/>
      </c>
      <c r="AY621">
        <f>RAND()</f>
        <v/>
      </c>
      <c r="AZ621">
        <f>RAND()</f>
        <v/>
      </c>
    </row>
    <row r="622">
      <c r="AK622" t="n">
        <v>609</v>
      </c>
      <c r="AL622">
        <f>IFERROR(IF(AU622&lt;($AM$6-$AL$6)/($AN$6-$AL$6),$AL$6+SQRT(AU622*($AN$6-$AL$6)*($AM$6-$AL$6)),$AN$6-SQRT((1-AU622)*($AN$6-$AL$6)*($AN$6-$AM$6))),$AM$6)</f>
        <v/>
      </c>
      <c r="AM622">
        <f>IFERROR(IF(AV622&lt;($AM$7-$AL$7)/($AN$7-$AL$7),$AL$7+SQRT(AV622*($AN$7-$AL$7)*($AM$7-$AL$7)),$AN$7-SQRT((1-AV622)*($AN$7-$AL$7)*($AN$7-$AM$7))),$AM$7)</f>
        <v/>
      </c>
      <c r="AN622">
        <f>IFERROR(IF(AW622&lt;($AM$8-$AL$8)/($AN$8-$AL$8),$AL$8+SQRT(AW622*($AN$8-$AL$8)*($AM$8-$AL$8)),$AN$8-SQRT((1-AW622)*($AN$8-$AL$8)*($AN$8-$AM$8))),$AM$8)</f>
        <v/>
      </c>
      <c r="AO622">
        <f>IFERROR(IF(AX622&lt;($AM$9-$AL$9)/($AN$9-$AL$9),$AL$9+SQRT(AX622*($AN$9-$AL$9)*($AM$9-$AL$9)),$AN$9-SQRT((1-AX622)*($AN$9-$AL$9)*($AN$9-$AM$9))),$AM$9)</f>
        <v/>
      </c>
      <c r="AP622">
        <f>IFERROR(IF(AY622&lt;($AM$10-$AL$10)/($AN$10-$AL$10),$AL$10+SQRT(AY622*($AN$10-$AL$10)*($AM$10-$AL$10)),$AN$10-SQRT((1-AY622)*($AN$10-$AL$10)*($AN$10-$AM$10))),$AM$10)</f>
        <v/>
      </c>
      <c r="AQ622">
        <f>IFERROR(IF(AZ622&lt;($AM$11-$AL$11)/($AN$11-$AL$11),$AL$11+SQRT(AZ622*($AN$11-$AL$11)*($AM$11-$AL$11)),$AN$11-SQRT((1-AZ622)*($AN$11-$AL$11)*($AN$11-$AM$11))),$AM$11)</f>
        <v/>
      </c>
      <c r="AR622">
        <f>SUMPRODUCT((B24:B31&lt;=$B$6)*(C24:C31*AM622+D24:D31*AO622*$B$8*AQ622)/(1+AL622/100)^B24:B31)+C32*AM622*AP622/(1+AL622/100)^$B$6</f>
        <v/>
      </c>
      <c r="AS622">
        <f>SUMPRODUCT((K24:K26&lt;=$B$6)*(L24:L26*AN622+M24:M26*AO622*$B$8*AQ622)/(1+AL622/100)^K24:K26)+L27*AN622*AP622/(1+AL622/100)^$B$6</f>
        <v/>
      </c>
      <c r="AT622">
        <f>AS622-AR622</f>
        <v/>
      </c>
      <c r="AU622">
        <f>RAND()</f>
        <v/>
      </c>
      <c r="AV622">
        <f>RAND()</f>
        <v/>
      </c>
      <c r="AW622">
        <f>RAND()</f>
        <v/>
      </c>
      <c r="AX622">
        <f>RAND()</f>
        <v/>
      </c>
      <c r="AY622">
        <f>RAND()</f>
        <v/>
      </c>
      <c r="AZ622">
        <f>RAND()</f>
        <v/>
      </c>
    </row>
    <row r="623">
      <c r="AK623" t="n">
        <v>610</v>
      </c>
      <c r="AL623">
        <f>IFERROR(IF(AU623&lt;($AM$6-$AL$6)/($AN$6-$AL$6),$AL$6+SQRT(AU623*($AN$6-$AL$6)*($AM$6-$AL$6)),$AN$6-SQRT((1-AU623)*($AN$6-$AL$6)*($AN$6-$AM$6))),$AM$6)</f>
        <v/>
      </c>
      <c r="AM623">
        <f>IFERROR(IF(AV623&lt;($AM$7-$AL$7)/($AN$7-$AL$7),$AL$7+SQRT(AV623*($AN$7-$AL$7)*($AM$7-$AL$7)),$AN$7-SQRT((1-AV623)*($AN$7-$AL$7)*($AN$7-$AM$7))),$AM$7)</f>
        <v/>
      </c>
      <c r="AN623">
        <f>IFERROR(IF(AW623&lt;($AM$8-$AL$8)/($AN$8-$AL$8),$AL$8+SQRT(AW623*($AN$8-$AL$8)*($AM$8-$AL$8)),$AN$8-SQRT((1-AW623)*($AN$8-$AL$8)*($AN$8-$AM$8))),$AM$8)</f>
        <v/>
      </c>
      <c r="AO623">
        <f>IFERROR(IF(AX623&lt;($AM$9-$AL$9)/($AN$9-$AL$9),$AL$9+SQRT(AX623*($AN$9-$AL$9)*($AM$9-$AL$9)),$AN$9-SQRT((1-AX623)*($AN$9-$AL$9)*($AN$9-$AM$9))),$AM$9)</f>
        <v/>
      </c>
      <c r="AP623">
        <f>IFERROR(IF(AY623&lt;($AM$10-$AL$10)/($AN$10-$AL$10),$AL$10+SQRT(AY623*($AN$10-$AL$10)*($AM$10-$AL$10)),$AN$10-SQRT((1-AY623)*($AN$10-$AL$10)*($AN$10-$AM$10))),$AM$10)</f>
        <v/>
      </c>
      <c r="AQ623">
        <f>IFERROR(IF(AZ623&lt;($AM$11-$AL$11)/($AN$11-$AL$11),$AL$11+SQRT(AZ623*($AN$11-$AL$11)*($AM$11-$AL$11)),$AN$11-SQRT((1-AZ623)*($AN$11-$AL$11)*($AN$11-$AM$11))),$AM$11)</f>
        <v/>
      </c>
      <c r="AR623">
        <f>SUMPRODUCT((B24:B31&lt;=$B$6)*(C24:C31*AM623+D24:D31*AO623*$B$8*AQ623)/(1+AL623/100)^B24:B31)+C32*AM623*AP623/(1+AL623/100)^$B$6</f>
        <v/>
      </c>
      <c r="AS623">
        <f>SUMPRODUCT((K24:K26&lt;=$B$6)*(L24:L26*AN623+M24:M26*AO623*$B$8*AQ623)/(1+AL623/100)^K24:K26)+L27*AN623*AP623/(1+AL623/100)^$B$6</f>
        <v/>
      </c>
      <c r="AT623">
        <f>AS623-AR623</f>
        <v/>
      </c>
      <c r="AU623">
        <f>RAND()</f>
        <v/>
      </c>
      <c r="AV623">
        <f>RAND()</f>
        <v/>
      </c>
      <c r="AW623">
        <f>RAND()</f>
        <v/>
      </c>
      <c r="AX623">
        <f>RAND()</f>
        <v/>
      </c>
      <c r="AY623">
        <f>RAND()</f>
        <v/>
      </c>
      <c r="AZ623">
        <f>RAND()</f>
        <v/>
      </c>
    </row>
    <row r="624">
      <c r="AK624" t="n">
        <v>611</v>
      </c>
      <c r="AL624">
        <f>IFERROR(IF(AU624&lt;($AM$6-$AL$6)/($AN$6-$AL$6),$AL$6+SQRT(AU624*($AN$6-$AL$6)*($AM$6-$AL$6)),$AN$6-SQRT((1-AU624)*($AN$6-$AL$6)*($AN$6-$AM$6))),$AM$6)</f>
        <v/>
      </c>
      <c r="AM624">
        <f>IFERROR(IF(AV624&lt;($AM$7-$AL$7)/($AN$7-$AL$7),$AL$7+SQRT(AV624*($AN$7-$AL$7)*($AM$7-$AL$7)),$AN$7-SQRT((1-AV624)*($AN$7-$AL$7)*($AN$7-$AM$7))),$AM$7)</f>
        <v/>
      </c>
      <c r="AN624">
        <f>IFERROR(IF(AW624&lt;($AM$8-$AL$8)/($AN$8-$AL$8),$AL$8+SQRT(AW624*($AN$8-$AL$8)*($AM$8-$AL$8)),$AN$8-SQRT((1-AW624)*($AN$8-$AL$8)*($AN$8-$AM$8))),$AM$8)</f>
        <v/>
      </c>
      <c r="AO624">
        <f>IFERROR(IF(AX624&lt;($AM$9-$AL$9)/($AN$9-$AL$9),$AL$9+SQRT(AX624*($AN$9-$AL$9)*($AM$9-$AL$9)),$AN$9-SQRT((1-AX624)*($AN$9-$AL$9)*($AN$9-$AM$9))),$AM$9)</f>
        <v/>
      </c>
      <c r="AP624">
        <f>IFERROR(IF(AY624&lt;($AM$10-$AL$10)/($AN$10-$AL$10),$AL$10+SQRT(AY624*($AN$10-$AL$10)*($AM$10-$AL$10)),$AN$10-SQRT((1-AY624)*($AN$10-$AL$10)*($AN$10-$AM$10))),$AM$10)</f>
        <v/>
      </c>
      <c r="AQ624">
        <f>IFERROR(IF(AZ624&lt;($AM$11-$AL$11)/($AN$11-$AL$11),$AL$11+SQRT(AZ624*($AN$11-$AL$11)*($AM$11-$AL$11)),$AN$11-SQRT((1-AZ624)*($AN$11-$AL$11)*($AN$11-$AM$11))),$AM$11)</f>
        <v/>
      </c>
      <c r="AR624">
        <f>SUMPRODUCT((B24:B31&lt;=$B$6)*(C24:C31*AM624+D24:D31*AO624*$B$8*AQ624)/(1+AL624/100)^B24:B31)+C32*AM624*AP624/(1+AL624/100)^$B$6</f>
        <v/>
      </c>
      <c r="AS624">
        <f>SUMPRODUCT((K24:K26&lt;=$B$6)*(L24:L26*AN624+M24:M26*AO624*$B$8*AQ624)/(1+AL624/100)^K24:K26)+L27*AN624*AP624/(1+AL624/100)^$B$6</f>
        <v/>
      </c>
      <c r="AT624">
        <f>AS624-AR624</f>
        <v/>
      </c>
      <c r="AU624">
        <f>RAND()</f>
        <v/>
      </c>
      <c r="AV624">
        <f>RAND()</f>
        <v/>
      </c>
      <c r="AW624">
        <f>RAND()</f>
        <v/>
      </c>
      <c r="AX624">
        <f>RAND()</f>
        <v/>
      </c>
      <c r="AY624">
        <f>RAND()</f>
        <v/>
      </c>
      <c r="AZ624">
        <f>RAND()</f>
        <v/>
      </c>
    </row>
    <row r="625">
      <c r="AK625" t="n">
        <v>612</v>
      </c>
      <c r="AL625">
        <f>IFERROR(IF(AU625&lt;($AM$6-$AL$6)/($AN$6-$AL$6),$AL$6+SQRT(AU625*($AN$6-$AL$6)*($AM$6-$AL$6)),$AN$6-SQRT((1-AU625)*($AN$6-$AL$6)*($AN$6-$AM$6))),$AM$6)</f>
        <v/>
      </c>
      <c r="AM625">
        <f>IFERROR(IF(AV625&lt;($AM$7-$AL$7)/($AN$7-$AL$7),$AL$7+SQRT(AV625*($AN$7-$AL$7)*($AM$7-$AL$7)),$AN$7-SQRT((1-AV625)*($AN$7-$AL$7)*($AN$7-$AM$7))),$AM$7)</f>
        <v/>
      </c>
      <c r="AN625">
        <f>IFERROR(IF(AW625&lt;($AM$8-$AL$8)/($AN$8-$AL$8),$AL$8+SQRT(AW625*($AN$8-$AL$8)*($AM$8-$AL$8)),$AN$8-SQRT((1-AW625)*($AN$8-$AL$8)*($AN$8-$AM$8))),$AM$8)</f>
        <v/>
      </c>
      <c r="AO625">
        <f>IFERROR(IF(AX625&lt;($AM$9-$AL$9)/($AN$9-$AL$9),$AL$9+SQRT(AX625*($AN$9-$AL$9)*($AM$9-$AL$9)),$AN$9-SQRT((1-AX625)*($AN$9-$AL$9)*($AN$9-$AM$9))),$AM$9)</f>
        <v/>
      </c>
      <c r="AP625">
        <f>IFERROR(IF(AY625&lt;($AM$10-$AL$10)/($AN$10-$AL$10),$AL$10+SQRT(AY625*($AN$10-$AL$10)*($AM$10-$AL$10)),$AN$10-SQRT((1-AY625)*($AN$10-$AL$10)*($AN$10-$AM$10))),$AM$10)</f>
        <v/>
      </c>
      <c r="AQ625">
        <f>IFERROR(IF(AZ625&lt;($AM$11-$AL$11)/($AN$11-$AL$11),$AL$11+SQRT(AZ625*($AN$11-$AL$11)*($AM$11-$AL$11)),$AN$11-SQRT((1-AZ625)*($AN$11-$AL$11)*($AN$11-$AM$11))),$AM$11)</f>
        <v/>
      </c>
      <c r="AR625">
        <f>SUMPRODUCT((B24:B31&lt;=$B$6)*(C24:C31*AM625+D24:D31*AO625*$B$8*AQ625)/(1+AL625/100)^B24:B31)+C32*AM625*AP625/(1+AL625/100)^$B$6</f>
        <v/>
      </c>
      <c r="AS625">
        <f>SUMPRODUCT((K24:K26&lt;=$B$6)*(L24:L26*AN625+M24:M26*AO625*$B$8*AQ625)/(1+AL625/100)^K24:K26)+L27*AN625*AP625/(1+AL625/100)^$B$6</f>
        <v/>
      </c>
      <c r="AT625">
        <f>AS625-AR625</f>
        <v/>
      </c>
      <c r="AU625">
        <f>RAND()</f>
        <v/>
      </c>
      <c r="AV625">
        <f>RAND()</f>
        <v/>
      </c>
      <c r="AW625">
        <f>RAND()</f>
        <v/>
      </c>
      <c r="AX625">
        <f>RAND()</f>
        <v/>
      </c>
      <c r="AY625">
        <f>RAND()</f>
        <v/>
      </c>
      <c r="AZ625">
        <f>RAND()</f>
        <v/>
      </c>
    </row>
    <row r="626">
      <c r="AK626" t="n">
        <v>613</v>
      </c>
      <c r="AL626">
        <f>IFERROR(IF(AU626&lt;($AM$6-$AL$6)/($AN$6-$AL$6),$AL$6+SQRT(AU626*($AN$6-$AL$6)*($AM$6-$AL$6)),$AN$6-SQRT((1-AU626)*($AN$6-$AL$6)*($AN$6-$AM$6))),$AM$6)</f>
        <v/>
      </c>
      <c r="AM626">
        <f>IFERROR(IF(AV626&lt;($AM$7-$AL$7)/($AN$7-$AL$7),$AL$7+SQRT(AV626*($AN$7-$AL$7)*($AM$7-$AL$7)),$AN$7-SQRT((1-AV626)*($AN$7-$AL$7)*($AN$7-$AM$7))),$AM$7)</f>
        <v/>
      </c>
      <c r="AN626">
        <f>IFERROR(IF(AW626&lt;($AM$8-$AL$8)/($AN$8-$AL$8),$AL$8+SQRT(AW626*($AN$8-$AL$8)*($AM$8-$AL$8)),$AN$8-SQRT((1-AW626)*($AN$8-$AL$8)*($AN$8-$AM$8))),$AM$8)</f>
        <v/>
      </c>
      <c r="AO626">
        <f>IFERROR(IF(AX626&lt;($AM$9-$AL$9)/($AN$9-$AL$9),$AL$9+SQRT(AX626*($AN$9-$AL$9)*($AM$9-$AL$9)),$AN$9-SQRT((1-AX626)*($AN$9-$AL$9)*($AN$9-$AM$9))),$AM$9)</f>
        <v/>
      </c>
      <c r="AP626">
        <f>IFERROR(IF(AY626&lt;($AM$10-$AL$10)/($AN$10-$AL$10),$AL$10+SQRT(AY626*($AN$10-$AL$10)*($AM$10-$AL$10)),$AN$10-SQRT((1-AY626)*($AN$10-$AL$10)*($AN$10-$AM$10))),$AM$10)</f>
        <v/>
      </c>
      <c r="AQ626">
        <f>IFERROR(IF(AZ626&lt;($AM$11-$AL$11)/($AN$11-$AL$11),$AL$11+SQRT(AZ626*($AN$11-$AL$11)*($AM$11-$AL$11)),$AN$11-SQRT((1-AZ626)*($AN$11-$AL$11)*($AN$11-$AM$11))),$AM$11)</f>
        <v/>
      </c>
      <c r="AR626">
        <f>SUMPRODUCT((B24:B31&lt;=$B$6)*(C24:C31*AM626+D24:D31*AO626*$B$8*AQ626)/(1+AL626/100)^B24:B31)+C32*AM626*AP626/(1+AL626/100)^$B$6</f>
        <v/>
      </c>
      <c r="AS626">
        <f>SUMPRODUCT((K24:K26&lt;=$B$6)*(L24:L26*AN626+M24:M26*AO626*$B$8*AQ626)/(1+AL626/100)^K24:K26)+L27*AN626*AP626/(1+AL626/100)^$B$6</f>
        <v/>
      </c>
      <c r="AT626">
        <f>AS626-AR626</f>
        <v/>
      </c>
      <c r="AU626">
        <f>RAND()</f>
        <v/>
      </c>
      <c r="AV626">
        <f>RAND()</f>
        <v/>
      </c>
      <c r="AW626">
        <f>RAND()</f>
        <v/>
      </c>
      <c r="AX626">
        <f>RAND()</f>
        <v/>
      </c>
      <c r="AY626">
        <f>RAND()</f>
        <v/>
      </c>
      <c r="AZ626">
        <f>RAND()</f>
        <v/>
      </c>
    </row>
    <row r="627">
      <c r="AK627" t="n">
        <v>614</v>
      </c>
      <c r="AL627">
        <f>IFERROR(IF(AU627&lt;($AM$6-$AL$6)/($AN$6-$AL$6),$AL$6+SQRT(AU627*($AN$6-$AL$6)*($AM$6-$AL$6)),$AN$6-SQRT((1-AU627)*($AN$6-$AL$6)*($AN$6-$AM$6))),$AM$6)</f>
        <v/>
      </c>
      <c r="AM627">
        <f>IFERROR(IF(AV627&lt;($AM$7-$AL$7)/($AN$7-$AL$7),$AL$7+SQRT(AV627*($AN$7-$AL$7)*($AM$7-$AL$7)),$AN$7-SQRT((1-AV627)*($AN$7-$AL$7)*($AN$7-$AM$7))),$AM$7)</f>
        <v/>
      </c>
      <c r="AN627">
        <f>IFERROR(IF(AW627&lt;($AM$8-$AL$8)/($AN$8-$AL$8),$AL$8+SQRT(AW627*($AN$8-$AL$8)*($AM$8-$AL$8)),$AN$8-SQRT((1-AW627)*($AN$8-$AL$8)*($AN$8-$AM$8))),$AM$8)</f>
        <v/>
      </c>
      <c r="AO627">
        <f>IFERROR(IF(AX627&lt;($AM$9-$AL$9)/($AN$9-$AL$9),$AL$9+SQRT(AX627*($AN$9-$AL$9)*($AM$9-$AL$9)),$AN$9-SQRT((1-AX627)*($AN$9-$AL$9)*($AN$9-$AM$9))),$AM$9)</f>
        <v/>
      </c>
      <c r="AP627">
        <f>IFERROR(IF(AY627&lt;($AM$10-$AL$10)/($AN$10-$AL$10),$AL$10+SQRT(AY627*($AN$10-$AL$10)*($AM$10-$AL$10)),$AN$10-SQRT((1-AY627)*($AN$10-$AL$10)*($AN$10-$AM$10))),$AM$10)</f>
        <v/>
      </c>
      <c r="AQ627">
        <f>IFERROR(IF(AZ627&lt;($AM$11-$AL$11)/($AN$11-$AL$11),$AL$11+SQRT(AZ627*($AN$11-$AL$11)*($AM$11-$AL$11)),$AN$11-SQRT((1-AZ627)*($AN$11-$AL$11)*($AN$11-$AM$11))),$AM$11)</f>
        <v/>
      </c>
      <c r="AR627">
        <f>SUMPRODUCT((B24:B31&lt;=$B$6)*(C24:C31*AM627+D24:D31*AO627*$B$8*AQ627)/(1+AL627/100)^B24:B31)+C32*AM627*AP627/(1+AL627/100)^$B$6</f>
        <v/>
      </c>
      <c r="AS627">
        <f>SUMPRODUCT((K24:K26&lt;=$B$6)*(L24:L26*AN627+M24:M26*AO627*$B$8*AQ627)/(1+AL627/100)^K24:K26)+L27*AN627*AP627/(1+AL627/100)^$B$6</f>
        <v/>
      </c>
      <c r="AT627">
        <f>AS627-AR627</f>
        <v/>
      </c>
      <c r="AU627">
        <f>RAND()</f>
        <v/>
      </c>
      <c r="AV627">
        <f>RAND()</f>
        <v/>
      </c>
      <c r="AW627">
        <f>RAND()</f>
        <v/>
      </c>
      <c r="AX627">
        <f>RAND()</f>
        <v/>
      </c>
      <c r="AY627">
        <f>RAND()</f>
        <v/>
      </c>
      <c r="AZ627">
        <f>RAND()</f>
        <v/>
      </c>
    </row>
    <row r="628">
      <c r="AK628" t="n">
        <v>615</v>
      </c>
      <c r="AL628">
        <f>IFERROR(IF(AU628&lt;($AM$6-$AL$6)/($AN$6-$AL$6),$AL$6+SQRT(AU628*($AN$6-$AL$6)*($AM$6-$AL$6)),$AN$6-SQRT((1-AU628)*($AN$6-$AL$6)*($AN$6-$AM$6))),$AM$6)</f>
        <v/>
      </c>
      <c r="AM628">
        <f>IFERROR(IF(AV628&lt;($AM$7-$AL$7)/($AN$7-$AL$7),$AL$7+SQRT(AV628*($AN$7-$AL$7)*($AM$7-$AL$7)),$AN$7-SQRT((1-AV628)*($AN$7-$AL$7)*($AN$7-$AM$7))),$AM$7)</f>
        <v/>
      </c>
      <c r="AN628">
        <f>IFERROR(IF(AW628&lt;($AM$8-$AL$8)/($AN$8-$AL$8),$AL$8+SQRT(AW628*($AN$8-$AL$8)*($AM$8-$AL$8)),$AN$8-SQRT((1-AW628)*($AN$8-$AL$8)*($AN$8-$AM$8))),$AM$8)</f>
        <v/>
      </c>
      <c r="AO628">
        <f>IFERROR(IF(AX628&lt;($AM$9-$AL$9)/($AN$9-$AL$9),$AL$9+SQRT(AX628*($AN$9-$AL$9)*($AM$9-$AL$9)),$AN$9-SQRT((1-AX628)*($AN$9-$AL$9)*($AN$9-$AM$9))),$AM$9)</f>
        <v/>
      </c>
      <c r="AP628">
        <f>IFERROR(IF(AY628&lt;($AM$10-$AL$10)/($AN$10-$AL$10),$AL$10+SQRT(AY628*($AN$10-$AL$10)*($AM$10-$AL$10)),$AN$10-SQRT((1-AY628)*($AN$10-$AL$10)*($AN$10-$AM$10))),$AM$10)</f>
        <v/>
      </c>
      <c r="AQ628">
        <f>IFERROR(IF(AZ628&lt;($AM$11-$AL$11)/($AN$11-$AL$11),$AL$11+SQRT(AZ628*($AN$11-$AL$11)*($AM$11-$AL$11)),$AN$11-SQRT((1-AZ628)*($AN$11-$AL$11)*($AN$11-$AM$11))),$AM$11)</f>
        <v/>
      </c>
      <c r="AR628">
        <f>SUMPRODUCT((B24:B31&lt;=$B$6)*(C24:C31*AM628+D24:D31*AO628*$B$8*AQ628)/(1+AL628/100)^B24:B31)+C32*AM628*AP628/(1+AL628/100)^$B$6</f>
        <v/>
      </c>
      <c r="AS628">
        <f>SUMPRODUCT((K24:K26&lt;=$B$6)*(L24:L26*AN628+M24:M26*AO628*$B$8*AQ628)/(1+AL628/100)^K24:K26)+L27*AN628*AP628/(1+AL628/100)^$B$6</f>
        <v/>
      </c>
      <c r="AT628">
        <f>AS628-AR628</f>
        <v/>
      </c>
      <c r="AU628">
        <f>RAND()</f>
        <v/>
      </c>
      <c r="AV628">
        <f>RAND()</f>
        <v/>
      </c>
      <c r="AW628">
        <f>RAND()</f>
        <v/>
      </c>
      <c r="AX628">
        <f>RAND()</f>
        <v/>
      </c>
      <c r="AY628">
        <f>RAND()</f>
        <v/>
      </c>
      <c r="AZ628">
        <f>RAND()</f>
        <v/>
      </c>
    </row>
    <row r="629">
      <c r="AK629" t="n">
        <v>616</v>
      </c>
      <c r="AL629">
        <f>IFERROR(IF(AU629&lt;($AM$6-$AL$6)/($AN$6-$AL$6),$AL$6+SQRT(AU629*($AN$6-$AL$6)*($AM$6-$AL$6)),$AN$6-SQRT((1-AU629)*($AN$6-$AL$6)*($AN$6-$AM$6))),$AM$6)</f>
        <v/>
      </c>
      <c r="AM629">
        <f>IFERROR(IF(AV629&lt;($AM$7-$AL$7)/($AN$7-$AL$7),$AL$7+SQRT(AV629*($AN$7-$AL$7)*($AM$7-$AL$7)),$AN$7-SQRT((1-AV629)*($AN$7-$AL$7)*($AN$7-$AM$7))),$AM$7)</f>
        <v/>
      </c>
      <c r="AN629">
        <f>IFERROR(IF(AW629&lt;($AM$8-$AL$8)/($AN$8-$AL$8),$AL$8+SQRT(AW629*($AN$8-$AL$8)*($AM$8-$AL$8)),$AN$8-SQRT((1-AW629)*($AN$8-$AL$8)*($AN$8-$AM$8))),$AM$8)</f>
        <v/>
      </c>
      <c r="AO629">
        <f>IFERROR(IF(AX629&lt;($AM$9-$AL$9)/($AN$9-$AL$9),$AL$9+SQRT(AX629*($AN$9-$AL$9)*($AM$9-$AL$9)),$AN$9-SQRT((1-AX629)*($AN$9-$AL$9)*($AN$9-$AM$9))),$AM$9)</f>
        <v/>
      </c>
      <c r="AP629">
        <f>IFERROR(IF(AY629&lt;($AM$10-$AL$10)/($AN$10-$AL$10),$AL$10+SQRT(AY629*($AN$10-$AL$10)*($AM$10-$AL$10)),$AN$10-SQRT((1-AY629)*($AN$10-$AL$10)*($AN$10-$AM$10))),$AM$10)</f>
        <v/>
      </c>
      <c r="AQ629">
        <f>IFERROR(IF(AZ629&lt;($AM$11-$AL$11)/($AN$11-$AL$11),$AL$11+SQRT(AZ629*($AN$11-$AL$11)*($AM$11-$AL$11)),$AN$11-SQRT((1-AZ629)*($AN$11-$AL$11)*($AN$11-$AM$11))),$AM$11)</f>
        <v/>
      </c>
      <c r="AR629">
        <f>SUMPRODUCT((B24:B31&lt;=$B$6)*(C24:C31*AM629+D24:D31*AO629*$B$8*AQ629)/(1+AL629/100)^B24:B31)+C32*AM629*AP629/(1+AL629/100)^$B$6</f>
        <v/>
      </c>
      <c r="AS629">
        <f>SUMPRODUCT((K24:K26&lt;=$B$6)*(L24:L26*AN629+M24:M26*AO629*$B$8*AQ629)/(1+AL629/100)^K24:K26)+L27*AN629*AP629/(1+AL629/100)^$B$6</f>
        <v/>
      </c>
      <c r="AT629">
        <f>AS629-AR629</f>
        <v/>
      </c>
      <c r="AU629">
        <f>RAND()</f>
        <v/>
      </c>
      <c r="AV629">
        <f>RAND()</f>
        <v/>
      </c>
      <c r="AW629">
        <f>RAND()</f>
        <v/>
      </c>
      <c r="AX629">
        <f>RAND()</f>
        <v/>
      </c>
      <c r="AY629">
        <f>RAND()</f>
        <v/>
      </c>
      <c r="AZ629">
        <f>RAND()</f>
        <v/>
      </c>
    </row>
    <row r="630">
      <c r="AK630" t="n">
        <v>617</v>
      </c>
      <c r="AL630">
        <f>IFERROR(IF(AU630&lt;($AM$6-$AL$6)/($AN$6-$AL$6),$AL$6+SQRT(AU630*($AN$6-$AL$6)*($AM$6-$AL$6)),$AN$6-SQRT((1-AU630)*($AN$6-$AL$6)*($AN$6-$AM$6))),$AM$6)</f>
        <v/>
      </c>
      <c r="AM630">
        <f>IFERROR(IF(AV630&lt;($AM$7-$AL$7)/($AN$7-$AL$7),$AL$7+SQRT(AV630*($AN$7-$AL$7)*($AM$7-$AL$7)),$AN$7-SQRT((1-AV630)*($AN$7-$AL$7)*($AN$7-$AM$7))),$AM$7)</f>
        <v/>
      </c>
      <c r="AN630">
        <f>IFERROR(IF(AW630&lt;($AM$8-$AL$8)/($AN$8-$AL$8),$AL$8+SQRT(AW630*($AN$8-$AL$8)*($AM$8-$AL$8)),$AN$8-SQRT((1-AW630)*($AN$8-$AL$8)*($AN$8-$AM$8))),$AM$8)</f>
        <v/>
      </c>
      <c r="AO630">
        <f>IFERROR(IF(AX630&lt;($AM$9-$AL$9)/($AN$9-$AL$9),$AL$9+SQRT(AX630*($AN$9-$AL$9)*($AM$9-$AL$9)),$AN$9-SQRT((1-AX630)*($AN$9-$AL$9)*($AN$9-$AM$9))),$AM$9)</f>
        <v/>
      </c>
      <c r="AP630">
        <f>IFERROR(IF(AY630&lt;($AM$10-$AL$10)/($AN$10-$AL$10),$AL$10+SQRT(AY630*($AN$10-$AL$10)*($AM$10-$AL$10)),$AN$10-SQRT((1-AY630)*($AN$10-$AL$10)*($AN$10-$AM$10))),$AM$10)</f>
        <v/>
      </c>
      <c r="AQ630">
        <f>IFERROR(IF(AZ630&lt;($AM$11-$AL$11)/($AN$11-$AL$11),$AL$11+SQRT(AZ630*($AN$11-$AL$11)*($AM$11-$AL$11)),$AN$11-SQRT((1-AZ630)*($AN$11-$AL$11)*($AN$11-$AM$11))),$AM$11)</f>
        <v/>
      </c>
      <c r="AR630">
        <f>SUMPRODUCT((B24:B31&lt;=$B$6)*(C24:C31*AM630+D24:D31*AO630*$B$8*AQ630)/(1+AL630/100)^B24:B31)+C32*AM630*AP630/(1+AL630/100)^$B$6</f>
        <v/>
      </c>
      <c r="AS630">
        <f>SUMPRODUCT((K24:K26&lt;=$B$6)*(L24:L26*AN630+M24:M26*AO630*$B$8*AQ630)/(1+AL630/100)^K24:K26)+L27*AN630*AP630/(1+AL630/100)^$B$6</f>
        <v/>
      </c>
      <c r="AT630">
        <f>AS630-AR630</f>
        <v/>
      </c>
      <c r="AU630">
        <f>RAND()</f>
        <v/>
      </c>
      <c r="AV630">
        <f>RAND()</f>
        <v/>
      </c>
      <c r="AW630">
        <f>RAND()</f>
        <v/>
      </c>
      <c r="AX630">
        <f>RAND()</f>
        <v/>
      </c>
      <c r="AY630">
        <f>RAND()</f>
        <v/>
      </c>
      <c r="AZ630">
        <f>RAND()</f>
        <v/>
      </c>
    </row>
    <row r="631">
      <c r="AK631" t="n">
        <v>618</v>
      </c>
      <c r="AL631">
        <f>IFERROR(IF(AU631&lt;($AM$6-$AL$6)/($AN$6-$AL$6),$AL$6+SQRT(AU631*($AN$6-$AL$6)*($AM$6-$AL$6)),$AN$6-SQRT((1-AU631)*($AN$6-$AL$6)*($AN$6-$AM$6))),$AM$6)</f>
        <v/>
      </c>
      <c r="AM631">
        <f>IFERROR(IF(AV631&lt;($AM$7-$AL$7)/($AN$7-$AL$7),$AL$7+SQRT(AV631*($AN$7-$AL$7)*($AM$7-$AL$7)),$AN$7-SQRT((1-AV631)*($AN$7-$AL$7)*($AN$7-$AM$7))),$AM$7)</f>
        <v/>
      </c>
      <c r="AN631">
        <f>IFERROR(IF(AW631&lt;($AM$8-$AL$8)/($AN$8-$AL$8),$AL$8+SQRT(AW631*($AN$8-$AL$8)*($AM$8-$AL$8)),$AN$8-SQRT((1-AW631)*($AN$8-$AL$8)*($AN$8-$AM$8))),$AM$8)</f>
        <v/>
      </c>
      <c r="AO631">
        <f>IFERROR(IF(AX631&lt;($AM$9-$AL$9)/($AN$9-$AL$9),$AL$9+SQRT(AX631*($AN$9-$AL$9)*($AM$9-$AL$9)),$AN$9-SQRT((1-AX631)*($AN$9-$AL$9)*($AN$9-$AM$9))),$AM$9)</f>
        <v/>
      </c>
      <c r="AP631">
        <f>IFERROR(IF(AY631&lt;($AM$10-$AL$10)/($AN$10-$AL$10),$AL$10+SQRT(AY631*($AN$10-$AL$10)*($AM$10-$AL$10)),$AN$10-SQRT((1-AY631)*($AN$10-$AL$10)*($AN$10-$AM$10))),$AM$10)</f>
        <v/>
      </c>
      <c r="AQ631">
        <f>IFERROR(IF(AZ631&lt;($AM$11-$AL$11)/($AN$11-$AL$11),$AL$11+SQRT(AZ631*($AN$11-$AL$11)*($AM$11-$AL$11)),$AN$11-SQRT((1-AZ631)*($AN$11-$AL$11)*($AN$11-$AM$11))),$AM$11)</f>
        <v/>
      </c>
      <c r="AR631">
        <f>SUMPRODUCT((B24:B31&lt;=$B$6)*(C24:C31*AM631+D24:D31*AO631*$B$8*AQ631)/(1+AL631/100)^B24:B31)+C32*AM631*AP631/(1+AL631/100)^$B$6</f>
        <v/>
      </c>
      <c r="AS631">
        <f>SUMPRODUCT((K24:K26&lt;=$B$6)*(L24:L26*AN631+M24:M26*AO631*$B$8*AQ631)/(1+AL631/100)^K24:K26)+L27*AN631*AP631/(1+AL631/100)^$B$6</f>
        <v/>
      </c>
      <c r="AT631">
        <f>AS631-AR631</f>
        <v/>
      </c>
      <c r="AU631">
        <f>RAND()</f>
        <v/>
      </c>
      <c r="AV631">
        <f>RAND()</f>
        <v/>
      </c>
      <c r="AW631">
        <f>RAND()</f>
        <v/>
      </c>
      <c r="AX631">
        <f>RAND()</f>
        <v/>
      </c>
      <c r="AY631">
        <f>RAND()</f>
        <v/>
      </c>
      <c r="AZ631">
        <f>RAND()</f>
        <v/>
      </c>
    </row>
    <row r="632">
      <c r="AK632" t="n">
        <v>619</v>
      </c>
      <c r="AL632">
        <f>IFERROR(IF(AU632&lt;($AM$6-$AL$6)/($AN$6-$AL$6),$AL$6+SQRT(AU632*($AN$6-$AL$6)*($AM$6-$AL$6)),$AN$6-SQRT((1-AU632)*($AN$6-$AL$6)*($AN$6-$AM$6))),$AM$6)</f>
        <v/>
      </c>
      <c r="AM632">
        <f>IFERROR(IF(AV632&lt;($AM$7-$AL$7)/($AN$7-$AL$7),$AL$7+SQRT(AV632*($AN$7-$AL$7)*($AM$7-$AL$7)),$AN$7-SQRT((1-AV632)*($AN$7-$AL$7)*($AN$7-$AM$7))),$AM$7)</f>
        <v/>
      </c>
      <c r="AN632">
        <f>IFERROR(IF(AW632&lt;($AM$8-$AL$8)/($AN$8-$AL$8),$AL$8+SQRT(AW632*($AN$8-$AL$8)*($AM$8-$AL$8)),$AN$8-SQRT((1-AW632)*($AN$8-$AL$8)*($AN$8-$AM$8))),$AM$8)</f>
        <v/>
      </c>
      <c r="AO632">
        <f>IFERROR(IF(AX632&lt;($AM$9-$AL$9)/($AN$9-$AL$9),$AL$9+SQRT(AX632*($AN$9-$AL$9)*($AM$9-$AL$9)),$AN$9-SQRT((1-AX632)*($AN$9-$AL$9)*($AN$9-$AM$9))),$AM$9)</f>
        <v/>
      </c>
      <c r="AP632">
        <f>IFERROR(IF(AY632&lt;($AM$10-$AL$10)/($AN$10-$AL$10),$AL$10+SQRT(AY632*($AN$10-$AL$10)*($AM$10-$AL$10)),$AN$10-SQRT((1-AY632)*($AN$10-$AL$10)*($AN$10-$AM$10))),$AM$10)</f>
        <v/>
      </c>
      <c r="AQ632">
        <f>IFERROR(IF(AZ632&lt;($AM$11-$AL$11)/($AN$11-$AL$11),$AL$11+SQRT(AZ632*($AN$11-$AL$11)*($AM$11-$AL$11)),$AN$11-SQRT((1-AZ632)*($AN$11-$AL$11)*($AN$11-$AM$11))),$AM$11)</f>
        <v/>
      </c>
      <c r="AR632">
        <f>SUMPRODUCT((B24:B31&lt;=$B$6)*(C24:C31*AM632+D24:D31*AO632*$B$8*AQ632)/(1+AL632/100)^B24:B31)+C32*AM632*AP632/(1+AL632/100)^$B$6</f>
        <v/>
      </c>
      <c r="AS632">
        <f>SUMPRODUCT((K24:K26&lt;=$B$6)*(L24:L26*AN632+M24:M26*AO632*$B$8*AQ632)/(1+AL632/100)^K24:K26)+L27*AN632*AP632/(1+AL632/100)^$B$6</f>
        <v/>
      </c>
      <c r="AT632">
        <f>AS632-AR632</f>
        <v/>
      </c>
      <c r="AU632">
        <f>RAND()</f>
        <v/>
      </c>
      <c r="AV632">
        <f>RAND()</f>
        <v/>
      </c>
      <c r="AW632">
        <f>RAND()</f>
        <v/>
      </c>
      <c r="AX632">
        <f>RAND()</f>
        <v/>
      </c>
      <c r="AY632">
        <f>RAND()</f>
        <v/>
      </c>
      <c r="AZ632">
        <f>RAND()</f>
        <v/>
      </c>
    </row>
    <row r="633">
      <c r="AK633" t="n">
        <v>620</v>
      </c>
      <c r="AL633">
        <f>IFERROR(IF(AU633&lt;($AM$6-$AL$6)/($AN$6-$AL$6),$AL$6+SQRT(AU633*($AN$6-$AL$6)*($AM$6-$AL$6)),$AN$6-SQRT((1-AU633)*($AN$6-$AL$6)*($AN$6-$AM$6))),$AM$6)</f>
        <v/>
      </c>
      <c r="AM633">
        <f>IFERROR(IF(AV633&lt;($AM$7-$AL$7)/($AN$7-$AL$7),$AL$7+SQRT(AV633*($AN$7-$AL$7)*($AM$7-$AL$7)),$AN$7-SQRT((1-AV633)*($AN$7-$AL$7)*($AN$7-$AM$7))),$AM$7)</f>
        <v/>
      </c>
      <c r="AN633">
        <f>IFERROR(IF(AW633&lt;($AM$8-$AL$8)/($AN$8-$AL$8),$AL$8+SQRT(AW633*($AN$8-$AL$8)*($AM$8-$AL$8)),$AN$8-SQRT((1-AW633)*($AN$8-$AL$8)*($AN$8-$AM$8))),$AM$8)</f>
        <v/>
      </c>
      <c r="AO633">
        <f>IFERROR(IF(AX633&lt;($AM$9-$AL$9)/($AN$9-$AL$9),$AL$9+SQRT(AX633*($AN$9-$AL$9)*($AM$9-$AL$9)),$AN$9-SQRT((1-AX633)*($AN$9-$AL$9)*($AN$9-$AM$9))),$AM$9)</f>
        <v/>
      </c>
      <c r="AP633">
        <f>IFERROR(IF(AY633&lt;($AM$10-$AL$10)/($AN$10-$AL$10),$AL$10+SQRT(AY633*($AN$10-$AL$10)*($AM$10-$AL$10)),$AN$10-SQRT((1-AY633)*($AN$10-$AL$10)*($AN$10-$AM$10))),$AM$10)</f>
        <v/>
      </c>
      <c r="AQ633">
        <f>IFERROR(IF(AZ633&lt;($AM$11-$AL$11)/($AN$11-$AL$11),$AL$11+SQRT(AZ633*($AN$11-$AL$11)*($AM$11-$AL$11)),$AN$11-SQRT((1-AZ633)*($AN$11-$AL$11)*($AN$11-$AM$11))),$AM$11)</f>
        <v/>
      </c>
      <c r="AR633">
        <f>SUMPRODUCT((B24:B31&lt;=$B$6)*(C24:C31*AM633+D24:D31*AO633*$B$8*AQ633)/(1+AL633/100)^B24:B31)+C32*AM633*AP633/(1+AL633/100)^$B$6</f>
        <v/>
      </c>
      <c r="AS633">
        <f>SUMPRODUCT((K24:K26&lt;=$B$6)*(L24:L26*AN633+M24:M26*AO633*$B$8*AQ633)/(1+AL633/100)^K24:K26)+L27*AN633*AP633/(1+AL633/100)^$B$6</f>
        <v/>
      </c>
      <c r="AT633">
        <f>AS633-AR633</f>
        <v/>
      </c>
      <c r="AU633">
        <f>RAND()</f>
        <v/>
      </c>
      <c r="AV633">
        <f>RAND()</f>
        <v/>
      </c>
      <c r="AW633">
        <f>RAND()</f>
        <v/>
      </c>
      <c r="AX633">
        <f>RAND()</f>
        <v/>
      </c>
      <c r="AY633">
        <f>RAND()</f>
        <v/>
      </c>
      <c r="AZ633">
        <f>RAND()</f>
        <v/>
      </c>
    </row>
    <row r="634">
      <c r="AK634" t="n">
        <v>621</v>
      </c>
      <c r="AL634">
        <f>IFERROR(IF(AU634&lt;($AM$6-$AL$6)/($AN$6-$AL$6),$AL$6+SQRT(AU634*($AN$6-$AL$6)*($AM$6-$AL$6)),$AN$6-SQRT((1-AU634)*($AN$6-$AL$6)*($AN$6-$AM$6))),$AM$6)</f>
        <v/>
      </c>
      <c r="AM634">
        <f>IFERROR(IF(AV634&lt;($AM$7-$AL$7)/($AN$7-$AL$7),$AL$7+SQRT(AV634*($AN$7-$AL$7)*($AM$7-$AL$7)),$AN$7-SQRT((1-AV634)*($AN$7-$AL$7)*($AN$7-$AM$7))),$AM$7)</f>
        <v/>
      </c>
      <c r="AN634">
        <f>IFERROR(IF(AW634&lt;($AM$8-$AL$8)/($AN$8-$AL$8),$AL$8+SQRT(AW634*($AN$8-$AL$8)*($AM$8-$AL$8)),$AN$8-SQRT((1-AW634)*($AN$8-$AL$8)*($AN$8-$AM$8))),$AM$8)</f>
        <v/>
      </c>
      <c r="AO634">
        <f>IFERROR(IF(AX634&lt;($AM$9-$AL$9)/($AN$9-$AL$9),$AL$9+SQRT(AX634*($AN$9-$AL$9)*($AM$9-$AL$9)),$AN$9-SQRT((1-AX634)*($AN$9-$AL$9)*($AN$9-$AM$9))),$AM$9)</f>
        <v/>
      </c>
      <c r="AP634">
        <f>IFERROR(IF(AY634&lt;($AM$10-$AL$10)/($AN$10-$AL$10),$AL$10+SQRT(AY634*($AN$10-$AL$10)*($AM$10-$AL$10)),$AN$10-SQRT((1-AY634)*($AN$10-$AL$10)*($AN$10-$AM$10))),$AM$10)</f>
        <v/>
      </c>
      <c r="AQ634">
        <f>IFERROR(IF(AZ634&lt;($AM$11-$AL$11)/($AN$11-$AL$11),$AL$11+SQRT(AZ634*($AN$11-$AL$11)*($AM$11-$AL$11)),$AN$11-SQRT((1-AZ634)*($AN$11-$AL$11)*($AN$11-$AM$11))),$AM$11)</f>
        <v/>
      </c>
      <c r="AR634">
        <f>SUMPRODUCT((B24:B31&lt;=$B$6)*(C24:C31*AM634+D24:D31*AO634*$B$8*AQ634)/(1+AL634/100)^B24:B31)+C32*AM634*AP634/(1+AL634/100)^$B$6</f>
        <v/>
      </c>
      <c r="AS634">
        <f>SUMPRODUCT((K24:K26&lt;=$B$6)*(L24:L26*AN634+M24:M26*AO634*$B$8*AQ634)/(1+AL634/100)^K24:K26)+L27*AN634*AP634/(1+AL634/100)^$B$6</f>
        <v/>
      </c>
      <c r="AT634">
        <f>AS634-AR634</f>
        <v/>
      </c>
      <c r="AU634">
        <f>RAND()</f>
        <v/>
      </c>
      <c r="AV634">
        <f>RAND()</f>
        <v/>
      </c>
      <c r="AW634">
        <f>RAND()</f>
        <v/>
      </c>
      <c r="AX634">
        <f>RAND()</f>
        <v/>
      </c>
      <c r="AY634">
        <f>RAND()</f>
        <v/>
      </c>
      <c r="AZ634">
        <f>RAND()</f>
        <v/>
      </c>
    </row>
    <row r="635">
      <c r="AK635" t="n">
        <v>622</v>
      </c>
      <c r="AL635">
        <f>IFERROR(IF(AU635&lt;($AM$6-$AL$6)/($AN$6-$AL$6),$AL$6+SQRT(AU635*($AN$6-$AL$6)*($AM$6-$AL$6)),$AN$6-SQRT((1-AU635)*($AN$6-$AL$6)*($AN$6-$AM$6))),$AM$6)</f>
        <v/>
      </c>
      <c r="AM635">
        <f>IFERROR(IF(AV635&lt;($AM$7-$AL$7)/($AN$7-$AL$7),$AL$7+SQRT(AV635*($AN$7-$AL$7)*($AM$7-$AL$7)),$AN$7-SQRT((1-AV635)*($AN$7-$AL$7)*($AN$7-$AM$7))),$AM$7)</f>
        <v/>
      </c>
      <c r="AN635">
        <f>IFERROR(IF(AW635&lt;($AM$8-$AL$8)/($AN$8-$AL$8),$AL$8+SQRT(AW635*($AN$8-$AL$8)*($AM$8-$AL$8)),$AN$8-SQRT((1-AW635)*($AN$8-$AL$8)*($AN$8-$AM$8))),$AM$8)</f>
        <v/>
      </c>
      <c r="AO635">
        <f>IFERROR(IF(AX635&lt;($AM$9-$AL$9)/($AN$9-$AL$9),$AL$9+SQRT(AX635*($AN$9-$AL$9)*($AM$9-$AL$9)),$AN$9-SQRT((1-AX635)*($AN$9-$AL$9)*($AN$9-$AM$9))),$AM$9)</f>
        <v/>
      </c>
      <c r="AP635">
        <f>IFERROR(IF(AY635&lt;($AM$10-$AL$10)/($AN$10-$AL$10),$AL$10+SQRT(AY635*($AN$10-$AL$10)*($AM$10-$AL$10)),$AN$10-SQRT((1-AY635)*($AN$10-$AL$10)*($AN$10-$AM$10))),$AM$10)</f>
        <v/>
      </c>
      <c r="AQ635">
        <f>IFERROR(IF(AZ635&lt;($AM$11-$AL$11)/($AN$11-$AL$11),$AL$11+SQRT(AZ635*($AN$11-$AL$11)*($AM$11-$AL$11)),$AN$11-SQRT((1-AZ635)*($AN$11-$AL$11)*($AN$11-$AM$11))),$AM$11)</f>
        <v/>
      </c>
      <c r="AR635">
        <f>SUMPRODUCT((B24:B31&lt;=$B$6)*(C24:C31*AM635+D24:D31*AO635*$B$8*AQ635)/(1+AL635/100)^B24:B31)+C32*AM635*AP635/(1+AL635/100)^$B$6</f>
        <v/>
      </c>
      <c r="AS635">
        <f>SUMPRODUCT((K24:K26&lt;=$B$6)*(L24:L26*AN635+M24:M26*AO635*$B$8*AQ635)/(1+AL635/100)^K24:K26)+L27*AN635*AP635/(1+AL635/100)^$B$6</f>
        <v/>
      </c>
      <c r="AT635">
        <f>AS635-AR635</f>
        <v/>
      </c>
      <c r="AU635">
        <f>RAND()</f>
        <v/>
      </c>
      <c r="AV635">
        <f>RAND()</f>
        <v/>
      </c>
      <c r="AW635">
        <f>RAND()</f>
        <v/>
      </c>
      <c r="AX635">
        <f>RAND()</f>
        <v/>
      </c>
      <c r="AY635">
        <f>RAND()</f>
        <v/>
      </c>
      <c r="AZ635">
        <f>RAND()</f>
        <v/>
      </c>
    </row>
    <row r="636">
      <c r="AK636" t="n">
        <v>623</v>
      </c>
      <c r="AL636">
        <f>IFERROR(IF(AU636&lt;($AM$6-$AL$6)/($AN$6-$AL$6),$AL$6+SQRT(AU636*($AN$6-$AL$6)*($AM$6-$AL$6)),$AN$6-SQRT((1-AU636)*($AN$6-$AL$6)*($AN$6-$AM$6))),$AM$6)</f>
        <v/>
      </c>
      <c r="AM636">
        <f>IFERROR(IF(AV636&lt;($AM$7-$AL$7)/($AN$7-$AL$7),$AL$7+SQRT(AV636*($AN$7-$AL$7)*($AM$7-$AL$7)),$AN$7-SQRT((1-AV636)*($AN$7-$AL$7)*($AN$7-$AM$7))),$AM$7)</f>
        <v/>
      </c>
      <c r="AN636">
        <f>IFERROR(IF(AW636&lt;($AM$8-$AL$8)/($AN$8-$AL$8),$AL$8+SQRT(AW636*($AN$8-$AL$8)*($AM$8-$AL$8)),$AN$8-SQRT((1-AW636)*($AN$8-$AL$8)*($AN$8-$AM$8))),$AM$8)</f>
        <v/>
      </c>
      <c r="AO636">
        <f>IFERROR(IF(AX636&lt;($AM$9-$AL$9)/($AN$9-$AL$9),$AL$9+SQRT(AX636*($AN$9-$AL$9)*($AM$9-$AL$9)),$AN$9-SQRT((1-AX636)*($AN$9-$AL$9)*($AN$9-$AM$9))),$AM$9)</f>
        <v/>
      </c>
      <c r="AP636">
        <f>IFERROR(IF(AY636&lt;($AM$10-$AL$10)/($AN$10-$AL$10),$AL$10+SQRT(AY636*($AN$10-$AL$10)*($AM$10-$AL$10)),$AN$10-SQRT((1-AY636)*($AN$10-$AL$10)*($AN$10-$AM$10))),$AM$10)</f>
        <v/>
      </c>
      <c r="AQ636">
        <f>IFERROR(IF(AZ636&lt;($AM$11-$AL$11)/($AN$11-$AL$11),$AL$11+SQRT(AZ636*($AN$11-$AL$11)*($AM$11-$AL$11)),$AN$11-SQRT((1-AZ636)*($AN$11-$AL$11)*($AN$11-$AM$11))),$AM$11)</f>
        <v/>
      </c>
      <c r="AR636">
        <f>SUMPRODUCT((B24:B31&lt;=$B$6)*(C24:C31*AM636+D24:D31*AO636*$B$8*AQ636)/(1+AL636/100)^B24:B31)+C32*AM636*AP636/(1+AL636/100)^$B$6</f>
        <v/>
      </c>
      <c r="AS636">
        <f>SUMPRODUCT((K24:K26&lt;=$B$6)*(L24:L26*AN636+M24:M26*AO636*$B$8*AQ636)/(1+AL636/100)^K24:K26)+L27*AN636*AP636/(1+AL636/100)^$B$6</f>
        <v/>
      </c>
      <c r="AT636">
        <f>AS636-AR636</f>
        <v/>
      </c>
      <c r="AU636">
        <f>RAND()</f>
        <v/>
      </c>
      <c r="AV636">
        <f>RAND()</f>
        <v/>
      </c>
      <c r="AW636">
        <f>RAND()</f>
        <v/>
      </c>
      <c r="AX636">
        <f>RAND()</f>
        <v/>
      </c>
      <c r="AY636">
        <f>RAND()</f>
        <v/>
      </c>
      <c r="AZ636">
        <f>RAND()</f>
        <v/>
      </c>
    </row>
    <row r="637">
      <c r="AK637" t="n">
        <v>624</v>
      </c>
      <c r="AL637">
        <f>IFERROR(IF(AU637&lt;($AM$6-$AL$6)/($AN$6-$AL$6),$AL$6+SQRT(AU637*($AN$6-$AL$6)*($AM$6-$AL$6)),$AN$6-SQRT((1-AU637)*($AN$6-$AL$6)*($AN$6-$AM$6))),$AM$6)</f>
        <v/>
      </c>
      <c r="AM637">
        <f>IFERROR(IF(AV637&lt;($AM$7-$AL$7)/($AN$7-$AL$7),$AL$7+SQRT(AV637*($AN$7-$AL$7)*($AM$7-$AL$7)),$AN$7-SQRT((1-AV637)*($AN$7-$AL$7)*($AN$7-$AM$7))),$AM$7)</f>
        <v/>
      </c>
      <c r="AN637">
        <f>IFERROR(IF(AW637&lt;($AM$8-$AL$8)/($AN$8-$AL$8),$AL$8+SQRT(AW637*($AN$8-$AL$8)*($AM$8-$AL$8)),$AN$8-SQRT((1-AW637)*($AN$8-$AL$8)*($AN$8-$AM$8))),$AM$8)</f>
        <v/>
      </c>
      <c r="AO637">
        <f>IFERROR(IF(AX637&lt;($AM$9-$AL$9)/($AN$9-$AL$9),$AL$9+SQRT(AX637*($AN$9-$AL$9)*($AM$9-$AL$9)),$AN$9-SQRT((1-AX637)*($AN$9-$AL$9)*($AN$9-$AM$9))),$AM$9)</f>
        <v/>
      </c>
      <c r="AP637">
        <f>IFERROR(IF(AY637&lt;($AM$10-$AL$10)/($AN$10-$AL$10),$AL$10+SQRT(AY637*($AN$10-$AL$10)*($AM$10-$AL$10)),$AN$10-SQRT((1-AY637)*($AN$10-$AL$10)*($AN$10-$AM$10))),$AM$10)</f>
        <v/>
      </c>
      <c r="AQ637">
        <f>IFERROR(IF(AZ637&lt;($AM$11-$AL$11)/($AN$11-$AL$11),$AL$11+SQRT(AZ637*($AN$11-$AL$11)*($AM$11-$AL$11)),$AN$11-SQRT((1-AZ637)*($AN$11-$AL$11)*($AN$11-$AM$11))),$AM$11)</f>
        <v/>
      </c>
      <c r="AR637">
        <f>SUMPRODUCT((B24:B31&lt;=$B$6)*(C24:C31*AM637+D24:D31*AO637*$B$8*AQ637)/(1+AL637/100)^B24:B31)+C32*AM637*AP637/(1+AL637/100)^$B$6</f>
        <v/>
      </c>
      <c r="AS637">
        <f>SUMPRODUCT((K24:K26&lt;=$B$6)*(L24:L26*AN637+M24:M26*AO637*$B$8*AQ637)/(1+AL637/100)^K24:K26)+L27*AN637*AP637/(1+AL637/100)^$B$6</f>
        <v/>
      </c>
      <c r="AT637">
        <f>AS637-AR637</f>
        <v/>
      </c>
      <c r="AU637">
        <f>RAND()</f>
        <v/>
      </c>
      <c r="AV637">
        <f>RAND()</f>
        <v/>
      </c>
      <c r="AW637">
        <f>RAND()</f>
        <v/>
      </c>
      <c r="AX637">
        <f>RAND()</f>
        <v/>
      </c>
      <c r="AY637">
        <f>RAND()</f>
        <v/>
      </c>
      <c r="AZ637">
        <f>RAND()</f>
        <v/>
      </c>
    </row>
    <row r="638">
      <c r="AK638" t="n">
        <v>625</v>
      </c>
      <c r="AL638">
        <f>IFERROR(IF(AU638&lt;($AM$6-$AL$6)/($AN$6-$AL$6),$AL$6+SQRT(AU638*($AN$6-$AL$6)*($AM$6-$AL$6)),$AN$6-SQRT((1-AU638)*($AN$6-$AL$6)*($AN$6-$AM$6))),$AM$6)</f>
        <v/>
      </c>
      <c r="AM638">
        <f>IFERROR(IF(AV638&lt;($AM$7-$AL$7)/($AN$7-$AL$7),$AL$7+SQRT(AV638*($AN$7-$AL$7)*($AM$7-$AL$7)),$AN$7-SQRT((1-AV638)*($AN$7-$AL$7)*($AN$7-$AM$7))),$AM$7)</f>
        <v/>
      </c>
      <c r="AN638">
        <f>IFERROR(IF(AW638&lt;($AM$8-$AL$8)/($AN$8-$AL$8),$AL$8+SQRT(AW638*($AN$8-$AL$8)*($AM$8-$AL$8)),$AN$8-SQRT((1-AW638)*($AN$8-$AL$8)*($AN$8-$AM$8))),$AM$8)</f>
        <v/>
      </c>
      <c r="AO638">
        <f>IFERROR(IF(AX638&lt;($AM$9-$AL$9)/($AN$9-$AL$9),$AL$9+SQRT(AX638*($AN$9-$AL$9)*($AM$9-$AL$9)),$AN$9-SQRT((1-AX638)*($AN$9-$AL$9)*($AN$9-$AM$9))),$AM$9)</f>
        <v/>
      </c>
      <c r="AP638">
        <f>IFERROR(IF(AY638&lt;($AM$10-$AL$10)/($AN$10-$AL$10),$AL$10+SQRT(AY638*($AN$10-$AL$10)*($AM$10-$AL$10)),$AN$10-SQRT((1-AY638)*($AN$10-$AL$10)*($AN$10-$AM$10))),$AM$10)</f>
        <v/>
      </c>
      <c r="AQ638">
        <f>IFERROR(IF(AZ638&lt;($AM$11-$AL$11)/($AN$11-$AL$11),$AL$11+SQRT(AZ638*($AN$11-$AL$11)*($AM$11-$AL$11)),$AN$11-SQRT((1-AZ638)*($AN$11-$AL$11)*($AN$11-$AM$11))),$AM$11)</f>
        <v/>
      </c>
      <c r="AR638">
        <f>SUMPRODUCT((B24:B31&lt;=$B$6)*(C24:C31*AM638+D24:D31*AO638*$B$8*AQ638)/(1+AL638/100)^B24:B31)+C32*AM638*AP638/(1+AL638/100)^$B$6</f>
        <v/>
      </c>
      <c r="AS638">
        <f>SUMPRODUCT((K24:K26&lt;=$B$6)*(L24:L26*AN638+M24:M26*AO638*$B$8*AQ638)/(1+AL638/100)^K24:K26)+L27*AN638*AP638/(1+AL638/100)^$B$6</f>
        <v/>
      </c>
      <c r="AT638">
        <f>AS638-AR638</f>
        <v/>
      </c>
      <c r="AU638">
        <f>RAND()</f>
        <v/>
      </c>
      <c r="AV638">
        <f>RAND()</f>
        <v/>
      </c>
      <c r="AW638">
        <f>RAND()</f>
        <v/>
      </c>
      <c r="AX638">
        <f>RAND()</f>
        <v/>
      </c>
      <c r="AY638">
        <f>RAND()</f>
        <v/>
      </c>
      <c r="AZ638">
        <f>RAND()</f>
        <v/>
      </c>
    </row>
    <row r="639">
      <c r="AK639" t="n">
        <v>626</v>
      </c>
      <c r="AL639">
        <f>IFERROR(IF(AU639&lt;($AM$6-$AL$6)/($AN$6-$AL$6),$AL$6+SQRT(AU639*($AN$6-$AL$6)*($AM$6-$AL$6)),$AN$6-SQRT((1-AU639)*($AN$6-$AL$6)*($AN$6-$AM$6))),$AM$6)</f>
        <v/>
      </c>
      <c r="AM639">
        <f>IFERROR(IF(AV639&lt;($AM$7-$AL$7)/($AN$7-$AL$7),$AL$7+SQRT(AV639*($AN$7-$AL$7)*($AM$7-$AL$7)),$AN$7-SQRT((1-AV639)*($AN$7-$AL$7)*($AN$7-$AM$7))),$AM$7)</f>
        <v/>
      </c>
      <c r="AN639">
        <f>IFERROR(IF(AW639&lt;($AM$8-$AL$8)/($AN$8-$AL$8),$AL$8+SQRT(AW639*($AN$8-$AL$8)*($AM$8-$AL$8)),$AN$8-SQRT((1-AW639)*($AN$8-$AL$8)*($AN$8-$AM$8))),$AM$8)</f>
        <v/>
      </c>
      <c r="AO639">
        <f>IFERROR(IF(AX639&lt;($AM$9-$AL$9)/($AN$9-$AL$9),$AL$9+SQRT(AX639*($AN$9-$AL$9)*($AM$9-$AL$9)),$AN$9-SQRT((1-AX639)*($AN$9-$AL$9)*($AN$9-$AM$9))),$AM$9)</f>
        <v/>
      </c>
      <c r="AP639">
        <f>IFERROR(IF(AY639&lt;($AM$10-$AL$10)/($AN$10-$AL$10),$AL$10+SQRT(AY639*($AN$10-$AL$10)*($AM$10-$AL$10)),$AN$10-SQRT((1-AY639)*($AN$10-$AL$10)*($AN$10-$AM$10))),$AM$10)</f>
        <v/>
      </c>
      <c r="AQ639">
        <f>IFERROR(IF(AZ639&lt;($AM$11-$AL$11)/($AN$11-$AL$11),$AL$11+SQRT(AZ639*($AN$11-$AL$11)*($AM$11-$AL$11)),$AN$11-SQRT((1-AZ639)*($AN$11-$AL$11)*($AN$11-$AM$11))),$AM$11)</f>
        <v/>
      </c>
      <c r="AR639">
        <f>SUMPRODUCT((B24:B31&lt;=$B$6)*(C24:C31*AM639+D24:D31*AO639*$B$8*AQ639)/(1+AL639/100)^B24:B31)+C32*AM639*AP639/(1+AL639/100)^$B$6</f>
        <v/>
      </c>
      <c r="AS639">
        <f>SUMPRODUCT((K24:K26&lt;=$B$6)*(L24:L26*AN639+M24:M26*AO639*$B$8*AQ639)/(1+AL639/100)^K24:K26)+L27*AN639*AP639/(1+AL639/100)^$B$6</f>
        <v/>
      </c>
      <c r="AT639">
        <f>AS639-AR639</f>
        <v/>
      </c>
      <c r="AU639">
        <f>RAND()</f>
        <v/>
      </c>
      <c r="AV639">
        <f>RAND()</f>
        <v/>
      </c>
      <c r="AW639">
        <f>RAND()</f>
        <v/>
      </c>
      <c r="AX639">
        <f>RAND()</f>
        <v/>
      </c>
      <c r="AY639">
        <f>RAND()</f>
        <v/>
      </c>
      <c r="AZ639">
        <f>RAND()</f>
        <v/>
      </c>
    </row>
    <row r="640">
      <c r="AK640" t="n">
        <v>627</v>
      </c>
      <c r="AL640">
        <f>IFERROR(IF(AU640&lt;($AM$6-$AL$6)/($AN$6-$AL$6),$AL$6+SQRT(AU640*($AN$6-$AL$6)*($AM$6-$AL$6)),$AN$6-SQRT((1-AU640)*($AN$6-$AL$6)*($AN$6-$AM$6))),$AM$6)</f>
        <v/>
      </c>
      <c r="AM640">
        <f>IFERROR(IF(AV640&lt;($AM$7-$AL$7)/($AN$7-$AL$7),$AL$7+SQRT(AV640*($AN$7-$AL$7)*($AM$7-$AL$7)),$AN$7-SQRT((1-AV640)*($AN$7-$AL$7)*($AN$7-$AM$7))),$AM$7)</f>
        <v/>
      </c>
      <c r="AN640">
        <f>IFERROR(IF(AW640&lt;($AM$8-$AL$8)/($AN$8-$AL$8),$AL$8+SQRT(AW640*($AN$8-$AL$8)*($AM$8-$AL$8)),$AN$8-SQRT((1-AW640)*($AN$8-$AL$8)*($AN$8-$AM$8))),$AM$8)</f>
        <v/>
      </c>
      <c r="AO640">
        <f>IFERROR(IF(AX640&lt;($AM$9-$AL$9)/($AN$9-$AL$9),$AL$9+SQRT(AX640*($AN$9-$AL$9)*($AM$9-$AL$9)),$AN$9-SQRT((1-AX640)*($AN$9-$AL$9)*($AN$9-$AM$9))),$AM$9)</f>
        <v/>
      </c>
      <c r="AP640">
        <f>IFERROR(IF(AY640&lt;($AM$10-$AL$10)/($AN$10-$AL$10),$AL$10+SQRT(AY640*($AN$10-$AL$10)*($AM$10-$AL$10)),$AN$10-SQRT((1-AY640)*($AN$10-$AL$10)*($AN$10-$AM$10))),$AM$10)</f>
        <v/>
      </c>
      <c r="AQ640">
        <f>IFERROR(IF(AZ640&lt;($AM$11-$AL$11)/($AN$11-$AL$11),$AL$11+SQRT(AZ640*($AN$11-$AL$11)*($AM$11-$AL$11)),$AN$11-SQRT((1-AZ640)*($AN$11-$AL$11)*($AN$11-$AM$11))),$AM$11)</f>
        <v/>
      </c>
      <c r="AR640">
        <f>SUMPRODUCT((B24:B31&lt;=$B$6)*(C24:C31*AM640+D24:D31*AO640*$B$8*AQ640)/(1+AL640/100)^B24:B31)+C32*AM640*AP640/(1+AL640/100)^$B$6</f>
        <v/>
      </c>
      <c r="AS640">
        <f>SUMPRODUCT((K24:K26&lt;=$B$6)*(L24:L26*AN640+M24:M26*AO640*$B$8*AQ640)/(1+AL640/100)^K24:K26)+L27*AN640*AP640/(1+AL640/100)^$B$6</f>
        <v/>
      </c>
      <c r="AT640">
        <f>AS640-AR640</f>
        <v/>
      </c>
      <c r="AU640">
        <f>RAND()</f>
        <v/>
      </c>
      <c r="AV640">
        <f>RAND()</f>
        <v/>
      </c>
      <c r="AW640">
        <f>RAND()</f>
        <v/>
      </c>
      <c r="AX640">
        <f>RAND()</f>
        <v/>
      </c>
      <c r="AY640">
        <f>RAND()</f>
        <v/>
      </c>
      <c r="AZ640">
        <f>RAND()</f>
        <v/>
      </c>
    </row>
    <row r="641">
      <c r="AK641" t="n">
        <v>628</v>
      </c>
      <c r="AL641">
        <f>IFERROR(IF(AU641&lt;($AM$6-$AL$6)/($AN$6-$AL$6),$AL$6+SQRT(AU641*($AN$6-$AL$6)*($AM$6-$AL$6)),$AN$6-SQRT((1-AU641)*($AN$6-$AL$6)*($AN$6-$AM$6))),$AM$6)</f>
        <v/>
      </c>
      <c r="AM641">
        <f>IFERROR(IF(AV641&lt;($AM$7-$AL$7)/($AN$7-$AL$7),$AL$7+SQRT(AV641*($AN$7-$AL$7)*($AM$7-$AL$7)),$AN$7-SQRT((1-AV641)*($AN$7-$AL$7)*($AN$7-$AM$7))),$AM$7)</f>
        <v/>
      </c>
      <c r="AN641">
        <f>IFERROR(IF(AW641&lt;($AM$8-$AL$8)/($AN$8-$AL$8),$AL$8+SQRT(AW641*($AN$8-$AL$8)*($AM$8-$AL$8)),$AN$8-SQRT((1-AW641)*($AN$8-$AL$8)*($AN$8-$AM$8))),$AM$8)</f>
        <v/>
      </c>
      <c r="AO641">
        <f>IFERROR(IF(AX641&lt;($AM$9-$AL$9)/($AN$9-$AL$9),$AL$9+SQRT(AX641*($AN$9-$AL$9)*($AM$9-$AL$9)),$AN$9-SQRT((1-AX641)*($AN$9-$AL$9)*($AN$9-$AM$9))),$AM$9)</f>
        <v/>
      </c>
      <c r="AP641">
        <f>IFERROR(IF(AY641&lt;($AM$10-$AL$10)/($AN$10-$AL$10),$AL$10+SQRT(AY641*($AN$10-$AL$10)*($AM$10-$AL$10)),$AN$10-SQRT((1-AY641)*($AN$10-$AL$10)*($AN$10-$AM$10))),$AM$10)</f>
        <v/>
      </c>
      <c r="AQ641">
        <f>IFERROR(IF(AZ641&lt;($AM$11-$AL$11)/($AN$11-$AL$11),$AL$11+SQRT(AZ641*($AN$11-$AL$11)*($AM$11-$AL$11)),$AN$11-SQRT((1-AZ641)*($AN$11-$AL$11)*($AN$11-$AM$11))),$AM$11)</f>
        <v/>
      </c>
      <c r="AR641">
        <f>SUMPRODUCT((B24:B31&lt;=$B$6)*(C24:C31*AM641+D24:D31*AO641*$B$8*AQ641)/(1+AL641/100)^B24:B31)+C32*AM641*AP641/(1+AL641/100)^$B$6</f>
        <v/>
      </c>
      <c r="AS641">
        <f>SUMPRODUCT((K24:K26&lt;=$B$6)*(L24:L26*AN641+M24:M26*AO641*$B$8*AQ641)/(1+AL641/100)^K24:K26)+L27*AN641*AP641/(1+AL641/100)^$B$6</f>
        <v/>
      </c>
      <c r="AT641">
        <f>AS641-AR641</f>
        <v/>
      </c>
      <c r="AU641">
        <f>RAND()</f>
        <v/>
      </c>
      <c r="AV641">
        <f>RAND()</f>
        <v/>
      </c>
      <c r="AW641">
        <f>RAND()</f>
        <v/>
      </c>
      <c r="AX641">
        <f>RAND()</f>
        <v/>
      </c>
      <c r="AY641">
        <f>RAND()</f>
        <v/>
      </c>
      <c r="AZ641">
        <f>RAND()</f>
        <v/>
      </c>
    </row>
    <row r="642">
      <c r="AK642" t="n">
        <v>629</v>
      </c>
      <c r="AL642">
        <f>IFERROR(IF(AU642&lt;($AM$6-$AL$6)/($AN$6-$AL$6),$AL$6+SQRT(AU642*($AN$6-$AL$6)*($AM$6-$AL$6)),$AN$6-SQRT((1-AU642)*($AN$6-$AL$6)*($AN$6-$AM$6))),$AM$6)</f>
        <v/>
      </c>
      <c r="AM642">
        <f>IFERROR(IF(AV642&lt;($AM$7-$AL$7)/($AN$7-$AL$7),$AL$7+SQRT(AV642*($AN$7-$AL$7)*($AM$7-$AL$7)),$AN$7-SQRT((1-AV642)*($AN$7-$AL$7)*($AN$7-$AM$7))),$AM$7)</f>
        <v/>
      </c>
      <c r="AN642">
        <f>IFERROR(IF(AW642&lt;($AM$8-$AL$8)/($AN$8-$AL$8),$AL$8+SQRT(AW642*($AN$8-$AL$8)*($AM$8-$AL$8)),$AN$8-SQRT((1-AW642)*($AN$8-$AL$8)*($AN$8-$AM$8))),$AM$8)</f>
        <v/>
      </c>
      <c r="AO642">
        <f>IFERROR(IF(AX642&lt;($AM$9-$AL$9)/($AN$9-$AL$9),$AL$9+SQRT(AX642*($AN$9-$AL$9)*($AM$9-$AL$9)),$AN$9-SQRT((1-AX642)*($AN$9-$AL$9)*($AN$9-$AM$9))),$AM$9)</f>
        <v/>
      </c>
      <c r="AP642">
        <f>IFERROR(IF(AY642&lt;($AM$10-$AL$10)/($AN$10-$AL$10),$AL$10+SQRT(AY642*($AN$10-$AL$10)*($AM$10-$AL$10)),$AN$10-SQRT((1-AY642)*($AN$10-$AL$10)*($AN$10-$AM$10))),$AM$10)</f>
        <v/>
      </c>
      <c r="AQ642">
        <f>IFERROR(IF(AZ642&lt;($AM$11-$AL$11)/($AN$11-$AL$11),$AL$11+SQRT(AZ642*($AN$11-$AL$11)*($AM$11-$AL$11)),$AN$11-SQRT((1-AZ642)*($AN$11-$AL$11)*($AN$11-$AM$11))),$AM$11)</f>
        <v/>
      </c>
      <c r="AR642">
        <f>SUMPRODUCT((B24:B31&lt;=$B$6)*(C24:C31*AM642+D24:D31*AO642*$B$8*AQ642)/(1+AL642/100)^B24:B31)+C32*AM642*AP642/(1+AL642/100)^$B$6</f>
        <v/>
      </c>
      <c r="AS642">
        <f>SUMPRODUCT((K24:K26&lt;=$B$6)*(L24:L26*AN642+M24:M26*AO642*$B$8*AQ642)/(1+AL642/100)^K24:K26)+L27*AN642*AP642/(1+AL642/100)^$B$6</f>
        <v/>
      </c>
      <c r="AT642">
        <f>AS642-AR642</f>
        <v/>
      </c>
      <c r="AU642">
        <f>RAND()</f>
        <v/>
      </c>
      <c r="AV642">
        <f>RAND()</f>
        <v/>
      </c>
      <c r="AW642">
        <f>RAND()</f>
        <v/>
      </c>
      <c r="AX642">
        <f>RAND()</f>
        <v/>
      </c>
      <c r="AY642">
        <f>RAND()</f>
        <v/>
      </c>
      <c r="AZ642">
        <f>RAND()</f>
        <v/>
      </c>
    </row>
    <row r="643">
      <c r="AK643" t="n">
        <v>630</v>
      </c>
      <c r="AL643">
        <f>IFERROR(IF(AU643&lt;($AM$6-$AL$6)/($AN$6-$AL$6),$AL$6+SQRT(AU643*($AN$6-$AL$6)*($AM$6-$AL$6)),$AN$6-SQRT((1-AU643)*($AN$6-$AL$6)*($AN$6-$AM$6))),$AM$6)</f>
        <v/>
      </c>
      <c r="AM643">
        <f>IFERROR(IF(AV643&lt;($AM$7-$AL$7)/($AN$7-$AL$7),$AL$7+SQRT(AV643*($AN$7-$AL$7)*($AM$7-$AL$7)),$AN$7-SQRT((1-AV643)*($AN$7-$AL$7)*($AN$7-$AM$7))),$AM$7)</f>
        <v/>
      </c>
      <c r="AN643">
        <f>IFERROR(IF(AW643&lt;($AM$8-$AL$8)/($AN$8-$AL$8),$AL$8+SQRT(AW643*($AN$8-$AL$8)*($AM$8-$AL$8)),$AN$8-SQRT((1-AW643)*($AN$8-$AL$8)*($AN$8-$AM$8))),$AM$8)</f>
        <v/>
      </c>
      <c r="AO643">
        <f>IFERROR(IF(AX643&lt;($AM$9-$AL$9)/($AN$9-$AL$9),$AL$9+SQRT(AX643*($AN$9-$AL$9)*($AM$9-$AL$9)),$AN$9-SQRT((1-AX643)*($AN$9-$AL$9)*($AN$9-$AM$9))),$AM$9)</f>
        <v/>
      </c>
      <c r="AP643">
        <f>IFERROR(IF(AY643&lt;($AM$10-$AL$10)/($AN$10-$AL$10),$AL$10+SQRT(AY643*($AN$10-$AL$10)*($AM$10-$AL$10)),$AN$10-SQRT((1-AY643)*($AN$10-$AL$10)*($AN$10-$AM$10))),$AM$10)</f>
        <v/>
      </c>
      <c r="AQ643">
        <f>IFERROR(IF(AZ643&lt;($AM$11-$AL$11)/($AN$11-$AL$11),$AL$11+SQRT(AZ643*($AN$11-$AL$11)*($AM$11-$AL$11)),$AN$11-SQRT((1-AZ643)*($AN$11-$AL$11)*($AN$11-$AM$11))),$AM$11)</f>
        <v/>
      </c>
      <c r="AR643">
        <f>SUMPRODUCT((B24:B31&lt;=$B$6)*(C24:C31*AM643+D24:D31*AO643*$B$8*AQ643)/(1+AL643/100)^B24:B31)+C32*AM643*AP643/(1+AL643/100)^$B$6</f>
        <v/>
      </c>
      <c r="AS643">
        <f>SUMPRODUCT((K24:K26&lt;=$B$6)*(L24:L26*AN643+M24:M26*AO643*$B$8*AQ643)/(1+AL643/100)^K24:K26)+L27*AN643*AP643/(1+AL643/100)^$B$6</f>
        <v/>
      </c>
      <c r="AT643">
        <f>AS643-AR643</f>
        <v/>
      </c>
      <c r="AU643">
        <f>RAND()</f>
        <v/>
      </c>
      <c r="AV643">
        <f>RAND()</f>
        <v/>
      </c>
      <c r="AW643">
        <f>RAND()</f>
        <v/>
      </c>
      <c r="AX643">
        <f>RAND()</f>
        <v/>
      </c>
      <c r="AY643">
        <f>RAND()</f>
        <v/>
      </c>
      <c r="AZ643">
        <f>RAND()</f>
        <v/>
      </c>
    </row>
    <row r="644">
      <c r="AK644" t="n">
        <v>631</v>
      </c>
      <c r="AL644">
        <f>IFERROR(IF(AU644&lt;($AM$6-$AL$6)/($AN$6-$AL$6),$AL$6+SQRT(AU644*($AN$6-$AL$6)*($AM$6-$AL$6)),$AN$6-SQRT((1-AU644)*($AN$6-$AL$6)*($AN$6-$AM$6))),$AM$6)</f>
        <v/>
      </c>
      <c r="AM644">
        <f>IFERROR(IF(AV644&lt;($AM$7-$AL$7)/($AN$7-$AL$7),$AL$7+SQRT(AV644*($AN$7-$AL$7)*($AM$7-$AL$7)),$AN$7-SQRT((1-AV644)*($AN$7-$AL$7)*($AN$7-$AM$7))),$AM$7)</f>
        <v/>
      </c>
      <c r="AN644">
        <f>IFERROR(IF(AW644&lt;($AM$8-$AL$8)/($AN$8-$AL$8),$AL$8+SQRT(AW644*($AN$8-$AL$8)*($AM$8-$AL$8)),$AN$8-SQRT((1-AW644)*($AN$8-$AL$8)*($AN$8-$AM$8))),$AM$8)</f>
        <v/>
      </c>
      <c r="AO644">
        <f>IFERROR(IF(AX644&lt;($AM$9-$AL$9)/($AN$9-$AL$9),$AL$9+SQRT(AX644*($AN$9-$AL$9)*($AM$9-$AL$9)),$AN$9-SQRT((1-AX644)*($AN$9-$AL$9)*($AN$9-$AM$9))),$AM$9)</f>
        <v/>
      </c>
      <c r="AP644">
        <f>IFERROR(IF(AY644&lt;($AM$10-$AL$10)/($AN$10-$AL$10),$AL$10+SQRT(AY644*($AN$10-$AL$10)*($AM$10-$AL$10)),$AN$10-SQRT((1-AY644)*($AN$10-$AL$10)*($AN$10-$AM$10))),$AM$10)</f>
        <v/>
      </c>
      <c r="AQ644">
        <f>IFERROR(IF(AZ644&lt;($AM$11-$AL$11)/($AN$11-$AL$11),$AL$11+SQRT(AZ644*($AN$11-$AL$11)*($AM$11-$AL$11)),$AN$11-SQRT((1-AZ644)*($AN$11-$AL$11)*($AN$11-$AM$11))),$AM$11)</f>
        <v/>
      </c>
      <c r="AR644">
        <f>SUMPRODUCT((B24:B31&lt;=$B$6)*(C24:C31*AM644+D24:D31*AO644*$B$8*AQ644)/(1+AL644/100)^B24:B31)+C32*AM644*AP644/(1+AL644/100)^$B$6</f>
        <v/>
      </c>
      <c r="AS644">
        <f>SUMPRODUCT((K24:K26&lt;=$B$6)*(L24:L26*AN644+M24:M26*AO644*$B$8*AQ644)/(1+AL644/100)^K24:K26)+L27*AN644*AP644/(1+AL644/100)^$B$6</f>
        <v/>
      </c>
      <c r="AT644">
        <f>AS644-AR644</f>
        <v/>
      </c>
      <c r="AU644">
        <f>RAND()</f>
        <v/>
      </c>
      <c r="AV644">
        <f>RAND()</f>
        <v/>
      </c>
      <c r="AW644">
        <f>RAND()</f>
        <v/>
      </c>
      <c r="AX644">
        <f>RAND()</f>
        <v/>
      </c>
      <c r="AY644">
        <f>RAND()</f>
        <v/>
      </c>
      <c r="AZ644">
        <f>RAND()</f>
        <v/>
      </c>
    </row>
    <row r="645">
      <c r="AK645" t="n">
        <v>632</v>
      </c>
      <c r="AL645">
        <f>IFERROR(IF(AU645&lt;($AM$6-$AL$6)/($AN$6-$AL$6),$AL$6+SQRT(AU645*($AN$6-$AL$6)*($AM$6-$AL$6)),$AN$6-SQRT((1-AU645)*($AN$6-$AL$6)*($AN$6-$AM$6))),$AM$6)</f>
        <v/>
      </c>
      <c r="AM645">
        <f>IFERROR(IF(AV645&lt;($AM$7-$AL$7)/($AN$7-$AL$7),$AL$7+SQRT(AV645*($AN$7-$AL$7)*($AM$7-$AL$7)),$AN$7-SQRT((1-AV645)*($AN$7-$AL$7)*($AN$7-$AM$7))),$AM$7)</f>
        <v/>
      </c>
      <c r="AN645">
        <f>IFERROR(IF(AW645&lt;($AM$8-$AL$8)/($AN$8-$AL$8),$AL$8+SQRT(AW645*($AN$8-$AL$8)*($AM$8-$AL$8)),$AN$8-SQRT((1-AW645)*($AN$8-$AL$8)*($AN$8-$AM$8))),$AM$8)</f>
        <v/>
      </c>
      <c r="AO645">
        <f>IFERROR(IF(AX645&lt;($AM$9-$AL$9)/($AN$9-$AL$9),$AL$9+SQRT(AX645*($AN$9-$AL$9)*($AM$9-$AL$9)),$AN$9-SQRT((1-AX645)*($AN$9-$AL$9)*($AN$9-$AM$9))),$AM$9)</f>
        <v/>
      </c>
      <c r="AP645">
        <f>IFERROR(IF(AY645&lt;($AM$10-$AL$10)/($AN$10-$AL$10),$AL$10+SQRT(AY645*($AN$10-$AL$10)*($AM$10-$AL$10)),$AN$10-SQRT((1-AY645)*($AN$10-$AL$10)*($AN$10-$AM$10))),$AM$10)</f>
        <v/>
      </c>
      <c r="AQ645">
        <f>IFERROR(IF(AZ645&lt;($AM$11-$AL$11)/($AN$11-$AL$11),$AL$11+SQRT(AZ645*($AN$11-$AL$11)*($AM$11-$AL$11)),$AN$11-SQRT((1-AZ645)*($AN$11-$AL$11)*($AN$11-$AM$11))),$AM$11)</f>
        <v/>
      </c>
      <c r="AR645">
        <f>SUMPRODUCT((B24:B31&lt;=$B$6)*(C24:C31*AM645+D24:D31*AO645*$B$8*AQ645)/(1+AL645/100)^B24:B31)+C32*AM645*AP645/(1+AL645/100)^$B$6</f>
        <v/>
      </c>
      <c r="AS645">
        <f>SUMPRODUCT((K24:K26&lt;=$B$6)*(L24:L26*AN645+M24:M26*AO645*$B$8*AQ645)/(1+AL645/100)^K24:K26)+L27*AN645*AP645/(1+AL645/100)^$B$6</f>
        <v/>
      </c>
      <c r="AT645">
        <f>AS645-AR645</f>
        <v/>
      </c>
      <c r="AU645">
        <f>RAND()</f>
        <v/>
      </c>
      <c r="AV645">
        <f>RAND()</f>
        <v/>
      </c>
      <c r="AW645">
        <f>RAND()</f>
        <v/>
      </c>
      <c r="AX645">
        <f>RAND()</f>
        <v/>
      </c>
      <c r="AY645">
        <f>RAND()</f>
        <v/>
      </c>
      <c r="AZ645">
        <f>RAND()</f>
        <v/>
      </c>
    </row>
    <row r="646">
      <c r="AK646" t="n">
        <v>633</v>
      </c>
      <c r="AL646">
        <f>IFERROR(IF(AU646&lt;($AM$6-$AL$6)/($AN$6-$AL$6),$AL$6+SQRT(AU646*($AN$6-$AL$6)*($AM$6-$AL$6)),$AN$6-SQRT((1-AU646)*($AN$6-$AL$6)*($AN$6-$AM$6))),$AM$6)</f>
        <v/>
      </c>
      <c r="AM646">
        <f>IFERROR(IF(AV646&lt;($AM$7-$AL$7)/($AN$7-$AL$7),$AL$7+SQRT(AV646*($AN$7-$AL$7)*($AM$7-$AL$7)),$AN$7-SQRT((1-AV646)*($AN$7-$AL$7)*($AN$7-$AM$7))),$AM$7)</f>
        <v/>
      </c>
      <c r="AN646">
        <f>IFERROR(IF(AW646&lt;($AM$8-$AL$8)/($AN$8-$AL$8),$AL$8+SQRT(AW646*($AN$8-$AL$8)*($AM$8-$AL$8)),$AN$8-SQRT((1-AW646)*($AN$8-$AL$8)*($AN$8-$AM$8))),$AM$8)</f>
        <v/>
      </c>
      <c r="AO646">
        <f>IFERROR(IF(AX646&lt;($AM$9-$AL$9)/($AN$9-$AL$9),$AL$9+SQRT(AX646*($AN$9-$AL$9)*($AM$9-$AL$9)),$AN$9-SQRT((1-AX646)*($AN$9-$AL$9)*($AN$9-$AM$9))),$AM$9)</f>
        <v/>
      </c>
      <c r="AP646">
        <f>IFERROR(IF(AY646&lt;($AM$10-$AL$10)/($AN$10-$AL$10),$AL$10+SQRT(AY646*($AN$10-$AL$10)*($AM$10-$AL$10)),$AN$10-SQRT((1-AY646)*($AN$10-$AL$10)*($AN$10-$AM$10))),$AM$10)</f>
        <v/>
      </c>
      <c r="AQ646">
        <f>IFERROR(IF(AZ646&lt;($AM$11-$AL$11)/($AN$11-$AL$11),$AL$11+SQRT(AZ646*($AN$11-$AL$11)*($AM$11-$AL$11)),$AN$11-SQRT((1-AZ646)*($AN$11-$AL$11)*($AN$11-$AM$11))),$AM$11)</f>
        <v/>
      </c>
      <c r="AR646">
        <f>SUMPRODUCT((B24:B31&lt;=$B$6)*(C24:C31*AM646+D24:D31*AO646*$B$8*AQ646)/(1+AL646/100)^B24:B31)+C32*AM646*AP646/(1+AL646/100)^$B$6</f>
        <v/>
      </c>
      <c r="AS646">
        <f>SUMPRODUCT((K24:K26&lt;=$B$6)*(L24:L26*AN646+M24:M26*AO646*$B$8*AQ646)/(1+AL646/100)^K24:K26)+L27*AN646*AP646/(1+AL646/100)^$B$6</f>
        <v/>
      </c>
      <c r="AT646">
        <f>AS646-AR646</f>
        <v/>
      </c>
      <c r="AU646">
        <f>RAND()</f>
        <v/>
      </c>
      <c r="AV646">
        <f>RAND()</f>
        <v/>
      </c>
      <c r="AW646">
        <f>RAND()</f>
        <v/>
      </c>
      <c r="AX646">
        <f>RAND()</f>
        <v/>
      </c>
      <c r="AY646">
        <f>RAND()</f>
        <v/>
      </c>
      <c r="AZ646">
        <f>RAND()</f>
        <v/>
      </c>
    </row>
    <row r="647">
      <c r="AK647" t="n">
        <v>634</v>
      </c>
      <c r="AL647">
        <f>IFERROR(IF(AU647&lt;($AM$6-$AL$6)/($AN$6-$AL$6),$AL$6+SQRT(AU647*($AN$6-$AL$6)*($AM$6-$AL$6)),$AN$6-SQRT((1-AU647)*($AN$6-$AL$6)*($AN$6-$AM$6))),$AM$6)</f>
        <v/>
      </c>
      <c r="AM647">
        <f>IFERROR(IF(AV647&lt;($AM$7-$AL$7)/($AN$7-$AL$7),$AL$7+SQRT(AV647*($AN$7-$AL$7)*($AM$7-$AL$7)),$AN$7-SQRT((1-AV647)*($AN$7-$AL$7)*($AN$7-$AM$7))),$AM$7)</f>
        <v/>
      </c>
      <c r="AN647">
        <f>IFERROR(IF(AW647&lt;($AM$8-$AL$8)/($AN$8-$AL$8),$AL$8+SQRT(AW647*($AN$8-$AL$8)*($AM$8-$AL$8)),$AN$8-SQRT((1-AW647)*($AN$8-$AL$8)*($AN$8-$AM$8))),$AM$8)</f>
        <v/>
      </c>
      <c r="AO647">
        <f>IFERROR(IF(AX647&lt;($AM$9-$AL$9)/($AN$9-$AL$9),$AL$9+SQRT(AX647*($AN$9-$AL$9)*($AM$9-$AL$9)),$AN$9-SQRT((1-AX647)*($AN$9-$AL$9)*($AN$9-$AM$9))),$AM$9)</f>
        <v/>
      </c>
      <c r="AP647">
        <f>IFERROR(IF(AY647&lt;($AM$10-$AL$10)/($AN$10-$AL$10),$AL$10+SQRT(AY647*($AN$10-$AL$10)*($AM$10-$AL$10)),$AN$10-SQRT((1-AY647)*($AN$10-$AL$10)*($AN$10-$AM$10))),$AM$10)</f>
        <v/>
      </c>
      <c r="AQ647">
        <f>IFERROR(IF(AZ647&lt;($AM$11-$AL$11)/($AN$11-$AL$11),$AL$11+SQRT(AZ647*($AN$11-$AL$11)*($AM$11-$AL$11)),$AN$11-SQRT((1-AZ647)*($AN$11-$AL$11)*($AN$11-$AM$11))),$AM$11)</f>
        <v/>
      </c>
      <c r="AR647">
        <f>SUMPRODUCT((B24:B31&lt;=$B$6)*(C24:C31*AM647+D24:D31*AO647*$B$8*AQ647)/(1+AL647/100)^B24:B31)+C32*AM647*AP647/(1+AL647/100)^$B$6</f>
        <v/>
      </c>
      <c r="AS647">
        <f>SUMPRODUCT((K24:K26&lt;=$B$6)*(L24:L26*AN647+M24:M26*AO647*$B$8*AQ647)/(1+AL647/100)^K24:K26)+L27*AN647*AP647/(1+AL647/100)^$B$6</f>
        <v/>
      </c>
      <c r="AT647">
        <f>AS647-AR647</f>
        <v/>
      </c>
      <c r="AU647">
        <f>RAND()</f>
        <v/>
      </c>
      <c r="AV647">
        <f>RAND()</f>
        <v/>
      </c>
      <c r="AW647">
        <f>RAND()</f>
        <v/>
      </c>
      <c r="AX647">
        <f>RAND()</f>
        <v/>
      </c>
      <c r="AY647">
        <f>RAND()</f>
        <v/>
      </c>
      <c r="AZ647">
        <f>RAND()</f>
        <v/>
      </c>
    </row>
    <row r="648">
      <c r="AK648" t="n">
        <v>635</v>
      </c>
      <c r="AL648">
        <f>IFERROR(IF(AU648&lt;($AM$6-$AL$6)/($AN$6-$AL$6),$AL$6+SQRT(AU648*($AN$6-$AL$6)*($AM$6-$AL$6)),$AN$6-SQRT((1-AU648)*($AN$6-$AL$6)*($AN$6-$AM$6))),$AM$6)</f>
        <v/>
      </c>
      <c r="AM648">
        <f>IFERROR(IF(AV648&lt;($AM$7-$AL$7)/($AN$7-$AL$7),$AL$7+SQRT(AV648*($AN$7-$AL$7)*($AM$7-$AL$7)),$AN$7-SQRT((1-AV648)*($AN$7-$AL$7)*($AN$7-$AM$7))),$AM$7)</f>
        <v/>
      </c>
      <c r="AN648">
        <f>IFERROR(IF(AW648&lt;($AM$8-$AL$8)/($AN$8-$AL$8),$AL$8+SQRT(AW648*($AN$8-$AL$8)*($AM$8-$AL$8)),$AN$8-SQRT((1-AW648)*($AN$8-$AL$8)*($AN$8-$AM$8))),$AM$8)</f>
        <v/>
      </c>
      <c r="AO648">
        <f>IFERROR(IF(AX648&lt;($AM$9-$AL$9)/($AN$9-$AL$9),$AL$9+SQRT(AX648*($AN$9-$AL$9)*($AM$9-$AL$9)),$AN$9-SQRT((1-AX648)*($AN$9-$AL$9)*($AN$9-$AM$9))),$AM$9)</f>
        <v/>
      </c>
      <c r="AP648">
        <f>IFERROR(IF(AY648&lt;($AM$10-$AL$10)/($AN$10-$AL$10),$AL$10+SQRT(AY648*($AN$10-$AL$10)*($AM$10-$AL$10)),$AN$10-SQRT((1-AY648)*($AN$10-$AL$10)*($AN$10-$AM$10))),$AM$10)</f>
        <v/>
      </c>
      <c r="AQ648">
        <f>IFERROR(IF(AZ648&lt;($AM$11-$AL$11)/($AN$11-$AL$11),$AL$11+SQRT(AZ648*($AN$11-$AL$11)*($AM$11-$AL$11)),$AN$11-SQRT((1-AZ648)*($AN$11-$AL$11)*($AN$11-$AM$11))),$AM$11)</f>
        <v/>
      </c>
      <c r="AR648">
        <f>SUMPRODUCT((B24:B31&lt;=$B$6)*(C24:C31*AM648+D24:D31*AO648*$B$8*AQ648)/(1+AL648/100)^B24:B31)+C32*AM648*AP648/(1+AL648/100)^$B$6</f>
        <v/>
      </c>
      <c r="AS648">
        <f>SUMPRODUCT((K24:K26&lt;=$B$6)*(L24:L26*AN648+M24:M26*AO648*$B$8*AQ648)/(1+AL648/100)^K24:K26)+L27*AN648*AP648/(1+AL648/100)^$B$6</f>
        <v/>
      </c>
      <c r="AT648">
        <f>AS648-AR648</f>
        <v/>
      </c>
      <c r="AU648">
        <f>RAND()</f>
        <v/>
      </c>
      <c r="AV648">
        <f>RAND()</f>
        <v/>
      </c>
      <c r="AW648">
        <f>RAND()</f>
        <v/>
      </c>
      <c r="AX648">
        <f>RAND()</f>
        <v/>
      </c>
      <c r="AY648">
        <f>RAND()</f>
        <v/>
      </c>
      <c r="AZ648">
        <f>RAND()</f>
        <v/>
      </c>
    </row>
    <row r="649">
      <c r="AK649" t="n">
        <v>636</v>
      </c>
      <c r="AL649">
        <f>IFERROR(IF(AU649&lt;($AM$6-$AL$6)/($AN$6-$AL$6),$AL$6+SQRT(AU649*($AN$6-$AL$6)*($AM$6-$AL$6)),$AN$6-SQRT((1-AU649)*($AN$6-$AL$6)*($AN$6-$AM$6))),$AM$6)</f>
        <v/>
      </c>
      <c r="AM649">
        <f>IFERROR(IF(AV649&lt;($AM$7-$AL$7)/($AN$7-$AL$7),$AL$7+SQRT(AV649*($AN$7-$AL$7)*($AM$7-$AL$7)),$AN$7-SQRT((1-AV649)*($AN$7-$AL$7)*($AN$7-$AM$7))),$AM$7)</f>
        <v/>
      </c>
      <c r="AN649">
        <f>IFERROR(IF(AW649&lt;($AM$8-$AL$8)/($AN$8-$AL$8),$AL$8+SQRT(AW649*($AN$8-$AL$8)*($AM$8-$AL$8)),$AN$8-SQRT((1-AW649)*($AN$8-$AL$8)*($AN$8-$AM$8))),$AM$8)</f>
        <v/>
      </c>
      <c r="AO649">
        <f>IFERROR(IF(AX649&lt;($AM$9-$AL$9)/($AN$9-$AL$9),$AL$9+SQRT(AX649*($AN$9-$AL$9)*($AM$9-$AL$9)),$AN$9-SQRT((1-AX649)*($AN$9-$AL$9)*($AN$9-$AM$9))),$AM$9)</f>
        <v/>
      </c>
      <c r="AP649">
        <f>IFERROR(IF(AY649&lt;($AM$10-$AL$10)/($AN$10-$AL$10),$AL$10+SQRT(AY649*($AN$10-$AL$10)*($AM$10-$AL$10)),$AN$10-SQRT((1-AY649)*($AN$10-$AL$10)*($AN$10-$AM$10))),$AM$10)</f>
        <v/>
      </c>
      <c r="AQ649">
        <f>IFERROR(IF(AZ649&lt;($AM$11-$AL$11)/($AN$11-$AL$11),$AL$11+SQRT(AZ649*($AN$11-$AL$11)*($AM$11-$AL$11)),$AN$11-SQRT((1-AZ649)*($AN$11-$AL$11)*($AN$11-$AM$11))),$AM$11)</f>
        <v/>
      </c>
      <c r="AR649">
        <f>SUMPRODUCT((B24:B31&lt;=$B$6)*(C24:C31*AM649+D24:D31*AO649*$B$8*AQ649)/(1+AL649/100)^B24:B31)+C32*AM649*AP649/(1+AL649/100)^$B$6</f>
        <v/>
      </c>
      <c r="AS649">
        <f>SUMPRODUCT((K24:K26&lt;=$B$6)*(L24:L26*AN649+M24:M26*AO649*$B$8*AQ649)/(1+AL649/100)^K24:K26)+L27*AN649*AP649/(1+AL649/100)^$B$6</f>
        <v/>
      </c>
      <c r="AT649">
        <f>AS649-AR649</f>
        <v/>
      </c>
      <c r="AU649">
        <f>RAND()</f>
        <v/>
      </c>
      <c r="AV649">
        <f>RAND()</f>
        <v/>
      </c>
      <c r="AW649">
        <f>RAND()</f>
        <v/>
      </c>
      <c r="AX649">
        <f>RAND()</f>
        <v/>
      </c>
      <c r="AY649">
        <f>RAND()</f>
        <v/>
      </c>
      <c r="AZ649">
        <f>RAND()</f>
        <v/>
      </c>
    </row>
    <row r="650">
      <c r="AK650" t="n">
        <v>637</v>
      </c>
      <c r="AL650">
        <f>IFERROR(IF(AU650&lt;($AM$6-$AL$6)/($AN$6-$AL$6),$AL$6+SQRT(AU650*($AN$6-$AL$6)*($AM$6-$AL$6)),$AN$6-SQRT((1-AU650)*($AN$6-$AL$6)*($AN$6-$AM$6))),$AM$6)</f>
        <v/>
      </c>
      <c r="AM650">
        <f>IFERROR(IF(AV650&lt;($AM$7-$AL$7)/($AN$7-$AL$7),$AL$7+SQRT(AV650*($AN$7-$AL$7)*($AM$7-$AL$7)),$AN$7-SQRT((1-AV650)*($AN$7-$AL$7)*($AN$7-$AM$7))),$AM$7)</f>
        <v/>
      </c>
      <c r="AN650">
        <f>IFERROR(IF(AW650&lt;($AM$8-$AL$8)/($AN$8-$AL$8),$AL$8+SQRT(AW650*($AN$8-$AL$8)*($AM$8-$AL$8)),$AN$8-SQRT((1-AW650)*($AN$8-$AL$8)*($AN$8-$AM$8))),$AM$8)</f>
        <v/>
      </c>
      <c r="AO650">
        <f>IFERROR(IF(AX650&lt;($AM$9-$AL$9)/($AN$9-$AL$9),$AL$9+SQRT(AX650*($AN$9-$AL$9)*($AM$9-$AL$9)),$AN$9-SQRT((1-AX650)*($AN$9-$AL$9)*($AN$9-$AM$9))),$AM$9)</f>
        <v/>
      </c>
      <c r="AP650">
        <f>IFERROR(IF(AY650&lt;($AM$10-$AL$10)/($AN$10-$AL$10),$AL$10+SQRT(AY650*($AN$10-$AL$10)*($AM$10-$AL$10)),$AN$10-SQRT((1-AY650)*($AN$10-$AL$10)*($AN$10-$AM$10))),$AM$10)</f>
        <v/>
      </c>
      <c r="AQ650">
        <f>IFERROR(IF(AZ650&lt;($AM$11-$AL$11)/($AN$11-$AL$11),$AL$11+SQRT(AZ650*($AN$11-$AL$11)*($AM$11-$AL$11)),$AN$11-SQRT((1-AZ650)*($AN$11-$AL$11)*($AN$11-$AM$11))),$AM$11)</f>
        <v/>
      </c>
      <c r="AR650">
        <f>SUMPRODUCT((B24:B31&lt;=$B$6)*(C24:C31*AM650+D24:D31*AO650*$B$8*AQ650)/(1+AL650/100)^B24:B31)+C32*AM650*AP650/(1+AL650/100)^$B$6</f>
        <v/>
      </c>
      <c r="AS650">
        <f>SUMPRODUCT((K24:K26&lt;=$B$6)*(L24:L26*AN650+M24:M26*AO650*$B$8*AQ650)/(1+AL650/100)^K24:K26)+L27*AN650*AP650/(1+AL650/100)^$B$6</f>
        <v/>
      </c>
      <c r="AT650">
        <f>AS650-AR650</f>
        <v/>
      </c>
      <c r="AU650">
        <f>RAND()</f>
        <v/>
      </c>
      <c r="AV650">
        <f>RAND()</f>
        <v/>
      </c>
      <c r="AW650">
        <f>RAND()</f>
        <v/>
      </c>
      <c r="AX650">
        <f>RAND()</f>
        <v/>
      </c>
      <c r="AY650">
        <f>RAND()</f>
        <v/>
      </c>
      <c r="AZ650">
        <f>RAND()</f>
        <v/>
      </c>
    </row>
    <row r="651">
      <c r="AK651" t="n">
        <v>638</v>
      </c>
      <c r="AL651">
        <f>IFERROR(IF(AU651&lt;($AM$6-$AL$6)/($AN$6-$AL$6),$AL$6+SQRT(AU651*($AN$6-$AL$6)*($AM$6-$AL$6)),$AN$6-SQRT((1-AU651)*($AN$6-$AL$6)*($AN$6-$AM$6))),$AM$6)</f>
        <v/>
      </c>
      <c r="AM651">
        <f>IFERROR(IF(AV651&lt;($AM$7-$AL$7)/($AN$7-$AL$7),$AL$7+SQRT(AV651*($AN$7-$AL$7)*($AM$7-$AL$7)),$AN$7-SQRT((1-AV651)*($AN$7-$AL$7)*($AN$7-$AM$7))),$AM$7)</f>
        <v/>
      </c>
      <c r="AN651">
        <f>IFERROR(IF(AW651&lt;($AM$8-$AL$8)/($AN$8-$AL$8),$AL$8+SQRT(AW651*($AN$8-$AL$8)*($AM$8-$AL$8)),$AN$8-SQRT((1-AW651)*($AN$8-$AL$8)*($AN$8-$AM$8))),$AM$8)</f>
        <v/>
      </c>
      <c r="AO651">
        <f>IFERROR(IF(AX651&lt;($AM$9-$AL$9)/($AN$9-$AL$9),$AL$9+SQRT(AX651*($AN$9-$AL$9)*($AM$9-$AL$9)),$AN$9-SQRT((1-AX651)*($AN$9-$AL$9)*($AN$9-$AM$9))),$AM$9)</f>
        <v/>
      </c>
      <c r="AP651">
        <f>IFERROR(IF(AY651&lt;($AM$10-$AL$10)/($AN$10-$AL$10),$AL$10+SQRT(AY651*($AN$10-$AL$10)*($AM$10-$AL$10)),$AN$10-SQRT((1-AY651)*($AN$10-$AL$10)*($AN$10-$AM$10))),$AM$10)</f>
        <v/>
      </c>
      <c r="AQ651">
        <f>IFERROR(IF(AZ651&lt;($AM$11-$AL$11)/($AN$11-$AL$11),$AL$11+SQRT(AZ651*($AN$11-$AL$11)*($AM$11-$AL$11)),$AN$11-SQRT((1-AZ651)*($AN$11-$AL$11)*($AN$11-$AM$11))),$AM$11)</f>
        <v/>
      </c>
      <c r="AR651">
        <f>SUMPRODUCT((B24:B31&lt;=$B$6)*(C24:C31*AM651+D24:D31*AO651*$B$8*AQ651)/(1+AL651/100)^B24:B31)+C32*AM651*AP651/(1+AL651/100)^$B$6</f>
        <v/>
      </c>
      <c r="AS651">
        <f>SUMPRODUCT((K24:K26&lt;=$B$6)*(L24:L26*AN651+M24:M26*AO651*$B$8*AQ651)/(1+AL651/100)^K24:K26)+L27*AN651*AP651/(1+AL651/100)^$B$6</f>
        <v/>
      </c>
      <c r="AT651">
        <f>AS651-AR651</f>
        <v/>
      </c>
      <c r="AU651">
        <f>RAND()</f>
        <v/>
      </c>
      <c r="AV651">
        <f>RAND()</f>
        <v/>
      </c>
      <c r="AW651">
        <f>RAND()</f>
        <v/>
      </c>
      <c r="AX651">
        <f>RAND()</f>
        <v/>
      </c>
      <c r="AY651">
        <f>RAND()</f>
        <v/>
      </c>
      <c r="AZ651">
        <f>RAND()</f>
        <v/>
      </c>
    </row>
    <row r="652">
      <c r="AK652" t="n">
        <v>639</v>
      </c>
      <c r="AL652">
        <f>IFERROR(IF(AU652&lt;($AM$6-$AL$6)/($AN$6-$AL$6),$AL$6+SQRT(AU652*($AN$6-$AL$6)*($AM$6-$AL$6)),$AN$6-SQRT((1-AU652)*($AN$6-$AL$6)*($AN$6-$AM$6))),$AM$6)</f>
        <v/>
      </c>
      <c r="AM652">
        <f>IFERROR(IF(AV652&lt;($AM$7-$AL$7)/($AN$7-$AL$7),$AL$7+SQRT(AV652*($AN$7-$AL$7)*($AM$7-$AL$7)),$AN$7-SQRT((1-AV652)*($AN$7-$AL$7)*($AN$7-$AM$7))),$AM$7)</f>
        <v/>
      </c>
      <c r="AN652">
        <f>IFERROR(IF(AW652&lt;($AM$8-$AL$8)/($AN$8-$AL$8),$AL$8+SQRT(AW652*($AN$8-$AL$8)*($AM$8-$AL$8)),$AN$8-SQRT((1-AW652)*($AN$8-$AL$8)*($AN$8-$AM$8))),$AM$8)</f>
        <v/>
      </c>
      <c r="AO652">
        <f>IFERROR(IF(AX652&lt;($AM$9-$AL$9)/($AN$9-$AL$9),$AL$9+SQRT(AX652*($AN$9-$AL$9)*($AM$9-$AL$9)),$AN$9-SQRT((1-AX652)*($AN$9-$AL$9)*($AN$9-$AM$9))),$AM$9)</f>
        <v/>
      </c>
      <c r="AP652">
        <f>IFERROR(IF(AY652&lt;($AM$10-$AL$10)/($AN$10-$AL$10),$AL$10+SQRT(AY652*($AN$10-$AL$10)*($AM$10-$AL$10)),$AN$10-SQRT((1-AY652)*($AN$10-$AL$10)*($AN$10-$AM$10))),$AM$10)</f>
        <v/>
      </c>
      <c r="AQ652">
        <f>IFERROR(IF(AZ652&lt;($AM$11-$AL$11)/($AN$11-$AL$11),$AL$11+SQRT(AZ652*($AN$11-$AL$11)*($AM$11-$AL$11)),$AN$11-SQRT((1-AZ652)*($AN$11-$AL$11)*($AN$11-$AM$11))),$AM$11)</f>
        <v/>
      </c>
      <c r="AR652">
        <f>SUMPRODUCT((B24:B31&lt;=$B$6)*(C24:C31*AM652+D24:D31*AO652*$B$8*AQ652)/(1+AL652/100)^B24:B31)+C32*AM652*AP652/(1+AL652/100)^$B$6</f>
        <v/>
      </c>
      <c r="AS652">
        <f>SUMPRODUCT((K24:K26&lt;=$B$6)*(L24:L26*AN652+M24:M26*AO652*$B$8*AQ652)/(1+AL652/100)^K24:K26)+L27*AN652*AP652/(1+AL652/100)^$B$6</f>
        <v/>
      </c>
      <c r="AT652">
        <f>AS652-AR652</f>
        <v/>
      </c>
      <c r="AU652">
        <f>RAND()</f>
        <v/>
      </c>
      <c r="AV652">
        <f>RAND()</f>
        <v/>
      </c>
      <c r="AW652">
        <f>RAND()</f>
        <v/>
      </c>
      <c r="AX652">
        <f>RAND()</f>
        <v/>
      </c>
      <c r="AY652">
        <f>RAND()</f>
        <v/>
      </c>
      <c r="AZ652">
        <f>RAND()</f>
        <v/>
      </c>
    </row>
    <row r="653">
      <c r="AK653" t="n">
        <v>640</v>
      </c>
      <c r="AL653">
        <f>IFERROR(IF(AU653&lt;($AM$6-$AL$6)/($AN$6-$AL$6),$AL$6+SQRT(AU653*($AN$6-$AL$6)*($AM$6-$AL$6)),$AN$6-SQRT((1-AU653)*($AN$6-$AL$6)*($AN$6-$AM$6))),$AM$6)</f>
        <v/>
      </c>
      <c r="AM653">
        <f>IFERROR(IF(AV653&lt;($AM$7-$AL$7)/($AN$7-$AL$7),$AL$7+SQRT(AV653*($AN$7-$AL$7)*($AM$7-$AL$7)),$AN$7-SQRT((1-AV653)*($AN$7-$AL$7)*($AN$7-$AM$7))),$AM$7)</f>
        <v/>
      </c>
      <c r="AN653">
        <f>IFERROR(IF(AW653&lt;($AM$8-$AL$8)/($AN$8-$AL$8),$AL$8+SQRT(AW653*($AN$8-$AL$8)*($AM$8-$AL$8)),$AN$8-SQRT((1-AW653)*($AN$8-$AL$8)*($AN$8-$AM$8))),$AM$8)</f>
        <v/>
      </c>
      <c r="AO653">
        <f>IFERROR(IF(AX653&lt;($AM$9-$AL$9)/($AN$9-$AL$9),$AL$9+SQRT(AX653*($AN$9-$AL$9)*($AM$9-$AL$9)),$AN$9-SQRT((1-AX653)*($AN$9-$AL$9)*($AN$9-$AM$9))),$AM$9)</f>
        <v/>
      </c>
      <c r="AP653">
        <f>IFERROR(IF(AY653&lt;($AM$10-$AL$10)/($AN$10-$AL$10),$AL$10+SQRT(AY653*($AN$10-$AL$10)*($AM$10-$AL$10)),$AN$10-SQRT((1-AY653)*($AN$10-$AL$10)*($AN$10-$AM$10))),$AM$10)</f>
        <v/>
      </c>
      <c r="AQ653">
        <f>IFERROR(IF(AZ653&lt;($AM$11-$AL$11)/($AN$11-$AL$11),$AL$11+SQRT(AZ653*($AN$11-$AL$11)*($AM$11-$AL$11)),$AN$11-SQRT((1-AZ653)*($AN$11-$AL$11)*($AN$11-$AM$11))),$AM$11)</f>
        <v/>
      </c>
      <c r="AR653">
        <f>SUMPRODUCT((B24:B31&lt;=$B$6)*(C24:C31*AM653+D24:D31*AO653*$B$8*AQ653)/(1+AL653/100)^B24:B31)+C32*AM653*AP653/(1+AL653/100)^$B$6</f>
        <v/>
      </c>
      <c r="AS653">
        <f>SUMPRODUCT((K24:K26&lt;=$B$6)*(L24:L26*AN653+M24:M26*AO653*$B$8*AQ653)/(1+AL653/100)^K24:K26)+L27*AN653*AP653/(1+AL653/100)^$B$6</f>
        <v/>
      </c>
      <c r="AT653">
        <f>AS653-AR653</f>
        <v/>
      </c>
      <c r="AU653">
        <f>RAND()</f>
        <v/>
      </c>
      <c r="AV653">
        <f>RAND()</f>
        <v/>
      </c>
      <c r="AW653">
        <f>RAND()</f>
        <v/>
      </c>
      <c r="AX653">
        <f>RAND()</f>
        <v/>
      </c>
      <c r="AY653">
        <f>RAND()</f>
        <v/>
      </c>
      <c r="AZ653">
        <f>RAND()</f>
        <v/>
      </c>
    </row>
    <row r="654">
      <c r="AK654" t="n">
        <v>641</v>
      </c>
      <c r="AL654">
        <f>IFERROR(IF(AU654&lt;($AM$6-$AL$6)/($AN$6-$AL$6),$AL$6+SQRT(AU654*($AN$6-$AL$6)*($AM$6-$AL$6)),$AN$6-SQRT((1-AU654)*($AN$6-$AL$6)*($AN$6-$AM$6))),$AM$6)</f>
        <v/>
      </c>
      <c r="AM654">
        <f>IFERROR(IF(AV654&lt;($AM$7-$AL$7)/($AN$7-$AL$7),$AL$7+SQRT(AV654*($AN$7-$AL$7)*($AM$7-$AL$7)),$AN$7-SQRT((1-AV654)*($AN$7-$AL$7)*($AN$7-$AM$7))),$AM$7)</f>
        <v/>
      </c>
      <c r="AN654">
        <f>IFERROR(IF(AW654&lt;($AM$8-$AL$8)/($AN$8-$AL$8),$AL$8+SQRT(AW654*($AN$8-$AL$8)*($AM$8-$AL$8)),$AN$8-SQRT((1-AW654)*($AN$8-$AL$8)*($AN$8-$AM$8))),$AM$8)</f>
        <v/>
      </c>
      <c r="AO654">
        <f>IFERROR(IF(AX654&lt;($AM$9-$AL$9)/($AN$9-$AL$9),$AL$9+SQRT(AX654*($AN$9-$AL$9)*($AM$9-$AL$9)),$AN$9-SQRT((1-AX654)*($AN$9-$AL$9)*($AN$9-$AM$9))),$AM$9)</f>
        <v/>
      </c>
      <c r="AP654">
        <f>IFERROR(IF(AY654&lt;($AM$10-$AL$10)/($AN$10-$AL$10),$AL$10+SQRT(AY654*($AN$10-$AL$10)*($AM$10-$AL$10)),$AN$10-SQRT((1-AY654)*($AN$10-$AL$10)*($AN$10-$AM$10))),$AM$10)</f>
        <v/>
      </c>
      <c r="AQ654">
        <f>IFERROR(IF(AZ654&lt;($AM$11-$AL$11)/($AN$11-$AL$11),$AL$11+SQRT(AZ654*($AN$11-$AL$11)*($AM$11-$AL$11)),$AN$11-SQRT((1-AZ654)*($AN$11-$AL$11)*($AN$11-$AM$11))),$AM$11)</f>
        <v/>
      </c>
      <c r="AR654">
        <f>SUMPRODUCT((B24:B31&lt;=$B$6)*(C24:C31*AM654+D24:D31*AO654*$B$8*AQ654)/(1+AL654/100)^B24:B31)+C32*AM654*AP654/(1+AL654/100)^$B$6</f>
        <v/>
      </c>
      <c r="AS654">
        <f>SUMPRODUCT((K24:K26&lt;=$B$6)*(L24:L26*AN654+M24:M26*AO654*$B$8*AQ654)/(1+AL654/100)^K24:K26)+L27*AN654*AP654/(1+AL654/100)^$B$6</f>
        <v/>
      </c>
      <c r="AT654">
        <f>AS654-AR654</f>
        <v/>
      </c>
      <c r="AU654">
        <f>RAND()</f>
        <v/>
      </c>
      <c r="AV654">
        <f>RAND()</f>
        <v/>
      </c>
      <c r="AW654">
        <f>RAND()</f>
        <v/>
      </c>
      <c r="AX654">
        <f>RAND()</f>
        <v/>
      </c>
      <c r="AY654">
        <f>RAND()</f>
        <v/>
      </c>
      <c r="AZ654">
        <f>RAND()</f>
        <v/>
      </c>
    </row>
    <row r="655">
      <c r="AK655" t="n">
        <v>642</v>
      </c>
      <c r="AL655">
        <f>IFERROR(IF(AU655&lt;($AM$6-$AL$6)/($AN$6-$AL$6),$AL$6+SQRT(AU655*($AN$6-$AL$6)*($AM$6-$AL$6)),$AN$6-SQRT((1-AU655)*($AN$6-$AL$6)*($AN$6-$AM$6))),$AM$6)</f>
        <v/>
      </c>
      <c r="AM655">
        <f>IFERROR(IF(AV655&lt;($AM$7-$AL$7)/($AN$7-$AL$7),$AL$7+SQRT(AV655*($AN$7-$AL$7)*($AM$7-$AL$7)),$AN$7-SQRT((1-AV655)*($AN$7-$AL$7)*($AN$7-$AM$7))),$AM$7)</f>
        <v/>
      </c>
      <c r="AN655">
        <f>IFERROR(IF(AW655&lt;($AM$8-$AL$8)/($AN$8-$AL$8),$AL$8+SQRT(AW655*($AN$8-$AL$8)*($AM$8-$AL$8)),$AN$8-SQRT((1-AW655)*($AN$8-$AL$8)*($AN$8-$AM$8))),$AM$8)</f>
        <v/>
      </c>
      <c r="AO655">
        <f>IFERROR(IF(AX655&lt;($AM$9-$AL$9)/($AN$9-$AL$9),$AL$9+SQRT(AX655*($AN$9-$AL$9)*($AM$9-$AL$9)),$AN$9-SQRT((1-AX655)*($AN$9-$AL$9)*($AN$9-$AM$9))),$AM$9)</f>
        <v/>
      </c>
      <c r="AP655">
        <f>IFERROR(IF(AY655&lt;($AM$10-$AL$10)/($AN$10-$AL$10),$AL$10+SQRT(AY655*($AN$10-$AL$10)*($AM$10-$AL$10)),$AN$10-SQRT((1-AY655)*($AN$10-$AL$10)*($AN$10-$AM$10))),$AM$10)</f>
        <v/>
      </c>
      <c r="AQ655">
        <f>IFERROR(IF(AZ655&lt;($AM$11-$AL$11)/($AN$11-$AL$11),$AL$11+SQRT(AZ655*($AN$11-$AL$11)*($AM$11-$AL$11)),$AN$11-SQRT((1-AZ655)*($AN$11-$AL$11)*($AN$11-$AM$11))),$AM$11)</f>
        <v/>
      </c>
      <c r="AR655">
        <f>SUMPRODUCT((B24:B31&lt;=$B$6)*(C24:C31*AM655+D24:D31*AO655*$B$8*AQ655)/(1+AL655/100)^B24:B31)+C32*AM655*AP655/(1+AL655/100)^$B$6</f>
        <v/>
      </c>
      <c r="AS655">
        <f>SUMPRODUCT((K24:K26&lt;=$B$6)*(L24:L26*AN655+M24:M26*AO655*$B$8*AQ655)/(1+AL655/100)^K24:K26)+L27*AN655*AP655/(1+AL655/100)^$B$6</f>
        <v/>
      </c>
      <c r="AT655">
        <f>AS655-AR655</f>
        <v/>
      </c>
      <c r="AU655">
        <f>RAND()</f>
        <v/>
      </c>
      <c r="AV655">
        <f>RAND()</f>
        <v/>
      </c>
      <c r="AW655">
        <f>RAND()</f>
        <v/>
      </c>
      <c r="AX655">
        <f>RAND()</f>
        <v/>
      </c>
      <c r="AY655">
        <f>RAND()</f>
        <v/>
      </c>
      <c r="AZ655">
        <f>RAND()</f>
        <v/>
      </c>
    </row>
    <row r="656">
      <c r="AK656" t="n">
        <v>643</v>
      </c>
      <c r="AL656">
        <f>IFERROR(IF(AU656&lt;($AM$6-$AL$6)/($AN$6-$AL$6),$AL$6+SQRT(AU656*($AN$6-$AL$6)*($AM$6-$AL$6)),$AN$6-SQRT((1-AU656)*($AN$6-$AL$6)*($AN$6-$AM$6))),$AM$6)</f>
        <v/>
      </c>
      <c r="AM656">
        <f>IFERROR(IF(AV656&lt;($AM$7-$AL$7)/($AN$7-$AL$7),$AL$7+SQRT(AV656*($AN$7-$AL$7)*($AM$7-$AL$7)),$AN$7-SQRT((1-AV656)*($AN$7-$AL$7)*($AN$7-$AM$7))),$AM$7)</f>
        <v/>
      </c>
      <c r="AN656">
        <f>IFERROR(IF(AW656&lt;($AM$8-$AL$8)/($AN$8-$AL$8),$AL$8+SQRT(AW656*($AN$8-$AL$8)*($AM$8-$AL$8)),$AN$8-SQRT((1-AW656)*($AN$8-$AL$8)*($AN$8-$AM$8))),$AM$8)</f>
        <v/>
      </c>
      <c r="AO656">
        <f>IFERROR(IF(AX656&lt;($AM$9-$AL$9)/($AN$9-$AL$9),$AL$9+SQRT(AX656*($AN$9-$AL$9)*($AM$9-$AL$9)),$AN$9-SQRT((1-AX656)*($AN$9-$AL$9)*($AN$9-$AM$9))),$AM$9)</f>
        <v/>
      </c>
      <c r="AP656">
        <f>IFERROR(IF(AY656&lt;($AM$10-$AL$10)/($AN$10-$AL$10),$AL$10+SQRT(AY656*($AN$10-$AL$10)*($AM$10-$AL$10)),$AN$10-SQRT((1-AY656)*($AN$10-$AL$10)*($AN$10-$AM$10))),$AM$10)</f>
        <v/>
      </c>
      <c r="AQ656">
        <f>IFERROR(IF(AZ656&lt;($AM$11-$AL$11)/($AN$11-$AL$11),$AL$11+SQRT(AZ656*($AN$11-$AL$11)*($AM$11-$AL$11)),$AN$11-SQRT((1-AZ656)*($AN$11-$AL$11)*($AN$11-$AM$11))),$AM$11)</f>
        <v/>
      </c>
      <c r="AR656">
        <f>SUMPRODUCT((B24:B31&lt;=$B$6)*(C24:C31*AM656+D24:D31*AO656*$B$8*AQ656)/(1+AL656/100)^B24:B31)+C32*AM656*AP656/(1+AL656/100)^$B$6</f>
        <v/>
      </c>
      <c r="AS656">
        <f>SUMPRODUCT((K24:K26&lt;=$B$6)*(L24:L26*AN656+M24:M26*AO656*$B$8*AQ656)/(1+AL656/100)^K24:K26)+L27*AN656*AP656/(1+AL656/100)^$B$6</f>
        <v/>
      </c>
      <c r="AT656">
        <f>AS656-AR656</f>
        <v/>
      </c>
      <c r="AU656">
        <f>RAND()</f>
        <v/>
      </c>
      <c r="AV656">
        <f>RAND()</f>
        <v/>
      </c>
      <c r="AW656">
        <f>RAND()</f>
        <v/>
      </c>
      <c r="AX656">
        <f>RAND()</f>
        <v/>
      </c>
      <c r="AY656">
        <f>RAND()</f>
        <v/>
      </c>
      <c r="AZ656">
        <f>RAND()</f>
        <v/>
      </c>
    </row>
    <row r="657">
      <c r="AK657" t="n">
        <v>644</v>
      </c>
      <c r="AL657">
        <f>IFERROR(IF(AU657&lt;($AM$6-$AL$6)/($AN$6-$AL$6),$AL$6+SQRT(AU657*($AN$6-$AL$6)*($AM$6-$AL$6)),$AN$6-SQRT((1-AU657)*($AN$6-$AL$6)*($AN$6-$AM$6))),$AM$6)</f>
        <v/>
      </c>
      <c r="AM657">
        <f>IFERROR(IF(AV657&lt;($AM$7-$AL$7)/($AN$7-$AL$7),$AL$7+SQRT(AV657*($AN$7-$AL$7)*($AM$7-$AL$7)),$AN$7-SQRT((1-AV657)*($AN$7-$AL$7)*($AN$7-$AM$7))),$AM$7)</f>
        <v/>
      </c>
      <c r="AN657">
        <f>IFERROR(IF(AW657&lt;($AM$8-$AL$8)/($AN$8-$AL$8),$AL$8+SQRT(AW657*($AN$8-$AL$8)*($AM$8-$AL$8)),$AN$8-SQRT((1-AW657)*($AN$8-$AL$8)*($AN$8-$AM$8))),$AM$8)</f>
        <v/>
      </c>
      <c r="AO657">
        <f>IFERROR(IF(AX657&lt;($AM$9-$AL$9)/($AN$9-$AL$9),$AL$9+SQRT(AX657*($AN$9-$AL$9)*($AM$9-$AL$9)),$AN$9-SQRT((1-AX657)*($AN$9-$AL$9)*($AN$9-$AM$9))),$AM$9)</f>
        <v/>
      </c>
      <c r="AP657">
        <f>IFERROR(IF(AY657&lt;($AM$10-$AL$10)/($AN$10-$AL$10),$AL$10+SQRT(AY657*($AN$10-$AL$10)*($AM$10-$AL$10)),$AN$10-SQRT((1-AY657)*($AN$10-$AL$10)*($AN$10-$AM$10))),$AM$10)</f>
        <v/>
      </c>
      <c r="AQ657">
        <f>IFERROR(IF(AZ657&lt;($AM$11-$AL$11)/($AN$11-$AL$11),$AL$11+SQRT(AZ657*($AN$11-$AL$11)*($AM$11-$AL$11)),$AN$11-SQRT((1-AZ657)*($AN$11-$AL$11)*($AN$11-$AM$11))),$AM$11)</f>
        <v/>
      </c>
      <c r="AR657">
        <f>SUMPRODUCT((B24:B31&lt;=$B$6)*(C24:C31*AM657+D24:D31*AO657*$B$8*AQ657)/(1+AL657/100)^B24:B31)+C32*AM657*AP657/(1+AL657/100)^$B$6</f>
        <v/>
      </c>
      <c r="AS657">
        <f>SUMPRODUCT((K24:K26&lt;=$B$6)*(L24:L26*AN657+M24:M26*AO657*$B$8*AQ657)/(1+AL657/100)^K24:K26)+L27*AN657*AP657/(1+AL657/100)^$B$6</f>
        <v/>
      </c>
      <c r="AT657">
        <f>AS657-AR657</f>
        <v/>
      </c>
      <c r="AU657">
        <f>RAND()</f>
        <v/>
      </c>
      <c r="AV657">
        <f>RAND()</f>
        <v/>
      </c>
      <c r="AW657">
        <f>RAND()</f>
        <v/>
      </c>
      <c r="AX657">
        <f>RAND()</f>
        <v/>
      </c>
      <c r="AY657">
        <f>RAND()</f>
        <v/>
      </c>
      <c r="AZ657">
        <f>RAND()</f>
        <v/>
      </c>
    </row>
    <row r="658">
      <c r="AK658" t="n">
        <v>645</v>
      </c>
      <c r="AL658">
        <f>IFERROR(IF(AU658&lt;($AM$6-$AL$6)/($AN$6-$AL$6),$AL$6+SQRT(AU658*($AN$6-$AL$6)*($AM$6-$AL$6)),$AN$6-SQRT((1-AU658)*($AN$6-$AL$6)*($AN$6-$AM$6))),$AM$6)</f>
        <v/>
      </c>
      <c r="AM658">
        <f>IFERROR(IF(AV658&lt;($AM$7-$AL$7)/($AN$7-$AL$7),$AL$7+SQRT(AV658*($AN$7-$AL$7)*($AM$7-$AL$7)),$AN$7-SQRT((1-AV658)*($AN$7-$AL$7)*($AN$7-$AM$7))),$AM$7)</f>
        <v/>
      </c>
      <c r="AN658">
        <f>IFERROR(IF(AW658&lt;($AM$8-$AL$8)/($AN$8-$AL$8),$AL$8+SQRT(AW658*($AN$8-$AL$8)*($AM$8-$AL$8)),$AN$8-SQRT((1-AW658)*($AN$8-$AL$8)*($AN$8-$AM$8))),$AM$8)</f>
        <v/>
      </c>
      <c r="AO658">
        <f>IFERROR(IF(AX658&lt;($AM$9-$AL$9)/($AN$9-$AL$9),$AL$9+SQRT(AX658*($AN$9-$AL$9)*($AM$9-$AL$9)),$AN$9-SQRT((1-AX658)*($AN$9-$AL$9)*($AN$9-$AM$9))),$AM$9)</f>
        <v/>
      </c>
      <c r="AP658">
        <f>IFERROR(IF(AY658&lt;($AM$10-$AL$10)/($AN$10-$AL$10),$AL$10+SQRT(AY658*($AN$10-$AL$10)*($AM$10-$AL$10)),$AN$10-SQRT((1-AY658)*($AN$10-$AL$10)*($AN$10-$AM$10))),$AM$10)</f>
        <v/>
      </c>
      <c r="AQ658">
        <f>IFERROR(IF(AZ658&lt;($AM$11-$AL$11)/($AN$11-$AL$11),$AL$11+SQRT(AZ658*($AN$11-$AL$11)*($AM$11-$AL$11)),$AN$11-SQRT((1-AZ658)*($AN$11-$AL$11)*($AN$11-$AM$11))),$AM$11)</f>
        <v/>
      </c>
      <c r="AR658">
        <f>SUMPRODUCT((B24:B31&lt;=$B$6)*(C24:C31*AM658+D24:D31*AO658*$B$8*AQ658)/(1+AL658/100)^B24:B31)+C32*AM658*AP658/(1+AL658/100)^$B$6</f>
        <v/>
      </c>
      <c r="AS658">
        <f>SUMPRODUCT((K24:K26&lt;=$B$6)*(L24:L26*AN658+M24:M26*AO658*$B$8*AQ658)/(1+AL658/100)^K24:K26)+L27*AN658*AP658/(1+AL658/100)^$B$6</f>
        <v/>
      </c>
      <c r="AT658">
        <f>AS658-AR658</f>
        <v/>
      </c>
      <c r="AU658">
        <f>RAND()</f>
        <v/>
      </c>
      <c r="AV658">
        <f>RAND()</f>
        <v/>
      </c>
      <c r="AW658">
        <f>RAND()</f>
        <v/>
      </c>
      <c r="AX658">
        <f>RAND()</f>
        <v/>
      </c>
      <c r="AY658">
        <f>RAND()</f>
        <v/>
      </c>
      <c r="AZ658">
        <f>RAND()</f>
        <v/>
      </c>
    </row>
    <row r="659">
      <c r="AK659" t="n">
        <v>646</v>
      </c>
      <c r="AL659">
        <f>IFERROR(IF(AU659&lt;($AM$6-$AL$6)/($AN$6-$AL$6),$AL$6+SQRT(AU659*($AN$6-$AL$6)*($AM$6-$AL$6)),$AN$6-SQRT((1-AU659)*($AN$6-$AL$6)*($AN$6-$AM$6))),$AM$6)</f>
        <v/>
      </c>
      <c r="AM659">
        <f>IFERROR(IF(AV659&lt;($AM$7-$AL$7)/($AN$7-$AL$7),$AL$7+SQRT(AV659*($AN$7-$AL$7)*($AM$7-$AL$7)),$AN$7-SQRT((1-AV659)*($AN$7-$AL$7)*($AN$7-$AM$7))),$AM$7)</f>
        <v/>
      </c>
      <c r="AN659">
        <f>IFERROR(IF(AW659&lt;($AM$8-$AL$8)/($AN$8-$AL$8),$AL$8+SQRT(AW659*($AN$8-$AL$8)*($AM$8-$AL$8)),$AN$8-SQRT((1-AW659)*($AN$8-$AL$8)*($AN$8-$AM$8))),$AM$8)</f>
        <v/>
      </c>
      <c r="AO659">
        <f>IFERROR(IF(AX659&lt;($AM$9-$AL$9)/($AN$9-$AL$9),$AL$9+SQRT(AX659*($AN$9-$AL$9)*($AM$9-$AL$9)),$AN$9-SQRT((1-AX659)*($AN$9-$AL$9)*($AN$9-$AM$9))),$AM$9)</f>
        <v/>
      </c>
      <c r="AP659">
        <f>IFERROR(IF(AY659&lt;($AM$10-$AL$10)/($AN$10-$AL$10),$AL$10+SQRT(AY659*($AN$10-$AL$10)*($AM$10-$AL$10)),$AN$10-SQRT((1-AY659)*($AN$10-$AL$10)*($AN$10-$AM$10))),$AM$10)</f>
        <v/>
      </c>
      <c r="AQ659">
        <f>IFERROR(IF(AZ659&lt;($AM$11-$AL$11)/($AN$11-$AL$11),$AL$11+SQRT(AZ659*($AN$11-$AL$11)*($AM$11-$AL$11)),$AN$11-SQRT((1-AZ659)*($AN$11-$AL$11)*($AN$11-$AM$11))),$AM$11)</f>
        <v/>
      </c>
      <c r="AR659">
        <f>SUMPRODUCT((B24:B31&lt;=$B$6)*(C24:C31*AM659+D24:D31*AO659*$B$8*AQ659)/(1+AL659/100)^B24:B31)+C32*AM659*AP659/(1+AL659/100)^$B$6</f>
        <v/>
      </c>
      <c r="AS659">
        <f>SUMPRODUCT((K24:K26&lt;=$B$6)*(L24:L26*AN659+M24:M26*AO659*$B$8*AQ659)/(1+AL659/100)^K24:K26)+L27*AN659*AP659/(1+AL659/100)^$B$6</f>
        <v/>
      </c>
      <c r="AT659">
        <f>AS659-AR659</f>
        <v/>
      </c>
      <c r="AU659">
        <f>RAND()</f>
        <v/>
      </c>
      <c r="AV659">
        <f>RAND()</f>
        <v/>
      </c>
      <c r="AW659">
        <f>RAND()</f>
        <v/>
      </c>
      <c r="AX659">
        <f>RAND()</f>
        <v/>
      </c>
      <c r="AY659">
        <f>RAND()</f>
        <v/>
      </c>
      <c r="AZ659">
        <f>RAND()</f>
        <v/>
      </c>
    </row>
    <row r="660">
      <c r="AK660" t="n">
        <v>647</v>
      </c>
      <c r="AL660">
        <f>IFERROR(IF(AU660&lt;($AM$6-$AL$6)/($AN$6-$AL$6),$AL$6+SQRT(AU660*($AN$6-$AL$6)*($AM$6-$AL$6)),$AN$6-SQRT((1-AU660)*($AN$6-$AL$6)*($AN$6-$AM$6))),$AM$6)</f>
        <v/>
      </c>
      <c r="AM660">
        <f>IFERROR(IF(AV660&lt;($AM$7-$AL$7)/($AN$7-$AL$7),$AL$7+SQRT(AV660*($AN$7-$AL$7)*($AM$7-$AL$7)),$AN$7-SQRT((1-AV660)*($AN$7-$AL$7)*($AN$7-$AM$7))),$AM$7)</f>
        <v/>
      </c>
      <c r="AN660">
        <f>IFERROR(IF(AW660&lt;($AM$8-$AL$8)/($AN$8-$AL$8),$AL$8+SQRT(AW660*($AN$8-$AL$8)*($AM$8-$AL$8)),$AN$8-SQRT((1-AW660)*($AN$8-$AL$8)*($AN$8-$AM$8))),$AM$8)</f>
        <v/>
      </c>
      <c r="AO660">
        <f>IFERROR(IF(AX660&lt;($AM$9-$AL$9)/($AN$9-$AL$9),$AL$9+SQRT(AX660*($AN$9-$AL$9)*($AM$9-$AL$9)),$AN$9-SQRT((1-AX660)*($AN$9-$AL$9)*($AN$9-$AM$9))),$AM$9)</f>
        <v/>
      </c>
      <c r="AP660">
        <f>IFERROR(IF(AY660&lt;($AM$10-$AL$10)/($AN$10-$AL$10),$AL$10+SQRT(AY660*($AN$10-$AL$10)*($AM$10-$AL$10)),$AN$10-SQRT((1-AY660)*($AN$10-$AL$10)*($AN$10-$AM$10))),$AM$10)</f>
        <v/>
      </c>
      <c r="AQ660">
        <f>IFERROR(IF(AZ660&lt;($AM$11-$AL$11)/($AN$11-$AL$11),$AL$11+SQRT(AZ660*($AN$11-$AL$11)*($AM$11-$AL$11)),$AN$11-SQRT((1-AZ660)*($AN$11-$AL$11)*($AN$11-$AM$11))),$AM$11)</f>
        <v/>
      </c>
      <c r="AR660">
        <f>SUMPRODUCT((B24:B31&lt;=$B$6)*(C24:C31*AM660+D24:D31*AO660*$B$8*AQ660)/(1+AL660/100)^B24:B31)+C32*AM660*AP660/(1+AL660/100)^$B$6</f>
        <v/>
      </c>
      <c r="AS660">
        <f>SUMPRODUCT((K24:K26&lt;=$B$6)*(L24:L26*AN660+M24:M26*AO660*$B$8*AQ660)/(1+AL660/100)^K24:K26)+L27*AN660*AP660/(1+AL660/100)^$B$6</f>
        <v/>
      </c>
      <c r="AT660">
        <f>AS660-AR660</f>
        <v/>
      </c>
      <c r="AU660">
        <f>RAND()</f>
        <v/>
      </c>
      <c r="AV660">
        <f>RAND()</f>
        <v/>
      </c>
      <c r="AW660">
        <f>RAND()</f>
        <v/>
      </c>
      <c r="AX660">
        <f>RAND()</f>
        <v/>
      </c>
      <c r="AY660">
        <f>RAND()</f>
        <v/>
      </c>
      <c r="AZ660">
        <f>RAND()</f>
        <v/>
      </c>
    </row>
    <row r="661">
      <c r="AK661" t="n">
        <v>648</v>
      </c>
      <c r="AL661">
        <f>IFERROR(IF(AU661&lt;($AM$6-$AL$6)/($AN$6-$AL$6),$AL$6+SQRT(AU661*($AN$6-$AL$6)*($AM$6-$AL$6)),$AN$6-SQRT((1-AU661)*($AN$6-$AL$6)*($AN$6-$AM$6))),$AM$6)</f>
        <v/>
      </c>
      <c r="AM661">
        <f>IFERROR(IF(AV661&lt;($AM$7-$AL$7)/($AN$7-$AL$7),$AL$7+SQRT(AV661*($AN$7-$AL$7)*($AM$7-$AL$7)),$AN$7-SQRT((1-AV661)*($AN$7-$AL$7)*($AN$7-$AM$7))),$AM$7)</f>
        <v/>
      </c>
      <c r="AN661">
        <f>IFERROR(IF(AW661&lt;($AM$8-$AL$8)/($AN$8-$AL$8),$AL$8+SQRT(AW661*($AN$8-$AL$8)*($AM$8-$AL$8)),$AN$8-SQRT((1-AW661)*($AN$8-$AL$8)*($AN$8-$AM$8))),$AM$8)</f>
        <v/>
      </c>
      <c r="AO661">
        <f>IFERROR(IF(AX661&lt;($AM$9-$AL$9)/($AN$9-$AL$9),$AL$9+SQRT(AX661*($AN$9-$AL$9)*($AM$9-$AL$9)),$AN$9-SQRT((1-AX661)*($AN$9-$AL$9)*($AN$9-$AM$9))),$AM$9)</f>
        <v/>
      </c>
      <c r="AP661">
        <f>IFERROR(IF(AY661&lt;($AM$10-$AL$10)/($AN$10-$AL$10),$AL$10+SQRT(AY661*($AN$10-$AL$10)*($AM$10-$AL$10)),$AN$10-SQRT((1-AY661)*($AN$10-$AL$10)*($AN$10-$AM$10))),$AM$10)</f>
        <v/>
      </c>
      <c r="AQ661">
        <f>IFERROR(IF(AZ661&lt;($AM$11-$AL$11)/($AN$11-$AL$11),$AL$11+SQRT(AZ661*($AN$11-$AL$11)*($AM$11-$AL$11)),$AN$11-SQRT((1-AZ661)*($AN$11-$AL$11)*($AN$11-$AM$11))),$AM$11)</f>
        <v/>
      </c>
      <c r="AR661">
        <f>SUMPRODUCT((B24:B31&lt;=$B$6)*(C24:C31*AM661+D24:D31*AO661*$B$8*AQ661)/(1+AL661/100)^B24:B31)+C32*AM661*AP661/(1+AL661/100)^$B$6</f>
        <v/>
      </c>
      <c r="AS661">
        <f>SUMPRODUCT((K24:K26&lt;=$B$6)*(L24:L26*AN661+M24:M26*AO661*$B$8*AQ661)/(1+AL661/100)^K24:K26)+L27*AN661*AP661/(1+AL661/100)^$B$6</f>
        <v/>
      </c>
      <c r="AT661">
        <f>AS661-AR661</f>
        <v/>
      </c>
      <c r="AU661">
        <f>RAND()</f>
        <v/>
      </c>
      <c r="AV661">
        <f>RAND()</f>
        <v/>
      </c>
      <c r="AW661">
        <f>RAND()</f>
        <v/>
      </c>
      <c r="AX661">
        <f>RAND()</f>
        <v/>
      </c>
      <c r="AY661">
        <f>RAND()</f>
        <v/>
      </c>
      <c r="AZ661">
        <f>RAND()</f>
        <v/>
      </c>
    </row>
    <row r="662">
      <c r="AK662" t="n">
        <v>649</v>
      </c>
      <c r="AL662">
        <f>IFERROR(IF(AU662&lt;($AM$6-$AL$6)/($AN$6-$AL$6),$AL$6+SQRT(AU662*($AN$6-$AL$6)*($AM$6-$AL$6)),$AN$6-SQRT((1-AU662)*($AN$6-$AL$6)*($AN$6-$AM$6))),$AM$6)</f>
        <v/>
      </c>
      <c r="AM662">
        <f>IFERROR(IF(AV662&lt;($AM$7-$AL$7)/($AN$7-$AL$7),$AL$7+SQRT(AV662*($AN$7-$AL$7)*($AM$7-$AL$7)),$AN$7-SQRT((1-AV662)*($AN$7-$AL$7)*($AN$7-$AM$7))),$AM$7)</f>
        <v/>
      </c>
      <c r="AN662">
        <f>IFERROR(IF(AW662&lt;($AM$8-$AL$8)/($AN$8-$AL$8),$AL$8+SQRT(AW662*($AN$8-$AL$8)*($AM$8-$AL$8)),$AN$8-SQRT((1-AW662)*($AN$8-$AL$8)*($AN$8-$AM$8))),$AM$8)</f>
        <v/>
      </c>
      <c r="AO662">
        <f>IFERROR(IF(AX662&lt;($AM$9-$AL$9)/($AN$9-$AL$9),$AL$9+SQRT(AX662*($AN$9-$AL$9)*($AM$9-$AL$9)),$AN$9-SQRT((1-AX662)*($AN$9-$AL$9)*($AN$9-$AM$9))),$AM$9)</f>
        <v/>
      </c>
      <c r="AP662">
        <f>IFERROR(IF(AY662&lt;($AM$10-$AL$10)/($AN$10-$AL$10),$AL$10+SQRT(AY662*($AN$10-$AL$10)*($AM$10-$AL$10)),$AN$10-SQRT((1-AY662)*($AN$10-$AL$10)*($AN$10-$AM$10))),$AM$10)</f>
        <v/>
      </c>
      <c r="AQ662">
        <f>IFERROR(IF(AZ662&lt;($AM$11-$AL$11)/($AN$11-$AL$11),$AL$11+SQRT(AZ662*($AN$11-$AL$11)*($AM$11-$AL$11)),$AN$11-SQRT((1-AZ662)*($AN$11-$AL$11)*($AN$11-$AM$11))),$AM$11)</f>
        <v/>
      </c>
      <c r="AR662">
        <f>SUMPRODUCT((B24:B31&lt;=$B$6)*(C24:C31*AM662+D24:D31*AO662*$B$8*AQ662)/(1+AL662/100)^B24:B31)+C32*AM662*AP662/(1+AL662/100)^$B$6</f>
        <v/>
      </c>
      <c r="AS662">
        <f>SUMPRODUCT((K24:K26&lt;=$B$6)*(L24:L26*AN662+M24:M26*AO662*$B$8*AQ662)/(1+AL662/100)^K24:K26)+L27*AN662*AP662/(1+AL662/100)^$B$6</f>
        <v/>
      </c>
      <c r="AT662">
        <f>AS662-AR662</f>
        <v/>
      </c>
      <c r="AU662">
        <f>RAND()</f>
        <v/>
      </c>
      <c r="AV662">
        <f>RAND()</f>
        <v/>
      </c>
      <c r="AW662">
        <f>RAND()</f>
        <v/>
      </c>
      <c r="AX662">
        <f>RAND()</f>
        <v/>
      </c>
      <c r="AY662">
        <f>RAND()</f>
        <v/>
      </c>
      <c r="AZ662">
        <f>RAND()</f>
        <v/>
      </c>
    </row>
    <row r="663">
      <c r="AK663" t="n">
        <v>650</v>
      </c>
      <c r="AL663">
        <f>IFERROR(IF(AU663&lt;($AM$6-$AL$6)/($AN$6-$AL$6),$AL$6+SQRT(AU663*($AN$6-$AL$6)*($AM$6-$AL$6)),$AN$6-SQRT((1-AU663)*($AN$6-$AL$6)*($AN$6-$AM$6))),$AM$6)</f>
        <v/>
      </c>
      <c r="AM663">
        <f>IFERROR(IF(AV663&lt;($AM$7-$AL$7)/($AN$7-$AL$7),$AL$7+SQRT(AV663*($AN$7-$AL$7)*($AM$7-$AL$7)),$AN$7-SQRT((1-AV663)*($AN$7-$AL$7)*($AN$7-$AM$7))),$AM$7)</f>
        <v/>
      </c>
      <c r="AN663">
        <f>IFERROR(IF(AW663&lt;($AM$8-$AL$8)/($AN$8-$AL$8),$AL$8+SQRT(AW663*($AN$8-$AL$8)*($AM$8-$AL$8)),$AN$8-SQRT((1-AW663)*($AN$8-$AL$8)*($AN$8-$AM$8))),$AM$8)</f>
        <v/>
      </c>
      <c r="AO663">
        <f>IFERROR(IF(AX663&lt;($AM$9-$AL$9)/($AN$9-$AL$9),$AL$9+SQRT(AX663*($AN$9-$AL$9)*($AM$9-$AL$9)),$AN$9-SQRT((1-AX663)*($AN$9-$AL$9)*($AN$9-$AM$9))),$AM$9)</f>
        <v/>
      </c>
      <c r="AP663">
        <f>IFERROR(IF(AY663&lt;($AM$10-$AL$10)/($AN$10-$AL$10),$AL$10+SQRT(AY663*($AN$10-$AL$10)*($AM$10-$AL$10)),$AN$10-SQRT((1-AY663)*($AN$10-$AL$10)*($AN$10-$AM$10))),$AM$10)</f>
        <v/>
      </c>
      <c r="AQ663">
        <f>IFERROR(IF(AZ663&lt;($AM$11-$AL$11)/($AN$11-$AL$11),$AL$11+SQRT(AZ663*($AN$11-$AL$11)*($AM$11-$AL$11)),$AN$11-SQRT((1-AZ663)*($AN$11-$AL$11)*($AN$11-$AM$11))),$AM$11)</f>
        <v/>
      </c>
      <c r="AR663">
        <f>SUMPRODUCT((B24:B31&lt;=$B$6)*(C24:C31*AM663+D24:D31*AO663*$B$8*AQ663)/(1+AL663/100)^B24:B31)+C32*AM663*AP663/(1+AL663/100)^$B$6</f>
        <v/>
      </c>
      <c r="AS663">
        <f>SUMPRODUCT((K24:K26&lt;=$B$6)*(L24:L26*AN663+M24:M26*AO663*$B$8*AQ663)/(1+AL663/100)^K24:K26)+L27*AN663*AP663/(1+AL663/100)^$B$6</f>
        <v/>
      </c>
      <c r="AT663">
        <f>AS663-AR663</f>
        <v/>
      </c>
      <c r="AU663">
        <f>RAND()</f>
        <v/>
      </c>
      <c r="AV663">
        <f>RAND()</f>
        <v/>
      </c>
      <c r="AW663">
        <f>RAND()</f>
        <v/>
      </c>
      <c r="AX663">
        <f>RAND()</f>
        <v/>
      </c>
      <c r="AY663">
        <f>RAND()</f>
        <v/>
      </c>
      <c r="AZ663">
        <f>RAND()</f>
        <v/>
      </c>
    </row>
    <row r="664">
      <c r="AK664" t="n">
        <v>651</v>
      </c>
      <c r="AL664">
        <f>IFERROR(IF(AU664&lt;($AM$6-$AL$6)/($AN$6-$AL$6),$AL$6+SQRT(AU664*($AN$6-$AL$6)*($AM$6-$AL$6)),$AN$6-SQRT((1-AU664)*($AN$6-$AL$6)*($AN$6-$AM$6))),$AM$6)</f>
        <v/>
      </c>
      <c r="AM664">
        <f>IFERROR(IF(AV664&lt;($AM$7-$AL$7)/($AN$7-$AL$7),$AL$7+SQRT(AV664*($AN$7-$AL$7)*($AM$7-$AL$7)),$AN$7-SQRT((1-AV664)*($AN$7-$AL$7)*($AN$7-$AM$7))),$AM$7)</f>
        <v/>
      </c>
      <c r="AN664">
        <f>IFERROR(IF(AW664&lt;($AM$8-$AL$8)/($AN$8-$AL$8),$AL$8+SQRT(AW664*($AN$8-$AL$8)*($AM$8-$AL$8)),$AN$8-SQRT((1-AW664)*($AN$8-$AL$8)*($AN$8-$AM$8))),$AM$8)</f>
        <v/>
      </c>
      <c r="AO664">
        <f>IFERROR(IF(AX664&lt;($AM$9-$AL$9)/($AN$9-$AL$9),$AL$9+SQRT(AX664*($AN$9-$AL$9)*($AM$9-$AL$9)),$AN$9-SQRT((1-AX664)*($AN$9-$AL$9)*($AN$9-$AM$9))),$AM$9)</f>
        <v/>
      </c>
      <c r="AP664">
        <f>IFERROR(IF(AY664&lt;($AM$10-$AL$10)/($AN$10-$AL$10),$AL$10+SQRT(AY664*($AN$10-$AL$10)*($AM$10-$AL$10)),$AN$10-SQRT((1-AY664)*($AN$10-$AL$10)*($AN$10-$AM$10))),$AM$10)</f>
        <v/>
      </c>
      <c r="AQ664">
        <f>IFERROR(IF(AZ664&lt;($AM$11-$AL$11)/($AN$11-$AL$11),$AL$11+SQRT(AZ664*($AN$11-$AL$11)*($AM$11-$AL$11)),$AN$11-SQRT((1-AZ664)*($AN$11-$AL$11)*($AN$11-$AM$11))),$AM$11)</f>
        <v/>
      </c>
      <c r="AR664">
        <f>SUMPRODUCT((B24:B31&lt;=$B$6)*(C24:C31*AM664+D24:D31*AO664*$B$8*AQ664)/(1+AL664/100)^B24:B31)+C32*AM664*AP664/(1+AL664/100)^$B$6</f>
        <v/>
      </c>
      <c r="AS664">
        <f>SUMPRODUCT((K24:K26&lt;=$B$6)*(L24:L26*AN664+M24:M26*AO664*$B$8*AQ664)/(1+AL664/100)^K24:K26)+L27*AN664*AP664/(1+AL664/100)^$B$6</f>
        <v/>
      </c>
      <c r="AT664">
        <f>AS664-AR664</f>
        <v/>
      </c>
      <c r="AU664">
        <f>RAND()</f>
        <v/>
      </c>
      <c r="AV664">
        <f>RAND()</f>
        <v/>
      </c>
      <c r="AW664">
        <f>RAND()</f>
        <v/>
      </c>
      <c r="AX664">
        <f>RAND()</f>
        <v/>
      </c>
      <c r="AY664">
        <f>RAND()</f>
        <v/>
      </c>
      <c r="AZ664">
        <f>RAND()</f>
        <v/>
      </c>
    </row>
    <row r="665">
      <c r="AK665" t="n">
        <v>652</v>
      </c>
      <c r="AL665">
        <f>IFERROR(IF(AU665&lt;($AM$6-$AL$6)/($AN$6-$AL$6),$AL$6+SQRT(AU665*($AN$6-$AL$6)*($AM$6-$AL$6)),$AN$6-SQRT((1-AU665)*($AN$6-$AL$6)*($AN$6-$AM$6))),$AM$6)</f>
        <v/>
      </c>
      <c r="AM665">
        <f>IFERROR(IF(AV665&lt;($AM$7-$AL$7)/($AN$7-$AL$7),$AL$7+SQRT(AV665*($AN$7-$AL$7)*($AM$7-$AL$7)),$AN$7-SQRT((1-AV665)*($AN$7-$AL$7)*($AN$7-$AM$7))),$AM$7)</f>
        <v/>
      </c>
      <c r="AN665">
        <f>IFERROR(IF(AW665&lt;($AM$8-$AL$8)/($AN$8-$AL$8),$AL$8+SQRT(AW665*($AN$8-$AL$8)*($AM$8-$AL$8)),$AN$8-SQRT((1-AW665)*($AN$8-$AL$8)*($AN$8-$AM$8))),$AM$8)</f>
        <v/>
      </c>
      <c r="AO665">
        <f>IFERROR(IF(AX665&lt;($AM$9-$AL$9)/($AN$9-$AL$9),$AL$9+SQRT(AX665*($AN$9-$AL$9)*($AM$9-$AL$9)),$AN$9-SQRT((1-AX665)*($AN$9-$AL$9)*($AN$9-$AM$9))),$AM$9)</f>
        <v/>
      </c>
      <c r="AP665">
        <f>IFERROR(IF(AY665&lt;($AM$10-$AL$10)/($AN$10-$AL$10),$AL$10+SQRT(AY665*($AN$10-$AL$10)*($AM$10-$AL$10)),$AN$10-SQRT((1-AY665)*($AN$10-$AL$10)*($AN$10-$AM$10))),$AM$10)</f>
        <v/>
      </c>
      <c r="AQ665">
        <f>IFERROR(IF(AZ665&lt;($AM$11-$AL$11)/($AN$11-$AL$11),$AL$11+SQRT(AZ665*($AN$11-$AL$11)*($AM$11-$AL$11)),$AN$11-SQRT((1-AZ665)*($AN$11-$AL$11)*($AN$11-$AM$11))),$AM$11)</f>
        <v/>
      </c>
      <c r="AR665">
        <f>SUMPRODUCT((B24:B31&lt;=$B$6)*(C24:C31*AM665+D24:D31*AO665*$B$8*AQ665)/(1+AL665/100)^B24:B31)+C32*AM665*AP665/(1+AL665/100)^$B$6</f>
        <v/>
      </c>
      <c r="AS665">
        <f>SUMPRODUCT((K24:K26&lt;=$B$6)*(L24:L26*AN665+M24:M26*AO665*$B$8*AQ665)/(1+AL665/100)^K24:K26)+L27*AN665*AP665/(1+AL665/100)^$B$6</f>
        <v/>
      </c>
      <c r="AT665">
        <f>AS665-AR665</f>
        <v/>
      </c>
      <c r="AU665">
        <f>RAND()</f>
        <v/>
      </c>
      <c r="AV665">
        <f>RAND()</f>
        <v/>
      </c>
      <c r="AW665">
        <f>RAND()</f>
        <v/>
      </c>
      <c r="AX665">
        <f>RAND()</f>
        <v/>
      </c>
      <c r="AY665">
        <f>RAND()</f>
        <v/>
      </c>
      <c r="AZ665">
        <f>RAND()</f>
        <v/>
      </c>
    </row>
    <row r="666">
      <c r="AK666" t="n">
        <v>653</v>
      </c>
      <c r="AL666">
        <f>IFERROR(IF(AU666&lt;($AM$6-$AL$6)/($AN$6-$AL$6),$AL$6+SQRT(AU666*($AN$6-$AL$6)*($AM$6-$AL$6)),$AN$6-SQRT((1-AU666)*($AN$6-$AL$6)*($AN$6-$AM$6))),$AM$6)</f>
        <v/>
      </c>
      <c r="AM666">
        <f>IFERROR(IF(AV666&lt;($AM$7-$AL$7)/($AN$7-$AL$7),$AL$7+SQRT(AV666*($AN$7-$AL$7)*($AM$7-$AL$7)),$AN$7-SQRT((1-AV666)*($AN$7-$AL$7)*($AN$7-$AM$7))),$AM$7)</f>
        <v/>
      </c>
      <c r="AN666">
        <f>IFERROR(IF(AW666&lt;($AM$8-$AL$8)/($AN$8-$AL$8),$AL$8+SQRT(AW666*($AN$8-$AL$8)*($AM$8-$AL$8)),$AN$8-SQRT((1-AW666)*($AN$8-$AL$8)*($AN$8-$AM$8))),$AM$8)</f>
        <v/>
      </c>
      <c r="AO666">
        <f>IFERROR(IF(AX666&lt;($AM$9-$AL$9)/($AN$9-$AL$9),$AL$9+SQRT(AX666*($AN$9-$AL$9)*($AM$9-$AL$9)),$AN$9-SQRT((1-AX666)*($AN$9-$AL$9)*($AN$9-$AM$9))),$AM$9)</f>
        <v/>
      </c>
      <c r="AP666">
        <f>IFERROR(IF(AY666&lt;($AM$10-$AL$10)/($AN$10-$AL$10),$AL$10+SQRT(AY666*($AN$10-$AL$10)*($AM$10-$AL$10)),$AN$10-SQRT((1-AY666)*($AN$10-$AL$10)*($AN$10-$AM$10))),$AM$10)</f>
        <v/>
      </c>
      <c r="AQ666">
        <f>IFERROR(IF(AZ666&lt;($AM$11-$AL$11)/($AN$11-$AL$11),$AL$11+SQRT(AZ666*($AN$11-$AL$11)*($AM$11-$AL$11)),$AN$11-SQRT((1-AZ666)*($AN$11-$AL$11)*($AN$11-$AM$11))),$AM$11)</f>
        <v/>
      </c>
      <c r="AR666">
        <f>SUMPRODUCT((B24:B31&lt;=$B$6)*(C24:C31*AM666+D24:D31*AO666*$B$8*AQ666)/(1+AL666/100)^B24:B31)+C32*AM666*AP666/(1+AL666/100)^$B$6</f>
        <v/>
      </c>
      <c r="AS666">
        <f>SUMPRODUCT((K24:K26&lt;=$B$6)*(L24:L26*AN666+M24:M26*AO666*$B$8*AQ666)/(1+AL666/100)^K24:K26)+L27*AN666*AP666/(1+AL666/100)^$B$6</f>
        <v/>
      </c>
      <c r="AT666">
        <f>AS666-AR666</f>
        <v/>
      </c>
      <c r="AU666">
        <f>RAND()</f>
        <v/>
      </c>
      <c r="AV666">
        <f>RAND()</f>
        <v/>
      </c>
      <c r="AW666">
        <f>RAND()</f>
        <v/>
      </c>
      <c r="AX666">
        <f>RAND()</f>
        <v/>
      </c>
      <c r="AY666">
        <f>RAND()</f>
        <v/>
      </c>
      <c r="AZ666">
        <f>RAND()</f>
        <v/>
      </c>
    </row>
    <row r="667">
      <c r="AK667" t="n">
        <v>654</v>
      </c>
      <c r="AL667">
        <f>IFERROR(IF(AU667&lt;($AM$6-$AL$6)/($AN$6-$AL$6),$AL$6+SQRT(AU667*($AN$6-$AL$6)*($AM$6-$AL$6)),$AN$6-SQRT((1-AU667)*($AN$6-$AL$6)*($AN$6-$AM$6))),$AM$6)</f>
        <v/>
      </c>
      <c r="AM667">
        <f>IFERROR(IF(AV667&lt;($AM$7-$AL$7)/($AN$7-$AL$7),$AL$7+SQRT(AV667*($AN$7-$AL$7)*($AM$7-$AL$7)),$AN$7-SQRT((1-AV667)*($AN$7-$AL$7)*($AN$7-$AM$7))),$AM$7)</f>
        <v/>
      </c>
      <c r="AN667">
        <f>IFERROR(IF(AW667&lt;($AM$8-$AL$8)/($AN$8-$AL$8),$AL$8+SQRT(AW667*($AN$8-$AL$8)*($AM$8-$AL$8)),$AN$8-SQRT((1-AW667)*($AN$8-$AL$8)*($AN$8-$AM$8))),$AM$8)</f>
        <v/>
      </c>
      <c r="AO667">
        <f>IFERROR(IF(AX667&lt;($AM$9-$AL$9)/($AN$9-$AL$9),$AL$9+SQRT(AX667*($AN$9-$AL$9)*($AM$9-$AL$9)),$AN$9-SQRT((1-AX667)*($AN$9-$AL$9)*($AN$9-$AM$9))),$AM$9)</f>
        <v/>
      </c>
      <c r="AP667">
        <f>IFERROR(IF(AY667&lt;($AM$10-$AL$10)/($AN$10-$AL$10),$AL$10+SQRT(AY667*($AN$10-$AL$10)*($AM$10-$AL$10)),$AN$10-SQRT((1-AY667)*($AN$10-$AL$10)*($AN$10-$AM$10))),$AM$10)</f>
        <v/>
      </c>
      <c r="AQ667">
        <f>IFERROR(IF(AZ667&lt;($AM$11-$AL$11)/($AN$11-$AL$11),$AL$11+SQRT(AZ667*($AN$11-$AL$11)*($AM$11-$AL$11)),$AN$11-SQRT((1-AZ667)*($AN$11-$AL$11)*($AN$11-$AM$11))),$AM$11)</f>
        <v/>
      </c>
      <c r="AR667">
        <f>SUMPRODUCT((B24:B31&lt;=$B$6)*(C24:C31*AM667+D24:D31*AO667*$B$8*AQ667)/(1+AL667/100)^B24:B31)+C32*AM667*AP667/(1+AL667/100)^$B$6</f>
        <v/>
      </c>
      <c r="AS667">
        <f>SUMPRODUCT((K24:K26&lt;=$B$6)*(L24:L26*AN667+M24:M26*AO667*$B$8*AQ667)/(1+AL667/100)^K24:K26)+L27*AN667*AP667/(1+AL667/100)^$B$6</f>
        <v/>
      </c>
      <c r="AT667">
        <f>AS667-AR667</f>
        <v/>
      </c>
      <c r="AU667">
        <f>RAND()</f>
        <v/>
      </c>
      <c r="AV667">
        <f>RAND()</f>
        <v/>
      </c>
      <c r="AW667">
        <f>RAND()</f>
        <v/>
      </c>
      <c r="AX667">
        <f>RAND()</f>
        <v/>
      </c>
      <c r="AY667">
        <f>RAND()</f>
        <v/>
      </c>
      <c r="AZ667">
        <f>RAND()</f>
        <v/>
      </c>
    </row>
    <row r="668">
      <c r="AK668" t="n">
        <v>655</v>
      </c>
      <c r="AL668">
        <f>IFERROR(IF(AU668&lt;($AM$6-$AL$6)/($AN$6-$AL$6),$AL$6+SQRT(AU668*($AN$6-$AL$6)*($AM$6-$AL$6)),$AN$6-SQRT((1-AU668)*($AN$6-$AL$6)*($AN$6-$AM$6))),$AM$6)</f>
        <v/>
      </c>
      <c r="AM668">
        <f>IFERROR(IF(AV668&lt;($AM$7-$AL$7)/($AN$7-$AL$7),$AL$7+SQRT(AV668*($AN$7-$AL$7)*($AM$7-$AL$7)),$AN$7-SQRT((1-AV668)*($AN$7-$AL$7)*($AN$7-$AM$7))),$AM$7)</f>
        <v/>
      </c>
      <c r="AN668">
        <f>IFERROR(IF(AW668&lt;($AM$8-$AL$8)/($AN$8-$AL$8),$AL$8+SQRT(AW668*($AN$8-$AL$8)*($AM$8-$AL$8)),$AN$8-SQRT((1-AW668)*($AN$8-$AL$8)*($AN$8-$AM$8))),$AM$8)</f>
        <v/>
      </c>
      <c r="AO668">
        <f>IFERROR(IF(AX668&lt;($AM$9-$AL$9)/($AN$9-$AL$9),$AL$9+SQRT(AX668*($AN$9-$AL$9)*($AM$9-$AL$9)),$AN$9-SQRT((1-AX668)*($AN$9-$AL$9)*($AN$9-$AM$9))),$AM$9)</f>
        <v/>
      </c>
      <c r="AP668">
        <f>IFERROR(IF(AY668&lt;($AM$10-$AL$10)/($AN$10-$AL$10),$AL$10+SQRT(AY668*($AN$10-$AL$10)*($AM$10-$AL$10)),$AN$10-SQRT((1-AY668)*($AN$10-$AL$10)*($AN$10-$AM$10))),$AM$10)</f>
        <v/>
      </c>
      <c r="AQ668">
        <f>IFERROR(IF(AZ668&lt;($AM$11-$AL$11)/($AN$11-$AL$11),$AL$11+SQRT(AZ668*($AN$11-$AL$11)*($AM$11-$AL$11)),$AN$11-SQRT((1-AZ668)*($AN$11-$AL$11)*($AN$11-$AM$11))),$AM$11)</f>
        <v/>
      </c>
      <c r="AR668">
        <f>SUMPRODUCT((B24:B31&lt;=$B$6)*(C24:C31*AM668+D24:D31*AO668*$B$8*AQ668)/(1+AL668/100)^B24:B31)+C32*AM668*AP668/(1+AL668/100)^$B$6</f>
        <v/>
      </c>
      <c r="AS668">
        <f>SUMPRODUCT((K24:K26&lt;=$B$6)*(L24:L26*AN668+M24:M26*AO668*$B$8*AQ668)/(1+AL668/100)^K24:K26)+L27*AN668*AP668/(1+AL668/100)^$B$6</f>
        <v/>
      </c>
      <c r="AT668">
        <f>AS668-AR668</f>
        <v/>
      </c>
      <c r="AU668">
        <f>RAND()</f>
        <v/>
      </c>
      <c r="AV668">
        <f>RAND()</f>
        <v/>
      </c>
      <c r="AW668">
        <f>RAND()</f>
        <v/>
      </c>
      <c r="AX668">
        <f>RAND()</f>
        <v/>
      </c>
      <c r="AY668">
        <f>RAND()</f>
        <v/>
      </c>
      <c r="AZ668">
        <f>RAND()</f>
        <v/>
      </c>
    </row>
    <row r="669">
      <c r="AK669" t="n">
        <v>656</v>
      </c>
      <c r="AL669">
        <f>IFERROR(IF(AU669&lt;($AM$6-$AL$6)/($AN$6-$AL$6),$AL$6+SQRT(AU669*($AN$6-$AL$6)*($AM$6-$AL$6)),$AN$6-SQRT((1-AU669)*($AN$6-$AL$6)*($AN$6-$AM$6))),$AM$6)</f>
        <v/>
      </c>
      <c r="AM669">
        <f>IFERROR(IF(AV669&lt;($AM$7-$AL$7)/($AN$7-$AL$7),$AL$7+SQRT(AV669*($AN$7-$AL$7)*($AM$7-$AL$7)),$AN$7-SQRT((1-AV669)*($AN$7-$AL$7)*($AN$7-$AM$7))),$AM$7)</f>
        <v/>
      </c>
      <c r="AN669">
        <f>IFERROR(IF(AW669&lt;($AM$8-$AL$8)/($AN$8-$AL$8),$AL$8+SQRT(AW669*($AN$8-$AL$8)*($AM$8-$AL$8)),$AN$8-SQRT((1-AW669)*($AN$8-$AL$8)*($AN$8-$AM$8))),$AM$8)</f>
        <v/>
      </c>
      <c r="AO669">
        <f>IFERROR(IF(AX669&lt;($AM$9-$AL$9)/($AN$9-$AL$9),$AL$9+SQRT(AX669*($AN$9-$AL$9)*($AM$9-$AL$9)),$AN$9-SQRT((1-AX669)*($AN$9-$AL$9)*($AN$9-$AM$9))),$AM$9)</f>
        <v/>
      </c>
      <c r="AP669">
        <f>IFERROR(IF(AY669&lt;($AM$10-$AL$10)/($AN$10-$AL$10),$AL$10+SQRT(AY669*($AN$10-$AL$10)*($AM$10-$AL$10)),$AN$10-SQRT((1-AY669)*($AN$10-$AL$10)*($AN$10-$AM$10))),$AM$10)</f>
        <v/>
      </c>
      <c r="AQ669">
        <f>IFERROR(IF(AZ669&lt;($AM$11-$AL$11)/($AN$11-$AL$11),$AL$11+SQRT(AZ669*($AN$11-$AL$11)*($AM$11-$AL$11)),$AN$11-SQRT((1-AZ669)*($AN$11-$AL$11)*($AN$11-$AM$11))),$AM$11)</f>
        <v/>
      </c>
      <c r="AR669">
        <f>SUMPRODUCT((B24:B31&lt;=$B$6)*(C24:C31*AM669+D24:D31*AO669*$B$8*AQ669)/(1+AL669/100)^B24:B31)+C32*AM669*AP669/(1+AL669/100)^$B$6</f>
        <v/>
      </c>
      <c r="AS669">
        <f>SUMPRODUCT((K24:K26&lt;=$B$6)*(L24:L26*AN669+M24:M26*AO669*$B$8*AQ669)/(1+AL669/100)^K24:K26)+L27*AN669*AP669/(1+AL669/100)^$B$6</f>
        <v/>
      </c>
      <c r="AT669">
        <f>AS669-AR669</f>
        <v/>
      </c>
      <c r="AU669">
        <f>RAND()</f>
        <v/>
      </c>
      <c r="AV669">
        <f>RAND()</f>
        <v/>
      </c>
      <c r="AW669">
        <f>RAND()</f>
        <v/>
      </c>
      <c r="AX669">
        <f>RAND()</f>
        <v/>
      </c>
      <c r="AY669">
        <f>RAND()</f>
        <v/>
      </c>
      <c r="AZ669">
        <f>RAND()</f>
        <v/>
      </c>
    </row>
    <row r="670">
      <c r="AK670" t="n">
        <v>657</v>
      </c>
      <c r="AL670">
        <f>IFERROR(IF(AU670&lt;($AM$6-$AL$6)/($AN$6-$AL$6),$AL$6+SQRT(AU670*($AN$6-$AL$6)*($AM$6-$AL$6)),$AN$6-SQRT((1-AU670)*($AN$6-$AL$6)*($AN$6-$AM$6))),$AM$6)</f>
        <v/>
      </c>
      <c r="AM670">
        <f>IFERROR(IF(AV670&lt;($AM$7-$AL$7)/($AN$7-$AL$7),$AL$7+SQRT(AV670*($AN$7-$AL$7)*($AM$7-$AL$7)),$AN$7-SQRT((1-AV670)*($AN$7-$AL$7)*($AN$7-$AM$7))),$AM$7)</f>
        <v/>
      </c>
      <c r="AN670">
        <f>IFERROR(IF(AW670&lt;($AM$8-$AL$8)/($AN$8-$AL$8),$AL$8+SQRT(AW670*($AN$8-$AL$8)*($AM$8-$AL$8)),$AN$8-SQRT((1-AW670)*($AN$8-$AL$8)*($AN$8-$AM$8))),$AM$8)</f>
        <v/>
      </c>
      <c r="AO670">
        <f>IFERROR(IF(AX670&lt;($AM$9-$AL$9)/($AN$9-$AL$9),$AL$9+SQRT(AX670*($AN$9-$AL$9)*($AM$9-$AL$9)),$AN$9-SQRT((1-AX670)*($AN$9-$AL$9)*($AN$9-$AM$9))),$AM$9)</f>
        <v/>
      </c>
      <c r="AP670">
        <f>IFERROR(IF(AY670&lt;($AM$10-$AL$10)/($AN$10-$AL$10),$AL$10+SQRT(AY670*($AN$10-$AL$10)*($AM$10-$AL$10)),$AN$10-SQRT((1-AY670)*($AN$10-$AL$10)*($AN$10-$AM$10))),$AM$10)</f>
        <v/>
      </c>
      <c r="AQ670">
        <f>IFERROR(IF(AZ670&lt;($AM$11-$AL$11)/($AN$11-$AL$11),$AL$11+SQRT(AZ670*($AN$11-$AL$11)*($AM$11-$AL$11)),$AN$11-SQRT((1-AZ670)*($AN$11-$AL$11)*($AN$11-$AM$11))),$AM$11)</f>
        <v/>
      </c>
      <c r="AR670">
        <f>SUMPRODUCT((B24:B31&lt;=$B$6)*(C24:C31*AM670+D24:D31*AO670*$B$8*AQ670)/(1+AL670/100)^B24:B31)+C32*AM670*AP670/(1+AL670/100)^$B$6</f>
        <v/>
      </c>
      <c r="AS670">
        <f>SUMPRODUCT((K24:K26&lt;=$B$6)*(L24:L26*AN670+M24:M26*AO670*$B$8*AQ670)/(1+AL670/100)^K24:K26)+L27*AN670*AP670/(1+AL670/100)^$B$6</f>
        <v/>
      </c>
      <c r="AT670">
        <f>AS670-AR670</f>
        <v/>
      </c>
      <c r="AU670">
        <f>RAND()</f>
        <v/>
      </c>
      <c r="AV670">
        <f>RAND()</f>
        <v/>
      </c>
      <c r="AW670">
        <f>RAND()</f>
        <v/>
      </c>
      <c r="AX670">
        <f>RAND()</f>
        <v/>
      </c>
      <c r="AY670">
        <f>RAND()</f>
        <v/>
      </c>
      <c r="AZ670">
        <f>RAND()</f>
        <v/>
      </c>
    </row>
    <row r="671">
      <c r="AK671" t="n">
        <v>658</v>
      </c>
      <c r="AL671">
        <f>IFERROR(IF(AU671&lt;($AM$6-$AL$6)/($AN$6-$AL$6),$AL$6+SQRT(AU671*($AN$6-$AL$6)*($AM$6-$AL$6)),$AN$6-SQRT((1-AU671)*($AN$6-$AL$6)*($AN$6-$AM$6))),$AM$6)</f>
        <v/>
      </c>
      <c r="AM671">
        <f>IFERROR(IF(AV671&lt;($AM$7-$AL$7)/($AN$7-$AL$7),$AL$7+SQRT(AV671*($AN$7-$AL$7)*($AM$7-$AL$7)),$AN$7-SQRT((1-AV671)*($AN$7-$AL$7)*($AN$7-$AM$7))),$AM$7)</f>
        <v/>
      </c>
      <c r="AN671">
        <f>IFERROR(IF(AW671&lt;($AM$8-$AL$8)/($AN$8-$AL$8),$AL$8+SQRT(AW671*($AN$8-$AL$8)*($AM$8-$AL$8)),$AN$8-SQRT((1-AW671)*($AN$8-$AL$8)*($AN$8-$AM$8))),$AM$8)</f>
        <v/>
      </c>
      <c r="AO671">
        <f>IFERROR(IF(AX671&lt;($AM$9-$AL$9)/($AN$9-$AL$9),$AL$9+SQRT(AX671*($AN$9-$AL$9)*($AM$9-$AL$9)),$AN$9-SQRT((1-AX671)*($AN$9-$AL$9)*($AN$9-$AM$9))),$AM$9)</f>
        <v/>
      </c>
      <c r="AP671">
        <f>IFERROR(IF(AY671&lt;($AM$10-$AL$10)/($AN$10-$AL$10),$AL$10+SQRT(AY671*($AN$10-$AL$10)*($AM$10-$AL$10)),$AN$10-SQRT((1-AY671)*($AN$10-$AL$10)*($AN$10-$AM$10))),$AM$10)</f>
        <v/>
      </c>
      <c r="AQ671">
        <f>IFERROR(IF(AZ671&lt;($AM$11-$AL$11)/($AN$11-$AL$11),$AL$11+SQRT(AZ671*($AN$11-$AL$11)*($AM$11-$AL$11)),$AN$11-SQRT((1-AZ671)*($AN$11-$AL$11)*($AN$11-$AM$11))),$AM$11)</f>
        <v/>
      </c>
      <c r="AR671">
        <f>SUMPRODUCT((B24:B31&lt;=$B$6)*(C24:C31*AM671+D24:D31*AO671*$B$8*AQ671)/(1+AL671/100)^B24:B31)+C32*AM671*AP671/(1+AL671/100)^$B$6</f>
        <v/>
      </c>
      <c r="AS671">
        <f>SUMPRODUCT((K24:K26&lt;=$B$6)*(L24:L26*AN671+M24:M26*AO671*$B$8*AQ671)/(1+AL671/100)^K24:K26)+L27*AN671*AP671/(1+AL671/100)^$B$6</f>
        <v/>
      </c>
      <c r="AT671">
        <f>AS671-AR671</f>
        <v/>
      </c>
      <c r="AU671">
        <f>RAND()</f>
        <v/>
      </c>
      <c r="AV671">
        <f>RAND()</f>
        <v/>
      </c>
      <c r="AW671">
        <f>RAND()</f>
        <v/>
      </c>
      <c r="AX671">
        <f>RAND()</f>
        <v/>
      </c>
      <c r="AY671">
        <f>RAND()</f>
        <v/>
      </c>
      <c r="AZ671">
        <f>RAND()</f>
        <v/>
      </c>
    </row>
    <row r="672">
      <c r="AK672" t="n">
        <v>659</v>
      </c>
      <c r="AL672">
        <f>IFERROR(IF(AU672&lt;($AM$6-$AL$6)/($AN$6-$AL$6),$AL$6+SQRT(AU672*($AN$6-$AL$6)*($AM$6-$AL$6)),$AN$6-SQRT((1-AU672)*($AN$6-$AL$6)*($AN$6-$AM$6))),$AM$6)</f>
        <v/>
      </c>
      <c r="AM672">
        <f>IFERROR(IF(AV672&lt;($AM$7-$AL$7)/($AN$7-$AL$7),$AL$7+SQRT(AV672*($AN$7-$AL$7)*($AM$7-$AL$7)),$AN$7-SQRT((1-AV672)*($AN$7-$AL$7)*($AN$7-$AM$7))),$AM$7)</f>
        <v/>
      </c>
      <c r="AN672">
        <f>IFERROR(IF(AW672&lt;($AM$8-$AL$8)/($AN$8-$AL$8),$AL$8+SQRT(AW672*($AN$8-$AL$8)*($AM$8-$AL$8)),$AN$8-SQRT((1-AW672)*($AN$8-$AL$8)*($AN$8-$AM$8))),$AM$8)</f>
        <v/>
      </c>
      <c r="AO672">
        <f>IFERROR(IF(AX672&lt;($AM$9-$AL$9)/($AN$9-$AL$9),$AL$9+SQRT(AX672*($AN$9-$AL$9)*($AM$9-$AL$9)),$AN$9-SQRT((1-AX672)*($AN$9-$AL$9)*($AN$9-$AM$9))),$AM$9)</f>
        <v/>
      </c>
      <c r="AP672">
        <f>IFERROR(IF(AY672&lt;($AM$10-$AL$10)/($AN$10-$AL$10),$AL$10+SQRT(AY672*($AN$10-$AL$10)*($AM$10-$AL$10)),$AN$10-SQRT((1-AY672)*($AN$10-$AL$10)*($AN$10-$AM$10))),$AM$10)</f>
        <v/>
      </c>
      <c r="AQ672">
        <f>IFERROR(IF(AZ672&lt;($AM$11-$AL$11)/($AN$11-$AL$11),$AL$11+SQRT(AZ672*($AN$11-$AL$11)*($AM$11-$AL$11)),$AN$11-SQRT((1-AZ672)*($AN$11-$AL$11)*($AN$11-$AM$11))),$AM$11)</f>
        <v/>
      </c>
      <c r="AR672">
        <f>SUMPRODUCT((B24:B31&lt;=$B$6)*(C24:C31*AM672+D24:D31*AO672*$B$8*AQ672)/(1+AL672/100)^B24:B31)+C32*AM672*AP672/(1+AL672/100)^$B$6</f>
        <v/>
      </c>
      <c r="AS672">
        <f>SUMPRODUCT((K24:K26&lt;=$B$6)*(L24:L26*AN672+M24:M26*AO672*$B$8*AQ672)/(1+AL672/100)^K24:K26)+L27*AN672*AP672/(1+AL672/100)^$B$6</f>
        <v/>
      </c>
      <c r="AT672">
        <f>AS672-AR672</f>
        <v/>
      </c>
      <c r="AU672">
        <f>RAND()</f>
        <v/>
      </c>
      <c r="AV672">
        <f>RAND()</f>
        <v/>
      </c>
      <c r="AW672">
        <f>RAND()</f>
        <v/>
      </c>
      <c r="AX672">
        <f>RAND()</f>
        <v/>
      </c>
      <c r="AY672">
        <f>RAND()</f>
        <v/>
      </c>
      <c r="AZ672">
        <f>RAND()</f>
        <v/>
      </c>
    </row>
    <row r="673">
      <c r="AK673" t="n">
        <v>660</v>
      </c>
      <c r="AL673">
        <f>IFERROR(IF(AU673&lt;($AM$6-$AL$6)/($AN$6-$AL$6),$AL$6+SQRT(AU673*($AN$6-$AL$6)*($AM$6-$AL$6)),$AN$6-SQRT((1-AU673)*($AN$6-$AL$6)*($AN$6-$AM$6))),$AM$6)</f>
        <v/>
      </c>
      <c r="AM673">
        <f>IFERROR(IF(AV673&lt;($AM$7-$AL$7)/($AN$7-$AL$7),$AL$7+SQRT(AV673*($AN$7-$AL$7)*($AM$7-$AL$7)),$AN$7-SQRT((1-AV673)*($AN$7-$AL$7)*($AN$7-$AM$7))),$AM$7)</f>
        <v/>
      </c>
      <c r="AN673">
        <f>IFERROR(IF(AW673&lt;($AM$8-$AL$8)/($AN$8-$AL$8),$AL$8+SQRT(AW673*($AN$8-$AL$8)*($AM$8-$AL$8)),$AN$8-SQRT((1-AW673)*($AN$8-$AL$8)*($AN$8-$AM$8))),$AM$8)</f>
        <v/>
      </c>
      <c r="AO673">
        <f>IFERROR(IF(AX673&lt;($AM$9-$AL$9)/($AN$9-$AL$9),$AL$9+SQRT(AX673*($AN$9-$AL$9)*($AM$9-$AL$9)),$AN$9-SQRT((1-AX673)*($AN$9-$AL$9)*($AN$9-$AM$9))),$AM$9)</f>
        <v/>
      </c>
      <c r="AP673">
        <f>IFERROR(IF(AY673&lt;($AM$10-$AL$10)/($AN$10-$AL$10),$AL$10+SQRT(AY673*($AN$10-$AL$10)*($AM$10-$AL$10)),$AN$10-SQRT((1-AY673)*($AN$10-$AL$10)*($AN$10-$AM$10))),$AM$10)</f>
        <v/>
      </c>
      <c r="AQ673">
        <f>IFERROR(IF(AZ673&lt;($AM$11-$AL$11)/($AN$11-$AL$11),$AL$11+SQRT(AZ673*($AN$11-$AL$11)*($AM$11-$AL$11)),$AN$11-SQRT((1-AZ673)*($AN$11-$AL$11)*($AN$11-$AM$11))),$AM$11)</f>
        <v/>
      </c>
      <c r="AR673">
        <f>SUMPRODUCT((B24:B31&lt;=$B$6)*(C24:C31*AM673+D24:D31*AO673*$B$8*AQ673)/(1+AL673/100)^B24:B31)+C32*AM673*AP673/(1+AL673/100)^$B$6</f>
        <v/>
      </c>
      <c r="AS673">
        <f>SUMPRODUCT((K24:K26&lt;=$B$6)*(L24:L26*AN673+M24:M26*AO673*$B$8*AQ673)/(1+AL673/100)^K24:K26)+L27*AN673*AP673/(1+AL673/100)^$B$6</f>
        <v/>
      </c>
      <c r="AT673">
        <f>AS673-AR673</f>
        <v/>
      </c>
      <c r="AU673">
        <f>RAND()</f>
        <v/>
      </c>
      <c r="AV673">
        <f>RAND()</f>
        <v/>
      </c>
      <c r="AW673">
        <f>RAND()</f>
        <v/>
      </c>
      <c r="AX673">
        <f>RAND()</f>
        <v/>
      </c>
      <c r="AY673">
        <f>RAND()</f>
        <v/>
      </c>
      <c r="AZ673">
        <f>RAND()</f>
        <v/>
      </c>
    </row>
    <row r="674">
      <c r="AK674" t="n">
        <v>661</v>
      </c>
      <c r="AL674">
        <f>IFERROR(IF(AU674&lt;($AM$6-$AL$6)/($AN$6-$AL$6),$AL$6+SQRT(AU674*($AN$6-$AL$6)*($AM$6-$AL$6)),$AN$6-SQRT((1-AU674)*($AN$6-$AL$6)*($AN$6-$AM$6))),$AM$6)</f>
        <v/>
      </c>
      <c r="AM674">
        <f>IFERROR(IF(AV674&lt;($AM$7-$AL$7)/($AN$7-$AL$7),$AL$7+SQRT(AV674*($AN$7-$AL$7)*($AM$7-$AL$7)),$AN$7-SQRT((1-AV674)*($AN$7-$AL$7)*($AN$7-$AM$7))),$AM$7)</f>
        <v/>
      </c>
      <c r="AN674">
        <f>IFERROR(IF(AW674&lt;($AM$8-$AL$8)/($AN$8-$AL$8),$AL$8+SQRT(AW674*($AN$8-$AL$8)*($AM$8-$AL$8)),$AN$8-SQRT((1-AW674)*($AN$8-$AL$8)*($AN$8-$AM$8))),$AM$8)</f>
        <v/>
      </c>
      <c r="AO674">
        <f>IFERROR(IF(AX674&lt;($AM$9-$AL$9)/($AN$9-$AL$9),$AL$9+SQRT(AX674*($AN$9-$AL$9)*($AM$9-$AL$9)),$AN$9-SQRT((1-AX674)*($AN$9-$AL$9)*($AN$9-$AM$9))),$AM$9)</f>
        <v/>
      </c>
      <c r="AP674">
        <f>IFERROR(IF(AY674&lt;($AM$10-$AL$10)/($AN$10-$AL$10),$AL$10+SQRT(AY674*($AN$10-$AL$10)*($AM$10-$AL$10)),$AN$10-SQRT((1-AY674)*($AN$10-$AL$10)*($AN$10-$AM$10))),$AM$10)</f>
        <v/>
      </c>
      <c r="AQ674">
        <f>IFERROR(IF(AZ674&lt;($AM$11-$AL$11)/($AN$11-$AL$11),$AL$11+SQRT(AZ674*($AN$11-$AL$11)*($AM$11-$AL$11)),$AN$11-SQRT((1-AZ674)*($AN$11-$AL$11)*($AN$11-$AM$11))),$AM$11)</f>
        <v/>
      </c>
      <c r="AR674">
        <f>SUMPRODUCT((B24:B31&lt;=$B$6)*(C24:C31*AM674+D24:D31*AO674*$B$8*AQ674)/(1+AL674/100)^B24:B31)+C32*AM674*AP674/(1+AL674/100)^$B$6</f>
        <v/>
      </c>
      <c r="AS674">
        <f>SUMPRODUCT((K24:K26&lt;=$B$6)*(L24:L26*AN674+M24:M26*AO674*$B$8*AQ674)/(1+AL674/100)^K24:K26)+L27*AN674*AP674/(1+AL674/100)^$B$6</f>
        <v/>
      </c>
      <c r="AT674">
        <f>AS674-AR674</f>
        <v/>
      </c>
      <c r="AU674">
        <f>RAND()</f>
        <v/>
      </c>
      <c r="AV674">
        <f>RAND()</f>
        <v/>
      </c>
      <c r="AW674">
        <f>RAND()</f>
        <v/>
      </c>
      <c r="AX674">
        <f>RAND()</f>
        <v/>
      </c>
      <c r="AY674">
        <f>RAND()</f>
        <v/>
      </c>
      <c r="AZ674">
        <f>RAND()</f>
        <v/>
      </c>
    </row>
    <row r="675">
      <c r="AK675" t="n">
        <v>662</v>
      </c>
      <c r="AL675">
        <f>IFERROR(IF(AU675&lt;($AM$6-$AL$6)/($AN$6-$AL$6),$AL$6+SQRT(AU675*($AN$6-$AL$6)*($AM$6-$AL$6)),$AN$6-SQRT((1-AU675)*($AN$6-$AL$6)*($AN$6-$AM$6))),$AM$6)</f>
        <v/>
      </c>
      <c r="AM675">
        <f>IFERROR(IF(AV675&lt;($AM$7-$AL$7)/($AN$7-$AL$7),$AL$7+SQRT(AV675*($AN$7-$AL$7)*($AM$7-$AL$7)),$AN$7-SQRT((1-AV675)*($AN$7-$AL$7)*($AN$7-$AM$7))),$AM$7)</f>
        <v/>
      </c>
      <c r="AN675">
        <f>IFERROR(IF(AW675&lt;($AM$8-$AL$8)/($AN$8-$AL$8),$AL$8+SQRT(AW675*($AN$8-$AL$8)*($AM$8-$AL$8)),$AN$8-SQRT((1-AW675)*($AN$8-$AL$8)*($AN$8-$AM$8))),$AM$8)</f>
        <v/>
      </c>
      <c r="AO675">
        <f>IFERROR(IF(AX675&lt;($AM$9-$AL$9)/($AN$9-$AL$9),$AL$9+SQRT(AX675*($AN$9-$AL$9)*($AM$9-$AL$9)),$AN$9-SQRT((1-AX675)*($AN$9-$AL$9)*($AN$9-$AM$9))),$AM$9)</f>
        <v/>
      </c>
      <c r="AP675">
        <f>IFERROR(IF(AY675&lt;($AM$10-$AL$10)/($AN$10-$AL$10),$AL$10+SQRT(AY675*($AN$10-$AL$10)*($AM$10-$AL$10)),$AN$10-SQRT((1-AY675)*($AN$10-$AL$10)*($AN$10-$AM$10))),$AM$10)</f>
        <v/>
      </c>
      <c r="AQ675">
        <f>IFERROR(IF(AZ675&lt;($AM$11-$AL$11)/($AN$11-$AL$11),$AL$11+SQRT(AZ675*($AN$11-$AL$11)*($AM$11-$AL$11)),$AN$11-SQRT((1-AZ675)*($AN$11-$AL$11)*($AN$11-$AM$11))),$AM$11)</f>
        <v/>
      </c>
      <c r="AR675">
        <f>SUMPRODUCT((B24:B31&lt;=$B$6)*(C24:C31*AM675+D24:D31*AO675*$B$8*AQ675)/(1+AL675/100)^B24:B31)+C32*AM675*AP675/(1+AL675/100)^$B$6</f>
        <v/>
      </c>
      <c r="AS675">
        <f>SUMPRODUCT((K24:K26&lt;=$B$6)*(L24:L26*AN675+M24:M26*AO675*$B$8*AQ675)/(1+AL675/100)^K24:K26)+L27*AN675*AP675/(1+AL675/100)^$B$6</f>
        <v/>
      </c>
      <c r="AT675">
        <f>AS675-AR675</f>
        <v/>
      </c>
      <c r="AU675">
        <f>RAND()</f>
        <v/>
      </c>
      <c r="AV675">
        <f>RAND()</f>
        <v/>
      </c>
      <c r="AW675">
        <f>RAND()</f>
        <v/>
      </c>
      <c r="AX675">
        <f>RAND()</f>
        <v/>
      </c>
      <c r="AY675">
        <f>RAND()</f>
        <v/>
      </c>
      <c r="AZ675">
        <f>RAND()</f>
        <v/>
      </c>
    </row>
    <row r="676">
      <c r="AK676" t="n">
        <v>663</v>
      </c>
      <c r="AL676">
        <f>IFERROR(IF(AU676&lt;($AM$6-$AL$6)/($AN$6-$AL$6),$AL$6+SQRT(AU676*($AN$6-$AL$6)*($AM$6-$AL$6)),$AN$6-SQRT((1-AU676)*($AN$6-$AL$6)*($AN$6-$AM$6))),$AM$6)</f>
        <v/>
      </c>
      <c r="AM676">
        <f>IFERROR(IF(AV676&lt;($AM$7-$AL$7)/($AN$7-$AL$7),$AL$7+SQRT(AV676*($AN$7-$AL$7)*($AM$7-$AL$7)),$AN$7-SQRT((1-AV676)*($AN$7-$AL$7)*($AN$7-$AM$7))),$AM$7)</f>
        <v/>
      </c>
      <c r="AN676">
        <f>IFERROR(IF(AW676&lt;($AM$8-$AL$8)/($AN$8-$AL$8),$AL$8+SQRT(AW676*($AN$8-$AL$8)*($AM$8-$AL$8)),$AN$8-SQRT((1-AW676)*($AN$8-$AL$8)*($AN$8-$AM$8))),$AM$8)</f>
        <v/>
      </c>
      <c r="AO676">
        <f>IFERROR(IF(AX676&lt;($AM$9-$AL$9)/($AN$9-$AL$9),$AL$9+SQRT(AX676*($AN$9-$AL$9)*($AM$9-$AL$9)),$AN$9-SQRT((1-AX676)*($AN$9-$AL$9)*($AN$9-$AM$9))),$AM$9)</f>
        <v/>
      </c>
      <c r="AP676">
        <f>IFERROR(IF(AY676&lt;($AM$10-$AL$10)/($AN$10-$AL$10),$AL$10+SQRT(AY676*($AN$10-$AL$10)*($AM$10-$AL$10)),$AN$10-SQRT((1-AY676)*($AN$10-$AL$10)*($AN$10-$AM$10))),$AM$10)</f>
        <v/>
      </c>
      <c r="AQ676">
        <f>IFERROR(IF(AZ676&lt;($AM$11-$AL$11)/($AN$11-$AL$11),$AL$11+SQRT(AZ676*($AN$11-$AL$11)*($AM$11-$AL$11)),$AN$11-SQRT((1-AZ676)*($AN$11-$AL$11)*($AN$11-$AM$11))),$AM$11)</f>
        <v/>
      </c>
      <c r="AR676">
        <f>SUMPRODUCT((B24:B31&lt;=$B$6)*(C24:C31*AM676+D24:D31*AO676*$B$8*AQ676)/(1+AL676/100)^B24:B31)+C32*AM676*AP676/(1+AL676/100)^$B$6</f>
        <v/>
      </c>
      <c r="AS676">
        <f>SUMPRODUCT((K24:K26&lt;=$B$6)*(L24:L26*AN676+M24:M26*AO676*$B$8*AQ676)/(1+AL676/100)^K24:K26)+L27*AN676*AP676/(1+AL676/100)^$B$6</f>
        <v/>
      </c>
      <c r="AT676">
        <f>AS676-AR676</f>
        <v/>
      </c>
      <c r="AU676">
        <f>RAND()</f>
        <v/>
      </c>
      <c r="AV676">
        <f>RAND()</f>
        <v/>
      </c>
      <c r="AW676">
        <f>RAND()</f>
        <v/>
      </c>
      <c r="AX676">
        <f>RAND()</f>
        <v/>
      </c>
      <c r="AY676">
        <f>RAND()</f>
        <v/>
      </c>
      <c r="AZ676">
        <f>RAND()</f>
        <v/>
      </c>
    </row>
    <row r="677">
      <c r="AK677" t="n">
        <v>664</v>
      </c>
      <c r="AL677">
        <f>IFERROR(IF(AU677&lt;($AM$6-$AL$6)/($AN$6-$AL$6),$AL$6+SQRT(AU677*($AN$6-$AL$6)*($AM$6-$AL$6)),$AN$6-SQRT((1-AU677)*($AN$6-$AL$6)*($AN$6-$AM$6))),$AM$6)</f>
        <v/>
      </c>
      <c r="AM677">
        <f>IFERROR(IF(AV677&lt;($AM$7-$AL$7)/($AN$7-$AL$7),$AL$7+SQRT(AV677*($AN$7-$AL$7)*($AM$7-$AL$7)),$AN$7-SQRT((1-AV677)*($AN$7-$AL$7)*($AN$7-$AM$7))),$AM$7)</f>
        <v/>
      </c>
      <c r="AN677">
        <f>IFERROR(IF(AW677&lt;($AM$8-$AL$8)/($AN$8-$AL$8),$AL$8+SQRT(AW677*($AN$8-$AL$8)*($AM$8-$AL$8)),$AN$8-SQRT((1-AW677)*($AN$8-$AL$8)*($AN$8-$AM$8))),$AM$8)</f>
        <v/>
      </c>
      <c r="AO677">
        <f>IFERROR(IF(AX677&lt;($AM$9-$AL$9)/($AN$9-$AL$9),$AL$9+SQRT(AX677*($AN$9-$AL$9)*($AM$9-$AL$9)),$AN$9-SQRT((1-AX677)*($AN$9-$AL$9)*($AN$9-$AM$9))),$AM$9)</f>
        <v/>
      </c>
      <c r="AP677">
        <f>IFERROR(IF(AY677&lt;($AM$10-$AL$10)/($AN$10-$AL$10),$AL$10+SQRT(AY677*($AN$10-$AL$10)*($AM$10-$AL$10)),$AN$10-SQRT((1-AY677)*($AN$10-$AL$10)*($AN$10-$AM$10))),$AM$10)</f>
        <v/>
      </c>
      <c r="AQ677">
        <f>IFERROR(IF(AZ677&lt;($AM$11-$AL$11)/($AN$11-$AL$11),$AL$11+SQRT(AZ677*($AN$11-$AL$11)*($AM$11-$AL$11)),$AN$11-SQRT((1-AZ677)*($AN$11-$AL$11)*($AN$11-$AM$11))),$AM$11)</f>
        <v/>
      </c>
      <c r="AR677">
        <f>SUMPRODUCT((B24:B31&lt;=$B$6)*(C24:C31*AM677+D24:D31*AO677*$B$8*AQ677)/(1+AL677/100)^B24:B31)+C32*AM677*AP677/(1+AL677/100)^$B$6</f>
        <v/>
      </c>
      <c r="AS677">
        <f>SUMPRODUCT((K24:K26&lt;=$B$6)*(L24:L26*AN677+M24:M26*AO677*$B$8*AQ677)/(1+AL677/100)^K24:K26)+L27*AN677*AP677/(1+AL677/100)^$B$6</f>
        <v/>
      </c>
      <c r="AT677">
        <f>AS677-AR677</f>
        <v/>
      </c>
      <c r="AU677">
        <f>RAND()</f>
        <v/>
      </c>
      <c r="AV677">
        <f>RAND()</f>
        <v/>
      </c>
      <c r="AW677">
        <f>RAND()</f>
        <v/>
      </c>
      <c r="AX677">
        <f>RAND()</f>
        <v/>
      </c>
      <c r="AY677">
        <f>RAND()</f>
        <v/>
      </c>
      <c r="AZ677">
        <f>RAND()</f>
        <v/>
      </c>
    </row>
    <row r="678">
      <c r="AK678" t="n">
        <v>665</v>
      </c>
      <c r="AL678">
        <f>IFERROR(IF(AU678&lt;($AM$6-$AL$6)/($AN$6-$AL$6),$AL$6+SQRT(AU678*($AN$6-$AL$6)*($AM$6-$AL$6)),$AN$6-SQRT((1-AU678)*($AN$6-$AL$6)*($AN$6-$AM$6))),$AM$6)</f>
        <v/>
      </c>
      <c r="AM678">
        <f>IFERROR(IF(AV678&lt;($AM$7-$AL$7)/($AN$7-$AL$7),$AL$7+SQRT(AV678*($AN$7-$AL$7)*($AM$7-$AL$7)),$AN$7-SQRT((1-AV678)*($AN$7-$AL$7)*($AN$7-$AM$7))),$AM$7)</f>
        <v/>
      </c>
      <c r="AN678">
        <f>IFERROR(IF(AW678&lt;($AM$8-$AL$8)/($AN$8-$AL$8),$AL$8+SQRT(AW678*($AN$8-$AL$8)*($AM$8-$AL$8)),$AN$8-SQRT((1-AW678)*($AN$8-$AL$8)*($AN$8-$AM$8))),$AM$8)</f>
        <v/>
      </c>
      <c r="AO678">
        <f>IFERROR(IF(AX678&lt;($AM$9-$AL$9)/($AN$9-$AL$9),$AL$9+SQRT(AX678*($AN$9-$AL$9)*($AM$9-$AL$9)),$AN$9-SQRT((1-AX678)*($AN$9-$AL$9)*($AN$9-$AM$9))),$AM$9)</f>
        <v/>
      </c>
      <c r="AP678">
        <f>IFERROR(IF(AY678&lt;($AM$10-$AL$10)/($AN$10-$AL$10),$AL$10+SQRT(AY678*($AN$10-$AL$10)*($AM$10-$AL$10)),$AN$10-SQRT((1-AY678)*($AN$10-$AL$10)*($AN$10-$AM$10))),$AM$10)</f>
        <v/>
      </c>
      <c r="AQ678">
        <f>IFERROR(IF(AZ678&lt;($AM$11-$AL$11)/($AN$11-$AL$11),$AL$11+SQRT(AZ678*($AN$11-$AL$11)*($AM$11-$AL$11)),$AN$11-SQRT((1-AZ678)*($AN$11-$AL$11)*($AN$11-$AM$11))),$AM$11)</f>
        <v/>
      </c>
      <c r="AR678">
        <f>SUMPRODUCT((B24:B31&lt;=$B$6)*(C24:C31*AM678+D24:D31*AO678*$B$8*AQ678)/(1+AL678/100)^B24:B31)+C32*AM678*AP678/(1+AL678/100)^$B$6</f>
        <v/>
      </c>
      <c r="AS678">
        <f>SUMPRODUCT((K24:K26&lt;=$B$6)*(L24:L26*AN678+M24:M26*AO678*$B$8*AQ678)/(1+AL678/100)^K24:K26)+L27*AN678*AP678/(1+AL678/100)^$B$6</f>
        <v/>
      </c>
      <c r="AT678">
        <f>AS678-AR678</f>
        <v/>
      </c>
      <c r="AU678">
        <f>RAND()</f>
        <v/>
      </c>
      <c r="AV678">
        <f>RAND()</f>
        <v/>
      </c>
      <c r="AW678">
        <f>RAND()</f>
        <v/>
      </c>
      <c r="AX678">
        <f>RAND()</f>
        <v/>
      </c>
      <c r="AY678">
        <f>RAND()</f>
        <v/>
      </c>
      <c r="AZ678">
        <f>RAND()</f>
        <v/>
      </c>
    </row>
    <row r="679">
      <c r="AK679" t="n">
        <v>666</v>
      </c>
      <c r="AL679">
        <f>IFERROR(IF(AU679&lt;($AM$6-$AL$6)/($AN$6-$AL$6),$AL$6+SQRT(AU679*($AN$6-$AL$6)*($AM$6-$AL$6)),$AN$6-SQRT((1-AU679)*($AN$6-$AL$6)*($AN$6-$AM$6))),$AM$6)</f>
        <v/>
      </c>
      <c r="AM679">
        <f>IFERROR(IF(AV679&lt;($AM$7-$AL$7)/($AN$7-$AL$7),$AL$7+SQRT(AV679*($AN$7-$AL$7)*($AM$7-$AL$7)),$AN$7-SQRT((1-AV679)*($AN$7-$AL$7)*($AN$7-$AM$7))),$AM$7)</f>
        <v/>
      </c>
      <c r="AN679">
        <f>IFERROR(IF(AW679&lt;($AM$8-$AL$8)/($AN$8-$AL$8),$AL$8+SQRT(AW679*($AN$8-$AL$8)*($AM$8-$AL$8)),$AN$8-SQRT((1-AW679)*($AN$8-$AL$8)*($AN$8-$AM$8))),$AM$8)</f>
        <v/>
      </c>
      <c r="AO679">
        <f>IFERROR(IF(AX679&lt;($AM$9-$AL$9)/($AN$9-$AL$9),$AL$9+SQRT(AX679*($AN$9-$AL$9)*($AM$9-$AL$9)),$AN$9-SQRT((1-AX679)*($AN$9-$AL$9)*($AN$9-$AM$9))),$AM$9)</f>
        <v/>
      </c>
      <c r="AP679">
        <f>IFERROR(IF(AY679&lt;($AM$10-$AL$10)/($AN$10-$AL$10),$AL$10+SQRT(AY679*($AN$10-$AL$10)*($AM$10-$AL$10)),$AN$10-SQRT((1-AY679)*($AN$10-$AL$10)*($AN$10-$AM$10))),$AM$10)</f>
        <v/>
      </c>
      <c r="AQ679">
        <f>IFERROR(IF(AZ679&lt;($AM$11-$AL$11)/($AN$11-$AL$11),$AL$11+SQRT(AZ679*($AN$11-$AL$11)*($AM$11-$AL$11)),$AN$11-SQRT((1-AZ679)*($AN$11-$AL$11)*($AN$11-$AM$11))),$AM$11)</f>
        <v/>
      </c>
      <c r="AR679">
        <f>SUMPRODUCT((B24:B31&lt;=$B$6)*(C24:C31*AM679+D24:D31*AO679*$B$8*AQ679)/(1+AL679/100)^B24:B31)+C32*AM679*AP679/(1+AL679/100)^$B$6</f>
        <v/>
      </c>
      <c r="AS679">
        <f>SUMPRODUCT((K24:K26&lt;=$B$6)*(L24:L26*AN679+M24:M26*AO679*$B$8*AQ679)/(1+AL679/100)^K24:K26)+L27*AN679*AP679/(1+AL679/100)^$B$6</f>
        <v/>
      </c>
      <c r="AT679">
        <f>AS679-AR679</f>
        <v/>
      </c>
      <c r="AU679">
        <f>RAND()</f>
        <v/>
      </c>
      <c r="AV679">
        <f>RAND()</f>
        <v/>
      </c>
      <c r="AW679">
        <f>RAND()</f>
        <v/>
      </c>
      <c r="AX679">
        <f>RAND()</f>
        <v/>
      </c>
      <c r="AY679">
        <f>RAND()</f>
        <v/>
      </c>
      <c r="AZ679">
        <f>RAND()</f>
        <v/>
      </c>
    </row>
    <row r="680">
      <c r="AK680" t="n">
        <v>667</v>
      </c>
      <c r="AL680">
        <f>IFERROR(IF(AU680&lt;($AM$6-$AL$6)/($AN$6-$AL$6),$AL$6+SQRT(AU680*($AN$6-$AL$6)*($AM$6-$AL$6)),$AN$6-SQRT((1-AU680)*($AN$6-$AL$6)*($AN$6-$AM$6))),$AM$6)</f>
        <v/>
      </c>
      <c r="AM680">
        <f>IFERROR(IF(AV680&lt;($AM$7-$AL$7)/($AN$7-$AL$7),$AL$7+SQRT(AV680*($AN$7-$AL$7)*($AM$7-$AL$7)),$AN$7-SQRT((1-AV680)*($AN$7-$AL$7)*($AN$7-$AM$7))),$AM$7)</f>
        <v/>
      </c>
      <c r="AN680">
        <f>IFERROR(IF(AW680&lt;($AM$8-$AL$8)/($AN$8-$AL$8),$AL$8+SQRT(AW680*($AN$8-$AL$8)*($AM$8-$AL$8)),$AN$8-SQRT((1-AW680)*($AN$8-$AL$8)*($AN$8-$AM$8))),$AM$8)</f>
        <v/>
      </c>
      <c r="AO680">
        <f>IFERROR(IF(AX680&lt;($AM$9-$AL$9)/($AN$9-$AL$9),$AL$9+SQRT(AX680*($AN$9-$AL$9)*($AM$9-$AL$9)),$AN$9-SQRT((1-AX680)*($AN$9-$AL$9)*($AN$9-$AM$9))),$AM$9)</f>
        <v/>
      </c>
      <c r="AP680">
        <f>IFERROR(IF(AY680&lt;($AM$10-$AL$10)/($AN$10-$AL$10),$AL$10+SQRT(AY680*($AN$10-$AL$10)*($AM$10-$AL$10)),$AN$10-SQRT((1-AY680)*($AN$10-$AL$10)*($AN$10-$AM$10))),$AM$10)</f>
        <v/>
      </c>
      <c r="AQ680">
        <f>IFERROR(IF(AZ680&lt;($AM$11-$AL$11)/($AN$11-$AL$11),$AL$11+SQRT(AZ680*($AN$11-$AL$11)*($AM$11-$AL$11)),$AN$11-SQRT((1-AZ680)*($AN$11-$AL$11)*($AN$11-$AM$11))),$AM$11)</f>
        <v/>
      </c>
      <c r="AR680">
        <f>SUMPRODUCT((B24:B31&lt;=$B$6)*(C24:C31*AM680+D24:D31*AO680*$B$8*AQ680)/(1+AL680/100)^B24:B31)+C32*AM680*AP680/(1+AL680/100)^$B$6</f>
        <v/>
      </c>
      <c r="AS680">
        <f>SUMPRODUCT((K24:K26&lt;=$B$6)*(L24:L26*AN680+M24:M26*AO680*$B$8*AQ680)/(1+AL680/100)^K24:K26)+L27*AN680*AP680/(1+AL680/100)^$B$6</f>
        <v/>
      </c>
      <c r="AT680">
        <f>AS680-AR680</f>
        <v/>
      </c>
      <c r="AU680">
        <f>RAND()</f>
        <v/>
      </c>
      <c r="AV680">
        <f>RAND()</f>
        <v/>
      </c>
      <c r="AW680">
        <f>RAND()</f>
        <v/>
      </c>
      <c r="AX680">
        <f>RAND()</f>
        <v/>
      </c>
      <c r="AY680">
        <f>RAND()</f>
        <v/>
      </c>
      <c r="AZ680">
        <f>RAND()</f>
        <v/>
      </c>
    </row>
    <row r="681">
      <c r="AK681" t="n">
        <v>668</v>
      </c>
      <c r="AL681">
        <f>IFERROR(IF(AU681&lt;($AM$6-$AL$6)/($AN$6-$AL$6),$AL$6+SQRT(AU681*($AN$6-$AL$6)*($AM$6-$AL$6)),$AN$6-SQRT((1-AU681)*($AN$6-$AL$6)*($AN$6-$AM$6))),$AM$6)</f>
        <v/>
      </c>
      <c r="AM681">
        <f>IFERROR(IF(AV681&lt;($AM$7-$AL$7)/($AN$7-$AL$7),$AL$7+SQRT(AV681*($AN$7-$AL$7)*($AM$7-$AL$7)),$AN$7-SQRT((1-AV681)*($AN$7-$AL$7)*($AN$7-$AM$7))),$AM$7)</f>
        <v/>
      </c>
      <c r="AN681">
        <f>IFERROR(IF(AW681&lt;($AM$8-$AL$8)/($AN$8-$AL$8),$AL$8+SQRT(AW681*($AN$8-$AL$8)*($AM$8-$AL$8)),$AN$8-SQRT((1-AW681)*($AN$8-$AL$8)*($AN$8-$AM$8))),$AM$8)</f>
        <v/>
      </c>
      <c r="AO681">
        <f>IFERROR(IF(AX681&lt;($AM$9-$AL$9)/($AN$9-$AL$9),$AL$9+SQRT(AX681*($AN$9-$AL$9)*($AM$9-$AL$9)),$AN$9-SQRT((1-AX681)*($AN$9-$AL$9)*($AN$9-$AM$9))),$AM$9)</f>
        <v/>
      </c>
      <c r="AP681">
        <f>IFERROR(IF(AY681&lt;($AM$10-$AL$10)/($AN$10-$AL$10),$AL$10+SQRT(AY681*($AN$10-$AL$10)*($AM$10-$AL$10)),$AN$10-SQRT((1-AY681)*($AN$10-$AL$10)*($AN$10-$AM$10))),$AM$10)</f>
        <v/>
      </c>
      <c r="AQ681">
        <f>IFERROR(IF(AZ681&lt;($AM$11-$AL$11)/($AN$11-$AL$11),$AL$11+SQRT(AZ681*($AN$11-$AL$11)*($AM$11-$AL$11)),$AN$11-SQRT((1-AZ681)*($AN$11-$AL$11)*($AN$11-$AM$11))),$AM$11)</f>
        <v/>
      </c>
      <c r="AR681">
        <f>SUMPRODUCT((B24:B31&lt;=$B$6)*(C24:C31*AM681+D24:D31*AO681*$B$8*AQ681)/(1+AL681/100)^B24:B31)+C32*AM681*AP681/(1+AL681/100)^$B$6</f>
        <v/>
      </c>
      <c r="AS681">
        <f>SUMPRODUCT((K24:K26&lt;=$B$6)*(L24:L26*AN681+M24:M26*AO681*$B$8*AQ681)/(1+AL681/100)^K24:K26)+L27*AN681*AP681/(1+AL681/100)^$B$6</f>
        <v/>
      </c>
      <c r="AT681">
        <f>AS681-AR681</f>
        <v/>
      </c>
      <c r="AU681">
        <f>RAND()</f>
        <v/>
      </c>
      <c r="AV681">
        <f>RAND()</f>
        <v/>
      </c>
      <c r="AW681">
        <f>RAND()</f>
        <v/>
      </c>
      <c r="AX681">
        <f>RAND()</f>
        <v/>
      </c>
      <c r="AY681">
        <f>RAND()</f>
        <v/>
      </c>
      <c r="AZ681">
        <f>RAND()</f>
        <v/>
      </c>
    </row>
    <row r="682">
      <c r="AK682" t="n">
        <v>669</v>
      </c>
      <c r="AL682">
        <f>IFERROR(IF(AU682&lt;($AM$6-$AL$6)/($AN$6-$AL$6),$AL$6+SQRT(AU682*($AN$6-$AL$6)*($AM$6-$AL$6)),$AN$6-SQRT((1-AU682)*($AN$6-$AL$6)*($AN$6-$AM$6))),$AM$6)</f>
        <v/>
      </c>
      <c r="AM682">
        <f>IFERROR(IF(AV682&lt;($AM$7-$AL$7)/($AN$7-$AL$7),$AL$7+SQRT(AV682*($AN$7-$AL$7)*($AM$7-$AL$7)),$AN$7-SQRT((1-AV682)*($AN$7-$AL$7)*($AN$7-$AM$7))),$AM$7)</f>
        <v/>
      </c>
      <c r="AN682">
        <f>IFERROR(IF(AW682&lt;($AM$8-$AL$8)/($AN$8-$AL$8),$AL$8+SQRT(AW682*($AN$8-$AL$8)*($AM$8-$AL$8)),$AN$8-SQRT((1-AW682)*($AN$8-$AL$8)*($AN$8-$AM$8))),$AM$8)</f>
        <v/>
      </c>
      <c r="AO682">
        <f>IFERROR(IF(AX682&lt;($AM$9-$AL$9)/($AN$9-$AL$9),$AL$9+SQRT(AX682*($AN$9-$AL$9)*($AM$9-$AL$9)),$AN$9-SQRT((1-AX682)*($AN$9-$AL$9)*($AN$9-$AM$9))),$AM$9)</f>
        <v/>
      </c>
      <c r="AP682">
        <f>IFERROR(IF(AY682&lt;($AM$10-$AL$10)/($AN$10-$AL$10),$AL$10+SQRT(AY682*($AN$10-$AL$10)*($AM$10-$AL$10)),$AN$10-SQRT((1-AY682)*($AN$10-$AL$10)*($AN$10-$AM$10))),$AM$10)</f>
        <v/>
      </c>
      <c r="AQ682">
        <f>IFERROR(IF(AZ682&lt;($AM$11-$AL$11)/($AN$11-$AL$11),$AL$11+SQRT(AZ682*($AN$11-$AL$11)*($AM$11-$AL$11)),$AN$11-SQRT((1-AZ682)*($AN$11-$AL$11)*($AN$11-$AM$11))),$AM$11)</f>
        <v/>
      </c>
      <c r="AR682">
        <f>SUMPRODUCT((B24:B31&lt;=$B$6)*(C24:C31*AM682+D24:D31*AO682*$B$8*AQ682)/(1+AL682/100)^B24:B31)+C32*AM682*AP682/(1+AL682/100)^$B$6</f>
        <v/>
      </c>
      <c r="AS682">
        <f>SUMPRODUCT((K24:K26&lt;=$B$6)*(L24:L26*AN682+M24:M26*AO682*$B$8*AQ682)/(1+AL682/100)^K24:K26)+L27*AN682*AP682/(1+AL682/100)^$B$6</f>
        <v/>
      </c>
      <c r="AT682">
        <f>AS682-AR682</f>
        <v/>
      </c>
      <c r="AU682">
        <f>RAND()</f>
        <v/>
      </c>
      <c r="AV682">
        <f>RAND()</f>
        <v/>
      </c>
      <c r="AW682">
        <f>RAND()</f>
        <v/>
      </c>
      <c r="AX682">
        <f>RAND()</f>
        <v/>
      </c>
      <c r="AY682">
        <f>RAND()</f>
        <v/>
      </c>
      <c r="AZ682">
        <f>RAND()</f>
        <v/>
      </c>
    </row>
    <row r="683">
      <c r="AK683" t="n">
        <v>670</v>
      </c>
      <c r="AL683">
        <f>IFERROR(IF(AU683&lt;($AM$6-$AL$6)/($AN$6-$AL$6),$AL$6+SQRT(AU683*($AN$6-$AL$6)*($AM$6-$AL$6)),$AN$6-SQRT((1-AU683)*($AN$6-$AL$6)*($AN$6-$AM$6))),$AM$6)</f>
        <v/>
      </c>
      <c r="AM683">
        <f>IFERROR(IF(AV683&lt;($AM$7-$AL$7)/($AN$7-$AL$7),$AL$7+SQRT(AV683*($AN$7-$AL$7)*($AM$7-$AL$7)),$AN$7-SQRT((1-AV683)*($AN$7-$AL$7)*($AN$7-$AM$7))),$AM$7)</f>
        <v/>
      </c>
      <c r="AN683">
        <f>IFERROR(IF(AW683&lt;($AM$8-$AL$8)/($AN$8-$AL$8),$AL$8+SQRT(AW683*($AN$8-$AL$8)*($AM$8-$AL$8)),$AN$8-SQRT((1-AW683)*($AN$8-$AL$8)*($AN$8-$AM$8))),$AM$8)</f>
        <v/>
      </c>
      <c r="AO683">
        <f>IFERROR(IF(AX683&lt;($AM$9-$AL$9)/($AN$9-$AL$9),$AL$9+SQRT(AX683*($AN$9-$AL$9)*($AM$9-$AL$9)),$AN$9-SQRT((1-AX683)*($AN$9-$AL$9)*($AN$9-$AM$9))),$AM$9)</f>
        <v/>
      </c>
      <c r="AP683">
        <f>IFERROR(IF(AY683&lt;($AM$10-$AL$10)/($AN$10-$AL$10),$AL$10+SQRT(AY683*($AN$10-$AL$10)*($AM$10-$AL$10)),$AN$10-SQRT((1-AY683)*($AN$10-$AL$10)*($AN$10-$AM$10))),$AM$10)</f>
        <v/>
      </c>
      <c r="AQ683">
        <f>IFERROR(IF(AZ683&lt;($AM$11-$AL$11)/($AN$11-$AL$11),$AL$11+SQRT(AZ683*($AN$11-$AL$11)*($AM$11-$AL$11)),$AN$11-SQRT((1-AZ683)*($AN$11-$AL$11)*($AN$11-$AM$11))),$AM$11)</f>
        <v/>
      </c>
      <c r="AR683">
        <f>SUMPRODUCT((B24:B31&lt;=$B$6)*(C24:C31*AM683+D24:D31*AO683*$B$8*AQ683)/(1+AL683/100)^B24:B31)+C32*AM683*AP683/(1+AL683/100)^$B$6</f>
        <v/>
      </c>
      <c r="AS683">
        <f>SUMPRODUCT((K24:K26&lt;=$B$6)*(L24:L26*AN683+M24:M26*AO683*$B$8*AQ683)/(1+AL683/100)^K24:K26)+L27*AN683*AP683/(1+AL683/100)^$B$6</f>
        <v/>
      </c>
      <c r="AT683">
        <f>AS683-AR683</f>
        <v/>
      </c>
      <c r="AU683">
        <f>RAND()</f>
        <v/>
      </c>
      <c r="AV683">
        <f>RAND()</f>
        <v/>
      </c>
      <c r="AW683">
        <f>RAND()</f>
        <v/>
      </c>
      <c r="AX683">
        <f>RAND()</f>
        <v/>
      </c>
      <c r="AY683">
        <f>RAND()</f>
        <v/>
      </c>
      <c r="AZ683">
        <f>RAND()</f>
        <v/>
      </c>
    </row>
    <row r="684">
      <c r="AK684" t="n">
        <v>671</v>
      </c>
      <c r="AL684">
        <f>IFERROR(IF(AU684&lt;($AM$6-$AL$6)/($AN$6-$AL$6),$AL$6+SQRT(AU684*($AN$6-$AL$6)*($AM$6-$AL$6)),$AN$6-SQRT((1-AU684)*($AN$6-$AL$6)*($AN$6-$AM$6))),$AM$6)</f>
        <v/>
      </c>
      <c r="AM684">
        <f>IFERROR(IF(AV684&lt;($AM$7-$AL$7)/($AN$7-$AL$7),$AL$7+SQRT(AV684*($AN$7-$AL$7)*($AM$7-$AL$7)),$AN$7-SQRT((1-AV684)*($AN$7-$AL$7)*($AN$7-$AM$7))),$AM$7)</f>
        <v/>
      </c>
      <c r="AN684">
        <f>IFERROR(IF(AW684&lt;($AM$8-$AL$8)/($AN$8-$AL$8),$AL$8+SQRT(AW684*($AN$8-$AL$8)*($AM$8-$AL$8)),$AN$8-SQRT((1-AW684)*($AN$8-$AL$8)*($AN$8-$AM$8))),$AM$8)</f>
        <v/>
      </c>
      <c r="AO684">
        <f>IFERROR(IF(AX684&lt;($AM$9-$AL$9)/($AN$9-$AL$9),$AL$9+SQRT(AX684*($AN$9-$AL$9)*($AM$9-$AL$9)),$AN$9-SQRT((1-AX684)*($AN$9-$AL$9)*($AN$9-$AM$9))),$AM$9)</f>
        <v/>
      </c>
      <c r="AP684">
        <f>IFERROR(IF(AY684&lt;($AM$10-$AL$10)/($AN$10-$AL$10),$AL$10+SQRT(AY684*($AN$10-$AL$10)*($AM$10-$AL$10)),$AN$10-SQRT((1-AY684)*($AN$10-$AL$10)*($AN$10-$AM$10))),$AM$10)</f>
        <v/>
      </c>
      <c r="AQ684">
        <f>IFERROR(IF(AZ684&lt;($AM$11-$AL$11)/($AN$11-$AL$11),$AL$11+SQRT(AZ684*($AN$11-$AL$11)*($AM$11-$AL$11)),$AN$11-SQRT((1-AZ684)*($AN$11-$AL$11)*($AN$11-$AM$11))),$AM$11)</f>
        <v/>
      </c>
      <c r="AR684">
        <f>SUMPRODUCT((B24:B31&lt;=$B$6)*(C24:C31*AM684+D24:D31*AO684*$B$8*AQ684)/(1+AL684/100)^B24:B31)+C32*AM684*AP684/(1+AL684/100)^$B$6</f>
        <v/>
      </c>
      <c r="AS684">
        <f>SUMPRODUCT((K24:K26&lt;=$B$6)*(L24:L26*AN684+M24:M26*AO684*$B$8*AQ684)/(1+AL684/100)^K24:K26)+L27*AN684*AP684/(1+AL684/100)^$B$6</f>
        <v/>
      </c>
      <c r="AT684">
        <f>AS684-AR684</f>
        <v/>
      </c>
      <c r="AU684">
        <f>RAND()</f>
        <v/>
      </c>
      <c r="AV684">
        <f>RAND()</f>
        <v/>
      </c>
      <c r="AW684">
        <f>RAND()</f>
        <v/>
      </c>
      <c r="AX684">
        <f>RAND()</f>
        <v/>
      </c>
      <c r="AY684">
        <f>RAND()</f>
        <v/>
      </c>
      <c r="AZ684">
        <f>RAND()</f>
        <v/>
      </c>
    </row>
    <row r="685">
      <c r="AK685" t="n">
        <v>672</v>
      </c>
      <c r="AL685">
        <f>IFERROR(IF(AU685&lt;($AM$6-$AL$6)/($AN$6-$AL$6),$AL$6+SQRT(AU685*($AN$6-$AL$6)*($AM$6-$AL$6)),$AN$6-SQRT((1-AU685)*($AN$6-$AL$6)*($AN$6-$AM$6))),$AM$6)</f>
        <v/>
      </c>
      <c r="AM685">
        <f>IFERROR(IF(AV685&lt;($AM$7-$AL$7)/($AN$7-$AL$7),$AL$7+SQRT(AV685*($AN$7-$AL$7)*($AM$7-$AL$7)),$AN$7-SQRT((1-AV685)*($AN$7-$AL$7)*($AN$7-$AM$7))),$AM$7)</f>
        <v/>
      </c>
      <c r="AN685">
        <f>IFERROR(IF(AW685&lt;($AM$8-$AL$8)/($AN$8-$AL$8),$AL$8+SQRT(AW685*($AN$8-$AL$8)*($AM$8-$AL$8)),$AN$8-SQRT((1-AW685)*($AN$8-$AL$8)*($AN$8-$AM$8))),$AM$8)</f>
        <v/>
      </c>
      <c r="AO685">
        <f>IFERROR(IF(AX685&lt;($AM$9-$AL$9)/($AN$9-$AL$9),$AL$9+SQRT(AX685*($AN$9-$AL$9)*($AM$9-$AL$9)),$AN$9-SQRT((1-AX685)*($AN$9-$AL$9)*($AN$9-$AM$9))),$AM$9)</f>
        <v/>
      </c>
      <c r="AP685">
        <f>IFERROR(IF(AY685&lt;($AM$10-$AL$10)/($AN$10-$AL$10),$AL$10+SQRT(AY685*($AN$10-$AL$10)*($AM$10-$AL$10)),$AN$10-SQRT((1-AY685)*($AN$10-$AL$10)*($AN$10-$AM$10))),$AM$10)</f>
        <v/>
      </c>
      <c r="AQ685">
        <f>IFERROR(IF(AZ685&lt;($AM$11-$AL$11)/($AN$11-$AL$11),$AL$11+SQRT(AZ685*($AN$11-$AL$11)*($AM$11-$AL$11)),$AN$11-SQRT((1-AZ685)*($AN$11-$AL$11)*($AN$11-$AM$11))),$AM$11)</f>
        <v/>
      </c>
      <c r="AR685">
        <f>SUMPRODUCT((B24:B31&lt;=$B$6)*(C24:C31*AM685+D24:D31*AO685*$B$8*AQ685)/(1+AL685/100)^B24:B31)+C32*AM685*AP685/(1+AL685/100)^$B$6</f>
        <v/>
      </c>
      <c r="AS685">
        <f>SUMPRODUCT((K24:K26&lt;=$B$6)*(L24:L26*AN685+M24:M26*AO685*$B$8*AQ685)/(1+AL685/100)^K24:K26)+L27*AN685*AP685/(1+AL685/100)^$B$6</f>
        <v/>
      </c>
      <c r="AT685">
        <f>AS685-AR685</f>
        <v/>
      </c>
      <c r="AU685">
        <f>RAND()</f>
        <v/>
      </c>
      <c r="AV685">
        <f>RAND()</f>
        <v/>
      </c>
      <c r="AW685">
        <f>RAND()</f>
        <v/>
      </c>
      <c r="AX685">
        <f>RAND()</f>
        <v/>
      </c>
      <c r="AY685">
        <f>RAND()</f>
        <v/>
      </c>
      <c r="AZ685">
        <f>RAND()</f>
        <v/>
      </c>
    </row>
    <row r="686">
      <c r="AK686" t="n">
        <v>673</v>
      </c>
      <c r="AL686">
        <f>IFERROR(IF(AU686&lt;($AM$6-$AL$6)/($AN$6-$AL$6),$AL$6+SQRT(AU686*($AN$6-$AL$6)*($AM$6-$AL$6)),$AN$6-SQRT((1-AU686)*($AN$6-$AL$6)*($AN$6-$AM$6))),$AM$6)</f>
        <v/>
      </c>
      <c r="AM686">
        <f>IFERROR(IF(AV686&lt;($AM$7-$AL$7)/($AN$7-$AL$7),$AL$7+SQRT(AV686*($AN$7-$AL$7)*($AM$7-$AL$7)),$AN$7-SQRT((1-AV686)*($AN$7-$AL$7)*($AN$7-$AM$7))),$AM$7)</f>
        <v/>
      </c>
      <c r="AN686">
        <f>IFERROR(IF(AW686&lt;($AM$8-$AL$8)/($AN$8-$AL$8),$AL$8+SQRT(AW686*($AN$8-$AL$8)*($AM$8-$AL$8)),$AN$8-SQRT((1-AW686)*($AN$8-$AL$8)*($AN$8-$AM$8))),$AM$8)</f>
        <v/>
      </c>
      <c r="AO686">
        <f>IFERROR(IF(AX686&lt;($AM$9-$AL$9)/($AN$9-$AL$9),$AL$9+SQRT(AX686*($AN$9-$AL$9)*($AM$9-$AL$9)),$AN$9-SQRT((1-AX686)*($AN$9-$AL$9)*($AN$9-$AM$9))),$AM$9)</f>
        <v/>
      </c>
      <c r="AP686">
        <f>IFERROR(IF(AY686&lt;($AM$10-$AL$10)/($AN$10-$AL$10),$AL$10+SQRT(AY686*($AN$10-$AL$10)*($AM$10-$AL$10)),$AN$10-SQRT((1-AY686)*($AN$10-$AL$10)*($AN$10-$AM$10))),$AM$10)</f>
        <v/>
      </c>
      <c r="AQ686">
        <f>IFERROR(IF(AZ686&lt;($AM$11-$AL$11)/($AN$11-$AL$11),$AL$11+SQRT(AZ686*($AN$11-$AL$11)*($AM$11-$AL$11)),$AN$11-SQRT((1-AZ686)*($AN$11-$AL$11)*($AN$11-$AM$11))),$AM$11)</f>
        <v/>
      </c>
      <c r="AR686">
        <f>SUMPRODUCT((B24:B31&lt;=$B$6)*(C24:C31*AM686+D24:D31*AO686*$B$8*AQ686)/(1+AL686/100)^B24:B31)+C32*AM686*AP686/(1+AL686/100)^$B$6</f>
        <v/>
      </c>
      <c r="AS686">
        <f>SUMPRODUCT((K24:K26&lt;=$B$6)*(L24:L26*AN686+M24:M26*AO686*$B$8*AQ686)/(1+AL686/100)^K24:K26)+L27*AN686*AP686/(1+AL686/100)^$B$6</f>
        <v/>
      </c>
      <c r="AT686">
        <f>AS686-AR686</f>
        <v/>
      </c>
      <c r="AU686">
        <f>RAND()</f>
        <v/>
      </c>
      <c r="AV686">
        <f>RAND()</f>
        <v/>
      </c>
      <c r="AW686">
        <f>RAND()</f>
        <v/>
      </c>
      <c r="AX686">
        <f>RAND()</f>
        <v/>
      </c>
      <c r="AY686">
        <f>RAND()</f>
        <v/>
      </c>
      <c r="AZ686">
        <f>RAND()</f>
        <v/>
      </c>
    </row>
    <row r="687">
      <c r="AK687" t="n">
        <v>674</v>
      </c>
      <c r="AL687">
        <f>IFERROR(IF(AU687&lt;($AM$6-$AL$6)/($AN$6-$AL$6),$AL$6+SQRT(AU687*($AN$6-$AL$6)*($AM$6-$AL$6)),$AN$6-SQRT((1-AU687)*($AN$6-$AL$6)*($AN$6-$AM$6))),$AM$6)</f>
        <v/>
      </c>
      <c r="AM687">
        <f>IFERROR(IF(AV687&lt;($AM$7-$AL$7)/($AN$7-$AL$7),$AL$7+SQRT(AV687*($AN$7-$AL$7)*($AM$7-$AL$7)),$AN$7-SQRT((1-AV687)*($AN$7-$AL$7)*($AN$7-$AM$7))),$AM$7)</f>
        <v/>
      </c>
      <c r="AN687">
        <f>IFERROR(IF(AW687&lt;($AM$8-$AL$8)/($AN$8-$AL$8),$AL$8+SQRT(AW687*($AN$8-$AL$8)*($AM$8-$AL$8)),$AN$8-SQRT((1-AW687)*($AN$8-$AL$8)*($AN$8-$AM$8))),$AM$8)</f>
        <v/>
      </c>
      <c r="AO687">
        <f>IFERROR(IF(AX687&lt;($AM$9-$AL$9)/($AN$9-$AL$9),$AL$9+SQRT(AX687*($AN$9-$AL$9)*($AM$9-$AL$9)),$AN$9-SQRT((1-AX687)*($AN$9-$AL$9)*($AN$9-$AM$9))),$AM$9)</f>
        <v/>
      </c>
      <c r="AP687">
        <f>IFERROR(IF(AY687&lt;($AM$10-$AL$10)/($AN$10-$AL$10),$AL$10+SQRT(AY687*($AN$10-$AL$10)*($AM$10-$AL$10)),$AN$10-SQRT((1-AY687)*($AN$10-$AL$10)*($AN$10-$AM$10))),$AM$10)</f>
        <v/>
      </c>
      <c r="AQ687">
        <f>IFERROR(IF(AZ687&lt;($AM$11-$AL$11)/($AN$11-$AL$11),$AL$11+SQRT(AZ687*($AN$11-$AL$11)*($AM$11-$AL$11)),$AN$11-SQRT((1-AZ687)*($AN$11-$AL$11)*($AN$11-$AM$11))),$AM$11)</f>
        <v/>
      </c>
      <c r="AR687">
        <f>SUMPRODUCT((B24:B31&lt;=$B$6)*(C24:C31*AM687+D24:D31*AO687*$B$8*AQ687)/(1+AL687/100)^B24:B31)+C32*AM687*AP687/(1+AL687/100)^$B$6</f>
        <v/>
      </c>
      <c r="AS687">
        <f>SUMPRODUCT((K24:K26&lt;=$B$6)*(L24:L26*AN687+M24:M26*AO687*$B$8*AQ687)/(1+AL687/100)^K24:K26)+L27*AN687*AP687/(1+AL687/100)^$B$6</f>
        <v/>
      </c>
      <c r="AT687">
        <f>AS687-AR687</f>
        <v/>
      </c>
      <c r="AU687">
        <f>RAND()</f>
        <v/>
      </c>
      <c r="AV687">
        <f>RAND()</f>
        <v/>
      </c>
      <c r="AW687">
        <f>RAND()</f>
        <v/>
      </c>
      <c r="AX687">
        <f>RAND()</f>
        <v/>
      </c>
      <c r="AY687">
        <f>RAND()</f>
        <v/>
      </c>
      <c r="AZ687">
        <f>RAND()</f>
        <v/>
      </c>
    </row>
    <row r="688">
      <c r="AK688" t="n">
        <v>675</v>
      </c>
      <c r="AL688">
        <f>IFERROR(IF(AU688&lt;($AM$6-$AL$6)/($AN$6-$AL$6),$AL$6+SQRT(AU688*($AN$6-$AL$6)*($AM$6-$AL$6)),$AN$6-SQRT((1-AU688)*($AN$6-$AL$6)*($AN$6-$AM$6))),$AM$6)</f>
        <v/>
      </c>
      <c r="AM688">
        <f>IFERROR(IF(AV688&lt;($AM$7-$AL$7)/($AN$7-$AL$7),$AL$7+SQRT(AV688*($AN$7-$AL$7)*($AM$7-$AL$7)),$AN$7-SQRT((1-AV688)*($AN$7-$AL$7)*($AN$7-$AM$7))),$AM$7)</f>
        <v/>
      </c>
      <c r="AN688">
        <f>IFERROR(IF(AW688&lt;($AM$8-$AL$8)/($AN$8-$AL$8),$AL$8+SQRT(AW688*($AN$8-$AL$8)*($AM$8-$AL$8)),$AN$8-SQRT((1-AW688)*($AN$8-$AL$8)*($AN$8-$AM$8))),$AM$8)</f>
        <v/>
      </c>
      <c r="AO688">
        <f>IFERROR(IF(AX688&lt;($AM$9-$AL$9)/($AN$9-$AL$9),$AL$9+SQRT(AX688*($AN$9-$AL$9)*($AM$9-$AL$9)),$AN$9-SQRT((1-AX688)*($AN$9-$AL$9)*($AN$9-$AM$9))),$AM$9)</f>
        <v/>
      </c>
      <c r="AP688">
        <f>IFERROR(IF(AY688&lt;($AM$10-$AL$10)/($AN$10-$AL$10),$AL$10+SQRT(AY688*($AN$10-$AL$10)*($AM$10-$AL$10)),$AN$10-SQRT((1-AY688)*($AN$10-$AL$10)*($AN$10-$AM$10))),$AM$10)</f>
        <v/>
      </c>
      <c r="AQ688">
        <f>IFERROR(IF(AZ688&lt;($AM$11-$AL$11)/($AN$11-$AL$11),$AL$11+SQRT(AZ688*($AN$11-$AL$11)*($AM$11-$AL$11)),$AN$11-SQRT((1-AZ688)*($AN$11-$AL$11)*($AN$11-$AM$11))),$AM$11)</f>
        <v/>
      </c>
      <c r="AR688">
        <f>SUMPRODUCT((B24:B31&lt;=$B$6)*(C24:C31*AM688+D24:D31*AO688*$B$8*AQ688)/(1+AL688/100)^B24:B31)+C32*AM688*AP688/(1+AL688/100)^$B$6</f>
        <v/>
      </c>
      <c r="AS688">
        <f>SUMPRODUCT((K24:K26&lt;=$B$6)*(L24:L26*AN688+M24:M26*AO688*$B$8*AQ688)/(1+AL688/100)^K24:K26)+L27*AN688*AP688/(1+AL688/100)^$B$6</f>
        <v/>
      </c>
      <c r="AT688">
        <f>AS688-AR688</f>
        <v/>
      </c>
      <c r="AU688">
        <f>RAND()</f>
        <v/>
      </c>
      <c r="AV688">
        <f>RAND()</f>
        <v/>
      </c>
      <c r="AW688">
        <f>RAND()</f>
        <v/>
      </c>
      <c r="AX688">
        <f>RAND()</f>
        <v/>
      </c>
      <c r="AY688">
        <f>RAND()</f>
        <v/>
      </c>
      <c r="AZ688">
        <f>RAND()</f>
        <v/>
      </c>
    </row>
    <row r="689">
      <c r="AK689" t="n">
        <v>676</v>
      </c>
      <c r="AL689">
        <f>IFERROR(IF(AU689&lt;($AM$6-$AL$6)/($AN$6-$AL$6),$AL$6+SQRT(AU689*($AN$6-$AL$6)*($AM$6-$AL$6)),$AN$6-SQRT((1-AU689)*($AN$6-$AL$6)*($AN$6-$AM$6))),$AM$6)</f>
        <v/>
      </c>
      <c r="AM689">
        <f>IFERROR(IF(AV689&lt;($AM$7-$AL$7)/($AN$7-$AL$7),$AL$7+SQRT(AV689*($AN$7-$AL$7)*($AM$7-$AL$7)),$AN$7-SQRT((1-AV689)*($AN$7-$AL$7)*($AN$7-$AM$7))),$AM$7)</f>
        <v/>
      </c>
      <c r="AN689">
        <f>IFERROR(IF(AW689&lt;($AM$8-$AL$8)/($AN$8-$AL$8),$AL$8+SQRT(AW689*($AN$8-$AL$8)*($AM$8-$AL$8)),$AN$8-SQRT((1-AW689)*($AN$8-$AL$8)*($AN$8-$AM$8))),$AM$8)</f>
        <v/>
      </c>
      <c r="AO689">
        <f>IFERROR(IF(AX689&lt;($AM$9-$AL$9)/($AN$9-$AL$9),$AL$9+SQRT(AX689*($AN$9-$AL$9)*($AM$9-$AL$9)),$AN$9-SQRT((1-AX689)*($AN$9-$AL$9)*($AN$9-$AM$9))),$AM$9)</f>
        <v/>
      </c>
      <c r="AP689">
        <f>IFERROR(IF(AY689&lt;($AM$10-$AL$10)/($AN$10-$AL$10),$AL$10+SQRT(AY689*($AN$10-$AL$10)*($AM$10-$AL$10)),$AN$10-SQRT((1-AY689)*($AN$10-$AL$10)*($AN$10-$AM$10))),$AM$10)</f>
        <v/>
      </c>
      <c r="AQ689">
        <f>IFERROR(IF(AZ689&lt;($AM$11-$AL$11)/($AN$11-$AL$11),$AL$11+SQRT(AZ689*($AN$11-$AL$11)*($AM$11-$AL$11)),$AN$11-SQRT((1-AZ689)*($AN$11-$AL$11)*($AN$11-$AM$11))),$AM$11)</f>
        <v/>
      </c>
      <c r="AR689">
        <f>SUMPRODUCT((B24:B31&lt;=$B$6)*(C24:C31*AM689+D24:D31*AO689*$B$8*AQ689)/(1+AL689/100)^B24:B31)+C32*AM689*AP689/(1+AL689/100)^$B$6</f>
        <v/>
      </c>
      <c r="AS689">
        <f>SUMPRODUCT((K24:K26&lt;=$B$6)*(L24:L26*AN689+M24:M26*AO689*$B$8*AQ689)/(1+AL689/100)^K24:K26)+L27*AN689*AP689/(1+AL689/100)^$B$6</f>
        <v/>
      </c>
      <c r="AT689">
        <f>AS689-AR689</f>
        <v/>
      </c>
      <c r="AU689">
        <f>RAND()</f>
        <v/>
      </c>
      <c r="AV689">
        <f>RAND()</f>
        <v/>
      </c>
      <c r="AW689">
        <f>RAND()</f>
        <v/>
      </c>
      <c r="AX689">
        <f>RAND()</f>
        <v/>
      </c>
      <c r="AY689">
        <f>RAND()</f>
        <v/>
      </c>
      <c r="AZ689">
        <f>RAND()</f>
        <v/>
      </c>
    </row>
    <row r="690">
      <c r="AK690" t="n">
        <v>677</v>
      </c>
      <c r="AL690">
        <f>IFERROR(IF(AU690&lt;($AM$6-$AL$6)/($AN$6-$AL$6),$AL$6+SQRT(AU690*($AN$6-$AL$6)*($AM$6-$AL$6)),$AN$6-SQRT((1-AU690)*($AN$6-$AL$6)*($AN$6-$AM$6))),$AM$6)</f>
        <v/>
      </c>
      <c r="AM690">
        <f>IFERROR(IF(AV690&lt;($AM$7-$AL$7)/($AN$7-$AL$7),$AL$7+SQRT(AV690*($AN$7-$AL$7)*($AM$7-$AL$7)),$AN$7-SQRT((1-AV690)*($AN$7-$AL$7)*($AN$7-$AM$7))),$AM$7)</f>
        <v/>
      </c>
      <c r="AN690">
        <f>IFERROR(IF(AW690&lt;($AM$8-$AL$8)/($AN$8-$AL$8),$AL$8+SQRT(AW690*($AN$8-$AL$8)*($AM$8-$AL$8)),$AN$8-SQRT((1-AW690)*($AN$8-$AL$8)*($AN$8-$AM$8))),$AM$8)</f>
        <v/>
      </c>
      <c r="AO690">
        <f>IFERROR(IF(AX690&lt;($AM$9-$AL$9)/($AN$9-$AL$9),$AL$9+SQRT(AX690*($AN$9-$AL$9)*($AM$9-$AL$9)),$AN$9-SQRT((1-AX690)*($AN$9-$AL$9)*($AN$9-$AM$9))),$AM$9)</f>
        <v/>
      </c>
      <c r="AP690">
        <f>IFERROR(IF(AY690&lt;($AM$10-$AL$10)/($AN$10-$AL$10),$AL$10+SQRT(AY690*($AN$10-$AL$10)*($AM$10-$AL$10)),$AN$10-SQRT((1-AY690)*($AN$10-$AL$10)*($AN$10-$AM$10))),$AM$10)</f>
        <v/>
      </c>
      <c r="AQ690">
        <f>IFERROR(IF(AZ690&lt;($AM$11-$AL$11)/($AN$11-$AL$11),$AL$11+SQRT(AZ690*($AN$11-$AL$11)*($AM$11-$AL$11)),$AN$11-SQRT((1-AZ690)*($AN$11-$AL$11)*($AN$11-$AM$11))),$AM$11)</f>
        <v/>
      </c>
      <c r="AR690">
        <f>SUMPRODUCT((B24:B31&lt;=$B$6)*(C24:C31*AM690+D24:D31*AO690*$B$8*AQ690)/(1+AL690/100)^B24:B31)+C32*AM690*AP690/(1+AL690/100)^$B$6</f>
        <v/>
      </c>
      <c r="AS690">
        <f>SUMPRODUCT((K24:K26&lt;=$B$6)*(L24:L26*AN690+M24:M26*AO690*$B$8*AQ690)/(1+AL690/100)^K24:K26)+L27*AN690*AP690/(1+AL690/100)^$B$6</f>
        <v/>
      </c>
      <c r="AT690">
        <f>AS690-AR690</f>
        <v/>
      </c>
      <c r="AU690">
        <f>RAND()</f>
        <v/>
      </c>
      <c r="AV690">
        <f>RAND()</f>
        <v/>
      </c>
      <c r="AW690">
        <f>RAND()</f>
        <v/>
      </c>
      <c r="AX690">
        <f>RAND()</f>
        <v/>
      </c>
      <c r="AY690">
        <f>RAND()</f>
        <v/>
      </c>
      <c r="AZ690">
        <f>RAND()</f>
        <v/>
      </c>
    </row>
    <row r="691">
      <c r="AK691" t="n">
        <v>678</v>
      </c>
      <c r="AL691">
        <f>IFERROR(IF(AU691&lt;($AM$6-$AL$6)/($AN$6-$AL$6),$AL$6+SQRT(AU691*($AN$6-$AL$6)*($AM$6-$AL$6)),$AN$6-SQRT((1-AU691)*($AN$6-$AL$6)*($AN$6-$AM$6))),$AM$6)</f>
        <v/>
      </c>
      <c r="AM691">
        <f>IFERROR(IF(AV691&lt;($AM$7-$AL$7)/($AN$7-$AL$7),$AL$7+SQRT(AV691*($AN$7-$AL$7)*($AM$7-$AL$7)),$AN$7-SQRT((1-AV691)*($AN$7-$AL$7)*($AN$7-$AM$7))),$AM$7)</f>
        <v/>
      </c>
      <c r="AN691">
        <f>IFERROR(IF(AW691&lt;($AM$8-$AL$8)/($AN$8-$AL$8),$AL$8+SQRT(AW691*($AN$8-$AL$8)*($AM$8-$AL$8)),$AN$8-SQRT((1-AW691)*($AN$8-$AL$8)*($AN$8-$AM$8))),$AM$8)</f>
        <v/>
      </c>
      <c r="AO691">
        <f>IFERROR(IF(AX691&lt;($AM$9-$AL$9)/($AN$9-$AL$9),$AL$9+SQRT(AX691*($AN$9-$AL$9)*($AM$9-$AL$9)),$AN$9-SQRT((1-AX691)*($AN$9-$AL$9)*($AN$9-$AM$9))),$AM$9)</f>
        <v/>
      </c>
      <c r="AP691">
        <f>IFERROR(IF(AY691&lt;($AM$10-$AL$10)/($AN$10-$AL$10),$AL$10+SQRT(AY691*($AN$10-$AL$10)*($AM$10-$AL$10)),$AN$10-SQRT((1-AY691)*($AN$10-$AL$10)*($AN$10-$AM$10))),$AM$10)</f>
        <v/>
      </c>
      <c r="AQ691">
        <f>IFERROR(IF(AZ691&lt;($AM$11-$AL$11)/($AN$11-$AL$11),$AL$11+SQRT(AZ691*($AN$11-$AL$11)*($AM$11-$AL$11)),$AN$11-SQRT((1-AZ691)*($AN$11-$AL$11)*($AN$11-$AM$11))),$AM$11)</f>
        <v/>
      </c>
      <c r="AR691">
        <f>SUMPRODUCT((B24:B31&lt;=$B$6)*(C24:C31*AM691+D24:D31*AO691*$B$8*AQ691)/(1+AL691/100)^B24:B31)+C32*AM691*AP691/(1+AL691/100)^$B$6</f>
        <v/>
      </c>
      <c r="AS691">
        <f>SUMPRODUCT((K24:K26&lt;=$B$6)*(L24:L26*AN691+M24:M26*AO691*$B$8*AQ691)/(1+AL691/100)^K24:K26)+L27*AN691*AP691/(1+AL691/100)^$B$6</f>
        <v/>
      </c>
      <c r="AT691">
        <f>AS691-AR691</f>
        <v/>
      </c>
      <c r="AU691">
        <f>RAND()</f>
        <v/>
      </c>
      <c r="AV691">
        <f>RAND()</f>
        <v/>
      </c>
      <c r="AW691">
        <f>RAND()</f>
        <v/>
      </c>
      <c r="AX691">
        <f>RAND()</f>
        <v/>
      </c>
      <c r="AY691">
        <f>RAND()</f>
        <v/>
      </c>
      <c r="AZ691">
        <f>RAND()</f>
        <v/>
      </c>
    </row>
    <row r="692">
      <c r="AK692" t="n">
        <v>679</v>
      </c>
      <c r="AL692">
        <f>IFERROR(IF(AU692&lt;($AM$6-$AL$6)/($AN$6-$AL$6),$AL$6+SQRT(AU692*($AN$6-$AL$6)*($AM$6-$AL$6)),$AN$6-SQRT((1-AU692)*($AN$6-$AL$6)*($AN$6-$AM$6))),$AM$6)</f>
        <v/>
      </c>
      <c r="AM692">
        <f>IFERROR(IF(AV692&lt;($AM$7-$AL$7)/($AN$7-$AL$7),$AL$7+SQRT(AV692*($AN$7-$AL$7)*($AM$7-$AL$7)),$AN$7-SQRT((1-AV692)*($AN$7-$AL$7)*($AN$7-$AM$7))),$AM$7)</f>
        <v/>
      </c>
      <c r="AN692">
        <f>IFERROR(IF(AW692&lt;($AM$8-$AL$8)/($AN$8-$AL$8),$AL$8+SQRT(AW692*($AN$8-$AL$8)*($AM$8-$AL$8)),$AN$8-SQRT((1-AW692)*($AN$8-$AL$8)*($AN$8-$AM$8))),$AM$8)</f>
        <v/>
      </c>
      <c r="AO692">
        <f>IFERROR(IF(AX692&lt;($AM$9-$AL$9)/($AN$9-$AL$9),$AL$9+SQRT(AX692*($AN$9-$AL$9)*($AM$9-$AL$9)),$AN$9-SQRT((1-AX692)*($AN$9-$AL$9)*($AN$9-$AM$9))),$AM$9)</f>
        <v/>
      </c>
      <c r="AP692">
        <f>IFERROR(IF(AY692&lt;($AM$10-$AL$10)/($AN$10-$AL$10),$AL$10+SQRT(AY692*($AN$10-$AL$10)*($AM$10-$AL$10)),$AN$10-SQRT((1-AY692)*($AN$10-$AL$10)*($AN$10-$AM$10))),$AM$10)</f>
        <v/>
      </c>
      <c r="AQ692">
        <f>IFERROR(IF(AZ692&lt;($AM$11-$AL$11)/($AN$11-$AL$11),$AL$11+SQRT(AZ692*($AN$11-$AL$11)*($AM$11-$AL$11)),$AN$11-SQRT((1-AZ692)*($AN$11-$AL$11)*($AN$11-$AM$11))),$AM$11)</f>
        <v/>
      </c>
      <c r="AR692">
        <f>SUMPRODUCT((B24:B31&lt;=$B$6)*(C24:C31*AM692+D24:D31*AO692*$B$8*AQ692)/(1+AL692/100)^B24:B31)+C32*AM692*AP692/(1+AL692/100)^$B$6</f>
        <v/>
      </c>
      <c r="AS692">
        <f>SUMPRODUCT((K24:K26&lt;=$B$6)*(L24:L26*AN692+M24:M26*AO692*$B$8*AQ692)/(1+AL692/100)^K24:K26)+L27*AN692*AP692/(1+AL692/100)^$B$6</f>
        <v/>
      </c>
      <c r="AT692">
        <f>AS692-AR692</f>
        <v/>
      </c>
      <c r="AU692">
        <f>RAND()</f>
        <v/>
      </c>
      <c r="AV692">
        <f>RAND()</f>
        <v/>
      </c>
      <c r="AW692">
        <f>RAND()</f>
        <v/>
      </c>
      <c r="AX692">
        <f>RAND()</f>
        <v/>
      </c>
      <c r="AY692">
        <f>RAND()</f>
        <v/>
      </c>
      <c r="AZ692">
        <f>RAND()</f>
        <v/>
      </c>
    </row>
    <row r="693">
      <c r="AK693" t="n">
        <v>680</v>
      </c>
      <c r="AL693">
        <f>IFERROR(IF(AU693&lt;($AM$6-$AL$6)/($AN$6-$AL$6),$AL$6+SQRT(AU693*($AN$6-$AL$6)*($AM$6-$AL$6)),$AN$6-SQRT((1-AU693)*($AN$6-$AL$6)*($AN$6-$AM$6))),$AM$6)</f>
        <v/>
      </c>
      <c r="AM693">
        <f>IFERROR(IF(AV693&lt;($AM$7-$AL$7)/($AN$7-$AL$7),$AL$7+SQRT(AV693*($AN$7-$AL$7)*($AM$7-$AL$7)),$AN$7-SQRT((1-AV693)*($AN$7-$AL$7)*($AN$7-$AM$7))),$AM$7)</f>
        <v/>
      </c>
      <c r="AN693">
        <f>IFERROR(IF(AW693&lt;($AM$8-$AL$8)/($AN$8-$AL$8),$AL$8+SQRT(AW693*($AN$8-$AL$8)*($AM$8-$AL$8)),$AN$8-SQRT((1-AW693)*($AN$8-$AL$8)*($AN$8-$AM$8))),$AM$8)</f>
        <v/>
      </c>
      <c r="AO693">
        <f>IFERROR(IF(AX693&lt;($AM$9-$AL$9)/($AN$9-$AL$9),$AL$9+SQRT(AX693*($AN$9-$AL$9)*($AM$9-$AL$9)),$AN$9-SQRT((1-AX693)*($AN$9-$AL$9)*($AN$9-$AM$9))),$AM$9)</f>
        <v/>
      </c>
      <c r="AP693">
        <f>IFERROR(IF(AY693&lt;($AM$10-$AL$10)/($AN$10-$AL$10),$AL$10+SQRT(AY693*($AN$10-$AL$10)*($AM$10-$AL$10)),$AN$10-SQRT((1-AY693)*($AN$10-$AL$10)*($AN$10-$AM$10))),$AM$10)</f>
        <v/>
      </c>
      <c r="AQ693">
        <f>IFERROR(IF(AZ693&lt;($AM$11-$AL$11)/($AN$11-$AL$11),$AL$11+SQRT(AZ693*($AN$11-$AL$11)*($AM$11-$AL$11)),$AN$11-SQRT((1-AZ693)*($AN$11-$AL$11)*($AN$11-$AM$11))),$AM$11)</f>
        <v/>
      </c>
      <c r="AR693">
        <f>SUMPRODUCT((B24:B31&lt;=$B$6)*(C24:C31*AM693+D24:D31*AO693*$B$8*AQ693)/(1+AL693/100)^B24:B31)+C32*AM693*AP693/(1+AL693/100)^$B$6</f>
        <v/>
      </c>
      <c r="AS693">
        <f>SUMPRODUCT((K24:K26&lt;=$B$6)*(L24:L26*AN693+M24:M26*AO693*$B$8*AQ693)/(1+AL693/100)^K24:K26)+L27*AN693*AP693/(1+AL693/100)^$B$6</f>
        <v/>
      </c>
      <c r="AT693">
        <f>AS693-AR693</f>
        <v/>
      </c>
      <c r="AU693">
        <f>RAND()</f>
        <v/>
      </c>
      <c r="AV693">
        <f>RAND()</f>
        <v/>
      </c>
      <c r="AW693">
        <f>RAND()</f>
        <v/>
      </c>
      <c r="AX693">
        <f>RAND()</f>
        <v/>
      </c>
      <c r="AY693">
        <f>RAND()</f>
        <v/>
      </c>
      <c r="AZ693">
        <f>RAND()</f>
        <v/>
      </c>
    </row>
    <row r="694">
      <c r="AK694" t="n">
        <v>681</v>
      </c>
      <c r="AL694">
        <f>IFERROR(IF(AU694&lt;($AM$6-$AL$6)/($AN$6-$AL$6),$AL$6+SQRT(AU694*($AN$6-$AL$6)*($AM$6-$AL$6)),$AN$6-SQRT((1-AU694)*($AN$6-$AL$6)*($AN$6-$AM$6))),$AM$6)</f>
        <v/>
      </c>
      <c r="AM694">
        <f>IFERROR(IF(AV694&lt;($AM$7-$AL$7)/($AN$7-$AL$7),$AL$7+SQRT(AV694*($AN$7-$AL$7)*($AM$7-$AL$7)),$AN$7-SQRT((1-AV694)*($AN$7-$AL$7)*($AN$7-$AM$7))),$AM$7)</f>
        <v/>
      </c>
      <c r="AN694">
        <f>IFERROR(IF(AW694&lt;($AM$8-$AL$8)/($AN$8-$AL$8),$AL$8+SQRT(AW694*($AN$8-$AL$8)*($AM$8-$AL$8)),$AN$8-SQRT((1-AW694)*($AN$8-$AL$8)*($AN$8-$AM$8))),$AM$8)</f>
        <v/>
      </c>
      <c r="AO694">
        <f>IFERROR(IF(AX694&lt;($AM$9-$AL$9)/($AN$9-$AL$9),$AL$9+SQRT(AX694*($AN$9-$AL$9)*($AM$9-$AL$9)),$AN$9-SQRT((1-AX694)*($AN$9-$AL$9)*($AN$9-$AM$9))),$AM$9)</f>
        <v/>
      </c>
      <c r="AP694">
        <f>IFERROR(IF(AY694&lt;($AM$10-$AL$10)/($AN$10-$AL$10),$AL$10+SQRT(AY694*($AN$10-$AL$10)*($AM$10-$AL$10)),$AN$10-SQRT((1-AY694)*($AN$10-$AL$10)*($AN$10-$AM$10))),$AM$10)</f>
        <v/>
      </c>
      <c r="AQ694">
        <f>IFERROR(IF(AZ694&lt;($AM$11-$AL$11)/($AN$11-$AL$11),$AL$11+SQRT(AZ694*($AN$11-$AL$11)*($AM$11-$AL$11)),$AN$11-SQRT((1-AZ694)*($AN$11-$AL$11)*($AN$11-$AM$11))),$AM$11)</f>
        <v/>
      </c>
      <c r="AR694">
        <f>SUMPRODUCT((B24:B31&lt;=$B$6)*(C24:C31*AM694+D24:D31*AO694*$B$8*AQ694)/(1+AL694/100)^B24:B31)+C32*AM694*AP694/(1+AL694/100)^$B$6</f>
        <v/>
      </c>
      <c r="AS694">
        <f>SUMPRODUCT((K24:K26&lt;=$B$6)*(L24:L26*AN694+M24:M26*AO694*$B$8*AQ694)/(1+AL694/100)^K24:K26)+L27*AN694*AP694/(1+AL694/100)^$B$6</f>
        <v/>
      </c>
      <c r="AT694">
        <f>AS694-AR694</f>
        <v/>
      </c>
      <c r="AU694">
        <f>RAND()</f>
        <v/>
      </c>
      <c r="AV694">
        <f>RAND()</f>
        <v/>
      </c>
      <c r="AW694">
        <f>RAND()</f>
        <v/>
      </c>
      <c r="AX694">
        <f>RAND()</f>
        <v/>
      </c>
      <c r="AY694">
        <f>RAND()</f>
        <v/>
      </c>
      <c r="AZ694">
        <f>RAND()</f>
        <v/>
      </c>
    </row>
    <row r="695">
      <c r="AK695" t="n">
        <v>682</v>
      </c>
      <c r="AL695">
        <f>IFERROR(IF(AU695&lt;($AM$6-$AL$6)/($AN$6-$AL$6),$AL$6+SQRT(AU695*($AN$6-$AL$6)*($AM$6-$AL$6)),$AN$6-SQRT((1-AU695)*($AN$6-$AL$6)*($AN$6-$AM$6))),$AM$6)</f>
        <v/>
      </c>
      <c r="AM695">
        <f>IFERROR(IF(AV695&lt;($AM$7-$AL$7)/($AN$7-$AL$7),$AL$7+SQRT(AV695*($AN$7-$AL$7)*($AM$7-$AL$7)),$AN$7-SQRT((1-AV695)*($AN$7-$AL$7)*($AN$7-$AM$7))),$AM$7)</f>
        <v/>
      </c>
      <c r="AN695">
        <f>IFERROR(IF(AW695&lt;($AM$8-$AL$8)/($AN$8-$AL$8),$AL$8+SQRT(AW695*($AN$8-$AL$8)*($AM$8-$AL$8)),$AN$8-SQRT((1-AW695)*($AN$8-$AL$8)*($AN$8-$AM$8))),$AM$8)</f>
        <v/>
      </c>
      <c r="AO695">
        <f>IFERROR(IF(AX695&lt;($AM$9-$AL$9)/($AN$9-$AL$9),$AL$9+SQRT(AX695*($AN$9-$AL$9)*($AM$9-$AL$9)),$AN$9-SQRT((1-AX695)*($AN$9-$AL$9)*($AN$9-$AM$9))),$AM$9)</f>
        <v/>
      </c>
      <c r="AP695">
        <f>IFERROR(IF(AY695&lt;($AM$10-$AL$10)/($AN$10-$AL$10),$AL$10+SQRT(AY695*($AN$10-$AL$10)*($AM$10-$AL$10)),$AN$10-SQRT((1-AY695)*($AN$10-$AL$10)*($AN$10-$AM$10))),$AM$10)</f>
        <v/>
      </c>
      <c r="AQ695">
        <f>IFERROR(IF(AZ695&lt;($AM$11-$AL$11)/($AN$11-$AL$11),$AL$11+SQRT(AZ695*($AN$11-$AL$11)*($AM$11-$AL$11)),$AN$11-SQRT((1-AZ695)*($AN$11-$AL$11)*($AN$11-$AM$11))),$AM$11)</f>
        <v/>
      </c>
      <c r="AR695">
        <f>SUMPRODUCT((B24:B31&lt;=$B$6)*(C24:C31*AM695+D24:D31*AO695*$B$8*AQ695)/(1+AL695/100)^B24:B31)+C32*AM695*AP695/(1+AL695/100)^$B$6</f>
        <v/>
      </c>
      <c r="AS695">
        <f>SUMPRODUCT((K24:K26&lt;=$B$6)*(L24:L26*AN695+M24:M26*AO695*$B$8*AQ695)/(1+AL695/100)^K24:K26)+L27*AN695*AP695/(1+AL695/100)^$B$6</f>
        <v/>
      </c>
      <c r="AT695">
        <f>AS695-AR695</f>
        <v/>
      </c>
      <c r="AU695">
        <f>RAND()</f>
        <v/>
      </c>
      <c r="AV695">
        <f>RAND()</f>
        <v/>
      </c>
      <c r="AW695">
        <f>RAND()</f>
        <v/>
      </c>
      <c r="AX695">
        <f>RAND()</f>
        <v/>
      </c>
      <c r="AY695">
        <f>RAND()</f>
        <v/>
      </c>
      <c r="AZ695">
        <f>RAND()</f>
        <v/>
      </c>
    </row>
    <row r="696">
      <c r="AK696" t="n">
        <v>683</v>
      </c>
      <c r="AL696">
        <f>IFERROR(IF(AU696&lt;($AM$6-$AL$6)/($AN$6-$AL$6),$AL$6+SQRT(AU696*($AN$6-$AL$6)*($AM$6-$AL$6)),$AN$6-SQRT((1-AU696)*($AN$6-$AL$6)*($AN$6-$AM$6))),$AM$6)</f>
        <v/>
      </c>
      <c r="AM696">
        <f>IFERROR(IF(AV696&lt;($AM$7-$AL$7)/($AN$7-$AL$7),$AL$7+SQRT(AV696*($AN$7-$AL$7)*($AM$7-$AL$7)),$AN$7-SQRT((1-AV696)*($AN$7-$AL$7)*($AN$7-$AM$7))),$AM$7)</f>
        <v/>
      </c>
      <c r="AN696">
        <f>IFERROR(IF(AW696&lt;($AM$8-$AL$8)/($AN$8-$AL$8),$AL$8+SQRT(AW696*($AN$8-$AL$8)*($AM$8-$AL$8)),$AN$8-SQRT((1-AW696)*($AN$8-$AL$8)*($AN$8-$AM$8))),$AM$8)</f>
        <v/>
      </c>
      <c r="AO696">
        <f>IFERROR(IF(AX696&lt;($AM$9-$AL$9)/($AN$9-$AL$9),$AL$9+SQRT(AX696*($AN$9-$AL$9)*($AM$9-$AL$9)),$AN$9-SQRT((1-AX696)*($AN$9-$AL$9)*($AN$9-$AM$9))),$AM$9)</f>
        <v/>
      </c>
      <c r="AP696">
        <f>IFERROR(IF(AY696&lt;($AM$10-$AL$10)/($AN$10-$AL$10),$AL$10+SQRT(AY696*($AN$10-$AL$10)*($AM$10-$AL$10)),$AN$10-SQRT((1-AY696)*($AN$10-$AL$10)*($AN$10-$AM$10))),$AM$10)</f>
        <v/>
      </c>
      <c r="AQ696">
        <f>IFERROR(IF(AZ696&lt;($AM$11-$AL$11)/($AN$11-$AL$11),$AL$11+SQRT(AZ696*($AN$11-$AL$11)*($AM$11-$AL$11)),$AN$11-SQRT((1-AZ696)*($AN$11-$AL$11)*($AN$11-$AM$11))),$AM$11)</f>
        <v/>
      </c>
      <c r="AR696">
        <f>SUMPRODUCT((B24:B31&lt;=$B$6)*(C24:C31*AM696+D24:D31*AO696*$B$8*AQ696)/(1+AL696/100)^B24:B31)+C32*AM696*AP696/(1+AL696/100)^$B$6</f>
        <v/>
      </c>
      <c r="AS696">
        <f>SUMPRODUCT((K24:K26&lt;=$B$6)*(L24:L26*AN696+M24:M26*AO696*$B$8*AQ696)/(1+AL696/100)^K24:K26)+L27*AN696*AP696/(1+AL696/100)^$B$6</f>
        <v/>
      </c>
      <c r="AT696">
        <f>AS696-AR696</f>
        <v/>
      </c>
      <c r="AU696">
        <f>RAND()</f>
        <v/>
      </c>
      <c r="AV696">
        <f>RAND()</f>
        <v/>
      </c>
      <c r="AW696">
        <f>RAND()</f>
        <v/>
      </c>
      <c r="AX696">
        <f>RAND()</f>
        <v/>
      </c>
      <c r="AY696">
        <f>RAND()</f>
        <v/>
      </c>
      <c r="AZ696">
        <f>RAND()</f>
        <v/>
      </c>
    </row>
    <row r="697">
      <c r="AK697" t="n">
        <v>684</v>
      </c>
      <c r="AL697">
        <f>IFERROR(IF(AU697&lt;($AM$6-$AL$6)/($AN$6-$AL$6),$AL$6+SQRT(AU697*($AN$6-$AL$6)*($AM$6-$AL$6)),$AN$6-SQRT((1-AU697)*($AN$6-$AL$6)*($AN$6-$AM$6))),$AM$6)</f>
        <v/>
      </c>
      <c r="AM697">
        <f>IFERROR(IF(AV697&lt;($AM$7-$AL$7)/($AN$7-$AL$7),$AL$7+SQRT(AV697*($AN$7-$AL$7)*($AM$7-$AL$7)),$AN$7-SQRT((1-AV697)*($AN$7-$AL$7)*($AN$7-$AM$7))),$AM$7)</f>
        <v/>
      </c>
      <c r="AN697">
        <f>IFERROR(IF(AW697&lt;($AM$8-$AL$8)/($AN$8-$AL$8),$AL$8+SQRT(AW697*($AN$8-$AL$8)*($AM$8-$AL$8)),$AN$8-SQRT((1-AW697)*($AN$8-$AL$8)*($AN$8-$AM$8))),$AM$8)</f>
        <v/>
      </c>
      <c r="AO697">
        <f>IFERROR(IF(AX697&lt;($AM$9-$AL$9)/($AN$9-$AL$9),$AL$9+SQRT(AX697*($AN$9-$AL$9)*($AM$9-$AL$9)),$AN$9-SQRT((1-AX697)*($AN$9-$AL$9)*($AN$9-$AM$9))),$AM$9)</f>
        <v/>
      </c>
      <c r="AP697">
        <f>IFERROR(IF(AY697&lt;($AM$10-$AL$10)/($AN$10-$AL$10),$AL$10+SQRT(AY697*($AN$10-$AL$10)*($AM$10-$AL$10)),$AN$10-SQRT((1-AY697)*($AN$10-$AL$10)*($AN$10-$AM$10))),$AM$10)</f>
        <v/>
      </c>
      <c r="AQ697">
        <f>IFERROR(IF(AZ697&lt;($AM$11-$AL$11)/($AN$11-$AL$11),$AL$11+SQRT(AZ697*($AN$11-$AL$11)*($AM$11-$AL$11)),$AN$11-SQRT((1-AZ697)*($AN$11-$AL$11)*($AN$11-$AM$11))),$AM$11)</f>
        <v/>
      </c>
      <c r="AR697">
        <f>SUMPRODUCT((B24:B31&lt;=$B$6)*(C24:C31*AM697+D24:D31*AO697*$B$8*AQ697)/(1+AL697/100)^B24:B31)+C32*AM697*AP697/(1+AL697/100)^$B$6</f>
        <v/>
      </c>
      <c r="AS697">
        <f>SUMPRODUCT((K24:K26&lt;=$B$6)*(L24:L26*AN697+M24:M26*AO697*$B$8*AQ697)/(1+AL697/100)^K24:K26)+L27*AN697*AP697/(1+AL697/100)^$B$6</f>
        <v/>
      </c>
      <c r="AT697">
        <f>AS697-AR697</f>
        <v/>
      </c>
      <c r="AU697">
        <f>RAND()</f>
        <v/>
      </c>
      <c r="AV697">
        <f>RAND()</f>
        <v/>
      </c>
      <c r="AW697">
        <f>RAND()</f>
        <v/>
      </c>
      <c r="AX697">
        <f>RAND()</f>
        <v/>
      </c>
      <c r="AY697">
        <f>RAND()</f>
        <v/>
      </c>
      <c r="AZ697">
        <f>RAND()</f>
        <v/>
      </c>
    </row>
    <row r="698">
      <c r="AK698" t="n">
        <v>685</v>
      </c>
      <c r="AL698">
        <f>IFERROR(IF(AU698&lt;($AM$6-$AL$6)/($AN$6-$AL$6),$AL$6+SQRT(AU698*($AN$6-$AL$6)*($AM$6-$AL$6)),$AN$6-SQRT((1-AU698)*($AN$6-$AL$6)*($AN$6-$AM$6))),$AM$6)</f>
        <v/>
      </c>
      <c r="AM698">
        <f>IFERROR(IF(AV698&lt;($AM$7-$AL$7)/($AN$7-$AL$7),$AL$7+SQRT(AV698*($AN$7-$AL$7)*($AM$7-$AL$7)),$AN$7-SQRT((1-AV698)*($AN$7-$AL$7)*($AN$7-$AM$7))),$AM$7)</f>
        <v/>
      </c>
      <c r="AN698">
        <f>IFERROR(IF(AW698&lt;($AM$8-$AL$8)/($AN$8-$AL$8),$AL$8+SQRT(AW698*($AN$8-$AL$8)*($AM$8-$AL$8)),$AN$8-SQRT((1-AW698)*($AN$8-$AL$8)*($AN$8-$AM$8))),$AM$8)</f>
        <v/>
      </c>
      <c r="AO698">
        <f>IFERROR(IF(AX698&lt;($AM$9-$AL$9)/($AN$9-$AL$9),$AL$9+SQRT(AX698*($AN$9-$AL$9)*($AM$9-$AL$9)),$AN$9-SQRT((1-AX698)*($AN$9-$AL$9)*($AN$9-$AM$9))),$AM$9)</f>
        <v/>
      </c>
      <c r="AP698">
        <f>IFERROR(IF(AY698&lt;($AM$10-$AL$10)/($AN$10-$AL$10),$AL$10+SQRT(AY698*($AN$10-$AL$10)*($AM$10-$AL$10)),$AN$10-SQRT((1-AY698)*($AN$10-$AL$10)*($AN$10-$AM$10))),$AM$10)</f>
        <v/>
      </c>
      <c r="AQ698">
        <f>IFERROR(IF(AZ698&lt;($AM$11-$AL$11)/($AN$11-$AL$11),$AL$11+SQRT(AZ698*($AN$11-$AL$11)*($AM$11-$AL$11)),$AN$11-SQRT((1-AZ698)*($AN$11-$AL$11)*($AN$11-$AM$11))),$AM$11)</f>
        <v/>
      </c>
      <c r="AR698">
        <f>SUMPRODUCT((B24:B31&lt;=$B$6)*(C24:C31*AM698+D24:D31*AO698*$B$8*AQ698)/(1+AL698/100)^B24:B31)+C32*AM698*AP698/(1+AL698/100)^$B$6</f>
        <v/>
      </c>
      <c r="AS698">
        <f>SUMPRODUCT((K24:K26&lt;=$B$6)*(L24:L26*AN698+M24:M26*AO698*$B$8*AQ698)/(1+AL698/100)^K24:K26)+L27*AN698*AP698/(1+AL698/100)^$B$6</f>
        <v/>
      </c>
      <c r="AT698">
        <f>AS698-AR698</f>
        <v/>
      </c>
      <c r="AU698">
        <f>RAND()</f>
        <v/>
      </c>
      <c r="AV698">
        <f>RAND()</f>
        <v/>
      </c>
      <c r="AW698">
        <f>RAND()</f>
        <v/>
      </c>
      <c r="AX698">
        <f>RAND()</f>
        <v/>
      </c>
      <c r="AY698">
        <f>RAND()</f>
        <v/>
      </c>
      <c r="AZ698">
        <f>RAND()</f>
        <v/>
      </c>
    </row>
    <row r="699">
      <c r="AK699" t="n">
        <v>686</v>
      </c>
      <c r="AL699">
        <f>IFERROR(IF(AU699&lt;($AM$6-$AL$6)/($AN$6-$AL$6),$AL$6+SQRT(AU699*($AN$6-$AL$6)*($AM$6-$AL$6)),$AN$6-SQRT((1-AU699)*($AN$6-$AL$6)*($AN$6-$AM$6))),$AM$6)</f>
        <v/>
      </c>
      <c r="AM699">
        <f>IFERROR(IF(AV699&lt;($AM$7-$AL$7)/($AN$7-$AL$7),$AL$7+SQRT(AV699*($AN$7-$AL$7)*($AM$7-$AL$7)),$AN$7-SQRT((1-AV699)*($AN$7-$AL$7)*($AN$7-$AM$7))),$AM$7)</f>
        <v/>
      </c>
      <c r="AN699">
        <f>IFERROR(IF(AW699&lt;($AM$8-$AL$8)/($AN$8-$AL$8),$AL$8+SQRT(AW699*($AN$8-$AL$8)*($AM$8-$AL$8)),$AN$8-SQRT((1-AW699)*($AN$8-$AL$8)*($AN$8-$AM$8))),$AM$8)</f>
        <v/>
      </c>
      <c r="AO699">
        <f>IFERROR(IF(AX699&lt;($AM$9-$AL$9)/($AN$9-$AL$9),$AL$9+SQRT(AX699*($AN$9-$AL$9)*($AM$9-$AL$9)),$AN$9-SQRT((1-AX699)*($AN$9-$AL$9)*($AN$9-$AM$9))),$AM$9)</f>
        <v/>
      </c>
      <c r="AP699">
        <f>IFERROR(IF(AY699&lt;($AM$10-$AL$10)/($AN$10-$AL$10),$AL$10+SQRT(AY699*($AN$10-$AL$10)*($AM$10-$AL$10)),$AN$10-SQRT((1-AY699)*($AN$10-$AL$10)*($AN$10-$AM$10))),$AM$10)</f>
        <v/>
      </c>
      <c r="AQ699">
        <f>IFERROR(IF(AZ699&lt;($AM$11-$AL$11)/($AN$11-$AL$11),$AL$11+SQRT(AZ699*($AN$11-$AL$11)*($AM$11-$AL$11)),$AN$11-SQRT((1-AZ699)*($AN$11-$AL$11)*($AN$11-$AM$11))),$AM$11)</f>
        <v/>
      </c>
      <c r="AR699">
        <f>SUMPRODUCT((B24:B31&lt;=$B$6)*(C24:C31*AM699+D24:D31*AO699*$B$8*AQ699)/(1+AL699/100)^B24:B31)+C32*AM699*AP699/(1+AL699/100)^$B$6</f>
        <v/>
      </c>
      <c r="AS699">
        <f>SUMPRODUCT((K24:K26&lt;=$B$6)*(L24:L26*AN699+M24:M26*AO699*$B$8*AQ699)/(1+AL699/100)^K24:K26)+L27*AN699*AP699/(1+AL699/100)^$B$6</f>
        <v/>
      </c>
      <c r="AT699">
        <f>AS699-AR699</f>
        <v/>
      </c>
      <c r="AU699">
        <f>RAND()</f>
        <v/>
      </c>
      <c r="AV699">
        <f>RAND()</f>
        <v/>
      </c>
      <c r="AW699">
        <f>RAND()</f>
        <v/>
      </c>
      <c r="AX699">
        <f>RAND()</f>
        <v/>
      </c>
      <c r="AY699">
        <f>RAND()</f>
        <v/>
      </c>
      <c r="AZ699">
        <f>RAND()</f>
        <v/>
      </c>
    </row>
    <row r="700">
      <c r="AK700" t="n">
        <v>687</v>
      </c>
      <c r="AL700">
        <f>IFERROR(IF(AU700&lt;($AM$6-$AL$6)/($AN$6-$AL$6),$AL$6+SQRT(AU700*($AN$6-$AL$6)*($AM$6-$AL$6)),$AN$6-SQRT((1-AU700)*($AN$6-$AL$6)*($AN$6-$AM$6))),$AM$6)</f>
        <v/>
      </c>
      <c r="AM700">
        <f>IFERROR(IF(AV700&lt;($AM$7-$AL$7)/($AN$7-$AL$7),$AL$7+SQRT(AV700*($AN$7-$AL$7)*($AM$7-$AL$7)),$AN$7-SQRT((1-AV700)*($AN$7-$AL$7)*($AN$7-$AM$7))),$AM$7)</f>
        <v/>
      </c>
      <c r="AN700">
        <f>IFERROR(IF(AW700&lt;($AM$8-$AL$8)/($AN$8-$AL$8),$AL$8+SQRT(AW700*($AN$8-$AL$8)*($AM$8-$AL$8)),$AN$8-SQRT((1-AW700)*($AN$8-$AL$8)*($AN$8-$AM$8))),$AM$8)</f>
        <v/>
      </c>
      <c r="AO700">
        <f>IFERROR(IF(AX700&lt;($AM$9-$AL$9)/($AN$9-$AL$9),$AL$9+SQRT(AX700*($AN$9-$AL$9)*($AM$9-$AL$9)),$AN$9-SQRT((1-AX700)*($AN$9-$AL$9)*($AN$9-$AM$9))),$AM$9)</f>
        <v/>
      </c>
      <c r="AP700">
        <f>IFERROR(IF(AY700&lt;($AM$10-$AL$10)/($AN$10-$AL$10),$AL$10+SQRT(AY700*($AN$10-$AL$10)*($AM$10-$AL$10)),$AN$10-SQRT((1-AY700)*($AN$10-$AL$10)*($AN$10-$AM$10))),$AM$10)</f>
        <v/>
      </c>
      <c r="AQ700">
        <f>IFERROR(IF(AZ700&lt;($AM$11-$AL$11)/($AN$11-$AL$11),$AL$11+SQRT(AZ700*($AN$11-$AL$11)*($AM$11-$AL$11)),$AN$11-SQRT((1-AZ700)*($AN$11-$AL$11)*($AN$11-$AM$11))),$AM$11)</f>
        <v/>
      </c>
      <c r="AR700">
        <f>SUMPRODUCT((B24:B31&lt;=$B$6)*(C24:C31*AM700+D24:D31*AO700*$B$8*AQ700)/(1+AL700/100)^B24:B31)+C32*AM700*AP700/(1+AL700/100)^$B$6</f>
        <v/>
      </c>
      <c r="AS700">
        <f>SUMPRODUCT((K24:K26&lt;=$B$6)*(L24:L26*AN700+M24:M26*AO700*$B$8*AQ700)/(1+AL700/100)^K24:K26)+L27*AN700*AP700/(1+AL700/100)^$B$6</f>
        <v/>
      </c>
      <c r="AT700">
        <f>AS700-AR700</f>
        <v/>
      </c>
      <c r="AU700">
        <f>RAND()</f>
        <v/>
      </c>
      <c r="AV700">
        <f>RAND()</f>
        <v/>
      </c>
      <c r="AW700">
        <f>RAND()</f>
        <v/>
      </c>
      <c r="AX700">
        <f>RAND()</f>
        <v/>
      </c>
      <c r="AY700">
        <f>RAND()</f>
        <v/>
      </c>
      <c r="AZ700">
        <f>RAND()</f>
        <v/>
      </c>
    </row>
    <row r="701">
      <c r="AK701" t="n">
        <v>688</v>
      </c>
      <c r="AL701">
        <f>IFERROR(IF(AU701&lt;($AM$6-$AL$6)/($AN$6-$AL$6),$AL$6+SQRT(AU701*($AN$6-$AL$6)*($AM$6-$AL$6)),$AN$6-SQRT((1-AU701)*($AN$6-$AL$6)*($AN$6-$AM$6))),$AM$6)</f>
        <v/>
      </c>
      <c r="AM701">
        <f>IFERROR(IF(AV701&lt;($AM$7-$AL$7)/($AN$7-$AL$7),$AL$7+SQRT(AV701*($AN$7-$AL$7)*($AM$7-$AL$7)),$AN$7-SQRT((1-AV701)*($AN$7-$AL$7)*($AN$7-$AM$7))),$AM$7)</f>
        <v/>
      </c>
      <c r="AN701">
        <f>IFERROR(IF(AW701&lt;($AM$8-$AL$8)/($AN$8-$AL$8),$AL$8+SQRT(AW701*($AN$8-$AL$8)*($AM$8-$AL$8)),$AN$8-SQRT((1-AW701)*($AN$8-$AL$8)*($AN$8-$AM$8))),$AM$8)</f>
        <v/>
      </c>
      <c r="AO701">
        <f>IFERROR(IF(AX701&lt;($AM$9-$AL$9)/($AN$9-$AL$9),$AL$9+SQRT(AX701*($AN$9-$AL$9)*($AM$9-$AL$9)),$AN$9-SQRT((1-AX701)*($AN$9-$AL$9)*($AN$9-$AM$9))),$AM$9)</f>
        <v/>
      </c>
      <c r="AP701">
        <f>IFERROR(IF(AY701&lt;($AM$10-$AL$10)/($AN$10-$AL$10),$AL$10+SQRT(AY701*($AN$10-$AL$10)*($AM$10-$AL$10)),$AN$10-SQRT((1-AY701)*($AN$10-$AL$10)*($AN$10-$AM$10))),$AM$10)</f>
        <v/>
      </c>
      <c r="AQ701">
        <f>IFERROR(IF(AZ701&lt;($AM$11-$AL$11)/($AN$11-$AL$11),$AL$11+SQRT(AZ701*($AN$11-$AL$11)*($AM$11-$AL$11)),$AN$11-SQRT((1-AZ701)*($AN$11-$AL$11)*($AN$11-$AM$11))),$AM$11)</f>
        <v/>
      </c>
      <c r="AR701">
        <f>SUMPRODUCT((B24:B31&lt;=$B$6)*(C24:C31*AM701+D24:D31*AO701*$B$8*AQ701)/(1+AL701/100)^B24:B31)+C32*AM701*AP701/(1+AL701/100)^$B$6</f>
        <v/>
      </c>
      <c r="AS701">
        <f>SUMPRODUCT((K24:K26&lt;=$B$6)*(L24:L26*AN701+M24:M26*AO701*$B$8*AQ701)/(1+AL701/100)^K24:K26)+L27*AN701*AP701/(1+AL701/100)^$B$6</f>
        <v/>
      </c>
      <c r="AT701">
        <f>AS701-AR701</f>
        <v/>
      </c>
      <c r="AU701">
        <f>RAND()</f>
        <v/>
      </c>
      <c r="AV701">
        <f>RAND()</f>
        <v/>
      </c>
      <c r="AW701">
        <f>RAND()</f>
        <v/>
      </c>
      <c r="AX701">
        <f>RAND()</f>
        <v/>
      </c>
      <c r="AY701">
        <f>RAND()</f>
        <v/>
      </c>
      <c r="AZ701">
        <f>RAND()</f>
        <v/>
      </c>
    </row>
    <row r="702">
      <c r="AK702" t="n">
        <v>689</v>
      </c>
      <c r="AL702">
        <f>IFERROR(IF(AU702&lt;($AM$6-$AL$6)/($AN$6-$AL$6),$AL$6+SQRT(AU702*($AN$6-$AL$6)*($AM$6-$AL$6)),$AN$6-SQRT((1-AU702)*($AN$6-$AL$6)*($AN$6-$AM$6))),$AM$6)</f>
        <v/>
      </c>
      <c r="AM702">
        <f>IFERROR(IF(AV702&lt;($AM$7-$AL$7)/($AN$7-$AL$7),$AL$7+SQRT(AV702*($AN$7-$AL$7)*($AM$7-$AL$7)),$AN$7-SQRT((1-AV702)*($AN$7-$AL$7)*($AN$7-$AM$7))),$AM$7)</f>
        <v/>
      </c>
      <c r="AN702">
        <f>IFERROR(IF(AW702&lt;($AM$8-$AL$8)/($AN$8-$AL$8),$AL$8+SQRT(AW702*($AN$8-$AL$8)*($AM$8-$AL$8)),$AN$8-SQRT((1-AW702)*($AN$8-$AL$8)*($AN$8-$AM$8))),$AM$8)</f>
        <v/>
      </c>
      <c r="AO702">
        <f>IFERROR(IF(AX702&lt;($AM$9-$AL$9)/($AN$9-$AL$9),$AL$9+SQRT(AX702*($AN$9-$AL$9)*($AM$9-$AL$9)),$AN$9-SQRT((1-AX702)*($AN$9-$AL$9)*($AN$9-$AM$9))),$AM$9)</f>
        <v/>
      </c>
      <c r="AP702">
        <f>IFERROR(IF(AY702&lt;($AM$10-$AL$10)/($AN$10-$AL$10),$AL$10+SQRT(AY702*($AN$10-$AL$10)*($AM$10-$AL$10)),$AN$10-SQRT((1-AY702)*($AN$10-$AL$10)*($AN$10-$AM$10))),$AM$10)</f>
        <v/>
      </c>
      <c r="AQ702">
        <f>IFERROR(IF(AZ702&lt;($AM$11-$AL$11)/($AN$11-$AL$11),$AL$11+SQRT(AZ702*($AN$11-$AL$11)*($AM$11-$AL$11)),$AN$11-SQRT((1-AZ702)*($AN$11-$AL$11)*($AN$11-$AM$11))),$AM$11)</f>
        <v/>
      </c>
      <c r="AR702">
        <f>SUMPRODUCT((B24:B31&lt;=$B$6)*(C24:C31*AM702+D24:D31*AO702*$B$8*AQ702)/(1+AL702/100)^B24:B31)+C32*AM702*AP702/(1+AL702/100)^$B$6</f>
        <v/>
      </c>
      <c r="AS702">
        <f>SUMPRODUCT((K24:K26&lt;=$B$6)*(L24:L26*AN702+M24:M26*AO702*$B$8*AQ702)/(1+AL702/100)^K24:K26)+L27*AN702*AP702/(1+AL702/100)^$B$6</f>
        <v/>
      </c>
      <c r="AT702">
        <f>AS702-AR702</f>
        <v/>
      </c>
      <c r="AU702">
        <f>RAND()</f>
        <v/>
      </c>
      <c r="AV702">
        <f>RAND()</f>
        <v/>
      </c>
      <c r="AW702">
        <f>RAND()</f>
        <v/>
      </c>
      <c r="AX702">
        <f>RAND()</f>
        <v/>
      </c>
      <c r="AY702">
        <f>RAND()</f>
        <v/>
      </c>
      <c r="AZ702">
        <f>RAND()</f>
        <v/>
      </c>
    </row>
    <row r="703">
      <c r="AK703" t="n">
        <v>690</v>
      </c>
      <c r="AL703">
        <f>IFERROR(IF(AU703&lt;($AM$6-$AL$6)/($AN$6-$AL$6),$AL$6+SQRT(AU703*($AN$6-$AL$6)*($AM$6-$AL$6)),$AN$6-SQRT((1-AU703)*($AN$6-$AL$6)*($AN$6-$AM$6))),$AM$6)</f>
        <v/>
      </c>
      <c r="AM703">
        <f>IFERROR(IF(AV703&lt;($AM$7-$AL$7)/($AN$7-$AL$7),$AL$7+SQRT(AV703*($AN$7-$AL$7)*($AM$7-$AL$7)),$AN$7-SQRT((1-AV703)*($AN$7-$AL$7)*($AN$7-$AM$7))),$AM$7)</f>
        <v/>
      </c>
      <c r="AN703">
        <f>IFERROR(IF(AW703&lt;($AM$8-$AL$8)/($AN$8-$AL$8),$AL$8+SQRT(AW703*($AN$8-$AL$8)*($AM$8-$AL$8)),$AN$8-SQRT((1-AW703)*($AN$8-$AL$8)*($AN$8-$AM$8))),$AM$8)</f>
        <v/>
      </c>
      <c r="AO703">
        <f>IFERROR(IF(AX703&lt;($AM$9-$AL$9)/($AN$9-$AL$9),$AL$9+SQRT(AX703*($AN$9-$AL$9)*($AM$9-$AL$9)),$AN$9-SQRT((1-AX703)*($AN$9-$AL$9)*($AN$9-$AM$9))),$AM$9)</f>
        <v/>
      </c>
      <c r="AP703">
        <f>IFERROR(IF(AY703&lt;($AM$10-$AL$10)/($AN$10-$AL$10),$AL$10+SQRT(AY703*($AN$10-$AL$10)*($AM$10-$AL$10)),$AN$10-SQRT((1-AY703)*($AN$10-$AL$10)*($AN$10-$AM$10))),$AM$10)</f>
        <v/>
      </c>
      <c r="AQ703">
        <f>IFERROR(IF(AZ703&lt;($AM$11-$AL$11)/($AN$11-$AL$11),$AL$11+SQRT(AZ703*($AN$11-$AL$11)*($AM$11-$AL$11)),$AN$11-SQRT((1-AZ703)*($AN$11-$AL$11)*($AN$11-$AM$11))),$AM$11)</f>
        <v/>
      </c>
      <c r="AR703">
        <f>SUMPRODUCT((B24:B31&lt;=$B$6)*(C24:C31*AM703+D24:D31*AO703*$B$8*AQ703)/(1+AL703/100)^B24:B31)+C32*AM703*AP703/(1+AL703/100)^$B$6</f>
        <v/>
      </c>
      <c r="AS703">
        <f>SUMPRODUCT((K24:K26&lt;=$B$6)*(L24:L26*AN703+M24:M26*AO703*$B$8*AQ703)/(1+AL703/100)^K24:K26)+L27*AN703*AP703/(1+AL703/100)^$B$6</f>
        <v/>
      </c>
      <c r="AT703">
        <f>AS703-AR703</f>
        <v/>
      </c>
      <c r="AU703">
        <f>RAND()</f>
        <v/>
      </c>
      <c r="AV703">
        <f>RAND()</f>
        <v/>
      </c>
      <c r="AW703">
        <f>RAND()</f>
        <v/>
      </c>
      <c r="AX703">
        <f>RAND()</f>
        <v/>
      </c>
      <c r="AY703">
        <f>RAND()</f>
        <v/>
      </c>
      <c r="AZ703">
        <f>RAND()</f>
        <v/>
      </c>
    </row>
    <row r="704">
      <c r="AK704" t="n">
        <v>691</v>
      </c>
      <c r="AL704">
        <f>IFERROR(IF(AU704&lt;($AM$6-$AL$6)/($AN$6-$AL$6),$AL$6+SQRT(AU704*($AN$6-$AL$6)*($AM$6-$AL$6)),$AN$6-SQRT((1-AU704)*($AN$6-$AL$6)*($AN$6-$AM$6))),$AM$6)</f>
        <v/>
      </c>
      <c r="AM704">
        <f>IFERROR(IF(AV704&lt;($AM$7-$AL$7)/($AN$7-$AL$7),$AL$7+SQRT(AV704*($AN$7-$AL$7)*($AM$7-$AL$7)),$AN$7-SQRT((1-AV704)*($AN$7-$AL$7)*($AN$7-$AM$7))),$AM$7)</f>
        <v/>
      </c>
      <c r="AN704">
        <f>IFERROR(IF(AW704&lt;($AM$8-$AL$8)/($AN$8-$AL$8),$AL$8+SQRT(AW704*($AN$8-$AL$8)*($AM$8-$AL$8)),$AN$8-SQRT((1-AW704)*($AN$8-$AL$8)*($AN$8-$AM$8))),$AM$8)</f>
        <v/>
      </c>
      <c r="AO704">
        <f>IFERROR(IF(AX704&lt;($AM$9-$AL$9)/($AN$9-$AL$9),$AL$9+SQRT(AX704*($AN$9-$AL$9)*($AM$9-$AL$9)),$AN$9-SQRT((1-AX704)*($AN$9-$AL$9)*($AN$9-$AM$9))),$AM$9)</f>
        <v/>
      </c>
      <c r="AP704">
        <f>IFERROR(IF(AY704&lt;($AM$10-$AL$10)/($AN$10-$AL$10),$AL$10+SQRT(AY704*($AN$10-$AL$10)*($AM$10-$AL$10)),$AN$10-SQRT((1-AY704)*($AN$10-$AL$10)*($AN$10-$AM$10))),$AM$10)</f>
        <v/>
      </c>
      <c r="AQ704">
        <f>IFERROR(IF(AZ704&lt;($AM$11-$AL$11)/($AN$11-$AL$11),$AL$11+SQRT(AZ704*($AN$11-$AL$11)*($AM$11-$AL$11)),$AN$11-SQRT((1-AZ704)*($AN$11-$AL$11)*($AN$11-$AM$11))),$AM$11)</f>
        <v/>
      </c>
      <c r="AR704">
        <f>SUMPRODUCT((B24:B31&lt;=$B$6)*(C24:C31*AM704+D24:D31*AO704*$B$8*AQ704)/(1+AL704/100)^B24:B31)+C32*AM704*AP704/(1+AL704/100)^$B$6</f>
        <v/>
      </c>
      <c r="AS704">
        <f>SUMPRODUCT((K24:K26&lt;=$B$6)*(L24:L26*AN704+M24:M26*AO704*$B$8*AQ704)/(1+AL704/100)^K24:K26)+L27*AN704*AP704/(1+AL704/100)^$B$6</f>
        <v/>
      </c>
      <c r="AT704">
        <f>AS704-AR704</f>
        <v/>
      </c>
      <c r="AU704">
        <f>RAND()</f>
        <v/>
      </c>
      <c r="AV704">
        <f>RAND()</f>
        <v/>
      </c>
      <c r="AW704">
        <f>RAND()</f>
        <v/>
      </c>
      <c r="AX704">
        <f>RAND()</f>
        <v/>
      </c>
      <c r="AY704">
        <f>RAND()</f>
        <v/>
      </c>
      <c r="AZ704">
        <f>RAND()</f>
        <v/>
      </c>
    </row>
    <row r="705">
      <c r="AK705" t="n">
        <v>692</v>
      </c>
      <c r="AL705">
        <f>IFERROR(IF(AU705&lt;($AM$6-$AL$6)/($AN$6-$AL$6),$AL$6+SQRT(AU705*($AN$6-$AL$6)*($AM$6-$AL$6)),$AN$6-SQRT((1-AU705)*($AN$6-$AL$6)*($AN$6-$AM$6))),$AM$6)</f>
        <v/>
      </c>
      <c r="AM705">
        <f>IFERROR(IF(AV705&lt;($AM$7-$AL$7)/($AN$7-$AL$7),$AL$7+SQRT(AV705*($AN$7-$AL$7)*($AM$7-$AL$7)),$AN$7-SQRT((1-AV705)*($AN$7-$AL$7)*($AN$7-$AM$7))),$AM$7)</f>
        <v/>
      </c>
      <c r="AN705">
        <f>IFERROR(IF(AW705&lt;($AM$8-$AL$8)/($AN$8-$AL$8),$AL$8+SQRT(AW705*($AN$8-$AL$8)*($AM$8-$AL$8)),$AN$8-SQRT((1-AW705)*($AN$8-$AL$8)*($AN$8-$AM$8))),$AM$8)</f>
        <v/>
      </c>
      <c r="AO705">
        <f>IFERROR(IF(AX705&lt;($AM$9-$AL$9)/($AN$9-$AL$9),$AL$9+SQRT(AX705*($AN$9-$AL$9)*($AM$9-$AL$9)),$AN$9-SQRT((1-AX705)*($AN$9-$AL$9)*($AN$9-$AM$9))),$AM$9)</f>
        <v/>
      </c>
      <c r="AP705">
        <f>IFERROR(IF(AY705&lt;($AM$10-$AL$10)/($AN$10-$AL$10),$AL$10+SQRT(AY705*($AN$10-$AL$10)*($AM$10-$AL$10)),$AN$10-SQRT((1-AY705)*($AN$10-$AL$10)*($AN$10-$AM$10))),$AM$10)</f>
        <v/>
      </c>
      <c r="AQ705">
        <f>IFERROR(IF(AZ705&lt;($AM$11-$AL$11)/($AN$11-$AL$11),$AL$11+SQRT(AZ705*($AN$11-$AL$11)*($AM$11-$AL$11)),$AN$11-SQRT((1-AZ705)*($AN$11-$AL$11)*($AN$11-$AM$11))),$AM$11)</f>
        <v/>
      </c>
      <c r="AR705">
        <f>SUMPRODUCT((B24:B31&lt;=$B$6)*(C24:C31*AM705+D24:D31*AO705*$B$8*AQ705)/(1+AL705/100)^B24:B31)+C32*AM705*AP705/(1+AL705/100)^$B$6</f>
        <v/>
      </c>
      <c r="AS705">
        <f>SUMPRODUCT((K24:K26&lt;=$B$6)*(L24:L26*AN705+M24:M26*AO705*$B$8*AQ705)/(1+AL705/100)^K24:K26)+L27*AN705*AP705/(1+AL705/100)^$B$6</f>
        <v/>
      </c>
      <c r="AT705">
        <f>AS705-AR705</f>
        <v/>
      </c>
      <c r="AU705">
        <f>RAND()</f>
        <v/>
      </c>
      <c r="AV705">
        <f>RAND()</f>
        <v/>
      </c>
      <c r="AW705">
        <f>RAND()</f>
        <v/>
      </c>
      <c r="AX705">
        <f>RAND()</f>
        <v/>
      </c>
      <c r="AY705">
        <f>RAND()</f>
        <v/>
      </c>
      <c r="AZ705">
        <f>RAND()</f>
        <v/>
      </c>
    </row>
    <row r="706">
      <c r="AK706" t="n">
        <v>693</v>
      </c>
      <c r="AL706">
        <f>IFERROR(IF(AU706&lt;($AM$6-$AL$6)/($AN$6-$AL$6),$AL$6+SQRT(AU706*($AN$6-$AL$6)*($AM$6-$AL$6)),$AN$6-SQRT((1-AU706)*($AN$6-$AL$6)*($AN$6-$AM$6))),$AM$6)</f>
        <v/>
      </c>
      <c r="AM706">
        <f>IFERROR(IF(AV706&lt;($AM$7-$AL$7)/($AN$7-$AL$7),$AL$7+SQRT(AV706*($AN$7-$AL$7)*($AM$7-$AL$7)),$AN$7-SQRT((1-AV706)*($AN$7-$AL$7)*($AN$7-$AM$7))),$AM$7)</f>
        <v/>
      </c>
      <c r="AN706">
        <f>IFERROR(IF(AW706&lt;($AM$8-$AL$8)/($AN$8-$AL$8),$AL$8+SQRT(AW706*($AN$8-$AL$8)*($AM$8-$AL$8)),$AN$8-SQRT((1-AW706)*($AN$8-$AL$8)*($AN$8-$AM$8))),$AM$8)</f>
        <v/>
      </c>
      <c r="AO706">
        <f>IFERROR(IF(AX706&lt;($AM$9-$AL$9)/($AN$9-$AL$9),$AL$9+SQRT(AX706*($AN$9-$AL$9)*($AM$9-$AL$9)),$AN$9-SQRT((1-AX706)*($AN$9-$AL$9)*($AN$9-$AM$9))),$AM$9)</f>
        <v/>
      </c>
      <c r="AP706">
        <f>IFERROR(IF(AY706&lt;($AM$10-$AL$10)/($AN$10-$AL$10),$AL$10+SQRT(AY706*($AN$10-$AL$10)*($AM$10-$AL$10)),$AN$10-SQRT((1-AY706)*($AN$10-$AL$10)*($AN$10-$AM$10))),$AM$10)</f>
        <v/>
      </c>
      <c r="AQ706">
        <f>IFERROR(IF(AZ706&lt;($AM$11-$AL$11)/($AN$11-$AL$11),$AL$11+SQRT(AZ706*($AN$11-$AL$11)*($AM$11-$AL$11)),$AN$11-SQRT((1-AZ706)*($AN$11-$AL$11)*($AN$11-$AM$11))),$AM$11)</f>
        <v/>
      </c>
      <c r="AR706">
        <f>SUMPRODUCT((B24:B31&lt;=$B$6)*(C24:C31*AM706+D24:D31*AO706*$B$8*AQ706)/(1+AL706/100)^B24:B31)+C32*AM706*AP706/(1+AL706/100)^$B$6</f>
        <v/>
      </c>
      <c r="AS706">
        <f>SUMPRODUCT((K24:K26&lt;=$B$6)*(L24:L26*AN706+M24:M26*AO706*$B$8*AQ706)/(1+AL706/100)^K24:K26)+L27*AN706*AP706/(1+AL706/100)^$B$6</f>
        <v/>
      </c>
      <c r="AT706">
        <f>AS706-AR706</f>
        <v/>
      </c>
      <c r="AU706">
        <f>RAND()</f>
        <v/>
      </c>
      <c r="AV706">
        <f>RAND()</f>
        <v/>
      </c>
      <c r="AW706">
        <f>RAND()</f>
        <v/>
      </c>
      <c r="AX706">
        <f>RAND()</f>
        <v/>
      </c>
      <c r="AY706">
        <f>RAND()</f>
        <v/>
      </c>
      <c r="AZ706">
        <f>RAND()</f>
        <v/>
      </c>
    </row>
    <row r="707">
      <c r="AK707" t="n">
        <v>694</v>
      </c>
      <c r="AL707">
        <f>IFERROR(IF(AU707&lt;($AM$6-$AL$6)/($AN$6-$AL$6),$AL$6+SQRT(AU707*($AN$6-$AL$6)*($AM$6-$AL$6)),$AN$6-SQRT((1-AU707)*($AN$6-$AL$6)*($AN$6-$AM$6))),$AM$6)</f>
        <v/>
      </c>
      <c r="AM707">
        <f>IFERROR(IF(AV707&lt;($AM$7-$AL$7)/($AN$7-$AL$7),$AL$7+SQRT(AV707*($AN$7-$AL$7)*($AM$7-$AL$7)),$AN$7-SQRT((1-AV707)*($AN$7-$AL$7)*($AN$7-$AM$7))),$AM$7)</f>
        <v/>
      </c>
      <c r="AN707">
        <f>IFERROR(IF(AW707&lt;($AM$8-$AL$8)/($AN$8-$AL$8),$AL$8+SQRT(AW707*($AN$8-$AL$8)*($AM$8-$AL$8)),$AN$8-SQRT((1-AW707)*($AN$8-$AL$8)*($AN$8-$AM$8))),$AM$8)</f>
        <v/>
      </c>
      <c r="AO707">
        <f>IFERROR(IF(AX707&lt;($AM$9-$AL$9)/($AN$9-$AL$9),$AL$9+SQRT(AX707*($AN$9-$AL$9)*($AM$9-$AL$9)),$AN$9-SQRT((1-AX707)*($AN$9-$AL$9)*($AN$9-$AM$9))),$AM$9)</f>
        <v/>
      </c>
      <c r="AP707">
        <f>IFERROR(IF(AY707&lt;($AM$10-$AL$10)/($AN$10-$AL$10),$AL$10+SQRT(AY707*($AN$10-$AL$10)*($AM$10-$AL$10)),$AN$10-SQRT((1-AY707)*($AN$10-$AL$10)*($AN$10-$AM$10))),$AM$10)</f>
        <v/>
      </c>
      <c r="AQ707">
        <f>IFERROR(IF(AZ707&lt;($AM$11-$AL$11)/($AN$11-$AL$11),$AL$11+SQRT(AZ707*($AN$11-$AL$11)*($AM$11-$AL$11)),$AN$11-SQRT((1-AZ707)*($AN$11-$AL$11)*($AN$11-$AM$11))),$AM$11)</f>
        <v/>
      </c>
      <c r="AR707">
        <f>SUMPRODUCT((B24:B31&lt;=$B$6)*(C24:C31*AM707+D24:D31*AO707*$B$8*AQ707)/(1+AL707/100)^B24:B31)+C32*AM707*AP707/(1+AL707/100)^$B$6</f>
        <v/>
      </c>
      <c r="AS707">
        <f>SUMPRODUCT((K24:K26&lt;=$B$6)*(L24:L26*AN707+M24:M26*AO707*$B$8*AQ707)/(1+AL707/100)^K24:K26)+L27*AN707*AP707/(1+AL707/100)^$B$6</f>
        <v/>
      </c>
      <c r="AT707">
        <f>AS707-AR707</f>
        <v/>
      </c>
      <c r="AU707">
        <f>RAND()</f>
        <v/>
      </c>
      <c r="AV707">
        <f>RAND()</f>
        <v/>
      </c>
      <c r="AW707">
        <f>RAND()</f>
        <v/>
      </c>
      <c r="AX707">
        <f>RAND()</f>
        <v/>
      </c>
      <c r="AY707">
        <f>RAND()</f>
        <v/>
      </c>
      <c r="AZ707">
        <f>RAND()</f>
        <v/>
      </c>
    </row>
    <row r="708">
      <c r="AK708" t="n">
        <v>695</v>
      </c>
      <c r="AL708">
        <f>IFERROR(IF(AU708&lt;($AM$6-$AL$6)/($AN$6-$AL$6),$AL$6+SQRT(AU708*($AN$6-$AL$6)*($AM$6-$AL$6)),$AN$6-SQRT((1-AU708)*($AN$6-$AL$6)*($AN$6-$AM$6))),$AM$6)</f>
        <v/>
      </c>
      <c r="AM708">
        <f>IFERROR(IF(AV708&lt;($AM$7-$AL$7)/($AN$7-$AL$7),$AL$7+SQRT(AV708*($AN$7-$AL$7)*($AM$7-$AL$7)),$AN$7-SQRT((1-AV708)*($AN$7-$AL$7)*($AN$7-$AM$7))),$AM$7)</f>
        <v/>
      </c>
      <c r="AN708">
        <f>IFERROR(IF(AW708&lt;($AM$8-$AL$8)/($AN$8-$AL$8),$AL$8+SQRT(AW708*($AN$8-$AL$8)*($AM$8-$AL$8)),$AN$8-SQRT((1-AW708)*($AN$8-$AL$8)*($AN$8-$AM$8))),$AM$8)</f>
        <v/>
      </c>
      <c r="AO708">
        <f>IFERROR(IF(AX708&lt;($AM$9-$AL$9)/($AN$9-$AL$9),$AL$9+SQRT(AX708*($AN$9-$AL$9)*($AM$9-$AL$9)),$AN$9-SQRT((1-AX708)*($AN$9-$AL$9)*($AN$9-$AM$9))),$AM$9)</f>
        <v/>
      </c>
      <c r="AP708">
        <f>IFERROR(IF(AY708&lt;($AM$10-$AL$10)/($AN$10-$AL$10),$AL$10+SQRT(AY708*($AN$10-$AL$10)*($AM$10-$AL$10)),$AN$10-SQRT((1-AY708)*($AN$10-$AL$10)*($AN$10-$AM$10))),$AM$10)</f>
        <v/>
      </c>
      <c r="AQ708">
        <f>IFERROR(IF(AZ708&lt;($AM$11-$AL$11)/($AN$11-$AL$11),$AL$11+SQRT(AZ708*($AN$11-$AL$11)*($AM$11-$AL$11)),$AN$11-SQRT((1-AZ708)*($AN$11-$AL$11)*($AN$11-$AM$11))),$AM$11)</f>
        <v/>
      </c>
      <c r="AR708">
        <f>SUMPRODUCT((B24:B31&lt;=$B$6)*(C24:C31*AM708+D24:D31*AO708*$B$8*AQ708)/(1+AL708/100)^B24:B31)+C32*AM708*AP708/(1+AL708/100)^$B$6</f>
        <v/>
      </c>
      <c r="AS708">
        <f>SUMPRODUCT((K24:K26&lt;=$B$6)*(L24:L26*AN708+M24:M26*AO708*$B$8*AQ708)/(1+AL708/100)^K24:K26)+L27*AN708*AP708/(1+AL708/100)^$B$6</f>
        <v/>
      </c>
      <c r="AT708">
        <f>AS708-AR708</f>
        <v/>
      </c>
      <c r="AU708">
        <f>RAND()</f>
        <v/>
      </c>
      <c r="AV708">
        <f>RAND()</f>
        <v/>
      </c>
      <c r="AW708">
        <f>RAND()</f>
        <v/>
      </c>
      <c r="AX708">
        <f>RAND()</f>
        <v/>
      </c>
      <c r="AY708">
        <f>RAND()</f>
        <v/>
      </c>
      <c r="AZ708">
        <f>RAND()</f>
        <v/>
      </c>
    </row>
    <row r="709">
      <c r="AK709" t="n">
        <v>696</v>
      </c>
      <c r="AL709">
        <f>IFERROR(IF(AU709&lt;($AM$6-$AL$6)/($AN$6-$AL$6),$AL$6+SQRT(AU709*($AN$6-$AL$6)*($AM$6-$AL$6)),$AN$6-SQRT((1-AU709)*($AN$6-$AL$6)*($AN$6-$AM$6))),$AM$6)</f>
        <v/>
      </c>
      <c r="AM709">
        <f>IFERROR(IF(AV709&lt;($AM$7-$AL$7)/($AN$7-$AL$7),$AL$7+SQRT(AV709*($AN$7-$AL$7)*($AM$7-$AL$7)),$AN$7-SQRT((1-AV709)*($AN$7-$AL$7)*($AN$7-$AM$7))),$AM$7)</f>
        <v/>
      </c>
      <c r="AN709">
        <f>IFERROR(IF(AW709&lt;($AM$8-$AL$8)/($AN$8-$AL$8),$AL$8+SQRT(AW709*($AN$8-$AL$8)*($AM$8-$AL$8)),$AN$8-SQRT((1-AW709)*($AN$8-$AL$8)*($AN$8-$AM$8))),$AM$8)</f>
        <v/>
      </c>
      <c r="AO709">
        <f>IFERROR(IF(AX709&lt;($AM$9-$AL$9)/($AN$9-$AL$9),$AL$9+SQRT(AX709*($AN$9-$AL$9)*($AM$9-$AL$9)),$AN$9-SQRT((1-AX709)*($AN$9-$AL$9)*($AN$9-$AM$9))),$AM$9)</f>
        <v/>
      </c>
      <c r="AP709">
        <f>IFERROR(IF(AY709&lt;($AM$10-$AL$10)/($AN$10-$AL$10),$AL$10+SQRT(AY709*($AN$10-$AL$10)*($AM$10-$AL$10)),$AN$10-SQRT((1-AY709)*($AN$10-$AL$10)*($AN$10-$AM$10))),$AM$10)</f>
        <v/>
      </c>
      <c r="AQ709">
        <f>IFERROR(IF(AZ709&lt;($AM$11-$AL$11)/($AN$11-$AL$11),$AL$11+SQRT(AZ709*($AN$11-$AL$11)*($AM$11-$AL$11)),$AN$11-SQRT((1-AZ709)*($AN$11-$AL$11)*($AN$11-$AM$11))),$AM$11)</f>
        <v/>
      </c>
      <c r="AR709">
        <f>SUMPRODUCT((B24:B31&lt;=$B$6)*(C24:C31*AM709+D24:D31*AO709*$B$8*AQ709)/(1+AL709/100)^B24:B31)+C32*AM709*AP709/(1+AL709/100)^$B$6</f>
        <v/>
      </c>
      <c r="AS709">
        <f>SUMPRODUCT((K24:K26&lt;=$B$6)*(L24:L26*AN709+M24:M26*AO709*$B$8*AQ709)/(1+AL709/100)^K24:K26)+L27*AN709*AP709/(1+AL709/100)^$B$6</f>
        <v/>
      </c>
      <c r="AT709">
        <f>AS709-AR709</f>
        <v/>
      </c>
      <c r="AU709">
        <f>RAND()</f>
        <v/>
      </c>
      <c r="AV709">
        <f>RAND()</f>
        <v/>
      </c>
      <c r="AW709">
        <f>RAND()</f>
        <v/>
      </c>
      <c r="AX709">
        <f>RAND()</f>
        <v/>
      </c>
      <c r="AY709">
        <f>RAND()</f>
        <v/>
      </c>
      <c r="AZ709">
        <f>RAND()</f>
        <v/>
      </c>
    </row>
    <row r="710">
      <c r="AK710" t="n">
        <v>697</v>
      </c>
      <c r="AL710">
        <f>IFERROR(IF(AU710&lt;($AM$6-$AL$6)/($AN$6-$AL$6),$AL$6+SQRT(AU710*($AN$6-$AL$6)*($AM$6-$AL$6)),$AN$6-SQRT((1-AU710)*($AN$6-$AL$6)*($AN$6-$AM$6))),$AM$6)</f>
        <v/>
      </c>
      <c r="AM710">
        <f>IFERROR(IF(AV710&lt;($AM$7-$AL$7)/($AN$7-$AL$7),$AL$7+SQRT(AV710*($AN$7-$AL$7)*($AM$7-$AL$7)),$AN$7-SQRT((1-AV710)*($AN$7-$AL$7)*($AN$7-$AM$7))),$AM$7)</f>
        <v/>
      </c>
      <c r="AN710">
        <f>IFERROR(IF(AW710&lt;($AM$8-$AL$8)/($AN$8-$AL$8),$AL$8+SQRT(AW710*($AN$8-$AL$8)*($AM$8-$AL$8)),$AN$8-SQRT((1-AW710)*($AN$8-$AL$8)*($AN$8-$AM$8))),$AM$8)</f>
        <v/>
      </c>
      <c r="AO710">
        <f>IFERROR(IF(AX710&lt;($AM$9-$AL$9)/($AN$9-$AL$9),$AL$9+SQRT(AX710*($AN$9-$AL$9)*($AM$9-$AL$9)),$AN$9-SQRT((1-AX710)*($AN$9-$AL$9)*($AN$9-$AM$9))),$AM$9)</f>
        <v/>
      </c>
      <c r="AP710">
        <f>IFERROR(IF(AY710&lt;($AM$10-$AL$10)/($AN$10-$AL$10),$AL$10+SQRT(AY710*($AN$10-$AL$10)*($AM$10-$AL$10)),$AN$10-SQRT((1-AY710)*($AN$10-$AL$10)*($AN$10-$AM$10))),$AM$10)</f>
        <v/>
      </c>
      <c r="AQ710">
        <f>IFERROR(IF(AZ710&lt;($AM$11-$AL$11)/($AN$11-$AL$11),$AL$11+SQRT(AZ710*($AN$11-$AL$11)*($AM$11-$AL$11)),$AN$11-SQRT((1-AZ710)*($AN$11-$AL$11)*($AN$11-$AM$11))),$AM$11)</f>
        <v/>
      </c>
      <c r="AR710">
        <f>SUMPRODUCT((B24:B31&lt;=$B$6)*(C24:C31*AM710+D24:D31*AO710*$B$8*AQ710)/(1+AL710/100)^B24:B31)+C32*AM710*AP710/(1+AL710/100)^$B$6</f>
        <v/>
      </c>
      <c r="AS710">
        <f>SUMPRODUCT((K24:K26&lt;=$B$6)*(L24:L26*AN710+M24:M26*AO710*$B$8*AQ710)/(1+AL710/100)^K24:K26)+L27*AN710*AP710/(1+AL710/100)^$B$6</f>
        <v/>
      </c>
      <c r="AT710">
        <f>AS710-AR710</f>
        <v/>
      </c>
      <c r="AU710">
        <f>RAND()</f>
        <v/>
      </c>
      <c r="AV710">
        <f>RAND()</f>
        <v/>
      </c>
      <c r="AW710">
        <f>RAND()</f>
        <v/>
      </c>
      <c r="AX710">
        <f>RAND()</f>
        <v/>
      </c>
      <c r="AY710">
        <f>RAND()</f>
        <v/>
      </c>
      <c r="AZ710">
        <f>RAND()</f>
        <v/>
      </c>
    </row>
    <row r="711">
      <c r="AK711" t="n">
        <v>698</v>
      </c>
      <c r="AL711">
        <f>IFERROR(IF(AU711&lt;($AM$6-$AL$6)/($AN$6-$AL$6),$AL$6+SQRT(AU711*($AN$6-$AL$6)*($AM$6-$AL$6)),$AN$6-SQRT((1-AU711)*($AN$6-$AL$6)*($AN$6-$AM$6))),$AM$6)</f>
        <v/>
      </c>
      <c r="AM711">
        <f>IFERROR(IF(AV711&lt;($AM$7-$AL$7)/($AN$7-$AL$7),$AL$7+SQRT(AV711*($AN$7-$AL$7)*($AM$7-$AL$7)),$AN$7-SQRT((1-AV711)*($AN$7-$AL$7)*($AN$7-$AM$7))),$AM$7)</f>
        <v/>
      </c>
      <c r="AN711">
        <f>IFERROR(IF(AW711&lt;($AM$8-$AL$8)/($AN$8-$AL$8),$AL$8+SQRT(AW711*($AN$8-$AL$8)*($AM$8-$AL$8)),$AN$8-SQRT((1-AW711)*($AN$8-$AL$8)*($AN$8-$AM$8))),$AM$8)</f>
        <v/>
      </c>
      <c r="AO711">
        <f>IFERROR(IF(AX711&lt;($AM$9-$AL$9)/($AN$9-$AL$9),$AL$9+SQRT(AX711*($AN$9-$AL$9)*($AM$9-$AL$9)),$AN$9-SQRT((1-AX711)*($AN$9-$AL$9)*($AN$9-$AM$9))),$AM$9)</f>
        <v/>
      </c>
      <c r="AP711">
        <f>IFERROR(IF(AY711&lt;($AM$10-$AL$10)/($AN$10-$AL$10),$AL$10+SQRT(AY711*($AN$10-$AL$10)*($AM$10-$AL$10)),$AN$10-SQRT((1-AY711)*($AN$10-$AL$10)*($AN$10-$AM$10))),$AM$10)</f>
        <v/>
      </c>
      <c r="AQ711">
        <f>IFERROR(IF(AZ711&lt;($AM$11-$AL$11)/($AN$11-$AL$11),$AL$11+SQRT(AZ711*($AN$11-$AL$11)*($AM$11-$AL$11)),$AN$11-SQRT((1-AZ711)*($AN$11-$AL$11)*($AN$11-$AM$11))),$AM$11)</f>
        <v/>
      </c>
      <c r="AR711">
        <f>SUMPRODUCT((B24:B31&lt;=$B$6)*(C24:C31*AM711+D24:D31*AO711*$B$8*AQ711)/(1+AL711/100)^B24:B31)+C32*AM711*AP711/(1+AL711/100)^$B$6</f>
        <v/>
      </c>
      <c r="AS711">
        <f>SUMPRODUCT((K24:K26&lt;=$B$6)*(L24:L26*AN711+M24:M26*AO711*$B$8*AQ711)/(1+AL711/100)^K24:K26)+L27*AN711*AP711/(1+AL711/100)^$B$6</f>
        <v/>
      </c>
      <c r="AT711">
        <f>AS711-AR711</f>
        <v/>
      </c>
      <c r="AU711">
        <f>RAND()</f>
        <v/>
      </c>
      <c r="AV711">
        <f>RAND()</f>
        <v/>
      </c>
      <c r="AW711">
        <f>RAND()</f>
        <v/>
      </c>
      <c r="AX711">
        <f>RAND()</f>
        <v/>
      </c>
      <c r="AY711">
        <f>RAND()</f>
        <v/>
      </c>
      <c r="AZ711">
        <f>RAND()</f>
        <v/>
      </c>
    </row>
    <row r="712">
      <c r="AK712" t="n">
        <v>699</v>
      </c>
      <c r="AL712">
        <f>IFERROR(IF(AU712&lt;($AM$6-$AL$6)/($AN$6-$AL$6),$AL$6+SQRT(AU712*($AN$6-$AL$6)*($AM$6-$AL$6)),$AN$6-SQRT((1-AU712)*($AN$6-$AL$6)*($AN$6-$AM$6))),$AM$6)</f>
        <v/>
      </c>
      <c r="AM712">
        <f>IFERROR(IF(AV712&lt;($AM$7-$AL$7)/($AN$7-$AL$7),$AL$7+SQRT(AV712*($AN$7-$AL$7)*($AM$7-$AL$7)),$AN$7-SQRT((1-AV712)*($AN$7-$AL$7)*($AN$7-$AM$7))),$AM$7)</f>
        <v/>
      </c>
      <c r="AN712">
        <f>IFERROR(IF(AW712&lt;($AM$8-$AL$8)/($AN$8-$AL$8),$AL$8+SQRT(AW712*($AN$8-$AL$8)*($AM$8-$AL$8)),$AN$8-SQRT((1-AW712)*($AN$8-$AL$8)*($AN$8-$AM$8))),$AM$8)</f>
        <v/>
      </c>
      <c r="AO712">
        <f>IFERROR(IF(AX712&lt;($AM$9-$AL$9)/($AN$9-$AL$9),$AL$9+SQRT(AX712*($AN$9-$AL$9)*($AM$9-$AL$9)),$AN$9-SQRT((1-AX712)*($AN$9-$AL$9)*($AN$9-$AM$9))),$AM$9)</f>
        <v/>
      </c>
      <c r="AP712">
        <f>IFERROR(IF(AY712&lt;($AM$10-$AL$10)/($AN$10-$AL$10),$AL$10+SQRT(AY712*($AN$10-$AL$10)*($AM$10-$AL$10)),$AN$10-SQRT((1-AY712)*($AN$10-$AL$10)*($AN$10-$AM$10))),$AM$10)</f>
        <v/>
      </c>
      <c r="AQ712">
        <f>IFERROR(IF(AZ712&lt;($AM$11-$AL$11)/($AN$11-$AL$11),$AL$11+SQRT(AZ712*($AN$11-$AL$11)*($AM$11-$AL$11)),$AN$11-SQRT((1-AZ712)*($AN$11-$AL$11)*($AN$11-$AM$11))),$AM$11)</f>
        <v/>
      </c>
      <c r="AR712">
        <f>SUMPRODUCT((B24:B31&lt;=$B$6)*(C24:C31*AM712+D24:D31*AO712*$B$8*AQ712)/(1+AL712/100)^B24:B31)+C32*AM712*AP712/(1+AL712/100)^$B$6</f>
        <v/>
      </c>
      <c r="AS712">
        <f>SUMPRODUCT((K24:K26&lt;=$B$6)*(L24:L26*AN712+M24:M26*AO712*$B$8*AQ712)/(1+AL712/100)^K24:K26)+L27*AN712*AP712/(1+AL712/100)^$B$6</f>
        <v/>
      </c>
      <c r="AT712">
        <f>AS712-AR712</f>
        <v/>
      </c>
      <c r="AU712">
        <f>RAND()</f>
        <v/>
      </c>
      <c r="AV712">
        <f>RAND()</f>
        <v/>
      </c>
      <c r="AW712">
        <f>RAND()</f>
        <v/>
      </c>
      <c r="AX712">
        <f>RAND()</f>
        <v/>
      </c>
      <c r="AY712">
        <f>RAND()</f>
        <v/>
      </c>
      <c r="AZ712">
        <f>RAND()</f>
        <v/>
      </c>
    </row>
    <row r="713">
      <c r="AK713" t="n">
        <v>700</v>
      </c>
      <c r="AL713">
        <f>IFERROR(IF(AU713&lt;($AM$6-$AL$6)/($AN$6-$AL$6),$AL$6+SQRT(AU713*($AN$6-$AL$6)*($AM$6-$AL$6)),$AN$6-SQRT((1-AU713)*($AN$6-$AL$6)*($AN$6-$AM$6))),$AM$6)</f>
        <v/>
      </c>
      <c r="AM713">
        <f>IFERROR(IF(AV713&lt;($AM$7-$AL$7)/($AN$7-$AL$7),$AL$7+SQRT(AV713*($AN$7-$AL$7)*($AM$7-$AL$7)),$AN$7-SQRT((1-AV713)*($AN$7-$AL$7)*($AN$7-$AM$7))),$AM$7)</f>
        <v/>
      </c>
      <c r="AN713">
        <f>IFERROR(IF(AW713&lt;($AM$8-$AL$8)/($AN$8-$AL$8),$AL$8+SQRT(AW713*($AN$8-$AL$8)*($AM$8-$AL$8)),$AN$8-SQRT((1-AW713)*($AN$8-$AL$8)*($AN$8-$AM$8))),$AM$8)</f>
        <v/>
      </c>
      <c r="AO713">
        <f>IFERROR(IF(AX713&lt;($AM$9-$AL$9)/($AN$9-$AL$9),$AL$9+SQRT(AX713*($AN$9-$AL$9)*($AM$9-$AL$9)),$AN$9-SQRT((1-AX713)*($AN$9-$AL$9)*($AN$9-$AM$9))),$AM$9)</f>
        <v/>
      </c>
      <c r="AP713">
        <f>IFERROR(IF(AY713&lt;($AM$10-$AL$10)/($AN$10-$AL$10),$AL$10+SQRT(AY713*($AN$10-$AL$10)*($AM$10-$AL$10)),$AN$10-SQRT((1-AY713)*($AN$10-$AL$10)*($AN$10-$AM$10))),$AM$10)</f>
        <v/>
      </c>
      <c r="AQ713">
        <f>IFERROR(IF(AZ713&lt;($AM$11-$AL$11)/($AN$11-$AL$11),$AL$11+SQRT(AZ713*($AN$11-$AL$11)*($AM$11-$AL$11)),$AN$11-SQRT((1-AZ713)*($AN$11-$AL$11)*($AN$11-$AM$11))),$AM$11)</f>
        <v/>
      </c>
      <c r="AR713">
        <f>SUMPRODUCT((B24:B31&lt;=$B$6)*(C24:C31*AM713+D24:D31*AO713*$B$8*AQ713)/(1+AL713/100)^B24:B31)+C32*AM713*AP713/(1+AL713/100)^$B$6</f>
        <v/>
      </c>
      <c r="AS713">
        <f>SUMPRODUCT((K24:K26&lt;=$B$6)*(L24:L26*AN713+M24:M26*AO713*$B$8*AQ713)/(1+AL713/100)^K24:K26)+L27*AN713*AP713/(1+AL713/100)^$B$6</f>
        <v/>
      </c>
      <c r="AT713">
        <f>AS713-AR713</f>
        <v/>
      </c>
      <c r="AU713">
        <f>RAND()</f>
        <v/>
      </c>
      <c r="AV713">
        <f>RAND()</f>
        <v/>
      </c>
      <c r="AW713">
        <f>RAND()</f>
        <v/>
      </c>
      <c r="AX713">
        <f>RAND()</f>
        <v/>
      </c>
      <c r="AY713">
        <f>RAND()</f>
        <v/>
      </c>
      <c r="AZ713">
        <f>RAND()</f>
        <v/>
      </c>
    </row>
    <row r="714">
      <c r="AK714" t="n">
        <v>701</v>
      </c>
      <c r="AL714">
        <f>IFERROR(IF(AU714&lt;($AM$6-$AL$6)/($AN$6-$AL$6),$AL$6+SQRT(AU714*($AN$6-$AL$6)*($AM$6-$AL$6)),$AN$6-SQRT((1-AU714)*($AN$6-$AL$6)*($AN$6-$AM$6))),$AM$6)</f>
        <v/>
      </c>
      <c r="AM714">
        <f>IFERROR(IF(AV714&lt;($AM$7-$AL$7)/($AN$7-$AL$7),$AL$7+SQRT(AV714*($AN$7-$AL$7)*($AM$7-$AL$7)),$AN$7-SQRT((1-AV714)*($AN$7-$AL$7)*($AN$7-$AM$7))),$AM$7)</f>
        <v/>
      </c>
      <c r="AN714">
        <f>IFERROR(IF(AW714&lt;($AM$8-$AL$8)/($AN$8-$AL$8),$AL$8+SQRT(AW714*($AN$8-$AL$8)*($AM$8-$AL$8)),$AN$8-SQRT((1-AW714)*($AN$8-$AL$8)*($AN$8-$AM$8))),$AM$8)</f>
        <v/>
      </c>
      <c r="AO714">
        <f>IFERROR(IF(AX714&lt;($AM$9-$AL$9)/($AN$9-$AL$9),$AL$9+SQRT(AX714*($AN$9-$AL$9)*($AM$9-$AL$9)),$AN$9-SQRT((1-AX714)*($AN$9-$AL$9)*($AN$9-$AM$9))),$AM$9)</f>
        <v/>
      </c>
      <c r="AP714">
        <f>IFERROR(IF(AY714&lt;($AM$10-$AL$10)/($AN$10-$AL$10),$AL$10+SQRT(AY714*($AN$10-$AL$10)*($AM$10-$AL$10)),$AN$10-SQRT((1-AY714)*($AN$10-$AL$10)*($AN$10-$AM$10))),$AM$10)</f>
        <v/>
      </c>
      <c r="AQ714">
        <f>IFERROR(IF(AZ714&lt;($AM$11-$AL$11)/($AN$11-$AL$11),$AL$11+SQRT(AZ714*($AN$11-$AL$11)*($AM$11-$AL$11)),$AN$11-SQRT((1-AZ714)*($AN$11-$AL$11)*($AN$11-$AM$11))),$AM$11)</f>
        <v/>
      </c>
      <c r="AR714">
        <f>SUMPRODUCT((B24:B31&lt;=$B$6)*(C24:C31*AM714+D24:D31*AO714*$B$8*AQ714)/(1+AL714/100)^B24:B31)+C32*AM714*AP714/(1+AL714/100)^$B$6</f>
        <v/>
      </c>
      <c r="AS714">
        <f>SUMPRODUCT((K24:K26&lt;=$B$6)*(L24:L26*AN714+M24:M26*AO714*$B$8*AQ714)/(1+AL714/100)^K24:K26)+L27*AN714*AP714/(1+AL714/100)^$B$6</f>
        <v/>
      </c>
      <c r="AT714">
        <f>AS714-AR714</f>
        <v/>
      </c>
      <c r="AU714">
        <f>RAND()</f>
        <v/>
      </c>
      <c r="AV714">
        <f>RAND()</f>
        <v/>
      </c>
      <c r="AW714">
        <f>RAND()</f>
        <v/>
      </c>
      <c r="AX714">
        <f>RAND()</f>
        <v/>
      </c>
      <c r="AY714">
        <f>RAND()</f>
        <v/>
      </c>
      <c r="AZ714">
        <f>RAND()</f>
        <v/>
      </c>
    </row>
    <row r="715">
      <c r="AK715" t="n">
        <v>702</v>
      </c>
      <c r="AL715">
        <f>IFERROR(IF(AU715&lt;($AM$6-$AL$6)/($AN$6-$AL$6),$AL$6+SQRT(AU715*($AN$6-$AL$6)*($AM$6-$AL$6)),$AN$6-SQRT((1-AU715)*($AN$6-$AL$6)*($AN$6-$AM$6))),$AM$6)</f>
        <v/>
      </c>
      <c r="AM715">
        <f>IFERROR(IF(AV715&lt;($AM$7-$AL$7)/($AN$7-$AL$7),$AL$7+SQRT(AV715*($AN$7-$AL$7)*($AM$7-$AL$7)),$AN$7-SQRT((1-AV715)*($AN$7-$AL$7)*($AN$7-$AM$7))),$AM$7)</f>
        <v/>
      </c>
      <c r="AN715">
        <f>IFERROR(IF(AW715&lt;($AM$8-$AL$8)/($AN$8-$AL$8),$AL$8+SQRT(AW715*($AN$8-$AL$8)*($AM$8-$AL$8)),$AN$8-SQRT((1-AW715)*($AN$8-$AL$8)*($AN$8-$AM$8))),$AM$8)</f>
        <v/>
      </c>
      <c r="AO715">
        <f>IFERROR(IF(AX715&lt;($AM$9-$AL$9)/($AN$9-$AL$9),$AL$9+SQRT(AX715*($AN$9-$AL$9)*($AM$9-$AL$9)),$AN$9-SQRT((1-AX715)*($AN$9-$AL$9)*($AN$9-$AM$9))),$AM$9)</f>
        <v/>
      </c>
      <c r="AP715">
        <f>IFERROR(IF(AY715&lt;($AM$10-$AL$10)/($AN$10-$AL$10),$AL$10+SQRT(AY715*($AN$10-$AL$10)*($AM$10-$AL$10)),$AN$10-SQRT((1-AY715)*($AN$10-$AL$10)*($AN$10-$AM$10))),$AM$10)</f>
        <v/>
      </c>
      <c r="AQ715">
        <f>IFERROR(IF(AZ715&lt;($AM$11-$AL$11)/($AN$11-$AL$11),$AL$11+SQRT(AZ715*($AN$11-$AL$11)*($AM$11-$AL$11)),$AN$11-SQRT((1-AZ715)*($AN$11-$AL$11)*($AN$11-$AM$11))),$AM$11)</f>
        <v/>
      </c>
      <c r="AR715">
        <f>SUMPRODUCT((B24:B31&lt;=$B$6)*(C24:C31*AM715+D24:D31*AO715*$B$8*AQ715)/(1+AL715/100)^B24:B31)+C32*AM715*AP715/(1+AL715/100)^$B$6</f>
        <v/>
      </c>
      <c r="AS715">
        <f>SUMPRODUCT((K24:K26&lt;=$B$6)*(L24:L26*AN715+M24:M26*AO715*$B$8*AQ715)/(1+AL715/100)^K24:K26)+L27*AN715*AP715/(1+AL715/100)^$B$6</f>
        <v/>
      </c>
      <c r="AT715">
        <f>AS715-AR715</f>
        <v/>
      </c>
      <c r="AU715">
        <f>RAND()</f>
        <v/>
      </c>
      <c r="AV715">
        <f>RAND()</f>
        <v/>
      </c>
      <c r="AW715">
        <f>RAND()</f>
        <v/>
      </c>
      <c r="AX715">
        <f>RAND()</f>
        <v/>
      </c>
      <c r="AY715">
        <f>RAND()</f>
        <v/>
      </c>
      <c r="AZ715">
        <f>RAND()</f>
        <v/>
      </c>
    </row>
    <row r="716">
      <c r="AK716" t="n">
        <v>703</v>
      </c>
      <c r="AL716">
        <f>IFERROR(IF(AU716&lt;($AM$6-$AL$6)/($AN$6-$AL$6),$AL$6+SQRT(AU716*($AN$6-$AL$6)*($AM$6-$AL$6)),$AN$6-SQRT((1-AU716)*($AN$6-$AL$6)*($AN$6-$AM$6))),$AM$6)</f>
        <v/>
      </c>
      <c r="AM716">
        <f>IFERROR(IF(AV716&lt;($AM$7-$AL$7)/($AN$7-$AL$7),$AL$7+SQRT(AV716*($AN$7-$AL$7)*($AM$7-$AL$7)),$AN$7-SQRT((1-AV716)*($AN$7-$AL$7)*($AN$7-$AM$7))),$AM$7)</f>
        <v/>
      </c>
      <c r="AN716">
        <f>IFERROR(IF(AW716&lt;($AM$8-$AL$8)/($AN$8-$AL$8),$AL$8+SQRT(AW716*($AN$8-$AL$8)*($AM$8-$AL$8)),$AN$8-SQRT((1-AW716)*($AN$8-$AL$8)*($AN$8-$AM$8))),$AM$8)</f>
        <v/>
      </c>
      <c r="AO716">
        <f>IFERROR(IF(AX716&lt;($AM$9-$AL$9)/($AN$9-$AL$9),$AL$9+SQRT(AX716*($AN$9-$AL$9)*($AM$9-$AL$9)),$AN$9-SQRT((1-AX716)*($AN$9-$AL$9)*($AN$9-$AM$9))),$AM$9)</f>
        <v/>
      </c>
      <c r="AP716">
        <f>IFERROR(IF(AY716&lt;($AM$10-$AL$10)/($AN$10-$AL$10),$AL$10+SQRT(AY716*($AN$10-$AL$10)*($AM$10-$AL$10)),$AN$10-SQRT((1-AY716)*($AN$10-$AL$10)*($AN$10-$AM$10))),$AM$10)</f>
        <v/>
      </c>
      <c r="AQ716">
        <f>IFERROR(IF(AZ716&lt;($AM$11-$AL$11)/($AN$11-$AL$11),$AL$11+SQRT(AZ716*($AN$11-$AL$11)*($AM$11-$AL$11)),$AN$11-SQRT((1-AZ716)*($AN$11-$AL$11)*($AN$11-$AM$11))),$AM$11)</f>
        <v/>
      </c>
      <c r="AR716">
        <f>SUMPRODUCT((B24:B31&lt;=$B$6)*(C24:C31*AM716+D24:D31*AO716*$B$8*AQ716)/(1+AL716/100)^B24:B31)+C32*AM716*AP716/(1+AL716/100)^$B$6</f>
        <v/>
      </c>
      <c r="AS716">
        <f>SUMPRODUCT((K24:K26&lt;=$B$6)*(L24:L26*AN716+M24:M26*AO716*$B$8*AQ716)/(1+AL716/100)^K24:K26)+L27*AN716*AP716/(1+AL716/100)^$B$6</f>
        <v/>
      </c>
      <c r="AT716">
        <f>AS716-AR716</f>
        <v/>
      </c>
      <c r="AU716">
        <f>RAND()</f>
        <v/>
      </c>
      <c r="AV716">
        <f>RAND()</f>
        <v/>
      </c>
      <c r="AW716">
        <f>RAND()</f>
        <v/>
      </c>
      <c r="AX716">
        <f>RAND()</f>
        <v/>
      </c>
      <c r="AY716">
        <f>RAND()</f>
        <v/>
      </c>
      <c r="AZ716">
        <f>RAND()</f>
        <v/>
      </c>
    </row>
    <row r="717">
      <c r="AK717" t="n">
        <v>704</v>
      </c>
      <c r="AL717">
        <f>IFERROR(IF(AU717&lt;($AM$6-$AL$6)/($AN$6-$AL$6),$AL$6+SQRT(AU717*($AN$6-$AL$6)*($AM$6-$AL$6)),$AN$6-SQRT((1-AU717)*($AN$6-$AL$6)*($AN$6-$AM$6))),$AM$6)</f>
        <v/>
      </c>
      <c r="AM717">
        <f>IFERROR(IF(AV717&lt;($AM$7-$AL$7)/($AN$7-$AL$7),$AL$7+SQRT(AV717*($AN$7-$AL$7)*($AM$7-$AL$7)),$AN$7-SQRT((1-AV717)*($AN$7-$AL$7)*($AN$7-$AM$7))),$AM$7)</f>
        <v/>
      </c>
      <c r="AN717">
        <f>IFERROR(IF(AW717&lt;($AM$8-$AL$8)/($AN$8-$AL$8),$AL$8+SQRT(AW717*($AN$8-$AL$8)*($AM$8-$AL$8)),$AN$8-SQRT((1-AW717)*($AN$8-$AL$8)*($AN$8-$AM$8))),$AM$8)</f>
        <v/>
      </c>
      <c r="AO717">
        <f>IFERROR(IF(AX717&lt;($AM$9-$AL$9)/($AN$9-$AL$9),$AL$9+SQRT(AX717*($AN$9-$AL$9)*($AM$9-$AL$9)),$AN$9-SQRT((1-AX717)*($AN$9-$AL$9)*($AN$9-$AM$9))),$AM$9)</f>
        <v/>
      </c>
      <c r="AP717">
        <f>IFERROR(IF(AY717&lt;($AM$10-$AL$10)/($AN$10-$AL$10),$AL$10+SQRT(AY717*($AN$10-$AL$10)*($AM$10-$AL$10)),$AN$10-SQRT((1-AY717)*($AN$10-$AL$10)*($AN$10-$AM$10))),$AM$10)</f>
        <v/>
      </c>
      <c r="AQ717">
        <f>IFERROR(IF(AZ717&lt;($AM$11-$AL$11)/($AN$11-$AL$11),$AL$11+SQRT(AZ717*($AN$11-$AL$11)*($AM$11-$AL$11)),$AN$11-SQRT((1-AZ717)*($AN$11-$AL$11)*($AN$11-$AM$11))),$AM$11)</f>
        <v/>
      </c>
      <c r="AR717">
        <f>SUMPRODUCT((B24:B31&lt;=$B$6)*(C24:C31*AM717+D24:D31*AO717*$B$8*AQ717)/(1+AL717/100)^B24:B31)+C32*AM717*AP717/(1+AL717/100)^$B$6</f>
        <v/>
      </c>
      <c r="AS717">
        <f>SUMPRODUCT((K24:K26&lt;=$B$6)*(L24:L26*AN717+M24:M26*AO717*$B$8*AQ717)/(1+AL717/100)^K24:K26)+L27*AN717*AP717/(1+AL717/100)^$B$6</f>
        <v/>
      </c>
      <c r="AT717">
        <f>AS717-AR717</f>
        <v/>
      </c>
      <c r="AU717">
        <f>RAND()</f>
        <v/>
      </c>
      <c r="AV717">
        <f>RAND()</f>
        <v/>
      </c>
      <c r="AW717">
        <f>RAND()</f>
        <v/>
      </c>
      <c r="AX717">
        <f>RAND()</f>
        <v/>
      </c>
      <c r="AY717">
        <f>RAND()</f>
        <v/>
      </c>
      <c r="AZ717">
        <f>RAND()</f>
        <v/>
      </c>
    </row>
    <row r="718">
      <c r="AK718" t="n">
        <v>705</v>
      </c>
      <c r="AL718">
        <f>IFERROR(IF(AU718&lt;($AM$6-$AL$6)/($AN$6-$AL$6),$AL$6+SQRT(AU718*($AN$6-$AL$6)*($AM$6-$AL$6)),$AN$6-SQRT((1-AU718)*($AN$6-$AL$6)*($AN$6-$AM$6))),$AM$6)</f>
        <v/>
      </c>
      <c r="AM718">
        <f>IFERROR(IF(AV718&lt;($AM$7-$AL$7)/($AN$7-$AL$7),$AL$7+SQRT(AV718*($AN$7-$AL$7)*($AM$7-$AL$7)),$AN$7-SQRT((1-AV718)*($AN$7-$AL$7)*($AN$7-$AM$7))),$AM$7)</f>
        <v/>
      </c>
      <c r="AN718">
        <f>IFERROR(IF(AW718&lt;($AM$8-$AL$8)/($AN$8-$AL$8),$AL$8+SQRT(AW718*($AN$8-$AL$8)*($AM$8-$AL$8)),$AN$8-SQRT((1-AW718)*($AN$8-$AL$8)*($AN$8-$AM$8))),$AM$8)</f>
        <v/>
      </c>
      <c r="AO718">
        <f>IFERROR(IF(AX718&lt;($AM$9-$AL$9)/($AN$9-$AL$9),$AL$9+SQRT(AX718*($AN$9-$AL$9)*($AM$9-$AL$9)),$AN$9-SQRT((1-AX718)*($AN$9-$AL$9)*($AN$9-$AM$9))),$AM$9)</f>
        <v/>
      </c>
      <c r="AP718">
        <f>IFERROR(IF(AY718&lt;($AM$10-$AL$10)/($AN$10-$AL$10),$AL$10+SQRT(AY718*($AN$10-$AL$10)*($AM$10-$AL$10)),$AN$10-SQRT((1-AY718)*($AN$10-$AL$10)*($AN$10-$AM$10))),$AM$10)</f>
        <v/>
      </c>
      <c r="AQ718">
        <f>IFERROR(IF(AZ718&lt;($AM$11-$AL$11)/($AN$11-$AL$11),$AL$11+SQRT(AZ718*($AN$11-$AL$11)*($AM$11-$AL$11)),$AN$11-SQRT((1-AZ718)*($AN$11-$AL$11)*($AN$11-$AM$11))),$AM$11)</f>
        <v/>
      </c>
      <c r="AR718">
        <f>SUMPRODUCT((B24:B31&lt;=$B$6)*(C24:C31*AM718+D24:D31*AO718*$B$8*AQ718)/(1+AL718/100)^B24:B31)+C32*AM718*AP718/(1+AL718/100)^$B$6</f>
        <v/>
      </c>
      <c r="AS718">
        <f>SUMPRODUCT((K24:K26&lt;=$B$6)*(L24:L26*AN718+M24:M26*AO718*$B$8*AQ718)/(1+AL718/100)^K24:K26)+L27*AN718*AP718/(1+AL718/100)^$B$6</f>
        <v/>
      </c>
      <c r="AT718">
        <f>AS718-AR718</f>
        <v/>
      </c>
      <c r="AU718">
        <f>RAND()</f>
        <v/>
      </c>
      <c r="AV718">
        <f>RAND()</f>
        <v/>
      </c>
      <c r="AW718">
        <f>RAND()</f>
        <v/>
      </c>
      <c r="AX718">
        <f>RAND()</f>
        <v/>
      </c>
      <c r="AY718">
        <f>RAND()</f>
        <v/>
      </c>
      <c r="AZ718">
        <f>RAND()</f>
        <v/>
      </c>
    </row>
    <row r="719">
      <c r="AK719" t="n">
        <v>706</v>
      </c>
      <c r="AL719">
        <f>IFERROR(IF(AU719&lt;($AM$6-$AL$6)/($AN$6-$AL$6),$AL$6+SQRT(AU719*($AN$6-$AL$6)*($AM$6-$AL$6)),$AN$6-SQRT((1-AU719)*($AN$6-$AL$6)*($AN$6-$AM$6))),$AM$6)</f>
        <v/>
      </c>
      <c r="AM719">
        <f>IFERROR(IF(AV719&lt;($AM$7-$AL$7)/($AN$7-$AL$7),$AL$7+SQRT(AV719*($AN$7-$AL$7)*($AM$7-$AL$7)),$AN$7-SQRT((1-AV719)*($AN$7-$AL$7)*($AN$7-$AM$7))),$AM$7)</f>
        <v/>
      </c>
      <c r="AN719">
        <f>IFERROR(IF(AW719&lt;($AM$8-$AL$8)/($AN$8-$AL$8),$AL$8+SQRT(AW719*($AN$8-$AL$8)*($AM$8-$AL$8)),$AN$8-SQRT((1-AW719)*($AN$8-$AL$8)*($AN$8-$AM$8))),$AM$8)</f>
        <v/>
      </c>
      <c r="AO719">
        <f>IFERROR(IF(AX719&lt;($AM$9-$AL$9)/($AN$9-$AL$9),$AL$9+SQRT(AX719*($AN$9-$AL$9)*($AM$9-$AL$9)),$AN$9-SQRT((1-AX719)*($AN$9-$AL$9)*($AN$9-$AM$9))),$AM$9)</f>
        <v/>
      </c>
      <c r="AP719">
        <f>IFERROR(IF(AY719&lt;($AM$10-$AL$10)/($AN$10-$AL$10),$AL$10+SQRT(AY719*($AN$10-$AL$10)*($AM$10-$AL$10)),$AN$10-SQRT((1-AY719)*($AN$10-$AL$10)*($AN$10-$AM$10))),$AM$10)</f>
        <v/>
      </c>
      <c r="AQ719">
        <f>IFERROR(IF(AZ719&lt;($AM$11-$AL$11)/($AN$11-$AL$11),$AL$11+SQRT(AZ719*($AN$11-$AL$11)*($AM$11-$AL$11)),$AN$11-SQRT((1-AZ719)*($AN$11-$AL$11)*($AN$11-$AM$11))),$AM$11)</f>
        <v/>
      </c>
      <c r="AR719">
        <f>SUMPRODUCT((B24:B31&lt;=$B$6)*(C24:C31*AM719+D24:D31*AO719*$B$8*AQ719)/(1+AL719/100)^B24:B31)+C32*AM719*AP719/(1+AL719/100)^$B$6</f>
        <v/>
      </c>
      <c r="AS719">
        <f>SUMPRODUCT((K24:K26&lt;=$B$6)*(L24:L26*AN719+M24:M26*AO719*$B$8*AQ719)/(1+AL719/100)^K24:K26)+L27*AN719*AP719/(1+AL719/100)^$B$6</f>
        <v/>
      </c>
      <c r="AT719">
        <f>AS719-AR719</f>
        <v/>
      </c>
      <c r="AU719">
        <f>RAND()</f>
        <v/>
      </c>
      <c r="AV719">
        <f>RAND()</f>
        <v/>
      </c>
      <c r="AW719">
        <f>RAND()</f>
        <v/>
      </c>
      <c r="AX719">
        <f>RAND()</f>
        <v/>
      </c>
      <c r="AY719">
        <f>RAND()</f>
        <v/>
      </c>
      <c r="AZ719">
        <f>RAND()</f>
        <v/>
      </c>
    </row>
    <row r="720">
      <c r="AK720" t="n">
        <v>707</v>
      </c>
      <c r="AL720">
        <f>IFERROR(IF(AU720&lt;($AM$6-$AL$6)/($AN$6-$AL$6),$AL$6+SQRT(AU720*($AN$6-$AL$6)*($AM$6-$AL$6)),$AN$6-SQRT((1-AU720)*($AN$6-$AL$6)*($AN$6-$AM$6))),$AM$6)</f>
        <v/>
      </c>
      <c r="AM720">
        <f>IFERROR(IF(AV720&lt;($AM$7-$AL$7)/($AN$7-$AL$7),$AL$7+SQRT(AV720*($AN$7-$AL$7)*($AM$7-$AL$7)),$AN$7-SQRT((1-AV720)*($AN$7-$AL$7)*($AN$7-$AM$7))),$AM$7)</f>
        <v/>
      </c>
      <c r="AN720">
        <f>IFERROR(IF(AW720&lt;($AM$8-$AL$8)/($AN$8-$AL$8),$AL$8+SQRT(AW720*($AN$8-$AL$8)*($AM$8-$AL$8)),$AN$8-SQRT((1-AW720)*($AN$8-$AL$8)*($AN$8-$AM$8))),$AM$8)</f>
        <v/>
      </c>
      <c r="AO720">
        <f>IFERROR(IF(AX720&lt;($AM$9-$AL$9)/($AN$9-$AL$9),$AL$9+SQRT(AX720*($AN$9-$AL$9)*($AM$9-$AL$9)),$AN$9-SQRT((1-AX720)*($AN$9-$AL$9)*($AN$9-$AM$9))),$AM$9)</f>
        <v/>
      </c>
      <c r="AP720">
        <f>IFERROR(IF(AY720&lt;($AM$10-$AL$10)/($AN$10-$AL$10),$AL$10+SQRT(AY720*($AN$10-$AL$10)*($AM$10-$AL$10)),$AN$10-SQRT((1-AY720)*($AN$10-$AL$10)*($AN$10-$AM$10))),$AM$10)</f>
        <v/>
      </c>
      <c r="AQ720">
        <f>IFERROR(IF(AZ720&lt;($AM$11-$AL$11)/($AN$11-$AL$11),$AL$11+SQRT(AZ720*($AN$11-$AL$11)*($AM$11-$AL$11)),$AN$11-SQRT((1-AZ720)*($AN$11-$AL$11)*($AN$11-$AM$11))),$AM$11)</f>
        <v/>
      </c>
      <c r="AR720">
        <f>SUMPRODUCT((B24:B31&lt;=$B$6)*(C24:C31*AM720+D24:D31*AO720*$B$8*AQ720)/(1+AL720/100)^B24:B31)+C32*AM720*AP720/(1+AL720/100)^$B$6</f>
        <v/>
      </c>
      <c r="AS720">
        <f>SUMPRODUCT((K24:K26&lt;=$B$6)*(L24:L26*AN720+M24:M26*AO720*$B$8*AQ720)/(1+AL720/100)^K24:K26)+L27*AN720*AP720/(1+AL720/100)^$B$6</f>
        <v/>
      </c>
      <c r="AT720">
        <f>AS720-AR720</f>
        <v/>
      </c>
      <c r="AU720">
        <f>RAND()</f>
        <v/>
      </c>
      <c r="AV720">
        <f>RAND()</f>
        <v/>
      </c>
      <c r="AW720">
        <f>RAND()</f>
        <v/>
      </c>
      <c r="AX720">
        <f>RAND()</f>
        <v/>
      </c>
      <c r="AY720">
        <f>RAND()</f>
        <v/>
      </c>
      <c r="AZ720">
        <f>RAND()</f>
        <v/>
      </c>
    </row>
    <row r="721">
      <c r="AK721" t="n">
        <v>708</v>
      </c>
      <c r="AL721">
        <f>IFERROR(IF(AU721&lt;($AM$6-$AL$6)/($AN$6-$AL$6),$AL$6+SQRT(AU721*($AN$6-$AL$6)*($AM$6-$AL$6)),$AN$6-SQRT((1-AU721)*($AN$6-$AL$6)*($AN$6-$AM$6))),$AM$6)</f>
        <v/>
      </c>
      <c r="AM721">
        <f>IFERROR(IF(AV721&lt;($AM$7-$AL$7)/($AN$7-$AL$7),$AL$7+SQRT(AV721*($AN$7-$AL$7)*($AM$7-$AL$7)),$AN$7-SQRT((1-AV721)*($AN$7-$AL$7)*($AN$7-$AM$7))),$AM$7)</f>
        <v/>
      </c>
      <c r="AN721">
        <f>IFERROR(IF(AW721&lt;($AM$8-$AL$8)/($AN$8-$AL$8),$AL$8+SQRT(AW721*($AN$8-$AL$8)*($AM$8-$AL$8)),$AN$8-SQRT((1-AW721)*($AN$8-$AL$8)*($AN$8-$AM$8))),$AM$8)</f>
        <v/>
      </c>
      <c r="AO721">
        <f>IFERROR(IF(AX721&lt;($AM$9-$AL$9)/($AN$9-$AL$9),$AL$9+SQRT(AX721*($AN$9-$AL$9)*($AM$9-$AL$9)),$AN$9-SQRT((1-AX721)*($AN$9-$AL$9)*($AN$9-$AM$9))),$AM$9)</f>
        <v/>
      </c>
      <c r="AP721">
        <f>IFERROR(IF(AY721&lt;($AM$10-$AL$10)/($AN$10-$AL$10),$AL$10+SQRT(AY721*($AN$10-$AL$10)*($AM$10-$AL$10)),$AN$10-SQRT((1-AY721)*($AN$10-$AL$10)*($AN$10-$AM$10))),$AM$10)</f>
        <v/>
      </c>
      <c r="AQ721">
        <f>IFERROR(IF(AZ721&lt;($AM$11-$AL$11)/($AN$11-$AL$11),$AL$11+SQRT(AZ721*($AN$11-$AL$11)*($AM$11-$AL$11)),$AN$11-SQRT((1-AZ721)*($AN$11-$AL$11)*($AN$11-$AM$11))),$AM$11)</f>
        <v/>
      </c>
      <c r="AR721">
        <f>SUMPRODUCT((B24:B31&lt;=$B$6)*(C24:C31*AM721+D24:D31*AO721*$B$8*AQ721)/(1+AL721/100)^B24:B31)+C32*AM721*AP721/(1+AL721/100)^$B$6</f>
        <v/>
      </c>
      <c r="AS721">
        <f>SUMPRODUCT((K24:K26&lt;=$B$6)*(L24:L26*AN721+M24:M26*AO721*$B$8*AQ721)/(1+AL721/100)^K24:K26)+L27*AN721*AP721/(1+AL721/100)^$B$6</f>
        <v/>
      </c>
      <c r="AT721">
        <f>AS721-AR721</f>
        <v/>
      </c>
      <c r="AU721">
        <f>RAND()</f>
        <v/>
      </c>
      <c r="AV721">
        <f>RAND()</f>
        <v/>
      </c>
      <c r="AW721">
        <f>RAND()</f>
        <v/>
      </c>
      <c r="AX721">
        <f>RAND()</f>
        <v/>
      </c>
      <c r="AY721">
        <f>RAND()</f>
        <v/>
      </c>
      <c r="AZ721">
        <f>RAND()</f>
        <v/>
      </c>
    </row>
    <row r="722">
      <c r="AK722" t="n">
        <v>709</v>
      </c>
      <c r="AL722">
        <f>IFERROR(IF(AU722&lt;($AM$6-$AL$6)/($AN$6-$AL$6),$AL$6+SQRT(AU722*($AN$6-$AL$6)*($AM$6-$AL$6)),$AN$6-SQRT((1-AU722)*($AN$6-$AL$6)*($AN$6-$AM$6))),$AM$6)</f>
        <v/>
      </c>
      <c r="AM722">
        <f>IFERROR(IF(AV722&lt;($AM$7-$AL$7)/($AN$7-$AL$7),$AL$7+SQRT(AV722*($AN$7-$AL$7)*($AM$7-$AL$7)),$AN$7-SQRT((1-AV722)*($AN$7-$AL$7)*($AN$7-$AM$7))),$AM$7)</f>
        <v/>
      </c>
      <c r="AN722">
        <f>IFERROR(IF(AW722&lt;($AM$8-$AL$8)/($AN$8-$AL$8),$AL$8+SQRT(AW722*($AN$8-$AL$8)*($AM$8-$AL$8)),$AN$8-SQRT((1-AW722)*($AN$8-$AL$8)*($AN$8-$AM$8))),$AM$8)</f>
        <v/>
      </c>
      <c r="AO722">
        <f>IFERROR(IF(AX722&lt;($AM$9-$AL$9)/($AN$9-$AL$9),$AL$9+SQRT(AX722*($AN$9-$AL$9)*($AM$9-$AL$9)),$AN$9-SQRT((1-AX722)*($AN$9-$AL$9)*($AN$9-$AM$9))),$AM$9)</f>
        <v/>
      </c>
      <c r="AP722">
        <f>IFERROR(IF(AY722&lt;($AM$10-$AL$10)/($AN$10-$AL$10),$AL$10+SQRT(AY722*($AN$10-$AL$10)*($AM$10-$AL$10)),$AN$10-SQRT((1-AY722)*($AN$10-$AL$10)*($AN$10-$AM$10))),$AM$10)</f>
        <v/>
      </c>
      <c r="AQ722">
        <f>IFERROR(IF(AZ722&lt;($AM$11-$AL$11)/($AN$11-$AL$11),$AL$11+SQRT(AZ722*($AN$11-$AL$11)*($AM$11-$AL$11)),$AN$11-SQRT((1-AZ722)*($AN$11-$AL$11)*($AN$11-$AM$11))),$AM$11)</f>
        <v/>
      </c>
      <c r="AR722">
        <f>SUMPRODUCT((B24:B31&lt;=$B$6)*(C24:C31*AM722+D24:D31*AO722*$B$8*AQ722)/(1+AL722/100)^B24:B31)+C32*AM722*AP722/(1+AL722/100)^$B$6</f>
        <v/>
      </c>
      <c r="AS722">
        <f>SUMPRODUCT((K24:K26&lt;=$B$6)*(L24:L26*AN722+M24:M26*AO722*$B$8*AQ722)/(1+AL722/100)^K24:K26)+L27*AN722*AP722/(1+AL722/100)^$B$6</f>
        <v/>
      </c>
      <c r="AT722">
        <f>AS722-AR722</f>
        <v/>
      </c>
      <c r="AU722">
        <f>RAND()</f>
        <v/>
      </c>
      <c r="AV722">
        <f>RAND()</f>
        <v/>
      </c>
      <c r="AW722">
        <f>RAND()</f>
        <v/>
      </c>
      <c r="AX722">
        <f>RAND()</f>
        <v/>
      </c>
      <c r="AY722">
        <f>RAND()</f>
        <v/>
      </c>
      <c r="AZ722">
        <f>RAND()</f>
        <v/>
      </c>
    </row>
    <row r="723">
      <c r="AK723" t="n">
        <v>710</v>
      </c>
      <c r="AL723">
        <f>IFERROR(IF(AU723&lt;($AM$6-$AL$6)/($AN$6-$AL$6),$AL$6+SQRT(AU723*($AN$6-$AL$6)*($AM$6-$AL$6)),$AN$6-SQRT((1-AU723)*($AN$6-$AL$6)*($AN$6-$AM$6))),$AM$6)</f>
        <v/>
      </c>
      <c r="AM723">
        <f>IFERROR(IF(AV723&lt;($AM$7-$AL$7)/($AN$7-$AL$7),$AL$7+SQRT(AV723*($AN$7-$AL$7)*($AM$7-$AL$7)),$AN$7-SQRT((1-AV723)*($AN$7-$AL$7)*($AN$7-$AM$7))),$AM$7)</f>
        <v/>
      </c>
      <c r="AN723">
        <f>IFERROR(IF(AW723&lt;($AM$8-$AL$8)/($AN$8-$AL$8),$AL$8+SQRT(AW723*($AN$8-$AL$8)*($AM$8-$AL$8)),$AN$8-SQRT((1-AW723)*($AN$8-$AL$8)*($AN$8-$AM$8))),$AM$8)</f>
        <v/>
      </c>
      <c r="AO723">
        <f>IFERROR(IF(AX723&lt;($AM$9-$AL$9)/($AN$9-$AL$9),$AL$9+SQRT(AX723*($AN$9-$AL$9)*($AM$9-$AL$9)),$AN$9-SQRT((1-AX723)*($AN$9-$AL$9)*($AN$9-$AM$9))),$AM$9)</f>
        <v/>
      </c>
      <c r="AP723">
        <f>IFERROR(IF(AY723&lt;($AM$10-$AL$10)/($AN$10-$AL$10),$AL$10+SQRT(AY723*($AN$10-$AL$10)*($AM$10-$AL$10)),$AN$10-SQRT((1-AY723)*($AN$10-$AL$10)*($AN$10-$AM$10))),$AM$10)</f>
        <v/>
      </c>
      <c r="AQ723">
        <f>IFERROR(IF(AZ723&lt;($AM$11-$AL$11)/($AN$11-$AL$11),$AL$11+SQRT(AZ723*($AN$11-$AL$11)*($AM$11-$AL$11)),$AN$11-SQRT((1-AZ723)*($AN$11-$AL$11)*($AN$11-$AM$11))),$AM$11)</f>
        <v/>
      </c>
      <c r="AR723">
        <f>SUMPRODUCT((B24:B31&lt;=$B$6)*(C24:C31*AM723+D24:D31*AO723*$B$8*AQ723)/(1+AL723/100)^B24:B31)+C32*AM723*AP723/(1+AL723/100)^$B$6</f>
        <v/>
      </c>
      <c r="AS723">
        <f>SUMPRODUCT((K24:K26&lt;=$B$6)*(L24:L26*AN723+M24:M26*AO723*$B$8*AQ723)/(1+AL723/100)^K24:K26)+L27*AN723*AP723/(1+AL723/100)^$B$6</f>
        <v/>
      </c>
      <c r="AT723">
        <f>AS723-AR723</f>
        <v/>
      </c>
      <c r="AU723">
        <f>RAND()</f>
        <v/>
      </c>
      <c r="AV723">
        <f>RAND()</f>
        <v/>
      </c>
      <c r="AW723">
        <f>RAND()</f>
        <v/>
      </c>
      <c r="AX723">
        <f>RAND()</f>
        <v/>
      </c>
      <c r="AY723">
        <f>RAND()</f>
        <v/>
      </c>
      <c r="AZ723">
        <f>RAND()</f>
        <v/>
      </c>
    </row>
    <row r="724">
      <c r="AK724" t="n">
        <v>711</v>
      </c>
      <c r="AL724">
        <f>IFERROR(IF(AU724&lt;($AM$6-$AL$6)/($AN$6-$AL$6),$AL$6+SQRT(AU724*($AN$6-$AL$6)*($AM$6-$AL$6)),$AN$6-SQRT((1-AU724)*($AN$6-$AL$6)*($AN$6-$AM$6))),$AM$6)</f>
        <v/>
      </c>
      <c r="AM724">
        <f>IFERROR(IF(AV724&lt;($AM$7-$AL$7)/($AN$7-$AL$7),$AL$7+SQRT(AV724*($AN$7-$AL$7)*($AM$7-$AL$7)),$AN$7-SQRT((1-AV724)*($AN$7-$AL$7)*($AN$7-$AM$7))),$AM$7)</f>
        <v/>
      </c>
      <c r="AN724">
        <f>IFERROR(IF(AW724&lt;($AM$8-$AL$8)/($AN$8-$AL$8),$AL$8+SQRT(AW724*($AN$8-$AL$8)*($AM$8-$AL$8)),$AN$8-SQRT((1-AW724)*($AN$8-$AL$8)*($AN$8-$AM$8))),$AM$8)</f>
        <v/>
      </c>
      <c r="AO724">
        <f>IFERROR(IF(AX724&lt;($AM$9-$AL$9)/($AN$9-$AL$9),$AL$9+SQRT(AX724*($AN$9-$AL$9)*($AM$9-$AL$9)),$AN$9-SQRT((1-AX724)*($AN$9-$AL$9)*($AN$9-$AM$9))),$AM$9)</f>
        <v/>
      </c>
      <c r="AP724">
        <f>IFERROR(IF(AY724&lt;($AM$10-$AL$10)/($AN$10-$AL$10),$AL$10+SQRT(AY724*($AN$10-$AL$10)*($AM$10-$AL$10)),$AN$10-SQRT((1-AY724)*($AN$10-$AL$10)*($AN$10-$AM$10))),$AM$10)</f>
        <v/>
      </c>
      <c r="AQ724">
        <f>IFERROR(IF(AZ724&lt;($AM$11-$AL$11)/($AN$11-$AL$11),$AL$11+SQRT(AZ724*($AN$11-$AL$11)*($AM$11-$AL$11)),$AN$11-SQRT((1-AZ724)*($AN$11-$AL$11)*($AN$11-$AM$11))),$AM$11)</f>
        <v/>
      </c>
      <c r="AR724">
        <f>SUMPRODUCT((B24:B31&lt;=$B$6)*(C24:C31*AM724+D24:D31*AO724*$B$8*AQ724)/(1+AL724/100)^B24:B31)+C32*AM724*AP724/(1+AL724/100)^$B$6</f>
        <v/>
      </c>
      <c r="AS724">
        <f>SUMPRODUCT((K24:K26&lt;=$B$6)*(L24:L26*AN724+M24:M26*AO724*$B$8*AQ724)/(1+AL724/100)^K24:K26)+L27*AN724*AP724/(1+AL724/100)^$B$6</f>
        <v/>
      </c>
      <c r="AT724">
        <f>AS724-AR724</f>
        <v/>
      </c>
      <c r="AU724">
        <f>RAND()</f>
        <v/>
      </c>
      <c r="AV724">
        <f>RAND()</f>
        <v/>
      </c>
      <c r="AW724">
        <f>RAND()</f>
        <v/>
      </c>
      <c r="AX724">
        <f>RAND()</f>
        <v/>
      </c>
      <c r="AY724">
        <f>RAND()</f>
        <v/>
      </c>
      <c r="AZ724">
        <f>RAND()</f>
        <v/>
      </c>
    </row>
    <row r="725">
      <c r="AK725" t="n">
        <v>712</v>
      </c>
      <c r="AL725">
        <f>IFERROR(IF(AU725&lt;($AM$6-$AL$6)/($AN$6-$AL$6),$AL$6+SQRT(AU725*($AN$6-$AL$6)*($AM$6-$AL$6)),$AN$6-SQRT((1-AU725)*($AN$6-$AL$6)*($AN$6-$AM$6))),$AM$6)</f>
        <v/>
      </c>
      <c r="AM725">
        <f>IFERROR(IF(AV725&lt;($AM$7-$AL$7)/($AN$7-$AL$7),$AL$7+SQRT(AV725*($AN$7-$AL$7)*($AM$7-$AL$7)),$AN$7-SQRT((1-AV725)*($AN$7-$AL$7)*($AN$7-$AM$7))),$AM$7)</f>
        <v/>
      </c>
      <c r="AN725">
        <f>IFERROR(IF(AW725&lt;($AM$8-$AL$8)/($AN$8-$AL$8),$AL$8+SQRT(AW725*($AN$8-$AL$8)*($AM$8-$AL$8)),$AN$8-SQRT((1-AW725)*($AN$8-$AL$8)*($AN$8-$AM$8))),$AM$8)</f>
        <v/>
      </c>
      <c r="AO725">
        <f>IFERROR(IF(AX725&lt;($AM$9-$AL$9)/($AN$9-$AL$9),$AL$9+SQRT(AX725*($AN$9-$AL$9)*($AM$9-$AL$9)),$AN$9-SQRT((1-AX725)*($AN$9-$AL$9)*($AN$9-$AM$9))),$AM$9)</f>
        <v/>
      </c>
      <c r="AP725">
        <f>IFERROR(IF(AY725&lt;($AM$10-$AL$10)/($AN$10-$AL$10),$AL$10+SQRT(AY725*($AN$10-$AL$10)*($AM$10-$AL$10)),$AN$10-SQRT((1-AY725)*($AN$10-$AL$10)*($AN$10-$AM$10))),$AM$10)</f>
        <v/>
      </c>
      <c r="AQ725">
        <f>IFERROR(IF(AZ725&lt;($AM$11-$AL$11)/($AN$11-$AL$11),$AL$11+SQRT(AZ725*($AN$11-$AL$11)*($AM$11-$AL$11)),$AN$11-SQRT((1-AZ725)*($AN$11-$AL$11)*($AN$11-$AM$11))),$AM$11)</f>
        <v/>
      </c>
      <c r="AR725">
        <f>SUMPRODUCT((B24:B31&lt;=$B$6)*(C24:C31*AM725+D24:D31*AO725*$B$8*AQ725)/(1+AL725/100)^B24:B31)+C32*AM725*AP725/(1+AL725/100)^$B$6</f>
        <v/>
      </c>
      <c r="AS725">
        <f>SUMPRODUCT((K24:K26&lt;=$B$6)*(L24:L26*AN725+M24:M26*AO725*$B$8*AQ725)/(1+AL725/100)^K24:K26)+L27*AN725*AP725/(1+AL725/100)^$B$6</f>
        <v/>
      </c>
      <c r="AT725">
        <f>AS725-AR725</f>
        <v/>
      </c>
      <c r="AU725">
        <f>RAND()</f>
        <v/>
      </c>
      <c r="AV725">
        <f>RAND()</f>
        <v/>
      </c>
      <c r="AW725">
        <f>RAND()</f>
        <v/>
      </c>
      <c r="AX725">
        <f>RAND()</f>
        <v/>
      </c>
      <c r="AY725">
        <f>RAND()</f>
        <v/>
      </c>
      <c r="AZ725">
        <f>RAND()</f>
        <v/>
      </c>
    </row>
    <row r="726">
      <c r="AK726" t="n">
        <v>713</v>
      </c>
      <c r="AL726">
        <f>IFERROR(IF(AU726&lt;($AM$6-$AL$6)/($AN$6-$AL$6),$AL$6+SQRT(AU726*($AN$6-$AL$6)*($AM$6-$AL$6)),$AN$6-SQRT((1-AU726)*($AN$6-$AL$6)*($AN$6-$AM$6))),$AM$6)</f>
        <v/>
      </c>
      <c r="AM726">
        <f>IFERROR(IF(AV726&lt;($AM$7-$AL$7)/($AN$7-$AL$7),$AL$7+SQRT(AV726*($AN$7-$AL$7)*($AM$7-$AL$7)),$AN$7-SQRT((1-AV726)*($AN$7-$AL$7)*($AN$7-$AM$7))),$AM$7)</f>
        <v/>
      </c>
      <c r="AN726">
        <f>IFERROR(IF(AW726&lt;($AM$8-$AL$8)/($AN$8-$AL$8),$AL$8+SQRT(AW726*($AN$8-$AL$8)*($AM$8-$AL$8)),$AN$8-SQRT((1-AW726)*($AN$8-$AL$8)*($AN$8-$AM$8))),$AM$8)</f>
        <v/>
      </c>
      <c r="AO726">
        <f>IFERROR(IF(AX726&lt;($AM$9-$AL$9)/($AN$9-$AL$9),$AL$9+SQRT(AX726*($AN$9-$AL$9)*($AM$9-$AL$9)),$AN$9-SQRT((1-AX726)*($AN$9-$AL$9)*($AN$9-$AM$9))),$AM$9)</f>
        <v/>
      </c>
      <c r="AP726">
        <f>IFERROR(IF(AY726&lt;($AM$10-$AL$10)/($AN$10-$AL$10),$AL$10+SQRT(AY726*($AN$10-$AL$10)*($AM$10-$AL$10)),$AN$10-SQRT((1-AY726)*($AN$10-$AL$10)*($AN$10-$AM$10))),$AM$10)</f>
        <v/>
      </c>
      <c r="AQ726">
        <f>IFERROR(IF(AZ726&lt;($AM$11-$AL$11)/($AN$11-$AL$11),$AL$11+SQRT(AZ726*($AN$11-$AL$11)*($AM$11-$AL$11)),$AN$11-SQRT((1-AZ726)*($AN$11-$AL$11)*($AN$11-$AM$11))),$AM$11)</f>
        <v/>
      </c>
      <c r="AR726">
        <f>SUMPRODUCT((B24:B31&lt;=$B$6)*(C24:C31*AM726+D24:D31*AO726*$B$8*AQ726)/(1+AL726/100)^B24:B31)+C32*AM726*AP726/(1+AL726/100)^$B$6</f>
        <v/>
      </c>
      <c r="AS726">
        <f>SUMPRODUCT((K24:K26&lt;=$B$6)*(L24:L26*AN726+M24:M26*AO726*$B$8*AQ726)/(1+AL726/100)^K24:K26)+L27*AN726*AP726/(1+AL726/100)^$B$6</f>
        <v/>
      </c>
      <c r="AT726">
        <f>AS726-AR726</f>
        <v/>
      </c>
      <c r="AU726">
        <f>RAND()</f>
        <v/>
      </c>
      <c r="AV726">
        <f>RAND()</f>
        <v/>
      </c>
      <c r="AW726">
        <f>RAND()</f>
        <v/>
      </c>
      <c r="AX726">
        <f>RAND()</f>
        <v/>
      </c>
      <c r="AY726">
        <f>RAND()</f>
        <v/>
      </c>
      <c r="AZ726">
        <f>RAND()</f>
        <v/>
      </c>
    </row>
    <row r="727">
      <c r="AK727" t="n">
        <v>714</v>
      </c>
      <c r="AL727">
        <f>IFERROR(IF(AU727&lt;($AM$6-$AL$6)/($AN$6-$AL$6),$AL$6+SQRT(AU727*($AN$6-$AL$6)*($AM$6-$AL$6)),$AN$6-SQRT((1-AU727)*($AN$6-$AL$6)*($AN$6-$AM$6))),$AM$6)</f>
        <v/>
      </c>
      <c r="AM727">
        <f>IFERROR(IF(AV727&lt;($AM$7-$AL$7)/($AN$7-$AL$7),$AL$7+SQRT(AV727*($AN$7-$AL$7)*($AM$7-$AL$7)),$AN$7-SQRT((1-AV727)*($AN$7-$AL$7)*($AN$7-$AM$7))),$AM$7)</f>
        <v/>
      </c>
      <c r="AN727">
        <f>IFERROR(IF(AW727&lt;($AM$8-$AL$8)/($AN$8-$AL$8),$AL$8+SQRT(AW727*($AN$8-$AL$8)*($AM$8-$AL$8)),$AN$8-SQRT((1-AW727)*($AN$8-$AL$8)*($AN$8-$AM$8))),$AM$8)</f>
        <v/>
      </c>
      <c r="AO727">
        <f>IFERROR(IF(AX727&lt;($AM$9-$AL$9)/($AN$9-$AL$9),$AL$9+SQRT(AX727*($AN$9-$AL$9)*($AM$9-$AL$9)),$AN$9-SQRT((1-AX727)*($AN$9-$AL$9)*($AN$9-$AM$9))),$AM$9)</f>
        <v/>
      </c>
      <c r="AP727">
        <f>IFERROR(IF(AY727&lt;($AM$10-$AL$10)/($AN$10-$AL$10),$AL$10+SQRT(AY727*($AN$10-$AL$10)*($AM$10-$AL$10)),$AN$10-SQRT((1-AY727)*($AN$10-$AL$10)*($AN$10-$AM$10))),$AM$10)</f>
        <v/>
      </c>
      <c r="AQ727">
        <f>IFERROR(IF(AZ727&lt;($AM$11-$AL$11)/($AN$11-$AL$11),$AL$11+SQRT(AZ727*($AN$11-$AL$11)*($AM$11-$AL$11)),$AN$11-SQRT((1-AZ727)*($AN$11-$AL$11)*($AN$11-$AM$11))),$AM$11)</f>
        <v/>
      </c>
      <c r="AR727">
        <f>SUMPRODUCT((B24:B31&lt;=$B$6)*(C24:C31*AM727+D24:D31*AO727*$B$8*AQ727)/(1+AL727/100)^B24:B31)+C32*AM727*AP727/(1+AL727/100)^$B$6</f>
        <v/>
      </c>
      <c r="AS727">
        <f>SUMPRODUCT((K24:K26&lt;=$B$6)*(L24:L26*AN727+M24:M26*AO727*$B$8*AQ727)/(1+AL727/100)^K24:K26)+L27*AN727*AP727/(1+AL727/100)^$B$6</f>
        <v/>
      </c>
      <c r="AT727">
        <f>AS727-AR727</f>
        <v/>
      </c>
      <c r="AU727">
        <f>RAND()</f>
        <v/>
      </c>
      <c r="AV727">
        <f>RAND()</f>
        <v/>
      </c>
      <c r="AW727">
        <f>RAND()</f>
        <v/>
      </c>
      <c r="AX727">
        <f>RAND()</f>
        <v/>
      </c>
      <c r="AY727">
        <f>RAND()</f>
        <v/>
      </c>
      <c r="AZ727">
        <f>RAND()</f>
        <v/>
      </c>
    </row>
    <row r="728">
      <c r="AK728" t="n">
        <v>715</v>
      </c>
      <c r="AL728">
        <f>IFERROR(IF(AU728&lt;($AM$6-$AL$6)/($AN$6-$AL$6),$AL$6+SQRT(AU728*($AN$6-$AL$6)*($AM$6-$AL$6)),$AN$6-SQRT((1-AU728)*($AN$6-$AL$6)*($AN$6-$AM$6))),$AM$6)</f>
        <v/>
      </c>
      <c r="AM728">
        <f>IFERROR(IF(AV728&lt;($AM$7-$AL$7)/($AN$7-$AL$7),$AL$7+SQRT(AV728*($AN$7-$AL$7)*($AM$7-$AL$7)),$AN$7-SQRT((1-AV728)*($AN$7-$AL$7)*($AN$7-$AM$7))),$AM$7)</f>
        <v/>
      </c>
      <c r="AN728">
        <f>IFERROR(IF(AW728&lt;($AM$8-$AL$8)/($AN$8-$AL$8),$AL$8+SQRT(AW728*($AN$8-$AL$8)*($AM$8-$AL$8)),$AN$8-SQRT((1-AW728)*($AN$8-$AL$8)*($AN$8-$AM$8))),$AM$8)</f>
        <v/>
      </c>
      <c r="AO728">
        <f>IFERROR(IF(AX728&lt;($AM$9-$AL$9)/($AN$9-$AL$9),$AL$9+SQRT(AX728*($AN$9-$AL$9)*($AM$9-$AL$9)),$AN$9-SQRT((1-AX728)*($AN$9-$AL$9)*($AN$9-$AM$9))),$AM$9)</f>
        <v/>
      </c>
      <c r="AP728">
        <f>IFERROR(IF(AY728&lt;($AM$10-$AL$10)/($AN$10-$AL$10),$AL$10+SQRT(AY728*($AN$10-$AL$10)*($AM$10-$AL$10)),$AN$10-SQRT((1-AY728)*($AN$10-$AL$10)*($AN$10-$AM$10))),$AM$10)</f>
        <v/>
      </c>
      <c r="AQ728">
        <f>IFERROR(IF(AZ728&lt;($AM$11-$AL$11)/($AN$11-$AL$11),$AL$11+SQRT(AZ728*($AN$11-$AL$11)*($AM$11-$AL$11)),$AN$11-SQRT((1-AZ728)*($AN$11-$AL$11)*($AN$11-$AM$11))),$AM$11)</f>
        <v/>
      </c>
      <c r="AR728">
        <f>SUMPRODUCT((B24:B31&lt;=$B$6)*(C24:C31*AM728+D24:D31*AO728*$B$8*AQ728)/(1+AL728/100)^B24:B31)+C32*AM728*AP728/(1+AL728/100)^$B$6</f>
        <v/>
      </c>
      <c r="AS728">
        <f>SUMPRODUCT((K24:K26&lt;=$B$6)*(L24:L26*AN728+M24:M26*AO728*$B$8*AQ728)/(1+AL728/100)^K24:K26)+L27*AN728*AP728/(1+AL728/100)^$B$6</f>
        <v/>
      </c>
      <c r="AT728">
        <f>AS728-AR728</f>
        <v/>
      </c>
      <c r="AU728">
        <f>RAND()</f>
        <v/>
      </c>
      <c r="AV728">
        <f>RAND()</f>
        <v/>
      </c>
      <c r="AW728">
        <f>RAND()</f>
        <v/>
      </c>
      <c r="AX728">
        <f>RAND()</f>
        <v/>
      </c>
      <c r="AY728">
        <f>RAND()</f>
        <v/>
      </c>
      <c r="AZ728">
        <f>RAND()</f>
        <v/>
      </c>
    </row>
    <row r="729">
      <c r="AK729" t="n">
        <v>716</v>
      </c>
      <c r="AL729">
        <f>IFERROR(IF(AU729&lt;($AM$6-$AL$6)/($AN$6-$AL$6),$AL$6+SQRT(AU729*($AN$6-$AL$6)*($AM$6-$AL$6)),$AN$6-SQRT((1-AU729)*($AN$6-$AL$6)*($AN$6-$AM$6))),$AM$6)</f>
        <v/>
      </c>
      <c r="AM729">
        <f>IFERROR(IF(AV729&lt;($AM$7-$AL$7)/($AN$7-$AL$7),$AL$7+SQRT(AV729*($AN$7-$AL$7)*($AM$7-$AL$7)),$AN$7-SQRT((1-AV729)*($AN$7-$AL$7)*($AN$7-$AM$7))),$AM$7)</f>
        <v/>
      </c>
      <c r="AN729">
        <f>IFERROR(IF(AW729&lt;($AM$8-$AL$8)/($AN$8-$AL$8),$AL$8+SQRT(AW729*($AN$8-$AL$8)*($AM$8-$AL$8)),$AN$8-SQRT((1-AW729)*($AN$8-$AL$8)*($AN$8-$AM$8))),$AM$8)</f>
        <v/>
      </c>
      <c r="AO729">
        <f>IFERROR(IF(AX729&lt;($AM$9-$AL$9)/($AN$9-$AL$9),$AL$9+SQRT(AX729*($AN$9-$AL$9)*($AM$9-$AL$9)),$AN$9-SQRT((1-AX729)*($AN$9-$AL$9)*($AN$9-$AM$9))),$AM$9)</f>
        <v/>
      </c>
      <c r="AP729">
        <f>IFERROR(IF(AY729&lt;($AM$10-$AL$10)/($AN$10-$AL$10),$AL$10+SQRT(AY729*($AN$10-$AL$10)*($AM$10-$AL$10)),$AN$10-SQRT((1-AY729)*($AN$10-$AL$10)*($AN$10-$AM$10))),$AM$10)</f>
        <v/>
      </c>
      <c r="AQ729">
        <f>IFERROR(IF(AZ729&lt;($AM$11-$AL$11)/($AN$11-$AL$11),$AL$11+SQRT(AZ729*($AN$11-$AL$11)*($AM$11-$AL$11)),$AN$11-SQRT((1-AZ729)*($AN$11-$AL$11)*($AN$11-$AM$11))),$AM$11)</f>
        <v/>
      </c>
      <c r="AR729">
        <f>SUMPRODUCT((B24:B31&lt;=$B$6)*(C24:C31*AM729+D24:D31*AO729*$B$8*AQ729)/(1+AL729/100)^B24:B31)+C32*AM729*AP729/(1+AL729/100)^$B$6</f>
        <v/>
      </c>
      <c r="AS729">
        <f>SUMPRODUCT((K24:K26&lt;=$B$6)*(L24:L26*AN729+M24:M26*AO729*$B$8*AQ729)/(1+AL729/100)^K24:K26)+L27*AN729*AP729/(1+AL729/100)^$B$6</f>
        <v/>
      </c>
      <c r="AT729">
        <f>AS729-AR729</f>
        <v/>
      </c>
      <c r="AU729">
        <f>RAND()</f>
        <v/>
      </c>
      <c r="AV729">
        <f>RAND()</f>
        <v/>
      </c>
      <c r="AW729">
        <f>RAND()</f>
        <v/>
      </c>
      <c r="AX729">
        <f>RAND()</f>
        <v/>
      </c>
      <c r="AY729">
        <f>RAND()</f>
        <v/>
      </c>
      <c r="AZ729">
        <f>RAND()</f>
        <v/>
      </c>
    </row>
    <row r="730">
      <c r="AK730" t="n">
        <v>717</v>
      </c>
      <c r="AL730">
        <f>IFERROR(IF(AU730&lt;($AM$6-$AL$6)/($AN$6-$AL$6),$AL$6+SQRT(AU730*($AN$6-$AL$6)*($AM$6-$AL$6)),$AN$6-SQRT((1-AU730)*($AN$6-$AL$6)*($AN$6-$AM$6))),$AM$6)</f>
        <v/>
      </c>
      <c r="AM730">
        <f>IFERROR(IF(AV730&lt;($AM$7-$AL$7)/($AN$7-$AL$7),$AL$7+SQRT(AV730*($AN$7-$AL$7)*($AM$7-$AL$7)),$AN$7-SQRT((1-AV730)*($AN$7-$AL$7)*($AN$7-$AM$7))),$AM$7)</f>
        <v/>
      </c>
      <c r="AN730">
        <f>IFERROR(IF(AW730&lt;($AM$8-$AL$8)/($AN$8-$AL$8),$AL$8+SQRT(AW730*($AN$8-$AL$8)*($AM$8-$AL$8)),$AN$8-SQRT((1-AW730)*($AN$8-$AL$8)*($AN$8-$AM$8))),$AM$8)</f>
        <v/>
      </c>
      <c r="AO730">
        <f>IFERROR(IF(AX730&lt;($AM$9-$AL$9)/($AN$9-$AL$9),$AL$9+SQRT(AX730*($AN$9-$AL$9)*($AM$9-$AL$9)),$AN$9-SQRT((1-AX730)*($AN$9-$AL$9)*($AN$9-$AM$9))),$AM$9)</f>
        <v/>
      </c>
      <c r="AP730">
        <f>IFERROR(IF(AY730&lt;($AM$10-$AL$10)/($AN$10-$AL$10),$AL$10+SQRT(AY730*($AN$10-$AL$10)*($AM$10-$AL$10)),$AN$10-SQRT((1-AY730)*($AN$10-$AL$10)*($AN$10-$AM$10))),$AM$10)</f>
        <v/>
      </c>
      <c r="AQ730">
        <f>IFERROR(IF(AZ730&lt;($AM$11-$AL$11)/($AN$11-$AL$11),$AL$11+SQRT(AZ730*($AN$11-$AL$11)*($AM$11-$AL$11)),$AN$11-SQRT((1-AZ730)*($AN$11-$AL$11)*($AN$11-$AM$11))),$AM$11)</f>
        <v/>
      </c>
      <c r="AR730">
        <f>SUMPRODUCT((B24:B31&lt;=$B$6)*(C24:C31*AM730+D24:D31*AO730*$B$8*AQ730)/(1+AL730/100)^B24:B31)+C32*AM730*AP730/(1+AL730/100)^$B$6</f>
        <v/>
      </c>
      <c r="AS730">
        <f>SUMPRODUCT((K24:K26&lt;=$B$6)*(L24:L26*AN730+M24:M26*AO730*$B$8*AQ730)/(1+AL730/100)^K24:K26)+L27*AN730*AP730/(1+AL730/100)^$B$6</f>
        <v/>
      </c>
      <c r="AT730">
        <f>AS730-AR730</f>
        <v/>
      </c>
      <c r="AU730">
        <f>RAND()</f>
        <v/>
      </c>
      <c r="AV730">
        <f>RAND()</f>
        <v/>
      </c>
      <c r="AW730">
        <f>RAND()</f>
        <v/>
      </c>
      <c r="AX730">
        <f>RAND()</f>
        <v/>
      </c>
      <c r="AY730">
        <f>RAND()</f>
        <v/>
      </c>
      <c r="AZ730">
        <f>RAND()</f>
        <v/>
      </c>
    </row>
    <row r="731">
      <c r="AK731" t="n">
        <v>718</v>
      </c>
      <c r="AL731">
        <f>IFERROR(IF(AU731&lt;($AM$6-$AL$6)/($AN$6-$AL$6),$AL$6+SQRT(AU731*($AN$6-$AL$6)*($AM$6-$AL$6)),$AN$6-SQRT((1-AU731)*($AN$6-$AL$6)*($AN$6-$AM$6))),$AM$6)</f>
        <v/>
      </c>
      <c r="AM731">
        <f>IFERROR(IF(AV731&lt;($AM$7-$AL$7)/($AN$7-$AL$7),$AL$7+SQRT(AV731*($AN$7-$AL$7)*($AM$7-$AL$7)),$AN$7-SQRT((1-AV731)*($AN$7-$AL$7)*($AN$7-$AM$7))),$AM$7)</f>
        <v/>
      </c>
      <c r="AN731">
        <f>IFERROR(IF(AW731&lt;($AM$8-$AL$8)/($AN$8-$AL$8),$AL$8+SQRT(AW731*($AN$8-$AL$8)*($AM$8-$AL$8)),$AN$8-SQRT((1-AW731)*($AN$8-$AL$8)*($AN$8-$AM$8))),$AM$8)</f>
        <v/>
      </c>
      <c r="AO731">
        <f>IFERROR(IF(AX731&lt;($AM$9-$AL$9)/($AN$9-$AL$9),$AL$9+SQRT(AX731*($AN$9-$AL$9)*($AM$9-$AL$9)),$AN$9-SQRT((1-AX731)*($AN$9-$AL$9)*($AN$9-$AM$9))),$AM$9)</f>
        <v/>
      </c>
      <c r="AP731">
        <f>IFERROR(IF(AY731&lt;($AM$10-$AL$10)/($AN$10-$AL$10),$AL$10+SQRT(AY731*($AN$10-$AL$10)*($AM$10-$AL$10)),$AN$10-SQRT((1-AY731)*($AN$10-$AL$10)*($AN$10-$AM$10))),$AM$10)</f>
        <v/>
      </c>
      <c r="AQ731">
        <f>IFERROR(IF(AZ731&lt;($AM$11-$AL$11)/($AN$11-$AL$11),$AL$11+SQRT(AZ731*($AN$11-$AL$11)*($AM$11-$AL$11)),$AN$11-SQRT((1-AZ731)*($AN$11-$AL$11)*($AN$11-$AM$11))),$AM$11)</f>
        <v/>
      </c>
      <c r="AR731">
        <f>SUMPRODUCT((B24:B31&lt;=$B$6)*(C24:C31*AM731+D24:D31*AO731*$B$8*AQ731)/(1+AL731/100)^B24:B31)+C32*AM731*AP731/(1+AL731/100)^$B$6</f>
        <v/>
      </c>
      <c r="AS731">
        <f>SUMPRODUCT((K24:K26&lt;=$B$6)*(L24:L26*AN731+M24:M26*AO731*$B$8*AQ731)/(1+AL731/100)^K24:K26)+L27*AN731*AP731/(1+AL731/100)^$B$6</f>
        <v/>
      </c>
      <c r="AT731">
        <f>AS731-AR731</f>
        <v/>
      </c>
      <c r="AU731">
        <f>RAND()</f>
        <v/>
      </c>
      <c r="AV731">
        <f>RAND()</f>
        <v/>
      </c>
      <c r="AW731">
        <f>RAND()</f>
        <v/>
      </c>
      <c r="AX731">
        <f>RAND()</f>
        <v/>
      </c>
      <c r="AY731">
        <f>RAND()</f>
        <v/>
      </c>
      <c r="AZ731">
        <f>RAND()</f>
        <v/>
      </c>
    </row>
    <row r="732">
      <c r="AK732" t="n">
        <v>719</v>
      </c>
      <c r="AL732">
        <f>IFERROR(IF(AU732&lt;($AM$6-$AL$6)/($AN$6-$AL$6),$AL$6+SQRT(AU732*($AN$6-$AL$6)*($AM$6-$AL$6)),$AN$6-SQRT((1-AU732)*($AN$6-$AL$6)*($AN$6-$AM$6))),$AM$6)</f>
        <v/>
      </c>
      <c r="AM732">
        <f>IFERROR(IF(AV732&lt;($AM$7-$AL$7)/($AN$7-$AL$7),$AL$7+SQRT(AV732*($AN$7-$AL$7)*($AM$7-$AL$7)),$AN$7-SQRT((1-AV732)*($AN$7-$AL$7)*($AN$7-$AM$7))),$AM$7)</f>
        <v/>
      </c>
      <c r="AN732">
        <f>IFERROR(IF(AW732&lt;($AM$8-$AL$8)/($AN$8-$AL$8),$AL$8+SQRT(AW732*($AN$8-$AL$8)*($AM$8-$AL$8)),$AN$8-SQRT((1-AW732)*($AN$8-$AL$8)*($AN$8-$AM$8))),$AM$8)</f>
        <v/>
      </c>
      <c r="AO732">
        <f>IFERROR(IF(AX732&lt;($AM$9-$AL$9)/($AN$9-$AL$9),$AL$9+SQRT(AX732*($AN$9-$AL$9)*($AM$9-$AL$9)),$AN$9-SQRT((1-AX732)*($AN$9-$AL$9)*($AN$9-$AM$9))),$AM$9)</f>
        <v/>
      </c>
      <c r="AP732">
        <f>IFERROR(IF(AY732&lt;($AM$10-$AL$10)/($AN$10-$AL$10),$AL$10+SQRT(AY732*($AN$10-$AL$10)*($AM$10-$AL$10)),$AN$10-SQRT((1-AY732)*($AN$10-$AL$10)*($AN$10-$AM$10))),$AM$10)</f>
        <v/>
      </c>
      <c r="AQ732">
        <f>IFERROR(IF(AZ732&lt;($AM$11-$AL$11)/($AN$11-$AL$11),$AL$11+SQRT(AZ732*($AN$11-$AL$11)*($AM$11-$AL$11)),$AN$11-SQRT((1-AZ732)*($AN$11-$AL$11)*($AN$11-$AM$11))),$AM$11)</f>
        <v/>
      </c>
      <c r="AR732">
        <f>SUMPRODUCT((B24:B31&lt;=$B$6)*(C24:C31*AM732+D24:D31*AO732*$B$8*AQ732)/(1+AL732/100)^B24:B31)+C32*AM732*AP732/(1+AL732/100)^$B$6</f>
        <v/>
      </c>
      <c r="AS732">
        <f>SUMPRODUCT((K24:K26&lt;=$B$6)*(L24:L26*AN732+M24:M26*AO732*$B$8*AQ732)/(1+AL732/100)^K24:K26)+L27*AN732*AP732/(1+AL732/100)^$B$6</f>
        <v/>
      </c>
      <c r="AT732">
        <f>AS732-AR732</f>
        <v/>
      </c>
      <c r="AU732">
        <f>RAND()</f>
        <v/>
      </c>
      <c r="AV732">
        <f>RAND()</f>
        <v/>
      </c>
      <c r="AW732">
        <f>RAND()</f>
        <v/>
      </c>
      <c r="AX732">
        <f>RAND()</f>
        <v/>
      </c>
      <c r="AY732">
        <f>RAND()</f>
        <v/>
      </c>
      <c r="AZ732">
        <f>RAND()</f>
        <v/>
      </c>
    </row>
    <row r="733">
      <c r="AK733" t="n">
        <v>720</v>
      </c>
      <c r="AL733">
        <f>IFERROR(IF(AU733&lt;($AM$6-$AL$6)/($AN$6-$AL$6),$AL$6+SQRT(AU733*($AN$6-$AL$6)*($AM$6-$AL$6)),$AN$6-SQRT((1-AU733)*($AN$6-$AL$6)*($AN$6-$AM$6))),$AM$6)</f>
        <v/>
      </c>
      <c r="AM733">
        <f>IFERROR(IF(AV733&lt;($AM$7-$AL$7)/($AN$7-$AL$7),$AL$7+SQRT(AV733*($AN$7-$AL$7)*($AM$7-$AL$7)),$AN$7-SQRT((1-AV733)*($AN$7-$AL$7)*($AN$7-$AM$7))),$AM$7)</f>
        <v/>
      </c>
      <c r="AN733">
        <f>IFERROR(IF(AW733&lt;($AM$8-$AL$8)/($AN$8-$AL$8),$AL$8+SQRT(AW733*($AN$8-$AL$8)*($AM$8-$AL$8)),$AN$8-SQRT((1-AW733)*($AN$8-$AL$8)*($AN$8-$AM$8))),$AM$8)</f>
        <v/>
      </c>
      <c r="AO733">
        <f>IFERROR(IF(AX733&lt;($AM$9-$AL$9)/($AN$9-$AL$9),$AL$9+SQRT(AX733*($AN$9-$AL$9)*($AM$9-$AL$9)),$AN$9-SQRT((1-AX733)*($AN$9-$AL$9)*($AN$9-$AM$9))),$AM$9)</f>
        <v/>
      </c>
      <c r="AP733">
        <f>IFERROR(IF(AY733&lt;($AM$10-$AL$10)/($AN$10-$AL$10),$AL$10+SQRT(AY733*($AN$10-$AL$10)*($AM$10-$AL$10)),$AN$10-SQRT((1-AY733)*($AN$10-$AL$10)*($AN$10-$AM$10))),$AM$10)</f>
        <v/>
      </c>
      <c r="AQ733">
        <f>IFERROR(IF(AZ733&lt;($AM$11-$AL$11)/($AN$11-$AL$11),$AL$11+SQRT(AZ733*($AN$11-$AL$11)*($AM$11-$AL$11)),$AN$11-SQRT((1-AZ733)*($AN$11-$AL$11)*($AN$11-$AM$11))),$AM$11)</f>
        <v/>
      </c>
      <c r="AR733">
        <f>SUMPRODUCT((B24:B31&lt;=$B$6)*(C24:C31*AM733+D24:D31*AO733*$B$8*AQ733)/(1+AL733/100)^B24:B31)+C32*AM733*AP733/(1+AL733/100)^$B$6</f>
        <v/>
      </c>
      <c r="AS733">
        <f>SUMPRODUCT((K24:K26&lt;=$B$6)*(L24:L26*AN733+M24:M26*AO733*$B$8*AQ733)/(1+AL733/100)^K24:K26)+L27*AN733*AP733/(1+AL733/100)^$B$6</f>
        <v/>
      </c>
      <c r="AT733">
        <f>AS733-AR733</f>
        <v/>
      </c>
      <c r="AU733">
        <f>RAND()</f>
        <v/>
      </c>
      <c r="AV733">
        <f>RAND()</f>
        <v/>
      </c>
      <c r="AW733">
        <f>RAND()</f>
        <v/>
      </c>
      <c r="AX733">
        <f>RAND()</f>
        <v/>
      </c>
      <c r="AY733">
        <f>RAND()</f>
        <v/>
      </c>
      <c r="AZ733">
        <f>RAND()</f>
        <v/>
      </c>
    </row>
    <row r="734">
      <c r="AK734" t="n">
        <v>721</v>
      </c>
      <c r="AL734">
        <f>IFERROR(IF(AU734&lt;($AM$6-$AL$6)/($AN$6-$AL$6),$AL$6+SQRT(AU734*($AN$6-$AL$6)*($AM$6-$AL$6)),$AN$6-SQRT((1-AU734)*($AN$6-$AL$6)*($AN$6-$AM$6))),$AM$6)</f>
        <v/>
      </c>
      <c r="AM734">
        <f>IFERROR(IF(AV734&lt;($AM$7-$AL$7)/($AN$7-$AL$7),$AL$7+SQRT(AV734*($AN$7-$AL$7)*($AM$7-$AL$7)),$AN$7-SQRT((1-AV734)*($AN$7-$AL$7)*($AN$7-$AM$7))),$AM$7)</f>
        <v/>
      </c>
      <c r="AN734">
        <f>IFERROR(IF(AW734&lt;($AM$8-$AL$8)/($AN$8-$AL$8),$AL$8+SQRT(AW734*($AN$8-$AL$8)*($AM$8-$AL$8)),$AN$8-SQRT((1-AW734)*($AN$8-$AL$8)*($AN$8-$AM$8))),$AM$8)</f>
        <v/>
      </c>
      <c r="AO734">
        <f>IFERROR(IF(AX734&lt;($AM$9-$AL$9)/($AN$9-$AL$9),$AL$9+SQRT(AX734*($AN$9-$AL$9)*($AM$9-$AL$9)),$AN$9-SQRT((1-AX734)*($AN$9-$AL$9)*($AN$9-$AM$9))),$AM$9)</f>
        <v/>
      </c>
      <c r="AP734">
        <f>IFERROR(IF(AY734&lt;($AM$10-$AL$10)/($AN$10-$AL$10),$AL$10+SQRT(AY734*($AN$10-$AL$10)*($AM$10-$AL$10)),$AN$10-SQRT((1-AY734)*($AN$10-$AL$10)*($AN$10-$AM$10))),$AM$10)</f>
        <v/>
      </c>
      <c r="AQ734">
        <f>IFERROR(IF(AZ734&lt;($AM$11-$AL$11)/($AN$11-$AL$11),$AL$11+SQRT(AZ734*($AN$11-$AL$11)*($AM$11-$AL$11)),$AN$11-SQRT((1-AZ734)*($AN$11-$AL$11)*($AN$11-$AM$11))),$AM$11)</f>
        <v/>
      </c>
      <c r="AR734">
        <f>SUMPRODUCT((B24:B31&lt;=$B$6)*(C24:C31*AM734+D24:D31*AO734*$B$8*AQ734)/(1+AL734/100)^B24:B31)+C32*AM734*AP734/(1+AL734/100)^$B$6</f>
        <v/>
      </c>
      <c r="AS734">
        <f>SUMPRODUCT((K24:K26&lt;=$B$6)*(L24:L26*AN734+M24:M26*AO734*$B$8*AQ734)/(1+AL734/100)^K24:K26)+L27*AN734*AP734/(1+AL734/100)^$B$6</f>
        <v/>
      </c>
      <c r="AT734">
        <f>AS734-AR734</f>
        <v/>
      </c>
      <c r="AU734">
        <f>RAND()</f>
        <v/>
      </c>
      <c r="AV734">
        <f>RAND()</f>
        <v/>
      </c>
      <c r="AW734">
        <f>RAND()</f>
        <v/>
      </c>
      <c r="AX734">
        <f>RAND()</f>
        <v/>
      </c>
      <c r="AY734">
        <f>RAND()</f>
        <v/>
      </c>
      <c r="AZ734">
        <f>RAND()</f>
        <v/>
      </c>
    </row>
    <row r="735">
      <c r="AK735" t="n">
        <v>722</v>
      </c>
      <c r="AL735">
        <f>IFERROR(IF(AU735&lt;($AM$6-$AL$6)/($AN$6-$AL$6),$AL$6+SQRT(AU735*($AN$6-$AL$6)*($AM$6-$AL$6)),$AN$6-SQRT((1-AU735)*($AN$6-$AL$6)*($AN$6-$AM$6))),$AM$6)</f>
        <v/>
      </c>
      <c r="AM735">
        <f>IFERROR(IF(AV735&lt;($AM$7-$AL$7)/($AN$7-$AL$7),$AL$7+SQRT(AV735*($AN$7-$AL$7)*($AM$7-$AL$7)),$AN$7-SQRT((1-AV735)*($AN$7-$AL$7)*($AN$7-$AM$7))),$AM$7)</f>
        <v/>
      </c>
      <c r="AN735">
        <f>IFERROR(IF(AW735&lt;($AM$8-$AL$8)/($AN$8-$AL$8),$AL$8+SQRT(AW735*($AN$8-$AL$8)*($AM$8-$AL$8)),$AN$8-SQRT((1-AW735)*($AN$8-$AL$8)*($AN$8-$AM$8))),$AM$8)</f>
        <v/>
      </c>
      <c r="AO735">
        <f>IFERROR(IF(AX735&lt;($AM$9-$AL$9)/($AN$9-$AL$9),$AL$9+SQRT(AX735*($AN$9-$AL$9)*($AM$9-$AL$9)),$AN$9-SQRT((1-AX735)*($AN$9-$AL$9)*($AN$9-$AM$9))),$AM$9)</f>
        <v/>
      </c>
      <c r="AP735">
        <f>IFERROR(IF(AY735&lt;($AM$10-$AL$10)/($AN$10-$AL$10),$AL$10+SQRT(AY735*($AN$10-$AL$10)*($AM$10-$AL$10)),$AN$10-SQRT((1-AY735)*($AN$10-$AL$10)*($AN$10-$AM$10))),$AM$10)</f>
        <v/>
      </c>
      <c r="AQ735">
        <f>IFERROR(IF(AZ735&lt;($AM$11-$AL$11)/($AN$11-$AL$11),$AL$11+SQRT(AZ735*($AN$11-$AL$11)*($AM$11-$AL$11)),$AN$11-SQRT((1-AZ735)*($AN$11-$AL$11)*($AN$11-$AM$11))),$AM$11)</f>
        <v/>
      </c>
      <c r="AR735">
        <f>SUMPRODUCT((B24:B31&lt;=$B$6)*(C24:C31*AM735+D24:D31*AO735*$B$8*AQ735)/(1+AL735/100)^B24:B31)+C32*AM735*AP735/(1+AL735/100)^$B$6</f>
        <v/>
      </c>
      <c r="AS735">
        <f>SUMPRODUCT((K24:K26&lt;=$B$6)*(L24:L26*AN735+M24:M26*AO735*$B$8*AQ735)/(1+AL735/100)^K24:K26)+L27*AN735*AP735/(1+AL735/100)^$B$6</f>
        <v/>
      </c>
      <c r="AT735">
        <f>AS735-AR735</f>
        <v/>
      </c>
      <c r="AU735">
        <f>RAND()</f>
        <v/>
      </c>
      <c r="AV735">
        <f>RAND()</f>
        <v/>
      </c>
      <c r="AW735">
        <f>RAND()</f>
        <v/>
      </c>
      <c r="AX735">
        <f>RAND()</f>
        <v/>
      </c>
      <c r="AY735">
        <f>RAND()</f>
        <v/>
      </c>
      <c r="AZ735">
        <f>RAND()</f>
        <v/>
      </c>
    </row>
    <row r="736">
      <c r="AK736" t="n">
        <v>723</v>
      </c>
      <c r="AL736">
        <f>IFERROR(IF(AU736&lt;($AM$6-$AL$6)/($AN$6-$AL$6),$AL$6+SQRT(AU736*($AN$6-$AL$6)*($AM$6-$AL$6)),$AN$6-SQRT((1-AU736)*($AN$6-$AL$6)*($AN$6-$AM$6))),$AM$6)</f>
        <v/>
      </c>
      <c r="AM736">
        <f>IFERROR(IF(AV736&lt;($AM$7-$AL$7)/($AN$7-$AL$7),$AL$7+SQRT(AV736*($AN$7-$AL$7)*($AM$7-$AL$7)),$AN$7-SQRT((1-AV736)*($AN$7-$AL$7)*($AN$7-$AM$7))),$AM$7)</f>
        <v/>
      </c>
      <c r="AN736">
        <f>IFERROR(IF(AW736&lt;($AM$8-$AL$8)/($AN$8-$AL$8),$AL$8+SQRT(AW736*($AN$8-$AL$8)*($AM$8-$AL$8)),$AN$8-SQRT((1-AW736)*($AN$8-$AL$8)*($AN$8-$AM$8))),$AM$8)</f>
        <v/>
      </c>
      <c r="AO736">
        <f>IFERROR(IF(AX736&lt;($AM$9-$AL$9)/($AN$9-$AL$9),$AL$9+SQRT(AX736*($AN$9-$AL$9)*($AM$9-$AL$9)),$AN$9-SQRT((1-AX736)*($AN$9-$AL$9)*($AN$9-$AM$9))),$AM$9)</f>
        <v/>
      </c>
      <c r="AP736">
        <f>IFERROR(IF(AY736&lt;($AM$10-$AL$10)/($AN$10-$AL$10),$AL$10+SQRT(AY736*($AN$10-$AL$10)*($AM$10-$AL$10)),$AN$10-SQRT((1-AY736)*($AN$10-$AL$10)*($AN$10-$AM$10))),$AM$10)</f>
        <v/>
      </c>
      <c r="AQ736">
        <f>IFERROR(IF(AZ736&lt;($AM$11-$AL$11)/($AN$11-$AL$11),$AL$11+SQRT(AZ736*($AN$11-$AL$11)*($AM$11-$AL$11)),$AN$11-SQRT((1-AZ736)*($AN$11-$AL$11)*($AN$11-$AM$11))),$AM$11)</f>
        <v/>
      </c>
      <c r="AR736">
        <f>SUMPRODUCT((B24:B31&lt;=$B$6)*(C24:C31*AM736+D24:D31*AO736*$B$8*AQ736)/(1+AL736/100)^B24:B31)+C32*AM736*AP736/(1+AL736/100)^$B$6</f>
        <v/>
      </c>
      <c r="AS736">
        <f>SUMPRODUCT((K24:K26&lt;=$B$6)*(L24:L26*AN736+M24:M26*AO736*$B$8*AQ736)/(1+AL736/100)^K24:K26)+L27*AN736*AP736/(1+AL736/100)^$B$6</f>
        <v/>
      </c>
      <c r="AT736">
        <f>AS736-AR736</f>
        <v/>
      </c>
      <c r="AU736">
        <f>RAND()</f>
        <v/>
      </c>
      <c r="AV736">
        <f>RAND()</f>
        <v/>
      </c>
      <c r="AW736">
        <f>RAND()</f>
        <v/>
      </c>
      <c r="AX736">
        <f>RAND()</f>
        <v/>
      </c>
      <c r="AY736">
        <f>RAND()</f>
        <v/>
      </c>
      <c r="AZ736">
        <f>RAND()</f>
        <v/>
      </c>
    </row>
    <row r="737">
      <c r="AK737" t="n">
        <v>724</v>
      </c>
      <c r="AL737">
        <f>IFERROR(IF(AU737&lt;($AM$6-$AL$6)/($AN$6-$AL$6),$AL$6+SQRT(AU737*($AN$6-$AL$6)*($AM$6-$AL$6)),$AN$6-SQRT((1-AU737)*($AN$6-$AL$6)*($AN$6-$AM$6))),$AM$6)</f>
        <v/>
      </c>
      <c r="AM737">
        <f>IFERROR(IF(AV737&lt;($AM$7-$AL$7)/($AN$7-$AL$7),$AL$7+SQRT(AV737*($AN$7-$AL$7)*($AM$7-$AL$7)),$AN$7-SQRT((1-AV737)*($AN$7-$AL$7)*($AN$7-$AM$7))),$AM$7)</f>
        <v/>
      </c>
      <c r="AN737">
        <f>IFERROR(IF(AW737&lt;($AM$8-$AL$8)/($AN$8-$AL$8),$AL$8+SQRT(AW737*($AN$8-$AL$8)*($AM$8-$AL$8)),$AN$8-SQRT((1-AW737)*($AN$8-$AL$8)*($AN$8-$AM$8))),$AM$8)</f>
        <v/>
      </c>
      <c r="AO737">
        <f>IFERROR(IF(AX737&lt;($AM$9-$AL$9)/($AN$9-$AL$9),$AL$9+SQRT(AX737*($AN$9-$AL$9)*($AM$9-$AL$9)),$AN$9-SQRT((1-AX737)*($AN$9-$AL$9)*($AN$9-$AM$9))),$AM$9)</f>
        <v/>
      </c>
      <c r="AP737">
        <f>IFERROR(IF(AY737&lt;($AM$10-$AL$10)/($AN$10-$AL$10),$AL$10+SQRT(AY737*($AN$10-$AL$10)*($AM$10-$AL$10)),$AN$10-SQRT((1-AY737)*($AN$10-$AL$10)*($AN$10-$AM$10))),$AM$10)</f>
        <v/>
      </c>
      <c r="AQ737">
        <f>IFERROR(IF(AZ737&lt;($AM$11-$AL$11)/($AN$11-$AL$11),$AL$11+SQRT(AZ737*($AN$11-$AL$11)*($AM$11-$AL$11)),$AN$11-SQRT((1-AZ737)*($AN$11-$AL$11)*($AN$11-$AM$11))),$AM$11)</f>
        <v/>
      </c>
      <c r="AR737">
        <f>SUMPRODUCT((B24:B31&lt;=$B$6)*(C24:C31*AM737+D24:D31*AO737*$B$8*AQ737)/(1+AL737/100)^B24:B31)+C32*AM737*AP737/(1+AL737/100)^$B$6</f>
        <v/>
      </c>
      <c r="AS737">
        <f>SUMPRODUCT((K24:K26&lt;=$B$6)*(L24:L26*AN737+M24:M26*AO737*$B$8*AQ737)/(1+AL737/100)^K24:K26)+L27*AN737*AP737/(1+AL737/100)^$B$6</f>
        <v/>
      </c>
      <c r="AT737">
        <f>AS737-AR737</f>
        <v/>
      </c>
      <c r="AU737">
        <f>RAND()</f>
        <v/>
      </c>
      <c r="AV737">
        <f>RAND()</f>
        <v/>
      </c>
      <c r="AW737">
        <f>RAND()</f>
        <v/>
      </c>
      <c r="AX737">
        <f>RAND()</f>
        <v/>
      </c>
      <c r="AY737">
        <f>RAND()</f>
        <v/>
      </c>
      <c r="AZ737">
        <f>RAND()</f>
        <v/>
      </c>
    </row>
    <row r="738">
      <c r="AK738" t="n">
        <v>725</v>
      </c>
      <c r="AL738">
        <f>IFERROR(IF(AU738&lt;($AM$6-$AL$6)/($AN$6-$AL$6),$AL$6+SQRT(AU738*($AN$6-$AL$6)*($AM$6-$AL$6)),$AN$6-SQRT((1-AU738)*($AN$6-$AL$6)*($AN$6-$AM$6))),$AM$6)</f>
        <v/>
      </c>
      <c r="AM738">
        <f>IFERROR(IF(AV738&lt;($AM$7-$AL$7)/($AN$7-$AL$7),$AL$7+SQRT(AV738*($AN$7-$AL$7)*($AM$7-$AL$7)),$AN$7-SQRT((1-AV738)*($AN$7-$AL$7)*($AN$7-$AM$7))),$AM$7)</f>
        <v/>
      </c>
      <c r="AN738">
        <f>IFERROR(IF(AW738&lt;($AM$8-$AL$8)/($AN$8-$AL$8),$AL$8+SQRT(AW738*($AN$8-$AL$8)*($AM$8-$AL$8)),$AN$8-SQRT((1-AW738)*($AN$8-$AL$8)*($AN$8-$AM$8))),$AM$8)</f>
        <v/>
      </c>
      <c r="AO738">
        <f>IFERROR(IF(AX738&lt;($AM$9-$AL$9)/($AN$9-$AL$9),$AL$9+SQRT(AX738*($AN$9-$AL$9)*($AM$9-$AL$9)),$AN$9-SQRT((1-AX738)*($AN$9-$AL$9)*($AN$9-$AM$9))),$AM$9)</f>
        <v/>
      </c>
      <c r="AP738">
        <f>IFERROR(IF(AY738&lt;($AM$10-$AL$10)/($AN$10-$AL$10),$AL$10+SQRT(AY738*($AN$10-$AL$10)*($AM$10-$AL$10)),$AN$10-SQRT((1-AY738)*($AN$10-$AL$10)*($AN$10-$AM$10))),$AM$10)</f>
        <v/>
      </c>
      <c r="AQ738">
        <f>IFERROR(IF(AZ738&lt;($AM$11-$AL$11)/($AN$11-$AL$11),$AL$11+SQRT(AZ738*($AN$11-$AL$11)*($AM$11-$AL$11)),$AN$11-SQRT((1-AZ738)*($AN$11-$AL$11)*($AN$11-$AM$11))),$AM$11)</f>
        <v/>
      </c>
      <c r="AR738">
        <f>SUMPRODUCT((B24:B31&lt;=$B$6)*(C24:C31*AM738+D24:D31*AO738*$B$8*AQ738)/(1+AL738/100)^B24:B31)+C32*AM738*AP738/(1+AL738/100)^$B$6</f>
        <v/>
      </c>
      <c r="AS738">
        <f>SUMPRODUCT((K24:K26&lt;=$B$6)*(L24:L26*AN738+M24:M26*AO738*$B$8*AQ738)/(1+AL738/100)^K24:K26)+L27*AN738*AP738/(1+AL738/100)^$B$6</f>
        <v/>
      </c>
      <c r="AT738">
        <f>AS738-AR738</f>
        <v/>
      </c>
      <c r="AU738">
        <f>RAND()</f>
        <v/>
      </c>
      <c r="AV738">
        <f>RAND()</f>
        <v/>
      </c>
      <c r="AW738">
        <f>RAND()</f>
        <v/>
      </c>
      <c r="AX738">
        <f>RAND()</f>
        <v/>
      </c>
      <c r="AY738">
        <f>RAND()</f>
        <v/>
      </c>
      <c r="AZ738">
        <f>RAND()</f>
        <v/>
      </c>
    </row>
    <row r="739">
      <c r="AK739" t="n">
        <v>726</v>
      </c>
      <c r="AL739">
        <f>IFERROR(IF(AU739&lt;($AM$6-$AL$6)/($AN$6-$AL$6),$AL$6+SQRT(AU739*($AN$6-$AL$6)*($AM$6-$AL$6)),$AN$6-SQRT((1-AU739)*($AN$6-$AL$6)*($AN$6-$AM$6))),$AM$6)</f>
        <v/>
      </c>
      <c r="AM739">
        <f>IFERROR(IF(AV739&lt;($AM$7-$AL$7)/($AN$7-$AL$7),$AL$7+SQRT(AV739*($AN$7-$AL$7)*($AM$7-$AL$7)),$AN$7-SQRT((1-AV739)*($AN$7-$AL$7)*($AN$7-$AM$7))),$AM$7)</f>
        <v/>
      </c>
      <c r="AN739">
        <f>IFERROR(IF(AW739&lt;($AM$8-$AL$8)/($AN$8-$AL$8),$AL$8+SQRT(AW739*($AN$8-$AL$8)*($AM$8-$AL$8)),$AN$8-SQRT((1-AW739)*($AN$8-$AL$8)*($AN$8-$AM$8))),$AM$8)</f>
        <v/>
      </c>
      <c r="AO739">
        <f>IFERROR(IF(AX739&lt;($AM$9-$AL$9)/($AN$9-$AL$9),$AL$9+SQRT(AX739*($AN$9-$AL$9)*($AM$9-$AL$9)),$AN$9-SQRT((1-AX739)*($AN$9-$AL$9)*($AN$9-$AM$9))),$AM$9)</f>
        <v/>
      </c>
      <c r="AP739">
        <f>IFERROR(IF(AY739&lt;($AM$10-$AL$10)/($AN$10-$AL$10),$AL$10+SQRT(AY739*($AN$10-$AL$10)*($AM$10-$AL$10)),$AN$10-SQRT((1-AY739)*($AN$10-$AL$10)*($AN$10-$AM$10))),$AM$10)</f>
        <v/>
      </c>
      <c r="AQ739">
        <f>IFERROR(IF(AZ739&lt;($AM$11-$AL$11)/($AN$11-$AL$11),$AL$11+SQRT(AZ739*($AN$11-$AL$11)*($AM$11-$AL$11)),$AN$11-SQRT((1-AZ739)*($AN$11-$AL$11)*($AN$11-$AM$11))),$AM$11)</f>
        <v/>
      </c>
      <c r="AR739">
        <f>SUMPRODUCT((B24:B31&lt;=$B$6)*(C24:C31*AM739+D24:D31*AO739*$B$8*AQ739)/(1+AL739/100)^B24:B31)+C32*AM739*AP739/(1+AL739/100)^$B$6</f>
        <v/>
      </c>
      <c r="AS739">
        <f>SUMPRODUCT((K24:K26&lt;=$B$6)*(L24:L26*AN739+M24:M26*AO739*$B$8*AQ739)/(1+AL739/100)^K24:K26)+L27*AN739*AP739/(1+AL739/100)^$B$6</f>
        <v/>
      </c>
      <c r="AT739">
        <f>AS739-AR739</f>
        <v/>
      </c>
      <c r="AU739">
        <f>RAND()</f>
        <v/>
      </c>
      <c r="AV739">
        <f>RAND()</f>
        <v/>
      </c>
      <c r="AW739">
        <f>RAND()</f>
        <v/>
      </c>
      <c r="AX739">
        <f>RAND()</f>
        <v/>
      </c>
      <c r="AY739">
        <f>RAND()</f>
        <v/>
      </c>
      <c r="AZ739">
        <f>RAND()</f>
        <v/>
      </c>
    </row>
    <row r="740">
      <c r="AK740" t="n">
        <v>727</v>
      </c>
      <c r="AL740">
        <f>IFERROR(IF(AU740&lt;($AM$6-$AL$6)/($AN$6-$AL$6),$AL$6+SQRT(AU740*($AN$6-$AL$6)*($AM$6-$AL$6)),$AN$6-SQRT((1-AU740)*($AN$6-$AL$6)*($AN$6-$AM$6))),$AM$6)</f>
        <v/>
      </c>
      <c r="AM740">
        <f>IFERROR(IF(AV740&lt;($AM$7-$AL$7)/($AN$7-$AL$7),$AL$7+SQRT(AV740*($AN$7-$AL$7)*($AM$7-$AL$7)),$AN$7-SQRT((1-AV740)*($AN$7-$AL$7)*($AN$7-$AM$7))),$AM$7)</f>
        <v/>
      </c>
      <c r="AN740">
        <f>IFERROR(IF(AW740&lt;($AM$8-$AL$8)/($AN$8-$AL$8),$AL$8+SQRT(AW740*($AN$8-$AL$8)*($AM$8-$AL$8)),$AN$8-SQRT((1-AW740)*($AN$8-$AL$8)*($AN$8-$AM$8))),$AM$8)</f>
        <v/>
      </c>
      <c r="AO740">
        <f>IFERROR(IF(AX740&lt;($AM$9-$AL$9)/($AN$9-$AL$9),$AL$9+SQRT(AX740*($AN$9-$AL$9)*($AM$9-$AL$9)),$AN$9-SQRT((1-AX740)*($AN$9-$AL$9)*($AN$9-$AM$9))),$AM$9)</f>
        <v/>
      </c>
      <c r="AP740">
        <f>IFERROR(IF(AY740&lt;($AM$10-$AL$10)/($AN$10-$AL$10),$AL$10+SQRT(AY740*($AN$10-$AL$10)*($AM$10-$AL$10)),$AN$10-SQRT((1-AY740)*($AN$10-$AL$10)*($AN$10-$AM$10))),$AM$10)</f>
        <v/>
      </c>
      <c r="AQ740">
        <f>IFERROR(IF(AZ740&lt;($AM$11-$AL$11)/($AN$11-$AL$11),$AL$11+SQRT(AZ740*($AN$11-$AL$11)*($AM$11-$AL$11)),$AN$11-SQRT((1-AZ740)*($AN$11-$AL$11)*($AN$11-$AM$11))),$AM$11)</f>
        <v/>
      </c>
      <c r="AR740">
        <f>SUMPRODUCT((B24:B31&lt;=$B$6)*(C24:C31*AM740+D24:D31*AO740*$B$8*AQ740)/(1+AL740/100)^B24:B31)+C32*AM740*AP740/(1+AL740/100)^$B$6</f>
        <v/>
      </c>
      <c r="AS740">
        <f>SUMPRODUCT((K24:K26&lt;=$B$6)*(L24:L26*AN740+M24:M26*AO740*$B$8*AQ740)/(1+AL740/100)^K24:K26)+L27*AN740*AP740/(1+AL740/100)^$B$6</f>
        <v/>
      </c>
      <c r="AT740">
        <f>AS740-AR740</f>
        <v/>
      </c>
      <c r="AU740">
        <f>RAND()</f>
        <v/>
      </c>
      <c r="AV740">
        <f>RAND()</f>
        <v/>
      </c>
      <c r="AW740">
        <f>RAND()</f>
        <v/>
      </c>
      <c r="AX740">
        <f>RAND()</f>
        <v/>
      </c>
      <c r="AY740">
        <f>RAND()</f>
        <v/>
      </c>
      <c r="AZ740">
        <f>RAND()</f>
        <v/>
      </c>
    </row>
    <row r="741">
      <c r="AK741" t="n">
        <v>728</v>
      </c>
      <c r="AL741">
        <f>IFERROR(IF(AU741&lt;($AM$6-$AL$6)/($AN$6-$AL$6),$AL$6+SQRT(AU741*($AN$6-$AL$6)*($AM$6-$AL$6)),$AN$6-SQRT((1-AU741)*($AN$6-$AL$6)*($AN$6-$AM$6))),$AM$6)</f>
        <v/>
      </c>
      <c r="AM741">
        <f>IFERROR(IF(AV741&lt;($AM$7-$AL$7)/($AN$7-$AL$7),$AL$7+SQRT(AV741*($AN$7-$AL$7)*($AM$7-$AL$7)),$AN$7-SQRT((1-AV741)*($AN$7-$AL$7)*($AN$7-$AM$7))),$AM$7)</f>
        <v/>
      </c>
      <c r="AN741">
        <f>IFERROR(IF(AW741&lt;($AM$8-$AL$8)/($AN$8-$AL$8),$AL$8+SQRT(AW741*($AN$8-$AL$8)*($AM$8-$AL$8)),$AN$8-SQRT((1-AW741)*($AN$8-$AL$8)*($AN$8-$AM$8))),$AM$8)</f>
        <v/>
      </c>
      <c r="AO741">
        <f>IFERROR(IF(AX741&lt;($AM$9-$AL$9)/($AN$9-$AL$9),$AL$9+SQRT(AX741*($AN$9-$AL$9)*($AM$9-$AL$9)),$AN$9-SQRT((1-AX741)*($AN$9-$AL$9)*($AN$9-$AM$9))),$AM$9)</f>
        <v/>
      </c>
      <c r="AP741">
        <f>IFERROR(IF(AY741&lt;($AM$10-$AL$10)/($AN$10-$AL$10),$AL$10+SQRT(AY741*($AN$10-$AL$10)*($AM$10-$AL$10)),$AN$10-SQRT((1-AY741)*($AN$10-$AL$10)*($AN$10-$AM$10))),$AM$10)</f>
        <v/>
      </c>
      <c r="AQ741">
        <f>IFERROR(IF(AZ741&lt;($AM$11-$AL$11)/($AN$11-$AL$11),$AL$11+SQRT(AZ741*($AN$11-$AL$11)*($AM$11-$AL$11)),$AN$11-SQRT((1-AZ741)*($AN$11-$AL$11)*($AN$11-$AM$11))),$AM$11)</f>
        <v/>
      </c>
      <c r="AR741">
        <f>SUMPRODUCT((B24:B31&lt;=$B$6)*(C24:C31*AM741+D24:D31*AO741*$B$8*AQ741)/(1+AL741/100)^B24:B31)+C32*AM741*AP741/(1+AL741/100)^$B$6</f>
        <v/>
      </c>
      <c r="AS741">
        <f>SUMPRODUCT((K24:K26&lt;=$B$6)*(L24:L26*AN741+M24:M26*AO741*$B$8*AQ741)/(1+AL741/100)^K24:K26)+L27*AN741*AP741/(1+AL741/100)^$B$6</f>
        <v/>
      </c>
      <c r="AT741">
        <f>AS741-AR741</f>
        <v/>
      </c>
      <c r="AU741">
        <f>RAND()</f>
        <v/>
      </c>
      <c r="AV741">
        <f>RAND()</f>
        <v/>
      </c>
      <c r="AW741">
        <f>RAND()</f>
        <v/>
      </c>
      <c r="AX741">
        <f>RAND()</f>
        <v/>
      </c>
      <c r="AY741">
        <f>RAND()</f>
        <v/>
      </c>
      <c r="AZ741">
        <f>RAND()</f>
        <v/>
      </c>
    </row>
    <row r="742">
      <c r="AK742" t="n">
        <v>729</v>
      </c>
      <c r="AL742">
        <f>IFERROR(IF(AU742&lt;($AM$6-$AL$6)/($AN$6-$AL$6),$AL$6+SQRT(AU742*($AN$6-$AL$6)*($AM$6-$AL$6)),$AN$6-SQRT((1-AU742)*($AN$6-$AL$6)*($AN$6-$AM$6))),$AM$6)</f>
        <v/>
      </c>
      <c r="AM742">
        <f>IFERROR(IF(AV742&lt;($AM$7-$AL$7)/($AN$7-$AL$7),$AL$7+SQRT(AV742*($AN$7-$AL$7)*($AM$7-$AL$7)),$AN$7-SQRT((1-AV742)*($AN$7-$AL$7)*($AN$7-$AM$7))),$AM$7)</f>
        <v/>
      </c>
      <c r="AN742">
        <f>IFERROR(IF(AW742&lt;($AM$8-$AL$8)/($AN$8-$AL$8),$AL$8+SQRT(AW742*($AN$8-$AL$8)*($AM$8-$AL$8)),$AN$8-SQRT((1-AW742)*($AN$8-$AL$8)*($AN$8-$AM$8))),$AM$8)</f>
        <v/>
      </c>
      <c r="AO742">
        <f>IFERROR(IF(AX742&lt;($AM$9-$AL$9)/($AN$9-$AL$9),$AL$9+SQRT(AX742*($AN$9-$AL$9)*($AM$9-$AL$9)),$AN$9-SQRT((1-AX742)*($AN$9-$AL$9)*($AN$9-$AM$9))),$AM$9)</f>
        <v/>
      </c>
      <c r="AP742">
        <f>IFERROR(IF(AY742&lt;($AM$10-$AL$10)/($AN$10-$AL$10),$AL$10+SQRT(AY742*($AN$10-$AL$10)*($AM$10-$AL$10)),$AN$10-SQRT((1-AY742)*($AN$10-$AL$10)*($AN$10-$AM$10))),$AM$10)</f>
        <v/>
      </c>
      <c r="AQ742">
        <f>IFERROR(IF(AZ742&lt;($AM$11-$AL$11)/($AN$11-$AL$11),$AL$11+SQRT(AZ742*($AN$11-$AL$11)*($AM$11-$AL$11)),$AN$11-SQRT((1-AZ742)*($AN$11-$AL$11)*($AN$11-$AM$11))),$AM$11)</f>
        <v/>
      </c>
      <c r="AR742">
        <f>SUMPRODUCT((B24:B31&lt;=$B$6)*(C24:C31*AM742+D24:D31*AO742*$B$8*AQ742)/(1+AL742/100)^B24:B31)+C32*AM742*AP742/(1+AL742/100)^$B$6</f>
        <v/>
      </c>
      <c r="AS742">
        <f>SUMPRODUCT((K24:K26&lt;=$B$6)*(L24:L26*AN742+M24:M26*AO742*$B$8*AQ742)/(1+AL742/100)^K24:K26)+L27*AN742*AP742/(1+AL742/100)^$B$6</f>
        <v/>
      </c>
      <c r="AT742">
        <f>AS742-AR742</f>
        <v/>
      </c>
      <c r="AU742">
        <f>RAND()</f>
        <v/>
      </c>
      <c r="AV742">
        <f>RAND()</f>
        <v/>
      </c>
      <c r="AW742">
        <f>RAND()</f>
        <v/>
      </c>
      <c r="AX742">
        <f>RAND()</f>
        <v/>
      </c>
      <c r="AY742">
        <f>RAND()</f>
        <v/>
      </c>
      <c r="AZ742">
        <f>RAND()</f>
        <v/>
      </c>
    </row>
    <row r="743">
      <c r="AK743" t="n">
        <v>730</v>
      </c>
      <c r="AL743">
        <f>IFERROR(IF(AU743&lt;($AM$6-$AL$6)/($AN$6-$AL$6),$AL$6+SQRT(AU743*($AN$6-$AL$6)*($AM$6-$AL$6)),$AN$6-SQRT((1-AU743)*($AN$6-$AL$6)*($AN$6-$AM$6))),$AM$6)</f>
        <v/>
      </c>
      <c r="AM743">
        <f>IFERROR(IF(AV743&lt;($AM$7-$AL$7)/($AN$7-$AL$7),$AL$7+SQRT(AV743*($AN$7-$AL$7)*($AM$7-$AL$7)),$AN$7-SQRT((1-AV743)*($AN$7-$AL$7)*($AN$7-$AM$7))),$AM$7)</f>
        <v/>
      </c>
      <c r="AN743">
        <f>IFERROR(IF(AW743&lt;($AM$8-$AL$8)/($AN$8-$AL$8),$AL$8+SQRT(AW743*($AN$8-$AL$8)*($AM$8-$AL$8)),$AN$8-SQRT((1-AW743)*($AN$8-$AL$8)*($AN$8-$AM$8))),$AM$8)</f>
        <v/>
      </c>
      <c r="AO743">
        <f>IFERROR(IF(AX743&lt;($AM$9-$AL$9)/($AN$9-$AL$9),$AL$9+SQRT(AX743*($AN$9-$AL$9)*($AM$9-$AL$9)),$AN$9-SQRT((1-AX743)*($AN$9-$AL$9)*($AN$9-$AM$9))),$AM$9)</f>
        <v/>
      </c>
      <c r="AP743">
        <f>IFERROR(IF(AY743&lt;($AM$10-$AL$10)/($AN$10-$AL$10),$AL$10+SQRT(AY743*($AN$10-$AL$10)*($AM$10-$AL$10)),$AN$10-SQRT((1-AY743)*($AN$10-$AL$10)*($AN$10-$AM$10))),$AM$10)</f>
        <v/>
      </c>
      <c r="AQ743">
        <f>IFERROR(IF(AZ743&lt;($AM$11-$AL$11)/($AN$11-$AL$11),$AL$11+SQRT(AZ743*($AN$11-$AL$11)*($AM$11-$AL$11)),$AN$11-SQRT((1-AZ743)*($AN$11-$AL$11)*($AN$11-$AM$11))),$AM$11)</f>
        <v/>
      </c>
      <c r="AR743">
        <f>SUMPRODUCT((B24:B31&lt;=$B$6)*(C24:C31*AM743+D24:D31*AO743*$B$8*AQ743)/(1+AL743/100)^B24:B31)+C32*AM743*AP743/(1+AL743/100)^$B$6</f>
        <v/>
      </c>
      <c r="AS743">
        <f>SUMPRODUCT((K24:K26&lt;=$B$6)*(L24:L26*AN743+M24:M26*AO743*$B$8*AQ743)/(1+AL743/100)^K24:K26)+L27*AN743*AP743/(1+AL743/100)^$B$6</f>
        <v/>
      </c>
      <c r="AT743">
        <f>AS743-AR743</f>
        <v/>
      </c>
      <c r="AU743">
        <f>RAND()</f>
        <v/>
      </c>
      <c r="AV743">
        <f>RAND()</f>
        <v/>
      </c>
      <c r="AW743">
        <f>RAND()</f>
        <v/>
      </c>
      <c r="AX743">
        <f>RAND()</f>
        <v/>
      </c>
      <c r="AY743">
        <f>RAND()</f>
        <v/>
      </c>
      <c r="AZ743">
        <f>RAND()</f>
        <v/>
      </c>
    </row>
    <row r="744">
      <c r="AK744" t="n">
        <v>731</v>
      </c>
      <c r="AL744">
        <f>IFERROR(IF(AU744&lt;($AM$6-$AL$6)/($AN$6-$AL$6),$AL$6+SQRT(AU744*($AN$6-$AL$6)*($AM$6-$AL$6)),$AN$6-SQRT((1-AU744)*($AN$6-$AL$6)*($AN$6-$AM$6))),$AM$6)</f>
        <v/>
      </c>
      <c r="AM744">
        <f>IFERROR(IF(AV744&lt;($AM$7-$AL$7)/($AN$7-$AL$7),$AL$7+SQRT(AV744*($AN$7-$AL$7)*($AM$7-$AL$7)),$AN$7-SQRT((1-AV744)*($AN$7-$AL$7)*($AN$7-$AM$7))),$AM$7)</f>
        <v/>
      </c>
      <c r="AN744">
        <f>IFERROR(IF(AW744&lt;($AM$8-$AL$8)/($AN$8-$AL$8),$AL$8+SQRT(AW744*($AN$8-$AL$8)*($AM$8-$AL$8)),$AN$8-SQRT((1-AW744)*($AN$8-$AL$8)*($AN$8-$AM$8))),$AM$8)</f>
        <v/>
      </c>
      <c r="AO744">
        <f>IFERROR(IF(AX744&lt;($AM$9-$AL$9)/($AN$9-$AL$9),$AL$9+SQRT(AX744*($AN$9-$AL$9)*($AM$9-$AL$9)),$AN$9-SQRT((1-AX744)*($AN$9-$AL$9)*($AN$9-$AM$9))),$AM$9)</f>
        <v/>
      </c>
      <c r="AP744">
        <f>IFERROR(IF(AY744&lt;($AM$10-$AL$10)/($AN$10-$AL$10),$AL$10+SQRT(AY744*($AN$10-$AL$10)*($AM$10-$AL$10)),$AN$10-SQRT((1-AY744)*($AN$10-$AL$10)*($AN$10-$AM$10))),$AM$10)</f>
        <v/>
      </c>
      <c r="AQ744">
        <f>IFERROR(IF(AZ744&lt;($AM$11-$AL$11)/($AN$11-$AL$11),$AL$11+SQRT(AZ744*($AN$11-$AL$11)*($AM$11-$AL$11)),$AN$11-SQRT((1-AZ744)*($AN$11-$AL$11)*($AN$11-$AM$11))),$AM$11)</f>
        <v/>
      </c>
      <c r="AR744">
        <f>SUMPRODUCT((B24:B31&lt;=$B$6)*(C24:C31*AM744+D24:D31*AO744*$B$8*AQ744)/(1+AL744/100)^B24:B31)+C32*AM744*AP744/(1+AL744/100)^$B$6</f>
        <v/>
      </c>
      <c r="AS744">
        <f>SUMPRODUCT((K24:K26&lt;=$B$6)*(L24:L26*AN744+M24:M26*AO744*$B$8*AQ744)/(1+AL744/100)^K24:K26)+L27*AN744*AP744/(1+AL744/100)^$B$6</f>
        <v/>
      </c>
      <c r="AT744">
        <f>AS744-AR744</f>
        <v/>
      </c>
      <c r="AU744">
        <f>RAND()</f>
        <v/>
      </c>
      <c r="AV744">
        <f>RAND()</f>
        <v/>
      </c>
      <c r="AW744">
        <f>RAND()</f>
        <v/>
      </c>
      <c r="AX744">
        <f>RAND()</f>
        <v/>
      </c>
      <c r="AY744">
        <f>RAND()</f>
        <v/>
      </c>
      <c r="AZ744">
        <f>RAND()</f>
        <v/>
      </c>
    </row>
    <row r="745">
      <c r="AK745" t="n">
        <v>732</v>
      </c>
      <c r="AL745">
        <f>IFERROR(IF(AU745&lt;($AM$6-$AL$6)/($AN$6-$AL$6),$AL$6+SQRT(AU745*($AN$6-$AL$6)*($AM$6-$AL$6)),$AN$6-SQRT((1-AU745)*($AN$6-$AL$6)*($AN$6-$AM$6))),$AM$6)</f>
        <v/>
      </c>
      <c r="AM745">
        <f>IFERROR(IF(AV745&lt;($AM$7-$AL$7)/($AN$7-$AL$7),$AL$7+SQRT(AV745*($AN$7-$AL$7)*($AM$7-$AL$7)),$AN$7-SQRT((1-AV745)*($AN$7-$AL$7)*($AN$7-$AM$7))),$AM$7)</f>
        <v/>
      </c>
      <c r="AN745">
        <f>IFERROR(IF(AW745&lt;($AM$8-$AL$8)/($AN$8-$AL$8),$AL$8+SQRT(AW745*($AN$8-$AL$8)*($AM$8-$AL$8)),$AN$8-SQRT((1-AW745)*($AN$8-$AL$8)*($AN$8-$AM$8))),$AM$8)</f>
        <v/>
      </c>
      <c r="AO745">
        <f>IFERROR(IF(AX745&lt;($AM$9-$AL$9)/($AN$9-$AL$9),$AL$9+SQRT(AX745*($AN$9-$AL$9)*($AM$9-$AL$9)),$AN$9-SQRT((1-AX745)*($AN$9-$AL$9)*($AN$9-$AM$9))),$AM$9)</f>
        <v/>
      </c>
      <c r="AP745">
        <f>IFERROR(IF(AY745&lt;($AM$10-$AL$10)/($AN$10-$AL$10),$AL$10+SQRT(AY745*($AN$10-$AL$10)*($AM$10-$AL$10)),$AN$10-SQRT((1-AY745)*($AN$10-$AL$10)*($AN$10-$AM$10))),$AM$10)</f>
        <v/>
      </c>
      <c r="AQ745">
        <f>IFERROR(IF(AZ745&lt;($AM$11-$AL$11)/($AN$11-$AL$11),$AL$11+SQRT(AZ745*($AN$11-$AL$11)*($AM$11-$AL$11)),$AN$11-SQRT((1-AZ745)*($AN$11-$AL$11)*($AN$11-$AM$11))),$AM$11)</f>
        <v/>
      </c>
      <c r="AR745">
        <f>SUMPRODUCT((B24:B31&lt;=$B$6)*(C24:C31*AM745+D24:D31*AO745*$B$8*AQ745)/(1+AL745/100)^B24:B31)+C32*AM745*AP745/(1+AL745/100)^$B$6</f>
        <v/>
      </c>
      <c r="AS745">
        <f>SUMPRODUCT((K24:K26&lt;=$B$6)*(L24:L26*AN745+M24:M26*AO745*$B$8*AQ745)/(1+AL745/100)^K24:K26)+L27*AN745*AP745/(1+AL745/100)^$B$6</f>
        <v/>
      </c>
      <c r="AT745">
        <f>AS745-AR745</f>
        <v/>
      </c>
      <c r="AU745">
        <f>RAND()</f>
        <v/>
      </c>
      <c r="AV745">
        <f>RAND()</f>
        <v/>
      </c>
      <c r="AW745">
        <f>RAND()</f>
        <v/>
      </c>
      <c r="AX745">
        <f>RAND()</f>
        <v/>
      </c>
      <c r="AY745">
        <f>RAND()</f>
        <v/>
      </c>
      <c r="AZ745">
        <f>RAND()</f>
        <v/>
      </c>
    </row>
    <row r="746">
      <c r="AK746" t="n">
        <v>733</v>
      </c>
      <c r="AL746">
        <f>IFERROR(IF(AU746&lt;($AM$6-$AL$6)/($AN$6-$AL$6),$AL$6+SQRT(AU746*($AN$6-$AL$6)*($AM$6-$AL$6)),$AN$6-SQRT((1-AU746)*($AN$6-$AL$6)*($AN$6-$AM$6))),$AM$6)</f>
        <v/>
      </c>
      <c r="AM746">
        <f>IFERROR(IF(AV746&lt;($AM$7-$AL$7)/($AN$7-$AL$7),$AL$7+SQRT(AV746*($AN$7-$AL$7)*($AM$7-$AL$7)),$AN$7-SQRT((1-AV746)*($AN$7-$AL$7)*($AN$7-$AM$7))),$AM$7)</f>
        <v/>
      </c>
      <c r="AN746">
        <f>IFERROR(IF(AW746&lt;($AM$8-$AL$8)/($AN$8-$AL$8),$AL$8+SQRT(AW746*($AN$8-$AL$8)*($AM$8-$AL$8)),$AN$8-SQRT((1-AW746)*($AN$8-$AL$8)*($AN$8-$AM$8))),$AM$8)</f>
        <v/>
      </c>
      <c r="AO746">
        <f>IFERROR(IF(AX746&lt;($AM$9-$AL$9)/($AN$9-$AL$9),$AL$9+SQRT(AX746*($AN$9-$AL$9)*($AM$9-$AL$9)),$AN$9-SQRT((1-AX746)*($AN$9-$AL$9)*($AN$9-$AM$9))),$AM$9)</f>
        <v/>
      </c>
      <c r="AP746">
        <f>IFERROR(IF(AY746&lt;($AM$10-$AL$10)/($AN$10-$AL$10),$AL$10+SQRT(AY746*($AN$10-$AL$10)*($AM$10-$AL$10)),$AN$10-SQRT((1-AY746)*($AN$10-$AL$10)*($AN$10-$AM$10))),$AM$10)</f>
        <v/>
      </c>
      <c r="AQ746">
        <f>IFERROR(IF(AZ746&lt;($AM$11-$AL$11)/($AN$11-$AL$11),$AL$11+SQRT(AZ746*($AN$11-$AL$11)*($AM$11-$AL$11)),$AN$11-SQRT((1-AZ746)*($AN$11-$AL$11)*($AN$11-$AM$11))),$AM$11)</f>
        <v/>
      </c>
      <c r="AR746">
        <f>SUMPRODUCT((B24:B31&lt;=$B$6)*(C24:C31*AM746+D24:D31*AO746*$B$8*AQ746)/(1+AL746/100)^B24:B31)+C32*AM746*AP746/(1+AL746/100)^$B$6</f>
        <v/>
      </c>
      <c r="AS746">
        <f>SUMPRODUCT((K24:K26&lt;=$B$6)*(L24:L26*AN746+M24:M26*AO746*$B$8*AQ746)/(1+AL746/100)^K24:K26)+L27*AN746*AP746/(1+AL746/100)^$B$6</f>
        <v/>
      </c>
      <c r="AT746">
        <f>AS746-AR746</f>
        <v/>
      </c>
      <c r="AU746">
        <f>RAND()</f>
        <v/>
      </c>
      <c r="AV746">
        <f>RAND()</f>
        <v/>
      </c>
      <c r="AW746">
        <f>RAND()</f>
        <v/>
      </c>
      <c r="AX746">
        <f>RAND()</f>
        <v/>
      </c>
      <c r="AY746">
        <f>RAND()</f>
        <v/>
      </c>
      <c r="AZ746">
        <f>RAND()</f>
        <v/>
      </c>
    </row>
    <row r="747">
      <c r="AK747" t="n">
        <v>734</v>
      </c>
      <c r="AL747">
        <f>IFERROR(IF(AU747&lt;($AM$6-$AL$6)/($AN$6-$AL$6),$AL$6+SQRT(AU747*($AN$6-$AL$6)*($AM$6-$AL$6)),$AN$6-SQRT((1-AU747)*($AN$6-$AL$6)*($AN$6-$AM$6))),$AM$6)</f>
        <v/>
      </c>
      <c r="AM747">
        <f>IFERROR(IF(AV747&lt;($AM$7-$AL$7)/($AN$7-$AL$7),$AL$7+SQRT(AV747*($AN$7-$AL$7)*($AM$7-$AL$7)),$AN$7-SQRT((1-AV747)*($AN$7-$AL$7)*($AN$7-$AM$7))),$AM$7)</f>
        <v/>
      </c>
      <c r="AN747">
        <f>IFERROR(IF(AW747&lt;($AM$8-$AL$8)/($AN$8-$AL$8),$AL$8+SQRT(AW747*($AN$8-$AL$8)*($AM$8-$AL$8)),$AN$8-SQRT((1-AW747)*($AN$8-$AL$8)*($AN$8-$AM$8))),$AM$8)</f>
        <v/>
      </c>
      <c r="AO747">
        <f>IFERROR(IF(AX747&lt;($AM$9-$AL$9)/($AN$9-$AL$9),$AL$9+SQRT(AX747*($AN$9-$AL$9)*($AM$9-$AL$9)),$AN$9-SQRT((1-AX747)*($AN$9-$AL$9)*($AN$9-$AM$9))),$AM$9)</f>
        <v/>
      </c>
      <c r="AP747">
        <f>IFERROR(IF(AY747&lt;($AM$10-$AL$10)/($AN$10-$AL$10),$AL$10+SQRT(AY747*($AN$10-$AL$10)*($AM$10-$AL$10)),$AN$10-SQRT((1-AY747)*($AN$10-$AL$10)*($AN$10-$AM$10))),$AM$10)</f>
        <v/>
      </c>
      <c r="AQ747">
        <f>IFERROR(IF(AZ747&lt;($AM$11-$AL$11)/($AN$11-$AL$11),$AL$11+SQRT(AZ747*($AN$11-$AL$11)*($AM$11-$AL$11)),$AN$11-SQRT((1-AZ747)*($AN$11-$AL$11)*($AN$11-$AM$11))),$AM$11)</f>
        <v/>
      </c>
      <c r="AR747">
        <f>SUMPRODUCT((B24:B31&lt;=$B$6)*(C24:C31*AM747+D24:D31*AO747*$B$8*AQ747)/(1+AL747/100)^B24:B31)+C32*AM747*AP747/(1+AL747/100)^$B$6</f>
        <v/>
      </c>
      <c r="AS747">
        <f>SUMPRODUCT((K24:K26&lt;=$B$6)*(L24:L26*AN747+M24:M26*AO747*$B$8*AQ747)/(1+AL747/100)^K24:K26)+L27*AN747*AP747/(1+AL747/100)^$B$6</f>
        <v/>
      </c>
      <c r="AT747">
        <f>AS747-AR747</f>
        <v/>
      </c>
      <c r="AU747">
        <f>RAND()</f>
        <v/>
      </c>
      <c r="AV747">
        <f>RAND()</f>
        <v/>
      </c>
      <c r="AW747">
        <f>RAND()</f>
        <v/>
      </c>
      <c r="AX747">
        <f>RAND()</f>
        <v/>
      </c>
      <c r="AY747">
        <f>RAND()</f>
        <v/>
      </c>
      <c r="AZ747">
        <f>RAND()</f>
        <v/>
      </c>
    </row>
    <row r="748">
      <c r="AK748" t="n">
        <v>735</v>
      </c>
      <c r="AL748">
        <f>IFERROR(IF(AU748&lt;($AM$6-$AL$6)/($AN$6-$AL$6),$AL$6+SQRT(AU748*($AN$6-$AL$6)*($AM$6-$AL$6)),$AN$6-SQRT((1-AU748)*($AN$6-$AL$6)*($AN$6-$AM$6))),$AM$6)</f>
        <v/>
      </c>
      <c r="AM748">
        <f>IFERROR(IF(AV748&lt;($AM$7-$AL$7)/($AN$7-$AL$7),$AL$7+SQRT(AV748*($AN$7-$AL$7)*($AM$7-$AL$7)),$AN$7-SQRT((1-AV748)*($AN$7-$AL$7)*($AN$7-$AM$7))),$AM$7)</f>
        <v/>
      </c>
      <c r="AN748">
        <f>IFERROR(IF(AW748&lt;($AM$8-$AL$8)/($AN$8-$AL$8),$AL$8+SQRT(AW748*($AN$8-$AL$8)*($AM$8-$AL$8)),$AN$8-SQRT((1-AW748)*($AN$8-$AL$8)*($AN$8-$AM$8))),$AM$8)</f>
        <v/>
      </c>
      <c r="AO748">
        <f>IFERROR(IF(AX748&lt;($AM$9-$AL$9)/($AN$9-$AL$9),$AL$9+SQRT(AX748*($AN$9-$AL$9)*($AM$9-$AL$9)),$AN$9-SQRT((1-AX748)*($AN$9-$AL$9)*($AN$9-$AM$9))),$AM$9)</f>
        <v/>
      </c>
      <c r="AP748">
        <f>IFERROR(IF(AY748&lt;($AM$10-$AL$10)/($AN$10-$AL$10),$AL$10+SQRT(AY748*($AN$10-$AL$10)*($AM$10-$AL$10)),$AN$10-SQRT((1-AY748)*($AN$10-$AL$10)*($AN$10-$AM$10))),$AM$10)</f>
        <v/>
      </c>
      <c r="AQ748">
        <f>IFERROR(IF(AZ748&lt;($AM$11-$AL$11)/($AN$11-$AL$11),$AL$11+SQRT(AZ748*($AN$11-$AL$11)*($AM$11-$AL$11)),$AN$11-SQRT((1-AZ748)*($AN$11-$AL$11)*($AN$11-$AM$11))),$AM$11)</f>
        <v/>
      </c>
      <c r="AR748">
        <f>SUMPRODUCT((B24:B31&lt;=$B$6)*(C24:C31*AM748+D24:D31*AO748*$B$8*AQ748)/(1+AL748/100)^B24:B31)+C32*AM748*AP748/(1+AL748/100)^$B$6</f>
        <v/>
      </c>
      <c r="AS748">
        <f>SUMPRODUCT((K24:K26&lt;=$B$6)*(L24:L26*AN748+M24:M26*AO748*$B$8*AQ748)/(1+AL748/100)^K24:K26)+L27*AN748*AP748/(1+AL748/100)^$B$6</f>
        <v/>
      </c>
      <c r="AT748">
        <f>AS748-AR748</f>
        <v/>
      </c>
      <c r="AU748">
        <f>RAND()</f>
        <v/>
      </c>
      <c r="AV748">
        <f>RAND()</f>
        <v/>
      </c>
      <c r="AW748">
        <f>RAND()</f>
        <v/>
      </c>
      <c r="AX748">
        <f>RAND()</f>
        <v/>
      </c>
      <c r="AY748">
        <f>RAND()</f>
        <v/>
      </c>
      <c r="AZ748">
        <f>RAND()</f>
        <v/>
      </c>
    </row>
    <row r="749">
      <c r="AK749" t="n">
        <v>736</v>
      </c>
      <c r="AL749">
        <f>IFERROR(IF(AU749&lt;($AM$6-$AL$6)/($AN$6-$AL$6),$AL$6+SQRT(AU749*($AN$6-$AL$6)*($AM$6-$AL$6)),$AN$6-SQRT((1-AU749)*($AN$6-$AL$6)*($AN$6-$AM$6))),$AM$6)</f>
        <v/>
      </c>
      <c r="AM749">
        <f>IFERROR(IF(AV749&lt;($AM$7-$AL$7)/($AN$7-$AL$7),$AL$7+SQRT(AV749*($AN$7-$AL$7)*($AM$7-$AL$7)),$AN$7-SQRT((1-AV749)*($AN$7-$AL$7)*($AN$7-$AM$7))),$AM$7)</f>
        <v/>
      </c>
      <c r="AN749">
        <f>IFERROR(IF(AW749&lt;($AM$8-$AL$8)/($AN$8-$AL$8),$AL$8+SQRT(AW749*($AN$8-$AL$8)*($AM$8-$AL$8)),$AN$8-SQRT((1-AW749)*($AN$8-$AL$8)*($AN$8-$AM$8))),$AM$8)</f>
        <v/>
      </c>
      <c r="AO749">
        <f>IFERROR(IF(AX749&lt;($AM$9-$AL$9)/($AN$9-$AL$9),$AL$9+SQRT(AX749*($AN$9-$AL$9)*($AM$9-$AL$9)),$AN$9-SQRT((1-AX749)*($AN$9-$AL$9)*($AN$9-$AM$9))),$AM$9)</f>
        <v/>
      </c>
      <c r="AP749">
        <f>IFERROR(IF(AY749&lt;($AM$10-$AL$10)/($AN$10-$AL$10),$AL$10+SQRT(AY749*($AN$10-$AL$10)*($AM$10-$AL$10)),$AN$10-SQRT((1-AY749)*($AN$10-$AL$10)*($AN$10-$AM$10))),$AM$10)</f>
        <v/>
      </c>
      <c r="AQ749">
        <f>IFERROR(IF(AZ749&lt;($AM$11-$AL$11)/($AN$11-$AL$11),$AL$11+SQRT(AZ749*($AN$11-$AL$11)*($AM$11-$AL$11)),$AN$11-SQRT((1-AZ749)*($AN$11-$AL$11)*($AN$11-$AM$11))),$AM$11)</f>
        <v/>
      </c>
      <c r="AR749">
        <f>SUMPRODUCT((B24:B31&lt;=$B$6)*(C24:C31*AM749+D24:D31*AO749*$B$8*AQ749)/(1+AL749/100)^B24:B31)+C32*AM749*AP749/(1+AL749/100)^$B$6</f>
        <v/>
      </c>
      <c r="AS749">
        <f>SUMPRODUCT((K24:K26&lt;=$B$6)*(L24:L26*AN749+M24:M26*AO749*$B$8*AQ749)/(1+AL749/100)^K24:K26)+L27*AN749*AP749/(1+AL749/100)^$B$6</f>
        <v/>
      </c>
      <c r="AT749">
        <f>AS749-AR749</f>
        <v/>
      </c>
      <c r="AU749">
        <f>RAND()</f>
        <v/>
      </c>
      <c r="AV749">
        <f>RAND()</f>
        <v/>
      </c>
      <c r="AW749">
        <f>RAND()</f>
        <v/>
      </c>
      <c r="AX749">
        <f>RAND()</f>
        <v/>
      </c>
      <c r="AY749">
        <f>RAND()</f>
        <v/>
      </c>
      <c r="AZ749">
        <f>RAND()</f>
        <v/>
      </c>
    </row>
    <row r="750">
      <c r="AK750" t="n">
        <v>737</v>
      </c>
      <c r="AL750">
        <f>IFERROR(IF(AU750&lt;($AM$6-$AL$6)/($AN$6-$AL$6),$AL$6+SQRT(AU750*($AN$6-$AL$6)*($AM$6-$AL$6)),$AN$6-SQRT((1-AU750)*($AN$6-$AL$6)*($AN$6-$AM$6))),$AM$6)</f>
        <v/>
      </c>
      <c r="AM750">
        <f>IFERROR(IF(AV750&lt;($AM$7-$AL$7)/($AN$7-$AL$7),$AL$7+SQRT(AV750*($AN$7-$AL$7)*($AM$7-$AL$7)),$AN$7-SQRT((1-AV750)*($AN$7-$AL$7)*($AN$7-$AM$7))),$AM$7)</f>
        <v/>
      </c>
      <c r="AN750">
        <f>IFERROR(IF(AW750&lt;($AM$8-$AL$8)/($AN$8-$AL$8),$AL$8+SQRT(AW750*($AN$8-$AL$8)*($AM$8-$AL$8)),$AN$8-SQRT((1-AW750)*($AN$8-$AL$8)*($AN$8-$AM$8))),$AM$8)</f>
        <v/>
      </c>
      <c r="AO750">
        <f>IFERROR(IF(AX750&lt;($AM$9-$AL$9)/($AN$9-$AL$9),$AL$9+SQRT(AX750*($AN$9-$AL$9)*($AM$9-$AL$9)),$AN$9-SQRT((1-AX750)*($AN$9-$AL$9)*($AN$9-$AM$9))),$AM$9)</f>
        <v/>
      </c>
      <c r="AP750">
        <f>IFERROR(IF(AY750&lt;($AM$10-$AL$10)/($AN$10-$AL$10),$AL$10+SQRT(AY750*($AN$10-$AL$10)*($AM$10-$AL$10)),$AN$10-SQRT((1-AY750)*($AN$10-$AL$10)*($AN$10-$AM$10))),$AM$10)</f>
        <v/>
      </c>
      <c r="AQ750">
        <f>IFERROR(IF(AZ750&lt;($AM$11-$AL$11)/($AN$11-$AL$11),$AL$11+SQRT(AZ750*($AN$11-$AL$11)*($AM$11-$AL$11)),$AN$11-SQRT((1-AZ750)*($AN$11-$AL$11)*($AN$11-$AM$11))),$AM$11)</f>
        <v/>
      </c>
      <c r="AR750">
        <f>SUMPRODUCT((B24:B31&lt;=$B$6)*(C24:C31*AM750+D24:D31*AO750*$B$8*AQ750)/(1+AL750/100)^B24:B31)+C32*AM750*AP750/(1+AL750/100)^$B$6</f>
        <v/>
      </c>
      <c r="AS750">
        <f>SUMPRODUCT((K24:K26&lt;=$B$6)*(L24:L26*AN750+M24:M26*AO750*$B$8*AQ750)/(1+AL750/100)^K24:K26)+L27*AN750*AP750/(1+AL750/100)^$B$6</f>
        <v/>
      </c>
      <c r="AT750">
        <f>AS750-AR750</f>
        <v/>
      </c>
      <c r="AU750">
        <f>RAND()</f>
        <v/>
      </c>
      <c r="AV750">
        <f>RAND()</f>
        <v/>
      </c>
      <c r="AW750">
        <f>RAND()</f>
        <v/>
      </c>
      <c r="AX750">
        <f>RAND()</f>
        <v/>
      </c>
      <c r="AY750">
        <f>RAND()</f>
        <v/>
      </c>
      <c r="AZ750">
        <f>RAND()</f>
        <v/>
      </c>
    </row>
    <row r="751">
      <c r="AK751" t="n">
        <v>738</v>
      </c>
      <c r="AL751">
        <f>IFERROR(IF(AU751&lt;($AM$6-$AL$6)/($AN$6-$AL$6),$AL$6+SQRT(AU751*($AN$6-$AL$6)*($AM$6-$AL$6)),$AN$6-SQRT((1-AU751)*($AN$6-$AL$6)*($AN$6-$AM$6))),$AM$6)</f>
        <v/>
      </c>
      <c r="AM751">
        <f>IFERROR(IF(AV751&lt;($AM$7-$AL$7)/($AN$7-$AL$7),$AL$7+SQRT(AV751*($AN$7-$AL$7)*($AM$7-$AL$7)),$AN$7-SQRT((1-AV751)*($AN$7-$AL$7)*($AN$7-$AM$7))),$AM$7)</f>
        <v/>
      </c>
      <c r="AN751">
        <f>IFERROR(IF(AW751&lt;($AM$8-$AL$8)/($AN$8-$AL$8),$AL$8+SQRT(AW751*($AN$8-$AL$8)*($AM$8-$AL$8)),$AN$8-SQRT((1-AW751)*($AN$8-$AL$8)*($AN$8-$AM$8))),$AM$8)</f>
        <v/>
      </c>
      <c r="AO751">
        <f>IFERROR(IF(AX751&lt;($AM$9-$AL$9)/($AN$9-$AL$9),$AL$9+SQRT(AX751*($AN$9-$AL$9)*($AM$9-$AL$9)),$AN$9-SQRT((1-AX751)*($AN$9-$AL$9)*($AN$9-$AM$9))),$AM$9)</f>
        <v/>
      </c>
      <c r="AP751">
        <f>IFERROR(IF(AY751&lt;($AM$10-$AL$10)/($AN$10-$AL$10),$AL$10+SQRT(AY751*($AN$10-$AL$10)*($AM$10-$AL$10)),$AN$10-SQRT((1-AY751)*($AN$10-$AL$10)*($AN$10-$AM$10))),$AM$10)</f>
        <v/>
      </c>
      <c r="AQ751">
        <f>IFERROR(IF(AZ751&lt;($AM$11-$AL$11)/($AN$11-$AL$11),$AL$11+SQRT(AZ751*($AN$11-$AL$11)*($AM$11-$AL$11)),$AN$11-SQRT((1-AZ751)*($AN$11-$AL$11)*($AN$11-$AM$11))),$AM$11)</f>
        <v/>
      </c>
      <c r="AR751">
        <f>SUMPRODUCT((B24:B31&lt;=$B$6)*(C24:C31*AM751+D24:D31*AO751*$B$8*AQ751)/(1+AL751/100)^B24:B31)+C32*AM751*AP751/(1+AL751/100)^$B$6</f>
        <v/>
      </c>
      <c r="AS751">
        <f>SUMPRODUCT((K24:K26&lt;=$B$6)*(L24:L26*AN751+M24:M26*AO751*$B$8*AQ751)/(1+AL751/100)^K24:K26)+L27*AN751*AP751/(1+AL751/100)^$B$6</f>
        <v/>
      </c>
      <c r="AT751">
        <f>AS751-AR751</f>
        <v/>
      </c>
      <c r="AU751">
        <f>RAND()</f>
        <v/>
      </c>
      <c r="AV751">
        <f>RAND()</f>
        <v/>
      </c>
      <c r="AW751">
        <f>RAND()</f>
        <v/>
      </c>
      <c r="AX751">
        <f>RAND()</f>
        <v/>
      </c>
      <c r="AY751">
        <f>RAND()</f>
        <v/>
      </c>
      <c r="AZ751">
        <f>RAND()</f>
        <v/>
      </c>
    </row>
    <row r="752">
      <c r="AK752" t="n">
        <v>739</v>
      </c>
      <c r="AL752">
        <f>IFERROR(IF(AU752&lt;($AM$6-$AL$6)/($AN$6-$AL$6),$AL$6+SQRT(AU752*($AN$6-$AL$6)*($AM$6-$AL$6)),$AN$6-SQRT((1-AU752)*($AN$6-$AL$6)*($AN$6-$AM$6))),$AM$6)</f>
        <v/>
      </c>
      <c r="AM752">
        <f>IFERROR(IF(AV752&lt;($AM$7-$AL$7)/($AN$7-$AL$7),$AL$7+SQRT(AV752*($AN$7-$AL$7)*($AM$7-$AL$7)),$AN$7-SQRT((1-AV752)*($AN$7-$AL$7)*($AN$7-$AM$7))),$AM$7)</f>
        <v/>
      </c>
      <c r="AN752">
        <f>IFERROR(IF(AW752&lt;($AM$8-$AL$8)/($AN$8-$AL$8),$AL$8+SQRT(AW752*($AN$8-$AL$8)*($AM$8-$AL$8)),$AN$8-SQRT((1-AW752)*($AN$8-$AL$8)*($AN$8-$AM$8))),$AM$8)</f>
        <v/>
      </c>
      <c r="AO752">
        <f>IFERROR(IF(AX752&lt;($AM$9-$AL$9)/($AN$9-$AL$9),$AL$9+SQRT(AX752*($AN$9-$AL$9)*($AM$9-$AL$9)),$AN$9-SQRT((1-AX752)*($AN$9-$AL$9)*($AN$9-$AM$9))),$AM$9)</f>
        <v/>
      </c>
      <c r="AP752">
        <f>IFERROR(IF(AY752&lt;($AM$10-$AL$10)/($AN$10-$AL$10),$AL$10+SQRT(AY752*($AN$10-$AL$10)*($AM$10-$AL$10)),$AN$10-SQRT((1-AY752)*($AN$10-$AL$10)*($AN$10-$AM$10))),$AM$10)</f>
        <v/>
      </c>
      <c r="AQ752">
        <f>IFERROR(IF(AZ752&lt;($AM$11-$AL$11)/($AN$11-$AL$11),$AL$11+SQRT(AZ752*($AN$11-$AL$11)*($AM$11-$AL$11)),$AN$11-SQRT((1-AZ752)*($AN$11-$AL$11)*($AN$11-$AM$11))),$AM$11)</f>
        <v/>
      </c>
      <c r="AR752">
        <f>SUMPRODUCT((B24:B31&lt;=$B$6)*(C24:C31*AM752+D24:D31*AO752*$B$8*AQ752)/(1+AL752/100)^B24:B31)+C32*AM752*AP752/(1+AL752/100)^$B$6</f>
        <v/>
      </c>
      <c r="AS752">
        <f>SUMPRODUCT((K24:K26&lt;=$B$6)*(L24:L26*AN752+M24:M26*AO752*$B$8*AQ752)/(1+AL752/100)^K24:K26)+L27*AN752*AP752/(1+AL752/100)^$B$6</f>
        <v/>
      </c>
      <c r="AT752">
        <f>AS752-AR752</f>
        <v/>
      </c>
      <c r="AU752">
        <f>RAND()</f>
        <v/>
      </c>
      <c r="AV752">
        <f>RAND()</f>
        <v/>
      </c>
      <c r="AW752">
        <f>RAND()</f>
        <v/>
      </c>
      <c r="AX752">
        <f>RAND()</f>
        <v/>
      </c>
      <c r="AY752">
        <f>RAND()</f>
        <v/>
      </c>
      <c r="AZ752">
        <f>RAND()</f>
        <v/>
      </c>
    </row>
    <row r="753">
      <c r="AK753" t="n">
        <v>740</v>
      </c>
      <c r="AL753">
        <f>IFERROR(IF(AU753&lt;($AM$6-$AL$6)/($AN$6-$AL$6),$AL$6+SQRT(AU753*($AN$6-$AL$6)*($AM$6-$AL$6)),$AN$6-SQRT((1-AU753)*($AN$6-$AL$6)*($AN$6-$AM$6))),$AM$6)</f>
        <v/>
      </c>
      <c r="AM753">
        <f>IFERROR(IF(AV753&lt;($AM$7-$AL$7)/($AN$7-$AL$7),$AL$7+SQRT(AV753*($AN$7-$AL$7)*($AM$7-$AL$7)),$AN$7-SQRT((1-AV753)*($AN$7-$AL$7)*($AN$7-$AM$7))),$AM$7)</f>
        <v/>
      </c>
      <c r="AN753">
        <f>IFERROR(IF(AW753&lt;($AM$8-$AL$8)/($AN$8-$AL$8),$AL$8+SQRT(AW753*($AN$8-$AL$8)*($AM$8-$AL$8)),$AN$8-SQRT((1-AW753)*($AN$8-$AL$8)*($AN$8-$AM$8))),$AM$8)</f>
        <v/>
      </c>
      <c r="AO753">
        <f>IFERROR(IF(AX753&lt;($AM$9-$AL$9)/($AN$9-$AL$9),$AL$9+SQRT(AX753*($AN$9-$AL$9)*($AM$9-$AL$9)),$AN$9-SQRT((1-AX753)*($AN$9-$AL$9)*($AN$9-$AM$9))),$AM$9)</f>
        <v/>
      </c>
      <c r="AP753">
        <f>IFERROR(IF(AY753&lt;($AM$10-$AL$10)/($AN$10-$AL$10),$AL$10+SQRT(AY753*($AN$10-$AL$10)*($AM$10-$AL$10)),$AN$10-SQRT((1-AY753)*($AN$10-$AL$10)*($AN$10-$AM$10))),$AM$10)</f>
        <v/>
      </c>
      <c r="AQ753">
        <f>IFERROR(IF(AZ753&lt;($AM$11-$AL$11)/($AN$11-$AL$11),$AL$11+SQRT(AZ753*($AN$11-$AL$11)*($AM$11-$AL$11)),$AN$11-SQRT((1-AZ753)*($AN$11-$AL$11)*($AN$11-$AM$11))),$AM$11)</f>
        <v/>
      </c>
      <c r="AR753">
        <f>SUMPRODUCT((B24:B31&lt;=$B$6)*(C24:C31*AM753+D24:D31*AO753*$B$8*AQ753)/(1+AL753/100)^B24:B31)+C32*AM753*AP753/(1+AL753/100)^$B$6</f>
        <v/>
      </c>
      <c r="AS753">
        <f>SUMPRODUCT((K24:K26&lt;=$B$6)*(L24:L26*AN753+M24:M26*AO753*$B$8*AQ753)/(1+AL753/100)^K24:K26)+L27*AN753*AP753/(1+AL753/100)^$B$6</f>
        <v/>
      </c>
      <c r="AT753">
        <f>AS753-AR753</f>
        <v/>
      </c>
      <c r="AU753">
        <f>RAND()</f>
        <v/>
      </c>
      <c r="AV753">
        <f>RAND()</f>
        <v/>
      </c>
      <c r="AW753">
        <f>RAND()</f>
        <v/>
      </c>
      <c r="AX753">
        <f>RAND()</f>
        <v/>
      </c>
      <c r="AY753">
        <f>RAND()</f>
        <v/>
      </c>
      <c r="AZ753">
        <f>RAND()</f>
        <v/>
      </c>
    </row>
    <row r="754">
      <c r="AK754" t="n">
        <v>741</v>
      </c>
      <c r="AL754">
        <f>IFERROR(IF(AU754&lt;($AM$6-$AL$6)/($AN$6-$AL$6),$AL$6+SQRT(AU754*($AN$6-$AL$6)*($AM$6-$AL$6)),$AN$6-SQRT((1-AU754)*($AN$6-$AL$6)*($AN$6-$AM$6))),$AM$6)</f>
        <v/>
      </c>
      <c r="AM754">
        <f>IFERROR(IF(AV754&lt;($AM$7-$AL$7)/($AN$7-$AL$7),$AL$7+SQRT(AV754*($AN$7-$AL$7)*($AM$7-$AL$7)),$AN$7-SQRT((1-AV754)*($AN$7-$AL$7)*($AN$7-$AM$7))),$AM$7)</f>
        <v/>
      </c>
      <c r="AN754">
        <f>IFERROR(IF(AW754&lt;($AM$8-$AL$8)/($AN$8-$AL$8),$AL$8+SQRT(AW754*($AN$8-$AL$8)*($AM$8-$AL$8)),$AN$8-SQRT((1-AW754)*($AN$8-$AL$8)*($AN$8-$AM$8))),$AM$8)</f>
        <v/>
      </c>
      <c r="AO754">
        <f>IFERROR(IF(AX754&lt;($AM$9-$AL$9)/($AN$9-$AL$9),$AL$9+SQRT(AX754*($AN$9-$AL$9)*($AM$9-$AL$9)),$AN$9-SQRT((1-AX754)*($AN$9-$AL$9)*($AN$9-$AM$9))),$AM$9)</f>
        <v/>
      </c>
      <c r="AP754">
        <f>IFERROR(IF(AY754&lt;($AM$10-$AL$10)/($AN$10-$AL$10),$AL$10+SQRT(AY754*($AN$10-$AL$10)*($AM$10-$AL$10)),$AN$10-SQRT((1-AY754)*($AN$10-$AL$10)*($AN$10-$AM$10))),$AM$10)</f>
        <v/>
      </c>
      <c r="AQ754">
        <f>IFERROR(IF(AZ754&lt;($AM$11-$AL$11)/($AN$11-$AL$11),$AL$11+SQRT(AZ754*($AN$11-$AL$11)*($AM$11-$AL$11)),$AN$11-SQRT((1-AZ754)*($AN$11-$AL$11)*($AN$11-$AM$11))),$AM$11)</f>
        <v/>
      </c>
      <c r="AR754">
        <f>SUMPRODUCT((B24:B31&lt;=$B$6)*(C24:C31*AM754+D24:D31*AO754*$B$8*AQ754)/(1+AL754/100)^B24:B31)+C32*AM754*AP754/(1+AL754/100)^$B$6</f>
        <v/>
      </c>
      <c r="AS754">
        <f>SUMPRODUCT((K24:K26&lt;=$B$6)*(L24:L26*AN754+M24:M26*AO754*$B$8*AQ754)/(1+AL754/100)^K24:K26)+L27*AN754*AP754/(1+AL754/100)^$B$6</f>
        <v/>
      </c>
      <c r="AT754">
        <f>AS754-AR754</f>
        <v/>
      </c>
      <c r="AU754">
        <f>RAND()</f>
        <v/>
      </c>
      <c r="AV754">
        <f>RAND()</f>
        <v/>
      </c>
      <c r="AW754">
        <f>RAND()</f>
        <v/>
      </c>
      <c r="AX754">
        <f>RAND()</f>
        <v/>
      </c>
      <c r="AY754">
        <f>RAND()</f>
        <v/>
      </c>
      <c r="AZ754">
        <f>RAND()</f>
        <v/>
      </c>
    </row>
    <row r="755">
      <c r="AK755" t="n">
        <v>742</v>
      </c>
      <c r="AL755">
        <f>IFERROR(IF(AU755&lt;($AM$6-$AL$6)/($AN$6-$AL$6),$AL$6+SQRT(AU755*($AN$6-$AL$6)*($AM$6-$AL$6)),$AN$6-SQRT((1-AU755)*($AN$6-$AL$6)*($AN$6-$AM$6))),$AM$6)</f>
        <v/>
      </c>
      <c r="AM755">
        <f>IFERROR(IF(AV755&lt;($AM$7-$AL$7)/($AN$7-$AL$7),$AL$7+SQRT(AV755*($AN$7-$AL$7)*($AM$7-$AL$7)),$AN$7-SQRT((1-AV755)*($AN$7-$AL$7)*($AN$7-$AM$7))),$AM$7)</f>
        <v/>
      </c>
      <c r="AN755">
        <f>IFERROR(IF(AW755&lt;($AM$8-$AL$8)/($AN$8-$AL$8),$AL$8+SQRT(AW755*($AN$8-$AL$8)*($AM$8-$AL$8)),$AN$8-SQRT((1-AW755)*($AN$8-$AL$8)*($AN$8-$AM$8))),$AM$8)</f>
        <v/>
      </c>
      <c r="AO755">
        <f>IFERROR(IF(AX755&lt;($AM$9-$AL$9)/($AN$9-$AL$9),$AL$9+SQRT(AX755*($AN$9-$AL$9)*($AM$9-$AL$9)),$AN$9-SQRT((1-AX755)*($AN$9-$AL$9)*($AN$9-$AM$9))),$AM$9)</f>
        <v/>
      </c>
      <c r="AP755">
        <f>IFERROR(IF(AY755&lt;($AM$10-$AL$10)/($AN$10-$AL$10),$AL$10+SQRT(AY755*($AN$10-$AL$10)*($AM$10-$AL$10)),$AN$10-SQRT((1-AY755)*($AN$10-$AL$10)*($AN$10-$AM$10))),$AM$10)</f>
        <v/>
      </c>
      <c r="AQ755">
        <f>IFERROR(IF(AZ755&lt;($AM$11-$AL$11)/($AN$11-$AL$11),$AL$11+SQRT(AZ755*($AN$11-$AL$11)*($AM$11-$AL$11)),$AN$11-SQRT((1-AZ755)*($AN$11-$AL$11)*($AN$11-$AM$11))),$AM$11)</f>
        <v/>
      </c>
      <c r="AR755">
        <f>SUMPRODUCT((B24:B31&lt;=$B$6)*(C24:C31*AM755+D24:D31*AO755*$B$8*AQ755)/(1+AL755/100)^B24:B31)+C32*AM755*AP755/(1+AL755/100)^$B$6</f>
        <v/>
      </c>
      <c r="AS755">
        <f>SUMPRODUCT((K24:K26&lt;=$B$6)*(L24:L26*AN755+M24:M26*AO755*$B$8*AQ755)/(1+AL755/100)^K24:K26)+L27*AN755*AP755/(1+AL755/100)^$B$6</f>
        <v/>
      </c>
      <c r="AT755">
        <f>AS755-AR755</f>
        <v/>
      </c>
      <c r="AU755">
        <f>RAND()</f>
        <v/>
      </c>
      <c r="AV755">
        <f>RAND()</f>
        <v/>
      </c>
      <c r="AW755">
        <f>RAND()</f>
        <v/>
      </c>
      <c r="AX755">
        <f>RAND()</f>
        <v/>
      </c>
      <c r="AY755">
        <f>RAND()</f>
        <v/>
      </c>
      <c r="AZ755">
        <f>RAND()</f>
        <v/>
      </c>
    </row>
    <row r="756">
      <c r="AK756" t="n">
        <v>743</v>
      </c>
      <c r="AL756">
        <f>IFERROR(IF(AU756&lt;($AM$6-$AL$6)/($AN$6-$AL$6),$AL$6+SQRT(AU756*($AN$6-$AL$6)*($AM$6-$AL$6)),$AN$6-SQRT((1-AU756)*($AN$6-$AL$6)*($AN$6-$AM$6))),$AM$6)</f>
        <v/>
      </c>
      <c r="AM756">
        <f>IFERROR(IF(AV756&lt;($AM$7-$AL$7)/($AN$7-$AL$7),$AL$7+SQRT(AV756*($AN$7-$AL$7)*($AM$7-$AL$7)),$AN$7-SQRT((1-AV756)*($AN$7-$AL$7)*($AN$7-$AM$7))),$AM$7)</f>
        <v/>
      </c>
      <c r="AN756">
        <f>IFERROR(IF(AW756&lt;($AM$8-$AL$8)/($AN$8-$AL$8),$AL$8+SQRT(AW756*($AN$8-$AL$8)*($AM$8-$AL$8)),$AN$8-SQRT((1-AW756)*($AN$8-$AL$8)*($AN$8-$AM$8))),$AM$8)</f>
        <v/>
      </c>
      <c r="AO756">
        <f>IFERROR(IF(AX756&lt;($AM$9-$AL$9)/($AN$9-$AL$9),$AL$9+SQRT(AX756*($AN$9-$AL$9)*($AM$9-$AL$9)),$AN$9-SQRT((1-AX756)*($AN$9-$AL$9)*($AN$9-$AM$9))),$AM$9)</f>
        <v/>
      </c>
      <c r="AP756">
        <f>IFERROR(IF(AY756&lt;($AM$10-$AL$10)/($AN$10-$AL$10),$AL$10+SQRT(AY756*($AN$10-$AL$10)*($AM$10-$AL$10)),$AN$10-SQRT((1-AY756)*($AN$10-$AL$10)*($AN$10-$AM$10))),$AM$10)</f>
        <v/>
      </c>
      <c r="AQ756">
        <f>IFERROR(IF(AZ756&lt;($AM$11-$AL$11)/($AN$11-$AL$11),$AL$11+SQRT(AZ756*($AN$11-$AL$11)*($AM$11-$AL$11)),$AN$11-SQRT((1-AZ756)*($AN$11-$AL$11)*($AN$11-$AM$11))),$AM$11)</f>
        <v/>
      </c>
      <c r="AR756">
        <f>SUMPRODUCT((B24:B31&lt;=$B$6)*(C24:C31*AM756+D24:D31*AO756*$B$8*AQ756)/(1+AL756/100)^B24:B31)+C32*AM756*AP756/(1+AL756/100)^$B$6</f>
        <v/>
      </c>
      <c r="AS756">
        <f>SUMPRODUCT((K24:K26&lt;=$B$6)*(L24:L26*AN756+M24:M26*AO756*$B$8*AQ756)/(1+AL756/100)^K24:K26)+L27*AN756*AP756/(1+AL756/100)^$B$6</f>
        <v/>
      </c>
      <c r="AT756">
        <f>AS756-AR756</f>
        <v/>
      </c>
      <c r="AU756">
        <f>RAND()</f>
        <v/>
      </c>
      <c r="AV756">
        <f>RAND()</f>
        <v/>
      </c>
      <c r="AW756">
        <f>RAND()</f>
        <v/>
      </c>
      <c r="AX756">
        <f>RAND()</f>
        <v/>
      </c>
      <c r="AY756">
        <f>RAND()</f>
        <v/>
      </c>
      <c r="AZ756">
        <f>RAND()</f>
        <v/>
      </c>
    </row>
    <row r="757">
      <c r="AK757" t="n">
        <v>744</v>
      </c>
      <c r="AL757">
        <f>IFERROR(IF(AU757&lt;($AM$6-$AL$6)/($AN$6-$AL$6),$AL$6+SQRT(AU757*($AN$6-$AL$6)*($AM$6-$AL$6)),$AN$6-SQRT((1-AU757)*($AN$6-$AL$6)*($AN$6-$AM$6))),$AM$6)</f>
        <v/>
      </c>
      <c r="AM757">
        <f>IFERROR(IF(AV757&lt;($AM$7-$AL$7)/($AN$7-$AL$7),$AL$7+SQRT(AV757*($AN$7-$AL$7)*($AM$7-$AL$7)),$AN$7-SQRT((1-AV757)*($AN$7-$AL$7)*($AN$7-$AM$7))),$AM$7)</f>
        <v/>
      </c>
      <c r="AN757">
        <f>IFERROR(IF(AW757&lt;($AM$8-$AL$8)/($AN$8-$AL$8),$AL$8+SQRT(AW757*($AN$8-$AL$8)*($AM$8-$AL$8)),$AN$8-SQRT((1-AW757)*($AN$8-$AL$8)*($AN$8-$AM$8))),$AM$8)</f>
        <v/>
      </c>
      <c r="AO757">
        <f>IFERROR(IF(AX757&lt;($AM$9-$AL$9)/($AN$9-$AL$9),$AL$9+SQRT(AX757*($AN$9-$AL$9)*($AM$9-$AL$9)),$AN$9-SQRT((1-AX757)*($AN$9-$AL$9)*($AN$9-$AM$9))),$AM$9)</f>
        <v/>
      </c>
      <c r="AP757">
        <f>IFERROR(IF(AY757&lt;($AM$10-$AL$10)/($AN$10-$AL$10),$AL$10+SQRT(AY757*($AN$10-$AL$10)*($AM$10-$AL$10)),$AN$10-SQRT((1-AY757)*($AN$10-$AL$10)*($AN$10-$AM$10))),$AM$10)</f>
        <v/>
      </c>
      <c r="AQ757">
        <f>IFERROR(IF(AZ757&lt;($AM$11-$AL$11)/($AN$11-$AL$11),$AL$11+SQRT(AZ757*($AN$11-$AL$11)*($AM$11-$AL$11)),$AN$11-SQRT((1-AZ757)*($AN$11-$AL$11)*($AN$11-$AM$11))),$AM$11)</f>
        <v/>
      </c>
      <c r="AR757">
        <f>SUMPRODUCT((B24:B31&lt;=$B$6)*(C24:C31*AM757+D24:D31*AO757*$B$8*AQ757)/(1+AL757/100)^B24:B31)+C32*AM757*AP757/(1+AL757/100)^$B$6</f>
        <v/>
      </c>
      <c r="AS757">
        <f>SUMPRODUCT((K24:K26&lt;=$B$6)*(L24:L26*AN757+M24:M26*AO757*$B$8*AQ757)/(1+AL757/100)^K24:K26)+L27*AN757*AP757/(1+AL757/100)^$B$6</f>
        <v/>
      </c>
      <c r="AT757">
        <f>AS757-AR757</f>
        <v/>
      </c>
      <c r="AU757">
        <f>RAND()</f>
        <v/>
      </c>
      <c r="AV757">
        <f>RAND()</f>
        <v/>
      </c>
      <c r="AW757">
        <f>RAND()</f>
        <v/>
      </c>
      <c r="AX757">
        <f>RAND()</f>
        <v/>
      </c>
      <c r="AY757">
        <f>RAND()</f>
        <v/>
      </c>
      <c r="AZ757">
        <f>RAND()</f>
        <v/>
      </c>
    </row>
    <row r="758">
      <c r="AK758" t="n">
        <v>745</v>
      </c>
      <c r="AL758">
        <f>IFERROR(IF(AU758&lt;($AM$6-$AL$6)/($AN$6-$AL$6),$AL$6+SQRT(AU758*($AN$6-$AL$6)*($AM$6-$AL$6)),$AN$6-SQRT((1-AU758)*($AN$6-$AL$6)*($AN$6-$AM$6))),$AM$6)</f>
        <v/>
      </c>
      <c r="AM758">
        <f>IFERROR(IF(AV758&lt;($AM$7-$AL$7)/($AN$7-$AL$7),$AL$7+SQRT(AV758*($AN$7-$AL$7)*($AM$7-$AL$7)),$AN$7-SQRT((1-AV758)*($AN$7-$AL$7)*($AN$7-$AM$7))),$AM$7)</f>
        <v/>
      </c>
      <c r="AN758">
        <f>IFERROR(IF(AW758&lt;($AM$8-$AL$8)/($AN$8-$AL$8),$AL$8+SQRT(AW758*($AN$8-$AL$8)*($AM$8-$AL$8)),$AN$8-SQRT((1-AW758)*($AN$8-$AL$8)*($AN$8-$AM$8))),$AM$8)</f>
        <v/>
      </c>
      <c r="AO758">
        <f>IFERROR(IF(AX758&lt;($AM$9-$AL$9)/($AN$9-$AL$9),$AL$9+SQRT(AX758*($AN$9-$AL$9)*($AM$9-$AL$9)),$AN$9-SQRT((1-AX758)*($AN$9-$AL$9)*($AN$9-$AM$9))),$AM$9)</f>
        <v/>
      </c>
      <c r="AP758">
        <f>IFERROR(IF(AY758&lt;($AM$10-$AL$10)/($AN$10-$AL$10),$AL$10+SQRT(AY758*($AN$10-$AL$10)*($AM$10-$AL$10)),$AN$10-SQRT((1-AY758)*($AN$10-$AL$10)*($AN$10-$AM$10))),$AM$10)</f>
        <v/>
      </c>
      <c r="AQ758">
        <f>IFERROR(IF(AZ758&lt;($AM$11-$AL$11)/($AN$11-$AL$11),$AL$11+SQRT(AZ758*($AN$11-$AL$11)*($AM$11-$AL$11)),$AN$11-SQRT((1-AZ758)*($AN$11-$AL$11)*($AN$11-$AM$11))),$AM$11)</f>
        <v/>
      </c>
      <c r="AR758">
        <f>SUMPRODUCT((B24:B31&lt;=$B$6)*(C24:C31*AM758+D24:D31*AO758*$B$8*AQ758)/(1+AL758/100)^B24:B31)+C32*AM758*AP758/(1+AL758/100)^$B$6</f>
        <v/>
      </c>
      <c r="AS758">
        <f>SUMPRODUCT((K24:K26&lt;=$B$6)*(L24:L26*AN758+M24:M26*AO758*$B$8*AQ758)/(1+AL758/100)^K24:K26)+L27*AN758*AP758/(1+AL758/100)^$B$6</f>
        <v/>
      </c>
      <c r="AT758">
        <f>AS758-AR758</f>
        <v/>
      </c>
      <c r="AU758">
        <f>RAND()</f>
        <v/>
      </c>
      <c r="AV758">
        <f>RAND()</f>
        <v/>
      </c>
      <c r="AW758">
        <f>RAND()</f>
        <v/>
      </c>
      <c r="AX758">
        <f>RAND()</f>
        <v/>
      </c>
      <c r="AY758">
        <f>RAND()</f>
        <v/>
      </c>
      <c r="AZ758">
        <f>RAND()</f>
        <v/>
      </c>
    </row>
    <row r="759">
      <c r="AK759" t="n">
        <v>746</v>
      </c>
      <c r="AL759">
        <f>IFERROR(IF(AU759&lt;($AM$6-$AL$6)/($AN$6-$AL$6),$AL$6+SQRT(AU759*($AN$6-$AL$6)*($AM$6-$AL$6)),$AN$6-SQRT((1-AU759)*($AN$6-$AL$6)*($AN$6-$AM$6))),$AM$6)</f>
        <v/>
      </c>
      <c r="AM759">
        <f>IFERROR(IF(AV759&lt;($AM$7-$AL$7)/($AN$7-$AL$7),$AL$7+SQRT(AV759*($AN$7-$AL$7)*($AM$7-$AL$7)),$AN$7-SQRT((1-AV759)*($AN$7-$AL$7)*($AN$7-$AM$7))),$AM$7)</f>
        <v/>
      </c>
      <c r="AN759">
        <f>IFERROR(IF(AW759&lt;($AM$8-$AL$8)/($AN$8-$AL$8),$AL$8+SQRT(AW759*($AN$8-$AL$8)*($AM$8-$AL$8)),$AN$8-SQRT((1-AW759)*($AN$8-$AL$8)*($AN$8-$AM$8))),$AM$8)</f>
        <v/>
      </c>
      <c r="AO759">
        <f>IFERROR(IF(AX759&lt;($AM$9-$AL$9)/($AN$9-$AL$9),$AL$9+SQRT(AX759*($AN$9-$AL$9)*($AM$9-$AL$9)),$AN$9-SQRT((1-AX759)*($AN$9-$AL$9)*($AN$9-$AM$9))),$AM$9)</f>
        <v/>
      </c>
      <c r="AP759">
        <f>IFERROR(IF(AY759&lt;($AM$10-$AL$10)/($AN$10-$AL$10),$AL$10+SQRT(AY759*($AN$10-$AL$10)*($AM$10-$AL$10)),$AN$10-SQRT((1-AY759)*($AN$10-$AL$10)*($AN$10-$AM$10))),$AM$10)</f>
        <v/>
      </c>
      <c r="AQ759">
        <f>IFERROR(IF(AZ759&lt;($AM$11-$AL$11)/($AN$11-$AL$11),$AL$11+SQRT(AZ759*($AN$11-$AL$11)*($AM$11-$AL$11)),$AN$11-SQRT((1-AZ759)*($AN$11-$AL$11)*($AN$11-$AM$11))),$AM$11)</f>
        <v/>
      </c>
      <c r="AR759">
        <f>SUMPRODUCT((B24:B31&lt;=$B$6)*(C24:C31*AM759+D24:D31*AO759*$B$8*AQ759)/(1+AL759/100)^B24:B31)+C32*AM759*AP759/(1+AL759/100)^$B$6</f>
        <v/>
      </c>
      <c r="AS759">
        <f>SUMPRODUCT((K24:K26&lt;=$B$6)*(L24:L26*AN759+M24:M26*AO759*$B$8*AQ759)/(1+AL759/100)^K24:K26)+L27*AN759*AP759/(1+AL759/100)^$B$6</f>
        <v/>
      </c>
      <c r="AT759">
        <f>AS759-AR759</f>
        <v/>
      </c>
      <c r="AU759">
        <f>RAND()</f>
        <v/>
      </c>
      <c r="AV759">
        <f>RAND()</f>
        <v/>
      </c>
      <c r="AW759">
        <f>RAND()</f>
        <v/>
      </c>
      <c r="AX759">
        <f>RAND()</f>
        <v/>
      </c>
      <c r="AY759">
        <f>RAND()</f>
        <v/>
      </c>
      <c r="AZ759">
        <f>RAND()</f>
        <v/>
      </c>
    </row>
    <row r="760">
      <c r="AK760" t="n">
        <v>747</v>
      </c>
      <c r="AL760">
        <f>IFERROR(IF(AU760&lt;($AM$6-$AL$6)/($AN$6-$AL$6),$AL$6+SQRT(AU760*($AN$6-$AL$6)*($AM$6-$AL$6)),$AN$6-SQRT((1-AU760)*($AN$6-$AL$6)*($AN$6-$AM$6))),$AM$6)</f>
        <v/>
      </c>
      <c r="AM760">
        <f>IFERROR(IF(AV760&lt;($AM$7-$AL$7)/($AN$7-$AL$7),$AL$7+SQRT(AV760*($AN$7-$AL$7)*($AM$7-$AL$7)),$AN$7-SQRT((1-AV760)*($AN$7-$AL$7)*($AN$7-$AM$7))),$AM$7)</f>
        <v/>
      </c>
      <c r="AN760">
        <f>IFERROR(IF(AW760&lt;($AM$8-$AL$8)/($AN$8-$AL$8),$AL$8+SQRT(AW760*($AN$8-$AL$8)*($AM$8-$AL$8)),$AN$8-SQRT((1-AW760)*($AN$8-$AL$8)*($AN$8-$AM$8))),$AM$8)</f>
        <v/>
      </c>
      <c r="AO760">
        <f>IFERROR(IF(AX760&lt;($AM$9-$AL$9)/($AN$9-$AL$9),$AL$9+SQRT(AX760*($AN$9-$AL$9)*($AM$9-$AL$9)),$AN$9-SQRT((1-AX760)*($AN$9-$AL$9)*($AN$9-$AM$9))),$AM$9)</f>
        <v/>
      </c>
      <c r="AP760">
        <f>IFERROR(IF(AY760&lt;($AM$10-$AL$10)/($AN$10-$AL$10),$AL$10+SQRT(AY760*($AN$10-$AL$10)*($AM$10-$AL$10)),$AN$10-SQRT((1-AY760)*($AN$10-$AL$10)*($AN$10-$AM$10))),$AM$10)</f>
        <v/>
      </c>
      <c r="AQ760">
        <f>IFERROR(IF(AZ760&lt;($AM$11-$AL$11)/($AN$11-$AL$11),$AL$11+SQRT(AZ760*($AN$11-$AL$11)*($AM$11-$AL$11)),$AN$11-SQRT((1-AZ760)*($AN$11-$AL$11)*($AN$11-$AM$11))),$AM$11)</f>
        <v/>
      </c>
      <c r="AR760">
        <f>SUMPRODUCT((B24:B31&lt;=$B$6)*(C24:C31*AM760+D24:D31*AO760*$B$8*AQ760)/(1+AL760/100)^B24:B31)+C32*AM760*AP760/(1+AL760/100)^$B$6</f>
        <v/>
      </c>
      <c r="AS760">
        <f>SUMPRODUCT((K24:K26&lt;=$B$6)*(L24:L26*AN760+M24:M26*AO760*$B$8*AQ760)/(1+AL760/100)^K24:K26)+L27*AN760*AP760/(1+AL760/100)^$B$6</f>
        <v/>
      </c>
      <c r="AT760">
        <f>AS760-AR760</f>
        <v/>
      </c>
      <c r="AU760">
        <f>RAND()</f>
        <v/>
      </c>
      <c r="AV760">
        <f>RAND()</f>
        <v/>
      </c>
      <c r="AW760">
        <f>RAND()</f>
        <v/>
      </c>
      <c r="AX760">
        <f>RAND()</f>
        <v/>
      </c>
      <c r="AY760">
        <f>RAND()</f>
        <v/>
      </c>
      <c r="AZ760">
        <f>RAND()</f>
        <v/>
      </c>
    </row>
    <row r="761">
      <c r="AK761" t="n">
        <v>748</v>
      </c>
      <c r="AL761">
        <f>IFERROR(IF(AU761&lt;($AM$6-$AL$6)/($AN$6-$AL$6),$AL$6+SQRT(AU761*($AN$6-$AL$6)*($AM$6-$AL$6)),$AN$6-SQRT((1-AU761)*($AN$6-$AL$6)*($AN$6-$AM$6))),$AM$6)</f>
        <v/>
      </c>
      <c r="AM761">
        <f>IFERROR(IF(AV761&lt;($AM$7-$AL$7)/($AN$7-$AL$7),$AL$7+SQRT(AV761*($AN$7-$AL$7)*($AM$7-$AL$7)),$AN$7-SQRT((1-AV761)*($AN$7-$AL$7)*($AN$7-$AM$7))),$AM$7)</f>
        <v/>
      </c>
      <c r="AN761">
        <f>IFERROR(IF(AW761&lt;($AM$8-$AL$8)/($AN$8-$AL$8),$AL$8+SQRT(AW761*($AN$8-$AL$8)*($AM$8-$AL$8)),$AN$8-SQRT((1-AW761)*($AN$8-$AL$8)*($AN$8-$AM$8))),$AM$8)</f>
        <v/>
      </c>
      <c r="AO761">
        <f>IFERROR(IF(AX761&lt;($AM$9-$AL$9)/($AN$9-$AL$9),$AL$9+SQRT(AX761*($AN$9-$AL$9)*($AM$9-$AL$9)),$AN$9-SQRT((1-AX761)*($AN$9-$AL$9)*($AN$9-$AM$9))),$AM$9)</f>
        <v/>
      </c>
      <c r="AP761">
        <f>IFERROR(IF(AY761&lt;($AM$10-$AL$10)/($AN$10-$AL$10),$AL$10+SQRT(AY761*($AN$10-$AL$10)*($AM$10-$AL$10)),$AN$10-SQRT((1-AY761)*($AN$10-$AL$10)*($AN$10-$AM$10))),$AM$10)</f>
        <v/>
      </c>
      <c r="AQ761">
        <f>IFERROR(IF(AZ761&lt;($AM$11-$AL$11)/($AN$11-$AL$11),$AL$11+SQRT(AZ761*($AN$11-$AL$11)*($AM$11-$AL$11)),$AN$11-SQRT((1-AZ761)*($AN$11-$AL$11)*($AN$11-$AM$11))),$AM$11)</f>
        <v/>
      </c>
      <c r="AR761">
        <f>SUMPRODUCT((B24:B31&lt;=$B$6)*(C24:C31*AM761+D24:D31*AO761*$B$8*AQ761)/(1+AL761/100)^B24:B31)+C32*AM761*AP761/(1+AL761/100)^$B$6</f>
        <v/>
      </c>
      <c r="AS761">
        <f>SUMPRODUCT((K24:K26&lt;=$B$6)*(L24:L26*AN761+M24:M26*AO761*$B$8*AQ761)/(1+AL761/100)^K24:K26)+L27*AN761*AP761/(1+AL761/100)^$B$6</f>
        <v/>
      </c>
      <c r="AT761">
        <f>AS761-AR761</f>
        <v/>
      </c>
      <c r="AU761">
        <f>RAND()</f>
        <v/>
      </c>
      <c r="AV761">
        <f>RAND()</f>
        <v/>
      </c>
      <c r="AW761">
        <f>RAND()</f>
        <v/>
      </c>
      <c r="AX761">
        <f>RAND()</f>
        <v/>
      </c>
      <c r="AY761">
        <f>RAND()</f>
        <v/>
      </c>
      <c r="AZ761">
        <f>RAND()</f>
        <v/>
      </c>
    </row>
    <row r="762">
      <c r="AK762" t="n">
        <v>749</v>
      </c>
      <c r="AL762">
        <f>IFERROR(IF(AU762&lt;($AM$6-$AL$6)/($AN$6-$AL$6),$AL$6+SQRT(AU762*($AN$6-$AL$6)*($AM$6-$AL$6)),$AN$6-SQRT((1-AU762)*($AN$6-$AL$6)*($AN$6-$AM$6))),$AM$6)</f>
        <v/>
      </c>
      <c r="AM762">
        <f>IFERROR(IF(AV762&lt;($AM$7-$AL$7)/($AN$7-$AL$7),$AL$7+SQRT(AV762*($AN$7-$AL$7)*($AM$7-$AL$7)),$AN$7-SQRT((1-AV762)*($AN$7-$AL$7)*($AN$7-$AM$7))),$AM$7)</f>
        <v/>
      </c>
      <c r="AN762">
        <f>IFERROR(IF(AW762&lt;($AM$8-$AL$8)/($AN$8-$AL$8),$AL$8+SQRT(AW762*($AN$8-$AL$8)*($AM$8-$AL$8)),$AN$8-SQRT((1-AW762)*($AN$8-$AL$8)*($AN$8-$AM$8))),$AM$8)</f>
        <v/>
      </c>
      <c r="AO762">
        <f>IFERROR(IF(AX762&lt;($AM$9-$AL$9)/($AN$9-$AL$9),$AL$9+SQRT(AX762*($AN$9-$AL$9)*($AM$9-$AL$9)),$AN$9-SQRT((1-AX762)*($AN$9-$AL$9)*($AN$9-$AM$9))),$AM$9)</f>
        <v/>
      </c>
      <c r="AP762">
        <f>IFERROR(IF(AY762&lt;($AM$10-$AL$10)/($AN$10-$AL$10),$AL$10+SQRT(AY762*($AN$10-$AL$10)*($AM$10-$AL$10)),$AN$10-SQRT((1-AY762)*($AN$10-$AL$10)*($AN$10-$AM$10))),$AM$10)</f>
        <v/>
      </c>
      <c r="AQ762">
        <f>IFERROR(IF(AZ762&lt;($AM$11-$AL$11)/($AN$11-$AL$11),$AL$11+SQRT(AZ762*($AN$11-$AL$11)*($AM$11-$AL$11)),$AN$11-SQRT((1-AZ762)*($AN$11-$AL$11)*($AN$11-$AM$11))),$AM$11)</f>
        <v/>
      </c>
      <c r="AR762">
        <f>SUMPRODUCT((B24:B31&lt;=$B$6)*(C24:C31*AM762+D24:D31*AO762*$B$8*AQ762)/(1+AL762/100)^B24:B31)+C32*AM762*AP762/(1+AL762/100)^$B$6</f>
        <v/>
      </c>
      <c r="AS762">
        <f>SUMPRODUCT((K24:K26&lt;=$B$6)*(L24:L26*AN762+M24:M26*AO762*$B$8*AQ762)/(1+AL762/100)^K24:K26)+L27*AN762*AP762/(1+AL762/100)^$B$6</f>
        <v/>
      </c>
      <c r="AT762">
        <f>AS762-AR762</f>
        <v/>
      </c>
      <c r="AU762">
        <f>RAND()</f>
        <v/>
      </c>
      <c r="AV762">
        <f>RAND()</f>
        <v/>
      </c>
      <c r="AW762">
        <f>RAND()</f>
        <v/>
      </c>
      <c r="AX762">
        <f>RAND()</f>
        <v/>
      </c>
      <c r="AY762">
        <f>RAND()</f>
        <v/>
      </c>
      <c r="AZ762">
        <f>RAND()</f>
        <v/>
      </c>
    </row>
    <row r="763">
      <c r="AK763" t="n">
        <v>750</v>
      </c>
      <c r="AL763">
        <f>IFERROR(IF(AU763&lt;($AM$6-$AL$6)/($AN$6-$AL$6),$AL$6+SQRT(AU763*($AN$6-$AL$6)*($AM$6-$AL$6)),$AN$6-SQRT((1-AU763)*($AN$6-$AL$6)*($AN$6-$AM$6))),$AM$6)</f>
        <v/>
      </c>
      <c r="AM763">
        <f>IFERROR(IF(AV763&lt;($AM$7-$AL$7)/($AN$7-$AL$7),$AL$7+SQRT(AV763*($AN$7-$AL$7)*($AM$7-$AL$7)),$AN$7-SQRT((1-AV763)*($AN$7-$AL$7)*($AN$7-$AM$7))),$AM$7)</f>
        <v/>
      </c>
      <c r="AN763">
        <f>IFERROR(IF(AW763&lt;($AM$8-$AL$8)/($AN$8-$AL$8),$AL$8+SQRT(AW763*($AN$8-$AL$8)*($AM$8-$AL$8)),$AN$8-SQRT((1-AW763)*($AN$8-$AL$8)*($AN$8-$AM$8))),$AM$8)</f>
        <v/>
      </c>
      <c r="AO763">
        <f>IFERROR(IF(AX763&lt;($AM$9-$AL$9)/($AN$9-$AL$9),$AL$9+SQRT(AX763*($AN$9-$AL$9)*($AM$9-$AL$9)),$AN$9-SQRT((1-AX763)*($AN$9-$AL$9)*($AN$9-$AM$9))),$AM$9)</f>
        <v/>
      </c>
      <c r="AP763">
        <f>IFERROR(IF(AY763&lt;($AM$10-$AL$10)/($AN$10-$AL$10),$AL$10+SQRT(AY763*($AN$10-$AL$10)*($AM$10-$AL$10)),$AN$10-SQRT((1-AY763)*($AN$10-$AL$10)*($AN$10-$AM$10))),$AM$10)</f>
        <v/>
      </c>
      <c r="AQ763">
        <f>IFERROR(IF(AZ763&lt;($AM$11-$AL$11)/($AN$11-$AL$11),$AL$11+SQRT(AZ763*($AN$11-$AL$11)*($AM$11-$AL$11)),$AN$11-SQRT((1-AZ763)*($AN$11-$AL$11)*($AN$11-$AM$11))),$AM$11)</f>
        <v/>
      </c>
      <c r="AR763">
        <f>SUMPRODUCT((B24:B31&lt;=$B$6)*(C24:C31*AM763+D24:D31*AO763*$B$8*AQ763)/(1+AL763/100)^B24:B31)+C32*AM763*AP763/(1+AL763/100)^$B$6</f>
        <v/>
      </c>
      <c r="AS763">
        <f>SUMPRODUCT((K24:K26&lt;=$B$6)*(L24:L26*AN763+M24:M26*AO763*$B$8*AQ763)/(1+AL763/100)^K24:K26)+L27*AN763*AP763/(1+AL763/100)^$B$6</f>
        <v/>
      </c>
      <c r="AT763">
        <f>AS763-AR763</f>
        <v/>
      </c>
      <c r="AU763">
        <f>RAND()</f>
        <v/>
      </c>
      <c r="AV763">
        <f>RAND()</f>
        <v/>
      </c>
      <c r="AW763">
        <f>RAND()</f>
        <v/>
      </c>
      <c r="AX763">
        <f>RAND()</f>
        <v/>
      </c>
      <c r="AY763">
        <f>RAND()</f>
        <v/>
      </c>
      <c r="AZ763">
        <f>RAND()</f>
        <v/>
      </c>
    </row>
    <row r="764">
      <c r="AK764" t="n">
        <v>751</v>
      </c>
      <c r="AL764">
        <f>IFERROR(IF(AU764&lt;($AM$6-$AL$6)/($AN$6-$AL$6),$AL$6+SQRT(AU764*($AN$6-$AL$6)*($AM$6-$AL$6)),$AN$6-SQRT((1-AU764)*($AN$6-$AL$6)*($AN$6-$AM$6))),$AM$6)</f>
        <v/>
      </c>
      <c r="AM764">
        <f>IFERROR(IF(AV764&lt;($AM$7-$AL$7)/($AN$7-$AL$7),$AL$7+SQRT(AV764*($AN$7-$AL$7)*($AM$7-$AL$7)),$AN$7-SQRT((1-AV764)*($AN$7-$AL$7)*($AN$7-$AM$7))),$AM$7)</f>
        <v/>
      </c>
      <c r="AN764">
        <f>IFERROR(IF(AW764&lt;($AM$8-$AL$8)/($AN$8-$AL$8),$AL$8+SQRT(AW764*($AN$8-$AL$8)*($AM$8-$AL$8)),$AN$8-SQRT((1-AW764)*($AN$8-$AL$8)*($AN$8-$AM$8))),$AM$8)</f>
        <v/>
      </c>
      <c r="AO764">
        <f>IFERROR(IF(AX764&lt;($AM$9-$AL$9)/($AN$9-$AL$9),$AL$9+SQRT(AX764*($AN$9-$AL$9)*($AM$9-$AL$9)),$AN$9-SQRT((1-AX764)*($AN$9-$AL$9)*($AN$9-$AM$9))),$AM$9)</f>
        <v/>
      </c>
      <c r="AP764">
        <f>IFERROR(IF(AY764&lt;($AM$10-$AL$10)/($AN$10-$AL$10),$AL$10+SQRT(AY764*($AN$10-$AL$10)*($AM$10-$AL$10)),$AN$10-SQRT((1-AY764)*($AN$10-$AL$10)*($AN$10-$AM$10))),$AM$10)</f>
        <v/>
      </c>
      <c r="AQ764">
        <f>IFERROR(IF(AZ764&lt;($AM$11-$AL$11)/($AN$11-$AL$11),$AL$11+SQRT(AZ764*($AN$11-$AL$11)*($AM$11-$AL$11)),$AN$11-SQRT((1-AZ764)*($AN$11-$AL$11)*($AN$11-$AM$11))),$AM$11)</f>
        <v/>
      </c>
      <c r="AR764">
        <f>SUMPRODUCT((B24:B31&lt;=$B$6)*(C24:C31*AM764+D24:D31*AO764*$B$8*AQ764)/(1+AL764/100)^B24:B31)+C32*AM764*AP764/(1+AL764/100)^$B$6</f>
        <v/>
      </c>
      <c r="AS764">
        <f>SUMPRODUCT((K24:K26&lt;=$B$6)*(L24:L26*AN764+M24:M26*AO764*$B$8*AQ764)/(1+AL764/100)^K24:K26)+L27*AN764*AP764/(1+AL764/100)^$B$6</f>
        <v/>
      </c>
      <c r="AT764">
        <f>AS764-AR764</f>
        <v/>
      </c>
      <c r="AU764">
        <f>RAND()</f>
        <v/>
      </c>
      <c r="AV764">
        <f>RAND()</f>
        <v/>
      </c>
      <c r="AW764">
        <f>RAND()</f>
        <v/>
      </c>
      <c r="AX764">
        <f>RAND()</f>
        <v/>
      </c>
      <c r="AY764">
        <f>RAND()</f>
        <v/>
      </c>
      <c r="AZ764">
        <f>RAND()</f>
        <v/>
      </c>
    </row>
    <row r="765">
      <c r="AK765" t="n">
        <v>752</v>
      </c>
      <c r="AL765">
        <f>IFERROR(IF(AU765&lt;($AM$6-$AL$6)/($AN$6-$AL$6),$AL$6+SQRT(AU765*($AN$6-$AL$6)*($AM$6-$AL$6)),$AN$6-SQRT((1-AU765)*($AN$6-$AL$6)*($AN$6-$AM$6))),$AM$6)</f>
        <v/>
      </c>
      <c r="AM765">
        <f>IFERROR(IF(AV765&lt;($AM$7-$AL$7)/($AN$7-$AL$7),$AL$7+SQRT(AV765*($AN$7-$AL$7)*($AM$7-$AL$7)),$AN$7-SQRT((1-AV765)*($AN$7-$AL$7)*($AN$7-$AM$7))),$AM$7)</f>
        <v/>
      </c>
      <c r="AN765">
        <f>IFERROR(IF(AW765&lt;($AM$8-$AL$8)/($AN$8-$AL$8),$AL$8+SQRT(AW765*($AN$8-$AL$8)*($AM$8-$AL$8)),$AN$8-SQRT((1-AW765)*($AN$8-$AL$8)*($AN$8-$AM$8))),$AM$8)</f>
        <v/>
      </c>
      <c r="AO765">
        <f>IFERROR(IF(AX765&lt;($AM$9-$AL$9)/($AN$9-$AL$9),$AL$9+SQRT(AX765*($AN$9-$AL$9)*($AM$9-$AL$9)),$AN$9-SQRT((1-AX765)*($AN$9-$AL$9)*($AN$9-$AM$9))),$AM$9)</f>
        <v/>
      </c>
      <c r="AP765">
        <f>IFERROR(IF(AY765&lt;($AM$10-$AL$10)/($AN$10-$AL$10),$AL$10+SQRT(AY765*($AN$10-$AL$10)*($AM$10-$AL$10)),$AN$10-SQRT((1-AY765)*($AN$10-$AL$10)*($AN$10-$AM$10))),$AM$10)</f>
        <v/>
      </c>
      <c r="AQ765">
        <f>IFERROR(IF(AZ765&lt;($AM$11-$AL$11)/($AN$11-$AL$11),$AL$11+SQRT(AZ765*($AN$11-$AL$11)*($AM$11-$AL$11)),$AN$11-SQRT((1-AZ765)*($AN$11-$AL$11)*($AN$11-$AM$11))),$AM$11)</f>
        <v/>
      </c>
      <c r="AR765">
        <f>SUMPRODUCT((B24:B31&lt;=$B$6)*(C24:C31*AM765+D24:D31*AO765*$B$8*AQ765)/(1+AL765/100)^B24:B31)+C32*AM765*AP765/(1+AL765/100)^$B$6</f>
        <v/>
      </c>
      <c r="AS765">
        <f>SUMPRODUCT((K24:K26&lt;=$B$6)*(L24:L26*AN765+M24:M26*AO765*$B$8*AQ765)/(1+AL765/100)^K24:K26)+L27*AN765*AP765/(1+AL765/100)^$B$6</f>
        <v/>
      </c>
      <c r="AT765">
        <f>AS765-AR765</f>
        <v/>
      </c>
      <c r="AU765">
        <f>RAND()</f>
        <v/>
      </c>
      <c r="AV765">
        <f>RAND()</f>
        <v/>
      </c>
      <c r="AW765">
        <f>RAND()</f>
        <v/>
      </c>
      <c r="AX765">
        <f>RAND()</f>
        <v/>
      </c>
      <c r="AY765">
        <f>RAND()</f>
        <v/>
      </c>
      <c r="AZ765">
        <f>RAND()</f>
        <v/>
      </c>
    </row>
    <row r="766">
      <c r="AK766" t="n">
        <v>753</v>
      </c>
      <c r="AL766">
        <f>IFERROR(IF(AU766&lt;($AM$6-$AL$6)/($AN$6-$AL$6),$AL$6+SQRT(AU766*($AN$6-$AL$6)*($AM$6-$AL$6)),$AN$6-SQRT((1-AU766)*($AN$6-$AL$6)*($AN$6-$AM$6))),$AM$6)</f>
        <v/>
      </c>
      <c r="AM766">
        <f>IFERROR(IF(AV766&lt;($AM$7-$AL$7)/($AN$7-$AL$7),$AL$7+SQRT(AV766*($AN$7-$AL$7)*($AM$7-$AL$7)),$AN$7-SQRT((1-AV766)*($AN$7-$AL$7)*($AN$7-$AM$7))),$AM$7)</f>
        <v/>
      </c>
      <c r="AN766">
        <f>IFERROR(IF(AW766&lt;($AM$8-$AL$8)/($AN$8-$AL$8),$AL$8+SQRT(AW766*($AN$8-$AL$8)*($AM$8-$AL$8)),$AN$8-SQRT((1-AW766)*($AN$8-$AL$8)*($AN$8-$AM$8))),$AM$8)</f>
        <v/>
      </c>
      <c r="AO766">
        <f>IFERROR(IF(AX766&lt;($AM$9-$AL$9)/($AN$9-$AL$9),$AL$9+SQRT(AX766*($AN$9-$AL$9)*($AM$9-$AL$9)),$AN$9-SQRT((1-AX766)*($AN$9-$AL$9)*($AN$9-$AM$9))),$AM$9)</f>
        <v/>
      </c>
      <c r="AP766">
        <f>IFERROR(IF(AY766&lt;($AM$10-$AL$10)/($AN$10-$AL$10),$AL$10+SQRT(AY766*($AN$10-$AL$10)*($AM$10-$AL$10)),$AN$10-SQRT((1-AY766)*($AN$10-$AL$10)*($AN$10-$AM$10))),$AM$10)</f>
        <v/>
      </c>
      <c r="AQ766">
        <f>IFERROR(IF(AZ766&lt;($AM$11-$AL$11)/($AN$11-$AL$11),$AL$11+SQRT(AZ766*($AN$11-$AL$11)*($AM$11-$AL$11)),$AN$11-SQRT((1-AZ766)*($AN$11-$AL$11)*($AN$11-$AM$11))),$AM$11)</f>
        <v/>
      </c>
      <c r="AR766">
        <f>SUMPRODUCT((B24:B31&lt;=$B$6)*(C24:C31*AM766+D24:D31*AO766*$B$8*AQ766)/(1+AL766/100)^B24:B31)+C32*AM766*AP766/(1+AL766/100)^$B$6</f>
        <v/>
      </c>
      <c r="AS766">
        <f>SUMPRODUCT((K24:K26&lt;=$B$6)*(L24:L26*AN766+M24:M26*AO766*$B$8*AQ766)/(1+AL766/100)^K24:K26)+L27*AN766*AP766/(1+AL766/100)^$B$6</f>
        <v/>
      </c>
      <c r="AT766">
        <f>AS766-AR766</f>
        <v/>
      </c>
      <c r="AU766">
        <f>RAND()</f>
        <v/>
      </c>
      <c r="AV766">
        <f>RAND()</f>
        <v/>
      </c>
      <c r="AW766">
        <f>RAND()</f>
        <v/>
      </c>
      <c r="AX766">
        <f>RAND()</f>
        <v/>
      </c>
      <c r="AY766">
        <f>RAND()</f>
        <v/>
      </c>
      <c r="AZ766">
        <f>RAND()</f>
        <v/>
      </c>
    </row>
    <row r="767">
      <c r="AK767" t="n">
        <v>754</v>
      </c>
      <c r="AL767">
        <f>IFERROR(IF(AU767&lt;($AM$6-$AL$6)/($AN$6-$AL$6),$AL$6+SQRT(AU767*($AN$6-$AL$6)*($AM$6-$AL$6)),$AN$6-SQRT((1-AU767)*($AN$6-$AL$6)*($AN$6-$AM$6))),$AM$6)</f>
        <v/>
      </c>
      <c r="AM767">
        <f>IFERROR(IF(AV767&lt;($AM$7-$AL$7)/($AN$7-$AL$7),$AL$7+SQRT(AV767*($AN$7-$AL$7)*($AM$7-$AL$7)),$AN$7-SQRT((1-AV767)*($AN$7-$AL$7)*($AN$7-$AM$7))),$AM$7)</f>
        <v/>
      </c>
      <c r="AN767">
        <f>IFERROR(IF(AW767&lt;($AM$8-$AL$8)/($AN$8-$AL$8),$AL$8+SQRT(AW767*($AN$8-$AL$8)*($AM$8-$AL$8)),$AN$8-SQRT((1-AW767)*($AN$8-$AL$8)*($AN$8-$AM$8))),$AM$8)</f>
        <v/>
      </c>
      <c r="AO767">
        <f>IFERROR(IF(AX767&lt;($AM$9-$AL$9)/($AN$9-$AL$9),$AL$9+SQRT(AX767*($AN$9-$AL$9)*($AM$9-$AL$9)),$AN$9-SQRT((1-AX767)*($AN$9-$AL$9)*($AN$9-$AM$9))),$AM$9)</f>
        <v/>
      </c>
      <c r="AP767">
        <f>IFERROR(IF(AY767&lt;($AM$10-$AL$10)/($AN$10-$AL$10),$AL$10+SQRT(AY767*($AN$10-$AL$10)*($AM$10-$AL$10)),$AN$10-SQRT((1-AY767)*($AN$10-$AL$10)*($AN$10-$AM$10))),$AM$10)</f>
        <v/>
      </c>
      <c r="AQ767">
        <f>IFERROR(IF(AZ767&lt;($AM$11-$AL$11)/($AN$11-$AL$11),$AL$11+SQRT(AZ767*($AN$11-$AL$11)*($AM$11-$AL$11)),$AN$11-SQRT((1-AZ767)*($AN$11-$AL$11)*($AN$11-$AM$11))),$AM$11)</f>
        <v/>
      </c>
      <c r="AR767">
        <f>SUMPRODUCT((B24:B31&lt;=$B$6)*(C24:C31*AM767+D24:D31*AO767*$B$8*AQ767)/(1+AL767/100)^B24:B31)+C32*AM767*AP767/(1+AL767/100)^$B$6</f>
        <v/>
      </c>
      <c r="AS767">
        <f>SUMPRODUCT((K24:K26&lt;=$B$6)*(L24:L26*AN767+M24:M26*AO767*$B$8*AQ767)/(1+AL767/100)^K24:K26)+L27*AN767*AP767/(1+AL767/100)^$B$6</f>
        <v/>
      </c>
      <c r="AT767">
        <f>AS767-AR767</f>
        <v/>
      </c>
      <c r="AU767">
        <f>RAND()</f>
        <v/>
      </c>
      <c r="AV767">
        <f>RAND()</f>
        <v/>
      </c>
      <c r="AW767">
        <f>RAND()</f>
        <v/>
      </c>
      <c r="AX767">
        <f>RAND()</f>
        <v/>
      </c>
      <c r="AY767">
        <f>RAND()</f>
        <v/>
      </c>
      <c r="AZ767">
        <f>RAND()</f>
        <v/>
      </c>
    </row>
    <row r="768">
      <c r="AK768" t="n">
        <v>755</v>
      </c>
      <c r="AL768">
        <f>IFERROR(IF(AU768&lt;($AM$6-$AL$6)/($AN$6-$AL$6),$AL$6+SQRT(AU768*($AN$6-$AL$6)*($AM$6-$AL$6)),$AN$6-SQRT((1-AU768)*($AN$6-$AL$6)*($AN$6-$AM$6))),$AM$6)</f>
        <v/>
      </c>
      <c r="AM768">
        <f>IFERROR(IF(AV768&lt;($AM$7-$AL$7)/($AN$7-$AL$7),$AL$7+SQRT(AV768*($AN$7-$AL$7)*($AM$7-$AL$7)),$AN$7-SQRT((1-AV768)*($AN$7-$AL$7)*($AN$7-$AM$7))),$AM$7)</f>
        <v/>
      </c>
      <c r="AN768">
        <f>IFERROR(IF(AW768&lt;($AM$8-$AL$8)/($AN$8-$AL$8),$AL$8+SQRT(AW768*($AN$8-$AL$8)*($AM$8-$AL$8)),$AN$8-SQRT((1-AW768)*($AN$8-$AL$8)*($AN$8-$AM$8))),$AM$8)</f>
        <v/>
      </c>
      <c r="AO768">
        <f>IFERROR(IF(AX768&lt;($AM$9-$AL$9)/($AN$9-$AL$9),$AL$9+SQRT(AX768*($AN$9-$AL$9)*($AM$9-$AL$9)),$AN$9-SQRT((1-AX768)*($AN$9-$AL$9)*($AN$9-$AM$9))),$AM$9)</f>
        <v/>
      </c>
      <c r="AP768">
        <f>IFERROR(IF(AY768&lt;($AM$10-$AL$10)/($AN$10-$AL$10),$AL$10+SQRT(AY768*($AN$10-$AL$10)*($AM$10-$AL$10)),$AN$10-SQRT((1-AY768)*($AN$10-$AL$10)*($AN$10-$AM$10))),$AM$10)</f>
        <v/>
      </c>
      <c r="AQ768">
        <f>IFERROR(IF(AZ768&lt;($AM$11-$AL$11)/($AN$11-$AL$11),$AL$11+SQRT(AZ768*($AN$11-$AL$11)*($AM$11-$AL$11)),$AN$11-SQRT((1-AZ768)*($AN$11-$AL$11)*($AN$11-$AM$11))),$AM$11)</f>
        <v/>
      </c>
      <c r="AR768">
        <f>SUMPRODUCT((B24:B31&lt;=$B$6)*(C24:C31*AM768+D24:D31*AO768*$B$8*AQ768)/(1+AL768/100)^B24:B31)+C32*AM768*AP768/(1+AL768/100)^$B$6</f>
        <v/>
      </c>
      <c r="AS768">
        <f>SUMPRODUCT((K24:K26&lt;=$B$6)*(L24:L26*AN768+M24:M26*AO768*$B$8*AQ768)/(1+AL768/100)^K24:K26)+L27*AN768*AP768/(1+AL768/100)^$B$6</f>
        <v/>
      </c>
      <c r="AT768">
        <f>AS768-AR768</f>
        <v/>
      </c>
      <c r="AU768">
        <f>RAND()</f>
        <v/>
      </c>
      <c r="AV768">
        <f>RAND()</f>
        <v/>
      </c>
      <c r="AW768">
        <f>RAND()</f>
        <v/>
      </c>
      <c r="AX768">
        <f>RAND()</f>
        <v/>
      </c>
      <c r="AY768">
        <f>RAND()</f>
        <v/>
      </c>
      <c r="AZ768">
        <f>RAND()</f>
        <v/>
      </c>
    </row>
    <row r="769">
      <c r="AK769" t="n">
        <v>756</v>
      </c>
      <c r="AL769">
        <f>IFERROR(IF(AU769&lt;($AM$6-$AL$6)/($AN$6-$AL$6),$AL$6+SQRT(AU769*($AN$6-$AL$6)*($AM$6-$AL$6)),$AN$6-SQRT((1-AU769)*($AN$6-$AL$6)*($AN$6-$AM$6))),$AM$6)</f>
        <v/>
      </c>
      <c r="AM769">
        <f>IFERROR(IF(AV769&lt;($AM$7-$AL$7)/($AN$7-$AL$7),$AL$7+SQRT(AV769*($AN$7-$AL$7)*($AM$7-$AL$7)),$AN$7-SQRT((1-AV769)*($AN$7-$AL$7)*($AN$7-$AM$7))),$AM$7)</f>
        <v/>
      </c>
      <c r="AN769">
        <f>IFERROR(IF(AW769&lt;($AM$8-$AL$8)/($AN$8-$AL$8),$AL$8+SQRT(AW769*($AN$8-$AL$8)*($AM$8-$AL$8)),$AN$8-SQRT((1-AW769)*($AN$8-$AL$8)*($AN$8-$AM$8))),$AM$8)</f>
        <v/>
      </c>
      <c r="AO769">
        <f>IFERROR(IF(AX769&lt;($AM$9-$AL$9)/($AN$9-$AL$9),$AL$9+SQRT(AX769*($AN$9-$AL$9)*($AM$9-$AL$9)),$AN$9-SQRT((1-AX769)*($AN$9-$AL$9)*($AN$9-$AM$9))),$AM$9)</f>
        <v/>
      </c>
      <c r="AP769">
        <f>IFERROR(IF(AY769&lt;($AM$10-$AL$10)/($AN$10-$AL$10),$AL$10+SQRT(AY769*($AN$10-$AL$10)*($AM$10-$AL$10)),$AN$10-SQRT((1-AY769)*($AN$10-$AL$10)*($AN$10-$AM$10))),$AM$10)</f>
        <v/>
      </c>
      <c r="AQ769">
        <f>IFERROR(IF(AZ769&lt;($AM$11-$AL$11)/($AN$11-$AL$11),$AL$11+SQRT(AZ769*($AN$11-$AL$11)*($AM$11-$AL$11)),$AN$11-SQRT((1-AZ769)*($AN$11-$AL$11)*($AN$11-$AM$11))),$AM$11)</f>
        <v/>
      </c>
      <c r="AR769">
        <f>SUMPRODUCT((B24:B31&lt;=$B$6)*(C24:C31*AM769+D24:D31*AO769*$B$8*AQ769)/(1+AL769/100)^B24:B31)+C32*AM769*AP769/(1+AL769/100)^$B$6</f>
        <v/>
      </c>
      <c r="AS769">
        <f>SUMPRODUCT((K24:K26&lt;=$B$6)*(L24:L26*AN769+M24:M26*AO769*$B$8*AQ769)/(1+AL769/100)^K24:K26)+L27*AN769*AP769/(1+AL769/100)^$B$6</f>
        <v/>
      </c>
      <c r="AT769">
        <f>AS769-AR769</f>
        <v/>
      </c>
      <c r="AU769">
        <f>RAND()</f>
        <v/>
      </c>
      <c r="AV769">
        <f>RAND()</f>
        <v/>
      </c>
      <c r="AW769">
        <f>RAND()</f>
        <v/>
      </c>
      <c r="AX769">
        <f>RAND()</f>
        <v/>
      </c>
      <c r="AY769">
        <f>RAND()</f>
        <v/>
      </c>
      <c r="AZ769">
        <f>RAND()</f>
        <v/>
      </c>
    </row>
    <row r="770">
      <c r="AK770" t="n">
        <v>757</v>
      </c>
      <c r="AL770">
        <f>IFERROR(IF(AU770&lt;($AM$6-$AL$6)/($AN$6-$AL$6),$AL$6+SQRT(AU770*($AN$6-$AL$6)*($AM$6-$AL$6)),$AN$6-SQRT((1-AU770)*($AN$6-$AL$6)*($AN$6-$AM$6))),$AM$6)</f>
        <v/>
      </c>
      <c r="AM770">
        <f>IFERROR(IF(AV770&lt;($AM$7-$AL$7)/($AN$7-$AL$7),$AL$7+SQRT(AV770*($AN$7-$AL$7)*($AM$7-$AL$7)),$AN$7-SQRT((1-AV770)*($AN$7-$AL$7)*($AN$7-$AM$7))),$AM$7)</f>
        <v/>
      </c>
      <c r="AN770">
        <f>IFERROR(IF(AW770&lt;($AM$8-$AL$8)/($AN$8-$AL$8),$AL$8+SQRT(AW770*($AN$8-$AL$8)*($AM$8-$AL$8)),$AN$8-SQRT((1-AW770)*($AN$8-$AL$8)*($AN$8-$AM$8))),$AM$8)</f>
        <v/>
      </c>
      <c r="AO770">
        <f>IFERROR(IF(AX770&lt;($AM$9-$AL$9)/($AN$9-$AL$9),$AL$9+SQRT(AX770*($AN$9-$AL$9)*($AM$9-$AL$9)),$AN$9-SQRT((1-AX770)*($AN$9-$AL$9)*($AN$9-$AM$9))),$AM$9)</f>
        <v/>
      </c>
      <c r="AP770">
        <f>IFERROR(IF(AY770&lt;($AM$10-$AL$10)/($AN$10-$AL$10),$AL$10+SQRT(AY770*($AN$10-$AL$10)*($AM$10-$AL$10)),$AN$10-SQRT((1-AY770)*($AN$10-$AL$10)*($AN$10-$AM$10))),$AM$10)</f>
        <v/>
      </c>
      <c r="AQ770">
        <f>IFERROR(IF(AZ770&lt;($AM$11-$AL$11)/($AN$11-$AL$11),$AL$11+SQRT(AZ770*($AN$11-$AL$11)*($AM$11-$AL$11)),$AN$11-SQRT((1-AZ770)*($AN$11-$AL$11)*($AN$11-$AM$11))),$AM$11)</f>
        <v/>
      </c>
      <c r="AR770">
        <f>SUMPRODUCT((B24:B31&lt;=$B$6)*(C24:C31*AM770+D24:D31*AO770*$B$8*AQ770)/(1+AL770/100)^B24:B31)+C32*AM770*AP770/(1+AL770/100)^$B$6</f>
        <v/>
      </c>
      <c r="AS770">
        <f>SUMPRODUCT((K24:K26&lt;=$B$6)*(L24:L26*AN770+M24:M26*AO770*$B$8*AQ770)/(1+AL770/100)^K24:K26)+L27*AN770*AP770/(1+AL770/100)^$B$6</f>
        <v/>
      </c>
      <c r="AT770">
        <f>AS770-AR770</f>
        <v/>
      </c>
      <c r="AU770">
        <f>RAND()</f>
        <v/>
      </c>
      <c r="AV770">
        <f>RAND()</f>
        <v/>
      </c>
      <c r="AW770">
        <f>RAND()</f>
        <v/>
      </c>
      <c r="AX770">
        <f>RAND()</f>
        <v/>
      </c>
      <c r="AY770">
        <f>RAND()</f>
        <v/>
      </c>
      <c r="AZ770">
        <f>RAND()</f>
        <v/>
      </c>
    </row>
    <row r="771">
      <c r="AK771" t="n">
        <v>758</v>
      </c>
      <c r="AL771">
        <f>IFERROR(IF(AU771&lt;($AM$6-$AL$6)/($AN$6-$AL$6),$AL$6+SQRT(AU771*($AN$6-$AL$6)*($AM$6-$AL$6)),$AN$6-SQRT((1-AU771)*($AN$6-$AL$6)*($AN$6-$AM$6))),$AM$6)</f>
        <v/>
      </c>
      <c r="AM771">
        <f>IFERROR(IF(AV771&lt;($AM$7-$AL$7)/($AN$7-$AL$7),$AL$7+SQRT(AV771*($AN$7-$AL$7)*($AM$7-$AL$7)),$AN$7-SQRT((1-AV771)*($AN$7-$AL$7)*($AN$7-$AM$7))),$AM$7)</f>
        <v/>
      </c>
      <c r="AN771">
        <f>IFERROR(IF(AW771&lt;($AM$8-$AL$8)/($AN$8-$AL$8),$AL$8+SQRT(AW771*($AN$8-$AL$8)*($AM$8-$AL$8)),$AN$8-SQRT((1-AW771)*($AN$8-$AL$8)*($AN$8-$AM$8))),$AM$8)</f>
        <v/>
      </c>
      <c r="AO771">
        <f>IFERROR(IF(AX771&lt;($AM$9-$AL$9)/($AN$9-$AL$9),$AL$9+SQRT(AX771*($AN$9-$AL$9)*($AM$9-$AL$9)),$AN$9-SQRT((1-AX771)*($AN$9-$AL$9)*($AN$9-$AM$9))),$AM$9)</f>
        <v/>
      </c>
      <c r="AP771">
        <f>IFERROR(IF(AY771&lt;($AM$10-$AL$10)/($AN$10-$AL$10),$AL$10+SQRT(AY771*($AN$10-$AL$10)*($AM$10-$AL$10)),$AN$10-SQRT((1-AY771)*($AN$10-$AL$10)*($AN$10-$AM$10))),$AM$10)</f>
        <v/>
      </c>
      <c r="AQ771">
        <f>IFERROR(IF(AZ771&lt;($AM$11-$AL$11)/($AN$11-$AL$11),$AL$11+SQRT(AZ771*($AN$11-$AL$11)*($AM$11-$AL$11)),$AN$11-SQRT((1-AZ771)*($AN$11-$AL$11)*($AN$11-$AM$11))),$AM$11)</f>
        <v/>
      </c>
      <c r="AR771">
        <f>SUMPRODUCT((B24:B31&lt;=$B$6)*(C24:C31*AM771+D24:D31*AO771*$B$8*AQ771)/(1+AL771/100)^B24:B31)+C32*AM771*AP771/(1+AL771/100)^$B$6</f>
        <v/>
      </c>
      <c r="AS771">
        <f>SUMPRODUCT((K24:K26&lt;=$B$6)*(L24:L26*AN771+M24:M26*AO771*$B$8*AQ771)/(1+AL771/100)^K24:K26)+L27*AN771*AP771/(1+AL771/100)^$B$6</f>
        <v/>
      </c>
      <c r="AT771">
        <f>AS771-AR771</f>
        <v/>
      </c>
      <c r="AU771">
        <f>RAND()</f>
        <v/>
      </c>
      <c r="AV771">
        <f>RAND()</f>
        <v/>
      </c>
      <c r="AW771">
        <f>RAND()</f>
        <v/>
      </c>
      <c r="AX771">
        <f>RAND()</f>
        <v/>
      </c>
      <c r="AY771">
        <f>RAND()</f>
        <v/>
      </c>
      <c r="AZ771">
        <f>RAND()</f>
        <v/>
      </c>
    </row>
    <row r="772">
      <c r="AK772" t="n">
        <v>759</v>
      </c>
      <c r="AL772">
        <f>IFERROR(IF(AU772&lt;($AM$6-$AL$6)/($AN$6-$AL$6),$AL$6+SQRT(AU772*($AN$6-$AL$6)*($AM$6-$AL$6)),$AN$6-SQRT((1-AU772)*($AN$6-$AL$6)*($AN$6-$AM$6))),$AM$6)</f>
        <v/>
      </c>
      <c r="AM772">
        <f>IFERROR(IF(AV772&lt;($AM$7-$AL$7)/($AN$7-$AL$7),$AL$7+SQRT(AV772*($AN$7-$AL$7)*($AM$7-$AL$7)),$AN$7-SQRT((1-AV772)*($AN$7-$AL$7)*($AN$7-$AM$7))),$AM$7)</f>
        <v/>
      </c>
      <c r="AN772">
        <f>IFERROR(IF(AW772&lt;($AM$8-$AL$8)/($AN$8-$AL$8),$AL$8+SQRT(AW772*($AN$8-$AL$8)*($AM$8-$AL$8)),$AN$8-SQRT((1-AW772)*($AN$8-$AL$8)*($AN$8-$AM$8))),$AM$8)</f>
        <v/>
      </c>
      <c r="AO772">
        <f>IFERROR(IF(AX772&lt;($AM$9-$AL$9)/($AN$9-$AL$9),$AL$9+SQRT(AX772*($AN$9-$AL$9)*($AM$9-$AL$9)),$AN$9-SQRT((1-AX772)*($AN$9-$AL$9)*($AN$9-$AM$9))),$AM$9)</f>
        <v/>
      </c>
      <c r="AP772">
        <f>IFERROR(IF(AY772&lt;($AM$10-$AL$10)/($AN$10-$AL$10),$AL$10+SQRT(AY772*($AN$10-$AL$10)*($AM$10-$AL$10)),$AN$10-SQRT((1-AY772)*($AN$10-$AL$10)*($AN$10-$AM$10))),$AM$10)</f>
        <v/>
      </c>
      <c r="AQ772">
        <f>IFERROR(IF(AZ772&lt;($AM$11-$AL$11)/($AN$11-$AL$11),$AL$11+SQRT(AZ772*($AN$11-$AL$11)*($AM$11-$AL$11)),$AN$11-SQRT((1-AZ772)*($AN$11-$AL$11)*($AN$11-$AM$11))),$AM$11)</f>
        <v/>
      </c>
      <c r="AR772">
        <f>SUMPRODUCT((B24:B31&lt;=$B$6)*(C24:C31*AM772+D24:D31*AO772*$B$8*AQ772)/(1+AL772/100)^B24:B31)+C32*AM772*AP772/(1+AL772/100)^$B$6</f>
        <v/>
      </c>
      <c r="AS772">
        <f>SUMPRODUCT((K24:K26&lt;=$B$6)*(L24:L26*AN772+M24:M26*AO772*$B$8*AQ772)/(1+AL772/100)^K24:K26)+L27*AN772*AP772/(1+AL772/100)^$B$6</f>
        <v/>
      </c>
      <c r="AT772">
        <f>AS772-AR772</f>
        <v/>
      </c>
      <c r="AU772">
        <f>RAND()</f>
        <v/>
      </c>
      <c r="AV772">
        <f>RAND()</f>
        <v/>
      </c>
      <c r="AW772">
        <f>RAND()</f>
        <v/>
      </c>
      <c r="AX772">
        <f>RAND()</f>
        <v/>
      </c>
      <c r="AY772">
        <f>RAND()</f>
        <v/>
      </c>
      <c r="AZ772">
        <f>RAND()</f>
        <v/>
      </c>
    </row>
    <row r="773">
      <c r="AK773" t="n">
        <v>760</v>
      </c>
      <c r="AL773">
        <f>IFERROR(IF(AU773&lt;($AM$6-$AL$6)/($AN$6-$AL$6),$AL$6+SQRT(AU773*($AN$6-$AL$6)*($AM$6-$AL$6)),$AN$6-SQRT((1-AU773)*($AN$6-$AL$6)*($AN$6-$AM$6))),$AM$6)</f>
        <v/>
      </c>
      <c r="AM773">
        <f>IFERROR(IF(AV773&lt;($AM$7-$AL$7)/($AN$7-$AL$7),$AL$7+SQRT(AV773*($AN$7-$AL$7)*($AM$7-$AL$7)),$AN$7-SQRT((1-AV773)*($AN$7-$AL$7)*($AN$7-$AM$7))),$AM$7)</f>
        <v/>
      </c>
      <c r="AN773">
        <f>IFERROR(IF(AW773&lt;($AM$8-$AL$8)/($AN$8-$AL$8),$AL$8+SQRT(AW773*($AN$8-$AL$8)*($AM$8-$AL$8)),$AN$8-SQRT((1-AW773)*($AN$8-$AL$8)*($AN$8-$AM$8))),$AM$8)</f>
        <v/>
      </c>
      <c r="AO773">
        <f>IFERROR(IF(AX773&lt;($AM$9-$AL$9)/($AN$9-$AL$9),$AL$9+SQRT(AX773*($AN$9-$AL$9)*($AM$9-$AL$9)),$AN$9-SQRT((1-AX773)*($AN$9-$AL$9)*($AN$9-$AM$9))),$AM$9)</f>
        <v/>
      </c>
      <c r="AP773">
        <f>IFERROR(IF(AY773&lt;($AM$10-$AL$10)/($AN$10-$AL$10),$AL$10+SQRT(AY773*($AN$10-$AL$10)*($AM$10-$AL$10)),$AN$10-SQRT((1-AY773)*($AN$10-$AL$10)*($AN$10-$AM$10))),$AM$10)</f>
        <v/>
      </c>
      <c r="AQ773">
        <f>IFERROR(IF(AZ773&lt;($AM$11-$AL$11)/($AN$11-$AL$11),$AL$11+SQRT(AZ773*($AN$11-$AL$11)*($AM$11-$AL$11)),$AN$11-SQRT((1-AZ773)*($AN$11-$AL$11)*($AN$11-$AM$11))),$AM$11)</f>
        <v/>
      </c>
      <c r="AR773">
        <f>SUMPRODUCT((B24:B31&lt;=$B$6)*(C24:C31*AM773+D24:D31*AO773*$B$8*AQ773)/(1+AL773/100)^B24:B31)+C32*AM773*AP773/(1+AL773/100)^$B$6</f>
        <v/>
      </c>
      <c r="AS773">
        <f>SUMPRODUCT((K24:K26&lt;=$B$6)*(L24:L26*AN773+M24:M26*AO773*$B$8*AQ773)/(1+AL773/100)^K24:K26)+L27*AN773*AP773/(1+AL773/100)^$B$6</f>
        <v/>
      </c>
      <c r="AT773">
        <f>AS773-AR773</f>
        <v/>
      </c>
      <c r="AU773">
        <f>RAND()</f>
        <v/>
      </c>
      <c r="AV773">
        <f>RAND()</f>
        <v/>
      </c>
      <c r="AW773">
        <f>RAND()</f>
        <v/>
      </c>
      <c r="AX773">
        <f>RAND()</f>
        <v/>
      </c>
      <c r="AY773">
        <f>RAND()</f>
        <v/>
      </c>
      <c r="AZ773">
        <f>RAND()</f>
        <v/>
      </c>
    </row>
    <row r="774">
      <c r="AK774" t="n">
        <v>761</v>
      </c>
      <c r="AL774">
        <f>IFERROR(IF(AU774&lt;($AM$6-$AL$6)/($AN$6-$AL$6),$AL$6+SQRT(AU774*($AN$6-$AL$6)*($AM$6-$AL$6)),$AN$6-SQRT((1-AU774)*($AN$6-$AL$6)*($AN$6-$AM$6))),$AM$6)</f>
        <v/>
      </c>
      <c r="AM774">
        <f>IFERROR(IF(AV774&lt;($AM$7-$AL$7)/($AN$7-$AL$7),$AL$7+SQRT(AV774*($AN$7-$AL$7)*($AM$7-$AL$7)),$AN$7-SQRT((1-AV774)*($AN$7-$AL$7)*($AN$7-$AM$7))),$AM$7)</f>
        <v/>
      </c>
      <c r="AN774">
        <f>IFERROR(IF(AW774&lt;($AM$8-$AL$8)/($AN$8-$AL$8),$AL$8+SQRT(AW774*($AN$8-$AL$8)*($AM$8-$AL$8)),$AN$8-SQRT((1-AW774)*($AN$8-$AL$8)*($AN$8-$AM$8))),$AM$8)</f>
        <v/>
      </c>
      <c r="AO774">
        <f>IFERROR(IF(AX774&lt;($AM$9-$AL$9)/($AN$9-$AL$9),$AL$9+SQRT(AX774*($AN$9-$AL$9)*($AM$9-$AL$9)),$AN$9-SQRT((1-AX774)*($AN$9-$AL$9)*($AN$9-$AM$9))),$AM$9)</f>
        <v/>
      </c>
      <c r="AP774">
        <f>IFERROR(IF(AY774&lt;($AM$10-$AL$10)/($AN$10-$AL$10),$AL$10+SQRT(AY774*($AN$10-$AL$10)*($AM$10-$AL$10)),$AN$10-SQRT((1-AY774)*($AN$10-$AL$10)*($AN$10-$AM$10))),$AM$10)</f>
        <v/>
      </c>
      <c r="AQ774">
        <f>IFERROR(IF(AZ774&lt;($AM$11-$AL$11)/($AN$11-$AL$11),$AL$11+SQRT(AZ774*($AN$11-$AL$11)*($AM$11-$AL$11)),$AN$11-SQRT((1-AZ774)*($AN$11-$AL$11)*($AN$11-$AM$11))),$AM$11)</f>
        <v/>
      </c>
      <c r="AR774">
        <f>SUMPRODUCT((B24:B31&lt;=$B$6)*(C24:C31*AM774+D24:D31*AO774*$B$8*AQ774)/(1+AL774/100)^B24:B31)+C32*AM774*AP774/(1+AL774/100)^$B$6</f>
        <v/>
      </c>
      <c r="AS774">
        <f>SUMPRODUCT((K24:K26&lt;=$B$6)*(L24:L26*AN774+M24:M26*AO774*$B$8*AQ774)/(1+AL774/100)^K24:K26)+L27*AN774*AP774/(1+AL774/100)^$B$6</f>
        <v/>
      </c>
      <c r="AT774">
        <f>AS774-AR774</f>
        <v/>
      </c>
      <c r="AU774">
        <f>RAND()</f>
        <v/>
      </c>
      <c r="AV774">
        <f>RAND()</f>
        <v/>
      </c>
      <c r="AW774">
        <f>RAND()</f>
        <v/>
      </c>
      <c r="AX774">
        <f>RAND()</f>
        <v/>
      </c>
      <c r="AY774">
        <f>RAND()</f>
        <v/>
      </c>
      <c r="AZ774">
        <f>RAND()</f>
        <v/>
      </c>
    </row>
    <row r="775">
      <c r="AK775" t="n">
        <v>762</v>
      </c>
      <c r="AL775">
        <f>IFERROR(IF(AU775&lt;($AM$6-$AL$6)/($AN$6-$AL$6),$AL$6+SQRT(AU775*($AN$6-$AL$6)*($AM$6-$AL$6)),$AN$6-SQRT((1-AU775)*($AN$6-$AL$6)*($AN$6-$AM$6))),$AM$6)</f>
        <v/>
      </c>
      <c r="AM775">
        <f>IFERROR(IF(AV775&lt;($AM$7-$AL$7)/($AN$7-$AL$7),$AL$7+SQRT(AV775*($AN$7-$AL$7)*($AM$7-$AL$7)),$AN$7-SQRT((1-AV775)*($AN$7-$AL$7)*($AN$7-$AM$7))),$AM$7)</f>
        <v/>
      </c>
      <c r="AN775">
        <f>IFERROR(IF(AW775&lt;($AM$8-$AL$8)/($AN$8-$AL$8),$AL$8+SQRT(AW775*($AN$8-$AL$8)*($AM$8-$AL$8)),$AN$8-SQRT((1-AW775)*($AN$8-$AL$8)*($AN$8-$AM$8))),$AM$8)</f>
        <v/>
      </c>
      <c r="AO775">
        <f>IFERROR(IF(AX775&lt;($AM$9-$AL$9)/($AN$9-$AL$9),$AL$9+SQRT(AX775*($AN$9-$AL$9)*($AM$9-$AL$9)),$AN$9-SQRT((1-AX775)*($AN$9-$AL$9)*($AN$9-$AM$9))),$AM$9)</f>
        <v/>
      </c>
      <c r="AP775">
        <f>IFERROR(IF(AY775&lt;($AM$10-$AL$10)/($AN$10-$AL$10),$AL$10+SQRT(AY775*($AN$10-$AL$10)*($AM$10-$AL$10)),$AN$10-SQRT((1-AY775)*($AN$10-$AL$10)*($AN$10-$AM$10))),$AM$10)</f>
        <v/>
      </c>
      <c r="AQ775">
        <f>IFERROR(IF(AZ775&lt;($AM$11-$AL$11)/($AN$11-$AL$11),$AL$11+SQRT(AZ775*($AN$11-$AL$11)*($AM$11-$AL$11)),$AN$11-SQRT((1-AZ775)*($AN$11-$AL$11)*($AN$11-$AM$11))),$AM$11)</f>
        <v/>
      </c>
      <c r="AR775">
        <f>SUMPRODUCT((B24:B31&lt;=$B$6)*(C24:C31*AM775+D24:D31*AO775*$B$8*AQ775)/(1+AL775/100)^B24:B31)+C32*AM775*AP775/(1+AL775/100)^$B$6</f>
        <v/>
      </c>
      <c r="AS775">
        <f>SUMPRODUCT((K24:K26&lt;=$B$6)*(L24:L26*AN775+M24:M26*AO775*$B$8*AQ775)/(1+AL775/100)^K24:K26)+L27*AN775*AP775/(1+AL775/100)^$B$6</f>
        <v/>
      </c>
      <c r="AT775">
        <f>AS775-AR775</f>
        <v/>
      </c>
      <c r="AU775">
        <f>RAND()</f>
        <v/>
      </c>
      <c r="AV775">
        <f>RAND()</f>
        <v/>
      </c>
      <c r="AW775">
        <f>RAND()</f>
        <v/>
      </c>
      <c r="AX775">
        <f>RAND()</f>
        <v/>
      </c>
      <c r="AY775">
        <f>RAND()</f>
        <v/>
      </c>
      <c r="AZ775">
        <f>RAND()</f>
        <v/>
      </c>
    </row>
    <row r="776">
      <c r="AK776" t="n">
        <v>763</v>
      </c>
      <c r="AL776">
        <f>IFERROR(IF(AU776&lt;($AM$6-$AL$6)/($AN$6-$AL$6),$AL$6+SQRT(AU776*($AN$6-$AL$6)*($AM$6-$AL$6)),$AN$6-SQRT((1-AU776)*($AN$6-$AL$6)*($AN$6-$AM$6))),$AM$6)</f>
        <v/>
      </c>
      <c r="AM776">
        <f>IFERROR(IF(AV776&lt;($AM$7-$AL$7)/($AN$7-$AL$7),$AL$7+SQRT(AV776*($AN$7-$AL$7)*($AM$7-$AL$7)),$AN$7-SQRT((1-AV776)*($AN$7-$AL$7)*($AN$7-$AM$7))),$AM$7)</f>
        <v/>
      </c>
      <c r="AN776">
        <f>IFERROR(IF(AW776&lt;($AM$8-$AL$8)/($AN$8-$AL$8),$AL$8+SQRT(AW776*($AN$8-$AL$8)*($AM$8-$AL$8)),$AN$8-SQRT((1-AW776)*($AN$8-$AL$8)*($AN$8-$AM$8))),$AM$8)</f>
        <v/>
      </c>
      <c r="AO776">
        <f>IFERROR(IF(AX776&lt;($AM$9-$AL$9)/($AN$9-$AL$9),$AL$9+SQRT(AX776*($AN$9-$AL$9)*($AM$9-$AL$9)),$AN$9-SQRT((1-AX776)*($AN$9-$AL$9)*($AN$9-$AM$9))),$AM$9)</f>
        <v/>
      </c>
      <c r="AP776">
        <f>IFERROR(IF(AY776&lt;($AM$10-$AL$10)/($AN$10-$AL$10),$AL$10+SQRT(AY776*($AN$10-$AL$10)*($AM$10-$AL$10)),$AN$10-SQRT((1-AY776)*($AN$10-$AL$10)*($AN$10-$AM$10))),$AM$10)</f>
        <v/>
      </c>
      <c r="AQ776">
        <f>IFERROR(IF(AZ776&lt;($AM$11-$AL$11)/($AN$11-$AL$11),$AL$11+SQRT(AZ776*($AN$11-$AL$11)*($AM$11-$AL$11)),$AN$11-SQRT((1-AZ776)*($AN$11-$AL$11)*($AN$11-$AM$11))),$AM$11)</f>
        <v/>
      </c>
      <c r="AR776">
        <f>SUMPRODUCT((B24:B31&lt;=$B$6)*(C24:C31*AM776+D24:D31*AO776*$B$8*AQ776)/(1+AL776/100)^B24:B31)+C32*AM776*AP776/(1+AL776/100)^$B$6</f>
        <v/>
      </c>
      <c r="AS776">
        <f>SUMPRODUCT((K24:K26&lt;=$B$6)*(L24:L26*AN776+M24:M26*AO776*$B$8*AQ776)/(1+AL776/100)^K24:K26)+L27*AN776*AP776/(1+AL776/100)^$B$6</f>
        <v/>
      </c>
      <c r="AT776">
        <f>AS776-AR776</f>
        <v/>
      </c>
      <c r="AU776">
        <f>RAND()</f>
        <v/>
      </c>
      <c r="AV776">
        <f>RAND()</f>
        <v/>
      </c>
      <c r="AW776">
        <f>RAND()</f>
        <v/>
      </c>
      <c r="AX776">
        <f>RAND()</f>
        <v/>
      </c>
      <c r="AY776">
        <f>RAND()</f>
        <v/>
      </c>
      <c r="AZ776">
        <f>RAND()</f>
        <v/>
      </c>
    </row>
    <row r="777">
      <c r="AK777" t="n">
        <v>764</v>
      </c>
      <c r="AL777">
        <f>IFERROR(IF(AU777&lt;($AM$6-$AL$6)/($AN$6-$AL$6),$AL$6+SQRT(AU777*($AN$6-$AL$6)*($AM$6-$AL$6)),$AN$6-SQRT((1-AU777)*($AN$6-$AL$6)*($AN$6-$AM$6))),$AM$6)</f>
        <v/>
      </c>
      <c r="AM777">
        <f>IFERROR(IF(AV777&lt;($AM$7-$AL$7)/($AN$7-$AL$7),$AL$7+SQRT(AV777*($AN$7-$AL$7)*($AM$7-$AL$7)),$AN$7-SQRT((1-AV777)*($AN$7-$AL$7)*($AN$7-$AM$7))),$AM$7)</f>
        <v/>
      </c>
      <c r="AN777">
        <f>IFERROR(IF(AW777&lt;($AM$8-$AL$8)/($AN$8-$AL$8),$AL$8+SQRT(AW777*($AN$8-$AL$8)*($AM$8-$AL$8)),$AN$8-SQRT((1-AW777)*($AN$8-$AL$8)*($AN$8-$AM$8))),$AM$8)</f>
        <v/>
      </c>
      <c r="AO777">
        <f>IFERROR(IF(AX777&lt;($AM$9-$AL$9)/($AN$9-$AL$9),$AL$9+SQRT(AX777*($AN$9-$AL$9)*($AM$9-$AL$9)),$AN$9-SQRT((1-AX777)*($AN$9-$AL$9)*($AN$9-$AM$9))),$AM$9)</f>
        <v/>
      </c>
      <c r="AP777">
        <f>IFERROR(IF(AY777&lt;($AM$10-$AL$10)/($AN$10-$AL$10),$AL$10+SQRT(AY777*($AN$10-$AL$10)*($AM$10-$AL$10)),$AN$10-SQRT((1-AY777)*($AN$10-$AL$10)*($AN$10-$AM$10))),$AM$10)</f>
        <v/>
      </c>
      <c r="AQ777">
        <f>IFERROR(IF(AZ777&lt;($AM$11-$AL$11)/($AN$11-$AL$11),$AL$11+SQRT(AZ777*($AN$11-$AL$11)*($AM$11-$AL$11)),$AN$11-SQRT((1-AZ777)*($AN$11-$AL$11)*($AN$11-$AM$11))),$AM$11)</f>
        <v/>
      </c>
      <c r="AR777">
        <f>SUMPRODUCT((B24:B31&lt;=$B$6)*(C24:C31*AM777+D24:D31*AO777*$B$8*AQ777)/(1+AL777/100)^B24:B31)+C32*AM777*AP777/(1+AL777/100)^$B$6</f>
        <v/>
      </c>
      <c r="AS777">
        <f>SUMPRODUCT((K24:K26&lt;=$B$6)*(L24:L26*AN777+M24:M26*AO777*$B$8*AQ777)/(1+AL777/100)^K24:K26)+L27*AN777*AP777/(1+AL777/100)^$B$6</f>
        <v/>
      </c>
      <c r="AT777">
        <f>AS777-AR777</f>
        <v/>
      </c>
      <c r="AU777">
        <f>RAND()</f>
        <v/>
      </c>
      <c r="AV777">
        <f>RAND()</f>
        <v/>
      </c>
      <c r="AW777">
        <f>RAND()</f>
        <v/>
      </c>
      <c r="AX777">
        <f>RAND()</f>
        <v/>
      </c>
      <c r="AY777">
        <f>RAND()</f>
        <v/>
      </c>
      <c r="AZ777">
        <f>RAND()</f>
        <v/>
      </c>
    </row>
    <row r="778">
      <c r="AK778" t="n">
        <v>765</v>
      </c>
      <c r="AL778">
        <f>IFERROR(IF(AU778&lt;($AM$6-$AL$6)/($AN$6-$AL$6),$AL$6+SQRT(AU778*($AN$6-$AL$6)*($AM$6-$AL$6)),$AN$6-SQRT((1-AU778)*($AN$6-$AL$6)*($AN$6-$AM$6))),$AM$6)</f>
        <v/>
      </c>
      <c r="AM778">
        <f>IFERROR(IF(AV778&lt;($AM$7-$AL$7)/($AN$7-$AL$7),$AL$7+SQRT(AV778*($AN$7-$AL$7)*($AM$7-$AL$7)),$AN$7-SQRT((1-AV778)*($AN$7-$AL$7)*($AN$7-$AM$7))),$AM$7)</f>
        <v/>
      </c>
      <c r="AN778">
        <f>IFERROR(IF(AW778&lt;($AM$8-$AL$8)/($AN$8-$AL$8),$AL$8+SQRT(AW778*($AN$8-$AL$8)*($AM$8-$AL$8)),$AN$8-SQRT((1-AW778)*($AN$8-$AL$8)*($AN$8-$AM$8))),$AM$8)</f>
        <v/>
      </c>
      <c r="AO778">
        <f>IFERROR(IF(AX778&lt;($AM$9-$AL$9)/($AN$9-$AL$9),$AL$9+SQRT(AX778*($AN$9-$AL$9)*($AM$9-$AL$9)),$AN$9-SQRT((1-AX778)*($AN$9-$AL$9)*($AN$9-$AM$9))),$AM$9)</f>
        <v/>
      </c>
      <c r="AP778">
        <f>IFERROR(IF(AY778&lt;($AM$10-$AL$10)/($AN$10-$AL$10),$AL$10+SQRT(AY778*($AN$10-$AL$10)*($AM$10-$AL$10)),$AN$10-SQRT((1-AY778)*($AN$10-$AL$10)*($AN$10-$AM$10))),$AM$10)</f>
        <v/>
      </c>
      <c r="AQ778">
        <f>IFERROR(IF(AZ778&lt;($AM$11-$AL$11)/($AN$11-$AL$11),$AL$11+SQRT(AZ778*($AN$11-$AL$11)*($AM$11-$AL$11)),$AN$11-SQRT((1-AZ778)*($AN$11-$AL$11)*($AN$11-$AM$11))),$AM$11)</f>
        <v/>
      </c>
      <c r="AR778">
        <f>SUMPRODUCT((B24:B31&lt;=$B$6)*(C24:C31*AM778+D24:D31*AO778*$B$8*AQ778)/(1+AL778/100)^B24:B31)+C32*AM778*AP778/(1+AL778/100)^$B$6</f>
        <v/>
      </c>
      <c r="AS778">
        <f>SUMPRODUCT((K24:K26&lt;=$B$6)*(L24:L26*AN778+M24:M26*AO778*$B$8*AQ778)/(1+AL778/100)^K24:K26)+L27*AN778*AP778/(1+AL778/100)^$B$6</f>
        <v/>
      </c>
      <c r="AT778">
        <f>AS778-AR778</f>
        <v/>
      </c>
      <c r="AU778">
        <f>RAND()</f>
        <v/>
      </c>
      <c r="AV778">
        <f>RAND()</f>
        <v/>
      </c>
      <c r="AW778">
        <f>RAND()</f>
        <v/>
      </c>
      <c r="AX778">
        <f>RAND()</f>
        <v/>
      </c>
      <c r="AY778">
        <f>RAND()</f>
        <v/>
      </c>
      <c r="AZ778">
        <f>RAND()</f>
        <v/>
      </c>
    </row>
    <row r="779">
      <c r="AK779" t="n">
        <v>766</v>
      </c>
      <c r="AL779">
        <f>IFERROR(IF(AU779&lt;($AM$6-$AL$6)/($AN$6-$AL$6),$AL$6+SQRT(AU779*($AN$6-$AL$6)*($AM$6-$AL$6)),$AN$6-SQRT((1-AU779)*($AN$6-$AL$6)*($AN$6-$AM$6))),$AM$6)</f>
        <v/>
      </c>
      <c r="AM779">
        <f>IFERROR(IF(AV779&lt;($AM$7-$AL$7)/($AN$7-$AL$7),$AL$7+SQRT(AV779*($AN$7-$AL$7)*($AM$7-$AL$7)),$AN$7-SQRT((1-AV779)*($AN$7-$AL$7)*($AN$7-$AM$7))),$AM$7)</f>
        <v/>
      </c>
      <c r="AN779">
        <f>IFERROR(IF(AW779&lt;($AM$8-$AL$8)/($AN$8-$AL$8),$AL$8+SQRT(AW779*($AN$8-$AL$8)*($AM$8-$AL$8)),$AN$8-SQRT((1-AW779)*($AN$8-$AL$8)*($AN$8-$AM$8))),$AM$8)</f>
        <v/>
      </c>
      <c r="AO779">
        <f>IFERROR(IF(AX779&lt;($AM$9-$AL$9)/($AN$9-$AL$9),$AL$9+SQRT(AX779*($AN$9-$AL$9)*($AM$9-$AL$9)),$AN$9-SQRT((1-AX779)*($AN$9-$AL$9)*($AN$9-$AM$9))),$AM$9)</f>
        <v/>
      </c>
      <c r="AP779">
        <f>IFERROR(IF(AY779&lt;($AM$10-$AL$10)/($AN$10-$AL$10),$AL$10+SQRT(AY779*($AN$10-$AL$10)*($AM$10-$AL$10)),$AN$10-SQRT((1-AY779)*($AN$10-$AL$10)*($AN$10-$AM$10))),$AM$10)</f>
        <v/>
      </c>
      <c r="AQ779">
        <f>IFERROR(IF(AZ779&lt;($AM$11-$AL$11)/($AN$11-$AL$11),$AL$11+SQRT(AZ779*($AN$11-$AL$11)*($AM$11-$AL$11)),$AN$11-SQRT((1-AZ779)*($AN$11-$AL$11)*($AN$11-$AM$11))),$AM$11)</f>
        <v/>
      </c>
      <c r="AR779">
        <f>SUMPRODUCT((B24:B31&lt;=$B$6)*(C24:C31*AM779+D24:D31*AO779*$B$8*AQ779)/(1+AL779/100)^B24:B31)+C32*AM779*AP779/(1+AL779/100)^$B$6</f>
        <v/>
      </c>
      <c r="AS779">
        <f>SUMPRODUCT((K24:K26&lt;=$B$6)*(L24:L26*AN779+M24:M26*AO779*$B$8*AQ779)/(1+AL779/100)^K24:K26)+L27*AN779*AP779/(1+AL779/100)^$B$6</f>
        <v/>
      </c>
      <c r="AT779">
        <f>AS779-AR779</f>
        <v/>
      </c>
      <c r="AU779">
        <f>RAND()</f>
        <v/>
      </c>
      <c r="AV779">
        <f>RAND()</f>
        <v/>
      </c>
      <c r="AW779">
        <f>RAND()</f>
        <v/>
      </c>
      <c r="AX779">
        <f>RAND()</f>
        <v/>
      </c>
      <c r="AY779">
        <f>RAND()</f>
        <v/>
      </c>
      <c r="AZ779">
        <f>RAND()</f>
        <v/>
      </c>
    </row>
    <row r="780">
      <c r="AK780" t="n">
        <v>767</v>
      </c>
      <c r="AL780">
        <f>IFERROR(IF(AU780&lt;($AM$6-$AL$6)/($AN$6-$AL$6),$AL$6+SQRT(AU780*($AN$6-$AL$6)*($AM$6-$AL$6)),$AN$6-SQRT((1-AU780)*($AN$6-$AL$6)*($AN$6-$AM$6))),$AM$6)</f>
        <v/>
      </c>
      <c r="AM780">
        <f>IFERROR(IF(AV780&lt;($AM$7-$AL$7)/($AN$7-$AL$7),$AL$7+SQRT(AV780*($AN$7-$AL$7)*($AM$7-$AL$7)),$AN$7-SQRT((1-AV780)*($AN$7-$AL$7)*($AN$7-$AM$7))),$AM$7)</f>
        <v/>
      </c>
      <c r="AN780">
        <f>IFERROR(IF(AW780&lt;($AM$8-$AL$8)/($AN$8-$AL$8),$AL$8+SQRT(AW780*($AN$8-$AL$8)*($AM$8-$AL$8)),$AN$8-SQRT((1-AW780)*($AN$8-$AL$8)*($AN$8-$AM$8))),$AM$8)</f>
        <v/>
      </c>
      <c r="AO780">
        <f>IFERROR(IF(AX780&lt;($AM$9-$AL$9)/($AN$9-$AL$9),$AL$9+SQRT(AX780*($AN$9-$AL$9)*($AM$9-$AL$9)),$AN$9-SQRT((1-AX780)*($AN$9-$AL$9)*($AN$9-$AM$9))),$AM$9)</f>
        <v/>
      </c>
      <c r="AP780">
        <f>IFERROR(IF(AY780&lt;($AM$10-$AL$10)/($AN$10-$AL$10),$AL$10+SQRT(AY780*($AN$10-$AL$10)*($AM$10-$AL$10)),$AN$10-SQRT((1-AY780)*($AN$10-$AL$10)*($AN$10-$AM$10))),$AM$10)</f>
        <v/>
      </c>
      <c r="AQ780">
        <f>IFERROR(IF(AZ780&lt;($AM$11-$AL$11)/($AN$11-$AL$11),$AL$11+SQRT(AZ780*($AN$11-$AL$11)*($AM$11-$AL$11)),$AN$11-SQRT((1-AZ780)*($AN$11-$AL$11)*($AN$11-$AM$11))),$AM$11)</f>
        <v/>
      </c>
      <c r="AR780">
        <f>SUMPRODUCT((B24:B31&lt;=$B$6)*(C24:C31*AM780+D24:D31*AO780*$B$8*AQ780)/(1+AL780/100)^B24:B31)+C32*AM780*AP780/(1+AL780/100)^$B$6</f>
        <v/>
      </c>
      <c r="AS780">
        <f>SUMPRODUCT((K24:K26&lt;=$B$6)*(L24:L26*AN780+M24:M26*AO780*$B$8*AQ780)/(1+AL780/100)^K24:K26)+L27*AN780*AP780/(1+AL780/100)^$B$6</f>
        <v/>
      </c>
      <c r="AT780">
        <f>AS780-AR780</f>
        <v/>
      </c>
      <c r="AU780">
        <f>RAND()</f>
        <v/>
      </c>
      <c r="AV780">
        <f>RAND()</f>
        <v/>
      </c>
      <c r="AW780">
        <f>RAND()</f>
        <v/>
      </c>
      <c r="AX780">
        <f>RAND()</f>
        <v/>
      </c>
      <c r="AY780">
        <f>RAND()</f>
        <v/>
      </c>
      <c r="AZ780">
        <f>RAND()</f>
        <v/>
      </c>
    </row>
    <row r="781">
      <c r="AK781" t="n">
        <v>768</v>
      </c>
      <c r="AL781">
        <f>IFERROR(IF(AU781&lt;($AM$6-$AL$6)/($AN$6-$AL$6),$AL$6+SQRT(AU781*($AN$6-$AL$6)*($AM$6-$AL$6)),$AN$6-SQRT((1-AU781)*($AN$6-$AL$6)*($AN$6-$AM$6))),$AM$6)</f>
        <v/>
      </c>
      <c r="AM781">
        <f>IFERROR(IF(AV781&lt;($AM$7-$AL$7)/($AN$7-$AL$7),$AL$7+SQRT(AV781*($AN$7-$AL$7)*($AM$7-$AL$7)),$AN$7-SQRT((1-AV781)*($AN$7-$AL$7)*($AN$7-$AM$7))),$AM$7)</f>
        <v/>
      </c>
      <c r="AN781">
        <f>IFERROR(IF(AW781&lt;($AM$8-$AL$8)/($AN$8-$AL$8),$AL$8+SQRT(AW781*($AN$8-$AL$8)*($AM$8-$AL$8)),$AN$8-SQRT((1-AW781)*($AN$8-$AL$8)*($AN$8-$AM$8))),$AM$8)</f>
        <v/>
      </c>
      <c r="AO781">
        <f>IFERROR(IF(AX781&lt;($AM$9-$AL$9)/($AN$9-$AL$9),$AL$9+SQRT(AX781*($AN$9-$AL$9)*($AM$9-$AL$9)),$AN$9-SQRT((1-AX781)*($AN$9-$AL$9)*($AN$9-$AM$9))),$AM$9)</f>
        <v/>
      </c>
      <c r="AP781">
        <f>IFERROR(IF(AY781&lt;($AM$10-$AL$10)/($AN$10-$AL$10),$AL$10+SQRT(AY781*($AN$10-$AL$10)*($AM$10-$AL$10)),$AN$10-SQRT((1-AY781)*($AN$10-$AL$10)*($AN$10-$AM$10))),$AM$10)</f>
        <v/>
      </c>
      <c r="AQ781">
        <f>IFERROR(IF(AZ781&lt;($AM$11-$AL$11)/($AN$11-$AL$11),$AL$11+SQRT(AZ781*($AN$11-$AL$11)*($AM$11-$AL$11)),$AN$11-SQRT((1-AZ781)*($AN$11-$AL$11)*($AN$11-$AM$11))),$AM$11)</f>
        <v/>
      </c>
      <c r="AR781">
        <f>SUMPRODUCT((B24:B31&lt;=$B$6)*(C24:C31*AM781+D24:D31*AO781*$B$8*AQ781)/(1+AL781/100)^B24:B31)+C32*AM781*AP781/(1+AL781/100)^$B$6</f>
        <v/>
      </c>
      <c r="AS781">
        <f>SUMPRODUCT((K24:K26&lt;=$B$6)*(L24:L26*AN781+M24:M26*AO781*$B$8*AQ781)/(1+AL781/100)^K24:K26)+L27*AN781*AP781/(1+AL781/100)^$B$6</f>
        <v/>
      </c>
      <c r="AT781">
        <f>AS781-AR781</f>
        <v/>
      </c>
      <c r="AU781">
        <f>RAND()</f>
        <v/>
      </c>
      <c r="AV781">
        <f>RAND()</f>
        <v/>
      </c>
      <c r="AW781">
        <f>RAND()</f>
        <v/>
      </c>
      <c r="AX781">
        <f>RAND()</f>
        <v/>
      </c>
      <c r="AY781">
        <f>RAND()</f>
        <v/>
      </c>
      <c r="AZ781">
        <f>RAND()</f>
        <v/>
      </c>
    </row>
    <row r="782">
      <c r="AK782" t="n">
        <v>769</v>
      </c>
      <c r="AL782">
        <f>IFERROR(IF(AU782&lt;($AM$6-$AL$6)/($AN$6-$AL$6),$AL$6+SQRT(AU782*($AN$6-$AL$6)*($AM$6-$AL$6)),$AN$6-SQRT((1-AU782)*($AN$6-$AL$6)*($AN$6-$AM$6))),$AM$6)</f>
        <v/>
      </c>
      <c r="AM782">
        <f>IFERROR(IF(AV782&lt;($AM$7-$AL$7)/($AN$7-$AL$7),$AL$7+SQRT(AV782*($AN$7-$AL$7)*($AM$7-$AL$7)),$AN$7-SQRT((1-AV782)*($AN$7-$AL$7)*($AN$7-$AM$7))),$AM$7)</f>
        <v/>
      </c>
      <c r="AN782">
        <f>IFERROR(IF(AW782&lt;($AM$8-$AL$8)/($AN$8-$AL$8),$AL$8+SQRT(AW782*($AN$8-$AL$8)*($AM$8-$AL$8)),$AN$8-SQRT((1-AW782)*($AN$8-$AL$8)*($AN$8-$AM$8))),$AM$8)</f>
        <v/>
      </c>
      <c r="AO782">
        <f>IFERROR(IF(AX782&lt;($AM$9-$AL$9)/($AN$9-$AL$9),$AL$9+SQRT(AX782*($AN$9-$AL$9)*($AM$9-$AL$9)),$AN$9-SQRT((1-AX782)*($AN$9-$AL$9)*($AN$9-$AM$9))),$AM$9)</f>
        <v/>
      </c>
      <c r="AP782">
        <f>IFERROR(IF(AY782&lt;($AM$10-$AL$10)/($AN$10-$AL$10),$AL$10+SQRT(AY782*($AN$10-$AL$10)*($AM$10-$AL$10)),$AN$10-SQRT((1-AY782)*($AN$10-$AL$10)*($AN$10-$AM$10))),$AM$10)</f>
        <v/>
      </c>
      <c r="AQ782">
        <f>IFERROR(IF(AZ782&lt;($AM$11-$AL$11)/($AN$11-$AL$11),$AL$11+SQRT(AZ782*($AN$11-$AL$11)*($AM$11-$AL$11)),$AN$11-SQRT((1-AZ782)*($AN$11-$AL$11)*($AN$11-$AM$11))),$AM$11)</f>
        <v/>
      </c>
      <c r="AR782">
        <f>SUMPRODUCT((B24:B31&lt;=$B$6)*(C24:C31*AM782+D24:D31*AO782*$B$8*AQ782)/(1+AL782/100)^B24:B31)+C32*AM782*AP782/(1+AL782/100)^$B$6</f>
        <v/>
      </c>
      <c r="AS782">
        <f>SUMPRODUCT((K24:K26&lt;=$B$6)*(L24:L26*AN782+M24:M26*AO782*$B$8*AQ782)/(1+AL782/100)^K24:K26)+L27*AN782*AP782/(1+AL782/100)^$B$6</f>
        <v/>
      </c>
      <c r="AT782">
        <f>AS782-AR782</f>
        <v/>
      </c>
      <c r="AU782">
        <f>RAND()</f>
        <v/>
      </c>
      <c r="AV782">
        <f>RAND()</f>
        <v/>
      </c>
      <c r="AW782">
        <f>RAND()</f>
        <v/>
      </c>
      <c r="AX782">
        <f>RAND()</f>
        <v/>
      </c>
      <c r="AY782">
        <f>RAND()</f>
        <v/>
      </c>
      <c r="AZ782">
        <f>RAND()</f>
        <v/>
      </c>
    </row>
    <row r="783">
      <c r="AK783" t="n">
        <v>770</v>
      </c>
      <c r="AL783">
        <f>IFERROR(IF(AU783&lt;($AM$6-$AL$6)/($AN$6-$AL$6),$AL$6+SQRT(AU783*($AN$6-$AL$6)*($AM$6-$AL$6)),$AN$6-SQRT((1-AU783)*($AN$6-$AL$6)*($AN$6-$AM$6))),$AM$6)</f>
        <v/>
      </c>
      <c r="AM783">
        <f>IFERROR(IF(AV783&lt;($AM$7-$AL$7)/($AN$7-$AL$7),$AL$7+SQRT(AV783*($AN$7-$AL$7)*($AM$7-$AL$7)),$AN$7-SQRT((1-AV783)*($AN$7-$AL$7)*($AN$7-$AM$7))),$AM$7)</f>
        <v/>
      </c>
      <c r="AN783">
        <f>IFERROR(IF(AW783&lt;($AM$8-$AL$8)/($AN$8-$AL$8),$AL$8+SQRT(AW783*($AN$8-$AL$8)*($AM$8-$AL$8)),$AN$8-SQRT((1-AW783)*($AN$8-$AL$8)*($AN$8-$AM$8))),$AM$8)</f>
        <v/>
      </c>
      <c r="AO783">
        <f>IFERROR(IF(AX783&lt;($AM$9-$AL$9)/($AN$9-$AL$9),$AL$9+SQRT(AX783*($AN$9-$AL$9)*($AM$9-$AL$9)),$AN$9-SQRT((1-AX783)*($AN$9-$AL$9)*($AN$9-$AM$9))),$AM$9)</f>
        <v/>
      </c>
      <c r="AP783">
        <f>IFERROR(IF(AY783&lt;($AM$10-$AL$10)/($AN$10-$AL$10),$AL$10+SQRT(AY783*($AN$10-$AL$10)*($AM$10-$AL$10)),$AN$10-SQRT((1-AY783)*($AN$10-$AL$10)*($AN$10-$AM$10))),$AM$10)</f>
        <v/>
      </c>
      <c r="AQ783">
        <f>IFERROR(IF(AZ783&lt;($AM$11-$AL$11)/($AN$11-$AL$11),$AL$11+SQRT(AZ783*($AN$11-$AL$11)*($AM$11-$AL$11)),$AN$11-SQRT((1-AZ783)*($AN$11-$AL$11)*($AN$11-$AM$11))),$AM$11)</f>
        <v/>
      </c>
      <c r="AR783">
        <f>SUMPRODUCT((B24:B31&lt;=$B$6)*(C24:C31*AM783+D24:D31*AO783*$B$8*AQ783)/(1+AL783/100)^B24:B31)+C32*AM783*AP783/(1+AL783/100)^$B$6</f>
        <v/>
      </c>
      <c r="AS783">
        <f>SUMPRODUCT((K24:K26&lt;=$B$6)*(L24:L26*AN783+M24:M26*AO783*$B$8*AQ783)/(1+AL783/100)^K24:K26)+L27*AN783*AP783/(1+AL783/100)^$B$6</f>
        <v/>
      </c>
      <c r="AT783">
        <f>AS783-AR783</f>
        <v/>
      </c>
      <c r="AU783">
        <f>RAND()</f>
        <v/>
      </c>
      <c r="AV783">
        <f>RAND()</f>
        <v/>
      </c>
      <c r="AW783">
        <f>RAND()</f>
        <v/>
      </c>
      <c r="AX783">
        <f>RAND()</f>
        <v/>
      </c>
      <c r="AY783">
        <f>RAND()</f>
        <v/>
      </c>
      <c r="AZ783">
        <f>RAND()</f>
        <v/>
      </c>
    </row>
    <row r="784">
      <c r="AK784" t="n">
        <v>771</v>
      </c>
      <c r="AL784">
        <f>IFERROR(IF(AU784&lt;($AM$6-$AL$6)/($AN$6-$AL$6),$AL$6+SQRT(AU784*($AN$6-$AL$6)*($AM$6-$AL$6)),$AN$6-SQRT((1-AU784)*($AN$6-$AL$6)*($AN$6-$AM$6))),$AM$6)</f>
        <v/>
      </c>
      <c r="AM784">
        <f>IFERROR(IF(AV784&lt;($AM$7-$AL$7)/($AN$7-$AL$7),$AL$7+SQRT(AV784*($AN$7-$AL$7)*($AM$7-$AL$7)),$AN$7-SQRT((1-AV784)*($AN$7-$AL$7)*($AN$7-$AM$7))),$AM$7)</f>
        <v/>
      </c>
      <c r="AN784">
        <f>IFERROR(IF(AW784&lt;($AM$8-$AL$8)/($AN$8-$AL$8),$AL$8+SQRT(AW784*($AN$8-$AL$8)*($AM$8-$AL$8)),$AN$8-SQRT((1-AW784)*($AN$8-$AL$8)*($AN$8-$AM$8))),$AM$8)</f>
        <v/>
      </c>
      <c r="AO784">
        <f>IFERROR(IF(AX784&lt;($AM$9-$AL$9)/($AN$9-$AL$9),$AL$9+SQRT(AX784*($AN$9-$AL$9)*($AM$9-$AL$9)),$AN$9-SQRT((1-AX784)*($AN$9-$AL$9)*($AN$9-$AM$9))),$AM$9)</f>
        <v/>
      </c>
      <c r="AP784">
        <f>IFERROR(IF(AY784&lt;($AM$10-$AL$10)/($AN$10-$AL$10),$AL$10+SQRT(AY784*($AN$10-$AL$10)*($AM$10-$AL$10)),$AN$10-SQRT((1-AY784)*($AN$10-$AL$10)*($AN$10-$AM$10))),$AM$10)</f>
        <v/>
      </c>
      <c r="AQ784">
        <f>IFERROR(IF(AZ784&lt;($AM$11-$AL$11)/($AN$11-$AL$11),$AL$11+SQRT(AZ784*($AN$11-$AL$11)*($AM$11-$AL$11)),$AN$11-SQRT((1-AZ784)*($AN$11-$AL$11)*($AN$11-$AM$11))),$AM$11)</f>
        <v/>
      </c>
      <c r="AR784">
        <f>SUMPRODUCT((B24:B31&lt;=$B$6)*(C24:C31*AM784+D24:D31*AO784*$B$8*AQ784)/(1+AL784/100)^B24:B31)+C32*AM784*AP784/(1+AL784/100)^$B$6</f>
        <v/>
      </c>
      <c r="AS784">
        <f>SUMPRODUCT((K24:K26&lt;=$B$6)*(L24:L26*AN784+M24:M26*AO784*$B$8*AQ784)/(1+AL784/100)^K24:K26)+L27*AN784*AP784/(1+AL784/100)^$B$6</f>
        <v/>
      </c>
      <c r="AT784">
        <f>AS784-AR784</f>
        <v/>
      </c>
      <c r="AU784">
        <f>RAND()</f>
        <v/>
      </c>
      <c r="AV784">
        <f>RAND()</f>
        <v/>
      </c>
      <c r="AW784">
        <f>RAND()</f>
        <v/>
      </c>
      <c r="AX784">
        <f>RAND()</f>
        <v/>
      </c>
      <c r="AY784">
        <f>RAND()</f>
        <v/>
      </c>
      <c r="AZ784">
        <f>RAND()</f>
        <v/>
      </c>
    </row>
    <row r="785">
      <c r="AK785" t="n">
        <v>772</v>
      </c>
      <c r="AL785">
        <f>IFERROR(IF(AU785&lt;($AM$6-$AL$6)/($AN$6-$AL$6),$AL$6+SQRT(AU785*($AN$6-$AL$6)*($AM$6-$AL$6)),$AN$6-SQRT((1-AU785)*($AN$6-$AL$6)*($AN$6-$AM$6))),$AM$6)</f>
        <v/>
      </c>
      <c r="AM785">
        <f>IFERROR(IF(AV785&lt;($AM$7-$AL$7)/($AN$7-$AL$7),$AL$7+SQRT(AV785*($AN$7-$AL$7)*($AM$7-$AL$7)),$AN$7-SQRT((1-AV785)*($AN$7-$AL$7)*($AN$7-$AM$7))),$AM$7)</f>
        <v/>
      </c>
      <c r="AN785">
        <f>IFERROR(IF(AW785&lt;($AM$8-$AL$8)/($AN$8-$AL$8),$AL$8+SQRT(AW785*($AN$8-$AL$8)*($AM$8-$AL$8)),$AN$8-SQRT((1-AW785)*($AN$8-$AL$8)*($AN$8-$AM$8))),$AM$8)</f>
        <v/>
      </c>
      <c r="AO785">
        <f>IFERROR(IF(AX785&lt;($AM$9-$AL$9)/($AN$9-$AL$9),$AL$9+SQRT(AX785*($AN$9-$AL$9)*($AM$9-$AL$9)),$AN$9-SQRT((1-AX785)*($AN$9-$AL$9)*($AN$9-$AM$9))),$AM$9)</f>
        <v/>
      </c>
      <c r="AP785">
        <f>IFERROR(IF(AY785&lt;($AM$10-$AL$10)/($AN$10-$AL$10),$AL$10+SQRT(AY785*($AN$10-$AL$10)*($AM$10-$AL$10)),$AN$10-SQRT((1-AY785)*($AN$10-$AL$10)*($AN$10-$AM$10))),$AM$10)</f>
        <v/>
      </c>
      <c r="AQ785">
        <f>IFERROR(IF(AZ785&lt;($AM$11-$AL$11)/($AN$11-$AL$11),$AL$11+SQRT(AZ785*($AN$11-$AL$11)*($AM$11-$AL$11)),$AN$11-SQRT((1-AZ785)*($AN$11-$AL$11)*($AN$11-$AM$11))),$AM$11)</f>
        <v/>
      </c>
      <c r="AR785">
        <f>SUMPRODUCT((B24:B31&lt;=$B$6)*(C24:C31*AM785+D24:D31*AO785*$B$8*AQ785)/(1+AL785/100)^B24:B31)+C32*AM785*AP785/(1+AL785/100)^$B$6</f>
        <v/>
      </c>
      <c r="AS785">
        <f>SUMPRODUCT((K24:K26&lt;=$B$6)*(L24:L26*AN785+M24:M26*AO785*$B$8*AQ785)/(1+AL785/100)^K24:K26)+L27*AN785*AP785/(1+AL785/100)^$B$6</f>
        <v/>
      </c>
      <c r="AT785">
        <f>AS785-AR785</f>
        <v/>
      </c>
      <c r="AU785">
        <f>RAND()</f>
        <v/>
      </c>
      <c r="AV785">
        <f>RAND()</f>
        <v/>
      </c>
      <c r="AW785">
        <f>RAND()</f>
        <v/>
      </c>
      <c r="AX785">
        <f>RAND()</f>
        <v/>
      </c>
      <c r="AY785">
        <f>RAND()</f>
        <v/>
      </c>
      <c r="AZ785">
        <f>RAND()</f>
        <v/>
      </c>
    </row>
    <row r="786">
      <c r="AK786" t="n">
        <v>773</v>
      </c>
      <c r="AL786">
        <f>IFERROR(IF(AU786&lt;($AM$6-$AL$6)/($AN$6-$AL$6),$AL$6+SQRT(AU786*($AN$6-$AL$6)*($AM$6-$AL$6)),$AN$6-SQRT((1-AU786)*($AN$6-$AL$6)*($AN$6-$AM$6))),$AM$6)</f>
        <v/>
      </c>
      <c r="AM786">
        <f>IFERROR(IF(AV786&lt;($AM$7-$AL$7)/($AN$7-$AL$7),$AL$7+SQRT(AV786*($AN$7-$AL$7)*($AM$7-$AL$7)),$AN$7-SQRT((1-AV786)*($AN$7-$AL$7)*($AN$7-$AM$7))),$AM$7)</f>
        <v/>
      </c>
      <c r="AN786">
        <f>IFERROR(IF(AW786&lt;($AM$8-$AL$8)/($AN$8-$AL$8),$AL$8+SQRT(AW786*($AN$8-$AL$8)*($AM$8-$AL$8)),$AN$8-SQRT((1-AW786)*($AN$8-$AL$8)*($AN$8-$AM$8))),$AM$8)</f>
        <v/>
      </c>
      <c r="AO786">
        <f>IFERROR(IF(AX786&lt;($AM$9-$AL$9)/($AN$9-$AL$9),$AL$9+SQRT(AX786*($AN$9-$AL$9)*($AM$9-$AL$9)),$AN$9-SQRT((1-AX786)*($AN$9-$AL$9)*($AN$9-$AM$9))),$AM$9)</f>
        <v/>
      </c>
      <c r="AP786">
        <f>IFERROR(IF(AY786&lt;($AM$10-$AL$10)/($AN$10-$AL$10),$AL$10+SQRT(AY786*($AN$10-$AL$10)*($AM$10-$AL$10)),$AN$10-SQRT((1-AY786)*($AN$10-$AL$10)*($AN$10-$AM$10))),$AM$10)</f>
        <v/>
      </c>
      <c r="AQ786">
        <f>IFERROR(IF(AZ786&lt;($AM$11-$AL$11)/($AN$11-$AL$11),$AL$11+SQRT(AZ786*($AN$11-$AL$11)*($AM$11-$AL$11)),$AN$11-SQRT((1-AZ786)*($AN$11-$AL$11)*($AN$11-$AM$11))),$AM$11)</f>
        <v/>
      </c>
      <c r="AR786">
        <f>SUMPRODUCT((B24:B31&lt;=$B$6)*(C24:C31*AM786+D24:D31*AO786*$B$8*AQ786)/(1+AL786/100)^B24:B31)+C32*AM786*AP786/(1+AL786/100)^$B$6</f>
        <v/>
      </c>
      <c r="AS786">
        <f>SUMPRODUCT((K24:K26&lt;=$B$6)*(L24:L26*AN786+M24:M26*AO786*$B$8*AQ786)/(1+AL786/100)^K24:K26)+L27*AN786*AP786/(1+AL786/100)^$B$6</f>
        <v/>
      </c>
      <c r="AT786">
        <f>AS786-AR786</f>
        <v/>
      </c>
      <c r="AU786">
        <f>RAND()</f>
        <v/>
      </c>
      <c r="AV786">
        <f>RAND()</f>
        <v/>
      </c>
      <c r="AW786">
        <f>RAND()</f>
        <v/>
      </c>
      <c r="AX786">
        <f>RAND()</f>
        <v/>
      </c>
      <c r="AY786">
        <f>RAND()</f>
        <v/>
      </c>
      <c r="AZ786">
        <f>RAND()</f>
        <v/>
      </c>
    </row>
    <row r="787">
      <c r="AK787" t="n">
        <v>774</v>
      </c>
      <c r="AL787">
        <f>IFERROR(IF(AU787&lt;($AM$6-$AL$6)/($AN$6-$AL$6),$AL$6+SQRT(AU787*($AN$6-$AL$6)*($AM$6-$AL$6)),$AN$6-SQRT((1-AU787)*($AN$6-$AL$6)*($AN$6-$AM$6))),$AM$6)</f>
        <v/>
      </c>
      <c r="AM787">
        <f>IFERROR(IF(AV787&lt;($AM$7-$AL$7)/($AN$7-$AL$7),$AL$7+SQRT(AV787*($AN$7-$AL$7)*($AM$7-$AL$7)),$AN$7-SQRT((1-AV787)*($AN$7-$AL$7)*($AN$7-$AM$7))),$AM$7)</f>
        <v/>
      </c>
      <c r="AN787">
        <f>IFERROR(IF(AW787&lt;($AM$8-$AL$8)/($AN$8-$AL$8),$AL$8+SQRT(AW787*($AN$8-$AL$8)*($AM$8-$AL$8)),$AN$8-SQRT((1-AW787)*($AN$8-$AL$8)*($AN$8-$AM$8))),$AM$8)</f>
        <v/>
      </c>
      <c r="AO787">
        <f>IFERROR(IF(AX787&lt;($AM$9-$AL$9)/($AN$9-$AL$9),$AL$9+SQRT(AX787*($AN$9-$AL$9)*($AM$9-$AL$9)),$AN$9-SQRT((1-AX787)*($AN$9-$AL$9)*($AN$9-$AM$9))),$AM$9)</f>
        <v/>
      </c>
      <c r="AP787">
        <f>IFERROR(IF(AY787&lt;($AM$10-$AL$10)/($AN$10-$AL$10),$AL$10+SQRT(AY787*($AN$10-$AL$10)*($AM$10-$AL$10)),$AN$10-SQRT((1-AY787)*($AN$10-$AL$10)*($AN$10-$AM$10))),$AM$10)</f>
        <v/>
      </c>
      <c r="AQ787">
        <f>IFERROR(IF(AZ787&lt;($AM$11-$AL$11)/($AN$11-$AL$11),$AL$11+SQRT(AZ787*($AN$11-$AL$11)*($AM$11-$AL$11)),$AN$11-SQRT((1-AZ787)*($AN$11-$AL$11)*($AN$11-$AM$11))),$AM$11)</f>
        <v/>
      </c>
      <c r="AR787">
        <f>SUMPRODUCT((B24:B31&lt;=$B$6)*(C24:C31*AM787+D24:D31*AO787*$B$8*AQ787)/(1+AL787/100)^B24:B31)+C32*AM787*AP787/(1+AL787/100)^$B$6</f>
        <v/>
      </c>
      <c r="AS787">
        <f>SUMPRODUCT((K24:K26&lt;=$B$6)*(L24:L26*AN787+M24:M26*AO787*$B$8*AQ787)/(1+AL787/100)^K24:K26)+L27*AN787*AP787/(1+AL787/100)^$B$6</f>
        <v/>
      </c>
      <c r="AT787">
        <f>AS787-AR787</f>
        <v/>
      </c>
      <c r="AU787">
        <f>RAND()</f>
        <v/>
      </c>
      <c r="AV787">
        <f>RAND()</f>
        <v/>
      </c>
      <c r="AW787">
        <f>RAND()</f>
        <v/>
      </c>
      <c r="AX787">
        <f>RAND()</f>
        <v/>
      </c>
      <c r="AY787">
        <f>RAND()</f>
        <v/>
      </c>
      <c r="AZ787">
        <f>RAND()</f>
        <v/>
      </c>
    </row>
    <row r="788">
      <c r="AK788" t="n">
        <v>775</v>
      </c>
      <c r="AL788">
        <f>IFERROR(IF(AU788&lt;($AM$6-$AL$6)/($AN$6-$AL$6),$AL$6+SQRT(AU788*($AN$6-$AL$6)*($AM$6-$AL$6)),$AN$6-SQRT((1-AU788)*($AN$6-$AL$6)*($AN$6-$AM$6))),$AM$6)</f>
        <v/>
      </c>
      <c r="AM788">
        <f>IFERROR(IF(AV788&lt;($AM$7-$AL$7)/($AN$7-$AL$7),$AL$7+SQRT(AV788*($AN$7-$AL$7)*($AM$7-$AL$7)),$AN$7-SQRT((1-AV788)*($AN$7-$AL$7)*($AN$7-$AM$7))),$AM$7)</f>
        <v/>
      </c>
      <c r="AN788">
        <f>IFERROR(IF(AW788&lt;($AM$8-$AL$8)/($AN$8-$AL$8),$AL$8+SQRT(AW788*($AN$8-$AL$8)*($AM$8-$AL$8)),$AN$8-SQRT((1-AW788)*($AN$8-$AL$8)*($AN$8-$AM$8))),$AM$8)</f>
        <v/>
      </c>
      <c r="AO788">
        <f>IFERROR(IF(AX788&lt;($AM$9-$AL$9)/($AN$9-$AL$9),$AL$9+SQRT(AX788*($AN$9-$AL$9)*($AM$9-$AL$9)),$AN$9-SQRT((1-AX788)*($AN$9-$AL$9)*($AN$9-$AM$9))),$AM$9)</f>
        <v/>
      </c>
      <c r="AP788">
        <f>IFERROR(IF(AY788&lt;($AM$10-$AL$10)/($AN$10-$AL$10),$AL$10+SQRT(AY788*($AN$10-$AL$10)*($AM$10-$AL$10)),$AN$10-SQRT((1-AY788)*($AN$10-$AL$10)*($AN$10-$AM$10))),$AM$10)</f>
        <v/>
      </c>
      <c r="AQ788">
        <f>IFERROR(IF(AZ788&lt;($AM$11-$AL$11)/($AN$11-$AL$11),$AL$11+SQRT(AZ788*($AN$11-$AL$11)*($AM$11-$AL$11)),$AN$11-SQRT((1-AZ788)*($AN$11-$AL$11)*($AN$11-$AM$11))),$AM$11)</f>
        <v/>
      </c>
      <c r="AR788">
        <f>SUMPRODUCT((B24:B31&lt;=$B$6)*(C24:C31*AM788+D24:D31*AO788*$B$8*AQ788)/(1+AL788/100)^B24:B31)+C32*AM788*AP788/(1+AL788/100)^$B$6</f>
        <v/>
      </c>
      <c r="AS788">
        <f>SUMPRODUCT((K24:K26&lt;=$B$6)*(L24:L26*AN788+M24:M26*AO788*$B$8*AQ788)/(1+AL788/100)^K24:K26)+L27*AN788*AP788/(1+AL788/100)^$B$6</f>
        <v/>
      </c>
      <c r="AT788">
        <f>AS788-AR788</f>
        <v/>
      </c>
      <c r="AU788">
        <f>RAND()</f>
        <v/>
      </c>
      <c r="AV788">
        <f>RAND()</f>
        <v/>
      </c>
      <c r="AW788">
        <f>RAND()</f>
        <v/>
      </c>
      <c r="AX788">
        <f>RAND()</f>
        <v/>
      </c>
      <c r="AY788">
        <f>RAND()</f>
        <v/>
      </c>
      <c r="AZ788">
        <f>RAND()</f>
        <v/>
      </c>
    </row>
    <row r="789">
      <c r="AK789" t="n">
        <v>776</v>
      </c>
      <c r="AL789">
        <f>IFERROR(IF(AU789&lt;($AM$6-$AL$6)/($AN$6-$AL$6),$AL$6+SQRT(AU789*($AN$6-$AL$6)*($AM$6-$AL$6)),$AN$6-SQRT((1-AU789)*($AN$6-$AL$6)*($AN$6-$AM$6))),$AM$6)</f>
        <v/>
      </c>
      <c r="AM789">
        <f>IFERROR(IF(AV789&lt;($AM$7-$AL$7)/($AN$7-$AL$7),$AL$7+SQRT(AV789*($AN$7-$AL$7)*($AM$7-$AL$7)),$AN$7-SQRT((1-AV789)*($AN$7-$AL$7)*($AN$7-$AM$7))),$AM$7)</f>
        <v/>
      </c>
      <c r="AN789">
        <f>IFERROR(IF(AW789&lt;($AM$8-$AL$8)/($AN$8-$AL$8),$AL$8+SQRT(AW789*($AN$8-$AL$8)*($AM$8-$AL$8)),$AN$8-SQRT((1-AW789)*($AN$8-$AL$8)*($AN$8-$AM$8))),$AM$8)</f>
        <v/>
      </c>
      <c r="AO789">
        <f>IFERROR(IF(AX789&lt;($AM$9-$AL$9)/($AN$9-$AL$9),$AL$9+SQRT(AX789*($AN$9-$AL$9)*($AM$9-$AL$9)),$AN$9-SQRT((1-AX789)*($AN$9-$AL$9)*($AN$9-$AM$9))),$AM$9)</f>
        <v/>
      </c>
      <c r="AP789">
        <f>IFERROR(IF(AY789&lt;($AM$10-$AL$10)/($AN$10-$AL$10),$AL$10+SQRT(AY789*($AN$10-$AL$10)*($AM$10-$AL$10)),$AN$10-SQRT((1-AY789)*($AN$10-$AL$10)*($AN$10-$AM$10))),$AM$10)</f>
        <v/>
      </c>
      <c r="AQ789">
        <f>IFERROR(IF(AZ789&lt;($AM$11-$AL$11)/($AN$11-$AL$11),$AL$11+SQRT(AZ789*($AN$11-$AL$11)*($AM$11-$AL$11)),$AN$11-SQRT((1-AZ789)*($AN$11-$AL$11)*($AN$11-$AM$11))),$AM$11)</f>
        <v/>
      </c>
      <c r="AR789">
        <f>SUMPRODUCT((B24:B31&lt;=$B$6)*(C24:C31*AM789+D24:D31*AO789*$B$8*AQ789)/(1+AL789/100)^B24:B31)+C32*AM789*AP789/(1+AL789/100)^$B$6</f>
        <v/>
      </c>
      <c r="AS789">
        <f>SUMPRODUCT((K24:K26&lt;=$B$6)*(L24:L26*AN789+M24:M26*AO789*$B$8*AQ789)/(1+AL789/100)^K24:K26)+L27*AN789*AP789/(1+AL789/100)^$B$6</f>
        <v/>
      </c>
      <c r="AT789">
        <f>AS789-AR789</f>
        <v/>
      </c>
      <c r="AU789">
        <f>RAND()</f>
        <v/>
      </c>
      <c r="AV789">
        <f>RAND()</f>
        <v/>
      </c>
      <c r="AW789">
        <f>RAND()</f>
        <v/>
      </c>
      <c r="AX789">
        <f>RAND()</f>
        <v/>
      </c>
      <c r="AY789">
        <f>RAND()</f>
        <v/>
      </c>
      <c r="AZ789">
        <f>RAND()</f>
        <v/>
      </c>
    </row>
    <row r="790">
      <c r="AK790" t="n">
        <v>777</v>
      </c>
      <c r="AL790">
        <f>IFERROR(IF(AU790&lt;($AM$6-$AL$6)/($AN$6-$AL$6),$AL$6+SQRT(AU790*($AN$6-$AL$6)*($AM$6-$AL$6)),$AN$6-SQRT((1-AU790)*($AN$6-$AL$6)*($AN$6-$AM$6))),$AM$6)</f>
        <v/>
      </c>
      <c r="AM790">
        <f>IFERROR(IF(AV790&lt;($AM$7-$AL$7)/($AN$7-$AL$7),$AL$7+SQRT(AV790*($AN$7-$AL$7)*($AM$7-$AL$7)),$AN$7-SQRT((1-AV790)*($AN$7-$AL$7)*($AN$7-$AM$7))),$AM$7)</f>
        <v/>
      </c>
      <c r="AN790">
        <f>IFERROR(IF(AW790&lt;($AM$8-$AL$8)/($AN$8-$AL$8),$AL$8+SQRT(AW790*($AN$8-$AL$8)*($AM$8-$AL$8)),$AN$8-SQRT((1-AW790)*($AN$8-$AL$8)*($AN$8-$AM$8))),$AM$8)</f>
        <v/>
      </c>
      <c r="AO790">
        <f>IFERROR(IF(AX790&lt;($AM$9-$AL$9)/($AN$9-$AL$9),$AL$9+SQRT(AX790*($AN$9-$AL$9)*($AM$9-$AL$9)),$AN$9-SQRT((1-AX790)*($AN$9-$AL$9)*($AN$9-$AM$9))),$AM$9)</f>
        <v/>
      </c>
      <c r="AP790">
        <f>IFERROR(IF(AY790&lt;($AM$10-$AL$10)/($AN$10-$AL$10),$AL$10+SQRT(AY790*($AN$10-$AL$10)*($AM$10-$AL$10)),$AN$10-SQRT((1-AY790)*($AN$10-$AL$10)*($AN$10-$AM$10))),$AM$10)</f>
        <v/>
      </c>
      <c r="AQ790">
        <f>IFERROR(IF(AZ790&lt;($AM$11-$AL$11)/($AN$11-$AL$11),$AL$11+SQRT(AZ790*($AN$11-$AL$11)*($AM$11-$AL$11)),$AN$11-SQRT((1-AZ790)*($AN$11-$AL$11)*($AN$11-$AM$11))),$AM$11)</f>
        <v/>
      </c>
      <c r="AR790">
        <f>SUMPRODUCT((B24:B31&lt;=$B$6)*(C24:C31*AM790+D24:D31*AO790*$B$8*AQ790)/(1+AL790/100)^B24:B31)+C32*AM790*AP790/(1+AL790/100)^$B$6</f>
        <v/>
      </c>
      <c r="AS790">
        <f>SUMPRODUCT((K24:K26&lt;=$B$6)*(L24:L26*AN790+M24:M26*AO790*$B$8*AQ790)/(1+AL790/100)^K24:K26)+L27*AN790*AP790/(1+AL790/100)^$B$6</f>
        <v/>
      </c>
      <c r="AT790">
        <f>AS790-AR790</f>
        <v/>
      </c>
      <c r="AU790">
        <f>RAND()</f>
        <v/>
      </c>
      <c r="AV790">
        <f>RAND()</f>
        <v/>
      </c>
      <c r="AW790">
        <f>RAND()</f>
        <v/>
      </c>
      <c r="AX790">
        <f>RAND()</f>
        <v/>
      </c>
      <c r="AY790">
        <f>RAND()</f>
        <v/>
      </c>
      <c r="AZ790">
        <f>RAND()</f>
        <v/>
      </c>
    </row>
    <row r="791">
      <c r="AK791" t="n">
        <v>778</v>
      </c>
      <c r="AL791">
        <f>IFERROR(IF(AU791&lt;($AM$6-$AL$6)/($AN$6-$AL$6),$AL$6+SQRT(AU791*($AN$6-$AL$6)*($AM$6-$AL$6)),$AN$6-SQRT((1-AU791)*($AN$6-$AL$6)*($AN$6-$AM$6))),$AM$6)</f>
        <v/>
      </c>
      <c r="AM791">
        <f>IFERROR(IF(AV791&lt;($AM$7-$AL$7)/($AN$7-$AL$7),$AL$7+SQRT(AV791*($AN$7-$AL$7)*($AM$7-$AL$7)),$AN$7-SQRT((1-AV791)*($AN$7-$AL$7)*($AN$7-$AM$7))),$AM$7)</f>
        <v/>
      </c>
      <c r="AN791">
        <f>IFERROR(IF(AW791&lt;($AM$8-$AL$8)/($AN$8-$AL$8),$AL$8+SQRT(AW791*($AN$8-$AL$8)*($AM$8-$AL$8)),$AN$8-SQRT((1-AW791)*($AN$8-$AL$8)*($AN$8-$AM$8))),$AM$8)</f>
        <v/>
      </c>
      <c r="AO791">
        <f>IFERROR(IF(AX791&lt;($AM$9-$AL$9)/($AN$9-$AL$9),$AL$9+SQRT(AX791*($AN$9-$AL$9)*($AM$9-$AL$9)),$AN$9-SQRT((1-AX791)*($AN$9-$AL$9)*($AN$9-$AM$9))),$AM$9)</f>
        <v/>
      </c>
      <c r="AP791">
        <f>IFERROR(IF(AY791&lt;($AM$10-$AL$10)/($AN$10-$AL$10),$AL$10+SQRT(AY791*($AN$10-$AL$10)*($AM$10-$AL$10)),$AN$10-SQRT((1-AY791)*($AN$10-$AL$10)*($AN$10-$AM$10))),$AM$10)</f>
        <v/>
      </c>
      <c r="AQ791">
        <f>IFERROR(IF(AZ791&lt;($AM$11-$AL$11)/($AN$11-$AL$11),$AL$11+SQRT(AZ791*($AN$11-$AL$11)*($AM$11-$AL$11)),$AN$11-SQRT((1-AZ791)*($AN$11-$AL$11)*($AN$11-$AM$11))),$AM$11)</f>
        <v/>
      </c>
      <c r="AR791">
        <f>SUMPRODUCT((B24:B31&lt;=$B$6)*(C24:C31*AM791+D24:D31*AO791*$B$8*AQ791)/(1+AL791/100)^B24:B31)+C32*AM791*AP791/(1+AL791/100)^$B$6</f>
        <v/>
      </c>
      <c r="AS791">
        <f>SUMPRODUCT((K24:K26&lt;=$B$6)*(L24:L26*AN791+M24:M26*AO791*$B$8*AQ791)/(1+AL791/100)^K24:K26)+L27*AN791*AP791/(1+AL791/100)^$B$6</f>
        <v/>
      </c>
      <c r="AT791">
        <f>AS791-AR791</f>
        <v/>
      </c>
      <c r="AU791">
        <f>RAND()</f>
        <v/>
      </c>
      <c r="AV791">
        <f>RAND()</f>
        <v/>
      </c>
      <c r="AW791">
        <f>RAND()</f>
        <v/>
      </c>
      <c r="AX791">
        <f>RAND()</f>
        <v/>
      </c>
      <c r="AY791">
        <f>RAND()</f>
        <v/>
      </c>
      <c r="AZ791">
        <f>RAND()</f>
        <v/>
      </c>
    </row>
    <row r="792">
      <c r="AK792" t="n">
        <v>779</v>
      </c>
      <c r="AL792">
        <f>IFERROR(IF(AU792&lt;($AM$6-$AL$6)/($AN$6-$AL$6),$AL$6+SQRT(AU792*($AN$6-$AL$6)*($AM$6-$AL$6)),$AN$6-SQRT((1-AU792)*($AN$6-$AL$6)*($AN$6-$AM$6))),$AM$6)</f>
        <v/>
      </c>
      <c r="AM792">
        <f>IFERROR(IF(AV792&lt;($AM$7-$AL$7)/($AN$7-$AL$7),$AL$7+SQRT(AV792*($AN$7-$AL$7)*($AM$7-$AL$7)),$AN$7-SQRT((1-AV792)*($AN$7-$AL$7)*($AN$7-$AM$7))),$AM$7)</f>
        <v/>
      </c>
      <c r="AN792">
        <f>IFERROR(IF(AW792&lt;($AM$8-$AL$8)/($AN$8-$AL$8),$AL$8+SQRT(AW792*($AN$8-$AL$8)*($AM$8-$AL$8)),$AN$8-SQRT((1-AW792)*($AN$8-$AL$8)*($AN$8-$AM$8))),$AM$8)</f>
        <v/>
      </c>
      <c r="AO792">
        <f>IFERROR(IF(AX792&lt;($AM$9-$AL$9)/($AN$9-$AL$9),$AL$9+SQRT(AX792*($AN$9-$AL$9)*($AM$9-$AL$9)),$AN$9-SQRT((1-AX792)*($AN$9-$AL$9)*($AN$9-$AM$9))),$AM$9)</f>
        <v/>
      </c>
      <c r="AP792">
        <f>IFERROR(IF(AY792&lt;($AM$10-$AL$10)/($AN$10-$AL$10),$AL$10+SQRT(AY792*($AN$10-$AL$10)*($AM$10-$AL$10)),$AN$10-SQRT((1-AY792)*($AN$10-$AL$10)*($AN$10-$AM$10))),$AM$10)</f>
        <v/>
      </c>
      <c r="AQ792">
        <f>IFERROR(IF(AZ792&lt;($AM$11-$AL$11)/($AN$11-$AL$11),$AL$11+SQRT(AZ792*($AN$11-$AL$11)*($AM$11-$AL$11)),$AN$11-SQRT((1-AZ792)*($AN$11-$AL$11)*($AN$11-$AM$11))),$AM$11)</f>
        <v/>
      </c>
      <c r="AR792">
        <f>SUMPRODUCT((B24:B31&lt;=$B$6)*(C24:C31*AM792+D24:D31*AO792*$B$8*AQ792)/(1+AL792/100)^B24:B31)+C32*AM792*AP792/(1+AL792/100)^$B$6</f>
        <v/>
      </c>
      <c r="AS792">
        <f>SUMPRODUCT((K24:K26&lt;=$B$6)*(L24:L26*AN792+M24:M26*AO792*$B$8*AQ792)/(1+AL792/100)^K24:K26)+L27*AN792*AP792/(1+AL792/100)^$B$6</f>
        <v/>
      </c>
      <c r="AT792">
        <f>AS792-AR792</f>
        <v/>
      </c>
      <c r="AU792">
        <f>RAND()</f>
        <v/>
      </c>
      <c r="AV792">
        <f>RAND()</f>
        <v/>
      </c>
      <c r="AW792">
        <f>RAND()</f>
        <v/>
      </c>
      <c r="AX792">
        <f>RAND()</f>
        <v/>
      </c>
      <c r="AY792">
        <f>RAND()</f>
        <v/>
      </c>
      <c r="AZ792">
        <f>RAND()</f>
        <v/>
      </c>
    </row>
    <row r="793">
      <c r="AK793" t="n">
        <v>780</v>
      </c>
      <c r="AL793">
        <f>IFERROR(IF(AU793&lt;($AM$6-$AL$6)/($AN$6-$AL$6),$AL$6+SQRT(AU793*($AN$6-$AL$6)*($AM$6-$AL$6)),$AN$6-SQRT((1-AU793)*($AN$6-$AL$6)*($AN$6-$AM$6))),$AM$6)</f>
        <v/>
      </c>
      <c r="AM793">
        <f>IFERROR(IF(AV793&lt;($AM$7-$AL$7)/($AN$7-$AL$7),$AL$7+SQRT(AV793*($AN$7-$AL$7)*($AM$7-$AL$7)),$AN$7-SQRT((1-AV793)*($AN$7-$AL$7)*($AN$7-$AM$7))),$AM$7)</f>
        <v/>
      </c>
      <c r="AN793">
        <f>IFERROR(IF(AW793&lt;($AM$8-$AL$8)/($AN$8-$AL$8),$AL$8+SQRT(AW793*($AN$8-$AL$8)*($AM$8-$AL$8)),$AN$8-SQRT((1-AW793)*($AN$8-$AL$8)*($AN$8-$AM$8))),$AM$8)</f>
        <v/>
      </c>
      <c r="AO793">
        <f>IFERROR(IF(AX793&lt;($AM$9-$AL$9)/($AN$9-$AL$9),$AL$9+SQRT(AX793*($AN$9-$AL$9)*($AM$9-$AL$9)),$AN$9-SQRT((1-AX793)*($AN$9-$AL$9)*($AN$9-$AM$9))),$AM$9)</f>
        <v/>
      </c>
      <c r="AP793">
        <f>IFERROR(IF(AY793&lt;($AM$10-$AL$10)/($AN$10-$AL$10),$AL$10+SQRT(AY793*($AN$10-$AL$10)*($AM$10-$AL$10)),$AN$10-SQRT((1-AY793)*($AN$10-$AL$10)*($AN$10-$AM$10))),$AM$10)</f>
        <v/>
      </c>
      <c r="AQ793">
        <f>IFERROR(IF(AZ793&lt;($AM$11-$AL$11)/($AN$11-$AL$11),$AL$11+SQRT(AZ793*($AN$11-$AL$11)*($AM$11-$AL$11)),$AN$11-SQRT((1-AZ793)*($AN$11-$AL$11)*($AN$11-$AM$11))),$AM$11)</f>
        <v/>
      </c>
      <c r="AR793">
        <f>SUMPRODUCT((B24:B31&lt;=$B$6)*(C24:C31*AM793+D24:D31*AO793*$B$8*AQ793)/(1+AL793/100)^B24:B31)+C32*AM793*AP793/(1+AL793/100)^$B$6</f>
        <v/>
      </c>
      <c r="AS793">
        <f>SUMPRODUCT((K24:K26&lt;=$B$6)*(L24:L26*AN793+M24:M26*AO793*$B$8*AQ793)/(1+AL793/100)^K24:K26)+L27*AN793*AP793/(1+AL793/100)^$B$6</f>
        <v/>
      </c>
      <c r="AT793">
        <f>AS793-AR793</f>
        <v/>
      </c>
      <c r="AU793">
        <f>RAND()</f>
        <v/>
      </c>
      <c r="AV793">
        <f>RAND()</f>
        <v/>
      </c>
      <c r="AW793">
        <f>RAND()</f>
        <v/>
      </c>
      <c r="AX793">
        <f>RAND()</f>
        <v/>
      </c>
      <c r="AY793">
        <f>RAND()</f>
        <v/>
      </c>
      <c r="AZ793">
        <f>RAND()</f>
        <v/>
      </c>
    </row>
    <row r="794">
      <c r="AK794" t="n">
        <v>781</v>
      </c>
      <c r="AL794">
        <f>IFERROR(IF(AU794&lt;($AM$6-$AL$6)/($AN$6-$AL$6),$AL$6+SQRT(AU794*($AN$6-$AL$6)*($AM$6-$AL$6)),$AN$6-SQRT((1-AU794)*($AN$6-$AL$6)*($AN$6-$AM$6))),$AM$6)</f>
        <v/>
      </c>
      <c r="AM794">
        <f>IFERROR(IF(AV794&lt;($AM$7-$AL$7)/($AN$7-$AL$7),$AL$7+SQRT(AV794*($AN$7-$AL$7)*($AM$7-$AL$7)),$AN$7-SQRT((1-AV794)*($AN$7-$AL$7)*($AN$7-$AM$7))),$AM$7)</f>
        <v/>
      </c>
      <c r="AN794">
        <f>IFERROR(IF(AW794&lt;($AM$8-$AL$8)/($AN$8-$AL$8),$AL$8+SQRT(AW794*($AN$8-$AL$8)*($AM$8-$AL$8)),$AN$8-SQRT((1-AW794)*($AN$8-$AL$8)*($AN$8-$AM$8))),$AM$8)</f>
        <v/>
      </c>
      <c r="AO794">
        <f>IFERROR(IF(AX794&lt;($AM$9-$AL$9)/($AN$9-$AL$9),$AL$9+SQRT(AX794*($AN$9-$AL$9)*($AM$9-$AL$9)),$AN$9-SQRT((1-AX794)*($AN$9-$AL$9)*($AN$9-$AM$9))),$AM$9)</f>
        <v/>
      </c>
      <c r="AP794">
        <f>IFERROR(IF(AY794&lt;($AM$10-$AL$10)/($AN$10-$AL$10),$AL$10+SQRT(AY794*($AN$10-$AL$10)*($AM$10-$AL$10)),$AN$10-SQRT((1-AY794)*($AN$10-$AL$10)*($AN$10-$AM$10))),$AM$10)</f>
        <v/>
      </c>
      <c r="AQ794">
        <f>IFERROR(IF(AZ794&lt;($AM$11-$AL$11)/($AN$11-$AL$11),$AL$11+SQRT(AZ794*($AN$11-$AL$11)*($AM$11-$AL$11)),$AN$11-SQRT((1-AZ794)*($AN$11-$AL$11)*($AN$11-$AM$11))),$AM$11)</f>
        <v/>
      </c>
      <c r="AR794">
        <f>SUMPRODUCT((B24:B31&lt;=$B$6)*(C24:C31*AM794+D24:D31*AO794*$B$8*AQ794)/(1+AL794/100)^B24:B31)+C32*AM794*AP794/(1+AL794/100)^$B$6</f>
        <v/>
      </c>
      <c r="AS794">
        <f>SUMPRODUCT((K24:K26&lt;=$B$6)*(L24:L26*AN794+M24:M26*AO794*$B$8*AQ794)/(1+AL794/100)^K24:K26)+L27*AN794*AP794/(1+AL794/100)^$B$6</f>
        <v/>
      </c>
      <c r="AT794">
        <f>AS794-AR794</f>
        <v/>
      </c>
      <c r="AU794">
        <f>RAND()</f>
        <v/>
      </c>
      <c r="AV794">
        <f>RAND()</f>
        <v/>
      </c>
      <c r="AW794">
        <f>RAND()</f>
        <v/>
      </c>
      <c r="AX794">
        <f>RAND()</f>
        <v/>
      </c>
      <c r="AY794">
        <f>RAND()</f>
        <v/>
      </c>
      <c r="AZ794">
        <f>RAND()</f>
        <v/>
      </c>
    </row>
    <row r="795">
      <c r="AK795" t="n">
        <v>782</v>
      </c>
      <c r="AL795">
        <f>IFERROR(IF(AU795&lt;($AM$6-$AL$6)/($AN$6-$AL$6),$AL$6+SQRT(AU795*($AN$6-$AL$6)*($AM$6-$AL$6)),$AN$6-SQRT((1-AU795)*($AN$6-$AL$6)*($AN$6-$AM$6))),$AM$6)</f>
        <v/>
      </c>
      <c r="AM795">
        <f>IFERROR(IF(AV795&lt;($AM$7-$AL$7)/($AN$7-$AL$7),$AL$7+SQRT(AV795*($AN$7-$AL$7)*($AM$7-$AL$7)),$AN$7-SQRT((1-AV795)*($AN$7-$AL$7)*($AN$7-$AM$7))),$AM$7)</f>
        <v/>
      </c>
      <c r="AN795">
        <f>IFERROR(IF(AW795&lt;($AM$8-$AL$8)/($AN$8-$AL$8),$AL$8+SQRT(AW795*($AN$8-$AL$8)*($AM$8-$AL$8)),$AN$8-SQRT((1-AW795)*($AN$8-$AL$8)*($AN$8-$AM$8))),$AM$8)</f>
        <v/>
      </c>
      <c r="AO795">
        <f>IFERROR(IF(AX795&lt;($AM$9-$AL$9)/($AN$9-$AL$9),$AL$9+SQRT(AX795*($AN$9-$AL$9)*($AM$9-$AL$9)),$AN$9-SQRT((1-AX795)*($AN$9-$AL$9)*($AN$9-$AM$9))),$AM$9)</f>
        <v/>
      </c>
      <c r="AP795">
        <f>IFERROR(IF(AY795&lt;($AM$10-$AL$10)/($AN$10-$AL$10),$AL$10+SQRT(AY795*($AN$10-$AL$10)*($AM$10-$AL$10)),$AN$10-SQRT((1-AY795)*($AN$10-$AL$10)*($AN$10-$AM$10))),$AM$10)</f>
        <v/>
      </c>
      <c r="AQ795">
        <f>IFERROR(IF(AZ795&lt;($AM$11-$AL$11)/($AN$11-$AL$11),$AL$11+SQRT(AZ795*($AN$11-$AL$11)*($AM$11-$AL$11)),$AN$11-SQRT((1-AZ795)*($AN$11-$AL$11)*($AN$11-$AM$11))),$AM$11)</f>
        <v/>
      </c>
      <c r="AR795">
        <f>SUMPRODUCT((B24:B31&lt;=$B$6)*(C24:C31*AM795+D24:D31*AO795*$B$8*AQ795)/(1+AL795/100)^B24:B31)+C32*AM795*AP795/(1+AL795/100)^$B$6</f>
        <v/>
      </c>
      <c r="AS795">
        <f>SUMPRODUCT((K24:K26&lt;=$B$6)*(L24:L26*AN795+M24:M26*AO795*$B$8*AQ795)/(1+AL795/100)^K24:K26)+L27*AN795*AP795/(1+AL795/100)^$B$6</f>
        <v/>
      </c>
      <c r="AT795">
        <f>AS795-AR795</f>
        <v/>
      </c>
      <c r="AU795">
        <f>RAND()</f>
        <v/>
      </c>
      <c r="AV795">
        <f>RAND()</f>
        <v/>
      </c>
      <c r="AW795">
        <f>RAND()</f>
        <v/>
      </c>
      <c r="AX795">
        <f>RAND()</f>
        <v/>
      </c>
      <c r="AY795">
        <f>RAND()</f>
        <v/>
      </c>
      <c r="AZ795">
        <f>RAND()</f>
        <v/>
      </c>
    </row>
    <row r="796">
      <c r="AK796" t="n">
        <v>783</v>
      </c>
      <c r="AL796">
        <f>IFERROR(IF(AU796&lt;($AM$6-$AL$6)/($AN$6-$AL$6),$AL$6+SQRT(AU796*($AN$6-$AL$6)*($AM$6-$AL$6)),$AN$6-SQRT((1-AU796)*($AN$6-$AL$6)*($AN$6-$AM$6))),$AM$6)</f>
        <v/>
      </c>
      <c r="AM796">
        <f>IFERROR(IF(AV796&lt;($AM$7-$AL$7)/($AN$7-$AL$7),$AL$7+SQRT(AV796*($AN$7-$AL$7)*($AM$7-$AL$7)),$AN$7-SQRT((1-AV796)*($AN$7-$AL$7)*($AN$7-$AM$7))),$AM$7)</f>
        <v/>
      </c>
      <c r="AN796">
        <f>IFERROR(IF(AW796&lt;($AM$8-$AL$8)/($AN$8-$AL$8),$AL$8+SQRT(AW796*($AN$8-$AL$8)*($AM$8-$AL$8)),$AN$8-SQRT((1-AW796)*($AN$8-$AL$8)*($AN$8-$AM$8))),$AM$8)</f>
        <v/>
      </c>
      <c r="AO796">
        <f>IFERROR(IF(AX796&lt;($AM$9-$AL$9)/($AN$9-$AL$9),$AL$9+SQRT(AX796*($AN$9-$AL$9)*($AM$9-$AL$9)),$AN$9-SQRT((1-AX796)*($AN$9-$AL$9)*($AN$9-$AM$9))),$AM$9)</f>
        <v/>
      </c>
      <c r="AP796">
        <f>IFERROR(IF(AY796&lt;($AM$10-$AL$10)/($AN$10-$AL$10),$AL$10+SQRT(AY796*($AN$10-$AL$10)*($AM$10-$AL$10)),$AN$10-SQRT((1-AY796)*($AN$10-$AL$10)*($AN$10-$AM$10))),$AM$10)</f>
        <v/>
      </c>
      <c r="AQ796">
        <f>IFERROR(IF(AZ796&lt;($AM$11-$AL$11)/($AN$11-$AL$11),$AL$11+SQRT(AZ796*($AN$11-$AL$11)*($AM$11-$AL$11)),$AN$11-SQRT((1-AZ796)*($AN$11-$AL$11)*($AN$11-$AM$11))),$AM$11)</f>
        <v/>
      </c>
      <c r="AR796">
        <f>SUMPRODUCT((B24:B31&lt;=$B$6)*(C24:C31*AM796+D24:D31*AO796*$B$8*AQ796)/(1+AL796/100)^B24:B31)+C32*AM796*AP796/(1+AL796/100)^$B$6</f>
        <v/>
      </c>
      <c r="AS796">
        <f>SUMPRODUCT((K24:K26&lt;=$B$6)*(L24:L26*AN796+M24:M26*AO796*$B$8*AQ796)/(1+AL796/100)^K24:K26)+L27*AN796*AP796/(1+AL796/100)^$B$6</f>
        <v/>
      </c>
      <c r="AT796">
        <f>AS796-AR796</f>
        <v/>
      </c>
      <c r="AU796">
        <f>RAND()</f>
        <v/>
      </c>
      <c r="AV796">
        <f>RAND()</f>
        <v/>
      </c>
      <c r="AW796">
        <f>RAND()</f>
        <v/>
      </c>
      <c r="AX796">
        <f>RAND()</f>
        <v/>
      </c>
      <c r="AY796">
        <f>RAND()</f>
        <v/>
      </c>
      <c r="AZ796">
        <f>RAND()</f>
        <v/>
      </c>
    </row>
    <row r="797">
      <c r="AK797" t="n">
        <v>784</v>
      </c>
      <c r="AL797">
        <f>IFERROR(IF(AU797&lt;($AM$6-$AL$6)/($AN$6-$AL$6),$AL$6+SQRT(AU797*($AN$6-$AL$6)*($AM$6-$AL$6)),$AN$6-SQRT((1-AU797)*($AN$6-$AL$6)*($AN$6-$AM$6))),$AM$6)</f>
        <v/>
      </c>
      <c r="AM797">
        <f>IFERROR(IF(AV797&lt;($AM$7-$AL$7)/($AN$7-$AL$7),$AL$7+SQRT(AV797*($AN$7-$AL$7)*($AM$7-$AL$7)),$AN$7-SQRT((1-AV797)*($AN$7-$AL$7)*($AN$7-$AM$7))),$AM$7)</f>
        <v/>
      </c>
      <c r="AN797">
        <f>IFERROR(IF(AW797&lt;($AM$8-$AL$8)/($AN$8-$AL$8),$AL$8+SQRT(AW797*($AN$8-$AL$8)*($AM$8-$AL$8)),$AN$8-SQRT((1-AW797)*($AN$8-$AL$8)*($AN$8-$AM$8))),$AM$8)</f>
        <v/>
      </c>
      <c r="AO797">
        <f>IFERROR(IF(AX797&lt;($AM$9-$AL$9)/($AN$9-$AL$9),$AL$9+SQRT(AX797*($AN$9-$AL$9)*($AM$9-$AL$9)),$AN$9-SQRT((1-AX797)*($AN$9-$AL$9)*($AN$9-$AM$9))),$AM$9)</f>
        <v/>
      </c>
      <c r="AP797">
        <f>IFERROR(IF(AY797&lt;($AM$10-$AL$10)/($AN$10-$AL$10),$AL$10+SQRT(AY797*($AN$10-$AL$10)*($AM$10-$AL$10)),$AN$10-SQRT((1-AY797)*($AN$10-$AL$10)*($AN$10-$AM$10))),$AM$10)</f>
        <v/>
      </c>
      <c r="AQ797">
        <f>IFERROR(IF(AZ797&lt;($AM$11-$AL$11)/($AN$11-$AL$11),$AL$11+SQRT(AZ797*($AN$11-$AL$11)*($AM$11-$AL$11)),$AN$11-SQRT((1-AZ797)*($AN$11-$AL$11)*($AN$11-$AM$11))),$AM$11)</f>
        <v/>
      </c>
      <c r="AR797">
        <f>SUMPRODUCT((B24:B31&lt;=$B$6)*(C24:C31*AM797+D24:D31*AO797*$B$8*AQ797)/(1+AL797/100)^B24:B31)+C32*AM797*AP797/(1+AL797/100)^$B$6</f>
        <v/>
      </c>
      <c r="AS797">
        <f>SUMPRODUCT((K24:K26&lt;=$B$6)*(L24:L26*AN797+M24:M26*AO797*$B$8*AQ797)/(1+AL797/100)^K24:K26)+L27*AN797*AP797/(1+AL797/100)^$B$6</f>
        <v/>
      </c>
      <c r="AT797">
        <f>AS797-AR797</f>
        <v/>
      </c>
      <c r="AU797">
        <f>RAND()</f>
        <v/>
      </c>
      <c r="AV797">
        <f>RAND()</f>
        <v/>
      </c>
      <c r="AW797">
        <f>RAND()</f>
        <v/>
      </c>
      <c r="AX797">
        <f>RAND()</f>
        <v/>
      </c>
      <c r="AY797">
        <f>RAND()</f>
        <v/>
      </c>
      <c r="AZ797">
        <f>RAND()</f>
        <v/>
      </c>
    </row>
    <row r="798">
      <c r="AK798" t="n">
        <v>785</v>
      </c>
      <c r="AL798">
        <f>IFERROR(IF(AU798&lt;($AM$6-$AL$6)/($AN$6-$AL$6),$AL$6+SQRT(AU798*($AN$6-$AL$6)*($AM$6-$AL$6)),$AN$6-SQRT((1-AU798)*($AN$6-$AL$6)*($AN$6-$AM$6))),$AM$6)</f>
        <v/>
      </c>
      <c r="AM798">
        <f>IFERROR(IF(AV798&lt;($AM$7-$AL$7)/($AN$7-$AL$7),$AL$7+SQRT(AV798*($AN$7-$AL$7)*($AM$7-$AL$7)),$AN$7-SQRT((1-AV798)*($AN$7-$AL$7)*($AN$7-$AM$7))),$AM$7)</f>
        <v/>
      </c>
      <c r="AN798">
        <f>IFERROR(IF(AW798&lt;($AM$8-$AL$8)/($AN$8-$AL$8),$AL$8+SQRT(AW798*($AN$8-$AL$8)*($AM$8-$AL$8)),$AN$8-SQRT((1-AW798)*($AN$8-$AL$8)*($AN$8-$AM$8))),$AM$8)</f>
        <v/>
      </c>
      <c r="AO798">
        <f>IFERROR(IF(AX798&lt;($AM$9-$AL$9)/($AN$9-$AL$9),$AL$9+SQRT(AX798*($AN$9-$AL$9)*($AM$9-$AL$9)),$AN$9-SQRT((1-AX798)*($AN$9-$AL$9)*($AN$9-$AM$9))),$AM$9)</f>
        <v/>
      </c>
      <c r="AP798">
        <f>IFERROR(IF(AY798&lt;($AM$10-$AL$10)/($AN$10-$AL$10),$AL$10+SQRT(AY798*($AN$10-$AL$10)*($AM$10-$AL$10)),$AN$10-SQRT((1-AY798)*($AN$10-$AL$10)*($AN$10-$AM$10))),$AM$10)</f>
        <v/>
      </c>
      <c r="AQ798">
        <f>IFERROR(IF(AZ798&lt;($AM$11-$AL$11)/($AN$11-$AL$11),$AL$11+SQRT(AZ798*($AN$11-$AL$11)*($AM$11-$AL$11)),$AN$11-SQRT((1-AZ798)*($AN$11-$AL$11)*($AN$11-$AM$11))),$AM$11)</f>
        <v/>
      </c>
      <c r="AR798">
        <f>SUMPRODUCT((B24:B31&lt;=$B$6)*(C24:C31*AM798+D24:D31*AO798*$B$8*AQ798)/(1+AL798/100)^B24:B31)+C32*AM798*AP798/(1+AL798/100)^$B$6</f>
        <v/>
      </c>
      <c r="AS798">
        <f>SUMPRODUCT((K24:K26&lt;=$B$6)*(L24:L26*AN798+M24:M26*AO798*$B$8*AQ798)/(1+AL798/100)^K24:K26)+L27*AN798*AP798/(1+AL798/100)^$B$6</f>
        <v/>
      </c>
      <c r="AT798">
        <f>AS798-AR798</f>
        <v/>
      </c>
      <c r="AU798">
        <f>RAND()</f>
        <v/>
      </c>
      <c r="AV798">
        <f>RAND()</f>
        <v/>
      </c>
      <c r="AW798">
        <f>RAND()</f>
        <v/>
      </c>
      <c r="AX798">
        <f>RAND()</f>
        <v/>
      </c>
      <c r="AY798">
        <f>RAND()</f>
        <v/>
      </c>
      <c r="AZ798">
        <f>RAND()</f>
        <v/>
      </c>
    </row>
    <row r="799">
      <c r="AK799" t="n">
        <v>786</v>
      </c>
      <c r="AL799">
        <f>IFERROR(IF(AU799&lt;($AM$6-$AL$6)/($AN$6-$AL$6),$AL$6+SQRT(AU799*($AN$6-$AL$6)*($AM$6-$AL$6)),$AN$6-SQRT((1-AU799)*($AN$6-$AL$6)*($AN$6-$AM$6))),$AM$6)</f>
        <v/>
      </c>
      <c r="AM799">
        <f>IFERROR(IF(AV799&lt;($AM$7-$AL$7)/($AN$7-$AL$7),$AL$7+SQRT(AV799*($AN$7-$AL$7)*($AM$7-$AL$7)),$AN$7-SQRT((1-AV799)*($AN$7-$AL$7)*($AN$7-$AM$7))),$AM$7)</f>
        <v/>
      </c>
      <c r="AN799">
        <f>IFERROR(IF(AW799&lt;($AM$8-$AL$8)/($AN$8-$AL$8),$AL$8+SQRT(AW799*($AN$8-$AL$8)*($AM$8-$AL$8)),$AN$8-SQRT((1-AW799)*($AN$8-$AL$8)*($AN$8-$AM$8))),$AM$8)</f>
        <v/>
      </c>
      <c r="AO799">
        <f>IFERROR(IF(AX799&lt;($AM$9-$AL$9)/($AN$9-$AL$9),$AL$9+SQRT(AX799*($AN$9-$AL$9)*($AM$9-$AL$9)),$AN$9-SQRT((1-AX799)*($AN$9-$AL$9)*($AN$9-$AM$9))),$AM$9)</f>
        <v/>
      </c>
      <c r="AP799">
        <f>IFERROR(IF(AY799&lt;($AM$10-$AL$10)/($AN$10-$AL$10),$AL$10+SQRT(AY799*($AN$10-$AL$10)*($AM$10-$AL$10)),$AN$10-SQRT((1-AY799)*($AN$10-$AL$10)*($AN$10-$AM$10))),$AM$10)</f>
        <v/>
      </c>
      <c r="AQ799">
        <f>IFERROR(IF(AZ799&lt;($AM$11-$AL$11)/($AN$11-$AL$11),$AL$11+SQRT(AZ799*($AN$11-$AL$11)*($AM$11-$AL$11)),$AN$11-SQRT((1-AZ799)*($AN$11-$AL$11)*($AN$11-$AM$11))),$AM$11)</f>
        <v/>
      </c>
      <c r="AR799">
        <f>SUMPRODUCT((B24:B31&lt;=$B$6)*(C24:C31*AM799+D24:D31*AO799*$B$8*AQ799)/(1+AL799/100)^B24:B31)+C32*AM799*AP799/(1+AL799/100)^$B$6</f>
        <v/>
      </c>
      <c r="AS799">
        <f>SUMPRODUCT((K24:K26&lt;=$B$6)*(L24:L26*AN799+M24:M26*AO799*$B$8*AQ799)/(1+AL799/100)^K24:K26)+L27*AN799*AP799/(1+AL799/100)^$B$6</f>
        <v/>
      </c>
      <c r="AT799">
        <f>AS799-AR799</f>
        <v/>
      </c>
      <c r="AU799">
        <f>RAND()</f>
        <v/>
      </c>
      <c r="AV799">
        <f>RAND()</f>
        <v/>
      </c>
      <c r="AW799">
        <f>RAND()</f>
        <v/>
      </c>
      <c r="AX799">
        <f>RAND()</f>
        <v/>
      </c>
      <c r="AY799">
        <f>RAND()</f>
        <v/>
      </c>
      <c r="AZ799">
        <f>RAND()</f>
        <v/>
      </c>
    </row>
    <row r="800">
      <c r="AK800" t="n">
        <v>787</v>
      </c>
      <c r="AL800">
        <f>IFERROR(IF(AU800&lt;($AM$6-$AL$6)/($AN$6-$AL$6),$AL$6+SQRT(AU800*($AN$6-$AL$6)*($AM$6-$AL$6)),$AN$6-SQRT((1-AU800)*($AN$6-$AL$6)*($AN$6-$AM$6))),$AM$6)</f>
        <v/>
      </c>
      <c r="AM800">
        <f>IFERROR(IF(AV800&lt;($AM$7-$AL$7)/($AN$7-$AL$7),$AL$7+SQRT(AV800*($AN$7-$AL$7)*($AM$7-$AL$7)),$AN$7-SQRT((1-AV800)*($AN$7-$AL$7)*($AN$7-$AM$7))),$AM$7)</f>
        <v/>
      </c>
      <c r="AN800">
        <f>IFERROR(IF(AW800&lt;($AM$8-$AL$8)/($AN$8-$AL$8),$AL$8+SQRT(AW800*($AN$8-$AL$8)*($AM$8-$AL$8)),$AN$8-SQRT((1-AW800)*($AN$8-$AL$8)*($AN$8-$AM$8))),$AM$8)</f>
        <v/>
      </c>
      <c r="AO800">
        <f>IFERROR(IF(AX800&lt;($AM$9-$AL$9)/($AN$9-$AL$9),$AL$9+SQRT(AX800*($AN$9-$AL$9)*($AM$9-$AL$9)),$AN$9-SQRT((1-AX800)*($AN$9-$AL$9)*($AN$9-$AM$9))),$AM$9)</f>
        <v/>
      </c>
      <c r="AP800">
        <f>IFERROR(IF(AY800&lt;($AM$10-$AL$10)/($AN$10-$AL$10),$AL$10+SQRT(AY800*($AN$10-$AL$10)*($AM$10-$AL$10)),$AN$10-SQRT((1-AY800)*($AN$10-$AL$10)*($AN$10-$AM$10))),$AM$10)</f>
        <v/>
      </c>
      <c r="AQ800">
        <f>IFERROR(IF(AZ800&lt;($AM$11-$AL$11)/($AN$11-$AL$11),$AL$11+SQRT(AZ800*($AN$11-$AL$11)*($AM$11-$AL$11)),$AN$11-SQRT((1-AZ800)*($AN$11-$AL$11)*($AN$11-$AM$11))),$AM$11)</f>
        <v/>
      </c>
      <c r="AR800">
        <f>SUMPRODUCT((B24:B31&lt;=$B$6)*(C24:C31*AM800+D24:D31*AO800*$B$8*AQ800)/(1+AL800/100)^B24:B31)+C32*AM800*AP800/(1+AL800/100)^$B$6</f>
        <v/>
      </c>
      <c r="AS800">
        <f>SUMPRODUCT((K24:K26&lt;=$B$6)*(L24:L26*AN800+M24:M26*AO800*$B$8*AQ800)/(1+AL800/100)^K24:K26)+L27*AN800*AP800/(1+AL800/100)^$B$6</f>
        <v/>
      </c>
      <c r="AT800">
        <f>AS800-AR800</f>
        <v/>
      </c>
      <c r="AU800">
        <f>RAND()</f>
        <v/>
      </c>
      <c r="AV800">
        <f>RAND()</f>
        <v/>
      </c>
      <c r="AW800">
        <f>RAND()</f>
        <v/>
      </c>
      <c r="AX800">
        <f>RAND()</f>
        <v/>
      </c>
      <c r="AY800">
        <f>RAND()</f>
        <v/>
      </c>
      <c r="AZ800">
        <f>RAND()</f>
        <v/>
      </c>
    </row>
    <row r="801">
      <c r="AK801" t="n">
        <v>788</v>
      </c>
      <c r="AL801">
        <f>IFERROR(IF(AU801&lt;($AM$6-$AL$6)/($AN$6-$AL$6),$AL$6+SQRT(AU801*($AN$6-$AL$6)*($AM$6-$AL$6)),$AN$6-SQRT((1-AU801)*($AN$6-$AL$6)*($AN$6-$AM$6))),$AM$6)</f>
        <v/>
      </c>
      <c r="AM801">
        <f>IFERROR(IF(AV801&lt;($AM$7-$AL$7)/($AN$7-$AL$7),$AL$7+SQRT(AV801*($AN$7-$AL$7)*($AM$7-$AL$7)),$AN$7-SQRT((1-AV801)*($AN$7-$AL$7)*($AN$7-$AM$7))),$AM$7)</f>
        <v/>
      </c>
      <c r="AN801">
        <f>IFERROR(IF(AW801&lt;($AM$8-$AL$8)/($AN$8-$AL$8),$AL$8+SQRT(AW801*($AN$8-$AL$8)*($AM$8-$AL$8)),$AN$8-SQRT((1-AW801)*($AN$8-$AL$8)*($AN$8-$AM$8))),$AM$8)</f>
        <v/>
      </c>
      <c r="AO801">
        <f>IFERROR(IF(AX801&lt;($AM$9-$AL$9)/($AN$9-$AL$9),$AL$9+SQRT(AX801*($AN$9-$AL$9)*($AM$9-$AL$9)),$AN$9-SQRT((1-AX801)*($AN$9-$AL$9)*($AN$9-$AM$9))),$AM$9)</f>
        <v/>
      </c>
      <c r="AP801">
        <f>IFERROR(IF(AY801&lt;($AM$10-$AL$10)/($AN$10-$AL$10),$AL$10+SQRT(AY801*($AN$10-$AL$10)*($AM$10-$AL$10)),$AN$10-SQRT((1-AY801)*($AN$10-$AL$10)*($AN$10-$AM$10))),$AM$10)</f>
        <v/>
      </c>
      <c r="AQ801">
        <f>IFERROR(IF(AZ801&lt;($AM$11-$AL$11)/($AN$11-$AL$11),$AL$11+SQRT(AZ801*($AN$11-$AL$11)*($AM$11-$AL$11)),$AN$11-SQRT((1-AZ801)*($AN$11-$AL$11)*($AN$11-$AM$11))),$AM$11)</f>
        <v/>
      </c>
      <c r="AR801">
        <f>SUMPRODUCT((B24:B31&lt;=$B$6)*(C24:C31*AM801+D24:D31*AO801*$B$8*AQ801)/(1+AL801/100)^B24:B31)+C32*AM801*AP801/(1+AL801/100)^$B$6</f>
        <v/>
      </c>
      <c r="AS801">
        <f>SUMPRODUCT((K24:K26&lt;=$B$6)*(L24:L26*AN801+M24:M26*AO801*$B$8*AQ801)/(1+AL801/100)^K24:K26)+L27*AN801*AP801/(1+AL801/100)^$B$6</f>
        <v/>
      </c>
      <c r="AT801">
        <f>AS801-AR801</f>
        <v/>
      </c>
      <c r="AU801">
        <f>RAND()</f>
        <v/>
      </c>
      <c r="AV801">
        <f>RAND()</f>
        <v/>
      </c>
      <c r="AW801">
        <f>RAND()</f>
        <v/>
      </c>
      <c r="AX801">
        <f>RAND()</f>
        <v/>
      </c>
      <c r="AY801">
        <f>RAND()</f>
        <v/>
      </c>
      <c r="AZ801">
        <f>RAND()</f>
        <v/>
      </c>
    </row>
    <row r="802">
      <c r="AK802" t="n">
        <v>789</v>
      </c>
      <c r="AL802">
        <f>IFERROR(IF(AU802&lt;($AM$6-$AL$6)/($AN$6-$AL$6),$AL$6+SQRT(AU802*($AN$6-$AL$6)*($AM$6-$AL$6)),$AN$6-SQRT((1-AU802)*($AN$6-$AL$6)*($AN$6-$AM$6))),$AM$6)</f>
        <v/>
      </c>
      <c r="AM802">
        <f>IFERROR(IF(AV802&lt;($AM$7-$AL$7)/($AN$7-$AL$7),$AL$7+SQRT(AV802*($AN$7-$AL$7)*($AM$7-$AL$7)),$AN$7-SQRT((1-AV802)*($AN$7-$AL$7)*($AN$7-$AM$7))),$AM$7)</f>
        <v/>
      </c>
      <c r="AN802">
        <f>IFERROR(IF(AW802&lt;($AM$8-$AL$8)/($AN$8-$AL$8),$AL$8+SQRT(AW802*($AN$8-$AL$8)*($AM$8-$AL$8)),$AN$8-SQRT((1-AW802)*($AN$8-$AL$8)*($AN$8-$AM$8))),$AM$8)</f>
        <v/>
      </c>
      <c r="AO802">
        <f>IFERROR(IF(AX802&lt;($AM$9-$AL$9)/($AN$9-$AL$9),$AL$9+SQRT(AX802*($AN$9-$AL$9)*($AM$9-$AL$9)),$AN$9-SQRT((1-AX802)*($AN$9-$AL$9)*($AN$9-$AM$9))),$AM$9)</f>
        <v/>
      </c>
      <c r="AP802">
        <f>IFERROR(IF(AY802&lt;($AM$10-$AL$10)/($AN$10-$AL$10),$AL$10+SQRT(AY802*($AN$10-$AL$10)*($AM$10-$AL$10)),$AN$10-SQRT((1-AY802)*($AN$10-$AL$10)*($AN$10-$AM$10))),$AM$10)</f>
        <v/>
      </c>
      <c r="AQ802">
        <f>IFERROR(IF(AZ802&lt;($AM$11-$AL$11)/($AN$11-$AL$11),$AL$11+SQRT(AZ802*($AN$11-$AL$11)*($AM$11-$AL$11)),$AN$11-SQRT((1-AZ802)*($AN$11-$AL$11)*($AN$11-$AM$11))),$AM$11)</f>
        <v/>
      </c>
      <c r="AR802">
        <f>SUMPRODUCT((B24:B31&lt;=$B$6)*(C24:C31*AM802+D24:D31*AO802*$B$8*AQ802)/(1+AL802/100)^B24:B31)+C32*AM802*AP802/(1+AL802/100)^$B$6</f>
        <v/>
      </c>
      <c r="AS802">
        <f>SUMPRODUCT((K24:K26&lt;=$B$6)*(L24:L26*AN802+M24:M26*AO802*$B$8*AQ802)/(1+AL802/100)^K24:K26)+L27*AN802*AP802/(1+AL802/100)^$B$6</f>
        <v/>
      </c>
      <c r="AT802">
        <f>AS802-AR802</f>
        <v/>
      </c>
      <c r="AU802">
        <f>RAND()</f>
        <v/>
      </c>
      <c r="AV802">
        <f>RAND()</f>
        <v/>
      </c>
      <c r="AW802">
        <f>RAND()</f>
        <v/>
      </c>
      <c r="AX802">
        <f>RAND()</f>
        <v/>
      </c>
      <c r="AY802">
        <f>RAND()</f>
        <v/>
      </c>
      <c r="AZ802">
        <f>RAND()</f>
        <v/>
      </c>
    </row>
    <row r="803">
      <c r="AK803" t="n">
        <v>790</v>
      </c>
      <c r="AL803">
        <f>IFERROR(IF(AU803&lt;($AM$6-$AL$6)/($AN$6-$AL$6),$AL$6+SQRT(AU803*($AN$6-$AL$6)*($AM$6-$AL$6)),$AN$6-SQRT((1-AU803)*($AN$6-$AL$6)*($AN$6-$AM$6))),$AM$6)</f>
        <v/>
      </c>
      <c r="AM803">
        <f>IFERROR(IF(AV803&lt;($AM$7-$AL$7)/($AN$7-$AL$7),$AL$7+SQRT(AV803*($AN$7-$AL$7)*($AM$7-$AL$7)),$AN$7-SQRT((1-AV803)*($AN$7-$AL$7)*($AN$7-$AM$7))),$AM$7)</f>
        <v/>
      </c>
      <c r="AN803">
        <f>IFERROR(IF(AW803&lt;($AM$8-$AL$8)/($AN$8-$AL$8),$AL$8+SQRT(AW803*($AN$8-$AL$8)*($AM$8-$AL$8)),$AN$8-SQRT((1-AW803)*($AN$8-$AL$8)*($AN$8-$AM$8))),$AM$8)</f>
        <v/>
      </c>
      <c r="AO803">
        <f>IFERROR(IF(AX803&lt;($AM$9-$AL$9)/($AN$9-$AL$9),$AL$9+SQRT(AX803*($AN$9-$AL$9)*($AM$9-$AL$9)),$AN$9-SQRT((1-AX803)*($AN$9-$AL$9)*($AN$9-$AM$9))),$AM$9)</f>
        <v/>
      </c>
      <c r="AP803">
        <f>IFERROR(IF(AY803&lt;($AM$10-$AL$10)/($AN$10-$AL$10),$AL$10+SQRT(AY803*($AN$10-$AL$10)*($AM$10-$AL$10)),$AN$10-SQRT((1-AY803)*($AN$10-$AL$10)*($AN$10-$AM$10))),$AM$10)</f>
        <v/>
      </c>
      <c r="AQ803">
        <f>IFERROR(IF(AZ803&lt;($AM$11-$AL$11)/($AN$11-$AL$11),$AL$11+SQRT(AZ803*($AN$11-$AL$11)*($AM$11-$AL$11)),$AN$11-SQRT((1-AZ803)*($AN$11-$AL$11)*($AN$11-$AM$11))),$AM$11)</f>
        <v/>
      </c>
      <c r="AR803">
        <f>SUMPRODUCT((B24:B31&lt;=$B$6)*(C24:C31*AM803+D24:D31*AO803*$B$8*AQ803)/(1+AL803/100)^B24:B31)+C32*AM803*AP803/(1+AL803/100)^$B$6</f>
        <v/>
      </c>
      <c r="AS803">
        <f>SUMPRODUCT((K24:K26&lt;=$B$6)*(L24:L26*AN803+M24:M26*AO803*$B$8*AQ803)/(1+AL803/100)^K24:K26)+L27*AN803*AP803/(1+AL803/100)^$B$6</f>
        <v/>
      </c>
      <c r="AT803">
        <f>AS803-AR803</f>
        <v/>
      </c>
      <c r="AU803">
        <f>RAND()</f>
        <v/>
      </c>
      <c r="AV803">
        <f>RAND()</f>
        <v/>
      </c>
      <c r="AW803">
        <f>RAND()</f>
        <v/>
      </c>
      <c r="AX803">
        <f>RAND()</f>
        <v/>
      </c>
      <c r="AY803">
        <f>RAND()</f>
        <v/>
      </c>
      <c r="AZ803">
        <f>RAND()</f>
        <v/>
      </c>
    </row>
    <row r="804">
      <c r="AK804" t="n">
        <v>791</v>
      </c>
      <c r="AL804">
        <f>IFERROR(IF(AU804&lt;($AM$6-$AL$6)/($AN$6-$AL$6),$AL$6+SQRT(AU804*($AN$6-$AL$6)*($AM$6-$AL$6)),$AN$6-SQRT((1-AU804)*($AN$6-$AL$6)*($AN$6-$AM$6))),$AM$6)</f>
        <v/>
      </c>
      <c r="AM804">
        <f>IFERROR(IF(AV804&lt;($AM$7-$AL$7)/($AN$7-$AL$7),$AL$7+SQRT(AV804*($AN$7-$AL$7)*($AM$7-$AL$7)),$AN$7-SQRT((1-AV804)*($AN$7-$AL$7)*($AN$7-$AM$7))),$AM$7)</f>
        <v/>
      </c>
      <c r="AN804">
        <f>IFERROR(IF(AW804&lt;($AM$8-$AL$8)/($AN$8-$AL$8),$AL$8+SQRT(AW804*($AN$8-$AL$8)*($AM$8-$AL$8)),$AN$8-SQRT((1-AW804)*($AN$8-$AL$8)*($AN$8-$AM$8))),$AM$8)</f>
        <v/>
      </c>
      <c r="AO804">
        <f>IFERROR(IF(AX804&lt;($AM$9-$AL$9)/($AN$9-$AL$9),$AL$9+SQRT(AX804*($AN$9-$AL$9)*($AM$9-$AL$9)),$AN$9-SQRT((1-AX804)*($AN$9-$AL$9)*($AN$9-$AM$9))),$AM$9)</f>
        <v/>
      </c>
      <c r="AP804">
        <f>IFERROR(IF(AY804&lt;($AM$10-$AL$10)/($AN$10-$AL$10),$AL$10+SQRT(AY804*($AN$10-$AL$10)*($AM$10-$AL$10)),$AN$10-SQRT((1-AY804)*($AN$10-$AL$10)*($AN$10-$AM$10))),$AM$10)</f>
        <v/>
      </c>
      <c r="AQ804">
        <f>IFERROR(IF(AZ804&lt;($AM$11-$AL$11)/($AN$11-$AL$11),$AL$11+SQRT(AZ804*($AN$11-$AL$11)*($AM$11-$AL$11)),$AN$11-SQRT((1-AZ804)*($AN$11-$AL$11)*($AN$11-$AM$11))),$AM$11)</f>
        <v/>
      </c>
      <c r="AR804">
        <f>SUMPRODUCT((B24:B31&lt;=$B$6)*(C24:C31*AM804+D24:D31*AO804*$B$8*AQ804)/(1+AL804/100)^B24:B31)+C32*AM804*AP804/(1+AL804/100)^$B$6</f>
        <v/>
      </c>
      <c r="AS804">
        <f>SUMPRODUCT((K24:K26&lt;=$B$6)*(L24:L26*AN804+M24:M26*AO804*$B$8*AQ804)/(1+AL804/100)^K24:K26)+L27*AN804*AP804/(1+AL804/100)^$B$6</f>
        <v/>
      </c>
      <c r="AT804">
        <f>AS804-AR804</f>
        <v/>
      </c>
      <c r="AU804">
        <f>RAND()</f>
        <v/>
      </c>
      <c r="AV804">
        <f>RAND()</f>
        <v/>
      </c>
      <c r="AW804">
        <f>RAND()</f>
        <v/>
      </c>
      <c r="AX804">
        <f>RAND()</f>
        <v/>
      </c>
      <c r="AY804">
        <f>RAND()</f>
        <v/>
      </c>
      <c r="AZ804">
        <f>RAND()</f>
        <v/>
      </c>
    </row>
    <row r="805">
      <c r="AK805" t="n">
        <v>792</v>
      </c>
      <c r="AL805">
        <f>IFERROR(IF(AU805&lt;($AM$6-$AL$6)/($AN$6-$AL$6),$AL$6+SQRT(AU805*($AN$6-$AL$6)*($AM$6-$AL$6)),$AN$6-SQRT((1-AU805)*($AN$6-$AL$6)*($AN$6-$AM$6))),$AM$6)</f>
        <v/>
      </c>
      <c r="AM805">
        <f>IFERROR(IF(AV805&lt;($AM$7-$AL$7)/($AN$7-$AL$7),$AL$7+SQRT(AV805*($AN$7-$AL$7)*($AM$7-$AL$7)),$AN$7-SQRT((1-AV805)*($AN$7-$AL$7)*($AN$7-$AM$7))),$AM$7)</f>
        <v/>
      </c>
      <c r="AN805">
        <f>IFERROR(IF(AW805&lt;($AM$8-$AL$8)/($AN$8-$AL$8),$AL$8+SQRT(AW805*($AN$8-$AL$8)*($AM$8-$AL$8)),$AN$8-SQRT((1-AW805)*($AN$8-$AL$8)*($AN$8-$AM$8))),$AM$8)</f>
        <v/>
      </c>
      <c r="AO805">
        <f>IFERROR(IF(AX805&lt;($AM$9-$AL$9)/($AN$9-$AL$9),$AL$9+SQRT(AX805*($AN$9-$AL$9)*($AM$9-$AL$9)),$AN$9-SQRT((1-AX805)*($AN$9-$AL$9)*($AN$9-$AM$9))),$AM$9)</f>
        <v/>
      </c>
      <c r="AP805">
        <f>IFERROR(IF(AY805&lt;($AM$10-$AL$10)/($AN$10-$AL$10),$AL$10+SQRT(AY805*($AN$10-$AL$10)*($AM$10-$AL$10)),$AN$10-SQRT((1-AY805)*($AN$10-$AL$10)*($AN$10-$AM$10))),$AM$10)</f>
        <v/>
      </c>
      <c r="AQ805">
        <f>IFERROR(IF(AZ805&lt;($AM$11-$AL$11)/($AN$11-$AL$11),$AL$11+SQRT(AZ805*($AN$11-$AL$11)*($AM$11-$AL$11)),$AN$11-SQRT((1-AZ805)*($AN$11-$AL$11)*($AN$11-$AM$11))),$AM$11)</f>
        <v/>
      </c>
      <c r="AR805">
        <f>SUMPRODUCT((B24:B31&lt;=$B$6)*(C24:C31*AM805+D24:D31*AO805*$B$8*AQ805)/(1+AL805/100)^B24:B31)+C32*AM805*AP805/(1+AL805/100)^$B$6</f>
        <v/>
      </c>
      <c r="AS805">
        <f>SUMPRODUCT((K24:K26&lt;=$B$6)*(L24:L26*AN805+M24:M26*AO805*$B$8*AQ805)/(1+AL805/100)^K24:K26)+L27*AN805*AP805/(1+AL805/100)^$B$6</f>
        <v/>
      </c>
      <c r="AT805">
        <f>AS805-AR805</f>
        <v/>
      </c>
      <c r="AU805">
        <f>RAND()</f>
        <v/>
      </c>
      <c r="AV805">
        <f>RAND()</f>
        <v/>
      </c>
      <c r="AW805">
        <f>RAND()</f>
        <v/>
      </c>
      <c r="AX805">
        <f>RAND()</f>
        <v/>
      </c>
      <c r="AY805">
        <f>RAND()</f>
        <v/>
      </c>
      <c r="AZ805">
        <f>RAND()</f>
        <v/>
      </c>
    </row>
    <row r="806">
      <c r="AK806" t="n">
        <v>793</v>
      </c>
      <c r="AL806">
        <f>IFERROR(IF(AU806&lt;($AM$6-$AL$6)/($AN$6-$AL$6),$AL$6+SQRT(AU806*($AN$6-$AL$6)*($AM$6-$AL$6)),$AN$6-SQRT((1-AU806)*($AN$6-$AL$6)*($AN$6-$AM$6))),$AM$6)</f>
        <v/>
      </c>
      <c r="AM806">
        <f>IFERROR(IF(AV806&lt;($AM$7-$AL$7)/($AN$7-$AL$7),$AL$7+SQRT(AV806*($AN$7-$AL$7)*($AM$7-$AL$7)),$AN$7-SQRT((1-AV806)*($AN$7-$AL$7)*($AN$7-$AM$7))),$AM$7)</f>
        <v/>
      </c>
      <c r="AN806">
        <f>IFERROR(IF(AW806&lt;($AM$8-$AL$8)/($AN$8-$AL$8),$AL$8+SQRT(AW806*($AN$8-$AL$8)*($AM$8-$AL$8)),$AN$8-SQRT((1-AW806)*($AN$8-$AL$8)*($AN$8-$AM$8))),$AM$8)</f>
        <v/>
      </c>
      <c r="AO806">
        <f>IFERROR(IF(AX806&lt;($AM$9-$AL$9)/($AN$9-$AL$9),$AL$9+SQRT(AX806*($AN$9-$AL$9)*($AM$9-$AL$9)),$AN$9-SQRT((1-AX806)*($AN$9-$AL$9)*($AN$9-$AM$9))),$AM$9)</f>
        <v/>
      </c>
      <c r="AP806">
        <f>IFERROR(IF(AY806&lt;($AM$10-$AL$10)/($AN$10-$AL$10),$AL$10+SQRT(AY806*($AN$10-$AL$10)*($AM$10-$AL$10)),$AN$10-SQRT((1-AY806)*($AN$10-$AL$10)*($AN$10-$AM$10))),$AM$10)</f>
        <v/>
      </c>
      <c r="AQ806">
        <f>IFERROR(IF(AZ806&lt;($AM$11-$AL$11)/($AN$11-$AL$11),$AL$11+SQRT(AZ806*($AN$11-$AL$11)*($AM$11-$AL$11)),$AN$11-SQRT((1-AZ806)*($AN$11-$AL$11)*($AN$11-$AM$11))),$AM$11)</f>
        <v/>
      </c>
      <c r="AR806">
        <f>SUMPRODUCT((B24:B31&lt;=$B$6)*(C24:C31*AM806+D24:D31*AO806*$B$8*AQ806)/(1+AL806/100)^B24:B31)+C32*AM806*AP806/(1+AL806/100)^$B$6</f>
        <v/>
      </c>
      <c r="AS806">
        <f>SUMPRODUCT((K24:K26&lt;=$B$6)*(L24:L26*AN806+M24:M26*AO806*$B$8*AQ806)/(1+AL806/100)^K24:K26)+L27*AN806*AP806/(1+AL806/100)^$B$6</f>
        <v/>
      </c>
      <c r="AT806">
        <f>AS806-AR806</f>
        <v/>
      </c>
      <c r="AU806">
        <f>RAND()</f>
        <v/>
      </c>
      <c r="AV806">
        <f>RAND()</f>
        <v/>
      </c>
      <c r="AW806">
        <f>RAND()</f>
        <v/>
      </c>
      <c r="AX806">
        <f>RAND()</f>
        <v/>
      </c>
      <c r="AY806">
        <f>RAND()</f>
        <v/>
      </c>
      <c r="AZ806">
        <f>RAND()</f>
        <v/>
      </c>
    </row>
    <row r="807">
      <c r="AK807" t="n">
        <v>794</v>
      </c>
      <c r="AL807">
        <f>IFERROR(IF(AU807&lt;($AM$6-$AL$6)/($AN$6-$AL$6),$AL$6+SQRT(AU807*($AN$6-$AL$6)*($AM$6-$AL$6)),$AN$6-SQRT((1-AU807)*($AN$6-$AL$6)*($AN$6-$AM$6))),$AM$6)</f>
        <v/>
      </c>
      <c r="AM807">
        <f>IFERROR(IF(AV807&lt;($AM$7-$AL$7)/($AN$7-$AL$7),$AL$7+SQRT(AV807*($AN$7-$AL$7)*($AM$7-$AL$7)),$AN$7-SQRT((1-AV807)*($AN$7-$AL$7)*($AN$7-$AM$7))),$AM$7)</f>
        <v/>
      </c>
      <c r="AN807">
        <f>IFERROR(IF(AW807&lt;($AM$8-$AL$8)/($AN$8-$AL$8),$AL$8+SQRT(AW807*($AN$8-$AL$8)*($AM$8-$AL$8)),$AN$8-SQRT((1-AW807)*($AN$8-$AL$8)*($AN$8-$AM$8))),$AM$8)</f>
        <v/>
      </c>
      <c r="AO807">
        <f>IFERROR(IF(AX807&lt;($AM$9-$AL$9)/($AN$9-$AL$9),$AL$9+SQRT(AX807*($AN$9-$AL$9)*($AM$9-$AL$9)),$AN$9-SQRT((1-AX807)*($AN$9-$AL$9)*($AN$9-$AM$9))),$AM$9)</f>
        <v/>
      </c>
      <c r="AP807">
        <f>IFERROR(IF(AY807&lt;($AM$10-$AL$10)/($AN$10-$AL$10),$AL$10+SQRT(AY807*($AN$10-$AL$10)*($AM$10-$AL$10)),$AN$10-SQRT((1-AY807)*($AN$10-$AL$10)*($AN$10-$AM$10))),$AM$10)</f>
        <v/>
      </c>
      <c r="AQ807">
        <f>IFERROR(IF(AZ807&lt;($AM$11-$AL$11)/($AN$11-$AL$11),$AL$11+SQRT(AZ807*($AN$11-$AL$11)*($AM$11-$AL$11)),$AN$11-SQRT((1-AZ807)*($AN$11-$AL$11)*($AN$11-$AM$11))),$AM$11)</f>
        <v/>
      </c>
      <c r="AR807">
        <f>SUMPRODUCT((B24:B31&lt;=$B$6)*(C24:C31*AM807+D24:D31*AO807*$B$8*AQ807)/(1+AL807/100)^B24:B31)+C32*AM807*AP807/(1+AL807/100)^$B$6</f>
        <v/>
      </c>
      <c r="AS807">
        <f>SUMPRODUCT((K24:K26&lt;=$B$6)*(L24:L26*AN807+M24:M26*AO807*$B$8*AQ807)/(1+AL807/100)^K24:K26)+L27*AN807*AP807/(1+AL807/100)^$B$6</f>
        <v/>
      </c>
      <c r="AT807">
        <f>AS807-AR807</f>
        <v/>
      </c>
      <c r="AU807">
        <f>RAND()</f>
        <v/>
      </c>
      <c r="AV807">
        <f>RAND()</f>
        <v/>
      </c>
      <c r="AW807">
        <f>RAND()</f>
        <v/>
      </c>
      <c r="AX807">
        <f>RAND()</f>
        <v/>
      </c>
      <c r="AY807">
        <f>RAND()</f>
        <v/>
      </c>
      <c r="AZ807">
        <f>RAND()</f>
        <v/>
      </c>
    </row>
    <row r="808">
      <c r="AK808" t="n">
        <v>795</v>
      </c>
      <c r="AL808">
        <f>IFERROR(IF(AU808&lt;($AM$6-$AL$6)/($AN$6-$AL$6),$AL$6+SQRT(AU808*($AN$6-$AL$6)*($AM$6-$AL$6)),$AN$6-SQRT((1-AU808)*($AN$6-$AL$6)*($AN$6-$AM$6))),$AM$6)</f>
        <v/>
      </c>
      <c r="AM808">
        <f>IFERROR(IF(AV808&lt;($AM$7-$AL$7)/($AN$7-$AL$7),$AL$7+SQRT(AV808*($AN$7-$AL$7)*($AM$7-$AL$7)),$AN$7-SQRT((1-AV808)*($AN$7-$AL$7)*($AN$7-$AM$7))),$AM$7)</f>
        <v/>
      </c>
      <c r="AN808">
        <f>IFERROR(IF(AW808&lt;($AM$8-$AL$8)/($AN$8-$AL$8),$AL$8+SQRT(AW808*($AN$8-$AL$8)*($AM$8-$AL$8)),$AN$8-SQRT((1-AW808)*($AN$8-$AL$8)*($AN$8-$AM$8))),$AM$8)</f>
        <v/>
      </c>
      <c r="AO808">
        <f>IFERROR(IF(AX808&lt;($AM$9-$AL$9)/($AN$9-$AL$9),$AL$9+SQRT(AX808*($AN$9-$AL$9)*($AM$9-$AL$9)),$AN$9-SQRT((1-AX808)*($AN$9-$AL$9)*($AN$9-$AM$9))),$AM$9)</f>
        <v/>
      </c>
      <c r="AP808">
        <f>IFERROR(IF(AY808&lt;($AM$10-$AL$10)/($AN$10-$AL$10),$AL$10+SQRT(AY808*($AN$10-$AL$10)*($AM$10-$AL$10)),$AN$10-SQRT((1-AY808)*($AN$10-$AL$10)*($AN$10-$AM$10))),$AM$10)</f>
        <v/>
      </c>
      <c r="AQ808">
        <f>IFERROR(IF(AZ808&lt;($AM$11-$AL$11)/($AN$11-$AL$11),$AL$11+SQRT(AZ808*($AN$11-$AL$11)*($AM$11-$AL$11)),$AN$11-SQRT((1-AZ808)*($AN$11-$AL$11)*($AN$11-$AM$11))),$AM$11)</f>
        <v/>
      </c>
      <c r="AR808">
        <f>SUMPRODUCT((B24:B31&lt;=$B$6)*(C24:C31*AM808+D24:D31*AO808*$B$8*AQ808)/(1+AL808/100)^B24:B31)+C32*AM808*AP808/(1+AL808/100)^$B$6</f>
        <v/>
      </c>
      <c r="AS808">
        <f>SUMPRODUCT((K24:K26&lt;=$B$6)*(L24:L26*AN808+M24:M26*AO808*$B$8*AQ808)/(1+AL808/100)^K24:K26)+L27*AN808*AP808/(1+AL808/100)^$B$6</f>
        <v/>
      </c>
      <c r="AT808">
        <f>AS808-AR808</f>
        <v/>
      </c>
      <c r="AU808">
        <f>RAND()</f>
        <v/>
      </c>
      <c r="AV808">
        <f>RAND()</f>
        <v/>
      </c>
      <c r="AW808">
        <f>RAND()</f>
        <v/>
      </c>
      <c r="AX808">
        <f>RAND()</f>
        <v/>
      </c>
      <c r="AY808">
        <f>RAND()</f>
        <v/>
      </c>
      <c r="AZ808">
        <f>RAND()</f>
        <v/>
      </c>
    </row>
    <row r="809">
      <c r="AK809" t="n">
        <v>796</v>
      </c>
      <c r="AL809">
        <f>IFERROR(IF(AU809&lt;($AM$6-$AL$6)/($AN$6-$AL$6),$AL$6+SQRT(AU809*($AN$6-$AL$6)*($AM$6-$AL$6)),$AN$6-SQRT((1-AU809)*($AN$6-$AL$6)*($AN$6-$AM$6))),$AM$6)</f>
        <v/>
      </c>
      <c r="AM809">
        <f>IFERROR(IF(AV809&lt;($AM$7-$AL$7)/($AN$7-$AL$7),$AL$7+SQRT(AV809*($AN$7-$AL$7)*($AM$7-$AL$7)),$AN$7-SQRT((1-AV809)*($AN$7-$AL$7)*($AN$7-$AM$7))),$AM$7)</f>
        <v/>
      </c>
      <c r="AN809">
        <f>IFERROR(IF(AW809&lt;($AM$8-$AL$8)/($AN$8-$AL$8),$AL$8+SQRT(AW809*($AN$8-$AL$8)*($AM$8-$AL$8)),$AN$8-SQRT((1-AW809)*($AN$8-$AL$8)*($AN$8-$AM$8))),$AM$8)</f>
        <v/>
      </c>
      <c r="AO809">
        <f>IFERROR(IF(AX809&lt;($AM$9-$AL$9)/($AN$9-$AL$9),$AL$9+SQRT(AX809*($AN$9-$AL$9)*($AM$9-$AL$9)),$AN$9-SQRT((1-AX809)*($AN$9-$AL$9)*($AN$9-$AM$9))),$AM$9)</f>
        <v/>
      </c>
      <c r="AP809">
        <f>IFERROR(IF(AY809&lt;($AM$10-$AL$10)/($AN$10-$AL$10),$AL$10+SQRT(AY809*($AN$10-$AL$10)*($AM$10-$AL$10)),$AN$10-SQRT((1-AY809)*($AN$10-$AL$10)*($AN$10-$AM$10))),$AM$10)</f>
        <v/>
      </c>
      <c r="AQ809">
        <f>IFERROR(IF(AZ809&lt;($AM$11-$AL$11)/($AN$11-$AL$11),$AL$11+SQRT(AZ809*($AN$11-$AL$11)*($AM$11-$AL$11)),$AN$11-SQRT((1-AZ809)*($AN$11-$AL$11)*($AN$11-$AM$11))),$AM$11)</f>
        <v/>
      </c>
      <c r="AR809">
        <f>SUMPRODUCT((B24:B31&lt;=$B$6)*(C24:C31*AM809+D24:D31*AO809*$B$8*AQ809)/(1+AL809/100)^B24:B31)+C32*AM809*AP809/(1+AL809/100)^$B$6</f>
        <v/>
      </c>
      <c r="AS809">
        <f>SUMPRODUCT((K24:K26&lt;=$B$6)*(L24:L26*AN809+M24:M26*AO809*$B$8*AQ809)/(1+AL809/100)^K24:K26)+L27*AN809*AP809/(1+AL809/100)^$B$6</f>
        <v/>
      </c>
      <c r="AT809">
        <f>AS809-AR809</f>
        <v/>
      </c>
      <c r="AU809">
        <f>RAND()</f>
        <v/>
      </c>
      <c r="AV809">
        <f>RAND()</f>
        <v/>
      </c>
      <c r="AW809">
        <f>RAND()</f>
        <v/>
      </c>
      <c r="AX809">
        <f>RAND()</f>
        <v/>
      </c>
      <c r="AY809">
        <f>RAND()</f>
        <v/>
      </c>
      <c r="AZ809">
        <f>RAND()</f>
        <v/>
      </c>
    </row>
    <row r="810">
      <c r="AK810" t="n">
        <v>797</v>
      </c>
      <c r="AL810">
        <f>IFERROR(IF(AU810&lt;($AM$6-$AL$6)/($AN$6-$AL$6),$AL$6+SQRT(AU810*($AN$6-$AL$6)*($AM$6-$AL$6)),$AN$6-SQRT((1-AU810)*($AN$6-$AL$6)*($AN$6-$AM$6))),$AM$6)</f>
        <v/>
      </c>
      <c r="AM810">
        <f>IFERROR(IF(AV810&lt;($AM$7-$AL$7)/($AN$7-$AL$7),$AL$7+SQRT(AV810*($AN$7-$AL$7)*($AM$7-$AL$7)),$AN$7-SQRT((1-AV810)*($AN$7-$AL$7)*($AN$7-$AM$7))),$AM$7)</f>
        <v/>
      </c>
      <c r="AN810">
        <f>IFERROR(IF(AW810&lt;($AM$8-$AL$8)/($AN$8-$AL$8),$AL$8+SQRT(AW810*($AN$8-$AL$8)*($AM$8-$AL$8)),$AN$8-SQRT((1-AW810)*($AN$8-$AL$8)*($AN$8-$AM$8))),$AM$8)</f>
        <v/>
      </c>
      <c r="AO810">
        <f>IFERROR(IF(AX810&lt;($AM$9-$AL$9)/($AN$9-$AL$9),$AL$9+SQRT(AX810*($AN$9-$AL$9)*($AM$9-$AL$9)),$AN$9-SQRT((1-AX810)*($AN$9-$AL$9)*($AN$9-$AM$9))),$AM$9)</f>
        <v/>
      </c>
      <c r="AP810">
        <f>IFERROR(IF(AY810&lt;($AM$10-$AL$10)/($AN$10-$AL$10),$AL$10+SQRT(AY810*($AN$10-$AL$10)*($AM$10-$AL$10)),$AN$10-SQRT((1-AY810)*($AN$10-$AL$10)*($AN$10-$AM$10))),$AM$10)</f>
        <v/>
      </c>
      <c r="AQ810">
        <f>IFERROR(IF(AZ810&lt;($AM$11-$AL$11)/($AN$11-$AL$11),$AL$11+SQRT(AZ810*($AN$11-$AL$11)*($AM$11-$AL$11)),$AN$11-SQRT((1-AZ810)*($AN$11-$AL$11)*($AN$11-$AM$11))),$AM$11)</f>
        <v/>
      </c>
      <c r="AR810">
        <f>SUMPRODUCT((B24:B31&lt;=$B$6)*(C24:C31*AM810+D24:D31*AO810*$B$8*AQ810)/(1+AL810/100)^B24:B31)+C32*AM810*AP810/(1+AL810/100)^$B$6</f>
        <v/>
      </c>
      <c r="AS810">
        <f>SUMPRODUCT((K24:K26&lt;=$B$6)*(L24:L26*AN810+M24:M26*AO810*$B$8*AQ810)/(1+AL810/100)^K24:K26)+L27*AN810*AP810/(1+AL810/100)^$B$6</f>
        <v/>
      </c>
      <c r="AT810">
        <f>AS810-AR810</f>
        <v/>
      </c>
      <c r="AU810">
        <f>RAND()</f>
        <v/>
      </c>
      <c r="AV810">
        <f>RAND()</f>
        <v/>
      </c>
      <c r="AW810">
        <f>RAND()</f>
        <v/>
      </c>
      <c r="AX810">
        <f>RAND()</f>
        <v/>
      </c>
      <c r="AY810">
        <f>RAND()</f>
        <v/>
      </c>
      <c r="AZ810">
        <f>RAND()</f>
        <v/>
      </c>
    </row>
    <row r="811">
      <c r="AK811" t="n">
        <v>798</v>
      </c>
      <c r="AL811">
        <f>IFERROR(IF(AU811&lt;($AM$6-$AL$6)/($AN$6-$AL$6),$AL$6+SQRT(AU811*($AN$6-$AL$6)*($AM$6-$AL$6)),$AN$6-SQRT((1-AU811)*($AN$6-$AL$6)*($AN$6-$AM$6))),$AM$6)</f>
        <v/>
      </c>
      <c r="AM811">
        <f>IFERROR(IF(AV811&lt;($AM$7-$AL$7)/($AN$7-$AL$7),$AL$7+SQRT(AV811*($AN$7-$AL$7)*($AM$7-$AL$7)),$AN$7-SQRT((1-AV811)*($AN$7-$AL$7)*($AN$7-$AM$7))),$AM$7)</f>
        <v/>
      </c>
      <c r="AN811">
        <f>IFERROR(IF(AW811&lt;($AM$8-$AL$8)/($AN$8-$AL$8),$AL$8+SQRT(AW811*($AN$8-$AL$8)*($AM$8-$AL$8)),$AN$8-SQRT((1-AW811)*($AN$8-$AL$8)*($AN$8-$AM$8))),$AM$8)</f>
        <v/>
      </c>
      <c r="AO811">
        <f>IFERROR(IF(AX811&lt;($AM$9-$AL$9)/($AN$9-$AL$9),$AL$9+SQRT(AX811*($AN$9-$AL$9)*($AM$9-$AL$9)),$AN$9-SQRT((1-AX811)*($AN$9-$AL$9)*($AN$9-$AM$9))),$AM$9)</f>
        <v/>
      </c>
      <c r="AP811">
        <f>IFERROR(IF(AY811&lt;($AM$10-$AL$10)/($AN$10-$AL$10),$AL$10+SQRT(AY811*($AN$10-$AL$10)*($AM$10-$AL$10)),$AN$10-SQRT((1-AY811)*($AN$10-$AL$10)*($AN$10-$AM$10))),$AM$10)</f>
        <v/>
      </c>
      <c r="AQ811">
        <f>IFERROR(IF(AZ811&lt;($AM$11-$AL$11)/($AN$11-$AL$11),$AL$11+SQRT(AZ811*($AN$11-$AL$11)*($AM$11-$AL$11)),$AN$11-SQRT((1-AZ811)*($AN$11-$AL$11)*($AN$11-$AM$11))),$AM$11)</f>
        <v/>
      </c>
      <c r="AR811">
        <f>SUMPRODUCT((B24:B31&lt;=$B$6)*(C24:C31*AM811+D24:D31*AO811*$B$8*AQ811)/(1+AL811/100)^B24:B31)+C32*AM811*AP811/(1+AL811/100)^$B$6</f>
        <v/>
      </c>
      <c r="AS811">
        <f>SUMPRODUCT((K24:K26&lt;=$B$6)*(L24:L26*AN811+M24:M26*AO811*$B$8*AQ811)/(1+AL811/100)^K24:K26)+L27*AN811*AP811/(1+AL811/100)^$B$6</f>
        <v/>
      </c>
      <c r="AT811">
        <f>AS811-AR811</f>
        <v/>
      </c>
      <c r="AU811">
        <f>RAND()</f>
        <v/>
      </c>
      <c r="AV811">
        <f>RAND()</f>
        <v/>
      </c>
      <c r="AW811">
        <f>RAND()</f>
        <v/>
      </c>
      <c r="AX811">
        <f>RAND()</f>
        <v/>
      </c>
      <c r="AY811">
        <f>RAND()</f>
        <v/>
      </c>
      <c r="AZ811">
        <f>RAND()</f>
        <v/>
      </c>
    </row>
    <row r="812">
      <c r="AK812" t="n">
        <v>799</v>
      </c>
      <c r="AL812">
        <f>IFERROR(IF(AU812&lt;($AM$6-$AL$6)/($AN$6-$AL$6),$AL$6+SQRT(AU812*($AN$6-$AL$6)*($AM$6-$AL$6)),$AN$6-SQRT((1-AU812)*($AN$6-$AL$6)*($AN$6-$AM$6))),$AM$6)</f>
        <v/>
      </c>
      <c r="AM812">
        <f>IFERROR(IF(AV812&lt;($AM$7-$AL$7)/($AN$7-$AL$7),$AL$7+SQRT(AV812*($AN$7-$AL$7)*($AM$7-$AL$7)),$AN$7-SQRT((1-AV812)*($AN$7-$AL$7)*($AN$7-$AM$7))),$AM$7)</f>
        <v/>
      </c>
      <c r="AN812">
        <f>IFERROR(IF(AW812&lt;($AM$8-$AL$8)/($AN$8-$AL$8),$AL$8+SQRT(AW812*($AN$8-$AL$8)*($AM$8-$AL$8)),$AN$8-SQRT((1-AW812)*($AN$8-$AL$8)*($AN$8-$AM$8))),$AM$8)</f>
        <v/>
      </c>
      <c r="AO812">
        <f>IFERROR(IF(AX812&lt;($AM$9-$AL$9)/($AN$9-$AL$9),$AL$9+SQRT(AX812*($AN$9-$AL$9)*($AM$9-$AL$9)),$AN$9-SQRT((1-AX812)*($AN$9-$AL$9)*($AN$9-$AM$9))),$AM$9)</f>
        <v/>
      </c>
      <c r="AP812">
        <f>IFERROR(IF(AY812&lt;($AM$10-$AL$10)/($AN$10-$AL$10),$AL$10+SQRT(AY812*($AN$10-$AL$10)*($AM$10-$AL$10)),$AN$10-SQRT((1-AY812)*($AN$10-$AL$10)*($AN$10-$AM$10))),$AM$10)</f>
        <v/>
      </c>
      <c r="AQ812">
        <f>IFERROR(IF(AZ812&lt;($AM$11-$AL$11)/($AN$11-$AL$11),$AL$11+SQRT(AZ812*($AN$11-$AL$11)*($AM$11-$AL$11)),$AN$11-SQRT((1-AZ812)*($AN$11-$AL$11)*($AN$11-$AM$11))),$AM$11)</f>
        <v/>
      </c>
      <c r="AR812">
        <f>SUMPRODUCT((B24:B31&lt;=$B$6)*(C24:C31*AM812+D24:D31*AO812*$B$8*AQ812)/(1+AL812/100)^B24:B31)+C32*AM812*AP812/(1+AL812/100)^$B$6</f>
        <v/>
      </c>
      <c r="AS812">
        <f>SUMPRODUCT((K24:K26&lt;=$B$6)*(L24:L26*AN812+M24:M26*AO812*$B$8*AQ812)/(1+AL812/100)^K24:K26)+L27*AN812*AP812/(1+AL812/100)^$B$6</f>
        <v/>
      </c>
      <c r="AT812">
        <f>AS812-AR812</f>
        <v/>
      </c>
      <c r="AU812">
        <f>RAND()</f>
        <v/>
      </c>
      <c r="AV812">
        <f>RAND()</f>
        <v/>
      </c>
      <c r="AW812">
        <f>RAND()</f>
        <v/>
      </c>
      <c r="AX812">
        <f>RAND()</f>
        <v/>
      </c>
      <c r="AY812">
        <f>RAND()</f>
        <v/>
      </c>
      <c r="AZ812">
        <f>RAND()</f>
        <v/>
      </c>
    </row>
    <row r="813">
      <c r="AK813" t="n">
        <v>800</v>
      </c>
      <c r="AL813">
        <f>IFERROR(IF(AU813&lt;($AM$6-$AL$6)/($AN$6-$AL$6),$AL$6+SQRT(AU813*($AN$6-$AL$6)*($AM$6-$AL$6)),$AN$6-SQRT((1-AU813)*($AN$6-$AL$6)*($AN$6-$AM$6))),$AM$6)</f>
        <v/>
      </c>
      <c r="AM813">
        <f>IFERROR(IF(AV813&lt;($AM$7-$AL$7)/($AN$7-$AL$7),$AL$7+SQRT(AV813*($AN$7-$AL$7)*($AM$7-$AL$7)),$AN$7-SQRT((1-AV813)*($AN$7-$AL$7)*($AN$7-$AM$7))),$AM$7)</f>
        <v/>
      </c>
      <c r="AN813">
        <f>IFERROR(IF(AW813&lt;($AM$8-$AL$8)/($AN$8-$AL$8),$AL$8+SQRT(AW813*($AN$8-$AL$8)*($AM$8-$AL$8)),$AN$8-SQRT((1-AW813)*($AN$8-$AL$8)*($AN$8-$AM$8))),$AM$8)</f>
        <v/>
      </c>
      <c r="AO813">
        <f>IFERROR(IF(AX813&lt;($AM$9-$AL$9)/($AN$9-$AL$9),$AL$9+SQRT(AX813*($AN$9-$AL$9)*($AM$9-$AL$9)),$AN$9-SQRT((1-AX813)*($AN$9-$AL$9)*($AN$9-$AM$9))),$AM$9)</f>
        <v/>
      </c>
      <c r="AP813">
        <f>IFERROR(IF(AY813&lt;($AM$10-$AL$10)/($AN$10-$AL$10),$AL$10+SQRT(AY813*($AN$10-$AL$10)*($AM$10-$AL$10)),$AN$10-SQRT((1-AY813)*($AN$10-$AL$10)*($AN$10-$AM$10))),$AM$10)</f>
        <v/>
      </c>
      <c r="AQ813">
        <f>IFERROR(IF(AZ813&lt;($AM$11-$AL$11)/($AN$11-$AL$11),$AL$11+SQRT(AZ813*($AN$11-$AL$11)*($AM$11-$AL$11)),$AN$11-SQRT((1-AZ813)*($AN$11-$AL$11)*($AN$11-$AM$11))),$AM$11)</f>
        <v/>
      </c>
      <c r="AR813">
        <f>SUMPRODUCT((B24:B31&lt;=$B$6)*(C24:C31*AM813+D24:D31*AO813*$B$8*AQ813)/(1+AL813/100)^B24:B31)+C32*AM813*AP813/(1+AL813/100)^$B$6</f>
        <v/>
      </c>
      <c r="AS813">
        <f>SUMPRODUCT((K24:K26&lt;=$B$6)*(L24:L26*AN813+M24:M26*AO813*$B$8*AQ813)/(1+AL813/100)^K24:K26)+L27*AN813*AP813/(1+AL813/100)^$B$6</f>
        <v/>
      </c>
      <c r="AT813">
        <f>AS813-AR813</f>
        <v/>
      </c>
      <c r="AU813">
        <f>RAND()</f>
        <v/>
      </c>
      <c r="AV813">
        <f>RAND()</f>
        <v/>
      </c>
      <c r="AW813">
        <f>RAND()</f>
        <v/>
      </c>
      <c r="AX813">
        <f>RAND()</f>
        <v/>
      </c>
      <c r="AY813">
        <f>RAND()</f>
        <v/>
      </c>
      <c r="AZ813">
        <f>RAND()</f>
        <v/>
      </c>
    </row>
    <row r="814">
      <c r="AK814" t="n">
        <v>801</v>
      </c>
      <c r="AL814">
        <f>IFERROR(IF(AU814&lt;($AM$6-$AL$6)/($AN$6-$AL$6),$AL$6+SQRT(AU814*($AN$6-$AL$6)*($AM$6-$AL$6)),$AN$6-SQRT((1-AU814)*($AN$6-$AL$6)*($AN$6-$AM$6))),$AM$6)</f>
        <v/>
      </c>
      <c r="AM814">
        <f>IFERROR(IF(AV814&lt;($AM$7-$AL$7)/($AN$7-$AL$7),$AL$7+SQRT(AV814*($AN$7-$AL$7)*($AM$7-$AL$7)),$AN$7-SQRT((1-AV814)*($AN$7-$AL$7)*($AN$7-$AM$7))),$AM$7)</f>
        <v/>
      </c>
      <c r="AN814">
        <f>IFERROR(IF(AW814&lt;($AM$8-$AL$8)/($AN$8-$AL$8),$AL$8+SQRT(AW814*($AN$8-$AL$8)*($AM$8-$AL$8)),$AN$8-SQRT((1-AW814)*($AN$8-$AL$8)*($AN$8-$AM$8))),$AM$8)</f>
        <v/>
      </c>
      <c r="AO814">
        <f>IFERROR(IF(AX814&lt;($AM$9-$AL$9)/($AN$9-$AL$9),$AL$9+SQRT(AX814*($AN$9-$AL$9)*($AM$9-$AL$9)),$AN$9-SQRT((1-AX814)*($AN$9-$AL$9)*($AN$9-$AM$9))),$AM$9)</f>
        <v/>
      </c>
      <c r="AP814">
        <f>IFERROR(IF(AY814&lt;($AM$10-$AL$10)/($AN$10-$AL$10),$AL$10+SQRT(AY814*($AN$10-$AL$10)*($AM$10-$AL$10)),$AN$10-SQRT((1-AY814)*($AN$10-$AL$10)*($AN$10-$AM$10))),$AM$10)</f>
        <v/>
      </c>
      <c r="AQ814">
        <f>IFERROR(IF(AZ814&lt;($AM$11-$AL$11)/($AN$11-$AL$11),$AL$11+SQRT(AZ814*($AN$11-$AL$11)*($AM$11-$AL$11)),$AN$11-SQRT((1-AZ814)*($AN$11-$AL$11)*($AN$11-$AM$11))),$AM$11)</f>
        <v/>
      </c>
      <c r="AR814">
        <f>SUMPRODUCT((B24:B31&lt;=$B$6)*(C24:C31*AM814+D24:D31*AO814*$B$8*AQ814)/(1+AL814/100)^B24:B31)+C32*AM814*AP814/(1+AL814/100)^$B$6</f>
        <v/>
      </c>
      <c r="AS814">
        <f>SUMPRODUCT((K24:K26&lt;=$B$6)*(L24:L26*AN814+M24:M26*AO814*$B$8*AQ814)/(1+AL814/100)^K24:K26)+L27*AN814*AP814/(1+AL814/100)^$B$6</f>
        <v/>
      </c>
      <c r="AT814">
        <f>AS814-AR814</f>
        <v/>
      </c>
      <c r="AU814">
        <f>RAND()</f>
        <v/>
      </c>
      <c r="AV814">
        <f>RAND()</f>
        <v/>
      </c>
      <c r="AW814">
        <f>RAND()</f>
        <v/>
      </c>
      <c r="AX814">
        <f>RAND()</f>
        <v/>
      </c>
      <c r="AY814">
        <f>RAND()</f>
        <v/>
      </c>
      <c r="AZ814">
        <f>RAND()</f>
        <v/>
      </c>
    </row>
    <row r="815">
      <c r="AK815" t="n">
        <v>802</v>
      </c>
      <c r="AL815">
        <f>IFERROR(IF(AU815&lt;($AM$6-$AL$6)/($AN$6-$AL$6),$AL$6+SQRT(AU815*($AN$6-$AL$6)*($AM$6-$AL$6)),$AN$6-SQRT((1-AU815)*($AN$6-$AL$6)*($AN$6-$AM$6))),$AM$6)</f>
        <v/>
      </c>
      <c r="AM815">
        <f>IFERROR(IF(AV815&lt;($AM$7-$AL$7)/($AN$7-$AL$7),$AL$7+SQRT(AV815*($AN$7-$AL$7)*($AM$7-$AL$7)),$AN$7-SQRT((1-AV815)*($AN$7-$AL$7)*($AN$7-$AM$7))),$AM$7)</f>
        <v/>
      </c>
      <c r="AN815">
        <f>IFERROR(IF(AW815&lt;($AM$8-$AL$8)/($AN$8-$AL$8),$AL$8+SQRT(AW815*($AN$8-$AL$8)*($AM$8-$AL$8)),$AN$8-SQRT((1-AW815)*($AN$8-$AL$8)*($AN$8-$AM$8))),$AM$8)</f>
        <v/>
      </c>
      <c r="AO815">
        <f>IFERROR(IF(AX815&lt;($AM$9-$AL$9)/($AN$9-$AL$9),$AL$9+SQRT(AX815*($AN$9-$AL$9)*($AM$9-$AL$9)),$AN$9-SQRT((1-AX815)*($AN$9-$AL$9)*($AN$9-$AM$9))),$AM$9)</f>
        <v/>
      </c>
      <c r="AP815">
        <f>IFERROR(IF(AY815&lt;($AM$10-$AL$10)/($AN$10-$AL$10),$AL$10+SQRT(AY815*($AN$10-$AL$10)*($AM$10-$AL$10)),$AN$10-SQRT((1-AY815)*($AN$10-$AL$10)*($AN$10-$AM$10))),$AM$10)</f>
        <v/>
      </c>
      <c r="AQ815">
        <f>IFERROR(IF(AZ815&lt;($AM$11-$AL$11)/($AN$11-$AL$11),$AL$11+SQRT(AZ815*($AN$11-$AL$11)*($AM$11-$AL$11)),$AN$11-SQRT((1-AZ815)*($AN$11-$AL$11)*($AN$11-$AM$11))),$AM$11)</f>
        <v/>
      </c>
      <c r="AR815">
        <f>SUMPRODUCT((B24:B31&lt;=$B$6)*(C24:C31*AM815+D24:D31*AO815*$B$8*AQ815)/(1+AL815/100)^B24:B31)+C32*AM815*AP815/(1+AL815/100)^$B$6</f>
        <v/>
      </c>
      <c r="AS815">
        <f>SUMPRODUCT((K24:K26&lt;=$B$6)*(L24:L26*AN815+M24:M26*AO815*$B$8*AQ815)/(1+AL815/100)^K24:K26)+L27*AN815*AP815/(1+AL815/100)^$B$6</f>
        <v/>
      </c>
      <c r="AT815">
        <f>AS815-AR815</f>
        <v/>
      </c>
      <c r="AU815">
        <f>RAND()</f>
        <v/>
      </c>
      <c r="AV815">
        <f>RAND()</f>
        <v/>
      </c>
      <c r="AW815">
        <f>RAND()</f>
        <v/>
      </c>
      <c r="AX815">
        <f>RAND()</f>
        <v/>
      </c>
      <c r="AY815">
        <f>RAND()</f>
        <v/>
      </c>
      <c r="AZ815">
        <f>RAND()</f>
        <v/>
      </c>
    </row>
    <row r="816">
      <c r="AK816" t="n">
        <v>803</v>
      </c>
      <c r="AL816">
        <f>IFERROR(IF(AU816&lt;($AM$6-$AL$6)/($AN$6-$AL$6),$AL$6+SQRT(AU816*($AN$6-$AL$6)*($AM$6-$AL$6)),$AN$6-SQRT((1-AU816)*($AN$6-$AL$6)*($AN$6-$AM$6))),$AM$6)</f>
        <v/>
      </c>
      <c r="AM816">
        <f>IFERROR(IF(AV816&lt;($AM$7-$AL$7)/($AN$7-$AL$7),$AL$7+SQRT(AV816*($AN$7-$AL$7)*($AM$7-$AL$7)),$AN$7-SQRT((1-AV816)*($AN$7-$AL$7)*($AN$7-$AM$7))),$AM$7)</f>
        <v/>
      </c>
      <c r="AN816">
        <f>IFERROR(IF(AW816&lt;($AM$8-$AL$8)/($AN$8-$AL$8),$AL$8+SQRT(AW816*($AN$8-$AL$8)*($AM$8-$AL$8)),$AN$8-SQRT((1-AW816)*($AN$8-$AL$8)*($AN$8-$AM$8))),$AM$8)</f>
        <v/>
      </c>
      <c r="AO816">
        <f>IFERROR(IF(AX816&lt;($AM$9-$AL$9)/($AN$9-$AL$9),$AL$9+SQRT(AX816*($AN$9-$AL$9)*($AM$9-$AL$9)),$AN$9-SQRT((1-AX816)*($AN$9-$AL$9)*($AN$9-$AM$9))),$AM$9)</f>
        <v/>
      </c>
      <c r="AP816">
        <f>IFERROR(IF(AY816&lt;($AM$10-$AL$10)/($AN$10-$AL$10),$AL$10+SQRT(AY816*($AN$10-$AL$10)*($AM$10-$AL$10)),$AN$10-SQRT((1-AY816)*($AN$10-$AL$10)*($AN$10-$AM$10))),$AM$10)</f>
        <v/>
      </c>
      <c r="AQ816">
        <f>IFERROR(IF(AZ816&lt;($AM$11-$AL$11)/($AN$11-$AL$11),$AL$11+SQRT(AZ816*($AN$11-$AL$11)*($AM$11-$AL$11)),$AN$11-SQRT((1-AZ816)*($AN$11-$AL$11)*($AN$11-$AM$11))),$AM$11)</f>
        <v/>
      </c>
      <c r="AR816">
        <f>SUMPRODUCT((B24:B31&lt;=$B$6)*(C24:C31*AM816+D24:D31*AO816*$B$8*AQ816)/(1+AL816/100)^B24:B31)+C32*AM816*AP816/(1+AL816/100)^$B$6</f>
        <v/>
      </c>
      <c r="AS816">
        <f>SUMPRODUCT((K24:K26&lt;=$B$6)*(L24:L26*AN816+M24:M26*AO816*$B$8*AQ816)/(1+AL816/100)^K24:K26)+L27*AN816*AP816/(1+AL816/100)^$B$6</f>
        <v/>
      </c>
      <c r="AT816">
        <f>AS816-AR816</f>
        <v/>
      </c>
      <c r="AU816">
        <f>RAND()</f>
        <v/>
      </c>
      <c r="AV816">
        <f>RAND()</f>
        <v/>
      </c>
      <c r="AW816">
        <f>RAND()</f>
        <v/>
      </c>
      <c r="AX816">
        <f>RAND()</f>
        <v/>
      </c>
      <c r="AY816">
        <f>RAND()</f>
        <v/>
      </c>
      <c r="AZ816">
        <f>RAND()</f>
        <v/>
      </c>
    </row>
    <row r="817">
      <c r="AK817" t="n">
        <v>804</v>
      </c>
      <c r="AL817">
        <f>IFERROR(IF(AU817&lt;($AM$6-$AL$6)/($AN$6-$AL$6),$AL$6+SQRT(AU817*($AN$6-$AL$6)*($AM$6-$AL$6)),$AN$6-SQRT((1-AU817)*($AN$6-$AL$6)*($AN$6-$AM$6))),$AM$6)</f>
        <v/>
      </c>
      <c r="AM817">
        <f>IFERROR(IF(AV817&lt;($AM$7-$AL$7)/($AN$7-$AL$7),$AL$7+SQRT(AV817*($AN$7-$AL$7)*($AM$7-$AL$7)),$AN$7-SQRT((1-AV817)*($AN$7-$AL$7)*($AN$7-$AM$7))),$AM$7)</f>
        <v/>
      </c>
      <c r="AN817">
        <f>IFERROR(IF(AW817&lt;($AM$8-$AL$8)/($AN$8-$AL$8),$AL$8+SQRT(AW817*($AN$8-$AL$8)*($AM$8-$AL$8)),$AN$8-SQRT((1-AW817)*($AN$8-$AL$8)*($AN$8-$AM$8))),$AM$8)</f>
        <v/>
      </c>
      <c r="AO817">
        <f>IFERROR(IF(AX817&lt;($AM$9-$AL$9)/($AN$9-$AL$9),$AL$9+SQRT(AX817*($AN$9-$AL$9)*($AM$9-$AL$9)),$AN$9-SQRT((1-AX817)*($AN$9-$AL$9)*($AN$9-$AM$9))),$AM$9)</f>
        <v/>
      </c>
      <c r="AP817">
        <f>IFERROR(IF(AY817&lt;($AM$10-$AL$10)/($AN$10-$AL$10),$AL$10+SQRT(AY817*($AN$10-$AL$10)*($AM$10-$AL$10)),$AN$10-SQRT((1-AY817)*($AN$10-$AL$10)*($AN$10-$AM$10))),$AM$10)</f>
        <v/>
      </c>
      <c r="AQ817">
        <f>IFERROR(IF(AZ817&lt;($AM$11-$AL$11)/($AN$11-$AL$11),$AL$11+SQRT(AZ817*($AN$11-$AL$11)*($AM$11-$AL$11)),$AN$11-SQRT((1-AZ817)*($AN$11-$AL$11)*($AN$11-$AM$11))),$AM$11)</f>
        <v/>
      </c>
      <c r="AR817">
        <f>SUMPRODUCT((B24:B31&lt;=$B$6)*(C24:C31*AM817+D24:D31*AO817*$B$8*AQ817)/(1+AL817/100)^B24:B31)+C32*AM817*AP817/(1+AL817/100)^$B$6</f>
        <v/>
      </c>
      <c r="AS817">
        <f>SUMPRODUCT((K24:K26&lt;=$B$6)*(L24:L26*AN817+M24:M26*AO817*$B$8*AQ817)/(1+AL817/100)^K24:K26)+L27*AN817*AP817/(1+AL817/100)^$B$6</f>
        <v/>
      </c>
      <c r="AT817">
        <f>AS817-AR817</f>
        <v/>
      </c>
      <c r="AU817">
        <f>RAND()</f>
        <v/>
      </c>
      <c r="AV817">
        <f>RAND()</f>
        <v/>
      </c>
      <c r="AW817">
        <f>RAND()</f>
        <v/>
      </c>
      <c r="AX817">
        <f>RAND()</f>
        <v/>
      </c>
      <c r="AY817">
        <f>RAND()</f>
        <v/>
      </c>
      <c r="AZ817">
        <f>RAND()</f>
        <v/>
      </c>
    </row>
    <row r="818">
      <c r="AK818" t="n">
        <v>805</v>
      </c>
      <c r="AL818">
        <f>IFERROR(IF(AU818&lt;($AM$6-$AL$6)/($AN$6-$AL$6),$AL$6+SQRT(AU818*($AN$6-$AL$6)*($AM$6-$AL$6)),$AN$6-SQRT((1-AU818)*($AN$6-$AL$6)*($AN$6-$AM$6))),$AM$6)</f>
        <v/>
      </c>
      <c r="AM818">
        <f>IFERROR(IF(AV818&lt;($AM$7-$AL$7)/($AN$7-$AL$7),$AL$7+SQRT(AV818*($AN$7-$AL$7)*($AM$7-$AL$7)),$AN$7-SQRT((1-AV818)*($AN$7-$AL$7)*($AN$7-$AM$7))),$AM$7)</f>
        <v/>
      </c>
      <c r="AN818">
        <f>IFERROR(IF(AW818&lt;($AM$8-$AL$8)/($AN$8-$AL$8),$AL$8+SQRT(AW818*($AN$8-$AL$8)*($AM$8-$AL$8)),$AN$8-SQRT((1-AW818)*($AN$8-$AL$8)*($AN$8-$AM$8))),$AM$8)</f>
        <v/>
      </c>
      <c r="AO818">
        <f>IFERROR(IF(AX818&lt;($AM$9-$AL$9)/($AN$9-$AL$9),$AL$9+SQRT(AX818*($AN$9-$AL$9)*($AM$9-$AL$9)),$AN$9-SQRT((1-AX818)*($AN$9-$AL$9)*($AN$9-$AM$9))),$AM$9)</f>
        <v/>
      </c>
      <c r="AP818">
        <f>IFERROR(IF(AY818&lt;($AM$10-$AL$10)/($AN$10-$AL$10),$AL$10+SQRT(AY818*($AN$10-$AL$10)*($AM$10-$AL$10)),$AN$10-SQRT((1-AY818)*($AN$10-$AL$10)*($AN$10-$AM$10))),$AM$10)</f>
        <v/>
      </c>
      <c r="AQ818">
        <f>IFERROR(IF(AZ818&lt;($AM$11-$AL$11)/($AN$11-$AL$11),$AL$11+SQRT(AZ818*($AN$11-$AL$11)*($AM$11-$AL$11)),$AN$11-SQRT((1-AZ818)*($AN$11-$AL$11)*($AN$11-$AM$11))),$AM$11)</f>
        <v/>
      </c>
      <c r="AR818">
        <f>SUMPRODUCT((B24:B31&lt;=$B$6)*(C24:C31*AM818+D24:D31*AO818*$B$8*AQ818)/(1+AL818/100)^B24:B31)+C32*AM818*AP818/(1+AL818/100)^$B$6</f>
        <v/>
      </c>
      <c r="AS818">
        <f>SUMPRODUCT((K24:K26&lt;=$B$6)*(L24:L26*AN818+M24:M26*AO818*$B$8*AQ818)/(1+AL818/100)^K24:K26)+L27*AN818*AP818/(1+AL818/100)^$B$6</f>
        <v/>
      </c>
      <c r="AT818">
        <f>AS818-AR818</f>
        <v/>
      </c>
      <c r="AU818">
        <f>RAND()</f>
        <v/>
      </c>
      <c r="AV818">
        <f>RAND()</f>
        <v/>
      </c>
      <c r="AW818">
        <f>RAND()</f>
        <v/>
      </c>
      <c r="AX818">
        <f>RAND()</f>
        <v/>
      </c>
      <c r="AY818">
        <f>RAND()</f>
        <v/>
      </c>
      <c r="AZ818">
        <f>RAND()</f>
        <v/>
      </c>
    </row>
    <row r="819">
      <c r="AK819" t="n">
        <v>806</v>
      </c>
      <c r="AL819">
        <f>IFERROR(IF(AU819&lt;($AM$6-$AL$6)/($AN$6-$AL$6),$AL$6+SQRT(AU819*($AN$6-$AL$6)*($AM$6-$AL$6)),$AN$6-SQRT((1-AU819)*($AN$6-$AL$6)*($AN$6-$AM$6))),$AM$6)</f>
        <v/>
      </c>
      <c r="AM819">
        <f>IFERROR(IF(AV819&lt;($AM$7-$AL$7)/($AN$7-$AL$7),$AL$7+SQRT(AV819*($AN$7-$AL$7)*($AM$7-$AL$7)),$AN$7-SQRT((1-AV819)*($AN$7-$AL$7)*($AN$7-$AM$7))),$AM$7)</f>
        <v/>
      </c>
      <c r="AN819">
        <f>IFERROR(IF(AW819&lt;($AM$8-$AL$8)/($AN$8-$AL$8),$AL$8+SQRT(AW819*($AN$8-$AL$8)*($AM$8-$AL$8)),$AN$8-SQRT((1-AW819)*($AN$8-$AL$8)*($AN$8-$AM$8))),$AM$8)</f>
        <v/>
      </c>
      <c r="AO819">
        <f>IFERROR(IF(AX819&lt;($AM$9-$AL$9)/($AN$9-$AL$9),$AL$9+SQRT(AX819*($AN$9-$AL$9)*($AM$9-$AL$9)),$AN$9-SQRT((1-AX819)*($AN$9-$AL$9)*($AN$9-$AM$9))),$AM$9)</f>
        <v/>
      </c>
      <c r="AP819">
        <f>IFERROR(IF(AY819&lt;($AM$10-$AL$10)/($AN$10-$AL$10),$AL$10+SQRT(AY819*($AN$10-$AL$10)*($AM$10-$AL$10)),$AN$10-SQRT((1-AY819)*($AN$10-$AL$10)*($AN$10-$AM$10))),$AM$10)</f>
        <v/>
      </c>
      <c r="AQ819">
        <f>IFERROR(IF(AZ819&lt;($AM$11-$AL$11)/($AN$11-$AL$11),$AL$11+SQRT(AZ819*($AN$11-$AL$11)*($AM$11-$AL$11)),$AN$11-SQRT((1-AZ819)*($AN$11-$AL$11)*($AN$11-$AM$11))),$AM$11)</f>
        <v/>
      </c>
      <c r="AR819">
        <f>SUMPRODUCT((B24:B31&lt;=$B$6)*(C24:C31*AM819+D24:D31*AO819*$B$8*AQ819)/(1+AL819/100)^B24:B31)+C32*AM819*AP819/(1+AL819/100)^$B$6</f>
        <v/>
      </c>
      <c r="AS819">
        <f>SUMPRODUCT((K24:K26&lt;=$B$6)*(L24:L26*AN819+M24:M26*AO819*$B$8*AQ819)/(1+AL819/100)^K24:K26)+L27*AN819*AP819/(1+AL819/100)^$B$6</f>
        <v/>
      </c>
      <c r="AT819">
        <f>AS819-AR819</f>
        <v/>
      </c>
      <c r="AU819">
        <f>RAND()</f>
        <v/>
      </c>
      <c r="AV819">
        <f>RAND()</f>
        <v/>
      </c>
      <c r="AW819">
        <f>RAND()</f>
        <v/>
      </c>
      <c r="AX819">
        <f>RAND()</f>
        <v/>
      </c>
      <c r="AY819">
        <f>RAND()</f>
        <v/>
      </c>
      <c r="AZ819">
        <f>RAND()</f>
        <v/>
      </c>
    </row>
    <row r="820">
      <c r="AK820" t="n">
        <v>807</v>
      </c>
      <c r="AL820">
        <f>IFERROR(IF(AU820&lt;($AM$6-$AL$6)/($AN$6-$AL$6),$AL$6+SQRT(AU820*($AN$6-$AL$6)*($AM$6-$AL$6)),$AN$6-SQRT((1-AU820)*($AN$6-$AL$6)*($AN$6-$AM$6))),$AM$6)</f>
        <v/>
      </c>
      <c r="AM820">
        <f>IFERROR(IF(AV820&lt;($AM$7-$AL$7)/($AN$7-$AL$7),$AL$7+SQRT(AV820*($AN$7-$AL$7)*($AM$7-$AL$7)),$AN$7-SQRT((1-AV820)*($AN$7-$AL$7)*($AN$7-$AM$7))),$AM$7)</f>
        <v/>
      </c>
      <c r="AN820">
        <f>IFERROR(IF(AW820&lt;($AM$8-$AL$8)/($AN$8-$AL$8),$AL$8+SQRT(AW820*($AN$8-$AL$8)*($AM$8-$AL$8)),$AN$8-SQRT((1-AW820)*($AN$8-$AL$8)*($AN$8-$AM$8))),$AM$8)</f>
        <v/>
      </c>
      <c r="AO820">
        <f>IFERROR(IF(AX820&lt;($AM$9-$AL$9)/($AN$9-$AL$9),$AL$9+SQRT(AX820*($AN$9-$AL$9)*($AM$9-$AL$9)),$AN$9-SQRT((1-AX820)*($AN$9-$AL$9)*($AN$9-$AM$9))),$AM$9)</f>
        <v/>
      </c>
      <c r="AP820">
        <f>IFERROR(IF(AY820&lt;($AM$10-$AL$10)/($AN$10-$AL$10),$AL$10+SQRT(AY820*($AN$10-$AL$10)*($AM$10-$AL$10)),$AN$10-SQRT((1-AY820)*($AN$10-$AL$10)*($AN$10-$AM$10))),$AM$10)</f>
        <v/>
      </c>
      <c r="AQ820">
        <f>IFERROR(IF(AZ820&lt;($AM$11-$AL$11)/($AN$11-$AL$11),$AL$11+SQRT(AZ820*($AN$11-$AL$11)*($AM$11-$AL$11)),$AN$11-SQRT((1-AZ820)*($AN$11-$AL$11)*($AN$11-$AM$11))),$AM$11)</f>
        <v/>
      </c>
      <c r="AR820">
        <f>SUMPRODUCT((B24:B31&lt;=$B$6)*(C24:C31*AM820+D24:D31*AO820*$B$8*AQ820)/(1+AL820/100)^B24:B31)+C32*AM820*AP820/(1+AL820/100)^$B$6</f>
        <v/>
      </c>
      <c r="AS820">
        <f>SUMPRODUCT((K24:K26&lt;=$B$6)*(L24:L26*AN820+M24:M26*AO820*$B$8*AQ820)/(1+AL820/100)^K24:K26)+L27*AN820*AP820/(1+AL820/100)^$B$6</f>
        <v/>
      </c>
      <c r="AT820">
        <f>AS820-AR820</f>
        <v/>
      </c>
      <c r="AU820">
        <f>RAND()</f>
        <v/>
      </c>
      <c r="AV820">
        <f>RAND()</f>
        <v/>
      </c>
      <c r="AW820">
        <f>RAND()</f>
        <v/>
      </c>
      <c r="AX820">
        <f>RAND()</f>
        <v/>
      </c>
      <c r="AY820">
        <f>RAND()</f>
        <v/>
      </c>
      <c r="AZ820">
        <f>RAND()</f>
        <v/>
      </c>
    </row>
    <row r="821">
      <c r="AK821" t="n">
        <v>808</v>
      </c>
      <c r="AL821">
        <f>IFERROR(IF(AU821&lt;($AM$6-$AL$6)/($AN$6-$AL$6),$AL$6+SQRT(AU821*($AN$6-$AL$6)*($AM$6-$AL$6)),$AN$6-SQRT((1-AU821)*($AN$6-$AL$6)*($AN$6-$AM$6))),$AM$6)</f>
        <v/>
      </c>
      <c r="AM821">
        <f>IFERROR(IF(AV821&lt;($AM$7-$AL$7)/($AN$7-$AL$7),$AL$7+SQRT(AV821*($AN$7-$AL$7)*($AM$7-$AL$7)),$AN$7-SQRT((1-AV821)*($AN$7-$AL$7)*($AN$7-$AM$7))),$AM$7)</f>
        <v/>
      </c>
      <c r="AN821">
        <f>IFERROR(IF(AW821&lt;($AM$8-$AL$8)/($AN$8-$AL$8),$AL$8+SQRT(AW821*($AN$8-$AL$8)*($AM$8-$AL$8)),$AN$8-SQRT((1-AW821)*($AN$8-$AL$8)*($AN$8-$AM$8))),$AM$8)</f>
        <v/>
      </c>
      <c r="AO821">
        <f>IFERROR(IF(AX821&lt;($AM$9-$AL$9)/($AN$9-$AL$9),$AL$9+SQRT(AX821*($AN$9-$AL$9)*($AM$9-$AL$9)),$AN$9-SQRT((1-AX821)*($AN$9-$AL$9)*($AN$9-$AM$9))),$AM$9)</f>
        <v/>
      </c>
      <c r="AP821">
        <f>IFERROR(IF(AY821&lt;($AM$10-$AL$10)/($AN$10-$AL$10),$AL$10+SQRT(AY821*($AN$10-$AL$10)*($AM$10-$AL$10)),$AN$10-SQRT((1-AY821)*($AN$10-$AL$10)*($AN$10-$AM$10))),$AM$10)</f>
        <v/>
      </c>
      <c r="AQ821">
        <f>IFERROR(IF(AZ821&lt;($AM$11-$AL$11)/($AN$11-$AL$11),$AL$11+SQRT(AZ821*($AN$11-$AL$11)*($AM$11-$AL$11)),$AN$11-SQRT((1-AZ821)*($AN$11-$AL$11)*($AN$11-$AM$11))),$AM$11)</f>
        <v/>
      </c>
      <c r="AR821">
        <f>SUMPRODUCT((B24:B31&lt;=$B$6)*(C24:C31*AM821+D24:D31*AO821*$B$8*AQ821)/(1+AL821/100)^B24:B31)+C32*AM821*AP821/(1+AL821/100)^$B$6</f>
        <v/>
      </c>
      <c r="AS821">
        <f>SUMPRODUCT((K24:K26&lt;=$B$6)*(L24:L26*AN821+M24:M26*AO821*$B$8*AQ821)/(1+AL821/100)^K24:K26)+L27*AN821*AP821/(1+AL821/100)^$B$6</f>
        <v/>
      </c>
      <c r="AT821">
        <f>AS821-AR821</f>
        <v/>
      </c>
      <c r="AU821">
        <f>RAND()</f>
        <v/>
      </c>
      <c r="AV821">
        <f>RAND()</f>
        <v/>
      </c>
      <c r="AW821">
        <f>RAND()</f>
        <v/>
      </c>
      <c r="AX821">
        <f>RAND()</f>
        <v/>
      </c>
      <c r="AY821">
        <f>RAND()</f>
        <v/>
      </c>
      <c r="AZ821">
        <f>RAND()</f>
        <v/>
      </c>
    </row>
    <row r="822">
      <c r="AK822" t="n">
        <v>809</v>
      </c>
      <c r="AL822">
        <f>IFERROR(IF(AU822&lt;($AM$6-$AL$6)/($AN$6-$AL$6),$AL$6+SQRT(AU822*($AN$6-$AL$6)*($AM$6-$AL$6)),$AN$6-SQRT((1-AU822)*($AN$6-$AL$6)*($AN$6-$AM$6))),$AM$6)</f>
        <v/>
      </c>
      <c r="AM822">
        <f>IFERROR(IF(AV822&lt;($AM$7-$AL$7)/($AN$7-$AL$7),$AL$7+SQRT(AV822*($AN$7-$AL$7)*($AM$7-$AL$7)),$AN$7-SQRT((1-AV822)*($AN$7-$AL$7)*($AN$7-$AM$7))),$AM$7)</f>
        <v/>
      </c>
      <c r="AN822">
        <f>IFERROR(IF(AW822&lt;($AM$8-$AL$8)/($AN$8-$AL$8),$AL$8+SQRT(AW822*($AN$8-$AL$8)*($AM$8-$AL$8)),$AN$8-SQRT((1-AW822)*($AN$8-$AL$8)*($AN$8-$AM$8))),$AM$8)</f>
        <v/>
      </c>
      <c r="AO822">
        <f>IFERROR(IF(AX822&lt;($AM$9-$AL$9)/($AN$9-$AL$9),$AL$9+SQRT(AX822*($AN$9-$AL$9)*($AM$9-$AL$9)),$AN$9-SQRT((1-AX822)*($AN$9-$AL$9)*($AN$9-$AM$9))),$AM$9)</f>
        <v/>
      </c>
      <c r="AP822">
        <f>IFERROR(IF(AY822&lt;($AM$10-$AL$10)/($AN$10-$AL$10),$AL$10+SQRT(AY822*($AN$10-$AL$10)*($AM$10-$AL$10)),$AN$10-SQRT((1-AY822)*($AN$10-$AL$10)*($AN$10-$AM$10))),$AM$10)</f>
        <v/>
      </c>
      <c r="AQ822">
        <f>IFERROR(IF(AZ822&lt;($AM$11-$AL$11)/($AN$11-$AL$11),$AL$11+SQRT(AZ822*($AN$11-$AL$11)*($AM$11-$AL$11)),$AN$11-SQRT((1-AZ822)*($AN$11-$AL$11)*($AN$11-$AM$11))),$AM$11)</f>
        <v/>
      </c>
      <c r="AR822">
        <f>SUMPRODUCT((B24:B31&lt;=$B$6)*(C24:C31*AM822+D24:D31*AO822*$B$8*AQ822)/(1+AL822/100)^B24:B31)+C32*AM822*AP822/(1+AL822/100)^$B$6</f>
        <v/>
      </c>
      <c r="AS822">
        <f>SUMPRODUCT((K24:K26&lt;=$B$6)*(L24:L26*AN822+M24:M26*AO822*$B$8*AQ822)/(1+AL822/100)^K24:K26)+L27*AN822*AP822/(1+AL822/100)^$B$6</f>
        <v/>
      </c>
      <c r="AT822">
        <f>AS822-AR822</f>
        <v/>
      </c>
      <c r="AU822">
        <f>RAND()</f>
        <v/>
      </c>
      <c r="AV822">
        <f>RAND()</f>
        <v/>
      </c>
      <c r="AW822">
        <f>RAND()</f>
        <v/>
      </c>
      <c r="AX822">
        <f>RAND()</f>
        <v/>
      </c>
      <c r="AY822">
        <f>RAND()</f>
        <v/>
      </c>
      <c r="AZ822">
        <f>RAND()</f>
        <v/>
      </c>
    </row>
    <row r="823">
      <c r="AK823" t="n">
        <v>810</v>
      </c>
      <c r="AL823">
        <f>IFERROR(IF(AU823&lt;($AM$6-$AL$6)/($AN$6-$AL$6),$AL$6+SQRT(AU823*($AN$6-$AL$6)*($AM$6-$AL$6)),$AN$6-SQRT((1-AU823)*($AN$6-$AL$6)*($AN$6-$AM$6))),$AM$6)</f>
        <v/>
      </c>
      <c r="AM823">
        <f>IFERROR(IF(AV823&lt;($AM$7-$AL$7)/($AN$7-$AL$7),$AL$7+SQRT(AV823*($AN$7-$AL$7)*($AM$7-$AL$7)),$AN$7-SQRT((1-AV823)*($AN$7-$AL$7)*($AN$7-$AM$7))),$AM$7)</f>
        <v/>
      </c>
      <c r="AN823">
        <f>IFERROR(IF(AW823&lt;($AM$8-$AL$8)/($AN$8-$AL$8),$AL$8+SQRT(AW823*($AN$8-$AL$8)*($AM$8-$AL$8)),$AN$8-SQRT((1-AW823)*($AN$8-$AL$8)*($AN$8-$AM$8))),$AM$8)</f>
        <v/>
      </c>
      <c r="AO823">
        <f>IFERROR(IF(AX823&lt;($AM$9-$AL$9)/($AN$9-$AL$9),$AL$9+SQRT(AX823*($AN$9-$AL$9)*($AM$9-$AL$9)),$AN$9-SQRT((1-AX823)*($AN$9-$AL$9)*($AN$9-$AM$9))),$AM$9)</f>
        <v/>
      </c>
      <c r="AP823">
        <f>IFERROR(IF(AY823&lt;($AM$10-$AL$10)/($AN$10-$AL$10),$AL$10+SQRT(AY823*($AN$10-$AL$10)*($AM$10-$AL$10)),$AN$10-SQRT((1-AY823)*($AN$10-$AL$10)*($AN$10-$AM$10))),$AM$10)</f>
        <v/>
      </c>
      <c r="AQ823">
        <f>IFERROR(IF(AZ823&lt;($AM$11-$AL$11)/($AN$11-$AL$11),$AL$11+SQRT(AZ823*($AN$11-$AL$11)*($AM$11-$AL$11)),$AN$11-SQRT((1-AZ823)*($AN$11-$AL$11)*($AN$11-$AM$11))),$AM$11)</f>
        <v/>
      </c>
      <c r="AR823">
        <f>SUMPRODUCT((B24:B31&lt;=$B$6)*(C24:C31*AM823+D24:D31*AO823*$B$8*AQ823)/(1+AL823/100)^B24:B31)+C32*AM823*AP823/(1+AL823/100)^$B$6</f>
        <v/>
      </c>
      <c r="AS823">
        <f>SUMPRODUCT((K24:K26&lt;=$B$6)*(L24:L26*AN823+M24:M26*AO823*$B$8*AQ823)/(1+AL823/100)^K24:K26)+L27*AN823*AP823/(1+AL823/100)^$B$6</f>
        <v/>
      </c>
      <c r="AT823">
        <f>AS823-AR823</f>
        <v/>
      </c>
      <c r="AU823">
        <f>RAND()</f>
        <v/>
      </c>
      <c r="AV823">
        <f>RAND()</f>
        <v/>
      </c>
      <c r="AW823">
        <f>RAND()</f>
        <v/>
      </c>
      <c r="AX823">
        <f>RAND()</f>
        <v/>
      </c>
      <c r="AY823">
        <f>RAND()</f>
        <v/>
      </c>
      <c r="AZ823">
        <f>RAND()</f>
        <v/>
      </c>
    </row>
    <row r="824">
      <c r="AK824" t="n">
        <v>811</v>
      </c>
      <c r="AL824">
        <f>IFERROR(IF(AU824&lt;($AM$6-$AL$6)/($AN$6-$AL$6),$AL$6+SQRT(AU824*($AN$6-$AL$6)*($AM$6-$AL$6)),$AN$6-SQRT((1-AU824)*($AN$6-$AL$6)*($AN$6-$AM$6))),$AM$6)</f>
        <v/>
      </c>
      <c r="AM824">
        <f>IFERROR(IF(AV824&lt;($AM$7-$AL$7)/($AN$7-$AL$7),$AL$7+SQRT(AV824*($AN$7-$AL$7)*($AM$7-$AL$7)),$AN$7-SQRT((1-AV824)*($AN$7-$AL$7)*($AN$7-$AM$7))),$AM$7)</f>
        <v/>
      </c>
      <c r="AN824">
        <f>IFERROR(IF(AW824&lt;($AM$8-$AL$8)/($AN$8-$AL$8),$AL$8+SQRT(AW824*($AN$8-$AL$8)*($AM$8-$AL$8)),$AN$8-SQRT((1-AW824)*($AN$8-$AL$8)*($AN$8-$AM$8))),$AM$8)</f>
        <v/>
      </c>
      <c r="AO824">
        <f>IFERROR(IF(AX824&lt;($AM$9-$AL$9)/($AN$9-$AL$9),$AL$9+SQRT(AX824*($AN$9-$AL$9)*($AM$9-$AL$9)),$AN$9-SQRT((1-AX824)*($AN$9-$AL$9)*($AN$9-$AM$9))),$AM$9)</f>
        <v/>
      </c>
      <c r="AP824">
        <f>IFERROR(IF(AY824&lt;($AM$10-$AL$10)/($AN$10-$AL$10),$AL$10+SQRT(AY824*($AN$10-$AL$10)*($AM$10-$AL$10)),$AN$10-SQRT((1-AY824)*($AN$10-$AL$10)*($AN$10-$AM$10))),$AM$10)</f>
        <v/>
      </c>
      <c r="AQ824">
        <f>IFERROR(IF(AZ824&lt;($AM$11-$AL$11)/($AN$11-$AL$11),$AL$11+SQRT(AZ824*($AN$11-$AL$11)*($AM$11-$AL$11)),$AN$11-SQRT((1-AZ824)*($AN$11-$AL$11)*($AN$11-$AM$11))),$AM$11)</f>
        <v/>
      </c>
      <c r="AR824">
        <f>SUMPRODUCT((B24:B31&lt;=$B$6)*(C24:C31*AM824+D24:D31*AO824*$B$8*AQ824)/(1+AL824/100)^B24:B31)+C32*AM824*AP824/(1+AL824/100)^$B$6</f>
        <v/>
      </c>
      <c r="AS824">
        <f>SUMPRODUCT((K24:K26&lt;=$B$6)*(L24:L26*AN824+M24:M26*AO824*$B$8*AQ824)/(1+AL824/100)^K24:K26)+L27*AN824*AP824/(1+AL824/100)^$B$6</f>
        <v/>
      </c>
      <c r="AT824">
        <f>AS824-AR824</f>
        <v/>
      </c>
      <c r="AU824">
        <f>RAND()</f>
        <v/>
      </c>
      <c r="AV824">
        <f>RAND()</f>
        <v/>
      </c>
      <c r="AW824">
        <f>RAND()</f>
        <v/>
      </c>
      <c r="AX824">
        <f>RAND()</f>
        <v/>
      </c>
      <c r="AY824">
        <f>RAND()</f>
        <v/>
      </c>
      <c r="AZ824">
        <f>RAND()</f>
        <v/>
      </c>
    </row>
    <row r="825">
      <c r="AK825" t="n">
        <v>812</v>
      </c>
      <c r="AL825">
        <f>IFERROR(IF(AU825&lt;($AM$6-$AL$6)/($AN$6-$AL$6),$AL$6+SQRT(AU825*($AN$6-$AL$6)*($AM$6-$AL$6)),$AN$6-SQRT((1-AU825)*($AN$6-$AL$6)*($AN$6-$AM$6))),$AM$6)</f>
        <v/>
      </c>
      <c r="AM825">
        <f>IFERROR(IF(AV825&lt;($AM$7-$AL$7)/($AN$7-$AL$7),$AL$7+SQRT(AV825*($AN$7-$AL$7)*($AM$7-$AL$7)),$AN$7-SQRT((1-AV825)*($AN$7-$AL$7)*($AN$7-$AM$7))),$AM$7)</f>
        <v/>
      </c>
      <c r="AN825">
        <f>IFERROR(IF(AW825&lt;($AM$8-$AL$8)/($AN$8-$AL$8),$AL$8+SQRT(AW825*($AN$8-$AL$8)*($AM$8-$AL$8)),$AN$8-SQRT((1-AW825)*($AN$8-$AL$8)*($AN$8-$AM$8))),$AM$8)</f>
        <v/>
      </c>
      <c r="AO825">
        <f>IFERROR(IF(AX825&lt;($AM$9-$AL$9)/($AN$9-$AL$9),$AL$9+SQRT(AX825*($AN$9-$AL$9)*($AM$9-$AL$9)),$AN$9-SQRT((1-AX825)*($AN$9-$AL$9)*($AN$9-$AM$9))),$AM$9)</f>
        <v/>
      </c>
      <c r="AP825">
        <f>IFERROR(IF(AY825&lt;($AM$10-$AL$10)/($AN$10-$AL$10),$AL$10+SQRT(AY825*($AN$10-$AL$10)*($AM$10-$AL$10)),$AN$10-SQRT((1-AY825)*($AN$10-$AL$10)*($AN$10-$AM$10))),$AM$10)</f>
        <v/>
      </c>
      <c r="AQ825">
        <f>IFERROR(IF(AZ825&lt;($AM$11-$AL$11)/($AN$11-$AL$11),$AL$11+SQRT(AZ825*($AN$11-$AL$11)*($AM$11-$AL$11)),$AN$11-SQRT((1-AZ825)*($AN$11-$AL$11)*($AN$11-$AM$11))),$AM$11)</f>
        <v/>
      </c>
      <c r="AR825">
        <f>SUMPRODUCT((B24:B31&lt;=$B$6)*(C24:C31*AM825+D24:D31*AO825*$B$8*AQ825)/(1+AL825/100)^B24:B31)+C32*AM825*AP825/(1+AL825/100)^$B$6</f>
        <v/>
      </c>
      <c r="AS825">
        <f>SUMPRODUCT((K24:K26&lt;=$B$6)*(L24:L26*AN825+M24:M26*AO825*$B$8*AQ825)/(1+AL825/100)^K24:K26)+L27*AN825*AP825/(1+AL825/100)^$B$6</f>
        <v/>
      </c>
      <c r="AT825">
        <f>AS825-AR825</f>
        <v/>
      </c>
      <c r="AU825">
        <f>RAND()</f>
        <v/>
      </c>
      <c r="AV825">
        <f>RAND()</f>
        <v/>
      </c>
      <c r="AW825">
        <f>RAND()</f>
        <v/>
      </c>
      <c r="AX825">
        <f>RAND()</f>
        <v/>
      </c>
      <c r="AY825">
        <f>RAND()</f>
        <v/>
      </c>
      <c r="AZ825">
        <f>RAND()</f>
        <v/>
      </c>
    </row>
    <row r="826">
      <c r="AK826" t="n">
        <v>813</v>
      </c>
      <c r="AL826">
        <f>IFERROR(IF(AU826&lt;($AM$6-$AL$6)/($AN$6-$AL$6),$AL$6+SQRT(AU826*($AN$6-$AL$6)*($AM$6-$AL$6)),$AN$6-SQRT((1-AU826)*($AN$6-$AL$6)*($AN$6-$AM$6))),$AM$6)</f>
        <v/>
      </c>
      <c r="AM826">
        <f>IFERROR(IF(AV826&lt;($AM$7-$AL$7)/($AN$7-$AL$7),$AL$7+SQRT(AV826*($AN$7-$AL$7)*($AM$7-$AL$7)),$AN$7-SQRT((1-AV826)*($AN$7-$AL$7)*($AN$7-$AM$7))),$AM$7)</f>
        <v/>
      </c>
      <c r="AN826">
        <f>IFERROR(IF(AW826&lt;($AM$8-$AL$8)/($AN$8-$AL$8),$AL$8+SQRT(AW826*($AN$8-$AL$8)*($AM$8-$AL$8)),$AN$8-SQRT((1-AW826)*($AN$8-$AL$8)*($AN$8-$AM$8))),$AM$8)</f>
        <v/>
      </c>
      <c r="AO826">
        <f>IFERROR(IF(AX826&lt;($AM$9-$AL$9)/($AN$9-$AL$9),$AL$9+SQRT(AX826*($AN$9-$AL$9)*($AM$9-$AL$9)),$AN$9-SQRT((1-AX826)*($AN$9-$AL$9)*($AN$9-$AM$9))),$AM$9)</f>
        <v/>
      </c>
      <c r="AP826">
        <f>IFERROR(IF(AY826&lt;($AM$10-$AL$10)/($AN$10-$AL$10),$AL$10+SQRT(AY826*($AN$10-$AL$10)*($AM$10-$AL$10)),$AN$10-SQRT((1-AY826)*($AN$10-$AL$10)*($AN$10-$AM$10))),$AM$10)</f>
        <v/>
      </c>
      <c r="AQ826">
        <f>IFERROR(IF(AZ826&lt;($AM$11-$AL$11)/($AN$11-$AL$11),$AL$11+SQRT(AZ826*($AN$11-$AL$11)*($AM$11-$AL$11)),$AN$11-SQRT((1-AZ826)*($AN$11-$AL$11)*($AN$11-$AM$11))),$AM$11)</f>
        <v/>
      </c>
      <c r="AR826">
        <f>SUMPRODUCT((B24:B31&lt;=$B$6)*(C24:C31*AM826+D24:D31*AO826*$B$8*AQ826)/(1+AL826/100)^B24:B31)+C32*AM826*AP826/(1+AL826/100)^$B$6</f>
        <v/>
      </c>
      <c r="AS826">
        <f>SUMPRODUCT((K24:K26&lt;=$B$6)*(L24:L26*AN826+M24:M26*AO826*$B$8*AQ826)/(1+AL826/100)^K24:K26)+L27*AN826*AP826/(1+AL826/100)^$B$6</f>
        <v/>
      </c>
      <c r="AT826">
        <f>AS826-AR826</f>
        <v/>
      </c>
      <c r="AU826">
        <f>RAND()</f>
        <v/>
      </c>
      <c r="AV826">
        <f>RAND()</f>
        <v/>
      </c>
      <c r="AW826">
        <f>RAND()</f>
        <v/>
      </c>
      <c r="AX826">
        <f>RAND()</f>
        <v/>
      </c>
      <c r="AY826">
        <f>RAND()</f>
        <v/>
      </c>
      <c r="AZ826">
        <f>RAND()</f>
        <v/>
      </c>
    </row>
    <row r="827">
      <c r="AK827" t="n">
        <v>814</v>
      </c>
      <c r="AL827">
        <f>IFERROR(IF(AU827&lt;($AM$6-$AL$6)/($AN$6-$AL$6),$AL$6+SQRT(AU827*($AN$6-$AL$6)*($AM$6-$AL$6)),$AN$6-SQRT((1-AU827)*($AN$6-$AL$6)*($AN$6-$AM$6))),$AM$6)</f>
        <v/>
      </c>
      <c r="AM827">
        <f>IFERROR(IF(AV827&lt;($AM$7-$AL$7)/($AN$7-$AL$7),$AL$7+SQRT(AV827*($AN$7-$AL$7)*($AM$7-$AL$7)),$AN$7-SQRT((1-AV827)*($AN$7-$AL$7)*($AN$7-$AM$7))),$AM$7)</f>
        <v/>
      </c>
      <c r="AN827">
        <f>IFERROR(IF(AW827&lt;($AM$8-$AL$8)/($AN$8-$AL$8),$AL$8+SQRT(AW827*($AN$8-$AL$8)*($AM$8-$AL$8)),$AN$8-SQRT((1-AW827)*($AN$8-$AL$8)*($AN$8-$AM$8))),$AM$8)</f>
        <v/>
      </c>
      <c r="AO827">
        <f>IFERROR(IF(AX827&lt;($AM$9-$AL$9)/($AN$9-$AL$9),$AL$9+SQRT(AX827*($AN$9-$AL$9)*($AM$9-$AL$9)),$AN$9-SQRT((1-AX827)*($AN$9-$AL$9)*($AN$9-$AM$9))),$AM$9)</f>
        <v/>
      </c>
      <c r="AP827">
        <f>IFERROR(IF(AY827&lt;($AM$10-$AL$10)/($AN$10-$AL$10),$AL$10+SQRT(AY827*($AN$10-$AL$10)*($AM$10-$AL$10)),$AN$10-SQRT((1-AY827)*($AN$10-$AL$10)*($AN$10-$AM$10))),$AM$10)</f>
        <v/>
      </c>
      <c r="AQ827">
        <f>IFERROR(IF(AZ827&lt;($AM$11-$AL$11)/($AN$11-$AL$11),$AL$11+SQRT(AZ827*($AN$11-$AL$11)*($AM$11-$AL$11)),$AN$11-SQRT((1-AZ827)*($AN$11-$AL$11)*($AN$11-$AM$11))),$AM$11)</f>
        <v/>
      </c>
      <c r="AR827">
        <f>SUMPRODUCT((B24:B31&lt;=$B$6)*(C24:C31*AM827+D24:D31*AO827*$B$8*AQ827)/(1+AL827/100)^B24:B31)+C32*AM827*AP827/(1+AL827/100)^$B$6</f>
        <v/>
      </c>
      <c r="AS827">
        <f>SUMPRODUCT((K24:K26&lt;=$B$6)*(L24:L26*AN827+M24:M26*AO827*$B$8*AQ827)/(1+AL827/100)^K24:K26)+L27*AN827*AP827/(1+AL827/100)^$B$6</f>
        <v/>
      </c>
      <c r="AT827">
        <f>AS827-AR827</f>
        <v/>
      </c>
      <c r="AU827">
        <f>RAND()</f>
        <v/>
      </c>
      <c r="AV827">
        <f>RAND()</f>
        <v/>
      </c>
      <c r="AW827">
        <f>RAND()</f>
        <v/>
      </c>
      <c r="AX827">
        <f>RAND()</f>
        <v/>
      </c>
      <c r="AY827">
        <f>RAND()</f>
        <v/>
      </c>
      <c r="AZ827">
        <f>RAND()</f>
        <v/>
      </c>
    </row>
    <row r="828">
      <c r="AK828" t="n">
        <v>815</v>
      </c>
      <c r="AL828">
        <f>IFERROR(IF(AU828&lt;($AM$6-$AL$6)/($AN$6-$AL$6),$AL$6+SQRT(AU828*($AN$6-$AL$6)*($AM$6-$AL$6)),$AN$6-SQRT((1-AU828)*($AN$6-$AL$6)*($AN$6-$AM$6))),$AM$6)</f>
        <v/>
      </c>
      <c r="AM828">
        <f>IFERROR(IF(AV828&lt;($AM$7-$AL$7)/($AN$7-$AL$7),$AL$7+SQRT(AV828*($AN$7-$AL$7)*($AM$7-$AL$7)),$AN$7-SQRT((1-AV828)*($AN$7-$AL$7)*($AN$7-$AM$7))),$AM$7)</f>
        <v/>
      </c>
      <c r="AN828">
        <f>IFERROR(IF(AW828&lt;($AM$8-$AL$8)/($AN$8-$AL$8),$AL$8+SQRT(AW828*($AN$8-$AL$8)*($AM$8-$AL$8)),$AN$8-SQRT((1-AW828)*($AN$8-$AL$8)*($AN$8-$AM$8))),$AM$8)</f>
        <v/>
      </c>
      <c r="AO828">
        <f>IFERROR(IF(AX828&lt;($AM$9-$AL$9)/($AN$9-$AL$9),$AL$9+SQRT(AX828*($AN$9-$AL$9)*($AM$9-$AL$9)),$AN$9-SQRT((1-AX828)*($AN$9-$AL$9)*($AN$9-$AM$9))),$AM$9)</f>
        <v/>
      </c>
      <c r="AP828">
        <f>IFERROR(IF(AY828&lt;($AM$10-$AL$10)/($AN$10-$AL$10),$AL$10+SQRT(AY828*($AN$10-$AL$10)*($AM$10-$AL$10)),$AN$10-SQRT((1-AY828)*($AN$10-$AL$10)*($AN$10-$AM$10))),$AM$10)</f>
        <v/>
      </c>
      <c r="AQ828">
        <f>IFERROR(IF(AZ828&lt;($AM$11-$AL$11)/($AN$11-$AL$11),$AL$11+SQRT(AZ828*($AN$11-$AL$11)*($AM$11-$AL$11)),$AN$11-SQRT((1-AZ828)*($AN$11-$AL$11)*($AN$11-$AM$11))),$AM$11)</f>
        <v/>
      </c>
      <c r="AR828">
        <f>SUMPRODUCT((B24:B31&lt;=$B$6)*(C24:C31*AM828+D24:D31*AO828*$B$8*AQ828)/(1+AL828/100)^B24:B31)+C32*AM828*AP828/(1+AL828/100)^$B$6</f>
        <v/>
      </c>
      <c r="AS828">
        <f>SUMPRODUCT((K24:K26&lt;=$B$6)*(L24:L26*AN828+M24:M26*AO828*$B$8*AQ828)/(1+AL828/100)^K24:K26)+L27*AN828*AP828/(1+AL828/100)^$B$6</f>
        <v/>
      </c>
      <c r="AT828">
        <f>AS828-AR828</f>
        <v/>
      </c>
      <c r="AU828">
        <f>RAND()</f>
        <v/>
      </c>
      <c r="AV828">
        <f>RAND()</f>
        <v/>
      </c>
      <c r="AW828">
        <f>RAND()</f>
        <v/>
      </c>
      <c r="AX828">
        <f>RAND()</f>
        <v/>
      </c>
      <c r="AY828">
        <f>RAND()</f>
        <v/>
      </c>
      <c r="AZ828">
        <f>RAND()</f>
        <v/>
      </c>
    </row>
    <row r="829">
      <c r="AK829" t="n">
        <v>816</v>
      </c>
      <c r="AL829">
        <f>IFERROR(IF(AU829&lt;($AM$6-$AL$6)/($AN$6-$AL$6),$AL$6+SQRT(AU829*($AN$6-$AL$6)*($AM$6-$AL$6)),$AN$6-SQRT((1-AU829)*($AN$6-$AL$6)*($AN$6-$AM$6))),$AM$6)</f>
        <v/>
      </c>
      <c r="AM829">
        <f>IFERROR(IF(AV829&lt;($AM$7-$AL$7)/($AN$7-$AL$7),$AL$7+SQRT(AV829*($AN$7-$AL$7)*($AM$7-$AL$7)),$AN$7-SQRT((1-AV829)*($AN$7-$AL$7)*($AN$7-$AM$7))),$AM$7)</f>
        <v/>
      </c>
      <c r="AN829">
        <f>IFERROR(IF(AW829&lt;($AM$8-$AL$8)/($AN$8-$AL$8),$AL$8+SQRT(AW829*($AN$8-$AL$8)*($AM$8-$AL$8)),$AN$8-SQRT((1-AW829)*($AN$8-$AL$8)*($AN$8-$AM$8))),$AM$8)</f>
        <v/>
      </c>
      <c r="AO829">
        <f>IFERROR(IF(AX829&lt;($AM$9-$AL$9)/($AN$9-$AL$9),$AL$9+SQRT(AX829*($AN$9-$AL$9)*($AM$9-$AL$9)),$AN$9-SQRT((1-AX829)*($AN$9-$AL$9)*($AN$9-$AM$9))),$AM$9)</f>
        <v/>
      </c>
      <c r="AP829">
        <f>IFERROR(IF(AY829&lt;($AM$10-$AL$10)/($AN$10-$AL$10),$AL$10+SQRT(AY829*($AN$10-$AL$10)*($AM$10-$AL$10)),$AN$10-SQRT((1-AY829)*($AN$10-$AL$10)*($AN$10-$AM$10))),$AM$10)</f>
        <v/>
      </c>
      <c r="AQ829">
        <f>IFERROR(IF(AZ829&lt;($AM$11-$AL$11)/($AN$11-$AL$11),$AL$11+SQRT(AZ829*($AN$11-$AL$11)*($AM$11-$AL$11)),$AN$11-SQRT((1-AZ829)*($AN$11-$AL$11)*($AN$11-$AM$11))),$AM$11)</f>
        <v/>
      </c>
      <c r="AR829">
        <f>SUMPRODUCT((B24:B31&lt;=$B$6)*(C24:C31*AM829+D24:D31*AO829*$B$8*AQ829)/(1+AL829/100)^B24:B31)+C32*AM829*AP829/(1+AL829/100)^$B$6</f>
        <v/>
      </c>
      <c r="AS829">
        <f>SUMPRODUCT((K24:K26&lt;=$B$6)*(L24:L26*AN829+M24:M26*AO829*$B$8*AQ829)/(1+AL829/100)^K24:K26)+L27*AN829*AP829/(1+AL829/100)^$B$6</f>
        <v/>
      </c>
      <c r="AT829">
        <f>AS829-AR829</f>
        <v/>
      </c>
      <c r="AU829">
        <f>RAND()</f>
        <v/>
      </c>
      <c r="AV829">
        <f>RAND()</f>
        <v/>
      </c>
      <c r="AW829">
        <f>RAND()</f>
        <v/>
      </c>
      <c r="AX829">
        <f>RAND()</f>
        <v/>
      </c>
      <c r="AY829">
        <f>RAND()</f>
        <v/>
      </c>
      <c r="AZ829">
        <f>RAND()</f>
        <v/>
      </c>
    </row>
    <row r="830">
      <c r="AK830" t="n">
        <v>817</v>
      </c>
      <c r="AL830">
        <f>IFERROR(IF(AU830&lt;($AM$6-$AL$6)/($AN$6-$AL$6),$AL$6+SQRT(AU830*($AN$6-$AL$6)*($AM$6-$AL$6)),$AN$6-SQRT((1-AU830)*($AN$6-$AL$6)*($AN$6-$AM$6))),$AM$6)</f>
        <v/>
      </c>
      <c r="AM830">
        <f>IFERROR(IF(AV830&lt;($AM$7-$AL$7)/($AN$7-$AL$7),$AL$7+SQRT(AV830*($AN$7-$AL$7)*($AM$7-$AL$7)),$AN$7-SQRT((1-AV830)*($AN$7-$AL$7)*($AN$7-$AM$7))),$AM$7)</f>
        <v/>
      </c>
      <c r="AN830">
        <f>IFERROR(IF(AW830&lt;($AM$8-$AL$8)/($AN$8-$AL$8),$AL$8+SQRT(AW830*($AN$8-$AL$8)*($AM$8-$AL$8)),$AN$8-SQRT((1-AW830)*($AN$8-$AL$8)*($AN$8-$AM$8))),$AM$8)</f>
        <v/>
      </c>
      <c r="AO830">
        <f>IFERROR(IF(AX830&lt;($AM$9-$AL$9)/($AN$9-$AL$9),$AL$9+SQRT(AX830*($AN$9-$AL$9)*($AM$9-$AL$9)),$AN$9-SQRT((1-AX830)*($AN$9-$AL$9)*($AN$9-$AM$9))),$AM$9)</f>
        <v/>
      </c>
      <c r="AP830">
        <f>IFERROR(IF(AY830&lt;($AM$10-$AL$10)/($AN$10-$AL$10),$AL$10+SQRT(AY830*($AN$10-$AL$10)*($AM$10-$AL$10)),$AN$10-SQRT((1-AY830)*($AN$10-$AL$10)*($AN$10-$AM$10))),$AM$10)</f>
        <v/>
      </c>
      <c r="AQ830">
        <f>IFERROR(IF(AZ830&lt;($AM$11-$AL$11)/($AN$11-$AL$11),$AL$11+SQRT(AZ830*($AN$11-$AL$11)*($AM$11-$AL$11)),$AN$11-SQRT((1-AZ830)*($AN$11-$AL$11)*($AN$11-$AM$11))),$AM$11)</f>
        <v/>
      </c>
      <c r="AR830">
        <f>SUMPRODUCT((B24:B31&lt;=$B$6)*(C24:C31*AM830+D24:D31*AO830*$B$8*AQ830)/(1+AL830/100)^B24:B31)+C32*AM830*AP830/(1+AL830/100)^$B$6</f>
        <v/>
      </c>
      <c r="AS830">
        <f>SUMPRODUCT((K24:K26&lt;=$B$6)*(L24:L26*AN830+M24:M26*AO830*$B$8*AQ830)/(1+AL830/100)^K24:K26)+L27*AN830*AP830/(1+AL830/100)^$B$6</f>
        <v/>
      </c>
      <c r="AT830">
        <f>AS830-AR830</f>
        <v/>
      </c>
      <c r="AU830">
        <f>RAND()</f>
        <v/>
      </c>
      <c r="AV830">
        <f>RAND()</f>
        <v/>
      </c>
      <c r="AW830">
        <f>RAND()</f>
        <v/>
      </c>
      <c r="AX830">
        <f>RAND()</f>
        <v/>
      </c>
      <c r="AY830">
        <f>RAND()</f>
        <v/>
      </c>
      <c r="AZ830">
        <f>RAND()</f>
        <v/>
      </c>
    </row>
    <row r="831">
      <c r="AK831" t="n">
        <v>818</v>
      </c>
      <c r="AL831">
        <f>IFERROR(IF(AU831&lt;($AM$6-$AL$6)/($AN$6-$AL$6),$AL$6+SQRT(AU831*($AN$6-$AL$6)*($AM$6-$AL$6)),$AN$6-SQRT((1-AU831)*($AN$6-$AL$6)*($AN$6-$AM$6))),$AM$6)</f>
        <v/>
      </c>
      <c r="AM831">
        <f>IFERROR(IF(AV831&lt;($AM$7-$AL$7)/($AN$7-$AL$7),$AL$7+SQRT(AV831*($AN$7-$AL$7)*($AM$7-$AL$7)),$AN$7-SQRT((1-AV831)*($AN$7-$AL$7)*($AN$7-$AM$7))),$AM$7)</f>
        <v/>
      </c>
      <c r="AN831">
        <f>IFERROR(IF(AW831&lt;($AM$8-$AL$8)/($AN$8-$AL$8),$AL$8+SQRT(AW831*($AN$8-$AL$8)*($AM$8-$AL$8)),$AN$8-SQRT((1-AW831)*($AN$8-$AL$8)*($AN$8-$AM$8))),$AM$8)</f>
        <v/>
      </c>
      <c r="AO831">
        <f>IFERROR(IF(AX831&lt;($AM$9-$AL$9)/($AN$9-$AL$9),$AL$9+SQRT(AX831*($AN$9-$AL$9)*($AM$9-$AL$9)),$AN$9-SQRT((1-AX831)*($AN$9-$AL$9)*($AN$9-$AM$9))),$AM$9)</f>
        <v/>
      </c>
      <c r="AP831">
        <f>IFERROR(IF(AY831&lt;($AM$10-$AL$10)/($AN$10-$AL$10),$AL$10+SQRT(AY831*($AN$10-$AL$10)*($AM$10-$AL$10)),$AN$10-SQRT((1-AY831)*($AN$10-$AL$10)*($AN$10-$AM$10))),$AM$10)</f>
        <v/>
      </c>
      <c r="AQ831">
        <f>IFERROR(IF(AZ831&lt;($AM$11-$AL$11)/($AN$11-$AL$11),$AL$11+SQRT(AZ831*($AN$11-$AL$11)*($AM$11-$AL$11)),$AN$11-SQRT((1-AZ831)*($AN$11-$AL$11)*($AN$11-$AM$11))),$AM$11)</f>
        <v/>
      </c>
      <c r="AR831">
        <f>SUMPRODUCT((B24:B31&lt;=$B$6)*(C24:C31*AM831+D24:D31*AO831*$B$8*AQ831)/(1+AL831/100)^B24:B31)+C32*AM831*AP831/(1+AL831/100)^$B$6</f>
        <v/>
      </c>
      <c r="AS831">
        <f>SUMPRODUCT((K24:K26&lt;=$B$6)*(L24:L26*AN831+M24:M26*AO831*$B$8*AQ831)/(1+AL831/100)^K24:K26)+L27*AN831*AP831/(1+AL831/100)^$B$6</f>
        <v/>
      </c>
      <c r="AT831">
        <f>AS831-AR831</f>
        <v/>
      </c>
      <c r="AU831">
        <f>RAND()</f>
        <v/>
      </c>
      <c r="AV831">
        <f>RAND()</f>
        <v/>
      </c>
      <c r="AW831">
        <f>RAND()</f>
        <v/>
      </c>
      <c r="AX831">
        <f>RAND()</f>
        <v/>
      </c>
      <c r="AY831">
        <f>RAND()</f>
        <v/>
      </c>
      <c r="AZ831">
        <f>RAND()</f>
        <v/>
      </c>
    </row>
    <row r="832">
      <c r="AK832" t="n">
        <v>819</v>
      </c>
      <c r="AL832">
        <f>IFERROR(IF(AU832&lt;($AM$6-$AL$6)/($AN$6-$AL$6),$AL$6+SQRT(AU832*($AN$6-$AL$6)*($AM$6-$AL$6)),$AN$6-SQRT((1-AU832)*($AN$6-$AL$6)*($AN$6-$AM$6))),$AM$6)</f>
        <v/>
      </c>
      <c r="AM832">
        <f>IFERROR(IF(AV832&lt;($AM$7-$AL$7)/($AN$7-$AL$7),$AL$7+SQRT(AV832*($AN$7-$AL$7)*($AM$7-$AL$7)),$AN$7-SQRT((1-AV832)*($AN$7-$AL$7)*($AN$7-$AM$7))),$AM$7)</f>
        <v/>
      </c>
      <c r="AN832">
        <f>IFERROR(IF(AW832&lt;($AM$8-$AL$8)/($AN$8-$AL$8),$AL$8+SQRT(AW832*($AN$8-$AL$8)*($AM$8-$AL$8)),$AN$8-SQRT((1-AW832)*($AN$8-$AL$8)*($AN$8-$AM$8))),$AM$8)</f>
        <v/>
      </c>
      <c r="AO832">
        <f>IFERROR(IF(AX832&lt;($AM$9-$AL$9)/($AN$9-$AL$9),$AL$9+SQRT(AX832*($AN$9-$AL$9)*($AM$9-$AL$9)),$AN$9-SQRT((1-AX832)*($AN$9-$AL$9)*($AN$9-$AM$9))),$AM$9)</f>
        <v/>
      </c>
      <c r="AP832">
        <f>IFERROR(IF(AY832&lt;($AM$10-$AL$10)/($AN$10-$AL$10),$AL$10+SQRT(AY832*($AN$10-$AL$10)*($AM$10-$AL$10)),$AN$10-SQRT((1-AY832)*($AN$10-$AL$10)*($AN$10-$AM$10))),$AM$10)</f>
        <v/>
      </c>
      <c r="AQ832">
        <f>IFERROR(IF(AZ832&lt;($AM$11-$AL$11)/($AN$11-$AL$11),$AL$11+SQRT(AZ832*($AN$11-$AL$11)*($AM$11-$AL$11)),$AN$11-SQRT((1-AZ832)*($AN$11-$AL$11)*($AN$11-$AM$11))),$AM$11)</f>
        <v/>
      </c>
      <c r="AR832">
        <f>SUMPRODUCT((B24:B31&lt;=$B$6)*(C24:C31*AM832+D24:D31*AO832*$B$8*AQ832)/(1+AL832/100)^B24:B31)+C32*AM832*AP832/(1+AL832/100)^$B$6</f>
        <v/>
      </c>
      <c r="AS832">
        <f>SUMPRODUCT((K24:K26&lt;=$B$6)*(L24:L26*AN832+M24:M26*AO832*$B$8*AQ832)/(1+AL832/100)^K24:K26)+L27*AN832*AP832/(1+AL832/100)^$B$6</f>
        <v/>
      </c>
      <c r="AT832">
        <f>AS832-AR832</f>
        <v/>
      </c>
      <c r="AU832">
        <f>RAND()</f>
        <v/>
      </c>
      <c r="AV832">
        <f>RAND()</f>
        <v/>
      </c>
      <c r="AW832">
        <f>RAND()</f>
        <v/>
      </c>
      <c r="AX832">
        <f>RAND()</f>
        <v/>
      </c>
      <c r="AY832">
        <f>RAND()</f>
        <v/>
      </c>
      <c r="AZ832">
        <f>RAND()</f>
        <v/>
      </c>
    </row>
    <row r="833">
      <c r="AK833" t="n">
        <v>820</v>
      </c>
      <c r="AL833">
        <f>IFERROR(IF(AU833&lt;($AM$6-$AL$6)/($AN$6-$AL$6),$AL$6+SQRT(AU833*($AN$6-$AL$6)*($AM$6-$AL$6)),$AN$6-SQRT((1-AU833)*($AN$6-$AL$6)*($AN$6-$AM$6))),$AM$6)</f>
        <v/>
      </c>
      <c r="AM833">
        <f>IFERROR(IF(AV833&lt;($AM$7-$AL$7)/($AN$7-$AL$7),$AL$7+SQRT(AV833*($AN$7-$AL$7)*($AM$7-$AL$7)),$AN$7-SQRT((1-AV833)*($AN$7-$AL$7)*($AN$7-$AM$7))),$AM$7)</f>
        <v/>
      </c>
      <c r="AN833">
        <f>IFERROR(IF(AW833&lt;($AM$8-$AL$8)/($AN$8-$AL$8),$AL$8+SQRT(AW833*($AN$8-$AL$8)*($AM$8-$AL$8)),$AN$8-SQRT((1-AW833)*($AN$8-$AL$8)*($AN$8-$AM$8))),$AM$8)</f>
        <v/>
      </c>
      <c r="AO833">
        <f>IFERROR(IF(AX833&lt;($AM$9-$AL$9)/($AN$9-$AL$9),$AL$9+SQRT(AX833*($AN$9-$AL$9)*($AM$9-$AL$9)),$AN$9-SQRT((1-AX833)*($AN$9-$AL$9)*($AN$9-$AM$9))),$AM$9)</f>
        <v/>
      </c>
      <c r="AP833">
        <f>IFERROR(IF(AY833&lt;($AM$10-$AL$10)/($AN$10-$AL$10),$AL$10+SQRT(AY833*($AN$10-$AL$10)*($AM$10-$AL$10)),$AN$10-SQRT((1-AY833)*($AN$10-$AL$10)*($AN$10-$AM$10))),$AM$10)</f>
        <v/>
      </c>
      <c r="AQ833">
        <f>IFERROR(IF(AZ833&lt;($AM$11-$AL$11)/($AN$11-$AL$11),$AL$11+SQRT(AZ833*($AN$11-$AL$11)*($AM$11-$AL$11)),$AN$11-SQRT((1-AZ833)*($AN$11-$AL$11)*($AN$11-$AM$11))),$AM$11)</f>
        <v/>
      </c>
      <c r="AR833">
        <f>SUMPRODUCT((B24:B31&lt;=$B$6)*(C24:C31*AM833+D24:D31*AO833*$B$8*AQ833)/(1+AL833/100)^B24:B31)+C32*AM833*AP833/(1+AL833/100)^$B$6</f>
        <v/>
      </c>
      <c r="AS833">
        <f>SUMPRODUCT((K24:K26&lt;=$B$6)*(L24:L26*AN833+M24:M26*AO833*$B$8*AQ833)/(1+AL833/100)^K24:K26)+L27*AN833*AP833/(1+AL833/100)^$B$6</f>
        <v/>
      </c>
      <c r="AT833">
        <f>AS833-AR833</f>
        <v/>
      </c>
      <c r="AU833">
        <f>RAND()</f>
        <v/>
      </c>
      <c r="AV833">
        <f>RAND()</f>
        <v/>
      </c>
      <c r="AW833">
        <f>RAND()</f>
        <v/>
      </c>
      <c r="AX833">
        <f>RAND()</f>
        <v/>
      </c>
      <c r="AY833">
        <f>RAND()</f>
        <v/>
      </c>
      <c r="AZ833">
        <f>RAND()</f>
        <v/>
      </c>
    </row>
    <row r="834">
      <c r="AK834" t="n">
        <v>821</v>
      </c>
      <c r="AL834">
        <f>IFERROR(IF(AU834&lt;($AM$6-$AL$6)/($AN$6-$AL$6),$AL$6+SQRT(AU834*($AN$6-$AL$6)*($AM$6-$AL$6)),$AN$6-SQRT((1-AU834)*($AN$6-$AL$6)*($AN$6-$AM$6))),$AM$6)</f>
        <v/>
      </c>
      <c r="AM834">
        <f>IFERROR(IF(AV834&lt;($AM$7-$AL$7)/($AN$7-$AL$7),$AL$7+SQRT(AV834*($AN$7-$AL$7)*($AM$7-$AL$7)),$AN$7-SQRT((1-AV834)*($AN$7-$AL$7)*($AN$7-$AM$7))),$AM$7)</f>
        <v/>
      </c>
      <c r="AN834">
        <f>IFERROR(IF(AW834&lt;($AM$8-$AL$8)/($AN$8-$AL$8),$AL$8+SQRT(AW834*($AN$8-$AL$8)*($AM$8-$AL$8)),$AN$8-SQRT((1-AW834)*($AN$8-$AL$8)*($AN$8-$AM$8))),$AM$8)</f>
        <v/>
      </c>
      <c r="AO834">
        <f>IFERROR(IF(AX834&lt;($AM$9-$AL$9)/($AN$9-$AL$9),$AL$9+SQRT(AX834*($AN$9-$AL$9)*($AM$9-$AL$9)),$AN$9-SQRT((1-AX834)*($AN$9-$AL$9)*($AN$9-$AM$9))),$AM$9)</f>
        <v/>
      </c>
      <c r="AP834">
        <f>IFERROR(IF(AY834&lt;($AM$10-$AL$10)/($AN$10-$AL$10),$AL$10+SQRT(AY834*($AN$10-$AL$10)*($AM$10-$AL$10)),$AN$10-SQRT((1-AY834)*($AN$10-$AL$10)*($AN$10-$AM$10))),$AM$10)</f>
        <v/>
      </c>
      <c r="AQ834">
        <f>IFERROR(IF(AZ834&lt;($AM$11-$AL$11)/($AN$11-$AL$11),$AL$11+SQRT(AZ834*($AN$11-$AL$11)*($AM$11-$AL$11)),$AN$11-SQRT((1-AZ834)*($AN$11-$AL$11)*($AN$11-$AM$11))),$AM$11)</f>
        <v/>
      </c>
      <c r="AR834">
        <f>SUMPRODUCT((B24:B31&lt;=$B$6)*(C24:C31*AM834+D24:D31*AO834*$B$8*AQ834)/(1+AL834/100)^B24:B31)+C32*AM834*AP834/(1+AL834/100)^$B$6</f>
        <v/>
      </c>
      <c r="AS834">
        <f>SUMPRODUCT((K24:K26&lt;=$B$6)*(L24:L26*AN834+M24:M26*AO834*$B$8*AQ834)/(1+AL834/100)^K24:K26)+L27*AN834*AP834/(1+AL834/100)^$B$6</f>
        <v/>
      </c>
      <c r="AT834">
        <f>AS834-AR834</f>
        <v/>
      </c>
      <c r="AU834">
        <f>RAND()</f>
        <v/>
      </c>
      <c r="AV834">
        <f>RAND()</f>
        <v/>
      </c>
      <c r="AW834">
        <f>RAND()</f>
        <v/>
      </c>
      <c r="AX834">
        <f>RAND()</f>
        <v/>
      </c>
      <c r="AY834">
        <f>RAND()</f>
        <v/>
      </c>
      <c r="AZ834">
        <f>RAND()</f>
        <v/>
      </c>
    </row>
    <row r="835">
      <c r="AK835" t="n">
        <v>822</v>
      </c>
      <c r="AL835">
        <f>IFERROR(IF(AU835&lt;($AM$6-$AL$6)/($AN$6-$AL$6),$AL$6+SQRT(AU835*($AN$6-$AL$6)*($AM$6-$AL$6)),$AN$6-SQRT((1-AU835)*($AN$6-$AL$6)*($AN$6-$AM$6))),$AM$6)</f>
        <v/>
      </c>
      <c r="AM835">
        <f>IFERROR(IF(AV835&lt;($AM$7-$AL$7)/($AN$7-$AL$7),$AL$7+SQRT(AV835*($AN$7-$AL$7)*($AM$7-$AL$7)),$AN$7-SQRT((1-AV835)*($AN$7-$AL$7)*($AN$7-$AM$7))),$AM$7)</f>
        <v/>
      </c>
      <c r="AN835">
        <f>IFERROR(IF(AW835&lt;($AM$8-$AL$8)/($AN$8-$AL$8),$AL$8+SQRT(AW835*($AN$8-$AL$8)*($AM$8-$AL$8)),$AN$8-SQRT((1-AW835)*($AN$8-$AL$8)*($AN$8-$AM$8))),$AM$8)</f>
        <v/>
      </c>
      <c r="AO835">
        <f>IFERROR(IF(AX835&lt;($AM$9-$AL$9)/($AN$9-$AL$9),$AL$9+SQRT(AX835*($AN$9-$AL$9)*($AM$9-$AL$9)),$AN$9-SQRT((1-AX835)*($AN$9-$AL$9)*($AN$9-$AM$9))),$AM$9)</f>
        <v/>
      </c>
      <c r="AP835">
        <f>IFERROR(IF(AY835&lt;($AM$10-$AL$10)/($AN$10-$AL$10),$AL$10+SQRT(AY835*($AN$10-$AL$10)*($AM$10-$AL$10)),$AN$10-SQRT((1-AY835)*($AN$10-$AL$10)*($AN$10-$AM$10))),$AM$10)</f>
        <v/>
      </c>
      <c r="AQ835">
        <f>IFERROR(IF(AZ835&lt;($AM$11-$AL$11)/($AN$11-$AL$11),$AL$11+SQRT(AZ835*($AN$11-$AL$11)*($AM$11-$AL$11)),$AN$11-SQRT((1-AZ835)*($AN$11-$AL$11)*($AN$11-$AM$11))),$AM$11)</f>
        <v/>
      </c>
      <c r="AR835">
        <f>SUMPRODUCT((B24:B31&lt;=$B$6)*(C24:C31*AM835+D24:D31*AO835*$B$8*AQ835)/(1+AL835/100)^B24:B31)+C32*AM835*AP835/(1+AL835/100)^$B$6</f>
        <v/>
      </c>
      <c r="AS835">
        <f>SUMPRODUCT((K24:K26&lt;=$B$6)*(L24:L26*AN835+M24:M26*AO835*$B$8*AQ835)/(1+AL835/100)^K24:K26)+L27*AN835*AP835/(1+AL835/100)^$B$6</f>
        <v/>
      </c>
      <c r="AT835">
        <f>AS835-AR835</f>
        <v/>
      </c>
      <c r="AU835">
        <f>RAND()</f>
        <v/>
      </c>
      <c r="AV835">
        <f>RAND()</f>
        <v/>
      </c>
      <c r="AW835">
        <f>RAND()</f>
        <v/>
      </c>
      <c r="AX835">
        <f>RAND()</f>
        <v/>
      </c>
      <c r="AY835">
        <f>RAND()</f>
        <v/>
      </c>
      <c r="AZ835">
        <f>RAND()</f>
        <v/>
      </c>
    </row>
    <row r="836">
      <c r="AK836" t="n">
        <v>823</v>
      </c>
      <c r="AL836">
        <f>IFERROR(IF(AU836&lt;($AM$6-$AL$6)/($AN$6-$AL$6),$AL$6+SQRT(AU836*($AN$6-$AL$6)*($AM$6-$AL$6)),$AN$6-SQRT((1-AU836)*($AN$6-$AL$6)*($AN$6-$AM$6))),$AM$6)</f>
        <v/>
      </c>
      <c r="AM836">
        <f>IFERROR(IF(AV836&lt;($AM$7-$AL$7)/($AN$7-$AL$7),$AL$7+SQRT(AV836*($AN$7-$AL$7)*($AM$7-$AL$7)),$AN$7-SQRT((1-AV836)*($AN$7-$AL$7)*($AN$7-$AM$7))),$AM$7)</f>
        <v/>
      </c>
      <c r="AN836">
        <f>IFERROR(IF(AW836&lt;($AM$8-$AL$8)/($AN$8-$AL$8),$AL$8+SQRT(AW836*($AN$8-$AL$8)*($AM$8-$AL$8)),$AN$8-SQRT((1-AW836)*($AN$8-$AL$8)*($AN$8-$AM$8))),$AM$8)</f>
        <v/>
      </c>
      <c r="AO836">
        <f>IFERROR(IF(AX836&lt;($AM$9-$AL$9)/($AN$9-$AL$9),$AL$9+SQRT(AX836*($AN$9-$AL$9)*($AM$9-$AL$9)),$AN$9-SQRT((1-AX836)*($AN$9-$AL$9)*($AN$9-$AM$9))),$AM$9)</f>
        <v/>
      </c>
      <c r="AP836">
        <f>IFERROR(IF(AY836&lt;($AM$10-$AL$10)/($AN$10-$AL$10),$AL$10+SQRT(AY836*($AN$10-$AL$10)*($AM$10-$AL$10)),$AN$10-SQRT((1-AY836)*($AN$10-$AL$10)*($AN$10-$AM$10))),$AM$10)</f>
        <v/>
      </c>
      <c r="AQ836">
        <f>IFERROR(IF(AZ836&lt;($AM$11-$AL$11)/($AN$11-$AL$11),$AL$11+SQRT(AZ836*($AN$11-$AL$11)*($AM$11-$AL$11)),$AN$11-SQRT((1-AZ836)*($AN$11-$AL$11)*($AN$11-$AM$11))),$AM$11)</f>
        <v/>
      </c>
      <c r="AR836">
        <f>SUMPRODUCT((B24:B31&lt;=$B$6)*(C24:C31*AM836+D24:D31*AO836*$B$8*AQ836)/(1+AL836/100)^B24:B31)+C32*AM836*AP836/(1+AL836/100)^$B$6</f>
        <v/>
      </c>
      <c r="AS836">
        <f>SUMPRODUCT((K24:K26&lt;=$B$6)*(L24:L26*AN836+M24:M26*AO836*$B$8*AQ836)/(1+AL836/100)^K24:K26)+L27*AN836*AP836/(1+AL836/100)^$B$6</f>
        <v/>
      </c>
      <c r="AT836">
        <f>AS836-AR836</f>
        <v/>
      </c>
      <c r="AU836">
        <f>RAND()</f>
        <v/>
      </c>
      <c r="AV836">
        <f>RAND()</f>
        <v/>
      </c>
      <c r="AW836">
        <f>RAND()</f>
        <v/>
      </c>
      <c r="AX836">
        <f>RAND()</f>
        <v/>
      </c>
      <c r="AY836">
        <f>RAND()</f>
        <v/>
      </c>
      <c r="AZ836">
        <f>RAND()</f>
        <v/>
      </c>
    </row>
    <row r="837">
      <c r="AK837" t="n">
        <v>824</v>
      </c>
      <c r="AL837">
        <f>IFERROR(IF(AU837&lt;($AM$6-$AL$6)/($AN$6-$AL$6),$AL$6+SQRT(AU837*($AN$6-$AL$6)*($AM$6-$AL$6)),$AN$6-SQRT((1-AU837)*($AN$6-$AL$6)*($AN$6-$AM$6))),$AM$6)</f>
        <v/>
      </c>
      <c r="AM837">
        <f>IFERROR(IF(AV837&lt;($AM$7-$AL$7)/($AN$7-$AL$7),$AL$7+SQRT(AV837*($AN$7-$AL$7)*($AM$7-$AL$7)),$AN$7-SQRT((1-AV837)*($AN$7-$AL$7)*($AN$7-$AM$7))),$AM$7)</f>
        <v/>
      </c>
      <c r="AN837">
        <f>IFERROR(IF(AW837&lt;($AM$8-$AL$8)/($AN$8-$AL$8),$AL$8+SQRT(AW837*($AN$8-$AL$8)*($AM$8-$AL$8)),$AN$8-SQRT((1-AW837)*($AN$8-$AL$8)*($AN$8-$AM$8))),$AM$8)</f>
        <v/>
      </c>
      <c r="AO837">
        <f>IFERROR(IF(AX837&lt;($AM$9-$AL$9)/($AN$9-$AL$9),$AL$9+SQRT(AX837*($AN$9-$AL$9)*($AM$9-$AL$9)),$AN$9-SQRT((1-AX837)*($AN$9-$AL$9)*($AN$9-$AM$9))),$AM$9)</f>
        <v/>
      </c>
      <c r="AP837">
        <f>IFERROR(IF(AY837&lt;($AM$10-$AL$10)/($AN$10-$AL$10),$AL$10+SQRT(AY837*($AN$10-$AL$10)*($AM$10-$AL$10)),$AN$10-SQRT((1-AY837)*($AN$10-$AL$10)*($AN$10-$AM$10))),$AM$10)</f>
        <v/>
      </c>
      <c r="AQ837">
        <f>IFERROR(IF(AZ837&lt;($AM$11-$AL$11)/($AN$11-$AL$11),$AL$11+SQRT(AZ837*($AN$11-$AL$11)*($AM$11-$AL$11)),$AN$11-SQRT((1-AZ837)*($AN$11-$AL$11)*($AN$11-$AM$11))),$AM$11)</f>
        <v/>
      </c>
      <c r="AR837">
        <f>SUMPRODUCT((B24:B31&lt;=$B$6)*(C24:C31*AM837+D24:D31*AO837*$B$8*AQ837)/(1+AL837/100)^B24:B31)+C32*AM837*AP837/(1+AL837/100)^$B$6</f>
        <v/>
      </c>
      <c r="AS837">
        <f>SUMPRODUCT((K24:K26&lt;=$B$6)*(L24:L26*AN837+M24:M26*AO837*$B$8*AQ837)/(1+AL837/100)^K24:K26)+L27*AN837*AP837/(1+AL837/100)^$B$6</f>
        <v/>
      </c>
      <c r="AT837">
        <f>AS837-AR837</f>
        <v/>
      </c>
      <c r="AU837">
        <f>RAND()</f>
        <v/>
      </c>
      <c r="AV837">
        <f>RAND()</f>
        <v/>
      </c>
      <c r="AW837">
        <f>RAND()</f>
        <v/>
      </c>
      <c r="AX837">
        <f>RAND()</f>
        <v/>
      </c>
      <c r="AY837">
        <f>RAND()</f>
        <v/>
      </c>
      <c r="AZ837">
        <f>RAND()</f>
        <v/>
      </c>
    </row>
    <row r="838">
      <c r="AK838" t="n">
        <v>825</v>
      </c>
      <c r="AL838">
        <f>IFERROR(IF(AU838&lt;($AM$6-$AL$6)/($AN$6-$AL$6),$AL$6+SQRT(AU838*($AN$6-$AL$6)*($AM$6-$AL$6)),$AN$6-SQRT((1-AU838)*($AN$6-$AL$6)*($AN$6-$AM$6))),$AM$6)</f>
        <v/>
      </c>
      <c r="AM838">
        <f>IFERROR(IF(AV838&lt;($AM$7-$AL$7)/($AN$7-$AL$7),$AL$7+SQRT(AV838*($AN$7-$AL$7)*($AM$7-$AL$7)),$AN$7-SQRT((1-AV838)*($AN$7-$AL$7)*($AN$7-$AM$7))),$AM$7)</f>
        <v/>
      </c>
      <c r="AN838">
        <f>IFERROR(IF(AW838&lt;($AM$8-$AL$8)/($AN$8-$AL$8),$AL$8+SQRT(AW838*($AN$8-$AL$8)*($AM$8-$AL$8)),$AN$8-SQRT((1-AW838)*($AN$8-$AL$8)*($AN$8-$AM$8))),$AM$8)</f>
        <v/>
      </c>
      <c r="AO838">
        <f>IFERROR(IF(AX838&lt;($AM$9-$AL$9)/($AN$9-$AL$9),$AL$9+SQRT(AX838*($AN$9-$AL$9)*($AM$9-$AL$9)),$AN$9-SQRT((1-AX838)*($AN$9-$AL$9)*($AN$9-$AM$9))),$AM$9)</f>
        <v/>
      </c>
      <c r="AP838">
        <f>IFERROR(IF(AY838&lt;($AM$10-$AL$10)/($AN$10-$AL$10),$AL$10+SQRT(AY838*($AN$10-$AL$10)*($AM$10-$AL$10)),$AN$10-SQRT((1-AY838)*($AN$10-$AL$10)*($AN$10-$AM$10))),$AM$10)</f>
        <v/>
      </c>
      <c r="AQ838">
        <f>IFERROR(IF(AZ838&lt;($AM$11-$AL$11)/($AN$11-$AL$11),$AL$11+SQRT(AZ838*($AN$11-$AL$11)*($AM$11-$AL$11)),$AN$11-SQRT((1-AZ838)*($AN$11-$AL$11)*($AN$11-$AM$11))),$AM$11)</f>
        <v/>
      </c>
      <c r="AR838">
        <f>SUMPRODUCT((B24:B31&lt;=$B$6)*(C24:C31*AM838+D24:D31*AO838*$B$8*AQ838)/(1+AL838/100)^B24:B31)+C32*AM838*AP838/(1+AL838/100)^$B$6</f>
        <v/>
      </c>
      <c r="AS838">
        <f>SUMPRODUCT((K24:K26&lt;=$B$6)*(L24:L26*AN838+M24:M26*AO838*$B$8*AQ838)/(1+AL838/100)^K24:K26)+L27*AN838*AP838/(1+AL838/100)^$B$6</f>
        <v/>
      </c>
      <c r="AT838">
        <f>AS838-AR838</f>
        <v/>
      </c>
      <c r="AU838">
        <f>RAND()</f>
        <v/>
      </c>
      <c r="AV838">
        <f>RAND()</f>
        <v/>
      </c>
      <c r="AW838">
        <f>RAND()</f>
        <v/>
      </c>
      <c r="AX838">
        <f>RAND()</f>
        <v/>
      </c>
      <c r="AY838">
        <f>RAND()</f>
        <v/>
      </c>
      <c r="AZ838">
        <f>RAND()</f>
        <v/>
      </c>
    </row>
    <row r="839">
      <c r="AK839" t="n">
        <v>826</v>
      </c>
      <c r="AL839">
        <f>IFERROR(IF(AU839&lt;($AM$6-$AL$6)/($AN$6-$AL$6),$AL$6+SQRT(AU839*($AN$6-$AL$6)*($AM$6-$AL$6)),$AN$6-SQRT((1-AU839)*($AN$6-$AL$6)*($AN$6-$AM$6))),$AM$6)</f>
        <v/>
      </c>
      <c r="AM839">
        <f>IFERROR(IF(AV839&lt;($AM$7-$AL$7)/($AN$7-$AL$7),$AL$7+SQRT(AV839*($AN$7-$AL$7)*($AM$7-$AL$7)),$AN$7-SQRT((1-AV839)*($AN$7-$AL$7)*($AN$7-$AM$7))),$AM$7)</f>
        <v/>
      </c>
      <c r="AN839">
        <f>IFERROR(IF(AW839&lt;($AM$8-$AL$8)/($AN$8-$AL$8),$AL$8+SQRT(AW839*($AN$8-$AL$8)*($AM$8-$AL$8)),$AN$8-SQRT((1-AW839)*($AN$8-$AL$8)*($AN$8-$AM$8))),$AM$8)</f>
        <v/>
      </c>
      <c r="AO839">
        <f>IFERROR(IF(AX839&lt;($AM$9-$AL$9)/($AN$9-$AL$9),$AL$9+SQRT(AX839*($AN$9-$AL$9)*($AM$9-$AL$9)),$AN$9-SQRT((1-AX839)*($AN$9-$AL$9)*($AN$9-$AM$9))),$AM$9)</f>
        <v/>
      </c>
      <c r="AP839">
        <f>IFERROR(IF(AY839&lt;($AM$10-$AL$10)/($AN$10-$AL$10),$AL$10+SQRT(AY839*($AN$10-$AL$10)*($AM$10-$AL$10)),$AN$10-SQRT((1-AY839)*($AN$10-$AL$10)*($AN$10-$AM$10))),$AM$10)</f>
        <v/>
      </c>
      <c r="AQ839">
        <f>IFERROR(IF(AZ839&lt;($AM$11-$AL$11)/($AN$11-$AL$11),$AL$11+SQRT(AZ839*($AN$11-$AL$11)*($AM$11-$AL$11)),$AN$11-SQRT((1-AZ839)*($AN$11-$AL$11)*($AN$11-$AM$11))),$AM$11)</f>
        <v/>
      </c>
      <c r="AR839">
        <f>SUMPRODUCT((B24:B31&lt;=$B$6)*(C24:C31*AM839+D24:D31*AO839*$B$8*AQ839)/(1+AL839/100)^B24:B31)+C32*AM839*AP839/(1+AL839/100)^$B$6</f>
        <v/>
      </c>
      <c r="AS839">
        <f>SUMPRODUCT((K24:K26&lt;=$B$6)*(L24:L26*AN839+M24:M26*AO839*$B$8*AQ839)/(1+AL839/100)^K24:K26)+L27*AN839*AP839/(1+AL839/100)^$B$6</f>
        <v/>
      </c>
      <c r="AT839">
        <f>AS839-AR839</f>
        <v/>
      </c>
      <c r="AU839">
        <f>RAND()</f>
        <v/>
      </c>
      <c r="AV839">
        <f>RAND()</f>
        <v/>
      </c>
      <c r="AW839">
        <f>RAND()</f>
        <v/>
      </c>
      <c r="AX839">
        <f>RAND()</f>
        <v/>
      </c>
      <c r="AY839">
        <f>RAND()</f>
        <v/>
      </c>
      <c r="AZ839">
        <f>RAND()</f>
        <v/>
      </c>
    </row>
    <row r="840">
      <c r="AK840" t="n">
        <v>827</v>
      </c>
      <c r="AL840">
        <f>IFERROR(IF(AU840&lt;($AM$6-$AL$6)/($AN$6-$AL$6),$AL$6+SQRT(AU840*($AN$6-$AL$6)*($AM$6-$AL$6)),$AN$6-SQRT((1-AU840)*($AN$6-$AL$6)*($AN$6-$AM$6))),$AM$6)</f>
        <v/>
      </c>
      <c r="AM840">
        <f>IFERROR(IF(AV840&lt;($AM$7-$AL$7)/($AN$7-$AL$7),$AL$7+SQRT(AV840*($AN$7-$AL$7)*($AM$7-$AL$7)),$AN$7-SQRT((1-AV840)*($AN$7-$AL$7)*($AN$7-$AM$7))),$AM$7)</f>
        <v/>
      </c>
      <c r="AN840">
        <f>IFERROR(IF(AW840&lt;($AM$8-$AL$8)/($AN$8-$AL$8),$AL$8+SQRT(AW840*($AN$8-$AL$8)*($AM$8-$AL$8)),$AN$8-SQRT((1-AW840)*($AN$8-$AL$8)*($AN$8-$AM$8))),$AM$8)</f>
        <v/>
      </c>
      <c r="AO840">
        <f>IFERROR(IF(AX840&lt;($AM$9-$AL$9)/($AN$9-$AL$9),$AL$9+SQRT(AX840*($AN$9-$AL$9)*($AM$9-$AL$9)),$AN$9-SQRT((1-AX840)*($AN$9-$AL$9)*($AN$9-$AM$9))),$AM$9)</f>
        <v/>
      </c>
      <c r="AP840">
        <f>IFERROR(IF(AY840&lt;($AM$10-$AL$10)/($AN$10-$AL$10),$AL$10+SQRT(AY840*($AN$10-$AL$10)*($AM$10-$AL$10)),$AN$10-SQRT((1-AY840)*($AN$10-$AL$10)*($AN$10-$AM$10))),$AM$10)</f>
        <v/>
      </c>
      <c r="AQ840">
        <f>IFERROR(IF(AZ840&lt;($AM$11-$AL$11)/($AN$11-$AL$11),$AL$11+SQRT(AZ840*($AN$11-$AL$11)*($AM$11-$AL$11)),$AN$11-SQRT((1-AZ840)*($AN$11-$AL$11)*($AN$11-$AM$11))),$AM$11)</f>
        <v/>
      </c>
      <c r="AR840">
        <f>SUMPRODUCT((B24:B31&lt;=$B$6)*(C24:C31*AM840+D24:D31*AO840*$B$8*AQ840)/(1+AL840/100)^B24:B31)+C32*AM840*AP840/(1+AL840/100)^$B$6</f>
        <v/>
      </c>
      <c r="AS840">
        <f>SUMPRODUCT((K24:K26&lt;=$B$6)*(L24:L26*AN840+M24:M26*AO840*$B$8*AQ840)/(1+AL840/100)^K24:K26)+L27*AN840*AP840/(1+AL840/100)^$B$6</f>
        <v/>
      </c>
      <c r="AT840">
        <f>AS840-AR840</f>
        <v/>
      </c>
      <c r="AU840">
        <f>RAND()</f>
        <v/>
      </c>
      <c r="AV840">
        <f>RAND()</f>
        <v/>
      </c>
      <c r="AW840">
        <f>RAND()</f>
        <v/>
      </c>
      <c r="AX840">
        <f>RAND()</f>
        <v/>
      </c>
      <c r="AY840">
        <f>RAND()</f>
        <v/>
      </c>
      <c r="AZ840">
        <f>RAND()</f>
        <v/>
      </c>
    </row>
    <row r="841">
      <c r="AK841" t="n">
        <v>828</v>
      </c>
      <c r="AL841">
        <f>IFERROR(IF(AU841&lt;($AM$6-$AL$6)/($AN$6-$AL$6),$AL$6+SQRT(AU841*($AN$6-$AL$6)*($AM$6-$AL$6)),$AN$6-SQRT((1-AU841)*($AN$6-$AL$6)*($AN$6-$AM$6))),$AM$6)</f>
        <v/>
      </c>
      <c r="AM841">
        <f>IFERROR(IF(AV841&lt;($AM$7-$AL$7)/($AN$7-$AL$7),$AL$7+SQRT(AV841*($AN$7-$AL$7)*($AM$7-$AL$7)),$AN$7-SQRT((1-AV841)*($AN$7-$AL$7)*($AN$7-$AM$7))),$AM$7)</f>
        <v/>
      </c>
      <c r="AN841">
        <f>IFERROR(IF(AW841&lt;($AM$8-$AL$8)/($AN$8-$AL$8),$AL$8+SQRT(AW841*($AN$8-$AL$8)*($AM$8-$AL$8)),$AN$8-SQRT((1-AW841)*($AN$8-$AL$8)*($AN$8-$AM$8))),$AM$8)</f>
        <v/>
      </c>
      <c r="AO841">
        <f>IFERROR(IF(AX841&lt;($AM$9-$AL$9)/($AN$9-$AL$9),$AL$9+SQRT(AX841*($AN$9-$AL$9)*($AM$9-$AL$9)),$AN$9-SQRT((1-AX841)*($AN$9-$AL$9)*($AN$9-$AM$9))),$AM$9)</f>
        <v/>
      </c>
      <c r="AP841">
        <f>IFERROR(IF(AY841&lt;($AM$10-$AL$10)/($AN$10-$AL$10),$AL$10+SQRT(AY841*($AN$10-$AL$10)*($AM$10-$AL$10)),$AN$10-SQRT((1-AY841)*($AN$10-$AL$10)*($AN$10-$AM$10))),$AM$10)</f>
        <v/>
      </c>
      <c r="AQ841">
        <f>IFERROR(IF(AZ841&lt;($AM$11-$AL$11)/($AN$11-$AL$11),$AL$11+SQRT(AZ841*($AN$11-$AL$11)*($AM$11-$AL$11)),$AN$11-SQRT((1-AZ841)*($AN$11-$AL$11)*($AN$11-$AM$11))),$AM$11)</f>
        <v/>
      </c>
      <c r="AR841">
        <f>SUMPRODUCT((B24:B31&lt;=$B$6)*(C24:C31*AM841+D24:D31*AO841*$B$8*AQ841)/(1+AL841/100)^B24:B31)+C32*AM841*AP841/(1+AL841/100)^$B$6</f>
        <v/>
      </c>
      <c r="AS841">
        <f>SUMPRODUCT((K24:K26&lt;=$B$6)*(L24:L26*AN841+M24:M26*AO841*$B$8*AQ841)/(1+AL841/100)^K24:K26)+L27*AN841*AP841/(1+AL841/100)^$B$6</f>
        <v/>
      </c>
      <c r="AT841">
        <f>AS841-AR841</f>
        <v/>
      </c>
      <c r="AU841">
        <f>RAND()</f>
        <v/>
      </c>
      <c r="AV841">
        <f>RAND()</f>
        <v/>
      </c>
      <c r="AW841">
        <f>RAND()</f>
        <v/>
      </c>
      <c r="AX841">
        <f>RAND()</f>
        <v/>
      </c>
      <c r="AY841">
        <f>RAND()</f>
        <v/>
      </c>
      <c r="AZ841">
        <f>RAND()</f>
        <v/>
      </c>
    </row>
    <row r="842">
      <c r="AK842" t="n">
        <v>829</v>
      </c>
      <c r="AL842">
        <f>IFERROR(IF(AU842&lt;($AM$6-$AL$6)/($AN$6-$AL$6),$AL$6+SQRT(AU842*($AN$6-$AL$6)*($AM$6-$AL$6)),$AN$6-SQRT((1-AU842)*($AN$6-$AL$6)*($AN$6-$AM$6))),$AM$6)</f>
        <v/>
      </c>
      <c r="AM842">
        <f>IFERROR(IF(AV842&lt;($AM$7-$AL$7)/($AN$7-$AL$7),$AL$7+SQRT(AV842*($AN$7-$AL$7)*($AM$7-$AL$7)),$AN$7-SQRT((1-AV842)*($AN$7-$AL$7)*($AN$7-$AM$7))),$AM$7)</f>
        <v/>
      </c>
      <c r="AN842">
        <f>IFERROR(IF(AW842&lt;($AM$8-$AL$8)/($AN$8-$AL$8),$AL$8+SQRT(AW842*($AN$8-$AL$8)*($AM$8-$AL$8)),$AN$8-SQRT((1-AW842)*($AN$8-$AL$8)*($AN$8-$AM$8))),$AM$8)</f>
        <v/>
      </c>
      <c r="AO842">
        <f>IFERROR(IF(AX842&lt;($AM$9-$AL$9)/($AN$9-$AL$9),$AL$9+SQRT(AX842*($AN$9-$AL$9)*($AM$9-$AL$9)),$AN$9-SQRT((1-AX842)*($AN$9-$AL$9)*($AN$9-$AM$9))),$AM$9)</f>
        <v/>
      </c>
      <c r="AP842">
        <f>IFERROR(IF(AY842&lt;($AM$10-$AL$10)/($AN$10-$AL$10),$AL$10+SQRT(AY842*($AN$10-$AL$10)*($AM$10-$AL$10)),$AN$10-SQRT((1-AY842)*($AN$10-$AL$10)*($AN$10-$AM$10))),$AM$10)</f>
        <v/>
      </c>
      <c r="AQ842">
        <f>IFERROR(IF(AZ842&lt;($AM$11-$AL$11)/($AN$11-$AL$11),$AL$11+SQRT(AZ842*($AN$11-$AL$11)*($AM$11-$AL$11)),$AN$11-SQRT((1-AZ842)*($AN$11-$AL$11)*($AN$11-$AM$11))),$AM$11)</f>
        <v/>
      </c>
      <c r="AR842">
        <f>SUMPRODUCT((B24:B31&lt;=$B$6)*(C24:C31*AM842+D24:D31*AO842*$B$8*AQ842)/(1+AL842/100)^B24:B31)+C32*AM842*AP842/(1+AL842/100)^$B$6</f>
        <v/>
      </c>
      <c r="AS842">
        <f>SUMPRODUCT((K24:K26&lt;=$B$6)*(L24:L26*AN842+M24:M26*AO842*$B$8*AQ842)/(1+AL842/100)^K24:K26)+L27*AN842*AP842/(1+AL842/100)^$B$6</f>
        <v/>
      </c>
      <c r="AT842">
        <f>AS842-AR842</f>
        <v/>
      </c>
      <c r="AU842">
        <f>RAND()</f>
        <v/>
      </c>
      <c r="AV842">
        <f>RAND()</f>
        <v/>
      </c>
      <c r="AW842">
        <f>RAND()</f>
        <v/>
      </c>
      <c r="AX842">
        <f>RAND()</f>
        <v/>
      </c>
      <c r="AY842">
        <f>RAND()</f>
        <v/>
      </c>
      <c r="AZ842">
        <f>RAND()</f>
        <v/>
      </c>
    </row>
    <row r="843">
      <c r="AK843" t="n">
        <v>830</v>
      </c>
      <c r="AL843">
        <f>IFERROR(IF(AU843&lt;($AM$6-$AL$6)/($AN$6-$AL$6),$AL$6+SQRT(AU843*($AN$6-$AL$6)*($AM$6-$AL$6)),$AN$6-SQRT((1-AU843)*($AN$6-$AL$6)*($AN$6-$AM$6))),$AM$6)</f>
        <v/>
      </c>
      <c r="AM843">
        <f>IFERROR(IF(AV843&lt;($AM$7-$AL$7)/($AN$7-$AL$7),$AL$7+SQRT(AV843*($AN$7-$AL$7)*($AM$7-$AL$7)),$AN$7-SQRT((1-AV843)*($AN$7-$AL$7)*($AN$7-$AM$7))),$AM$7)</f>
        <v/>
      </c>
      <c r="AN843">
        <f>IFERROR(IF(AW843&lt;($AM$8-$AL$8)/($AN$8-$AL$8),$AL$8+SQRT(AW843*($AN$8-$AL$8)*($AM$8-$AL$8)),$AN$8-SQRT((1-AW843)*($AN$8-$AL$8)*($AN$8-$AM$8))),$AM$8)</f>
        <v/>
      </c>
      <c r="AO843">
        <f>IFERROR(IF(AX843&lt;($AM$9-$AL$9)/($AN$9-$AL$9),$AL$9+SQRT(AX843*($AN$9-$AL$9)*($AM$9-$AL$9)),$AN$9-SQRT((1-AX843)*($AN$9-$AL$9)*($AN$9-$AM$9))),$AM$9)</f>
        <v/>
      </c>
      <c r="AP843">
        <f>IFERROR(IF(AY843&lt;($AM$10-$AL$10)/($AN$10-$AL$10),$AL$10+SQRT(AY843*($AN$10-$AL$10)*($AM$10-$AL$10)),$AN$10-SQRT((1-AY843)*($AN$10-$AL$10)*($AN$10-$AM$10))),$AM$10)</f>
        <v/>
      </c>
      <c r="AQ843">
        <f>IFERROR(IF(AZ843&lt;($AM$11-$AL$11)/($AN$11-$AL$11),$AL$11+SQRT(AZ843*($AN$11-$AL$11)*($AM$11-$AL$11)),$AN$11-SQRT((1-AZ843)*($AN$11-$AL$11)*($AN$11-$AM$11))),$AM$11)</f>
        <v/>
      </c>
      <c r="AR843">
        <f>SUMPRODUCT((B24:B31&lt;=$B$6)*(C24:C31*AM843+D24:D31*AO843*$B$8*AQ843)/(1+AL843/100)^B24:B31)+C32*AM843*AP843/(1+AL843/100)^$B$6</f>
        <v/>
      </c>
      <c r="AS843">
        <f>SUMPRODUCT((K24:K26&lt;=$B$6)*(L24:L26*AN843+M24:M26*AO843*$B$8*AQ843)/(1+AL843/100)^K24:K26)+L27*AN843*AP843/(1+AL843/100)^$B$6</f>
        <v/>
      </c>
      <c r="AT843">
        <f>AS843-AR843</f>
        <v/>
      </c>
      <c r="AU843">
        <f>RAND()</f>
        <v/>
      </c>
      <c r="AV843">
        <f>RAND()</f>
        <v/>
      </c>
      <c r="AW843">
        <f>RAND()</f>
        <v/>
      </c>
      <c r="AX843">
        <f>RAND()</f>
        <v/>
      </c>
      <c r="AY843">
        <f>RAND()</f>
        <v/>
      </c>
      <c r="AZ843">
        <f>RAND()</f>
        <v/>
      </c>
    </row>
    <row r="844">
      <c r="AK844" t="n">
        <v>831</v>
      </c>
      <c r="AL844">
        <f>IFERROR(IF(AU844&lt;($AM$6-$AL$6)/($AN$6-$AL$6),$AL$6+SQRT(AU844*($AN$6-$AL$6)*($AM$6-$AL$6)),$AN$6-SQRT((1-AU844)*($AN$6-$AL$6)*($AN$6-$AM$6))),$AM$6)</f>
        <v/>
      </c>
      <c r="AM844">
        <f>IFERROR(IF(AV844&lt;($AM$7-$AL$7)/($AN$7-$AL$7),$AL$7+SQRT(AV844*($AN$7-$AL$7)*($AM$7-$AL$7)),$AN$7-SQRT((1-AV844)*($AN$7-$AL$7)*($AN$7-$AM$7))),$AM$7)</f>
        <v/>
      </c>
      <c r="AN844">
        <f>IFERROR(IF(AW844&lt;($AM$8-$AL$8)/($AN$8-$AL$8),$AL$8+SQRT(AW844*($AN$8-$AL$8)*($AM$8-$AL$8)),$AN$8-SQRT((1-AW844)*($AN$8-$AL$8)*($AN$8-$AM$8))),$AM$8)</f>
        <v/>
      </c>
      <c r="AO844">
        <f>IFERROR(IF(AX844&lt;($AM$9-$AL$9)/($AN$9-$AL$9),$AL$9+SQRT(AX844*($AN$9-$AL$9)*($AM$9-$AL$9)),$AN$9-SQRT((1-AX844)*($AN$9-$AL$9)*($AN$9-$AM$9))),$AM$9)</f>
        <v/>
      </c>
      <c r="AP844">
        <f>IFERROR(IF(AY844&lt;($AM$10-$AL$10)/($AN$10-$AL$10),$AL$10+SQRT(AY844*($AN$10-$AL$10)*($AM$10-$AL$10)),$AN$10-SQRT((1-AY844)*($AN$10-$AL$10)*($AN$10-$AM$10))),$AM$10)</f>
        <v/>
      </c>
      <c r="AQ844">
        <f>IFERROR(IF(AZ844&lt;($AM$11-$AL$11)/($AN$11-$AL$11),$AL$11+SQRT(AZ844*($AN$11-$AL$11)*($AM$11-$AL$11)),$AN$11-SQRT((1-AZ844)*($AN$11-$AL$11)*($AN$11-$AM$11))),$AM$11)</f>
        <v/>
      </c>
      <c r="AR844">
        <f>SUMPRODUCT((B24:B31&lt;=$B$6)*(C24:C31*AM844+D24:D31*AO844*$B$8*AQ844)/(1+AL844/100)^B24:B31)+C32*AM844*AP844/(1+AL844/100)^$B$6</f>
        <v/>
      </c>
      <c r="AS844">
        <f>SUMPRODUCT((K24:K26&lt;=$B$6)*(L24:L26*AN844+M24:M26*AO844*$B$8*AQ844)/(1+AL844/100)^K24:K26)+L27*AN844*AP844/(1+AL844/100)^$B$6</f>
        <v/>
      </c>
      <c r="AT844">
        <f>AS844-AR844</f>
        <v/>
      </c>
      <c r="AU844">
        <f>RAND()</f>
        <v/>
      </c>
      <c r="AV844">
        <f>RAND()</f>
        <v/>
      </c>
      <c r="AW844">
        <f>RAND()</f>
        <v/>
      </c>
      <c r="AX844">
        <f>RAND()</f>
        <v/>
      </c>
      <c r="AY844">
        <f>RAND()</f>
        <v/>
      </c>
      <c r="AZ844">
        <f>RAND()</f>
        <v/>
      </c>
    </row>
    <row r="845">
      <c r="AK845" t="n">
        <v>832</v>
      </c>
      <c r="AL845">
        <f>IFERROR(IF(AU845&lt;($AM$6-$AL$6)/($AN$6-$AL$6),$AL$6+SQRT(AU845*($AN$6-$AL$6)*($AM$6-$AL$6)),$AN$6-SQRT((1-AU845)*($AN$6-$AL$6)*($AN$6-$AM$6))),$AM$6)</f>
        <v/>
      </c>
      <c r="AM845">
        <f>IFERROR(IF(AV845&lt;($AM$7-$AL$7)/($AN$7-$AL$7),$AL$7+SQRT(AV845*($AN$7-$AL$7)*($AM$7-$AL$7)),$AN$7-SQRT((1-AV845)*($AN$7-$AL$7)*($AN$7-$AM$7))),$AM$7)</f>
        <v/>
      </c>
      <c r="AN845">
        <f>IFERROR(IF(AW845&lt;($AM$8-$AL$8)/($AN$8-$AL$8),$AL$8+SQRT(AW845*($AN$8-$AL$8)*($AM$8-$AL$8)),$AN$8-SQRT((1-AW845)*($AN$8-$AL$8)*($AN$8-$AM$8))),$AM$8)</f>
        <v/>
      </c>
      <c r="AO845">
        <f>IFERROR(IF(AX845&lt;($AM$9-$AL$9)/($AN$9-$AL$9),$AL$9+SQRT(AX845*($AN$9-$AL$9)*($AM$9-$AL$9)),$AN$9-SQRT((1-AX845)*($AN$9-$AL$9)*($AN$9-$AM$9))),$AM$9)</f>
        <v/>
      </c>
      <c r="AP845">
        <f>IFERROR(IF(AY845&lt;($AM$10-$AL$10)/($AN$10-$AL$10),$AL$10+SQRT(AY845*($AN$10-$AL$10)*($AM$10-$AL$10)),$AN$10-SQRT((1-AY845)*($AN$10-$AL$10)*($AN$10-$AM$10))),$AM$10)</f>
        <v/>
      </c>
      <c r="AQ845">
        <f>IFERROR(IF(AZ845&lt;($AM$11-$AL$11)/($AN$11-$AL$11),$AL$11+SQRT(AZ845*($AN$11-$AL$11)*($AM$11-$AL$11)),$AN$11-SQRT((1-AZ845)*($AN$11-$AL$11)*($AN$11-$AM$11))),$AM$11)</f>
        <v/>
      </c>
      <c r="AR845">
        <f>SUMPRODUCT((B24:B31&lt;=$B$6)*(C24:C31*AM845+D24:D31*AO845*$B$8*AQ845)/(1+AL845/100)^B24:B31)+C32*AM845*AP845/(1+AL845/100)^$B$6</f>
        <v/>
      </c>
      <c r="AS845">
        <f>SUMPRODUCT((K24:K26&lt;=$B$6)*(L24:L26*AN845+M24:M26*AO845*$B$8*AQ845)/(1+AL845/100)^K24:K26)+L27*AN845*AP845/(1+AL845/100)^$B$6</f>
        <v/>
      </c>
      <c r="AT845">
        <f>AS845-AR845</f>
        <v/>
      </c>
      <c r="AU845">
        <f>RAND()</f>
        <v/>
      </c>
      <c r="AV845">
        <f>RAND()</f>
        <v/>
      </c>
      <c r="AW845">
        <f>RAND()</f>
        <v/>
      </c>
      <c r="AX845">
        <f>RAND()</f>
        <v/>
      </c>
      <c r="AY845">
        <f>RAND()</f>
        <v/>
      </c>
      <c r="AZ845">
        <f>RAND()</f>
        <v/>
      </c>
    </row>
    <row r="846">
      <c r="AK846" t="n">
        <v>833</v>
      </c>
      <c r="AL846">
        <f>IFERROR(IF(AU846&lt;($AM$6-$AL$6)/($AN$6-$AL$6),$AL$6+SQRT(AU846*($AN$6-$AL$6)*($AM$6-$AL$6)),$AN$6-SQRT((1-AU846)*($AN$6-$AL$6)*($AN$6-$AM$6))),$AM$6)</f>
        <v/>
      </c>
      <c r="AM846">
        <f>IFERROR(IF(AV846&lt;($AM$7-$AL$7)/($AN$7-$AL$7),$AL$7+SQRT(AV846*($AN$7-$AL$7)*($AM$7-$AL$7)),$AN$7-SQRT((1-AV846)*($AN$7-$AL$7)*($AN$7-$AM$7))),$AM$7)</f>
        <v/>
      </c>
      <c r="AN846">
        <f>IFERROR(IF(AW846&lt;($AM$8-$AL$8)/($AN$8-$AL$8),$AL$8+SQRT(AW846*($AN$8-$AL$8)*($AM$8-$AL$8)),$AN$8-SQRT((1-AW846)*($AN$8-$AL$8)*($AN$8-$AM$8))),$AM$8)</f>
        <v/>
      </c>
      <c r="AO846">
        <f>IFERROR(IF(AX846&lt;($AM$9-$AL$9)/($AN$9-$AL$9),$AL$9+SQRT(AX846*($AN$9-$AL$9)*($AM$9-$AL$9)),$AN$9-SQRT((1-AX846)*($AN$9-$AL$9)*($AN$9-$AM$9))),$AM$9)</f>
        <v/>
      </c>
      <c r="AP846">
        <f>IFERROR(IF(AY846&lt;($AM$10-$AL$10)/($AN$10-$AL$10),$AL$10+SQRT(AY846*($AN$10-$AL$10)*($AM$10-$AL$10)),$AN$10-SQRT((1-AY846)*($AN$10-$AL$10)*($AN$10-$AM$10))),$AM$10)</f>
        <v/>
      </c>
      <c r="AQ846">
        <f>IFERROR(IF(AZ846&lt;($AM$11-$AL$11)/($AN$11-$AL$11),$AL$11+SQRT(AZ846*($AN$11-$AL$11)*($AM$11-$AL$11)),$AN$11-SQRT((1-AZ846)*($AN$11-$AL$11)*($AN$11-$AM$11))),$AM$11)</f>
        <v/>
      </c>
      <c r="AR846">
        <f>SUMPRODUCT((B24:B31&lt;=$B$6)*(C24:C31*AM846+D24:D31*AO846*$B$8*AQ846)/(1+AL846/100)^B24:B31)+C32*AM846*AP846/(1+AL846/100)^$B$6</f>
        <v/>
      </c>
      <c r="AS846">
        <f>SUMPRODUCT((K24:K26&lt;=$B$6)*(L24:L26*AN846+M24:M26*AO846*$B$8*AQ846)/(1+AL846/100)^K24:K26)+L27*AN846*AP846/(1+AL846/100)^$B$6</f>
        <v/>
      </c>
      <c r="AT846">
        <f>AS846-AR846</f>
        <v/>
      </c>
      <c r="AU846">
        <f>RAND()</f>
        <v/>
      </c>
      <c r="AV846">
        <f>RAND()</f>
        <v/>
      </c>
      <c r="AW846">
        <f>RAND()</f>
        <v/>
      </c>
      <c r="AX846">
        <f>RAND()</f>
        <v/>
      </c>
      <c r="AY846">
        <f>RAND()</f>
        <v/>
      </c>
      <c r="AZ846">
        <f>RAND()</f>
        <v/>
      </c>
    </row>
    <row r="847">
      <c r="AK847" t="n">
        <v>834</v>
      </c>
      <c r="AL847">
        <f>IFERROR(IF(AU847&lt;($AM$6-$AL$6)/($AN$6-$AL$6),$AL$6+SQRT(AU847*($AN$6-$AL$6)*($AM$6-$AL$6)),$AN$6-SQRT((1-AU847)*($AN$6-$AL$6)*($AN$6-$AM$6))),$AM$6)</f>
        <v/>
      </c>
      <c r="AM847">
        <f>IFERROR(IF(AV847&lt;($AM$7-$AL$7)/($AN$7-$AL$7),$AL$7+SQRT(AV847*($AN$7-$AL$7)*($AM$7-$AL$7)),$AN$7-SQRT((1-AV847)*($AN$7-$AL$7)*($AN$7-$AM$7))),$AM$7)</f>
        <v/>
      </c>
      <c r="AN847">
        <f>IFERROR(IF(AW847&lt;($AM$8-$AL$8)/($AN$8-$AL$8),$AL$8+SQRT(AW847*($AN$8-$AL$8)*($AM$8-$AL$8)),$AN$8-SQRT((1-AW847)*($AN$8-$AL$8)*($AN$8-$AM$8))),$AM$8)</f>
        <v/>
      </c>
      <c r="AO847">
        <f>IFERROR(IF(AX847&lt;($AM$9-$AL$9)/($AN$9-$AL$9),$AL$9+SQRT(AX847*($AN$9-$AL$9)*($AM$9-$AL$9)),$AN$9-SQRT((1-AX847)*($AN$9-$AL$9)*($AN$9-$AM$9))),$AM$9)</f>
        <v/>
      </c>
      <c r="AP847">
        <f>IFERROR(IF(AY847&lt;($AM$10-$AL$10)/($AN$10-$AL$10),$AL$10+SQRT(AY847*($AN$10-$AL$10)*($AM$10-$AL$10)),$AN$10-SQRT((1-AY847)*($AN$10-$AL$10)*($AN$10-$AM$10))),$AM$10)</f>
        <v/>
      </c>
      <c r="AQ847">
        <f>IFERROR(IF(AZ847&lt;($AM$11-$AL$11)/($AN$11-$AL$11),$AL$11+SQRT(AZ847*($AN$11-$AL$11)*($AM$11-$AL$11)),$AN$11-SQRT((1-AZ847)*($AN$11-$AL$11)*($AN$11-$AM$11))),$AM$11)</f>
        <v/>
      </c>
      <c r="AR847">
        <f>SUMPRODUCT((B24:B31&lt;=$B$6)*(C24:C31*AM847+D24:D31*AO847*$B$8*AQ847)/(1+AL847/100)^B24:B31)+C32*AM847*AP847/(1+AL847/100)^$B$6</f>
        <v/>
      </c>
      <c r="AS847">
        <f>SUMPRODUCT((K24:K26&lt;=$B$6)*(L24:L26*AN847+M24:M26*AO847*$B$8*AQ847)/(1+AL847/100)^K24:K26)+L27*AN847*AP847/(1+AL847/100)^$B$6</f>
        <v/>
      </c>
      <c r="AT847">
        <f>AS847-AR847</f>
        <v/>
      </c>
      <c r="AU847">
        <f>RAND()</f>
        <v/>
      </c>
      <c r="AV847">
        <f>RAND()</f>
        <v/>
      </c>
      <c r="AW847">
        <f>RAND()</f>
        <v/>
      </c>
      <c r="AX847">
        <f>RAND()</f>
        <v/>
      </c>
      <c r="AY847">
        <f>RAND()</f>
        <v/>
      </c>
      <c r="AZ847">
        <f>RAND()</f>
        <v/>
      </c>
    </row>
    <row r="848">
      <c r="AK848" t="n">
        <v>835</v>
      </c>
      <c r="AL848">
        <f>IFERROR(IF(AU848&lt;($AM$6-$AL$6)/($AN$6-$AL$6),$AL$6+SQRT(AU848*($AN$6-$AL$6)*($AM$6-$AL$6)),$AN$6-SQRT((1-AU848)*($AN$6-$AL$6)*($AN$6-$AM$6))),$AM$6)</f>
        <v/>
      </c>
      <c r="AM848">
        <f>IFERROR(IF(AV848&lt;($AM$7-$AL$7)/($AN$7-$AL$7),$AL$7+SQRT(AV848*($AN$7-$AL$7)*($AM$7-$AL$7)),$AN$7-SQRT((1-AV848)*($AN$7-$AL$7)*($AN$7-$AM$7))),$AM$7)</f>
        <v/>
      </c>
      <c r="AN848">
        <f>IFERROR(IF(AW848&lt;($AM$8-$AL$8)/($AN$8-$AL$8),$AL$8+SQRT(AW848*($AN$8-$AL$8)*($AM$8-$AL$8)),$AN$8-SQRT((1-AW848)*($AN$8-$AL$8)*($AN$8-$AM$8))),$AM$8)</f>
        <v/>
      </c>
      <c r="AO848">
        <f>IFERROR(IF(AX848&lt;($AM$9-$AL$9)/($AN$9-$AL$9),$AL$9+SQRT(AX848*($AN$9-$AL$9)*($AM$9-$AL$9)),$AN$9-SQRT((1-AX848)*($AN$9-$AL$9)*($AN$9-$AM$9))),$AM$9)</f>
        <v/>
      </c>
      <c r="AP848">
        <f>IFERROR(IF(AY848&lt;($AM$10-$AL$10)/($AN$10-$AL$10),$AL$10+SQRT(AY848*($AN$10-$AL$10)*($AM$10-$AL$10)),$AN$10-SQRT((1-AY848)*($AN$10-$AL$10)*($AN$10-$AM$10))),$AM$10)</f>
        <v/>
      </c>
      <c r="AQ848">
        <f>IFERROR(IF(AZ848&lt;($AM$11-$AL$11)/($AN$11-$AL$11),$AL$11+SQRT(AZ848*($AN$11-$AL$11)*($AM$11-$AL$11)),$AN$11-SQRT((1-AZ848)*($AN$11-$AL$11)*($AN$11-$AM$11))),$AM$11)</f>
        <v/>
      </c>
      <c r="AR848">
        <f>SUMPRODUCT((B24:B31&lt;=$B$6)*(C24:C31*AM848+D24:D31*AO848*$B$8*AQ848)/(1+AL848/100)^B24:B31)+C32*AM848*AP848/(1+AL848/100)^$B$6</f>
        <v/>
      </c>
      <c r="AS848">
        <f>SUMPRODUCT((K24:K26&lt;=$B$6)*(L24:L26*AN848+M24:M26*AO848*$B$8*AQ848)/(1+AL848/100)^K24:K26)+L27*AN848*AP848/(1+AL848/100)^$B$6</f>
        <v/>
      </c>
      <c r="AT848">
        <f>AS848-AR848</f>
        <v/>
      </c>
      <c r="AU848">
        <f>RAND()</f>
        <v/>
      </c>
      <c r="AV848">
        <f>RAND()</f>
        <v/>
      </c>
      <c r="AW848">
        <f>RAND()</f>
        <v/>
      </c>
      <c r="AX848">
        <f>RAND()</f>
        <v/>
      </c>
      <c r="AY848">
        <f>RAND()</f>
        <v/>
      </c>
      <c r="AZ848">
        <f>RAND()</f>
        <v/>
      </c>
    </row>
    <row r="849">
      <c r="AK849" t="n">
        <v>836</v>
      </c>
      <c r="AL849">
        <f>IFERROR(IF(AU849&lt;($AM$6-$AL$6)/($AN$6-$AL$6),$AL$6+SQRT(AU849*($AN$6-$AL$6)*($AM$6-$AL$6)),$AN$6-SQRT((1-AU849)*($AN$6-$AL$6)*($AN$6-$AM$6))),$AM$6)</f>
        <v/>
      </c>
      <c r="AM849">
        <f>IFERROR(IF(AV849&lt;($AM$7-$AL$7)/($AN$7-$AL$7),$AL$7+SQRT(AV849*($AN$7-$AL$7)*($AM$7-$AL$7)),$AN$7-SQRT((1-AV849)*($AN$7-$AL$7)*($AN$7-$AM$7))),$AM$7)</f>
        <v/>
      </c>
      <c r="AN849">
        <f>IFERROR(IF(AW849&lt;($AM$8-$AL$8)/($AN$8-$AL$8),$AL$8+SQRT(AW849*($AN$8-$AL$8)*($AM$8-$AL$8)),$AN$8-SQRT((1-AW849)*($AN$8-$AL$8)*($AN$8-$AM$8))),$AM$8)</f>
        <v/>
      </c>
      <c r="AO849">
        <f>IFERROR(IF(AX849&lt;($AM$9-$AL$9)/($AN$9-$AL$9),$AL$9+SQRT(AX849*($AN$9-$AL$9)*($AM$9-$AL$9)),$AN$9-SQRT((1-AX849)*($AN$9-$AL$9)*($AN$9-$AM$9))),$AM$9)</f>
        <v/>
      </c>
      <c r="AP849">
        <f>IFERROR(IF(AY849&lt;($AM$10-$AL$10)/($AN$10-$AL$10),$AL$10+SQRT(AY849*($AN$10-$AL$10)*($AM$10-$AL$10)),$AN$10-SQRT((1-AY849)*($AN$10-$AL$10)*($AN$10-$AM$10))),$AM$10)</f>
        <v/>
      </c>
      <c r="AQ849">
        <f>IFERROR(IF(AZ849&lt;($AM$11-$AL$11)/($AN$11-$AL$11),$AL$11+SQRT(AZ849*($AN$11-$AL$11)*($AM$11-$AL$11)),$AN$11-SQRT((1-AZ849)*($AN$11-$AL$11)*($AN$11-$AM$11))),$AM$11)</f>
        <v/>
      </c>
      <c r="AR849">
        <f>SUMPRODUCT((B24:B31&lt;=$B$6)*(C24:C31*AM849+D24:D31*AO849*$B$8*AQ849)/(1+AL849/100)^B24:B31)+C32*AM849*AP849/(1+AL849/100)^$B$6</f>
        <v/>
      </c>
      <c r="AS849">
        <f>SUMPRODUCT((K24:K26&lt;=$B$6)*(L24:L26*AN849+M24:M26*AO849*$B$8*AQ849)/(1+AL849/100)^K24:K26)+L27*AN849*AP849/(1+AL849/100)^$B$6</f>
        <v/>
      </c>
      <c r="AT849">
        <f>AS849-AR849</f>
        <v/>
      </c>
      <c r="AU849">
        <f>RAND()</f>
        <v/>
      </c>
      <c r="AV849">
        <f>RAND()</f>
        <v/>
      </c>
      <c r="AW849">
        <f>RAND()</f>
        <v/>
      </c>
      <c r="AX849">
        <f>RAND()</f>
        <v/>
      </c>
      <c r="AY849">
        <f>RAND()</f>
        <v/>
      </c>
      <c r="AZ849">
        <f>RAND()</f>
        <v/>
      </c>
    </row>
    <row r="850">
      <c r="AK850" t="n">
        <v>837</v>
      </c>
      <c r="AL850">
        <f>IFERROR(IF(AU850&lt;($AM$6-$AL$6)/($AN$6-$AL$6),$AL$6+SQRT(AU850*($AN$6-$AL$6)*($AM$6-$AL$6)),$AN$6-SQRT((1-AU850)*($AN$6-$AL$6)*($AN$6-$AM$6))),$AM$6)</f>
        <v/>
      </c>
      <c r="AM850">
        <f>IFERROR(IF(AV850&lt;($AM$7-$AL$7)/($AN$7-$AL$7),$AL$7+SQRT(AV850*($AN$7-$AL$7)*($AM$7-$AL$7)),$AN$7-SQRT((1-AV850)*($AN$7-$AL$7)*($AN$7-$AM$7))),$AM$7)</f>
        <v/>
      </c>
      <c r="AN850">
        <f>IFERROR(IF(AW850&lt;($AM$8-$AL$8)/($AN$8-$AL$8),$AL$8+SQRT(AW850*($AN$8-$AL$8)*($AM$8-$AL$8)),$AN$8-SQRT((1-AW850)*($AN$8-$AL$8)*($AN$8-$AM$8))),$AM$8)</f>
        <v/>
      </c>
      <c r="AO850">
        <f>IFERROR(IF(AX850&lt;($AM$9-$AL$9)/($AN$9-$AL$9),$AL$9+SQRT(AX850*($AN$9-$AL$9)*($AM$9-$AL$9)),$AN$9-SQRT((1-AX850)*($AN$9-$AL$9)*($AN$9-$AM$9))),$AM$9)</f>
        <v/>
      </c>
      <c r="AP850">
        <f>IFERROR(IF(AY850&lt;($AM$10-$AL$10)/($AN$10-$AL$10),$AL$10+SQRT(AY850*($AN$10-$AL$10)*($AM$10-$AL$10)),$AN$10-SQRT((1-AY850)*($AN$10-$AL$10)*($AN$10-$AM$10))),$AM$10)</f>
        <v/>
      </c>
      <c r="AQ850">
        <f>IFERROR(IF(AZ850&lt;($AM$11-$AL$11)/($AN$11-$AL$11),$AL$11+SQRT(AZ850*($AN$11-$AL$11)*($AM$11-$AL$11)),$AN$11-SQRT((1-AZ850)*($AN$11-$AL$11)*($AN$11-$AM$11))),$AM$11)</f>
        <v/>
      </c>
      <c r="AR850">
        <f>SUMPRODUCT((B24:B31&lt;=$B$6)*(C24:C31*AM850+D24:D31*AO850*$B$8*AQ850)/(1+AL850/100)^B24:B31)+C32*AM850*AP850/(1+AL850/100)^$B$6</f>
        <v/>
      </c>
      <c r="AS850">
        <f>SUMPRODUCT((K24:K26&lt;=$B$6)*(L24:L26*AN850+M24:M26*AO850*$B$8*AQ850)/(1+AL850/100)^K24:K26)+L27*AN850*AP850/(1+AL850/100)^$B$6</f>
        <v/>
      </c>
      <c r="AT850">
        <f>AS850-AR850</f>
        <v/>
      </c>
      <c r="AU850">
        <f>RAND()</f>
        <v/>
      </c>
      <c r="AV850">
        <f>RAND()</f>
        <v/>
      </c>
      <c r="AW850">
        <f>RAND()</f>
        <v/>
      </c>
      <c r="AX850">
        <f>RAND()</f>
        <v/>
      </c>
      <c r="AY850">
        <f>RAND()</f>
        <v/>
      </c>
      <c r="AZ850">
        <f>RAND()</f>
        <v/>
      </c>
    </row>
    <row r="851">
      <c r="AK851" t="n">
        <v>838</v>
      </c>
      <c r="AL851">
        <f>IFERROR(IF(AU851&lt;($AM$6-$AL$6)/($AN$6-$AL$6),$AL$6+SQRT(AU851*($AN$6-$AL$6)*($AM$6-$AL$6)),$AN$6-SQRT((1-AU851)*($AN$6-$AL$6)*($AN$6-$AM$6))),$AM$6)</f>
        <v/>
      </c>
      <c r="AM851">
        <f>IFERROR(IF(AV851&lt;($AM$7-$AL$7)/($AN$7-$AL$7),$AL$7+SQRT(AV851*($AN$7-$AL$7)*($AM$7-$AL$7)),$AN$7-SQRT((1-AV851)*($AN$7-$AL$7)*($AN$7-$AM$7))),$AM$7)</f>
        <v/>
      </c>
      <c r="AN851">
        <f>IFERROR(IF(AW851&lt;($AM$8-$AL$8)/($AN$8-$AL$8),$AL$8+SQRT(AW851*($AN$8-$AL$8)*($AM$8-$AL$8)),$AN$8-SQRT((1-AW851)*($AN$8-$AL$8)*($AN$8-$AM$8))),$AM$8)</f>
        <v/>
      </c>
      <c r="AO851">
        <f>IFERROR(IF(AX851&lt;($AM$9-$AL$9)/($AN$9-$AL$9),$AL$9+SQRT(AX851*($AN$9-$AL$9)*($AM$9-$AL$9)),$AN$9-SQRT((1-AX851)*($AN$9-$AL$9)*($AN$9-$AM$9))),$AM$9)</f>
        <v/>
      </c>
      <c r="AP851">
        <f>IFERROR(IF(AY851&lt;($AM$10-$AL$10)/($AN$10-$AL$10),$AL$10+SQRT(AY851*($AN$10-$AL$10)*($AM$10-$AL$10)),$AN$10-SQRT((1-AY851)*($AN$10-$AL$10)*($AN$10-$AM$10))),$AM$10)</f>
        <v/>
      </c>
      <c r="AQ851">
        <f>IFERROR(IF(AZ851&lt;($AM$11-$AL$11)/($AN$11-$AL$11),$AL$11+SQRT(AZ851*($AN$11-$AL$11)*($AM$11-$AL$11)),$AN$11-SQRT((1-AZ851)*($AN$11-$AL$11)*($AN$11-$AM$11))),$AM$11)</f>
        <v/>
      </c>
      <c r="AR851">
        <f>SUMPRODUCT((B24:B31&lt;=$B$6)*(C24:C31*AM851+D24:D31*AO851*$B$8*AQ851)/(1+AL851/100)^B24:B31)+C32*AM851*AP851/(1+AL851/100)^$B$6</f>
        <v/>
      </c>
      <c r="AS851">
        <f>SUMPRODUCT((K24:K26&lt;=$B$6)*(L24:L26*AN851+M24:M26*AO851*$B$8*AQ851)/(1+AL851/100)^K24:K26)+L27*AN851*AP851/(1+AL851/100)^$B$6</f>
        <v/>
      </c>
      <c r="AT851">
        <f>AS851-AR851</f>
        <v/>
      </c>
      <c r="AU851">
        <f>RAND()</f>
        <v/>
      </c>
      <c r="AV851">
        <f>RAND()</f>
        <v/>
      </c>
      <c r="AW851">
        <f>RAND()</f>
        <v/>
      </c>
      <c r="AX851">
        <f>RAND()</f>
        <v/>
      </c>
      <c r="AY851">
        <f>RAND()</f>
        <v/>
      </c>
      <c r="AZ851">
        <f>RAND()</f>
        <v/>
      </c>
    </row>
    <row r="852">
      <c r="AK852" t="n">
        <v>839</v>
      </c>
      <c r="AL852">
        <f>IFERROR(IF(AU852&lt;($AM$6-$AL$6)/($AN$6-$AL$6),$AL$6+SQRT(AU852*($AN$6-$AL$6)*($AM$6-$AL$6)),$AN$6-SQRT((1-AU852)*($AN$6-$AL$6)*($AN$6-$AM$6))),$AM$6)</f>
        <v/>
      </c>
      <c r="AM852">
        <f>IFERROR(IF(AV852&lt;($AM$7-$AL$7)/($AN$7-$AL$7),$AL$7+SQRT(AV852*($AN$7-$AL$7)*($AM$7-$AL$7)),$AN$7-SQRT((1-AV852)*($AN$7-$AL$7)*($AN$7-$AM$7))),$AM$7)</f>
        <v/>
      </c>
      <c r="AN852">
        <f>IFERROR(IF(AW852&lt;($AM$8-$AL$8)/($AN$8-$AL$8),$AL$8+SQRT(AW852*($AN$8-$AL$8)*($AM$8-$AL$8)),$AN$8-SQRT((1-AW852)*($AN$8-$AL$8)*($AN$8-$AM$8))),$AM$8)</f>
        <v/>
      </c>
      <c r="AO852">
        <f>IFERROR(IF(AX852&lt;($AM$9-$AL$9)/($AN$9-$AL$9),$AL$9+SQRT(AX852*($AN$9-$AL$9)*($AM$9-$AL$9)),$AN$9-SQRT((1-AX852)*($AN$9-$AL$9)*($AN$9-$AM$9))),$AM$9)</f>
        <v/>
      </c>
      <c r="AP852">
        <f>IFERROR(IF(AY852&lt;($AM$10-$AL$10)/($AN$10-$AL$10),$AL$10+SQRT(AY852*($AN$10-$AL$10)*($AM$10-$AL$10)),$AN$10-SQRT((1-AY852)*($AN$10-$AL$10)*($AN$10-$AM$10))),$AM$10)</f>
        <v/>
      </c>
      <c r="AQ852">
        <f>IFERROR(IF(AZ852&lt;($AM$11-$AL$11)/($AN$11-$AL$11),$AL$11+SQRT(AZ852*($AN$11-$AL$11)*($AM$11-$AL$11)),$AN$11-SQRT((1-AZ852)*($AN$11-$AL$11)*($AN$11-$AM$11))),$AM$11)</f>
        <v/>
      </c>
      <c r="AR852">
        <f>SUMPRODUCT((B24:B31&lt;=$B$6)*(C24:C31*AM852+D24:D31*AO852*$B$8*AQ852)/(1+AL852/100)^B24:B31)+C32*AM852*AP852/(1+AL852/100)^$B$6</f>
        <v/>
      </c>
      <c r="AS852">
        <f>SUMPRODUCT((K24:K26&lt;=$B$6)*(L24:L26*AN852+M24:M26*AO852*$B$8*AQ852)/(1+AL852/100)^K24:K26)+L27*AN852*AP852/(1+AL852/100)^$B$6</f>
        <v/>
      </c>
      <c r="AT852">
        <f>AS852-AR852</f>
        <v/>
      </c>
      <c r="AU852">
        <f>RAND()</f>
        <v/>
      </c>
      <c r="AV852">
        <f>RAND()</f>
        <v/>
      </c>
      <c r="AW852">
        <f>RAND()</f>
        <v/>
      </c>
      <c r="AX852">
        <f>RAND()</f>
        <v/>
      </c>
      <c r="AY852">
        <f>RAND()</f>
        <v/>
      </c>
      <c r="AZ852">
        <f>RAND()</f>
        <v/>
      </c>
    </row>
    <row r="853">
      <c r="AK853" t="n">
        <v>840</v>
      </c>
      <c r="AL853">
        <f>IFERROR(IF(AU853&lt;($AM$6-$AL$6)/($AN$6-$AL$6),$AL$6+SQRT(AU853*($AN$6-$AL$6)*($AM$6-$AL$6)),$AN$6-SQRT((1-AU853)*($AN$6-$AL$6)*($AN$6-$AM$6))),$AM$6)</f>
        <v/>
      </c>
      <c r="AM853">
        <f>IFERROR(IF(AV853&lt;($AM$7-$AL$7)/($AN$7-$AL$7),$AL$7+SQRT(AV853*($AN$7-$AL$7)*($AM$7-$AL$7)),$AN$7-SQRT((1-AV853)*($AN$7-$AL$7)*($AN$7-$AM$7))),$AM$7)</f>
        <v/>
      </c>
      <c r="AN853">
        <f>IFERROR(IF(AW853&lt;($AM$8-$AL$8)/($AN$8-$AL$8),$AL$8+SQRT(AW853*($AN$8-$AL$8)*($AM$8-$AL$8)),$AN$8-SQRT((1-AW853)*($AN$8-$AL$8)*($AN$8-$AM$8))),$AM$8)</f>
        <v/>
      </c>
      <c r="AO853">
        <f>IFERROR(IF(AX853&lt;($AM$9-$AL$9)/($AN$9-$AL$9),$AL$9+SQRT(AX853*($AN$9-$AL$9)*($AM$9-$AL$9)),$AN$9-SQRT((1-AX853)*($AN$9-$AL$9)*($AN$9-$AM$9))),$AM$9)</f>
        <v/>
      </c>
      <c r="AP853">
        <f>IFERROR(IF(AY853&lt;($AM$10-$AL$10)/($AN$10-$AL$10),$AL$10+SQRT(AY853*($AN$10-$AL$10)*($AM$10-$AL$10)),$AN$10-SQRT((1-AY853)*($AN$10-$AL$10)*($AN$10-$AM$10))),$AM$10)</f>
        <v/>
      </c>
      <c r="AQ853">
        <f>IFERROR(IF(AZ853&lt;($AM$11-$AL$11)/($AN$11-$AL$11),$AL$11+SQRT(AZ853*($AN$11-$AL$11)*($AM$11-$AL$11)),$AN$11-SQRT((1-AZ853)*($AN$11-$AL$11)*($AN$11-$AM$11))),$AM$11)</f>
        <v/>
      </c>
      <c r="AR853">
        <f>SUMPRODUCT((B24:B31&lt;=$B$6)*(C24:C31*AM853+D24:D31*AO853*$B$8*AQ853)/(1+AL853/100)^B24:B31)+C32*AM853*AP853/(1+AL853/100)^$B$6</f>
        <v/>
      </c>
      <c r="AS853">
        <f>SUMPRODUCT((K24:K26&lt;=$B$6)*(L24:L26*AN853+M24:M26*AO853*$B$8*AQ853)/(1+AL853/100)^K24:K26)+L27*AN853*AP853/(1+AL853/100)^$B$6</f>
        <v/>
      </c>
      <c r="AT853">
        <f>AS853-AR853</f>
        <v/>
      </c>
      <c r="AU853">
        <f>RAND()</f>
        <v/>
      </c>
      <c r="AV853">
        <f>RAND()</f>
        <v/>
      </c>
      <c r="AW853">
        <f>RAND()</f>
        <v/>
      </c>
      <c r="AX853">
        <f>RAND()</f>
        <v/>
      </c>
      <c r="AY853">
        <f>RAND()</f>
        <v/>
      </c>
      <c r="AZ853">
        <f>RAND()</f>
        <v/>
      </c>
    </row>
    <row r="854">
      <c r="AK854" t="n">
        <v>841</v>
      </c>
      <c r="AL854">
        <f>IFERROR(IF(AU854&lt;($AM$6-$AL$6)/($AN$6-$AL$6),$AL$6+SQRT(AU854*($AN$6-$AL$6)*($AM$6-$AL$6)),$AN$6-SQRT((1-AU854)*($AN$6-$AL$6)*($AN$6-$AM$6))),$AM$6)</f>
        <v/>
      </c>
      <c r="AM854">
        <f>IFERROR(IF(AV854&lt;($AM$7-$AL$7)/($AN$7-$AL$7),$AL$7+SQRT(AV854*($AN$7-$AL$7)*($AM$7-$AL$7)),$AN$7-SQRT((1-AV854)*($AN$7-$AL$7)*($AN$7-$AM$7))),$AM$7)</f>
        <v/>
      </c>
      <c r="AN854">
        <f>IFERROR(IF(AW854&lt;($AM$8-$AL$8)/($AN$8-$AL$8),$AL$8+SQRT(AW854*($AN$8-$AL$8)*($AM$8-$AL$8)),$AN$8-SQRT((1-AW854)*($AN$8-$AL$8)*($AN$8-$AM$8))),$AM$8)</f>
        <v/>
      </c>
      <c r="AO854">
        <f>IFERROR(IF(AX854&lt;($AM$9-$AL$9)/($AN$9-$AL$9),$AL$9+SQRT(AX854*($AN$9-$AL$9)*($AM$9-$AL$9)),$AN$9-SQRT((1-AX854)*($AN$9-$AL$9)*($AN$9-$AM$9))),$AM$9)</f>
        <v/>
      </c>
      <c r="AP854">
        <f>IFERROR(IF(AY854&lt;($AM$10-$AL$10)/($AN$10-$AL$10),$AL$10+SQRT(AY854*($AN$10-$AL$10)*($AM$10-$AL$10)),$AN$10-SQRT((1-AY854)*($AN$10-$AL$10)*($AN$10-$AM$10))),$AM$10)</f>
        <v/>
      </c>
      <c r="AQ854">
        <f>IFERROR(IF(AZ854&lt;($AM$11-$AL$11)/($AN$11-$AL$11),$AL$11+SQRT(AZ854*($AN$11-$AL$11)*($AM$11-$AL$11)),$AN$11-SQRT((1-AZ854)*($AN$11-$AL$11)*($AN$11-$AM$11))),$AM$11)</f>
        <v/>
      </c>
      <c r="AR854">
        <f>SUMPRODUCT((B24:B31&lt;=$B$6)*(C24:C31*AM854+D24:D31*AO854*$B$8*AQ854)/(1+AL854/100)^B24:B31)+C32*AM854*AP854/(1+AL854/100)^$B$6</f>
        <v/>
      </c>
      <c r="AS854">
        <f>SUMPRODUCT((K24:K26&lt;=$B$6)*(L24:L26*AN854+M24:M26*AO854*$B$8*AQ854)/(1+AL854/100)^K24:K26)+L27*AN854*AP854/(1+AL854/100)^$B$6</f>
        <v/>
      </c>
      <c r="AT854">
        <f>AS854-AR854</f>
        <v/>
      </c>
      <c r="AU854">
        <f>RAND()</f>
        <v/>
      </c>
      <c r="AV854">
        <f>RAND()</f>
        <v/>
      </c>
      <c r="AW854">
        <f>RAND()</f>
        <v/>
      </c>
      <c r="AX854">
        <f>RAND()</f>
        <v/>
      </c>
      <c r="AY854">
        <f>RAND()</f>
        <v/>
      </c>
      <c r="AZ854">
        <f>RAND()</f>
        <v/>
      </c>
    </row>
    <row r="855">
      <c r="AK855" t="n">
        <v>842</v>
      </c>
      <c r="AL855">
        <f>IFERROR(IF(AU855&lt;($AM$6-$AL$6)/($AN$6-$AL$6),$AL$6+SQRT(AU855*($AN$6-$AL$6)*($AM$6-$AL$6)),$AN$6-SQRT((1-AU855)*($AN$6-$AL$6)*($AN$6-$AM$6))),$AM$6)</f>
        <v/>
      </c>
      <c r="AM855">
        <f>IFERROR(IF(AV855&lt;($AM$7-$AL$7)/($AN$7-$AL$7),$AL$7+SQRT(AV855*($AN$7-$AL$7)*($AM$7-$AL$7)),$AN$7-SQRT((1-AV855)*($AN$7-$AL$7)*($AN$7-$AM$7))),$AM$7)</f>
        <v/>
      </c>
      <c r="AN855">
        <f>IFERROR(IF(AW855&lt;($AM$8-$AL$8)/($AN$8-$AL$8),$AL$8+SQRT(AW855*($AN$8-$AL$8)*($AM$8-$AL$8)),$AN$8-SQRT((1-AW855)*($AN$8-$AL$8)*($AN$8-$AM$8))),$AM$8)</f>
        <v/>
      </c>
      <c r="AO855">
        <f>IFERROR(IF(AX855&lt;($AM$9-$AL$9)/($AN$9-$AL$9),$AL$9+SQRT(AX855*($AN$9-$AL$9)*($AM$9-$AL$9)),$AN$9-SQRT((1-AX855)*($AN$9-$AL$9)*($AN$9-$AM$9))),$AM$9)</f>
        <v/>
      </c>
      <c r="AP855">
        <f>IFERROR(IF(AY855&lt;($AM$10-$AL$10)/($AN$10-$AL$10),$AL$10+SQRT(AY855*($AN$10-$AL$10)*($AM$10-$AL$10)),$AN$10-SQRT((1-AY855)*($AN$10-$AL$10)*($AN$10-$AM$10))),$AM$10)</f>
        <v/>
      </c>
      <c r="AQ855">
        <f>IFERROR(IF(AZ855&lt;($AM$11-$AL$11)/($AN$11-$AL$11),$AL$11+SQRT(AZ855*($AN$11-$AL$11)*($AM$11-$AL$11)),$AN$11-SQRT((1-AZ855)*($AN$11-$AL$11)*($AN$11-$AM$11))),$AM$11)</f>
        <v/>
      </c>
      <c r="AR855">
        <f>SUMPRODUCT((B24:B31&lt;=$B$6)*(C24:C31*AM855+D24:D31*AO855*$B$8*AQ855)/(1+AL855/100)^B24:B31)+C32*AM855*AP855/(1+AL855/100)^$B$6</f>
        <v/>
      </c>
      <c r="AS855">
        <f>SUMPRODUCT((K24:K26&lt;=$B$6)*(L24:L26*AN855+M24:M26*AO855*$B$8*AQ855)/(1+AL855/100)^K24:K26)+L27*AN855*AP855/(1+AL855/100)^$B$6</f>
        <v/>
      </c>
      <c r="AT855">
        <f>AS855-AR855</f>
        <v/>
      </c>
      <c r="AU855">
        <f>RAND()</f>
        <v/>
      </c>
      <c r="AV855">
        <f>RAND()</f>
        <v/>
      </c>
      <c r="AW855">
        <f>RAND()</f>
        <v/>
      </c>
      <c r="AX855">
        <f>RAND()</f>
        <v/>
      </c>
      <c r="AY855">
        <f>RAND()</f>
        <v/>
      </c>
      <c r="AZ855">
        <f>RAND()</f>
        <v/>
      </c>
    </row>
    <row r="856">
      <c r="AK856" t="n">
        <v>843</v>
      </c>
      <c r="AL856">
        <f>IFERROR(IF(AU856&lt;($AM$6-$AL$6)/($AN$6-$AL$6),$AL$6+SQRT(AU856*($AN$6-$AL$6)*($AM$6-$AL$6)),$AN$6-SQRT((1-AU856)*($AN$6-$AL$6)*($AN$6-$AM$6))),$AM$6)</f>
        <v/>
      </c>
      <c r="AM856">
        <f>IFERROR(IF(AV856&lt;($AM$7-$AL$7)/($AN$7-$AL$7),$AL$7+SQRT(AV856*($AN$7-$AL$7)*($AM$7-$AL$7)),$AN$7-SQRT((1-AV856)*($AN$7-$AL$7)*($AN$7-$AM$7))),$AM$7)</f>
        <v/>
      </c>
      <c r="AN856">
        <f>IFERROR(IF(AW856&lt;($AM$8-$AL$8)/($AN$8-$AL$8),$AL$8+SQRT(AW856*($AN$8-$AL$8)*($AM$8-$AL$8)),$AN$8-SQRT((1-AW856)*($AN$8-$AL$8)*($AN$8-$AM$8))),$AM$8)</f>
        <v/>
      </c>
      <c r="AO856">
        <f>IFERROR(IF(AX856&lt;($AM$9-$AL$9)/($AN$9-$AL$9),$AL$9+SQRT(AX856*($AN$9-$AL$9)*($AM$9-$AL$9)),$AN$9-SQRT((1-AX856)*($AN$9-$AL$9)*($AN$9-$AM$9))),$AM$9)</f>
        <v/>
      </c>
      <c r="AP856">
        <f>IFERROR(IF(AY856&lt;($AM$10-$AL$10)/($AN$10-$AL$10),$AL$10+SQRT(AY856*($AN$10-$AL$10)*($AM$10-$AL$10)),$AN$10-SQRT((1-AY856)*($AN$10-$AL$10)*($AN$10-$AM$10))),$AM$10)</f>
        <v/>
      </c>
      <c r="AQ856">
        <f>IFERROR(IF(AZ856&lt;($AM$11-$AL$11)/($AN$11-$AL$11),$AL$11+SQRT(AZ856*($AN$11-$AL$11)*($AM$11-$AL$11)),$AN$11-SQRT((1-AZ856)*($AN$11-$AL$11)*($AN$11-$AM$11))),$AM$11)</f>
        <v/>
      </c>
      <c r="AR856">
        <f>SUMPRODUCT((B24:B31&lt;=$B$6)*(C24:C31*AM856+D24:D31*AO856*$B$8*AQ856)/(1+AL856/100)^B24:B31)+C32*AM856*AP856/(1+AL856/100)^$B$6</f>
        <v/>
      </c>
      <c r="AS856">
        <f>SUMPRODUCT((K24:K26&lt;=$B$6)*(L24:L26*AN856+M24:M26*AO856*$B$8*AQ856)/(1+AL856/100)^K24:K26)+L27*AN856*AP856/(1+AL856/100)^$B$6</f>
        <v/>
      </c>
      <c r="AT856">
        <f>AS856-AR856</f>
        <v/>
      </c>
      <c r="AU856">
        <f>RAND()</f>
        <v/>
      </c>
      <c r="AV856">
        <f>RAND()</f>
        <v/>
      </c>
      <c r="AW856">
        <f>RAND()</f>
        <v/>
      </c>
      <c r="AX856">
        <f>RAND()</f>
        <v/>
      </c>
      <c r="AY856">
        <f>RAND()</f>
        <v/>
      </c>
      <c r="AZ856">
        <f>RAND()</f>
        <v/>
      </c>
    </row>
    <row r="857">
      <c r="AK857" t="n">
        <v>844</v>
      </c>
      <c r="AL857">
        <f>IFERROR(IF(AU857&lt;($AM$6-$AL$6)/($AN$6-$AL$6),$AL$6+SQRT(AU857*($AN$6-$AL$6)*($AM$6-$AL$6)),$AN$6-SQRT((1-AU857)*($AN$6-$AL$6)*($AN$6-$AM$6))),$AM$6)</f>
        <v/>
      </c>
      <c r="AM857">
        <f>IFERROR(IF(AV857&lt;($AM$7-$AL$7)/($AN$7-$AL$7),$AL$7+SQRT(AV857*($AN$7-$AL$7)*($AM$7-$AL$7)),$AN$7-SQRT((1-AV857)*($AN$7-$AL$7)*($AN$7-$AM$7))),$AM$7)</f>
        <v/>
      </c>
      <c r="AN857">
        <f>IFERROR(IF(AW857&lt;($AM$8-$AL$8)/($AN$8-$AL$8),$AL$8+SQRT(AW857*($AN$8-$AL$8)*($AM$8-$AL$8)),$AN$8-SQRT((1-AW857)*($AN$8-$AL$8)*($AN$8-$AM$8))),$AM$8)</f>
        <v/>
      </c>
      <c r="AO857">
        <f>IFERROR(IF(AX857&lt;($AM$9-$AL$9)/($AN$9-$AL$9),$AL$9+SQRT(AX857*($AN$9-$AL$9)*($AM$9-$AL$9)),$AN$9-SQRT((1-AX857)*($AN$9-$AL$9)*($AN$9-$AM$9))),$AM$9)</f>
        <v/>
      </c>
      <c r="AP857">
        <f>IFERROR(IF(AY857&lt;($AM$10-$AL$10)/($AN$10-$AL$10),$AL$10+SQRT(AY857*($AN$10-$AL$10)*($AM$10-$AL$10)),$AN$10-SQRT((1-AY857)*($AN$10-$AL$10)*($AN$10-$AM$10))),$AM$10)</f>
        <v/>
      </c>
      <c r="AQ857">
        <f>IFERROR(IF(AZ857&lt;($AM$11-$AL$11)/($AN$11-$AL$11),$AL$11+SQRT(AZ857*($AN$11-$AL$11)*($AM$11-$AL$11)),$AN$11-SQRT((1-AZ857)*($AN$11-$AL$11)*($AN$11-$AM$11))),$AM$11)</f>
        <v/>
      </c>
      <c r="AR857">
        <f>SUMPRODUCT((B24:B31&lt;=$B$6)*(C24:C31*AM857+D24:D31*AO857*$B$8*AQ857)/(1+AL857/100)^B24:B31)+C32*AM857*AP857/(1+AL857/100)^$B$6</f>
        <v/>
      </c>
      <c r="AS857">
        <f>SUMPRODUCT((K24:K26&lt;=$B$6)*(L24:L26*AN857+M24:M26*AO857*$B$8*AQ857)/(1+AL857/100)^K24:K26)+L27*AN857*AP857/(1+AL857/100)^$B$6</f>
        <v/>
      </c>
      <c r="AT857">
        <f>AS857-AR857</f>
        <v/>
      </c>
      <c r="AU857">
        <f>RAND()</f>
        <v/>
      </c>
      <c r="AV857">
        <f>RAND()</f>
        <v/>
      </c>
      <c r="AW857">
        <f>RAND()</f>
        <v/>
      </c>
      <c r="AX857">
        <f>RAND()</f>
        <v/>
      </c>
      <c r="AY857">
        <f>RAND()</f>
        <v/>
      </c>
      <c r="AZ857">
        <f>RAND()</f>
        <v/>
      </c>
    </row>
    <row r="858">
      <c r="AK858" t="n">
        <v>845</v>
      </c>
      <c r="AL858">
        <f>IFERROR(IF(AU858&lt;($AM$6-$AL$6)/($AN$6-$AL$6),$AL$6+SQRT(AU858*($AN$6-$AL$6)*($AM$6-$AL$6)),$AN$6-SQRT((1-AU858)*($AN$6-$AL$6)*($AN$6-$AM$6))),$AM$6)</f>
        <v/>
      </c>
      <c r="AM858">
        <f>IFERROR(IF(AV858&lt;($AM$7-$AL$7)/($AN$7-$AL$7),$AL$7+SQRT(AV858*($AN$7-$AL$7)*($AM$7-$AL$7)),$AN$7-SQRT((1-AV858)*($AN$7-$AL$7)*($AN$7-$AM$7))),$AM$7)</f>
        <v/>
      </c>
      <c r="AN858">
        <f>IFERROR(IF(AW858&lt;($AM$8-$AL$8)/($AN$8-$AL$8),$AL$8+SQRT(AW858*($AN$8-$AL$8)*($AM$8-$AL$8)),$AN$8-SQRT((1-AW858)*($AN$8-$AL$8)*($AN$8-$AM$8))),$AM$8)</f>
        <v/>
      </c>
      <c r="AO858">
        <f>IFERROR(IF(AX858&lt;($AM$9-$AL$9)/($AN$9-$AL$9),$AL$9+SQRT(AX858*($AN$9-$AL$9)*($AM$9-$AL$9)),$AN$9-SQRT((1-AX858)*($AN$9-$AL$9)*($AN$9-$AM$9))),$AM$9)</f>
        <v/>
      </c>
      <c r="AP858">
        <f>IFERROR(IF(AY858&lt;($AM$10-$AL$10)/($AN$10-$AL$10),$AL$10+SQRT(AY858*($AN$10-$AL$10)*($AM$10-$AL$10)),$AN$10-SQRT((1-AY858)*($AN$10-$AL$10)*($AN$10-$AM$10))),$AM$10)</f>
        <v/>
      </c>
      <c r="AQ858">
        <f>IFERROR(IF(AZ858&lt;($AM$11-$AL$11)/($AN$11-$AL$11),$AL$11+SQRT(AZ858*($AN$11-$AL$11)*($AM$11-$AL$11)),$AN$11-SQRT((1-AZ858)*($AN$11-$AL$11)*($AN$11-$AM$11))),$AM$11)</f>
        <v/>
      </c>
      <c r="AR858">
        <f>SUMPRODUCT((B24:B31&lt;=$B$6)*(C24:C31*AM858+D24:D31*AO858*$B$8*AQ858)/(1+AL858/100)^B24:B31)+C32*AM858*AP858/(1+AL858/100)^$B$6</f>
        <v/>
      </c>
      <c r="AS858">
        <f>SUMPRODUCT((K24:K26&lt;=$B$6)*(L24:L26*AN858+M24:M26*AO858*$B$8*AQ858)/(1+AL858/100)^K24:K26)+L27*AN858*AP858/(1+AL858/100)^$B$6</f>
        <v/>
      </c>
      <c r="AT858">
        <f>AS858-AR858</f>
        <v/>
      </c>
      <c r="AU858">
        <f>RAND()</f>
        <v/>
      </c>
      <c r="AV858">
        <f>RAND()</f>
        <v/>
      </c>
      <c r="AW858">
        <f>RAND()</f>
        <v/>
      </c>
      <c r="AX858">
        <f>RAND()</f>
        <v/>
      </c>
      <c r="AY858">
        <f>RAND()</f>
        <v/>
      </c>
      <c r="AZ858">
        <f>RAND()</f>
        <v/>
      </c>
    </row>
    <row r="859">
      <c r="AK859" t="n">
        <v>846</v>
      </c>
      <c r="AL859">
        <f>IFERROR(IF(AU859&lt;($AM$6-$AL$6)/($AN$6-$AL$6),$AL$6+SQRT(AU859*($AN$6-$AL$6)*($AM$6-$AL$6)),$AN$6-SQRT((1-AU859)*($AN$6-$AL$6)*($AN$6-$AM$6))),$AM$6)</f>
        <v/>
      </c>
      <c r="AM859">
        <f>IFERROR(IF(AV859&lt;($AM$7-$AL$7)/($AN$7-$AL$7),$AL$7+SQRT(AV859*($AN$7-$AL$7)*($AM$7-$AL$7)),$AN$7-SQRT((1-AV859)*($AN$7-$AL$7)*($AN$7-$AM$7))),$AM$7)</f>
        <v/>
      </c>
      <c r="AN859">
        <f>IFERROR(IF(AW859&lt;($AM$8-$AL$8)/($AN$8-$AL$8),$AL$8+SQRT(AW859*($AN$8-$AL$8)*($AM$8-$AL$8)),$AN$8-SQRT((1-AW859)*($AN$8-$AL$8)*($AN$8-$AM$8))),$AM$8)</f>
        <v/>
      </c>
      <c r="AO859">
        <f>IFERROR(IF(AX859&lt;($AM$9-$AL$9)/($AN$9-$AL$9),$AL$9+SQRT(AX859*($AN$9-$AL$9)*($AM$9-$AL$9)),$AN$9-SQRT((1-AX859)*($AN$9-$AL$9)*($AN$9-$AM$9))),$AM$9)</f>
        <v/>
      </c>
      <c r="AP859">
        <f>IFERROR(IF(AY859&lt;($AM$10-$AL$10)/($AN$10-$AL$10),$AL$10+SQRT(AY859*($AN$10-$AL$10)*($AM$10-$AL$10)),$AN$10-SQRT((1-AY859)*($AN$10-$AL$10)*($AN$10-$AM$10))),$AM$10)</f>
        <v/>
      </c>
      <c r="AQ859">
        <f>IFERROR(IF(AZ859&lt;($AM$11-$AL$11)/($AN$11-$AL$11),$AL$11+SQRT(AZ859*($AN$11-$AL$11)*($AM$11-$AL$11)),$AN$11-SQRT((1-AZ859)*($AN$11-$AL$11)*($AN$11-$AM$11))),$AM$11)</f>
        <v/>
      </c>
      <c r="AR859">
        <f>SUMPRODUCT((B24:B31&lt;=$B$6)*(C24:C31*AM859+D24:D31*AO859*$B$8*AQ859)/(1+AL859/100)^B24:B31)+C32*AM859*AP859/(1+AL859/100)^$B$6</f>
        <v/>
      </c>
      <c r="AS859">
        <f>SUMPRODUCT((K24:K26&lt;=$B$6)*(L24:L26*AN859+M24:M26*AO859*$B$8*AQ859)/(1+AL859/100)^K24:K26)+L27*AN859*AP859/(1+AL859/100)^$B$6</f>
        <v/>
      </c>
      <c r="AT859">
        <f>AS859-AR859</f>
        <v/>
      </c>
      <c r="AU859">
        <f>RAND()</f>
        <v/>
      </c>
      <c r="AV859">
        <f>RAND()</f>
        <v/>
      </c>
      <c r="AW859">
        <f>RAND()</f>
        <v/>
      </c>
      <c r="AX859">
        <f>RAND()</f>
        <v/>
      </c>
      <c r="AY859">
        <f>RAND()</f>
        <v/>
      </c>
      <c r="AZ859">
        <f>RAND()</f>
        <v/>
      </c>
    </row>
    <row r="860">
      <c r="AK860" t="n">
        <v>847</v>
      </c>
      <c r="AL860">
        <f>IFERROR(IF(AU860&lt;($AM$6-$AL$6)/($AN$6-$AL$6),$AL$6+SQRT(AU860*($AN$6-$AL$6)*($AM$6-$AL$6)),$AN$6-SQRT((1-AU860)*($AN$6-$AL$6)*($AN$6-$AM$6))),$AM$6)</f>
        <v/>
      </c>
      <c r="AM860">
        <f>IFERROR(IF(AV860&lt;($AM$7-$AL$7)/($AN$7-$AL$7),$AL$7+SQRT(AV860*($AN$7-$AL$7)*($AM$7-$AL$7)),$AN$7-SQRT((1-AV860)*($AN$7-$AL$7)*($AN$7-$AM$7))),$AM$7)</f>
        <v/>
      </c>
      <c r="AN860">
        <f>IFERROR(IF(AW860&lt;($AM$8-$AL$8)/($AN$8-$AL$8),$AL$8+SQRT(AW860*($AN$8-$AL$8)*($AM$8-$AL$8)),$AN$8-SQRT((1-AW860)*($AN$8-$AL$8)*($AN$8-$AM$8))),$AM$8)</f>
        <v/>
      </c>
      <c r="AO860">
        <f>IFERROR(IF(AX860&lt;($AM$9-$AL$9)/($AN$9-$AL$9),$AL$9+SQRT(AX860*($AN$9-$AL$9)*($AM$9-$AL$9)),$AN$9-SQRT((1-AX860)*($AN$9-$AL$9)*($AN$9-$AM$9))),$AM$9)</f>
        <v/>
      </c>
      <c r="AP860">
        <f>IFERROR(IF(AY860&lt;($AM$10-$AL$10)/($AN$10-$AL$10),$AL$10+SQRT(AY860*($AN$10-$AL$10)*($AM$10-$AL$10)),$AN$10-SQRT((1-AY860)*($AN$10-$AL$10)*($AN$10-$AM$10))),$AM$10)</f>
        <v/>
      </c>
      <c r="AQ860">
        <f>IFERROR(IF(AZ860&lt;($AM$11-$AL$11)/($AN$11-$AL$11),$AL$11+SQRT(AZ860*($AN$11-$AL$11)*($AM$11-$AL$11)),$AN$11-SQRT((1-AZ860)*($AN$11-$AL$11)*($AN$11-$AM$11))),$AM$11)</f>
        <v/>
      </c>
      <c r="AR860">
        <f>SUMPRODUCT((B24:B31&lt;=$B$6)*(C24:C31*AM860+D24:D31*AO860*$B$8*AQ860)/(1+AL860/100)^B24:B31)+C32*AM860*AP860/(1+AL860/100)^$B$6</f>
        <v/>
      </c>
      <c r="AS860">
        <f>SUMPRODUCT((K24:K26&lt;=$B$6)*(L24:L26*AN860+M24:M26*AO860*$B$8*AQ860)/(1+AL860/100)^K24:K26)+L27*AN860*AP860/(1+AL860/100)^$B$6</f>
        <v/>
      </c>
      <c r="AT860">
        <f>AS860-AR860</f>
        <v/>
      </c>
      <c r="AU860">
        <f>RAND()</f>
        <v/>
      </c>
      <c r="AV860">
        <f>RAND()</f>
        <v/>
      </c>
      <c r="AW860">
        <f>RAND()</f>
        <v/>
      </c>
      <c r="AX860">
        <f>RAND()</f>
        <v/>
      </c>
      <c r="AY860">
        <f>RAND()</f>
        <v/>
      </c>
      <c r="AZ860">
        <f>RAND()</f>
        <v/>
      </c>
    </row>
    <row r="861">
      <c r="AK861" t="n">
        <v>848</v>
      </c>
      <c r="AL861">
        <f>IFERROR(IF(AU861&lt;($AM$6-$AL$6)/($AN$6-$AL$6),$AL$6+SQRT(AU861*($AN$6-$AL$6)*($AM$6-$AL$6)),$AN$6-SQRT((1-AU861)*($AN$6-$AL$6)*($AN$6-$AM$6))),$AM$6)</f>
        <v/>
      </c>
      <c r="AM861">
        <f>IFERROR(IF(AV861&lt;($AM$7-$AL$7)/($AN$7-$AL$7),$AL$7+SQRT(AV861*($AN$7-$AL$7)*($AM$7-$AL$7)),$AN$7-SQRT((1-AV861)*($AN$7-$AL$7)*($AN$7-$AM$7))),$AM$7)</f>
        <v/>
      </c>
      <c r="AN861">
        <f>IFERROR(IF(AW861&lt;($AM$8-$AL$8)/($AN$8-$AL$8),$AL$8+SQRT(AW861*($AN$8-$AL$8)*($AM$8-$AL$8)),$AN$8-SQRT((1-AW861)*($AN$8-$AL$8)*($AN$8-$AM$8))),$AM$8)</f>
        <v/>
      </c>
      <c r="AO861">
        <f>IFERROR(IF(AX861&lt;($AM$9-$AL$9)/($AN$9-$AL$9),$AL$9+SQRT(AX861*($AN$9-$AL$9)*($AM$9-$AL$9)),$AN$9-SQRT((1-AX861)*($AN$9-$AL$9)*($AN$9-$AM$9))),$AM$9)</f>
        <v/>
      </c>
      <c r="AP861">
        <f>IFERROR(IF(AY861&lt;($AM$10-$AL$10)/($AN$10-$AL$10),$AL$10+SQRT(AY861*($AN$10-$AL$10)*($AM$10-$AL$10)),$AN$10-SQRT((1-AY861)*($AN$10-$AL$10)*($AN$10-$AM$10))),$AM$10)</f>
        <v/>
      </c>
      <c r="AQ861">
        <f>IFERROR(IF(AZ861&lt;($AM$11-$AL$11)/($AN$11-$AL$11),$AL$11+SQRT(AZ861*($AN$11-$AL$11)*($AM$11-$AL$11)),$AN$11-SQRT((1-AZ861)*($AN$11-$AL$11)*($AN$11-$AM$11))),$AM$11)</f>
        <v/>
      </c>
      <c r="AR861">
        <f>SUMPRODUCT((B24:B31&lt;=$B$6)*(C24:C31*AM861+D24:D31*AO861*$B$8*AQ861)/(1+AL861/100)^B24:B31)+C32*AM861*AP861/(1+AL861/100)^$B$6</f>
        <v/>
      </c>
      <c r="AS861">
        <f>SUMPRODUCT((K24:K26&lt;=$B$6)*(L24:L26*AN861+M24:M26*AO861*$B$8*AQ861)/(1+AL861/100)^K24:K26)+L27*AN861*AP861/(1+AL861/100)^$B$6</f>
        <v/>
      </c>
      <c r="AT861">
        <f>AS861-AR861</f>
        <v/>
      </c>
      <c r="AU861">
        <f>RAND()</f>
        <v/>
      </c>
      <c r="AV861">
        <f>RAND()</f>
        <v/>
      </c>
      <c r="AW861">
        <f>RAND()</f>
        <v/>
      </c>
      <c r="AX861">
        <f>RAND()</f>
        <v/>
      </c>
      <c r="AY861">
        <f>RAND()</f>
        <v/>
      </c>
      <c r="AZ861">
        <f>RAND()</f>
        <v/>
      </c>
    </row>
    <row r="862">
      <c r="AK862" t="n">
        <v>849</v>
      </c>
      <c r="AL862">
        <f>IFERROR(IF(AU862&lt;($AM$6-$AL$6)/($AN$6-$AL$6),$AL$6+SQRT(AU862*($AN$6-$AL$6)*($AM$6-$AL$6)),$AN$6-SQRT((1-AU862)*($AN$6-$AL$6)*($AN$6-$AM$6))),$AM$6)</f>
        <v/>
      </c>
      <c r="AM862">
        <f>IFERROR(IF(AV862&lt;($AM$7-$AL$7)/($AN$7-$AL$7),$AL$7+SQRT(AV862*($AN$7-$AL$7)*($AM$7-$AL$7)),$AN$7-SQRT((1-AV862)*($AN$7-$AL$7)*($AN$7-$AM$7))),$AM$7)</f>
        <v/>
      </c>
      <c r="AN862">
        <f>IFERROR(IF(AW862&lt;($AM$8-$AL$8)/($AN$8-$AL$8),$AL$8+SQRT(AW862*($AN$8-$AL$8)*($AM$8-$AL$8)),$AN$8-SQRT((1-AW862)*($AN$8-$AL$8)*($AN$8-$AM$8))),$AM$8)</f>
        <v/>
      </c>
      <c r="AO862">
        <f>IFERROR(IF(AX862&lt;($AM$9-$AL$9)/($AN$9-$AL$9),$AL$9+SQRT(AX862*($AN$9-$AL$9)*($AM$9-$AL$9)),$AN$9-SQRT((1-AX862)*($AN$9-$AL$9)*($AN$9-$AM$9))),$AM$9)</f>
        <v/>
      </c>
      <c r="AP862">
        <f>IFERROR(IF(AY862&lt;($AM$10-$AL$10)/($AN$10-$AL$10),$AL$10+SQRT(AY862*($AN$10-$AL$10)*($AM$10-$AL$10)),$AN$10-SQRT((1-AY862)*($AN$10-$AL$10)*($AN$10-$AM$10))),$AM$10)</f>
        <v/>
      </c>
      <c r="AQ862">
        <f>IFERROR(IF(AZ862&lt;($AM$11-$AL$11)/($AN$11-$AL$11),$AL$11+SQRT(AZ862*($AN$11-$AL$11)*($AM$11-$AL$11)),$AN$11-SQRT((1-AZ862)*($AN$11-$AL$11)*($AN$11-$AM$11))),$AM$11)</f>
        <v/>
      </c>
      <c r="AR862">
        <f>SUMPRODUCT((B24:B31&lt;=$B$6)*(C24:C31*AM862+D24:D31*AO862*$B$8*AQ862)/(1+AL862/100)^B24:B31)+C32*AM862*AP862/(1+AL862/100)^$B$6</f>
        <v/>
      </c>
      <c r="AS862">
        <f>SUMPRODUCT((K24:K26&lt;=$B$6)*(L24:L26*AN862+M24:M26*AO862*$B$8*AQ862)/(1+AL862/100)^K24:K26)+L27*AN862*AP862/(1+AL862/100)^$B$6</f>
        <v/>
      </c>
      <c r="AT862">
        <f>AS862-AR862</f>
        <v/>
      </c>
      <c r="AU862">
        <f>RAND()</f>
        <v/>
      </c>
      <c r="AV862">
        <f>RAND()</f>
        <v/>
      </c>
      <c r="AW862">
        <f>RAND()</f>
        <v/>
      </c>
      <c r="AX862">
        <f>RAND()</f>
        <v/>
      </c>
      <c r="AY862">
        <f>RAND()</f>
        <v/>
      </c>
      <c r="AZ862">
        <f>RAND()</f>
        <v/>
      </c>
    </row>
    <row r="863">
      <c r="AK863" t="n">
        <v>850</v>
      </c>
      <c r="AL863">
        <f>IFERROR(IF(AU863&lt;($AM$6-$AL$6)/($AN$6-$AL$6),$AL$6+SQRT(AU863*($AN$6-$AL$6)*($AM$6-$AL$6)),$AN$6-SQRT((1-AU863)*($AN$6-$AL$6)*($AN$6-$AM$6))),$AM$6)</f>
        <v/>
      </c>
      <c r="AM863">
        <f>IFERROR(IF(AV863&lt;($AM$7-$AL$7)/($AN$7-$AL$7),$AL$7+SQRT(AV863*($AN$7-$AL$7)*($AM$7-$AL$7)),$AN$7-SQRT((1-AV863)*($AN$7-$AL$7)*($AN$7-$AM$7))),$AM$7)</f>
        <v/>
      </c>
      <c r="AN863">
        <f>IFERROR(IF(AW863&lt;($AM$8-$AL$8)/($AN$8-$AL$8),$AL$8+SQRT(AW863*($AN$8-$AL$8)*($AM$8-$AL$8)),$AN$8-SQRT((1-AW863)*($AN$8-$AL$8)*($AN$8-$AM$8))),$AM$8)</f>
        <v/>
      </c>
      <c r="AO863">
        <f>IFERROR(IF(AX863&lt;($AM$9-$AL$9)/($AN$9-$AL$9),$AL$9+SQRT(AX863*($AN$9-$AL$9)*($AM$9-$AL$9)),$AN$9-SQRT((1-AX863)*($AN$9-$AL$9)*($AN$9-$AM$9))),$AM$9)</f>
        <v/>
      </c>
      <c r="AP863">
        <f>IFERROR(IF(AY863&lt;($AM$10-$AL$10)/($AN$10-$AL$10),$AL$10+SQRT(AY863*($AN$10-$AL$10)*($AM$10-$AL$10)),$AN$10-SQRT((1-AY863)*($AN$10-$AL$10)*($AN$10-$AM$10))),$AM$10)</f>
        <v/>
      </c>
      <c r="AQ863">
        <f>IFERROR(IF(AZ863&lt;($AM$11-$AL$11)/($AN$11-$AL$11),$AL$11+SQRT(AZ863*($AN$11-$AL$11)*($AM$11-$AL$11)),$AN$11-SQRT((1-AZ863)*($AN$11-$AL$11)*($AN$11-$AM$11))),$AM$11)</f>
        <v/>
      </c>
      <c r="AR863">
        <f>SUMPRODUCT((B24:B31&lt;=$B$6)*(C24:C31*AM863+D24:D31*AO863*$B$8*AQ863)/(1+AL863/100)^B24:B31)+C32*AM863*AP863/(1+AL863/100)^$B$6</f>
        <v/>
      </c>
      <c r="AS863">
        <f>SUMPRODUCT((K24:K26&lt;=$B$6)*(L24:L26*AN863+M24:M26*AO863*$B$8*AQ863)/(1+AL863/100)^K24:K26)+L27*AN863*AP863/(1+AL863/100)^$B$6</f>
        <v/>
      </c>
      <c r="AT863">
        <f>AS863-AR863</f>
        <v/>
      </c>
      <c r="AU863">
        <f>RAND()</f>
        <v/>
      </c>
      <c r="AV863">
        <f>RAND()</f>
        <v/>
      </c>
      <c r="AW863">
        <f>RAND()</f>
        <v/>
      </c>
      <c r="AX863">
        <f>RAND()</f>
        <v/>
      </c>
      <c r="AY863">
        <f>RAND()</f>
        <v/>
      </c>
      <c r="AZ863">
        <f>RAND()</f>
        <v/>
      </c>
    </row>
    <row r="864">
      <c r="AK864" t="n">
        <v>851</v>
      </c>
      <c r="AL864">
        <f>IFERROR(IF(AU864&lt;($AM$6-$AL$6)/($AN$6-$AL$6),$AL$6+SQRT(AU864*($AN$6-$AL$6)*($AM$6-$AL$6)),$AN$6-SQRT((1-AU864)*($AN$6-$AL$6)*($AN$6-$AM$6))),$AM$6)</f>
        <v/>
      </c>
      <c r="AM864">
        <f>IFERROR(IF(AV864&lt;($AM$7-$AL$7)/($AN$7-$AL$7),$AL$7+SQRT(AV864*($AN$7-$AL$7)*($AM$7-$AL$7)),$AN$7-SQRT((1-AV864)*($AN$7-$AL$7)*($AN$7-$AM$7))),$AM$7)</f>
        <v/>
      </c>
      <c r="AN864">
        <f>IFERROR(IF(AW864&lt;($AM$8-$AL$8)/($AN$8-$AL$8),$AL$8+SQRT(AW864*($AN$8-$AL$8)*($AM$8-$AL$8)),$AN$8-SQRT((1-AW864)*($AN$8-$AL$8)*($AN$8-$AM$8))),$AM$8)</f>
        <v/>
      </c>
      <c r="AO864">
        <f>IFERROR(IF(AX864&lt;($AM$9-$AL$9)/($AN$9-$AL$9),$AL$9+SQRT(AX864*($AN$9-$AL$9)*($AM$9-$AL$9)),$AN$9-SQRT((1-AX864)*($AN$9-$AL$9)*($AN$9-$AM$9))),$AM$9)</f>
        <v/>
      </c>
      <c r="AP864">
        <f>IFERROR(IF(AY864&lt;($AM$10-$AL$10)/($AN$10-$AL$10),$AL$10+SQRT(AY864*($AN$10-$AL$10)*($AM$10-$AL$10)),$AN$10-SQRT((1-AY864)*($AN$10-$AL$10)*($AN$10-$AM$10))),$AM$10)</f>
        <v/>
      </c>
      <c r="AQ864">
        <f>IFERROR(IF(AZ864&lt;($AM$11-$AL$11)/($AN$11-$AL$11),$AL$11+SQRT(AZ864*($AN$11-$AL$11)*($AM$11-$AL$11)),$AN$11-SQRT((1-AZ864)*($AN$11-$AL$11)*($AN$11-$AM$11))),$AM$11)</f>
        <v/>
      </c>
      <c r="AR864">
        <f>SUMPRODUCT((B24:B31&lt;=$B$6)*(C24:C31*AM864+D24:D31*AO864*$B$8*AQ864)/(1+AL864/100)^B24:B31)+C32*AM864*AP864/(1+AL864/100)^$B$6</f>
        <v/>
      </c>
      <c r="AS864">
        <f>SUMPRODUCT((K24:K26&lt;=$B$6)*(L24:L26*AN864+M24:M26*AO864*$B$8*AQ864)/(1+AL864/100)^K24:K26)+L27*AN864*AP864/(1+AL864/100)^$B$6</f>
        <v/>
      </c>
      <c r="AT864">
        <f>AS864-AR864</f>
        <v/>
      </c>
      <c r="AU864">
        <f>RAND()</f>
        <v/>
      </c>
      <c r="AV864">
        <f>RAND()</f>
        <v/>
      </c>
      <c r="AW864">
        <f>RAND()</f>
        <v/>
      </c>
      <c r="AX864">
        <f>RAND()</f>
        <v/>
      </c>
      <c r="AY864">
        <f>RAND()</f>
        <v/>
      </c>
      <c r="AZ864">
        <f>RAND()</f>
        <v/>
      </c>
    </row>
    <row r="865">
      <c r="AK865" t="n">
        <v>852</v>
      </c>
      <c r="AL865">
        <f>IFERROR(IF(AU865&lt;($AM$6-$AL$6)/($AN$6-$AL$6),$AL$6+SQRT(AU865*($AN$6-$AL$6)*($AM$6-$AL$6)),$AN$6-SQRT((1-AU865)*($AN$6-$AL$6)*($AN$6-$AM$6))),$AM$6)</f>
        <v/>
      </c>
      <c r="AM865">
        <f>IFERROR(IF(AV865&lt;($AM$7-$AL$7)/($AN$7-$AL$7),$AL$7+SQRT(AV865*($AN$7-$AL$7)*($AM$7-$AL$7)),$AN$7-SQRT((1-AV865)*($AN$7-$AL$7)*($AN$7-$AM$7))),$AM$7)</f>
        <v/>
      </c>
      <c r="AN865">
        <f>IFERROR(IF(AW865&lt;($AM$8-$AL$8)/($AN$8-$AL$8),$AL$8+SQRT(AW865*($AN$8-$AL$8)*($AM$8-$AL$8)),$AN$8-SQRT((1-AW865)*($AN$8-$AL$8)*($AN$8-$AM$8))),$AM$8)</f>
        <v/>
      </c>
      <c r="AO865">
        <f>IFERROR(IF(AX865&lt;($AM$9-$AL$9)/($AN$9-$AL$9),$AL$9+SQRT(AX865*($AN$9-$AL$9)*($AM$9-$AL$9)),$AN$9-SQRT((1-AX865)*($AN$9-$AL$9)*($AN$9-$AM$9))),$AM$9)</f>
        <v/>
      </c>
      <c r="AP865">
        <f>IFERROR(IF(AY865&lt;($AM$10-$AL$10)/($AN$10-$AL$10),$AL$10+SQRT(AY865*($AN$10-$AL$10)*($AM$10-$AL$10)),$AN$10-SQRT((1-AY865)*($AN$10-$AL$10)*($AN$10-$AM$10))),$AM$10)</f>
        <v/>
      </c>
      <c r="AQ865">
        <f>IFERROR(IF(AZ865&lt;($AM$11-$AL$11)/($AN$11-$AL$11),$AL$11+SQRT(AZ865*($AN$11-$AL$11)*($AM$11-$AL$11)),$AN$11-SQRT((1-AZ865)*($AN$11-$AL$11)*($AN$11-$AM$11))),$AM$11)</f>
        <v/>
      </c>
      <c r="AR865">
        <f>SUMPRODUCT((B24:B31&lt;=$B$6)*(C24:C31*AM865+D24:D31*AO865*$B$8*AQ865)/(1+AL865/100)^B24:B31)+C32*AM865*AP865/(1+AL865/100)^$B$6</f>
        <v/>
      </c>
      <c r="AS865">
        <f>SUMPRODUCT((K24:K26&lt;=$B$6)*(L24:L26*AN865+M24:M26*AO865*$B$8*AQ865)/(1+AL865/100)^K24:K26)+L27*AN865*AP865/(1+AL865/100)^$B$6</f>
        <v/>
      </c>
      <c r="AT865">
        <f>AS865-AR865</f>
        <v/>
      </c>
      <c r="AU865">
        <f>RAND()</f>
        <v/>
      </c>
      <c r="AV865">
        <f>RAND()</f>
        <v/>
      </c>
      <c r="AW865">
        <f>RAND()</f>
        <v/>
      </c>
      <c r="AX865">
        <f>RAND()</f>
        <v/>
      </c>
      <c r="AY865">
        <f>RAND()</f>
        <v/>
      </c>
      <c r="AZ865">
        <f>RAND()</f>
        <v/>
      </c>
    </row>
    <row r="866">
      <c r="AK866" t="n">
        <v>853</v>
      </c>
      <c r="AL866">
        <f>IFERROR(IF(AU866&lt;($AM$6-$AL$6)/($AN$6-$AL$6),$AL$6+SQRT(AU866*($AN$6-$AL$6)*($AM$6-$AL$6)),$AN$6-SQRT((1-AU866)*($AN$6-$AL$6)*($AN$6-$AM$6))),$AM$6)</f>
        <v/>
      </c>
      <c r="AM866">
        <f>IFERROR(IF(AV866&lt;($AM$7-$AL$7)/($AN$7-$AL$7),$AL$7+SQRT(AV866*($AN$7-$AL$7)*($AM$7-$AL$7)),$AN$7-SQRT((1-AV866)*($AN$7-$AL$7)*($AN$7-$AM$7))),$AM$7)</f>
        <v/>
      </c>
      <c r="AN866">
        <f>IFERROR(IF(AW866&lt;($AM$8-$AL$8)/($AN$8-$AL$8),$AL$8+SQRT(AW866*($AN$8-$AL$8)*($AM$8-$AL$8)),$AN$8-SQRT((1-AW866)*($AN$8-$AL$8)*($AN$8-$AM$8))),$AM$8)</f>
        <v/>
      </c>
      <c r="AO866">
        <f>IFERROR(IF(AX866&lt;($AM$9-$AL$9)/($AN$9-$AL$9),$AL$9+SQRT(AX866*($AN$9-$AL$9)*($AM$9-$AL$9)),$AN$9-SQRT((1-AX866)*($AN$9-$AL$9)*($AN$9-$AM$9))),$AM$9)</f>
        <v/>
      </c>
      <c r="AP866">
        <f>IFERROR(IF(AY866&lt;($AM$10-$AL$10)/($AN$10-$AL$10),$AL$10+SQRT(AY866*($AN$10-$AL$10)*($AM$10-$AL$10)),$AN$10-SQRT((1-AY866)*($AN$10-$AL$10)*($AN$10-$AM$10))),$AM$10)</f>
        <v/>
      </c>
      <c r="AQ866">
        <f>IFERROR(IF(AZ866&lt;($AM$11-$AL$11)/($AN$11-$AL$11),$AL$11+SQRT(AZ866*($AN$11-$AL$11)*($AM$11-$AL$11)),$AN$11-SQRT((1-AZ866)*($AN$11-$AL$11)*($AN$11-$AM$11))),$AM$11)</f>
        <v/>
      </c>
      <c r="AR866">
        <f>SUMPRODUCT((B24:B31&lt;=$B$6)*(C24:C31*AM866+D24:D31*AO866*$B$8*AQ866)/(1+AL866/100)^B24:B31)+C32*AM866*AP866/(1+AL866/100)^$B$6</f>
        <v/>
      </c>
      <c r="AS866">
        <f>SUMPRODUCT((K24:K26&lt;=$B$6)*(L24:L26*AN866+M24:M26*AO866*$B$8*AQ866)/(1+AL866/100)^K24:K26)+L27*AN866*AP866/(1+AL866/100)^$B$6</f>
        <v/>
      </c>
      <c r="AT866">
        <f>AS866-AR866</f>
        <v/>
      </c>
      <c r="AU866">
        <f>RAND()</f>
        <v/>
      </c>
      <c r="AV866">
        <f>RAND()</f>
        <v/>
      </c>
      <c r="AW866">
        <f>RAND()</f>
        <v/>
      </c>
      <c r="AX866">
        <f>RAND()</f>
        <v/>
      </c>
      <c r="AY866">
        <f>RAND()</f>
        <v/>
      </c>
      <c r="AZ866">
        <f>RAND()</f>
        <v/>
      </c>
    </row>
    <row r="867">
      <c r="AK867" t="n">
        <v>854</v>
      </c>
      <c r="AL867">
        <f>IFERROR(IF(AU867&lt;($AM$6-$AL$6)/($AN$6-$AL$6),$AL$6+SQRT(AU867*($AN$6-$AL$6)*($AM$6-$AL$6)),$AN$6-SQRT((1-AU867)*($AN$6-$AL$6)*($AN$6-$AM$6))),$AM$6)</f>
        <v/>
      </c>
      <c r="AM867">
        <f>IFERROR(IF(AV867&lt;($AM$7-$AL$7)/($AN$7-$AL$7),$AL$7+SQRT(AV867*($AN$7-$AL$7)*($AM$7-$AL$7)),$AN$7-SQRT((1-AV867)*($AN$7-$AL$7)*($AN$7-$AM$7))),$AM$7)</f>
        <v/>
      </c>
      <c r="AN867">
        <f>IFERROR(IF(AW867&lt;($AM$8-$AL$8)/($AN$8-$AL$8),$AL$8+SQRT(AW867*($AN$8-$AL$8)*($AM$8-$AL$8)),$AN$8-SQRT((1-AW867)*($AN$8-$AL$8)*($AN$8-$AM$8))),$AM$8)</f>
        <v/>
      </c>
      <c r="AO867">
        <f>IFERROR(IF(AX867&lt;($AM$9-$AL$9)/($AN$9-$AL$9),$AL$9+SQRT(AX867*($AN$9-$AL$9)*($AM$9-$AL$9)),$AN$9-SQRT((1-AX867)*($AN$9-$AL$9)*($AN$9-$AM$9))),$AM$9)</f>
        <v/>
      </c>
      <c r="AP867">
        <f>IFERROR(IF(AY867&lt;($AM$10-$AL$10)/($AN$10-$AL$10),$AL$10+SQRT(AY867*($AN$10-$AL$10)*($AM$10-$AL$10)),$AN$10-SQRT((1-AY867)*($AN$10-$AL$10)*($AN$10-$AM$10))),$AM$10)</f>
        <v/>
      </c>
      <c r="AQ867">
        <f>IFERROR(IF(AZ867&lt;($AM$11-$AL$11)/($AN$11-$AL$11),$AL$11+SQRT(AZ867*($AN$11-$AL$11)*($AM$11-$AL$11)),$AN$11-SQRT((1-AZ867)*($AN$11-$AL$11)*($AN$11-$AM$11))),$AM$11)</f>
        <v/>
      </c>
      <c r="AR867">
        <f>SUMPRODUCT((B24:B31&lt;=$B$6)*(C24:C31*AM867+D24:D31*AO867*$B$8*AQ867)/(1+AL867/100)^B24:B31)+C32*AM867*AP867/(1+AL867/100)^$B$6</f>
        <v/>
      </c>
      <c r="AS867">
        <f>SUMPRODUCT((K24:K26&lt;=$B$6)*(L24:L26*AN867+M24:M26*AO867*$B$8*AQ867)/(1+AL867/100)^K24:K26)+L27*AN867*AP867/(1+AL867/100)^$B$6</f>
        <v/>
      </c>
      <c r="AT867">
        <f>AS867-AR867</f>
        <v/>
      </c>
      <c r="AU867">
        <f>RAND()</f>
        <v/>
      </c>
      <c r="AV867">
        <f>RAND()</f>
        <v/>
      </c>
      <c r="AW867">
        <f>RAND()</f>
        <v/>
      </c>
      <c r="AX867">
        <f>RAND()</f>
        <v/>
      </c>
      <c r="AY867">
        <f>RAND()</f>
        <v/>
      </c>
      <c r="AZ867">
        <f>RAND()</f>
        <v/>
      </c>
    </row>
    <row r="868">
      <c r="AK868" t="n">
        <v>855</v>
      </c>
      <c r="AL868">
        <f>IFERROR(IF(AU868&lt;($AM$6-$AL$6)/($AN$6-$AL$6),$AL$6+SQRT(AU868*($AN$6-$AL$6)*($AM$6-$AL$6)),$AN$6-SQRT((1-AU868)*($AN$6-$AL$6)*($AN$6-$AM$6))),$AM$6)</f>
        <v/>
      </c>
      <c r="AM868">
        <f>IFERROR(IF(AV868&lt;($AM$7-$AL$7)/($AN$7-$AL$7),$AL$7+SQRT(AV868*($AN$7-$AL$7)*($AM$7-$AL$7)),$AN$7-SQRT((1-AV868)*($AN$7-$AL$7)*($AN$7-$AM$7))),$AM$7)</f>
        <v/>
      </c>
      <c r="AN868">
        <f>IFERROR(IF(AW868&lt;($AM$8-$AL$8)/($AN$8-$AL$8),$AL$8+SQRT(AW868*($AN$8-$AL$8)*($AM$8-$AL$8)),$AN$8-SQRT((1-AW868)*($AN$8-$AL$8)*($AN$8-$AM$8))),$AM$8)</f>
        <v/>
      </c>
      <c r="AO868">
        <f>IFERROR(IF(AX868&lt;($AM$9-$AL$9)/($AN$9-$AL$9),$AL$9+SQRT(AX868*($AN$9-$AL$9)*($AM$9-$AL$9)),$AN$9-SQRT((1-AX868)*($AN$9-$AL$9)*($AN$9-$AM$9))),$AM$9)</f>
        <v/>
      </c>
      <c r="AP868">
        <f>IFERROR(IF(AY868&lt;($AM$10-$AL$10)/($AN$10-$AL$10),$AL$10+SQRT(AY868*($AN$10-$AL$10)*($AM$10-$AL$10)),$AN$10-SQRT((1-AY868)*($AN$10-$AL$10)*($AN$10-$AM$10))),$AM$10)</f>
        <v/>
      </c>
      <c r="AQ868">
        <f>IFERROR(IF(AZ868&lt;($AM$11-$AL$11)/($AN$11-$AL$11),$AL$11+SQRT(AZ868*($AN$11-$AL$11)*($AM$11-$AL$11)),$AN$11-SQRT((1-AZ868)*($AN$11-$AL$11)*($AN$11-$AM$11))),$AM$11)</f>
        <v/>
      </c>
      <c r="AR868">
        <f>SUMPRODUCT((B24:B31&lt;=$B$6)*(C24:C31*AM868+D24:D31*AO868*$B$8*AQ868)/(1+AL868/100)^B24:B31)+C32*AM868*AP868/(1+AL868/100)^$B$6</f>
        <v/>
      </c>
      <c r="AS868">
        <f>SUMPRODUCT((K24:K26&lt;=$B$6)*(L24:L26*AN868+M24:M26*AO868*$B$8*AQ868)/(1+AL868/100)^K24:K26)+L27*AN868*AP868/(1+AL868/100)^$B$6</f>
        <v/>
      </c>
      <c r="AT868">
        <f>AS868-AR868</f>
        <v/>
      </c>
      <c r="AU868">
        <f>RAND()</f>
        <v/>
      </c>
      <c r="AV868">
        <f>RAND()</f>
        <v/>
      </c>
      <c r="AW868">
        <f>RAND()</f>
        <v/>
      </c>
      <c r="AX868">
        <f>RAND()</f>
        <v/>
      </c>
      <c r="AY868">
        <f>RAND()</f>
        <v/>
      </c>
      <c r="AZ868">
        <f>RAND()</f>
        <v/>
      </c>
    </row>
    <row r="869">
      <c r="AK869" t="n">
        <v>856</v>
      </c>
      <c r="AL869">
        <f>IFERROR(IF(AU869&lt;($AM$6-$AL$6)/($AN$6-$AL$6),$AL$6+SQRT(AU869*($AN$6-$AL$6)*($AM$6-$AL$6)),$AN$6-SQRT((1-AU869)*($AN$6-$AL$6)*($AN$6-$AM$6))),$AM$6)</f>
        <v/>
      </c>
      <c r="AM869">
        <f>IFERROR(IF(AV869&lt;($AM$7-$AL$7)/($AN$7-$AL$7),$AL$7+SQRT(AV869*($AN$7-$AL$7)*($AM$7-$AL$7)),$AN$7-SQRT((1-AV869)*($AN$7-$AL$7)*($AN$7-$AM$7))),$AM$7)</f>
        <v/>
      </c>
      <c r="AN869">
        <f>IFERROR(IF(AW869&lt;($AM$8-$AL$8)/($AN$8-$AL$8),$AL$8+SQRT(AW869*($AN$8-$AL$8)*($AM$8-$AL$8)),$AN$8-SQRT((1-AW869)*($AN$8-$AL$8)*($AN$8-$AM$8))),$AM$8)</f>
        <v/>
      </c>
      <c r="AO869">
        <f>IFERROR(IF(AX869&lt;($AM$9-$AL$9)/($AN$9-$AL$9),$AL$9+SQRT(AX869*($AN$9-$AL$9)*($AM$9-$AL$9)),$AN$9-SQRT((1-AX869)*($AN$9-$AL$9)*($AN$9-$AM$9))),$AM$9)</f>
        <v/>
      </c>
      <c r="AP869">
        <f>IFERROR(IF(AY869&lt;($AM$10-$AL$10)/($AN$10-$AL$10),$AL$10+SQRT(AY869*($AN$10-$AL$10)*($AM$10-$AL$10)),$AN$10-SQRT((1-AY869)*($AN$10-$AL$10)*($AN$10-$AM$10))),$AM$10)</f>
        <v/>
      </c>
      <c r="AQ869">
        <f>IFERROR(IF(AZ869&lt;($AM$11-$AL$11)/($AN$11-$AL$11),$AL$11+SQRT(AZ869*($AN$11-$AL$11)*($AM$11-$AL$11)),$AN$11-SQRT((1-AZ869)*($AN$11-$AL$11)*($AN$11-$AM$11))),$AM$11)</f>
        <v/>
      </c>
      <c r="AR869">
        <f>SUMPRODUCT((B24:B31&lt;=$B$6)*(C24:C31*AM869+D24:D31*AO869*$B$8*AQ869)/(1+AL869/100)^B24:B31)+C32*AM869*AP869/(1+AL869/100)^$B$6</f>
        <v/>
      </c>
      <c r="AS869">
        <f>SUMPRODUCT((K24:K26&lt;=$B$6)*(L24:L26*AN869+M24:M26*AO869*$B$8*AQ869)/(1+AL869/100)^K24:K26)+L27*AN869*AP869/(1+AL869/100)^$B$6</f>
        <v/>
      </c>
      <c r="AT869">
        <f>AS869-AR869</f>
        <v/>
      </c>
      <c r="AU869">
        <f>RAND()</f>
        <v/>
      </c>
      <c r="AV869">
        <f>RAND()</f>
        <v/>
      </c>
      <c r="AW869">
        <f>RAND()</f>
        <v/>
      </c>
      <c r="AX869">
        <f>RAND()</f>
        <v/>
      </c>
      <c r="AY869">
        <f>RAND()</f>
        <v/>
      </c>
      <c r="AZ869">
        <f>RAND()</f>
        <v/>
      </c>
    </row>
    <row r="870">
      <c r="AK870" t="n">
        <v>857</v>
      </c>
      <c r="AL870">
        <f>IFERROR(IF(AU870&lt;($AM$6-$AL$6)/($AN$6-$AL$6),$AL$6+SQRT(AU870*($AN$6-$AL$6)*($AM$6-$AL$6)),$AN$6-SQRT((1-AU870)*($AN$6-$AL$6)*($AN$6-$AM$6))),$AM$6)</f>
        <v/>
      </c>
      <c r="AM870">
        <f>IFERROR(IF(AV870&lt;($AM$7-$AL$7)/($AN$7-$AL$7),$AL$7+SQRT(AV870*($AN$7-$AL$7)*($AM$7-$AL$7)),$AN$7-SQRT((1-AV870)*($AN$7-$AL$7)*($AN$7-$AM$7))),$AM$7)</f>
        <v/>
      </c>
      <c r="AN870">
        <f>IFERROR(IF(AW870&lt;($AM$8-$AL$8)/($AN$8-$AL$8),$AL$8+SQRT(AW870*($AN$8-$AL$8)*($AM$8-$AL$8)),$AN$8-SQRT((1-AW870)*($AN$8-$AL$8)*($AN$8-$AM$8))),$AM$8)</f>
        <v/>
      </c>
      <c r="AO870">
        <f>IFERROR(IF(AX870&lt;($AM$9-$AL$9)/($AN$9-$AL$9),$AL$9+SQRT(AX870*($AN$9-$AL$9)*($AM$9-$AL$9)),$AN$9-SQRT((1-AX870)*($AN$9-$AL$9)*($AN$9-$AM$9))),$AM$9)</f>
        <v/>
      </c>
      <c r="AP870">
        <f>IFERROR(IF(AY870&lt;($AM$10-$AL$10)/($AN$10-$AL$10),$AL$10+SQRT(AY870*($AN$10-$AL$10)*($AM$10-$AL$10)),$AN$10-SQRT((1-AY870)*($AN$10-$AL$10)*($AN$10-$AM$10))),$AM$10)</f>
        <v/>
      </c>
      <c r="AQ870">
        <f>IFERROR(IF(AZ870&lt;($AM$11-$AL$11)/($AN$11-$AL$11),$AL$11+SQRT(AZ870*($AN$11-$AL$11)*($AM$11-$AL$11)),$AN$11-SQRT((1-AZ870)*($AN$11-$AL$11)*($AN$11-$AM$11))),$AM$11)</f>
        <v/>
      </c>
      <c r="AR870">
        <f>SUMPRODUCT((B24:B31&lt;=$B$6)*(C24:C31*AM870+D24:D31*AO870*$B$8*AQ870)/(1+AL870/100)^B24:B31)+C32*AM870*AP870/(1+AL870/100)^$B$6</f>
        <v/>
      </c>
      <c r="AS870">
        <f>SUMPRODUCT((K24:K26&lt;=$B$6)*(L24:L26*AN870+M24:M26*AO870*$B$8*AQ870)/(1+AL870/100)^K24:K26)+L27*AN870*AP870/(1+AL870/100)^$B$6</f>
        <v/>
      </c>
      <c r="AT870">
        <f>AS870-AR870</f>
        <v/>
      </c>
      <c r="AU870">
        <f>RAND()</f>
        <v/>
      </c>
      <c r="AV870">
        <f>RAND()</f>
        <v/>
      </c>
      <c r="AW870">
        <f>RAND()</f>
        <v/>
      </c>
      <c r="AX870">
        <f>RAND()</f>
        <v/>
      </c>
      <c r="AY870">
        <f>RAND()</f>
        <v/>
      </c>
      <c r="AZ870">
        <f>RAND()</f>
        <v/>
      </c>
    </row>
    <row r="871">
      <c r="AK871" t="n">
        <v>858</v>
      </c>
      <c r="AL871">
        <f>IFERROR(IF(AU871&lt;($AM$6-$AL$6)/($AN$6-$AL$6),$AL$6+SQRT(AU871*($AN$6-$AL$6)*($AM$6-$AL$6)),$AN$6-SQRT((1-AU871)*($AN$6-$AL$6)*($AN$6-$AM$6))),$AM$6)</f>
        <v/>
      </c>
      <c r="AM871">
        <f>IFERROR(IF(AV871&lt;($AM$7-$AL$7)/($AN$7-$AL$7),$AL$7+SQRT(AV871*($AN$7-$AL$7)*($AM$7-$AL$7)),$AN$7-SQRT((1-AV871)*($AN$7-$AL$7)*($AN$7-$AM$7))),$AM$7)</f>
        <v/>
      </c>
      <c r="AN871">
        <f>IFERROR(IF(AW871&lt;($AM$8-$AL$8)/($AN$8-$AL$8),$AL$8+SQRT(AW871*($AN$8-$AL$8)*($AM$8-$AL$8)),$AN$8-SQRT((1-AW871)*($AN$8-$AL$8)*($AN$8-$AM$8))),$AM$8)</f>
        <v/>
      </c>
      <c r="AO871">
        <f>IFERROR(IF(AX871&lt;($AM$9-$AL$9)/($AN$9-$AL$9),$AL$9+SQRT(AX871*($AN$9-$AL$9)*($AM$9-$AL$9)),$AN$9-SQRT((1-AX871)*($AN$9-$AL$9)*($AN$9-$AM$9))),$AM$9)</f>
        <v/>
      </c>
      <c r="AP871">
        <f>IFERROR(IF(AY871&lt;($AM$10-$AL$10)/($AN$10-$AL$10),$AL$10+SQRT(AY871*($AN$10-$AL$10)*($AM$10-$AL$10)),$AN$10-SQRT((1-AY871)*($AN$10-$AL$10)*($AN$10-$AM$10))),$AM$10)</f>
        <v/>
      </c>
      <c r="AQ871">
        <f>IFERROR(IF(AZ871&lt;($AM$11-$AL$11)/($AN$11-$AL$11),$AL$11+SQRT(AZ871*($AN$11-$AL$11)*($AM$11-$AL$11)),$AN$11-SQRT((1-AZ871)*($AN$11-$AL$11)*($AN$11-$AM$11))),$AM$11)</f>
        <v/>
      </c>
      <c r="AR871">
        <f>SUMPRODUCT((B24:B31&lt;=$B$6)*(C24:C31*AM871+D24:D31*AO871*$B$8*AQ871)/(1+AL871/100)^B24:B31)+C32*AM871*AP871/(1+AL871/100)^$B$6</f>
        <v/>
      </c>
      <c r="AS871">
        <f>SUMPRODUCT((K24:K26&lt;=$B$6)*(L24:L26*AN871+M24:M26*AO871*$B$8*AQ871)/(1+AL871/100)^K24:K26)+L27*AN871*AP871/(1+AL871/100)^$B$6</f>
        <v/>
      </c>
      <c r="AT871">
        <f>AS871-AR871</f>
        <v/>
      </c>
      <c r="AU871">
        <f>RAND()</f>
        <v/>
      </c>
      <c r="AV871">
        <f>RAND()</f>
        <v/>
      </c>
      <c r="AW871">
        <f>RAND()</f>
        <v/>
      </c>
      <c r="AX871">
        <f>RAND()</f>
        <v/>
      </c>
      <c r="AY871">
        <f>RAND()</f>
        <v/>
      </c>
      <c r="AZ871">
        <f>RAND()</f>
        <v/>
      </c>
    </row>
    <row r="872">
      <c r="AK872" t="n">
        <v>859</v>
      </c>
      <c r="AL872">
        <f>IFERROR(IF(AU872&lt;($AM$6-$AL$6)/($AN$6-$AL$6),$AL$6+SQRT(AU872*($AN$6-$AL$6)*($AM$6-$AL$6)),$AN$6-SQRT((1-AU872)*($AN$6-$AL$6)*($AN$6-$AM$6))),$AM$6)</f>
        <v/>
      </c>
      <c r="AM872">
        <f>IFERROR(IF(AV872&lt;($AM$7-$AL$7)/($AN$7-$AL$7),$AL$7+SQRT(AV872*($AN$7-$AL$7)*($AM$7-$AL$7)),$AN$7-SQRT((1-AV872)*($AN$7-$AL$7)*($AN$7-$AM$7))),$AM$7)</f>
        <v/>
      </c>
      <c r="AN872">
        <f>IFERROR(IF(AW872&lt;($AM$8-$AL$8)/($AN$8-$AL$8),$AL$8+SQRT(AW872*($AN$8-$AL$8)*($AM$8-$AL$8)),$AN$8-SQRT((1-AW872)*($AN$8-$AL$8)*($AN$8-$AM$8))),$AM$8)</f>
        <v/>
      </c>
      <c r="AO872">
        <f>IFERROR(IF(AX872&lt;($AM$9-$AL$9)/($AN$9-$AL$9),$AL$9+SQRT(AX872*($AN$9-$AL$9)*($AM$9-$AL$9)),$AN$9-SQRT((1-AX872)*($AN$9-$AL$9)*($AN$9-$AM$9))),$AM$9)</f>
        <v/>
      </c>
      <c r="AP872">
        <f>IFERROR(IF(AY872&lt;($AM$10-$AL$10)/($AN$10-$AL$10),$AL$10+SQRT(AY872*($AN$10-$AL$10)*($AM$10-$AL$10)),$AN$10-SQRT((1-AY872)*($AN$10-$AL$10)*($AN$10-$AM$10))),$AM$10)</f>
        <v/>
      </c>
      <c r="AQ872">
        <f>IFERROR(IF(AZ872&lt;($AM$11-$AL$11)/($AN$11-$AL$11),$AL$11+SQRT(AZ872*($AN$11-$AL$11)*($AM$11-$AL$11)),$AN$11-SQRT((1-AZ872)*($AN$11-$AL$11)*($AN$11-$AM$11))),$AM$11)</f>
        <v/>
      </c>
      <c r="AR872">
        <f>SUMPRODUCT((B24:B31&lt;=$B$6)*(C24:C31*AM872+D24:D31*AO872*$B$8*AQ872)/(1+AL872/100)^B24:B31)+C32*AM872*AP872/(1+AL872/100)^$B$6</f>
        <v/>
      </c>
      <c r="AS872">
        <f>SUMPRODUCT((K24:K26&lt;=$B$6)*(L24:L26*AN872+M24:M26*AO872*$B$8*AQ872)/(1+AL872/100)^K24:K26)+L27*AN872*AP872/(1+AL872/100)^$B$6</f>
        <v/>
      </c>
      <c r="AT872">
        <f>AS872-AR872</f>
        <v/>
      </c>
      <c r="AU872">
        <f>RAND()</f>
        <v/>
      </c>
      <c r="AV872">
        <f>RAND()</f>
        <v/>
      </c>
      <c r="AW872">
        <f>RAND()</f>
        <v/>
      </c>
      <c r="AX872">
        <f>RAND()</f>
        <v/>
      </c>
      <c r="AY872">
        <f>RAND()</f>
        <v/>
      </c>
      <c r="AZ872">
        <f>RAND()</f>
        <v/>
      </c>
    </row>
    <row r="873">
      <c r="AK873" t="n">
        <v>860</v>
      </c>
      <c r="AL873">
        <f>IFERROR(IF(AU873&lt;($AM$6-$AL$6)/($AN$6-$AL$6),$AL$6+SQRT(AU873*($AN$6-$AL$6)*($AM$6-$AL$6)),$AN$6-SQRT((1-AU873)*($AN$6-$AL$6)*($AN$6-$AM$6))),$AM$6)</f>
        <v/>
      </c>
      <c r="AM873">
        <f>IFERROR(IF(AV873&lt;($AM$7-$AL$7)/($AN$7-$AL$7),$AL$7+SQRT(AV873*($AN$7-$AL$7)*($AM$7-$AL$7)),$AN$7-SQRT((1-AV873)*($AN$7-$AL$7)*($AN$7-$AM$7))),$AM$7)</f>
        <v/>
      </c>
      <c r="AN873">
        <f>IFERROR(IF(AW873&lt;($AM$8-$AL$8)/($AN$8-$AL$8),$AL$8+SQRT(AW873*($AN$8-$AL$8)*($AM$8-$AL$8)),$AN$8-SQRT((1-AW873)*($AN$8-$AL$8)*($AN$8-$AM$8))),$AM$8)</f>
        <v/>
      </c>
      <c r="AO873">
        <f>IFERROR(IF(AX873&lt;($AM$9-$AL$9)/($AN$9-$AL$9),$AL$9+SQRT(AX873*($AN$9-$AL$9)*($AM$9-$AL$9)),$AN$9-SQRT((1-AX873)*($AN$9-$AL$9)*($AN$9-$AM$9))),$AM$9)</f>
        <v/>
      </c>
      <c r="AP873">
        <f>IFERROR(IF(AY873&lt;($AM$10-$AL$10)/($AN$10-$AL$10),$AL$10+SQRT(AY873*($AN$10-$AL$10)*($AM$10-$AL$10)),$AN$10-SQRT((1-AY873)*($AN$10-$AL$10)*($AN$10-$AM$10))),$AM$10)</f>
        <v/>
      </c>
      <c r="AQ873">
        <f>IFERROR(IF(AZ873&lt;($AM$11-$AL$11)/($AN$11-$AL$11),$AL$11+SQRT(AZ873*($AN$11-$AL$11)*($AM$11-$AL$11)),$AN$11-SQRT((1-AZ873)*($AN$11-$AL$11)*($AN$11-$AM$11))),$AM$11)</f>
        <v/>
      </c>
      <c r="AR873">
        <f>SUMPRODUCT((B24:B31&lt;=$B$6)*(C24:C31*AM873+D24:D31*AO873*$B$8*AQ873)/(1+AL873/100)^B24:B31)+C32*AM873*AP873/(1+AL873/100)^$B$6</f>
        <v/>
      </c>
      <c r="AS873">
        <f>SUMPRODUCT((K24:K26&lt;=$B$6)*(L24:L26*AN873+M24:M26*AO873*$B$8*AQ873)/(1+AL873/100)^K24:K26)+L27*AN873*AP873/(1+AL873/100)^$B$6</f>
        <v/>
      </c>
      <c r="AT873">
        <f>AS873-AR873</f>
        <v/>
      </c>
      <c r="AU873">
        <f>RAND()</f>
        <v/>
      </c>
      <c r="AV873">
        <f>RAND()</f>
        <v/>
      </c>
      <c r="AW873">
        <f>RAND()</f>
        <v/>
      </c>
      <c r="AX873">
        <f>RAND()</f>
        <v/>
      </c>
      <c r="AY873">
        <f>RAND()</f>
        <v/>
      </c>
      <c r="AZ873">
        <f>RAND()</f>
        <v/>
      </c>
    </row>
    <row r="874">
      <c r="AK874" t="n">
        <v>861</v>
      </c>
      <c r="AL874">
        <f>IFERROR(IF(AU874&lt;($AM$6-$AL$6)/($AN$6-$AL$6),$AL$6+SQRT(AU874*($AN$6-$AL$6)*($AM$6-$AL$6)),$AN$6-SQRT((1-AU874)*($AN$6-$AL$6)*($AN$6-$AM$6))),$AM$6)</f>
        <v/>
      </c>
      <c r="AM874">
        <f>IFERROR(IF(AV874&lt;($AM$7-$AL$7)/($AN$7-$AL$7),$AL$7+SQRT(AV874*($AN$7-$AL$7)*($AM$7-$AL$7)),$AN$7-SQRT((1-AV874)*($AN$7-$AL$7)*($AN$7-$AM$7))),$AM$7)</f>
        <v/>
      </c>
      <c r="AN874">
        <f>IFERROR(IF(AW874&lt;($AM$8-$AL$8)/($AN$8-$AL$8),$AL$8+SQRT(AW874*($AN$8-$AL$8)*($AM$8-$AL$8)),$AN$8-SQRT((1-AW874)*($AN$8-$AL$8)*($AN$8-$AM$8))),$AM$8)</f>
        <v/>
      </c>
      <c r="AO874">
        <f>IFERROR(IF(AX874&lt;($AM$9-$AL$9)/($AN$9-$AL$9),$AL$9+SQRT(AX874*($AN$9-$AL$9)*($AM$9-$AL$9)),$AN$9-SQRT((1-AX874)*($AN$9-$AL$9)*($AN$9-$AM$9))),$AM$9)</f>
        <v/>
      </c>
      <c r="AP874">
        <f>IFERROR(IF(AY874&lt;($AM$10-$AL$10)/($AN$10-$AL$10),$AL$10+SQRT(AY874*($AN$10-$AL$10)*($AM$10-$AL$10)),$AN$10-SQRT((1-AY874)*($AN$10-$AL$10)*($AN$10-$AM$10))),$AM$10)</f>
        <v/>
      </c>
      <c r="AQ874">
        <f>IFERROR(IF(AZ874&lt;($AM$11-$AL$11)/($AN$11-$AL$11),$AL$11+SQRT(AZ874*($AN$11-$AL$11)*($AM$11-$AL$11)),$AN$11-SQRT((1-AZ874)*($AN$11-$AL$11)*($AN$11-$AM$11))),$AM$11)</f>
        <v/>
      </c>
      <c r="AR874">
        <f>SUMPRODUCT((B24:B31&lt;=$B$6)*(C24:C31*AM874+D24:D31*AO874*$B$8*AQ874)/(1+AL874/100)^B24:B31)+C32*AM874*AP874/(1+AL874/100)^$B$6</f>
        <v/>
      </c>
      <c r="AS874">
        <f>SUMPRODUCT((K24:K26&lt;=$B$6)*(L24:L26*AN874+M24:M26*AO874*$B$8*AQ874)/(1+AL874/100)^K24:K26)+L27*AN874*AP874/(1+AL874/100)^$B$6</f>
        <v/>
      </c>
      <c r="AT874">
        <f>AS874-AR874</f>
        <v/>
      </c>
      <c r="AU874">
        <f>RAND()</f>
        <v/>
      </c>
      <c r="AV874">
        <f>RAND()</f>
        <v/>
      </c>
      <c r="AW874">
        <f>RAND()</f>
        <v/>
      </c>
      <c r="AX874">
        <f>RAND()</f>
        <v/>
      </c>
      <c r="AY874">
        <f>RAND()</f>
        <v/>
      </c>
      <c r="AZ874">
        <f>RAND()</f>
        <v/>
      </c>
    </row>
    <row r="875">
      <c r="AK875" t="n">
        <v>862</v>
      </c>
      <c r="AL875">
        <f>IFERROR(IF(AU875&lt;($AM$6-$AL$6)/($AN$6-$AL$6),$AL$6+SQRT(AU875*($AN$6-$AL$6)*($AM$6-$AL$6)),$AN$6-SQRT((1-AU875)*($AN$6-$AL$6)*($AN$6-$AM$6))),$AM$6)</f>
        <v/>
      </c>
      <c r="AM875">
        <f>IFERROR(IF(AV875&lt;($AM$7-$AL$7)/($AN$7-$AL$7),$AL$7+SQRT(AV875*($AN$7-$AL$7)*($AM$7-$AL$7)),$AN$7-SQRT((1-AV875)*($AN$7-$AL$7)*($AN$7-$AM$7))),$AM$7)</f>
        <v/>
      </c>
      <c r="AN875">
        <f>IFERROR(IF(AW875&lt;($AM$8-$AL$8)/($AN$8-$AL$8),$AL$8+SQRT(AW875*($AN$8-$AL$8)*($AM$8-$AL$8)),$AN$8-SQRT((1-AW875)*($AN$8-$AL$8)*($AN$8-$AM$8))),$AM$8)</f>
        <v/>
      </c>
      <c r="AO875">
        <f>IFERROR(IF(AX875&lt;($AM$9-$AL$9)/($AN$9-$AL$9),$AL$9+SQRT(AX875*($AN$9-$AL$9)*($AM$9-$AL$9)),$AN$9-SQRT((1-AX875)*($AN$9-$AL$9)*($AN$9-$AM$9))),$AM$9)</f>
        <v/>
      </c>
      <c r="AP875">
        <f>IFERROR(IF(AY875&lt;($AM$10-$AL$10)/($AN$10-$AL$10),$AL$10+SQRT(AY875*($AN$10-$AL$10)*($AM$10-$AL$10)),$AN$10-SQRT((1-AY875)*($AN$10-$AL$10)*($AN$10-$AM$10))),$AM$10)</f>
        <v/>
      </c>
      <c r="AQ875">
        <f>IFERROR(IF(AZ875&lt;($AM$11-$AL$11)/($AN$11-$AL$11),$AL$11+SQRT(AZ875*($AN$11-$AL$11)*($AM$11-$AL$11)),$AN$11-SQRT((1-AZ875)*($AN$11-$AL$11)*($AN$11-$AM$11))),$AM$11)</f>
        <v/>
      </c>
      <c r="AR875">
        <f>SUMPRODUCT((B24:B31&lt;=$B$6)*(C24:C31*AM875+D24:D31*AO875*$B$8*AQ875)/(1+AL875/100)^B24:B31)+C32*AM875*AP875/(1+AL875/100)^$B$6</f>
        <v/>
      </c>
      <c r="AS875">
        <f>SUMPRODUCT((K24:K26&lt;=$B$6)*(L24:L26*AN875+M24:M26*AO875*$B$8*AQ875)/(1+AL875/100)^K24:K26)+L27*AN875*AP875/(1+AL875/100)^$B$6</f>
        <v/>
      </c>
      <c r="AT875">
        <f>AS875-AR875</f>
        <v/>
      </c>
      <c r="AU875">
        <f>RAND()</f>
        <v/>
      </c>
      <c r="AV875">
        <f>RAND()</f>
        <v/>
      </c>
      <c r="AW875">
        <f>RAND()</f>
        <v/>
      </c>
      <c r="AX875">
        <f>RAND()</f>
        <v/>
      </c>
      <c r="AY875">
        <f>RAND()</f>
        <v/>
      </c>
      <c r="AZ875">
        <f>RAND()</f>
        <v/>
      </c>
    </row>
    <row r="876">
      <c r="AK876" t="n">
        <v>863</v>
      </c>
      <c r="AL876">
        <f>IFERROR(IF(AU876&lt;($AM$6-$AL$6)/($AN$6-$AL$6),$AL$6+SQRT(AU876*($AN$6-$AL$6)*($AM$6-$AL$6)),$AN$6-SQRT((1-AU876)*($AN$6-$AL$6)*($AN$6-$AM$6))),$AM$6)</f>
        <v/>
      </c>
      <c r="AM876">
        <f>IFERROR(IF(AV876&lt;($AM$7-$AL$7)/($AN$7-$AL$7),$AL$7+SQRT(AV876*($AN$7-$AL$7)*($AM$7-$AL$7)),$AN$7-SQRT((1-AV876)*($AN$7-$AL$7)*($AN$7-$AM$7))),$AM$7)</f>
        <v/>
      </c>
      <c r="AN876">
        <f>IFERROR(IF(AW876&lt;($AM$8-$AL$8)/($AN$8-$AL$8),$AL$8+SQRT(AW876*($AN$8-$AL$8)*($AM$8-$AL$8)),$AN$8-SQRT((1-AW876)*($AN$8-$AL$8)*($AN$8-$AM$8))),$AM$8)</f>
        <v/>
      </c>
      <c r="AO876">
        <f>IFERROR(IF(AX876&lt;($AM$9-$AL$9)/($AN$9-$AL$9),$AL$9+SQRT(AX876*($AN$9-$AL$9)*($AM$9-$AL$9)),$AN$9-SQRT((1-AX876)*($AN$9-$AL$9)*($AN$9-$AM$9))),$AM$9)</f>
        <v/>
      </c>
      <c r="AP876">
        <f>IFERROR(IF(AY876&lt;($AM$10-$AL$10)/($AN$10-$AL$10),$AL$10+SQRT(AY876*($AN$10-$AL$10)*($AM$10-$AL$10)),$AN$10-SQRT((1-AY876)*($AN$10-$AL$10)*($AN$10-$AM$10))),$AM$10)</f>
        <v/>
      </c>
      <c r="AQ876">
        <f>IFERROR(IF(AZ876&lt;($AM$11-$AL$11)/($AN$11-$AL$11),$AL$11+SQRT(AZ876*($AN$11-$AL$11)*($AM$11-$AL$11)),$AN$11-SQRT((1-AZ876)*($AN$11-$AL$11)*($AN$11-$AM$11))),$AM$11)</f>
        <v/>
      </c>
      <c r="AR876">
        <f>SUMPRODUCT((B24:B31&lt;=$B$6)*(C24:C31*AM876+D24:D31*AO876*$B$8*AQ876)/(1+AL876/100)^B24:B31)+C32*AM876*AP876/(1+AL876/100)^$B$6</f>
        <v/>
      </c>
      <c r="AS876">
        <f>SUMPRODUCT((K24:K26&lt;=$B$6)*(L24:L26*AN876+M24:M26*AO876*$B$8*AQ876)/(1+AL876/100)^K24:K26)+L27*AN876*AP876/(1+AL876/100)^$B$6</f>
        <v/>
      </c>
      <c r="AT876">
        <f>AS876-AR876</f>
        <v/>
      </c>
      <c r="AU876">
        <f>RAND()</f>
        <v/>
      </c>
      <c r="AV876">
        <f>RAND()</f>
        <v/>
      </c>
      <c r="AW876">
        <f>RAND()</f>
        <v/>
      </c>
      <c r="AX876">
        <f>RAND()</f>
        <v/>
      </c>
      <c r="AY876">
        <f>RAND()</f>
        <v/>
      </c>
      <c r="AZ876">
        <f>RAND()</f>
        <v/>
      </c>
    </row>
    <row r="877">
      <c r="AK877" t="n">
        <v>864</v>
      </c>
      <c r="AL877">
        <f>IFERROR(IF(AU877&lt;($AM$6-$AL$6)/($AN$6-$AL$6),$AL$6+SQRT(AU877*($AN$6-$AL$6)*($AM$6-$AL$6)),$AN$6-SQRT((1-AU877)*($AN$6-$AL$6)*($AN$6-$AM$6))),$AM$6)</f>
        <v/>
      </c>
      <c r="AM877">
        <f>IFERROR(IF(AV877&lt;($AM$7-$AL$7)/($AN$7-$AL$7),$AL$7+SQRT(AV877*($AN$7-$AL$7)*($AM$7-$AL$7)),$AN$7-SQRT((1-AV877)*($AN$7-$AL$7)*($AN$7-$AM$7))),$AM$7)</f>
        <v/>
      </c>
      <c r="AN877">
        <f>IFERROR(IF(AW877&lt;($AM$8-$AL$8)/($AN$8-$AL$8),$AL$8+SQRT(AW877*($AN$8-$AL$8)*($AM$8-$AL$8)),$AN$8-SQRT((1-AW877)*($AN$8-$AL$8)*($AN$8-$AM$8))),$AM$8)</f>
        <v/>
      </c>
      <c r="AO877">
        <f>IFERROR(IF(AX877&lt;($AM$9-$AL$9)/($AN$9-$AL$9),$AL$9+SQRT(AX877*($AN$9-$AL$9)*($AM$9-$AL$9)),$AN$9-SQRT((1-AX877)*($AN$9-$AL$9)*($AN$9-$AM$9))),$AM$9)</f>
        <v/>
      </c>
      <c r="AP877">
        <f>IFERROR(IF(AY877&lt;($AM$10-$AL$10)/($AN$10-$AL$10),$AL$10+SQRT(AY877*($AN$10-$AL$10)*($AM$10-$AL$10)),$AN$10-SQRT((1-AY877)*($AN$10-$AL$10)*($AN$10-$AM$10))),$AM$10)</f>
        <v/>
      </c>
      <c r="AQ877">
        <f>IFERROR(IF(AZ877&lt;($AM$11-$AL$11)/($AN$11-$AL$11),$AL$11+SQRT(AZ877*($AN$11-$AL$11)*($AM$11-$AL$11)),$AN$11-SQRT((1-AZ877)*($AN$11-$AL$11)*($AN$11-$AM$11))),$AM$11)</f>
        <v/>
      </c>
      <c r="AR877">
        <f>SUMPRODUCT((B24:B31&lt;=$B$6)*(C24:C31*AM877+D24:D31*AO877*$B$8*AQ877)/(1+AL877/100)^B24:B31)+C32*AM877*AP877/(1+AL877/100)^$B$6</f>
        <v/>
      </c>
      <c r="AS877">
        <f>SUMPRODUCT((K24:K26&lt;=$B$6)*(L24:L26*AN877+M24:M26*AO877*$B$8*AQ877)/(1+AL877/100)^K24:K26)+L27*AN877*AP877/(1+AL877/100)^$B$6</f>
        <v/>
      </c>
      <c r="AT877">
        <f>AS877-AR877</f>
        <v/>
      </c>
      <c r="AU877">
        <f>RAND()</f>
        <v/>
      </c>
      <c r="AV877">
        <f>RAND()</f>
        <v/>
      </c>
      <c r="AW877">
        <f>RAND()</f>
        <v/>
      </c>
      <c r="AX877">
        <f>RAND()</f>
        <v/>
      </c>
      <c r="AY877">
        <f>RAND()</f>
        <v/>
      </c>
      <c r="AZ877">
        <f>RAND()</f>
        <v/>
      </c>
    </row>
    <row r="878">
      <c r="AK878" t="n">
        <v>865</v>
      </c>
      <c r="AL878">
        <f>IFERROR(IF(AU878&lt;($AM$6-$AL$6)/($AN$6-$AL$6),$AL$6+SQRT(AU878*($AN$6-$AL$6)*($AM$6-$AL$6)),$AN$6-SQRT((1-AU878)*($AN$6-$AL$6)*($AN$6-$AM$6))),$AM$6)</f>
        <v/>
      </c>
      <c r="AM878">
        <f>IFERROR(IF(AV878&lt;($AM$7-$AL$7)/($AN$7-$AL$7),$AL$7+SQRT(AV878*($AN$7-$AL$7)*($AM$7-$AL$7)),$AN$7-SQRT((1-AV878)*($AN$7-$AL$7)*($AN$7-$AM$7))),$AM$7)</f>
        <v/>
      </c>
      <c r="AN878">
        <f>IFERROR(IF(AW878&lt;($AM$8-$AL$8)/($AN$8-$AL$8),$AL$8+SQRT(AW878*($AN$8-$AL$8)*($AM$8-$AL$8)),$AN$8-SQRT((1-AW878)*($AN$8-$AL$8)*($AN$8-$AM$8))),$AM$8)</f>
        <v/>
      </c>
      <c r="AO878">
        <f>IFERROR(IF(AX878&lt;($AM$9-$AL$9)/($AN$9-$AL$9),$AL$9+SQRT(AX878*($AN$9-$AL$9)*($AM$9-$AL$9)),$AN$9-SQRT((1-AX878)*($AN$9-$AL$9)*($AN$9-$AM$9))),$AM$9)</f>
        <v/>
      </c>
      <c r="AP878">
        <f>IFERROR(IF(AY878&lt;($AM$10-$AL$10)/($AN$10-$AL$10),$AL$10+SQRT(AY878*($AN$10-$AL$10)*($AM$10-$AL$10)),$AN$10-SQRT((1-AY878)*($AN$10-$AL$10)*($AN$10-$AM$10))),$AM$10)</f>
        <v/>
      </c>
      <c r="AQ878">
        <f>IFERROR(IF(AZ878&lt;($AM$11-$AL$11)/($AN$11-$AL$11),$AL$11+SQRT(AZ878*($AN$11-$AL$11)*($AM$11-$AL$11)),$AN$11-SQRT((1-AZ878)*($AN$11-$AL$11)*($AN$11-$AM$11))),$AM$11)</f>
        <v/>
      </c>
      <c r="AR878">
        <f>SUMPRODUCT((B24:B31&lt;=$B$6)*(C24:C31*AM878+D24:D31*AO878*$B$8*AQ878)/(1+AL878/100)^B24:B31)+C32*AM878*AP878/(1+AL878/100)^$B$6</f>
        <v/>
      </c>
      <c r="AS878">
        <f>SUMPRODUCT((K24:K26&lt;=$B$6)*(L24:L26*AN878+M24:M26*AO878*$B$8*AQ878)/(1+AL878/100)^K24:K26)+L27*AN878*AP878/(1+AL878/100)^$B$6</f>
        <v/>
      </c>
      <c r="AT878">
        <f>AS878-AR878</f>
        <v/>
      </c>
      <c r="AU878">
        <f>RAND()</f>
        <v/>
      </c>
      <c r="AV878">
        <f>RAND()</f>
        <v/>
      </c>
      <c r="AW878">
        <f>RAND()</f>
        <v/>
      </c>
      <c r="AX878">
        <f>RAND()</f>
        <v/>
      </c>
      <c r="AY878">
        <f>RAND()</f>
        <v/>
      </c>
      <c r="AZ878">
        <f>RAND()</f>
        <v/>
      </c>
    </row>
    <row r="879">
      <c r="AK879" t="n">
        <v>866</v>
      </c>
      <c r="AL879">
        <f>IFERROR(IF(AU879&lt;($AM$6-$AL$6)/($AN$6-$AL$6),$AL$6+SQRT(AU879*($AN$6-$AL$6)*($AM$6-$AL$6)),$AN$6-SQRT((1-AU879)*($AN$6-$AL$6)*($AN$6-$AM$6))),$AM$6)</f>
        <v/>
      </c>
      <c r="AM879">
        <f>IFERROR(IF(AV879&lt;($AM$7-$AL$7)/($AN$7-$AL$7),$AL$7+SQRT(AV879*($AN$7-$AL$7)*($AM$7-$AL$7)),$AN$7-SQRT((1-AV879)*($AN$7-$AL$7)*($AN$7-$AM$7))),$AM$7)</f>
        <v/>
      </c>
      <c r="AN879">
        <f>IFERROR(IF(AW879&lt;($AM$8-$AL$8)/($AN$8-$AL$8),$AL$8+SQRT(AW879*($AN$8-$AL$8)*($AM$8-$AL$8)),$AN$8-SQRT((1-AW879)*($AN$8-$AL$8)*($AN$8-$AM$8))),$AM$8)</f>
        <v/>
      </c>
      <c r="AO879">
        <f>IFERROR(IF(AX879&lt;($AM$9-$AL$9)/($AN$9-$AL$9),$AL$9+SQRT(AX879*($AN$9-$AL$9)*($AM$9-$AL$9)),$AN$9-SQRT((1-AX879)*($AN$9-$AL$9)*($AN$9-$AM$9))),$AM$9)</f>
        <v/>
      </c>
      <c r="AP879">
        <f>IFERROR(IF(AY879&lt;($AM$10-$AL$10)/($AN$10-$AL$10),$AL$10+SQRT(AY879*($AN$10-$AL$10)*($AM$10-$AL$10)),$AN$10-SQRT((1-AY879)*($AN$10-$AL$10)*($AN$10-$AM$10))),$AM$10)</f>
        <v/>
      </c>
      <c r="AQ879">
        <f>IFERROR(IF(AZ879&lt;($AM$11-$AL$11)/($AN$11-$AL$11),$AL$11+SQRT(AZ879*($AN$11-$AL$11)*($AM$11-$AL$11)),$AN$11-SQRT((1-AZ879)*($AN$11-$AL$11)*($AN$11-$AM$11))),$AM$11)</f>
        <v/>
      </c>
      <c r="AR879">
        <f>SUMPRODUCT((B24:B31&lt;=$B$6)*(C24:C31*AM879+D24:D31*AO879*$B$8*AQ879)/(1+AL879/100)^B24:B31)+C32*AM879*AP879/(1+AL879/100)^$B$6</f>
        <v/>
      </c>
      <c r="AS879">
        <f>SUMPRODUCT((K24:K26&lt;=$B$6)*(L24:L26*AN879+M24:M26*AO879*$B$8*AQ879)/(1+AL879/100)^K24:K26)+L27*AN879*AP879/(1+AL879/100)^$B$6</f>
        <v/>
      </c>
      <c r="AT879">
        <f>AS879-AR879</f>
        <v/>
      </c>
      <c r="AU879">
        <f>RAND()</f>
        <v/>
      </c>
      <c r="AV879">
        <f>RAND()</f>
        <v/>
      </c>
      <c r="AW879">
        <f>RAND()</f>
        <v/>
      </c>
      <c r="AX879">
        <f>RAND()</f>
        <v/>
      </c>
      <c r="AY879">
        <f>RAND()</f>
        <v/>
      </c>
      <c r="AZ879">
        <f>RAND()</f>
        <v/>
      </c>
    </row>
    <row r="880">
      <c r="AK880" t="n">
        <v>867</v>
      </c>
      <c r="AL880">
        <f>IFERROR(IF(AU880&lt;($AM$6-$AL$6)/($AN$6-$AL$6),$AL$6+SQRT(AU880*($AN$6-$AL$6)*($AM$6-$AL$6)),$AN$6-SQRT((1-AU880)*($AN$6-$AL$6)*($AN$6-$AM$6))),$AM$6)</f>
        <v/>
      </c>
      <c r="AM880">
        <f>IFERROR(IF(AV880&lt;($AM$7-$AL$7)/($AN$7-$AL$7),$AL$7+SQRT(AV880*($AN$7-$AL$7)*($AM$7-$AL$7)),$AN$7-SQRT((1-AV880)*($AN$7-$AL$7)*($AN$7-$AM$7))),$AM$7)</f>
        <v/>
      </c>
      <c r="AN880">
        <f>IFERROR(IF(AW880&lt;($AM$8-$AL$8)/($AN$8-$AL$8),$AL$8+SQRT(AW880*($AN$8-$AL$8)*($AM$8-$AL$8)),$AN$8-SQRT((1-AW880)*($AN$8-$AL$8)*($AN$8-$AM$8))),$AM$8)</f>
        <v/>
      </c>
      <c r="AO880">
        <f>IFERROR(IF(AX880&lt;($AM$9-$AL$9)/($AN$9-$AL$9),$AL$9+SQRT(AX880*($AN$9-$AL$9)*($AM$9-$AL$9)),$AN$9-SQRT((1-AX880)*($AN$9-$AL$9)*($AN$9-$AM$9))),$AM$9)</f>
        <v/>
      </c>
      <c r="AP880">
        <f>IFERROR(IF(AY880&lt;($AM$10-$AL$10)/($AN$10-$AL$10),$AL$10+SQRT(AY880*($AN$10-$AL$10)*($AM$10-$AL$10)),$AN$10-SQRT((1-AY880)*($AN$10-$AL$10)*($AN$10-$AM$10))),$AM$10)</f>
        <v/>
      </c>
      <c r="AQ880">
        <f>IFERROR(IF(AZ880&lt;($AM$11-$AL$11)/($AN$11-$AL$11),$AL$11+SQRT(AZ880*($AN$11-$AL$11)*($AM$11-$AL$11)),$AN$11-SQRT((1-AZ880)*($AN$11-$AL$11)*($AN$11-$AM$11))),$AM$11)</f>
        <v/>
      </c>
      <c r="AR880">
        <f>SUMPRODUCT((B24:B31&lt;=$B$6)*(C24:C31*AM880+D24:D31*AO880*$B$8*AQ880)/(1+AL880/100)^B24:B31)+C32*AM880*AP880/(1+AL880/100)^$B$6</f>
        <v/>
      </c>
      <c r="AS880">
        <f>SUMPRODUCT((K24:K26&lt;=$B$6)*(L24:L26*AN880+M24:M26*AO880*$B$8*AQ880)/(1+AL880/100)^K24:K26)+L27*AN880*AP880/(1+AL880/100)^$B$6</f>
        <v/>
      </c>
      <c r="AT880">
        <f>AS880-AR880</f>
        <v/>
      </c>
      <c r="AU880">
        <f>RAND()</f>
        <v/>
      </c>
      <c r="AV880">
        <f>RAND()</f>
        <v/>
      </c>
      <c r="AW880">
        <f>RAND()</f>
        <v/>
      </c>
      <c r="AX880">
        <f>RAND()</f>
        <v/>
      </c>
      <c r="AY880">
        <f>RAND()</f>
        <v/>
      </c>
      <c r="AZ880">
        <f>RAND()</f>
        <v/>
      </c>
    </row>
    <row r="881">
      <c r="AK881" t="n">
        <v>868</v>
      </c>
      <c r="AL881">
        <f>IFERROR(IF(AU881&lt;($AM$6-$AL$6)/($AN$6-$AL$6),$AL$6+SQRT(AU881*($AN$6-$AL$6)*($AM$6-$AL$6)),$AN$6-SQRT((1-AU881)*($AN$6-$AL$6)*($AN$6-$AM$6))),$AM$6)</f>
        <v/>
      </c>
      <c r="AM881">
        <f>IFERROR(IF(AV881&lt;($AM$7-$AL$7)/($AN$7-$AL$7),$AL$7+SQRT(AV881*($AN$7-$AL$7)*($AM$7-$AL$7)),$AN$7-SQRT((1-AV881)*($AN$7-$AL$7)*($AN$7-$AM$7))),$AM$7)</f>
        <v/>
      </c>
      <c r="AN881">
        <f>IFERROR(IF(AW881&lt;($AM$8-$AL$8)/($AN$8-$AL$8),$AL$8+SQRT(AW881*($AN$8-$AL$8)*($AM$8-$AL$8)),$AN$8-SQRT((1-AW881)*($AN$8-$AL$8)*($AN$8-$AM$8))),$AM$8)</f>
        <v/>
      </c>
      <c r="AO881">
        <f>IFERROR(IF(AX881&lt;($AM$9-$AL$9)/($AN$9-$AL$9),$AL$9+SQRT(AX881*($AN$9-$AL$9)*($AM$9-$AL$9)),$AN$9-SQRT((1-AX881)*($AN$9-$AL$9)*($AN$9-$AM$9))),$AM$9)</f>
        <v/>
      </c>
      <c r="AP881">
        <f>IFERROR(IF(AY881&lt;($AM$10-$AL$10)/($AN$10-$AL$10),$AL$10+SQRT(AY881*($AN$10-$AL$10)*($AM$10-$AL$10)),$AN$10-SQRT((1-AY881)*($AN$10-$AL$10)*($AN$10-$AM$10))),$AM$10)</f>
        <v/>
      </c>
      <c r="AQ881">
        <f>IFERROR(IF(AZ881&lt;($AM$11-$AL$11)/($AN$11-$AL$11),$AL$11+SQRT(AZ881*($AN$11-$AL$11)*($AM$11-$AL$11)),$AN$11-SQRT((1-AZ881)*($AN$11-$AL$11)*($AN$11-$AM$11))),$AM$11)</f>
        <v/>
      </c>
      <c r="AR881">
        <f>SUMPRODUCT((B24:B31&lt;=$B$6)*(C24:C31*AM881+D24:D31*AO881*$B$8*AQ881)/(1+AL881/100)^B24:B31)+C32*AM881*AP881/(1+AL881/100)^$B$6</f>
        <v/>
      </c>
      <c r="AS881">
        <f>SUMPRODUCT((K24:K26&lt;=$B$6)*(L24:L26*AN881+M24:M26*AO881*$B$8*AQ881)/(1+AL881/100)^K24:K26)+L27*AN881*AP881/(1+AL881/100)^$B$6</f>
        <v/>
      </c>
      <c r="AT881">
        <f>AS881-AR881</f>
        <v/>
      </c>
      <c r="AU881">
        <f>RAND()</f>
        <v/>
      </c>
      <c r="AV881">
        <f>RAND()</f>
        <v/>
      </c>
      <c r="AW881">
        <f>RAND()</f>
        <v/>
      </c>
      <c r="AX881">
        <f>RAND()</f>
        <v/>
      </c>
      <c r="AY881">
        <f>RAND()</f>
        <v/>
      </c>
      <c r="AZ881">
        <f>RAND()</f>
        <v/>
      </c>
    </row>
    <row r="882">
      <c r="AK882" t="n">
        <v>869</v>
      </c>
      <c r="AL882">
        <f>IFERROR(IF(AU882&lt;($AM$6-$AL$6)/($AN$6-$AL$6),$AL$6+SQRT(AU882*($AN$6-$AL$6)*($AM$6-$AL$6)),$AN$6-SQRT((1-AU882)*($AN$6-$AL$6)*($AN$6-$AM$6))),$AM$6)</f>
        <v/>
      </c>
      <c r="AM882">
        <f>IFERROR(IF(AV882&lt;($AM$7-$AL$7)/($AN$7-$AL$7),$AL$7+SQRT(AV882*($AN$7-$AL$7)*($AM$7-$AL$7)),$AN$7-SQRT((1-AV882)*($AN$7-$AL$7)*($AN$7-$AM$7))),$AM$7)</f>
        <v/>
      </c>
      <c r="AN882">
        <f>IFERROR(IF(AW882&lt;($AM$8-$AL$8)/($AN$8-$AL$8),$AL$8+SQRT(AW882*($AN$8-$AL$8)*($AM$8-$AL$8)),$AN$8-SQRT((1-AW882)*($AN$8-$AL$8)*($AN$8-$AM$8))),$AM$8)</f>
        <v/>
      </c>
      <c r="AO882">
        <f>IFERROR(IF(AX882&lt;($AM$9-$AL$9)/($AN$9-$AL$9),$AL$9+SQRT(AX882*($AN$9-$AL$9)*($AM$9-$AL$9)),$AN$9-SQRT((1-AX882)*($AN$9-$AL$9)*($AN$9-$AM$9))),$AM$9)</f>
        <v/>
      </c>
      <c r="AP882">
        <f>IFERROR(IF(AY882&lt;($AM$10-$AL$10)/($AN$10-$AL$10),$AL$10+SQRT(AY882*($AN$10-$AL$10)*($AM$10-$AL$10)),$AN$10-SQRT((1-AY882)*($AN$10-$AL$10)*($AN$10-$AM$10))),$AM$10)</f>
        <v/>
      </c>
      <c r="AQ882">
        <f>IFERROR(IF(AZ882&lt;($AM$11-$AL$11)/($AN$11-$AL$11),$AL$11+SQRT(AZ882*($AN$11-$AL$11)*($AM$11-$AL$11)),$AN$11-SQRT((1-AZ882)*($AN$11-$AL$11)*($AN$11-$AM$11))),$AM$11)</f>
        <v/>
      </c>
      <c r="AR882">
        <f>SUMPRODUCT((B24:B31&lt;=$B$6)*(C24:C31*AM882+D24:D31*AO882*$B$8*AQ882)/(1+AL882/100)^B24:B31)+C32*AM882*AP882/(1+AL882/100)^$B$6</f>
        <v/>
      </c>
      <c r="AS882">
        <f>SUMPRODUCT((K24:K26&lt;=$B$6)*(L24:L26*AN882+M24:M26*AO882*$B$8*AQ882)/(1+AL882/100)^K24:K26)+L27*AN882*AP882/(1+AL882/100)^$B$6</f>
        <v/>
      </c>
      <c r="AT882">
        <f>AS882-AR882</f>
        <v/>
      </c>
      <c r="AU882">
        <f>RAND()</f>
        <v/>
      </c>
      <c r="AV882">
        <f>RAND()</f>
        <v/>
      </c>
      <c r="AW882">
        <f>RAND()</f>
        <v/>
      </c>
      <c r="AX882">
        <f>RAND()</f>
        <v/>
      </c>
      <c r="AY882">
        <f>RAND()</f>
        <v/>
      </c>
      <c r="AZ882">
        <f>RAND()</f>
        <v/>
      </c>
    </row>
    <row r="883">
      <c r="AK883" t="n">
        <v>870</v>
      </c>
      <c r="AL883">
        <f>IFERROR(IF(AU883&lt;($AM$6-$AL$6)/($AN$6-$AL$6),$AL$6+SQRT(AU883*($AN$6-$AL$6)*($AM$6-$AL$6)),$AN$6-SQRT((1-AU883)*($AN$6-$AL$6)*($AN$6-$AM$6))),$AM$6)</f>
        <v/>
      </c>
      <c r="AM883">
        <f>IFERROR(IF(AV883&lt;($AM$7-$AL$7)/($AN$7-$AL$7),$AL$7+SQRT(AV883*($AN$7-$AL$7)*($AM$7-$AL$7)),$AN$7-SQRT((1-AV883)*($AN$7-$AL$7)*($AN$7-$AM$7))),$AM$7)</f>
        <v/>
      </c>
      <c r="AN883">
        <f>IFERROR(IF(AW883&lt;($AM$8-$AL$8)/($AN$8-$AL$8),$AL$8+SQRT(AW883*($AN$8-$AL$8)*($AM$8-$AL$8)),$AN$8-SQRT((1-AW883)*($AN$8-$AL$8)*($AN$8-$AM$8))),$AM$8)</f>
        <v/>
      </c>
      <c r="AO883">
        <f>IFERROR(IF(AX883&lt;($AM$9-$AL$9)/($AN$9-$AL$9),$AL$9+SQRT(AX883*($AN$9-$AL$9)*($AM$9-$AL$9)),$AN$9-SQRT((1-AX883)*($AN$9-$AL$9)*($AN$9-$AM$9))),$AM$9)</f>
        <v/>
      </c>
      <c r="AP883">
        <f>IFERROR(IF(AY883&lt;($AM$10-$AL$10)/($AN$10-$AL$10),$AL$10+SQRT(AY883*($AN$10-$AL$10)*($AM$10-$AL$10)),$AN$10-SQRT((1-AY883)*($AN$10-$AL$10)*($AN$10-$AM$10))),$AM$10)</f>
        <v/>
      </c>
      <c r="AQ883">
        <f>IFERROR(IF(AZ883&lt;($AM$11-$AL$11)/($AN$11-$AL$11),$AL$11+SQRT(AZ883*($AN$11-$AL$11)*($AM$11-$AL$11)),$AN$11-SQRT((1-AZ883)*($AN$11-$AL$11)*($AN$11-$AM$11))),$AM$11)</f>
        <v/>
      </c>
      <c r="AR883">
        <f>SUMPRODUCT((B24:B31&lt;=$B$6)*(C24:C31*AM883+D24:D31*AO883*$B$8*AQ883)/(1+AL883/100)^B24:B31)+C32*AM883*AP883/(1+AL883/100)^$B$6</f>
        <v/>
      </c>
      <c r="AS883">
        <f>SUMPRODUCT((K24:K26&lt;=$B$6)*(L24:L26*AN883+M24:M26*AO883*$B$8*AQ883)/(1+AL883/100)^K24:K26)+L27*AN883*AP883/(1+AL883/100)^$B$6</f>
        <v/>
      </c>
      <c r="AT883">
        <f>AS883-AR883</f>
        <v/>
      </c>
      <c r="AU883">
        <f>RAND()</f>
        <v/>
      </c>
      <c r="AV883">
        <f>RAND()</f>
        <v/>
      </c>
      <c r="AW883">
        <f>RAND()</f>
        <v/>
      </c>
      <c r="AX883">
        <f>RAND()</f>
        <v/>
      </c>
      <c r="AY883">
        <f>RAND()</f>
        <v/>
      </c>
      <c r="AZ883">
        <f>RAND()</f>
        <v/>
      </c>
    </row>
    <row r="884">
      <c r="AK884" t="n">
        <v>871</v>
      </c>
      <c r="AL884">
        <f>IFERROR(IF(AU884&lt;($AM$6-$AL$6)/($AN$6-$AL$6),$AL$6+SQRT(AU884*($AN$6-$AL$6)*($AM$6-$AL$6)),$AN$6-SQRT((1-AU884)*($AN$6-$AL$6)*($AN$6-$AM$6))),$AM$6)</f>
        <v/>
      </c>
      <c r="AM884">
        <f>IFERROR(IF(AV884&lt;($AM$7-$AL$7)/($AN$7-$AL$7),$AL$7+SQRT(AV884*($AN$7-$AL$7)*($AM$7-$AL$7)),$AN$7-SQRT((1-AV884)*($AN$7-$AL$7)*($AN$7-$AM$7))),$AM$7)</f>
        <v/>
      </c>
      <c r="AN884">
        <f>IFERROR(IF(AW884&lt;($AM$8-$AL$8)/($AN$8-$AL$8),$AL$8+SQRT(AW884*($AN$8-$AL$8)*($AM$8-$AL$8)),$AN$8-SQRT((1-AW884)*($AN$8-$AL$8)*($AN$8-$AM$8))),$AM$8)</f>
        <v/>
      </c>
      <c r="AO884">
        <f>IFERROR(IF(AX884&lt;($AM$9-$AL$9)/($AN$9-$AL$9),$AL$9+SQRT(AX884*($AN$9-$AL$9)*($AM$9-$AL$9)),$AN$9-SQRT((1-AX884)*($AN$9-$AL$9)*($AN$9-$AM$9))),$AM$9)</f>
        <v/>
      </c>
      <c r="AP884">
        <f>IFERROR(IF(AY884&lt;($AM$10-$AL$10)/($AN$10-$AL$10),$AL$10+SQRT(AY884*($AN$10-$AL$10)*($AM$10-$AL$10)),$AN$10-SQRT((1-AY884)*($AN$10-$AL$10)*($AN$10-$AM$10))),$AM$10)</f>
        <v/>
      </c>
      <c r="AQ884">
        <f>IFERROR(IF(AZ884&lt;($AM$11-$AL$11)/($AN$11-$AL$11),$AL$11+SQRT(AZ884*($AN$11-$AL$11)*($AM$11-$AL$11)),$AN$11-SQRT((1-AZ884)*($AN$11-$AL$11)*($AN$11-$AM$11))),$AM$11)</f>
        <v/>
      </c>
      <c r="AR884">
        <f>SUMPRODUCT((B24:B31&lt;=$B$6)*(C24:C31*AM884+D24:D31*AO884*$B$8*AQ884)/(1+AL884/100)^B24:B31)+C32*AM884*AP884/(1+AL884/100)^$B$6</f>
        <v/>
      </c>
      <c r="AS884">
        <f>SUMPRODUCT((K24:K26&lt;=$B$6)*(L24:L26*AN884+M24:M26*AO884*$B$8*AQ884)/(1+AL884/100)^K24:K26)+L27*AN884*AP884/(1+AL884/100)^$B$6</f>
        <v/>
      </c>
      <c r="AT884">
        <f>AS884-AR884</f>
        <v/>
      </c>
      <c r="AU884">
        <f>RAND()</f>
        <v/>
      </c>
      <c r="AV884">
        <f>RAND()</f>
        <v/>
      </c>
      <c r="AW884">
        <f>RAND()</f>
        <v/>
      </c>
      <c r="AX884">
        <f>RAND()</f>
        <v/>
      </c>
      <c r="AY884">
        <f>RAND()</f>
        <v/>
      </c>
      <c r="AZ884">
        <f>RAND()</f>
        <v/>
      </c>
    </row>
    <row r="885">
      <c r="AK885" t="n">
        <v>872</v>
      </c>
      <c r="AL885">
        <f>IFERROR(IF(AU885&lt;($AM$6-$AL$6)/($AN$6-$AL$6),$AL$6+SQRT(AU885*($AN$6-$AL$6)*($AM$6-$AL$6)),$AN$6-SQRT((1-AU885)*($AN$6-$AL$6)*($AN$6-$AM$6))),$AM$6)</f>
        <v/>
      </c>
      <c r="AM885">
        <f>IFERROR(IF(AV885&lt;($AM$7-$AL$7)/($AN$7-$AL$7),$AL$7+SQRT(AV885*($AN$7-$AL$7)*($AM$7-$AL$7)),$AN$7-SQRT((1-AV885)*($AN$7-$AL$7)*($AN$7-$AM$7))),$AM$7)</f>
        <v/>
      </c>
      <c r="AN885">
        <f>IFERROR(IF(AW885&lt;($AM$8-$AL$8)/($AN$8-$AL$8),$AL$8+SQRT(AW885*($AN$8-$AL$8)*($AM$8-$AL$8)),$AN$8-SQRT((1-AW885)*($AN$8-$AL$8)*($AN$8-$AM$8))),$AM$8)</f>
        <v/>
      </c>
      <c r="AO885">
        <f>IFERROR(IF(AX885&lt;($AM$9-$AL$9)/($AN$9-$AL$9),$AL$9+SQRT(AX885*($AN$9-$AL$9)*($AM$9-$AL$9)),$AN$9-SQRT((1-AX885)*($AN$9-$AL$9)*($AN$9-$AM$9))),$AM$9)</f>
        <v/>
      </c>
      <c r="AP885">
        <f>IFERROR(IF(AY885&lt;($AM$10-$AL$10)/($AN$10-$AL$10),$AL$10+SQRT(AY885*($AN$10-$AL$10)*($AM$10-$AL$10)),$AN$10-SQRT((1-AY885)*($AN$10-$AL$10)*($AN$10-$AM$10))),$AM$10)</f>
        <v/>
      </c>
      <c r="AQ885">
        <f>IFERROR(IF(AZ885&lt;($AM$11-$AL$11)/($AN$11-$AL$11),$AL$11+SQRT(AZ885*($AN$11-$AL$11)*($AM$11-$AL$11)),$AN$11-SQRT((1-AZ885)*($AN$11-$AL$11)*($AN$11-$AM$11))),$AM$11)</f>
        <v/>
      </c>
      <c r="AR885">
        <f>SUMPRODUCT((B24:B31&lt;=$B$6)*(C24:C31*AM885+D24:D31*AO885*$B$8*AQ885)/(1+AL885/100)^B24:B31)+C32*AM885*AP885/(1+AL885/100)^$B$6</f>
        <v/>
      </c>
      <c r="AS885">
        <f>SUMPRODUCT((K24:K26&lt;=$B$6)*(L24:L26*AN885+M24:M26*AO885*$B$8*AQ885)/(1+AL885/100)^K24:K26)+L27*AN885*AP885/(1+AL885/100)^$B$6</f>
        <v/>
      </c>
      <c r="AT885">
        <f>AS885-AR885</f>
        <v/>
      </c>
      <c r="AU885">
        <f>RAND()</f>
        <v/>
      </c>
      <c r="AV885">
        <f>RAND()</f>
        <v/>
      </c>
      <c r="AW885">
        <f>RAND()</f>
        <v/>
      </c>
      <c r="AX885">
        <f>RAND()</f>
        <v/>
      </c>
      <c r="AY885">
        <f>RAND()</f>
        <v/>
      </c>
      <c r="AZ885">
        <f>RAND()</f>
        <v/>
      </c>
    </row>
    <row r="886">
      <c r="AK886" t="n">
        <v>873</v>
      </c>
      <c r="AL886">
        <f>IFERROR(IF(AU886&lt;($AM$6-$AL$6)/($AN$6-$AL$6),$AL$6+SQRT(AU886*($AN$6-$AL$6)*($AM$6-$AL$6)),$AN$6-SQRT((1-AU886)*($AN$6-$AL$6)*($AN$6-$AM$6))),$AM$6)</f>
        <v/>
      </c>
      <c r="AM886">
        <f>IFERROR(IF(AV886&lt;($AM$7-$AL$7)/($AN$7-$AL$7),$AL$7+SQRT(AV886*($AN$7-$AL$7)*($AM$7-$AL$7)),$AN$7-SQRT((1-AV886)*($AN$7-$AL$7)*($AN$7-$AM$7))),$AM$7)</f>
        <v/>
      </c>
      <c r="AN886">
        <f>IFERROR(IF(AW886&lt;($AM$8-$AL$8)/($AN$8-$AL$8),$AL$8+SQRT(AW886*($AN$8-$AL$8)*($AM$8-$AL$8)),$AN$8-SQRT((1-AW886)*($AN$8-$AL$8)*($AN$8-$AM$8))),$AM$8)</f>
        <v/>
      </c>
      <c r="AO886">
        <f>IFERROR(IF(AX886&lt;($AM$9-$AL$9)/($AN$9-$AL$9),$AL$9+SQRT(AX886*($AN$9-$AL$9)*($AM$9-$AL$9)),$AN$9-SQRT((1-AX886)*($AN$9-$AL$9)*($AN$9-$AM$9))),$AM$9)</f>
        <v/>
      </c>
      <c r="AP886">
        <f>IFERROR(IF(AY886&lt;($AM$10-$AL$10)/($AN$10-$AL$10),$AL$10+SQRT(AY886*($AN$10-$AL$10)*($AM$10-$AL$10)),$AN$10-SQRT((1-AY886)*($AN$10-$AL$10)*($AN$10-$AM$10))),$AM$10)</f>
        <v/>
      </c>
      <c r="AQ886">
        <f>IFERROR(IF(AZ886&lt;($AM$11-$AL$11)/($AN$11-$AL$11),$AL$11+SQRT(AZ886*($AN$11-$AL$11)*($AM$11-$AL$11)),$AN$11-SQRT((1-AZ886)*($AN$11-$AL$11)*($AN$11-$AM$11))),$AM$11)</f>
        <v/>
      </c>
      <c r="AR886">
        <f>SUMPRODUCT((B24:B31&lt;=$B$6)*(C24:C31*AM886+D24:D31*AO886*$B$8*AQ886)/(1+AL886/100)^B24:B31)+C32*AM886*AP886/(1+AL886/100)^$B$6</f>
        <v/>
      </c>
      <c r="AS886">
        <f>SUMPRODUCT((K24:K26&lt;=$B$6)*(L24:L26*AN886+M24:M26*AO886*$B$8*AQ886)/(1+AL886/100)^K24:K26)+L27*AN886*AP886/(1+AL886/100)^$B$6</f>
        <v/>
      </c>
      <c r="AT886">
        <f>AS886-AR886</f>
        <v/>
      </c>
      <c r="AU886">
        <f>RAND()</f>
        <v/>
      </c>
      <c r="AV886">
        <f>RAND()</f>
        <v/>
      </c>
      <c r="AW886">
        <f>RAND()</f>
        <v/>
      </c>
      <c r="AX886">
        <f>RAND()</f>
        <v/>
      </c>
      <c r="AY886">
        <f>RAND()</f>
        <v/>
      </c>
      <c r="AZ886">
        <f>RAND()</f>
        <v/>
      </c>
    </row>
    <row r="887">
      <c r="AK887" t="n">
        <v>874</v>
      </c>
      <c r="AL887">
        <f>IFERROR(IF(AU887&lt;($AM$6-$AL$6)/($AN$6-$AL$6),$AL$6+SQRT(AU887*($AN$6-$AL$6)*($AM$6-$AL$6)),$AN$6-SQRT((1-AU887)*($AN$6-$AL$6)*($AN$6-$AM$6))),$AM$6)</f>
        <v/>
      </c>
      <c r="AM887">
        <f>IFERROR(IF(AV887&lt;($AM$7-$AL$7)/($AN$7-$AL$7),$AL$7+SQRT(AV887*($AN$7-$AL$7)*($AM$7-$AL$7)),$AN$7-SQRT((1-AV887)*($AN$7-$AL$7)*($AN$7-$AM$7))),$AM$7)</f>
        <v/>
      </c>
      <c r="AN887">
        <f>IFERROR(IF(AW887&lt;($AM$8-$AL$8)/($AN$8-$AL$8),$AL$8+SQRT(AW887*($AN$8-$AL$8)*($AM$8-$AL$8)),$AN$8-SQRT((1-AW887)*($AN$8-$AL$8)*($AN$8-$AM$8))),$AM$8)</f>
        <v/>
      </c>
      <c r="AO887">
        <f>IFERROR(IF(AX887&lt;($AM$9-$AL$9)/($AN$9-$AL$9),$AL$9+SQRT(AX887*($AN$9-$AL$9)*($AM$9-$AL$9)),$AN$9-SQRT((1-AX887)*($AN$9-$AL$9)*($AN$9-$AM$9))),$AM$9)</f>
        <v/>
      </c>
      <c r="AP887">
        <f>IFERROR(IF(AY887&lt;($AM$10-$AL$10)/($AN$10-$AL$10),$AL$10+SQRT(AY887*($AN$10-$AL$10)*($AM$10-$AL$10)),$AN$10-SQRT((1-AY887)*($AN$10-$AL$10)*($AN$10-$AM$10))),$AM$10)</f>
        <v/>
      </c>
      <c r="AQ887">
        <f>IFERROR(IF(AZ887&lt;($AM$11-$AL$11)/($AN$11-$AL$11),$AL$11+SQRT(AZ887*($AN$11-$AL$11)*($AM$11-$AL$11)),$AN$11-SQRT((1-AZ887)*($AN$11-$AL$11)*($AN$11-$AM$11))),$AM$11)</f>
        <v/>
      </c>
      <c r="AR887">
        <f>SUMPRODUCT((B24:B31&lt;=$B$6)*(C24:C31*AM887+D24:D31*AO887*$B$8*AQ887)/(1+AL887/100)^B24:B31)+C32*AM887*AP887/(1+AL887/100)^$B$6</f>
        <v/>
      </c>
      <c r="AS887">
        <f>SUMPRODUCT((K24:K26&lt;=$B$6)*(L24:L26*AN887+M24:M26*AO887*$B$8*AQ887)/(1+AL887/100)^K24:K26)+L27*AN887*AP887/(1+AL887/100)^$B$6</f>
        <v/>
      </c>
      <c r="AT887">
        <f>AS887-AR887</f>
        <v/>
      </c>
      <c r="AU887">
        <f>RAND()</f>
        <v/>
      </c>
      <c r="AV887">
        <f>RAND()</f>
        <v/>
      </c>
      <c r="AW887">
        <f>RAND()</f>
        <v/>
      </c>
      <c r="AX887">
        <f>RAND()</f>
        <v/>
      </c>
      <c r="AY887">
        <f>RAND()</f>
        <v/>
      </c>
      <c r="AZ887">
        <f>RAND()</f>
        <v/>
      </c>
    </row>
    <row r="888">
      <c r="AK888" t="n">
        <v>875</v>
      </c>
      <c r="AL888">
        <f>IFERROR(IF(AU888&lt;($AM$6-$AL$6)/($AN$6-$AL$6),$AL$6+SQRT(AU888*($AN$6-$AL$6)*($AM$6-$AL$6)),$AN$6-SQRT((1-AU888)*($AN$6-$AL$6)*($AN$6-$AM$6))),$AM$6)</f>
        <v/>
      </c>
      <c r="AM888">
        <f>IFERROR(IF(AV888&lt;($AM$7-$AL$7)/($AN$7-$AL$7),$AL$7+SQRT(AV888*($AN$7-$AL$7)*($AM$7-$AL$7)),$AN$7-SQRT((1-AV888)*($AN$7-$AL$7)*($AN$7-$AM$7))),$AM$7)</f>
        <v/>
      </c>
      <c r="AN888">
        <f>IFERROR(IF(AW888&lt;($AM$8-$AL$8)/($AN$8-$AL$8),$AL$8+SQRT(AW888*($AN$8-$AL$8)*($AM$8-$AL$8)),$AN$8-SQRT((1-AW888)*($AN$8-$AL$8)*($AN$8-$AM$8))),$AM$8)</f>
        <v/>
      </c>
      <c r="AO888">
        <f>IFERROR(IF(AX888&lt;($AM$9-$AL$9)/($AN$9-$AL$9),$AL$9+SQRT(AX888*($AN$9-$AL$9)*($AM$9-$AL$9)),$AN$9-SQRT((1-AX888)*($AN$9-$AL$9)*($AN$9-$AM$9))),$AM$9)</f>
        <v/>
      </c>
      <c r="AP888">
        <f>IFERROR(IF(AY888&lt;($AM$10-$AL$10)/($AN$10-$AL$10),$AL$10+SQRT(AY888*($AN$10-$AL$10)*($AM$10-$AL$10)),$AN$10-SQRT((1-AY888)*($AN$10-$AL$10)*($AN$10-$AM$10))),$AM$10)</f>
        <v/>
      </c>
      <c r="AQ888">
        <f>IFERROR(IF(AZ888&lt;($AM$11-$AL$11)/($AN$11-$AL$11),$AL$11+SQRT(AZ888*($AN$11-$AL$11)*($AM$11-$AL$11)),$AN$11-SQRT((1-AZ888)*($AN$11-$AL$11)*($AN$11-$AM$11))),$AM$11)</f>
        <v/>
      </c>
      <c r="AR888">
        <f>SUMPRODUCT((B24:B31&lt;=$B$6)*(C24:C31*AM888+D24:D31*AO888*$B$8*AQ888)/(1+AL888/100)^B24:B31)+C32*AM888*AP888/(1+AL888/100)^$B$6</f>
        <v/>
      </c>
      <c r="AS888">
        <f>SUMPRODUCT((K24:K26&lt;=$B$6)*(L24:L26*AN888+M24:M26*AO888*$B$8*AQ888)/(1+AL888/100)^K24:K26)+L27*AN888*AP888/(1+AL888/100)^$B$6</f>
        <v/>
      </c>
      <c r="AT888">
        <f>AS888-AR888</f>
        <v/>
      </c>
      <c r="AU888">
        <f>RAND()</f>
        <v/>
      </c>
      <c r="AV888">
        <f>RAND()</f>
        <v/>
      </c>
      <c r="AW888">
        <f>RAND()</f>
        <v/>
      </c>
      <c r="AX888">
        <f>RAND()</f>
        <v/>
      </c>
      <c r="AY888">
        <f>RAND()</f>
        <v/>
      </c>
      <c r="AZ888">
        <f>RAND()</f>
        <v/>
      </c>
    </row>
    <row r="889">
      <c r="AK889" t="n">
        <v>876</v>
      </c>
      <c r="AL889">
        <f>IFERROR(IF(AU889&lt;($AM$6-$AL$6)/($AN$6-$AL$6),$AL$6+SQRT(AU889*($AN$6-$AL$6)*($AM$6-$AL$6)),$AN$6-SQRT((1-AU889)*($AN$6-$AL$6)*($AN$6-$AM$6))),$AM$6)</f>
        <v/>
      </c>
      <c r="AM889">
        <f>IFERROR(IF(AV889&lt;($AM$7-$AL$7)/($AN$7-$AL$7),$AL$7+SQRT(AV889*($AN$7-$AL$7)*($AM$7-$AL$7)),$AN$7-SQRT((1-AV889)*($AN$7-$AL$7)*($AN$7-$AM$7))),$AM$7)</f>
        <v/>
      </c>
      <c r="AN889">
        <f>IFERROR(IF(AW889&lt;($AM$8-$AL$8)/($AN$8-$AL$8),$AL$8+SQRT(AW889*($AN$8-$AL$8)*($AM$8-$AL$8)),$AN$8-SQRT((1-AW889)*($AN$8-$AL$8)*($AN$8-$AM$8))),$AM$8)</f>
        <v/>
      </c>
      <c r="AO889">
        <f>IFERROR(IF(AX889&lt;($AM$9-$AL$9)/($AN$9-$AL$9),$AL$9+SQRT(AX889*($AN$9-$AL$9)*($AM$9-$AL$9)),$AN$9-SQRT((1-AX889)*($AN$9-$AL$9)*($AN$9-$AM$9))),$AM$9)</f>
        <v/>
      </c>
      <c r="AP889">
        <f>IFERROR(IF(AY889&lt;($AM$10-$AL$10)/($AN$10-$AL$10),$AL$10+SQRT(AY889*($AN$10-$AL$10)*($AM$10-$AL$10)),$AN$10-SQRT((1-AY889)*($AN$10-$AL$10)*($AN$10-$AM$10))),$AM$10)</f>
        <v/>
      </c>
      <c r="AQ889">
        <f>IFERROR(IF(AZ889&lt;($AM$11-$AL$11)/($AN$11-$AL$11),$AL$11+SQRT(AZ889*($AN$11-$AL$11)*($AM$11-$AL$11)),$AN$11-SQRT((1-AZ889)*($AN$11-$AL$11)*($AN$11-$AM$11))),$AM$11)</f>
        <v/>
      </c>
      <c r="AR889">
        <f>SUMPRODUCT((B24:B31&lt;=$B$6)*(C24:C31*AM889+D24:D31*AO889*$B$8*AQ889)/(1+AL889/100)^B24:B31)+C32*AM889*AP889/(1+AL889/100)^$B$6</f>
        <v/>
      </c>
      <c r="AS889">
        <f>SUMPRODUCT((K24:K26&lt;=$B$6)*(L24:L26*AN889+M24:M26*AO889*$B$8*AQ889)/(1+AL889/100)^K24:K26)+L27*AN889*AP889/(1+AL889/100)^$B$6</f>
        <v/>
      </c>
      <c r="AT889">
        <f>AS889-AR889</f>
        <v/>
      </c>
      <c r="AU889">
        <f>RAND()</f>
        <v/>
      </c>
      <c r="AV889">
        <f>RAND()</f>
        <v/>
      </c>
      <c r="AW889">
        <f>RAND()</f>
        <v/>
      </c>
      <c r="AX889">
        <f>RAND()</f>
        <v/>
      </c>
      <c r="AY889">
        <f>RAND()</f>
        <v/>
      </c>
      <c r="AZ889">
        <f>RAND()</f>
        <v/>
      </c>
    </row>
    <row r="890">
      <c r="AK890" t="n">
        <v>877</v>
      </c>
      <c r="AL890">
        <f>IFERROR(IF(AU890&lt;($AM$6-$AL$6)/($AN$6-$AL$6),$AL$6+SQRT(AU890*($AN$6-$AL$6)*($AM$6-$AL$6)),$AN$6-SQRT((1-AU890)*($AN$6-$AL$6)*($AN$6-$AM$6))),$AM$6)</f>
        <v/>
      </c>
      <c r="AM890">
        <f>IFERROR(IF(AV890&lt;($AM$7-$AL$7)/($AN$7-$AL$7),$AL$7+SQRT(AV890*($AN$7-$AL$7)*($AM$7-$AL$7)),$AN$7-SQRT((1-AV890)*($AN$7-$AL$7)*($AN$7-$AM$7))),$AM$7)</f>
        <v/>
      </c>
      <c r="AN890">
        <f>IFERROR(IF(AW890&lt;($AM$8-$AL$8)/($AN$8-$AL$8),$AL$8+SQRT(AW890*($AN$8-$AL$8)*($AM$8-$AL$8)),$AN$8-SQRT((1-AW890)*($AN$8-$AL$8)*($AN$8-$AM$8))),$AM$8)</f>
        <v/>
      </c>
      <c r="AO890">
        <f>IFERROR(IF(AX890&lt;($AM$9-$AL$9)/($AN$9-$AL$9),$AL$9+SQRT(AX890*($AN$9-$AL$9)*($AM$9-$AL$9)),$AN$9-SQRT((1-AX890)*($AN$9-$AL$9)*($AN$9-$AM$9))),$AM$9)</f>
        <v/>
      </c>
      <c r="AP890">
        <f>IFERROR(IF(AY890&lt;($AM$10-$AL$10)/($AN$10-$AL$10),$AL$10+SQRT(AY890*($AN$10-$AL$10)*($AM$10-$AL$10)),$AN$10-SQRT((1-AY890)*($AN$10-$AL$10)*($AN$10-$AM$10))),$AM$10)</f>
        <v/>
      </c>
      <c r="AQ890">
        <f>IFERROR(IF(AZ890&lt;($AM$11-$AL$11)/($AN$11-$AL$11),$AL$11+SQRT(AZ890*($AN$11-$AL$11)*($AM$11-$AL$11)),$AN$11-SQRT((1-AZ890)*($AN$11-$AL$11)*($AN$11-$AM$11))),$AM$11)</f>
        <v/>
      </c>
      <c r="AR890">
        <f>SUMPRODUCT((B24:B31&lt;=$B$6)*(C24:C31*AM890+D24:D31*AO890*$B$8*AQ890)/(1+AL890/100)^B24:B31)+C32*AM890*AP890/(1+AL890/100)^$B$6</f>
        <v/>
      </c>
      <c r="AS890">
        <f>SUMPRODUCT((K24:K26&lt;=$B$6)*(L24:L26*AN890+M24:M26*AO890*$B$8*AQ890)/(1+AL890/100)^K24:K26)+L27*AN890*AP890/(1+AL890/100)^$B$6</f>
        <v/>
      </c>
      <c r="AT890">
        <f>AS890-AR890</f>
        <v/>
      </c>
      <c r="AU890">
        <f>RAND()</f>
        <v/>
      </c>
      <c r="AV890">
        <f>RAND()</f>
        <v/>
      </c>
      <c r="AW890">
        <f>RAND()</f>
        <v/>
      </c>
      <c r="AX890">
        <f>RAND()</f>
        <v/>
      </c>
      <c r="AY890">
        <f>RAND()</f>
        <v/>
      </c>
      <c r="AZ890">
        <f>RAND()</f>
        <v/>
      </c>
    </row>
    <row r="891">
      <c r="AK891" t="n">
        <v>878</v>
      </c>
      <c r="AL891">
        <f>IFERROR(IF(AU891&lt;($AM$6-$AL$6)/($AN$6-$AL$6),$AL$6+SQRT(AU891*($AN$6-$AL$6)*($AM$6-$AL$6)),$AN$6-SQRT((1-AU891)*($AN$6-$AL$6)*($AN$6-$AM$6))),$AM$6)</f>
        <v/>
      </c>
      <c r="AM891">
        <f>IFERROR(IF(AV891&lt;($AM$7-$AL$7)/($AN$7-$AL$7),$AL$7+SQRT(AV891*($AN$7-$AL$7)*($AM$7-$AL$7)),$AN$7-SQRT((1-AV891)*($AN$7-$AL$7)*($AN$7-$AM$7))),$AM$7)</f>
        <v/>
      </c>
      <c r="AN891">
        <f>IFERROR(IF(AW891&lt;($AM$8-$AL$8)/($AN$8-$AL$8),$AL$8+SQRT(AW891*($AN$8-$AL$8)*($AM$8-$AL$8)),$AN$8-SQRT((1-AW891)*($AN$8-$AL$8)*($AN$8-$AM$8))),$AM$8)</f>
        <v/>
      </c>
      <c r="AO891">
        <f>IFERROR(IF(AX891&lt;($AM$9-$AL$9)/($AN$9-$AL$9),$AL$9+SQRT(AX891*($AN$9-$AL$9)*($AM$9-$AL$9)),$AN$9-SQRT((1-AX891)*($AN$9-$AL$9)*($AN$9-$AM$9))),$AM$9)</f>
        <v/>
      </c>
      <c r="AP891">
        <f>IFERROR(IF(AY891&lt;($AM$10-$AL$10)/($AN$10-$AL$10),$AL$10+SQRT(AY891*($AN$10-$AL$10)*($AM$10-$AL$10)),$AN$10-SQRT((1-AY891)*($AN$10-$AL$10)*($AN$10-$AM$10))),$AM$10)</f>
        <v/>
      </c>
      <c r="AQ891">
        <f>IFERROR(IF(AZ891&lt;($AM$11-$AL$11)/($AN$11-$AL$11),$AL$11+SQRT(AZ891*($AN$11-$AL$11)*($AM$11-$AL$11)),$AN$11-SQRT((1-AZ891)*($AN$11-$AL$11)*($AN$11-$AM$11))),$AM$11)</f>
        <v/>
      </c>
      <c r="AR891">
        <f>SUMPRODUCT((B24:B31&lt;=$B$6)*(C24:C31*AM891+D24:D31*AO891*$B$8*AQ891)/(1+AL891/100)^B24:B31)+C32*AM891*AP891/(1+AL891/100)^$B$6</f>
        <v/>
      </c>
      <c r="AS891">
        <f>SUMPRODUCT((K24:K26&lt;=$B$6)*(L24:L26*AN891+M24:M26*AO891*$B$8*AQ891)/(1+AL891/100)^K24:K26)+L27*AN891*AP891/(1+AL891/100)^$B$6</f>
        <v/>
      </c>
      <c r="AT891">
        <f>AS891-AR891</f>
        <v/>
      </c>
      <c r="AU891">
        <f>RAND()</f>
        <v/>
      </c>
      <c r="AV891">
        <f>RAND()</f>
        <v/>
      </c>
      <c r="AW891">
        <f>RAND()</f>
        <v/>
      </c>
      <c r="AX891">
        <f>RAND()</f>
        <v/>
      </c>
      <c r="AY891">
        <f>RAND()</f>
        <v/>
      </c>
      <c r="AZ891">
        <f>RAND()</f>
        <v/>
      </c>
    </row>
    <row r="892">
      <c r="AK892" t="n">
        <v>879</v>
      </c>
      <c r="AL892">
        <f>IFERROR(IF(AU892&lt;($AM$6-$AL$6)/($AN$6-$AL$6),$AL$6+SQRT(AU892*($AN$6-$AL$6)*($AM$6-$AL$6)),$AN$6-SQRT((1-AU892)*($AN$6-$AL$6)*($AN$6-$AM$6))),$AM$6)</f>
        <v/>
      </c>
      <c r="AM892">
        <f>IFERROR(IF(AV892&lt;($AM$7-$AL$7)/($AN$7-$AL$7),$AL$7+SQRT(AV892*($AN$7-$AL$7)*($AM$7-$AL$7)),$AN$7-SQRT((1-AV892)*($AN$7-$AL$7)*($AN$7-$AM$7))),$AM$7)</f>
        <v/>
      </c>
      <c r="AN892">
        <f>IFERROR(IF(AW892&lt;($AM$8-$AL$8)/($AN$8-$AL$8),$AL$8+SQRT(AW892*($AN$8-$AL$8)*($AM$8-$AL$8)),$AN$8-SQRT((1-AW892)*($AN$8-$AL$8)*($AN$8-$AM$8))),$AM$8)</f>
        <v/>
      </c>
      <c r="AO892">
        <f>IFERROR(IF(AX892&lt;($AM$9-$AL$9)/($AN$9-$AL$9),$AL$9+SQRT(AX892*($AN$9-$AL$9)*($AM$9-$AL$9)),$AN$9-SQRT((1-AX892)*($AN$9-$AL$9)*($AN$9-$AM$9))),$AM$9)</f>
        <v/>
      </c>
      <c r="AP892">
        <f>IFERROR(IF(AY892&lt;($AM$10-$AL$10)/($AN$10-$AL$10),$AL$10+SQRT(AY892*($AN$10-$AL$10)*($AM$10-$AL$10)),$AN$10-SQRT((1-AY892)*($AN$10-$AL$10)*($AN$10-$AM$10))),$AM$10)</f>
        <v/>
      </c>
      <c r="AQ892">
        <f>IFERROR(IF(AZ892&lt;($AM$11-$AL$11)/($AN$11-$AL$11),$AL$11+SQRT(AZ892*($AN$11-$AL$11)*($AM$11-$AL$11)),$AN$11-SQRT((1-AZ892)*($AN$11-$AL$11)*($AN$11-$AM$11))),$AM$11)</f>
        <v/>
      </c>
      <c r="AR892">
        <f>SUMPRODUCT((B24:B31&lt;=$B$6)*(C24:C31*AM892+D24:D31*AO892*$B$8*AQ892)/(1+AL892/100)^B24:B31)+C32*AM892*AP892/(1+AL892/100)^$B$6</f>
        <v/>
      </c>
      <c r="AS892">
        <f>SUMPRODUCT((K24:K26&lt;=$B$6)*(L24:L26*AN892+M24:M26*AO892*$B$8*AQ892)/(1+AL892/100)^K24:K26)+L27*AN892*AP892/(1+AL892/100)^$B$6</f>
        <v/>
      </c>
      <c r="AT892">
        <f>AS892-AR892</f>
        <v/>
      </c>
      <c r="AU892">
        <f>RAND()</f>
        <v/>
      </c>
      <c r="AV892">
        <f>RAND()</f>
        <v/>
      </c>
      <c r="AW892">
        <f>RAND()</f>
        <v/>
      </c>
      <c r="AX892">
        <f>RAND()</f>
        <v/>
      </c>
      <c r="AY892">
        <f>RAND()</f>
        <v/>
      </c>
      <c r="AZ892">
        <f>RAND()</f>
        <v/>
      </c>
    </row>
    <row r="893">
      <c r="AK893" t="n">
        <v>880</v>
      </c>
      <c r="AL893">
        <f>IFERROR(IF(AU893&lt;($AM$6-$AL$6)/($AN$6-$AL$6),$AL$6+SQRT(AU893*($AN$6-$AL$6)*($AM$6-$AL$6)),$AN$6-SQRT((1-AU893)*($AN$6-$AL$6)*($AN$6-$AM$6))),$AM$6)</f>
        <v/>
      </c>
      <c r="AM893">
        <f>IFERROR(IF(AV893&lt;($AM$7-$AL$7)/($AN$7-$AL$7),$AL$7+SQRT(AV893*($AN$7-$AL$7)*($AM$7-$AL$7)),$AN$7-SQRT((1-AV893)*($AN$7-$AL$7)*($AN$7-$AM$7))),$AM$7)</f>
        <v/>
      </c>
      <c r="AN893">
        <f>IFERROR(IF(AW893&lt;($AM$8-$AL$8)/($AN$8-$AL$8),$AL$8+SQRT(AW893*($AN$8-$AL$8)*($AM$8-$AL$8)),$AN$8-SQRT((1-AW893)*($AN$8-$AL$8)*($AN$8-$AM$8))),$AM$8)</f>
        <v/>
      </c>
      <c r="AO893">
        <f>IFERROR(IF(AX893&lt;($AM$9-$AL$9)/($AN$9-$AL$9),$AL$9+SQRT(AX893*($AN$9-$AL$9)*($AM$9-$AL$9)),$AN$9-SQRT((1-AX893)*($AN$9-$AL$9)*($AN$9-$AM$9))),$AM$9)</f>
        <v/>
      </c>
      <c r="AP893">
        <f>IFERROR(IF(AY893&lt;($AM$10-$AL$10)/($AN$10-$AL$10),$AL$10+SQRT(AY893*($AN$10-$AL$10)*($AM$10-$AL$10)),$AN$10-SQRT((1-AY893)*($AN$10-$AL$10)*($AN$10-$AM$10))),$AM$10)</f>
        <v/>
      </c>
      <c r="AQ893">
        <f>IFERROR(IF(AZ893&lt;($AM$11-$AL$11)/($AN$11-$AL$11),$AL$11+SQRT(AZ893*($AN$11-$AL$11)*($AM$11-$AL$11)),$AN$11-SQRT((1-AZ893)*($AN$11-$AL$11)*($AN$11-$AM$11))),$AM$11)</f>
        <v/>
      </c>
      <c r="AR893">
        <f>SUMPRODUCT((B24:B31&lt;=$B$6)*(C24:C31*AM893+D24:D31*AO893*$B$8*AQ893)/(1+AL893/100)^B24:B31)+C32*AM893*AP893/(1+AL893/100)^$B$6</f>
        <v/>
      </c>
      <c r="AS893">
        <f>SUMPRODUCT((K24:K26&lt;=$B$6)*(L24:L26*AN893+M24:M26*AO893*$B$8*AQ893)/(1+AL893/100)^K24:K26)+L27*AN893*AP893/(1+AL893/100)^$B$6</f>
        <v/>
      </c>
      <c r="AT893">
        <f>AS893-AR893</f>
        <v/>
      </c>
      <c r="AU893">
        <f>RAND()</f>
        <v/>
      </c>
      <c r="AV893">
        <f>RAND()</f>
        <v/>
      </c>
      <c r="AW893">
        <f>RAND()</f>
        <v/>
      </c>
      <c r="AX893">
        <f>RAND()</f>
        <v/>
      </c>
      <c r="AY893">
        <f>RAND()</f>
        <v/>
      </c>
      <c r="AZ893">
        <f>RAND()</f>
        <v/>
      </c>
    </row>
    <row r="894">
      <c r="AK894" t="n">
        <v>881</v>
      </c>
      <c r="AL894">
        <f>IFERROR(IF(AU894&lt;($AM$6-$AL$6)/($AN$6-$AL$6),$AL$6+SQRT(AU894*($AN$6-$AL$6)*($AM$6-$AL$6)),$AN$6-SQRT((1-AU894)*($AN$6-$AL$6)*($AN$6-$AM$6))),$AM$6)</f>
        <v/>
      </c>
      <c r="AM894">
        <f>IFERROR(IF(AV894&lt;($AM$7-$AL$7)/($AN$7-$AL$7),$AL$7+SQRT(AV894*($AN$7-$AL$7)*($AM$7-$AL$7)),$AN$7-SQRT((1-AV894)*($AN$7-$AL$7)*($AN$7-$AM$7))),$AM$7)</f>
        <v/>
      </c>
      <c r="AN894">
        <f>IFERROR(IF(AW894&lt;($AM$8-$AL$8)/($AN$8-$AL$8),$AL$8+SQRT(AW894*($AN$8-$AL$8)*($AM$8-$AL$8)),$AN$8-SQRT((1-AW894)*($AN$8-$AL$8)*($AN$8-$AM$8))),$AM$8)</f>
        <v/>
      </c>
      <c r="AO894">
        <f>IFERROR(IF(AX894&lt;($AM$9-$AL$9)/($AN$9-$AL$9),$AL$9+SQRT(AX894*($AN$9-$AL$9)*($AM$9-$AL$9)),$AN$9-SQRT((1-AX894)*($AN$9-$AL$9)*($AN$9-$AM$9))),$AM$9)</f>
        <v/>
      </c>
      <c r="AP894">
        <f>IFERROR(IF(AY894&lt;($AM$10-$AL$10)/($AN$10-$AL$10),$AL$10+SQRT(AY894*($AN$10-$AL$10)*($AM$10-$AL$10)),$AN$10-SQRT((1-AY894)*($AN$10-$AL$10)*($AN$10-$AM$10))),$AM$10)</f>
        <v/>
      </c>
      <c r="AQ894">
        <f>IFERROR(IF(AZ894&lt;($AM$11-$AL$11)/($AN$11-$AL$11),$AL$11+SQRT(AZ894*($AN$11-$AL$11)*($AM$11-$AL$11)),$AN$11-SQRT((1-AZ894)*($AN$11-$AL$11)*($AN$11-$AM$11))),$AM$11)</f>
        <v/>
      </c>
      <c r="AR894">
        <f>SUMPRODUCT((B24:B31&lt;=$B$6)*(C24:C31*AM894+D24:D31*AO894*$B$8*AQ894)/(1+AL894/100)^B24:B31)+C32*AM894*AP894/(1+AL894/100)^$B$6</f>
        <v/>
      </c>
      <c r="AS894">
        <f>SUMPRODUCT((K24:K26&lt;=$B$6)*(L24:L26*AN894+M24:M26*AO894*$B$8*AQ894)/(1+AL894/100)^K24:K26)+L27*AN894*AP894/(1+AL894/100)^$B$6</f>
        <v/>
      </c>
      <c r="AT894">
        <f>AS894-AR894</f>
        <v/>
      </c>
      <c r="AU894">
        <f>RAND()</f>
        <v/>
      </c>
      <c r="AV894">
        <f>RAND()</f>
        <v/>
      </c>
      <c r="AW894">
        <f>RAND()</f>
        <v/>
      </c>
      <c r="AX894">
        <f>RAND()</f>
        <v/>
      </c>
      <c r="AY894">
        <f>RAND()</f>
        <v/>
      </c>
      <c r="AZ894">
        <f>RAND()</f>
        <v/>
      </c>
    </row>
    <row r="895">
      <c r="AK895" t="n">
        <v>882</v>
      </c>
      <c r="AL895">
        <f>IFERROR(IF(AU895&lt;($AM$6-$AL$6)/($AN$6-$AL$6),$AL$6+SQRT(AU895*($AN$6-$AL$6)*($AM$6-$AL$6)),$AN$6-SQRT((1-AU895)*($AN$6-$AL$6)*($AN$6-$AM$6))),$AM$6)</f>
        <v/>
      </c>
      <c r="AM895">
        <f>IFERROR(IF(AV895&lt;($AM$7-$AL$7)/($AN$7-$AL$7),$AL$7+SQRT(AV895*($AN$7-$AL$7)*($AM$7-$AL$7)),$AN$7-SQRT((1-AV895)*($AN$7-$AL$7)*($AN$7-$AM$7))),$AM$7)</f>
        <v/>
      </c>
      <c r="AN895">
        <f>IFERROR(IF(AW895&lt;($AM$8-$AL$8)/($AN$8-$AL$8),$AL$8+SQRT(AW895*($AN$8-$AL$8)*($AM$8-$AL$8)),$AN$8-SQRT((1-AW895)*($AN$8-$AL$8)*($AN$8-$AM$8))),$AM$8)</f>
        <v/>
      </c>
      <c r="AO895">
        <f>IFERROR(IF(AX895&lt;($AM$9-$AL$9)/($AN$9-$AL$9),$AL$9+SQRT(AX895*($AN$9-$AL$9)*($AM$9-$AL$9)),$AN$9-SQRT((1-AX895)*($AN$9-$AL$9)*($AN$9-$AM$9))),$AM$9)</f>
        <v/>
      </c>
      <c r="AP895">
        <f>IFERROR(IF(AY895&lt;($AM$10-$AL$10)/($AN$10-$AL$10),$AL$10+SQRT(AY895*($AN$10-$AL$10)*($AM$10-$AL$10)),$AN$10-SQRT((1-AY895)*($AN$10-$AL$10)*($AN$10-$AM$10))),$AM$10)</f>
        <v/>
      </c>
      <c r="AQ895">
        <f>IFERROR(IF(AZ895&lt;($AM$11-$AL$11)/($AN$11-$AL$11),$AL$11+SQRT(AZ895*($AN$11-$AL$11)*($AM$11-$AL$11)),$AN$11-SQRT((1-AZ895)*($AN$11-$AL$11)*($AN$11-$AM$11))),$AM$11)</f>
        <v/>
      </c>
      <c r="AR895">
        <f>SUMPRODUCT((B24:B31&lt;=$B$6)*(C24:C31*AM895+D24:D31*AO895*$B$8*AQ895)/(1+AL895/100)^B24:B31)+C32*AM895*AP895/(1+AL895/100)^$B$6</f>
        <v/>
      </c>
      <c r="AS895">
        <f>SUMPRODUCT((K24:K26&lt;=$B$6)*(L24:L26*AN895+M24:M26*AO895*$B$8*AQ895)/(1+AL895/100)^K24:K26)+L27*AN895*AP895/(1+AL895/100)^$B$6</f>
        <v/>
      </c>
      <c r="AT895">
        <f>AS895-AR895</f>
        <v/>
      </c>
      <c r="AU895">
        <f>RAND()</f>
        <v/>
      </c>
      <c r="AV895">
        <f>RAND()</f>
        <v/>
      </c>
      <c r="AW895">
        <f>RAND()</f>
        <v/>
      </c>
      <c r="AX895">
        <f>RAND()</f>
        <v/>
      </c>
      <c r="AY895">
        <f>RAND()</f>
        <v/>
      </c>
      <c r="AZ895">
        <f>RAND()</f>
        <v/>
      </c>
    </row>
    <row r="896">
      <c r="AK896" t="n">
        <v>883</v>
      </c>
      <c r="AL896">
        <f>IFERROR(IF(AU896&lt;($AM$6-$AL$6)/($AN$6-$AL$6),$AL$6+SQRT(AU896*($AN$6-$AL$6)*($AM$6-$AL$6)),$AN$6-SQRT((1-AU896)*($AN$6-$AL$6)*($AN$6-$AM$6))),$AM$6)</f>
        <v/>
      </c>
      <c r="AM896">
        <f>IFERROR(IF(AV896&lt;($AM$7-$AL$7)/($AN$7-$AL$7),$AL$7+SQRT(AV896*($AN$7-$AL$7)*($AM$7-$AL$7)),$AN$7-SQRT((1-AV896)*($AN$7-$AL$7)*($AN$7-$AM$7))),$AM$7)</f>
        <v/>
      </c>
      <c r="AN896">
        <f>IFERROR(IF(AW896&lt;($AM$8-$AL$8)/($AN$8-$AL$8),$AL$8+SQRT(AW896*($AN$8-$AL$8)*($AM$8-$AL$8)),$AN$8-SQRT((1-AW896)*($AN$8-$AL$8)*($AN$8-$AM$8))),$AM$8)</f>
        <v/>
      </c>
      <c r="AO896">
        <f>IFERROR(IF(AX896&lt;($AM$9-$AL$9)/($AN$9-$AL$9),$AL$9+SQRT(AX896*($AN$9-$AL$9)*($AM$9-$AL$9)),$AN$9-SQRT((1-AX896)*($AN$9-$AL$9)*($AN$9-$AM$9))),$AM$9)</f>
        <v/>
      </c>
      <c r="AP896">
        <f>IFERROR(IF(AY896&lt;($AM$10-$AL$10)/($AN$10-$AL$10),$AL$10+SQRT(AY896*($AN$10-$AL$10)*($AM$10-$AL$10)),$AN$10-SQRT((1-AY896)*($AN$10-$AL$10)*($AN$10-$AM$10))),$AM$10)</f>
        <v/>
      </c>
      <c r="AQ896">
        <f>IFERROR(IF(AZ896&lt;($AM$11-$AL$11)/($AN$11-$AL$11),$AL$11+SQRT(AZ896*($AN$11-$AL$11)*($AM$11-$AL$11)),$AN$11-SQRT((1-AZ896)*($AN$11-$AL$11)*($AN$11-$AM$11))),$AM$11)</f>
        <v/>
      </c>
      <c r="AR896">
        <f>SUMPRODUCT((B24:B31&lt;=$B$6)*(C24:C31*AM896+D24:D31*AO896*$B$8*AQ896)/(1+AL896/100)^B24:B31)+C32*AM896*AP896/(1+AL896/100)^$B$6</f>
        <v/>
      </c>
      <c r="AS896">
        <f>SUMPRODUCT((K24:K26&lt;=$B$6)*(L24:L26*AN896+M24:M26*AO896*$B$8*AQ896)/(1+AL896/100)^K24:K26)+L27*AN896*AP896/(1+AL896/100)^$B$6</f>
        <v/>
      </c>
      <c r="AT896">
        <f>AS896-AR896</f>
        <v/>
      </c>
      <c r="AU896">
        <f>RAND()</f>
        <v/>
      </c>
      <c r="AV896">
        <f>RAND()</f>
        <v/>
      </c>
      <c r="AW896">
        <f>RAND()</f>
        <v/>
      </c>
      <c r="AX896">
        <f>RAND()</f>
        <v/>
      </c>
      <c r="AY896">
        <f>RAND()</f>
        <v/>
      </c>
      <c r="AZ896">
        <f>RAND()</f>
        <v/>
      </c>
    </row>
    <row r="897">
      <c r="AK897" t="n">
        <v>884</v>
      </c>
      <c r="AL897">
        <f>IFERROR(IF(AU897&lt;($AM$6-$AL$6)/($AN$6-$AL$6),$AL$6+SQRT(AU897*($AN$6-$AL$6)*($AM$6-$AL$6)),$AN$6-SQRT((1-AU897)*($AN$6-$AL$6)*($AN$6-$AM$6))),$AM$6)</f>
        <v/>
      </c>
      <c r="AM897">
        <f>IFERROR(IF(AV897&lt;($AM$7-$AL$7)/($AN$7-$AL$7),$AL$7+SQRT(AV897*($AN$7-$AL$7)*($AM$7-$AL$7)),$AN$7-SQRT((1-AV897)*($AN$7-$AL$7)*($AN$7-$AM$7))),$AM$7)</f>
        <v/>
      </c>
      <c r="AN897">
        <f>IFERROR(IF(AW897&lt;($AM$8-$AL$8)/($AN$8-$AL$8),$AL$8+SQRT(AW897*($AN$8-$AL$8)*($AM$8-$AL$8)),$AN$8-SQRT((1-AW897)*($AN$8-$AL$8)*($AN$8-$AM$8))),$AM$8)</f>
        <v/>
      </c>
      <c r="AO897">
        <f>IFERROR(IF(AX897&lt;($AM$9-$AL$9)/($AN$9-$AL$9),$AL$9+SQRT(AX897*($AN$9-$AL$9)*($AM$9-$AL$9)),$AN$9-SQRT((1-AX897)*($AN$9-$AL$9)*($AN$9-$AM$9))),$AM$9)</f>
        <v/>
      </c>
      <c r="AP897">
        <f>IFERROR(IF(AY897&lt;($AM$10-$AL$10)/($AN$10-$AL$10),$AL$10+SQRT(AY897*($AN$10-$AL$10)*($AM$10-$AL$10)),$AN$10-SQRT((1-AY897)*($AN$10-$AL$10)*($AN$10-$AM$10))),$AM$10)</f>
        <v/>
      </c>
      <c r="AQ897">
        <f>IFERROR(IF(AZ897&lt;($AM$11-$AL$11)/($AN$11-$AL$11),$AL$11+SQRT(AZ897*($AN$11-$AL$11)*($AM$11-$AL$11)),$AN$11-SQRT((1-AZ897)*($AN$11-$AL$11)*($AN$11-$AM$11))),$AM$11)</f>
        <v/>
      </c>
      <c r="AR897">
        <f>SUMPRODUCT((B24:B31&lt;=$B$6)*(C24:C31*AM897+D24:D31*AO897*$B$8*AQ897)/(1+AL897/100)^B24:B31)+C32*AM897*AP897/(1+AL897/100)^$B$6</f>
        <v/>
      </c>
      <c r="AS897">
        <f>SUMPRODUCT((K24:K26&lt;=$B$6)*(L24:L26*AN897+M24:M26*AO897*$B$8*AQ897)/(1+AL897/100)^K24:K26)+L27*AN897*AP897/(1+AL897/100)^$B$6</f>
        <v/>
      </c>
      <c r="AT897">
        <f>AS897-AR897</f>
        <v/>
      </c>
      <c r="AU897">
        <f>RAND()</f>
        <v/>
      </c>
      <c r="AV897">
        <f>RAND()</f>
        <v/>
      </c>
      <c r="AW897">
        <f>RAND()</f>
        <v/>
      </c>
      <c r="AX897">
        <f>RAND()</f>
        <v/>
      </c>
      <c r="AY897">
        <f>RAND()</f>
        <v/>
      </c>
      <c r="AZ897">
        <f>RAND()</f>
        <v/>
      </c>
    </row>
    <row r="898">
      <c r="AK898" t="n">
        <v>885</v>
      </c>
      <c r="AL898">
        <f>IFERROR(IF(AU898&lt;($AM$6-$AL$6)/($AN$6-$AL$6),$AL$6+SQRT(AU898*($AN$6-$AL$6)*($AM$6-$AL$6)),$AN$6-SQRT((1-AU898)*($AN$6-$AL$6)*($AN$6-$AM$6))),$AM$6)</f>
        <v/>
      </c>
      <c r="AM898">
        <f>IFERROR(IF(AV898&lt;($AM$7-$AL$7)/($AN$7-$AL$7),$AL$7+SQRT(AV898*($AN$7-$AL$7)*($AM$7-$AL$7)),$AN$7-SQRT((1-AV898)*($AN$7-$AL$7)*($AN$7-$AM$7))),$AM$7)</f>
        <v/>
      </c>
      <c r="AN898">
        <f>IFERROR(IF(AW898&lt;($AM$8-$AL$8)/($AN$8-$AL$8),$AL$8+SQRT(AW898*($AN$8-$AL$8)*($AM$8-$AL$8)),$AN$8-SQRT((1-AW898)*($AN$8-$AL$8)*($AN$8-$AM$8))),$AM$8)</f>
        <v/>
      </c>
      <c r="AO898">
        <f>IFERROR(IF(AX898&lt;($AM$9-$AL$9)/($AN$9-$AL$9),$AL$9+SQRT(AX898*($AN$9-$AL$9)*($AM$9-$AL$9)),$AN$9-SQRT((1-AX898)*($AN$9-$AL$9)*($AN$9-$AM$9))),$AM$9)</f>
        <v/>
      </c>
      <c r="AP898">
        <f>IFERROR(IF(AY898&lt;($AM$10-$AL$10)/($AN$10-$AL$10),$AL$10+SQRT(AY898*($AN$10-$AL$10)*($AM$10-$AL$10)),$AN$10-SQRT((1-AY898)*($AN$10-$AL$10)*($AN$10-$AM$10))),$AM$10)</f>
        <v/>
      </c>
      <c r="AQ898">
        <f>IFERROR(IF(AZ898&lt;($AM$11-$AL$11)/($AN$11-$AL$11),$AL$11+SQRT(AZ898*($AN$11-$AL$11)*($AM$11-$AL$11)),$AN$11-SQRT((1-AZ898)*($AN$11-$AL$11)*($AN$11-$AM$11))),$AM$11)</f>
        <v/>
      </c>
      <c r="AR898">
        <f>SUMPRODUCT((B24:B31&lt;=$B$6)*(C24:C31*AM898+D24:D31*AO898*$B$8*AQ898)/(1+AL898/100)^B24:B31)+C32*AM898*AP898/(1+AL898/100)^$B$6</f>
        <v/>
      </c>
      <c r="AS898">
        <f>SUMPRODUCT((K24:K26&lt;=$B$6)*(L24:L26*AN898+M24:M26*AO898*$B$8*AQ898)/(1+AL898/100)^K24:K26)+L27*AN898*AP898/(1+AL898/100)^$B$6</f>
        <v/>
      </c>
      <c r="AT898">
        <f>AS898-AR898</f>
        <v/>
      </c>
      <c r="AU898">
        <f>RAND()</f>
        <v/>
      </c>
      <c r="AV898">
        <f>RAND()</f>
        <v/>
      </c>
      <c r="AW898">
        <f>RAND()</f>
        <v/>
      </c>
      <c r="AX898">
        <f>RAND()</f>
        <v/>
      </c>
      <c r="AY898">
        <f>RAND()</f>
        <v/>
      </c>
      <c r="AZ898">
        <f>RAND()</f>
        <v/>
      </c>
    </row>
    <row r="899">
      <c r="AK899" t="n">
        <v>886</v>
      </c>
      <c r="AL899">
        <f>IFERROR(IF(AU899&lt;($AM$6-$AL$6)/($AN$6-$AL$6),$AL$6+SQRT(AU899*($AN$6-$AL$6)*($AM$6-$AL$6)),$AN$6-SQRT((1-AU899)*($AN$6-$AL$6)*($AN$6-$AM$6))),$AM$6)</f>
        <v/>
      </c>
      <c r="AM899">
        <f>IFERROR(IF(AV899&lt;($AM$7-$AL$7)/($AN$7-$AL$7),$AL$7+SQRT(AV899*($AN$7-$AL$7)*($AM$7-$AL$7)),$AN$7-SQRT((1-AV899)*($AN$7-$AL$7)*($AN$7-$AM$7))),$AM$7)</f>
        <v/>
      </c>
      <c r="AN899">
        <f>IFERROR(IF(AW899&lt;($AM$8-$AL$8)/($AN$8-$AL$8),$AL$8+SQRT(AW899*($AN$8-$AL$8)*($AM$8-$AL$8)),$AN$8-SQRT((1-AW899)*($AN$8-$AL$8)*($AN$8-$AM$8))),$AM$8)</f>
        <v/>
      </c>
      <c r="AO899">
        <f>IFERROR(IF(AX899&lt;($AM$9-$AL$9)/($AN$9-$AL$9),$AL$9+SQRT(AX899*($AN$9-$AL$9)*($AM$9-$AL$9)),$AN$9-SQRT((1-AX899)*($AN$9-$AL$9)*($AN$9-$AM$9))),$AM$9)</f>
        <v/>
      </c>
      <c r="AP899">
        <f>IFERROR(IF(AY899&lt;($AM$10-$AL$10)/($AN$10-$AL$10),$AL$10+SQRT(AY899*($AN$10-$AL$10)*($AM$10-$AL$10)),$AN$10-SQRT((1-AY899)*($AN$10-$AL$10)*($AN$10-$AM$10))),$AM$10)</f>
        <v/>
      </c>
      <c r="AQ899">
        <f>IFERROR(IF(AZ899&lt;($AM$11-$AL$11)/($AN$11-$AL$11),$AL$11+SQRT(AZ899*($AN$11-$AL$11)*($AM$11-$AL$11)),$AN$11-SQRT((1-AZ899)*($AN$11-$AL$11)*($AN$11-$AM$11))),$AM$11)</f>
        <v/>
      </c>
      <c r="AR899">
        <f>SUMPRODUCT((B24:B31&lt;=$B$6)*(C24:C31*AM899+D24:D31*AO899*$B$8*AQ899)/(1+AL899/100)^B24:B31)+C32*AM899*AP899/(1+AL899/100)^$B$6</f>
        <v/>
      </c>
      <c r="AS899">
        <f>SUMPRODUCT((K24:K26&lt;=$B$6)*(L24:L26*AN899+M24:M26*AO899*$B$8*AQ899)/(1+AL899/100)^K24:K26)+L27*AN899*AP899/(1+AL899/100)^$B$6</f>
        <v/>
      </c>
      <c r="AT899">
        <f>AS899-AR899</f>
        <v/>
      </c>
      <c r="AU899">
        <f>RAND()</f>
        <v/>
      </c>
      <c r="AV899">
        <f>RAND()</f>
        <v/>
      </c>
      <c r="AW899">
        <f>RAND()</f>
        <v/>
      </c>
      <c r="AX899">
        <f>RAND()</f>
        <v/>
      </c>
      <c r="AY899">
        <f>RAND()</f>
        <v/>
      </c>
      <c r="AZ899">
        <f>RAND()</f>
        <v/>
      </c>
    </row>
    <row r="900">
      <c r="AK900" t="n">
        <v>887</v>
      </c>
      <c r="AL900">
        <f>IFERROR(IF(AU900&lt;($AM$6-$AL$6)/($AN$6-$AL$6),$AL$6+SQRT(AU900*($AN$6-$AL$6)*($AM$6-$AL$6)),$AN$6-SQRT((1-AU900)*($AN$6-$AL$6)*($AN$6-$AM$6))),$AM$6)</f>
        <v/>
      </c>
      <c r="AM900">
        <f>IFERROR(IF(AV900&lt;($AM$7-$AL$7)/($AN$7-$AL$7),$AL$7+SQRT(AV900*($AN$7-$AL$7)*($AM$7-$AL$7)),$AN$7-SQRT((1-AV900)*($AN$7-$AL$7)*($AN$7-$AM$7))),$AM$7)</f>
        <v/>
      </c>
      <c r="AN900">
        <f>IFERROR(IF(AW900&lt;($AM$8-$AL$8)/($AN$8-$AL$8),$AL$8+SQRT(AW900*($AN$8-$AL$8)*($AM$8-$AL$8)),$AN$8-SQRT((1-AW900)*($AN$8-$AL$8)*($AN$8-$AM$8))),$AM$8)</f>
        <v/>
      </c>
      <c r="AO900">
        <f>IFERROR(IF(AX900&lt;($AM$9-$AL$9)/($AN$9-$AL$9),$AL$9+SQRT(AX900*($AN$9-$AL$9)*($AM$9-$AL$9)),$AN$9-SQRT((1-AX900)*($AN$9-$AL$9)*($AN$9-$AM$9))),$AM$9)</f>
        <v/>
      </c>
      <c r="AP900">
        <f>IFERROR(IF(AY900&lt;($AM$10-$AL$10)/($AN$10-$AL$10),$AL$10+SQRT(AY900*($AN$10-$AL$10)*($AM$10-$AL$10)),$AN$10-SQRT((1-AY900)*($AN$10-$AL$10)*($AN$10-$AM$10))),$AM$10)</f>
        <v/>
      </c>
      <c r="AQ900">
        <f>IFERROR(IF(AZ900&lt;($AM$11-$AL$11)/($AN$11-$AL$11),$AL$11+SQRT(AZ900*($AN$11-$AL$11)*($AM$11-$AL$11)),$AN$11-SQRT((1-AZ900)*($AN$11-$AL$11)*($AN$11-$AM$11))),$AM$11)</f>
        <v/>
      </c>
      <c r="AR900">
        <f>SUMPRODUCT((B24:B31&lt;=$B$6)*(C24:C31*AM900+D24:D31*AO900*$B$8*AQ900)/(1+AL900/100)^B24:B31)+C32*AM900*AP900/(1+AL900/100)^$B$6</f>
        <v/>
      </c>
      <c r="AS900">
        <f>SUMPRODUCT((K24:K26&lt;=$B$6)*(L24:L26*AN900+M24:M26*AO900*$B$8*AQ900)/(1+AL900/100)^K24:K26)+L27*AN900*AP900/(1+AL900/100)^$B$6</f>
        <v/>
      </c>
      <c r="AT900">
        <f>AS900-AR900</f>
        <v/>
      </c>
      <c r="AU900">
        <f>RAND()</f>
        <v/>
      </c>
      <c r="AV900">
        <f>RAND()</f>
        <v/>
      </c>
      <c r="AW900">
        <f>RAND()</f>
        <v/>
      </c>
      <c r="AX900">
        <f>RAND()</f>
        <v/>
      </c>
      <c r="AY900">
        <f>RAND()</f>
        <v/>
      </c>
      <c r="AZ900">
        <f>RAND()</f>
        <v/>
      </c>
    </row>
    <row r="901">
      <c r="AK901" t="n">
        <v>888</v>
      </c>
      <c r="AL901">
        <f>IFERROR(IF(AU901&lt;($AM$6-$AL$6)/($AN$6-$AL$6),$AL$6+SQRT(AU901*($AN$6-$AL$6)*($AM$6-$AL$6)),$AN$6-SQRT((1-AU901)*($AN$6-$AL$6)*($AN$6-$AM$6))),$AM$6)</f>
        <v/>
      </c>
      <c r="AM901">
        <f>IFERROR(IF(AV901&lt;($AM$7-$AL$7)/($AN$7-$AL$7),$AL$7+SQRT(AV901*($AN$7-$AL$7)*($AM$7-$AL$7)),$AN$7-SQRT((1-AV901)*($AN$7-$AL$7)*($AN$7-$AM$7))),$AM$7)</f>
        <v/>
      </c>
      <c r="AN901">
        <f>IFERROR(IF(AW901&lt;($AM$8-$AL$8)/($AN$8-$AL$8),$AL$8+SQRT(AW901*($AN$8-$AL$8)*($AM$8-$AL$8)),$AN$8-SQRT((1-AW901)*($AN$8-$AL$8)*($AN$8-$AM$8))),$AM$8)</f>
        <v/>
      </c>
      <c r="AO901">
        <f>IFERROR(IF(AX901&lt;($AM$9-$AL$9)/($AN$9-$AL$9),$AL$9+SQRT(AX901*($AN$9-$AL$9)*($AM$9-$AL$9)),$AN$9-SQRT((1-AX901)*($AN$9-$AL$9)*($AN$9-$AM$9))),$AM$9)</f>
        <v/>
      </c>
      <c r="AP901">
        <f>IFERROR(IF(AY901&lt;($AM$10-$AL$10)/($AN$10-$AL$10),$AL$10+SQRT(AY901*($AN$10-$AL$10)*($AM$10-$AL$10)),$AN$10-SQRT((1-AY901)*($AN$10-$AL$10)*($AN$10-$AM$10))),$AM$10)</f>
        <v/>
      </c>
      <c r="AQ901">
        <f>IFERROR(IF(AZ901&lt;($AM$11-$AL$11)/($AN$11-$AL$11),$AL$11+SQRT(AZ901*($AN$11-$AL$11)*($AM$11-$AL$11)),$AN$11-SQRT((1-AZ901)*($AN$11-$AL$11)*($AN$11-$AM$11))),$AM$11)</f>
        <v/>
      </c>
      <c r="AR901">
        <f>SUMPRODUCT((B24:B31&lt;=$B$6)*(C24:C31*AM901+D24:D31*AO901*$B$8*AQ901)/(1+AL901/100)^B24:B31)+C32*AM901*AP901/(1+AL901/100)^$B$6</f>
        <v/>
      </c>
      <c r="AS901">
        <f>SUMPRODUCT((K24:K26&lt;=$B$6)*(L24:L26*AN901+M24:M26*AO901*$B$8*AQ901)/(1+AL901/100)^K24:K26)+L27*AN901*AP901/(1+AL901/100)^$B$6</f>
        <v/>
      </c>
      <c r="AT901">
        <f>AS901-AR901</f>
        <v/>
      </c>
      <c r="AU901">
        <f>RAND()</f>
        <v/>
      </c>
      <c r="AV901">
        <f>RAND()</f>
        <v/>
      </c>
      <c r="AW901">
        <f>RAND()</f>
        <v/>
      </c>
      <c r="AX901">
        <f>RAND()</f>
        <v/>
      </c>
      <c r="AY901">
        <f>RAND()</f>
        <v/>
      </c>
      <c r="AZ901">
        <f>RAND()</f>
        <v/>
      </c>
    </row>
    <row r="902">
      <c r="AK902" t="n">
        <v>889</v>
      </c>
      <c r="AL902">
        <f>IFERROR(IF(AU902&lt;($AM$6-$AL$6)/($AN$6-$AL$6),$AL$6+SQRT(AU902*($AN$6-$AL$6)*($AM$6-$AL$6)),$AN$6-SQRT((1-AU902)*($AN$6-$AL$6)*($AN$6-$AM$6))),$AM$6)</f>
        <v/>
      </c>
      <c r="AM902">
        <f>IFERROR(IF(AV902&lt;($AM$7-$AL$7)/($AN$7-$AL$7),$AL$7+SQRT(AV902*($AN$7-$AL$7)*($AM$7-$AL$7)),$AN$7-SQRT((1-AV902)*($AN$7-$AL$7)*($AN$7-$AM$7))),$AM$7)</f>
        <v/>
      </c>
      <c r="AN902">
        <f>IFERROR(IF(AW902&lt;($AM$8-$AL$8)/($AN$8-$AL$8),$AL$8+SQRT(AW902*($AN$8-$AL$8)*($AM$8-$AL$8)),$AN$8-SQRT((1-AW902)*($AN$8-$AL$8)*($AN$8-$AM$8))),$AM$8)</f>
        <v/>
      </c>
      <c r="AO902">
        <f>IFERROR(IF(AX902&lt;($AM$9-$AL$9)/($AN$9-$AL$9),$AL$9+SQRT(AX902*($AN$9-$AL$9)*($AM$9-$AL$9)),$AN$9-SQRT((1-AX902)*($AN$9-$AL$9)*($AN$9-$AM$9))),$AM$9)</f>
        <v/>
      </c>
      <c r="AP902">
        <f>IFERROR(IF(AY902&lt;($AM$10-$AL$10)/($AN$10-$AL$10),$AL$10+SQRT(AY902*($AN$10-$AL$10)*($AM$10-$AL$10)),$AN$10-SQRT((1-AY902)*($AN$10-$AL$10)*($AN$10-$AM$10))),$AM$10)</f>
        <v/>
      </c>
      <c r="AQ902">
        <f>IFERROR(IF(AZ902&lt;($AM$11-$AL$11)/($AN$11-$AL$11),$AL$11+SQRT(AZ902*($AN$11-$AL$11)*($AM$11-$AL$11)),$AN$11-SQRT((1-AZ902)*($AN$11-$AL$11)*($AN$11-$AM$11))),$AM$11)</f>
        <v/>
      </c>
      <c r="AR902">
        <f>SUMPRODUCT((B24:B31&lt;=$B$6)*(C24:C31*AM902+D24:D31*AO902*$B$8*AQ902)/(1+AL902/100)^B24:B31)+C32*AM902*AP902/(1+AL902/100)^$B$6</f>
        <v/>
      </c>
      <c r="AS902">
        <f>SUMPRODUCT((K24:K26&lt;=$B$6)*(L24:L26*AN902+M24:M26*AO902*$B$8*AQ902)/(1+AL902/100)^K24:K26)+L27*AN902*AP902/(1+AL902/100)^$B$6</f>
        <v/>
      </c>
      <c r="AT902">
        <f>AS902-AR902</f>
        <v/>
      </c>
      <c r="AU902">
        <f>RAND()</f>
        <v/>
      </c>
      <c r="AV902">
        <f>RAND()</f>
        <v/>
      </c>
      <c r="AW902">
        <f>RAND()</f>
        <v/>
      </c>
      <c r="AX902">
        <f>RAND()</f>
        <v/>
      </c>
      <c r="AY902">
        <f>RAND()</f>
        <v/>
      </c>
      <c r="AZ902">
        <f>RAND()</f>
        <v/>
      </c>
    </row>
    <row r="903">
      <c r="AK903" t="n">
        <v>890</v>
      </c>
      <c r="AL903">
        <f>IFERROR(IF(AU903&lt;($AM$6-$AL$6)/($AN$6-$AL$6),$AL$6+SQRT(AU903*($AN$6-$AL$6)*($AM$6-$AL$6)),$AN$6-SQRT((1-AU903)*($AN$6-$AL$6)*($AN$6-$AM$6))),$AM$6)</f>
        <v/>
      </c>
      <c r="AM903">
        <f>IFERROR(IF(AV903&lt;($AM$7-$AL$7)/($AN$7-$AL$7),$AL$7+SQRT(AV903*($AN$7-$AL$7)*($AM$7-$AL$7)),$AN$7-SQRT((1-AV903)*($AN$7-$AL$7)*($AN$7-$AM$7))),$AM$7)</f>
        <v/>
      </c>
      <c r="AN903">
        <f>IFERROR(IF(AW903&lt;($AM$8-$AL$8)/($AN$8-$AL$8),$AL$8+SQRT(AW903*($AN$8-$AL$8)*($AM$8-$AL$8)),$AN$8-SQRT((1-AW903)*($AN$8-$AL$8)*($AN$8-$AM$8))),$AM$8)</f>
        <v/>
      </c>
      <c r="AO903">
        <f>IFERROR(IF(AX903&lt;($AM$9-$AL$9)/($AN$9-$AL$9),$AL$9+SQRT(AX903*($AN$9-$AL$9)*($AM$9-$AL$9)),$AN$9-SQRT((1-AX903)*($AN$9-$AL$9)*($AN$9-$AM$9))),$AM$9)</f>
        <v/>
      </c>
      <c r="AP903">
        <f>IFERROR(IF(AY903&lt;($AM$10-$AL$10)/($AN$10-$AL$10),$AL$10+SQRT(AY903*($AN$10-$AL$10)*($AM$10-$AL$10)),$AN$10-SQRT((1-AY903)*($AN$10-$AL$10)*($AN$10-$AM$10))),$AM$10)</f>
        <v/>
      </c>
      <c r="AQ903">
        <f>IFERROR(IF(AZ903&lt;($AM$11-$AL$11)/($AN$11-$AL$11),$AL$11+SQRT(AZ903*($AN$11-$AL$11)*($AM$11-$AL$11)),$AN$11-SQRT((1-AZ903)*($AN$11-$AL$11)*($AN$11-$AM$11))),$AM$11)</f>
        <v/>
      </c>
      <c r="AR903">
        <f>SUMPRODUCT((B24:B31&lt;=$B$6)*(C24:C31*AM903+D24:D31*AO903*$B$8*AQ903)/(1+AL903/100)^B24:B31)+C32*AM903*AP903/(1+AL903/100)^$B$6</f>
        <v/>
      </c>
      <c r="AS903">
        <f>SUMPRODUCT((K24:K26&lt;=$B$6)*(L24:L26*AN903+M24:M26*AO903*$B$8*AQ903)/(1+AL903/100)^K24:K26)+L27*AN903*AP903/(1+AL903/100)^$B$6</f>
        <v/>
      </c>
      <c r="AT903">
        <f>AS903-AR903</f>
        <v/>
      </c>
      <c r="AU903">
        <f>RAND()</f>
        <v/>
      </c>
      <c r="AV903">
        <f>RAND()</f>
        <v/>
      </c>
      <c r="AW903">
        <f>RAND()</f>
        <v/>
      </c>
      <c r="AX903">
        <f>RAND()</f>
        <v/>
      </c>
      <c r="AY903">
        <f>RAND()</f>
        <v/>
      </c>
      <c r="AZ903">
        <f>RAND()</f>
        <v/>
      </c>
    </row>
    <row r="904">
      <c r="AK904" t="n">
        <v>891</v>
      </c>
      <c r="AL904">
        <f>IFERROR(IF(AU904&lt;($AM$6-$AL$6)/($AN$6-$AL$6),$AL$6+SQRT(AU904*($AN$6-$AL$6)*($AM$6-$AL$6)),$AN$6-SQRT((1-AU904)*($AN$6-$AL$6)*($AN$6-$AM$6))),$AM$6)</f>
        <v/>
      </c>
      <c r="AM904">
        <f>IFERROR(IF(AV904&lt;($AM$7-$AL$7)/($AN$7-$AL$7),$AL$7+SQRT(AV904*($AN$7-$AL$7)*($AM$7-$AL$7)),$AN$7-SQRT((1-AV904)*($AN$7-$AL$7)*($AN$7-$AM$7))),$AM$7)</f>
        <v/>
      </c>
      <c r="AN904">
        <f>IFERROR(IF(AW904&lt;($AM$8-$AL$8)/($AN$8-$AL$8),$AL$8+SQRT(AW904*($AN$8-$AL$8)*($AM$8-$AL$8)),$AN$8-SQRT((1-AW904)*($AN$8-$AL$8)*($AN$8-$AM$8))),$AM$8)</f>
        <v/>
      </c>
      <c r="AO904">
        <f>IFERROR(IF(AX904&lt;($AM$9-$AL$9)/($AN$9-$AL$9),$AL$9+SQRT(AX904*($AN$9-$AL$9)*($AM$9-$AL$9)),$AN$9-SQRT((1-AX904)*($AN$9-$AL$9)*($AN$9-$AM$9))),$AM$9)</f>
        <v/>
      </c>
      <c r="AP904">
        <f>IFERROR(IF(AY904&lt;($AM$10-$AL$10)/($AN$10-$AL$10),$AL$10+SQRT(AY904*($AN$10-$AL$10)*($AM$10-$AL$10)),$AN$10-SQRT((1-AY904)*($AN$10-$AL$10)*($AN$10-$AM$10))),$AM$10)</f>
        <v/>
      </c>
      <c r="AQ904">
        <f>IFERROR(IF(AZ904&lt;($AM$11-$AL$11)/($AN$11-$AL$11),$AL$11+SQRT(AZ904*($AN$11-$AL$11)*($AM$11-$AL$11)),$AN$11-SQRT((1-AZ904)*($AN$11-$AL$11)*($AN$11-$AM$11))),$AM$11)</f>
        <v/>
      </c>
      <c r="AR904">
        <f>SUMPRODUCT((B24:B31&lt;=$B$6)*(C24:C31*AM904+D24:D31*AO904*$B$8*AQ904)/(1+AL904/100)^B24:B31)+C32*AM904*AP904/(1+AL904/100)^$B$6</f>
        <v/>
      </c>
      <c r="AS904">
        <f>SUMPRODUCT((K24:K26&lt;=$B$6)*(L24:L26*AN904+M24:M26*AO904*$B$8*AQ904)/(1+AL904/100)^K24:K26)+L27*AN904*AP904/(1+AL904/100)^$B$6</f>
        <v/>
      </c>
      <c r="AT904">
        <f>AS904-AR904</f>
        <v/>
      </c>
      <c r="AU904">
        <f>RAND()</f>
        <v/>
      </c>
      <c r="AV904">
        <f>RAND()</f>
        <v/>
      </c>
      <c r="AW904">
        <f>RAND()</f>
        <v/>
      </c>
      <c r="AX904">
        <f>RAND()</f>
        <v/>
      </c>
      <c r="AY904">
        <f>RAND()</f>
        <v/>
      </c>
      <c r="AZ904">
        <f>RAND()</f>
        <v/>
      </c>
    </row>
    <row r="905">
      <c r="AK905" t="n">
        <v>892</v>
      </c>
      <c r="AL905">
        <f>IFERROR(IF(AU905&lt;($AM$6-$AL$6)/($AN$6-$AL$6),$AL$6+SQRT(AU905*($AN$6-$AL$6)*($AM$6-$AL$6)),$AN$6-SQRT((1-AU905)*($AN$6-$AL$6)*($AN$6-$AM$6))),$AM$6)</f>
        <v/>
      </c>
      <c r="AM905">
        <f>IFERROR(IF(AV905&lt;($AM$7-$AL$7)/($AN$7-$AL$7),$AL$7+SQRT(AV905*($AN$7-$AL$7)*($AM$7-$AL$7)),$AN$7-SQRT((1-AV905)*($AN$7-$AL$7)*($AN$7-$AM$7))),$AM$7)</f>
        <v/>
      </c>
      <c r="AN905">
        <f>IFERROR(IF(AW905&lt;($AM$8-$AL$8)/($AN$8-$AL$8),$AL$8+SQRT(AW905*($AN$8-$AL$8)*($AM$8-$AL$8)),$AN$8-SQRT((1-AW905)*($AN$8-$AL$8)*($AN$8-$AM$8))),$AM$8)</f>
        <v/>
      </c>
      <c r="AO905">
        <f>IFERROR(IF(AX905&lt;($AM$9-$AL$9)/($AN$9-$AL$9),$AL$9+SQRT(AX905*($AN$9-$AL$9)*($AM$9-$AL$9)),$AN$9-SQRT((1-AX905)*($AN$9-$AL$9)*($AN$9-$AM$9))),$AM$9)</f>
        <v/>
      </c>
      <c r="AP905">
        <f>IFERROR(IF(AY905&lt;($AM$10-$AL$10)/($AN$10-$AL$10),$AL$10+SQRT(AY905*($AN$10-$AL$10)*($AM$10-$AL$10)),$AN$10-SQRT((1-AY905)*($AN$10-$AL$10)*($AN$10-$AM$10))),$AM$10)</f>
        <v/>
      </c>
      <c r="AQ905">
        <f>IFERROR(IF(AZ905&lt;($AM$11-$AL$11)/($AN$11-$AL$11),$AL$11+SQRT(AZ905*($AN$11-$AL$11)*($AM$11-$AL$11)),$AN$11-SQRT((1-AZ905)*($AN$11-$AL$11)*($AN$11-$AM$11))),$AM$11)</f>
        <v/>
      </c>
      <c r="AR905">
        <f>SUMPRODUCT((B24:B31&lt;=$B$6)*(C24:C31*AM905+D24:D31*AO905*$B$8*AQ905)/(1+AL905/100)^B24:B31)+C32*AM905*AP905/(1+AL905/100)^$B$6</f>
        <v/>
      </c>
      <c r="AS905">
        <f>SUMPRODUCT((K24:K26&lt;=$B$6)*(L24:L26*AN905+M24:M26*AO905*$B$8*AQ905)/(1+AL905/100)^K24:K26)+L27*AN905*AP905/(1+AL905/100)^$B$6</f>
        <v/>
      </c>
      <c r="AT905">
        <f>AS905-AR905</f>
        <v/>
      </c>
      <c r="AU905">
        <f>RAND()</f>
        <v/>
      </c>
      <c r="AV905">
        <f>RAND()</f>
        <v/>
      </c>
      <c r="AW905">
        <f>RAND()</f>
        <v/>
      </c>
      <c r="AX905">
        <f>RAND()</f>
        <v/>
      </c>
      <c r="AY905">
        <f>RAND()</f>
        <v/>
      </c>
      <c r="AZ905">
        <f>RAND()</f>
        <v/>
      </c>
    </row>
    <row r="906">
      <c r="AK906" t="n">
        <v>893</v>
      </c>
      <c r="AL906">
        <f>IFERROR(IF(AU906&lt;($AM$6-$AL$6)/($AN$6-$AL$6),$AL$6+SQRT(AU906*($AN$6-$AL$6)*($AM$6-$AL$6)),$AN$6-SQRT((1-AU906)*($AN$6-$AL$6)*($AN$6-$AM$6))),$AM$6)</f>
        <v/>
      </c>
      <c r="AM906">
        <f>IFERROR(IF(AV906&lt;($AM$7-$AL$7)/($AN$7-$AL$7),$AL$7+SQRT(AV906*($AN$7-$AL$7)*($AM$7-$AL$7)),$AN$7-SQRT((1-AV906)*($AN$7-$AL$7)*($AN$7-$AM$7))),$AM$7)</f>
        <v/>
      </c>
      <c r="AN906">
        <f>IFERROR(IF(AW906&lt;($AM$8-$AL$8)/($AN$8-$AL$8),$AL$8+SQRT(AW906*($AN$8-$AL$8)*($AM$8-$AL$8)),$AN$8-SQRT((1-AW906)*($AN$8-$AL$8)*($AN$8-$AM$8))),$AM$8)</f>
        <v/>
      </c>
      <c r="AO906">
        <f>IFERROR(IF(AX906&lt;($AM$9-$AL$9)/($AN$9-$AL$9),$AL$9+SQRT(AX906*($AN$9-$AL$9)*($AM$9-$AL$9)),$AN$9-SQRT((1-AX906)*($AN$9-$AL$9)*($AN$9-$AM$9))),$AM$9)</f>
        <v/>
      </c>
      <c r="AP906">
        <f>IFERROR(IF(AY906&lt;($AM$10-$AL$10)/($AN$10-$AL$10),$AL$10+SQRT(AY906*($AN$10-$AL$10)*($AM$10-$AL$10)),$AN$10-SQRT((1-AY906)*($AN$10-$AL$10)*($AN$10-$AM$10))),$AM$10)</f>
        <v/>
      </c>
      <c r="AQ906">
        <f>IFERROR(IF(AZ906&lt;($AM$11-$AL$11)/($AN$11-$AL$11),$AL$11+SQRT(AZ906*($AN$11-$AL$11)*($AM$11-$AL$11)),$AN$11-SQRT((1-AZ906)*($AN$11-$AL$11)*($AN$11-$AM$11))),$AM$11)</f>
        <v/>
      </c>
      <c r="AR906">
        <f>SUMPRODUCT((B24:B31&lt;=$B$6)*(C24:C31*AM906+D24:D31*AO906*$B$8*AQ906)/(1+AL906/100)^B24:B31)+C32*AM906*AP906/(1+AL906/100)^$B$6</f>
        <v/>
      </c>
      <c r="AS906">
        <f>SUMPRODUCT((K24:K26&lt;=$B$6)*(L24:L26*AN906+M24:M26*AO906*$B$8*AQ906)/(1+AL906/100)^K24:K26)+L27*AN906*AP906/(1+AL906/100)^$B$6</f>
        <v/>
      </c>
      <c r="AT906">
        <f>AS906-AR906</f>
        <v/>
      </c>
      <c r="AU906">
        <f>RAND()</f>
        <v/>
      </c>
      <c r="AV906">
        <f>RAND()</f>
        <v/>
      </c>
      <c r="AW906">
        <f>RAND()</f>
        <v/>
      </c>
      <c r="AX906">
        <f>RAND()</f>
        <v/>
      </c>
      <c r="AY906">
        <f>RAND()</f>
        <v/>
      </c>
      <c r="AZ906">
        <f>RAND()</f>
        <v/>
      </c>
    </row>
    <row r="907">
      <c r="AK907" t="n">
        <v>894</v>
      </c>
      <c r="AL907">
        <f>IFERROR(IF(AU907&lt;($AM$6-$AL$6)/($AN$6-$AL$6),$AL$6+SQRT(AU907*($AN$6-$AL$6)*($AM$6-$AL$6)),$AN$6-SQRT((1-AU907)*($AN$6-$AL$6)*($AN$6-$AM$6))),$AM$6)</f>
        <v/>
      </c>
      <c r="AM907">
        <f>IFERROR(IF(AV907&lt;($AM$7-$AL$7)/($AN$7-$AL$7),$AL$7+SQRT(AV907*($AN$7-$AL$7)*($AM$7-$AL$7)),$AN$7-SQRT((1-AV907)*($AN$7-$AL$7)*($AN$7-$AM$7))),$AM$7)</f>
        <v/>
      </c>
      <c r="AN907">
        <f>IFERROR(IF(AW907&lt;($AM$8-$AL$8)/($AN$8-$AL$8),$AL$8+SQRT(AW907*($AN$8-$AL$8)*($AM$8-$AL$8)),$AN$8-SQRT((1-AW907)*($AN$8-$AL$8)*($AN$8-$AM$8))),$AM$8)</f>
        <v/>
      </c>
      <c r="AO907">
        <f>IFERROR(IF(AX907&lt;($AM$9-$AL$9)/($AN$9-$AL$9),$AL$9+SQRT(AX907*($AN$9-$AL$9)*($AM$9-$AL$9)),$AN$9-SQRT((1-AX907)*($AN$9-$AL$9)*($AN$9-$AM$9))),$AM$9)</f>
        <v/>
      </c>
      <c r="AP907">
        <f>IFERROR(IF(AY907&lt;($AM$10-$AL$10)/($AN$10-$AL$10),$AL$10+SQRT(AY907*($AN$10-$AL$10)*($AM$10-$AL$10)),$AN$10-SQRT((1-AY907)*($AN$10-$AL$10)*($AN$10-$AM$10))),$AM$10)</f>
        <v/>
      </c>
      <c r="AQ907">
        <f>IFERROR(IF(AZ907&lt;($AM$11-$AL$11)/($AN$11-$AL$11),$AL$11+SQRT(AZ907*($AN$11-$AL$11)*($AM$11-$AL$11)),$AN$11-SQRT((1-AZ907)*($AN$11-$AL$11)*($AN$11-$AM$11))),$AM$11)</f>
        <v/>
      </c>
      <c r="AR907">
        <f>SUMPRODUCT((B24:B31&lt;=$B$6)*(C24:C31*AM907+D24:D31*AO907*$B$8*AQ907)/(1+AL907/100)^B24:B31)+C32*AM907*AP907/(1+AL907/100)^$B$6</f>
        <v/>
      </c>
      <c r="AS907">
        <f>SUMPRODUCT((K24:K26&lt;=$B$6)*(L24:L26*AN907+M24:M26*AO907*$B$8*AQ907)/(1+AL907/100)^K24:K26)+L27*AN907*AP907/(1+AL907/100)^$B$6</f>
        <v/>
      </c>
      <c r="AT907">
        <f>AS907-AR907</f>
        <v/>
      </c>
      <c r="AU907">
        <f>RAND()</f>
        <v/>
      </c>
      <c r="AV907">
        <f>RAND()</f>
        <v/>
      </c>
      <c r="AW907">
        <f>RAND()</f>
        <v/>
      </c>
      <c r="AX907">
        <f>RAND()</f>
        <v/>
      </c>
      <c r="AY907">
        <f>RAND()</f>
        <v/>
      </c>
      <c r="AZ907">
        <f>RAND()</f>
        <v/>
      </c>
    </row>
    <row r="908">
      <c r="AK908" t="n">
        <v>895</v>
      </c>
      <c r="AL908">
        <f>IFERROR(IF(AU908&lt;($AM$6-$AL$6)/($AN$6-$AL$6),$AL$6+SQRT(AU908*($AN$6-$AL$6)*($AM$6-$AL$6)),$AN$6-SQRT((1-AU908)*($AN$6-$AL$6)*($AN$6-$AM$6))),$AM$6)</f>
        <v/>
      </c>
      <c r="AM908">
        <f>IFERROR(IF(AV908&lt;($AM$7-$AL$7)/($AN$7-$AL$7),$AL$7+SQRT(AV908*($AN$7-$AL$7)*($AM$7-$AL$7)),$AN$7-SQRT((1-AV908)*($AN$7-$AL$7)*($AN$7-$AM$7))),$AM$7)</f>
        <v/>
      </c>
      <c r="AN908">
        <f>IFERROR(IF(AW908&lt;($AM$8-$AL$8)/($AN$8-$AL$8),$AL$8+SQRT(AW908*($AN$8-$AL$8)*($AM$8-$AL$8)),$AN$8-SQRT((1-AW908)*($AN$8-$AL$8)*($AN$8-$AM$8))),$AM$8)</f>
        <v/>
      </c>
      <c r="AO908">
        <f>IFERROR(IF(AX908&lt;($AM$9-$AL$9)/($AN$9-$AL$9),$AL$9+SQRT(AX908*($AN$9-$AL$9)*($AM$9-$AL$9)),$AN$9-SQRT((1-AX908)*($AN$9-$AL$9)*($AN$9-$AM$9))),$AM$9)</f>
        <v/>
      </c>
      <c r="AP908">
        <f>IFERROR(IF(AY908&lt;($AM$10-$AL$10)/($AN$10-$AL$10),$AL$10+SQRT(AY908*($AN$10-$AL$10)*($AM$10-$AL$10)),$AN$10-SQRT((1-AY908)*($AN$10-$AL$10)*($AN$10-$AM$10))),$AM$10)</f>
        <v/>
      </c>
      <c r="AQ908">
        <f>IFERROR(IF(AZ908&lt;($AM$11-$AL$11)/($AN$11-$AL$11),$AL$11+SQRT(AZ908*($AN$11-$AL$11)*($AM$11-$AL$11)),$AN$11-SQRT((1-AZ908)*($AN$11-$AL$11)*($AN$11-$AM$11))),$AM$11)</f>
        <v/>
      </c>
      <c r="AR908">
        <f>SUMPRODUCT((B24:B31&lt;=$B$6)*(C24:C31*AM908+D24:D31*AO908*$B$8*AQ908)/(1+AL908/100)^B24:B31)+C32*AM908*AP908/(1+AL908/100)^$B$6</f>
        <v/>
      </c>
      <c r="AS908">
        <f>SUMPRODUCT((K24:K26&lt;=$B$6)*(L24:L26*AN908+M24:M26*AO908*$B$8*AQ908)/(1+AL908/100)^K24:K26)+L27*AN908*AP908/(1+AL908/100)^$B$6</f>
        <v/>
      </c>
      <c r="AT908">
        <f>AS908-AR908</f>
        <v/>
      </c>
      <c r="AU908">
        <f>RAND()</f>
        <v/>
      </c>
      <c r="AV908">
        <f>RAND()</f>
        <v/>
      </c>
      <c r="AW908">
        <f>RAND()</f>
        <v/>
      </c>
      <c r="AX908">
        <f>RAND()</f>
        <v/>
      </c>
      <c r="AY908">
        <f>RAND()</f>
        <v/>
      </c>
      <c r="AZ908">
        <f>RAND()</f>
        <v/>
      </c>
    </row>
    <row r="909">
      <c r="AK909" t="n">
        <v>896</v>
      </c>
      <c r="AL909">
        <f>IFERROR(IF(AU909&lt;($AM$6-$AL$6)/($AN$6-$AL$6),$AL$6+SQRT(AU909*($AN$6-$AL$6)*($AM$6-$AL$6)),$AN$6-SQRT((1-AU909)*($AN$6-$AL$6)*($AN$6-$AM$6))),$AM$6)</f>
        <v/>
      </c>
      <c r="AM909">
        <f>IFERROR(IF(AV909&lt;($AM$7-$AL$7)/($AN$7-$AL$7),$AL$7+SQRT(AV909*($AN$7-$AL$7)*($AM$7-$AL$7)),$AN$7-SQRT((1-AV909)*($AN$7-$AL$7)*($AN$7-$AM$7))),$AM$7)</f>
        <v/>
      </c>
      <c r="AN909">
        <f>IFERROR(IF(AW909&lt;($AM$8-$AL$8)/($AN$8-$AL$8),$AL$8+SQRT(AW909*($AN$8-$AL$8)*($AM$8-$AL$8)),$AN$8-SQRT((1-AW909)*($AN$8-$AL$8)*($AN$8-$AM$8))),$AM$8)</f>
        <v/>
      </c>
      <c r="AO909">
        <f>IFERROR(IF(AX909&lt;($AM$9-$AL$9)/($AN$9-$AL$9),$AL$9+SQRT(AX909*($AN$9-$AL$9)*($AM$9-$AL$9)),$AN$9-SQRT((1-AX909)*($AN$9-$AL$9)*($AN$9-$AM$9))),$AM$9)</f>
        <v/>
      </c>
      <c r="AP909">
        <f>IFERROR(IF(AY909&lt;($AM$10-$AL$10)/($AN$10-$AL$10),$AL$10+SQRT(AY909*($AN$10-$AL$10)*($AM$10-$AL$10)),$AN$10-SQRT((1-AY909)*($AN$10-$AL$10)*($AN$10-$AM$10))),$AM$10)</f>
        <v/>
      </c>
      <c r="AQ909">
        <f>IFERROR(IF(AZ909&lt;($AM$11-$AL$11)/($AN$11-$AL$11),$AL$11+SQRT(AZ909*($AN$11-$AL$11)*($AM$11-$AL$11)),$AN$11-SQRT((1-AZ909)*($AN$11-$AL$11)*($AN$11-$AM$11))),$AM$11)</f>
        <v/>
      </c>
      <c r="AR909">
        <f>SUMPRODUCT((B24:B31&lt;=$B$6)*(C24:C31*AM909+D24:D31*AO909*$B$8*AQ909)/(1+AL909/100)^B24:B31)+C32*AM909*AP909/(1+AL909/100)^$B$6</f>
        <v/>
      </c>
      <c r="AS909">
        <f>SUMPRODUCT((K24:K26&lt;=$B$6)*(L24:L26*AN909+M24:M26*AO909*$B$8*AQ909)/(1+AL909/100)^K24:K26)+L27*AN909*AP909/(1+AL909/100)^$B$6</f>
        <v/>
      </c>
      <c r="AT909">
        <f>AS909-AR909</f>
        <v/>
      </c>
      <c r="AU909">
        <f>RAND()</f>
        <v/>
      </c>
      <c r="AV909">
        <f>RAND()</f>
        <v/>
      </c>
      <c r="AW909">
        <f>RAND()</f>
        <v/>
      </c>
      <c r="AX909">
        <f>RAND()</f>
        <v/>
      </c>
      <c r="AY909">
        <f>RAND()</f>
        <v/>
      </c>
      <c r="AZ909">
        <f>RAND()</f>
        <v/>
      </c>
    </row>
    <row r="910">
      <c r="AK910" t="n">
        <v>897</v>
      </c>
      <c r="AL910">
        <f>IFERROR(IF(AU910&lt;($AM$6-$AL$6)/($AN$6-$AL$6),$AL$6+SQRT(AU910*($AN$6-$AL$6)*($AM$6-$AL$6)),$AN$6-SQRT((1-AU910)*($AN$6-$AL$6)*($AN$6-$AM$6))),$AM$6)</f>
        <v/>
      </c>
      <c r="AM910">
        <f>IFERROR(IF(AV910&lt;($AM$7-$AL$7)/($AN$7-$AL$7),$AL$7+SQRT(AV910*($AN$7-$AL$7)*($AM$7-$AL$7)),$AN$7-SQRT((1-AV910)*($AN$7-$AL$7)*($AN$7-$AM$7))),$AM$7)</f>
        <v/>
      </c>
      <c r="AN910">
        <f>IFERROR(IF(AW910&lt;($AM$8-$AL$8)/($AN$8-$AL$8),$AL$8+SQRT(AW910*($AN$8-$AL$8)*($AM$8-$AL$8)),$AN$8-SQRT((1-AW910)*($AN$8-$AL$8)*($AN$8-$AM$8))),$AM$8)</f>
        <v/>
      </c>
      <c r="AO910">
        <f>IFERROR(IF(AX910&lt;($AM$9-$AL$9)/($AN$9-$AL$9),$AL$9+SQRT(AX910*($AN$9-$AL$9)*($AM$9-$AL$9)),$AN$9-SQRT((1-AX910)*($AN$9-$AL$9)*($AN$9-$AM$9))),$AM$9)</f>
        <v/>
      </c>
      <c r="AP910">
        <f>IFERROR(IF(AY910&lt;($AM$10-$AL$10)/($AN$10-$AL$10),$AL$10+SQRT(AY910*($AN$10-$AL$10)*($AM$10-$AL$10)),$AN$10-SQRT((1-AY910)*($AN$10-$AL$10)*($AN$10-$AM$10))),$AM$10)</f>
        <v/>
      </c>
      <c r="AQ910">
        <f>IFERROR(IF(AZ910&lt;($AM$11-$AL$11)/($AN$11-$AL$11),$AL$11+SQRT(AZ910*($AN$11-$AL$11)*($AM$11-$AL$11)),$AN$11-SQRT((1-AZ910)*($AN$11-$AL$11)*($AN$11-$AM$11))),$AM$11)</f>
        <v/>
      </c>
      <c r="AR910">
        <f>SUMPRODUCT((B24:B31&lt;=$B$6)*(C24:C31*AM910+D24:D31*AO910*$B$8*AQ910)/(1+AL910/100)^B24:B31)+C32*AM910*AP910/(1+AL910/100)^$B$6</f>
        <v/>
      </c>
      <c r="AS910">
        <f>SUMPRODUCT((K24:K26&lt;=$B$6)*(L24:L26*AN910+M24:M26*AO910*$B$8*AQ910)/(1+AL910/100)^K24:K26)+L27*AN910*AP910/(1+AL910/100)^$B$6</f>
        <v/>
      </c>
      <c r="AT910">
        <f>AS910-AR910</f>
        <v/>
      </c>
      <c r="AU910">
        <f>RAND()</f>
        <v/>
      </c>
      <c r="AV910">
        <f>RAND()</f>
        <v/>
      </c>
      <c r="AW910">
        <f>RAND()</f>
        <v/>
      </c>
      <c r="AX910">
        <f>RAND()</f>
        <v/>
      </c>
      <c r="AY910">
        <f>RAND()</f>
        <v/>
      </c>
      <c r="AZ910">
        <f>RAND()</f>
        <v/>
      </c>
    </row>
    <row r="911">
      <c r="AK911" t="n">
        <v>898</v>
      </c>
      <c r="AL911">
        <f>IFERROR(IF(AU911&lt;($AM$6-$AL$6)/($AN$6-$AL$6),$AL$6+SQRT(AU911*($AN$6-$AL$6)*($AM$6-$AL$6)),$AN$6-SQRT((1-AU911)*($AN$6-$AL$6)*($AN$6-$AM$6))),$AM$6)</f>
        <v/>
      </c>
      <c r="AM911">
        <f>IFERROR(IF(AV911&lt;($AM$7-$AL$7)/($AN$7-$AL$7),$AL$7+SQRT(AV911*($AN$7-$AL$7)*($AM$7-$AL$7)),$AN$7-SQRT((1-AV911)*($AN$7-$AL$7)*($AN$7-$AM$7))),$AM$7)</f>
        <v/>
      </c>
      <c r="AN911">
        <f>IFERROR(IF(AW911&lt;($AM$8-$AL$8)/($AN$8-$AL$8),$AL$8+SQRT(AW911*($AN$8-$AL$8)*($AM$8-$AL$8)),$AN$8-SQRT((1-AW911)*($AN$8-$AL$8)*($AN$8-$AM$8))),$AM$8)</f>
        <v/>
      </c>
      <c r="AO911">
        <f>IFERROR(IF(AX911&lt;($AM$9-$AL$9)/($AN$9-$AL$9),$AL$9+SQRT(AX911*($AN$9-$AL$9)*($AM$9-$AL$9)),$AN$9-SQRT((1-AX911)*($AN$9-$AL$9)*($AN$9-$AM$9))),$AM$9)</f>
        <v/>
      </c>
      <c r="AP911">
        <f>IFERROR(IF(AY911&lt;($AM$10-$AL$10)/($AN$10-$AL$10),$AL$10+SQRT(AY911*($AN$10-$AL$10)*($AM$10-$AL$10)),$AN$10-SQRT((1-AY911)*($AN$10-$AL$10)*($AN$10-$AM$10))),$AM$10)</f>
        <v/>
      </c>
      <c r="AQ911">
        <f>IFERROR(IF(AZ911&lt;($AM$11-$AL$11)/($AN$11-$AL$11),$AL$11+SQRT(AZ911*($AN$11-$AL$11)*($AM$11-$AL$11)),$AN$11-SQRT((1-AZ911)*($AN$11-$AL$11)*($AN$11-$AM$11))),$AM$11)</f>
        <v/>
      </c>
      <c r="AR911">
        <f>SUMPRODUCT((B24:B31&lt;=$B$6)*(C24:C31*AM911+D24:D31*AO911*$B$8*AQ911)/(1+AL911/100)^B24:B31)+C32*AM911*AP911/(1+AL911/100)^$B$6</f>
        <v/>
      </c>
      <c r="AS911">
        <f>SUMPRODUCT((K24:K26&lt;=$B$6)*(L24:L26*AN911+M24:M26*AO911*$B$8*AQ911)/(1+AL911/100)^K24:K26)+L27*AN911*AP911/(1+AL911/100)^$B$6</f>
        <v/>
      </c>
      <c r="AT911">
        <f>AS911-AR911</f>
        <v/>
      </c>
      <c r="AU911">
        <f>RAND()</f>
        <v/>
      </c>
      <c r="AV911">
        <f>RAND()</f>
        <v/>
      </c>
      <c r="AW911">
        <f>RAND()</f>
        <v/>
      </c>
      <c r="AX911">
        <f>RAND()</f>
        <v/>
      </c>
      <c r="AY911">
        <f>RAND()</f>
        <v/>
      </c>
      <c r="AZ911">
        <f>RAND()</f>
        <v/>
      </c>
    </row>
    <row r="912">
      <c r="AK912" t="n">
        <v>899</v>
      </c>
      <c r="AL912">
        <f>IFERROR(IF(AU912&lt;($AM$6-$AL$6)/($AN$6-$AL$6),$AL$6+SQRT(AU912*($AN$6-$AL$6)*($AM$6-$AL$6)),$AN$6-SQRT((1-AU912)*($AN$6-$AL$6)*($AN$6-$AM$6))),$AM$6)</f>
        <v/>
      </c>
      <c r="AM912">
        <f>IFERROR(IF(AV912&lt;($AM$7-$AL$7)/($AN$7-$AL$7),$AL$7+SQRT(AV912*($AN$7-$AL$7)*($AM$7-$AL$7)),$AN$7-SQRT((1-AV912)*($AN$7-$AL$7)*($AN$7-$AM$7))),$AM$7)</f>
        <v/>
      </c>
      <c r="AN912">
        <f>IFERROR(IF(AW912&lt;($AM$8-$AL$8)/($AN$8-$AL$8),$AL$8+SQRT(AW912*($AN$8-$AL$8)*($AM$8-$AL$8)),$AN$8-SQRT((1-AW912)*($AN$8-$AL$8)*($AN$8-$AM$8))),$AM$8)</f>
        <v/>
      </c>
      <c r="AO912">
        <f>IFERROR(IF(AX912&lt;($AM$9-$AL$9)/($AN$9-$AL$9),$AL$9+SQRT(AX912*($AN$9-$AL$9)*($AM$9-$AL$9)),$AN$9-SQRT((1-AX912)*($AN$9-$AL$9)*($AN$9-$AM$9))),$AM$9)</f>
        <v/>
      </c>
      <c r="AP912">
        <f>IFERROR(IF(AY912&lt;($AM$10-$AL$10)/($AN$10-$AL$10),$AL$10+SQRT(AY912*($AN$10-$AL$10)*($AM$10-$AL$10)),$AN$10-SQRT((1-AY912)*($AN$10-$AL$10)*($AN$10-$AM$10))),$AM$10)</f>
        <v/>
      </c>
      <c r="AQ912">
        <f>IFERROR(IF(AZ912&lt;($AM$11-$AL$11)/($AN$11-$AL$11),$AL$11+SQRT(AZ912*($AN$11-$AL$11)*($AM$11-$AL$11)),$AN$11-SQRT((1-AZ912)*($AN$11-$AL$11)*($AN$11-$AM$11))),$AM$11)</f>
        <v/>
      </c>
      <c r="AR912">
        <f>SUMPRODUCT((B24:B31&lt;=$B$6)*(C24:C31*AM912+D24:D31*AO912*$B$8*AQ912)/(1+AL912/100)^B24:B31)+C32*AM912*AP912/(1+AL912/100)^$B$6</f>
        <v/>
      </c>
      <c r="AS912">
        <f>SUMPRODUCT((K24:K26&lt;=$B$6)*(L24:L26*AN912+M24:M26*AO912*$B$8*AQ912)/(1+AL912/100)^K24:K26)+L27*AN912*AP912/(1+AL912/100)^$B$6</f>
        <v/>
      </c>
      <c r="AT912">
        <f>AS912-AR912</f>
        <v/>
      </c>
      <c r="AU912">
        <f>RAND()</f>
        <v/>
      </c>
      <c r="AV912">
        <f>RAND()</f>
        <v/>
      </c>
      <c r="AW912">
        <f>RAND()</f>
        <v/>
      </c>
      <c r="AX912">
        <f>RAND()</f>
        <v/>
      </c>
      <c r="AY912">
        <f>RAND()</f>
        <v/>
      </c>
      <c r="AZ912">
        <f>RAND()</f>
        <v/>
      </c>
    </row>
    <row r="913">
      <c r="AK913" t="n">
        <v>900</v>
      </c>
      <c r="AL913">
        <f>IFERROR(IF(AU913&lt;($AM$6-$AL$6)/($AN$6-$AL$6),$AL$6+SQRT(AU913*($AN$6-$AL$6)*($AM$6-$AL$6)),$AN$6-SQRT((1-AU913)*($AN$6-$AL$6)*($AN$6-$AM$6))),$AM$6)</f>
        <v/>
      </c>
      <c r="AM913">
        <f>IFERROR(IF(AV913&lt;($AM$7-$AL$7)/($AN$7-$AL$7),$AL$7+SQRT(AV913*($AN$7-$AL$7)*($AM$7-$AL$7)),$AN$7-SQRT((1-AV913)*($AN$7-$AL$7)*($AN$7-$AM$7))),$AM$7)</f>
        <v/>
      </c>
      <c r="AN913">
        <f>IFERROR(IF(AW913&lt;($AM$8-$AL$8)/($AN$8-$AL$8),$AL$8+SQRT(AW913*($AN$8-$AL$8)*($AM$8-$AL$8)),$AN$8-SQRT((1-AW913)*($AN$8-$AL$8)*($AN$8-$AM$8))),$AM$8)</f>
        <v/>
      </c>
      <c r="AO913">
        <f>IFERROR(IF(AX913&lt;($AM$9-$AL$9)/($AN$9-$AL$9),$AL$9+SQRT(AX913*($AN$9-$AL$9)*($AM$9-$AL$9)),$AN$9-SQRT((1-AX913)*($AN$9-$AL$9)*($AN$9-$AM$9))),$AM$9)</f>
        <v/>
      </c>
      <c r="AP913">
        <f>IFERROR(IF(AY913&lt;($AM$10-$AL$10)/($AN$10-$AL$10),$AL$10+SQRT(AY913*($AN$10-$AL$10)*($AM$10-$AL$10)),$AN$10-SQRT((1-AY913)*($AN$10-$AL$10)*($AN$10-$AM$10))),$AM$10)</f>
        <v/>
      </c>
      <c r="AQ913">
        <f>IFERROR(IF(AZ913&lt;($AM$11-$AL$11)/($AN$11-$AL$11),$AL$11+SQRT(AZ913*($AN$11-$AL$11)*($AM$11-$AL$11)),$AN$11-SQRT((1-AZ913)*($AN$11-$AL$11)*($AN$11-$AM$11))),$AM$11)</f>
        <v/>
      </c>
      <c r="AR913">
        <f>SUMPRODUCT((B24:B31&lt;=$B$6)*(C24:C31*AM913+D24:D31*AO913*$B$8*AQ913)/(1+AL913/100)^B24:B31)+C32*AM913*AP913/(1+AL913/100)^$B$6</f>
        <v/>
      </c>
      <c r="AS913">
        <f>SUMPRODUCT((K24:K26&lt;=$B$6)*(L24:L26*AN913+M24:M26*AO913*$B$8*AQ913)/(1+AL913/100)^K24:K26)+L27*AN913*AP913/(1+AL913/100)^$B$6</f>
        <v/>
      </c>
      <c r="AT913">
        <f>AS913-AR913</f>
        <v/>
      </c>
      <c r="AU913">
        <f>RAND()</f>
        <v/>
      </c>
      <c r="AV913">
        <f>RAND()</f>
        <v/>
      </c>
      <c r="AW913">
        <f>RAND()</f>
        <v/>
      </c>
      <c r="AX913">
        <f>RAND()</f>
        <v/>
      </c>
      <c r="AY913">
        <f>RAND()</f>
        <v/>
      </c>
      <c r="AZ913">
        <f>RAND()</f>
        <v/>
      </c>
    </row>
    <row r="914">
      <c r="AK914" t="n">
        <v>901</v>
      </c>
      <c r="AL914">
        <f>IFERROR(IF(AU914&lt;($AM$6-$AL$6)/($AN$6-$AL$6),$AL$6+SQRT(AU914*($AN$6-$AL$6)*($AM$6-$AL$6)),$AN$6-SQRT((1-AU914)*($AN$6-$AL$6)*($AN$6-$AM$6))),$AM$6)</f>
        <v/>
      </c>
      <c r="AM914">
        <f>IFERROR(IF(AV914&lt;($AM$7-$AL$7)/($AN$7-$AL$7),$AL$7+SQRT(AV914*($AN$7-$AL$7)*($AM$7-$AL$7)),$AN$7-SQRT((1-AV914)*($AN$7-$AL$7)*($AN$7-$AM$7))),$AM$7)</f>
        <v/>
      </c>
      <c r="AN914">
        <f>IFERROR(IF(AW914&lt;($AM$8-$AL$8)/($AN$8-$AL$8),$AL$8+SQRT(AW914*($AN$8-$AL$8)*($AM$8-$AL$8)),$AN$8-SQRT((1-AW914)*($AN$8-$AL$8)*($AN$8-$AM$8))),$AM$8)</f>
        <v/>
      </c>
      <c r="AO914">
        <f>IFERROR(IF(AX914&lt;($AM$9-$AL$9)/($AN$9-$AL$9),$AL$9+SQRT(AX914*($AN$9-$AL$9)*($AM$9-$AL$9)),$AN$9-SQRT((1-AX914)*($AN$9-$AL$9)*($AN$9-$AM$9))),$AM$9)</f>
        <v/>
      </c>
      <c r="AP914">
        <f>IFERROR(IF(AY914&lt;($AM$10-$AL$10)/($AN$10-$AL$10),$AL$10+SQRT(AY914*($AN$10-$AL$10)*($AM$10-$AL$10)),$AN$10-SQRT((1-AY914)*($AN$10-$AL$10)*($AN$10-$AM$10))),$AM$10)</f>
        <v/>
      </c>
      <c r="AQ914">
        <f>IFERROR(IF(AZ914&lt;($AM$11-$AL$11)/($AN$11-$AL$11),$AL$11+SQRT(AZ914*($AN$11-$AL$11)*($AM$11-$AL$11)),$AN$11-SQRT((1-AZ914)*($AN$11-$AL$11)*($AN$11-$AM$11))),$AM$11)</f>
        <v/>
      </c>
      <c r="AR914">
        <f>SUMPRODUCT((B24:B31&lt;=$B$6)*(C24:C31*AM914+D24:D31*AO914*$B$8*AQ914)/(1+AL914/100)^B24:B31)+C32*AM914*AP914/(1+AL914/100)^$B$6</f>
        <v/>
      </c>
      <c r="AS914">
        <f>SUMPRODUCT((K24:K26&lt;=$B$6)*(L24:L26*AN914+M24:M26*AO914*$B$8*AQ914)/(1+AL914/100)^K24:K26)+L27*AN914*AP914/(1+AL914/100)^$B$6</f>
        <v/>
      </c>
      <c r="AT914">
        <f>AS914-AR914</f>
        <v/>
      </c>
      <c r="AU914">
        <f>RAND()</f>
        <v/>
      </c>
      <c r="AV914">
        <f>RAND()</f>
        <v/>
      </c>
      <c r="AW914">
        <f>RAND()</f>
        <v/>
      </c>
      <c r="AX914">
        <f>RAND()</f>
        <v/>
      </c>
      <c r="AY914">
        <f>RAND()</f>
        <v/>
      </c>
      <c r="AZ914">
        <f>RAND()</f>
        <v/>
      </c>
    </row>
    <row r="915">
      <c r="AK915" t="n">
        <v>902</v>
      </c>
      <c r="AL915">
        <f>IFERROR(IF(AU915&lt;($AM$6-$AL$6)/($AN$6-$AL$6),$AL$6+SQRT(AU915*($AN$6-$AL$6)*($AM$6-$AL$6)),$AN$6-SQRT((1-AU915)*($AN$6-$AL$6)*($AN$6-$AM$6))),$AM$6)</f>
        <v/>
      </c>
      <c r="AM915">
        <f>IFERROR(IF(AV915&lt;($AM$7-$AL$7)/($AN$7-$AL$7),$AL$7+SQRT(AV915*($AN$7-$AL$7)*($AM$7-$AL$7)),$AN$7-SQRT((1-AV915)*($AN$7-$AL$7)*($AN$7-$AM$7))),$AM$7)</f>
        <v/>
      </c>
      <c r="AN915">
        <f>IFERROR(IF(AW915&lt;($AM$8-$AL$8)/($AN$8-$AL$8),$AL$8+SQRT(AW915*($AN$8-$AL$8)*($AM$8-$AL$8)),$AN$8-SQRT((1-AW915)*($AN$8-$AL$8)*($AN$8-$AM$8))),$AM$8)</f>
        <v/>
      </c>
      <c r="AO915">
        <f>IFERROR(IF(AX915&lt;($AM$9-$AL$9)/($AN$9-$AL$9),$AL$9+SQRT(AX915*($AN$9-$AL$9)*($AM$9-$AL$9)),$AN$9-SQRT((1-AX915)*($AN$9-$AL$9)*($AN$9-$AM$9))),$AM$9)</f>
        <v/>
      </c>
      <c r="AP915">
        <f>IFERROR(IF(AY915&lt;($AM$10-$AL$10)/($AN$10-$AL$10),$AL$10+SQRT(AY915*($AN$10-$AL$10)*($AM$10-$AL$10)),$AN$10-SQRT((1-AY915)*($AN$10-$AL$10)*($AN$10-$AM$10))),$AM$10)</f>
        <v/>
      </c>
      <c r="AQ915">
        <f>IFERROR(IF(AZ915&lt;($AM$11-$AL$11)/($AN$11-$AL$11),$AL$11+SQRT(AZ915*($AN$11-$AL$11)*($AM$11-$AL$11)),$AN$11-SQRT((1-AZ915)*($AN$11-$AL$11)*($AN$11-$AM$11))),$AM$11)</f>
        <v/>
      </c>
      <c r="AR915">
        <f>SUMPRODUCT((B24:B31&lt;=$B$6)*(C24:C31*AM915+D24:D31*AO915*$B$8*AQ915)/(1+AL915/100)^B24:B31)+C32*AM915*AP915/(1+AL915/100)^$B$6</f>
        <v/>
      </c>
      <c r="AS915">
        <f>SUMPRODUCT((K24:K26&lt;=$B$6)*(L24:L26*AN915+M24:M26*AO915*$B$8*AQ915)/(1+AL915/100)^K24:K26)+L27*AN915*AP915/(1+AL915/100)^$B$6</f>
        <v/>
      </c>
      <c r="AT915">
        <f>AS915-AR915</f>
        <v/>
      </c>
      <c r="AU915">
        <f>RAND()</f>
        <v/>
      </c>
      <c r="AV915">
        <f>RAND()</f>
        <v/>
      </c>
      <c r="AW915">
        <f>RAND()</f>
        <v/>
      </c>
      <c r="AX915">
        <f>RAND()</f>
        <v/>
      </c>
      <c r="AY915">
        <f>RAND()</f>
        <v/>
      </c>
      <c r="AZ915">
        <f>RAND()</f>
        <v/>
      </c>
    </row>
    <row r="916">
      <c r="AK916" t="n">
        <v>903</v>
      </c>
      <c r="AL916">
        <f>IFERROR(IF(AU916&lt;($AM$6-$AL$6)/($AN$6-$AL$6),$AL$6+SQRT(AU916*($AN$6-$AL$6)*($AM$6-$AL$6)),$AN$6-SQRT((1-AU916)*($AN$6-$AL$6)*($AN$6-$AM$6))),$AM$6)</f>
        <v/>
      </c>
      <c r="AM916">
        <f>IFERROR(IF(AV916&lt;($AM$7-$AL$7)/($AN$7-$AL$7),$AL$7+SQRT(AV916*($AN$7-$AL$7)*($AM$7-$AL$7)),$AN$7-SQRT((1-AV916)*($AN$7-$AL$7)*($AN$7-$AM$7))),$AM$7)</f>
        <v/>
      </c>
      <c r="AN916">
        <f>IFERROR(IF(AW916&lt;($AM$8-$AL$8)/($AN$8-$AL$8),$AL$8+SQRT(AW916*($AN$8-$AL$8)*($AM$8-$AL$8)),$AN$8-SQRT((1-AW916)*($AN$8-$AL$8)*($AN$8-$AM$8))),$AM$8)</f>
        <v/>
      </c>
      <c r="AO916">
        <f>IFERROR(IF(AX916&lt;($AM$9-$AL$9)/($AN$9-$AL$9),$AL$9+SQRT(AX916*($AN$9-$AL$9)*($AM$9-$AL$9)),$AN$9-SQRT((1-AX916)*($AN$9-$AL$9)*($AN$9-$AM$9))),$AM$9)</f>
        <v/>
      </c>
      <c r="AP916">
        <f>IFERROR(IF(AY916&lt;($AM$10-$AL$10)/($AN$10-$AL$10),$AL$10+SQRT(AY916*($AN$10-$AL$10)*($AM$10-$AL$10)),$AN$10-SQRT((1-AY916)*($AN$10-$AL$10)*($AN$10-$AM$10))),$AM$10)</f>
        <v/>
      </c>
      <c r="AQ916">
        <f>IFERROR(IF(AZ916&lt;($AM$11-$AL$11)/($AN$11-$AL$11),$AL$11+SQRT(AZ916*($AN$11-$AL$11)*($AM$11-$AL$11)),$AN$11-SQRT((1-AZ916)*($AN$11-$AL$11)*($AN$11-$AM$11))),$AM$11)</f>
        <v/>
      </c>
      <c r="AR916">
        <f>SUMPRODUCT((B24:B31&lt;=$B$6)*(C24:C31*AM916+D24:D31*AO916*$B$8*AQ916)/(1+AL916/100)^B24:B31)+C32*AM916*AP916/(1+AL916/100)^$B$6</f>
        <v/>
      </c>
      <c r="AS916">
        <f>SUMPRODUCT((K24:K26&lt;=$B$6)*(L24:L26*AN916+M24:M26*AO916*$B$8*AQ916)/(1+AL916/100)^K24:K26)+L27*AN916*AP916/(1+AL916/100)^$B$6</f>
        <v/>
      </c>
      <c r="AT916">
        <f>AS916-AR916</f>
        <v/>
      </c>
      <c r="AU916">
        <f>RAND()</f>
        <v/>
      </c>
      <c r="AV916">
        <f>RAND()</f>
        <v/>
      </c>
      <c r="AW916">
        <f>RAND()</f>
        <v/>
      </c>
      <c r="AX916">
        <f>RAND()</f>
        <v/>
      </c>
      <c r="AY916">
        <f>RAND()</f>
        <v/>
      </c>
      <c r="AZ916">
        <f>RAND()</f>
        <v/>
      </c>
    </row>
    <row r="917">
      <c r="AK917" t="n">
        <v>904</v>
      </c>
      <c r="AL917">
        <f>IFERROR(IF(AU917&lt;($AM$6-$AL$6)/($AN$6-$AL$6),$AL$6+SQRT(AU917*($AN$6-$AL$6)*($AM$6-$AL$6)),$AN$6-SQRT((1-AU917)*($AN$6-$AL$6)*($AN$6-$AM$6))),$AM$6)</f>
        <v/>
      </c>
      <c r="AM917">
        <f>IFERROR(IF(AV917&lt;($AM$7-$AL$7)/($AN$7-$AL$7),$AL$7+SQRT(AV917*($AN$7-$AL$7)*($AM$7-$AL$7)),$AN$7-SQRT((1-AV917)*($AN$7-$AL$7)*($AN$7-$AM$7))),$AM$7)</f>
        <v/>
      </c>
      <c r="AN917">
        <f>IFERROR(IF(AW917&lt;($AM$8-$AL$8)/($AN$8-$AL$8),$AL$8+SQRT(AW917*($AN$8-$AL$8)*($AM$8-$AL$8)),$AN$8-SQRT((1-AW917)*($AN$8-$AL$8)*($AN$8-$AM$8))),$AM$8)</f>
        <v/>
      </c>
      <c r="AO917">
        <f>IFERROR(IF(AX917&lt;($AM$9-$AL$9)/($AN$9-$AL$9),$AL$9+SQRT(AX917*($AN$9-$AL$9)*($AM$9-$AL$9)),$AN$9-SQRT((1-AX917)*($AN$9-$AL$9)*($AN$9-$AM$9))),$AM$9)</f>
        <v/>
      </c>
      <c r="AP917">
        <f>IFERROR(IF(AY917&lt;($AM$10-$AL$10)/($AN$10-$AL$10),$AL$10+SQRT(AY917*($AN$10-$AL$10)*($AM$10-$AL$10)),$AN$10-SQRT((1-AY917)*($AN$10-$AL$10)*($AN$10-$AM$10))),$AM$10)</f>
        <v/>
      </c>
      <c r="AQ917">
        <f>IFERROR(IF(AZ917&lt;($AM$11-$AL$11)/($AN$11-$AL$11),$AL$11+SQRT(AZ917*($AN$11-$AL$11)*($AM$11-$AL$11)),$AN$11-SQRT((1-AZ917)*($AN$11-$AL$11)*($AN$11-$AM$11))),$AM$11)</f>
        <v/>
      </c>
      <c r="AR917">
        <f>SUMPRODUCT((B24:B31&lt;=$B$6)*(C24:C31*AM917+D24:D31*AO917*$B$8*AQ917)/(1+AL917/100)^B24:B31)+C32*AM917*AP917/(1+AL917/100)^$B$6</f>
        <v/>
      </c>
      <c r="AS917">
        <f>SUMPRODUCT((K24:K26&lt;=$B$6)*(L24:L26*AN917+M24:M26*AO917*$B$8*AQ917)/(1+AL917/100)^K24:K26)+L27*AN917*AP917/(1+AL917/100)^$B$6</f>
        <v/>
      </c>
      <c r="AT917">
        <f>AS917-AR917</f>
        <v/>
      </c>
      <c r="AU917">
        <f>RAND()</f>
        <v/>
      </c>
      <c r="AV917">
        <f>RAND()</f>
        <v/>
      </c>
      <c r="AW917">
        <f>RAND()</f>
        <v/>
      </c>
      <c r="AX917">
        <f>RAND()</f>
        <v/>
      </c>
      <c r="AY917">
        <f>RAND()</f>
        <v/>
      </c>
      <c r="AZ917">
        <f>RAND()</f>
        <v/>
      </c>
    </row>
    <row r="918">
      <c r="AK918" t="n">
        <v>905</v>
      </c>
      <c r="AL918">
        <f>IFERROR(IF(AU918&lt;($AM$6-$AL$6)/($AN$6-$AL$6),$AL$6+SQRT(AU918*($AN$6-$AL$6)*($AM$6-$AL$6)),$AN$6-SQRT((1-AU918)*($AN$6-$AL$6)*($AN$6-$AM$6))),$AM$6)</f>
        <v/>
      </c>
      <c r="AM918">
        <f>IFERROR(IF(AV918&lt;($AM$7-$AL$7)/($AN$7-$AL$7),$AL$7+SQRT(AV918*($AN$7-$AL$7)*($AM$7-$AL$7)),$AN$7-SQRT((1-AV918)*($AN$7-$AL$7)*($AN$7-$AM$7))),$AM$7)</f>
        <v/>
      </c>
      <c r="AN918">
        <f>IFERROR(IF(AW918&lt;($AM$8-$AL$8)/($AN$8-$AL$8),$AL$8+SQRT(AW918*($AN$8-$AL$8)*($AM$8-$AL$8)),$AN$8-SQRT((1-AW918)*($AN$8-$AL$8)*($AN$8-$AM$8))),$AM$8)</f>
        <v/>
      </c>
      <c r="AO918">
        <f>IFERROR(IF(AX918&lt;($AM$9-$AL$9)/($AN$9-$AL$9),$AL$9+SQRT(AX918*($AN$9-$AL$9)*($AM$9-$AL$9)),$AN$9-SQRT((1-AX918)*($AN$9-$AL$9)*($AN$9-$AM$9))),$AM$9)</f>
        <v/>
      </c>
      <c r="AP918">
        <f>IFERROR(IF(AY918&lt;($AM$10-$AL$10)/($AN$10-$AL$10),$AL$10+SQRT(AY918*($AN$10-$AL$10)*($AM$10-$AL$10)),$AN$10-SQRT((1-AY918)*($AN$10-$AL$10)*($AN$10-$AM$10))),$AM$10)</f>
        <v/>
      </c>
      <c r="AQ918">
        <f>IFERROR(IF(AZ918&lt;($AM$11-$AL$11)/($AN$11-$AL$11),$AL$11+SQRT(AZ918*($AN$11-$AL$11)*($AM$11-$AL$11)),$AN$11-SQRT((1-AZ918)*($AN$11-$AL$11)*($AN$11-$AM$11))),$AM$11)</f>
        <v/>
      </c>
      <c r="AR918">
        <f>SUMPRODUCT((B24:B31&lt;=$B$6)*(C24:C31*AM918+D24:D31*AO918*$B$8*AQ918)/(1+AL918/100)^B24:B31)+C32*AM918*AP918/(1+AL918/100)^$B$6</f>
        <v/>
      </c>
      <c r="AS918">
        <f>SUMPRODUCT((K24:K26&lt;=$B$6)*(L24:L26*AN918+M24:M26*AO918*$B$8*AQ918)/(1+AL918/100)^K24:K26)+L27*AN918*AP918/(1+AL918/100)^$B$6</f>
        <v/>
      </c>
      <c r="AT918">
        <f>AS918-AR918</f>
        <v/>
      </c>
      <c r="AU918">
        <f>RAND()</f>
        <v/>
      </c>
      <c r="AV918">
        <f>RAND()</f>
        <v/>
      </c>
      <c r="AW918">
        <f>RAND()</f>
        <v/>
      </c>
      <c r="AX918">
        <f>RAND()</f>
        <v/>
      </c>
      <c r="AY918">
        <f>RAND()</f>
        <v/>
      </c>
      <c r="AZ918">
        <f>RAND()</f>
        <v/>
      </c>
    </row>
    <row r="919">
      <c r="AK919" t="n">
        <v>906</v>
      </c>
      <c r="AL919">
        <f>IFERROR(IF(AU919&lt;($AM$6-$AL$6)/($AN$6-$AL$6),$AL$6+SQRT(AU919*($AN$6-$AL$6)*($AM$6-$AL$6)),$AN$6-SQRT((1-AU919)*($AN$6-$AL$6)*($AN$6-$AM$6))),$AM$6)</f>
        <v/>
      </c>
      <c r="AM919">
        <f>IFERROR(IF(AV919&lt;($AM$7-$AL$7)/($AN$7-$AL$7),$AL$7+SQRT(AV919*($AN$7-$AL$7)*($AM$7-$AL$7)),$AN$7-SQRT((1-AV919)*($AN$7-$AL$7)*($AN$7-$AM$7))),$AM$7)</f>
        <v/>
      </c>
      <c r="AN919">
        <f>IFERROR(IF(AW919&lt;($AM$8-$AL$8)/($AN$8-$AL$8),$AL$8+SQRT(AW919*($AN$8-$AL$8)*($AM$8-$AL$8)),$AN$8-SQRT((1-AW919)*($AN$8-$AL$8)*($AN$8-$AM$8))),$AM$8)</f>
        <v/>
      </c>
      <c r="AO919">
        <f>IFERROR(IF(AX919&lt;($AM$9-$AL$9)/($AN$9-$AL$9),$AL$9+SQRT(AX919*($AN$9-$AL$9)*($AM$9-$AL$9)),$AN$9-SQRT((1-AX919)*($AN$9-$AL$9)*($AN$9-$AM$9))),$AM$9)</f>
        <v/>
      </c>
      <c r="AP919">
        <f>IFERROR(IF(AY919&lt;($AM$10-$AL$10)/($AN$10-$AL$10),$AL$10+SQRT(AY919*($AN$10-$AL$10)*($AM$10-$AL$10)),$AN$10-SQRT((1-AY919)*($AN$10-$AL$10)*($AN$10-$AM$10))),$AM$10)</f>
        <v/>
      </c>
      <c r="AQ919">
        <f>IFERROR(IF(AZ919&lt;($AM$11-$AL$11)/($AN$11-$AL$11),$AL$11+SQRT(AZ919*($AN$11-$AL$11)*($AM$11-$AL$11)),$AN$11-SQRT((1-AZ919)*($AN$11-$AL$11)*($AN$11-$AM$11))),$AM$11)</f>
        <v/>
      </c>
      <c r="AR919">
        <f>SUMPRODUCT((B24:B31&lt;=$B$6)*(C24:C31*AM919+D24:D31*AO919*$B$8*AQ919)/(1+AL919/100)^B24:B31)+C32*AM919*AP919/(1+AL919/100)^$B$6</f>
        <v/>
      </c>
      <c r="AS919">
        <f>SUMPRODUCT((K24:K26&lt;=$B$6)*(L24:L26*AN919+M24:M26*AO919*$B$8*AQ919)/(1+AL919/100)^K24:K26)+L27*AN919*AP919/(1+AL919/100)^$B$6</f>
        <v/>
      </c>
      <c r="AT919">
        <f>AS919-AR919</f>
        <v/>
      </c>
      <c r="AU919">
        <f>RAND()</f>
        <v/>
      </c>
      <c r="AV919">
        <f>RAND()</f>
        <v/>
      </c>
      <c r="AW919">
        <f>RAND()</f>
        <v/>
      </c>
      <c r="AX919">
        <f>RAND()</f>
        <v/>
      </c>
      <c r="AY919">
        <f>RAND()</f>
        <v/>
      </c>
      <c r="AZ919">
        <f>RAND()</f>
        <v/>
      </c>
    </row>
    <row r="920">
      <c r="AK920" t="n">
        <v>907</v>
      </c>
      <c r="AL920">
        <f>IFERROR(IF(AU920&lt;($AM$6-$AL$6)/($AN$6-$AL$6),$AL$6+SQRT(AU920*($AN$6-$AL$6)*($AM$6-$AL$6)),$AN$6-SQRT((1-AU920)*($AN$6-$AL$6)*($AN$6-$AM$6))),$AM$6)</f>
        <v/>
      </c>
      <c r="AM920">
        <f>IFERROR(IF(AV920&lt;($AM$7-$AL$7)/($AN$7-$AL$7),$AL$7+SQRT(AV920*($AN$7-$AL$7)*($AM$7-$AL$7)),$AN$7-SQRT((1-AV920)*($AN$7-$AL$7)*($AN$7-$AM$7))),$AM$7)</f>
        <v/>
      </c>
      <c r="AN920">
        <f>IFERROR(IF(AW920&lt;($AM$8-$AL$8)/($AN$8-$AL$8),$AL$8+SQRT(AW920*($AN$8-$AL$8)*($AM$8-$AL$8)),$AN$8-SQRT((1-AW920)*($AN$8-$AL$8)*($AN$8-$AM$8))),$AM$8)</f>
        <v/>
      </c>
      <c r="AO920">
        <f>IFERROR(IF(AX920&lt;($AM$9-$AL$9)/($AN$9-$AL$9),$AL$9+SQRT(AX920*($AN$9-$AL$9)*($AM$9-$AL$9)),$AN$9-SQRT((1-AX920)*($AN$9-$AL$9)*($AN$9-$AM$9))),$AM$9)</f>
        <v/>
      </c>
      <c r="AP920">
        <f>IFERROR(IF(AY920&lt;($AM$10-$AL$10)/($AN$10-$AL$10),$AL$10+SQRT(AY920*($AN$10-$AL$10)*($AM$10-$AL$10)),$AN$10-SQRT((1-AY920)*($AN$10-$AL$10)*($AN$10-$AM$10))),$AM$10)</f>
        <v/>
      </c>
      <c r="AQ920">
        <f>IFERROR(IF(AZ920&lt;($AM$11-$AL$11)/($AN$11-$AL$11),$AL$11+SQRT(AZ920*($AN$11-$AL$11)*($AM$11-$AL$11)),$AN$11-SQRT((1-AZ920)*($AN$11-$AL$11)*($AN$11-$AM$11))),$AM$11)</f>
        <v/>
      </c>
      <c r="AR920">
        <f>SUMPRODUCT((B24:B31&lt;=$B$6)*(C24:C31*AM920+D24:D31*AO920*$B$8*AQ920)/(1+AL920/100)^B24:B31)+C32*AM920*AP920/(1+AL920/100)^$B$6</f>
        <v/>
      </c>
      <c r="AS920">
        <f>SUMPRODUCT((K24:K26&lt;=$B$6)*(L24:L26*AN920+M24:M26*AO920*$B$8*AQ920)/(1+AL920/100)^K24:K26)+L27*AN920*AP920/(1+AL920/100)^$B$6</f>
        <v/>
      </c>
      <c r="AT920">
        <f>AS920-AR920</f>
        <v/>
      </c>
      <c r="AU920">
        <f>RAND()</f>
        <v/>
      </c>
      <c r="AV920">
        <f>RAND()</f>
        <v/>
      </c>
      <c r="AW920">
        <f>RAND()</f>
        <v/>
      </c>
      <c r="AX920">
        <f>RAND()</f>
        <v/>
      </c>
      <c r="AY920">
        <f>RAND()</f>
        <v/>
      </c>
      <c r="AZ920">
        <f>RAND()</f>
        <v/>
      </c>
    </row>
    <row r="921">
      <c r="AK921" t="n">
        <v>908</v>
      </c>
      <c r="AL921">
        <f>IFERROR(IF(AU921&lt;($AM$6-$AL$6)/($AN$6-$AL$6),$AL$6+SQRT(AU921*($AN$6-$AL$6)*($AM$6-$AL$6)),$AN$6-SQRT((1-AU921)*($AN$6-$AL$6)*($AN$6-$AM$6))),$AM$6)</f>
        <v/>
      </c>
      <c r="AM921">
        <f>IFERROR(IF(AV921&lt;($AM$7-$AL$7)/($AN$7-$AL$7),$AL$7+SQRT(AV921*($AN$7-$AL$7)*($AM$7-$AL$7)),$AN$7-SQRT((1-AV921)*($AN$7-$AL$7)*($AN$7-$AM$7))),$AM$7)</f>
        <v/>
      </c>
      <c r="AN921">
        <f>IFERROR(IF(AW921&lt;($AM$8-$AL$8)/($AN$8-$AL$8),$AL$8+SQRT(AW921*($AN$8-$AL$8)*($AM$8-$AL$8)),$AN$8-SQRT((1-AW921)*($AN$8-$AL$8)*($AN$8-$AM$8))),$AM$8)</f>
        <v/>
      </c>
      <c r="AO921">
        <f>IFERROR(IF(AX921&lt;($AM$9-$AL$9)/($AN$9-$AL$9),$AL$9+SQRT(AX921*($AN$9-$AL$9)*($AM$9-$AL$9)),$AN$9-SQRT((1-AX921)*($AN$9-$AL$9)*($AN$9-$AM$9))),$AM$9)</f>
        <v/>
      </c>
      <c r="AP921">
        <f>IFERROR(IF(AY921&lt;($AM$10-$AL$10)/($AN$10-$AL$10),$AL$10+SQRT(AY921*($AN$10-$AL$10)*($AM$10-$AL$10)),$AN$10-SQRT((1-AY921)*($AN$10-$AL$10)*($AN$10-$AM$10))),$AM$10)</f>
        <v/>
      </c>
      <c r="AQ921">
        <f>IFERROR(IF(AZ921&lt;($AM$11-$AL$11)/($AN$11-$AL$11),$AL$11+SQRT(AZ921*($AN$11-$AL$11)*($AM$11-$AL$11)),$AN$11-SQRT((1-AZ921)*($AN$11-$AL$11)*($AN$11-$AM$11))),$AM$11)</f>
        <v/>
      </c>
      <c r="AR921">
        <f>SUMPRODUCT((B24:B31&lt;=$B$6)*(C24:C31*AM921+D24:D31*AO921*$B$8*AQ921)/(1+AL921/100)^B24:B31)+C32*AM921*AP921/(1+AL921/100)^$B$6</f>
        <v/>
      </c>
      <c r="AS921">
        <f>SUMPRODUCT((K24:K26&lt;=$B$6)*(L24:L26*AN921+M24:M26*AO921*$B$8*AQ921)/(1+AL921/100)^K24:K26)+L27*AN921*AP921/(1+AL921/100)^$B$6</f>
        <v/>
      </c>
      <c r="AT921">
        <f>AS921-AR921</f>
        <v/>
      </c>
      <c r="AU921">
        <f>RAND()</f>
        <v/>
      </c>
      <c r="AV921">
        <f>RAND()</f>
        <v/>
      </c>
      <c r="AW921">
        <f>RAND()</f>
        <v/>
      </c>
      <c r="AX921">
        <f>RAND()</f>
        <v/>
      </c>
      <c r="AY921">
        <f>RAND()</f>
        <v/>
      </c>
      <c r="AZ921">
        <f>RAND()</f>
        <v/>
      </c>
    </row>
    <row r="922">
      <c r="AK922" t="n">
        <v>909</v>
      </c>
      <c r="AL922">
        <f>IFERROR(IF(AU922&lt;($AM$6-$AL$6)/($AN$6-$AL$6),$AL$6+SQRT(AU922*($AN$6-$AL$6)*($AM$6-$AL$6)),$AN$6-SQRT((1-AU922)*($AN$6-$AL$6)*($AN$6-$AM$6))),$AM$6)</f>
        <v/>
      </c>
      <c r="AM922">
        <f>IFERROR(IF(AV922&lt;($AM$7-$AL$7)/($AN$7-$AL$7),$AL$7+SQRT(AV922*($AN$7-$AL$7)*($AM$7-$AL$7)),$AN$7-SQRT((1-AV922)*($AN$7-$AL$7)*($AN$7-$AM$7))),$AM$7)</f>
        <v/>
      </c>
      <c r="AN922">
        <f>IFERROR(IF(AW922&lt;($AM$8-$AL$8)/($AN$8-$AL$8),$AL$8+SQRT(AW922*($AN$8-$AL$8)*($AM$8-$AL$8)),$AN$8-SQRT((1-AW922)*($AN$8-$AL$8)*($AN$8-$AM$8))),$AM$8)</f>
        <v/>
      </c>
      <c r="AO922">
        <f>IFERROR(IF(AX922&lt;($AM$9-$AL$9)/($AN$9-$AL$9),$AL$9+SQRT(AX922*($AN$9-$AL$9)*($AM$9-$AL$9)),$AN$9-SQRT((1-AX922)*($AN$9-$AL$9)*($AN$9-$AM$9))),$AM$9)</f>
        <v/>
      </c>
      <c r="AP922">
        <f>IFERROR(IF(AY922&lt;($AM$10-$AL$10)/($AN$10-$AL$10),$AL$10+SQRT(AY922*($AN$10-$AL$10)*($AM$10-$AL$10)),$AN$10-SQRT((1-AY922)*($AN$10-$AL$10)*($AN$10-$AM$10))),$AM$10)</f>
        <v/>
      </c>
      <c r="AQ922">
        <f>IFERROR(IF(AZ922&lt;($AM$11-$AL$11)/($AN$11-$AL$11),$AL$11+SQRT(AZ922*($AN$11-$AL$11)*($AM$11-$AL$11)),$AN$11-SQRT((1-AZ922)*($AN$11-$AL$11)*($AN$11-$AM$11))),$AM$11)</f>
        <v/>
      </c>
      <c r="AR922">
        <f>SUMPRODUCT((B24:B31&lt;=$B$6)*(C24:C31*AM922+D24:D31*AO922*$B$8*AQ922)/(1+AL922/100)^B24:B31)+C32*AM922*AP922/(1+AL922/100)^$B$6</f>
        <v/>
      </c>
      <c r="AS922">
        <f>SUMPRODUCT((K24:K26&lt;=$B$6)*(L24:L26*AN922+M24:M26*AO922*$B$8*AQ922)/(1+AL922/100)^K24:K26)+L27*AN922*AP922/(1+AL922/100)^$B$6</f>
        <v/>
      </c>
      <c r="AT922">
        <f>AS922-AR922</f>
        <v/>
      </c>
      <c r="AU922">
        <f>RAND()</f>
        <v/>
      </c>
      <c r="AV922">
        <f>RAND()</f>
        <v/>
      </c>
      <c r="AW922">
        <f>RAND()</f>
        <v/>
      </c>
      <c r="AX922">
        <f>RAND()</f>
        <v/>
      </c>
      <c r="AY922">
        <f>RAND()</f>
        <v/>
      </c>
      <c r="AZ922">
        <f>RAND()</f>
        <v/>
      </c>
    </row>
    <row r="923">
      <c r="AK923" t="n">
        <v>910</v>
      </c>
      <c r="AL923">
        <f>IFERROR(IF(AU923&lt;($AM$6-$AL$6)/($AN$6-$AL$6),$AL$6+SQRT(AU923*($AN$6-$AL$6)*($AM$6-$AL$6)),$AN$6-SQRT((1-AU923)*($AN$6-$AL$6)*($AN$6-$AM$6))),$AM$6)</f>
        <v/>
      </c>
      <c r="AM923">
        <f>IFERROR(IF(AV923&lt;($AM$7-$AL$7)/($AN$7-$AL$7),$AL$7+SQRT(AV923*($AN$7-$AL$7)*($AM$7-$AL$7)),$AN$7-SQRT((1-AV923)*($AN$7-$AL$7)*($AN$7-$AM$7))),$AM$7)</f>
        <v/>
      </c>
      <c r="AN923">
        <f>IFERROR(IF(AW923&lt;($AM$8-$AL$8)/($AN$8-$AL$8),$AL$8+SQRT(AW923*($AN$8-$AL$8)*($AM$8-$AL$8)),$AN$8-SQRT((1-AW923)*($AN$8-$AL$8)*($AN$8-$AM$8))),$AM$8)</f>
        <v/>
      </c>
      <c r="AO923">
        <f>IFERROR(IF(AX923&lt;($AM$9-$AL$9)/($AN$9-$AL$9),$AL$9+SQRT(AX923*($AN$9-$AL$9)*($AM$9-$AL$9)),$AN$9-SQRT((1-AX923)*($AN$9-$AL$9)*($AN$9-$AM$9))),$AM$9)</f>
        <v/>
      </c>
      <c r="AP923">
        <f>IFERROR(IF(AY923&lt;($AM$10-$AL$10)/($AN$10-$AL$10),$AL$10+SQRT(AY923*($AN$10-$AL$10)*($AM$10-$AL$10)),$AN$10-SQRT((1-AY923)*($AN$10-$AL$10)*($AN$10-$AM$10))),$AM$10)</f>
        <v/>
      </c>
      <c r="AQ923">
        <f>IFERROR(IF(AZ923&lt;($AM$11-$AL$11)/($AN$11-$AL$11),$AL$11+SQRT(AZ923*($AN$11-$AL$11)*($AM$11-$AL$11)),$AN$11-SQRT((1-AZ923)*($AN$11-$AL$11)*($AN$11-$AM$11))),$AM$11)</f>
        <v/>
      </c>
      <c r="AR923">
        <f>SUMPRODUCT((B24:B31&lt;=$B$6)*(C24:C31*AM923+D24:D31*AO923*$B$8*AQ923)/(1+AL923/100)^B24:B31)+C32*AM923*AP923/(1+AL923/100)^$B$6</f>
        <v/>
      </c>
      <c r="AS923">
        <f>SUMPRODUCT((K24:K26&lt;=$B$6)*(L24:L26*AN923+M24:M26*AO923*$B$8*AQ923)/(1+AL923/100)^K24:K26)+L27*AN923*AP923/(1+AL923/100)^$B$6</f>
        <v/>
      </c>
      <c r="AT923">
        <f>AS923-AR923</f>
        <v/>
      </c>
      <c r="AU923">
        <f>RAND()</f>
        <v/>
      </c>
      <c r="AV923">
        <f>RAND()</f>
        <v/>
      </c>
      <c r="AW923">
        <f>RAND()</f>
        <v/>
      </c>
      <c r="AX923">
        <f>RAND()</f>
        <v/>
      </c>
      <c r="AY923">
        <f>RAND()</f>
        <v/>
      </c>
      <c r="AZ923">
        <f>RAND()</f>
        <v/>
      </c>
    </row>
    <row r="924">
      <c r="AK924" t="n">
        <v>911</v>
      </c>
      <c r="AL924">
        <f>IFERROR(IF(AU924&lt;($AM$6-$AL$6)/($AN$6-$AL$6),$AL$6+SQRT(AU924*($AN$6-$AL$6)*($AM$6-$AL$6)),$AN$6-SQRT((1-AU924)*($AN$6-$AL$6)*($AN$6-$AM$6))),$AM$6)</f>
        <v/>
      </c>
      <c r="AM924">
        <f>IFERROR(IF(AV924&lt;($AM$7-$AL$7)/($AN$7-$AL$7),$AL$7+SQRT(AV924*($AN$7-$AL$7)*($AM$7-$AL$7)),$AN$7-SQRT((1-AV924)*($AN$7-$AL$7)*($AN$7-$AM$7))),$AM$7)</f>
        <v/>
      </c>
      <c r="AN924">
        <f>IFERROR(IF(AW924&lt;($AM$8-$AL$8)/($AN$8-$AL$8),$AL$8+SQRT(AW924*($AN$8-$AL$8)*($AM$8-$AL$8)),$AN$8-SQRT((1-AW924)*($AN$8-$AL$8)*($AN$8-$AM$8))),$AM$8)</f>
        <v/>
      </c>
      <c r="AO924">
        <f>IFERROR(IF(AX924&lt;($AM$9-$AL$9)/($AN$9-$AL$9),$AL$9+SQRT(AX924*($AN$9-$AL$9)*($AM$9-$AL$9)),$AN$9-SQRT((1-AX924)*($AN$9-$AL$9)*($AN$9-$AM$9))),$AM$9)</f>
        <v/>
      </c>
      <c r="AP924">
        <f>IFERROR(IF(AY924&lt;($AM$10-$AL$10)/($AN$10-$AL$10),$AL$10+SQRT(AY924*($AN$10-$AL$10)*($AM$10-$AL$10)),$AN$10-SQRT((1-AY924)*($AN$10-$AL$10)*($AN$10-$AM$10))),$AM$10)</f>
        <v/>
      </c>
      <c r="AQ924">
        <f>IFERROR(IF(AZ924&lt;($AM$11-$AL$11)/($AN$11-$AL$11),$AL$11+SQRT(AZ924*($AN$11-$AL$11)*($AM$11-$AL$11)),$AN$11-SQRT((1-AZ924)*($AN$11-$AL$11)*($AN$11-$AM$11))),$AM$11)</f>
        <v/>
      </c>
      <c r="AR924">
        <f>SUMPRODUCT((B24:B31&lt;=$B$6)*(C24:C31*AM924+D24:D31*AO924*$B$8*AQ924)/(1+AL924/100)^B24:B31)+C32*AM924*AP924/(1+AL924/100)^$B$6</f>
        <v/>
      </c>
      <c r="AS924">
        <f>SUMPRODUCT((K24:K26&lt;=$B$6)*(L24:L26*AN924+M24:M26*AO924*$B$8*AQ924)/(1+AL924/100)^K24:K26)+L27*AN924*AP924/(1+AL924/100)^$B$6</f>
        <v/>
      </c>
      <c r="AT924">
        <f>AS924-AR924</f>
        <v/>
      </c>
      <c r="AU924">
        <f>RAND()</f>
        <v/>
      </c>
      <c r="AV924">
        <f>RAND()</f>
        <v/>
      </c>
      <c r="AW924">
        <f>RAND()</f>
        <v/>
      </c>
      <c r="AX924">
        <f>RAND()</f>
        <v/>
      </c>
      <c r="AY924">
        <f>RAND()</f>
        <v/>
      </c>
      <c r="AZ924">
        <f>RAND()</f>
        <v/>
      </c>
    </row>
    <row r="925">
      <c r="AK925" t="n">
        <v>912</v>
      </c>
      <c r="AL925">
        <f>IFERROR(IF(AU925&lt;($AM$6-$AL$6)/($AN$6-$AL$6),$AL$6+SQRT(AU925*($AN$6-$AL$6)*($AM$6-$AL$6)),$AN$6-SQRT((1-AU925)*($AN$6-$AL$6)*($AN$6-$AM$6))),$AM$6)</f>
        <v/>
      </c>
      <c r="AM925">
        <f>IFERROR(IF(AV925&lt;($AM$7-$AL$7)/($AN$7-$AL$7),$AL$7+SQRT(AV925*($AN$7-$AL$7)*($AM$7-$AL$7)),$AN$7-SQRT((1-AV925)*($AN$7-$AL$7)*($AN$7-$AM$7))),$AM$7)</f>
        <v/>
      </c>
      <c r="AN925">
        <f>IFERROR(IF(AW925&lt;($AM$8-$AL$8)/($AN$8-$AL$8),$AL$8+SQRT(AW925*($AN$8-$AL$8)*($AM$8-$AL$8)),$AN$8-SQRT((1-AW925)*($AN$8-$AL$8)*($AN$8-$AM$8))),$AM$8)</f>
        <v/>
      </c>
      <c r="AO925">
        <f>IFERROR(IF(AX925&lt;($AM$9-$AL$9)/($AN$9-$AL$9),$AL$9+SQRT(AX925*($AN$9-$AL$9)*($AM$9-$AL$9)),$AN$9-SQRT((1-AX925)*($AN$9-$AL$9)*($AN$9-$AM$9))),$AM$9)</f>
        <v/>
      </c>
      <c r="AP925">
        <f>IFERROR(IF(AY925&lt;($AM$10-$AL$10)/($AN$10-$AL$10),$AL$10+SQRT(AY925*($AN$10-$AL$10)*($AM$10-$AL$10)),$AN$10-SQRT((1-AY925)*($AN$10-$AL$10)*($AN$10-$AM$10))),$AM$10)</f>
        <v/>
      </c>
      <c r="AQ925">
        <f>IFERROR(IF(AZ925&lt;($AM$11-$AL$11)/($AN$11-$AL$11),$AL$11+SQRT(AZ925*($AN$11-$AL$11)*($AM$11-$AL$11)),$AN$11-SQRT((1-AZ925)*($AN$11-$AL$11)*($AN$11-$AM$11))),$AM$11)</f>
        <v/>
      </c>
      <c r="AR925">
        <f>SUMPRODUCT((B24:B31&lt;=$B$6)*(C24:C31*AM925+D24:D31*AO925*$B$8*AQ925)/(1+AL925/100)^B24:B31)+C32*AM925*AP925/(1+AL925/100)^$B$6</f>
        <v/>
      </c>
      <c r="AS925">
        <f>SUMPRODUCT((K24:K26&lt;=$B$6)*(L24:L26*AN925+M24:M26*AO925*$B$8*AQ925)/(1+AL925/100)^K24:K26)+L27*AN925*AP925/(1+AL925/100)^$B$6</f>
        <v/>
      </c>
      <c r="AT925">
        <f>AS925-AR925</f>
        <v/>
      </c>
      <c r="AU925">
        <f>RAND()</f>
        <v/>
      </c>
      <c r="AV925">
        <f>RAND()</f>
        <v/>
      </c>
      <c r="AW925">
        <f>RAND()</f>
        <v/>
      </c>
      <c r="AX925">
        <f>RAND()</f>
        <v/>
      </c>
      <c r="AY925">
        <f>RAND()</f>
        <v/>
      </c>
      <c r="AZ925">
        <f>RAND()</f>
        <v/>
      </c>
    </row>
    <row r="926">
      <c r="AK926" t="n">
        <v>913</v>
      </c>
      <c r="AL926">
        <f>IFERROR(IF(AU926&lt;($AM$6-$AL$6)/($AN$6-$AL$6),$AL$6+SQRT(AU926*($AN$6-$AL$6)*($AM$6-$AL$6)),$AN$6-SQRT((1-AU926)*($AN$6-$AL$6)*($AN$6-$AM$6))),$AM$6)</f>
        <v/>
      </c>
      <c r="AM926">
        <f>IFERROR(IF(AV926&lt;($AM$7-$AL$7)/($AN$7-$AL$7),$AL$7+SQRT(AV926*($AN$7-$AL$7)*($AM$7-$AL$7)),$AN$7-SQRT((1-AV926)*($AN$7-$AL$7)*($AN$7-$AM$7))),$AM$7)</f>
        <v/>
      </c>
      <c r="AN926">
        <f>IFERROR(IF(AW926&lt;($AM$8-$AL$8)/($AN$8-$AL$8),$AL$8+SQRT(AW926*($AN$8-$AL$8)*($AM$8-$AL$8)),$AN$8-SQRT((1-AW926)*($AN$8-$AL$8)*($AN$8-$AM$8))),$AM$8)</f>
        <v/>
      </c>
      <c r="AO926">
        <f>IFERROR(IF(AX926&lt;($AM$9-$AL$9)/($AN$9-$AL$9),$AL$9+SQRT(AX926*($AN$9-$AL$9)*($AM$9-$AL$9)),$AN$9-SQRT((1-AX926)*($AN$9-$AL$9)*($AN$9-$AM$9))),$AM$9)</f>
        <v/>
      </c>
      <c r="AP926">
        <f>IFERROR(IF(AY926&lt;($AM$10-$AL$10)/($AN$10-$AL$10),$AL$10+SQRT(AY926*($AN$10-$AL$10)*($AM$10-$AL$10)),$AN$10-SQRT((1-AY926)*($AN$10-$AL$10)*($AN$10-$AM$10))),$AM$10)</f>
        <v/>
      </c>
      <c r="AQ926">
        <f>IFERROR(IF(AZ926&lt;($AM$11-$AL$11)/($AN$11-$AL$11),$AL$11+SQRT(AZ926*($AN$11-$AL$11)*($AM$11-$AL$11)),$AN$11-SQRT((1-AZ926)*($AN$11-$AL$11)*($AN$11-$AM$11))),$AM$11)</f>
        <v/>
      </c>
      <c r="AR926">
        <f>SUMPRODUCT((B24:B31&lt;=$B$6)*(C24:C31*AM926+D24:D31*AO926*$B$8*AQ926)/(1+AL926/100)^B24:B31)+C32*AM926*AP926/(1+AL926/100)^$B$6</f>
        <v/>
      </c>
      <c r="AS926">
        <f>SUMPRODUCT((K24:K26&lt;=$B$6)*(L24:L26*AN926+M24:M26*AO926*$B$8*AQ926)/(1+AL926/100)^K24:K26)+L27*AN926*AP926/(1+AL926/100)^$B$6</f>
        <v/>
      </c>
      <c r="AT926">
        <f>AS926-AR926</f>
        <v/>
      </c>
      <c r="AU926">
        <f>RAND()</f>
        <v/>
      </c>
      <c r="AV926">
        <f>RAND()</f>
        <v/>
      </c>
      <c r="AW926">
        <f>RAND()</f>
        <v/>
      </c>
      <c r="AX926">
        <f>RAND()</f>
        <v/>
      </c>
      <c r="AY926">
        <f>RAND()</f>
        <v/>
      </c>
      <c r="AZ926">
        <f>RAND()</f>
        <v/>
      </c>
    </row>
    <row r="927">
      <c r="AK927" t="n">
        <v>914</v>
      </c>
      <c r="AL927">
        <f>IFERROR(IF(AU927&lt;($AM$6-$AL$6)/($AN$6-$AL$6),$AL$6+SQRT(AU927*($AN$6-$AL$6)*($AM$6-$AL$6)),$AN$6-SQRT((1-AU927)*($AN$6-$AL$6)*($AN$6-$AM$6))),$AM$6)</f>
        <v/>
      </c>
      <c r="AM927">
        <f>IFERROR(IF(AV927&lt;($AM$7-$AL$7)/($AN$7-$AL$7),$AL$7+SQRT(AV927*($AN$7-$AL$7)*($AM$7-$AL$7)),$AN$7-SQRT((1-AV927)*($AN$7-$AL$7)*($AN$7-$AM$7))),$AM$7)</f>
        <v/>
      </c>
      <c r="AN927">
        <f>IFERROR(IF(AW927&lt;($AM$8-$AL$8)/($AN$8-$AL$8),$AL$8+SQRT(AW927*($AN$8-$AL$8)*($AM$8-$AL$8)),$AN$8-SQRT((1-AW927)*($AN$8-$AL$8)*($AN$8-$AM$8))),$AM$8)</f>
        <v/>
      </c>
      <c r="AO927">
        <f>IFERROR(IF(AX927&lt;($AM$9-$AL$9)/($AN$9-$AL$9),$AL$9+SQRT(AX927*($AN$9-$AL$9)*($AM$9-$AL$9)),$AN$9-SQRT((1-AX927)*($AN$9-$AL$9)*($AN$9-$AM$9))),$AM$9)</f>
        <v/>
      </c>
      <c r="AP927">
        <f>IFERROR(IF(AY927&lt;($AM$10-$AL$10)/($AN$10-$AL$10),$AL$10+SQRT(AY927*($AN$10-$AL$10)*($AM$10-$AL$10)),$AN$10-SQRT((1-AY927)*($AN$10-$AL$10)*($AN$10-$AM$10))),$AM$10)</f>
        <v/>
      </c>
      <c r="AQ927">
        <f>IFERROR(IF(AZ927&lt;($AM$11-$AL$11)/($AN$11-$AL$11),$AL$11+SQRT(AZ927*($AN$11-$AL$11)*($AM$11-$AL$11)),$AN$11-SQRT((1-AZ927)*($AN$11-$AL$11)*($AN$11-$AM$11))),$AM$11)</f>
        <v/>
      </c>
      <c r="AR927">
        <f>SUMPRODUCT((B24:B31&lt;=$B$6)*(C24:C31*AM927+D24:D31*AO927*$B$8*AQ927)/(1+AL927/100)^B24:B31)+C32*AM927*AP927/(1+AL927/100)^$B$6</f>
        <v/>
      </c>
      <c r="AS927">
        <f>SUMPRODUCT((K24:K26&lt;=$B$6)*(L24:L26*AN927+M24:M26*AO927*$B$8*AQ927)/(1+AL927/100)^K24:K26)+L27*AN927*AP927/(1+AL927/100)^$B$6</f>
        <v/>
      </c>
      <c r="AT927">
        <f>AS927-AR927</f>
        <v/>
      </c>
      <c r="AU927">
        <f>RAND()</f>
        <v/>
      </c>
      <c r="AV927">
        <f>RAND()</f>
        <v/>
      </c>
      <c r="AW927">
        <f>RAND()</f>
        <v/>
      </c>
      <c r="AX927">
        <f>RAND()</f>
        <v/>
      </c>
      <c r="AY927">
        <f>RAND()</f>
        <v/>
      </c>
      <c r="AZ927">
        <f>RAND()</f>
        <v/>
      </c>
    </row>
    <row r="928">
      <c r="AK928" t="n">
        <v>915</v>
      </c>
      <c r="AL928">
        <f>IFERROR(IF(AU928&lt;($AM$6-$AL$6)/($AN$6-$AL$6),$AL$6+SQRT(AU928*($AN$6-$AL$6)*($AM$6-$AL$6)),$AN$6-SQRT((1-AU928)*($AN$6-$AL$6)*($AN$6-$AM$6))),$AM$6)</f>
        <v/>
      </c>
      <c r="AM928">
        <f>IFERROR(IF(AV928&lt;($AM$7-$AL$7)/($AN$7-$AL$7),$AL$7+SQRT(AV928*($AN$7-$AL$7)*($AM$7-$AL$7)),$AN$7-SQRT((1-AV928)*($AN$7-$AL$7)*($AN$7-$AM$7))),$AM$7)</f>
        <v/>
      </c>
      <c r="AN928">
        <f>IFERROR(IF(AW928&lt;($AM$8-$AL$8)/($AN$8-$AL$8),$AL$8+SQRT(AW928*($AN$8-$AL$8)*($AM$8-$AL$8)),$AN$8-SQRT((1-AW928)*($AN$8-$AL$8)*($AN$8-$AM$8))),$AM$8)</f>
        <v/>
      </c>
      <c r="AO928">
        <f>IFERROR(IF(AX928&lt;($AM$9-$AL$9)/($AN$9-$AL$9),$AL$9+SQRT(AX928*($AN$9-$AL$9)*($AM$9-$AL$9)),$AN$9-SQRT((1-AX928)*($AN$9-$AL$9)*($AN$9-$AM$9))),$AM$9)</f>
        <v/>
      </c>
      <c r="AP928">
        <f>IFERROR(IF(AY928&lt;($AM$10-$AL$10)/($AN$10-$AL$10),$AL$10+SQRT(AY928*($AN$10-$AL$10)*($AM$10-$AL$10)),$AN$10-SQRT((1-AY928)*($AN$10-$AL$10)*($AN$10-$AM$10))),$AM$10)</f>
        <v/>
      </c>
      <c r="AQ928">
        <f>IFERROR(IF(AZ928&lt;($AM$11-$AL$11)/($AN$11-$AL$11),$AL$11+SQRT(AZ928*($AN$11-$AL$11)*($AM$11-$AL$11)),$AN$11-SQRT((1-AZ928)*($AN$11-$AL$11)*($AN$11-$AM$11))),$AM$11)</f>
        <v/>
      </c>
      <c r="AR928">
        <f>SUMPRODUCT((B24:B31&lt;=$B$6)*(C24:C31*AM928+D24:D31*AO928*$B$8*AQ928)/(1+AL928/100)^B24:B31)+C32*AM928*AP928/(1+AL928/100)^$B$6</f>
        <v/>
      </c>
      <c r="AS928">
        <f>SUMPRODUCT((K24:K26&lt;=$B$6)*(L24:L26*AN928+M24:M26*AO928*$B$8*AQ928)/(1+AL928/100)^K24:K26)+L27*AN928*AP928/(1+AL928/100)^$B$6</f>
        <v/>
      </c>
      <c r="AT928">
        <f>AS928-AR928</f>
        <v/>
      </c>
      <c r="AU928">
        <f>RAND()</f>
        <v/>
      </c>
      <c r="AV928">
        <f>RAND()</f>
        <v/>
      </c>
      <c r="AW928">
        <f>RAND()</f>
        <v/>
      </c>
      <c r="AX928">
        <f>RAND()</f>
        <v/>
      </c>
      <c r="AY928">
        <f>RAND()</f>
        <v/>
      </c>
      <c r="AZ928">
        <f>RAND()</f>
        <v/>
      </c>
    </row>
    <row r="929">
      <c r="AK929" t="n">
        <v>916</v>
      </c>
      <c r="AL929">
        <f>IFERROR(IF(AU929&lt;($AM$6-$AL$6)/($AN$6-$AL$6),$AL$6+SQRT(AU929*($AN$6-$AL$6)*($AM$6-$AL$6)),$AN$6-SQRT((1-AU929)*($AN$6-$AL$6)*($AN$6-$AM$6))),$AM$6)</f>
        <v/>
      </c>
      <c r="AM929">
        <f>IFERROR(IF(AV929&lt;($AM$7-$AL$7)/($AN$7-$AL$7),$AL$7+SQRT(AV929*($AN$7-$AL$7)*($AM$7-$AL$7)),$AN$7-SQRT((1-AV929)*($AN$7-$AL$7)*($AN$7-$AM$7))),$AM$7)</f>
        <v/>
      </c>
      <c r="AN929">
        <f>IFERROR(IF(AW929&lt;($AM$8-$AL$8)/($AN$8-$AL$8),$AL$8+SQRT(AW929*($AN$8-$AL$8)*($AM$8-$AL$8)),$AN$8-SQRT((1-AW929)*($AN$8-$AL$8)*($AN$8-$AM$8))),$AM$8)</f>
        <v/>
      </c>
      <c r="AO929">
        <f>IFERROR(IF(AX929&lt;($AM$9-$AL$9)/($AN$9-$AL$9),$AL$9+SQRT(AX929*($AN$9-$AL$9)*($AM$9-$AL$9)),$AN$9-SQRT((1-AX929)*($AN$9-$AL$9)*($AN$9-$AM$9))),$AM$9)</f>
        <v/>
      </c>
      <c r="AP929">
        <f>IFERROR(IF(AY929&lt;($AM$10-$AL$10)/($AN$10-$AL$10),$AL$10+SQRT(AY929*($AN$10-$AL$10)*($AM$10-$AL$10)),$AN$10-SQRT((1-AY929)*($AN$10-$AL$10)*($AN$10-$AM$10))),$AM$10)</f>
        <v/>
      </c>
      <c r="AQ929">
        <f>IFERROR(IF(AZ929&lt;($AM$11-$AL$11)/($AN$11-$AL$11),$AL$11+SQRT(AZ929*($AN$11-$AL$11)*($AM$11-$AL$11)),$AN$11-SQRT((1-AZ929)*($AN$11-$AL$11)*($AN$11-$AM$11))),$AM$11)</f>
        <v/>
      </c>
      <c r="AR929">
        <f>SUMPRODUCT((B24:B31&lt;=$B$6)*(C24:C31*AM929+D24:D31*AO929*$B$8*AQ929)/(1+AL929/100)^B24:B31)+C32*AM929*AP929/(1+AL929/100)^$B$6</f>
        <v/>
      </c>
      <c r="AS929">
        <f>SUMPRODUCT((K24:K26&lt;=$B$6)*(L24:L26*AN929+M24:M26*AO929*$B$8*AQ929)/(1+AL929/100)^K24:K26)+L27*AN929*AP929/(1+AL929/100)^$B$6</f>
        <v/>
      </c>
      <c r="AT929">
        <f>AS929-AR929</f>
        <v/>
      </c>
      <c r="AU929">
        <f>RAND()</f>
        <v/>
      </c>
      <c r="AV929">
        <f>RAND()</f>
        <v/>
      </c>
      <c r="AW929">
        <f>RAND()</f>
        <v/>
      </c>
      <c r="AX929">
        <f>RAND()</f>
        <v/>
      </c>
      <c r="AY929">
        <f>RAND()</f>
        <v/>
      </c>
      <c r="AZ929">
        <f>RAND()</f>
        <v/>
      </c>
    </row>
    <row r="930">
      <c r="AK930" t="n">
        <v>917</v>
      </c>
      <c r="AL930">
        <f>IFERROR(IF(AU930&lt;($AM$6-$AL$6)/($AN$6-$AL$6),$AL$6+SQRT(AU930*($AN$6-$AL$6)*($AM$6-$AL$6)),$AN$6-SQRT((1-AU930)*($AN$6-$AL$6)*($AN$6-$AM$6))),$AM$6)</f>
        <v/>
      </c>
      <c r="AM930">
        <f>IFERROR(IF(AV930&lt;($AM$7-$AL$7)/($AN$7-$AL$7),$AL$7+SQRT(AV930*($AN$7-$AL$7)*($AM$7-$AL$7)),$AN$7-SQRT((1-AV930)*($AN$7-$AL$7)*($AN$7-$AM$7))),$AM$7)</f>
        <v/>
      </c>
      <c r="AN930">
        <f>IFERROR(IF(AW930&lt;($AM$8-$AL$8)/($AN$8-$AL$8),$AL$8+SQRT(AW930*($AN$8-$AL$8)*($AM$8-$AL$8)),$AN$8-SQRT((1-AW930)*($AN$8-$AL$8)*($AN$8-$AM$8))),$AM$8)</f>
        <v/>
      </c>
      <c r="AO930">
        <f>IFERROR(IF(AX930&lt;($AM$9-$AL$9)/($AN$9-$AL$9),$AL$9+SQRT(AX930*($AN$9-$AL$9)*($AM$9-$AL$9)),$AN$9-SQRT((1-AX930)*($AN$9-$AL$9)*($AN$9-$AM$9))),$AM$9)</f>
        <v/>
      </c>
      <c r="AP930">
        <f>IFERROR(IF(AY930&lt;($AM$10-$AL$10)/($AN$10-$AL$10),$AL$10+SQRT(AY930*($AN$10-$AL$10)*($AM$10-$AL$10)),$AN$10-SQRT((1-AY930)*($AN$10-$AL$10)*($AN$10-$AM$10))),$AM$10)</f>
        <v/>
      </c>
      <c r="AQ930">
        <f>IFERROR(IF(AZ930&lt;($AM$11-$AL$11)/($AN$11-$AL$11),$AL$11+SQRT(AZ930*($AN$11-$AL$11)*($AM$11-$AL$11)),$AN$11-SQRT((1-AZ930)*($AN$11-$AL$11)*($AN$11-$AM$11))),$AM$11)</f>
        <v/>
      </c>
      <c r="AR930">
        <f>SUMPRODUCT((B24:B31&lt;=$B$6)*(C24:C31*AM930+D24:D31*AO930*$B$8*AQ930)/(1+AL930/100)^B24:B31)+C32*AM930*AP930/(1+AL930/100)^$B$6</f>
        <v/>
      </c>
      <c r="AS930">
        <f>SUMPRODUCT((K24:K26&lt;=$B$6)*(L24:L26*AN930+M24:M26*AO930*$B$8*AQ930)/(1+AL930/100)^K24:K26)+L27*AN930*AP930/(1+AL930/100)^$B$6</f>
        <v/>
      </c>
      <c r="AT930">
        <f>AS930-AR930</f>
        <v/>
      </c>
      <c r="AU930">
        <f>RAND()</f>
        <v/>
      </c>
      <c r="AV930">
        <f>RAND()</f>
        <v/>
      </c>
      <c r="AW930">
        <f>RAND()</f>
        <v/>
      </c>
      <c r="AX930">
        <f>RAND()</f>
        <v/>
      </c>
      <c r="AY930">
        <f>RAND()</f>
        <v/>
      </c>
      <c r="AZ930">
        <f>RAND()</f>
        <v/>
      </c>
    </row>
    <row r="931">
      <c r="AK931" t="n">
        <v>918</v>
      </c>
      <c r="AL931">
        <f>IFERROR(IF(AU931&lt;($AM$6-$AL$6)/($AN$6-$AL$6),$AL$6+SQRT(AU931*($AN$6-$AL$6)*($AM$6-$AL$6)),$AN$6-SQRT((1-AU931)*($AN$6-$AL$6)*($AN$6-$AM$6))),$AM$6)</f>
        <v/>
      </c>
      <c r="AM931">
        <f>IFERROR(IF(AV931&lt;($AM$7-$AL$7)/($AN$7-$AL$7),$AL$7+SQRT(AV931*($AN$7-$AL$7)*($AM$7-$AL$7)),$AN$7-SQRT((1-AV931)*($AN$7-$AL$7)*($AN$7-$AM$7))),$AM$7)</f>
        <v/>
      </c>
      <c r="AN931">
        <f>IFERROR(IF(AW931&lt;($AM$8-$AL$8)/($AN$8-$AL$8),$AL$8+SQRT(AW931*($AN$8-$AL$8)*($AM$8-$AL$8)),$AN$8-SQRT((1-AW931)*($AN$8-$AL$8)*($AN$8-$AM$8))),$AM$8)</f>
        <v/>
      </c>
      <c r="AO931">
        <f>IFERROR(IF(AX931&lt;($AM$9-$AL$9)/($AN$9-$AL$9),$AL$9+SQRT(AX931*($AN$9-$AL$9)*($AM$9-$AL$9)),$AN$9-SQRT((1-AX931)*($AN$9-$AL$9)*($AN$9-$AM$9))),$AM$9)</f>
        <v/>
      </c>
      <c r="AP931">
        <f>IFERROR(IF(AY931&lt;($AM$10-$AL$10)/($AN$10-$AL$10),$AL$10+SQRT(AY931*($AN$10-$AL$10)*($AM$10-$AL$10)),$AN$10-SQRT((1-AY931)*($AN$10-$AL$10)*($AN$10-$AM$10))),$AM$10)</f>
        <v/>
      </c>
      <c r="AQ931">
        <f>IFERROR(IF(AZ931&lt;($AM$11-$AL$11)/($AN$11-$AL$11),$AL$11+SQRT(AZ931*($AN$11-$AL$11)*($AM$11-$AL$11)),$AN$11-SQRT((1-AZ931)*($AN$11-$AL$11)*($AN$11-$AM$11))),$AM$11)</f>
        <v/>
      </c>
      <c r="AR931">
        <f>SUMPRODUCT((B24:B31&lt;=$B$6)*(C24:C31*AM931+D24:D31*AO931*$B$8*AQ931)/(1+AL931/100)^B24:B31)+C32*AM931*AP931/(1+AL931/100)^$B$6</f>
        <v/>
      </c>
      <c r="AS931">
        <f>SUMPRODUCT((K24:K26&lt;=$B$6)*(L24:L26*AN931+M24:M26*AO931*$B$8*AQ931)/(1+AL931/100)^K24:K26)+L27*AN931*AP931/(1+AL931/100)^$B$6</f>
        <v/>
      </c>
      <c r="AT931">
        <f>AS931-AR931</f>
        <v/>
      </c>
      <c r="AU931">
        <f>RAND()</f>
        <v/>
      </c>
      <c r="AV931">
        <f>RAND()</f>
        <v/>
      </c>
      <c r="AW931">
        <f>RAND()</f>
        <v/>
      </c>
      <c r="AX931">
        <f>RAND()</f>
        <v/>
      </c>
      <c r="AY931">
        <f>RAND()</f>
        <v/>
      </c>
      <c r="AZ931">
        <f>RAND()</f>
        <v/>
      </c>
    </row>
    <row r="932">
      <c r="AK932" t="n">
        <v>919</v>
      </c>
      <c r="AL932">
        <f>IFERROR(IF(AU932&lt;($AM$6-$AL$6)/($AN$6-$AL$6),$AL$6+SQRT(AU932*($AN$6-$AL$6)*($AM$6-$AL$6)),$AN$6-SQRT((1-AU932)*($AN$6-$AL$6)*($AN$6-$AM$6))),$AM$6)</f>
        <v/>
      </c>
      <c r="AM932">
        <f>IFERROR(IF(AV932&lt;($AM$7-$AL$7)/($AN$7-$AL$7),$AL$7+SQRT(AV932*($AN$7-$AL$7)*($AM$7-$AL$7)),$AN$7-SQRT((1-AV932)*($AN$7-$AL$7)*($AN$7-$AM$7))),$AM$7)</f>
        <v/>
      </c>
      <c r="AN932">
        <f>IFERROR(IF(AW932&lt;($AM$8-$AL$8)/($AN$8-$AL$8),$AL$8+SQRT(AW932*($AN$8-$AL$8)*($AM$8-$AL$8)),$AN$8-SQRT((1-AW932)*($AN$8-$AL$8)*($AN$8-$AM$8))),$AM$8)</f>
        <v/>
      </c>
      <c r="AO932">
        <f>IFERROR(IF(AX932&lt;($AM$9-$AL$9)/($AN$9-$AL$9),$AL$9+SQRT(AX932*($AN$9-$AL$9)*($AM$9-$AL$9)),$AN$9-SQRT((1-AX932)*($AN$9-$AL$9)*($AN$9-$AM$9))),$AM$9)</f>
        <v/>
      </c>
      <c r="AP932">
        <f>IFERROR(IF(AY932&lt;($AM$10-$AL$10)/($AN$10-$AL$10),$AL$10+SQRT(AY932*($AN$10-$AL$10)*($AM$10-$AL$10)),$AN$10-SQRT((1-AY932)*($AN$10-$AL$10)*($AN$10-$AM$10))),$AM$10)</f>
        <v/>
      </c>
      <c r="AQ932">
        <f>IFERROR(IF(AZ932&lt;($AM$11-$AL$11)/($AN$11-$AL$11),$AL$11+SQRT(AZ932*($AN$11-$AL$11)*($AM$11-$AL$11)),$AN$11-SQRT((1-AZ932)*($AN$11-$AL$11)*($AN$11-$AM$11))),$AM$11)</f>
        <v/>
      </c>
      <c r="AR932">
        <f>SUMPRODUCT((B24:B31&lt;=$B$6)*(C24:C31*AM932+D24:D31*AO932*$B$8*AQ932)/(1+AL932/100)^B24:B31)+C32*AM932*AP932/(1+AL932/100)^$B$6</f>
        <v/>
      </c>
      <c r="AS932">
        <f>SUMPRODUCT((K24:K26&lt;=$B$6)*(L24:L26*AN932+M24:M26*AO932*$B$8*AQ932)/(1+AL932/100)^K24:K26)+L27*AN932*AP932/(1+AL932/100)^$B$6</f>
        <v/>
      </c>
      <c r="AT932">
        <f>AS932-AR932</f>
        <v/>
      </c>
      <c r="AU932">
        <f>RAND()</f>
        <v/>
      </c>
      <c r="AV932">
        <f>RAND()</f>
        <v/>
      </c>
      <c r="AW932">
        <f>RAND()</f>
        <v/>
      </c>
      <c r="AX932">
        <f>RAND()</f>
        <v/>
      </c>
      <c r="AY932">
        <f>RAND()</f>
        <v/>
      </c>
      <c r="AZ932">
        <f>RAND()</f>
        <v/>
      </c>
    </row>
    <row r="933">
      <c r="AK933" t="n">
        <v>920</v>
      </c>
      <c r="AL933">
        <f>IFERROR(IF(AU933&lt;($AM$6-$AL$6)/($AN$6-$AL$6),$AL$6+SQRT(AU933*($AN$6-$AL$6)*($AM$6-$AL$6)),$AN$6-SQRT((1-AU933)*($AN$6-$AL$6)*($AN$6-$AM$6))),$AM$6)</f>
        <v/>
      </c>
      <c r="AM933">
        <f>IFERROR(IF(AV933&lt;($AM$7-$AL$7)/($AN$7-$AL$7),$AL$7+SQRT(AV933*($AN$7-$AL$7)*($AM$7-$AL$7)),$AN$7-SQRT((1-AV933)*($AN$7-$AL$7)*($AN$7-$AM$7))),$AM$7)</f>
        <v/>
      </c>
      <c r="AN933">
        <f>IFERROR(IF(AW933&lt;($AM$8-$AL$8)/($AN$8-$AL$8),$AL$8+SQRT(AW933*($AN$8-$AL$8)*($AM$8-$AL$8)),$AN$8-SQRT((1-AW933)*($AN$8-$AL$8)*($AN$8-$AM$8))),$AM$8)</f>
        <v/>
      </c>
      <c r="AO933">
        <f>IFERROR(IF(AX933&lt;($AM$9-$AL$9)/($AN$9-$AL$9),$AL$9+SQRT(AX933*($AN$9-$AL$9)*($AM$9-$AL$9)),$AN$9-SQRT((1-AX933)*($AN$9-$AL$9)*($AN$9-$AM$9))),$AM$9)</f>
        <v/>
      </c>
      <c r="AP933">
        <f>IFERROR(IF(AY933&lt;($AM$10-$AL$10)/($AN$10-$AL$10),$AL$10+SQRT(AY933*($AN$10-$AL$10)*($AM$10-$AL$10)),$AN$10-SQRT((1-AY933)*($AN$10-$AL$10)*($AN$10-$AM$10))),$AM$10)</f>
        <v/>
      </c>
      <c r="AQ933">
        <f>IFERROR(IF(AZ933&lt;($AM$11-$AL$11)/($AN$11-$AL$11),$AL$11+SQRT(AZ933*($AN$11-$AL$11)*($AM$11-$AL$11)),$AN$11-SQRT((1-AZ933)*($AN$11-$AL$11)*($AN$11-$AM$11))),$AM$11)</f>
        <v/>
      </c>
      <c r="AR933">
        <f>SUMPRODUCT((B24:B31&lt;=$B$6)*(C24:C31*AM933+D24:D31*AO933*$B$8*AQ933)/(1+AL933/100)^B24:B31)+C32*AM933*AP933/(1+AL933/100)^$B$6</f>
        <v/>
      </c>
      <c r="AS933">
        <f>SUMPRODUCT((K24:K26&lt;=$B$6)*(L24:L26*AN933+M24:M26*AO933*$B$8*AQ933)/(1+AL933/100)^K24:K26)+L27*AN933*AP933/(1+AL933/100)^$B$6</f>
        <v/>
      </c>
      <c r="AT933">
        <f>AS933-AR933</f>
        <v/>
      </c>
      <c r="AU933">
        <f>RAND()</f>
        <v/>
      </c>
      <c r="AV933">
        <f>RAND()</f>
        <v/>
      </c>
      <c r="AW933">
        <f>RAND()</f>
        <v/>
      </c>
      <c r="AX933">
        <f>RAND()</f>
        <v/>
      </c>
      <c r="AY933">
        <f>RAND()</f>
        <v/>
      </c>
      <c r="AZ933">
        <f>RAND()</f>
        <v/>
      </c>
    </row>
    <row r="934">
      <c r="AK934" t="n">
        <v>921</v>
      </c>
      <c r="AL934">
        <f>IFERROR(IF(AU934&lt;($AM$6-$AL$6)/($AN$6-$AL$6),$AL$6+SQRT(AU934*($AN$6-$AL$6)*($AM$6-$AL$6)),$AN$6-SQRT((1-AU934)*($AN$6-$AL$6)*($AN$6-$AM$6))),$AM$6)</f>
        <v/>
      </c>
      <c r="AM934">
        <f>IFERROR(IF(AV934&lt;($AM$7-$AL$7)/($AN$7-$AL$7),$AL$7+SQRT(AV934*($AN$7-$AL$7)*($AM$7-$AL$7)),$AN$7-SQRT((1-AV934)*($AN$7-$AL$7)*($AN$7-$AM$7))),$AM$7)</f>
        <v/>
      </c>
      <c r="AN934">
        <f>IFERROR(IF(AW934&lt;($AM$8-$AL$8)/($AN$8-$AL$8),$AL$8+SQRT(AW934*($AN$8-$AL$8)*($AM$8-$AL$8)),$AN$8-SQRT((1-AW934)*($AN$8-$AL$8)*($AN$8-$AM$8))),$AM$8)</f>
        <v/>
      </c>
      <c r="AO934">
        <f>IFERROR(IF(AX934&lt;($AM$9-$AL$9)/($AN$9-$AL$9),$AL$9+SQRT(AX934*($AN$9-$AL$9)*($AM$9-$AL$9)),$AN$9-SQRT((1-AX934)*($AN$9-$AL$9)*($AN$9-$AM$9))),$AM$9)</f>
        <v/>
      </c>
      <c r="AP934">
        <f>IFERROR(IF(AY934&lt;($AM$10-$AL$10)/($AN$10-$AL$10),$AL$10+SQRT(AY934*($AN$10-$AL$10)*($AM$10-$AL$10)),$AN$10-SQRT((1-AY934)*($AN$10-$AL$10)*($AN$10-$AM$10))),$AM$10)</f>
        <v/>
      </c>
      <c r="AQ934">
        <f>IFERROR(IF(AZ934&lt;($AM$11-$AL$11)/($AN$11-$AL$11),$AL$11+SQRT(AZ934*($AN$11-$AL$11)*($AM$11-$AL$11)),$AN$11-SQRT((1-AZ934)*($AN$11-$AL$11)*($AN$11-$AM$11))),$AM$11)</f>
        <v/>
      </c>
      <c r="AR934">
        <f>SUMPRODUCT((B24:B31&lt;=$B$6)*(C24:C31*AM934+D24:D31*AO934*$B$8*AQ934)/(1+AL934/100)^B24:B31)+C32*AM934*AP934/(1+AL934/100)^$B$6</f>
        <v/>
      </c>
      <c r="AS934">
        <f>SUMPRODUCT((K24:K26&lt;=$B$6)*(L24:L26*AN934+M24:M26*AO934*$B$8*AQ934)/(1+AL934/100)^K24:K26)+L27*AN934*AP934/(1+AL934/100)^$B$6</f>
        <v/>
      </c>
      <c r="AT934">
        <f>AS934-AR934</f>
        <v/>
      </c>
      <c r="AU934">
        <f>RAND()</f>
        <v/>
      </c>
      <c r="AV934">
        <f>RAND()</f>
        <v/>
      </c>
      <c r="AW934">
        <f>RAND()</f>
        <v/>
      </c>
      <c r="AX934">
        <f>RAND()</f>
        <v/>
      </c>
      <c r="AY934">
        <f>RAND()</f>
        <v/>
      </c>
      <c r="AZ934">
        <f>RAND()</f>
        <v/>
      </c>
    </row>
    <row r="935">
      <c r="AK935" t="n">
        <v>922</v>
      </c>
      <c r="AL935">
        <f>IFERROR(IF(AU935&lt;($AM$6-$AL$6)/($AN$6-$AL$6),$AL$6+SQRT(AU935*($AN$6-$AL$6)*($AM$6-$AL$6)),$AN$6-SQRT((1-AU935)*($AN$6-$AL$6)*($AN$6-$AM$6))),$AM$6)</f>
        <v/>
      </c>
      <c r="AM935">
        <f>IFERROR(IF(AV935&lt;($AM$7-$AL$7)/($AN$7-$AL$7),$AL$7+SQRT(AV935*($AN$7-$AL$7)*($AM$7-$AL$7)),$AN$7-SQRT((1-AV935)*($AN$7-$AL$7)*($AN$7-$AM$7))),$AM$7)</f>
        <v/>
      </c>
      <c r="AN935">
        <f>IFERROR(IF(AW935&lt;($AM$8-$AL$8)/($AN$8-$AL$8),$AL$8+SQRT(AW935*($AN$8-$AL$8)*($AM$8-$AL$8)),$AN$8-SQRT((1-AW935)*($AN$8-$AL$8)*($AN$8-$AM$8))),$AM$8)</f>
        <v/>
      </c>
      <c r="AO935">
        <f>IFERROR(IF(AX935&lt;($AM$9-$AL$9)/($AN$9-$AL$9),$AL$9+SQRT(AX935*($AN$9-$AL$9)*($AM$9-$AL$9)),$AN$9-SQRT((1-AX935)*($AN$9-$AL$9)*($AN$9-$AM$9))),$AM$9)</f>
        <v/>
      </c>
      <c r="AP935">
        <f>IFERROR(IF(AY935&lt;($AM$10-$AL$10)/($AN$10-$AL$10),$AL$10+SQRT(AY935*($AN$10-$AL$10)*($AM$10-$AL$10)),$AN$10-SQRT((1-AY935)*($AN$10-$AL$10)*($AN$10-$AM$10))),$AM$10)</f>
        <v/>
      </c>
      <c r="AQ935">
        <f>IFERROR(IF(AZ935&lt;($AM$11-$AL$11)/($AN$11-$AL$11),$AL$11+SQRT(AZ935*($AN$11-$AL$11)*($AM$11-$AL$11)),$AN$11-SQRT((1-AZ935)*($AN$11-$AL$11)*($AN$11-$AM$11))),$AM$11)</f>
        <v/>
      </c>
      <c r="AR935">
        <f>SUMPRODUCT((B24:B31&lt;=$B$6)*(C24:C31*AM935+D24:D31*AO935*$B$8*AQ935)/(1+AL935/100)^B24:B31)+C32*AM935*AP935/(1+AL935/100)^$B$6</f>
        <v/>
      </c>
      <c r="AS935">
        <f>SUMPRODUCT((K24:K26&lt;=$B$6)*(L24:L26*AN935+M24:M26*AO935*$B$8*AQ935)/(1+AL935/100)^K24:K26)+L27*AN935*AP935/(1+AL935/100)^$B$6</f>
        <v/>
      </c>
      <c r="AT935">
        <f>AS935-AR935</f>
        <v/>
      </c>
      <c r="AU935">
        <f>RAND()</f>
        <v/>
      </c>
      <c r="AV935">
        <f>RAND()</f>
        <v/>
      </c>
      <c r="AW935">
        <f>RAND()</f>
        <v/>
      </c>
      <c r="AX935">
        <f>RAND()</f>
        <v/>
      </c>
      <c r="AY935">
        <f>RAND()</f>
        <v/>
      </c>
      <c r="AZ935">
        <f>RAND()</f>
        <v/>
      </c>
    </row>
    <row r="936">
      <c r="AK936" t="n">
        <v>923</v>
      </c>
      <c r="AL936">
        <f>IFERROR(IF(AU936&lt;($AM$6-$AL$6)/($AN$6-$AL$6),$AL$6+SQRT(AU936*($AN$6-$AL$6)*($AM$6-$AL$6)),$AN$6-SQRT((1-AU936)*($AN$6-$AL$6)*($AN$6-$AM$6))),$AM$6)</f>
        <v/>
      </c>
      <c r="AM936">
        <f>IFERROR(IF(AV936&lt;($AM$7-$AL$7)/($AN$7-$AL$7),$AL$7+SQRT(AV936*($AN$7-$AL$7)*($AM$7-$AL$7)),$AN$7-SQRT((1-AV936)*($AN$7-$AL$7)*($AN$7-$AM$7))),$AM$7)</f>
        <v/>
      </c>
      <c r="AN936">
        <f>IFERROR(IF(AW936&lt;($AM$8-$AL$8)/($AN$8-$AL$8),$AL$8+SQRT(AW936*($AN$8-$AL$8)*($AM$8-$AL$8)),$AN$8-SQRT((1-AW936)*($AN$8-$AL$8)*($AN$8-$AM$8))),$AM$8)</f>
        <v/>
      </c>
      <c r="AO936">
        <f>IFERROR(IF(AX936&lt;($AM$9-$AL$9)/($AN$9-$AL$9),$AL$9+SQRT(AX936*($AN$9-$AL$9)*($AM$9-$AL$9)),$AN$9-SQRT((1-AX936)*($AN$9-$AL$9)*($AN$9-$AM$9))),$AM$9)</f>
        <v/>
      </c>
      <c r="AP936">
        <f>IFERROR(IF(AY936&lt;($AM$10-$AL$10)/($AN$10-$AL$10),$AL$10+SQRT(AY936*($AN$10-$AL$10)*($AM$10-$AL$10)),$AN$10-SQRT((1-AY936)*($AN$10-$AL$10)*($AN$10-$AM$10))),$AM$10)</f>
        <v/>
      </c>
      <c r="AQ936">
        <f>IFERROR(IF(AZ936&lt;($AM$11-$AL$11)/($AN$11-$AL$11),$AL$11+SQRT(AZ936*($AN$11-$AL$11)*($AM$11-$AL$11)),$AN$11-SQRT((1-AZ936)*($AN$11-$AL$11)*($AN$11-$AM$11))),$AM$11)</f>
        <v/>
      </c>
      <c r="AR936">
        <f>SUMPRODUCT((B24:B31&lt;=$B$6)*(C24:C31*AM936+D24:D31*AO936*$B$8*AQ936)/(1+AL936/100)^B24:B31)+C32*AM936*AP936/(1+AL936/100)^$B$6</f>
        <v/>
      </c>
      <c r="AS936">
        <f>SUMPRODUCT((K24:K26&lt;=$B$6)*(L24:L26*AN936+M24:M26*AO936*$B$8*AQ936)/(1+AL936/100)^K24:K26)+L27*AN936*AP936/(1+AL936/100)^$B$6</f>
        <v/>
      </c>
      <c r="AT936">
        <f>AS936-AR936</f>
        <v/>
      </c>
      <c r="AU936">
        <f>RAND()</f>
        <v/>
      </c>
      <c r="AV936">
        <f>RAND()</f>
        <v/>
      </c>
      <c r="AW936">
        <f>RAND()</f>
        <v/>
      </c>
      <c r="AX936">
        <f>RAND()</f>
        <v/>
      </c>
      <c r="AY936">
        <f>RAND()</f>
        <v/>
      </c>
      <c r="AZ936">
        <f>RAND()</f>
        <v/>
      </c>
    </row>
    <row r="937">
      <c r="AK937" t="n">
        <v>924</v>
      </c>
      <c r="AL937">
        <f>IFERROR(IF(AU937&lt;($AM$6-$AL$6)/($AN$6-$AL$6),$AL$6+SQRT(AU937*($AN$6-$AL$6)*($AM$6-$AL$6)),$AN$6-SQRT((1-AU937)*($AN$6-$AL$6)*($AN$6-$AM$6))),$AM$6)</f>
        <v/>
      </c>
      <c r="AM937">
        <f>IFERROR(IF(AV937&lt;($AM$7-$AL$7)/($AN$7-$AL$7),$AL$7+SQRT(AV937*($AN$7-$AL$7)*($AM$7-$AL$7)),$AN$7-SQRT((1-AV937)*($AN$7-$AL$7)*($AN$7-$AM$7))),$AM$7)</f>
        <v/>
      </c>
      <c r="AN937">
        <f>IFERROR(IF(AW937&lt;($AM$8-$AL$8)/($AN$8-$AL$8),$AL$8+SQRT(AW937*($AN$8-$AL$8)*($AM$8-$AL$8)),$AN$8-SQRT((1-AW937)*($AN$8-$AL$8)*($AN$8-$AM$8))),$AM$8)</f>
        <v/>
      </c>
      <c r="AO937">
        <f>IFERROR(IF(AX937&lt;($AM$9-$AL$9)/($AN$9-$AL$9),$AL$9+SQRT(AX937*($AN$9-$AL$9)*($AM$9-$AL$9)),$AN$9-SQRT((1-AX937)*($AN$9-$AL$9)*($AN$9-$AM$9))),$AM$9)</f>
        <v/>
      </c>
      <c r="AP937">
        <f>IFERROR(IF(AY937&lt;($AM$10-$AL$10)/($AN$10-$AL$10),$AL$10+SQRT(AY937*($AN$10-$AL$10)*($AM$10-$AL$10)),$AN$10-SQRT((1-AY937)*($AN$10-$AL$10)*($AN$10-$AM$10))),$AM$10)</f>
        <v/>
      </c>
      <c r="AQ937">
        <f>IFERROR(IF(AZ937&lt;($AM$11-$AL$11)/($AN$11-$AL$11),$AL$11+SQRT(AZ937*($AN$11-$AL$11)*($AM$11-$AL$11)),$AN$11-SQRT((1-AZ937)*($AN$11-$AL$11)*($AN$11-$AM$11))),$AM$11)</f>
        <v/>
      </c>
      <c r="AR937">
        <f>SUMPRODUCT((B24:B31&lt;=$B$6)*(C24:C31*AM937+D24:D31*AO937*$B$8*AQ937)/(1+AL937/100)^B24:B31)+C32*AM937*AP937/(1+AL937/100)^$B$6</f>
        <v/>
      </c>
      <c r="AS937">
        <f>SUMPRODUCT((K24:K26&lt;=$B$6)*(L24:L26*AN937+M24:M26*AO937*$B$8*AQ937)/(1+AL937/100)^K24:K26)+L27*AN937*AP937/(1+AL937/100)^$B$6</f>
        <v/>
      </c>
      <c r="AT937">
        <f>AS937-AR937</f>
        <v/>
      </c>
      <c r="AU937">
        <f>RAND()</f>
        <v/>
      </c>
      <c r="AV937">
        <f>RAND()</f>
        <v/>
      </c>
      <c r="AW937">
        <f>RAND()</f>
        <v/>
      </c>
      <c r="AX937">
        <f>RAND()</f>
        <v/>
      </c>
      <c r="AY937">
        <f>RAND()</f>
        <v/>
      </c>
      <c r="AZ937">
        <f>RAND()</f>
        <v/>
      </c>
    </row>
    <row r="938">
      <c r="AK938" t="n">
        <v>925</v>
      </c>
      <c r="AL938">
        <f>IFERROR(IF(AU938&lt;($AM$6-$AL$6)/($AN$6-$AL$6),$AL$6+SQRT(AU938*($AN$6-$AL$6)*($AM$6-$AL$6)),$AN$6-SQRT((1-AU938)*($AN$6-$AL$6)*($AN$6-$AM$6))),$AM$6)</f>
        <v/>
      </c>
      <c r="AM938">
        <f>IFERROR(IF(AV938&lt;($AM$7-$AL$7)/($AN$7-$AL$7),$AL$7+SQRT(AV938*($AN$7-$AL$7)*($AM$7-$AL$7)),$AN$7-SQRT((1-AV938)*($AN$7-$AL$7)*($AN$7-$AM$7))),$AM$7)</f>
        <v/>
      </c>
      <c r="AN938">
        <f>IFERROR(IF(AW938&lt;($AM$8-$AL$8)/($AN$8-$AL$8),$AL$8+SQRT(AW938*($AN$8-$AL$8)*($AM$8-$AL$8)),$AN$8-SQRT((1-AW938)*($AN$8-$AL$8)*($AN$8-$AM$8))),$AM$8)</f>
        <v/>
      </c>
      <c r="AO938">
        <f>IFERROR(IF(AX938&lt;($AM$9-$AL$9)/($AN$9-$AL$9),$AL$9+SQRT(AX938*($AN$9-$AL$9)*($AM$9-$AL$9)),$AN$9-SQRT((1-AX938)*($AN$9-$AL$9)*($AN$9-$AM$9))),$AM$9)</f>
        <v/>
      </c>
      <c r="AP938">
        <f>IFERROR(IF(AY938&lt;($AM$10-$AL$10)/($AN$10-$AL$10),$AL$10+SQRT(AY938*($AN$10-$AL$10)*($AM$10-$AL$10)),$AN$10-SQRT((1-AY938)*($AN$10-$AL$10)*($AN$10-$AM$10))),$AM$10)</f>
        <v/>
      </c>
      <c r="AQ938">
        <f>IFERROR(IF(AZ938&lt;($AM$11-$AL$11)/($AN$11-$AL$11),$AL$11+SQRT(AZ938*($AN$11-$AL$11)*($AM$11-$AL$11)),$AN$11-SQRT((1-AZ938)*($AN$11-$AL$11)*($AN$11-$AM$11))),$AM$11)</f>
        <v/>
      </c>
      <c r="AR938">
        <f>SUMPRODUCT((B24:B31&lt;=$B$6)*(C24:C31*AM938+D24:D31*AO938*$B$8*AQ938)/(1+AL938/100)^B24:B31)+C32*AM938*AP938/(1+AL938/100)^$B$6</f>
        <v/>
      </c>
      <c r="AS938">
        <f>SUMPRODUCT((K24:K26&lt;=$B$6)*(L24:L26*AN938+M24:M26*AO938*$B$8*AQ938)/(1+AL938/100)^K24:K26)+L27*AN938*AP938/(1+AL938/100)^$B$6</f>
        <v/>
      </c>
      <c r="AT938">
        <f>AS938-AR938</f>
        <v/>
      </c>
      <c r="AU938">
        <f>RAND()</f>
        <v/>
      </c>
      <c r="AV938">
        <f>RAND()</f>
        <v/>
      </c>
      <c r="AW938">
        <f>RAND()</f>
        <v/>
      </c>
      <c r="AX938">
        <f>RAND()</f>
        <v/>
      </c>
      <c r="AY938">
        <f>RAND()</f>
        <v/>
      </c>
      <c r="AZ938">
        <f>RAND()</f>
        <v/>
      </c>
    </row>
    <row r="939">
      <c r="AK939" t="n">
        <v>926</v>
      </c>
      <c r="AL939">
        <f>IFERROR(IF(AU939&lt;($AM$6-$AL$6)/($AN$6-$AL$6),$AL$6+SQRT(AU939*($AN$6-$AL$6)*($AM$6-$AL$6)),$AN$6-SQRT((1-AU939)*($AN$6-$AL$6)*($AN$6-$AM$6))),$AM$6)</f>
        <v/>
      </c>
      <c r="AM939">
        <f>IFERROR(IF(AV939&lt;($AM$7-$AL$7)/($AN$7-$AL$7),$AL$7+SQRT(AV939*($AN$7-$AL$7)*($AM$7-$AL$7)),$AN$7-SQRT((1-AV939)*($AN$7-$AL$7)*($AN$7-$AM$7))),$AM$7)</f>
        <v/>
      </c>
      <c r="AN939">
        <f>IFERROR(IF(AW939&lt;($AM$8-$AL$8)/($AN$8-$AL$8),$AL$8+SQRT(AW939*($AN$8-$AL$8)*($AM$8-$AL$8)),$AN$8-SQRT((1-AW939)*($AN$8-$AL$8)*($AN$8-$AM$8))),$AM$8)</f>
        <v/>
      </c>
      <c r="AO939">
        <f>IFERROR(IF(AX939&lt;($AM$9-$AL$9)/($AN$9-$AL$9),$AL$9+SQRT(AX939*($AN$9-$AL$9)*($AM$9-$AL$9)),$AN$9-SQRT((1-AX939)*($AN$9-$AL$9)*($AN$9-$AM$9))),$AM$9)</f>
        <v/>
      </c>
      <c r="AP939">
        <f>IFERROR(IF(AY939&lt;($AM$10-$AL$10)/($AN$10-$AL$10),$AL$10+SQRT(AY939*($AN$10-$AL$10)*($AM$10-$AL$10)),$AN$10-SQRT((1-AY939)*($AN$10-$AL$10)*($AN$10-$AM$10))),$AM$10)</f>
        <v/>
      </c>
      <c r="AQ939">
        <f>IFERROR(IF(AZ939&lt;($AM$11-$AL$11)/($AN$11-$AL$11),$AL$11+SQRT(AZ939*($AN$11-$AL$11)*($AM$11-$AL$11)),$AN$11-SQRT((1-AZ939)*($AN$11-$AL$11)*($AN$11-$AM$11))),$AM$11)</f>
        <v/>
      </c>
      <c r="AR939">
        <f>SUMPRODUCT((B24:B31&lt;=$B$6)*(C24:C31*AM939+D24:D31*AO939*$B$8*AQ939)/(1+AL939/100)^B24:B31)+C32*AM939*AP939/(1+AL939/100)^$B$6</f>
        <v/>
      </c>
      <c r="AS939">
        <f>SUMPRODUCT((K24:K26&lt;=$B$6)*(L24:L26*AN939+M24:M26*AO939*$B$8*AQ939)/(1+AL939/100)^K24:K26)+L27*AN939*AP939/(1+AL939/100)^$B$6</f>
        <v/>
      </c>
      <c r="AT939">
        <f>AS939-AR939</f>
        <v/>
      </c>
      <c r="AU939">
        <f>RAND()</f>
        <v/>
      </c>
      <c r="AV939">
        <f>RAND()</f>
        <v/>
      </c>
      <c r="AW939">
        <f>RAND()</f>
        <v/>
      </c>
      <c r="AX939">
        <f>RAND()</f>
        <v/>
      </c>
      <c r="AY939">
        <f>RAND()</f>
        <v/>
      </c>
      <c r="AZ939">
        <f>RAND()</f>
        <v/>
      </c>
    </row>
    <row r="940">
      <c r="AK940" t="n">
        <v>927</v>
      </c>
      <c r="AL940">
        <f>IFERROR(IF(AU940&lt;($AM$6-$AL$6)/($AN$6-$AL$6),$AL$6+SQRT(AU940*($AN$6-$AL$6)*($AM$6-$AL$6)),$AN$6-SQRT((1-AU940)*($AN$6-$AL$6)*($AN$6-$AM$6))),$AM$6)</f>
        <v/>
      </c>
      <c r="AM940">
        <f>IFERROR(IF(AV940&lt;($AM$7-$AL$7)/($AN$7-$AL$7),$AL$7+SQRT(AV940*($AN$7-$AL$7)*($AM$7-$AL$7)),$AN$7-SQRT((1-AV940)*($AN$7-$AL$7)*($AN$7-$AM$7))),$AM$7)</f>
        <v/>
      </c>
      <c r="AN940">
        <f>IFERROR(IF(AW940&lt;($AM$8-$AL$8)/($AN$8-$AL$8),$AL$8+SQRT(AW940*($AN$8-$AL$8)*($AM$8-$AL$8)),$AN$8-SQRT((1-AW940)*($AN$8-$AL$8)*($AN$8-$AM$8))),$AM$8)</f>
        <v/>
      </c>
      <c r="AO940">
        <f>IFERROR(IF(AX940&lt;($AM$9-$AL$9)/($AN$9-$AL$9),$AL$9+SQRT(AX940*($AN$9-$AL$9)*($AM$9-$AL$9)),$AN$9-SQRT((1-AX940)*($AN$9-$AL$9)*($AN$9-$AM$9))),$AM$9)</f>
        <v/>
      </c>
      <c r="AP940">
        <f>IFERROR(IF(AY940&lt;($AM$10-$AL$10)/($AN$10-$AL$10),$AL$10+SQRT(AY940*($AN$10-$AL$10)*($AM$10-$AL$10)),$AN$10-SQRT((1-AY940)*($AN$10-$AL$10)*($AN$10-$AM$10))),$AM$10)</f>
        <v/>
      </c>
      <c r="AQ940">
        <f>IFERROR(IF(AZ940&lt;($AM$11-$AL$11)/($AN$11-$AL$11),$AL$11+SQRT(AZ940*($AN$11-$AL$11)*($AM$11-$AL$11)),$AN$11-SQRT((1-AZ940)*($AN$11-$AL$11)*($AN$11-$AM$11))),$AM$11)</f>
        <v/>
      </c>
      <c r="AR940">
        <f>SUMPRODUCT((B24:B31&lt;=$B$6)*(C24:C31*AM940+D24:D31*AO940*$B$8*AQ940)/(1+AL940/100)^B24:B31)+C32*AM940*AP940/(1+AL940/100)^$B$6</f>
        <v/>
      </c>
      <c r="AS940">
        <f>SUMPRODUCT((K24:K26&lt;=$B$6)*(L24:L26*AN940+M24:M26*AO940*$B$8*AQ940)/(1+AL940/100)^K24:K26)+L27*AN940*AP940/(1+AL940/100)^$B$6</f>
        <v/>
      </c>
      <c r="AT940">
        <f>AS940-AR940</f>
        <v/>
      </c>
      <c r="AU940">
        <f>RAND()</f>
        <v/>
      </c>
      <c r="AV940">
        <f>RAND()</f>
        <v/>
      </c>
      <c r="AW940">
        <f>RAND()</f>
        <v/>
      </c>
      <c r="AX940">
        <f>RAND()</f>
        <v/>
      </c>
      <c r="AY940">
        <f>RAND()</f>
        <v/>
      </c>
      <c r="AZ940">
        <f>RAND()</f>
        <v/>
      </c>
    </row>
    <row r="941">
      <c r="AK941" t="n">
        <v>928</v>
      </c>
      <c r="AL941">
        <f>IFERROR(IF(AU941&lt;($AM$6-$AL$6)/($AN$6-$AL$6),$AL$6+SQRT(AU941*($AN$6-$AL$6)*($AM$6-$AL$6)),$AN$6-SQRT((1-AU941)*($AN$6-$AL$6)*($AN$6-$AM$6))),$AM$6)</f>
        <v/>
      </c>
      <c r="AM941">
        <f>IFERROR(IF(AV941&lt;($AM$7-$AL$7)/($AN$7-$AL$7),$AL$7+SQRT(AV941*($AN$7-$AL$7)*($AM$7-$AL$7)),$AN$7-SQRT((1-AV941)*($AN$7-$AL$7)*($AN$7-$AM$7))),$AM$7)</f>
        <v/>
      </c>
      <c r="AN941">
        <f>IFERROR(IF(AW941&lt;($AM$8-$AL$8)/($AN$8-$AL$8),$AL$8+SQRT(AW941*($AN$8-$AL$8)*($AM$8-$AL$8)),$AN$8-SQRT((1-AW941)*($AN$8-$AL$8)*($AN$8-$AM$8))),$AM$8)</f>
        <v/>
      </c>
      <c r="AO941">
        <f>IFERROR(IF(AX941&lt;($AM$9-$AL$9)/($AN$9-$AL$9),$AL$9+SQRT(AX941*($AN$9-$AL$9)*($AM$9-$AL$9)),$AN$9-SQRT((1-AX941)*($AN$9-$AL$9)*($AN$9-$AM$9))),$AM$9)</f>
        <v/>
      </c>
      <c r="AP941">
        <f>IFERROR(IF(AY941&lt;($AM$10-$AL$10)/($AN$10-$AL$10),$AL$10+SQRT(AY941*($AN$10-$AL$10)*($AM$10-$AL$10)),$AN$10-SQRT((1-AY941)*($AN$10-$AL$10)*($AN$10-$AM$10))),$AM$10)</f>
        <v/>
      </c>
      <c r="AQ941">
        <f>IFERROR(IF(AZ941&lt;($AM$11-$AL$11)/($AN$11-$AL$11),$AL$11+SQRT(AZ941*($AN$11-$AL$11)*($AM$11-$AL$11)),$AN$11-SQRT((1-AZ941)*($AN$11-$AL$11)*($AN$11-$AM$11))),$AM$11)</f>
        <v/>
      </c>
      <c r="AR941">
        <f>SUMPRODUCT((B24:B31&lt;=$B$6)*(C24:C31*AM941+D24:D31*AO941*$B$8*AQ941)/(1+AL941/100)^B24:B31)+C32*AM941*AP941/(1+AL941/100)^$B$6</f>
        <v/>
      </c>
      <c r="AS941">
        <f>SUMPRODUCT((K24:K26&lt;=$B$6)*(L24:L26*AN941+M24:M26*AO941*$B$8*AQ941)/(1+AL941/100)^K24:K26)+L27*AN941*AP941/(1+AL941/100)^$B$6</f>
        <v/>
      </c>
      <c r="AT941">
        <f>AS941-AR941</f>
        <v/>
      </c>
      <c r="AU941">
        <f>RAND()</f>
        <v/>
      </c>
      <c r="AV941">
        <f>RAND()</f>
        <v/>
      </c>
      <c r="AW941">
        <f>RAND()</f>
        <v/>
      </c>
      <c r="AX941">
        <f>RAND()</f>
        <v/>
      </c>
      <c r="AY941">
        <f>RAND()</f>
        <v/>
      </c>
      <c r="AZ941">
        <f>RAND()</f>
        <v/>
      </c>
    </row>
    <row r="942">
      <c r="AK942" t="n">
        <v>929</v>
      </c>
      <c r="AL942">
        <f>IFERROR(IF(AU942&lt;($AM$6-$AL$6)/($AN$6-$AL$6),$AL$6+SQRT(AU942*($AN$6-$AL$6)*($AM$6-$AL$6)),$AN$6-SQRT((1-AU942)*($AN$6-$AL$6)*($AN$6-$AM$6))),$AM$6)</f>
        <v/>
      </c>
      <c r="AM942">
        <f>IFERROR(IF(AV942&lt;($AM$7-$AL$7)/($AN$7-$AL$7),$AL$7+SQRT(AV942*($AN$7-$AL$7)*($AM$7-$AL$7)),$AN$7-SQRT((1-AV942)*($AN$7-$AL$7)*($AN$7-$AM$7))),$AM$7)</f>
        <v/>
      </c>
      <c r="AN942">
        <f>IFERROR(IF(AW942&lt;($AM$8-$AL$8)/($AN$8-$AL$8),$AL$8+SQRT(AW942*($AN$8-$AL$8)*($AM$8-$AL$8)),$AN$8-SQRT((1-AW942)*($AN$8-$AL$8)*($AN$8-$AM$8))),$AM$8)</f>
        <v/>
      </c>
      <c r="AO942">
        <f>IFERROR(IF(AX942&lt;($AM$9-$AL$9)/($AN$9-$AL$9),$AL$9+SQRT(AX942*($AN$9-$AL$9)*($AM$9-$AL$9)),$AN$9-SQRT((1-AX942)*($AN$9-$AL$9)*($AN$9-$AM$9))),$AM$9)</f>
        <v/>
      </c>
      <c r="AP942">
        <f>IFERROR(IF(AY942&lt;($AM$10-$AL$10)/($AN$10-$AL$10),$AL$10+SQRT(AY942*($AN$10-$AL$10)*($AM$10-$AL$10)),$AN$10-SQRT((1-AY942)*($AN$10-$AL$10)*($AN$10-$AM$10))),$AM$10)</f>
        <v/>
      </c>
      <c r="AQ942">
        <f>IFERROR(IF(AZ942&lt;($AM$11-$AL$11)/($AN$11-$AL$11),$AL$11+SQRT(AZ942*($AN$11-$AL$11)*($AM$11-$AL$11)),$AN$11-SQRT((1-AZ942)*($AN$11-$AL$11)*($AN$11-$AM$11))),$AM$11)</f>
        <v/>
      </c>
      <c r="AR942">
        <f>SUMPRODUCT((B24:B31&lt;=$B$6)*(C24:C31*AM942+D24:D31*AO942*$B$8*AQ942)/(1+AL942/100)^B24:B31)+C32*AM942*AP942/(1+AL942/100)^$B$6</f>
        <v/>
      </c>
      <c r="AS942">
        <f>SUMPRODUCT((K24:K26&lt;=$B$6)*(L24:L26*AN942+M24:M26*AO942*$B$8*AQ942)/(1+AL942/100)^K24:K26)+L27*AN942*AP942/(1+AL942/100)^$B$6</f>
        <v/>
      </c>
      <c r="AT942">
        <f>AS942-AR942</f>
        <v/>
      </c>
      <c r="AU942">
        <f>RAND()</f>
        <v/>
      </c>
      <c r="AV942">
        <f>RAND()</f>
        <v/>
      </c>
      <c r="AW942">
        <f>RAND()</f>
        <v/>
      </c>
      <c r="AX942">
        <f>RAND()</f>
        <v/>
      </c>
      <c r="AY942">
        <f>RAND()</f>
        <v/>
      </c>
      <c r="AZ942">
        <f>RAND()</f>
        <v/>
      </c>
    </row>
    <row r="943">
      <c r="AK943" t="n">
        <v>930</v>
      </c>
      <c r="AL943">
        <f>IFERROR(IF(AU943&lt;($AM$6-$AL$6)/($AN$6-$AL$6),$AL$6+SQRT(AU943*($AN$6-$AL$6)*($AM$6-$AL$6)),$AN$6-SQRT((1-AU943)*($AN$6-$AL$6)*($AN$6-$AM$6))),$AM$6)</f>
        <v/>
      </c>
      <c r="AM943">
        <f>IFERROR(IF(AV943&lt;($AM$7-$AL$7)/($AN$7-$AL$7),$AL$7+SQRT(AV943*($AN$7-$AL$7)*($AM$7-$AL$7)),$AN$7-SQRT((1-AV943)*($AN$7-$AL$7)*($AN$7-$AM$7))),$AM$7)</f>
        <v/>
      </c>
      <c r="AN943">
        <f>IFERROR(IF(AW943&lt;($AM$8-$AL$8)/($AN$8-$AL$8),$AL$8+SQRT(AW943*($AN$8-$AL$8)*($AM$8-$AL$8)),$AN$8-SQRT((1-AW943)*($AN$8-$AL$8)*($AN$8-$AM$8))),$AM$8)</f>
        <v/>
      </c>
      <c r="AO943">
        <f>IFERROR(IF(AX943&lt;($AM$9-$AL$9)/($AN$9-$AL$9),$AL$9+SQRT(AX943*($AN$9-$AL$9)*($AM$9-$AL$9)),$AN$9-SQRT((1-AX943)*($AN$9-$AL$9)*($AN$9-$AM$9))),$AM$9)</f>
        <v/>
      </c>
      <c r="AP943">
        <f>IFERROR(IF(AY943&lt;($AM$10-$AL$10)/($AN$10-$AL$10),$AL$10+SQRT(AY943*($AN$10-$AL$10)*($AM$10-$AL$10)),$AN$10-SQRT((1-AY943)*($AN$10-$AL$10)*($AN$10-$AM$10))),$AM$10)</f>
        <v/>
      </c>
      <c r="AQ943">
        <f>IFERROR(IF(AZ943&lt;($AM$11-$AL$11)/($AN$11-$AL$11),$AL$11+SQRT(AZ943*($AN$11-$AL$11)*($AM$11-$AL$11)),$AN$11-SQRT((1-AZ943)*($AN$11-$AL$11)*($AN$11-$AM$11))),$AM$11)</f>
        <v/>
      </c>
      <c r="AR943">
        <f>SUMPRODUCT((B24:B31&lt;=$B$6)*(C24:C31*AM943+D24:D31*AO943*$B$8*AQ943)/(1+AL943/100)^B24:B31)+C32*AM943*AP943/(1+AL943/100)^$B$6</f>
        <v/>
      </c>
      <c r="AS943">
        <f>SUMPRODUCT((K24:K26&lt;=$B$6)*(L24:L26*AN943+M24:M26*AO943*$B$8*AQ943)/(1+AL943/100)^K24:K26)+L27*AN943*AP943/(1+AL943/100)^$B$6</f>
        <v/>
      </c>
      <c r="AT943">
        <f>AS943-AR943</f>
        <v/>
      </c>
      <c r="AU943">
        <f>RAND()</f>
        <v/>
      </c>
      <c r="AV943">
        <f>RAND()</f>
        <v/>
      </c>
      <c r="AW943">
        <f>RAND()</f>
        <v/>
      </c>
      <c r="AX943">
        <f>RAND()</f>
        <v/>
      </c>
      <c r="AY943">
        <f>RAND()</f>
        <v/>
      </c>
      <c r="AZ943">
        <f>RAND()</f>
        <v/>
      </c>
    </row>
    <row r="944">
      <c r="AK944" t="n">
        <v>931</v>
      </c>
      <c r="AL944">
        <f>IFERROR(IF(AU944&lt;($AM$6-$AL$6)/($AN$6-$AL$6),$AL$6+SQRT(AU944*($AN$6-$AL$6)*($AM$6-$AL$6)),$AN$6-SQRT((1-AU944)*($AN$6-$AL$6)*($AN$6-$AM$6))),$AM$6)</f>
        <v/>
      </c>
      <c r="AM944">
        <f>IFERROR(IF(AV944&lt;($AM$7-$AL$7)/($AN$7-$AL$7),$AL$7+SQRT(AV944*($AN$7-$AL$7)*($AM$7-$AL$7)),$AN$7-SQRT((1-AV944)*($AN$7-$AL$7)*($AN$7-$AM$7))),$AM$7)</f>
        <v/>
      </c>
      <c r="AN944">
        <f>IFERROR(IF(AW944&lt;($AM$8-$AL$8)/($AN$8-$AL$8),$AL$8+SQRT(AW944*($AN$8-$AL$8)*($AM$8-$AL$8)),$AN$8-SQRT((1-AW944)*($AN$8-$AL$8)*($AN$8-$AM$8))),$AM$8)</f>
        <v/>
      </c>
      <c r="AO944">
        <f>IFERROR(IF(AX944&lt;($AM$9-$AL$9)/($AN$9-$AL$9),$AL$9+SQRT(AX944*($AN$9-$AL$9)*($AM$9-$AL$9)),$AN$9-SQRT((1-AX944)*($AN$9-$AL$9)*($AN$9-$AM$9))),$AM$9)</f>
        <v/>
      </c>
      <c r="AP944">
        <f>IFERROR(IF(AY944&lt;($AM$10-$AL$10)/($AN$10-$AL$10),$AL$10+SQRT(AY944*($AN$10-$AL$10)*($AM$10-$AL$10)),$AN$10-SQRT((1-AY944)*($AN$10-$AL$10)*($AN$10-$AM$10))),$AM$10)</f>
        <v/>
      </c>
      <c r="AQ944">
        <f>IFERROR(IF(AZ944&lt;($AM$11-$AL$11)/($AN$11-$AL$11),$AL$11+SQRT(AZ944*($AN$11-$AL$11)*($AM$11-$AL$11)),$AN$11-SQRT((1-AZ944)*($AN$11-$AL$11)*($AN$11-$AM$11))),$AM$11)</f>
        <v/>
      </c>
      <c r="AR944">
        <f>SUMPRODUCT((B24:B31&lt;=$B$6)*(C24:C31*AM944+D24:D31*AO944*$B$8*AQ944)/(1+AL944/100)^B24:B31)+C32*AM944*AP944/(1+AL944/100)^$B$6</f>
        <v/>
      </c>
      <c r="AS944">
        <f>SUMPRODUCT((K24:K26&lt;=$B$6)*(L24:L26*AN944+M24:M26*AO944*$B$8*AQ944)/(1+AL944/100)^K24:K26)+L27*AN944*AP944/(1+AL944/100)^$B$6</f>
        <v/>
      </c>
      <c r="AT944">
        <f>AS944-AR944</f>
        <v/>
      </c>
      <c r="AU944">
        <f>RAND()</f>
        <v/>
      </c>
      <c r="AV944">
        <f>RAND()</f>
        <v/>
      </c>
      <c r="AW944">
        <f>RAND()</f>
        <v/>
      </c>
      <c r="AX944">
        <f>RAND()</f>
        <v/>
      </c>
      <c r="AY944">
        <f>RAND()</f>
        <v/>
      </c>
      <c r="AZ944">
        <f>RAND()</f>
        <v/>
      </c>
    </row>
    <row r="945">
      <c r="AK945" t="n">
        <v>932</v>
      </c>
      <c r="AL945">
        <f>IFERROR(IF(AU945&lt;($AM$6-$AL$6)/($AN$6-$AL$6),$AL$6+SQRT(AU945*($AN$6-$AL$6)*($AM$6-$AL$6)),$AN$6-SQRT((1-AU945)*($AN$6-$AL$6)*($AN$6-$AM$6))),$AM$6)</f>
        <v/>
      </c>
      <c r="AM945">
        <f>IFERROR(IF(AV945&lt;($AM$7-$AL$7)/($AN$7-$AL$7),$AL$7+SQRT(AV945*($AN$7-$AL$7)*($AM$7-$AL$7)),$AN$7-SQRT((1-AV945)*($AN$7-$AL$7)*($AN$7-$AM$7))),$AM$7)</f>
        <v/>
      </c>
      <c r="AN945">
        <f>IFERROR(IF(AW945&lt;($AM$8-$AL$8)/($AN$8-$AL$8),$AL$8+SQRT(AW945*($AN$8-$AL$8)*($AM$8-$AL$8)),$AN$8-SQRT((1-AW945)*($AN$8-$AL$8)*($AN$8-$AM$8))),$AM$8)</f>
        <v/>
      </c>
      <c r="AO945">
        <f>IFERROR(IF(AX945&lt;($AM$9-$AL$9)/($AN$9-$AL$9),$AL$9+SQRT(AX945*($AN$9-$AL$9)*($AM$9-$AL$9)),$AN$9-SQRT((1-AX945)*($AN$9-$AL$9)*($AN$9-$AM$9))),$AM$9)</f>
        <v/>
      </c>
      <c r="AP945">
        <f>IFERROR(IF(AY945&lt;($AM$10-$AL$10)/($AN$10-$AL$10),$AL$10+SQRT(AY945*($AN$10-$AL$10)*($AM$10-$AL$10)),$AN$10-SQRT((1-AY945)*($AN$10-$AL$10)*($AN$10-$AM$10))),$AM$10)</f>
        <v/>
      </c>
      <c r="AQ945">
        <f>IFERROR(IF(AZ945&lt;($AM$11-$AL$11)/($AN$11-$AL$11),$AL$11+SQRT(AZ945*($AN$11-$AL$11)*($AM$11-$AL$11)),$AN$11-SQRT((1-AZ945)*($AN$11-$AL$11)*($AN$11-$AM$11))),$AM$11)</f>
        <v/>
      </c>
      <c r="AR945">
        <f>SUMPRODUCT((B24:B31&lt;=$B$6)*(C24:C31*AM945+D24:D31*AO945*$B$8*AQ945)/(1+AL945/100)^B24:B31)+C32*AM945*AP945/(1+AL945/100)^$B$6</f>
        <v/>
      </c>
      <c r="AS945">
        <f>SUMPRODUCT((K24:K26&lt;=$B$6)*(L24:L26*AN945+M24:M26*AO945*$B$8*AQ945)/(1+AL945/100)^K24:K26)+L27*AN945*AP945/(1+AL945/100)^$B$6</f>
        <v/>
      </c>
      <c r="AT945">
        <f>AS945-AR945</f>
        <v/>
      </c>
      <c r="AU945">
        <f>RAND()</f>
        <v/>
      </c>
      <c r="AV945">
        <f>RAND()</f>
        <v/>
      </c>
      <c r="AW945">
        <f>RAND()</f>
        <v/>
      </c>
      <c r="AX945">
        <f>RAND()</f>
        <v/>
      </c>
      <c r="AY945">
        <f>RAND()</f>
        <v/>
      </c>
      <c r="AZ945">
        <f>RAND()</f>
        <v/>
      </c>
    </row>
    <row r="946">
      <c r="AK946" t="n">
        <v>933</v>
      </c>
      <c r="AL946">
        <f>IFERROR(IF(AU946&lt;($AM$6-$AL$6)/($AN$6-$AL$6),$AL$6+SQRT(AU946*($AN$6-$AL$6)*($AM$6-$AL$6)),$AN$6-SQRT((1-AU946)*($AN$6-$AL$6)*($AN$6-$AM$6))),$AM$6)</f>
        <v/>
      </c>
      <c r="AM946">
        <f>IFERROR(IF(AV946&lt;($AM$7-$AL$7)/($AN$7-$AL$7),$AL$7+SQRT(AV946*($AN$7-$AL$7)*($AM$7-$AL$7)),$AN$7-SQRT((1-AV946)*($AN$7-$AL$7)*($AN$7-$AM$7))),$AM$7)</f>
        <v/>
      </c>
      <c r="AN946">
        <f>IFERROR(IF(AW946&lt;($AM$8-$AL$8)/($AN$8-$AL$8),$AL$8+SQRT(AW946*($AN$8-$AL$8)*($AM$8-$AL$8)),$AN$8-SQRT((1-AW946)*($AN$8-$AL$8)*($AN$8-$AM$8))),$AM$8)</f>
        <v/>
      </c>
      <c r="AO946">
        <f>IFERROR(IF(AX946&lt;($AM$9-$AL$9)/($AN$9-$AL$9),$AL$9+SQRT(AX946*($AN$9-$AL$9)*($AM$9-$AL$9)),$AN$9-SQRT((1-AX946)*($AN$9-$AL$9)*($AN$9-$AM$9))),$AM$9)</f>
        <v/>
      </c>
      <c r="AP946">
        <f>IFERROR(IF(AY946&lt;($AM$10-$AL$10)/($AN$10-$AL$10),$AL$10+SQRT(AY946*($AN$10-$AL$10)*($AM$10-$AL$10)),$AN$10-SQRT((1-AY946)*($AN$10-$AL$10)*($AN$10-$AM$10))),$AM$10)</f>
        <v/>
      </c>
      <c r="AQ946">
        <f>IFERROR(IF(AZ946&lt;($AM$11-$AL$11)/($AN$11-$AL$11),$AL$11+SQRT(AZ946*($AN$11-$AL$11)*($AM$11-$AL$11)),$AN$11-SQRT((1-AZ946)*($AN$11-$AL$11)*($AN$11-$AM$11))),$AM$11)</f>
        <v/>
      </c>
      <c r="AR946">
        <f>SUMPRODUCT((B24:B31&lt;=$B$6)*(C24:C31*AM946+D24:D31*AO946*$B$8*AQ946)/(1+AL946/100)^B24:B31)+C32*AM946*AP946/(1+AL946/100)^$B$6</f>
        <v/>
      </c>
      <c r="AS946">
        <f>SUMPRODUCT((K24:K26&lt;=$B$6)*(L24:L26*AN946+M24:M26*AO946*$B$8*AQ946)/(1+AL946/100)^K24:K26)+L27*AN946*AP946/(1+AL946/100)^$B$6</f>
        <v/>
      </c>
      <c r="AT946">
        <f>AS946-AR946</f>
        <v/>
      </c>
      <c r="AU946">
        <f>RAND()</f>
        <v/>
      </c>
      <c r="AV946">
        <f>RAND()</f>
        <v/>
      </c>
      <c r="AW946">
        <f>RAND()</f>
        <v/>
      </c>
      <c r="AX946">
        <f>RAND()</f>
        <v/>
      </c>
      <c r="AY946">
        <f>RAND()</f>
        <v/>
      </c>
      <c r="AZ946">
        <f>RAND()</f>
        <v/>
      </c>
    </row>
    <row r="947">
      <c r="AK947" t="n">
        <v>934</v>
      </c>
      <c r="AL947">
        <f>IFERROR(IF(AU947&lt;($AM$6-$AL$6)/($AN$6-$AL$6),$AL$6+SQRT(AU947*($AN$6-$AL$6)*($AM$6-$AL$6)),$AN$6-SQRT((1-AU947)*($AN$6-$AL$6)*($AN$6-$AM$6))),$AM$6)</f>
        <v/>
      </c>
      <c r="AM947">
        <f>IFERROR(IF(AV947&lt;($AM$7-$AL$7)/($AN$7-$AL$7),$AL$7+SQRT(AV947*($AN$7-$AL$7)*($AM$7-$AL$7)),$AN$7-SQRT((1-AV947)*($AN$7-$AL$7)*($AN$7-$AM$7))),$AM$7)</f>
        <v/>
      </c>
      <c r="AN947">
        <f>IFERROR(IF(AW947&lt;($AM$8-$AL$8)/($AN$8-$AL$8),$AL$8+SQRT(AW947*($AN$8-$AL$8)*($AM$8-$AL$8)),$AN$8-SQRT((1-AW947)*($AN$8-$AL$8)*($AN$8-$AM$8))),$AM$8)</f>
        <v/>
      </c>
      <c r="AO947">
        <f>IFERROR(IF(AX947&lt;($AM$9-$AL$9)/($AN$9-$AL$9),$AL$9+SQRT(AX947*($AN$9-$AL$9)*($AM$9-$AL$9)),$AN$9-SQRT((1-AX947)*($AN$9-$AL$9)*($AN$9-$AM$9))),$AM$9)</f>
        <v/>
      </c>
      <c r="AP947">
        <f>IFERROR(IF(AY947&lt;($AM$10-$AL$10)/($AN$10-$AL$10),$AL$10+SQRT(AY947*($AN$10-$AL$10)*($AM$10-$AL$10)),$AN$10-SQRT((1-AY947)*($AN$10-$AL$10)*($AN$10-$AM$10))),$AM$10)</f>
        <v/>
      </c>
      <c r="AQ947">
        <f>IFERROR(IF(AZ947&lt;($AM$11-$AL$11)/($AN$11-$AL$11),$AL$11+SQRT(AZ947*($AN$11-$AL$11)*($AM$11-$AL$11)),$AN$11-SQRT((1-AZ947)*($AN$11-$AL$11)*($AN$11-$AM$11))),$AM$11)</f>
        <v/>
      </c>
      <c r="AR947">
        <f>SUMPRODUCT((B24:B31&lt;=$B$6)*(C24:C31*AM947+D24:D31*AO947*$B$8*AQ947)/(1+AL947/100)^B24:B31)+C32*AM947*AP947/(1+AL947/100)^$B$6</f>
        <v/>
      </c>
      <c r="AS947">
        <f>SUMPRODUCT((K24:K26&lt;=$B$6)*(L24:L26*AN947+M24:M26*AO947*$B$8*AQ947)/(1+AL947/100)^K24:K26)+L27*AN947*AP947/(1+AL947/100)^$B$6</f>
        <v/>
      </c>
      <c r="AT947">
        <f>AS947-AR947</f>
        <v/>
      </c>
      <c r="AU947">
        <f>RAND()</f>
        <v/>
      </c>
      <c r="AV947">
        <f>RAND()</f>
        <v/>
      </c>
      <c r="AW947">
        <f>RAND()</f>
        <v/>
      </c>
      <c r="AX947">
        <f>RAND()</f>
        <v/>
      </c>
      <c r="AY947">
        <f>RAND()</f>
        <v/>
      </c>
      <c r="AZ947">
        <f>RAND()</f>
        <v/>
      </c>
    </row>
    <row r="948">
      <c r="AK948" t="n">
        <v>935</v>
      </c>
      <c r="AL948">
        <f>IFERROR(IF(AU948&lt;($AM$6-$AL$6)/($AN$6-$AL$6),$AL$6+SQRT(AU948*($AN$6-$AL$6)*($AM$6-$AL$6)),$AN$6-SQRT((1-AU948)*($AN$6-$AL$6)*($AN$6-$AM$6))),$AM$6)</f>
        <v/>
      </c>
      <c r="AM948">
        <f>IFERROR(IF(AV948&lt;($AM$7-$AL$7)/($AN$7-$AL$7),$AL$7+SQRT(AV948*($AN$7-$AL$7)*($AM$7-$AL$7)),$AN$7-SQRT((1-AV948)*($AN$7-$AL$7)*($AN$7-$AM$7))),$AM$7)</f>
        <v/>
      </c>
      <c r="AN948">
        <f>IFERROR(IF(AW948&lt;($AM$8-$AL$8)/($AN$8-$AL$8),$AL$8+SQRT(AW948*($AN$8-$AL$8)*($AM$8-$AL$8)),$AN$8-SQRT((1-AW948)*($AN$8-$AL$8)*($AN$8-$AM$8))),$AM$8)</f>
        <v/>
      </c>
      <c r="AO948">
        <f>IFERROR(IF(AX948&lt;($AM$9-$AL$9)/($AN$9-$AL$9),$AL$9+SQRT(AX948*($AN$9-$AL$9)*($AM$9-$AL$9)),$AN$9-SQRT((1-AX948)*($AN$9-$AL$9)*($AN$9-$AM$9))),$AM$9)</f>
        <v/>
      </c>
      <c r="AP948">
        <f>IFERROR(IF(AY948&lt;($AM$10-$AL$10)/($AN$10-$AL$10),$AL$10+SQRT(AY948*($AN$10-$AL$10)*($AM$10-$AL$10)),$AN$10-SQRT((1-AY948)*($AN$10-$AL$10)*($AN$10-$AM$10))),$AM$10)</f>
        <v/>
      </c>
      <c r="AQ948">
        <f>IFERROR(IF(AZ948&lt;($AM$11-$AL$11)/($AN$11-$AL$11),$AL$11+SQRT(AZ948*($AN$11-$AL$11)*($AM$11-$AL$11)),$AN$11-SQRT((1-AZ948)*($AN$11-$AL$11)*($AN$11-$AM$11))),$AM$11)</f>
        <v/>
      </c>
      <c r="AR948">
        <f>SUMPRODUCT((B24:B31&lt;=$B$6)*(C24:C31*AM948+D24:D31*AO948*$B$8*AQ948)/(1+AL948/100)^B24:B31)+C32*AM948*AP948/(1+AL948/100)^$B$6</f>
        <v/>
      </c>
      <c r="AS948">
        <f>SUMPRODUCT((K24:K26&lt;=$B$6)*(L24:L26*AN948+M24:M26*AO948*$B$8*AQ948)/(1+AL948/100)^K24:K26)+L27*AN948*AP948/(1+AL948/100)^$B$6</f>
        <v/>
      </c>
      <c r="AT948">
        <f>AS948-AR948</f>
        <v/>
      </c>
      <c r="AU948">
        <f>RAND()</f>
        <v/>
      </c>
      <c r="AV948">
        <f>RAND()</f>
        <v/>
      </c>
      <c r="AW948">
        <f>RAND()</f>
        <v/>
      </c>
      <c r="AX948">
        <f>RAND()</f>
        <v/>
      </c>
      <c r="AY948">
        <f>RAND()</f>
        <v/>
      </c>
      <c r="AZ948">
        <f>RAND()</f>
        <v/>
      </c>
    </row>
    <row r="949">
      <c r="AK949" t="n">
        <v>936</v>
      </c>
      <c r="AL949">
        <f>IFERROR(IF(AU949&lt;($AM$6-$AL$6)/($AN$6-$AL$6),$AL$6+SQRT(AU949*($AN$6-$AL$6)*($AM$6-$AL$6)),$AN$6-SQRT((1-AU949)*($AN$6-$AL$6)*($AN$6-$AM$6))),$AM$6)</f>
        <v/>
      </c>
      <c r="AM949">
        <f>IFERROR(IF(AV949&lt;($AM$7-$AL$7)/($AN$7-$AL$7),$AL$7+SQRT(AV949*($AN$7-$AL$7)*($AM$7-$AL$7)),$AN$7-SQRT((1-AV949)*($AN$7-$AL$7)*($AN$7-$AM$7))),$AM$7)</f>
        <v/>
      </c>
      <c r="AN949">
        <f>IFERROR(IF(AW949&lt;($AM$8-$AL$8)/($AN$8-$AL$8),$AL$8+SQRT(AW949*($AN$8-$AL$8)*($AM$8-$AL$8)),$AN$8-SQRT((1-AW949)*($AN$8-$AL$8)*($AN$8-$AM$8))),$AM$8)</f>
        <v/>
      </c>
      <c r="AO949">
        <f>IFERROR(IF(AX949&lt;($AM$9-$AL$9)/($AN$9-$AL$9),$AL$9+SQRT(AX949*($AN$9-$AL$9)*($AM$9-$AL$9)),$AN$9-SQRT((1-AX949)*($AN$9-$AL$9)*($AN$9-$AM$9))),$AM$9)</f>
        <v/>
      </c>
      <c r="AP949">
        <f>IFERROR(IF(AY949&lt;($AM$10-$AL$10)/($AN$10-$AL$10),$AL$10+SQRT(AY949*($AN$10-$AL$10)*($AM$10-$AL$10)),$AN$10-SQRT((1-AY949)*($AN$10-$AL$10)*($AN$10-$AM$10))),$AM$10)</f>
        <v/>
      </c>
      <c r="AQ949">
        <f>IFERROR(IF(AZ949&lt;($AM$11-$AL$11)/($AN$11-$AL$11),$AL$11+SQRT(AZ949*($AN$11-$AL$11)*($AM$11-$AL$11)),$AN$11-SQRT((1-AZ949)*($AN$11-$AL$11)*($AN$11-$AM$11))),$AM$11)</f>
        <v/>
      </c>
      <c r="AR949">
        <f>SUMPRODUCT((B24:B31&lt;=$B$6)*(C24:C31*AM949+D24:D31*AO949*$B$8*AQ949)/(1+AL949/100)^B24:B31)+C32*AM949*AP949/(1+AL949/100)^$B$6</f>
        <v/>
      </c>
      <c r="AS949">
        <f>SUMPRODUCT((K24:K26&lt;=$B$6)*(L24:L26*AN949+M24:M26*AO949*$B$8*AQ949)/(1+AL949/100)^K24:K26)+L27*AN949*AP949/(1+AL949/100)^$B$6</f>
        <v/>
      </c>
      <c r="AT949">
        <f>AS949-AR949</f>
        <v/>
      </c>
      <c r="AU949">
        <f>RAND()</f>
        <v/>
      </c>
      <c r="AV949">
        <f>RAND()</f>
        <v/>
      </c>
      <c r="AW949">
        <f>RAND()</f>
        <v/>
      </c>
      <c r="AX949">
        <f>RAND()</f>
        <v/>
      </c>
      <c r="AY949">
        <f>RAND()</f>
        <v/>
      </c>
      <c r="AZ949">
        <f>RAND()</f>
        <v/>
      </c>
    </row>
    <row r="950">
      <c r="AK950" t="n">
        <v>937</v>
      </c>
      <c r="AL950">
        <f>IFERROR(IF(AU950&lt;($AM$6-$AL$6)/($AN$6-$AL$6),$AL$6+SQRT(AU950*($AN$6-$AL$6)*($AM$6-$AL$6)),$AN$6-SQRT((1-AU950)*($AN$6-$AL$6)*($AN$6-$AM$6))),$AM$6)</f>
        <v/>
      </c>
      <c r="AM950">
        <f>IFERROR(IF(AV950&lt;($AM$7-$AL$7)/($AN$7-$AL$7),$AL$7+SQRT(AV950*($AN$7-$AL$7)*($AM$7-$AL$7)),$AN$7-SQRT((1-AV950)*($AN$7-$AL$7)*($AN$7-$AM$7))),$AM$7)</f>
        <v/>
      </c>
      <c r="AN950">
        <f>IFERROR(IF(AW950&lt;($AM$8-$AL$8)/($AN$8-$AL$8),$AL$8+SQRT(AW950*($AN$8-$AL$8)*($AM$8-$AL$8)),$AN$8-SQRT((1-AW950)*($AN$8-$AL$8)*($AN$8-$AM$8))),$AM$8)</f>
        <v/>
      </c>
      <c r="AO950">
        <f>IFERROR(IF(AX950&lt;($AM$9-$AL$9)/($AN$9-$AL$9),$AL$9+SQRT(AX950*($AN$9-$AL$9)*($AM$9-$AL$9)),$AN$9-SQRT((1-AX950)*($AN$9-$AL$9)*($AN$9-$AM$9))),$AM$9)</f>
        <v/>
      </c>
      <c r="AP950">
        <f>IFERROR(IF(AY950&lt;($AM$10-$AL$10)/($AN$10-$AL$10),$AL$10+SQRT(AY950*($AN$10-$AL$10)*($AM$10-$AL$10)),$AN$10-SQRT((1-AY950)*($AN$10-$AL$10)*($AN$10-$AM$10))),$AM$10)</f>
        <v/>
      </c>
      <c r="AQ950">
        <f>IFERROR(IF(AZ950&lt;($AM$11-$AL$11)/($AN$11-$AL$11),$AL$11+SQRT(AZ950*($AN$11-$AL$11)*($AM$11-$AL$11)),$AN$11-SQRT((1-AZ950)*($AN$11-$AL$11)*($AN$11-$AM$11))),$AM$11)</f>
        <v/>
      </c>
      <c r="AR950">
        <f>SUMPRODUCT((B24:B31&lt;=$B$6)*(C24:C31*AM950+D24:D31*AO950*$B$8*AQ950)/(1+AL950/100)^B24:B31)+C32*AM950*AP950/(1+AL950/100)^$B$6</f>
        <v/>
      </c>
      <c r="AS950">
        <f>SUMPRODUCT((K24:K26&lt;=$B$6)*(L24:L26*AN950+M24:M26*AO950*$B$8*AQ950)/(1+AL950/100)^K24:K26)+L27*AN950*AP950/(1+AL950/100)^$B$6</f>
        <v/>
      </c>
      <c r="AT950">
        <f>AS950-AR950</f>
        <v/>
      </c>
      <c r="AU950">
        <f>RAND()</f>
        <v/>
      </c>
      <c r="AV950">
        <f>RAND()</f>
        <v/>
      </c>
      <c r="AW950">
        <f>RAND()</f>
        <v/>
      </c>
      <c r="AX950">
        <f>RAND()</f>
        <v/>
      </c>
      <c r="AY950">
        <f>RAND()</f>
        <v/>
      </c>
      <c r="AZ950">
        <f>RAND()</f>
        <v/>
      </c>
    </row>
    <row r="951">
      <c r="AK951" t="n">
        <v>938</v>
      </c>
      <c r="AL951">
        <f>IFERROR(IF(AU951&lt;($AM$6-$AL$6)/($AN$6-$AL$6),$AL$6+SQRT(AU951*($AN$6-$AL$6)*($AM$6-$AL$6)),$AN$6-SQRT((1-AU951)*($AN$6-$AL$6)*($AN$6-$AM$6))),$AM$6)</f>
        <v/>
      </c>
      <c r="AM951">
        <f>IFERROR(IF(AV951&lt;($AM$7-$AL$7)/($AN$7-$AL$7),$AL$7+SQRT(AV951*($AN$7-$AL$7)*($AM$7-$AL$7)),$AN$7-SQRT((1-AV951)*($AN$7-$AL$7)*($AN$7-$AM$7))),$AM$7)</f>
        <v/>
      </c>
      <c r="AN951">
        <f>IFERROR(IF(AW951&lt;($AM$8-$AL$8)/($AN$8-$AL$8),$AL$8+SQRT(AW951*($AN$8-$AL$8)*($AM$8-$AL$8)),$AN$8-SQRT((1-AW951)*($AN$8-$AL$8)*($AN$8-$AM$8))),$AM$8)</f>
        <v/>
      </c>
      <c r="AO951">
        <f>IFERROR(IF(AX951&lt;($AM$9-$AL$9)/($AN$9-$AL$9),$AL$9+SQRT(AX951*($AN$9-$AL$9)*($AM$9-$AL$9)),$AN$9-SQRT((1-AX951)*($AN$9-$AL$9)*($AN$9-$AM$9))),$AM$9)</f>
        <v/>
      </c>
      <c r="AP951">
        <f>IFERROR(IF(AY951&lt;($AM$10-$AL$10)/($AN$10-$AL$10),$AL$10+SQRT(AY951*($AN$10-$AL$10)*($AM$10-$AL$10)),$AN$10-SQRT((1-AY951)*($AN$10-$AL$10)*($AN$10-$AM$10))),$AM$10)</f>
        <v/>
      </c>
      <c r="AQ951">
        <f>IFERROR(IF(AZ951&lt;($AM$11-$AL$11)/($AN$11-$AL$11),$AL$11+SQRT(AZ951*($AN$11-$AL$11)*($AM$11-$AL$11)),$AN$11-SQRT((1-AZ951)*($AN$11-$AL$11)*($AN$11-$AM$11))),$AM$11)</f>
        <v/>
      </c>
      <c r="AR951">
        <f>SUMPRODUCT((B24:B31&lt;=$B$6)*(C24:C31*AM951+D24:D31*AO951*$B$8*AQ951)/(1+AL951/100)^B24:B31)+C32*AM951*AP951/(1+AL951/100)^$B$6</f>
        <v/>
      </c>
      <c r="AS951">
        <f>SUMPRODUCT((K24:K26&lt;=$B$6)*(L24:L26*AN951+M24:M26*AO951*$B$8*AQ951)/(1+AL951/100)^K24:K26)+L27*AN951*AP951/(1+AL951/100)^$B$6</f>
        <v/>
      </c>
      <c r="AT951">
        <f>AS951-AR951</f>
        <v/>
      </c>
      <c r="AU951">
        <f>RAND()</f>
        <v/>
      </c>
      <c r="AV951">
        <f>RAND()</f>
        <v/>
      </c>
      <c r="AW951">
        <f>RAND()</f>
        <v/>
      </c>
      <c r="AX951">
        <f>RAND()</f>
        <v/>
      </c>
      <c r="AY951">
        <f>RAND()</f>
        <v/>
      </c>
      <c r="AZ951">
        <f>RAND()</f>
        <v/>
      </c>
    </row>
    <row r="952">
      <c r="AK952" t="n">
        <v>939</v>
      </c>
      <c r="AL952">
        <f>IFERROR(IF(AU952&lt;($AM$6-$AL$6)/($AN$6-$AL$6),$AL$6+SQRT(AU952*($AN$6-$AL$6)*($AM$6-$AL$6)),$AN$6-SQRT((1-AU952)*($AN$6-$AL$6)*($AN$6-$AM$6))),$AM$6)</f>
        <v/>
      </c>
      <c r="AM952">
        <f>IFERROR(IF(AV952&lt;($AM$7-$AL$7)/($AN$7-$AL$7),$AL$7+SQRT(AV952*($AN$7-$AL$7)*($AM$7-$AL$7)),$AN$7-SQRT((1-AV952)*($AN$7-$AL$7)*($AN$7-$AM$7))),$AM$7)</f>
        <v/>
      </c>
      <c r="AN952">
        <f>IFERROR(IF(AW952&lt;($AM$8-$AL$8)/($AN$8-$AL$8),$AL$8+SQRT(AW952*($AN$8-$AL$8)*($AM$8-$AL$8)),$AN$8-SQRT((1-AW952)*($AN$8-$AL$8)*($AN$8-$AM$8))),$AM$8)</f>
        <v/>
      </c>
      <c r="AO952">
        <f>IFERROR(IF(AX952&lt;($AM$9-$AL$9)/($AN$9-$AL$9),$AL$9+SQRT(AX952*($AN$9-$AL$9)*($AM$9-$AL$9)),$AN$9-SQRT((1-AX952)*($AN$9-$AL$9)*($AN$9-$AM$9))),$AM$9)</f>
        <v/>
      </c>
      <c r="AP952">
        <f>IFERROR(IF(AY952&lt;($AM$10-$AL$10)/($AN$10-$AL$10),$AL$10+SQRT(AY952*($AN$10-$AL$10)*($AM$10-$AL$10)),$AN$10-SQRT((1-AY952)*($AN$10-$AL$10)*($AN$10-$AM$10))),$AM$10)</f>
        <v/>
      </c>
      <c r="AQ952">
        <f>IFERROR(IF(AZ952&lt;($AM$11-$AL$11)/($AN$11-$AL$11),$AL$11+SQRT(AZ952*($AN$11-$AL$11)*($AM$11-$AL$11)),$AN$11-SQRT((1-AZ952)*($AN$11-$AL$11)*($AN$11-$AM$11))),$AM$11)</f>
        <v/>
      </c>
      <c r="AR952">
        <f>SUMPRODUCT((B24:B31&lt;=$B$6)*(C24:C31*AM952+D24:D31*AO952*$B$8*AQ952)/(1+AL952/100)^B24:B31)+C32*AM952*AP952/(1+AL952/100)^$B$6</f>
        <v/>
      </c>
      <c r="AS952">
        <f>SUMPRODUCT((K24:K26&lt;=$B$6)*(L24:L26*AN952+M24:M26*AO952*$B$8*AQ952)/(1+AL952/100)^K24:K26)+L27*AN952*AP952/(1+AL952/100)^$B$6</f>
        <v/>
      </c>
      <c r="AT952">
        <f>AS952-AR952</f>
        <v/>
      </c>
      <c r="AU952">
        <f>RAND()</f>
        <v/>
      </c>
      <c r="AV952">
        <f>RAND()</f>
        <v/>
      </c>
      <c r="AW952">
        <f>RAND()</f>
        <v/>
      </c>
      <c r="AX952">
        <f>RAND()</f>
        <v/>
      </c>
      <c r="AY952">
        <f>RAND()</f>
        <v/>
      </c>
      <c r="AZ952">
        <f>RAND()</f>
        <v/>
      </c>
    </row>
    <row r="953">
      <c r="AK953" t="n">
        <v>940</v>
      </c>
      <c r="AL953">
        <f>IFERROR(IF(AU953&lt;($AM$6-$AL$6)/($AN$6-$AL$6),$AL$6+SQRT(AU953*($AN$6-$AL$6)*($AM$6-$AL$6)),$AN$6-SQRT((1-AU953)*($AN$6-$AL$6)*($AN$6-$AM$6))),$AM$6)</f>
        <v/>
      </c>
      <c r="AM953">
        <f>IFERROR(IF(AV953&lt;($AM$7-$AL$7)/($AN$7-$AL$7),$AL$7+SQRT(AV953*($AN$7-$AL$7)*($AM$7-$AL$7)),$AN$7-SQRT((1-AV953)*($AN$7-$AL$7)*($AN$7-$AM$7))),$AM$7)</f>
        <v/>
      </c>
      <c r="AN953">
        <f>IFERROR(IF(AW953&lt;($AM$8-$AL$8)/($AN$8-$AL$8),$AL$8+SQRT(AW953*($AN$8-$AL$8)*($AM$8-$AL$8)),$AN$8-SQRT((1-AW953)*($AN$8-$AL$8)*($AN$8-$AM$8))),$AM$8)</f>
        <v/>
      </c>
      <c r="AO953">
        <f>IFERROR(IF(AX953&lt;($AM$9-$AL$9)/($AN$9-$AL$9),$AL$9+SQRT(AX953*($AN$9-$AL$9)*($AM$9-$AL$9)),$AN$9-SQRT((1-AX953)*($AN$9-$AL$9)*($AN$9-$AM$9))),$AM$9)</f>
        <v/>
      </c>
      <c r="AP953">
        <f>IFERROR(IF(AY953&lt;($AM$10-$AL$10)/($AN$10-$AL$10),$AL$10+SQRT(AY953*($AN$10-$AL$10)*($AM$10-$AL$10)),$AN$10-SQRT((1-AY953)*($AN$10-$AL$10)*($AN$10-$AM$10))),$AM$10)</f>
        <v/>
      </c>
      <c r="AQ953">
        <f>IFERROR(IF(AZ953&lt;($AM$11-$AL$11)/($AN$11-$AL$11),$AL$11+SQRT(AZ953*($AN$11-$AL$11)*($AM$11-$AL$11)),$AN$11-SQRT((1-AZ953)*($AN$11-$AL$11)*($AN$11-$AM$11))),$AM$11)</f>
        <v/>
      </c>
      <c r="AR953">
        <f>SUMPRODUCT((B24:B31&lt;=$B$6)*(C24:C31*AM953+D24:D31*AO953*$B$8*AQ953)/(1+AL953/100)^B24:B31)+C32*AM953*AP953/(1+AL953/100)^$B$6</f>
        <v/>
      </c>
      <c r="AS953">
        <f>SUMPRODUCT((K24:K26&lt;=$B$6)*(L24:L26*AN953+M24:M26*AO953*$B$8*AQ953)/(1+AL953/100)^K24:K26)+L27*AN953*AP953/(1+AL953/100)^$B$6</f>
        <v/>
      </c>
      <c r="AT953">
        <f>AS953-AR953</f>
        <v/>
      </c>
      <c r="AU953">
        <f>RAND()</f>
        <v/>
      </c>
      <c r="AV953">
        <f>RAND()</f>
        <v/>
      </c>
      <c r="AW953">
        <f>RAND()</f>
        <v/>
      </c>
      <c r="AX953">
        <f>RAND()</f>
        <v/>
      </c>
      <c r="AY953">
        <f>RAND()</f>
        <v/>
      </c>
      <c r="AZ953">
        <f>RAND()</f>
        <v/>
      </c>
    </row>
    <row r="954">
      <c r="AK954" t="n">
        <v>941</v>
      </c>
      <c r="AL954">
        <f>IFERROR(IF(AU954&lt;($AM$6-$AL$6)/($AN$6-$AL$6),$AL$6+SQRT(AU954*($AN$6-$AL$6)*($AM$6-$AL$6)),$AN$6-SQRT((1-AU954)*($AN$6-$AL$6)*($AN$6-$AM$6))),$AM$6)</f>
        <v/>
      </c>
      <c r="AM954">
        <f>IFERROR(IF(AV954&lt;($AM$7-$AL$7)/($AN$7-$AL$7),$AL$7+SQRT(AV954*($AN$7-$AL$7)*($AM$7-$AL$7)),$AN$7-SQRT((1-AV954)*($AN$7-$AL$7)*($AN$7-$AM$7))),$AM$7)</f>
        <v/>
      </c>
      <c r="AN954">
        <f>IFERROR(IF(AW954&lt;($AM$8-$AL$8)/($AN$8-$AL$8),$AL$8+SQRT(AW954*($AN$8-$AL$8)*($AM$8-$AL$8)),$AN$8-SQRT((1-AW954)*($AN$8-$AL$8)*($AN$8-$AM$8))),$AM$8)</f>
        <v/>
      </c>
      <c r="AO954">
        <f>IFERROR(IF(AX954&lt;($AM$9-$AL$9)/($AN$9-$AL$9),$AL$9+SQRT(AX954*($AN$9-$AL$9)*($AM$9-$AL$9)),$AN$9-SQRT((1-AX954)*($AN$9-$AL$9)*($AN$9-$AM$9))),$AM$9)</f>
        <v/>
      </c>
      <c r="AP954">
        <f>IFERROR(IF(AY954&lt;($AM$10-$AL$10)/($AN$10-$AL$10),$AL$10+SQRT(AY954*($AN$10-$AL$10)*($AM$10-$AL$10)),$AN$10-SQRT((1-AY954)*($AN$10-$AL$10)*($AN$10-$AM$10))),$AM$10)</f>
        <v/>
      </c>
      <c r="AQ954">
        <f>IFERROR(IF(AZ954&lt;($AM$11-$AL$11)/($AN$11-$AL$11),$AL$11+SQRT(AZ954*($AN$11-$AL$11)*($AM$11-$AL$11)),$AN$11-SQRT((1-AZ954)*($AN$11-$AL$11)*($AN$11-$AM$11))),$AM$11)</f>
        <v/>
      </c>
      <c r="AR954">
        <f>SUMPRODUCT((B24:B31&lt;=$B$6)*(C24:C31*AM954+D24:D31*AO954*$B$8*AQ954)/(1+AL954/100)^B24:B31)+C32*AM954*AP954/(1+AL954/100)^$B$6</f>
        <v/>
      </c>
      <c r="AS954">
        <f>SUMPRODUCT((K24:K26&lt;=$B$6)*(L24:L26*AN954+M24:M26*AO954*$B$8*AQ954)/(1+AL954/100)^K24:K26)+L27*AN954*AP954/(1+AL954/100)^$B$6</f>
        <v/>
      </c>
      <c r="AT954">
        <f>AS954-AR954</f>
        <v/>
      </c>
      <c r="AU954">
        <f>RAND()</f>
        <v/>
      </c>
      <c r="AV954">
        <f>RAND()</f>
        <v/>
      </c>
      <c r="AW954">
        <f>RAND()</f>
        <v/>
      </c>
      <c r="AX954">
        <f>RAND()</f>
        <v/>
      </c>
      <c r="AY954">
        <f>RAND()</f>
        <v/>
      </c>
      <c r="AZ954">
        <f>RAND()</f>
        <v/>
      </c>
    </row>
    <row r="955">
      <c r="AK955" t="n">
        <v>942</v>
      </c>
      <c r="AL955">
        <f>IFERROR(IF(AU955&lt;($AM$6-$AL$6)/($AN$6-$AL$6),$AL$6+SQRT(AU955*($AN$6-$AL$6)*($AM$6-$AL$6)),$AN$6-SQRT((1-AU955)*($AN$6-$AL$6)*($AN$6-$AM$6))),$AM$6)</f>
        <v/>
      </c>
      <c r="AM955">
        <f>IFERROR(IF(AV955&lt;($AM$7-$AL$7)/($AN$7-$AL$7),$AL$7+SQRT(AV955*($AN$7-$AL$7)*($AM$7-$AL$7)),$AN$7-SQRT((1-AV955)*($AN$7-$AL$7)*($AN$7-$AM$7))),$AM$7)</f>
        <v/>
      </c>
      <c r="AN955">
        <f>IFERROR(IF(AW955&lt;($AM$8-$AL$8)/($AN$8-$AL$8),$AL$8+SQRT(AW955*($AN$8-$AL$8)*($AM$8-$AL$8)),$AN$8-SQRT((1-AW955)*($AN$8-$AL$8)*($AN$8-$AM$8))),$AM$8)</f>
        <v/>
      </c>
      <c r="AO955">
        <f>IFERROR(IF(AX955&lt;($AM$9-$AL$9)/($AN$9-$AL$9),$AL$9+SQRT(AX955*($AN$9-$AL$9)*($AM$9-$AL$9)),$AN$9-SQRT((1-AX955)*($AN$9-$AL$9)*($AN$9-$AM$9))),$AM$9)</f>
        <v/>
      </c>
      <c r="AP955">
        <f>IFERROR(IF(AY955&lt;($AM$10-$AL$10)/($AN$10-$AL$10),$AL$10+SQRT(AY955*($AN$10-$AL$10)*($AM$10-$AL$10)),$AN$10-SQRT((1-AY955)*($AN$10-$AL$10)*($AN$10-$AM$10))),$AM$10)</f>
        <v/>
      </c>
      <c r="AQ955">
        <f>IFERROR(IF(AZ955&lt;($AM$11-$AL$11)/($AN$11-$AL$11),$AL$11+SQRT(AZ955*($AN$11-$AL$11)*($AM$11-$AL$11)),$AN$11-SQRT((1-AZ955)*($AN$11-$AL$11)*($AN$11-$AM$11))),$AM$11)</f>
        <v/>
      </c>
      <c r="AR955">
        <f>SUMPRODUCT((B24:B31&lt;=$B$6)*(C24:C31*AM955+D24:D31*AO955*$B$8*AQ955)/(1+AL955/100)^B24:B31)+C32*AM955*AP955/(1+AL955/100)^$B$6</f>
        <v/>
      </c>
      <c r="AS955">
        <f>SUMPRODUCT((K24:K26&lt;=$B$6)*(L24:L26*AN955+M24:M26*AO955*$B$8*AQ955)/(1+AL955/100)^K24:K26)+L27*AN955*AP955/(1+AL955/100)^$B$6</f>
        <v/>
      </c>
      <c r="AT955">
        <f>AS955-AR955</f>
        <v/>
      </c>
      <c r="AU955">
        <f>RAND()</f>
        <v/>
      </c>
      <c r="AV955">
        <f>RAND()</f>
        <v/>
      </c>
      <c r="AW955">
        <f>RAND()</f>
        <v/>
      </c>
      <c r="AX955">
        <f>RAND()</f>
        <v/>
      </c>
      <c r="AY955">
        <f>RAND()</f>
        <v/>
      </c>
      <c r="AZ955">
        <f>RAND()</f>
        <v/>
      </c>
    </row>
    <row r="956">
      <c r="AK956" t="n">
        <v>943</v>
      </c>
      <c r="AL956">
        <f>IFERROR(IF(AU956&lt;($AM$6-$AL$6)/($AN$6-$AL$6),$AL$6+SQRT(AU956*($AN$6-$AL$6)*($AM$6-$AL$6)),$AN$6-SQRT((1-AU956)*($AN$6-$AL$6)*($AN$6-$AM$6))),$AM$6)</f>
        <v/>
      </c>
      <c r="AM956">
        <f>IFERROR(IF(AV956&lt;($AM$7-$AL$7)/($AN$7-$AL$7),$AL$7+SQRT(AV956*($AN$7-$AL$7)*($AM$7-$AL$7)),$AN$7-SQRT((1-AV956)*($AN$7-$AL$7)*($AN$7-$AM$7))),$AM$7)</f>
        <v/>
      </c>
      <c r="AN956">
        <f>IFERROR(IF(AW956&lt;($AM$8-$AL$8)/($AN$8-$AL$8),$AL$8+SQRT(AW956*($AN$8-$AL$8)*($AM$8-$AL$8)),$AN$8-SQRT((1-AW956)*($AN$8-$AL$8)*($AN$8-$AM$8))),$AM$8)</f>
        <v/>
      </c>
      <c r="AO956">
        <f>IFERROR(IF(AX956&lt;($AM$9-$AL$9)/($AN$9-$AL$9),$AL$9+SQRT(AX956*($AN$9-$AL$9)*($AM$9-$AL$9)),$AN$9-SQRT((1-AX956)*($AN$9-$AL$9)*($AN$9-$AM$9))),$AM$9)</f>
        <v/>
      </c>
      <c r="AP956">
        <f>IFERROR(IF(AY956&lt;($AM$10-$AL$10)/($AN$10-$AL$10),$AL$10+SQRT(AY956*($AN$10-$AL$10)*($AM$10-$AL$10)),$AN$10-SQRT((1-AY956)*($AN$10-$AL$10)*($AN$10-$AM$10))),$AM$10)</f>
        <v/>
      </c>
      <c r="AQ956">
        <f>IFERROR(IF(AZ956&lt;($AM$11-$AL$11)/($AN$11-$AL$11),$AL$11+SQRT(AZ956*($AN$11-$AL$11)*($AM$11-$AL$11)),$AN$11-SQRT((1-AZ956)*($AN$11-$AL$11)*($AN$11-$AM$11))),$AM$11)</f>
        <v/>
      </c>
      <c r="AR956">
        <f>SUMPRODUCT((B24:B31&lt;=$B$6)*(C24:C31*AM956+D24:D31*AO956*$B$8*AQ956)/(1+AL956/100)^B24:B31)+C32*AM956*AP956/(1+AL956/100)^$B$6</f>
        <v/>
      </c>
      <c r="AS956">
        <f>SUMPRODUCT((K24:K26&lt;=$B$6)*(L24:L26*AN956+M24:M26*AO956*$B$8*AQ956)/(1+AL956/100)^K24:K26)+L27*AN956*AP956/(1+AL956/100)^$B$6</f>
        <v/>
      </c>
      <c r="AT956">
        <f>AS956-AR956</f>
        <v/>
      </c>
      <c r="AU956">
        <f>RAND()</f>
        <v/>
      </c>
      <c r="AV956">
        <f>RAND()</f>
        <v/>
      </c>
      <c r="AW956">
        <f>RAND()</f>
        <v/>
      </c>
      <c r="AX956">
        <f>RAND()</f>
        <v/>
      </c>
      <c r="AY956">
        <f>RAND()</f>
        <v/>
      </c>
      <c r="AZ956">
        <f>RAND()</f>
        <v/>
      </c>
    </row>
    <row r="957">
      <c r="AK957" t="n">
        <v>944</v>
      </c>
      <c r="AL957">
        <f>IFERROR(IF(AU957&lt;($AM$6-$AL$6)/($AN$6-$AL$6),$AL$6+SQRT(AU957*($AN$6-$AL$6)*($AM$6-$AL$6)),$AN$6-SQRT((1-AU957)*($AN$6-$AL$6)*($AN$6-$AM$6))),$AM$6)</f>
        <v/>
      </c>
      <c r="AM957">
        <f>IFERROR(IF(AV957&lt;($AM$7-$AL$7)/($AN$7-$AL$7),$AL$7+SQRT(AV957*($AN$7-$AL$7)*($AM$7-$AL$7)),$AN$7-SQRT((1-AV957)*($AN$7-$AL$7)*($AN$7-$AM$7))),$AM$7)</f>
        <v/>
      </c>
      <c r="AN957">
        <f>IFERROR(IF(AW957&lt;($AM$8-$AL$8)/($AN$8-$AL$8),$AL$8+SQRT(AW957*($AN$8-$AL$8)*($AM$8-$AL$8)),$AN$8-SQRT((1-AW957)*($AN$8-$AL$8)*($AN$8-$AM$8))),$AM$8)</f>
        <v/>
      </c>
      <c r="AO957">
        <f>IFERROR(IF(AX957&lt;($AM$9-$AL$9)/($AN$9-$AL$9),$AL$9+SQRT(AX957*($AN$9-$AL$9)*($AM$9-$AL$9)),$AN$9-SQRT((1-AX957)*($AN$9-$AL$9)*($AN$9-$AM$9))),$AM$9)</f>
        <v/>
      </c>
      <c r="AP957">
        <f>IFERROR(IF(AY957&lt;($AM$10-$AL$10)/($AN$10-$AL$10),$AL$10+SQRT(AY957*($AN$10-$AL$10)*($AM$10-$AL$10)),$AN$10-SQRT((1-AY957)*($AN$10-$AL$10)*($AN$10-$AM$10))),$AM$10)</f>
        <v/>
      </c>
      <c r="AQ957">
        <f>IFERROR(IF(AZ957&lt;($AM$11-$AL$11)/($AN$11-$AL$11),$AL$11+SQRT(AZ957*($AN$11-$AL$11)*($AM$11-$AL$11)),$AN$11-SQRT((1-AZ957)*($AN$11-$AL$11)*($AN$11-$AM$11))),$AM$11)</f>
        <v/>
      </c>
      <c r="AR957">
        <f>SUMPRODUCT((B24:B31&lt;=$B$6)*(C24:C31*AM957+D24:D31*AO957*$B$8*AQ957)/(1+AL957/100)^B24:B31)+C32*AM957*AP957/(1+AL957/100)^$B$6</f>
        <v/>
      </c>
      <c r="AS957">
        <f>SUMPRODUCT((K24:K26&lt;=$B$6)*(L24:L26*AN957+M24:M26*AO957*$B$8*AQ957)/(1+AL957/100)^K24:K26)+L27*AN957*AP957/(1+AL957/100)^$B$6</f>
        <v/>
      </c>
      <c r="AT957">
        <f>AS957-AR957</f>
        <v/>
      </c>
      <c r="AU957">
        <f>RAND()</f>
        <v/>
      </c>
      <c r="AV957">
        <f>RAND()</f>
        <v/>
      </c>
      <c r="AW957">
        <f>RAND()</f>
        <v/>
      </c>
      <c r="AX957">
        <f>RAND()</f>
        <v/>
      </c>
      <c r="AY957">
        <f>RAND()</f>
        <v/>
      </c>
      <c r="AZ957">
        <f>RAND()</f>
        <v/>
      </c>
    </row>
    <row r="958">
      <c r="AK958" t="n">
        <v>945</v>
      </c>
      <c r="AL958">
        <f>IFERROR(IF(AU958&lt;($AM$6-$AL$6)/($AN$6-$AL$6),$AL$6+SQRT(AU958*($AN$6-$AL$6)*($AM$6-$AL$6)),$AN$6-SQRT((1-AU958)*($AN$6-$AL$6)*($AN$6-$AM$6))),$AM$6)</f>
        <v/>
      </c>
      <c r="AM958">
        <f>IFERROR(IF(AV958&lt;($AM$7-$AL$7)/($AN$7-$AL$7),$AL$7+SQRT(AV958*($AN$7-$AL$7)*($AM$7-$AL$7)),$AN$7-SQRT((1-AV958)*($AN$7-$AL$7)*($AN$7-$AM$7))),$AM$7)</f>
        <v/>
      </c>
      <c r="AN958">
        <f>IFERROR(IF(AW958&lt;($AM$8-$AL$8)/($AN$8-$AL$8),$AL$8+SQRT(AW958*($AN$8-$AL$8)*($AM$8-$AL$8)),$AN$8-SQRT((1-AW958)*($AN$8-$AL$8)*($AN$8-$AM$8))),$AM$8)</f>
        <v/>
      </c>
      <c r="AO958">
        <f>IFERROR(IF(AX958&lt;($AM$9-$AL$9)/($AN$9-$AL$9),$AL$9+SQRT(AX958*($AN$9-$AL$9)*($AM$9-$AL$9)),$AN$9-SQRT((1-AX958)*($AN$9-$AL$9)*($AN$9-$AM$9))),$AM$9)</f>
        <v/>
      </c>
      <c r="AP958">
        <f>IFERROR(IF(AY958&lt;($AM$10-$AL$10)/($AN$10-$AL$10),$AL$10+SQRT(AY958*($AN$10-$AL$10)*($AM$10-$AL$10)),$AN$10-SQRT((1-AY958)*($AN$10-$AL$10)*($AN$10-$AM$10))),$AM$10)</f>
        <v/>
      </c>
      <c r="AQ958">
        <f>IFERROR(IF(AZ958&lt;($AM$11-$AL$11)/($AN$11-$AL$11),$AL$11+SQRT(AZ958*($AN$11-$AL$11)*($AM$11-$AL$11)),$AN$11-SQRT((1-AZ958)*($AN$11-$AL$11)*($AN$11-$AM$11))),$AM$11)</f>
        <v/>
      </c>
      <c r="AR958">
        <f>SUMPRODUCT((B24:B31&lt;=$B$6)*(C24:C31*AM958+D24:D31*AO958*$B$8*AQ958)/(1+AL958/100)^B24:B31)+C32*AM958*AP958/(1+AL958/100)^$B$6</f>
        <v/>
      </c>
      <c r="AS958">
        <f>SUMPRODUCT((K24:K26&lt;=$B$6)*(L24:L26*AN958+M24:M26*AO958*$B$8*AQ958)/(1+AL958/100)^K24:K26)+L27*AN958*AP958/(1+AL958/100)^$B$6</f>
        <v/>
      </c>
      <c r="AT958">
        <f>AS958-AR958</f>
        <v/>
      </c>
      <c r="AU958">
        <f>RAND()</f>
        <v/>
      </c>
      <c r="AV958">
        <f>RAND()</f>
        <v/>
      </c>
      <c r="AW958">
        <f>RAND()</f>
        <v/>
      </c>
      <c r="AX958">
        <f>RAND()</f>
        <v/>
      </c>
      <c r="AY958">
        <f>RAND()</f>
        <v/>
      </c>
      <c r="AZ958">
        <f>RAND()</f>
        <v/>
      </c>
    </row>
    <row r="959">
      <c r="AK959" t="n">
        <v>946</v>
      </c>
      <c r="AL959">
        <f>IFERROR(IF(AU959&lt;($AM$6-$AL$6)/($AN$6-$AL$6),$AL$6+SQRT(AU959*($AN$6-$AL$6)*($AM$6-$AL$6)),$AN$6-SQRT((1-AU959)*($AN$6-$AL$6)*($AN$6-$AM$6))),$AM$6)</f>
        <v/>
      </c>
      <c r="AM959">
        <f>IFERROR(IF(AV959&lt;($AM$7-$AL$7)/($AN$7-$AL$7),$AL$7+SQRT(AV959*($AN$7-$AL$7)*($AM$7-$AL$7)),$AN$7-SQRT((1-AV959)*($AN$7-$AL$7)*($AN$7-$AM$7))),$AM$7)</f>
        <v/>
      </c>
      <c r="AN959">
        <f>IFERROR(IF(AW959&lt;($AM$8-$AL$8)/($AN$8-$AL$8),$AL$8+SQRT(AW959*($AN$8-$AL$8)*($AM$8-$AL$8)),$AN$8-SQRT((1-AW959)*($AN$8-$AL$8)*($AN$8-$AM$8))),$AM$8)</f>
        <v/>
      </c>
      <c r="AO959">
        <f>IFERROR(IF(AX959&lt;($AM$9-$AL$9)/($AN$9-$AL$9),$AL$9+SQRT(AX959*($AN$9-$AL$9)*($AM$9-$AL$9)),$AN$9-SQRT((1-AX959)*($AN$9-$AL$9)*($AN$9-$AM$9))),$AM$9)</f>
        <v/>
      </c>
      <c r="AP959">
        <f>IFERROR(IF(AY959&lt;($AM$10-$AL$10)/($AN$10-$AL$10),$AL$10+SQRT(AY959*($AN$10-$AL$10)*($AM$10-$AL$10)),$AN$10-SQRT((1-AY959)*($AN$10-$AL$10)*($AN$10-$AM$10))),$AM$10)</f>
        <v/>
      </c>
      <c r="AQ959">
        <f>IFERROR(IF(AZ959&lt;($AM$11-$AL$11)/($AN$11-$AL$11),$AL$11+SQRT(AZ959*($AN$11-$AL$11)*($AM$11-$AL$11)),$AN$11-SQRT((1-AZ959)*($AN$11-$AL$11)*($AN$11-$AM$11))),$AM$11)</f>
        <v/>
      </c>
      <c r="AR959">
        <f>SUMPRODUCT((B24:B31&lt;=$B$6)*(C24:C31*AM959+D24:D31*AO959*$B$8*AQ959)/(1+AL959/100)^B24:B31)+C32*AM959*AP959/(1+AL959/100)^$B$6</f>
        <v/>
      </c>
      <c r="AS959">
        <f>SUMPRODUCT((K24:K26&lt;=$B$6)*(L24:L26*AN959+M24:M26*AO959*$B$8*AQ959)/(1+AL959/100)^K24:K26)+L27*AN959*AP959/(1+AL959/100)^$B$6</f>
        <v/>
      </c>
      <c r="AT959">
        <f>AS959-AR959</f>
        <v/>
      </c>
      <c r="AU959">
        <f>RAND()</f>
        <v/>
      </c>
      <c r="AV959">
        <f>RAND()</f>
        <v/>
      </c>
      <c r="AW959">
        <f>RAND()</f>
        <v/>
      </c>
      <c r="AX959">
        <f>RAND()</f>
        <v/>
      </c>
      <c r="AY959">
        <f>RAND()</f>
        <v/>
      </c>
      <c r="AZ959">
        <f>RAND()</f>
        <v/>
      </c>
    </row>
    <row r="960">
      <c r="AK960" t="n">
        <v>947</v>
      </c>
      <c r="AL960">
        <f>IFERROR(IF(AU960&lt;($AM$6-$AL$6)/($AN$6-$AL$6),$AL$6+SQRT(AU960*($AN$6-$AL$6)*($AM$6-$AL$6)),$AN$6-SQRT((1-AU960)*($AN$6-$AL$6)*($AN$6-$AM$6))),$AM$6)</f>
        <v/>
      </c>
      <c r="AM960">
        <f>IFERROR(IF(AV960&lt;($AM$7-$AL$7)/($AN$7-$AL$7),$AL$7+SQRT(AV960*($AN$7-$AL$7)*($AM$7-$AL$7)),$AN$7-SQRT((1-AV960)*($AN$7-$AL$7)*($AN$7-$AM$7))),$AM$7)</f>
        <v/>
      </c>
      <c r="AN960">
        <f>IFERROR(IF(AW960&lt;($AM$8-$AL$8)/($AN$8-$AL$8),$AL$8+SQRT(AW960*($AN$8-$AL$8)*($AM$8-$AL$8)),$AN$8-SQRT((1-AW960)*($AN$8-$AL$8)*($AN$8-$AM$8))),$AM$8)</f>
        <v/>
      </c>
      <c r="AO960">
        <f>IFERROR(IF(AX960&lt;($AM$9-$AL$9)/($AN$9-$AL$9),$AL$9+SQRT(AX960*($AN$9-$AL$9)*($AM$9-$AL$9)),$AN$9-SQRT((1-AX960)*($AN$9-$AL$9)*($AN$9-$AM$9))),$AM$9)</f>
        <v/>
      </c>
      <c r="AP960">
        <f>IFERROR(IF(AY960&lt;($AM$10-$AL$10)/($AN$10-$AL$10),$AL$10+SQRT(AY960*($AN$10-$AL$10)*($AM$10-$AL$10)),$AN$10-SQRT((1-AY960)*($AN$10-$AL$10)*($AN$10-$AM$10))),$AM$10)</f>
        <v/>
      </c>
      <c r="AQ960">
        <f>IFERROR(IF(AZ960&lt;($AM$11-$AL$11)/($AN$11-$AL$11),$AL$11+SQRT(AZ960*($AN$11-$AL$11)*($AM$11-$AL$11)),$AN$11-SQRT((1-AZ960)*($AN$11-$AL$11)*($AN$11-$AM$11))),$AM$11)</f>
        <v/>
      </c>
      <c r="AR960">
        <f>SUMPRODUCT((B24:B31&lt;=$B$6)*(C24:C31*AM960+D24:D31*AO960*$B$8*AQ960)/(1+AL960/100)^B24:B31)+C32*AM960*AP960/(1+AL960/100)^$B$6</f>
        <v/>
      </c>
      <c r="AS960">
        <f>SUMPRODUCT((K24:K26&lt;=$B$6)*(L24:L26*AN960+M24:M26*AO960*$B$8*AQ960)/(1+AL960/100)^K24:K26)+L27*AN960*AP960/(1+AL960/100)^$B$6</f>
        <v/>
      </c>
      <c r="AT960">
        <f>AS960-AR960</f>
        <v/>
      </c>
      <c r="AU960">
        <f>RAND()</f>
        <v/>
      </c>
      <c r="AV960">
        <f>RAND()</f>
        <v/>
      </c>
      <c r="AW960">
        <f>RAND()</f>
        <v/>
      </c>
      <c r="AX960">
        <f>RAND()</f>
        <v/>
      </c>
      <c r="AY960">
        <f>RAND()</f>
        <v/>
      </c>
      <c r="AZ960">
        <f>RAND()</f>
        <v/>
      </c>
    </row>
    <row r="961">
      <c r="AK961" t="n">
        <v>948</v>
      </c>
      <c r="AL961">
        <f>IFERROR(IF(AU961&lt;($AM$6-$AL$6)/($AN$6-$AL$6),$AL$6+SQRT(AU961*($AN$6-$AL$6)*($AM$6-$AL$6)),$AN$6-SQRT((1-AU961)*($AN$6-$AL$6)*($AN$6-$AM$6))),$AM$6)</f>
        <v/>
      </c>
      <c r="AM961">
        <f>IFERROR(IF(AV961&lt;($AM$7-$AL$7)/($AN$7-$AL$7),$AL$7+SQRT(AV961*($AN$7-$AL$7)*($AM$7-$AL$7)),$AN$7-SQRT((1-AV961)*($AN$7-$AL$7)*($AN$7-$AM$7))),$AM$7)</f>
        <v/>
      </c>
      <c r="AN961">
        <f>IFERROR(IF(AW961&lt;($AM$8-$AL$8)/($AN$8-$AL$8),$AL$8+SQRT(AW961*($AN$8-$AL$8)*($AM$8-$AL$8)),$AN$8-SQRT((1-AW961)*($AN$8-$AL$8)*($AN$8-$AM$8))),$AM$8)</f>
        <v/>
      </c>
      <c r="AO961">
        <f>IFERROR(IF(AX961&lt;($AM$9-$AL$9)/($AN$9-$AL$9),$AL$9+SQRT(AX961*($AN$9-$AL$9)*($AM$9-$AL$9)),$AN$9-SQRT((1-AX961)*($AN$9-$AL$9)*($AN$9-$AM$9))),$AM$9)</f>
        <v/>
      </c>
      <c r="AP961">
        <f>IFERROR(IF(AY961&lt;($AM$10-$AL$10)/($AN$10-$AL$10),$AL$10+SQRT(AY961*($AN$10-$AL$10)*($AM$10-$AL$10)),$AN$10-SQRT((1-AY961)*($AN$10-$AL$10)*($AN$10-$AM$10))),$AM$10)</f>
        <v/>
      </c>
      <c r="AQ961">
        <f>IFERROR(IF(AZ961&lt;($AM$11-$AL$11)/($AN$11-$AL$11),$AL$11+SQRT(AZ961*($AN$11-$AL$11)*($AM$11-$AL$11)),$AN$11-SQRT((1-AZ961)*($AN$11-$AL$11)*($AN$11-$AM$11))),$AM$11)</f>
        <v/>
      </c>
      <c r="AR961">
        <f>SUMPRODUCT((B24:B31&lt;=$B$6)*(C24:C31*AM961+D24:D31*AO961*$B$8*AQ961)/(1+AL961/100)^B24:B31)+C32*AM961*AP961/(1+AL961/100)^$B$6</f>
        <v/>
      </c>
      <c r="AS961">
        <f>SUMPRODUCT((K24:K26&lt;=$B$6)*(L24:L26*AN961+M24:M26*AO961*$B$8*AQ961)/(1+AL961/100)^K24:K26)+L27*AN961*AP961/(1+AL961/100)^$B$6</f>
        <v/>
      </c>
      <c r="AT961">
        <f>AS961-AR961</f>
        <v/>
      </c>
      <c r="AU961">
        <f>RAND()</f>
        <v/>
      </c>
      <c r="AV961">
        <f>RAND()</f>
        <v/>
      </c>
      <c r="AW961">
        <f>RAND()</f>
        <v/>
      </c>
      <c r="AX961">
        <f>RAND()</f>
        <v/>
      </c>
      <c r="AY961">
        <f>RAND()</f>
        <v/>
      </c>
      <c r="AZ961">
        <f>RAND()</f>
        <v/>
      </c>
    </row>
    <row r="962">
      <c r="AK962" t="n">
        <v>949</v>
      </c>
      <c r="AL962">
        <f>IFERROR(IF(AU962&lt;($AM$6-$AL$6)/($AN$6-$AL$6),$AL$6+SQRT(AU962*($AN$6-$AL$6)*($AM$6-$AL$6)),$AN$6-SQRT((1-AU962)*($AN$6-$AL$6)*($AN$6-$AM$6))),$AM$6)</f>
        <v/>
      </c>
      <c r="AM962">
        <f>IFERROR(IF(AV962&lt;($AM$7-$AL$7)/($AN$7-$AL$7),$AL$7+SQRT(AV962*($AN$7-$AL$7)*($AM$7-$AL$7)),$AN$7-SQRT((1-AV962)*($AN$7-$AL$7)*($AN$7-$AM$7))),$AM$7)</f>
        <v/>
      </c>
      <c r="AN962">
        <f>IFERROR(IF(AW962&lt;($AM$8-$AL$8)/($AN$8-$AL$8),$AL$8+SQRT(AW962*($AN$8-$AL$8)*($AM$8-$AL$8)),$AN$8-SQRT((1-AW962)*($AN$8-$AL$8)*($AN$8-$AM$8))),$AM$8)</f>
        <v/>
      </c>
      <c r="AO962">
        <f>IFERROR(IF(AX962&lt;($AM$9-$AL$9)/($AN$9-$AL$9),$AL$9+SQRT(AX962*($AN$9-$AL$9)*($AM$9-$AL$9)),$AN$9-SQRT((1-AX962)*($AN$9-$AL$9)*($AN$9-$AM$9))),$AM$9)</f>
        <v/>
      </c>
      <c r="AP962">
        <f>IFERROR(IF(AY962&lt;($AM$10-$AL$10)/($AN$10-$AL$10),$AL$10+SQRT(AY962*($AN$10-$AL$10)*($AM$10-$AL$10)),$AN$10-SQRT((1-AY962)*($AN$10-$AL$10)*($AN$10-$AM$10))),$AM$10)</f>
        <v/>
      </c>
      <c r="AQ962">
        <f>IFERROR(IF(AZ962&lt;($AM$11-$AL$11)/($AN$11-$AL$11),$AL$11+SQRT(AZ962*($AN$11-$AL$11)*($AM$11-$AL$11)),$AN$11-SQRT((1-AZ962)*($AN$11-$AL$11)*($AN$11-$AM$11))),$AM$11)</f>
        <v/>
      </c>
      <c r="AR962">
        <f>SUMPRODUCT((B24:B31&lt;=$B$6)*(C24:C31*AM962+D24:D31*AO962*$B$8*AQ962)/(1+AL962/100)^B24:B31)+C32*AM962*AP962/(1+AL962/100)^$B$6</f>
        <v/>
      </c>
      <c r="AS962">
        <f>SUMPRODUCT((K24:K26&lt;=$B$6)*(L24:L26*AN962+M24:M26*AO962*$B$8*AQ962)/(1+AL962/100)^K24:K26)+L27*AN962*AP962/(1+AL962/100)^$B$6</f>
        <v/>
      </c>
      <c r="AT962">
        <f>AS962-AR962</f>
        <v/>
      </c>
      <c r="AU962">
        <f>RAND()</f>
        <v/>
      </c>
      <c r="AV962">
        <f>RAND()</f>
        <v/>
      </c>
      <c r="AW962">
        <f>RAND()</f>
        <v/>
      </c>
      <c r="AX962">
        <f>RAND()</f>
        <v/>
      </c>
      <c r="AY962">
        <f>RAND()</f>
        <v/>
      </c>
      <c r="AZ962">
        <f>RAND()</f>
        <v/>
      </c>
    </row>
    <row r="963">
      <c r="AK963" t="n">
        <v>950</v>
      </c>
      <c r="AL963">
        <f>IFERROR(IF(AU963&lt;($AM$6-$AL$6)/($AN$6-$AL$6),$AL$6+SQRT(AU963*($AN$6-$AL$6)*($AM$6-$AL$6)),$AN$6-SQRT((1-AU963)*($AN$6-$AL$6)*($AN$6-$AM$6))),$AM$6)</f>
        <v/>
      </c>
      <c r="AM963">
        <f>IFERROR(IF(AV963&lt;($AM$7-$AL$7)/($AN$7-$AL$7),$AL$7+SQRT(AV963*($AN$7-$AL$7)*($AM$7-$AL$7)),$AN$7-SQRT((1-AV963)*($AN$7-$AL$7)*($AN$7-$AM$7))),$AM$7)</f>
        <v/>
      </c>
      <c r="AN963">
        <f>IFERROR(IF(AW963&lt;($AM$8-$AL$8)/($AN$8-$AL$8),$AL$8+SQRT(AW963*($AN$8-$AL$8)*($AM$8-$AL$8)),$AN$8-SQRT((1-AW963)*($AN$8-$AL$8)*($AN$8-$AM$8))),$AM$8)</f>
        <v/>
      </c>
      <c r="AO963">
        <f>IFERROR(IF(AX963&lt;($AM$9-$AL$9)/($AN$9-$AL$9),$AL$9+SQRT(AX963*($AN$9-$AL$9)*($AM$9-$AL$9)),$AN$9-SQRT((1-AX963)*($AN$9-$AL$9)*($AN$9-$AM$9))),$AM$9)</f>
        <v/>
      </c>
      <c r="AP963">
        <f>IFERROR(IF(AY963&lt;($AM$10-$AL$10)/($AN$10-$AL$10),$AL$10+SQRT(AY963*($AN$10-$AL$10)*($AM$10-$AL$10)),$AN$10-SQRT((1-AY963)*($AN$10-$AL$10)*($AN$10-$AM$10))),$AM$10)</f>
        <v/>
      </c>
      <c r="AQ963">
        <f>IFERROR(IF(AZ963&lt;($AM$11-$AL$11)/($AN$11-$AL$11),$AL$11+SQRT(AZ963*($AN$11-$AL$11)*($AM$11-$AL$11)),$AN$11-SQRT((1-AZ963)*($AN$11-$AL$11)*($AN$11-$AM$11))),$AM$11)</f>
        <v/>
      </c>
      <c r="AR963">
        <f>SUMPRODUCT((B24:B31&lt;=$B$6)*(C24:C31*AM963+D24:D31*AO963*$B$8*AQ963)/(1+AL963/100)^B24:B31)+C32*AM963*AP963/(1+AL963/100)^$B$6</f>
        <v/>
      </c>
      <c r="AS963">
        <f>SUMPRODUCT((K24:K26&lt;=$B$6)*(L24:L26*AN963+M24:M26*AO963*$B$8*AQ963)/(1+AL963/100)^K24:K26)+L27*AN963*AP963/(1+AL963/100)^$B$6</f>
        <v/>
      </c>
      <c r="AT963">
        <f>AS963-AR963</f>
        <v/>
      </c>
      <c r="AU963">
        <f>RAND()</f>
        <v/>
      </c>
      <c r="AV963">
        <f>RAND()</f>
        <v/>
      </c>
      <c r="AW963">
        <f>RAND()</f>
        <v/>
      </c>
      <c r="AX963">
        <f>RAND()</f>
        <v/>
      </c>
      <c r="AY963">
        <f>RAND()</f>
        <v/>
      </c>
      <c r="AZ963">
        <f>RAND()</f>
        <v/>
      </c>
    </row>
    <row r="964">
      <c r="AK964" t="n">
        <v>951</v>
      </c>
      <c r="AL964">
        <f>IFERROR(IF(AU964&lt;($AM$6-$AL$6)/($AN$6-$AL$6),$AL$6+SQRT(AU964*($AN$6-$AL$6)*($AM$6-$AL$6)),$AN$6-SQRT((1-AU964)*($AN$6-$AL$6)*($AN$6-$AM$6))),$AM$6)</f>
        <v/>
      </c>
      <c r="AM964">
        <f>IFERROR(IF(AV964&lt;($AM$7-$AL$7)/($AN$7-$AL$7),$AL$7+SQRT(AV964*($AN$7-$AL$7)*($AM$7-$AL$7)),$AN$7-SQRT((1-AV964)*($AN$7-$AL$7)*($AN$7-$AM$7))),$AM$7)</f>
        <v/>
      </c>
      <c r="AN964">
        <f>IFERROR(IF(AW964&lt;($AM$8-$AL$8)/($AN$8-$AL$8),$AL$8+SQRT(AW964*($AN$8-$AL$8)*($AM$8-$AL$8)),$AN$8-SQRT((1-AW964)*($AN$8-$AL$8)*($AN$8-$AM$8))),$AM$8)</f>
        <v/>
      </c>
      <c r="AO964">
        <f>IFERROR(IF(AX964&lt;($AM$9-$AL$9)/($AN$9-$AL$9),$AL$9+SQRT(AX964*($AN$9-$AL$9)*($AM$9-$AL$9)),$AN$9-SQRT((1-AX964)*($AN$9-$AL$9)*($AN$9-$AM$9))),$AM$9)</f>
        <v/>
      </c>
      <c r="AP964">
        <f>IFERROR(IF(AY964&lt;($AM$10-$AL$10)/($AN$10-$AL$10),$AL$10+SQRT(AY964*($AN$10-$AL$10)*($AM$10-$AL$10)),$AN$10-SQRT((1-AY964)*($AN$10-$AL$10)*($AN$10-$AM$10))),$AM$10)</f>
        <v/>
      </c>
      <c r="AQ964">
        <f>IFERROR(IF(AZ964&lt;($AM$11-$AL$11)/($AN$11-$AL$11),$AL$11+SQRT(AZ964*($AN$11-$AL$11)*($AM$11-$AL$11)),$AN$11-SQRT((1-AZ964)*($AN$11-$AL$11)*($AN$11-$AM$11))),$AM$11)</f>
        <v/>
      </c>
      <c r="AR964">
        <f>SUMPRODUCT((B24:B31&lt;=$B$6)*(C24:C31*AM964+D24:D31*AO964*$B$8*AQ964)/(1+AL964/100)^B24:B31)+C32*AM964*AP964/(1+AL964/100)^$B$6</f>
        <v/>
      </c>
      <c r="AS964">
        <f>SUMPRODUCT((K24:K26&lt;=$B$6)*(L24:L26*AN964+M24:M26*AO964*$B$8*AQ964)/(1+AL964/100)^K24:K26)+L27*AN964*AP964/(1+AL964/100)^$B$6</f>
        <v/>
      </c>
      <c r="AT964">
        <f>AS964-AR964</f>
        <v/>
      </c>
      <c r="AU964">
        <f>RAND()</f>
        <v/>
      </c>
      <c r="AV964">
        <f>RAND()</f>
        <v/>
      </c>
      <c r="AW964">
        <f>RAND()</f>
        <v/>
      </c>
      <c r="AX964">
        <f>RAND()</f>
        <v/>
      </c>
      <c r="AY964">
        <f>RAND()</f>
        <v/>
      </c>
      <c r="AZ964">
        <f>RAND()</f>
        <v/>
      </c>
    </row>
    <row r="965">
      <c r="AK965" t="n">
        <v>952</v>
      </c>
      <c r="AL965">
        <f>IFERROR(IF(AU965&lt;($AM$6-$AL$6)/($AN$6-$AL$6),$AL$6+SQRT(AU965*($AN$6-$AL$6)*($AM$6-$AL$6)),$AN$6-SQRT((1-AU965)*($AN$6-$AL$6)*($AN$6-$AM$6))),$AM$6)</f>
        <v/>
      </c>
      <c r="AM965">
        <f>IFERROR(IF(AV965&lt;($AM$7-$AL$7)/($AN$7-$AL$7),$AL$7+SQRT(AV965*($AN$7-$AL$7)*($AM$7-$AL$7)),$AN$7-SQRT((1-AV965)*($AN$7-$AL$7)*($AN$7-$AM$7))),$AM$7)</f>
        <v/>
      </c>
      <c r="AN965">
        <f>IFERROR(IF(AW965&lt;($AM$8-$AL$8)/($AN$8-$AL$8),$AL$8+SQRT(AW965*($AN$8-$AL$8)*($AM$8-$AL$8)),$AN$8-SQRT((1-AW965)*($AN$8-$AL$8)*($AN$8-$AM$8))),$AM$8)</f>
        <v/>
      </c>
      <c r="AO965">
        <f>IFERROR(IF(AX965&lt;($AM$9-$AL$9)/($AN$9-$AL$9),$AL$9+SQRT(AX965*($AN$9-$AL$9)*($AM$9-$AL$9)),$AN$9-SQRT((1-AX965)*($AN$9-$AL$9)*($AN$9-$AM$9))),$AM$9)</f>
        <v/>
      </c>
      <c r="AP965">
        <f>IFERROR(IF(AY965&lt;($AM$10-$AL$10)/($AN$10-$AL$10),$AL$10+SQRT(AY965*($AN$10-$AL$10)*($AM$10-$AL$10)),$AN$10-SQRT((1-AY965)*($AN$10-$AL$10)*($AN$10-$AM$10))),$AM$10)</f>
        <v/>
      </c>
      <c r="AQ965">
        <f>IFERROR(IF(AZ965&lt;($AM$11-$AL$11)/($AN$11-$AL$11),$AL$11+SQRT(AZ965*($AN$11-$AL$11)*($AM$11-$AL$11)),$AN$11-SQRT((1-AZ965)*($AN$11-$AL$11)*($AN$11-$AM$11))),$AM$11)</f>
        <v/>
      </c>
      <c r="AR965">
        <f>SUMPRODUCT((B24:B31&lt;=$B$6)*(C24:C31*AM965+D24:D31*AO965*$B$8*AQ965)/(1+AL965/100)^B24:B31)+C32*AM965*AP965/(1+AL965/100)^$B$6</f>
        <v/>
      </c>
      <c r="AS965">
        <f>SUMPRODUCT((K24:K26&lt;=$B$6)*(L24:L26*AN965+M24:M26*AO965*$B$8*AQ965)/(1+AL965/100)^K24:K26)+L27*AN965*AP965/(1+AL965/100)^$B$6</f>
        <v/>
      </c>
      <c r="AT965">
        <f>AS965-AR965</f>
        <v/>
      </c>
      <c r="AU965">
        <f>RAND()</f>
        <v/>
      </c>
      <c r="AV965">
        <f>RAND()</f>
        <v/>
      </c>
      <c r="AW965">
        <f>RAND()</f>
        <v/>
      </c>
      <c r="AX965">
        <f>RAND()</f>
        <v/>
      </c>
      <c r="AY965">
        <f>RAND()</f>
        <v/>
      </c>
      <c r="AZ965">
        <f>RAND()</f>
        <v/>
      </c>
    </row>
    <row r="966">
      <c r="AK966" t="n">
        <v>953</v>
      </c>
      <c r="AL966">
        <f>IFERROR(IF(AU966&lt;($AM$6-$AL$6)/($AN$6-$AL$6),$AL$6+SQRT(AU966*($AN$6-$AL$6)*($AM$6-$AL$6)),$AN$6-SQRT((1-AU966)*($AN$6-$AL$6)*($AN$6-$AM$6))),$AM$6)</f>
        <v/>
      </c>
      <c r="AM966">
        <f>IFERROR(IF(AV966&lt;($AM$7-$AL$7)/($AN$7-$AL$7),$AL$7+SQRT(AV966*($AN$7-$AL$7)*($AM$7-$AL$7)),$AN$7-SQRT((1-AV966)*($AN$7-$AL$7)*($AN$7-$AM$7))),$AM$7)</f>
        <v/>
      </c>
      <c r="AN966">
        <f>IFERROR(IF(AW966&lt;($AM$8-$AL$8)/($AN$8-$AL$8),$AL$8+SQRT(AW966*($AN$8-$AL$8)*($AM$8-$AL$8)),$AN$8-SQRT((1-AW966)*($AN$8-$AL$8)*($AN$8-$AM$8))),$AM$8)</f>
        <v/>
      </c>
      <c r="AO966">
        <f>IFERROR(IF(AX966&lt;($AM$9-$AL$9)/($AN$9-$AL$9),$AL$9+SQRT(AX966*($AN$9-$AL$9)*($AM$9-$AL$9)),$AN$9-SQRT((1-AX966)*($AN$9-$AL$9)*($AN$9-$AM$9))),$AM$9)</f>
        <v/>
      </c>
      <c r="AP966">
        <f>IFERROR(IF(AY966&lt;($AM$10-$AL$10)/($AN$10-$AL$10),$AL$10+SQRT(AY966*($AN$10-$AL$10)*($AM$10-$AL$10)),$AN$10-SQRT((1-AY966)*($AN$10-$AL$10)*($AN$10-$AM$10))),$AM$10)</f>
        <v/>
      </c>
      <c r="AQ966">
        <f>IFERROR(IF(AZ966&lt;($AM$11-$AL$11)/($AN$11-$AL$11),$AL$11+SQRT(AZ966*($AN$11-$AL$11)*($AM$11-$AL$11)),$AN$11-SQRT((1-AZ966)*($AN$11-$AL$11)*($AN$11-$AM$11))),$AM$11)</f>
        <v/>
      </c>
      <c r="AR966">
        <f>SUMPRODUCT((B24:B31&lt;=$B$6)*(C24:C31*AM966+D24:D31*AO966*$B$8*AQ966)/(1+AL966/100)^B24:B31)+C32*AM966*AP966/(1+AL966/100)^$B$6</f>
        <v/>
      </c>
      <c r="AS966">
        <f>SUMPRODUCT((K24:K26&lt;=$B$6)*(L24:L26*AN966+M24:M26*AO966*$B$8*AQ966)/(1+AL966/100)^K24:K26)+L27*AN966*AP966/(1+AL966/100)^$B$6</f>
        <v/>
      </c>
      <c r="AT966">
        <f>AS966-AR966</f>
        <v/>
      </c>
      <c r="AU966">
        <f>RAND()</f>
        <v/>
      </c>
      <c r="AV966">
        <f>RAND()</f>
        <v/>
      </c>
      <c r="AW966">
        <f>RAND()</f>
        <v/>
      </c>
      <c r="AX966">
        <f>RAND()</f>
        <v/>
      </c>
      <c r="AY966">
        <f>RAND()</f>
        <v/>
      </c>
      <c r="AZ966">
        <f>RAND()</f>
        <v/>
      </c>
    </row>
    <row r="967">
      <c r="AK967" t="n">
        <v>954</v>
      </c>
      <c r="AL967">
        <f>IFERROR(IF(AU967&lt;($AM$6-$AL$6)/($AN$6-$AL$6),$AL$6+SQRT(AU967*($AN$6-$AL$6)*($AM$6-$AL$6)),$AN$6-SQRT((1-AU967)*($AN$6-$AL$6)*($AN$6-$AM$6))),$AM$6)</f>
        <v/>
      </c>
      <c r="AM967">
        <f>IFERROR(IF(AV967&lt;($AM$7-$AL$7)/($AN$7-$AL$7),$AL$7+SQRT(AV967*($AN$7-$AL$7)*($AM$7-$AL$7)),$AN$7-SQRT((1-AV967)*($AN$7-$AL$7)*($AN$7-$AM$7))),$AM$7)</f>
        <v/>
      </c>
      <c r="AN967">
        <f>IFERROR(IF(AW967&lt;($AM$8-$AL$8)/($AN$8-$AL$8),$AL$8+SQRT(AW967*($AN$8-$AL$8)*($AM$8-$AL$8)),$AN$8-SQRT((1-AW967)*($AN$8-$AL$8)*($AN$8-$AM$8))),$AM$8)</f>
        <v/>
      </c>
      <c r="AO967">
        <f>IFERROR(IF(AX967&lt;($AM$9-$AL$9)/($AN$9-$AL$9),$AL$9+SQRT(AX967*($AN$9-$AL$9)*($AM$9-$AL$9)),$AN$9-SQRT((1-AX967)*($AN$9-$AL$9)*($AN$9-$AM$9))),$AM$9)</f>
        <v/>
      </c>
      <c r="AP967">
        <f>IFERROR(IF(AY967&lt;($AM$10-$AL$10)/($AN$10-$AL$10),$AL$10+SQRT(AY967*($AN$10-$AL$10)*($AM$10-$AL$10)),$AN$10-SQRT((1-AY967)*($AN$10-$AL$10)*($AN$10-$AM$10))),$AM$10)</f>
        <v/>
      </c>
      <c r="AQ967">
        <f>IFERROR(IF(AZ967&lt;($AM$11-$AL$11)/($AN$11-$AL$11),$AL$11+SQRT(AZ967*($AN$11-$AL$11)*($AM$11-$AL$11)),$AN$11-SQRT((1-AZ967)*($AN$11-$AL$11)*($AN$11-$AM$11))),$AM$11)</f>
        <v/>
      </c>
      <c r="AR967">
        <f>SUMPRODUCT((B24:B31&lt;=$B$6)*(C24:C31*AM967+D24:D31*AO967*$B$8*AQ967)/(1+AL967/100)^B24:B31)+C32*AM967*AP967/(1+AL967/100)^$B$6</f>
        <v/>
      </c>
      <c r="AS967">
        <f>SUMPRODUCT((K24:K26&lt;=$B$6)*(L24:L26*AN967+M24:M26*AO967*$B$8*AQ967)/(1+AL967/100)^K24:K26)+L27*AN967*AP967/(1+AL967/100)^$B$6</f>
        <v/>
      </c>
      <c r="AT967">
        <f>AS967-AR967</f>
        <v/>
      </c>
      <c r="AU967">
        <f>RAND()</f>
        <v/>
      </c>
      <c r="AV967">
        <f>RAND()</f>
        <v/>
      </c>
      <c r="AW967">
        <f>RAND()</f>
        <v/>
      </c>
      <c r="AX967">
        <f>RAND()</f>
        <v/>
      </c>
      <c r="AY967">
        <f>RAND()</f>
        <v/>
      </c>
      <c r="AZ967">
        <f>RAND()</f>
        <v/>
      </c>
    </row>
    <row r="968">
      <c r="AK968" t="n">
        <v>955</v>
      </c>
      <c r="AL968">
        <f>IFERROR(IF(AU968&lt;($AM$6-$AL$6)/($AN$6-$AL$6),$AL$6+SQRT(AU968*($AN$6-$AL$6)*($AM$6-$AL$6)),$AN$6-SQRT((1-AU968)*($AN$6-$AL$6)*($AN$6-$AM$6))),$AM$6)</f>
        <v/>
      </c>
      <c r="AM968">
        <f>IFERROR(IF(AV968&lt;($AM$7-$AL$7)/($AN$7-$AL$7),$AL$7+SQRT(AV968*($AN$7-$AL$7)*($AM$7-$AL$7)),$AN$7-SQRT((1-AV968)*($AN$7-$AL$7)*($AN$7-$AM$7))),$AM$7)</f>
        <v/>
      </c>
      <c r="AN968">
        <f>IFERROR(IF(AW968&lt;($AM$8-$AL$8)/($AN$8-$AL$8),$AL$8+SQRT(AW968*($AN$8-$AL$8)*($AM$8-$AL$8)),$AN$8-SQRT((1-AW968)*($AN$8-$AL$8)*($AN$8-$AM$8))),$AM$8)</f>
        <v/>
      </c>
      <c r="AO968">
        <f>IFERROR(IF(AX968&lt;($AM$9-$AL$9)/($AN$9-$AL$9),$AL$9+SQRT(AX968*($AN$9-$AL$9)*($AM$9-$AL$9)),$AN$9-SQRT((1-AX968)*($AN$9-$AL$9)*($AN$9-$AM$9))),$AM$9)</f>
        <v/>
      </c>
      <c r="AP968">
        <f>IFERROR(IF(AY968&lt;($AM$10-$AL$10)/($AN$10-$AL$10),$AL$10+SQRT(AY968*($AN$10-$AL$10)*($AM$10-$AL$10)),$AN$10-SQRT((1-AY968)*($AN$10-$AL$10)*($AN$10-$AM$10))),$AM$10)</f>
        <v/>
      </c>
      <c r="AQ968">
        <f>IFERROR(IF(AZ968&lt;($AM$11-$AL$11)/($AN$11-$AL$11),$AL$11+SQRT(AZ968*($AN$11-$AL$11)*($AM$11-$AL$11)),$AN$11-SQRT((1-AZ968)*($AN$11-$AL$11)*($AN$11-$AM$11))),$AM$11)</f>
        <v/>
      </c>
      <c r="AR968">
        <f>SUMPRODUCT((B24:B31&lt;=$B$6)*(C24:C31*AM968+D24:D31*AO968*$B$8*AQ968)/(1+AL968/100)^B24:B31)+C32*AM968*AP968/(1+AL968/100)^$B$6</f>
        <v/>
      </c>
      <c r="AS968">
        <f>SUMPRODUCT((K24:K26&lt;=$B$6)*(L24:L26*AN968+M24:M26*AO968*$B$8*AQ968)/(1+AL968/100)^K24:K26)+L27*AN968*AP968/(1+AL968/100)^$B$6</f>
        <v/>
      </c>
      <c r="AT968">
        <f>AS968-AR968</f>
        <v/>
      </c>
      <c r="AU968">
        <f>RAND()</f>
        <v/>
      </c>
      <c r="AV968">
        <f>RAND()</f>
        <v/>
      </c>
      <c r="AW968">
        <f>RAND()</f>
        <v/>
      </c>
      <c r="AX968">
        <f>RAND()</f>
        <v/>
      </c>
      <c r="AY968">
        <f>RAND()</f>
        <v/>
      </c>
      <c r="AZ968">
        <f>RAND()</f>
        <v/>
      </c>
    </row>
    <row r="969">
      <c r="AK969" t="n">
        <v>956</v>
      </c>
      <c r="AL969">
        <f>IFERROR(IF(AU969&lt;($AM$6-$AL$6)/($AN$6-$AL$6),$AL$6+SQRT(AU969*($AN$6-$AL$6)*($AM$6-$AL$6)),$AN$6-SQRT((1-AU969)*($AN$6-$AL$6)*($AN$6-$AM$6))),$AM$6)</f>
        <v/>
      </c>
      <c r="AM969">
        <f>IFERROR(IF(AV969&lt;($AM$7-$AL$7)/($AN$7-$AL$7),$AL$7+SQRT(AV969*($AN$7-$AL$7)*($AM$7-$AL$7)),$AN$7-SQRT((1-AV969)*($AN$7-$AL$7)*($AN$7-$AM$7))),$AM$7)</f>
        <v/>
      </c>
      <c r="AN969">
        <f>IFERROR(IF(AW969&lt;($AM$8-$AL$8)/($AN$8-$AL$8),$AL$8+SQRT(AW969*($AN$8-$AL$8)*($AM$8-$AL$8)),$AN$8-SQRT((1-AW969)*($AN$8-$AL$8)*($AN$8-$AM$8))),$AM$8)</f>
        <v/>
      </c>
      <c r="AO969">
        <f>IFERROR(IF(AX969&lt;($AM$9-$AL$9)/($AN$9-$AL$9),$AL$9+SQRT(AX969*($AN$9-$AL$9)*($AM$9-$AL$9)),$AN$9-SQRT((1-AX969)*($AN$9-$AL$9)*($AN$9-$AM$9))),$AM$9)</f>
        <v/>
      </c>
      <c r="AP969">
        <f>IFERROR(IF(AY969&lt;($AM$10-$AL$10)/($AN$10-$AL$10),$AL$10+SQRT(AY969*($AN$10-$AL$10)*($AM$10-$AL$10)),$AN$10-SQRT((1-AY969)*($AN$10-$AL$10)*($AN$10-$AM$10))),$AM$10)</f>
        <v/>
      </c>
      <c r="AQ969">
        <f>IFERROR(IF(AZ969&lt;($AM$11-$AL$11)/($AN$11-$AL$11),$AL$11+SQRT(AZ969*($AN$11-$AL$11)*($AM$11-$AL$11)),$AN$11-SQRT((1-AZ969)*($AN$11-$AL$11)*($AN$11-$AM$11))),$AM$11)</f>
        <v/>
      </c>
      <c r="AR969">
        <f>SUMPRODUCT((B24:B31&lt;=$B$6)*(C24:C31*AM969+D24:D31*AO969*$B$8*AQ969)/(1+AL969/100)^B24:B31)+C32*AM969*AP969/(1+AL969/100)^$B$6</f>
        <v/>
      </c>
      <c r="AS969">
        <f>SUMPRODUCT((K24:K26&lt;=$B$6)*(L24:L26*AN969+M24:M26*AO969*$B$8*AQ969)/(1+AL969/100)^K24:K26)+L27*AN969*AP969/(1+AL969/100)^$B$6</f>
        <v/>
      </c>
      <c r="AT969">
        <f>AS969-AR969</f>
        <v/>
      </c>
      <c r="AU969">
        <f>RAND()</f>
        <v/>
      </c>
      <c r="AV969">
        <f>RAND()</f>
        <v/>
      </c>
      <c r="AW969">
        <f>RAND()</f>
        <v/>
      </c>
      <c r="AX969">
        <f>RAND()</f>
        <v/>
      </c>
      <c r="AY969">
        <f>RAND()</f>
        <v/>
      </c>
      <c r="AZ969">
        <f>RAND()</f>
        <v/>
      </c>
    </row>
    <row r="970">
      <c r="AK970" t="n">
        <v>957</v>
      </c>
      <c r="AL970">
        <f>IFERROR(IF(AU970&lt;($AM$6-$AL$6)/($AN$6-$AL$6),$AL$6+SQRT(AU970*($AN$6-$AL$6)*($AM$6-$AL$6)),$AN$6-SQRT((1-AU970)*($AN$6-$AL$6)*($AN$6-$AM$6))),$AM$6)</f>
        <v/>
      </c>
      <c r="AM970">
        <f>IFERROR(IF(AV970&lt;($AM$7-$AL$7)/($AN$7-$AL$7),$AL$7+SQRT(AV970*($AN$7-$AL$7)*($AM$7-$AL$7)),$AN$7-SQRT((1-AV970)*($AN$7-$AL$7)*($AN$7-$AM$7))),$AM$7)</f>
        <v/>
      </c>
      <c r="AN970">
        <f>IFERROR(IF(AW970&lt;($AM$8-$AL$8)/($AN$8-$AL$8),$AL$8+SQRT(AW970*($AN$8-$AL$8)*($AM$8-$AL$8)),$AN$8-SQRT((1-AW970)*($AN$8-$AL$8)*($AN$8-$AM$8))),$AM$8)</f>
        <v/>
      </c>
      <c r="AO970">
        <f>IFERROR(IF(AX970&lt;($AM$9-$AL$9)/($AN$9-$AL$9),$AL$9+SQRT(AX970*($AN$9-$AL$9)*($AM$9-$AL$9)),$AN$9-SQRT((1-AX970)*($AN$9-$AL$9)*($AN$9-$AM$9))),$AM$9)</f>
        <v/>
      </c>
      <c r="AP970">
        <f>IFERROR(IF(AY970&lt;($AM$10-$AL$10)/($AN$10-$AL$10),$AL$10+SQRT(AY970*($AN$10-$AL$10)*($AM$10-$AL$10)),$AN$10-SQRT((1-AY970)*($AN$10-$AL$10)*($AN$10-$AM$10))),$AM$10)</f>
        <v/>
      </c>
      <c r="AQ970">
        <f>IFERROR(IF(AZ970&lt;($AM$11-$AL$11)/($AN$11-$AL$11),$AL$11+SQRT(AZ970*($AN$11-$AL$11)*($AM$11-$AL$11)),$AN$11-SQRT((1-AZ970)*($AN$11-$AL$11)*($AN$11-$AM$11))),$AM$11)</f>
        <v/>
      </c>
      <c r="AR970">
        <f>SUMPRODUCT((B24:B31&lt;=$B$6)*(C24:C31*AM970+D24:D31*AO970*$B$8*AQ970)/(1+AL970/100)^B24:B31)+C32*AM970*AP970/(1+AL970/100)^$B$6</f>
        <v/>
      </c>
      <c r="AS970">
        <f>SUMPRODUCT((K24:K26&lt;=$B$6)*(L24:L26*AN970+M24:M26*AO970*$B$8*AQ970)/(1+AL970/100)^K24:K26)+L27*AN970*AP970/(1+AL970/100)^$B$6</f>
        <v/>
      </c>
      <c r="AT970">
        <f>AS970-AR970</f>
        <v/>
      </c>
      <c r="AU970">
        <f>RAND()</f>
        <v/>
      </c>
      <c r="AV970">
        <f>RAND()</f>
        <v/>
      </c>
      <c r="AW970">
        <f>RAND()</f>
        <v/>
      </c>
      <c r="AX970">
        <f>RAND()</f>
        <v/>
      </c>
      <c r="AY970">
        <f>RAND()</f>
        <v/>
      </c>
      <c r="AZ970">
        <f>RAND()</f>
        <v/>
      </c>
    </row>
    <row r="971">
      <c r="AK971" t="n">
        <v>958</v>
      </c>
      <c r="AL971">
        <f>IFERROR(IF(AU971&lt;($AM$6-$AL$6)/($AN$6-$AL$6),$AL$6+SQRT(AU971*($AN$6-$AL$6)*($AM$6-$AL$6)),$AN$6-SQRT((1-AU971)*($AN$6-$AL$6)*($AN$6-$AM$6))),$AM$6)</f>
        <v/>
      </c>
      <c r="AM971">
        <f>IFERROR(IF(AV971&lt;($AM$7-$AL$7)/($AN$7-$AL$7),$AL$7+SQRT(AV971*($AN$7-$AL$7)*($AM$7-$AL$7)),$AN$7-SQRT((1-AV971)*($AN$7-$AL$7)*($AN$7-$AM$7))),$AM$7)</f>
        <v/>
      </c>
      <c r="AN971">
        <f>IFERROR(IF(AW971&lt;($AM$8-$AL$8)/($AN$8-$AL$8),$AL$8+SQRT(AW971*($AN$8-$AL$8)*($AM$8-$AL$8)),$AN$8-SQRT((1-AW971)*($AN$8-$AL$8)*($AN$8-$AM$8))),$AM$8)</f>
        <v/>
      </c>
      <c r="AO971">
        <f>IFERROR(IF(AX971&lt;($AM$9-$AL$9)/($AN$9-$AL$9),$AL$9+SQRT(AX971*($AN$9-$AL$9)*($AM$9-$AL$9)),$AN$9-SQRT((1-AX971)*($AN$9-$AL$9)*($AN$9-$AM$9))),$AM$9)</f>
        <v/>
      </c>
      <c r="AP971">
        <f>IFERROR(IF(AY971&lt;($AM$10-$AL$10)/($AN$10-$AL$10),$AL$10+SQRT(AY971*($AN$10-$AL$10)*($AM$10-$AL$10)),$AN$10-SQRT((1-AY971)*($AN$10-$AL$10)*($AN$10-$AM$10))),$AM$10)</f>
        <v/>
      </c>
      <c r="AQ971">
        <f>IFERROR(IF(AZ971&lt;($AM$11-$AL$11)/($AN$11-$AL$11),$AL$11+SQRT(AZ971*($AN$11-$AL$11)*($AM$11-$AL$11)),$AN$11-SQRT((1-AZ971)*($AN$11-$AL$11)*($AN$11-$AM$11))),$AM$11)</f>
        <v/>
      </c>
      <c r="AR971">
        <f>SUMPRODUCT((B24:B31&lt;=$B$6)*(C24:C31*AM971+D24:D31*AO971*$B$8*AQ971)/(1+AL971/100)^B24:B31)+C32*AM971*AP971/(1+AL971/100)^$B$6</f>
        <v/>
      </c>
      <c r="AS971">
        <f>SUMPRODUCT((K24:K26&lt;=$B$6)*(L24:L26*AN971+M24:M26*AO971*$B$8*AQ971)/(1+AL971/100)^K24:K26)+L27*AN971*AP971/(1+AL971/100)^$B$6</f>
        <v/>
      </c>
      <c r="AT971">
        <f>AS971-AR971</f>
        <v/>
      </c>
      <c r="AU971">
        <f>RAND()</f>
        <v/>
      </c>
      <c r="AV971">
        <f>RAND()</f>
        <v/>
      </c>
      <c r="AW971">
        <f>RAND()</f>
        <v/>
      </c>
      <c r="AX971">
        <f>RAND()</f>
        <v/>
      </c>
      <c r="AY971">
        <f>RAND()</f>
        <v/>
      </c>
      <c r="AZ971">
        <f>RAND()</f>
        <v/>
      </c>
    </row>
    <row r="972">
      <c r="AK972" t="n">
        <v>959</v>
      </c>
      <c r="AL972">
        <f>IFERROR(IF(AU972&lt;($AM$6-$AL$6)/($AN$6-$AL$6),$AL$6+SQRT(AU972*($AN$6-$AL$6)*($AM$6-$AL$6)),$AN$6-SQRT((1-AU972)*($AN$6-$AL$6)*($AN$6-$AM$6))),$AM$6)</f>
        <v/>
      </c>
      <c r="AM972">
        <f>IFERROR(IF(AV972&lt;($AM$7-$AL$7)/($AN$7-$AL$7),$AL$7+SQRT(AV972*($AN$7-$AL$7)*($AM$7-$AL$7)),$AN$7-SQRT((1-AV972)*($AN$7-$AL$7)*($AN$7-$AM$7))),$AM$7)</f>
        <v/>
      </c>
      <c r="AN972">
        <f>IFERROR(IF(AW972&lt;($AM$8-$AL$8)/($AN$8-$AL$8),$AL$8+SQRT(AW972*($AN$8-$AL$8)*($AM$8-$AL$8)),$AN$8-SQRT((1-AW972)*($AN$8-$AL$8)*($AN$8-$AM$8))),$AM$8)</f>
        <v/>
      </c>
      <c r="AO972">
        <f>IFERROR(IF(AX972&lt;($AM$9-$AL$9)/($AN$9-$AL$9),$AL$9+SQRT(AX972*($AN$9-$AL$9)*($AM$9-$AL$9)),$AN$9-SQRT((1-AX972)*($AN$9-$AL$9)*($AN$9-$AM$9))),$AM$9)</f>
        <v/>
      </c>
      <c r="AP972">
        <f>IFERROR(IF(AY972&lt;($AM$10-$AL$10)/($AN$10-$AL$10),$AL$10+SQRT(AY972*($AN$10-$AL$10)*($AM$10-$AL$10)),$AN$10-SQRT((1-AY972)*($AN$10-$AL$10)*($AN$10-$AM$10))),$AM$10)</f>
        <v/>
      </c>
      <c r="AQ972">
        <f>IFERROR(IF(AZ972&lt;($AM$11-$AL$11)/($AN$11-$AL$11),$AL$11+SQRT(AZ972*($AN$11-$AL$11)*($AM$11-$AL$11)),$AN$11-SQRT((1-AZ972)*($AN$11-$AL$11)*($AN$11-$AM$11))),$AM$11)</f>
        <v/>
      </c>
      <c r="AR972">
        <f>SUMPRODUCT((B24:B31&lt;=$B$6)*(C24:C31*AM972+D24:D31*AO972*$B$8*AQ972)/(1+AL972/100)^B24:B31)+C32*AM972*AP972/(1+AL972/100)^$B$6</f>
        <v/>
      </c>
      <c r="AS972">
        <f>SUMPRODUCT((K24:K26&lt;=$B$6)*(L24:L26*AN972+M24:M26*AO972*$B$8*AQ972)/(1+AL972/100)^K24:K26)+L27*AN972*AP972/(1+AL972/100)^$B$6</f>
        <v/>
      </c>
      <c r="AT972">
        <f>AS972-AR972</f>
        <v/>
      </c>
      <c r="AU972">
        <f>RAND()</f>
        <v/>
      </c>
      <c r="AV972">
        <f>RAND()</f>
        <v/>
      </c>
      <c r="AW972">
        <f>RAND()</f>
        <v/>
      </c>
      <c r="AX972">
        <f>RAND()</f>
        <v/>
      </c>
      <c r="AY972">
        <f>RAND()</f>
        <v/>
      </c>
      <c r="AZ972">
        <f>RAND()</f>
        <v/>
      </c>
    </row>
    <row r="973">
      <c r="AK973" t="n">
        <v>960</v>
      </c>
      <c r="AL973">
        <f>IFERROR(IF(AU973&lt;($AM$6-$AL$6)/($AN$6-$AL$6),$AL$6+SQRT(AU973*($AN$6-$AL$6)*($AM$6-$AL$6)),$AN$6-SQRT((1-AU973)*($AN$6-$AL$6)*($AN$6-$AM$6))),$AM$6)</f>
        <v/>
      </c>
      <c r="AM973">
        <f>IFERROR(IF(AV973&lt;($AM$7-$AL$7)/($AN$7-$AL$7),$AL$7+SQRT(AV973*($AN$7-$AL$7)*($AM$7-$AL$7)),$AN$7-SQRT((1-AV973)*($AN$7-$AL$7)*($AN$7-$AM$7))),$AM$7)</f>
        <v/>
      </c>
      <c r="AN973">
        <f>IFERROR(IF(AW973&lt;($AM$8-$AL$8)/($AN$8-$AL$8),$AL$8+SQRT(AW973*($AN$8-$AL$8)*($AM$8-$AL$8)),$AN$8-SQRT((1-AW973)*($AN$8-$AL$8)*($AN$8-$AM$8))),$AM$8)</f>
        <v/>
      </c>
      <c r="AO973">
        <f>IFERROR(IF(AX973&lt;($AM$9-$AL$9)/($AN$9-$AL$9),$AL$9+SQRT(AX973*($AN$9-$AL$9)*($AM$9-$AL$9)),$AN$9-SQRT((1-AX973)*($AN$9-$AL$9)*($AN$9-$AM$9))),$AM$9)</f>
        <v/>
      </c>
      <c r="AP973">
        <f>IFERROR(IF(AY973&lt;($AM$10-$AL$10)/($AN$10-$AL$10),$AL$10+SQRT(AY973*($AN$10-$AL$10)*($AM$10-$AL$10)),$AN$10-SQRT((1-AY973)*($AN$10-$AL$10)*($AN$10-$AM$10))),$AM$10)</f>
        <v/>
      </c>
      <c r="AQ973">
        <f>IFERROR(IF(AZ973&lt;($AM$11-$AL$11)/($AN$11-$AL$11),$AL$11+SQRT(AZ973*($AN$11-$AL$11)*($AM$11-$AL$11)),$AN$11-SQRT((1-AZ973)*($AN$11-$AL$11)*($AN$11-$AM$11))),$AM$11)</f>
        <v/>
      </c>
      <c r="AR973">
        <f>SUMPRODUCT((B24:B31&lt;=$B$6)*(C24:C31*AM973+D24:D31*AO973*$B$8*AQ973)/(1+AL973/100)^B24:B31)+C32*AM973*AP973/(1+AL973/100)^$B$6</f>
        <v/>
      </c>
      <c r="AS973">
        <f>SUMPRODUCT((K24:K26&lt;=$B$6)*(L24:L26*AN973+M24:M26*AO973*$B$8*AQ973)/(1+AL973/100)^K24:K26)+L27*AN973*AP973/(1+AL973/100)^$B$6</f>
        <v/>
      </c>
      <c r="AT973">
        <f>AS973-AR973</f>
        <v/>
      </c>
      <c r="AU973">
        <f>RAND()</f>
        <v/>
      </c>
      <c r="AV973">
        <f>RAND()</f>
        <v/>
      </c>
      <c r="AW973">
        <f>RAND()</f>
        <v/>
      </c>
      <c r="AX973">
        <f>RAND()</f>
        <v/>
      </c>
      <c r="AY973">
        <f>RAND()</f>
        <v/>
      </c>
      <c r="AZ973">
        <f>RAND()</f>
        <v/>
      </c>
    </row>
    <row r="974">
      <c r="AK974" t="n">
        <v>961</v>
      </c>
      <c r="AL974">
        <f>IFERROR(IF(AU974&lt;($AM$6-$AL$6)/($AN$6-$AL$6),$AL$6+SQRT(AU974*($AN$6-$AL$6)*($AM$6-$AL$6)),$AN$6-SQRT((1-AU974)*($AN$6-$AL$6)*($AN$6-$AM$6))),$AM$6)</f>
        <v/>
      </c>
      <c r="AM974">
        <f>IFERROR(IF(AV974&lt;($AM$7-$AL$7)/($AN$7-$AL$7),$AL$7+SQRT(AV974*($AN$7-$AL$7)*($AM$7-$AL$7)),$AN$7-SQRT((1-AV974)*($AN$7-$AL$7)*($AN$7-$AM$7))),$AM$7)</f>
        <v/>
      </c>
      <c r="AN974">
        <f>IFERROR(IF(AW974&lt;($AM$8-$AL$8)/($AN$8-$AL$8),$AL$8+SQRT(AW974*($AN$8-$AL$8)*($AM$8-$AL$8)),$AN$8-SQRT((1-AW974)*($AN$8-$AL$8)*($AN$8-$AM$8))),$AM$8)</f>
        <v/>
      </c>
      <c r="AO974">
        <f>IFERROR(IF(AX974&lt;($AM$9-$AL$9)/($AN$9-$AL$9),$AL$9+SQRT(AX974*($AN$9-$AL$9)*($AM$9-$AL$9)),$AN$9-SQRT((1-AX974)*($AN$9-$AL$9)*($AN$9-$AM$9))),$AM$9)</f>
        <v/>
      </c>
      <c r="AP974">
        <f>IFERROR(IF(AY974&lt;($AM$10-$AL$10)/($AN$10-$AL$10),$AL$10+SQRT(AY974*($AN$10-$AL$10)*($AM$10-$AL$10)),$AN$10-SQRT((1-AY974)*($AN$10-$AL$10)*($AN$10-$AM$10))),$AM$10)</f>
        <v/>
      </c>
      <c r="AQ974">
        <f>IFERROR(IF(AZ974&lt;($AM$11-$AL$11)/($AN$11-$AL$11),$AL$11+SQRT(AZ974*($AN$11-$AL$11)*($AM$11-$AL$11)),$AN$11-SQRT((1-AZ974)*($AN$11-$AL$11)*($AN$11-$AM$11))),$AM$11)</f>
        <v/>
      </c>
      <c r="AR974">
        <f>SUMPRODUCT((B24:B31&lt;=$B$6)*(C24:C31*AM974+D24:D31*AO974*$B$8*AQ974)/(1+AL974/100)^B24:B31)+C32*AM974*AP974/(1+AL974/100)^$B$6</f>
        <v/>
      </c>
      <c r="AS974">
        <f>SUMPRODUCT((K24:K26&lt;=$B$6)*(L24:L26*AN974+M24:M26*AO974*$B$8*AQ974)/(1+AL974/100)^K24:K26)+L27*AN974*AP974/(1+AL974/100)^$B$6</f>
        <v/>
      </c>
      <c r="AT974">
        <f>AS974-AR974</f>
        <v/>
      </c>
      <c r="AU974">
        <f>RAND()</f>
        <v/>
      </c>
      <c r="AV974">
        <f>RAND()</f>
        <v/>
      </c>
      <c r="AW974">
        <f>RAND()</f>
        <v/>
      </c>
      <c r="AX974">
        <f>RAND()</f>
        <v/>
      </c>
      <c r="AY974">
        <f>RAND()</f>
        <v/>
      </c>
      <c r="AZ974">
        <f>RAND()</f>
        <v/>
      </c>
    </row>
    <row r="975">
      <c r="AK975" t="n">
        <v>962</v>
      </c>
      <c r="AL975">
        <f>IFERROR(IF(AU975&lt;($AM$6-$AL$6)/($AN$6-$AL$6),$AL$6+SQRT(AU975*($AN$6-$AL$6)*($AM$6-$AL$6)),$AN$6-SQRT((1-AU975)*($AN$6-$AL$6)*($AN$6-$AM$6))),$AM$6)</f>
        <v/>
      </c>
      <c r="AM975">
        <f>IFERROR(IF(AV975&lt;($AM$7-$AL$7)/($AN$7-$AL$7),$AL$7+SQRT(AV975*($AN$7-$AL$7)*($AM$7-$AL$7)),$AN$7-SQRT((1-AV975)*($AN$7-$AL$7)*($AN$7-$AM$7))),$AM$7)</f>
        <v/>
      </c>
      <c r="AN975">
        <f>IFERROR(IF(AW975&lt;($AM$8-$AL$8)/($AN$8-$AL$8),$AL$8+SQRT(AW975*($AN$8-$AL$8)*($AM$8-$AL$8)),$AN$8-SQRT((1-AW975)*($AN$8-$AL$8)*($AN$8-$AM$8))),$AM$8)</f>
        <v/>
      </c>
      <c r="AO975">
        <f>IFERROR(IF(AX975&lt;($AM$9-$AL$9)/($AN$9-$AL$9),$AL$9+SQRT(AX975*($AN$9-$AL$9)*($AM$9-$AL$9)),$AN$9-SQRT((1-AX975)*($AN$9-$AL$9)*($AN$9-$AM$9))),$AM$9)</f>
        <v/>
      </c>
      <c r="AP975">
        <f>IFERROR(IF(AY975&lt;($AM$10-$AL$10)/($AN$10-$AL$10),$AL$10+SQRT(AY975*($AN$10-$AL$10)*($AM$10-$AL$10)),$AN$10-SQRT((1-AY975)*($AN$10-$AL$10)*($AN$10-$AM$10))),$AM$10)</f>
        <v/>
      </c>
      <c r="AQ975">
        <f>IFERROR(IF(AZ975&lt;($AM$11-$AL$11)/($AN$11-$AL$11),$AL$11+SQRT(AZ975*($AN$11-$AL$11)*($AM$11-$AL$11)),$AN$11-SQRT((1-AZ975)*($AN$11-$AL$11)*($AN$11-$AM$11))),$AM$11)</f>
        <v/>
      </c>
      <c r="AR975">
        <f>SUMPRODUCT((B24:B31&lt;=$B$6)*(C24:C31*AM975+D24:D31*AO975*$B$8*AQ975)/(1+AL975/100)^B24:B31)+C32*AM975*AP975/(1+AL975/100)^$B$6</f>
        <v/>
      </c>
      <c r="AS975">
        <f>SUMPRODUCT((K24:K26&lt;=$B$6)*(L24:L26*AN975+M24:M26*AO975*$B$8*AQ975)/(1+AL975/100)^K24:K26)+L27*AN975*AP975/(1+AL975/100)^$B$6</f>
        <v/>
      </c>
      <c r="AT975">
        <f>AS975-AR975</f>
        <v/>
      </c>
      <c r="AU975">
        <f>RAND()</f>
        <v/>
      </c>
      <c r="AV975">
        <f>RAND()</f>
        <v/>
      </c>
      <c r="AW975">
        <f>RAND()</f>
        <v/>
      </c>
      <c r="AX975">
        <f>RAND()</f>
        <v/>
      </c>
      <c r="AY975">
        <f>RAND()</f>
        <v/>
      </c>
      <c r="AZ975">
        <f>RAND()</f>
        <v/>
      </c>
    </row>
    <row r="976">
      <c r="AK976" t="n">
        <v>963</v>
      </c>
      <c r="AL976">
        <f>IFERROR(IF(AU976&lt;($AM$6-$AL$6)/($AN$6-$AL$6),$AL$6+SQRT(AU976*($AN$6-$AL$6)*($AM$6-$AL$6)),$AN$6-SQRT((1-AU976)*($AN$6-$AL$6)*($AN$6-$AM$6))),$AM$6)</f>
        <v/>
      </c>
      <c r="AM976">
        <f>IFERROR(IF(AV976&lt;($AM$7-$AL$7)/($AN$7-$AL$7),$AL$7+SQRT(AV976*($AN$7-$AL$7)*($AM$7-$AL$7)),$AN$7-SQRT((1-AV976)*($AN$7-$AL$7)*($AN$7-$AM$7))),$AM$7)</f>
        <v/>
      </c>
      <c r="AN976">
        <f>IFERROR(IF(AW976&lt;($AM$8-$AL$8)/($AN$8-$AL$8),$AL$8+SQRT(AW976*($AN$8-$AL$8)*($AM$8-$AL$8)),$AN$8-SQRT((1-AW976)*($AN$8-$AL$8)*($AN$8-$AM$8))),$AM$8)</f>
        <v/>
      </c>
      <c r="AO976">
        <f>IFERROR(IF(AX976&lt;($AM$9-$AL$9)/($AN$9-$AL$9),$AL$9+SQRT(AX976*($AN$9-$AL$9)*($AM$9-$AL$9)),$AN$9-SQRT((1-AX976)*($AN$9-$AL$9)*($AN$9-$AM$9))),$AM$9)</f>
        <v/>
      </c>
      <c r="AP976">
        <f>IFERROR(IF(AY976&lt;($AM$10-$AL$10)/($AN$10-$AL$10),$AL$10+SQRT(AY976*($AN$10-$AL$10)*($AM$10-$AL$10)),$AN$10-SQRT((1-AY976)*($AN$10-$AL$10)*($AN$10-$AM$10))),$AM$10)</f>
        <v/>
      </c>
      <c r="AQ976">
        <f>IFERROR(IF(AZ976&lt;($AM$11-$AL$11)/($AN$11-$AL$11),$AL$11+SQRT(AZ976*($AN$11-$AL$11)*($AM$11-$AL$11)),$AN$11-SQRT((1-AZ976)*($AN$11-$AL$11)*($AN$11-$AM$11))),$AM$11)</f>
        <v/>
      </c>
      <c r="AR976">
        <f>SUMPRODUCT((B24:B31&lt;=$B$6)*(C24:C31*AM976+D24:D31*AO976*$B$8*AQ976)/(1+AL976/100)^B24:B31)+C32*AM976*AP976/(1+AL976/100)^$B$6</f>
        <v/>
      </c>
      <c r="AS976">
        <f>SUMPRODUCT((K24:K26&lt;=$B$6)*(L24:L26*AN976+M24:M26*AO976*$B$8*AQ976)/(1+AL976/100)^K24:K26)+L27*AN976*AP976/(1+AL976/100)^$B$6</f>
        <v/>
      </c>
      <c r="AT976">
        <f>AS976-AR976</f>
        <v/>
      </c>
      <c r="AU976">
        <f>RAND()</f>
        <v/>
      </c>
      <c r="AV976">
        <f>RAND()</f>
        <v/>
      </c>
      <c r="AW976">
        <f>RAND()</f>
        <v/>
      </c>
      <c r="AX976">
        <f>RAND()</f>
        <v/>
      </c>
      <c r="AY976">
        <f>RAND()</f>
        <v/>
      </c>
      <c r="AZ976">
        <f>RAND()</f>
        <v/>
      </c>
    </row>
    <row r="977">
      <c r="AK977" t="n">
        <v>964</v>
      </c>
      <c r="AL977">
        <f>IFERROR(IF(AU977&lt;($AM$6-$AL$6)/($AN$6-$AL$6),$AL$6+SQRT(AU977*($AN$6-$AL$6)*($AM$6-$AL$6)),$AN$6-SQRT((1-AU977)*($AN$6-$AL$6)*($AN$6-$AM$6))),$AM$6)</f>
        <v/>
      </c>
      <c r="AM977">
        <f>IFERROR(IF(AV977&lt;($AM$7-$AL$7)/($AN$7-$AL$7),$AL$7+SQRT(AV977*($AN$7-$AL$7)*($AM$7-$AL$7)),$AN$7-SQRT((1-AV977)*($AN$7-$AL$7)*($AN$7-$AM$7))),$AM$7)</f>
        <v/>
      </c>
      <c r="AN977">
        <f>IFERROR(IF(AW977&lt;($AM$8-$AL$8)/($AN$8-$AL$8),$AL$8+SQRT(AW977*($AN$8-$AL$8)*($AM$8-$AL$8)),$AN$8-SQRT((1-AW977)*($AN$8-$AL$8)*($AN$8-$AM$8))),$AM$8)</f>
        <v/>
      </c>
      <c r="AO977">
        <f>IFERROR(IF(AX977&lt;($AM$9-$AL$9)/($AN$9-$AL$9),$AL$9+SQRT(AX977*($AN$9-$AL$9)*($AM$9-$AL$9)),$AN$9-SQRT((1-AX977)*($AN$9-$AL$9)*($AN$9-$AM$9))),$AM$9)</f>
        <v/>
      </c>
      <c r="AP977">
        <f>IFERROR(IF(AY977&lt;($AM$10-$AL$10)/($AN$10-$AL$10),$AL$10+SQRT(AY977*($AN$10-$AL$10)*($AM$10-$AL$10)),$AN$10-SQRT((1-AY977)*($AN$10-$AL$10)*($AN$10-$AM$10))),$AM$10)</f>
        <v/>
      </c>
      <c r="AQ977">
        <f>IFERROR(IF(AZ977&lt;($AM$11-$AL$11)/($AN$11-$AL$11),$AL$11+SQRT(AZ977*($AN$11-$AL$11)*($AM$11-$AL$11)),$AN$11-SQRT((1-AZ977)*($AN$11-$AL$11)*($AN$11-$AM$11))),$AM$11)</f>
        <v/>
      </c>
      <c r="AR977">
        <f>SUMPRODUCT((B24:B31&lt;=$B$6)*(C24:C31*AM977+D24:D31*AO977*$B$8*AQ977)/(1+AL977/100)^B24:B31)+C32*AM977*AP977/(1+AL977/100)^$B$6</f>
        <v/>
      </c>
      <c r="AS977">
        <f>SUMPRODUCT((K24:K26&lt;=$B$6)*(L24:L26*AN977+M24:M26*AO977*$B$8*AQ977)/(1+AL977/100)^K24:K26)+L27*AN977*AP977/(1+AL977/100)^$B$6</f>
        <v/>
      </c>
      <c r="AT977">
        <f>AS977-AR977</f>
        <v/>
      </c>
      <c r="AU977">
        <f>RAND()</f>
        <v/>
      </c>
      <c r="AV977">
        <f>RAND()</f>
        <v/>
      </c>
      <c r="AW977">
        <f>RAND()</f>
        <v/>
      </c>
      <c r="AX977">
        <f>RAND()</f>
        <v/>
      </c>
      <c r="AY977">
        <f>RAND()</f>
        <v/>
      </c>
      <c r="AZ977">
        <f>RAND()</f>
        <v/>
      </c>
    </row>
    <row r="978">
      <c r="AK978" t="n">
        <v>965</v>
      </c>
      <c r="AL978">
        <f>IFERROR(IF(AU978&lt;($AM$6-$AL$6)/($AN$6-$AL$6),$AL$6+SQRT(AU978*($AN$6-$AL$6)*($AM$6-$AL$6)),$AN$6-SQRT((1-AU978)*($AN$6-$AL$6)*($AN$6-$AM$6))),$AM$6)</f>
        <v/>
      </c>
      <c r="AM978">
        <f>IFERROR(IF(AV978&lt;($AM$7-$AL$7)/($AN$7-$AL$7),$AL$7+SQRT(AV978*($AN$7-$AL$7)*($AM$7-$AL$7)),$AN$7-SQRT((1-AV978)*($AN$7-$AL$7)*($AN$7-$AM$7))),$AM$7)</f>
        <v/>
      </c>
      <c r="AN978">
        <f>IFERROR(IF(AW978&lt;($AM$8-$AL$8)/($AN$8-$AL$8),$AL$8+SQRT(AW978*($AN$8-$AL$8)*($AM$8-$AL$8)),$AN$8-SQRT((1-AW978)*($AN$8-$AL$8)*($AN$8-$AM$8))),$AM$8)</f>
        <v/>
      </c>
      <c r="AO978">
        <f>IFERROR(IF(AX978&lt;($AM$9-$AL$9)/($AN$9-$AL$9),$AL$9+SQRT(AX978*($AN$9-$AL$9)*($AM$9-$AL$9)),$AN$9-SQRT((1-AX978)*($AN$9-$AL$9)*($AN$9-$AM$9))),$AM$9)</f>
        <v/>
      </c>
      <c r="AP978">
        <f>IFERROR(IF(AY978&lt;($AM$10-$AL$10)/($AN$10-$AL$10),$AL$10+SQRT(AY978*($AN$10-$AL$10)*($AM$10-$AL$10)),$AN$10-SQRT((1-AY978)*($AN$10-$AL$10)*($AN$10-$AM$10))),$AM$10)</f>
        <v/>
      </c>
      <c r="AQ978">
        <f>IFERROR(IF(AZ978&lt;($AM$11-$AL$11)/($AN$11-$AL$11),$AL$11+SQRT(AZ978*($AN$11-$AL$11)*($AM$11-$AL$11)),$AN$11-SQRT((1-AZ978)*($AN$11-$AL$11)*($AN$11-$AM$11))),$AM$11)</f>
        <v/>
      </c>
      <c r="AR978">
        <f>SUMPRODUCT((B24:B31&lt;=$B$6)*(C24:C31*AM978+D24:D31*AO978*$B$8*AQ978)/(1+AL978/100)^B24:B31)+C32*AM978*AP978/(1+AL978/100)^$B$6</f>
        <v/>
      </c>
      <c r="AS978">
        <f>SUMPRODUCT((K24:K26&lt;=$B$6)*(L24:L26*AN978+M24:M26*AO978*$B$8*AQ978)/(1+AL978/100)^K24:K26)+L27*AN978*AP978/(1+AL978/100)^$B$6</f>
        <v/>
      </c>
      <c r="AT978">
        <f>AS978-AR978</f>
        <v/>
      </c>
      <c r="AU978">
        <f>RAND()</f>
        <v/>
      </c>
      <c r="AV978">
        <f>RAND()</f>
        <v/>
      </c>
      <c r="AW978">
        <f>RAND()</f>
        <v/>
      </c>
      <c r="AX978">
        <f>RAND()</f>
        <v/>
      </c>
      <c r="AY978">
        <f>RAND()</f>
        <v/>
      </c>
      <c r="AZ978">
        <f>RAND()</f>
        <v/>
      </c>
    </row>
    <row r="979">
      <c r="AK979" t="n">
        <v>966</v>
      </c>
      <c r="AL979">
        <f>IFERROR(IF(AU979&lt;($AM$6-$AL$6)/($AN$6-$AL$6),$AL$6+SQRT(AU979*($AN$6-$AL$6)*($AM$6-$AL$6)),$AN$6-SQRT((1-AU979)*($AN$6-$AL$6)*($AN$6-$AM$6))),$AM$6)</f>
        <v/>
      </c>
      <c r="AM979">
        <f>IFERROR(IF(AV979&lt;($AM$7-$AL$7)/($AN$7-$AL$7),$AL$7+SQRT(AV979*($AN$7-$AL$7)*($AM$7-$AL$7)),$AN$7-SQRT((1-AV979)*($AN$7-$AL$7)*($AN$7-$AM$7))),$AM$7)</f>
        <v/>
      </c>
      <c r="AN979">
        <f>IFERROR(IF(AW979&lt;($AM$8-$AL$8)/($AN$8-$AL$8),$AL$8+SQRT(AW979*($AN$8-$AL$8)*($AM$8-$AL$8)),$AN$8-SQRT((1-AW979)*($AN$8-$AL$8)*($AN$8-$AM$8))),$AM$8)</f>
        <v/>
      </c>
      <c r="AO979">
        <f>IFERROR(IF(AX979&lt;($AM$9-$AL$9)/($AN$9-$AL$9),$AL$9+SQRT(AX979*($AN$9-$AL$9)*($AM$9-$AL$9)),$AN$9-SQRT((1-AX979)*($AN$9-$AL$9)*($AN$9-$AM$9))),$AM$9)</f>
        <v/>
      </c>
      <c r="AP979">
        <f>IFERROR(IF(AY979&lt;($AM$10-$AL$10)/($AN$10-$AL$10),$AL$10+SQRT(AY979*($AN$10-$AL$10)*($AM$10-$AL$10)),$AN$10-SQRT((1-AY979)*($AN$10-$AL$10)*($AN$10-$AM$10))),$AM$10)</f>
        <v/>
      </c>
      <c r="AQ979">
        <f>IFERROR(IF(AZ979&lt;($AM$11-$AL$11)/($AN$11-$AL$11),$AL$11+SQRT(AZ979*($AN$11-$AL$11)*($AM$11-$AL$11)),$AN$11-SQRT((1-AZ979)*($AN$11-$AL$11)*($AN$11-$AM$11))),$AM$11)</f>
        <v/>
      </c>
      <c r="AR979">
        <f>SUMPRODUCT((B24:B31&lt;=$B$6)*(C24:C31*AM979+D24:D31*AO979*$B$8*AQ979)/(1+AL979/100)^B24:B31)+C32*AM979*AP979/(1+AL979/100)^$B$6</f>
        <v/>
      </c>
      <c r="AS979">
        <f>SUMPRODUCT((K24:K26&lt;=$B$6)*(L24:L26*AN979+M24:M26*AO979*$B$8*AQ979)/(1+AL979/100)^K24:K26)+L27*AN979*AP979/(1+AL979/100)^$B$6</f>
        <v/>
      </c>
      <c r="AT979">
        <f>AS979-AR979</f>
        <v/>
      </c>
      <c r="AU979">
        <f>RAND()</f>
        <v/>
      </c>
      <c r="AV979">
        <f>RAND()</f>
        <v/>
      </c>
      <c r="AW979">
        <f>RAND()</f>
        <v/>
      </c>
      <c r="AX979">
        <f>RAND()</f>
        <v/>
      </c>
      <c r="AY979">
        <f>RAND()</f>
        <v/>
      </c>
      <c r="AZ979">
        <f>RAND()</f>
        <v/>
      </c>
    </row>
    <row r="980">
      <c r="AK980" t="n">
        <v>967</v>
      </c>
      <c r="AL980">
        <f>IFERROR(IF(AU980&lt;($AM$6-$AL$6)/($AN$6-$AL$6),$AL$6+SQRT(AU980*($AN$6-$AL$6)*($AM$6-$AL$6)),$AN$6-SQRT((1-AU980)*($AN$6-$AL$6)*($AN$6-$AM$6))),$AM$6)</f>
        <v/>
      </c>
      <c r="AM980">
        <f>IFERROR(IF(AV980&lt;($AM$7-$AL$7)/($AN$7-$AL$7),$AL$7+SQRT(AV980*($AN$7-$AL$7)*($AM$7-$AL$7)),$AN$7-SQRT((1-AV980)*($AN$7-$AL$7)*($AN$7-$AM$7))),$AM$7)</f>
        <v/>
      </c>
      <c r="AN980">
        <f>IFERROR(IF(AW980&lt;($AM$8-$AL$8)/($AN$8-$AL$8),$AL$8+SQRT(AW980*($AN$8-$AL$8)*($AM$8-$AL$8)),$AN$8-SQRT((1-AW980)*($AN$8-$AL$8)*($AN$8-$AM$8))),$AM$8)</f>
        <v/>
      </c>
      <c r="AO980">
        <f>IFERROR(IF(AX980&lt;($AM$9-$AL$9)/($AN$9-$AL$9),$AL$9+SQRT(AX980*($AN$9-$AL$9)*($AM$9-$AL$9)),$AN$9-SQRT((1-AX980)*($AN$9-$AL$9)*($AN$9-$AM$9))),$AM$9)</f>
        <v/>
      </c>
      <c r="AP980">
        <f>IFERROR(IF(AY980&lt;($AM$10-$AL$10)/($AN$10-$AL$10),$AL$10+SQRT(AY980*($AN$10-$AL$10)*($AM$10-$AL$10)),$AN$10-SQRT((1-AY980)*($AN$10-$AL$10)*($AN$10-$AM$10))),$AM$10)</f>
        <v/>
      </c>
      <c r="AQ980">
        <f>IFERROR(IF(AZ980&lt;($AM$11-$AL$11)/($AN$11-$AL$11),$AL$11+SQRT(AZ980*($AN$11-$AL$11)*($AM$11-$AL$11)),$AN$11-SQRT((1-AZ980)*($AN$11-$AL$11)*($AN$11-$AM$11))),$AM$11)</f>
        <v/>
      </c>
      <c r="AR980">
        <f>SUMPRODUCT((B24:B31&lt;=$B$6)*(C24:C31*AM980+D24:D31*AO980*$B$8*AQ980)/(1+AL980/100)^B24:B31)+C32*AM980*AP980/(1+AL980/100)^$B$6</f>
        <v/>
      </c>
      <c r="AS980">
        <f>SUMPRODUCT((K24:K26&lt;=$B$6)*(L24:L26*AN980+M24:M26*AO980*$B$8*AQ980)/(1+AL980/100)^K24:K26)+L27*AN980*AP980/(1+AL980/100)^$B$6</f>
        <v/>
      </c>
      <c r="AT980">
        <f>AS980-AR980</f>
        <v/>
      </c>
      <c r="AU980">
        <f>RAND()</f>
        <v/>
      </c>
      <c r="AV980">
        <f>RAND()</f>
        <v/>
      </c>
      <c r="AW980">
        <f>RAND()</f>
        <v/>
      </c>
      <c r="AX980">
        <f>RAND()</f>
        <v/>
      </c>
      <c r="AY980">
        <f>RAND()</f>
        <v/>
      </c>
      <c r="AZ980">
        <f>RAND()</f>
        <v/>
      </c>
    </row>
    <row r="981">
      <c r="AK981" t="n">
        <v>968</v>
      </c>
      <c r="AL981">
        <f>IFERROR(IF(AU981&lt;($AM$6-$AL$6)/($AN$6-$AL$6),$AL$6+SQRT(AU981*($AN$6-$AL$6)*($AM$6-$AL$6)),$AN$6-SQRT((1-AU981)*($AN$6-$AL$6)*($AN$6-$AM$6))),$AM$6)</f>
        <v/>
      </c>
      <c r="AM981">
        <f>IFERROR(IF(AV981&lt;($AM$7-$AL$7)/($AN$7-$AL$7),$AL$7+SQRT(AV981*($AN$7-$AL$7)*($AM$7-$AL$7)),$AN$7-SQRT((1-AV981)*($AN$7-$AL$7)*($AN$7-$AM$7))),$AM$7)</f>
        <v/>
      </c>
      <c r="AN981">
        <f>IFERROR(IF(AW981&lt;($AM$8-$AL$8)/($AN$8-$AL$8),$AL$8+SQRT(AW981*($AN$8-$AL$8)*($AM$8-$AL$8)),$AN$8-SQRT((1-AW981)*($AN$8-$AL$8)*($AN$8-$AM$8))),$AM$8)</f>
        <v/>
      </c>
      <c r="AO981">
        <f>IFERROR(IF(AX981&lt;($AM$9-$AL$9)/($AN$9-$AL$9),$AL$9+SQRT(AX981*($AN$9-$AL$9)*($AM$9-$AL$9)),$AN$9-SQRT((1-AX981)*($AN$9-$AL$9)*($AN$9-$AM$9))),$AM$9)</f>
        <v/>
      </c>
      <c r="AP981">
        <f>IFERROR(IF(AY981&lt;($AM$10-$AL$10)/($AN$10-$AL$10),$AL$10+SQRT(AY981*($AN$10-$AL$10)*($AM$10-$AL$10)),$AN$10-SQRT((1-AY981)*($AN$10-$AL$10)*($AN$10-$AM$10))),$AM$10)</f>
        <v/>
      </c>
      <c r="AQ981">
        <f>IFERROR(IF(AZ981&lt;($AM$11-$AL$11)/($AN$11-$AL$11),$AL$11+SQRT(AZ981*($AN$11-$AL$11)*($AM$11-$AL$11)),$AN$11-SQRT((1-AZ981)*($AN$11-$AL$11)*($AN$11-$AM$11))),$AM$11)</f>
        <v/>
      </c>
      <c r="AR981">
        <f>SUMPRODUCT((B24:B31&lt;=$B$6)*(C24:C31*AM981+D24:D31*AO981*$B$8*AQ981)/(1+AL981/100)^B24:B31)+C32*AM981*AP981/(1+AL981/100)^$B$6</f>
        <v/>
      </c>
      <c r="AS981">
        <f>SUMPRODUCT((K24:K26&lt;=$B$6)*(L24:L26*AN981+M24:M26*AO981*$B$8*AQ981)/(1+AL981/100)^K24:K26)+L27*AN981*AP981/(1+AL981/100)^$B$6</f>
        <v/>
      </c>
      <c r="AT981">
        <f>AS981-AR981</f>
        <v/>
      </c>
      <c r="AU981">
        <f>RAND()</f>
        <v/>
      </c>
      <c r="AV981">
        <f>RAND()</f>
        <v/>
      </c>
      <c r="AW981">
        <f>RAND()</f>
        <v/>
      </c>
      <c r="AX981">
        <f>RAND()</f>
        <v/>
      </c>
      <c r="AY981">
        <f>RAND()</f>
        <v/>
      </c>
      <c r="AZ981">
        <f>RAND()</f>
        <v/>
      </c>
    </row>
    <row r="982">
      <c r="AK982" t="n">
        <v>969</v>
      </c>
      <c r="AL982">
        <f>IFERROR(IF(AU982&lt;($AM$6-$AL$6)/($AN$6-$AL$6),$AL$6+SQRT(AU982*($AN$6-$AL$6)*($AM$6-$AL$6)),$AN$6-SQRT((1-AU982)*($AN$6-$AL$6)*($AN$6-$AM$6))),$AM$6)</f>
        <v/>
      </c>
      <c r="AM982">
        <f>IFERROR(IF(AV982&lt;($AM$7-$AL$7)/($AN$7-$AL$7),$AL$7+SQRT(AV982*($AN$7-$AL$7)*($AM$7-$AL$7)),$AN$7-SQRT((1-AV982)*($AN$7-$AL$7)*($AN$7-$AM$7))),$AM$7)</f>
        <v/>
      </c>
      <c r="AN982">
        <f>IFERROR(IF(AW982&lt;($AM$8-$AL$8)/($AN$8-$AL$8),$AL$8+SQRT(AW982*($AN$8-$AL$8)*($AM$8-$AL$8)),$AN$8-SQRT((1-AW982)*($AN$8-$AL$8)*($AN$8-$AM$8))),$AM$8)</f>
        <v/>
      </c>
      <c r="AO982">
        <f>IFERROR(IF(AX982&lt;($AM$9-$AL$9)/($AN$9-$AL$9),$AL$9+SQRT(AX982*($AN$9-$AL$9)*($AM$9-$AL$9)),$AN$9-SQRT((1-AX982)*($AN$9-$AL$9)*($AN$9-$AM$9))),$AM$9)</f>
        <v/>
      </c>
      <c r="AP982">
        <f>IFERROR(IF(AY982&lt;($AM$10-$AL$10)/($AN$10-$AL$10),$AL$10+SQRT(AY982*($AN$10-$AL$10)*($AM$10-$AL$10)),$AN$10-SQRT((1-AY982)*($AN$10-$AL$10)*($AN$10-$AM$10))),$AM$10)</f>
        <v/>
      </c>
      <c r="AQ982">
        <f>IFERROR(IF(AZ982&lt;($AM$11-$AL$11)/($AN$11-$AL$11),$AL$11+SQRT(AZ982*($AN$11-$AL$11)*($AM$11-$AL$11)),$AN$11-SQRT((1-AZ982)*($AN$11-$AL$11)*($AN$11-$AM$11))),$AM$11)</f>
        <v/>
      </c>
      <c r="AR982">
        <f>SUMPRODUCT((B24:B31&lt;=$B$6)*(C24:C31*AM982+D24:D31*AO982*$B$8*AQ982)/(1+AL982/100)^B24:B31)+C32*AM982*AP982/(1+AL982/100)^$B$6</f>
        <v/>
      </c>
      <c r="AS982">
        <f>SUMPRODUCT((K24:K26&lt;=$B$6)*(L24:L26*AN982+M24:M26*AO982*$B$8*AQ982)/(1+AL982/100)^K24:K26)+L27*AN982*AP982/(1+AL982/100)^$B$6</f>
        <v/>
      </c>
      <c r="AT982">
        <f>AS982-AR982</f>
        <v/>
      </c>
      <c r="AU982">
        <f>RAND()</f>
        <v/>
      </c>
      <c r="AV982">
        <f>RAND()</f>
        <v/>
      </c>
      <c r="AW982">
        <f>RAND()</f>
        <v/>
      </c>
      <c r="AX982">
        <f>RAND()</f>
        <v/>
      </c>
      <c r="AY982">
        <f>RAND()</f>
        <v/>
      </c>
      <c r="AZ982">
        <f>RAND()</f>
        <v/>
      </c>
    </row>
    <row r="983">
      <c r="AK983" t="n">
        <v>970</v>
      </c>
      <c r="AL983">
        <f>IFERROR(IF(AU983&lt;($AM$6-$AL$6)/($AN$6-$AL$6),$AL$6+SQRT(AU983*($AN$6-$AL$6)*($AM$6-$AL$6)),$AN$6-SQRT((1-AU983)*($AN$6-$AL$6)*($AN$6-$AM$6))),$AM$6)</f>
        <v/>
      </c>
      <c r="AM983">
        <f>IFERROR(IF(AV983&lt;($AM$7-$AL$7)/($AN$7-$AL$7),$AL$7+SQRT(AV983*($AN$7-$AL$7)*($AM$7-$AL$7)),$AN$7-SQRT((1-AV983)*($AN$7-$AL$7)*($AN$7-$AM$7))),$AM$7)</f>
        <v/>
      </c>
      <c r="AN983">
        <f>IFERROR(IF(AW983&lt;($AM$8-$AL$8)/($AN$8-$AL$8),$AL$8+SQRT(AW983*($AN$8-$AL$8)*($AM$8-$AL$8)),$AN$8-SQRT((1-AW983)*($AN$8-$AL$8)*($AN$8-$AM$8))),$AM$8)</f>
        <v/>
      </c>
      <c r="AO983">
        <f>IFERROR(IF(AX983&lt;($AM$9-$AL$9)/($AN$9-$AL$9),$AL$9+SQRT(AX983*($AN$9-$AL$9)*($AM$9-$AL$9)),$AN$9-SQRT((1-AX983)*($AN$9-$AL$9)*($AN$9-$AM$9))),$AM$9)</f>
        <v/>
      </c>
      <c r="AP983">
        <f>IFERROR(IF(AY983&lt;($AM$10-$AL$10)/($AN$10-$AL$10),$AL$10+SQRT(AY983*($AN$10-$AL$10)*($AM$10-$AL$10)),$AN$10-SQRT((1-AY983)*($AN$10-$AL$10)*($AN$10-$AM$10))),$AM$10)</f>
        <v/>
      </c>
      <c r="AQ983">
        <f>IFERROR(IF(AZ983&lt;($AM$11-$AL$11)/($AN$11-$AL$11),$AL$11+SQRT(AZ983*($AN$11-$AL$11)*($AM$11-$AL$11)),$AN$11-SQRT((1-AZ983)*($AN$11-$AL$11)*($AN$11-$AM$11))),$AM$11)</f>
        <v/>
      </c>
      <c r="AR983">
        <f>SUMPRODUCT((B24:B31&lt;=$B$6)*(C24:C31*AM983+D24:D31*AO983*$B$8*AQ983)/(1+AL983/100)^B24:B31)+C32*AM983*AP983/(1+AL983/100)^$B$6</f>
        <v/>
      </c>
      <c r="AS983">
        <f>SUMPRODUCT((K24:K26&lt;=$B$6)*(L24:L26*AN983+M24:M26*AO983*$B$8*AQ983)/(1+AL983/100)^K24:K26)+L27*AN983*AP983/(1+AL983/100)^$B$6</f>
        <v/>
      </c>
      <c r="AT983">
        <f>AS983-AR983</f>
        <v/>
      </c>
      <c r="AU983">
        <f>RAND()</f>
        <v/>
      </c>
      <c r="AV983">
        <f>RAND()</f>
        <v/>
      </c>
      <c r="AW983">
        <f>RAND()</f>
        <v/>
      </c>
      <c r="AX983">
        <f>RAND()</f>
        <v/>
      </c>
      <c r="AY983">
        <f>RAND()</f>
        <v/>
      </c>
      <c r="AZ983">
        <f>RAND()</f>
        <v/>
      </c>
    </row>
    <row r="984">
      <c r="AK984" t="n">
        <v>971</v>
      </c>
      <c r="AL984">
        <f>IFERROR(IF(AU984&lt;($AM$6-$AL$6)/($AN$6-$AL$6),$AL$6+SQRT(AU984*($AN$6-$AL$6)*($AM$6-$AL$6)),$AN$6-SQRT((1-AU984)*($AN$6-$AL$6)*($AN$6-$AM$6))),$AM$6)</f>
        <v/>
      </c>
      <c r="AM984">
        <f>IFERROR(IF(AV984&lt;($AM$7-$AL$7)/($AN$7-$AL$7),$AL$7+SQRT(AV984*($AN$7-$AL$7)*($AM$7-$AL$7)),$AN$7-SQRT((1-AV984)*($AN$7-$AL$7)*($AN$7-$AM$7))),$AM$7)</f>
        <v/>
      </c>
      <c r="AN984">
        <f>IFERROR(IF(AW984&lt;($AM$8-$AL$8)/($AN$8-$AL$8),$AL$8+SQRT(AW984*($AN$8-$AL$8)*($AM$8-$AL$8)),$AN$8-SQRT((1-AW984)*($AN$8-$AL$8)*($AN$8-$AM$8))),$AM$8)</f>
        <v/>
      </c>
      <c r="AO984">
        <f>IFERROR(IF(AX984&lt;($AM$9-$AL$9)/($AN$9-$AL$9),$AL$9+SQRT(AX984*($AN$9-$AL$9)*($AM$9-$AL$9)),$AN$9-SQRT((1-AX984)*($AN$9-$AL$9)*($AN$9-$AM$9))),$AM$9)</f>
        <v/>
      </c>
      <c r="AP984">
        <f>IFERROR(IF(AY984&lt;($AM$10-$AL$10)/($AN$10-$AL$10),$AL$10+SQRT(AY984*($AN$10-$AL$10)*($AM$10-$AL$10)),$AN$10-SQRT((1-AY984)*($AN$10-$AL$10)*($AN$10-$AM$10))),$AM$10)</f>
        <v/>
      </c>
      <c r="AQ984">
        <f>IFERROR(IF(AZ984&lt;($AM$11-$AL$11)/($AN$11-$AL$11),$AL$11+SQRT(AZ984*($AN$11-$AL$11)*($AM$11-$AL$11)),$AN$11-SQRT((1-AZ984)*($AN$11-$AL$11)*($AN$11-$AM$11))),$AM$11)</f>
        <v/>
      </c>
      <c r="AR984">
        <f>SUMPRODUCT((B24:B31&lt;=$B$6)*(C24:C31*AM984+D24:D31*AO984*$B$8*AQ984)/(1+AL984/100)^B24:B31)+C32*AM984*AP984/(1+AL984/100)^$B$6</f>
        <v/>
      </c>
      <c r="AS984">
        <f>SUMPRODUCT((K24:K26&lt;=$B$6)*(L24:L26*AN984+M24:M26*AO984*$B$8*AQ984)/(1+AL984/100)^K24:K26)+L27*AN984*AP984/(1+AL984/100)^$B$6</f>
        <v/>
      </c>
      <c r="AT984">
        <f>AS984-AR984</f>
        <v/>
      </c>
      <c r="AU984">
        <f>RAND()</f>
        <v/>
      </c>
      <c r="AV984">
        <f>RAND()</f>
        <v/>
      </c>
      <c r="AW984">
        <f>RAND()</f>
        <v/>
      </c>
      <c r="AX984">
        <f>RAND()</f>
        <v/>
      </c>
      <c r="AY984">
        <f>RAND()</f>
        <v/>
      </c>
      <c r="AZ984">
        <f>RAND()</f>
        <v/>
      </c>
    </row>
    <row r="985">
      <c r="AK985" t="n">
        <v>972</v>
      </c>
      <c r="AL985">
        <f>IFERROR(IF(AU985&lt;($AM$6-$AL$6)/($AN$6-$AL$6),$AL$6+SQRT(AU985*($AN$6-$AL$6)*($AM$6-$AL$6)),$AN$6-SQRT((1-AU985)*($AN$6-$AL$6)*($AN$6-$AM$6))),$AM$6)</f>
        <v/>
      </c>
      <c r="AM985">
        <f>IFERROR(IF(AV985&lt;($AM$7-$AL$7)/($AN$7-$AL$7),$AL$7+SQRT(AV985*($AN$7-$AL$7)*($AM$7-$AL$7)),$AN$7-SQRT((1-AV985)*($AN$7-$AL$7)*($AN$7-$AM$7))),$AM$7)</f>
        <v/>
      </c>
      <c r="AN985">
        <f>IFERROR(IF(AW985&lt;($AM$8-$AL$8)/($AN$8-$AL$8),$AL$8+SQRT(AW985*($AN$8-$AL$8)*($AM$8-$AL$8)),$AN$8-SQRT((1-AW985)*($AN$8-$AL$8)*($AN$8-$AM$8))),$AM$8)</f>
        <v/>
      </c>
      <c r="AO985">
        <f>IFERROR(IF(AX985&lt;($AM$9-$AL$9)/($AN$9-$AL$9),$AL$9+SQRT(AX985*($AN$9-$AL$9)*($AM$9-$AL$9)),$AN$9-SQRT((1-AX985)*($AN$9-$AL$9)*($AN$9-$AM$9))),$AM$9)</f>
        <v/>
      </c>
      <c r="AP985">
        <f>IFERROR(IF(AY985&lt;($AM$10-$AL$10)/($AN$10-$AL$10),$AL$10+SQRT(AY985*($AN$10-$AL$10)*($AM$10-$AL$10)),$AN$10-SQRT((1-AY985)*($AN$10-$AL$10)*($AN$10-$AM$10))),$AM$10)</f>
        <v/>
      </c>
      <c r="AQ985">
        <f>IFERROR(IF(AZ985&lt;($AM$11-$AL$11)/($AN$11-$AL$11),$AL$11+SQRT(AZ985*($AN$11-$AL$11)*($AM$11-$AL$11)),$AN$11-SQRT((1-AZ985)*($AN$11-$AL$11)*($AN$11-$AM$11))),$AM$11)</f>
        <v/>
      </c>
      <c r="AR985">
        <f>SUMPRODUCT((B24:B31&lt;=$B$6)*(C24:C31*AM985+D24:D31*AO985*$B$8*AQ985)/(1+AL985/100)^B24:B31)+C32*AM985*AP985/(1+AL985/100)^$B$6</f>
        <v/>
      </c>
      <c r="AS985">
        <f>SUMPRODUCT((K24:K26&lt;=$B$6)*(L24:L26*AN985+M24:M26*AO985*$B$8*AQ985)/(1+AL985/100)^K24:K26)+L27*AN985*AP985/(1+AL985/100)^$B$6</f>
        <v/>
      </c>
      <c r="AT985">
        <f>AS985-AR985</f>
        <v/>
      </c>
      <c r="AU985">
        <f>RAND()</f>
        <v/>
      </c>
      <c r="AV985">
        <f>RAND()</f>
        <v/>
      </c>
      <c r="AW985">
        <f>RAND()</f>
        <v/>
      </c>
      <c r="AX985">
        <f>RAND()</f>
        <v/>
      </c>
      <c r="AY985">
        <f>RAND()</f>
        <v/>
      </c>
      <c r="AZ985">
        <f>RAND()</f>
        <v/>
      </c>
    </row>
    <row r="986">
      <c r="AK986" t="n">
        <v>973</v>
      </c>
      <c r="AL986">
        <f>IFERROR(IF(AU986&lt;($AM$6-$AL$6)/($AN$6-$AL$6),$AL$6+SQRT(AU986*($AN$6-$AL$6)*($AM$6-$AL$6)),$AN$6-SQRT((1-AU986)*($AN$6-$AL$6)*($AN$6-$AM$6))),$AM$6)</f>
        <v/>
      </c>
      <c r="AM986">
        <f>IFERROR(IF(AV986&lt;($AM$7-$AL$7)/($AN$7-$AL$7),$AL$7+SQRT(AV986*($AN$7-$AL$7)*($AM$7-$AL$7)),$AN$7-SQRT((1-AV986)*($AN$7-$AL$7)*($AN$7-$AM$7))),$AM$7)</f>
        <v/>
      </c>
      <c r="AN986">
        <f>IFERROR(IF(AW986&lt;($AM$8-$AL$8)/($AN$8-$AL$8),$AL$8+SQRT(AW986*($AN$8-$AL$8)*($AM$8-$AL$8)),$AN$8-SQRT((1-AW986)*($AN$8-$AL$8)*($AN$8-$AM$8))),$AM$8)</f>
        <v/>
      </c>
      <c r="AO986">
        <f>IFERROR(IF(AX986&lt;($AM$9-$AL$9)/($AN$9-$AL$9),$AL$9+SQRT(AX986*($AN$9-$AL$9)*($AM$9-$AL$9)),$AN$9-SQRT((1-AX986)*($AN$9-$AL$9)*($AN$9-$AM$9))),$AM$9)</f>
        <v/>
      </c>
      <c r="AP986">
        <f>IFERROR(IF(AY986&lt;($AM$10-$AL$10)/($AN$10-$AL$10),$AL$10+SQRT(AY986*($AN$10-$AL$10)*($AM$10-$AL$10)),$AN$10-SQRT((1-AY986)*($AN$10-$AL$10)*($AN$10-$AM$10))),$AM$10)</f>
        <v/>
      </c>
      <c r="AQ986">
        <f>IFERROR(IF(AZ986&lt;($AM$11-$AL$11)/($AN$11-$AL$11),$AL$11+SQRT(AZ986*($AN$11-$AL$11)*($AM$11-$AL$11)),$AN$11-SQRT((1-AZ986)*($AN$11-$AL$11)*($AN$11-$AM$11))),$AM$11)</f>
        <v/>
      </c>
      <c r="AR986">
        <f>SUMPRODUCT((B24:B31&lt;=$B$6)*(C24:C31*AM986+D24:D31*AO986*$B$8*AQ986)/(1+AL986/100)^B24:B31)+C32*AM986*AP986/(1+AL986/100)^$B$6</f>
        <v/>
      </c>
      <c r="AS986">
        <f>SUMPRODUCT((K24:K26&lt;=$B$6)*(L24:L26*AN986+M24:M26*AO986*$B$8*AQ986)/(1+AL986/100)^K24:K26)+L27*AN986*AP986/(1+AL986/100)^$B$6</f>
        <v/>
      </c>
      <c r="AT986">
        <f>AS986-AR986</f>
        <v/>
      </c>
      <c r="AU986">
        <f>RAND()</f>
        <v/>
      </c>
      <c r="AV986">
        <f>RAND()</f>
        <v/>
      </c>
      <c r="AW986">
        <f>RAND()</f>
        <v/>
      </c>
      <c r="AX986">
        <f>RAND()</f>
        <v/>
      </c>
      <c r="AY986">
        <f>RAND()</f>
        <v/>
      </c>
      <c r="AZ986">
        <f>RAND()</f>
        <v/>
      </c>
    </row>
    <row r="987">
      <c r="AK987" t="n">
        <v>974</v>
      </c>
      <c r="AL987">
        <f>IFERROR(IF(AU987&lt;($AM$6-$AL$6)/($AN$6-$AL$6),$AL$6+SQRT(AU987*($AN$6-$AL$6)*($AM$6-$AL$6)),$AN$6-SQRT((1-AU987)*($AN$6-$AL$6)*($AN$6-$AM$6))),$AM$6)</f>
        <v/>
      </c>
      <c r="AM987">
        <f>IFERROR(IF(AV987&lt;($AM$7-$AL$7)/($AN$7-$AL$7),$AL$7+SQRT(AV987*($AN$7-$AL$7)*($AM$7-$AL$7)),$AN$7-SQRT((1-AV987)*($AN$7-$AL$7)*($AN$7-$AM$7))),$AM$7)</f>
        <v/>
      </c>
      <c r="AN987">
        <f>IFERROR(IF(AW987&lt;($AM$8-$AL$8)/($AN$8-$AL$8),$AL$8+SQRT(AW987*($AN$8-$AL$8)*($AM$8-$AL$8)),$AN$8-SQRT((1-AW987)*($AN$8-$AL$8)*($AN$8-$AM$8))),$AM$8)</f>
        <v/>
      </c>
      <c r="AO987">
        <f>IFERROR(IF(AX987&lt;($AM$9-$AL$9)/($AN$9-$AL$9),$AL$9+SQRT(AX987*($AN$9-$AL$9)*($AM$9-$AL$9)),$AN$9-SQRT((1-AX987)*($AN$9-$AL$9)*($AN$9-$AM$9))),$AM$9)</f>
        <v/>
      </c>
      <c r="AP987">
        <f>IFERROR(IF(AY987&lt;($AM$10-$AL$10)/($AN$10-$AL$10),$AL$10+SQRT(AY987*($AN$10-$AL$10)*($AM$10-$AL$10)),$AN$10-SQRT((1-AY987)*($AN$10-$AL$10)*($AN$10-$AM$10))),$AM$10)</f>
        <v/>
      </c>
      <c r="AQ987">
        <f>IFERROR(IF(AZ987&lt;($AM$11-$AL$11)/($AN$11-$AL$11),$AL$11+SQRT(AZ987*($AN$11-$AL$11)*($AM$11-$AL$11)),$AN$11-SQRT((1-AZ987)*($AN$11-$AL$11)*($AN$11-$AM$11))),$AM$11)</f>
        <v/>
      </c>
      <c r="AR987">
        <f>SUMPRODUCT((B24:B31&lt;=$B$6)*(C24:C31*AM987+D24:D31*AO987*$B$8*AQ987)/(1+AL987/100)^B24:B31)+C32*AM987*AP987/(1+AL987/100)^$B$6</f>
        <v/>
      </c>
      <c r="AS987">
        <f>SUMPRODUCT((K24:K26&lt;=$B$6)*(L24:L26*AN987+M24:M26*AO987*$B$8*AQ987)/(1+AL987/100)^K24:K26)+L27*AN987*AP987/(1+AL987/100)^$B$6</f>
        <v/>
      </c>
      <c r="AT987">
        <f>AS987-AR987</f>
        <v/>
      </c>
      <c r="AU987">
        <f>RAND()</f>
        <v/>
      </c>
      <c r="AV987">
        <f>RAND()</f>
        <v/>
      </c>
      <c r="AW987">
        <f>RAND()</f>
        <v/>
      </c>
      <c r="AX987">
        <f>RAND()</f>
        <v/>
      </c>
      <c r="AY987">
        <f>RAND()</f>
        <v/>
      </c>
      <c r="AZ987">
        <f>RAND()</f>
        <v/>
      </c>
    </row>
    <row r="988">
      <c r="AK988" t="n">
        <v>975</v>
      </c>
      <c r="AL988">
        <f>IFERROR(IF(AU988&lt;($AM$6-$AL$6)/($AN$6-$AL$6),$AL$6+SQRT(AU988*($AN$6-$AL$6)*($AM$6-$AL$6)),$AN$6-SQRT((1-AU988)*($AN$6-$AL$6)*($AN$6-$AM$6))),$AM$6)</f>
        <v/>
      </c>
      <c r="AM988">
        <f>IFERROR(IF(AV988&lt;($AM$7-$AL$7)/($AN$7-$AL$7),$AL$7+SQRT(AV988*($AN$7-$AL$7)*($AM$7-$AL$7)),$AN$7-SQRT((1-AV988)*($AN$7-$AL$7)*($AN$7-$AM$7))),$AM$7)</f>
        <v/>
      </c>
      <c r="AN988">
        <f>IFERROR(IF(AW988&lt;($AM$8-$AL$8)/($AN$8-$AL$8),$AL$8+SQRT(AW988*($AN$8-$AL$8)*($AM$8-$AL$8)),$AN$8-SQRT((1-AW988)*($AN$8-$AL$8)*($AN$8-$AM$8))),$AM$8)</f>
        <v/>
      </c>
      <c r="AO988">
        <f>IFERROR(IF(AX988&lt;($AM$9-$AL$9)/($AN$9-$AL$9),$AL$9+SQRT(AX988*($AN$9-$AL$9)*($AM$9-$AL$9)),$AN$9-SQRT((1-AX988)*($AN$9-$AL$9)*($AN$9-$AM$9))),$AM$9)</f>
        <v/>
      </c>
      <c r="AP988">
        <f>IFERROR(IF(AY988&lt;($AM$10-$AL$10)/($AN$10-$AL$10),$AL$10+SQRT(AY988*($AN$10-$AL$10)*($AM$10-$AL$10)),$AN$10-SQRT((1-AY988)*($AN$10-$AL$10)*($AN$10-$AM$10))),$AM$10)</f>
        <v/>
      </c>
      <c r="AQ988">
        <f>IFERROR(IF(AZ988&lt;($AM$11-$AL$11)/($AN$11-$AL$11),$AL$11+SQRT(AZ988*($AN$11-$AL$11)*($AM$11-$AL$11)),$AN$11-SQRT((1-AZ988)*($AN$11-$AL$11)*($AN$11-$AM$11))),$AM$11)</f>
        <v/>
      </c>
      <c r="AR988">
        <f>SUMPRODUCT((B24:B31&lt;=$B$6)*(C24:C31*AM988+D24:D31*AO988*$B$8*AQ988)/(1+AL988/100)^B24:B31)+C32*AM988*AP988/(1+AL988/100)^$B$6</f>
        <v/>
      </c>
      <c r="AS988">
        <f>SUMPRODUCT((K24:K26&lt;=$B$6)*(L24:L26*AN988+M24:M26*AO988*$B$8*AQ988)/(1+AL988/100)^K24:K26)+L27*AN988*AP988/(1+AL988/100)^$B$6</f>
        <v/>
      </c>
      <c r="AT988">
        <f>AS988-AR988</f>
        <v/>
      </c>
      <c r="AU988">
        <f>RAND()</f>
        <v/>
      </c>
      <c r="AV988">
        <f>RAND()</f>
        <v/>
      </c>
      <c r="AW988">
        <f>RAND()</f>
        <v/>
      </c>
      <c r="AX988">
        <f>RAND()</f>
        <v/>
      </c>
      <c r="AY988">
        <f>RAND()</f>
        <v/>
      </c>
      <c r="AZ988">
        <f>RAND()</f>
        <v/>
      </c>
    </row>
    <row r="989">
      <c r="AK989" t="n">
        <v>976</v>
      </c>
      <c r="AL989">
        <f>IFERROR(IF(AU989&lt;($AM$6-$AL$6)/($AN$6-$AL$6),$AL$6+SQRT(AU989*($AN$6-$AL$6)*($AM$6-$AL$6)),$AN$6-SQRT((1-AU989)*($AN$6-$AL$6)*($AN$6-$AM$6))),$AM$6)</f>
        <v/>
      </c>
      <c r="AM989">
        <f>IFERROR(IF(AV989&lt;($AM$7-$AL$7)/($AN$7-$AL$7),$AL$7+SQRT(AV989*($AN$7-$AL$7)*($AM$7-$AL$7)),$AN$7-SQRT((1-AV989)*($AN$7-$AL$7)*($AN$7-$AM$7))),$AM$7)</f>
        <v/>
      </c>
      <c r="AN989">
        <f>IFERROR(IF(AW989&lt;($AM$8-$AL$8)/($AN$8-$AL$8),$AL$8+SQRT(AW989*($AN$8-$AL$8)*($AM$8-$AL$8)),$AN$8-SQRT((1-AW989)*($AN$8-$AL$8)*($AN$8-$AM$8))),$AM$8)</f>
        <v/>
      </c>
      <c r="AO989">
        <f>IFERROR(IF(AX989&lt;($AM$9-$AL$9)/($AN$9-$AL$9),$AL$9+SQRT(AX989*($AN$9-$AL$9)*($AM$9-$AL$9)),$AN$9-SQRT((1-AX989)*($AN$9-$AL$9)*($AN$9-$AM$9))),$AM$9)</f>
        <v/>
      </c>
      <c r="AP989">
        <f>IFERROR(IF(AY989&lt;($AM$10-$AL$10)/($AN$10-$AL$10),$AL$10+SQRT(AY989*($AN$10-$AL$10)*($AM$10-$AL$10)),$AN$10-SQRT((1-AY989)*($AN$10-$AL$10)*($AN$10-$AM$10))),$AM$10)</f>
        <v/>
      </c>
      <c r="AQ989">
        <f>IFERROR(IF(AZ989&lt;($AM$11-$AL$11)/($AN$11-$AL$11),$AL$11+SQRT(AZ989*($AN$11-$AL$11)*($AM$11-$AL$11)),$AN$11-SQRT((1-AZ989)*($AN$11-$AL$11)*($AN$11-$AM$11))),$AM$11)</f>
        <v/>
      </c>
      <c r="AR989">
        <f>SUMPRODUCT((B24:B31&lt;=$B$6)*(C24:C31*AM989+D24:D31*AO989*$B$8*AQ989)/(1+AL989/100)^B24:B31)+C32*AM989*AP989/(1+AL989/100)^$B$6</f>
        <v/>
      </c>
      <c r="AS989">
        <f>SUMPRODUCT((K24:K26&lt;=$B$6)*(L24:L26*AN989+M24:M26*AO989*$B$8*AQ989)/(1+AL989/100)^K24:K26)+L27*AN989*AP989/(1+AL989/100)^$B$6</f>
        <v/>
      </c>
      <c r="AT989">
        <f>AS989-AR989</f>
        <v/>
      </c>
      <c r="AU989">
        <f>RAND()</f>
        <v/>
      </c>
      <c r="AV989">
        <f>RAND()</f>
        <v/>
      </c>
      <c r="AW989">
        <f>RAND()</f>
        <v/>
      </c>
      <c r="AX989">
        <f>RAND()</f>
        <v/>
      </c>
      <c r="AY989">
        <f>RAND()</f>
        <v/>
      </c>
      <c r="AZ989">
        <f>RAND()</f>
        <v/>
      </c>
    </row>
    <row r="990">
      <c r="AK990" t="n">
        <v>977</v>
      </c>
      <c r="AL990">
        <f>IFERROR(IF(AU990&lt;($AM$6-$AL$6)/($AN$6-$AL$6),$AL$6+SQRT(AU990*($AN$6-$AL$6)*($AM$6-$AL$6)),$AN$6-SQRT((1-AU990)*($AN$6-$AL$6)*($AN$6-$AM$6))),$AM$6)</f>
        <v/>
      </c>
      <c r="AM990">
        <f>IFERROR(IF(AV990&lt;($AM$7-$AL$7)/($AN$7-$AL$7),$AL$7+SQRT(AV990*($AN$7-$AL$7)*($AM$7-$AL$7)),$AN$7-SQRT((1-AV990)*($AN$7-$AL$7)*($AN$7-$AM$7))),$AM$7)</f>
        <v/>
      </c>
      <c r="AN990">
        <f>IFERROR(IF(AW990&lt;($AM$8-$AL$8)/($AN$8-$AL$8),$AL$8+SQRT(AW990*($AN$8-$AL$8)*($AM$8-$AL$8)),$AN$8-SQRT((1-AW990)*($AN$8-$AL$8)*($AN$8-$AM$8))),$AM$8)</f>
        <v/>
      </c>
      <c r="AO990">
        <f>IFERROR(IF(AX990&lt;($AM$9-$AL$9)/($AN$9-$AL$9),$AL$9+SQRT(AX990*($AN$9-$AL$9)*($AM$9-$AL$9)),$AN$9-SQRT((1-AX990)*($AN$9-$AL$9)*($AN$9-$AM$9))),$AM$9)</f>
        <v/>
      </c>
      <c r="AP990">
        <f>IFERROR(IF(AY990&lt;($AM$10-$AL$10)/($AN$10-$AL$10),$AL$10+SQRT(AY990*($AN$10-$AL$10)*($AM$10-$AL$10)),$AN$10-SQRT((1-AY990)*($AN$10-$AL$10)*($AN$10-$AM$10))),$AM$10)</f>
        <v/>
      </c>
      <c r="AQ990">
        <f>IFERROR(IF(AZ990&lt;($AM$11-$AL$11)/($AN$11-$AL$11),$AL$11+SQRT(AZ990*($AN$11-$AL$11)*($AM$11-$AL$11)),$AN$11-SQRT((1-AZ990)*($AN$11-$AL$11)*($AN$11-$AM$11))),$AM$11)</f>
        <v/>
      </c>
      <c r="AR990">
        <f>SUMPRODUCT((B24:B31&lt;=$B$6)*(C24:C31*AM990+D24:D31*AO990*$B$8*AQ990)/(1+AL990/100)^B24:B31)+C32*AM990*AP990/(1+AL990/100)^$B$6</f>
        <v/>
      </c>
      <c r="AS990">
        <f>SUMPRODUCT((K24:K26&lt;=$B$6)*(L24:L26*AN990+M24:M26*AO990*$B$8*AQ990)/(1+AL990/100)^K24:K26)+L27*AN990*AP990/(1+AL990/100)^$B$6</f>
        <v/>
      </c>
      <c r="AT990">
        <f>AS990-AR990</f>
        <v/>
      </c>
      <c r="AU990">
        <f>RAND()</f>
        <v/>
      </c>
      <c r="AV990">
        <f>RAND()</f>
        <v/>
      </c>
      <c r="AW990">
        <f>RAND()</f>
        <v/>
      </c>
      <c r="AX990">
        <f>RAND()</f>
        <v/>
      </c>
      <c r="AY990">
        <f>RAND()</f>
        <v/>
      </c>
      <c r="AZ990">
        <f>RAND()</f>
        <v/>
      </c>
    </row>
    <row r="991">
      <c r="AK991" t="n">
        <v>978</v>
      </c>
      <c r="AL991">
        <f>IFERROR(IF(AU991&lt;($AM$6-$AL$6)/($AN$6-$AL$6),$AL$6+SQRT(AU991*($AN$6-$AL$6)*($AM$6-$AL$6)),$AN$6-SQRT((1-AU991)*($AN$6-$AL$6)*($AN$6-$AM$6))),$AM$6)</f>
        <v/>
      </c>
      <c r="AM991">
        <f>IFERROR(IF(AV991&lt;($AM$7-$AL$7)/($AN$7-$AL$7),$AL$7+SQRT(AV991*($AN$7-$AL$7)*($AM$7-$AL$7)),$AN$7-SQRT((1-AV991)*($AN$7-$AL$7)*($AN$7-$AM$7))),$AM$7)</f>
        <v/>
      </c>
      <c r="AN991">
        <f>IFERROR(IF(AW991&lt;($AM$8-$AL$8)/($AN$8-$AL$8),$AL$8+SQRT(AW991*($AN$8-$AL$8)*($AM$8-$AL$8)),$AN$8-SQRT((1-AW991)*($AN$8-$AL$8)*($AN$8-$AM$8))),$AM$8)</f>
        <v/>
      </c>
      <c r="AO991">
        <f>IFERROR(IF(AX991&lt;($AM$9-$AL$9)/($AN$9-$AL$9),$AL$9+SQRT(AX991*($AN$9-$AL$9)*($AM$9-$AL$9)),$AN$9-SQRT((1-AX991)*($AN$9-$AL$9)*($AN$9-$AM$9))),$AM$9)</f>
        <v/>
      </c>
      <c r="AP991">
        <f>IFERROR(IF(AY991&lt;($AM$10-$AL$10)/($AN$10-$AL$10),$AL$10+SQRT(AY991*($AN$10-$AL$10)*($AM$10-$AL$10)),$AN$10-SQRT((1-AY991)*($AN$10-$AL$10)*($AN$10-$AM$10))),$AM$10)</f>
        <v/>
      </c>
      <c r="AQ991">
        <f>IFERROR(IF(AZ991&lt;($AM$11-$AL$11)/($AN$11-$AL$11),$AL$11+SQRT(AZ991*($AN$11-$AL$11)*($AM$11-$AL$11)),$AN$11-SQRT((1-AZ991)*($AN$11-$AL$11)*($AN$11-$AM$11))),$AM$11)</f>
        <v/>
      </c>
      <c r="AR991">
        <f>SUMPRODUCT((B24:B31&lt;=$B$6)*(C24:C31*AM991+D24:D31*AO991*$B$8*AQ991)/(1+AL991/100)^B24:B31)+C32*AM991*AP991/(1+AL991/100)^$B$6</f>
        <v/>
      </c>
      <c r="AS991">
        <f>SUMPRODUCT((K24:K26&lt;=$B$6)*(L24:L26*AN991+M24:M26*AO991*$B$8*AQ991)/(1+AL991/100)^K24:K26)+L27*AN991*AP991/(1+AL991/100)^$B$6</f>
        <v/>
      </c>
      <c r="AT991">
        <f>AS991-AR991</f>
        <v/>
      </c>
      <c r="AU991">
        <f>RAND()</f>
        <v/>
      </c>
      <c r="AV991">
        <f>RAND()</f>
        <v/>
      </c>
      <c r="AW991">
        <f>RAND()</f>
        <v/>
      </c>
      <c r="AX991">
        <f>RAND()</f>
        <v/>
      </c>
      <c r="AY991">
        <f>RAND()</f>
        <v/>
      </c>
      <c r="AZ991">
        <f>RAND()</f>
        <v/>
      </c>
    </row>
    <row r="992">
      <c r="AK992" t="n">
        <v>979</v>
      </c>
      <c r="AL992">
        <f>IFERROR(IF(AU992&lt;($AM$6-$AL$6)/($AN$6-$AL$6),$AL$6+SQRT(AU992*($AN$6-$AL$6)*($AM$6-$AL$6)),$AN$6-SQRT((1-AU992)*($AN$6-$AL$6)*($AN$6-$AM$6))),$AM$6)</f>
        <v/>
      </c>
      <c r="AM992">
        <f>IFERROR(IF(AV992&lt;($AM$7-$AL$7)/($AN$7-$AL$7),$AL$7+SQRT(AV992*($AN$7-$AL$7)*($AM$7-$AL$7)),$AN$7-SQRT((1-AV992)*($AN$7-$AL$7)*($AN$7-$AM$7))),$AM$7)</f>
        <v/>
      </c>
      <c r="AN992">
        <f>IFERROR(IF(AW992&lt;($AM$8-$AL$8)/($AN$8-$AL$8),$AL$8+SQRT(AW992*($AN$8-$AL$8)*($AM$8-$AL$8)),$AN$8-SQRT((1-AW992)*($AN$8-$AL$8)*($AN$8-$AM$8))),$AM$8)</f>
        <v/>
      </c>
      <c r="AO992">
        <f>IFERROR(IF(AX992&lt;($AM$9-$AL$9)/($AN$9-$AL$9),$AL$9+SQRT(AX992*($AN$9-$AL$9)*($AM$9-$AL$9)),$AN$9-SQRT((1-AX992)*($AN$9-$AL$9)*($AN$9-$AM$9))),$AM$9)</f>
        <v/>
      </c>
      <c r="AP992">
        <f>IFERROR(IF(AY992&lt;($AM$10-$AL$10)/($AN$10-$AL$10),$AL$10+SQRT(AY992*($AN$10-$AL$10)*($AM$10-$AL$10)),$AN$10-SQRT((1-AY992)*($AN$10-$AL$10)*($AN$10-$AM$10))),$AM$10)</f>
        <v/>
      </c>
      <c r="AQ992">
        <f>IFERROR(IF(AZ992&lt;($AM$11-$AL$11)/($AN$11-$AL$11),$AL$11+SQRT(AZ992*($AN$11-$AL$11)*($AM$11-$AL$11)),$AN$11-SQRT((1-AZ992)*($AN$11-$AL$11)*($AN$11-$AM$11))),$AM$11)</f>
        <v/>
      </c>
      <c r="AR992">
        <f>SUMPRODUCT((B24:B31&lt;=$B$6)*(C24:C31*AM992+D24:D31*AO992*$B$8*AQ992)/(1+AL992/100)^B24:B31)+C32*AM992*AP992/(1+AL992/100)^$B$6</f>
        <v/>
      </c>
      <c r="AS992">
        <f>SUMPRODUCT((K24:K26&lt;=$B$6)*(L24:L26*AN992+M24:M26*AO992*$B$8*AQ992)/(1+AL992/100)^K24:K26)+L27*AN992*AP992/(1+AL992/100)^$B$6</f>
        <v/>
      </c>
      <c r="AT992">
        <f>AS992-AR992</f>
        <v/>
      </c>
      <c r="AU992">
        <f>RAND()</f>
        <v/>
      </c>
      <c r="AV992">
        <f>RAND()</f>
        <v/>
      </c>
      <c r="AW992">
        <f>RAND()</f>
        <v/>
      </c>
      <c r="AX992">
        <f>RAND()</f>
        <v/>
      </c>
      <c r="AY992">
        <f>RAND()</f>
        <v/>
      </c>
      <c r="AZ992">
        <f>RAND()</f>
        <v/>
      </c>
    </row>
    <row r="993">
      <c r="AK993" t="n">
        <v>980</v>
      </c>
      <c r="AL993">
        <f>IFERROR(IF(AU993&lt;($AM$6-$AL$6)/($AN$6-$AL$6),$AL$6+SQRT(AU993*($AN$6-$AL$6)*($AM$6-$AL$6)),$AN$6-SQRT((1-AU993)*($AN$6-$AL$6)*($AN$6-$AM$6))),$AM$6)</f>
        <v/>
      </c>
      <c r="AM993">
        <f>IFERROR(IF(AV993&lt;($AM$7-$AL$7)/($AN$7-$AL$7),$AL$7+SQRT(AV993*($AN$7-$AL$7)*($AM$7-$AL$7)),$AN$7-SQRT((1-AV993)*($AN$7-$AL$7)*($AN$7-$AM$7))),$AM$7)</f>
        <v/>
      </c>
      <c r="AN993">
        <f>IFERROR(IF(AW993&lt;($AM$8-$AL$8)/($AN$8-$AL$8),$AL$8+SQRT(AW993*($AN$8-$AL$8)*($AM$8-$AL$8)),$AN$8-SQRT((1-AW993)*($AN$8-$AL$8)*($AN$8-$AM$8))),$AM$8)</f>
        <v/>
      </c>
      <c r="AO993">
        <f>IFERROR(IF(AX993&lt;($AM$9-$AL$9)/($AN$9-$AL$9),$AL$9+SQRT(AX993*($AN$9-$AL$9)*($AM$9-$AL$9)),$AN$9-SQRT((1-AX993)*($AN$9-$AL$9)*($AN$9-$AM$9))),$AM$9)</f>
        <v/>
      </c>
      <c r="AP993">
        <f>IFERROR(IF(AY993&lt;($AM$10-$AL$10)/($AN$10-$AL$10),$AL$10+SQRT(AY993*($AN$10-$AL$10)*($AM$10-$AL$10)),$AN$10-SQRT((1-AY993)*($AN$10-$AL$10)*($AN$10-$AM$10))),$AM$10)</f>
        <v/>
      </c>
      <c r="AQ993">
        <f>IFERROR(IF(AZ993&lt;($AM$11-$AL$11)/($AN$11-$AL$11),$AL$11+SQRT(AZ993*($AN$11-$AL$11)*($AM$11-$AL$11)),$AN$11-SQRT((1-AZ993)*($AN$11-$AL$11)*($AN$11-$AM$11))),$AM$11)</f>
        <v/>
      </c>
      <c r="AR993">
        <f>SUMPRODUCT((B24:B31&lt;=$B$6)*(C24:C31*AM993+D24:D31*AO993*$B$8*AQ993)/(1+AL993/100)^B24:B31)+C32*AM993*AP993/(1+AL993/100)^$B$6</f>
        <v/>
      </c>
      <c r="AS993">
        <f>SUMPRODUCT((K24:K26&lt;=$B$6)*(L24:L26*AN993+M24:M26*AO993*$B$8*AQ993)/(1+AL993/100)^K24:K26)+L27*AN993*AP993/(1+AL993/100)^$B$6</f>
        <v/>
      </c>
      <c r="AT993">
        <f>AS993-AR993</f>
        <v/>
      </c>
      <c r="AU993">
        <f>RAND()</f>
        <v/>
      </c>
      <c r="AV993">
        <f>RAND()</f>
        <v/>
      </c>
      <c r="AW993">
        <f>RAND()</f>
        <v/>
      </c>
      <c r="AX993">
        <f>RAND()</f>
        <v/>
      </c>
      <c r="AY993">
        <f>RAND()</f>
        <v/>
      </c>
      <c r="AZ993">
        <f>RAND()</f>
        <v/>
      </c>
    </row>
    <row r="994">
      <c r="AK994" t="n">
        <v>981</v>
      </c>
      <c r="AL994">
        <f>IFERROR(IF(AU994&lt;($AM$6-$AL$6)/($AN$6-$AL$6),$AL$6+SQRT(AU994*($AN$6-$AL$6)*($AM$6-$AL$6)),$AN$6-SQRT((1-AU994)*($AN$6-$AL$6)*($AN$6-$AM$6))),$AM$6)</f>
        <v/>
      </c>
      <c r="AM994">
        <f>IFERROR(IF(AV994&lt;($AM$7-$AL$7)/($AN$7-$AL$7),$AL$7+SQRT(AV994*($AN$7-$AL$7)*($AM$7-$AL$7)),$AN$7-SQRT((1-AV994)*($AN$7-$AL$7)*($AN$7-$AM$7))),$AM$7)</f>
        <v/>
      </c>
      <c r="AN994">
        <f>IFERROR(IF(AW994&lt;($AM$8-$AL$8)/($AN$8-$AL$8),$AL$8+SQRT(AW994*($AN$8-$AL$8)*($AM$8-$AL$8)),$AN$8-SQRT((1-AW994)*($AN$8-$AL$8)*($AN$8-$AM$8))),$AM$8)</f>
        <v/>
      </c>
      <c r="AO994">
        <f>IFERROR(IF(AX994&lt;($AM$9-$AL$9)/($AN$9-$AL$9),$AL$9+SQRT(AX994*($AN$9-$AL$9)*($AM$9-$AL$9)),$AN$9-SQRT((1-AX994)*($AN$9-$AL$9)*($AN$9-$AM$9))),$AM$9)</f>
        <v/>
      </c>
      <c r="AP994">
        <f>IFERROR(IF(AY994&lt;($AM$10-$AL$10)/($AN$10-$AL$10),$AL$10+SQRT(AY994*($AN$10-$AL$10)*($AM$10-$AL$10)),$AN$10-SQRT((1-AY994)*($AN$10-$AL$10)*($AN$10-$AM$10))),$AM$10)</f>
        <v/>
      </c>
      <c r="AQ994">
        <f>IFERROR(IF(AZ994&lt;($AM$11-$AL$11)/($AN$11-$AL$11),$AL$11+SQRT(AZ994*($AN$11-$AL$11)*($AM$11-$AL$11)),$AN$11-SQRT((1-AZ994)*($AN$11-$AL$11)*($AN$11-$AM$11))),$AM$11)</f>
        <v/>
      </c>
      <c r="AR994">
        <f>SUMPRODUCT((B24:B31&lt;=$B$6)*(C24:C31*AM994+D24:D31*AO994*$B$8*AQ994)/(1+AL994/100)^B24:B31)+C32*AM994*AP994/(1+AL994/100)^$B$6</f>
        <v/>
      </c>
      <c r="AS994">
        <f>SUMPRODUCT((K24:K26&lt;=$B$6)*(L24:L26*AN994+M24:M26*AO994*$B$8*AQ994)/(1+AL994/100)^K24:K26)+L27*AN994*AP994/(1+AL994/100)^$B$6</f>
        <v/>
      </c>
      <c r="AT994">
        <f>AS994-AR994</f>
        <v/>
      </c>
      <c r="AU994">
        <f>RAND()</f>
        <v/>
      </c>
      <c r="AV994">
        <f>RAND()</f>
        <v/>
      </c>
      <c r="AW994">
        <f>RAND()</f>
        <v/>
      </c>
      <c r="AX994">
        <f>RAND()</f>
        <v/>
      </c>
      <c r="AY994">
        <f>RAND()</f>
        <v/>
      </c>
      <c r="AZ994">
        <f>RAND()</f>
        <v/>
      </c>
    </row>
    <row r="995">
      <c r="AK995" t="n">
        <v>982</v>
      </c>
      <c r="AL995">
        <f>IFERROR(IF(AU995&lt;($AM$6-$AL$6)/($AN$6-$AL$6),$AL$6+SQRT(AU995*($AN$6-$AL$6)*($AM$6-$AL$6)),$AN$6-SQRT((1-AU995)*($AN$6-$AL$6)*($AN$6-$AM$6))),$AM$6)</f>
        <v/>
      </c>
      <c r="AM995">
        <f>IFERROR(IF(AV995&lt;($AM$7-$AL$7)/($AN$7-$AL$7),$AL$7+SQRT(AV995*($AN$7-$AL$7)*($AM$7-$AL$7)),$AN$7-SQRT((1-AV995)*($AN$7-$AL$7)*($AN$7-$AM$7))),$AM$7)</f>
        <v/>
      </c>
      <c r="AN995">
        <f>IFERROR(IF(AW995&lt;($AM$8-$AL$8)/($AN$8-$AL$8),$AL$8+SQRT(AW995*($AN$8-$AL$8)*($AM$8-$AL$8)),$AN$8-SQRT((1-AW995)*($AN$8-$AL$8)*($AN$8-$AM$8))),$AM$8)</f>
        <v/>
      </c>
      <c r="AO995">
        <f>IFERROR(IF(AX995&lt;($AM$9-$AL$9)/($AN$9-$AL$9),$AL$9+SQRT(AX995*($AN$9-$AL$9)*($AM$9-$AL$9)),$AN$9-SQRT((1-AX995)*($AN$9-$AL$9)*($AN$9-$AM$9))),$AM$9)</f>
        <v/>
      </c>
      <c r="AP995">
        <f>IFERROR(IF(AY995&lt;($AM$10-$AL$10)/($AN$10-$AL$10),$AL$10+SQRT(AY995*($AN$10-$AL$10)*($AM$10-$AL$10)),$AN$10-SQRT((1-AY995)*($AN$10-$AL$10)*($AN$10-$AM$10))),$AM$10)</f>
        <v/>
      </c>
      <c r="AQ995">
        <f>IFERROR(IF(AZ995&lt;($AM$11-$AL$11)/($AN$11-$AL$11),$AL$11+SQRT(AZ995*($AN$11-$AL$11)*($AM$11-$AL$11)),$AN$11-SQRT((1-AZ995)*($AN$11-$AL$11)*($AN$11-$AM$11))),$AM$11)</f>
        <v/>
      </c>
      <c r="AR995">
        <f>SUMPRODUCT((B24:B31&lt;=$B$6)*(C24:C31*AM995+D24:D31*AO995*$B$8*AQ995)/(1+AL995/100)^B24:B31)+C32*AM995*AP995/(1+AL995/100)^$B$6</f>
        <v/>
      </c>
      <c r="AS995">
        <f>SUMPRODUCT((K24:K26&lt;=$B$6)*(L24:L26*AN995+M24:M26*AO995*$B$8*AQ995)/(1+AL995/100)^K24:K26)+L27*AN995*AP995/(1+AL995/100)^$B$6</f>
        <v/>
      </c>
      <c r="AT995">
        <f>AS995-AR995</f>
        <v/>
      </c>
      <c r="AU995">
        <f>RAND()</f>
        <v/>
      </c>
      <c r="AV995">
        <f>RAND()</f>
        <v/>
      </c>
      <c r="AW995">
        <f>RAND()</f>
        <v/>
      </c>
      <c r="AX995">
        <f>RAND()</f>
        <v/>
      </c>
      <c r="AY995">
        <f>RAND()</f>
        <v/>
      </c>
      <c r="AZ995">
        <f>RAND()</f>
        <v/>
      </c>
    </row>
    <row r="996">
      <c r="AK996" t="n">
        <v>983</v>
      </c>
      <c r="AL996">
        <f>IFERROR(IF(AU996&lt;($AM$6-$AL$6)/($AN$6-$AL$6),$AL$6+SQRT(AU996*($AN$6-$AL$6)*($AM$6-$AL$6)),$AN$6-SQRT((1-AU996)*($AN$6-$AL$6)*($AN$6-$AM$6))),$AM$6)</f>
        <v/>
      </c>
      <c r="AM996">
        <f>IFERROR(IF(AV996&lt;($AM$7-$AL$7)/($AN$7-$AL$7),$AL$7+SQRT(AV996*($AN$7-$AL$7)*($AM$7-$AL$7)),$AN$7-SQRT((1-AV996)*($AN$7-$AL$7)*($AN$7-$AM$7))),$AM$7)</f>
        <v/>
      </c>
      <c r="AN996">
        <f>IFERROR(IF(AW996&lt;($AM$8-$AL$8)/($AN$8-$AL$8),$AL$8+SQRT(AW996*($AN$8-$AL$8)*($AM$8-$AL$8)),$AN$8-SQRT((1-AW996)*($AN$8-$AL$8)*($AN$8-$AM$8))),$AM$8)</f>
        <v/>
      </c>
      <c r="AO996">
        <f>IFERROR(IF(AX996&lt;($AM$9-$AL$9)/($AN$9-$AL$9),$AL$9+SQRT(AX996*($AN$9-$AL$9)*($AM$9-$AL$9)),$AN$9-SQRT((1-AX996)*($AN$9-$AL$9)*($AN$9-$AM$9))),$AM$9)</f>
        <v/>
      </c>
      <c r="AP996">
        <f>IFERROR(IF(AY996&lt;($AM$10-$AL$10)/($AN$10-$AL$10),$AL$10+SQRT(AY996*($AN$10-$AL$10)*($AM$10-$AL$10)),$AN$10-SQRT((1-AY996)*($AN$10-$AL$10)*($AN$10-$AM$10))),$AM$10)</f>
        <v/>
      </c>
      <c r="AQ996">
        <f>IFERROR(IF(AZ996&lt;($AM$11-$AL$11)/($AN$11-$AL$11),$AL$11+SQRT(AZ996*($AN$11-$AL$11)*($AM$11-$AL$11)),$AN$11-SQRT((1-AZ996)*($AN$11-$AL$11)*($AN$11-$AM$11))),$AM$11)</f>
        <v/>
      </c>
      <c r="AR996">
        <f>SUMPRODUCT((B24:B31&lt;=$B$6)*(C24:C31*AM996+D24:D31*AO996*$B$8*AQ996)/(1+AL996/100)^B24:B31)+C32*AM996*AP996/(1+AL996/100)^$B$6</f>
        <v/>
      </c>
      <c r="AS996">
        <f>SUMPRODUCT((K24:K26&lt;=$B$6)*(L24:L26*AN996+M24:M26*AO996*$B$8*AQ996)/(1+AL996/100)^K24:K26)+L27*AN996*AP996/(1+AL996/100)^$B$6</f>
        <v/>
      </c>
      <c r="AT996">
        <f>AS996-AR996</f>
        <v/>
      </c>
      <c r="AU996">
        <f>RAND()</f>
        <v/>
      </c>
      <c r="AV996">
        <f>RAND()</f>
        <v/>
      </c>
      <c r="AW996">
        <f>RAND()</f>
        <v/>
      </c>
      <c r="AX996">
        <f>RAND()</f>
        <v/>
      </c>
      <c r="AY996">
        <f>RAND()</f>
        <v/>
      </c>
      <c r="AZ996">
        <f>RAND()</f>
        <v/>
      </c>
    </row>
    <row r="997">
      <c r="AK997" t="n">
        <v>984</v>
      </c>
      <c r="AL997">
        <f>IFERROR(IF(AU997&lt;($AM$6-$AL$6)/($AN$6-$AL$6),$AL$6+SQRT(AU997*($AN$6-$AL$6)*($AM$6-$AL$6)),$AN$6-SQRT((1-AU997)*($AN$6-$AL$6)*($AN$6-$AM$6))),$AM$6)</f>
        <v/>
      </c>
      <c r="AM997">
        <f>IFERROR(IF(AV997&lt;($AM$7-$AL$7)/($AN$7-$AL$7),$AL$7+SQRT(AV997*($AN$7-$AL$7)*($AM$7-$AL$7)),$AN$7-SQRT((1-AV997)*($AN$7-$AL$7)*($AN$7-$AM$7))),$AM$7)</f>
        <v/>
      </c>
      <c r="AN997">
        <f>IFERROR(IF(AW997&lt;($AM$8-$AL$8)/($AN$8-$AL$8),$AL$8+SQRT(AW997*($AN$8-$AL$8)*($AM$8-$AL$8)),$AN$8-SQRT((1-AW997)*($AN$8-$AL$8)*($AN$8-$AM$8))),$AM$8)</f>
        <v/>
      </c>
      <c r="AO997">
        <f>IFERROR(IF(AX997&lt;($AM$9-$AL$9)/($AN$9-$AL$9),$AL$9+SQRT(AX997*($AN$9-$AL$9)*($AM$9-$AL$9)),$AN$9-SQRT((1-AX997)*($AN$9-$AL$9)*($AN$9-$AM$9))),$AM$9)</f>
        <v/>
      </c>
      <c r="AP997">
        <f>IFERROR(IF(AY997&lt;($AM$10-$AL$10)/($AN$10-$AL$10),$AL$10+SQRT(AY997*($AN$10-$AL$10)*($AM$10-$AL$10)),$AN$10-SQRT((1-AY997)*($AN$10-$AL$10)*($AN$10-$AM$10))),$AM$10)</f>
        <v/>
      </c>
      <c r="AQ997">
        <f>IFERROR(IF(AZ997&lt;($AM$11-$AL$11)/($AN$11-$AL$11),$AL$11+SQRT(AZ997*($AN$11-$AL$11)*($AM$11-$AL$11)),$AN$11-SQRT((1-AZ997)*($AN$11-$AL$11)*($AN$11-$AM$11))),$AM$11)</f>
        <v/>
      </c>
      <c r="AR997">
        <f>SUMPRODUCT((B24:B31&lt;=$B$6)*(C24:C31*AM997+D24:D31*AO997*$B$8*AQ997)/(1+AL997/100)^B24:B31)+C32*AM997*AP997/(1+AL997/100)^$B$6</f>
        <v/>
      </c>
      <c r="AS997">
        <f>SUMPRODUCT((K24:K26&lt;=$B$6)*(L24:L26*AN997+M24:M26*AO997*$B$8*AQ997)/(1+AL997/100)^K24:K26)+L27*AN997*AP997/(1+AL997/100)^$B$6</f>
        <v/>
      </c>
      <c r="AT997">
        <f>AS997-AR997</f>
        <v/>
      </c>
      <c r="AU997">
        <f>RAND()</f>
        <v/>
      </c>
      <c r="AV997">
        <f>RAND()</f>
        <v/>
      </c>
      <c r="AW997">
        <f>RAND()</f>
        <v/>
      </c>
      <c r="AX997">
        <f>RAND()</f>
        <v/>
      </c>
      <c r="AY997">
        <f>RAND()</f>
        <v/>
      </c>
      <c r="AZ997">
        <f>RAND()</f>
        <v/>
      </c>
    </row>
    <row r="998">
      <c r="AK998" t="n">
        <v>985</v>
      </c>
      <c r="AL998">
        <f>IFERROR(IF(AU998&lt;($AM$6-$AL$6)/($AN$6-$AL$6),$AL$6+SQRT(AU998*($AN$6-$AL$6)*($AM$6-$AL$6)),$AN$6-SQRT((1-AU998)*($AN$6-$AL$6)*($AN$6-$AM$6))),$AM$6)</f>
        <v/>
      </c>
      <c r="AM998">
        <f>IFERROR(IF(AV998&lt;($AM$7-$AL$7)/($AN$7-$AL$7),$AL$7+SQRT(AV998*($AN$7-$AL$7)*($AM$7-$AL$7)),$AN$7-SQRT((1-AV998)*($AN$7-$AL$7)*($AN$7-$AM$7))),$AM$7)</f>
        <v/>
      </c>
      <c r="AN998">
        <f>IFERROR(IF(AW998&lt;($AM$8-$AL$8)/($AN$8-$AL$8),$AL$8+SQRT(AW998*($AN$8-$AL$8)*($AM$8-$AL$8)),$AN$8-SQRT((1-AW998)*($AN$8-$AL$8)*($AN$8-$AM$8))),$AM$8)</f>
        <v/>
      </c>
      <c r="AO998">
        <f>IFERROR(IF(AX998&lt;($AM$9-$AL$9)/($AN$9-$AL$9),$AL$9+SQRT(AX998*($AN$9-$AL$9)*($AM$9-$AL$9)),$AN$9-SQRT((1-AX998)*($AN$9-$AL$9)*($AN$9-$AM$9))),$AM$9)</f>
        <v/>
      </c>
      <c r="AP998">
        <f>IFERROR(IF(AY998&lt;($AM$10-$AL$10)/($AN$10-$AL$10),$AL$10+SQRT(AY998*($AN$10-$AL$10)*($AM$10-$AL$10)),$AN$10-SQRT((1-AY998)*($AN$10-$AL$10)*($AN$10-$AM$10))),$AM$10)</f>
        <v/>
      </c>
      <c r="AQ998">
        <f>IFERROR(IF(AZ998&lt;($AM$11-$AL$11)/($AN$11-$AL$11),$AL$11+SQRT(AZ998*($AN$11-$AL$11)*($AM$11-$AL$11)),$AN$11-SQRT((1-AZ998)*($AN$11-$AL$11)*($AN$11-$AM$11))),$AM$11)</f>
        <v/>
      </c>
      <c r="AR998">
        <f>SUMPRODUCT((B24:B31&lt;=$B$6)*(C24:C31*AM998+D24:D31*AO998*$B$8*AQ998)/(1+AL998/100)^B24:B31)+C32*AM998*AP998/(1+AL998/100)^$B$6</f>
        <v/>
      </c>
      <c r="AS998">
        <f>SUMPRODUCT((K24:K26&lt;=$B$6)*(L24:L26*AN998+M24:M26*AO998*$B$8*AQ998)/(1+AL998/100)^K24:K26)+L27*AN998*AP998/(1+AL998/100)^$B$6</f>
        <v/>
      </c>
      <c r="AT998">
        <f>AS998-AR998</f>
        <v/>
      </c>
      <c r="AU998">
        <f>RAND()</f>
        <v/>
      </c>
      <c r="AV998">
        <f>RAND()</f>
        <v/>
      </c>
      <c r="AW998">
        <f>RAND()</f>
        <v/>
      </c>
      <c r="AX998">
        <f>RAND()</f>
        <v/>
      </c>
      <c r="AY998">
        <f>RAND()</f>
        <v/>
      </c>
      <c r="AZ998">
        <f>RAND()</f>
        <v/>
      </c>
    </row>
    <row r="999">
      <c r="AK999" t="n">
        <v>986</v>
      </c>
      <c r="AL999">
        <f>IFERROR(IF(AU999&lt;($AM$6-$AL$6)/($AN$6-$AL$6),$AL$6+SQRT(AU999*($AN$6-$AL$6)*($AM$6-$AL$6)),$AN$6-SQRT((1-AU999)*($AN$6-$AL$6)*($AN$6-$AM$6))),$AM$6)</f>
        <v/>
      </c>
      <c r="AM999">
        <f>IFERROR(IF(AV999&lt;($AM$7-$AL$7)/($AN$7-$AL$7),$AL$7+SQRT(AV999*($AN$7-$AL$7)*($AM$7-$AL$7)),$AN$7-SQRT((1-AV999)*($AN$7-$AL$7)*($AN$7-$AM$7))),$AM$7)</f>
        <v/>
      </c>
      <c r="AN999">
        <f>IFERROR(IF(AW999&lt;($AM$8-$AL$8)/($AN$8-$AL$8),$AL$8+SQRT(AW999*($AN$8-$AL$8)*($AM$8-$AL$8)),$AN$8-SQRT((1-AW999)*($AN$8-$AL$8)*($AN$8-$AM$8))),$AM$8)</f>
        <v/>
      </c>
      <c r="AO999">
        <f>IFERROR(IF(AX999&lt;($AM$9-$AL$9)/($AN$9-$AL$9),$AL$9+SQRT(AX999*($AN$9-$AL$9)*($AM$9-$AL$9)),$AN$9-SQRT((1-AX999)*($AN$9-$AL$9)*($AN$9-$AM$9))),$AM$9)</f>
        <v/>
      </c>
      <c r="AP999">
        <f>IFERROR(IF(AY999&lt;($AM$10-$AL$10)/($AN$10-$AL$10),$AL$10+SQRT(AY999*($AN$10-$AL$10)*($AM$10-$AL$10)),$AN$10-SQRT((1-AY999)*($AN$10-$AL$10)*($AN$10-$AM$10))),$AM$10)</f>
        <v/>
      </c>
      <c r="AQ999">
        <f>IFERROR(IF(AZ999&lt;($AM$11-$AL$11)/($AN$11-$AL$11),$AL$11+SQRT(AZ999*($AN$11-$AL$11)*($AM$11-$AL$11)),$AN$11-SQRT((1-AZ999)*($AN$11-$AL$11)*($AN$11-$AM$11))),$AM$11)</f>
        <v/>
      </c>
      <c r="AR999">
        <f>SUMPRODUCT((B24:B31&lt;=$B$6)*(C24:C31*AM999+D24:D31*AO999*$B$8*AQ999)/(1+AL999/100)^B24:B31)+C32*AM999*AP999/(1+AL999/100)^$B$6</f>
        <v/>
      </c>
      <c r="AS999">
        <f>SUMPRODUCT((K24:K26&lt;=$B$6)*(L24:L26*AN999+M24:M26*AO999*$B$8*AQ999)/(1+AL999/100)^K24:K26)+L27*AN999*AP999/(1+AL999/100)^$B$6</f>
        <v/>
      </c>
      <c r="AT999">
        <f>AS999-AR999</f>
        <v/>
      </c>
      <c r="AU999">
        <f>RAND()</f>
        <v/>
      </c>
      <c r="AV999">
        <f>RAND()</f>
        <v/>
      </c>
      <c r="AW999">
        <f>RAND()</f>
        <v/>
      </c>
      <c r="AX999">
        <f>RAND()</f>
        <v/>
      </c>
      <c r="AY999">
        <f>RAND()</f>
        <v/>
      </c>
      <c r="AZ999">
        <f>RAND()</f>
        <v/>
      </c>
    </row>
    <row r="1000">
      <c r="AK1000" t="n">
        <v>987</v>
      </c>
      <c r="AL1000">
        <f>IFERROR(IF(AU1000&lt;($AM$6-$AL$6)/($AN$6-$AL$6),$AL$6+SQRT(AU1000*($AN$6-$AL$6)*($AM$6-$AL$6)),$AN$6-SQRT((1-AU1000)*($AN$6-$AL$6)*($AN$6-$AM$6))),$AM$6)</f>
        <v/>
      </c>
      <c r="AM1000">
        <f>IFERROR(IF(AV1000&lt;($AM$7-$AL$7)/($AN$7-$AL$7),$AL$7+SQRT(AV1000*($AN$7-$AL$7)*($AM$7-$AL$7)),$AN$7-SQRT((1-AV1000)*($AN$7-$AL$7)*($AN$7-$AM$7))),$AM$7)</f>
        <v/>
      </c>
      <c r="AN1000">
        <f>IFERROR(IF(AW1000&lt;($AM$8-$AL$8)/($AN$8-$AL$8),$AL$8+SQRT(AW1000*($AN$8-$AL$8)*($AM$8-$AL$8)),$AN$8-SQRT((1-AW1000)*($AN$8-$AL$8)*($AN$8-$AM$8))),$AM$8)</f>
        <v/>
      </c>
      <c r="AO1000">
        <f>IFERROR(IF(AX1000&lt;($AM$9-$AL$9)/($AN$9-$AL$9),$AL$9+SQRT(AX1000*($AN$9-$AL$9)*($AM$9-$AL$9)),$AN$9-SQRT((1-AX1000)*($AN$9-$AL$9)*($AN$9-$AM$9))),$AM$9)</f>
        <v/>
      </c>
      <c r="AP1000">
        <f>IFERROR(IF(AY1000&lt;($AM$10-$AL$10)/($AN$10-$AL$10),$AL$10+SQRT(AY1000*($AN$10-$AL$10)*($AM$10-$AL$10)),$AN$10-SQRT((1-AY1000)*($AN$10-$AL$10)*($AN$10-$AM$10))),$AM$10)</f>
        <v/>
      </c>
      <c r="AQ1000">
        <f>IFERROR(IF(AZ1000&lt;($AM$11-$AL$11)/($AN$11-$AL$11),$AL$11+SQRT(AZ1000*($AN$11-$AL$11)*($AM$11-$AL$11)),$AN$11-SQRT((1-AZ1000)*($AN$11-$AL$11)*($AN$11-$AM$11))),$AM$11)</f>
        <v/>
      </c>
      <c r="AR1000">
        <f>SUMPRODUCT((B24:B31&lt;=$B$6)*(C24:C31*AM1000+D24:D31*AO1000*$B$8*AQ1000)/(1+AL1000/100)^B24:B31)+C32*AM1000*AP1000/(1+AL1000/100)^$B$6</f>
        <v/>
      </c>
      <c r="AS1000">
        <f>SUMPRODUCT((K24:K26&lt;=$B$6)*(L24:L26*AN1000+M24:M26*AO1000*$B$8*AQ1000)/(1+AL1000/100)^K24:K26)+L27*AN1000*AP1000/(1+AL1000/100)^$B$6</f>
        <v/>
      </c>
      <c r="AT1000">
        <f>AS1000-AR1000</f>
        <v/>
      </c>
      <c r="AU1000">
        <f>RAND()</f>
        <v/>
      </c>
      <c r="AV1000">
        <f>RAND()</f>
        <v/>
      </c>
      <c r="AW1000">
        <f>RAND()</f>
        <v/>
      </c>
      <c r="AX1000">
        <f>RAND()</f>
        <v/>
      </c>
      <c r="AY1000">
        <f>RAND()</f>
        <v/>
      </c>
      <c r="AZ1000">
        <f>RAND()</f>
        <v/>
      </c>
    </row>
    <row r="1001">
      <c r="AK1001" t="n">
        <v>988</v>
      </c>
      <c r="AL1001">
        <f>IFERROR(IF(AU1001&lt;($AM$6-$AL$6)/($AN$6-$AL$6),$AL$6+SQRT(AU1001*($AN$6-$AL$6)*($AM$6-$AL$6)),$AN$6-SQRT((1-AU1001)*($AN$6-$AL$6)*($AN$6-$AM$6))),$AM$6)</f>
        <v/>
      </c>
      <c r="AM1001">
        <f>IFERROR(IF(AV1001&lt;($AM$7-$AL$7)/($AN$7-$AL$7),$AL$7+SQRT(AV1001*($AN$7-$AL$7)*($AM$7-$AL$7)),$AN$7-SQRT((1-AV1001)*($AN$7-$AL$7)*($AN$7-$AM$7))),$AM$7)</f>
        <v/>
      </c>
      <c r="AN1001">
        <f>IFERROR(IF(AW1001&lt;($AM$8-$AL$8)/($AN$8-$AL$8),$AL$8+SQRT(AW1001*($AN$8-$AL$8)*($AM$8-$AL$8)),$AN$8-SQRT((1-AW1001)*($AN$8-$AL$8)*($AN$8-$AM$8))),$AM$8)</f>
        <v/>
      </c>
      <c r="AO1001">
        <f>IFERROR(IF(AX1001&lt;($AM$9-$AL$9)/($AN$9-$AL$9),$AL$9+SQRT(AX1001*($AN$9-$AL$9)*($AM$9-$AL$9)),$AN$9-SQRT((1-AX1001)*($AN$9-$AL$9)*($AN$9-$AM$9))),$AM$9)</f>
        <v/>
      </c>
      <c r="AP1001">
        <f>IFERROR(IF(AY1001&lt;($AM$10-$AL$10)/($AN$10-$AL$10),$AL$10+SQRT(AY1001*($AN$10-$AL$10)*($AM$10-$AL$10)),$AN$10-SQRT((1-AY1001)*($AN$10-$AL$10)*($AN$10-$AM$10))),$AM$10)</f>
        <v/>
      </c>
      <c r="AQ1001">
        <f>IFERROR(IF(AZ1001&lt;($AM$11-$AL$11)/($AN$11-$AL$11),$AL$11+SQRT(AZ1001*($AN$11-$AL$11)*($AM$11-$AL$11)),$AN$11-SQRT((1-AZ1001)*($AN$11-$AL$11)*($AN$11-$AM$11))),$AM$11)</f>
        <v/>
      </c>
      <c r="AR1001">
        <f>SUMPRODUCT((B24:B31&lt;=$B$6)*(C24:C31*AM1001+D24:D31*AO1001*$B$8*AQ1001)/(1+AL1001/100)^B24:B31)+C32*AM1001*AP1001/(1+AL1001/100)^$B$6</f>
        <v/>
      </c>
      <c r="AS1001">
        <f>SUMPRODUCT((K24:K26&lt;=$B$6)*(L24:L26*AN1001+M24:M26*AO1001*$B$8*AQ1001)/(1+AL1001/100)^K24:K26)+L27*AN1001*AP1001/(1+AL1001/100)^$B$6</f>
        <v/>
      </c>
      <c r="AT1001">
        <f>AS1001-AR1001</f>
        <v/>
      </c>
      <c r="AU1001">
        <f>RAND()</f>
        <v/>
      </c>
      <c r="AV1001">
        <f>RAND()</f>
        <v/>
      </c>
      <c r="AW1001">
        <f>RAND()</f>
        <v/>
      </c>
      <c r="AX1001">
        <f>RAND()</f>
        <v/>
      </c>
      <c r="AY1001">
        <f>RAND()</f>
        <v/>
      </c>
      <c r="AZ1001">
        <f>RAND()</f>
        <v/>
      </c>
    </row>
    <row r="1002">
      <c r="AK1002" t="n">
        <v>989</v>
      </c>
      <c r="AL1002">
        <f>IFERROR(IF(AU1002&lt;($AM$6-$AL$6)/($AN$6-$AL$6),$AL$6+SQRT(AU1002*($AN$6-$AL$6)*($AM$6-$AL$6)),$AN$6-SQRT((1-AU1002)*($AN$6-$AL$6)*($AN$6-$AM$6))),$AM$6)</f>
        <v/>
      </c>
      <c r="AM1002">
        <f>IFERROR(IF(AV1002&lt;($AM$7-$AL$7)/($AN$7-$AL$7),$AL$7+SQRT(AV1002*($AN$7-$AL$7)*($AM$7-$AL$7)),$AN$7-SQRT((1-AV1002)*($AN$7-$AL$7)*($AN$7-$AM$7))),$AM$7)</f>
        <v/>
      </c>
      <c r="AN1002">
        <f>IFERROR(IF(AW1002&lt;($AM$8-$AL$8)/($AN$8-$AL$8),$AL$8+SQRT(AW1002*($AN$8-$AL$8)*($AM$8-$AL$8)),$AN$8-SQRT((1-AW1002)*($AN$8-$AL$8)*($AN$8-$AM$8))),$AM$8)</f>
        <v/>
      </c>
      <c r="AO1002">
        <f>IFERROR(IF(AX1002&lt;($AM$9-$AL$9)/($AN$9-$AL$9),$AL$9+SQRT(AX1002*($AN$9-$AL$9)*($AM$9-$AL$9)),$AN$9-SQRT((1-AX1002)*($AN$9-$AL$9)*($AN$9-$AM$9))),$AM$9)</f>
        <v/>
      </c>
      <c r="AP1002">
        <f>IFERROR(IF(AY1002&lt;($AM$10-$AL$10)/($AN$10-$AL$10),$AL$10+SQRT(AY1002*($AN$10-$AL$10)*($AM$10-$AL$10)),$AN$10-SQRT((1-AY1002)*($AN$10-$AL$10)*($AN$10-$AM$10))),$AM$10)</f>
        <v/>
      </c>
      <c r="AQ1002">
        <f>IFERROR(IF(AZ1002&lt;($AM$11-$AL$11)/($AN$11-$AL$11),$AL$11+SQRT(AZ1002*($AN$11-$AL$11)*($AM$11-$AL$11)),$AN$11-SQRT((1-AZ1002)*($AN$11-$AL$11)*($AN$11-$AM$11))),$AM$11)</f>
        <v/>
      </c>
      <c r="AR1002">
        <f>SUMPRODUCT((B24:B31&lt;=$B$6)*(C24:C31*AM1002+D24:D31*AO1002*$B$8*AQ1002)/(1+AL1002/100)^B24:B31)+C32*AM1002*AP1002/(1+AL1002/100)^$B$6</f>
        <v/>
      </c>
      <c r="AS1002">
        <f>SUMPRODUCT((K24:K26&lt;=$B$6)*(L24:L26*AN1002+M24:M26*AO1002*$B$8*AQ1002)/(1+AL1002/100)^K24:K26)+L27*AN1002*AP1002/(1+AL1002/100)^$B$6</f>
        <v/>
      </c>
      <c r="AT1002">
        <f>AS1002-AR1002</f>
        <v/>
      </c>
      <c r="AU1002">
        <f>RAND()</f>
        <v/>
      </c>
      <c r="AV1002">
        <f>RAND()</f>
        <v/>
      </c>
      <c r="AW1002">
        <f>RAND()</f>
        <v/>
      </c>
      <c r="AX1002">
        <f>RAND()</f>
        <v/>
      </c>
      <c r="AY1002">
        <f>RAND()</f>
        <v/>
      </c>
      <c r="AZ1002">
        <f>RAND()</f>
        <v/>
      </c>
    </row>
    <row r="1003">
      <c r="AK1003" t="n">
        <v>990</v>
      </c>
      <c r="AL1003">
        <f>IFERROR(IF(AU1003&lt;($AM$6-$AL$6)/($AN$6-$AL$6),$AL$6+SQRT(AU1003*($AN$6-$AL$6)*($AM$6-$AL$6)),$AN$6-SQRT((1-AU1003)*($AN$6-$AL$6)*($AN$6-$AM$6))),$AM$6)</f>
        <v/>
      </c>
      <c r="AM1003">
        <f>IFERROR(IF(AV1003&lt;($AM$7-$AL$7)/($AN$7-$AL$7),$AL$7+SQRT(AV1003*($AN$7-$AL$7)*($AM$7-$AL$7)),$AN$7-SQRT((1-AV1003)*($AN$7-$AL$7)*($AN$7-$AM$7))),$AM$7)</f>
        <v/>
      </c>
      <c r="AN1003">
        <f>IFERROR(IF(AW1003&lt;($AM$8-$AL$8)/($AN$8-$AL$8),$AL$8+SQRT(AW1003*($AN$8-$AL$8)*($AM$8-$AL$8)),$AN$8-SQRT((1-AW1003)*($AN$8-$AL$8)*($AN$8-$AM$8))),$AM$8)</f>
        <v/>
      </c>
      <c r="AO1003">
        <f>IFERROR(IF(AX1003&lt;($AM$9-$AL$9)/($AN$9-$AL$9),$AL$9+SQRT(AX1003*($AN$9-$AL$9)*($AM$9-$AL$9)),$AN$9-SQRT((1-AX1003)*($AN$9-$AL$9)*($AN$9-$AM$9))),$AM$9)</f>
        <v/>
      </c>
      <c r="AP1003">
        <f>IFERROR(IF(AY1003&lt;($AM$10-$AL$10)/($AN$10-$AL$10),$AL$10+SQRT(AY1003*($AN$10-$AL$10)*($AM$10-$AL$10)),$AN$10-SQRT((1-AY1003)*($AN$10-$AL$10)*($AN$10-$AM$10))),$AM$10)</f>
        <v/>
      </c>
      <c r="AQ1003">
        <f>IFERROR(IF(AZ1003&lt;($AM$11-$AL$11)/($AN$11-$AL$11),$AL$11+SQRT(AZ1003*($AN$11-$AL$11)*($AM$11-$AL$11)),$AN$11-SQRT((1-AZ1003)*($AN$11-$AL$11)*($AN$11-$AM$11))),$AM$11)</f>
        <v/>
      </c>
      <c r="AR1003">
        <f>SUMPRODUCT((B24:B31&lt;=$B$6)*(C24:C31*AM1003+D24:D31*AO1003*$B$8*AQ1003)/(1+AL1003/100)^B24:B31)+C32*AM1003*AP1003/(1+AL1003/100)^$B$6</f>
        <v/>
      </c>
      <c r="AS1003">
        <f>SUMPRODUCT((K24:K26&lt;=$B$6)*(L24:L26*AN1003+M24:M26*AO1003*$B$8*AQ1003)/(1+AL1003/100)^K24:K26)+L27*AN1003*AP1003/(1+AL1003/100)^$B$6</f>
        <v/>
      </c>
      <c r="AT1003">
        <f>AS1003-AR1003</f>
        <v/>
      </c>
      <c r="AU1003">
        <f>RAND()</f>
        <v/>
      </c>
      <c r="AV1003">
        <f>RAND()</f>
        <v/>
      </c>
      <c r="AW1003">
        <f>RAND()</f>
        <v/>
      </c>
      <c r="AX1003">
        <f>RAND()</f>
        <v/>
      </c>
      <c r="AY1003">
        <f>RAND()</f>
        <v/>
      </c>
      <c r="AZ1003">
        <f>RAND()</f>
        <v/>
      </c>
    </row>
    <row r="1004">
      <c r="AK1004" t="n">
        <v>991</v>
      </c>
      <c r="AL1004">
        <f>IFERROR(IF(AU1004&lt;($AM$6-$AL$6)/($AN$6-$AL$6),$AL$6+SQRT(AU1004*($AN$6-$AL$6)*($AM$6-$AL$6)),$AN$6-SQRT((1-AU1004)*($AN$6-$AL$6)*($AN$6-$AM$6))),$AM$6)</f>
        <v/>
      </c>
      <c r="AM1004">
        <f>IFERROR(IF(AV1004&lt;($AM$7-$AL$7)/($AN$7-$AL$7),$AL$7+SQRT(AV1004*($AN$7-$AL$7)*($AM$7-$AL$7)),$AN$7-SQRT((1-AV1004)*($AN$7-$AL$7)*($AN$7-$AM$7))),$AM$7)</f>
        <v/>
      </c>
      <c r="AN1004">
        <f>IFERROR(IF(AW1004&lt;($AM$8-$AL$8)/($AN$8-$AL$8),$AL$8+SQRT(AW1004*($AN$8-$AL$8)*($AM$8-$AL$8)),$AN$8-SQRT((1-AW1004)*($AN$8-$AL$8)*($AN$8-$AM$8))),$AM$8)</f>
        <v/>
      </c>
      <c r="AO1004">
        <f>IFERROR(IF(AX1004&lt;($AM$9-$AL$9)/($AN$9-$AL$9),$AL$9+SQRT(AX1004*($AN$9-$AL$9)*($AM$9-$AL$9)),$AN$9-SQRT((1-AX1004)*($AN$9-$AL$9)*($AN$9-$AM$9))),$AM$9)</f>
        <v/>
      </c>
      <c r="AP1004">
        <f>IFERROR(IF(AY1004&lt;($AM$10-$AL$10)/($AN$10-$AL$10),$AL$10+SQRT(AY1004*($AN$10-$AL$10)*($AM$10-$AL$10)),$AN$10-SQRT((1-AY1004)*($AN$10-$AL$10)*($AN$10-$AM$10))),$AM$10)</f>
        <v/>
      </c>
      <c r="AQ1004">
        <f>IFERROR(IF(AZ1004&lt;($AM$11-$AL$11)/($AN$11-$AL$11),$AL$11+SQRT(AZ1004*($AN$11-$AL$11)*($AM$11-$AL$11)),$AN$11-SQRT((1-AZ1004)*($AN$11-$AL$11)*($AN$11-$AM$11))),$AM$11)</f>
        <v/>
      </c>
      <c r="AR1004">
        <f>SUMPRODUCT((B24:B31&lt;=$B$6)*(C24:C31*AM1004+D24:D31*AO1004*$B$8*AQ1004)/(1+AL1004/100)^B24:B31)+C32*AM1004*AP1004/(1+AL1004/100)^$B$6</f>
        <v/>
      </c>
      <c r="AS1004">
        <f>SUMPRODUCT((K24:K26&lt;=$B$6)*(L24:L26*AN1004+M24:M26*AO1004*$B$8*AQ1004)/(1+AL1004/100)^K24:K26)+L27*AN1004*AP1004/(1+AL1004/100)^$B$6</f>
        <v/>
      </c>
      <c r="AT1004">
        <f>AS1004-AR1004</f>
        <v/>
      </c>
      <c r="AU1004">
        <f>RAND()</f>
        <v/>
      </c>
      <c r="AV1004">
        <f>RAND()</f>
        <v/>
      </c>
      <c r="AW1004">
        <f>RAND()</f>
        <v/>
      </c>
      <c r="AX1004">
        <f>RAND()</f>
        <v/>
      </c>
      <c r="AY1004">
        <f>RAND()</f>
        <v/>
      </c>
      <c r="AZ1004">
        <f>RAND()</f>
        <v/>
      </c>
    </row>
    <row r="1005">
      <c r="AK1005" t="n">
        <v>992</v>
      </c>
      <c r="AL1005">
        <f>IFERROR(IF(AU1005&lt;($AM$6-$AL$6)/($AN$6-$AL$6),$AL$6+SQRT(AU1005*($AN$6-$AL$6)*($AM$6-$AL$6)),$AN$6-SQRT((1-AU1005)*($AN$6-$AL$6)*($AN$6-$AM$6))),$AM$6)</f>
        <v/>
      </c>
      <c r="AM1005">
        <f>IFERROR(IF(AV1005&lt;($AM$7-$AL$7)/($AN$7-$AL$7),$AL$7+SQRT(AV1005*($AN$7-$AL$7)*($AM$7-$AL$7)),$AN$7-SQRT((1-AV1005)*($AN$7-$AL$7)*($AN$7-$AM$7))),$AM$7)</f>
        <v/>
      </c>
      <c r="AN1005">
        <f>IFERROR(IF(AW1005&lt;($AM$8-$AL$8)/($AN$8-$AL$8),$AL$8+SQRT(AW1005*($AN$8-$AL$8)*($AM$8-$AL$8)),$AN$8-SQRT((1-AW1005)*($AN$8-$AL$8)*($AN$8-$AM$8))),$AM$8)</f>
        <v/>
      </c>
      <c r="AO1005">
        <f>IFERROR(IF(AX1005&lt;($AM$9-$AL$9)/($AN$9-$AL$9),$AL$9+SQRT(AX1005*($AN$9-$AL$9)*($AM$9-$AL$9)),$AN$9-SQRT((1-AX1005)*($AN$9-$AL$9)*($AN$9-$AM$9))),$AM$9)</f>
        <v/>
      </c>
      <c r="AP1005">
        <f>IFERROR(IF(AY1005&lt;($AM$10-$AL$10)/($AN$10-$AL$10),$AL$10+SQRT(AY1005*($AN$10-$AL$10)*($AM$10-$AL$10)),$AN$10-SQRT((1-AY1005)*($AN$10-$AL$10)*($AN$10-$AM$10))),$AM$10)</f>
        <v/>
      </c>
      <c r="AQ1005">
        <f>IFERROR(IF(AZ1005&lt;($AM$11-$AL$11)/($AN$11-$AL$11),$AL$11+SQRT(AZ1005*($AN$11-$AL$11)*($AM$11-$AL$11)),$AN$11-SQRT((1-AZ1005)*($AN$11-$AL$11)*($AN$11-$AM$11))),$AM$11)</f>
        <v/>
      </c>
      <c r="AR1005">
        <f>SUMPRODUCT((B24:B31&lt;=$B$6)*(C24:C31*AM1005+D24:D31*AO1005*$B$8*AQ1005)/(1+AL1005/100)^B24:B31)+C32*AM1005*AP1005/(1+AL1005/100)^$B$6</f>
        <v/>
      </c>
      <c r="AS1005">
        <f>SUMPRODUCT((K24:K26&lt;=$B$6)*(L24:L26*AN1005+M24:M26*AO1005*$B$8*AQ1005)/(1+AL1005/100)^K24:K26)+L27*AN1005*AP1005/(1+AL1005/100)^$B$6</f>
        <v/>
      </c>
      <c r="AT1005">
        <f>AS1005-AR1005</f>
        <v/>
      </c>
      <c r="AU1005">
        <f>RAND()</f>
        <v/>
      </c>
      <c r="AV1005">
        <f>RAND()</f>
        <v/>
      </c>
      <c r="AW1005">
        <f>RAND()</f>
        <v/>
      </c>
      <c r="AX1005">
        <f>RAND()</f>
        <v/>
      </c>
      <c r="AY1005">
        <f>RAND()</f>
        <v/>
      </c>
      <c r="AZ1005">
        <f>RAND()</f>
        <v/>
      </c>
    </row>
    <row r="1006">
      <c r="AK1006" t="n">
        <v>993</v>
      </c>
      <c r="AL1006">
        <f>IFERROR(IF(AU1006&lt;($AM$6-$AL$6)/($AN$6-$AL$6),$AL$6+SQRT(AU1006*($AN$6-$AL$6)*($AM$6-$AL$6)),$AN$6-SQRT((1-AU1006)*($AN$6-$AL$6)*($AN$6-$AM$6))),$AM$6)</f>
        <v/>
      </c>
      <c r="AM1006">
        <f>IFERROR(IF(AV1006&lt;($AM$7-$AL$7)/($AN$7-$AL$7),$AL$7+SQRT(AV1006*($AN$7-$AL$7)*($AM$7-$AL$7)),$AN$7-SQRT((1-AV1006)*($AN$7-$AL$7)*($AN$7-$AM$7))),$AM$7)</f>
        <v/>
      </c>
      <c r="AN1006">
        <f>IFERROR(IF(AW1006&lt;($AM$8-$AL$8)/($AN$8-$AL$8),$AL$8+SQRT(AW1006*($AN$8-$AL$8)*($AM$8-$AL$8)),$AN$8-SQRT((1-AW1006)*($AN$8-$AL$8)*($AN$8-$AM$8))),$AM$8)</f>
        <v/>
      </c>
      <c r="AO1006">
        <f>IFERROR(IF(AX1006&lt;($AM$9-$AL$9)/($AN$9-$AL$9),$AL$9+SQRT(AX1006*($AN$9-$AL$9)*($AM$9-$AL$9)),$AN$9-SQRT((1-AX1006)*($AN$9-$AL$9)*($AN$9-$AM$9))),$AM$9)</f>
        <v/>
      </c>
      <c r="AP1006">
        <f>IFERROR(IF(AY1006&lt;($AM$10-$AL$10)/($AN$10-$AL$10),$AL$10+SQRT(AY1006*($AN$10-$AL$10)*($AM$10-$AL$10)),$AN$10-SQRT((1-AY1006)*($AN$10-$AL$10)*($AN$10-$AM$10))),$AM$10)</f>
        <v/>
      </c>
      <c r="AQ1006">
        <f>IFERROR(IF(AZ1006&lt;($AM$11-$AL$11)/($AN$11-$AL$11),$AL$11+SQRT(AZ1006*($AN$11-$AL$11)*($AM$11-$AL$11)),$AN$11-SQRT((1-AZ1006)*($AN$11-$AL$11)*($AN$11-$AM$11))),$AM$11)</f>
        <v/>
      </c>
      <c r="AR1006">
        <f>SUMPRODUCT((B24:B31&lt;=$B$6)*(C24:C31*AM1006+D24:D31*AO1006*$B$8*AQ1006)/(1+AL1006/100)^B24:B31)+C32*AM1006*AP1006/(1+AL1006/100)^$B$6</f>
        <v/>
      </c>
      <c r="AS1006">
        <f>SUMPRODUCT((K24:K26&lt;=$B$6)*(L24:L26*AN1006+M24:M26*AO1006*$B$8*AQ1006)/(1+AL1006/100)^K24:K26)+L27*AN1006*AP1006/(1+AL1006/100)^$B$6</f>
        <v/>
      </c>
      <c r="AT1006">
        <f>AS1006-AR1006</f>
        <v/>
      </c>
      <c r="AU1006">
        <f>RAND()</f>
        <v/>
      </c>
      <c r="AV1006">
        <f>RAND()</f>
        <v/>
      </c>
      <c r="AW1006">
        <f>RAND()</f>
        <v/>
      </c>
      <c r="AX1006">
        <f>RAND()</f>
        <v/>
      </c>
      <c r="AY1006">
        <f>RAND()</f>
        <v/>
      </c>
      <c r="AZ1006">
        <f>RAND()</f>
        <v/>
      </c>
    </row>
    <row r="1007">
      <c r="AK1007" t="n">
        <v>994</v>
      </c>
      <c r="AL1007">
        <f>IFERROR(IF(AU1007&lt;($AM$6-$AL$6)/($AN$6-$AL$6),$AL$6+SQRT(AU1007*($AN$6-$AL$6)*($AM$6-$AL$6)),$AN$6-SQRT((1-AU1007)*($AN$6-$AL$6)*($AN$6-$AM$6))),$AM$6)</f>
        <v/>
      </c>
      <c r="AM1007">
        <f>IFERROR(IF(AV1007&lt;($AM$7-$AL$7)/($AN$7-$AL$7),$AL$7+SQRT(AV1007*($AN$7-$AL$7)*($AM$7-$AL$7)),$AN$7-SQRT((1-AV1007)*($AN$7-$AL$7)*($AN$7-$AM$7))),$AM$7)</f>
        <v/>
      </c>
      <c r="AN1007">
        <f>IFERROR(IF(AW1007&lt;($AM$8-$AL$8)/($AN$8-$AL$8),$AL$8+SQRT(AW1007*($AN$8-$AL$8)*($AM$8-$AL$8)),$AN$8-SQRT((1-AW1007)*($AN$8-$AL$8)*($AN$8-$AM$8))),$AM$8)</f>
        <v/>
      </c>
      <c r="AO1007">
        <f>IFERROR(IF(AX1007&lt;($AM$9-$AL$9)/($AN$9-$AL$9),$AL$9+SQRT(AX1007*($AN$9-$AL$9)*($AM$9-$AL$9)),$AN$9-SQRT((1-AX1007)*($AN$9-$AL$9)*($AN$9-$AM$9))),$AM$9)</f>
        <v/>
      </c>
      <c r="AP1007">
        <f>IFERROR(IF(AY1007&lt;($AM$10-$AL$10)/($AN$10-$AL$10),$AL$10+SQRT(AY1007*($AN$10-$AL$10)*($AM$10-$AL$10)),$AN$10-SQRT((1-AY1007)*($AN$10-$AL$10)*($AN$10-$AM$10))),$AM$10)</f>
        <v/>
      </c>
      <c r="AQ1007">
        <f>IFERROR(IF(AZ1007&lt;($AM$11-$AL$11)/($AN$11-$AL$11),$AL$11+SQRT(AZ1007*($AN$11-$AL$11)*($AM$11-$AL$11)),$AN$11-SQRT((1-AZ1007)*($AN$11-$AL$11)*($AN$11-$AM$11))),$AM$11)</f>
        <v/>
      </c>
      <c r="AR1007">
        <f>SUMPRODUCT((B24:B31&lt;=$B$6)*(C24:C31*AM1007+D24:D31*AO1007*$B$8*AQ1007)/(1+AL1007/100)^B24:B31)+C32*AM1007*AP1007/(1+AL1007/100)^$B$6</f>
        <v/>
      </c>
      <c r="AS1007">
        <f>SUMPRODUCT((K24:K26&lt;=$B$6)*(L24:L26*AN1007+M24:M26*AO1007*$B$8*AQ1007)/(1+AL1007/100)^K24:K26)+L27*AN1007*AP1007/(1+AL1007/100)^$B$6</f>
        <v/>
      </c>
      <c r="AT1007">
        <f>AS1007-AR1007</f>
        <v/>
      </c>
      <c r="AU1007">
        <f>RAND()</f>
        <v/>
      </c>
      <c r="AV1007">
        <f>RAND()</f>
        <v/>
      </c>
      <c r="AW1007">
        <f>RAND()</f>
        <v/>
      </c>
      <c r="AX1007">
        <f>RAND()</f>
        <v/>
      </c>
      <c r="AY1007">
        <f>RAND()</f>
        <v/>
      </c>
      <c r="AZ1007">
        <f>RAND()</f>
        <v/>
      </c>
    </row>
    <row r="1008">
      <c r="AK1008" t="n">
        <v>995</v>
      </c>
      <c r="AL1008">
        <f>IFERROR(IF(AU1008&lt;($AM$6-$AL$6)/($AN$6-$AL$6),$AL$6+SQRT(AU1008*($AN$6-$AL$6)*($AM$6-$AL$6)),$AN$6-SQRT((1-AU1008)*($AN$6-$AL$6)*($AN$6-$AM$6))),$AM$6)</f>
        <v/>
      </c>
      <c r="AM1008">
        <f>IFERROR(IF(AV1008&lt;($AM$7-$AL$7)/($AN$7-$AL$7),$AL$7+SQRT(AV1008*($AN$7-$AL$7)*($AM$7-$AL$7)),$AN$7-SQRT((1-AV1008)*($AN$7-$AL$7)*($AN$7-$AM$7))),$AM$7)</f>
        <v/>
      </c>
      <c r="AN1008">
        <f>IFERROR(IF(AW1008&lt;($AM$8-$AL$8)/($AN$8-$AL$8),$AL$8+SQRT(AW1008*($AN$8-$AL$8)*($AM$8-$AL$8)),$AN$8-SQRT((1-AW1008)*($AN$8-$AL$8)*($AN$8-$AM$8))),$AM$8)</f>
        <v/>
      </c>
      <c r="AO1008">
        <f>IFERROR(IF(AX1008&lt;($AM$9-$AL$9)/($AN$9-$AL$9),$AL$9+SQRT(AX1008*($AN$9-$AL$9)*($AM$9-$AL$9)),$AN$9-SQRT((1-AX1008)*($AN$9-$AL$9)*($AN$9-$AM$9))),$AM$9)</f>
        <v/>
      </c>
      <c r="AP1008">
        <f>IFERROR(IF(AY1008&lt;($AM$10-$AL$10)/($AN$10-$AL$10),$AL$10+SQRT(AY1008*($AN$10-$AL$10)*($AM$10-$AL$10)),$AN$10-SQRT((1-AY1008)*($AN$10-$AL$10)*($AN$10-$AM$10))),$AM$10)</f>
        <v/>
      </c>
      <c r="AQ1008">
        <f>IFERROR(IF(AZ1008&lt;($AM$11-$AL$11)/($AN$11-$AL$11),$AL$11+SQRT(AZ1008*($AN$11-$AL$11)*($AM$11-$AL$11)),$AN$11-SQRT((1-AZ1008)*($AN$11-$AL$11)*($AN$11-$AM$11))),$AM$11)</f>
        <v/>
      </c>
      <c r="AR1008">
        <f>SUMPRODUCT((B24:B31&lt;=$B$6)*(C24:C31*AM1008+D24:D31*AO1008*$B$8*AQ1008)/(1+AL1008/100)^B24:B31)+C32*AM1008*AP1008/(1+AL1008/100)^$B$6</f>
        <v/>
      </c>
      <c r="AS1008">
        <f>SUMPRODUCT((K24:K26&lt;=$B$6)*(L24:L26*AN1008+M24:M26*AO1008*$B$8*AQ1008)/(1+AL1008/100)^K24:K26)+L27*AN1008*AP1008/(1+AL1008/100)^$B$6</f>
        <v/>
      </c>
      <c r="AT1008">
        <f>AS1008-AR1008</f>
        <v/>
      </c>
      <c r="AU1008">
        <f>RAND()</f>
        <v/>
      </c>
      <c r="AV1008">
        <f>RAND()</f>
        <v/>
      </c>
      <c r="AW1008">
        <f>RAND()</f>
        <v/>
      </c>
      <c r="AX1008">
        <f>RAND()</f>
        <v/>
      </c>
      <c r="AY1008">
        <f>RAND()</f>
        <v/>
      </c>
      <c r="AZ1008">
        <f>RAND()</f>
        <v/>
      </c>
    </row>
    <row r="1009">
      <c r="AK1009" t="n">
        <v>996</v>
      </c>
      <c r="AL1009">
        <f>IFERROR(IF(AU1009&lt;($AM$6-$AL$6)/($AN$6-$AL$6),$AL$6+SQRT(AU1009*($AN$6-$AL$6)*($AM$6-$AL$6)),$AN$6-SQRT((1-AU1009)*($AN$6-$AL$6)*($AN$6-$AM$6))),$AM$6)</f>
        <v/>
      </c>
      <c r="AM1009">
        <f>IFERROR(IF(AV1009&lt;($AM$7-$AL$7)/($AN$7-$AL$7),$AL$7+SQRT(AV1009*($AN$7-$AL$7)*($AM$7-$AL$7)),$AN$7-SQRT((1-AV1009)*($AN$7-$AL$7)*($AN$7-$AM$7))),$AM$7)</f>
        <v/>
      </c>
      <c r="AN1009">
        <f>IFERROR(IF(AW1009&lt;($AM$8-$AL$8)/($AN$8-$AL$8),$AL$8+SQRT(AW1009*($AN$8-$AL$8)*($AM$8-$AL$8)),$AN$8-SQRT((1-AW1009)*($AN$8-$AL$8)*($AN$8-$AM$8))),$AM$8)</f>
        <v/>
      </c>
      <c r="AO1009">
        <f>IFERROR(IF(AX1009&lt;($AM$9-$AL$9)/($AN$9-$AL$9),$AL$9+SQRT(AX1009*($AN$9-$AL$9)*($AM$9-$AL$9)),$AN$9-SQRT((1-AX1009)*($AN$9-$AL$9)*($AN$9-$AM$9))),$AM$9)</f>
        <v/>
      </c>
      <c r="AP1009">
        <f>IFERROR(IF(AY1009&lt;($AM$10-$AL$10)/($AN$10-$AL$10),$AL$10+SQRT(AY1009*($AN$10-$AL$10)*($AM$10-$AL$10)),$AN$10-SQRT((1-AY1009)*($AN$10-$AL$10)*($AN$10-$AM$10))),$AM$10)</f>
        <v/>
      </c>
      <c r="AQ1009">
        <f>IFERROR(IF(AZ1009&lt;($AM$11-$AL$11)/($AN$11-$AL$11),$AL$11+SQRT(AZ1009*($AN$11-$AL$11)*($AM$11-$AL$11)),$AN$11-SQRT((1-AZ1009)*($AN$11-$AL$11)*($AN$11-$AM$11))),$AM$11)</f>
        <v/>
      </c>
      <c r="AR1009">
        <f>SUMPRODUCT((B24:B31&lt;=$B$6)*(C24:C31*AM1009+D24:D31*AO1009*$B$8*AQ1009)/(1+AL1009/100)^B24:B31)+C32*AM1009*AP1009/(1+AL1009/100)^$B$6</f>
        <v/>
      </c>
      <c r="AS1009">
        <f>SUMPRODUCT((K24:K26&lt;=$B$6)*(L24:L26*AN1009+M24:M26*AO1009*$B$8*AQ1009)/(1+AL1009/100)^K24:K26)+L27*AN1009*AP1009/(1+AL1009/100)^$B$6</f>
        <v/>
      </c>
      <c r="AT1009">
        <f>AS1009-AR1009</f>
        <v/>
      </c>
      <c r="AU1009">
        <f>RAND()</f>
        <v/>
      </c>
      <c r="AV1009">
        <f>RAND()</f>
        <v/>
      </c>
      <c r="AW1009">
        <f>RAND()</f>
        <v/>
      </c>
      <c r="AX1009">
        <f>RAND()</f>
        <v/>
      </c>
      <c r="AY1009">
        <f>RAND()</f>
        <v/>
      </c>
      <c r="AZ1009">
        <f>RAND()</f>
        <v/>
      </c>
    </row>
    <row r="1010">
      <c r="AK1010" t="n">
        <v>997</v>
      </c>
      <c r="AL1010">
        <f>IFERROR(IF(AU1010&lt;($AM$6-$AL$6)/($AN$6-$AL$6),$AL$6+SQRT(AU1010*($AN$6-$AL$6)*($AM$6-$AL$6)),$AN$6-SQRT((1-AU1010)*($AN$6-$AL$6)*($AN$6-$AM$6))),$AM$6)</f>
        <v/>
      </c>
      <c r="AM1010">
        <f>IFERROR(IF(AV1010&lt;($AM$7-$AL$7)/($AN$7-$AL$7),$AL$7+SQRT(AV1010*($AN$7-$AL$7)*($AM$7-$AL$7)),$AN$7-SQRT((1-AV1010)*($AN$7-$AL$7)*($AN$7-$AM$7))),$AM$7)</f>
        <v/>
      </c>
      <c r="AN1010">
        <f>IFERROR(IF(AW1010&lt;($AM$8-$AL$8)/($AN$8-$AL$8),$AL$8+SQRT(AW1010*($AN$8-$AL$8)*($AM$8-$AL$8)),$AN$8-SQRT((1-AW1010)*($AN$8-$AL$8)*($AN$8-$AM$8))),$AM$8)</f>
        <v/>
      </c>
      <c r="AO1010">
        <f>IFERROR(IF(AX1010&lt;($AM$9-$AL$9)/($AN$9-$AL$9),$AL$9+SQRT(AX1010*($AN$9-$AL$9)*($AM$9-$AL$9)),$AN$9-SQRT((1-AX1010)*($AN$9-$AL$9)*($AN$9-$AM$9))),$AM$9)</f>
        <v/>
      </c>
      <c r="AP1010">
        <f>IFERROR(IF(AY1010&lt;($AM$10-$AL$10)/($AN$10-$AL$10),$AL$10+SQRT(AY1010*($AN$10-$AL$10)*($AM$10-$AL$10)),$AN$10-SQRT((1-AY1010)*($AN$10-$AL$10)*($AN$10-$AM$10))),$AM$10)</f>
        <v/>
      </c>
      <c r="AQ1010">
        <f>IFERROR(IF(AZ1010&lt;($AM$11-$AL$11)/($AN$11-$AL$11),$AL$11+SQRT(AZ1010*($AN$11-$AL$11)*($AM$11-$AL$11)),$AN$11-SQRT((1-AZ1010)*($AN$11-$AL$11)*($AN$11-$AM$11))),$AM$11)</f>
        <v/>
      </c>
      <c r="AR1010">
        <f>SUMPRODUCT((B24:B31&lt;=$B$6)*(C24:C31*AM1010+D24:D31*AO1010*$B$8*AQ1010)/(1+AL1010/100)^B24:B31)+C32*AM1010*AP1010/(1+AL1010/100)^$B$6</f>
        <v/>
      </c>
      <c r="AS1010">
        <f>SUMPRODUCT((K24:K26&lt;=$B$6)*(L24:L26*AN1010+M24:M26*AO1010*$B$8*AQ1010)/(1+AL1010/100)^K24:K26)+L27*AN1010*AP1010/(1+AL1010/100)^$B$6</f>
        <v/>
      </c>
      <c r="AT1010">
        <f>AS1010-AR1010</f>
        <v/>
      </c>
      <c r="AU1010">
        <f>RAND()</f>
        <v/>
      </c>
      <c r="AV1010">
        <f>RAND()</f>
        <v/>
      </c>
      <c r="AW1010">
        <f>RAND()</f>
        <v/>
      </c>
      <c r="AX1010">
        <f>RAND()</f>
        <v/>
      </c>
      <c r="AY1010">
        <f>RAND()</f>
        <v/>
      </c>
      <c r="AZ1010">
        <f>RAND()</f>
        <v/>
      </c>
    </row>
    <row r="1011">
      <c r="AK1011" t="n">
        <v>998</v>
      </c>
      <c r="AL1011">
        <f>IFERROR(IF(AU1011&lt;($AM$6-$AL$6)/($AN$6-$AL$6),$AL$6+SQRT(AU1011*($AN$6-$AL$6)*($AM$6-$AL$6)),$AN$6-SQRT((1-AU1011)*($AN$6-$AL$6)*($AN$6-$AM$6))),$AM$6)</f>
        <v/>
      </c>
      <c r="AM1011">
        <f>IFERROR(IF(AV1011&lt;($AM$7-$AL$7)/($AN$7-$AL$7),$AL$7+SQRT(AV1011*($AN$7-$AL$7)*($AM$7-$AL$7)),$AN$7-SQRT((1-AV1011)*($AN$7-$AL$7)*($AN$7-$AM$7))),$AM$7)</f>
        <v/>
      </c>
      <c r="AN1011">
        <f>IFERROR(IF(AW1011&lt;($AM$8-$AL$8)/($AN$8-$AL$8),$AL$8+SQRT(AW1011*($AN$8-$AL$8)*($AM$8-$AL$8)),$AN$8-SQRT((1-AW1011)*($AN$8-$AL$8)*($AN$8-$AM$8))),$AM$8)</f>
        <v/>
      </c>
      <c r="AO1011">
        <f>IFERROR(IF(AX1011&lt;($AM$9-$AL$9)/($AN$9-$AL$9),$AL$9+SQRT(AX1011*($AN$9-$AL$9)*($AM$9-$AL$9)),$AN$9-SQRT((1-AX1011)*($AN$9-$AL$9)*($AN$9-$AM$9))),$AM$9)</f>
        <v/>
      </c>
      <c r="AP1011">
        <f>IFERROR(IF(AY1011&lt;($AM$10-$AL$10)/($AN$10-$AL$10),$AL$10+SQRT(AY1011*($AN$10-$AL$10)*($AM$10-$AL$10)),$AN$10-SQRT((1-AY1011)*($AN$10-$AL$10)*($AN$10-$AM$10))),$AM$10)</f>
        <v/>
      </c>
      <c r="AQ1011">
        <f>IFERROR(IF(AZ1011&lt;($AM$11-$AL$11)/($AN$11-$AL$11),$AL$11+SQRT(AZ1011*($AN$11-$AL$11)*($AM$11-$AL$11)),$AN$11-SQRT((1-AZ1011)*($AN$11-$AL$11)*($AN$11-$AM$11))),$AM$11)</f>
        <v/>
      </c>
      <c r="AR1011">
        <f>SUMPRODUCT((B24:B31&lt;=$B$6)*(C24:C31*AM1011+D24:D31*AO1011*$B$8*AQ1011)/(1+AL1011/100)^B24:B31)+C32*AM1011*AP1011/(1+AL1011/100)^$B$6</f>
        <v/>
      </c>
      <c r="AS1011">
        <f>SUMPRODUCT((K24:K26&lt;=$B$6)*(L24:L26*AN1011+M24:M26*AO1011*$B$8*AQ1011)/(1+AL1011/100)^K24:K26)+L27*AN1011*AP1011/(1+AL1011/100)^$B$6</f>
        <v/>
      </c>
      <c r="AT1011">
        <f>AS1011-AR1011</f>
        <v/>
      </c>
      <c r="AU1011">
        <f>RAND()</f>
        <v/>
      </c>
      <c r="AV1011">
        <f>RAND()</f>
        <v/>
      </c>
      <c r="AW1011">
        <f>RAND()</f>
        <v/>
      </c>
      <c r="AX1011">
        <f>RAND()</f>
        <v/>
      </c>
      <c r="AY1011">
        <f>RAND()</f>
        <v/>
      </c>
      <c r="AZ1011">
        <f>RAND()</f>
        <v/>
      </c>
    </row>
    <row r="1012">
      <c r="AK1012" t="n">
        <v>999</v>
      </c>
      <c r="AL1012">
        <f>IFERROR(IF(AU1012&lt;($AM$6-$AL$6)/($AN$6-$AL$6),$AL$6+SQRT(AU1012*($AN$6-$AL$6)*($AM$6-$AL$6)),$AN$6-SQRT((1-AU1012)*($AN$6-$AL$6)*($AN$6-$AM$6))),$AM$6)</f>
        <v/>
      </c>
      <c r="AM1012">
        <f>IFERROR(IF(AV1012&lt;($AM$7-$AL$7)/($AN$7-$AL$7),$AL$7+SQRT(AV1012*($AN$7-$AL$7)*($AM$7-$AL$7)),$AN$7-SQRT((1-AV1012)*($AN$7-$AL$7)*($AN$7-$AM$7))),$AM$7)</f>
        <v/>
      </c>
      <c r="AN1012">
        <f>IFERROR(IF(AW1012&lt;($AM$8-$AL$8)/($AN$8-$AL$8),$AL$8+SQRT(AW1012*($AN$8-$AL$8)*($AM$8-$AL$8)),$AN$8-SQRT((1-AW1012)*($AN$8-$AL$8)*($AN$8-$AM$8))),$AM$8)</f>
        <v/>
      </c>
      <c r="AO1012">
        <f>IFERROR(IF(AX1012&lt;($AM$9-$AL$9)/($AN$9-$AL$9),$AL$9+SQRT(AX1012*($AN$9-$AL$9)*($AM$9-$AL$9)),$AN$9-SQRT((1-AX1012)*($AN$9-$AL$9)*($AN$9-$AM$9))),$AM$9)</f>
        <v/>
      </c>
      <c r="AP1012">
        <f>IFERROR(IF(AY1012&lt;($AM$10-$AL$10)/($AN$10-$AL$10),$AL$10+SQRT(AY1012*($AN$10-$AL$10)*($AM$10-$AL$10)),$AN$10-SQRT((1-AY1012)*($AN$10-$AL$10)*($AN$10-$AM$10))),$AM$10)</f>
        <v/>
      </c>
      <c r="AQ1012">
        <f>IFERROR(IF(AZ1012&lt;($AM$11-$AL$11)/($AN$11-$AL$11),$AL$11+SQRT(AZ1012*($AN$11-$AL$11)*($AM$11-$AL$11)),$AN$11-SQRT((1-AZ1012)*($AN$11-$AL$11)*($AN$11-$AM$11))),$AM$11)</f>
        <v/>
      </c>
      <c r="AR1012">
        <f>SUMPRODUCT((B24:B31&lt;=$B$6)*(C24:C31*AM1012+D24:D31*AO1012*$B$8*AQ1012)/(1+AL1012/100)^B24:B31)+C32*AM1012*AP1012/(1+AL1012/100)^$B$6</f>
        <v/>
      </c>
      <c r="AS1012">
        <f>SUMPRODUCT((K24:K26&lt;=$B$6)*(L24:L26*AN1012+M24:M26*AO1012*$B$8*AQ1012)/(1+AL1012/100)^K24:K26)+L27*AN1012*AP1012/(1+AL1012/100)^$B$6</f>
        <v/>
      </c>
      <c r="AT1012">
        <f>AS1012-AR1012</f>
        <v/>
      </c>
      <c r="AU1012">
        <f>RAND()</f>
        <v/>
      </c>
      <c r="AV1012">
        <f>RAND()</f>
        <v/>
      </c>
      <c r="AW1012">
        <f>RAND()</f>
        <v/>
      </c>
      <c r="AX1012">
        <f>RAND()</f>
        <v/>
      </c>
      <c r="AY1012">
        <f>RAND()</f>
        <v/>
      </c>
      <c r="AZ1012">
        <f>RAND()</f>
        <v/>
      </c>
    </row>
    <row r="1013">
      <c r="AK1013" t="n">
        <v>1000</v>
      </c>
      <c r="AL1013">
        <f>IFERROR(IF(AU1013&lt;($AM$6-$AL$6)/($AN$6-$AL$6),$AL$6+SQRT(AU1013*($AN$6-$AL$6)*($AM$6-$AL$6)),$AN$6-SQRT((1-AU1013)*($AN$6-$AL$6)*($AN$6-$AM$6))),$AM$6)</f>
        <v/>
      </c>
      <c r="AM1013">
        <f>IFERROR(IF(AV1013&lt;($AM$7-$AL$7)/($AN$7-$AL$7),$AL$7+SQRT(AV1013*($AN$7-$AL$7)*($AM$7-$AL$7)),$AN$7-SQRT((1-AV1013)*($AN$7-$AL$7)*($AN$7-$AM$7))),$AM$7)</f>
        <v/>
      </c>
      <c r="AN1013">
        <f>IFERROR(IF(AW1013&lt;($AM$8-$AL$8)/($AN$8-$AL$8),$AL$8+SQRT(AW1013*($AN$8-$AL$8)*($AM$8-$AL$8)),$AN$8-SQRT((1-AW1013)*($AN$8-$AL$8)*($AN$8-$AM$8))),$AM$8)</f>
        <v/>
      </c>
      <c r="AO1013">
        <f>IFERROR(IF(AX1013&lt;($AM$9-$AL$9)/($AN$9-$AL$9),$AL$9+SQRT(AX1013*($AN$9-$AL$9)*($AM$9-$AL$9)),$AN$9-SQRT((1-AX1013)*($AN$9-$AL$9)*($AN$9-$AM$9))),$AM$9)</f>
        <v/>
      </c>
      <c r="AP1013">
        <f>IFERROR(IF(AY1013&lt;($AM$10-$AL$10)/($AN$10-$AL$10),$AL$10+SQRT(AY1013*($AN$10-$AL$10)*($AM$10-$AL$10)),$AN$10-SQRT((1-AY1013)*($AN$10-$AL$10)*($AN$10-$AM$10))),$AM$10)</f>
        <v/>
      </c>
      <c r="AQ1013">
        <f>IFERROR(IF(AZ1013&lt;($AM$11-$AL$11)/($AN$11-$AL$11),$AL$11+SQRT(AZ1013*($AN$11-$AL$11)*($AM$11-$AL$11)),$AN$11-SQRT((1-AZ1013)*($AN$11-$AL$11)*($AN$11-$AM$11))),$AM$11)</f>
        <v/>
      </c>
      <c r="AR1013">
        <f>SUMPRODUCT((B24:B31&lt;=$B$6)*(C24:C31*AM1013+D24:D31*AO1013*$B$8*AQ1013)/(1+AL1013/100)^B24:B31)+C32*AM1013*AP1013/(1+AL1013/100)^$B$6</f>
        <v/>
      </c>
      <c r="AS1013">
        <f>SUMPRODUCT((K24:K26&lt;=$B$6)*(L24:L26*AN1013+M24:M26*AO1013*$B$8*AQ1013)/(1+AL1013/100)^K24:K26)+L27*AN1013*AP1013/(1+AL1013/100)^$B$6</f>
        <v/>
      </c>
      <c r="AT1013">
        <f>AS1013-AR1013</f>
        <v/>
      </c>
      <c r="AU1013">
        <f>RAND()</f>
        <v/>
      </c>
      <c r="AV1013">
        <f>RAND()</f>
        <v/>
      </c>
      <c r="AW1013">
        <f>RAND()</f>
        <v/>
      </c>
      <c r="AX1013">
        <f>RAND()</f>
        <v/>
      </c>
      <c r="AY1013">
        <f>RAND()</f>
        <v/>
      </c>
      <c r="AZ1013">
        <f>RAND()</f>
        <v/>
      </c>
    </row>
  </sheetData>
  <conditionalFormatting sqref="D65:D89">
    <cfRule type="colorScale" priority="1">
      <colorScale>
        <cfvo type="min"/>
        <cfvo type="num" val="0"/>
        <cfvo type="max"/>
        <color rgb="00F8CDB9"/>
        <color rgb="00FFFFFF"/>
        <color rgb="00B7D3F6"/>
      </colorScale>
    </cfRule>
  </conditionalFormatting>
  <conditionalFormatting sqref="G130:G137">
    <cfRule type="cellIs" priority="2" operator="equal" dxfId="0">
      <formula>"YES"</formula>
    </cfRule>
  </conditionalFormatting>
  <conditionalFormatting sqref="K143:K154">
    <cfRule type="colorScale" priority="3">
      <colorScale>
        <cfvo type="min"/>
        <cfvo type="num" val="0"/>
        <cfvo type="max"/>
        <color rgb="00F8CDB9"/>
        <color rgb="00FFFFFF"/>
        <color rgb="00B7D3F6"/>
      </colorScale>
    </cfRule>
  </conditionalFormatting>
  <conditionalFormatting sqref="B160:H164">
    <cfRule type="colorScale" priority="4">
      <colorScale>
        <cfvo type="min"/>
        <cfvo type="num" val="0"/>
        <cfvo type="max"/>
        <color rgb="00F39C7A"/>
        <color rgb="00FFFFFF"/>
        <color rgb="006DA7EC"/>
      </colorScale>
    </cfRule>
  </conditionalFormatting>
  <dataValidations count="1">
    <dataValidation sqref="B16 B18" showDropDown="0" showInputMessage="0" showErrorMessage="0" allowBlank="0" type="list">
      <formula1>"Initial,Rehabilitation"</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D1013"/>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4" t="inlineStr">
        <is>
          <t>Upper Cumberland Regional (SRB) - Runway Reconstruction</t>
        </is>
      </c>
    </row>
    <row r="2">
      <c r="A2" s="5" t="inlineStr">
        <is>
          <t>Life-cycle cost comparison with runway-closure lost revenue. Yellow cells are inputs; everything else recalculates.</t>
        </is>
      </c>
    </row>
    <row r="4">
      <c r="A4" s="6" t="inlineStr">
        <is>
          <t>Parameter</t>
        </is>
      </c>
      <c r="B4" s="6" t="inlineStr">
        <is>
          <t>Value</t>
        </is>
      </c>
      <c r="C4" s="6" t="inlineStr">
        <is>
          <t>Note</t>
        </is>
      </c>
      <c r="AK4" s="4" t="inlineStr">
        <is>
          <t>MONTE CARLO (live): uncertain inputs drawn jointly from triangular ranges; press F9 to redraw</t>
        </is>
      </c>
    </row>
    <row r="5">
      <c r="A5" s="7" t="inlineStr">
        <is>
          <t>Discount rate (%)</t>
        </is>
      </c>
      <c r="B5" s="8" t="n">
        <v>3</v>
      </c>
      <c r="C5" s="5" t="inlineStr">
        <is>
          <t>TDOT default 3; FAA AIP handbook requires 7 for AIP-funded LCCA</t>
        </is>
      </c>
      <c r="AK5" s="6" t="inlineStr">
        <is>
          <t>Uncertain input</t>
        </is>
      </c>
      <c r="AL5" s="6" t="inlineStr">
        <is>
          <t>Min</t>
        </is>
      </c>
      <c r="AM5" s="6" t="inlineStr">
        <is>
          <t>Most likely</t>
        </is>
      </c>
      <c r="AN5" s="6" t="inlineStr">
        <is>
          <t>Max</t>
        </is>
      </c>
      <c r="BB5" s="9" t="inlineStr">
        <is>
          <t>Simulation summary</t>
        </is>
      </c>
    </row>
    <row r="6">
      <c r="A6" s="7" t="inlineStr">
        <is>
          <t>Analysis period (years)</t>
        </is>
      </c>
      <c r="B6" s="10" t="n">
        <v>30</v>
      </c>
      <c r="C6" s="5" t="inlineStr">
        <is>
          <t>TDOT policy 30; FAA AIP caps project life at 20</t>
        </is>
      </c>
      <c r="AK6" s="7" t="inlineStr">
        <is>
          <t>Discount rate (%)</t>
        </is>
      </c>
      <c r="AL6" s="10" t="n">
        <v>2</v>
      </c>
      <c r="AM6" s="10" t="n">
        <v>3</v>
      </c>
      <c r="AN6" s="10" t="n">
        <v>7</v>
      </c>
      <c r="BB6" s="7" t="inlineStr">
        <is>
          <t>Draws</t>
        </is>
      </c>
      <c r="BC6" s="11">
        <f>COUNT($AT$14:$AT$1013)</f>
        <v/>
      </c>
    </row>
    <row r="7">
      <c r="A7" s="7" t="inlineStr">
        <is>
          <t>Construction year</t>
        </is>
      </c>
      <c r="B7" s="10" t="n">
        <v>2027</v>
      </c>
      <c r="C7" s="5" t="inlineStr"/>
      <c r="AK7" s="7" t="inlineStr">
        <is>
          <t>HMA cost multiplier</t>
        </is>
      </c>
      <c r="AL7" s="10" t="n">
        <v>0.8</v>
      </c>
      <c r="AM7" s="10" t="n">
        <v>1</v>
      </c>
      <c r="AN7" s="10" t="n">
        <v>1.25</v>
      </c>
      <c r="BB7" s="7" t="inlineStr">
        <is>
          <t>Probability PCC is lower cost</t>
        </is>
      </c>
      <c r="BC7" s="12">
        <f>COUNTIF($AT$14:$AT$1013,"&lt;0")/COUNT($AT$14:$AT$1013)</f>
        <v/>
      </c>
    </row>
    <row r="8">
      <c r="A8" s="7" t="inlineStr">
        <is>
          <t>Airport daily revenue ($/day)</t>
        </is>
      </c>
      <c r="B8" s="13" t="n">
        <v>4344.12</v>
      </c>
      <c r="C8" s="5" t="inlineStr">
        <is>
          <t>Sum of the seven RevenueData columns for this airport (workbook method)</t>
        </is>
      </c>
      <c r="AK8" s="7" t="inlineStr">
        <is>
          <t>PCC cost multiplier</t>
        </is>
      </c>
      <c r="AL8" s="10" t="n">
        <v>0.8</v>
      </c>
      <c r="AM8" s="10" t="n">
        <v>1</v>
      </c>
      <c r="AN8" s="10" t="n">
        <v>1.25</v>
      </c>
      <c r="BB8" s="7" t="inlineStr">
        <is>
          <t>Mean PCC - HMA</t>
        </is>
      </c>
      <c r="BC8" s="14">
        <f>AVERAGE($AT$14:$AT$1013)</f>
        <v/>
      </c>
    </row>
    <row r="9">
      <c r="A9" s="7" t="inlineStr">
        <is>
          <t>Share of daily revenue actually lost during a closure</t>
        </is>
      </c>
      <c r="B9" s="15" t="n">
        <v>1</v>
      </c>
      <c r="C9" s="5" t="inlineStr">
        <is>
          <t>1.0 = workbook method (gross fuel sales and tenant rent count as lost). Try 0.3 to 0.5 for margin-based revenue</t>
        </is>
      </c>
      <c r="AK9" s="7" t="inlineStr">
        <is>
          <t>Closure-days multiplier</t>
        </is>
      </c>
      <c r="AL9" s="10" t="n">
        <v>0.5</v>
      </c>
      <c r="AM9" s="10" t="n">
        <v>1</v>
      </c>
      <c r="AN9" s="10" t="n">
        <v>2</v>
      </c>
      <c r="BB9" s="7" t="inlineStr">
        <is>
          <t>P10</t>
        </is>
      </c>
      <c r="BC9" s="14">
        <f>PERCENTILE($AT$14:$AT$1013,0.1)</f>
        <v/>
      </c>
    </row>
    <row r="10">
      <c r="A10" s="7" t="inlineStr">
        <is>
          <t>Closure-days multiplier</t>
        </is>
      </c>
      <c r="B10" s="10" t="n">
        <v>1</v>
      </c>
      <c r="C10" s="5" t="inlineStr">
        <is>
          <t>Scales every closure duration (production-rate defaults from the workbook)</t>
        </is>
      </c>
      <c r="AK10" s="7" t="inlineStr">
        <is>
          <t>Salvage multiplier</t>
        </is>
      </c>
      <c r="AL10" s="10" t="n">
        <v>0.5</v>
      </c>
      <c r="AM10" s="10" t="n">
        <v>1</v>
      </c>
      <c r="AN10" s="10" t="n">
        <v>1</v>
      </c>
      <c r="BB10" s="7" t="inlineStr">
        <is>
          <t>P50 (median)</t>
        </is>
      </c>
      <c r="BC10" s="14">
        <f>PERCENTILE($AT$14:$AT$1013,0.5)</f>
        <v/>
      </c>
    </row>
    <row r="11">
      <c r="A11" s="7" t="inlineStr">
        <is>
          <t>HMA cost multiplier</t>
        </is>
      </c>
      <c r="B11" s="10" t="n">
        <v>1</v>
      </c>
      <c r="C11" s="5" t="inlineStr">
        <is>
          <t>Bid-price uncertainty on all HMA direct costs</t>
        </is>
      </c>
      <c r="AK11" s="7" t="inlineStr">
        <is>
          <t>Share of revenue lost</t>
        </is>
      </c>
      <c r="AL11" s="10" t="n">
        <v>0.3</v>
      </c>
      <c r="AM11" s="10" t="n">
        <v>0.65</v>
      </c>
      <c r="AN11" s="10" t="n">
        <v>1</v>
      </c>
      <c r="BB11" s="7" t="inlineStr">
        <is>
          <t>P90</t>
        </is>
      </c>
      <c r="BC11" s="14">
        <f>PERCENTILE($AT$14:$AT$1013,0.9)</f>
        <v/>
      </c>
    </row>
    <row r="12">
      <c r="A12" s="7" t="inlineStr">
        <is>
          <t>PCC cost multiplier</t>
        </is>
      </c>
      <c r="B12" s="10" t="n">
        <v>1</v>
      </c>
      <c r="C12" s="5" t="inlineStr">
        <is>
          <t>Bid-price uncertainty on all PCC direct costs</t>
        </is>
      </c>
    </row>
    <row r="13">
      <c r="A13" s="7" t="inlineStr">
        <is>
          <t>Salvage multiplier</t>
        </is>
      </c>
      <c r="B13" s="10" t="n">
        <v>1</v>
      </c>
      <c r="C13" s="5" t="inlineStr">
        <is>
          <t>0 = no salvage credit; 1 = workbook policy (PCC 25% of initial, HMA 12.5% of one mill-and-overlay)</t>
        </is>
      </c>
      <c r="AK13" s="6" t="inlineStr">
        <is>
          <t>Draw</t>
        </is>
      </c>
      <c r="AL13" s="6" t="inlineStr">
        <is>
          <t>Rate %</t>
        </is>
      </c>
      <c r="AM13" s="6" t="inlineStr">
        <is>
          <t>HMA cost x</t>
        </is>
      </c>
      <c r="AN13" s="6" t="inlineStr">
        <is>
          <t>PCC cost x</t>
        </is>
      </c>
      <c r="AO13" s="6" t="inlineStr">
        <is>
          <t>Closure x</t>
        </is>
      </c>
      <c r="AP13" s="6" t="inlineStr">
        <is>
          <t>Salvage x</t>
        </is>
      </c>
      <c r="AQ13" s="6" t="inlineStr">
        <is>
          <t>Revenue share</t>
        </is>
      </c>
      <c r="AR13" s="6" t="inlineStr">
        <is>
          <t>NPW HMA</t>
        </is>
      </c>
      <c r="AS13" s="6" t="inlineStr">
        <is>
          <t>NPW PCC</t>
        </is>
      </c>
      <c r="AT13" s="6" t="inlineStr">
        <is>
          <t>PCC - HMA</t>
        </is>
      </c>
      <c r="AU13" s="6" t="inlineStr">
        <is>
          <t>u1</t>
        </is>
      </c>
      <c r="AV13" s="6" t="inlineStr">
        <is>
          <t>u2</t>
        </is>
      </c>
      <c r="AW13" s="6" t="inlineStr">
        <is>
          <t>u3</t>
        </is>
      </c>
      <c r="AX13" s="6" t="inlineStr">
        <is>
          <t>u4</t>
        </is>
      </c>
      <c r="AY13" s="6" t="inlineStr">
        <is>
          <t>u5</t>
        </is>
      </c>
      <c r="AZ13" s="6" t="inlineStr">
        <is>
          <t>u6</t>
        </is>
      </c>
      <c r="BB13" s="9" t="inlineStr">
        <is>
          <t>Histogram of PCC - HMA</t>
        </is>
      </c>
    </row>
    <row r="14">
      <c r="A14" s="7" t="inlineStr">
        <is>
          <t>Mainline area (SY)</t>
        </is>
      </c>
      <c r="B14" s="16" t="n">
        <v>74488.89</v>
      </c>
      <c r="C14" s="5" t="inlineStr"/>
      <c r="AK14" t="n">
        <v>1</v>
      </c>
      <c r="AL14">
        <f>IFERROR(IF(AU14&lt;($AM$6-$AL$6)/($AN$6-$AL$6),$AL$6+SQRT(AU14*($AN$6-$AL$6)*($AM$6-$AL$6)),$AN$6-SQRT((1-AU14)*($AN$6-$AL$6)*($AN$6-$AM$6))),$AM$6)</f>
        <v/>
      </c>
      <c r="AM14">
        <f>IFERROR(IF(AV14&lt;($AM$7-$AL$7)/($AN$7-$AL$7),$AL$7+SQRT(AV14*($AN$7-$AL$7)*($AM$7-$AL$7)),$AN$7-SQRT((1-AV14)*($AN$7-$AL$7)*($AN$7-$AM$7))),$AM$7)</f>
        <v/>
      </c>
      <c r="AN14">
        <f>IFERROR(IF(AW14&lt;($AM$8-$AL$8)/($AN$8-$AL$8),$AL$8+SQRT(AW14*($AN$8-$AL$8)*($AM$8-$AL$8)),$AN$8-SQRT((1-AW14)*($AN$8-$AL$8)*($AN$8-$AM$8))),$AM$8)</f>
        <v/>
      </c>
      <c r="AO14">
        <f>IFERROR(IF(AX14&lt;($AM$9-$AL$9)/($AN$9-$AL$9),$AL$9+SQRT(AX14*($AN$9-$AL$9)*($AM$9-$AL$9)),$AN$9-SQRT((1-AX14)*($AN$9-$AL$9)*($AN$9-$AM$9))),$AM$9)</f>
        <v/>
      </c>
      <c r="AP14">
        <f>IFERROR(IF(AY14&lt;($AM$10-$AL$10)/($AN$10-$AL$10),$AL$10+SQRT(AY14*($AN$10-$AL$10)*($AM$10-$AL$10)),$AN$10-SQRT((1-AY14)*($AN$10-$AL$10)*($AN$10-$AM$10))),$AM$10)</f>
        <v/>
      </c>
      <c r="AQ14">
        <f>IFERROR(IF(AZ14&lt;($AM$11-$AL$11)/($AN$11-$AL$11),$AL$11+SQRT(AZ14*($AN$11-$AL$11)*($AM$11-$AL$11)),$AN$11-SQRT((1-AZ14)*($AN$11-$AL$11)*($AN$11-$AM$11))),$AM$11)</f>
        <v/>
      </c>
      <c r="AR14">
        <f>SUMPRODUCT((B24:B31&lt;=$B$6)*(C24:C31*AM14+D24:D31*AO14*$B$8*AQ14)/(1+AL14/100)^B24:B31)+C32*AM14*AP14/(1+AL14/100)^$B$6</f>
        <v/>
      </c>
      <c r="AS14">
        <f>SUMPRODUCT((K24:K26&lt;=$B$6)*(L24:L26*AN14+M24:M26*AO14*$B$8*AQ14)/(1+AL14/100)^K24:K26)+L27*AN14*AP14/(1+AL14/100)^$B$6</f>
        <v/>
      </c>
      <c r="AT14">
        <f>AS14-AR14</f>
        <v/>
      </c>
      <c r="AU14">
        <f>RAND()</f>
        <v/>
      </c>
      <c r="AV14">
        <f>RAND()</f>
        <v/>
      </c>
      <c r="AW14">
        <f>RAND()</f>
        <v/>
      </c>
      <c r="AX14">
        <f>RAND()</f>
        <v/>
      </c>
      <c r="AY14">
        <f>RAND()</f>
        <v/>
      </c>
      <c r="AZ14">
        <f>RAND()</f>
        <v/>
      </c>
      <c r="BB14" s="6" t="inlineStr">
        <is>
          <t>Bin upper edge</t>
        </is>
      </c>
      <c r="BC14" s="6" t="inlineStr">
        <is>
          <t>Draws</t>
        </is>
      </c>
      <c r="BD14" s="6" t="inlineStr">
        <is>
          <t>Cumulative</t>
        </is>
      </c>
    </row>
    <row r="15">
      <c r="A15" s="7" t="inlineStr">
        <is>
          <t>HMA salvage fraction</t>
        </is>
      </c>
      <c r="B15" s="17" t="n">
        <v>0.125</v>
      </c>
      <c r="C15" s="5" t="inlineStr">
        <is>
          <t>TDOT policy: 2 of 16 years of the mill-and-overlay = 0.125</t>
        </is>
      </c>
      <c r="AK15" t="n">
        <v>2</v>
      </c>
      <c r="AL15">
        <f>IFERROR(IF(AU15&lt;($AM$6-$AL$6)/($AN$6-$AL$6),$AL$6+SQRT(AU15*($AN$6-$AL$6)*($AM$6-$AL$6)),$AN$6-SQRT((1-AU15)*($AN$6-$AL$6)*($AN$6-$AM$6))),$AM$6)</f>
        <v/>
      </c>
      <c r="AM15">
        <f>IFERROR(IF(AV15&lt;($AM$7-$AL$7)/($AN$7-$AL$7),$AL$7+SQRT(AV15*($AN$7-$AL$7)*($AM$7-$AL$7)),$AN$7-SQRT((1-AV15)*($AN$7-$AL$7)*($AN$7-$AM$7))),$AM$7)</f>
        <v/>
      </c>
      <c r="AN15">
        <f>IFERROR(IF(AW15&lt;($AM$8-$AL$8)/($AN$8-$AL$8),$AL$8+SQRT(AW15*($AN$8-$AL$8)*($AM$8-$AL$8)),$AN$8-SQRT((1-AW15)*($AN$8-$AL$8)*($AN$8-$AM$8))),$AM$8)</f>
        <v/>
      </c>
      <c r="AO15">
        <f>IFERROR(IF(AX15&lt;($AM$9-$AL$9)/($AN$9-$AL$9),$AL$9+SQRT(AX15*($AN$9-$AL$9)*($AM$9-$AL$9)),$AN$9-SQRT((1-AX15)*($AN$9-$AL$9)*($AN$9-$AM$9))),$AM$9)</f>
        <v/>
      </c>
      <c r="AP15">
        <f>IFERROR(IF(AY15&lt;($AM$10-$AL$10)/($AN$10-$AL$10),$AL$10+SQRT(AY15*($AN$10-$AL$10)*($AM$10-$AL$10)),$AN$10-SQRT((1-AY15)*($AN$10-$AL$10)*($AN$10-$AM$10))),$AM$10)</f>
        <v/>
      </c>
      <c r="AQ15">
        <f>IFERROR(IF(AZ15&lt;($AM$11-$AL$11)/($AN$11-$AL$11),$AL$11+SQRT(AZ15*($AN$11-$AL$11)*($AM$11-$AL$11)),$AN$11-SQRT((1-AZ15)*($AN$11-$AL$11)*($AN$11-$AM$11))),$AM$11)</f>
        <v/>
      </c>
      <c r="AR15">
        <f>SUMPRODUCT((B24:B31&lt;=$B$6)*(C24:C31*AM15+D24:D31*AO15*$B$8*AQ15)/(1+AL15/100)^B24:B31)+C32*AM15*AP15/(1+AL15/100)^$B$6</f>
        <v/>
      </c>
      <c r="AS15">
        <f>SUMPRODUCT((K24:K26&lt;=$B$6)*(L24:L26*AN15+M24:M26*AO15*$B$8*AQ15)/(1+AL15/100)^K24:K26)+L27*AN15*AP15/(1+AL15/100)^$B$6</f>
        <v/>
      </c>
      <c r="AT15">
        <f>AS15-AR15</f>
        <v/>
      </c>
      <c r="AU15">
        <f>RAND()</f>
        <v/>
      </c>
      <c r="AV15">
        <f>RAND()</f>
        <v/>
      </c>
      <c r="AW15">
        <f>RAND()</f>
        <v/>
      </c>
      <c r="AX15">
        <f>RAND()</f>
        <v/>
      </c>
      <c r="AY15">
        <f>RAND()</f>
        <v/>
      </c>
      <c r="AZ15">
        <f>RAND()</f>
        <v/>
      </c>
      <c r="BB15" s="18">
        <f>PERCENTILE($AT$14:$AT$1013,0.01)+(PERCENTILE($AT$14:$AT$1013,0.99)-PERCENTILE($AT$14:$AT$1013,0.01))*1/20</f>
        <v/>
      </c>
      <c r="BC15">
        <f>COUNTIF($AT$14:$AT$1013,"&lt;="&amp;BB15)</f>
        <v/>
      </c>
      <c r="BD15" s="12">
        <f>COUNTIF($AT$14:$AT$1013,"&lt;="&amp;BB15)/COUNT($AT$14:$AT$1013)</f>
        <v/>
      </c>
    </row>
    <row r="16">
      <c r="A16" s="7" t="inlineStr">
        <is>
          <t>HMA salvage basis</t>
        </is>
      </c>
      <c r="B16" s="10" t="inlineStr">
        <is>
          <t>Rehabilitation</t>
        </is>
      </c>
      <c r="C16" s="5" t="inlineStr">
        <is>
          <t>Initial or Rehabilitation (which cost the fraction applies to)</t>
        </is>
      </c>
      <c r="AK16" t="n">
        <v>3</v>
      </c>
      <c r="AL16">
        <f>IFERROR(IF(AU16&lt;($AM$6-$AL$6)/($AN$6-$AL$6),$AL$6+SQRT(AU16*($AN$6-$AL$6)*($AM$6-$AL$6)),$AN$6-SQRT((1-AU16)*($AN$6-$AL$6)*($AN$6-$AM$6))),$AM$6)</f>
        <v/>
      </c>
      <c r="AM16">
        <f>IFERROR(IF(AV16&lt;($AM$7-$AL$7)/($AN$7-$AL$7),$AL$7+SQRT(AV16*($AN$7-$AL$7)*($AM$7-$AL$7)),$AN$7-SQRT((1-AV16)*($AN$7-$AL$7)*($AN$7-$AM$7))),$AM$7)</f>
        <v/>
      </c>
      <c r="AN16">
        <f>IFERROR(IF(AW16&lt;($AM$8-$AL$8)/($AN$8-$AL$8),$AL$8+SQRT(AW16*($AN$8-$AL$8)*($AM$8-$AL$8)),$AN$8-SQRT((1-AW16)*($AN$8-$AL$8)*($AN$8-$AM$8))),$AM$8)</f>
        <v/>
      </c>
      <c r="AO16">
        <f>IFERROR(IF(AX16&lt;($AM$9-$AL$9)/($AN$9-$AL$9),$AL$9+SQRT(AX16*($AN$9-$AL$9)*($AM$9-$AL$9)),$AN$9-SQRT((1-AX16)*($AN$9-$AL$9)*($AN$9-$AM$9))),$AM$9)</f>
        <v/>
      </c>
      <c r="AP16">
        <f>IFERROR(IF(AY16&lt;($AM$10-$AL$10)/($AN$10-$AL$10),$AL$10+SQRT(AY16*($AN$10-$AL$10)*($AM$10-$AL$10)),$AN$10-SQRT((1-AY16)*($AN$10-$AL$10)*($AN$10-$AM$10))),$AM$10)</f>
        <v/>
      </c>
      <c r="AQ16">
        <f>IFERROR(IF(AZ16&lt;($AM$11-$AL$11)/($AN$11-$AL$11),$AL$11+SQRT(AZ16*($AN$11-$AL$11)*($AM$11-$AL$11)),$AN$11-SQRT((1-AZ16)*($AN$11-$AL$11)*($AN$11-$AM$11))),$AM$11)</f>
        <v/>
      </c>
      <c r="AR16">
        <f>SUMPRODUCT((B24:B31&lt;=$B$6)*(C24:C31*AM16+D24:D31*AO16*$B$8*AQ16)/(1+AL16/100)^B24:B31)+C32*AM16*AP16/(1+AL16/100)^$B$6</f>
        <v/>
      </c>
      <c r="AS16">
        <f>SUMPRODUCT((K24:K26&lt;=$B$6)*(L24:L26*AN16+M24:M26*AO16*$B$8*AQ16)/(1+AL16/100)^K24:K26)+L27*AN16*AP16/(1+AL16/100)^$B$6</f>
        <v/>
      </c>
      <c r="AT16">
        <f>AS16-AR16</f>
        <v/>
      </c>
      <c r="AU16">
        <f>RAND()</f>
        <v/>
      </c>
      <c r="AV16">
        <f>RAND()</f>
        <v/>
      </c>
      <c r="AW16">
        <f>RAND()</f>
        <v/>
      </c>
      <c r="AX16">
        <f>RAND()</f>
        <v/>
      </c>
      <c r="AY16">
        <f>RAND()</f>
        <v/>
      </c>
      <c r="AZ16">
        <f>RAND()</f>
        <v/>
      </c>
      <c r="BB16" s="18">
        <f>PERCENTILE($AT$14:$AT$1013,0.01)+(PERCENTILE($AT$14:$AT$1013,0.99)-PERCENTILE($AT$14:$AT$1013,0.01))*2/20</f>
        <v/>
      </c>
      <c r="BC16">
        <f>COUNTIF($AT$14:$AT$1013,"&lt;="&amp;BB16)-COUNTIF($AT$14:$AT$1013,"&lt;="&amp;BB15)</f>
        <v/>
      </c>
      <c r="BD16" s="12">
        <f>COUNTIF($AT$14:$AT$1013,"&lt;="&amp;BB16)/COUNT($AT$14:$AT$1013)</f>
        <v/>
      </c>
    </row>
    <row r="17">
      <c r="A17" s="7" t="inlineStr">
        <is>
          <t>PCC salvage fraction</t>
        </is>
      </c>
      <c r="B17" s="17" t="n">
        <v>0.25</v>
      </c>
      <c r="C17" s="5" t="inlineStr">
        <is>
          <t>TDOT policy: 10 of 40 years of initial construction = 0.25</t>
        </is>
      </c>
      <c r="AK17" t="n">
        <v>4</v>
      </c>
      <c r="AL17">
        <f>IFERROR(IF(AU17&lt;($AM$6-$AL$6)/($AN$6-$AL$6),$AL$6+SQRT(AU17*($AN$6-$AL$6)*($AM$6-$AL$6)),$AN$6-SQRT((1-AU17)*($AN$6-$AL$6)*($AN$6-$AM$6))),$AM$6)</f>
        <v/>
      </c>
      <c r="AM17">
        <f>IFERROR(IF(AV17&lt;($AM$7-$AL$7)/($AN$7-$AL$7),$AL$7+SQRT(AV17*($AN$7-$AL$7)*($AM$7-$AL$7)),$AN$7-SQRT((1-AV17)*($AN$7-$AL$7)*($AN$7-$AM$7))),$AM$7)</f>
        <v/>
      </c>
      <c r="AN17">
        <f>IFERROR(IF(AW17&lt;($AM$8-$AL$8)/($AN$8-$AL$8),$AL$8+SQRT(AW17*($AN$8-$AL$8)*($AM$8-$AL$8)),$AN$8-SQRT((1-AW17)*($AN$8-$AL$8)*($AN$8-$AM$8))),$AM$8)</f>
        <v/>
      </c>
      <c r="AO17">
        <f>IFERROR(IF(AX17&lt;($AM$9-$AL$9)/($AN$9-$AL$9),$AL$9+SQRT(AX17*($AN$9-$AL$9)*($AM$9-$AL$9)),$AN$9-SQRT((1-AX17)*($AN$9-$AL$9)*($AN$9-$AM$9))),$AM$9)</f>
        <v/>
      </c>
      <c r="AP17">
        <f>IFERROR(IF(AY17&lt;($AM$10-$AL$10)/($AN$10-$AL$10),$AL$10+SQRT(AY17*($AN$10-$AL$10)*($AM$10-$AL$10)),$AN$10-SQRT((1-AY17)*($AN$10-$AL$10)*($AN$10-$AM$10))),$AM$10)</f>
        <v/>
      </c>
      <c r="AQ17">
        <f>IFERROR(IF(AZ17&lt;($AM$11-$AL$11)/($AN$11-$AL$11),$AL$11+SQRT(AZ17*($AN$11-$AL$11)*($AM$11-$AL$11)),$AN$11-SQRT((1-AZ17)*($AN$11-$AL$11)*($AN$11-$AM$11))),$AM$11)</f>
        <v/>
      </c>
      <c r="AR17">
        <f>SUMPRODUCT((B24:B31&lt;=$B$6)*(C24:C31*AM17+D24:D31*AO17*$B$8*AQ17)/(1+AL17/100)^B24:B31)+C32*AM17*AP17/(1+AL17/100)^$B$6</f>
        <v/>
      </c>
      <c r="AS17">
        <f>SUMPRODUCT((K24:K26&lt;=$B$6)*(L24:L26*AN17+M24:M26*AO17*$B$8*AQ17)/(1+AL17/100)^K24:K26)+L27*AN17*AP17/(1+AL17/100)^$B$6</f>
        <v/>
      </c>
      <c r="AT17">
        <f>AS17-AR17</f>
        <v/>
      </c>
      <c r="AU17">
        <f>RAND()</f>
        <v/>
      </c>
      <c r="AV17">
        <f>RAND()</f>
        <v/>
      </c>
      <c r="AW17">
        <f>RAND()</f>
        <v/>
      </c>
      <c r="AX17">
        <f>RAND()</f>
        <v/>
      </c>
      <c r="AY17">
        <f>RAND()</f>
        <v/>
      </c>
      <c r="AZ17">
        <f>RAND()</f>
        <v/>
      </c>
      <c r="BB17" s="18">
        <f>PERCENTILE($AT$14:$AT$1013,0.01)+(PERCENTILE($AT$14:$AT$1013,0.99)-PERCENTILE($AT$14:$AT$1013,0.01))*3/20</f>
        <v/>
      </c>
      <c r="BC17">
        <f>COUNTIF($AT$14:$AT$1013,"&lt;="&amp;BB17)-COUNTIF($AT$14:$AT$1013,"&lt;="&amp;BB16)</f>
        <v/>
      </c>
      <c r="BD17" s="12">
        <f>COUNTIF($AT$14:$AT$1013,"&lt;="&amp;BB17)/COUNT($AT$14:$AT$1013)</f>
        <v/>
      </c>
    </row>
    <row r="18">
      <c r="A18" s="7" t="inlineStr">
        <is>
          <t>PCC salvage basis</t>
        </is>
      </c>
      <c r="B18" s="10" t="inlineStr">
        <is>
          <t>Initial</t>
        </is>
      </c>
      <c r="C18" s="5" t="inlineStr">
        <is>
          <t>Initial or Rehabilitation</t>
        </is>
      </c>
      <c r="AK18" t="n">
        <v>5</v>
      </c>
      <c r="AL18">
        <f>IFERROR(IF(AU18&lt;($AM$6-$AL$6)/($AN$6-$AL$6),$AL$6+SQRT(AU18*($AN$6-$AL$6)*($AM$6-$AL$6)),$AN$6-SQRT((1-AU18)*($AN$6-$AL$6)*($AN$6-$AM$6))),$AM$6)</f>
        <v/>
      </c>
      <c r="AM18">
        <f>IFERROR(IF(AV18&lt;($AM$7-$AL$7)/($AN$7-$AL$7),$AL$7+SQRT(AV18*($AN$7-$AL$7)*($AM$7-$AL$7)),$AN$7-SQRT((1-AV18)*($AN$7-$AL$7)*($AN$7-$AM$7))),$AM$7)</f>
        <v/>
      </c>
      <c r="AN18">
        <f>IFERROR(IF(AW18&lt;($AM$8-$AL$8)/($AN$8-$AL$8),$AL$8+SQRT(AW18*($AN$8-$AL$8)*($AM$8-$AL$8)),$AN$8-SQRT((1-AW18)*($AN$8-$AL$8)*($AN$8-$AM$8))),$AM$8)</f>
        <v/>
      </c>
      <c r="AO18">
        <f>IFERROR(IF(AX18&lt;($AM$9-$AL$9)/($AN$9-$AL$9),$AL$9+SQRT(AX18*($AN$9-$AL$9)*($AM$9-$AL$9)),$AN$9-SQRT((1-AX18)*($AN$9-$AL$9)*($AN$9-$AM$9))),$AM$9)</f>
        <v/>
      </c>
      <c r="AP18">
        <f>IFERROR(IF(AY18&lt;($AM$10-$AL$10)/($AN$10-$AL$10),$AL$10+SQRT(AY18*($AN$10-$AL$10)*($AM$10-$AL$10)),$AN$10-SQRT((1-AY18)*($AN$10-$AL$10)*($AN$10-$AM$10))),$AM$10)</f>
        <v/>
      </c>
      <c r="AQ18">
        <f>IFERROR(IF(AZ18&lt;($AM$11-$AL$11)/($AN$11-$AL$11),$AL$11+SQRT(AZ18*($AN$11-$AL$11)*($AM$11-$AL$11)),$AN$11-SQRT((1-AZ18)*($AN$11-$AL$11)*($AN$11-$AM$11))),$AM$11)</f>
        <v/>
      </c>
      <c r="AR18">
        <f>SUMPRODUCT((B24:B31&lt;=$B$6)*(C24:C31*AM18+D24:D31*AO18*$B$8*AQ18)/(1+AL18/100)^B24:B31)+C32*AM18*AP18/(1+AL18/100)^$B$6</f>
        <v/>
      </c>
      <c r="AS18">
        <f>SUMPRODUCT((K24:K26&lt;=$B$6)*(L24:L26*AN18+M24:M26*AO18*$B$8*AQ18)/(1+AL18/100)^K24:K26)+L27*AN18*AP18/(1+AL18/100)^$B$6</f>
        <v/>
      </c>
      <c r="AT18">
        <f>AS18-AR18</f>
        <v/>
      </c>
      <c r="AU18">
        <f>RAND()</f>
        <v/>
      </c>
      <c r="AV18">
        <f>RAND()</f>
        <v/>
      </c>
      <c r="AW18">
        <f>RAND()</f>
        <v/>
      </c>
      <c r="AX18">
        <f>RAND()</f>
        <v/>
      </c>
      <c r="AY18">
        <f>RAND()</f>
        <v/>
      </c>
      <c r="AZ18">
        <f>RAND()</f>
        <v/>
      </c>
      <c r="BB18" s="18">
        <f>PERCENTILE($AT$14:$AT$1013,0.01)+(PERCENTILE($AT$14:$AT$1013,0.99)-PERCENTILE($AT$14:$AT$1013,0.01))*4/20</f>
        <v/>
      </c>
      <c r="BC18">
        <f>COUNTIF($AT$14:$AT$1013,"&lt;="&amp;BB18)-COUNTIF($AT$14:$AT$1013,"&lt;="&amp;BB17)</f>
        <v/>
      </c>
      <c r="BD18" s="12">
        <f>COUNTIF($AT$14:$AT$1013,"&lt;="&amp;BB18)/COUNT($AT$14:$AT$1013)</f>
        <v/>
      </c>
    </row>
    <row r="19">
      <c r="AK19" t="n">
        <v>6</v>
      </c>
      <c r="AL19">
        <f>IFERROR(IF(AU19&lt;($AM$6-$AL$6)/($AN$6-$AL$6),$AL$6+SQRT(AU19*($AN$6-$AL$6)*($AM$6-$AL$6)),$AN$6-SQRT((1-AU19)*($AN$6-$AL$6)*($AN$6-$AM$6))),$AM$6)</f>
        <v/>
      </c>
      <c r="AM19">
        <f>IFERROR(IF(AV19&lt;($AM$7-$AL$7)/($AN$7-$AL$7),$AL$7+SQRT(AV19*($AN$7-$AL$7)*($AM$7-$AL$7)),$AN$7-SQRT((1-AV19)*($AN$7-$AL$7)*($AN$7-$AM$7))),$AM$7)</f>
        <v/>
      </c>
      <c r="AN19">
        <f>IFERROR(IF(AW19&lt;($AM$8-$AL$8)/($AN$8-$AL$8),$AL$8+SQRT(AW19*($AN$8-$AL$8)*($AM$8-$AL$8)),$AN$8-SQRT((1-AW19)*($AN$8-$AL$8)*($AN$8-$AM$8))),$AM$8)</f>
        <v/>
      </c>
      <c r="AO19">
        <f>IFERROR(IF(AX19&lt;($AM$9-$AL$9)/($AN$9-$AL$9),$AL$9+SQRT(AX19*($AN$9-$AL$9)*($AM$9-$AL$9)),$AN$9-SQRT((1-AX19)*($AN$9-$AL$9)*($AN$9-$AM$9))),$AM$9)</f>
        <v/>
      </c>
      <c r="AP19">
        <f>IFERROR(IF(AY19&lt;($AM$10-$AL$10)/($AN$10-$AL$10),$AL$10+SQRT(AY19*($AN$10-$AL$10)*($AM$10-$AL$10)),$AN$10-SQRT((1-AY19)*($AN$10-$AL$10)*($AN$10-$AM$10))),$AM$10)</f>
        <v/>
      </c>
      <c r="AQ19">
        <f>IFERROR(IF(AZ19&lt;($AM$11-$AL$11)/($AN$11-$AL$11),$AL$11+SQRT(AZ19*($AN$11-$AL$11)*($AM$11-$AL$11)),$AN$11-SQRT((1-AZ19)*($AN$11-$AL$11)*($AN$11-$AM$11))),$AM$11)</f>
        <v/>
      </c>
      <c r="AR19">
        <f>SUMPRODUCT((B24:B31&lt;=$B$6)*(C24:C31*AM19+D24:D31*AO19*$B$8*AQ19)/(1+AL19/100)^B24:B31)+C32*AM19*AP19/(1+AL19/100)^$B$6</f>
        <v/>
      </c>
      <c r="AS19">
        <f>SUMPRODUCT((K24:K26&lt;=$B$6)*(L24:L26*AN19+M24:M26*AO19*$B$8*AQ19)/(1+AL19/100)^K24:K26)+L27*AN19*AP19/(1+AL19/100)^$B$6</f>
        <v/>
      </c>
      <c r="AT19">
        <f>AS19-AR19</f>
        <v/>
      </c>
      <c r="AU19">
        <f>RAND()</f>
        <v/>
      </c>
      <c r="AV19">
        <f>RAND()</f>
        <v/>
      </c>
      <c r="AW19">
        <f>RAND()</f>
        <v/>
      </c>
      <c r="AX19">
        <f>RAND()</f>
        <v/>
      </c>
      <c r="AY19">
        <f>RAND()</f>
        <v/>
      </c>
      <c r="AZ19">
        <f>RAND()</f>
        <v/>
      </c>
      <c r="BB19" s="18">
        <f>PERCENTILE($AT$14:$AT$1013,0.01)+(PERCENTILE($AT$14:$AT$1013,0.99)-PERCENTILE($AT$14:$AT$1013,0.01))*5/20</f>
        <v/>
      </c>
      <c r="BC19">
        <f>COUNTIF($AT$14:$AT$1013,"&lt;="&amp;BB19)-COUNTIF($AT$14:$AT$1013,"&lt;="&amp;BB18)</f>
        <v/>
      </c>
      <c r="BD19" s="12">
        <f>COUNTIF($AT$14:$AT$1013,"&lt;="&amp;BB19)/COUNT($AT$14:$AT$1013)</f>
        <v/>
      </c>
    </row>
    <row r="20">
      <c r="A20" s="5" t="inlineStr">
        <is>
          <t>ACTIVITY TABLES: type the base direct cost and closure days for each policy activity (yellow). Years follow the TDOT Maintenance Policies. Copy them from the framework workbook alternative sheets (column D of the NPW table and cells F4:F10).</t>
        </is>
      </c>
      <c r="AK20" t="n">
        <v>7</v>
      </c>
      <c r="AL20">
        <f>IFERROR(IF(AU20&lt;($AM$6-$AL$6)/($AN$6-$AL$6),$AL$6+SQRT(AU20*($AN$6-$AL$6)*($AM$6-$AL$6)),$AN$6-SQRT((1-AU20)*($AN$6-$AL$6)*($AN$6-$AM$6))),$AM$6)</f>
        <v/>
      </c>
      <c r="AM20">
        <f>IFERROR(IF(AV20&lt;($AM$7-$AL$7)/($AN$7-$AL$7),$AL$7+SQRT(AV20*($AN$7-$AL$7)*($AM$7-$AL$7)),$AN$7-SQRT((1-AV20)*($AN$7-$AL$7)*($AN$7-$AM$7))),$AM$7)</f>
        <v/>
      </c>
      <c r="AN20">
        <f>IFERROR(IF(AW20&lt;($AM$8-$AL$8)/($AN$8-$AL$8),$AL$8+SQRT(AW20*($AN$8-$AL$8)*($AM$8-$AL$8)),$AN$8-SQRT((1-AW20)*($AN$8-$AL$8)*($AN$8-$AM$8))),$AM$8)</f>
        <v/>
      </c>
      <c r="AO20">
        <f>IFERROR(IF(AX20&lt;($AM$9-$AL$9)/($AN$9-$AL$9),$AL$9+SQRT(AX20*($AN$9-$AL$9)*($AM$9-$AL$9)),$AN$9-SQRT((1-AX20)*($AN$9-$AL$9)*($AN$9-$AM$9))),$AM$9)</f>
        <v/>
      </c>
      <c r="AP20">
        <f>IFERROR(IF(AY20&lt;($AM$10-$AL$10)/($AN$10-$AL$10),$AL$10+SQRT(AY20*($AN$10-$AL$10)*($AM$10-$AL$10)),$AN$10-SQRT((1-AY20)*($AN$10-$AL$10)*($AN$10-$AM$10))),$AM$10)</f>
        <v/>
      </c>
      <c r="AQ20">
        <f>IFERROR(IF(AZ20&lt;($AM$11-$AL$11)/($AN$11-$AL$11),$AL$11+SQRT(AZ20*($AN$11-$AL$11)*($AM$11-$AL$11)),$AN$11-SQRT((1-AZ20)*($AN$11-$AL$11)*($AN$11-$AM$11))),$AM$11)</f>
        <v/>
      </c>
      <c r="AR20">
        <f>SUMPRODUCT((B24:B31&lt;=$B$6)*(C24:C31*AM20+D24:D31*AO20*$B$8*AQ20)/(1+AL20/100)^B24:B31)+C32*AM20*AP20/(1+AL20/100)^$B$6</f>
        <v/>
      </c>
      <c r="AS20">
        <f>SUMPRODUCT((K24:K26&lt;=$B$6)*(L24:L26*AN20+M24:M26*AO20*$B$8*AQ20)/(1+AL20/100)^K24:K26)+L27*AN20*AP20/(1+AL20/100)^$B$6</f>
        <v/>
      </c>
      <c r="AT20">
        <f>AS20-AR20</f>
        <v/>
      </c>
      <c r="AU20">
        <f>RAND()</f>
        <v/>
      </c>
      <c r="AV20">
        <f>RAND()</f>
        <v/>
      </c>
      <c r="AW20">
        <f>RAND()</f>
        <v/>
      </c>
      <c r="AX20">
        <f>RAND()</f>
        <v/>
      </c>
      <c r="AY20">
        <f>RAND()</f>
        <v/>
      </c>
      <c r="AZ20">
        <f>RAND()</f>
        <v/>
      </c>
      <c r="BB20" s="18">
        <f>PERCENTILE($AT$14:$AT$1013,0.01)+(PERCENTILE($AT$14:$AT$1013,0.99)-PERCENTILE($AT$14:$AT$1013,0.01))*6/20</f>
        <v/>
      </c>
      <c r="BC20">
        <f>COUNTIF($AT$14:$AT$1013,"&lt;="&amp;BB20)-COUNTIF($AT$14:$AT$1013,"&lt;="&amp;BB19)</f>
        <v/>
      </c>
      <c r="BD20" s="12">
        <f>COUNTIF($AT$14:$AT$1013,"&lt;="&amp;BB20)/COUNT($AT$14:$AT$1013)</f>
        <v/>
      </c>
    </row>
    <row r="21">
      <c r="AK21" t="n">
        <v>8</v>
      </c>
      <c r="AL21">
        <f>IFERROR(IF(AU21&lt;($AM$6-$AL$6)/($AN$6-$AL$6),$AL$6+SQRT(AU21*($AN$6-$AL$6)*($AM$6-$AL$6)),$AN$6-SQRT((1-AU21)*($AN$6-$AL$6)*($AN$6-$AM$6))),$AM$6)</f>
        <v/>
      </c>
      <c r="AM21">
        <f>IFERROR(IF(AV21&lt;($AM$7-$AL$7)/($AN$7-$AL$7),$AL$7+SQRT(AV21*($AN$7-$AL$7)*($AM$7-$AL$7)),$AN$7-SQRT((1-AV21)*($AN$7-$AL$7)*($AN$7-$AM$7))),$AM$7)</f>
        <v/>
      </c>
      <c r="AN21">
        <f>IFERROR(IF(AW21&lt;($AM$8-$AL$8)/($AN$8-$AL$8),$AL$8+SQRT(AW21*($AN$8-$AL$8)*($AM$8-$AL$8)),$AN$8-SQRT((1-AW21)*($AN$8-$AL$8)*($AN$8-$AM$8))),$AM$8)</f>
        <v/>
      </c>
      <c r="AO21">
        <f>IFERROR(IF(AX21&lt;($AM$9-$AL$9)/($AN$9-$AL$9),$AL$9+SQRT(AX21*($AN$9-$AL$9)*($AM$9-$AL$9)),$AN$9-SQRT((1-AX21)*($AN$9-$AL$9)*($AN$9-$AM$9))),$AM$9)</f>
        <v/>
      </c>
      <c r="AP21">
        <f>IFERROR(IF(AY21&lt;($AM$10-$AL$10)/($AN$10-$AL$10),$AL$10+SQRT(AY21*($AN$10-$AL$10)*($AM$10-$AL$10)),$AN$10-SQRT((1-AY21)*($AN$10-$AL$10)*($AN$10-$AM$10))),$AM$10)</f>
        <v/>
      </c>
      <c r="AQ21">
        <f>IFERROR(IF(AZ21&lt;($AM$11-$AL$11)/($AN$11-$AL$11),$AL$11+SQRT(AZ21*($AN$11-$AL$11)*($AM$11-$AL$11)),$AN$11-SQRT((1-AZ21)*($AN$11-$AL$11)*($AN$11-$AM$11))),$AM$11)</f>
        <v/>
      </c>
      <c r="AR21">
        <f>SUMPRODUCT((B24:B31&lt;=$B$6)*(C24:C31*AM21+D24:D31*AO21*$B$8*AQ21)/(1+AL21/100)^B24:B31)+C32*AM21*AP21/(1+AL21/100)^$B$6</f>
        <v/>
      </c>
      <c r="AS21">
        <f>SUMPRODUCT((K24:K26&lt;=$B$6)*(L24:L26*AN21+M24:M26*AO21*$B$8*AQ21)/(1+AL21/100)^K24:K26)+L27*AN21*AP21/(1+AL21/100)^$B$6</f>
        <v/>
      </c>
      <c r="AT21">
        <f>AS21-AR21</f>
        <v/>
      </c>
      <c r="AU21">
        <f>RAND()</f>
        <v/>
      </c>
      <c r="AV21">
        <f>RAND()</f>
        <v/>
      </c>
      <c r="AW21">
        <f>RAND()</f>
        <v/>
      </c>
      <c r="AX21">
        <f>RAND()</f>
        <v/>
      </c>
      <c r="AY21">
        <f>RAND()</f>
        <v/>
      </c>
      <c r="AZ21">
        <f>RAND()</f>
        <v/>
      </c>
      <c r="BB21" s="18">
        <f>PERCENTILE($AT$14:$AT$1013,0.01)+(PERCENTILE($AT$14:$AT$1013,0.99)-PERCENTILE($AT$14:$AT$1013,0.01))*7/20</f>
        <v/>
      </c>
      <c r="BC21">
        <f>COUNTIF($AT$14:$AT$1013,"&lt;="&amp;BB21)-COUNTIF($AT$14:$AT$1013,"&lt;="&amp;BB20)</f>
        <v/>
      </c>
      <c r="BD21" s="12">
        <f>COUNTIF($AT$14:$AT$1013,"&lt;="&amp;BB21)/COUNT($AT$14:$AT$1013)</f>
        <v/>
      </c>
    </row>
    <row r="22">
      <c r="A22" s="9" t="inlineStr">
        <is>
          <t>Alt 2 - New HMA  (4" P-401 + 5" P-403 on 6" P-209)</t>
        </is>
      </c>
      <c r="J22" s="9" t="inlineStr">
        <is>
          <t>Alt 1 - New PCC  (11" P-501 on 6" P-209 + P-403 base)</t>
        </is>
      </c>
      <c r="AK22" t="n">
        <v>9</v>
      </c>
      <c r="AL22">
        <f>IFERROR(IF(AU22&lt;($AM$6-$AL$6)/($AN$6-$AL$6),$AL$6+SQRT(AU22*($AN$6-$AL$6)*($AM$6-$AL$6)),$AN$6-SQRT((1-AU22)*($AN$6-$AL$6)*($AN$6-$AM$6))),$AM$6)</f>
        <v/>
      </c>
      <c r="AM22">
        <f>IFERROR(IF(AV22&lt;($AM$7-$AL$7)/($AN$7-$AL$7),$AL$7+SQRT(AV22*($AN$7-$AL$7)*($AM$7-$AL$7)),$AN$7-SQRT((1-AV22)*($AN$7-$AL$7)*($AN$7-$AM$7))),$AM$7)</f>
        <v/>
      </c>
      <c r="AN22">
        <f>IFERROR(IF(AW22&lt;($AM$8-$AL$8)/($AN$8-$AL$8),$AL$8+SQRT(AW22*($AN$8-$AL$8)*($AM$8-$AL$8)),$AN$8-SQRT((1-AW22)*($AN$8-$AL$8)*($AN$8-$AM$8))),$AM$8)</f>
        <v/>
      </c>
      <c r="AO22">
        <f>IFERROR(IF(AX22&lt;($AM$9-$AL$9)/($AN$9-$AL$9),$AL$9+SQRT(AX22*($AN$9-$AL$9)*($AM$9-$AL$9)),$AN$9-SQRT((1-AX22)*($AN$9-$AL$9)*($AN$9-$AM$9))),$AM$9)</f>
        <v/>
      </c>
      <c r="AP22">
        <f>IFERROR(IF(AY22&lt;($AM$10-$AL$10)/($AN$10-$AL$10),$AL$10+SQRT(AY22*($AN$10-$AL$10)*($AM$10-$AL$10)),$AN$10-SQRT((1-AY22)*($AN$10-$AL$10)*($AN$10-$AM$10))),$AM$10)</f>
        <v/>
      </c>
      <c r="AQ22">
        <f>IFERROR(IF(AZ22&lt;($AM$11-$AL$11)/($AN$11-$AL$11),$AL$11+SQRT(AZ22*($AN$11-$AL$11)*($AM$11-$AL$11)),$AN$11-SQRT((1-AZ22)*($AN$11-$AL$11)*($AN$11-$AM$11))),$AM$11)</f>
        <v/>
      </c>
      <c r="AR22">
        <f>SUMPRODUCT((B24:B31&lt;=$B$6)*(C24:C31*AM22+D24:D31*AO22*$B$8*AQ22)/(1+AL22/100)^B24:B31)+C32*AM22*AP22/(1+AL22/100)^$B$6</f>
        <v/>
      </c>
      <c r="AS22">
        <f>SUMPRODUCT((K24:K26&lt;=$B$6)*(L24:L26*AN22+M24:M26*AO22*$B$8*AQ22)/(1+AL22/100)^K24:K26)+L27*AN22*AP22/(1+AL22/100)^$B$6</f>
        <v/>
      </c>
      <c r="AT22">
        <f>AS22-AR22</f>
        <v/>
      </c>
      <c r="AU22">
        <f>RAND()</f>
        <v/>
      </c>
      <c r="AV22">
        <f>RAND()</f>
        <v/>
      </c>
      <c r="AW22">
        <f>RAND()</f>
        <v/>
      </c>
      <c r="AX22">
        <f>RAND()</f>
        <v/>
      </c>
      <c r="AY22">
        <f>RAND()</f>
        <v/>
      </c>
      <c r="AZ22">
        <f>RAND()</f>
        <v/>
      </c>
      <c r="BB22" s="18">
        <f>PERCENTILE($AT$14:$AT$1013,0.01)+(PERCENTILE($AT$14:$AT$1013,0.99)-PERCENTILE($AT$14:$AT$1013,0.01))*8/20</f>
        <v/>
      </c>
      <c r="BC22">
        <f>COUNTIF($AT$14:$AT$1013,"&lt;="&amp;BB22)-COUNTIF($AT$14:$AT$1013,"&lt;="&amp;BB21)</f>
        <v/>
      </c>
      <c r="BD22" s="12">
        <f>COUNTIF($AT$14:$AT$1013,"&lt;="&amp;BB22)/COUNT($AT$14:$AT$1013)</f>
        <v/>
      </c>
    </row>
    <row r="23">
      <c r="A23" s="19" t="inlineStr">
        <is>
          <t>Activity</t>
        </is>
      </c>
      <c r="B23" s="19" t="inlineStr">
        <is>
          <t>Year</t>
        </is>
      </c>
      <c r="C23" s="19" t="inlineStr">
        <is>
          <t>Direct cost (base $)</t>
        </is>
      </c>
      <c r="D23" s="19" t="inlineStr">
        <is>
          <t>Closure days (base)</t>
        </is>
      </c>
      <c r="E23" s="19" t="inlineStr">
        <is>
          <t>Direct cost (scenario)</t>
        </is>
      </c>
      <c r="F23" s="19" t="inlineStr">
        <is>
          <t>Lost revenue (scenario)</t>
        </is>
      </c>
      <c r="G23" s="19" t="inlineStr">
        <is>
          <t>Present worth</t>
        </is>
      </c>
      <c r="J23" s="20" t="inlineStr">
        <is>
          <t>Activity</t>
        </is>
      </c>
      <c r="K23" s="20" t="inlineStr">
        <is>
          <t>Year</t>
        </is>
      </c>
      <c r="L23" s="20" t="inlineStr">
        <is>
          <t>Direct cost (base $)</t>
        </is>
      </c>
      <c r="M23" s="20" t="inlineStr">
        <is>
          <t>Closure days (base)</t>
        </is>
      </c>
      <c r="N23" s="20" t="inlineStr">
        <is>
          <t>Direct cost (scenario)</t>
        </is>
      </c>
      <c r="O23" s="20" t="inlineStr">
        <is>
          <t>Lost revenue (scenario)</t>
        </is>
      </c>
      <c r="P23" s="20" t="inlineStr">
        <is>
          <t>Present worth</t>
        </is>
      </c>
      <c r="AK23" t="n">
        <v>10</v>
      </c>
      <c r="AL23">
        <f>IFERROR(IF(AU23&lt;($AM$6-$AL$6)/($AN$6-$AL$6),$AL$6+SQRT(AU23*($AN$6-$AL$6)*($AM$6-$AL$6)),$AN$6-SQRT((1-AU23)*($AN$6-$AL$6)*($AN$6-$AM$6))),$AM$6)</f>
        <v/>
      </c>
      <c r="AM23">
        <f>IFERROR(IF(AV23&lt;($AM$7-$AL$7)/($AN$7-$AL$7),$AL$7+SQRT(AV23*($AN$7-$AL$7)*($AM$7-$AL$7)),$AN$7-SQRT((1-AV23)*($AN$7-$AL$7)*($AN$7-$AM$7))),$AM$7)</f>
        <v/>
      </c>
      <c r="AN23">
        <f>IFERROR(IF(AW23&lt;($AM$8-$AL$8)/($AN$8-$AL$8),$AL$8+SQRT(AW23*($AN$8-$AL$8)*($AM$8-$AL$8)),$AN$8-SQRT((1-AW23)*($AN$8-$AL$8)*($AN$8-$AM$8))),$AM$8)</f>
        <v/>
      </c>
      <c r="AO23">
        <f>IFERROR(IF(AX23&lt;($AM$9-$AL$9)/($AN$9-$AL$9),$AL$9+SQRT(AX23*($AN$9-$AL$9)*($AM$9-$AL$9)),$AN$9-SQRT((1-AX23)*($AN$9-$AL$9)*($AN$9-$AM$9))),$AM$9)</f>
        <v/>
      </c>
      <c r="AP23">
        <f>IFERROR(IF(AY23&lt;($AM$10-$AL$10)/($AN$10-$AL$10),$AL$10+SQRT(AY23*($AN$10-$AL$10)*($AM$10-$AL$10)),$AN$10-SQRT((1-AY23)*($AN$10-$AL$10)*($AN$10-$AM$10))),$AM$10)</f>
        <v/>
      </c>
      <c r="AQ23">
        <f>IFERROR(IF(AZ23&lt;($AM$11-$AL$11)/($AN$11-$AL$11),$AL$11+SQRT(AZ23*($AN$11-$AL$11)*($AM$11-$AL$11)),$AN$11-SQRT((1-AZ23)*($AN$11-$AL$11)*($AN$11-$AM$11))),$AM$11)</f>
        <v/>
      </c>
      <c r="AR23">
        <f>SUMPRODUCT((B24:B31&lt;=$B$6)*(C24:C31*AM23+D24:D31*AO23*$B$8*AQ23)/(1+AL23/100)^B24:B31)+C32*AM23*AP23/(1+AL23/100)^$B$6</f>
        <v/>
      </c>
      <c r="AS23">
        <f>SUMPRODUCT((K24:K26&lt;=$B$6)*(L24:L26*AN23+M24:M26*AO23*$B$8*AQ23)/(1+AL23/100)^K24:K26)+L27*AN23*AP23/(1+AL23/100)^$B$6</f>
        <v/>
      </c>
      <c r="AT23">
        <f>AS23-AR23</f>
        <v/>
      </c>
      <c r="AU23">
        <f>RAND()</f>
        <v/>
      </c>
      <c r="AV23">
        <f>RAND()</f>
        <v/>
      </c>
      <c r="AW23">
        <f>RAND()</f>
        <v/>
      </c>
      <c r="AX23">
        <f>RAND()</f>
        <v/>
      </c>
      <c r="AY23">
        <f>RAND()</f>
        <v/>
      </c>
      <c r="AZ23">
        <f>RAND()</f>
        <v/>
      </c>
      <c r="BB23" s="18">
        <f>PERCENTILE($AT$14:$AT$1013,0.01)+(PERCENTILE($AT$14:$AT$1013,0.99)-PERCENTILE($AT$14:$AT$1013,0.01))*9/20</f>
        <v/>
      </c>
      <c r="BC23">
        <f>COUNTIF($AT$14:$AT$1013,"&lt;="&amp;BB23)-COUNTIF($AT$14:$AT$1013,"&lt;="&amp;BB22)</f>
        <v/>
      </c>
      <c r="BD23" s="12">
        <f>COUNTIF($AT$14:$AT$1013,"&lt;="&amp;BB23)/COUNT($AT$14:$AT$1013)</f>
        <v/>
      </c>
    </row>
    <row r="24">
      <c r="A24" s="7" t="inlineStr">
        <is>
          <t>Initial construction</t>
        </is>
      </c>
      <c r="B24" s="7" t="n">
        <v>0</v>
      </c>
      <c r="C24" s="21" t="n">
        <v>9009181.189999999</v>
      </c>
      <c r="D24" s="10" t="n">
        <v>0</v>
      </c>
      <c r="E24" s="14">
        <f>C24*$B$11</f>
        <v/>
      </c>
      <c r="F24" s="14">
        <f>D24*$B$10*$B$8*$B$9</f>
        <v/>
      </c>
      <c r="G24" s="14">
        <f>IF(B24&gt;$B$6,0,(E24+F24)/(1+$B$5/100)^B24)</f>
        <v/>
      </c>
      <c r="J24" s="7" t="inlineStr">
        <is>
          <t>Initial construction</t>
        </is>
      </c>
      <c r="K24" s="7" t="n">
        <v>0</v>
      </c>
      <c r="L24" s="21" t="n">
        <v>15445398.25</v>
      </c>
      <c r="M24" s="10" t="n">
        <v>0</v>
      </c>
      <c r="N24" s="14">
        <f>L24*$B$12</f>
        <v/>
      </c>
      <c r="O24" s="14">
        <f>M24*$B$10*$B$8*$B$9</f>
        <v/>
      </c>
      <c r="P24" s="14">
        <f>IF(K24&gt;$B$6,0,(N24+O24)/(1+$B$5/100)^K24)</f>
        <v/>
      </c>
      <c r="AK24" t="n">
        <v>11</v>
      </c>
      <c r="AL24">
        <f>IFERROR(IF(AU24&lt;($AM$6-$AL$6)/($AN$6-$AL$6),$AL$6+SQRT(AU24*($AN$6-$AL$6)*($AM$6-$AL$6)),$AN$6-SQRT((1-AU24)*($AN$6-$AL$6)*($AN$6-$AM$6))),$AM$6)</f>
        <v/>
      </c>
      <c r="AM24">
        <f>IFERROR(IF(AV24&lt;($AM$7-$AL$7)/($AN$7-$AL$7),$AL$7+SQRT(AV24*($AN$7-$AL$7)*($AM$7-$AL$7)),$AN$7-SQRT((1-AV24)*($AN$7-$AL$7)*($AN$7-$AM$7))),$AM$7)</f>
        <v/>
      </c>
      <c r="AN24">
        <f>IFERROR(IF(AW24&lt;($AM$8-$AL$8)/($AN$8-$AL$8),$AL$8+SQRT(AW24*($AN$8-$AL$8)*($AM$8-$AL$8)),$AN$8-SQRT((1-AW24)*($AN$8-$AL$8)*($AN$8-$AM$8))),$AM$8)</f>
        <v/>
      </c>
      <c r="AO24">
        <f>IFERROR(IF(AX24&lt;($AM$9-$AL$9)/($AN$9-$AL$9),$AL$9+SQRT(AX24*($AN$9-$AL$9)*($AM$9-$AL$9)),$AN$9-SQRT((1-AX24)*($AN$9-$AL$9)*($AN$9-$AM$9))),$AM$9)</f>
        <v/>
      </c>
      <c r="AP24">
        <f>IFERROR(IF(AY24&lt;($AM$10-$AL$10)/($AN$10-$AL$10),$AL$10+SQRT(AY24*($AN$10-$AL$10)*($AM$10-$AL$10)),$AN$10-SQRT((1-AY24)*($AN$10-$AL$10)*($AN$10-$AM$10))),$AM$10)</f>
        <v/>
      </c>
      <c r="AQ24">
        <f>IFERROR(IF(AZ24&lt;($AM$11-$AL$11)/($AN$11-$AL$11),$AL$11+SQRT(AZ24*($AN$11-$AL$11)*($AM$11-$AL$11)),$AN$11-SQRT((1-AZ24)*($AN$11-$AL$11)*($AN$11-$AM$11))),$AM$11)</f>
        <v/>
      </c>
      <c r="AR24">
        <f>SUMPRODUCT((B24:B31&lt;=$B$6)*(C24:C31*AM24+D24:D31*AO24*$B$8*AQ24)/(1+AL24/100)^B24:B31)+C32*AM24*AP24/(1+AL24/100)^$B$6</f>
        <v/>
      </c>
      <c r="AS24">
        <f>SUMPRODUCT((K24:K26&lt;=$B$6)*(L24:L26*AN24+M24:M26*AO24*$B$8*AQ24)/(1+AL24/100)^K24:K26)+L27*AN24*AP24/(1+AL24/100)^$B$6</f>
        <v/>
      </c>
      <c r="AT24">
        <f>AS24-AR24</f>
        <v/>
      </c>
      <c r="AU24">
        <f>RAND()</f>
        <v/>
      </c>
      <c r="AV24">
        <f>RAND()</f>
        <v/>
      </c>
      <c r="AW24">
        <f>RAND()</f>
        <v/>
      </c>
      <c r="AX24">
        <f>RAND()</f>
        <v/>
      </c>
      <c r="AY24">
        <f>RAND()</f>
        <v/>
      </c>
      <c r="AZ24">
        <f>RAND()</f>
        <v/>
      </c>
      <c r="BB24" s="18">
        <f>PERCENTILE($AT$14:$AT$1013,0.01)+(PERCENTILE($AT$14:$AT$1013,0.99)-PERCENTILE($AT$14:$AT$1013,0.01))*10/20</f>
        <v/>
      </c>
      <c r="BC24">
        <f>COUNTIF($AT$14:$AT$1013,"&lt;="&amp;BB24)-COUNTIF($AT$14:$AT$1013,"&lt;="&amp;BB23)</f>
        <v/>
      </c>
      <c r="BD24" s="12">
        <f>COUNTIF($AT$14:$AT$1013,"&lt;="&amp;BB24)/COUNT($AT$14:$AT$1013)</f>
        <v/>
      </c>
    </row>
    <row r="25">
      <c r="A25" s="7" t="inlineStr">
        <is>
          <t>Maintenance 1</t>
        </is>
      </c>
      <c r="B25" s="7" t="n">
        <v>4</v>
      </c>
      <c r="C25" s="21" t="n">
        <v>714698.49</v>
      </c>
      <c r="D25" s="10" t="n">
        <v>8</v>
      </c>
      <c r="E25" s="14">
        <f>C25*$B$11</f>
        <v/>
      </c>
      <c r="F25" s="14">
        <f>D25*$B$10*$B$8*$B$9</f>
        <v/>
      </c>
      <c r="G25" s="14">
        <f>IF(B25&gt;$B$6,0,(E25+F25)/(1+$B$5/100)^B25)</f>
        <v/>
      </c>
      <c r="J25" s="7" t="inlineStr">
        <is>
          <t>Maintenance 1</t>
        </is>
      </c>
      <c r="K25" s="7" t="n">
        <v>19</v>
      </c>
      <c r="L25" s="21" t="n">
        <v>432674.93</v>
      </c>
      <c r="M25" s="10" t="n">
        <v>11</v>
      </c>
      <c r="N25" s="14">
        <f>L25*$B$12</f>
        <v/>
      </c>
      <c r="O25" s="14">
        <f>M25*$B$10*$B$8*$B$9</f>
        <v/>
      </c>
      <c r="P25" s="14">
        <f>IF(K25&gt;$B$6,0,(N25+O25)/(1+$B$5/100)^K25)</f>
        <v/>
      </c>
      <c r="AK25" t="n">
        <v>12</v>
      </c>
      <c r="AL25">
        <f>IFERROR(IF(AU25&lt;($AM$6-$AL$6)/($AN$6-$AL$6),$AL$6+SQRT(AU25*($AN$6-$AL$6)*($AM$6-$AL$6)),$AN$6-SQRT((1-AU25)*($AN$6-$AL$6)*($AN$6-$AM$6))),$AM$6)</f>
        <v/>
      </c>
      <c r="AM25">
        <f>IFERROR(IF(AV25&lt;($AM$7-$AL$7)/($AN$7-$AL$7),$AL$7+SQRT(AV25*($AN$7-$AL$7)*($AM$7-$AL$7)),$AN$7-SQRT((1-AV25)*($AN$7-$AL$7)*($AN$7-$AM$7))),$AM$7)</f>
        <v/>
      </c>
      <c r="AN25">
        <f>IFERROR(IF(AW25&lt;($AM$8-$AL$8)/($AN$8-$AL$8),$AL$8+SQRT(AW25*($AN$8-$AL$8)*($AM$8-$AL$8)),$AN$8-SQRT((1-AW25)*($AN$8-$AL$8)*($AN$8-$AM$8))),$AM$8)</f>
        <v/>
      </c>
      <c r="AO25">
        <f>IFERROR(IF(AX25&lt;($AM$9-$AL$9)/($AN$9-$AL$9),$AL$9+SQRT(AX25*($AN$9-$AL$9)*($AM$9-$AL$9)),$AN$9-SQRT((1-AX25)*($AN$9-$AL$9)*($AN$9-$AM$9))),$AM$9)</f>
        <v/>
      </c>
      <c r="AP25">
        <f>IFERROR(IF(AY25&lt;($AM$10-$AL$10)/($AN$10-$AL$10),$AL$10+SQRT(AY25*($AN$10-$AL$10)*($AM$10-$AL$10)),$AN$10-SQRT((1-AY25)*($AN$10-$AL$10)*($AN$10-$AM$10))),$AM$10)</f>
        <v/>
      </c>
      <c r="AQ25">
        <f>IFERROR(IF(AZ25&lt;($AM$11-$AL$11)/($AN$11-$AL$11),$AL$11+SQRT(AZ25*($AN$11-$AL$11)*($AM$11-$AL$11)),$AN$11-SQRT((1-AZ25)*($AN$11-$AL$11)*($AN$11-$AM$11))),$AM$11)</f>
        <v/>
      </c>
      <c r="AR25">
        <f>SUMPRODUCT((B24:B31&lt;=$B$6)*(C24:C31*AM25+D24:D31*AO25*$B$8*AQ25)/(1+AL25/100)^B24:B31)+C32*AM25*AP25/(1+AL25/100)^$B$6</f>
        <v/>
      </c>
      <c r="AS25">
        <f>SUMPRODUCT((K24:K26&lt;=$B$6)*(L24:L26*AN25+M24:M26*AO25*$B$8*AQ25)/(1+AL25/100)^K24:K26)+L27*AN25*AP25/(1+AL25/100)^$B$6</f>
        <v/>
      </c>
      <c r="AT25">
        <f>AS25-AR25</f>
        <v/>
      </c>
      <c r="AU25">
        <f>RAND()</f>
        <v/>
      </c>
      <c r="AV25">
        <f>RAND()</f>
        <v/>
      </c>
      <c r="AW25">
        <f>RAND()</f>
        <v/>
      </c>
      <c r="AX25">
        <f>RAND()</f>
        <v/>
      </c>
      <c r="AY25">
        <f>RAND()</f>
        <v/>
      </c>
      <c r="AZ25">
        <f>RAND()</f>
        <v/>
      </c>
      <c r="BB25" s="18">
        <f>PERCENTILE($AT$14:$AT$1013,0.01)+(PERCENTILE($AT$14:$AT$1013,0.99)-PERCENTILE($AT$14:$AT$1013,0.01))*11/20</f>
        <v/>
      </c>
      <c r="BC25">
        <f>COUNTIF($AT$14:$AT$1013,"&lt;="&amp;BB25)-COUNTIF($AT$14:$AT$1013,"&lt;="&amp;BB24)</f>
        <v/>
      </c>
      <c r="BD25" s="12">
        <f>COUNTIF($AT$14:$AT$1013,"&lt;="&amp;BB25)/COUNT($AT$14:$AT$1013)</f>
        <v/>
      </c>
    </row>
    <row r="26">
      <c r="A26" s="7" t="inlineStr">
        <is>
          <t>Maintenance 2</t>
        </is>
      </c>
      <c r="B26" s="7" t="n">
        <v>8</v>
      </c>
      <c r="C26" s="21" t="n">
        <v>714698.49</v>
      </c>
      <c r="D26" s="10" t="n">
        <v>8</v>
      </c>
      <c r="E26" s="14">
        <f>C26*$B$11</f>
        <v/>
      </c>
      <c r="F26" s="14">
        <f>D26*$B$10*$B$8*$B$9</f>
        <v/>
      </c>
      <c r="G26" s="14">
        <f>IF(B26&gt;$B$6,0,(E26+F26)/(1+$B$5/100)^B26)</f>
        <v/>
      </c>
      <c r="J26" s="7" t="inlineStr">
        <is>
          <t>Rehabilitation 1</t>
        </is>
      </c>
      <c r="K26" s="7" t="n">
        <v>27</v>
      </c>
      <c r="L26" s="21" t="n">
        <v>604639.4</v>
      </c>
      <c r="M26" s="10" t="n">
        <v>20</v>
      </c>
      <c r="N26" s="14">
        <f>L26*$B$12</f>
        <v/>
      </c>
      <c r="O26" s="14">
        <f>M26*$B$10*$B$8*$B$9</f>
        <v/>
      </c>
      <c r="P26" s="14">
        <f>IF(K26&gt;$B$6,0,(N26+O26)/(1+$B$5/100)^K26)</f>
        <v/>
      </c>
      <c r="AK26" t="n">
        <v>13</v>
      </c>
      <c r="AL26">
        <f>IFERROR(IF(AU26&lt;($AM$6-$AL$6)/($AN$6-$AL$6),$AL$6+SQRT(AU26*($AN$6-$AL$6)*($AM$6-$AL$6)),$AN$6-SQRT((1-AU26)*($AN$6-$AL$6)*($AN$6-$AM$6))),$AM$6)</f>
        <v/>
      </c>
      <c r="AM26">
        <f>IFERROR(IF(AV26&lt;($AM$7-$AL$7)/($AN$7-$AL$7),$AL$7+SQRT(AV26*($AN$7-$AL$7)*($AM$7-$AL$7)),$AN$7-SQRT((1-AV26)*($AN$7-$AL$7)*($AN$7-$AM$7))),$AM$7)</f>
        <v/>
      </c>
      <c r="AN26">
        <f>IFERROR(IF(AW26&lt;($AM$8-$AL$8)/($AN$8-$AL$8),$AL$8+SQRT(AW26*($AN$8-$AL$8)*($AM$8-$AL$8)),$AN$8-SQRT((1-AW26)*($AN$8-$AL$8)*($AN$8-$AM$8))),$AM$8)</f>
        <v/>
      </c>
      <c r="AO26">
        <f>IFERROR(IF(AX26&lt;($AM$9-$AL$9)/($AN$9-$AL$9),$AL$9+SQRT(AX26*($AN$9-$AL$9)*($AM$9-$AL$9)),$AN$9-SQRT((1-AX26)*($AN$9-$AL$9)*($AN$9-$AM$9))),$AM$9)</f>
        <v/>
      </c>
      <c r="AP26">
        <f>IFERROR(IF(AY26&lt;($AM$10-$AL$10)/($AN$10-$AL$10),$AL$10+SQRT(AY26*($AN$10-$AL$10)*($AM$10-$AL$10)),$AN$10-SQRT((1-AY26)*($AN$10-$AL$10)*($AN$10-$AM$10))),$AM$10)</f>
        <v/>
      </c>
      <c r="AQ26">
        <f>IFERROR(IF(AZ26&lt;($AM$11-$AL$11)/($AN$11-$AL$11),$AL$11+SQRT(AZ26*($AN$11-$AL$11)*($AM$11-$AL$11)),$AN$11-SQRT((1-AZ26)*($AN$11-$AL$11)*($AN$11-$AM$11))),$AM$11)</f>
        <v/>
      </c>
      <c r="AR26">
        <f>SUMPRODUCT((B24:B31&lt;=$B$6)*(C24:C31*AM26+D24:D31*AO26*$B$8*AQ26)/(1+AL26/100)^B24:B31)+C32*AM26*AP26/(1+AL26/100)^$B$6</f>
        <v/>
      </c>
      <c r="AS26">
        <f>SUMPRODUCT((K24:K26&lt;=$B$6)*(L24:L26*AN26+M24:M26*AO26*$B$8*AQ26)/(1+AL26/100)^K24:K26)+L27*AN26*AP26/(1+AL26/100)^$B$6</f>
        <v/>
      </c>
      <c r="AT26">
        <f>AS26-AR26</f>
        <v/>
      </c>
      <c r="AU26">
        <f>RAND()</f>
        <v/>
      </c>
      <c r="AV26">
        <f>RAND()</f>
        <v/>
      </c>
      <c r="AW26">
        <f>RAND()</f>
        <v/>
      </c>
      <c r="AX26">
        <f>RAND()</f>
        <v/>
      </c>
      <c r="AY26">
        <f>RAND()</f>
        <v/>
      </c>
      <c r="AZ26">
        <f>RAND()</f>
        <v/>
      </c>
      <c r="BB26" s="18">
        <f>PERCENTILE($AT$14:$AT$1013,0.01)+(PERCENTILE($AT$14:$AT$1013,0.99)-PERCENTILE($AT$14:$AT$1013,0.01))*12/20</f>
        <v/>
      </c>
      <c r="BC26">
        <f>COUNTIF($AT$14:$AT$1013,"&lt;="&amp;BB26)-COUNTIF($AT$14:$AT$1013,"&lt;="&amp;BB25)</f>
        <v/>
      </c>
      <c r="BD26" s="12">
        <f>COUNTIF($AT$14:$AT$1013,"&lt;="&amp;BB26)/COUNT($AT$14:$AT$1013)</f>
        <v/>
      </c>
    </row>
    <row r="27">
      <c r="A27" s="7" t="inlineStr">
        <is>
          <t>Maintenance 3</t>
        </is>
      </c>
      <c r="B27" s="7" t="n">
        <v>12</v>
      </c>
      <c r="C27" s="21" t="n">
        <v>805448.74</v>
      </c>
      <c r="D27" s="10" t="n">
        <v>10</v>
      </c>
      <c r="E27" s="14">
        <f>C27*$B$11</f>
        <v/>
      </c>
      <c r="F27" s="14">
        <f>D27*$B$10*$B$8*$B$9</f>
        <v/>
      </c>
      <c r="G27" s="14">
        <f>IF(B27&gt;$B$6,0,(E27+F27)/(1+$B$5/100)^B27)</f>
        <v/>
      </c>
      <c r="J27" s="7" t="inlineStr">
        <is>
          <t>Salvage value (at end of period)</t>
        </is>
      </c>
      <c r="K27">
        <f>$B$6</f>
        <v/>
      </c>
      <c r="L27" s="14">
        <f>-$B$17*IF($B$18="Initial",L24,SUMPRODUCT(ISNUMBER(SEARCH("Rehab",J25:J26))*L25:L26))</f>
        <v/>
      </c>
      <c r="N27" s="14">
        <f>L27*$B$12*$B$13</f>
        <v/>
      </c>
      <c r="P27" s="14">
        <f>N27/(1+$B$5/100)^K27</f>
        <v/>
      </c>
      <c r="AK27" t="n">
        <v>14</v>
      </c>
      <c r="AL27">
        <f>IFERROR(IF(AU27&lt;($AM$6-$AL$6)/($AN$6-$AL$6),$AL$6+SQRT(AU27*($AN$6-$AL$6)*($AM$6-$AL$6)),$AN$6-SQRT((1-AU27)*($AN$6-$AL$6)*($AN$6-$AM$6))),$AM$6)</f>
        <v/>
      </c>
      <c r="AM27">
        <f>IFERROR(IF(AV27&lt;($AM$7-$AL$7)/($AN$7-$AL$7),$AL$7+SQRT(AV27*($AN$7-$AL$7)*($AM$7-$AL$7)),$AN$7-SQRT((1-AV27)*($AN$7-$AL$7)*($AN$7-$AM$7))),$AM$7)</f>
        <v/>
      </c>
      <c r="AN27">
        <f>IFERROR(IF(AW27&lt;($AM$8-$AL$8)/($AN$8-$AL$8),$AL$8+SQRT(AW27*($AN$8-$AL$8)*($AM$8-$AL$8)),$AN$8-SQRT((1-AW27)*($AN$8-$AL$8)*($AN$8-$AM$8))),$AM$8)</f>
        <v/>
      </c>
      <c r="AO27">
        <f>IFERROR(IF(AX27&lt;($AM$9-$AL$9)/($AN$9-$AL$9),$AL$9+SQRT(AX27*($AN$9-$AL$9)*($AM$9-$AL$9)),$AN$9-SQRT((1-AX27)*($AN$9-$AL$9)*($AN$9-$AM$9))),$AM$9)</f>
        <v/>
      </c>
      <c r="AP27">
        <f>IFERROR(IF(AY27&lt;($AM$10-$AL$10)/($AN$10-$AL$10),$AL$10+SQRT(AY27*($AN$10-$AL$10)*($AM$10-$AL$10)),$AN$10-SQRT((1-AY27)*($AN$10-$AL$10)*($AN$10-$AM$10))),$AM$10)</f>
        <v/>
      </c>
      <c r="AQ27">
        <f>IFERROR(IF(AZ27&lt;($AM$11-$AL$11)/($AN$11-$AL$11),$AL$11+SQRT(AZ27*($AN$11-$AL$11)*($AM$11-$AL$11)),$AN$11-SQRT((1-AZ27)*($AN$11-$AL$11)*($AN$11-$AM$11))),$AM$11)</f>
        <v/>
      </c>
      <c r="AR27">
        <f>SUMPRODUCT((B24:B31&lt;=$B$6)*(C24:C31*AM27+D24:D31*AO27*$B$8*AQ27)/(1+AL27/100)^B24:B31)+C32*AM27*AP27/(1+AL27/100)^$B$6</f>
        <v/>
      </c>
      <c r="AS27">
        <f>SUMPRODUCT((K24:K26&lt;=$B$6)*(L24:L26*AN27+M24:M26*AO27*$B$8*AQ27)/(1+AL27/100)^K24:K26)+L27*AN27*AP27/(1+AL27/100)^$B$6</f>
        <v/>
      </c>
      <c r="AT27">
        <f>AS27-AR27</f>
        <v/>
      </c>
      <c r="AU27">
        <f>RAND()</f>
        <v/>
      </c>
      <c r="AV27">
        <f>RAND()</f>
        <v/>
      </c>
      <c r="AW27">
        <f>RAND()</f>
        <v/>
      </c>
      <c r="AX27">
        <f>RAND()</f>
        <v/>
      </c>
      <c r="AY27">
        <f>RAND()</f>
        <v/>
      </c>
      <c r="AZ27">
        <f>RAND()</f>
        <v/>
      </c>
      <c r="BB27" s="18">
        <f>PERCENTILE($AT$14:$AT$1013,0.01)+(PERCENTILE($AT$14:$AT$1013,0.99)-PERCENTILE($AT$14:$AT$1013,0.01))*13/20</f>
        <v/>
      </c>
      <c r="BC27">
        <f>COUNTIF($AT$14:$AT$1013,"&lt;="&amp;BB27)-COUNTIF($AT$14:$AT$1013,"&lt;="&amp;BB26)</f>
        <v/>
      </c>
      <c r="BD27" s="12">
        <f>COUNTIF($AT$14:$AT$1013,"&lt;="&amp;BB27)/COUNT($AT$14:$AT$1013)</f>
        <v/>
      </c>
    </row>
    <row r="28">
      <c r="A28" s="7" t="inlineStr">
        <is>
          <t>Maintenance 4</t>
        </is>
      </c>
      <c r="B28" s="7" t="n">
        <v>16</v>
      </c>
      <c r="C28" s="21" t="n">
        <v>825031.76</v>
      </c>
      <c r="D28" s="10" t="n">
        <v>10</v>
      </c>
      <c r="E28" s="14">
        <f>C28*$B$11</f>
        <v/>
      </c>
      <c r="F28" s="14">
        <f>D28*$B$10*$B$8*$B$9</f>
        <v/>
      </c>
      <c r="G28" s="14">
        <f>IF(B28&gt;$B$6,0,(E28+F28)/(1+$B$5/100)^B28)</f>
        <v/>
      </c>
      <c r="J28" s="9" t="inlineStr">
        <is>
          <t>Net present worth</t>
        </is>
      </c>
      <c r="P28" s="22">
        <f>SUM(P24:P27)</f>
        <v/>
      </c>
      <c r="AK28" t="n">
        <v>15</v>
      </c>
      <c r="AL28">
        <f>IFERROR(IF(AU28&lt;($AM$6-$AL$6)/($AN$6-$AL$6),$AL$6+SQRT(AU28*($AN$6-$AL$6)*($AM$6-$AL$6)),$AN$6-SQRT((1-AU28)*($AN$6-$AL$6)*($AN$6-$AM$6))),$AM$6)</f>
        <v/>
      </c>
      <c r="AM28">
        <f>IFERROR(IF(AV28&lt;($AM$7-$AL$7)/($AN$7-$AL$7),$AL$7+SQRT(AV28*($AN$7-$AL$7)*($AM$7-$AL$7)),$AN$7-SQRT((1-AV28)*($AN$7-$AL$7)*($AN$7-$AM$7))),$AM$7)</f>
        <v/>
      </c>
      <c r="AN28">
        <f>IFERROR(IF(AW28&lt;($AM$8-$AL$8)/($AN$8-$AL$8),$AL$8+SQRT(AW28*($AN$8-$AL$8)*($AM$8-$AL$8)),$AN$8-SQRT((1-AW28)*($AN$8-$AL$8)*($AN$8-$AM$8))),$AM$8)</f>
        <v/>
      </c>
      <c r="AO28">
        <f>IFERROR(IF(AX28&lt;($AM$9-$AL$9)/($AN$9-$AL$9),$AL$9+SQRT(AX28*($AN$9-$AL$9)*($AM$9-$AL$9)),$AN$9-SQRT((1-AX28)*($AN$9-$AL$9)*($AN$9-$AM$9))),$AM$9)</f>
        <v/>
      </c>
      <c r="AP28">
        <f>IFERROR(IF(AY28&lt;($AM$10-$AL$10)/($AN$10-$AL$10),$AL$10+SQRT(AY28*($AN$10-$AL$10)*($AM$10-$AL$10)),$AN$10-SQRT((1-AY28)*($AN$10-$AL$10)*($AN$10-$AM$10))),$AM$10)</f>
        <v/>
      </c>
      <c r="AQ28">
        <f>IFERROR(IF(AZ28&lt;($AM$11-$AL$11)/($AN$11-$AL$11),$AL$11+SQRT(AZ28*($AN$11-$AL$11)*($AM$11-$AL$11)),$AN$11-SQRT((1-AZ28)*($AN$11-$AL$11)*($AN$11-$AM$11))),$AM$11)</f>
        <v/>
      </c>
      <c r="AR28">
        <f>SUMPRODUCT((B24:B31&lt;=$B$6)*(C24:C31*AM28+D24:D31*AO28*$B$8*AQ28)/(1+AL28/100)^B24:B31)+C32*AM28*AP28/(1+AL28/100)^$B$6</f>
        <v/>
      </c>
      <c r="AS28">
        <f>SUMPRODUCT((K24:K26&lt;=$B$6)*(L24:L26*AN28+M24:M26*AO28*$B$8*AQ28)/(1+AL28/100)^K24:K26)+L27*AN28*AP28/(1+AL28/100)^$B$6</f>
        <v/>
      </c>
      <c r="AT28">
        <f>AS28-AR28</f>
        <v/>
      </c>
      <c r="AU28">
        <f>RAND()</f>
        <v/>
      </c>
      <c r="AV28">
        <f>RAND()</f>
        <v/>
      </c>
      <c r="AW28">
        <f>RAND()</f>
        <v/>
      </c>
      <c r="AX28">
        <f>RAND()</f>
        <v/>
      </c>
      <c r="AY28">
        <f>RAND()</f>
        <v/>
      </c>
      <c r="AZ28">
        <f>RAND()</f>
        <v/>
      </c>
      <c r="BB28" s="18">
        <f>PERCENTILE($AT$14:$AT$1013,0.01)+(PERCENTILE($AT$14:$AT$1013,0.99)-PERCENTILE($AT$14:$AT$1013,0.01))*14/20</f>
        <v/>
      </c>
      <c r="BC28">
        <f>COUNTIF($AT$14:$AT$1013,"&lt;="&amp;BB28)-COUNTIF($AT$14:$AT$1013,"&lt;="&amp;BB27)</f>
        <v/>
      </c>
      <c r="BD28" s="12">
        <f>COUNTIF($AT$14:$AT$1013,"&lt;="&amp;BB28)/COUNT($AT$14:$AT$1013)</f>
        <v/>
      </c>
    </row>
    <row r="29">
      <c r="A29" s="7" t="inlineStr">
        <is>
          <t>Rehabilitation 1</t>
        </is>
      </c>
      <c r="B29" s="7" t="n">
        <v>20</v>
      </c>
      <c r="C29" s="21" t="n">
        <v>3270106.16</v>
      </c>
      <c r="D29" s="10" t="n">
        <v>21</v>
      </c>
      <c r="E29" s="14">
        <f>C29*$B$11</f>
        <v/>
      </c>
      <c r="F29" s="14">
        <f>D29*$B$10*$B$8*$B$9</f>
        <v/>
      </c>
      <c r="G29" s="14">
        <f>IF(B29&gt;$B$6,0,(E29+F29)/(1+$B$5/100)^B29)</f>
        <v/>
      </c>
      <c r="J29" s="5" t="inlineStr">
        <is>
          <t>Salvage = fraction x basis from the parameter block (TDOT Maintenance Policies). Base costs and closure days are inputs.</t>
        </is>
      </c>
      <c r="AK29" t="n">
        <v>16</v>
      </c>
      <c r="AL29">
        <f>IFERROR(IF(AU29&lt;($AM$6-$AL$6)/($AN$6-$AL$6),$AL$6+SQRT(AU29*($AN$6-$AL$6)*($AM$6-$AL$6)),$AN$6-SQRT((1-AU29)*($AN$6-$AL$6)*($AN$6-$AM$6))),$AM$6)</f>
        <v/>
      </c>
      <c r="AM29">
        <f>IFERROR(IF(AV29&lt;($AM$7-$AL$7)/($AN$7-$AL$7),$AL$7+SQRT(AV29*($AN$7-$AL$7)*($AM$7-$AL$7)),$AN$7-SQRT((1-AV29)*($AN$7-$AL$7)*($AN$7-$AM$7))),$AM$7)</f>
        <v/>
      </c>
      <c r="AN29">
        <f>IFERROR(IF(AW29&lt;($AM$8-$AL$8)/($AN$8-$AL$8),$AL$8+SQRT(AW29*($AN$8-$AL$8)*($AM$8-$AL$8)),$AN$8-SQRT((1-AW29)*($AN$8-$AL$8)*($AN$8-$AM$8))),$AM$8)</f>
        <v/>
      </c>
      <c r="AO29">
        <f>IFERROR(IF(AX29&lt;($AM$9-$AL$9)/($AN$9-$AL$9),$AL$9+SQRT(AX29*($AN$9-$AL$9)*($AM$9-$AL$9)),$AN$9-SQRT((1-AX29)*($AN$9-$AL$9)*($AN$9-$AM$9))),$AM$9)</f>
        <v/>
      </c>
      <c r="AP29">
        <f>IFERROR(IF(AY29&lt;($AM$10-$AL$10)/($AN$10-$AL$10),$AL$10+SQRT(AY29*($AN$10-$AL$10)*($AM$10-$AL$10)),$AN$10-SQRT((1-AY29)*($AN$10-$AL$10)*($AN$10-$AM$10))),$AM$10)</f>
        <v/>
      </c>
      <c r="AQ29">
        <f>IFERROR(IF(AZ29&lt;($AM$11-$AL$11)/($AN$11-$AL$11),$AL$11+SQRT(AZ29*($AN$11-$AL$11)*($AM$11-$AL$11)),$AN$11-SQRT((1-AZ29)*($AN$11-$AL$11)*($AN$11-$AM$11))),$AM$11)</f>
        <v/>
      </c>
      <c r="AR29">
        <f>SUMPRODUCT((B24:B31&lt;=$B$6)*(C24:C31*AM29+D24:D31*AO29*$B$8*AQ29)/(1+AL29/100)^B24:B31)+C32*AM29*AP29/(1+AL29/100)^$B$6</f>
        <v/>
      </c>
      <c r="AS29">
        <f>SUMPRODUCT((K24:K26&lt;=$B$6)*(L24:L26*AN29+M24:M26*AO29*$B$8*AQ29)/(1+AL29/100)^K24:K26)+L27*AN29*AP29/(1+AL29/100)^$B$6</f>
        <v/>
      </c>
      <c r="AT29">
        <f>AS29-AR29</f>
        <v/>
      </c>
      <c r="AU29">
        <f>RAND()</f>
        <v/>
      </c>
      <c r="AV29">
        <f>RAND()</f>
        <v/>
      </c>
      <c r="AW29">
        <f>RAND()</f>
        <v/>
      </c>
      <c r="AX29">
        <f>RAND()</f>
        <v/>
      </c>
      <c r="AY29">
        <f>RAND()</f>
        <v/>
      </c>
      <c r="AZ29">
        <f>RAND()</f>
        <v/>
      </c>
      <c r="BB29" s="18">
        <f>PERCENTILE($AT$14:$AT$1013,0.01)+(PERCENTILE($AT$14:$AT$1013,0.99)-PERCENTILE($AT$14:$AT$1013,0.01))*15/20</f>
        <v/>
      </c>
      <c r="BC29">
        <f>COUNTIF($AT$14:$AT$1013,"&lt;="&amp;BB29)-COUNTIF($AT$14:$AT$1013,"&lt;="&amp;BB28)</f>
        <v/>
      </c>
      <c r="BD29" s="12">
        <f>COUNTIF($AT$14:$AT$1013,"&lt;="&amp;BB29)/COUNT($AT$14:$AT$1013)</f>
        <v/>
      </c>
    </row>
    <row r="30">
      <c r="A30" s="7" t="inlineStr">
        <is>
          <t>Maintenance 5</t>
        </is>
      </c>
      <c r="B30" s="7" t="n">
        <v>24</v>
      </c>
      <c r="C30" s="21" t="n">
        <v>714698.49</v>
      </c>
      <c r="D30" s="10" t="n">
        <v>8</v>
      </c>
      <c r="E30" s="14">
        <f>C30*$B$11</f>
        <v/>
      </c>
      <c r="F30" s="14">
        <f>D30*$B$10*$B$8*$B$9</f>
        <v/>
      </c>
      <c r="G30" s="14">
        <f>IF(B30&gt;$B$6,0,(E30+F30)/(1+$B$5/100)^B30)</f>
        <v/>
      </c>
      <c r="AK30" t="n">
        <v>17</v>
      </c>
      <c r="AL30">
        <f>IFERROR(IF(AU30&lt;($AM$6-$AL$6)/($AN$6-$AL$6),$AL$6+SQRT(AU30*($AN$6-$AL$6)*($AM$6-$AL$6)),$AN$6-SQRT((1-AU30)*($AN$6-$AL$6)*($AN$6-$AM$6))),$AM$6)</f>
        <v/>
      </c>
      <c r="AM30">
        <f>IFERROR(IF(AV30&lt;($AM$7-$AL$7)/($AN$7-$AL$7),$AL$7+SQRT(AV30*($AN$7-$AL$7)*($AM$7-$AL$7)),$AN$7-SQRT((1-AV30)*($AN$7-$AL$7)*($AN$7-$AM$7))),$AM$7)</f>
        <v/>
      </c>
      <c r="AN30">
        <f>IFERROR(IF(AW30&lt;($AM$8-$AL$8)/($AN$8-$AL$8),$AL$8+SQRT(AW30*($AN$8-$AL$8)*($AM$8-$AL$8)),$AN$8-SQRT((1-AW30)*($AN$8-$AL$8)*($AN$8-$AM$8))),$AM$8)</f>
        <v/>
      </c>
      <c r="AO30">
        <f>IFERROR(IF(AX30&lt;($AM$9-$AL$9)/($AN$9-$AL$9),$AL$9+SQRT(AX30*($AN$9-$AL$9)*($AM$9-$AL$9)),$AN$9-SQRT((1-AX30)*($AN$9-$AL$9)*($AN$9-$AM$9))),$AM$9)</f>
        <v/>
      </c>
      <c r="AP30">
        <f>IFERROR(IF(AY30&lt;($AM$10-$AL$10)/($AN$10-$AL$10),$AL$10+SQRT(AY30*($AN$10-$AL$10)*($AM$10-$AL$10)),$AN$10-SQRT((1-AY30)*($AN$10-$AL$10)*($AN$10-$AM$10))),$AM$10)</f>
        <v/>
      </c>
      <c r="AQ30">
        <f>IFERROR(IF(AZ30&lt;($AM$11-$AL$11)/($AN$11-$AL$11),$AL$11+SQRT(AZ30*($AN$11-$AL$11)*($AM$11-$AL$11)),$AN$11-SQRT((1-AZ30)*($AN$11-$AL$11)*($AN$11-$AM$11))),$AM$11)</f>
        <v/>
      </c>
      <c r="AR30">
        <f>SUMPRODUCT((B24:B31&lt;=$B$6)*(C24:C31*AM30+D24:D31*AO30*$B$8*AQ30)/(1+AL30/100)^B24:B31)+C32*AM30*AP30/(1+AL30/100)^$B$6</f>
        <v/>
      </c>
      <c r="AS30">
        <f>SUMPRODUCT((K24:K26&lt;=$B$6)*(L24:L26*AN30+M24:M26*AO30*$B$8*AQ30)/(1+AL30/100)^K24:K26)+L27*AN30*AP30/(1+AL30/100)^$B$6</f>
        <v/>
      </c>
      <c r="AT30">
        <f>AS30-AR30</f>
        <v/>
      </c>
      <c r="AU30">
        <f>RAND()</f>
        <v/>
      </c>
      <c r="AV30">
        <f>RAND()</f>
        <v/>
      </c>
      <c r="AW30">
        <f>RAND()</f>
        <v/>
      </c>
      <c r="AX30">
        <f>RAND()</f>
        <v/>
      </c>
      <c r="AY30">
        <f>RAND()</f>
        <v/>
      </c>
      <c r="AZ30">
        <f>RAND()</f>
        <v/>
      </c>
      <c r="BB30" s="18">
        <f>PERCENTILE($AT$14:$AT$1013,0.01)+(PERCENTILE($AT$14:$AT$1013,0.99)-PERCENTILE($AT$14:$AT$1013,0.01))*16/20</f>
        <v/>
      </c>
      <c r="BC30">
        <f>COUNTIF($AT$14:$AT$1013,"&lt;="&amp;BB30)-COUNTIF($AT$14:$AT$1013,"&lt;="&amp;BB29)</f>
        <v/>
      </c>
      <c r="BD30" s="12">
        <f>COUNTIF($AT$14:$AT$1013,"&lt;="&amp;BB30)/COUNT($AT$14:$AT$1013)</f>
        <v/>
      </c>
    </row>
    <row r="31">
      <c r="A31" s="7" t="inlineStr">
        <is>
          <t>Maintenance 6</t>
        </is>
      </c>
      <c r="B31" s="7" t="n">
        <v>28</v>
      </c>
      <c r="C31" s="21" t="n">
        <v>847814.9</v>
      </c>
      <c r="D31" s="10" t="n">
        <v>10</v>
      </c>
      <c r="E31" s="14">
        <f>C31*$B$11</f>
        <v/>
      </c>
      <c r="F31" s="14">
        <f>D31*$B$10*$B$8*$B$9</f>
        <v/>
      </c>
      <c r="G31" s="14">
        <f>IF(B31&gt;$B$6,0,(E31+F31)/(1+$B$5/100)^B31)</f>
        <v/>
      </c>
      <c r="AK31" t="n">
        <v>18</v>
      </c>
      <c r="AL31">
        <f>IFERROR(IF(AU31&lt;($AM$6-$AL$6)/($AN$6-$AL$6),$AL$6+SQRT(AU31*($AN$6-$AL$6)*($AM$6-$AL$6)),$AN$6-SQRT((1-AU31)*($AN$6-$AL$6)*($AN$6-$AM$6))),$AM$6)</f>
        <v/>
      </c>
      <c r="AM31">
        <f>IFERROR(IF(AV31&lt;($AM$7-$AL$7)/($AN$7-$AL$7),$AL$7+SQRT(AV31*($AN$7-$AL$7)*($AM$7-$AL$7)),$AN$7-SQRT((1-AV31)*($AN$7-$AL$7)*($AN$7-$AM$7))),$AM$7)</f>
        <v/>
      </c>
      <c r="AN31">
        <f>IFERROR(IF(AW31&lt;($AM$8-$AL$8)/($AN$8-$AL$8),$AL$8+SQRT(AW31*($AN$8-$AL$8)*($AM$8-$AL$8)),$AN$8-SQRT((1-AW31)*($AN$8-$AL$8)*($AN$8-$AM$8))),$AM$8)</f>
        <v/>
      </c>
      <c r="AO31">
        <f>IFERROR(IF(AX31&lt;($AM$9-$AL$9)/($AN$9-$AL$9),$AL$9+SQRT(AX31*($AN$9-$AL$9)*($AM$9-$AL$9)),$AN$9-SQRT((1-AX31)*($AN$9-$AL$9)*($AN$9-$AM$9))),$AM$9)</f>
        <v/>
      </c>
      <c r="AP31">
        <f>IFERROR(IF(AY31&lt;($AM$10-$AL$10)/($AN$10-$AL$10),$AL$10+SQRT(AY31*($AN$10-$AL$10)*($AM$10-$AL$10)),$AN$10-SQRT((1-AY31)*($AN$10-$AL$10)*($AN$10-$AM$10))),$AM$10)</f>
        <v/>
      </c>
      <c r="AQ31">
        <f>IFERROR(IF(AZ31&lt;($AM$11-$AL$11)/($AN$11-$AL$11),$AL$11+SQRT(AZ31*($AN$11-$AL$11)*($AM$11-$AL$11)),$AN$11-SQRT((1-AZ31)*($AN$11-$AL$11)*($AN$11-$AM$11))),$AM$11)</f>
        <v/>
      </c>
      <c r="AR31">
        <f>SUMPRODUCT((B24:B31&lt;=$B$6)*(C24:C31*AM31+D24:D31*AO31*$B$8*AQ31)/(1+AL31/100)^B24:B31)+C32*AM31*AP31/(1+AL31/100)^$B$6</f>
        <v/>
      </c>
      <c r="AS31">
        <f>SUMPRODUCT((K24:K26&lt;=$B$6)*(L24:L26*AN31+M24:M26*AO31*$B$8*AQ31)/(1+AL31/100)^K24:K26)+L27*AN31*AP31/(1+AL31/100)^$B$6</f>
        <v/>
      </c>
      <c r="AT31">
        <f>AS31-AR31</f>
        <v/>
      </c>
      <c r="AU31">
        <f>RAND()</f>
        <v/>
      </c>
      <c r="AV31">
        <f>RAND()</f>
        <v/>
      </c>
      <c r="AW31">
        <f>RAND()</f>
        <v/>
      </c>
      <c r="AX31">
        <f>RAND()</f>
        <v/>
      </c>
      <c r="AY31">
        <f>RAND()</f>
        <v/>
      </c>
      <c r="AZ31">
        <f>RAND()</f>
        <v/>
      </c>
      <c r="BB31" s="18">
        <f>PERCENTILE($AT$14:$AT$1013,0.01)+(PERCENTILE($AT$14:$AT$1013,0.99)-PERCENTILE($AT$14:$AT$1013,0.01))*17/20</f>
        <v/>
      </c>
      <c r="BC31">
        <f>COUNTIF($AT$14:$AT$1013,"&lt;="&amp;BB31)-COUNTIF($AT$14:$AT$1013,"&lt;="&amp;BB30)</f>
        <v/>
      </c>
      <c r="BD31" s="12">
        <f>COUNTIF($AT$14:$AT$1013,"&lt;="&amp;BB31)/COUNT($AT$14:$AT$1013)</f>
        <v/>
      </c>
    </row>
    <row r="32">
      <c r="A32" s="7" t="inlineStr">
        <is>
          <t>Salvage value (at end of period)</t>
        </is>
      </c>
      <c r="B32">
        <f>$B$6</f>
        <v/>
      </c>
      <c r="C32" s="14">
        <f>-$B$15*IF($B$16="Initial",C24,SUMPRODUCT(ISNUMBER(SEARCH("Rehab",A25:A31))*C25:C31))</f>
        <v/>
      </c>
      <c r="E32" s="14">
        <f>C32*$B$11*$B$13</f>
        <v/>
      </c>
      <c r="G32" s="14">
        <f>E32/(1+$B$5/100)^B32</f>
        <v/>
      </c>
      <c r="AK32" t="n">
        <v>19</v>
      </c>
      <c r="AL32">
        <f>IFERROR(IF(AU32&lt;($AM$6-$AL$6)/($AN$6-$AL$6),$AL$6+SQRT(AU32*($AN$6-$AL$6)*($AM$6-$AL$6)),$AN$6-SQRT((1-AU32)*($AN$6-$AL$6)*($AN$6-$AM$6))),$AM$6)</f>
        <v/>
      </c>
      <c r="AM32">
        <f>IFERROR(IF(AV32&lt;($AM$7-$AL$7)/($AN$7-$AL$7),$AL$7+SQRT(AV32*($AN$7-$AL$7)*($AM$7-$AL$7)),$AN$7-SQRT((1-AV32)*($AN$7-$AL$7)*($AN$7-$AM$7))),$AM$7)</f>
        <v/>
      </c>
      <c r="AN32">
        <f>IFERROR(IF(AW32&lt;($AM$8-$AL$8)/($AN$8-$AL$8),$AL$8+SQRT(AW32*($AN$8-$AL$8)*($AM$8-$AL$8)),$AN$8-SQRT((1-AW32)*($AN$8-$AL$8)*($AN$8-$AM$8))),$AM$8)</f>
        <v/>
      </c>
      <c r="AO32">
        <f>IFERROR(IF(AX32&lt;($AM$9-$AL$9)/($AN$9-$AL$9),$AL$9+SQRT(AX32*($AN$9-$AL$9)*($AM$9-$AL$9)),$AN$9-SQRT((1-AX32)*($AN$9-$AL$9)*($AN$9-$AM$9))),$AM$9)</f>
        <v/>
      </c>
      <c r="AP32">
        <f>IFERROR(IF(AY32&lt;($AM$10-$AL$10)/($AN$10-$AL$10),$AL$10+SQRT(AY32*($AN$10-$AL$10)*($AM$10-$AL$10)),$AN$10-SQRT((1-AY32)*($AN$10-$AL$10)*($AN$10-$AM$10))),$AM$10)</f>
        <v/>
      </c>
      <c r="AQ32">
        <f>IFERROR(IF(AZ32&lt;($AM$11-$AL$11)/($AN$11-$AL$11),$AL$11+SQRT(AZ32*($AN$11-$AL$11)*($AM$11-$AL$11)),$AN$11-SQRT((1-AZ32)*($AN$11-$AL$11)*($AN$11-$AM$11))),$AM$11)</f>
        <v/>
      </c>
      <c r="AR32">
        <f>SUMPRODUCT((B24:B31&lt;=$B$6)*(C24:C31*AM32+D24:D31*AO32*$B$8*AQ32)/(1+AL32/100)^B24:B31)+C32*AM32*AP32/(1+AL32/100)^$B$6</f>
        <v/>
      </c>
      <c r="AS32">
        <f>SUMPRODUCT((K24:K26&lt;=$B$6)*(L24:L26*AN32+M24:M26*AO32*$B$8*AQ32)/(1+AL32/100)^K24:K26)+L27*AN32*AP32/(1+AL32/100)^$B$6</f>
        <v/>
      </c>
      <c r="AT32">
        <f>AS32-AR32</f>
        <v/>
      </c>
      <c r="AU32">
        <f>RAND()</f>
        <v/>
      </c>
      <c r="AV32">
        <f>RAND()</f>
        <v/>
      </c>
      <c r="AW32">
        <f>RAND()</f>
        <v/>
      </c>
      <c r="AX32">
        <f>RAND()</f>
        <v/>
      </c>
      <c r="AY32">
        <f>RAND()</f>
        <v/>
      </c>
      <c r="AZ32">
        <f>RAND()</f>
        <v/>
      </c>
      <c r="BB32" s="18">
        <f>PERCENTILE($AT$14:$AT$1013,0.01)+(PERCENTILE($AT$14:$AT$1013,0.99)-PERCENTILE($AT$14:$AT$1013,0.01))*18/20</f>
        <v/>
      </c>
      <c r="BC32">
        <f>COUNTIF($AT$14:$AT$1013,"&lt;="&amp;BB32)-COUNTIF($AT$14:$AT$1013,"&lt;="&amp;BB31)</f>
        <v/>
      </c>
      <c r="BD32" s="12">
        <f>COUNTIF($AT$14:$AT$1013,"&lt;="&amp;BB32)/COUNT($AT$14:$AT$1013)</f>
        <v/>
      </c>
    </row>
    <row r="33">
      <c r="A33" s="9" t="inlineStr">
        <is>
          <t>Net present worth</t>
        </is>
      </c>
      <c r="G33" s="22">
        <f>SUM(G24:G32)</f>
        <v/>
      </c>
      <c r="AK33" t="n">
        <v>20</v>
      </c>
      <c r="AL33">
        <f>IFERROR(IF(AU33&lt;($AM$6-$AL$6)/($AN$6-$AL$6),$AL$6+SQRT(AU33*($AN$6-$AL$6)*($AM$6-$AL$6)),$AN$6-SQRT((1-AU33)*($AN$6-$AL$6)*($AN$6-$AM$6))),$AM$6)</f>
        <v/>
      </c>
      <c r="AM33">
        <f>IFERROR(IF(AV33&lt;($AM$7-$AL$7)/($AN$7-$AL$7),$AL$7+SQRT(AV33*($AN$7-$AL$7)*($AM$7-$AL$7)),$AN$7-SQRT((1-AV33)*($AN$7-$AL$7)*($AN$7-$AM$7))),$AM$7)</f>
        <v/>
      </c>
      <c r="AN33">
        <f>IFERROR(IF(AW33&lt;($AM$8-$AL$8)/($AN$8-$AL$8),$AL$8+SQRT(AW33*($AN$8-$AL$8)*($AM$8-$AL$8)),$AN$8-SQRT((1-AW33)*($AN$8-$AL$8)*($AN$8-$AM$8))),$AM$8)</f>
        <v/>
      </c>
      <c r="AO33">
        <f>IFERROR(IF(AX33&lt;($AM$9-$AL$9)/($AN$9-$AL$9),$AL$9+SQRT(AX33*($AN$9-$AL$9)*($AM$9-$AL$9)),$AN$9-SQRT((1-AX33)*($AN$9-$AL$9)*($AN$9-$AM$9))),$AM$9)</f>
        <v/>
      </c>
      <c r="AP33">
        <f>IFERROR(IF(AY33&lt;($AM$10-$AL$10)/($AN$10-$AL$10),$AL$10+SQRT(AY33*($AN$10-$AL$10)*($AM$10-$AL$10)),$AN$10-SQRT((1-AY33)*($AN$10-$AL$10)*($AN$10-$AM$10))),$AM$10)</f>
        <v/>
      </c>
      <c r="AQ33">
        <f>IFERROR(IF(AZ33&lt;($AM$11-$AL$11)/($AN$11-$AL$11),$AL$11+SQRT(AZ33*($AN$11-$AL$11)*($AM$11-$AL$11)),$AN$11-SQRT((1-AZ33)*($AN$11-$AL$11)*($AN$11-$AM$11))),$AM$11)</f>
        <v/>
      </c>
      <c r="AR33">
        <f>SUMPRODUCT((B24:B31&lt;=$B$6)*(C24:C31*AM33+D24:D31*AO33*$B$8*AQ33)/(1+AL33/100)^B24:B31)+C32*AM33*AP33/(1+AL33/100)^$B$6</f>
        <v/>
      </c>
      <c r="AS33">
        <f>SUMPRODUCT((K24:K26&lt;=$B$6)*(L24:L26*AN33+M24:M26*AO33*$B$8*AQ33)/(1+AL33/100)^K24:K26)+L27*AN33*AP33/(1+AL33/100)^$B$6</f>
        <v/>
      </c>
      <c r="AT33">
        <f>AS33-AR33</f>
        <v/>
      </c>
      <c r="AU33">
        <f>RAND()</f>
        <v/>
      </c>
      <c r="AV33">
        <f>RAND()</f>
        <v/>
      </c>
      <c r="AW33">
        <f>RAND()</f>
        <v/>
      </c>
      <c r="AX33">
        <f>RAND()</f>
        <v/>
      </c>
      <c r="AY33">
        <f>RAND()</f>
        <v/>
      </c>
      <c r="AZ33">
        <f>RAND()</f>
        <v/>
      </c>
      <c r="BB33" s="18">
        <f>PERCENTILE($AT$14:$AT$1013,0.01)+(PERCENTILE($AT$14:$AT$1013,0.99)-PERCENTILE($AT$14:$AT$1013,0.01))*19/20</f>
        <v/>
      </c>
      <c r="BC33">
        <f>COUNTIF($AT$14:$AT$1013,"&lt;="&amp;BB33)-COUNTIF($AT$14:$AT$1013,"&lt;="&amp;BB32)</f>
        <v/>
      </c>
      <c r="BD33" s="12">
        <f>COUNTIF($AT$14:$AT$1013,"&lt;="&amp;BB33)/COUNT($AT$14:$AT$1013)</f>
        <v/>
      </c>
    </row>
    <row r="34">
      <c r="A34" s="5" t="inlineStr">
        <is>
          <t>Salvage = fraction x basis from the parameter block (TDOT Maintenance Policies). Base costs and closure days are inputs.</t>
        </is>
      </c>
      <c r="AK34" t="n">
        <v>21</v>
      </c>
      <c r="AL34">
        <f>IFERROR(IF(AU34&lt;($AM$6-$AL$6)/($AN$6-$AL$6),$AL$6+SQRT(AU34*($AN$6-$AL$6)*($AM$6-$AL$6)),$AN$6-SQRT((1-AU34)*($AN$6-$AL$6)*($AN$6-$AM$6))),$AM$6)</f>
        <v/>
      </c>
      <c r="AM34">
        <f>IFERROR(IF(AV34&lt;($AM$7-$AL$7)/($AN$7-$AL$7),$AL$7+SQRT(AV34*($AN$7-$AL$7)*($AM$7-$AL$7)),$AN$7-SQRT((1-AV34)*($AN$7-$AL$7)*($AN$7-$AM$7))),$AM$7)</f>
        <v/>
      </c>
      <c r="AN34">
        <f>IFERROR(IF(AW34&lt;($AM$8-$AL$8)/($AN$8-$AL$8),$AL$8+SQRT(AW34*($AN$8-$AL$8)*($AM$8-$AL$8)),$AN$8-SQRT((1-AW34)*($AN$8-$AL$8)*($AN$8-$AM$8))),$AM$8)</f>
        <v/>
      </c>
      <c r="AO34">
        <f>IFERROR(IF(AX34&lt;($AM$9-$AL$9)/($AN$9-$AL$9),$AL$9+SQRT(AX34*($AN$9-$AL$9)*($AM$9-$AL$9)),$AN$9-SQRT((1-AX34)*($AN$9-$AL$9)*($AN$9-$AM$9))),$AM$9)</f>
        <v/>
      </c>
      <c r="AP34">
        <f>IFERROR(IF(AY34&lt;($AM$10-$AL$10)/($AN$10-$AL$10),$AL$10+SQRT(AY34*($AN$10-$AL$10)*($AM$10-$AL$10)),$AN$10-SQRT((1-AY34)*($AN$10-$AL$10)*($AN$10-$AM$10))),$AM$10)</f>
        <v/>
      </c>
      <c r="AQ34">
        <f>IFERROR(IF(AZ34&lt;($AM$11-$AL$11)/($AN$11-$AL$11),$AL$11+SQRT(AZ34*($AN$11-$AL$11)*($AM$11-$AL$11)),$AN$11-SQRT((1-AZ34)*($AN$11-$AL$11)*($AN$11-$AM$11))),$AM$11)</f>
        <v/>
      </c>
      <c r="AR34">
        <f>SUMPRODUCT((B24:B31&lt;=$B$6)*(C24:C31*AM34+D24:D31*AO34*$B$8*AQ34)/(1+AL34/100)^B24:B31)+C32*AM34*AP34/(1+AL34/100)^$B$6</f>
        <v/>
      </c>
      <c r="AS34">
        <f>SUMPRODUCT((K24:K26&lt;=$B$6)*(L24:L26*AN34+M24:M26*AO34*$B$8*AQ34)/(1+AL34/100)^K24:K26)+L27*AN34*AP34/(1+AL34/100)^$B$6</f>
        <v/>
      </c>
      <c r="AT34">
        <f>AS34-AR34</f>
        <v/>
      </c>
      <c r="AU34">
        <f>RAND()</f>
        <v/>
      </c>
      <c r="AV34">
        <f>RAND()</f>
        <v/>
      </c>
      <c r="AW34">
        <f>RAND()</f>
        <v/>
      </c>
      <c r="AX34">
        <f>RAND()</f>
        <v/>
      </c>
      <c r="AY34">
        <f>RAND()</f>
        <v/>
      </c>
      <c r="AZ34">
        <f>RAND()</f>
        <v/>
      </c>
      <c r="BB34" s="18">
        <f>PERCENTILE($AT$14:$AT$1013,0.01)+(PERCENTILE($AT$14:$AT$1013,0.99)-PERCENTILE($AT$14:$AT$1013,0.01))*20/20</f>
        <v/>
      </c>
      <c r="BC34">
        <f>COUNTIF($AT$14:$AT$1013,"&lt;="&amp;BB34)-COUNTIF($AT$14:$AT$1013,"&lt;="&amp;BB33)</f>
        <v/>
      </c>
      <c r="BD34" s="12">
        <f>COUNTIF($AT$14:$AT$1013,"&lt;="&amp;BB34)/COUNT($AT$14:$AT$1013)</f>
        <v/>
      </c>
    </row>
    <row r="35">
      <c r="AK35" t="n">
        <v>22</v>
      </c>
      <c r="AL35">
        <f>IFERROR(IF(AU35&lt;($AM$6-$AL$6)/($AN$6-$AL$6),$AL$6+SQRT(AU35*($AN$6-$AL$6)*($AM$6-$AL$6)),$AN$6-SQRT((1-AU35)*($AN$6-$AL$6)*($AN$6-$AM$6))),$AM$6)</f>
        <v/>
      </c>
      <c r="AM35">
        <f>IFERROR(IF(AV35&lt;($AM$7-$AL$7)/($AN$7-$AL$7),$AL$7+SQRT(AV35*($AN$7-$AL$7)*($AM$7-$AL$7)),$AN$7-SQRT((1-AV35)*($AN$7-$AL$7)*($AN$7-$AM$7))),$AM$7)</f>
        <v/>
      </c>
      <c r="AN35">
        <f>IFERROR(IF(AW35&lt;($AM$8-$AL$8)/($AN$8-$AL$8),$AL$8+SQRT(AW35*($AN$8-$AL$8)*($AM$8-$AL$8)),$AN$8-SQRT((1-AW35)*($AN$8-$AL$8)*($AN$8-$AM$8))),$AM$8)</f>
        <v/>
      </c>
      <c r="AO35">
        <f>IFERROR(IF(AX35&lt;($AM$9-$AL$9)/($AN$9-$AL$9),$AL$9+SQRT(AX35*($AN$9-$AL$9)*($AM$9-$AL$9)),$AN$9-SQRT((1-AX35)*($AN$9-$AL$9)*($AN$9-$AM$9))),$AM$9)</f>
        <v/>
      </c>
      <c r="AP35">
        <f>IFERROR(IF(AY35&lt;($AM$10-$AL$10)/($AN$10-$AL$10),$AL$10+SQRT(AY35*($AN$10-$AL$10)*($AM$10-$AL$10)),$AN$10-SQRT((1-AY35)*($AN$10-$AL$10)*($AN$10-$AM$10))),$AM$10)</f>
        <v/>
      </c>
      <c r="AQ35">
        <f>IFERROR(IF(AZ35&lt;($AM$11-$AL$11)/($AN$11-$AL$11),$AL$11+SQRT(AZ35*($AN$11-$AL$11)*($AM$11-$AL$11)),$AN$11-SQRT((1-AZ35)*($AN$11-$AL$11)*($AN$11-$AM$11))),$AM$11)</f>
        <v/>
      </c>
      <c r="AR35">
        <f>SUMPRODUCT((B24:B31&lt;=$B$6)*(C24:C31*AM35+D24:D31*AO35*$B$8*AQ35)/(1+AL35/100)^B24:B31)+C32*AM35*AP35/(1+AL35/100)^$B$6</f>
        <v/>
      </c>
      <c r="AS35">
        <f>SUMPRODUCT((K24:K26&lt;=$B$6)*(L24:L26*AN35+M24:M26*AO35*$B$8*AQ35)/(1+AL35/100)^K24:K26)+L27*AN35*AP35/(1+AL35/100)^$B$6</f>
        <v/>
      </c>
      <c r="AT35">
        <f>AS35-AR35</f>
        <v/>
      </c>
      <c r="AU35">
        <f>RAND()</f>
        <v/>
      </c>
      <c r="AV35">
        <f>RAND()</f>
        <v/>
      </c>
      <c r="AW35">
        <f>RAND()</f>
        <v/>
      </c>
      <c r="AX35">
        <f>RAND()</f>
        <v/>
      </c>
      <c r="AY35">
        <f>RAND()</f>
        <v/>
      </c>
      <c r="AZ35">
        <f>RAND()</f>
        <v/>
      </c>
    </row>
    <row r="36">
      <c r="AK36" t="n">
        <v>23</v>
      </c>
      <c r="AL36">
        <f>IFERROR(IF(AU36&lt;($AM$6-$AL$6)/($AN$6-$AL$6),$AL$6+SQRT(AU36*($AN$6-$AL$6)*($AM$6-$AL$6)),$AN$6-SQRT((1-AU36)*($AN$6-$AL$6)*($AN$6-$AM$6))),$AM$6)</f>
        <v/>
      </c>
      <c r="AM36">
        <f>IFERROR(IF(AV36&lt;($AM$7-$AL$7)/($AN$7-$AL$7),$AL$7+SQRT(AV36*($AN$7-$AL$7)*($AM$7-$AL$7)),$AN$7-SQRT((1-AV36)*($AN$7-$AL$7)*($AN$7-$AM$7))),$AM$7)</f>
        <v/>
      </c>
      <c r="AN36">
        <f>IFERROR(IF(AW36&lt;($AM$8-$AL$8)/($AN$8-$AL$8),$AL$8+SQRT(AW36*($AN$8-$AL$8)*($AM$8-$AL$8)),$AN$8-SQRT((1-AW36)*($AN$8-$AL$8)*($AN$8-$AM$8))),$AM$8)</f>
        <v/>
      </c>
      <c r="AO36">
        <f>IFERROR(IF(AX36&lt;($AM$9-$AL$9)/($AN$9-$AL$9),$AL$9+SQRT(AX36*($AN$9-$AL$9)*($AM$9-$AL$9)),$AN$9-SQRT((1-AX36)*($AN$9-$AL$9)*($AN$9-$AM$9))),$AM$9)</f>
        <v/>
      </c>
      <c r="AP36">
        <f>IFERROR(IF(AY36&lt;($AM$10-$AL$10)/($AN$10-$AL$10),$AL$10+SQRT(AY36*($AN$10-$AL$10)*($AM$10-$AL$10)),$AN$10-SQRT((1-AY36)*($AN$10-$AL$10)*($AN$10-$AM$10))),$AM$10)</f>
        <v/>
      </c>
      <c r="AQ36">
        <f>IFERROR(IF(AZ36&lt;($AM$11-$AL$11)/($AN$11-$AL$11),$AL$11+SQRT(AZ36*($AN$11-$AL$11)*($AM$11-$AL$11)),$AN$11-SQRT((1-AZ36)*($AN$11-$AL$11)*($AN$11-$AM$11))),$AM$11)</f>
        <v/>
      </c>
      <c r="AR36">
        <f>SUMPRODUCT((B24:B31&lt;=$B$6)*(C24:C31*AM36+D24:D31*AO36*$B$8*AQ36)/(1+AL36/100)^B24:B31)+C32*AM36*AP36/(1+AL36/100)^$B$6</f>
        <v/>
      </c>
      <c r="AS36">
        <f>SUMPRODUCT((K24:K26&lt;=$B$6)*(L24:L26*AN36+M24:M26*AO36*$B$8*AQ36)/(1+AL36/100)^K24:K26)+L27*AN36*AP36/(1+AL36/100)^$B$6</f>
        <v/>
      </c>
      <c r="AT36">
        <f>AS36-AR36</f>
        <v/>
      </c>
      <c r="AU36">
        <f>RAND()</f>
        <v/>
      </c>
      <c r="AV36">
        <f>RAND()</f>
        <v/>
      </c>
      <c r="AW36">
        <f>RAND()</f>
        <v/>
      </c>
      <c r="AX36">
        <f>RAND()</f>
        <v/>
      </c>
      <c r="AY36">
        <f>RAND()</f>
        <v/>
      </c>
      <c r="AZ36">
        <f>RAND()</f>
        <v/>
      </c>
    </row>
    <row r="37">
      <c r="A37" s="4" t="inlineStr">
        <is>
          <t>RESULTS</t>
        </is>
      </c>
      <c r="AK37" t="n">
        <v>24</v>
      </c>
      <c r="AL37">
        <f>IFERROR(IF(AU37&lt;($AM$6-$AL$6)/($AN$6-$AL$6),$AL$6+SQRT(AU37*($AN$6-$AL$6)*($AM$6-$AL$6)),$AN$6-SQRT((1-AU37)*($AN$6-$AL$6)*($AN$6-$AM$6))),$AM$6)</f>
        <v/>
      </c>
      <c r="AM37">
        <f>IFERROR(IF(AV37&lt;($AM$7-$AL$7)/($AN$7-$AL$7),$AL$7+SQRT(AV37*($AN$7-$AL$7)*($AM$7-$AL$7)),$AN$7-SQRT((1-AV37)*($AN$7-$AL$7)*($AN$7-$AM$7))),$AM$7)</f>
        <v/>
      </c>
      <c r="AN37">
        <f>IFERROR(IF(AW37&lt;($AM$8-$AL$8)/($AN$8-$AL$8),$AL$8+SQRT(AW37*($AN$8-$AL$8)*($AM$8-$AL$8)),$AN$8-SQRT((1-AW37)*($AN$8-$AL$8)*($AN$8-$AM$8))),$AM$8)</f>
        <v/>
      </c>
      <c r="AO37">
        <f>IFERROR(IF(AX37&lt;($AM$9-$AL$9)/($AN$9-$AL$9),$AL$9+SQRT(AX37*($AN$9-$AL$9)*($AM$9-$AL$9)),$AN$9-SQRT((1-AX37)*($AN$9-$AL$9)*($AN$9-$AM$9))),$AM$9)</f>
        <v/>
      </c>
      <c r="AP37">
        <f>IFERROR(IF(AY37&lt;($AM$10-$AL$10)/($AN$10-$AL$10),$AL$10+SQRT(AY37*($AN$10-$AL$10)*($AM$10-$AL$10)),$AN$10-SQRT((1-AY37)*($AN$10-$AL$10)*($AN$10-$AM$10))),$AM$10)</f>
        <v/>
      </c>
      <c r="AQ37">
        <f>IFERROR(IF(AZ37&lt;($AM$11-$AL$11)/($AN$11-$AL$11),$AL$11+SQRT(AZ37*($AN$11-$AL$11)*($AM$11-$AL$11)),$AN$11-SQRT((1-AZ37)*($AN$11-$AL$11)*($AN$11-$AM$11))),$AM$11)</f>
        <v/>
      </c>
      <c r="AR37">
        <f>SUMPRODUCT((B24:B31&lt;=$B$6)*(C24:C31*AM37+D24:D31*AO37*$B$8*AQ37)/(1+AL37/100)^B24:B31)+C32*AM37*AP37/(1+AL37/100)^$B$6</f>
        <v/>
      </c>
      <c r="AS37">
        <f>SUMPRODUCT((K24:K26&lt;=$B$6)*(L24:L26*AN37+M24:M26*AO37*$B$8*AQ37)/(1+AL37/100)^K24:K26)+L27*AN37*AP37/(1+AL37/100)^$B$6</f>
        <v/>
      </c>
      <c r="AT37">
        <f>AS37-AR37</f>
        <v/>
      </c>
      <c r="AU37">
        <f>RAND()</f>
        <v/>
      </c>
      <c r="AV37">
        <f>RAND()</f>
        <v/>
      </c>
      <c r="AW37">
        <f>RAND()</f>
        <v/>
      </c>
      <c r="AX37">
        <f>RAND()</f>
        <v/>
      </c>
      <c r="AY37">
        <f>RAND()</f>
        <v/>
      </c>
      <c r="AZ37">
        <f>RAND()</f>
        <v/>
      </c>
    </row>
    <row r="38">
      <c r="A38" s="6" t="inlineStr">
        <is>
          <t>Measure</t>
        </is>
      </c>
      <c r="B38" s="6" t="inlineStr">
        <is>
          <t>HMA</t>
        </is>
      </c>
      <c r="C38" s="6" t="inlineStr">
        <is>
          <t>PCC</t>
        </is>
      </c>
      <c r="D38" s="6" t="inlineStr">
        <is>
          <t>PCC - HMA</t>
        </is>
      </c>
      <c r="AK38" t="n">
        <v>25</v>
      </c>
      <c r="AL38">
        <f>IFERROR(IF(AU38&lt;($AM$6-$AL$6)/($AN$6-$AL$6),$AL$6+SQRT(AU38*($AN$6-$AL$6)*($AM$6-$AL$6)),$AN$6-SQRT((1-AU38)*($AN$6-$AL$6)*($AN$6-$AM$6))),$AM$6)</f>
        <v/>
      </c>
      <c r="AM38">
        <f>IFERROR(IF(AV38&lt;($AM$7-$AL$7)/($AN$7-$AL$7),$AL$7+SQRT(AV38*($AN$7-$AL$7)*($AM$7-$AL$7)),$AN$7-SQRT((1-AV38)*($AN$7-$AL$7)*($AN$7-$AM$7))),$AM$7)</f>
        <v/>
      </c>
      <c r="AN38">
        <f>IFERROR(IF(AW38&lt;($AM$8-$AL$8)/($AN$8-$AL$8),$AL$8+SQRT(AW38*($AN$8-$AL$8)*($AM$8-$AL$8)),$AN$8-SQRT((1-AW38)*($AN$8-$AL$8)*($AN$8-$AM$8))),$AM$8)</f>
        <v/>
      </c>
      <c r="AO38">
        <f>IFERROR(IF(AX38&lt;($AM$9-$AL$9)/($AN$9-$AL$9),$AL$9+SQRT(AX38*($AN$9-$AL$9)*($AM$9-$AL$9)),$AN$9-SQRT((1-AX38)*($AN$9-$AL$9)*($AN$9-$AM$9))),$AM$9)</f>
        <v/>
      </c>
      <c r="AP38">
        <f>IFERROR(IF(AY38&lt;($AM$10-$AL$10)/($AN$10-$AL$10),$AL$10+SQRT(AY38*($AN$10-$AL$10)*($AM$10-$AL$10)),$AN$10-SQRT((1-AY38)*($AN$10-$AL$10)*($AN$10-$AM$10))),$AM$10)</f>
        <v/>
      </c>
      <c r="AQ38">
        <f>IFERROR(IF(AZ38&lt;($AM$11-$AL$11)/($AN$11-$AL$11),$AL$11+SQRT(AZ38*($AN$11-$AL$11)*($AM$11-$AL$11)),$AN$11-SQRT((1-AZ38)*($AN$11-$AL$11)*($AN$11-$AM$11))),$AM$11)</f>
        <v/>
      </c>
      <c r="AR38">
        <f>SUMPRODUCT((B24:B31&lt;=$B$6)*(C24:C31*AM38+D24:D31*AO38*$B$8*AQ38)/(1+AL38/100)^B24:B31)+C32*AM38*AP38/(1+AL38/100)^$B$6</f>
        <v/>
      </c>
      <c r="AS38">
        <f>SUMPRODUCT((K24:K26&lt;=$B$6)*(L24:L26*AN38+M24:M26*AO38*$B$8*AQ38)/(1+AL38/100)^K24:K26)+L27*AN38*AP38/(1+AL38/100)^$B$6</f>
        <v/>
      </c>
      <c r="AT38">
        <f>AS38-AR38</f>
        <v/>
      </c>
      <c r="AU38">
        <f>RAND()</f>
        <v/>
      </c>
      <c r="AV38">
        <f>RAND()</f>
        <v/>
      </c>
      <c r="AW38">
        <f>RAND()</f>
        <v/>
      </c>
      <c r="AX38">
        <f>RAND()</f>
        <v/>
      </c>
      <c r="AY38">
        <f>RAND()</f>
        <v/>
      </c>
      <c r="AZ38">
        <f>RAND()</f>
        <v/>
      </c>
    </row>
    <row r="39">
      <c r="A39" s="23" t="inlineStr">
        <is>
          <t>Initial construction (scenario)</t>
        </is>
      </c>
      <c r="B39" s="24">
        <f>E24</f>
        <v/>
      </c>
      <c r="C39" s="24">
        <f>N24</f>
        <v/>
      </c>
      <c r="D39" s="24">
        <f>C39-B39</f>
        <v/>
      </c>
      <c r="AK39" t="n">
        <v>26</v>
      </c>
      <c r="AL39">
        <f>IFERROR(IF(AU39&lt;($AM$6-$AL$6)/($AN$6-$AL$6),$AL$6+SQRT(AU39*($AN$6-$AL$6)*($AM$6-$AL$6)),$AN$6-SQRT((1-AU39)*($AN$6-$AL$6)*($AN$6-$AM$6))),$AM$6)</f>
        <v/>
      </c>
      <c r="AM39">
        <f>IFERROR(IF(AV39&lt;($AM$7-$AL$7)/($AN$7-$AL$7),$AL$7+SQRT(AV39*($AN$7-$AL$7)*($AM$7-$AL$7)),$AN$7-SQRT((1-AV39)*($AN$7-$AL$7)*($AN$7-$AM$7))),$AM$7)</f>
        <v/>
      </c>
      <c r="AN39">
        <f>IFERROR(IF(AW39&lt;($AM$8-$AL$8)/($AN$8-$AL$8),$AL$8+SQRT(AW39*($AN$8-$AL$8)*($AM$8-$AL$8)),$AN$8-SQRT((1-AW39)*($AN$8-$AL$8)*($AN$8-$AM$8))),$AM$8)</f>
        <v/>
      </c>
      <c r="AO39">
        <f>IFERROR(IF(AX39&lt;($AM$9-$AL$9)/($AN$9-$AL$9),$AL$9+SQRT(AX39*($AN$9-$AL$9)*($AM$9-$AL$9)),$AN$9-SQRT((1-AX39)*($AN$9-$AL$9)*($AN$9-$AM$9))),$AM$9)</f>
        <v/>
      </c>
      <c r="AP39">
        <f>IFERROR(IF(AY39&lt;($AM$10-$AL$10)/($AN$10-$AL$10),$AL$10+SQRT(AY39*($AN$10-$AL$10)*($AM$10-$AL$10)),$AN$10-SQRT((1-AY39)*($AN$10-$AL$10)*($AN$10-$AM$10))),$AM$10)</f>
        <v/>
      </c>
      <c r="AQ39">
        <f>IFERROR(IF(AZ39&lt;($AM$11-$AL$11)/($AN$11-$AL$11),$AL$11+SQRT(AZ39*($AN$11-$AL$11)*($AM$11-$AL$11)),$AN$11-SQRT((1-AZ39)*($AN$11-$AL$11)*($AN$11-$AM$11))),$AM$11)</f>
        <v/>
      </c>
      <c r="AR39">
        <f>SUMPRODUCT((B24:B31&lt;=$B$6)*(C24:C31*AM39+D24:D31*AO39*$B$8*AQ39)/(1+AL39/100)^B24:B31)+C32*AM39*AP39/(1+AL39/100)^$B$6</f>
        <v/>
      </c>
      <c r="AS39">
        <f>SUMPRODUCT((K24:K26&lt;=$B$6)*(L24:L26*AN39+M24:M26*AO39*$B$8*AQ39)/(1+AL39/100)^K24:K26)+L27*AN39*AP39/(1+AL39/100)^$B$6</f>
        <v/>
      </c>
      <c r="AT39">
        <f>AS39-AR39</f>
        <v/>
      </c>
      <c r="AU39">
        <f>RAND()</f>
        <v/>
      </c>
      <c r="AV39">
        <f>RAND()</f>
        <v/>
      </c>
      <c r="AW39">
        <f>RAND()</f>
        <v/>
      </c>
      <c r="AX39">
        <f>RAND()</f>
        <v/>
      </c>
      <c r="AY39">
        <f>RAND()</f>
        <v/>
      </c>
      <c r="AZ39">
        <f>RAND()</f>
        <v/>
      </c>
    </row>
    <row r="40">
      <c r="A40" s="23" t="inlineStr">
        <is>
          <t>Maintenance PW</t>
        </is>
      </c>
      <c r="B40" s="24">
        <f>SUMPRODUCT((B25:B31&lt;=$B$6)*ISNUMBER(SEARCH("Maintenance",A25:A31))*E25:E31/(1+$B$5/100)^B25:B31)</f>
        <v/>
      </c>
      <c r="C40" s="24">
        <f>SUMPRODUCT((K25:K26&lt;=$B$6)*ISNUMBER(SEARCH("Maintenance",J25:J26))*N25:N26/(1+$B$5/100)^K25:K26)</f>
        <v/>
      </c>
      <c r="D40" s="24">
        <f>C40-B40</f>
        <v/>
      </c>
      <c r="AK40" t="n">
        <v>27</v>
      </c>
      <c r="AL40">
        <f>IFERROR(IF(AU40&lt;($AM$6-$AL$6)/($AN$6-$AL$6),$AL$6+SQRT(AU40*($AN$6-$AL$6)*($AM$6-$AL$6)),$AN$6-SQRT((1-AU40)*($AN$6-$AL$6)*($AN$6-$AM$6))),$AM$6)</f>
        <v/>
      </c>
      <c r="AM40">
        <f>IFERROR(IF(AV40&lt;($AM$7-$AL$7)/($AN$7-$AL$7),$AL$7+SQRT(AV40*($AN$7-$AL$7)*($AM$7-$AL$7)),$AN$7-SQRT((1-AV40)*($AN$7-$AL$7)*($AN$7-$AM$7))),$AM$7)</f>
        <v/>
      </c>
      <c r="AN40">
        <f>IFERROR(IF(AW40&lt;($AM$8-$AL$8)/($AN$8-$AL$8),$AL$8+SQRT(AW40*($AN$8-$AL$8)*($AM$8-$AL$8)),$AN$8-SQRT((1-AW40)*($AN$8-$AL$8)*($AN$8-$AM$8))),$AM$8)</f>
        <v/>
      </c>
      <c r="AO40">
        <f>IFERROR(IF(AX40&lt;($AM$9-$AL$9)/($AN$9-$AL$9),$AL$9+SQRT(AX40*($AN$9-$AL$9)*($AM$9-$AL$9)),$AN$9-SQRT((1-AX40)*($AN$9-$AL$9)*($AN$9-$AM$9))),$AM$9)</f>
        <v/>
      </c>
      <c r="AP40">
        <f>IFERROR(IF(AY40&lt;($AM$10-$AL$10)/($AN$10-$AL$10),$AL$10+SQRT(AY40*($AN$10-$AL$10)*($AM$10-$AL$10)),$AN$10-SQRT((1-AY40)*($AN$10-$AL$10)*($AN$10-$AM$10))),$AM$10)</f>
        <v/>
      </c>
      <c r="AQ40">
        <f>IFERROR(IF(AZ40&lt;($AM$11-$AL$11)/($AN$11-$AL$11),$AL$11+SQRT(AZ40*($AN$11-$AL$11)*($AM$11-$AL$11)),$AN$11-SQRT((1-AZ40)*($AN$11-$AL$11)*($AN$11-$AM$11))),$AM$11)</f>
        <v/>
      </c>
      <c r="AR40">
        <f>SUMPRODUCT((B24:B31&lt;=$B$6)*(C24:C31*AM40+D24:D31*AO40*$B$8*AQ40)/(1+AL40/100)^B24:B31)+C32*AM40*AP40/(1+AL40/100)^$B$6</f>
        <v/>
      </c>
      <c r="AS40">
        <f>SUMPRODUCT((K24:K26&lt;=$B$6)*(L24:L26*AN40+M24:M26*AO40*$B$8*AQ40)/(1+AL40/100)^K24:K26)+L27*AN40*AP40/(1+AL40/100)^$B$6</f>
        <v/>
      </c>
      <c r="AT40">
        <f>AS40-AR40</f>
        <v/>
      </c>
      <c r="AU40">
        <f>RAND()</f>
        <v/>
      </c>
      <c r="AV40">
        <f>RAND()</f>
        <v/>
      </c>
      <c r="AW40">
        <f>RAND()</f>
        <v/>
      </c>
      <c r="AX40">
        <f>RAND()</f>
        <v/>
      </c>
      <c r="AY40">
        <f>RAND()</f>
        <v/>
      </c>
      <c r="AZ40">
        <f>RAND()</f>
        <v/>
      </c>
    </row>
    <row r="41">
      <c r="A41" s="23" t="inlineStr">
        <is>
          <t>Rehabilitation PW</t>
        </is>
      </c>
      <c r="B41" s="24">
        <f>SUMPRODUCT((B25:B31&lt;=$B$6)*ISNUMBER(SEARCH("Rehabilitation",A25:A31))*E25:E31/(1+$B$5/100)^B25:B31)</f>
        <v/>
      </c>
      <c r="C41" s="24">
        <f>SUMPRODUCT((K25:K26&lt;=$B$6)*ISNUMBER(SEARCH("Rehabilitation",J25:J26))*N25:N26/(1+$B$5/100)^K25:K26)</f>
        <v/>
      </c>
      <c r="D41" s="24">
        <f>C41-B41</f>
        <v/>
      </c>
      <c r="AK41" t="n">
        <v>28</v>
      </c>
      <c r="AL41">
        <f>IFERROR(IF(AU41&lt;($AM$6-$AL$6)/($AN$6-$AL$6),$AL$6+SQRT(AU41*($AN$6-$AL$6)*($AM$6-$AL$6)),$AN$6-SQRT((1-AU41)*($AN$6-$AL$6)*($AN$6-$AM$6))),$AM$6)</f>
        <v/>
      </c>
      <c r="AM41">
        <f>IFERROR(IF(AV41&lt;($AM$7-$AL$7)/($AN$7-$AL$7),$AL$7+SQRT(AV41*($AN$7-$AL$7)*($AM$7-$AL$7)),$AN$7-SQRT((1-AV41)*($AN$7-$AL$7)*($AN$7-$AM$7))),$AM$7)</f>
        <v/>
      </c>
      <c r="AN41">
        <f>IFERROR(IF(AW41&lt;($AM$8-$AL$8)/($AN$8-$AL$8),$AL$8+SQRT(AW41*($AN$8-$AL$8)*($AM$8-$AL$8)),$AN$8-SQRT((1-AW41)*($AN$8-$AL$8)*($AN$8-$AM$8))),$AM$8)</f>
        <v/>
      </c>
      <c r="AO41">
        <f>IFERROR(IF(AX41&lt;($AM$9-$AL$9)/($AN$9-$AL$9),$AL$9+SQRT(AX41*($AN$9-$AL$9)*($AM$9-$AL$9)),$AN$9-SQRT((1-AX41)*($AN$9-$AL$9)*($AN$9-$AM$9))),$AM$9)</f>
        <v/>
      </c>
      <c r="AP41">
        <f>IFERROR(IF(AY41&lt;($AM$10-$AL$10)/($AN$10-$AL$10),$AL$10+SQRT(AY41*($AN$10-$AL$10)*($AM$10-$AL$10)),$AN$10-SQRT((1-AY41)*($AN$10-$AL$10)*($AN$10-$AM$10))),$AM$10)</f>
        <v/>
      </c>
      <c r="AQ41">
        <f>IFERROR(IF(AZ41&lt;($AM$11-$AL$11)/($AN$11-$AL$11),$AL$11+SQRT(AZ41*($AN$11-$AL$11)*($AM$11-$AL$11)),$AN$11-SQRT((1-AZ41)*($AN$11-$AL$11)*($AN$11-$AM$11))),$AM$11)</f>
        <v/>
      </c>
      <c r="AR41">
        <f>SUMPRODUCT((B24:B31&lt;=$B$6)*(C24:C31*AM41+D24:D31*AO41*$B$8*AQ41)/(1+AL41/100)^B24:B31)+C32*AM41*AP41/(1+AL41/100)^$B$6</f>
        <v/>
      </c>
      <c r="AS41">
        <f>SUMPRODUCT((K24:K26&lt;=$B$6)*(L24:L26*AN41+M24:M26*AO41*$B$8*AQ41)/(1+AL41/100)^K24:K26)+L27*AN41*AP41/(1+AL41/100)^$B$6</f>
        <v/>
      </c>
      <c r="AT41">
        <f>AS41-AR41</f>
        <v/>
      </c>
      <c r="AU41">
        <f>RAND()</f>
        <v/>
      </c>
      <c r="AV41">
        <f>RAND()</f>
        <v/>
      </c>
      <c r="AW41">
        <f>RAND()</f>
        <v/>
      </c>
      <c r="AX41">
        <f>RAND()</f>
        <v/>
      </c>
      <c r="AY41">
        <f>RAND()</f>
        <v/>
      </c>
      <c r="AZ41">
        <f>RAND()</f>
        <v/>
      </c>
    </row>
    <row r="42">
      <c r="A42" s="23" t="inlineStr">
        <is>
          <t>Lost revenue PW</t>
        </is>
      </c>
      <c r="B42" s="24">
        <f>SUMPRODUCT((B24:B31&lt;=$B$6)*F24:F31/(1+$B$5/100)^B24:B31)</f>
        <v/>
      </c>
      <c r="C42" s="24">
        <f>SUMPRODUCT((K24:K26&lt;=$B$6)*O24:O26/(1+$B$5/100)^K24:K26)</f>
        <v/>
      </c>
      <c r="D42" s="24">
        <f>C42-B42</f>
        <v/>
      </c>
      <c r="AK42" t="n">
        <v>29</v>
      </c>
      <c r="AL42">
        <f>IFERROR(IF(AU42&lt;($AM$6-$AL$6)/($AN$6-$AL$6),$AL$6+SQRT(AU42*($AN$6-$AL$6)*($AM$6-$AL$6)),$AN$6-SQRT((1-AU42)*($AN$6-$AL$6)*($AN$6-$AM$6))),$AM$6)</f>
        <v/>
      </c>
      <c r="AM42">
        <f>IFERROR(IF(AV42&lt;($AM$7-$AL$7)/($AN$7-$AL$7),$AL$7+SQRT(AV42*($AN$7-$AL$7)*($AM$7-$AL$7)),$AN$7-SQRT((1-AV42)*($AN$7-$AL$7)*($AN$7-$AM$7))),$AM$7)</f>
        <v/>
      </c>
      <c r="AN42">
        <f>IFERROR(IF(AW42&lt;($AM$8-$AL$8)/($AN$8-$AL$8),$AL$8+SQRT(AW42*($AN$8-$AL$8)*($AM$8-$AL$8)),$AN$8-SQRT((1-AW42)*($AN$8-$AL$8)*($AN$8-$AM$8))),$AM$8)</f>
        <v/>
      </c>
      <c r="AO42">
        <f>IFERROR(IF(AX42&lt;($AM$9-$AL$9)/($AN$9-$AL$9),$AL$9+SQRT(AX42*($AN$9-$AL$9)*($AM$9-$AL$9)),$AN$9-SQRT((1-AX42)*($AN$9-$AL$9)*($AN$9-$AM$9))),$AM$9)</f>
        <v/>
      </c>
      <c r="AP42">
        <f>IFERROR(IF(AY42&lt;($AM$10-$AL$10)/($AN$10-$AL$10),$AL$10+SQRT(AY42*($AN$10-$AL$10)*($AM$10-$AL$10)),$AN$10-SQRT((1-AY42)*($AN$10-$AL$10)*($AN$10-$AM$10))),$AM$10)</f>
        <v/>
      </c>
      <c r="AQ42">
        <f>IFERROR(IF(AZ42&lt;($AM$11-$AL$11)/($AN$11-$AL$11),$AL$11+SQRT(AZ42*($AN$11-$AL$11)*($AM$11-$AL$11)),$AN$11-SQRT((1-AZ42)*($AN$11-$AL$11)*($AN$11-$AM$11))),$AM$11)</f>
        <v/>
      </c>
      <c r="AR42">
        <f>SUMPRODUCT((B24:B31&lt;=$B$6)*(C24:C31*AM42+D24:D31*AO42*$B$8*AQ42)/(1+AL42/100)^B24:B31)+C32*AM42*AP42/(1+AL42/100)^$B$6</f>
        <v/>
      </c>
      <c r="AS42">
        <f>SUMPRODUCT((K24:K26&lt;=$B$6)*(L24:L26*AN42+M24:M26*AO42*$B$8*AQ42)/(1+AL42/100)^K24:K26)+L27*AN42*AP42/(1+AL42/100)^$B$6</f>
        <v/>
      </c>
      <c r="AT42">
        <f>AS42-AR42</f>
        <v/>
      </c>
      <c r="AU42">
        <f>RAND()</f>
        <v/>
      </c>
      <c r="AV42">
        <f>RAND()</f>
        <v/>
      </c>
      <c r="AW42">
        <f>RAND()</f>
        <v/>
      </c>
      <c r="AX42">
        <f>RAND()</f>
        <v/>
      </c>
      <c r="AY42">
        <f>RAND()</f>
        <v/>
      </c>
      <c r="AZ42">
        <f>RAND()</f>
        <v/>
      </c>
    </row>
    <row r="43">
      <c r="A43" s="23" t="inlineStr">
        <is>
          <t>Salvage PW</t>
        </is>
      </c>
      <c r="B43" s="24">
        <f>G32</f>
        <v/>
      </c>
      <c r="C43" s="24">
        <f>P27</f>
        <v/>
      </c>
      <c r="D43" s="24">
        <f>C43-B43</f>
        <v/>
      </c>
      <c r="AK43" t="n">
        <v>30</v>
      </c>
      <c r="AL43">
        <f>IFERROR(IF(AU43&lt;($AM$6-$AL$6)/($AN$6-$AL$6),$AL$6+SQRT(AU43*($AN$6-$AL$6)*($AM$6-$AL$6)),$AN$6-SQRT((1-AU43)*($AN$6-$AL$6)*($AN$6-$AM$6))),$AM$6)</f>
        <v/>
      </c>
      <c r="AM43">
        <f>IFERROR(IF(AV43&lt;($AM$7-$AL$7)/($AN$7-$AL$7),$AL$7+SQRT(AV43*($AN$7-$AL$7)*($AM$7-$AL$7)),$AN$7-SQRT((1-AV43)*($AN$7-$AL$7)*($AN$7-$AM$7))),$AM$7)</f>
        <v/>
      </c>
      <c r="AN43">
        <f>IFERROR(IF(AW43&lt;($AM$8-$AL$8)/($AN$8-$AL$8),$AL$8+SQRT(AW43*($AN$8-$AL$8)*($AM$8-$AL$8)),$AN$8-SQRT((1-AW43)*($AN$8-$AL$8)*($AN$8-$AM$8))),$AM$8)</f>
        <v/>
      </c>
      <c r="AO43">
        <f>IFERROR(IF(AX43&lt;($AM$9-$AL$9)/($AN$9-$AL$9),$AL$9+SQRT(AX43*($AN$9-$AL$9)*($AM$9-$AL$9)),$AN$9-SQRT((1-AX43)*($AN$9-$AL$9)*($AN$9-$AM$9))),$AM$9)</f>
        <v/>
      </c>
      <c r="AP43">
        <f>IFERROR(IF(AY43&lt;($AM$10-$AL$10)/($AN$10-$AL$10),$AL$10+SQRT(AY43*($AN$10-$AL$10)*($AM$10-$AL$10)),$AN$10-SQRT((1-AY43)*($AN$10-$AL$10)*($AN$10-$AM$10))),$AM$10)</f>
        <v/>
      </c>
      <c r="AQ43">
        <f>IFERROR(IF(AZ43&lt;($AM$11-$AL$11)/($AN$11-$AL$11),$AL$11+SQRT(AZ43*($AN$11-$AL$11)*($AM$11-$AL$11)),$AN$11-SQRT((1-AZ43)*($AN$11-$AL$11)*($AN$11-$AM$11))),$AM$11)</f>
        <v/>
      </c>
      <c r="AR43">
        <f>SUMPRODUCT((B24:B31&lt;=$B$6)*(C24:C31*AM43+D24:D31*AO43*$B$8*AQ43)/(1+AL43/100)^B24:B31)+C32*AM43*AP43/(1+AL43/100)^$B$6</f>
        <v/>
      </c>
      <c r="AS43">
        <f>SUMPRODUCT((K24:K26&lt;=$B$6)*(L24:L26*AN43+M24:M26*AO43*$B$8*AQ43)/(1+AL43/100)^K24:K26)+L27*AN43*AP43/(1+AL43/100)^$B$6</f>
        <v/>
      </c>
      <c r="AT43">
        <f>AS43-AR43</f>
        <v/>
      </c>
      <c r="AU43">
        <f>RAND()</f>
        <v/>
      </c>
      <c r="AV43">
        <f>RAND()</f>
        <v/>
      </c>
      <c r="AW43">
        <f>RAND()</f>
        <v/>
      </c>
      <c r="AX43">
        <f>RAND()</f>
        <v/>
      </c>
      <c r="AY43">
        <f>RAND()</f>
        <v/>
      </c>
      <c r="AZ43">
        <f>RAND()</f>
        <v/>
      </c>
    </row>
    <row r="44">
      <c r="A44" s="23" t="inlineStr">
        <is>
          <t>Net present worth</t>
        </is>
      </c>
      <c r="B44" s="24">
        <f>G33</f>
        <v/>
      </c>
      <c r="C44" s="24">
        <f>P28</f>
        <v/>
      </c>
      <c r="D44" s="24">
        <f>C44-B44</f>
        <v/>
      </c>
      <c r="AK44" t="n">
        <v>31</v>
      </c>
      <c r="AL44">
        <f>IFERROR(IF(AU44&lt;($AM$6-$AL$6)/($AN$6-$AL$6),$AL$6+SQRT(AU44*($AN$6-$AL$6)*($AM$6-$AL$6)),$AN$6-SQRT((1-AU44)*($AN$6-$AL$6)*($AN$6-$AM$6))),$AM$6)</f>
        <v/>
      </c>
      <c r="AM44">
        <f>IFERROR(IF(AV44&lt;($AM$7-$AL$7)/($AN$7-$AL$7),$AL$7+SQRT(AV44*($AN$7-$AL$7)*($AM$7-$AL$7)),$AN$7-SQRT((1-AV44)*($AN$7-$AL$7)*($AN$7-$AM$7))),$AM$7)</f>
        <v/>
      </c>
      <c r="AN44">
        <f>IFERROR(IF(AW44&lt;($AM$8-$AL$8)/($AN$8-$AL$8),$AL$8+SQRT(AW44*($AN$8-$AL$8)*($AM$8-$AL$8)),$AN$8-SQRT((1-AW44)*($AN$8-$AL$8)*($AN$8-$AM$8))),$AM$8)</f>
        <v/>
      </c>
      <c r="AO44">
        <f>IFERROR(IF(AX44&lt;($AM$9-$AL$9)/($AN$9-$AL$9),$AL$9+SQRT(AX44*($AN$9-$AL$9)*($AM$9-$AL$9)),$AN$9-SQRT((1-AX44)*($AN$9-$AL$9)*($AN$9-$AM$9))),$AM$9)</f>
        <v/>
      </c>
      <c r="AP44">
        <f>IFERROR(IF(AY44&lt;($AM$10-$AL$10)/($AN$10-$AL$10),$AL$10+SQRT(AY44*($AN$10-$AL$10)*($AM$10-$AL$10)),$AN$10-SQRT((1-AY44)*($AN$10-$AL$10)*($AN$10-$AM$10))),$AM$10)</f>
        <v/>
      </c>
      <c r="AQ44">
        <f>IFERROR(IF(AZ44&lt;($AM$11-$AL$11)/($AN$11-$AL$11),$AL$11+SQRT(AZ44*($AN$11-$AL$11)*($AM$11-$AL$11)),$AN$11-SQRT((1-AZ44)*($AN$11-$AL$11)*($AN$11-$AM$11))),$AM$11)</f>
        <v/>
      </c>
      <c r="AR44">
        <f>SUMPRODUCT((B24:B31&lt;=$B$6)*(C24:C31*AM44+D24:D31*AO44*$B$8*AQ44)/(1+AL44/100)^B24:B31)+C32*AM44*AP44/(1+AL44/100)^$B$6</f>
        <v/>
      </c>
      <c r="AS44">
        <f>SUMPRODUCT((K24:K26&lt;=$B$6)*(L24:L26*AN44+M24:M26*AO44*$B$8*AQ44)/(1+AL44/100)^K24:K26)+L27*AN44*AP44/(1+AL44/100)^$B$6</f>
        <v/>
      </c>
      <c r="AT44">
        <f>AS44-AR44</f>
        <v/>
      </c>
      <c r="AU44">
        <f>RAND()</f>
        <v/>
      </c>
      <c r="AV44">
        <f>RAND()</f>
        <v/>
      </c>
      <c r="AW44">
        <f>RAND()</f>
        <v/>
      </c>
      <c r="AX44">
        <f>RAND()</f>
        <v/>
      </c>
      <c r="AY44">
        <f>RAND()</f>
        <v/>
      </c>
      <c r="AZ44">
        <f>RAND()</f>
        <v/>
      </c>
    </row>
    <row r="45">
      <c r="A45" s="23" t="inlineStr">
        <is>
          <t>Equivalent uniform annual cost</t>
        </is>
      </c>
      <c r="B45" s="24">
        <f>G33*($B$5/100)*(1+$B$5/100)^$B$6/((1+$B$5/100)^$B$6-1)</f>
        <v/>
      </c>
      <c r="C45" s="24">
        <f>P28*($B$5/100)*(1+$B$5/100)^$B$6/((1+$B$5/100)^$B$6-1)</f>
        <v/>
      </c>
      <c r="D45" s="24">
        <f>C45-B45</f>
        <v/>
      </c>
      <c r="AK45" t="n">
        <v>32</v>
      </c>
      <c r="AL45">
        <f>IFERROR(IF(AU45&lt;($AM$6-$AL$6)/($AN$6-$AL$6),$AL$6+SQRT(AU45*($AN$6-$AL$6)*($AM$6-$AL$6)),$AN$6-SQRT((1-AU45)*($AN$6-$AL$6)*($AN$6-$AM$6))),$AM$6)</f>
        <v/>
      </c>
      <c r="AM45">
        <f>IFERROR(IF(AV45&lt;($AM$7-$AL$7)/($AN$7-$AL$7),$AL$7+SQRT(AV45*($AN$7-$AL$7)*($AM$7-$AL$7)),$AN$7-SQRT((1-AV45)*($AN$7-$AL$7)*($AN$7-$AM$7))),$AM$7)</f>
        <v/>
      </c>
      <c r="AN45">
        <f>IFERROR(IF(AW45&lt;($AM$8-$AL$8)/($AN$8-$AL$8),$AL$8+SQRT(AW45*($AN$8-$AL$8)*($AM$8-$AL$8)),$AN$8-SQRT((1-AW45)*($AN$8-$AL$8)*($AN$8-$AM$8))),$AM$8)</f>
        <v/>
      </c>
      <c r="AO45">
        <f>IFERROR(IF(AX45&lt;($AM$9-$AL$9)/($AN$9-$AL$9),$AL$9+SQRT(AX45*($AN$9-$AL$9)*($AM$9-$AL$9)),$AN$9-SQRT((1-AX45)*($AN$9-$AL$9)*($AN$9-$AM$9))),$AM$9)</f>
        <v/>
      </c>
      <c r="AP45">
        <f>IFERROR(IF(AY45&lt;($AM$10-$AL$10)/($AN$10-$AL$10),$AL$10+SQRT(AY45*($AN$10-$AL$10)*($AM$10-$AL$10)),$AN$10-SQRT((1-AY45)*($AN$10-$AL$10)*($AN$10-$AM$10))),$AM$10)</f>
        <v/>
      </c>
      <c r="AQ45">
        <f>IFERROR(IF(AZ45&lt;($AM$11-$AL$11)/($AN$11-$AL$11),$AL$11+SQRT(AZ45*($AN$11-$AL$11)*($AM$11-$AL$11)),$AN$11-SQRT((1-AZ45)*($AN$11-$AL$11)*($AN$11-$AM$11))),$AM$11)</f>
        <v/>
      </c>
      <c r="AR45">
        <f>SUMPRODUCT((B24:B31&lt;=$B$6)*(C24:C31*AM45+D24:D31*AO45*$B$8*AQ45)/(1+AL45/100)^B24:B31)+C32*AM45*AP45/(1+AL45/100)^$B$6</f>
        <v/>
      </c>
      <c r="AS45">
        <f>SUMPRODUCT((K24:K26&lt;=$B$6)*(L24:L26*AN45+M24:M26*AO45*$B$8*AQ45)/(1+AL45/100)^K24:K26)+L27*AN45*AP45/(1+AL45/100)^$B$6</f>
        <v/>
      </c>
      <c r="AT45">
        <f>AS45-AR45</f>
        <v/>
      </c>
      <c r="AU45">
        <f>RAND()</f>
        <v/>
      </c>
      <c r="AV45">
        <f>RAND()</f>
        <v/>
      </c>
      <c r="AW45">
        <f>RAND()</f>
        <v/>
      </c>
      <c r="AX45">
        <f>RAND()</f>
        <v/>
      </c>
      <c r="AY45">
        <f>RAND()</f>
        <v/>
      </c>
      <c r="AZ45">
        <f>RAND()</f>
        <v/>
      </c>
    </row>
    <row r="46">
      <c r="A46" s="23" t="inlineStr">
        <is>
          <t>NPW per SY of mainline</t>
        </is>
      </c>
      <c r="B46" s="25">
        <f>IFERROR(G33/$B$14,0)</f>
        <v/>
      </c>
      <c r="C46" s="25">
        <f>IFERROR(P28/$B$14,0)</f>
        <v/>
      </c>
      <c r="D46" s="25">
        <f>C46-B46</f>
        <v/>
      </c>
      <c r="AK46" t="n">
        <v>33</v>
      </c>
      <c r="AL46">
        <f>IFERROR(IF(AU46&lt;($AM$6-$AL$6)/($AN$6-$AL$6),$AL$6+SQRT(AU46*($AN$6-$AL$6)*($AM$6-$AL$6)),$AN$6-SQRT((1-AU46)*($AN$6-$AL$6)*($AN$6-$AM$6))),$AM$6)</f>
        <v/>
      </c>
      <c r="AM46">
        <f>IFERROR(IF(AV46&lt;($AM$7-$AL$7)/($AN$7-$AL$7),$AL$7+SQRT(AV46*($AN$7-$AL$7)*($AM$7-$AL$7)),$AN$7-SQRT((1-AV46)*($AN$7-$AL$7)*($AN$7-$AM$7))),$AM$7)</f>
        <v/>
      </c>
      <c r="AN46">
        <f>IFERROR(IF(AW46&lt;($AM$8-$AL$8)/($AN$8-$AL$8),$AL$8+SQRT(AW46*($AN$8-$AL$8)*($AM$8-$AL$8)),$AN$8-SQRT((1-AW46)*($AN$8-$AL$8)*($AN$8-$AM$8))),$AM$8)</f>
        <v/>
      </c>
      <c r="AO46">
        <f>IFERROR(IF(AX46&lt;($AM$9-$AL$9)/($AN$9-$AL$9),$AL$9+SQRT(AX46*($AN$9-$AL$9)*($AM$9-$AL$9)),$AN$9-SQRT((1-AX46)*($AN$9-$AL$9)*($AN$9-$AM$9))),$AM$9)</f>
        <v/>
      </c>
      <c r="AP46">
        <f>IFERROR(IF(AY46&lt;($AM$10-$AL$10)/($AN$10-$AL$10),$AL$10+SQRT(AY46*($AN$10-$AL$10)*($AM$10-$AL$10)),$AN$10-SQRT((1-AY46)*($AN$10-$AL$10)*($AN$10-$AM$10))),$AM$10)</f>
        <v/>
      </c>
      <c r="AQ46">
        <f>IFERROR(IF(AZ46&lt;($AM$11-$AL$11)/($AN$11-$AL$11),$AL$11+SQRT(AZ46*($AN$11-$AL$11)*($AM$11-$AL$11)),$AN$11-SQRT((1-AZ46)*($AN$11-$AL$11)*($AN$11-$AM$11))),$AM$11)</f>
        <v/>
      </c>
      <c r="AR46">
        <f>SUMPRODUCT((B24:B31&lt;=$B$6)*(C24:C31*AM46+D24:D31*AO46*$B$8*AQ46)/(1+AL46/100)^B24:B31)+C32*AM46*AP46/(1+AL46/100)^$B$6</f>
        <v/>
      </c>
      <c r="AS46">
        <f>SUMPRODUCT((K24:K26&lt;=$B$6)*(L24:L26*AN46+M24:M26*AO46*$B$8*AQ46)/(1+AL46/100)^K24:K26)+L27*AN46*AP46/(1+AL46/100)^$B$6</f>
        <v/>
      </c>
      <c r="AT46">
        <f>AS46-AR46</f>
        <v/>
      </c>
      <c r="AU46">
        <f>RAND()</f>
        <v/>
      </c>
      <c r="AV46">
        <f>RAND()</f>
        <v/>
      </c>
      <c r="AW46">
        <f>RAND()</f>
        <v/>
      </c>
      <c r="AX46">
        <f>RAND()</f>
        <v/>
      </c>
      <c r="AY46">
        <f>RAND()</f>
        <v/>
      </c>
      <c r="AZ46">
        <f>RAND()</f>
        <v/>
      </c>
    </row>
    <row r="47">
      <c r="A47" s="23" t="inlineStr">
        <is>
          <t>Closure days in period</t>
        </is>
      </c>
      <c r="B47" s="26">
        <f>SUMPRODUCT((B24:B31&lt;=$B$6)*D24:D31)*$B$10</f>
        <v/>
      </c>
      <c r="C47" s="26">
        <f>SUMPRODUCT((K24:K26&lt;=$B$6)*M24:M26)*$B$10</f>
        <v/>
      </c>
      <c r="D47" s="26">
        <f>C47-B47</f>
        <v/>
      </c>
      <c r="AK47" t="n">
        <v>34</v>
      </c>
      <c r="AL47">
        <f>IFERROR(IF(AU47&lt;($AM$6-$AL$6)/($AN$6-$AL$6),$AL$6+SQRT(AU47*($AN$6-$AL$6)*($AM$6-$AL$6)),$AN$6-SQRT((1-AU47)*($AN$6-$AL$6)*($AN$6-$AM$6))),$AM$6)</f>
        <v/>
      </c>
      <c r="AM47">
        <f>IFERROR(IF(AV47&lt;($AM$7-$AL$7)/($AN$7-$AL$7),$AL$7+SQRT(AV47*($AN$7-$AL$7)*($AM$7-$AL$7)),$AN$7-SQRT((1-AV47)*($AN$7-$AL$7)*($AN$7-$AM$7))),$AM$7)</f>
        <v/>
      </c>
      <c r="AN47">
        <f>IFERROR(IF(AW47&lt;($AM$8-$AL$8)/($AN$8-$AL$8),$AL$8+SQRT(AW47*($AN$8-$AL$8)*($AM$8-$AL$8)),$AN$8-SQRT((1-AW47)*($AN$8-$AL$8)*($AN$8-$AM$8))),$AM$8)</f>
        <v/>
      </c>
      <c r="AO47">
        <f>IFERROR(IF(AX47&lt;($AM$9-$AL$9)/($AN$9-$AL$9),$AL$9+SQRT(AX47*($AN$9-$AL$9)*($AM$9-$AL$9)),$AN$9-SQRT((1-AX47)*($AN$9-$AL$9)*($AN$9-$AM$9))),$AM$9)</f>
        <v/>
      </c>
      <c r="AP47">
        <f>IFERROR(IF(AY47&lt;($AM$10-$AL$10)/($AN$10-$AL$10),$AL$10+SQRT(AY47*($AN$10-$AL$10)*($AM$10-$AL$10)),$AN$10-SQRT((1-AY47)*($AN$10-$AL$10)*($AN$10-$AM$10))),$AM$10)</f>
        <v/>
      </c>
      <c r="AQ47">
        <f>IFERROR(IF(AZ47&lt;($AM$11-$AL$11)/($AN$11-$AL$11),$AL$11+SQRT(AZ47*($AN$11-$AL$11)*($AM$11-$AL$11)),$AN$11-SQRT((1-AZ47)*($AN$11-$AL$11)*($AN$11-$AM$11))),$AM$11)</f>
        <v/>
      </c>
      <c r="AR47">
        <f>SUMPRODUCT((B24:B31&lt;=$B$6)*(C24:C31*AM47+D24:D31*AO47*$B$8*AQ47)/(1+AL47/100)^B24:B31)+C32*AM47*AP47/(1+AL47/100)^$B$6</f>
        <v/>
      </c>
      <c r="AS47">
        <f>SUMPRODUCT((K24:K26&lt;=$B$6)*(L24:L26*AN47+M24:M26*AO47*$B$8*AQ47)/(1+AL47/100)^K24:K26)+L27*AN47*AP47/(1+AL47/100)^$B$6</f>
        <v/>
      </c>
      <c r="AT47">
        <f>AS47-AR47</f>
        <v/>
      </c>
      <c r="AU47">
        <f>RAND()</f>
        <v/>
      </c>
      <c r="AV47">
        <f>RAND()</f>
        <v/>
      </c>
      <c r="AW47">
        <f>RAND()</f>
        <v/>
      </c>
      <c r="AX47">
        <f>RAND()</f>
        <v/>
      </c>
      <c r="AY47">
        <f>RAND()</f>
        <v/>
      </c>
      <c r="AZ47">
        <f>RAND()</f>
        <v/>
      </c>
    </row>
    <row r="48">
      <c r="A48" s="23" t="inlineStr">
        <is>
          <t>Runway availability over period</t>
        </is>
      </c>
      <c r="B48" s="27">
        <f>1-(SUMPRODUCT((B24:B31&lt;=$B$6)*D24:D31)*$B$10)/($B$6*365)</f>
        <v/>
      </c>
      <c r="C48" s="27">
        <f>1-(SUMPRODUCT((K24:K26&lt;=$B$6)*M24:M26)*$B$10)/($B$6*365)</f>
        <v/>
      </c>
      <c r="D48" s="27">
        <f>C48-B48</f>
        <v/>
      </c>
      <c r="AK48" t="n">
        <v>35</v>
      </c>
      <c r="AL48">
        <f>IFERROR(IF(AU48&lt;($AM$6-$AL$6)/($AN$6-$AL$6),$AL$6+SQRT(AU48*($AN$6-$AL$6)*($AM$6-$AL$6)),$AN$6-SQRT((1-AU48)*($AN$6-$AL$6)*($AN$6-$AM$6))),$AM$6)</f>
        <v/>
      </c>
      <c r="AM48">
        <f>IFERROR(IF(AV48&lt;($AM$7-$AL$7)/($AN$7-$AL$7),$AL$7+SQRT(AV48*($AN$7-$AL$7)*($AM$7-$AL$7)),$AN$7-SQRT((1-AV48)*($AN$7-$AL$7)*($AN$7-$AM$7))),$AM$7)</f>
        <v/>
      </c>
      <c r="AN48">
        <f>IFERROR(IF(AW48&lt;($AM$8-$AL$8)/($AN$8-$AL$8),$AL$8+SQRT(AW48*($AN$8-$AL$8)*($AM$8-$AL$8)),$AN$8-SQRT((1-AW48)*($AN$8-$AL$8)*($AN$8-$AM$8))),$AM$8)</f>
        <v/>
      </c>
      <c r="AO48">
        <f>IFERROR(IF(AX48&lt;($AM$9-$AL$9)/($AN$9-$AL$9),$AL$9+SQRT(AX48*($AN$9-$AL$9)*($AM$9-$AL$9)),$AN$9-SQRT((1-AX48)*($AN$9-$AL$9)*($AN$9-$AM$9))),$AM$9)</f>
        <v/>
      </c>
      <c r="AP48">
        <f>IFERROR(IF(AY48&lt;($AM$10-$AL$10)/($AN$10-$AL$10),$AL$10+SQRT(AY48*($AN$10-$AL$10)*($AM$10-$AL$10)),$AN$10-SQRT((1-AY48)*($AN$10-$AL$10)*($AN$10-$AM$10))),$AM$10)</f>
        <v/>
      </c>
      <c r="AQ48">
        <f>IFERROR(IF(AZ48&lt;($AM$11-$AL$11)/($AN$11-$AL$11),$AL$11+SQRT(AZ48*($AN$11-$AL$11)*($AM$11-$AL$11)),$AN$11-SQRT((1-AZ48)*($AN$11-$AL$11)*($AN$11-$AM$11))),$AM$11)</f>
        <v/>
      </c>
      <c r="AR48">
        <f>SUMPRODUCT((B24:B31&lt;=$B$6)*(C24:C31*AM48+D24:D31*AO48*$B$8*AQ48)/(1+AL48/100)^B24:B31)+C32*AM48*AP48/(1+AL48/100)^$B$6</f>
        <v/>
      </c>
      <c r="AS48">
        <f>SUMPRODUCT((K24:K26&lt;=$B$6)*(L24:L26*AN48+M24:M26*AO48*$B$8*AQ48)/(1+AL48/100)^K24:K26)+L27*AN48*AP48/(1+AL48/100)^$B$6</f>
        <v/>
      </c>
      <c r="AT48">
        <f>AS48-AR48</f>
        <v/>
      </c>
      <c r="AU48">
        <f>RAND()</f>
        <v/>
      </c>
      <c r="AV48">
        <f>RAND()</f>
        <v/>
      </c>
      <c r="AW48">
        <f>RAND()</f>
        <v/>
      </c>
      <c r="AX48">
        <f>RAND()</f>
        <v/>
      </c>
      <c r="AY48">
        <f>RAND()</f>
        <v/>
      </c>
      <c r="AZ48">
        <f>RAND()</f>
        <v/>
      </c>
    </row>
    <row r="49">
      <c r="A49" s="23" t="inlineStr">
        <is>
          <t>Lost revenue, undiscounted</t>
        </is>
      </c>
      <c r="B49" s="24">
        <f>SUMPRODUCT((B24:B31&lt;=$B$6)*F24:F31)</f>
        <v/>
      </c>
      <c r="C49" s="24">
        <f>SUMPRODUCT((K24:K26&lt;=$B$6)*O24:O26)</f>
        <v/>
      </c>
      <c r="D49" s="24">
        <f>C49-B49</f>
        <v/>
      </c>
      <c r="AK49" t="n">
        <v>36</v>
      </c>
      <c r="AL49">
        <f>IFERROR(IF(AU49&lt;($AM$6-$AL$6)/($AN$6-$AL$6),$AL$6+SQRT(AU49*($AN$6-$AL$6)*($AM$6-$AL$6)),$AN$6-SQRT((1-AU49)*($AN$6-$AL$6)*($AN$6-$AM$6))),$AM$6)</f>
        <v/>
      </c>
      <c r="AM49">
        <f>IFERROR(IF(AV49&lt;($AM$7-$AL$7)/($AN$7-$AL$7),$AL$7+SQRT(AV49*($AN$7-$AL$7)*($AM$7-$AL$7)),$AN$7-SQRT((1-AV49)*($AN$7-$AL$7)*($AN$7-$AM$7))),$AM$7)</f>
        <v/>
      </c>
      <c r="AN49">
        <f>IFERROR(IF(AW49&lt;($AM$8-$AL$8)/($AN$8-$AL$8),$AL$8+SQRT(AW49*($AN$8-$AL$8)*($AM$8-$AL$8)),$AN$8-SQRT((1-AW49)*($AN$8-$AL$8)*($AN$8-$AM$8))),$AM$8)</f>
        <v/>
      </c>
      <c r="AO49">
        <f>IFERROR(IF(AX49&lt;($AM$9-$AL$9)/($AN$9-$AL$9),$AL$9+SQRT(AX49*($AN$9-$AL$9)*($AM$9-$AL$9)),$AN$9-SQRT((1-AX49)*($AN$9-$AL$9)*($AN$9-$AM$9))),$AM$9)</f>
        <v/>
      </c>
      <c r="AP49">
        <f>IFERROR(IF(AY49&lt;($AM$10-$AL$10)/($AN$10-$AL$10),$AL$10+SQRT(AY49*($AN$10-$AL$10)*($AM$10-$AL$10)),$AN$10-SQRT((1-AY49)*($AN$10-$AL$10)*($AN$10-$AM$10))),$AM$10)</f>
        <v/>
      </c>
      <c r="AQ49">
        <f>IFERROR(IF(AZ49&lt;($AM$11-$AL$11)/($AN$11-$AL$11),$AL$11+SQRT(AZ49*($AN$11-$AL$11)*($AM$11-$AL$11)),$AN$11-SQRT((1-AZ49)*($AN$11-$AL$11)*($AN$11-$AM$11))),$AM$11)</f>
        <v/>
      </c>
      <c r="AR49">
        <f>SUMPRODUCT((B24:B31&lt;=$B$6)*(C24:C31*AM49+D24:D31*AO49*$B$8*AQ49)/(1+AL49/100)^B24:B31)+C32*AM49*AP49/(1+AL49/100)^$B$6</f>
        <v/>
      </c>
      <c r="AS49">
        <f>SUMPRODUCT((K24:K26&lt;=$B$6)*(L24:L26*AN49+M24:M26*AO49*$B$8*AQ49)/(1+AL49/100)^K24:K26)+L27*AN49*AP49/(1+AL49/100)^$B$6</f>
        <v/>
      </c>
      <c r="AT49">
        <f>AS49-AR49</f>
        <v/>
      </c>
      <c r="AU49">
        <f>RAND()</f>
        <v/>
      </c>
      <c r="AV49">
        <f>RAND()</f>
        <v/>
      </c>
      <c r="AW49">
        <f>RAND()</f>
        <v/>
      </c>
      <c r="AX49">
        <f>RAND()</f>
        <v/>
      </c>
      <c r="AY49">
        <f>RAND()</f>
        <v/>
      </c>
      <c r="AZ49">
        <f>RAND()</f>
        <v/>
      </c>
    </row>
    <row r="50">
      <c r="A50" s="9" t="inlineStr">
        <is>
          <t>Lower-cost alternative</t>
        </is>
      </c>
      <c r="B50" s="9">
        <f>IF(C44&lt;B44,"PCC","HMA")</f>
        <v/>
      </c>
      <c r="C50" s="14">
        <f>ABS(D44)</f>
        <v/>
      </c>
      <c r="D50" s="28">
        <f>IFERROR(ABS(D44)/MAX(B44,C44),0)</f>
        <v/>
      </c>
      <c r="E50" s="5">
        <f>IF(D50&lt;0.1,"Margin inside estimating noise (&lt;10%): treat as a tie on cost; decide on closures and constructability","Margin outside estimating noise")</f>
        <v/>
      </c>
      <c r="AK50" t="n">
        <v>37</v>
      </c>
      <c r="AL50">
        <f>IFERROR(IF(AU50&lt;($AM$6-$AL$6)/($AN$6-$AL$6),$AL$6+SQRT(AU50*($AN$6-$AL$6)*($AM$6-$AL$6)),$AN$6-SQRT((1-AU50)*($AN$6-$AL$6)*($AN$6-$AM$6))),$AM$6)</f>
        <v/>
      </c>
      <c r="AM50">
        <f>IFERROR(IF(AV50&lt;($AM$7-$AL$7)/($AN$7-$AL$7),$AL$7+SQRT(AV50*($AN$7-$AL$7)*($AM$7-$AL$7)),$AN$7-SQRT((1-AV50)*($AN$7-$AL$7)*($AN$7-$AM$7))),$AM$7)</f>
        <v/>
      </c>
      <c r="AN50">
        <f>IFERROR(IF(AW50&lt;($AM$8-$AL$8)/($AN$8-$AL$8),$AL$8+SQRT(AW50*($AN$8-$AL$8)*($AM$8-$AL$8)),$AN$8-SQRT((1-AW50)*($AN$8-$AL$8)*($AN$8-$AM$8))),$AM$8)</f>
        <v/>
      </c>
      <c r="AO50">
        <f>IFERROR(IF(AX50&lt;($AM$9-$AL$9)/($AN$9-$AL$9),$AL$9+SQRT(AX50*($AN$9-$AL$9)*($AM$9-$AL$9)),$AN$9-SQRT((1-AX50)*($AN$9-$AL$9)*($AN$9-$AM$9))),$AM$9)</f>
        <v/>
      </c>
      <c r="AP50">
        <f>IFERROR(IF(AY50&lt;($AM$10-$AL$10)/($AN$10-$AL$10),$AL$10+SQRT(AY50*($AN$10-$AL$10)*($AM$10-$AL$10)),$AN$10-SQRT((1-AY50)*($AN$10-$AL$10)*($AN$10-$AM$10))),$AM$10)</f>
        <v/>
      </c>
      <c r="AQ50">
        <f>IFERROR(IF(AZ50&lt;($AM$11-$AL$11)/($AN$11-$AL$11),$AL$11+SQRT(AZ50*($AN$11-$AL$11)*($AM$11-$AL$11)),$AN$11-SQRT((1-AZ50)*($AN$11-$AL$11)*($AN$11-$AM$11))),$AM$11)</f>
        <v/>
      </c>
      <c r="AR50">
        <f>SUMPRODUCT((B24:B31&lt;=$B$6)*(C24:C31*AM50+D24:D31*AO50*$B$8*AQ50)/(1+AL50/100)^B24:B31)+C32*AM50*AP50/(1+AL50/100)^$B$6</f>
        <v/>
      </c>
      <c r="AS50">
        <f>SUMPRODUCT((K24:K26&lt;=$B$6)*(L24:L26*AN50+M24:M26*AO50*$B$8*AQ50)/(1+AL50/100)^K24:K26)+L27*AN50*AP50/(1+AL50/100)^$B$6</f>
        <v/>
      </c>
      <c r="AT50">
        <f>AS50-AR50</f>
        <v/>
      </c>
      <c r="AU50">
        <f>RAND()</f>
        <v/>
      </c>
      <c r="AV50">
        <f>RAND()</f>
        <v/>
      </c>
      <c r="AW50">
        <f>RAND()</f>
        <v/>
      </c>
      <c r="AX50">
        <f>RAND()</f>
        <v/>
      </c>
      <c r="AY50">
        <f>RAND()</f>
        <v/>
      </c>
      <c r="AZ50">
        <f>RAND()</f>
        <v/>
      </c>
    </row>
    <row r="51">
      <c r="A51" s="9" t="inlineStr">
        <is>
          <t>Same winner at 7% (FAA AIP)?</t>
        </is>
      </c>
      <c r="B51">
        <f>IF((SUMPRODUCT((K24:K26&lt;=$B$6)*(L24:L26*$B$12+M24:M26*$B$10*$B$8*$B$9)/(1+7/100)^K24:K26)+L27*$B$12*$B$13/(1+7/100)^$B$6)&lt;(SUMPRODUCT((B24:B31&lt;=$B$6)*(C24:C31*$B$11+D24:D31*$B$10*$B$8*$B$9)/(1+7/100)^B24:B31)+C32*$B$11*$B$13/(1+7/100)^$B$6),"PCC","HMA")</f>
        <v/>
      </c>
      <c r="C51" s="9">
        <f>IF(B51=B50,"Yes","No - decision depends on the discount rate")</f>
        <v/>
      </c>
      <c r="AK51" t="n">
        <v>38</v>
      </c>
      <c r="AL51">
        <f>IFERROR(IF(AU51&lt;($AM$6-$AL$6)/($AN$6-$AL$6),$AL$6+SQRT(AU51*($AN$6-$AL$6)*($AM$6-$AL$6)),$AN$6-SQRT((1-AU51)*($AN$6-$AL$6)*($AN$6-$AM$6))),$AM$6)</f>
        <v/>
      </c>
      <c r="AM51">
        <f>IFERROR(IF(AV51&lt;($AM$7-$AL$7)/($AN$7-$AL$7),$AL$7+SQRT(AV51*($AN$7-$AL$7)*($AM$7-$AL$7)),$AN$7-SQRT((1-AV51)*($AN$7-$AL$7)*($AN$7-$AM$7))),$AM$7)</f>
        <v/>
      </c>
      <c r="AN51">
        <f>IFERROR(IF(AW51&lt;($AM$8-$AL$8)/($AN$8-$AL$8),$AL$8+SQRT(AW51*($AN$8-$AL$8)*($AM$8-$AL$8)),$AN$8-SQRT((1-AW51)*($AN$8-$AL$8)*($AN$8-$AM$8))),$AM$8)</f>
        <v/>
      </c>
      <c r="AO51">
        <f>IFERROR(IF(AX51&lt;($AM$9-$AL$9)/($AN$9-$AL$9),$AL$9+SQRT(AX51*($AN$9-$AL$9)*($AM$9-$AL$9)),$AN$9-SQRT((1-AX51)*($AN$9-$AL$9)*($AN$9-$AM$9))),$AM$9)</f>
        <v/>
      </c>
      <c r="AP51">
        <f>IFERROR(IF(AY51&lt;($AM$10-$AL$10)/($AN$10-$AL$10),$AL$10+SQRT(AY51*($AN$10-$AL$10)*($AM$10-$AL$10)),$AN$10-SQRT((1-AY51)*($AN$10-$AL$10)*($AN$10-$AM$10))),$AM$10)</f>
        <v/>
      </c>
      <c r="AQ51">
        <f>IFERROR(IF(AZ51&lt;($AM$11-$AL$11)/($AN$11-$AL$11),$AL$11+SQRT(AZ51*($AN$11-$AL$11)*($AM$11-$AL$11)),$AN$11-SQRT((1-AZ51)*($AN$11-$AL$11)*($AN$11-$AM$11))),$AM$11)</f>
        <v/>
      </c>
      <c r="AR51">
        <f>SUMPRODUCT((B24:B31&lt;=$B$6)*(C24:C31*AM51+D24:D31*AO51*$B$8*AQ51)/(1+AL51/100)^B24:B31)+C32*AM51*AP51/(1+AL51/100)^$B$6</f>
        <v/>
      </c>
      <c r="AS51">
        <f>SUMPRODUCT((K24:K26&lt;=$B$6)*(L24:L26*AN51+M24:M26*AO51*$B$8*AQ51)/(1+AL51/100)^K24:K26)+L27*AN51*AP51/(1+AL51/100)^$B$6</f>
        <v/>
      </c>
      <c r="AT51">
        <f>AS51-AR51</f>
        <v/>
      </c>
      <c r="AU51">
        <f>RAND()</f>
        <v/>
      </c>
      <c r="AV51">
        <f>RAND()</f>
        <v/>
      </c>
      <c r="AW51">
        <f>RAND()</f>
        <v/>
      </c>
      <c r="AX51">
        <f>RAND()</f>
        <v/>
      </c>
      <c r="AY51">
        <f>RAND()</f>
        <v/>
      </c>
      <c r="AZ51">
        <f>RAND()</f>
        <v/>
      </c>
    </row>
    <row r="52">
      <c r="A52" s="9" t="inlineStr">
        <is>
          <t>Probability PCC is lower (live simulation, F9 redraws)</t>
        </is>
      </c>
      <c r="B52" s="29">
        <f>BC7</f>
        <v/>
      </c>
      <c r="C52" s="5">
        <f>"P10 "&amp;TEXT(BC9,"$#,##0,,")&amp;"M   P90 "&amp;TEXT(BC11,"$#,##0,,")&amp;"M   (PCC - HMA)"</f>
        <v/>
      </c>
      <c r="AK52" t="n">
        <v>39</v>
      </c>
      <c r="AL52">
        <f>IFERROR(IF(AU52&lt;($AM$6-$AL$6)/($AN$6-$AL$6),$AL$6+SQRT(AU52*($AN$6-$AL$6)*($AM$6-$AL$6)),$AN$6-SQRT((1-AU52)*($AN$6-$AL$6)*($AN$6-$AM$6))),$AM$6)</f>
        <v/>
      </c>
      <c r="AM52">
        <f>IFERROR(IF(AV52&lt;($AM$7-$AL$7)/($AN$7-$AL$7),$AL$7+SQRT(AV52*($AN$7-$AL$7)*($AM$7-$AL$7)),$AN$7-SQRT((1-AV52)*($AN$7-$AL$7)*($AN$7-$AM$7))),$AM$7)</f>
        <v/>
      </c>
      <c r="AN52">
        <f>IFERROR(IF(AW52&lt;($AM$8-$AL$8)/($AN$8-$AL$8),$AL$8+SQRT(AW52*($AN$8-$AL$8)*($AM$8-$AL$8)),$AN$8-SQRT((1-AW52)*($AN$8-$AL$8)*($AN$8-$AM$8))),$AM$8)</f>
        <v/>
      </c>
      <c r="AO52">
        <f>IFERROR(IF(AX52&lt;($AM$9-$AL$9)/($AN$9-$AL$9),$AL$9+SQRT(AX52*($AN$9-$AL$9)*($AM$9-$AL$9)),$AN$9-SQRT((1-AX52)*($AN$9-$AL$9)*($AN$9-$AM$9))),$AM$9)</f>
        <v/>
      </c>
      <c r="AP52">
        <f>IFERROR(IF(AY52&lt;($AM$10-$AL$10)/($AN$10-$AL$10),$AL$10+SQRT(AY52*($AN$10-$AL$10)*($AM$10-$AL$10)),$AN$10-SQRT((1-AY52)*($AN$10-$AL$10)*($AN$10-$AM$10))),$AM$10)</f>
        <v/>
      </c>
      <c r="AQ52">
        <f>IFERROR(IF(AZ52&lt;($AM$11-$AL$11)/($AN$11-$AL$11),$AL$11+SQRT(AZ52*($AN$11-$AL$11)*($AM$11-$AL$11)),$AN$11-SQRT((1-AZ52)*($AN$11-$AL$11)*($AN$11-$AM$11))),$AM$11)</f>
        <v/>
      </c>
      <c r="AR52">
        <f>SUMPRODUCT((B24:B31&lt;=$B$6)*(C24:C31*AM52+D24:D31*AO52*$B$8*AQ52)/(1+AL52/100)^B24:B31)+C32*AM52*AP52/(1+AL52/100)^$B$6</f>
        <v/>
      </c>
      <c r="AS52">
        <f>SUMPRODUCT((K24:K26&lt;=$B$6)*(L24:L26*AN52+M24:M26*AO52*$B$8*AQ52)/(1+AL52/100)^K24:K26)+L27*AN52*AP52/(1+AL52/100)^$B$6</f>
        <v/>
      </c>
      <c r="AT52">
        <f>AS52-AR52</f>
        <v/>
      </c>
      <c r="AU52">
        <f>RAND()</f>
        <v/>
      </c>
      <c r="AV52">
        <f>RAND()</f>
        <v/>
      </c>
      <c r="AW52">
        <f>RAND()</f>
        <v/>
      </c>
      <c r="AX52">
        <f>RAND()</f>
        <v/>
      </c>
      <c r="AY52">
        <f>RAND()</f>
        <v/>
      </c>
      <c r="AZ52">
        <f>RAND()</f>
        <v/>
      </c>
    </row>
    <row r="53">
      <c r="AK53" t="n">
        <v>40</v>
      </c>
      <c r="AL53">
        <f>IFERROR(IF(AU53&lt;($AM$6-$AL$6)/($AN$6-$AL$6),$AL$6+SQRT(AU53*($AN$6-$AL$6)*($AM$6-$AL$6)),$AN$6-SQRT((1-AU53)*($AN$6-$AL$6)*($AN$6-$AM$6))),$AM$6)</f>
        <v/>
      </c>
      <c r="AM53">
        <f>IFERROR(IF(AV53&lt;($AM$7-$AL$7)/($AN$7-$AL$7),$AL$7+SQRT(AV53*($AN$7-$AL$7)*($AM$7-$AL$7)),$AN$7-SQRT((1-AV53)*($AN$7-$AL$7)*($AN$7-$AM$7))),$AM$7)</f>
        <v/>
      </c>
      <c r="AN53">
        <f>IFERROR(IF(AW53&lt;($AM$8-$AL$8)/($AN$8-$AL$8),$AL$8+SQRT(AW53*($AN$8-$AL$8)*($AM$8-$AL$8)),$AN$8-SQRT((1-AW53)*($AN$8-$AL$8)*($AN$8-$AM$8))),$AM$8)</f>
        <v/>
      </c>
      <c r="AO53">
        <f>IFERROR(IF(AX53&lt;($AM$9-$AL$9)/($AN$9-$AL$9),$AL$9+SQRT(AX53*($AN$9-$AL$9)*($AM$9-$AL$9)),$AN$9-SQRT((1-AX53)*($AN$9-$AL$9)*($AN$9-$AM$9))),$AM$9)</f>
        <v/>
      </c>
      <c r="AP53">
        <f>IFERROR(IF(AY53&lt;($AM$10-$AL$10)/($AN$10-$AL$10),$AL$10+SQRT(AY53*($AN$10-$AL$10)*($AM$10-$AL$10)),$AN$10-SQRT((1-AY53)*($AN$10-$AL$10)*($AN$10-$AM$10))),$AM$10)</f>
        <v/>
      </c>
      <c r="AQ53">
        <f>IFERROR(IF(AZ53&lt;($AM$11-$AL$11)/($AN$11-$AL$11),$AL$11+SQRT(AZ53*($AN$11-$AL$11)*($AM$11-$AL$11)),$AN$11-SQRT((1-AZ53)*($AN$11-$AL$11)*($AN$11-$AM$11))),$AM$11)</f>
        <v/>
      </c>
      <c r="AR53">
        <f>SUMPRODUCT((B24:B31&lt;=$B$6)*(C24:C31*AM53+D24:D31*AO53*$B$8*AQ53)/(1+AL53/100)^B24:B31)+C32*AM53*AP53/(1+AL53/100)^$B$6</f>
        <v/>
      </c>
      <c r="AS53">
        <f>SUMPRODUCT((K24:K26&lt;=$B$6)*(L24:L26*AN53+M24:M26*AO53*$B$8*AQ53)/(1+AL53/100)^K24:K26)+L27*AN53*AP53/(1+AL53/100)^$B$6</f>
        <v/>
      </c>
      <c r="AT53">
        <f>AS53-AR53</f>
        <v/>
      </c>
      <c r="AU53">
        <f>RAND()</f>
        <v/>
      </c>
      <c r="AV53">
        <f>RAND()</f>
        <v/>
      </c>
      <c r="AW53">
        <f>RAND()</f>
        <v/>
      </c>
      <c r="AX53">
        <f>RAND()</f>
        <v/>
      </c>
      <c r="AY53">
        <f>RAND()</f>
        <v/>
      </c>
      <c r="AZ53">
        <f>RAND()</f>
        <v/>
      </c>
    </row>
    <row r="54">
      <c r="A54" s="4" t="inlineStr">
        <is>
          <t>BREAK-EVEN VALUES (where PCC and HMA present worth are equal)</t>
        </is>
      </c>
      <c r="AK54" t="n">
        <v>41</v>
      </c>
      <c r="AL54">
        <f>IFERROR(IF(AU54&lt;($AM$6-$AL$6)/($AN$6-$AL$6),$AL$6+SQRT(AU54*($AN$6-$AL$6)*($AM$6-$AL$6)),$AN$6-SQRT((1-AU54)*($AN$6-$AL$6)*($AN$6-$AM$6))),$AM$6)</f>
        <v/>
      </c>
      <c r="AM54">
        <f>IFERROR(IF(AV54&lt;($AM$7-$AL$7)/($AN$7-$AL$7),$AL$7+SQRT(AV54*($AN$7-$AL$7)*($AM$7-$AL$7)),$AN$7-SQRT((1-AV54)*($AN$7-$AL$7)*($AN$7-$AM$7))),$AM$7)</f>
        <v/>
      </c>
      <c r="AN54">
        <f>IFERROR(IF(AW54&lt;($AM$8-$AL$8)/($AN$8-$AL$8),$AL$8+SQRT(AW54*($AN$8-$AL$8)*($AM$8-$AL$8)),$AN$8-SQRT((1-AW54)*($AN$8-$AL$8)*($AN$8-$AM$8))),$AM$8)</f>
        <v/>
      </c>
      <c r="AO54">
        <f>IFERROR(IF(AX54&lt;($AM$9-$AL$9)/($AN$9-$AL$9),$AL$9+SQRT(AX54*($AN$9-$AL$9)*($AM$9-$AL$9)),$AN$9-SQRT((1-AX54)*($AN$9-$AL$9)*($AN$9-$AM$9))),$AM$9)</f>
        <v/>
      </c>
      <c r="AP54">
        <f>IFERROR(IF(AY54&lt;($AM$10-$AL$10)/($AN$10-$AL$10),$AL$10+SQRT(AY54*($AN$10-$AL$10)*($AM$10-$AL$10)),$AN$10-SQRT((1-AY54)*($AN$10-$AL$10)*($AN$10-$AM$10))),$AM$10)</f>
        <v/>
      </c>
      <c r="AQ54">
        <f>IFERROR(IF(AZ54&lt;($AM$11-$AL$11)/($AN$11-$AL$11),$AL$11+SQRT(AZ54*($AN$11-$AL$11)*($AM$11-$AL$11)),$AN$11-SQRT((1-AZ54)*($AN$11-$AL$11)*($AN$11-$AM$11))),$AM$11)</f>
        <v/>
      </c>
      <c r="AR54">
        <f>SUMPRODUCT((B24:B31&lt;=$B$6)*(C24:C31*AM54+D24:D31*AO54*$B$8*AQ54)/(1+AL54/100)^B24:B31)+C32*AM54*AP54/(1+AL54/100)^$B$6</f>
        <v/>
      </c>
      <c r="AS54">
        <f>SUMPRODUCT((K24:K26&lt;=$B$6)*(L24:L26*AN54+M24:M26*AO54*$B$8*AQ54)/(1+AL54/100)^K24:K26)+L27*AN54*AP54/(1+AL54/100)^$B$6</f>
        <v/>
      </c>
      <c r="AT54">
        <f>AS54-AR54</f>
        <v/>
      </c>
      <c r="AU54">
        <f>RAND()</f>
        <v/>
      </c>
      <c r="AV54">
        <f>RAND()</f>
        <v/>
      </c>
      <c r="AW54">
        <f>RAND()</f>
        <v/>
      </c>
      <c r="AX54">
        <f>RAND()</f>
        <v/>
      </c>
      <c r="AY54">
        <f>RAND()</f>
        <v/>
      </c>
      <c r="AZ54">
        <f>RAND()</f>
        <v/>
      </c>
    </row>
    <row r="55">
      <c r="A55" s="6" t="inlineStr">
        <is>
          <t>Input</t>
        </is>
      </c>
      <c r="B55" s="6" t="inlineStr">
        <is>
          <t>Break-even value</t>
        </is>
      </c>
      <c r="C55" s="6" t="inlineStr">
        <is>
          <t>Current value</t>
        </is>
      </c>
      <c r="D55" s="6" t="inlineStr">
        <is>
          <t>Reading</t>
        </is>
      </c>
      <c r="AK55" t="n">
        <v>42</v>
      </c>
      <c r="AL55">
        <f>IFERROR(IF(AU55&lt;($AM$6-$AL$6)/($AN$6-$AL$6),$AL$6+SQRT(AU55*($AN$6-$AL$6)*($AM$6-$AL$6)),$AN$6-SQRT((1-AU55)*($AN$6-$AL$6)*($AN$6-$AM$6))),$AM$6)</f>
        <v/>
      </c>
      <c r="AM55">
        <f>IFERROR(IF(AV55&lt;($AM$7-$AL$7)/($AN$7-$AL$7),$AL$7+SQRT(AV55*($AN$7-$AL$7)*($AM$7-$AL$7)),$AN$7-SQRT((1-AV55)*($AN$7-$AL$7)*($AN$7-$AM$7))),$AM$7)</f>
        <v/>
      </c>
      <c r="AN55">
        <f>IFERROR(IF(AW55&lt;($AM$8-$AL$8)/($AN$8-$AL$8),$AL$8+SQRT(AW55*($AN$8-$AL$8)*($AM$8-$AL$8)),$AN$8-SQRT((1-AW55)*($AN$8-$AL$8)*($AN$8-$AM$8))),$AM$8)</f>
        <v/>
      </c>
      <c r="AO55">
        <f>IFERROR(IF(AX55&lt;($AM$9-$AL$9)/($AN$9-$AL$9),$AL$9+SQRT(AX55*($AN$9-$AL$9)*($AM$9-$AL$9)),$AN$9-SQRT((1-AX55)*($AN$9-$AL$9)*($AN$9-$AM$9))),$AM$9)</f>
        <v/>
      </c>
      <c r="AP55">
        <f>IFERROR(IF(AY55&lt;($AM$10-$AL$10)/($AN$10-$AL$10),$AL$10+SQRT(AY55*($AN$10-$AL$10)*($AM$10-$AL$10)),$AN$10-SQRT((1-AY55)*($AN$10-$AL$10)*($AN$10-$AM$10))),$AM$10)</f>
        <v/>
      </c>
      <c r="AQ55">
        <f>IFERROR(IF(AZ55&lt;($AM$11-$AL$11)/($AN$11-$AL$11),$AL$11+SQRT(AZ55*($AN$11-$AL$11)*($AM$11-$AL$11)),$AN$11-SQRT((1-AZ55)*($AN$11-$AL$11)*($AN$11-$AM$11))),$AM$11)</f>
        <v/>
      </c>
      <c r="AR55">
        <f>SUMPRODUCT((B24:B31&lt;=$B$6)*(C24:C31*AM55+D24:D31*AO55*$B$8*AQ55)/(1+AL55/100)^B24:B31)+C32*AM55*AP55/(1+AL55/100)^$B$6</f>
        <v/>
      </c>
      <c r="AS55">
        <f>SUMPRODUCT((K24:K26&lt;=$B$6)*(L24:L26*AN55+M24:M26*AO55*$B$8*AQ55)/(1+AL55/100)^K24:K26)+L27*AN55*AP55/(1+AL55/100)^$B$6</f>
        <v/>
      </c>
      <c r="AT55">
        <f>AS55-AR55</f>
        <v/>
      </c>
      <c r="AU55">
        <f>RAND()</f>
        <v/>
      </c>
      <c r="AV55">
        <f>RAND()</f>
        <v/>
      </c>
      <c r="AW55">
        <f>RAND()</f>
        <v/>
      </c>
      <c r="AX55">
        <f>RAND()</f>
        <v/>
      </c>
      <c r="AY55">
        <f>RAND()</f>
        <v/>
      </c>
      <c r="AZ55">
        <f>RAND()</f>
        <v/>
      </c>
    </row>
    <row r="56">
      <c r="A56" s="23" t="inlineStr">
        <is>
          <t>Airport daily revenue ($/day)</t>
        </is>
      </c>
      <c r="B56" s="30">
        <f>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
      </c>
      <c r="C56" s="30">
        <f>$B$8</f>
        <v/>
      </c>
      <c r="D56" s="5" t="inlineStr">
        <is>
          <t>Daily revenue at which lost-revenue exposure alone flips the decision</t>
        </is>
      </c>
      <c r="AK56" t="n">
        <v>43</v>
      </c>
      <c r="AL56">
        <f>IFERROR(IF(AU56&lt;($AM$6-$AL$6)/($AN$6-$AL$6),$AL$6+SQRT(AU56*($AN$6-$AL$6)*($AM$6-$AL$6)),$AN$6-SQRT((1-AU56)*($AN$6-$AL$6)*($AN$6-$AM$6))),$AM$6)</f>
        <v/>
      </c>
      <c r="AM56">
        <f>IFERROR(IF(AV56&lt;($AM$7-$AL$7)/($AN$7-$AL$7),$AL$7+SQRT(AV56*($AN$7-$AL$7)*($AM$7-$AL$7)),$AN$7-SQRT((1-AV56)*($AN$7-$AL$7)*($AN$7-$AM$7))),$AM$7)</f>
        <v/>
      </c>
      <c r="AN56">
        <f>IFERROR(IF(AW56&lt;($AM$8-$AL$8)/($AN$8-$AL$8),$AL$8+SQRT(AW56*($AN$8-$AL$8)*($AM$8-$AL$8)),$AN$8-SQRT((1-AW56)*($AN$8-$AL$8)*($AN$8-$AM$8))),$AM$8)</f>
        <v/>
      </c>
      <c r="AO56">
        <f>IFERROR(IF(AX56&lt;($AM$9-$AL$9)/($AN$9-$AL$9),$AL$9+SQRT(AX56*($AN$9-$AL$9)*($AM$9-$AL$9)),$AN$9-SQRT((1-AX56)*($AN$9-$AL$9)*($AN$9-$AM$9))),$AM$9)</f>
        <v/>
      </c>
      <c r="AP56">
        <f>IFERROR(IF(AY56&lt;($AM$10-$AL$10)/($AN$10-$AL$10),$AL$10+SQRT(AY56*($AN$10-$AL$10)*($AM$10-$AL$10)),$AN$10-SQRT((1-AY56)*($AN$10-$AL$10)*($AN$10-$AM$10))),$AM$10)</f>
        <v/>
      </c>
      <c r="AQ56">
        <f>IFERROR(IF(AZ56&lt;($AM$11-$AL$11)/($AN$11-$AL$11),$AL$11+SQRT(AZ56*($AN$11-$AL$11)*($AM$11-$AL$11)),$AN$11-SQRT((1-AZ56)*($AN$11-$AL$11)*($AN$11-$AM$11))),$AM$11)</f>
        <v/>
      </c>
      <c r="AR56">
        <f>SUMPRODUCT((B24:B31&lt;=$B$6)*(C24:C31*AM56+D24:D31*AO56*$B$8*AQ56)/(1+AL56/100)^B24:B31)+C32*AM56*AP56/(1+AL56/100)^$B$6</f>
        <v/>
      </c>
      <c r="AS56">
        <f>SUMPRODUCT((K24:K26&lt;=$B$6)*(L24:L26*AN56+M24:M26*AO56*$B$8*AQ56)/(1+AL56/100)^K24:K26)+L27*AN56*AP56/(1+AL56/100)^$B$6</f>
        <v/>
      </c>
      <c r="AT56">
        <f>AS56-AR56</f>
        <v/>
      </c>
      <c r="AU56">
        <f>RAND()</f>
        <v/>
      </c>
      <c r="AV56">
        <f>RAND()</f>
        <v/>
      </c>
      <c r="AW56">
        <f>RAND()</f>
        <v/>
      </c>
      <c r="AX56">
        <f>RAND()</f>
        <v/>
      </c>
      <c r="AY56">
        <f>RAND()</f>
        <v/>
      </c>
      <c r="AZ56">
        <f>RAND()</f>
        <v/>
      </c>
    </row>
    <row r="57">
      <c r="A57" s="23" t="inlineStr">
        <is>
          <t>PCC cost multiplier</t>
        </is>
      </c>
      <c r="B57" s="31">
        <f>IFERROR((G33-SUMPRODUCT((K24:K26&lt;=$B$6)*O24:O26/(1+$B$5/100)^K24:K26))/(((SUMPRODUCT((K24:K26&lt;=$B$6)*N24:N26/(1+$B$5/100)^K24:K26)+P27))/$B$12),"n/a")</f>
        <v/>
      </c>
      <c r="C57" s="31">
        <f>$B$12</f>
        <v/>
      </c>
      <c r="D57" s="5" t="inlineStr">
        <is>
          <t>PCC bid level (x base estimate) at which the two tie</t>
        </is>
      </c>
      <c r="AK57" t="n">
        <v>44</v>
      </c>
      <c r="AL57">
        <f>IFERROR(IF(AU57&lt;($AM$6-$AL$6)/($AN$6-$AL$6),$AL$6+SQRT(AU57*($AN$6-$AL$6)*($AM$6-$AL$6)),$AN$6-SQRT((1-AU57)*($AN$6-$AL$6)*($AN$6-$AM$6))),$AM$6)</f>
        <v/>
      </c>
      <c r="AM57">
        <f>IFERROR(IF(AV57&lt;($AM$7-$AL$7)/($AN$7-$AL$7),$AL$7+SQRT(AV57*($AN$7-$AL$7)*($AM$7-$AL$7)),$AN$7-SQRT((1-AV57)*($AN$7-$AL$7)*($AN$7-$AM$7))),$AM$7)</f>
        <v/>
      </c>
      <c r="AN57">
        <f>IFERROR(IF(AW57&lt;($AM$8-$AL$8)/($AN$8-$AL$8),$AL$8+SQRT(AW57*($AN$8-$AL$8)*($AM$8-$AL$8)),$AN$8-SQRT((1-AW57)*($AN$8-$AL$8)*($AN$8-$AM$8))),$AM$8)</f>
        <v/>
      </c>
      <c r="AO57">
        <f>IFERROR(IF(AX57&lt;($AM$9-$AL$9)/($AN$9-$AL$9),$AL$9+SQRT(AX57*($AN$9-$AL$9)*($AM$9-$AL$9)),$AN$9-SQRT((1-AX57)*($AN$9-$AL$9)*($AN$9-$AM$9))),$AM$9)</f>
        <v/>
      </c>
      <c r="AP57">
        <f>IFERROR(IF(AY57&lt;($AM$10-$AL$10)/($AN$10-$AL$10),$AL$10+SQRT(AY57*($AN$10-$AL$10)*($AM$10-$AL$10)),$AN$10-SQRT((1-AY57)*($AN$10-$AL$10)*($AN$10-$AM$10))),$AM$10)</f>
        <v/>
      </c>
      <c r="AQ57">
        <f>IFERROR(IF(AZ57&lt;($AM$11-$AL$11)/($AN$11-$AL$11),$AL$11+SQRT(AZ57*($AN$11-$AL$11)*($AM$11-$AL$11)),$AN$11-SQRT((1-AZ57)*($AN$11-$AL$11)*($AN$11-$AM$11))),$AM$11)</f>
        <v/>
      </c>
      <c r="AR57">
        <f>SUMPRODUCT((B24:B31&lt;=$B$6)*(C24:C31*AM57+D24:D31*AO57*$B$8*AQ57)/(1+AL57/100)^B24:B31)+C32*AM57*AP57/(1+AL57/100)^$B$6</f>
        <v/>
      </c>
      <c r="AS57">
        <f>SUMPRODUCT((K24:K26&lt;=$B$6)*(L24:L26*AN57+M24:M26*AO57*$B$8*AQ57)/(1+AL57/100)^K24:K26)+L27*AN57*AP57/(1+AL57/100)^$B$6</f>
        <v/>
      </c>
      <c r="AT57">
        <f>AS57-AR57</f>
        <v/>
      </c>
      <c r="AU57">
        <f>RAND()</f>
        <v/>
      </c>
      <c r="AV57">
        <f>RAND()</f>
        <v/>
      </c>
      <c r="AW57">
        <f>RAND()</f>
        <v/>
      </c>
      <c r="AX57">
        <f>RAND()</f>
        <v/>
      </c>
      <c r="AY57">
        <f>RAND()</f>
        <v/>
      </c>
      <c r="AZ57">
        <f>RAND()</f>
        <v/>
      </c>
    </row>
    <row r="58">
      <c r="A58" s="23" t="inlineStr">
        <is>
          <t>HMA cost multiplier</t>
        </is>
      </c>
      <c r="B58" s="31">
        <f>IFERROR((P28-SUMPRODUCT((B24:B31&lt;=$B$6)*F24:F31/(1+$B$5/100)^B24:B31))/(((SUMPRODUCT((B24:B31&lt;=$B$6)*E24:E31/(1+$B$5/100)^B24:B31)+G32))/$B$11),"n/a")</f>
        <v/>
      </c>
      <c r="C58" s="31">
        <f>$B$11</f>
        <v/>
      </c>
      <c r="D58" s="5" t="inlineStr">
        <is>
          <t>HMA bid level (x base estimate) at which the two tie</t>
        </is>
      </c>
      <c r="AK58" t="n">
        <v>45</v>
      </c>
      <c r="AL58">
        <f>IFERROR(IF(AU58&lt;($AM$6-$AL$6)/($AN$6-$AL$6),$AL$6+SQRT(AU58*($AN$6-$AL$6)*($AM$6-$AL$6)),$AN$6-SQRT((1-AU58)*($AN$6-$AL$6)*($AN$6-$AM$6))),$AM$6)</f>
        <v/>
      </c>
      <c r="AM58">
        <f>IFERROR(IF(AV58&lt;($AM$7-$AL$7)/($AN$7-$AL$7),$AL$7+SQRT(AV58*($AN$7-$AL$7)*($AM$7-$AL$7)),$AN$7-SQRT((1-AV58)*($AN$7-$AL$7)*($AN$7-$AM$7))),$AM$7)</f>
        <v/>
      </c>
      <c r="AN58">
        <f>IFERROR(IF(AW58&lt;($AM$8-$AL$8)/($AN$8-$AL$8),$AL$8+SQRT(AW58*($AN$8-$AL$8)*($AM$8-$AL$8)),$AN$8-SQRT((1-AW58)*($AN$8-$AL$8)*($AN$8-$AM$8))),$AM$8)</f>
        <v/>
      </c>
      <c r="AO58">
        <f>IFERROR(IF(AX58&lt;($AM$9-$AL$9)/($AN$9-$AL$9),$AL$9+SQRT(AX58*($AN$9-$AL$9)*($AM$9-$AL$9)),$AN$9-SQRT((1-AX58)*($AN$9-$AL$9)*($AN$9-$AM$9))),$AM$9)</f>
        <v/>
      </c>
      <c r="AP58">
        <f>IFERROR(IF(AY58&lt;($AM$10-$AL$10)/($AN$10-$AL$10),$AL$10+SQRT(AY58*($AN$10-$AL$10)*($AM$10-$AL$10)),$AN$10-SQRT((1-AY58)*($AN$10-$AL$10)*($AN$10-$AM$10))),$AM$10)</f>
        <v/>
      </c>
      <c r="AQ58">
        <f>IFERROR(IF(AZ58&lt;($AM$11-$AL$11)/($AN$11-$AL$11),$AL$11+SQRT(AZ58*($AN$11-$AL$11)*($AM$11-$AL$11)),$AN$11-SQRT((1-AZ58)*($AN$11-$AL$11)*($AN$11-$AM$11))),$AM$11)</f>
        <v/>
      </c>
      <c r="AR58">
        <f>SUMPRODUCT((B24:B31&lt;=$B$6)*(C24:C31*AM58+D24:D31*AO58*$B$8*AQ58)/(1+AL58/100)^B24:B31)+C32*AM58*AP58/(1+AL58/100)^$B$6</f>
        <v/>
      </c>
      <c r="AS58">
        <f>SUMPRODUCT((K24:K26&lt;=$B$6)*(L24:L26*AN58+M24:M26*AO58*$B$8*AQ58)/(1+AL58/100)^K24:K26)+L27*AN58*AP58/(1+AL58/100)^$B$6</f>
        <v/>
      </c>
      <c r="AT58">
        <f>AS58-AR58</f>
        <v/>
      </c>
      <c r="AU58">
        <f>RAND()</f>
        <v/>
      </c>
      <c r="AV58">
        <f>RAND()</f>
        <v/>
      </c>
      <c r="AW58">
        <f>RAND()</f>
        <v/>
      </c>
      <c r="AX58">
        <f>RAND()</f>
        <v/>
      </c>
      <c r="AY58">
        <f>RAND()</f>
        <v/>
      </c>
      <c r="AZ58">
        <f>RAND()</f>
        <v/>
      </c>
    </row>
    <row r="59">
      <c r="A59" s="23" t="inlineStr">
        <is>
          <t>PCC salvage credit (% of initial)</t>
        </is>
      </c>
      <c r="B59" s="32">
        <f>IFERROR((P28-P27-G33)/(N24/(1+$B$5/100)^$B$6),"n/a")</f>
        <v/>
      </c>
      <c r="C59" s="32">
        <f>IFERROR(-L27*$B$13/L24,0)</f>
        <v/>
      </c>
      <c r="D59" s="5" t="inlineStr">
        <is>
          <t>Salvage fraction PCC needs to tie; compare with the 25% policy</t>
        </is>
      </c>
      <c r="AK59" t="n">
        <v>46</v>
      </c>
      <c r="AL59">
        <f>IFERROR(IF(AU59&lt;($AM$6-$AL$6)/($AN$6-$AL$6),$AL$6+SQRT(AU59*($AN$6-$AL$6)*($AM$6-$AL$6)),$AN$6-SQRT((1-AU59)*($AN$6-$AL$6)*($AN$6-$AM$6))),$AM$6)</f>
        <v/>
      </c>
      <c r="AM59">
        <f>IFERROR(IF(AV59&lt;($AM$7-$AL$7)/($AN$7-$AL$7),$AL$7+SQRT(AV59*($AN$7-$AL$7)*($AM$7-$AL$7)),$AN$7-SQRT((1-AV59)*($AN$7-$AL$7)*($AN$7-$AM$7))),$AM$7)</f>
        <v/>
      </c>
      <c r="AN59">
        <f>IFERROR(IF(AW59&lt;($AM$8-$AL$8)/($AN$8-$AL$8),$AL$8+SQRT(AW59*($AN$8-$AL$8)*($AM$8-$AL$8)),$AN$8-SQRT((1-AW59)*($AN$8-$AL$8)*($AN$8-$AM$8))),$AM$8)</f>
        <v/>
      </c>
      <c r="AO59">
        <f>IFERROR(IF(AX59&lt;($AM$9-$AL$9)/($AN$9-$AL$9),$AL$9+SQRT(AX59*($AN$9-$AL$9)*($AM$9-$AL$9)),$AN$9-SQRT((1-AX59)*($AN$9-$AL$9)*($AN$9-$AM$9))),$AM$9)</f>
        <v/>
      </c>
      <c r="AP59">
        <f>IFERROR(IF(AY59&lt;($AM$10-$AL$10)/($AN$10-$AL$10),$AL$10+SQRT(AY59*($AN$10-$AL$10)*($AM$10-$AL$10)),$AN$10-SQRT((1-AY59)*($AN$10-$AL$10)*($AN$10-$AM$10))),$AM$10)</f>
        <v/>
      </c>
      <c r="AQ59">
        <f>IFERROR(IF(AZ59&lt;($AM$11-$AL$11)/($AN$11-$AL$11),$AL$11+SQRT(AZ59*($AN$11-$AL$11)*($AM$11-$AL$11)),$AN$11-SQRT((1-AZ59)*($AN$11-$AL$11)*($AN$11-$AM$11))),$AM$11)</f>
        <v/>
      </c>
      <c r="AR59">
        <f>SUMPRODUCT((B24:B31&lt;=$B$6)*(C24:C31*AM59+D24:D31*AO59*$B$8*AQ59)/(1+AL59/100)^B24:B31)+C32*AM59*AP59/(1+AL59/100)^$B$6</f>
        <v/>
      </c>
      <c r="AS59">
        <f>SUMPRODUCT((K24:K26&lt;=$B$6)*(L24:L26*AN59+M24:M26*AO59*$B$8*AQ59)/(1+AL59/100)^K24:K26)+L27*AN59*AP59/(1+AL59/100)^$B$6</f>
        <v/>
      </c>
      <c r="AT59">
        <f>AS59-AR59</f>
        <v/>
      </c>
      <c r="AU59">
        <f>RAND()</f>
        <v/>
      </c>
      <c r="AV59">
        <f>RAND()</f>
        <v/>
      </c>
      <c r="AW59">
        <f>RAND()</f>
        <v/>
      </c>
      <c r="AX59">
        <f>RAND()</f>
        <v/>
      </c>
      <c r="AY59">
        <f>RAND()</f>
        <v/>
      </c>
      <c r="AZ59">
        <f>RAND()</f>
        <v/>
      </c>
    </row>
    <row r="60">
      <c r="A60" s="7" t="inlineStr">
        <is>
          <t>Discount rate (%)</t>
        </is>
      </c>
      <c r="B60" s="33">
        <f>IFERROR(INDEX($A$65:$A$89,MATCH(TRUE,INDEX($E$65:$E$89&lt;&gt;$E$65,0),0)),"none in 2-8%")</f>
        <v/>
      </c>
      <c r="C60" s="33">
        <f>$B$5</f>
        <v/>
      </c>
      <c r="D60" s="5" t="inlineStr">
        <is>
          <t>First rate in the 2-8% sweep where the winner changes (from the sensitivity table)</t>
        </is>
      </c>
      <c r="AK60" t="n">
        <v>47</v>
      </c>
      <c r="AL60">
        <f>IFERROR(IF(AU60&lt;($AM$6-$AL$6)/($AN$6-$AL$6),$AL$6+SQRT(AU60*($AN$6-$AL$6)*($AM$6-$AL$6)),$AN$6-SQRT((1-AU60)*($AN$6-$AL$6)*($AN$6-$AM$6))),$AM$6)</f>
        <v/>
      </c>
      <c r="AM60">
        <f>IFERROR(IF(AV60&lt;($AM$7-$AL$7)/($AN$7-$AL$7),$AL$7+SQRT(AV60*($AN$7-$AL$7)*($AM$7-$AL$7)),$AN$7-SQRT((1-AV60)*($AN$7-$AL$7)*($AN$7-$AM$7))),$AM$7)</f>
        <v/>
      </c>
      <c r="AN60">
        <f>IFERROR(IF(AW60&lt;($AM$8-$AL$8)/($AN$8-$AL$8),$AL$8+SQRT(AW60*($AN$8-$AL$8)*($AM$8-$AL$8)),$AN$8-SQRT((1-AW60)*($AN$8-$AL$8)*($AN$8-$AM$8))),$AM$8)</f>
        <v/>
      </c>
      <c r="AO60">
        <f>IFERROR(IF(AX60&lt;($AM$9-$AL$9)/($AN$9-$AL$9),$AL$9+SQRT(AX60*($AN$9-$AL$9)*($AM$9-$AL$9)),$AN$9-SQRT((1-AX60)*($AN$9-$AL$9)*($AN$9-$AM$9))),$AM$9)</f>
        <v/>
      </c>
      <c r="AP60">
        <f>IFERROR(IF(AY60&lt;($AM$10-$AL$10)/($AN$10-$AL$10),$AL$10+SQRT(AY60*($AN$10-$AL$10)*($AM$10-$AL$10)),$AN$10-SQRT((1-AY60)*($AN$10-$AL$10)*($AN$10-$AM$10))),$AM$10)</f>
        <v/>
      </c>
      <c r="AQ60">
        <f>IFERROR(IF(AZ60&lt;($AM$11-$AL$11)/($AN$11-$AL$11),$AL$11+SQRT(AZ60*($AN$11-$AL$11)*($AM$11-$AL$11)),$AN$11-SQRT((1-AZ60)*($AN$11-$AL$11)*($AN$11-$AM$11))),$AM$11)</f>
        <v/>
      </c>
      <c r="AR60">
        <f>SUMPRODUCT((B24:B31&lt;=$B$6)*(C24:C31*AM60+D24:D31*AO60*$B$8*AQ60)/(1+AL60/100)^B24:B31)+C32*AM60*AP60/(1+AL60/100)^$B$6</f>
        <v/>
      </c>
      <c r="AS60">
        <f>SUMPRODUCT((K24:K26&lt;=$B$6)*(L24:L26*AN60+M24:M26*AO60*$B$8*AQ60)/(1+AL60/100)^K24:K26)+L27*AN60*AP60/(1+AL60/100)^$B$6</f>
        <v/>
      </c>
      <c r="AT60">
        <f>AS60-AR60</f>
        <v/>
      </c>
      <c r="AU60">
        <f>RAND()</f>
        <v/>
      </c>
      <c r="AV60">
        <f>RAND()</f>
        <v/>
      </c>
      <c r="AW60">
        <f>RAND()</f>
        <v/>
      </c>
      <c r="AX60">
        <f>RAND()</f>
        <v/>
      </c>
      <c r="AY60">
        <f>RAND()</f>
        <v/>
      </c>
      <c r="AZ60">
        <f>RAND()</f>
        <v/>
      </c>
    </row>
    <row r="61">
      <c r="AK61" t="n">
        <v>48</v>
      </c>
      <c r="AL61">
        <f>IFERROR(IF(AU61&lt;($AM$6-$AL$6)/($AN$6-$AL$6),$AL$6+SQRT(AU61*($AN$6-$AL$6)*($AM$6-$AL$6)),$AN$6-SQRT((1-AU61)*($AN$6-$AL$6)*($AN$6-$AM$6))),$AM$6)</f>
        <v/>
      </c>
      <c r="AM61">
        <f>IFERROR(IF(AV61&lt;($AM$7-$AL$7)/($AN$7-$AL$7),$AL$7+SQRT(AV61*($AN$7-$AL$7)*($AM$7-$AL$7)),$AN$7-SQRT((1-AV61)*($AN$7-$AL$7)*($AN$7-$AM$7))),$AM$7)</f>
        <v/>
      </c>
      <c r="AN61">
        <f>IFERROR(IF(AW61&lt;($AM$8-$AL$8)/($AN$8-$AL$8),$AL$8+SQRT(AW61*($AN$8-$AL$8)*($AM$8-$AL$8)),$AN$8-SQRT((1-AW61)*($AN$8-$AL$8)*($AN$8-$AM$8))),$AM$8)</f>
        <v/>
      </c>
      <c r="AO61">
        <f>IFERROR(IF(AX61&lt;($AM$9-$AL$9)/($AN$9-$AL$9),$AL$9+SQRT(AX61*($AN$9-$AL$9)*($AM$9-$AL$9)),$AN$9-SQRT((1-AX61)*($AN$9-$AL$9)*($AN$9-$AM$9))),$AM$9)</f>
        <v/>
      </c>
      <c r="AP61">
        <f>IFERROR(IF(AY61&lt;($AM$10-$AL$10)/($AN$10-$AL$10),$AL$10+SQRT(AY61*($AN$10-$AL$10)*($AM$10-$AL$10)),$AN$10-SQRT((1-AY61)*($AN$10-$AL$10)*($AN$10-$AM$10))),$AM$10)</f>
        <v/>
      </c>
      <c r="AQ61">
        <f>IFERROR(IF(AZ61&lt;($AM$11-$AL$11)/($AN$11-$AL$11),$AL$11+SQRT(AZ61*($AN$11-$AL$11)*($AM$11-$AL$11)),$AN$11-SQRT((1-AZ61)*($AN$11-$AL$11)*($AN$11-$AM$11))),$AM$11)</f>
        <v/>
      </c>
      <c r="AR61">
        <f>SUMPRODUCT((B24:B31&lt;=$B$6)*(C24:C31*AM61+D24:D31*AO61*$B$8*AQ61)/(1+AL61/100)^B24:B31)+C32*AM61*AP61/(1+AL61/100)^$B$6</f>
        <v/>
      </c>
      <c r="AS61">
        <f>SUMPRODUCT((K24:K26&lt;=$B$6)*(L24:L26*AN61+M24:M26*AO61*$B$8*AQ61)/(1+AL61/100)^K24:K26)+L27*AN61*AP61/(1+AL61/100)^$B$6</f>
        <v/>
      </c>
      <c r="AT61">
        <f>AS61-AR61</f>
        <v/>
      </c>
      <c r="AU61">
        <f>RAND()</f>
        <v/>
      </c>
      <c r="AV61">
        <f>RAND()</f>
        <v/>
      </c>
      <c r="AW61">
        <f>RAND()</f>
        <v/>
      </c>
      <c r="AX61">
        <f>RAND()</f>
        <v/>
      </c>
      <c r="AY61">
        <f>RAND()</f>
        <v/>
      </c>
      <c r="AZ61">
        <f>RAND()</f>
        <v/>
      </c>
    </row>
    <row r="62">
      <c r="AK62" t="n">
        <v>49</v>
      </c>
      <c r="AL62">
        <f>IFERROR(IF(AU62&lt;($AM$6-$AL$6)/($AN$6-$AL$6),$AL$6+SQRT(AU62*($AN$6-$AL$6)*($AM$6-$AL$6)),$AN$6-SQRT((1-AU62)*($AN$6-$AL$6)*($AN$6-$AM$6))),$AM$6)</f>
        <v/>
      </c>
      <c r="AM62">
        <f>IFERROR(IF(AV62&lt;($AM$7-$AL$7)/($AN$7-$AL$7),$AL$7+SQRT(AV62*($AN$7-$AL$7)*($AM$7-$AL$7)),$AN$7-SQRT((1-AV62)*($AN$7-$AL$7)*($AN$7-$AM$7))),$AM$7)</f>
        <v/>
      </c>
      <c r="AN62">
        <f>IFERROR(IF(AW62&lt;($AM$8-$AL$8)/($AN$8-$AL$8),$AL$8+SQRT(AW62*($AN$8-$AL$8)*($AM$8-$AL$8)),$AN$8-SQRT((1-AW62)*($AN$8-$AL$8)*($AN$8-$AM$8))),$AM$8)</f>
        <v/>
      </c>
      <c r="AO62">
        <f>IFERROR(IF(AX62&lt;($AM$9-$AL$9)/($AN$9-$AL$9),$AL$9+SQRT(AX62*($AN$9-$AL$9)*($AM$9-$AL$9)),$AN$9-SQRT((1-AX62)*($AN$9-$AL$9)*($AN$9-$AM$9))),$AM$9)</f>
        <v/>
      </c>
      <c r="AP62">
        <f>IFERROR(IF(AY62&lt;($AM$10-$AL$10)/($AN$10-$AL$10),$AL$10+SQRT(AY62*($AN$10-$AL$10)*($AM$10-$AL$10)),$AN$10-SQRT((1-AY62)*($AN$10-$AL$10)*($AN$10-$AM$10))),$AM$10)</f>
        <v/>
      </c>
      <c r="AQ62">
        <f>IFERROR(IF(AZ62&lt;($AM$11-$AL$11)/($AN$11-$AL$11),$AL$11+SQRT(AZ62*($AN$11-$AL$11)*($AM$11-$AL$11)),$AN$11-SQRT((1-AZ62)*($AN$11-$AL$11)*($AN$11-$AM$11))),$AM$11)</f>
        <v/>
      </c>
      <c r="AR62">
        <f>SUMPRODUCT((B24:B31&lt;=$B$6)*(C24:C31*AM62+D24:D31*AO62*$B$8*AQ62)/(1+AL62/100)^B24:B31)+C32*AM62*AP62/(1+AL62/100)^$B$6</f>
        <v/>
      </c>
      <c r="AS62">
        <f>SUMPRODUCT((K24:K26&lt;=$B$6)*(L24:L26*AN62+M24:M26*AO62*$B$8*AQ62)/(1+AL62/100)^K24:K26)+L27*AN62*AP62/(1+AL62/100)^$B$6</f>
        <v/>
      </c>
      <c r="AT62">
        <f>AS62-AR62</f>
        <v/>
      </c>
      <c r="AU62">
        <f>RAND()</f>
        <v/>
      </c>
      <c r="AV62">
        <f>RAND()</f>
        <v/>
      </c>
      <c r="AW62">
        <f>RAND()</f>
        <v/>
      </c>
      <c r="AX62">
        <f>RAND()</f>
        <v/>
      </c>
      <c r="AY62">
        <f>RAND()</f>
        <v/>
      </c>
      <c r="AZ62">
        <f>RAND()</f>
        <v/>
      </c>
    </row>
    <row r="63">
      <c r="A63" s="4" t="inlineStr">
        <is>
          <t>DISCOUNT-RATE SENSITIVITY</t>
        </is>
      </c>
      <c r="AK63" t="n">
        <v>50</v>
      </c>
      <c r="AL63">
        <f>IFERROR(IF(AU63&lt;($AM$6-$AL$6)/($AN$6-$AL$6),$AL$6+SQRT(AU63*($AN$6-$AL$6)*($AM$6-$AL$6)),$AN$6-SQRT((1-AU63)*($AN$6-$AL$6)*($AN$6-$AM$6))),$AM$6)</f>
        <v/>
      </c>
      <c r="AM63">
        <f>IFERROR(IF(AV63&lt;($AM$7-$AL$7)/($AN$7-$AL$7),$AL$7+SQRT(AV63*($AN$7-$AL$7)*($AM$7-$AL$7)),$AN$7-SQRT((1-AV63)*($AN$7-$AL$7)*($AN$7-$AM$7))),$AM$7)</f>
        <v/>
      </c>
      <c r="AN63">
        <f>IFERROR(IF(AW63&lt;($AM$8-$AL$8)/($AN$8-$AL$8),$AL$8+SQRT(AW63*($AN$8-$AL$8)*($AM$8-$AL$8)),$AN$8-SQRT((1-AW63)*($AN$8-$AL$8)*($AN$8-$AM$8))),$AM$8)</f>
        <v/>
      </c>
      <c r="AO63">
        <f>IFERROR(IF(AX63&lt;($AM$9-$AL$9)/($AN$9-$AL$9),$AL$9+SQRT(AX63*($AN$9-$AL$9)*($AM$9-$AL$9)),$AN$9-SQRT((1-AX63)*($AN$9-$AL$9)*($AN$9-$AM$9))),$AM$9)</f>
        <v/>
      </c>
      <c r="AP63">
        <f>IFERROR(IF(AY63&lt;($AM$10-$AL$10)/($AN$10-$AL$10),$AL$10+SQRT(AY63*($AN$10-$AL$10)*($AM$10-$AL$10)),$AN$10-SQRT((1-AY63)*($AN$10-$AL$10)*($AN$10-$AM$10))),$AM$10)</f>
        <v/>
      </c>
      <c r="AQ63">
        <f>IFERROR(IF(AZ63&lt;($AM$11-$AL$11)/($AN$11-$AL$11),$AL$11+SQRT(AZ63*($AN$11-$AL$11)*($AM$11-$AL$11)),$AN$11-SQRT((1-AZ63)*($AN$11-$AL$11)*($AN$11-$AM$11))),$AM$11)</f>
        <v/>
      </c>
      <c r="AR63">
        <f>SUMPRODUCT((B24:B31&lt;=$B$6)*(C24:C31*AM63+D24:D31*AO63*$B$8*AQ63)/(1+AL63/100)^B24:B31)+C32*AM63*AP63/(1+AL63/100)^$B$6</f>
        <v/>
      </c>
      <c r="AS63">
        <f>SUMPRODUCT((K24:K26&lt;=$B$6)*(L24:L26*AN63+M24:M26*AO63*$B$8*AQ63)/(1+AL63/100)^K24:K26)+L27*AN63*AP63/(1+AL63/100)^$B$6</f>
        <v/>
      </c>
      <c r="AT63">
        <f>AS63-AR63</f>
        <v/>
      </c>
      <c r="AU63">
        <f>RAND()</f>
        <v/>
      </c>
      <c r="AV63">
        <f>RAND()</f>
        <v/>
      </c>
      <c r="AW63">
        <f>RAND()</f>
        <v/>
      </c>
      <c r="AX63">
        <f>RAND()</f>
        <v/>
      </c>
      <c r="AY63">
        <f>RAND()</f>
        <v/>
      </c>
      <c r="AZ63">
        <f>RAND()</f>
        <v/>
      </c>
    </row>
    <row r="64">
      <c r="A64" s="6" t="inlineStr">
        <is>
          <t>Rate (%)</t>
        </is>
      </c>
      <c r="B64" s="6" t="inlineStr">
        <is>
          <t>NPW HMA</t>
        </is>
      </c>
      <c r="C64" s="6" t="inlineStr">
        <is>
          <t>NPW PCC</t>
        </is>
      </c>
      <c r="D64" s="6" t="inlineStr">
        <is>
          <t>PCC - HMA</t>
        </is>
      </c>
      <c r="E64" s="6" t="inlineStr">
        <is>
          <t>Winner</t>
        </is>
      </c>
      <c r="AK64" t="n">
        <v>51</v>
      </c>
      <c r="AL64">
        <f>IFERROR(IF(AU64&lt;($AM$6-$AL$6)/($AN$6-$AL$6),$AL$6+SQRT(AU64*($AN$6-$AL$6)*($AM$6-$AL$6)),$AN$6-SQRT((1-AU64)*($AN$6-$AL$6)*($AN$6-$AM$6))),$AM$6)</f>
        <v/>
      </c>
      <c r="AM64">
        <f>IFERROR(IF(AV64&lt;($AM$7-$AL$7)/($AN$7-$AL$7),$AL$7+SQRT(AV64*($AN$7-$AL$7)*($AM$7-$AL$7)),$AN$7-SQRT((1-AV64)*($AN$7-$AL$7)*($AN$7-$AM$7))),$AM$7)</f>
        <v/>
      </c>
      <c r="AN64">
        <f>IFERROR(IF(AW64&lt;($AM$8-$AL$8)/($AN$8-$AL$8),$AL$8+SQRT(AW64*($AN$8-$AL$8)*($AM$8-$AL$8)),$AN$8-SQRT((1-AW64)*($AN$8-$AL$8)*($AN$8-$AM$8))),$AM$8)</f>
        <v/>
      </c>
      <c r="AO64">
        <f>IFERROR(IF(AX64&lt;($AM$9-$AL$9)/($AN$9-$AL$9),$AL$9+SQRT(AX64*($AN$9-$AL$9)*($AM$9-$AL$9)),$AN$9-SQRT((1-AX64)*($AN$9-$AL$9)*($AN$9-$AM$9))),$AM$9)</f>
        <v/>
      </c>
      <c r="AP64">
        <f>IFERROR(IF(AY64&lt;($AM$10-$AL$10)/($AN$10-$AL$10),$AL$10+SQRT(AY64*($AN$10-$AL$10)*($AM$10-$AL$10)),$AN$10-SQRT((1-AY64)*($AN$10-$AL$10)*($AN$10-$AM$10))),$AM$10)</f>
        <v/>
      </c>
      <c r="AQ64">
        <f>IFERROR(IF(AZ64&lt;($AM$11-$AL$11)/($AN$11-$AL$11),$AL$11+SQRT(AZ64*($AN$11-$AL$11)*($AM$11-$AL$11)),$AN$11-SQRT((1-AZ64)*($AN$11-$AL$11)*($AN$11-$AM$11))),$AM$11)</f>
        <v/>
      </c>
      <c r="AR64">
        <f>SUMPRODUCT((B24:B31&lt;=$B$6)*(C24:C31*AM64+D24:D31*AO64*$B$8*AQ64)/(1+AL64/100)^B24:B31)+C32*AM64*AP64/(1+AL64/100)^$B$6</f>
        <v/>
      </c>
      <c r="AS64">
        <f>SUMPRODUCT((K24:K26&lt;=$B$6)*(L24:L26*AN64+M24:M26*AO64*$B$8*AQ64)/(1+AL64/100)^K24:K26)+L27*AN64*AP64/(1+AL64/100)^$B$6</f>
        <v/>
      </c>
      <c r="AT64">
        <f>AS64-AR64</f>
        <v/>
      </c>
      <c r="AU64">
        <f>RAND()</f>
        <v/>
      </c>
      <c r="AV64">
        <f>RAND()</f>
        <v/>
      </c>
      <c r="AW64">
        <f>RAND()</f>
        <v/>
      </c>
      <c r="AX64">
        <f>RAND()</f>
        <v/>
      </c>
      <c r="AY64">
        <f>RAND()</f>
        <v/>
      </c>
      <c r="AZ64">
        <f>RAND()</f>
        <v/>
      </c>
    </row>
    <row r="65">
      <c r="A65" s="33" t="n">
        <v>2</v>
      </c>
      <c r="B65" s="14">
        <f>SUMPRODUCT((B24:B31&lt;=$B$6)*(C24:C31*$B$11+D24:D31*$B$10*$B$8*$B$9)/(1+$A65/100)^B24:B31)+C32*$B$11*$B$13/(1+$A65/100)^$B$6</f>
        <v/>
      </c>
      <c r="C65" s="14">
        <f>SUMPRODUCT((K24:K26&lt;=$B$6)*(L24:L26*$B$12+M24:M26*$B$10*$B$8*$B$9)/(1+$A65/100)^K24:K26)+L27*$B$12*$B$13/(1+$A65/100)^$B$6</f>
        <v/>
      </c>
      <c r="D65" s="14">
        <f>C65-B65</f>
        <v/>
      </c>
      <c r="E65">
        <f>IF(D65&lt;0,"PCC","HMA")</f>
        <v/>
      </c>
      <c r="AK65" t="n">
        <v>52</v>
      </c>
      <c r="AL65">
        <f>IFERROR(IF(AU65&lt;($AM$6-$AL$6)/($AN$6-$AL$6),$AL$6+SQRT(AU65*($AN$6-$AL$6)*($AM$6-$AL$6)),$AN$6-SQRT((1-AU65)*($AN$6-$AL$6)*($AN$6-$AM$6))),$AM$6)</f>
        <v/>
      </c>
      <c r="AM65">
        <f>IFERROR(IF(AV65&lt;($AM$7-$AL$7)/($AN$7-$AL$7),$AL$7+SQRT(AV65*($AN$7-$AL$7)*($AM$7-$AL$7)),$AN$7-SQRT((1-AV65)*($AN$7-$AL$7)*($AN$7-$AM$7))),$AM$7)</f>
        <v/>
      </c>
      <c r="AN65">
        <f>IFERROR(IF(AW65&lt;($AM$8-$AL$8)/($AN$8-$AL$8),$AL$8+SQRT(AW65*($AN$8-$AL$8)*($AM$8-$AL$8)),$AN$8-SQRT((1-AW65)*($AN$8-$AL$8)*($AN$8-$AM$8))),$AM$8)</f>
        <v/>
      </c>
      <c r="AO65">
        <f>IFERROR(IF(AX65&lt;($AM$9-$AL$9)/($AN$9-$AL$9),$AL$9+SQRT(AX65*($AN$9-$AL$9)*($AM$9-$AL$9)),$AN$9-SQRT((1-AX65)*($AN$9-$AL$9)*($AN$9-$AM$9))),$AM$9)</f>
        <v/>
      </c>
      <c r="AP65">
        <f>IFERROR(IF(AY65&lt;($AM$10-$AL$10)/($AN$10-$AL$10),$AL$10+SQRT(AY65*($AN$10-$AL$10)*($AM$10-$AL$10)),$AN$10-SQRT((1-AY65)*($AN$10-$AL$10)*($AN$10-$AM$10))),$AM$10)</f>
        <v/>
      </c>
      <c r="AQ65">
        <f>IFERROR(IF(AZ65&lt;($AM$11-$AL$11)/($AN$11-$AL$11),$AL$11+SQRT(AZ65*($AN$11-$AL$11)*($AM$11-$AL$11)),$AN$11-SQRT((1-AZ65)*($AN$11-$AL$11)*($AN$11-$AM$11))),$AM$11)</f>
        <v/>
      </c>
      <c r="AR65">
        <f>SUMPRODUCT((B24:B31&lt;=$B$6)*(C24:C31*AM65+D24:D31*AO65*$B$8*AQ65)/(1+AL65/100)^B24:B31)+C32*AM65*AP65/(1+AL65/100)^$B$6</f>
        <v/>
      </c>
      <c r="AS65">
        <f>SUMPRODUCT((K24:K26&lt;=$B$6)*(L24:L26*AN65+M24:M26*AO65*$B$8*AQ65)/(1+AL65/100)^K24:K26)+L27*AN65*AP65/(1+AL65/100)^$B$6</f>
        <v/>
      </c>
      <c r="AT65">
        <f>AS65-AR65</f>
        <v/>
      </c>
      <c r="AU65">
        <f>RAND()</f>
        <v/>
      </c>
      <c r="AV65">
        <f>RAND()</f>
        <v/>
      </c>
      <c r="AW65">
        <f>RAND()</f>
        <v/>
      </c>
      <c r="AX65">
        <f>RAND()</f>
        <v/>
      </c>
      <c r="AY65">
        <f>RAND()</f>
        <v/>
      </c>
      <c r="AZ65">
        <f>RAND()</f>
        <v/>
      </c>
    </row>
    <row r="66">
      <c r="A66" s="33" t="n">
        <v>2.25</v>
      </c>
      <c r="B66" s="14">
        <f>SUMPRODUCT((B24:B31&lt;=$B$6)*(C24:C31*$B$11+D24:D31*$B$10*$B$8*$B$9)/(1+$A66/100)^B24:B31)+C32*$B$11*$B$13/(1+$A66/100)^$B$6</f>
        <v/>
      </c>
      <c r="C66" s="14">
        <f>SUMPRODUCT((K24:K26&lt;=$B$6)*(L24:L26*$B$12+M24:M26*$B$10*$B$8*$B$9)/(1+$A66/100)^K24:K26)+L27*$B$12*$B$13/(1+$A66/100)^$B$6</f>
        <v/>
      </c>
      <c r="D66" s="14">
        <f>C66-B66</f>
        <v/>
      </c>
      <c r="E66">
        <f>IF(D66&lt;0,"PCC","HMA")</f>
        <v/>
      </c>
      <c r="AK66" t="n">
        <v>53</v>
      </c>
      <c r="AL66">
        <f>IFERROR(IF(AU66&lt;($AM$6-$AL$6)/($AN$6-$AL$6),$AL$6+SQRT(AU66*($AN$6-$AL$6)*($AM$6-$AL$6)),$AN$6-SQRT((1-AU66)*($AN$6-$AL$6)*($AN$6-$AM$6))),$AM$6)</f>
        <v/>
      </c>
      <c r="AM66">
        <f>IFERROR(IF(AV66&lt;($AM$7-$AL$7)/($AN$7-$AL$7),$AL$7+SQRT(AV66*($AN$7-$AL$7)*($AM$7-$AL$7)),$AN$7-SQRT((1-AV66)*($AN$7-$AL$7)*($AN$7-$AM$7))),$AM$7)</f>
        <v/>
      </c>
      <c r="AN66">
        <f>IFERROR(IF(AW66&lt;($AM$8-$AL$8)/($AN$8-$AL$8),$AL$8+SQRT(AW66*($AN$8-$AL$8)*($AM$8-$AL$8)),$AN$8-SQRT((1-AW66)*($AN$8-$AL$8)*($AN$8-$AM$8))),$AM$8)</f>
        <v/>
      </c>
      <c r="AO66">
        <f>IFERROR(IF(AX66&lt;($AM$9-$AL$9)/($AN$9-$AL$9),$AL$9+SQRT(AX66*($AN$9-$AL$9)*($AM$9-$AL$9)),$AN$9-SQRT((1-AX66)*($AN$9-$AL$9)*($AN$9-$AM$9))),$AM$9)</f>
        <v/>
      </c>
      <c r="AP66">
        <f>IFERROR(IF(AY66&lt;($AM$10-$AL$10)/($AN$10-$AL$10),$AL$10+SQRT(AY66*($AN$10-$AL$10)*($AM$10-$AL$10)),$AN$10-SQRT((1-AY66)*($AN$10-$AL$10)*($AN$10-$AM$10))),$AM$10)</f>
        <v/>
      </c>
      <c r="AQ66">
        <f>IFERROR(IF(AZ66&lt;($AM$11-$AL$11)/($AN$11-$AL$11),$AL$11+SQRT(AZ66*($AN$11-$AL$11)*($AM$11-$AL$11)),$AN$11-SQRT((1-AZ66)*($AN$11-$AL$11)*($AN$11-$AM$11))),$AM$11)</f>
        <v/>
      </c>
      <c r="AR66">
        <f>SUMPRODUCT((B24:B31&lt;=$B$6)*(C24:C31*AM66+D24:D31*AO66*$B$8*AQ66)/(1+AL66/100)^B24:B31)+C32*AM66*AP66/(1+AL66/100)^$B$6</f>
        <v/>
      </c>
      <c r="AS66">
        <f>SUMPRODUCT((K24:K26&lt;=$B$6)*(L24:L26*AN66+M24:M26*AO66*$B$8*AQ66)/(1+AL66/100)^K24:K26)+L27*AN66*AP66/(1+AL66/100)^$B$6</f>
        <v/>
      </c>
      <c r="AT66">
        <f>AS66-AR66</f>
        <v/>
      </c>
      <c r="AU66">
        <f>RAND()</f>
        <v/>
      </c>
      <c r="AV66">
        <f>RAND()</f>
        <v/>
      </c>
      <c r="AW66">
        <f>RAND()</f>
        <v/>
      </c>
      <c r="AX66">
        <f>RAND()</f>
        <v/>
      </c>
      <c r="AY66">
        <f>RAND()</f>
        <v/>
      </c>
      <c r="AZ66">
        <f>RAND()</f>
        <v/>
      </c>
    </row>
    <row r="67">
      <c r="A67" s="33" t="n">
        <v>2.5</v>
      </c>
      <c r="B67" s="14">
        <f>SUMPRODUCT((B24:B31&lt;=$B$6)*(C24:C31*$B$11+D24:D31*$B$10*$B$8*$B$9)/(1+$A67/100)^B24:B31)+C32*$B$11*$B$13/(1+$A67/100)^$B$6</f>
        <v/>
      </c>
      <c r="C67" s="14">
        <f>SUMPRODUCT((K24:K26&lt;=$B$6)*(L24:L26*$B$12+M24:M26*$B$10*$B$8*$B$9)/(1+$A67/100)^K24:K26)+L27*$B$12*$B$13/(1+$A67/100)^$B$6</f>
        <v/>
      </c>
      <c r="D67" s="14">
        <f>C67-B67</f>
        <v/>
      </c>
      <c r="E67">
        <f>IF(D67&lt;0,"PCC","HMA")</f>
        <v/>
      </c>
      <c r="AK67" t="n">
        <v>54</v>
      </c>
      <c r="AL67">
        <f>IFERROR(IF(AU67&lt;($AM$6-$AL$6)/($AN$6-$AL$6),$AL$6+SQRT(AU67*($AN$6-$AL$6)*($AM$6-$AL$6)),$AN$6-SQRT((1-AU67)*($AN$6-$AL$6)*($AN$6-$AM$6))),$AM$6)</f>
        <v/>
      </c>
      <c r="AM67">
        <f>IFERROR(IF(AV67&lt;($AM$7-$AL$7)/($AN$7-$AL$7),$AL$7+SQRT(AV67*($AN$7-$AL$7)*($AM$7-$AL$7)),$AN$7-SQRT((1-AV67)*($AN$7-$AL$7)*($AN$7-$AM$7))),$AM$7)</f>
        <v/>
      </c>
      <c r="AN67">
        <f>IFERROR(IF(AW67&lt;($AM$8-$AL$8)/($AN$8-$AL$8),$AL$8+SQRT(AW67*($AN$8-$AL$8)*($AM$8-$AL$8)),$AN$8-SQRT((1-AW67)*($AN$8-$AL$8)*($AN$8-$AM$8))),$AM$8)</f>
        <v/>
      </c>
      <c r="AO67">
        <f>IFERROR(IF(AX67&lt;($AM$9-$AL$9)/($AN$9-$AL$9),$AL$9+SQRT(AX67*($AN$9-$AL$9)*($AM$9-$AL$9)),$AN$9-SQRT((1-AX67)*($AN$9-$AL$9)*($AN$9-$AM$9))),$AM$9)</f>
        <v/>
      </c>
      <c r="AP67">
        <f>IFERROR(IF(AY67&lt;($AM$10-$AL$10)/($AN$10-$AL$10),$AL$10+SQRT(AY67*($AN$10-$AL$10)*($AM$10-$AL$10)),$AN$10-SQRT((1-AY67)*($AN$10-$AL$10)*($AN$10-$AM$10))),$AM$10)</f>
        <v/>
      </c>
      <c r="AQ67">
        <f>IFERROR(IF(AZ67&lt;($AM$11-$AL$11)/($AN$11-$AL$11),$AL$11+SQRT(AZ67*($AN$11-$AL$11)*($AM$11-$AL$11)),$AN$11-SQRT((1-AZ67)*($AN$11-$AL$11)*($AN$11-$AM$11))),$AM$11)</f>
        <v/>
      </c>
      <c r="AR67">
        <f>SUMPRODUCT((B24:B31&lt;=$B$6)*(C24:C31*AM67+D24:D31*AO67*$B$8*AQ67)/(1+AL67/100)^B24:B31)+C32*AM67*AP67/(1+AL67/100)^$B$6</f>
        <v/>
      </c>
      <c r="AS67">
        <f>SUMPRODUCT((K24:K26&lt;=$B$6)*(L24:L26*AN67+M24:M26*AO67*$B$8*AQ67)/(1+AL67/100)^K24:K26)+L27*AN67*AP67/(1+AL67/100)^$B$6</f>
        <v/>
      </c>
      <c r="AT67">
        <f>AS67-AR67</f>
        <v/>
      </c>
      <c r="AU67">
        <f>RAND()</f>
        <v/>
      </c>
      <c r="AV67">
        <f>RAND()</f>
        <v/>
      </c>
      <c r="AW67">
        <f>RAND()</f>
        <v/>
      </c>
      <c r="AX67">
        <f>RAND()</f>
        <v/>
      </c>
      <c r="AY67">
        <f>RAND()</f>
        <v/>
      </c>
      <c r="AZ67">
        <f>RAND()</f>
        <v/>
      </c>
    </row>
    <row r="68">
      <c r="A68" s="33" t="n">
        <v>2.75</v>
      </c>
      <c r="B68" s="14">
        <f>SUMPRODUCT((B24:B31&lt;=$B$6)*(C24:C31*$B$11+D24:D31*$B$10*$B$8*$B$9)/(1+$A68/100)^B24:B31)+C32*$B$11*$B$13/(1+$A68/100)^$B$6</f>
        <v/>
      </c>
      <c r="C68" s="14">
        <f>SUMPRODUCT((K24:K26&lt;=$B$6)*(L24:L26*$B$12+M24:M26*$B$10*$B$8*$B$9)/(1+$A68/100)^K24:K26)+L27*$B$12*$B$13/(1+$A68/100)^$B$6</f>
        <v/>
      </c>
      <c r="D68" s="14">
        <f>C68-B68</f>
        <v/>
      </c>
      <c r="E68">
        <f>IF(D68&lt;0,"PCC","HMA")</f>
        <v/>
      </c>
      <c r="AK68" t="n">
        <v>55</v>
      </c>
      <c r="AL68">
        <f>IFERROR(IF(AU68&lt;($AM$6-$AL$6)/($AN$6-$AL$6),$AL$6+SQRT(AU68*($AN$6-$AL$6)*($AM$6-$AL$6)),$AN$6-SQRT((1-AU68)*($AN$6-$AL$6)*($AN$6-$AM$6))),$AM$6)</f>
        <v/>
      </c>
      <c r="AM68">
        <f>IFERROR(IF(AV68&lt;($AM$7-$AL$7)/($AN$7-$AL$7),$AL$7+SQRT(AV68*($AN$7-$AL$7)*($AM$7-$AL$7)),$AN$7-SQRT((1-AV68)*($AN$7-$AL$7)*($AN$7-$AM$7))),$AM$7)</f>
        <v/>
      </c>
      <c r="AN68">
        <f>IFERROR(IF(AW68&lt;($AM$8-$AL$8)/($AN$8-$AL$8),$AL$8+SQRT(AW68*($AN$8-$AL$8)*($AM$8-$AL$8)),$AN$8-SQRT((1-AW68)*($AN$8-$AL$8)*($AN$8-$AM$8))),$AM$8)</f>
        <v/>
      </c>
      <c r="AO68">
        <f>IFERROR(IF(AX68&lt;($AM$9-$AL$9)/($AN$9-$AL$9),$AL$9+SQRT(AX68*($AN$9-$AL$9)*($AM$9-$AL$9)),$AN$9-SQRT((1-AX68)*($AN$9-$AL$9)*($AN$9-$AM$9))),$AM$9)</f>
        <v/>
      </c>
      <c r="AP68">
        <f>IFERROR(IF(AY68&lt;($AM$10-$AL$10)/($AN$10-$AL$10),$AL$10+SQRT(AY68*($AN$10-$AL$10)*($AM$10-$AL$10)),$AN$10-SQRT((1-AY68)*($AN$10-$AL$10)*($AN$10-$AM$10))),$AM$10)</f>
        <v/>
      </c>
      <c r="AQ68">
        <f>IFERROR(IF(AZ68&lt;($AM$11-$AL$11)/($AN$11-$AL$11),$AL$11+SQRT(AZ68*($AN$11-$AL$11)*($AM$11-$AL$11)),$AN$11-SQRT((1-AZ68)*($AN$11-$AL$11)*($AN$11-$AM$11))),$AM$11)</f>
        <v/>
      </c>
      <c r="AR68">
        <f>SUMPRODUCT((B24:B31&lt;=$B$6)*(C24:C31*AM68+D24:D31*AO68*$B$8*AQ68)/(1+AL68/100)^B24:B31)+C32*AM68*AP68/(1+AL68/100)^$B$6</f>
        <v/>
      </c>
      <c r="AS68">
        <f>SUMPRODUCT((K24:K26&lt;=$B$6)*(L24:L26*AN68+M24:M26*AO68*$B$8*AQ68)/(1+AL68/100)^K24:K26)+L27*AN68*AP68/(1+AL68/100)^$B$6</f>
        <v/>
      </c>
      <c r="AT68">
        <f>AS68-AR68</f>
        <v/>
      </c>
      <c r="AU68">
        <f>RAND()</f>
        <v/>
      </c>
      <c r="AV68">
        <f>RAND()</f>
        <v/>
      </c>
      <c r="AW68">
        <f>RAND()</f>
        <v/>
      </c>
      <c r="AX68">
        <f>RAND()</f>
        <v/>
      </c>
      <c r="AY68">
        <f>RAND()</f>
        <v/>
      </c>
      <c r="AZ68">
        <f>RAND()</f>
        <v/>
      </c>
    </row>
    <row r="69">
      <c r="A69" s="33" t="n">
        <v>3</v>
      </c>
      <c r="B69" s="14">
        <f>SUMPRODUCT((B24:B31&lt;=$B$6)*(C24:C31*$B$11+D24:D31*$B$10*$B$8*$B$9)/(1+$A69/100)^B24:B31)+C32*$B$11*$B$13/(1+$A69/100)^$B$6</f>
        <v/>
      </c>
      <c r="C69" s="14">
        <f>SUMPRODUCT((K24:K26&lt;=$B$6)*(L24:L26*$B$12+M24:M26*$B$10*$B$8*$B$9)/(1+$A69/100)^K24:K26)+L27*$B$12*$B$13/(1+$A69/100)^$B$6</f>
        <v/>
      </c>
      <c r="D69" s="14">
        <f>C69-B69</f>
        <v/>
      </c>
      <c r="E69">
        <f>IF(D69&lt;0,"PCC","HMA")</f>
        <v/>
      </c>
      <c r="AK69" t="n">
        <v>56</v>
      </c>
      <c r="AL69">
        <f>IFERROR(IF(AU69&lt;($AM$6-$AL$6)/($AN$6-$AL$6),$AL$6+SQRT(AU69*($AN$6-$AL$6)*($AM$6-$AL$6)),$AN$6-SQRT((1-AU69)*($AN$6-$AL$6)*($AN$6-$AM$6))),$AM$6)</f>
        <v/>
      </c>
      <c r="AM69">
        <f>IFERROR(IF(AV69&lt;($AM$7-$AL$7)/($AN$7-$AL$7),$AL$7+SQRT(AV69*($AN$7-$AL$7)*($AM$7-$AL$7)),$AN$7-SQRT((1-AV69)*($AN$7-$AL$7)*($AN$7-$AM$7))),$AM$7)</f>
        <v/>
      </c>
      <c r="AN69">
        <f>IFERROR(IF(AW69&lt;($AM$8-$AL$8)/($AN$8-$AL$8),$AL$8+SQRT(AW69*($AN$8-$AL$8)*($AM$8-$AL$8)),$AN$8-SQRT((1-AW69)*($AN$8-$AL$8)*($AN$8-$AM$8))),$AM$8)</f>
        <v/>
      </c>
      <c r="AO69">
        <f>IFERROR(IF(AX69&lt;($AM$9-$AL$9)/($AN$9-$AL$9),$AL$9+SQRT(AX69*($AN$9-$AL$9)*($AM$9-$AL$9)),$AN$9-SQRT((1-AX69)*($AN$9-$AL$9)*($AN$9-$AM$9))),$AM$9)</f>
        <v/>
      </c>
      <c r="AP69">
        <f>IFERROR(IF(AY69&lt;($AM$10-$AL$10)/($AN$10-$AL$10),$AL$10+SQRT(AY69*($AN$10-$AL$10)*($AM$10-$AL$10)),$AN$10-SQRT((1-AY69)*($AN$10-$AL$10)*($AN$10-$AM$10))),$AM$10)</f>
        <v/>
      </c>
      <c r="AQ69">
        <f>IFERROR(IF(AZ69&lt;($AM$11-$AL$11)/($AN$11-$AL$11),$AL$11+SQRT(AZ69*($AN$11-$AL$11)*($AM$11-$AL$11)),$AN$11-SQRT((1-AZ69)*($AN$11-$AL$11)*($AN$11-$AM$11))),$AM$11)</f>
        <v/>
      </c>
      <c r="AR69">
        <f>SUMPRODUCT((B24:B31&lt;=$B$6)*(C24:C31*AM69+D24:D31*AO69*$B$8*AQ69)/(1+AL69/100)^B24:B31)+C32*AM69*AP69/(1+AL69/100)^$B$6</f>
        <v/>
      </c>
      <c r="AS69">
        <f>SUMPRODUCT((K24:K26&lt;=$B$6)*(L24:L26*AN69+M24:M26*AO69*$B$8*AQ69)/(1+AL69/100)^K24:K26)+L27*AN69*AP69/(1+AL69/100)^$B$6</f>
        <v/>
      </c>
      <c r="AT69">
        <f>AS69-AR69</f>
        <v/>
      </c>
      <c r="AU69">
        <f>RAND()</f>
        <v/>
      </c>
      <c r="AV69">
        <f>RAND()</f>
        <v/>
      </c>
      <c r="AW69">
        <f>RAND()</f>
        <v/>
      </c>
      <c r="AX69">
        <f>RAND()</f>
        <v/>
      </c>
      <c r="AY69">
        <f>RAND()</f>
        <v/>
      </c>
      <c r="AZ69">
        <f>RAND()</f>
        <v/>
      </c>
    </row>
    <row r="70">
      <c r="A70" s="33" t="n">
        <v>3.25</v>
      </c>
      <c r="B70" s="14">
        <f>SUMPRODUCT((B24:B31&lt;=$B$6)*(C24:C31*$B$11+D24:D31*$B$10*$B$8*$B$9)/(1+$A70/100)^B24:B31)+C32*$B$11*$B$13/(1+$A70/100)^$B$6</f>
        <v/>
      </c>
      <c r="C70" s="14">
        <f>SUMPRODUCT((K24:K26&lt;=$B$6)*(L24:L26*$B$12+M24:M26*$B$10*$B$8*$B$9)/(1+$A70/100)^K24:K26)+L27*$B$12*$B$13/(1+$A70/100)^$B$6</f>
        <v/>
      </c>
      <c r="D70" s="14">
        <f>C70-B70</f>
        <v/>
      </c>
      <c r="E70">
        <f>IF(D70&lt;0,"PCC","HMA")</f>
        <v/>
      </c>
      <c r="AK70" t="n">
        <v>57</v>
      </c>
      <c r="AL70">
        <f>IFERROR(IF(AU70&lt;($AM$6-$AL$6)/($AN$6-$AL$6),$AL$6+SQRT(AU70*($AN$6-$AL$6)*($AM$6-$AL$6)),$AN$6-SQRT((1-AU70)*($AN$6-$AL$6)*($AN$6-$AM$6))),$AM$6)</f>
        <v/>
      </c>
      <c r="AM70">
        <f>IFERROR(IF(AV70&lt;($AM$7-$AL$7)/($AN$7-$AL$7),$AL$7+SQRT(AV70*($AN$7-$AL$7)*($AM$7-$AL$7)),$AN$7-SQRT((1-AV70)*($AN$7-$AL$7)*($AN$7-$AM$7))),$AM$7)</f>
        <v/>
      </c>
      <c r="AN70">
        <f>IFERROR(IF(AW70&lt;($AM$8-$AL$8)/($AN$8-$AL$8),$AL$8+SQRT(AW70*($AN$8-$AL$8)*($AM$8-$AL$8)),$AN$8-SQRT((1-AW70)*($AN$8-$AL$8)*($AN$8-$AM$8))),$AM$8)</f>
        <v/>
      </c>
      <c r="AO70">
        <f>IFERROR(IF(AX70&lt;($AM$9-$AL$9)/($AN$9-$AL$9),$AL$9+SQRT(AX70*($AN$9-$AL$9)*($AM$9-$AL$9)),$AN$9-SQRT((1-AX70)*($AN$9-$AL$9)*($AN$9-$AM$9))),$AM$9)</f>
        <v/>
      </c>
      <c r="AP70">
        <f>IFERROR(IF(AY70&lt;($AM$10-$AL$10)/($AN$10-$AL$10),$AL$10+SQRT(AY70*($AN$10-$AL$10)*($AM$10-$AL$10)),$AN$10-SQRT((1-AY70)*($AN$10-$AL$10)*($AN$10-$AM$10))),$AM$10)</f>
        <v/>
      </c>
      <c r="AQ70">
        <f>IFERROR(IF(AZ70&lt;($AM$11-$AL$11)/($AN$11-$AL$11),$AL$11+SQRT(AZ70*($AN$11-$AL$11)*($AM$11-$AL$11)),$AN$11-SQRT((1-AZ70)*($AN$11-$AL$11)*($AN$11-$AM$11))),$AM$11)</f>
        <v/>
      </c>
      <c r="AR70">
        <f>SUMPRODUCT((B24:B31&lt;=$B$6)*(C24:C31*AM70+D24:D31*AO70*$B$8*AQ70)/(1+AL70/100)^B24:B31)+C32*AM70*AP70/(1+AL70/100)^$B$6</f>
        <v/>
      </c>
      <c r="AS70">
        <f>SUMPRODUCT((K24:K26&lt;=$B$6)*(L24:L26*AN70+M24:M26*AO70*$B$8*AQ70)/(1+AL70/100)^K24:K26)+L27*AN70*AP70/(1+AL70/100)^$B$6</f>
        <v/>
      </c>
      <c r="AT70">
        <f>AS70-AR70</f>
        <v/>
      </c>
      <c r="AU70">
        <f>RAND()</f>
        <v/>
      </c>
      <c r="AV70">
        <f>RAND()</f>
        <v/>
      </c>
      <c r="AW70">
        <f>RAND()</f>
        <v/>
      </c>
      <c r="AX70">
        <f>RAND()</f>
        <v/>
      </c>
      <c r="AY70">
        <f>RAND()</f>
        <v/>
      </c>
      <c r="AZ70">
        <f>RAND()</f>
        <v/>
      </c>
    </row>
    <row r="71">
      <c r="A71" s="33" t="n">
        <v>3.5</v>
      </c>
      <c r="B71" s="14">
        <f>SUMPRODUCT((B24:B31&lt;=$B$6)*(C24:C31*$B$11+D24:D31*$B$10*$B$8*$B$9)/(1+$A71/100)^B24:B31)+C32*$B$11*$B$13/(1+$A71/100)^$B$6</f>
        <v/>
      </c>
      <c r="C71" s="14">
        <f>SUMPRODUCT((K24:K26&lt;=$B$6)*(L24:L26*$B$12+M24:M26*$B$10*$B$8*$B$9)/(1+$A71/100)^K24:K26)+L27*$B$12*$B$13/(1+$A71/100)^$B$6</f>
        <v/>
      </c>
      <c r="D71" s="14">
        <f>C71-B71</f>
        <v/>
      </c>
      <c r="E71">
        <f>IF(D71&lt;0,"PCC","HMA")</f>
        <v/>
      </c>
      <c r="AK71" t="n">
        <v>58</v>
      </c>
      <c r="AL71">
        <f>IFERROR(IF(AU71&lt;($AM$6-$AL$6)/($AN$6-$AL$6),$AL$6+SQRT(AU71*($AN$6-$AL$6)*($AM$6-$AL$6)),$AN$6-SQRT((1-AU71)*($AN$6-$AL$6)*($AN$6-$AM$6))),$AM$6)</f>
        <v/>
      </c>
      <c r="AM71">
        <f>IFERROR(IF(AV71&lt;($AM$7-$AL$7)/($AN$7-$AL$7),$AL$7+SQRT(AV71*($AN$7-$AL$7)*($AM$7-$AL$7)),$AN$7-SQRT((1-AV71)*($AN$7-$AL$7)*($AN$7-$AM$7))),$AM$7)</f>
        <v/>
      </c>
      <c r="AN71">
        <f>IFERROR(IF(AW71&lt;($AM$8-$AL$8)/($AN$8-$AL$8),$AL$8+SQRT(AW71*($AN$8-$AL$8)*($AM$8-$AL$8)),$AN$8-SQRT((1-AW71)*($AN$8-$AL$8)*($AN$8-$AM$8))),$AM$8)</f>
        <v/>
      </c>
      <c r="AO71">
        <f>IFERROR(IF(AX71&lt;($AM$9-$AL$9)/($AN$9-$AL$9),$AL$9+SQRT(AX71*($AN$9-$AL$9)*($AM$9-$AL$9)),$AN$9-SQRT((1-AX71)*($AN$9-$AL$9)*($AN$9-$AM$9))),$AM$9)</f>
        <v/>
      </c>
      <c r="AP71">
        <f>IFERROR(IF(AY71&lt;($AM$10-$AL$10)/($AN$10-$AL$10),$AL$10+SQRT(AY71*($AN$10-$AL$10)*($AM$10-$AL$10)),$AN$10-SQRT((1-AY71)*($AN$10-$AL$10)*($AN$10-$AM$10))),$AM$10)</f>
        <v/>
      </c>
      <c r="AQ71">
        <f>IFERROR(IF(AZ71&lt;($AM$11-$AL$11)/($AN$11-$AL$11),$AL$11+SQRT(AZ71*($AN$11-$AL$11)*($AM$11-$AL$11)),$AN$11-SQRT((1-AZ71)*($AN$11-$AL$11)*($AN$11-$AM$11))),$AM$11)</f>
        <v/>
      </c>
      <c r="AR71">
        <f>SUMPRODUCT((B24:B31&lt;=$B$6)*(C24:C31*AM71+D24:D31*AO71*$B$8*AQ71)/(1+AL71/100)^B24:B31)+C32*AM71*AP71/(1+AL71/100)^$B$6</f>
        <v/>
      </c>
      <c r="AS71">
        <f>SUMPRODUCT((K24:K26&lt;=$B$6)*(L24:L26*AN71+M24:M26*AO71*$B$8*AQ71)/(1+AL71/100)^K24:K26)+L27*AN71*AP71/(1+AL71/100)^$B$6</f>
        <v/>
      </c>
      <c r="AT71">
        <f>AS71-AR71</f>
        <v/>
      </c>
      <c r="AU71">
        <f>RAND()</f>
        <v/>
      </c>
      <c r="AV71">
        <f>RAND()</f>
        <v/>
      </c>
      <c r="AW71">
        <f>RAND()</f>
        <v/>
      </c>
      <c r="AX71">
        <f>RAND()</f>
        <v/>
      </c>
      <c r="AY71">
        <f>RAND()</f>
        <v/>
      </c>
      <c r="AZ71">
        <f>RAND()</f>
        <v/>
      </c>
    </row>
    <row r="72">
      <c r="A72" s="33" t="n">
        <v>3.75</v>
      </c>
      <c r="B72" s="14">
        <f>SUMPRODUCT((B24:B31&lt;=$B$6)*(C24:C31*$B$11+D24:D31*$B$10*$B$8*$B$9)/(1+$A72/100)^B24:B31)+C32*$B$11*$B$13/(1+$A72/100)^$B$6</f>
        <v/>
      </c>
      <c r="C72" s="14">
        <f>SUMPRODUCT((K24:K26&lt;=$B$6)*(L24:L26*$B$12+M24:M26*$B$10*$B$8*$B$9)/(1+$A72/100)^K24:K26)+L27*$B$12*$B$13/(1+$A72/100)^$B$6</f>
        <v/>
      </c>
      <c r="D72" s="14">
        <f>C72-B72</f>
        <v/>
      </c>
      <c r="E72">
        <f>IF(D72&lt;0,"PCC","HMA")</f>
        <v/>
      </c>
      <c r="AK72" t="n">
        <v>59</v>
      </c>
      <c r="AL72">
        <f>IFERROR(IF(AU72&lt;($AM$6-$AL$6)/($AN$6-$AL$6),$AL$6+SQRT(AU72*($AN$6-$AL$6)*($AM$6-$AL$6)),$AN$6-SQRT((1-AU72)*($AN$6-$AL$6)*($AN$6-$AM$6))),$AM$6)</f>
        <v/>
      </c>
      <c r="AM72">
        <f>IFERROR(IF(AV72&lt;($AM$7-$AL$7)/($AN$7-$AL$7),$AL$7+SQRT(AV72*($AN$7-$AL$7)*($AM$7-$AL$7)),$AN$7-SQRT((1-AV72)*($AN$7-$AL$7)*($AN$7-$AM$7))),$AM$7)</f>
        <v/>
      </c>
      <c r="AN72">
        <f>IFERROR(IF(AW72&lt;($AM$8-$AL$8)/($AN$8-$AL$8),$AL$8+SQRT(AW72*($AN$8-$AL$8)*($AM$8-$AL$8)),$AN$8-SQRT((1-AW72)*($AN$8-$AL$8)*($AN$8-$AM$8))),$AM$8)</f>
        <v/>
      </c>
      <c r="AO72">
        <f>IFERROR(IF(AX72&lt;($AM$9-$AL$9)/($AN$9-$AL$9),$AL$9+SQRT(AX72*($AN$9-$AL$9)*($AM$9-$AL$9)),$AN$9-SQRT((1-AX72)*($AN$9-$AL$9)*($AN$9-$AM$9))),$AM$9)</f>
        <v/>
      </c>
      <c r="AP72">
        <f>IFERROR(IF(AY72&lt;($AM$10-$AL$10)/($AN$10-$AL$10),$AL$10+SQRT(AY72*($AN$10-$AL$10)*($AM$10-$AL$10)),$AN$10-SQRT((1-AY72)*($AN$10-$AL$10)*($AN$10-$AM$10))),$AM$10)</f>
        <v/>
      </c>
      <c r="AQ72">
        <f>IFERROR(IF(AZ72&lt;($AM$11-$AL$11)/($AN$11-$AL$11),$AL$11+SQRT(AZ72*($AN$11-$AL$11)*($AM$11-$AL$11)),$AN$11-SQRT((1-AZ72)*($AN$11-$AL$11)*($AN$11-$AM$11))),$AM$11)</f>
        <v/>
      </c>
      <c r="AR72">
        <f>SUMPRODUCT((B24:B31&lt;=$B$6)*(C24:C31*AM72+D24:D31*AO72*$B$8*AQ72)/(1+AL72/100)^B24:B31)+C32*AM72*AP72/(1+AL72/100)^$B$6</f>
        <v/>
      </c>
      <c r="AS72">
        <f>SUMPRODUCT((K24:K26&lt;=$B$6)*(L24:L26*AN72+M24:M26*AO72*$B$8*AQ72)/(1+AL72/100)^K24:K26)+L27*AN72*AP72/(1+AL72/100)^$B$6</f>
        <v/>
      </c>
      <c r="AT72">
        <f>AS72-AR72</f>
        <v/>
      </c>
      <c r="AU72">
        <f>RAND()</f>
        <v/>
      </c>
      <c r="AV72">
        <f>RAND()</f>
        <v/>
      </c>
      <c r="AW72">
        <f>RAND()</f>
        <v/>
      </c>
      <c r="AX72">
        <f>RAND()</f>
        <v/>
      </c>
      <c r="AY72">
        <f>RAND()</f>
        <v/>
      </c>
      <c r="AZ72">
        <f>RAND()</f>
        <v/>
      </c>
    </row>
    <row r="73">
      <c r="A73" s="33" t="n">
        <v>4</v>
      </c>
      <c r="B73" s="14">
        <f>SUMPRODUCT((B24:B31&lt;=$B$6)*(C24:C31*$B$11+D24:D31*$B$10*$B$8*$B$9)/(1+$A73/100)^B24:B31)+C32*$B$11*$B$13/(1+$A73/100)^$B$6</f>
        <v/>
      </c>
      <c r="C73" s="14">
        <f>SUMPRODUCT((K24:K26&lt;=$B$6)*(L24:L26*$B$12+M24:M26*$B$10*$B$8*$B$9)/(1+$A73/100)^K24:K26)+L27*$B$12*$B$13/(1+$A73/100)^$B$6</f>
        <v/>
      </c>
      <c r="D73" s="14">
        <f>C73-B73</f>
        <v/>
      </c>
      <c r="E73">
        <f>IF(D73&lt;0,"PCC","HMA")</f>
        <v/>
      </c>
      <c r="AK73" t="n">
        <v>60</v>
      </c>
      <c r="AL73">
        <f>IFERROR(IF(AU73&lt;($AM$6-$AL$6)/($AN$6-$AL$6),$AL$6+SQRT(AU73*($AN$6-$AL$6)*($AM$6-$AL$6)),$AN$6-SQRT((1-AU73)*($AN$6-$AL$6)*($AN$6-$AM$6))),$AM$6)</f>
        <v/>
      </c>
      <c r="AM73">
        <f>IFERROR(IF(AV73&lt;($AM$7-$AL$7)/($AN$7-$AL$7),$AL$7+SQRT(AV73*($AN$7-$AL$7)*($AM$7-$AL$7)),$AN$7-SQRT((1-AV73)*($AN$7-$AL$7)*($AN$7-$AM$7))),$AM$7)</f>
        <v/>
      </c>
      <c r="AN73">
        <f>IFERROR(IF(AW73&lt;($AM$8-$AL$8)/($AN$8-$AL$8),$AL$8+SQRT(AW73*($AN$8-$AL$8)*($AM$8-$AL$8)),$AN$8-SQRT((1-AW73)*($AN$8-$AL$8)*($AN$8-$AM$8))),$AM$8)</f>
        <v/>
      </c>
      <c r="AO73">
        <f>IFERROR(IF(AX73&lt;($AM$9-$AL$9)/($AN$9-$AL$9),$AL$9+SQRT(AX73*($AN$9-$AL$9)*($AM$9-$AL$9)),$AN$9-SQRT((1-AX73)*($AN$9-$AL$9)*($AN$9-$AM$9))),$AM$9)</f>
        <v/>
      </c>
      <c r="AP73">
        <f>IFERROR(IF(AY73&lt;($AM$10-$AL$10)/($AN$10-$AL$10),$AL$10+SQRT(AY73*($AN$10-$AL$10)*($AM$10-$AL$10)),$AN$10-SQRT((1-AY73)*($AN$10-$AL$10)*($AN$10-$AM$10))),$AM$10)</f>
        <v/>
      </c>
      <c r="AQ73">
        <f>IFERROR(IF(AZ73&lt;($AM$11-$AL$11)/($AN$11-$AL$11),$AL$11+SQRT(AZ73*($AN$11-$AL$11)*($AM$11-$AL$11)),$AN$11-SQRT((1-AZ73)*($AN$11-$AL$11)*($AN$11-$AM$11))),$AM$11)</f>
        <v/>
      </c>
      <c r="AR73">
        <f>SUMPRODUCT((B24:B31&lt;=$B$6)*(C24:C31*AM73+D24:D31*AO73*$B$8*AQ73)/(1+AL73/100)^B24:B31)+C32*AM73*AP73/(1+AL73/100)^$B$6</f>
        <v/>
      </c>
      <c r="AS73">
        <f>SUMPRODUCT((K24:K26&lt;=$B$6)*(L24:L26*AN73+M24:M26*AO73*$B$8*AQ73)/(1+AL73/100)^K24:K26)+L27*AN73*AP73/(1+AL73/100)^$B$6</f>
        <v/>
      </c>
      <c r="AT73">
        <f>AS73-AR73</f>
        <v/>
      </c>
      <c r="AU73">
        <f>RAND()</f>
        <v/>
      </c>
      <c r="AV73">
        <f>RAND()</f>
        <v/>
      </c>
      <c r="AW73">
        <f>RAND()</f>
        <v/>
      </c>
      <c r="AX73">
        <f>RAND()</f>
        <v/>
      </c>
      <c r="AY73">
        <f>RAND()</f>
        <v/>
      </c>
      <c r="AZ73">
        <f>RAND()</f>
        <v/>
      </c>
    </row>
    <row r="74">
      <c r="A74" s="33" t="n">
        <v>4.25</v>
      </c>
      <c r="B74" s="14">
        <f>SUMPRODUCT((B24:B31&lt;=$B$6)*(C24:C31*$B$11+D24:D31*$B$10*$B$8*$B$9)/(1+$A74/100)^B24:B31)+C32*$B$11*$B$13/(1+$A74/100)^$B$6</f>
        <v/>
      </c>
      <c r="C74" s="14">
        <f>SUMPRODUCT((K24:K26&lt;=$B$6)*(L24:L26*$B$12+M24:M26*$B$10*$B$8*$B$9)/(1+$A74/100)^K24:K26)+L27*$B$12*$B$13/(1+$A74/100)^$B$6</f>
        <v/>
      </c>
      <c r="D74" s="14">
        <f>C74-B74</f>
        <v/>
      </c>
      <c r="E74">
        <f>IF(D74&lt;0,"PCC","HMA")</f>
        <v/>
      </c>
      <c r="AK74" t="n">
        <v>61</v>
      </c>
      <c r="AL74">
        <f>IFERROR(IF(AU74&lt;($AM$6-$AL$6)/($AN$6-$AL$6),$AL$6+SQRT(AU74*($AN$6-$AL$6)*($AM$6-$AL$6)),$AN$6-SQRT((1-AU74)*($AN$6-$AL$6)*($AN$6-$AM$6))),$AM$6)</f>
        <v/>
      </c>
      <c r="AM74">
        <f>IFERROR(IF(AV74&lt;($AM$7-$AL$7)/($AN$7-$AL$7),$AL$7+SQRT(AV74*($AN$7-$AL$7)*($AM$7-$AL$7)),$AN$7-SQRT((1-AV74)*($AN$7-$AL$7)*($AN$7-$AM$7))),$AM$7)</f>
        <v/>
      </c>
      <c r="AN74">
        <f>IFERROR(IF(AW74&lt;($AM$8-$AL$8)/($AN$8-$AL$8),$AL$8+SQRT(AW74*($AN$8-$AL$8)*($AM$8-$AL$8)),$AN$8-SQRT((1-AW74)*($AN$8-$AL$8)*($AN$8-$AM$8))),$AM$8)</f>
        <v/>
      </c>
      <c r="AO74">
        <f>IFERROR(IF(AX74&lt;($AM$9-$AL$9)/($AN$9-$AL$9),$AL$9+SQRT(AX74*($AN$9-$AL$9)*($AM$9-$AL$9)),$AN$9-SQRT((1-AX74)*($AN$9-$AL$9)*($AN$9-$AM$9))),$AM$9)</f>
        <v/>
      </c>
      <c r="AP74">
        <f>IFERROR(IF(AY74&lt;($AM$10-$AL$10)/($AN$10-$AL$10),$AL$10+SQRT(AY74*($AN$10-$AL$10)*($AM$10-$AL$10)),$AN$10-SQRT((1-AY74)*($AN$10-$AL$10)*($AN$10-$AM$10))),$AM$10)</f>
        <v/>
      </c>
      <c r="AQ74">
        <f>IFERROR(IF(AZ74&lt;($AM$11-$AL$11)/($AN$11-$AL$11),$AL$11+SQRT(AZ74*($AN$11-$AL$11)*($AM$11-$AL$11)),$AN$11-SQRT((1-AZ74)*($AN$11-$AL$11)*($AN$11-$AM$11))),$AM$11)</f>
        <v/>
      </c>
      <c r="AR74">
        <f>SUMPRODUCT((B24:B31&lt;=$B$6)*(C24:C31*AM74+D24:D31*AO74*$B$8*AQ74)/(1+AL74/100)^B24:B31)+C32*AM74*AP74/(1+AL74/100)^$B$6</f>
        <v/>
      </c>
      <c r="AS74">
        <f>SUMPRODUCT((K24:K26&lt;=$B$6)*(L24:L26*AN74+M24:M26*AO74*$B$8*AQ74)/(1+AL74/100)^K24:K26)+L27*AN74*AP74/(1+AL74/100)^$B$6</f>
        <v/>
      </c>
      <c r="AT74">
        <f>AS74-AR74</f>
        <v/>
      </c>
      <c r="AU74">
        <f>RAND()</f>
        <v/>
      </c>
      <c r="AV74">
        <f>RAND()</f>
        <v/>
      </c>
      <c r="AW74">
        <f>RAND()</f>
        <v/>
      </c>
      <c r="AX74">
        <f>RAND()</f>
        <v/>
      </c>
      <c r="AY74">
        <f>RAND()</f>
        <v/>
      </c>
      <c r="AZ74">
        <f>RAND()</f>
        <v/>
      </c>
    </row>
    <row r="75">
      <c r="A75" s="33" t="n">
        <v>4.5</v>
      </c>
      <c r="B75" s="14">
        <f>SUMPRODUCT((B24:B31&lt;=$B$6)*(C24:C31*$B$11+D24:D31*$B$10*$B$8*$B$9)/(1+$A75/100)^B24:B31)+C32*$B$11*$B$13/(1+$A75/100)^$B$6</f>
        <v/>
      </c>
      <c r="C75" s="14">
        <f>SUMPRODUCT((K24:K26&lt;=$B$6)*(L24:L26*$B$12+M24:M26*$B$10*$B$8*$B$9)/(1+$A75/100)^K24:K26)+L27*$B$12*$B$13/(1+$A75/100)^$B$6</f>
        <v/>
      </c>
      <c r="D75" s="14">
        <f>C75-B75</f>
        <v/>
      </c>
      <c r="E75">
        <f>IF(D75&lt;0,"PCC","HMA")</f>
        <v/>
      </c>
      <c r="AK75" t="n">
        <v>62</v>
      </c>
      <c r="AL75">
        <f>IFERROR(IF(AU75&lt;($AM$6-$AL$6)/($AN$6-$AL$6),$AL$6+SQRT(AU75*($AN$6-$AL$6)*($AM$6-$AL$6)),$AN$6-SQRT((1-AU75)*($AN$6-$AL$6)*($AN$6-$AM$6))),$AM$6)</f>
        <v/>
      </c>
      <c r="AM75">
        <f>IFERROR(IF(AV75&lt;($AM$7-$AL$7)/($AN$7-$AL$7),$AL$7+SQRT(AV75*($AN$7-$AL$7)*($AM$7-$AL$7)),$AN$7-SQRT((1-AV75)*($AN$7-$AL$7)*($AN$7-$AM$7))),$AM$7)</f>
        <v/>
      </c>
      <c r="AN75">
        <f>IFERROR(IF(AW75&lt;($AM$8-$AL$8)/($AN$8-$AL$8),$AL$8+SQRT(AW75*($AN$8-$AL$8)*($AM$8-$AL$8)),$AN$8-SQRT((1-AW75)*($AN$8-$AL$8)*($AN$8-$AM$8))),$AM$8)</f>
        <v/>
      </c>
      <c r="AO75">
        <f>IFERROR(IF(AX75&lt;($AM$9-$AL$9)/($AN$9-$AL$9),$AL$9+SQRT(AX75*($AN$9-$AL$9)*($AM$9-$AL$9)),$AN$9-SQRT((1-AX75)*($AN$9-$AL$9)*($AN$9-$AM$9))),$AM$9)</f>
        <v/>
      </c>
      <c r="AP75">
        <f>IFERROR(IF(AY75&lt;($AM$10-$AL$10)/($AN$10-$AL$10),$AL$10+SQRT(AY75*($AN$10-$AL$10)*($AM$10-$AL$10)),$AN$10-SQRT((1-AY75)*($AN$10-$AL$10)*($AN$10-$AM$10))),$AM$10)</f>
        <v/>
      </c>
      <c r="AQ75">
        <f>IFERROR(IF(AZ75&lt;($AM$11-$AL$11)/($AN$11-$AL$11),$AL$11+SQRT(AZ75*($AN$11-$AL$11)*($AM$11-$AL$11)),$AN$11-SQRT((1-AZ75)*($AN$11-$AL$11)*($AN$11-$AM$11))),$AM$11)</f>
        <v/>
      </c>
      <c r="AR75">
        <f>SUMPRODUCT((B24:B31&lt;=$B$6)*(C24:C31*AM75+D24:D31*AO75*$B$8*AQ75)/(1+AL75/100)^B24:B31)+C32*AM75*AP75/(1+AL75/100)^$B$6</f>
        <v/>
      </c>
      <c r="AS75">
        <f>SUMPRODUCT((K24:K26&lt;=$B$6)*(L24:L26*AN75+M24:M26*AO75*$B$8*AQ75)/(1+AL75/100)^K24:K26)+L27*AN75*AP75/(1+AL75/100)^$B$6</f>
        <v/>
      </c>
      <c r="AT75">
        <f>AS75-AR75</f>
        <v/>
      </c>
      <c r="AU75">
        <f>RAND()</f>
        <v/>
      </c>
      <c r="AV75">
        <f>RAND()</f>
        <v/>
      </c>
      <c r="AW75">
        <f>RAND()</f>
        <v/>
      </c>
      <c r="AX75">
        <f>RAND()</f>
        <v/>
      </c>
      <c r="AY75">
        <f>RAND()</f>
        <v/>
      </c>
      <c r="AZ75">
        <f>RAND()</f>
        <v/>
      </c>
    </row>
    <row r="76">
      <c r="A76" s="33" t="n">
        <v>4.75</v>
      </c>
      <c r="B76" s="14">
        <f>SUMPRODUCT((B24:B31&lt;=$B$6)*(C24:C31*$B$11+D24:D31*$B$10*$B$8*$B$9)/(1+$A76/100)^B24:B31)+C32*$B$11*$B$13/(1+$A76/100)^$B$6</f>
        <v/>
      </c>
      <c r="C76" s="14">
        <f>SUMPRODUCT((K24:K26&lt;=$B$6)*(L24:L26*$B$12+M24:M26*$B$10*$B$8*$B$9)/(1+$A76/100)^K24:K26)+L27*$B$12*$B$13/(1+$A76/100)^$B$6</f>
        <v/>
      </c>
      <c r="D76" s="14">
        <f>C76-B76</f>
        <v/>
      </c>
      <c r="E76">
        <f>IF(D76&lt;0,"PCC","HMA")</f>
        <v/>
      </c>
      <c r="AK76" t="n">
        <v>63</v>
      </c>
      <c r="AL76">
        <f>IFERROR(IF(AU76&lt;($AM$6-$AL$6)/($AN$6-$AL$6),$AL$6+SQRT(AU76*($AN$6-$AL$6)*($AM$6-$AL$6)),$AN$6-SQRT((1-AU76)*($AN$6-$AL$6)*($AN$6-$AM$6))),$AM$6)</f>
        <v/>
      </c>
      <c r="AM76">
        <f>IFERROR(IF(AV76&lt;($AM$7-$AL$7)/($AN$7-$AL$7),$AL$7+SQRT(AV76*($AN$7-$AL$7)*($AM$7-$AL$7)),$AN$7-SQRT((1-AV76)*($AN$7-$AL$7)*($AN$7-$AM$7))),$AM$7)</f>
        <v/>
      </c>
      <c r="AN76">
        <f>IFERROR(IF(AW76&lt;($AM$8-$AL$8)/($AN$8-$AL$8),$AL$8+SQRT(AW76*($AN$8-$AL$8)*($AM$8-$AL$8)),$AN$8-SQRT((1-AW76)*($AN$8-$AL$8)*($AN$8-$AM$8))),$AM$8)</f>
        <v/>
      </c>
      <c r="AO76">
        <f>IFERROR(IF(AX76&lt;($AM$9-$AL$9)/($AN$9-$AL$9),$AL$9+SQRT(AX76*($AN$9-$AL$9)*($AM$9-$AL$9)),$AN$9-SQRT((1-AX76)*($AN$9-$AL$9)*($AN$9-$AM$9))),$AM$9)</f>
        <v/>
      </c>
      <c r="AP76">
        <f>IFERROR(IF(AY76&lt;($AM$10-$AL$10)/($AN$10-$AL$10),$AL$10+SQRT(AY76*($AN$10-$AL$10)*($AM$10-$AL$10)),$AN$10-SQRT((1-AY76)*($AN$10-$AL$10)*($AN$10-$AM$10))),$AM$10)</f>
        <v/>
      </c>
      <c r="AQ76">
        <f>IFERROR(IF(AZ76&lt;($AM$11-$AL$11)/($AN$11-$AL$11),$AL$11+SQRT(AZ76*($AN$11-$AL$11)*($AM$11-$AL$11)),$AN$11-SQRT((1-AZ76)*($AN$11-$AL$11)*($AN$11-$AM$11))),$AM$11)</f>
        <v/>
      </c>
      <c r="AR76">
        <f>SUMPRODUCT((B24:B31&lt;=$B$6)*(C24:C31*AM76+D24:D31*AO76*$B$8*AQ76)/(1+AL76/100)^B24:B31)+C32*AM76*AP76/(1+AL76/100)^$B$6</f>
        <v/>
      </c>
      <c r="AS76">
        <f>SUMPRODUCT((K24:K26&lt;=$B$6)*(L24:L26*AN76+M24:M26*AO76*$B$8*AQ76)/(1+AL76/100)^K24:K26)+L27*AN76*AP76/(1+AL76/100)^$B$6</f>
        <v/>
      </c>
      <c r="AT76">
        <f>AS76-AR76</f>
        <v/>
      </c>
      <c r="AU76">
        <f>RAND()</f>
        <v/>
      </c>
      <c r="AV76">
        <f>RAND()</f>
        <v/>
      </c>
      <c r="AW76">
        <f>RAND()</f>
        <v/>
      </c>
      <c r="AX76">
        <f>RAND()</f>
        <v/>
      </c>
      <c r="AY76">
        <f>RAND()</f>
        <v/>
      </c>
      <c r="AZ76">
        <f>RAND()</f>
        <v/>
      </c>
    </row>
    <row r="77">
      <c r="A77" s="33" t="n">
        <v>5</v>
      </c>
      <c r="B77" s="14">
        <f>SUMPRODUCT((B24:B31&lt;=$B$6)*(C24:C31*$B$11+D24:D31*$B$10*$B$8*$B$9)/(1+$A77/100)^B24:B31)+C32*$B$11*$B$13/(1+$A77/100)^$B$6</f>
        <v/>
      </c>
      <c r="C77" s="14">
        <f>SUMPRODUCT((K24:K26&lt;=$B$6)*(L24:L26*$B$12+M24:M26*$B$10*$B$8*$B$9)/(1+$A77/100)^K24:K26)+L27*$B$12*$B$13/(1+$A77/100)^$B$6</f>
        <v/>
      </c>
      <c r="D77" s="14">
        <f>C77-B77</f>
        <v/>
      </c>
      <c r="E77">
        <f>IF(D77&lt;0,"PCC","HMA")</f>
        <v/>
      </c>
      <c r="AK77" t="n">
        <v>64</v>
      </c>
      <c r="AL77">
        <f>IFERROR(IF(AU77&lt;($AM$6-$AL$6)/($AN$6-$AL$6),$AL$6+SQRT(AU77*($AN$6-$AL$6)*($AM$6-$AL$6)),$AN$6-SQRT((1-AU77)*($AN$6-$AL$6)*($AN$6-$AM$6))),$AM$6)</f>
        <v/>
      </c>
      <c r="AM77">
        <f>IFERROR(IF(AV77&lt;($AM$7-$AL$7)/($AN$7-$AL$7),$AL$7+SQRT(AV77*($AN$7-$AL$7)*($AM$7-$AL$7)),$AN$7-SQRT((1-AV77)*($AN$7-$AL$7)*($AN$7-$AM$7))),$AM$7)</f>
        <v/>
      </c>
      <c r="AN77">
        <f>IFERROR(IF(AW77&lt;($AM$8-$AL$8)/($AN$8-$AL$8),$AL$8+SQRT(AW77*($AN$8-$AL$8)*($AM$8-$AL$8)),$AN$8-SQRT((1-AW77)*($AN$8-$AL$8)*($AN$8-$AM$8))),$AM$8)</f>
        <v/>
      </c>
      <c r="AO77">
        <f>IFERROR(IF(AX77&lt;($AM$9-$AL$9)/($AN$9-$AL$9),$AL$9+SQRT(AX77*($AN$9-$AL$9)*($AM$9-$AL$9)),$AN$9-SQRT((1-AX77)*($AN$9-$AL$9)*($AN$9-$AM$9))),$AM$9)</f>
        <v/>
      </c>
      <c r="AP77">
        <f>IFERROR(IF(AY77&lt;($AM$10-$AL$10)/($AN$10-$AL$10),$AL$10+SQRT(AY77*($AN$10-$AL$10)*($AM$10-$AL$10)),$AN$10-SQRT((1-AY77)*($AN$10-$AL$10)*($AN$10-$AM$10))),$AM$10)</f>
        <v/>
      </c>
      <c r="AQ77">
        <f>IFERROR(IF(AZ77&lt;($AM$11-$AL$11)/($AN$11-$AL$11),$AL$11+SQRT(AZ77*($AN$11-$AL$11)*($AM$11-$AL$11)),$AN$11-SQRT((1-AZ77)*($AN$11-$AL$11)*($AN$11-$AM$11))),$AM$11)</f>
        <v/>
      </c>
      <c r="AR77">
        <f>SUMPRODUCT((B24:B31&lt;=$B$6)*(C24:C31*AM77+D24:D31*AO77*$B$8*AQ77)/(1+AL77/100)^B24:B31)+C32*AM77*AP77/(1+AL77/100)^$B$6</f>
        <v/>
      </c>
      <c r="AS77">
        <f>SUMPRODUCT((K24:K26&lt;=$B$6)*(L24:L26*AN77+M24:M26*AO77*$B$8*AQ77)/(1+AL77/100)^K24:K26)+L27*AN77*AP77/(1+AL77/100)^$B$6</f>
        <v/>
      </c>
      <c r="AT77">
        <f>AS77-AR77</f>
        <v/>
      </c>
      <c r="AU77">
        <f>RAND()</f>
        <v/>
      </c>
      <c r="AV77">
        <f>RAND()</f>
        <v/>
      </c>
      <c r="AW77">
        <f>RAND()</f>
        <v/>
      </c>
      <c r="AX77">
        <f>RAND()</f>
        <v/>
      </c>
      <c r="AY77">
        <f>RAND()</f>
        <v/>
      </c>
      <c r="AZ77">
        <f>RAND()</f>
        <v/>
      </c>
    </row>
    <row r="78">
      <c r="A78" s="33" t="n">
        <v>5.25</v>
      </c>
      <c r="B78" s="14">
        <f>SUMPRODUCT((B24:B31&lt;=$B$6)*(C24:C31*$B$11+D24:D31*$B$10*$B$8*$B$9)/(1+$A78/100)^B24:B31)+C32*$B$11*$B$13/(1+$A78/100)^$B$6</f>
        <v/>
      </c>
      <c r="C78" s="14">
        <f>SUMPRODUCT((K24:K26&lt;=$B$6)*(L24:L26*$B$12+M24:M26*$B$10*$B$8*$B$9)/(1+$A78/100)^K24:K26)+L27*$B$12*$B$13/(1+$A78/100)^$B$6</f>
        <v/>
      </c>
      <c r="D78" s="14">
        <f>C78-B78</f>
        <v/>
      </c>
      <c r="E78">
        <f>IF(D78&lt;0,"PCC","HMA")</f>
        <v/>
      </c>
      <c r="AK78" t="n">
        <v>65</v>
      </c>
      <c r="AL78">
        <f>IFERROR(IF(AU78&lt;($AM$6-$AL$6)/($AN$6-$AL$6),$AL$6+SQRT(AU78*($AN$6-$AL$6)*($AM$6-$AL$6)),$AN$6-SQRT((1-AU78)*($AN$6-$AL$6)*($AN$6-$AM$6))),$AM$6)</f>
        <v/>
      </c>
      <c r="AM78">
        <f>IFERROR(IF(AV78&lt;($AM$7-$AL$7)/($AN$7-$AL$7),$AL$7+SQRT(AV78*($AN$7-$AL$7)*($AM$7-$AL$7)),$AN$7-SQRT((1-AV78)*($AN$7-$AL$7)*($AN$7-$AM$7))),$AM$7)</f>
        <v/>
      </c>
      <c r="AN78">
        <f>IFERROR(IF(AW78&lt;($AM$8-$AL$8)/($AN$8-$AL$8),$AL$8+SQRT(AW78*($AN$8-$AL$8)*($AM$8-$AL$8)),$AN$8-SQRT((1-AW78)*($AN$8-$AL$8)*($AN$8-$AM$8))),$AM$8)</f>
        <v/>
      </c>
      <c r="AO78">
        <f>IFERROR(IF(AX78&lt;($AM$9-$AL$9)/($AN$9-$AL$9),$AL$9+SQRT(AX78*($AN$9-$AL$9)*($AM$9-$AL$9)),$AN$9-SQRT((1-AX78)*($AN$9-$AL$9)*($AN$9-$AM$9))),$AM$9)</f>
        <v/>
      </c>
      <c r="AP78">
        <f>IFERROR(IF(AY78&lt;($AM$10-$AL$10)/($AN$10-$AL$10),$AL$10+SQRT(AY78*($AN$10-$AL$10)*($AM$10-$AL$10)),$AN$10-SQRT((1-AY78)*($AN$10-$AL$10)*($AN$10-$AM$10))),$AM$10)</f>
        <v/>
      </c>
      <c r="AQ78">
        <f>IFERROR(IF(AZ78&lt;($AM$11-$AL$11)/($AN$11-$AL$11),$AL$11+SQRT(AZ78*($AN$11-$AL$11)*($AM$11-$AL$11)),$AN$11-SQRT((1-AZ78)*($AN$11-$AL$11)*($AN$11-$AM$11))),$AM$11)</f>
        <v/>
      </c>
      <c r="AR78">
        <f>SUMPRODUCT((B24:B31&lt;=$B$6)*(C24:C31*AM78+D24:D31*AO78*$B$8*AQ78)/(1+AL78/100)^B24:B31)+C32*AM78*AP78/(1+AL78/100)^$B$6</f>
        <v/>
      </c>
      <c r="AS78">
        <f>SUMPRODUCT((K24:K26&lt;=$B$6)*(L24:L26*AN78+M24:M26*AO78*$B$8*AQ78)/(1+AL78/100)^K24:K26)+L27*AN78*AP78/(1+AL78/100)^$B$6</f>
        <v/>
      </c>
      <c r="AT78">
        <f>AS78-AR78</f>
        <v/>
      </c>
      <c r="AU78">
        <f>RAND()</f>
        <v/>
      </c>
      <c r="AV78">
        <f>RAND()</f>
        <v/>
      </c>
      <c r="AW78">
        <f>RAND()</f>
        <v/>
      </c>
      <c r="AX78">
        <f>RAND()</f>
        <v/>
      </c>
      <c r="AY78">
        <f>RAND()</f>
        <v/>
      </c>
      <c r="AZ78">
        <f>RAND()</f>
        <v/>
      </c>
    </row>
    <row r="79">
      <c r="A79" s="33" t="n">
        <v>5.5</v>
      </c>
      <c r="B79" s="14">
        <f>SUMPRODUCT((B24:B31&lt;=$B$6)*(C24:C31*$B$11+D24:D31*$B$10*$B$8*$B$9)/(1+$A79/100)^B24:B31)+C32*$B$11*$B$13/(1+$A79/100)^$B$6</f>
        <v/>
      </c>
      <c r="C79" s="14">
        <f>SUMPRODUCT((K24:K26&lt;=$B$6)*(L24:L26*$B$12+M24:M26*$B$10*$B$8*$B$9)/(1+$A79/100)^K24:K26)+L27*$B$12*$B$13/(1+$A79/100)^$B$6</f>
        <v/>
      </c>
      <c r="D79" s="14">
        <f>C79-B79</f>
        <v/>
      </c>
      <c r="E79">
        <f>IF(D79&lt;0,"PCC","HMA")</f>
        <v/>
      </c>
      <c r="AK79" t="n">
        <v>66</v>
      </c>
      <c r="AL79">
        <f>IFERROR(IF(AU79&lt;($AM$6-$AL$6)/($AN$6-$AL$6),$AL$6+SQRT(AU79*($AN$6-$AL$6)*($AM$6-$AL$6)),$AN$6-SQRT((1-AU79)*($AN$6-$AL$6)*($AN$6-$AM$6))),$AM$6)</f>
        <v/>
      </c>
      <c r="AM79">
        <f>IFERROR(IF(AV79&lt;($AM$7-$AL$7)/($AN$7-$AL$7),$AL$7+SQRT(AV79*($AN$7-$AL$7)*($AM$7-$AL$7)),$AN$7-SQRT((1-AV79)*($AN$7-$AL$7)*($AN$7-$AM$7))),$AM$7)</f>
        <v/>
      </c>
      <c r="AN79">
        <f>IFERROR(IF(AW79&lt;($AM$8-$AL$8)/($AN$8-$AL$8),$AL$8+SQRT(AW79*($AN$8-$AL$8)*($AM$8-$AL$8)),$AN$8-SQRT((1-AW79)*($AN$8-$AL$8)*($AN$8-$AM$8))),$AM$8)</f>
        <v/>
      </c>
      <c r="AO79">
        <f>IFERROR(IF(AX79&lt;($AM$9-$AL$9)/($AN$9-$AL$9),$AL$9+SQRT(AX79*($AN$9-$AL$9)*($AM$9-$AL$9)),$AN$9-SQRT((1-AX79)*($AN$9-$AL$9)*($AN$9-$AM$9))),$AM$9)</f>
        <v/>
      </c>
      <c r="AP79">
        <f>IFERROR(IF(AY79&lt;($AM$10-$AL$10)/($AN$10-$AL$10),$AL$10+SQRT(AY79*($AN$10-$AL$10)*($AM$10-$AL$10)),$AN$10-SQRT((1-AY79)*($AN$10-$AL$10)*($AN$10-$AM$10))),$AM$10)</f>
        <v/>
      </c>
      <c r="AQ79">
        <f>IFERROR(IF(AZ79&lt;($AM$11-$AL$11)/($AN$11-$AL$11),$AL$11+SQRT(AZ79*($AN$11-$AL$11)*($AM$11-$AL$11)),$AN$11-SQRT((1-AZ79)*($AN$11-$AL$11)*($AN$11-$AM$11))),$AM$11)</f>
        <v/>
      </c>
      <c r="AR79">
        <f>SUMPRODUCT((B24:B31&lt;=$B$6)*(C24:C31*AM79+D24:D31*AO79*$B$8*AQ79)/(1+AL79/100)^B24:B31)+C32*AM79*AP79/(1+AL79/100)^$B$6</f>
        <v/>
      </c>
      <c r="AS79">
        <f>SUMPRODUCT((K24:K26&lt;=$B$6)*(L24:L26*AN79+M24:M26*AO79*$B$8*AQ79)/(1+AL79/100)^K24:K26)+L27*AN79*AP79/(1+AL79/100)^$B$6</f>
        <v/>
      </c>
      <c r="AT79">
        <f>AS79-AR79</f>
        <v/>
      </c>
      <c r="AU79">
        <f>RAND()</f>
        <v/>
      </c>
      <c r="AV79">
        <f>RAND()</f>
        <v/>
      </c>
      <c r="AW79">
        <f>RAND()</f>
        <v/>
      </c>
      <c r="AX79">
        <f>RAND()</f>
        <v/>
      </c>
      <c r="AY79">
        <f>RAND()</f>
        <v/>
      </c>
      <c r="AZ79">
        <f>RAND()</f>
        <v/>
      </c>
    </row>
    <row r="80">
      <c r="A80" s="33" t="n">
        <v>5.75</v>
      </c>
      <c r="B80" s="14">
        <f>SUMPRODUCT((B24:B31&lt;=$B$6)*(C24:C31*$B$11+D24:D31*$B$10*$B$8*$B$9)/(1+$A80/100)^B24:B31)+C32*$B$11*$B$13/(1+$A80/100)^$B$6</f>
        <v/>
      </c>
      <c r="C80" s="14">
        <f>SUMPRODUCT((K24:K26&lt;=$B$6)*(L24:L26*$B$12+M24:M26*$B$10*$B$8*$B$9)/(1+$A80/100)^K24:K26)+L27*$B$12*$B$13/(1+$A80/100)^$B$6</f>
        <v/>
      </c>
      <c r="D80" s="14">
        <f>C80-B80</f>
        <v/>
      </c>
      <c r="E80">
        <f>IF(D80&lt;0,"PCC","HMA")</f>
        <v/>
      </c>
      <c r="AK80" t="n">
        <v>67</v>
      </c>
      <c r="AL80">
        <f>IFERROR(IF(AU80&lt;($AM$6-$AL$6)/($AN$6-$AL$6),$AL$6+SQRT(AU80*($AN$6-$AL$6)*($AM$6-$AL$6)),$AN$6-SQRT((1-AU80)*($AN$6-$AL$6)*($AN$6-$AM$6))),$AM$6)</f>
        <v/>
      </c>
      <c r="AM80">
        <f>IFERROR(IF(AV80&lt;($AM$7-$AL$7)/($AN$7-$AL$7),$AL$7+SQRT(AV80*($AN$7-$AL$7)*($AM$7-$AL$7)),$AN$7-SQRT((1-AV80)*($AN$7-$AL$7)*($AN$7-$AM$7))),$AM$7)</f>
        <v/>
      </c>
      <c r="AN80">
        <f>IFERROR(IF(AW80&lt;($AM$8-$AL$8)/($AN$8-$AL$8),$AL$8+SQRT(AW80*($AN$8-$AL$8)*($AM$8-$AL$8)),$AN$8-SQRT((1-AW80)*($AN$8-$AL$8)*($AN$8-$AM$8))),$AM$8)</f>
        <v/>
      </c>
      <c r="AO80">
        <f>IFERROR(IF(AX80&lt;($AM$9-$AL$9)/($AN$9-$AL$9),$AL$9+SQRT(AX80*($AN$9-$AL$9)*($AM$9-$AL$9)),$AN$9-SQRT((1-AX80)*($AN$9-$AL$9)*($AN$9-$AM$9))),$AM$9)</f>
        <v/>
      </c>
      <c r="AP80">
        <f>IFERROR(IF(AY80&lt;($AM$10-$AL$10)/($AN$10-$AL$10),$AL$10+SQRT(AY80*($AN$10-$AL$10)*($AM$10-$AL$10)),$AN$10-SQRT((1-AY80)*($AN$10-$AL$10)*($AN$10-$AM$10))),$AM$10)</f>
        <v/>
      </c>
      <c r="AQ80">
        <f>IFERROR(IF(AZ80&lt;($AM$11-$AL$11)/($AN$11-$AL$11),$AL$11+SQRT(AZ80*($AN$11-$AL$11)*($AM$11-$AL$11)),$AN$11-SQRT((1-AZ80)*($AN$11-$AL$11)*($AN$11-$AM$11))),$AM$11)</f>
        <v/>
      </c>
      <c r="AR80">
        <f>SUMPRODUCT((B24:B31&lt;=$B$6)*(C24:C31*AM80+D24:D31*AO80*$B$8*AQ80)/(1+AL80/100)^B24:B31)+C32*AM80*AP80/(1+AL80/100)^$B$6</f>
        <v/>
      </c>
      <c r="AS80">
        <f>SUMPRODUCT((K24:K26&lt;=$B$6)*(L24:L26*AN80+M24:M26*AO80*$B$8*AQ80)/(1+AL80/100)^K24:K26)+L27*AN80*AP80/(1+AL80/100)^$B$6</f>
        <v/>
      </c>
      <c r="AT80">
        <f>AS80-AR80</f>
        <v/>
      </c>
      <c r="AU80">
        <f>RAND()</f>
        <v/>
      </c>
      <c r="AV80">
        <f>RAND()</f>
        <v/>
      </c>
      <c r="AW80">
        <f>RAND()</f>
        <v/>
      </c>
      <c r="AX80">
        <f>RAND()</f>
        <v/>
      </c>
      <c r="AY80">
        <f>RAND()</f>
        <v/>
      </c>
      <c r="AZ80">
        <f>RAND()</f>
        <v/>
      </c>
    </row>
    <row r="81">
      <c r="A81" s="33" t="n">
        <v>6</v>
      </c>
      <c r="B81" s="14">
        <f>SUMPRODUCT((B24:B31&lt;=$B$6)*(C24:C31*$B$11+D24:D31*$B$10*$B$8*$B$9)/(1+$A81/100)^B24:B31)+C32*$B$11*$B$13/(1+$A81/100)^$B$6</f>
        <v/>
      </c>
      <c r="C81" s="14">
        <f>SUMPRODUCT((K24:K26&lt;=$B$6)*(L24:L26*$B$12+M24:M26*$B$10*$B$8*$B$9)/(1+$A81/100)^K24:K26)+L27*$B$12*$B$13/(1+$A81/100)^$B$6</f>
        <v/>
      </c>
      <c r="D81" s="14">
        <f>C81-B81</f>
        <v/>
      </c>
      <c r="E81">
        <f>IF(D81&lt;0,"PCC","HMA")</f>
        <v/>
      </c>
      <c r="AK81" t="n">
        <v>68</v>
      </c>
      <c r="AL81">
        <f>IFERROR(IF(AU81&lt;($AM$6-$AL$6)/($AN$6-$AL$6),$AL$6+SQRT(AU81*($AN$6-$AL$6)*($AM$6-$AL$6)),$AN$6-SQRT((1-AU81)*($AN$6-$AL$6)*($AN$6-$AM$6))),$AM$6)</f>
        <v/>
      </c>
      <c r="AM81">
        <f>IFERROR(IF(AV81&lt;($AM$7-$AL$7)/($AN$7-$AL$7),$AL$7+SQRT(AV81*($AN$7-$AL$7)*($AM$7-$AL$7)),$AN$7-SQRT((1-AV81)*($AN$7-$AL$7)*($AN$7-$AM$7))),$AM$7)</f>
        <v/>
      </c>
      <c r="AN81">
        <f>IFERROR(IF(AW81&lt;($AM$8-$AL$8)/($AN$8-$AL$8),$AL$8+SQRT(AW81*($AN$8-$AL$8)*($AM$8-$AL$8)),$AN$8-SQRT((1-AW81)*($AN$8-$AL$8)*($AN$8-$AM$8))),$AM$8)</f>
        <v/>
      </c>
      <c r="AO81">
        <f>IFERROR(IF(AX81&lt;($AM$9-$AL$9)/($AN$9-$AL$9),$AL$9+SQRT(AX81*($AN$9-$AL$9)*($AM$9-$AL$9)),$AN$9-SQRT((1-AX81)*($AN$9-$AL$9)*($AN$9-$AM$9))),$AM$9)</f>
        <v/>
      </c>
      <c r="AP81">
        <f>IFERROR(IF(AY81&lt;($AM$10-$AL$10)/($AN$10-$AL$10),$AL$10+SQRT(AY81*($AN$10-$AL$10)*($AM$10-$AL$10)),$AN$10-SQRT((1-AY81)*($AN$10-$AL$10)*($AN$10-$AM$10))),$AM$10)</f>
        <v/>
      </c>
      <c r="AQ81">
        <f>IFERROR(IF(AZ81&lt;($AM$11-$AL$11)/($AN$11-$AL$11),$AL$11+SQRT(AZ81*($AN$11-$AL$11)*($AM$11-$AL$11)),$AN$11-SQRT((1-AZ81)*($AN$11-$AL$11)*($AN$11-$AM$11))),$AM$11)</f>
        <v/>
      </c>
      <c r="AR81">
        <f>SUMPRODUCT((B24:B31&lt;=$B$6)*(C24:C31*AM81+D24:D31*AO81*$B$8*AQ81)/(1+AL81/100)^B24:B31)+C32*AM81*AP81/(1+AL81/100)^$B$6</f>
        <v/>
      </c>
      <c r="AS81">
        <f>SUMPRODUCT((K24:K26&lt;=$B$6)*(L24:L26*AN81+M24:M26*AO81*$B$8*AQ81)/(1+AL81/100)^K24:K26)+L27*AN81*AP81/(1+AL81/100)^$B$6</f>
        <v/>
      </c>
      <c r="AT81">
        <f>AS81-AR81</f>
        <v/>
      </c>
      <c r="AU81">
        <f>RAND()</f>
        <v/>
      </c>
      <c r="AV81">
        <f>RAND()</f>
        <v/>
      </c>
      <c r="AW81">
        <f>RAND()</f>
        <v/>
      </c>
      <c r="AX81">
        <f>RAND()</f>
        <v/>
      </c>
      <c r="AY81">
        <f>RAND()</f>
        <v/>
      </c>
      <c r="AZ81">
        <f>RAND()</f>
        <v/>
      </c>
    </row>
    <row r="82">
      <c r="A82" s="33" t="n">
        <v>6.25</v>
      </c>
      <c r="B82" s="14">
        <f>SUMPRODUCT((B24:B31&lt;=$B$6)*(C24:C31*$B$11+D24:D31*$B$10*$B$8*$B$9)/(1+$A82/100)^B24:B31)+C32*$B$11*$B$13/(1+$A82/100)^$B$6</f>
        <v/>
      </c>
      <c r="C82" s="14">
        <f>SUMPRODUCT((K24:K26&lt;=$B$6)*(L24:L26*$B$12+M24:M26*$B$10*$B$8*$B$9)/(1+$A82/100)^K24:K26)+L27*$B$12*$B$13/(1+$A82/100)^$B$6</f>
        <v/>
      </c>
      <c r="D82" s="14">
        <f>C82-B82</f>
        <v/>
      </c>
      <c r="E82">
        <f>IF(D82&lt;0,"PCC","HMA")</f>
        <v/>
      </c>
      <c r="AK82" t="n">
        <v>69</v>
      </c>
      <c r="AL82">
        <f>IFERROR(IF(AU82&lt;($AM$6-$AL$6)/($AN$6-$AL$6),$AL$6+SQRT(AU82*($AN$6-$AL$6)*($AM$6-$AL$6)),$AN$6-SQRT((1-AU82)*($AN$6-$AL$6)*($AN$6-$AM$6))),$AM$6)</f>
        <v/>
      </c>
      <c r="AM82">
        <f>IFERROR(IF(AV82&lt;($AM$7-$AL$7)/($AN$7-$AL$7),$AL$7+SQRT(AV82*($AN$7-$AL$7)*($AM$7-$AL$7)),$AN$7-SQRT((1-AV82)*($AN$7-$AL$7)*($AN$7-$AM$7))),$AM$7)</f>
        <v/>
      </c>
      <c r="AN82">
        <f>IFERROR(IF(AW82&lt;($AM$8-$AL$8)/($AN$8-$AL$8),$AL$8+SQRT(AW82*($AN$8-$AL$8)*($AM$8-$AL$8)),$AN$8-SQRT((1-AW82)*($AN$8-$AL$8)*($AN$8-$AM$8))),$AM$8)</f>
        <v/>
      </c>
      <c r="AO82">
        <f>IFERROR(IF(AX82&lt;($AM$9-$AL$9)/($AN$9-$AL$9),$AL$9+SQRT(AX82*($AN$9-$AL$9)*($AM$9-$AL$9)),$AN$9-SQRT((1-AX82)*($AN$9-$AL$9)*($AN$9-$AM$9))),$AM$9)</f>
        <v/>
      </c>
      <c r="AP82">
        <f>IFERROR(IF(AY82&lt;($AM$10-$AL$10)/($AN$10-$AL$10),$AL$10+SQRT(AY82*($AN$10-$AL$10)*($AM$10-$AL$10)),$AN$10-SQRT((1-AY82)*($AN$10-$AL$10)*($AN$10-$AM$10))),$AM$10)</f>
        <v/>
      </c>
      <c r="AQ82">
        <f>IFERROR(IF(AZ82&lt;($AM$11-$AL$11)/($AN$11-$AL$11),$AL$11+SQRT(AZ82*($AN$11-$AL$11)*($AM$11-$AL$11)),$AN$11-SQRT((1-AZ82)*($AN$11-$AL$11)*($AN$11-$AM$11))),$AM$11)</f>
        <v/>
      </c>
      <c r="AR82">
        <f>SUMPRODUCT((B24:B31&lt;=$B$6)*(C24:C31*AM82+D24:D31*AO82*$B$8*AQ82)/(1+AL82/100)^B24:B31)+C32*AM82*AP82/(1+AL82/100)^$B$6</f>
        <v/>
      </c>
      <c r="AS82">
        <f>SUMPRODUCT((K24:K26&lt;=$B$6)*(L24:L26*AN82+M24:M26*AO82*$B$8*AQ82)/(1+AL82/100)^K24:K26)+L27*AN82*AP82/(1+AL82/100)^$B$6</f>
        <v/>
      </c>
      <c r="AT82">
        <f>AS82-AR82</f>
        <v/>
      </c>
      <c r="AU82">
        <f>RAND()</f>
        <v/>
      </c>
      <c r="AV82">
        <f>RAND()</f>
        <v/>
      </c>
      <c r="AW82">
        <f>RAND()</f>
        <v/>
      </c>
      <c r="AX82">
        <f>RAND()</f>
        <v/>
      </c>
      <c r="AY82">
        <f>RAND()</f>
        <v/>
      </c>
      <c r="AZ82">
        <f>RAND()</f>
        <v/>
      </c>
    </row>
    <row r="83">
      <c r="A83" s="33" t="n">
        <v>6.5</v>
      </c>
      <c r="B83" s="14">
        <f>SUMPRODUCT((B24:B31&lt;=$B$6)*(C24:C31*$B$11+D24:D31*$B$10*$B$8*$B$9)/(1+$A83/100)^B24:B31)+C32*$B$11*$B$13/(1+$A83/100)^$B$6</f>
        <v/>
      </c>
      <c r="C83" s="14">
        <f>SUMPRODUCT((K24:K26&lt;=$B$6)*(L24:L26*$B$12+M24:M26*$B$10*$B$8*$B$9)/(1+$A83/100)^K24:K26)+L27*$B$12*$B$13/(1+$A83/100)^$B$6</f>
        <v/>
      </c>
      <c r="D83" s="14">
        <f>C83-B83</f>
        <v/>
      </c>
      <c r="E83">
        <f>IF(D83&lt;0,"PCC","HMA")</f>
        <v/>
      </c>
      <c r="AK83" t="n">
        <v>70</v>
      </c>
      <c r="AL83">
        <f>IFERROR(IF(AU83&lt;($AM$6-$AL$6)/($AN$6-$AL$6),$AL$6+SQRT(AU83*($AN$6-$AL$6)*($AM$6-$AL$6)),$AN$6-SQRT((1-AU83)*($AN$6-$AL$6)*($AN$6-$AM$6))),$AM$6)</f>
        <v/>
      </c>
      <c r="AM83">
        <f>IFERROR(IF(AV83&lt;($AM$7-$AL$7)/($AN$7-$AL$7),$AL$7+SQRT(AV83*($AN$7-$AL$7)*($AM$7-$AL$7)),$AN$7-SQRT((1-AV83)*($AN$7-$AL$7)*($AN$7-$AM$7))),$AM$7)</f>
        <v/>
      </c>
      <c r="AN83">
        <f>IFERROR(IF(AW83&lt;($AM$8-$AL$8)/($AN$8-$AL$8),$AL$8+SQRT(AW83*($AN$8-$AL$8)*($AM$8-$AL$8)),$AN$8-SQRT((1-AW83)*($AN$8-$AL$8)*($AN$8-$AM$8))),$AM$8)</f>
        <v/>
      </c>
      <c r="AO83">
        <f>IFERROR(IF(AX83&lt;($AM$9-$AL$9)/($AN$9-$AL$9),$AL$9+SQRT(AX83*($AN$9-$AL$9)*($AM$9-$AL$9)),$AN$9-SQRT((1-AX83)*($AN$9-$AL$9)*($AN$9-$AM$9))),$AM$9)</f>
        <v/>
      </c>
      <c r="AP83">
        <f>IFERROR(IF(AY83&lt;($AM$10-$AL$10)/($AN$10-$AL$10),$AL$10+SQRT(AY83*($AN$10-$AL$10)*($AM$10-$AL$10)),$AN$10-SQRT((1-AY83)*($AN$10-$AL$10)*($AN$10-$AM$10))),$AM$10)</f>
        <v/>
      </c>
      <c r="AQ83">
        <f>IFERROR(IF(AZ83&lt;($AM$11-$AL$11)/($AN$11-$AL$11),$AL$11+SQRT(AZ83*($AN$11-$AL$11)*($AM$11-$AL$11)),$AN$11-SQRT((1-AZ83)*($AN$11-$AL$11)*($AN$11-$AM$11))),$AM$11)</f>
        <v/>
      </c>
      <c r="AR83">
        <f>SUMPRODUCT((B24:B31&lt;=$B$6)*(C24:C31*AM83+D24:D31*AO83*$B$8*AQ83)/(1+AL83/100)^B24:B31)+C32*AM83*AP83/(1+AL83/100)^$B$6</f>
        <v/>
      </c>
      <c r="AS83">
        <f>SUMPRODUCT((K24:K26&lt;=$B$6)*(L24:L26*AN83+M24:M26*AO83*$B$8*AQ83)/(1+AL83/100)^K24:K26)+L27*AN83*AP83/(1+AL83/100)^$B$6</f>
        <v/>
      </c>
      <c r="AT83">
        <f>AS83-AR83</f>
        <v/>
      </c>
      <c r="AU83">
        <f>RAND()</f>
        <v/>
      </c>
      <c r="AV83">
        <f>RAND()</f>
        <v/>
      </c>
      <c r="AW83">
        <f>RAND()</f>
        <v/>
      </c>
      <c r="AX83">
        <f>RAND()</f>
        <v/>
      </c>
      <c r="AY83">
        <f>RAND()</f>
        <v/>
      </c>
      <c r="AZ83">
        <f>RAND()</f>
        <v/>
      </c>
    </row>
    <row r="84">
      <c r="A84" s="33" t="n">
        <v>6.75</v>
      </c>
      <c r="B84" s="14">
        <f>SUMPRODUCT((B24:B31&lt;=$B$6)*(C24:C31*$B$11+D24:D31*$B$10*$B$8*$B$9)/(1+$A84/100)^B24:B31)+C32*$B$11*$B$13/(1+$A84/100)^$B$6</f>
        <v/>
      </c>
      <c r="C84" s="14">
        <f>SUMPRODUCT((K24:K26&lt;=$B$6)*(L24:L26*$B$12+M24:M26*$B$10*$B$8*$B$9)/(1+$A84/100)^K24:K26)+L27*$B$12*$B$13/(1+$A84/100)^$B$6</f>
        <v/>
      </c>
      <c r="D84" s="14">
        <f>C84-B84</f>
        <v/>
      </c>
      <c r="E84">
        <f>IF(D84&lt;0,"PCC","HMA")</f>
        <v/>
      </c>
      <c r="AK84" t="n">
        <v>71</v>
      </c>
      <c r="AL84">
        <f>IFERROR(IF(AU84&lt;($AM$6-$AL$6)/($AN$6-$AL$6),$AL$6+SQRT(AU84*($AN$6-$AL$6)*($AM$6-$AL$6)),$AN$6-SQRT((1-AU84)*($AN$6-$AL$6)*($AN$6-$AM$6))),$AM$6)</f>
        <v/>
      </c>
      <c r="AM84">
        <f>IFERROR(IF(AV84&lt;($AM$7-$AL$7)/($AN$7-$AL$7),$AL$7+SQRT(AV84*($AN$7-$AL$7)*($AM$7-$AL$7)),$AN$7-SQRT((1-AV84)*($AN$7-$AL$7)*($AN$7-$AM$7))),$AM$7)</f>
        <v/>
      </c>
      <c r="AN84">
        <f>IFERROR(IF(AW84&lt;($AM$8-$AL$8)/($AN$8-$AL$8),$AL$8+SQRT(AW84*($AN$8-$AL$8)*($AM$8-$AL$8)),$AN$8-SQRT((1-AW84)*($AN$8-$AL$8)*($AN$8-$AM$8))),$AM$8)</f>
        <v/>
      </c>
      <c r="AO84">
        <f>IFERROR(IF(AX84&lt;($AM$9-$AL$9)/($AN$9-$AL$9),$AL$9+SQRT(AX84*($AN$9-$AL$9)*($AM$9-$AL$9)),$AN$9-SQRT((1-AX84)*($AN$9-$AL$9)*($AN$9-$AM$9))),$AM$9)</f>
        <v/>
      </c>
      <c r="AP84">
        <f>IFERROR(IF(AY84&lt;($AM$10-$AL$10)/($AN$10-$AL$10),$AL$10+SQRT(AY84*($AN$10-$AL$10)*($AM$10-$AL$10)),$AN$10-SQRT((1-AY84)*($AN$10-$AL$10)*($AN$10-$AM$10))),$AM$10)</f>
        <v/>
      </c>
      <c r="AQ84">
        <f>IFERROR(IF(AZ84&lt;($AM$11-$AL$11)/($AN$11-$AL$11),$AL$11+SQRT(AZ84*($AN$11-$AL$11)*($AM$11-$AL$11)),$AN$11-SQRT((1-AZ84)*($AN$11-$AL$11)*($AN$11-$AM$11))),$AM$11)</f>
        <v/>
      </c>
      <c r="AR84">
        <f>SUMPRODUCT((B24:B31&lt;=$B$6)*(C24:C31*AM84+D24:D31*AO84*$B$8*AQ84)/(1+AL84/100)^B24:B31)+C32*AM84*AP84/(1+AL84/100)^$B$6</f>
        <v/>
      </c>
      <c r="AS84">
        <f>SUMPRODUCT((K24:K26&lt;=$B$6)*(L24:L26*AN84+M24:M26*AO84*$B$8*AQ84)/(1+AL84/100)^K24:K26)+L27*AN84*AP84/(1+AL84/100)^$B$6</f>
        <v/>
      </c>
      <c r="AT84">
        <f>AS84-AR84</f>
        <v/>
      </c>
      <c r="AU84">
        <f>RAND()</f>
        <v/>
      </c>
      <c r="AV84">
        <f>RAND()</f>
        <v/>
      </c>
      <c r="AW84">
        <f>RAND()</f>
        <v/>
      </c>
      <c r="AX84">
        <f>RAND()</f>
        <v/>
      </c>
      <c r="AY84">
        <f>RAND()</f>
        <v/>
      </c>
      <c r="AZ84">
        <f>RAND()</f>
        <v/>
      </c>
    </row>
    <row r="85">
      <c r="A85" s="33" t="n">
        <v>7</v>
      </c>
      <c r="B85" s="14">
        <f>SUMPRODUCT((B24:B31&lt;=$B$6)*(C24:C31*$B$11+D24:D31*$B$10*$B$8*$B$9)/(1+$A85/100)^B24:B31)+C32*$B$11*$B$13/(1+$A85/100)^$B$6</f>
        <v/>
      </c>
      <c r="C85" s="14">
        <f>SUMPRODUCT((K24:K26&lt;=$B$6)*(L24:L26*$B$12+M24:M26*$B$10*$B$8*$B$9)/(1+$A85/100)^K24:K26)+L27*$B$12*$B$13/(1+$A85/100)^$B$6</f>
        <v/>
      </c>
      <c r="D85" s="14">
        <f>C85-B85</f>
        <v/>
      </c>
      <c r="E85">
        <f>IF(D85&lt;0,"PCC","HMA")</f>
        <v/>
      </c>
      <c r="AK85" t="n">
        <v>72</v>
      </c>
      <c r="AL85">
        <f>IFERROR(IF(AU85&lt;($AM$6-$AL$6)/($AN$6-$AL$6),$AL$6+SQRT(AU85*($AN$6-$AL$6)*($AM$6-$AL$6)),$AN$6-SQRT((1-AU85)*($AN$6-$AL$6)*($AN$6-$AM$6))),$AM$6)</f>
        <v/>
      </c>
      <c r="AM85">
        <f>IFERROR(IF(AV85&lt;($AM$7-$AL$7)/($AN$7-$AL$7),$AL$7+SQRT(AV85*($AN$7-$AL$7)*($AM$7-$AL$7)),$AN$7-SQRT((1-AV85)*($AN$7-$AL$7)*($AN$7-$AM$7))),$AM$7)</f>
        <v/>
      </c>
      <c r="AN85">
        <f>IFERROR(IF(AW85&lt;($AM$8-$AL$8)/($AN$8-$AL$8),$AL$8+SQRT(AW85*($AN$8-$AL$8)*($AM$8-$AL$8)),$AN$8-SQRT((1-AW85)*($AN$8-$AL$8)*($AN$8-$AM$8))),$AM$8)</f>
        <v/>
      </c>
      <c r="AO85">
        <f>IFERROR(IF(AX85&lt;($AM$9-$AL$9)/($AN$9-$AL$9),$AL$9+SQRT(AX85*($AN$9-$AL$9)*($AM$9-$AL$9)),$AN$9-SQRT((1-AX85)*($AN$9-$AL$9)*($AN$9-$AM$9))),$AM$9)</f>
        <v/>
      </c>
      <c r="AP85">
        <f>IFERROR(IF(AY85&lt;($AM$10-$AL$10)/($AN$10-$AL$10),$AL$10+SQRT(AY85*($AN$10-$AL$10)*($AM$10-$AL$10)),$AN$10-SQRT((1-AY85)*($AN$10-$AL$10)*($AN$10-$AM$10))),$AM$10)</f>
        <v/>
      </c>
      <c r="AQ85">
        <f>IFERROR(IF(AZ85&lt;($AM$11-$AL$11)/($AN$11-$AL$11),$AL$11+SQRT(AZ85*($AN$11-$AL$11)*($AM$11-$AL$11)),$AN$11-SQRT((1-AZ85)*($AN$11-$AL$11)*($AN$11-$AM$11))),$AM$11)</f>
        <v/>
      </c>
      <c r="AR85">
        <f>SUMPRODUCT((B24:B31&lt;=$B$6)*(C24:C31*AM85+D24:D31*AO85*$B$8*AQ85)/(1+AL85/100)^B24:B31)+C32*AM85*AP85/(1+AL85/100)^$B$6</f>
        <v/>
      </c>
      <c r="AS85">
        <f>SUMPRODUCT((K24:K26&lt;=$B$6)*(L24:L26*AN85+M24:M26*AO85*$B$8*AQ85)/(1+AL85/100)^K24:K26)+L27*AN85*AP85/(1+AL85/100)^$B$6</f>
        <v/>
      </c>
      <c r="AT85">
        <f>AS85-AR85</f>
        <v/>
      </c>
      <c r="AU85">
        <f>RAND()</f>
        <v/>
      </c>
      <c r="AV85">
        <f>RAND()</f>
        <v/>
      </c>
      <c r="AW85">
        <f>RAND()</f>
        <v/>
      </c>
      <c r="AX85">
        <f>RAND()</f>
        <v/>
      </c>
      <c r="AY85">
        <f>RAND()</f>
        <v/>
      </c>
      <c r="AZ85">
        <f>RAND()</f>
        <v/>
      </c>
    </row>
    <row r="86">
      <c r="A86" s="33" t="n">
        <v>7.25</v>
      </c>
      <c r="B86" s="14">
        <f>SUMPRODUCT((B24:B31&lt;=$B$6)*(C24:C31*$B$11+D24:D31*$B$10*$B$8*$B$9)/(1+$A86/100)^B24:B31)+C32*$B$11*$B$13/(1+$A86/100)^$B$6</f>
        <v/>
      </c>
      <c r="C86" s="14">
        <f>SUMPRODUCT((K24:K26&lt;=$B$6)*(L24:L26*$B$12+M24:M26*$B$10*$B$8*$B$9)/(1+$A86/100)^K24:K26)+L27*$B$12*$B$13/(1+$A86/100)^$B$6</f>
        <v/>
      </c>
      <c r="D86" s="14">
        <f>C86-B86</f>
        <v/>
      </c>
      <c r="E86">
        <f>IF(D86&lt;0,"PCC","HMA")</f>
        <v/>
      </c>
      <c r="AK86" t="n">
        <v>73</v>
      </c>
      <c r="AL86">
        <f>IFERROR(IF(AU86&lt;($AM$6-$AL$6)/($AN$6-$AL$6),$AL$6+SQRT(AU86*($AN$6-$AL$6)*($AM$6-$AL$6)),$AN$6-SQRT((1-AU86)*($AN$6-$AL$6)*($AN$6-$AM$6))),$AM$6)</f>
        <v/>
      </c>
      <c r="AM86">
        <f>IFERROR(IF(AV86&lt;($AM$7-$AL$7)/($AN$7-$AL$7),$AL$7+SQRT(AV86*($AN$7-$AL$7)*($AM$7-$AL$7)),$AN$7-SQRT((1-AV86)*($AN$7-$AL$7)*($AN$7-$AM$7))),$AM$7)</f>
        <v/>
      </c>
      <c r="AN86">
        <f>IFERROR(IF(AW86&lt;($AM$8-$AL$8)/($AN$8-$AL$8),$AL$8+SQRT(AW86*($AN$8-$AL$8)*($AM$8-$AL$8)),$AN$8-SQRT((1-AW86)*($AN$8-$AL$8)*($AN$8-$AM$8))),$AM$8)</f>
        <v/>
      </c>
      <c r="AO86">
        <f>IFERROR(IF(AX86&lt;($AM$9-$AL$9)/($AN$9-$AL$9),$AL$9+SQRT(AX86*($AN$9-$AL$9)*($AM$9-$AL$9)),$AN$9-SQRT((1-AX86)*($AN$9-$AL$9)*($AN$9-$AM$9))),$AM$9)</f>
        <v/>
      </c>
      <c r="AP86">
        <f>IFERROR(IF(AY86&lt;($AM$10-$AL$10)/($AN$10-$AL$10),$AL$10+SQRT(AY86*($AN$10-$AL$10)*($AM$10-$AL$10)),$AN$10-SQRT((1-AY86)*($AN$10-$AL$10)*($AN$10-$AM$10))),$AM$10)</f>
        <v/>
      </c>
      <c r="AQ86">
        <f>IFERROR(IF(AZ86&lt;($AM$11-$AL$11)/($AN$11-$AL$11),$AL$11+SQRT(AZ86*($AN$11-$AL$11)*($AM$11-$AL$11)),$AN$11-SQRT((1-AZ86)*($AN$11-$AL$11)*($AN$11-$AM$11))),$AM$11)</f>
        <v/>
      </c>
      <c r="AR86">
        <f>SUMPRODUCT((B24:B31&lt;=$B$6)*(C24:C31*AM86+D24:D31*AO86*$B$8*AQ86)/(1+AL86/100)^B24:B31)+C32*AM86*AP86/(1+AL86/100)^$B$6</f>
        <v/>
      </c>
      <c r="AS86">
        <f>SUMPRODUCT((K24:K26&lt;=$B$6)*(L24:L26*AN86+M24:M26*AO86*$B$8*AQ86)/(1+AL86/100)^K24:K26)+L27*AN86*AP86/(1+AL86/100)^$B$6</f>
        <v/>
      </c>
      <c r="AT86">
        <f>AS86-AR86</f>
        <v/>
      </c>
      <c r="AU86">
        <f>RAND()</f>
        <v/>
      </c>
      <c r="AV86">
        <f>RAND()</f>
        <v/>
      </c>
      <c r="AW86">
        <f>RAND()</f>
        <v/>
      </c>
      <c r="AX86">
        <f>RAND()</f>
        <v/>
      </c>
      <c r="AY86">
        <f>RAND()</f>
        <v/>
      </c>
      <c r="AZ86">
        <f>RAND()</f>
        <v/>
      </c>
    </row>
    <row r="87">
      <c r="A87" s="33" t="n">
        <v>7.5</v>
      </c>
      <c r="B87" s="14">
        <f>SUMPRODUCT((B24:B31&lt;=$B$6)*(C24:C31*$B$11+D24:D31*$B$10*$B$8*$B$9)/(1+$A87/100)^B24:B31)+C32*$B$11*$B$13/(1+$A87/100)^$B$6</f>
        <v/>
      </c>
      <c r="C87" s="14">
        <f>SUMPRODUCT((K24:K26&lt;=$B$6)*(L24:L26*$B$12+M24:M26*$B$10*$B$8*$B$9)/(1+$A87/100)^K24:K26)+L27*$B$12*$B$13/(1+$A87/100)^$B$6</f>
        <v/>
      </c>
      <c r="D87" s="14">
        <f>C87-B87</f>
        <v/>
      </c>
      <c r="E87">
        <f>IF(D87&lt;0,"PCC","HMA")</f>
        <v/>
      </c>
      <c r="AK87" t="n">
        <v>74</v>
      </c>
      <c r="AL87">
        <f>IFERROR(IF(AU87&lt;($AM$6-$AL$6)/($AN$6-$AL$6),$AL$6+SQRT(AU87*($AN$6-$AL$6)*($AM$6-$AL$6)),$AN$6-SQRT((1-AU87)*($AN$6-$AL$6)*($AN$6-$AM$6))),$AM$6)</f>
        <v/>
      </c>
      <c r="AM87">
        <f>IFERROR(IF(AV87&lt;($AM$7-$AL$7)/($AN$7-$AL$7),$AL$7+SQRT(AV87*($AN$7-$AL$7)*($AM$7-$AL$7)),$AN$7-SQRT((1-AV87)*($AN$7-$AL$7)*($AN$7-$AM$7))),$AM$7)</f>
        <v/>
      </c>
      <c r="AN87">
        <f>IFERROR(IF(AW87&lt;($AM$8-$AL$8)/($AN$8-$AL$8),$AL$8+SQRT(AW87*($AN$8-$AL$8)*($AM$8-$AL$8)),$AN$8-SQRT((1-AW87)*($AN$8-$AL$8)*($AN$8-$AM$8))),$AM$8)</f>
        <v/>
      </c>
      <c r="AO87">
        <f>IFERROR(IF(AX87&lt;($AM$9-$AL$9)/($AN$9-$AL$9),$AL$9+SQRT(AX87*($AN$9-$AL$9)*($AM$9-$AL$9)),$AN$9-SQRT((1-AX87)*($AN$9-$AL$9)*($AN$9-$AM$9))),$AM$9)</f>
        <v/>
      </c>
      <c r="AP87">
        <f>IFERROR(IF(AY87&lt;($AM$10-$AL$10)/($AN$10-$AL$10),$AL$10+SQRT(AY87*($AN$10-$AL$10)*($AM$10-$AL$10)),$AN$10-SQRT((1-AY87)*($AN$10-$AL$10)*($AN$10-$AM$10))),$AM$10)</f>
        <v/>
      </c>
      <c r="AQ87">
        <f>IFERROR(IF(AZ87&lt;($AM$11-$AL$11)/($AN$11-$AL$11),$AL$11+SQRT(AZ87*($AN$11-$AL$11)*($AM$11-$AL$11)),$AN$11-SQRT((1-AZ87)*($AN$11-$AL$11)*($AN$11-$AM$11))),$AM$11)</f>
        <v/>
      </c>
      <c r="AR87">
        <f>SUMPRODUCT((B24:B31&lt;=$B$6)*(C24:C31*AM87+D24:D31*AO87*$B$8*AQ87)/(1+AL87/100)^B24:B31)+C32*AM87*AP87/(1+AL87/100)^$B$6</f>
        <v/>
      </c>
      <c r="AS87">
        <f>SUMPRODUCT((K24:K26&lt;=$B$6)*(L24:L26*AN87+M24:M26*AO87*$B$8*AQ87)/(1+AL87/100)^K24:K26)+L27*AN87*AP87/(1+AL87/100)^$B$6</f>
        <v/>
      </c>
      <c r="AT87">
        <f>AS87-AR87</f>
        <v/>
      </c>
      <c r="AU87">
        <f>RAND()</f>
        <v/>
      </c>
      <c r="AV87">
        <f>RAND()</f>
        <v/>
      </c>
      <c r="AW87">
        <f>RAND()</f>
        <v/>
      </c>
      <c r="AX87">
        <f>RAND()</f>
        <v/>
      </c>
      <c r="AY87">
        <f>RAND()</f>
        <v/>
      </c>
      <c r="AZ87">
        <f>RAND()</f>
        <v/>
      </c>
    </row>
    <row r="88">
      <c r="A88" s="33" t="n">
        <v>7.75</v>
      </c>
      <c r="B88" s="14">
        <f>SUMPRODUCT((B24:B31&lt;=$B$6)*(C24:C31*$B$11+D24:D31*$B$10*$B$8*$B$9)/(1+$A88/100)^B24:B31)+C32*$B$11*$B$13/(1+$A88/100)^$B$6</f>
        <v/>
      </c>
      <c r="C88" s="14">
        <f>SUMPRODUCT((K24:K26&lt;=$B$6)*(L24:L26*$B$12+M24:M26*$B$10*$B$8*$B$9)/(1+$A88/100)^K24:K26)+L27*$B$12*$B$13/(1+$A88/100)^$B$6</f>
        <v/>
      </c>
      <c r="D88" s="14">
        <f>C88-B88</f>
        <v/>
      </c>
      <c r="E88">
        <f>IF(D88&lt;0,"PCC","HMA")</f>
        <v/>
      </c>
      <c r="AK88" t="n">
        <v>75</v>
      </c>
      <c r="AL88">
        <f>IFERROR(IF(AU88&lt;($AM$6-$AL$6)/($AN$6-$AL$6),$AL$6+SQRT(AU88*($AN$6-$AL$6)*($AM$6-$AL$6)),$AN$6-SQRT((1-AU88)*($AN$6-$AL$6)*($AN$6-$AM$6))),$AM$6)</f>
        <v/>
      </c>
      <c r="AM88">
        <f>IFERROR(IF(AV88&lt;($AM$7-$AL$7)/($AN$7-$AL$7),$AL$7+SQRT(AV88*($AN$7-$AL$7)*($AM$7-$AL$7)),$AN$7-SQRT((1-AV88)*($AN$7-$AL$7)*($AN$7-$AM$7))),$AM$7)</f>
        <v/>
      </c>
      <c r="AN88">
        <f>IFERROR(IF(AW88&lt;($AM$8-$AL$8)/($AN$8-$AL$8),$AL$8+SQRT(AW88*($AN$8-$AL$8)*($AM$8-$AL$8)),$AN$8-SQRT((1-AW88)*($AN$8-$AL$8)*($AN$8-$AM$8))),$AM$8)</f>
        <v/>
      </c>
      <c r="AO88">
        <f>IFERROR(IF(AX88&lt;($AM$9-$AL$9)/($AN$9-$AL$9),$AL$9+SQRT(AX88*($AN$9-$AL$9)*($AM$9-$AL$9)),$AN$9-SQRT((1-AX88)*($AN$9-$AL$9)*($AN$9-$AM$9))),$AM$9)</f>
        <v/>
      </c>
      <c r="AP88">
        <f>IFERROR(IF(AY88&lt;($AM$10-$AL$10)/($AN$10-$AL$10),$AL$10+SQRT(AY88*($AN$10-$AL$10)*($AM$10-$AL$10)),$AN$10-SQRT((1-AY88)*($AN$10-$AL$10)*($AN$10-$AM$10))),$AM$10)</f>
        <v/>
      </c>
      <c r="AQ88">
        <f>IFERROR(IF(AZ88&lt;($AM$11-$AL$11)/($AN$11-$AL$11),$AL$11+SQRT(AZ88*($AN$11-$AL$11)*($AM$11-$AL$11)),$AN$11-SQRT((1-AZ88)*($AN$11-$AL$11)*($AN$11-$AM$11))),$AM$11)</f>
        <v/>
      </c>
      <c r="AR88">
        <f>SUMPRODUCT((B24:B31&lt;=$B$6)*(C24:C31*AM88+D24:D31*AO88*$B$8*AQ88)/(1+AL88/100)^B24:B31)+C32*AM88*AP88/(1+AL88/100)^$B$6</f>
        <v/>
      </c>
      <c r="AS88">
        <f>SUMPRODUCT((K24:K26&lt;=$B$6)*(L24:L26*AN88+M24:M26*AO88*$B$8*AQ88)/(1+AL88/100)^K24:K26)+L27*AN88*AP88/(1+AL88/100)^$B$6</f>
        <v/>
      </c>
      <c r="AT88">
        <f>AS88-AR88</f>
        <v/>
      </c>
      <c r="AU88">
        <f>RAND()</f>
        <v/>
      </c>
      <c r="AV88">
        <f>RAND()</f>
        <v/>
      </c>
      <c r="AW88">
        <f>RAND()</f>
        <v/>
      </c>
      <c r="AX88">
        <f>RAND()</f>
        <v/>
      </c>
      <c r="AY88">
        <f>RAND()</f>
        <v/>
      </c>
      <c r="AZ88">
        <f>RAND()</f>
        <v/>
      </c>
    </row>
    <row r="89">
      <c r="A89" s="33" t="n">
        <v>8</v>
      </c>
      <c r="B89" s="14">
        <f>SUMPRODUCT((B24:B31&lt;=$B$6)*(C24:C31*$B$11+D24:D31*$B$10*$B$8*$B$9)/(1+$A89/100)^B24:B31)+C32*$B$11*$B$13/(1+$A89/100)^$B$6</f>
        <v/>
      </c>
      <c r="C89" s="14">
        <f>SUMPRODUCT((K24:K26&lt;=$B$6)*(L24:L26*$B$12+M24:M26*$B$10*$B$8*$B$9)/(1+$A89/100)^K24:K26)+L27*$B$12*$B$13/(1+$A89/100)^$B$6</f>
        <v/>
      </c>
      <c r="D89" s="14">
        <f>C89-B89</f>
        <v/>
      </c>
      <c r="E89">
        <f>IF(D89&lt;0,"PCC","HMA")</f>
        <v/>
      </c>
      <c r="AK89" t="n">
        <v>76</v>
      </c>
      <c r="AL89">
        <f>IFERROR(IF(AU89&lt;($AM$6-$AL$6)/($AN$6-$AL$6),$AL$6+SQRT(AU89*($AN$6-$AL$6)*($AM$6-$AL$6)),$AN$6-SQRT((1-AU89)*($AN$6-$AL$6)*($AN$6-$AM$6))),$AM$6)</f>
        <v/>
      </c>
      <c r="AM89">
        <f>IFERROR(IF(AV89&lt;($AM$7-$AL$7)/($AN$7-$AL$7),$AL$7+SQRT(AV89*($AN$7-$AL$7)*($AM$7-$AL$7)),$AN$7-SQRT((1-AV89)*($AN$7-$AL$7)*($AN$7-$AM$7))),$AM$7)</f>
        <v/>
      </c>
      <c r="AN89">
        <f>IFERROR(IF(AW89&lt;($AM$8-$AL$8)/($AN$8-$AL$8),$AL$8+SQRT(AW89*($AN$8-$AL$8)*($AM$8-$AL$8)),$AN$8-SQRT((1-AW89)*($AN$8-$AL$8)*($AN$8-$AM$8))),$AM$8)</f>
        <v/>
      </c>
      <c r="AO89">
        <f>IFERROR(IF(AX89&lt;($AM$9-$AL$9)/($AN$9-$AL$9),$AL$9+SQRT(AX89*($AN$9-$AL$9)*($AM$9-$AL$9)),$AN$9-SQRT((1-AX89)*($AN$9-$AL$9)*($AN$9-$AM$9))),$AM$9)</f>
        <v/>
      </c>
      <c r="AP89">
        <f>IFERROR(IF(AY89&lt;($AM$10-$AL$10)/($AN$10-$AL$10),$AL$10+SQRT(AY89*($AN$10-$AL$10)*($AM$10-$AL$10)),$AN$10-SQRT((1-AY89)*($AN$10-$AL$10)*($AN$10-$AM$10))),$AM$10)</f>
        <v/>
      </c>
      <c r="AQ89">
        <f>IFERROR(IF(AZ89&lt;($AM$11-$AL$11)/($AN$11-$AL$11),$AL$11+SQRT(AZ89*($AN$11-$AL$11)*($AM$11-$AL$11)),$AN$11-SQRT((1-AZ89)*($AN$11-$AL$11)*($AN$11-$AM$11))),$AM$11)</f>
        <v/>
      </c>
      <c r="AR89">
        <f>SUMPRODUCT((B24:B31&lt;=$B$6)*(C24:C31*AM89+D24:D31*AO89*$B$8*AQ89)/(1+AL89/100)^B24:B31)+C32*AM89*AP89/(1+AL89/100)^$B$6</f>
        <v/>
      </c>
      <c r="AS89">
        <f>SUMPRODUCT((K24:K26&lt;=$B$6)*(L24:L26*AN89+M24:M26*AO89*$B$8*AQ89)/(1+AL89/100)^K24:K26)+L27*AN89*AP89/(1+AL89/100)^$B$6</f>
        <v/>
      </c>
      <c r="AT89">
        <f>AS89-AR89</f>
        <v/>
      </c>
      <c r="AU89">
        <f>RAND()</f>
        <v/>
      </c>
      <c r="AV89">
        <f>RAND()</f>
        <v/>
      </c>
      <c r="AW89">
        <f>RAND()</f>
        <v/>
      </c>
      <c r="AX89">
        <f>RAND()</f>
        <v/>
      </c>
      <c r="AY89">
        <f>RAND()</f>
        <v/>
      </c>
      <c r="AZ89">
        <f>RAND()</f>
        <v/>
      </c>
    </row>
    <row r="90">
      <c r="AK90" t="n">
        <v>77</v>
      </c>
      <c r="AL90">
        <f>IFERROR(IF(AU90&lt;($AM$6-$AL$6)/($AN$6-$AL$6),$AL$6+SQRT(AU90*($AN$6-$AL$6)*($AM$6-$AL$6)),$AN$6-SQRT((1-AU90)*($AN$6-$AL$6)*($AN$6-$AM$6))),$AM$6)</f>
        <v/>
      </c>
      <c r="AM90">
        <f>IFERROR(IF(AV90&lt;($AM$7-$AL$7)/($AN$7-$AL$7),$AL$7+SQRT(AV90*($AN$7-$AL$7)*($AM$7-$AL$7)),$AN$7-SQRT((1-AV90)*($AN$7-$AL$7)*($AN$7-$AM$7))),$AM$7)</f>
        <v/>
      </c>
      <c r="AN90">
        <f>IFERROR(IF(AW90&lt;($AM$8-$AL$8)/($AN$8-$AL$8),$AL$8+SQRT(AW90*($AN$8-$AL$8)*($AM$8-$AL$8)),$AN$8-SQRT((1-AW90)*($AN$8-$AL$8)*($AN$8-$AM$8))),$AM$8)</f>
        <v/>
      </c>
      <c r="AO90">
        <f>IFERROR(IF(AX90&lt;($AM$9-$AL$9)/($AN$9-$AL$9),$AL$9+SQRT(AX90*($AN$9-$AL$9)*($AM$9-$AL$9)),$AN$9-SQRT((1-AX90)*($AN$9-$AL$9)*($AN$9-$AM$9))),$AM$9)</f>
        <v/>
      </c>
      <c r="AP90">
        <f>IFERROR(IF(AY90&lt;($AM$10-$AL$10)/($AN$10-$AL$10),$AL$10+SQRT(AY90*($AN$10-$AL$10)*($AM$10-$AL$10)),$AN$10-SQRT((1-AY90)*($AN$10-$AL$10)*($AN$10-$AM$10))),$AM$10)</f>
        <v/>
      </c>
      <c r="AQ90">
        <f>IFERROR(IF(AZ90&lt;($AM$11-$AL$11)/($AN$11-$AL$11),$AL$11+SQRT(AZ90*($AN$11-$AL$11)*($AM$11-$AL$11)),$AN$11-SQRT((1-AZ90)*($AN$11-$AL$11)*($AN$11-$AM$11))),$AM$11)</f>
        <v/>
      </c>
      <c r="AR90">
        <f>SUMPRODUCT((B24:B31&lt;=$B$6)*(C24:C31*AM90+D24:D31*AO90*$B$8*AQ90)/(1+AL90/100)^B24:B31)+C32*AM90*AP90/(1+AL90/100)^$B$6</f>
        <v/>
      </c>
      <c r="AS90">
        <f>SUMPRODUCT((K24:K26&lt;=$B$6)*(L24:L26*AN90+M24:M26*AO90*$B$8*AQ90)/(1+AL90/100)^K24:K26)+L27*AN90*AP90/(1+AL90/100)^$B$6</f>
        <v/>
      </c>
      <c r="AT90">
        <f>AS90-AR90</f>
        <v/>
      </c>
      <c r="AU90">
        <f>RAND()</f>
        <v/>
      </c>
      <c r="AV90">
        <f>RAND()</f>
        <v/>
      </c>
      <c r="AW90">
        <f>RAND()</f>
        <v/>
      </c>
      <c r="AX90">
        <f>RAND()</f>
        <v/>
      </c>
      <c r="AY90">
        <f>RAND()</f>
        <v/>
      </c>
      <c r="AZ90">
        <f>RAND()</f>
        <v/>
      </c>
    </row>
    <row r="91">
      <c r="AK91" t="n">
        <v>78</v>
      </c>
      <c r="AL91">
        <f>IFERROR(IF(AU91&lt;($AM$6-$AL$6)/($AN$6-$AL$6),$AL$6+SQRT(AU91*($AN$6-$AL$6)*($AM$6-$AL$6)),$AN$6-SQRT((1-AU91)*($AN$6-$AL$6)*($AN$6-$AM$6))),$AM$6)</f>
        <v/>
      </c>
      <c r="AM91">
        <f>IFERROR(IF(AV91&lt;($AM$7-$AL$7)/($AN$7-$AL$7),$AL$7+SQRT(AV91*($AN$7-$AL$7)*($AM$7-$AL$7)),$AN$7-SQRT((1-AV91)*($AN$7-$AL$7)*($AN$7-$AM$7))),$AM$7)</f>
        <v/>
      </c>
      <c r="AN91">
        <f>IFERROR(IF(AW91&lt;($AM$8-$AL$8)/($AN$8-$AL$8),$AL$8+SQRT(AW91*($AN$8-$AL$8)*($AM$8-$AL$8)),$AN$8-SQRT((1-AW91)*($AN$8-$AL$8)*($AN$8-$AM$8))),$AM$8)</f>
        <v/>
      </c>
      <c r="AO91">
        <f>IFERROR(IF(AX91&lt;($AM$9-$AL$9)/($AN$9-$AL$9),$AL$9+SQRT(AX91*($AN$9-$AL$9)*($AM$9-$AL$9)),$AN$9-SQRT((1-AX91)*($AN$9-$AL$9)*($AN$9-$AM$9))),$AM$9)</f>
        <v/>
      </c>
      <c r="AP91">
        <f>IFERROR(IF(AY91&lt;($AM$10-$AL$10)/($AN$10-$AL$10),$AL$10+SQRT(AY91*($AN$10-$AL$10)*($AM$10-$AL$10)),$AN$10-SQRT((1-AY91)*($AN$10-$AL$10)*($AN$10-$AM$10))),$AM$10)</f>
        <v/>
      </c>
      <c r="AQ91">
        <f>IFERROR(IF(AZ91&lt;($AM$11-$AL$11)/($AN$11-$AL$11),$AL$11+SQRT(AZ91*($AN$11-$AL$11)*($AM$11-$AL$11)),$AN$11-SQRT((1-AZ91)*($AN$11-$AL$11)*($AN$11-$AM$11))),$AM$11)</f>
        <v/>
      </c>
      <c r="AR91">
        <f>SUMPRODUCT((B24:B31&lt;=$B$6)*(C24:C31*AM91+D24:D31*AO91*$B$8*AQ91)/(1+AL91/100)^B24:B31)+C32*AM91*AP91/(1+AL91/100)^$B$6</f>
        <v/>
      </c>
      <c r="AS91">
        <f>SUMPRODUCT((K24:K26&lt;=$B$6)*(L24:L26*AN91+M24:M26*AO91*$B$8*AQ91)/(1+AL91/100)^K24:K26)+L27*AN91*AP91/(1+AL91/100)^$B$6</f>
        <v/>
      </c>
      <c r="AT91">
        <f>AS91-AR91</f>
        <v/>
      </c>
      <c r="AU91">
        <f>RAND()</f>
        <v/>
      </c>
      <c r="AV91">
        <f>RAND()</f>
        <v/>
      </c>
      <c r="AW91">
        <f>RAND()</f>
        <v/>
      </c>
      <c r="AX91">
        <f>RAND()</f>
        <v/>
      </c>
      <c r="AY91">
        <f>RAND()</f>
        <v/>
      </c>
      <c r="AZ91">
        <f>RAND()</f>
        <v/>
      </c>
    </row>
    <row r="92">
      <c r="A92" s="4" t="inlineStr">
        <is>
          <t>EXPENDITURE BY CALENDAR YEAR</t>
        </is>
      </c>
      <c r="AK92" t="n">
        <v>79</v>
      </c>
      <c r="AL92">
        <f>IFERROR(IF(AU92&lt;($AM$6-$AL$6)/($AN$6-$AL$6),$AL$6+SQRT(AU92*($AN$6-$AL$6)*($AM$6-$AL$6)),$AN$6-SQRT((1-AU92)*($AN$6-$AL$6)*($AN$6-$AM$6))),$AM$6)</f>
        <v/>
      </c>
      <c r="AM92">
        <f>IFERROR(IF(AV92&lt;($AM$7-$AL$7)/($AN$7-$AL$7),$AL$7+SQRT(AV92*($AN$7-$AL$7)*($AM$7-$AL$7)),$AN$7-SQRT((1-AV92)*($AN$7-$AL$7)*($AN$7-$AM$7))),$AM$7)</f>
        <v/>
      </c>
      <c r="AN92">
        <f>IFERROR(IF(AW92&lt;($AM$8-$AL$8)/($AN$8-$AL$8),$AL$8+SQRT(AW92*($AN$8-$AL$8)*($AM$8-$AL$8)),$AN$8-SQRT((1-AW92)*($AN$8-$AL$8)*($AN$8-$AM$8))),$AM$8)</f>
        <v/>
      </c>
      <c r="AO92">
        <f>IFERROR(IF(AX92&lt;($AM$9-$AL$9)/($AN$9-$AL$9),$AL$9+SQRT(AX92*($AN$9-$AL$9)*($AM$9-$AL$9)),$AN$9-SQRT((1-AX92)*($AN$9-$AL$9)*($AN$9-$AM$9))),$AM$9)</f>
        <v/>
      </c>
      <c r="AP92">
        <f>IFERROR(IF(AY92&lt;($AM$10-$AL$10)/($AN$10-$AL$10),$AL$10+SQRT(AY92*($AN$10-$AL$10)*($AM$10-$AL$10)),$AN$10-SQRT((1-AY92)*($AN$10-$AL$10)*($AN$10-$AM$10))),$AM$10)</f>
        <v/>
      </c>
      <c r="AQ92">
        <f>IFERROR(IF(AZ92&lt;($AM$11-$AL$11)/($AN$11-$AL$11),$AL$11+SQRT(AZ92*($AN$11-$AL$11)*($AM$11-$AL$11)),$AN$11-SQRT((1-AZ92)*($AN$11-$AL$11)*($AN$11-$AM$11))),$AM$11)</f>
        <v/>
      </c>
      <c r="AR92">
        <f>SUMPRODUCT((B24:B31&lt;=$B$6)*(C24:C31*AM92+D24:D31*AO92*$B$8*AQ92)/(1+AL92/100)^B24:B31)+C32*AM92*AP92/(1+AL92/100)^$B$6</f>
        <v/>
      </c>
      <c r="AS92">
        <f>SUMPRODUCT((K24:K26&lt;=$B$6)*(L24:L26*AN92+M24:M26*AO92*$B$8*AQ92)/(1+AL92/100)^K24:K26)+L27*AN92*AP92/(1+AL92/100)^$B$6</f>
        <v/>
      </c>
      <c r="AT92">
        <f>AS92-AR92</f>
        <v/>
      </c>
      <c r="AU92">
        <f>RAND()</f>
        <v/>
      </c>
      <c r="AV92">
        <f>RAND()</f>
        <v/>
      </c>
      <c r="AW92">
        <f>RAND()</f>
        <v/>
      </c>
      <c r="AX92">
        <f>RAND()</f>
        <v/>
      </c>
      <c r="AY92">
        <f>RAND()</f>
        <v/>
      </c>
      <c r="AZ92">
        <f>RAND()</f>
        <v/>
      </c>
    </row>
    <row r="93">
      <c r="A93" s="6" t="inlineStr">
        <is>
          <t>Year</t>
        </is>
      </c>
      <c r="B93" s="6" t="inlineStr">
        <is>
          <t>Calendar year</t>
        </is>
      </c>
      <c r="C93" s="6" t="inlineStr">
        <is>
          <t>HMA direct</t>
        </is>
      </c>
      <c r="D93" s="6" t="inlineStr">
        <is>
          <t>HMA lost revenue</t>
        </is>
      </c>
      <c r="E93" s="6" t="inlineStr">
        <is>
          <t>PCC direct</t>
        </is>
      </c>
      <c r="F93" s="6" t="inlineStr">
        <is>
          <t>PCC lost revenue</t>
        </is>
      </c>
      <c r="G93" s="6" t="inlineStr">
        <is>
          <t>HMA cumulative PW</t>
        </is>
      </c>
      <c r="H93" s="6" t="inlineStr">
        <is>
          <t>PCC cumulative PW</t>
        </is>
      </c>
      <c r="I93" s="6" t="inlineStr">
        <is>
          <t>HMA closure days</t>
        </is>
      </c>
      <c r="J93" s="6" t="inlineStr">
        <is>
          <t>PCC closure days</t>
        </is>
      </c>
      <c r="M93" t="inlineStr">
        <is>
          <t>HMA total</t>
        </is>
      </c>
      <c r="N93" t="inlineStr">
        <is>
          <t>PCC total</t>
        </is>
      </c>
      <c r="AK93" t="n">
        <v>80</v>
      </c>
      <c r="AL93">
        <f>IFERROR(IF(AU93&lt;($AM$6-$AL$6)/($AN$6-$AL$6),$AL$6+SQRT(AU93*($AN$6-$AL$6)*($AM$6-$AL$6)),$AN$6-SQRT((1-AU93)*($AN$6-$AL$6)*($AN$6-$AM$6))),$AM$6)</f>
        <v/>
      </c>
      <c r="AM93">
        <f>IFERROR(IF(AV93&lt;($AM$7-$AL$7)/($AN$7-$AL$7),$AL$7+SQRT(AV93*($AN$7-$AL$7)*($AM$7-$AL$7)),$AN$7-SQRT((1-AV93)*($AN$7-$AL$7)*($AN$7-$AM$7))),$AM$7)</f>
        <v/>
      </c>
      <c r="AN93">
        <f>IFERROR(IF(AW93&lt;($AM$8-$AL$8)/($AN$8-$AL$8),$AL$8+SQRT(AW93*($AN$8-$AL$8)*($AM$8-$AL$8)),$AN$8-SQRT((1-AW93)*($AN$8-$AL$8)*($AN$8-$AM$8))),$AM$8)</f>
        <v/>
      </c>
      <c r="AO93">
        <f>IFERROR(IF(AX93&lt;($AM$9-$AL$9)/($AN$9-$AL$9),$AL$9+SQRT(AX93*($AN$9-$AL$9)*($AM$9-$AL$9)),$AN$9-SQRT((1-AX93)*($AN$9-$AL$9)*($AN$9-$AM$9))),$AM$9)</f>
        <v/>
      </c>
      <c r="AP93">
        <f>IFERROR(IF(AY93&lt;($AM$10-$AL$10)/($AN$10-$AL$10),$AL$10+SQRT(AY93*($AN$10-$AL$10)*($AM$10-$AL$10)),$AN$10-SQRT((1-AY93)*($AN$10-$AL$10)*($AN$10-$AM$10))),$AM$10)</f>
        <v/>
      </c>
      <c r="AQ93">
        <f>IFERROR(IF(AZ93&lt;($AM$11-$AL$11)/($AN$11-$AL$11),$AL$11+SQRT(AZ93*($AN$11-$AL$11)*($AM$11-$AL$11)),$AN$11-SQRT((1-AZ93)*($AN$11-$AL$11)*($AN$11-$AM$11))),$AM$11)</f>
        <v/>
      </c>
      <c r="AR93">
        <f>SUMPRODUCT((B24:B31&lt;=$B$6)*(C24:C31*AM93+D24:D31*AO93*$B$8*AQ93)/(1+AL93/100)^B24:B31)+C32*AM93*AP93/(1+AL93/100)^$B$6</f>
        <v/>
      </c>
      <c r="AS93">
        <f>SUMPRODUCT((K24:K26&lt;=$B$6)*(L24:L26*AN93+M24:M26*AO93*$B$8*AQ93)/(1+AL93/100)^K24:K26)+L27*AN93*AP93/(1+AL93/100)^$B$6</f>
        <v/>
      </c>
      <c r="AT93">
        <f>AS93-AR93</f>
        <v/>
      </c>
      <c r="AU93">
        <f>RAND()</f>
        <v/>
      </c>
      <c r="AV93">
        <f>RAND()</f>
        <v/>
      </c>
      <c r="AW93">
        <f>RAND()</f>
        <v/>
      </c>
      <c r="AX93">
        <f>RAND()</f>
        <v/>
      </c>
      <c r="AY93">
        <f>RAND()</f>
        <v/>
      </c>
      <c r="AZ93">
        <f>RAND()</f>
        <v/>
      </c>
    </row>
    <row r="94">
      <c r="A94" t="n">
        <v>0</v>
      </c>
      <c r="B94">
        <f>$B$7+A94</f>
        <v/>
      </c>
      <c r="C94" s="14">
        <f>IF(A94&gt;$B$6,0,SUMIF(B24:B31,A94,E24:E31)+IF(A94=$B$6,E32,0))</f>
        <v/>
      </c>
      <c r="D94" s="14">
        <f>IF(A94&gt;$B$6,0,SUMIF(B24:B31,A94,F24:F31))</f>
        <v/>
      </c>
      <c r="E94" s="14">
        <f>IF(A94&gt;$B$6,0,SUMIF(K24:K26,A94,N24:N26)+IF(A94=$B$6,N27,0))</f>
        <v/>
      </c>
      <c r="F94" s="14">
        <f>IF(A94&gt;$B$6,0,SUMIF(K24:K26,A94,O24:O26))</f>
        <v/>
      </c>
      <c r="G94" s="14">
        <f>IF(A94&gt;$B$6,0,SUMIF(B24:B31,A94,G24:G31)+IF(A94=$B$6,G32,0))</f>
        <v/>
      </c>
      <c r="H94" s="14">
        <f>IF(A94&gt;$B$6,0,SUMIF(K24:K26,A94,P24:P26)+IF(A94=$B$6,P27,0))</f>
        <v/>
      </c>
      <c r="I94">
        <f>IF(A94&gt;$B$6,0,SUMIF(B24:B31,A94,D24:D31)*$B$10)</f>
        <v/>
      </c>
      <c r="J94">
        <f>IF(A94&gt;$B$6,0,SUMIF(K24:K26,A94,M24:M26)*$B$10)</f>
        <v/>
      </c>
      <c r="M94" s="14">
        <f>C94+D94</f>
        <v/>
      </c>
      <c r="N94" s="14">
        <f>E94+F94</f>
        <v/>
      </c>
      <c r="AK94" t="n">
        <v>81</v>
      </c>
      <c r="AL94">
        <f>IFERROR(IF(AU94&lt;($AM$6-$AL$6)/($AN$6-$AL$6),$AL$6+SQRT(AU94*($AN$6-$AL$6)*($AM$6-$AL$6)),$AN$6-SQRT((1-AU94)*($AN$6-$AL$6)*($AN$6-$AM$6))),$AM$6)</f>
        <v/>
      </c>
      <c r="AM94">
        <f>IFERROR(IF(AV94&lt;($AM$7-$AL$7)/($AN$7-$AL$7),$AL$7+SQRT(AV94*($AN$7-$AL$7)*($AM$7-$AL$7)),$AN$7-SQRT((1-AV94)*($AN$7-$AL$7)*($AN$7-$AM$7))),$AM$7)</f>
        <v/>
      </c>
      <c r="AN94">
        <f>IFERROR(IF(AW94&lt;($AM$8-$AL$8)/($AN$8-$AL$8),$AL$8+SQRT(AW94*($AN$8-$AL$8)*($AM$8-$AL$8)),$AN$8-SQRT((1-AW94)*($AN$8-$AL$8)*($AN$8-$AM$8))),$AM$8)</f>
        <v/>
      </c>
      <c r="AO94">
        <f>IFERROR(IF(AX94&lt;($AM$9-$AL$9)/($AN$9-$AL$9),$AL$9+SQRT(AX94*($AN$9-$AL$9)*($AM$9-$AL$9)),$AN$9-SQRT((1-AX94)*($AN$9-$AL$9)*($AN$9-$AM$9))),$AM$9)</f>
        <v/>
      </c>
      <c r="AP94">
        <f>IFERROR(IF(AY94&lt;($AM$10-$AL$10)/($AN$10-$AL$10),$AL$10+SQRT(AY94*($AN$10-$AL$10)*($AM$10-$AL$10)),$AN$10-SQRT((1-AY94)*($AN$10-$AL$10)*($AN$10-$AM$10))),$AM$10)</f>
        <v/>
      </c>
      <c r="AQ94">
        <f>IFERROR(IF(AZ94&lt;($AM$11-$AL$11)/($AN$11-$AL$11),$AL$11+SQRT(AZ94*($AN$11-$AL$11)*($AM$11-$AL$11)),$AN$11-SQRT((1-AZ94)*($AN$11-$AL$11)*($AN$11-$AM$11))),$AM$11)</f>
        <v/>
      </c>
      <c r="AR94">
        <f>SUMPRODUCT((B24:B31&lt;=$B$6)*(C24:C31*AM94+D24:D31*AO94*$B$8*AQ94)/(1+AL94/100)^B24:B31)+C32*AM94*AP94/(1+AL94/100)^$B$6</f>
        <v/>
      </c>
      <c r="AS94">
        <f>SUMPRODUCT((K24:K26&lt;=$B$6)*(L24:L26*AN94+M24:M26*AO94*$B$8*AQ94)/(1+AL94/100)^K24:K26)+L27*AN94*AP94/(1+AL94/100)^$B$6</f>
        <v/>
      </c>
      <c r="AT94">
        <f>AS94-AR94</f>
        <v/>
      </c>
      <c r="AU94">
        <f>RAND()</f>
        <v/>
      </c>
      <c r="AV94">
        <f>RAND()</f>
        <v/>
      </c>
      <c r="AW94">
        <f>RAND()</f>
        <v/>
      </c>
      <c r="AX94">
        <f>RAND()</f>
        <v/>
      </c>
      <c r="AY94">
        <f>RAND()</f>
        <v/>
      </c>
      <c r="AZ94">
        <f>RAND()</f>
        <v/>
      </c>
    </row>
    <row r="95">
      <c r="A95" t="n">
        <v>1</v>
      </c>
      <c r="B95">
        <f>$B$7+A95</f>
        <v/>
      </c>
      <c r="C95" s="14">
        <f>IF(A95&gt;$B$6,0,SUMIF(B24:B31,A95,E24:E31)+IF(A95=$B$6,E32,0))</f>
        <v/>
      </c>
      <c r="D95" s="14">
        <f>IF(A95&gt;$B$6,0,SUMIF(B24:B31,A95,F24:F31))</f>
        <v/>
      </c>
      <c r="E95" s="14">
        <f>IF(A95&gt;$B$6,0,SUMIF(K24:K26,A95,N24:N26)+IF(A95=$B$6,N27,0))</f>
        <v/>
      </c>
      <c r="F95" s="14">
        <f>IF(A95&gt;$B$6,0,SUMIF(K24:K26,A95,O24:O26))</f>
        <v/>
      </c>
      <c r="G95" s="14">
        <f>G94+IF(A95&gt;$B$6,0,SUMIF(B24:B31,A95,G24:G31)+IF(A95=$B$6,G32,0))</f>
        <v/>
      </c>
      <c r="H95" s="14">
        <f>H94+IF(A95&gt;$B$6,0,SUMIF(K24:K26,A95,P24:P26)+IF(A95=$B$6,P27,0))</f>
        <v/>
      </c>
      <c r="I95">
        <f>IF(A95&gt;$B$6,0,SUMIF(B24:B31,A95,D24:D31)*$B$10)</f>
        <v/>
      </c>
      <c r="J95">
        <f>IF(A95&gt;$B$6,0,SUMIF(K24:K26,A95,M24:M26)*$B$10)</f>
        <v/>
      </c>
      <c r="M95" s="14">
        <f>C95+D95</f>
        <v/>
      </c>
      <c r="N95" s="14">
        <f>E95+F95</f>
        <v/>
      </c>
      <c r="AK95" t="n">
        <v>82</v>
      </c>
      <c r="AL95">
        <f>IFERROR(IF(AU95&lt;($AM$6-$AL$6)/($AN$6-$AL$6),$AL$6+SQRT(AU95*($AN$6-$AL$6)*($AM$6-$AL$6)),$AN$6-SQRT((1-AU95)*($AN$6-$AL$6)*($AN$6-$AM$6))),$AM$6)</f>
        <v/>
      </c>
      <c r="AM95">
        <f>IFERROR(IF(AV95&lt;($AM$7-$AL$7)/($AN$7-$AL$7),$AL$7+SQRT(AV95*($AN$7-$AL$7)*($AM$7-$AL$7)),$AN$7-SQRT((1-AV95)*($AN$7-$AL$7)*($AN$7-$AM$7))),$AM$7)</f>
        <v/>
      </c>
      <c r="AN95">
        <f>IFERROR(IF(AW95&lt;($AM$8-$AL$8)/($AN$8-$AL$8),$AL$8+SQRT(AW95*($AN$8-$AL$8)*($AM$8-$AL$8)),$AN$8-SQRT((1-AW95)*($AN$8-$AL$8)*($AN$8-$AM$8))),$AM$8)</f>
        <v/>
      </c>
      <c r="AO95">
        <f>IFERROR(IF(AX95&lt;($AM$9-$AL$9)/($AN$9-$AL$9),$AL$9+SQRT(AX95*($AN$9-$AL$9)*($AM$9-$AL$9)),$AN$9-SQRT((1-AX95)*($AN$9-$AL$9)*($AN$9-$AM$9))),$AM$9)</f>
        <v/>
      </c>
      <c r="AP95">
        <f>IFERROR(IF(AY95&lt;($AM$10-$AL$10)/($AN$10-$AL$10),$AL$10+SQRT(AY95*($AN$10-$AL$10)*($AM$10-$AL$10)),$AN$10-SQRT((1-AY95)*($AN$10-$AL$10)*($AN$10-$AM$10))),$AM$10)</f>
        <v/>
      </c>
      <c r="AQ95">
        <f>IFERROR(IF(AZ95&lt;($AM$11-$AL$11)/($AN$11-$AL$11),$AL$11+SQRT(AZ95*($AN$11-$AL$11)*($AM$11-$AL$11)),$AN$11-SQRT((1-AZ95)*($AN$11-$AL$11)*($AN$11-$AM$11))),$AM$11)</f>
        <v/>
      </c>
      <c r="AR95">
        <f>SUMPRODUCT((B24:B31&lt;=$B$6)*(C24:C31*AM95+D24:D31*AO95*$B$8*AQ95)/(1+AL95/100)^B24:B31)+C32*AM95*AP95/(1+AL95/100)^$B$6</f>
        <v/>
      </c>
      <c r="AS95">
        <f>SUMPRODUCT((K24:K26&lt;=$B$6)*(L24:L26*AN95+M24:M26*AO95*$B$8*AQ95)/(1+AL95/100)^K24:K26)+L27*AN95*AP95/(1+AL95/100)^$B$6</f>
        <v/>
      </c>
      <c r="AT95">
        <f>AS95-AR95</f>
        <v/>
      </c>
      <c r="AU95">
        <f>RAND()</f>
        <v/>
      </c>
      <c r="AV95">
        <f>RAND()</f>
        <v/>
      </c>
      <c r="AW95">
        <f>RAND()</f>
        <v/>
      </c>
      <c r="AX95">
        <f>RAND()</f>
        <v/>
      </c>
      <c r="AY95">
        <f>RAND()</f>
        <v/>
      </c>
      <c r="AZ95">
        <f>RAND()</f>
        <v/>
      </c>
    </row>
    <row r="96">
      <c r="A96" t="n">
        <v>2</v>
      </c>
      <c r="B96">
        <f>$B$7+A96</f>
        <v/>
      </c>
      <c r="C96" s="14">
        <f>IF(A96&gt;$B$6,0,SUMIF(B24:B31,A96,E24:E31)+IF(A96=$B$6,E32,0))</f>
        <v/>
      </c>
      <c r="D96" s="14">
        <f>IF(A96&gt;$B$6,0,SUMIF(B24:B31,A96,F24:F31))</f>
        <v/>
      </c>
      <c r="E96" s="14">
        <f>IF(A96&gt;$B$6,0,SUMIF(K24:K26,A96,N24:N26)+IF(A96=$B$6,N27,0))</f>
        <v/>
      </c>
      <c r="F96" s="14">
        <f>IF(A96&gt;$B$6,0,SUMIF(K24:K26,A96,O24:O26))</f>
        <v/>
      </c>
      <c r="G96" s="14">
        <f>G95+IF(A96&gt;$B$6,0,SUMIF(B24:B31,A96,G24:G31)+IF(A96=$B$6,G32,0))</f>
        <v/>
      </c>
      <c r="H96" s="14">
        <f>H95+IF(A96&gt;$B$6,0,SUMIF(K24:K26,A96,P24:P26)+IF(A96=$B$6,P27,0))</f>
        <v/>
      </c>
      <c r="I96">
        <f>IF(A96&gt;$B$6,0,SUMIF(B24:B31,A96,D24:D31)*$B$10)</f>
        <v/>
      </c>
      <c r="J96">
        <f>IF(A96&gt;$B$6,0,SUMIF(K24:K26,A96,M24:M26)*$B$10)</f>
        <v/>
      </c>
      <c r="M96" s="14">
        <f>C96+D96</f>
        <v/>
      </c>
      <c r="N96" s="14">
        <f>E96+F96</f>
        <v/>
      </c>
      <c r="AK96" t="n">
        <v>83</v>
      </c>
      <c r="AL96">
        <f>IFERROR(IF(AU96&lt;($AM$6-$AL$6)/($AN$6-$AL$6),$AL$6+SQRT(AU96*($AN$6-$AL$6)*($AM$6-$AL$6)),$AN$6-SQRT((1-AU96)*($AN$6-$AL$6)*($AN$6-$AM$6))),$AM$6)</f>
        <v/>
      </c>
      <c r="AM96">
        <f>IFERROR(IF(AV96&lt;($AM$7-$AL$7)/($AN$7-$AL$7),$AL$7+SQRT(AV96*($AN$7-$AL$7)*($AM$7-$AL$7)),$AN$7-SQRT((1-AV96)*($AN$7-$AL$7)*($AN$7-$AM$7))),$AM$7)</f>
        <v/>
      </c>
      <c r="AN96">
        <f>IFERROR(IF(AW96&lt;($AM$8-$AL$8)/($AN$8-$AL$8),$AL$8+SQRT(AW96*($AN$8-$AL$8)*($AM$8-$AL$8)),$AN$8-SQRT((1-AW96)*($AN$8-$AL$8)*($AN$8-$AM$8))),$AM$8)</f>
        <v/>
      </c>
      <c r="AO96">
        <f>IFERROR(IF(AX96&lt;($AM$9-$AL$9)/($AN$9-$AL$9),$AL$9+SQRT(AX96*($AN$9-$AL$9)*($AM$9-$AL$9)),$AN$9-SQRT((1-AX96)*($AN$9-$AL$9)*($AN$9-$AM$9))),$AM$9)</f>
        <v/>
      </c>
      <c r="AP96">
        <f>IFERROR(IF(AY96&lt;($AM$10-$AL$10)/($AN$10-$AL$10),$AL$10+SQRT(AY96*($AN$10-$AL$10)*($AM$10-$AL$10)),$AN$10-SQRT((1-AY96)*($AN$10-$AL$10)*($AN$10-$AM$10))),$AM$10)</f>
        <v/>
      </c>
      <c r="AQ96">
        <f>IFERROR(IF(AZ96&lt;($AM$11-$AL$11)/($AN$11-$AL$11),$AL$11+SQRT(AZ96*($AN$11-$AL$11)*($AM$11-$AL$11)),$AN$11-SQRT((1-AZ96)*($AN$11-$AL$11)*($AN$11-$AM$11))),$AM$11)</f>
        <v/>
      </c>
      <c r="AR96">
        <f>SUMPRODUCT((B24:B31&lt;=$B$6)*(C24:C31*AM96+D24:D31*AO96*$B$8*AQ96)/(1+AL96/100)^B24:B31)+C32*AM96*AP96/(1+AL96/100)^$B$6</f>
        <v/>
      </c>
      <c r="AS96">
        <f>SUMPRODUCT((K24:K26&lt;=$B$6)*(L24:L26*AN96+M24:M26*AO96*$B$8*AQ96)/(1+AL96/100)^K24:K26)+L27*AN96*AP96/(1+AL96/100)^$B$6</f>
        <v/>
      </c>
      <c r="AT96">
        <f>AS96-AR96</f>
        <v/>
      </c>
      <c r="AU96">
        <f>RAND()</f>
        <v/>
      </c>
      <c r="AV96">
        <f>RAND()</f>
        <v/>
      </c>
      <c r="AW96">
        <f>RAND()</f>
        <v/>
      </c>
      <c r="AX96">
        <f>RAND()</f>
        <v/>
      </c>
      <c r="AY96">
        <f>RAND()</f>
        <v/>
      </c>
      <c r="AZ96">
        <f>RAND()</f>
        <v/>
      </c>
    </row>
    <row r="97">
      <c r="A97" t="n">
        <v>3</v>
      </c>
      <c r="B97">
        <f>$B$7+A97</f>
        <v/>
      </c>
      <c r="C97" s="14">
        <f>IF(A97&gt;$B$6,0,SUMIF(B24:B31,A97,E24:E31)+IF(A97=$B$6,E32,0))</f>
        <v/>
      </c>
      <c r="D97" s="14">
        <f>IF(A97&gt;$B$6,0,SUMIF(B24:B31,A97,F24:F31))</f>
        <v/>
      </c>
      <c r="E97" s="14">
        <f>IF(A97&gt;$B$6,0,SUMIF(K24:K26,A97,N24:N26)+IF(A97=$B$6,N27,0))</f>
        <v/>
      </c>
      <c r="F97" s="14">
        <f>IF(A97&gt;$B$6,0,SUMIF(K24:K26,A97,O24:O26))</f>
        <v/>
      </c>
      <c r="G97" s="14">
        <f>G96+IF(A97&gt;$B$6,0,SUMIF(B24:B31,A97,G24:G31)+IF(A97=$B$6,G32,0))</f>
        <v/>
      </c>
      <c r="H97" s="14">
        <f>H96+IF(A97&gt;$B$6,0,SUMIF(K24:K26,A97,P24:P26)+IF(A97=$B$6,P27,0))</f>
        <v/>
      </c>
      <c r="I97">
        <f>IF(A97&gt;$B$6,0,SUMIF(B24:B31,A97,D24:D31)*$B$10)</f>
        <v/>
      </c>
      <c r="J97">
        <f>IF(A97&gt;$B$6,0,SUMIF(K24:K26,A97,M24:M26)*$B$10)</f>
        <v/>
      </c>
      <c r="M97" s="14">
        <f>C97+D97</f>
        <v/>
      </c>
      <c r="N97" s="14">
        <f>E97+F97</f>
        <v/>
      </c>
      <c r="AK97" t="n">
        <v>84</v>
      </c>
      <c r="AL97">
        <f>IFERROR(IF(AU97&lt;($AM$6-$AL$6)/($AN$6-$AL$6),$AL$6+SQRT(AU97*($AN$6-$AL$6)*($AM$6-$AL$6)),$AN$6-SQRT((1-AU97)*($AN$6-$AL$6)*($AN$6-$AM$6))),$AM$6)</f>
        <v/>
      </c>
      <c r="AM97">
        <f>IFERROR(IF(AV97&lt;($AM$7-$AL$7)/($AN$7-$AL$7),$AL$7+SQRT(AV97*($AN$7-$AL$7)*($AM$7-$AL$7)),$AN$7-SQRT((1-AV97)*($AN$7-$AL$7)*($AN$7-$AM$7))),$AM$7)</f>
        <v/>
      </c>
      <c r="AN97">
        <f>IFERROR(IF(AW97&lt;($AM$8-$AL$8)/($AN$8-$AL$8),$AL$8+SQRT(AW97*($AN$8-$AL$8)*($AM$8-$AL$8)),$AN$8-SQRT((1-AW97)*($AN$8-$AL$8)*($AN$8-$AM$8))),$AM$8)</f>
        <v/>
      </c>
      <c r="AO97">
        <f>IFERROR(IF(AX97&lt;($AM$9-$AL$9)/($AN$9-$AL$9),$AL$9+SQRT(AX97*($AN$9-$AL$9)*($AM$9-$AL$9)),$AN$9-SQRT((1-AX97)*($AN$9-$AL$9)*($AN$9-$AM$9))),$AM$9)</f>
        <v/>
      </c>
      <c r="AP97">
        <f>IFERROR(IF(AY97&lt;($AM$10-$AL$10)/($AN$10-$AL$10),$AL$10+SQRT(AY97*($AN$10-$AL$10)*($AM$10-$AL$10)),$AN$10-SQRT((1-AY97)*($AN$10-$AL$10)*($AN$10-$AM$10))),$AM$10)</f>
        <v/>
      </c>
      <c r="AQ97">
        <f>IFERROR(IF(AZ97&lt;($AM$11-$AL$11)/($AN$11-$AL$11),$AL$11+SQRT(AZ97*($AN$11-$AL$11)*($AM$11-$AL$11)),$AN$11-SQRT((1-AZ97)*($AN$11-$AL$11)*($AN$11-$AM$11))),$AM$11)</f>
        <v/>
      </c>
      <c r="AR97">
        <f>SUMPRODUCT((B24:B31&lt;=$B$6)*(C24:C31*AM97+D24:D31*AO97*$B$8*AQ97)/(1+AL97/100)^B24:B31)+C32*AM97*AP97/(1+AL97/100)^$B$6</f>
        <v/>
      </c>
      <c r="AS97">
        <f>SUMPRODUCT((K24:K26&lt;=$B$6)*(L24:L26*AN97+M24:M26*AO97*$B$8*AQ97)/(1+AL97/100)^K24:K26)+L27*AN97*AP97/(1+AL97/100)^$B$6</f>
        <v/>
      </c>
      <c r="AT97">
        <f>AS97-AR97</f>
        <v/>
      </c>
      <c r="AU97">
        <f>RAND()</f>
        <v/>
      </c>
      <c r="AV97">
        <f>RAND()</f>
        <v/>
      </c>
      <c r="AW97">
        <f>RAND()</f>
        <v/>
      </c>
      <c r="AX97">
        <f>RAND()</f>
        <v/>
      </c>
      <c r="AY97">
        <f>RAND()</f>
        <v/>
      </c>
      <c r="AZ97">
        <f>RAND()</f>
        <v/>
      </c>
    </row>
    <row r="98">
      <c r="A98" t="n">
        <v>4</v>
      </c>
      <c r="B98">
        <f>$B$7+A98</f>
        <v/>
      </c>
      <c r="C98" s="14">
        <f>IF(A98&gt;$B$6,0,SUMIF(B24:B31,A98,E24:E31)+IF(A98=$B$6,E32,0))</f>
        <v/>
      </c>
      <c r="D98" s="14">
        <f>IF(A98&gt;$B$6,0,SUMIF(B24:B31,A98,F24:F31))</f>
        <v/>
      </c>
      <c r="E98" s="14">
        <f>IF(A98&gt;$B$6,0,SUMIF(K24:K26,A98,N24:N26)+IF(A98=$B$6,N27,0))</f>
        <v/>
      </c>
      <c r="F98" s="14">
        <f>IF(A98&gt;$B$6,0,SUMIF(K24:K26,A98,O24:O26))</f>
        <v/>
      </c>
      <c r="G98" s="14">
        <f>G97+IF(A98&gt;$B$6,0,SUMIF(B24:B31,A98,G24:G31)+IF(A98=$B$6,G32,0))</f>
        <v/>
      </c>
      <c r="H98" s="14">
        <f>H97+IF(A98&gt;$B$6,0,SUMIF(K24:K26,A98,P24:P26)+IF(A98=$B$6,P27,0))</f>
        <v/>
      </c>
      <c r="I98">
        <f>IF(A98&gt;$B$6,0,SUMIF(B24:B31,A98,D24:D31)*$B$10)</f>
        <v/>
      </c>
      <c r="J98">
        <f>IF(A98&gt;$B$6,0,SUMIF(K24:K26,A98,M24:M26)*$B$10)</f>
        <v/>
      </c>
      <c r="M98" s="14">
        <f>C98+D98</f>
        <v/>
      </c>
      <c r="N98" s="14">
        <f>E98+F98</f>
        <v/>
      </c>
      <c r="AK98" t="n">
        <v>85</v>
      </c>
      <c r="AL98">
        <f>IFERROR(IF(AU98&lt;($AM$6-$AL$6)/($AN$6-$AL$6),$AL$6+SQRT(AU98*($AN$6-$AL$6)*($AM$6-$AL$6)),$AN$6-SQRT((1-AU98)*($AN$6-$AL$6)*($AN$6-$AM$6))),$AM$6)</f>
        <v/>
      </c>
      <c r="AM98">
        <f>IFERROR(IF(AV98&lt;($AM$7-$AL$7)/($AN$7-$AL$7),$AL$7+SQRT(AV98*($AN$7-$AL$7)*($AM$7-$AL$7)),$AN$7-SQRT((1-AV98)*($AN$7-$AL$7)*($AN$7-$AM$7))),$AM$7)</f>
        <v/>
      </c>
      <c r="AN98">
        <f>IFERROR(IF(AW98&lt;($AM$8-$AL$8)/($AN$8-$AL$8),$AL$8+SQRT(AW98*($AN$8-$AL$8)*($AM$8-$AL$8)),$AN$8-SQRT((1-AW98)*($AN$8-$AL$8)*($AN$8-$AM$8))),$AM$8)</f>
        <v/>
      </c>
      <c r="AO98">
        <f>IFERROR(IF(AX98&lt;($AM$9-$AL$9)/($AN$9-$AL$9),$AL$9+SQRT(AX98*($AN$9-$AL$9)*($AM$9-$AL$9)),$AN$9-SQRT((1-AX98)*($AN$9-$AL$9)*($AN$9-$AM$9))),$AM$9)</f>
        <v/>
      </c>
      <c r="AP98">
        <f>IFERROR(IF(AY98&lt;($AM$10-$AL$10)/($AN$10-$AL$10),$AL$10+SQRT(AY98*($AN$10-$AL$10)*($AM$10-$AL$10)),$AN$10-SQRT((1-AY98)*($AN$10-$AL$10)*($AN$10-$AM$10))),$AM$10)</f>
        <v/>
      </c>
      <c r="AQ98">
        <f>IFERROR(IF(AZ98&lt;($AM$11-$AL$11)/($AN$11-$AL$11),$AL$11+SQRT(AZ98*($AN$11-$AL$11)*($AM$11-$AL$11)),$AN$11-SQRT((1-AZ98)*($AN$11-$AL$11)*($AN$11-$AM$11))),$AM$11)</f>
        <v/>
      </c>
      <c r="AR98">
        <f>SUMPRODUCT((B24:B31&lt;=$B$6)*(C24:C31*AM98+D24:D31*AO98*$B$8*AQ98)/(1+AL98/100)^B24:B31)+C32*AM98*AP98/(1+AL98/100)^$B$6</f>
        <v/>
      </c>
      <c r="AS98">
        <f>SUMPRODUCT((K24:K26&lt;=$B$6)*(L24:L26*AN98+M24:M26*AO98*$B$8*AQ98)/(1+AL98/100)^K24:K26)+L27*AN98*AP98/(1+AL98/100)^$B$6</f>
        <v/>
      </c>
      <c r="AT98">
        <f>AS98-AR98</f>
        <v/>
      </c>
      <c r="AU98">
        <f>RAND()</f>
        <v/>
      </c>
      <c r="AV98">
        <f>RAND()</f>
        <v/>
      </c>
      <c r="AW98">
        <f>RAND()</f>
        <v/>
      </c>
      <c r="AX98">
        <f>RAND()</f>
        <v/>
      </c>
      <c r="AY98">
        <f>RAND()</f>
        <v/>
      </c>
      <c r="AZ98">
        <f>RAND()</f>
        <v/>
      </c>
    </row>
    <row r="99">
      <c r="A99" t="n">
        <v>5</v>
      </c>
      <c r="B99">
        <f>$B$7+A99</f>
        <v/>
      </c>
      <c r="C99" s="14">
        <f>IF(A99&gt;$B$6,0,SUMIF(B24:B31,A99,E24:E31)+IF(A99=$B$6,E32,0))</f>
        <v/>
      </c>
      <c r="D99" s="14">
        <f>IF(A99&gt;$B$6,0,SUMIF(B24:B31,A99,F24:F31))</f>
        <v/>
      </c>
      <c r="E99" s="14">
        <f>IF(A99&gt;$B$6,0,SUMIF(K24:K26,A99,N24:N26)+IF(A99=$B$6,N27,0))</f>
        <v/>
      </c>
      <c r="F99" s="14">
        <f>IF(A99&gt;$B$6,0,SUMIF(K24:K26,A99,O24:O26))</f>
        <v/>
      </c>
      <c r="G99" s="14">
        <f>G98+IF(A99&gt;$B$6,0,SUMIF(B24:B31,A99,G24:G31)+IF(A99=$B$6,G32,0))</f>
        <v/>
      </c>
      <c r="H99" s="14">
        <f>H98+IF(A99&gt;$B$6,0,SUMIF(K24:K26,A99,P24:P26)+IF(A99=$B$6,P27,0))</f>
        <v/>
      </c>
      <c r="I99">
        <f>IF(A99&gt;$B$6,0,SUMIF(B24:B31,A99,D24:D31)*$B$10)</f>
        <v/>
      </c>
      <c r="J99">
        <f>IF(A99&gt;$B$6,0,SUMIF(K24:K26,A99,M24:M26)*$B$10)</f>
        <v/>
      </c>
      <c r="M99" s="14">
        <f>C99+D99</f>
        <v/>
      </c>
      <c r="N99" s="14">
        <f>E99+F99</f>
        <v/>
      </c>
      <c r="AK99" t="n">
        <v>86</v>
      </c>
      <c r="AL99">
        <f>IFERROR(IF(AU99&lt;($AM$6-$AL$6)/($AN$6-$AL$6),$AL$6+SQRT(AU99*($AN$6-$AL$6)*($AM$6-$AL$6)),$AN$6-SQRT((1-AU99)*($AN$6-$AL$6)*($AN$6-$AM$6))),$AM$6)</f>
        <v/>
      </c>
      <c r="AM99">
        <f>IFERROR(IF(AV99&lt;($AM$7-$AL$7)/($AN$7-$AL$7),$AL$7+SQRT(AV99*($AN$7-$AL$7)*($AM$7-$AL$7)),$AN$7-SQRT((1-AV99)*($AN$7-$AL$7)*($AN$7-$AM$7))),$AM$7)</f>
        <v/>
      </c>
      <c r="AN99">
        <f>IFERROR(IF(AW99&lt;($AM$8-$AL$8)/($AN$8-$AL$8),$AL$8+SQRT(AW99*($AN$8-$AL$8)*($AM$8-$AL$8)),$AN$8-SQRT((1-AW99)*($AN$8-$AL$8)*($AN$8-$AM$8))),$AM$8)</f>
        <v/>
      </c>
      <c r="AO99">
        <f>IFERROR(IF(AX99&lt;($AM$9-$AL$9)/($AN$9-$AL$9),$AL$9+SQRT(AX99*($AN$9-$AL$9)*($AM$9-$AL$9)),$AN$9-SQRT((1-AX99)*($AN$9-$AL$9)*($AN$9-$AM$9))),$AM$9)</f>
        <v/>
      </c>
      <c r="AP99">
        <f>IFERROR(IF(AY99&lt;($AM$10-$AL$10)/($AN$10-$AL$10),$AL$10+SQRT(AY99*($AN$10-$AL$10)*($AM$10-$AL$10)),$AN$10-SQRT((1-AY99)*($AN$10-$AL$10)*($AN$10-$AM$10))),$AM$10)</f>
        <v/>
      </c>
      <c r="AQ99">
        <f>IFERROR(IF(AZ99&lt;($AM$11-$AL$11)/($AN$11-$AL$11),$AL$11+SQRT(AZ99*($AN$11-$AL$11)*($AM$11-$AL$11)),$AN$11-SQRT((1-AZ99)*($AN$11-$AL$11)*($AN$11-$AM$11))),$AM$11)</f>
        <v/>
      </c>
      <c r="AR99">
        <f>SUMPRODUCT((B24:B31&lt;=$B$6)*(C24:C31*AM99+D24:D31*AO99*$B$8*AQ99)/(1+AL99/100)^B24:B31)+C32*AM99*AP99/(1+AL99/100)^$B$6</f>
        <v/>
      </c>
      <c r="AS99">
        <f>SUMPRODUCT((K24:K26&lt;=$B$6)*(L24:L26*AN99+M24:M26*AO99*$B$8*AQ99)/(1+AL99/100)^K24:K26)+L27*AN99*AP99/(1+AL99/100)^$B$6</f>
        <v/>
      </c>
      <c r="AT99">
        <f>AS99-AR99</f>
        <v/>
      </c>
      <c r="AU99">
        <f>RAND()</f>
        <v/>
      </c>
      <c r="AV99">
        <f>RAND()</f>
        <v/>
      </c>
      <c r="AW99">
        <f>RAND()</f>
        <v/>
      </c>
      <c r="AX99">
        <f>RAND()</f>
        <v/>
      </c>
      <c r="AY99">
        <f>RAND()</f>
        <v/>
      </c>
      <c r="AZ99">
        <f>RAND()</f>
        <v/>
      </c>
    </row>
    <row r="100">
      <c r="A100" t="n">
        <v>6</v>
      </c>
      <c r="B100">
        <f>$B$7+A100</f>
        <v/>
      </c>
      <c r="C100" s="14">
        <f>IF(A100&gt;$B$6,0,SUMIF(B24:B31,A100,E24:E31)+IF(A100=$B$6,E32,0))</f>
        <v/>
      </c>
      <c r="D100" s="14">
        <f>IF(A100&gt;$B$6,0,SUMIF(B24:B31,A100,F24:F31))</f>
        <v/>
      </c>
      <c r="E100" s="14">
        <f>IF(A100&gt;$B$6,0,SUMIF(K24:K26,A100,N24:N26)+IF(A100=$B$6,N27,0))</f>
        <v/>
      </c>
      <c r="F100" s="14">
        <f>IF(A100&gt;$B$6,0,SUMIF(K24:K26,A100,O24:O26))</f>
        <v/>
      </c>
      <c r="G100" s="14">
        <f>G99+IF(A100&gt;$B$6,0,SUMIF(B24:B31,A100,G24:G31)+IF(A100=$B$6,G32,0))</f>
        <v/>
      </c>
      <c r="H100" s="14">
        <f>H99+IF(A100&gt;$B$6,0,SUMIF(K24:K26,A100,P24:P26)+IF(A100=$B$6,P27,0))</f>
        <v/>
      </c>
      <c r="I100">
        <f>IF(A100&gt;$B$6,0,SUMIF(B24:B31,A100,D24:D31)*$B$10)</f>
        <v/>
      </c>
      <c r="J100">
        <f>IF(A100&gt;$B$6,0,SUMIF(K24:K26,A100,M24:M26)*$B$10)</f>
        <v/>
      </c>
      <c r="M100" s="14">
        <f>C100+D100</f>
        <v/>
      </c>
      <c r="N100" s="14">
        <f>E100+F100</f>
        <v/>
      </c>
      <c r="AK100" t="n">
        <v>87</v>
      </c>
      <c r="AL100">
        <f>IFERROR(IF(AU100&lt;($AM$6-$AL$6)/($AN$6-$AL$6),$AL$6+SQRT(AU100*($AN$6-$AL$6)*($AM$6-$AL$6)),$AN$6-SQRT((1-AU100)*($AN$6-$AL$6)*($AN$6-$AM$6))),$AM$6)</f>
        <v/>
      </c>
      <c r="AM100">
        <f>IFERROR(IF(AV100&lt;($AM$7-$AL$7)/($AN$7-$AL$7),$AL$7+SQRT(AV100*($AN$7-$AL$7)*($AM$7-$AL$7)),$AN$7-SQRT((1-AV100)*($AN$7-$AL$7)*($AN$7-$AM$7))),$AM$7)</f>
        <v/>
      </c>
      <c r="AN100">
        <f>IFERROR(IF(AW100&lt;($AM$8-$AL$8)/($AN$8-$AL$8),$AL$8+SQRT(AW100*($AN$8-$AL$8)*($AM$8-$AL$8)),$AN$8-SQRT((1-AW100)*($AN$8-$AL$8)*($AN$8-$AM$8))),$AM$8)</f>
        <v/>
      </c>
      <c r="AO100">
        <f>IFERROR(IF(AX100&lt;($AM$9-$AL$9)/($AN$9-$AL$9),$AL$9+SQRT(AX100*($AN$9-$AL$9)*($AM$9-$AL$9)),$AN$9-SQRT((1-AX100)*($AN$9-$AL$9)*($AN$9-$AM$9))),$AM$9)</f>
        <v/>
      </c>
      <c r="AP100">
        <f>IFERROR(IF(AY100&lt;($AM$10-$AL$10)/($AN$10-$AL$10),$AL$10+SQRT(AY100*($AN$10-$AL$10)*($AM$10-$AL$10)),$AN$10-SQRT((1-AY100)*($AN$10-$AL$10)*($AN$10-$AM$10))),$AM$10)</f>
        <v/>
      </c>
      <c r="AQ100">
        <f>IFERROR(IF(AZ100&lt;($AM$11-$AL$11)/($AN$11-$AL$11),$AL$11+SQRT(AZ100*($AN$11-$AL$11)*($AM$11-$AL$11)),$AN$11-SQRT((1-AZ100)*($AN$11-$AL$11)*($AN$11-$AM$11))),$AM$11)</f>
        <v/>
      </c>
      <c r="AR100">
        <f>SUMPRODUCT((B24:B31&lt;=$B$6)*(C24:C31*AM100+D24:D31*AO100*$B$8*AQ100)/(1+AL100/100)^B24:B31)+C32*AM100*AP100/(1+AL100/100)^$B$6</f>
        <v/>
      </c>
      <c r="AS100">
        <f>SUMPRODUCT((K24:K26&lt;=$B$6)*(L24:L26*AN100+M24:M26*AO100*$B$8*AQ100)/(1+AL100/100)^K24:K26)+L27*AN100*AP100/(1+AL100/100)^$B$6</f>
        <v/>
      </c>
      <c r="AT100">
        <f>AS100-AR100</f>
        <v/>
      </c>
      <c r="AU100">
        <f>RAND()</f>
        <v/>
      </c>
      <c r="AV100">
        <f>RAND()</f>
        <v/>
      </c>
      <c r="AW100">
        <f>RAND()</f>
        <v/>
      </c>
      <c r="AX100">
        <f>RAND()</f>
        <v/>
      </c>
      <c r="AY100">
        <f>RAND()</f>
        <v/>
      </c>
      <c r="AZ100">
        <f>RAND()</f>
        <v/>
      </c>
    </row>
    <row r="101">
      <c r="A101" t="n">
        <v>7</v>
      </c>
      <c r="B101">
        <f>$B$7+A101</f>
        <v/>
      </c>
      <c r="C101" s="14">
        <f>IF(A101&gt;$B$6,0,SUMIF(B24:B31,A101,E24:E31)+IF(A101=$B$6,E32,0))</f>
        <v/>
      </c>
      <c r="D101" s="14">
        <f>IF(A101&gt;$B$6,0,SUMIF(B24:B31,A101,F24:F31))</f>
        <v/>
      </c>
      <c r="E101" s="14">
        <f>IF(A101&gt;$B$6,0,SUMIF(K24:K26,A101,N24:N26)+IF(A101=$B$6,N27,0))</f>
        <v/>
      </c>
      <c r="F101" s="14">
        <f>IF(A101&gt;$B$6,0,SUMIF(K24:K26,A101,O24:O26))</f>
        <v/>
      </c>
      <c r="G101" s="14">
        <f>G100+IF(A101&gt;$B$6,0,SUMIF(B24:B31,A101,G24:G31)+IF(A101=$B$6,G32,0))</f>
        <v/>
      </c>
      <c r="H101" s="14">
        <f>H100+IF(A101&gt;$B$6,0,SUMIF(K24:K26,A101,P24:P26)+IF(A101=$B$6,P27,0))</f>
        <v/>
      </c>
      <c r="I101">
        <f>IF(A101&gt;$B$6,0,SUMIF(B24:B31,A101,D24:D31)*$B$10)</f>
        <v/>
      </c>
      <c r="J101">
        <f>IF(A101&gt;$B$6,0,SUMIF(K24:K26,A101,M24:M26)*$B$10)</f>
        <v/>
      </c>
      <c r="M101" s="14">
        <f>C101+D101</f>
        <v/>
      </c>
      <c r="N101" s="14">
        <f>E101+F101</f>
        <v/>
      </c>
      <c r="AK101" t="n">
        <v>88</v>
      </c>
      <c r="AL101">
        <f>IFERROR(IF(AU101&lt;($AM$6-$AL$6)/($AN$6-$AL$6),$AL$6+SQRT(AU101*($AN$6-$AL$6)*($AM$6-$AL$6)),$AN$6-SQRT((1-AU101)*($AN$6-$AL$6)*($AN$6-$AM$6))),$AM$6)</f>
        <v/>
      </c>
      <c r="AM101">
        <f>IFERROR(IF(AV101&lt;($AM$7-$AL$7)/($AN$7-$AL$7),$AL$7+SQRT(AV101*($AN$7-$AL$7)*($AM$7-$AL$7)),$AN$7-SQRT((1-AV101)*($AN$7-$AL$7)*($AN$7-$AM$7))),$AM$7)</f>
        <v/>
      </c>
      <c r="AN101">
        <f>IFERROR(IF(AW101&lt;($AM$8-$AL$8)/($AN$8-$AL$8),$AL$8+SQRT(AW101*($AN$8-$AL$8)*($AM$8-$AL$8)),$AN$8-SQRT((1-AW101)*($AN$8-$AL$8)*($AN$8-$AM$8))),$AM$8)</f>
        <v/>
      </c>
      <c r="AO101">
        <f>IFERROR(IF(AX101&lt;($AM$9-$AL$9)/($AN$9-$AL$9),$AL$9+SQRT(AX101*($AN$9-$AL$9)*($AM$9-$AL$9)),$AN$9-SQRT((1-AX101)*($AN$9-$AL$9)*($AN$9-$AM$9))),$AM$9)</f>
        <v/>
      </c>
      <c r="AP101">
        <f>IFERROR(IF(AY101&lt;($AM$10-$AL$10)/($AN$10-$AL$10),$AL$10+SQRT(AY101*($AN$10-$AL$10)*($AM$10-$AL$10)),$AN$10-SQRT((1-AY101)*($AN$10-$AL$10)*($AN$10-$AM$10))),$AM$10)</f>
        <v/>
      </c>
      <c r="AQ101">
        <f>IFERROR(IF(AZ101&lt;($AM$11-$AL$11)/($AN$11-$AL$11),$AL$11+SQRT(AZ101*($AN$11-$AL$11)*($AM$11-$AL$11)),$AN$11-SQRT((1-AZ101)*($AN$11-$AL$11)*($AN$11-$AM$11))),$AM$11)</f>
        <v/>
      </c>
      <c r="AR101">
        <f>SUMPRODUCT((B24:B31&lt;=$B$6)*(C24:C31*AM101+D24:D31*AO101*$B$8*AQ101)/(1+AL101/100)^B24:B31)+C32*AM101*AP101/(1+AL101/100)^$B$6</f>
        <v/>
      </c>
      <c r="AS101">
        <f>SUMPRODUCT((K24:K26&lt;=$B$6)*(L24:L26*AN101+M24:M26*AO101*$B$8*AQ101)/(1+AL101/100)^K24:K26)+L27*AN101*AP101/(1+AL101/100)^$B$6</f>
        <v/>
      </c>
      <c r="AT101">
        <f>AS101-AR101</f>
        <v/>
      </c>
      <c r="AU101">
        <f>RAND()</f>
        <v/>
      </c>
      <c r="AV101">
        <f>RAND()</f>
        <v/>
      </c>
      <c r="AW101">
        <f>RAND()</f>
        <v/>
      </c>
      <c r="AX101">
        <f>RAND()</f>
        <v/>
      </c>
      <c r="AY101">
        <f>RAND()</f>
        <v/>
      </c>
      <c r="AZ101">
        <f>RAND()</f>
        <v/>
      </c>
    </row>
    <row r="102">
      <c r="A102" t="n">
        <v>8</v>
      </c>
      <c r="B102">
        <f>$B$7+A102</f>
        <v/>
      </c>
      <c r="C102" s="14">
        <f>IF(A102&gt;$B$6,0,SUMIF(B24:B31,A102,E24:E31)+IF(A102=$B$6,E32,0))</f>
        <v/>
      </c>
      <c r="D102" s="14">
        <f>IF(A102&gt;$B$6,0,SUMIF(B24:B31,A102,F24:F31))</f>
        <v/>
      </c>
      <c r="E102" s="14">
        <f>IF(A102&gt;$B$6,0,SUMIF(K24:K26,A102,N24:N26)+IF(A102=$B$6,N27,0))</f>
        <v/>
      </c>
      <c r="F102" s="14">
        <f>IF(A102&gt;$B$6,0,SUMIF(K24:K26,A102,O24:O26))</f>
        <v/>
      </c>
      <c r="G102" s="14">
        <f>G101+IF(A102&gt;$B$6,0,SUMIF(B24:B31,A102,G24:G31)+IF(A102=$B$6,G32,0))</f>
        <v/>
      </c>
      <c r="H102" s="14">
        <f>H101+IF(A102&gt;$B$6,0,SUMIF(K24:K26,A102,P24:P26)+IF(A102=$B$6,P27,0))</f>
        <v/>
      </c>
      <c r="I102">
        <f>IF(A102&gt;$B$6,0,SUMIF(B24:B31,A102,D24:D31)*$B$10)</f>
        <v/>
      </c>
      <c r="J102">
        <f>IF(A102&gt;$B$6,0,SUMIF(K24:K26,A102,M24:M26)*$B$10)</f>
        <v/>
      </c>
      <c r="M102" s="14">
        <f>C102+D102</f>
        <v/>
      </c>
      <c r="N102" s="14">
        <f>E102+F102</f>
        <v/>
      </c>
      <c r="AK102" t="n">
        <v>89</v>
      </c>
      <c r="AL102">
        <f>IFERROR(IF(AU102&lt;($AM$6-$AL$6)/($AN$6-$AL$6),$AL$6+SQRT(AU102*($AN$6-$AL$6)*($AM$6-$AL$6)),$AN$6-SQRT((1-AU102)*($AN$6-$AL$6)*($AN$6-$AM$6))),$AM$6)</f>
        <v/>
      </c>
      <c r="AM102">
        <f>IFERROR(IF(AV102&lt;($AM$7-$AL$7)/($AN$7-$AL$7),$AL$7+SQRT(AV102*($AN$7-$AL$7)*($AM$7-$AL$7)),$AN$7-SQRT((1-AV102)*($AN$7-$AL$7)*($AN$7-$AM$7))),$AM$7)</f>
        <v/>
      </c>
      <c r="AN102">
        <f>IFERROR(IF(AW102&lt;($AM$8-$AL$8)/($AN$8-$AL$8),$AL$8+SQRT(AW102*($AN$8-$AL$8)*($AM$8-$AL$8)),$AN$8-SQRT((1-AW102)*($AN$8-$AL$8)*($AN$8-$AM$8))),$AM$8)</f>
        <v/>
      </c>
      <c r="AO102">
        <f>IFERROR(IF(AX102&lt;($AM$9-$AL$9)/($AN$9-$AL$9),$AL$9+SQRT(AX102*($AN$9-$AL$9)*($AM$9-$AL$9)),$AN$9-SQRT((1-AX102)*($AN$9-$AL$9)*($AN$9-$AM$9))),$AM$9)</f>
        <v/>
      </c>
      <c r="AP102">
        <f>IFERROR(IF(AY102&lt;($AM$10-$AL$10)/($AN$10-$AL$10),$AL$10+SQRT(AY102*($AN$10-$AL$10)*($AM$10-$AL$10)),$AN$10-SQRT((1-AY102)*($AN$10-$AL$10)*($AN$10-$AM$10))),$AM$10)</f>
        <v/>
      </c>
      <c r="AQ102">
        <f>IFERROR(IF(AZ102&lt;($AM$11-$AL$11)/($AN$11-$AL$11),$AL$11+SQRT(AZ102*($AN$11-$AL$11)*($AM$11-$AL$11)),$AN$11-SQRT((1-AZ102)*($AN$11-$AL$11)*($AN$11-$AM$11))),$AM$11)</f>
        <v/>
      </c>
      <c r="AR102">
        <f>SUMPRODUCT((B24:B31&lt;=$B$6)*(C24:C31*AM102+D24:D31*AO102*$B$8*AQ102)/(1+AL102/100)^B24:B31)+C32*AM102*AP102/(1+AL102/100)^$B$6</f>
        <v/>
      </c>
      <c r="AS102">
        <f>SUMPRODUCT((K24:K26&lt;=$B$6)*(L24:L26*AN102+M24:M26*AO102*$B$8*AQ102)/(1+AL102/100)^K24:K26)+L27*AN102*AP102/(1+AL102/100)^$B$6</f>
        <v/>
      </c>
      <c r="AT102">
        <f>AS102-AR102</f>
        <v/>
      </c>
      <c r="AU102">
        <f>RAND()</f>
        <v/>
      </c>
      <c r="AV102">
        <f>RAND()</f>
        <v/>
      </c>
      <c r="AW102">
        <f>RAND()</f>
        <v/>
      </c>
      <c r="AX102">
        <f>RAND()</f>
        <v/>
      </c>
      <c r="AY102">
        <f>RAND()</f>
        <v/>
      </c>
      <c r="AZ102">
        <f>RAND()</f>
        <v/>
      </c>
    </row>
    <row r="103">
      <c r="A103" t="n">
        <v>9</v>
      </c>
      <c r="B103">
        <f>$B$7+A103</f>
        <v/>
      </c>
      <c r="C103" s="14">
        <f>IF(A103&gt;$B$6,0,SUMIF(B24:B31,A103,E24:E31)+IF(A103=$B$6,E32,0))</f>
        <v/>
      </c>
      <c r="D103" s="14">
        <f>IF(A103&gt;$B$6,0,SUMIF(B24:B31,A103,F24:F31))</f>
        <v/>
      </c>
      <c r="E103" s="14">
        <f>IF(A103&gt;$B$6,0,SUMIF(K24:K26,A103,N24:N26)+IF(A103=$B$6,N27,0))</f>
        <v/>
      </c>
      <c r="F103" s="14">
        <f>IF(A103&gt;$B$6,0,SUMIF(K24:K26,A103,O24:O26))</f>
        <v/>
      </c>
      <c r="G103" s="14">
        <f>G102+IF(A103&gt;$B$6,0,SUMIF(B24:B31,A103,G24:G31)+IF(A103=$B$6,G32,0))</f>
        <v/>
      </c>
      <c r="H103" s="14">
        <f>H102+IF(A103&gt;$B$6,0,SUMIF(K24:K26,A103,P24:P26)+IF(A103=$B$6,P27,0))</f>
        <v/>
      </c>
      <c r="I103">
        <f>IF(A103&gt;$B$6,0,SUMIF(B24:B31,A103,D24:D31)*$B$10)</f>
        <v/>
      </c>
      <c r="J103">
        <f>IF(A103&gt;$B$6,0,SUMIF(K24:K26,A103,M24:M26)*$B$10)</f>
        <v/>
      </c>
      <c r="M103" s="14">
        <f>C103+D103</f>
        <v/>
      </c>
      <c r="N103" s="14">
        <f>E103+F103</f>
        <v/>
      </c>
      <c r="AK103" t="n">
        <v>90</v>
      </c>
      <c r="AL103">
        <f>IFERROR(IF(AU103&lt;($AM$6-$AL$6)/($AN$6-$AL$6),$AL$6+SQRT(AU103*($AN$6-$AL$6)*($AM$6-$AL$6)),$AN$6-SQRT((1-AU103)*($AN$6-$AL$6)*($AN$6-$AM$6))),$AM$6)</f>
        <v/>
      </c>
      <c r="AM103">
        <f>IFERROR(IF(AV103&lt;($AM$7-$AL$7)/($AN$7-$AL$7),$AL$7+SQRT(AV103*($AN$7-$AL$7)*($AM$7-$AL$7)),$AN$7-SQRT((1-AV103)*($AN$7-$AL$7)*($AN$7-$AM$7))),$AM$7)</f>
        <v/>
      </c>
      <c r="AN103">
        <f>IFERROR(IF(AW103&lt;($AM$8-$AL$8)/($AN$8-$AL$8),$AL$8+SQRT(AW103*($AN$8-$AL$8)*($AM$8-$AL$8)),$AN$8-SQRT((1-AW103)*($AN$8-$AL$8)*($AN$8-$AM$8))),$AM$8)</f>
        <v/>
      </c>
      <c r="AO103">
        <f>IFERROR(IF(AX103&lt;($AM$9-$AL$9)/($AN$9-$AL$9),$AL$9+SQRT(AX103*($AN$9-$AL$9)*($AM$9-$AL$9)),$AN$9-SQRT((1-AX103)*($AN$9-$AL$9)*($AN$9-$AM$9))),$AM$9)</f>
        <v/>
      </c>
      <c r="AP103">
        <f>IFERROR(IF(AY103&lt;($AM$10-$AL$10)/($AN$10-$AL$10),$AL$10+SQRT(AY103*($AN$10-$AL$10)*($AM$10-$AL$10)),$AN$10-SQRT((1-AY103)*($AN$10-$AL$10)*($AN$10-$AM$10))),$AM$10)</f>
        <v/>
      </c>
      <c r="AQ103">
        <f>IFERROR(IF(AZ103&lt;($AM$11-$AL$11)/($AN$11-$AL$11),$AL$11+SQRT(AZ103*($AN$11-$AL$11)*($AM$11-$AL$11)),$AN$11-SQRT((1-AZ103)*($AN$11-$AL$11)*($AN$11-$AM$11))),$AM$11)</f>
        <v/>
      </c>
      <c r="AR103">
        <f>SUMPRODUCT((B24:B31&lt;=$B$6)*(C24:C31*AM103+D24:D31*AO103*$B$8*AQ103)/(1+AL103/100)^B24:B31)+C32*AM103*AP103/(1+AL103/100)^$B$6</f>
        <v/>
      </c>
      <c r="AS103">
        <f>SUMPRODUCT((K24:K26&lt;=$B$6)*(L24:L26*AN103+M24:M26*AO103*$B$8*AQ103)/(1+AL103/100)^K24:K26)+L27*AN103*AP103/(1+AL103/100)^$B$6</f>
        <v/>
      </c>
      <c r="AT103">
        <f>AS103-AR103</f>
        <v/>
      </c>
      <c r="AU103">
        <f>RAND()</f>
        <v/>
      </c>
      <c r="AV103">
        <f>RAND()</f>
        <v/>
      </c>
      <c r="AW103">
        <f>RAND()</f>
        <v/>
      </c>
      <c r="AX103">
        <f>RAND()</f>
        <v/>
      </c>
      <c r="AY103">
        <f>RAND()</f>
        <v/>
      </c>
      <c r="AZ103">
        <f>RAND()</f>
        <v/>
      </c>
    </row>
    <row r="104">
      <c r="A104" t="n">
        <v>10</v>
      </c>
      <c r="B104">
        <f>$B$7+A104</f>
        <v/>
      </c>
      <c r="C104" s="14">
        <f>IF(A104&gt;$B$6,0,SUMIF(B24:B31,A104,E24:E31)+IF(A104=$B$6,E32,0))</f>
        <v/>
      </c>
      <c r="D104" s="14">
        <f>IF(A104&gt;$B$6,0,SUMIF(B24:B31,A104,F24:F31))</f>
        <v/>
      </c>
      <c r="E104" s="14">
        <f>IF(A104&gt;$B$6,0,SUMIF(K24:K26,A104,N24:N26)+IF(A104=$B$6,N27,0))</f>
        <v/>
      </c>
      <c r="F104" s="14">
        <f>IF(A104&gt;$B$6,0,SUMIF(K24:K26,A104,O24:O26))</f>
        <v/>
      </c>
      <c r="G104" s="14">
        <f>G103+IF(A104&gt;$B$6,0,SUMIF(B24:B31,A104,G24:G31)+IF(A104=$B$6,G32,0))</f>
        <v/>
      </c>
      <c r="H104" s="14">
        <f>H103+IF(A104&gt;$B$6,0,SUMIF(K24:K26,A104,P24:P26)+IF(A104=$B$6,P27,0))</f>
        <v/>
      </c>
      <c r="I104">
        <f>IF(A104&gt;$B$6,0,SUMIF(B24:B31,A104,D24:D31)*$B$10)</f>
        <v/>
      </c>
      <c r="J104">
        <f>IF(A104&gt;$B$6,0,SUMIF(K24:K26,A104,M24:M26)*$B$10)</f>
        <v/>
      </c>
      <c r="M104" s="14">
        <f>C104+D104</f>
        <v/>
      </c>
      <c r="N104" s="14">
        <f>E104+F104</f>
        <v/>
      </c>
      <c r="AK104" t="n">
        <v>91</v>
      </c>
      <c r="AL104">
        <f>IFERROR(IF(AU104&lt;($AM$6-$AL$6)/($AN$6-$AL$6),$AL$6+SQRT(AU104*($AN$6-$AL$6)*($AM$6-$AL$6)),$AN$6-SQRT((1-AU104)*($AN$6-$AL$6)*($AN$6-$AM$6))),$AM$6)</f>
        <v/>
      </c>
      <c r="AM104">
        <f>IFERROR(IF(AV104&lt;($AM$7-$AL$7)/($AN$7-$AL$7),$AL$7+SQRT(AV104*($AN$7-$AL$7)*($AM$7-$AL$7)),$AN$7-SQRT((1-AV104)*($AN$7-$AL$7)*($AN$7-$AM$7))),$AM$7)</f>
        <v/>
      </c>
      <c r="AN104">
        <f>IFERROR(IF(AW104&lt;($AM$8-$AL$8)/($AN$8-$AL$8),$AL$8+SQRT(AW104*($AN$8-$AL$8)*($AM$8-$AL$8)),$AN$8-SQRT((1-AW104)*($AN$8-$AL$8)*($AN$8-$AM$8))),$AM$8)</f>
        <v/>
      </c>
      <c r="AO104">
        <f>IFERROR(IF(AX104&lt;($AM$9-$AL$9)/($AN$9-$AL$9),$AL$9+SQRT(AX104*($AN$9-$AL$9)*($AM$9-$AL$9)),$AN$9-SQRT((1-AX104)*($AN$9-$AL$9)*($AN$9-$AM$9))),$AM$9)</f>
        <v/>
      </c>
      <c r="AP104">
        <f>IFERROR(IF(AY104&lt;($AM$10-$AL$10)/($AN$10-$AL$10),$AL$10+SQRT(AY104*($AN$10-$AL$10)*($AM$10-$AL$10)),$AN$10-SQRT((1-AY104)*($AN$10-$AL$10)*($AN$10-$AM$10))),$AM$10)</f>
        <v/>
      </c>
      <c r="AQ104">
        <f>IFERROR(IF(AZ104&lt;($AM$11-$AL$11)/($AN$11-$AL$11),$AL$11+SQRT(AZ104*($AN$11-$AL$11)*($AM$11-$AL$11)),$AN$11-SQRT((1-AZ104)*($AN$11-$AL$11)*($AN$11-$AM$11))),$AM$11)</f>
        <v/>
      </c>
      <c r="AR104">
        <f>SUMPRODUCT((B24:B31&lt;=$B$6)*(C24:C31*AM104+D24:D31*AO104*$B$8*AQ104)/(1+AL104/100)^B24:B31)+C32*AM104*AP104/(1+AL104/100)^$B$6</f>
        <v/>
      </c>
      <c r="AS104">
        <f>SUMPRODUCT((K24:K26&lt;=$B$6)*(L24:L26*AN104+M24:M26*AO104*$B$8*AQ104)/(1+AL104/100)^K24:K26)+L27*AN104*AP104/(1+AL104/100)^$B$6</f>
        <v/>
      </c>
      <c r="AT104">
        <f>AS104-AR104</f>
        <v/>
      </c>
      <c r="AU104">
        <f>RAND()</f>
        <v/>
      </c>
      <c r="AV104">
        <f>RAND()</f>
        <v/>
      </c>
      <c r="AW104">
        <f>RAND()</f>
        <v/>
      </c>
      <c r="AX104">
        <f>RAND()</f>
        <v/>
      </c>
      <c r="AY104">
        <f>RAND()</f>
        <v/>
      </c>
      <c r="AZ104">
        <f>RAND()</f>
        <v/>
      </c>
    </row>
    <row r="105">
      <c r="A105" t="n">
        <v>11</v>
      </c>
      <c r="B105">
        <f>$B$7+A105</f>
        <v/>
      </c>
      <c r="C105" s="14">
        <f>IF(A105&gt;$B$6,0,SUMIF(B24:B31,A105,E24:E31)+IF(A105=$B$6,E32,0))</f>
        <v/>
      </c>
      <c r="D105" s="14">
        <f>IF(A105&gt;$B$6,0,SUMIF(B24:B31,A105,F24:F31))</f>
        <v/>
      </c>
      <c r="E105" s="14">
        <f>IF(A105&gt;$B$6,0,SUMIF(K24:K26,A105,N24:N26)+IF(A105=$B$6,N27,0))</f>
        <v/>
      </c>
      <c r="F105" s="14">
        <f>IF(A105&gt;$B$6,0,SUMIF(K24:K26,A105,O24:O26))</f>
        <v/>
      </c>
      <c r="G105" s="14">
        <f>G104+IF(A105&gt;$B$6,0,SUMIF(B24:B31,A105,G24:G31)+IF(A105=$B$6,G32,0))</f>
        <v/>
      </c>
      <c r="H105" s="14">
        <f>H104+IF(A105&gt;$B$6,0,SUMIF(K24:K26,A105,P24:P26)+IF(A105=$B$6,P27,0))</f>
        <v/>
      </c>
      <c r="I105">
        <f>IF(A105&gt;$B$6,0,SUMIF(B24:B31,A105,D24:D31)*$B$10)</f>
        <v/>
      </c>
      <c r="J105">
        <f>IF(A105&gt;$B$6,0,SUMIF(K24:K26,A105,M24:M26)*$B$10)</f>
        <v/>
      </c>
      <c r="M105" s="14">
        <f>C105+D105</f>
        <v/>
      </c>
      <c r="N105" s="14">
        <f>E105+F105</f>
        <v/>
      </c>
      <c r="AK105" t="n">
        <v>92</v>
      </c>
      <c r="AL105">
        <f>IFERROR(IF(AU105&lt;($AM$6-$AL$6)/($AN$6-$AL$6),$AL$6+SQRT(AU105*($AN$6-$AL$6)*($AM$6-$AL$6)),$AN$6-SQRT((1-AU105)*($AN$6-$AL$6)*($AN$6-$AM$6))),$AM$6)</f>
        <v/>
      </c>
      <c r="AM105">
        <f>IFERROR(IF(AV105&lt;($AM$7-$AL$7)/($AN$7-$AL$7),$AL$7+SQRT(AV105*($AN$7-$AL$7)*($AM$7-$AL$7)),$AN$7-SQRT((1-AV105)*($AN$7-$AL$7)*($AN$7-$AM$7))),$AM$7)</f>
        <v/>
      </c>
      <c r="AN105">
        <f>IFERROR(IF(AW105&lt;($AM$8-$AL$8)/($AN$8-$AL$8),$AL$8+SQRT(AW105*($AN$8-$AL$8)*($AM$8-$AL$8)),$AN$8-SQRT((1-AW105)*($AN$8-$AL$8)*($AN$8-$AM$8))),$AM$8)</f>
        <v/>
      </c>
      <c r="AO105">
        <f>IFERROR(IF(AX105&lt;($AM$9-$AL$9)/($AN$9-$AL$9),$AL$9+SQRT(AX105*($AN$9-$AL$9)*($AM$9-$AL$9)),$AN$9-SQRT((1-AX105)*($AN$9-$AL$9)*($AN$9-$AM$9))),$AM$9)</f>
        <v/>
      </c>
      <c r="AP105">
        <f>IFERROR(IF(AY105&lt;($AM$10-$AL$10)/($AN$10-$AL$10),$AL$10+SQRT(AY105*($AN$10-$AL$10)*($AM$10-$AL$10)),$AN$10-SQRT((1-AY105)*($AN$10-$AL$10)*($AN$10-$AM$10))),$AM$10)</f>
        <v/>
      </c>
      <c r="AQ105">
        <f>IFERROR(IF(AZ105&lt;($AM$11-$AL$11)/($AN$11-$AL$11),$AL$11+SQRT(AZ105*($AN$11-$AL$11)*($AM$11-$AL$11)),$AN$11-SQRT((1-AZ105)*($AN$11-$AL$11)*($AN$11-$AM$11))),$AM$11)</f>
        <v/>
      </c>
      <c r="AR105">
        <f>SUMPRODUCT((B24:B31&lt;=$B$6)*(C24:C31*AM105+D24:D31*AO105*$B$8*AQ105)/(1+AL105/100)^B24:B31)+C32*AM105*AP105/(1+AL105/100)^$B$6</f>
        <v/>
      </c>
      <c r="AS105">
        <f>SUMPRODUCT((K24:K26&lt;=$B$6)*(L24:L26*AN105+M24:M26*AO105*$B$8*AQ105)/(1+AL105/100)^K24:K26)+L27*AN105*AP105/(1+AL105/100)^$B$6</f>
        <v/>
      </c>
      <c r="AT105">
        <f>AS105-AR105</f>
        <v/>
      </c>
      <c r="AU105">
        <f>RAND()</f>
        <v/>
      </c>
      <c r="AV105">
        <f>RAND()</f>
        <v/>
      </c>
      <c r="AW105">
        <f>RAND()</f>
        <v/>
      </c>
      <c r="AX105">
        <f>RAND()</f>
        <v/>
      </c>
      <c r="AY105">
        <f>RAND()</f>
        <v/>
      </c>
      <c r="AZ105">
        <f>RAND()</f>
        <v/>
      </c>
    </row>
    <row r="106">
      <c r="A106" t="n">
        <v>12</v>
      </c>
      <c r="B106">
        <f>$B$7+A106</f>
        <v/>
      </c>
      <c r="C106" s="14">
        <f>IF(A106&gt;$B$6,0,SUMIF(B24:B31,A106,E24:E31)+IF(A106=$B$6,E32,0))</f>
        <v/>
      </c>
      <c r="D106" s="14">
        <f>IF(A106&gt;$B$6,0,SUMIF(B24:B31,A106,F24:F31))</f>
        <v/>
      </c>
      <c r="E106" s="14">
        <f>IF(A106&gt;$B$6,0,SUMIF(K24:K26,A106,N24:N26)+IF(A106=$B$6,N27,0))</f>
        <v/>
      </c>
      <c r="F106" s="14">
        <f>IF(A106&gt;$B$6,0,SUMIF(K24:K26,A106,O24:O26))</f>
        <v/>
      </c>
      <c r="G106" s="14">
        <f>G105+IF(A106&gt;$B$6,0,SUMIF(B24:B31,A106,G24:G31)+IF(A106=$B$6,G32,0))</f>
        <v/>
      </c>
      <c r="H106" s="14">
        <f>H105+IF(A106&gt;$B$6,0,SUMIF(K24:K26,A106,P24:P26)+IF(A106=$B$6,P27,0))</f>
        <v/>
      </c>
      <c r="I106">
        <f>IF(A106&gt;$B$6,0,SUMIF(B24:B31,A106,D24:D31)*$B$10)</f>
        <v/>
      </c>
      <c r="J106">
        <f>IF(A106&gt;$B$6,0,SUMIF(K24:K26,A106,M24:M26)*$B$10)</f>
        <v/>
      </c>
      <c r="M106" s="14">
        <f>C106+D106</f>
        <v/>
      </c>
      <c r="N106" s="14">
        <f>E106+F106</f>
        <v/>
      </c>
      <c r="AK106" t="n">
        <v>93</v>
      </c>
      <c r="AL106">
        <f>IFERROR(IF(AU106&lt;($AM$6-$AL$6)/($AN$6-$AL$6),$AL$6+SQRT(AU106*($AN$6-$AL$6)*($AM$6-$AL$6)),$AN$6-SQRT((1-AU106)*($AN$6-$AL$6)*($AN$6-$AM$6))),$AM$6)</f>
        <v/>
      </c>
      <c r="AM106">
        <f>IFERROR(IF(AV106&lt;($AM$7-$AL$7)/($AN$7-$AL$7),$AL$7+SQRT(AV106*($AN$7-$AL$7)*($AM$7-$AL$7)),$AN$7-SQRT((1-AV106)*($AN$7-$AL$7)*($AN$7-$AM$7))),$AM$7)</f>
        <v/>
      </c>
      <c r="AN106">
        <f>IFERROR(IF(AW106&lt;($AM$8-$AL$8)/($AN$8-$AL$8),$AL$8+SQRT(AW106*($AN$8-$AL$8)*($AM$8-$AL$8)),$AN$8-SQRT((1-AW106)*($AN$8-$AL$8)*($AN$8-$AM$8))),$AM$8)</f>
        <v/>
      </c>
      <c r="AO106">
        <f>IFERROR(IF(AX106&lt;($AM$9-$AL$9)/($AN$9-$AL$9),$AL$9+SQRT(AX106*($AN$9-$AL$9)*($AM$9-$AL$9)),$AN$9-SQRT((1-AX106)*($AN$9-$AL$9)*($AN$9-$AM$9))),$AM$9)</f>
        <v/>
      </c>
      <c r="AP106">
        <f>IFERROR(IF(AY106&lt;($AM$10-$AL$10)/($AN$10-$AL$10),$AL$10+SQRT(AY106*($AN$10-$AL$10)*($AM$10-$AL$10)),$AN$10-SQRT((1-AY106)*($AN$10-$AL$10)*($AN$10-$AM$10))),$AM$10)</f>
        <v/>
      </c>
      <c r="AQ106">
        <f>IFERROR(IF(AZ106&lt;($AM$11-$AL$11)/($AN$11-$AL$11),$AL$11+SQRT(AZ106*($AN$11-$AL$11)*($AM$11-$AL$11)),$AN$11-SQRT((1-AZ106)*($AN$11-$AL$11)*($AN$11-$AM$11))),$AM$11)</f>
        <v/>
      </c>
      <c r="AR106">
        <f>SUMPRODUCT((B24:B31&lt;=$B$6)*(C24:C31*AM106+D24:D31*AO106*$B$8*AQ106)/(1+AL106/100)^B24:B31)+C32*AM106*AP106/(1+AL106/100)^$B$6</f>
        <v/>
      </c>
      <c r="AS106">
        <f>SUMPRODUCT((K24:K26&lt;=$B$6)*(L24:L26*AN106+M24:M26*AO106*$B$8*AQ106)/(1+AL106/100)^K24:K26)+L27*AN106*AP106/(1+AL106/100)^$B$6</f>
        <v/>
      </c>
      <c r="AT106">
        <f>AS106-AR106</f>
        <v/>
      </c>
      <c r="AU106">
        <f>RAND()</f>
        <v/>
      </c>
      <c r="AV106">
        <f>RAND()</f>
        <v/>
      </c>
      <c r="AW106">
        <f>RAND()</f>
        <v/>
      </c>
      <c r="AX106">
        <f>RAND()</f>
        <v/>
      </c>
      <c r="AY106">
        <f>RAND()</f>
        <v/>
      </c>
      <c r="AZ106">
        <f>RAND()</f>
        <v/>
      </c>
    </row>
    <row r="107">
      <c r="A107" t="n">
        <v>13</v>
      </c>
      <c r="B107">
        <f>$B$7+A107</f>
        <v/>
      </c>
      <c r="C107" s="14">
        <f>IF(A107&gt;$B$6,0,SUMIF(B24:B31,A107,E24:E31)+IF(A107=$B$6,E32,0))</f>
        <v/>
      </c>
      <c r="D107" s="14">
        <f>IF(A107&gt;$B$6,0,SUMIF(B24:B31,A107,F24:F31))</f>
        <v/>
      </c>
      <c r="E107" s="14">
        <f>IF(A107&gt;$B$6,0,SUMIF(K24:K26,A107,N24:N26)+IF(A107=$B$6,N27,0))</f>
        <v/>
      </c>
      <c r="F107" s="14">
        <f>IF(A107&gt;$B$6,0,SUMIF(K24:K26,A107,O24:O26))</f>
        <v/>
      </c>
      <c r="G107" s="14">
        <f>G106+IF(A107&gt;$B$6,0,SUMIF(B24:B31,A107,G24:G31)+IF(A107=$B$6,G32,0))</f>
        <v/>
      </c>
      <c r="H107" s="14">
        <f>H106+IF(A107&gt;$B$6,0,SUMIF(K24:K26,A107,P24:P26)+IF(A107=$B$6,P27,0))</f>
        <v/>
      </c>
      <c r="I107">
        <f>IF(A107&gt;$B$6,0,SUMIF(B24:B31,A107,D24:D31)*$B$10)</f>
        <v/>
      </c>
      <c r="J107">
        <f>IF(A107&gt;$B$6,0,SUMIF(K24:K26,A107,M24:M26)*$B$10)</f>
        <v/>
      </c>
      <c r="M107" s="14">
        <f>C107+D107</f>
        <v/>
      </c>
      <c r="N107" s="14">
        <f>E107+F107</f>
        <v/>
      </c>
      <c r="AK107" t="n">
        <v>94</v>
      </c>
      <c r="AL107">
        <f>IFERROR(IF(AU107&lt;($AM$6-$AL$6)/($AN$6-$AL$6),$AL$6+SQRT(AU107*($AN$6-$AL$6)*($AM$6-$AL$6)),$AN$6-SQRT((1-AU107)*($AN$6-$AL$6)*($AN$6-$AM$6))),$AM$6)</f>
        <v/>
      </c>
      <c r="AM107">
        <f>IFERROR(IF(AV107&lt;($AM$7-$AL$7)/($AN$7-$AL$7),$AL$7+SQRT(AV107*($AN$7-$AL$7)*($AM$7-$AL$7)),$AN$7-SQRT((1-AV107)*($AN$7-$AL$7)*($AN$7-$AM$7))),$AM$7)</f>
        <v/>
      </c>
      <c r="AN107">
        <f>IFERROR(IF(AW107&lt;($AM$8-$AL$8)/($AN$8-$AL$8),$AL$8+SQRT(AW107*($AN$8-$AL$8)*($AM$8-$AL$8)),$AN$8-SQRT((1-AW107)*($AN$8-$AL$8)*($AN$8-$AM$8))),$AM$8)</f>
        <v/>
      </c>
      <c r="AO107">
        <f>IFERROR(IF(AX107&lt;($AM$9-$AL$9)/($AN$9-$AL$9),$AL$9+SQRT(AX107*($AN$9-$AL$9)*($AM$9-$AL$9)),$AN$9-SQRT((1-AX107)*($AN$9-$AL$9)*($AN$9-$AM$9))),$AM$9)</f>
        <v/>
      </c>
      <c r="AP107">
        <f>IFERROR(IF(AY107&lt;($AM$10-$AL$10)/($AN$10-$AL$10),$AL$10+SQRT(AY107*($AN$10-$AL$10)*($AM$10-$AL$10)),$AN$10-SQRT((1-AY107)*($AN$10-$AL$10)*($AN$10-$AM$10))),$AM$10)</f>
        <v/>
      </c>
      <c r="AQ107">
        <f>IFERROR(IF(AZ107&lt;($AM$11-$AL$11)/($AN$11-$AL$11),$AL$11+SQRT(AZ107*($AN$11-$AL$11)*($AM$11-$AL$11)),$AN$11-SQRT((1-AZ107)*($AN$11-$AL$11)*($AN$11-$AM$11))),$AM$11)</f>
        <v/>
      </c>
      <c r="AR107">
        <f>SUMPRODUCT((B24:B31&lt;=$B$6)*(C24:C31*AM107+D24:D31*AO107*$B$8*AQ107)/(1+AL107/100)^B24:B31)+C32*AM107*AP107/(1+AL107/100)^$B$6</f>
        <v/>
      </c>
      <c r="AS107">
        <f>SUMPRODUCT((K24:K26&lt;=$B$6)*(L24:L26*AN107+M24:M26*AO107*$B$8*AQ107)/(1+AL107/100)^K24:K26)+L27*AN107*AP107/(1+AL107/100)^$B$6</f>
        <v/>
      </c>
      <c r="AT107">
        <f>AS107-AR107</f>
        <v/>
      </c>
      <c r="AU107">
        <f>RAND()</f>
        <v/>
      </c>
      <c r="AV107">
        <f>RAND()</f>
        <v/>
      </c>
      <c r="AW107">
        <f>RAND()</f>
        <v/>
      </c>
      <c r="AX107">
        <f>RAND()</f>
        <v/>
      </c>
      <c r="AY107">
        <f>RAND()</f>
        <v/>
      </c>
      <c r="AZ107">
        <f>RAND()</f>
        <v/>
      </c>
    </row>
    <row r="108">
      <c r="A108" t="n">
        <v>14</v>
      </c>
      <c r="B108">
        <f>$B$7+A108</f>
        <v/>
      </c>
      <c r="C108" s="14">
        <f>IF(A108&gt;$B$6,0,SUMIF(B24:B31,A108,E24:E31)+IF(A108=$B$6,E32,0))</f>
        <v/>
      </c>
      <c r="D108" s="14">
        <f>IF(A108&gt;$B$6,0,SUMIF(B24:B31,A108,F24:F31))</f>
        <v/>
      </c>
      <c r="E108" s="14">
        <f>IF(A108&gt;$B$6,0,SUMIF(K24:K26,A108,N24:N26)+IF(A108=$B$6,N27,0))</f>
        <v/>
      </c>
      <c r="F108" s="14">
        <f>IF(A108&gt;$B$6,0,SUMIF(K24:K26,A108,O24:O26))</f>
        <v/>
      </c>
      <c r="G108" s="14">
        <f>G107+IF(A108&gt;$B$6,0,SUMIF(B24:B31,A108,G24:G31)+IF(A108=$B$6,G32,0))</f>
        <v/>
      </c>
      <c r="H108" s="14">
        <f>H107+IF(A108&gt;$B$6,0,SUMIF(K24:K26,A108,P24:P26)+IF(A108=$B$6,P27,0))</f>
        <v/>
      </c>
      <c r="I108">
        <f>IF(A108&gt;$B$6,0,SUMIF(B24:B31,A108,D24:D31)*$B$10)</f>
        <v/>
      </c>
      <c r="J108">
        <f>IF(A108&gt;$B$6,0,SUMIF(K24:K26,A108,M24:M26)*$B$10)</f>
        <v/>
      </c>
      <c r="M108" s="14">
        <f>C108+D108</f>
        <v/>
      </c>
      <c r="N108" s="14">
        <f>E108+F108</f>
        <v/>
      </c>
      <c r="AK108" t="n">
        <v>95</v>
      </c>
      <c r="AL108">
        <f>IFERROR(IF(AU108&lt;($AM$6-$AL$6)/($AN$6-$AL$6),$AL$6+SQRT(AU108*($AN$6-$AL$6)*($AM$6-$AL$6)),$AN$6-SQRT((1-AU108)*($AN$6-$AL$6)*($AN$6-$AM$6))),$AM$6)</f>
        <v/>
      </c>
      <c r="AM108">
        <f>IFERROR(IF(AV108&lt;($AM$7-$AL$7)/($AN$7-$AL$7),$AL$7+SQRT(AV108*($AN$7-$AL$7)*($AM$7-$AL$7)),$AN$7-SQRT((1-AV108)*($AN$7-$AL$7)*($AN$7-$AM$7))),$AM$7)</f>
        <v/>
      </c>
      <c r="AN108">
        <f>IFERROR(IF(AW108&lt;($AM$8-$AL$8)/($AN$8-$AL$8),$AL$8+SQRT(AW108*($AN$8-$AL$8)*($AM$8-$AL$8)),$AN$8-SQRT((1-AW108)*($AN$8-$AL$8)*($AN$8-$AM$8))),$AM$8)</f>
        <v/>
      </c>
      <c r="AO108">
        <f>IFERROR(IF(AX108&lt;($AM$9-$AL$9)/($AN$9-$AL$9),$AL$9+SQRT(AX108*($AN$9-$AL$9)*($AM$9-$AL$9)),$AN$9-SQRT((1-AX108)*($AN$9-$AL$9)*($AN$9-$AM$9))),$AM$9)</f>
        <v/>
      </c>
      <c r="AP108">
        <f>IFERROR(IF(AY108&lt;($AM$10-$AL$10)/($AN$10-$AL$10),$AL$10+SQRT(AY108*($AN$10-$AL$10)*($AM$10-$AL$10)),$AN$10-SQRT((1-AY108)*($AN$10-$AL$10)*($AN$10-$AM$10))),$AM$10)</f>
        <v/>
      </c>
      <c r="AQ108">
        <f>IFERROR(IF(AZ108&lt;($AM$11-$AL$11)/($AN$11-$AL$11),$AL$11+SQRT(AZ108*($AN$11-$AL$11)*($AM$11-$AL$11)),$AN$11-SQRT((1-AZ108)*($AN$11-$AL$11)*($AN$11-$AM$11))),$AM$11)</f>
        <v/>
      </c>
      <c r="AR108">
        <f>SUMPRODUCT((B24:B31&lt;=$B$6)*(C24:C31*AM108+D24:D31*AO108*$B$8*AQ108)/(1+AL108/100)^B24:B31)+C32*AM108*AP108/(1+AL108/100)^$B$6</f>
        <v/>
      </c>
      <c r="AS108">
        <f>SUMPRODUCT((K24:K26&lt;=$B$6)*(L24:L26*AN108+M24:M26*AO108*$B$8*AQ108)/(1+AL108/100)^K24:K26)+L27*AN108*AP108/(1+AL108/100)^$B$6</f>
        <v/>
      </c>
      <c r="AT108">
        <f>AS108-AR108</f>
        <v/>
      </c>
      <c r="AU108">
        <f>RAND()</f>
        <v/>
      </c>
      <c r="AV108">
        <f>RAND()</f>
        <v/>
      </c>
      <c r="AW108">
        <f>RAND()</f>
        <v/>
      </c>
      <c r="AX108">
        <f>RAND()</f>
        <v/>
      </c>
      <c r="AY108">
        <f>RAND()</f>
        <v/>
      </c>
      <c r="AZ108">
        <f>RAND()</f>
        <v/>
      </c>
    </row>
    <row r="109">
      <c r="A109" t="n">
        <v>15</v>
      </c>
      <c r="B109">
        <f>$B$7+A109</f>
        <v/>
      </c>
      <c r="C109" s="14">
        <f>IF(A109&gt;$B$6,0,SUMIF(B24:B31,A109,E24:E31)+IF(A109=$B$6,E32,0))</f>
        <v/>
      </c>
      <c r="D109" s="14">
        <f>IF(A109&gt;$B$6,0,SUMIF(B24:B31,A109,F24:F31))</f>
        <v/>
      </c>
      <c r="E109" s="14">
        <f>IF(A109&gt;$B$6,0,SUMIF(K24:K26,A109,N24:N26)+IF(A109=$B$6,N27,0))</f>
        <v/>
      </c>
      <c r="F109" s="14">
        <f>IF(A109&gt;$B$6,0,SUMIF(K24:K26,A109,O24:O26))</f>
        <v/>
      </c>
      <c r="G109" s="14">
        <f>G108+IF(A109&gt;$B$6,0,SUMIF(B24:B31,A109,G24:G31)+IF(A109=$B$6,G32,0))</f>
        <v/>
      </c>
      <c r="H109" s="14">
        <f>H108+IF(A109&gt;$B$6,0,SUMIF(K24:K26,A109,P24:P26)+IF(A109=$B$6,P27,0))</f>
        <v/>
      </c>
      <c r="I109">
        <f>IF(A109&gt;$B$6,0,SUMIF(B24:B31,A109,D24:D31)*$B$10)</f>
        <v/>
      </c>
      <c r="J109">
        <f>IF(A109&gt;$B$6,0,SUMIF(K24:K26,A109,M24:M26)*$B$10)</f>
        <v/>
      </c>
      <c r="M109" s="14">
        <f>C109+D109</f>
        <v/>
      </c>
      <c r="N109" s="14">
        <f>E109+F109</f>
        <v/>
      </c>
      <c r="AK109" t="n">
        <v>96</v>
      </c>
      <c r="AL109">
        <f>IFERROR(IF(AU109&lt;($AM$6-$AL$6)/($AN$6-$AL$6),$AL$6+SQRT(AU109*($AN$6-$AL$6)*($AM$6-$AL$6)),$AN$6-SQRT((1-AU109)*($AN$6-$AL$6)*($AN$6-$AM$6))),$AM$6)</f>
        <v/>
      </c>
      <c r="AM109">
        <f>IFERROR(IF(AV109&lt;($AM$7-$AL$7)/($AN$7-$AL$7),$AL$7+SQRT(AV109*($AN$7-$AL$7)*($AM$7-$AL$7)),$AN$7-SQRT((1-AV109)*($AN$7-$AL$7)*($AN$7-$AM$7))),$AM$7)</f>
        <v/>
      </c>
      <c r="AN109">
        <f>IFERROR(IF(AW109&lt;($AM$8-$AL$8)/($AN$8-$AL$8),$AL$8+SQRT(AW109*($AN$8-$AL$8)*($AM$8-$AL$8)),$AN$8-SQRT((1-AW109)*($AN$8-$AL$8)*($AN$8-$AM$8))),$AM$8)</f>
        <v/>
      </c>
      <c r="AO109">
        <f>IFERROR(IF(AX109&lt;($AM$9-$AL$9)/($AN$9-$AL$9),$AL$9+SQRT(AX109*($AN$9-$AL$9)*($AM$9-$AL$9)),$AN$9-SQRT((1-AX109)*($AN$9-$AL$9)*($AN$9-$AM$9))),$AM$9)</f>
        <v/>
      </c>
      <c r="AP109">
        <f>IFERROR(IF(AY109&lt;($AM$10-$AL$10)/($AN$10-$AL$10),$AL$10+SQRT(AY109*($AN$10-$AL$10)*($AM$10-$AL$10)),$AN$10-SQRT((1-AY109)*($AN$10-$AL$10)*($AN$10-$AM$10))),$AM$10)</f>
        <v/>
      </c>
      <c r="AQ109">
        <f>IFERROR(IF(AZ109&lt;($AM$11-$AL$11)/($AN$11-$AL$11),$AL$11+SQRT(AZ109*($AN$11-$AL$11)*($AM$11-$AL$11)),$AN$11-SQRT((1-AZ109)*($AN$11-$AL$11)*($AN$11-$AM$11))),$AM$11)</f>
        <v/>
      </c>
      <c r="AR109">
        <f>SUMPRODUCT((B24:B31&lt;=$B$6)*(C24:C31*AM109+D24:D31*AO109*$B$8*AQ109)/(1+AL109/100)^B24:B31)+C32*AM109*AP109/(1+AL109/100)^$B$6</f>
        <v/>
      </c>
      <c r="AS109">
        <f>SUMPRODUCT((K24:K26&lt;=$B$6)*(L24:L26*AN109+M24:M26*AO109*$B$8*AQ109)/(1+AL109/100)^K24:K26)+L27*AN109*AP109/(1+AL109/100)^$B$6</f>
        <v/>
      </c>
      <c r="AT109">
        <f>AS109-AR109</f>
        <v/>
      </c>
      <c r="AU109">
        <f>RAND()</f>
        <v/>
      </c>
      <c r="AV109">
        <f>RAND()</f>
        <v/>
      </c>
      <c r="AW109">
        <f>RAND()</f>
        <v/>
      </c>
      <c r="AX109">
        <f>RAND()</f>
        <v/>
      </c>
      <c r="AY109">
        <f>RAND()</f>
        <v/>
      </c>
      <c r="AZ109">
        <f>RAND()</f>
        <v/>
      </c>
    </row>
    <row r="110">
      <c r="A110" t="n">
        <v>16</v>
      </c>
      <c r="B110">
        <f>$B$7+A110</f>
        <v/>
      </c>
      <c r="C110" s="14">
        <f>IF(A110&gt;$B$6,0,SUMIF(B24:B31,A110,E24:E31)+IF(A110=$B$6,E32,0))</f>
        <v/>
      </c>
      <c r="D110" s="14">
        <f>IF(A110&gt;$B$6,0,SUMIF(B24:B31,A110,F24:F31))</f>
        <v/>
      </c>
      <c r="E110" s="14">
        <f>IF(A110&gt;$B$6,0,SUMIF(K24:K26,A110,N24:N26)+IF(A110=$B$6,N27,0))</f>
        <v/>
      </c>
      <c r="F110" s="14">
        <f>IF(A110&gt;$B$6,0,SUMIF(K24:K26,A110,O24:O26))</f>
        <v/>
      </c>
      <c r="G110" s="14">
        <f>G109+IF(A110&gt;$B$6,0,SUMIF(B24:B31,A110,G24:G31)+IF(A110=$B$6,G32,0))</f>
        <v/>
      </c>
      <c r="H110" s="14">
        <f>H109+IF(A110&gt;$B$6,0,SUMIF(K24:K26,A110,P24:P26)+IF(A110=$B$6,P27,0))</f>
        <v/>
      </c>
      <c r="I110">
        <f>IF(A110&gt;$B$6,0,SUMIF(B24:B31,A110,D24:D31)*$B$10)</f>
        <v/>
      </c>
      <c r="J110">
        <f>IF(A110&gt;$B$6,0,SUMIF(K24:K26,A110,M24:M26)*$B$10)</f>
        <v/>
      </c>
      <c r="M110" s="14">
        <f>C110+D110</f>
        <v/>
      </c>
      <c r="N110" s="14">
        <f>E110+F110</f>
        <v/>
      </c>
      <c r="AK110" t="n">
        <v>97</v>
      </c>
      <c r="AL110">
        <f>IFERROR(IF(AU110&lt;($AM$6-$AL$6)/($AN$6-$AL$6),$AL$6+SQRT(AU110*($AN$6-$AL$6)*($AM$6-$AL$6)),$AN$6-SQRT((1-AU110)*($AN$6-$AL$6)*($AN$6-$AM$6))),$AM$6)</f>
        <v/>
      </c>
      <c r="AM110">
        <f>IFERROR(IF(AV110&lt;($AM$7-$AL$7)/($AN$7-$AL$7),$AL$7+SQRT(AV110*($AN$7-$AL$7)*($AM$7-$AL$7)),$AN$7-SQRT((1-AV110)*($AN$7-$AL$7)*($AN$7-$AM$7))),$AM$7)</f>
        <v/>
      </c>
      <c r="AN110">
        <f>IFERROR(IF(AW110&lt;($AM$8-$AL$8)/($AN$8-$AL$8),$AL$8+SQRT(AW110*($AN$8-$AL$8)*($AM$8-$AL$8)),$AN$8-SQRT((1-AW110)*($AN$8-$AL$8)*($AN$8-$AM$8))),$AM$8)</f>
        <v/>
      </c>
      <c r="AO110">
        <f>IFERROR(IF(AX110&lt;($AM$9-$AL$9)/($AN$9-$AL$9),$AL$9+SQRT(AX110*($AN$9-$AL$9)*($AM$9-$AL$9)),$AN$9-SQRT((1-AX110)*($AN$9-$AL$9)*($AN$9-$AM$9))),$AM$9)</f>
        <v/>
      </c>
      <c r="AP110">
        <f>IFERROR(IF(AY110&lt;($AM$10-$AL$10)/($AN$10-$AL$10),$AL$10+SQRT(AY110*($AN$10-$AL$10)*($AM$10-$AL$10)),$AN$10-SQRT((1-AY110)*($AN$10-$AL$10)*($AN$10-$AM$10))),$AM$10)</f>
        <v/>
      </c>
      <c r="AQ110">
        <f>IFERROR(IF(AZ110&lt;($AM$11-$AL$11)/($AN$11-$AL$11),$AL$11+SQRT(AZ110*($AN$11-$AL$11)*($AM$11-$AL$11)),$AN$11-SQRT((1-AZ110)*($AN$11-$AL$11)*($AN$11-$AM$11))),$AM$11)</f>
        <v/>
      </c>
      <c r="AR110">
        <f>SUMPRODUCT((B24:B31&lt;=$B$6)*(C24:C31*AM110+D24:D31*AO110*$B$8*AQ110)/(1+AL110/100)^B24:B31)+C32*AM110*AP110/(1+AL110/100)^$B$6</f>
        <v/>
      </c>
      <c r="AS110">
        <f>SUMPRODUCT((K24:K26&lt;=$B$6)*(L24:L26*AN110+M24:M26*AO110*$B$8*AQ110)/(1+AL110/100)^K24:K26)+L27*AN110*AP110/(1+AL110/100)^$B$6</f>
        <v/>
      </c>
      <c r="AT110">
        <f>AS110-AR110</f>
        <v/>
      </c>
      <c r="AU110">
        <f>RAND()</f>
        <v/>
      </c>
      <c r="AV110">
        <f>RAND()</f>
        <v/>
      </c>
      <c r="AW110">
        <f>RAND()</f>
        <v/>
      </c>
      <c r="AX110">
        <f>RAND()</f>
        <v/>
      </c>
      <c r="AY110">
        <f>RAND()</f>
        <v/>
      </c>
      <c r="AZ110">
        <f>RAND()</f>
        <v/>
      </c>
    </row>
    <row r="111">
      <c r="A111" t="n">
        <v>17</v>
      </c>
      <c r="B111">
        <f>$B$7+A111</f>
        <v/>
      </c>
      <c r="C111" s="14">
        <f>IF(A111&gt;$B$6,0,SUMIF(B24:B31,A111,E24:E31)+IF(A111=$B$6,E32,0))</f>
        <v/>
      </c>
      <c r="D111" s="14">
        <f>IF(A111&gt;$B$6,0,SUMIF(B24:B31,A111,F24:F31))</f>
        <v/>
      </c>
      <c r="E111" s="14">
        <f>IF(A111&gt;$B$6,0,SUMIF(K24:K26,A111,N24:N26)+IF(A111=$B$6,N27,0))</f>
        <v/>
      </c>
      <c r="F111" s="14">
        <f>IF(A111&gt;$B$6,0,SUMIF(K24:K26,A111,O24:O26))</f>
        <v/>
      </c>
      <c r="G111" s="14">
        <f>G110+IF(A111&gt;$B$6,0,SUMIF(B24:B31,A111,G24:G31)+IF(A111=$B$6,G32,0))</f>
        <v/>
      </c>
      <c r="H111" s="14">
        <f>H110+IF(A111&gt;$B$6,0,SUMIF(K24:K26,A111,P24:P26)+IF(A111=$B$6,P27,0))</f>
        <v/>
      </c>
      <c r="I111">
        <f>IF(A111&gt;$B$6,0,SUMIF(B24:B31,A111,D24:D31)*$B$10)</f>
        <v/>
      </c>
      <c r="J111">
        <f>IF(A111&gt;$B$6,0,SUMIF(K24:K26,A111,M24:M26)*$B$10)</f>
        <v/>
      </c>
      <c r="M111" s="14">
        <f>C111+D111</f>
        <v/>
      </c>
      <c r="N111" s="14">
        <f>E111+F111</f>
        <v/>
      </c>
      <c r="AK111" t="n">
        <v>98</v>
      </c>
      <c r="AL111">
        <f>IFERROR(IF(AU111&lt;($AM$6-$AL$6)/($AN$6-$AL$6),$AL$6+SQRT(AU111*($AN$6-$AL$6)*($AM$6-$AL$6)),$AN$6-SQRT((1-AU111)*($AN$6-$AL$6)*($AN$6-$AM$6))),$AM$6)</f>
        <v/>
      </c>
      <c r="AM111">
        <f>IFERROR(IF(AV111&lt;($AM$7-$AL$7)/($AN$7-$AL$7),$AL$7+SQRT(AV111*($AN$7-$AL$7)*($AM$7-$AL$7)),$AN$7-SQRT((1-AV111)*($AN$7-$AL$7)*($AN$7-$AM$7))),$AM$7)</f>
        <v/>
      </c>
      <c r="AN111">
        <f>IFERROR(IF(AW111&lt;($AM$8-$AL$8)/($AN$8-$AL$8),$AL$8+SQRT(AW111*($AN$8-$AL$8)*($AM$8-$AL$8)),$AN$8-SQRT((1-AW111)*($AN$8-$AL$8)*($AN$8-$AM$8))),$AM$8)</f>
        <v/>
      </c>
      <c r="AO111">
        <f>IFERROR(IF(AX111&lt;($AM$9-$AL$9)/($AN$9-$AL$9),$AL$9+SQRT(AX111*($AN$9-$AL$9)*($AM$9-$AL$9)),$AN$9-SQRT((1-AX111)*($AN$9-$AL$9)*($AN$9-$AM$9))),$AM$9)</f>
        <v/>
      </c>
      <c r="AP111">
        <f>IFERROR(IF(AY111&lt;($AM$10-$AL$10)/($AN$10-$AL$10),$AL$10+SQRT(AY111*($AN$10-$AL$10)*($AM$10-$AL$10)),$AN$10-SQRT((1-AY111)*($AN$10-$AL$10)*($AN$10-$AM$10))),$AM$10)</f>
        <v/>
      </c>
      <c r="AQ111">
        <f>IFERROR(IF(AZ111&lt;($AM$11-$AL$11)/($AN$11-$AL$11),$AL$11+SQRT(AZ111*($AN$11-$AL$11)*($AM$11-$AL$11)),$AN$11-SQRT((1-AZ111)*($AN$11-$AL$11)*($AN$11-$AM$11))),$AM$11)</f>
        <v/>
      </c>
      <c r="AR111">
        <f>SUMPRODUCT((B24:B31&lt;=$B$6)*(C24:C31*AM111+D24:D31*AO111*$B$8*AQ111)/(1+AL111/100)^B24:B31)+C32*AM111*AP111/(1+AL111/100)^$B$6</f>
        <v/>
      </c>
      <c r="AS111">
        <f>SUMPRODUCT((K24:K26&lt;=$B$6)*(L24:L26*AN111+M24:M26*AO111*$B$8*AQ111)/(1+AL111/100)^K24:K26)+L27*AN111*AP111/(1+AL111/100)^$B$6</f>
        <v/>
      </c>
      <c r="AT111">
        <f>AS111-AR111</f>
        <v/>
      </c>
      <c r="AU111">
        <f>RAND()</f>
        <v/>
      </c>
      <c r="AV111">
        <f>RAND()</f>
        <v/>
      </c>
      <c r="AW111">
        <f>RAND()</f>
        <v/>
      </c>
      <c r="AX111">
        <f>RAND()</f>
        <v/>
      </c>
      <c r="AY111">
        <f>RAND()</f>
        <v/>
      </c>
      <c r="AZ111">
        <f>RAND()</f>
        <v/>
      </c>
    </row>
    <row r="112">
      <c r="A112" t="n">
        <v>18</v>
      </c>
      <c r="B112">
        <f>$B$7+A112</f>
        <v/>
      </c>
      <c r="C112" s="14">
        <f>IF(A112&gt;$B$6,0,SUMIF(B24:B31,A112,E24:E31)+IF(A112=$B$6,E32,0))</f>
        <v/>
      </c>
      <c r="D112" s="14">
        <f>IF(A112&gt;$B$6,0,SUMIF(B24:B31,A112,F24:F31))</f>
        <v/>
      </c>
      <c r="E112" s="14">
        <f>IF(A112&gt;$B$6,0,SUMIF(K24:K26,A112,N24:N26)+IF(A112=$B$6,N27,0))</f>
        <v/>
      </c>
      <c r="F112" s="14">
        <f>IF(A112&gt;$B$6,0,SUMIF(K24:K26,A112,O24:O26))</f>
        <v/>
      </c>
      <c r="G112" s="14">
        <f>G111+IF(A112&gt;$B$6,0,SUMIF(B24:B31,A112,G24:G31)+IF(A112=$B$6,G32,0))</f>
        <v/>
      </c>
      <c r="H112" s="14">
        <f>H111+IF(A112&gt;$B$6,0,SUMIF(K24:K26,A112,P24:P26)+IF(A112=$B$6,P27,0))</f>
        <v/>
      </c>
      <c r="I112">
        <f>IF(A112&gt;$B$6,0,SUMIF(B24:B31,A112,D24:D31)*$B$10)</f>
        <v/>
      </c>
      <c r="J112">
        <f>IF(A112&gt;$B$6,0,SUMIF(K24:K26,A112,M24:M26)*$B$10)</f>
        <v/>
      </c>
      <c r="M112" s="14">
        <f>C112+D112</f>
        <v/>
      </c>
      <c r="N112" s="14">
        <f>E112+F112</f>
        <v/>
      </c>
      <c r="AK112" t="n">
        <v>99</v>
      </c>
      <c r="AL112">
        <f>IFERROR(IF(AU112&lt;($AM$6-$AL$6)/($AN$6-$AL$6),$AL$6+SQRT(AU112*($AN$6-$AL$6)*($AM$6-$AL$6)),$AN$6-SQRT((1-AU112)*($AN$6-$AL$6)*($AN$6-$AM$6))),$AM$6)</f>
        <v/>
      </c>
      <c r="AM112">
        <f>IFERROR(IF(AV112&lt;($AM$7-$AL$7)/($AN$7-$AL$7),$AL$7+SQRT(AV112*($AN$7-$AL$7)*($AM$7-$AL$7)),$AN$7-SQRT((1-AV112)*($AN$7-$AL$7)*($AN$7-$AM$7))),$AM$7)</f>
        <v/>
      </c>
      <c r="AN112">
        <f>IFERROR(IF(AW112&lt;($AM$8-$AL$8)/($AN$8-$AL$8),$AL$8+SQRT(AW112*($AN$8-$AL$8)*($AM$8-$AL$8)),$AN$8-SQRT((1-AW112)*($AN$8-$AL$8)*($AN$8-$AM$8))),$AM$8)</f>
        <v/>
      </c>
      <c r="AO112">
        <f>IFERROR(IF(AX112&lt;($AM$9-$AL$9)/($AN$9-$AL$9),$AL$9+SQRT(AX112*($AN$9-$AL$9)*($AM$9-$AL$9)),$AN$9-SQRT((1-AX112)*($AN$9-$AL$9)*($AN$9-$AM$9))),$AM$9)</f>
        <v/>
      </c>
      <c r="AP112">
        <f>IFERROR(IF(AY112&lt;($AM$10-$AL$10)/($AN$10-$AL$10),$AL$10+SQRT(AY112*($AN$10-$AL$10)*($AM$10-$AL$10)),$AN$10-SQRT((1-AY112)*($AN$10-$AL$10)*($AN$10-$AM$10))),$AM$10)</f>
        <v/>
      </c>
      <c r="AQ112">
        <f>IFERROR(IF(AZ112&lt;($AM$11-$AL$11)/($AN$11-$AL$11),$AL$11+SQRT(AZ112*($AN$11-$AL$11)*($AM$11-$AL$11)),$AN$11-SQRT((1-AZ112)*($AN$11-$AL$11)*($AN$11-$AM$11))),$AM$11)</f>
        <v/>
      </c>
      <c r="AR112">
        <f>SUMPRODUCT((B24:B31&lt;=$B$6)*(C24:C31*AM112+D24:D31*AO112*$B$8*AQ112)/(1+AL112/100)^B24:B31)+C32*AM112*AP112/(1+AL112/100)^$B$6</f>
        <v/>
      </c>
      <c r="AS112">
        <f>SUMPRODUCT((K24:K26&lt;=$B$6)*(L24:L26*AN112+M24:M26*AO112*$B$8*AQ112)/(1+AL112/100)^K24:K26)+L27*AN112*AP112/(1+AL112/100)^$B$6</f>
        <v/>
      </c>
      <c r="AT112">
        <f>AS112-AR112</f>
        <v/>
      </c>
      <c r="AU112">
        <f>RAND()</f>
        <v/>
      </c>
      <c r="AV112">
        <f>RAND()</f>
        <v/>
      </c>
      <c r="AW112">
        <f>RAND()</f>
        <v/>
      </c>
      <c r="AX112">
        <f>RAND()</f>
        <v/>
      </c>
      <c r="AY112">
        <f>RAND()</f>
        <v/>
      </c>
      <c r="AZ112">
        <f>RAND()</f>
        <v/>
      </c>
    </row>
    <row r="113">
      <c r="A113" t="n">
        <v>19</v>
      </c>
      <c r="B113">
        <f>$B$7+A113</f>
        <v/>
      </c>
      <c r="C113" s="14">
        <f>IF(A113&gt;$B$6,0,SUMIF(B24:B31,A113,E24:E31)+IF(A113=$B$6,E32,0))</f>
        <v/>
      </c>
      <c r="D113" s="14">
        <f>IF(A113&gt;$B$6,0,SUMIF(B24:B31,A113,F24:F31))</f>
        <v/>
      </c>
      <c r="E113" s="14">
        <f>IF(A113&gt;$B$6,0,SUMIF(K24:K26,A113,N24:N26)+IF(A113=$B$6,N27,0))</f>
        <v/>
      </c>
      <c r="F113" s="14">
        <f>IF(A113&gt;$B$6,0,SUMIF(K24:K26,A113,O24:O26))</f>
        <v/>
      </c>
      <c r="G113" s="14">
        <f>G112+IF(A113&gt;$B$6,0,SUMIF(B24:B31,A113,G24:G31)+IF(A113=$B$6,G32,0))</f>
        <v/>
      </c>
      <c r="H113" s="14">
        <f>H112+IF(A113&gt;$B$6,0,SUMIF(K24:K26,A113,P24:P26)+IF(A113=$B$6,P27,0))</f>
        <v/>
      </c>
      <c r="I113">
        <f>IF(A113&gt;$B$6,0,SUMIF(B24:B31,A113,D24:D31)*$B$10)</f>
        <v/>
      </c>
      <c r="J113">
        <f>IF(A113&gt;$B$6,0,SUMIF(K24:K26,A113,M24:M26)*$B$10)</f>
        <v/>
      </c>
      <c r="M113" s="14">
        <f>C113+D113</f>
        <v/>
      </c>
      <c r="N113" s="14">
        <f>E113+F113</f>
        <v/>
      </c>
      <c r="AK113" t="n">
        <v>100</v>
      </c>
      <c r="AL113">
        <f>IFERROR(IF(AU113&lt;($AM$6-$AL$6)/($AN$6-$AL$6),$AL$6+SQRT(AU113*($AN$6-$AL$6)*($AM$6-$AL$6)),$AN$6-SQRT((1-AU113)*($AN$6-$AL$6)*($AN$6-$AM$6))),$AM$6)</f>
        <v/>
      </c>
      <c r="AM113">
        <f>IFERROR(IF(AV113&lt;($AM$7-$AL$7)/($AN$7-$AL$7),$AL$7+SQRT(AV113*($AN$7-$AL$7)*($AM$7-$AL$7)),$AN$7-SQRT((1-AV113)*($AN$7-$AL$7)*($AN$7-$AM$7))),$AM$7)</f>
        <v/>
      </c>
      <c r="AN113">
        <f>IFERROR(IF(AW113&lt;($AM$8-$AL$8)/($AN$8-$AL$8),$AL$8+SQRT(AW113*($AN$8-$AL$8)*($AM$8-$AL$8)),$AN$8-SQRT((1-AW113)*($AN$8-$AL$8)*($AN$8-$AM$8))),$AM$8)</f>
        <v/>
      </c>
      <c r="AO113">
        <f>IFERROR(IF(AX113&lt;($AM$9-$AL$9)/($AN$9-$AL$9),$AL$9+SQRT(AX113*($AN$9-$AL$9)*($AM$9-$AL$9)),$AN$9-SQRT((1-AX113)*($AN$9-$AL$9)*($AN$9-$AM$9))),$AM$9)</f>
        <v/>
      </c>
      <c r="AP113">
        <f>IFERROR(IF(AY113&lt;($AM$10-$AL$10)/($AN$10-$AL$10),$AL$10+SQRT(AY113*($AN$10-$AL$10)*($AM$10-$AL$10)),$AN$10-SQRT((1-AY113)*($AN$10-$AL$10)*($AN$10-$AM$10))),$AM$10)</f>
        <v/>
      </c>
      <c r="AQ113">
        <f>IFERROR(IF(AZ113&lt;($AM$11-$AL$11)/($AN$11-$AL$11),$AL$11+SQRT(AZ113*($AN$11-$AL$11)*($AM$11-$AL$11)),$AN$11-SQRT((1-AZ113)*($AN$11-$AL$11)*($AN$11-$AM$11))),$AM$11)</f>
        <v/>
      </c>
      <c r="AR113">
        <f>SUMPRODUCT((B24:B31&lt;=$B$6)*(C24:C31*AM113+D24:D31*AO113*$B$8*AQ113)/(1+AL113/100)^B24:B31)+C32*AM113*AP113/(1+AL113/100)^$B$6</f>
        <v/>
      </c>
      <c r="AS113">
        <f>SUMPRODUCT((K24:K26&lt;=$B$6)*(L24:L26*AN113+M24:M26*AO113*$B$8*AQ113)/(1+AL113/100)^K24:K26)+L27*AN113*AP113/(1+AL113/100)^$B$6</f>
        <v/>
      </c>
      <c r="AT113">
        <f>AS113-AR113</f>
        <v/>
      </c>
      <c r="AU113">
        <f>RAND()</f>
        <v/>
      </c>
      <c r="AV113">
        <f>RAND()</f>
        <v/>
      </c>
      <c r="AW113">
        <f>RAND()</f>
        <v/>
      </c>
      <c r="AX113">
        <f>RAND()</f>
        <v/>
      </c>
      <c r="AY113">
        <f>RAND()</f>
        <v/>
      </c>
      <c r="AZ113">
        <f>RAND()</f>
        <v/>
      </c>
    </row>
    <row r="114">
      <c r="A114" t="n">
        <v>20</v>
      </c>
      <c r="B114">
        <f>$B$7+A114</f>
        <v/>
      </c>
      <c r="C114" s="14">
        <f>IF(A114&gt;$B$6,0,SUMIF(B24:B31,A114,E24:E31)+IF(A114=$B$6,E32,0))</f>
        <v/>
      </c>
      <c r="D114" s="14">
        <f>IF(A114&gt;$B$6,0,SUMIF(B24:B31,A114,F24:F31))</f>
        <v/>
      </c>
      <c r="E114" s="14">
        <f>IF(A114&gt;$B$6,0,SUMIF(K24:K26,A114,N24:N26)+IF(A114=$B$6,N27,0))</f>
        <v/>
      </c>
      <c r="F114" s="14">
        <f>IF(A114&gt;$B$6,0,SUMIF(K24:K26,A114,O24:O26))</f>
        <v/>
      </c>
      <c r="G114" s="14">
        <f>G113+IF(A114&gt;$B$6,0,SUMIF(B24:B31,A114,G24:G31)+IF(A114=$B$6,G32,0))</f>
        <v/>
      </c>
      <c r="H114" s="14">
        <f>H113+IF(A114&gt;$B$6,0,SUMIF(K24:K26,A114,P24:P26)+IF(A114=$B$6,P27,0))</f>
        <v/>
      </c>
      <c r="I114">
        <f>IF(A114&gt;$B$6,0,SUMIF(B24:B31,A114,D24:D31)*$B$10)</f>
        <v/>
      </c>
      <c r="J114">
        <f>IF(A114&gt;$B$6,0,SUMIF(K24:K26,A114,M24:M26)*$B$10)</f>
        <v/>
      </c>
      <c r="M114" s="14">
        <f>C114+D114</f>
        <v/>
      </c>
      <c r="N114" s="14">
        <f>E114+F114</f>
        <v/>
      </c>
      <c r="AK114" t="n">
        <v>101</v>
      </c>
      <c r="AL114">
        <f>IFERROR(IF(AU114&lt;($AM$6-$AL$6)/($AN$6-$AL$6),$AL$6+SQRT(AU114*($AN$6-$AL$6)*($AM$6-$AL$6)),$AN$6-SQRT((1-AU114)*($AN$6-$AL$6)*($AN$6-$AM$6))),$AM$6)</f>
        <v/>
      </c>
      <c r="AM114">
        <f>IFERROR(IF(AV114&lt;($AM$7-$AL$7)/($AN$7-$AL$7),$AL$7+SQRT(AV114*($AN$7-$AL$7)*($AM$7-$AL$7)),$AN$7-SQRT((1-AV114)*($AN$7-$AL$7)*($AN$7-$AM$7))),$AM$7)</f>
        <v/>
      </c>
      <c r="AN114">
        <f>IFERROR(IF(AW114&lt;($AM$8-$AL$8)/($AN$8-$AL$8),$AL$8+SQRT(AW114*($AN$8-$AL$8)*($AM$8-$AL$8)),$AN$8-SQRT((1-AW114)*($AN$8-$AL$8)*($AN$8-$AM$8))),$AM$8)</f>
        <v/>
      </c>
      <c r="AO114">
        <f>IFERROR(IF(AX114&lt;($AM$9-$AL$9)/($AN$9-$AL$9),$AL$9+SQRT(AX114*($AN$9-$AL$9)*($AM$9-$AL$9)),$AN$9-SQRT((1-AX114)*($AN$9-$AL$9)*($AN$9-$AM$9))),$AM$9)</f>
        <v/>
      </c>
      <c r="AP114">
        <f>IFERROR(IF(AY114&lt;($AM$10-$AL$10)/($AN$10-$AL$10),$AL$10+SQRT(AY114*($AN$10-$AL$10)*($AM$10-$AL$10)),$AN$10-SQRT((1-AY114)*($AN$10-$AL$10)*($AN$10-$AM$10))),$AM$10)</f>
        <v/>
      </c>
      <c r="AQ114">
        <f>IFERROR(IF(AZ114&lt;($AM$11-$AL$11)/($AN$11-$AL$11),$AL$11+SQRT(AZ114*($AN$11-$AL$11)*($AM$11-$AL$11)),$AN$11-SQRT((1-AZ114)*($AN$11-$AL$11)*($AN$11-$AM$11))),$AM$11)</f>
        <v/>
      </c>
      <c r="AR114">
        <f>SUMPRODUCT((B24:B31&lt;=$B$6)*(C24:C31*AM114+D24:D31*AO114*$B$8*AQ114)/(1+AL114/100)^B24:B31)+C32*AM114*AP114/(1+AL114/100)^$B$6</f>
        <v/>
      </c>
      <c r="AS114">
        <f>SUMPRODUCT((K24:K26&lt;=$B$6)*(L24:L26*AN114+M24:M26*AO114*$B$8*AQ114)/(1+AL114/100)^K24:K26)+L27*AN114*AP114/(1+AL114/100)^$B$6</f>
        <v/>
      </c>
      <c r="AT114">
        <f>AS114-AR114</f>
        <v/>
      </c>
      <c r="AU114">
        <f>RAND()</f>
        <v/>
      </c>
      <c r="AV114">
        <f>RAND()</f>
        <v/>
      </c>
      <c r="AW114">
        <f>RAND()</f>
        <v/>
      </c>
      <c r="AX114">
        <f>RAND()</f>
        <v/>
      </c>
      <c r="AY114">
        <f>RAND()</f>
        <v/>
      </c>
      <c r="AZ114">
        <f>RAND()</f>
        <v/>
      </c>
    </row>
    <row r="115">
      <c r="A115" t="n">
        <v>21</v>
      </c>
      <c r="B115">
        <f>$B$7+A115</f>
        <v/>
      </c>
      <c r="C115" s="14">
        <f>IF(A115&gt;$B$6,0,SUMIF(B24:B31,A115,E24:E31)+IF(A115=$B$6,E32,0))</f>
        <v/>
      </c>
      <c r="D115" s="14">
        <f>IF(A115&gt;$B$6,0,SUMIF(B24:B31,A115,F24:F31))</f>
        <v/>
      </c>
      <c r="E115" s="14">
        <f>IF(A115&gt;$B$6,0,SUMIF(K24:K26,A115,N24:N26)+IF(A115=$B$6,N27,0))</f>
        <v/>
      </c>
      <c r="F115" s="14">
        <f>IF(A115&gt;$B$6,0,SUMIF(K24:K26,A115,O24:O26))</f>
        <v/>
      </c>
      <c r="G115" s="14">
        <f>G114+IF(A115&gt;$B$6,0,SUMIF(B24:B31,A115,G24:G31)+IF(A115=$B$6,G32,0))</f>
        <v/>
      </c>
      <c r="H115" s="14">
        <f>H114+IF(A115&gt;$B$6,0,SUMIF(K24:K26,A115,P24:P26)+IF(A115=$B$6,P27,0))</f>
        <v/>
      </c>
      <c r="I115">
        <f>IF(A115&gt;$B$6,0,SUMIF(B24:B31,A115,D24:D31)*$B$10)</f>
        <v/>
      </c>
      <c r="J115">
        <f>IF(A115&gt;$B$6,0,SUMIF(K24:K26,A115,M24:M26)*$B$10)</f>
        <v/>
      </c>
      <c r="M115" s="14">
        <f>C115+D115</f>
        <v/>
      </c>
      <c r="N115" s="14">
        <f>E115+F115</f>
        <v/>
      </c>
      <c r="AK115" t="n">
        <v>102</v>
      </c>
      <c r="AL115">
        <f>IFERROR(IF(AU115&lt;($AM$6-$AL$6)/($AN$6-$AL$6),$AL$6+SQRT(AU115*($AN$6-$AL$6)*($AM$6-$AL$6)),$AN$6-SQRT((1-AU115)*($AN$6-$AL$6)*($AN$6-$AM$6))),$AM$6)</f>
        <v/>
      </c>
      <c r="AM115">
        <f>IFERROR(IF(AV115&lt;($AM$7-$AL$7)/($AN$7-$AL$7),$AL$7+SQRT(AV115*($AN$7-$AL$7)*($AM$7-$AL$7)),$AN$7-SQRT((1-AV115)*($AN$7-$AL$7)*($AN$7-$AM$7))),$AM$7)</f>
        <v/>
      </c>
      <c r="AN115">
        <f>IFERROR(IF(AW115&lt;($AM$8-$AL$8)/($AN$8-$AL$8),$AL$8+SQRT(AW115*($AN$8-$AL$8)*($AM$8-$AL$8)),$AN$8-SQRT((1-AW115)*($AN$8-$AL$8)*($AN$8-$AM$8))),$AM$8)</f>
        <v/>
      </c>
      <c r="AO115">
        <f>IFERROR(IF(AX115&lt;($AM$9-$AL$9)/($AN$9-$AL$9),$AL$9+SQRT(AX115*($AN$9-$AL$9)*($AM$9-$AL$9)),$AN$9-SQRT((1-AX115)*($AN$9-$AL$9)*($AN$9-$AM$9))),$AM$9)</f>
        <v/>
      </c>
      <c r="AP115">
        <f>IFERROR(IF(AY115&lt;($AM$10-$AL$10)/($AN$10-$AL$10),$AL$10+SQRT(AY115*($AN$10-$AL$10)*($AM$10-$AL$10)),$AN$10-SQRT((1-AY115)*($AN$10-$AL$10)*($AN$10-$AM$10))),$AM$10)</f>
        <v/>
      </c>
      <c r="AQ115">
        <f>IFERROR(IF(AZ115&lt;($AM$11-$AL$11)/($AN$11-$AL$11),$AL$11+SQRT(AZ115*($AN$11-$AL$11)*($AM$11-$AL$11)),$AN$11-SQRT((1-AZ115)*($AN$11-$AL$11)*($AN$11-$AM$11))),$AM$11)</f>
        <v/>
      </c>
      <c r="AR115">
        <f>SUMPRODUCT((B24:B31&lt;=$B$6)*(C24:C31*AM115+D24:D31*AO115*$B$8*AQ115)/(1+AL115/100)^B24:B31)+C32*AM115*AP115/(1+AL115/100)^$B$6</f>
        <v/>
      </c>
      <c r="AS115">
        <f>SUMPRODUCT((K24:K26&lt;=$B$6)*(L24:L26*AN115+M24:M26*AO115*$B$8*AQ115)/(1+AL115/100)^K24:K26)+L27*AN115*AP115/(1+AL115/100)^$B$6</f>
        <v/>
      </c>
      <c r="AT115">
        <f>AS115-AR115</f>
        <v/>
      </c>
      <c r="AU115">
        <f>RAND()</f>
        <v/>
      </c>
      <c r="AV115">
        <f>RAND()</f>
        <v/>
      </c>
      <c r="AW115">
        <f>RAND()</f>
        <v/>
      </c>
      <c r="AX115">
        <f>RAND()</f>
        <v/>
      </c>
      <c r="AY115">
        <f>RAND()</f>
        <v/>
      </c>
      <c r="AZ115">
        <f>RAND()</f>
        <v/>
      </c>
    </row>
    <row r="116">
      <c r="A116" t="n">
        <v>22</v>
      </c>
      <c r="B116">
        <f>$B$7+A116</f>
        <v/>
      </c>
      <c r="C116" s="14">
        <f>IF(A116&gt;$B$6,0,SUMIF(B24:B31,A116,E24:E31)+IF(A116=$B$6,E32,0))</f>
        <v/>
      </c>
      <c r="D116" s="14">
        <f>IF(A116&gt;$B$6,0,SUMIF(B24:B31,A116,F24:F31))</f>
        <v/>
      </c>
      <c r="E116" s="14">
        <f>IF(A116&gt;$B$6,0,SUMIF(K24:K26,A116,N24:N26)+IF(A116=$B$6,N27,0))</f>
        <v/>
      </c>
      <c r="F116" s="14">
        <f>IF(A116&gt;$B$6,0,SUMIF(K24:K26,A116,O24:O26))</f>
        <v/>
      </c>
      <c r="G116" s="14">
        <f>G115+IF(A116&gt;$B$6,0,SUMIF(B24:B31,A116,G24:G31)+IF(A116=$B$6,G32,0))</f>
        <v/>
      </c>
      <c r="H116" s="14">
        <f>H115+IF(A116&gt;$B$6,0,SUMIF(K24:K26,A116,P24:P26)+IF(A116=$B$6,P27,0))</f>
        <v/>
      </c>
      <c r="I116">
        <f>IF(A116&gt;$B$6,0,SUMIF(B24:B31,A116,D24:D31)*$B$10)</f>
        <v/>
      </c>
      <c r="J116">
        <f>IF(A116&gt;$B$6,0,SUMIF(K24:K26,A116,M24:M26)*$B$10)</f>
        <v/>
      </c>
      <c r="M116" s="14">
        <f>C116+D116</f>
        <v/>
      </c>
      <c r="N116" s="14">
        <f>E116+F116</f>
        <v/>
      </c>
      <c r="AK116" t="n">
        <v>103</v>
      </c>
      <c r="AL116">
        <f>IFERROR(IF(AU116&lt;($AM$6-$AL$6)/($AN$6-$AL$6),$AL$6+SQRT(AU116*($AN$6-$AL$6)*($AM$6-$AL$6)),$AN$6-SQRT((1-AU116)*($AN$6-$AL$6)*($AN$6-$AM$6))),$AM$6)</f>
        <v/>
      </c>
      <c r="AM116">
        <f>IFERROR(IF(AV116&lt;($AM$7-$AL$7)/($AN$7-$AL$7),$AL$7+SQRT(AV116*($AN$7-$AL$7)*($AM$7-$AL$7)),$AN$7-SQRT((1-AV116)*($AN$7-$AL$7)*($AN$7-$AM$7))),$AM$7)</f>
        <v/>
      </c>
      <c r="AN116">
        <f>IFERROR(IF(AW116&lt;($AM$8-$AL$8)/($AN$8-$AL$8),$AL$8+SQRT(AW116*($AN$8-$AL$8)*($AM$8-$AL$8)),$AN$8-SQRT((1-AW116)*($AN$8-$AL$8)*($AN$8-$AM$8))),$AM$8)</f>
        <v/>
      </c>
      <c r="AO116">
        <f>IFERROR(IF(AX116&lt;($AM$9-$AL$9)/($AN$9-$AL$9),$AL$9+SQRT(AX116*($AN$9-$AL$9)*($AM$9-$AL$9)),$AN$9-SQRT((1-AX116)*($AN$9-$AL$9)*($AN$9-$AM$9))),$AM$9)</f>
        <v/>
      </c>
      <c r="AP116">
        <f>IFERROR(IF(AY116&lt;($AM$10-$AL$10)/($AN$10-$AL$10),$AL$10+SQRT(AY116*($AN$10-$AL$10)*($AM$10-$AL$10)),$AN$10-SQRT((1-AY116)*($AN$10-$AL$10)*($AN$10-$AM$10))),$AM$10)</f>
        <v/>
      </c>
      <c r="AQ116">
        <f>IFERROR(IF(AZ116&lt;($AM$11-$AL$11)/($AN$11-$AL$11),$AL$11+SQRT(AZ116*($AN$11-$AL$11)*($AM$11-$AL$11)),$AN$11-SQRT((1-AZ116)*($AN$11-$AL$11)*($AN$11-$AM$11))),$AM$11)</f>
        <v/>
      </c>
      <c r="AR116">
        <f>SUMPRODUCT((B24:B31&lt;=$B$6)*(C24:C31*AM116+D24:D31*AO116*$B$8*AQ116)/(1+AL116/100)^B24:B31)+C32*AM116*AP116/(1+AL116/100)^$B$6</f>
        <v/>
      </c>
      <c r="AS116">
        <f>SUMPRODUCT((K24:K26&lt;=$B$6)*(L24:L26*AN116+M24:M26*AO116*$B$8*AQ116)/(1+AL116/100)^K24:K26)+L27*AN116*AP116/(1+AL116/100)^$B$6</f>
        <v/>
      </c>
      <c r="AT116">
        <f>AS116-AR116</f>
        <v/>
      </c>
      <c r="AU116">
        <f>RAND()</f>
        <v/>
      </c>
      <c r="AV116">
        <f>RAND()</f>
        <v/>
      </c>
      <c r="AW116">
        <f>RAND()</f>
        <v/>
      </c>
      <c r="AX116">
        <f>RAND()</f>
        <v/>
      </c>
      <c r="AY116">
        <f>RAND()</f>
        <v/>
      </c>
      <c r="AZ116">
        <f>RAND()</f>
        <v/>
      </c>
    </row>
    <row r="117">
      <c r="A117" t="n">
        <v>23</v>
      </c>
      <c r="B117">
        <f>$B$7+A117</f>
        <v/>
      </c>
      <c r="C117" s="14">
        <f>IF(A117&gt;$B$6,0,SUMIF(B24:B31,A117,E24:E31)+IF(A117=$B$6,E32,0))</f>
        <v/>
      </c>
      <c r="D117" s="14">
        <f>IF(A117&gt;$B$6,0,SUMIF(B24:B31,A117,F24:F31))</f>
        <v/>
      </c>
      <c r="E117" s="14">
        <f>IF(A117&gt;$B$6,0,SUMIF(K24:K26,A117,N24:N26)+IF(A117=$B$6,N27,0))</f>
        <v/>
      </c>
      <c r="F117" s="14">
        <f>IF(A117&gt;$B$6,0,SUMIF(K24:K26,A117,O24:O26))</f>
        <v/>
      </c>
      <c r="G117" s="14">
        <f>G116+IF(A117&gt;$B$6,0,SUMIF(B24:B31,A117,G24:G31)+IF(A117=$B$6,G32,0))</f>
        <v/>
      </c>
      <c r="H117" s="14">
        <f>H116+IF(A117&gt;$B$6,0,SUMIF(K24:K26,A117,P24:P26)+IF(A117=$B$6,P27,0))</f>
        <v/>
      </c>
      <c r="I117">
        <f>IF(A117&gt;$B$6,0,SUMIF(B24:B31,A117,D24:D31)*$B$10)</f>
        <v/>
      </c>
      <c r="J117">
        <f>IF(A117&gt;$B$6,0,SUMIF(K24:K26,A117,M24:M26)*$B$10)</f>
        <v/>
      </c>
      <c r="M117" s="14">
        <f>C117+D117</f>
        <v/>
      </c>
      <c r="N117" s="14">
        <f>E117+F117</f>
        <v/>
      </c>
      <c r="AK117" t="n">
        <v>104</v>
      </c>
      <c r="AL117">
        <f>IFERROR(IF(AU117&lt;($AM$6-$AL$6)/($AN$6-$AL$6),$AL$6+SQRT(AU117*($AN$6-$AL$6)*($AM$6-$AL$6)),$AN$6-SQRT((1-AU117)*($AN$6-$AL$6)*($AN$6-$AM$6))),$AM$6)</f>
        <v/>
      </c>
      <c r="AM117">
        <f>IFERROR(IF(AV117&lt;($AM$7-$AL$7)/($AN$7-$AL$7),$AL$7+SQRT(AV117*($AN$7-$AL$7)*($AM$7-$AL$7)),$AN$7-SQRT((1-AV117)*($AN$7-$AL$7)*($AN$7-$AM$7))),$AM$7)</f>
        <v/>
      </c>
      <c r="AN117">
        <f>IFERROR(IF(AW117&lt;($AM$8-$AL$8)/($AN$8-$AL$8),$AL$8+SQRT(AW117*($AN$8-$AL$8)*($AM$8-$AL$8)),$AN$8-SQRT((1-AW117)*($AN$8-$AL$8)*($AN$8-$AM$8))),$AM$8)</f>
        <v/>
      </c>
      <c r="AO117">
        <f>IFERROR(IF(AX117&lt;($AM$9-$AL$9)/($AN$9-$AL$9),$AL$9+SQRT(AX117*($AN$9-$AL$9)*($AM$9-$AL$9)),$AN$9-SQRT((1-AX117)*($AN$9-$AL$9)*($AN$9-$AM$9))),$AM$9)</f>
        <v/>
      </c>
      <c r="AP117">
        <f>IFERROR(IF(AY117&lt;($AM$10-$AL$10)/($AN$10-$AL$10),$AL$10+SQRT(AY117*($AN$10-$AL$10)*($AM$10-$AL$10)),$AN$10-SQRT((1-AY117)*($AN$10-$AL$10)*($AN$10-$AM$10))),$AM$10)</f>
        <v/>
      </c>
      <c r="AQ117">
        <f>IFERROR(IF(AZ117&lt;($AM$11-$AL$11)/($AN$11-$AL$11),$AL$11+SQRT(AZ117*($AN$11-$AL$11)*($AM$11-$AL$11)),$AN$11-SQRT((1-AZ117)*($AN$11-$AL$11)*($AN$11-$AM$11))),$AM$11)</f>
        <v/>
      </c>
      <c r="AR117">
        <f>SUMPRODUCT((B24:B31&lt;=$B$6)*(C24:C31*AM117+D24:D31*AO117*$B$8*AQ117)/(1+AL117/100)^B24:B31)+C32*AM117*AP117/(1+AL117/100)^$B$6</f>
        <v/>
      </c>
      <c r="AS117">
        <f>SUMPRODUCT((K24:K26&lt;=$B$6)*(L24:L26*AN117+M24:M26*AO117*$B$8*AQ117)/(1+AL117/100)^K24:K26)+L27*AN117*AP117/(1+AL117/100)^$B$6</f>
        <v/>
      </c>
      <c r="AT117">
        <f>AS117-AR117</f>
        <v/>
      </c>
      <c r="AU117">
        <f>RAND()</f>
        <v/>
      </c>
      <c r="AV117">
        <f>RAND()</f>
        <v/>
      </c>
      <c r="AW117">
        <f>RAND()</f>
        <v/>
      </c>
      <c r="AX117">
        <f>RAND()</f>
        <v/>
      </c>
      <c r="AY117">
        <f>RAND()</f>
        <v/>
      </c>
      <c r="AZ117">
        <f>RAND()</f>
        <v/>
      </c>
    </row>
    <row r="118">
      <c r="A118" t="n">
        <v>24</v>
      </c>
      <c r="B118">
        <f>$B$7+A118</f>
        <v/>
      </c>
      <c r="C118" s="14">
        <f>IF(A118&gt;$B$6,0,SUMIF(B24:B31,A118,E24:E31)+IF(A118=$B$6,E32,0))</f>
        <v/>
      </c>
      <c r="D118" s="14">
        <f>IF(A118&gt;$B$6,0,SUMIF(B24:B31,A118,F24:F31))</f>
        <v/>
      </c>
      <c r="E118" s="14">
        <f>IF(A118&gt;$B$6,0,SUMIF(K24:K26,A118,N24:N26)+IF(A118=$B$6,N27,0))</f>
        <v/>
      </c>
      <c r="F118" s="14">
        <f>IF(A118&gt;$B$6,0,SUMIF(K24:K26,A118,O24:O26))</f>
        <v/>
      </c>
      <c r="G118" s="14">
        <f>G117+IF(A118&gt;$B$6,0,SUMIF(B24:B31,A118,G24:G31)+IF(A118=$B$6,G32,0))</f>
        <v/>
      </c>
      <c r="H118" s="14">
        <f>H117+IF(A118&gt;$B$6,0,SUMIF(K24:K26,A118,P24:P26)+IF(A118=$B$6,P27,0))</f>
        <v/>
      </c>
      <c r="I118">
        <f>IF(A118&gt;$B$6,0,SUMIF(B24:B31,A118,D24:D31)*$B$10)</f>
        <v/>
      </c>
      <c r="J118">
        <f>IF(A118&gt;$B$6,0,SUMIF(K24:K26,A118,M24:M26)*$B$10)</f>
        <v/>
      </c>
      <c r="M118" s="14">
        <f>C118+D118</f>
        <v/>
      </c>
      <c r="N118" s="14">
        <f>E118+F118</f>
        <v/>
      </c>
      <c r="AK118" t="n">
        <v>105</v>
      </c>
      <c r="AL118">
        <f>IFERROR(IF(AU118&lt;($AM$6-$AL$6)/($AN$6-$AL$6),$AL$6+SQRT(AU118*($AN$6-$AL$6)*($AM$6-$AL$6)),$AN$6-SQRT((1-AU118)*($AN$6-$AL$6)*($AN$6-$AM$6))),$AM$6)</f>
        <v/>
      </c>
      <c r="AM118">
        <f>IFERROR(IF(AV118&lt;($AM$7-$AL$7)/($AN$7-$AL$7),$AL$7+SQRT(AV118*($AN$7-$AL$7)*($AM$7-$AL$7)),$AN$7-SQRT((1-AV118)*($AN$7-$AL$7)*($AN$7-$AM$7))),$AM$7)</f>
        <v/>
      </c>
      <c r="AN118">
        <f>IFERROR(IF(AW118&lt;($AM$8-$AL$8)/($AN$8-$AL$8),$AL$8+SQRT(AW118*($AN$8-$AL$8)*($AM$8-$AL$8)),$AN$8-SQRT((1-AW118)*($AN$8-$AL$8)*($AN$8-$AM$8))),$AM$8)</f>
        <v/>
      </c>
      <c r="AO118">
        <f>IFERROR(IF(AX118&lt;($AM$9-$AL$9)/($AN$9-$AL$9),$AL$9+SQRT(AX118*($AN$9-$AL$9)*($AM$9-$AL$9)),$AN$9-SQRT((1-AX118)*($AN$9-$AL$9)*($AN$9-$AM$9))),$AM$9)</f>
        <v/>
      </c>
      <c r="AP118">
        <f>IFERROR(IF(AY118&lt;($AM$10-$AL$10)/($AN$10-$AL$10),$AL$10+SQRT(AY118*($AN$10-$AL$10)*($AM$10-$AL$10)),$AN$10-SQRT((1-AY118)*($AN$10-$AL$10)*($AN$10-$AM$10))),$AM$10)</f>
        <v/>
      </c>
      <c r="AQ118">
        <f>IFERROR(IF(AZ118&lt;($AM$11-$AL$11)/($AN$11-$AL$11),$AL$11+SQRT(AZ118*($AN$11-$AL$11)*($AM$11-$AL$11)),$AN$11-SQRT((1-AZ118)*($AN$11-$AL$11)*($AN$11-$AM$11))),$AM$11)</f>
        <v/>
      </c>
      <c r="AR118">
        <f>SUMPRODUCT((B24:B31&lt;=$B$6)*(C24:C31*AM118+D24:D31*AO118*$B$8*AQ118)/(1+AL118/100)^B24:B31)+C32*AM118*AP118/(1+AL118/100)^$B$6</f>
        <v/>
      </c>
      <c r="AS118">
        <f>SUMPRODUCT((K24:K26&lt;=$B$6)*(L24:L26*AN118+M24:M26*AO118*$B$8*AQ118)/(1+AL118/100)^K24:K26)+L27*AN118*AP118/(1+AL118/100)^$B$6</f>
        <v/>
      </c>
      <c r="AT118">
        <f>AS118-AR118</f>
        <v/>
      </c>
      <c r="AU118">
        <f>RAND()</f>
        <v/>
      </c>
      <c r="AV118">
        <f>RAND()</f>
        <v/>
      </c>
      <c r="AW118">
        <f>RAND()</f>
        <v/>
      </c>
      <c r="AX118">
        <f>RAND()</f>
        <v/>
      </c>
      <c r="AY118">
        <f>RAND()</f>
        <v/>
      </c>
      <c r="AZ118">
        <f>RAND()</f>
        <v/>
      </c>
    </row>
    <row r="119">
      <c r="A119" t="n">
        <v>25</v>
      </c>
      <c r="B119">
        <f>$B$7+A119</f>
        <v/>
      </c>
      <c r="C119" s="14">
        <f>IF(A119&gt;$B$6,0,SUMIF(B24:B31,A119,E24:E31)+IF(A119=$B$6,E32,0))</f>
        <v/>
      </c>
      <c r="D119" s="14">
        <f>IF(A119&gt;$B$6,0,SUMIF(B24:B31,A119,F24:F31))</f>
        <v/>
      </c>
      <c r="E119" s="14">
        <f>IF(A119&gt;$B$6,0,SUMIF(K24:K26,A119,N24:N26)+IF(A119=$B$6,N27,0))</f>
        <v/>
      </c>
      <c r="F119" s="14">
        <f>IF(A119&gt;$B$6,0,SUMIF(K24:K26,A119,O24:O26))</f>
        <v/>
      </c>
      <c r="G119" s="14">
        <f>G118+IF(A119&gt;$B$6,0,SUMIF(B24:B31,A119,G24:G31)+IF(A119=$B$6,G32,0))</f>
        <v/>
      </c>
      <c r="H119" s="14">
        <f>H118+IF(A119&gt;$B$6,0,SUMIF(K24:K26,A119,P24:P26)+IF(A119=$B$6,P27,0))</f>
        <v/>
      </c>
      <c r="I119">
        <f>IF(A119&gt;$B$6,0,SUMIF(B24:B31,A119,D24:D31)*$B$10)</f>
        <v/>
      </c>
      <c r="J119">
        <f>IF(A119&gt;$B$6,0,SUMIF(K24:K26,A119,M24:M26)*$B$10)</f>
        <v/>
      </c>
      <c r="M119" s="14">
        <f>C119+D119</f>
        <v/>
      </c>
      <c r="N119" s="14">
        <f>E119+F119</f>
        <v/>
      </c>
      <c r="AK119" t="n">
        <v>106</v>
      </c>
      <c r="AL119">
        <f>IFERROR(IF(AU119&lt;($AM$6-$AL$6)/($AN$6-$AL$6),$AL$6+SQRT(AU119*($AN$6-$AL$6)*($AM$6-$AL$6)),$AN$6-SQRT((1-AU119)*($AN$6-$AL$6)*($AN$6-$AM$6))),$AM$6)</f>
        <v/>
      </c>
      <c r="AM119">
        <f>IFERROR(IF(AV119&lt;($AM$7-$AL$7)/($AN$7-$AL$7),$AL$7+SQRT(AV119*($AN$7-$AL$7)*($AM$7-$AL$7)),$AN$7-SQRT((1-AV119)*($AN$7-$AL$7)*($AN$7-$AM$7))),$AM$7)</f>
        <v/>
      </c>
      <c r="AN119">
        <f>IFERROR(IF(AW119&lt;($AM$8-$AL$8)/($AN$8-$AL$8),$AL$8+SQRT(AW119*($AN$8-$AL$8)*($AM$8-$AL$8)),$AN$8-SQRT((1-AW119)*($AN$8-$AL$8)*($AN$8-$AM$8))),$AM$8)</f>
        <v/>
      </c>
      <c r="AO119">
        <f>IFERROR(IF(AX119&lt;($AM$9-$AL$9)/($AN$9-$AL$9),$AL$9+SQRT(AX119*($AN$9-$AL$9)*($AM$9-$AL$9)),$AN$9-SQRT((1-AX119)*($AN$9-$AL$9)*($AN$9-$AM$9))),$AM$9)</f>
        <v/>
      </c>
      <c r="AP119">
        <f>IFERROR(IF(AY119&lt;($AM$10-$AL$10)/($AN$10-$AL$10),$AL$10+SQRT(AY119*($AN$10-$AL$10)*($AM$10-$AL$10)),$AN$10-SQRT((1-AY119)*($AN$10-$AL$10)*($AN$10-$AM$10))),$AM$10)</f>
        <v/>
      </c>
      <c r="AQ119">
        <f>IFERROR(IF(AZ119&lt;($AM$11-$AL$11)/($AN$11-$AL$11),$AL$11+SQRT(AZ119*($AN$11-$AL$11)*($AM$11-$AL$11)),$AN$11-SQRT((1-AZ119)*($AN$11-$AL$11)*($AN$11-$AM$11))),$AM$11)</f>
        <v/>
      </c>
      <c r="AR119">
        <f>SUMPRODUCT((B24:B31&lt;=$B$6)*(C24:C31*AM119+D24:D31*AO119*$B$8*AQ119)/(1+AL119/100)^B24:B31)+C32*AM119*AP119/(1+AL119/100)^$B$6</f>
        <v/>
      </c>
      <c r="AS119">
        <f>SUMPRODUCT((K24:K26&lt;=$B$6)*(L24:L26*AN119+M24:M26*AO119*$B$8*AQ119)/(1+AL119/100)^K24:K26)+L27*AN119*AP119/(1+AL119/100)^$B$6</f>
        <v/>
      </c>
      <c r="AT119">
        <f>AS119-AR119</f>
        <v/>
      </c>
      <c r="AU119">
        <f>RAND()</f>
        <v/>
      </c>
      <c r="AV119">
        <f>RAND()</f>
        <v/>
      </c>
      <c r="AW119">
        <f>RAND()</f>
        <v/>
      </c>
      <c r="AX119">
        <f>RAND()</f>
        <v/>
      </c>
      <c r="AY119">
        <f>RAND()</f>
        <v/>
      </c>
      <c r="AZ119">
        <f>RAND()</f>
        <v/>
      </c>
    </row>
    <row r="120">
      <c r="A120" t="n">
        <v>26</v>
      </c>
      <c r="B120">
        <f>$B$7+A120</f>
        <v/>
      </c>
      <c r="C120" s="14">
        <f>IF(A120&gt;$B$6,0,SUMIF(B24:B31,A120,E24:E31)+IF(A120=$B$6,E32,0))</f>
        <v/>
      </c>
      <c r="D120" s="14">
        <f>IF(A120&gt;$B$6,0,SUMIF(B24:B31,A120,F24:F31))</f>
        <v/>
      </c>
      <c r="E120" s="14">
        <f>IF(A120&gt;$B$6,0,SUMIF(K24:K26,A120,N24:N26)+IF(A120=$B$6,N27,0))</f>
        <v/>
      </c>
      <c r="F120" s="14">
        <f>IF(A120&gt;$B$6,0,SUMIF(K24:K26,A120,O24:O26))</f>
        <v/>
      </c>
      <c r="G120" s="14">
        <f>G119+IF(A120&gt;$B$6,0,SUMIF(B24:B31,A120,G24:G31)+IF(A120=$B$6,G32,0))</f>
        <v/>
      </c>
      <c r="H120" s="14">
        <f>H119+IF(A120&gt;$B$6,0,SUMIF(K24:K26,A120,P24:P26)+IF(A120=$B$6,P27,0))</f>
        <v/>
      </c>
      <c r="I120">
        <f>IF(A120&gt;$B$6,0,SUMIF(B24:B31,A120,D24:D31)*$B$10)</f>
        <v/>
      </c>
      <c r="J120">
        <f>IF(A120&gt;$B$6,0,SUMIF(K24:K26,A120,M24:M26)*$B$10)</f>
        <v/>
      </c>
      <c r="M120" s="14">
        <f>C120+D120</f>
        <v/>
      </c>
      <c r="N120" s="14">
        <f>E120+F120</f>
        <v/>
      </c>
      <c r="AK120" t="n">
        <v>107</v>
      </c>
      <c r="AL120">
        <f>IFERROR(IF(AU120&lt;($AM$6-$AL$6)/($AN$6-$AL$6),$AL$6+SQRT(AU120*($AN$6-$AL$6)*($AM$6-$AL$6)),$AN$6-SQRT((1-AU120)*($AN$6-$AL$6)*($AN$6-$AM$6))),$AM$6)</f>
        <v/>
      </c>
      <c r="AM120">
        <f>IFERROR(IF(AV120&lt;($AM$7-$AL$7)/($AN$7-$AL$7),$AL$7+SQRT(AV120*($AN$7-$AL$7)*($AM$7-$AL$7)),$AN$7-SQRT((1-AV120)*($AN$7-$AL$7)*($AN$7-$AM$7))),$AM$7)</f>
        <v/>
      </c>
      <c r="AN120">
        <f>IFERROR(IF(AW120&lt;($AM$8-$AL$8)/($AN$8-$AL$8),$AL$8+SQRT(AW120*($AN$8-$AL$8)*($AM$8-$AL$8)),$AN$8-SQRT((1-AW120)*($AN$8-$AL$8)*($AN$8-$AM$8))),$AM$8)</f>
        <v/>
      </c>
      <c r="AO120">
        <f>IFERROR(IF(AX120&lt;($AM$9-$AL$9)/($AN$9-$AL$9),$AL$9+SQRT(AX120*($AN$9-$AL$9)*($AM$9-$AL$9)),$AN$9-SQRT((1-AX120)*($AN$9-$AL$9)*($AN$9-$AM$9))),$AM$9)</f>
        <v/>
      </c>
      <c r="AP120">
        <f>IFERROR(IF(AY120&lt;($AM$10-$AL$10)/($AN$10-$AL$10),$AL$10+SQRT(AY120*($AN$10-$AL$10)*($AM$10-$AL$10)),$AN$10-SQRT((1-AY120)*($AN$10-$AL$10)*($AN$10-$AM$10))),$AM$10)</f>
        <v/>
      </c>
      <c r="AQ120">
        <f>IFERROR(IF(AZ120&lt;($AM$11-$AL$11)/($AN$11-$AL$11),$AL$11+SQRT(AZ120*($AN$11-$AL$11)*($AM$11-$AL$11)),$AN$11-SQRT((1-AZ120)*($AN$11-$AL$11)*($AN$11-$AM$11))),$AM$11)</f>
        <v/>
      </c>
      <c r="AR120">
        <f>SUMPRODUCT((B24:B31&lt;=$B$6)*(C24:C31*AM120+D24:D31*AO120*$B$8*AQ120)/(1+AL120/100)^B24:B31)+C32*AM120*AP120/(1+AL120/100)^$B$6</f>
        <v/>
      </c>
      <c r="AS120">
        <f>SUMPRODUCT((K24:K26&lt;=$B$6)*(L24:L26*AN120+M24:M26*AO120*$B$8*AQ120)/(1+AL120/100)^K24:K26)+L27*AN120*AP120/(1+AL120/100)^$B$6</f>
        <v/>
      </c>
      <c r="AT120">
        <f>AS120-AR120</f>
        <v/>
      </c>
      <c r="AU120">
        <f>RAND()</f>
        <v/>
      </c>
      <c r="AV120">
        <f>RAND()</f>
        <v/>
      </c>
      <c r="AW120">
        <f>RAND()</f>
        <v/>
      </c>
      <c r="AX120">
        <f>RAND()</f>
        <v/>
      </c>
      <c r="AY120">
        <f>RAND()</f>
        <v/>
      </c>
      <c r="AZ120">
        <f>RAND()</f>
        <v/>
      </c>
    </row>
    <row r="121">
      <c r="A121" t="n">
        <v>27</v>
      </c>
      <c r="B121">
        <f>$B$7+A121</f>
        <v/>
      </c>
      <c r="C121" s="14">
        <f>IF(A121&gt;$B$6,0,SUMIF(B24:B31,A121,E24:E31)+IF(A121=$B$6,E32,0))</f>
        <v/>
      </c>
      <c r="D121" s="14">
        <f>IF(A121&gt;$B$6,0,SUMIF(B24:B31,A121,F24:F31))</f>
        <v/>
      </c>
      <c r="E121" s="14">
        <f>IF(A121&gt;$B$6,0,SUMIF(K24:K26,A121,N24:N26)+IF(A121=$B$6,N27,0))</f>
        <v/>
      </c>
      <c r="F121" s="14">
        <f>IF(A121&gt;$B$6,0,SUMIF(K24:K26,A121,O24:O26))</f>
        <v/>
      </c>
      <c r="G121" s="14">
        <f>G120+IF(A121&gt;$B$6,0,SUMIF(B24:B31,A121,G24:G31)+IF(A121=$B$6,G32,0))</f>
        <v/>
      </c>
      <c r="H121" s="14">
        <f>H120+IF(A121&gt;$B$6,0,SUMIF(K24:K26,A121,P24:P26)+IF(A121=$B$6,P27,0))</f>
        <v/>
      </c>
      <c r="I121">
        <f>IF(A121&gt;$B$6,0,SUMIF(B24:B31,A121,D24:D31)*$B$10)</f>
        <v/>
      </c>
      <c r="J121">
        <f>IF(A121&gt;$B$6,0,SUMIF(K24:K26,A121,M24:M26)*$B$10)</f>
        <v/>
      </c>
      <c r="M121" s="14">
        <f>C121+D121</f>
        <v/>
      </c>
      <c r="N121" s="14">
        <f>E121+F121</f>
        <v/>
      </c>
      <c r="AK121" t="n">
        <v>108</v>
      </c>
      <c r="AL121">
        <f>IFERROR(IF(AU121&lt;($AM$6-$AL$6)/($AN$6-$AL$6),$AL$6+SQRT(AU121*($AN$6-$AL$6)*($AM$6-$AL$6)),$AN$6-SQRT((1-AU121)*($AN$6-$AL$6)*($AN$6-$AM$6))),$AM$6)</f>
        <v/>
      </c>
      <c r="AM121">
        <f>IFERROR(IF(AV121&lt;($AM$7-$AL$7)/($AN$7-$AL$7),$AL$7+SQRT(AV121*($AN$7-$AL$7)*($AM$7-$AL$7)),$AN$7-SQRT((1-AV121)*($AN$7-$AL$7)*($AN$7-$AM$7))),$AM$7)</f>
        <v/>
      </c>
      <c r="AN121">
        <f>IFERROR(IF(AW121&lt;($AM$8-$AL$8)/($AN$8-$AL$8),$AL$8+SQRT(AW121*($AN$8-$AL$8)*($AM$8-$AL$8)),$AN$8-SQRT((1-AW121)*($AN$8-$AL$8)*($AN$8-$AM$8))),$AM$8)</f>
        <v/>
      </c>
      <c r="AO121">
        <f>IFERROR(IF(AX121&lt;($AM$9-$AL$9)/($AN$9-$AL$9),$AL$9+SQRT(AX121*($AN$9-$AL$9)*($AM$9-$AL$9)),$AN$9-SQRT((1-AX121)*($AN$9-$AL$9)*($AN$9-$AM$9))),$AM$9)</f>
        <v/>
      </c>
      <c r="AP121">
        <f>IFERROR(IF(AY121&lt;($AM$10-$AL$10)/($AN$10-$AL$10),$AL$10+SQRT(AY121*($AN$10-$AL$10)*($AM$10-$AL$10)),$AN$10-SQRT((1-AY121)*($AN$10-$AL$10)*($AN$10-$AM$10))),$AM$10)</f>
        <v/>
      </c>
      <c r="AQ121">
        <f>IFERROR(IF(AZ121&lt;($AM$11-$AL$11)/($AN$11-$AL$11),$AL$11+SQRT(AZ121*($AN$11-$AL$11)*($AM$11-$AL$11)),$AN$11-SQRT((1-AZ121)*($AN$11-$AL$11)*($AN$11-$AM$11))),$AM$11)</f>
        <v/>
      </c>
      <c r="AR121">
        <f>SUMPRODUCT((B24:B31&lt;=$B$6)*(C24:C31*AM121+D24:D31*AO121*$B$8*AQ121)/(1+AL121/100)^B24:B31)+C32*AM121*AP121/(1+AL121/100)^$B$6</f>
        <v/>
      </c>
      <c r="AS121">
        <f>SUMPRODUCT((K24:K26&lt;=$B$6)*(L24:L26*AN121+M24:M26*AO121*$B$8*AQ121)/(1+AL121/100)^K24:K26)+L27*AN121*AP121/(1+AL121/100)^$B$6</f>
        <v/>
      </c>
      <c r="AT121">
        <f>AS121-AR121</f>
        <v/>
      </c>
      <c r="AU121">
        <f>RAND()</f>
        <v/>
      </c>
      <c r="AV121">
        <f>RAND()</f>
        <v/>
      </c>
      <c r="AW121">
        <f>RAND()</f>
        <v/>
      </c>
      <c r="AX121">
        <f>RAND()</f>
        <v/>
      </c>
      <c r="AY121">
        <f>RAND()</f>
        <v/>
      </c>
      <c r="AZ121">
        <f>RAND()</f>
        <v/>
      </c>
    </row>
    <row r="122">
      <c r="A122" t="n">
        <v>28</v>
      </c>
      <c r="B122">
        <f>$B$7+A122</f>
        <v/>
      </c>
      <c r="C122" s="14">
        <f>IF(A122&gt;$B$6,0,SUMIF(B24:B31,A122,E24:E31)+IF(A122=$B$6,E32,0))</f>
        <v/>
      </c>
      <c r="D122" s="14">
        <f>IF(A122&gt;$B$6,0,SUMIF(B24:B31,A122,F24:F31))</f>
        <v/>
      </c>
      <c r="E122" s="14">
        <f>IF(A122&gt;$B$6,0,SUMIF(K24:K26,A122,N24:N26)+IF(A122=$B$6,N27,0))</f>
        <v/>
      </c>
      <c r="F122" s="14">
        <f>IF(A122&gt;$B$6,0,SUMIF(K24:K26,A122,O24:O26))</f>
        <v/>
      </c>
      <c r="G122" s="14">
        <f>G121+IF(A122&gt;$B$6,0,SUMIF(B24:B31,A122,G24:G31)+IF(A122=$B$6,G32,0))</f>
        <v/>
      </c>
      <c r="H122" s="14">
        <f>H121+IF(A122&gt;$B$6,0,SUMIF(K24:K26,A122,P24:P26)+IF(A122=$B$6,P27,0))</f>
        <v/>
      </c>
      <c r="I122">
        <f>IF(A122&gt;$B$6,0,SUMIF(B24:B31,A122,D24:D31)*$B$10)</f>
        <v/>
      </c>
      <c r="J122">
        <f>IF(A122&gt;$B$6,0,SUMIF(K24:K26,A122,M24:M26)*$B$10)</f>
        <v/>
      </c>
      <c r="M122" s="14">
        <f>C122+D122</f>
        <v/>
      </c>
      <c r="N122" s="14">
        <f>E122+F122</f>
        <v/>
      </c>
      <c r="AK122" t="n">
        <v>109</v>
      </c>
      <c r="AL122">
        <f>IFERROR(IF(AU122&lt;($AM$6-$AL$6)/($AN$6-$AL$6),$AL$6+SQRT(AU122*($AN$6-$AL$6)*($AM$6-$AL$6)),$AN$6-SQRT((1-AU122)*($AN$6-$AL$6)*($AN$6-$AM$6))),$AM$6)</f>
        <v/>
      </c>
      <c r="AM122">
        <f>IFERROR(IF(AV122&lt;($AM$7-$AL$7)/($AN$7-$AL$7),$AL$7+SQRT(AV122*($AN$7-$AL$7)*($AM$7-$AL$7)),$AN$7-SQRT((1-AV122)*($AN$7-$AL$7)*($AN$7-$AM$7))),$AM$7)</f>
        <v/>
      </c>
      <c r="AN122">
        <f>IFERROR(IF(AW122&lt;($AM$8-$AL$8)/($AN$8-$AL$8),$AL$8+SQRT(AW122*($AN$8-$AL$8)*($AM$8-$AL$8)),$AN$8-SQRT((1-AW122)*($AN$8-$AL$8)*($AN$8-$AM$8))),$AM$8)</f>
        <v/>
      </c>
      <c r="AO122">
        <f>IFERROR(IF(AX122&lt;($AM$9-$AL$9)/($AN$9-$AL$9),$AL$9+SQRT(AX122*($AN$9-$AL$9)*($AM$9-$AL$9)),$AN$9-SQRT((1-AX122)*($AN$9-$AL$9)*($AN$9-$AM$9))),$AM$9)</f>
        <v/>
      </c>
      <c r="AP122">
        <f>IFERROR(IF(AY122&lt;($AM$10-$AL$10)/($AN$10-$AL$10),$AL$10+SQRT(AY122*($AN$10-$AL$10)*($AM$10-$AL$10)),$AN$10-SQRT((1-AY122)*($AN$10-$AL$10)*($AN$10-$AM$10))),$AM$10)</f>
        <v/>
      </c>
      <c r="AQ122">
        <f>IFERROR(IF(AZ122&lt;($AM$11-$AL$11)/($AN$11-$AL$11),$AL$11+SQRT(AZ122*($AN$11-$AL$11)*($AM$11-$AL$11)),$AN$11-SQRT((1-AZ122)*($AN$11-$AL$11)*($AN$11-$AM$11))),$AM$11)</f>
        <v/>
      </c>
      <c r="AR122">
        <f>SUMPRODUCT((B24:B31&lt;=$B$6)*(C24:C31*AM122+D24:D31*AO122*$B$8*AQ122)/(1+AL122/100)^B24:B31)+C32*AM122*AP122/(1+AL122/100)^$B$6</f>
        <v/>
      </c>
      <c r="AS122">
        <f>SUMPRODUCT((K24:K26&lt;=$B$6)*(L24:L26*AN122+M24:M26*AO122*$B$8*AQ122)/(1+AL122/100)^K24:K26)+L27*AN122*AP122/(1+AL122/100)^$B$6</f>
        <v/>
      </c>
      <c r="AT122">
        <f>AS122-AR122</f>
        <v/>
      </c>
      <c r="AU122">
        <f>RAND()</f>
        <v/>
      </c>
      <c r="AV122">
        <f>RAND()</f>
        <v/>
      </c>
      <c r="AW122">
        <f>RAND()</f>
        <v/>
      </c>
      <c r="AX122">
        <f>RAND()</f>
        <v/>
      </c>
      <c r="AY122">
        <f>RAND()</f>
        <v/>
      </c>
      <c r="AZ122">
        <f>RAND()</f>
        <v/>
      </c>
    </row>
    <row r="123">
      <c r="A123" t="n">
        <v>29</v>
      </c>
      <c r="B123">
        <f>$B$7+A123</f>
        <v/>
      </c>
      <c r="C123" s="14">
        <f>IF(A123&gt;$B$6,0,SUMIF(B24:B31,A123,E24:E31)+IF(A123=$B$6,E32,0))</f>
        <v/>
      </c>
      <c r="D123" s="14">
        <f>IF(A123&gt;$B$6,0,SUMIF(B24:B31,A123,F24:F31))</f>
        <v/>
      </c>
      <c r="E123" s="14">
        <f>IF(A123&gt;$B$6,0,SUMIF(K24:K26,A123,N24:N26)+IF(A123=$B$6,N27,0))</f>
        <v/>
      </c>
      <c r="F123" s="14">
        <f>IF(A123&gt;$B$6,0,SUMIF(K24:K26,A123,O24:O26))</f>
        <v/>
      </c>
      <c r="G123" s="14">
        <f>G122+IF(A123&gt;$B$6,0,SUMIF(B24:B31,A123,G24:G31)+IF(A123=$B$6,G32,0))</f>
        <v/>
      </c>
      <c r="H123" s="14">
        <f>H122+IF(A123&gt;$B$6,0,SUMIF(K24:K26,A123,P24:P26)+IF(A123=$B$6,P27,0))</f>
        <v/>
      </c>
      <c r="I123">
        <f>IF(A123&gt;$B$6,0,SUMIF(B24:B31,A123,D24:D31)*$B$10)</f>
        <v/>
      </c>
      <c r="J123">
        <f>IF(A123&gt;$B$6,0,SUMIF(K24:K26,A123,M24:M26)*$B$10)</f>
        <v/>
      </c>
      <c r="M123" s="14">
        <f>C123+D123</f>
        <v/>
      </c>
      <c r="N123" s="14">
        <f>E123+F123</f>
        <v/>
      </c>
      <c r="AK123" t="n">
        <v>110</v>
      </c>
      <c r="AL123">
        <f>IFERROR(IF(AU123&lt;($AM$6-$AL$6)/($AN$6-$AL$6),$AL$6+SQRT(AU123*($AN$6-$AL$6)*($AM$6-$AL$6)),$AN$6-SQRT((1-AU123)*($AN$6-$AL$6)*($AN$6-$AM$6))),$AM$6)</f>
        <v/>
      </c>
      <c r="AM123">
        <f>IFERROR(IF(AV123&lt;($AM$7-$AL$7)/($AN$7-$AL$7),$AL$7+SQRT(AV123*($AN$7-$AL$7)*($AM$7-$AL$7)),$AN$7-SQRT((1-AV123)*($AN$7-$AL$7)*($AN$7-$AM$7))),$AM$7)</f>
        <v/>
      </c>
      <c r="AN123">
        <f>IFERROR(IF(AW123&lt;($AM$8-$AL$8)/($AN$8-$AL$8),$AL$8+SQRT(AW123*($AN$8-$AL$8)*($AM$8-$AL$8)),$AN$8-SQRT((1-AW123)*($AN$8-$AL$8)*($AN$8-$AM$8))),$AM$8)</f>
        <v/>
      </c>
      <c r="AO123">
        <f>IFERROR(IF(AX123&lt;($AM$9-$AL$9)/($AN$9-$AL$9),$AL$9+SQRT(AX123*($AN$9-$AL$9)*($AM$9-$AL$9)),$AN$9-SQRT((1-AX123)*($AN$9-$AL$9)*($AN$9-$AM$9))),$AM$9)</f>
        <v/>
      </c>
      <c r="AP123">
        <f>IFERROR(IF(AY123&lt;($AM$10-$AL$10)/($AN$10-$AL$10),$AL$10+SQRT(AY123*($AN$10-$AL$10)*($AM$10-$AL$10)),$AN$10-SQRT((1-AY123)*($AN$10-$AL$10)*($AN$10-$AM$10))),$AM$10)</f>
        <v/>
      </c>
      <c r="AQ123">
        <f>IFERROR(IF(AZ123&lt;($AM$11-$AL$11)/($AN$11-$AL$11),$AL$11+SQRT(AZ123*($AN$11-$AL$11)*($AM$11-$AL$11)),$AN$11-SQRT((1-AZ123)*($AN$11-$AL$11)*($AN$11-$AM$11))),$AM$11)</f>
        <v/>
      </c>
      <c r="AR123">
        <f>SUMPRODUCT((B24:B31&lt;=$B$6)*(C24:C31*AM123+D24:D31*AO123*$B$8*AQ123)/(1+AL123/100)^B24:B31)+C32*AM123*AP123/(1+AL123/100)^$B$6</f>
        <v/>
      </c>
      <c r="AS123">
        <f>SUMPRODUCT((K24:K26&lt;=$B$6)*(L24:L26*AN123+M24:M26*AO123*$B$8*AQ123)/(1+AL123/100)^K24:K26)+L27*AN123*AP123/(1+AL123/100)^$B$6</f>
        <v/>
      </c>
      <c r="AT123">
        <f>AS123-AR123</f>
        <v/>
      </c>
      <c r="AU123">
        <f>RAND()</f>
        <v/>
      </c>
      <c r="AV123">
        <f>RAND()</f>
        <v/>
      </c>
      <c r="AW123">
        <f>RAND()</f>
        <v/>
      </c>
      <c r="AX123">
        <f>RAND()</f>
        <v/>
      </c>
      <c r="AY123">
        <f>RAND()</f>
        <v/>
      </c>
      <c r="AZ123">
        <f>RAND()</f>
        <v/>
      </c>
    </row>
    <row r="124">
      <c r="A124" t="n">
        <v>30</v>
      </c>
      <c r="B124">
        <f>$B$7+A124</f>
        <v/>
      </c>
      <c r="C124" s="14">
        <f>IF(A124&gt;$B$6,0,SUMIF(B24:B31,A124,E24:E31)+IF(A124=$B$6,E32,0))</f>
        <v/>
      </c>
      <c r="D124" s="14">
        <f>IF(A124&gt;$B$6,0,SUMIF(B24:B31,A124,F24:F31))</f>
        <v/>
      </c>
      <c r="E124" s="14">
        <f>IF(A124&gt;$B$6,0,SUMIF(K24:K26,A124,N24:N26)+IF(A124=$B$6,N27,0))</f>
        <v/>
      </c>
      <c r="F124" s="14">
        <f>IF(A124&gt;$B$6,0,SUMIF(K24:K26,A124,O24:O26))</f>
        <v/>
      </c>
      <c r="G124" s="14">
        <f>G123+IF(A124&gt;$B$6,0,SUMIF(B24:B31,A124,G24:G31)+IF(A124=$B$6,G32,0))</f>
        <v/>
      </c>
      <c r="H124" s="14">
        <f>H123+IF(A124&gt;$B$6,0,SUMIF(K24:K26,A124,P24:P26)+IF(A124=$B$6,P27,0))</f>
        <v/>
      </c>
      <c r="I124">
        <f>IF(A124&gt;$B$6,0,SUMIF(B24:B31,A124,D24:D31)*$B$10)</f>
        <v/>
      </c>
      <c r="J124">
        <f>IF(A124&gt;$B$6,0,SUMIF(K24:K26,A124,M24:M26)*$B$10)</f>
        <v/>
      </c>
      <c r="M124" s="14">
        <f>C124+D124</f>
        <v/>
      </c>
      <c r="N124" s="14">
        <f>E124+F124</f>
        <v/>
      </c>
      <c r="AK124" t="n">
        <v>111</v>
      </c>
      <c r="AL124">
        <f>IFERROR(IF(AU124&lt;($AM$6-$AL$6)/($AN$6-$AL$6),$AL$6+SQRT(AU124*($AN$6-$AL$6)*($AM$6-$AL$6)),$AN$6-SQRT((1-AU124)*($AN$6-$AL$6)*($AN$6-$AM$6))),$AM$6)</f>
        <v/>
      </c>
      <c r="AM124">
        <f>IFERROR(IF(AV124&lt;($AM$7-$AL$7)/($AN$7-$AL$7),$AL$7+SQRT(AV124*($AN$7-$AL$7)*($AM$7-$AL$7)),$AN$7-SQRT((1-AV124)*($AN$7-$AL$7)*($AN$7-$AM$7))),$AM$7)</f>
        <v/>
      </c>
      <c r="AN124">
        <f>IFERROR(IF(AW124&lt;($AM$8-$AL$8)/($AN$8-$AL$8),$AL$8+SQRT(AW124*($AN$8-$AL$8)*($AM$8-$AL$8)),$AN$8-SQRT((1-AW124)*($AN$8-$AL$8)*($AN$8-$AM$8))),$AM$8)</f>
        <v/>
      </c>
      <c r="AO124">
        <f>IFERROR(IF(AX124&lt;($AM$9-$AL$9)/($AN$9-$AL$9),$AL$9+SQRT(AX124*($AN$9-$AL$9)*($AM$9-$AL$9)),$AN$9-SQRT((1-AX124)*($AN$9-$AL$9)*($AN$9-$AM$9))),$AM$9)</f>
        <v/>
      </c>
      <c r="AP124">
        <f>IFERROR(IF(AY124&lt;($AM$10-$AL$10)/($AN$10-$AL$10),$AL$10+SQRT(AY124*($AN$10-$AL$10)*($AM$10-$AL$10)),$AN$10-SQRT((1-AY124)*($AN$10-$AL$10)*($AN$10-$AM$10))),$AM$10)</f>
        <v/>
      </c>
      <c r="AQ124">
        <f>IFERROR(IF(AZ124&lt;($AM$11-$AL$11)/($AN$11-$AL$11),$AL$11+SQRT(AZ124*($AN$11-$AL$11)*($AM$11-$AL$11)),$AN$11-SQRT((1-AZ124)*($AN$11-$AL$11)*($AN$11-$AM$11))),$AM$11)</f>
        <v/>
      </c>
      <c r="AR124">
        <f>SUMPRODUCT((B24:B31&lt;=$B$6)*(C24:C31*AM124+D24:D31*AO124*$B$8*AQ124)/(1+AL124/100)^B24:B31)+C32*AM124*AP124/(1+AL124/100)^$B$6</f>
        <v/>
      </c>
      <c r="AS124">
        <f>SUMPRODUCT((K24:K26&lt;=$B$6)*(L24:L26*AN124+M24:M26*AO124*$B$8*AQ124)/(1+AL124/100)^K24:K26)+L27*AN124*AP124/(1+AL124/100)^$B$6</f>
        <v/>
      </c>
      <c r="AT124">
        <f>AS124-AR124</f>
        <v/>
      </c>
      <c r="AU124">
        <f>RAND()</f>
        <v/>
      </c>
      <c r="AV124">
        <f>RAND()</f>
        <v/>
      </c>
      <c r="AW124">
        <f>RAND()</f>
        <v/>
      </c>
      <c r="AX124">
        <f>RAND()</f>
        <v/>
      </c>
      <c r="AY124">
        <f>RAND()</f>
        <v/>
      </c>
      <c r="AZ124">
        <f>RAND()</f>
        <v/>
      </c>
    </row>
    <row r="125">
      <c r="A125" s="7" t="inlineStr">
        <is>
          <t>Crossover year (cumulative PW lines cross)</t>
        </is>
      </c>
      <c r="B125">
        <f>IFERROR(INDEX($B$95:$B$124,MATCH(TRUE,INDEX(SIGN($H$95:$H$124-$G$95:$G$124)&lt;&gt;SIGN($H$94-$G$94),0),0)),"no crossover")</f>
        <v/>
      </c>
      <c r="AK125" t="n">
        <v>112</v>
      </c>
      <c r="AL125">
        <f>IFERROR(IF(AU125&lt;($AM$6-$AL$6)/($AN$6-$AL$6),$AL$6+SQRT(AU125*($AN$6-$AL$6)*($AM$6-$AL$6)),$AN$6-SQRT((1-AU125)*($AN$6-$AL$6)*($AN$6-$AM$6))),$AM$6)</f>
        <v/>
      </c>
      <c r="AM125">
        <f>IFERROR(IF(AV125&lt;($AM$7-$AL$7)/($AN$7-$AL$7),$AL$7+SQRT(AV125*($AN$7-$AL$7)*($AM$7-$AL$7)),$AN$7-SQRT((1-AV125)*($AN$7-$AL$7)*($AN$7-$AM$7))),$AM$7)</f>
        <v/>
      </c>
      <c r="AN125">
        <f>IFERROR(IF(AW125&lt;($AM$8-$AL$8)/($AN$8-$AL$8),$AL$8+SQRT(AW125*($AN$8-$AL$8)*($AM$8-$AL$8)),$AN$8-SQRT((1-AW125)*($AN$8-$AL$8)*($AN$8-$AM$8))),$AM$8)</f>
        <v/>
      </c>
      <c r="AO125">
        <f>IFERROR(IF(AX125&lt;($AM$9-$AL$9)/($AN$9-$AL$9),$AL$9+SQRT(AX125*($AN$9-$AL$9)*($AM$9-$AL$9)),$AN$9-SQRT((1-AX125)*($AN$9-$AL$9)*($AN$9-$AM$9))),$AM$9)</f>
        <v/>
      </c>
      <c r="AP125">
        <f>IFERROR(IF(AY125&lt;($AM$10-$AL$10)/($AN$10-$AL$10),$AL$10+SQRT(AY125*($AN$10-$AL$10)*($AM$10-$AL$10)),$AN$10-SQRT((1-AY125)*($AN$10-$AL$10)*($AN$10-$AM$10))),$AM$10)</f>
        <v/>
      </c>
      <c r="AQ125">
        <f>IFERROR(IF(AZ125&lt;($AM$11-$AL$11)/($AN$11-$AL$11),$AL$11+SQRT(AZ125*($AN$11-$AL$11)*($AM$11-$AL$11)),$AN$11-SQRT((1-AZ125)*($AN$11-$AL$11)*($AN$11-$AM$11))),$AM$11)</f>
        <v/>
      </c>
      <c r="AR125">
        <f>SUMPRODUCT((B24:B31&lt;=$B$6)*(C24:C31*AM125+D24:D31*AO125*$B$8*AQ125)/(1+AL125/100)^B24:B31)+C32*AM125*AP125/(1+AL125/100)^$B$6</f>
        <v/>
      </c>
      <c r="AS125">
        <f>SUMPRODUCT((K24:K26&lt;=$B$6)*(L24:L26*AN125+M24:M26*AO125*$B$8*AQ125)/(1+AL125/100)^K24:K26)+L27*AN125*AP125/(1+AL125/100)^$B$6</f>
        <v/>
      </c>
      <c r="AT125">
        <f>AS125-AR125</f>
        <v/>
      </c>
      <c r="AU125">
        <f>RAND()</f>
        <v/>
      </c>
      <c r="AV125">
        <f>RAND()</f>
        <v/>
      </c>
      <c r="AW125">
        <f>RAND()</f>
        <v/>
      </c>
      <c r="AX125">
        <f>RAND()</f>
        <v/>
      </c>
      <c r="AY125">
        <f>RAND()</f>
        <v/>
      </c>
      <c r="AZ125">
        <f>RAND()</f>
        <v/>
      </c>
    </row>
    <row r="126">
      <c r="AK126" t="n">
        <v>113</v>
      </c>
      <c r="AL126">
        <f>IFERROR(IF(AU126&lt;($AM$6-$AL$6)/($AN$6-$AL$6),$AL$6+SQRT(AU126*($AN$6-$AL$6)*($AM$6-$AL$6)),$AN$6-SQRT((1-AU126)*($AN$6-$AL$6)*($AN$6-$AM$6))),$AM$6)</f>
        <v/>
      </c>
      <c r="AM126">
        <f>IFERROR(IF(AV126&lt;($AM$7-$AL$7)/($AN$7-$AL$7),$AL$7+SQRT(AV126*($AN$7-$AL$7)*($AM$7-$AL$7)),$AN$7-SQRT((1-AV126)*($AN$7-$AL$7)*($AN$7-$AM$7))),$AM$7)</f>
        <v/>
      </c>
      <c r="AN126">
        <f>IFERROR(IF(AW126&lt;($AM$8-$AL$8)/($AN$8-$AL$8),$AL$8+SQRT(AW126*($AN$8-$AL$8)*($AM$8-$AL$8)),$AN$8-SQRT((1-AW126)*($AN$8-$AL$8)*($AN$8-$AM$8))),$AM$8)</f>
        <v/>
      </c>
      <c r="AO126">
        <f>IFERROR(IF(AX126&lt;($AM$9-$AL$9)/($AN$9-$AL$9),$AL$9+SQRT(AX126*($AN$9-$AL$9)*($AM$9-$AL$9)),$AN$9-SQRT((1-AX126)*($AN$9-$AL$9)*($AN$9-$AM$9))),$AM$9)</f>
        <v/>
      </c>
      <c r="AP126">
        <f>IFERROR(IF(AY126&lt;($AM$10-$AL$10)/($AN$10-$AL$10),$AL$10+SQRT(AY126*($AN$10-$AL$10)*($AM$10-$AL$10)),$AN$10-SQRT((1-AY126)*($AN$10-$AL$10)*($AN$10-$AM$10))),$AM$10)</f>
        <v/>
      </c>
      <c r="AQ126">
        <f>IFERROR(IF(AZ126&lt;($AM$11-$AL$11)/($AN$11-$AL$11),$AL$11+SQRT(AZ126*($AN$11-$AL$11)*($AM$11-$AL$11)),$AN$11-SQRT((1-AZ126)*($AN$11-$AL$11)*($AN$11-$AM$11))),$AM$11)</f>
        <v/>
      </c>
      <c r="AR126">
        <f>SUMPRODUCT((B24:B31&lt;=$B$6)*(C24:C31*AM126+D24:D31*AO126*$B$8*AQ126)/(1+AL126/100)^B24:B31)+C32*AM126*AP126/(1+AL126/100)^$B$6</f>
        <v/>
      </c>
      <c r="AS126">
        <f>SUMPRODUCT((K24:K26&lt;=$B$6)*(L24:L26*AN126+M24:M26*AO126*$B$8*AQ126)/(1+AL126/100)^K24:K26)+L27*AN126*AP126/(1+AL126/100)^$B$6</f>
        <v/>
      </c>
      <c r="AT126">
        <f>AS126-AR126</f>
        <v/>
      </c>
      <c r="AU126">
        <f>RAND()</f>
        <v/>
      </c>
      <c r="AV126">
        <f>RAND()</f>
        <v/>
      </c>
      <c r="AW126">
        <f>RAND()</f>
        <v/>
      </c>
      <c r="AX126">
        <f>RAND()</f>
        <v/>
      </c>
      <c r="AY126">
        <f>RAND()</f>
        <v/>
      </c>
      <c r="AZ126">
        <f>RAND()</f>
        <v/>
      </c>
    </row>
    <row r="127">
      <c r="AK127" t="n">
        <v>114</v>
      </c>
      <c r="AL127">
        <f>IFERROR(IF(AU127&lt;($AM$6-$AL$6)/($AN$6-$AL$6),$AL$6+SQRT(AU127*($AN$6-$AL$6)*($AM$6-$AL$6)),$AN$6-SQRT((1-AU127)*($AN$6-$AL$6)*($AN$6-$AM$6))),$AM$6)</f>
        <v/>
      </c>
      <c r="AM127">
        <f>IFERROR(IF(AV127&lt;($AM$7-$AL$7)/($AN$7-$AL$7),$AL$7+SQRT(AV127*($AN$7-$AL$7)*($AM$7-$AL$7)),$AN$7-SQRT((1-AV127)*($AN$7-$AL$7)*($AN$7-$AM$7))),$AM$7)</f>
        <v/>
      </c>
      <c r="AN127">
        <f>IFERROR(IF(AW127&lt;($AM$8-$AL$8)/($AN$8-$AL$8),$AL$8+SQRT(AW127*($AN$8-$AL$8)*($AM$8-$AL$8)),$AN$8-SQRT((1-AW127)*($AN$8-$AL$8)*($AN$8-$AM$8))),$AM$8)</f>
        <v/>
      </c>
      <c r="AO127">
        <f>IFERROR(IF(AX127&lt;($AM$9-$AL$9)/($AN$9-$AL$9),$AL$9+SQRT(AX127*($AN$9-$AL$9)*($AM$9-$AL$9)),$AN$9-SQRT((1-AX127)*($AN$9-$AL$9)*($AN$9-$AM$9))),$AM$9)</f>
        <v/>
      </c>
      <c r="AP127">
        <f>IFERROR(IF(AY127&lt;($AM$10-$AL$10)/($AN$10-$AL$10),$AL$10+SQRT(AY127*($AN$10-$AL$10)*($AM$10-$AL$10)),$AN$10-SQRT((1-AY127)*($AN$10-$AL$10)*($AN$10-$AM$10))),$AM$10)</f>
        <v/>
      </c>
      <c r="AQ127">
        <f>IFERROR(IF(AZ127&lt;($AM$11-$AL$11)/($AN$11-$AL$11),$AL$11+SQRT(AZ127*($AN$11-$AL$11)*($AM$11-$AL$11)),$AN$11-SQRT((1-AZ127)*($AN$11-$AL$11)*($AN$11-$AM$11))),$AM$11)</f>
        <v/>
      </c>
      <c r="AR127">
        <f>SUMPRODUCT((B24:B31&lt;=$B$6)*(C24:C31*AM127+D24:D31*AO127*$B$8*AQ127)/(1+AL127/100)^B24:B31)+C32*AM127*AP127/(1+AL127/100)^$B$6</f>
        <v/>
      </c>
      <c r="AS127">
        <f>SUMPRODUCT((K24:K26&lt;=$B$6)*(L24:L26*AN127+M24:M26*AO127*$B$8*AQ127)/(1+AL127/100)^K24:K26)+L27*AN127*AP127/(1+AL127/100)^$B$6</f>
        <v/>
      </c>
      <c r="AT127">
        <f>AS127-AR127</f>
        <v/>
      </c>
      <c r="AU127">
        <f>RAND()</f>
        <v/>
      </c>
      <c r="AV127">
        <f>RAND()</f>
        <v/>
      </c>
      <c r="AW127">
        <f>RAND()</f>
        <v/>
      </c>
      <c r="AX127">
        <f>RAND()</f>
        <v/>
      </c>
      <c r="AY127">
        <f>RAND()</f>
        <v/>
      </c>
      <c r="AZ127">
        <f>RAND()</f>
        <v/>
      </c>
    </row>
    <row r="128">
      <c r="A128" s="4" t="inlineStr">
        <is>
          <t>WHAT COULD FLIP THE ANSWER (one input at a time, PCC - HMA present worth)</t>
        </is>
      </c>
      <c r="AK128" t="n">
        <v>115</v>
      </c>
      <c r="AL128">
        <f>IFERROR(IF(AU128&lt;($AM$6-$AL$6)/($AN$6-$AL$6),$AL$6+SQRT(AU128*($AN$6-$AL$6)*($AM$6-$AL$6)),$AN$6-SQRT((1-AU128)*($AN$6-$AL$6)*($AN$6-$AM$6))),$AM$6)</f>
        <v/>
      </c>
      <c r="AM128">
        <f>IFERROR(IF(AV128&lt;($AM$7-$AL$7)/($AN$7-$AL$7),$AL$7+SQRT(AV128*($AN$7-$AL$7)*($AM$7-$AL$7)),$AN$7-SQRT((1-AV128)*($AN$7-$AL$7)*($AN$7-$AM$7))),$AM$7)</f>
        <v/>
      </c>
      <c r="AN128">
        <f>IFERROR(IF(AW128&lt;($AM$8-$AL$8)/($AN$8-$AL$8),$AL$8+SQRT(AW128*($AN$8-$AL$8)*($AM$8-$AL$8)),$AN$8-SQRT((1-AW128)*($AN$8-$AL$8)*($AN$8-$AM$8))),$AM$8)</f>
        <v/>
      </c>
      <c r="AO128">
        <f>IFERROR(IF(AX128&lt;($AM$9-$AL$9)/($AN$9-$AL$9),$AL$9+SQRT(AX128*($AN$9-$AL$9)*($AM$9-$AL$9)),$AN$9-SQRT((1-AX128)*($AN$9-$AL$9)*($AN$9-$AM$9))),$AM$9)</f>
        <v/>
      </c>
      <c r="AP128">
        <f>IFERROR(IF(AY128&lt;($AM$10-$AL$10)/($AN$10-$AL$10),$AL$10+SQRT(AY128*($AN$10-$AL$10)*($AM$10-$AL$10)),$AN$10-SQRT((1-AY128)*($AN$10-$AL$10)*($AN$10-$AM$10))),$AM$10)</f>
        <v/>
      </c>
      <c r="AQ128">
        <f>IFERROR(IF(AZ128&lt;($AM$11-$AL$11)/($AN$11-$AL$11),$AL$11+SQRT(AZ128*($AN$11-$AL$11)*($AM$11-$AL$11)),$AN$11-SQRT((1-AZ128)*($AN$11-$AL$11)*($AN$11-$AM$11))),$AM$11)</f>
        <v/>
      </c>
      <c r="AR128">
        <f>SUMPRODUCT((B24:B31&lt;=$B$6)*(C24:C31*AM128+D24:D31*AO128*$B$8*AQ128)/(1+AL128/100)^B24:B31)+C32*AM128*AP128/(1+AL128/100)^$B$6</f>
        <v/>
      </c>
      <c r="AS128">
        <f>SUMPRODUCT((K24:K26&lt;=$B$6)*(L24:L26*AN128+M24:M26*AO128*$B$8*AQ128)/(1+AL128/100)^K24:K26)+L27*AN128*AP128/(1+AL128/100)^$B$6</f>
        <v/>
      </c>
      <c r="AT128">
        <f>AS128-AR128</f>
        <v/>
      </c>
      <c r="AU128">
        <f>RAND()</f>
        <v/>
      </c>
      <c r="AV128">
        <f>RAND()</f>
        <v/>
      </c>
      <c r="AW128">
        <f>RAND()</f>
        <v/>
      </c>
      <c r="AX128">
        <f>RAND()</f>
        <v/>
      </c>
      <c r="AY128">
        <f>RAND()</f>
        <v/>
      </c>
      <c r="AZ128">
        <f>RAND()</f>
        <v/>
      </c>
    </row>
    <row r="129">
      <c r="A129" s="6" t="inlineStr">
        <is>
          <t>Input moved</t>
        </is>
      </c>
      <c r="B129" s="6" t="inlineStr">
        <is>
          <t>Low case</t>
        </is>
      </c>
      <c r="C129" s="6" t="inlineStr">
        <is>
          <t>High case</t>
        </is>
      </c>
      <c r="D129" s="6" t="inlineStr">
        <is>
          <t>Low PCC-HMA</t>
        </is>
      </c>
      <c r="E129" s="6" t="inlineStr">
        <is>
          <t>High PCC-HMA</t>
        </is>
      </c>
      <c r="F129" s="6" t="inlineStr">
        <is>
          <t>Swing</t>
        </is>
      </c>
      <c r="G129" s="6" t="inlineStr">
        <is>
          <t>Winner changes?</t>
        </is>
      </c>
      <c r="AK129" t="n">
        <v>116</v>
      </c>
      <c r="AL129">
        <f>IFERROR(IF(AU129&lt;($AM$6-$AL$6)/($AN$6-$AL$6),$AL$6+SQRT(AU129*($AN$6-$AL$6)*($AM$6-$AL$6)),$AN$6-SQRT((1-AU129)*($AN$6-$AL$6)*($AN$6-$AM$6))),$AM$6)</f>
        <v/>
      </c>
      <c r="AM129">
        <f>IFERROR(IF(AV129&lt;($AM$7-$AL$7)/($AN$7-$AL$7),$AL$7+SQRT(AV129*($AN$7-$AL$7)*($AM$7-$AL$7)),$AN$7-SQRT((1-AV129)*($AN$7-$AL$7)*($AN$7-$AM$7))),$AM$7)</f>
        <v/>
      </c>
      <c r="AN129">
        <f>IFERROR(IF(AW129&lt;($AM$8-$AL$8)/($AN$8-$AL$8),$AL$8+SQRT(AW129*($AN$8-$AL$8)*($AM$8-$AL$8)),$AN$8-SQRT((1-AW129)*($AN$8-$AL$8)*($AN$8-$AM$8))),$AM$8)</f>
        <v/>
      </c>
      <c r="AO129">
        <f>IFERROR(IF(AX129&lt;($AM$9-$AL$9)/($AN$9-$AL$9),$AL$9+SQRT(AX129*($AN$9-$AL$9)*($AM$9-$AL$9)),$AN$9-SQRT((1-AX129)*($AN$9-$AL$9)*($AN$9-$AM$9))),$AM$9)</f>
        <v/>
      </c>
      <c r="AP129">
        <f>IFERROR(IF(AY129&lt;($AM$10-$AL$10)/($AN$10-$AL$10),$AL$10+SQRT(AY129*($AN$10-$AL$10)*($AM$10-$AL$10)),$AN$10-SQRT((1-AY129)*($AN$10-$AL$10)*($AN$10-$AM$10))),$AM$10)</f>
        <v/>
      </c>
      <c r="AQ129">
        <f>IFERROR(IF(AZ129&lt;($AM$11-$AL$11)/($AN$11-$AL$11),$AL$11+SQRT(AZ129*($AN$11-$AL$11)*($AM$11-$AL$11)),$AN$11-SQRT((1-AZ129)*($AN$11-$AL$11)*($AN$11-$AM$11))),$AM$11)</f>
        <v/>
      </c>
      <c r="AR129">
        <f>SUMPRODUCT((B24:B31&lt;=$B$6)*(C24:C31*AM129+D24:D31*AO129*$B$8*AQ129)/(1+AL129/100)^B24:B31)+C32*AM129*AP129/(1+AL129/100)^$B$6</f>
        <v/>
      </c>
      <c r="AS129">
        <f>SUMPRODUCT((K24:K26&lt;=$B$6)*(L24:L26*AN129+M24:M26*AO129*$B$8*AQ129)/(1+AL129/100)^K24:K26)+L27*AN129*AP129/(1+AL129/100)^$B$6</f>
        <v/>
      </c>
      <c r="AT129">
        <f>AS129-AR129</f>
        <v/>
      </c>
      <c r="AU129">
        <f>RAND()</f>
        <v/>
      </c>
      <c r="AV129">
        <f>RAND()</f>
        <v/>
      </c>
      <c r="AW129">
        <f>RAND()</f>
        <v/>
      </c>
      <c r="AX129">
        <f>RAND()</f>
        <v/>
      </c>
      <c r="AY129">
        <f>RAND()</f>
        <v/>
      </c>
      <c r="AZ129">
        <f>RAND()</f>
        <v/>
      </c>
    </row>
    <row r="130">
      <c r="A130" s="7" t="inlineStr">
        <is>
          <t>Discount rate</t>
        </is>
      </c>
      <c r="B130" t="inlineStr">
        <is>
          <t>2%</t>
        </is>
      </c>
      <c r="C130" t="inlineStr">
        <is>
          <t>8%</t>
        </is>
      </c>
      <c r="D130" s="14">
        <f>(SUMPRODUCT((K24:K26&lt;=$B$6)*(L24:L26*$B$12+M24:M26*$B$10*$B$8*$B$9)/(1+2/100)^K24:K26)+L27*$B$12*$B$13/(1+2/100)^$B$6)-(SUMPRODUCT((B24:B31&lt;=$B$6)*(C24:C31*$B$11+D24:D31*$B$10*$B$8*$B$9)/(1+2/100)^B24:B31)+C32*$B$11*$B$13/(1+2/100)^$B$6)</f>
        <v/>
      </c>
      <c r="E130" s="14">
        <f>(SUMPRODUCT((K24:K26&lt;=$B$6)*(L24:L26*$B$12+M24:M26*$B$10*$B$8*$B$9)/(1+8/100)^K24:K26)+L27*$B$12*$B$13/(1+8/100)^$B$6)-(SUMPRODUCT((B24:B31&lt;=$B$6)*(C24:C31*$B$11+D24:D31*$B$10*$B$8*$B$9)/(1+8/100)^B24:B31)+C32*$B$11*$B$13/(1+8/100)^$B$6)</f>
        <v/>
      </c>
      <c r="F130" s="14">
        <f>ABS(E130-D130)</f>
        <v/>
      </c>
      <c r="G130">
        <f>IF(SIGN(D130)&lt;&gt;SIGN(E130),"YES","no")</f>
        <v/>
      </c>
      <c r="AK130" t="n">
        <v>117</v>
      </c>
      <c r="AL130">
        <f>IFERROR(IF(AU130&lt;($AM$6-$AL$6)/($AN$6-$AL$6),$AL$6+SQRT(AU130*($AN$6-$AL$6)*($AM$6-$AL$6)),$AN$6-SQRT((1-AU130)*($AN$6-$AL$6)*($AN$6-$AM$6))),$AM$6)</f>
        <v/>
      </c>
      <c r="AM130">
        <f>IFERROR(IF(AV130&lt;($AM$7-$AL$7)/($AN$7-$AL$7),$AL$7+SQRT(AV130*($AN$7-$AL$7)*($AM$7-$AL$7)),$AN$7-SQRT((1-AV130)*($AN$7-$AL$7)*($AN$7-$AM$7))),$AM$7)</f>
        <v/>
      </c>
      <c r="AN130">
        <f>IFERROR(IF(AW130&lt;($AM$8-$AL$8)/($AN$8-$AL$8),$AL$8+SQRT(AW130*($AN$8-$AL$8)*($AM$8-$AL$8)),$AN$8-SQRT((1-AW130)*($AN$8-$AL$8)*($AN$8-$AM$8))),$AM$8)</f>
        <v/>
      </c>
      <c r="AO130">
        <f>IFERROR(IF(AX130&lt;($AM$9-$AL$9)/($AN$9-$AL$9),$AL$9+SQRT(AX130*($AN$9-$AL$9)*($AM$9-$AL$9)),$AN$9-SQRT((1-AX130)*($AN$9-$AL$9)*($AN$9-$AM$9))),$AM$9)</f>
        <v/>
      </c>
      <c r="AP130">
        <f>IFERROR(IF(AY130&lt;($AM$10-$AL$10)/($AN$10-$AL$10),$AL$10+SQRT(AY130*($AN$10-$AL$10)*($AM$10-$AL$10)),$AN$10-SQRT((1-AY130)*($AN$10-$AL$10)*($AN$10-$AM$10))),$AM$10)</f>
        <v/>
      </c>
      <c r="AQ130">
        <f>IFERROR(IF(AZ130&lt;($AM$11-$AL$11)/($AN$11-$AL$11),$AL$11+SQRT(AZ130*($AN$11-$AL$11)*($AM$11-$AL$11)),$AN$11-SQRT((1-AZ130)*($AN$11-$AL$11)*($AN$11-$AM$11))),$AM$11)</f>
        <v/>
      </c>
      <c r="AR130">
        <f>SUMPRODUCT((B24:B31&lt;=$B$6)*(C24:C31*AM130+D24:D31*AO130*$B$8*AQ130)/(1+AL130/100)^B24:B31)+C32*AM130*AP130/(1+AL130/100)^$B$6</f>
        <v/>
      </c>
      <c r="AS130">
        <f>SUMPRODUCT((K24:K26&lt;=$B$6)*(L24:L26*AN130+M24:M26*AO130*$B$8*AQ130)/(1+AL130/100)^K24:K26)+L27*AN130*AP130/(1+AL130/100)^$B$6</f>
        <v/>
      </c>
      <c r="AT130">
        <f>AS130-AR130</f>
        <v/>
      </c>
      <c r="AU130">
        <f>RAND()</f>
        <v/>
      </c>
      <c r="AV130">
        <f>RAND()</f>
        <v/>
      </c>
      <c r="AW130">
        <f>RAND()</f>
        <v/>
      </c>
      <c r="AX130">
        <f>RAND()</f>
        <v/>
      </c>
      <c r="AY130">
        <f>RAND()</f>
        <v/>
      </c>
      <c r="AZ130">
        <f>RAND()</f>
        <v/>
      </c>
    </row>
    <row r="131">
      <c r="A131" s="7" t="inlineStr">
        <is>
          <t>PCC salvage credit</t>
        </is>
      </c>
      <c r="B131" t="inlineStr">
        <is>
          <t>0</t>
        </is>
      </c>
      <c r="C131" t="inlineStr">
        <is>
          <t>policy</t>
        </is>
      </c>
      <c r="D131" s="14">
        <f>(SUMPRODUCT((K24:K26&lt;=$B$6)*(L24:L26*$B$12+M24:M26*$B$10*$B$8*$B$9)/(1+$B$5/100)^K24:K26)+L27*$B$12*0/(1+$B$5/100)^$B$6)-(SUMPRODUCT((B24:B31&lt;=$B$6)*(C24:C31*$B$11+D24:D31*$B$10*$B$8*$B$9)/(1+$B$5/100)^B24:B31)+C32*$B$11*$B$13/(1+$B$5/100)^$B$6)</f>
        <v/>
      </c>
      <c r="E131" s="14">
        <f>$D$44</f>
        <v/>
      </c>
      <c r="F131" s="14">
        <f>ABS(E131-D131)</f>
        <v/>
      </c>
      <c r="G131">
        <f>IF(SIGN(D131)&lt;&gt;SIGN(E131),"YES","no")</f>
        <v/>
      </c>
      <c r="AK131" t="n">
        <v>118</v>
      </c>
      <c r="AL131">
        <f>IFERROR(IF(AU131&lt;($AM$6-$AL$6)/($AN$6-$AL$6),$AL$6+SQRT(AU131*($AN$6-$AL$6)*($AM$6-$AL$6)),$AN$6-SQRT((1-AU131)*($AN$6-$AL$6)*($AN$6-$AM$6))),$AM$6)</f>
        <v/>
      </c>
      <c r="AM131">
        <f>IFERROR(IF(AV131&lt;($AM$7-$AL$7)/($AN$7-$AL$7),$AL$7+SQRT(AV131*($AN$7-$AL$7)*($AM$7-$AL$7)),$AN$7-SQRT((1-AV131)*($AN$7-$AL$7)*($AN$7-$AM$7))),$AM$7)</f>
        <v/>
      </c>
      <c r="AN131">
        <f>IFERROR(IF(AW131&lt;($AM$8-$AL$8)/($AN$8-$AL$8),$AL$8+SQRT(AW131*($AN$8-$AL$8)*($AM$8-$AL$8)),$AN$8-SQRT((1-AW131)*($AN$8-$AL$8)*($AN$8-$AM$8))),$AM$8)</f>
        <v/>
      </c>
      <c r="AO131">
        <f>IFERROR(IF(AX131&lt;($AM$9-$AL$9)/($AN$9-$AL$9),$AL$9+SQRT(AX131*($AN$9-$AL$9)*($AM$9-$AL$9)),$AN$9-SQRT((1-AX131)*($AN$9-$AL$9)*($AN$9-$AM$9))),$AM$9)</f>
        <v/>
      </c>
      <c r="AP131">
        <f>IFERROR(IF(AY131&lt;($AM$10-$AL$10)/($AN$10-$AL$10),$AL$10+SQRT(AY131*($AN$10-$AL$10)*($AM$10-$AL$10)),$AN$10-SQRT((1-AY131)*($AN$10-$AL$10)*($AN$10-$AM$10))),$AM$10)</f>
        <v/>
      </c>
      <c r="AQ131">
        <f>IFERROR(IF(AZ131&lt;($AM$11-$AL$11)/($AN$11-$AL$11),$AL$11+SQRT(AZ131*($AN$11-$AL$11)*($AM$11-$AL$11)),$AN$11-SQRT((1-AZ131)*($AN$11-$AL$11)*($AN$11-$AM$11))),$AM$11)</f>
        <v/>
      </c>
      <c r="AR131">
        <f>SUMPRODUCT((B24:B31&lt;=$B$6)*(C24:C31*AM131+D24:D31*AO131*$B$8*AQ131)/(1+AL131/100)^B24:B31)+C32*AM131*AP131/(1+AL131/100)^$B$6</f>
        <v/>
      </c>
      <c r="AS131">
        <f>SUMPRODUCT((K24:K26&lt;=$B$6)*(L24:L26*AN131+M24:M26*AO131*$B$8*AQ131)/(1+AL131/100)^K24:K26)+L27*AN131*AP131/(1+AL131/100)^$B$6</f>
        <v/>
      </c>
      <c r="AT131">
        <f>AS131-AR131</f>
        <v/>
      </c>
      <c r="AU131">
        <f>RAND()</f>
        <v/>
      </c>
      <c r="AV131">
        <f>RAND()</f>
        <v/>
      </c>
      <c r="AW131">
        <f>RAND()</f>
        <v/>
      </c>
      <c r="AX131">
        <f>RAND()</f>
        <v/>
      </c>
      <c r="AY131">
        <f>RAND()</f>
        <v/>
      </c>
      <c r="AZ131">
        <f>RAND()</f>
        <v/>
      </c>
    </row>
    <row r="132">
      <c r="A132" s="7" t="inlineStr">
        <is>
          <t>HMA salvage credit</t>
        </is>
      </c>
      <c r="B132" t="inlineStr">
        <is>
          <t>0</t>
        </is>
      </c>
      <c r="C132" t="inlineStr">
        <is>
          <t>policy</t>
        </is>
      </c>
      <c r="D132" s="14">
        <f>(SUMPRODUCT((K24:K26&lt;=$B$6)*(L24:L26*$B$12+M24:M26*$B$10*$B$8*$B$9)/(1+$B$5/100)^K24:K26)+L27*$B$12*$B$13/(1+$B$5/100)^$B$6)-(SUMPRODUCT((B24:B31&lt;=$B$6)*(C24:C31*$B$11+D24:D31*$B$10*$B$8*$B$9)/(1+$B$5/100)^B24:B31)+C32*$B$11*0/(1+$B$5/100)^$B$6)</f>
        <v/>
      </c>
      <c r="E132" s="14">
        <f>$D$44</f>
        <v/>
      </c>
      <c r="F132" s="14">
        <f>ABS(E132-D132)</f>
        <v/>
      </c>
      <c r="G132">
        <f>IF(SIGN(D132)&lt;&gt;SIGN(E132),"YES","no")</f>
        <v/>
      </c>
      <c r="AK132" t="n">
        <v>119</v>
      </c>
      <c r="AL132">
        <f>IFERROR(IF(AU132&lt;($AM$6-$AL$6)/($AN$6-$AL$6),$AL$6+SQRT(AU132*($AN$6-$AL$6)*($AM$6-$AL$6)),$AN$6-SQRT((1-AU132)*($AN$6-$AL$6)*($AN$6-$AM$6))),$AM$6)</f>
        <v/>
      </c>
      <c r="AM132">
        <f>IFERROR(IF(AV132&lt;($AM$7-$AL$7)/($AN$7-$AL$7),$AL$7+SQRT(AV132*($AN$7-$AL$7)*($AM$7-$AL$7)),$AN$7-SQRT((1-AV132)*($AN$7-$AL$7)*($AN$7-$AM$7))),$AM$7)</f>
        <v/>
      </c>
      <c r="AN132">
        <f>IFERROR(IF(AW132&lt;($AM$8-$AL$8)/($AN$8-$AL$8),$AL$8+SQRT(AW132*($AN$8-$AL$8)*($AM$8-$AL$8)),$AN$8-SQRT((1-AW132)*($AN$8-$AL$8)*($AN$8-$AM$8))),$AM$8)</f>
        <v/>
      </c>
      <c r="AO132">
        <f>IFERROR(IF(AX132&lt;($AM$9-$AL$9)/($AN$9-$AL$9),$AL$9+SQRT(AX132*($AN$9-$AL$9)*($AM$9-$AL$9)),$AN$9-SQRT((1-AX132)*($AN$9-$AL$9)*($AN$9-$AM$9))),$AM$9)</f>
        <v/>
      </c>
      <c r="AP132">
        <f>IFERROR(IF(AY132&lt;($AM$10-$AL$10)/($AN$10-$AL$10),$AL$10+SQRT(AY132*($AN$10-$AL$10)*($AM$10-$AL$10)),$AN$10-SQRT((1-AY132)*($AN$10-$AL$10)*($AN$10-$AM$10))),$AM$10)</f>
        <v/>
      </c>
      <c r="AQ132">
        <f>IFERROR(IF(AZ132&lt;($AM$11-$AL$11)/($AN$11-$AL$11),$AL$11+SQRT(AZ132*($AN$11-$AL$11)*($AM$11-$AL$11)),$AN$11-SQRT((1-AZ132)*($AN$11-$AL$11)*($AN$11-$AM$11))),$AM$11)</f>
        <v/>
      </c>
      <c r="AR132">
        <f>SUMPRODUCT((B24:B31&lt;=$B$6)*(C24:C31*AM132+D24:D31*AO132*$B$8*AQ132)/(1+AL132/100)^B24:B31)+C32*AM132*AP132/(1+AL132/100)^$B$6</f>
        <v/>
      </c>
      <c r="AS132">
        <f>SUMPRODUCT((K24:K26&lt;=$B$6)*(L24:L26*AN132+M24:M26*AO132*$B$8*AQ132)/(1+AL132/100)^K24:K26)+L27*AN132*AP132/(1+AL132/100)^$B$6</f>
        <v/>
      </c>
      <c r="AT132">
        <f>AS132-AR132</f>
        <v/>
      </c>
      <c r="AU132">
        <f>RAND()</f>
        <v/>
      </c>
      <c r="AV132">
        <f>RAND()</f>
        <v/>
      </c>
      <c r="AW132">
        <f>RAND()</f>
        <v/>
      </c>
      <c r="AX132">
        <f>RAND()</f>
        <v/>
      </c>
      <c r="AY132">
        <f>RAND()</f>
        <v/>
      </c>
      <c r="AZ132">
        <f>RAND()</f>
        <v/>
      </c>
    </row>
    <row r="133">
      <c r="A133" s="7" t="inlineStr">
        <is>
          <t>PCC direct costs</t>
        </is>
      </c>
      <c r="B133" t="inlineStr">
        <is>
          <t>-20%</t>
        </is>
      </c>
      <c r="C133" t="inlineStr">
        <is>
          <t>+20%</t>
        </is>
      </c>
      <c r="D133" s="14">
        <f>(SUMPRODUCT((K24:K26&lt;=$B$6)*(L24:L26*($B$12*0.8)+M24:M26*$B$10*$B$8*$B$9)/(1+$B$5/100)^K24:K26)+L27*($B$12*0.8)*$B$13/(1+$B$5/100)^$B$6)-(SUMPRODUCT((B24:B31&lt;=$B$6)*(C24:C31*$B$11+D24:D31*$B$10*$B$8*$B$9)/(1+$B$5/100)^B24:B31)+C32*$B$11*$B$13/(1+$B$5/100)^$B$6)</f>
        <v/>
      </c>
      <c r="E133" s="14">
        <f>(SUMPRODUCT((K24:K26&lt;=$B$6)*(L24:L26*($B$12*1.2)+M24:M26*$B$10*$B$8*$B$9)/(1+$B$5/100)^K24:K26)+L27*($B$12*1.2)*$B$13/(1+$B$5/100)^$B$6)-(SUMPRODUCT((B24:B31&lt;=$B$6)*(C24:C31*$B$11+D24:D31*$B$10*$B$8*$B$9)/(1+$B$5/100)^B24:B31)+C32*$B$11*$B$13/(1+$B$5/100)^$B$6)</f>
        <v/>
      </c>
      <c r="F133" s="14">
        <f>ABS(E133-D133)</f>
        <v/>
      </c>
      <c r="G133">
        <f>IF(SIGN(D133)&lt;&gt;SIGN(E133),"YES","no")</f>
        <v/>
      </c>
      <c r="AK133" t="n">
        <v>120</v>
      </c>
      <c r="AL133">
        <f>IFERROR(IF(AU133&lt;($AM$6-$AL$6)/($AN$6-$AL$6),$AL$6+SQRT(AU133*($AN$6-$AL$6)*($AM$6-$AL$6)),$AN$6-SQRT((1-AU133)*($AN$6-$AL$6)*($AN$6-$AM$6))),$AM$6)</f>
        <v/>
      </c>
      <c r="AM133">
        <f>IFERROR(IF(AV133&lt;($AM$7-$AL$7)/($AN$7-$AL$7),$AL$7+SQRT(AV133*($AN$7-$AL$7)*($AM$7-$AL$7)),$AN$7-SQRT((1-AV133)*($AN$7-$AL$7)*($AN$7-$AM$7))),$AM$7)</f>
        <v/>
      </c>
      <c r="AN133">
        <f>IFERROR(IF(AW133&lt;($AM$8-$AL$8)/($AN$8-$AL$8),$AL$8+SQRT(AW133*($AN$8-$AL$8)*($AM$8-$AL$8)),$AN$8-SQRT((1-AW133)*($AN$8-$AL$8)*($AN$8-$AM$8))),$AM$8)</f>
        <v/>
      </c>
      <c r="AO133">
        <f>IFERROR(IF(AX133&lt;($AM$9-$AL$9)/($AN$9-$AL$9),$AL$9+SQRT(AX133*($AN$9-$AL$9)*($AM$9-$AL$9)),$AN$9-SQRT((1-AX133)*($AN$9-$AL$9)*($AN$9-$AM$9))),$AM$9)</f>
        <v/>
      </c>
      <c r="AP133">
        <f>IFERROR(IF(AY133&lt;($AM$10-$AL$10)/($AN$10-$AL$10),$AL$10+SQRT(AY133*($AN$10-$AL$10)*($AM$10-$AL$10)),$AN$10-SQRT((1-AY133)*($AN$10-$AL$10)*($AN$10-$AM$10))),$AM$10)</f>
        <v/>
      </c>
      <c r="AQ133">
        <f>IFERROR(IF(AZ133&lt;($AM$11-$AL$11)/($AN$11-$AL$11),$AL$11+SQRT(AZ133*($AN$11-$AL$11)*($AM$11-$AL$11)),$AN$11-SQRT((1-AZ133)*($AN$11-$AL$11)*($AN$11-$AM$11))),$AM$11)</f>
        <v/>
      </c>
      <c r="AR133">
        <f>SUMPRODUCT((B24:B31&lt;=$B$6)*(C24:C31*AM133+D24:D31*AO133*$B$8*AQ133)/(1+AL133/100)^B24:B31)+C32*AM133*AP133/(1+AL133/100)^$B$6</f>
        <v/>
      </c>
      <c r="AS133">
        <f>SUMPRODUCT((K24:K26&lt;=$B$6)*(L24:L26*AN133+M24:M26*AO133*$B$8*AQ133)/(1+AL133/100)^K24:K26)+L27*AN133*AP133/(1+AL133/100)^$B$6</f>
        <v/>
      </c>
      <c r="AT133">
        <f>AS133-AR133</f>
        <v/>
      </c>
      <c r="AU133">
        <f>RAND()</f>
        <v/>
      </c>
      <c r="AV133">
        <f>RAND()</f>
        <v/>
      </c>
      <c r="AW133">
        <f>RAND()</f>
        <v/>
      </c>
      <c r="AX133">
        <f>RAND()</f>
        <v/>
      </c>
      <c r="AY133">
        <f>RAND()</f>
        <v/>
      </c>
      <c r="AZ133">
        <f>RAND()</f>
        <v/>
      </c>
    </row>
    <row r="134">
      <c r="A134" s="7" t="inlineStr">
        <is>
          <t>HMA direct costs</t>
        </is>
      </c>
      <c r="B134" t="inlineStr">
        <is>
          <t>-20%</t>
        </is>
      </c>
      <c r="C134" t="inlineStr">
        <is>
          <t>+20%</t>
        </is>
      </c>
      <c r="D134" s="14">
        <f>(SUMPRODUCT((K24:K26&lt;=$B$6)*(L24:L26*$B$12+M24:M26*$B$10*$B$8*$B$9)/(1+$B$5/100)^K24:K26)+L27*$B$12*$B$13/(1+$B$5/100)^$B$6)-(SUMPRODUCT((B24:B31&lt;=$B$6)*(C24:C31*($B$11*0.8)+D24:D31*$B$10*$B$8*$B$9)/(1+$B$5/100)^B24:B31)+C32*($B$11*0.8)*$B$13/(1+$B$5/100)^$B$6)</f>
        <v/>
      </c>
      <c r="E134" s="14">
        <f>(SUMPRODUCT((K24:K26&lt;=$B$6)*(L24:L26*$B$12+M24:M26*$B$10*$B$8*$B$9)/(1+$B$5/100)^K24:K26)+L27*$B$12*$B$13/(1+$B$5/100)^$B$6)-(SUMPRODUCT((B24:B31&lt;=$B$6)*(C24:C31*($B$11*1.2)+D24:D31*$B$10*$B$8*$B$9)/(1+$B$5/100)^B24:B31)+C32*($B$11*1.2)*$B$13/(1+$B$5/100)^$B$6)</f>
        <v/>
      </c>
      <c r="F134" s="14">
        <f>ABS(E134-D134)</f>
        <v/>
      </c>
      <c r="G134">
        <f>IF(SIGN(D134)&lt;&gt;SIGN(E134),"YES","no")</f>
        <v/>
      </c>
      <c r="AK134" t="n">
        <v>121</v>
      </c>
      <c r="AL134">
        <f>IFERROR(IF(AU134&lt;($AM$6-$AL$6)/($AN$6-$AL$6),$AL$6+SQRT(AU134*($AN$6-$AL$6)*($AM$6-$AL$6)),$AN$6-SQRT((1-AU134)*($AN$6-$AL$6)*($AN$6-$AM$6))),$AM$6)</f>
        <v/>
      </c>
      <c r="AM134">
        <f>IFERROR(IF(AV134&lt;($AM$7-$AL$7)/($AN$7-$AL$7),$AL$7+SQRT(AV134*($AN$7-$AL$7)*($AM$7-$AL$7)),$AN$7-SQRT((1-AV134)*($AN$7-$AL$7)*($AN$7-$AM$7))),$AM$7)</f>
        <v/>
      </c>
      <c r="AN134">
        <f>IFERROR(IF(AW134&lt;($AM$8-$AL$8)/($AN$8-$AL$8),$AL$8+SQRT(AW134*($AN$8-$AL$8)*($AM$8-$AL$8)),$AN$8-SQRT((1-AW134)*($AN$8-$AL$8)*($AN$8-$AM$8))),$AM$8)</f>
        <v/>
      </c>
      <c r="AO134">
        <f>IFERROR(IF(AX134&lt;($AM$9-$AL$9)/($AN$9-$AL$9),$AL$9+SQRT(AX134*($AN$9-$AL$9)*($AM$9-$AL$9)),$AN$9-SQRT((1-AX134)*($AN$9-$AL$9)*($AN$9-$AM$9))),$AM$9)</f>
        <v/>
      </c>
      <c r="AP134">
        <f>IFERROR(IF(AY134&lt;($AM$10-$AL$10)/($AN$10-$AL$10),$AL$10+SQRT(AY134*($AN$10-$AL$10)*($AM$10-$AL$10)),$AN$10-SQRT((1-AY134)*($AN$10-$AL$10)*($AN$10-$AM$10))),$AM$10)</f>
        <v/>
      </c>
      <c r="AQ134">
        <f>IFERROR(IF(AZ134&lt;($AM$11-$AL$11)/($AN$11-$AL$11),$AL$11+SQRT(AZ134*($AN$11-$AL$11)*($AM$11-$AL$11)),$AN$11-SQRT((1-AZ134)*($AN$11-$AL$11)*($AN$11-$AM$11))),$AM$11)</f>
        <v/>
      </c>
      <c r="AR134">
        <f>SUMPRODUCT((B24:B31&lt;=$B$6)*(C24:C31*AM134+D24:D31*AO134*$B$8*AQ134)/(1+AL134/100)^B24:B31)+C32*AM134*AP134/(1+AL134/100)^$B$6</f>
        <v/>
      </c>
      <c r="AS134">
        <f>SUMPRODUCT((K24:K26&lt;=$B$6)*(L24:L26*AN134+M24:M26*AO134*$B$8*AQ134)/(1+AL134/100)^K24:K26)+L27*AN134*AP134/(1+AL134/100)^$B$6</f>
        <v/>
      </c>
      <c r="AT134">
        <f>AS134-AR134</f>
        <v/>
      </c>
      <c r="AU134">
        <f>RAND()</f>
        <v/>
      </c>
      <c r="AV134">
        <f>RAND()</f>
        <v/>
      </c>
      <c r="AW134">
        <f>RAND()</f>
        <v/>
      </c>
      <c r="AX134">
        <f>RAND()</f>
        <v/>
      </c>
      <c r="AY134">
        <f>RAND()</f>
        <v/>
      </c>
      <c r="AZ134">
        <f>RAND()</f>
        <v/>
      </c>
    </row>
    <row r="135">
      <c r="A135" s="7" t="inlineStr">
        <is>
          <t>Closure durations</t>
        </is>
      </c>
      <c r="B135" t="inlineStr">
        <is>
          <t>x0.5</t>
        </is>
      </c>
      <c r="C135" t="inlineStr">
        <is>
          <t>x2</t>
        </is>
      </c>
      <c r="D135" s="14">
        <f>(SUMPRODUCT((K24:K26&lt;=$B$6)*(L24:L26*$B$12+M24:M26*($B$10*0.5)*$B$8*$B$9)/(1+$B$5/100)^K24:K26)+L27*$B$12*$B$13/(1+$B$5/100)^$B$6)-(SUMPRODUCT((B24:B31&lt;=$B$6)*(C24:C31*$B$11+D24:D31*($B$10*0.5)*$B$8*$B$9)/(1+$B$5/100)^B24:B31)+C32*$B$11*$B$13/(1+$B$5/100)^$B$6)</f>
        <v/>
      </c>
      <c r="E135" s="14">
        <f>(SUMPRODUCT((K24:K26&lt;=$B$6)*(L24:L26*$B$12+M24:M26*($B$10*2)*$B$8*$B$9)/(1+$B$5/100)^K24:K26)+L27*$B$12*$B$13/(1+$B$5/100)^$B$6)-(SUMPRODUCT((B24:B31&lt;=$B$6)*(C24:C31*$B$11+D24:D31*($B$10*2)*$B$8*$B$9)/(1+$B$5/100)^B24:B31)+C32*$B$11*$B$13/(1+$B$5/100)^$B$6)</f>
        <v/>
      </c>
      <c r="F135" s="14">
        <f>ABS(E135-D135)</f>
        <v/>
      </c>
      <c r="G135">
        <f>IF(SIGN(D135)&lt;&gt;SIGN(E135),"YES","no")</f>
        <v/>
      </c>
      <c r="AK135" t="n">
        <v>122</v>
      </c>
      <c r="AL135">
        <f>IFERROR(IF(AU135&lt;($AM$6-$AL$6)/($AN$6-$AL$6),$AL$6+SQRT(AU135*($AN$6-$AL$6)*($AM$6-$AL$6)),$AN$6-SQRT((1-AU135)*($AN$6-$AL$6)*($AN$6-$AM$6))),$AM$6)</f>
        <v/>
      </c>
      <c r="AM135">
        <f>IFERROR(IF(AV135&lt;($AM$7-$AL$7)/($AN$7-$AL$7),$AL$7+SQRT(AV135*($AN$7-$AL$7)*($AM$7-$AL$7)),$AN$7-SQRT((1-AV135)*($AN$7-$AL$7)*($AN$7-$AM$7))),$AM$7)</f>
        <v/>
      </c>
      <c r="AN135">
        <f>IFERROR(IF(AW135&lt;($AM$8-$AL$8)/($AN$8-$AL$8),$AL$8+SQRT(AW135*($AN$8-$AL$8)*($AM$8-$AL$8)),$AN$8-SQRT((1-AW135)*($AN$8-$AL$8)*($AN$8-$AM$8))),$AM$8)</f>
        <v/>
      </c>
      <c r="AO135">
        <f>IFERROR(IF(AX135&lt;($AM$9-$AL$9)/($AN$9-$AL$9),$AL$9+SQRT(AX135*($AN$9-$AL$9)*($AM$9-$AL$9)),$AN$9-SQRT((1-AX135)*($AN$9-$AL$9)*($AN$9-$AM$9))),$AM$9)</f>
        <v/>
      </c>
      <c r="AP135">
        <f>IFERROR(IF(AY135&lt;($AM$10-$AL$10)/($AN$10-$AL$10),$AL$10+SQRT(AY135*($AN$10-$AL$10)*($AM$10-$AL$10)),$AN$10-SQRT((1-AY135)*($AN$10-$AL$10)*($AN$10-$AM$10))),$AM$10)</f>
        <v/>
      </c>
      <c r="AQ135">
        <f>IFERROR(IF(AZ135&lt;($AM$11-$AL$11)/($AN$11-$AL$11),$AL$11+SQRT(AZ135*($AN$11-$AL$11)*($AM$11-$AL$11)),$AN$11-SQRT((1-AZ135)*($AN$11-$AL$11)*($AN$11-$AM$11))),$AM$11)</f>
        <v/>
      </c>
      <c r="AR135">
        <f>SUMPRODUCT((B24:B31&lt;=$B$6)*(C24:C31*AM135+D24:D31*AO135*$B$8*AQ135)/(1+AL135/100)^B24:B31)+C32*AM135*AP135/(1+AL135/100)^$B$6</f>
        <v/>
      </c>
      <c r="AS135">
        <f>SUMPRODUCT((K24:K26&lt;=$B$6)*(L24:L26*AN135+M24:M26*AO135*$B$8*AQ135)/(1+AL135/100)^K24:K26)+L27*AN135*AP135/(1+AL135/100)^$B$6</f>
        <v/>
      </c>
      <c r="AT135">
        <f>AS135-AR135</f>
        <v/>
      </c>
      <c r="AU135">
        <f>RAND()</f>
        <v/>
      </c>
      <c r="AV135">
        <f>RAND()</f>
        <v/>
      </c>
      <c r="AW135">
        <f>RAND()</f>
        <v/>
      </c>
      <c r="AX135">
        <f>RAND()</f>
        <v/>
      </c>
      <c r="AY135">
        <f>RAND()</f>
        <v/>
      </c>
      <c r="AZ135">
        <f>RAND()</f>
        <v/>
      </c>
    </row>
    <row r="136">
      <c r="A136" s="7" t="inlineStr">
        <is>
          <t>Lost revenue</t>
        </is>
      </c>
      <c r="B136" t="inlineStr">
        <is>
          <t>excluded</t>
        </is>
      </c>
      <c r="C136" t="inlineStr">
        <is>
          <t>included</t>
        </is>
      </c>
      <c r="D136" s="14">
        <f>(SUMPRODUCT((K24:K26&lt;=$B$6)*(L24:L26*$B$12+M24:M26*$B$10*$B$8*0)/(1+$B$5/100)^K24:K26)+L27*$B$12*$B$13/(1+$B$5/100)^$B$6)-(SUMPRODUCT((B24:B31&lt;=$B$6)*(C24:C31*$B$11+D24:D31*$B$10*$B$8*0)/(1+$B$5/100)^B24:B31)+C32*$B$11*$B$13/(1+$B$5/100)^$B$6)</f>
        <v/>
      </c>
      <c r="E136" s="14">
        <f>$D$44</f>
        <v/>
      </c>
      <c r="F136" s="14">
        <f>ABS(E136-D136)</f>
        <v/>
      </c>
      <c r="G136">
        <f>IF(SIGN(D136)&lt;&gt;SIGN(E136),"YES","no")</f>
        <v/>
      </c>
      <c r="AK136" t="n">
        <v>123</v>
      </c>
      <c r="AL136">
        <f>IFERROR(IF(AU136&lt;($AM$6-$AL$6)/($AN$6-$AL$6),$AL$6+SQRT(AU136*($AN$6-$AL$6)*($AM$6-$AL$6)),$AN$6-SQRT((1-AU136)*($AN$6-$AL$6)*($AN$6-$AM$6))),$AM$6)</f>
        <v/>
      </c>
      <c r="AM136">
        <f>IFERROR(IF(AV136&lt;($AM$7-$AL$7)/($AN$7-$AL$7),$AL$7+SQRT(AV136*($AN$7-$AL$7)*($AM$7-$AL$7)),$AN$7-SQRT((1-AV136)*($AN$7-$AL$7)*($AN$7-$AM$7))),$AM$7)</f>
        <v/>
      </c>
      <c r="AN136">
        <f>IFERROR(IF(AW136&lt;($AM$8-$AL$8)/($AN$8-$AL$8),$AL$8+SQRT(AW136*($AN$8-$AL$8)*($AM$8-$AL$8)),$AN$8-SQRT((1-AW136)*($AN$8-$AL$8)*($AN$8-$AM$8))),$AM$8)</f>
        <v/>
      </c>
      <c r="AO136">
        <f>IFERROR(IF(AX136&lt;($AM$9-$AL$9)/($AN$9-$AL$9),$AL$9+SQRT(AX136*($AN$9-$AL$9)*($AM$9-$AL$9)),$AN$9-SQRT((1-AX136)*($AN$9-$AL$9)*($AN$9-$AM$9))),$AM$9)</f>
        <v/>
      </c>
      <c r="AP136">
        <f>IFERROR(IF(AY136&lt;($AM$10-$AL$10)/($AN$10-$AL$10),$AL$10+SQRT(AY136*($AN$10-$AL$10)*($AM$10-$AL$10)),$AN$10-SQRT((1-AY136)*($AN$10-$AL$10)*($AN$10-$AM$10))),$AM$10)</f>
        <v/>
      </c>
      <c r="AQ136">
        <f>IFERROR(IF(AZ136&lt;($AM$11-$AL$11)/($AN$11-$AL$11),$AL$11+SQRT(AZ136*($AN$11-$AL$11)*($AM$11-$AL$11)),$AN$11-SQRT((1-AZ136)*($AN$11-$AL$11)*($AN$11-$AM$11))),$AM$11)</f>
        <v/>
      </c>
      <c r="AR136">
        <f>SUMPRODUCT((B24:B31&lt;=$B$6)*(C24:C31*AM136+D24:D31*AO136*$B$8*AQ136)/(1+AL136/100)^B24:B31)+C32*AM136*AP136/(1+AL136/100)^$B$6</f>
        <v/>
      </c>
      <c r="AS136">
        <f>SUMPRODUCT((K24:K26&lt;=$B$6)*(L24:L26*AN136+M24:M26*AO136*$B$8*AQ136)/(1+AL136/100)^K24:K26)+L27*AN136*AP136/(1+AL136/100)^$B$6</f>
        <v/>
      </c>
      <c r="AT136">
        <f>AS136-AR136</f>
        <v/>
      </c>
      <c r="AU136">
        <f>RAND()</f>
        <v/>
      </c>
      <c r="AV136">
        <f>RAND()</f>
        <v/>
      </c>
      <c r="AW136">
        <f>RAND()</f>
        <v/>
      </c>
      <c r="AX136">
        <f>RAND()</f>
        <v/>
      </c>
      <c r="AY136">
        <f>RAND()</f>
        <v/>
      </c>
      <c r="AZ136">
        <f>RAND()</f>
        <v/>
      </c>
    </row>
    <row r="137">
      <c r="A137" s="7" t="inlineStr">
        <is>
          <t>Analysis period</t>
        </is>
      </c>
      <c r="B137" t="inlineStr">
        <is>
          <t>20 yr (FAA)</t>
        </is>
      </c>
      <c r="C137" t="inlineStr">
        <is>
          <t>30 yr</t>
        </is>
      </c>
      <c r="D137" s="14">
        <f>(SUMPRODUCT((K24:K26&lt;=20)*(L24:L26*$B$12+M24:M26*$B$10*$B$8*$B$9)/(1+$B$5/100)^K24:K26)+L27*$B$12*$B$13/(1+$B$5/100)^20)-(SUMPRODUCT((B24:B31&lt;=20)*(C24:C31*$B$11+D24:D31*$B$10*$B$8*$B$9)/(1+$B$5/100)^B24:B31)+C32*$B$11*$B$13/(1+$B$5/100)^20)</f>
        <v/>
      </c>
      <c r="E137" s="14">
        <f>$D$44</f>
        <v/>
      </c>
      <c r="F137" s="14">
        <f>ABS(E137-D137)</f>
        <v/>
      </c>
      <c r="G137">
        <f>IF(SIGN(D137)&lt;&gt;SIGN(E137),"YES","no")</f>
        <v/>
      </c>
      <c r="AK137" t="n">
        <v>124</v>
      </c>
      <c r="AL137">
        <f>IFERROR(IF(AU137&lt;($AM$6-$AL$6)/($AN$6-$AL$6),$AL$6+SQRT(AU137*($AN$6-$AL$6)*($AM$6-$AL$6)),$AN$6-SQRT((1-AU137)*($AN$6-$AL$6)*($AN$6-$AM$6))),$AM$6)</f>
        <v/>
      </c>
      <c r="AM137">
        <f>IFERROR(IF(AV137&lt;($AM$7-$AL$7)/($AN$7-$AL$7),$AL$7+SQRT(AV137*($AN$7-$AL$7)*($AM$7-$AL$7)),$AN$7-SQRT((1-AV137)*($AN$7-$AL$7)*($AN$7-$AM$7))),$AM$7)</f>
        <v/>
      </c>
      <c r="AN137">
        <f>IFERROR(IF(AW137&lt;($AM$8-$AL$8)/($AN$8-$AL$8),$AL$8+SQRT(AW137*($AN$8-$AL$8)*($AM$8-$AL$8)),$AN$8-SQRT((1-AW137)*($AN$8-$AL$8)*($AN$8-$AM$8))),$AM$8)</f>
        <v/>
      </c>
      <c r="AO137">
        <f>IFERROR(IF(AX137&lt;($AM$9-$AL$9)/($AN$9-$AL$9),$AL$9+SQRT(AX137*($AN$9-$AL$9)*($AM$9-$AL$9)),$AN$9-SQRT((1-AX137)*($AN$9-$AL$9)*($AN$9-$AM$9))),$AM$9)</f>
        <v/>
      </c>
      <c r="AP137">
        <f>IFERROR(IF(AY137&lt;($AM$10-$AL$10)/($AN$10-$AL$10),$AL$10+SQRT(AY137*($AN$10-$AL$10)*($AM$10-$AL$10)),$AN$10-SQRT((1-AY137)*($AN$10-$AL$10)*($AN$10-$AM$10))),$AM$10)</f>
        <v/>
      </c>
      <c r="AQ137">
        <f>IFERROR(IF(AZ137&lt;($AM$11-$AL$11)/($AN$11-$AL$11),$AL$11+SQRT(AZ137*($AN$11-$AL$11)*($AM$11-$AL$11)),$AN$11-SQRT((1-AZ137)*($AN$11-$AL$11)*($AN$11-$AM$11))),$AM$11)</f>
        <v/>
      </c>
      <c r="AR137">
        <f>SUMPRODUCT((B24:B31&lt;=$B$6)*(C24:C31*AM137+D24:D31*AO137*$B$8*AQ137)/(1+AL137/100)^B24:B31)+C32*AM137*AP137/(1+AL137/100)^$B$6</f>
        <v/>
      </c>
      <c r="AS137">
        <f>SUMPRODUCT((K24:K26&lt;=$B$6)*(L24:L26*AN137+M24:M26*AO137*$B$8*AQ137)/(1+AL137/100)^K24:K26)+L27*AN137*AP137/(1+AL137/100)^$B$6</f>
        <v/>
      </c>
      <c r="AT137">
        <f>AS137-AR137</f>
        <v/>
      </c>
      <c r="AU137">
        <f>RAND()</f>
        <v/>
      </c>
      <c r="AV137">
        <f>RAND()</f>
        <v/>
      </c>
      <c r="AW137">
        <f>RAND()</f>
        <v/>
      </c>
      <c r="AX137">
        <f>RAND()</f>
        <v/>
      </c>
      <c r="AY137">
        <f>RAND()</f>
        <v/>
      </c>
      <c r="AZ137">
        <f>RAND()</f>
        <v/>
      </c>
    </row>
    <row r="138">
      <c r="A138" s="7" t="inlineStr">
        <is>
          <t>Base case PCC - HMA</t>
        </is>
      </c>
      <c r="D138" s="14">
        <f>$D$44</f>
        <v/>
      </c>
      <c r="AK138" t="n">
        <v>125</v>
      </c>
      <c r="AL138">
        <f>IFERROR(IF(AU138&lt;($AM$6-$AL$6)/($AN$6-$AL$6),$AL$6+SQRT(AU138*($AN$6-$AL$6)*($AM$6-$AL$6)),$AN$6-SQRT((1-AU138)*($AN$6-$AL$6)*($AN$6-$AM$6))),$AM$6)</f>
        <v/>
      </c>
      <c r="AM138">
        <f>IFERROR(IF(AV138&lt;($AM$7-$AL$7)/($AN$7-$AL$7),$AL$7+SQRT(AV138*($AN$7-$AL$7)*($AM$7-$AL$7)),$AN$7-SQRT((1-AV138)*($AN$7-$AL$7)*($AN$7-$AM$7))),$AM$7)</f>
        <v/>
      </c>
      <c r="AN138">
        <f>IFERROR(IF(AW138&lt;($AM$8-$AL$8)/($AN$8-$AL$8),$AL$8+SQRT(AW138*($AN$8-$AL$8)*($AM$8-$AL$8)),$AN$8-SQRT((1-AW138)*($AN$8-$AL$8)*($AN$8-$AM$8))),$AM$8)</f>
        <v/>
      </c>
      <c r="AO138">
        <f>IFERROR(IF(AX138&lt;($AM$9-$AL$9)/($AN$9-$AL$9),$AL$9+SQRT(AX138*($AN$9-$AL$9)*($AM$9-$AL$9)),$AN$9-SQRT((1-AX138)*($AN$9-$AL$9)*($AN$9-$AM$9))),$AM$9)</f>
        <v/>
      </c>
      <c r="AP138">
        <f>IFERROR(IF(AY138&lt;($AM$10-$AL$10)/($AN$10-$AL$10),$AL$10+SQRT(AY138*($AN$10-$AL$10)*($AM$10-$AL$10)),$AN$10-SQRT((1-AY138)*($AN$10-$AL$10)*($AN$10-$AM$10))),$AM$10)</f>
        <v/>
      </c>
      <c r="AQ138">
        <f>IFERROR(IF(AZ138&lt;($AM$11-$AL$11)/($AN$11-$AL$11),$AL$11+SQRT(AZ138*($AN$11-$AL$11)*($AM$11-$AL$11)),$AN$11-SQRT((1-AZ138)*($AN$11-$AL$11)*($AN$11-$AM$11))),$AM$11)</f>
        <v/>
      </c>
      <c r="AR138">
        <f>SUMPRODUCT((B24:B31&lt;=$B$6)*(C24:C31*AM138+D24:D31*AO138*$B$8*AQ138)/(1+AL138/100)^B24:B31)+C32*AM138*AP138/(1+AL138/100)^$B$6</f>
        <v/>
      </c>
      <c r="AS138">
        <f>SUMPRODUCT((K24:K26&lt;=$B$6)*(L24:L26*AN138+M24:M26*AO138*$B$8*AQ138)/(1+AL138/100)^K24:K26)+L27*AN138*AP138/(1+AL138/100)^$B$6</f>
        <v/>
      </c>
      <c r="AT138">
        <f>AS138-AR138</f>
        <v/>
      </c>
      <c r="AU138">
        <f>RAND()</f>
        <v/>
      </c>
      <c r="AV138">
        <f>RAND()</f>
        <v/>
      </c>
      <c r="AW138">
        <f>RAND()</f>
        <v/>
      </c>
      <c r="AX138">
        <f>RAND()</f>
        <v/>
      </c>
      <c r="AY138">
        <f>RAND()</f>
        <v/>
      </c>
      <c r="AZ138">
        <f>RAND()</f>
        <v/>
      </c>
    </row>
    <row r="139">
      <c r="AK139" t="n">
        <v>126</v>
      </c>
      <c r="AL139">
        <f>IFERROR(IF(AU139&lt;($AM$6-$AL$6)/($AN$6-$AL$6),$AL$6+SQRT(AU139*($AN$6-$AL$6)*($AM$6-$AL$6)),$AN$6-SQRT((1-AU139)*($AN$6-$AL$6)*($AN$6-$AM$6))),$AM$6)</f>
        <v/>
      </c>
      <c r="AM139">
        <f>IFERROR(IF(AV139&lt;($AM$7-$AL$7)/($AN$7-$AL$7),$AL$7+SQRT(AV139*($AN$7-$AL$7)*($AM$7-$AL$7)),$AN$7-SQRT((1-AV139)*($AN$7-$AL$7)*($AN$7-$AM$7))),$AM$7)</f>
        <v/>
      </c>
      <c r="AN139">
        <f>IFERROR(IF(AW139&lt;($AM$8-$AL$8)/($AN$8-$AL$8),$AL$8+SQRT(AW139*($AN$8-$AL$8)*($AM$8-$AL$8)),$AN$8-SQRT((1-AW139)*($AN$8-$AL$8)*($AN$8-$AM$8))),$AM$8)</f>
        <v/>
      </c>
      <c r="AO139">
        <f>IFERROR(IF(AX139&lt;($AM$9-$AL$9)/($AN$9-$AL$9),$AL$9+SQRT(AX139*($AN$9-$AL$9)*($AM$9-$AL$9)),$AN$9-SQRT((1-AX139)*($AN$9-$AL$9)*($AN$9-$AM$9))),$AM$9)</f>
        <v/>
      </c>
      <c r="AP139">
        <f>IFERROR(IF(AY139&lt;($AM$10-$AL$10)/($AN$10-$AL$10),$AL$10+SQRT(AY139*($AN$10-$AL$10)*($AM$10-$AL$10)),$AN$10-SQRT((1-AY139)*($AN$10-$AL$10)*($AN$10-$AM$10))),$AM$10)</f>
        <v/>
      </c>
      <c r="AQ139">
        <f>IFERROR(IF(AZ139&lt;($AM$11-$AL$11)/($AN$11-$AL$11),$AL$11+SQRT(AZ139*($AN$11-$AL$11)*($AM$11-$AL$11)),$AN$11-SQRT((1-AZ139)*($AN$11-$AL$11)*($AN$11-$AM$11))),$AM$11)</f>
        <v/>
      </c>
      <c r="AR139">
        <f>SUMPRODUCT((B24:B31&lt;=$B$6)*(C24:C31*AM139+D24:D31*AO139*$B$8*AQ139)/(1+AL139/100)^B24:B31)+C32*AM139*AP139/(1+AL139/100)^$B$6</f>
        <v/>
      </c>
      <c r="AS139">
        <f>SUMPRODUCT((K24:K26&lt;=$B$6)*(L24:L26*AN139+M24:M26*AO139*$B$8*AQ139)/(1+AL139/100)^K24:K26)+L27*AN139*AP139/(1+AL139/100)^$B$6</f>
        <v/>
      </c>
      <c r="AT139">
        <f>AS139-AR139</f>
        <v/>
      </c>
      <c r="AU139">
        <f>RAND()</f>
        <v/>
      </c>
      <c r="AV139">
        <f>RAND()</f>
        <v/>
      </c>
      <c r="AW139">
        <f>RAND()</f>
        <v/>
      </c>
      <c r="AX139">
        <f>RAND()</f>
        <v/>
      </c>
      <c r="AY139">
        <f>RAND()</f>
        <v/>
      </c>
      <c r="AZ139">
        <f>RAND()</f>
        <v/>
      </c>
    </row>
    <row r="140">
      <c r="AK140" t="n">
        <v>127</v>
      </c>
      <c r="AL140">
        <f>IFERROR(IF(AU140&lt;($AM$6-$AL$6)/($AN$6-$AL$6),$AL$6+SQRT(AU140*($AN$6-$AL$6)*($AM$6-$AL$6)),$AN$6-SQRT((1-AU140)*($AN$6-$AL$6)*($AN$6-$AM$6))),$AM$6)</f>
        <v/>
      </c>
      <c r="AM140">
        <f>IFERROR(IF(AV140&lt;($AM$7-$AL$7)/($AN$7-$AL$7),$AL$7+SQRT(AV140*($AN$7-$AL$7)*($AM$7-$AL$7)),$AN$7-SQRT((1-AV140)*($AN$7-$AL$7)*($AN$7-$AM$7))),$AM$7)</f>
        <v/>
      </c>
      <c r="AN140">
        <f>IFERROR(IF(AW140&lt;($AM$8-$AL$8)/($AN$8-$AL$8),$AL$8+SQRT(AW140*($AN$8-$AL$8)*($AM$8-$AL$8)),$AN$8-SQRT((1-AW140)*($AN$8-$AL$8)*($AN$8-$AM$8))),$AM$8)</f>
        <v/>
      </c>
      <c r="AO140">
        <f>IFERROR(IF(AX140&lt;($AM$9-$AL$9)/($AN$9-$AL$9),$AL$9+SQRT(AX140*($AN$9-$AL$9)*($AM$9-$AL$9)),$AN$9-SQRT((1-AX140)*($AN$9-$AL$9)*($AN$9-$AM$9))),$AM$9)</f>
        <v/>
      </c>
      <c r="AP140">
        <f>IFERROR(IF(AY140&lt;($AM$10-$AL$10)/($AN$10-$AL$10),$AL$10+SQRT(AY140*($AN$10-$AL$10)*($AM$10-$AL$10)),$AN$10-SQRT((1-AY140)*($AN$10-$AL$10)*($AN$10-$AM$10))),$AM$10)</f>
        <v/>
      </c>
      <c r="AQ140">
        <f>IFERROR(IF(AZ140&lt;($AM$11-$AL$11)/($AN$11-$AL$11),$AL$11+SQRT(AZ140*($AN$11-$AL$11)*($AM$11-$AL$11)),$AN$11-SQRT((1-AZ140)*($AN$11-$AL$11)*($AN$11-$AM$11))),$AM$11)</f>
        <v/>
      </c>
      <c r="AR140">
        <f>SUMPRODUCT((B24:B31&lt;=$B$6)*(C24:C31*AM140+D24:D31*AO140*$B$8*AQ140)/(1+AL140/100)^B24:B31)+C32*AM140*AP140/(1+AL140/100)^$B$6</f>
        <v/>
      </c>
      <c r="AS140">
        <f>SUMPRODUCT((K24:K26&lt;=$B$6)*(L24:L26*AN140+M24:M26*AO140*$B$8*AQ140)/(1+AL140/100)^K24:K26)+L27*AN140*AP140/(1+AL140/100)^$B$6</f>
        <v/>
      </c>
      <c r="AT140">
        <f>AS140-AR140</f>
        <v/>
      </c>
      <c r="AU140">
        <f>RAND()</f>
        <v/>
      </c>
      <c r="AV140">
        <f>RAND()</f>
        <v/>
      </c>
      <c r="AW140">
        <f>RAND()</f>
        <v/>
      </c>
      <c r="AX140">
        <f>RAND()</f>
        <v/>
      </c>
      <c r="AY140">
        <f>RAND()</f>
        <v/>
      </c>
      <c r="AZ140">
        <f>RAND()</f>
        <v/>
      </c>
    </row>
    <row r="141">
      <c r="A141" s="4" t="inlineStr">
        <is>
          <t>SCENARIO SCORECARD</t>
        </is>
      </c>
      <c r="AK141" t="n">
        <v>128</v>
      </c>
      <c r="AL141">
        <f>IFERROR(IF(AU141&lt;($AM$6-$AL$6)/($AN$6-$AL$6),$AL$6+SQRT(AU141*($AN$6-$AL$6)*($AM$6-$AL$6)),$AN$6-SQRT((1-AU141)*($AN$6-$AL$6)*($AN$6-$AM$6))),$AM$6)</f>
        <v/>
      </c>
      <c r="AM141">
        <f>IFERROR(IF(AV141&lt;($AM$7-$AL$7)/($AN$7-$AL$7),$AL$7+SQRT(AV141*($AN$7-$AL$7)*($AM$7-$AL$7)),$AN$7-SQRT((1-AV141)*($AN$7-$AL$7)*($AN$7-$AM$7))),$AM$7)</f>
        <v/>
      </c>
      <c r="AN141">
        <f>IFERROR(IF(AW141&lt;($AM$8-$AL$8)/($AN$8-$AL$8),$AL$8+SQRT(AW141*($AN$8-$AL$8)*($AM$8-$AL$8)),$AN$8-SQRT((1-AW141)*($AN$8-$AL$8)*($AN$8-$AM$8))),$AM$8)</f>
        <v/>
      </c>
      <c r="AO141">
        <f>IFERROR(IF(AX141&lt;($AM$9-$AL$9)/($AN$9-$AL$9),$AL$9+SQRT(AX141*($AN$9-$AL$9)*($AM$9-$AL$9)),$AN$9-SQRT((1-AX141)*($AN$9-$AL$9)*($AN$9-$AM$9))),$AM$9)</f>
        <v/>
      </c>
      <c r="AP141">
        <f>IFERROR(IF(AY141&lt;($AM$10-$AL$10)/($AN$10-$AL$10),$AL$10+SQRT(AY141*($AN$10-$AL$10)*($AM$10-$AL$10)),$AN$10-SQRT((1-AY141)*($AN$10-$AL$10)*($AN$10-$AM$10))),$AM$10)</f>
        <v/>
      </c>
      <c r="AQ141">
        <f>IFERROR(IF(AZ141&lt;($AM$11-$AL$11)/($AN$11-$AL$11),$AL$11+SQRT(AZ141*($AN$11-$AL$11)*($AM$11-$AL$11)),$AN$11-SQRT((1-AZ141)*($AN$11-$AL$11)*($AN$11-$AM$11))),$AM$11)</f>
        <v/>
      </c>
      <c r="AR141">
        <f>SUMPRODUCT((B24:B31&lt;=$B$6)*(C24:C31*AM141+D24:D31*AO141*$B$8*AQ141)/(1+AL141/100)^B24:B31)+C32*AM141*AP141/(1+AL141/100)^$B$6</f>
        <v/>
      </c>
      <c r="AS141">
        <f>SUMPRODUCT((K24:K26&lt;=$B$6)*(L24:L26*AN141+M24:M26*AO141*$B$8*AQ141)/(1+AL141/100)^K24:K26)+L27*AN141*AP141/(1+AL141/100)^$B$6</f>
        <v/>
      </c>
      <c r="AT141">
        <f>AS141-AR141</f>
        <v/>
      </c>
      <c r="AU141">
        <f>RAND()</f>
        <v/>
      </c>
      <c r="AV141">
        <f>RAND()</f>
        <v/>
      </c>
      <c r="AW141">
        <f>RAND()</f>
        <v/>
      </c>
      <c r="AX141">
        <f>RAND()</f>
        <v/>
      </c>
      <c r="AY141">
        <f>RAND()</f>
        <v/>
      </c>
      <c r="AZ141">
        <f>RAND()</f>
        <v/>
      </c>
    </row>
    <row r="142">
      <c r="A142" s="6" t="inlineStr">
        <is>
          <t>Scenario</t>
        </is>
      </c>
      <c r="B142" s="6" t="inlineStr">
        <is>
          <t>Rate %</t>
        </is>
      </c>
      <c r="C142" s="6" t="inlineStr">
        <is>
          <t>Period</t>
        </is>
      </c>
      <c r="D142" s="6" t="inlineStr">
        <is>
          <t>HMA cost x</t>
        </is>
      </c>
      <c r="E142" s="6" t="inlineStr">
        <is>
          <t>PCC cost x</t>
        </is>
      </c>
      <c r="F142" s="6" t="inlineStr">
        <is>
          <t>Closure x</t>
        </is>
      </c>
      <c r="G142" s="6" t="inlineStr">
        <is>
          <t>Salvage x</t>
        </is>
      </c>
      <c r="H142" s="6" t="inlineStr">
        <is>
          <t>Revenue share lost</t>
        </is>
      </c>
      <c r="I142" s="6" t="inlineStr">
        <is>
          <t>NPW HMA</t>
        </is>
      </c>
      <c r="J142" s="6" t="inlineStr">
        <is>
          <t>NPW PCC</t>
        </is>
      </c>
      <c r="K142" s="6" t="inlineStr">
        <is>
          <t>PCC - HMA</t>
        </is>
      </c>
      <c r="L142" s="6" t="inlineStr">
        <is>
          <t>Winner</t>
        </is>
      </c>
      <c r="AK142" t="n">
        <v>129</v>
      </c>
      <c r="AL142">
        <f>IFERROR(IF(AU142&lt;($AM$6-$AL$6)/($AN$6-$AL$6),$AL$6+SQRT(AU142*($AN$6-$AL$6)*($AM$6-$AL$6)),$AN$6-SQRT((1-AU142)*($AN$6-$AL$6)*($AN$6-$AM$6))),$AM$6)</f>
        <v/>
      </c>
      <c r="AM142">
        <f>IFERROR(IF(AV142&lt;($AM$7-$AL$7)/($AN$7-$AL$7),$AL$7+SQRT(AV142*($AN$7-$AL$7)*($AM$7-$AL$7)),$AN$7-SQRT((1-AV142)*($AN$7-$AL$7)*($AN$7-$AM$7))),$AM$7)</f>
        <v/>
      </c>
      <c r="AN142">
        <f>IFERROR(IF(AW142&lt;($AM$8-$AL$8)/($AN$8-$AL$8),$AL$8+SQRT(AW142*($AN$8-$AL$8)*($AM$8-$AL$8)),$AN$8-SQRT((1-AW142)*($AN$8-$AL$8)*($AN$8-$AM$8))),$AM$8)</f>
        <v/>
      </c>
      <c r="AO142">
        <f>IFERROR(IF(AX142&lt;($AM$9-$AL$9)/($AN$9-$AL$9),$AL$9+SQRT(AX142*($AN$9-$AL$9)*($AM$9-$AL$9)),$AN$9-SQRT((1-AX142)*($AN$9-$AL$9)*($AN$9-$AM$9))),$AM$9)</f>
        <v/>
      </c>
      <c r="AP142">
        <f>IFERROR(IF(AY142&lt;($AM$10-$AL$10)/($AN$10-$AL$10),$AL$10+SQRT(AY142*($AN$10-$AL$10)*($AM$10-$AL$10)),$AN$10-SQRT((1-AY142)*($AN$10-$AL$10)*($AN$10-$AM$10))),$AM$10)</f>
        <v/>
      </c>
      <c r="AQ142">
        <f>IFERROR(IF(AZ142&lt;($AM$11-$AL$11)/($AN$11-$AL$11),$AL$11+SQRT(AZ142*($AN$11-$AL$11)*($AM$11-$AL$11)),$AN$11-SQRT((1-AZ142)*($AN$11-$AL$11)*($AN$11-$AM$11))),$AM$11)</f>
        <v/>
      </c>
      <c r="AR142">
        <f>SUMPRODUCT((B24:B31&lt;=$B$6)*(C24:C31*AM142+D24:D31*AO142*$B$8*AQ142)/(1+AL142/100)^B24:B31)+C32*AM142*AP142/(1+AL142/100)^$B$6</f>
        <v/>
      </c>
      <c r="AS142">
        <f>SUMPRODUCT((K24:K26&lt;=$B$6)*(L24:L26*AN142+M24:M26*AO142*$B$8*AQ142)/(1+AL142/100)^K24:K26)+L27*AN142*AP142/(1+AL142/100)^$B$6</f>
        <v/>
      </c>
      <c r="AT142">
        <f>AS142-AR142</f>
        <v/>
      </c>
      <c r="AU142">
        <f>RAND()</f>
        <v/>
      </c>
      <c r="AV142">
        <f>RAND()</f>
        <v/>
      </c>
      <c r="AW142">
        <f>RAND()</f>
        <v/>
      </c>
      <c r="AX142">
        <f>RAND()</f>
        <v/>
      </c>
      <c r="AY142">
        <f>RAND()</f>
        <v/>
      </c>
      <c r="AZ142">
        <f>RAND()</f>
        <v/>
      </c>
    </row>
    <row r="143">
      <c r="A143" s="7" t="inlineStr">
        <is>
          <t>Base: TDOT policy (3%, 30 yr)</t>
        </is>
      </c>
      <c r="B143" t="n">
        <v>3</v>
      </c>
      <c r="C143" t="n">
        <v>30</v>
      </c>
      <c r="D143" t="n">
        <v>1</v>
      </c>
      <c r="E143" t="n">
        <v>1</v>
      </c>
      <c r="F143" t="n">
        <v>1</v>
      </c>
      <c r="G143" t="n">
        <v>1</v>
      </c>
      <c r="H143" t="n">
        <v>1</v>
      </c>
      <c r="I143" s="14">
        <f>SUMPRODUCT((B24:B31&lt;=$C143)*(C24:C31*$D143+D24:D31*$F143*$B$8*$H143)/(1+$B143/100)^B24:B31)+C32*$D143*$G143/(1+$B143/100)^$C143</f>
        <v/>
      </c>
      <c r="J143" s="14">
        <f>SUMPRODUCT((K24:K26&lt;=$C143)*(L24:L26*$E143+M24:M26*$F143*$B$8*$H143)/(1+$B143/100)^K24:K26)+L27*$E143*$G143/(1+$B143/100)^$C143</f>
        <v/>
      </c>
      <c r="K143" s="14">
        <f>J143-I143</f>
        <v/>
      </c>
      <c r="L143">
        <f>IF(K143&lt;0,"PCC","HMA")</f>
        <v/>
      </c>
      <c r="AK143" t="n">
        <v>130</v>
      </c>
      <c r="AL143">
        <f>IFERROR(IF(AU143&lt;($AM$6-$AL$6)/($AN$6-$AL$6),$AL$6+SQRT(AU143*($AN$6-$AL$6)*($AM$6-$AL$6)),$AN$6-SQRT((1-AU143)*($AN$6-$AL$6)*($AN$6-$AM$6))),$AM$6)</f>
        <v/>
      </c>
      <c r="AM143">
        <f>IFERROR(IF(AV143&lt;($AM$7-$AL$7)/($AN$7-$AL$7),$AL$7+SQRT(AV143*($AN$7-$AL$7)*($AM$7-$AL$7)),$AN$7-SQRT((1-AV143)*($AN$7-$AL$7)*($AN$7-$AM$7))),$AM$7)</f>
        <v/>
      </c>
      <c r="AN143">
        <f>IFERROR(IF(AW143&lt;($AM$8-$AL$8)/($AN$8-$AL$8),$AL$8+SQRT(AW143*($AN$8-$AL$8)*($AM$8-$AL$8)),$AN$8-SQRT((1-AW143)*($AN$8-$AL$8)*($AN$8-$AM$8))),$AM$8)</f>
        <v/>
      </c>
      <c r="AO143">
        <f>IFERROR(IF(AX143&lt;($AM$9-$AL$9)/($AN$9-$AL$9),$AL$9+SQRT(AX143*($AN$9-$AL$9)*($AM$9-$AL$9)),$AN$9-SQRT((1-AX143)*($AN$9-$AL$9)*($AN$9-$AM$9))),$AM$9)</f>
        <v/>
      </c>
      <c r="AP143">
        <f>IFERROR(IF(AY143&lt;($AM$10-$AL$10)/($AN$10-$AL$10),$AL$10+SQRT(AY143*($AN$10-$AL$10)*($AM$10-$AL$10)),$AN$10-SQRT((1-AY143)*($AN$10-$AL$10)*($AN$10-$AM$10))),$AM$10)</f>
        <v/>
      </c>
      <c r="AQ143">
        <f>IFERROR(IF(AZ143&lt;($AM$11-$AL$11)/($AN$11-$AL$11),$AL$11+SQRT(AZ143*($AN$11-$AL$11)*($AM$11-$AL$11)),$AN$11-SQRT((1-AZ143)*($AN$11-$AL$11)*($AN$11-$AM$11))),$AM$11)</f>
        <v/>
      </c>
      <c r="AR143">
        <f>SUMPRODUCT((B24:B31&lt;=$B$6)*(C24:C31*AM143+D24:D31*AO143*$B$8*AQ143)/(1+AL143/100)^B24:B31)+C32*AM143*AP143/(1+AL143/100)^$B$6</f>
        <v/>
      </c>
      <c r="AS143">
        <f>SUMPRODUCT((K24:K26&lt;=$B$6)*(L24:L26*AN143+M24:M26*AO143*$B$8*AQ143)/(1+AL143/100)^K24:K26)+L27*AN143*AP143/(1+AL143/100)^$B$6</f>
        <v/>
      </c>
      <c r="AT143">
        <f>AS143-AR143</f>
        <v/>
      </c>
      <c r="AU143">
        <f>RAND()</f>
        <v/>
      </c>
      <c r="AV143">
        <f>RAND()</f>
        <v/>
      </c>
      <c r="AW143">
        <f>RAND()</f>
        <v/>
      </c>
      <c r="AX143">
        <f>RAND()</f>
        <v/>
      </c>
      <c r="AY143">
        <f>RAND()</f>
        <v/>
      </c>
      <c r="AZ143">
        <f>RAND()</f>
        <v/>
      </c>
    </row>
    <row r="144">
      <c r="A144" s="7" t="inlineStr">
        <is>
          <t>FAA AIP funded (7%, 20 yr)</t>
        </is>
      </c>
      <c r="B144" t="n">
        <v>7</v>
      </c>
      <c r="C144" t="n">
        <v>20</v>
      </c>
      <c r="D144" t="n">
        <v>1</v>
      </c>
      <c r="E144" t="n">
        <v>1</v>
      </c>
      <c r="F144" t="n">
        <v>1</v>
      </c>
      <c r="G144" t="n">
        <v>1</v>
      </c>
      <c r="H144" t="n">
        <v>1</v>
      </c>
      <c r="I144" s="14">
        <f>SUMPRODUCT((B24:B31&lt;=$C144)*(C24:C31*$D144+D24:D31*$F144*$B$8*$H144)/(1+$B144/100)^B24:B31)+C32*$D144*$G144/(1+$B144/100)^$C144</f>
        <v/>
      </c>
      <c r="J144" s="14">
        <f>SUMPRODUCT((K24:K26&lt;=$C144)*(L24:L26*$E144+M24:M26*$F144*$B$8*$H144)/(1+$B144/100)^K24:K26)+L27*$E144*$G144/(1+$B144/100)^$C144</f>
        <v/>
      </c>
      <c r="K144" s="14">
        <f>J144-I144</f>
        <v/>
      </c>
      <c r="L144">
        <f>IF(K144&lt;0,"PCC","HMA")</f>
        <v/>
      </c>
      <c r="AK144" t="n">
        <v>131</v>
      </c>
      <c r="AL144">
        <f>IFERROR(IF(AU144&lt;($AM$6-$AL$6)/($AN$6-$AL$6),$AL$6+SQRT(AU144*($AN$6-$AL$6)*($AM$6-$AL$6)),$AN$6-SQRT((1-AU144)*($AN$6-$AL$6)*($AN$6-$AM$6))),$AM$6)</f>
        <v/>
      </c>
      <c r="AM144">
        <f>IFERROR(IF(AV144&lt;($AM$7-$AL$7)/($AN$7-$AL$7),$AL$7+SQRT(AV144*($AN$7-$AL$7)*($AM$7-$AL$7)),$AN$7-SQRT((1-AV144)*($AN$7-$AL$7)*($AN$7-$AM$7))),$AM$7)</f>
        <v/>
      </c>
      <c r="AN144">
        <f>IFERROR(IF(AW144&lt;($AM$8-$AL$8)/($AN$8-$AL$8),$AL$8+SQRT(AW144*($AN$8-$AL$8)*($AM$8-$AL$8)),$AN$8-SQRT((1-AW144)*($AN$8-$AL$8)*($AN$8-$AM$8))),$AM$8)</f>
        <v/>
      </c>
      <c r="AO144">
        <f>IFERROR(IF(AX144&lt;($AM$9-$AL$9)/($AN$9-$AL$9),$AL$9+SQRT(AX144*($AN$9-$AL$9)*($AM$9-$AL$9)),$AN$9-SQRT((1-AX144)*($AN$9-$AL$9)*($AN$9-$AM$9))),$AM$9)</f>
        <v/>
      </c>
      <c r="AP144">
        <f>IFERROR(IF(AY144&lt;($AM$10-$AL$10)/($AN$10-$AL$10),$AL$10+SQRT(AY144*($AN$10-$AL$10)*($AM$10-$AL$10)),$AN$10-SQRT((1-AY144)*($AN$10-$AL$10)*($AN$10-$AM$10))),$AM$10)</f>
        <v/>
      </c>
      <c r="AQ144">
        <f>IFERROR(IF(AZ144&lt;($AM$11-$AL$11)/($AN$11-$AL$11),$AL$11+SQRT(AZ144*($AN$11-$AL$11)*($AM$11-$AL$11)),$AN$11-SQRT((1-AZ144)*($AN$11-$AL$11)*($AN$11-$AM$11))),$AM$11)</f>
        <v/>
      </c>
      <c r="AR144">
        <f>SUMPRODUCT((B24:B31&lt;=$B$6)*(C24:C31*AM144+D24:D31*AO144*$B$8*AQ144)/(1+AL144/100)^B24:B31)+C32*AM144*AP144/(1+AL144/100)^$B$6</f>
        <v/>
      </c>
      <c r="AS144">
        <f>SUMPRODUCT((K24:K26&lt;=$B$6)*(L24:L26*AN144+M24:M26*AO144*$B$8*AQ144)/(1+AL144/100)^K24:K26)+L27*AN144*AP144/(1+AL144/100)^$B$6</f>
        <v/>
      </c>
      <c r="AT144">
        <f>AS144-AR144</f>
        <v/>
      </c>
      <c r="AU144">
        <f>RAND()</f>
        <v/>
      </c>
      <c r="AV144">
        <f>RAND()</f>
        <v/>
      </c>
      <c r="AW144">
        <f>RAND()</f>
        <v/>
      </c>
      <c r="AX144">
        <f>RAND()</f>
        <v/>
      </c>
      <c r="AY144">
        <f>RAND()</f>
        <v/>
      </c>
      <c r="AZ144">
        <f>RAND()</f>
        <v/>
      </c>
    </row>
    <row r="145">
      <c r="A145" s="7" t="inlineStr">
        <is>
          <t>TDOT 3% but 20-yr life</t>
        </is>
      </c>
      <c r="B145" t="n">
        <v>3</v>
      </c>
      <c r="C145" t="n">
        <v>20</v>
      </c>
      <c r="D145" t="n">
        <v>1</v>
      </c>
      <c r="E145" t="n">
        <v>1</v>
      </c>
      <c r="F145" t="n">
        <v>1</v>
      </c>
      <c r="G145" t="n">
        <v>1</v>
      </c>
      <c r="H145" t="n">
        <v>1</v>
      </c>
      <c r="I145" s="14">
        <f>SUMPRODUCT((B24:B31&lt;=$C145)*(C24:C31*$D145+D24:D31*$F145*$B$8*$H145)/(1+$B145/100)^B24:B31)+C32*$D145*$G145/(1+$B145/100)^$C145</f>
        <v/>
      </c>
      <c r="J145" s="14">
        <f>SUMPRODUCT((K24:K26&lt;=$C145)*(L24:L26*$E145+M24:M26*$F145*$B$8*$H145)/(1+$B145/100)^K24:K26)+L27*$E145*$G145/(1+$B145/100)^$C145</f>
        <v/>
      </c>
      <c r="K145" s="14">
        <f>J145-I145</f>
        <v/>
      </c>
      <c r="L145">
        <f>IF(K145&lt;0,"PCC","HMA")</f>
        <v/>
      </c>
      <c r="AK145" t="n">
        <v>132</v>
      </c>
      <c r="AL145">
        <f>IFERROR(IF(AU145&lt;($AM$6-$AL$6)/($AN$6-$AL$6),$AL$6+SQRT(AU145*($AN$6-$AL$6)*($AM$6-$AL$6)),$AN$6-SQRT((1-AU145)*($AN$6-$AL$6)*($AN$6-$AM$6))),$AM$6)</f>
        <v/>
      </c>
      <c r="AM145">
        <f>IFERROR(IF(AV145&lt;($AM$7-$AL$7)/($AN$7-$AL$7),$AL$7+SQRT(AV145*($AN$7-$AL$7)*($AM$7-$AL$7)),$AN$7-SQRT((1-AV145)*($AN$7-$AL$7)*($AN$7-$AM$7))),$AM$7)</f>
        <v/>
      </c>
      <c r="AN145">
        <f>IFERROR(IF(AW145&lt;($AM$8-$AL$8)/($AN$8-$AL$8),$AL$8+SQRT(AW145*($AN$8-$AL$8)*($AM$8-$AL$8)),$AN$8-SQRT((1-AW145)*($AN$8-$AL$8)*($AN$8-$AM$8))),$AM$8)</f>
        <v/>
      </c>
      <c r="AO145">
        <f>IFERROR(IF(AX145&lt;($AM$9-$AL$9)/($AN$9-$AL$9),$AL$9+SQRT(AX145*($AN$9-$AL$9)*($AM$9-$AL$9)),$AN$9-SQRT((1-AX145)*($AN$9-$AL$9)*($AN$9-$AM$9))),$AM$9)</f>
        <v/>
      </c>
      <c r="AP145">
        <f>IFERROR(IF(AY145&lt;($AM$10-$AL$10)/($AN$10-$AL$10),$AL$10+SQRT(AY145*($AN$10-$AL$10)*($AM$10-$AL$10)),$AN$10-SQRT((1-AY145)*($AN$10-$AL$10)*($AN$10-$AM$10))),$AM$10)</f>
        <v/>
      </c>
      <c r="AQ145">
        <f>IFERROR(IF(AZ145&lt;($AM$11-$AL$11)/($AN$11-$AL$11),$AL$11+SQRT(AZ145*($AN$11-$AL$11)*($AM$11-$AL$11)),$AN$11-SQRT((1-AZ145)*($AN$11-$AL$11)*($AN$11-$AM$11))),$AM$11)</f>
        <v/>
      </c>
      <c r="AR145">
        <f>SUMPRODUCT((B24:B31&lt;=$B$6)*(C24:C31*AM145+D24:D31*AO145*$B$8*AQ145)/(1+AL145/100)^B24:B31)+C32*AM145*AP145/(1+AL145/100)^$B$6</f>
        <v/>
      </c>
      <c r="AS145">
        <f>SUMPRODUCT((K24:K26&lt;=$B$6)*(L24:L26*AN145+M24:M26*AO145*$B$8*AQ145)/(1+AL145/100)^K24:K26)+L27*AN145*AP145/(1+AL145/100)^$B$6</f>
        <v/>
      </c>
      <c r="AT145">
        <f>AS145-AR145</f>
        <v/>
      </c>
      <c r="AU145">
        <f>RAND()</f>
        <v/>
      </c>
      <c r="AV145">
        <f>RAND()</f>
        <v/>
      </c>
      <c r="AW145">
        <f>RAND()</f>
        <v/>
      </c>
      <c r="AX145">
        <f>RAND()</f>
        <v/>
      </c>
      <c r="AY145">
        <f>RAND()</f>
        <v/>
      </c>
      <c r="AZ145">
        <f>RAND()</f>
        <v/>
      </c>
    </row>
    <row r="146">
      <c r="A146" s="7" t="inlineStr">
        <is>
          <t>High rate 5%</t>
        </is>
      </c>
      <c r="B146" t="n">
        <v>5</v>
      </c>
      <c r="C146" t="n">
        <v>30</v>
      </c>
      <c r="D146" t="n">
        <v>1</v>
      </c>
      <c r="E146" t="n">
        <v>1</v>
      </c>
      <c r="F146" t="n">
        <v>1</v>
      </c>
      <c r="G146" t="n">
        <v>1</v>
      </c>
      <c r="H146" t="n">
        <v>1</v>
      </c>
      <c r="I146" s="14">
        <f>SUMPRODUCT((B24:B31&lt;=$C146)*(C24:C31*$D146+D24:D31*$F146*$B$8*$H146)/(1+$B146/100)^B24:B31)+C32*$D146*$G146/(1+$B146/100)^$C146</f>
        <v/>
      </c>
      <c r="J146" s="14">
        <f>SUMPRODUCT((K24:K26&lt;=$C146)*(L24:L26*$E146+M24:M26*$F146*$B$8*$H146)/(1+$B146/100)^K24:K26)+L27*$E146*$G146/(1+$B146/100)^$C146</f>
        <v/>
      </c>
      <c r="K146" s="14">
        <f>J146-I146</f>
        <v/>
      </c>
      <c r="L146">
        <f>IF(K146&lt;0,"PCC","HMA")</f>
        <v/>
      </c>
      <c r="AK146" t="n">
        <v>133</v>
      </c>
      <c r="AL146">
        <f>IFERROR(IF(AU146&lt;($AM$6-$AL$6)/($AN$6-$AL$6),$AL$6+SQRT(AU146*($AN$6-$AL$6)*($AM$6-$AL$6)),$AN$6-SQRT((1-AU146)*($AN$6-$AL$6)*($AN$6-$AM$6))),$AM$6)</f>
        <v/>
      </c>
      <c r="AM146">
        <f>IFERROR(IF(AV146&lt;($AM$7-$AL$7)/($AN$7-$AL$7),$AL$7+SQRT(AV146*($AN$7-$AL$7)*($AM$7-$AL$7)),$AN$7-SQRT((1-AV146)*($AN$7-$AL$7)*($AN$7-$AM$7))),$AM$7)</f>
        <v/>
      </c>
      <c r="AN146">
        <f>IFERROR(IF(AW146&lt;($AM$8-$AL$8)/($AN$8-$AL$8),$AL$8+SQRT(AW146*($AN$8-$AL$8)*($AM$8-$AL$8)),$AN$8-SQRT((1-AW146)*($AN$8-$AL$8)*($AN$8-$AM$8))),$AM$8)</f>
        <v/>
      </c>
      <c r="AO146">
        <f>IFERROR(IF(AX146&lt;($AM$9-$AL$9)/($AN$9-$AL$9),$AL$9+SQRT(AX146*($AN$9-$AL$9)*($AM$9-$AL$9)),$AN$9-SQRT((1-AX146)*($AN$9-$AL$9)*($AN$9-$AM$9))),$AM$9)</f>
        <v/>
      </c>
      <c r="AP146">
        <f>IFERROR(IF(AY146&lt;($AM$10-$AL$10)/($AN$10-$AL$10),$AL$10+SQRT(AY146*($AN$10-$AL$10)*($AM$10-$AL$10)),$AN$10-SQRT((1-AY146)*($AN$10-$AL$10)*($AN$10-$AM$10))),$AM$10)</f>
        <v/>
      </c>
      <c r="AQ146">
        <f>IFERROR(IF(AZ146&lt;($AM$11-$AL$11)/($AN$11-$AL$11),$AL$11+SQRT(AZ146*($AN$11-$AL$11)*($AM$11-$AL$11)),$AN$11-SQRT((1-AZ146)*($AN$11-$AL$11)*($AN$11-$AM$11))),$AM$11)</f>
        <v/>
      </c>
      <c r="AR146">
        <f>SUMPRODUCT((B24:B31&lt;=$B$6)*(C24:C31*AM146+D24:D31*AO146*$B$8*AQ146)/(1+AL146/100)^B24:B31)+C32*AM146*AP146/(1+AL146/100)^$B$6</f>
        <v/>
      </c>
      <c r="AS146">
        <f>SUMPRODUCT((K24:K26&lt;=$B$6)*(L24:L26*AN146+M24:M26*AO146*$B$8*AQ146)/(1+AL146/100)^K24:K26)+L27*AN146*AP146/(1+AL146/100)^$B$6</f>
        <v/>
      </c>
      <c r="AT146">
        <f>AS146-AR146</f>
        <v/>
      </c>
      <c r="AU146">
        <f>RAND()</f>
        <v/>
      </c>
      <c r="AV146">
        <f>RAND()</f>
        <v/>
      </c>
      <c r="AW146">
        <f>RAND()</f>
        <v/>
      </c>
      <c r="AX146">
        <f>RAND()</f>
        <v/>
      </c>
      <c r="AY146">
        <f>RAND()</f>
        <v/>
      </c>
      <c r="AZ146">
        <f>RAND()</f>
        <v/>
      </c>
    </row>
    <row r="147">
      <c r="A147" s="7" t="inlineStr">
        <is>
          <t>No lost-revenue term</t>
        </is>
      </c>
      <c r="B147" t="n">
        <v>3</v>
      </c>
      <c r="C147" t="n">
        <v>30</v>
      </c>
      <c r="D147" t="n">
        <v>1</v>
      </c>
      <c r="E147" t="n">
        <v>1</v>
      </c>
      <c r="F147" t="n">
        <v>1</v>
      </c>
      <c r="G147" t="n">
        <v>1</v>
      </c>
      <c r="H147" t="n">
        <v>0</v>
      </c>
      <c r="I147" s="14">
        <f>SUMPRODUCT((B24:B31&lt;=$C147)*(C24:C31*$D147+D24:D31*$F147*$B$8*$H147)/(1+$B147/100)^B24:B31)+C32*$D147*$G147/(1+$B147/100)^$C147</f>
        <v/>
      </c>
      <c r="J147" s="14">
        <f>SUMPRODUCT((K24:K26&lt;=$C147)*(L24:L26*$E147+M24:M26*$F147*$B$8*$H147)/(1+$B147/100)^K24:K26)+L27*$E147*$G147/(1+$B147/100)^$C147</f>
        <v/>
      </c>
      <c r="K147" s="14">
        <f>J147-I147</f>
        <v/>
      </c>
      <c r="L147">
        <f>IF(K147&lt;0,"PCC","HMA")</f>
        <v/>
      </c>
      <c r="AK147" t="n">
        <v>134</v>
      </c>
      <c r="AL147">
        <f>IFERROR(IF(AU147&lt;($AM$6-$AL$6)/($AN$6-$AL$6),$AL$6+SQRT(AU147*($AN$6-$AL$6)*($AM$6-$AL$6)),$AN$6-SQRT((1-AU147)*($AN$6-$AL$6)*($AN$6-$AM$6))),$AM$6)</f>
        <v/>
      </c>
      <c r="AM147">
        <f>IFERROR(IF(AV147&lt;($AM$7-$AL$7)/($AN$7-$AL$7),$AL$7+SQRT(AV147*($AN$7-$AL$7)*($AM$7-$AL$7)),$AN$7-SQRT((1-AV147)*($AN$7-$AL$7)*($AN$7-$AM$7))),$AM$7)</f>
        <v/>
      </c>
      <c r="AN147">
        <f>IFERROR(IF(AW147&lt;($AM$8-$AL$8)/($AN$8-$AL$8),$AL$8+SQRT(AW147*($AN$8-$AL$8)*($AM$8-$AL$8)),$AN$8-SQRT((1-AW147)*($AN$8-$AL$8)*($AN$8-$AM$8))),$AM$8)</f>
        <v/>
      </c>
      <c r="AO147">
        <f>IFERROR(IF(AX147&lt;($AM$9-$AL$9)/($AN$9-$AL$9),$AL$9+SQRT(AX147*($AN$9-$AL$9)*($AM$9-$AL$9)),$AN$9-SQRT((1-AX147)*($AN$9-$AL$9)*($AN$9-$AM$9))),$AM$9)</f>
        <v/>
      </c>
      <c r="AP147">
        <f>IFERROR(IF(AY147&lt;($AM$10-$AL$10)/($AN$10-$AL$10),$AL$10+SQRT(AY147*($AN$10-$AL$10)*($AM$10-$AL$10)),$AN$10-SQRT((1-AY147)*($AN$10-$AL$10)*($AN$10-$AM$10))),$AM$10)</f>
        <v/>
      </c>
      <c r="AQ147">
        <f>IFERROR(IF(AZ147&lt;($AM$11-$AL$11)/($AN$11-$AL$11),$AL$11+SQRT(AZ147*($AN$11-$AL$11)*($AM$11-$AL$11)),$AN$11-SQRT((1-AZ147)*($AN$11-$AL$11)*($AN$11-$AM$11))),$AM$11)</f>
        <v/>
      </c>
      <c r="AR147">
        <f>SUMPRODUCT((B24:B31&lt;=$B$6)*(C24:C31*AM147+D24:D31*AO147*$B$8*AQ147)/(1+AL147/100)^B24:B31)+C32*AM147*AP147/(1+AL147/100)^$B$6</f>
        <v/>
      </c>
      <c r="AS147">
        <f>SUMPRODUCT((K24:K26&lt;=$B$6)*(L24:L26*AN147+M24:M26*AO147*$B$8*AQ147)/(1+AL147/100)^K24:K26)+L27*AN147*AP147/(1+AL147/100)^$B$6</f>
        <v/>
      </c>
      <c r="AT147">
        <f>AS147-AR147</f>
        <v/>
      </c>
      <c r="AU147">
        <f>RAND()</f>
        <v/>
      </c>
      <c r="AV147">
        <f>RAND()</f>
        <v/>
      </c>
      <c r="AW147">
        <f>RAND()</f>
        <v/>
      </c>
      <c r="AX147">
        <f>RAND()</f>
        <v/>
      </c>
      <c r="AY147">
        <f>RAND()</f>
        <v/>
      </c>
      <c r="AZ147">
        <f>RAND()</f>
        <v/>
      </c>
    </row>
    <row r="148">
      <c r="A148" s="7" t="inlineStr">
        <is>
          <t>Revenue loss at 40% of gross</t>
        </is>
      </c>
      <c r="B148" t="n">
        <v>3</v>
      </c>
      <c r="C148" t="n">
        <v>30</v>
      </c>
      <c r="D148" t="n">
        <v>1</v>
      </c>
      <c r="E148" t="n">
        <v>1</v>
      </c>
      <c r="F148" t="n">
        <v>1</v>
      </c>
      <c r="G148" t="n">
        <v>1</v>
      </c>
      <c r="H148" t="n">
        <v>0.4</v>
      </c>
      <c r="I148" s="14">
        <f>SUMPRODUCT((B24:B31&lt;=$C148)*(C24:C31*$D148+D24:D31*$F148*$B$8*$H148)/(1+$B148/100)^B24:B31)+C32*$D148*$G148/(1+$B148/100)^$C148</f>
        <v/>
      </c>
      <c r="J148" s="14">
        <f>SUMPRODUCT((K24:K26&lt;=$C148)*(L24:L26*$E148+M24:M26*$F148*$B$8*$H148)/(1+$B148/100)^K24:K26)+L27*$E148*$G148/(1+$B148/100)^$C148</f>
        <v/>
      </c>
      <c r="K148" s="14">
        <f>J148-I148</f>
        <v/>
      </c>
      <c r="L148">
        <f>IF(K148&lt;0,"PCC","HMA")</f>
        <v/>
      </c>
      <c r="AK148" t="n">
        <v>135</v>
      </c>
      <c r="AL148">
        <f>IFERROR(IF(AU148&lt;($AM$6-$AL$6)/($AN$6-$AL$6),$AL$6+SQRT(AU148*($AN$6-$AL$6)*($AM$6-$AL$6)),$AN$6-SQRT((1-AU148)*($AN$6-$AL$6)*($AN$6-$AM$6))),$AM$6)</f>
        <v/>
      </c>
      <c r="AM148">
        <f>IFERROR(IF(AV148&lt;($AM$7-$AL$7)/($AN$7-$AL$7),$AL$7+SQRT(AV148*($AN$7-$AL$7)*($AM$7-$AL$7)),$AN$7-SQRT((1-AV148)*($AN$7-$AL$7)*($AN$7-$AM$7))),$AM$7)</f>
        <v/>
      </c>
      <c r="AN148">
        <f>IFERROR(IF(AW148&lt;($AM$8-$AL$8)/($AN$8-$AL$8),$AL$8+SQRT(AW148*($AN$8-$AL$8)*($AM$8-$AL$8)),$AN$8-SQRT((1-AW148)*($AN$8-$AL$8)*($AN$8-$AM$8))),$AM$8)</f>
        <v/>
      </c>
      <c r="AO148">
        <f>IFERROR(IF(AX148&lt;($AM$9-$AL$9)/($AN$9-$AL$9),$AL$9+SQRT(AX148*($AN$9-$AL$9)*($AM$9-$AL$9)),$AN$9-SQRT((1-AX148)*($AN$9-$AL$9)*($AN$9-$AM$9))),$AM$9)</f>
        <v/>
      </c>
      <c r="AP148">
        <f>IFERROR(IF(AY148&lt;($AM$10-$AL$10)/($AN$10-$AL$10),$AL$10+SQRT(AY148*($AN$10-$AL$10)*($AM$10-$AL$10)),$AN$10-SQRT((1-AY148)*($AN$10-$AL$10)*($AN$10-$AM$10))),$AM$10)</f>
        <v/>
      </c>
      <c r="AQ148">
        <f>IFERROR(IF(AZ148&lt;($AM$11-$AL$11)/($AN$11-$AL$11),$AL$11+SQRT(AZ148*($AN$11-$AL$11)*($AM$11-$AL$11)),$AN$11-SQRT((1-AZ148)*($AN$11-$AL$11)*($AN$11-$AM$11))),$AM$11)</f>
        <v/>
      </c>
      <c r="AR148">
        <f>SUMPRODUCT((B24:B31&lt;=$B$6)*(C24:C31*AM148+D24:D31*AO148*$B$8*AQ148)/(1+AL148/100)^B24:B31)+C32*AM148*AP148/(1+AL148/100)^$B$6</f>
        <v/>
      </c>
      <c r="AS148">
        <f>SUMPRODUCT((K24:K26&lt;=$B$6)*(L24:L26*AN148+M24:M26*AO148*$B$8*AQ148)/(1+AL148/100)^K24:K26)+L27*AN148*AP148/(1+AL148/100)^$B$6</f>
        <v/>
      </c>
      <c r="AT148">
        <f>AS148-AR148</f>
        <v/>
      </c>
      <c r="AU148">
        <f>RAND()</f>
        <v/>
      </c>
      <c r="AV148">
        <f>RAND()</f>
        <v/>
      </c>
      <c r="AW148">
        <f>RAND()</f>
        <v/>
      </c>
      <c r="AX148">
        <f>RAND()</f>
        <v/>
      </c>
      <c r="AY148">
        <f>RAND()</f>
        <v/>
      </c>
      <c r="AZ148">
        <f>RAND()</f>
        <v/>
      </c>
    </row>
    <row r="149">
      <c r="A149" s="7" t="inlineStr">
        <is>
          <t>No salvage credit</t>
        </is>
      </c>
      <c r="B149" t="n">
        <v>3</v>
      </c>
      <c r="C149" t="n">
        <v>30</v>
      </c>
      <c r="D149" t="n">
        <v>1</v>
      </c>
      <c r="E149" t="n">
        <v>1</v>
      </c>
      <c r="F149" t="n">
        <v>1</v>
      </c>
      <c r="G149" t="n">
        <v>0</v>
      </c>
      <c r="H149" t="n">
        <v>1</v>
      </c>
      <c r="I149" s="14">
        <f>SUMPRODUCT((B24:B31&lt;=$C149)*(C24:C31*$D149+D24:D31*$F149*$B$8*$H149)/(1+$B149/100)^B24:B31)+C32*$D149*$G149/(1+$B149/100)^$C149</f>
        <v/>
      </c>
      <c r="J149" s="14">
        <f>SUMPRODUCT((K24:K26&lt;=$C149)*(L24:L26*$E149+M24:M26*$F149*$B$8*$H149)/(1+$B149/100)^K24:K26)+L27*$E149*$G149/(1+$B149/100)^$C149</f>
        <v/>
      </c>
      <c r="K149" s="14">
        <f>J149-I149</f>
        <v/>
      </c>
      <c r="L149">
        <f>IF(K149&lt;0,"PCC","HMA")</f>
        <v/>
      </c>
      <c r="AK149" t="n">
        <v>136</v>
      </c>
      <c r="AL149">
        <f>IFERROR(IF(AU149&lt;($AM$6-$AL$6)/($AN$6-$AL$6),$AL$6+SQRT(AU149*($AN$6-$AL$6)*($AM$6-$AL$6)),$AN$6-SQRT((1-AU149)*($AN$6-$AL$6)*($AN$6-$AM$6))),$AM$6)</f>
        <v/>
      </c>
      <c r="AM149">
        <f>IFERROR(IF(AV149&lt;($AM$7-$AL$7)/($AN$7-$AL$7),$AL$7+SQRT(AV149*($AN$7-$AL$7)*($AM$7-$AL$7)),$AN$7-SQRT((1-AV149)*($AN$7-$AL$7)*($AN$7-$AM$7))),$AM$7)</f>
        <v/>
      </c>
      <c r="AN149">
        <f>IFERROR(IF(AW149&lt;($AM$8-$AL$8)/($AN$8-$AL$8),$AL$8+SQRT(AW149*($AN$8-$AL$8)*($AM$8-$AL$8)),$AN$8-SQRT((1-AW149)*($AN$8-$AL$8)*($AN$8-$AM$8))),$AM$8)</f>
        <v/>
      </c>
      <c r="AO149">
        <f>IFERROR(IF(AX149&lt;($AM$9-$AL$9)/($AN$9-$AL$9),$AL$9+SQRT(AX149*($AN$9-$AL$9)*($AM$9-$AL$9)),$AN$9-SQRT((1-AX149)*($AN$9-$AL$9)*($AN$9-$AM$9))),$AM$9)</f>
        <v/>
      </c>
      <c r="AP149">
        <f>IFERROR(IF(AY149&lt;($AM$10-$AL$10)/($AN$10-$AL$10),$AL$10+SQRT(AY149*($AN$10-$AL$10)*($AM$10-$AL$10)),$AN$10-SQRT((1-AY149)*($AN$10-$AL$10)*($AN$10-$AM$10))),$AM$10)</f>
        <v/>
      </c>
      <c r="AQ149">
        <f>IFERROR(IF(AZ149&lt;($AM$11-$AL$11)/($AN$11-$AL$11),$AL$11+SQRT(AZ149*($AN$11-$AL$11)*($AM$11-$AL$11)),$AN$11-SQRT((1-AZ149)*($AN$11-$AL$11)*($AN$11-$AM$11))),$AM$11)</f>
        <v/>
      </c>
      <c r="AR149">
        <f>SUMPRODUCT((B24:B31&lt;=$B$6)*(C24:C31*AM149+D24:D31*AO149*$B$8*AQ149)/(1+AL149/100)^B24:B31)+C32*AM149*AP149/(1+AL149/100)^$B$6</f>
        <v/>
      </c>
      <c r="AS149">
        <f>SUMPRODUCT((K24:K26&lt;=$B$6)*(L24:L26*AN149+M24:M26*AO149*$B$8*AQ149)/(1+AL149/100)^K24:K26)+L27*AN149*AP149/(1+AL149/100)^$B$6</f>
        <v/>
      </c>
      <c r="AT149">
        <f>AS149-AR149</f>
        <v/>
      </c>
      <c r="AU149">
        <f>RAND()</f>
        <v/>
      </c>
      <c r="AV149">
        <f>RAND()</f>
        <v/>
      </c>
      <c r="AW149">
        <f>RAND()</f>
        <v/>
      </c>
      <c r="AX149">
        <f>RAND()</f>
        <v/>
      </c>
      <c r="AY149">
        <f>RAND()</f>
        <v/>
      </c>
      <c r="AZ149">
        <f>RAND()</f>
        <v/>
      </c>
    </row>
    <row r="150">
      <c r="A150" s="7" t="inlineStr">
        <is>
          <t>PCC bids +20%</t>
        </is>
      </c>
      <c r="B150" t="n">
        <v>3</v>
      </c>
      <c r="C150" t="n">
        <v>30</v>
      </c>
      <c r="D150" t="n">
        <v>1</v>
      </c>
      <c r="E150" t="n">
        <v>1.2</v>
      </c>
      <c r="F150" t="n">
        <v>1</v>
      </c>
      <c r="G150" t="n">
        <v>1</v>
      </c>
      <c r="H150" t="n">
        <v>1</v>
      </c>
      <c r="I150" s="14">
        <f>SUMPRODUCT((B24:B31&lt;=$C150)*(C24:C31*$D150+D24:D31*$F150*$B$8*$H150)/(1+$B150/100)^B24:B31)+C32*$D150*$G150/(1+$B150/100)^$C150</f>
        <v/>
      </c>
      <c r="J150" s="14">
        <f>SUMPRODUCT((K24:K26&lt;=$C150)*(L24:L26*$E150+M24:M26*$F150*$B$8*$H150)/(1+$B150/100)^K24:K26)+L27*$E150*$G150/(1+$B150/100)^$C150</f>
        <v/>
      </c>
      <c r="K150" s="14">
        <f>J150-I150</f>
        <v/>
      </c>
      <c r="L150">
        <f>IF(K150&lt;0,"PCC","HMA")</f>
        <v/>
      </c>
      <c r="AK150" t="n">
        <v>137</v>
      </c>
      <c r="AL150">
        <f>IFERROR(IF(AU150&lt;($AM$6-$AL$6)/($AN$6-$AL$6),$AL$6+SQRT(AU150*($AN$6-$AL$6)*($AM$6-$AL$6)),$AN$6-SQRT((1-AU150)*($AN$6-$AL$6)*($AN$6-$AM$6))),$AM$6)</f>
        <v/>
      </c>
      <c r="AM150">
        <f>IFERROR(IF(AV150&lt;($AM$7-$AL$7)/($AN$7-$AL$7),$AL$7+SQRT(AV150*($AN$7-$AL$7)*($AM$7-$AL$7)),$AN$7-SQRT((1-AV150)*($AN$7-$AL$7)*($AN$7-$AM$7))),$AM$7)</f>
        <v/>
      </c>
      <c r="AN150">
        <f>IFERROR(IF(AW150&lt;($AM$8-$AL$8)/($AN$8-$AL$8),$AL$8+SQRT(AW150*($AN$8-$AL$8)*($AM$8-$AL$8)),$AN$8-SQRT((1-AW150)*($AN$8-$AL$8)*($AN$8-$AM$8))),$AM$8)</f>
        <v/>
      </c>
      <c r="AO150">
        <f>IFERROR(IF(AX150&lt;($AM$9-$AL$9)/($AN$9-$AL$9),$AL$9+SQRT(AX150*($AN$9-$AL$9)*($AM$9-$AL$9)),$AN$9-SQRT((1-AX150)*($AN$9-$AL$9)*($AN$9-$AM$9))),$AM$9)</f>
        <v/>
      </c>
      <c r="AP150">
        <f>IFERROR(IF(AY150&lt;($AM$10-$AL$10)/($AN$10-$AL$10),$AL$10+SQRT(AY150*($AN$10-$AL$10)*($AM$10-$AL$10)),$AN$10-SQRT((1-AY150)*($AN$10-$AL$10)*($AN$10-$AM$10))),$AM$10)</f>
        <v/>
      </c>
      <c r="AQ150">
        <f>IFERROR(IF(AZ150&lt;($AM$11-$AL$11)/($AN$11-$AL$11),$AL$11+SQRT(AZ150*($AN$11-$AL$11)*($AM$11-$AL$11)),$AN$11-SQRT((1-AZ150)*($AN$11-$AL$11)*($AN$11-$AM$11))),$AM$11)</f>
        <v/>
      </c>
      <c r="AR150">
        <f>SUMPRODUCT((B24:B31&lt;=$B$6)*(C24:C31*AM150+D24:D31*AO150*$B$8*AQ150)/(1+AL150/100)^B24:B31)+C32*AM150*AP150/(1+AL150/100)^$B$6</f>
        <v/>
      </c>
      <c r="AS150">
        <f>SUMPRODUCT((K24:K26&lt;=$B$6)*(L24:L26*AN150+M24:M26*AO150*$B$8*AQ150)/(1+AL150/100)^K24:K26)+L27*AN150*AP150/(1+AL150/100)^$B$6</f>
        <v/>
      </c>
      <c r="AT150">
        <f>AS150-AR150</f>
        <v/>
      </c>
      <c r="AU150">
        <f>RAND()</f>
        <v/>
      </c>
      <c r="AV150">
        <f>RAND()</f>
        <v/>
      </c>
      <c r="AW150">
        <f>RAND()</f>
        <v/>
      </c>
      <c r="AX150">
        <f>RAND()</f>
        <v/>
      </c>
      <c r="AY150">
        <f>RAND()</f>
        <v/>
      </c>
      <c r="AZ150">
        <f>RAND()</f>
        <v/>
      </c>
    </row>
    <row r="151">
      <c r="A151" s="7" t="inlineStr">
        <is>
          <t>HMA bids +20%</t>
        </is>
      </c>
      <c r="B151" t="n">
        <v>3</v>
      </c>
      <c r="C151" t="n">
        <v>30</v>
      </c>
      <c r="D151" t="n">
        <v>1.2</v>
      </c>
      <c r="E151" t="n">
        <v>1</v>
      </c>
      <c r="F151" t="n">
        <v>1</v>
      </c>
      <c r="G151" t="n">
        <v>1</v>
      </c>
      <c r="H151" t="n">
        <v>1</v>
      </c>
      <c r="I151" s="14">
        <f>SUMPRODUCT((B24:B31&lt;=$C151)*(C24:C31*$D151+D24:D31*$F151*$B$8*$H151)/(1+$B151/100)^B24:B31)+C32*$D151*$G151/(1+$B151/100)^$C151</f>
        <v/>
      </c>
      <c r="J151" s="14">
        <f>SUMPRODUCT((K24:K26&lt;=$C151)*(L24:L26*$E151+M24:M26*$F151*$B$8*$H151)/(1+$B151/100)^K24:K26)+L27*$E151*$G151/(1+$B151/100)^$C151</f>
        <v/>
      </c>
      <c r="K151" s="14">
        <f>J151-I151</f>
        <v/>
      </c>
      <c r="L151">
        <f>IF(K151&lt;0,"PCC","HMA")</f>
        <v/>
      </c>
      <c r="AK151" t="n">
        <v>138</v>
      </c>
      <c r="AL151">
        <f>IFERROR(IF(AU151&lt;($AM$6-$AL$6)/($AN$6-$AL$6),$AL$6+SQRT(AU151*($AN$6-$AL$6)*($AM$6-$AL$6)),$AN$6-SQRT((1-AU151)*($AN$6-$AL$6)*($AN$6-$AM$6))),$AM$6)</f>
        <v/>
      </c>
      <c r="AM151">
        <f>IFERROR(IF(AV151&lt;($AM$7-$AL$7)/($AN$7-$AL$7),$AL$7+SQRT(AV151*($AN$7-$AL$7)*($AM$7-$AL$7)),$AN$7-SQRT((1-AV151)*($AN$7-$AL$7)*($AN$7-$AM$7))),$AM$7)</f>
        <v/>
      </c>
      <c r="AN151">
        <f>IFERROR(IF(AW151&lt;($AM$8-$AL$8)/($AN$8-$AL$8),$AL$8+SQRT(AW151*($AN$8-$AL$8)*($AM$8-$AL$8)),$AN$8-SQRT((1-AW151)*($AN$8-$AL$8)*($AN$8-$AM$8))),$AM$8)</f>
        <v/>
      </c>
      <c r="AO151">
        <f>IFERROR(IF(AX151&lt;($AM$9-$AL$9)/($AN$9-$AL$9),$AL$9+SQRT(AX151*($AN$9-$AL$9)*($AM$9-$AL$9)),$AN$9-SQRT((1-AX151)*($AN$9-$AL$9)*($AN$9-$AM$9))),$AM$9)</f>
        <v/>
      </c>
      <c r="AP151">
        <f>IFERROR(IF(AY151&lt;($AM$10-$AL$10)/($AN$10-$AL$10),$AL$10+SQRT(AY151*($AN$10-$AL$10)*($AM$10-$AL$10)),$AN$10-SQRT((1-AY151)*($AN$10-$AL$10)*($AN$10-$AM$10))),$AM$10)</f>
        <v/>
      </c>
      <c r="AQ151">
        <f>IFERROR(IF(AZ151&lt;($AM$11-$AL$11)/($AN$11-$AL$11),$AL$11+SQRT(AZ151*($AN$11-$AL$11)*($AM$11-$AL$11)),$AN$11-SQRT((1-AZ151)*($AN$11-$AL$11)*($AN$11-$AM$11))),$AM$11)</f>
        <v/>
      </c>
      <c r="AR151">
        <f>SUMPRODUCT((B24:B31&lt;=$B$6)*(C24:C31*AM151+D24:D31*AO151*$B$8*AQ151)/(1+AL151/100)^B24:B31)+C32*AM151*AP151/(1+AL151/100)^$B$6</f>
        <v/>
      </c>
      <c r="AS151">
        <f>SUMPRODUCT((K24:K26&lt;=$B$6)*(L24:L26*AN151+M24:M26*AO151*$B$8*AQ151)/(1+AL151/100)^K24:K26)+L27*AN151*AP151/(1+AL151/100)^$B$6</f>
        <v/>
      </c>
      <c r="AT151">
        <f>AS151-AR151</f>
        <v/>
      </c>
      <c r="AU151">
        <f>RAND()</f>
        <v/>
      </c>
      <c r="AV151">
        <f>RAND()</f>
        <v/>
      </c>
      <c r="AW151">
        <f>RAND()</f>
        <v/>
      </c>
      <c r="AX151">
        <f>RAND()</f>
        <v/>
      </c>
      <c r="AY151">
        <f>RAND()</f>
        <v/>
      </c>
      <c r="AZ151">
        <f>RAND()</f>
        <v/>
      </c>
    </row>
    <row r="152">
      <c r="A152" s="7" t="inlineStr">
        <is>
          <t>Closures twice as long</t>
        </is>
      </c>
      <c r="B152" t="n">
        <v>3</v>
      </c>
      <c r="C152" t="n">
        <v>30</v>
      </c>
      <c r="D152" t="n">
        <v>1</v>
      </c>
      <c r="E152" t="n">
        <v>1</v>
      </c>
      <c r="F152" t="n">
        <v>2</v>
      </c>
      <c r="G152" t="n">
        <v>1</v>
      </c>
      <c r="H152" t="n">
        <v>1</v>
      </c>
      <c r="I152" s="14">
        <f>SUMPRODUCT((B24:B31&lt;=$C152)*(C24:C31*$D152+D24:D31*$F152*$B$8*$H152)/(1+$B152/100)^B24:B31)+C32*$D152*$G152/(1+$B152/100)^$C152</f>
        <v/>
      </c>
      <c r="J152" s="14">
        <f>SUMPRODUCT((K24:K26&lt;=$C152)*(L24:L26*$E152+M24:M26*$F152*$B$8*$H152)/(1+$B152/100)^K24:K26)+L27*$E152*$G152/(1+$B152/100)^$C152</f>
        <v/>
      </c>
      <c r="K152" s="14">
        <f>J152-I152</f>
        <v/>
      </c>
      <c r="L152">
        <f>IF(K152&lt;0,"PCC","HMA")</f>
        <v/>
      </c>
      <c r="AK152" t="n">
        <v>139</v>
      </c>
      <c r="AL152">
        <f>IFERROR(IF(AU152&lt;($AM$6-$AL$6)/($AN$6-$AL$6),$AL$6+SQRT(AU152*($AN$6-$AL$6)*($AM$6-$AL$6)),$AN$6-SQRT((1-AU152)*($AN$6-$AL$6)*($AN$6-$AM$6))),$AM$6)</f>
        <v/>
      </c>
      <c r="AM152">
        <f>IFERROR(IF(AV152&lt;($AM$7-$AL$7)/($AN$7-$AL$7),$AL$7+SQRT(AV152*($AN$7-$AL$7)*($AM$7-$AL$7)),$AN$7-SQRT((1-AV152)*($AN$7-$AL$7)*($AN$7-$AM$7))),$AM$7)</f>
        <v/>
      </c>
      <c r="AN152">
        <f>IFERROR(IF(AW152&lt;($AM$8-$AL$8)/($AN$8-$AL$8),$AL$8+SQRT(AW152*($AN$8-$AL$8)*($AM$8-$AL$8)),$AN$8-SQRT((1-AW152)*($AN$8-$AL$8)*($AN$8-$AM$8))),$AM$8)</f>
        <v/>
      </c>
      <c r="AO152">
        <f>IFERROR(IF(AX152&lt;($AM$9-$AL$9)/($AN$9-$AL$9),$AL$9+SQRT(AX152*($AN$9-$AL$9)*($AM$9-$AL$9)),$AN$9-SQRT((1-AX152)*($AN$9-$AL$9)*($AN$9-$AM$9))),$AM$9)</f>
        <v/>
      </c>
      <c r="AP152">
        <f>IFERROR(IF(AY152&lt;($AM$10-$AL$10)/($AN$10-$AL$10),$AL$10+SQRT(AY152*($AN$10-$AL$10)*($AM$10-$AL$10)),$AN$10-SQRT((1-AY152)*($AN$10-$AL$10)*($AN$10-$AM$10))),$AM$10)</f>
        <v/>
      </c>
      <c r="AQ152">
        <f>IFERROR(IF(AZ152&lt;($AM$11-$AL$11)/($AN$11-$AL$11),$AL$11+SQRT(AZ152*($AN$11-$AL$11)*($AM$11-$AL$11)),$AN$11-SQRT((1-AZ152)*($AN$11-$AL$11)*($AN$11-$AM$11))),$AM$11)</f>
        <v/>
      </c>
      <c r="AR152">
        <f>SUMPRODUCT((B24:B31&lt;=$B$6)*(C24:C31*AM152+D24:D31*AO152*$B$8*AQ152)/(1+AL152/100)^B24:B31)+C32*AM152*AP152/(1+AL152/100)^$B$6</f>
        <v/>
      </c>
      <c r="AS152">
        <f>SUMPRODUCT((K24:K26&lt;=$B$6)*(L24:L26*AN152+M24:M26*AO152*$B$8*AQ152)/(1+AL152/100)^K24:K26)+L27*AN152*AP152/(1+AL152/100)^$B$6</f>
        <v/>
      </c>
      <c r="AT152">
        <f>AS152-AR152</f>
        <v/>
      </c>
      <c r="AU152">
        <f>RAND()</f>
        <v/>
      </c>
      <c r="AV152">
        <f>RAND()</f>
        <v/>
      </c>
      <c r="AW152">
        <f>RAND()</f>
        <v/>
      </c>
      <c r="AX152">
        <f>RAND()</f>
        <v/>
      </c>
      <c r="AY152">
        <f>RAND()</f>
        <v/>
      </c>
      <c r="AZ152">
        <f>RAND()</f>
        <v/>
      </c>
    </row>
    <row r="153">
      <c r="A153" s="7" t="inlineStr">
        <is>
          <t>Closures half as long</t>
        </is>
      </c>
      <c r="B153" t="n">
        <v>3</v>
      </c>
      <c r="C153" t="n">
        <v>30</v>
      </c>
      <c r="D153" t="n">
        <v>1</v>
      </c>
      <c r="E153" t="n">
        <v>1</v>
      </c>
      <c r="F153" t="n">
        <v>0.5</v>
      </c>
      <c r="G153" t="n">
        <v>1</v>
      </c>
      <c r="H153" t="n">
        <v>1</v>
      </c>
      <c r="I153" s="14">
        <f>SUMPRODUCT((B24:B31&lt;=$C153)*(C24:C31*$D153+D24:D31*$F153*$B$8*$H153)/(1+$B153/100)^B24:B31)+C32*$D153*$G153/(1+$B153/100)^$C153</f>
        <v/>
      </c>
      <c r="J153" s="14">
        <f>SUMPRODUCT((K24:K26&lt;=$C153)*(L24:L26*$E153+M24:M26*$F153*$B$8*$H153)/(1+$B153/100)^K24:K26)+L27*$E153*$G153/(1+$B153/100)^$C153</f>
        <v/>
      </c>
      <c r="K153" s="14">
        <f>J153-I153</f>
        <v/>
      </c>
      <c r="L153">
        <f>IF(K153&lt;0,"PCC","HMA")</f>
        <v/>
      </c>
      <c r="AK153" t="n">
        <v>140</v>
      </c>
      <c r="AL153">
        <f>IFERROR(IF(AU153&lt;($AM$6-$AL$6)/($AN$6-$AL$6),$AL$6+SQRT(AU153*($AN$6-$AL$6)*($AM$6-$AL$6)),$AN$6-SQRT((1-AU153)*($AN$6-$AL$6)*($AN$6-$AM$6))),$AM$6)</f>
        <v/>
      </c>
      <c r="AM153">
        <f>IFERROR(IF(AV153&lt;($AM$7-$AL$7)/($AN$7-$AL$7),$AL$7+SQRT(AV153*($AN$7-$AL$7)*($AM$7-$AL$7)),$AN$7-SQRT((1-AV153)*($AN$7-$AL$7)*($AN$7-$AM$7))),$AM$7)</f>
        <v/>
      </c>
      <c r="AN153">
        <f>IFERROR(IF(AW153&lt;($AM$8-$AL$8)/($AN$8-$AL$8),$AL$8+SQRT(AW153*($AN$8-$AL$8)*($AM$8-$AL$8)),$AN$8-SQRT((1-AW153)*($AN$8-$AL$8)*($AN$8-$AM$8))),$AM$8)</f>
        <v/>
      </c>
      <c r="AO153">
        <f>IFERROR(IF(AX153&lt;($AM$9-$AL$9)/($AN$9-$AL$9),$AL$9+SQRT(AX153*($AN$9-$AL$9)*($AM$9-$AL$9)),$AN$9-SQRT((1-AX153)*($AN$9-$AL$9)*($AN$9-$AM$9))),$AM$9)</f>
        <v/>
      </c>
      <c r="AP153">
        <f>IFERROR(IF(AY153&lt;($AM$10-$AL$10)/($AN$10-$AL$10),$AL$10+SQRT(AY153*($AN$10-$AL$10)*($AM$10-$AL$10)),$AN$10-SQRT((1-AY153)*($AN$10-$AL$10)*($AN$10-$AM$10))),$AM$10)</f>
        <v/>
      </c>
      <c r="AQ153">
        <f>IFERROR(IF(AZ153&lt;($AM$11-$AL$11)/($AN$11-$AL$11),$AL$11+SQRT(AZ153*($AN$11-$AL$11)*($AM$11-$AL$11)),$AN$11-SQRT((1-AZ153)*($AN$11-$AL$11)*($AN$11-$AM$11))),$AM$11)</f>
        <v/>
      </c>
      <c r="AR153">
        <f>SUMPRODUCT((B24:B31&lt;=$B$6)*(C24:C31*AM153+D24:D31*AO153*$B$8*AQ153)/(1+AL153/100)^B24:B31)+C32*AM153*AP153/(1+AL153/100)^$B$6</f>
        <v/>
      </c>
      <c r="AS153">
        <f>SUMPRODUCT((K24:K26&lt;=$B$6)*(L24:L26*AN153+M24:M26*AO153*$B$8*AQ153)/(1+AL153/100)^K24:K26)+L27*AN153*AP153/(1+AL153/100)^$B$6</f>
        <v/>
      </c>
      <c r="AT153">
        <f>AS153-AR153</f>
        <v/>
      </c>
      <c r="AU153">
        <f>RAND()</f>
        <v/>
      </c>
      <c r="AV153">
        <f>RAND()</f>
        <v/>
      </c>
      <c r="AW153">
        <f>RAND()</f>
        <v/>
      </c>
      <c r="AX153">
        <f>RAND()</f>
        <v/>
      </c>
      <c r="AY153">
        <f>RAND()</f>
        <v/>
      </c>
      <c r="AZ153">
        <f>RAND()</f>
        <v/>
      </c>
    </row>
    <row r="154">
      <c r="A154" s="7" t="inlineStr">
        <is>
          <t>Stress: 7%, no salvage, no lost revenue</t>
        </is>
      </c>
      <c r="B154" t="n">
        <v>7</v>
      </c>
      <c r="C154" t="n">
        <v>30</v>
      </c>
      <c r="D154" t="n">
        <v>1</v>
      </c>
      <c r="E154" t="n">
        <v>1</v>
      </c>
      <c r="F154" t="n">
        <v>1</v>
      </c>
      <c r="G154" t="n">
        <v>0</v>
      </c>
      <c r="H154" t="n">
        <v>0</v>
      </c>
      <c r="I154" s="14">
        <f>SUMPRODUCT((B24:B31&lt;=$C154)*(C24:C31*$D154+D24:D31*$F154*$B$8*$H154)/(1+$B154/100)^B24:B31)+C32*$D154*$G154/(1+$B154/100)^$C154</f>
        <v/>
      </c>
      <c r="J154" s="14">
        <f>SUMPRODUCT((K24:K26&lt;=$C154)*(L24:L26*$E154+M24:M26*$F154*$B$8*$H154)/(1+$B154/100)^K24:K26)+L27*$E154*$G154/(1+$B154/100)^$C154</f>
        <v/>
      </c>
      <c r="K154" s="14">
        <f>J154-I154</f>
        <v/>
      </c>
      <c r="L154">
        <f>IF(K154&lt;0,"PCC","HMA")</f>
        <v/>
      </c>
      <c r="AK154" t="n">
        <v>141</v>
      </c>
      <c r="AL154">
        <f>IFERROR(IF(AU154&lt;($AM$6-$AL$6)/($AN$6-$AL$6),$AL$6+SQRT(AU154*($AN$6-$AL$6)*($AM$6-$AL$6)),$AN$6-SQRT((1-AU154)*($AN$6-$AL$6)*($AN$6-$AM$6))),$AM$6)</f>
        <v/>
      </c>
      <c r="AM154">
        <f>IFERROR(IF(AV154&lt;($AM$7-$AL$7)/($AN$7-$AL$7),$AL$7+SQRT(AV154*($AN$7-$AL$7)*($AM$7-$AL$7)),$AN$7-SQRT((1-AV154)*($AN$7-$AL$7)*($AN$7-$AM$7))),$AM$7)</f>
        <v/>
      </c>
      <c r="AN154">
        <f>IFERROR(IF(AW154&lt;($AM$8-$AL$8)/($AN$8-$AL$8),$AL$8+SQRT(AW154*($AN$8-$AL$8)*($AM$8-$AL$8)),$AN$8-SQRT((1-AW154)*($AN$8-$AL$8)*($AN$8-$AM$8))),$AM$8)</f>
        <v/>
      </c>
      <c r="AO154">
        <f>IFERROR(IF(AX154&lt;($AM$9-$AL$9)/($AN$9-$AL$9),$AL$9+SQRT(AX154*($AN$9-$AL$9)*($AM$9-$AL$9)),$AN$9-SQRT((1-AX154)*($AN$9-$AL$9)*($AN$9-$AM$9))),$AM$9)</f>
        <v/>
      </c>
      <c r="AP154">
        <f>IFERROR(IF(AY154&lt;($AM$10-$AL$10)/($AN$10-$AL$10),$AL$10+SQRT(AY154*($AN$10-$AL$10)*($AM$10-$AL$10)),$AN$10-SQRT((1-AY154)*($AN$10-$AL$10)*($AN$10-$AM$10))),$AM$10)</f>
        <v/>
      </c>
      <c r="AQ154">
        <f>IFERROR(IF(AZ154&lt;($AM$11-$AL$11)/($AN$11-$AL$11),$AL$11+SQRT(AZ154*($AN$11-$AL$11)*($AM$11-$AL$11)),$AN$11-SQRT((1-AZ154)*($AN$11-$AL$11)*($AN$11-$AM$11))),$AM$11)</f>
        <v/>
      </c>
      <c r="AR154">
        <f>SUMPRODUCT((B24:B31&lt;=$B$6)*(C24:C31*AM154+D24:D31*AO154*$B$8*AQ154)/(1+AL154/100)^B24:B31)+C32*AM154*AP154/(1+AL154/100)^$B$6</f>
        <v/>
      </c>
      <c r="AS154">
        <f>SUMPRODUCT((K24:K26&lt;=$B$6)*(L24:L26*AN154+M24:M26*AO154*$B$8*AQ154)/(1+AL154/100)^K24:K26)+L27*AN154*AP154/(1+AL154/100)^$B$6</f>
        <v/>
      </c>
      <c r="AT154">
        <f>AS154-AR154</f>
        <v/>
      </c>
      <c r="AU154">
        <f>RAND()</f>
        <v/>
      </c>
      <c r="AV154">
        <f>RAND()</f>
        <v/>
      </c>
      <c r="AW154">
        <f>RAND()</f>
        <v/>
      </c>
      <c r="AX154">
        <f>RAND()</f>
        <v/>
      </c>
      <c r="AY154">
        <f>RAND()</f>
        <v/>
      </c>
      <c r="AZ154">
        <f>RAND()</f>
        <v/>
      </c>
    </row>
    <row r="155">
      <c r="A155" s="5" t="inlineStr">
        <is>
          <t>Note: scenario rows use their own parameters, not the yellow inputs. A 20-year period applies the same salvage fraction at year 20 (conservative simplification).</t>
        </is>
      </c>
      <c r="AK155" t="n">
        <v>142</v>
      </c>
      <c r="AL155">
        <f>IFERROR(IF(AU155&lt;($AM$6-$AL$6)/($AN$6-$AL$6),$AL$6+SQRT(AU155*($AN$6-$AL$6)*($AM$6-$AL$6)),$AN$6-SQRT((1-AU155)*($AN$6-$AL$6)*($AN$6-$AM$6))),$AM$6)</f>
        <v/>
      </c>
      <c r="AM155">
        <f>IFERROR(IF(AV155&lt;($AM$7-$AL$7)/($AN$7-$AL$7),$AL$7+SQRT(AV155*($AN$7-$AL$7)*($AM$7-$AL$7)),$AN$7-SQRT((1-AV155)*($AN$7-$AL$7)*($AN$7-$AM$7))),$AM$7)</f>
        <v/>
      </c>
      <c r="AN155">
        <f>IFERROR(IF(AW155&lt;($AM$8-$AL$8)/($AN$8-$AL$8),$AL$8+SQRT(AW155*($AN$8-$AL$8)*($AM$8-$AL$8)),$AN$8-SQRT((1-AW155)*($AN$8-$AL$8)*($AN$8-$AM$8))),$AM$8)</f>
        <v/>
      </c>
      <c r="AO155">
        <f>IFERROR(IF(AX155&lt;($AM$9-$AL$9)/($AN$9-$AL$9),$AL$9+SQRT(AX155*($AN$9-$AL$9)*($AM$9-$AL$9)),$AN$9-SQRT((1-AX155)*($AN$9-$AL$9)*($AN$9-$AM$9))),$AM$9)</f>
        <v/>
      </c>
      <c r="AP155">
        <f>IFERROR(IF(AY155&lt;($AM$10-$AL$10)/($AN$10-$AL$10),$AL$10+SQRT(AY155*($AN$10-$AL$10)*($AM$10-$AL$10)),$AN$10-SQRT((1-AY155)*($AN$10-$AL$10)*($AN$10-$AM$10))),$AM$10)</f>
        <v/>
      </c>
      <c r="AQ155">
        <f>IFERROR(IF(AZ155&lt;($AM$11-$AL$11)/($AN$11-$AL$11),$AL$11+SQRT(AZ155*($AN$11-$AL$11)*($AM$11-$AL$11)),$AN$11-SQRT((1-AZ155)*($AN$11-$AL$11)*($AN$11-$AM$11))),$AM$11)</f>
        <v/>
      </c>
      <c r="AR155">
        <f>SUMPRODUCT((B24:B31&lt;=$B$6)*(C24:C31*AM155+D24:D31*AO155*$B$8*AQ155)/(1+AL155/100)^B24:B31)+C32*AM155*AP155/(1+AL155/100)^$B$6</f>
        <v/>
      </c>
      <c r="AS155">
        <f>SUMPRODUCT((K24:K26&lt;=$B$6)*(L24:L26*AN155+M24:M26*AO155*$B$8*AQ155)/(1+AL155/100)^K24:K26)+L27*AN155*AP155/(1+AL155/100)^$B$6</f>
        <v/>
      </c>
      <c r="AT155">
        <f>AS155-AR155</f>
        <v/>
      </c>
      <c r="AU155">
        <f>RAND()</f>
        <v/>
      </c>
      <c r="AV155">
        <f>RAND()</f>
        <v/>
      </c>
      <c r="AW155">
        <f>RAND()</f>
        <v/>
      </c>
      <c r="AX155">
        <f>RAND()</f>
        <v/>
      </c>
      <c r="AY155">
        <f>RAND()</f>
        <v/>
      </c>
      <c r="AZ155">
        <f>RAND()</f>
        <v/>
      </c>
    </row>
    <row r="156">
      <c r="AK156" t="n">
        <v>143</v>
      </c>
      <c r="AL156">
        <f>IFERROR(IF(AU156&lt;($AM$6-$AL$6)/($AN$6-$AL$6),$AL$6+SQRT(AU156*($AN$6-$AL$6)*($AM$6-$AL$6)),$AN$6-SQRT((1-AU156)*($AN$6-$AL$6)*($AN$6-$AM$6))),$AM$6)</f>
        <v/>
      </c>
      <c r="AM156">
        <f>IFERROR(IF(AV156&lt;($AM$7-$AL$7)/($AN$7-$AL$7),$AL$7+SQRT(AV156*($AN$7-$AL$7)*($AM$7-$AL$7)),$AN$7-SQRT((1-AV156)*($AN$7-$AL$7)*($AN$7-$AM$7))),$AM$7)</f>
        <v/>
      </c>
      <c r="AN156">
        <f>IFERROR(IF(AW156&lt;($AM$8-$AL$8)/($AN$8-$AL$8),$AL$8+SQRT(AW156*($AN$8-$AL$8)*($AM$8-$AL$8)),$AN$8-SQRT((1-AW156)*($AN$8-$AL$8)*($AN$8-$AM$8))),$AM$8)</f>
        <v/>
      </c>
      <c r="AO156">
        <f>IFERROR(IF(AX156&lt;($AM$9-$AL$9)/($AN$9-$AL$9),$AL$9+SQRT(AX156*($AN$9-$AL$9)*($AM$9-$AL$9)),$AN$9-SQRT((1-AX156)*($AN$9-$AL$9)*($AN$9-$AM$9))),$AM$9)</f>
        <v/>
      </c>
      <c r="AP156">
        <f>IFERROR(IF(AY156&lt;($AM$10-$AL$10)/($AN$10-$AL$10),$AL$10+SQRT(AY156*($AN$10-$AL$10)*($AM$10-$AL$10)),$AN$10-SQRT((1-AY156)*($AN$10-$AL$10)*($AN$10-$AM$10))),$AM$10)</f>
        <v/>
      </c>
      <c r="AQ156">
        <f>IFERROR(IF(AZ156&lt;($AM$11-$AL$11)/($AN$11-$AL$11),$AL$11+SQRT(AZ156*($AN$11-$AL$11)*($AM$11-$AL$11)),$AN$11-SQRT((1-AZ156)*($AN$11-$AL$11)*($AN$11-$AM$11))),$AM$11)</f>
        <v/>
      </c>
      <c r="AR156">
        <f>SUMPRODUCT((B24:B31&lt;=$B$6)*(C24:C31*AM156+D24:D31*AO156*$B$8*AQ156)/(1+AL156/100)^B24:B31)+C32*AM156*AP156/(1+AL156/100)^$B$6</f>
        <v/>
      </c>
      <c r="AS156">
        <f>SUMPRODUCT((K24:K26&lt;=$B$6)*(L24:L26*AN156+M24:M26*AO156*$B$8*AQ156)/(1+AL156/100)^K24:K26)+L27*AN156*AP156/(1+AL156/100)^$B$6</f>
        <v/>
      </c>
      <c r="AT156">
        <f>AS156-AR156</f>
        <v/>
      </c>
      <c r="AU156">
        <f>RAND()</f>
        <v/>
      </c>
      <c r="AV156">
        <f>RAND()</f>
        <v/>
      </c>
      <c r="AW156">
        <f>RAND()</f>
        <v/>
      </c>
      <c r="AX156">
        <f>RAND()</f>
        <v/>
      </c>
      <c r="AY156">
        <f>RAND()</f>
        <v/>
      </c>
      <c r="AZ156">
        <f>RAND()</f>
        <v/>
      </c>
    </row>
    <row r="157">
      <c r="AK157" t="n">
        <v>144</v>
      </c>
      <c r="AL157">
        <f>IFERROR(IF(AU157&lt;($AM$6-$AL$6)/($AN$6-$AL$6),$AL$6+SQRT(AU157*($AN$6-$AL$6)*($AM$6-$AL$6)),$AN$6-SQRT((1-AU157)*($AN$6-$AL$6)*($AN$6-$AM$6))),$AM$6)</f>
        <v/>
      </c>
      <c r="AM157">
        <f>IFERROR(IF(AV157&lt;($AM$7-$AL$7)/($AN$7-$AL$7),$AL$7+SQRT(AV157*($AN$7-$AL$7)*($AM$7-$AL$7)),$AN$7-SQRT((1-AV157)*($AN$7-$AL$7)*($AN$7-$AM$7))),$AM$7)</f>
        <v/>
      </c>
      <c r="AN157">
        <f>IFERROR(IF(AW157&lt;($AM$8-$AL$8)/($AN$8-$AL$8),$AL$8+SQRT(AW157*($AN$8-$AL$8)*($AM$8-$AL$8)),$AN$8-SQRT((1-AW157)*($AN$8-$AL$8)*($AN$8-$AM$8))),$AM$8)</f>
        <v/>
      </c>
      <c r="AO157">
        <f>IFERROR(IF(AX157&lt;($AM$9-$AL$9)/($AN$9-$AL$9),$AL$9+SQRT(AX157*($AN$9-$AL$9)*($AM$9-$AL$9)),$AN$9-SQRT((1-AX157)*($AN$9-$AL$9)*($AN$9-$AM$9))),$AM$9)</f>
        <v/>
      </c>
      <c r="AP157">
        <f>IFERROR(IF(AY157&lt;($AM$10-$AL$10)/($AN$10-$AL$10),$AL$10+SQRT(AY157*($AN$10-$AL$10)*($AM$10-$AL$10)),$AN$10-SQRT((1-AY157)*($AN$10-$AL$10)*($AN$10-$AM$10))),$AM$10)</f>
        <v/>
      </c>
      <c r="AQ157">
        <f>IFERROR(IF(AZ157&lt;($AM$11-$AL$11)/($AN$11-$AL$11),$AL$11+SQRT(AZ157*($AN$11-$AL$11)*($AM$11-$AL$11)),$AN$11-SQRT((1-AZ157)*($AN$11-$AL$11)*($AN$11-$AM$11))),$AM$11)</f>
        <v/>
      </c>
      <c r="AR157">
        <f>SUMPRODUCT((B24:B31&lt;=$B$6)*(C24:C31*AM157+D24:D31*AO157*$B$8*AQ157)/(1+AL157/100)^B24:B31)+C32*AM157*AP157/(1+AL157/100)^$B$6</f>
        <v/>
      </c>
      <c r="AS157">
        <f>SUMPRODUCT((K24:K26&lt;=$B$6)*(L24:L26*AN157+M24:M26*AO157*$B$8*AQ157)/(1+AL157/100)^K24:K26)+L27*AN157*AP157/(1+AL157/100)^$B$6</f>
        <v/>
      </c>
      <c r="AT157">
        <f>AS157-AR157</f>
        <v/>
      </c>
      <c r="AU157">
        <f>RAND()</f>
        <v/>
      </c>
      <c r="AV157">
        <f>RAND()</f>
        <v/>
      </c>
      <c r="AW157">
        <f>RAND()</f>
        <v/>
      </c>
      <c r="AX157">
        <f>RAND()</f>
        <v/>
      </c>
      <c r="AY157">
        <f>RAND()</f>
        <v/>
      </c>
      <c r="AZ157">
        <f>RAND()</f>
        <v/>
      </c>
    </row>
    <row r="158">
      <c r="A158" s="4" t="inlineStr">
        <is>
          <t>DECISION MAP: PCC - HMA present worth by discount rate and salvage credit</t>
        </is>
      </c>
      <c r="AK158" t="n">
        <v>145</v>
      </c>
      <c r="AL158">
        <f>IFERROR(IF(AU158&lt;($AM$6-$AL$6)/($AN$6-$AL$6),$AL$6+SQRT(AU158*($AN$6-$AL$6)*($AM$6-$AL$6)),$AN$6-SQRT((1-AU158)*($AN$6-$AL$6)*($AN$6-$AM$6))),$AM$6)</f>
        <v/>
      </c>
      <c r="AM158">
        <f>IFERROR(IF(AV158&lt;($AM$7-$AL$7)/($AN$7-$AL$7),$AL$7+SQRT(AV158*($AN$7-$AL$7)*($AM$7-$AL$7)),$AN$7-SQRT((1-AV158)*($AN$7-$AL$7)*($AN$7-$AM$7))),$AM$7)</f>
        <v/>
      </c>
      <c r="AN158">
        <f>IFERROR(IF(AW158&lt;($AM$8-$AL$8)/($AN$8-$AL$8),$AL$8+SQRT(AW158*($AN$8-$AL$8)*($AM$8-$AL$8)),$AN$8-SQRT((1-AW158)*($AN$8-$AL$8)*($AN$8-$AM$8))),$AM$8)</f>
        <v/>
      </c>
      <c r="AO158">
        <f>IFERROR(IF(AX158&lt;($AM$9-$AL$9)/($AN$9-$AL$9),$AL$9+SQRT(AX158*($AN$9-$AL$9)*($AM$9-$AL$9)),$AN$9-SQRT((1-AX158)*($AN$9-$AL$9)*($AN$9-$AM$9))),$AM$9)</f>
        <v/>
      </c>
      <c r="AP158">
        <f>IFERROR(IF(AY158&lt;($AM$10-$AL$10)/($AN$10-$AL$10),$AL$10+SQRT(AY158*($AN$10-$AL$10)*($AM$10-$AL$10)),$AN$10-SQRT((1-AY158)*($AN$10-$AL$10)*($AN$10-$AM$10))),$AM$10)</f>
        <v/>
      </c>
      <c r="AQ158">
        <f>IFERROR(IF(AZ158&lt;($AM$11-$AL$11)/($AN$11-$AL$11),$AL$11+SQRT(AZ158*($AN$11-$AL$11)*($AM$11-$AL$11)),$AN$11-SQRT((1-AZ158)*($AN$11-$AL$11)*($AN$11-$AM$11))),$AM$11)</f>
        <v/>
      </c>
      <c r="AR158">
        <f>SUMPRODUCT((B24:B31&lt;=$B$6)*(C24:C31*AM158+D24:D31*AO158*$B$8*AQ158)/(1+AL158/100)^B24:B31)+C32*AM158*AP158/(1+AL158/100)^$B$6</f>
        <v/>
      </c>
      <c r="AS158">
        <f>SUMPRODUCT((K24:K26&lt;=$B$6)*(L24:L26*AN158+M24:M26*AO158*$B$8*AQ158)/(1+AL158/100)^K24:K26)+L27*AN158*AP158/(1+AL158/100)^$B$6</f>
        <v/>
      </c>
      <c r="AT158">
        <f>AS158-AR158</f>
        <v/>
      </c>
      <c r="AU158">
        <f>RAND()</f>
        <v/>
      </c>
      <c r="AV158">
        <f>RAND()</f>
        <v/>
      </c>
      <c r="AW158">
        <f>RAND()</f>
        <v/>
      </c>
      <c r="AX158">
        <f>RAND()</f>
        <v/>
      </c>
      <c r="AY158">
        <f>RAND()</f>
        <v/>
      </c>
      <c r="AZ158">
        <f>RAND()</f>
        <v/>
      </c>
    </row>
    <row r="159">
      <c r="A159" s="9" t="inlineStr">
        <is>
          <t>Salvage multiplier \ Rate (%)</t>
        </is>
      </c>
      <c r="B159" s="34" t="n">
        <v>2</v>
      </c>
      <c r="C159" s="34" t="n">
        <v>3</v>
      </c>
      <c r="D159" s="34" t="n">
        <v>4</v>
      </c>
      <c r="E159" s="34" t="n">
        <v>5</v>
      </c>
      <c r="F159" s="34" t="n">
        <v>6</v>
      </c>
      <c r="G159" s="34" t="n">
        <v>7</v>
      </c>
      <c r="H159" s="34" t="n">
        <v>8</v>
      </c>
      <c r="AK159" t="n">
        <v>146</v>
      </c>
      <c r="AL159">
        <f>IFERROR(IF(AU159&lt;($AM$6-$AL$6)/($AN$6-$AL$6),$AL$6+SQRT(AU159*($AN$6-$AL$6)*($AM$6-$AL$6)),$AN$6-SQRT((1-AU159)*($AN$6-$AL$6)*($AN$6-$AM$6))),$AM$6)</f>
        <v/>
      </c>
      <c r="AM159">
        <f>IFERROR(IF(AV159&lt;($AM$7-$AL$7)/($AN$7-$AL$7),$AL$7+SQRT(AV159*($AN$7-$AL$7)*($AM$7-$AL$7)),$AN$7-SQRT((1-AV159)*($AN$7-$AL$7)*($AN$7-$AM$7))),$AM$7)</f>
        <v/>
      </c>
      <c r="AN159">
        <f>IFERROR(IF(AW159&lt;($AM$8-$AL$8)/($AN$8-$AL$8),$AL$8+SQRT(AW159*($AN$8-$AL$8)*($AM$8-$AL$8)),$AN$8-SQRT((1-AW159)*($AN$8-$AL$8)*($AN$8-$AM$8))),$AM$8)</f>
        <v/>
      </c>
      <c r="AO159">
        <f>IFERROR(IF(AX159&lt;($AM$9-$AL$9)/($AN$9-$AL$9),$AL$9+SQRT(AX159*($AN$9-$AL$9)*($AM$9-$AL$9)),$AN$9-SQRT((1-AX159)*($AN$9-$AL$9)*($AN$9-$AM$9))),$AM$9)</f>
        <v/>
      </c>
      <c r="AP159">
        <f>IFERROR(IF(AY159&lt;($AM$10-$AL$10)/($AN$10-$AL$10),$AL$10+SQRT(AY159*($AN$10-$AL$10)*($AM$10-$AL$10)),$AN$10-SQRT((1-AY159)*($AN$10-$AL$10)*($AN$10-$AM$10))),$AM$10)</f>
        <v/>
      </c>
      <c r="AQ159">
        <f>IFERROR(IF(AZ159&lt;($AM$11-$AL$11)/($AN$11-$AL$11),$AL$11+SQRT(AZ159*($AN$11-$AL$11)*($AM$11-$AL$11)),$AN$11-SQRT((1-AZ159)*($AN$11-$AL$11)*($AN$11-$AM$11))),$AM$11)</f>
        <v/>
      </c>
      <c r="AR159">
        <f>SUMPRODUCT((B24:B31&lt;=$B$6)*(C24:C31*AM159+D24:D31*AO159*$B$8*AQ159)/(1+AL159/100)^B24:B31)+C32*AM159*AP159/(1+AL159/100)^$B$6</f>
        <v/>
      </c>
      <c r="AS159">
        <f>SUMPRODUCT((K24:K26&lt;=$B$6)*(L24:L26*AN159+M24:M26*AO159*$B$8*AQ159)/(1+AL159/100)^K24:K26)+L27*AN159*AP159/(1+AL159/100)^$B$6</f>
        <v/>
      </c>
      <c r="AT159">
        <f>AS159-AR159</f>
        <v/>
      </c>
      <c r="AU159">
        <f>RAND()</f>
        <v/>
      </c>
      <c r="AV159">
        <f>RAND()</f>
        <v/>
      </c>
      <c r="AW159">
        <f>RAND()</f>
        <v/>
      </c>
      <c r="AX159">
        <f>RAND()</f>
        <v/>
      </c>
      <c r="AY159">
        <f>RAND()</f>
        <v/>
      </c>
      <c r="AZ159">
        <f>RAND()</f>
        <v/>
      </c>
    </row>
    <row r="160">
      <c r="A160" s="29" t="n">
        <v>0</v>
      </c>
      <c r="B160" s="18">
        <f>(SUMPRODUCT((K24:K26&lt;=$B$6)*(L24:L26*$B$12+M24:M26*$B$10*$B$8*$B$9)/(1+2/100)^K24:K26)+L27*$B$12*0/(1+2/100)^$B$6)-(SUMPRODUCT((B24:B31&lt;=$B$6)*(C24:C31*$B$11+D24:D31*$B$10*$B$8*$B$9)/(1+2/100)^B24:B31)+C32*$B$11*0/(1+2/100)^$B$6)</f>
        <v/>
      </c>
      <c r="C160" s="18">
        <f>(SUMPRODUCT((K24:K26&lt;=$B$6)*(L24:L26*$B$12+M24:M26*$B$10*$B$8*$B$9)/(1+3/100)^K24:K26)+L27*$B$12*0/(1+3/100)^$B$6)-(SUMPRODUCT((B24:B31&lt;=$B$6)*(C24:C31*$B$11+D24:D31*$B$10*$B$8*$B$9)/(1+3/100)^B24:B31)+C32*$B$11*0/(1+3/100)^$B$6)</f>
        <v/>
      </c>
      <c r="D160" s="18">
        <f>(SUMPRODUCT((K24:K26&lt;=$B$6)*(L24:L26*$B$12+M24:M26*$B$10*$B$8*$B$9)/(1+4/100)^K24:K26)+L27*$B$12*0/(1+4/100)^$B$6)-(SUMPRODUCT((B24:B31&lt;=$B$6)*(C24:C31*$B$11+D24:D31*$B$10*$B$8*$B$9)/(1+4/100)^B24:B31)+C32*$B$11*0/(1+4/100)^$B$6)</f>
        <v/>
      </c>
      <c r="E160" s="18">
        <f>(SUMPRODUCT((K24:K26&lt;=$B$6)*(L24:L26*$B$12+M24:M26*$B$10*$B$8*$B$9)/(1+5/100)^K24:K26)+L27*$B$12*0/(1+5/100)^$B$6)-(SUMPRODUCT((B24:B31&lt;=$B$6)*(C24:C31*$B$11+D24:D31*$B$10*$B$8*$B$9)/(1+5/100)^B24:B31)+C32*$B$11*0/(1+5/100)^$B$6)</f>
        <v/>
      </c>
      <c r="F160" s="18">
        <f>(SUMPRODUCT((K24:K26&lt;=$B$6)*(L24:L26*$B$12+M24:M26*$B$10*$B$8*$B$9)/(1+6/100)^K24:K26)+L27*$B$12*0/(1+6/100)^$B$6)-(SUMPRODUCT((B24:B31&lt;=$B$6)*(C24:C31*$B$11+D24:D31*$B$10*$B$8*$B$9)/(1+6/100)^B24:B31)+C32*$B$11*0/(1+6/100)^$B$6)</f>
        <v/>
      </c>
      <c r="G160" s="18">
        <f>(SUMPRODUCT((K24:K26&lt;=$B$6)*(L24:L26*$B$12+M24:M26*$B$10*$B$8*$B$9)/(1+7/100)^K24:K26)+L27*$B$12*0/(1+7/100)^$B$6)-(SUMPRODUCT((B24:B31&lt;=$B$6)*(C24:C31*$B$11+D24:D31*$B$10*$B$8*$B$9)/(1+7/100)^B24:B31)+C32*$B$11*0/(1+7/100)^$B$6)</f>
        <v/>
      </c>
      <c r="H160" s="18">
        <f>(SUMPRODUCT((K24:K26&lt;=$B$6)*(L24:L26*$B$12+M24:M26*$B$10*$B$8*$B$9)/(1+8/100)^K24:K26)+L27*$B$12*0/(1+8/100)^$B$6)-(SUMPRODUCT((B24:B31&lt;=$B$6)*(C24:C31*$B$11+D24:D31*$B$10*$B$8*$B$9)/(1+8/100)^B24:B31)+C32*$B$11*0/(1+8/100)^$B$6)</f>
        <v/>
      </c>
      <c r="AK160" t="n">
        <v>147</v>
      </c>
      <c r="AL160">
        <f>IFERROR(IF(AU160&lt;($AM$6-$AL$6)/($AN$6-$AL$6),$AL$6+SQRT(AU160*($AN$6-$AL$6)*($AM$6-$AL$6)),$AN$6-SQRT((1-AU160)*($AN$6-$AL$6)*($AN$6-$AM$6))),$AM$6)</f>
        <v/>
      </c>
      <c r="AM160">
        <f>IFERROR(IF(AV160&lt;($AM$7-$AL$7)/($AN$7-$AL$7),$AL$7+SQRT(AV160*($AN$7-$AL$7)*($AM$7-$AL$7)),$AN$7-SQRT((1-AV160)*($AN$7-$AL$7)*($AN$7-$AM$7))),$AM$7)</f>
        <v/>
      </c>
      <c r="AN160">
        <f>IFERROR(IF(AW160&lt;($AM$8-$AL$8)/($AN$8-$AL$8),$AL$8+SQRT(AW160*($AN$8-$AL$8)*($AM$8-$AL$8)),$AN$8-SQRT((1-AW160)*($AN$8-$AL$8)*($AN$8-$AM$8))),$AM$8)</f>
        <v/>
      </c>
      <c r="AO160">
        <f>IFERROR(IF(AX160&lt;($AM$9-$AL$9)/($AN$9-$AL$9),$AL$9+SQRT(AX160*($AN$9-$AL$9)*($AM$9-$AL$9)),$AN$9-SQRT((1-AX160)*($AN$9-$AL$9)*($AN$9-$AM$9))),$AM$9)</f>
        <v/>
      </c>
      <c r="AP160">
        <f>IFERROR(IF(AY160&lt;($AM$10-$AL$10)/($AN$10-$AL$10),$AL$10+SQRT(AY160*($AN$10-$AL$10)*($AM$10-$AL$10)),$AN$10-SQRT((1-AY160)*($AN$10-$AL$10)*($AN$10-$AM$10))),$AM$10)</f>
        <v/>
      </c>
      <c r="AQ160">
        <f>IFERROR(IF(AZ160&lt;($AM$11-$AL$11)/($AN$11-$AL$11),$AL$11+SQRT(AZ160*($AN$11-$AL$11)*($AM$11-$AL$11)),$AN$11-SQRT((1-AZ160)*($AN$11-$AL$11)*($AN$11-$AM$11))),$AM$11)</f>
        <v/>
      </c>
      <c r="AR160">
        <f>SUMPRODUCT((B24:B31&lt;=$B$6)*(C24:C31*AM160+D24:D31*AO160*$B$8*AQ160)/(1+AL160/100)^B24:B31)+C32*AM160*AP160/(1+AL160/100)^$B$6</f>
        <v/>
      </c>
      <c r="AS160">
        <f>SUMPRODUCT((K24:K26&lt;=$B$6)*(L24:L26*AN160+M24:M26*AO160*$B$8*AQ160)/(1+AL160/100)^K24:K26)+L27*AN160*AP160/(1+AL160/100)^$B$6</f>
        <v/>
      </c>
      <c r="AT160">
        <f>AS160-AR160</f>
        <v/>
      </c>
      <c r="AU160">
        <f>RAND()</f>
        <v/>
      </c>
      <c r="AV160">
        <f>RAND()</f>
        <v/>
      </c>
      <c r="AW160">
        <f>RAND()</f>
        <v/>
      </c>
      <c r="AX160">
        <f>RAND()</f>
        <v/>
      </c>
      <c r="AY160">
        <f>RAND()</f>
        <v/>
      </c>
      <c r="AZ160">
        <f>RAND()</f>
        <v/>
      </c>
    </row>
    <row r="161">
      <c r="A161" s="29" t="n">
        <v>0.25</v>
      </c>
      <c r="B161" s="18">
        <f>(SUMPRODUCT((K24:K26&lt;=$B$6)*(L24:L26*$B$12+M24:M26*$B$10*$B$8*$B$9)/(1+2/100)^K24:K26)+L27*$B$12*0.25/(1+2/100)^$B$6)-(SUMPRODUCT((B24:B31&lt;=$B$6)*(C24:C31*$B$11+D24:D31*$B$10*$B$8*$B$9)/(1+2/100)^B24:B31)+C32*$B$11*0.25/(1+2/100)^$B$6)</f>
        <v/>
      </c>
      <c r="C161" s="18">
        <f>(SUMPRODUCT((K24:K26&lt;=$B$6)*(L24:L26*$B$12+M24:M26*$B$10*$B$8*$B$9)/(1+3/100)^K24:K26)+L27*$B$12*0.25/(1+3/100)^$B$6)-(SUMPRODUCT((B24:B31&lt;=$B$6)*(C24:C31*$B$11+D24:D31*$B$10*$B$8*$B$9)/(1+3/100)^B24:B31)+C32*$B$11*0.25/(1+3/100)^$B$6)</f>
        <v/>
      </c>
      <c r="D161" s="18">
        <f>(SUMPRODUCT((K24:K26&lt;=$B$6)*(L24:L26*$B$12+M24:M26*$B$10*$B$8*$B$9)/(1+4/100)^K24:K26)+L27*$B$12*0.25/(1+4/100)^$B$6)-(SUMPRODUCT((B24:B31&lt;=$B$6)*(C24:C31*$B$11+D24:D31*$B$10*$B$8*$B$9)/(1+4/100)^B24:B31)+C32*$B$11*0.25/(1+4/100)^$B$6)</f>
        <v/>
      </c>
      <c r="E161" s="18">
        <f>(SUMPRODUCT((K24:K26&lt;=$B$6)*(L24:L26*$B$12+M24:M26*$B$10*$B$8*$B$9)/(1+5/100)^K24:K26)+L27*$B$12*0.25/(1+5/100)^$B$6)-(SUMPRODUCT((B24:B31&lt;=$B$6)*(C24:C31*$B$11+D24:D31*$B$10*$B$8*$B$9)/(1+5/100)^B24:B31)+C32*$B$11*0.25/(1+5/100)^$B$6)</f>
        <v/>
      </c>
      <c r="F161" s="18">
        <f>(SUMPRODUCT((K24:K26&lt;=$B$6)*(L24:L26*$B$12+M24:M26*$B$10*$B$8*$B$9)/(1+6/100)^K24:K26)+L27*$B$12*0.25/(1+6/100)^$B$6)-(SUMPRODUCT((B24:B31&lt;=$B$6)*(C24:C31*$B$11+D24:D31*$B$10*$B$8*$B$9)/(1+6/100)^B24:B31)+C32*$B$11*0.25/(1+6/100)^$B$6)</f>
        <v/>
      </c>
      <c r="G161" s="18">
        <f>(SUMPRODUCT((K24:K26&lt;=$B$6)*(L24:L26*$B$12+M24:M26*$B$10*$B$8*$B$9)/(1+7/100)^K24:K26)+L27*$B$12*0.25/(1+7/100)^$B$6)-(SUMPRODUCT((B24:B31&lt;=$B$6)*(C24:C31*$B$11+D24:D31*$B$10*$B$8*$B$9)/(1+7/100)^B24:B31)+C32*$B$11*0.25/(1+7/100)^$B$6)</f>
        <v/>
      </c>
      <c r="H161" s="18">
        <f>(SUMPRODUCT((K24:K26&lt;=$B$6)*(L24:L26*$B$12+M24:M26*$B$10*$B$8*$B$9)/(1+8/100)^K24:K26)+L27*$B$12*0.25/(1+8/100)^$B$6)-(SUMPRODUCT((B24:B31&lt;=$B$6)*(C24:C31*$B$11+D24:D31*$B$10*$B$8*$B$9)/(1+8/100)^B24:B31)+C32*$B$11*0.25/(1+8/100)^$B$6)</f>
        <v/>
      </c>
      <c r="AK161" t="n">
        <v>148</v>
      </c>
      <c r="AL161">
        <f>IFERROR(IF(AU161&lt;($AM$6-$AL$6)/($AN$6-$AL$6),$AL$6+SQRT(AU161*($AN$6-$AL$6)*($AM$6-$AL$6)),$AN$6-SQRT((1-AU161)*($AN$6-$AL$6)*($AN$6-$AM$6))),$AM$6)</f>
        <v/>
      </c>
      <c r="AM161">
        <f>IFERROR(IF(AV161&lt;($AM$7-$AL$7)/($AN$7-$AL$7),$AL$7+SQRT(AV161*($AN$7-$AL$7)*($AM$7-$AL$7)),$AN$7-SQRT((1-AV161)*($AN$7-$AL$7)*($AN$7-$AM$7))),$AM$7)</f>
        <v/>
      </c>
      <c r="AN161">
        <f>IFERROR(IF(AW161&lt;($AM$8-$AL$8)/($AN$8-$AL$8),$AL$8+SQRT(AW161*($AN$8-$AL$8)*($AM$8-$AL$8)),$AN$8-SQRT((1-AW161)*($AN$8-$AL$8)*($AN$8-$AM$8))),$AM$8)</f>
        <v/>
      </c>
      <c r="AO161">
        <f>IFERROR(IF(AX161&lt;($AM$9-$AL$9)/($AN$9-$AL$9),$AL$9+SQRT(AX161*($AN$9-$AL$9)*($AM$9-$AL$9)),$AN$9-SQRT((1-AX161)*($AN$9-$AL$9)*($AN$9-$AM$9))),$AM$9)</f>
        <v/>
      </c>
      <c r="AP161">
        <f>IFERROR(IF(AY161&lt;($AM$10-$AL$10)/($AN$10-$AL$10),$AL$10+SQRT(AY161*($AN$10-$AL$10)*($AM$10-$AL$10)),$AN$10-SQRT((1-AY161)*($AN$10-$AL$10)*($AN$10-$AM$10))),$AM$10)</f>
        <v/>
      </c>
      <c r="AQ161">
        <f>IFERROR(IF(AZ161&lt;($AM$11-$AL$11)/($AN$11-$AL$11),$AL$11+SQRT(AZ161*($AN$11-$AL$11)*($AM$11-$AL$11)),$AN$11-SQRT((1-AZ161)*($AN$11-$AL$11)*($AN$11-$AM$11))),$AM$11)</f>
        <v/>
      </c>
      <c r="AR161">
        <f>SUMPRODUCT((B24:B31&lt;=$B$6)*(C24:C31*AM161+D24:D31*AO161*$B$8*AQ161)/(1+AL161/100)^B24:B31)+C32*AM161*AP161/(1+AL161/100)^$B$6</f>
        <v/>
      </c>
      <c r="AS161">
        <f>SUMPRODUCT((K24:K26&lt;=$B$6)*(L24:L26*AN161+M24:M26*AO161*$B$8*AQ161)/(1+AL161/100)^K24:K26)+L27*AN161*AP161/(1+AL161/100)^$B$6</f>
        <v/>
      </c>
      <c r="AT161">
        <f>AS161-AR161</f>
        <v/>
      </c>
      <c r="AU161">
        <f>RAND()</f>
        <v/>
      </c>
      <c r="AV161">
        <f>RAND()</f>
        <v/>
      </c>
      <c r="AW161">
        <f>RAND()</f>
        <v/>
      </c>
      <c r="AX161">
        <f>RAND()</f>
        <v/>
      </c>
      <c r="AY161">
        <f>RAND()</f>
        <v/>
      </c>
      <c r="AZ161">
        <f>RAND()</f>
        <v/>
      </c>
    </row>
    <row r="162">
      <c r="A162" s="29" t="n">
        <v>0.5</v>
      </c>
      <c r="B162" s="18">
        <f>(SUMPRODUCT((K24:K26&lt;=$B$6)*(L24:L26*$B$12+M24:M26*$B$10*$B$8*$B$9)/(1+2/100)^K24:K26)+L27*$B$12*0.5/(1+2/100)^$B$6)-(SUMPRODUCT((B24:B31&lt;=$B$6)*(C24:C31*$B$11+D24:D31*$B$10*$B$8*$B$9)/(1+2/100)^B24:B31)+C32*$B$11*0.5/(1+2/100)^$B$6)</f>
        <v/>
      </c>
      <c r="C162" s="18">
        <f>(SUMPRODUCT((K24:K26&lt;=$B$6)*(L24:L26*$B$12+M24:M26*$B$10*$B$8*$B$9)/(1+3/100)^K24:K26)+L27*$B$12*0.5/(1+3/100)^$B$6)-(SUMPRODUCT((B24:B31&lt;=$B$6)*(C24:C31*$B$11+D24:D31*$B$10*$B$8*$B$9)/(1+3/100)^B24:B31)+C32*$B$11*0.5/(1+3/100)^$B$6)</f>
        <v/>
      </c>
      <c r="D162" s="18">
        <f>(SUMPRODUCT((K24:K26&lt;=$B$6)*(L24:L26*$B$12+M24:M26*$B$10*$B$8*$B$9)/(1+4/100)^K24:K26)+L27*$B$12*0.5/(1+4/100)^$B$6)-(SUMPRODUCT((B24:B31&lt;=$B$6)*(C24:C31*$B$11+D24:D31*$B$10*$B$8*$B$9)/(1+4/100)^B24:B31)+C32*$B$11*0.5/(1+4/100)^$B$6)</f>
        <v/>
      </c>
      <c r="E162" s="18">
        <f>(SUMPRODUCT((K24:K26&lt;=$B$6)*(L24:L26*$B$12+M24:M26*$B$10*$B$8*$B$9)/(1+5/100)^K24:K26)+L27*$B$12*0.5/(1+5/100)^$B$6)-(SUMPRODUCT((B24:B31&lt;=$B$6)*(C24:C31*$B$11+D24:D31*$B$10*$B$8*$B$9)/(1+5/100)^B24:B31)+C32*$B$11*0.5/(1+5/100)^$B$6)</f>
        <v/>
      </c>
      <c r="F162" s="18">
        <f>(SUMPRODUCT((K24:K26&lt;=$B$6)*(L24:L26*$B$12+M24:M26*$B$10*$B$8*$B$9)/(1+6/100)^K24:K26)+L27*$B$12*0.5/(1+6/100)^$B$6)-(SUMPRODUCT((B24:B31&lt;=$B$6)*(C24:C31*$B$11+D24:D31*$B$10*$B$8*$B$9)/(1+6/100)^B24:B31)+C32*$B$11*0.5/(1+6/100)^$B$6)</f>
        <v/>
      </c>
      <c r="G162" s="18">
        <f>(SUMPRODUCT((K24:K26&lt;=$B$6)*(L24:L26*$B$12+M24:M26*$B$10*$B$8*$B$9)/(1+7/100)^K24:K26)+L27*$B$12*0.5/(1+7/100)^$B$6)-(SUMPRODUCT((B24:B31&lt;=$B$6)*(C24:C31*$B$11+D24:D31*$B$10*$B$8*$B$9)/(1+7/100)^B24:B31)+C32*$B$11*0.5/(1+7/100)^$B$6)</f>
        <v/>
      </c>
      <c r="H162" s="18">
        <f>(SUMPRODUCT((K24:K26&lt;=$B$6)*(L24:L26*$B$12+M24:M26*$B$10*$B$8*$B$9)/(1+8/100)^K24:K26)+L27*$B$12*0.5/(1+8/100)^$B$6)-(SUMPRODUCT((B24:B31&lt;=$B$6)*(C24:C31*$B$11+D24:D31*$B$10*$B$8*$B$9)/(1+8/100)^B24:B31)+C32*$B$11*0.5/(1+8/100)^$B$6)</f>
        <v/>
      </c>
      <c r="AK162" t="n">
        <v>149</v>
      </c>
      <c r="AL162">
        <f>IFERROR(IF(AU162&lt;($AM$6-$AL$6)/($AN$6-$AL$6),$AL$6+SQRT(AU162*($AN$6-$AL$6)*($AM$6-$AL$6)),$AN$6-SQRT((1-AU162)*($AN$6-$AL$6)*($AN$6-$AM$6))),$AM$6)</f>
        <v/>
      </c>
      <c r="AM162">
        <f>IFERROR(IF(AV162&lt;($AM$7-$AL$7)/($AN$7-$AL$7),$AL$7+SQRT(AV162*($AN$7-$AL$7)*($AM$7-$AL$7)),$AN$7-SQRT((1-AV162)*($AN$7-$AL$7)*($AN$7-$AM$7))),$AM$7)</f>
        <v/>
      </c>
      <c r="AN162">
        <f>IFERROR(IF(AW162&lt;($AM$8-$AL$8)/($AN$8-$AL$8),$AL$8+SQRT(AW162*($AN$8-$AL$8)*($AM$8-$AL$8)),$AN$8-SQRT((1-AW162)*($AN$8-$AL$8)*($AN$8-$AM$8))),$AM$8)</f>
        <v/>
      </c>
      <c r="AO162">
        <f>IFERROR(IF(AX162&lt;($AM$9-$AL$9)/($AN$9-$AL$9),$AL$9+SQRT(AX162*($AN$9-$AL$9)*($AM$9-$AL$9)),$AN$9-SQRT((1-AX162)*($AN$9-$AL$9)*($AN$9-$AM$9))),$AM$9)</f>
        <v/>
      </c>
      <c r="AP162">
        <f>IFERROR(IF(AY162&lt;($AM$10-$AL$10)/($AN$10-$AL$10),$AL$10+SQRT(AY162*($AN$10-$AL$10)*($AM$10-$AL$10)),$AN$10-SQRT((1-AY162)*($AN$10-$AL$10)*($AN$10-$AM$10))),$AM$10)</f>
        <v/>
      </c>
      <c r="AQ162">
        <f>IFERROR(IF(AZ162&lt;($AM$11-$AL$11)/($AN$11-$AL$11),$AL$11+SQRT(AZ162*($AN$11-$AL$11)*($AM$11-$AL$11)),$AN$11-SQRT((1-AZ162)*($AN$11-$AL$11)*($AN$11-$AM$11))),$AM$11)</f>
        <v/>
      </c>
      <c r="AR162">
        <f>SUMPRODUCT((B24:B31&lt;=$B$6)*(C24:C31*AM162+D24:D31*AO162*$B$8*AQ162)/(1+AL162/100)^B24:B31)+C32*AM162*AP162/(1+AL162/100)^$B$6</f>
        <v/>
      </c>
      <c r="AS162">
        <f>SUMPRODUCT((K24:K26&lt;=$B$6)*(L24:L26*AN162+M24:M26*AO162*$B$8*AQ162)/(1+AL162/100)^K24:K26)+L27*AN162*AP162/(1+AL162/100)^$B$6</f>
        <v/>
      </c>
      <c r="AT162">
        <f>AS162-AR162</f>
        <v/>
      </c>
      <c r="AU162">
        <f>RAND()</f>
        <v/>
      </c>
      <c r="AV162">
        <f>RAND()</f>
        <v/>
      </c>
      <c r="AW162">
        <f>RAND()</f>
        <v/>
      </c>
      <c r="AX162">
        <f>RAND()</f>
        <v/>
      </c>
      <c r="AY162">
        <f>RAND()</f>
        <v/>
      </c>
      <c r="AZ162">
        <f>RAND()</f>
        <v/>
      </c>
    </row>
    <row r="163">
      <c r="A163" s="29" t="n">
        <v>0.75</v>
      </c>
      <c r="B163" s="18">
        <f>(SUMPRODUCT((K24:K26&lt;=$B$6)*(L24:L26*$B$12+M24:M26*$B$10*$B$8*$B$9)/(1+2/100)^K24:K26)+L27*$B$12*0.75/(1+2/100)^$B$6)-(SUMPRODUCT((B24:B31&lt;=$B$6)*(C24:C31*$B$11+D24:D31*$B$10*$B$8*$B$9)/(1+2/100)^B24:B31)+C32*$B$11*0.75/(1+2/100)^$B$6)</f>
        <v/>
      </c>
      <c r="C163" s="18">
        <f>(SUMPRODUCT((K24:K26&lt;=$B$6)*(L24:L26*$B$12+M24:M26*$B$10*$B$8*$B$9)/(1+3/100)^K24:K26)+L27*$B$12*0.75/(1+3/100)^$B$6)-(SUMPRODUCT((B24:B31&lt;=$B$6)*(C24:C31*$B$11+D24:D31*$B$10*$B$8*$B$9)/(1+3/100)^B24:B31)+C32*$B$11*0.75/(1+3/100)^$B$6)</f>
        <v/>
      </c>
      <c r="D163" s="18">
        <f>(SUMPRODUCT((K24:K26&lt;=$B$6)*(L24:L26*$B$12+M24:M26*$B$10*$B$8*$B$9)/(1+4/100)^K24:K26)+L27*$B$12*0.75/(1+4/100)^$B$6)-(SUMPRODUCT((B24:B31&lt;=$B$6)*(C24:C31*$B$11+D24:D31*$B$10*$B$8*$B$9)/(1+4/100)^B24:B31)+C32*$B$11*0.75/(1+4/100)^$B$6)</f>
        <v/>
      </c>
      <c r="E163" s="18">
        <f>(SUMPRODUCT((K24:K26&lt;=$B$6)*(L24:L26*$B$12+M24:M26*$B$10*$B$8*$B$9)/(1+5/100)^K24:K26)+L27*$B$12*0.75/(1+5/100)^$B$6)-(SUMPRODUCT((B24:B31&lt;=$B$6)*(C24:C31*$B$11+D24:D31*$B$10*$B$8*$B$9)/(1+5/100)^B24:B31)+C32*$B$11*0.75/(1+5/100)^$B$6)</f>
        <v/>
      </c>
      <c r="F163" s="18">
        <f>(SUMPRODUCT((K24:K26&lt;=$B$6)*(L24:L26*$B$12+M24:M26*$B$10*$B$8*$B$9)/(1+6/100)^K24:K26)+L27*$B$12*0.75/(1+6/100)^$B$6)-(SUMPRODUCT((B24:B31&lt;=$B$6)*(C24:C31*$B$11+D24:D31*$B$10*$B$8*$B$9)/(1+6/100)^B24:B31)+C32*$B$11*0.75/(1+6/100)^$B$6)</f>
        <v/>
      </c>
      <c r="G163" s="18">
        <f>(SUMPRODUCT((K24:K26&lt;=$B$6)*(L24:L26*$B$12+M24:M26*$B$10*$B$8*$B$9)/(1+7/100)^K24:K26)+L27*$B$12*0.75/(1+7/100)^$B$6)-(SUMPRODUCT((B24:B31&lt;=$B$6)*(C24:C31*$B$11+D24:D31*$B$10*$B$8*$B$9)/(1+7/100)^B24:B31)+C32*$B$11*0.75/(1+7/100)^$B$6)</f>
        <v/>
      </c>
      <c r="H163" s="18">
        <f>(SUMPRODUCT((K24:K26&lt;=$B$6)*(L24:L26*$B$12+M24:M26*$B$10*$B$8*$B$9)/(1+8/100)^K24:K26)+L27*$B$12*0.75/(1+8/100)^$B$6)-(SUMPRODUCT((B24:B31&lt;=$B$6)*(C24:C31*$B$11+D24:D31*$B$10*$B$8*$B$9)/(1+8/100)^B24:B31)+C32*$B$11*0.75/(1+8/100)^$B$6)</f>
        <v/>
      </c>
      <c r="AK163" t="n">
        <v>150</v>
      </c>
      <c r="AL163">
        <f>IFERROR(IF(AU163&lt;($AM$6-$AL$6)/($AN$6-$AL$6),$AL$6+SQRT(AU163*($AN$6-$AL$6)*($AM$6-$AL$6)),$AN$6-SQRT((1-AU163)*($AN$6-$AL$6)*($AN$6-$AM$6))),$AM$6)</f>
        <v/>
      </c>
      <c r="AM163">
        <f>IFERROR(IF(AV163&lt;($AM$7-$AL$7)/($AN$7-$AL$7),$AL$7+SQRT(AV163*($AN$7-$AL$7)*($AM$7-$AL$7)),$AN$7-SQRT((1-AV163)*($AN$7-$AL$7)*($AN$7-$AM$7))),$AM$7)</f>
        <v/>
      </c>
      <c r="AN163">
        <f>IFERROR(IF(AW163&lt;($AM$8-$AL$8)/($AN$8-$AL$8),$AL$8+SQRT(AW163*($AN$8-$AL$8)*($AM$8-$AL$8)),$AN$8-SQRT((1-AW163)*($AN$8-$AL$8)*($AN$8-$AM$8))),$AM$8)</f>
        <v/>
      </c>
      <c r="AO163">
        <f>IFERROR(IF(AX163&lt;($AM$9-$AL$9)/($AN$9-$AL$9),$AL$9+SQRT(AX163*($AN$9-$AL$9)*($AM$9-$AL$9)),$AN$9-SQRT((1-AX163)*($AN$9-$AL$9)*($AN$9-$AM$9))),$AM$9)</f>
        <v/>
      </c>
      <c r="AP163">
        <f>IFERROR(IF(AY163&lt;($AM$10-$AL$10)/($AN$10-$AL$10),$AL$10+SQRT(AY163*($AN$10-$AL$10)*($AM$10-$AL$10)),$AN$10-SQRT((1-AY163)*($AN$10-$AL$10)*($AN$10-$AM$10))),$AM$10)</f>
        <v/>
      </c>
      <c r="AQ163">
        <f>IFERROR(IF(AZ163&lt;($AM$11-$AL$11)/($AN$11-$AL$11),$AL$11+SQRT(AZ163*($AN$11-$AL$11)*($AM$11-$AL$11)),$AN$11-SQRT((1-AZ163)*($AN$11-$AL$11)*($AN$11-$AM$11))),$AM$11)</f>
        <v/>
      </c>
      <c r="AR163">
        <f>SUMPRODUCT((B24:B31&lt;=$B$6)*(C24:C31*AM163+D24:D31*AO163*$B$8*AQ163)/(1+AL163/100)^B24:B31)+C32*AM163*AP163/(1+AL163/100)^$B$6</f>
        <v/>
      </c>
      <c r="AS163">
        <f>SUMPRODUCT((K24:K26&lt;=$B$6)*(L24:L26*AN163+M24:M26*AO163*$B$8*AQ163)/(1+AL163/100)^K24:K26)+L27*AN163*AP163/(1+AL163/100)^$B$6</f>
        <v/>
      </c>
      <c r="AT163">
        <f>AS163-AR163</f>
        <v/>
      </c>
      <c r="AU163">
        <f>RAND()</f>
        <v/>
      </c>
      <c r="AV163">
        <f>RAND()</f>
        <v/>
      </c>
      <c r="AW163">
        <f>RAND()</f>
        <v/>
      </c>
      <c r="AX163">
        <f>RAND()</f>
        <v/>
      </c>
      <c r="AY163">
        <f>RAND()</f>
        <v/>
      </c>
      <c r="AZ163">
        <f>RAND()</f>
        <v/>
      </c>
    </row>
    <row r="164">
      <c r="A164" s="29" t="n">
        <v>1</v>
      </c>
      <c r="B164" s="18">
        <f>(SUMPRODUCT((K24:K26&lt;=$B$6)*(L24:L26*$B$12+M24:M26*$B$10*$B$8*$B$9)/(1+2/100)^K24:K26)+L27*$B$12*1.0/(1+2/100)^$B$6)-(SUMPRODUCT((B24:B31&lt;=$B$6)*(C24:C31*$B$11+D24:D31*$B$10*$B$8*$B$9)/(1+2/100)^B24:B31)+C32*$B$11*1.0/(1+2/100)^$B$6)</f>
        <v/>
      </c>
      <c r="C164" s="18">
        <f>(SUMPRODUCT((K24:K26&lt;=$B$6)*(L24:L26*$B$12+M24:M26*$B$10*$B$8*$B$9)/(1+3/100)^K24:K26)+L27*$B$12*1.0/(1+3/100)^$B$6)-(SUMPRODUCT((B24:B31&lt;=$B$6)*(C24:C31*$B$11+D24:D31*$B$10*$B$8*$B$9)/(1+3/100)^B24:B31)+C32*$B$11*1.0/(1+3/100)^$B$6)</f>
        <v/>
      </c>
      <c r="D164" s="18">
        <f>(SUMPRODUCT((K24:K26&lt;=$B$6)*(L24:L26*$B$12+M24:M26*$B$10*$B$8*$B$9)/(1+4/100)^K24:K26)+L27*$B$12*1.0/(1+4/100)^$B$6)-(SUMPRODUCT((B24:B31&lt;=$B$6)*(C24:C31*$B$11+D24:D31*$B$10*$B$8*$B$9)/(1+4/100)^B24:B31)+C32*$B$11*1.0/(1+4/100)^$B$6)</f>
        <v/>
      </c>
      <c r="E164" s="18">
        <f>(SUMPRODUCT((K24:K26&lt;=$B$6)*(L24:L26*$B$12+M24:M26*$B$10*$B$8*$B$9)/(1+5/100)^K24:K26)+L27*$B$12*1.0/(1+5/100)^$B$6)-(SUMPRODUCT((B24:B31&lt;=$B$6)*(C24:C31*$B$11+D24:D31*$B$10*$B$8*$B$9)/(1+5/100)^B24:B31)+C32*$B$11*1.0/(1+5/100)^$B$6)</f>
        <v/>
      </c>
      <c r="F164" s="18">
        <f>(SUMPRODUCT((K24:K26&lt;=$B$6)*(L24:L26*$B$12+M24:M26*$B$10*$B$8*$B$9)/(1+6/100)^K24:K26)+L27*$B$12*1.0/(1+6/100)^$B$6)-(SUMPRODUCT((B24:B31&lt;=$B$6)*(C24:C31*$B$11+D24:D31*$B$10*$B$8*$B$9)/(1+6/100)^B24:B31)+C32*$B$11*1.0/(1+6/100)^$B$6)</f>
        <v/>
      </c>
      <c r="G164" s="18">
        <f>(SUMPRODUCT((K24:K26&lt;=$B$6)*(L24:L26*$B$12+M24:M26*$B$10*$B$8*$B$9)/(1+7/100)^K24:K26)+L27*$B$12*1.0/(1+7/100)^$B$6)-(SUMPRODUCT((B24:B31&lt;=$B$6)*(C24:C31*$B$11+D24:D31*$B$10*$B$8*$B$9)/(1+7/100)^B24:B31)+C32*$B$11*1.0/(1+7/100)^$B$6)</f>
        <v/>
      </c>
      <c r="H164" s="18">
        <f>(SUMPRODUCT((K24:K26&lt;=$B$6)*(L24:L26*$B$12+M24:M26*$B$10*$B$8*$B$9)/(1+8/100)^K24:K26)+L27*$B$12*1.0/(1+8/100)^$B$6)-(SUMPRODUCT((B24:B31&lt;=$B$6)*(C24:C31*$B$11+D24:D31*$B$10*$B$8*$B$9)/(1+8/100)^B24:B31)+C32*$B$11*1.0/(1+8/100)^$B$6)</f>
        <v/>
      </c>
      <c r="AK164" t="n">
        <v>151</v>
      </c>
      <c r="AL164">
        <f>IFERROR(IF(AU164&lt;($AM$6-$AL$6)/($AN$6-$AL$6),$AL$6+SQRT(AU164*($AN$6-$AL$6)*($AM$6-$AL$6)),$AN$6-SQRT((1-AU164)*($AN$6-$AL$6)*($AN$6-$AM$6))),$AM$6)</f>
        <v/>
      </c>
      <c r="AM164">
        <f>IFERROR(IF(AV164&lt;($AM$7-$AL$7)/($AN$7-$AL$7),$AL$7+SQRT(AV164*($AN$7-$AL$7)*($AM$7-$AL$7)),$AN$7-SQRT((1-AV164)*($AN$7-$AL$7)*($AN$7-$AM$7))),$AM$7)</f>
        <v/>
      </c>
      <c r="AN164">
        <f>IFERROR(IF(AW164&lt;($AM$8-$AL$8)/($AN$8-$AL$8),$AL$8+SQRT(AW164*($AN$8-$AL$8)*($AM$8-$AL$8)),$AN$8-SQRT((1-AW164)*($AN$8-$AL$8)*($AN$8-$AM$8))),$AM$8)</f>
        <v/>
      </c>
      <c r="AO164">
        <f>IFERROR(IF(AX164&lt;($AM$9-$AL$9)/($AN$9-$AL$9),$AL$9+SQRT(AX164*($AN$9-$AL$9)*($AM$9-$AL$9)),$AN$9-SQRT((1-AX164)*($AN$9-$AL$9)*($AN$9-$AM$9))),$AM$9)</f>
        <v/>
      </c>
      <c r="AP164">
        <f>IFERROR(IF(AY164&lt;($AM$10-$AL$10)/($AN$10-$AL$10),$AL$10+SQRT(AY164*($AN$10-$AL$10)*($AM$10-$AL$10)),$AN$10-SQRT((1-AY164)*($AN$10-$AL$10)*($AN$10-$AM$10))),$AM$10)</f>
        <v/>
      </c>
      <c r="AQ164">
        <f>IFERROR(IF(AZ164&lt;($AM$11-$AL$11)/($AN$11-$AL$11),$AL$11+SQRT(AZ164*($AN$11-$AL$11)*($AM$11-$AL$11)),$AN$11-SQRT((1-AZ164)*($AN$11-$AL$11)*($AN$11-$AM$11))),$AM$11)</f>
        <v/>
      </c>
      <c r="AR164">
        <f>SUMPRODUCT((B24:B31&lt;=$B$6)*(C24:C31*AM164+D24:D31*AO164*$B$8*AQ164)/(1+AL164/100)^B24:B31)+C32*AM164*AP164/(1+AL164/100)^$B$6</f>
        <v/>
      </c>
      <c r="AS164">
        <f>SUMPRODUCT((K24:K26&lt;=$B$6)*(L24:L26*AN164+M24:M26*AO164*$B$8*AQ164)/(1+AL164/100)^K24:K26)+L27*AN164*AP164/(1+AL164/100)^$B$6</f>
        <v/>
      </c>
      <c r="AT164">
        <f>AS164-AR164</f>
        <v/>
      </c>
      <c r="AU164">
        <f>RAND()</f>
        <v/>
      </c>
      <c r="AV164">
        <f>RAND()</f>
        <v/>
      </c>
      <c r="AW164">
        <f>RAND()</f>
        <v/>
      </c>
      <c r="AX164">
        <f>RAND()</f>
        <v/>
      </c>
      <c r="AY164">
        <f>RAND()</f>
        <v/>
      </c>
      <c r="AZ164">
        <f>RAND()</f>
        <v/>
      </c>
    </row>
    <row r="165">
      <c r="A165" s="5" t="inlineStr">
        <is>
          <t>Orange = PCC lower, blue = HMA lower. White cells are within a rounding error of a tie.</t>
        </is>
      </c>
      <c r="AK165" t="n">
        <v>152</v>
      </c>
      <c r="AL165">
        <f>IFERROR(IF(AU165&lt;($AM$6-$AL$6)/($AN$6-$AL$6),$AL$6+SQRT(AU165*($AN$6-$AL$6)*($AM$6-$AL$6)),$AN$6-SQRT((1-AU165)*($AN$6-$AL$6)*($AN$6-$AM$6))),$AM$6)</f>
        <v/>
      </c>
      <c r="AM165">
        <f>IFERROR(IF(AV165&lt;($AM$7-$AL$7)/($AN$7-$AL$7),$AL$7+SQRT(AV165*($AN$7-$AL$7)*($AM$7-$AL$7)),$AN$7-SQRT((1-AV165)*($AN$7-$AL$7)*($AN$7-$AM$7))),$AM$7)</f>
        <v/>
      </c>
      <c r="AN165">
        <f>IFERROR(IF(AW165&lt;($AM$8-$AL$8)/($AN$8-$AL$8),$AL$8+SQRT(AW165*($AN$8-$AL$8)*($AM$8-$AL$8)),$AN$8-SQRT((1-AW165)*($AN$8-$AL$8)*($AN$8-$AM$8))),$AM$8)</f>
        <v/>
      </c>
      <c r="AO165">
        <f>IFERROR(IF(AX165&lt;($AM$9-$AL$9)/($AN$9-$AL$9),$AL$9+SQRT(AX165*($AN$9-$AL$9)*($AM$9-$AL$9)),$AN$9-SQRT((1-AX165)*($AN$9-$AL$9)*($AN$9-$AM$9))),$AM$9)</f>
        <v/>
      </c>
      <c r="AP165">
        <f>IFERROR(IF(AY165&lt;($AM$10-$AL$10)/($AN$10-$AL$10),$AL$10+SQRT(AY165*($AN$10-$AL$10)*($AM$10-$AL$10)),$AN$10-SQRT((1-AY165)*($AN$10-$AL$10)*($AN$10-$AM$10))),$AM$10)</f>
        <v/>
      </c>
      <c r="AQ165">
        <f>IFERROR(IF(AZ165&lt;($AM$11-$AL$11)/($AN$11-$AL$11),$AL$11+SQRT(AZ165*($AN$11-$AL$11)*($AM$11-$AL$11)),$AN$11-SQRT((1-AZ165)*($AN$11-$AL$11)*($AN$11-$AM$11))),$AM$11)</f>
        <v/>
      </c>
      <c r="AR165">
        <f>SUMPRODUCT((B24:B31&lt;=$B$6)*(C24:C31*AM165+D24:D31*AO165*$B$8*AQ165)/(1+AL165/100)^B24:B31)+C32*AM165*AP165/(1+AL165/100)^$B$6</f>
        <v/>
      </c>
      <c r="AS165">
        <f>SUMPRODUCT((K24:K26&lt;=$B$6)*(L24:L26*AN165+M24:M26*AO165*$B$8*AQ165)/(1+AL165/100)^K24:K26)+L27*AN165*AP165/(1+AL165/100)^$B$6</f>
        <v/>
      </c>
      <c r="AT165">
        <f>AS165-AR165</f>
        <v/>
      </c>
      <c r="AU165">
        <f>RAND()</f>
        <v/>
      </c>
      <c r="AV165">
        <f>RAND()</f>
        <v/>
      </c>
      <c r="AW165">
        <f>RAND()</f>
        <v/>
      </c>
      <c r="AX165">
        <f>RAND()</f>
        <v/>
      </c>
      <c r="AY165">
        <f>RAND()</f>
        <v/>
      </c>
      <c r="AZ165">
        <f>RAND()</f>
        <v/>
      </c>
    </row>
    <row r="166">
      <c r="AK166" t="n">
        <v>153</v>
      </c>
      <c r="AL166">
        <f>IFERROR(IF(AU166&lt;($AM$6-$AL$6)/($AN$6-$AL$6),$AL$6+SQRT(AU166*($AN$6-$AL$6)*($AM$6-$AL$6)),$AN$6-SQRT((1-AU166)*($AN$6-$AL$6)*($AN$6-$AM$6))),$AM$6)</f>
        <v/>
      </c>
      <c r="AM166">
        <f>IFERROR(IF(AV166&lt;($AM$7-$AL$7)/($AN$7-$AL$7),$AL$7+SQRT(AV166*($AN$7-$AL$7)*($AM$7-$AL$7)),$AN$7-SQRT((1-AV166)*($AN$7-$AL$7)*($AN$7-$AM$7))),$AM$7)</f>
        <v/>
      </c>
      <c r="AN166">
        <f>IFERROR(IF(AW166&lt;($AM$8-$AL$8)/($AN$8-$AL$8),$AL$8+SQRT(AW166*($AN$8-$AL$8)*($AM$8-$AL$8)),$AN$8-SQRT((1-AW166)*($AN$8-$AL$8)*($AN$8-$AM$8))),$AM$8)</f>
        <v/>
      </c>
      <c r="AO166">
        <f>IFERROR(IF(AX166&lt;($AM$9-$AL$9)/($AN$9-$AL$9),$AL$9+SQRT(AX166*($AN$9-$AL$9)*($AM$9-$AL$9)),$AN$9-SQRT((1-AX166)*($AN$9-$AL$9)*($AN$9-$AM$9))),$AM$9)</f>
        <v/>
      </c>
      <c r="AP166">
        <f>IFERROR(IF(AY166&lt;($AM$10-$AL$10)/($AN$10-$AL$10),$AL$10+SQRT(AY166*($AN$10-$AL$10)*($AM$10-$AL$10)),$AN$10-SQRT((1-AY166)*($AN$10-$AL$10)*($AN$10-$AM$10))),$AM$10)</f>
        <v/>
      </c>
      <c r="AQ166">
        <f>IFERROR(IF(AZ166&lt;($AM$11-$AL$11)/($AN$11-$AL$11),$AL$11+SQRT(AZ166*($AN$11-$AL$11)*($AM$11-$AL$11)),$AN$11-SQRT((1-AZ166)*($AN$11-$AL$11)*($AN$11-$AM$11))),$AM$11)</f>
        <v/>
      </c>
      <c r="AR166">
        <f>SUMPRODUCT((B24:B31&lt;=$B$6)*(C24:C31*AM166+D24:D31*AO166*$B$8*AQ166)/(1+AL166/100)^B24:B31)+C32*AM166*AP166/(1+AL166/100)^$B$6</f>
        <v/>
      </c>
      <c r="AS166">
        <f>SUMPRODUCT((K24:K26&lt;=$B$6)*(L24:L26*AN166+M24:M26*AO166*$B$8*AQ166)/(1+AL166/100)^K24:K26)+L27*AN166*AP166/(1+AL166/100)^$B$6</f>
        <v/>
      </c>
      <c r="AT166">
        <f>AS166-AR166</f>
        <v/>
      </c>
      <c r="AU166">
        <f>RAND()</f>
        <v/>
      </c>
      <c r="AV166">
        <f>RAND()</f>
        <v/>
      </c>
      <c r="AW166">
        <f>RAND()</f>
        <v/>
      </c>
      <c r="AX166">
        <f>RAND()</f>
        <v/>
      </c>
      <c r="AY166">
        <f>RAND()</f>
        <v/>
      </c>
      <c r="AZ166">
        <f>RAND()</f>
        <v/>
      </c>
    </row>
    <row r="167">
      <c r="AK167" t="n">
        <v>154</v>
      </c>
      <c r="AL167">
        <f>IFERROR(IF(AU167&lt;($AM$6-$AL$6)/($AN$6-$AL$6),$AL$6+SQRT(AU167*($AN$6-$AL$6)*($AM$6-$AL$6)),$AN$6-SQRT((1-AU167)*($AN$6-$AL$6)*($AN$6-$AM$6))),$AM$6)</f>
        <v/>
      </c>
      <c r="AM167">
        <f>IFERROR(IF(AV167&lt;($AM$7-$AL$7)/($AN$7-$AL$7),$AL$7+SQRT(AV167*($AN$7-$AL$7)*($AM$7-$AL$7)),$AN$7-SQRT((1-AV167)*($AN$7-$AL$7)*($AN$7-$AM$7))),$AM$7)</f>
        <v/>
      </c>
      <c r="AN167">
        <f>IFERROR(IF(AW167&lt;($AM$8-$AL$8)/($AN$8-$AL$8),$AL$8+SQRT(AW167*($AN$8-$AL$8)*($AM$8-$AL$8)),$AN$8-SQRT((1-AW167)*($AN$8-$AL$8)*($AN$8-$AM$8))),$AM$8)</f>
        <v/>
      </c>
      <c r="AO167">
        <f>IFERROR(IF(AX167&lt;($AM$9-$AL$9)/($AN$9-$AL$9),$AL$9+SQRT(AX167*($AN$9-$AL$9)*($AM$9-$AL$9)),$AN$9-SQRT((1-AX167)*($AN$9-$AL$9)*($AN$9-$AM$9))),$AM$9)</f>
        <v/>
      </c>
      <c r="AP167">
        <f>IFERROR(IF(AY167&lt;($AM$10-$AL$10)/($AN$10-$AL$10),$AL$10+SQRT(AY167*($AN$10-$AL$10)*($AM$10-$AL$10)),$AN$10-SQRT((1-AY167)*($AN$10-$AL$10)*($AN$10-$AM$10))),$AM$10)</f>
        <v/>
      </c>
      <c r="AQ167">
        <f>IFERROR(IF(AZ167&lt;($AM$11-$AL$11)/($AN$11-$AL$11),$AL$11+SQRT(AZ167*($AN$11-$AL$11)*($AM$11-$AL$11)),$AN$11-SQRT((1-AZ167)*($AN$11-$AL$11)*($AN$11-$AM$11))),$AM$11)</f>
        <v/>
      </c>
      <c r="AR167">
        <f>SUMPRODUCT((B24:B31&lt;=$B$6)*(C24:C31*AM167+D24:D31*AO167*$B$8*AQ167)/(1+AL167/100)^B24:B31)+C32*AM167*AP167/(1+AL167/100)^$B$6</f>
        <v/>
      </c>
      <c r="AS167">
        <f>SUMPRODUCT((K24:K26&lt;=$B$6)*(L24:L26*AN167+M24:M26*AO167*$B$8*AQ167)/(1+AL167/100)^K24:K26)+L27*AN167*AP167/(1+AL167/100)^$B$6</f>
        <v/>
      </c>
      <c r="AT167">
        <f>AS167-AR167</f>
        <v/>
      </c>
      <c r="AU167">
        <f>RAND()</f>
        <v/>
      </c>
      <c r="AV167">
        <f>RAND()</f>
        <v/>
      </c>
      <c r="AW167">
        <f>RAND()</f>
        <v/>
      </c>
      <c r="AX167">
        <f>RAND()</f>
        <v/>
      </c>
      <c r="AY167">
        <f>RAND()</f>
        <v/>
      </c>
      <c r="AZ167">
        <f>RAND()</f>
        <v/>
      </c>
    </row>
    <row r="168">
      <c r="A168" s="9" t="inlineStr">
        <is>
          <t>PW by category (chart data)</t>
        </is>
      </c>
      <c r="AK168" t="n">
        <v>155</v>
      </c>
      <c r="AL168">
        <f>IFERROR(IF(AU168&lt;($AM$6-$AL$6)/($AN$6-$AL$6),$AL$6+SQRT(AU168*($AN$6-$AL$6)*($AM$6-$AL$6)),$AN$6-SQRT((1-AU168)*($AN$6-$AL$6)*($AN$6-$AM$6))),$AM$6)</f>
        <v/>
      </c>
      <c r="AM168">
        <f>IFERROR(IF(AV168&lt;($AM$7-$AL$7)/($AN$7-$AL$7),$AL$7+SQRT(AV168*($AN$7-$AL$7)*($AM$7-$AL$7)),$AN$7-SQRT((1-AV168)*($AN$7-$AL$7)*($AN$7-$AM$7))),$AM$7)</f>
        <v/>
      </c>
      <c r="AN168">
        <f>IFERROR(IF(AW168&lt;($AM$8-$AL$8)/($AN$8-$AL$8),$AL$8+SQRT(AW168*($AN$8-$AL$8)*($AM$8-$AL$8)),$AN$8-SQRT((1-AW168)*($AN$8-$AL$8)*($AN$8-$AM$8))),$AM$8)</f>
        <v/>
      </c>
      <c r="AO168">
        <f>IFERROR(IF(AX168&lt;($AM$9-$AL$9)/($AN$9-$AL$9),$AL$9+SQRT(AX168*($AN$9-$AL$9)*($AM$9-$AL$9)),$AN$9-SQRT((1-AX168)*($AN$9-$AL$9)*($AN$9-$AM$9))),$AM$9)</f>
        <v/>
      </c>
      <c r="AP168">
        <f>IFERROR(IF(AY168&lt;($AM$10-$AL$10)/($AN$10-$AL$10),$AL$10+SQRT(AY168*($AN$10-$AL$10)*($AM$10-$AL$10)),$AN$10-SQRT((1-AY168)*($AN$10-$AL$10)*($AN$10-$AM$10))),$AM$10)</f>
        <v/>
      </c>
      <c r="AQ168">
        <f>IFERROR(IF(AZ168&lt;($AM$11-$AL$11)/($AN$11-$AL$11),$AL$11+SQRT(AZ168*($AN$11-$AL$11)*($AM$11-$AL$11)),$AN$11-SQRT((1-AZ168)*($AN$11-$AL$11)*($AN$11-$AM$11))),$AM$11)</f>
        <v/>
      </c>
      <c r="AR168">
        <f>SUMPRODUCT((B24:B31&lt;=$B$6)*(C24:C31*AM168+D24:D31*AO168*$B$8*AQ168)/(1+AL168/100)^B24:B31)+C32*AM168*AP168/(1+AL168/100)^$B$6</f>
        <v/>
      </c>
      <c r="AS168">
        <f>SUMPRODUCT((K24:K26&lt;=$B$6)*(L24:L26*AN168+M24:M26*AO168*$B$8*AQ168)/(1+AL168/100)^K24:K26)+L27*AN168*AP168/(1+AL168/100)^$B$6</f>
        <v/>
      </c>
      <c r="AT168">
        <f>AS168-AR168</f>
        <v/>
      </c>
      <c r="AU168">
        <f>RAND()</f>
        <v/>
      </c>
      <c r="AV168">
        <f>RAND()</f>
        <v/>
      </c>
      <c r="AW168">
        <f>RAND()</f>
        <v/>
      </c>
      <c r="AX168">
        <f>RAND()</f>
        <v/>
      </c>
      <c r="AY168">
        <f>RAND()</f>
        <v/>
      </c>
      <c r="AZ168">
        <f>RAND()</f>
        <v/>
      </c>
    </row>
    <row r="169">
      <c r="A169" s="6" t="inlineStr">
        <is>
          <t>Alternative</t>
        </is>
      </c>
      <c r="B169" s="6" t="inlineStr">
        <is>
          <t>Initial</t>
        </is>
      </c>
      <c r="C169" s="6" t="inlineStr">
        <is>
          <t>Maintenance</t>
        </is>
      </c>
      <c r="D169" s="6" t="inlineStr">
        <is>
          <t>Rehabilitation</t>
        </is>
      </c>
      <c r="E169" s="6" t="inlineStr">
        <is>
          <t>Lost revenue</t>
        </is>
      </c>
      <c r="F169" s="6" t="inlineStr">
        <is>
          <t>Salvage</t>
        </is>
      </c>
      <c r="AK169" t="n">
        <v>156</v>
      </c>
      <c r="AL169">
        <f>IFERROR(IF(AU169&lt;($AM$6-$AL$6)/($AN$6-$AL$6),$AL$6+SQRT(AU169*($AN$6-$AL$6)*($AM$6-$AL$6)),$AN$6-SQRT((1-AU169)*($AN$6-$AL$6)*($AN$6-$AM$6))),$AM$6)</f>
        <v/>
      </c>
      <c r="AM169">
        <f>IFERROR(IF(AV169&lt;($AM$7-$AL$7)/($AN$7-$AL$7),$AL$7+SQRT(AV169*($AN$7-$AL$7)*($AM$7-$AL$7)),$AN$7-SQRT((1-AV169)*($AN$7-$AL$7)*($AN$7-$AM$7))),$AM$7)</f>
        <v/>
      </c>
      <c r="AN169">
        <f>IFERROR(IF(AW169&lt;($AM$8-$AL$8)/($AN$8-$AL$8),$AL$8+SQRT(AW169*($AN$8-$AL$8)*($AM$8-$AL$8)),$AN$8-SQRT((1-AW169)*($AN$8-$AL$8)*($AN$8-$AM$8))),$AM$8)</f>
        <v/>
      </c>
      <c r="AO169">
        <f>IFERROR(IF(AX169&lt;($AM$9-$AL$9)/($AN$9-$AL$9),$AL$9+SQRT(AX169*($AN$9-$AL$9)*($AM$9-$AL$9)),$AN$9-SQRT((1-AX169)*($AN$9-$AL$9)*($AN$9-$AM$9))),$AM$9)</f>
        <v/>
      </c>
      <c r="AP169">
        <f>IFERROR(IF(AY169&lt;($AM$10-$AL$10)/($AN$10-$AL$10),$AL$10+SQRT(AY169*($AN$10-$AL$10)*($AM$10-$AL$10)),$AN$10-SQRT((1-AY169)*($AN$10-$AL$10)*($AN$10-$AM$10))),$AM$10)</f>
        <v/>
      </c>
      <c r="AQ169">
        <f>IFERROR(IF(AZ169&lt;($AM$11-$AL$11)/($AN$11-$AL$11),$AL$11+SQRT(AZ169*($AN$11-$AL$11)*($AM$11-$AL$11)),$AN$11-SQRT((1-AZ169)*($AN$11-$AL$11)*($AN$11-$AM$11))),$AM$11)</f>
        <v/>
      </c>
      <c r="AR169">
        <f>SUMPRODUCT((B24:B31&lt;=$B$6)*(C24:C31*AM169+D24:D31*AO169*$B$8*AQ169)/(1+AL169/100)^B24:B31)+C32*AM169*AP169/(1+AL169/100)^$B$6</f>
        <v/>
      </c>
      <c r="AS169">
        <f>SUMPRODUCT((K24:K26&lt;=$B$6)*(L24:L26*AN169+M24:M26*AO169*$B$8*AQ169)/(1+AL169/100)^K24:K26)+L27*AN169*AP169/(1+AL169/100)^$B$6</f>
        <v/>
      </c>
      <c r="AT169">
        <f>AS169-AR169</f>
        <v/>
      </c>
      <c r="AU169">
        <f>RAND()</f>
        <v/>
      </c>
      <c r="AV169">
        <f>RAND()</f>
        <v/>
      </c>
      <c r="AW169">
        <f>RAND()</f>
        <v/>
      </c>
      <c r="AX169">
        <f>RAND()</f>
        <v/>
      </c>
      <c r="AY169">
        <f>RAND()</f>
        <v/>
      </c>
      <c r="AZ169">
        <f>RAND()</f>
        <v/>
      </c>
    </row>
    <row r="170">
      <c r="A170" t="inlineStr">
        <is>
          <t>HMA</t>
        </is>
      </c>
      <c r="B170" s="14">
        <f>B39</f>
        <v/>
      </c>
      <c r="C170" s="14">
        <f>B40</f>
        <v/>
      </c>
      <c r="D170" s="14">
        <f>B41</f>
        <v/>
      </c>
      <c r="E170" s="14">
        <f>B42</f>
        <v/>
      </c>
      <c r="F170" s="14">
        <f>B43</f>
        <v/>
      </c>
      <c r="AK170" t="n">
        <v>157</v>
      </c>
      <c r="AL170">
        <f>IFERROR(IF(AU170&lt;($AM$6-$AL$6)/($AN$6-$AL$6),$AL$6+SQRT(AU170*($AN$6-$AL$6)*($AM$6-$AL$6)),$AN$6-SQRT((1-AU170)*($AN$6-$AL$6)*($AN$6-$AM$6))),$AM$6)</f>
        <v/>
      </c>
      <c r="AM170">
        <f>IFERROR(IF(AV170&lt;($AM$7-$AL$7)/($AN$7-$AL$7),$AL$7+SQRT(AV170*($AN$7-$AL$7)*($AM$7-$AL$7)),$AN$7-SQRT((1-AV170)*($AN$7-$AL$7)*($AN$7-$AM$7))),$AM$7)</f>
        <v/>
      </c>
      <c r="AN170">
        <f>IFERROR(IF(AW170&lt;($AM$8-$AL$8)/($AN$8-$AL$8),$AL$8+SQRT(AW170*($AN$8-$AL$8)*($AM$8-$AL$8)),$AN$8-SQRT((1-AW170)*($AN$8-$AL$8)*($AN$8-$AM$8))),$AM$8)</f>
        <v/>
      </c>
      <c r="AO170">
        <f>IFERROR(IF(AX170&lt;($AM$9-$AL$9)/($AN$9-$AL$9),$AL$9+SQRT(AX170*($AN$9-$AL$9)*($AM$9-$AL$9)),$AN$9-SQRT((1-AX170)*($AN$9-$AL$9)*($AN$9-$AM$9))),$AM$9)</f>
        <v/>
      </c>
      <c r="AP170">
        <f>IFERROR(IF(AY170&lt;($AM$10-$AL$10)/($AN$10-$AL$10),$AL$10+SQRT(AY170*($AN$10-$AL$10)*($AM$10-$AL$10)),$AN$10-SQRT((1-AY170)*($AN$10-$AL$10)*($AN$10-$AM$10))),$AM$10)</f>
        <v/>
      </c>
      <c r="AQ170">
        <f>IFERROR(IF(AZ170&lt;($AM$11-$AL$11)/($AN$11-$AL$11),$AL$11+SQRT(AZ170*($AN$11-$AL$11)*($AM$11-$AL$11)),$AN$11-SQRT((1-AZ170)*($AN$11-$AL$11)*($AN$11-$AM$11))),$AM$11)</f>
        <v/>
      </c>
      <c r="AR170">
        <f>SUMPRODUCT((B24:B31&lt;=$B$6)*(C24:C31*AM170+D24:D31*AO170*$B$8*AQ170)/(1+AL170/100)^B24:B31)+C32*AM170*AP170/(1+AL170/100)^$B$6</f>
        <v/>
      </c>
      <c r="AS170">
        <f>SUMPRODUCT((K24:K26&lt;=$B$6)*(L24:L26*AN170+M24:M26*AO170*$B$8*AQ170)/(1+AL170/100)^K24:K26)+L27*AN170*AP170/(1+AL170/100)^$B$6</f>
        <v/>
      </c>
      <c r="AT170">
        <f>AS170-AR170</f>
        <v/>
      </c>
      <c r="AU170">
        <f>RAND()</f>
        <v/>
      </c>
      <c r="AV170">
        <f>RAND()</f>
        <v/>
      </c>
      <c r="AW170">
        <f>RAND()</f>
        <v/>
      </c>
      <c r="AX170">
        <f>RAND()</f>
        <v/>
      </c>
      <c r="AY170">
        <f>RAND()</f>
        <v/>
      </c>
      <c r="AZ170">
        <f>RAND()</f>
        <v/>
      </c>
    </row>
    <row r="171">
      <c r="A171" t="inlineStr">
        <is>
          <t>PCC</t>
        </is>
      </c>
      <c r="B171" s="14">
        <f>C39</f>
        <v/>
      </c>
      <c r="C171" s="14">
        <f>C40</f>
        <v/>
      </c>
      <c r="D171" s="14">
        <f>C41</f>
        <v/>
      </c>
      <c r="E171" s="14">
        <f>C42</f>
        <v/>
      </c>
      <c r="F171" s="14">
        <f>C43</f>
        <v/>
      </c>
      <c r="AK171" t="n">
        <v>158</v>
      </c>
      <c r="AL171">
        <f>IFERROR(IF(AU171&lt;($AM$6-$AL$6)/($AN$6-$AL$6),$AL$6+SQRT(AU171*($AN$6-$AL$6)*($AM$6-$AL$6)),$AN$6-SQRT((1-AU171)*($AN$6-$AL$6)*($AN$6-$AM$6))),$AM$6)</f>
        <v/>
      </c>
      <c r="AM171">
        <f>IFERROR(IF(AV171&lt;($AM$7-$AL$7)/($AN$7-$AL$7),$AL$7+SQRT(AV171*($AN$7-$AL$7)*($AM$7-$AL$7)),$AN$7-SQRT((1-AV171)*($AN$7-$AL$7)*($AN$7-$AM$7))),$AM$7)</f>
        <v/>
      </c>
      <c r="AN171">
        <f>IFERROR(IF(AW171&lt;($AM$8-$AL$8)/($AN$8-$AL$8),$AL$8+SQRT(AW171*($AN$8-$AL$8)*($AM$8-$AL$8)),$AN$8-SQRT((1-AW171)*($AN$8-$AL$8)*($AN$8-$AM$8))),$AM$8)</f>
        <v/>
      </c>
      <c r="AO171">
        <f>IFERROR(IF(AX171&lt;($AM$9-$AL$9)/($AN$9-$AL$9),$AL$9+SQRT(AX171*($AN$9-$AL$9)*($AM$9-$AL$9)),$AN$9-SQRT((1-AX171)*($AN$9-$AL$9)*($AN$9-$AM$9))),$AM$9)</f>
        <v/>
      </c>
      <c r="AP171">
        <f>IFERROR(IF(AY171&lt;($AM$10-$AL$10)/($AN$10-$AL$10),$AL$10+SQRT(AY171*($AN$10-$AL$10)*($AM$10-$AL$10)),$AN$10-SQRT((1-AY171)*($AN$10-$AL$10)*($AN$10-$AM$10))),$AM$10)</f>
        <v/>
      </c>
      <c r="AQ171">
        <f>IFERROR(IF(AZ171&lt;($AM$11-$AL$11)/($AN$11-$AL$11),$AL$11+SQRT(AZ171*($AN$11-$AL$11)*($AM$11-$AL$11)),$AN$11-SQRT((1-AZ171)*($AN$11-$AL$11)*($AN$11-$AM$11))),$AM$11)</f>
        <v/>
      </c>
      <c r="AR171">
        <f>SUMPRODUCT((B24:B31&lt;=$B$6)*(C24:C31*AM171+D24:D31*AO171*$B$8*AQ171)/(1+AL171/100)^B24:B31)+C32*AM171*AP171/(1+AL171/100)^$B$6</f>
        <v/>
      </c>
      <c r="AS171">
        <f>SUMPRODUCT((K24:K26&lt;=$B$6)*(L24:L26*AN171+M24:M26*AO171*$B$8*AQ171)/(1+AL171/100)^K24:K26)+L27*AN171*AP171/(1+AL171/100)^$B$6</f>
        <v/>
      </c>
      <c r="AT171">
        <f>AS171-AR171</f>
        <v/>
      </c>
      <c r="AU171">
        <f>RAND()</f>
        <v/>
      </c>
      <c r="AV171">
        <f>RAND()</f>
        <v/>
      </c>
      <c r="AW171">
        <f>RAND()</f>
        <v/>
      </c>
      <c r="AX171">
        <f>RAND()</f>
        <v/>
      </c>
      <c r="AY171">
        <f>RAND()</f>
        <v/>
      </c>
      <c r="AZ171">
        <f>RAND()</f>
        <v/>
      </c>
    </row>
    <row r="172">
      <c r="AK172" t="n">
        <v>159</v>
      </c>
      <c r="AL172">
        <f>IFERROR(IF(AU172&lt;($AM$6-$AL$6)/($AN$6-$AL$6),$AL$6+SQRT(AU172*($AN$6-$AL$6)*($AM$6-$AL$6)),$AN$6-SQRT((1-AU172)*($AN$6-$AL$6)*($AN$6-$AM$6))),$AM$6)</f>
        <v/>
      </c>
      <c r="AM172">
        <f>IFERROR(IF(AV172&lt;($AM$7-$AL$7)/($AN$7-$AL$7),$AL$7+SQRT(AV172*($AN$7-$AL$7)*($AM$7-$AL$7)),$AN$7-SQRT((1-AV172)*($AN$7-$AL$7)*($AN$7-$AM$7))),$AM$7)</f>
        <v/>
      </c>
      <c r="AN172">
        <f>IFERROR(IF(AW172&lt;($AM$8-$AL$8)/($AN$8-$AL$8),$AL$8+SQRT(AW172*($AN$8-$AL$8)*($AM$8-$AL$8)),$AN$8-SQRT((1-AW172)*($AN$8-$AL$8)*($AN$8-$AM$8))),$AM$8)</f>
        <v/>
      </c>
      <c r="AO172">
        <f>IFERROR(IF(AX172&lt;($AM$9-$AL$9)/($AN$9-$AL$9),$AL$9+SQRT(AX172*($AN$9-$AL$9)*($AM$9-$AL$9)),$AN$9-SQRT((1-AX172)*($AN$9-$AL$9)*($AN$9-$AM$9))),$AM$9)</f>
        <v/>
      </c>
      <c r="AP172">
        <f>IFERROR(IF(AY172&lt;($AM$10-$AL$10)/($AN$10-$AL$10),$AL$10+SQRT(AY172*($AN$10-$AL$10)*($AM$10-$AL$10)),$AN$10-SQRT((1-AY172)*($AN$10-$AL$10)*($AN$10-$AM$10))),$AM$10)</f>
        <v/>
      </c>
      <c r="AQ172">
        <f>IFERROR(IF(AZ172&lt;($AM$11-$AL$11)/($AN$11-$AL$11),$AL$11+SQRT(AZ172*($AN$11-$AL$11)*($AM$11-$AL$11)),$AN$11-SQRT((1-AZ172)*($AN$11-$AL$11)*($AN$11-$AM$11))),$AM$11)</f>
        <v/>
      </c>
      <c r="AR172">
        <f>SUMPRODUCT((B24:B31&lt;=$B$6)*(C24:C31*AM172+D24:D31*AO172*$B$8*AQ172)/(1+AL172/100)^B24:B31)+C32*AM172*AP172/(1+AL172/100)^$B$6</f>
        <v/>
      </c>
      <c r="AS172">
        <f>SUMPRODUCT((K24:K26&lt;=$B$6)*(L24:L26*AN172+M24:M26*AO172*$B$8*AQ172)/(1+AL172/100)^K24:K26)+L27*AN172*AP172/(1+AL172/100)^$B$6</f>
        <v/>
      </c>
      <c r="AT172">
        <f>AS172-AR172</f>
        <v/>
      </c>
      <c r="AU172">
        <f>RAND()</f>
        <v/>
      </c>
      <c r="AV172">
        <f>RAND()</f>
        <v/>
      </c>
      <c r="AW172">
        <f>RAND()</f>
        <v/>
      </c>
      <c r="AX172">
        <f>RAND()</f>
        <v/>
      </c>
      <c r="AY172">
        <f>RAND()</f>
        <v/>
      </c>
      <c r="AZ172">
        <f>RAND()</f>
        <v/>
      </c>
    </row>
    <row r="173">
      <c r="A173" s="9" t="inlineStr">
        <is>
          <t>Closure events (chart data)</t>
        </is>
      </c>
      <c r="AK173" t="n">
        <v>160</v>
      </c>
      <c r="AL173">
        <f>IFERROR(IF(AU173&lt;($AM$6-$AL$6)/($AN$6-$AL$6),$AL$6+SQRT(AU173*($AN$6-$AL$6)*($AM$6-$AL$6)),$AN$6-SQRT((1-AU173)*($AN$6-$AL$6)*($AN$6-$AM$6))),$AM$6)</f>
        <v/>
      </c>
      <c r="AM173">
        <f>IFERROR(IF(AV173&lt;($AM$7-$AL$7)/($AN$7-$AL$7),$AL$7+SQRT(AV173*($AN$7-$AL$7)*($AM$7-$AL$7)),$AN$7-SQRT((1-AV173)*($AN$7-$AL$7)*($AN$7-$AM$7))),$AM$7)</f>
        <v/>
      </c>
      <c r="AN173">
        <f>IFERROR(IF(AW173&lt;($AM$8-$AL$8)/($AN$8-$AL$8),$AL$8+SQRT(AW173*($AN$8-$AL$8)*($AM$8-$AL$8)),$AN$8-SQRT((1-AW173)*($AN$8-$AL$8)*($AN$8-$AM$8))),$AM$8)</f>
        <v/>
      </c>
      <c r="AO173">
        <f>IFERROR(IF(AX173&lt;($AM$9-$AL$9)/($AN$9-$AL$9),$AL$9+SQRT(AX173*($AN$9-$AL$9)*($AM$9-$AL$9)),$AN$9-SQRT((1-AX173)*($AN$9-$AL$9)*($AN$9-$AM$9))),$AM$9)</f>
        <v/>
      </c>
      <c r="AP173">
        <f>IFERROR(IF(AY173&lt;($AM$10-$AL$10)/($AN$10-$AL$10),$AL$10+SQRT(AY173*($AN$10-$AL$10)*($AM$10-$AL$10)),$AN$10-SQRT((1-AY173)*($AN$10-$AL$10)*($AN$10-$AM$10))),$AM$10)</f>
        <v/>
      </c>
      <c r="AQ173">
        <f>IFERROR(IF(AZ173&lt;($AM$11-$AL$11)/($AN$11-$AL$11),$AL$11+SQRT(AZ173*($AN$11-$AL$11)*($AM$11-$AL$11)),$AN$11-SQRT((1-AZ173)*($AN$11-$AL$11)*($AN$11-$AM$11))),$AM$11)</f>
        <v/>
      </c>
      <c r="AR173">
        <f>SUMPRODUCT((B24:B31&lt;=$B$6)*(C24:C31*AM173+D24:D31*AO173*$B$8*AQ173)/(1+AL173/100)^B24:B31)+C32*AM173*AP173/(1+AL173/100)^$B$6</f>
        <v/>
      </c>
      <c r="AS173">
        <f>SUMPRODUCT((K24:K26&lt;=$B$6)*(L24:L26*AN173+M24:M26*AO173*$B$8*AQ173)/(1+AL173/100)^K24:K26)+L27*AN173*AP173/(1+AL173/100)^$B$6</f>
        <v/>
      </c>
      <c r="AT173">
        <f>AS173-AR173</f>
        <v/>
      </c>
      <c r="AU173">
        <f>RAND()</f>
        <v/>
      </c>
      <c r="AV173">
        <f>RAND()</f>
        <v/>
      </c>
      <c r="AW173">
        <f>RAND()</f>
        <v/>
      </c>
      <c r="AX173">
        <f>RAND()</f>
        <v/>
      </c>
      <c r="AY173">
        <f>RAND()</f>
        <v/>
      </c>
      <c r="AZ173">
        <f>RAND()</f>
        <v/>
      </c>
    </row>
    <row r="174">
      <c r="A174" s="6" t="inlineStr">
        <is>
          <t>Activity</t>
        </is>
      </c>
      <c r="B174" s="6" t="inlineStr">
        <is>
          <t>Calendar year</t>
        </is>
      </c>
      <c r="C174" s="6" t="inlineStr">
        <is>
          <t>Lane</t>
        </is>
      </c>
      <c r="D174" s="6" t="inlineStr">
        <is>
          <t>Days</t>
        </is>
      </c>
      <c r="E174" s="6" t="inlineStr">
        <is>
          <t>Lost revenue</t>
        </is>
      </c>
      <c r="AK174" t="n">
        <v>161</v>
      </c>
      <c r="AL174">
        <f>IFERROR(IF(AU174&lt;($AM$6-$AL$6)/($AN$6-$AL$6),$AL$6+SQRT(AU174*($AN$6-$AL$6)*($AM$6-$AL$6)),$AN$6-SQRT((1-AU174)*($AN$6-$AL$6)*($AN$6-$AM$6))),$AM$6)</f>
        <v/>
      </c>
      <c r="AM174">
        <f>IFERROR(IF(AV174&lt;($AM$7-$AL$7)/($AN$7-$AL$7),$AL$7+SQRT(AV174*($AN$7-$AL$7)*($AM$7-$AL$7)),$AN$7-SQRT((1-AV174)*($AN$7-$AL$7)*($AN$7-$AM$7))),$AM$7)</f>
        <v/>
      </c>
      <c r="AN174">
        <f>IFERROR(IF(AW174&lt;($AM$8-$AL$8)/($AN$8-$AL$8),$AL$8+SQRT(AW174*($AN$8-$AL$8)*($AM$8-$AL$8)),$AN$8-SQRT((1-AW174)*($AN$8-$AL$8)*($AN$8-$AM$8))),$AM$8)</f>
        <v/>
      </c>
      <c r="AO174">
        <f>IFERROR(IF(AX174&lt;($AM$9-$AL$9)/($AN$9-$AL$9),$AL$9+SQRT(AX174*($AN$9-$AL$9)*($AM$9-$AL$9)),$AN$9-SQRT((1-AX174)*($AN$9-$AL$9)*($AN$9-$AM$9))),$AM$9)</f>
        <v/>
      </c>
      <c r="AP174">
        <f>IFERROR(IF(AY174&lt;($AM$10-$AL$10)/($AN$10-$AL$10),$AL$10+SQRT(AY174*($AN$10-$AL$10)*($AM$10-$AL$10)),$AN$10-SQRT((1-AY174)*($AN$10-$AL$10)*($AN$10-$AM$10))),$AM$10)</f>
        <v/>
      </c>
      <c r="AQ174">
        <f>IFERROR(IF(AZ174&lt;($AM$11-$AL$11)/($AN$11-$AL$11),$AL$11+SQRT(AZ174*($AN$11-$AL$11)*($AM$11-$AL$11)),$AN$11-SQRT((1-AZ174)*($AN$11-$AL$11)*($AN$11-$AM$11))),$AM$11)</f>
        <v/>
      </c>
      <c r="AR174">
        <f>SUMPRODUCT((B24:B31&lt;=$B$6)*(C24:C31*AM174+D24:D31*AO174*$B$8*AQ174)/(1+AL174/100)^B24:B31)+C32*AM174*AP174/(1+AL174/100)^$B$6</f>
        <v/>
      </c>
      <c r="AS174">
        <f>SUMPRODUCT((K24:K26&lt;=$B$6)*(L24:L26*AN174+M24:M26*AO174*$B$8*AQ174)/(1+AL174/100)^K24:K26)+L27*AN174*AP174/(1+AL174/100)^$B$6</f>
        <v/>
      </c>
      <c r="AT174">
        <f>AS174-AR174</f>
        <v/>
      </c>
      <c r="AU174">
        <f>RAND()</f>
        <v/>
      </c>
      <c r="AV174">
        <f>RAND()</f>
        <v/>
      </c>
      <c r="AW174">
        <f>RAND()</f>
        <v/>
      </c>
      <c r="AX174">
        <f>RAND()</f>
        <v/>
      </c>
      <c r="AY174">
        <f>RAND()</f>
        <v/>
      </c>
      <c r="AZ174">
        <f>RAND()</f>
        <v/>
      </c>
    </row>
    <row r="175">
      <c r="A175" t="inlineStr">
        <is>
          <t>HMA: Maintenance 1</t>
        </is>
      </c>
      <c r="B175">
        <f>IF(B25&lt;=$B$6,$B$7+B25,NA())</f>
        <v/>
      </c>
      <c r="C175" t="n">
        <v>1</v>
      </c>
      <c r="D175">
        <f>D25*$B$10</f>
        <v/>
      </c>
      <c r="E175" s="14">
        <f>F25</f>
        <v/>
      </c>
      <c r="AK175" t="n">
        <v>162</v>
      </c>
      <c r="AL175">
        <f>IFERROR(IF(AU175&lt;($AM$6-$AL$6)/($AN$6-$AL$6),$AL$6+SQRT(AU175*($AN$6-$AL$6)*($AM$6-$AL$6)),$AN$6-SQRT((1-AU175)*($AN$6-$AL$6)*($AN$6-$AM$6))),$AM$6)</f>
        <v/>
      </c>
      <c r="AM175">
        <f>IFERROR(IF(AV175&lt;($AM$7-$AL$7)/($AN$7-$AL$7),$AL$7+SQRT(AV175*($AN$7-$AL$7)*($AM$7-$AL$7)),$AN$7-SQRT((1-AV175)*($AN$7-$AL$7)*($AN$7-$AM$7))),$AM$7)</f>
        <v/>
      </c>
      <c r="AN175">
        <f>IFERROR(IF(AW175&lt;($AM$8-$AL$8)/($AN$8-$AL$8),$AL$8+SQRT(AW175*($AN$8-$AL$8)*($AM$8-$AL$8)),$AN$8-SQRT((1-AW175)*($AN$8-$AL$8)*($AN$8-$AM$8))),$AM$8)</f>
        <v/>
      </c>
      <c r="AO175">
        <f>IFERROR(IF(AX175&lt;($AM$9-$AL$9)/($AN$9-$AL$9),$AL$9+SQRT(AX175*($AN$9-$AL$9)*($AM$9-$AL$9)),$AN$9-SQRT((1-AX175)*($AN$9-$AL$9)*($AN$9-$AM$9))),$AM$9)</f>
        <v/>
      </c>
      <c r="AP175">
        <f>IFERROR(IF(AY175&lt;($AM$10-$AL$10)/($AN$10-$AL$10),$AL$10+SQRT(AY175*($AN$10-$AL$10)*($AM$10-$AL$10)),$AN$10-SQRT((1-AY175)*($AN$10-$AL$10)*($AN$10-$AM$10))),$AM$10)</f>
        <v/>
      </c>
      <c r="AQ175">
        <f>IFERROR(IF(AZ175&lt;($AM$11-$AL$11)/($AN$11-$AL$11),$AL$11+SQRT(AZ175*($AN$11-$AL$11)*($AM$11-$AL$11)),$AN$11-SQRT((1-AZ175)*($AN$11-$AL$11)*($AN$11-$AM$11))),$AM$11)</f>
        <v/>
      </c>
      <c r="AR175">
        <f>SUMPRODUCT((B24:B31&lt;=$B$6)*(C24:C31*AM175+D24:D31*AO175*$B$8*AQ175)/(1+AL175/100)^B24:B31)+C32*AM175*AP175/(1+AL175/100)^$B$6</f>
        <v/>
      </c>
      <c r="AS175">
        <f>SUMPRODUCT((K24:K26&lt;=$B$6)*(L24:L26*AN175+M24:M26*AO175*$B$8*AQ175)/(1+AL175/100)^K24:K26)+L27*AN175*AP175/(1+AL175/100)^$B$6</f>
        <v/>
      </c>
      <c r="AT175">
        <f>AS175-AR175</f>
        <v/>
      </c>
      <c r="AU175">
        <f>RAND()</f>
        <v/>
      </c>
      <c r="AV175">
        <f>RAND()</f>
        <v/>
      </c>
      <c r="AW175">
        <f>RAND()</f>
        <v/>
      </c>
      <c r="AX175">
        <f>RAND()</f>
        <v/>
      </c>
      <c r="AY175">
        <f>RAND()</f>
        <v/>
      </c>
      <c r="AZ175">
        <f>RAND()</f>
        <v/>
      </c>
    </row>
    <row r="176">
      <c r="A176" t="inlineStr">
        <is>
          <t>HMA: Maintenance 2</t>
        </is>
      </c>
      <c r="B176">
        <f>IF(B26&lt;=$B$6,$B$7+B26,NA())</f>
        <v/>
      </c>
      <c r="C176" t="n">
        <v>1</v>
      </c>
      <c r="D176">
        <f>D26*$B$10</f>
        <v/>
      </c>
      <c r="E176" s="14">
        <f>F26</f>
        <v/>
      </c>
      <c r="AK176" t="n">
        <v>163</v>
      </c>
      <c r="AL176">
        <f>IFERROR(IF(AU176&lt;($AM$6-$AL$6)/($AN$6-$AL$6),$AL$6+SQRT(AU176*($AN$6-$AL$6)*($AM$6-$AL$6)),$AN$6-SQRT((1-AU176)*($AN$6-$AL$6)*($AN$6-$AM$6))),$AM$6)</f>
        <v/>
      </c>
      <c r="AM176">
        <f>IFERROR(IF(AV176&lt;($AM$7-$AL$7)/($AN$7-$AL$7),$AL$7+SQRT(AV176*($AN$7-$AL$7)*($AM$7-$AL$7)),$AN$7-SQRT((1-AV176)*($AN$7-$AL$7)*($AN$7-$AM$7))),$AM$7)</f>
        <v/>
      </c>
      <c r="AN176">
        <f>IFERROR(IF(AW176&lt;($AM$8-$AL$8)/($AN$8-$AL$8),$AL$8+SQRT(AW176*($AN$8-$AL$8)*($AM$8-$AL$8)),$AN$8-SQRT((1-AW176)*($AN$8-$AL$8)*($AN$8-$AM$8))),$AM$8)</f>
        <v/>
      </c>
      <c r="AO176">
        <f>IFERROR(IF(AX176&lt;($AM$9-$AL$9)/($AN$9-$AL$9),$AL$9+SQRT(AX176*($AN$9-$AL$9)*($AM$9-$AL$9)),$AN$9-SQRT((1-AX176)*($AN$9-$AL$9)*($AN$9-$AM$9))),$AM$9)</f>
        <v/>
      </c>
      <c r="AP176">
        <f>IFERROR(IF(AY176&lt;($AM$10-$AL$10)/($AN$10-$AL$10),$AL$10+SQRT(AY176*($AN$10-$AL$10)*($AM$10-$AL$10)),$AN$10-SQRT((1-AY176)*($AN$10-$AL$10)*($AN$10-$AM$10))),$AM$10)</f>
        <v/>
      </c>
      <c r="AQ176">
        <f>IFERROR(IF(AZ176&lt;($AM$11-$AL$11)/($AN$11-$AL$11),$AL$11+SQRT(AZ176*($AN$11-$AL$11)*($AM$11-$AL$11)),$AN$11-SQRT((1-AZ176)*($AN$11-$AL$11)*($AN$11-$AM$11))),$AM$11)</f>
        <v/>
      </c>
      <c r="AR176">
        <f>SUMPRODUCT((B24:B31&lt;=$B$6)*(C24:C31*AM176+D24:D31*AO176*$B$8*AQ176)/(1+AL176/100)^B24:B31)+C32*AM176*AP176/(1+AL176/100)^$B$6</f>
        <v/>
      </c>
      <c r="AS176">
        <f>SUMPRODUCT((K24:K26&lt;=$B$6)*(L24:L26*AN176+M24:M26*AO176*$B$8*AQ176)/(1+AL176/100)^K24:K26)+L27*AN176*AP176/(1+AL176/100)^$B$6</f>
        <v/>
      </c>
      <c r="AT176">
        <f>AS176-AR176</f>
        <v/>
      </c>
      <c r="AU176">
        <f>RAND()</f>
        <v/>
      </c>
      <c r="AV176">
        <f>RAND()</f>
        <v/>
      </c>
      <c r="AW176">
        <f>RAND()</f>
        <v/>
      </c>
      <c r="AX176">
        <f>RAND()</f>
        <v/>
      </c>
      <c r="AY176">
        <f>RAND()</f>
        <v/>
      </c>
      <c r="AZ176">
        <f>RAND()</f>
        <v/>
      </c>
    </row>
    <row r="177">
      <c r="A177" t="inlineStr">
        <is>
          <t>HMA: Maintenance 3</t>
        </is>
      </c>
      <c r="B177">
        <f>IF(B27&lt;=$B$6,$B$7+B27,NA())</f>
        <v/>
      </c>
      <c r="C177" t="n">
        <v>1</v>
      </c>
      <c r="D177">
        <f>D27*$B$10</f>
        <v/>
      </c>
      <c r="E177" s="14">
        <f>F27</f>
        <v/>
      </c>
      <c r="AK177" t="n">
        <v>164</v>
      </c>
      <c r="AL177">
        <f>IFERROR(IF(AU177&lt;($AM$6-$AL$6)/($AN$6-$AL$6),$AL$6+SQRT(AU177*($AN$6-$AL$6)*($AM$6-$AL$6)),$AN$6-SQRT((1-AU177)*($AN$6-$AL$6)*($AN$6-$AM$6))),$AM$6)</f>
        <v/>
      </c>
      <c r="AM177">
        <f>IFERROR(IF(AV177&lt;($AM$7-$AL$7)/($AN$7-$AL$7),$AL$7+SQRT(AV177*($AN$7-$AL$7)*($AM$7-$AL$7)),$AN$7-SQRT((1-AV177)*($AN$7-$AL$7)*($AN$7-$AM$7))),$AM$7)</f>
        <v/>
      </c>
      <c r="AN177">
        <f>IFERROR(IF(AW177&lt;($AM$8-$AL$8)/($AN$8-$AL$8),$AL$8+SQRT(AW177*($AN$8-$AL$8)*($AM$8-$AL$8)),$AN$8-SQRT((1-AW177)*($AN$8-$AL$8)*($AN$8-$AM$8))),$AM$8)</f>
        <v/>
      </c>
      <c r="AO177">
        <f>IFERROR(IF(AX177&lt;($AM$9-$AL$9)/($AN$9-$AL$9),$AL$9+SQRT(AX177*($AN$9-$AL$9)*($AM$9-$AL$9)),$AN$9-SQRT((1-AX177)*($AN$9-$AL$9)*($AN$9-$AM$9))),$AM$9)</f>
        <v/>
      </c>
      <c r="AP177">
        <f>IFERROR(IF(AY177&lt;($AM$10-$AL$10)/($AN$10-$AL$10),$AL$10+SQRT(AY177*($AN$10-$AL$10)*($AM$10-$AL$10)),$AN$10-SQRT((1-AY177)*($AN$10-$AL$10)*($AN$10-$AM$10))),$AM$10)</f>
        <v/>
      </c>
      <c r="AQ177">
        <f>IFERROR(IF(AZ177&lt;($AM$11-$AL$11)/($AN$11-$AL$11),$AL$11+SQRT(AZ177*($AN$11-$AL$11)*($AM$11-$AL$11)),$AN$11-SQRT((1-AZ177)*($AN$11-$AL$11)*($AN$11-$AM$11))),$AM$11)</f>
        <v/>
      </c>
      <c r="AR177">
        <f>SUMPRODUCT((B24:B31&lt;=$B$6)*(C24:C31*AM177+D24:D31*AO177*$B$8*AQ177)/(1+AL177/100)^B24:B31)+C32*AM177*AP177/(1+AL177/100)^$B$6</f>
        <v/>
      </c>
      <c r="AS177">
        <f>SUMPRODUCT((K24:K26&lt;=$B$6)*(L24:L26*AN177+M24:M26*AO177*$B$8*AQ177)/(1+AL177/100)^K24:K26)+L27*AN177*AP177/(1+AL177/100)^$B$6</f>
        <v/>
      </c>
      <c r="AT177">
        <f>AS177-AR177</f>
        <v/>
      </c>
      <c r="AU177">
        <f>RAND()</f>
        <v/>
      </c>
      <c r="AV177">
        <f>RAND()</f>
        <v/>
      </c>
      <c r="AW177">
        <f>RAND()</f>
        <v/>
      </c>
      <c r="AX177">
        <f>RAND()</f>
        <v/>
      </c>
      <c r="AY177">
        <f>RAND()</f>
        <v/>
      </c>
      <c r="AZ177">
        <f>RAND()</f>
        <v/>
      </c>
    </row>
    <row r="178">
      <c r="A178" t="inlineStr">
        <is>
          <t>HMA: Maintenance 4</t>
        </is>
      </c>
      <c r="B178">
        <f>IF(B28&lt;=$B$6,$B$7+B28,NA())</f>
        <v/>
      </c>
      <c r="C178" t="n">
        <v>1</v>
      </c>
      <c r="D178">
        <f>D28*$B$10</f>
        <v/>
      </c>
      <c r="E178" s="14">
        <f>F28</f>
        <v/>
      </c>
      <c r="AK178" t="n">
        <v>165</v>
      </c>
      <c r="AL178">
        <f>IFERROR(IF(AU178&lt;($AM$6-$AL$6)/($AN$6-$AL$6),$AL$6+SQRT(AU178*($AN$6-$AL$6)*($AM$6-$AL$6)),$AN$6-SQRT((1-AU178)*($AN$6-$AL$6)*($AN$6-$AM$6))),$AM$6)</f>
        <v/>
      </c>
      <c r="AM178">
        <f>IFERROR(IF(AV178&lt;($AM$7-$AL$7)/($AN$7-$AL$7),$AL$7+SQRT(AV178*($AN$7-$AL$7)*($AM$7-$AL$7)),$AN$7-SQRT((1-AV178)*($AN$7-$AL$7)*($AN$7-$AM$7))),$AM$7)</f>
        <v/>
      </c>
      <c r="AN178">
        <f>IFERROR(IF(AW178&lt;($AM$8-$AL$8)/($AN$8-$AL$8),$AL$8+SQRT(AW178*($AN$8-$AL$8)*($AM$8-$AL$8)),$AN$8-SQRT((1-AW178)*($AN$8-$AL$8)*($AN$8-$AM$8))),$AM$8)</f>
        <v/>
      </c>
      <c r="AO178">
        <f>IFERROR(IF(AX178&lt;($AM$9-$AL$9)/($AN$9-$AL$9),$AL$9+SQRT(AX178*($AN$9-$AL$9)*($AM$9-$AL$9)),$AN$9-SQRT((1-AX178)*($AN$9-$AL$9)*($AN$9-$AM$9))),$AM$9)</f>
        <v/>
      </c>
      <c r="AP178">
        <f>IFERROR(IF(AY178&lt;($AM$10-$AL$10)/($AN$10-$AL$10),$AL$10+SQRT(AY178*($AN$10-$AL$10)*($AM$10-$AL$10)),$AN$10-SQRT((1-AY178)*($AN$10-$AL$10)*($AN$10-$AM$10))),$AM$10)</f>
        <v/>
      </c>
      <c r="AQ178">
        <f>IFERROR(IF(AZ178&lt;($AM$11-$AL$11)/($AN$11-$AL$11),$AL$11+SQRT(AZ178*($AN$11-$AL$11)*($AM$11-$AL$11)),$AN$11-SQRT((1-AZ178)*($AN$11-$AL$11)*($AN$11-$AM$11))),$AM$11)</f>
        <v/>
      </c>
      <c r="AR178">
        <f>SUMPRODUCT((B24:B31&lt;=$B$6)*(C24:C31*AM178+D24:D31*AO178*$B$8*AQ178)/(1+AL178/100)^B24:B31)+C32*AM178*AP178/(1+AL178/100)^$B$6</f>
        <v/>
      </c>
      <c r="AS178">
        <f>SUMPRODUCT((K24:K26&lt;=$B$6)*(L24:L26*AN178+M24:M26*AO178*$B$8*AQ178)/(1+AL178/100)^K24:K26)+L27*AN178*AP178/(1+AL178/100)^$B$6</f>
        <v/>
      </c>
      <c r="AT178">
        <f>AS178-AR178</f>
        <v/>
      </c>
      <c r="AU178">
        <f>RAND()</f>
        <v/>
      </c>
      <c r="AV178">
        <f>RAND()</f>
        <v/>
      </c>
      <c r="AW178">
        <f>RAND()</f>
        <v/>
      </c>
      <c r="AX178">
        <f>RAND()</f>
        <v/>
      </c>
      <c r="AY178">
        <f>RAND()</f>
        <v/>
      </c>
      <c r="AZ178">
        <f>RAND()</f>
        <v/>
      </c>
    </row>
    <row r="179">
      <c r="A179" t="inlineStr">
        <is>
          <t>HMA: Rehabilitation 1</t>
        </is>
      </c>
      <c r="B179">
        <f>IF(B29&lt;=$B$6,$B$7+B29,NA())</f>
        <v/>
      </c>
      <c r="C179" t="n">
        <v>1</v>
      </c>
      <c r="D179">
        <f>D29*$B$10</f>
        <v/>
      </c>
      <c r="E179" s="14">
        <f>F29</f>
        <v/>
      </c>
      <c r="AK179" t="n">
        <v>166</v>
      </c>
      <c r="AL179">
        <f>IFERROR(IF(AU179&lt;($AM$6-$AL$6)/($AN$6-$AL$6),$AL$6+SQRT(AU179*($AN$6-$AL$6)*($AM$6-$AL$6)),$AN$6-SQRT((1-AU179)*($AN$6-$AL$6)*($AN$6-$AM$6))),$AM$6)</f>
        <v/>
      </c>
      <c r="AM179">
        <f>IFERROR(IF(AV179&lt;($AM$7-$AL$7)/($AN$7-$AL$7),$AL$7+SQRT(AV179*($AN$7-$AL$7)*($AM$7-$AL$7)),$AN$7-SQRT((1-AV179)*($AN$7-$AL$7)*($AN$7-$AM$7))),$AM$7)</f>
        <v/>
      </c>
      <c r="AN179">
        <f>IFERROR(IF(AW179&lt;($AM$8-$AL$8)/($AN$8-$AL$8),$AL$8+SQRT(AW179*($AN$8-$AL$8)*($AM$8-$AL$8)),$AN$8-SQRT((1-AW179)*($AN$8-$AL$8)*($AN$8-$AM$8))),$AM$8)</f>
        <v/>
      </c>
      <c r="AO179">
        <f>IFERROR(IF(AX179&lt;($AM$9-$AL$9)/($AN$9-$AL$9),$AL$9+SQRT(AX179*($AN$9-$AL$9)*($AM$9-$AL$9)),$AN$9-SQRT((1-AX179)*($AN$9-$AL$9)*($AN$9-$AM$9))),$AM$9)</f>
        <v/>
      </c>
      <c r="AP179">
        <f>IFERROR(IF(AY179&lt;($AM$10-$AL$10)/($AN$10-$AL$10),$AL$10+SQRT(AY179*($AN$10-$AL$10)*($AM$10-$AL$10)),$AN$10-SQRT((1-AY179)*($AN$10-$AL$10)*($AN$10-$AM$10))),$AM$10)</f>
        <v/>
      </c>
      <c r="AQ179">
        <f>IFERROR(IF(AZ179&lt;($AM$11-$AL$11)/($AN$11-$AL$11),$AL$11+SQRT(AZ179*($AN$11-$AL$11)*($AM$11-$AL$11)),$AN$11-SQRT((1-AZ179)*($AN$11-$AL$11)*($AN$11-$AM$11))),$AM$11)</f>
        <v/>
      </c>
      <c r="AR179">
        <f>SUMPRODUCT((B24:B31&lt;=$B$6)*(C24:C31*AM179+D24:D31*AO179*$B$8*AQ179)/(1+AL179/100)^B24:B31)+C32*AM179*AP179/(1+AL179/100)^$B$6</f>
        <v/>
      </c>
      <c r="AS179">
        <f>SUMPRODUCT((K24:K26&lt;=$B$6)*(L24:L26*AN179+M24:M26*AO179*$B$8*AQ179)/(1+AL179/100)^K24:K26)+L27*AN179*AP179/(1+AL179/100)^$B$6</f>
        <v/>
      </c>
      <c r="AT179">
        <f>AS179-AR179</f>
        <v/>
      </c>
      <c r="AU179">
        <f>RAND()</f>
        <v/>
      </c>
      <c r="AV179">
        <f>RAND()</f>
        <v/>
      </c>
      <c r="AW179">
        <f>RAND()</f>
        <v/>
      </c>
      <c r="AX179">
        <f>RAND()</f>
        <v/>
      </c>
      <c r="AY179">
        <f>RAND()</f>
        <v/>
      </c>
      <c r="AZ179">
        <f>RAND()</f>
        <v/>
      </c>
    </row>
    <row r="180">
      <c r="A180" t="inlineStr">
        <is>
          <t>HMA: Maintenance 5</t>
        </is>
      </c>
      <c r="B180">
        <f>IF(B30&lt;=$B$6,$B$7+B30,NA())</f>
        <v/>
      </c>
      <c r="C180" t="n">
        <v>1</v>
      </c>
      <c r="D180">
        <f>D30*$B$10</f>
        <v/>
      </c>
      <c r="E180" s="14">
        <f>F30</f>
        <v/>
      </c>
      <c r="AK180" t="n">
        <v>167</v>
      </c>
      <c r="AL180">
        <f>IFERROR(IF(AU180&lt;($AM$6-$AL$6)/($AN$6-$AL$6),$AL$6+SQRT(AU180*($AN$6-$AL$6)*($AM$6-$AL$6)),$AN$6-SQRT((1-AU180)*($AN$6-$AL$6)*($AN$6-$AM$6))),$AM$6)</f>
        <v/>
      </c>
      <c r="AM180">
        <f>IFERROR(IF(AV180&lt;($AM$7-$AL$7)/($AN$7-$AL$7),$AL$7+SQRT(AV180*($AN$7-$AL$7)*($AM$7-$AL$7)),$AN$7-SQRT((1-AV180)*($AN$7-$AL$7)*($AN$7-$AM$7))),$AM$7)</f>
        <v/>
      </c>
      <c r="AN180">
        <f>IFERROR(IF(AW180&lt;($AM$8-$AL$8)/($AN$8-$AL$8),$AL$8+SQRT(AW180*($AN$8-$AL$8)*($AM$8-$AL$8)),$AN$8-SQRT((1-AW180)*($AN$8-$AL$8)*($AN$8-$AM$8))),$AM$8)</f>
        <v/>
      </c>
      <c r="AO180">
        <f>IFERROR(IF(AX180&lt;($AM$9-$AL$9)/($AN$9-$AL$9),$AL$9+SQRT(AX180*($AN$9-$AL$9)*($AM$9-$AL$9)),$AN$9-SQRT((1-AX180)*($AN$9-$AL$9)*($AN$9-$AM$9))),$AM$9)</f>
        <v/>
      </c>
      <c r="AP180">
        <f>IFERROR(IF(AY180&lt;($AM$10-$AL$10)/($AN$10-$AL$10),$AL$10+SQRT(AY180*($AN$10-$AL$10)*($AM$10-$AL$10)),$AN$10-SQRT((1-AY180)*($AN$10-$AL$10)*($AN$10-$AM$10))),$AM$10)</f>
        <v/>
      </c>
      <c r="AQ180">
        <f>IFERROR(IF(AZ180&lt;($AM$11-$AL$11)/($AN$11-$AL$11),$AL$11+SQRT(AZ180*($AN$11-$AL$11)*($AM$11-$AL$11)),$AN$11-SQRT((1-AZ180)*($AN$11-$AL$11)*($AN$11-$AM$11))),$AM$11)</f>
        <v/>
      </c>
      <c r="AR180">
        <f>SUMPRODUCT((B24:B31&lt;=$B$6)*(C24:C31*AM180+D24:D31*AO180*$B$8*AQ180)/(1+AL180/100)^B24:B31)+C32*AM180*AP180/(1+AL180/100)^$B$6</f>
        <v/>
      </c>
      <c r="AS180">
        <f>SUMPRODUCT((K24:K26&lt;=$B$6)*(L24:L26*AN180+M24:M26*AO180*$B$8*AQ180)/(1+AL180/100)^K24:K26)+L27*AN180*AP180/(1+AL180/100)^$B$6</f>
        <v/>
      </c>
      <c r="AT180">
        <f>AS180-AR180</f>
        <v/>
      </c>
      <c r="AU180">
        <f>RAND()</f>
        <v/>
      </c>
      <c r="AV180">
        <f>RAND()</f>
        <v/>
      </c>
      <c r="AW180">
        <f>RAND()</f>
        <v/>
      </c>
      <c r="AX180">
        <f>RAND()</f>
        <v/>
      </c>
      <c r="AY180">
        <f>RAND()</f>
        <v/>
      </c>
      <c r="AZ180">
        <f>RAND()</f>
        <v/>
      </c>
    </row>
    <row r="181">
      <c r="A181" t="inlineStr">
        <is>
          <t>HMA: Maintenance 6</t>
        </is>
      </c>
      <c r="B181">
        <f>IF(B31&lt;=$B$6,$B$7+B31,NA())</f>
        <v/>
      </c>
      <c r="C181" t="n">
        <v>1</v>
      </c>
      <c r="D181">
        <f>D31*$B$10</f>
        <v/>
      </c>
      <c r="E181" s="14">
        <f>F31</f>
        <v/>
      </c>
      <c r="AK181" t="n">
        <v>168</v>
      </c>
      <c r="AL181">
        <f>IFERROR(IF(AU181&lt;($AM$6-$AL$6)/($AN$6-$AL$6),$AL$6+SQRT(AU181*($AN$6-$AL$6)*($AM$6-$AL$6)),$AN$6-SQRT((1-AU181)*($AN$6-$AL$6)*($AN$6-$AM$6))),$AM$6)</f>
        <v/>
      </c>
      <c r="AM181">
        <f>IFERROR(IF(AV181&lt;($AM$7-$AL$7)/($AN$7-$AL$7),$AL$7+SQRT(AV181*($AN$7-$AL$7)*($AM$7-$AL$7)),$AN$7-SQRT((1-AV181)*($AN$7-$AL$7)*($AN$7-$AM$7))),$AM$7)</f>
        <v/>
      </c>
      <c r="AN181">
        <f>IFERROR(IF(AW181&lt;($AM$8-$AL$8)/($AN$8-$AL$8),$AL$8+SQRT(AW181*($AN$8-$AL$8)*($AM$8-$AL$8)),$AN$8-SQRT((1-AW181)*($AN$8-$AL$8)*($AN$8-$AM$8))),$AM$8)</f>
        <v/>
      </c>
      <c r="AO181">
        <f>IFERROR(IF(AX181&lt;($AM$9-$AL$9)/($AN$9-$AL$9),$AL$9+SQRT(AX181*($AN$9-$AL$9)*($AM$9-$AL$9)),$AN$9-SQRT((1-AX181)*($AN$9-$AL$9)*($AN$9-$AM$9))),$AM$9)</f>
        <v/>
      </c>
      <c r="AP181">
        <f>IFERROR(IF(AY181&lt;($AM$10-$AL$10)/($AN$10-$AL$10),$AL$10+SQRT(AY181*($AN$10-$AL$10)*($AM$10-$AL$10)),$AN$10-SQRT((1-AY181)*($AN$10-$AL$10)*($AN$10-$AM$10))),$AM$10)</f>
        <v/>
      </c>
      <c r="AQ181">
        <f>IFERROR(IF(AZ181&lt;($AM$11-$AL$11)/($AN$11-$AL$11),$AL$11+SQRT(AZ181*($AN$11-$AL$11)*($AM$11-$AL$11)),$AN$11-SQRT((1-AZ181)*($AN$11-$AL$11)*($AN$11-$AM$11))),$AM$11)</f>
        <v/>
      </c>
      <c r="AR181">
        <f>SUMPRODUCT((B24:B31&lt;=$B$6)*(C24:C31*AM181+D24:D31*AO181*$B$8*AQ181)/(1+AL181/100)^B24:B31)+C32*AM181*AP181/(1+AL181/100)^$B$6</f>
        <v/>
      </c>
      <c r="AS181">
        <f>SUMPRODUCT((K24:K26&lt;=$B$6)*(L24:L26*AN181+M24:M26*AO181*$B$8*AQ181)/(1+AL181/100)^K24:K26)+L27*AN181*AP181/(1+AL181/100)^$B$6</f>
        <v/>
      </c>
      <c r="AT181">
        <f>AS181-AR181</f>
        <v/>
      </c>
      <c r="AU181">
        <f>RAND()</f>
        <v/>
      </c>
      <c r="AV181">
        <f>RAND()</f>
        <v/>
      </c>
      <c r="AW181">
        <f>RAND()</f>
        <v/>
      </c>
      <c r="AX181">
        <f>RAND()</f>
        <v/>
      </c>
      <c r="AY181">
        <f>RAND()</f>
        <v/>
      </c>
      <c r="AZ181">
        <f>RAND()</f>
        <v/>
      </c>
    </row>
    <row r="182">
      <c r="A182" t="inlineStr">
        <is>
          <t>PCC: Maintenance 1</t>
        </is>
      </c>
      <c r="B182">
        <f>IF(K25&lt;=$B$6,$B$7+K25,NA())</f>
        <v/>
      </c>
      <c r="C182" t="n">
        <v>2</v>
      </c>
      <c r="D182">
        <f>M25*$B$10</f>
        <v/>
      </c>
      <c r="E182" s="14">
        <f>O25</f>
        <v/>
      </c>
      <c r="AK182" t="n">
        <v>169</v>
      </c>
      <c r="AL182">
        <f>IFERROR(IF(AU182&lt;($AM$6-$AL$6)/($AN$6-$AL$6),$AL$6+SQRT(AU182*($AN$6-$AL$6)*($AM$6-$AL$6)),$AN$6-SQRT((1-AU182)*($AN$6-$AL$6)*($AN$6-$AM$6))),$AM$6)</f>
        <v/>
      </c>
      <c r="AM182">
        <f>IFERROR(IF(AV182&lt;($AM$7-$AL$7)/($AN$7-$AL$7),$AL$7+SQRT(AV182*($AN$7-$AL$7)*($AM$7-$AL$7)),$AN$7-SQRT((1-AV182)*($AN$7-$AL$7)*($AN$7-$AM$7))),$AM$7)</f>
        <v/>
      </c>
      <c r="AN182">
        <f>IFERROR(IF(AW182&lt;($AM$8-$AL$8)/($AN$8-$AL$8),$AL$8+SQRT(AW182*($AN$8-$AL$8)*($AM$8-$AL$8)),$AN$8-SQRT((1-AW182)*($AN$8-$AL$8)*($AN$8-$AM$8))),$AM$8)</f>
        <v/>
      </c>
      <c r="AO182">
        <f>IFERROR(IF(AX182&lt;($AM$9-$AL$9)/($AN$9-$AL$9),$AL$9+SQRT(AX182*($AN$9-$AL$9)*($AM$9-$AL$9)),$AN$9-SQRT((1-AX182)*($AN$9-$AL$9)*($AN$9-$AM$9))),$AM$9)</f>
        <v/>
      </c>
      <c r="AP182">
        <f>IFERROR(IF(AY182&lt;($AM$10-$AL$10)/($AN$10-$AL$10),$AL$10+SQRT(AY182*($AN$10-$AL$10)*($AM$10-$AL$10)),$AN$10-SQRT((1-AY182)*($AN$10-$AL$10)*($AN$10-$AM$10))),$AM$10)</f>
        <v/>
      </c>
      <c r="AQ182">
        <f>IFERROR(IF(AZ182&lt;($AM$11-$AL$11)/($AN$11-$AL$11),$AL$11+SQRT(AZ182*($AN$11-$AL$11)*($AM$11-$AL$11)),$AN$11-SQRT((1-AZ182)*($AN$11-$AL$11)*($AN$11-$AM$11))),$AM$11)</f>
        <v/>
      </c>
      <c r="AR182">
        <f>SUMPRODUCT((B24:B31&lt;=$B$6)*(C24:C31*AM182+D24:D31*AO182*$B$8*AQ182)/(1+AL182/100)^B24:B31)+C32*AM182*AP182/(1+AL182/100)^$B$6</f>
        <v/>
      </c>
      <c r="AS182">
        <f>SUMPRODUCT((K24:K26&lt;=$B$6)*(L24:L26*AN182+M24:M26*AO182*$B$8*AQ182)/(1+AL182/100)^K24:K26)+L27*AN182*AP182/(1+AL182/100)^$B$6</f>
        <v/>
      </c>
      <c r="AT182">
        <f>AS182-AR182</f>
        <v/>
      </c>
      <c r="AU182">
        <f>RAND()</f>
        <v/>
      </c>
      <c r="AV182">
        <f>RAND()</f>
        <v/>
      </c>
      <c r="AW182">
        <f>RAND()</f>
        <v/>
      </c>
      <c r="AX182">
        <f>RAND()</f>
        <v/>
      </c>
      <c r="AY182">
        <f>RAND()</f>
        <v/>
      </c>
      <c r="AZ182">
        <f>RAND()</f>
        <v/>
      </c>
    </row>
    <row r="183">
      <c r="A183" t="inlineStr">
        <is>
          <t>PCC: Rehabilitation 1</t>
        </is>
      </c>
      <c r="B183">
        <f>IF(K26&lt;=$B$6,$B$7+K26,NA())</f>
        <v/>
      </c>
      <c r="C183" t="n">
        <v>2</v>
      </c>
      <c r="D183">
        <f>M26*$B$10</f>
        <v/>
      </c>
      <c r="E183" s="14">
        <f>O26</f>
        <v/>
      </c>
      <c r="AK183" t="n">
        <v>170</v>
      </c>
      <c r="AL183">
        <f>IFERROR(IF(AU183&lt;($AM$6-$AL$6)/($AN$6-$AL$6),$AL$6+SQRT(AU183*($AN$6-$AL$6)*($AM$6-$AL$6)),$AN$6-SQRT((1-AU183)*($AN$6-$AL$6)*($AN$6-$AM$6))),$AM$6)</f>
        <v/>
      </c>
      <c r="AM183">
        <f>IFERROR(IF(AV183&lt;($AM$7-$AL$7)/($AN$7-$AL$7),$AL$7+SQRT(AV183*($AN$7-$AL$7)*($AM$7-$AL$7)),$AN$7-SQRT((1-AV183)*($AN$7-$AL$7)*($AN$7-$AM$7))),$AM$7)</f>
        <v/>
      </c>
      <c r="AN183">
        <f>IFERROR(IF(AW183&lt;($AM$8-$AL$8)/($AN$8-$AL$8),$AL$8+SQRT(AW183*($AN$8-$AL$8)*($AM$8-$AL$8)),$AN$8-SQRT((1-AW183)*($AN$8-$AL$8)*($AN$8-$AM$8))),$AM$8)</f>
        <v/>
      </c>
      <c r="AO183">
        <f>IFERROR(IF(AX183&lt;($AM$9-$AL$9)/($AN$9-$AL$9),$AL$9+SQRT(AX183*($AN$9-$AL$9)*($AM$9-$AL$9)),$AN$9-SQRT((1-AX183)*($AN$9-$AL$9)*($AN$9-$AM$9))),$AM$9)</f>
        <v/>
      </c>
      <c r="AP183">
        <f>IFERROR(IF(AY183&lt;($AM$10-$AL$10)/($AN$10-$AL$10),$AL$10+SQRT(AY183*($AN$10-$AL$10)*($AM$10-$AL$10)),$AN$10-SQRT((1-AY183)*($AN$10-$AL$10)*($AN$10-$AM$10))),$AM$10)</f>
        <v/>
      </c>
      <c r="AQ183">
        <f>IFERROR(IF(AZ183&lt;($AM$11-$AL$11)/($AN$11-$AL$11),$AL$11+SQRT(AZ183*($AN$11-$AL$11)*($AM$11-$AL$11)),$AN$11-SQRT((1-AZ183)*($AN$11-$AL$11)*($AN$11-$AM$11))),$AM$11)</f>
        <v/>
      </c>
      <c r="AR183">
        <f>SUMPRODUCT((B24:B31&lt;=$B$6)*(C24:C31*AM183+D24:D31*AO183*$B$8*AQ183)/(1+AL183/100)^B24:B31)+C32*AM183*AP183/(1+AL183/100)^$B$6</f>
        <v/>
      </c>
      <c r="AS183">
        <f>SUMPRODUCT((K24:K26&lt;=$B$6)*(L24:L26*AN183+M24:M26*AO183*$B$8*AQ183)/(1+AL183/100)^K24:K26)+L27*AN183*AP183/(1+AL183/100)^$B$6</f>
        <v/>
      </c>
      <c r="AT183">
        <f>AS183-AR183</f>
        <v/>
      </c>
      <c r="AU183">
        <f>RAND()</f>
        <v/>
      </c>
      <c r="AV183">
        <f>RAND()</f>
        <v/>
      </c>
      <c r="AW183">
        <f>RAND()</f>
        <v/>
      </c>
      <c r="AX183">
        <f>RAND()</f>
        <v/>
      </c>
      <c r="AY183">
        <f>RAND()</f>
        <v/>
      </c>
      <c r="AZ183">
        <f>RAND()</f>
        <v/>
      </c>
    </row>
    <row r="184">
      <c r="AK184" t="n">
        <v>171</v>
      </c>
      <c r="AL184">
        <f>IFERROR(IF(AU184&lt;($AM$6-$AL$6)/($AN$6-$AL$6),$AL$6+SQRT(AU184*($AN$6-$AL$6)*($AM$6-$AL$6)),$AN$6-SQRT((1-AU184)*($AN$6-$AL$6)*($AN$6-$AM$6))),$AM$6)</f>
        <v/>
      </c>
      <c r="AM184">
        <f>IFERROR(IF(AV184&lt;($AM$7-$AL$7)/($AN$7-$AL$7),$AL$7+SQRT(AV184*($AN$7-$AL$7)*($AM$7-$AL$7)),$AN$7-SQRT((1-AV184)*($AN$7-$AL$7)*($AN$7-$AM$7))),$AM$7)</f>
        <v/>
      </c>
      <c r="AN184">
        <f>IFERROR(IF(AW184&lt;($AM$8-$AL$8)/($AN$8-$AL$8),$AL$8+SQRT(AW184*($AN$8-$AL$8)*($AM$8-$AL$8)),$AN$8-SQRT((1-AW184)*($AN$8-$AL$8)*($AN$8-$AM$8))),$AM$8)</f>
        <v/>
      </c>
      <c r="AO184">
        <f>IFERROR(IF(AX184&lt;($AM$9-$AL$9)/($AN$9-$AL$9),$AL$9+SQRT(AX184*($AN$9-$AL$9)*($AM$9-$AL$9)),$AN$9-SQRT((1-AX184)*($AN$9-$AL$9)*($AN$9-$AM$9))),$AM$9)</f>
        <v/>
      </c>
      <c r="AP184">
        <f>IFERROR(IF(AY184&lt;($AM$10-$AL$10)/($AN$10-$AL$10),$AL$10+SQRT(AY184*($AN$10-$AL$10)*($AM$10-$AL$10)),$AN$10-SQRT((1-AY184)*($AN$10-$AL$10)*($AN$10-$AM$10))),$AM$10)</f>
        <v/>
      </c>
      <c r="AQ184">
        <f>IFERROR(IF(AZ184&lt;($AM$11-$AL$11)/($AN$11-$AL$11),$AL$11+SQRT(AZ184*($AN$11-$AL$11)*($AM$11-$AL$11)),$AN$11-SQRT((1-AZ184)*($AN$11-$AL$11)*($AN$11-$AM$11))),$AM$11)</f>
        <v/>
      </c>
      <c r="AR184">
        <f>SUMPRODUCT((B24:B31&lt;=$B$6)*(C24:C31*AM184+D24:D31*AO184*$B$8*AQ184)/(1+AL184/100)^B24:B31)+C32*AM184*AP184/(1+AL184/100)^$B$6</f>
        <v/>
      </c>
      <c r="AS184">
        <f>SUMPRODUCT((K24:K26&lt;=$B$6)*(L24:L26*AN184+M24:M26*AO184*$B$8*AQ184)/(1+AL184/100)^K24:K26)+L27*AN184*AP184/(1+AL184/100)^$B$6</f>
        <v/>
      </c>
      <c r="AT184">
        <f>AS184-AR184</f>
        <v/>
      </c>
      <c r="AU184">
        <f>RAND()</f>
        <v/>
      </c>
      <c r="AV184">
        <f>RAND()</f>
        <v/>
      </c>
      <c r="AW184">
        <f>RAND()</f>
        <v/>
      </c>
      <c r="AX184">
        <f>RAND()</f>
        <v/>
      </c>
      <c r="AY184">
        <f>RAND()</f>
        <v/>
      </c>
      <c r="AZ184">
        <f>RAND()</f>
        <v/>
      </c>
    </row>
    <row r="185">
      <c r="AK185" t="n">
        <v>172</v>
      </c>
      <c r="AL185">
        <f>IFERROR(IF(AU185&lt;($AM$6-$AL$6)/($AN$6-$AL$6),$AL$6+SQRT(AU185*($AN$6-$AL$6)*($AM$6-$AL$6)),$AN$6-SQRT((1-AU185)*($AN$6-$AL$6)*($AN$6-$AM$6))),$AM$6)</f>
        <v/>
      </c>
      <c r="AM185">
        <f>IFERROR(IF(AV185&lt;($AM$7-$AL$7)/($AN$7-$AL$7),$AL$7+SQRT(AV185*($AN$7-$AL$7)*($AM$7-$AL$7)),$AN$7-SQRT((1-AV185)*($AN$7-$AL$7)*($AN$7-$AM$7))),$AM$7)</f>
        <v/>
      </c>
      <c r="AN185">
        <f>IFERROR(IF(AW185&lt;($AM$8-$AL$8)/($AN$8-$AL$8),$AL$8+SQRT(AW185*($AN$8-$AL$8)*($AM$8-$AL$8)),$AN$8-SQRT((1-AW185)*($AN$8-$AL$8)*($AN$8-$AM$8))),$AM$8)</f>
        <v/>
      </c>
      <c r="AO185">
        <f>IFERROR(IF(AX185&lt;($AM$9-$AL$9)/($AN$9-$AL$9),$AL$9+SQRT(AX185*($AN$9-$AL$9)*($AM$9-$AL$9)),$AN$9-SQRT((1-AX185)*($AN$9-$AL$9)*($AN$9-$AM$9))),$AM$9)</f>
        <v/>
      </c>
      <c r="AP185">
        <f>IFERROR(IF(AY185&lt;($AM$10-$AL$10)/($AN$10-$AL$10),$AL$10+SQRT(AY185*($AN$10-$AL$10)*($AM$10-$AL$10)),$AN$10-SQRT((1-AY185)*($AN$10-$AL$10)*($AN$10-$AM$10))),$AM$10)</f>
        <v/>
      </c>
      <c r="AQ185">
        <f>IFERROR(IF(AZ185&lt;($AM$11-$AL$11)/($AN$11-$AL$11),$AL$11+SQRT(AZ185*($AN$11-$AL$11)*($AM$11-$AL$11)),$AN$11-SQRT((1-AZ185)*($AN$11-$AL$11)*($AN$11-$AM$11))),$AM$11)</f>
        <v/>
      </c>
      <c r="AR185">
        <f>SUMPRODUCT((B24:B31&lt;=$B$6)*(C24:C31*AM185+D24:D31*AO185*$B$8*AQ185)/(1+AL185/100)^B24:B31)+C32*AM185*AP185/(1+AL185/100)^$B$6</f>
        <v/>
      </c>
      <c r="AS185">
        <f>SUMPRODUCT((K24:K26&lt;=$B$6)*(L24:L26*AN185+M24:M26*AO185*$B$8*AQ185)/(1+AL185/100)^K24:K26)+L27*AN185*AP185/(1+AL185/100)^$B$6</f>
        <v/>
      </c>
      <c r="AT185">
        <f>AS185-AR185</f>
        <v/>
      </c>
      <c r="AU185">
        <f>RAND()</f>
        <v/>
      </c>
      <c r="AV185">
        <f>RAND()</f>
        <v/>
      </c>
      <c r="AW185">
        <f>RAND()</f>
        <v/>
      </c>
      <c r="AX185">
        <f>RAND()</f>
        <v/>
      </c>
      <c r="AY185">
        <f>RAND()</f>
        <v/>
      </c>
      <c r="AZ185">
        <f>RAND()</f>
        <v/>
      </c>
    </row>
    <row r="186">
      <c r="AK186" t="n">
        <v>173</v>
      </c>
      <c r="AL186">
        <f>IFERROR(IF(AU186&lt;($AM$6-$AL$6)/($AN$6-$AL$6),$AL$6+SQRT(AU186*($AN$6-$AL$6)*($AM$6-$AL$6)),$AN$6-SQRT((1-AU186)*($AN$6-$AL$6)*($AN$6-$AM$6))),$AM$6)</f>
        <v/>
      </c>
      <c r="AM186">
        <f>IFERROR(IF(AV186&lt;($AM$7-$AL$7)/($AN$7-$AL$7),$AL$7+SQRT(AV186*($AN$7-$AL$7)*($AM$7-$AL$7)),$AN$7-SQRT((1-AV186)*($AN$7-$AL$7)*($AN$7-$AM$7))),$AM$7)</f>
        <v/>
      </c>
      <c r="AN186">
        <f>IFERROR(IF(AW186&lt;($AM$8-$AL$8)/($AN$8-$AL$8),$AL$8+SQRT(AW186*($AN$8-$AL$8)*($AM$8-$AL$8)),$AN$8-SQRT((1-AW186)*($AN$8-$AL$8)*($AN$8-$AM$8))),$AM$8)</f>
        <v/>
      </c>
      <c r="AO186">
        <f>IFERROR(IF(AX186&lt;($AM$9-$AL$9)/($AN$9-$AL$9),$AL$9+SQRT(AX186*($AN$9-$AL$9)*($AM$9-$AL$9)),$AN$9-SQRT((1-AX186)*($AN$9-$AL$9)*($AN$9-$AM$9))),$AM$9)</f>
        <v/>
      </c>
      <c r="AP186">
        <f>IFERROR(IF(AY186&lt;($AM$10-$AL$10)/($AN$10-$AL$10),$AL$10+SQRT(AY186*($AN$10-$AL$10)*($AM$10-$AL$10)),$AN$10-SQRT((1-AY186)*($AN$10-$AL$10)*($AN$10-$AM$10))),$AM$10)</f>
        <v/>
      </c>
      <c r="AQ186">
        <f>IFERROR(IF(AZ186&lt;($AM$11-$AL$11)/($AN$11-$AL$11),$AL$11+SQRT(AZ186*($AN$11-$AL$11)*($AM$11-$AL$11)),$AN$11-SQRT((1-AZ186)*($AN$11-$AL$11)*($AN$11-$AM$11))),$AM$11)</f>
        <v/>
      </c>
      <c r="AR186">
        <f>SUMPRODUCT((B24:B31&lt;=$B$6)*(C24:C31*AM186+D24:D31*AO186*$B$8*AQ186)/(1+AL186/100)^B24:B31)+C32*AM186*AP186/(1+AL186/100)^$B$6</f>
        <v/>
      </c>
      <c r="AS186">
        <f>SUMPRODUCT((K24:K26&lt;=$B$6)*(L24:L26*AN186+M24:M26*AO186*$B$8*AQ186)/(1+AL186/100)^K24:K26)+L27*AN186*AP186/(1+AL186/100)^$B$6</f>
        <v/>
      </c>
      <c r="AT186">
        <f>AS186-AR186</f>
        <v/>
      </c>
      <c r="AU186">
        <f>RAND()</f>
        <v/>
      </c>
      <c r="AV186">
        <f>RAND()</f>
        <v/>
      </c>
      <c r="AW186">
        <f>RAND()</f>
        <v/>
      </c>
      <c r="AX186">
        <f>RAND()</f>
        <v/>
      </c>
      <c r="AY186">
        <f>RAND()</f>
        <v/>
      </c>
      <c r="AZ186">
        <f>RAND()</f>
        <v/>
      </c>
    </row>
    <row r="187">
      <c r="AK187" t="n">
        <v>174</v>
      </c>
      <c r="AL187">
        <f>IFERROR(IF(AU187&lt;($AM$6-$AL$6)/($AN$6-$AL$6),$AL$6+SQRT(AU187*($AN$6-$AL$6)*($AM$6-$AL$6)),$AN$6-SQRT((1-AU187)*($AN$6-$AL$6)*($AN$6-$AM$6))),$AM$6)</f>
        <v/>
      </c>
      <c r="AM187">
        <f>IFERROR(IF(AV187&lt;($AM$7-$AL$7)/($AN$7-$AL$7),$AL$7+SQRT(AV187*($AN$7-$AL$7)*($AM$7-$AL$7)),$AN$7-SQRT((1-AV187)*($AN$7-$AL$7)*($AN$7-$AM$7))),$AM$7)</f>
        <v/>
      </c>
      <c r="AN187">
        <f>IFERROR(IF(AW187&lt;($AM$8-$AL$8)/($AN$8-$AL$8),$AL$8+SQRT(AW187*($AN$8-$AL$8)*($AM$8-$AL$8)),$AN$8-SQRT((1-AW187)*($AN$8-$AL$8)*($AN$8-$AM$8))),$AM$8)</f>
        <v/>
      </c>
      <c r="AO187">
        <f>IFERROR(IF(AX187&lt;($AM$9-$AL$9)/($AN$9-$AL$9),$AL$9+SQRT(AX187*($AN$9-$AL$9)*($AM$9-$AL$9)),$AN$9-SQRT((1-AX187)*($AN$9-$AL$9)*($AN$9-$AM$9))),$AM$9)</f>
        <v/>
      </c>
      <c r="AP187">
        <f>IFERROR(IF(AY187&lt;($AM$10-$AL$10)/($AN$10-$AL$10),$AL$10+SQRT(AY187*($AN$10-$AL$10)*($AM$10-$AL$10)),$AN$10-SQRT((1-AY187)*($AN$10-$AL$10)*($AN$10-$AM$10))),$AM$10)</f>
        <v/>
      </c>
      <c r="AQ187">
        <f>IFERROR(IF(AZ187&lt;($AM$11-$AL$11)/($AN$11-$AL$11),$AL$11+SQRT(AZ187*($AN$11-$AL$11)*($AM$11-$AL$11)),$AN$11-SQRT((1-AZ187)*($AN$11-$AL$11)*($AN$11-$AM$11))),$AM$11)</f>
        <v/>
      </c>
      <c r="AR187">
        <f>SUMPRODUCT((B24:B31&lt;=$B$6)*(C24:C31*AM187+D24:D31*AO187*$B$8*AQ187)/(1+AL187/100)^B24:B31)+C32*AM187*AP187/(1+AL187/100)^$B$6</f>
        <v/>
      </c>
      <c r="AS187">
        <f>SUMPRODUCT((K24:K26&lt;=$B$6)*(L24:L26*AN187+M24:M26*AO187*$B$8*AQ187)/(1+AL187/100)^K24:K26)+L27*AN187*AP187/(1+AL187/100)^$B$6</f>
        <v/>
      </c>
      <c r="AT187">
        <f>AS187-AR187</f>
        <v/>
      </c>
      <c r="AU187">
        <f>RAND()</f>
        <v/>
      </c>
      <c r="AV187">
        <f>RAND()</f>
        <v/>
      </c>
      <c r="AW187">
        <f>RAND()</f>
        <v/>
      </c>
      <c r="AX187">
        <f>RAND()</f>
        <v/>
      </c>
      <c r="AY187">
        <f>RAND()</f>
        <v/>
      </c>
      <c r="AZ187">
        <f>RAND()</f>
        <v/>
      </c>
    </row>
    <row r="188">
      <c r="AK188" t="n">
        <v>175</v>
      </c>
      <c r="AL188">
        <f>IFERROR(IF(AU188&lt;($AM$6-$AL$6)/($AN$6-$AL$6),$AL$6+SQRT(AU188*($AN$6-$AL$6)*($AM$6-$AL$6)),$AN$6-SQRT((1-AU188)*($AN$6-$AL$6)*($AN$6-$AM$6))),$AM$6)</f>
        <v/>
      </c>
      <c r="AM188">
        <f>IFERROR(IF(AV188&lt;($AM$7-$AL$7)/($AN$7-$AL$7),$AL$7+SQRT(AV188*($AN$7-$AL$7)*($AM$7-$AL$7)),$AN$7-SQRT((1-AV188)*($AN$7-$AL$7)*($AN$7-$AM$7))),$AM$7)</f>
        <v/>
      </c>
      <c r="AN188">
        <f>IFERROR(IF(AW188&lt;($AM$8-$AL$8)/($AN$8-$AL$8),$AL$8+SQRT(AW188*($AN$8-$AL$8)*($AM$8-$AL$8)),$AN$8-SQRT((1-AW188)*($AN$8-$AL$8)*($AN$8-$AM$8))),$AM$8)</f>
        <v/>
      </c>
      <c r="AO188">
        <f>IFERROR(IF(AX188&lt;($AM$9-$AL$9)/($AN$9-$AL$9),$AL$9+SQRT(AX188*($AN$9-$AL$9)*($AM$9-$AL$9)),$AN$9-SQRT((1-AX188)*($AN$9-$AL$9)*($AN$9-$AM$9))),$AM$9)</f>
        <v/>
      </c>
      <c r="AP188">
        <f>IFERROR(IF(AY188&lt;($AM$10-$AL$10)/($AN$10-$AL$10),$AL$10+SQRT(AY188*($AN$10-$AL$10)*($AM$10-$AL$10)),$AN$10-SQRT((1-AY188)*($AN$10-$AL$10)*($AN$10-$AM$10))),$AM$10)</f>
        <v/>
      </c>
      <c r="AQ188">
        <f>IFERROR(IF(AZ188&lt;($AM$11-$AL$11)/($AN$11-$AL$11),$AL$11+SQRT(AZ188*($AN$11-$AL$11)*($AM$11-$AL$11)),$AN$11-SQRT((1-AZ188)*($AN$11-$AL$11)*($AN$11-$AM$11))),$AM$11)</f>
        <v/>
      </c>
      <c r="AR188">
        <f>SUMPRODUCT((B24:B31&lt;=$B$6)*(C24:C31*AM188+D24:D31*AO188*$B$8*AQ188)/(1+AL188/100)^B24:B31)+C32*AM188*AP188/(1+AL188/100)^$B$6</f>
        <v/>
      </c>
      <c r="AS188">
        <f>SUMPRODUCT((K24:K26&lt;=$B$6)*(L24:L26*AN188+M24:M26*AO188*$B$8*AQ188)/(1+AL188/100)^K24:K26)+L27*AN188*AP188/(1+AL188/100)^$B$6</f>
        <v/>
      </c>
      <c r="AT188">
        <f>AS188-AR188</f>
        <v/>
      </c>
      <c r="AU188">
        <f>RAND()</f>
        <v/>
      </c>
      <c r="AV188">
        <f>RAND()</f>
        <v/>
      </c>
      <c r="AW188">
        <f>RAND()</f>
        <v/>
      </c>
      <c r="AX188">
        <f>RAND()</f>
        <v/>
      </c>
      <c r="AY188">
        <f>RAND()</f>
        <v/>
      </c>
      <c r="AZ188">
        <f>RAND()</f>
        <v/>
      </c>
    </row>
    <row r="189">
      <c r="AK189" t="n">
        <v>176</v>
      </c>
      <c r="AL189">
        <f>IFERROR(IF(AU189&lt;($AM$6-$AL$6)/($AN$6-$AL$6),$AL$6+SQRT(AU189*($AN$6-$AL$6)*($AM$6-$AL$6)),$AN$6-SQRT((1-AU189)*($AN$6-$AL$6)*($AN$6-$AM$6))),$AM$6)</f>
        <v/>
      </c>
      <c r="AM189">
        <f>IFERROR(IF(AV189&lt;($AM$7-$AL$7)/($AN$7-$AL$7),$AL$7+SQRT(AV189*($AN$7-$AL$7)*($AM$7-$AL$7)),$AN$7-SQRT((1-AV189)*($AN$7-$AL$7)*($AN$7-$AM$7))),$AM$7)</f>
        <v/>
      </c>
      <c r="AN189">
        <f>IFERROR(IF(AW189&lt;($AM$8-$AL$8)/($AN$8-$AL$8),$AL$8+SQRT(AW189*($AN$8-$AL$8)*($AM$8-$AL$8)),$AN$8-SQRT((1-AW189)*($AN$8-$AL$8)*($AN$8-$AM$8))),$AM$8)</f>
        <v/>
      </c>
      <c r="AO189">
        <f>IFERROR(IF(AX189&lt;($AM$9-$AL$9)/($AN$9-$AL$9),$AL$9+SQRT(AX189*($AN$9-$AL$9)*($AM$9-$AL$9)),$AN$9-SQRT((1-AX189)*($AN$9-$AL$9)*($AN$9-$AM$9))),$AM$9)</f>
        <v/>
      </c>
      <c r="AP189">
        <f>IFERROR(IF(AY189&lt;($AM$10-$AL$10)/($AN$10-$AL$10),$AL$10+SQRT(AY189*($AN$10-$AL$10)*($AM$10-$AL$10)),$AN$10-SQRT((1-AY189)*($AN$10-$AL$10)*($AN$10-$AM$10))),$AM$10)</f>
        <v/>
      </c>
      <c r="AQ189">
        <f>IFERROR(IF(AZ189&lt;($AM$11-$AL$11)/($AN$11-$AL$11),$AL$11+SQRT(AZ189*($AN$11-$AL$11)*($AM$11-$AL$11)),$AN$11-SQRT((1-AZ189)*($AN$11-$AL$11)*($AN$11-$AM$11))),$AM$11)</f>
        <v/>
      </c>
      <c r="AR189">
        <f>SUMPRODUCT((B24:B31&lt;=$B$6)*(C24:C31*AM189+D24:D31*AO189*$B$8*AQ189)/(1+AL189/100)^B24:B31)+C32*AM189*AP189/(1+AL189/100)^$B$6</f>
        <v/>
      </c>
      <c r="AS189">
        <f>SUMPRODUCT((K24:K26&lt;=$B$6)*(L24:L26*AN189+M24:M26*AO189*$B$8*AQ189)/(1+AL189/100)^K24:K26)+L27*AN189*AP189/(1+AL189/100)^$B$6</f>
        <v/>
      </c>
      <c r="AT189">
        <f>AS189-AR189</f>
        <v/>
      </c>
      <c r="AU189">
        <f>RAND()</f>
        <v/>
      </c>
      <c r="AV189">
        <f>RAND()</f>
        <v/>
      </c>
      <c r="AW189">
        <f>RAND()</f>
        <v/>
      </c>
      <c r="AX189">
        <f>RAND()</f>
        <v/>
      </c>
      <c r="AY189">
        <f>RAND()</f>
        <v/>
      </c>
      <c r="AZ189">
        <f>RAND()</f>
        <v/>
      </c>
    </row>
    <row r="190">
      <c r="AK190" t="n">
        <v>177</v>
      </c>
      <c r="AL190">
        <f>IFERROR(IF(AU190&lt;($AM$6-$AL$6)/($AN$6-$AL$6),$AL$6+SQRT(AU190*($AN$6-$AL$6)*($AM$6-$AL$6)),$AN$6-SQRT((1-AU190)*($AN$6-$AL$6)*($AN$6-$AM$6))),$AM$6)</f>
        <v/>
      </c>
      <c r="AM190">
        <f>IFERROR(IF(AV190&lt;($AM$7-$AL$7)/($AN$7-$AL$7),$AL$7+SQRT(AV190*($AN$7-$AL$7)*($AM$7-$AL$7)),$AN$7-SQRT((1-AV190)*($AN$7-$AL$7)*($AN$7-$AM$7))),$AM$7)</f>
        <v/>
      </c>
      <c r="AN190">
        <f>IFERROR(IF(AW190&lt;($AM$8-$AL$8)/($AN$8-$AL$8),$AL$8+SQRT(AW190*($AN$8-$AL$8)*($AM$8-$AL$8)),$AN$8-SQRT((1-AW190)*($AN$8-$AL$8)*($AN$8-$AM$8))),$AM$8)</f>
        <v/>
      </c>
      <c r="AO190">
        <f>IFERROR(IF(AX190&lt;($AM$9-$AL$9)/($AN$9-$AL$9),$AL$9+SQRT(AX190*($AN$9-$AL$9)*($AM$9-$AL$9)),$AN$9-SQRT((1-AX190)*($AN$9-$AL$9)*($AN$9-$AM$9))),$AM$9)</f>
        <v/>
      </c>
      <c r="AP190">
        <f>IFERROR(IF(AY190&lt;($AM$10-$AL$10)/($AN$10-$AL$10),$AL$10+SQRT(AY190*($AN$10-$AL$10)*($AM$10-$AL$10)),$AN$10-SQRT((1-AY190)*($AN$10-$AL$10)*($AN$10-$AM$10))),$AM$10)</f>
        <v/>
      </c>
      <c r="AQ190">
        <f>IFERROR(IF(AZ190&lt;($AM$11-$AL$11)/($AN$11-$AL$11),$AL$11+SQRT(AZ190*($AN$11-$AL$11)*($AM$11-$AL$11)),$AN$11-SQRT((1-AZ190)*($AN$11-$AL$11)*($AN$11-$AM$11))),$AM$11)</f>
        <v/>
      </c>
      <c r="AR190">
        <f>SUMPRODUCT((B24:B31&lt;=$B$6)*(C24:C31*AM190+D24:D31*AO190*$B$8*AQ190)/(1+AL190/100)^B24:B31)+C32*AM190*AP190/(1+AL190/100)^$B$6</f>
        <v/>
      </c>
      <c r="AS190">
        <f>SUMPRODUCT((K24:K26&lt;=$B$6)*(L24:L26*AN190+M24:M26*AO190*$B$8*AQ190)/(1+AL190/100)^K24:K26)+L27*AN190*AP190/(1+AL190/100)^$B$6</f>
        <v/>
      </c>
      <c r="AT190">
        <f>AS190-AR190</f>
        <v/>
      </c>
      <c r="AU190">
        <f>RAND()</f>
        <v/>
      </c>
      <c r="AV190">
        <f>RAND()</f>
        <v/>
      </c>
      <c r="AW190">
        <f>RAND()</f>
        <v/>
      </c>
      <c r="AX190">
        <f>RAND()</f>
        <v/>
      </c>
      <c r="AY190">
        <f>RAND()</f>
        <v/>
      </c>
      <c r="AZ190">
        <f>RAND()</f>
        <v/>
      </c>
    </row>
    <row r="191">
      <c r="AK191" t="n">
        <v>178</v>
      </c>
      <c r="AL191">
        <f>IFERROR(IF(AU191&lt;($AM$6-$AL$6)/($AN$6-$AL$6),$AL$6+SQRT(AU191*($AN$6-$AL$6)*($AM$6-$AL$6)),$AN$6-SQRT((1-AU191)*($AN$6-$AL$6)*($AN$6-$AM$6))),$AM$6)</f>
        <v/>
      </c>
      <c r="AM191">
        <f>IFERROR(IF(AV191&lt;($AM$7-$AL$7)/($AN$7-$AL$7),$AL$7+SQRT(AV191*($AN$7-$AL$7)*($AM$7-$AL$7)),$AN$7-SQRT((1-AV191)*($AN$7-$AL$7)*($AN$7-$AM$7))),$AM$7)</f>
        <v/>
      </c>
      <c r="AN191">
        <f>IFERROR(IF(AW191&lt;($AM$8-$AL$8)/($AN$8-$AL$8),$AL$8+SQRT(AW191*($AN$8-$AL$8)*($AM$8-$AL$8)),$AN$8-SQRT((1-AW191)*($AN$8-$AL$8)*($AN$8-$AM$8))),$AM$8)</f>
        <v/>
      </c>
      <c r="AO191">
        <f>IFERROR(IF(AX191&lt;($AM$9-$AL$9)/($AN$9-$AL$9),$AL$9+SQRT(AX191*($AN$9-$AL$9)*($AM$9-$AL$9)),$AN$9-SQRT((1-AX191)*($AN$9-$AL$9)*($AN$9-$AM$9))),$AM$9)</f>
        <v/>
      </c>
      <c r="AP191">
        <f>IFERROR(IF(AY191&lt;($AM$10-$AL$10)/($AN$10-$AL$10),$AL$10+SQRT(AY191*($AN$10-$AL$10)*($AM$10-$AL$10)),$AN$10-SQRT((1-AY191)*($AN$10-$AL$10)*($AN$10-$AM$10))),$AM$10)</f>
        <v/>
      </c>
      <c r="AQ191">
        <f>IFERROR(IF(AZ191&lt;($AM$11-$AL$11)/($AN$11-$AL$11),$AL$11+SQRT(AZ191*($AN$11-$AL$11)*($AM$11-$AL$11)),$AN$11-SQRT((1-AZ191)*($AN$11-$AL$11)*($AN$11-$AM$11))),$AM$11)</f>
        <v/>
      </c>
      <c r="AR191">
        <f>SUMPRODUCT((B24:B31&lt;=$B$6)*(C24:C31*AM191+D24:D31*AO191*$B$8*AQ191)/(1+AL191/100)^B24:B31)+C32*AM191*AP191/(1+AL191/100)^$B$6</f>
        <v/>
      </c>
      <c r="AS191">
        <f>SUMPRODUCT((K24:K26&lt;=$B$6)*(L24:L26*AN191+M24:M26*AO191*$B$8*AQ191)/(1+AL191/100)^K24:K26)+L27*AN191*AP191/(1+AL191/100)^$B$6</f>
        <v/>
      </c>
      <c r="AT191">
        <f>AS191-AR191</f>
        <v/>
      </c>
      <c r="AU191">
        <f>RAND()</f>
        <v/>
      </c>
      <c r="AV191">
        <f>RAND()</f>
        <v/>
      </c>
      <c r="AW191">
        <f>RAND()</f>
        <v/>
      </c>
      <c r="AX191">
        <f>RAND()</f>
        <v/>
      </c>
      <c r="AY191">
        <f>RAND()</f>
        <v/>
      </c>
      <c r="AZ191">
        <f>RAND()</f>
        <v/>
      </c>
    </row>
    <row r="192">
      <c r="AK192" t="n">
        <v>179</v>
      </c>
      <c r="AL192">
        <f>IFERROR(IF(AU192&lt;($AM$6-$AL$6)/($AN$6-$AL$6),$AL$6+SQRT(AU192*($AN$6-$AL$6)*($AM$6-$AL$6)),$AN$6-SQRT((1-AU192)*($AN$6-$AL$6)*($AN$6-$AM$6))),$AM$6)</f>
        <v/>
      </c>
      <c r="AM192">
        <f>IFERROR(IF(AV192&lt;($AM$7-$AL$7)/($AN$7-$AL$7),$AL$7+SQRT(AV192*($AN$7-$AL$7)*($AM$7-$AL$7)),$AN$7-SQRT((1-AV192)*($AN$7-$AL$7)*($AN$7-$AM$7))),$AM$7)</f>
        <v/>
      </c>
      <c r="AN192">
        <f>IFERROR(IF(AW192&lt;($AM$8-$AL$8)/($AN$8-$AL$8),$AL$8+SQRT(AW192*($AN$8-$AL$8)*($AM$8-$AL$8)),$AN$8-SQRT((1-AW192)*($AN$8-$AL$8)*($AN$8-$AM$8))),$AM$8)</f>
        <v/>
      </c>
      <c r="AO192">
        <f>IFERROR(IF(AX192&lt;($AM$9-$AL$9)/($AN$9-$AL$9),$AL$9+SQRT(AX192*($AN$9-$AL$9)*($AM$9-$AL$9)),$AN$9-SQRT((1-AX192)*($AN$9-$AL$9)*($AN$9-$AM$9))),$AM$9)</f>
        <v/>
      </c>
      <c r="AP192">
        <f>IFERROR(IF(AY192&lt;($AM$10-$AL$10)/($AN$10-$AL$10),$AL$10+SQRT(AY192*($AN$10-$AL$10)*($AM$10-$AL$10)),$AN$10-SQRT((1-AY192)*($AN$10-$AL$10)*($AN$10-$AM$10))),$AM$10)</f>
        <v/>
      </c>
      <c r="AQ192">
        <f>IFERROR(IF(AZ192&lt;($AM$11-$AL$11)/($AN$11-$AL$11),$AL$11+SQRT(AZ192*($AN$11-$AL$11)*($AM$11-$AL$11)),$AN$11-SQRT((1-AZ192)*($AN$11-$AL$11)*($AN$11-$AM$11))),$AM$11)</f>
        <v/>
      </c>
      <c r="AR192">
        <f>SUMPRODUCT((B24:B31&lt;=$B$6)*(C24:C31*AM192+D24:D31*AO192*$B$8*AQ192)/(1+AL192/100)^B24:B31)+C32*AM192*AP192/(1+AL192/100)^$B$6</f>
        <v/>
      </c>
      <c r="AS192">
        <f>SUMPRODUCT((K24:K26&lt;=$B$6)*(L24:L26*AN192+M24:M26*AO192*$B$8*AQ192)/(1+AL192/100)^K24:K26)+L27*AN192*AP192/(1+AL192/100)^$B$6</f>
        <v/>
      </c>
      <c r="AT192">
        <f>AS192-AR192</f>
        <v/>
      </c>
      <c r="AU192">
        <f>RAND()</f>
        <v/>
      </c>
      <c r="AV192">
        <f>RAND()</f>
        <v/>
      </c>
      <c r="AW192">
        <f>RAND()</f>
        <v/>
      </c>
      <c r="AX192">
        <f>RAND()</f>
        <v/>
      </c>
      <c r="AY192">
        <f>RAND()</f>
        <v/>
      </c>
      <c r="AZ192">
        <f>RAND()</f>
        <v/>
      </c>
    </row>
    <row r="193">
      <c r="AK193" t="n">
        <v>180</v>
      </c>
      <c r="AL193">
        <f>IFERROR(IF(AU193&lt;($AM$6-$AL$6)/($AN$6-$AL$6),$AL$6+SQRT(AU193*($AN$6-$AL$6)*($AM$6-$AL$6)),$AN$6-SQRT((1-AU193)*($AN$6-$AL$6)*($AN$6-$AM$6))),$AM$6)</f>
        <v/>
      </c>
      <c r="AM193">
        <f>IFERROR(IF(AV193&lt;($AM$7-$AL$7)/($AN$7-$AL$7),$AL$7+SQRT(AV193*($AN$7-$AL$7)*($AM$7-$AL$7)),$AN$7-SQRT((1-AV193)*($AN$7-$AL$7)*($AN$7-$AM$7))),$AM$7)</f>
        <v/>
      </c>
      <c r="AN193">
        <f>IFERROR(IF(AW193&lt;($AM$8-$AL$8)/($AN$8-$AL$8),$AL$8+SQRT(AW193*($AN$8-$AL$8)*($AM$8-$AL$8)),$AN$8-SQRT((1-AW193)*($AN$8-$AL$8)*($AN$8-$AM$8))),$AM$8)</f>
        <v/>
      </c>
      <c r="AO193">
        <f>IFERROR(IF(AX193&lt;($AM$9-$AL$9)/($AN$9-$AL$9),$AL$9+SQRT(AX193*($AN$9-$AL$9)*($AM$9-$AL$9)),$AN$9-SQRT((1-AX193)*($AN$9-$AL$9)*($AN$9-$AM$9))),$AM$9)</f>
        <v/>
      </c>
      <c r="AP193">
        <f>IFERROR(IF(AY193&lt;($AM$10-$AL$10)/($AN$10-$AL$10),$AL$10+SQRT(AY193*($AN$10-$AL$10)*($AM$10-$AL$10)),$AN$10-SQRT((1-AY193)*($AN$10-$AL$10)*($AN$10-$AM$10))),$AM$10)</f>
        <v/>
      </c>
      <c r="AQ193">
        <f>IFERROR(IF(AZ193&lt;($AM$11-$AL$11)/($AN$11-$AL$11),$AL$11+SQRT(AZ193*($AN$11-$AL$11)*($AM$11-$AL$11)),$AN$11-SQRT((1-AZ193)*($AN$11-$AL$11)*($AN$11-$AM$11))),$AM$11)</f>
        <v/>
      </c>
      <c r="AR193">
        <f>SUMPRODUCT((B24:B31&lt;=$B$6)*(C24:C31*AM193+D24:D31*AO193*$B$8*AQ193)/(1+AL193/100)^B24:B31)+C32*AM193*AP193/(1+AL193/100)^$B$6</f>
        <v/>
      </c>
      <c r="AS193">
        <f>SUMPRODUCT((K24:K26&lt;=$B$6)*(L24:L26*AN193+M24:M26*AO193*$B$8*AQ193)/(1+AL193/100)^K24:K26)+L27*AN193*AP193/(1+AL193/100)^$B$6</f>
        <v/>
      </c>
      <c r="AT193">
        <f>AS193-AR193</f>
        <v/>
      </c>
      <c r="AU193">
        <f>RAND()</f>
        <v/>
      </c>
      <c r="AV193">
        <f>RAND()</f>
        <v/>
      </c>
      <c r="AW193">
        <f>RAND()</f>
        <v/>
      </c>
      <c r="AX193">
        <f>RAND()</f>
        <v/>
      </c>
      <c r="AY193">
        <f>RAND()</f>
        <v/>
      </c>
      <c r="AZ193">
        <f>RAND()</f>
        <v/>
      </c>
    </row>
    <row r="194">
      <c r="AK194" t="n">
        <v>181</v>
      </c>
      <c r="AL194">
        <f>IFERROR(IF(AU194&lt;($AM$6-$AL$6)/($AN$6-$AL$6),$AL$6+SQRT(AU194*($AN$6-$AL$6)*($AM$6-$AL$6)),$AN$6-SQRT((1-AU194)*($AN$6-$AL$6)*($AN$6-$AM$6))),$AM$6)</f>
        <v/>
      </c>
      <c r="AM194">
        <f>IFERROR(IF(AV194&lt;($AM$7-$AL$7)/($AN$7-$AL$7),$AL$7+SQRT(AV194*($AN$7-$AL$7)*($AM$7-$AL$7)),$AN$7-SQRT((1-AV194)*($AN$7-$AL$7)*($AN$7-$AM$7))),$AM$7)</f>
        <v/>
      </c>
      <c r="AN194">
        <f>IFERROR(IF(AW194&lt;($AM$8-$AL$8)/($AN$8-$AL$8),$AL$8+SQRT(AW194*($AN$8-$AL$8)*($AM$8-$AL$8)),$AN$8-SQRT((1-AW194)*($AN$8-$AL$8)*($AN$8-$AM$8))),$AM$8)</f>
        <v/>
      </c>
      <c r="AO194">
        <f>IFERROR(IF(AX194&lt;($AM$9-$AL$9)/($AN$9-$AL$9),$AL$9+SQRT(AX194*($AN$9-$AL$9)*($AM$9-$AL$9)),$AN$9-SQRT((1-AX194)*($AN$9-$AL$9)*($AN$9-$AM$9))),$AM$9)</f>
        <v/>
      </c>
      <c r="AP194">
        <f>IFERROR(IF(AY194&lt;($AM$10-$AL$10)/($AN$10-$AL$10),$AL$10+SQRT(AY194*($AN$10-$AL$10)*($AM$10-$AL$10)),$AN$10-SQRT((1-AY194)*($AN$10-$AL$10)*($AN$10-$AM$10))),$AM$10)</f>
        <v/>
      </c>
      <c r="AQ194">
        <f>IFERROR(IF(AZ194&lt;($AM$11-$AL$11)/($AN$11-$AL$11),$AL$11+SQRT(AZ194*($AN$11-$AL$11)*($AM$11-$AL$11)),$AN$11-SQRT((1-AZ194)*($AN$11-$AL$11)*($AN$11-$AM$11))),$AM$11)</f>
        <v/>
      </c>
      <c r="AR194">
        <f>SUMPRODUCT((B24:B31&lt;=$B$6)*(C24:C31*AM194+D24:D31*AO194*$B$8*AQ194)/(1+AL194/100)^B24:B31)+C32*AM194*AP194/(1+AL194/100)^$B$6</f>
        <v/>
      </c>
      <c r="AS194">
        <f>SUMPRODUCT((K24:K26&lt;=$B$6)*(L24:L26*AN194+M24:M26*AO194*$B$8*AQ194)/(1+AL194/100)^K24:K26)+L27*AN194*AP194/(1+AL194/100)^$B$6</f>
        <v/>
      </c>
      <c r="AT194">
        <f>AS194-AR194</f>
        <v/>
      </c>
      <c r="AU194">
        <f>RAND()</f>
        <v/>
      </c>
      <c r="AV194">
        <f>RAND()</f>
        <v/>
      </c>
      <c r="AW194">
        <f>RAND()</f>
        <v/>
      </c>
      <c r="AX194">
        <f>RAND()</f>
        <v/>
      </c>
      <c r="AY194">
        <f>RAND()</f>
        <v/>
      </c>
      <c r="AZ194">
        <f>RAND()</f>
        <v/>
      </c>
    </row>
    <row r="195">
      <c r="AK195" t="n">
        <v>182</v>
      </c>
      <c r="AL195">
        <f>IFERROR(IF(AU195&lt;($AM$6-$AL$6)/($AN$6-$AL$6),$AL$6+SQRT(AU195*($AN$6-$AL$6)*($AM$6-$AL$6)),$AN$6-SQRT((1-AU195)*($AN$6-$AL$6)*($AN$6-$AM$6))),$AM$6)</f>
        <v/>
      </c>
      <c r="AM195">
        <f>IFERROR(IF(AV195&lt;($AM$7-$AL$7)/($AN$7-$AL$7),$AL$7+SQRT(AV195*($AN$7-$AL$7)*($AM$7-$AL$7)),$AN$7-SQRT((1-AV195)*($AN$7-$AL$7)*($AN$7-$AM$7))),$AM$7)</f>
        <v/>
      </c>
      <c r="AN195">
        <f>IFERROR(IF(AW195&lt;($AM$8-$AL$8)/($AN$8-$AL$8),$AL$8+SQRT(AW195*($AN$8-$AL$8)*($AM$8-$AL$8)),$AN$8-SQRT((1-AW195)*($AN$8-$AL$8)*($AN$8-$AM$8))),$AM$8)</f>
        <v/>
      </c>
      <c r="AO195">
        <f>IFERROR(IF(AX195&lt;($AM$9-$AL$9)/($AN$9-$AL$9),$AL$9+SQRT(AX195*($AN$9-$AL$9)*($AM$9-$AL$9)),$AN$9-SQRT((1-AX195)*($AN$9-$AL$9)*($AN$9-$AM$9))),$AM$9)</f>
        <v/>
      </c>
      <c r="AP195">
        <f>IFERROR(IF(AY195&lt;($AM$10-$AL$10)/($AN$10-$AL$10),$AL$10+SQRT(AY195*($AN$10-$AL$10)*($AM$10-$AL$10)),$AN$10-SQRT((1-AY195)*($AN$10-$AL$10)*($AN$10-$AM$10))),$AM$10)</f>
        <v/>
      </c>
      <c r="AQ195">
        <f>IFERROR(IF(AZ195&lt;($AM$11-$AL$11)/($AN$11-$AL$11),$AL$11+SQRT(AZ195*($AN$11-$AL$11)*($AM$11-$AL$11)),$AN$11-SQRT((1-AZ195)*($AN$11-$AL$11)*($AN$11-$AM$11))),$AM$11)</f>
        <v/>
      </c>
      <c r="AR195">
        <f>SUMPRODUCT((B24:B31&lt;=$B$6)*(C24:C31*AM195+D24:D31*AO195*$B$8*AQ195)/(1+AL195/100)^B24:B31)+C32*AM195*AP195/(1+AL195/100)^$B$6</f>
        <v/>
      </c>
      <c r="AS195">
        <f>SUMPRODUCT((K24:K26&lt;=$B$6)*(L24:L26*AN195+M24:M26*AO195*$B$8*AQ195)/(1+AL195/100)^K24:K26)+L27*AN195*AP195/(1+AL195/100)^$B$6</f>
        <v/>
      </c>
      <c r="AT195">
        <f>AS195-AR195</f>
        <v/>
      </c>
      <c r="AU195">
        <f>RAND()</f>
        <v/>
      </c>
      <c r="AV195">
        <f>RAND()</f>
        <v/>
      </c>
      <c r="AW195">
        <f>RAND()</f>
        <v/>
      </c>
      <c r="AX195">
        <f>RAND()</f>
        <v/>
      </c>
      <c r="AY195">
        <f>RAND()</f>
        <v/>
      </c>
      <c r="AZ195">
        <f>RAND()</f>
        <v/>
      </c>
    </row>
    <row r="196">
      <c r="AK196" t="n">
        <v>183</v>
      </c>
      <c r="AL196">
        <f>IFERROR(IF(AU196&lt;($AM$6-$AL$6)/($AN$6-$AL$6),$AL$6+SQRT(AU196*($AN$6-$AL$6)*($AM$6-$AL$6)),$AN$6-SQRT((1-AU196)*($AN$6-$AL$6)*($AN$6-$AM$6))),$AM$6)</f>
        <v/>
      </c>
      <c r="AM196">
        <f>IFERROR(IF(AV196&lt;($AM$7-$AL$7)/($AN$7-$AL$7),$AL$7+SQRT(AV196*($AN$7-$AL$7)*($AM$7-$AL$7)),$AN$7-SQRT((1-AV196)*($AN$7-$AL$7)*($AN$7-$AM$7))),$AM$7)</f>
        <v/>
      </c>
      <c r="AN196">
        <f>IFERROR(IF(AW196&lt;($AM$8-$AL$8)/($AN$8-$AL$8),$AL$8+SQRT(AW196*($AN$8-$AL$8)*($AM$8-$AL$8)),$AN$8-SQRT((1-AW196)*($AN$8-$AL$8)*($AN$8-$AM$8))),$AM$8)</f>
        <v/>
      </c>
      <c r="AO196">
        <f>IFERROR(IF(AX196&lt;($AM$9-$AL$9)/($AN$9-$AL$9),$AL$9+SQRT(AX196*($AN$9-$AL$9)*($AM$9-$AL$9)),$AN$9-SQRT((1-AX196)*($AN$9-$AL$9)*($AN$9-$AM$9))),$AM$9)</f>
        <v/>
      </c>
      <c r="AP196">
        <f>IFERROR(IF(AY196&lt;($AM$10-$AL$10)/($AN$10-$AL$10),$AL$10+SQRT(AY196*($AN$10-$AL$10)*($AM$10-$AL$10)),$AN$10-SQRT((1-AY196)*($AN$10-$AL$10)*($AN$10-$AM$10))),$AM$10)</f>
        <v/>
      </c>
      <c r="AQ196">
        <f>IFERROR(IF(AZ196&lt;($AM$11-$AL$11)/($AN$11-$AL$11),$AL$11+SQRT(AZ196*($AN$11-$AL$11)*($AM$11-$AL$11)),$AN$11-SQRT((1-AZ196)*($AN$11-$AL$11)*($AN$11-$AM$11))),$AM$11)</f>
        <v/>
      </c>
      <c r="AR196">
        <f>SUMPRODUCT((B24:B31&lt;=$B$6)*(C24:C31*AM196+D24:D31*AO196*$B$8*AQ196)/(1+AL196/100)^B24:B31)+C32*AM196*AP196/(1+AL196/100)^$B$6</f>
        <v/>
      </c>
      <c r="AS196">
        <f>SUMPRODUCT((K24:K26&lt;=$B$6)*(L24:L26*AN196+M24:M26*AO196*$B$8*AQ196)/(1+AL196/100)^K24:K26)+L27*AN196*AP196/(1+AL196/100)^$B$6</f>
        <v/>
      </c>
      <c r="AT196">
        <f>AS196-AR196</f>
        <v/>
      </c>
      <c r="AU196">
        <f>RAND()</f>
        <v/>
      </c>
      <c r="AV196">
        <f>RAND()</f>
        <v/>
      </c>
      <c r="AW196">
        <f>RAND()</f>
        <v/>
      </c>
      <c r="AX196">
        <f>RAND()</f>
        <v/>
      </c>
      <c r="AY196">
        <f>RAND()</f>
        <v/>
      </c>
      <c r="AZ196">
        <f>RAND()</f>
        <v/>
      </c>
    </row>
    <row r="197">
      <c r="AK197" t="n">
        <v>184</v>
      </c>
      <c r="AL197">
        <f>IFERROR(IF(AU197&lt;($AM$6-$AL$6)/($AN$6-$AL$6),$AL$6+SQRT(AU197*($AN$6-$AL$6)*($AM$6-$AL$6)),$AN$6-SQRT((1-AU197)*($AN$6-$AL$6)*($AN$6-$AM$6))),$AM$6)</f>
        <v/>
      </c>
      <c r="AM197">
        <f>IFERROR(IF(AV197&lt;($AM$7-$AL$7)/($AN$7-$AL$7),$AL$7+SQRT(AV197*($AN$7-$AL$7)*($AM$7-$AL$7)),$AN$7-SQRT((1-AV197)*($AN$7-$AL$7)*($AN$7-$AM$7))),$AM$7)</f>
        <v/>
      </c>
      <c r="AN197">
        <f>IFERROR(IF(AW197&lt;($AM$8-$AL$8)/($AN$8-$AL$8),$AL$8+SQRT(AW197*($AN$8-$AL$8)*($AM$8-$AL$8)),$AN$8-SQRT((1-AW197)*($AN$8-$AL$8)*($AN$8-$AM$8))),$AM$8)</f>
        <v/>
      </c>
      <c r="AO197">
        <f>IFERROR(IF(AX197&lt;($AM$9-$AL$9)/($AN$9-$AL$9),$AL$9+SQRT(AX197*($AN$9-$AL$9)*($AM$9-$AL$9)),$AN$9-SQRT((1-AX197)*($AN$9-$AL$9)*($AN$9-$AM$9))),$AM$9)</f>
        <v/>
      </c>
      <c r="AP197">
        <f>IFERROR(IF(AY197&lt;($AM$10-$AL$10)/($AN$10-$AL$10),$AL$10+SQRT(AY197*($AN$10-$AL$10)*($AM$10-$AL$10)),$AN$10-SQRT((1-AY197)*($AN$10-$AL$10)*($AN$10-$AM$10))),$AM$10)</f>
        <v/>
      </c>
      <c r="AQ197">
        <f>IFERROR(IF(AZ197&lt;($AM$11-$AL$11)/($AN$11-$AL$11),$AL$11+SQRT(AZ197*($AN$11-$AL$11)*($AM$11-$AL$11)),$AN$11-SQRT((1-AZ197)*($AN$11-$AL$11)*($AN$11-$AM$11))),$AM$11)</f>
        <v/>
      </c>
      <c r="AR197">
        <f>SUMPRODUCT((B24:B31&lt;=$B$6)*(C24:C31*AM197+D24:D31*AO197*$B$8*AQ197)/(1+AL197/100)^B24:B31)+C32*AM197*AP197/(1+AL197/100)^$B$6</f>
        <v/>
      </c>
      <c r="AS197">
        <f>SUMPRODUCT((K24:K26&lt;=$B$6)*(L24:L26*AN197+M24:M26*AO197*$B$8*AQ197)/(1+AL197/100)^K24:K26)+L27*AN197*AP197/(1+AL197/100)^$B$6</f>
        <v/>
      </c>
      <c r="AT197">
        <f>AS197-AR197</f>
        <v/>
      </c>
      <c r="AU197">
        <f>RAND()</f>
        <v/>
      </c>
      <c r="AV197">
        <f>RAND()</f>
        <v/>
      </c>
      <c r="AW197">
        <f>RAND()</f>
        <v/>
      </c>
      <c r="AX197">
        <f>RAND()</f>
        <v/>
      </c>
      <c r="AY197">
        <f>RAND()</f>
        <v/>
      </c>
      <c r="AZ197">
        <f>RAND()</f>
        <v/>
      </c>
    </row>
    <row r="198">
      <c r="AK198" t="n">
        <v>185</v>
      </c>
      <c r="AL198">
        <f>IFERROR(IF(AU198&lt;($AM$6-$AL$6)/($AN$6-$AL$6),$AL$6+SQRT(AU198*($AN$6-$AL$6)*($AM$6-$AL$6)),$AN$6-SQRT((1-AU198)*($AN$6-$AL$6)*($AN$6-$AM$6))),$AM$6)</f>
        <v/>
      </c>
      <c r="AM198">
        <f>IFERROR(IF(AV198&lt;($AM$7-$AL$7)/($AN$7-$AL$7),$AL$7+SQRT(AV198*($AN$7-$AL$7)*($AM$7-$AL$7)),$AN$7-SQRT((1-AV198)*($AN$7-$AL$7)*($AN$7-$AM$7))),$AM$7)</f>
        <v/>
      </c>
      <c r="AN198">
        <f>IFERROR(IF(AW198&lt;($AM$8-$AL$8)/($AN$8-$AL$8),$AL$8+SQRT(AW198*($AN$8-$AL$8)*($AM$8-$AL$8)),$AN$8-SQRT((1-AW198)*($AN$8-$AL$8)*($AN$8-$AM$8))),$AM$8)</f>
        <v/>
      </c>
      <c r="AO198">
        <f>IFERROR(IF(AX198&lt;($AM$9-$AL$9)/($AN$9-$AL$9),$AL$9+SQRT(AX198*($AN$9-$AL$9)*($AM$9-$AL$9)),$AN$9-SQRT((1-AX198)*($AN$9-$AL$9)*($AN$9-$AM$9))),$AM$9)</f>
        <v/>
      </c>
      <c r="AP198">
        <f>IFERROR(IF(AY198&lt;($AM$10-$AL$10)/($AN$10-$AL$10),$AL$10+SQRT(AY198*($AN$10-$AL$10)*($AM$10-$AL$10)),$AN$10-SQRT((1-AY198)*($AN$10-$AL$10)*($AN$10-$AM$10))),$AM$10)</f>
        <v/>
      </c>
      <c r="AQ198">
        <f>IFERROR(IF(AZ198&lt;($AM$11-$AL$11)/($AN$11-$AL$11),$AL$11+SQRT(AZ198*($AN$11-$AL$11)*($AM$11-$AL$11)),$AN$11-SQRT((1-AZ198)*($AN$11-$AL$11)*($AN$11-$AM$11))),$AM$11)</f>
        <v/>
      </c>
      <c r="AR198">
        <f>SUMPRODUCT((B24:B31&lt;=$B$6)*(C24:C31*AM198+D24:D31*AO198*$B$8*AQ198)/(1+AL198/100)^B24:B31)+C32*AM198*AP198/(1+AL198/100)^$B$6</f>
        <v/>
      </c>
      <c r="AS198">
        <f>SUMPRODUCT((K24:K26&lt;=$B$6)*(L24:L26*AN198+M24:M26*AO198*$B$8*AQ198)/(1+AL198/100)^K24:K26)+L27*AN198*AP198/(1+AL198/100)^$B$6</f>
        <v/>
      </c>
      <c r="AT198">
        <f>AS198-AR198</f>
        <v/>
      </c>
      <c r="AU198">
        <f>RAND()</f>
        <v/>
      </c>
      <c r="AV198">
        <f>RAND()</f>
        <v/>
      </c>
      <c r="AW198">
        <f>RAND()</f>
        <v/>
      </c>
      <c r="AX198">
        <f>RAND()</f>
        <v/>
      </c>
      <c r="AY198">
        <f>RAND()</f>
        <v/>
      </c>
      <c r="AZ198">
        <f>RAND()</f>
        <v/>
      </c>
    </row>
    <row r="199">
      <c r="AK199" t="n">
        <v>186</v>
      </c>
      <c r="AL199">
        <f>IFERROR(IF(AU199&lt;($AM$6-$AL$6)/($AN$6-$AL$6),$AL$6+SQRT(AU199*($AN$6-$AL$6)*($AM$6-$AL$6)),$AN$6-SQRT((1-AU199)*($AN$6-$AL$6)*($AN$6-$AM$6))),$AM$6)</f>
        <v/>
      </c>
      <c r="AM199">
        <f>IFERROR(IF(AV199&lt;($AM$7-$AL$7)/($AN$7-$AL$7),$AL$7+SQRT(AV199*($AN$7-$AL$7)*($AM$7-$AL$7)),$AN$7-SQRT((1-AV199)*($AN$7-$AL$7)*($AN$7-$AM$7))),$AM$7)</f>
        <v/>
      </c>
      <c r="AN199">
        <f>IFERROR(IF(AW199&lt;($AM$8-$AL$8)/($AN$8-$AL$8),$AL$8+SQRT(AW199*($AN$8-$AL$8)*($AM$8-$AL$8)),$AN$8-SQRT((1-AW199)*($AN$8-$AL$8)*($AN$8-$AM$8))),$AM$8)</f>
        <v/>
      </c>
      <c r="AO199">
        <f>IFERROR(IF(AX199&lt;($AM$9-$AL$9)/($AN$9-$AL$9),$AL$9+SQRT(AX199*($AN$9-$AL$9)*($AM$9-$AL$9)),$AN$9-SQRT((1-AX199)*($AN$9-$AL$9)*($AN$9-$AM$9))),$AM$9)</f>
        <v/>
      </c>
      <c r="AP199">
        <f>IFERROR(IF(AY199&lt;($AM$10-$AL$10)/($AN$10-$AL$10),$AL$10+SQRT(AY199*($AN$10-$AL$10)*($AM$10-$AL$10)),$AN$10-SQRT((1-AY199)*($AN$10-$AL$10)*($AN$10-$AM$10))),$AM$10)</f>
        <v/>
      </c>
      <c r="AQ199">
        <f>IFERROR(IF(AZ199&lt;($AM$11-$AL$11)/($AN$11-$AL$11),$AL$11+SQRT(AZ199*($AN$11-$AL$11)*($AM$11-$AL$11)),$AN$11-SQRT((1-AZ199)*($AN$11-$AL$11)*($AN$11-$AM$11))),$AM$11)</f>
        <v/>
      </c>
      <c r="AR199">
        <f>SUMPRODUCT((B24:B31&lt;=$B$6)*(C24:C31*AM199+D24:D31*AO199*$B$8*AQ199)/(1+AL199/100)^B24:B31)+C32*AM199*AP199/(1+AL199/100)^$B$6</f>
        <v/>
      </c>
      <c r="AS199">
        <f>SUMPRODUCT((K24:K26&lt;=$B$6)*(L24:L26*AN199+M24:M26*AO199*$B$8*AQ199)/(1+AL199/100)^K24:K26)+L27*AN199*AP199/(1+AL199/100)^$B$6</f>
        <v/>
      </c>
      <c r="AT199">
        <f>AS199-AR199</f>
        <v/>
      </c>
      <c r="AU199">
        <f>RAND()</f>
        <v/>
      </c>
      <c r="AV199">
        <f>RAND()</f>
        <v/>
      </c>
      <c r="AW199">
        <f>RAND()</f>
        <v/>
      </c>
      <c r="AX199">
        <f>RAND()</f>
        <v/>
      </c>
      <c r="AY199">
        <f>RAND()</f>
        <v/>
      </c>
      <c r="AZ199">
        <f>RAND()</f>
        <v/>
      </c>
    </row>
    <row r="200">
      <c r="AK200" t="n">
        <v>187</v>
      </c>
      <c r="AL200">
        <f>IFERROR(IF(AU200&lt;($AM$6-$AL$6)/($AN$6-$AL$6),$AL$6+SQRT(AU200*($AN$6-$AL$6)*($AM$6-$AL$6)),$AN$6-SQRT((1-AU200)*($AN$6-$AL$6)*($AN$6-$AM$6))),$AM$6)</f>
        <v/>
      </c>
      <c r="AM200">
        <f>IFERROR(IF(AV200&lt;($AM$7-$AL$7)/($AN$7-$AL$7),$AL$7+SQRT(AV200*($AN$7-$AL$7)*($AM$7-$AL$7)),$AN$7-SQRT((1-AV200)*($AN$7-$AL$7)*($AN$7-$AM$7))),$AM$7)</f>
        <v/>
      </c>
      <c r="AN200">
        <f>IFERROR(IF(AW200&lt;($AM$8-$AL$8)/($AN$8-$AL$8),$AL$8+SQRT(AW200*($AN$8-$AL$8)*($AM$8-$AL$8)),$AN$8-SQRT((1-AW200)*($AN$8-$AL$8)*($AN$8-$AM$8))),$AM$8)</f>
        <v/>
      </c>
      <c r="AO200">
        <f>IFERROR(IF(AX200&lt;($AM$9-$AL$9)/($AN$9-$AL$9),$AL$9+SQRT(AX200*($AN$9-$AL$9)*($AM$9-$AL$9)),$AN$9-SQRT((1-AX200)*($AN$9-$AL$9)*($AN$9-$AM$9))),$AM$9)</f>
        <v/>
      </c>
      <c r="AP200">
        <f>IFERROR(IF(AY200&lt;($AM$10-$AL$10)/($AN$10-$AL$10),$AL$10+SQRT(AY200*($AN$10-$AL$10)*($AM$10-$AL$10)),$AN$10-SQRT((1-AY200)*($AN$10-$AL$10)*($AN$10-$AM$10))),$AM$10)</f>
        <v/>
      </c>
      <c r="AQ200">
        <f>IFERROR(IF(AZ200&lt;($AM$11-$AL$11)/($AN$11-$AL$11),$AL$11+SQRT(AZ200*($AN$11-$AL$11)*($AM$11-$AL$11)),$AN$11-SQRT((1-AZ200)*($AN$11-$AL$11)*($AN$11-$AM$11))),$AM$11)</f>
        <v/>
      </c>
      <c r="AR200">
        <f>SUMPRODUCT((B24:B31&lt;=$B$6)*(C24:C31*AM200+D24:D31*AO200*$B$8*AQ200)/(1+AL200/100)^B24:B31)+C32*AM200*AP200/(1+AL200/100)^$B$6</f>
        <v/>
      </c>
      <c r="AS200">
        <f>SUMPRODUCT((K24:K26&lt;=$B$6)*(L24:L26*AN200+M24:M26*AO200*$B$8*AQ200)/(1+AL200/100)^K24:K26)+L27*AN200*AP200/(1+AL200/100)^$B$6</f>
        <v/>
      </c>
      <c r="AT200">
        <f>AS200-AR200</f>
        <v/>
      </c>
      <c r="AU200">
        <f>RAND()</f>
        <v/>
      </c>
      <c r="AV200">
        <f>RAND()</f>
        <v/>
      </c>
      <c r="AW200">
        <f>RAND()</f>
        <v/>
      </c>
      <c r="AX200">
        <f>RAND()</f>
        <v/>
      </c>
      <c r="AY200">
        <f>RAND()</f>
        <v/>
      </c>
      <c r="AZ200">
        <f>RAND()</f>
        <v/>
      </c>
    </row>
    <row r="201">
      <c r="AK201" t="n">
        <v>188</v>
      </c>
      <c r="AL201">
        <f>IFERROR(IF(AU201&lt;($AM$6-$AL$6)/($AN$6-$AL$6),$AL$6+SQRT(AU201*($AN$6-$AL$6)*($AM$6-$AL$6)),$AN$6-SQRT((1-AU201)*($AN$6-$AL$6)*($AN$6-$AM$6))),$AM$6)</f>
        <v/>
      </c>
      <c r="AM201">
        <f>IFERROR(IF(AV201&lt;($AM$7-$AL$7)/($AN$7-$AL$7),$AL$7+SQRT(AV201*($AN$7-$AL$7)*($AM$7-$AL$7)),$AN$7-SQRT((1-AV201)*($AN$7-$AL$7)*($AN$7-$AM$7))),$AM$7)</f>
        <v/>
      </c>
      <c r="AN201">
        <f>IFERROR(IF(AW201&lt;($AM$8-$AL$8)/($AN$8-$AL$8),$AL$8+SQRT(AW201*($AN$8-$AL$8)*($AM$8-$AL$8)),$AN$8-SQRT((1-AW201)*($AN$8-$AL$8)*($AN$8-$AM$8))),$AM$8)</f>
        <v/>
      </c>
      <c r="AO201">
        <f>IFERROR(IF(AX201&lt;($AM$9-$AL$9)/($AN$9-$AL$9),$AL$9+SQRT(AX201*($AN$9-$AL$9)*($AM$9-$AL$9)),$AN$9-SQRT((1-AX201)*($AN$9-$AL$9)*($AN$9-$AM$9))),$AM$9)</f>
        <v/>
      </c>
      <c r="AP201">
        <f>IFERROR(IF(AY201&lt;($AM$10-$AL$10)/($AN$10-$AL$10),$AL$10+SQRT(AY201*($AN$10-$AL$10)*($AM$10-$AL$10)),$AN$10-SQRT((1-AY201)*($AN$10-$AL$10)*($AN$10-$AM$10))),$AM$10)</f>
        <v/>
      </c>
      <c r="AQ201">
        <f>IFERROR(IF(AZ201&lt;($AM$11-$AL$11)/($AN$11-$AL$11),$AL$11+SQRT(AZ201*($AN$11-$AL$11)*($AM$11-$AL$11)),$AN$11-SQRT((1-AZ201)*($AN$11-$AL$11)*($AN$11-$AM$11))),$AM$11)</f>
        <v/>
      </c>
      <c r="AR201">
        <f>SUMPRODUCT((B24:B31&lt;=$B$6)*(C24:C31*AM201+D24:D31*AO201*$B$8*AQ201)/(1+AL201/100)^B24:B31)+C32*AM201*AP201/(1+AL201/100)^$B$6</f>
        <v/>
      </c>
      <c r="AS201">
        <f>SUMPRODUCT((K24:K26&lt;=$B$6)*(L24:L26*AN201+M24:M26*AO201*$B$8*AQ201)/(1+AL201/100)^K24:K26)+L27*AN201*AP201/(1+AL201/100)^$B$6</f>
        <v/>
      </c>
      <c r="AT201">
        <f>AS201-AR201</f>
        <v/>
      </c>
      <c r="AU201">
        <f>RAND()</f>
        <v/>
      </c>
      <c r="AV201">
        <f>RAND()</f>
        <v/>
      </c>
      <c r="AW201">
        <f>RAND()</f>
        <v/>
      </c>
      <c r="AX201">
        <f>RAND()</f>
        <v/>
      </c>
      <c r="AY201">
        <f>RAND()</f>
        <v/>
      </c>
      <c r="AZ201">
        <f>RAND()</f>
        <v/>
      </c>
    </row>
    <row r="202">
      <c r="AK202" t="n">
        <v>189</v>
      </c>
      <c r="AL202">
        <f>IFERROR(IF(AU202&lt;($AM$6-$AL$6)/($AN$6-$AL$6),$AL$6+SQRT(AU202*($AN$6-$AL$6)*($AM$6-$AL$6)),$AN$6-SQRT((1-AU202)*($AN$6-$AL$6)*($AN$6-$AM$6))),$AM$6)</f>
        <v/>
      </c>
      <c r="AM202">
        <f>IFERROR(IF(AV202&lt;($AM$7-$AL$7)/($AN$7-$AL$7),$AL$7+SQRT(AV202*($AN$7-$AL$7)*($AM$7-$AL$7)),$AN$7-SQRT((1-AV202)*($AN$7-$AL$7)*($AN$7-$AM$7))),$AM$7)</f>
        <v/>
      </c>
      <c r="AN202">
        <f>IFERROR(IF(AW202&lt;($AM$8-$AL$8)/($AN$8-$AL$8),$AL$8+SQRT(AW202*($AN$8-$AL$8)*($AM$8-$AL$8)),$AN$8-SQRT((1-AW202)*($AN$8-$AL$8)*($AN$8-$AM$8))),$AM$8)</f>
        <v/>
      </c>
      <c r="AO202">
        <f>IFERROR(IF(AX202&lt;($AM$9-$AL$9)/($AN$9-$AL$9),$AL$9+SQRT(AX202*($AN$9-$AL$9)*($AM$9-$AL$9)),$AN$9-SQRT((1-AX202)*($AN$9-$AL$9)*($AN$9-$AM$9))),$AM$9)</f>
        <v/>
      </c>
      <c r="AP202">
        <f>IFERROR(IF(AY202&lt;($AM$10-$AL$10)/($AN$10-$AL$10),$AL$10+SQRT(AY202*($AN$10-$AL$10)*($AM$10-$AL$10)),$AN$10-SQRT((1-AY202)*($AN$10-$AL$10)*($AN$10-$AM$10))),$AM$10)</f>
        <v/>
      </c>
      <c r="AQ202">
        <f>IFERROR(IF(AZ202&lt;($AM$11-$AL$11)/($AN$11-$AL$11),$AL$11+SQRT(AZ202*($AN$11-$AL$11)*($AM$11-$AL$11)),$AN$11-SQRT((1-AZ202)*($AN$11-$AL$11)*($AN$11-$AM$11))),$AM$11)</f>
        <v/>
      </c>
      <c r="AR202">
        <f>SUMPRODUCT((B24:B31&lt;=$B$6)*(C24:C31*AM202+D24:D31*AO202*$B$8*AQ202)/(1+AL202/100)^B24:B31)+C32*AM202*AP202/(1+AL202/100)^$B$6</f>
        <v/>
      </c>
      <c r="AS202">
        <f>SUMPRODUCT((K24:K26&lt;=$B$6)*(L24:L26*AN202+M24:M26*AO202*$B$8*AQ202)/(1+AL202/100)^K24:K26)+L27*AN202*AP202/(1+AL202/100)^$B$6</f>
        <v/>
      </c>
      <c r="AT202">
        <f>AS202-AR202</f>
        <v/>
      </c>
      <c r="AU202">
        <f>RAND()</f>
        <v/>
      </c>
      <c r="AV202">
        <f>RAND()</f>
        <v/>
      </c>
      <c r="AW202">
        <f>RAND()</f>
        <v/>
      </c>
      <c r="AX202">
        <f>RAND()</f>
        <v/>
      </c>
      <c r="AY202">
        <f>RAND()</f>
        <v/>
      </c>
      <c r="AZ202">
        <f>RAND()</f>
        <v/>
      </c>
    </row>
    <row r="203">
      <c r="AK203" t="n">
        <v>190</v>
      </c>
      <c r="AL203">
        <f>IFERROR(IF(AU203&lt;($AM$6-$AL$6)/($AN$6-$AL$6),$AL$6+SQRT(AU203*($AN$6-$AL$6)*($AM$6-$AL$6)),$AN$6-SQRT((1-AU203)*($AN$6-$AL$6)*($AN$6-$AM$6))),$AM$6)</f>
        <v/>
      </c>
      <c r="AM203">
        <f>IFERROR(IF(AV203&lt;($AM$7-$AL$7)/($AN$7-$AL$7),$AL$7+SQRT(AV203*($AN$7-$AL$7)*($AM$7-$AL$7)),$AN$7-SQRT((1-AV203)*($AN$7-$AL$7)*($AN$7-$AM$7))),$AM$7)</f>
        <v/>
      </c>
      <c r="AN203">
        <f>IFERROR(IF(AW203&lt;($AM$8-$AL$8)/($AN$8-$AL$8),$AL$8+SQRT(AW203*($AN$8-$AL$8)*($AM$8-$AL$8)),$AN$8-SQRT((1-AW203)*($AN$8-$AL$8)*($AN$8-$AM$8))),$AM$8)</f>
        <v/>
      </c>
      <c r="AO203">
        <f>IFERROR(IF(AX203&lt;($AM$9-$AL$9)/($AN$9-$AL$9),$AL$9+SQRT(AX203*($AN$9-$AL$9)*($AM$9-$AL$9)),$AN$9-SQRT((1-AX203)*($AN$9-$AL$9)*($AN$9-$AM$9))),$AM$9)</f>
        <v/>
      </c>
      <c r="AP203">
        <f>IFERROR(IF(AY203&lt;($AM$10-$AL$10)/($AN$10-$AL$10),$AL$10+SQRT(AY203*($AN$10-$AL$10)*($AM$10-$AL$10)),$AN$10-SQRT((1-AY203)*($AN$10-$AL$10)*($AN$10-$AM$10))),$AM$10)</f>
        <v/>
      </c>
      <c r="AQ203">
        <f>IFERROR(IF(AZ203&lt;($AM$11-$AL$11)/($AN$11-$AL$11),$AL$11+SQRT(AZ203*($AN$11-$AL$11)*($AM$11-$AL$11)),$AN$11-SQRT((1-AZ203)*($AN$11-$AL$11)*($AN$11-$AM$11))),$AM$11)</f>
        <v/>
      </c>
      <c r="AR203">
        <f>SUMPRODUCT((B24:B31&lt;=$B$6)*(C24:C31*AM203+D24:D31*AO203*$B$8*AQ203)/(1+AL203/100)^B24:B31)+C32*AM203*AP203/(1+AL203/100)^$B$6</f>
        <v/>
      </c>
      <c r="AS203">
        <f>SUMPRODUCT((K24:K26&lt;=$B$6)*(L24:L26*AN203+M24:M26*AO203*$B$8*AQ203)/(1+AL203/100)^K24:K26)+L27*AN203*AP203/(1+AL203/100)^$B$6</f>
        <v/>
      </c>
      <c r="AT203">
        <f>AS203-AR203</f>
        <v/>
      </c>
      <c r="AU203">
        <f>RAND()</f>
        <v/>
      </c>
      <c r="AV203">
        <f>RAND()</f>
        <v/>
      </c>
      <c r="AW203">
        <f>RAND()</f>
        <v/>
      </c>
      <c r="AX203">
        <f>RAND()</f>
        <v/>
      </c>
      <c r="AY203">
        <f>RAND()</f>
        <v/>
      </c>
      <c r="AZ203">
        <f>RAND()</f>
        <v/>
      </c>
    </row>
    <row r="204">
      <c r="AK204" t="n">
        <v>191</v>
      </c>
      <c r="AL204">
        <f>IFERROR(IF(AU204&lt;($AM$6-$AL$6)/($AN$6-$AL$6),$AL$6+SQRT(AU204*($AN$6-$AL$6)*($AM$6-$AL$6)),$AN$6-SQRT((1-AU204)*($AN$6-$AL$6)*($AN$6-$AM$6))),$AM$6)</f>
        <v/>
      </c>
      <c r="AM204">
        <f>IFERROR(IF(AV204&lt;($AM$7-$AL$7)/($AN$7-$AL$7),$AL$7+SQRT(AV204*($AN$7-$AL$7)*($AM$7-$AL$7)),$AN$7-SQRT((1-AV204)*($AN$7-$AL$7)*($AN$7-$AM$7))),$AM$7)</f>
        <v/>
      </c>
      <c r="AN204">
        <f>IFERROR(IF(AW204&lt;($AM$8-$AL$8)/($AN$8-$AL$8),$AL$8+SQRT(AW204*($AN$8-$AL$8)*($AM$8-$AL$8)),$AN$8-SQRT((1-AW204)*($AN$8-$AL$8)*($AN$8-$AM$8))),$AM$8)</f>
        <v/>
      </c>
      <c r="AO204">
        <f>IFERROR(IF(AX204&lt;($AM$9-$AL$9)/($AN$9-$AL$9),$AL$9+SQRT(AX204*($AN$9-$AL$9)*($AM$9-$AL$9)),$AN$9-SQRT((1-AX204)*($AN$9-$AL$9)*($AN$9-$AM$9))),$AM$9)</f>
        <v/>
      </c>
      <c r="AP204">
        <f>IFERROR(IF(AY204&lt;($AM$10-$AL$10)/($AN$10-$AL$10),$AL$10+SQRT(AY204*($AN$10-$AL$10)*($AM$10-$AL$10)),$AN$10-SQRT((1-AY204)*($AN$10-$AL$10)*($AN$10-$AM$10))),$AM$10)</f>
        <v/>
      </c>
      <c r="AQ204">
        <f>IFERROR(IF(AZ204&lt;($AM$11-$AL$11)/($AN$11-$AL$11),$AL$11+SQRT(AZ204*($AN$11-$AL$11)*($AM$11-$AL$11)),$AN$11-SQRT((1-AZ204)*($AN$11-$AL$11)*($AN$11-$AM$11))),$AM$11)</f>
        <v/>
      </c>
      <c r="AR204">
        <f>SUMPRODUCT((B24:B31&lt;=$B$6)*(C24:C31*AM204+D24:D31*AO204*$B$8*AQ204)/(1+AL204/100)^B24:B31)+C32*AM204*AP204/(1+AL204/100)^$B$6</f>
        <v/>
      </c>
      <c r="AS204">
        <f>SUMPRODUCT((K24:K26&lt;=$B$6)*(L24:L26*AN204+M24:M26*AO204*$B$8*AQ204)/(1+AL204/100)^K24:K26)+L27*AN204*AP204/(1+AL204/100)^$B$6</f>
        <v/>
      </c>
      <c r="AT204">
        <f>AS204-AR204</f>
        <v/>
      </c>
      <c r="AU204">
        <f>RAND()</f>
        <v/>
      </c>
      <c r="AV204">
        <f>RAND()</f>
        <v/>
      </c>
      <c r="AW204">
        <f>RAND()</f>
        <v/>
      </c>
      <c r="AX204">
        <f>RAND()</f>
        <v/>
      </c>
      <c r="AY204">
        <f>RAND()</f>
        <v/>
      </c>
      <c r="AZ204">
        <f>RAND()</f>
        <v/>
      </c>
    </row>
    <row r="205">
      <c r="AK205" t="n">
        <v>192</v>
      </c>
      <c r="AL205">
        <f>IFERROR(IF(AU205&lt;($AM$6-$AL$6)/($AN$6-$AL$6),$AL$6+SQRT(AU205*($AN$6-$AL$6)*($AM$6-$AL$6)),$AN$6-SQRT((1-AU205)*($AN$6-$AL$6)*($AN$6-$AM$6))),$AM$6)</f>
        <v/>
      </c>
      <c r="AM205">
        <f>IFERROR(IF(AV205&lt;($AM$7-$AL$7)/($AN$7-$AL$7),$AL$7+SQRT(AV205*($AN$7-$AL$7)*($AM$7-$AL$7)),$AN$7-SQRT((1-AV205)*($AN$7-$AL$7)*($AN$7-$AM$7))),$AM$7)</f>
        <v/>
      </c>
      <c r="AN205">
        <f>IFERROR(IF(AW205&lt;($AM$8-$AL$8)/($AN$8-$AL$8),$AL$8+SQRT(AW205*($AN$8-$AL$8)*($AM$8-$AL$8)),$AN$8-SQRT((1-AW205)*($AN$8-$AL$8)*($AN$8-$AM$8))),$AM$8)</f>
        <v/>
      </c>
      <c r="AO205">
        <f>IFERROR(IF(AX205&lt;($AM$9-$AL$9)/($AN$9-$AL$9),$AL$9+SQRT(AX205*($AN$9-$AL$9)*($AM$9-$AL$9)),$AN$9-SQRT((1-AX205)*($AN$9-$AL$9)*($AN$9-$AM$9))),$AM$9)</f>
        <v/>
      </c>
      <c r="AP205">
        <f>IFERROR(IF(AY205&lt;($AM$10-$AL$10)/($AN$10-$AL$10),$AL$10+SQRT(AY205*($AN$10-$AL$10)*($AM$10-$AL$10)),$AN$10-SQRT((1-AY205)*($AN$10-$AL$10)*($AN$10-$AM$10))),$AM$10)</f>
        <v/>
      </c>
      <c r="AQ205">
        <f>IFERROR(IF(AZ205&lt;($AM$11-$AL$11)/($AN$11-$AL$11),$AL$11+SQRT(AZ205*($AN$11-$AL$11)*($AM$11-$AL$11)),$AN$11-SQRT((1-AZ205)*($AN$11-$AL$11)*($AN$11-$AM$11))),$AM$11)</f>
        <v/>
      </c>
      <c r="AR205">
        <f>SUMPRODUCT((B24:B31&lt;=$B$6)*(C24:C31*AM205+D24:D31*AO205*$B$8*AQ205)/(1+AL205/100)^B24:B31)+C32*AM205*AP205/(1+AL205/100)^$B$6</f>
        <v/>
      </c>
      <c r="AS205">
        <f>SUMPRODUCT((K24:K26&lt;=$B$6)*(L24:L26*AN205+M24:M26*AO205*$B$8*AQ205)/(1+AL205/100)^K24:K26)+L27*AN205*AP205/(1+AL205/100)^$B$6</f>
        <v/>
      </c>
      <c r="AT205">
        <f>AS205-AR205</f>
        <v/>
      </c>
      <c r="AU205">
        <f>RAND()</f>
        <v/>
      </c>
      <c r="AV205">
        <f>RAND()</f>
        <v/>
      </c>
      <c r="AW205">
        <f>RAND()</f>
        <v/>
      </c>
      <c r="AX205">
        <f>RAND()</f>
        <v/>
      </c>
      <c r="AY205">
        <f>RAND()</f>
        <v/>
      </c>
      <c r="AZ205">
        <f>RAND()</f>
        <v/>
      </c>
    </row>
    <row r="206">
      <c r="AK206" t="n">
        <v>193</v>
      </c>
      <c r="AL206">
        <f>IFERROR(IF(AU206&lt;($AM$6-$AL$6)/($AN$6-$AL$6),$AL$6+SQRT(AU206*($AN$6-$AL$6)*($AM$6-$AL$6)),$AN$6-SQRT((1-AU206)*($AN$6-$AL$6)*($AN$6-$AM$6))),$AM$6)</f>
        <v/>
      </c>
      <c r="AM206">
        <f>IFERROR(IF(AV206&lt;($AM$7-$AL$7)/($AN$7-$AL$7),$AL$7+SQRT(AV206*($AN$7-$AL$7)*($AM$7-$AL$7)),$AN$7-SQRT((1-AV206)*($AN$7-$AL$7)*($AN$7-$AM$7))),$AM$7)</f>
        <v/>
      </c>
      <c r="AN206">
        <f>IFERROR(IF(AW206&lt;($AM$8-$AL$8)/($AN$8-$AL$8),$AL$8+SQRT(AW206*($AN$8-$AL$8)*($AM$8-$AL$8)),$AN$8-SQRT((1-AW206)*($AN$8-$AL$8)*($AN$8-$AM$8))),$AM$8)</f>
        <v/>
      </c>
      <c r="AO206">
        <f>IFERROR(IF(AX206&lt;($AM$9-$AL$9)/($AN$9-$AL$9),$AL$9+SQRT(AX206*($AN$9-$AL$9)*($AM$9-$AL$9)),$AN$9-SQRT((1-AX206)*($AN$9-$AL$9)*($AN$9-$AM$9))),$AM$9)</f>
        <v/>
      </c>
      <c r="AP206">
        <f>IFERROR(IF(AY206&lt;($AM$10-$AL$10)/($AN$10-$AL$10),$AL$10+SQRT(AY206*($AN$10-$AL$10)*($AM$10-$AL$10)),$AN$10-SQRT((1-AY206)*($AN$10-$AL$10)*($AN$10-$AM$10))),$AM$10)</f>
        <v/>
      </c>
      <c r="AQ206">
        <f>IFERROR(IF(AZ206&lt;($AM$11-$AL$11)/($AN$11-$AL$11),$AL$11+SQRT(AZ206*($AN$11-$AL$11)*($AM$11-$AL$11)),$AN$11-SQRT((1-AZ206)*($AN$11-$AL$11)*($AN$11-$AM$11))),$AM$11)</f>
        <v/>
      </c>
      <c r="AR206">
        <f>SUMPRODUCT((B24:B31&lt;=$B$6)*(C24:C31*AM206+D24:D31*AO206*$B$8*AQ206)/(1+AL206/100)^B24:B31)+C32*AM206*AP206/(1+AL206/100)^$B$6</f>
        <v/>
      </c>
      <c r="AS206">
        <f>SUMPRODUCT((K24:K26&lt;=$B$6)*(L24:L26*AN206+M24:M26*AO206*$B$8*AQ206)/(1+AL206/100)^K24:K26)+L27*AN206*AP206/(1+AL206/100)^$B$6</f>
        <v/>
      </c>
      <c r="AT206">
        <f>AS206-AR206</f>
        <v/>
      </c>
      <c r="AU206">
        <f>RAND()</f>
        <v/>
      </c>
      <c r="AV206">
        <f>RAND()</f>
        <v/>
      </c>
      <c r="AW206">
        <f>RAND()</f>
        <v/>
      </c>
      <c r="AX206">
        <f>RAND()</f>
        <v/>
      </c>
      <c r="AY206">
        <f>RAND()</f>
        <v/>
      </c>
      <c r="AZ206">
        <f>RAND()</f>
        <v/>
      </c>
    </row>
    <row r="207">
      <c r="AK207" t="n">
        <v>194</v>
      </c>
      <c r="AL207">
        <f>IFERROR(IF(AU207&lt;($AM$6-$AL$6)/($AN$6-$AL$6),$AL$6+SQRT(AU207*($AN$6-$AL$6)*($AM$6-$AL$6)),$AN$6-SQRT((1-AU207)*($AN$6-$AL$6)*($AN$6-$AM$6))),$AM$6)</f>
        <v/>
      </c>
      <c r="AM207">
        <f>IFERROR(IF(AV207&lt;($AM$7-$AL$7)/($AN$7-$AL$7),$AL$7+SQRT(AV207*($AN$7-$AL$7)*($AM$7-$AL$7)),$AN$7-SQRT((1-AV207)*($AN$7-$AL$7)*($AN$7-$AM$7))),$AM$7)</f>
        <v/>
      </c>
      <c r="AN207">
        <f>IFERROR(IF(AW207&lt;($AM$8-$AL$8)/($AN$8-$AL$8),$AL$8+SQRT(AW207*($AN$8-$AL$8)*($AM$8-$AL$8)),$AN$8-SQRT((1-AW207)*($AN$8-$AL$8)*($AN$8-$AM$8))),$AM$8)</f>
        <v/>
      </c>
      <c r="AO207">
        <f>IFERROR(IF(AX207&lt;($AM$9-$AL$9)/($AN$9-$AL$9),$AL$9+SQRT(AX207*($AN$9-$AL$9)*($AM$9-$AL$9)),$AN$9-SQRT((1-AX207)*($AN$9-$AL$9)*($AN$9-$AM$9))),$AM$9)</f>
        <v/>
      </c>
      <c r="AP207">
        <f>IFERROR(IF(AY207&lt;($AM$10-$AL$10)/($AN$10-$AL$10),$AL$10+SQRT(AY207*($AN$10-$AL$10)*($AM$10-$AL$10)),$AN$10-SQRT((1-AY207)*($AN$10-$AL$10)*($AN$10-$AM$10))),$AM$10)</f>
        <v/>
      </c>
      <c r="AQ207">
        <f>IFERROR(IF(AZ207&lt;($AM$11-$AL$11)/($AN$11-$AL$11),$AL$11+SQRT(AZ207*($AN$11-$AL$11)*($AM$11-$AL$11)),$AN$11-SQRT((1-AZ207)*($AN$11-$AL$11)*($AN$11-$AM$11))),$AM$11)</f>
        <v/>
      </c>
      <c r="AR207">
        <f>SUMPRODUCT((B24:B31&lt;=$B$6)*(C24:C31*AM207+D24:D31*AO207*$B$8*AQ207)/(1+AL207/100)^B24:B31)+C32*AM207*AP207/(1+AL207/100)^$B$6</f>
        <v/>
      </c>
      <c r="AS207">
        <f>SUMPRODUCT((K24:K26&lt;=$B$6)*(L24:L26*AN207+M24:M26*AO207*$B$8*AQ207)/(1+AL207/100)^K24:K26)+L27*AN207*AP207/(1+AL207/100)^$B$6</f>
        <v/>
      </c>
      <c r="AT207">
        <f>AS207-AR207</f>
        <v/>
      </c>
      <c r="AU207">
        <f>RAND()</f>
        <v/>
      </c>
      <c r="AV207">
        <f>RAND()</f>
        <v/>
      </c>
      <c r="AW207">
        <f>RAND()</f>
        <v/>
      </c>
      <c r="AX207">
        <f>RAND()</f>
        <v/>
      </c>
      <c r="AY207">
        <f>RAND()</f>
        <v/>
      </c>
      <c r="AZ207">
        <f>RAND()</f>
        <v/>
      </c>
    </row>
    <row r="208">
      <c r="AK208" t="n">
        <v>195</v>
      </c>
      <c r="AL208">
        <f>IFERROR(IF(AU208&lt;($AM$6-$AL$6)/($AN$6-$AL$6),$AL$6+SQRT(AU208*($AN$6-$AL$6)*($AM$6-$AL$6)),$AN$6-SQRT((1-AU208)*($AN$6-$AL$6)*($AN$6-$AM$6))),$AM$6)</f>
        <v/>
      </c>
      <c r="AM208">
        <f>IFERROR(IF(AV208&lt;($AM$7-$AL$7)/($AN$7-$AL$7),$AL$7+SQRT(AV208*($AN$7-$AL$7)*($AM$7-$AL$7)),$AN$7-SQRT((1-AV208)*($AN$7-$AL$7)*($AN$7-$AM$7))),$AM$7)</f>
        <v/>
      </c>
      <c r="AN208">
        <f>IFERROR(IF(AW208&lt;($AM$8-$AL$8)/($AN$8-$AL$8),$AL$8+SQRT(AW208*($AN$8-$AL$8)*($AM$8-$AL$8)),$AN$8-SQRT((1-AW208)*($AN$8-$AL$8)*($AN$8-$AM$8))),$AM$8)</f>
        <v/>
      </c>
      <c r="AO208">
        <f>IFERROR(IF(AX208&lt;($AM$9-$AL$9)/($AN$9-$AL$9),$AL$9+SQRT(AX208*($AN$9-$AL$9)*($AM$9-$AL$9)),$AN$9-SQRT((1-AX208)*($AN$9-$AL$9)*($AN$9-$AM$9))),$AM$9)</f>
        <v/>
      </c>
      <c r="AP208">
        <f>IFERROR(IF(AY208&lt;($AM$10-$AL$10)/($AN$10-$AL$10),$AL$10+SQRT(AY208*($AN$10-$AL$10)*($AM$10-$AL$10)),$AN$10-SQRT((1-AY208)*($AN$10-$AL$10)*($AN$10-$AM$10))),$AM$10)</f>
        <v/>
      </c>
      <c r="AQ208">
        <f>IFERROR(IF(AZ208&lt;($AM$11-$AL$11)/($AN$11-$AL$11),$AL$11+SQRT(AZ208*($AN$11-$AL$11)*($AM$11-$AL$11)),$AN$11-SQRT((1-AZ208)*($AN$11-$AL$11)*($AN$11-$AM$11))),$AM$11)</f>
        <v/>
      </c>
      <c r="AR208">
        <f>SUMPRODUCT((B24:B31&lt;=$B$6)*(C24:C31*AM208+D24:D31*AO208*$B$8*AQ208)/(1+AL208/100)^B24:B31)+C32*AM208*AP208/(1+AL208/100)^$B$6</f>
        <v/>
      </c>
      <c r="AS208">
        <f>SUMPRODUCT((K24:K26&lt;=$B$6)*(L24:L26*AN208+M24:M26*AO208*$B$8*AQ208)/(1+AL208/100)^K24:K26)+L27*AN208*AP208/(1+AL208/100)^$B$6</f>
        <v/>
      </c>
      <c r="AT208">
        <f>AS208-AR208</f>
        <v/>
      </c>
      <c r="AU208">
        <f>RAND()</f>
        <v/>
      </c>
      <c r="AV208">
        <f>RAND()</f>
        <v/>
      </c>
      <c r="AW208">
        <f>RAND()</f>
        <v/>
      </c>
      <c r="AX208">
        <f>RAND()</f>
        <v/>
      </c>
      <c r="AY208">
        <f>RAND()</f>
        <v/>
      </c>
      <c r="AZ208">
        <f>RAND()</f>
        <v/>
      </c>
    </row>
    <row r="209">
      <c r="AK209" t="n">
        <v>196</v>
      </c>
      <c r="AL209">
        <f>IFERROR(IF(AU209&lt;($AM$6-$AL$6)/($AN$6-$AL$6),$AL$6+SQRT(AU209*($AN$6-$AL$6)*($AM$6-$AL$6)),$AN$6-SQRT((1-AU209)*($AN$6-$AL$6)*($AN$6-$AM$6))),$AM$6)</f>
        <v/>
      </c>
      <c r="AM209">
        <f>IFERROR(IF(AV209&lt;($AM$7-$AL$7)/($AN$7-$AL$7),$AL$7+SQRT(AV209*($AN$7-$AL$7)*($AM$7-$AL$7)),$AN$7-SQRT((1-AV209)*($AN$7-$AL$7)*($AN$7-$AM$7))),$AM$7)</f>
        <v/>
      </c>
      <c r="AN209">
        <f>IFERROR(IF(AW209&lt;($AM$8-$AL$8)/($AN$8-$AL$8),$AL$8+SQRT(AW209*($AN$8-$AL$8)*($AM$8-$AL$8)),$AN$8-SQRT((1-AW209)*($AN$8-$AL$8)*($AN$8-$AM$8))),$AM$8)</f>
        <v/>
      </c>
      <c r="AO209">
        <f>IFERROR(IF(AX209&lt;($AM$9-$AL$9)/($AN$9-$AL$9),$AL$9+SQRT(AX209*($AN$9-$AL$9)*($AM$9-$AL$9)),$AN$9-SQRT((1-AX209)*($AN$9-$AL$9)*($AN$9-$AM$9))),$AM$9)</f>
        <v/>
      </c>
      <c r="AP209">
        <f>IFERROR(IF(AY209&lt;($AM$10-$AL$10)/($AN$10-$AL$10),$AL$10+SQRT(AY209*($AN$10-$AL$10)*($AM$10-$AL$10)),$AN$10-SQRT((1-AY209)*($AN$10-$AL$10)*($AN$10-$AM$10))),$AM$10)</f>
        <v/>
      </c>
      <c r="AQ209">
        <f>IFERROR(IF(AZ209&lt;($AM$11-$AL$11)/($AN$11-$AL$11),$AL$11+SQRT(AZ209*($AN$11-$AL$11)*($AM$11-$AL$11)),$AN$11-SQRT((1-AZ209)*($AN$11-$AL$11)*($AN$11-$AM$11))),$AM$11)</f>
        <v/>
      </c>
      <c r="AR209">
        <f>SUMPRODUCT((B24:B31&lt;=$B$6)*(C24:C31*AM209+D24:D31*AO209*$B$8*AQ209)/(1+AL209/100)^B24:B31)+C32*AM209*AP209/(1+AL209/100)^$B$6</f>
        <v/>
      </c>
      <c r="AS209">
        <f>SUMPRODUCT((K24:K26&lt;=$B$6)*(L24:L26*AN209+M24:M26*AO209*$B$8*AQ209)/(1+AL209/100)^K24:K26)+L27*AN209*AP209/(1+AL209/100)^$B$6</f>
        <v/>
      </c>
      <c r="AT209">
        <f>AS209-AR209</f>
        <v/>
      </c>
      <c r="AU209">
        <f>RAND()</f>
        <v/>
      </c>
      <c r="AV209">
        <f>RAND()</f>
        <v/>
      </c>
      <c r="AW209">
        <f>RAND()</f>
        <v/>
      </c>
      <c r="AX209">
        <f>RAND()</f>
        <v/>
      </c>
      <c r="AY209">
        <f>RAND()</f>
        <v/>
      </c>
      <c r="AZ209">
        <f>RAND()</f>
        <v/>
      </c>
    </row>
    <row r="210">
      <c r="AK210" t="n">
        <v>197</v>
      </c>
      <c r="AL210">
        <f>IFERROR(IF(AU210&lt;($AM$6-$AL$6)/($AN$6-$AL$6),$AL$6+SQRT(AU210*($AN$6-$AL$6)*($AM$6-$AL$6)),$AN$6-SQRT((1-AU210)*($AN$6-$AL$6)*($AN$6-$AM$6))),$AM$6)</f>
        <v/>
      </c>
      <c r="AM210">
        <f>IFERROR(IF(AV210&lt;($AM$7-$AL$7)/($AN$7-$AL$7),$AL$7+SQRT(AV210*($AN$7-$AL$7)*($AM$7-$AL$7)),$AN$7-SQRT((1-AV210)*($AN$7-$AL$7)*($AN$7-$AM$7))),$AM$7)</f>
        <v/>
      </c>
      <c r="AN210">
        <f>IFERROR(IF(AW210&lt;($AM$8-$AL$8)/($AN$8-$AL$8),$AL$8+SQRT(AW210*($AN$8-$AL$8)*($AM$8-$AL$8)),$AN$8-SQRT((1-AW210)*($AN$8-$AL$8)*($AN$8-$AM$8))),$AM$8)</f>
        <v/>
      </c>
      <c r="AO210">
        <f>IFERROR(IF(AX210&lt;($AM$9-$AL$9)/($AN$9-$AL$9),$AL$9+SQRT(AX210*($AN$9-$AL$9)*($AM$9-$AL$9)),$AN$9-SQRT((1-AX210)*($AN$9-$AL$9)*($AN$9-$AM$9))),$AM$9)</f>
        <v/>
      </c>
      <c r="AP210">
        <f>IFERROR(IF(AY210&lt;($AM$10-$AL$10)/($AN$10-$AL$10),$AL$10+SQRT(AY210*($AN$10-$AL$10)*($AM$10-$AL$10)),$AN$10-SQRT((1-AY210)*($AN$10-$AL$10)*($AN$10-$AM$10))),$AM$10)</f>
        <v/>
      </c>
      <c r="AQ210">
        <f>IFERROR(IF(AZ210&lt;($AM$11-$AL$11)/($AN$11-$AL$11),$AL$11+SQRT(AZ210*($AN$11-$AL$11)*($AM$11-$AL$11)),$AN$11-SQRT((1-AZ210)*($AN$11-$AL$11)*($AN$11-$AM$11))),$AM$11)</f>
        <v/>
      </c>
      <c r="AR210">
        <f>SUMPRODUCT((B24:B31&lt;=$B$6)*(C24:C31*AM210+D24:D31*AO210*$B$8*AQ210)/(1+AL210/100)^B24:B31)+C32*AM210*AP210/(1+AL210/100)^$B$6</f>
        <v/>
      </c>
      <c r="AS210">
        <f>SUMPRODUCT((K24:K26&lt;=$B$6)*(L24:L26*AN210+M24:M26*AO210*$B$8*AQ210)/(1+AL210/100)^K24:K26)+L27*AN210*AP210/(1+AL210/100)^$B$6</f>
        <v/>
      </c>
      <c r="AT210">
        <f>AS210-AR210</f>
        <v/>
      </c>
      <c r="AU210">
        <f>RAND()</f>
        <v/>
      </c>
      <c r="AV210">
        <f>RAND()</f>
        <v/>
      </c>
      <c r="AW210">
        <f>RAND()</f>
        <v/>
      </c>
      <c r="AX210">
        <f>RAND()</f>
        <v/>
      </c>
      <c r="AY210">
        <f>RAND()</f>
        <v/>
      </c>
      <c r="AZ210">
        <f>RAND()</f>
        <v/>
      </c>
    </row>
    <row r="211">
      <c r="AK211" t="n">
        <v>198</v>
      </c>
      <c r="AL211">
        <f>IFERROR(IF(AU211&lt;($AM$6-$AL$6)/($AN$6-$AL$6),$AL$6+SQRT(AU211*($AN$6-$AL$6)*($AM$6-$AL$6)),$AN$6-SQRT((1-AU211)*($AN$6-$AL$6)*($AN$6-$AM$6))),$AM$6)</f>
        <v/>
      </c>
      <c r="AM211">
        <f>IFERROR(IF(AV211&lt;($AM$7-$AL$7)/($AN$7-$AL$7),$AL$7+SQRT(AV211*($AN$7-$AL$7)*($AM$7-$AL$7)),$AN$7-SQRT((1-AV211)*($AN$7-$AL$7)*($AN$7-$AM$7))),$AM$7)</f>
        <v/>
      </c>
      <c r="AN211">
        <f>IFERROR(IF(AW211&lt;($AM$8-$AL$8)/($AN$8-$AL$8),$AL$8+SQRT(AW211*($AN$8-$AL$8)*($AM$8-$AL$8)),$AN$8-SQRT((1-AW211)*($AN$8-$AL$8)*($AN$8-$AM$8))),$AM$8)</f>
        <v/>
      </c>
      <c r="AO211">
        <f>IFERROR(IF(AX211&lt;($AM$9-$AL$9)/($AN$9-$AL$9),$AL$9+SQRT(AX211*($AN$9-$AL$9)*($AM$9-$AL$9)),$AN$9-SQRT((1-AX211)*($AN$9-$AL$9)*($AN$9-$AM$9))),$AM$9)</f>
        <v/>
      </c>
      <c r="AP211">
        <f>IFERROR(IF(AY211&lt;($AM$10-$AL$10)/($AN$10-$AL$10),$AL$10+SQRT(AY211*($AN$10-$AL$10)*($AM$10-$AL$10)),$AN$10-SQRT((1-AY211)*($AN$10-$AL$10)*($AN$10-$AM$10))),$AM$10)</f>
        <v/>
      </c>
      <c r="AQ211">
        <f>IFERROR(IF(AZ211&lt;($AM$11-$AL$11)/($AN$11-$AL$11),$AL$11+SQRT(AZ211*($AN$11-$AL$11)*($AM$11-$AL$11)),$AN$11-SQRT((1-AZ211)*($AN$11-$AL$11)*($AN$11-$AM$11))),$AM$11)</f>
        <v/>
      </c>
      <c r="AR211">
        <f>SUMPRODUCT((B24:B31&lt;=$B$6)*(C24:C31*AM211+D24:D31*AO211*$B$8*AQ211)/(1+AL211/100)^B24:B31)+C32*AM211*AP211/(1+AL211/100)^$B$6</f>
        <v/>
      </c>
      <c r="AS211">
        <f>SUMPRODUCT((K24:K26&lt;=$B$6)*(L24:L26*AN211+M24:M26*AO211*$B$8*AQ211)/(1+AL211/100)^K24:K26)+L27*AN211*AP211/(1+AL211/100)^$B$6</f>
        <v/>
      </c>
      <c r="AT211">
        <f>AS211-AR211</f>
        <v/>
      </c>
      <c r="AU211">
        <f>RAND()</f>
        <v/>
      </c>
      <c r="AV211">
        <f>RAND()</f>
        <v/>
      </c>
      <c r="AW211">
        <f>RAND()</f>
        <v/>
      </c>
      <c r="AX211">
        <f>RAND()</f>
        <v/>
      </c>
      <c r="AY211">
        <f>RAND()</f>
        <v/>
      </c>
      <c r="AZ211">
        <f>RAND()</f>
        <v/>
      </c>
    </row>
    <row r="212">
      <c r="AK212" t="n">
        <v>199</v>
      </c>
      <c r="AL212">
        <f>IFERROR(IF(AU212&lt;($AM$6-$AL$6)/($AN$6-$AL$6),$AL$6+SQRT(AU212*($AN$6-$AL$6)*($AM$6-$AL$6)),$AN$6-SQRT((1-AU212)*($AN$6-$AL$6)*($AN$6-$AM$6))),$AM$6)</f>
        <v/>
      </c>
      <c r="AM212">
        <f>IFERROR(IF(AV212&lt;($AM$7-$AL$7)/($AN$7-$AL$7),$AL$7+SQRT(AV212*($AN$7-$AL$7)*($AM$7-$AL$7)),$AN$7-SQRT((1-AV212)*($AN$7-$AL$7)*($AN$7-$AM$7))),$AM$7)</f>
        <v/>
      </c>
      <c r="AN212">
        <f>IFERROR(IF(AW212&lt;($AM$8-$AL$8)/($AN$8-$AL$8),$AL$8+SQRT(AW212*($AN$8-$AL$8)*($AM$8-$AL$8)),$AN$8-SQRT((1-AW212)*($AN$8-$AL$8)*($AN$8-$AM$8))),$AM$8)</f>
        <v/>
      </c>
      <c r="AO212">
        <f>IFERROR(IF(AX212&lt;($AM$9-$AL$9)/($AN$9-$AL$9),$AL$9+SQRT(AX212*($AN$9-$AL$9)*($AM$9-$AL$9)),$AN$9-SQRT((1-AX212)*($AN$9-$AL$9)*($AN$9-$AM$9))),$AM$9)</f>
        <v/>
      </c>
      <c r="AP212">
        <f>IFERROR(IF(AY212&lt;($AM$10-$AL$10)/($AN$10-$AL$10),$AL$10+SQRT(AY212*($AN$10-$AL$10)*($AM$10-$AL$10)),$AN$10-SQRT((1-AY212)*($AN$10-$AL$10)*($AN$10-$AM$10))),$AM$10)</f>
        <v/>
      </c>
      <c r="AQ212">
        <f>IFERROR(IF(AZ212&lt;($AM$11-$AL$11)/($AN$11-$AL$11),$AL$11+SQRT(AZ212*($AN$11-$AL$11)*($AM$11-$AL$11)),$AN$11-SQRT((1-AZ212)*($AN$11-$AL$11)*($AN$11-$AM$11))),$AM$11)</f>
        <v/>
      </c>
      <c r="AR212">
        <f>SUMPRODUCT((B24:B31&lt;=$B$6)*(C24:C31*AM212+D24:D31*AO212*$B$8*AQ212)/(1+AL212/100)^B24:B31)+C32*AM212*AP212/(1+AL212/100)^$B$6</f>
        <v/>
      </c>
      <c r="AS212">
        <f>SUMPRODUCT((K24:K26&lt;=$B$6)*(L24:L26*AN212+M24:M26*AO212*$B$8*AQ212)/(1+AL212/100)^K24:K26)+L27*AN212*AP212/(1+AL212/100)^$B$6</f>
        <v/>
      </c>
      <c r="AT212">
        <f>AS212-AR212</f>
        <v/>
      </c>
      <c r="AU212">
        <f>RAND()</f>
        <v/>
      </c>
      <c r="AV212">
        <f>RAND()</f>
        <v/>
      </c>
      <c r="AW212">
        <f>RAND()</f>
        <v/>
      </c>
      <c r="AX212">
        <f>RAND()</f>
        <v/>
      </c>
      <c r="AY212">
        <f>RAND()</f>
        <v/>
      </c>
      <c r="AZ212">
        <f>RAND()</f>
        <v/>
      </c>
    </row>
    <row r="213">
      <c r="AK213" t="n">
        <v>200</v>
      </c>
      <c r="AL213">
        <f>IFERROR(IF(AU213&lt;($AM$6-$AL$6)/($AN$6-$AL$6),$AL$6+SQRT(AU213*($AN$6-$AL$6)*($AM$6-$AL$6)),$AN$6-SQRT((1-AU213)*($AN$6-$AL$6)*($AN$6-$AM$6))),$AM$6)</f>
        <v/>
      </c>
      <c r="AM213">
        <f>IFERROR(IF(AV213&lt;($AM$7-$AL$7)/($AN$7-$AL$7),$AL$7+SQRT(AV213*($AN$7-$AL$7)*($AM$7-$AL$7)),$AN$7-SQRT((1-AV213)*($AN$7-$AL$7)*($AN$7-$AM$7))),$AM$7)</f>
        <v/>
      </c>
      <c r="AN213">
        <f>IFERROR(IF(AW213&lt;($AM$8-$AL$8)/($AN$8-$AL$8),$AL$8+SQRT(AW213*($AN$8-$AL$8)*($AM$8-$AL$8)),$AN$8-SQRT((1-AW213)*($AN$8-$AL$8)*($AN$8-$AM$8))),$AM$8)</f>
        <v/>
      </c>
      <c r="AO213">
        <f>IFERROR(IF(AX213&lt;($AM$9-$AL$9)/($AN$9-$AL$9),$AL$9+SQRT(AX213*($AN$9-$AL$9)*($AM$9-$AL$9)),$AN$9-SQRT((1-AX213)*($AN$9-$AL$9)*($AN$9-$AM$9))),$AM$9)</f>
        <v/>
      </c>
      <c r="AP213">
        <f>IFERROR(IF(AY213&lt;($AM$10-$AL$10)/($AN$10-$AL$10),$AL$10+SQRT(AY213*($AN$10-$AL$10)*($AM$10-$AL$10)),$AN$10-SQRT((1-AY213)*($AN$10-$AL$10)*($AN$10-$AM$10))),$AM$10)</f>
        <v/>
      </c>
      <c r="AQ213">
        <f>IFERROR(IF(AZ213&lt;($AM$11-$AL$11)/($AN$11-$AL$11),$AL$11+SQRT(AZ213*($AN$11-$AL$11)*($AM$11-$AL$11)),$AN$11-SQRT((1-AZ213)*($AN$11-$AL$11)*($AN$11-$AM$11))),$AM$11)</f>
        <v/>
      </c>
      <c r="AR213">
        <f>SUMPRODUCT((B24:B31&lt;=$B$6)*(C24:C31*AM213+D24:D31*AO213*$B$8*AQ213)/(1+AL213/100)^B24:B31)+C32*AM213*AP213/(1+AL213/100)^$B$6</f>
        <v/>
      </c>
      <c r="AS213">
        <f>SUMPRODUCT((K24:K26&lt;=$B$6)*(L24:L26*AN213+M24:M26*AO213*$B$8*AQ213)/(1+AL213/100)^K24:K26)+L27*AN213*AP213/(1+AL213/100)^$B$6</f>
        <v/>
      </c>
      <c r="AT213">
        <f>AS213-AR213</f>
        <v/>
      </c>
      <c r="AU213">
        <f>RAND()</f>
        <v/>
      </c>
      <c r="AV213">
        <f>RAND()</f>
        <v/>
      </c>
      <c r="AW213">
        <f>RAND()</f>
        <v/>
      </c>
      <c r="AX213">
        <f>RAND()</f>
        <v/>
      </c>
      <c r="AY213">
        <f>RAND()</f>
        <v/>
      </c>
      <c r="AZ213">
        <f>RAND()</f>
        <v/>
      </c>
    </row>
    <row r="214">
      <c r="AK214" t="n">
        <v>201</v>
      </c>
      <c r="AL214">
        <f>IFERROR(IF(AU214&lt;($AM$6-$AL$6)/($AN$6-$AL$6),$AL$6+SQRT(AU214*($AN$6-$AL$6)*($AM$6-$AL$6)),$AN$6-SQRT((1-AU214)*($AN$6-$AL$6)*($AN$6-$AM$6))),$AM$6)</f>
        <v/>
      </c>
      <c r="AM214">
        <f>IFERROR(IF(AV214&lt;($AM$7-$AL$7)/($AN$7-$AL$7),$AL$7+SQRT(AV214*($AN$7-$AL$7)*($AM$7-$AL$7)),$AN$7-SQRT((1-AV214)*($AN$7-$AL$7)*($AN$7-$AM$7))),$AM$7)</f>
        <v/>
      </c>
      <c r="AN214">
        <f>IFERROR(IF(AW214&lt;($AM$8-$AL$8)/($AN$8-$AL$8),$AL$8+SQRT(AW214*($AN$8-$AL$8)*($AM$8-$AL$8)),$AN$8-SQRT((1-AW214)*($AN$8-$AL$8)*($AN$8-$AM$8))),$AM$8)</f>
        <v/>
      </c>
      <c r="AO214">
        <f>IFERROR(IF(AX214&lt;($AM$9-$AL$9)/($AN$9-$AL$9),$AL$9+SQRT(AX214*($AN$9-$AL$9)*($AM$9-$AL$9)),$AN$9-SQRT((1-AX214)*($AN$9-$AL$9)*($AN$9-$AM$9))),$AM$9)</f>
        <v/>
      </c>
      <c r="AP214">
        <f>IFERROR(IF(AY214&lt;($AM$10-$AL$10)/($AN$10-$AL$10),$AL$10+SQRT(AY214*($AN$10-$AL$10)*($AM$10-$AL$10)),$AN$10-SQRT((1-AY214)*($AN$10-$AL$10)*($AN$10-$AM$10))),$AM$10)</f>
        <v/>
      </c>
      <c r="AQ214">
        <f>IFERROR(IF(AZ214&lt;($AM$11-$AL$11)/($AN$11-$AL$11),$AL$11+SQRT(AZ214*($AN$11-$AL$11)*($AM$11-$AL$11)),$AN$11-SQRT((1-AZ214)*($AN$11-$AL$11)*($AN$11-$AM$11))),$AM$11)</f>
        <v/>
      </c>
      <c r="AR214">
        <f>SUMPRODUCT((B24:B31&lt;=$B$6)*(C24:C31*AM214+D24:D31*AO214*$B$8*AQ214)/(1+AL214/100)^B24:B31)+C32*AM214*AP214/(1+AL214/100)^$B$6</f>
        <v/>
      </c>
      <c r="AS214">
        <f>SUMPRODUCT((K24:K26&lt;=$B$6)*(L24:L26*AN214+M24:M26*AO214*$B$8*AQ214)/(1+AL214/100)^K24:K26)+L27*AN214*AP214/(1+AL214/100)^$B$6</f>
        <v/>
      </c>
      <c r="AT214">
        <f>AS214-AR214</f>
        <v/>
      </c>
      <c r="AU214">
        <f>RAND()</f>
        <v/>
      </c>
      <c r="AV214">
        <f>RAND()</f>
        <v/>
      </c>
      <c r="AW214">
        <f>RAND()</f>
        <v/>
      </c>
      <c r="AX214">
        <f>RAND()</f>
        <v/>
      </c>
      <c r="AY214">
        <f>RAND()</f>
        <v/>
      </c>
      <c r="AZ214">
        <f>RAND()</f>
        <v/>
      </c>
    </row>
    <row r="215">
      <c r="AK215" t="n">
        <v>202</v>
      </c>
      <c r="AL215">
        <f>IFERROR(IF(AU215&lt;($AM$6-$AL$6)/($AN$6-$AL$6),$AL$6+SQRT(AU215*($AN$6-$AL$6)*($AM$6-$AL$6)),$AN$6-SQRT((1-AU215)*($AN$6-$AL$6)*($AN$6-$AM$6))),$AM$6)</f>
        <v/>
      </c>
      <c r="AM215">
        <f>IFERROR(IF(AV215&lt;($AM$7-$AL$7)/($AN$7-$AL$7),$AL$7+SQRT(AV215*($AN$7-$AL$7)*($AM$7-$AL$7)),$AN$7-SQRT((1-AV215)*($AN$7-$AL$7)*($AN$7-$AM$7))),$AM$7)</f>
        <v/>
      </c>
      <c r="AN215">
        <f>IFERROR(IF(AW215&lt;($AM$8-$AL$8)/($AN$8-$AL$8),$AL$8+SQRT(AW215*($AN$8-$AL$8)*($AM$8-$AL$8)),$AN$8-SQRT((1-AW215)*($AN$8-$AL$8)*($AN$8-$AM$8))),$AM$8)</f>
        <v/>
      </c>
      <c r="AO215">
        <f>IFERROR(IF(AX215&lt;($AM$9-$AL$9)/($AN$9-$AL$9),$AL$9+SQRT(AX215*($AN$9-$AL$9)*($AM$9-$AL$9)),$AN$9-SQRT((1-AX215)*($AN$9-$AL$9)*($AN$9-$AM$9))),$AM$9)</f>
        <v/>
      </c>
      <c r="AP215">
        <f>IFERROR(IF(AY215&lt;($AM$10-$AL$10)/($AN$10-$AL$10),$AL$10+SQRT(AY215*($AN$10-$AL$10)*($AM$10-$AL$10)),$AN$10-SQRT((1-AY215)*($AN$10-$AL$10)*($AN$10-$AM$10))),$AM$10)</f>
        <v/>
      </c>
      <c r="AQ215">
        <f>IFERROR(IF(AZ215&lt;($AM$11-$AL$11)/($AN$11-$AL$11),$AL$11+SQRT(AZ215*($AN$11-$AL$11)*($AM$11-$AL$11)),$AN$11-SQRT((1-AZ215)*($AN$11-$AL$11)*($AN$11-$AM$11))),$AM$11)</f>
        <v/>
      </c>
      <c r="AR215">
        <f>SUMPRODUCT((B24:B31&lt;=$B$6)*(C24:C31*AM215+D24:D31*AO215*$B$8*AQ215)/(1+AL215/100)^B24:B31)+C32*AM215*AP215/(1+AL215/100)^$B$6</f>
        <v/>
      </c>
      <c r="AS215">
        <f>SUMPRODUCT((K24:K26&lt;=$B$6)*(L24:L26*AN215+M24:M26*AO215*$B$8*AQ215)/(1+AL215/100)^K24:K26)+L27*AN215*AP215/(1+AL215/100)^$B$6</f>
        <v/>
      </c>
      <c r="AT215">
        <f>AS215-AR215</f>
        <v/>
      </c>
      <c r="AU215">
        <f>RAND()</f>
        <v/>
      </c>
      <c r="AV215">
        <f>RAND()</f>
        <v/>
      </c>
      <c r="AW215">
        <f>RAND()</f>
        <v/>
      </c>
      <c r="AX215">
        <f>RAND()</f>
        <v/>
      </c>
      <c r="AY215">
        <f>RAND()</f>
        <v/>
      </c>
      <c r="AZ215">
        <f>RAND()</f>
        <v/>
      </c>
    </row>
    <row r="216">
      <c r="AK216" t="n">
        <v>203</v>
      </c>
      <c r="AL216">
        <f>IFERROR(IF(AU216&lt;($AM$6-$AL$6)/($AN$6-$AL$6),$AL$6+SQRT(AU216*($AN$6-$AL$6)*($AM$6-$AL$6)),$AN$6-SQRT((1-AU216)*($AN$6-$AL$6)*($AN$6-$AM$6))),$AM$6)</f>
        <v/>
      </c>
      <c r="AM216">
        <f>IFERROR(IF(AV216&lt;($AM$7-$AL$7)/($AN$7-$AL$7),$AL$7+SQRT(AV216*($AN$7-$AL$7)*($AM$7-$AL$7)),$AN$7-SQRT((1-AV216)*($AN$7-$AL$7)*($AN$7-$AM$7))),$AM$7)</f>
        <v/>
      </c>
      <c r="AN216">
        <f>IFERROR(IF(AW216&lt;($AM$8-$AL$8)/($AN$8-$AL$8),$AL$8+SQRT(AW216*($AN$8-$AL$8)*($AM$8-$AL$8)),$AN$8-SQRT((1-AW216)*($AN$8-$AL$8)*($AN$8-$AM$8))),$AM$8)</f>
        <v/>
      </c>
      <c r="AO216">
        <f>IFERROR(IF(AX216&lt;($AM$9-$AL$9)/($AN$9-$AL$9),$AL$9+SQRT(AX216*($AN$9-$AL$9)*($AM$9-$AL$9)),$AN$9-SQRT((1-AX216)*($AN$9-$AL$9)*($AN$9-$AM$9))),$AM$9)</f>
        <v/>
      </c>
      <c r="AP216">
        <f>IFERROR(IF(AY216&lt;($AM$10-$AL$10)/($AN$10-$AL$10),$AL$10+SQRT(AY216*($AN$10-$AL$10)*($AM$10-$AL$10)),$AN$10-SQRT((1-AY216)*($AN$10-$AL$10)*($AN$10-$AM$10))),$AM$10)</f>
        <v/>
      </c>
      <c r="AQ216">
        <f>IFERROR(IF(AZ216&lt;($AM$11-$AL$11)/($AN$11-$AL$11),$AL$11+SQRT(AZ216*($AN$11-$AL$11)*($AM$11-$AL$11)),$AN$11-SQRT((1-AZ216)*($AN$11-$AL$11)*($AN$11-$AM$11))),$AM$11)</f>
        <v/>
      </c>
      <c r="AR216">
        <f>SUMPRODUCT((B24:B31&lt;=$B$6)*(C24:C31*AM216+D24:D31*AO216*$B$8*AQ216)/(1+AL216/100)^B24:B31)+C32*AM216*AP216/(1+AL216/100)^$B$6</f>
        <v/>
      </c>
      <c r="AS216">
        <f>SUMPRODUCT((K24:K26&lt;=$B$6)*(L24:L26*AN216+M24:M26*AO216*$B$8*AQ216)/(1+AL216/100)^K24:K26)+L27*AN216*AP216/(1+AL216/100)^$B$6</f>
        <v/>
      </c>
      <c r="AT216">
        <f>AS216-AR216</f>
        <v/>
      </c>
      <c r="AU216">
        <f>RAND()</f>
        <v/>
      </c>
      <c r="AV216">
        <f>RAND()</f>
        <v/>
      </c>
      <c r="AW216">
        <f>RAND()</f>
        <v/>
      </c>
      <c r="AX216">
        <f>RAND()</f>
        <v/>
      </c>
      <c r="AY216">
        <f>RAND()</f>
        <v/>
      </c>
      <c r="AZ216">
        <f>RAND()</f>
        <v/>
      </c>
    </row>
    <row r="217">
      <c r="AK217" t="n">
        <v>204</v>
      </c>
      <c r="AL217">
        <f>IFERROR(IF(AU217&lt;($AM$6-$AL$6)/($AN$6-$AL$6),$AL$6+SQRT(AU217*($AN$6-$AL$6)*($AM$6-$AL$6)),$AN$6-SQRT((1-AU217)*($AN$6-$AL$6)*($AN$6-$AM$6))),$AM$6)</f>
        <v/>
      </c>
      <c r="AM217">
        <f>IFERROR(IF(AV217&lt;($AM$7-$AL$7)/($AN$7-$AL$7),$AL$7+SQRT(AV217*($AN$7-$AL$7)*($AM$7-$AL$7)),$AN$7-SQRT((1-AV217)*($AN$7-$AL$7)*($AN$7-$AM$7))),$AM$7)</f>
        <v/>
      </c>
      <c r="AN217">
        <f>IFERROR(IF(AW217&lt;($AM$8-$AL$8)/($AN$8-$AL$8),$AL$8+SQRT(AW217*($AN$8-$AL$8)*($AM$8-$AL$8)),$AN$8-SQRT((1-AW217)*($AN$8-$AL$8)*($AN$8-$AM$8))),$AM$8)</f>
        <v/>
      </c>
      <c r="AO217">
        <f>IFERROR(IF(AX217&lt;($AM$9-$AL$9)/($AN$9-$AL$9),$AL$9+SQRT(AX217*($AN$9-$AL$9)*($AM$9-$AL$9)),$AN$9-SQRT((1-AX217)*($AN$9-$AL$9)*($AN$9-$AM$9))),$AM$9)</f>
        <v/>
      </c>
      <c r="AP217">
        <f>IFERROR(IF(AY217&lt;($AM$10-$AL$10)/($AN$10-$AL$10),$AL$10+SQRT(AY217*($AN$10-$AL$10)*($AM$10-$AL$10)),$AN$10-SQRT((1-AY217)*($AN$10-$AL$10)*($AN$10-$AM$10))),$AM$10)</f>
        <v/>
      </c>
      <c r="AQ217">
        <f>IFERROR(IF(AZ217&lt;($AM$11-$AL$11)/($AN$11-$AL$11),$AL$11+SQRT(AZ217*($AN$11-$AL$11)*($AM$11-$AL$11)),$AN$11-SQRT((1-AZ217)*($AN$11-$AL$11)*($AN$11-$AM$11))),$AM$11)</f>
        <v/>
      </c>
      <c r="AR217">
        <f>SUMPRODUCT((B24:B31&lt;=$B$6)*(C24:C31*AM217+D24:D31*AO217*$B$8*AQ217)/(1+AL217/100)^B24:B31)+C32*AM217*AP217/(1+AL217/100)^$B$6</f>
        <v/>
      </c>
      <c r="AS217">
        <f>SUMPRODUCT((K24:K26&lt;=$B$6)*(L24:L26*AN217+M24:M26*AO217*$B$8*AQ217)/(1+AL217/100)^K24:K26)+L27*AN217*AP217/(1+AL217/100)^$B$6</f>
        <v/>
      </c>
      <c r="AT217">
        <f>AS217-AR217</f>
        <v/>
      </c>
      <c r="AU217">
        <f>RAND()</f>
        <v/>
      </c>
      <c r="AV217">
        <f>RAND()</f>
        <v/>
      </c>
      <c r="AW217">
        <f>RAND()</f>
        <v/>
      </c>
      <c r="AX217">
        <f>RAND()</f>
        <v/>
      </c>
      <c r="AY217">
        <f>RAND()</f>
        <v/>
      </c>
      <c r="AZ217">
        <f>RAND()</f>
        <v/>
      </c>
    </row>
    <row r="218">
      <c r="AK218" t="n">
        <v>205</v>
      </c>
      <c r="AL218">
        <f>IFERROR(IF(AU218&lt;($AM$6-$AL$6)/($AN$6-$AL$6),$AL$6+SQRT(AU218*($AN$6-$AL$6)*($AM$6-$AL$6)),$AN$6-SQRT((1-AU218)*($AN$6-$AL$6)*($AN$6-$AM$6))),$AM$6)</f>
        <v/>
      </c>
      <c r="AM218">
        <f>IFERROR(IF(AV218&lt;($AM$7-$AL$7)/($AN$7-$AL$7),$AL$7+SQRT(AV218*($AN$7-$AL$7)*($AM$7-$AL$7)),$AN$7-SQRT((1-AV218)*($AN$7-$AL$7)*($AN$7-$AM$7))),$AM$7)</f>
        <v/>
      </c>
      <c r="AN218">
        <f>IFERROR(IF(AW218&lt;($AM$8-$AL$8)/($AN$8-$AL$8),$AL$8+SQRT(AW218*($AN$8-$AL$8)*($AM$8-$AL$8)),$AN$8-SQRT((1-AW218)*($AN$8-$AL$8)*($AN$8-$AM$8))),$AM$8)</f>
        <v/>
      </c>
      <c r="AO218">
        <f>IFERROR(IF(AX218&lt;($AM$9-$AL$9)/($AN$9-$AL$9),$AL$9+SQRT(AX218*($AN$9-$AL$9)*($AM$9-$AL$9)),$AN$9-SQRT((1-AX218)*($AN$9-$AL$9)*($AN$9-$AM$9))),$AM$9)</f>
        <v/>
      </c>
      <c r="AP218">
        <f>IFERROR(IF(AY218&lt;($AM$10-$AL$10)/($AN$10-$AL$10),$AL$10+SQRT(AY218*($AN$10-$AL$10)*($AM$10-$AL$10)),$AN$10-SQRT((1-AY218)*($AN$10-$AL$10)*($AN$10-$AM$10))),$AM$10)</f>
        <v/>
      </c>
      <c r="AQ218">
        <f>IFERROR(IF(AZ218&lt;($AM$11-$AL$11)/($AN$11-$AL$11),$AL$11+SQRT(AZ218*($AN$11-$AL$11)*($AM$11-$AL$11)),$AN$11-SQRT((1-AZ218)*($AN$11-$AL$11)*($AN$11-$AM$11))),$AM$11)</f>
        <v/>
      </c>
      <c r="AR218">
        <f>SUMPRODUCT((B24:B31&lt;=$B$6)*(C24:C31*AM218+D24:D31*AO218*$B$8*AQ218)/(1+AL218/100)^B24:B31)+C32*AM218*AP218/(1+AL218/100)^$B$6</f>
        <v/>
      </c>
      <c r="AS218">
        <f>SUMPRODUCT((K24:K26&lt;=$B$6)*(L24:L26*AN218+M24:M26*AO218*$B$8*AQ218)/(1+AL218/100)^K24:K26)+L27*AN218*AP218/(1+AL218/100)^$B$6</f>
        <v/>
      </c>
      <c r="AT218">
        <f>AS218-AR218</f>
        <v/>
      </c>
      <c r="AU218">
        <f>RAND()</f>
        <v/>
      </c>
      <c r="AV218">
        <f>RAND()</f>
        <v/>
      </c>
      <c r="AW218">
        <f>RAND()</f>
        <v/>
      </c>
      <c r="AX218">
        <f>RAND()</f>
        <v/>
      </c>
      <c r="AY218">
        <f>RAND()</f>
        <v/>
      </c>
      <c r="AZ218">
        <f>RAND()</f>
        <v/>
      </c>
    </row>
    <row r="219">
      <c r="AK219" t="n">
        <v>206</v>
      </c>
      <c r="AL219">
        <f>IFERROR(IF(AU219&lt;($AM$6-$AL$6)/($AN$6-$AL$6),$AL$6+SQRT(AU219*($AN$6-$AL$6)*($AM$6-$AL$6)),$AN$6-SQRT((1-AU219)*($AN$6-$AL$6)*($AN$6-$AM$6))),$AM$6)</f>
        <v/>
      </c>
      <c r="AM219">
        <f>IFERROR(IF(AV219&lt;($AM$7-$AL$7)/($AN$7-$AL$7),$AL$7+SQRT(AV219*($AN$7-$AL$7)*($AM$7-$AL$7)),$AN$7-SQRT((1-AV219)*($AN$7-$AL$7)*($AN$7-$AM$7))),$AM$7)</f>
        <v/>
      </c>
      <c r="AN219">
        <f>IFERROR(IF(AW219&lt;($AM$8-$AL$8)/($AN$8-$AL$8),$AL$8+SQRT(AW219*($AN$8-$AL$8)*($AM$8-$AL$8)),$AN$8-SQRT((1-AW219)*($AN$8-$AL$8)*($AN$8-$AM$8))),$AM$8)</f>
        <v/>
      </c>
      <c r="AO219">
        <f>IFERROR(IF(AX219&lt;($AM$9-$AL$9)/($AN$9-$AL$9),$AL$9+SQRT(AX219*($AN$9-$AL$9)*($AM$9-$AL$9)),$AN$9-SQRT((1-AX219)*($AN$9-$AL$9)*($AN$9-$AM$9))),$AM$9)</f>
        <v/>
      </c>
      <c r="AP219">
        <f>IFERROR(IF(AY219&lt;($AM$10-$AL$10)/($AN$10-$AL$10),$AL$10+SQRT(AY219*($AN$10-$AL$10)*($AM$10-$AL$10)),$AN$10-SQRT((1-AY219)*($AN$10-$AL$10)*($AN$10-$AM$10))),$AM$10)</f>
        <v/>
      </c>
      <c r="AQ219">
        <f>IFERROR(IF(AZ219&lt;($AM$11-$AL$11)/($AN$11-$AL$11),$AL$11+SQRT(AZ219*($AN$11-$AL$11)*($AM$11-$AL$11)),$AN$11-SQRT((1-AZ219)*($AN$11-$AL$11)*($AN$11-$AM$11))),$AM$11)</f>
        <v/>
      </c>
      <c r="AR219">
        <f>SUMPRODUCT((B24:B31&lt;=$B$6)*(C24:C31*AM219+D24:D31*AO219*$B$8*AQ219)/(1+AL219/100)^B24:B31)+C32*AM219*AP219/(1+AL219/100)^$B$6</f>
        <v/>
      </c>
      <c r="AS219">
        <f>SUMPRODUCT((K24:K26&lt;=$B$6)*(L24:L26*AN219+M24:M26*AO219*$B$8*AQ219)/(1+AL219/100)^K24:K26)+L27*AN219*AP219/(1+AL219/100)^$B$6</f>
        <v/>
      </c>
      <c r="AT219">
        <f>AS219-AR219</f>
        <v/>
      </c>
      <c r="AU219">
        <f>RAND()</f>
        <v/>
      </c>
      <c r="AV219">
        <f>RAND()</f>
        <v/>
      </c>
      <c r="AW219">
        <f>RAND()</f>
        <v/>
      </c>
      <c r="AX219">
        <f>RAND()</f>
        <v/>
      </c>
      <c r="AY219">
        <f>RAND()</f>
        <v/>
      </c>
      <c r="AZ219">
        <f>RAND()</f>
        <v/>
      </c>
    </row>
    <row r="220">
      <c r="AK220" t="n">
        <v>207</v>
      </c>
      <c r="AL220">
        <f>IFERROR(IF(AU220&lt;($AM$6-$AL$6)/($AN$6-$AL$6),$AL$6+SQRT(AU220*($AN$6-$AL$6)*($AM$6-$AL$6)),$AN$6-SQRT((1-AU220)*($AN$6-$AL$6)*($AN$6-$AM$6))),$AM$6)</f>
        <v/>
      </c>
      <c r="AM220">
        <f>IFERROR(IF(AV220&lt;($AM$7-$AL$7)/($AN$7-$AL$7),$AL$7+SQRT(AV220*($AN$7-$AL$7)*($AM$7-$AL$7)),$AN$7-SQRT((1-AV220)*($AN$7-$AL$7)*($AN$7-$AM$7))),$AM$7)</f>
        <v/>
      </c>
      <c r="AN220">
        <f>IFERROR(IF(AW220&lt;($AM$8-$AL$8)/($AN$8-$AL$8),$AL$8+SQRT(AW220*($AN$8-$AL$8)*($AM$8-$AL$8)),$AN$8-SQRT((1-AW220)*($AN$8-$AL$8)*($AN$8-$AM$8))),$AM$8)</f>
        <v/>
      </c>
      <c r="AO220">
        <f>IFERROR(IF(AX220&lt;($AM$9-$AL$9)/($AN$9-$AL$9),$AL$9+SQRT(AX220*($AN$9-$AL$9)*($AM$9-$AL$9)),$AN$9-SQRT((1-AX220)*($AN$9-$AL$9)*($AN$9-$AM$9))),$AM$9)</f>
        <v/>
      </c>
      <c r="AP220">
        <f>IFERROR(IF(AY220&lt;($AM$10-$AL$10)/($AN$10-$AL$10),$AL$10+SQRT(AY220*($AN$10-$AL$10)*($AM$10-$AL$10)),$AN$10-SQRT((1-AY220)*($AN$10-$AL$10)*($AN$10-$AM$10))),$AM$10)</f>
        <v/>
      </c>
      <c r="AQ220">
        <f>IFERROR(IF(AZ220&lt;($AM$11-$AL$11)/($AN$11-$AL$11),$AL$11+SQRT(AZ220*($AN$11-$AL$11)*($AM$11-$AL$11)),$AN$11-SQRT((1-AZ220)*($AN$11-$AL$11)*($AN$11-$AM$11))),$AM$11)</f>
        <v/>
      </c>
      <c r="AR220">
        <f>SUMPRODUCT((B24:B31&lt;=$B$6)*(C24:C31*AM220+D24:D31*AO220*$B$8*AQ220)/(1+AL220/100)^B24:B31)+C32*AM220*AP220/(1+AL220/100)^$B$6</f>
        <v/>
      </c>
      <c r="AS220">
        <f>SUMPRODUCT((K24:K26&lt;=$B$6)*(L24:L26*AN220+M24:M26*AO220*$B$8*AQ220)/(1+AL220/100)^K24:K26)+L27*AN220*AP220/(1+AL220/100)^$B$6</f>
        <v/>
      </c>
      <c r="AT220">
        <f>AS220-AR220</f>
        <v/>
      </c>
      <c r="AU220">
        <f>RAND()</f>
        <v/>
      </c>
      <c r="AV220">
        <f>RAND()</f>
        <v/>
      </c>
      <c r="AW220">
        <f>RAND()</f>
        <v/>
      </c>
      <c r="AX220">
        <f>RAND()</f>
        <v/>
      </c>
      <c r="AY220">
        <f>RAND()</f>
        <v/>
      </c>
      <c r="AZ220">
        <f>RAND()</f>
        <v/>
      </c>
    </row>
    <row r="221">
      <c r="AK221" t="n">
        <v>208</v>
      </c>
      <c r="AL221">
        <f>IFERROR(IF(AU221&lt;($AM$6-$AL$6)/($AN$6-$AL$6),$AL$6+SQRT(AU221*($AN$6-$AL$6)*($AM$6-$AL$6)),$AN$6-SQRT((1-AU221)*($AN$6-$AL$6)*($AN$6-$AM$6))),$AM$6)</f>
        <v/>
      </c>
      <c r="AM221">
        <f>IFERROR(IF(AV221&lt;($AM$7-$AL$7)/($AN$7-$AL$7),$AL$7+SQRT(AV221*($AN$7-$AL$7)*($AM$7-$AL$7)),$AN$7-SQRT((1-AV221)*($AN$7-$AL$7)*($AN$7-$AM$7))),$AM$7)</f>
        <v/>
      </c>
      <c r="AN221">
        <f>IFERROR(IF(AW221&lt;($AM$8-$AL$8)/($AN$8-$AL$8),$AL$8+SQRT(AW221*($AN$8-$AL$8)*($AM$8-$AL$8)),$AN$8-SQRT((1-AW221)*($AN$8-$AL$8)*($AN$8-$AM$8))),$AM$8)</f>
        <v/>
      </c>
      <c r="AO221">
        <f>IFERROR(IF(AX221&lt;($AM$9-$AL$9)/($AN$9-$AL$9),$AL$9+SQRT(AX221*($AN$9-$AL$9)*($AM$9-$AL$9)),$AN$9-SQRT((1-AX221)*($AN$9-$AL$9)*($AN$9-$AM$9))),$AM$9)</f>
        <v/>
      </c>
      <c r="AP221">
        <f>IFERROR(IF(AY221&lt;($AM$10-$AL$10)/($AN$10-$AL$10),$AL$10+SQRT(AY221*($AN$10-$AL$10)*($AM$10-$AL$10)),$AN$10-SQRT((1-AY221)*($AN$10-$AL$10)*($AN$10-$AM$10))),$AM$10)</f>
        <v/>
      </c>
      <c r="AQ221">
        <f>IFERROR(IF(AZ221&lt;($AM$11-$AL$11)/($AN$11-$AL$11),$AL$11+SQRT(AZ221*($AN$11-$AL$11)*($AM$11-$AL$11)),$AN$11-SQRT((1-AZ221)*($AN$11-$AL$11)*($AN$11-$AM$11))),$AM$11)</f>
        <v/>
      </c>
      <c r="AR221">
        <f>SUMPRODUCT((B24:B31&lt;=$B$6)*(C24:C31*AM221+D24:D31*AO221*$B$8*AQ221)/(1+AL221/100)^B24:B31)+C32*AM221*AP221/(1+AL221/100)^$B$6</f>
        <v/>
      </c>
      <c r="AS221">
        <f>SUMPRODUCT((K24:K26&lt;=$B$6)*(L24:L26*AN221+M24:M26*AO221*$B$8*AQ221)/(1+AL221/100)^K24:K26)+L27*AN221*AP221/(1+AL221/100)^$B$6</f>
        <v/>
      </c>
      <c r="AT221">
        <f>AS221-AR221</f>
        <v/>
      </c>
      <c r="AU221">
        <f>RAND()</f>
        <v/>
      </c>
      <c r="AV221">
        <f>RAND()</f>
        <v/>
      </c>
      <c r="AW221">
        <f>RAND()</f>
        <v/>
      </c>
      <c r="AX221">
        <f>RAND()</f>
        <v/>
      </c>
      <c r="AY221">
        <f>RAND()</f>
        <v/>
      </c>
      <c r="AZ221">
        <f>RAND()</f>
        <v/>
      </c>
    </row>
    <row r="222">
      <c r="AK222" t="n">
        <v>209</v>
      </c>
      <c r="AL222">
        <f>IFERROR(IF(AU222&lt;($AM$6-$AL$6)/($AN$6-$AL$6),$AL$6+SQRT(AU222*($AN$6-$AL$6)*($AM$6-$AL$6)),$AN$6-SQRT((1-AU222)*($AN$6-$AL$6)*($AN$6-$AM$6))),$AM$6)</f>
        <v/>
      </c>
      <c r="AM222">
        <f>IFERROR(IF(AV222&lt;($AM$7-$AL$7)/($AN$7-$AL$7),$AL$7+SQRT(AV222*($AN$7-$AL$7)*($AM$7-$AL$7)),$AN$7-SQRT((1-AV222)*($AN$7-$AL$7)*($AN$7-$AM$7))),$AM$7)</f>
        <v/>
      </c>
      <c r="AN222">
        <f>IFERROR(IF(AW222&lt;($AM$8-$AL$8)/($AN$8-$AL$8),$AL$8+SQRT(AW222*($AN$8-$AL$8)*($AM$8-$AL$8)),$AN$8-SQRT((1-AW222)*($AN$8-$AL$8)*($AN$8-$AM$8))),$AM$8)</f>
        <v/>
      </c>
      <c r="AO222">
        <f>IFERROR(IF(AX222&lt;($AM$9-$AL$9)/($AN$9-$AL$9),$AL$9+SQRT(AX222*($AN$9-$AL$9)*($AM$9-$AL$9)),$AN$9-SQRT((1-AX222)*($AN$9-$AL$9)*($AN$9-$AM$9))),$AM$9)</f>
        <v/>
      </c>
      <c r="AP222">
        <f>IFERROR(IF(AY222&lt;($AM$10-$AL$10)/($AN$10-$AL$10),$AL$10+SQRT(AY222*($AN$10-$AL$10)*($AM$10-$AL$10)),$AN$10-SQRT((1-AY222)*($AN$10-$AL$10)*($AN$10-$AM$10))),$AM$10)</f>
        <v/>
      </c>
      <c r="AQ222">
        <f>IFERROR(IF(AZ222&lt;($AM$11-$AL$11)/($AN$11-$AL$11),$AL$11+SQRT(AZ222*($AN$11-$AL$11)*($AM$11-$AL$11)),$AN$11-SQRT((1-AZ222)*($AN$11-$AL$11)*($AN$11-$AM$11))),$AM$11)</f>
        <v/>
      </c>
      <c r="AR222">
        <f>SUMPRODUCT((B24:B31&lt;=$B$6)*(C24:C31*AM222+D24:D31*AO222*$B$8*AQ222)/(1+AL222/100)^B24:B31)+C32*AM222*AP222/(1+AL222/100)^$B$6</f>
        <v/>
      </c>
      <c r="AS222">
        <f>SUMPRODUCT((K24:K26&lt;=$B$6)*(L24:L26*AN222+M24:M26*AO222*$B$8*AQ222)/(1+AL222/100)^K24:K26)+L27*AN222*AP222/(1+AL222/100)^$B$6</f>
        <v/>
      </c>
      <c r="AT222">
        <f>AS222-AR222</f>
        <v/>
      </c>
      <c r="AU222">
        <f>RAND()</f>
        <v/>
      </c>
      <c r="AV222">
        <f>RAND()</f>
        <v/>
      </c>
      <c r="AW222">
        <f>RAND()</f>
        <v/>
      </c>
      <c r="AX222">
        <f>RAND()</f>
        <v/>
      </c>
      <c r="AY222">
        <f>RAND()</f>
        <v/>
      </c>
      <c r="AZ222">
        <f>RAND()</f>
        <v/>
      </c>
    </row>
    <row r="223">
      <c r="AK223" t="n">
        <v>210</v>
      </c>
      <c r="AL223">
        <f>IFERROR(IF(AU223&lt;($AM$6-$AL$6)/($AN$6-$AL$6),$AL$6+SQRT(AU223*($AN$6-$AL$6)*($AM$6-$AL$6)),$AN$6-SQRT((1-AU223)*($AN$6-$AL$6)*($AN$6-$AM$6))),$AM$6)</f>
        <v/>
      </c>
      <c r="AM223">
        <f>IFERROR(IF(AV223&lt;($AM$7-$AL$7)/($AN$7-$AL$7),$AL$7+SQRT(AV223*($AN$7-$AL$7)*($AM$7-$AL$7)),$AN$7-SQRT((1-AV223)*($AN$7-$AL$7)*($AN$7-$AM$7))),$AM$7)</f>
        <v/>
      </c>
      <c r="AN223">
        <f>IFERROR(IF(AW223&lt;($AM$8-$AL$8)/($AN$8-$AL$8),$AL$8+SQRT(AW223*($AN$8-$AL$8)*($AM$8-$AL$8)),$AN$8-SQRT((1-AW223)*($AN$8-$AL$8)*($AN$8-$AM$8))),$AM$8)</f>
        <v/>
      </c>
      <c r="AO223">
        <f>IFERROR(IF(AX223&lt;($AM$9-$AL$9)/($AN$9-$AL$9),$AL$9+SQRT(AX223*($AN$9-$AL$9)*($AM$9-$AL$9)),$AN$9-SQRT((1-AX223)*($AN$9-$AL$9)*($AN$9-$AM$9))),$AM$9)</f>
        <v/>
      </c>
      <c r="AP223">
        <f>IFERROR(IF(AY223&lt;($AM$10-$AL$10)/($AN$10-$AL$10),$AL$10+SQRT(AY223*($AN$10-$AL$10)*($AM$10-$AL$10)),$AN$10-SQRT((1-AY223)*($AN$10-$AL$10)*($AN$10-$AM$10))),$AM$10)</f>
        <v/>
      </c>
      <c r="AQ223">
        <f>IFERROR(IF(AZ223&lt;($AM$11-$AL$11)/($AN$11-$AL$11),$AL$11+SQRT(AZ223*($AN$11-$AL$11)*($AM$11-$AL$11)),$AN$11-SQRT((1-AZ223)*($AN$11-$AL$11)*($AN$11-$AM$11))),$AM$11)</f>
        <v/>
      </c>
      <c r="AR223">
        <f>SUMPRODUCT((B24:B31&lt;=$B$6)*(C24:C31*AM223+D24:D31*AO223*$B$8*AQ223)/(1+AL223/100)^B24:B31)+C32*AM223*AP223/(1+AL223/100)^$B$6</f>
        <v/>
      </c>
      <c r="AS223">
        <f>SUMPRODUCT((K24:K26&lt;=$B$6)*(L24:L26*AN223+M24:M26*AO223*$B$8*AQ223)/(1+AL223/100)^K24:K26)+L27*AN223*AP223/(1+AL223/100)^$B$6</f>
        <v/>
      </c>
      <c r="AT223">
        <f>AS223-AR223</f>
        <v/>
      </c>
      <c r="AU223">
        <f>RAND()</f>
        <v/>
      </c>
      <c r="AV223">
        <f>RAND()</f>
        <v/>
      </c>
      <c r="AW223">
        <f>RAND()</f>
        <v/>
      </c>
      <c r="AX223">
        <f>RAND()</f>
        <v/>
      </c>
      <c r="AY223">
        <f>RAND()</f>
        <v/>
      </c>
      <c r="AZ223">
        <f>RAND()</f>
        <v/>
      </c>
    </row>
    <row r="224">
      <c r="AK224" t="n">
        <v>211</v>
      </c>
      <c r="AL224">
        <f>IFERROR(IF(AU224&lt;($AM$6-$AL$6)/($AN$6-$AL$6),$AL$6+SQRT(AU224*($AN$6-$AL$6)*($AM$6-$AL$6)),$AN$6-SQRT((1-AU224)*($AN$6-$AL$6)*($AN$6-$AM$6))),$AM$6)</f>
        <v/>
      </c>
      <c r="AM224">
        <f>IFERROR(IF(AV224&lt;($AM$7-$AL$7)/($AN$7-$AL$7),$AL$7+SQRT(AV224*($AN$7-$AL$7)*($AM$7-$AL$7)),$AN$7-SQRT((1-AV224)*($AN$7-$AL$7)*($AN$7-$AM$7))),$AM$7)</f>
        <v/>
      </c>
      <c r="AN224">
        <f>IFERROR(IF(AW224&lt;($AM$8-$AL$8)/($AN$8-$AL$8),$AL$8+SQRT(AW224*($AN$8-$AL$8)*($AM$8-$AL$8)),$AN$8-SQRT((1-AW224)*($AN$8-$AL$8)*($AN$8-$AM$8))),$AM$8)</f>
        <v/>
      </c>
      <c r="AO224">
        <f>IFERROR(IF(AX224&lt;($AM$9-$AL$9)/($AN$9-$AL$9),$AL$9+SQRT(AX224*($AN$9-$AL$9)*($AM$9-$AL$9)),$AN$9-SQRT((1-AX224)*($AN$9-$AL$9)*($AN$9-$AM$9))),$AM$9)</f>
        <v/>
      </c>
      <c r="AP224">
        <f>IFERROR(IF(AY224&lt;($AM$10-$AL$10)/($AN$10-$AL$10),$AL$10+SQRT(AY224*($AN$10-$AL$10)*($AM$10-$AL$10)),$AN$10-SQRT((1-AY224)*($AN$10-$AL$10)*($AN$10-$AM$10))),$AM$10)</f>
        <v/>
      </c>
      <c r="AQ224">
        <f>IFERROR(IF(AZ224&lt;($AM$11-$AL$11)/($AN$11-$AL$11),$AL$11+SQRT(AZ224*($AN$11-$AL$11)*($AM$11-$AL$11)),$AN$11-SQRT((1-AZ224)*($AN$11-$AL$11)*($AN$11-$AM$11))),$AM$11)</f>
        <v/>
      </c>
      <c r="AR224">
        <f>SUMPRODUCT((B24:B31&lt;=$B$6)*(C24:C31*AM224+D24:D31*AO224*$B$8*AQ224)/(1+AL224/100)^B24:B31)+C32*AM224*AP224/(1+AL224/100)^$B$6</f>
        <v/>
      </c>
      <c r="AS224">
        <f>SUMPRODUCT((K24:K26&lt;=$B$6)*(L24:L26*AN224+M24:M26*AO224*$B$8*AQ224)/(1+AL224/100)^K24:K26)+L27*AN224*AP224/(1+AL224/100)^$B$6</f>
        <v/>
      </c>
      <c r="AT224">
        <f>AS224-AR224</f>
        <v/>
      </c>
      <c r="AU224">
        <f>RAND()</f>
        <v/>
      </c>
      <c r="AV224">
        <f>RAND()</f>
        <v/>
      </c>
      <c r="AW224">
        <f>RAND()</f>
        <v/>
      </c>
      <c r="AX224">
        <f>RAND()</f>
        <v/>
      </c>
      <c r="AY224">
        <f>RAND()</f>
        <v/>
      </c>
      <c r="AZ224">
        <f>RAND()</f>
        <v/>
      </c>
    </row>
    <row r="225">
      <c r="AK225" t="n">
        <v>212</v>
      </c>
      <c r="AL225">
        <f>IFERROR(IF(AU225&lt;($AM$6-$AL$6)/($AN$6-$AL$6),$AL$6+SQRT(AU225*($AN$6-$AL$6)*($AM$6-$AL$6)),$AN$6-SQRT((1-AU225)*($AN$6-$AL$6)*($AN$6-$AM$6))),$AM$6)</f>
        <v/>
      </c>
      <c r="AM225">
        <f>IFERROR(IF(AV225&lt;($AM$7-$AL$7)/($AN$7-$AL$7),$AL$7+SQRT(AV225*($AN$7-$AL$7)*($AM$7-$AL$7)),$AN$7-SQRT((1-AV225)*($AN$7-$AL$7)*($AN$7-$AM$7))),$AM$7)</f>
        <v/>
      </c>
      <c r="AN225">
        <f>IFERROR(IF(AW225&lt;($AM$8-$AL$8)/($AN$8-$AL$8),$AL$8+SQRT(AW225*($AN$8-$AL$8)*($AM$8-$AL$8)),$AN$8-SQRT((1-AW225)*($AN$8-$AL$8)*($AN$8-$AM$8))),$AM$8)</f>
        <v/>
      </c>
      <c r="AO225">
        <f>IFERROR(IF(AX225&lt;($AM$9-$AL$9)/($AN$9-$AL$9),$AL$9+SQRT(AX225*($AN$9-$AL$9)*($AM$9-$AL$9)),$AN$9-SQRT((1-AX225)*($AN$9-$AL$9)*($AN$9-$AM$9))),$AM$9)</f>
        <v/>
      </c>
      <c r="AP225">
        <f>IFERROR(IF(AY225&lt;($AM$10-$AL$10)/($AN$10-$AL$10),$AL$10+SQRT(AY225*($AN$10-$AL$10)*($AM$10-$AL$10)),$AN$10-SQRT((1-AY225)*($AN$10-$AL$10)*($AN$10-$AM$10))),$AM$10)</f>
        <v/>
      </c>
      <c r="AQ225">
        <f>IFERROR(IF(AZ225&lt;($AM$11-$AL$11)/($AN$11-$AL$11),$AL$11+SQRT(AZ225*($AN$11-$AL$11)*($AM$11-$AL$11)),$AN$11-SQRT((1-AZ225)*($AN$11-$AL$11)*($AN$11-$AM$11))),$AM$11)</f>
        <v/>
      </c>
      <c r="AR225">
        <f>SUMPRODUCT((B24:B31&lt;=$B$6)*(C24:C31*AM225+D24:D31*AO225*$B$8*AQ225)/(1+AL225/100)^B24:B31)+C32*AM225*AP225/(1+AL225/100)^$B$6</f>
        <v/>
      </c>
      <c r="AS225">
        <f>SUMPRODUCT((K24:K26&lt;=$B$6)*(L24:L26*AN225+M24:M26*AO225*$B$8*AQ225)/(1+AL225/100)^K24:K26)+L27*AN225*AP225/(1+AL225/100)^$B$6</f>
        <v/>
      </c>
      <c r="AT225">
        <f>AS225-AR225</f>
        <v/>
      </c>
      <c r="AU225">
        <f>RAND()</f>
        <v/>
      </c>
      <c r="AV225">
        <f>RAND()</f>
        <v/>
      </c>
      <c r="AW225">
        <f>RAND()</f>
        <v/>
      </c>
      <c r="AX225">
        <f>RAND()</f>
        <v/>
      </c>
      <c r="AY225">
        <f>RAND()</f>
        <v/>
      </c>
      <c r="AZ225">
        <f>RAND()</f>
        <v/>
      </c>
    </row>
    <row r="226">
      <c r="AK226" t="n">
        <v>213</v>
      </c>
      <c r="AL226">
        <f>IFERROR(IF(AU226&lt;($AM$6-$AL$6)/($AN$6-$AL$6),$AL$6+SQRT(AU226*($AN$6-$AL$6)*($AM$6-$AL$6)),$AN$6-SQRT((1-AU226)*($AN$6-$AL$6)*($AN$6-$AM$6))),$AM$6)</f>
        <v/>
      </c>
      <c r="AM226">
        <f>IFERROR(IF(AV226&lt;($AM$7-$AL$7)/($AN$7-$AL$7),$AL$7+SQRT(AV226*($AN$7-$AL$7)*($AM$7-$AL$7)),$AN$7-SQRT((1-AV226)*($AN$7-$AL$7)*($AN$7-$AM$7))),$AM$7)</f>
        <v/>
      </c>
      <c r="AN226">
        <f>IFERROR(IF(AW226&lt;($AM$8-$AL$8)/($AN$8-$AL$8),$AL$8+SQRT(AW226*($AN$8-$AL$8)*($AM$8-$AL$8)),$AN$8-SQRT((1-AW226)*($AN$8-$AL$8)*($AN$8-$AM$8))),$AM$8)</f>
        <v/>
      </c>
      <c r="AO226">
        <f>IFERROR(IF(AX226&lt;($AM$9-$AL$9)/($AN$9-$AL$9),$AL$9+SQRT(AX226*($AN$9-$AL$9)*($AM$9-$AL$9)),$AN$9-SQRT((1-AX226)*($AN$9-$AL$9)*($AN$9-$AM$9))),$AM$9)</f>
        <v/>
      </c>
      <c r="AP226">
        <f>IFERROR(IF(AY226&lt;($AM$10-$AL$10)/($AN$10-$AL$10),$AL$10+SQRT(AY226*($AN$10-$AL$10)*($AM$10-$AL$10)),$AN$10-SQRT((1-AY226)*($AN$10-$AL$10)*($AN$10-$AM$10))),$AM$10)</f>
        <v/>
      </c>
      <c r="AQ226">
        <f>IFERROR(IF(AZ226&lt;($AM$11-$AL$11)/($AN$11-$AL$11),$AL$11+SQRT(AZ226*($AN$11-$AL$11)*($AM$11-$AL$11)),$AN$11-SQRT((1-AZ226)*($AN$11-$AL$11)*($AN$11-$AM$11))),$AM$11)</f>
        <v/>
      </c>
      <c r="AR226">
        <f>SUMPRODUCT((B24:B31&lt;=$B$6)*(C24:C31*AM226+D24:D31*AO226*$B$8*AQ226)/(1+AL226/100)^B24:B31)+C32*AM226*AP226/(1+AL226/100)^$B$6</f>
        <v/>
      </c>
      <c r="AS226">
        <f>SUMPRODUCT((K24:K26&lt;=$B$6)*(L24:L26*AN226+M24:M26*AO226*$B$8*AQ226)/(1+AL226/100)^K24:K26)+L27*AN226*AP226/(1+AL226/100)^$B$6</f>
        <v/>
      </c>
      <c r="AT226">
        <f>AS226-AR226</f>
        <v/>
      </c>
      <c r="AU226">
        <f>RAND()</f>
        <v/>
      </c>
      <c r="AV226">
        <f>RAND()</f>
        <v/>
      </c>
      <c r="AW226">
        <f>RAND()</f>
        <v/>
      </c>
      <c r="AX226">
        <f>RAND()</f>
        <v/>
      </c>
      <c r="AY226">
        <f>RAND()</f>
        <v/>
      </c>
      <c r="AZ226">
        <f>RAND()</f>
        <v/>
      </c>
    </row>
    <row r="227">
      <c r="AK227" t="n">
        <v>214</v>
      </c>
      <c r="AL227">
        <f>IFERROR(IF(AU227&lt;($AM$6-$AL$6)/($AN$6-$AL$6),$AL$6+SQRT(AU227*($AN$6-$AL$6)*($AM$6-$AL$6)),$AN$6-SQRT((1-AU227)*($AN$6-$AL$6)*($AN$6-$AM$6))),$AM$6)</f>
        <v/>
      </c>
      <c r="AM227">
        <f>IFERROR(IF(AV227&lt;($AM$7-$AL$7)/($AN$7-$AL$7),$AL$7+SQRT(AV227*($AN$7-$AL$7)*($AM$7-$AL$7)),$AN$7-SQRT((1-AV227)*($AN$7-$AL$7)*($AN$7-$AM$7))),$AM$7)</f>
        <v/>
      </c>
      <c r="AN227">
        <f>IFERROR(IF(AW227&lt;($AM$8-$AL$8)/($AN$8-$AL$8),$AL$8+SQRT(AW227*($AN$8-$AL$8)*($AM$8-$AL$8)),$AN$8-SQRT((1-AW227)*($AN$8-$AL$8)*($AN$8-$AM$8))),$AM$8)</f>
        <v/>
      </c>
      <c r="AO227">
        <f>IFERROR(IF(AX227&lt;($AM$9-$AL$9)/($AN$9-$AL$9),$AL$9+SQRT(AX227*($AN$9-$AL$9)*($AM$9-$AL$9)),$AN$9-SQRT((1-AX227)*($AN$9-$AL$9)*($AN$9-$AM$9))),$AM$9)</f>
        <v/>
      </c>
      <c r="AP227">
        <f>IFERROR(IF(AY227&lt;($AM$10-$AL$10)/($AN$10-$AL$10),$AL$10+SQRT(AY227*($AN$10-$AL$10)*($AM$10-$AL$10)),$AN$10-SQRT((1-AY227)*($AN$10-$AL$10)*($AN$10-$AM$10))),$AM$10)</f>
        <v/>
      </c>
      <c r="AQ227">
        <f>IFERROR(IF(AZ227&lt;($AM$11-$AL$11)/($AN$11-$AL$11),$AL$11+SQRT(AZ227*($AN$11-$AL$11)*($AM$11-$AL$11)),$AN$11-SQRT((1-AZ227)*($AN$11-$AL$11)*($AN$11-$AM$11))),$AM$11)</f>
        <v/>
      </c>
      <c r="AR227">
        <f>SUMPRODUCT((B24:B31&lt;=$B$6)*(C24:C31*AM227+D24:D31*AO227*$B$8*AQ227)/(1+AL227/100)^B24:B31)+C32*AM227*AP227/(1+AL227/100)^$B$6</f>
        <v/>
      </c>
      <c r="AS227">
        <f>SUMPRODUCT((K24:K26&lt;=$B$6)*(L24:L26*AN227+M24:M26*AO227*$B$8*AQ227)/(1+AL227/100)^K24:K26)+L27*AN227*AP227/(1+AL227/100)^$B$6</f>
        <v/>
      </c>
      <c r="AT227">
        <f>AS227-AR227</f>
        <v/>
      </c>
      <c r="AU227">
        <f>RAND()</f>
        <v/>
      </c>
      <c r="AV227">
        <f>RAND()</f>
        <v/>
      </c>
      <c r="AW227">
        <f>RAND()</f>
        <v/>
      </c>
      <c r="AX227">
        <f>RAND()</f>
        <v/>
      </c>
      <c r="AY227">
        <f>RAND()</f>
        <v/>
      </c>
      <c r="AZ227">
        <f>RAND()</f>
        <v/>
      </c>
    </row>
    <row r="228">
      <c r="AK228" t="n">
        <v>215</v>
      </c>
      <c r="AL228">
        <f>IFERROR(IF(AU228&lt;($AM$6-$AL$6)/($AN$6-$AL$6),$AL$6+SQRT(AU228*($AN$6-$AL$6)*($AM$6-$AL$6)),$AN$6-SQRT((1-AU228)*($AN$6-$AL$6)*($AN$6-$AM$6))),$AM$6)</f>
        <v/>
      </c>
      <c r="AM228">
        <f>IFERROR(IF(AV228&lt;($AM$7-$AL$7)/($AN$7-$AL$7),$AL$7+SQRT(AV228*($AN$7-$AL$7)*($AM$7-$AL$7)),$AN$7-SQRT((1-AV228)*($AN$7-$AL$7)*($AN$7-$AM$7))),$AM$7)</f>
        <v/>
      </c>
      <c r="AN228">
        <f>IFERROR(IF(AW228&lt;($AM$8-$AL$8)/($AN$8-$AL$8),$AL$8+SQRT(AW228*($AN$8-$AL$8)*($AM$8-$AL$8)),$AN$8-SQRT((1-AW228)*($AN$8-$AL$8)*($AN$8-$AM$8))),$AM$8)</f>
        <v/>
      </c>
      <c r="AO228">
        <f>IFERROR(IF(AX228&lt;($AM$9-$AL$9)/($AN$9-$AL$9),$AL$9+SQRT(AX228*($AN$9-$AL$9)*($AM$9-$AL$9)),$AN$9-SQRT((1-AX228)*($AN$9-$AL$9)*($AN$9-$AM$9))),$AM$9)</f>
        <v/>
      </c>
      <c r="AP228">
        <f>IFERROR(IF(AY228&lt;($AM$10-$AL$10)/($AN$10-$AL$10),$AL$10+SQRT(AY228*($AN$10-$AL$10)*($AM$10-$AL$10)),$AN$10-SQRT((1-AY228)*($AN$10-$AL$10)*($AN$10-$AM$10))),$AM$10)</f>
        <v/>
      </c>
      <c r="AQ228">
        <f>IFERROR(IF(AZ228&lt;($AM$11-$AL$11)/($AN$11-$AL$11),$AL$11+SQRT(AZ228*($AN$11-$AL$11)*($AM$11-$AL$11)),$AN$11-SQRT((1-AZ228)*($AN$11-$AL$11)*($AN$11-$AM$11))),$AM$11)</f>
        <v/>
      </c>
      <c r="AR228">
        <f>SUMPRODUCT((B24:B31&lt;=$B$6)*(C24:C31*AM228+D24:D31*AO228*$B$8*AQ228)/(1+AL228/100)^B24:B31)+C32*AM228*AP228/(1+AL228/100)^$B$6</f>
        <v/>
      </c>
      <c r="AS228">
        <f>SUMPRODUCT((K24:K26&lt;=$B$6)*(L24:L26*AN228+M24:M26*AO228*$B$8*AQ228)/(1+AL228/100)^K24:K26)+L27*AN228*AP228/(1+AL228/100)^$B$6</f>
        <v/>
      </c>
      <c r="AT228">
        <f>AS228-AR228</f>
        <v/>
      </c>
      <c r="AU228">
        <f>RAND()</f>
        <v/>
      </c>
      <c r="AV228">
        <f>RAND()</f>
        <v/>
      </c>
      <c r="AW228">
        <f>RAND()</f>
        <v/>
      </c>
      <c r="AX228">
        <f>RAND()</f>
        <v/>
      </c>
      <c r="AY228">
        <f>RAND()</f>
        <v/>
      </c>
      <c r="AZ228">
        <f>RAND()</f>
        <v/>
      </c>
    </row>
    <row r="229">
      <c r="AK229" t="n">
        <v>216</v>
      </c>
      <c r="AL229">
        <f>IFERROR(IF(AU229&lt;($AM$6-$AL$6)/($AN$6-$AL$6),$AL$6+SQRT(AU229*($AN$6-$AL$6)*($AM$6-$AL$6)),$AN$6-SQRT((1-AU229)*($AN$6-$AL$6)*($AN$6-$AM$6))),$AM$6)</f>
        <v/>
      </c>
      <c r="AM229">
        <f>IFERROR(IF(AV229&lt;($AM$7-$AL$7)/($AN$7-$AL$7),$AL$7+SQRT(AV229*($AN$7-$AL$7)*($AM$7-$AL$7)),$AN$7-SQRT((1-AV229)*($AN$7-$AL$7)*($AN$7-$AM$7))),$AM$7)</f>
        <v/>
      </c>
      <c r="AN229">
        <f>IFERROR(IF(AW229&lt;($AM$8-$AL$8)/($AN$8-$AL$8),$AL$8+SQRT(AW229*($AN$8-$AL$8)*($AM$8-$AL$8)),$AN$8-SQRT((1-AW229)*($AN$8-$AL$8)*($AN$8-$AM$8))),$AM$8)</f>
        <v/>
      </c>
      <c r="AO229">
        <f>IFERROR(IF(AX229&lt;($AM$9-$AL$9)/($AN$9-$AL$9),$AL$9+SQRT(AX229*($AN$9-$AL$9)*($AM$9-$AL$9)),$AN$9-SQRT((1-AX229)*($AN$9-$AL$9)*($AN$9-$AM$9))),$AM$9)</f>
        <v/>
      </c>
      <c r="AP229">
        <f>IFERROR(IF(AY229&lt;($AM$10-$AL$10)/($AN$10-$AL$10),$AL$10+SQRT(AY229*($AN$10-$AL$10)*($AM$10-$AL$10)),$AN$10-SQRT((1-AY229)*($AN$10-$AL$10)*($AN$10-$AM$10))),$AM$10)</f>
        <v/>
      </c>
      <c r="AQ229">
        <f>IFERROR(IF(AZ229&lt;($AM$11-$AL$11)/($AN$11-$AL$11),$AL$11+SQRT(AZ229*($AN$11-$AL$11)*($AM$11-$AL$11)),$AN$11-SQRT((1-AZ229)*($AN$11-$AL$11)*($AN$11-$AM$11))),$AM$11)</f>
        <v/>
      </c>
      <c r="AR229">
        <f>SUMPRODUCT((B24:B31&lt;=$B$6)*(C24:C31*AM229+D24:D31*AO229*$B$8*AQ229)/(1+AL229/100)^B24:B31)+C32*AM229*AP229/(1+AL229/100)^$B$6</f>
        <v/>
      </c>
      <c r="AS229">
        <f>SUMPRODUCT((K24:K26&lt;=$B$6)*(L24:L26*AN229+M24:M26*AO229*$B$8*AQ229)/(1+AL229/100)^K24:K26)+L27*AN229*AP229/(1+AL229/100)^$B$6</f>
        <v/>
      </c>
      <c r="AT229">
        <f>AS229-AR229</f>
        <v/>
      </c>
      <c r="AU229">
        <f>RAND()</f>
        <v/>
      </c>
      <c r="AV229">
        <f>RAND()</f>
        <v/>
      </c>
      <c r="AW229">
        <f>RAND()</f>
        <v/>
      </c>
      <c r="AX229">
        <f>RAND()</f>
        <v/>
      </c>
      <c r="AY229">
        <f>RAND()</f>
        <v/>
      </c>
      <c r="AZ229">
        <f>RAND()</f>
        <v/>
      </c>
    </row>
    <row r="230">
      <c r="AK230" t="n">
        <v>217</v>
      </c>
      <c r="AL230">
        <f>IFERROR(IF(AU230&lt;($AM$6-$AL$6)/($AN$6-$AL$6),$AL$6+SQRT(AU230*($AN$6-$AL$6)*($AM$6-$AL$6)),$AN$6-SQRT((1-AU230)*($AN$6-$AL$6)*($AN$6-$AM$6))),$AM$6)</f>
        <v/>
      </c>
      <c r="AM230">
        <f>IFERROR(IF(AV230&lt;($AM$7-$AL$7)/($AN$7-$AL$7),$AL$7+SQRT(AV230*($AN$7-$AL$7)*($AM$7-$AL$7)),$AN$7-SQRT((1-AV230)*($AN$7-$AL$7)*($AN$7-$AM$7))),$AM$7)</f>
        <v/>
      </c>
      <c r="AN230">
        <f>IFERROR(IF(AW230&lt;($AM$8-$AL$8)/($AN$8-$AL$8),$AL$8+SQRT(AW230*($AN$8-$AL$8)*($AM$8-$AL$8)),$AN$8-SQRT((1-AW230)*($AN$8-$AL$8)*($AN$8-$AM$8))),$AM$8)</f>
        <v/>
      </c>
      <c r="AO230">
        <f>IFERROR(IF(AX230&lt;($AM$9-$AL$9)/($AN$9-$AL$9),$AL$9+SQRT(AX230*($AN$9-$AL$9)*($AM$9-$AL$9)),$AN$9-SQRT((1-AX230)*($AN$9-$AL$9)*($AN$9-$AM$9))),$AM$9)</f>
        <v/>
      </c>
      <c r="AP230">
        <f>IFERROR(IF(AY230&lt;($AM$10-$AL$10)/($AN$10-$AL$10),$AL$10+SQRT(AY230*($AN$10-$AL$10)*($AM$10-$AL$10)),$AN$10-SQRT((1-AY230)*($AN$10-$AL$10)*($AN$10-$AM$10))),$AM$10)</f>
        <v/>
      </c>
      <c r="AQ230">
        <f>IFERROR(IF(AZ230&lt;($AM$11-$AL$11)/($AN$11-$AL$11),$AL$11+SQRT(AZ230*($AN$11-$AL$11)*($AM$11-$AL$11)),$AN$11-SQRT((1-AZ230)*($AN$11-$AL$11)*($AN$11-$AM$11))),$AM$11)</f>
        <v/>
      </c>
      <c r="AR230">
        <f>SUMPRODUCT((B24:B31&lt;=$B$6)*(C24:C31*AM230+D24:D31*AO230*$B$8*AQ230)/(1+AL230/100)^B24:B31)+C32*AM230*AP230/(1+AL230/100)^$B$6</f>
        <v/>
      </c>
      <c r="AS230">
        <f>SUMPRODUCT((K24:K26&lt;=$B$6)*(L24:L26*AN230+M24:M26*AO230*$B$8*AQ230)/(1+AL230/100)^K24:K26)+L27*AN230*AP230/(1+AL230/100)^$B$6</f>
        <v/>
      </c>
      <c r="AT230">
        <f>AS230-AR230</f>
        <v/>
      </c>
      <c r="AU230">
        <f>RAND()</f>
        <v/>
      </c>
      <c r="AV230">
        <f>RAND()</f>
        <v/>
      </c>
      <c r="AW230">
        <f>RAND()</f>
        <v/>
      </c>
      <c r="AX230">
        <f>RAND()</f>
        <v/>
      </c>
      <c r="AY230">
        <f>RAND()</f>
        <v/>
      </c>
      <c r="AZ230">
        <f>RAND()</f>
        <v/>
      </c>
    </row>
    <row r="231">
      <c r="AK231" t="n">
        <v>218</v>
      </c>
      <c r="AL231">
        <f>IFERROR(IF(AU231&lt;($AM$6-$AL$6)/($AN$6-$AL$6),$AL$6+SQRT(AU231*($AN$6-$AL$6)*($AM$6-$AL$6)),$AN$6-SQRT((1-AU231)*($AN$6-$AL$6)*($AN$6-$AM$6))),$AM$6)</f>
        <v/>
      </c>
      <c r="AM231">
        <f>IFERROR(IF(AV231&lt;($AM$7-$AL$7)/($AN$7-$AL$7),$AL$7+SQRT(AV231*($AN$7-$AL$7)*($AM$7-$AL$7)),$AN$7-SQRT((1-AV231)*($AN$7-$AL$7)*($AN$7-$AM$7))),$AM$7)</f>
        <v/>
      </c>
      <c r="AN231">
        <f>IFERROR(IF(AW231&lt;($AM$8-$AL$8)/($AN$8-$AL$8),$AL$8+SQRT(AW231*($AN$8-$AL$8)*($AM$8-$AL$8)),$AN$8-SQRT((1-AW231)*($AN$8-$AL$8)*($AN$8-$AM$8))),$AM$8)</f>
        <v/>
      </c>
      <c r="AO231">
        <f>IFERROR(IF(AX231&lt;($AM$9-$AL$9)/($AN$9-$AL$9),$AL$9+SQRT(AX231*($AN$9-$AL$9)*($AM$9-$AL$9)),$AN$9-SQRT((1-AX231)*($AN$9-$AL$9)*($AN$9-$AM$9))),$AM$9)</f>
        <v/>
      </c>
      <c r="AP231">
        <f>IFERROR(IF(AY231&lt;($AM$10-$AL$10)/($AN$10-$AL$10),$AL$10+SQRT(AY231*($AN$10-$AL$10)*($AM$10-$AL$10)),$AN$10-SQRT((1-AY231)*($AN$10-$AL$10)*($AN$10-$AM$10))),$AM$10)</f>
        <v/>
      </c>
      <c r="AQ231">
        <f>IFERROR(IF(AZ231&lt;($AM$11-$AL$11)/($AN$11-$AL$11),$AL$11+SQRT(AZ231*($AN$11-$AL$11)*($AM$11-$AL$11)),$AN$11-SQRT((1-AZ231)*($AN$11-$AL$11)*($AN$11-$AM$11))),$AM$11)</f>
        <v/>
      </c>
      <c r="AR231">
        <f>SUMPRODUCT((B24:B31&lt;=$B$6)*(C24:C31*AM231+D24:D31*AO231*$B$8*AQ231)/(1+AL231/100)^B24:B31)+C32*AM231*AP231/(1+AL231/100)^$B$6</f>
        <v/>
      </c>
      <c r="AS231">
        <f>SUMPRODUCT((K24:K26&lt;=$B$6)*(L24:L26*AN231+M24:M26*AO231*$B$8*AQ231)/(1+AL231/100)^K24:K26)+L27*AN231*AP231/(1+AL231/100)^$B$6</f>
        <v/>
      </c>
      <c r="AT231">
        <f>AS231-AR231</f>
        <v/>
      </c>
      <c r="AU231">
        <f>RAND()</f>
        <v/>
      </c>
      <c r="AV231">
        <f>RAND()</f>
        <v/>
      </c>
      <c r="AW231">
        <f>RAND()</f>
        <v/>
      </c>
      <c r="AX231">
        <f>RAND()</f>
        <v/>
      </c>
      <c r="AY231">
        <f>RAND()</f>
        <v/>
      </c>
      <c r="AZ231">
        <f>RAND()</f>
        <v/>
      </c>
    </row>
    <row r="232">
      <c r="AK232" t="n">
        <v>219</v>
      </c>
      <c r="AL232">
        <f>IFERROR(IF(AU232&lt;($AM$6-$AL$6)/($AN$6-$AL$6),$AL$6+SQRT(AU232*($AN$6-$AL$6)*($AM$6-$AL$6)),$AN$6-SQRT((1-AU232)*($AN$6-$AL$6)*($AN$6-$AM$6))),$AM$6)</f>
        <v/>
      </c>
      <c r="AM232">
        <f>IFERROR(IF(AV232&lt;($AM$7-$AL$7)/($AN$7-$AL$7),$AL$7+SQRT(AV232*($AN$7-$AL$7)*($AM$7-$AL$7)),$AN$7-SQRT((1-AV232)*($AN$7-$AL$7)*($AN$7-$AM$7))),$AM$7)</f>
        <v/>
      </c>
      <c r="AN232">
        <f>IFERROR(IF(AW232&lt;($AM$8-$AL$8)/($AN$8-$AL$8),$AL$8+SQRT(AW232*($AN$8-$AL$8)*($AM$8-$AL$8)),$AN$8-SQRT((1-AW232)*($AN$8-$AL$8)*($AN$8-$AM$8))),$AM$8)</f>
        <v/>
      </c>
      <c r="AO232">
        <f>IFERROR(IF(AX232&lt;($AM$9-$AL$9)/($AN$9-$AL$9),$AL$9+SQRT(AX232*($AN$9-$AL$9)*($AM$9-$AL$9)),$AN$9-SQRT((1-AX232)*($AN$9-$AL$9)*($AN$9-$AM$9))),$AM$9)</f>
        <v/>
      </c>
      <c r="AP232">
        <f>IFERROR(IF(AY232&lt;($AM$10-$AL$10)/($AN$10-$AL$10),$AL$10+SQRT(AY232*($AN$10-$AL$10)*($AM$10-$AL$10)),$AN$10-SQRT((1-AY232)*($AN$10-$AL$10)*($AN$10-$AM$10))),$AM$10)</f>
        <v/>
      </c>
      <c r="AQ232">
        <f>IFERROR(IF(AZ232&lt;($AM$11-$AL$11)/($AN$11-$AL$11),$AL$11+SQRT(AZ232*($AN$11-$AL$11)*($AM$11-$AL$11)),$AN$11-SQRT((1-AZ232)*($AN$11-$AL$11)*($AN$11-$AM$11))),$AM$11)</f>
        <v/>
      </c>
      <c r="AR232">
        <f>SUMPRODUCT((B24:B31&lt;=$B$6)*(C24:C31*AM232+D24:D31*AO232*$B$8*AQ232)/(1+AL232/100)^B24:B31)+C32*AM232*AP232/(1+AL232/100)^$B$6</f>
        <v/>
      </c>
      <c r="AS232">
        <f>SUMPRODUCT((K24:K26&lt;=$B$6)*(L24:L26*AN232+M24:M26*AO232*$B$8*AQ232)/(1+AL232/100)^K24:K26)+L27*AN232*AP232/(1+AL232/100)^$B$6</f>
        <v/>
      </c>
      <c r="AT232">
        <f>AS232-AR232</f>
        <v/>
      </c>
      <c r="AU232">
        <f>RAND()</f>
        <v/>
      </c>
      <c r="AV232">
        <f>RAND()</f>
        <v/>
      </c>
      <c r="AW232">
        <f>RAND()</f>
        <v/>
      </c>
      <c r="AX232">
        <f>RAND()</f>
        <v/>
      </c>
      <c r="AY232">
        <f>RAND()</f>
        <v/>
      </c>
      <c r="AZ232">
        <f>RAND()</f>
        <v/>
      </c>
    </row>
    <row r="233">
      <c r="AK233" t="n">
        <v>220</v>
      </c>
      <c r="AL233">
        <f>IFERROR(IF(AU233&lt;($AM$6-$AL$6)/($AN$6-$AL$6),$AL$6+SQRT(AU233*($AN$6-$AL$6)*($AM$6-$AL$6)),$AN$6-SQRT((1-AU233)*($AN$6-$AL$6)*($AN$6-$AM$6))),$AM$6)</f>
        <v/>
      </c>
      <c r="AM233">
        <f>IFERROR(IF(AV233&lt;($AM$7-$AL$7)/($AN$7-$AL$7),$AL$7+SQRT(AV233*($AN$7-$AL$7)*($AM$7-$AL$7)),$AN$7-SQRT((1-AV233)*($AN$7-$AL$7)*($AN$7-$AM$7))),$AM$7)</f>
        <v/>
      </c>
      <c r="AN233">
        <f>IFERROR(IF(AW233&lt;($AM$8-$AL$8)/($AN$8-$AL$8),$AL$8+SQRT(AW233*($AN$8-$AL$8)*($AM$8-$AL$8)),$AN$8-SQRT((1-AW233)*($AN$8-$AL$8)*($AN$8-$AM$8))),$AM$8)</f>
        <v/>
      </c>
      <c r="AO233">
        <f>IFERROR(IF(AX233&lt;($AM$9-$AL$9)/($AN$9-$AL$9),$AL$9+SQRT(AX233*($AN$9-$AL$9)*($AM$9-$AL$9)),$AN$9-SQRT((1-AX233)*($AN$9-$AL$9)*($AN$9-$AM$9))),$AM$9)</f>
        <v/>
      </c>
      <c r="AP233">
        <f>IFERROR(IF(AY233&lt;($AM$10-$AL$10)/($AN$10-$AL$10),$AL$10+SQRT(AY233*($AN$10-$AL$10)*($AM$10-$AL$10)),$AN$10-SQRT((1-AY233)*($AN$10-$AL$10)*($AN$10-$AM$10))),$AM$10)</f>
        <v/>
      </c>
      <c r="AQ233">
        <f>IFERROR(IF(AZ233&lt;($AM$11-$AL$11)/($AN$11-$AL$11),$AL$11+SQRT(AZ233*($AN$11-$AL$11)*($AM$11-$AL$11)),$AN$11-SQRT((1-AZ233)*($AN$11-$AL$11)*($AN$11-$AM$11))),$AM$11)</f>
        <v/>
      </c>
      <c r="AR233">
        <f>SUMPRODUCT((B24:B31&lt;=$B$6)*(C24:C31*AM233+D24:D31*AO233*$B$8*AQ233)/(1+AL233/100)^B24:B31)+C32*AM233*AP233/(1+AL233/100)^$B$6</f>
        <v/>
      </c>
      <c r="AS233">
        <f>SUMPRODUCT((K24:K26&lt;=$B$6)*(L24:L26*AN233+M24:M26*AO233*$B$8*AQ233)/(1+AL233/100)^K24:K26)+L27*AN233*AP233/(1+AL233/100)^$B$6</f>
        <v/>
      </c>
      <c r="AT233">
        <f>AS233-AR233</f>
        <v/>
      </c>
      <c r="AU233">
        <f>RAND()</f>
        <v/>
      </c>
      <c r="AV233">
        <f>RAND()</f>
        <v/>
      </c>
      <c r="AW233">
        <f>RAND()</f>
        <v/>
      </c>
      <c r="AX233">
        <f>RAND()</f>
        <v/>
      </c>
      <c r="AY233">
        <f>RAND()</f>
        <v/>
      </c>
      <c r="AZ233">
        <f>RAND()</f>
        <v/>
      </c>
    </row>
    <row r="234">
      <c r="AK234" t="n">
        <v>221</v>
      </c>
      <c r="AL234">
        <f>IFERROR(IF(AU234&lt;($AM$6-$AL$6)/($AN$6-$AL$6),$AL$6+SQRT(AU234*($AN$6-$AL$6)*($AM$6-$AL$6)),$AN$6-SQRT((1-AU234)*($AN$6-$AL$6)*($AN$6-$AM$6))),$AM$6)</f>
        <v/>
      </c>
      <c r="AM234">
        <f>IFERROR(IF(AV234&lt;($AM$7-$AL$7)/($AN$7-$AL$7),$AL$7+SQRT(AV234*($AN$7-$AL$7)*($AM$7-$AL$7)),$AN$7-SQRT((1-AV234)*($AN$7-$AL$7)*($AN$7-$AM$7))),$AM$7)</f>
        <v/>
      </c>
      <c r="AN234">
        <f>IFERROR(IF(AW234&lt;($AM$8-$AL$8)/($AN$8-$AL$8),$AL$8+SQRT(AW234*($AN$8-$AL$8)*($AM$8-$AL$8)),$AN$8-SQRT((1-AW234)*($AN$8-$AL$8)*($AN$8-$AM$8))),$AM$8)</f>
        <v/>
      </c>
      <c r="AO234">
        <f>IFERROR(IF(AX234&lt;($AM$9-$AL$9)/($AN$9-$AL$9),$AL$9+SQRT(AX234*($AN$9-$AL$9)*($AM$9-$AL$9)),$AN$9-SQRT((1-AX234)*($AN$9-$AL$9)*($AN$9-$AM$9))),$AM$9)</f>
        <v/>
      </c>
      <c r="AP234">
        <f>IFERROR(IF(AY234&lt;($AM$10-$AL$10)/($AN$10-$AL$10),$AL$10+SQRT(AY234*($AN$10-$AL$10)*($AM$10-$AL$10)),$AN$10-SQRT((1-AY234)*($AN$10-$AL$10)*($AN$10-$AM$10))),$AM$10)</f>
        <v/>
      </c>
      <c r="AQ234">
        <f>IFERROR(IF(AZ234&lt;($AM$11-$AL$11)/($AN$11-$AL$11),$AL$11+SQRT(AZ234*($AN$11-$AL$11)*($AM$11-$AL$11)),$AN$11-SQRT((1-AZ234)*($AN$11-$AL$11)*($AN$11-$AM$11))),$AM$11)</f>
        <v/>
      </c>
      <c r="AR234">
        <f>SUMPRODUCT((B24:B31&lt;=$B$6)*(C24:C31*AM234+D24:D31*AO234*$B$8*AQ234)/(1+AL234/100)^B24:B31)+C32*AM234*AP234/(1+AL234/100)^$B$6</f>
        <v/>
      </c>
      <c r="AS234">
        <f>SUMPRODUCT((K24:K26&lt;=$B$6)*(L24:L26*AN234+M24:M26*AO234*$B$8*AQ234)/(1+AL234/100)^K24:K26)+L27*AN234*AP234/(1+AL234/100)^$B$6</f>
        <v/>
      </c>
      <c r="AT234">
        <f>AS234-AR234</f>
        <v/>
      </c>
      <c r="AU234">
        <f>RAND()</f>
        <v/>
      </c>
      <c r="AV234">
        <f>RAND()</f>
        <v/>
      </c>
      <c r="AW234">
        <f>RAND()</f>
        <v/>
      </c>
      <c r="AX234">
        <f>RAND()</f>
        <v/>
      </c>
      <c r="AY234">
        <f>RAND()</f>
        <v/>
      </c>
      <c r="AZ234">
        <f>RAND()</f>
        <v/>
      </c>
    </row>
    <row r="235">
      <c r="AK235" t="n">
        <v>222</v>
      </c>
      <c r="AL235">
        <f>IFERROR(IF(AU235&lt;($AM$6-$AL$6)/($AN$6-$AL$6),$AL$6+SQRT(AU235*($AN$6-$AL$6)*($AM$6-$AL$6)),$AN$6-SQRT((1-AU235)*($AN$6-$AL$6)*($AN$6-$AM$6))),$AM$6)</f>
        <v/>
      </c>
      <c r="AM235">
        <f>IFERROR(IF(AV235&lt;($AM$7-$AL$7)/($AN$7-$AL$7),$AL$7+SQRT(AV235*($AN$7-$AL$7)*($AM$7-$AL$7)),$AN$7-SQRT((1-AV235)*($AN$7-$AL$7)*($AN$7-$AM$7))),$AM$7)</f>
        <v/>
      </c>
      <c r="AN235">
        <f>IFERROR(IF(AW235&lt;($AM$8-$AL$8)/($AN$8-$AL$8),$AL$8+SQRT(AW235*($AN$8-$AL$8)*($AM$8-$AL$8)),$AN$8-SQRT((1-AW235)*($AN$8-$AL$8)*($AN$8-$AM$8))),$AM$8)</f>
        <v/>
      </c>
      <c r="AO235">
        <f>IFERROR(IF(AX235&lt;($AM$9-$AL$9)/($AN$9-$AL$9),$AL$9+SQRT(AX235*($AN$9-$AL$9)*($AM$9-$AL$9)),$AN$9-SQRT((1-AX235)*($AN$9-$AL$9)*($AN$9-$AM$9))),$AM$9)</f>
        <v/>
      </c>
      <c r="AP235">
        <f>IFERROR(IF(AY235&lt;($AM$10-$AL$10)/($AN$10-$AL$10),$AL$10+SQRT(AY235*($AN$10-$AL$10)*($AM$10-$AL$10)),$AN$10-SQRT((1-AY235)*($AN$10-$AL$10)*($AN$10-$AM$10))),$AM$10)</f>
        <v/>
      </c>
      <c r="AQ235">
        <f>IFERROR(IF(AZ235&lt;($AM$11-$AL$11)/($AN$11-$AL$11),$AL$11+SQRT(AZ235*($AN$11-$AL$11)*($AM$11-$AL$11)),$AN$11-SQRT((1-AZ235)*($AN$11-$AL$11)*($AN$11-$AM$11))),$AM$11)</f>
        <v/>
      </c>
      <c r="AR235">
        <f>SUMPRODUCT((B24:B31&lt;=$B$6)*(C24:C31*AM235+D24:D31*AO235*$B$8*AQ235)/(1+AL235/100)^B24:B31)+C32*AM235*AP235/(1+AL235/100)^$B$6</f>
        <v/>
      </c>
      <c r="AS235">
        <f>SUMPRODUCT((K24:K26&lt;=$B$6)*(L24:L26*AN235+M24:M26*AO235*$B$8*AQ235)/(1+AL235/100)^K24:K26)+L27*AN235*AP235/(1+AL235/100)^$B$6</f>
        <v/>
      </c>
      <c r="AT235">
        <f>AS235-AR235</f>
        <v/>
      </c>
      <c r="AU235">
        <f>RAND()</f>
        <v/>
      </c>
      <c r="AV235">
        <f>RAND()</f>
        <v/>
      </c>
      <c r="AW235">
        <f>RAND()</f>
        <v/>
      </c>
      <c r="AX235">
        <f>RAND()</f>
        <v/>
      </c>
      <c r="AY235">
        <f>RAND()</f>
        <v/>
      </c>
      <c r="AZ235">
        <f>RAND()</f>
        <v/>
      </c>
    </row>
    <row r="236">
      <c r="AK236" t="n">
        <v>223</v>
      </c>
      <c r="AL236">
        <f>IFERROR(IF(AU236&lt;($AM$6-$AL$6)/($AN$6-$AL$6),$AL$6+SQRT(AU236*($AN$6-$AL$6)*($AM$6-$AL$6)),$AN$6-SQRT((1-AU236)*($AN$6-$AL$6)*($AN$6-$AM$6))),$AM$6)</f>
        <v/>
      </c>
      <c r="AM236">
        <f>IFERROR(IF(AV236&lt;($AM$7-$AL$7)/($AN$7-$AL$7),$AL$7+SQRT(AV236*($AN$7-$AL$7)*($AM$7-$AL$7)),$AN$7-SQRT((1-AV236)*($AN$7-$AL$7)*($AN$7-$AM$7))),$AM$7)</f>
        <v/>
      </c>
      <c r="AN236">
        <f>IFERROR(IF(AW236&lt;($AM$8-$AL$8)/($AN$8-$AL$8),$AL$8+SQRT(AW236*($AN$8-$AL$8)*($AM$8-$AL$8)),$AN$8-SQRT((1-AW236)*($AN$8-$AL$8)*($AN$8-$AM$8))),$AM$8)</f>
        <v/>
      </c>
      <c r="AO236">
        <f>IFERROR(IF(AX236&lt;($AM$9-$AL$9)/($AN$9-$AL$9),$AL$9+SQRT(AX236*($AN$9-$AL$9)*($AM$9-$AL$9)),$AN$9-SQRT((1-AX236)*($AN$9-$AL$9)*($AN$9-$AM$9))),$AM$9)</f>
        <v/>
      </c>
      <c r="AP236">
        <f>IFERROR(IF(AY236&lt;($AM$10-$AL$10)/($AN$10-$AL$10),$AL$10+SQRT(AY236*($AN$10-$AL$10)*($AM$10-$AL$10)),$AN$10-SQRT((1-AY236)*($AN$10-$AL$10)*($AN$10-$AM$10))),$AM$10)</f>
        <v/>
      </c>
      <c r="AQ236">
        <f>IFERROR(IF(AZ236&lt;($AM$11-$AL$11)/($AN$11-$AL$11),$AL$11+SQRT(AZ236*($AN$11-$AL$11)*($AM$11-$AL$11)),$AN$11-SQRT((1-AZ236)*($AN$11-$AL$11)*($AN$11-$AM$11))),$AM$11)</f>
        <v/>
      </c>
      <c r="AR236">
        <f>SUMPRODUCT((B24:B31&lt;=$B$6)*(C24:C31*AM236+D24:D31*AO236*$B$8*AQ236)/(1+AL236/100)^B24:B31)+C32*AM236*AP236/(1+AL236/100)^$B$6</f>
        <v/>
      </c>
      <c r="AS236">
        <f>SUMPRODUCT((K24:K26&lt;=$B$6)*(L24:L26*AN236+M24:M26*AO236*$B$8*AQ236)/(1+AL236/100)^K24:K26)+L27*AN236*AP236/(1+AL236/100)^$B$6</f>
        <v/>
      </c>
      <c r="AT236">
        <f>AS236-AR236</f>
        <v/>
      </c>
      <c r="AU236">
        <f>RAND()</f>
        <v/>
      </c>
      <c r="AV236">
        <f>RAND()</f>
        <v/>
      </c>
      <c r="AW236">
        <f>RAND()</f>
        <v/>
      </c>
      <c r="AX236">
        <f>RAND()</f>
        <v/>
      </c>
      <c r="AY236">
        <f>RAND()</f>
        <v/>
      </c>
      <c r="AZ236">
        <f>RAND()</f>
        <v/>
      </c>
    </row>
    <row r="237">
      <c r="AK237" t="n">
        <v>224</v>
      </c>
      <c r="AL237">
        <f>IFERROR(IF(AU237&lt;($AM$6-$AL$6)/($AN$6-$AL$6),$AL$6+SQRT(AU237*($AN$6-$AL$6)*($AM$6-$AL$6)),$AN$6-SQRT((1-AU237)*($AN$6-$AL$6)*($AN$6-$AM$6))),$AM$6)</f>
        <v/>
      </c>
      <c r="AM237">
        <f>IFERROR(IF(AV237&lt;($AM$7-$AL$7)/($AN$7-$AL$7),$AL$7+SQRT(AV237*($AN$7-$AL$7)*($AM$7-$AL$7)),$AN$7-SQRT((1-AV237)*($AN$7-$AL$7)*($AN$7-$AM$7))),$AM$7)</f>
        <v/>
      </c>
      <c r="AN237">
        <f>IFERROR(IF(AW237&lt;($AM$8-$AL$8)/($AN$8-$AL$8),$AL$8+SQRT(AW237*($AN$8-$AL$8)*($AM$8-$AL$8)),$AN$8-SQRT((1-AW237)*($AN$8-$AL$8)*($AN$8-$AM$8))),$AM$8)</f>
        <v/>
      </c>
      <c r="AO237">
        <f>IFERROR(IF(AX237&lt;($AM$9-$AL$9)/($AN$9-$AL$9),$AL$9+SQRT(AX237*($AN$9-$AL$9)*($AM$9-$AL$9)),$AN$9-SQRT((1-AX237)*($AN$9-$AL$9)*($AN$9-$AM$9))),$AM$9)</f>
        <v/>
      </c>
      <c r="AP237">
        <f>IFERROR(IF(AY237&lt;($AM$10-$AL$10)/($AN$10-$AL$10),$AL$10+SQRT(AY237*($AN$10-$AL$10)*($AM$10-$AL$10)),$AN$10-SQRT((1-AY237)*($AN$10-$AL$10)*($AN$10-$AM$10))),$AM$10)</f>
        <v/>
      </c>
      <c r="AQ237">
        <f>IFERROR(IF(AZ237&lt;($AM$11-$AL$11)/($AN$11-$AL$11),$AL$11+SQRT(AZ237*($AN$11-$AL$11)*($AM$11-$AL$11)),$AN$11-SQRT((1-AZ237)*($AN$11-$AL$11)*($AN$11-$AM$11))),$AM$11)</f>
        <v/>
      </c>
      <c r="AR237">
        <f>SUMPRODUCT((B24:B31&lt;=$B$6)*(C24:C31*AM237+D24:D31*AO237*$B$8*AQ237)/(1+AL237/100)^B24:B31)+C32*AM237*AP237/(1+AL237/100)^$B$6</f>
        <v/>
      </c>
      <c r="AS237">
        <f>SUMPRODUCT((K24:K26&lt;=$B$6)*(L24:L26*AN237+M24:M26*AO237*$B$8*AQ237)/(1+AL237/100)^K24:K26)+L27*AN237*AP237/(1+AL237/100)^$B$6</f>
        <v/>
      </c>
      <c r="AT237">
        <f>AS237-AR237</f>
        <v/>
      </c>
      <c r="AU237">
        <f>RAND()</f>
        <v/>
      </c>
      <c r="AV237">
        <f>RAND()</f>
        <v/>
      </c>
      <c r="AW237">
        <f>RAND()</f>
        <v/>
      </c>
      <c r="AX237">
        <f>RAND()</f>
        <v/>
      </c>
      <c r="AY237">
        <f>RAND()</f>
        <v/>
      </c>
      <c r="AZ237">
        <f>RAND()</f>
        <v/>
      </c>
    </row>
    <row r="238">
      <c r="AK238" t="n">
        <v>225</v>
      </c>
      <c r="AL238">
        <f>IFERROR(IF(AU238&lt;($AM$6-$AL$6)/($AN$6-$AL$6),$AL$6+SQRT(AU238*($AN$6-$AL$6)*($AM$6-$AL$6)),$AN$6-SQRT((1-AU238)*($AN$6-$AL$6)*($AN$6-$AM$6))),$AM$6)</f>
        <v/>
      </c>
      <c r="AM238">
        <f>IFERROR(IF(AV238&lt;($AM$7-$AL$7)/($AN$7-$AL$7),$AL$7+SQRT(AV238*($AN$7-$AL$7)*($AM$7-$AL$7)),$AN$7-SQRT((1-AV238)*($AN$7-$AL$7)*($AN$7-$AM$7))),$AM$7)</f>
        <v/>
      </c>
      <c r="AN238">
        <f>IFERROR(IF(AW238&lt;($AM$8-$AL$8)/($AN$8-$AL$8),$AL$8+SQRT(AW238*($AN$8-$AL$8)*($AM$8-$AL$8)),$AN$8-SQRT((1-AW238)*($AN$8-$AL$8)*($AN$8-$AM$8))),$AM$8)</f>
        <v/>
      </c>
      <c r="AO238">
        <f>IFERROR(IF(AX238&lt;($AM$9-$AL$9)/($AN$9-$AL$9),$AL$9+SQRT(AX238*($AN$9-$AL$9)*($AM$9-$AL$9)),$AN$9-SQRT((1-AX238)*($AN$9-$AL$9)*($AN$9-$AM$9))),$AM$9)</f>
        <v/>
      </c>
      <c r="AP238">
        <f>IFERROR(IF(AY238&lt;($AM$10-$AL$10)/($AN$10-$AL$10),$AL$10+SQRT(AY238*($AN$10-$AL$10)*($AM$10-$AL$10)),$AN$10-SQRT((1-AY238)*($AN$10-$AL$10)*($AN$10-$AM$10))),$AM$10)</f>
        <v/>
      </c>
      <c r="AQ238">
        <f>IFERROR(IF(AZ238&lt;($AM$11-$AL$11)/($AN$11-$AL$11),$AL$11+SQRT(AZ238*($AN$11-$AL$11)*($AM$11-$AL$11)),$AN$11-SQRT((1-AZ238)*($AN$11-$AL$11)*($AN$11-$AM$11))),$AM$11)</f>
        <v/>
      </c>
      <c r="AR238">
        <f>SUMPRODUCT((B24:B31&lt;=$B$6)*(C24:C31*AM238+D24:D31*AO238*$B$8*AQ238)/(1+AL238/100)^B24:B31)+C32*AM238*AP238/(1+AL238/100)^$B$6</f>
        <v/>
      </c>
      <c r="AS238">
        <f>SUMPRODUCT((K24:K26&lt;=$B$6)*(L24:L26*AN238+M24:M26*AO238*$B$8*AQ238)/(1+AL238/100)^K24:K26)+L27*AN238*AP238/(1+AL238/100)^$B$6</f>
        <v/>
      </c>
      <c r="AT238">
        <f>AS238-AR238</f>
        <v/>
      </c>
      <c r="AU238">
        <f>RAND()</f>
        <v/>
      </c>
      <c r="AV238">
        <f>RAND()</f>
        <v/>
      </c>
      <c r="AW238">
        <f>RAND()</f>
        <v/>
      </c>
      <c r="AX238">
        <f>RAND()</f>
        <v/>
      </c>
      <c r="AY238">
        <f>RAND()</f>
        <v/>
      </c>
      <c r="AZ238">
        <f>RAND()</f>
        <v/>
      </c>
    </row>
    <row r="239">
      <c r="AK239" t="n">
        <v>226</v>
      </c>
      <c r="AL239">
        <f>IFERROR(IF(AU239&lt;($AM$6-$AL$6)/($AN$6-$AL$6),$AL$6+SQRT(AU239*($AN$6-$AL$6)*($AM$6-$AL$6)),$AN$6-SQRT((1-AU239)*($AN$6-$AL$6)*($AN$6-$AM$6))),$AM$6)</f>
        <v/>
      </c>
      <c r="AM239">
        <f>IFERROR(IF(AV239&lt;($AM$7-$AL$7)/($AN$7-$AL$7),$AL$7+SQRT(AV239*($AN$7-$AL$7)*($AM$7-$AL$7)),$AN$7-SQRT((1-AV239)*($AN$7-$AL$7)*($AN$7-$AM$7))),$AM$7)</f>
        <v/>
      </c>
      <c r="AN239">
        <f>IFERROR(IF(AW239&lt;($AM$8-$AL$8)/($AN$8-$AL$8),$AL$8+SQRT(AW239*($AN$8-$AL$8)*($AM$8-$AL$8)),$AN$8-SQRT((1-AW239)*($AN$8-$AL$8)*($AN$8-$AM$8))),$AM$8)</f>
        <v/>
      </c>
      <c r="AO239">
        <f>IFERROR(IF(AX239&lt;($AM$9-$AL$9)/($AN$9-$AL$9),$AL$9+SQRT(AX239*($AN$9-$AL$9)*($AM$9-$AL$9)),$AN$9-SQRT((1-AX239)*($AN$9-$AL$9)*($AN$9-$AM$9))),$AM$9)</f>
        <v/>
      </c>
      <c r="AP239">
        <f>IFERROR(IF(AY239&lt;($AM$10-$AL$10)/($AN$10-$AL$10),$AL$10+SQRT(AY239*($AN$10-$AL$10)*($AM$10-$AL$10)),$AN$10-SQRT((1-AY239)*($AN$10-$AL$10)*($AN$10-$AM$10))),$AM$10)</f>
        <v/>
      </c>
      <c r="AQ239">
        <f>IFERROR(IF(AZ239&lt;($AM$11-$AL$11)/($AN$11-$AL$11),$AL$11+SQRT(AZ239*($AN$11-$AL$11)*($AM$11-$AL$11)),$AN$11-SQRT((1-AZ239)*($AN$11-$AL$11)*($AN$11-$AM$11))),$AM$11)</f>
        <v/>
      </c>
      <c r="AR239">
        <f>SUMPRODUCT((B24:B31&lt;=$B$6)*(C24:C31*AM239+D24:D31*AO239*$B$8*AQ239)/(1+AL239/100)^B24:B31)+C32*AM239*AP239/(1+AL239/100)^$B$6</f>
        <v/>
      </c>
      <c r="AS239">
        <f>SUMPRODUCT((K24:K26&lt;=$B$6)*(L24:L26*AN239+M24:M26*AO239*$B$8*AQ239)/(1+AL239/100)^K24:K26)+L27*AN239*AP239/(1+AL239/100)^$B$6</f>
        <v/>
      </c>
      <c r="AT239">
        <f>AS239-AR239</f>
        <v/>
      </c>
      <c r="AU239">
        <f>RAND()</f>
        <v/>
      </c>
      <c r="AV239">
        <f>RAND()</f>
        <v/>
      </c>
      <c r="AW239">
        <f>RAND()</f>
        <v/>
      </c>
      <c r="AX239">
        <f>RAND()</f>
        <v/>
      </c>
      <c r="AY239">
        <f>RAND()</f>
        <v/>
      </c>
      <c r="AZ239">
        <f>RAND()</f>
        <v/>
      </c>
    </row>
    <row r="240">
      <c r="AK240" t="n">
        <v>227</v>
      </c>
      <c r="AL240">
        <f>IFERROR(IF(AU240&lt;($AM$6-$AL$6)/($AN$6-$AL$6),$AL$6+SQRT(AU240*($AN$6-$AL$6)*($AM$6-$AL$6)),$AN$6-SQRT((1-AU240)*($AN$6-$AL$6)*($AN$6-$AM$6))),$AM$6)</f>
        <v/>
      </c>
      <c r="AM240">
        <f>IFERROR(IF(AV240&lt;($AM$7-$AL$7)/($AN$7-$AL$7),$AL$7+SQRT(AV240*($AN$7-$AL$7)*($AM$7-$AL$7)),$AN$7-SQRT((1-AV240)*($AN$7-$AL$7)*($AN$7-$AM$7))),$AM$7)</f>
        <v/>
      </c>
      <c r="AN240">
        <f>IFERROR(IF(AW240&lt;($AM$8-$AL$8)/($AN$8-$AL$8),$AL$8+SQRT(AW240*($AN$8-$AL$8)*($AM$8-$AL$8)),$AN$8-SQRT((1-AW240)*($AN$8-$AL$8)*($AN$8-$AM$8))),$AM$8)</f>
        <v/>
      </c>
      <c r="AO240">
        <f>IFERROR(IF(AX240&lt;($AM$9-$AL$9)/($AN$9-$AL$9),$AL$9+SQRT(AX240*($AN$9-$AL$9)*($AM$9-$AL$9)),$AN$9-SQRT((1-AX240)*($AN$9-$AL$9)*($AN$9-$AM$9))),$AM$9)</f>
        <v/>
      </c>
      <c r="AP240">
        <f>IFERROR(IF(AY240&lt;($AM$10-$AL$10)/($AN$10-$AL$10),$AL$10+SQRT(AY240*($AN$10-$AL$10)*($AM$10-$AL$10)),$AN$10-SQRT((1-AY240)*($AN$10-$AL$10)*($AN$10-$AM$10))),$AM$10)</f>
        <v/>
      </c>
      <c r="AQ240">
        <f>IFERROR(IF(AZ240&lt;($AM$11-$AL$11)/($AN$11-$AL$11),$AL$11+SQRT(AZ240*($AN$11-$AL$11)*($AM$11-$AL$11)),$AN$11-SQRT((1-AZ240)*($AN$11-$AL$11)*($AN$11-$AM$11))),$AM$11)</f>
        <v/>
      </c>
      <c r="AR240">
        <f>SUMPRODUCT((B24:B31&lt;=$B$6)*(C24:C31*AM240+D24:D31*AO240*$B$8*AQ240)/(1+AL240/100)^B24:B31)+C32*AM240*AP240/(1+AL240/100)^$B$6</f>
        <v/>
      </c>
      <c r="AS240">
        <f>SUMPRODUCT((K24:K26&lt;=$B$6)*(L24:L26*AN240+M24:M26*AO240*$B$8*AQ240)/(1+AL240/100)^K24:K26)+L27*AN240*AP240/(1+AL240/100)^$B$6</f>
        <v/>
      </c>
      <c r="AT240">
        <f>AS240-AR240</f>
        <v/>
      </c>
      <c r="AU240">
        <f>RAND()</f>
        <v/>
      </c>
      <c r="AV240">
        <f>RAND()</f>
        <v/>
      </c>
      <c r="AW240">
        <f>RAND()</f>
        <v/>
      </c>
      <c r="AX240">
        <f>RAND()</f>
        <v/>
      </c>
      <c r="AY240">
        <f>RAND()</f>
        <v/>
      </c>
      <c r="AZ240">
        <f>RAND()</f>
        <v/>
      </c>
    </row>
    <row r="241">
      <c r="AK241" t="n">
        <v>228</v>
      </c>
      <c r="AL241">
        <f>IFERROR(IF(AU241&lt;($AM$6-$AL$6)/($AN$6-$AL$6),$AL$6+SQRT(AU241*($AN$6-$AL$6)*($AM$6-$AL$6)),$AN$6-SQRT((1-AU241)*($AN$6-$AL$6)*($AN$6-$AM$6))),$AM$6)</f>
        <v/>
      </c>
      <c r="AM241">
        <f>IFERROR(IF(AV241&lt;($AM$7-$AL$7)/($AN$7-$AL$7),$AL$7+SQRT(AV241*($AN$7-$AL$7)*($AM$7-$AL$7)),$AN$7-SQRT((1-AV241)*($AN$7-$AL$7)*($AN$7-$AM$7))),$AM$7)</f>
        <v/>
      </c>
      <c r="AN241">
        <f>IFERROR(IF(AW241&lt;($AM$8-$AL$8)/($AN$8-$AL$8),$AL$8+SQRT(AW241*($AN$8-$AL$8)*($AM$8-$AL$8)),$AN$8-SQRT((1-AW241)*($AN$8-$AL$8)*($AN$8-$AM$8))),$AM$8)</f>
        <v/>
      </c>
      <c r="AO241">
        <f>IFERROR(IF(AX241&lt;($AM$9-$AL$9)/($AN$9-$AL$9),$AL$9+SQRT(AX241*($AN$9-$AL$9)*($AM$9-$AL$9)),$AN$9-SQRT((1-AX241)*($AN$9-$AL$9)*($AN$9-$AM$9))),$AM$9)</f>
        <v/>
      </c>
      <c r="AP241">
        <f>IFERROR(IF(AY241&lt;($AM$10-$AL$10)/($AN$10-$AL$10),$AL$10+SQRT(AY241*($AN$10-$AL$10)*($AM$10-$AL$10)),$AN$10-SQRT((1-AY241)*($AN$10-$AL$10)*($AN$10-$AM$10))),$AM$10)</f>
        <v/>
      </c>
      <c r="AQ241">
        <f>IFERROR(IF(AZ241&lt;($AM$11-$AL$11)/($AN$11-$AL$11),$AL$11+SQRT(AZ241*($AN$11-$AL$11)*($AM$11-$AL$11)),$AN$11-SQRT((1-AZ241)*($AN$11-$AL$11)*($AN$11-$AM$11))),$AM$11)</f>
        <v/>
      </c>
      <c r="AR241">
        <f>SUMPRODUCT((B24:B31&lt;=$B$6)*(C24:C31*AM241+D24:D31*AO241*$B$8*AQ241)/(1+AL241/100)^B24:B31)+C32*AM241*AP241/(1+AL241/100)^$B$6</f>
        <v/>
      </c>
      <c r="AS241">
        <f>SUMPRODUCT((K24:K26&lt;=$B$6)*(L24:L26*AN241+M24:M26*AO241*$B$8*AQ241)/(1+AL241/100)^K24:K26)+L27*AN241*AP241/(1+AL241/100)^$B$6</f>
        <v/>
      </c>
      <c r="AT241">
        <f>AS241-AR241</f>
        <v/>
      </c>
      <c r="AU241">
        <f>RAND()</f>
        <v/>
      </c>
      <c r="AV241">
        <f>RAND()</f>
        <v/>
      </c>
      <c r="AW241">
        <f>RAND()</f>
        <v/>
      </c>
      <c r="AX241">
        <f>RAND()</f>
        <v/>
      </c>
      <c r="AY241">
        <f>RAND()</f>
        <v/>
      </c>
      <c r="AZ241">
        <f>RAND()</f>
        <v/>
      </c>
    </row>
    <row r="242">
      <c r="AK242" t="n">
        <v>229</v>
      </c>
      <c r="AL242">
        <f>IFERROR(IF(AU242&lt;($AM$6-$AL$6)/($AN$6-$AL$6),$AL$6+SQRT(AU242*($AN$6-$AL$6)*($AM$6-$AL$6)),$AN$6-SQRT((1-AU242)*($AN$6-$AL$6)*($AN$6-$AM$6))),$AM$6)</f>
        <v/>
      </c>
      <c r="AM242">
        <f>IFERROR(IF(AV242&lt;($AM$7-$AL$7)/($AN$7-$AL$7),$AL$7+SQRT(AV242*($AN$7-$AL$7)*($AM$7-$AL$7)),$AN$7-SQRT((1-AV242)*($AN$7-$AL$7)*($AN$7-$AM$7))),$AM$7)</f>
        <v/>
      </c>
      <c r="AN242">
        <f>IFERROR(IF(AW242&lt;($AM$8-$AL$8)/($AN$8-$AL$8),$AL$8+SQRT(AW242*($AN$8-$AL$8)*($AM$8-$AL$8)),$AN$8-SQRT((1-AW242)*($AN$8-$AL$8)*($AN$8-$AM$8))),$AM$8)</f>
        <v/>
      </c>
      <c r="AO242">
        <f>IFERROR(IF(AX242&lt;($AM$9-$AL$9)/($AN$9-$AL$9),$AL$9+SQRT(AX242*($AN$9-$AL$9)*($AM$9-$AL$9)),$AN$9-SQRT((1-AX242)*($AN$9-$AL$9)*($AN$9-$AM$9))),$AM$9)</f>
        <v/>
      </c>
      <c r="AP242">
        <f>IFERROR(IF(AY242&lt;($AM$10-$AL$10)/($AN$10-$AL$10),$AL$10+SQRT(AY242*($AN$10-$AL$10)*($AM$10-$AL$10)),$AN$10-SQRT((1-AY242)*($AN$10-$AL$10)*($AN$10-$AM$10))),$AM$10)</f>
        <v/>
      </c>
      <c r="AQ242">
        <f>IFERROR(IF(AZ242&lt;($AM$11-$AL$11)/($AN$11-$AL$11),$AL$11+SQRT(AZ242*($AN$11-$AL$11)*($AM$11-$AL$11)),$AN$11-SQRT((1-AZ242)*($AN$11-$AL$11)*($AN$11-$AM$11))),$AM$11)</f>
        <v/>
      </c>
      <c r="AR242">
        <f>SUMPRODUCT((B24:B31&lt;=$B$6)*(C24:C31*AM242+D24:D31*AO242*$B$8*AQ242)/(1+AL242/100)^B24:B31)+C32*AM242*AP242/(1+AL242/100)^$B$6</f>
        <v/>
      </c>
      <c r="AS242">
        <f>SUMPRODUCT((K24:K26&lt;=$B$6)*(L24:L26*AN242+M24:M26*AO242*$B$8*AQ242)/(1+AL242/100)^K24:K26)+L27*AN242*AP242/(1+AL242/100)^$B$6</f>
        <v/>
      </c>
      <c r="AT242">
        <f>AS242-AR242</f>
        <v/>
      </c>
      <c r="AU242">
        <f>RAND()</f>
        <v/>
      </c>
      <c r="AV242">
        <f>RAND()</f>
        <v/>
      </c>
      <c r="AW242">
        <f>RAND()</f>
        <v/>
      </c>
      <c r="AX242">
        <f>RAND()</f>
        <v/>
      </c>
      <c r="AY242">
        <f>RAND()</f>
        <v/>
      </c>
      <c r="AZ242">
        <f>RAND()</f>
        <v/>
      </c>
    </row>
    <row r="243">
      <c r="AK243" t="n">
        <v>230</v>
      </c>
      <c r="AL243">
        <f>IFERROR(IF(AU243&lt;($AM$6-$AL$6)/($AN$6-$AL$6),$AL$6+SQRT(AU243*($AN$6-$AL$6)*($AM$6-$AL$6)),$AN$6-SQRT((1-AU243)*($AN$6-$AL$6)*($AN$6-$AM$6))),$AM$6)</f>
        <v/>
      </c>
      <c r="AM243">
        <f>IFERROR(IF(AV243&lt;($AM$7-$AL$7)/($AN$7-$AL$7),$AL$7+SQRT(AV243*($AN$7-$AL$7)*($AM$7-$AL$7)),$AN$7-SQRT((1-AV243)*($AN$7-$AL$7)*($AN$7-$AM$7))),$AM$7)</f>
        <v/>
      </c>
      <c r="AN243">
        <f>IFERROR(IF(AW243&lt;($AM$8-$AL$8)/($AN$8-$AL$8),$AL$8+SQRT(AW243*($AN$8-$AL$8)*($AM$8-$AL$8)),$AN$8-SQRT((1-AW243)*($AN$8-$AL$8)*($AN$8-$AM$8))),$AM$8)</f>
        <v/>
      </c>
      <c r="AO243">
        <f>IFERROR(IF(AX243&lt;($AM$9-$AL$9)/($AN$9-$AL$9),$AL$9+SQRT(AX243*($AN$9-$AL$9)*($AM$9-$AL$9)),$AN$9-SQRT((1-AX243)*($AN$9-$AL$9)*($AN$9-$AM$9))),$AM$9)</f>
        <v/>
      </c>
      <c r="AP243">
        <f>IFERROR(IF(AY243&lt;($AM$10-$AL$10)/($AN$10-$AL$10),$AL$10+SQRT(AY243*($AN$10-$AL$10)*($AM$10-$AL$10)),$AN$10-SQRT((1-AY243)*($AN$10-$AL$10)*($AN$10-$AM$10))),$AM$10)</f>
        <v/>
      </c>
      <c r="AQ243">
        <f>IFERROR(IF(AZ243&lt;($AM$11-$AL$11)/($AN$11-$AL$11),$AL$11+SQRT(AZ243*($AN$11-$AL$11)*($AM$11-$AL$11)),$AN$11-SQRT((1-AZ243)*($AN$11-$AL$11)*($AN$11-$AM$11))),$AM$11)</f>
        <v/>
      </c>
      <c r="AR243">
        <f>SUMPRODUCT((B24:B31&lt;=$B$6)*(C24:C31*AM243+D24:D31*AO243*$B$8*AQ243)/(1+AL243/100)^B24:B31)+C32*AM243*AP243/(1+AL243/100)^$B$6</f>
        <v/>
      </c>
      <c r="AS243">
        <f>SUMPRODUCT((K24:K26&lt;=$B$6)*(L24:L26*AN243+M24:M26*AO243*$B$8*AQ243)/(1+AL243/100)^K24:K26)+L27*AN243*AP243/(1+AL243/100)^$B$6</f>
        <v/>
      </c>
      <c r="AT243">
        <f>AS243-AR243</f>
        <v/>
      </c>
      <c r="AU243">
        <f>RAND()</f>
        <v/>
      </c>
      <c r="AV243">
        <f>RAND()</f>
        <v/>
      </c>
      <c r="AW243">
        <f>RAND()</f>
        <v/>
      </c>
      <c r="AX243">
        <f>RAND()</f>
        <v/>
      </c>
      <c r="AY243">
        <f>RAND()</f>
        <v/>
      </c>
      <c r="AZ243">
        <f>RAND()</f>
        <v/>
      </c>
    </row>
    <row r="244">
      <c r="AK244" t="n">
        <v>231</v>
      </c>
      <c r="AL244">
        <f>IFERROR(IF(AU244&lt;($AM$6-$AL$6)/($AN$6-$AL$6),$AL$6+SQRT(AU244*($AN$6-$AL$6)*($AM$6-$AL$6)),$AN$6-SQRT((1-AU244)*($AN$6-$AL$6)*($AN$6-$AM$6))),$AM$6)</f>
        <v/>
      </c>
      <c r="AM244">
        <f>IFERROR(IF(AV244&lt;($AM$7-$AL$7)/($AN$7-$AL$7),$AL$7+SQRT(AV244*($AN$7-$AL$7)*($AM$7-$AL$7)),$AN$7-SQRT((1-AV244)*($AN$7-$AL$7)*($AN$7-$AM$7))),$AM$7)</f>
        <v/>
      </c>
      <c r="AN244">
        <f>IFERROR(IF(AW244&lt;($AM$8-$AL$8)/($AN$8-$AL$8),$AL$8+SQRT(AW244*($AN$8-$AL$8)*($AM$8-$AL$8)),$AN$8-SQRT((1-AW244)*($AN$8-$AL$8)*($AN$8-$AM$8))),$AM$8)</f>
        <v/>
      </c>
      <c r="AO244">
        <f>IFERROR(IF(AX244&lt;($AM$9-$AL$9)/($AN$9-$AL$9),$AL$9+SQRT(AX244*($AN$9-$AL$9)*($AM$9-$AL$9)),$AN$9-SQRT((1-AX244)*($AN$9-$AL$9)*($AN$9-$AM$9))),$AM$9)</f>
        <v/>
      </c>
      <c r="AP244">
        <f>IFERROR(IF(AY244&lt;($AM$10-$AL$10)/($AN$10-$AL$10),$AL$10+SQRT(AY244*($AN$10-$AL$10)*($AM$10-$AL$10)),$AN$10-SQRT((1-AY244)*($AN$10-$AL$10)*($AN$10-$AM$10))),$AM$10)</f>
        <v/>
      </c>
      <c r="AQ244">
        <f>IFERROR(IF(AZ244&lt;($AM$11-$AL$11)/($AN$11-$AL$11),$AL$11+SQRT(AZ244*($AN$11-$AL$11)*($AM$11-$AL$11)),$AN$11-SQRT((1-AZ244)*($AN$11-$AL$11)*($AN$11-$AM$11))),$AM$11)</f>
        <v/>
      </c>
      <c r="AR244">
        <f>SUMPRODUCT((B24:B31&lt;=$B$6)*(C24:C31*AM244+D24:D31*AO244*$B$8*AQ244)/(1+AL244/100)^B24:B31)+C32*AM244*AP244/(1+AL244/100)^$B$6</f>
        <v/>
      </c>
      <c r="AS244">
        <f>SUMPRODUCT((K24:K26&lt;=$B$6)*(L24:L26*AN244+M24:M26*AO244*$B$8*AQ244)/(1+AL244/100)^K24:K26)+L27*AN244*AP244/(1+AL244/100)^$B$6</f>
        <v/>
      </c>
      <c r="AT244">
        <f>AS244-AR244</f>
        <v/>
      </c>
      <c r="AU244">
        <f>RAND()</f>
        <v/>
      </c>
      <c r="AV244">
        <f>RAND()</f>
        <v/>
      </c>
      <c r="AW244">
        <f>RAND()</f>
        <v/>
      </c>
      <c r="AX244">
        <f>RAND()</f>
        <v/>
      </c>
      <c r="AY244">
        <f>RAND()</f>
        <v/>
      </c>
      <c r="AZ244">
        <f>RAND()</f>
        <v/>
      </c>
    </row>
    <row r="245">
      <c r="AK245" t="n">
        <v>232</v>
      </c>
      <c r="AL245">
        <f>IFERROR(IF(AU245&lt;($AM$6-$AL$6)/($AN$6-$AL$6),$AL$6+SQRT(AU245*($AN$6-$AL$6)*($AM$6-$AL$6)),$AN$6-SQRT((1-AU245)*($AN$6-$AL$6)*($AN$6-$AM$6))),$AM$6)</f>
        <v/>
      </c>
      <c r="AM245">
        <f>IFERROR(IF(AV245&lt;($AM$7-$AL$7)/($AN$7-$AL$7),$AL$7+SQRT(AV245*($AN$7-$AL$7)*($AM$7-$AL$7)),$AN$7-SQRT((1-AV245)*($AN$7-$AL$7)*($AN$7-$AM$7))),$AM$7)</f>
        <v/>
      </c>
      <c r="AN245">
        <f>IFERROR(IF(AW245&lt;($AM$8-$AL$8)/($AN$8-$AL$8),$AL$8+SQRT(AW245*($AN$8-$AL$8)*($AM$8-$AL$8)),$AN$8-SQRT((1-AW245)*($AN$8-$AL$8)*($AN$8-$AM$8))),$AM$8)</f>
        <v/>
      </c>
      <c r="AO245">
        <f>IFERROR(IF(AX245&lt;($AM$9-$AL$9)/($AN$9-$AL$9),$AL$9+SQRT(AX245*($AN$9-$AL$9)*($AM$9-$AL$9)),$AN$9-SQRT((1-AX245)*($AN$9-$AL$9)*($AN$9-$AM$9))),$AM$9)</f>
        <v/>
      </c>
      <c r="AP245">
        <f>IFERROR(IF(AY245&lt;($AM$10-$AL$10)/($AN$10-$AL$10),$AL$10+SQRT(AY245*($AN$10-$AL$10)*($AM$10-$AL$10)),$AN$10-SQRT((1-AY245)*($AN$10-$AL$10)*($AN$10-$AM$10))),$AM$10)</f>
        <v/>
      </c>
      <c r="AQ245">
        <f>IFERROR(IF(AZ245&lt;($AM$11-$AL$11)/($AN$11-$AL$11),$AL$11+SQRT(AZ245*($AN$11-$AL$11)*($AM$11-$AL$11)),$AN$11-SQRT((1-AZ245)*($AN$11-$AL$11)*($AN$11-$AM$11))),$AM$11)</f>
        <v/>
      </c>
      <c r="AR245">
        <f>SUMPRODUCT((B24:B31&lt;=$B$6)*(C24:C31*AM245+D24:D31*AO245*$B$8*AQ245)/(1+AL245/100)^B24:B31)+C32*AM245*AP245/(1+AL245/100)^$B$6</f>
        <v/>
      </c>
      <c r="AS245">
        <f>SUMPRODUCT((K24:K26&lt;=$B$6)*(L24:L26*AN245+M24:M26*AO245*$B$8*AQ245)/(1+AL245/100)^K24:K26)+L27*AN245*AP245/(1+AL245/100)^$B$6</f>
        <v/>
      </c>
      <c r="AT245">
        <f>AS245-AR245</f>
        <v/>
      </c>
      <c r="AU245">
        <f>RAND()</f>
        <v/>
      </c>
      <c r="AV245">
        <f>RAND()</f>
        <v/>
      </c>
      <c r="AW245">
        <f>RAND()</f>
        <v/>
      </c>
      <c r="AX245">
        <f>RAND()</f>
        <v/>
      </c>
      <c r="AY245">
        <f>RAND()</f>
        <v/>
      </c>
      <c r="AZ245">
        <f>RAND()</f>
        <v/>
      </c>
    </row>
    <row r="246">
      <c r="AK246" t="n">
        <v>233</v>
      </c>
      <c r="AL246">
        <f>IFERROR(IF(AU246&lt;($AM$6-$AL$6)/($AN$6-$AL$6),$AL$6+SQRT(AU246*($AN$6-$AL$6)*($AM$6-$AL$6)),$AN$6-SQRT((1-AU246)*($AN$6-$AL$6)*($AN$6-$AM$6))),$AM$6)</f>
        <v/>
      </c>
      <c r="AM246">
        <f>IFERROR(IF(AV246&lt;($AM$7-$AL$7)/($AN$7-$AL$7),$AL$7+SQRT(AV246*($AN$7-$AL$7)*($AM$7-$AL$7)),$AN$7-SQRT((1-AV246)*($AN$7-$AL$7)*($AN$7-$AM$7))),$AM$7)</f>
        <v/>
      </c>
      <c r="AN246">
        <f>IFERROR(IF(AW246&lt;($AM$8-$AL$8)/($AN$8-$AL$8),$AL$8+SQRT(AW246*($AN$8-$AL$8)*($AM$8-$AL$8)),$AN$8-SQRT((1-AW246)*($AN$8-$AL$8)*($AN$8-$AM$8))),$AM$8)</f>
        <v/>
      </c>
      <c r="AO246">
        <f>IFERROR(IF(AX246&lt;($AM$9-$AL$9)/($AN$9-$AL$9),$AL$9+SQRT(AX246*($AN$9-$AL$9)*($AM$9-$AL$9)),$AN$9-SQRT((1-AX246)*($AN$9-$AL$9)*($AN$9-$AM$9))),$AM$9)</f>
        <v/>
      </c>
      <c r="AP246">
        <f>IFERROR(IF(AY246&lt;($AM$10-$AL$10)/($AN$10-$AL$10),$AL$10+SQRT(AY246*($AN$10-$AL$10)*($AM$10-$AL$10)),$AN$10-SQRT((1-AY246)*($AN$10-$AL$10)*($AN$10-$AM$10))),$AM$10)</f>
        <v/>
      </c>
      <c r="AQ246">
        <f>IFERROR(IF(AZ246&lt;($AM$11-$AL$11)/($AN$11-$AL$11),$AL$11+SQRT(AZ246*($AN$11-$AL$11)*($AM$11-$AL$11)),$AN$11-SQRT((1-AZ246)*($AN$11-$AL$11)*($AN$11-$AM$11))),$AM$11)</f>
        <v/>
      </c>
      <c r="AR246">
        <f>SUMPRODUCT((B24:B31&lt;=$B$6)*(C24:C31*AM246+D24:D31*AO246*$B$8*AQ246)/(1+AL246/100)^B24:B31)+C32*AM246*AP246/(1+AL246/100)^$B$6</f>
        <v/>
      </c>
      <c r="AS246">
        <f>SUMPRODUCT((K24:K26&lt;=$B$6)*(L24:L26*AN246+M24:M26*AO246*$B$8*AQ246)/(1+AL246/100)^K24:K26)+L27*AN246*AP246/(1+AL246/100)^$B$6</f>
        <v/>
      </c>
      <c r="AT246">
        <f>AS246-AR246</f>
        <v/>
      </c>
      <c r="AU246">
        <f>RAND()</f>
        <v/>
      </c>
      <c r="AV246">
        <f>RAND()</f>
        <v/>
      </c>
      <c r="AW246">
        <f>RAND()</f>
        <v/>
      </c>
      <c r="AX246">
        <f>RAND()</f>
        <v/>
      </c>
      <c r="AY246">
        <f>RAND()</f>
        <v/>
      </c>
      <c r="AZ246">
        <f>RAND()</f>
        <v/>
      </c>
    </row>
    <row r="247">
      <c r="AK247" t="n">
        <v>234</v>
      </c>
      <c r="AL247">
        <f>IFERROR(IF(AU247&lt;($AM$6-$AL$6)/($AN$6-$AL$6),$AL$6+SQRT(AU247*($AN$6-$AL$6)*($AM$6-$AL$6)),$AN$6-SQRT((1-AU247)*($AN$6-$AL$6)*($AN$6-$AM$6))),$AM$6)</f>
        <v/>
      </c>
      <c r="AM247">
        <f>IFERROR(IF(AV247&lt;($AM$7-$AL$7)/($AN$7-$AL$7),$AL$7+SQRT(AV247*($AN$7-$AL$7)*($AM$7-$AL$7)),$AN$7-SQRT((1-AV247)*($AN$7-$AL$7)*($AN$7-$AM$7))),$AM$7)</f>
        <v/>
      </c>
      <c r="AN247">
        <f>IFERROR(IF(AW247&lt;($AM$8-$AL$8)/($AN$8-$AL$8),$AL$8+SQRT(AW247*($AN$8-$AL$8)*($AM$8-$AL$8)),$AN$8-SQRT((1-AW247)*($AN$8-$AL$8)*($AN$8-$AM$8))),$AM$8)</f>
        <v/>
      </c>
      <c r="AO247">
        <f>IFERROR(IF(AX247&lt;($AM$9-$AL$9)/($AN$9-$AL$9),$AL$9+SQRT(AX247*($AN$9-$AL$9)*($AM$9-$AL$9)),$AN$9-SQRT((1-AX247)*($AN$9-$AL$9)*($AN$9-$AM$9))),$AM$9)</f>
        <v/>
      </c>
      <c r="AP247">
        <f>IFERROR(IF(AY247&lt;($AM$10-$AL$10)/($AN$10-$AL$10),$AL$10+SQRT(AY247*($AN$10-$AL$10)*($AM$10-$AL$10)),$AN$10-SQRT((1-AY247)*($AN$10-$AL$10)*($AN$10-$AM$10))),$AM$10)</f>
        <v/>
      </c>
      <c r="AQ247">
        <f>IFERROR(IF(AZ247&lt;($AM$11-$AL$11)/($AN$11-$AL$11),$AL$11+SQRT(AZ247*($AN$11-$AL$11)*($AM$11-$AL$11)),$AN$11-SQRT((1-AZ247)*($AN$11-$AL$11)*($AN$11-$AM$11))),$AM$11)</f>
        <v/>
      </c>
      <c r="AR247">
        <f>SUMPRODUCT((B24:B31&lt;=$B$6)*(C24:C31*AM247+D24:D31*AO247*$B$8*AQ247)/(1+AL247/100)^B24:B31)+C32*AM247*AP247/(1+AL247/100)^$B$6</f>
        <v/>
      </c>
      <c r="AS247">
        <f>SUMPRODUCT((K24:K26&lt;=$B$6)*(L24:L26*AN247+M24:M26*AO247*$B$8*AQ247)/(1+AL247/100)^K24:K26)+L27*AN247*AP247/(1+AL247/100)^$B$6</f>
        <v/>
      </c>
      <c r="AT247">
        <f>AS247-AR247</f>
        <v/>
      </c>
      <c r="AU247">
        <f>RAND()</f>
        <v/>
      </c>
      <c r="AV247">
        <f>RAND()</f>
        <v/>
      </c>
      <c r="AW247">
        <f>RAND()</f>
        <v/>
      </c>
      <c r="AX247">
        <f>RAND()</f>
        <v/>
      </c>
      <c r="AY247">
        <f>RAND()</f>
        <v/>
      </c>
      <c r="AZ247">
        <f>RAND()</f>
        <v/>
      </c>
    </row>
    <row r="248">
      <c r="AK248" t="n">
        <v>235</v>
      </c>
      <c r="AL248">
        <f>IFERROR(IF(AU248&lt;($AM$6-$AL$6)/($AN$6-$AL$6),$AL$6+SQRT(AU248*($AN$6-$AL$6)*($AM$6-$AL$6)),$AN$6-SQRT((1-AU248)*($AN$6-$AL$6)*($AN$6-$AM$6))),$AM$6)</f>
        <v/>
      </c>
      <c r="AM248">
        <f>IFERROR(IF(AV248&lt;($AM$7-$AL$7)/($AN$7-$AL$7),$AL$7+SQRT(AV248*($AN$7-$AL$7)*($AM$7-$AL$7)),$AN$7-SQRT((1-AV248)*($AN$7-$AL$7)*($AN$7-$AM$7))),$AM$7)</f>
        <v/>
      </c>
      <c r="AN248">
        <f>IFERROR(IF(AW248&lt;($AM$8-$AL$8)/($AN$8-$AL$8),$AL$8+SQRT(AW248*($AN$8-$AL$8)*($AM$8-$AL$8)),$AN$8-SQRT((1-AW248)*($AN$8-$AL$8)*($AN$8-$AM$8))),$AM$8)</f>
        <v/>
      </c>
      <c r="AO248">
        <f>IFERROR(IF(AX248&lt;($AM$9-$AL$9)/($AN$9-$AL$9),$AL$9+SQRT(AX248*($AN$9-$AL$9)*($AM$9-$AL$9)),$AN$9-SQRT((1-AX248)*($AN$9-$AL$9)*($AN$9-$AM$9))),$AM$9)</f>
        <v/>
      </c>
      <c r="AP248">
        <f>IFERROR(IF(AY248&lt;($AM$10-$AL$10)/($AN$10-$AL$10),$AL$10+SQRT(AY248*($AN$10-$AL$10)*($AM$10-$AL$10)),$AN$10-SQRT((1-AY248)*($AN$10-$AL$10)*($AN$10-$AM$10))),$AM$10)</f>
        <v/>
      </c>
      <c r="AQ248">
        <f>IFERROR(IF(AZ248&lt;($AM$11-$AL$11)/($AN$11-$AL$11),$AL$11+SQRT(AZ248*($AN$11-$AL$11)*($AM$11-$AL$11)),$AN$11-SQRT((1-AZ248)*($AN$11-$AL$11)*($AN$11-$AM$11))),$AM$11)</f>
        <v/>
      </c>
      <c r="AR248">
        <f>SUMPRODUCT((B24:B31&lt;=$B$6)*(C24:C31*AM248+D24:D31*AO248*$B$8*AQ248)/(1+AL248/100)^B24:B31)+C32*AM248*AP248/(1+AL248/100)^$B$6</f>
        <v/>
      </c>
      <c r="AS248">
        <f>SUMPRODUCT((K24:K26&lt;=$B$6)*(L24:L26*AN248+M24:M26*AO248*$B$8*AQ248)/(1+AL248/100)^K24:K26)+L27*AN248*AP248/(1+AL248/100)^$B$6</f>
        <v/>
      </c>
      <c r="AT248">
        <f>AS248-AR248</f>
        <v/>
      </c>
      <c r="AU248">
        <f>RAND()</f>
        <v/>
      </c>
      <c r="AV248">
        <f>RAND()</f>
        <v/>
      </c>
      <c r="AW248">
        <f>RAND()</f>
        <v/>
      </c>
      <c r="AX248">
        <f>RAND()</f>
        <v/>
      </c>
      <c r="AY248">
        <f>RAND()</f>
        <v/>
      </c>
      <c r="AZ248">
        <f>RAND()</f>
        <v/>
      </c>
    </row>
    <row r="249">
      <c r="AK249" t="n">
        <v>236</v>
      </c>
      <c r="AL249">
        <f>IFERROR(IF(AU249&lt;($AM$6-$AL$6)/($AN$6-$AL$6),$AL$6+SQRT(AU249*($AN$6-$AL$6)*($AM$6-$AL$6)),$AN$6-SQRT((1-AU249)*($AN$6-$AL$6)*($AN$6-$AM$6))),$AM$6)</f>
        <v/>
      </c>
      <c r="AM249">
        <f>IFERROR(IF(AV249&lt;($AM$7-$AL$7)/($AN$7-$AL$7),$AL$7+SQRT(AV249*($AN$7-$AL$7)*($AM$7-$AL$7)),$AN$7-SQRT((1-AV249)*($AN$7-$AL$7)*($AN$7-$AM$7))),$AM$7)</f>
        <v/>
      </c>
      <c r="AN249">
        <f>IFERROR(IF(AW249&lt;($AM$8-$AL$8)/($AN$8-$AL$8),$AL$8+SQRT(AW249*($AN$8-$AL$8)*($AM$8-$AL$8)),$AN$8-SQRT((1-AW249)*($AN$8-$AL$8)*($AN$8-$AM$8))),$AM$8)</f>
        <v/>
      </c>
      <c r="AO249">
        <f>IFERROR(IF(AX249&lt;($AM$9-$AL$9)/($AN$9-$AL$9),$AL$9+SQRT(AX249*($AN$9-$AL$9)*($AM$9-$AL$9)),$AN$9-SQRT((1-AX249)*($AN$9-$AL$9)*($AN$9-$AM$9))),$AM$9)</f>
        <v/>
      </c>
      <c r="AP249">
        <f>IFERROR(IF(AY249&lt;($AM$10-$AL$10)/($AN$10-$AL$10),$AL$10+SQRT(AY249*($AN$10-$AL$10)*($AM$10-$AL$10)),$AN$10-SQRT((1-AY249)*($AN$10-$AL$10)*($AN$10-$AM$10))),$AM$10)</f>
        <v/>
      </c>
      <c r="AQ249">
        <f>IFERROR(IF(AZ249&lt;($AM$11-$AL$11)/($AN$11-$AL$11),$AL$11+SQRT(AZ249*($AN$11-$AL$11)*($AM$11-$AL$11)),$AN$11-SQRT((1-AZ249)*($AN$11-$AL$11)*($AN$11-$AM$11))),$AM$11)</f>
        <v/>
      </c>
      <c r="AR249">
        <f>SUMPRODUCT((B24:B31&lt;=$B$6)*(C24:C31*AM249+D24:D31*AO249*$B$8*AQ249)/(1+AL249/100)^B24:B31)+C32*AM249*AP249/(1+AL249/100)^$B$6</f>
        <v/>
      </c>
      <c r="AS249">
        <f>SUMPRODUCT((K24:K26&lt;=$B$6)*(L24:L26*AN249+M24:M26*AO249*$B$8*AQ249)/(1+AL249/100)^K24:K26)+L27*AN249*AP249/(1+AL249/100)^$B$6</f>
        <v/>
      </c>
      <c r="AT249">
        <f>AS249-AR249</f>
        <v/>
      </c>
      <c r="AU249">
        <f>RAND()</f>
        <v/>
      </c>
      <c r="AV249">
        <f>RAND()</f>
        <v/>
      </c>
      <c r="AW249">
        <f>RAND()</f>
        <v/>
      </c>
      <c r="AX249">
        <f>RAND()</f>
        <v/>
      </c>
      <c r="AY249">
        <f>RAND()</f>
        <v/>
      </c>
      <c r="AZ249">
        <f>RAND()</f>
        <v/>
      </c>
    </row>
    <row r="250">
      <c r="AK250" t="n">
        <v>237</v>
      </c>
      <c r="AL250">
        <f>IFERROR(IF(AU250&lt;($AM$6-$AL$6)/($AN$6-$AL$6),$AL$6+SQRT(AU250*($AN$6-$AL$6)*($AM$6-$AL$6)),$AN$6-SQRT((1-AU250)*($AN$6-$AL$6)*($AN$6-$AM$6))),$AM$6)</f>
        <v/>
      </c>
      <c r="AM250">
        <f>IFERROR(IF(AV250&lt;($AM$7-$AL$7)/($AN$7-$AL$7),$AL$7+SQRT(AV250*($AN$7-$AL$7)*($AM$7-$AL$7)),$AN$7-SQRT((1-AV250)*($AN$7-$AL$7)*($AN$7-$AM$7))),$AM$7)</f>
        <v/>
      </c>
      <c r="AN250">
        <f>IFERROR(IF(AW250&lt;($AM$8-$AL$8)/($AN$8-$AL$8),$AL$8+SQRT(AW250*($AN$8-$AL$8)*($AM$8-$AL$8)),$AN$8-SQRT((1-AW250)*($AN$8-$AL$8)*($AN$8-$AM$8))),$AM$8)</f>
        <v/>
      </c>
      <c r="AO250">
        <f>IFERROR(IF(AX250&lt;($AM$9-$AL$9)/($AN$9-$AL$9),$AL$9+SQRT(AX250*($AN$9-$AL$9)*($AM$9-$AL$9)),$AN$9-SQRT((1-AX250)*($AN$9-$AL$9)*($AN$9-$AM$9))),$AM$9)</f>
        <v/>
      </c>
      <c r="AP250">
        <f>IFERROR(IF(AY250&lt;($AM$10-$AL$10)/($AN$10-$AL$10),$AL$10+SQRT(AY250*($AN$10-$AL$10)*($AM$10-$AL$10)),$AN$10-SQRT((1-AY250)*($AN$10-$AL$10)*($AN$10-$AM$10))),$AM$10)</f>
        <v/>
      </c>
      <c r="AQ250">
        <f>IFERROR(IF(AZ250&lt;($AM$11-$AL$11)/($AN$11-$AL$11),$AL$11+SQRT(AZ250*($AN$11-$AL$11)*($AM$11-$AL$11)),$AN$11-SQRT((1-AZ250)*($AN$11-$AL$11)*($AN$11-$AM$11))),$AM$11)</f>
        <v/>
      </c>
      <c r="AR250">
        <f>SUMPRODUCT((B24:B31&lt;=$B$6)*(C24:C31*AM250+D24:D31*AO250*$B$8*AQ250)/(1+AL250/100)^B24:B31)+C32*AM250*AP250/(1+AL250/100)^$B$6</f>
        <v/>
      </c>
      <c r="AS250">
        <f>SUMPRODUCT((K24:K26&lt;=$B$6)*(L24:L26*AN250+M24:M26*AO250*$B$8*AQ250)/(1+AL250/100)^K24:K26)+L27*AN250*AP250/(1+AL250/100)^$B$6</f>
        <v/>
      </c>
      <c r="AT250">
        <f>AS250-AR250</f>
        <v/>
      </c>
      <c r="AU250">
        <f>RAND()</f>
        <v/>
      </c>
      <c r="AV250">
        <f>RAND()</f>
        <v/>
      </c>
      <c r="AW250">
        <f>RAND()</f>
        <v/>
      </c>
      <c r="AX250">
        <f>RAND()</f>
        <v/>
      </c>
      <c r="AY250">
        <f>RAND()</f>
        <v/>
      </c>
      <c r="AZ250">
        <f>RAND()</f>
        <v/>
      </c>
    </row>
    <row r="251">
      <c r="AK251" t="n">
        <v>238</v>
      </c>
      <c r="AL251">
        <f>IFERROR(IF(AU251&lt;($AM$6-$AL$6)/($AN$6-$AL$6),$AL$6+SQRT(AU251*($AN$6-$AL$6)*($AM$6-$AL$6)),$AN$6-SQRT((1-AU251)*($AN$6-$AL$6)*($AN$6-$AM$6))),$AM$6)</f>
        <v/>
      </c>
      <c r="AM251">
        <f>IFERROR(IF(AV251&lt;($AM$7-$AL$7)/($AN$7-$AL$7),$AL$7+SQRT(AV251*($AN$7-$AL$7)*($AM$7-$AL$7)),$AN$7-SQRT((1-AV251)*($AN$7-$AL$7)*($AN$7-$AM$7))),$AM$7)</f>
        <v/>
      </c>
      <c r="AN251">
        <f>IFERROR(IF(AW251&lt;($AM$8-$AL$8)/($AN$8-$AL$8),$AL$8+SQRT(AW251*($AN$8-$AL$8)*($AM$8-$AL$8)),$AN$8-SQRT((1-AW251)*($AN$8-$AL$8)*($AN$8-$AM$8))),$AM$8)</f>
        <v/>
      </c>
      <c r="AO251">
        <f>IFERROR(IF(AX251&lt;($AM$9-$AL$9)/($AN$9-$AL$9),$AL$9+SQRT(AX251*($AN$9-$AL$9)*($AM$9-$AL$9)),$AN$9-SQRT((1-AX251)*($AN$9-$AL$9)*($AN$9-$AM$9))),$AM$9)</f>
        <v/>
      </c>
      <c r="AP251">
        <f>IFERROR(IF(AY251&lt;($AM$10-$AL$10)/($AN$10-$AL$10),$AL$10+SQRT(AY251*($AN$10-$AL$10)*($AM$10-$AL$10)),$AN$10-SQRT((1-AY251)*($AN$10-$AL$10)*($AN$10-$AM$10))),$AM$10)</f>
        <v/>
      </c>
      <c r="AQ251">
        <f>IFERROR(IF(AZ251&lt;($AM$11-$AL$11)/($AN$11-$AL$11),$AL$11+SQRT(AZ251*($AN$11-$AL$11)*($AM$11-$AL$11)),$AN$11-SQRT((1-AZ251)*($AN$11-$AL$11)*($AN$11-$AM$11))),$AM$11)</f>
        <v/>
      </c>
      <c r="AR251">
        <f>SUMPRODUCT((B24:B31&lt;=$B$6)*(C24:C31*AM251+D24:D31*AO251*$B$8*AQ251)/(1+AL251/100)^B24:B31)+C32*AM251*AP251/(1+AL251/100)^$B$6</f>
        <v/>
      </c>
      <c r="AS251">
        <f>SUMPRODUCT((K24:K26&lt;=$B$6)*(L24:L26*AN251+M24:M26*AO251*$B$8*AQ251)/(1+AL251/100)^K24:K26)+L27*AN251*AP251/(1+AL251/100)^$B$6</f>
        <v/>
      </c>
      <c r="AT251">
        <f>AS251-AR251</f>
        <v/>
      </c>
      <c r="AU251">
        <f>RAND()</f>
        <v/>
      </c>
      <c r="AV251">
        <f>RAND()</f>
        <v/>
      </c>
      <c r="AW251">
        <f>RAND()</f>
        <v/>
      </c>
      <c r="AX251">
        <f>RAND()</f>
        <v/>
      </c>
      <c r="AY251">
        <f>RAND()</f>
        <v/>
      </c>
      <c r="AZ251">
        <f>RAND()</f>
        <v/>
      </c>
    </row>
    <row r="252">
      <c r="AK252" t="n">
        <v>239</v>
      </c>
      <c r="AL252">
        <f>IFERROR(IF(AU252&lt;($AM$6-$AL$6)/($AN$6-$AL$6),$AL$6+SQRT(AU252*($AN$6-$AL$6)*($AM$6-$AL$6)),$AN$6-SQRT((1-AU252)*($AN$6-$AL$6)*($AN$6-$AM$6))),$AM$6)</f>
        <v/>
      </c>
      <c r="AM252">
        <f>IFERROR(IF(AV252&lt;($AM$7-$AL$7)/($AN$7-$AL$7),$AL$7+SQRT(AV252*($AN$7-$AL$7)*($AM$7-$AL$7)),$AN$7-SQRT((1-AV252)*($AN$7-$AL$7)*($AN$7-$AM$7))),$AM$7)</f>
        <v/>
      </c>
      <c r="AN252">
        <f>IFERROR(IF(AW252&lt;($AM$8-$AL$8)/($AN$8-$AL$8),$AL$8+SQRT(AW252*($AN$8-$AL$8)*($AM$8-$AL$8)),$AN$8-SQRT((1-AW252)*($AN$8-$AL$8)*($AN$8-$AM$8))),$AM$8)</f>
        <v/>
      </c>
      <c r="AO252">
        <f>IFERROR(IF(AX252&lt;($AM$9-$AL$9)/($AN$9-$AL$9),$AL$9+SQRT(AX252*($AN$9-$AL$9)*($AM$9-$AL$9)),$AN$9-SQRT((1-AX252)*($AN$9-$AL$9)*($AN$9-$AM$9))),$AM$9)</f>
        <v/>
      </c>
      <c r="AP252">
        <f>IFERROR(IF(AY252&lt;($AM$10-$AL$10)/($AN$10-$AL$10),$AL$10+SQRT(AY252*($AN$10-$AL$10)*($AM$10-$AL$10)),$AN$10-SQRT((1-AY252)*($AN$10-$AL$10)*($AN$10-$AM$10))),$AM$10)</f>
        <v/>
      </c>
      <c r="AQ252">
        <f>IFERROR(IF(AZ252&lt;($AM$11-$AL$11)/($AN$11-$AL$11),$AL$11+SQRT(AZ252*($AN$11-$AL$11)*($AM$11-$AL$11)),$AN$11-SQRT((1-AZ252)*($AN$11-$AL$11)*($AN$11-$AM$11))),$AM$11)</f>
        <v/>
      </c>
      <c r="AR252">
        <f>SUMPRODUCT((B24:B31&lt;=$B$6)*(C24:C31*AM252+D24:D31*AO252*$B$8*AQ252)/(1+AL252/100)^B24:B31)+C32*AM252*AP252/(1+AL252/100)^$B$6</f>
        <v/>
      </c>
      <c r="AS252">
        <f>SUMPRODUCT((K24:K26&lt;=$B$6)*(L24:L26*AN252+M24:M26*AO252*$B$8*AQ252)/(1+AL252/100)^K24:K26)+L27*AN252*AP252/(1+AL252/100)^$B$6</f>
        <v/>
      </c>
      <c r="AT252">
        <f>AS252-AR252</f>
        <v/>
      </c>
      <c r="AU252">
        <f>RAND()</f>
        <v/>
      </c>
      <c r="AV252">
        <f>RAND()</f>
        <v/>
      </c>
      <c r="AW252">
        <f>RAND()</f>
        <v/>
      </c>
      <c r="AX252">
        <f>RAND()</f>
        <v/>
      </c>
      <c r="AY252">
        <f>RAND()</f>
        <v/>
      </c>
      <c r="AZ252">
        <f>RAND()</f>
        <v/>
      </c>
    </row>
    <row r="253">
      <c r="AK253" t="n">
        <v>240</v>
      </c>
      <c r="AL253">
        <f>IFERROR(IF(AU253&lt;($AM$6-$AL$6)/($AN$6-$AL$6),$AL$6+SQRT(AU253*($AN$6-$AL$6)*($AM$6-$AL$6)),$AN$6-SQRT((1-AU253)*($AN$6-$AL$6)*($AN$6-$AM$6))),$AM$6)</f>
        <v/>
      </c>
      <c r="AM253">
        <f>IFERROR(IF(AV253&lt;($AM$7-$AL$7)/($AN$7-$AL$7),$AL$7+SQRT(AV253*($AN$7-$AL$7)*($AM$7-$AL$7)),$AN$7-SQRT((1-AV253)*($AN$7-$AL$7)*($AN$7-$AM$7))),$AM$7)</f>
        <v/>
      </c>
      <c r="AN253">
        <f>IFERROR(IF(AW253&lt;($AM$8-$AL$8)/($AN$8-$AL$8),$AL$8+SQRT(AW253*($AN$8-$AL$8)*($AM$8-$AL$8)),$AN$8-SQRT((1-AW253)*($AN$8-$AL$8)*($AN$8-$AM$8))),$AM$8)</f>
        <v/>
      </c>
      <c r="AO253">
        <f>IFERROR(IF(AX253&lt;($AM$9-$AL$9)/($AN$9-$AL$9),$AL$9+SQRT(AX253*($AN$9-$AL$9)*($AM$9-$AL$9)),$AN$9-SQRT((1-AX253)*($AN$9-$AL$9)*($AN$9-$AM$9))),$AM$9)</f>
        <v/>
      </c>
      <c r="AP253">
        <f>IFERROR(IF(AY253&lt;($AM$10-$AL$10)/($AN$10-$AL$10),$AL$10+SQRT(AY253*($AN$10-$AL$10)*($AM$10-$AL$10)),$AN$10-SQRT((1-AY253)*($AN$10-$AL$10)*($AN$10-$AM$10))),$AM$10)</f>
        <v/>
      </c>
      <c r="AQ253">
        <f>IFERROR(IF(AZ253&lt;($AM$11-$AL$11)/($AN$11-$AL$11),$AL$11+SQRT(AZ253*($AN$11-$AL$11)*($AM$11-$AL$11)),$AN$11-SQRT((1-AZ253)*($AN$11-$AL$11)*($AN$11-$AM$11))),$AM$11)</f>
        <v/>
      </c>
      <c r="AR253">
        <f>SUMPRODUCT((B24:B31&lt;=$B$6)*(C24:C31*AM253+D24:D31*AO253*$B$8*AQ253)/(1+AL253/100)^B24:B31)+C32*AM253*AP253/(1+AL253/100)^$B$6</f>
        <v/>
      </c>
      <c r="AS253">
        <f>SUMPRODUCT((K24:K26&lt;=$B$6)*(L24:L26*AN253+M24:M26*AO253*$B$8*AQ253)/(1+AL253/100)^K24:K26)+L27*AN253*AP253/(1+AL253/100)^$B$6</f>
        <v/>
      </c>
      <c r="AT253">
        <f>AS253-AR253</f>
        <v/>
      </c>
      <c r="AU253">
        <f>RAND()</f>
        <v/>
      </c>
      <c r="AV253">
        <f>RAND()</f>
        <v/>
      </c>
      <c r="AW253">
        <f>RAND()</f>
        <v/>
      </c>
      <c r="AX253">
        <f>RAND()</f>
        <v/>
      </c>
      <c r="AY253">
        <f>RAND()</f>
        <v/>
      </c>
      <c r="AZ253">
        <f>RAND()</f>
        <v/>
      </c>
    </row>
    <row r="254">
      <c r="AK254" t="n">
        <v>241</v>
      </c>
      <c r="AL254">
        <f>IFERROR(IF(AU254&lt;($AM$6-$AL$6)/($AN$6-$AL$6),$AL$6+SQRT(AU254*($AN$6-$AL$6)*($AM$6-$AL$6)),$AN$6-SQRT((1-AU254)*($AN$6-$AL$6)*($AN$6-$AM$6))),$AM$6)</f>
        <v/>
      </c>
      <c r="AM254">
        <f>IFERROR(IF(AV254&lt;($AM$7-$AL$7)/($AN$7-$AL$7),$AL$7+SQRT(AV254*($AN$7-$AL$7)*($AM$7-$AL$7)),$AN$7-SQRT((1-AV254)*($AN$7-$AL$7)*($AN$7-$AM$7))),$AM$7)</f>
        <v/>
      </c>
      <c r="AN254">
        <f>IFERROR(IF(AW254&lt;($AM$8-$AL$8)/($AN$8-$AL$8),$AL$8+SQRT(AW254*($AN$8-$AL$8)*($AM$8-$AL$8)),$AN$8-SQRT((1-AW254)*($AN$8-$AL$8)*($AN$8-$AM$8))),$AM$8)</f>
        <v/>
      </c>
      <c r="AO254">
        <f>IFERROR(IF(AX254&lt;($AM$9-$AL$9)/($AN$9-$AL$9),$AL$9+SQRT(AX254*($AN$9-$AL$9)*($AM$9-$AL$9)),$AN$9-SQRT((1-AX254)*($AN$9-$AL$9)*($AN$9-$AM$9))),$AM$9)</f>
        <v/>
      </c>
      <c r="AP254">
        <f>IFERROR(IF(AY254&lt;($AM$10-$AL$10)/($AN$10-$AL$10),$AL$10+SQRT(AY254*($AN$10-$AL$10)*($AM$10-$AL$10)),$AN$10-SQRT((1-AY254)*($AN$10-$AL$10)*($AN$10-$AM$10))),$AM$10)</f>
        <v/>
      </c>
      <c r="AQ254">
        <f>IFERROR(IF(AZ254&lt;($AM$11-$AL$11)/($AN$11-$AL$11),$AL$11+SQRT(AZ254*($AN$11-$AL$11)*($AM$11-$AL$11)),$AN$11-SQRT((1-AZ254)*($AN$11-$AL$11)*($AN$11-$AM$11))),$AM$11)</f>
        <v/>
      </c>
      <c r="AR254">
        <f>SUMPRODUCT((B24:B31&lt;=$B$6)*(C24:C31*AM254+D24:D31*AO254*$B$8*AQ254)/(1+AL254/100)^B24:B31)+C32*AM254*AP254/(1+AL254/100)^$B$6</f>
        <v/>
      </c>
      <c r="AS254">
        <f>SUMPRODUCT((K24:K26&lt;=$B$6)*(L24:L26*AN254+M24:M26*AO254*$B$8*AQ254)/(1+AL254/100)^K24:K26)+L27*AN254*AP254/(1+AL254/100)^$B$6</f>
        <v/>
      </c>
      <c r="AT254">
        <f>AS254-AR254</f>
        <v/>
      </c>
      <c r="AU254">
        <f>RAND()</f>
        <v/>
      </c>
      <c r="AV254">
        <f>RAND()</f>
        <v/>
      </c>
      <c r="AW254">
        <f>RAND()</f>
        <v/>
      </c>
      <c r="AX254">
        <f>RAND()</f>
        <v/>
      </c>
      <c r="AY254">
        <f>RAND()</f>
        <v/>
      </c>
      <c r="AZ254">
        <f>RAND()</f>
        <v/>
      </c>
    </row>
    <row r="255">
      <c r="AK255" t="n">
        <v>242</v>
      </c>
      <c r="AL255">
        <f>IFERROR(IF(AU255&lt;($AM$6-$AL$6)/($AN$6-$AL$6),$AL$6+SQRT(AU255*($AN$6-$AL$6)*($AM$6-$AL$6)),$AN$6-SQRT((1-AU255)*($AN$6-$AL$6)*($AN$6-$AM$6))),$AM$6)</f>
        <v/>
      </c>
      <c r="AM255">
        <f>IFERROR(IF(AV255&lt;($AM$7-$AL$7)/($AN$7-$AL$7),$AL$7+SQRT(AV255*($AN$7-$AL$7)*($AM$7-$AL$7)),$AN$7-SQRT((1-AV255)*($AN$7-$AL$7)*($AN$7-$AM$7))),$AM$7)</f>
        <v/>
      </c>
      <c r="AN255">
        <f>IFERROR(IF(AW255&lt;($AM$8-$AL$8)/($AN$8-$AL$8),$AL$8+SQRT(AW255*($AN$8-$AL$8)*($AM$8-$AL$8)),$AN$8-SQRT((1-AW255)*($AN$8-$AL$8)*($AN$8-$AM$8))),$AM$8)</f>
        <v/>
      </c>
      <c r="AO255">
        <f>IFERROR(IF(AX255&lt;($AM$9-$AL$9)/($AN$9-$AL$9),$AL$9+SQRT(AX255*($AN$9-$AL$9)*($AM$9-$AL$9)),$AN$9-SQRT((1-AX255)*($AN$9-$AL$9)*($AN$9-$AM$9))),$AM$9)</f>
        <v/>
      </c>
      <c r="AP255">
        <f>IFERROR(IF(AY255&lt;($AM$10-$AL$10)/($AN$10-$AL$10),$AL$10+SQRT(AY255*($AN$10-$AL$10)*($AM$10-$AL$10)),$AN$10-SQRT((1-AY255)*($AN$10-$AL$10)*($AN$10-$AM$10))),$AM$10)</f>
        <v/>
      </c>
      <c r="AQ255">
        <f>IFERROR(IF(AZ255&lt;($AM$11-$AL$11)/($AN$11-$AL$11),$AL$11+SQRT(AZ255*($AN$11-$AL$11)*($AM$11-$AL$11)),$AN$11-SQRT((1-AZ255)*($AN$11-$AL$11)*($AN$11-$AM$11))),$AM$11)</f>
        <v/>
      </c>
      <c r="AR255">
        <f>SUMPRODUCT((B24:B31&lt;=$B$6)*(C24:C31*AM255+D24:D31*AO255*$B$8*AQ255)/(1+AL255/100)^B24:B31)+C32*AM255*AP255/(1+AL255/100)^$B$6</f>
        <v/>
      </c>
      <c r="AS255">
        <f>SUMPRODUCT((K24:K26&lt;=$B$6)*(L24:L26*AN255+M24:M26*AO255*$B$8*AQ255)/(1+AL255/100)^K24:K26)+L27*AN255*AP255/(1+AL255/100)^$B$6</f>
        <v/>
      </c>
      <c r="AT255">
        <f>AS255-AR255</f>
        <v/>
      </c>
      <c r="AU255">
        <f>RAND()</f>
        <v/>
      </c>
      <c r="AV255">
        <f>RAND()</f>
        <v/>
      </c>
      <c r="AW255">
        <f>RAND()</f>
        <v/>
      </c>
      <c r="AX255">
        <f>RAND()</f>
        <v/>
      </c>
      <c r="AY255">
        <f>RAND()</f>
        <v/>
      </c>
      <c r="AZ255">
        <f>RAND()</f>
        <v/>
      </c>
    </row>
    <row r="256">
      <c r="AK256" t="n">
        <v>243</v>
      </c>
      <c r="AL256">
        <f>IFERROR(IF(AU256&lt;($AM$6-$AL$6)/($AN$6-$AL$6),$AL$6+SQRT(AU256*($AN$6-$AL$6)*($AM$6-$AL$6)),$AN$6-SQRT((1-AU256)*($AN$6-$AL$6)*($AN$6-$AM$6))),$AM$6)</f>
        <v/>
      </c>
      <c r="AM256">
        <f>IFERROR(IF(AV256&lt;($AM$7-$AL$7)/($AN$7-$AL$7),$AL$7+SQRT(AV256*($AN$7-$AL$7)*($AM$7-$AL$7)),$AN$7-SQRT((1-AV256)*($AN$7-$AL$7)*($AN$7-$AM$7))),$AM$7)</f>
        <v/>
      </c>
      <c r="AN256">
        <f>IFERROR(IF(AW256&lt;($AM$8-$AL$8)/($AN$8-$AL$8),$AL$8+SQRT(AW256*($AN$8-$AL$8)*($AM$8-$AL$8)),$AN$8-SQRT((1-AW256)*($AN$8-$AL$8)*($AN$8-$AM$8))),$AM$8)</f>
        <v/>
      </c>
      <c r="AO256">
        <f>IFERROR(IF(AX256&lt;($AM$9-$AL$9)/($AN$9-$AL$9),$AL$9+SQRT(AX256*($AN$9-$AL$9)*($AM$9-$AL$9)),$AN$9-SQRT((1-AX256)*($AN$9-$AL$9)*($AN$9-$AM$9))),$AM$9)</f>
        <v/>
      </c>
      <c r="AP256">
        <f>IFERROR(IF(AY256&lt;($AM$10-$AL$10)/($AN$10-$AL$10),$AL$10+SQRT(AY256*($AN$10-$AL$10)*($AM$10-$AL$10)),$AN$10-SQRT((1-AY256)*($AN$10-$AL$10)*($AN$10-$AM$10))),$AM$10)</f>
        <v/>
      </c>
      <c r="AQ256">
        <f>IFERROR(IF(AZ256&lt;($AM$11-$AL$11)/($AN$11-$AL$11),$AL$11+SQRT(AZ256*($AN$11-$AL$11)*($AM$11-$AL$11)),$AN$11-SQRT((1-AZ256)*($AN$11-$AL$11)*($AN$11-$AM$11))),$AM$11)</f>
        <v/>
      </c>
      <c r="AR256">
        <f>SUMPRODUCT((B24:B31&lt;=$B$6)*(C24:C31*AM256+D24:D31*AO256*$B$8*AQ256)/(1+AL256/100)^B24:B31)+C32*AM256*AP256/(1+AL256/100)^$B$6</f>
        <v/>
      </c>
      <c r="AS256">
        <f>SUMPRODUCT((K24:K26&lt;=$B$6)*(L24:L26*AN256+M24:M26*AO256*$B$8*AQ256)/(1+AL256/100)^K24:K26)+L27*AN256*AP256/(1+AL256/100)^$B$6</f>
        <v/>
      </c>
      <c r="AT256">
        <f>AS256-AR256</f>
        <v/>
      </c>
      <c r="AU256">
        <f>RAND()</f>
        <v/>
      </c>
      <c r="AV256">
        <f>RAND()</f>
        <v/>
      </c>
      <c r="AW256">
        <f>RAND()</f>
        <v/>
      </c>
      <c r="AX256">
        <f>RAND()</f>
        <v/>
      </c>
      <c r="AY256">
        <f>RAND()</f>
        <v/>
      </c>
      <c r="AZ256">
        <f>RAND()</f>
        <v/>
      </c>
    </row>
    <row r="257">
      <c r="AK257" t="n">
        <v>244</v>
      </c>
      <c r="AL257">
        <f>IFERROR(IF(AU257&lt;($AM$6-$AL$6)/($AN$6-$AL$6),$AL$6+SQRT(AU257*($AN$6-$AL$6)*($AM$6-$AL$6)),$AN$6-SQRT((1-AU257)*($AN$6-$AL$6)*($AN$6-$AM$6))),$AM$6)</f>
        <v/>
      </c>
      <c r="AM257">
        <f>IFERROR(IF(AV257&lt;($AM$7-$AL$7)/($AN$7-$AL$7),$AL$7+SQRT(AV257*($AN$7-$AL$7)*($AM$7-$AL$7)),$AN$7-SQRT((1-AV257)*($AN$7-$AL$7)*($AN$7-$AM$7))),$AM$7)</f>
        <v/>
      </c>
      <c r="AN257">
        <f>IFERROR(IF(AW257&lt;($AM$8-$AL$8)/($AN$8-$AL$8),$AL$8+SQRT(AW257*($AN$8-$AL$8)*($AM$8-$AL$8)),$AN$8-SQRT((1-AW257)*($AN$8-$AL$8)*($AN$8-$AM$8))),$AM$8)</f>
        <v/>
      </c>
      <c r="AO257">
        <f>IFERROR(IF(AX257&lt;($AM$9-$AL$9)/($AN$9-$AL$9),$AL$9+SQRT(AX257*($AN$9-$AL$9)*($AM$9-$AL$9)),$AN$9-SQRT((1-AX257)*($AN$9-$AL$9)*($AN$9-$AM$9))),$AM$9)</f>
        <v/>
      </c>
      <c r="AP257">
        <f>IFERROR(IF(AY257&lt;($AM$10-$AL$10)/($AN$10-$AL$10),$AL$10+SQRT(AY257*($AN$10-$AL$10)*($AM$10-$AL$10)),$AN$10-SQRT((1-AY257)*($AN$10-$AL$10)*($AN$10-$AM$10))),$AM$10)</f>
        <v/>
      </c>
      <c r="AQ257">
        <f>IFERROR(IF(AZ257&lt;($AM$11-$AL$11)/($AN$11-$AL$11),$AL$11+SQRT(AZ257*($AN$11-$AL$11)*($AM$11-$AL$11)),$AN$11-SQRT((1-AZ257)*($AN$11-$AL$11)*($AN$11-$AM$11))),$AM$11)</f>
        <v/>
      </c>
      <c r="AR257">
        <f>SUMPRODUCT((B24:B31&lt;=$B$6)*(C24:C31*AM257+D24:D31*AO257*$B$8*AQ257)/(1+AL257/100)^B24:B31)+C32*AM257*AP257/(1+AL257/100)^$B$6</f>
        <v/>
      </c>
      <c r="AS257">
        <f>SUMPRODUCT((K24:K26&lt;=$B$6)*(L24:L26*AN257+M24:M26*AO257*$B$8*AQ257)/(1+AL257/100)^K24:K26)+L27*AN257*AP257/(1+AL257/100)^$B$6</f>
        <v/>
      </c>
      <c r="AT257">
        <f>AS257-AR257</f>
        <v/>
      </c>
      <c r="AU257">
        <f>RAND()</f>
        <v/>
      </c>
      <c r="AV257">
        <f>RAND()</f>
        <v/>
      </c>
      <c r="AW257">
        <f>RAND()</f>
        <v/>
      </c>
      <c r="AX257">
        <f>RAND()</f>
        <v/>
      </c>
      <c r="AY257">
        <f>RAND()</f>
        <v/>
      </c>
      <c r="AZ257">
        <f>RAND()</f>
        <v/>
      </c>
    </row>
    <row r="258">
      <c r="AK258" t="n">
        <v>245</v>
      </c>
      <c r="AL258">
        <f>IFERROR(IF(AU258&lt;($AM$6-$AL$6)/($AN$6-$AL$6),$AL$6+SQRT(AU258*($AN$6-$AL$6)*($AM$6-$AL$6)),$AN$6-SQRT((1-AU258)*($AN$6-$AL$6)*($AN$6-$AM$6))),$AM$6)</f>
        <v/>
      </c>
      <c r="AM258">
        <f>IFERROR(IF(AV258&lt;($AM$7-$AL$7)/($AN$7-$AL$7),$AL$7+SQRT(AV258*($AN$7-$AL$7)*($AM$7-$AL$7)),$AN$7-SQRT((1-AV258)*($AN$7-$AL$7)*($AN$7-$AM$7))),$AM$7)</f>
        <v/>
      </c>
      <c r="AN258">
        <f>IFERROR(IF(AW258&lt;($AM$8-$AL$8)/($AN$8-$AL$8),$AL$8+SQRT(AW258*($AN$8-$AL$8)*($AM$8-$AL$8)),$AN$8-SQRT((1-AW258)*($AN$8-$AL$8)*($AN$8-$AM$8))),$AM$8)</f>
        <v/>
      </c>
      <c r="AO258">
        <f>IFERROR(IF(AX258&lt;($AM$9-$AL$9)/($AN$9-$AL$9),$AL$9+SQRT(AX258*($AN$9-$AL$9)*($AM$9-$AL$9)),$AN$9-SQRT((1-AX258)*($AN$9-$AL$9)*($AN$9-$AM$9))),$AM$9)</f>
        <v/>
      </c>
      <c r="AP258">
        <f>IFERROR(IF(AY258&lt;($AM$10-$AL$10)/($AN$10-$AL$10),$AL$10+SQRT(AY258*($AN$10-$AL$10)*($AM$10-$AL$10)),$AN$10-SQRT((1-AY258)*($AN$10-$AL$10)*($AN$10-$AM$10))),$AM$10)</f>
        <v/>
      </c>
      <c r="AQ258">
        <f>IFERROR(IF(AZ258&lt;($AM$11-$AL$11)/($AN$11-$AL$11),$AL$11+SQRT(AZ258*($AN$11-$AL$11)*($AM$11-$AL$11)),$AN$11-SQRT((1-AZ258)*($AN$11-$AL$11)*($AN$11-$AM$11))),$AM$11)</f>
        <v/>
      </c>
      <c r="AR258">
        <f>SUMPRODUCT((B24:B31&lt;=$B$6)*(C24:C31*AM258+D24:D31*AO258*$B$8*AQ258)/(1+AL258/100)^B24:B31)+C32*AM258*AP258/(1+AL258/100)^$B$6</f>
        <v/>
      </c>
      <c r="AS258">
        <f>SUMPRODUCT((K24:K26&lt;=$B$6)*(L24:L26*AN258+M24:M26*AO258*$B$8*AQ258)/(1+AL258/100)^K24:K26)+L27*AN258*AP258/(1+AL258/100)^$B$6</f>
        <v/>
      </c>
      <c r="AT258">
        <f>AS258-AR258</f>
        <v/>
      </c>
      <c r="AU258">
        <f>RAND()</f>
        <v/>
      </c>
      <c r="AV258">
        <f>RAND()</f>
        <v/>
      </c>
      <c r="AW258">
        <f>RAND()</f>
        <v/>
      </c>
      <c r="AX258">
        <f>RAND()</f>
        <v/>
      </c>
      <c r="AY258">
        <f>RAND()</f>
        <v/>
      </c>
      <c r="AZ258">
        <f>RAND()</f>
        <v/>
      </c>
    </row>
    <row r="259">
      <c r="AK259" t="n">
        <v>246</v>
      </c>
      <c r="AL259">
        <f>IFERROR(IF(AU259&lt;($AM$6-$AL$6)/($AN$6-$AL$6),$AL$6+SQRT(AU259*($AN$6-$AL$6)*($AM$6-$AL$6)),$AN$6-SQRT((1-AU259)*($AN$6-$AL$6)*($AN$6-$AM$6))),$AM$6)</f>
        <v/>
      </c>
      <c r="AM259">
        <f>IFERROR(IF(AV259&lt;($AM$7-$AL$7)/($AN$7-$AL$7),$AL$7+SQRT(AV259*($AN$7-$AL$7)*($AM$7-$AL$7)),$AN$7-SQRT((1-AV259)*($AN$7-$AL$7)*($AN$7-$AM$7))),$AM$7)</f>
        <v/>
      </c>
      <c r="AN259">
        <f>IFERROR(IF(AW259&lt;($AM$8-$AL$8)/($AN$8-$AL$8),$AL$8+SQRT(AW259*($AN$8-$AL$8)*($AM$8-$AL$8)),$AN$8-SQRT((1-AW259)*($AN$8-$AL$8)*($AN$8-$AM$8))),$AM$8)</f>
        <v/>
      </c>
      <c r="AO259">
        <f>IFERROR(IF(AX259&lt;($AM$9-$AL$9)/($AN$9-$AL$9),$AL$9+SQRT(AX259*($AN$9-$AL$9)*($AM$9-$AL$9)),$AN$9-SQRT((1-AX259)*($AN$9-$AL$9)*($AN$9-$AM$9))),$AM$9)</f>
        <v/>
      </c>
      <c r="AP259">
        <f>IFERROR(IF(AY259&lt;($AM$10-$AL$10)/($AN$10-$AL$10),$AL$10+SQRT(AY259*($AN$10-$AL$10)*($AM$10-$AL$10)),$AN$10-SQRT((1-AY259)*($AN$10-$AL$10)*($AN$10-$AM$10))),$AM$10)</f>
        <v/>
      </c>
      <c r="AQ259">
        <f>IFERROR(IF(AZ259&lt;($AM$11-$AL$11)/($AN$11-$AL$11),$AL$11+SQRT(AZ259*($AN$11-$AL$11)*($AM$11-$AL$11)),$AN$11-SQRT((1-AZ259)*($AN$11-$AL$11)*($AN$11-$AM$11))),$AM$11)</f>
        <v/>
      </c>
      <c r="AR259">
        <f>SUMPRODUCT((B24:B31&lt;=$B$6)*(C24:C31*AM259+D24:D31*AO259*$B$8*AQ259)/(1+AL259/100)^B24:B31)+C32*AM259*AP259/(1+AL259/100)^$B$6</f>
        <v/>
      </c>
      <c r="AS259">
        <f>SUMPRODUCT((K24:K26&lt;=$B$6)*(L24:L26*AN259+M24:M26*AO259*$B$8*AQ259)/(1+AL259/100)^K24:K26)+L27*AN259*AP259/(1+AL259/100)^$B$6</f>
        <v/>
      </c>
      <c r="AT259">
        <f>AS259-AR259</f>
        <v/>
      </c>
      <c r="AU259">
        <f>RAND()</f>
        <v/>
      </c>
      <c r="AV259">
        <f>RAND()</f>
        <v/>
      </c>
      <c r="AW259">
        <f>RAND()</f>
        <v/>
      </c>
      <c r="AX259">
        <f>RAND()</f>
        <v/>
      </c>
      <c r="AY259">
        <f>RAND()</f>
        <v/>
      </c>
      <c r="AZ259">
        <f>RAND()</f>
        <v/>
      </c>
    </row>
    <row r="260">
      <c r="AK260" t="n">
        <v>247</v>
      </c>
      <c r="AL260">
        <f>IFERROR(IF(AU260&lt;($AM$6-$AL$6)/($AN$6-$AL$6),$AL$6+SQRT(AU260*($AN$6-$AL$6)*($AM$6-$AL$6)),$AN$6-SQRT((1-AU260)*($AN$6-$AL$6)*($AN$6-$AM$6))),$AM$6)</f>
        <v/>
      </c>
      <c r="AM260">
        <f>IFERROR(IF(AV260&lt;($AM$7-$AL$7)/($AN$7-$AL$7),$AL$7+SQRT(AV260*($AN$7-$AL$7)*($AM$7-$AL$7)),$AN$7-SQRT((1-AV260)*($AN$7-$AL$7)*($AN$7-$AM$7))),$AM$7)</f>
        <v/>
      </c>
      <c r="AN260">
        <f>IFERROR(IF(AW260&lt;($AM$8-$AL$8)/($AN$8-$AL$8),$AL$8+SQRT(AW260*($AN$8-$AL$8)*($AM$8-$AL$8)),$AN$8-SQRT((1-AW260)*($AN$8-$AL$8)*($AN$8-$AM$8))),$AM$8)</f>
        <v/>
      </c>
      <c r="AO260">
        <f>IFERROR(IF(AX260&lt;($AM$9-$AL$9)/($AN$9-$AL$9),$AL$9+SQRT(AX260*($AN$9-$AL$9)*($AM$9-$AL$9)),$AN$9-SQRT((1-AX260)*($AN$9-$AL$9)*($AN$9-$AM$9))),$AM$9)</f>
        <v/>
      </c>
      <c r="AP260">
        <f>IFERROR(IF(AY260&lt;($AM$10-$AL$10)/($AN$10-$AL$10),$AL$10+SQRT(AY260*($AN$10-$AL$10)*($AM$10-$AL$10)),$AN$10-SQRT((1-AY260)*($AN$10-$AL$10)*($AN$10-$AM$10))),$AM$10)</f>
        <v/>
      </c>
      <c r="AQ260">
        <f>IFERROR(IF(AZ260&lt;($AM$11-$AL$11)/($AN$11-$AL$11),$AL$11+SQRT(AZ260*($AN$11-$AL$11)*($AM$11-$AL$11)),$AN$11-SQRT((1-AZ260)*($AN$11-$AL$11)*($AN$11-$AM$11))),$AM$11)</f>
        <v/>
      </c>
      <c r="AR260">
        <f>SUMPRODUCT((B24:B31&lt;=$B$6)*(C24:C31*AM260+D24:D31*AO260*$B$8*AQ260)/(1+AL260/100)^B24:B31)+C32*AM260*AP260/(1+AL260/100)^$B$6</f>
        <v/>
      </c>
      <c r="AS260">
        <f>SUMPRODUCT((K24:K26&lt;=$B$6)*(L24:L26*AN260+M24:M26*AO260*$B$8*AQ260)/(1+AL260/100)^K24:K26)+L27*AN260*AP260/(1+AL260/100)^$B$6</f>
        <v/>
      </c>
      <c r="AT260">
        <f>AS260-AR260</f>
        <v/>
      </c>
      <c r="AU260">
        <f>RAND()</f>
        <v/>
      </c>
      <c r="AV260">
        <f>RAND()</f>
        <v/>
      </c>
      <c r="AW260">
        <f>RAND()</f>
        <v/>
      </c>
      <c r="AX260">
        <f>RAND()</f>
        <v/>
      </c>
      <c r="AY260">
        <f>RAND()</f>
        <v/>
      </c>
      <c r="AZ260">
        <f>RAND()</f>
        <v/>
      </c>
    </row>
    <row r="261">
      <c r="AK261" t="n">
        <v>248</v>
      </c>
      <c r="AL261">
        <f>IFERROR(IF(AU261&lt;($AM$6-$AL$6)/($AN$6-$AL$6),$AL$6+SQRT(AU261*($AN$6-$AL$6)*($AM$6-$AL$6)),$AN$6-SQRT((1-AU261)*($AN$6-$AL$6)*($AN$6-$AM$6))),$AM$6)</f>
        <v/>
      </c>
      <c r="AM261">
        <f>IFERROR(IF(AV261&lt;($AM$7-$AL$7)/($AN$7-$AL$7),$AL$7+SQRT(AV261*($AN$7-$AL$7)*($AM$7-$AL$7)),$AN$7-SQRT((1-AV261)*($AN$7-$AL$7)*($AN$7-$AM$7))),$AM$7)</f>
        <v/>
      </c>
      <c r="AN261">
        <f>IFERROR(IF(AW261&lt;($AM$8-$AL$8)/($AN$8-$AL$8),$AL$8+SQRT(AW261*($AN$8-$AL$8)*($AM$8-$AL$8)),$AN$8-SQRT((1-AW261)*($AN$8-$AL$8)*($AN$8-$AM$8))),$AM$8)</f>
        <v/>
      </c>
      <c r="AO261">
        <f>IFERROR(IF(AX261&lt;($AM$9-$AL$9)/($AN$9-$AL$9),$AL$9+SQRT(AX261*($AN$9-$AL$9)*($AM$9-$AL$9)),$AN$9-SQRT((1-AX261)*($AN$9-$AL$9)*($AN$9-$AM$9))),$AM$9)</f>
        <v/>
      </c>
      <c r="AP261">
        <f>IFERROR(IF(AY261&lt;($AM$10-$AL$10)/($AN$10-$AL$10),$AL$10+SQRT(AY261*($AN$10-$AL$10)*($AM$10-$AL$10)),$AN$10-SQRT((1-AY261)*($AN$10-$AL$10)*($AN$10-$AM$10))),$AM$10)</f>
        <v/>
      </c>
      <c r="AQ261">
        <f>IFERROR(IF(AZ261&lt;($AM$11-$AL$11)/($AN$11-$AL$11),$AL$11+SQRT(AZ261*($AN$11-$AL$11)*($AM$11-$AL$11)),$AN$11-SQRT((1-AZ261)*($AN$11-$AL$11)*($AN$11-$AM$11))),$AM$11)</f>
        <v/>
      </c>
      <c r="AR261">
        <f>SUMPRODUCT((B24:B31&lt;=$B$6)*(C24:C31*AM261+D24:D31*AO261*$B$8*AQ261)/(1+AL261/100)^B24:B31)+C32*AM261*AP261/(1+AL261/100)^$B$6</f>
        <v/>
      </c>
      <c r="AS261">
        <f>SUMPRODUCT((K24:K26&lt;=$B$6)*(L24:L26*AN261+M24:M26*AO261*$B$8*AQ261)/(1+AL261/100)^K24:K26)+L27*AN261*AP261/(1+AL261/100)^$B$6</f>
        <v/>
      </c>
      <c r="AT261">
        <f>AS261-AR261</f>
        <v/>
      </c>
      <c r="AU261">
        <f>RAND()</f>
        <v/>
      </c>
      <c r="AV261">
        <f>RAND()</f>
        <v/>
      </c>
      <c r="AW261">
        <f>RAND()</f>
        <v/>
      </c>
      <c r="AX261">
        <f>RAND()</f>
        <v/>
      </c>
      <c r="AY261">
        <f>RAND()</f>
        <v/>
      </c>
      <c r="AZ261">
        <f>RAND()</f>
        <v/>
      </c>
    </row>
    <row r="262">
      <c r="AK262" t="n">
        <v>249</v>
      </c>
      <c r="AL262">
        <f>IFERROR(IF(AU262&lt;($AM$6-$AL$6)/($AN$6-$AL$6),$AL$6+SQRT(AU262*($AN$6-$AL$6)*($AM$6-$AL$6)),$AN$6-SQRT((1-AU262)*($AN$6-$AL$6)*($AN$6-$AM$6))),$AM$6)</f>
        <v/>
      </c>
      <c r="AM262">
        <f>IFERROR(IF(AV262&lt;($AM$7-$AL$7)/($AN$7-$AL$7),$AL$7+SQRT(AV262*($AN$7-$AL$7)*($AM$7-$AL$7)),$AN$7-SQRT((1-AV262)*($AN$7-$AL$7)*($AN$7-$AM$7))),$AM$7)</f>
        <v/>
      </c>
      <c r="AN262">
        <f>IFERROR(IF(AW262&lt;($AM$8-$AL$8)/($AN$8-$AL$8),$AL$8+SQRT(AW262*($AN$8-$AL$8)*($AM$8-$AL$8)),$AN$8-SQRT((1-AW262)*($AN$8-$AL$8)*($AN$8-$AM$8))),$AM$8)</f>
        <v/>
      </c>
      <c r="AO262">
        <f>IFERROR(IF(AX262&lt;($AM$9-$AL$9)/($AN$9-$AL$9),$AL$9+SQRT(AX262*($AN$9-$AL$9)*($AM$9-$AL$9)),$AN$9-SQRT((1-AX262)*($AN$9-$AL$9)*($AN$9-$AM$9))),$AM$9)</f>
        <v/>
      </c>
      <c r="AP262">
        <f>IFERROR(IF(AY262&lt;($AM$10-$AL$10)/($AN$10-$AL$10),$AL$10+SQRT(AY262*($AN$10-$AL$10)*($AM$10-$AL$10)),$AN$10-SQRT((1-AY262)*($AN$10-$AL$10)*($AN$10-$AM$10))),$AM$10)</f>
        <v/>
      </c>
      <c r="AQ262">
        <f>IFERROR(IF(AZ262&lt;($AM$11-$AL$11)/($AN$11-$AL$11),$AL$11+SQRT(AZ262*($AN$11-$AL$11)*($AM$11-$AL$11)),$AN$11-SQRT((1-AZ262)*($AN$11-$AL$11)*($AN$11-$AM$11))),$AM$11)</f>
        <v/>
      </c>
      <c r="AR262">
        <f>SUMPRODUCT((B24:B31&lt;=$B$6)*(C24:C31*AM262+D24:D31*AO262*$B$8*AQ262)/(1+AL262/100)^B24:B31)+C32*AM262*AP262/(1+AL262/100)^$B$6</f>
        <v/>
      </c>
      <c r="AS262">
        <f>SUMPRODUCT((K24:K26&lt;=$B$6)*(L24:L26*AN262+M24:M26*AO262*$B$8*AQ262)/(1+AL262/100)^K24:K26)+L27*AN262*AP262/(1+AL262/100)^$B$6</f>
        <v/>
      </c>
      <c r="AT262">
        <f>AS262-AR262</f>
        <v/>
      </c>
      <c r="AU262">
        <f>RAND()</f>
        <v/>
      </c>
      <c r="AV262">
        <f>RAND()</f>
        <v/>
      </c>
      <c r="AW262">
        <f>RAND()</f>
        <v/>
      </c>
      <c r="AX262">
        <f>RAND()</f>
        <v/>
      </c>
      <c r="AY262">
        <f>RAND()</f>
        <v/>
      </c>
      <c r="AZ262">
        <f>RAND()</f>
        <v/>
      </c>
    </row>
    <row r="263">
      <c r="AK263" t="n">
        <v>250</v>
      </c>
      <c r="AL263">
        <f>IFERROR(IF(AU263&lt;($AM$6-$AL$6)/($AN$6-$AL$6),$AL$6+SQRT(AU263*($AN$6-$AL$6)*($AM$6-$AL$6)),$AN$6-SQRT((1-AU263)*($AN$6-$AL$6)*($AN$6-$AM$6))),$AM$6)</f>
        <v/>
      </c>
      <c r="AM263">
        <f>IFERROR(IF(AV263&lt;($AM$7-$AL$7)/($AN$7-$AL$7),$AL$7+SQRT(AV263*($AN$7-$AL$7)*($AM$7-$AL$7)),$AN$7-SQRT((1-AV263)*($AN$7-$AL$7)*($AN$7-$AM$7))),$AM$7)</f>
        <v/>
      </c>
      <c r="AN263">
        <f>IFERROR(IF(AW263&lt;($AM$8-$AL$8)/($AN$8-$AL$8),$AL$8+SQRT(AW263*($AN$8-$AL$8)*($AM$8-$AL$8)),$AN$8-SQRT((1-AW263)*($AN$8-$AL$8)*($AN$8-$AM$8))),$AM$8)</f>
        <v/>
      </c>
      <c r="AO263">
        <f>IFERROR(IF(AX263&lt;($AM$9-$AL$9)/($AN$9-$AL$9),$AL$9+SQRT(AX263*($AN$9-$AL$9)*($AM$9-$AL$9)),$AN$9-SQRT((1-AX263)*($AN$9-$AL$9)*($AN$9-$AM$9))),$AM$9)</f>
        <v/>
      </c>
      <c r="AP263">
        <f>IFERROR(IF(AY263&lt;($AM$10-$AL$10)/($AN$10-$AL$10),$AL$10+SQRT(AY263*($AN$10-$AL$10)*($AM$10-$AL$10)),$AN$10-SQRT((1-AY263)*($AN$10-$AL$10)*($AN$10-$AM$10))),$AM$10)</f>
        <v/>
      </c>
      <c r="AQ263">
        <f>IFERROR(IF(AZ263&lt;($AM$11-$AL$11)/($AN$11-$AL$11),$AL$11+SQRT(AZ263*($AN$11-$AL$11)*($AM$11-$AL$11)),$AN$11-SQRT((1-AZ263)*($AN$11-$AL$11)*($AN$11-$AM$11))),$AM$11)</f>
        <v/>
      </c>
      <c r="AR263">
        <f>SUMPRODUCT((B24:B31&lt;=$B$6)*(C24:C31*AM263+D24:D31*AO263*$B$8*AQ263)/(1+AL263/100)^B24:B31)+C32*AM263*AP263/(1+AL263/100)^$B$6</f>
        <v/>
      </c>
      <c r="AS263">
        <f>SUMPRODUCT((K24:K26&lt;=$B$6)*(L24:L26*AN263+M24:M26*AO263*$B$8*AQ263)/(1+AL263/100)^K24:K26)+L27*AN263*AP263/(1+AL263/100)^$B$6</f>
        <v/>
      </c>
      <c r="AT263">
        <f>AS263-AR263</f>
        <v/>
      </c>
      <c r="AU263">
        <f>RAND()</f>
        <v/>
      </c>
      <c r="AV263">
        <f>RAND()</f>
        <v/>
      </c>
      <c r="AW263">
        <f>RAND()</f>
        <v/>
      </c>
      <c r="AX263">
        <f>RAND()</f>
        <v/>
      </c>
      <c r="AY263">
        <f>RAND()</f>
        <v/>
      </c>
      <c r="AZ263">
        <f>RAND()</f>
        <v/>
      </c>
    </row>
    <row r="264">
      <c r="AK264" t="n">
        <v>251</v>
      </c>
      <c r="AL264">
        <f>IFERROR(IF(AU264&lt;($AM$6-$AL$6)/($AN$6-$AL$6),$AL$6+SQRT(AU264*($AN$6-$AL$6)*($AM$6-$AL$6)),$AN$6-SQRT((1-AU264)*($AN$6-$AL$6)*($AN$6-$AM$6))),$AM$6)</f>
        <v/>
      </c>
      <c r="AM264">
        <f>IFERROR(IF(AV264&lt;($AM$7-$AL$7)/($AN$7-$AL$7),$AL$7+SQRT(AV264*($AN$7-$AL$7)*($AM$7-$AL$7)),$AN$7-SQRT((1-AV264)*($AN$7-$AL$7)*($AN$7-$AM$7))),$AM$7)</f>
        <v/>
      </c>
      <c r="AN264">
        <f>IFERROR(IF(AW264&lt;($AM$8-$AL$8)/($AN$8-$AL$8),$AL$8+SQRT(AW264*($AN$8-$AL$8)*($AM$8-$AL$8)),$AN$8-SQRT((1-AW264)*($AN$8-$AL$8)*($AN$8-$AM$8))),$AM$8)</f>
        <v/>
      </c>
      <c r="AO264">
        <f>IFERROR(IF(AX264&lt;($AM$9-$AL$9)/($AN$9-$AL$9),$AL$9+SQRT(AX264*($AN$9-$AL$9)*($AM$9-$AL$9)),$AN$9-SQRT((1-AX264)*($AN$9-$AL$9)*($AN$9-$AM$9))),$AM$9)</f>
        <v/>
      </c>
      <c r="AP264">
        <f>IFERROR(IF(AY264&lt;($AM$10-$AL$10)/($AN$10-$AL$10),$AL$10+SQRT(AY264*($AN$10-$AL$10)*($AM$10-$AL$10)),$AN$10-SQRT((1-AY264)*($AN$10-$AL$10)*($AN$10-$AM$10))),$AM$10)</f>
        <v/>
      </c>
      <c r="AQ264">
        <f>IFERROR(IF(AZ264&lt;($AM$11-$AL$11)/($AN$11-$AL$11),$AL$11+SQRT(AZ264*($AN$11-$AL$11)*($AM$11-$AL$11)),$AN$11-SQRT((1-AZ264)*($AN$11-$AL$11)*($AN$11-$AM$11))),$AM$11)</f>
        <v/>
      </c>
      <c r="AR264">
        <f>SUMPRODUCT((B24:B31&lt;=$B$6)*(C24:C31*AM264+D24:D31*AO264*$B$8*AQ264)/(1+AL264/100)^B24:B31)+C32*AM264*AP264/(1+AL264/100)^$B$6</f>
        <v/>
      </c>
      <c r="AS264">
        <f>SUMPRODUCT((K24:K26&lt;=$B$6)*(L24:L26*AN264+M24:M26*AO264*$B$8*AQ264)/(1+AL264/100)^K24:K26)+L27*AN264*AP264/(1+AL264/100)^$B$6</f>
        <v/>
      </c>
      <c r="AT264">
        <f>AS264-AR264</f>
        <v/>
      </c>
      <c r="AU264">
        <f>RAND()</f>
        <v/>
      </c>
      <c r="AV264">
        <f>RAND()</f>
        <v/>
      </c>
      <c r="AW264">
        <f>RAND()</f>
        <v/>
      </c>
      <c r="AX264">
        <f>RAND()</f>
        <v/>
      </c>
      <c r="AY264">
        <f>RAND()</f>
        <v/>
      </c>
      <c r="AZ264">
        <f>RAND()</f>
        <v/>
      </c>
    </row>
    <row r="265">
      <c r="AK265" t="n">
        <v>252</v>
      </c>
      <c r="AL265">
        <f>IFERROR(IF(AU265&lt;($AM$6-$AL$6)/($AN$6-$AL$6),$AL$6+SQRT(AU265*($AN$6-$AL$6)*($AM$6-$AL$6)),$AN$6-SQRT((1-AU265)*($AN$6-$AL$6)*($AN$6-$AM$6))),$AM$6)</f>
        <v/>
      </c>
      <c r="AM265">
        <f>IFERROR(IF(AV265&lt;($AM$7-$AL$7)/($AN$7-$AL$7),$AL$7+SQRT(AV265*($AN$7-$AL$7)*($AM$7-$AL$7)),$AN$7-SQRT((1-AV265)*($AN$7-$AL$7)*($AN$7-$AM$7))),$AM$7)</f>
        <v/>
      </c>
      <c r="AN265">
        <f>IFERROR(IF(AW265&lt;($AM$8-$AL$8)/($AN$8-$AL$8),$AL$8+SQRT(AW265*($AN$8-$AL$8)*($AM$8-$AL$8)),$AN$8-SQRT((1-AW265)*($AN$8-$AL$8)*($AN$8-$AM$8))),$AM$8)</f>
        <v/>
      </c>
      <c r="AO265">
        <f>IFERROR(IF(AX265&lt;($AM$9-$AL$9)/($AN$9-$AL$9),$AL$9+SQRT(AX265*($AN$9-$AL$9)*($AM$9-$AL$9)),$AN$9-SQRT((1-AX265)*($AN$9-$AL$9)*($AN$9-$AM$9))),$AM$9)</f>
        <v/>
      </c>
      <c r="AP265">
        <f>IFERROR(IF(AY265&lt;($AM$10-$AL$10)/($AN$10-$AL$10),$AL$10+SQRT(AY265*($AN$10-$AL$10)*($AM$10-$AL$10)),$AN$10-SQRT((1-AY265)*($AN$10-$AL$10)*($AN$10-$AM$10))),$AM$10)</f>
        <v/>
      </c>
      <c r="AQ265">
        <f>IFERROR(IF(AZ265&lt;($AM$11-$AL$11)/($AN$11-$AL$11),$AL$11+SQRT(AZ265*($AN$11-$AL$11)*($AM$11-$AL$11)),$AN$11-SQRT((1-AZ265)*($AN$11-$AL$11)*($AN$11-$AM$11))),$AM$11)</f>
        <v/>
      </c>
      <c r="AR265">
        <f>SUMPRODUCT((B24:B31&lt;=$B$6)*(C24:C31*AM265+D24:D31*AO265*$B$8*AQ265)/(1+AL265/100)^B24:B31)+C32*AM265*AP265/(1+AL265/100)^$B$6</f>
        <v/>
      </c>
      <c r="AS265">
        <f>SUMPRODUCT((K24:K26&lt;=$B$6)*(L24:L26*AN265+M24:M26*AO265*$B$8*AQ265)/(1+AL265/100)^K24:K26)+L27*AN265*AP265/(1+AL265/100)^$B$6</f>
        <v/>
      </c>
      <c r="AT265">
        <f>AS265-AR265</f>
        <v/>
      </c>
      <c r="AU265">
        <f>RAND()</f>
        <v/>
      </c>
      <c r="AV265">
        <f>RAND()</f>
        <v/>
      </c>
      <c r="AW265">
        <f>RAND()</f>
        <v/>
      </c>
      <c r="AX265">
        <f>RAND()</f>
        <v/>
      </c>
      <c r="AY265">
        <f>RAND()</f>
        <v/>
      </c>
      <c r="AZ265">
        <f>RAND()</f>
        <v/>
      </c>
    </row>
    <row r="266">
      <c r="AK266" t="n">
        <v>253</v>
      </c>
      <c r="AL266">
        <f>IFERROR(IF(AU266&lt;($AM$6-$AL$6)/($AN$6-$AL$6),$AL$6+SQRT(AU266*($AN$6-$AL$6)*($AM$6-$AL$6)),$AN$6-SQRT((1-AU266)*($AN$6-$AL$6)*($AN$6-$AM$6))),$AM$6)</f>
        <v/>
      </c>
      <c r="AM266">
        <f>IFERROR(IF(AV266&lt;($AM$7-$AL$7)/($AN$7-$AL$7),$AL$7+SQRT(AV266*($AN$7-$AL$7)*($AM$7-$AL$7)),$AN$7-SQRT((1-AV266)*($AN$7-$AL$7)*($AN$7-$AM$7))),$AM$7)</f>
        <v/>
      </c>
      <c r="AN266">
        <f>IFERROR(IF(AW266&lt;($AM$8-$AL$8)/($AN$8-$AL$8),$AL$8+SQRT(AW266*($AN$8-$AL$8)*($AM$8-$AL$8)),$AN$8-SQRT((1-AW266)*($AN$8-$AL$8)*($AN$8-$AM$8))),$AM$8)</f>
        <v/>
      </c>
      <c r="AO266">
        <f>IFERROR(IF(AX266&lt;($AM$9-$AL$9)/($AN$9-$AL$9),$AL$9+SQRT(AX266*($AN$9-$AL$9)*($AM$9-$AL$9)),$AN$9-SQRT((1-AX266)*($AN$9-$AL$9)*($AN$9-$AM$9))),$AM$9)</f>
        <v/>
      </c>
      <c r="AP266">
        <f>IFERROR(IF(AY266&lt;($AM$10-$AL$10)/($AN$10-$AL$10),$AL$10+SQRT(AY266*($AN$10-$AL$10)*($AM$10-$AL$10)),$AN$10-SQRT((1-AY266)*($AN$10-$AL$10)*($AN$10-$AM$10))),$AM$10)</f>
        <v/>
      </c>
      <c r="AQ266">
        <f>IFERROR(IF(AZ266&lt;($AM$11-$AL$11)/($AN$11-$AL$11),$AL$11+SQRT(AZ266*($AN$11-$AL$11)*($AM$11-$AL$11)),$AN$11-SQRT((1-AZ266)*($AN$11-$AL$11)*($AN$11-$AM$11))),$AM$11)</f>
        <v/>
      </c>
      <c r="AR266">
        <f>SUMPRODUCT((B24:B31&lt;=$B$6)*(C24:C31*AM266+D24:D31*AO266*$B$8*AQ266)/(1+AL266/100)^B24:B31)+C32*AM266*AP266/(1+AL266/100)^$B$6</f>
        <v/>
      </c>
      <c r="AS266">
        <f>SUMPRODUCT((K24:K26&lt;=$B$6)*(L24:L26*AN266+M24:M26*AO266*$B$8*AQ266)/(1+AL266/100)^K24:K26)+L27*AN266*AP266/(1+AL266/100)^$B$6</f>
        <v/>
      </c>
      <c r="AT266">
        <f>AS266-AR266</f>
        <v/>
      </c>
      <c r="AU266">
        <f>RAND()</f>
        <v/>
      </c>
      <c r="AV266">
        <f>RAND()</f>
        <v/>
      </c>
      <c r="AW266">
        <f>RAND()</f>
        <v/>
      </c>
      <c r="AX266">
        <f>RAND()</f>
        <v/>
      </c>
      <c r="AY266">
        <f>RAND()</f>
        <v/>
      </c>
      <c r="AZ266">
        <f>RAND()</f>
        <v/>
      </c>
    </row>
    <row r="267">
      <c r="AK267" t="n">
        <v>254</v>
      </c>
      <c r="AL267">
        <f>IFERROR(IF(AU267&lt;($AM$6-$AL$6)/($AN$6-$AL$6),$AL$6+SQRT(AU267*($AN$6-$AL$6)*($AM$6-$AL$6)),$AN$6-SQRT((1-AU267)*($AN$6-$AL$6)*($AN$6-$AM$6))),$AM$6)</f>
        <v/>
      </c>
      <c r="AM267">
        <f>IFERROR(IF(AV267&lt;($AM$7-$AL$7)/($AN$7-$AL$7),$AL$7+SQRT(AV267*($AN$7-$AL$7)*($AM$7-$AL$7)),$AN$7-SQRT((1-AV267)*($AN$7-$AL$7)*($AN$7-$AM$7))),$AM$7)</f>
        <v/>
      </c>
      <c r="AN267">
        <f>IFERROR(IF(AW267&lt;($AM$8-$AL$8)/($AN$8-$AL$8),$AL$8+SQRT(AW267*($AN$8-$AL$8)*($AM$8-$AL$8)),$AN$8-SQRT((1-AW267)*($AN$8-$AL$8)*($AN$8-$AM$8))),$AM$8)</f>
        <v/>
      </c>
      <c r="AO267">
        <f>IFERROR(IF(AX267&lt;($AM$9-$AL$9)/($AN$9-$AL$9),$AL$9+SQRT(AX267*($AN$9-$AL$9)*($AM$9-$AL$9)),$AN$9-SQRT((1-AX267)*($AN$9-$AL$9)*($AN$9-$AM$9))),$AM$9)</f>
        <v/>
      </c>
      <c r="AP267">
        <f>IFERROR(IF(AY267&lt;($AM$10-$AL$10)/($AN$10-$AL$10),$AL$10+SQRT(AY267*($AN$10-$AL$10)*($AM$10-$AL$10)),$AN$10-SQRT((1-AY267)*($AN$10-$AL$10)*($AN$10-$AM$10))),$AM$10)</f>
        <v/>
      </c>
      <c r="AQ267">
        <f>IFERROR(IF(AZ267&lt;($AM$11-$AL$11)/($AN$11-$AL$11),$AL$11+SQRT(AZ267*($AN$11-$AL$11)*($AM$11-$AL$11)),$AN$11-SQRT((1-AZ267)*($AN$11-$AL$11)*($AN$11-$AM$11))),$AM$11)</f>
        <v/>
      </c>
      <c r="AR267">
        <f>SUMPRODUCT((B24:B31&lt;=$B$6)*(C24:C31*AM267+D24:D31*AO267*$B$8*AQ267)/(1+AL267/100)^B24:B31)+C32*AM267*AP267/(1+AL267/100)^$B$6</f>
        <v/>
      </c>
      <c r="AS267">
        <f>SUMPRODUCT((K24:K26&lt;=$B$6)*(L24:L26*AN267+M24:M26*AO267*$B$8*AQ267)/(1+AL267/100)^K24:K26)+L27*AN267*AP267/(1+AL267/100)^$B$6</f>
        <v/>
      </c>
      <c r="AT267">
        <f>AS267-AR267</f>
        <v/>
      </c>
      <c r="AU267">
        <f>RAND()</f>
        <v/>
      </c>
      <c r="AV267">
        <f>RAND()</f>
        <v/>
      </c>
      <c r="AW267">
        <f>RAND()</f>
        <v/>
      </c>
      <c r="AX267">
        <f>RAND()</f>
        <v/>
      </c>
      <c r="AY267">
        <f>RAND()</f>
        <v/>
      </c>
      <c r="AZ267">
        <f>RAND()</f>
        <v/>
      </c>
    </row>
    <row r="268">
      <c r="AK268" t="n">
        <v>255</v>
      </c>
      <c r="AL268">
        <f>IFERROR(IF(AU268&lt;($AM$6-$AL$6)/($AN$6-$AL$6),$AL$6+SQRT(AU268*($AN$6-$AL$6)*($AM$6-$AL$6)),$AN$6-SQRT((1-AU268)*($AN$6-$AL$6)*($AN$6-$AM$6))),$AM$6)</f>
        <v/>
      </c>
      <c r="AM268">
        <f>IFERROR(IF(AV268&lt;($AM$7-$AL$7)/($AN$7-$AL$7),$AL$7+SQRT(AV268*($AN$7-$AL$7)*($AM$7-$AL$7)),$AN$7-SQRT((1-AV268)*($AN$7-$AL$7)*($AN$7-$AM$7))),$AM$7)</f>
        <v/>
      </c>
      <c r="AN268">
        <f>IFERROR(IF(AW268&lt;($AM$8-$AL$8)/($AN$8-$AL$8),$AL$8+SQRT(AW268*($AN$8-$AL$8)*($AM$8-$AL$8)),$AN$8-SQRT((1-AW268)*($AN$8-$AL$8)*($AN$8-$AM$8))),$AM$8)</f>
        <v/>
      </c>
      <c r="AO268">
        <f>IFERROR(IF(AX268&lt;($AM$9-$AL$9)/($AN$9-$AL$9),$AL$9+SQRT(AX268*($AN$9-$AL$9)*($AM$9-$AL$9)),$AN$9-SQRT((1-AX268)*($AN$9-$AL$9)*($AN$9-$AM$9))),$AM$9)</f>
        <v/>
      </c>
      <c r="AP268">
        <f>IFERROR(IF(AY268&lt;($AM$10-$AL$10)/($AN$10-$AL$10),$AL$10+SQRT(AY268*($AN$10-$AL$10)*($AM$10-$AL$10)),$AN$10-SQRT((1-AY268)*($AN$10-$AL$10)*($AN$10-$AM$10))),$AM$10)</f>
        <v/>
      </c>
      <c r="AQ268">
        <f>IFERROR(IF(AZ268&lt;($AM$11-$AL$11)/($AN$11-$AL$11),$AL$11+SQRT(AZ268*($AN$11-$AL$11)*($AM$11-$AL$11)),$AN$11-SQRT((1-AZ268)*($AN$11-$AL$11)*($AN$11-$AM$11))),$AM$11)</f>
        <v/>
      </c>
      <c r="AR268">
        <f>SUMPRODUCT((B24:B31&lt;=$B$6)*(C24:C31*AM268+D24:D31*AO268*$B$8*AQ268)/(1+AL268/100)^B24:B31)+C32*AM268*AP268/(1+AL268/100)^$B$6</f>
        <v/>
      </c>
      <c r="AS268">
        <f>SUMPRODUCT((K24:K26&lt;=$B$6)*(L24:L26*AN268+M24:M26*AO268*$B$8*AQ268)/(1+AL268/100)^K24:K26)+L27*AN268*AP268/(1+AL268/100)^$B$6</f>
        <v/>
      </c>
      <c r="AT268">
        <f>AS268-AR268</f>
        <v/>
      </c>
      <c r="AU268">
        <f>RAND()</f>
        <v/>
      </c>
      <c r="AV268">
        <f>RAND()</f>
        <v/>
      </c>
      <c r="AW268">
        <f>RAND()</f>
        <v/>
      </c>
      <c r="AX268">
        <f>RAND()</f>
        <v/>
      </c>
      <c r="AY268">
        <f>RAND()</f>
        <v/>
      </c>
      <c r="AZ268">
        <f>RAND()</f>
        <v/>
      </c>
    </row>
    <row r="269">
      <c r="AK269" t="n">
        <v>256</v>
      </c>
      <c r="AL269">
        <f>IFERROR(IF(AU269&lt;($AM$6-$AL$6)/($AN$6-$AL$6),$AL$6+SQRT(AU269*($AN$6-$AL$6)*($AM$6-$AL$6)),$AN$6-SQRT((1-AU269)*($AN$6-$AL$6)*($AN$6-$AM$6))),$AM$6)</f>
        <v/>
      </c>
      <c r="AM269">
        <f>IFERROR(IF(AV269&lt;($AM$7-$AL$7)/($AN$7-$AL$7),$AL$7+SQRT(AV269*($AN$7-$AL$7)*($AM$7-$AL$7)),$AN$7-SQRT((1-AV269)*($AN$7-$AL$7)*($AN$7-$AM$7))),$AM$7)</f>
        <v/>
      </c>
      <c r="AN269">
        <f>IFERROR(IF(AW269&lt;($AM$8-$AL$8)/($AN$8-$AL$8),$AL$8+SQRT(AW269*($AN$8-$AL$8)*($AM$8-$AL$8)),$AN$8-SQRT((1-AW269)*($AN$8-$AL$8)*($AN$8-$AM$8))),$AM$8)</f>
        <v/>
      </c>
      <c r="AO269">
        <f>IFERROR(IF(AX269&lt;($AM$9-$AL$9)/($AN$9-$AL$9),$AL$9+SQRT(AX269*($AN$9-$AL$9)*($AM$9-$AL$9)),$AN$9-SQRT((1-AX269)*($AN$9-$AL$9)*($AN$9-$AM$9))),$AM$9)</f>
        <v/>
      </c>
      <c r="AP269">
        <f>IFERROR(IF(AY269&lt;($AM$10-$AL$10)/($AN$10-$AL$10),$AL$10+SQRT(AY269*($AN$10-$AL$10)*($AM$10-$AL$10)),$AN$10-SQRT((1-AY269)*($AN$10-$AL$10)*($AN$10-$AM$10))),$AM$10)</f>
        <v/>
      </c>
      <c r="AQ269">
        <f>IFERROR(IF(AZ269&lt;($AM$11-$AL$11)/($AN$11-$AL$11),$AL$11+SQRT(AZ269*($AN$11-$AL$11)*($AM$11-$AL$11)),$AN$11-SQRT((1-AZ269)*($AN$11-$AL$11)*($AN$11-$AM$11))),$AM$11)</f>
        <v/>
      </c>
      <c r="AR269">
        <f>SUMPRODUCT((B24:B31&lt;=$B$6)*(C24:C31*AM269+D24:D31*AO269*$B$8*AQ269)/(1+AL269/100)^B24:B31)+C32*AM269*AP269/(1+AL269/100)^$B$6</f>
        <v/>
      </c>
      <c r="AS269">
        <f>SUMPRODUCT((K24:K26&lt;=$B$6)*(L24:L26*AN269+M24:M26*AO269*$B$8*AQ269)/(1+AL269/100)^K24:K26)+L27*AN269*AP269/(1+AL269/100)^$B$6</f>
        <v/>
      </c>
      <c r="AT269">
        <f>AS269-AR269</f>
        <v/>
      </c>
      <c r="AU269">
        <f>RAND()</f>
        <v/>
      </c>
      <c r="AV269">
        <f>RAND()</f>
        <v/>
      </c>
      <c r="AW269">
        <f>RAND()</f>
        <v/>
      </c>
      <c r="AX269">
        <f>RAND()</f>
        <v/>
      </c>
      <c r="AY269">
        <f>RAND()</f>
        <v/>
      </c>
      <c r="AZ269">
        <f>RAND()</f>
        <v/>
      </c>
    </row>
    <row r="270">
      <c r="AK270" t="n">
        <v>257</v>
      </c>
      <c r="AL270">
        <f>IFERROR(IF(AU270&lt;($AM$6-$AL$6)/($AN$6-$AL$6),$AL$6+SQRT(AU270*($AN$6-$AL$6)*($AM$6-$AL$6)),$AN$6-SQRT((1-AU270)*($AN$6-$AL$6)*($AN$6-$AM$6))),$AM$6)</f>
        <v/>
      </c>
      <c r="AM270">
        <f>IFERROR(IF(AV270&lt;($AM$7-$AL$7)/($AN$7-$AL$7),$AL$7+SQRT(AV270*($AN$7-$AL$7)*($AM$7-$AL$7)),$AN$7-SQRT((1-AV270)*($AN$7-$AL$7)*($AN$7-$AM$7))),$AM$7)</f>
        <v/>
      </c>
      <c r="AN270">
        <f>IFERROR(IF(AW270&lt;($AM$8-$AL$8)/($AN$8-$AL$8),$AL$8+SQRT(AW270*($AN$8-$AL$8)*($AM$8-$AL$8)),$AN$8-SQRT((1-AW270)*($AN$8-$AL$8)*($AN$8-$AM$8))),$AM$8)</f>
        <v/>
      </c>
      <c r="AO270">
        <f>IFERROR(IF(AX270&lt;($AM$9-$AL$9)/($AN$9-$AL$9),$AL$9+SQRT(AX270*($AN$9-$AL$9)*($AM$9-$AL$9)),$AN$9-SQRT((1-AX270)*($AN$9-$AL$9)*($AN$9-$AM$9))),$AM$9)</f>
        <v/>
      </c>
      <c r="AP270">
        <f>IFERROR(IF(AY270&lt;($AM$10-$AL$10)/($AN$10-$AL$10),$AL$10+SQRT(AY270*($AN$10-$AL$10)*($AM$10-$AL$10)),$AN$10-SQRT((1-AY270)*($AN$10-$AL$10)*($AN$10-$AM$10))),$AM$10)</f>
        <v/>
      </c>
      <c r="AQ270">
        <f>IFERROR(IF(AZ270&lt;($AM$11-$AL$11)/($AN$11-$AL$11),$AL$11+SQRT(AZ270*($AN$11-$AL$11)*($AM$11-$AL$11)),$AN$11-SQRT((1-AZ270)*($AN$11-$AL$11)*($AN$11-$AM$11))),$AM$11)</f>
        <v/>
      </c>
      <c r="AR270">
        <f>SUMPRODUCT((B24:B31&lt;=$B$6)*(C24:C31*AM270+D24:D31*AO270*$B$8*AQ270)/(1+AL270/100)^B24:B31)+C32*AM270*AP270/(1+AL270/100)^$B$6</f>
        <v/>
      </c>
      <c r="AS270">
        <f>SUMPRODUCT((K24:K26&lt;=$B$6)*(L24:L26*AN270+M24:M26*AO270*$B$8*AQ270)/(1+AL270/100)^K24:K26)+L27*AN270*AP270/(1+AL270/100)^$B$6</f>
        <v/>
      </c>
      <c r="AT270">
        <f>AS270-AR270</f>
        <v/>
      </c>
      <c r="AU270">
        <f>RAND()</f>
        <v/>
      </c>
      <c r="AV270">
        <f>RAND()</f>
        <v/>
      </c>
      <c r="AW270">
        <f>RAND()</f>
        <v/>
      </c>
      <c r="AX270">
        <f>RAND()</f>
        <v/>
      </c>
      <c r="AY270">
        <f>RAND()</f>
        <v/>
      </c>
      <c r="AZ270">
        <f>RAND()</f>
        <v/>
      </c>
    </row>
    <row r="271">
      <c r="AK271" t="n">
        <v>258</v>
      </c>
      <c r="AL271">
        <f>IFERROR(IF(AU271&lt;($AM$6-$AL$6)/($AN$6-$AL$6),$AL$6+SQRT(AU271*($AN$6-$AL$6)*($AM$6-$AL$6)),$AN$6-SQRT((1-AU271)*($AN$6-$AL$6)*($AN$6-$AM$6))),$AM$6)</f>
        <v/>
      </c>
      <c r="AM271">
        <f>IFERROR(IF(AV271&lt;($AM$7-$AL$7)/($AN$7-$AL$7),$AL$7+SQRT(AV271*($AN$7-$AL$7)*($AM$7-$AL$7)),$AN$7-SQRT((1-AV271)*($AN$7-$AL$7)*($AN$7-$AM$7))),$AM$7)</f>
        <v/>
      </c>
      <c r="AN271">
        <f>IFERROR(IF(AW271&lt;($AM$8-$AL$8)/($AN$8-$AL$8),$AL$8+SQRT(AW271*($AN$8-$AL$8)*($AM$8-$AL$8)),$AN$8-SQRT((1-AW271)*($AN$8-$AL$8)*($AN$8-$AM$8))),$AM$8)</f>
        <v/>
      </c>
      <c r="AO271">
        <f>IFERROR(IF(AX271&lt;($AM$9-$AL$9)/($AN$9-$AL$9),$AL$9+SQRT(AX271*($AN$9-$AL$9)*($AM$9-$AL$9)),$AN$9-SQRT((1-AX271)*($AN$9-$AL$9)*($AN$9-$AM$9))),$AM$9)</f>
        <v/>
      </c>
      <c r="AP271">
        <f>IFERROR(IF(AY271&lt;($AM$10-$AL$10)/($AN$10-$AL$10),$AL$10+SQRT(AY271*($AN$10-$AL$10)*($AM$10-$AL$10)),$AN$10-SQRT((1-AY271)*($AN$10-$AL$10)*($AN$10-$AM$10))),$AM$10)</f>
        <v/>
      </c>
      <c r="AQ271">
        <f>IFERROR(IF(AZ271&lt;($AM$11-$AL$11)/($AN$11-$AL$11),$AL$11+SQRT(AZ271*($AN$11-$AL$11)*($AM$11-$AL$11)),$AN$11-SQRT((1-AZ271)*($AN$11-$AL$11)*($AN$11-$AM$11))),$AM$11)</f>
        <v/>
      </c>
      <c r="AR271">
        <f>SUMPRODUCT((B24:B31&lt;=$B$6)*(C24:C31*AM271+D24:D31*AO271*$B$8*AQ271)/(1+AL271/100)^B24:B31)+C32*AM271*AP271/(1+AL271/100)^$B$6</f>
        <v/>
      </c>
      <c r="AS271">
        <f>SUMPRODUCT((K24:K26&lt;=$B$6)*(L24:L26*AN271+M24:M26*AO271*$B$8*AQ271)/(1+AL271/100)^K24:K26)+L27*AN271*AP271/(1+AL271/100)^$B$6</f>
        <v/>
      </c>
      <c r="AT271">
        <f>AS271-AR271</f>
        <v/>
      </c>
      <c r="AU271">
        <f>RAND()</f>
        <v/>
      </c>
      <c r="AV271">
        <f>RAND()</f>
        <v/>
      </c>
      <c r="AW271">
        <f>RAND()</f>
        <v/>
      </c>
      <c r="AX271">
        <f>RAND()</f>
        <v/>
      </c>
      <c r="AY271">
        <f>RAND()</f>
        <v/>
      </c>
      <c r="AZ271">
        <f>RAND()</f>
        <v/>
      </c>
    </row>
    <row r="272">
      <c r="AK272" t="n">
        <v>259</v>
      </c>
      <c r="AL272">
        <f>IFERROR(IF(AU272&lt;($AM$6-$AL$6)/($AN$6-$AL$6),$AL$6+SQRT(AU272*($AN$6-$AL$6)*($AM$6-$AL$6)),$AN$6-SQRT((1-AU272)*($AN$6-$AL$6)*($AN$6-$AM$6))),$AM$6)</f>
        <v/>
      </c>
      <c r="AM272">
        <f>IFERROR(IF(AV272&lt;($AM$7-$AL$7)/($AN$7-$AL$7),$AL$7+SQRT(AV272*($AN$7-$AL$7)*($AM$7-$AL$7)),$AN$7-SQRT((1-AV272)*($AN$7-$AL$7)*($AN$7-$AM$7))),$AM$7)</f>
        <v/>
      </c>
      <c r="AN272">
        <f>IFERROR(IF(AW272&lt;($AM$8-$AL$8)/($AN$8-$AL$8),$AL$8+SQRT(AW272*($AN$8-$AL$8)*($AM$8-$AL$8)),$AN$8-SQRT((1-AW272)*($AN$8-$AL$8)*($AN$8-$AM$8))),$AM$8)</f>
        <v/>
      </c>
      <c r="AO272">
        <f>IFERROR(IF(AX272&lt;($AM$9-$AL$9)/($AN$9-$AL$9),$AL$9+SQRT(AX272*($AN$9-$AL$9)*($AM$9-$AL$9)),$AN$9-SQRT((1-AX272)*($AN$9-$AL$9)*($AN$9-$AM$9))),$AM$9)</f>
        <v/>
      </c>
      <c r="AP272">
        <f>IFERROR(IF(AY272&lt;($AM$10-$AL$10)/($AN$10-$AL$10),$AL$10+SQRT(AY272*($AN$10-$AL$10)*($AM$10-$AL$10)),$AN$10-SQRT((1-AY272)*($AN$10-$AL$10)*($AN$10-$AM$10))),$AM$10)</f>
        <v/>
      </c>
      <c r="AQ272">
        <f>IFERROR(IF(AZ272&lt;($AM$11-$AL$11)/($AN$11-$AL$11),$AL$11+SQRT(AZ272*($AN$11-$AL$11)*($AM$11-$AL$11)),$AN$11-SQRT((1-AZ272)*($AN$11-$AL$11)*($AN$11-$AM$11))),$AM$11)</f>
        <v/>
      </c>
      <c r="AR272">
        <f>SUMPRODUCT((B24:B31&lt;=$B$6)*(C24:C31*AM272+D24:D31*AO272*$B$8*AQ272)/(1+AL272/100)^B24:B31)+C32*AM272*AP272/(1+AL272/100)^$B$6</f>
        <v/>
      </c>
      <c r="AS272">
        <f>SUMPRODUCT((K24:K26&lt;=$B$6)*(L24:L26*AN272+M24:M26*AO272*$B$8*AQ272)/(1+AL272/100)^K24:K26)+L27*AN272*AP272/(1+AL272/100)^$B$6</f>
        <v/>
      </c>
      <c r="AT272">
        <f>AS272-AR272</f>
        <v/>
      </c>
      <c r="AU272">
        <f>RAND()</f>
        <v/>
      </c>
      <c r="AV272">
        <f>RAND()</f>
        <v/>
      </c>
      <c r="AW272">
        <f>RAND()</f>
        <v/>
      </c>
      <c r="AX272">
        <f>RAND()</f>
        <v/>
      </c>
      <c r="AY272">
        <f>RAND()</f>
        <v/>
      </c>
      <c r="AZ272">
        <f>RAND()</f>
        <v/>
      </c>
    </row>
    <row r="273">
      <c r="AK273" t="n">
        <v>260</v>
      </c>
      <c r="AL273">
        <f>IFERROR(IF(AU273&lt;($AM$6-$AL$6)/($AN$6-$AL$6),$AL$6+SQRT(AU273*($AN$6-$AL$6)*($AM$6-$AL$6)),$AN$6-SQRT((1-AU273)*($AN$6-$AL$6)*($AN$6-$AM$6))),$AM$6)</f>
        <v/>
      </c>
      <c r="AM273">
        <f>IFERROR(IF(AV273&lt;($AM$7-$AL$7)/($AN$7-$AL$7),$AL$7+SQRT(AV273*($AN$7-$AL$7)*($AM$7-$AL$7)),$AN$7-SQRT((1-AV273)*($AN$7-$AL$7)*($AN$7-$AM$7))),$AM$7)</f>
        <v/>
      </c>
      <c r="AN273">
        <f>IFERROR(IF(AW273&lt;($AM$8-$AL$8)/($AN$8-$AL$8),$AL$8+SQRT(AW273*($AN$8-$AL$8)*($AM$8-$AL$8)),$AN$8-SQRT((1-AW273)*($AN$8-$AL$8)*($AN$8-$AM$8))),$AM$8)</f>
        <v/>
      </c>
      <c r="AO273">
        <f>IFERROR(IF(AX273&lt;($AM$9-$AL$9)/($AN$9-$AL$9),$AL$9+SQRT(AX273*($AN$9-$AL$9)*($AM$9-$AL$9)),$AN$9-SQRT((1-AX273)*($AN$9-$AL$9)*($AN$9-$AM$9))),$AM$9)</f>
        <v/>
      </c>
      <c r="AP273">
        <f>IFERROR(IF(AY273&lt;($AM$10-$AL$10)/($AN$10-$AL$10),$AL$10+SQRT(AY273*($AN$10-$AL$10)*($AM$10-$AL$10)),$AN$10-SQRT((1-AY273)*($AN$10-$AL$10)*($AN$10-$AM$10))),$AM$10)</f>
        <v/>
      </c>
      <c r="AQ273">
        <f>IFERROR(IF(AZ273&lt;($AM$11-$AL$11)/($AN$11-$AL$11),$AL$11+SQRT(AZ273*($AN$11-$AL$11)*($AM$11-$AL$11)),$AN$11-SQRT((1-AZ273)*($AN$11-$AL$11)*($AN$11-$AM$11))),$AM$11)</f>
        <v/>
      </c>
      <c r="AR273">
        <f>SUMPRODUCT((B24:B31&lt;=$B$6)*(C24:C31*AM273+D24:D31*AO273*$B$8*AQ273)/(1+AL273/100)^B24:B31)+C32*AM273*AP273/(1+AL273/100)^$B$6</f>
        <v/>
      </c>
      <c r="AS273">
        <f>SUMPRODUCT((K24:K26&lt;=$B$6)*(L24:L26*AN273+M24:M26*AO273*$B$8*AQ273)/(1+AL273/100)^K24:K26)+L27*AN273*AP273/(1+AL273/100)^$B$6</f>
        <v/>
      </c>
      <c r="AT273">
        <f>AS273-AR273</f>
        <v/>
      </c>
      <c r="AU273">
        <f>RAND()</f>
        <v/>
      </c>
      <c r="AV273">
        <f>RAND()</f>
        <v/>
      </c>
      <c r="AW273">
        <f>RAND()</f>
        <v/>
      </c>
      <c r="AX273">
        <f>RAND()</f>
        <v/>
      </c>
      <c r="AY273">
        <f>RAND()</f>
        <v/>
      </c>
      <c r="AZ273">
        <f>RAND()</f>
        <v/>
      </c>
    </row>
    <row r="274">
      <c r="AK274" t="n">
        <v>261</v>
      </c>
      <c r="AL274">
        <f>IFERROR(IF(AU274&lt;($AM$6-$AL$6)/($AN$6-$AL$6),$AL$6+SQRT(AU274*($AN$6-$AL$6)*($AM$6-$AL$6)),$AN$6-SQRT((1-AU274)*($AN$6-$AL$6)*($AN$6-$AM$6))),$AM$6)</f>
        <v/>
      </c>
      <c r="AM274">
        <f>IFERROR(IF(AV274&lt;($AM$7-$AL$7)/($AN$7-$AL$7),$AL$7+SQRT(AV274*($AN$7-$AL$7)*($AM$7-$AL$7)),$AN$7-SQRT((1-AV274)*($AN$7-$AL$7)*($AN$7-$AM$7))),$AM$7)</f>
        <v/>
      </c>
      <c r="AN274">
        <f>IFERROR(IF(AW274&lt;($AM$8-$AL$8)/($AN$8-$AL$8),$AL$8+SQRT(AW274*($AN$8-$AL$8)*($AM$8-$AL$8)),$AN$8-SQRT((1-AW274)*($AN$8-$AL$8)*($AN$8-$AM$8))),$AM$8)</f>
        <v/>
      </c>
      <c r="AO274">
        <f>IFERROR(IF(AX274&lt;($AM$9-$AL$9)/($AN$9-$AL$9),$AL$9+SQRT(AX274*($AN$9-$AL$9)*($AM$9-$AL$9)),$AN$9-SQRT((1-AX274)*($AN$9-$AL$9)*($AN$9-$AM$9))),$AM$9)</f>
        <v/>
      </c>
      <c r="AP274">
        <f>IFERROR(IF(AY274&lt;($AM$10-$AL$10)/($AN$10-$AL$10),$AL$10+SQRT(AY274*($AN$10-$AL$10)*($AM$10-$AL$10)),$AN$10-SQRT((1-AY274)*($AN$10-$AL$10)*($AN$10-$AM$10))),$AM$10)</f>
        <v/>
      </c>
      <c r="AQ274">
        <f>IFERROR(IF(AZ274&lt;($AM$11-$AL$11)/($AN$11-$AL$11),$AL$11+SQRT(AZ274*($AN$11-$AL$11)*($AM$11-$AL$11)),$AN$11-SQRT((1-AZ274)*($AN$11-$AL$11)*($AN$11-$AM$11))),$AM$11)</f>
        <v/>
      </c>
      <c r="AR274">
        <f>SUMPRODUCT((B24:B31&lt;=$B$6)*(C24:C31*AM274+D24:D31*AO274*$B$8*AQ274)/(1+AL274/100)^B24:B31)+C32*AM274*AP274/(1+AL274/100)^$B$6</f>
        <v/>
      </c>
      <c r="AS274">
        <f>SUMPRODUCT((K24:K26&lt;=$B$6)*(L24:L26*AN274+M24:M26*AO274*$B$8*AQ274)/(1+AL274/100)^K24:K26)+L27*AN274*AP274/(1+AL274/100)^$B$6</f>
        <v/>
      </c>
      <c r="AT274">
        <f>AS274-AR274</f>
        <v/>
      </c>
      <c r="AU274">
        <f>RAND()</f>
        <v/>
      </c>
      <c r="AV274">
        <f>RAND()</f>
        <v/>
      </c>
      <c r="AW274">
        <f>RAND()</f>
        <v/>
      </c>
      <c r="AX274">
        <f>RAND()</f>
        <v/>
      </c>
      <c r="AY274">
        <f>RAND()</f>
        <v/>
      </c>
      <c r="AZ274">
        <f>RAND()</f>
        <v/>
      </c>
    </row>
    <row r="275">
      <c r="AK275" t="n">
        <v>262</v>
      </c>
      <c r="AL275">
        <f>IFERROR(IF(AU275&lt;($AM$6-$AL$6)/($AN$6-$AL$6),$AL$6+SQRT(AU275*($AN$6-$AL$6)*($AM$6-$AL$6)),$AN$6-SQRT((1-AU275)*($AN$6-$AL$6)*($AN$6-$AM$6))),$AM$6)</f>
        <v/>
      </c>
      <c r="AM275">
        <f>IFERROR(IF(AV275&lt;($AM$7-$AL$7)/($AN$7-$AL$7),$AL$7+SQRT(AV275*($AN$7-$AL$7)*($AM$7-$AL$7)),$AN$7-SQRT((1-AV275)*($AN$7-$AL$7)*($AN$7-$AM$7))),$AM$7)</f>
        <v/>
      </c>
      <c r="AN275">
        <f>IFERROR(IF(AW275&lt;($AM$8-$AL$8)/($AN$8-$AL$8),$AL$8+SQRT(AW275*($AN$8-$AL$8)*($AM$8-$AL$8)),$AN$8-SQRT((1-AW275)*($AN$8-$AL$8)*($AN$8-$AM$8))),$AM$8)</f>
        <v/>
      </c>
      <c r="AO275">
        <f>IFERROR(IF(AX275&lt;($AM$9-$AL$9)/($AN$9-$AL$9),$AL$9+SQRT(AX275*($AN$9-$AL$9)*($AM$9-$AL$9)),$AN$9-SQRT((1-AX275)*($AN$9-$AL$9)*($AN$9-$AM$9))),$AM$9)</f>
        <v/>
      </c>
      <c r="AP275">
        <f>IFERROR(IF(AY275&lt;($AM$10-$AL$10)/($AN$10-$AL$10),$AL$10+SQRT(AY275*($AN$10-$AL$10)*($AM$10-$AL$10)),$AN$10-SQRT((1-AY275)*($AN$10-$AL$10)*($AN$10-$AM$10))),$AM$10)</f>
        <v/>
      </c>
      <c r="AQ275">
        <f>IFERROR(IF(AZ275&lt;($AM$11-$AL$11)/($AN$11-$AL$11),$AL$11+SQRT(AZ275*($AN$11-$AL$11)*($AM$11-$AL$11)),$AN$11-SQRT((1-AZ275)*($AN$11-$AL$11)*($AN$11-$AM$11))),$AM$11)</f>
        <v/>
      </c>
      <c r="AR275">
        <f>SUMPRODUCT((B24:B31&lt;=$B$6)*(C24:C31*AM275+D24:D31*AO275*$B$8*AQ275)/(1+AL275/100)^B24:B31)+C32*AM275*AP275/(1+AL275/100)^$B$6</f>
        <v/>
      </c>
      <c r="AS275">
        <f>SUMPRODUCT((K24:K26&lt;=$B$6)*(L24:L26*AN275+M24:M26*AO275*$B$8*AQ275)/(1+AL275/100)^K24:K26)+L27*AN275*AP275/(1+AL275/100)^$B$6</f>
        <v/>
      </c>
      <c r="AT275">
        <f>AS275-AR275</f>
        <v/>
      </c>
      <c r="AU275">
        <f>RAND()</f>
        <v/>
      </c>
      <c r="AV275">
        <f>RAND()</f>
        <v/>
      </c>
      <c r="AW275">
        <f>RAND()</f>
        <v/>
      </c>
      <c r="AX275">
        <f>RAND()</f>
        <v/>
      </c>
      <c r="AY275">
        <f>RAND()</f>
        <v/>
      </c>
      <c r="AZ275">
        <f>RAND()</f>
        <v/>
      </c>
    </row>
    <row r="276">
      <c r="AK276" t="n">
        <v>263</v>
      </c>
      <c r="AL276">
        <f>IFERROR(IF(AU276&lt;($AM$6-$AL$6)/($AN$6-$AL$6),$AL$6+SQRT(AU276*($AN$6-$AL$6)*($AM$6-$AL$6)),$AN$6-SQRT((1-AU276)*($AN$6-$AL$6)*($AN$6-$AM$6))),$AM$6)</f>
        <v/>
      </c>
      <c r="AM276">
        <f>IFERROR(IF(AV276&lt;($AM$7-$AL$7)/($AN$7-$AL$7),$AL$7+SQRT(AV276*($AN$7-$AL$7)*($AM$7-$AL$7)),$AN$7-SQRT((1-AV276)*($AN$7-$AL$7)*($AN$7-$AM$7))),$AM$7)</f>
        <v/>
      </c>
      <c r="AN276">
        <f>IFERROR(IF(AW276&lt;($AM$8-$AL$8)/($AN$8-$AL$8),$AL$8+SQRT(AW276*($AN$8-$AL$8)*($AM$8-$AL$8)),$AN$8-SQRT((1-AW276)*($AN$8-$AL$8)*($AN$8-$AM$8))),$AM$8)</f>
        <v/>
      </c>
      <c r="AO276">
        <f>IFERROR(IF(AX276&lt;($AM$9-$AL$9)/($AN$9-$AL$9),$AL$9+SQRT(AX276*($AN$9-$AL$9)*($AM$9-$AL$9)),$AN$9-SQRT((1-AX276)*($AN$9-$AL$9)*($AN$9-$AM$9))),$AM$9)</f>
        <v/>
      </c>
      <c r="AP276">
        <f>IFERROR(IF(AY276&lt;($AM$10-$AL$10)/($AN$10-$AL$10),$AL$10+SQRT(AY276*($AN$10-$AL$10)*($AM$10-$AL$10)),$AN$10-SQRT((1-AY276)*($AN$10-$AL$10)*($AN$10-$AM$10))),$AM$10)</f>
        <v/>
      </c>
      <c r="AQ276">
        <f>IFERROR(IF(AZ276&lt;($AM$11-$AL$11)/($AN$11-$AL$11),$AL$11+SQRT(AZ276*($AN$11-$AL$11)*($AM$11-$AL$11)),$AN$11-SQRT((1-AZ276)*($AN$11-$AL$11)*($AN$11-$AM$11))),$AM$11)</f>
        <v/>
      </c>
      <c r="AR276">
        <f>SUMPRODUCT((B24:B31&lt;=$B$6)*(C24:C31*AM276+D24:D31*AO276*$B$8*AQ276)/(1+AL276/100)^B24:B31)+C32*AM276*AP276/(1+AL276/100)^$B$6</f>
        <v/>
      </c>
      <c r="AS276">
        <f>SUMPRODUCT((K24:K26&lt;=$B$6)*(L24:L26*AN276+M24:M26*AO276*$B$8*AQ276)/(1+AL276/100)^K24:K26)+L27*AN276*AP276/(1+AL276/100)^$B$6</f>
        <v/>
      </c>
      <c r="AT276">
        <f>AS276-AR276</f>
        <v/>
      </c>
      <c r="AU276">
        <f>RAND()</f>
        <v/>
      </c>
      <c r="AV276">
        <f>RAND()</f>
        <v/>
      </c>
      <c r="AW276">
        <f>RAND()</f>
        <v/>
      </c>
      <c r="AX276">
        <f>RAND()</f>
        <v/>
      </c>
      <c r="AY276">
        <f>RAND()</f>
        <v/>
      </c>
      <c r="AZ276">
        <f>RAND()</f>
        <v/>
      </c>
    </row>
    <row r="277">
      <c r="AK277" t="n">
        <v>264</v>
      </c>
      <c r="AL277">
        <f>IFERROR(IF(AU277&lt;($AM$6-$AL$6)/($AN$6-$AL$6),$AL$6+SQRT(AU277*($AN$6-$AL$6)*($AM$6-$AL$6)),$AN$6-SQRT((1-AU277)*($AN$6-$AL$6)*($AN$6-$AM$6))),$AM$6)</f>
        <v/>
      </c>
      <c r="AM277">
        <f>IFERROR(IF(AV277&lt;($AM$7-$AL$7)/($AN$7-$AL$7),$AL$7+SQRT(AV277*($AN$7-$AL$7)*($AM$7-$AL$7)),$AN$7-SQRT((1-AV277)*($AN$7-$AL$7)*($AN$7-$AM$7))),$AM$7)</f>
        <v/>
      </c>
      <c r="AN277">
        <f>IFERROR(IF(AW277&lt;($AM$8-$AL$8)/($AN$8-$AL$8),$AL$8+SQRT(AW277*($AN$8-$AL$8)*($AM$8-$AL$8)),$AN$8-SQRT((1-AW277)*($AN$8-$AL$8)*($AN$8-$AM$8))),$AM$8)</f>
        <v/>
      </c>
      <c r="AO277">
        <f>IFERROR(IF(AX277&lt;($AM$9-$AL$9)/($AN$9-$AL$9),$AL$9+SQRT(AX277*($AN$9-$AL$9)*($AM$9-$AL$9)),$AN$9-SQRT((1-AX277)*($AN$9-$AL$9)*($AN$9-$AM$9))),$AM$9)</f>
        <v/>
      </c>
      <c r="AP277">
        <f>IFERROR(IF(AY277&lt;($AM$10-$AL$10)/($AN$10-$AL$10),$AL$10+SQRT(AY277*($AN$10-$AL$10)*($AM$10-$AL$10)),$AN$10-SQRT((1-AY277)*($AN$10-$AL$10)*($AN$10-$AM$10))),$AM$10)</f>
        <v/>
      </c>
      <c r="AQ277">
        <f>IFERROR(IF(AZ277&lt;($AM$11-$AL$11)/($AN$11-$AL$11),$AL$11+SQRT(AZ277*($AN$11-$AL$11)*($AM$11-$AL$11)),$AN$11-SQRT((1-AZ277)*($AN$11-$AL$11)*($AN$11-$AM$11))),$AM$11)</f>
        <v/>
      </c>
      <c r="AR277">
        <f>SUMPRODUCT((B24:B31&lt;=$B$6)*(C24:C31*AM277+D24:D31*AO277*$B$8*AQ277)/(1+AL277/100)^B24:B31)+C32*AM277*AP277/(1+AL277/100)^$B$6</f>
        <v/>
      </c>
      <c r="AS277">
        <f>SUMPRODUCT((K24:K26&lt;=$B$6)*(L24:L26*AN277+M24:M26*AO277*$B$8*AQ277)/(1+AL277/100)^K24:K26)+L27*AN277*AP277/(1+AL277/100)^$B$6</f>
        <v/>
      </c>
      <c r="AT277">
        <f>AS277-AR277</f>
        <v/>
      </c>
      <c r="AU277">
        <f>RAND()</f>
        <v/>
      </c>
      <c r="AV277">
        <f>RAND()</f>
        <v/>
      </c>
      <c r="AW277">
        <f>RAND()</f>
        <v/>
      </c>
      <c r="AX277">
        <f>RAND()</f>
        <v/>
      </c>
      <c r="AY277">
        <f>RAND()</f>
        <v/>
      </c>
      <c r="AZ277">
        <f>RAND()</f>
        <v/>
      </c>
    </row>
    <row r="278">
      <c r="AK278" t="n">
        <v>265</v>
      </c>
      <c r="AL278">
        <f>IFERROR(IF(AU278&lt;($AM$6-$AL$6)/($AN$6-$AL$6),$AL$6+SQRT(AU278*($AN$6-$AL$6)*($AM$6-$AL$6)),$AN$6-SQRT((1-AU278)*($AN$6-$AL$6)*($AN$6-$AM$6))),$AM$6)</f>
        <v/>
      </c>
      <c r="AM278">
        <f>IFERROR(IF(AV278&lt;($AM$7-$AL$7)/($AN$7-$AL$7),$AL$7+SQRT(AV278*($AN$7-$AL$7)*($AM$7-$AL$7)),$AN$7-SQRT((1-AV278)*($AN$7-$AL$7)*($AN$7-$AM$7))),$AM$7)</f>
        <v/>
      </c>
      <c r="AN278">
        <f>IFERROR(IF(AW278&lt;($AM$8-$AL$8)/($AN$8-$AL$8),$AL$8+SQRT(AW278*($AN$8-$AL$8)*($AM$8-$AL$8)),$AN$8-SQRT((1-AW278)*($AN$8-$AL$8)*($AN$8-$AM$8))),$AM$8)</f>
        <v/>
      </c>
      <c r="AO278">
        <f>IFERROR(IF(AX278&lt;($AM$9-$AL$9)/($AN$9-$AL$9),$AL$9+SQRT(AX278*($AN$9-$AL$9)*($AM$9-$AL$9)),$AN$9-SQRT((1-AX278)*($AN$9-$AL$9)*($AN$9-$AM$9))),$AM$9)</f>
        <v/>
      </c>
      <c r="AP278">
        <f>IFERROR(IF(AY278&lt;($AM$10-$AL$10)/($AN$10-$AL$10),$AL$10+SQRT(AY278*($AN$10-$AL$10)*($AM$10-$AL$10)),$AN$10-SQRT((1-AY278)*($AN$10-$AL$10)*($AN$10-$AM$10))),$AM$10)</f>
        <v/>
      </c>
      <c r="AQ278">
        <f>IFERROR(IF(AZ278&lt;($AM$11-$AL$11)/($AN$11-$AL$11),$AL$11+SQRT(AZ278*($AN$11-$AL$11)*($AM$11-$AL$11)),$AN$11-SQRT((1-AZ278)*($AN$11-$AL$11)*($AN$11-$AM$11))),$AM$11)</f>
        <v/>
      </c>
      <c r="AR278">
        <f>SUMPRODUCT((B24:B31&lt;=$B$6)*(C24:C31*AM278+D24:D31*AO278*$B$8*AQ278)/(1+AL278/100)^B24:B31)+C32*AM278*AP278/(1+AL278/100)^$B$6</f>
        <v/>
      </c>
      <c r="AS278">
        <f>SUMPRODUCT((K24:K26&lt;=$B$6)*(L24:L26*AN278+M24:M26*AO278*$B$8*AQ278)/(1+AL278/100)^K24:K26)+L27*AN278*AP278/(1+AL278/100)^$B$6</f>
        <v/>
      </c>
      <c r="AT278">
        <f>AS278-AR278</f>
        <v/>
      </c>
      <c r="AU278">
        <f>RAND()</f>
        <v/>
      </c>
      <c r="AV278">
        <f>RAND()</f>
        <v/>
      </c>
      <c r="AW278">
        <f>RAND()</f>
        <v/>
      </c>
      <c r="AX278">
        <f>RAND()</f>
        <v/>
      </c>
      <c r="AY278">
        <f>RAND()</f>
        <v/>
      </c>
      <c r="AZ278">
        <f>RAND()</f>
        <v/>
      </c>
    </row>
    <row r="279">
      <c r="AK279" t="n">
        <v>266</v>
      </c>
      <c r="AL279">
        <f>IFERROR(IF(AU279&lt;($AM$6-$AL$6)/($AN$6-$AL$6),$AL$6+SQRT(AU279*($AN$6-$AL$6)*($AM$6-$AL$6)),$AN$6-SQRT((1-AU279)*($AN$6-$AL$6)*($AN$6-$AM$6))),$AM$6)</f>
        <v/>
      </c>
      <c r="AM279">
        <f>IFERROR(IF(AV279&lt;($AM$7-$AL$7)/($AN$7-$AL$7),$AL$7+SQRT(AV279*($AN$7-$AL$7)*($AM$7-$AL$7)),$AN$7-SQRT((1-AV279)*($AN$7-$AL$7)*($AN$7-$AM$7))),$AM$7)</f>
        <v/>
      </c>
      <c r="AN279">
        <f>IFERROR(IF(AW279&lt;($AM$8-$AL$8)/($AN$8-$AL$8),$AL$8+SQRT(AW279*($AN$8-$AL$8)*($AM$8-$AL$8)),$AN$8-SQRT((1-AW279)*($AN$8-$AL$8)*($AN$8-$AM$8))),$AM$8)</f>
        <v/>
      </c>
      <c r="AO279">
        <f>IFERROR(IF(AX279&lt;($AM$9-$AL$9)/($AN$9-$AL$9),$AL$9+SQRT(AX279*($AN$9-$AL$9)*($AM$9-$AL$9)),$AN$9-SQRT((1-AX279)*($AN$9-$AL$9)*($AN$9-$AM$9))),$AM$9)</f>
        <v/>
      </c>
      <c r="AP279">
        <f>IFERROR(IF(AY279&lt;($AM$10-$AL$10)/($AN$10-$AL$10),$AL$10+SQRT(AY279*($AN$10-$AL$10)*($AM$10-$AL$10)),$AN$10-SQRT((1-AY279)*($AN$10-$AL$10)*($AN$10-$AM$10))),$AM$10)</f>
        <v/>
      </c>
      <c r="AQ279">
        <f>IFERROR(IF(AZ279&lt;($AM$11-$AL$11)/($AN$11-$AL$11),$AL$11+SQRT(AZ279*($AN$11-$AL$11)*($AM$11-$AL$11)),$AN$11-SQRT((1-AZ279)*($AN$11-$AL$11)*($AN$11-$AM$11))),$AM$11)</f>
        <v/>
      </c>
      <c r="AR279">
        <f>SUMPRODUCT((B24:B31&lt;=$B$6)*(C24:C31*AM279+D24:D31*AO279*$B$8*AQ279)/(1+AL279/100)^B24:B31)+C32*AM279*AP279/(1+AL279/100)^$B$6</f>
        <v/>
      </c>
      <c r="AS279">
        <f>SUMPRODUCT((K24:K26&lt;=$B$6)*(L24:L26*AN279+M24:M26*AO279*$B$8*AQ279)/(1+AL279/100)^K24:K26)+L27*AN279*AP279/(1+AL279/100)^$B$6</f>
        <v/>
      </c>
      <c r="AT279">
        <f>AS279-AR279</f>
        <v/>
      </c>
      <c r="AU279">
        <f>RAND()</f>
        <v/>
      </c>
      <c r="AV279">
        <f>RAND()</f>
        <v/>
      </c>
      <c r="AW279">
        <f>RAND()</f>
        <v/>
      </c>
      <c r="AX279">
        <f>RAND()</f>
        <v/>
      </c>
      <c r="AY279">
        <f>RAND()</f>
        <v/>
      </c>
      <c r="AZ279">
        <f>RAND()</f>
        <v/>
      </c>
    </row>
    <row r="280">
      <c r="AK280" t="n">
        <v>267</v>
      </c>
      <c r="AL280">
        <f>IFERROR(IF(AU280&lt;($AM$6-$AL$6)/($AN$6-$AL$6),$AL$6+SQRT(AU280*($AN$6-$AL$6)*($AM$6-$AL$6)),$AN$6-SQRT((1-AU280)*($AN$6-$AL$6)*($AN$6-$AM$6))),$AM$6)</f>
        <v/>
      </c>
      <c r="AM280">
        <f>IFERROR(IF(AV280&lt;($AM$7-$AL$7)/($AN$7-$AL$7),$AL$7+SQRT(AV280*($AN$7-$AL$7)*($AM$7-$AL$7)),$AN$7-SQRT((1-AV280)*($AN$7-$AL$7)*($AN$7-$AM$7))),$AM$7)</f>
        <v/>
      </c>
      <c r="AN280">
        <f>IFERROR(IF(AW280&lt;($AM$8-$AL$8)/($AN$8-$AL$8),$AL$8+SQRT(AW280*($AN$8-$AL$8)*($AM$8-$AL$8)),$AN$8-SQRT((1-AW280)*($AN$8-$AL$8)*($AN$8-$AM$8))),$AM$8)</f>
        <v/>
      </c>
      <c r="AO280">
        <f>IFERROR(IF(AX280&lt;($AM$9-$AL$9)/($AN$9-$AL$9),$AL$9+SQRT(AX280*($AN$9-$AL$9)*($AM$9-$AL$9)),$AN$9-SQRT((1-AX280)*($AN$9-$AL$9)*($AN$9-$AM$9))),$AM$9)</f>
        <v/>
      </c>
      <c r="AP280">
        <f>IFERROR(IF(AY280&lt;($AM$10-$AL$10)/($AN$10-$AL$10),$AL$10+SQRT(AY280*($AN$10-$AL$10)*($AM$10-$AL$10)),$AN$10-SQRT((1-AY280)*($AN$10-$AL$10)*($AN$10-$AM$10))),$AM$10)</f>
        <v/>
      </c>
      <c r="AQ280">
        <f>IFERROR(IF(AZ280&lt;($AM$11-$AL$11)/($AN$11-$AL$11),$AL$11+SQRT(AZ280*($AN$11-$AL$11)*($AM$11-$AL$11)),$AN$11-SQRT((1-AZ280)*($AN$11-$AL$11)*($AN$11-$AM$11))),$AM$11)</f>
        <v/>
      </c>
      <c r="AR280">
        <f>SUMPRODUCT((B24:B31&lt;=$B$6)*(C24:C31*AM280+D24:D31*AO280*$B$8*AQ280)/(1+AL280/100)^B24:B31)+C32*AM280*AP280/(1+AL280/100)^$B$6</f>
        <v/>
      </c>
      <c r="AS280">
        <f>SUMPRODUCT((K24:K26&lt;=$B$6)*(L24:L26*AN280+M24:M26*AO280*$B$8*AQ280)/(1+AL280/100)^K24:K26)+L27*AN280*AP280/(1+AL280/100)^$B$6</f>
        <v/>
      </c>
      <c r="AT280">
        <f>AS280-AR280</f>
        <v/>
      </c>
      <c r="AU280">
        <f>RAND()</f>
        <v/>
      </c>
      <c r="AV280">
        <f>RAND()</f>
        <v/>
      </c>
      <c r="AW280">
        <f>RAND()</f>
        <v/>
      </c>
      <c r="AX280">
        <f>RAND()</f>
        <v/>
      </c>
      <c r="AY280">
        <f>RAND()</f>
        <v/>
      </c>
      <c r="AZ280">
        <f>RAND()</f>
        <v/>
      </c>
    </row>
    <row r="281">
      <c r="AK281" t="n">
        <v>268</v>
      </c>
      <c r="AL281">
        <f>IFERROR(IF(AU281&lt;($AM$6-$AL$6)/($AN$6-$AL$6),$AL$6+SQRT(AU281*($AN$6-$AL$6)*($AM$6-$AL$6)),$AN$6-SQRT((1-AU281)*($AN$6-$AL$6)*($AN$6-$AM$6))),$AM$6)</f>
        <v/>
      </c>
      <c r="AM281">
        <f>IFERROR(IF(AV281&lt;($AM$7-$AL$7)/($AN$7-$AL$7),$AL$7+SQRT(AV281*($AN$7-$AL$7)*($AM$7-$AL$7)),$AN$7-SQRT((1-AV281)*($AN$7-$AL$7)*($AN$7-$AM$7))),$AM$7)</f>
        <v/>
      </c>
      <c r="AN281">
        <f>IFERROR(IF(AW281&lt;($AM$8-$AL$8)/($AN$8-$AL$8),$AL$8+SQRT(AW281*($AN$8-$AL$8)*($AM$8-$AL$8)),$AN$8-SQRT((1-AW281)*($AN$8-$AL$8)*($AN$8-$AM$8))),$AM$8)</f>
        <v/>
      </c>
      <c r="AO281">
        <f>IFERROR(IF(AX281&lt;($AM$9-$AL$9)/($AN$9-$AL$9),$AL$9+SQRT(AX281*($AN$9-$AL$9)*($AM$9-$AL$9)),$AN$9-SQRT((1-AX281)*($AN$9-$AL$9)*($AN$9-$AM$9))),$AM$9)</f>
        <v/>
      </c>
      <c r="AP281">
        <f>IFERROR(IF(AY281&lt;($AM$10-$AL$10)/($AN$10-$AL$10),$AL$10+SQRT(AY281*($AN$10-$AL$10)*($AM$10-$AL$10)),$AN$10-SQRT((1-AY281)*($AN$10-$AL$10)*($AN$10-$AM$10))),$AM$10)</f>
        <v/>
      </c>
      <c r="AQ281">
        <f>IFERROR(IF(AZ281&lt;($AM$11-$AL$11)/($AN$11-$AL$11),$AL$11+SQRT(AZ281*($AN$11-$AL$11)*($AM$11-$AL$11)),$AN$11-SQRT((1-AZ281)*($AN$11-$AL$11)*($AN$11-$AM$11))),$AM$11)</f>
        <v/>
      </c>
      <c r="AR281">
        <f>SUMPRODUCT((B24:B31&lt;=$B$6)*(C24:C31*AM281+D24:D31*AO281*$B$8*AQ281)/(1+AL281/100)^B24:B31)+C32*AM281*AP281/(1+AL281/100)^$B$6</f>
        <v/>
      </c>
      <c r="AS281">
        <f>SUMPRODUCT((K24:K26&lt;=$B$6)*(L24:L26*AN281+M24:M26*AO281*$B$8*AQ281)/(1+AL281/100)^K24:K26)+L27*AN281*AP281/(1+AL281/100)^$B$6</f>
        <v/>
      </c>
      <c r="AT281">
        <f>AS281-AR281</f>
        <v/>
      </c>
      <c r="AU281">
        <f>RAND()</f>
        <v/>
      </c>
      <c r="AV281">
        <f>RAND()</f>
        <v/>
      </c>
      <c r="AW281">
        <f>RAND()</f>
        <v/>
      </c>
      <c r="AX281">
        <f>RAND()</f>
        <v/>
      </c>
      <c r="AY281">
        <f>RAND()</f>
        <v/>
      </c>
      <c r="AZ281">
        <f>RAND()</f>
        <v/>
      </c>
    </row>
    <row r="282">
      <c r="AK282" t="n">
        <v>269</v>
      </c>
      <c r="AL282">
        <f>IFERROR(IF(AU282&lt;($AM$6-$AL$6)/($AN$6-$AL$6),$AL$6+SQRT(AU282*($AN$6-$AL$6)*($AM$6-$AL$6)),$AN$6-SQRT((1-AU282)*($AN$6-$AL$6)*($AN$6-$AM$6))),$AM$6)</f>
        <v/>
      </c>
      <c r="AM282">
        <f>IFERROR(IF(AV282&lt;($AM$7-$AL$7)/($AN$7-$AL$7),$AL$7+SQRT(AV282*($AN$7-$AL$7)*($AM$7-$AL$7)),$AN$7-SQRT((1-AV282)*($AN$7-$AL$7)*($AN$7-$AM$7))),$AM$7)</f>
        <v/>
      </c>
      <c r="AN282">
        <f>IFERROR(IF(AW282&lt;($AM$8-$AL$8)/($AN$8-$AL$8),$AL$8+SQRT(AW282*($AN$8-$AL$8)*($AM$8-$AL$8)),$AN$8-SQRT((1-AW282)*($AN$8-$AL$8)*($AN$8-$AM$8))),$AM$8)</f>
        <v/>
      </c>
      <c r="AO282">
        <f>IFERROR(IF(AX282&lt;($AM$9-$AL$9)/($AN$9-$AL$9),$AL$9+SQRT(AX282*($AN$9-$AL$9)*($AM$9-$AL$9)),$AN$9-SQRT((1-AX282)*($AN$9-$AL$9)*($AN$9-$AM$9))),$AM$9)</f>
        <v/>
      </c>
      <c r="AP282">
        <f>IFERROR(IF(AY282&lt;($AM$10-$AL$10)/($AN$10-$AL$10),$AL$10+SQRT(AY282*($AN$10-$AL$10)*($AM$10-$AL$10)),$AN$10-SQRT((1-AY282)*($AN$10-$AL$10)*($AN$10-$AM$10))),$AM$10)</f>
        <v/>
      </c>
      <c r="AQ282">
        <f>IFERROR(IF(AZ282&lt;($AM$11-$AL$11)/($AN$11-$AL$11),$AL$11+SQRT(AZ282*($AN$11-$AL$11)*($AM$11-$AL$11)),$AN$11-SQRT((1-AZ282)*($AN$11-$AL$11)*($AN$11-$AM$11))),$AM$11)</f>
        <v/>
      </c>
      <c r="AR282">
        <f>SUMPRODUCT((B24:B31&lt;=$B$6)*(C24:C31*AM282+D24:D31*AO282*$B$8*AQ282)/(1+AL282/100)^B24:B31)+C32*AM282*AP282/(1+AL282/100)^$B$6</f>
        <v/>
      </c>
      <c r="AS282">
        <f>SUMPRODUCT((K24:K26&lt;=$B$6)*(L24:L26*AN282+M24:M26*AO282*$B$8*AQ282)/(1+AL282/100)^K24:K26)+L27*AN282*AP282/(1+AL282/100)^$B$6</f>
        <v/>
      </c>
      <c r="AT282">
        <f>AS282-AR282</f>
        <v/>
      </c>
      <c r="AU282">
        <f>RAND()</f>
        <v/>
      </c>
      <c r="AV282">
        <f>RAND()</f>
        <v/>
      </c>
      <c r="AW282">
        <f>RAND()</f>
        <v/>
      </c>
      <c r="AX282">
        <f>RAND()</f>
        <v/>
      </c>
      <c r="AY282">
        <f>RAND()</f>
        <v/>
      </c>
      <c r="AZ282">
        <f>RAND()</f>
        <v/>
      </c>
    </row>
    <row r="283">
      <c r="AK283" t="n">
        <v>270</v>
      </c>
      <c r="AL283">
        <f>IFERROR(IF(AU283&lt;($AM$6-$AL$6)/($AN$6-$AL$6),$AL$6+SQRT(AU283*($AN$6-$AL$6)*($AM$6-$AL$6)),$AN$6-SQRT((1-AU283)*($AN$6-$AL$6)*($AN$6-$AM$6))),$AM$6)</f>
        <v/>
      </c>
      <c r="AM283">
        <f>IFERROR(IF(AV283&lt;($AM$7-$AL$7)/($AN$7-$AL$7),$AL$7+SQRT(AV283*($AN$7-$AL$7)*($AM$7-$AL$7)),$AN$7-SQRT((1-AV283)*($AN$7-$AL$7)*($AN$7-$AM$7))),$AM$7)</f>
        <v/>
      </c>
      <c r="AN283">
        <f>IFERROR(IF(AW283&lt;($AM$8-$AL$8)/($AN$8-$AL$8),$AL$8+SQRT(AW283*($AN$8-$AL$8)*($AM$8-$AL$8)),$AN$8-SQRT((1-AW283)*($AN$8-$AL$8)*($AN$8-$AM$8))),$AM$8)</f>
        <v/>
      </c>
      <c r="AO283">
        <f>IFERROR(IF(AX283&lt;($AM$9-$AL$9)/($AN$9-$AL$9),$AL$9+SQRT(AX283*($AN$9-$AL$9)*($AM$9-$AL$9)),$AN$9-SQRT((1-AX283)*($AN$9-$AL$9)*($AN$9-$AM$9))),$AM$9)</f>
        <v/>
      </c>
      <c r="AP283">
        <f>IFERROR(IF(AY283&lt;($AM$10-$AL$10)/($AN$10-$AL$10),$AL$10+SQRT(AY283*($AN$10-$AL$10)*($AM$10-$AL$10)),$AN$10-SQRT((1-AY283)*($AN$10-$AL$10)*($AN$10-$AM$10))),$AM$10)</f>
        <v/>
      </c>
      <c r="AQ283">
        <f>IFERROR(IF(AZ283&lt;($AM$11-$AL$11)/($AN$11-$AL$11),$AL$11+SQRT(AZ283*($AN$11-$AL$11)*($AM$11-$AL$11)),$AN$11-SQRT((1-AZ283)*($AN$11-$AL$11)*($AN$11-$AM$11))),$AM$11)</f>
        <v/>
      </c>
      <c r="AR283">
        <f>SUMPRODUCT((B24:B31&lt;=$B$6)*(C24:C31*AM283+D24:D31*AO283*$B$8*AQ283)/(1+AL283/100)^B24:B31)+C32*AM283*AP283/(1+AL283/100)^$B$6</f>
        <v/>
      </c>
      <c r="AS283">
        <f>SUMPRODUCT((K24:K26&lt;=$B$6)*(L24:L26*AN283+M24:M26*AO283*$B$8*AQ283)/(1+AL283/100)^K24:K26)+L27*AN283*AP283/(1+AL283/100)^$B$6</f>
        <v/>
      </c>
      <c r="AT283">
        <f>AS283-AR283</f>
        <v/>
      </c>
      <c r="AU283">
        <f>RAND()</f>
        <v/>
      </c>
      <c r="AV283">
        <f>RAND()</f>
        <v/>
      </c>
      <c r="AW283">
        <f>RAND()</f>
        <v/>
      </c>
      <c r="AX283">
        <f>RAND()</f>
        <v/>
      </c>
      <c r="AY283">
        <f>RAND()</f>
        <v/>
      </c>
      <c r="AZ283">
        <f>RAND()</f>
        <v/>
      </c>
    </row>
    <row r="284">
      <c r="AK284" t="n">
        <v>271</v>
      </c>
      <c r="AL284">
        <f>IFERROR(IF(AU284&lt;($AM$6-$AL$6)/($AN$6-$AL$6),$AL$6+SQRT(AU284*($AN$6-$AL$6)*($AM$6-$AL$6)),$AN$6-SQRT((1-AU284)*($AN$6-$AL$6)*($AN$6-$AM$6))),$AM$6)</f>
        <v/>
      </c>
      <c r="AM284">
        <f>IFERROR(IF(AV284&lt;($AM$7-$AL$7)/($AN$7-$AL$7),$AL$7+SQRT(AV284*($AN$7-$AL$7)*($AM$7-$AL$7)),$AN$7-SQRT((1-AV284)*($AN$7-$AL$7)*($AN$7-$AM$7))),$AM$7)</f>
        <v/>
      </c>
      <c r="AN284">
        <f>IFERROR(IF(AW284&lt;($AM$8-$AL$8)/($AN$8-$AL$8),$AL$8+SQRT(AW284*($AN$8-$AL$8)*($AM$8-$AL$8)),$AN$8-SQRT((1-AW284)*($AN$8-$AL$8)*($AN$8-$AM$8))),$AM$8)</f>
        <v/>
      </c>
      <c r="AO284">
        <f>IFERROR(IF(AX284&lt;($AM$9-$AL$9)/($AN$9-$AL$9),$AL$9+SQRT(AX284*($AN$9-$AL$9)*($AM$9-$AL$9)),$AN$9-SQRT((1-AX284)*($AN$9-$AL$9)*($AN$9-$AM$9))),$AM$9)</f>
        <v/>
      </c>
      <c r="AP284">
        <f>IFERROR(IF(AY284&lt;($AM$10-$AL$10)/($AN$10-$AL$10),$AL$10+SQRT(AY284*($AN$10-$AL$10)*($AM$10-$AL$10)),$AN$10-SQRT((1-AY284)*($AN$10-$AL$10)*($AN$10-$AM$10))),$AM$10)</f>
        <v/>
      </c>
      <c r="AQ284">
        <f>IFERROR(IF(AZ284&lt;($AM$11-$AL$11)/($AN$11-$AL$11),$AL$11+SQRT(AZ284*($AN$11-$AL$11)*($AM$11-$AL$11)),$AN$11-SQRT((1-AZ284)*($AN$11-$AL$11)*($AN$11-$AM$11))),$AM$11)</f>
        <v/>
      </c>
      <c r="AR284">
        <f>SUMPRODUCT((B24:B31&lt;=$B$6)*(C24:C31*AM284+D24:D31*AO284*$B$8*AQ284)/(1+AL284/100)^B24:B31)+C32*AM284*AP284/(1+AL284/100)^$B$6</f>
        <v/>
      </c>
      <c r="AS284">
        <f>SUMPRODUCT((K24:K26&lt;=$B$6)*(L24:L26*AN284+M24:M26*AO284*$B$8*AQ284)/(1+AL284/100)^K24:K26)+L27*AN284*AP284/(1+AL284/100)^$B$6</f>
        <v/>
      </c>
      <c r="AT284">
        <f>AS284-AR284</f>
        <v/>
      </c>
      <c r="AU284">
        <f>RAND()</f>
        <v/>
      </c>
      <c r="AV284">
        <f>RAND()</f>
        <v/>
      </c>
      <c r="AW284">
        <f>RAND()</f>
        <v/>
      </c>
      <c r="AX284">
        <f>RAND()</f>
        <v/>
      </c>
      <c r="AY284">
        <f>RAND()</f>
        <v/>
      </c>
      <c r="AZ284">
        <f>RAND()</f>
        <v/>
      </c>
    </row>
    <row r="285">
      <c r="AK285" t="n">
        <v>272</v>
      </c>
      <c r="AL285">
        <f>IFERROR(IF(AU285&lt;($AM$6-$AL$6)/($AN$6-$AL$6),$AL$6+SQRT(AU285*($AN$6-$AL$6)*($AM$6-$AL$6)),$AN$6-SQRT((1-AU285)*($AN$6-$AL$6)*($AN$6-$AM$6))),$AM$6)</f>
        <v/>
      </c>
      <c r="AM285">
        <f>IFERROR(IF(AV285&lt;($AM$7-$AL$7)/($AN$7-$AL$7),$AL$7+SQRT(AV285*($AN$7-$AL$7)*($AM$7-$AL$7)),$AN$7-SQRT((1-AV285)*($AN$7-$AL$7)*($AN$7-$AM$7))),$AM$7)</f>
        <v/>
      </c>
      <c r="AN285">
        <f>IFERROR(IF(AW285&lt;($AM$8-$AL$8)/($AN$8-$AL$8),$AL$8+SQRT(AW285*($AN$8-$AL$8)*($AM$8-$AL$8)),$AN$8-SQRT((1-AW285)*($AN$8-$AL$8)*($AN$8-$AM$8))),$AM$8)</f>
        <v/>
      </c>
      <c r="AO285">
        <f>IFERROR(IF(AX285&lt;($AM$9-$AL$9)/($AN$9-$AL$9),$AL$9+SQRT(AX285*($AN$9-$AL$9)*($AM$9-$AL$9)),$AN$9-SQRT((1-AX285)*($AN$9-$AL$9)*($AN$9-$AM$9))),$AM$9)</f>
        <v/>
      </c>
      <c r="AP285">
        <f>IFERROR(IF(AY285&lt;($AM$10-$AL$10)/($AN$10-$AL$10),$AL$10+SQRT(AY285*($AN$10-$AL$10)*($AM$10-$AL$10)),$AN$10-SQRT((1-AY285)*($AN$10-$AL$10)*($AN$10-$AM$10))),$AM$10)</f>
        <v/>
      </c>
      <c r="AQ285">
        <f>IFERROR(IF(AZ285&lt;($AM$11-$AL$11)/($AN$11-$AL$11),$AL$11+SQRT(AZ285*($AN$11-$AL$11)*($AM$11-$AL$11)),$AN$11-SQRT((1-AZ285)*($AN$11-$AL$11)*($AN$11-$AM$11))),$AM$11)</f>
        <v/>
      </c>
      <c r="AR285">
        <f>SUMPRODUCT((B24:B31&lt;=$B$6)*(C24:C31*AM285+D24:D31*AO285*$B$8*AQ285)/(1+AL285/100)^B24:B31)+C32*AM285*AP285/(1+AL285/100)^$B$6</f>
        <v/>
      </c>
      <c r="AS285">
        <f>SUMPRODUCT((K24:K26&lt;=$B$6)*(L24:L26*AN285+M24:M26*AO285*$B$8*AQ285)/(1+AL285/100)^K24:K26)+L27*AN285*AP285/(1+AL285/100)^$B$6</f>
        <v/>
      </c>
      <c r="AT285">
        <f>AS285-AR285</f>
        <v/>
      </c>
      <c r="AU285">
        <f>RAND()</f>
        <v/>
      </c>
      <c r="AV285">
        <f>RAND()</f>
        <v/>
      </c>
      <c r="AW285">
        <f>RAND()</f>
        <v/>
      </c>
      <c r="AX285">
        <f>RAND()</f>
        <v/>
      </c>
      <c r="AY285">
        <f>RAND()</f>
        <v/>
      </c>
      <c r="AZ285">
        <f>RAND()</f>
        <v/>
      </c>
    </row>
    <row r="286">
      <c r="AK286" t="n">
        <v>273</v>
      </c>
      <c r="AL286">
        <f>IFERROR(IF(AU286&lt;($AM$6-$AL$6)/($AN$6-$AL$6),$AL$6+SQRT(AU286*($AN$6-$AL$6)*($AM$6-$AL$6)),$AN$6-SQRT((1-AU286)*($AN$6-$AL$6)*($AN$6-$AM$6))),$AM$6)</f>
        <v/>
      </c>
      <c r="AM286">
        <f>IFERROR(IF(AV286&lt;($AM$7-$AL$7)/($AN$7-$AL$7),$AL$7+SQRT(AV286*($AN$7-$AL$7)*($AM$7-$AL$7)),$AN$7-SQRT((1-AV286)*($AN$7-$AL$7)*($AN$7-$AM$7))),$AM$7)</f>
        <v/>
      </c>
      <c r="AN286">
        <f>IFERROR(IF(AW286&lt;($AM$8-$AL$8)/($AN$8-$AL$8),$AL$8+SQRT(AW286*($AN$8-$AL$8)*($AM$8-$AL$8)),$AN$8-SQRT((1-AW286)*($AN$8-$AL$8)*($AN$8-$AM$8))),$AM$8)</f>
        <v/>
      </c>
      <c r="AO286">
        <f>IFERROR(IF(AX286&lt;($AM$9-$AL$9)/($AN$9-$AL$9),$AL$9+SQRT(AX286*($AN$9-$AL$9)*($AM$9-$AL$9)),$AN$9-SQRT((1-AX286)*($AN$9-$AL$9)*($AN$9-$AM$9))),$AM$9)</f>
        <v/>
      </c>
      <c r="AP286">
        <f>IFERROR(IF(AY286&lt;($AM$10-$AL$10)/($AN$10-$AL$10),$AL$10+SQRT(AY286*($AN$10-$AL$10)*($AM$10-$AL$10)),$AN$10-SQRT((1-AY286)*($AN$10-$AL$10)*($AN$10-$AM$10))),$AM$10)</f>
        <v/>
      </c>
      <c r="AQ286">
        <f>IFERROR(IF(AZ286&lt;($AM$11-$AL$11)/($AN$11-$AL$11),$AL$11+SQRT(AZ286*($AN$11-$AL$11)*($AM$11-$AL$11)),$AN$11-SQRT((1-AZ286)*($AN$11-$AL$11)*($AN$11-$AM$11))),$AM$11)</f>
        <v/>
      </c>
      <c r="AR286">
        <f>SUMPRODUCT((B24:B31&lt;=$B$6)*(C24:C31*AM286+D24:D31*AO286*$B$8*AQ286)/(1+AL286/100)^B24:B31)+C32*AM286*AP286/(1+AL286/100)^$B$6</f>
        <v/>
      </c>
      <c r="AS286">
        <f>SUMPRODUCT((K24:K26&lt;=$B$6)*(L24:L26*AN286+M24:M26*AO286*$B$8*AQ286)/(1+AL286/100)^K24:K26)+L27*AN286*AP286/(1+AL286/100)^$B$6</f>
        <v/>
      </c>
      <c r="AT286">
        <f>AS286-AR286</f>
        <v/>
      </c>
      <c r="AU286">
        <f>RAND()</f>
        <v/>
      </c>
      <c r="AV286">
        <f>RAND()</f>
        <v/>
      </c>
      <c r="AW286">
        <f>RAND()</f>
        <v/>
      </c>
      <c r="AX286">
        <f>RAND()</f>
        <v/>
      </c>
      <c r="AY286">
        <f>RAND()</f>
        <v/>
      </c>
      <c r="AZ286">
        <f>RAND()</f>
        <v/>
      </c>
    </row>
    <row r="287">
      <c r="AK287" t="n">
        <v>274</v>
      </c>
      <c r="AL287">
        <f>IFERROR(IF(AU287&lt;($AM$6-$AL$6)/($AN$6-$AL$6),$AL$6+SQRT(AU287*($AN$6-$AL$6)*($AM$6-$AL$6)),$AN$6-SQRT((1-AU287)*($AN$6-$AL$6)*($AN$6-$AM$6))),$AM$6)</f>
        <v/>
      </c>
      <c r="AM287">
        <f>IFERROR(IF(AV287&lt;($AM$7-$AL$7)/($AN$7-$AL$7),$AL$7+SQRT(AV287*($AN$7-$AL$7)*($AM$7-$AL$7)),$AN$7-SQRT((1-AV287)*($AN$7-$AL$7)*($AN$7-$AM$7))),$AM$7)</f>
        <v/>
      </c>
      <c r="AN287">
        <f>IFERROR(IF(AW287&lt;($AM$8-$AL$8)/($AN$8-$AL$8),$AL$8+SQRT(AW287*($AN$8-$AL$8)*($AM$8-$AL$8)),$AN$8-SQRT((1-AW287)*($AN$8-$AL$8)*($AN$8-$AM$8))),$AM$8)</f>
        <v/>
      </c>
      <c r="AO287">
        <f>IFERROR(IF(AX287&lt;($AM$9-$AL$9)/($AN$9-$AL$9),$AL$9+SQRT(AX287*($AN$9-$AL$9)*($AM$9-$AL$9)),$AN$9-SQRT((1-AX287)*($AN$9-$AL$9)*($AN$9-$AM$9))),$AM$9)</f>
        <v/>
      </c>
      <c r="AP287">
        <f>IFERROR(IF(AY287&lt;($AM$10-$AL$10)/($AN$10-$AL$10),$AL$10+SQRT(AY287*($AN$10-$AL$10)*($AM$10-$AL$10)),$AN$10-SQRT((1-AY287)*($AN$10-$AL$10)*($AN$10-$AM$10))),$AM$10)</f>
        <v/>
      </c>
      <c r="AQ287">
        <f>IFERROR(IF(AZ287&lt;($AM$11-$AL$11)/($AN$11-$AL$11),$AL$11+SQRT(AZ287*($AN$11-$AL$11)*($AM$11-$AL$11)),$AN$11-SQRT((1-AZ287)*($AN$11-$AL$11)*($AN$11-$AM$11))),$AM$11)</f>
        <v/>
      </c>
      <c r="AR287">
        <f>SUMPRODUCT((B24:B31&lt;=$B$6)*(C24:C31*AM287+D24:D31*AO287*$B$8*AQ287)/(1+AL287/100)^B24:B31)+C32*AM287*AP287/(1+AL287/100)^$B$6</f>
        <v/>
      </c>
      <c r="AS287">
        <f>SUMPRODUCT((K24:K26&lt;=$B$6)*(L24:L26*AN287+M24:M26*AO287*$B$8*AQ287)/(1+AL287/100)^K24:K26)+L27*AN287*AP287/(1+AL287/100)^$B$6</f>
        <v/>
      </c>
      <c r="AT287">
        <f>AS287-AR287</f>
        <v/>
      </c>
      <c r="AU287">
        <f>RAND()</f>
        <v/>
      </c>
      <c r="AV287">
        <f>RAND()</f>
        <v/>
      </c>
      <c r="AW287">
        <f>RAND()</f>
        <v/>
      </c>
      <c r="AX287">
        <f>RAND()</f>
        <v/>
      </c>
      <c r="AY287">
        <f>RAND()</f>
        <v/>
      </c>
      <c r="AZ287">
        <f>RAND()</f>
        <v/>
      </c>
    </row>
    <row r="288">
      <c r="AK288" t="n">
        <v>275</v>
      </c>
      <c r="AL288">
        <f>IFERROR(IF(AU288&lt;($AM$6-$AL$6)/($AN$6-$AL$6),$AL$6+SQRT(AU288*($AN$6-$AL$6)*($AM$6-$AL$6)),$AN$6-SQRT((1-AU288)*($AN$6-$AL$6)*($AN$6-$AM$6))),$AM$6)</f>
        <v/>
      </c>
      <c r="AM288">
        <f>IFERROR(IF(AV288&lt;($AM$7-$AL$7)/($AN$7-$AL$7),$AL$7+SQRT(AV288*($AN$7-$AL$7)*($AM$7-$AL$7)),$AN$7-SQRT((1-AV288)*($AN$7-$AL$7)*($AN$7-$AM$7))),$AM$7)</f>
        <v/>
      </c>
      <c r="AN288">
        <f>IFERROR(IF(AW288&lt;($AM$8-$AL$8)/($AN$8-$AL$8),$AL$8+SQRT(AW288*($AN$8-$AL$8)*($AM$8-$AL$8)),$AN$8-SQRT((1-AW288)*($AN$8-$AL$8)*($AN$8-$AM$8))),$AM$8)</f>
        <v/>
      </c>
      <c r="AO288">
        <f>IFERROR(IF(AX288&lt;($AM$9-$AL$9)/($AN$9-$AL$9),$AL$9+SQRT(AX288*($AN$9-$AL$9)*($AM$9-$AL$9)),$AN$9-SQRT((1-AX288)*($AN$9-$AL$9)*($AN$9-$AM$9))),$AM$9)</f>
        <v/>
      </c>
      <c r="AP288">
        <f>IFERROR(IF(AY288&lt;($AM$10-$AL$10)/($AN$10-$AL$10),$AL$10+SQRT(AY288*($AN$10-$AL$10)*($AM$10-$AL$10)),$AN$10-SQRT((1-AY288)*($AN$10-$AL$10)*($AN$10-$AM$10))),$AM$10)</f>
        <v/>
      </c>
      <c r="AQ288">
        <f>IFERROR(IF(AZ288&lt;($AM$11-$AL$11)/($AN$11-$AL$11),$AL$11+SQRT(AZ288*($AN$11-$AL$11)*($AM$11-$AL$11)),$AN$11-SQRT((1-AZ288)*($AN$11-$AL$11)*($AN$11-$AM$11))),$AM$11)</f>
        <v/>
      </c>
      <c r="AR288">
        <f>SUMPRODUCT((B24:B31&lt;=$B$6)*(C24:C31*AM288+D24:D31*AO288*$B$8*AQ288)/(1+AL288/100)^B24:B31)+C32*AM288*AP288/(1+AL288/100)^$B$6</f>
        <v/>
      </c>
      <c r="AS288">
        <f>SUMPRODUCT((K24:K26&lt;=$B$6)*(L24:L26*AN288+M24:M26*AO288*$B$8*AQ288)/(1+AL288/100)^K24:K26)+L27*AN288*AP288/(1+AL288/100)^$B$6</f>
        <v/>
      </c>
      <c r="AT288">
        <f>AS288-AR288</f>
        <v/>
      </c>
      <c r="AU288">
        <f>RAND()</f>
        <v/>
      </c>
      <c r="AV288">
        <f>RAND()</f>
        <v/>
      </c>
      <c r="AW288">
        <f>RAND()</f>
        <v/>
      </c>
      <c r="AX288">
        <f>RAND()</f>
        <v/>
      </c>
      <c r="AY288">
        <f>RAND()</f>
        <v/>
      </c>
      <c r="AZ288">
        <f>RAND()</f>
        <v/>
      </c>
    </row>
    <row r="289">
      <c r="AK289" t="n">
        <v>276</v>
      </c>
      <c r="AL289">
        <f>IFERROR(IF(AU289&lt;($AM$6-$AL$6)/($AN$6-$AL$6),$AL$6+SQRT(AU289*($AN$6-$AL$6)*($AM$6-$AL$6)),$AN$6-SQRT((1-AU289)*($AN$6-$AL$6)*($AN$6-$AM$6))),$AM$6)</f>
        <v/>
      </c>
      <c r="AM289">
        <f>IFERROR(IF(AV289&lt;($AM$7-$AL$7)/($AN$7-$AL$7),$AL$7+SQRT(AV289*($AN$7-$AL$7)*($AM$7-$AL$7)),$AN$7-SQRT((1-AV289)*($AN$7-$AL$7)*($AN$7-$AM$7))),$AM$7)</f>
        <v/>
      </c>
      <c r="AN289">
        <f>IFERROR(IF(AW289&lt;($AM$8-$AL$8)/($AN$8-$AL$8),$AL$8+SQRT(AW289*($AN$8-$AL$8)*($AM$8-$AL$8)),$AN$8-SQRT((1-AW289)*($AN$8-$AL$8)*($AN$8-$AM$8))),$AM$8)</f>
        <v/>
      </c>
      <c r="AO289">
        <f>IFERROR(IF(AX289&lt;($AM$9-$AL$9)/($AN$9-$AL$9),$AL$9+SQRT(AX289*($AN$9-$AL$9)*($AM$9-$AL$9)),$AN$9-SQRT((1-AX289)*($AN$9-$AL$9)*($AN$9-$AM$9))),$AM$9)</f>
        <v/>
      </c>
      <c r="AP289">
        <f>IFERROR(IF(AY289&lt;($AM$10-$AL$10)/($AN$10-$AL$10),$AL$10+SQRT(AY289*($AN$10-$AL$10)*($AM$10-$AL$10)),$AN$10-SQRT((1-AY289)*($AN$10-$AL$10)*($AN$10-$AM$10))),$AM$10)</f>
        <v/>
      </c>
      <c r="AQ289">
        <f>IFERROR(IF(AZ289&lt;($AM$11-$AL$11)/($AN$11-$AL$11),$AL$11+SQRT(AZ289*($AN$11-$AL$11)*($AM$11-$AL$11)),$AN$11-SQRT((1-AZ289)*($AN$11-$AL$11)*($AN$11-$AM$11))),$AM$11)</f>
        <v/>
      </c>
      <c r="AR289">
        <f>SUMPRODUCT((B24:B31&lt;=$B$6)*(C24:C31*AM289+D24:D31*AO289*$B$8*AQ289)/(1+AL289/100)^B24:B31)+C32*AM289*AP289/(1+AL289/100)^$B$6</f>
        <v/>
      </c>
      <c r="AS289">
        <f>SUMPRODUCT((K24:K26&lt;=$B$6)*(L24:L26*AN289+M24:M26*AO289*$B$8*AQ289)/(1+AL289/100)^K24:K26)+L27*AN289*AP289/(1+AL289/100)^$B$6</f>
        <v/>
      </c>
      <c r="AT289">
        <f>AS289-AR289</f>
        <v/>
      </c>
      <c r="AU289">
        <f>RAND()</f>
        <v/>
      </c>
      <c r="AV289">
        <f>RAND()</f>
        <v/>
      </c>
      <c r="AW289">
        <f>RAND()</f>
        <v/>
      </c>
      <c r="AX289">
        <f>RAND()</f>
        <v/>
      </c>
      <c r="AY289">
        <f>RAND()</f>
        <v/>
      </c>
      <c r="AZ289">
        <f>RAND()</f>
        <v/>
      </c>
    </row>
    <row r="290">
      <c r="AK290" t="n">
        <v>277</v>
      </c>
      <c r="AL290">
        <f>IFERROR(IF(AU290&lt;($AM$6-$AL$6)/($AN$6-$AL$6),$AL$6+SQRT(AU290*($AN$6-$AL$6)*($AM$6-$AL$6)),$AN$6-SQRT((1-AU290)*($AN$6-$AL$6)*($AN$6-$AM$6))),$AM$6)</f>
        <v/>
      </c>
      <c r="AM290">
        <f>IFERROR(IF(AV290&lt;($AM$7-$AL$7)/($AN$7-$AL$7),$AL$7+SQRT(AV290*($AN$7-$AL$7)*($AM$7-$AL$7)),$AN$7-SQRT((1-AV290)*($AN$7-$AL$7)*($AN$7-$AM$7))),$AM$7)</f>
        <v/>
      </c>
      <c r="AN290">
        <f>IFERROR(IF(AW290&lt;($AM$8-$AL$8)/($AN$8-$AL$8),$AL$8+SQRT(AW290*($AN$8-$AL$8)*($AM$8-$AL$8)),$AN$8-SQRT((1-AW290)*($AN$8-$AL$8)*($AN$8-$AM$8))),$AM$8)</f>
        <v/>
      </c>
      <c r="AO290">
        <f>IFERROR(IF(AX290&lt;($AM$9-$AL$9)/($AN$9-$AL$9),$AL$9+SQRT(AX290*($AN$9-$AL$9)*($AM$9-$AL$9)),$AN$9-SQRT((1-AX290)*($AN$9-$AL$9)*($AN$9-$AM$9))),$AM$9)</f>
        <v/>
      </c>
      <c r="AP290">
        <f>IFERROR(IF(AY290&lt;($AM$10-$AL$10)/($AN$10-$AL$10),$AL$10+SQRT(AY290*($AN$10-$AL$10)*($AM$10-$AL$10)),$AN$10-SQRT((1-AY290)*($AN$10-$AL$10)*($AN$10-$AM$10))),$AM$10)</f>
        <v/>
      </c>
      <c r="AQ290">
        <f>IFERROR(IF(AZ290&lt;($AM$11-$AL$11)/($AN$11-$AL$11),$AL$11+SQRT(AZ290*($AN$11-$AL$11)*($AM$11-$AL$11)),$AN$11-SQRT((1-AZ290)*($AN$11-$AL$11)*($AN$11-$AM$11))),$AM$11)</f>
        <v/>
      </c>
      <c r="AR290">
        <f>SUMPRODUCT((B24:B31&lt;=$B$6)*(C24:C31*AM290+D24:D31*AO290*$B$8*AQ290)/(1+AL290/100)^B24:B31)+C32*AM290*AP290/(1+AL290/100)^$B$6</f>
        <v/>
      </c>
      <c r="AS290">
        <f>SUMPRODUCT((K24:K26&lt;=$B$6)*(L24:L26*AN290+M24:M26*AO290*$B$8*AQ290)/(1+AL290/100)^K24:K26)+L27*AN290*AP290/(1+AL290/100)^$B$6</f>
        <v/>
      </c>
      <c r="AT290">
        <f>AS290-AR290</f>
        <v/>
      </c>
      <c r="AU290">
        <f>RAND()</f>
        <v/>
      </c>
      <c r="AV290">
        <f>RAND()</f>
        <v/>
      </c>
      <c r="AW290">
        <f>RAND()</f>
        <v/>
      </c>
      <c r="AX290">
        <f>RAND()</f>
        <v/>
      </c>
      <c r="AY290">
        <f>RAND()</f>
        <v/>
      </c>
      <c r="AZ290">
        <f>RAND()</f>
        <v/>
      </c>
    </row>
    <row r="291">
      <c r="AK291" t="n">
        <v>278</v>
      </c>
      <c r="AL291">
        <f>IFERROR(IF(AU291&lt;($AM$6-$AL$6)/($AN$6-$AL$6),$AL$6+SQRT(AU291*($AN$6-$AL$6)*($AM$6-$AL$6)),$AN$6-SQRT((1-AU291)*($AN$6-$AL$6)*($AN$6-$AM$6))),$AM$6)</f>
        <v/>
      </c>
      <c r="AM291">
        <f>IFERROR(IF(AV291&lt;($AM$7-$AL$7)/($AN$7-$AL$7),$AL$7+SQRT(AV291*($AN$7-$AL$7)*($AM$7-$AL$7)),$AN$7-SQRT((1-AV291)*($AN$7-$AL$7)*($AN$7-$AM$7))),$AM$7)</f>
        <v/>
      </c>
      <c r="AN291">
        <f>IFERROR(IF(AW291&lt;($AM$8-$AL$8)/($AN$8-$AL$8),$AL$8+SQRT(AW291*($AN$8-$AL$8)*($AM$8-$AL$8)),$AN$8-SQRT((1-AW291)*($AN$8-$AL$8)*($AN$8-$AM$8))),$AM$8)</f>
        <v/>
      </c>
      <c r="AO291">
        <f>IFERROR(IF(AX291&lt;($AM$9-$AL$9)/($AN$9-$AL$9),$AL$9+SQRT(AX291*($AN$9-$AL$9)*($AM$9-$AL$9)),$AN$9-SQRT((1-AX291)*($AN$9-$AL$9)*($AN$9-$AM$9))),$AM$9)</f>
        <v/>
      </c>
      <c r="AP291">
        <f>IFERROR(IF(AY291&lt;($AM$10-$AL$10)/($AN$10-$AL$10),$AL$10+SQRT(AY291*($AN$10-$AL$10)*($AM$10-$AL$10)),$AN$10-SQRT((1-AY291)*($AN$10-$AL$10)*($AN$10-$AM$10))),$AM$10)</f>
        <v/>
      </c>
      <c r="AQ291">
        <f>IFERROR(IF(AZ291&lt;($AM$11-$AL$11)/($AN$11-$AL$11),$AL$11+SQRT(AZ291*($AN$11-$AL$11)*($AM$11-$AL$11)),$AN$11-SQRT((1-AZ291)*($AN$11-$AL$11)*($AN$11-$AM$11))),$AM$11)</f>
        <v/>
      </c>
      <c r="AR291">
        <f>SUMPRODUCT((B24:B31&lt;=$B$6)*(C24:C31*AM291+D24:D31*AO291*$B$8*AQ291)/(1+AL291/100)^B24:B31)+C32*AM291*AP291/(1+AL291/100)^$B$6</f>
        <v/>
      </c>
      <c r="AS291">
        <f>SUMPRODUCT((K24:K26&lt;=$B$6)*(L24:L26*AN291+M24:M26*AO291*$B$8*AQ291)/(1+AL291/100)^K24:K26)+L27*AN291*AP291/(1+AL291/100)^$B$6</f>
        <v/>
      </c>
      <c r="AT291">
        <f>AS291-AR291</f>
        <v/>
      </c>
      <c r="AU291">
        <f>RAND()</f>
        <v/>
      </c>
      <c r="AV291">
        <f>RAND()</f>
        <v/>
      </c>
      <c r="AW291">
        <f>RAND()</f>
        <v/>
      </c>
      <c r="AX291">
        <f>RAND()</f>
        <v/>
      </c>
      <c r="AY291">
        <f>RAND()</f>
        <v/>
      </c>
      <c r="AZ291">
        <f>RAND()</f>
        <v/>
      </c>
    </row>
    <row r="292">
      <c r="AK292" t="n">
        <v>279</v>
      </c>
      <c r="AL292">
        <f>IFERROR(IF(AU292&lt;($AM$6-$AL$6)/($AN$6-$AL$6),$AL$6+SQRT(AU292*($AN$6-$AL$6)*($AM$6-$AL$6)),$AN$6-SQRT((1-AU292)*($AN$6-$AL$6)*($AN$6-$AM$6))),$AM$6)</f>
        <v/>
      </c>
      <c r="AM292">
        <f>IFERROR(IF(AV292&lt;($AM$7-$AL$7)/($AN$7-$AL$7),$AL$7+SQRT(AV292*($AN$7-$AL$7)*($AM$7-$AL$7)),$AN$7-SQRT((1-AV292)*($AN$7-$AL$7)*($AN$7-$AM$7))),$AM$7)</f>
        <v/>
      </c>
      <c r="AN292">
        <f>IFERROR(IF(AW292&lt;($AM$8-$AL$8)/($AN$8-$AL$8),$AL$8+SQRT(AW292*($AN$8-$AL$8)*($AM$8-$AL$8)),$AN$8-SQRT((1-AW292)*($AN$8-$AL$8)*($AN$8-$AM$8))),$AM$8)</f>
        <v/>
      </c>
      <c r="AO292">
        <f>IFERROR(IF(AX292&lt;($AM$9-$AL$9)/($AN$9-$AL$9),$AL$9+SQRT(AX292*($AN$9-$AL$9)*($AM$9-$AL$9)),$AN$9-SQRT((1-AX292)*($AN$9-$AL$9)*($AN$9-$AM$9))),$AM$9)</f>
        <v/>
      </c>
      <c r="AP292">
        <f>IFERROR(IF(AY292&lt;($AM$10-$AL$10)/($AN$10-$AL$10),$AL$10+SQRT(AY292*($AN$10-$AL$10)*($AM$10-$AL$10)),$AN$10-SQRT((1-AY292)*($AN$10-$AL$10)*($AN$10-$AM$10))),$AM$10)</f>
        <v/>
      </c>
      <c r="AQ292">
        <f>IFERROR(IF(AZ292&lt;($AM$11-$AL$11)/($AN$11-$AL$11),$AL$11+SQRT(AZ292*($AN$11-$AL$11)*($AM$11-$AL$11)),$AN$11-SQRT((1-AZ292)*($AN$11-$AL$11)*($AN$11-$AM$11))),$AM$11)</f>
        <v/>
      </c>
      <c r="AR292">
        <f>SUMPRODUCT((B24:B31&lt;=$B$6)*(C24:C31*AM292+D24:D31*AO292*$B$8*AQ292)/(1+AL292/100)^B24:B31)+C32*AM292*AP292/(1+AL292/100)^$B$6</f>
        <v/>
      </c>
      <c r="AS292">
        <f>SUMPRODUCT((K24:K26&lt;=$B$6)*(L24:L26*AN292+M24:M26*AO292*$B$8*AQ292)/(1+AL292/100)^K24:K26)+L27*AN292*AP292/(1+AL292/100)^$B$6</f>
        <v/>
      </c>
      <c r="AT292">
        <f>AS292-AR292</f>
        <v/>
      </c>
      <c r="AU292">
        <f>RAND()</f>
        <v/>
      </c>
      <c r="AV292">
        <f>RAND()</f>
        <v/>
      </c>
      <c r="AW292">
        <f>RAND()</f>
        <v/>
      </c>
      <c r="AX292">
        <f>RAND()</f>
        <v/>
      </c>
      <c r="AY292">
        <f>RAND()</f>
        <v/>
      </c>
      <c r="AZ292">
        <f>RAND()</f>
        <v/>
      </c>
    </row>
    <row r="293">
      <c r="AK293" t="n">
        <v>280</v>
      </c>
      <c r="AL293">
        <f>IFERROR(IF(AU293&lt;($AM$6-$AL$6)/($AN$6-$AL$6),$AL$6+SQRT(AU293*($AN$6-$AL$6)*($AM$6-$AL$6)),$AN$6-SQRT((1-AU293)*($AN$6-$AL$6)*($AN$6-$AM$6))),$AM$6)</f>
        <v/>
      </c>
      <c r="AM293">
        <f>IFERROR(IF(AV293&lt;($AM$7-$AL$7)/($AN$7-$AL$7),$AL$7+SQRT(AV293*($AN$7-$AL$7)*($AM$7-$AL$7)),$AN$7-SQRT((1-AV293)*($AN$7-$AL$7)*($AN$7-$AM$7))),$AM$7)</f>
        <v/>
      </c>
      <c r="AN293">
        <f>IFERROR(IF(AW293&lt;($AM$8-$AL$8)/($AN$8-$AL$8),$AL$8+SQRT(AW293*($AN$8-$AL$8)*($AM$8-$AL$8)),$AN$8-SQRT((1-AW293)*($AN$8-$AL$8)*($AN$8-$AM$8))),$AM$8)</f>
        <v/>
      </c>
      <c r="AO293">
        <f>IFERROR(IF(AX293&lt;($AM$9-$AL$9)/($AN$9-$AL$9),$AL$9+SQRT(AX293*($AN$9-$AL$9)*($AM$9-$AL$9)),$AN$9-SQRT((1-AX293)*($AN$9-$AL$9)*($AN$9-$AM$9))),$AM$9)</f>
        <v/>
      </c>
      <c r="AP293">
        <f>IFERROR(IF(AY293&lt;($AM$10-$AL$10)/($AN$10-$AL$10),$AL$10+SQRT(AY293*($AN$10-$AL$10)*($AM$10-$AL$10)),$AN$10-SQRT((1-AY293)*($AN$10-$AL$10)*($AN$10-$AM$10))),$AM$10)</f>
        <v/>
      </c>
      <c r="AQ293">
        <f>IFERROR(IF(AZ293&lt;($AM$11-$AL$11)/($AN$11-$AL$11),$AL$11+SQRT(AZ293*($AN$11-$AL$11)*($AM$11-$AL$11)),$AN$11-SQRT((1-AZ293)*($AN$11-$AL$11)*($AN$11-$AM$11))),$AM$11)</f>
        <v/>
      </c>
      <c r="AR293">
        <f>SUMPRODUCT((B24:B31&lt;=$B$6)*(C24:C31*AM293+D24:D31*AO293*$B$8*AQ293)/(1+AL293/100)^B24:B31)+C32*AM293*AP293/(1+AL293/100)^$B$6</f>
        <v/>
      </c>
      <c r="AS293">
        <f>SUMPRODUCT((K24:K26&lt;=$B$6)*(L24:L26*AN293+M24:M26*AO293*$B$8*AQ293)/(1+AL293/100)^K24:K26)+L27*AN293*AP293/(1+AL293/100)^$B$6</f>
        <v/>
      </c>
      <c r="AT293">
        <f>AS293-AR293</f>
        <v/>
      </c>
      <c r="AU293">
        <f>RAND()</f>
        <v/>
      </c>
      <c r="AV293">
        <f>RAND()</f>
        <v/>
      </c>
      <c r="AW293">
        <f>RAND()</f>
        <v/>
      </c>
      <c r="AX293">
        <f>RAND()</f>
        <v/>
      </c>
      <c r="AY293">
        <f>RAND()</f>
        <v/>
      </c>
      <c r="AZ293">
        <f>RAND()</f>
        <v/>
      </c>
    </row>
    <row r="294">
      <c r="AK294" t="n">
        <v>281</v>
      </c>
      <c r="AL294">
        <f>IFERROR(IF(AU294&lt;($AM$6-$AL$6)/($AN$6-$AL$6),$AL$6+SQRT(AU294*($AN$6-$AL$6)*($AM$6-$AL$6)),$AN$6-SQRT((1-AU294)*($AN$6-$AL$6)*($AN$6-$AM$6))),$AM$6)</f>
        <v/>
      </c>
      <c r="AM294">
        <f>IFERROR(IF(AV294&lt;($AM$7-$AL$7)/($AN$7-$AL$7),$AL$7+SQRT(AV294*($AN$7-$AL$7)*($AM$7-$AL$7)),$AN$7-SQRT((1-AV294)*($AN$7-$AL$7)*($AN$7-$AM$7))),$AM$7)</f>
        <v/>
      </c>
      <c r="AN294">
        <f>IFERROR(IF(AW294&lt;($AM$8-$AL$8)/($AN$8-$AL$8),$AL$8+SQRT(AW294*($AN$8-$AL$8)*($AM$8-$AL$8)),$AN$8-SQRT((1-AW294)*($AN$8-$AL$8)*($AN$8-$AM$8))),$AM$8)</f>
        <v/>
      </c>
      <c r="AO294">
        <f>IFERROR(IF(AX294&lt;($AM$9-$AL$9)/($AN$9-$AL$9),$AL$9+SQRT(AX294*($AN$9-$AL$9)*($AM$9-$AL$9)),$AN$9-SQRT((1-AX294)*($AN$9-$AL$9)*($AN$9-$AM$9))),$AM$9)</f>
        <v/>
      </c>
      <c r="AP294">
        <f>IFERROR(IF(AY294&lt;($AM$10-$AL$10)/($AN$10-$AL$10),$AL$10+SQRT(AY294*($AN$10-$AL$10)*($AM$10-$AL$10)),$AN$10-SQRT((1-AY294)*($AN$10-$AL$10)*($AN$10-$AM$10))),$AM$10)</f>
        <v/>
      </c>
      <c r="AQ294">
        <f>IFERROR(IF(AZ294&lt;($AM$11-$AL$11)/($AN$11-$AL$11),$AL$11+SQRT(AZ294*($AN$11-$AL$11)*($AM$11-$AL$11)),$AN$11-SQRT((1-AZ294)*($AN$11-$AL$11)*($AN$11-$AM$11))),$AM$11)</f>
        <v/>
      </c>
      <c r="AR294">
        <f>SUMPRODUCT((B24:B31&lt;=$B$6)*(C24:C31*AM294+D24:D31*AO294*$B$8*AQ294)/(1+AL294/100)^B24:B31)+C32*AM294*AP294/(1+AL294/100)^$B$6</f>
        <v/>
      </c>
      <c r="AS294">
        <f>SUMPRODUCT((K24:K26&lt;=$B$6)*(L24:L26*AN294+M24:M26*AO294*$B$8*AQ294)/(1+AL294/100)^K24:K26)+L27*AN294*AP294/(1+AL294/100)^$B$6</f>
        <v/>
      </c>
      <c r="AT294">
        <f>AS294-AR294</f>
        <v/>
      </c>
      <c r="AU294">
        <f>RAND()</f>
        <v/>
      </c>
      <c r="AV294">
        <f>RAND()</f>
        <v/>
      </c>
      <c r="AW294">
        <f>RAND()</f>
        <v/>
      </c>
      <c r="AX294">
        <f>RAND()</f>
        <v/>
      </c>
      <c r="AY294">
        <f>RAND()</f>
        <v/>
      </c>
      <c r="AZ294">
        <f>RAND()</f>
        <v/>
      </c>
    </row>
    <row r="295">
      <c r="AK295" t="n">
        <v>282</v>
      </c>
      <c r="AL295">
        <f>IFERROR(IF(AU295&lt;($AM$6-$AL$6)/($AN$6-$AL$6),$AL$6+SQRT(AU295*($AN$6-$AL$6)*($AM$6-$AL$6)),$AN$6-SQRT((1-AU295)*($AN$6-$AL$6)*($AN$6-$AM$6))),$AM$6)</f>
        <v/>
      </c>
      <c r="AM295">
        <f>IFERROR(IF(AV295&lt;($AM$7-$AL$7)/($AN$7-$AL$7),$AL$7+SQRT(AV295*($AN$7-$AL$7)*($AM$7-$AL$7)),$AN$7-SQRT((1-AV295)*($AN$7-$AL$7)*($AN$7-$AM$7))),$AM$7)</f>
        <v/>
      </c>
      <c r="AN295">
        <f>IFERROR(IF(AW295&lt;($AM$8-$AL$8)/($AN$8-$AL$8),$AL$8+SQRT(AW295*($AN$8-$AL$8)*($AM$8-$AL$8)),$AN$8-SQRT((1-AW295)*($AN$8-$AL$8)*($AN$8-$AM$8))),$AM$8)</f>
        <v/>
      </c>
      <c r="AO295">
        <f>IFERROR(IF(AX295&lt;($AM$9-$AL$9)/($AN$9-$AL$9),$AL$9+SQRT(AX295*($AN$9-$AL$9)*($AM$9-$AL$9)),$AN$9-SQRT((1-AX295)*($AN$9-$AL$9)*($AN$9-$AM$9))),$AM$9)</f>
        <v/>
      </c>
      <c r="AP295">
        <f>IFERROR(IF(AY295&lt;($AM$10-$AL$10)/($AN$10-$AL$10),$AL$10+SQRT(AY295*($AN$10-$AL$10)*($AM$10-$AL$10)),$AN$10-SQRT((1-AY295)*($AN$10-$AL$10)*($AN$10-$AM$10))),$AM$10)</f>
        <v/>
      </c>
      <c r="AQ295">
        <f>IFERROR(IF(AZ295&lt;($AM$11-$AL$11)/($AN$11-$AL$11),$AL$11+SQRT(AZ295*($AN$11-$AL$11)*($AM$11-$AL$11)),$AN$11-SQRT((1-AZ295)*($AN$11-$AL$11)*($AN$11-$AM$11))),$AM$11)</f>
        <v/>
      </c>
      <c r="AR295">
        <f>SUMPRODUCT((B24:B31&lt;=$B$6)*(C24:C31*AM295+D24:D31*AO295*$B$8*AQ295)/(1+AL295/100)^B24:B31)+C32*AM295*AP295/(1+AL295/100)^$B$6</f>
        <v/>
      </c>
      <c r="AS295">
        <f>SUMPRODUCT((K24:K26&lt;=$B$6)*(L24:L26*AN295+M24:M26*AO295*$B$8*AQ295)/(1+AL295/100)^K24:K26)+L27*AN295*AP295/(1+AL295/100)^$B$6</f>
        <v/>
      </c>
      <c r="AT295">
        <f>AS295-AR295</f>
        <v/>
      </c>
      <c r="AU295">
        <f>RAND()</f>
        <v/>
      </c>
      <c r="AV295">
        <f>RAND()</f>
        <v/>
      </c>
      <c r="AW295">
        <f>RAND()</f>
        <v/>
      </c>
      <c r="AX295">
        <f>RAND()</f>
        <v/>
      </c>
      <c r="AY295">
        <f>RAND()</f>
        <v/>
      </c>
      <c r="AZ295">
        <f>RAND()</f>
        <v/>
      </c>
    </row>
    <row r="296">
      <c r="AK296" t="n">
        <v>283</v>
      </c>
      <c r="AL296">
        <f>IFERROR(IF(AU296&lt;($AM$6-$AL$6)/($AN$6-$AL$6),$AL$6+SQRT(AU296*($AN$6-$AL$6)*($AM$6-$AL$6)),$AN$6-SQRT((1-AU296)*($AN$6-$AL$6)*($AN$6-$AM$6))),$AM$6)</f>
        <v/>
      </c>
      <c r="AM296">
        <f>IFERROR(IF(AV296&lt;($AM$7-$AL$7)/($AN$7-$AL$7),$AL$7+SQRT(AV296*($AN$7-$AL$7)*($AM$7-$AL$7)),$AN$7-SQRT((1-AV296)*($AN$7-$AL$7)*($AN$7-$AM$7))),$AM$7)</f>
        <v/>
      </c>
      <c r="AN296">
        <f>IFERROR(IF(AW296&lt;($AM$8-$AL$8)/($AN$8-$AL$8),$AL$8+SQRT(AW296*($AN$8-$AL$8)*($AM$8-$AL$8)),$AN$8-SQRT((1-AW296)*($AN$8-$AL$8)*($AN$8-$AM$8))),$AM$8)</f>
        <v/>
      </c>
      <c r="AO296">
        <f>IFERROR(IF(AX296&lt;($AM$9-$AL$9)/($AN$9-$AL$9),$AL$9+SQRT(AX296*($AN$9-$AL$9)*($AM$9-$AL$9)),$AN$9-SQRT((1-AX296)*($AN$9-$AL$9)*($AN$9-$AM$9))),$AM$9)</f>
        <v/>
      </c>
      <c r="AP296">
        <f>IFERROR(IF(AY296&lt;($AM$10-$AL$10)/($AN$10-$AL$10),$AL$10+SQRT(AY296*($AN$10-$AL$10)*($AM$10-$AL$10)),$AN$10-SQRT((1-AY296)*($AN$10-$AL$10)*($AN$10-$AM$10))),$AM$10)</f>
        <v/>
      </c>
      <c r="AQ296">
        <f>IFERROR(IF(AZ296&lt;($AM$11-$AL$11)/($AN$11-$AL$11),$AL$11+SQRT(AZ296*($AN$11-$AL$11)*($AM$11-$AL$11)),$AN$11-SQRT((1-AZ296)*($AN$11-$AL$11)*($AN$11-$AM$11))),$AM$11)</f>
        <v/>
      </c>
      <c r="AR296">
        <f>SUMPRODUCT((B24:B31&lt;=$B$6)*(C24:C31*AM296+D24:D31*AO296*$B$8*AQ296)/(1+AL296/100)^B24:B31)+C32*AM296*AP296/(1+AL296/100)^$B$6</f>
        <v/>
      </c>
      <c r="AS296">
        <f>SUMPRODUCT((K24:K26&lt;=$B$6)*(L24:L26*AN296+M24:M26*AO296*$B$8*AQ296)/(1+AL296/100)^K24:K26)+L27*AN296*AP296/(1+AL296/100)^$B$6</f>
        <v/>
      </c>
      <c r="AT296">
        <f>AS296-AR296</f>
        <v/>
      </c>
      <c r="AU296">
        <f>RAND()</f>
        <v/>
      </c>
      <c r="AV296">
        <f>RAND()</f>
        <v/>
      </c>
      <c r="AW296">
        <f>RAND()</f>
        <v/>
      </c>
      <c r="AX296">
        <f>RAND()</f>
        <v/>
      </c>
      <c r="AY296">
        <f>RAND()</f>
        <v/>
      </c>
      <c r="AZ296">
        <f>RAND()</f>
        <v/>
      </c>
    </row>
    <row r="297">
      <c r="AK297" t="n">
        <v>284</v>
      </c>
      <c r="AL297">
        <f>IFERROR(IF(AU297&lt;($AM$6-$AL$6)/($AN$6-$AL$6),$AL$6+SQRT(AU297*($AN$6-$AL$6)*($AM$6-$AL$6)),$AN$6-SQRT((1-AU297)*($AN$6-$AL$6)*($AN$6-$AM$6))),$AM$6)</f>
        <v/>
      </c>
      <c r="AM297">
        <f>IFERROR(IF(AV297&lt;($AM$7-$AL$7)/($AN$7-$AL$7),$AL$7+SQRT(AV297*($AN$7-$AL$7)*($AM$7-$AL$7)),$AN$7-SQRT((1-AV297)*($AN$7-$AL$7)*($AN$7-$AM$7))),$AM$7)</f>
        <v/>
      </c>
      <c r="AN297">
        <f>IFERROR(IF(AW297&lt;($AM$8-$AL$8)/($AN$8-$AL$8),$AL$8+SQRT(AW297*($AN$8-$AL$8)*($AM$8-$AL$8)),$AN$8-SQRT((1-AW297)*($AN$8-$AL$8)*($AN$8-$AM$8))),$AM$8)</f>
        <v/>
      </c>
      <c r="AO297">
        <f>IFERROR(IF(AX297&lt;($AM$9-$AL$9)/($AN$9-$AL$9),$AL$9+SQRT(AX297*($AN$9-$AL$9)*($AM$9-$AL$9)),$AN$9-SQRT((1-AX297)*($AN$9-$AL$9)*($AN$9-$AM$9))),$AM$9)</f>
        <v/>
      </c>
      <c r="AP297">
        <f>IFERROR(IF(AY297&lt;($AM$10-$AL$10)/($AN$10-$AL$10),$AL$10+SQRT(AY297*($AN$10-$AL$10)*($AM$10-$AL$10)),$AN$10-SQRT((1-AY297)*($AN$10-$AL$10)*($AN$10-$AM$10))),$AM$10)</f>
        <v/>
      </c>
      <c r="AQ297">
        <f>IFERROR(IF(AZ297&lt;($AM$11-$AL$11)/($AN$11-$AL$11),$AL$11+SQRT(AZ297*($AN$11-$AL$11)*($AM$11-$AL$11)),$AN$11-SQRT((1-AZ297)*($AN$11-$AL$11)*($AN$11-$AM$11))),$AM$11)</f>
        <v/>
      </c>
      <c r="AR297">
        <f>SUMPRODUCT((B24:B31&lt;=$B$6)*(C24:C31*AM297+D24:D31*AO297*$B$8*AQ297)/(1+AL297/100)^B24:B31)+C32*AM297*AP297/(1+AL297/100)^$B$6</f>
        <v/>
      </c>
      <c r="AS297">
        <f>SUMPRODUCT((K24:K26&lt;=$B$6)*(L24:L26*AN297+M24:M26*AO297*$B$8*AQ297)/(1+AL297/100)^K24:K26)+L27*AN297*AP297/(1+AL297/100)^$B$6</f>
        <v/>
      </c>
      <c r="AT297">
        <f>AS297-AR297</f>
        <v/>
      </c>
      <c r="AU297">
        <f>RAND()</f>
        <v/>
      </c>
      <c r="AV297">
        <f>RAND()</f>
        <v/>
      </c>
      <c r="AW297">
        <f>RAND()</f>
        <v/>
      </c>
      <c r="AX297">
        <f>RAND()</f>
        <v/>
      </c>
      <c r="AY297">
        <f>RAND()</f>
        <v/>
      </c>
      <c r="AZ297">
        <f>RAND()</f>
        <v/>
      </c>
    </row>
    <row r="298">
      <c r="AK298" t="n">
        <v>285</v>
      </c>
      <c r="AL298">
        <f>IFERROR(IF(AU298&lt;($AM$6-$AL$6)/($AN$6-$AL$6),$AL$6+SQRT(AU298*($AN$6-$AL$6)*($AM$6-$AL$6)),$AN$6-SQRT((1-AU298)*($AN$6-$AL$6)*($AN$6-$AM$6))),$AM$6)</f>
        <v/>
      </c>
      <c r="AM298">
        <f>IFERROR(IF(AV298&lt;($AM$7-$AL$7)/($AN$7-$AL$7),$AL$7+SQRT(AV298*($AN$7-$AL$7)*($AM$7-$AL$7)),$AN$7-SQRT((1-AV298)*($AN$7-$AL$7)*($AN$7-$AM$7))),$AM$7)</f>
        <v/>
      </c>
      <c r="AN298">
        <f>IFERROR(IF(AW298&lt;($AM$8-$AL$8)/($AN$8-$AL$8),$AL$8+SQRT(AW298*($AN$8-$AL$8)*($AM$8-$AL$8)),$AN$8-SQRT((1-AW298)*($AN$8-$AL$8)*($AN$8-$AM$8))),$AM$8)</f>
        <v/>
      </c>
      <c r="AO298">
        <f>IFERROR(IF(AX298&lt;($AM$9-$AL$9)/($AN$9-$AL$9),$AL$9+SQRT(AX298*($AN$9-$AL$9)*($AM$9-$AL$9)),$AN$9-SQRT((1-AX298)*($AN$9-$AL$9)*($AN$9-$AM$9))),$AM$9)</f>
        <v/>
      </c>
      <c r="AP298">
        <f>IFERROR(IF(AY298&lt;($AM$10-$AL$10)/($AN$10-$AL$10),$AL$10+SQRT(AY298*($AN$10-$AL$10)*($AM$10-$AL$10)),$AN$10-SQRT((1-AY298)*($AN$10-$AL$10)*($AN$10-$AM$10))),$AM$10)</f>
        <v/>
      </c>
      <c r="AQ298">
        <f>IFERROR(IF(AZ298&lt;($AM$11-$AL$11)/($AN$11-$AL$11),$AL$11+SQRT(AZ298*($AN$11-$AL$11)*($AM$11-$AL$11)),$AN$11-SQRT((1-AZ298)*($AN$11-$AL$11)*($AN$11-$AM$11))),$AM$11)</f>
        <v/>
      </c>
      <c r="AR298">
        <f>SUMPRODUCT((B24:B31&lt;=$B$6)*(C24:C31*AM298+D24:D31*AO298*$B$8*AQ298)/(1+AL298/100)^B24:B31)+C32*AM298*AP298/(1+AL298/100)^$B$6</f>
        <v/>
      </c>
      <c r="AS298">
        <f>SUMPRODUCT((K24:K26&lt;=$B$6)*(L24:L26*AN298+M24:M26*AO298*$B$8*AQ298)/(1+AL298/100)^K24:K26)+L27*AN298*AP298/(1+AL298/100)^$B$6</f>
        <v/>
      </c>
      <c r="AT298">
        <f>AS298-AR298</f>
        <v/>
      </c>
      <c r="AU298">
        <f>RAND()</f>
        <v/>
      </c>
      <c r="AV298">
        <f>RAND()</f>
        <v/>
      </c>
      <c r="AW298">
        <f>RAND()</f>
        <v/>
      </c>
      <c r="AX298">
        <f>RAND()</f>
        <v/>
      </c>
      <c r="AY298">
        <f>RAND()</f>
        <v/>
      </c>
      <c r="AZ298">
        <f>RAND()</f>
        <v/>
      </c>
    </row>
    <row r="299">
      <c r="AK299" t="n">
        <v>286</v>
      </c>
      <c r="AL299">
        <f>IFERROR(IF(AU299&lt;($AM$6-$AL$6)/($AN$6-$AL$6),$AL$6+SQRT(AU299*($AN$6-$AL$6)*($AM$6-$AL$6)),$AN$6-SQRT((1-AU299)*($AN$6-$AL$6)*($AN$6-$AM$6))),$AM$6)</f>
        <v/>
      </c>
      <c r="AM299">
        <f>IFERROR(IF(AV299&lt;($AM$7-$AL$7)/($AN$7-$AL$7),$AL$7+SQRT(AV299*($AN$7-$AL$7)*($AM$7-$AL$7)),$AN$7-SQRT((1-AV299)*($AN$7-$AL$7)*($AN$7-$AM$7))),$AM$7)</f>
        <v/>
      </c>
      <c r="AN299">
        <f>IFERROR(IF(AW299&lt;($AM$8-$AL$8)/($AN$8-$AL$8),$AL$8+SQRT(AW299*($AN$8-$AL$8)*($AM$8-$AL$8)),$AN$8-SQRT((1-AW299)*($AN$8-$AL$8)*($AN$8-$AM$8))),$AM$8)</f>
        <v/>
      </c>
      <c r="AO299">
        <f>IFERROR(IF(AX299&lt;($AM$9-$AL$9)/($AN$9-$AL$9),$AL$9+SQRT(AX299*($AN$9-$AL$9)*($AM$9-$AL$9)),$AN$9-SQRT((1-AX299)*($AN$9-$AL$9)*($AN$9-$AM$9))),$AM$9)</f>
        <v/>
      </c>
      <c r="AP299">
        <f>IFERROR(IF(AY299&lt;($AM$10-$AL$10)/($AN$10-$AL$10),$AL$10+SQRT(AY299*($AN$10-$AL$10)*($AM$10-$AL$10)),$AN$10-SQRT((1-AY299)*($AN$10-$AL$10)*($AN$10-$AM$10))),$AM$10)</f>
        <v/>
      </c>
      <c r="AQ299">
        <f>IFERROR(IF(AZ299&lt;($AM$11-$AL$11)/($AN$11-$AL$11),$AL$11+SQRT(AZ299*($AN$11-$AL$11)*($AM$11-$AL$11)),$AN$11-SQRT((1-AZ299)*($AN$11-$AL$11)*($AN$11-$AM$11))),$AM$11)</f>
        <v/>
      </c>
      <c r="AR299">
        <f>SUMPRODUCT((B24:B31&lt;=$B$6)*(C24:C31*AM299+D24:D31*AO299*$B$8*AQ299)/(1+AL299/100)^B24:B31)+C32*AM299*AP299/(1+AL299/100)^$B$6</f>
        <v/>
      </c>
      <c r="AS299">
        <f>SUMPRODUCT((K24:K26&lt;=$B$6)*(L24:L26*AN299+M24:M26*AO299*$B$8*AQ299)/(1+AL299/100)^K24:K26)+L27*AN299*AP299/(1+AL299/100)^$B$6</f>
        <v/>
      </c>
      <c r="AT299">
        <f>AS299-AR299</f>
        <v/>
      </c>
      <c r="AU299">
        <f>RAND()</f>
        <v/>
      </c>
      <c r="AV299">
        <f>RAND()</f>
        <v/>
      </c>
      <c r="AW299">
        <f>RAND()</f>
        <v/>
      </c>
      <c r="AX299">
        <f>RAND()</f>
        <v/>
      </c>
      <c r="AY299">
        <f>RAND()</f>
        <v/>
      </c>
      <c r="AZ299">
        <f>RAND()</f>
        <v/>
      </c>
    </row>
    <row r="300">
      <c r="AK300" t="n">
        <v>287</v>
      </c>
      <c r="AL300">
        <f>IFERROR(IF(AU300&lt;($AM$6-$AL$6)/($AN$6-$AL$6),$AL$6+SQRT(AU300*($AN$6-$AL$6)*($AM$6-$AL$6)),$AN$6-SQRT((1-AU300)*($AN$6-$AL$6)*($AN$6-$AM$6))),$AM$6)</f>
        <v/>
      </c>
      <c r="AM300">
        <f>IFERROR(IF(AV300&lt;($AM$7-$AL$7)/($AN$7-$AL$7),$AL$7+SQRT(AV300*($AN$7-$AL$7)*($AM$7-$AL$7)),$AN$7-SQRT((1-AV300)*($AN$7-$AL$7)*($AN$7-$AM$7))),$AM$7)</f>
        <v/>
      </c>
      <c r="AN300">
        <f>IFERROR(IF(AW300&lt;($AM$8-$AL$8)/($AN$8-$AL$8),$AL$8+SQRT(AW300*($AN$8-$AL$8)*($AM$8-$AL$8)),$AN$8-SQRT((1-AW300)*($AN$8-$AL$8)*($AN$8-$AM$8))),$AM$8)</f>
        <v/>
      </c>
      <c r="AO300">
        <f>IFERROR(IF(AX300&lt;($AM$9-$AL$9)/($AN$9-$AL$9),$AL$9+SQRT(AX300*($AN$9-$AL$9)*($AM$9-$AL$9)),$AN$9-SQRT((1-AX300)*($AN$9-$AL$9)*($AN$9-$AM$9))),$AM$9)</f>
        <v/>
      </c>
      <c r="AP300">
        <f>IFERROR(IF(AY300&lt;($AM$10-$AL$10)/($AN$10-$AL$10),$AL$10+SQRT(AY300*($AN$10-$AL$10)*($AM$10-$AL$10)),$AN$10-SQRT((1-AY300)*($AN$10-$AL$10)*($AN$10-$AM$10))),$AM$10)</f>
        <v/>
      </c>
      <c r="AQ300">
        <f>IFERROR(IF(AZ300&lt;($AM$11-$AL$11)/($AN$11-$AL$11),$AL$11+SQRT(AZ300*($AN$11-$AL$11)*($AM$11-$AL$11)),$AN$11-SQRT((1-AZ300)*($AN$11-$AL$11)*($AN$11-$AM$11))),$AM$11)</f>
        <v/>
      </c>
      <c r="AR300">
        <f>SUMPRODUCT((B24:B31&lt;=$B$6)*(C24:C31*AM300+D24:D31*AO300*$B$8*AQ300)/(1+AL300/100)^B24:B31)+C32*AM300*AP300/(1+AL300/100)^$B$6</f>
        <v/>
      </c>
      <c r="AS300">
        <f>SUMPRODUCT((K24:K26&lt;=$B$6)*(L24:L26*AN300+M24:M26*AO300*$B$8*AQ300)/(1+AL300/100)^K24:K26)+L27*AN300*AP300/(1+AL300/100)^$B$6</f>
        <v/>
      </c>
      <c r="AT300">
        <f>AS300-AR300</f>
        <v/>
      </c>
      <c r="AU300">
        <f>RAND()</f>
        <v/>
      </c>
      <c r="AV300">
        <f>RAND()</f>
        <v/>
      </c>
      <c r="AW300">
        <f>RAND()</f>
        <v/>
      </c>
      <c r="AX300">
        <f>RAND()</f>
        <v/>
      </c>
      <c r="AY300">
        <f>RAND()</f>
        <v/>
      </c>
      <c r="AZ300">
        <f>RAND()</f>
        <v/>
      </c>
    </row>
    <row r="301">
      <c r="AK301" t="n">
        <v>288</v>
      </c>
      <c r="AL301">
        <f>IFERROR(IF(AU301&lt;($AM$6-$AL$6)/($AN$6-$AL$6),$AL$6+SQRT(AU301*($AN$6-$AL$6)*($AM$6-$AL$6)),$AN$6-SQRT((1-AU301)*($AN$6-$AL$6)*($AN$6-$AM$6))),$AM$6)</f>
        <v/>
      </c>
      <c r="AM301">
        <f>IFERROR(IF(AV301&lt;($AM$7-$AL$7)/($AN$7-$AL$7),$AL$7+SQRT(AV301*($AN$7-$AL$7)*($AM$7-$AL$7)),$AN$7-SQRT((1-AV301)*($AN$7-$AL$7)*($AN$7-$AM$7))),$AM$7)</f>
        <v/>
      </c>
      <c r="AN301">
        <f>IFERROR(IF(AW301&lt;($AM$8-$AL$8)/($AN$8-$AL$8),$AL$8+SQRT(AW301*($AN$8-$AL$8)*($AM$8-$AL$8)),$AN$8-SQRT((1-AW301)*($AN$8-$AL$8)*($AN$8-$AM$8))),$AM$8)</f>
        <v/>
      </c>
      <c r="AO301">
        <f>IFERROR(IF(AX301&lt;($AM$9-$AL$9)/($AN$9-$AL$9),$AL$9+SQRT(AX301*($AN$9-$AL$9)*($AM$9-$AL$9)),$AN$9-SQRT((1-AX301)*($AN$9-$AL$9)*($AN$9-$AM$9))),$AM$9)</f>
        <v/>
      </c>
      <c r="AP301">
        <f>IFERROR(IF(AY301&lt;($AM$10-$AL$10)/($AN$10-$AL$10),$AL$10+SQRT(AY301*($AN$10-$AL$10)*($AM$10-$AL$10)),$AN$10-SQRT((1-AY301)*($AN$10-$AL$10)*($AN$10-$AM$10))),$AM$10)</f>
        <v/>
      </c>
      <c r="AQ301">
        <f>IFERROR(IF(AZ301&lt;($AM$11-$AL$11)/($AN$11-$AL$11),$AL$11+SQRT(AZ301*($AN$11-$AL$11)*($AM$11-$AL$11)),$AN$11-SQRT((1-AZ301)*($AN$11-$AL$11)*($AN$11-$AM$11))),$AM$11)</f>
        <v/>
      </c>
      <c r="AR301">
        <f>SUMPRODUCT((B24:B31&lt;=$B$6)*(C24:C31*AM301+D24:D31*AO301*$B$8*AQ301)/(1+AL301/100)^B24:B31)+C32*AM301*AP301/(1+AL301/100)^$B$6</f>
        <v/>
      </c>
      <c r="AS301">
        <f>SUMPRODUCT((K24:K26&lt;=$B$6)*(L24:L26*AN301+M24:M26*AO301*$B$8*AQ301)/(1+AL301/100)^K24:K26)+L27*AN301*AP301/(1+AL301/100)^$B$6</f>
        <v/>
      </c>
      <c r="AT301">
        <f>AS301-AR301</f>
        <v/>
      </c>
      <c r="AU301">
        <f>RAND()</f>
        <v/>
      </c>
      <c r="AV301">
        <f>RAND()</f>
        <v/>
      </c>
      <c r="AW301">
        <f>RAND()</f>
        <v/>
      </c>
      <c r="AX301">
        <f>RAND()</f>
        <v/>
      </c>
      <c r="AY301">
        <f>RAND()</f>
        <v/>
      </c>
      <c r="AZ301">
        <f>RAND()</f>
        <v/>
      </c>
    </row>
    <row r="302">
      <c r="AK302" t="n">
        <v>289</v>
      </c>
      <c r="AL302">
        <f>IFERROR(IF(AU302&lt;($AM$6-$AL$6)/($AN$6-$AL$6),$AL$6+SQRT(AU302*($AN$6-$AL$6)*($AM$6-$AL$6)),$AN$6-SQRT((1-AU302)*($AN$6-$AL$6)*($AN$6-$AM$6))),$AM$6)</f>
        <v/>
      </c>
      <c r="AM302">
        <f>IFERROR(IF(AV302&lt;($AM$7-$AL$7)/($AN$7-$AL$7),$AL$7+SQRT(AV302*($AN$7-$AL$7)*($AM$7-$AL$7)),$AN$7-SQRT((1-AV302)*($AN$7-$AL$7)*($AN$7-$AM$7))),$AM$7)</f>
        <v/>
      </c>
      <c r="AN302">
        <f>IFERROR(IF(AW302&lt;($AM$8-$AL$8)/($AN$8-$AL$8),$AL$8+SQRT(AW302*($AN$8-$AL$8)*($AM$8-$AL$8)),$AN$8-SQRT((1-AW302)*($AN$8-$AL$8)*($AN$8-$AM$8))),$AM$8)</f>
        <v/>
      </c>
      <c r="AO302">
        <f>IFERROR(IF(AX302&lt;($AM$9-$AL$9)/($AN$9-$AL$9),$AL$9+SQRT(AX302*($AN$9-$AL$9)*($AM$9-$AL$9)),$AN$9-SQRT((1-AX302)*($AN$9-$AL$9)*($AN$9-$AM$9))),$AM$9)</f>
        <v/>
      </c>
      <c r="AP302">
        <f>IFERROR(IF(AY302&lt;($AM$10-$AL$10)/($AN$10-$AL$10),$AL$10+SQRT(AY302*($AN$10-$AL$10)*($AM$10-$AL$10)),$AN$10-SQRT((1-AY302)*($AN$10-$AL$10)*($AN$10-$AM$10))),$AM$10)</f>
        <v/>
      </c>
      <c r="AQ302">
        <f>IFERROR(IF(AZ302&lt;($AM$11-$AL$11)/($AN$11-$AL$11),$AL$11+SQRT(AZ302*($AN$11-$AL$11)*($AM$11-$AL$11)),$AN$11-SQRT((1-AZ302)*($AN$11-$AL$11)*($AN$11-$AM$11))),$AM$11)</f>
        <v/>
      </c>
      <c r="AR302">
        <f>SUMPRODUCT((B24:B31&lt;=$B$6)*(C24:C31*AM302+D24:D31*AO302*$B$8*AQ302)/(1+AL302/100)^B24:B31)+C32*AM302*AP302/(1+AL302/100)^$B$6</f>
        <v/>
      </c>
      <c r="AS302">
        <f>SUMPRODUCT((K24:K26&lt;=$B$6)*(L24:L26*AN302+M24:M26*AO302*$B$8*AQ302)/(1+AL302/100)^K24:K26)+L27*AN302*AP302/(1+AL302/100)^$B$6</f>
        <v/>
      </c>
      <c r="AT302">
        <f>AS302-AR302</f>
        <v/>
      </c>
      <c r="AU302">
        <f>RAND()</f>
        <v/>
      </c>
      <c r="AV302">
        <f>RAND()</f>
        <v/>
      </c>
      <c r="AW302">
        <f>RAND()</f>
        <v/>
      </c>
      <c r="AX302">
        <f>RAND()</f>
        <v/>
      </c>
      <c r="AY302">
        <f>RAND()</f>
        <v/>
      </c>
      <c r="AZ302">
        <f>RAND()</f>
        <v/>
      </c>
    </row>
    <row r="303">
      <c r="AK303" t="n">
        <v>290</v>
      </c>
      <c r="AL303">
        <f>IFERROR(IF(AU303&lt;($AM$6-$AL$6)/($AN$6-$AL$6),$AL$6+SQRT(AU303*($AN$6-$AL$6)*($AM$6-$AL$6)),$AN$6-SQRT((1-AU303)*($AN$6-$AL$6)*($AN$6-$AM$6))),$AM$6)</f>
        <v/>
      </c>
      <c r="AM303">
        <f>IFERROR(IF(AV303&lt;($AM$7-$AL$7)/($AN$7-$AL$7),$AL$7+SQRT(AV303*($AN$7-$AL$7)*($AM$7-$AL$7)),$AN$7-SQRT((1-AV303)*($AN$7-$AL$7)*($AN$7-$AM$7))),$AM$7)</f>
        <v/>
      </c>
      <c r="AN303">
        <f>IFERROR(IF(AW303&lt;($AM$8-$AL$8)/($AN$8-$AL$8),$AL$8+SQRT(AW303*($AN$8-$AL$8)*($AM$8-$AL$8)),$AN$8-SQRT((1-AW303)*($AN$8-$AL$8)*($AN$8-$AM$8))),$AM$8)</f>
        <v/>
      </c>
      <c r="AO303">
        <f>IFERROR(IF(AX303&lt;($AM$9-$AL$9)/($AN$9-$AL$9),$AL$9+SQRT(AX303*($AN$9-$AL$9)*($AM$9-$AL$9)),$AN$9-SQRT((1-AX303)*($AN$9-$AL$9)*($AN$9-$AM$9))),$AM$9)</f>
        <v/>
      </c>
      <c r="AP303">
        <f>IFERROR(IF(AY303&lt;($AM$10-$AL$10)/($AN$10-$AL$10),$AL$10+SQRT(AY303*($AN$10-$AL$10)*($AM$10-$AL$10)),$AN$10-SQRT((1-AY303)*($AN$10-$AL$10)*($AN$10-$AM$10))),$AM$10)</f>
        <v/>
      </c>
      <c r="AQ303">
        <f>IFERROR(IF(AZ303&lt;($AM$11-$AL$11)/($AN$11-$AL$11),$AL$11+SQRT(AZ303*($AN$11-$AL$11)*($AM$11-$AL$11)),$AN$11-SQRT((1-AZ303)*($AN$11-$AL$11)*($AN$11-$AM$11))),$AM$11)</f>
        <v/>
      </c>
      <c r="AR303">
        <f>SUMPRODUCT((B24:B31&lt;=$B$6)*(C24:C31*AM303+D24:D31*AO303*$B$8*AQ303)/(1+AL303/100)^B24:B31)+C32*AM303*AP303/(1+AL303/100)^$B$6</f>
        <v/>
      </c>
      <c r="AS303">
        <f>SUMPRODUCT((K24:K26&lt;=$B$6)*(L24:L26*AN303+M24:M26*AO303*$B$8*AQ303)/(1+AL303/100)^K24:K26)+L27*AN303*AP303/(1+AL303/100)^$B$6</f>
        <v/>
      </c>
      <c r="AT303">
        <f>AS303-AR303</f>
        <v/>
      </c>
      <c r="AU303">
        <f>RAND()</f>
        <v/>
      </c>
      <c r="AV303">
        <f>RAND()</f>
        <v/>
      </c>
      <c r="AW303">
        <f>RAND()</f>
        <v/>
      </c>
      <c r="AX303">
        <f>RAND()</f>
        <v/>
      </c>
      <c r="AY303">
        <f>RAND()</f>
        <v/>
      </c>
      <c r="AZ303">
        <f>RAND()</f>
        <v/>
      </c>
    </row>
    <row r="304">
      <c r="AK304" t="n">
        <v>291</v>
      </c>
      <c r="AL304">
        <f>IFERROR(IF(AU304&lt;($AM$6-$AL$6)/($AN$6-$AL$6),$AL$6+SQRT(AU304*($AN$6-$AL$6)*($AM$6-$AL$6)),$AN$6-SQRT((1-AU304)*($AN$6-$AL$6)*($AN$6-$AM$6))),$AM$6)</f>
        <v/>
      </c>
      <c r="AM304">
        <f>IFERROR(IF(AV304&lt;($AM$7-$AL$7)/($AN$7-$AL$7),$AL$7+SQRT(AV304*($AN$7-$AL$7)*($AM$7-$AL$7)),$AN$7-SQRT((1-AV304)*($AN$7-$AL$7)*($AN$7-$AM$7))),$AM$7)</f>
        <v/>
      </c>
      <c r="AN304">
        <f>IFERROR(IF(AW304&lt;($AM$8-$AL$8)/($AN$8-$AL$8),$AL$8+SQRT(AW304*($AN$8-$AL$8)*($AM$8-$AL$8)),$AN$8-SQRT((1-AW304)*($AN$8-$AL$8)*($AN$8-$AM$8))),$AM$8)</f>
        <v/>
      </c>
      <c r="AO304">
        <f>IFERROR(IF(AX304&lt;($AM$9-$AL$9)/($AN$9-$AL$9),$AL$9+SQRT(AX304*($AN$9-$AL$9)*($AM$9-$AL$9)),$AN$9-SQRT((1-AX304)*($AN$9-$AL$9)*($AN$9-$AM$9))),$AM$9)</f>
        <v/>
      </c>
      <c r="AP304">
        <f>IFERROR(IF(AY304&lt;($AM$10-$AL$10)/($AN$10-$AL$10),$AL$10+SQRT(AY304*($AN$10-$AL$10)*($AM$10-$AL$10)),$AN$10-SQRT((1-AY304)*($AN$10-$AL$10)*($AN$10-$AM$10))),$AM$10)</f>
        <v/>
      </c>
      <c r="AQ304">
        <f>IFERROR(IF(AZ304&lt;($AM$11-$AL$11)/($AN$11-$AL$11),$AL$11+SQRT(AZ304*($AN$11-$AL$11)*($AM$11-$AL$11)),$AN$11-SQRT((1-AZ304)*($AN$11-$AL$11)*($AN$11-$AM$11))),$AM$11)</f>
        <v/>
      </c>
      <c r="AR304">
        <f>SUMPRODUCT((B24:B31&lt;=$B$6)*(C24:C31*AM304+D24:D31*AO304*$B$8*AQ304)/(1+AL304/100)^B24:B31)+C32*AM304*AP304/(1+AL304/100)^$B$6</f>
        <v/>
      </c>
      <c r="AS304">
        <f>SUMPRODUCT((K24:K26&lt;=$B$6)*(L24:L26*AN304+M24:M26*AO304*$B$8*AQ304)/(1+AL304/100)^K24:K26)+L27*AN304*AP304/(1+AL304/100)^$B$6</f>
        <v/>
      </c>
      <c r="AT304">
        <f>AS304-AR304</f>
        <v/>
      </c>
      <c r="AU304">
        <f>RAND()</f>
        <v/>
      </c>
      <c r="AV304">
        <f>RAND()</f>
        <v/>
      </c>
      <c r="AW304">
        <f>RAND()</f>
        <v/>
      </c>
      <c r="AX304">
        <f>RAND()</f>
        <v/>
      </c>
      <c r="AY304">
        <f>RAND()</f>
        <v/>
      </c>
      <c r="AZ304">
        <f>RAND()</f>
        <v/>
      </c>
    </row>
    <row r="305">
      <c r="AK305" t="n">
        <v>292</v>
      </c>
      <c r="AL305">
        <f>IFERROR(IF(AU305&lt;($AM$6-$AL$6)/($AN$6-$AL$6),$AL$6+SQRT(AU305*($AN$6-$AL$6)*($AM$6-$AL$6)),$AN$6-SQRT((1-AU305)*($AN$6-$AL$6)*($AN$6-$AM$6))),$AM$6)</f>
        <v/>
      </c>
      <c r="AM305">
        <f>IFERROR(IF(AV305&lt;($AM$7-$AL$7)/($AN$7-$AL$7),$AL$7+SQRT(AV305*($AN$7-$AL$7)*($AM$7-$AL$7)),$AN$7-SQRT((1-AV305)*($AN$7-$AL$7)*($AN$7-$AM$7))),$AM$7)</f>
        <v/>
      </c>
      <c r="AN305">
        <f>IFERROR(IF(AW305&lt;($AM$8-$AL$8)/($AN$8-$AL$8),$AL$8+SQRT(AW305*($AN$8-$AL$8)*($AM$8-$AL$8)),$AN$8-SQRT((1-AW305)*($AN$8-$AL$8)*($AN$8-$AM$8))),$AM$8)</f>
        <v/>
      </c>
      <c r="AO305">
        <f>IFERROR(IF(AX305&lt;($AM$9-$AL$9)/($AN$9-$AL$9),$AL$9+SQRT(AX305*($AN$9-$AL$9)*($AM$9-$AL$9)),$AN$9-SQRT((1-AX305)*($AN$9-$AL$9)*($AN$9-$AM$9))),$AM$9)</f>
        <v/>
      </c>
      <c r="AP305">
        <f>IFERROR(IF(AY305&lt;($AM$10-$AL$10)/($AN$10-$AL$10),$AL$10+SQRT(AY305*($AN$10-$AL$10)*($AM$10-$AL$10)),$AN$10-SQRT((1-AY305)*($AN$10-$AL$10)*($AN$10-$AM$10))),$AM$10)</f>
        <v/>
      </c>
      <c r="AQ305">
        <f>IFERROR(IF(AZ305&lt;($AM$11-$AL$11)/($AN$11-$AL$11),$AL$11+SQRT(AZ305*($AN$11-$AL$11)*($AM$11-$AL$11)),$AN$11-SQRT((1-AZ305)*($AN$11-$AL$11)*($AN$11-$AM$11))),$AM$11)</f>
        <v/>
      </c>
      <c r="AR305">
        <f>SUMPRODUCT((B24:B31&lt;=$B$6)*(C24:C31*AM305+D24:D31*AO305*$B$8*AQ305)/(1+AL305/100)^B24:B31)+C32*AM305*AP305/(1+AL305/100)^$B$6</f>
        <v/>
      </c>
      <c r="AS305">
        <f>SUMPRODUCT((K24:K26&lt;=$B$6)*(L24:L26*AN305+M24:M26*AO305*$B$8*AQ305)/(1+AL305/100)^K24:K26)+L27*AN305*AP305/(1+AL305/100)^$B$6</f>
        <v/>
      </c>
      <c r="AT305">
        <f>AS305-AR305</f>
        <v/>
      </c>
      <c r="AU305">
        <f>RAND()</f>
        <v/>
      </c>
      <c r="AV305">
        <f>RAND()</f>
        <v/>
      </c>
      <c r="AW305">
        <f>RAND()</f>
        <v/>
      </c>
      <c r="AX305">
        <f>RAND()</f>
        <v/>
      </c>
      <c r="AY305">
        <f>RAND()</f>
        <v/>
      </c>
      <c r="AZ305">
        <f>RAND()</f>
        <v/>
      </c>
    </row>
    <row r="306">
      <c r="AK306" t="n">
        <v>293</v>
      </c>
      <c r="AL306">
        <f>IFERROR(IF(AU306&lt;($AM$6-$AL$6)/($AN$6-$AL$6),$AL$6+SQRT(AU306*($AN$6-$AL$6)*($AM$6-$AL$6)),$AN$6-SQRT((1-AU306)*($AN$6-$AL$6)*($AN$6-$AM$6))),$AM$6)</f>
        <v/>
      </c>
      <c r="AM306">
        <f>IFERROR(IF(AV306&lt;($AM$7-$AL$7)/($AN$7-$AL$7),$AL$7+SQRT(AV306*($AN$7-$AL$7)*($AM$7-$AL$7)),$AN$7-SQRT((1-AV306)*($AN$7-$AL$7)*($AN$7-$AM$7))),$AM$7)</f>
        <v/>
      </c>
      <c r="AN306">
        <f>IFERROR(IF(AW306&lt;($AM$8-$AL$8)/($AN$8-$AL$8),$AL$8+SQRT(AW306*($AN$8-$AL$8)*($AM$8-$AL$8)),$AN$8-SQRT((1-AW306)*($AN$8-$AL$8)*($AN$8-$AM$8))),$AM$8)</f>
        <v/>
      </c>
      <c r="AO306">
        <f>IFERROR(IF(AX306&lt;($AM$9-$AL$9)/($AN$9-$AL$9),$AL$9+SQRT(AX306*($AN$9-$AL$9)*($AM$9-$AL$9)),$AN$9-SQRT((1-AX306)*($AN$9-$AL$9)*($AN$9-$AM$9))),$AM$9)</f>
        <v/>
      </c>
      <c r="AP306">
        <f>IFERROR(IF(AY306&lt;($AM$10-$AL$10)/($AN$10-$AL$10),$AL$10+SQRT(AY306*($AN$10-$AL$10)*($AM$10-$AL$10)),$AN$10-SQRT((1-AY306)*($AN$10-$AL$10)*($AN$10-$AM$10))),$AM$10)</f>
        <v/>
      </c>
      <c r="AQ306">
        <f>IFERROR(IF(AZ306&lt;($AM$11-$AL$11)/($AN$11-$AL$11),$AL$11+SQRT(AZ306*($AN$11-$AL$11)*($AM$11-$AL$11)),$AN$11-SQRT((1-AZ306)*($AN$11-$AL$11)*($AN$11-$AM$11))),$AM$11)</f>
        <v/>
      </c>
      <c r="AR306">
        <f>SUMPRODUCT((B24:B31&lt;=$B$6)*(C24:C31*AM306+D24:D31*AO306*$B$8*AQ306)/(1+AL306/100)^B24:B31)+C32*AM306*AP306/(1+AL306/100)^$B$6</f>
        <v/>
      </c>
      <c r="AS306">
        <f>SUMPRODUCT((K24:K26&lt;=$B$6)*(L24:L26*AN306+M24:M26*AO306*$B$8*AQ306)/(1+AL306/100)^K24:K26)+L27*AN306*AP306/(1+AL306/100)^$B$6</f>
        <v/>
      </c>
      <c r="AT306">
        <f>AS306-AR306</f>
        <v/>
      </c>
      <c r="AU306">
        <f>RAND()</f>
        <v/>
      </c>
      <c r="AV306">
        <f>RAND()</f>
        <v/>
      </c>
      <c r="AW306">
        <f>RAND()</f>
        <v/>
      </c>
      <c r="AX306">
        <f>RAND()</f>
        <v/>
      </c>
      <c r="AY306">
        <f>RAND()</f>
        <v/>
      </c>
      <c r="AZ306">
        <f>RAND()</f>
        <v/>
      </c>
    </row>
    <row r="307">
      <c r="AK307" t="n">
        <v>294</v>
      </c>
      <c r="AL307">
        <f>IFERROR(IF(AU307&lt;($AM$6-$AL$6)/($AN$6-$AL$6),$AL$6+SQRT(AU307*($AN$6-$AL$6)*($AM$6-$AL$6)),$AN$6-SQRT((1-AU307)*($AN$6-$AL$6)*($AN$6-$AM$6))),$AM$6)</f>
        <v/>
      </c>
      <c r="AM307">
        <f>IFERROR(IF(AV307&lt;($AM$7-$AL$7)/($AN$7-$AL$7),$AL$7+SQRT(AV307*($AN$7-$AL$7)*($AM$7-$AL$7)),$AN$7-SQRT((1-AV307)*($AN$7-$AL$7)*($AN$7-$AM$7))),$AM$7)</f>
        <v/>
      </c>
      <c r="AN307">
        <f>IFERROR(IF(AW307&lt;($AM$8-$AL$8)/($AN$8-$AL$8),$AL$8+SQRT(AW307*($AN$8-$AL$8)*($AM$8-$AL$8)),$AN$8-SQRT((1-AW307)*($AN$8-$AL$8)*($AN$8-$AM$8))),$AM$8)</f>
        <v/>
      </c>
      <c r="AO307">
        <f>IFERROR(IF(AX307&lt;($AM$9-$AL$9)/($AN$9-$AL$9),$AL$9+SQRT(AX307*($AN$9-$AL$9)*($AM$9-$AL$9)),$AN$9-SQRT((1-AX307)*($AN$9-$AL$9)*($AN$9-$AM$9))),$AM$9)</f>
        <v/>
      </c>
      <c r="AP307">
        <f>IFERROR(IF(AY307&lt;($AM$10-$AL$10)/($AN$10-$AL$10),$AL$10+SQRT(AY307*($AN$10-$AL$10)*($AM$10-$AL$10)),$AN$10-SQRT((1-AY307)*($AN$10-$AL$10)*($AN$10-$AM$10))),$AM$10)</f>
        <v/>
      </c>
      <c r="AQ307">
        <f>IFERROR(IF(AZ307&lt;($AM$11-$AL$11)/($AN$11-$AL$11),$AL$11+SQRT(AZ307*($AN$11-$AL$11)*($AM$11-$AL$11)),$AN$11-SQRT((1-AZ307)*($AN$11-$AL$11)*($AN$11-$AM$11))),$AM$11)</f>
        <v/>
      </c>
      <c r="AR307">
        <f>SUMPRODUCT((B24:B31&lt;=$B$6)*(C24:C31*AM307+D24:D31*AO307*$B$8*AQ307)/(1+AL307/100)^B24:B31)+C32*AM307*AP307/(1+AL307/100)^$B$6</f>
        <v/>
      </c>
      <c r="AS307">
        <f>SUMPRODUCT((K24:K26&lt;=$B$6)*(L24:L26*AN307+M24:M26*AO307*$B$8*AQ307)/(1+AL307/100)^K24:K26)+L27*AN307*AP307/(1+AL307/100)^$B$6</f>
        <v/>
      </c>
      <c r="AT307">
        <f>AS307-AR307</f>
        <v/>
      </c>
      <c r="AU307">
        <f>RAND()</f>
        <v/>
      </c>
      <c r="AV307">
        <f>RAND()</f>
        <v/>
      </c>
      <c r="AW307">
        <f>RAND()</f>
        <v/>
      </c>
      <c r="AX307">
        <f>RAND()</f>
        <v/>
      </c>
      <c r="AY307">
        <f>RAND()</f>
        <v/>
      </c>
      <c r="AZ307">
        <f>RAND()</f>
        <v/>
      </c>
    </row>
    <row r="308">
      <c r="AK308" t="n">
        <v>295</v>
      </c>
      <c r="AL308">
        <f>IFERROR(IF(AU308&lt;($AM$6-$AL$6)/($AN$6-$AL$6),$AL$6+SQRT(AU308*($AN$6-$AL$6)*($AM$6-$AL$6)),$AN$6-SQRT((1-AU308)*($AN$6-$AL$6)*($AN$6-$AM$6))),$AM$6)</f>
        <v/>
      </c>
      <c r="AM308">
        <f>IFERROR(IF(AV308&lt;($AM$7-$AL$7)/($AN$7-$AL$7),$AL$7+SQRT(AV308*($AN$7-$AL$7)*($AM$7-$AL$7)),$AN$7-SQRT((1-AV308)*($AN$7-$AL$7)*($AN$7-$AM$7))),$AM$7)</f>
        <v/>
      </c>
      <c r="AN308">
        <f>IFERROR(IF(AW308&lt;($AM$8-$AL$8)/($AN$8-$AL$8),$AL$8+SQRT(AW308*($AN$8-$AL$8)*($AM$8-$AL$8)),$AN$8-SQRT((1-AW308)*($AN$8-$AL$8)*($AN$8-$AM$8))),$AM$8)</f>
        <v/>
      </c>
      <c r="AO308">
        <f>IFERROR(IF(AX308&lt;($AM$9-$AL$9)/($AN$9-$AL$9),$AL$9+SQRT(AX308*($AN$9-$AL$9)*($AM$9-$AL$9)),$AN$9-SQRT((1-AX308)*($AN$9-$AL$9)*($AN$9-$AM$9))),$AM$9)</f>
        <v/>
      </c>
      <c r="AP308">
        <f>IFERROR(IF(AY308&lt;($AM$10-$AL$10)/($AN$10-$AL$10),$AL$10+SQRT(AY308*($AN$10-$AL$10)*($AM$10-$AL$10)),$AN$10-SQRT((1-AY308)*($AN$10-$AL$10)*($AN$10-$AM$10))),$AM$10)</f>
        <v/>
      </c>
      <c r="AQ308">
        <f>IFERROR(IF(AZ308&lt;($AM$11-$AL$11)/($AN$11-$AL$11),$AL$11+SQRT(AZ308*($AN$11-$AL$11)*($AM$11-$AL$11)),$AN$11-SQRT((1-AZ308)*($AN$11-$AL$11)*($AN$11-$AM$11))),$AM$11)</f>
        <v/>
      </c>
      <c r="AR308">
        <f>SUMPRODUCT((B24:B31&lt;=$B$6)*(C24:C31*AM308+D24:D31*AO308*$B$8*AQ308)/(1+AL308/100)^B24:B31)+C32*AM308*AP308/(1+AL308/100)^$B$6</f>
        <v/>
      </c>
      <c r="AS308">
        <f>SUMPRODUCT((K24:K26&lt;=$B$6)*(L24:L26*AN308+M24:M26*AO308*$B$8*AQ308)/(1+AL308/100)^K24:K26)+L27*AN308*AP308/(1+AL308/100)^$B$6</f>
        <v/>
      </c>
      <c r="AT308">
        <f>AS308-AR308</f>
        <v/>
      </c>
      <c r="AU308">
        <f>RAND()</f>
        <v/>
      </c>
      <c r="AV308">
        <f>RAND()</f>
        <v/>
      </c>
      <c r="AW308">
        <f>RAND()</f>
        <v/>
      </c>
      <c r="AX308">
        <f>RAND()</f>
        <v/>
      </c>
      <c r="AY308">
        <f>RAND()</f>
        <v/>
      </c>
      <c r="AZ308">
        <f>RAND()</f>
        <v/>
      </c>
    </row>
    <row r="309">
      <c r="AK309" t="n">
        <v>296</v>
      </c>
      <c r="AL309">
        <f>IFERROR(IF(AU309&lt;($AM$6-$AL$6)/($AN$6-$AL$6),$AL$6+SQRT(AU309*($AN$6-$AL$6)*($AM$6-$AL$6)),$AN$6-SQRT((1-AU309)*($AN$6-$AL$6)*($AN$6-$AM$6))),$AM$6)</f>
        <v/>
      </c>
      <c r="AM309">
        <f>IFERROR(IF(AV309&lt;($AM$7-$AL$7)/($AN$7-$AL$7),$AL$7+SQRT(AV309*($AN$7-$AL$7)*($AM$7-$AL$7)),$AN$7-SQRT((1-AV309)*($AN$7-$AL$7)*($AN$7-$AM$7))),$AM$7)</f>
        <v/>
      </c>
      <c r="AN309">
        <f>IFERROR(IF(AW309&lt;($AM$8-$AL$8)/($AN$8-$AL$8),$AL$8+SQRT(AW309*($AN$8-$AL$8)*($AM$8-$AL$8)),$AN$8-SQRT((1-AW309)*($AN$8-$AL$8)*($AN$8-$AM$8))),$AM$8)</f>
        <v/>
      </c>
      <c r="AO309">
        <f>IFERROR(IF(AX309&lt;($AM$9-$AL$9)/($AN$9-$AL$9),$AL$9+SQRT(AX309*($AN$9-$AL$9)*($AM$9-$AL$9)),$AN$9-SQRT((1-AX309)*($AN$9-$AL$9)*($AN$9-$AM$9))),$AM$9)</f>
        <v/>
      </c>
      <c r="AP309">
        <f>IFERROR(IF(AY309&lt;($AM$10-$AL$10)/($AN$10-$AL$10),$AL$10+SQRT(AY309*($AN$10-$AL$10)*($AM$10-$AL$10)),$AN$10-SQRT((1-AY309)*($AN$10-$AL$10)*($AN$10-$AM$10))),$AM$10)</f>
        <v/>
      </c>
      <c r="AQ309">
        <f>IFERROR(IF(AZ309&lt;($AM$11-$AL$11)/($AN$11-$AL$11),$AL$11+SQRT(AZ309*($AN$11-$AL$11)*($AM$11-$AL$11)),$AN$11-SQRT((1-AZ309)*($AN$11-$AL$11)*($AN$11-$AM$11))),$AM$11)</f>
        <v/>
      </c>
      <c r="AR309">
        <f>SUMPRODUCT((B24:B31&lt;=$B$6)*(C24:C31*AM309+D24:D31*AO309*$B$8*AQ309)/(1+AL309/100)^B24:B31)+C32*AM309*AP309/(1+AL309/100)^$B$6</f>
        <v/>
      </c>
      <c r="AS309">
        <f>SUMPRODUCT((K24:K26&lt;=$B$6)*(L24:L26*AN309+M24:M26*AO309*$B$8*AQ309)/(1+AL309/100)^K24:K26)+L27*AN309*AP309/(1+AL309/100)^$B$6</f>
        <v/>
      </c>
      <c r="AT309">
        <f>AS309-AR309</f>
        <v/>
      </c>
      <c r="AU309">
        <f>RAND()</f>
        <v/>
      </c>
      <c r="AV309">
        <f>RAND()</f>
        <v/>
      </c>
      <c r="AW309">
        <f>RAND()</f>
        <v/>
      </c>
      <c r="AX309">
        <f>RAND()</f>
        <v/>
      </c>
      <c r="AY309">
        <f>RAND()</f>
        <v/>
      </c>
      <c r="AZ309">
        <f>RAND()</f>
        <v/>
      </c>
    </row>
    <row r="310">
      <c r="AK310" t="n">
        <v>297</v>
      </c>
      <c r="AL310">
        <f>IFERROR(IF(AU310&lt;($AM$6-$AL$6)/($AN$6-$AL$6),$AL$6+SQRT(AU310*($AN$6-$AL$6)*($AM$6-$AL$6)),$AN$6-SQRT((1-AU310)*($AN$6-$AL$6)*($AN$6-$AM$6))),$AM$6)</f>
        <v/>
      </c>
      <c r="AM310">
        <f>IFERROR(IF(AV310&lt;($AM$7-$AL$7)/($AN$7-$AL$7),$AL$7+SQRT(AV310*($AN$7-$AL$7)*($AM$7-$AL$7)),$AN$7-SQRT((1-AV310)*($AN$7-$AL$7)*($AN$7-$AM$7))),$AM$7)</f>
        <v/>
      </c>
      <c r="AN310">
        <f>IFERROR(IF(AW310&lt;($AM$8-$AL$8)/($AN$8-$AL$8),$AL$8+SQRT(AW310*($AN$8-$AL$8)*($AM$8-$AL$8)),$AN$8-SQRT((1-AW310)*($AN$8-$AL$8)*($AN$8-$AM$8))),$AM$8)</f>
        <v/>
      </c>
      <c r="AO310">
        <f>IFERROR(IF(AX310&lt;($AM$9-$AL$9)/($AN$9-$AL$9),$AL$9+SQRT(AX310*($AN$9-$AL$9)*($AM$9-$AL$9)),$AN$9-SQRT((1-AX310)*($AN$9-$AL$9)*($AN$9-$AM$9))),$AM$9)</f>
        <v/>
      </c>
      <c r="AP310">
        <f>IFERROR(IF(AY310&lt;($AM$10-$AL$10)/($AN$10-$AL$10),$AL$10+SQRT(AY310*($AN$10-$AL$10)*($AM$10-$AL$10)),$AN$10-SQRT((1-AY310)*($AN$10-$AL$10)*($AN$10-$AM$10))),$AM$10)</f>
        <v/>
      </c>
      <c r="AQ310">
        <f>IFERROR(IF(AZ310&lt;($AM$11-$AL$11)/($AN$11-$AL$11),$AL$11+SQRT(AZ310*($AN$11-$AL$11)*($AM$11-$AL$11)),$AN$11-SQRT((1-AZ310)*($AN$11-$AL$11)*($AN$11-$AM$11))),$AM$11)</f>
        <v/>
      </c>
      <c r="AR310">
        <f>SUMPRODUCT((B24:B31&lt;=$B$6)*(C24:C31*AM310+D24:D31*AO310*$B$8*AQ310)/(1+AL310/100)^B24:B31)+C32*AM310*AP310/(1+AL310/100)^$B$6</f>
        <v/>
      </c>
      <c r="AS310">
        <f>SUMPRODUCT((K24:K26&lt;=$B$6)*(L24:L26*AN310+M24:M26*AO310*$B$8*AQ310)/(1+AL310/100)^K24:K26)+L27*AN310*AP310/(1+AL310/100)^$B$6</f>
        <v/>
      </c>
      <c r="AT310">
        <f>AS310-AR310</f>
        <v/>
      </c>
      <c r="AU310">
        <f>RAND()</f>
        <v/>
      </c>
      <c r="AV310">
        <f>RAND()</f>
        <v/>
      </c>
      <c r="AW310">
        <f>RAND()</f>
        <v/>
      </c>
      <c r="AX310">
        <f>RAND()</f>
        <v/>
      </c>
      <c r="AY310">
        <f>RAND()</f>
        <v/>
      </c>
      <c r="AZ310">
        <f>RAND()</f>
        <v/>
      </c>
    </row>
    <row r="311">
      <c r="AK311" t="n">
        <v>298</v>
      </c>
      <c r="AL311">
        <f>IFERROR(IF(AU311&lt;($AM$6-$AL$6)/($AN$6-$AL$6),$AL$6+SQRT(AU311*($AN$6-$AL$6)*($AM$6-$AL$6)),$AN$6-SQRT((1-AU311)*($AN$6-$AL$6)*($AN$6-$AM$6))),$AM$6)</f>
        <v/>
      </c>
      <c r="AM311">
        <f>IFERROR(IF(AV311&lt;($AM$7-$AL$7)/($AN$7-$AL$7),$AL$7+SQRT(AV311*($AN$7-$AL$7)*($AM$7-$AL$7)),$AN$7-SQRT((1-AV311)*($AN$7-$AL$7)*($AN$7-$AM$7))),$AM$7)</f>
        <v/>
      </c>
      <c r="AN311">
        <f>IFERROR(IF(AW311&lt;($AM$8-$AL$8)/($AN$8-$AL$8),$AL$8+SQRT(AW311*($AN$8-$AL$8)*($AM$8-$AL$8)),$AN$8-SQRT((1-AW311)*($AN$8-$AL$8)*($AN$8-$AM$8))),$AM$8)</f>
        <v/>
      </c>
      <c r="AO311">
        <f>IFERROR(IF(AX311&lt;($AM$9-$AL$9)/($AN$9-$AL$9),$AL$9+SQRT(AX311*($AN$9-$AL$9)*($AM$9-$AL$9)),$AN$9-SQRT((1-AX311)*($AN$9-$AL$9)*($AN$9-$AM$9))),$AM$9)</f>
        <v/>
      </c>
      <c r="AP311">
        <f>IFERROR(IF(AY311&lt;($AM$10-$AL$10)/($AN$10-$AL$10),$AL$10+SQRT(AY311*($AN$10-$AL$10)*($AM$10-$AL$10)),$AN$10-SQRT((1-AY311)*($AN$10-$AL$10)*($AN$10-$AM$10))),$AM$10)</f>
        <v/>
      </c>
      <c r="AQ311">
        <f>IFERROR(IF(AZ311&lt;($AM$11-$AL$11)/($AN$11-$AL$11),$AL$11+SQRT(AZ311*($AN$11-$AL$11)*($AM$11-$AL$11)),$AN$11-SQRT((1-AZ311)*($AN$11-$AL$11)*($AN$11-$AM$11))),$AM$11)</f>
        <v/>
      </c>
      <c r="AR311">
        <f>SUMPRODUCT((B24:B31&lt;=$B$6)*(C24:C31*AM311+D24:D31*AO311*$B$8*AQ311)/(1+AL311/100)^B24:B31)+C32*AM311*AP311/(1+AL311/100)^$B$6</f>
        <v/>
      </c>
      <c r="AS311">
        <f>SUMPRODUCT((K24:K26&lt;=$B$6)*(L24:L26*AN311+M24:M26*AO311*$B$8*AQ311)/(1+AL311/100)^K24:K26)+L27*AN311*AP311/(1+AL311/100)^$B$6</f>
        <v/>
      </c>
      <c r="AT311">
        <f>AS311-AR311</f>
        <v/>
      </c>
      <c r="AU311">
        <f>RAND()</f>
        <v/>
      </c>
      <c r="AV311">
        <f>RAND()</f>
        <v/>
      </c>
      <c r="AW311">
        <f>RAND()</f>
        <v/>
      </c>
      <c r="AX311">
        <f>RAND()</f>
        <v/>
      </c>
      <c r="AY311">
        <f>RAND()</f>
        <v/>
      </c>
      <c r="AZ311">
        <f>RAND()</f>
        <v/>
      </c>
    </row>
    <row r="312">
      <c r="AK312" t="n">
        <v>299</v>
      </c>
      <c r="AL312">
        <f>IFERROR(IF(AU312&lt;($AM$6-$AL$6)/($AN$6-$AL$6),$AL$6+SQRT(AU312*($AN$6-$AL$6)*($AM$6-$AL$6)),$AN$6-SQRT((1-AU312)*($AN$6-$AL$6)*($AN$6-$AM$6))),$AM$6)</f>
        <v/>
      </c>
      <c r="AM312">
        <f>IFERROR(IF(AV312&lt;($AM$7-$AL$7)/($AN$7-$AL$7),$AL$7+SQRT(AV312*($AN$7-$AL$7)*($AM$7-$AL$7)),$AN$7-SQRT((1-AV312)*($AN$7-$AL$7)*($AN$7-$AM$7))),$AM$7)</f>
        <v/>
      </c>
      <c r="AN312">
        <f>IFERROR(IF(AW312&lt;($AM$8-$AL$8)/($AN$8-$AL$8),$AL$8+SQRT(AW312*($AN$8-$AL$8)*($AM$8-$AL$8)),$AN$8-SQRT((1-AW312)*($AN$8-$AL$8)*($AN$8-$AM$8))),$AM$8)</f>
        <v/>
      </c>
      <c r="AO312">
        <f>IFERROR(IF(AX312&lt;($AM$9-$AL$9)/($AN$9-$AL$9),$AL$9+SQRT(AX312*($AN$9-$AL$9)*($AM$9-$AL$9)),$AN$9-SQRT((1-AX312)*($AN$9-$AL$9)*($AN$9-$AM$9))),$AM$9)</f>
        <v/>
      </c>
      <c r="AP312">
        <f>IFERROR(IF(AY312&lt;($AM$10-$AL$10)/($AN$10-$AL$10),$AL$10+SQRT(AY312*($AN$10-$AL$10)*($AM$10-$AL$10)),$AN$10-SQRT((1-AY312)*($AN$10-$AL$10)*($AN$10-$AM$10))),$AM$10)</f>
        <v/>
      </c>
      <c r="AQ312">
        <f>IFERROR(IF(AZ312&lt;($AM$11-$AL$11)/($AN$11-$AL$11),$AL$11+SQRT(AZ312*($AN$11-$AL$11)*($AM$11-$AL$11)),$AN$11-SQRT((1-AZ312)*($AN$11-$AL$11)*($AN$11-$AM$11))),$AM$11)</f>
        <v/>
      </c>
      <c r="AR312">
        <f>SUMPRODUCT((B24:B31&lt;=$B$6)*(C24:C31*AM312+D24:D31*AO312*$B$8*AQ312)/(1+AL312/100)^B24:B31)+C32*AM312*AP312/(1+AL312/100)^$B$6</f>
        <v/>
      </c>
      <c r="AS312">
        <f>SUMPRODUCT((K24:K26&lt;=$B$6)*(L24:L26*AN312+M24:M26*AO312*$B$8*AQ312)/(1+AL312/100)^K24:K26)+L27*AN312*AP312/(1+AL312/100)^$B$6</f>
        <v/>
      </c>
      <c r="AT312">
        <f>AS312-AR312</f>
        <v/>
      </c>
      <c r="AU312">
        <f>RAND()</f>
        <v/>
      </c>
      <c r="AV312">
        <f>RAND()</f>
        <v/>
      </c>
      <c r="AW312">
        <f>RAND()</f>
        <v/>
      </c>
      <c r="AX312">
        <f>RAND()</f>
        <v/>
      </c>
      <c r="AY312">
        <f>RAND()</f>
        <v/>
      </c>
      <c r="AZ312">
        <f>RAND()</f>
        <v/>
      </c>
    </row>
    <row r="313">
      <c r="AK313" t="n">
        <v>300</v>
      </c>
      <c r="AL313">
        <f>IFERROR(IF(AU313&lt;($AM$6-$AL$6)/($AN$6-$AL$6),$AL$6+SQRT(AU313*($AN$6-$AL$6)*($AM$6-$AL$6)),$AN$6-SQRT((1-AU313)*($AN$6-$AL$6)*($AN$6-$AM$6))),$AM$6)</f>
        <v/>
      </c>
      <c r="AM313">
        <f>IFERROR(IF(AV313&lt;($AM$7-$AL$7)/($AN$7-$AL$7),$AL$7+SQRT(AV313*($AN$7-$AL$7)*($AM$7-$AL$7)),$AN$7-SQRT((1-AV313)*($AN$7-$AL$7)*($AN$7-$AM$7))),$AM$7)</f>
        <v/>
      </c>
      <c r="AN313">
        <f>IFERROR(IF(AW313&lt;($AM$8-$AL$8)/($AN$8-$AL$8),$AL$8+SQRT(AW313*($AN$8-$AL$8)*($AM$8-$AL$8)),$AN$8-SQRT((1-AW313)*($AN$8-$AL$8)*($AN$8-$AM$8))),$AM$8)</f>
        <v/>
      </c>
      <c r="AO313">
        <f>IFERROR(IF(AX313&lt;($AM$9-$AL$9)/($AN$9-$AL$9),$AL$9+SQRT(AX313*($AN$9-$AL$9)*($AM$9-$AL$9)),$AN$9-SQRT((1-AX313)*($AN$9-$AL$9)*($AN$9-$AM$9))),$AM$9)</f>
        <v/>
      </c>
      <c r="AP313">
        <f>IFERROR(IF(AY313&lt;($AM$10-$AL$10)/($AN$10-$AL$10),$AL$10+SQRT(AY313*($AN$10-$AL$10)*($AM$10-$AL$10)),$AN$10-SQRT((1-AY313)*($AN$10-$AL$10)*($AN$10-$AM$10))),$AM$10)</f>
        <v/>
      </c>
      <c r="AQ313">
        <f>IFERROR(IF(AZ313&lt;($AM$11-$AL$11)/($AN$11-$AL$11),$AL$11+SQRT(AZ313*($AN$11-$AL$11)*($AM$11-$AL$11)),$AN$11-SQRT((1-AZ313)*($AN$11-$AL$11)*($AN$11-$AM$11))),$AM$11)</f>
        <v/>
      </c>
      <c r="AR313">
        <f>SUMPRODUCT((B24:B31&lt;=$B$6)*(C24:C31*AM313+D24:D31*AO313*$B$8*AQ313)/(1+AL313/100)^B24:B31)+C32*AM313*AP313/(1+AL313/100)^$B$6</f>
        <v/>
      </c>
      <c r="AS313">
        <f>SUMPRODUCT((K24:K26&lt;=$B$6)*(L24:L26*AN313+M24:M26*AO313*$B$8*AQ313)/(1+AL313/100)^K24:K26)+L27*AN313*AP313/(1+AL313/100)^$B$6</f>
        <v/>
      </c>
      <c r="AT313">
        <f>AS313-AR313</f>
        <v/>
      </c>
      <c r="AU313">
        <f>RAND()</f>
        <v/>
      </c>
      <c r="AV313">
        <f>RAND()</f>
        <v/>
      </c>
      <c r="AW313">
        <f>RAND()</f>
        <v/>
      </c>
      <c r="AX313">
        <f>RAND()</f>
        <v/>
      </c>
      <c r="AY313">
        <f>RAND()</f>
        <v/>
      </c>
      <c r="AZ313">
        <f>RAND()</f>
        <v/>
      </c>
    </row>
    <row r="314">
      <c r="AK314" t="n">
        <v>301</v>
      </c>
      <c r="AL314">
        <f>IFERROR(IF(AU314&lt;($AM$6-$AL$6)/($AN$6-$AL$6),$AL$6+SQRT(AU314*($AN$6-$AL$6)*($AM$6-$AL$6)),$AN$6-SQRT((1-AU314)*($AN$6-$AL$6)*($AN$6-$AM$6))),$AM$6)</f>
        <v/>
      </c>
      <c r="AM314">
        <f>IFERROR(IF(AV314&lt;($AM$7-$AL$7)/($AN$7-$AL$7),$AL$7+SQRT(AV314*($AN$7-$AL$7)*($AM$7-$AL$7)),$AN$7-SQRT((1-AV314)*($AN$7-$AL$7)*($AN$7-$AM$7))),$AM$7)</f>
        <v/>
      </c>
      <c r="AN314">
        <f>IFERROR(IF(AW314&lt;($AM$8-$AL$8)/($AN$8-$AL$8),$AL$8+SQRT(AW314*($AN$8-$AL$8)*($AM$8-$AL$8)),$AN$8-SQRT((1-AW314)*($AN$8-$AL$8)*($AN$8-$AM$8))),$AM$8)</f>
        <v/>
      </c>
      <c r="AO314">
        <f>IFERROR(IF(AX314&lt;($AM$9-$AL$9)/($AN$9-$AL$9),$AL$9+SQRT(AX314*($AN$9-$AL$9)*($AM$9-$AL$9)),$AN$9-SQRT((1-AX314)*($AN$9-$AL$9)*($AN$9-$AM$9))),$AM$9)</f>
        <v/>
      </c>
      <c r="AP314">
        <f>IFERROR(IF(AY314&lt;($AM$10-$AL$10)/($AN$10-$AL$10),$AL$10+SQRT(AY314*($AN$10-$AL$10)*($AM$10-$AL$10)),$AN$10-SQRT((1-AY314)*($AN$10-$AL$10)*($AN$10-$AM$10))),$AM$10)</f>
        <v/>
      </c>
      <c r="AQ314">
        <f>IFERROR(IF(AZ314&lt;($AM$11-$AL$11)/($AN$11-$AL$11),$AL$11+SQRT(AZ314*($AN$11-$AL$11)*($AM$11-$AL$11)),$AN$11-SQRT((1-AZ314)*($AN$11-$AL$11)*($AN$11-$AM$11))),$AM$11)</f>
        <v/>
      </c>
      <c r="AR314">
        <f>SUMPRODUCT((B24:B31&lt;=$B$6)*(C24:C31*AM314+D24:D31*AO314*$B$8*AQ314)/(1+AL314/100)^B24:B31)+C32*AM314*AP314/(1+AL314/100)^$B$6</f>
        <v/>
      </c>
      <c r="AS314">
        <f>SUMPRODUCT((K24:K26&lt;=$B$6)*(L24:L26*AN314+M24:M26*AO314*$B$8*AQ314)/(1+AL314/100)^K24:K26)+L27*AN314*AP314/(1+AL314/100)^$B$6</f>
        <v/>
      </c>
      <c r="AT314">
        <f>AS314-AR314</f>
        <v/>
      </c>
      <c r="AU314">
        <f>RAND()</f>
        <v/>
      </c>
      <c r="AV314">
        <f>RAND()</f>
        <v/>
      </c>
      <c r="AW314">
        <f>RAND()</f>
        <v/>
      </c>
      <c r="AX314">
        <f>RAND()</f>
        <v/>
      </c>
      <c r="AY314">
        <f>RAND()</f>
        <v/>
      </c>
      <c r="AZ314">
        <f>RAND()</f>
        <v/>
      </c>
    </row>
    <row r="315">
      <c r="AK315" t="n">
        <v>302</v>
      </c>
      <c r="AL315">
        <f>IFERROR(IF(AU315&lt;($AM$6-$AL$6)/($AN$6-$AL$6),$AL$6+SQRT(AU315*($AN$6-$AL$6)*($AM$6-$AL$6)),$AN$6-SQRT((1-AU315)*($AN$6-$AL$6)*($AN$6-$AM$6))),$AM$6)</f>
        <v/>
      </c>
      <c r="AM315">
        <f>IFERROR(IF(AV315&lt;($AM$7-$AL$7)/($AN$7-$AL$7),$AL$7+SQRT(AV315*($AN$7-$AL$7)*($AM$7-$AL$7)),$AN$7-SQRT((1-AV315)*($AN$7-$AL$7)*($AN$7-$AM$7))),$AM$7)</f>
        <v/>
      </c>
      <c r="AN315">
        <f>IFERROR(IF(AW315&lt;($AM$8-$AL$8)/($AN$8-$AL$8),$AL$8+SQRT(AW315*($AN$8-$AL$8)*($AM$8-$AL$8)),$AN$8-SQRT((1-AW315)*($AN$8-$AL$8)*($AN$8-$AM$8))),$AM$8)</f>
        <v/>
      </c>
      <c r="AO315">
        <f>IFERROR(IF(AX315&lt;($AM$9-$AL$9)/($AN$9-$AL$9),$AL$9+SQRT(AX315*($AN$9-$AL$9)*($AM$9-$AL$9)),$AN$9-SQRT((1-AX315)*($AN$9-$AL$9)*($AN$9-$AM$9))),$AM$9)</f>
        <v/>
      </c>
      <c r="AP315">
        <f>IFERROR(IF(AY315&lt;($AM$10-$AL$10)/($AN$10-$AL$10),$AL$10+SQRT(AY315*($AN$10-$AL$10)*($AM$10-$AL$10)),$AN$10-SQRT((1-AY315)*($AN$10-$AL$10)*($AN$10-$AM$10))),$AM$10)</f>
        <v/>
      </c>
      <c r="AQ315">
        <f>IFERROR(IF(AZ315&lt;($AM$11-$AL$11)/($AN$11-$AL$11),$AL$11+SQRT(AZ315*($AN$11-$AL$11)*($AM$11-$AL$11)),$AN$11-SQRT((1-AZ315)*($AN$11-$AL$11)*($AN$11-$AM$11))),$AM$11)</f>
        <v/>
      </c>
      <c r="AR315">
        <f>SUMPRODUCT((B24:B31&lt;=$B$6)*(C24:C31*AM315+D24:D31*AO315*$B$8*AQ315)/(1+AL315/100)^B24:B31)+C32*AM315*AP315/(1+AL315/100)^$B$6</f>
        <v/>
      </c>
      <c r="AS315">
        <f>SUMPRODUCT((K24:K26&lt;=$B$6)*(L24:L26*AN315+M24:M26*AO315*$B$8*AQ315)/(1+AL315/100)^K24:K26)+L27*AN315*AP315/(1+AL315/100)^$B$6</f>
        <v/>
      </c>
      <c r="AT315">
        <f>AS315-AR315</f>
        <v/>
      </c>
      <c r="AU315">
        <f>RAND()</f>
        <v/>
      </c>
      <c r="AV315">
        <f>RAND()</f>
        <v/>
      </c>
      <c r="AW315">
        <f>RAND()</f>
        <v/>
      </c>
      <c r="AX315">
        <f>RAND()</f>
        <v/>
      </c>
      <c r="AY315">
        <f>RAND()</f>
        <v/>
      </c>
      <c r="AZ315">
        <f>RAND()</f>
        <v/>
      </c>
    </row>
    <row r="316">
      <c r="AK316" t="n">
        <v>303</v>
      </c>
      <c r="AL316">
        <f>IFERROR(IF(AU316&lt;($AM$6-$AL$6)/($AN$6-$AL$6),$AL$6+SQRT(AU316*($AN$6-$AL$6)*($AM$6-$AL$6)),$AN$6-SQRT((1-AU316)*($AN$6-$AL$6)*($AN$6-$AM$6))),$AM$6)</f>
        <v/>
      </c>
      <c r="AM316">
        <f>IFERROR(IF(AV316&lt;($AM$7-$AL$7)/($AN$7-$AL$7),$AL$7+SQRT(AV316*($AN$7-$AL$7)*($AM$7-$AL$7)),$AN$7-SQRT((1-AV316)*($AN$7-$AL$7)*($AN$7-$AM$7))),$AM$7)</f>
        <v/>
      </c>
      <c r="AN316">
        <f>IFERROR(IF(AW316&lt;($AM$8-$AL$8)/($AN$8-$AL$8),$AL$8+SQRT(AW316*($AN$8-$AL$8)*($AM$8-$AL$8)),$AN$8-SQRT((1-AW316)*($AN$8-$AL$8)*($AN$8-$AM$8))),$AM$8)</f>
        <v/>
      </c>
      <c r="AO316">
        <f>IFERROR(IF(AX316&lt;($AM$9-$AL$9)/($AN$9-$AL$9),$AL$9+SQRT(AX316*($AN$9-$AL$9)*($AM$9-$AL$9)),$AN$9-SQRT((1-AX316)*($AN$9-$AL$9)*($AN$9-$AM$9))),$AM$9)</f>
        <v/>
      </c>
      <c r="AP316">
        <f>IFERROR(IF(AY316&lt;($AM$10-$AL$10)/($AN$10-$AL$10),$AL$10+SQRT(AY316*($AN$10-$AL$10)*($AM$10-$AL$10)),$AN$10-SQRT((1-AY316)*($AN$10-$AL$10)*($AN$10-$AM$10))),$AM$10)</f>
        <v/>
      </c>
      <c r="AQ316">
        <f>IFERROR(IF(AZ316&lt;($AM$11-$AL$11)/($AN$11-$AL$11),$AL$11+SQRT(AZ316*($AN$11-$AL$11)*($AM$11-$AL$11)),$AN$11-SQRT((1-AZ316)*($AN$11-$AL$11)*($AN$11-$AM$11))),$AM$11)</f>
        <v/>
      </c>
      <c r="AR316">
        <f>SUMPRODUCT((B24:B31&lt;=$B$6)*(C24:C31*AM316+D24:D31*AO316*$B$8*AQ316)/(1+AL316/100)^B24:B31)+C32*AM316*AP316/(1+AL316/100)^$B$6</f>
        <v/>
      </c>
      <c r="AS316">
        <f>SUMPRODUCT((K24:K26&lt;=$B$6)*(L24:L26*AN316+M24:M26*AO316*$B$8*AQ316)/(1+AL316/100)^K24:K26)+L27*AN316*AP316/(1+AL316/100)^$B$6</f>
        <v/>
      </c>
      <c r="AT316">
        <f>AS316-AR316</f>
        <v/>
      </c>
      <c r="AU316">
        <f>RAND()</f>
        <v/>
      </c>
      <c r="AV316">
        <f>RAND()</f>
        <v/>
      </c>
      <c r="AW316">
        <f>RAND()</f>
        <v/>
      </c>
      <c r="AX316">
        <f>RAND()</f>
        <v/>
      </c>
      <c r="AY316">
        <f>RAND()</f>
        <v/>
      </c>
      <c r="AZ316">
        <f>RAND()</f>
        <v/>
      </c>
    </row>
    <row r="317">
      <c r="AK317" t="n">
        <v>304</v>
      </c>
      <c r="AL317">
        <f>IFERROR(IF(AU317&lt;($AM$6-$AL$6)/($AN$6-$AL$6),$AL$6+SQRT(AU317*($AN$6-$AL$6)*($AM$6-$AL$6)),$AN$6-SQRT((1-AU317)*($AN$6-$AL$6)*($AN$6-$AM$6))),$AM$6)</f>
        <v/>
      </c>
      <c r="AM317">
        <f>IFERROR(IF(AV317&lt;($AM$7-$AL$7)/($AN$7-$AL$7),$AL$7+SQRT(AV317*($AN$7-$AL$7)*($AM$7-$AL$7)),$AN$7-SQRT((1-AV317)*($AN$7-$AL$7)*($AN$7-$AM$7))),$AM$7)</f>
        <v/>
      </c>
      <c r="AN317">
        <f>IFERROR(IF(AW317&lt;($AM$8-$AL$8)/($AN$8-$AL$8),$AL$8+SQRT(AW317*($AN$8-$AL$8)*($AM$8-$AL$8)),$AN$8-SQRT((1-AW317)*($AN$8-$AL$8)*($AN$8-$AM$8))),$AM$8)</f>
        <v/>
      </c>
      <c r="AO317">
        <f>IFERROR(IF(AX317&lt;($AM$9-$AL$9)/($AN$9-$AL$9),$AL$9+SQRT(AX317*($AN$9-$AL$9)*($AM$9-$AL$9)),$AN$9-SQRT((1-AX317)*($AN$9-$AL$9)*($AN$9-$AM$9))),$AM$9)</f>
        <v/>
      </c>
      <c r="AP317">
        <f>IFERROR(IF(AY317&lt;($AM$10-$AL$10)/($AN$10-$AL$10),$AL$10+SQRT(AY317*($AN$10-$AL$10)*($AM$10-$AL$10)),$AN$10-SQRT((1-AY317)*($AN$10-$AL$10)*($AN$10-$AM$10))),$AM$10)</f>
        <v/>
      </c>
      <c r="AQ317">
        <f>IFERROR(IF(AZ317&lt;($AM$11-$AL$11)/($AN$11-$AL$11),$AL$11+SQRT(AZ317*($AN$11-$AL$11)*($AM$11-$AL$11)),$AN$11-SQRT((1-AZ317)*($AN$11-$AL$11)*($AN$11-$AM$11))),$AM$11)</f>
        <v/>
      </c>
      <c r="AR317">
        <f>SUMPRODUCT((B24:B31&lt;=$B$6)*(C24:C31*AM317+D24:D31*AO317*$B$8*AQ317)/(1+AL317/100)^B24:B31)+C32*AM317*AP317/(1+AL317/100)^$B$6</f>
        <v/>
      </c>
      <c r="AS317">
        <f>SUMPRODUCT((K24:K26&lt;=$B$6)*(L24:L26*AN317+M24:M26*AO317*$B$8*AQ317)/(1+AL317/100)^K24:K26)+L27*AN317*AP317/(1+AL317/100)^$B$6</f>
        <v/>
      </c>
      <c r="AT317">
        <f>AS317-AR317</f>
        <v/>
      </c>
      <c r="AU317">
        <f>RAND()</f>
        <v/>
      </c>
      <c r="AV317">
        <f>RAND()</f>
        <v/>
      </c>
      <c r="AW317">
        <f>RAND()</f>
        <v/>
      </c>
      <c r="AX317">
        <f>RAND()</f>
        <v/>
      </c>
      <c r="AY317">
        <f>RAND()</f>
        <v/>
      </c>
      <c r="AZ317">
        <f>RAND()</f>
        <v/>
      </c>
    </row>
    <row r="318">
      <c r="AK318" t="n">
        <v>305</v>
      </c>
      <c r="AL318">
        <f>IFERROR(IF(AU318&lt;($AM$6-$AL$6)/($AN$6-$AL$6),$AL$6+SQRT(AU318*($AN$6-$AL$6)*($AM$6-$AL$6)),$AN$6-SQRT((1-AU318)*($AN$6-$AL$6)*($AN$6-$AM$6))),$AM$6)</f>
        <v/>
      </c>
      <c r="AM318">
        <f>IFERROR(IF(AV318&lt;($AM$7-$AL$7)/($AN$7-$AL$7),$AL$7+SQRT(AV318*($AN$7-$AL$7)*($AM$7-$AL$7)),$AN$7-SQRT((1-AV318)*($AN$7-$AL$7)*($AN$7-$AM$7))),$AM$7)</f>
        <v/>
      </c>
      <c r="AN318">
        <f>IFERROR(IF(AW318&lt;($AM$8-$AL$8)/($AN$8-$AL$8),$AL$8+SQRT(AW318*($AN$8-$AL$8)*($AM$8-$AL$8)),$AN$8-SQRT((1-AW318)*($AN$8-$AL$8)*($AN$8-$AM$8))),$AM$8)</f>
        <v/>
      </c>
      <c r="AO318">
        <f>IFERROR(IF(AX318&lt;($AM$9-$AL$9)/($AN$9-$AL$9),$AL$9+SQRT(AX318*($AN$9-$AL$9)*($AM$9-$AL$9)),$AN$9-SQRT((1-AX318)*($AN$9-$AL$9)*($AN$9-$AM$9))),$AM$9)</f>
        <v/>
      </c>
      <c r="AP318">
        <f>IFERROR(IF(AY318&lt;($AM$10-$AL$10)/($AN$10-$AL$10),$AL$10+SQRT(AY318*($AN$10-$AL$10)*($AM$10-$AL$10)),$AN$10-SQRT((1-AY318)*($AN$10-$AL$10)*($AN$10-$AM$10))),$AM$10)</f>
        <v/>
      </c>
      <c r="AQ318">
        <f>IFERROR(IF(AZ318&lt;($AM$11-$AL$11)/($AN$11-$AL$11),$AL$11+SQRT(AZ318*($AN$11-$AL$11)*($AM$11-$AL$11)),$AN$11-SQRT((1-AZ318)*($AN$11-$AL$11)*($AN$11-$AM$11))),$AM$11)</f>
        <v/>
      </c>
      <c r="AR318">
        <f>SUMPRODUCT((B24:B31&lt;=$B$6)*(C24:C31*AM318+D24:D31*AO318*$B$8*AQ318)/(1+AL318/100)^B24:B31)+C32*AM318*AP318/(1+AL318/100)^$B$6</f>
        <v/>
      </c>
      <c r="AS318">
        <f>SUMPRODUCT((K24:K26&lt;=$B$6)*(L24:L26*AN318+M24:M26*AO318*$B$8*AQ318)/(1+AL318/100)^K24:K26)+L27*AN318*AP318/(1+AL318/100)^$B$6</f>
        <v/>
      </c>
      <c r="AT318">
        <f>AS318-AR318</f>
        <v/>
      </c>
      <c r="AU318">
        <f>RAND()</f>
        <v/>
      </c>
      <c r="AV318">
        <f>RAND()</f>
        <v/>
      </c>
      <c r="AW318">
        <f>RAND()</f>
        <v/>
      </c>
      <c r="AX318">
        <f>RAND()</f>
        <v/>
      </c>
      <c r="AY318">
        <f>RAND()</f>
        <v/>
      </c>
      <c r="AZ318">
        <f>RAND()</f>
        <v/>
      </c>
    </row>
    <row r="319">
      <c r="AK319" t="n">
        <v>306</v>
      </c>
      <c r="AL319">
        <f>IFERROR(IF(AU319&lt;($AM$6-$AL$6)/($AN$6-$AL$6),$AL$6+SQRT(AU319*($AN$6-$AL$6)*($AM$6-$AL$6)),$AN$6-SQRT((1-AU319)*($AN$6-$AL$6)*($AN$6-$AM$6))),$AM$6)</f>
        <v/>
      </c>
      <c r="AM319">
        <f>IFERROR(IF(AV319&lt;($AM$7-$AL$7)/($AN$7-$AL$7),$AL$7+SQRT(AV319*($AN$7-$AL$7)*($AM$7-$AL$7)),$AN$7-SQRT((1-AV319)*($AN$7-$AL$7)*($AN$7-$AM$7))),$AM$7)</f>
        <v/>
      </c>
      <c r="AN319">
        <f>IFERROR(IF(AW319&lt;($AM$8-$AL$8)/($AN$8-$AL$8),$AL$8+SQRT(AW319*($AN$8-$AL$8)*($AM$8-$AL$8)),$AN$8-SQRT((1-AW319)*($AN$8-$AL$8)*($AN$8-$AM$8))),$AM$8)</f>
        <v/>
      </c>
      <c r="AO319">
        <f>IFERROR(IF(AX319&lt;($AM$9-$AL$9)/($AN$9-$AL$9),$AL$9+SQRT(AX319*($AN$9-$AL$9)*($AM$9-$AL$9)),$AN$9-SQRT((1-AX319)*($AN$9-$AL$9)*($AN$9-$AM$9))),$AM$9)</f>
        <v/>
      </c>
      <c r="AP319">
        <f>IFERROR(IF(AY319&lt;($AM$10-$AL$10)/($AN$10-$AL$10),$AL$10+SQRT(AY319*($AN$10-$AL$10)*($AM$10-$AL$10)),$AN$10-SQRT((1-AY319)*($AN$10-$AL$10)*($AN$10-$AM$10))),$AM$10)</f>
        <v/>
      </c>
      <c r="AQ319">
        <f>IFERROR(IF(AZ319&lt;($AM$11-$AL$11)/($AN$11-$AL$11),$AL$11+SQRT(AZ319*($AN$11-$AL$11)*($AM$11-$AL$11)),$AN$11-SQRT((1-AZ319)*($AN$11-$AL$11)*($AN$11-$AM$11))),$AM$11)</f>
        <v/>
      </c>
      <c r="AR319">
        <f>SUMPRODUCT((B24:B31&lt;=$B$6)*(C24:C31*AM319+D24:D31*AO319*$B$8*AQ319)/(1+AL319/100)^B24:B31)+C32*AM319*AP319/(1+AL319/100)^$B$6</f>
        <v/>
      </c>
      <c r="AS319">
        <f>SUMPRODUCT((K24:K26&lt;=$B$6)*(L24:L26*AN319+M24:M26*AO319*$B$8*AQ319)/(1+AL319/100)^K24:K26)+L27*AN319*AP319/(1+AL319/100)^$B$6</f>
        <v/>
      </c>
      <c r="AT319">
        <f>AS319-AR319</f>
        <v/>
      </c>
      <c r="AU319">
        <f>RAND()</f>
        <v/>
      </c>
      <c r="AV319">
        <f>RAND()</f>
        <v/>
      </c>
      <c r="AW319">
        <f>RAND()</f>
        <v/>
      </c>
      <c r="AX319">
        <f>RAND()</f>
        <v/>
      </c>
      <c r="AY319">
        <f>RAND()</f>
        <v/>
      </c>
      <c r="AZ319">
        <f>RAND()</f>
        <v/>
      </c>
    </row>
    <row r="320">
      <c r="AK320" t="n">
        <v>307</v>
      </c>
      <c r="AL320">
        <f>IFERROR(IF(AU320&lt;($AM$6-$AL$6)/($AN$6-$AL$6),$AL$6+SQRT(AU320*($AN$6-$AL$6)*($AM$6-$AL$6)),$AN$6-SQRT((1-AU320)*($AN$6-$AL$6)*($AN$6-$AM$6))),$AM$6)</f>
        <v/>
      </c>
      <c r="AM320">
        <f>IFERROR(IF(AV320&lt;($AM$7-$AL$7)/($AN$7-$AL$7),$AL$7+SQRT(AV320*($AN$7-$AL$7)*($AM$7-$AL$7)),$AN$7-SQRT((1-AV320)*($AN$7-$AL$7)*($AN$7-$AM$7))),$AM$7)</f>
        <v/>
      </c>
      <c r="AN320">
        <f>IFERROR(IF(AW320&lt;($AM$8-$AL$8)/($AN$8-$AL$8),$AL$8+SQRT(AW320*($AN$8-$AL$8)*($AM$8-$AL$8)),$AN$8-SQRT((1-AW320)*($AN$8-$AL$8)*($AN$8-$AM$8))),$AM$8)</f>
        <v/>
      </c>
      <c r="AO320">
        <f>IFERROR(IF(AX320&lt;($AM$9-$AL$9)/($AN$9-$AL$9),$AL$9+SQRT(AX320*($AN$9-$AL$9)*($AM$9-$AL$9)),$AN$9-SQRT((1-AX320)*($AN$9-$AL$9)*($AN$9-$AM$9))),$AM$9)</f>
        <v/>
      </c>
      <c r="AP320">
        <f>IFERROR(IF(AY320&lt;($AM$10-$AL$10)/($AN$10-$AL$10),$AL$10+SQRT(AY320*($AN$10-$AL$10)*($AM$10-$AL$10)),$AN$10-SQRT((1-AY320)*($AN$10-$AL$10)*($AN$10-$AM$10))),$AM$10)</f>
        <v/>
      </c>
      <c r="AQ320">
        <f>IFERROR(IF(AZ320&lt;($AM$11-$AL$11)/($AN$11-$AL$11),$AL$11+SQRT(AZ320*($AN$11-$AL$11)*($AM$11-$AL$11)),$AN$11-SQRT((1-AZ320)*($AN$11-$AL$11)*($AN$11-$AM$11))),$AM$11)</f>
        <v/>
      </c>
      <c r="AR320">
        <f>SUMPRODUCT((B24:B31&lt;=$B$6)*(C24:C31*AM320+D24:D31*AO320*$B$8*AQ320)/(1+AL320/100)^B24:B31)+C32*AM320*AP320/(1+AL320/100)^$B$6</f>
        <v/>
      </c>
      <c r="AS320">
        <f>SUMPRODUCT((K24:K26&lt;=$B$6)*(L24:L26*AN320+M24:M26*AO320*$B$8*AQ320)/(1+AL320/100)^K24:K26)+L27*AN320*AP320/(1+AL320/100)^$B$6</f>
        <v/>
      </c>
      <c r="AT320">
        <f>AS320-AR320</f>
        <v/>
      </c>
      <c r="AU320">
        <f>RAND()</f>
        <v/>
      </c>
      <c r="AV320">
        <f>RAND()</f>
        <v/>
      </c>
      <c r="AW320">
        <f>RAND()</f>
        <v/>
      </c>
      <c r="AX320">
        <f>RAND()</f>
        <v/>
      </c>
      <c r="AY320">
        <f>RAND()</f>
        <v/>
      </c>
      <c r="AZ320">
        <f>RAND()</f>
        <v/>
      </c>
    </row>
    <row r="321">
      <c r="AK321" t="n">
        <v>308</v>
      </c>
      <c r="AL321">
        <f>IFERROR(IF(AU321&lt;($AM$6-$AL$6)/($AN$6-$AL$6),$AL$6+SQRT(AU321*($AN$6-$AL$6)*($AM$6-$AL$6)),$AN$6-SQRT((1-AU321)*($AN$6-$AL$6)*($AN$6-$AM$6))),$AM$6)</f>
        <v/>
      </c>
      <c r="AM321">
        <f>IFERROR(IF(AV321&lt;($AM$7-$AL$7)/($AN$7-$AL$7),$AL$7+SQRT(AV321*($AN$7-$AL$7)*($AM$7-$AL$7)),$AN$7-SQRT((1-AV321)*($AN$7-$AL$7)*($AN$7-$AM$7))),$AM$7)</f>
        <v/>
      </c>
      <c r="AN321">
        <f>IFERROR(IF(AW321&lt;($AM$8-$AL$8)/($AN$8-$AL$8),$AL$8+SQRT(AW321*($AN$8-$AL$8)*($AM$8-$AL$8)),$AN$8-SQRT((1-AW321)*($AN$8-$AL$8)*($AN$8-$AM$8))),$AM$8)</f>
        <v/>
      </c>
      <c r="AO321">
        <f>IFERROR(IF(AX321&lt;($AM$9-$AL$9)/($AN$9-$AL$9),$AL$9+SQRT(AX321*($AN$9-$AL$9)*($AM$9-$AL$9)),$AN$9-SQRT((1-AX321)*($AN$9-$AL$9)*($AN$9-$AM$9))),$AM$9)</f>
        <v/>
      </c>
      <c r="AP321">
        <f>IFERROR(IF(AY321&lt;($AM$10-$AL$10)/($AN$10-$AL$10),$AL$10+SQRT(AY321*($AN$10-$AL$10)*($AM$10-$AL$10)),$AN$10-SQRT((1-AY321)*($AN$10-$AL$10)*($AN$10-$AM$10))),$AM$10)</f>
        <v/>
      </c>
      <c r="AQ321">
        <f>IFERROR(IF(AZ321&lt;($AM$11-$AL$11)/($AN$11-$AL$11),$AL$11+SQRT(AZ321*($AN$11-$AL$11)*($AM$11-$AL$11)),$AN$11-SQRT((1-AZ321)*($AN$11-$AL$11)*($AN$11-$AM$11))),$AM$11)</f>
        <v/>
      </c>
      <c r="AR321">
        <f>SUMPRODUCT((B24:B31&lt;=$B$6)*(C24:C31*AM321+D24:D31*AO321*$B$8*AQ321)/(1+AL321/100)^B24:B31)+C32*AM321*AP321/(1+AL321/100)^$B$6</f>
        <v/>
      </c>
      <c r="AS321">
        <f>SUMPRODUCT((K24:K26&lt;=$B$6)*(L24:L26*AN321+M24:M26*AO321*$B$8*AQ321)/(1+AL321/100)^K24:K26)+L27*AN321*AP321/(1+AL321/100)^$B$6</f>
        <v/>
      </c>
      <c r="AT321">
        <f>AS321-AR321</f>
        <v/>
      </c>
      <c r="AU321">
        <f>RAND()</f>
        <v/>
      </c>
      <c r="AV321">
        <f>RAND()</f>
        <v/>
      </c>
      <c r="AW321">
        <f>RAND()</f>
        <v/>
      </c>
      <c r="AX321">
        <f>RAND()</f>
        <v/>
      </c>
      <c r="AY321">
        <f>RAND()</f>
        <v/>
      </c>
      <c r="AZ321">
        <f>RAND()</f>
        <v/>
      </c>
    </row>
    <row r="322">
      <c r="AK322" t="n">
        <v>309</v>
      </c>
      <c r="AL322">
        <f>IFERROR(IF(AU322&lt;($AM$6-$AL$6)/($AN$6-$AL$6),$AL$6+SQRT(AU322*($AN$6-$AL$6)*($AM$6-$AL$6)),$AN$6-SQRT((1-AU322)*($AN$6-$AL$6)*($AN$6-$AM$6))),$AM$6)</f>
        <v/>
      </c>
      <c r="AM322">
        <f>IFERROR(IF(AV322&lt;($AM$7-$AL$7)/($AN$7-$AL$7),$AL$7+SQRT(AV322*($AN$7-$AL$7)*($AM$7-$AL$7)),$AN$7-SQRT((1-AV322)*($AN$7-$AL$7)*($AN$7-$AM$7))),$AM$7)</f>
        <v/>
      </c>
      <c r="AN322">
        <f>IFERROR(IF(AW322&lt;($AM$8-$AL$8)/($AN$8-$AL$8),$AL$8+SQRT(AW322*($AN$8-$AL$8)*($AM$8-$AL$8)),$AN$8-SQRT((1-AW322)*($AN$8-$AL$8)*($AN$8-$AM$8))),$AM$8)</f>
        <v/>
      </c>
      <c r="AO322">
        <f>IFERROR(IF(AX322&lt;($AM$9-$AL$9)/($AN$9-$AL$9),$AL$9+SQRT(AX322*($AN$9-$AL$9)*($AM$9-$AL$9)),$AN$9-SQRT((1-AX322)*($AN$9-$AL$9)*($AN$9-$AM$9))),$AM$9)</f>
        <v/>
      </c>
      <c r="AP322">
        <f>IFERROR(IF(AY322&lt;($AM$10-$AL$10)/($AN$10-$AL$10),$AL$10+SQRT(AY322*($AN$10-$AL$10)*($AM$10-$AL$10)),$AN$10-SQRT((1-AY322)*($AN$10-$AL$10)*($AN$10-$AM$10))),$AM$10)</f>
        <v/>
      </c>
      <c r="AQ322">
        <f>IFERROR(IF(AZ322&lt;($AM$11-$AL$11)/($AN$11-$AL$11),$AL$11+SQRT(AZ322*($AN$11-$AL$11)*($AM$11-$AL$11)),$AN$11-SQRT((1-AZ322)*($AN$11-$AL$11)*($AN$11-$AM$11))),$AM$11)</f>
        <v/>
      </c>
      <c r="AR322">
        <f>SUMPRODUCT((B24:B31&lt;=$B$6)*(C24:C31*AM322+D24:D31*AO322*$B$8*AQ322)/(1+AL322/100)^B24:B31)+C32*AM322*AP322/(1+AL322/100)^$B$6</f>
        <v/>
      </c>
      <c r="AS322">
        <f>SUMPRODUCT((K24:K26&lt;=$B$6)*(L24:L26*AN322+M24:M26*AO322*$B$8*AQ322)/(1+AL322/100)^K24:K26)+L27*AN322*AP322/(1+AL322/100)^$B$6</f>
        <v/>
      </c>
      <c r="AT322">
        <f>AS322-AR322</f>
        <v/>
      </c>
      <c r="AU322">
        <f>RAND()</f>
        <v/>
      </c>
      <c r="AV322">
        <f>RAND()</f>
        <v/>
      </c>
      <c r="AW322">
        <f>RAND()</f>
        <v/>
      </c>
      <c r="AX322">
        <f>RAND()</f>
        <v/>
      </c>
      <c r="AY322">
        <f>RAND()</f>
        <v/>
      </c>
      <c r="AZ322">
        <f>RAND()</f>
        <v/>
      </c>
    </row>
    <row r="323">
      <c r="AK323" t="n">
        <v>310</v>
      </c>
      <c r="AL323">
        <f>IFERROR(IF(AU323&lt;($AM$6-$AL$6)/($AN$6-$AL$6),$AL$6+SQRT(AU323*($AN$6-$AL$6)*($AM$6-$AL$6)),$AN$6-SQRT((1-AU323)*($AN$6-$AL$6)*($AN$6-$AM$6))),$AM$6)</f>
        <v/>
      </c>
      <c r="AM323">
        <f>IFERROR(IF(AV323&lt;($AM$7-$AL$7)/($AN$7-$AL$7),$AL$7+SQRT(AV323*($AN$7-$AL$7)*($AM$7-$AL$7)),$AN$7-SQRT((1-AV323)*($AN$7-$AL$7)*($AN$7-$AM$7))),$AM$7)</f>
        <v/>
      </c>
      <c r="AN323">
        <f>IFERROR(IF(AW323&lt;($AM$8-$AL$8)/($AN$8-$AL$8),$AL$8+SQRT(AW323*($AN$8-$AL$8)*($AM$8-$AL$8)),$AN$8-SQRT((1-AW323)*($AN$8-$AL$8)*($AN$8-$AM$8))),$AM$8)</f>
        <v/>
      </c>
      <c r="AO323">
        <f>IFERROR(IF(AX323&lt;($AM$9-$AL$9)/($AN$9-$AL$9),$AL$9+SQRT(AX323*($AN$9-$AL$9)*($AM$9-$AL$9)),$AN$9-SQRT((1-AX323)*($AN$9-$AL$9)*($AN$9-$AM$9))),$AM$9)</f>
        <v/>
      </c>
      <c r="AP323">
        <f>IFERROR(IF(AY323&lt;($AM$10-$AL$10)/($AN$10-$AL$10),$AL$10+SQRT(AY323*($AN$10-$AL$10)*($AM$10-$AL$10)),$AN$10-SQRT((1-AY323)*($AN$10-$AL$10)*($AN$10-$AM$10))),$AM$10)</f>
        <v/>
      </c>
      <c r="AQ323">
        <f>IFERROR(IF(AZ323&lt;($AM$11-$AL$11)/($AN$11-$AL$11),$AL$11+SQRT(AZ323*($AN$11-$AL$11)*($AM$11-$AL$11)),$AN$11-SQRT((1-AZ323)*($AN$11-$AL$11)*($AN$11-$AM$11))),$AM$11)</f>
        <v/>
      </c>
      <c r="AR323">
        <f>SUMPRODUCT((B24:B31&lt;=$B$6)*(C24:C31*AM323+D24:D31*AO323*$B$8*AQ323)/(1+AL323/100)^B24:B31)+C32*AM323*AP323/(1+AL323/100)^$B$6</f>
        <v/>
      </c>
      <c r="AS323">
        <f>SUMPRODUCT((K24:K26&lt;=$B$6)*(L24:L26*AN323+M24:M26*AO323*$B$8*AQ323)/(1+AL323/100)^K24:K26)+L27*AN323*AP323/(1+AL323/100)^$B$6</f>
        <v/>
      </c>
      <c r="AT323">
        <f>AS323-AR323</f>
        <v/>
      </c>
      <c r="AU323">
        <f>RAND()</f>
        <v/>
      </c>
      <c r="AV323">
        <f>RAND()</f>
        <v/>
      </c>
      <c r="AW323">
        <f>RAND()</f>
        <v/>
      </c>
      <c r="AX323">
        <f>RAND()</f>
        <v/>
      </c>
      <c r="AY323">
        <f>RAND()</f>
        <v/>
      </c>
      <c r="AZ323">
        <f>RAND()</f>
        <v/>
      </c>
    </row>
    <row r="324">
      <c r="AK324" t="n">
        <v>311</v>
      </c>
      <c r="AL324">
        <f>IFERROR(IF(AU324&lt;($AM$6-$AL$6)/($AN$6-$AL$6),$AL$6+SQRT(AU324*($AN$6-$AL$6)*($AM$6-$AL$6)),$AN$6-SQRT((1-AU324)*($AN$6-$AL$6)*($AN$6-$AM$6))),$AM$6)</f>
        <v/>
      </c>
      <c r="AM324">
        <f>IFERROR(IF(AV324&lt;($AM$7-$AL$7)/($AN$7-$AL$7),$AL$7+SQRT(AV324*($AN$7-$AL$7)*($AM$7-$AL$7)),$AN$7-SQRT((1-AV324)*($AN$7-$AL$7)*($AN$7-$AM$7))),$AM$7)</f>
        <v/>
      </c>
      <c r="AN324">
        <f>IFERROR(IF(AW324&lt;($AM$8-$AL$8)/($AN$8-$AL$8),$AL$8+SQRT(AW324*($AN$8-$AL$8)*($AM$8-$AL$8)),$AN$8-SQRT((1-AW324)*($AN$8-$AL$8)*($AN$8-$AM$8))),$AM$8)</f>
        <v/>
      </c>
      <c r="AO324">
        <f>IFERROR(IF(AX324&lt;($AM$9-$AL$9)/($AN$9-$AL$9),$AL$9+SQRT(AX324*($AN$9-$AL$9)*($AM$9-$AL$9)),$AN$9-SQRT((1-AX324)*($AN$9-$AL$9)*($AN$9-$AM$9))),$AM$9)</f>
        <v/>
      </c>
      <c r="AP324">
        <f>IFERROR(IF(AY324&lt;($AM$10-$AL$10)/($AN$10-$AL$10),$AL$10+SQRT(AY324*($AN$10-$AL$10)*($AM$10-$AL$10)),$AN$10-SQRT((1-AY324)*($AN$10-$AL$10)*($AN$10-$AM$10))),$AM$10)</f>
        <v/>
      </c>
      <c r="AQ324">
        <f>IFERROR(IF(AZ324&lt;($AM$11-$AL$11)/($AN$11-$AL$11),$AL$11+SQRT(AZ324*($AN$11-$AL$11)*($AM$11-$AL$11)),$AN$11-SQRT((1-AZ324)*($AN$11-$AL$11)*($AN$11-$AM$11))),$AM$11)</f>
        <v/>
      </c>
      <c r="AR324">
        <f>SUMPRODUCT((B24:B31&lt;=$B$6)*(C24:C31*AM324+D24:D31*AO324*$B$8*AQ324)/(1+AL324/100)^B24:B31)+C32*AM324*AP324/(1+AL324/100)^$B$6</f>
        <v/>
      </c>
      <c r="AS324">
        <f>SUMPRODUCT((K24:K26&lt;=$B$6)*(L24:L26*AN324+M24:M26*AO324*$B$8*AQ324)/(1+AL324/100)^K24:K26)+L27*AN324*AP324/(1+AL324/100)^$B$6</f>
        <v/>
      </c>
      <c r="AT324">
        <f>AS324-AR324</f>
        <v/>
      </c>
      <c r="AU324">
        <f>RAND()</f>
        <v/>
      </c>
      <c r="AV324">
        <f>RAND()</f>
        <v/>
      </c>
      <c r="AW324">
        <f>RAND()</f>
        <v/>
      </c>
      <c r="AX324">
        <f>RAND()</f>
        <v/>
      </c>
      <c r="AY324">
        <f>RAND()</f>
        <v/>
      </c>
      <c r="AZ324">
        <f>RAND()</f>
        <v/>
      </c>
    </row>
    <row r="325">
      <c r="AK325" t="n">
        <v>312</v>
      </c>
      <c r="AL325">
        <f>IFERROR(IF(AU325&lt;($AM$6-$AL$6)/($AN$6-$AL$6),$AL$6+SQRT(AU325*($AN$6-$AL$6)*($AM$6-$AL$6)),$AN$6-SQRT((1-AU325)*($AN$6-$AL$6)*($AN$6-$AM$6))),$AM$6)</f>
        <v/>
      </c>
      <c r="AM325">
        <f>IFERROR(IF(AV325&lt;($AM$7-$AL$7)/($AN$7-$AL$7),$AL$7+SQRT(AV325*($AN$7-$AL$7)*($AM$7-$AL$7)),$AN$7-SQRT((1-AV325)*($AN$7-$AL$7)*($AN$7-$AM$7))),$AM$7)</f>
        <v/>
      </c>
      <c r="AN325">
        <f>IFERROR(IF(AW325&lt;($AM$8-$AL$8)/($AN$8-$AL$8),$AL$8+SQRT(AW325*($AN$8-$AL$8)*($AM$8-$AL$8)),$AN$8-SQRT((1-AW325)*($AN$8-$AL$8)*($AN$8-$AM$8))),$AM$8)</f>
        <v/>
      </c>
      <c r="AO325">
        <f>IFERROR(IF(AX325&lt;($AM$9-$AL$9)/($AN$9-$AL$9),$AL$9+SQRT(AX325*($AN$9-$AL$9)*($AM$9-$AL$9)),$AN$9-SQRT((1-AX325)*($AN$9-$AL$9)*($AN$9-$AM$9))),$AM$9)</f>
        <v/>
      </c>
      <c r="AP325">
        <f>IFERROR(IF(AY325&lt;($AM$10-$AL$10)/($AN$10-$AL$10),$AL$10+SQRT(AY325*($AN$10-$AL$10)*($AM$10-$AL$10)),$AN$10-SQRT((1-AY325)*($AN$10-$AL$10)*($AN$10-$AM$10))),$AM$10)</f>
        <v/>
      </c>
      <c r="AQ325">
        <f>IFERROR(IF(AZ325&lt;($AM$11-$AL$11)/($AN$11-$AL$11),$AL$11+SQRT(AZ325*($AN$11-$AL$11)*($AM$11-$AL$11)),$AN$11-SQRT((1-AZ325)*($AN$11-$AL$11)*($AN$11-$AM$11))),$AM$11)</f>
        <v/>
      </c>
      <c r="AR325">
        <f>SUMPRODUCT((B24:B31&lt;=$B$6)*(C24:C31*AM325+D24:D31*AO325*$B$8*AQ325)/(1+AL325/100)^B24:B31)+C32*AM325*AP325/(1+AL325/100)^$B$6</f>
        <v/>
      </c>
      <c r="AS325">
        <f>SUMPRODUCT((K24:K26&lt;=$B$6)*(L24:L26*AN325+M24:M26*AO325*$B$8*AQ325)/(1+AL325/100)^K24:K26)+L27*AN325*AP325/(1+AL325/100)^$B$6</f>
        <v/>
      </c>
      <c r="AT325">
        <f>AS325-AR325</f>
        <v/>
      </c>
      <c r="AU325">
        <f>RAND()</f>
        <v/>
      </c>
      <c r="AV325">
        <f>RAND()</f>
        <v/>
      </c>
      <c r="AW325">
        <f>RAND()</f>
        <v/>
      </c>
      <c r="AX325">
        <f>RAND()</f>
        <v/>
      </c>
      <c r="AY325">
        <f>RAND()</f>
        <v/>
      </c>
      <c r="AZ325">
        <f>RAND()</f>
        <v/>
      </c>
    </row>
    <row r="326">
      <c r="AK326" t="n">
        <v>313</v>
      </c>
      <c r="AL326">
        <f>IFERROR(IF(AU326&lt;($AM$6-$AL$6)/($AN$6-$AL$6),$AL$6+SQRT(AU326*($AN$6-$AL$6)*($AM$6-$AL$6)),$AN$6-SQRT((1-AU326)*($AN$6-$AL$6)*($AN$6-$AM$6))),$AM$6)</f>
        <v/>
      </c>
      <c r="AM326">
        <f>IFERROR(IF(AV326&lt;($AM$7-$AL$7)/($AN$7-$AL$7),$AL$7+SQRT(AV326*($AN$7-$AL$7)*($AM$7-$AL$7)),$AN$7-SQRT((1-AV326)*($AN$7-$AL$7)*($AN$7-$AM$7))),$AM$7)</f>
        <v/>
      </c>
      <c r="AN326">
        <f>IFERROR(IF(AW326&lt;($AM$8-$AL$8)/($AN$8-$AL$8),$AL$8+SQRT(AW326*($AN$8-$AL$8)*($AM$8-$AL$8)),$AN$8-SQRT((1-AW326)*($AN$8-$AL$8)*($AN$8-$AM$8))),$AM$8)</f>
        <v/>
      </c>
      <c r="AO326">
        <f>IFERROR(IF(AX326&lt;($AM$9-$AL$9)/($AN$9-$AL$9),$AL$9+SQRT(AX326*($AN$9-$AL$9)*($AM$9-$AL$9)),$AN$9-SQRT((1-AX326)*($AN$9-$AL$9)*($AN$9-$AM$9))),$AM$9)</f>
        <v/>
      </c>
      <c r="AP326">
        <f>IFERROR(IF(AY326&lt;($AM$10-$AL$10)/($AN$10-$AL$10),$AL$10+SQRT(AY326*($AN$10-$AL$10)*($AM$10-$AL$10)),$AN$10-SQRT((1-AY326)*($AN$10-$AL$10)*($AN$10-$AM$10))),$AM$10)</f>
        <v/>
      </c>
      <c r="AQ326">
        <f>IFERROR(IF(AZ326&lt;($AM$11-$AL$11)/($AN$11-$AL$11),$AL$11+SQRT(AZ326*($AN$11-$AL$11)*($AM$11-$AL$11)),$AN$11-SQRT((1-AZ326)*($AN$11-$AL$11)*($AN$11-$AM$11))),$AM$11)</f>
        <v/>
      </c>
      <c r="AR326">
        <f>SUMPRODUCT((B24:B31&lt;=$B$6)*(C24:C31*AM326+D24:D31*AO326*$B$8*AQ326)/(1+AL326/100)^B24:B31)+C32*AM326*AP326/(1+AL326/100)^$B$6</f>
        <v/>
      </c>
      <c r="AS326">
        <f>SUMPRODUCT((K24:K26&lt;=$B$6)*(L24:L26*AN326+M24:M26*AO326*$B$8*AQ326)/(1+AL326/100)^K24:K26)+L27*AN326*AP326/(1+AL326/100)^$B$6</f>
        <v/>
      </c>
      <c r="AT326">
        <f>AS326-AR326</f>
        <v/>
      </c>
      <c r="AU326">
        <f>RAND()</f>
        <v/>
      </c>
      <c r="AV326">
        <f>RAND()</f>
        <v/>
      </c>
      <c r="AW326">
        <f>RAND()</f>
        <v/>
      </c>
      <c r="AX326">
        <f>RAND()</f>
        <v/>
      </c>
      <c r="AY326">
        <f>RAND()</f>
        <v/>
      </c>
      <c r="AZ326">
        <f>RAND()</f>
        <v/>
      </c>
    </row>
    <row r="327">
      <c r="AK327" t="n">
        <v>314</v>
      </c>
      <c r="AL327">
        <f>IFERROR(IF(AU327&lt;($AM$6-$AL$6)/($AN$6-$AL$6),$AL$6+SQRT(AU327*($AN$6-$AL$6)*($AM$6-$AL$6)),$AN$6-SQRT((1-AU327)*($AN$6-$AL$6)*($AN$6-$AM$6))),$AM$6)</f>
        <v/>
      </c>
      <c r="AM327">
        <f>IFERROR(IF(AV327&lt;($AM$7-$AL$7)/($AN$7-$AL$7),$AL$7+SQRT(AV327*($AN$7-$AL$7)*($AM$7-$AL$7)),$AN$7-SQRT((1-AV327)*($AN$7-$AL$7)*($AN$7-$AM$7))),$AM$7)</f>
        <v/>
      </c>
      <c r="AN327">
        <f>IFERROR(IF(AW327&lt;($AM$8-$AL$8)/($AN$8-$AL$8),$AL$8+SQRT(AW327*($AN$8-$AL$8)*($AM$8-$AL$8)),$AN$8-SQRT((1-AW327)*($AN$8-$AL$8)*($AN$8-$AM$8))),$AM$8)</f>
        <v/>
      </c>
      <c r="AO327">
        <f>IFERROR(IF(AX327&lt;($AM$9-$AL$9)/($AN$9-$AL$9),$AL$9+SQRT(AX327*($AN$9-$AL$9)*($AM$9-$AL$9)),$AN$9-SQRT((1-AX327)*($AN$9-$AL$9)*($AN$9-$AM$9))),$AM$9)</f>
        <v/>
      </c>
      <c r="AP327">
        <f>IFERROR(IF(AY327&lt;($AM$10-$AL$10)/($AN$10-$AL$10),$AL$10+SQRT(AY327*($AN$10-$AL$10)*($AM$10-$AL$10)),$AN$10-SQRT((1-AY327)*($AN$10-$AL$10)*($AN$10-$AM$10))),$AM$10)</f>
        <v/>
      </c>
      <c r="AQ327">
        <f>IFERROR(IF(AZ327&lt;($AM$11-$AL$11)/($AN$11-$AL$11),$AL$11+SQRT(AZ327*($AN$11-$AL$11)*($AM$11-$AL$11)),$AN$11-SQRT((1-AZ327)*($AN$11-$AL$11)*($AN$11-$AM$11))),$AM$11)</f>
        <v/>
      </c>
      <c r="AR327">
        <f>SUMPRODUCT((B24:B31&lt;=$B$6)*(C24:C31*AM327+D24:D31*AO327*$B$8*AQ327)/(1+AL327/100)^B24:B31)+C32*AM327*AP327/(1+AL327/100)^$B$6</f>
        <v/>
      </c>
      <c r="AS327">
        <f>SUMPRODUCT((K24:K26&lt;=$B$6)*(L24:L26*AN327+M24:M26*AO327*$B$8*AQ327)/(1+AL327/100)^K24:K26)+L27*AN327*AP327/(1+AL327/100)^$B$6</f>
        <v/>
      </c>
      <c r="AT327">
        <f>AS327-AR327</f>
        <v/>
      </c>
      <c r="AU327">
        <f>RAND()</f>
        <v/>
      </c>
      <c r="AV327">
        <f>RAND()</f>
        <v/>
      </c>
      <c r="AW327">
        <f>RAND()</f>
        <v/>
      </c>
      <c r="AX327">
        <f>RAND()</f>
        <v/>
      </c>
      <c r="AY327">
        <f>RAND()</f>
        <v/>
      </c>
      <c r="AZ327">
        <f>RAND()</f>
        <v/>
      </c>
    </row>
    <row r="328">
      <c r="AK328" t="n">
        <v>315</v>
      </c>
      <c r="AL328">
        <f>IFERROR(IF(AU328&lt;($AM$6-$AL$6)/($AN$6-$AL$6),$AL$6+SQRT(AU328*($AN$6-$AL$6)*($AM$6-$AL$6)),$AN$6-SQRT((1-AU328)*($AN$6-$AL$6)*($AN$6-$AM$6))),$AM$6)</f>
        <v/>
      </c>
      <c r="AM328">
        <f>IFERROR(IF(AV328&lt;($AM$7-$AL$7)/($AN$7-$AL$7),$AL$7+SQRT(AV328*($AN$7-$AL$7)*($AM$7-$AL$7)),$AN$7-SQRT((1-AV328)*($AN$7-$AL$7)*($AN$7-$AM$7))),$AM$7)</f>
        <v/>
      </c>
      <c r="AN328">
        <f>IFERROR(IF(AW328&lt;($AM$8-$AL$8)/($AN$8-$AL$8),$AL$8+SQRT(AW328*($AN$8-$AL$8)*($AM$8-$AL$8)),$AN$8-SQRT((1-AW328)*($AN$8-$AL$8)*($AN$8-$AM$8))),$AM$8)</f>
        <v/>
      </c>
      <c r="AO328">
        <f>IFERROR(IF(AX328&lt;($AM$9-$AL$9)/($AN$9-$AL$9),$AL$9+SQRT(AX328*($AN$9-$AL$9)*($AM$9-$AL$9)),$AN$9-SQRT((1-AX328)*($AN$9-$AL$9)*($AN$9-$AM$9))),$AM$9)</f>
        <v/>
      </c>
      <c r="AP328">
        <f>IFERROR(IF(AY328&lt;($AM$10-$AL$10)/($AN$10-$AL$10),$AL$10+SQRT(AY328*($AN$10-$AL$10)*($AM$10-$AL$10)),$AN$10-SQRT((1-AY328)*($AN$10-$AL$10)*($AN$10-$AM$10))),$AM$10)</f>
        <v/>
      </c>
      <c r="AQ328">
        <f>IFERROR(IF(AZ328&lt;($AM$11-$AL$11)/($AN$11-$AL$11),$AL$11+SQRT(AZ328*($AN$11-$AL$11)*($AM$11-$AL$11)),$AN$11-SQRT((1-AZ328)*($AN$11-$AL$11)*($AN$11-$AM$11))),$AM$11)</f>
        <v/>
      </c>
      <c r="AR328">
        <f>SUMPRODUCT((B24:B31&lt;=$B$6)*(C24:C31*AM328+D24:D31*AO328*$B$8*AQ328)/(1+AL328/100)^B24:B31)+C32*AM328*AP328/(1+AL328/100)^$B$6</f>
        <v/>
      </c>
      <c r="AS328">
        <f>SUMPRODUCT((K24:K26&lt;=$B$6)*(L24:L26*AN328+M24:M26*AO328*$B$8*AQ328)/(1+AL328/100)^K24:K26)+L27*AN328*AP328/(1+AL328/100)^$B$6</f>
        <v/>
      </c>
      <c r="AT328">
        <f>AS328-AR328</f>
        <v/>
      </c>
      <c r="AU328">
        <f>RAND()</f>
        <v/>
      </c>
      <c r="AV328">
        <f>RAND()</f>
        <v/>
      </c>
      <c r="AW328">
        <f>RAND()</f>
        <v/>
      </c>
      <c r="AX328">
        <f>RAND()</f>
        <v/>
      </c>
      <c r="AY328">
        <f>RAND()</f>
        <v/>
      </c>
      <c r="AZ328">
        <f>RAND()</f>
        <v/>
      </c>
    </row>
    <row r="329">
      <c r="AK329" t="n">
        <v>316</v>
      </c>
      <c r="AL329">
        <f>IFERROR(IF(AU329&lt;($AM$6-$AL$6)/($AN$6-$AL$6),$AL$6+SQRT(AU329*($AN$6-$AL$6)*($AM$6-$AL$6)),$AN$6-SQRT((1-AU329)*($AN$6-$AL$6)*($AN$6-$AM$6))),$AM$6)</f>
        <v/>
      </c>
      <c r="AM329">
        <f>IFERROR(IF(AV329&lt;($AM$7-$AL$7)/($AN$7-$AL$7),$AL$7+SQRT(AV329*($AN$7-$AL$7)*($AM$7-$AL$7)),$AN$7-SQRT((1-AV329)*($AN$7-$AL$7)*($AN$7-$AM$7))),$AM$7)</f>
        <v/>
      </c>
      <c r="AN329">
        <f>IFERROR(IF(AW329&lt;($AM$8-$AL$8)/($AN$8-$AL$8),$AL$8+SQRT(AW329*($AN$8-$AL$8)*($AM$8-$AL$8)),$AN$8-SQRT((1-AW329)*($AN$8-$AL$8)*($AN$8-$AM$8))),$AM$8)</f>
        <v/>
      </c>
      <c r="AO329">
        <f>IFERROR(IF(AX329&lt;($AM$9-$AL$9)/($AN$9-$AL$9),$AL$9+SQRT(AX329*($AN$9-$AL$9)*($AM$9-$AL$9)),$AN$9-SQRT((1-AX329)*($AN$9-$AL$9)*($AN$9-$AM$9))),$AM$9)</f>
        <v/>
      </c>
      <c r="AP329">
        <f>IFERROR(IF(AY329&lt;($AM$10-$AL$10)/($AN$10-$AL$10),$AL$10+SQRT(AY329*($AN$10-$AL$10)*($AM$10-$AL$10)),$AN$10-SQRT((1-AY329)*($AN$10-$AL$10)*($AN$10-$AM$10))),$AM$10)</f>
        <v/>
      </c>
      <c r="AQ329">
        <f>IFERROR(IF(AZ329&lt;($AM$11-$AL$11)/($AN$11-$AL$11),$AL$11+SQRT(AZ329*($AN$11-$AL$11)*($AM$11-$AL$11)),$AN$11-SQRT((1-AZ329)*($AN$11-$AL$11)*($AN$11-$AM$11))),$AM$11)</f>
        <v/>
      </c>
      <c r="AR329">
        <f>SUMPRODUCT((B24:B31&lt;=$B$6)*(C24:C31*AM329+D24:D31*AO329*$B$8*AQ329)/(1+AL329/100)^B24:B31)+C32*AM329*AP329/(1+AL329/100)^$B$6</f>
        <v/>
      </c>
      <c r="AS329">
        <f>SUMPRODUCT((K24:K26&lt;=$B$6)*(L24:L26*AN329+M24:M26*AO329*$B$8*AQ329)/(1+AL329/100)^K24:K26)+L27*AN329*AP329/(1+AL329/100)^$B$6</f>
        <v/>
      </c>
      <c r="AT329">
        <f>AS329-AR329</f>
        <v/>
      </c>
      <c r="AU329">
        <f>RAND()</f>
        <v/>
      </c>
      <c r="AV329">
        <f>RAND()</f>
        <v/>
      </c>
      <c r="AW329">
        <f>RAND()</f>
        <v/>
      </c>
      <c r="AX329">
        <f>RAND()</f>
        <v/>
      </c>
      <c r="AY329">
        <f>RAND()</f>
        <v/>
      </c>
      <c r="AZ329">
        <f>RAND()</f>
        <v/>
      </c>
    </row>
    <row r="330">
      <c r="AK330" t="n">
        <v>317</v>
      </c>
      <c r="AL330">
        <f>IFERROR(IF(AU330&lt;($AM$6-$AL$6)/($AN$6-$AL$6),$AL$6+SQRT(AU330*($AN$6-$AL$6)*($AM$6-$AL$6)),$AN$6-SQRT((1-AU330)*($AN$6-$AL$6)*($AN$6-$AM$6))),$AM$6)</f>
        <v/>
      </c>
      <c r="AM330">
        <f>IFERROR(IF(AV330&lt;($AM$7-$AL$7)/($AN$7-$AL$7),$AL$7+SQRT(AV330*($AN$7-$AL$7)*($AM$7-$AL$7)),$AN$7-SQRT((1-AV330)*($AN$7-$AL$7)*($AN$7-$AM$7))),$AM$7)</f>
        <v/>
      </c>
      <c r="AN330">
        <f>IFERROR(IF(AW330&lt;($AM$8-$AL$8)/($AN$8-$AL$8),$AL$8+SQRT(AW330*($AN$8-$AL$8)*($AM$8-$AL$8)),$AN$8-SQRT((1-AW330)*($AN$8-$AL$8)*($AN$8-$AM$8))),$AM$8)</f>
        <v/>
      </c>
      <c r="AO330">
        <f>IFERROR(IF(AX330&lt;($AM$9-$AL$9)/($AN$9-$AL$9),$AL$9+SQRT(AX330*($AN$9-$AL$9)*($AM$9-$AL$9)),$AN$9-SQRT((1-AX330)*($AN$9-$AL$9)*($AN$9-$AM$9))),$AM$9)</f>
        <v/>
      </c>
      <c r="AP330">
        <f>IFERROR(IF(AY330&lt;($AM$10-$AL$10)/($AN$10-$AL$10),$AL$10+SQRT(AY330*($AN$10-$AL$10)*($AM$10-$AL$10)),$AN$10-SQRT((1-AY330)*($AN$10-$AL$10)*($AN$10-$AM$10))),$AM$10)</f>
        <v/>
      </c>
      <c r="AQ330">
        <f>IFERROR(IF(AZ330&lt;($AM$11-$AL$11)/($AN$11-$AL$11),$AL$11+SQRT(AZ330*($AN$11-$AL$11)*($AM$11-$AL$11)),$AN$11-SQRT((1-AZ330)*($AN$11-$AL$11)*($AN$11-$AM$11))),$AM$11)</f>
        <v/>
      </c>
      <c r="AR330">
        <f>SUMPRODUCT((B24:B31&lt;=$B$6)*(C24:C31*AM330+D24:D31*AO330*$B$8*AQ330)/(1+AL330/100)^B24:B31)+C32*AM330*AP330/(1+AL330/100)^$B$6</f>
        <v/>
      </c>
      <c r="AS330">
        <f>SUMPRODUCT((K24:K26&lt;=$B$6)*(L24:L26*AN330+M24:M26*AO330*$B$8*AQ330)/(1+AL330/100)^K24:K26)+L27*AN330*AP330/(1+AL330/100)^$B$6</f>
        <v/>
      </c>
      <c r="AT330">
        <f>AS330-AR330</f>
        <v/>
      </c>
      <c r="AU330">
        <f>RAND()</f>
        <v/>
      </c>
      <c r="AV330">
        <f>RAND()</f>
        <v/>
      </c>
      <c r="AW330">
        <f>RAND()</f>
        <v/>
      </c>
      <c r="AX330">
        <f>RAND()</f>
        <v/>
      </c>
      <c r="AY330">
        <f>RAND()</f>
        <v/>
      </c>
      <c r="AZ330">
        <f>RAND()</f>
        <v/>
      </c>
    </row>
    <row r="331">
      <c r="AK331" t="n">
        <v>318</v>
      </c>
      <c r="AL331">
        <f>IFERROR(IF(AU331&lt;($AM$6-$AL$6)/($AN$6-$AL$6),$AL$6+SQRT(AU331*($AN$6-$AL$6)*($AM$6-$AL$6)),$AN$6-SQRT((1-AU331)*($AN$6-$AL$6)*($AN$6-$AM$6))),$AM$6)</f>
        <v/>
      </c>
      <c r="AM331">
        <f>IFERROR(IF(AV331&lt;($AM$7-$AL$7)/($AN$7-$AL$7),$AL$7+SQRT(AV331*($AN$7-$AL$7)*($AM$7-$AL$7)),$AN$7-SQRT((1-AV331)*($AN$7-$AL$7)*($AN$7-$AM$7))),$AM$7)</f>
        <v/>
      </c>
      <c r="AN331">
        <f>IFERROR(IF(AW331&lt;($AM$8-$AL$8)/($AN$8-$AL$8),$AL$8+SQRT(AW331*($AN$8-$AL$8)*($AM$8-$AL$8)),$AN$8-SQRT((1-AW331)*($AN$8-$AL$8)*($AN$8-$AM$8))),$AM$8)</f>
        <v/>
      </c>
      <c r="AO331">
        <f>IFERROR(IF(AX331&lt;($AM$9-$AL$9)/($AN$9-$AL$9),$AL$9+SQRT(AX331*($AN$9-$AL$9)*($AM$9-$AL$9)),$AN$9-SQRT((1-AX331)*($AN$9-$AL$9)*($AN$9-$AM$9))),$AM$9)</f>
        <v/>
      </c>
      <c r="AP331">
        <f>IFERROR(IF(AY331&lt;($AM$10-$AL$10)/($AN$10-$AL$10),$AL$10+SQRT(AY331*($AN$10-$AL$10)*($AM$10-$AL$10)),$AN$10-SQRT((1-AY331)*($AN$10-$AL$10)*($AN$10-$AM$10))),$AM$10)</f>
        <v/>
      </c>
      <c r="AQ331">
        <f>IFERROR(IF(AZ331&lt;($AM$11-$AL$11)/($AN$11-$AL$11),$AL$11+SQRT(AZ331*($AN$11-$AL$11)*($AM$11-$AL$11)),$AN$11-SQRT((1-AZ331)*($AN$11-$AL$11)*($AN$11-$AM$11))),$AM$11)</f>
        <v/>
      </c>
      <c r="AR331">
        <f>SUMPRODUCT((B24:B31&lt;=$B$6)*(C24:C31*AM331+D24:D31*AO331*$B$8*AQ331)/(1+AL331/100)^B24:B31)+C32*AM331*AP331/(1+AL331/100)^$B$6</f>
        <v/>
      </c>
      <c r="AS331">
        <f>SUMPRODUCT((K24:K26&lt;=$B$6)*(L24:L26*AN331+M24:M26*AO331*$B$8*AQ331)/(1+AL331/100)^K24:K26)+L27*AN331*AP331/(1+AL331/100)^$B$6</f>
        <v/>
      </c>
      <c r="AT331">
        <f>AS331-AR331</f>
        <v/>
      </c>
      <c r="AU331">
        <f>RAND()</f>
        <v/>
      </c>
      <c r="AV331">
        <f>RAND()</f>
        <v/>
      </c>
      <c r="AW331">
        <f>RAND()</f>
        <v/>
      </c>
      <c r="AX331">
        <f>RAND()</f>
        <v/>
      </c>
      <c r="AY331">
        <f>RAND()</f>
        <v/>
      </c>
      <c r="AZ331">
        <f>RAND()</f>
        <v/>
      </c>
    </row>
    <row r="332">
      <c r="AK332" t="n">
        <v>319</v>
      </c>
      <c r="AL332">
        <f>IFERROR(IF(AU332&lt;($AM$6-$AL$6)/($AN$6-$AL$6),$AL$6+SQRT(AU332*($AN$6-$AL$6)*($AM$6-$AL$6)),$AN$6-SQRT((1-AU332)*($AN$6-$AL$6)*($AN$6-$AM$6))),$AM$6)</f>
        <v/>
      </c>
      <c r="AM332">
        <f>IFERROR(IF(AV332&lt;($AM$7-$AL$7)/($AN$7-$AL$7),$AL$7+SQRT(AV332*($AN$7-$AL$7)*($AM$7-$AL$7)),$AN$7-SQRT((1-AV332)*($AN$7-$AL$7)*($AN$7-$AM$7))),$AM$7)</f>
        <v/>
      </c>
      <c r="AN332">
        <f>IFERROR(IF(AW332&lt;($AM$8-$AL$8)/($AN$8-$AL$8),$AL$8+SQRT(AW332*($AN$8-$AL$8)*($AM$8-$AL$8)),$AN$8-SQRT((1-AW332)*($AN$8-$AL$8)*($AN$8-$AM$8))),$AM$8)</f>
        <v/>
      </c>
      <c r="AO332">
        <f>IFERROR(IF(AX332&lt;($AM$9-$AL$9)/($AN$9-$AL$9),$AL$9+SQRT(AX332*($AN$9-$AL$9)*($AM$9-$AL$9)),$AN$9-SQRT((1-AX332)*($AN$9-$AL$9)*($AN$9-$AM$9))),$AM$9)</f>
        <v/>
      </c>
      <c r="AP332">
        <f>IFERROR(IF(AY332&lt;($AM$10-$AL$10)/($AN$10-$AL$10),$AL$10+SQRT(AY332*($AN$10-$AL$10)*($AM$10-$AL$10)),$AN$10-SQRT((1-AY332)*($AN$10-$AL$10)*($AN$10-$AM$10))),$AM$10)</f>
        <v/>
      </c>
      <c r="AQ332">
        <f>IFERROR(IF(AZ332&lt;($AM$11-$AL$11)/($AN$11-$AL$11),$AL$11+SQRT(AZ332*($AN$11-$AL$11)*($AM$11-$AL$11)),$AN$11-SQRT((1-AZ332)*($AN$11-$AL$11)*($AN$11-$AM$11))),$AM$11)</f>
        <v/>
      </c>
      <c r="AR332">
        <f>SUMPRODUCT((B24:B31&lt;=$B$6)*(C24:C31*AM332+D24:D31*AO332*$B$8*AQ332)/(1+AL332/100)^B24:B31)+C32*AM332*AP332/(1+AL332/100)^$B$6</f>
        <v/>
      </c>
      <c r="AS332">
        <f>SUMPRODUCT((K24:K26&lt;=$B$6)*(L24:L26*AN332+M24:M26*AO332*$B$8*AQ332)/(1+AL332/100)^K24:K26)+L27*AN332*AP332/(1+AL332/100)^$B$6</f>
        <v/>
      </c>
      <c r="AT332">
        <f>AS332-AR332</f>
        <v/>
      </c>
      <c r="AU332">
        <f>RAND()</f>
        <v/>
      </c>
      <c r="AV332">
        <f>RAND()</f>
        <v/>
      </c>
      <c r="AW332">
        <f>RAND()</f>
        <v/>
      </c>
      <c r="AX332">
        <f>RAND()</f>
        <v/>
      </c>
      <c r="AY332">
        <f>RAND()</f>
        <v/>
      </c>
      <c r="AZ332">
        <f>RAND()</f>
        <v/>
      </c>
    </row>
    <row r="333">
      <c r="AK333" t="n">
        <v>320</v>
      </c>
      <c r="AL333">
        <f>IFERROR(IF(AU333&lt;($AM$6-$AL$6)/($AN$6-$AL$6),$AL$6+SQRT(AU333*($AN$6-$AL$6)*($AM$6-$AL$6)),$AN$6-SQRT((1-AU333)*($AN$6-$AL$6)*($AN$6-$AM$6))),$AM$6)</f>
        <v/>
      </c>
      <c r="AM333">
        <f>IFERROR(IF(AV333&lt;($AM$7-$AL$7)/($AN$7-$AL$7),$AL$7+SQRT(AV333*($AN$7-$AL$7)*($AM$7-$AL$7)),$AN$7-SQRT((1-AV333)*($AN$7-$AL$7)*($AN$7-$AM$7))),$AM$7)</f>
        <v/>
      </c>
      <c r="AN333">
        <f>IFERROR(IF(AW333&lt;($AM$8-$AL$8)/($AN$8-$AL$8),$AL$8+SQRT(AW333*($AN$8-$AL$8)*($AM$8-$AL$8)),$AN$8-SQRT((1-AW333)*($AN$8-$AL$8)*($AN$8-$AM$8))),$AM$8)</f>
        <v/>
      </c>
      <c r="AO333">
        <f>IFERROR(IF(AX333&lt;($AM$9-$AL$9)/($AN$9-$AL$9),$AL$9+SQRT(AX333*($AN$9-$AL$9)*($AM$9-$AL$9)),$AN$9-SQRT((1-AX333)*($AN$9-$AL$9)*($AN$9-$AM$9))),$AM$9)</f>
        <v/>
      </c>
      <c r="AP333">
        <f>IFERROR(IF(AY333&lt;($AM$10-$AL$10)/($AN$10-$AL$10),$AL$10+SQRT(AY333*($AN$10-$AL$10)*($AM$10-$AL$10)),$AN$10-SQRT((1-AY333)*($AN$10-$AL$10)*($AN$10-$AM$10))),$AM$10)</f>
        <v/>
      </c>
      <c r="AQ333">
        <f>IFERROR(IF(AZ333&lt;($AM$11-$AL$11)/($AN$11-$AL$11),$AL$11+SQRT(AZ333*($AN$11-$AL$11)*($AM$11-$AL$11)),$AN$11-SQRT((1-AZ333)*($AN$11-$AL$11)*($AN$11-$AM$11))),$AM$11)</f>
        <v/>
      </c>
      <c r="AR333">
        <f>SUMPRODUCT((B24:B31&lt;=$B$6)*(C24:C31*AM333+D24:D31*AO333*$B$8*AQ333)/(1+AL333/100)^B24:B31)+C32*AM333*AP333/(1+AL333/100)^$B$6</f>
        <v/>
      </c>
      <c r="AS333">
        <f>SUMPRODUCT((K24:K26&lt;=$B$6)*(L24:L26*AN333+M24:M26*AO333*$B$8*AQ333)/(1+AL333/100)^K24:K26)+L27*AN333*AP333/(1+AL333/100)^$B$6</f>
        <v/>
      </c>
      <c r="AT333">
        <f>AS333-AR333</f>
        <v/>
      </c>
      <c r="AU333">
        <f>RAND()</f>
        <v/>
      </c>
      <c r="AV333">
        <f>RAND()</f>
        <v/>
      </c>
      <c r="AW333">
        <f>RAND()</f>
        <v/>
      </c>
      <c r="AX333">
        <f>RAND()</f>
        <v/>
      </c>
      <c r="AY333">
        <f>RAND()</f>
        <v/>
      </c>
      <c r="AZ333">
        <f>RAND()</f>
        <v/>
      </c>
    </row>
    <row r="334">
      <c r="AK334" t="n">
        <v>321</v>
      </c>
      <c r="AL334">
        <f>IFERROR(IF(AU334&lt;($AM$6-$AL$6)/($AN$6-$AL$6),$AL$6+SQRT(AU334*($AN$6-$AL$6)*($AM$6-$AL$6)),$AN$6-SQRT((1-AU334)*($AN$6-$AL$6)*($AN$6-$AM$6))),$AM$6)</f>
        <v/>
      </c>
      <c r="AM334">
        <f>IFERROR(IF(AV334&lt;($AM$7-$AL$7)/($AN$7-$AL$7),$AL$7+SQRT(AV334*($AN$7-$AL$7)*($AM$7-$AL$7)),$AN$7-SQRT((1-AV334)*($AN$7-$AL$7)*($AN$7-$AM$7))),$AM$7)</f>
        <v/>
      </c>
      <c r="AN334">
        <f>IFERROR(IF(AW334&lt;($AM$8-$AL$8)/($AN$8-$AL$8),$AL$8+SQRT(AW334*($AN$8-$AL$8)*($AM$8-$AL$8)),$AN$8-SQRT((1-AW334)*($AN$8-$AL$8)*($AN$8-$AM$8))),$AM$8)</f>
        <v/>
      </c>
      <c r="AO334">
        <f>IFERROR(IF(AX334&lt;($AM$9-$AL$9)/($AN$9-$AL$9),$AL$9+SQRT(AX334*($AN$9-$AL$9)*($AM$9-$AL$9)),$AN$9-SQRT((1-AX334)*($AN$9-$AL$9)*($AN$9-$AM$9))),$AM$9)</f>
        <v/>
      </c>
      <c r="AP334">
        <f>IFERROR(IF(AY334&lt;($AM$10-$AL$10)/($AN$10-$AL$10),$AL$10+SQRT(AY334*($AN$10-$AL$10)*($AM$10-$AL$10)),$AN$10-SQRT((1-AY334)*($AN$10-$AL$10)*($AN$10-$AM$10))),$AM$10)</f>
        <v/>
      </c>
      <c r="AQ334">
        <f>IFERROR(IF(AZ334&lt;($AM$11-$AL$11)/($AN$11-$AL$11),$AL$11+SQRT(AZ334*($AN$11-$AL$11)*($AM$11-$AL$11)),$AN$11-SQRT((1-AZ334)*($AN$11-$AL$11)*($AN$11-$AM$11))),$AM$11)</f>
        <v/>
      </c>
      <c r="AR334">
        <f>SUMPRODUCT((B24:B31&lt;=$B$6)*(C24:C31*AM334+D24:D31*AO334*$B$8*AQ334)/(1+AL334/100)^B24:B31)+C32*AM334*AP334/(1+AL334/100)^$B$6</f>
        <v/>
      </c>
      <c r="AS334">
        <f>SUMPRODUCT((K24:K26&lt;=$B$6)*(L24:L26*AN334+M24:M26*AO334*$B$8*AQ334)/(1+AL334/100)^K24:K26)+L27*AN334*AP334/(1+AL334/100)^$B$6</f>
        <v/>
      </c>
      <c r="AT334">
        <f>AS334-AR334</f>
        <v/>
      </c>
      <c r="AU334">
        <f>RAND()</f>
        <v/>
      </c>
      <c r="AV334">
        <f>RAND()</f>
        <v/>
      </c>
      <c r="AW334">
        <f>RAND()</f>
        <v/>
      </c>
      <c r="AX334">
        <f>RAND()</f>
        <v/>
      </c>
      <c r="AY334">
        <f>RAND()</f>
        <v/>
      </c>
      <c r="AZ334">
        <f>RAND()</f>
        <v/>
      </c>
    </row>
    <row r="335">
      <c r="AK335" t="n">
        <v>322</v>
      </c>
      <c r="AL335">
        <f>IFERROR(IF(AU335&lt;($AM$6-$AL$6)/($AN$6-$AL$6),$AL$6+SQRT(AU335*($AN$6-$AL$6)*($AM$6-$AL$6)),$AN$6-SQRT((1-AU335)*($AN$6-$AL$6)*($AN$6-$AM$6))),$AM$6)</f>
        <v/>
      </c>
      <c r="AM335">
        <f>IFERROR(IF(AV335&lt;($AM$7-$AL$7)/($AN$7-$AL$7),$AL$7+SQRT(AV335*($AN$7-$AL$7)*($AM$7-$AL$7)),$AN$7-SQRT((1-AV335)*($AN$7-$AL$7)*($AN$7-$AM$7))),$AM$7)</f>
        <v/>
      </c>
      <c r="AN335">
        <f>IFERROR(IF(AW335&lt;($AM$8-$AL$8)/($AN$8-$AL$8),$AL$8+SQRT(AW335*($AN$8-$AL$8)*($AM$8-$AL$8)),$AN$8-SQRT((1-AW335)*($AN$8-$AL$8)*($AN$8-$AM$8))),$AM$8)</f>
        <v/>
      </c>
      <c r="AO335">
        <f>IFERROR(IF(AX335&lt;($AM$9-$AL$9)/($AN$9-$AL$9),$AL$9+SQRT(AX335*($AN$9-$AL$9)*($AM$9-$AL$9)),$AN$9-SQRT((1-AX335)*($AN$9-$AL$9)*($AN$9-$AM$9))),$AM$9)</f>
        <v/>
      </c>
      <c r="AP335">
        <f>IFERROR(IF(AY335&lt;($AM$10-$AL$10)/($AN$10-$AL$10),$AL$10+SQRT(AY335*($AN$10-$AL$10)*($AM$10-$AL$10)),$AN$10-SQRT((1-AY335)*($AN$10-$AL$10)*($AN$10-$AM$10))),$AM$10)</f>
        <v/>
      </c>
      <c r="AQ335">
        <f>IFERROR(IF(AZ335&lt;($AM$11-$AL$11)/($AN$11-$AL$11),$AL$11+SQRT(AZ335*($AN$11-$AL$11)*($AM$11-$AL$11)),$AN$11-SQRT((1-AZ335)*($AN$11-$AL$11)*($AN$11-$AM$11))),$AM$11)</f>
        <v/>
      </c>
      <c r="AR335">
        <f>SUMPRODUCT((B24:B31&lt;=$B$6)*(C24:C31*AM335+D24:D31*AO335*$B$8*AQ335)/(1+AL335/100)^B24:B31)+C32*AM335*AP335/(1+AL335/100)^$B$6</f>
        <v/>
      </c>
      <c r="AS335">
        <f>SUMPRODUCT((K24:K26&lt;=$B$6)*(L24:L26*AN335+M24:M26*AO335*$B$8*AQ335)/(1+AL335/100)^K24:K26)+L27*AN335*AP335/(1+AL335/100)^$B$6</f>
        <v/>
      </c>
      <c r="AT335">
        <f>AS335-AR335</f>
        <v/>
      </c>
      <c r="AU335">
        <f>RAND()</f>
        <v/>
      </c>
      <c r="AV335">
        <f>RAND()</f>
        <v/>
      </c>
      <c r="AW335">
        <f>RAND()</f>
        <v/>
      </c>
      <c r="AX335">
        <f>RAND()</f>
        <v/>
      </c>
      <c r="AY335">
        <f>RAND()</f>
        <v/>
      </c>
      <c r="AZ335">
        <f>RAND()</f>
        <v/>
      </c>
    </row>
    <row r="336">
      <c r="AK336" t="n">
        <v>323</v>
      </c>
      <c r="AL336">
        <f>IFERROR(IF(AU336&lt;($AM$6-$AL$6)/($AN$6-$AL$6),$AL$6+SQRT(AU336*($AN$6-$AL$6)*($AM$6-$AL$6)),$AN$6-SQRT((1-AU336)*($AN$6-$AL$6)*($AN$6-$AM$6))),$AM$6)</f>
        <v/>
      </c>
      <c r="AM336">
        <f>IFERROR(IF(AV336&lt;($AM$7-$AL$7)/($AN$7-$AL$7),$AL$7+SQRT(AV336*($AN$7-$AL$7)*($AM$7-$AL$7)),$AN$7-SQRT((1-AV336)*($AN$7-$AL$7)*($AN$7-$AM$7))),$AM$7)</f>
        <v/>
      </c>
      <c r="AN336">
        <f>IFERROR(IF(AW336&lt;($AM$8-$AL$8)/($AN$8-$AL$8),$AL$8+SQRT(AW336*($AN$8-$AL$8)*($AM$8-$AL$8)),$AN$8-SQRT((1-AW336)*($AN$8-$AL$8)*($AN$8-$AM$8))),$AM$8)</f>
        <v/>
      </c>
      <c r="AO336">
        <f>IFERROR(IF(AX336&lt;($AM$9-$AL$9)/($AN$9-$AL$9),$AL$9+SQRT(AX336*($AN$9-$AL$9)*($AM$9-$AL$9)),$AN$9-SQRT((1-AX336)*($AN$9-$AL$9)*($AN$9-$AM$9))),$AM$9)</f>
        <v/>
      </c>
      <c r="AP336">
        <f>IFERROR(IF(AY336&lt;($AM$10-$AL$10)/($AN$10-$AL$10),$AL$10+SQRT(AY336*($AN$10-$AL$10)*($AM$10-$AL$10)),$AN$10-SQRT((1-AY336)*($AN$10-$AL$10)*($AN$10-$AM$10))),$AM$10)</f>
        <v/>
      </c>
      <c r="AQ336">
        <f>IFERROR(IF(AZ336&lt;($AM$11-$AL$11)/($AN$11-$AL$11),$AL$11+SQRT(AZ336*($AN$11-$AL$11)*($AM$11-$AL$11)),$AN$11-SQRT((1-AZ336)*($AN$11-$AL$11)*($AN$11-$AM$11))),$AM$11)</f>
        <v/>
      </c>
      <c r="AR336">
        <f>SUMPRODUCT((B24:B31&lt;=$B$6)*(C24:C31*AM336+D24:D31*AO336*$B$8*AQ336)/(1+AL336/100)^B24:B31)+C32*AM336*AP336/(1+AL336/100)^$B$6</f>
        <v/>
      </c>
      <c r="AS336">
        <f>SUMPRODUCT((K24:K26&lt;=$B$6)*(L24:L26*AN336+M24:M26*AO336*$B$8*AQ336)/(1+AL336/100)^K24:K26)+L27*AN336*AP336/(1+AL336/100)^$B$6</f>
        <v/>
      </c>
      <c r="AT336">
        <f>AS336-AR336</f>
        <v/>
      </c>
      <c r="AU336">
        <f>RAND()</f>
        <v/>
      </c>
      <c r="AV336">
        <f>RAND()</f>
        <v/>
      </c>
      <c r="AW336">
        <f>RAND()</f>
        <v/>
      </c>
      <c r="AX336">
        <f>RAND()</f>
        <v/>
      </c>
      <c r="AY336">
        <f>RAND()</f>
        <v/>
      </c>
      <c r="AZ336">
        <f>RAND()</f>
        <v/>
      </c>
    </row>
    <row r="337">
      <c r="AK337" t="n">
        <v>324</v>
      </c>
      <c r="AL337">
        <f>IFERROR(IF(AU337&lt;($AM$6-$AL$6)/($AN$6-$AL$6),$AL$6+SQRT(AU337*($AN$6-$AL$6)*($AM$6-$AL$6)),$AN$6-SQRT((1-AU337)*($AN$6-$AL$6)*($AN$6-$AM$6))),$AM$6)</f>
        <v/>
      </c>
      <c r="AM337">
        <f>IFERROR(IF(AV337&lt;($AM$7-$AL$7)/($AN$7-$AL$7),$AL$7+SQRT(AV337*($AN$7-$AL$7)*($AM$7-$AL$7)),$AN$7-SQRT((1-AV337)*($AN$7-$AL$7)*($AN$7-$AM$7))),$AM$7)</f>
        <v/>
      </c>
      <c r="AN337">
        <f>IFERROR(IF(AW337&lt;($AM$8-$AL$8)/($AN$8-$AL$8),$AL$8+SQRT(AW337*($AN$8-$AL$8)*($AM$8-$AL$8)),$AN$8-SQRT((1-AW337)*($AN$8-$AL$8)*($AN$8-$AM$8))),$AM$8)</f>
        <v/>
      </c>
      <c r="AO337">
        <f>IFERROR(IF(AX337&lt;($AM$9-$AL$9)/($AN$9-$AL$9),$AL$9+SQRT(AX337*($AN$9-$AL$9)*($AM$9-$AL$9)),$AN$9-SQRT((1-AX337)*($AN$9-$AL$9)*($AN$9-$AM$9))),$AM$9)</f>
        <v/>
      </c>
      <c r="AP337">
        <f>IFERROR(IF(AY337&lt;($AM$10-$AL$10)/($AN$10-$AL$10),$AL$10+SQRT(AY337*($AN$10-$AL$10)*($AM$10-$AL$10)),$AN$10-SQRT((1-AY337)*($AN$10-$AL$10)*($AN$10-$AM$10))),$AM$10)</f>
        <v/>
      </c>
      <c r="AQ337">
        <f>IFERROR(IF(AZ337&lt;($AM$11-$AL$11)/($AN$11-$AL$11),$AL$11+SQRT(AZ337*($AN$11-$AL$11)*($AM$11-$AL$11)),$AN$11-SQRT((1-AZ337)*($AN$11-$AL$11)*($AN$11-$AM$11))),$AM$11)</f>
        <v/>
      </c>
      <c r="AR337">
        <f>SUMPRODUCT((B24:B31&lt;=$B$6)*(C24:C31*AM337+D24:D31*AO337*$B$8*AQ337)/(1+AL337/100)^B24:B31)+C32*AM337*AP337/(1+AL337/100)^$B$6</f>
        <v/>
      </c>
      <c r="AS337">
        <f>SUMPRODUCT((K24:K26&lt;=$B$6)*(L24:L26*AN337+M24:M26*AO337*$B$8*AQ337)/(1+AL337/100)^K24:K26)+L27*AN337*AP337/(1+AL337/100)^$B$6</f>
        <v/>
      </c>
      <c r="AT337">
        <f>AS337-AR337</f>
        <v/>
      </c>
      <c r="AU337">
        <f>RAND()</f>
        <v/>
      </c>
      <c r="AV337">
        <f>RAND()</f>
        <v/>
      </c>
      <c r="AW337">
        <f>RAND()</f>
        <v/>
      </c>
      <c r="AX337">
        <f>RAND()</f>
        <v/>
      </c>
      <c r="AY337">
        <f>RAND()</f>
        <v/>
      </c>
      <c r="AZ337">
        <f>RAND()</f>
        <v/>
      </c>
    </row>
    <row r="338">
      <c r="AK338" t="n">
        <v>325</v>
      </c>
      <c r="AL338">
        <f>IFERROR(IF(AU338&lt;($AM$6-$AL$6)/($AN$6-$AL$6),$AL$6+SQRT(AU338*($AN$6-$AL$6)*($AM$6-$AL$6)),$AN$6-SQRT((1-AU338)*($AN$6-$AL$6)*($AN$6-$AM$6))),$AM$6)</f>
        <v/>
      </c>
      <c r="AM338">
        <f>IFERROR(IF(AV338&lt;($AM$7-$AL$7)/($AN$7-$AL$7),$AL$7+SQRT(AV338*($AN$7-$AL$7)*($AM$7-$AL$7)),$AN$7-SQRT((1-AV338)*($AN$7-$AL$7)*($AN$7-$AM$7))),$AM$7)</f>
        <v/>
      </c>
      <c r="AN338">
        <f>IFERROR(IF(AW338&lt;($AM$8-$AL$8)/($AN$8-$AL$8),$AL$8+SQRT(AW338*($AN$8-$AL$8)*($AM$8-$AL$8)),$AN$8-SQRT((1-AW338)*($AN$8-$AL$8)*($AN$8-$AM$8))),$AM$8)</f>
        <v/>
      </c>
      <c r="AO338">
        <f>IFERROR(IF(AX338&lt;($AM$9-$AL$9)/($AN$9-$AL$9),$AL$9+SQRT(AX338*($AN$9-$AL$9)*($AM$9-$AL$9)),$AN$9-SQRT((1-AX338)*($AN$9-$AL$9)*($AN$9-$AM$9))),$AM$9)</f>
        <v/>
      </c>
      <c r="AP338">
        <f>IFERROR(IF(AY338&lt;($AM$10-$AL$10)/($AN$10-$AL$10),$AL$10+SQRT(AY338*($AN$10-$AL$10)*($AM$10-$AL$10)),$AN$10-SQRT((1-AY338)*($AN$10-$AL$10)*($AN$10-$AM$10))),$AM$10)</f>
        <v/>
      </c>
      <c r="AQ338">
        <f>IFERROR(IF(AZ338&lt;($AM$11-$AL$11)/($AN$11-$AL$11),$AL$11+SQRT(AZ338*($AN$11-$AL$11)*($AM$11-$AL$11)),$AN$11-SQRT((1-AZ338)*($AN$11-$AL$11)*($AN$11-$AM$11))),$AM$11)</f>
        <v/>
      </c>
      <c r="AR338">
        <f>SUMPRODUCT((B24:B31&lt;=$B$6)*(C24:C31*AM338+D24:D31*AO338*$B$8*AQ338)/(1+AL338/100)^B24:B31)+C32*AM338*AP338/(1+AL338/100)^$B$6</f>
        <v/>
      </c>
      <c r="AS338">
        <f>SUMPRODUCT((K24:K26&lt;=$B$6)*(L24:L26*AN338+M24:M26*AO338*$B$8*AQ338)/(1+AL338/100)^K24:K26)+L27*AN338*AP338/(1+AL338/100)^$B$6</f>
        <v/>
      </c>
      <c r="AT338">
        <f>AS338-AR338</f>
        <v/>
      </c>
      <c r="AU338">
        <f>RAND()</f>
        <v/>
      </c>
      <c r="AV338">
        <f>RAND()</f>
        <v/>
      </c>
      <c r="AW338">
        <f>RAND()</f>
        <v/>
      </c>
      <c r="AX338">
        <f>RAND()</f>
        <v/>
      </c>
      <c r="AY338">
        <f>RAND()</f>
        <v/>
      </c>
      <c r="AZ338">
        <f>RAND()</f>
        <v/>
      </c>
    </row>
    <row r="339">
      <c r="AK339" t="n">
        <v>326</v>
      </c>
      <c r="AL339">
        <f>IFERROR(IF(AU339&lt;($AM$6-$AL$6)/($AN$6-$AL$6),$AL$6+SQRT(AU339*($AN$6-$AL$6)*($AM$6-$AL$6)),$AN$6-SQRT((1-AU339)*($AN$6-$AL$6)*($AN$6-$AM$6))),$AM$6)</f>
        <v/>
      </c>
      <c r="AM339">
        <f>IFERROR(IF(AV339&lt;($AM$7-$AL$7)/($AN$7-$AL$7),$AL$7+SQRT(AV339*($AN$7-$AL$7)*($AM$7-$AL$7)),$AN$7-SQRT((1-AV339)*($AN$7-$AL$7)*($AN$7-$AM$7))),$AM$7)</f>
        <v/>
      </c>
      <c r="AN339">
        <f>IFERROR(IF(AW339&lt;($AM$8-$AL$8)/($AN$8-$AL$8),$AL$8+SQRT(AW339*($AN$8-$AL$8)*($AM$8-$AL$8)),$AN$8-SQRT((1-AW339)*($AN$8-$AL$8)*($AN$8-$AM$8))),$AM$8)</f>
        <v/>
      </c>
      <c r="AO339">
        <f>IFERROR(IF(AX339&lt;($AM$9-$AL$9)/($AN$9-$AL$9),$AL$9+SQRT(AX339*($AN$9-$AL$9)*($AM$9-$AL$9)),$AN$9-SQRT((1-AX339)*($AN$9-$AL$9)*($AN$9-$AM$9))),$AM$9)</f>
        <v/>
      </c>
      <c r="AP339">
        <f>IFERROR(IF(AY339&lt;($AM$10-$AL$10)/($AN$10-$AL$10),$AL$10+SQRT(AY339*($AN$10-$AL$10)*($AM$10-$AL$10)),$AN$10-SQRT((1-AY339)*($AN$10-$AL$10)*($AN$10-$AM$10))),$AM$10)</f>
        <v/>
      </c>
      <c r="AQ339">
        <f>IFERROR(IF(AZ339&lt;($AM$11-$AL$11)/($AN$11-$AL$11),$AL$11+SQRT(AZ339*($AN$11-$AL$11)*($AM$11-$AL$11)),$AN$11-SQRT((1-AZ339)*($AN$11-$AL$11)*($AN$11-$AM$11))),$AM$11)</f>
        <v/>
      </c>
      <c r="AR339">
        <f>SUMPRODUCT((B24:B31&lt;=$B$6)*(C24:C31*AM339+D24:D31*AO339*$B$8*AQ339)/(1+AL339/100)^B24:B31)+C32*AM339*AP339/(1+AL339/100)^$B$6</f>
        <v/>
      </c>
      <c r="AS339">
        <f>SUMPRODUCT((K24:K26&lt;=$B$6)*(L24:L26*AN339+M24:M26*AO339*$B$8*AQ339)/(1+AL339/100)^K24:K26)+L27*AN339*AP339/(1+AL339/100)^$B$6</f>
        <v/>
      </c>
      <c r="AT339">
        <f>AS339-AR339</f>
        <v/>
      </c>
      <c r="AU339">
        <f>RAND()</f>
        <v/>
      </c>
      <c r="AV339">
        <f>RAND()</f>
        <v/>
      </c>
      <c r="AW339">
        <f>RAND()</f>
        <v/>
      </c>
      <c r="AX339">
        <f>RAND()</f>
        <v/>
      </c>
      <c r="AY339">
        <f>RAND()</f>
        <v/>
      </c>
      <c r="AZ339">
        <f>RAND()</f>
        <v/>
      </c>
    </row>
    <row r="340">
      <c r="AK340" t="n">
        <v>327</v>
      </c>
      <c r="AL340">
        <f>IFERROR(IF(AU340&lt;($AM$6-$AL$6)/($AN$6-$AL$6),$AL$6+SQRT(AU340*($AN$6-$AL$6)*($AM$6-$AL$6)),$AN$6-SQRT((1-AU340)*($AN$6-$AL$6)*($AN$6-$AM$6))),$AM$6)</f>
        <v/>
      </c>
      <c r="AM340">
        <f>IFERROR(IF(AV340&lt;($AM$7-$AL$7)/($AN$7-$AL$7),$AL$7+SQRT(AV340*($AN$7-$AL$7)*($AM$7-$AL$7)),$AN$7-SQRT((1-AV340)*($AN$7-$AL$7)*($AN$7-$AM$7))),$AM$7)</f>
        <v/>
      </c>
      <c r="AN340">
        <f>IFERROR(IF(AW340&lt;($AM$8-$AL$8)/($AN$8-$AL$8),$AL$8+SQRT(AW340*($AN$8-$AL$8)*($AM$8-$AL$8)),$AN$8-SQRT((1-AW340)*($AN$8-$AL$8)*($AN$8-$AM$8))),$AM$8)</f>
        <v/>
      </c>
      <c r="AO340">
        <f>IFERROR(IF(AX340&lt;($AM$9-$AL$9)/($AN$9-$AL$9),$AL$9+SQRT(AX340*($AN$9-$AL$9)*($AM$9-$AL$9)),$AN$9-SQRT((1-AX340)*($AN$9-$AL$9)*($AN$9-$AM$9))),$AM$9)</f>
        <v/>
      </c>
      <c r="AP340">
        <f>IFERROR(IF(AY340&lt;($AM$10-$AL$10)/($AN$10-$AL$10),$AL$10+SQRT(AY340*($AN$10-$AL$10)*($AM$10-$AL$10)),$AN$10-SQRT((1-AY340)*($AN$10-$AL$10)*($AN$10-$AM$10))),$AM$10)</f>
        <v/>
      </c>
      <c r="AQ340">
        <f>IFERROR(IF(AZ340&lt;($AM$11-$AL$11)/($AN$11-$AL$11),$AL$11+SQRT(AZ340*($AN$11-$AL$11)*($AM$11-$AL$11)),$AN$11-SQRT((1-AZ340)*($AN$11-$AL$11)*($AN$11-$AM$11))),$AM$11)</f>
        <v/>
      </c>
      <c r="AR340">
        <f>SUMPRODUCT((B24:B31&lt;=$B$6)*(C24:C31*AM340+D24:D31*AO340*$B$8*AQ340)/(1+AL340/100)^B24:B31)+C32*AM340*AP340/(1+AL340/100)^$B$6</f>
        <v/>
      </c>
      <c r="AS340">
        <f>SUMPRODUCT((K24:K26&lt;=$B$6)*(L24:L26*AN340+M24:M26*AO340*$B$8*AQ340)/(1+AL340/100)^K24:K26)+L27*AN340*AP340/(1+AL340/100)^$B$6</f>
        <v/>
      </c>
      <c r="AT340">
        <f>AS340-AR340</f>
        <v/>
      </c>
      <c r="AU340">
        <f>RAND()</f>
        <v/>
      </c>
      <c r="AV340">
        <f>RAND()</f>
        <v/>
      </c>
      <c r="AW340">
        <f>RAND()</f>
        <v/>
      </c>
      <c r="AX340">
        <f>RAND()</f>
        <v/>
      </c>
      <c r="AY340">
        <f>RAND()</f>
        <v/>
      </c>
      <c r="AZ340">
        <f>RAND()</f>
        <v/>
      </c>
    </row>
    <row r="341">
      <c r="AK341" t="n">
        <v>328</v>
      </c>
      <c r="AL341">
        <f>IFERROR(IF(AU341&lt;($AM$6-$AL$6)/($AN$6-$AL$6),$AL$6+SQRT(AU341*($AN$6-$AL$6)*($AM$6-$AL$6)),$AN$6-SQRT((1-AU341)*($AN$6-$AL$6)*($AN$6-$AM$6))),$AM$6)</f>
        <v/>
      </c>
      <c r="AM341">
        <f>IFERROR(IF(AV341&lt;($AM$7-$AL$7)/($AN$7-$AL$7),$AL$7+SQRT(AV341*($AN$7-$AL$7)*($AM$7-$AL$7)),$AN$7-SQRT((1-AV341)*($AN$7-$AL$7)*($AN$7-$AM$7))),$AM$7)</f>
        <v/>
      </c>
      <c r="AN341">
        <f>IFERROR(IF(AW341&lt;($AM$8-$AL$8)/($AN$8-$AL$8),$AL$8+SQRT(AW341*($AN$8-$AL$8)*($AM$8-$AL$8)),$AN$8-SQRT((1-AW341)*($AN$8-$AL$8)*($AN$8-$AM$8))),$AM$8)</f>
        <v/>
      </c>
      <c r="AO341">
        <f>IFERROR(IF(AX341&lt;($AM$9-$AL$9)/($AN$9-$AL$9),$AL$9+SQRT(AX341*($AN$9-$AL$9)*($AM$9-$AL$9)),$AN$9-SQRT((1-AX341)*($AN$9-$AL$9)*($AN$9-$AM$9))),$AM$9)</f>
        <v/>
      </c>
      <c r="AP341">
        <f>IFERROR(IF(AY341&lt;($AM$10-$AL$10)/($AN$10-$AL$10),$AL$10+SQRT(AY341*($AN$10-$AL$10)*($AM$10-$AL$10)),$AN$10-SQRT((1-AY341)*($AN$10-$AL$10)*($AN$10-$AM$10))),$AM$10)</f>
        <v/>
      </c>
      <c r="AQ341">
        <f>IFERROR(IF(AZ341&lt;($AM$11-$AL$11)/($AN$11-$AL$11),$AL$11+SQRT(AZ341*($AN$11-$AL$11)*($AM$11-$AL$11)),$AN$11-SQRT((1-AZ341)*($AN$11-$AL$11)*($AN$11-$AM$11))),$AM$11)</f>
        <v/>
      </c>
      <c r="AR341">
        <f>SUMPRODUCT((B24:B31&lt;=$B$6)*(C24:C31*AM341+D24:D31*AO341*$B$8*AQ341)/(1+AL341/100)^B24:B31)+C32*AM341*AP341/(1+AL341/100)^$B$6</f>
        <v/>
      </c>
      <c r="AS341">
        <f>SUMPRODUCT((K24:K26&lt;=$B$6)*(L24:L26*AN341+M24:M26*AO341*$B$8*AQ341)/(1+AL341/100)^K24:K26)+L27*AN341*AP341/(1+AL341/100)^$B$6</f>
        <v/>
      </c>
      <c r="AT341">
        <f>AS341-AR341</f>
        <v/>
      </c>
      <c r="AU341">
        <f>RAND()</f>
        <v/>
      </c>
      <c r="AV341">
        <f>RAND()</f>
        <v/>
      </c>
      <c r="AW341">
        <f>RAND()</f>
        <v/>
      </c>
      <c r="AX341">
        <f>RAND()</f>
        <v/>
      </c>
      <c r="AY341">
        <f>RAND()</f>
        <v/>
      </c>
      <c r="AZ341">
        <f>RAND()</f>
        <v/>
      </c>
    </row>
    <row r="342">
      <c r="AK342" t="n">
        <v>329</v>
      </c>
      <c r="AL342">
        <f>IFERROR(IF(AU342&lt;($AM$6-$AL$6)/($AN$6-$AL$6),$AL$6+SQRT(AU342*($AN$6-$AL$6)*($AM$6-$AL$6)),$AN$6-SQRT((1-AU342)*($AN$6-$AL$6)*($AN$6-$AM$6))),$AM$6)</f>
        <v/>
      </c>
      <c r="AM342">
        <f>IFERROR(IF(AV342&lt;($AM$7-$AL$7)/($AN$7-$AL$7),$AL$7+SQRT(AV342*($AN$7-$AL$7)*($AM$7-$AL$7)),$AN$7-SQRT((1-AV342)*($AN$7-$AL$7)*($AN$7-$AM$7))),$AM$7)</f>
        <v/>
      </c>
      <c r="AN342">
        <f>IFERROR(IF(AW342&lt;($AM$8-$AL$8)/($AN$8-$AL$8),$AL$8+SQRT(AW342*($AN$8-$AL$8)*($AM$8-$AL$8)),$AN$8-SQRT((1-AW342)*($AN$8-$AL$8)*($AN$8-$AM$8))),$AM$8)</f>
        <v/>
      </c>
      <c r="AO342">
        <f>IFERROR(IF(AX342&lt;($AM$9-$AL$9)/($AN$9-$AL$9),$AL$9+SQRT(AX342*($AN$9-$AL$9)*($AM$9-$AL$9)),$AN$9-SQRT((1-AX342)*($AN$9-$AL$9)*($AN$9-$AM$9))),$AM$9)</f>
        <v/>
      </c>
      <c r="AP342">
        <f>IFERROR(IF(AY342&lt;($AM$10-$AL$10)/($AN$10-$AL$10),$AL$10+SQRT(AY342*($AN$10-$AL$10)*($AM$10-$AL$10)),$AN$10-SQRT((1-AY342)*($AN$10-$AL$10)*($AN$10-$AM$10))),$AM$10)</f>
        <v/>
      </c>
      <c r="AQ342">
        <f>IFERROR(IF(AZ342&lt;($AM$11-$AL$11)/($AN$11-$AL$11),$AL$11+SQRT(AZ342*($AN$11-$AL$11)*($AM$11-$AL$11)),$AN$11-SQRT((1-AZ342)*($AN$11-$AL$11)*($AN$11-$AM$11))),$AM$11)</f>
        <v/>
      </c>
      <c r="AR342">
        <f>SUMPRODUCT((B24:B31&lt;=$B$6)*(C24:C31*AM342+D24:D31*AO342*$B$8*AQ342)/(1+AL342/100)^B24:B31)+C32*AM342*AP342/(1+AL342/100)^$B$6</f>
        <v/>
      </c>
      <c r="AS342">
        <f>SUMPRODUCT((K24:K26&lt;=$B$6)*(L24:L26*AN342+M24:M26*AO342*$B$8*AQ342)/(1+AL342/100)^K24:K26)+L27*AN342*AP342/(1+AL342/100)^$B$6</f>
        <v/>
      </c>
      <c r="AT342">
        <f>AS342-AR342</f>
        <v/>
      </c>
      <c r="AU342">
        <f>RAND()</f>
        <v/>
      </c>
      <c r="AV342">
        <f>RAND()</f>
        <v/>
      </c>
      <c r="AW342">
        <f>RAND()</f>
        <v/>
      </c>
      <c r="AX342">
        <f>RAND()</f>
        <v/>
      </c>
      <c r="AY342">
        <f>RAND()</f>
        <v/>
      </c>
      <c r="AZ342">
        <f>RAND()</f>
        <v/>
      </c>
    </row>
    <row r="343">
      <c r="AK343" t="n">
        <v>330</v>
      </c>
      <c r="AL343">
        <f>IFERROR(IF(AU343&lt;($AM$6-$AL$6)/($AN$6-$AL$6),$AL$6+SQRT(AU343*($AN$6-$AL$6)*($AM$6-$AL$6)),$AN$6-SQRT((1-AU343)*($AN$6-$AL$6)*($AN$6-$AM$6))),$AM$6)</f>
        <v/>
      </c>
      <c r="AM343">
        <f>IFERROR(IF(AV343&lt;($AM$7-$AL$7)/($AN$7-$AL$7),$AL$7+SQRT(AV343*($AN$7-$AL$7)*($AM$7-$AL$7)),$AN$7-SQRT((1-AV343)*($AN$7-$AL$7)*($AN$7-$AM$7))),$AM$7)</f>
        <v/>
      </c>
      <c r="AN343">
        <f>IFERROR(IF(AW343&lt;($AM$8-$AL$8)/($AN$8-$AL$8),$AL$8+SQRT(AW343*($AN$8-$AL$8)*($AM$8-$AL$8)),$AN$8-SQRT((1-AW343)*($AN$8-$AL$8)*($AN$8-$AM$8))),$AM$8)</f>
        <v/>
      </c>
      <c r="AO343">
        <f>IFERROR(IF(AX343&lt;($AM$9-$AL$9)/($AN$9-$AL$9),$AL$9+SQRT(AX343*($AN$9-$AL$9)*($AM$9-$AL$9)),$AN$9-SQRT((1-AX343)*($AN$9-$AL$9)*($AN$9-$AM$9))),$AM$9)</f>
        <v/>
      </c>
      <c r="AP343">
        <f>IFERROR(IF(AY343&lt;($AM$10-$AL$10)/($AN$10-$AL$10),$AL$10+SQRT(AY343*($AN$10-$AL$10)*($AM$10-$AL$10)),$AN$10-SQRT((1-AY343)*($AN$10-$AL$10)*($AN$10-$AM$10))),$AM$10)</f>
        <v/>
      </c>
      <c r="AQ343">
        <f>IFERROR(IF(AZ343&lt;($AM$11-$AL$11)/($AN$11-$AL$11),$AL$11+SQRT(AZ343*($AN$11-$AL$11)*($AM$11-$AL$11)),$AN$11-SQRT((1-AZ343)*($AN$11-$AL$11)*($AN$11-$AM$11))),$AM$11)</f>
        <v/>
      </c>
      <c r="AR343">
        <f>SUMPRODUCT((B24:B31&lt;=$B$6)*(C24:C31*AM343+D24:D31*AO343*$B$8*AQ343)/(1+AL343/100)^B24:B31)+C32*AM343*AP343/(1+AL343/100)^$B$6</f>
        <v/>
      </c>
      <c r="AS343">
        <f>SUMPRODUCT((K24:K26&lt;=$B$6)*(L24:L26*AN343+M24:M26*AO343*$B$8*AQ343)/(1+AL343/100)^K24:K26)+L27*AN343*AP343/(1+AL343/100)^$B$6</f>
        <v/>
      </c>
      <c r="AT343">
        <f>AS343-AR343</f>
        <v/>
      </c>
      <c r="AU343">
        <f>RAND()</f>
        <v/>
      </c>
      <c r="AV343">
        <f>RAND()</f>
        <v/>
      </c>
      <c r="AW343">
        <f>RAND()</f>
        <v/>
      </c>
      <c r="AX343">
        <f>RAND()</f>
        <v/>
      </c>
      <c r="AY343">
        <f>RAND()</f>
        <v/>
      </c>
      <c r="AZ343">
        <f>RAND()</f>
        <v/>
      </c>
    </row>
    <row r="344">
      <c r="AK344" t="n">
        <v>331</v>
      </c>
      <c r="AL344">
        <f>IFERROR(IF(AU344&lt;($AM$6-$AL$6)/($AN$6-$AL$6),$AL$6+SQRT(AU344*($AN$6-$AL$6)*($AM$6-$AL$6)),$AN$6-SQRT((1-AU344)*($AN$6-$AL$6)*($AN$6-$AM$6))),$AM$6)</f>
        <v/>
      </c>
      <c r="AM344">
        <f>IFERROR(IF(AV344&lt;($AM$7-$AL$7)/($AN$7-$AL$7),$AL$7+SQRT(AV344*($AN$7-$AL$7)*($AM$7-$AL$7)),$AN$7-SQRT((1-AV344)*($AN$7-$AL$7)*($AN$7-$AM$7))),$AM$7)</f>
        <v/>
      </c>
      <c r="AN344">
        <f>IFERROR(IF(AW344&lt;($AM$8-$AL$8)/($AN$8-$AL$8),$AL$8+SQRT(AW344*($AN$8-$AL$8)*($AM$8-$AL$8)),$AN$8-SQRT((1-AW344)*($AN$8-$AL$8)*($AN$8-$AM$8))),$AM$8)</f>
        <v/>
      </c>
      <c r="AO344">
        <f>IFERROR(IF(AX344&lt;($AM$9-$AL$9)/($AN$9-$AL$9),$AL$9+SQRT(AX344*($AN$9-$AL$9)*($AM$9-$AL$9)),$AN$9-SQRT((1-AX344)*($AN$9-$AL$9)*($AN$9-$AM$9))),$AM$9)</f>
        <v/>
      </c>
      <c r="AP344">
        <f>IFERROR(IF(AY344&lt;($AM$10-$AL$10)/($AN$10-$AL$10),$AL$10+SQRT(AY344*($AN$10-$AL$10)*($AM$10-$AL$10)),$AN$10-SQRT((1-AY344)*($AN$10-$AL$10)*($AN$10-$AM$10))),$AM$10)</f>
        <v/>
      </c>
      <c r="AQ344">
        <f>IFERROR(IF(AZ344&lt;($AM$11-$AL$11)/($AN$11-$AL$11),$AL$11+SQRT(AZ344*($AN$11-$AL$11)*($AM$11-$AL$11)),$AN$11-SQRT((1-AZ344)*($AN$11-$AL$11)*($AN$11-$AM$11))),$AM$11)</f>
        <v/>
      </c>
      <c r="AR344">
        <f>SUMPRODUCT((B24:B31&lt;=$B$6)*(C24:C31*AM344+D24:D31*AO344*$B$8*AQ344)/(1+AL344/100)^B24:B31)+C32*AM344*AP344/(1+AL344/100)^$B$6</f>
        <v/>
      </c>
      <c r="AS344">
        <f>SUMPRODUCT((K24:K26&lt;=$B$6)*(L24:L26*AN344+M24:M26*AO344*$B$8*AQ344)/(1+AL344/100)^K24:K26)+L27*AN344*AP344/(1+AL344/100)^$B$6</f>
        <v/>
      </c>
      <c r="AT344">
        <f>AS344-AR344</f>
        <v/>
      </c>
      <c r="AU344">
        <f>RAND()</f>
        <v/>
      </c>
      <c r="AV344">
        <f>RAND()</f>
        <v/>
      </c>
      <c r="AW344">
        <f>RAND()</f>
        <v/>
      </c>
      <c r="AX344">
        <f>RAND()</f>
        <v/>
      </c>
      <c r="AY344">
        <f>RAND()</f>
        <v/>
      </c>
      <c r="AZ344">
        <f>RAND()</f>
        <v/>
      </c>
    </row>
    <row r="345">
      <c r="AK345" t="n">
        <v>332</v>
      </c>
      <c r="AL345">
        <f>IFERROR(IF(AU345&lt;($AM$6-$AL$6)/($AN$6-$AL$6),$AL$6+SQRT(AU345*($AN$6-$AL$6)*($AM$6-$AL$6)),$AN$6-SQRT((1-AU345)*($AN$6-$AL$6)*($AN$6-$AM$6))),$AM$6)</f>
        <v/>
      </c>
      <c r="AM345">
        <f>IFERROR(IF(AV345&lt;($AM$7-$AL$7)/($AN$7-$AL$7),$AL$7+SQRT(AV345*($AN$7-$AL$7)*($AM$7-$AL$7)),$AN$7-SQRT((1-AV345)*($AN$7-$AL$7)*($AN$7-$AM$7))),$AM$7)</f>
        <v/>
      </c>
      <c r="AN345">
        <f>IFERROR(IF(AW345&lt;($AM$8-$AL$8)/($AN$8-$AL$8),$AL$8+SQRT(AW345*($AN$8-$AL$8)*($AM$8-$AL$8)),$AN$8-SQRT((1-AW345)*($AN$8-$AL$8)*($AN$8-$AM$8))),$AM$8)</f>
        <v/>
      </c>
      <c r="AO345">
        <f>IFERROR(IF(AX345&lt;($AM$9-$AL$9)/($AN$9-$AL$9),$AL$9+SQRT(AX345*($AN$9-$AL$9)*($AM$9-$AL$9)),$AN$9-SQRT((1-AX345)*($AN$9-$AL$9)*($AN$9-$AM$9))),$AM$9)</f>
        <v/>
      </c>
      <c r="AP345">
        <f>IFERROR(IF(AY345&lt;($AM$10-$AL$10)/($AN$10-$AL$10),$AL$10+SQRT(AY345*($AN$10-$AL$10)*($AM$10-$AL$10)),$AN$10-SQRT((1-AY345)*($AN$10-$AL$10)*($AN$10-$AM$10))),$AM$10)</f>
        <v/>
      </c>
      <c r="AQ345">
        <f>IFERROR(IF(AZ345&lt;($AM$11-$AL$11)/($AN$11-$AL$11),$AL$11+SQRT(AZ345*($AN$11-$AL$11)*($AM$11-$AL$11)),$AN$11-SQRT((1-AZ345)*($AN$11-$AL$11)*($AN$11-$AM$11))),$AM$11)</f>
        <v/>
      </c>
      <c r="AR345">
        <f>SUMPRODUCT((B24:B31&lt;=$B$6)*(C24:C31*AM345+D24:D31*AO345*$B$8*AQ345)/(1+AL345/100)^B24:B31)+C32*AM345*AP345/(1+AL345/100)^$B$6</f>
        <v/>
      </c>
      <c r="AS345">
        <f>SUMPRODUCT((K24:K26&lt;=$B$6)*(L24:L26*AN345+M24:M26*AO345*$B$8*AQ345)/(1+AL345/100)^K24:K26)+L27*AN345*AP345/(1+AL345/100)^$B$6</f>
        <v/>
      </c>
      <c r="AT345">
        <f>AS345-AR345</f>
        <v/>
      </c>
      <c r="AU345">
        <f>RAND()</f>
        <v/>
      </c>
      <c r="AV345">
        <f>RAND()</f>
        <v/>
      </c>
      <c r="AW345">
        <f>RAND()</f>
        <v/>
      </c>
      <c r="AX345">
        <f>RAND()</f>
        <v/>
      </c>
      <c r="AY345">
        <f>RAND()</f>
        <v/>
      </c>
      <c r="AZ345">
        <f>RAND()</f>
        <v/>
      </c>
    </row>
    <row r="346">
      <c r="AK346" t="n">
        <v>333</v>
      </c>
      <c r="AL346">
        <f>IFERROR(IF(AU346&lt;($AM$6-$AL$6)/($AN$6-$AL$6),$AL$6+SQRT(AU346*($AN$6-$AL$6)*($AM$6-$AL$6)),$AN$6-SQRT((1-AU346)*($AN$6-$AL$6)*($AN$6-$AM$6))),$AM$6)</f>
        <v/>
      </c>
      <c r="AM346">
        <f>IFERROR(IF(AV346&lt;($AM$7-$AL$7)/($AN$7-$AL$7),$AL$7+SQRT(AV346*($AN$7-$AL$7)*($AM$7-$AL$7)),$AN$7-SQRT((1-AV346)*($AN$7-$AL$7)*($AN$7-$AM$7))),$AM$7)</f>
        <v/>
      </c>
      <c r="AN346">
        <f>IFERROR(IF(AW346&lt;($AM$8-$AL$8)/($AN$8-$AL$8),$AL$8+SQRT(AW346*($AN$8-$AL$8)*($AM$8-$AL$8)),$AN$8-SQRT((1-AW346)*($AN$8-$AL$8)*($AN$8-$AM$8))),$AM$8)</f>
        <v/>
      </c>
      <c r="AO346">
        <f>IFERROR(IF(AX346&lt;($AM$9-$AL$9)/($AN$9-$AL$9),$AL$9+SQRT(AX346*($AN$9-$AL$9)*($AM$9-$AL$9)),$AN$9-SQRT((1-AX346)*($AN$9-$AL$9)*($AN$9-$AM$9))),$AM$9)</f>
        <v/>
      </c>
      <c r="AP346">
        <f>IFERROR(IF(AY346&lt;($AM$10-$AL$10)/($AN$10-$AL$10),$AL$10+SQRT(AY346*($AN$10-$AL$10)*($AM$10-$AL$10)),$AN$10-SQRT((1-AY346)*($AN$10-$AL$10)*($AN$10-$AM$10))),$AM$10)</f>
        <v/>
      </c>
      <c r="AQ346">
        <f>IFERROR(IF(AZ346&lt;($AM$11-$AL$11)/($AN$11-$AL$11),$AL$11+SQRT(AZ346*($AN$11-$AL$11)*($AM$11-$AL$11)),$AN$11-SQRT((1-AZ346)*($AN$11-$AL$11)*($AN$11-$AM$11))),$AM$11)</f>
        <v/>
      </c>
      <c r="AR346">
        <f>SUMPRODUCT((B24:B31&lt;=$B$6)*(C24:C31*AM346+D24:D31*AO346*$B$8*AQ346)/(1+AL346/100)^B24:B31)+C32*AM346*AP346/(1+AL346/100)^$B$6</f>
        <v/>
      </c>
      <c r="AS346">
        <f>SUMPRODUCT((K24:K26&lt;=$B$6)*(L24:L26*AN346+M24:M26*AO346*$B$8*AQ346)/(1+AL346/100)^K24:K26)+L27*AN346*AP346/(1+AL346/100)^$B$6</f>
        <v/>
      </c>
      <c r="AT346">
        <f>AS346-AR346</f>
        <v/>
      </c>
      <c r="AU346">
        <f>RAND()</f>
        <v/>
      </c>
      <c r="AV346">
        <f>RAND()</f>
        <v/>
      </c>
      <c r="AW346">
        <f>RAND()</f>
        <v/>
      </c>
      <c r="AX346">
        <f>RAND()</f>
        <v/>
      </c>
      <c r="AY346">
        <f>RAND()</f>
        <v/>
      </c>
      <c r="AZ346">
        <f>RAND()</f>
        <v/>
      </c>
    </row>
    <row r="347">
      <c r="AK347" t="n">
        <v>334</v>
      </c>
      <c r="AL347">
        <f>IFERROR(IF(AU347&lt;($AM$6-$AL$6)/($AN$6-$AL$6),$AL$6+SQRT(AU347*($AN$6-$AL$6)*($AM$6-$AL$6)),$AN$6-SQRT((1-AU347)*($AN$6-$AL$6)*($AN$6-$AM$6))),$AM$6)</f>
        <v/>
      </c>
      <c r="AM347">
        <f>IFERROR(IF(AV347&lt;($AM$7-$AL$7)/($AN$7-$AL$7),$AL$7+SQRT(AV347*($AN$7-$AL$7)*($AM$7-$AL$7)),$AN$7-SQRT((1-AV347)*($AN$7-$AL$7)*($AN$7-$AM$7))),$AM$7)</f>
        <v/>
      </c>
      <c r="AN347">
        <f>IFERROR(IF(AW347&lt;($AM$8-$AL$8)/($AN$8-$AL$8),$AL$8+SQRT(AW347*($AN$8-$AL$8)*($AM$8-$AL$8)),$AN$8-SQRT((1-AW347)*($AN$8-$AL$8)*($AN$8-$AM$8))),$AM$8)</f>
        <v/>
      </c>
      <c r="AO347">
        <f>IFERROR(IF(AX347&lt;($AM$9-$AL$9)/($AN$9-$AL$9),$AL$9+SQRT(AX347*($AN$9-$AL$9)*($AM$9-$AL$9)),$AN$9-SQRT((1-AX347)*($AN$9-$AL$9)*($AN$9-$AM$9))),$AM$9)</f>
        <v/>
      </c>
      <c r="AP347">
        <f>IFERROR(IF(AY347&lt;($AM$10-$AL$10)/($AN$10-$AL$10),$AL$10+SQRT(AY347*($AN$10-$AL$10)*($AM$10-$AL$10)),$AN$10-SQRT((1-AY347)*($AN$10-$AL$10)*($AN$10-$AM$10))),$AM$10)</f>
        <v/>
      </c>
      <c r="AQ347">
        <f>IFERROR(IF(AZ347&lt;($AM$11-$AL$11)/($AN$11-$AL$11),$AL$11+SQRT(AZ347*($AN$11-$AL$11)*($AM$11-$AL$11)),$AN$11-SQRT((1-AZ347)*($AN$11-$AL$11)*($AN$11-$AM$11))),$AM$11)</f>
        <v/>
      </c>
      <c r="AR347">
        <f>SUMPRODUCT((B24:B31&lt;=$B$6)*(C24:C31*AM347+D24:D31*AO347*$B$8*AQ347)/(1+AL347/100)^B24:B31)+C32*AM347*AP347/(1+AL347/100)^$B$6</f>
        <v/>
      </c>
      <c r="AS347">
        <f>SUMPRODUCT((K24:K26&lt;=$B$6)*(L24:L26*AN347+M24:M26*AO347*$B$8*AQ347)/(1+AL347/100)^K24:K26)+L27*AN347*AP347/(1+AL347/100)^$B$6</f>
        <v/>
      </c>
      <c r="AT347">
        <f>AS347-AR347</f>
        <v/>
      </c>
      <c r="AU347">
        <f>RAND()</f>
        <v/>
      </c>
      <c r="AV347">
        <f>RAND()</f>
        <v/>
      </c>
      <c r="AW347">
        <f>RAND()</f>
        <v/>
      </c>
      <c r="AX347">
        <f>RAND()</f>
        <v/>
      </c>
      <c r="AY347">
        <f>RAND()</f>
        <v/>
      </c>
      <c r="AZ347">
        <f>RAND()</f>
        <v/>
      </c>
    </row>
    <row r="348">
      <c r="AK348" t="n">
        <v>335</v>
      </c>
      <c r="AL348">
        <f>IFERROR(IF(AU348&lt;($AM$6-$AL$6)/($AN$6-$AL$6),$AL$6+SQRT(AU348*($AN$6-$AL$6)*($AM$6-$AL$6)),$AN$6-SQRT((1-AU348)*($AN$6-$AL$6)*($AN$6-$AM$6))),$AM$6)</f>
        <v/>
      </c>
      <c r="AM348">
        <f>IFERROR(IF(AV348&lt;($AM$7-$AL$7)/($AN$7-$AL$7),$AL$7+SQRT(AV348*($AN$7-$AL$7)*($AM$7-$AL$7)),$AN$7-SQRT((1-AV348)*($AN$7-$AL$7)*($AN$7-$AM$7))),$AM$7)</f>
        <v/>
      </c>
      <c r="AN348">
        <f>IFERROR(IF(AW348&lt;($AM$8-$AL$8)/($AN$8-$AL$8),$AL$8+SQRT(AW348*($AN$8-$AL$8)*($AM$8-$AL$8)),$AN$8-SQRT((1-AW348)*($AN$8-$AL$8)*($AN$8-$AM$8))),$AM$8)</f>
        <v/>
      </c>
      <c r="AO348">
        <f>IFERROR(IF(AX348&lt;($AM$9-$AL$9)/($AN$9-$AL$9),$AL$9+SQRT(AX348*($AN$9-$AL$9)*($AM$9-$AL$9)),$AN$9-SQRT((1-AX348)*($AN$9-$AL$9)*($AN$9-$AM$9))),$AM$9)</f>
        <v/>
      </c>
      <c r="AP348">
        <f>IFERROR(IF(AY348&lt;($AM$10-$AL$10)/($AN$10-$AL$10),$AL$10+SQRT(AY348*($AN$10-$AL$10)*($AM$10-$AL$10)),$AN$10-SQRT((1-AY348)*($AN$10-$AL$10)*($AN$10-$AM$10))),$AM$10)</f>
        <v/>
      </c>
      <c r="AQ348">
        <f>IFERROR(IF(AZ348&lt;($AM$11-$AL$11)/($AN$11-$AL$11),$AL$11+SQRT(AZ348*($AN$11-$AL$11)*($AM$11-$AL$11)),$AN$11-SQRT((1-AZ348)*($AN$11-$AL$11)*($AN$11-$AM$11))),$AM$11)</f>
        <v/>
      </c>
      <c r="AR348">
        <f>SUMPRODUCT((B24:B31&lt;=$B$6)*(C24:C31*AM348+D24:D31*AO348*$B$8*AQ348)/(1+AL348/100)^B24:B31)+C32*AM348*AP348/(1+AL348/100)^$B$6</f>
        <v/>
      </c>
      <c r="AS348">
        <f>SUMPRODUCT((K24:K26&lt;=$B$6)*(L24:L26*AN348+M24:M26*AO348*$B$8*AQ348)/(1+AL348/100)^K24:K26)+L27*AN348*AP348/(1+AL348/100)^$B$6</f>
        <v/>
      </c>
      <c r="AT348">
        <f>AS348-AR348</f>
        <v/>
      </c>
      <c r="AU348">
        <f>RAND()</f>
        <v/>
      </c>
      <c r="AV348">
        <f>RAND()</f>
        <v/>
      </c>
      <c r="AW348">
        <f>RAND()</f>
        <v/>
      </c>
      <c r="AX348">
        <f>RAND()</f>
        <v/>
      </c>
      <c r="AY348">
        <f>RAND()</f>
        <v/>
      </c>
      <c r="AZ348">
        <f>RAND()</f>
        <v/>
      </c>
    </row>
    <row r="349">
      <c r="AK349" t="n">
        <v>336</v>
      </c>
      <c r="AL349">
        <f>IFERROR(IF(AU349&lt;($AM$6-$AL$6)/($AN$6-$AL$6),$AL$6+SQRT(AU349*($AN$6-$AL$6)*($AM$6-$AL$6)),$AN$6-SQRT((1-AU349)*($AN$6-$AL$6)*($AN$6-$AM$6))),$AM$6)</f>
        <v/>
      </c>
      <c r="AM349">
        <f>IFERROR(IF(AV349&lt;($AM$7-$AL$7)/($AN$7-$AL$7),$AL$7+SQRT(AV349*($AN$7-$AL$7)*($AM$7-$AL$7)),$AN$7-SQRT((1-AV349)*($AN$7-$AL$7)*($AN$7-$AM$7))),$AM$7)</f>
        <v/>
      </c>
      <c r="AN349">
        <f>IFERROR(IF(AW349&lt;($AM$8-$AL$8)/($AN$8-$AL$8),$AL$8+SQRT(AW349*($AN$8-$AL$8)*($AM$8-$AL$8)),$AN$8-SQRT((1-AW349)*($AN$8-$AL$8)*($AN$8-$AM$8))),$AM$8)</f>
        <v/>
      </c>
      <c r="AO349">
        <f>IFERROR(IF(AX349&lt;($AM$9-$AL$9)/($AN$9-$AL$9),$AL$9+SQRT(AX349*($AN$9-$AL$9)*($AM$9-$AL$9)),$AN$9-SQRT((1-AX349)*($AN$9-$AL$9)*($AN$9-$AM$9))),$AM$9)</f>
        <v/>
      </c>
      <c r="AP349">
        <f>IFERROR(IF(AY349&lt;($AM$10-$AL$10)/($AN$10-$AL$10),$AL$10+SQRT(AY349*($AN$10-$AL$10)*($AM$10-$AL$10)),$AN$10-SQRT((1-AY349)*($AN$10-$AL$10)*($AN$10-$AM$10))),$AM$10)</f>
        <v/>
      </c>
      <c r="AQ349">
        <f>IFERROR(IF(AZ349&lt;($AM$11-$AL$11)/($AN$11-$AL$11),$AL$11+SQRT(AZ349*($AN$11-$AL$11)*($AM$11-$AL$11)),$AN$11-SQRT((1-AZ349)*($AN$11-$AL$11)*($AN$11-$AM$11))),$AM$11)</f>
        <v/>
      </c>
      <c r="AR349">
        <f>SUMPRODUCT((B24:B31&lt;=$B$6)*(C24:C31*AM349+D24:D31*AO349*$B$8*AQ349)/(1+AL349/100)^B24:B31)+C32*AM349*AP349/(1+AL349/100)^$B$6</f>
        <v/>
      </c>
      <c r="AS349">
        <f>SUMPRODUCT((K24:K26&lt;=$B$6)*(L24:L26*AN349+M24:M26*AO349*$B$8*AQ349)/(1+AL349/100)^K24:K26)+L27*AN349*AP349/(1+AL349/100)^$B$6</f>
        <v/>
      </c>
      <c r="AT349">
        <f>AS349-AR349</f>
        <v/>
      </c>
      <c r="AU349">
        <f>RAND()</f>
        <v/>
      </c>
      <c r="AV349">
        <f>RAND()</f>
        <v/>
      </c>
      <c r="AW349">
        <f>RAND()</f>
        <v/>
      </c>
      <c r="AX349">
        <f>RAND()</f>
        <v/>
      </c>
      <c r="AY349">
        <f>RAND()</f>
        <v/>
      </c>
      <c r="AZ349">
        <f>RAND()</f>
        <v/>
      </c>
    </row>
    <row r="350">
      <c r="AK350" t="n">
        <v>337</v>
      </c>
      <c r="AL350">
        <f>IFERROR(IF(AU350&lt;($AM$6-$AL$6)/($AN$6-$AL$6),$AL$6+SQRT(AU350*($AN$6-$AL$6)*($AM$6-$AL$6)),$AN$6-SQRT((1-AU350)*($AN$6-$AL$6)*($AN$6-$AM$6))),$AM$6)</f>
        <v/>
      </c>
      <c r="AM350">
        <f>IFERROR(IF(AV350&lt;($AM$7-$AL$7)/($AN$7-$AL$7),$AL$7+SQRT(AV350*($AN$7-$AL$7)*($AM$7-$AL$7)),$AN$7-SQRT((1-AV350)*($AN$7-$AL$7)*($AN$7-$AM$7))),$AM$7)</f>
        <v/>
      </c>
      <c r="AN350">
        <f>IFERROR(IF(AW350&lt;($AM$8-$AL$8)/($AN$8-$AL$8),$AL$8+SQRT(AW350*($AN$8-$AL$8)*($AM$8-$AL$8)),$AN$8-SQRT((1-AW350)*($AN$8-$AL$8)*($AN$8-$AM$8))),$AM$8)</f>
        <v/>
      </c>
      <c r="AO350">
        <f>IFERROR(IF(AX350&lt;($AM$9-$AL$9)/($AN$9-$AL$9),$AL$9+SQRT(AX350*($AN$9-$AL$9)*($AM$9-$AL$9)),$AN$9-SQRT((1-AX350)*($AN$9-$AL$9)*($AN$9-$AM$9))),$AM$9)</f>
        <v/>
      </c>
      <c r="AP350">
        <f>IFERROR(IF(AY350&lt;($AM$10-$AL$10)/($AN$10-$AL$10),$AL$10+SQRT(AY350*($AN$10-$AL$10)*($AM$10-$AL$10)),$AN$10-SQRT((1-AY350)*($AN$10-$AL$10)*($AN$10-$AM$10))),$AM$10)</f>
        <v/>
      </c>
      <c r="AQ350">
        <f>IFERROR(IF(AZ350&lt;($AM$11-$AL$11)/($AN$11-$AL$11),$AL$11+SQRT(AZ350*($AN$11-$AL$11)*($AM$11-$AL$11)),$AN$11-SQRT((1-AZ350)*($AN$11-$AL$11)*($AN$11-$AM$11))),$AM$11)</f>
        <v/>
      </c>
      <c r="AR350">
        <f>SUMPRODUCT((B24:B31&lt;=$B$6)*(C24:C31*AM350+D24:D31*AO350*$B$8*AQ350)/(1+AL350/100)^B24:B31)+C32*AM350*AP350/(1+AL350/100)^$B$6</f>
        <v/>
      </c>
      <c r="AS350">
        <f>SUMPRODUCT((K24:K26&lt;=$B$6)*(L24:L26*AN350+M24:M26*AO350*$B$8*AQ350)/(1+AL350/100)^K24:K26)+L27*AN350*AP350/(1+AL350/100)^$B$6</f>
        <v/>
      </c>
      <c r="AT350">
        <f>AS350-AR350</f>
        <v/>
      </c>
      <c r="AU350">
        <f>RAND()</f>
        <v/>
      </c>
      <c r="AV350">
        <f>RAND()</f>
        <v/>
      </c>
      <c r="AW350">
        <f>RAND()</f>
        <v/>
      </c>
      <c r="AX350">
        <f>RAND()</f>
        <v/>
      </c>
      <c r="AY350">
        <f>RAND()</f>
        <v/>
      </c>
      <c r="AZ350">
        <f>RAND()</f>
        <v/>
      </c>
    </row>
    <row r="351">
      <c r="AK351" t="n">
        <v>338</v>
      </c>
      <c r="AL351">
        <f>IFERROR(IF(AU351&lt;($AM$6-$AL$6)/($AN$6-$AL$6),$AL$6+SQRT(AU351*($AN$6-$AL$6)*($AM$6-$AL$6)),$AN$6-SQRT((1-AU351)*($AN$6-$AL$6)*($AN$6-$AM$6))),$AM$6)</f>
        <v/>
      </c>
      <c r="AM351">
        <f>IFERROR(IF(AV351&lt;($AM$7-$AL$7)/($AN$7-$AL$7),$AL$7+SQRT(AV351*($AN$7-$AL$7)*($AM$7-$AL$7)),$AN$7-SQRT((1-AV351)*($AN$7-$AL$7)*($AN$7-$AM$7))),$AM$7)</f>
        <v/>
      </c>
      <c r="AN351">
        <f>IFERROR(IF(AW351&lt;($AM$8-$AL$8)/($AN$8-$AL$8),$AL$8+SQRT(AW351*($AN$8-$AL$8)*($AM$8-$AL$8)),$AN$8-SQRT((1-AW351)*($AN$8-$AL$8)*($AN$8-$AM$8))),$AM$8)</f>
        <v/>
      </c>
      <c r="AO351">
        <f>IFERROR(IF(AX351&lt;($AM$9-$AL$9)/($AN$9-$AL$9),$AL$9+SQRT(AX351*($AN$9-$AL$9)*($AM$9-$AL$9)),$AN$9-SQRT((1-AX351)*($AN$9-$AL$9)*($AN$9-$AM$9))),$AM$9)</f>
        <v/>
      </c>
      <c r="AP351">
        <f>IFERROR(IF(AY351&lt;($AM$10-$AL$10)/($AN$10-$AL$10),$AL$10+SQRT(AY351*($AN$10-$AL$10)*($AM$10-$AL$10)),$AN$10-SQRT((1-AY351)*($AN$10-$AL$10)*($AN$10-$AM$10))),$AM$10)</f>
        <v/>
      </c>
      <c r="AQ351">
        <f>IFERROR(IF(AZ351&lt;($AM$11-$AL$11)/($AN$11-$AL$11),$AL$11+SQRT(AZ351*($AN$11-$AL$11)*($AM$11-$AL$11)),$AN$11-SQRT((1-AZ351)*($AN$11-$AL$11)*($AN$11-$AM$11))),$AM$11)</f>
        <v/>
      </c>
      <c r="AR351">
        <f>SUMPRODUCT((B24:B31&lt;=$B$6)*(C24:C31*AM351+D24:D31*AO351*$B$8*AQ351)/(1+AL351/100)^B24:B31)+C32*AM351*AP351/(1+AL351/100)^$B$6</f>
        <v/>
      </c>
      <c r="AS351">
        <f>SUMPRODUCT((K24:K26&lt;=$B$6)*(L24:L26*AN351+M24:M26*AO351*$B$8*AQ351)/(1+AL351/100)^K24:K26)+L27*AN351*AP351/(1+AL351/100)^$B$6</f>
        <v/>
      </c>
      <c r="AT351">
        <f>AS351-AR351</f>
        <v/>
      </c>
      <c r="AU351">
        <f>RAND()</f>
        <v/>
      </c>
      <c r="AV351">
        <f>RAND()</f>
        <v/>
      </c>
      <c r="AW351">
        <f>RAND()</f>
        <v/>
      </c>
      <c r="AX351">
        <f>RAND()</f>
        <v/>
      </c>
      <c r="AY351">
        <f>RAND()</f>
        <v/>
      </c>
      <c r="AZ351">
        <f>RAND()</f>
        <v/>
      </c>
    </row>
    <row r="352">
      <c r="AK352" t="n">
        <v>339</v>
      </c>
      <c r="AL352">
        <f>IFERROR(IF(AU352&lt;($AM$6-$AL$6)/($AN$6-$AL$6),$AL$6+SQRT(AU352*($AN$6-$AL$6)*($AM$6-$AL$6)),$AN$6-SQRT((1-AU352)*($AN$6-$AL$6)*($AN$6-$AM$6))),$AM$6)</f>
        <v/>
      </c>
      <c r="AM352">
        <f>IFERROR(IF(AV352&lt;($AM$7-$AL$7)/($AN$7-$AL$7),$AL$7+SQRT(AV352*($AN$7-$AL$7)*($AM$7-$AL$7)),$AN$7-SQRT((1-AV352)*($AN$7-$AL$7)*($AN$7-$AM$7))),$AM$7)</f>
        <v/>
      </c>
      <c r="AN352">
        <f>IFERROR(IF(AW352&lt;($AM$8-$AL$8)/($AN$8-$AL$8),$AL$8+SQRT(AW352*($AN$8-$AL$8)*($AM$8-$AL$8)),$AN$8-SQRT((1-AW352)*($AN$8-$AL$8)*($AN$8-$AM$8))),$AM$8)</f>
        <v/>
      </c>
      <c r="AO352">
        <f>IFERROR(IF(AX352&lt;($AM$9-$AL$9)/($AN$9-$AL$9),$AL$9+SQRT(AX352*($AN$9-$AL$9)*($AM$9-$AL$9)),$AN$9-SQRT((1-AX352)*($AN$9-$AL$9)*($AN$9-$AM$9))),$AM$9)</f>
        <v/>
      </c>
      <c r="AP352">
        <f>IFERROR(IF(AY352&lt;($AM$10-$AL$10)/($AN$10-$AL$10),$AL$10+SQRT(AY352*($AN$10-$AL$10)*($AM$10-$AL$10)),$AN$10-SQRT((1-AY352)*($AN$10-$AL$10)*($AN$10-$AM$10))),$AM$10)</f>
        <v/>
      </c>
      <c r="AQ352">
        <f>IFERROR(IF(AZ352&lt;($AM$11-$AL$11)/($AN$11-$AL$11),$AL$11+SQRT(AZ352*($AN$11-$AL$11)*($AM$11-$AL$11)),$AN$11-SQRT((1-AZ352)*($AN$11-$AL$11)*($AN$11-$AM$11))),$AM$11)</f>
        <v/>
      </c>
      <c r="AR352">
        <f>SUMPRODUCT((B24:B31&lt;=$B$6)*(C24:C31*AM352+D24:D31*AO352*$B$8*AQ352)/(1+AL352/100)^B24:B31)+C32*AM352*AP352/(1+AL352/100)^$B$6</f>
        <v/>
      </c>
      <c r="AS352">
        <f>SUMPRODUCT((K24:K26&lt;=$B$6)*(L24:L26*AN352+M24:M26*AO352*$B$8*AQ352)/(1+AL352/100)^K24:K26)+L27*AN352*AP352/(1+AL352/100)^$B$6</f>
        <v/>
      </c>
      <c r="AT352">
        <f>AS352-AR352</f>
        <v/>
      </c>
      <c r="AU352">
        <f>RAND()</f>
        <v/>
      </c>
      <c r="AV352">
        <f>RAND()</f>
        <v/>
      </c>
      <c r="AW352">
        <f>RAND()</f>
        <v/>
      </c>
      <c r="AX352">
        <f>RAND()</f>
        <v/>
      </c>
      <c r="AY352">
        <f>RAND()</f>
        <v/>
      </c>
      <c r="AZ352">
        <f>RAND()</f>
        <v/>
      </c>
    </row>
    <row r="353">
      <c r="AK353" t="n">
        <v>340</v>
      </c>
      <c r="AL353">
        <f>IFERROR(IF(AU353&lt;($AM$6-$AL$6)/($AN$6-$AL$6),$AL$6+SQRT(AU353*($AN$6-$AL$6)*($AM$6-$AL$6)),$AN$6-SQRT((1-AU353)*($AN$6-$AL$6)*($AN$6-$AM$6))),$AM$6)</f>
        <v/>
      </c>
      <c r="AM353">
        <f>IFERROR(IF(AV353&lt;($AM$7-$AL$7)/($AN$7-$AL$7),$AL$7+SQRT(AV353*($AN$7-$AL$7)*($AM$7-$AL$7)),$AN$7-SQRT((1-AV353)*($AN$7-$AL$7)*($AN$7-$AM$7))),$AM$7)</f>
        <v/>
      </c>
      <c r="AN353">
        <f>IFERROR(IF(AW353&lt;($AM$8-$AL$8)/($AN$8-$AL$8),$AL$8+SQRT(AW353*($AN$8-$AL$8)*($AM$8-$AL$8)),$AN$8-SQRT((1-AW353)*($AN$8-$AL$8)*($AN$8-$AM$8))),$AM$8)</f>
        <v/>
      </c>
      <c r="AO353">
        <f>IFERROR(IF(AX353&lt;($AM$9-$AL$9)/($AN$9-$AL$9),$AL$9+SQRT(AX353*($AN$9-$AL$9)*($AM$9-$AL$9)),$AN$9-SQRT((1-AX353)*($AN$9-$AL$9)*($AN$9-$AM$9))),$AM$9)</f>
        <v/>
      </c>
      <c r="AP353">
        <f>IFERROR(IF(AY353&lt;($AM$10-$AL$10)/($AN$10-$AL$10),$AL$10+SQRT(AY353*($AN$10-$AL$10)*($AM$10-$AL$10)),$AN$10-SQRT((1-AY353)*($AN$10-$AL$10)*($AN$10-$AM$10))),$AM$10)</f>
        <v/>
      </c>
      <c r="AQ353">
        <f>IFERROR(IF(AZ353&lt;($AM$11-$AL$11)/($AN$11-$AL$11),$AL$11+SQRT(AZ353*($AN$11-$AL$11)*($AM$11-$AL$11)),$AN$11-SQRT((1-AZ353)*($AN$11-$AL$11)*($AN$11-$AM$11))),$AM$11)</f>
        <v/>
      </c>
      <c r="AR353">
        <f>SUMPRODUCT((B24:B31&lt;=$B$6)*(C24:C31*AM353+D24:D31*AO353*$B$8*AQ353)/(1+AL353/100)^B24:B31)+C32*AM353*AP353/(1+AL353/100)^$B$6</f>
        <v/>
      </c>
      <c r="AS353">
        <f>SUMPRODUCT((K24:K26&lt;=$B$6)*(L24:L26*AN353+M24:M26*AO353*$B$8*AQ353)/(1+AL353/100)^K24:K26)+L27*AN353*AP353/(1+AL353/100)^$B$6</f>
        <v/>
      </c>
      <c r="AT353">
        <f>AS353-AR353</f>
        <v/>
      </c>
      <c r="AU353">
        <f>RAND()</f>
        <v/>
      </c>
      <c r="AV353">
        <f>RAND()</f>
        <v/>
      </c>
      <c r="AW353">
        <f>RAND()</f>
        <v/>
      </c>
      <c r="AX353">
        <f>RAND()</f>
        <v/>
      </c>
      <c r="AY353">
        <f>RAND()</f>
        <v/>
      </c>
      <c r="AZ353">
        <f>RAND()</f>
        <v/>
      </c>
    </row>
    <row r="354">
      <c r="AK354" t="n">
        <v>341</v>
      </c>
      <c r="AL354">
        <f>IFERROR(IF(AU354&lt;($AM$6-$AL$6)/($AN$6-$AL$6),$AL$6+SQRT(AU354*($AN$6-$AL$6)*($AM$6-$AL$6)),$AN$6-SQRT((1-AU354)*($AN$6-$AL$6)*($AN$6-$AM$6))),$AM$6)</f>
        <v/>
      </c>
      <c r="AM354">
        <f>IFERROR(IF(AV354&lt;($AM$7-$AL$7)/($AN$7-$AL$7),$AL$7+SQRT(AV354*($AN$7-$AL$7)*($AM$7-$AL$7)),$AN$7-SQRT((1-AV354)*($AN$7-$AL$7)*($AN$7-$AM$7))),$AM$7)</f>
        <v/>
      </c>
      <c r="AN354">
        <f>IFERROR(IF(AW354&lt;($AM$8-$AL$8)/($AN$8-$AL$8),$AL$8+SQRT(AW354*($AN$8-$AL$8)*($AM$8-$AL$8)),$AN$8-SQRT((1-AW354)*($AN$8-$AL$8)*($AN$8-$AM$8))),$AM$8)</f>
        <v/>
      </c>
      <c r="AO354">
        <f>IFERROR(IF(AX354&lt;($AM$9-$AL$9)/($AN$9-$AL$9),$AL$9+SQRT(AX354*($AN$9-$AL$9)*($AM$9-$AL$9)),$AN$9-SQRT((1-AX354)*($AN$9-$AL$9)*($AN$9-$AM$9))),$AM$9)</f>
        <v/>
      </c>
      <c r="AP354">
        <f>IFERROR(IF(AY354&lt;($AM$10-$AL$10)/($AN$10-$AL$10),$AL$10+SQRT(AY354*($AN$10-$AL$10)*($AM$10-$AL$10)),$AN$10-SQRT((1-AY354)*($AN$10-$AL$10)*($AN$10-$AM$10))),$AM$10)</f>
        <v/>
      </c>
      <c r="AQ354">
        <f>IFERROR(IF(AZ354&lt;($AM$11-$AL$11)/($AN$11-$AL$11),$AL$11+SQRT(AZ354*($AN$11-$AL$11)*($AM$11-$AL$11)),$AN$11-SQRT((1-AZ354)*($AN$11-$AL$11)*($AN$11-$AM$11))),$AM$11)</f>
        <v/>
      </c>
      <c r="AR354">
        <f>SUMPRODUCT((B24:B31&lt;=$B$6)*(C24:C31*AM354+D24:D31*AO354*$B$8*AQ354)/(1+AL354/100)^B24:B31)+C32*AM354*AP354/(1+AL354/100)^$B$6</f>
        <v/>
      </c>
      <c r="AS354">
        <f>SUMPRODUCT((K24:K26&lt;=$B$6)*(L24:L26*AN354+M24:M26*AO354*$B$8*AQ354)/(1+AL354/100)^K24:K26)+L27*AN354*AP354/(1+AL354/100)^$B$6</f>
        <v/>
      </c>
      <c r="AT354">
        <f>AS354-AR354</f>
        <v/>
      </c>
      <c r="AU354">
        <f>RAND()</f>
        <v/>
      </c>
      <c r="AV354">
        <f>RAND()</f>
        <v/>
      </c>
      <c r="AW354">
        <f>RAND()</f>
        <v/>
      </c>
      <c r="AX354">
        <f>RAND()</f>
        <v/>
      </c>
      <c r="AY354">
        <f>RAND()</f>
        <v/>
      </c>
      <c r="AZ354">
        <f>RAND()</f>
        <v/>
      </c>
    </row>
    <row r="355">
      <c r="AK355" t="n">
        <v>342</v>
      </c>
      <c r="AL355">
        <f>IFERROR(IF(AU355&lt;($AM$6-$AL$6)/($AN$6-$AL$6),$AL$6+SQRT(AU355*($AN$6-$AL$6)*($AM$6-$AL$6)),$AN$6-SQRT((1-AU355)*($AN$6-$AL$6)*($AN$6-$AM$6))),$AM$6)</f>
        <v/>
      </c>
      <c r="AM355">
        <f>IFERROR(IF(AV355&lt;($AM$7-$AL$7)/($AN$7-$AL$7),$AL$7+SQRT(AV355*($AN$7-$AL$7)*($AM$7-$AL$7)),$AN$7-SQRT((1-AV355)*($AN$7-$AL$7)*($AN$7-$AM$7))),$AM$7)</f>
        <v/>
      </c>
      <c r="AN355">
        <f>IFERROR(IF(AW355&lt;($AM$8-$AL$8)/($AN$8-$AL$8),$AL$8+SQRT(AW355*($AN$8-$AL$8)*($AM$8-$AL$8)),$AN$8-SQRT((1-AW355)*($AN$8-$AL$8)*($AN$8-$AM$8))),$AM$8)</f>
        <v/>
      </c>
      <c r="AO355">
        <f>IFERROR(IF(AX355&lt;($AM$9-$AL$9)/($AN$9-$AL$9),$AL$9+SQRT(AX355*($AN$9-$AL$9)*($AM$9-$AL$9)),$AN$9-SQRT((1-AX355)*($AN$9-$AL$9)*($AN$9-$AM$9))),$AM$9)</f>
        <v/>
      </c>
      <c r="AP355">
        <f>IFERROR(IF(AY355&lt;($AM$10-$AL$10)/($AN$10-$AL$10),$AL$10+SQRT(AY355*($AN$10-$AL$10)*($AM$10-$AL$10)),$AN$10-SQRT((1-AY355)*($AN$10-$AL$10)*($AN$10-$AM$10))),$AM$10)</f>
        <v/>
      </c>
      <c r="AQ355">
        <f>IFERROR(IF(AZ355&lt;($AM$11-$AL$11)/($AN$11-$AL$11),$AL$11+SQRT(AZ355*($AN$11-$AL$11)*($AM$11-$AL$11)),$AN$11-SQRT((1-AZ355)*($AN$11-$AL$11)*($AN$11-$AM$11))),$AM$11)</f>
        <v/>
      </c>
      <c r="AR355">
        <f>SUMPRODUCT((B24:B31&lt;=$B$6)*(C24:C31*AM355+D24:D31*AO355*$B$8*AQ355)/(1+AL355/100)^B24:B31)+C32*AM355*AP355/(1+AL355/100)^$B$6</f>
        <v/>
      </c>
      <c r="AS355">
        <f>SUMPRODUCT((K24:K26&lt;=$B$6)*(L24:L26*AN355+M24:M26*AO355*$B$8*AQ355)/(1+AL355/100)^K24:K26)+L27*AN355*AP355/(1+AL355/100)^$B$6</f>
        <v/>
      </c>
      <c r="AT355">
        <f>AS355-AR355</f>
        <v/>
      </c>
      <c r="AU355">
        <f>RAND()</f>
        <v/>
      </c>
      <c r="AV355">
        <f>RAND()</f>
        <v/>
      </c>
      <c r="AW355">
        <f>RAND()</f>
        <v/>
      </c>
      <c r="AX355">
        <f>RAND()</f>
        <v/>
      </c>
      <c r="AY355">
        <f>RAND()</f>
        <v/>
      </c>
      <c r="AZ355">
        <f>RAND()</f>
        <v/>
      </c>
    </row>
    <row r="356">
      <c r="AK356" t="n">
        <v>343</v>
      </c>
      <c r="AL356">
        <f>IFERROR(IF(AU356&lt;($AM$6-$AL$6)/($AN$6-$AL$6),$AL$6+SQRT(AU356*($AN$6-$AL$6)*($AM$6-$AL$6)),$AN$6-SQRT((1-AU356)*($AN$6-$AL$6)*($AN$6-$AM$6))),$AM$6)</f>
        <v/>
      </c>
      <c r="AM356">
        <f>IFERROR(IF(AV356&lt;($AM$7-$AL$7)/($AN$7-$AL$7),$AL$7+SQRT(AV356*($AN$7-$AL$7)*($AM$7-$AL$7)),$AN$7-SQRT((1-AV356)*($AN$7-$AL$7)*($AN$7-$AM$7))),$AM$7)</f>
        <v/>
      </c>
      <c r="AN356">
        <f>IFERROR(IF(AW356&lt;($AM$8-$AL$8)/($AN$8-$AL$8),$AL$8+SQRT(AW356*($AN$8-$AL$8)*($AM$8-$AL$8)),$AN$8-SQRT((1-AW356)*($AN$8-$AL$8)*($AN$8-$AM$8))),$AM$8)</f>
        <v/>
      </c>
      <c r="AO356">
        <f>IFERROR(IF(AX356&lt;($AM$9-$AL$9)/($AN$9-$AL$9),$AL$9+SQRT(AX356*($AN$9-$AL$9)*($AM$9-$AL$9)),$AN$9-SQRT((1-AX356)*($AN$9-$AL$9)*($AN$9-$AM$9))),$AM$9)</f>
        <v/>
      </c>
      <c r="AP356">
        <f>IFERROR(IF(AY356&lt;($AM$10-$AL$10)/($AN$10-$AL$10),$AL$10+SQRT(AY356*($AN$10-$AL$10)*($AM$10-$AL$10)),$AN$10-SQRT((1-AY356)*($AN$10-$AL$10)*($AN$10-$AM$10))),$AM$10)</f>
        <v/>
      </c>
      <c r="AQ356">
        <f>IFERROR(IF(AZ356&lt;($AM$11-$AL$11)/($AN$11-$AL$11),$AL$11+SQRT(AZ356*($AN$11-$AL$11)*($AM$11-$AL$11)),$AN$11-SQRT((1-AZ356)*($AN$11-$AL$11)*($AN$11-$AM$11))),$AM$11)</f>
        <v/>
      </c>
      <c r="AR356">
        <f>SUMPRODUCT((B24:B31&lt;=$B$6)*(C24:C31*AM356+D24:D31*AO356*$B$8*AQ356)/(1+AL356/100)^B24:B31)+C32*AM356*AP356/(1+AL356/100)^$B$6</f>
        <v/>
      </c>
      <c r="AS356">
        <f>SUMPRODUCT((K24:K26&lt;=$B$6)*(L24:L26*AN356+M24:M26*AO356*$B$8*AQ356)/(1+AL356/100)^K24:K26)+L27*AN356*AP356/(1+AL356/100)^$B$6</f>
        <v/>
      </c>
      <c r="AT356">
        <f>AS356-AR356</f>
        <v/>
      </c>
      <c r="AU356">
        <f>RAND()</f>
        <v/>
      </c>
      <c r="AV356">
        <f>RAND()</f>
        <v/>
      </c>
      <c r="AW356">
        <f>RAND()</f>
        <v/>
      </c>
      <c r="AX356">
        <f>RAND()</f>
        <v/>
      </c>
      <c r="AY356">
        <f>RAND()</f>
        <v/>
      </c>
      <c r="AZ356">
        <f>RAND()</f>
        <v/>
      </c>
    </row>
    <row r="357">
      <c r="AK357" t="n">
        <v>344</v>
      </c>
      <c r="AL357">
        <f>IFERROR(IF(AU357&lt;($AM$6-$AL$6)/($AN$6-$AL$6),$AL$6+SQRT(AU357*($AN$6-$AL$6)*($AM$6-$AL$6)),$AN$6-SQRT((1-AU357)*($AN$6-$AL$6)*($AN$6-$AM$6))),$AM$6)</f>
        <v/>
      </c>
      <c r="AM357">
        <f>IFERROR(IF(AV357&lt;($AM$7-$AL$7)/($AN$7-$AL$7),$AL$7+SQRT(AV357*($AN$7-$AL$7)*($AM$7-$AL$7)),$AN$7-SQRT((1-AV357)*($AN$7-$AL$7)*($AN$7-$AM$7))),$AM$7)</f>
        <v/>
      </c>
      <c r="AN357">
        <f>IFERROR(IF(AW357&lt;($AM$8-$AL$8)/($AN$8-$AL$8),$AL$8+SQRT(AW357*($AN$8-$AL$8)*($AM$8-$AL$8)),$AN$8-SQRT((1-AW357)*($AN$8-$AL$8)*($AN$8-$AM$8))),$AM$8)</f>
        <v/>
      </c>
      <c r="AO357">
        <f>IFERROR(IF(AX357&lt;($AM$9-$AL$9)/($AN$9-$AL$9),$AL$9+SQRT(AX357*($AN$9-$AL$9)*($AM$9-$AL$9)),$AN$9-SQRT((1-AX357)*($AN$9-$AL$9)*($AN$9-$AM$9))),$AM$9)</f>
        <v/>
      </c>
      <c r="AP357">
        <f>IFERROR(IF(AY357&lt;($AM$10-$AL$10)/($AN$10-$AL$10),$AL$10+SQRT(AY357*($AN$10-$AL$10)*($AM$10-$AL$10)),$AN$10-SQRT((1-AY357)*($AN$10-$AL$10)*($AN$10-$AM$10))),$AM$10)</f>
        <v/>
      </c>
      <c r="AQ357">
        <f>IFERROR(IF(AZ357&lt;($AM$11-$AL$11)/($AN$11-$AL$11),$AL$11+SQRT(AZ357*($AN$11-$AL$11)*($AM$11-$AL$11)),$AN$11-SQRT((1-AZ357)*($AN$11-$AL$11)*($AN$11-$AM$11))),$AM$11)</f>
        <v/>
      </c>
      <c r="AR357">
        <f>SUMPRODUCT((B24:B31&lt;=$B$6)*(C24:C31*AM357+D24:D31*AO357*$B$8*AQ357)/(1+AL357/100)^B24:B31)+C32*AM357*AP357/(1+AL357/100)^$B$6</f>
        <v/>
      </c>
      <c r="AS357">
        <f>SUMPRODUCT((K24:K26&lt;=$B$6)*(L24:L26*AN357+M24:M26*AO357*$B$8*AQ357)/(1+AL357/100)^K24:K26)+L27*AN357*AP357/(1+AL357/100)^$B$6</f>
        <v/>
      </c>
      <c r="AT357">
        <f>AS357-AR357</f>
        <v/>
      </c>
      <c r="AU357">
        <f>RAND()</f>
        <v/>
      </c>
      <c r="AV357">
        <f>RAND()</f>
        <v/>
      </c>
      <c r="AW357">
        <f>RAND()</f>
        <v/>
      </c>
      <c r="AX357">
        <f>RAND()</f>
        <v/>
      </c>
      <c r="AY357">
        <f>RAND()</f>
        <v/>
      </c>
      <c r="AZ357">
        <f>RAND()</f>
        <v/>
      </c>
    </row>
    <row r="358">
      <c r="AK358" t="n">
        <v>345</v>
      </c>
      <c r="AL358">
        <f>IFERROR(IF(AU358&lt;($AM$6-$AL$6)/($AN$6-$AL$6),$AL$6+SQRT(AU358*($AN$6-$AL$6)*($AM$6-$AL$6)),$AN$6-SQRT((1-AU358)*($AN$6-$AL$6)*($AN$6-$AM$6))),$AM$6)</f>
        <v/>
      </c>
      <c r="AM358">
        <f>IFERROR(IF(AV358&lt;($AM$7-$AL$7)/($AN$7-$AL$7),$AL$7+SQRT(AV358*($AN$7-$AL$7)*($AM$7-$AL$7)),$AN$7-SQRT((1-AV358)*($AN$7-$AL$7)*($AN$7-$AM$7))),$AM$7)</f>
        <v/>
      </c>
      <c r="AN358">
        <f>IFERROR(IF(AW358&lt;($AM$8-$AL$8)/($AN$8-$AL$8),$AL$8+SQRT(AW358*($AN$8-$AL$8)*($AM$8-$AL$8)),$AN$8-SQRT((1-AW358)*($AN$8-$AL$8)*($AN$8-$AM$8))),$AM$8)</f>
        <v/>
      </c>
      <c r="AO358">
        <f>IFERROR(IF(AX358&lt;($AM$9-$AL$9)/($AN$9-$AL$9),$AL$9+SQRT(AX358*($AN$9-$AL$9)*($AM$9-$AL$9)),$AN$9-SQRT((1-AX358)*($AN$9-$AL$9)*($AN$9-$AM$9))),$AM$9)</f>
        <v/>
      </c>
      <c r="AP358">
        <f>IFERROR(IF(AY358&lt;($AM$10-$AL$10)/($AN$10-$AL$10),$AL$10+SQRT(AY358*($AN$10-$AL$10)*($AM$10-$AL$10)),$AN$10-SQRT((1-AY358)*($AN$10-$AL$10)*($AN$10-$AM$10))),$AM$10)</f>
        <v/>
      </c>
      <c r="AQ358">
        <f>IFERROR(IF(AZ358&lt;($AM$11-$AL$11)/($AN$11-$AL$11),$AL$11+SQRT(AZ358*($AN$11-$AL$11)*($AM$11-$AL$11)),$AN$11-SQRT((1-AZ358)*($AN$11-$AL$11)*($AN$11-$AM$11))),$AM$11)</f>
        <v/>
      </c>
      <c r="AR358">
        <f>SUMPRODUCT((B24:B31&lt;=$B$6)*(C24:C31*AM358+D24:D31*AO358*$B$8*AQ358)/(1+AL358/100)^B24:B31)+C32*AM358*AP358/(1+AL358/100)^$B$6</f>
        <v/>
      </c>
      <c r="AS358">
        <f>SUMPRODUCT((K24:K26&lt;=$B$6)*(L24:L26*AN358+M24:M26*AO358*$B$8*AQ358)/(1+AL358/100)^K24:K26)+L27*AN358*AP358/(1+AL358/100)^$B$6</f>
        <v/>
      </c>
      <c r="AT358">
        <f>AS358-AR358</f>
        <v/>
      </c>
      <c r="AU358">
        <f>RAND()</f>
        <v/>
      </c>
      <c r="AV358">
        <f>RAND()</f>
        <v/>
      </c>
      <c r="AW358">
        <f>RAND()</f>
        <v/>
      </c>
      <c r="AX358">
        <f>RAND()</f>
        <v/>
      </c>
      <c r="AY358">
        <f>RAND()</f>
        <v/>
      </c>
      <c r="AZ358">
        <f>RAND()</f>
        <v/>
      </c>
    </row>
    <row r="359">
      <c r="AK359" t="n">
        <v>346</v>
      </c>
      <c r="AL359">
        <f>IFERROR(IF(AU359&lt;($AM$6-$AL$6)/($AN$6-$AL$6),$AL$6+SQRT(AU359*($AN$6-$AL$6)*($AM$6-$AL$6)),$AN$6-SQRT((1-AU359)*($AN$6-$AL$6)*($AN$6-$AM$6))),$AM$6)</f>
        <v/>
      </c>
      <c r="AM359">
        <f>IFERROR(IF(AV359&lt;($AM$7-$AL$7)/($AN$7-$AL$7),$AL$7+SQRT(AV359*($AN$7-$AL$7)*($AM$7-$AL$7)),$AN$7-SQRT((1-AV359)*($AN$7-$AL$7)*($AN$7-$AM$7))),$AM$7)</f>
        <v/>
      </c>
      <c r="AN359">
        <f>IFERROR(IF(AW359&lt;($AM$8-$AL$8)/($AN$8-$AL$8),$AL$8+SQRT(AW359*($AN$8-$AL$8)*($AM$8-$AL$8)),$AN$8-SQRT((1-AW359)*($AN$8-$AL$8)*($AN$8-$AM$8))),$AM$8)</f>
        <v/>
      </c>
      <c r="AO359">
        <f>IFERROR(IF(AX359&lt;($AM$9-$AL$9)/($AN$9-$AL$9),$AL$9+SQRT(AX359*($AN$9-$AL$9)*($AM$9-$AL$9)),$AN$9-SQRT((1-AX359)*($AN$9-$AL$9)*($AN$9-$AM$9))),$AM$9)</f>
        <v/>
      </c>
      <c r="AP359">
        <f>IFERROR(IF(AY359&lt;($AM$10-$AL$10)/($AN$10-$AL$10),$AL$10+SQRT(AY359*($AN$10-$AL$10)*($AM$10-$AL$10)),$AN$10-SQRT((1-AY359)*($AN$10-$AL$10)*($AN$10-$AM$10))),$AM$10)</f>
        <v/>
      </c>
      <c r="AQ359">
        <f>IFERROR(IF(AZ359&lt;($AM$11-$AL$11)/($AN$11-$AL$11),$AL$11+SQRT(AZ359*($AN$11-$AL$11)*($AM$11-$AL$11)),$AN$11-SQRT((1-AZ359)*($AN$11-$AL$11)*($AN$11-$AM$11))),$AM$11)</f>
        <v/>
      </c>
      <c r="AR359">
        <f>SUMPRODUCT((B24:B31&lt;=$B$6)*(C24:C31*AM359+D24:D31*AO359*$B$8*AQ359)/(1+AL359/100)^B24:B31)+C32*AM359*AP359/(1+AL359/100)^$B$6</f>
        <v/>
      </c>
      <c r="AS359">
        <f>SUMPRODUCT((K24:K26&lt;=$B$6)*(L24:L26*AN359+M24:M26*AO359*$B$8*AQ359)/(1+AL359/100)^K24:K26)+L27*AN359*AP359/(1+AL359/100)^$B$6</f>
        <v/>
      </c>
      <c r="AT359">
        <f>AS359-AR359</f>
        <v/>
      </c>
      <c r="AU359">
        <f>RAND()</f>
        <v/>
      </c>
      <c r="AV359">
        <f>RAND()</f>
        <v/>
      </c>
      <c r="AW359">
        <f>RAND()</f>
        <v/>
      </c>
      <c r="AX359">
        <f>RAND()</f>
        <v/>
      </c>
      <c r="AY359">
        <f>RAND()</f>
        <v/>
      </c>
      <c r="AZ359">
        <f>RAND()</f>
        <v/>
      </c>
    </row>
    <row r="360">
      <c r="AK360" t="n">
        <v>347</v>
      </c>
      <c r="AL360">
        <f>IFERROR(IF(AU360&lt;($AM$6-$AL$6)/($AN$6-$AL$6),$AL$6+SQRT(AU360*($AN$6-$AL$6)*($AM$6-$AL$6)),$AN$6-SQRT((1-AU360)*($AN$6-$AL$6)*($AN$6-$AM$6))),$AM$6)</f>
        <v/>
      </c>
      <c r="AM360">
        <f>IFERROR(IF(AV360&lt;($AM$7-$AL$7)/($AN$7-$AL$7),$AL$7+SQRT(AV360*($AN$7-$AL$7)*($AM$7-$AL$7)),$AN$7-SQRT((1-AV360)*($AN$7-$AL$7)*($AN$7-$AM$7))),$AM$7)</f>
        <v/>
      </c>
      <c r="AN360">
        <f>IFERROR(IF(AW360&lt;($AM$8-$AL$8)/($AN$8-$AL$8),$AL$8+SQRT(AW360*($AN$8-$AL$8)*($AM$8-$AL$8)),$AN$8-SQRT((1-AW360)*($AN$8-$AL$8)*($AN$8-$AM$8))),$AM$8)</f>
        <v/>
      </c>
      <c r="AO360">
        <f>IFERROR(IF(AX360&lt;($AM$9-$AL$9)/($AN$9-$AL$9),$AL$9+SQRT(AX360*($AN$9-$AL$9)*($AM$9-$AL$9)),$AN$9-SQRT((1-AX360)*($AN$9-$AL$9)*($AN$9-$AM$9))),$AM$9)</f>
        <v/>
      </c>
      <c r="AP360">
        <f>IFERROR(IF(AY360&lt;($AM$10-$AL$10)/($AN$10-$AL$10),$AL$10+SQRT(AY360*($AN$10-$AL$10)*($AM$10-$AL$10)),$AN$10-SQRT((1-AY360)*($AN$10-$AL$10)*($AN$10-$AM$10))),$AM$10)</f>
        <v/>
      </c>
      <c r="AQ360">
        <f>IFERROR(IF(AZ360&lt;($AM$11-$AL$11)/($AN$11-$AL$11),$AL$11+SQRT(AZ360*($AN$11-$AL$11)*($AM$11-$AL$11)),$AN$11-SQRT((1-AZ360)*($AN$11-$AL$11)*($AN$11-$AM$11))),$AM$11)</f>
        <v/>
      </c>
      <c r="AR360">
        <f>SUMPRODUCT((B24:B31&lt;=$B$6)*(C24:C31*AM360+D24:D31*AO360*$B$8*AQ360)/(1+AL360/100)^B24:B31)+C32*AM360*AP360/(1+AL360/100)^$B$6</f>
        <v/>
      </c>
      <c r="AS360">
        <f>SUMPRODUCT((K24:K26&lt;=$B$6)*(L24:L26*AN360+M24:M26*AO360*$B$8*AQ360)/(1+AL360/100)^K24:K26)+L27*AN360*AP360/(1+AL360/100)^$B$6</f>
        <v/>
      </c>
      <c r="AT360">
        <f>AS360-AR360</f>
        <v/>
      </c>
      <c r="AU360">
        <f>RAND()</f>
        <v/>
      </c>
      <c r="AV360">
        <f>RAND()</f>
        <v/>
      </c>
      <c r="AW360">
        <f>RAND()</f>
        <v/>
      </c>
      <c r="AX360">
        <f>RAND()</f>
        <v/>
      </c>
      <c r="AY360">
        <f>RAND()</f>
        <v/>
      </c>
      <c r="AZ360">
        <f>RAND()</f>
        <v/>
      </c>
    </row>
    <row r="361">
      <c r="AK361" t="n">
        <v>348</v>
      </c>
      <c r="AL361">
        <f>IFERROR(IF(AU361&lt;($AM$6-$AL$6)/($AN$6-$AL$6),$AL$6+SQRT(AU361*($AN$6-$AL$6)*($AM$6-$AL$6)),$AN$6-SQRT((1-AU361)*($AN$6-$AL$6)*($AN$6-$AM$6))),$AM$6)</f>
        <v/>
      </c>
      <c r="AM361">
        <f>IFERROR(IF(AV361&lt;($AM$7-$AL$7)/($AN$7-$AL$7),$AL$7+SQRT(AV361*($AN$7-$AL$7)*($AM$7-$AL$7)),$AN$7-SQRT((1-AV361)*($AN$7-$AL$7)*($AN$7-$AM$7))),$AM$7)</f>
        <v/>
      </c>
      <c r="AN361">
        <f>IFERROR(IF(AW361&lt;($AM$8-$AL$8)/($AN$8-$AL$8),$AL$8+SQRT(AW361*($AN$8-$AL$8)*($AM$8-$AL$8)),$AN$8-SQRT((1-AW361)*($AN$8-$AL$8)*($AN$8-$AM$8))),$AM$8)</f>
        <v/>
      </c>
      <c r="AO361">
        <f>IFERROR(IF(AX361&lt;($AM$9-$AL$9)/($AN$9-$AL$9),$AL$9+SQRT(AX361*($AN$9-$AL$9)*($AM$9-$AL$9)),$AN$9-SQRT((1-AX361)*($AN$9-$AL$9)*($AN$9-$AM$9))),$AM$9)</f>
        <v/>
      </c>
      <c r="AP361">
        <f>IFERROR(IF(AY361&lt;($AM$10-$AL$10)/($AN$10-$AL$10),$AL$10+SQRT(AY361*($AN$10-$AL$10)*($AM$10-$AL$10)),$AN$10-SQRT((1-AY361)*($AN$10-$AL$10)*($AN$10-$AM$10))),$AM$10)</f>
        <v/>
      </c>
      <c r="AQ361">
        <f>IFERROR(IF(AZ361&lt;($AM$11-$AL$11)/($AN$11-$AL$11),$AL$11+SQRT(AZ361*($AN$11-$AL$11)*($AM$11-$AL$11)),$AN$11-SQRT((1-AZ361)*($AN$11-$AL$11)*($AN$11-$AM$11))),$AM$11)</f>
        <v/>
      </c>
      <c r="AR361">
        <f>SUMPRODUCT((B24:B31&lt;=$B$6)*(C24:C31*AM361+D24:D31*AO361*$B$8*AQ361)/(1+AL361/100)^B24:B31)+C32*AM361*AP361/(1+AL361/100)^$B$6</f>
        <v/>
      </c>
      <c r="AS361">
        <f>SUMPRODUCT((K24:K26&lt;=$B$6)*(L24:L26*AN361+M24:M26*AO361*$B$8*AQ361)/(1+AL361/100)^K24:K26)+L27*AN361*AP361/(1+AL361/100)^$B$6</f>
        <v/>
      </c>
      <c r="AT361">
        <f>AS361-AR361</f>
        <v/>
      </c>
      <c r="AU361">
        <f>RAND()</f>
        <v/>
      </c>
      <c r="AV361">
        <f>RAND()</f>
        <v/>
      </c>
      <c r="AW361">
        <f>RAND()</f>
        <v/>
      </c>
      <c r="AX361">
        <f>RAND()</f>
        <v/>
      </c>
      <c r="AY361">
        <f>RAND()</f>
        <v/>
      </c>
      <c r="AZ361">
        <f>RAND()</f>
        <v/>
      </c>
    </row>
    <row r="362">
      <c r="AK362" t="n">
        <v>349</v>
      </c>
      <c r="AL362">
        <f>IFERROR(IF(AU362&lt;($AM$6-$AL$6)/($AN$6-$AL$6),$AL$6+SQRT(AU362*($AN$6-$AL$6)*($AM$6-$AL$6)),$AN$6-SQRT((1-AU362)*($AN$6-$AL$6)*($AN$6-$AM$6))),$AM$6)</f>
        <v/>
      </c>
      <c r="AM362">
        <f>IFERROR(IF(AV362&lt;($AM$7-$AL$7)/($AN$7-$AL$7),$AL$7+SQRT(AV362*($AN$7-$AL$7)*($AM$7-$AL$7)),$AN$7-SQRT((1-AV362)*($AN$7-$AL$7)*($AN$7-$AM$7))),$AM$7)</f>
        <v/>
      </c>
      <c r="AN362">
        <f>IFERROR(IF(AW362&lt;($AM$8-$AL$8)/($AN$8-$AL$8),$AL$8+SQRT(AW362*($AN$8-$AL$8)*($AM$8-$AL$8)),$AN$8-SQRT((1-AW362)*($AN$8-$AL$8)*($AN$8-$AM$8))),$AM$8)</f>
        <v/>
      </c>
      <c r="AO362">
        <f>IFERROR(IF(AX362&lt;($AM$9-$AL$9)/($AN$9-$AL$9),$AL$9+SQRT(AX362*($AN$9-$AL$9)*($AM$9-$AL$9)),$AN$9-SQRT((1-AX362)*($AN$9-$AL$9)*($AN$9-$AM$9))),$AM$9)</f>
        <v/>
      </c>
      <c r="AP362">
        <f>IFERROR(IF(AY362&lt;($AM$10-$AL$10)/($AN$10-$AL$10),$AL$10+SQRT(AY362*($AN$10-$AL$10)*($AM$10-$AL$10)),$AN$10-SQRT((1-AY362)*($AN$10-$AL$10)*($AN$10-$AM$10))),$AM$10)</f>
        <v/>
      </c>
      <c r="AQ362">
        <f>IFERROR(IF(AZ362&lt;($AM$11-$AL$11)/($AN$11-$AL$11),$AL$11+SQRT(AZ362*($AN$11-$AL$11)*($AM$11-$AL$11)),$AN$11-SQRT((1-AZ362)*($AN$11-$AL$11)*($AN$11-$AM$11))),$AM$11)</f>
        <v/>
      </c>
      <c r="AR362">
        <f>SUMPRODUCT((B24:B31&lt;=$B$6)*(C24:C31*AM362+D24:D31*AO362*$B$8*AQ362)/(1+AL362/100)^B24:B31)+C32*AM362*AP362/(1+AL362/100)^$B$6</f>
        <v/>
      </c>
      <c r="AS362">
        <f>SUMPRODUCT((K24:K26&lt;=$B$6)*(L24:L26*AN362+M24:M26*AO362*$B$8*AQ362)/(1+AL362/100)^K24:K26)+L27*AN362*AP362/(1+AL362/100)^$B$6</f>
        <v/>
      </c>
      <c r="AT362">
        <f>AS362-AR362</f>
        <v/>
      </c>
      <c r="AU362">
        <f>RAND()</f>
        <v/>
      </c>
      <c r="AV362">
        <f>RAND()</f>
        <v/>
      </c>
      <c r="AW362">
        <f>RAND()</f>
        <v/>
      </c>
      <c r="AX362">
        <f>RAND()</f>
        <v/>
      </c>
      <c r="AY362">
        <f>RAND()</f>
        <v/>
      </c>
      <c r="AZ362">
        <f>RAND()</f>
        <v/>
      </c>
    </row>
    <row r="363">
      <c r="AK363" t="n">
        <v>350</v>
      </c>
      <c r="AL363">
        <f>IFERROR(IF(AU363&lt;($AM$6-$AL$6)/($AN$6-$AL$6),$AL$6+SQRT(AU363*($AN$6-$AL$6)*($AM$6-$AL$6)),$AN$6-SQRT((1-AU363)*($AN$6-$AL$6)*($AN$6-$AM$6))),$AM$6)</f>
        <v/>
      </c>
      <c r="AM363">
        <f>IFERROR(IF(AV363&lt;($AM$7-$AL$7)/($AN$7-$AL$7),$AL$7+SQRT(AV363*($AN$7-$AL$7)*($AM$7-$AL$7)),$AN$7-SQRT((1-AV363)*($AN$7-$AL$7)*($AN$7-$AM$7))),$AM$7)</f>
        <v/>
      </c>
      <c r="AN363">
        <f>IFERROR(IF(AW363&lt;($AM$8-$AL$8)/($AN$8-$AL$8),$AL$8+SQRT(AW363*($AN$8-$AL$8)*($AM$8-$AL$8)),$AN$8-SQRT((1-AW363)*($AN$8-$AL$8)*($AN$8-$AM$8))),$AM$8)</f>
        <v/>
      </c>
      <c r="AO363">
        <f>IFERROR(IF(AX363&lt;($AM$9-$AL$9)/($AN$9-$AL$9),$AL$9+SQRT(AX363*($AN$9-$AL$9)*($AM$9-$AL$9)),$AN$9-SQRT((1-AX363)*($AN$9-$AL$9)*($AN$9-$AM$9))),$AM$9)</f>
        <v/>
      </c>
      <c r="AP363">
        <f>IFERROR(IF(AY363&lt;($AM$10-$AL$10)/($AN$10-$AL$10),$AL$10+SQRT(AY363*($AN$10-$AL$10)*($AM$10-$AL$10)),$AN$10-SQRT((1-AY363)*($AN$10-$AL$10)*($AN$10-$AM$10))),$AM$10)</f>
        <v/>
      </c>
      <c r="AQ363">
        <f>IFERROR(IF(AZ363&lt;($AM$11-$AL$11)/($AN$11-$AL$11),$AL$11+SQRT(AZ363*($AN$11-$AL$11)*($AM$11-$AL$11)),$AN$11-SQRT((1-AZ363)*($AN$11-$AL$11)*($AN$11-$AM$11))),$AM$11)</f>
        <v/>
      </c>
      <c r="AR363">
        <f>SUMPRODUCT((B24:B31&lt;=$B$6)*(C24:C31*AM363+D24:D31*AO363*$B$8*AQ363)/(1+AL363/100)^B24:B31)+C32*AM363*AP363/(1+AL363/100)^$B$6</f>
        <v/>
      </c>
      <c r="AS363">
        <f>SUMPRODUCT((K24:K26&lt;=$B$6)*(L24:L26*AN363+M24:M26*AO363*$B$8*AQ363)/(1+AL363/100)^K24:K26)+L27*AN363*AP363/(1+AL363/100)^$B$6</f>
        <v/>
      </c>
      <c r="AT363">
        <f>AS363-AR363</f>
        <v/>
      </c>
      <c r="AU363">
        <f>RAND()</f>
        <v/>
      </c>
      <c r="AV363">
        <f>RAND()</f>
        <v/>
      </c>
      <c r="AW363">
        <f>RAND()</f>
        <v/>
      </c>
      <c r="AX363">
        <f>RAND()</f>
        <v/>
      </c>
      <c r="AY363">
        <f>RAND()</f>
        <v/>
      </c>
      <c r="AZ363">
        <f>RAND()</f>
        <v/>
      </c>
    </row>
    <row r="364">
      <c r="AK364" t="n">
        <v>351</v>
      </c>
      <c r="AL364">
        <f>IFERROR(IF(AU364&lt;($AM$6-$AL$6)/($AN$6-$AL$6),$AL$6+SQRT(AU364*($AN$6-$AL$6)*($AM$6-$AL$6)),$AN$6-SQRT((1-AU364)*($AN$6-$AL$6)*($AN$6-$AM$6))),$AM$6)</f>
        <v/>
      </c>
      <c r="AM364">
        <f>IFERROR(IF(AV364&lt;($AM$7-$AL$7)/($AN$7-$AL$7),$AL$7+SQRT(AV364*($AN$7-$AL$7)*($AM$7-$AL$7)),$AN$7-SQRT((1-AV364)*($AN$7-$AL$7)*($AN$7-$AM$7))),$AM$7)</f>
        <v/>
      </c>
      <c r="AN364">
        <f>IFERROR(IF(AW364&lt;($AM$8-$AL$8)/($AN$8-$AL$8),$AL$8+SQRT(AW364*($AN$8-$AL$8)*($AM$8-$AL$8)),$AN$8-SQRT((1-AW364)*($AN$8-$AL$8)*($AN$8-$AM$8))),$AM$8)</f>
        <v/>
      </c>
      <c r="AO364">
        <f>IFERROR(IF(AX364&lt;($AM$9-$AL$9)/($AN$9-$AL$9),$AL$9+SQRT(AX364*($AN$9-$AL$9)*($AM$9-$AL$9)),$AN$9-SQRT((1-AX364)*($AN$9-$AL$9)*($AN$9-$AM$9))),$AM$9)</f>
        <v/>
      </c>
      <c r="AP364">
        <f>IFERROR(IF(AY364&lt;($AM$10-$AL$10)/($AN$10-$AL$10),$AL$10+SQRT(AY364*($AN$10-$AL$10)*($AM$10-$AL$10)),$AN$10-SQRT((1-AY364)*($AN$10-$AL$10)*($AN$10-$AM$10))),$AM$10)</f>
        <v/>
      </c>
      <c r="AQ364">
        <f>IFERROR(IF(AZ364&lt;($AM$11-$AL$11)/($AN$11-$AL$11),$AL$11+SQRT(AZ364*($AN$11-$AL$11)*($AM$11-$AL$11)),$AN$11-SQRT((1-AZ364)*($AN$11-$AL$11)*($AN$11-$AM$11))),$AM$11)</f>
        <v/>
      </c>
      <c r="AR364">
        <f>SUMPRODUCT((B24:B31&lt;=$B$6)*(C24:C31*AM364+D24:D31*AO364*$B$8*AQ364)/(1+AL364/100)^B24:B31)+C32*AM364*AP364/(1+AL364/100)^$B$6</f>
        <v/>
      </c>
      <c r="AS364">
        <f>SUMPRODUCT((K24:K26&lt;=$B$6)*(L24:L26*AN364+M24:M26*AO364*$B$8*AQ364)/(1+AL364/100)^K24:K26)+L27*AN364*AP364/(1+AL364/100)^$B$6</f>
        <v/>
      </c>
      <c r="AT364">
        <f>AS364-AR364</f>
        <v/>
      </c>
      <c r="AU364">
        <f>RAND()</f>
        <v/>
      </c>
      <c r="AV364">
        <f>RAND()</f>
        <v/>
      </c>
      <c r="AW364">
        <f>RAND()</f>
        <v/>
      </c>
      <c r="AX364">
        <f>RAND()</f>
        <v/>
      </c>
      <c r="AY364">
        <f>RAND()</f>
        <v/>
      </c>
      <c r="AZ364">
        <f>RAND()</f>
        <v/>
      </c>
    </row>
    <row r="365">
      <c r="AK365" t="n">
        <v>352</v>
      </c>
      <c r="AL365">
        <f>IFERROR(IF(AU365&lt;($AM$6-$AL$6)/($AN$6-$AL$6),$AL$6+SQRT(AU365*($AN$6-$AL$6)*($AM$6-$AL$6)),$AN$6-SQRT((1-AU365)*($AN$6-$AL$6)*($AN$6-$AM$6))),$AM$6)</f>
        <v/>
      </c>
      <c r="AM365">
        <f>IFERROR(IF(AV365&lt;($AM$7-$AL$7)/($AN$7-$AL$7),$AL$7+SQRT(AV365*($AN$7-$AL$7)*($AM$7-$AL$7)),$AN$7-SQRT((1-AV365)*($AN$7-$AL$7)*($AN$7-$AM$7))),$AM$7)</f>
        <v/>
      </c>
      <c r="AN365">
        <f>IFERROR(IF(AW365&lt;($AM$8-$AL$8)/($AN$8-$AL$8),$AL$8+SQRT(AW365*($AN$8-$AL$8)*($AM$8-$AL$8)),$AN$8-SQRT((1-AW365)*($AN$8-$AL$8)*($AN$8-$AM$8))),$AM$8)</f>
        <v/>
      </c>
      <c r="AO365">
        <f>IFERROR(IF(AX365&lt;($AM$9-$AL$9)/($AN$9-$AL$9),$AL$9+SQRT(AX365*($AN$9-$AL$9)*($AM$9-$AL$9)),$AN$9-SQRT((1-AX365)*($AN$9-$AL$9)*($AN$9-$AM$9))),$AM$9)</f>
        <v/>
      </c>
      <c r="AP365">
        <f>IFERROR(IF(AY365&lt;($AM$10-$AL$10)/($AN$10-$AL$10),$AL$10+SQRT(AY365*($AN$10-$AL$10)*($AM$10-$AL$10)),$AN$10-SQRT((1-AY365)*($AN$10-$AL$10)*($AN$10-$AM$10))),$AM$10)</f>
        <v/>
      </c>
      <c r="AQ365">
        <f>IFERROR(IF(AZ365&lt;($AM$11-$AL$11)/($AN$11-$AL$11),$AL$11+SQRT(AZ365*($AN$11-$AL$11)*($AM$11-$AL$11)),$AN$11-SQRT((1-AZ365)*($AN$11-$AL$11)*($AN$11-$AM$11))),$AM$11)</f>
        <v/>
      </c>
      <c r="AR365">
        <f>SUMPRODUCT((B24:B31&lt;=$B$6)*(C24:C31*AM365+D24:D31*AO365*$B$8*AQ365)/(1+AL365/100)^B24:B31)+C32*AM365*AP365/(1+AL365/100)^$B$6</f>
        <v/>
      </c>
      <c r="AS365">
        <f>SUMPRODUCT((K24:K26&lt;=$B$6)*(L24:L26*AN365+M24:M26*AO365*$B$8*AQ365)/(1+AL365/100)^K24:K26)+L27*AN365*AP365/(1+AL365/100)^$B$6</f>
        <v/>
      </c>
      <c r="AT365">
        <f>AS365-AR365</f>
        <v/>
      </c>
      <c r="AU365">
        <f>RAND()</f>
        <v/>
      </c>
      <c r="AV365">
        <f>RAND()</f>
        <v/>
      </c>
      <c r="AW365">
        <f>RAND()</f>
        <v/>
      </c>
      <c r="AX365">
        <f>RAND()</f>
        <v/>
      </c>
      <c r="AY365">
        <f>RAND()</f>
        <v/>
      </c>
      <c r="AZ365">
        <f>RAND()</f>
        <v/>
      </c>
    </row>
    <row r="366">
      <c r="AK366" t="n">
        <v>353</v>
      </c>
      <c r="AL366">
        <f>IFERROR(IF(AU366&lt;($AM$6-$AL$6)/($AN$6-$AL$6),$AL$6+SQRT(AU366*($AN$6-$AL$6)*($AM$6-$AL$6)),$AN$6-SQRT((1-AU366)*($AN$6-$AL$6)*($AN$6-$AM$6))),$AM$6)</f>
        <v/>
      </c>
      <c r="AM366">
        <f>IFERROR(IF(AV366&lt;($AM$7-$AL$7)/($AN$7-$AL$7),$AL$7+SQRT(AV366*($AN$7-$AL$7)*($AM$7-$AL$7)),$AN$7-SQRT((1-AV366)*($AN$7-$AL$7)*($AN$7-$AM$7))),$AM$7)</f>
        <v/>
      </c>
      <c r="AN366">
        <f>IFERROR(IF(AW366&lt;($AM$8-$AL$8)/($AN$8-$AL$8),$AL$8+SQRT(AW366*($AN$8-$AL$8)*($AM$8-$AL$8)),$AN$8-SQRT((1-AW366)*($AN$8-$AL$8)*($AN$8-$AM$8))),$AM$8)</f>
        <v/>
      </c>
      <c r="AO366">
        <f>IFERROR(IF(AX366&lt;($AM$9-$AL$9)/($AN$9-$AL$9),$AL$9+SQRT(AX366*($AN$9-$AL$9)*($AM$9-$AL$9)),$AN$9-SQRT((1-AX366)*($AN$9-$AL$9)*($AN$9-$AM$9))),$AM$9)</f>
        <v/>
      </c>
      <c r="AP366">
        <f>IFERROR(IF(AY366&lt;($AM$10-$AL$10)/($AN$10-$AL$10),$AL$10+SQRT(AY366*($AN$10-$AL$10)*($AM$10-$AL$10)),$AN$10-SQRT((1-AY366)*($AN$10-$AL$10)*($AN$10-$AM$10))),$AM$10)</f>
        <v/>
      </c>
      <c r="AQ366">
        <f>IFERROR(IF(AZ366&lt;($AM$11-$AL$11)/($AN$11-$AL$11),$AL$11+SQRT(AZ366*($AN$11-$AL$11)*($AM$11-$AL$11)),$AN$11-SQRT((1-AZ366)*($AN$11-$AL$11)*($AN$11-$AM$11))),$AM$11)</f>
        <v/>
      </c>
      <c r="AR366">
        <f>SUMPRODUCT((B24:B31&lt;=$B$6)*(C24:C31*AM366+D24:D31*AO366*$B$8*AQ366)/(1+AL366/100)^B24:B31)+C32*AM366*AP366/(1+AL366/100)^$B$6</f>
        <v/>
      </c>
      <c r="AS366">
        <f>SUMPRODUCT((K24:K26&lt;=$B$6)*(L24:L26*AN366+M24:M26*AO366*$B$8*AQ366)/(1+AL366/100)^K24:K26)+L27*AN366*AP366/(1+AL366/100)^$B$6</f>
        <v/>
      </c>
      <c r="AT366">
        <f>AS366-AR366</f>
        <v/>
      </c>
      <c r="AU366">
        <f>RAND()</f>
        <v/>
      </c>
      <c r="AV366">
        <f>RAND()</f>
        <v/>
      </c>
      <c r="AW366">
        <f>RAND()</f>
        <v/>
      </c>
      <c r="AX366">
        <f>RAND()</f>
        <v/>
      </c>
      <c r="AY366">
        <f>RAND()</f>
        <v/>
      </c>
      <c r="AZ366">
        <f>RAND()</f>
        <v/>
      </c>
    </row>
    <row r="367">
      <c r="AK367" t="n">
        <v>354</v>
      </c>
      <c r="AL367">
        <f>IFERROR(IF(AU367&lt;($AM$6-$AL$6)/($AN$6-$AL$6),$AL$6+SQRT(AU367*($AN$6-$AL$6)*($AM$6-$AL$6)),$AN$6-SQRT((1-AU367)*($AN$6-$AL$6)*($AN$6-$AM$6))),$AM$6)</f>
        <v/>
      </c>
      <c r="AM367">
        <f>IFERROR(IF(AV367&lt;($AM$7-$AL$7)/($AN$7-$AL$7),$AL$7+SQRT(AV367*($AN$7-$AL$7)*($AM$7-$AL$7)),$AN$7-SQRT((1-AV367)*($AN$7-$AL$7)*($AN$7-$AM$7))),$AM$7)</f>
        <v/>
      </c>
      <c r="AN367">
        <f>IFERROR(IF(AW367&lt;($AM$8-$AL$8)/($AN$8-$AL$8),$AL$8+SQRT(AW367*($AN$8-$AL$8)*($AM$8-$AL$8)),$AN$8-SQRT((1-AW367)*($AN$8-$AL$8)*($AN$8-$AM$8))),$AM$8)</f>
        <v/>
      </c>
      <c r="AO367">
        <f>IFERROR(IF(AX367&lt;($AM$9-$AL$9)/($AN$9-$AL$9),$AL$9+SQRT(AX367*($AN$9-$AL$9)*($AM$9-$AL$9)),$AN$9-SQRT((1-AX367)*($AN$9-$AL$9)*($AN$9-$AM$9))),$AM$9)</f>
        <v/>
      </c>
      <c r="AP367">
        <f>IFERROR(IF(AY367&lt;($AM$10-$AL$10)/($AN$10-$AL$10),$AL$10+SQRT(AY367*($AN$10-$AL$10)*($AM$10-$AL$10)),$AN$10-SQRT((1-AY367)*($AN$10-$AL$10)*($AN$10-$AM$10))),$AM$10)</f>
        <v/>
      </c>
      <c r="AQ367">
        <f>IFERROR(IF(AZ367&lt;($AM$11-$AL$11)/($AN$11-$AL$11),$AL$11+SQRT(AZ367*($AN$11-$AL$11)*($AM$11-$AL$11)),$AN$11-SQRT((1-AZ367)*($AN$11-$AL$11)*($AN$11-$AM$11))),$AM$11)</f>
        <v/>
      </c>
      <c r="AR367">
        <f>SUMPRODUCT((B24:B31&lt;=$B$6)*(C24:C31*AM367+D24:D31*AO367*$B$8*AQ367)/(1+AL367/100)^B24:B31)+C32*AM367*AP367/(1+AL367/100)^$B$6</f>
        <v/>
      </c>
      <c r="AS367">
        <f>SUMPRODUCT((K24:K26&lt;=$B$6)*(L24:L26*AN367+M24:M26*AO367*$B$8*AQ367)/(1+AL367/100)^K24:K26)+L27*AN367*AP367/(1+AL367/100)^$B$6</f>
        <v/>
      </c>
      <c r="AT367">
        <f>AS367-AR367</f>
        <v/>
      </c>
      <c r="AU367">
        <f>RAND()</f>
        <v/>
      </c>
      <c r="AV367">
        <f>RAND()</f>
        <v/>
      </c>
      <c r="AW367">
        <f>RAND()</f>
        <v/>
      </c>
      <c r="AX367">
        <f>RAND()</f>
        <v/>
      </c>
      <c r="AY367">
        <f>RAND()</f>
        <v/>
      </c>
      <c r="AZ367">
        <f>RAND()</f>
        <v/>
      </c>
    </row>
    <row r="368">
      <c r="AK368" t="n">
        <v>355</v>
      </c>
      <c r="AL368">
        <f>IFERROR(IF(AU368&lt;($AM$6-$AL$6)/($AN$6-$AL$6),$AL$6+SQRT(AU368*($AN$6-$AL$6)*($AM$6-$AL$6)),$AN$6-SQRT((1-AU368)*($AN$6-$AL$6)*($AN$6-$AM$6))),$AM$6)</f>
        <v/>
      </c>
      <c r="AM368">
        <f>IFERROR(IF(AV368&lt;($AM$7-$AL$7)/($AN$7-$AL$7),$AL$7+SQRT(AV368*($AN$7-$AL$7)*($AM$7-$AL$7)),$AN$7-SQRT((1-AV368)*($AN$7-$AL$7)*($AN$7-$AM$7))),$AM$7)</f>
        <v/>
      </c>
      <c r="AN368">
        <f>IFERROR(IF(AW368&lt;($AM$8-$AL$8)/($AN$8-$AL$8),$AL$8+SQRT(AW368*($AN$8-$AL$8)*($AM$8-$AL$8)),$AN$8-SQRT((1-AW368)*($AN$8-$AL$8)*($AN$8-$AM$8))),$AM$8)</f>
        <v/>
      </c>
      <c r="AO368">
        <f>IFERROR(IF(AX368&lt;($AM$9-$AL$9)/($AN$9-$AL$9),$AL$9+SQRT(AX368*($AN$9-$AL$9)*($AM$9-$AL$9)),$AN$9-SQRT((1-AX368)*($AN$9-$AL$9)*($AN$9-$AM$9))),$AM$9)</f>
        <v/>
      </c>
      <c r="AP368">
        <f>IFERROR(IF(AY368&lt;($AM$10-$AL$10)/($AN$10-$AL$10),$AL$10+SQRT(AY368*($AN$10-$AL$10)*($AM$10-$AL$10)),$AN$10-SQRT((1-AY368)*($AN$10-$AL$10)*($AN$10-$AM$10))),$AM$10)</f>
        <v/>
      </c>
      <c r="AQ368">
        <f>IFERROR(IF(AZ368&lt;($AM$11-$AL$11)/($AN$11-$AL$11),$AL$11+SQRT(AZ368*($AN$11-$AL$11)*($AM$11-$AL$11)),$AN$11-SQRT((1-AZ368)*($AN$11-$AL$11)*($AN$11-$AM$11))),$AM$11)</f>
        <v/>
      </c>
      <c r="AR368">
        <f>SUMPRODUCT((B24:B31&lt;=$B$6)*(C24:C31*AM368+D24:D31*AO368*$B$8*AQ368)/(1+AL368/100)^B24:B31)+C32*AM368*AP368/(1+AL368/100)^$B$6</f>
        <v/>
      </c>
      <c r="AS368">
        <f>SUMPRODUCT((K24:K26&lt;=$B$6)*(L24:L26*AN368+M24:M26*AO368*$B$8*AQ368)/(1+AL368/100)^K24:K26)+L27*AN368*AP368/(1+AL368/100)^$B$6</f>
        <v/>
      </c>
      <c r="AT368">
        <f>AS368-AR368</f>
        <v/>
      </c>
      <c r="AU368">
        <f>RAND()</f>
        <v/>
      </c>
      <c r="AV368">
        <f>RAND()</f>
        <v/>
      </c>
      <c r="AW368">
        <f>RAND()</f>
        <v/>
      </c>
      <c r="AX368">
        <f>RAND()</f>
        <v/>
      </c>
      <c r="AY368">
        <f>RAND()</f>
        <v/>
      </c>
      <c r="AZ368">
        <f>RAND()</f>
        <v/>
      </c>
    </row>
    <row r="369">
      <c r="AK369" t="n">
        <v>356</v>
      </c>
      <c r="AL369">
        <f>IFERROR(IF(AU369&lt;($AM$6-$AL$6)/($AN$6-$AL$6),$AL$6+SQRT(AU369*($AN$6-$AL$6)*($AM$6-$AL$6)),$AN$6-SQRT((1-AU369)*($AN$6-$AL$6)*($AN$6-$AM$6))),$AM$6)</f>
        <v/>
      </c>
      <c r="AM369">
        <f>IFERROR(IF(AV369&lt;($AM$7-$AL$7)/($AN$7-$AL$7),$AL$7+SQRT(AV369*($AN$7-$AL$7)*($AM$7-$AL$7)),$AN$7-SQRT((1-AV369)*($AN$7-$AL$7)*($AN$7-$AM$7))),$AM$7)</f>
        <v/>
      </c>
      <c r="AN369">
        <f>IFERROR(IF(AW369&lt;($AM$8-$AL$8)/($AN$8-$AL$8),$AL$8+SQRT(AW369*($AN$8-$AL$8)*($AM$8-$AL$8)),$AN$8-SQRT((1-AW369)*($AN$8-$AL$8)*($AN$8-$AM$8))),$AM$8)</f>
        <v/>
      </c>
      <c r="AO369">
        <f>IFERROR(IF(AX369&lt;($AM$9-$AL$9)/($AN$9-$AL$9),$AL$9+SQRT(AX369*($AN$9-$AL$9)*($AM$9-$AL$9)),$AN$9-SQRT((1-AX369)*($AN$9-$AL$9)*($AN$9-$AM$9))),$AM$9)</f>
        <v/>
      </c>
      <c r="AP369">
        <f>IFERROR(IF(AY369&lt;($AM$10-$AL$10)/($AN$10-$AL$10),$AL$10+SQRT(AY369*($AN$10-$AL$10)*($AM$10-$AL$10)),$AN$10-SQRT((1-AY369)*($AN$10-$AL$10)*($AN$10-$AM$10))),$AM$10)</f>
        <v/>
      </c>
      <c r="AQ369">
        <f>IFERROR(IF(AZ369&lt;($AM$11-$AL$11)/($AN$11-$AL$11),$AL$11+SQRT(AZ369*($AN$11-$AL$11)*($AM$11-$AL$11)),$AN$11-SQRT((1-AZ369)*($AN$11-$AL$11)*($AN$11-$AM$11))),$AM$11)</f>
        <v/>
      </c>
      <c r="AR369">
        <f>SUMPRODUCT((B24:B31&lt;=$B$6)*(C24:C31*AM369+D24:D31*AO369*$B$8*AQ369)/(1+AL369/100)^B24:B31)+C32*AM369*AP369/(1+AL369/100)^$B$6</f>
        <v/>
      </c>
      <c r="AS369">
        <f>SUMPRODUCT((K24:K26&lt;=$B$6)*(L24:L26*AN369+M24:M26*AO369*$B$8*AQ369)/(1+AL369/100)^K24:K26)+L27*AN369*AP369/(1+AL369/100)^$B$6</f>
        <v/>
      </c>
      <c r="AT369">
        <f>AS369-AR369</f>
        <v/>
      </c>
      <c r="AU369">
        <f>RAND()</f>
        <v/>
      </c>
      <c r="AV369">
        <f>RAND()</f>
        <v/>
      </c>
      <c r="AW369">
        <f>RAND()</f>
        <v/>
      </c>
      <c r="AX369">
        <f>RAND()</f>
        <v/>
      </c>
      <c r="AY369">
        <f>RAND()</f>
        <v/>
      </c>
      <c r="AZ369">
        <f>RAND()</f>
        <v/>
      </c>
    </row>
    <row r="370">
      <c r="AK370" t="n">
        <v>357</v>
      </c>
      <c r="AL370">
        <f>IFERROR(IF(AU370&lt;($AM$6-$AL$6)/($AN$6-$AL$6),$AL$6+SQRT(AU370*($AN$6-$AL$6)*($AM$6-$AL$6)),$AN$6-SQRT((1-AU370)*($AN$6-$AL$6)*($AN$6-$AM$6))),$AM$6)</f>
        <v/>
      </c>
      <c r="AM370">
        <f>IFERROR(IF(AV370&lt;($AM$7-$AL$7)/($AN$7-$AL$7),$AL$7+SQRT(AV370*($AN$7-$AL$7)*($AM$7-$AL$7)),$AN$7-SQRT((1-AV370)*($AN$7-$AL$7)*($AN$7-$AM$7))),$AM$7)</f>
        <v/>
      </c>
      <c r="AN370">
        <f>IFERROR(IF(AW370&lt;($AM$8-$AL$8)/($AN$8-$AL$8),$AL$8+SQRT(AW370*($AN$8-$AL$8)*($AM$8-$AL$8)),$AN$8-SQRT((1-AW370)*($AN$8-$AL$8)*($AN$8-$AM$8))),$AM$8)</f>
        <v/>
      </c>
      <c r="AO370">
        <f>IFERROR(IF(AX370&lt;($AM$9-$AL$9)/($AN$9-$AL$9),$AL$9+SQRT(AX370*($AN$9-$AL$9)*($AM$9-$AL$9)),$AN$9-SQRT((1-AX370)*($AN$9-$AL$9)*($AN$9-$AM$9))),$AM$9)</f>
        <v/>
      </c>
      <c r="AP370">
        <f>IFERROR(IF(AY370&lt;($AM$10-$AL$10)/($AN$10-$AL$10),$AL$10+SQRT(AY370*($AN$10-$AL$10)*($AM$10-$AL$10)),$AN$10-SQRT((1-AY370)*($AN$10-$AL$10)*($AN$10-$AM$10))),$AM$10)</f>
        <v/>
      </c>
      <c r="AQ370">
        <f>IFERROR(IF(AZ370&lt;($AM$11-$AL$11)/($AN$11-$AL$11),$AL$11+SQRT(AZ370*($AN$11-$AL$11)*($AM$11-$AL$11)),$AN$11-SQRT((1-AZ370)*($AN$11-$AL$11)*($AN$11-$AM$11))),$AM$11)</f>
        <v/>
      </c>
      <c r="AR370">
        <f>SUMPRODUCT((B24:B31&lt;=$B$6)*(C24:C31*AM370+D24:D31*AO370*$B$8*AQ370)/(1+AL370/100)^B24:B31)+C32*AM370*AP370/(1+AL370/100)^$B$6</f>
        <v/>
      </c>
      <c r="AS370">
        <f>SUMPRODUCT((K24:K26&lt;=$B$6)*(L24:L26*AN370+M24:M26*AO370*$B$8*AQ370)/(1+AL370/100)^K24:K26)+L27*AN370*AP370/(1+AL370/100)^$B$6</f>
        <v/>
      </c>
      <c r="AT370">
        <f>AS370-AR370</f>
        <v/>
      </c>
      <c r="AU370">
        <f>RAND()</f>
        <v/>
      </c>
      <c r="AV370">
        <f>RAND()</f>
        <v/>
      </c>
      <c r="AW370">
        <f>RAND()</f>
        <v/>
      </c>
      <c r="AX370">
        <f>RAND()</f>
        <v/>
      </c>
      <c r="AY370">
        <f>RAND()</f>
        <v/>
      </c>
      <c r="AZ370">
        <f>RAND()</f>
        <v/>
      </c>
    </row>
    <row r="371">
      <c r="AK371" t="n">
        <v>358</v>
      </c>
      <c r="AL371">
        <f>IFERROR(IF(AU371&lt;($AM$6-$AL$6)/($AN$6-$AL$6),$AL$6+SQRT(AU371*($AN$6-$AL$6)*($AM$6-$AL$6)),$AN$6-SQRT((1-AU371)*($AN$6-$AL$6)*($AN$6-$AM$6))),$AM$6)</f>
        <v/>
      </c>
      <c r="AM371">
        <f>IFERROR(IF(AV371&lt;($AM$7-$AL$7)/($AN$7-$AL$7),$AL$7+SQRT(AV371*($AN$7-$AL$7)*($AM$7-$AL$7)),$AN$7-SQRT((1-AV371)*($AN$7-$AL$7)*($AN$7-$AM$7))),$AM$7)</f>
        <v/>
      </c>
      <c r="AN371">
        <f>IFERROR(IF(AW371&lt;($AM$8-$AL$8)/($AN$8-$AL$8),$AL$8+SQRT(AW371*($AN$8-$AL$8)*($AM$8-$AL$8)),$AN$8-SQRT((1-AW371)*($AN$8-$AL$8)*($AN$8-$AM$8))),$AM$8)</f>
        <v/>
      </c>
      <c r="AO371">
        <f>IFERROR(IF(AX371&lt;($AM$9-$AL$9)/($AN$9-$AL$9),$AL$9+SQRT(AX371*($AN$9-$AL$9)*($AM$9-$AL$9)),$AN$9-SQRT((1-AX371)*($AN$9-$AL$9)*($AN$9-$AM$9))),$AM$9)</f>
        <v/>
      </c>
      <c r="AP371">
        <f>IFERROR(IF(AY371&lt;($AM$10-$AL$10)/($AN$10-$AL$10),$AL$10+SQRT(AY371*($AN$10-$AL$10)*($AM$10-$AL$10)),$AN$10-SQRT((1-AY371)*($AN$10-$AL$10)*($AN$10-$AM$10))),$AM$10)</f>
        <v/>
      </c>
      <c r="AQ371">
        <f>IFERROR(IF(AZ371&lt;($AM$11-$AL$11)/($AN$11-$AL$11),$AL$11+SQRT(AZ371*($AN$11-$AL$11)*($AM$11-$AL$11)),$AN$11-SQRT((1-AZ371)*($AN$11-$AL$11)*($AN$11-$AM$11))),$AM$11)</f>
        <v/>
      </c>
      <c r="AR371">
        <f>SUMPRODUCT((B24:B31&lt;=$B$6)*(C24:C31*AM371+D24:D31*AO371*$B$8*AQ371)/(1+AL371/100)^B24:B31)+C32*AM371*AP371/(1+AL371/100)^$B$6</f>
        <v/>
      </c>
      <c r="AS371">
        <f>SUMPRODUCT((K24:K26&lt;=$B$6)*(L24:L26*AN371+M24:M26*AO371*$B$8*AQ371)/(1+AL371/100)^K24:K26)+L27*AN371*AP371/(1+AL371/100)^$B$6</f>
        <v/>
      </c>
      <c r="AT371">
        <f>AS371-AR371</f>
        <v/>
      </c>
      <c r="AU371">
        <f>RAND()</f>
        <v/>
      </c>
      <c r="AV371">
        <f>RAND()</f>
        <v/>
      </c>
      <c r="AW371">
        <f>RAND()</f>
        <v/>
      </c>
      <c r="AX371">
        <f>RAND()</f>
        <v/>
      </c>
      <c r="AY371">
        <f>RAND()</f>
        <v/>
      </c>
      <c r="AZ371">
        <f>RAND()</f>
        <v/>
      </c>
    </row>
    <row r="372">
      <c r="AK372" t="n">
        <v>359</v>
      </c>
      <c r="AL372">
        <f>IFERROR(IF(AU372&lt;($AM$6-$AL$6)/($AN$6-$AL$6),$AL$6+SQRT(AU372*($AN$6-$AL$6)*($AM$6-$AL$6)),$AN$6-SQRT((1-AU372)*($AN$6-$AL$6)*($AN$6-$AM$6))),$AM$6)</f>
        <v/>
      </c>
      <c r="AM372">
        <f>IFERROR(IF(AV372&lt;($AM$7-$AL$7)/($AN$7-$AL$7),$AL$7+SQRT(AV372*($AN$7-$AL$7)*($AM$7-$AL$7)),$AN$7-SQRT((1-AV372)*($AN$7-$AL$7)*($AN$7-$AM$7))),$AM$7)</f>
        <v/>
      </c>
      <c r="AN372">
        <f>IFERROR(IF(AW372&lt;($AM$8-$AL$8)/($AN$8-$AL$8),$AL$8+SQRT(AW372*($AN$8-$AL$8)*($AM$8-$AL$8)),$AN$8-SQRT((1-AW372)*($AN$8-$AL$8)*($AN$8-$AM$8))),$AM$8)</f>
        <v/>
      </c>
      <c r="AO372">
        <f>IFERROR(IF(AX372&lt;($AM$9-$AL$9)/($AN$9-$AL$9),$AL$9+SQRT(AX372*($AN$9-$AL$9)*($AM$9-$AL$9)),$AN$9-SQRT((1-AX372)*($AN$9-$AL$9)*($AN$9-$AM$9))),$AM$9)</f>
        <v/>
      </c>
      <c r="AP372">
        <f>IFERROR(IF(AY372&lt;($AM$10-$AL$10)/($AN$10-$AL$10),$AL$10+SQRT(AY372*($AN$10-$AL$10)*($AM$10-$AL$10)),$AN$10-SQRT((1-AY372)*($AN$10-$AL$10)*($AN$10-$AM$10))),$AM$10)</f>
        <v/>
      </c>
      <c r="AQ372">
        <f>IFERROR(IF(AZ372&lt;($AM$11-$AL$11)/($AN$11-$AL$11),$AL$11+SQRT(AZ372*($AN$11-$AL$11)*($AM$11-$AL$11)),$AN$11-SQRT((1-AZ372)*($AN$11-$AL$11)*($AN$11-$AM$11))),$AM$11)</f>
        <v/>
      </c>
      <c r="AR372">
        <f>SUMPRODUCT((B24:B31&lt;=$B$6)*(C24:C31*AM372+D24:D31*AO372*$B$8*AQ372)/(1+AL372/100)^B24:B31)+C32*AM372*AP372/(1+AL372/100)^$B$6</f>
        <v/>
      </c>
      <c r="AS372">
        <f>SUMPRODUCT((K24:K26&lt;=$B$6)*(L24:L26*AN372+M24:M26*AO372*$B$8*AQ372)/(1+AL372/100)^K24:K26)+L27*AN372*AP372/(1+AL372/100)^$B$6</f>
        <v/>
      </c>
      <c r="AT372">
        <f>AS372-AR372</f>
        <v/>
      </c>
      <c r="AU372">
        <f>RAND()</f>
        <v/>
      </c>
      <c r="AV372">
        <f>RAND()</f>
        <v/>
      </c>
      <c r="AW372">
        <f>RAND()</f>
        <v/>
      </c>
      <c r="AX372">
        <f>RAND()</f>
        <v/>
      </c>
      <c r="AY372">
        <f>RAND()</f>
        <v/>
      </c>
      <c r="AZ372">
        <f>RAND()</f>
        <v/>
      </c>
    </row>
    <row r="373">
      <c r="AK373" t="n">
        <v>360</v>
      </c>
      <c r="AL373">
        <f>IFERROR(IF(AU373&lt;($AM$6-$AL$6)/($AN$6-$AL$6),$AL$6+SQRT(AU373*($AN$6-$AL$6)*($AM$6-$AL$6)),$AN$6-SQRT((1-AU373)*($AN$6-$AL$6)*($AN$6-$AM$6))),$AM$6)</f>
        <v/>
      </c>
      <c r="AM373">
        <f>IFERROR(IF(AV373&lt;($AM$7-$AL$7)/($AN$7-$AL$7),$AL$7+SQRT(AV373*($AN$7-$AL$7)*($AM$7-$AL$7)),$AN$7-SQRT((1-AV373)*($AN$7-$AL$7)*($AN$7-$AM$7))),$AM$7)</f>
        <v/>
      </c>
      <c r="AN373">
        <f>IFERROR(IF(AW373&lt;($AM$8-$AL$8)/($AN$8-$AL$8),$AL$8+SQRT(AW373*($AN$8-$AL$8)*($AM$8-$AL$8)),$AN$8-SQRT((1-AW373)*($AN$8-$AL$8)*($AN$8-$AM$8))),$AM$8)</f>
        <v/>
      </c>
      <c r="AO373">
        <f>IFERROR(IF(AX373&lt;($AM$9-$AL$9)/($AN$9-$AL$9),$AL$9+SQRT(AX373*($AN$9-$AL$9)*($AM$9-$AL$9)),$AN$9-SQRT((1-AX373)*($AN$9-$AL$9)*($AN$9-$AM$9))),$AM$9)</f>
        <v/>
      </c>
      <c r="AP373">
        <f>IFERROR(IF(AY373&lt;($AM$10-$AL$10)/($AN$10-$AL$10),$AL$10+SQRT(AY373*($AN$10-$AL$10)*($AM$10-$AL$10)),$AN$10-SQRT((1-AY373)*($AN$10-$AL$10)*($AN$10-$AM$10))),$AM$10)</f>
        <v/>
      </c>
      <c r="AQ373">
        <f>IFERROR(IF(AZ373&lt;($AM$11-$AL$11)/($AN$11-$AL$11),$AL$11+SQRT(AZ373*($AN$11-$AL$11)*($AM$11-$AL$11)),$AN$11-SQRT((1-AZ373)*($AN$11-$AL$11)*($AN$11-$AM$11))),$AM$11)</f>
        <v/>
      </c>
      <c r="AR373">
        <f>SUMPRODUCT((B24:B31&lt;=$B$6)*(C24:C31*AM373+D24:D31*AO373*$B$8*AQ373)/(1+AL373/100)^B24:B31)+C32*AM373*AP373/(1+AL373/100)^$B$6</f>
        <v/>
      </c>
      <c r="AS373">
        <f>SUMPRODUCT((K24:K26&lt;=$B$6)*(L24:L26*AN373+M24:M26*AO373*$B$8*AQ373)/(1+AL373/100)^K24:K26)+L27*AN373*AP373/(1+AL373/100)^$B$6</f>
        <v/>
      </c>
      <c r="AT373">
        <f>AS373-AR373</f>
        <v/>
      </c>
      <c r="AU373">
        <f>RAND()</f>
        <v/>
      </c>
      <c r="AV373">
        <f>RAND()</f>
        <v/>
      </c>
      <c r="AW373">
        <f>RAND()</f>
        <v/>
      </c>
      <c r="AX373">
        <f>RAND()</f>
        <v/>
      </c>
      <c r="AY373">
        <f>RAND()</f>
        <v/>
      </c>
      <c r="AZ373">
        <f>RAND()</f>
        <v/>
      </c>
    </row>
    <row r="374">
      <c r="AK374" t="n">
        <v>361</v>
      </c>
      <c r="AL374">
        <f>IFERROR(IF(AU374&lt;($AM$6-$AL$6)/($AN$6-$AL$6),$AL$6+SQRT(AU374*($AN$6-$AL$6)*($AM$6-$AL$6)),$AN$6-SQRT((1-AU374)*($AN$6-$AL$6)*($AN$6-$AM$6))),$AM$6)</f>
        <v/>
      </c>
      <c r="AM374">
        <f>IFERROR(IF(AV374&lt;($AM$7-$AL$7)/($AN$7-$AL$7),$AL$7+SQRT(AV374*($AN$7-$AL$7)*($AM$7-$AL$7)),$AN$7-SQRT((1-AV374)*($AN$7-$AL$7)*($AN$7-$AM$7))),$AM$7)</f>
        <v/>
      </c>
      <c r="AN374">
        <f>IFERROR(IF(AW374&lt;($AM$8-$AL$8)/($AN$8-$AL$8),$AL$8+SQRT(AW374*($AN$8-$AL$8)*($AM$8-$AL$8)),$AN$8-SQRT((1-AW374)*($AN$8-$AL$8)*($AN$8-$AM$8))),$AM$8)</f>
        <v/>
      </c>
      <c r="AO374">
        <f>IFERROR(IF(AX374&lt;($AM$9-$AL$9)/($AN$9-$AL$9),$AL$9+SQRT(AX374*($AN$9-$AL$9)*($AM$9-$AL$9)),$AN$9-SQRT((1-AX374)*($AN$9-$AL$9)*($AN$9-$AM$9))),$AM$9)</f>
        <v/>
      </c>
      <c r="AP374">
        <f>IFERROR(IF(AY374&lt;($AM$10-$AL$10)/($AN$10-$AL$10),$AL$10+SQRT(AY374*($AN$10-$AL$10)*($AM$10-$AL$10)),$AN$10-SQRT((1-AY374)*($AN$10-$AL$10)*($AN$10-$AM$10))),$AM$10)</f>
        <v/>
      </c>
      <c r="AQ374">
        <f>IFERROR(IF(AZ374&lt;($AM$11-$AL$11)/($AN$11-$AL$11),$AL$11+SQRT(AZ374*($AN$11-$AL$11)*($AM$11-$AL$11)),$AN$11-SQRT((1-AZ374)*($AN$11-$AL$11)*($AN$11-$AM$11))),$AM$11)</f>
        <v/>
      </c>
      <c r="AR374">
        <f>SUMPRODUCT((B24:B31&lt;=$B$6)*(C24:C31*AM374+D24:D31*AO374*$B$8*AQ374)/(1+AL374/100)^B24:B31)+C32*AM374*AP374/(1+AL374/100)^$B$6</f>
        <v/>
      </c>
      <c r="AS374">
        <f>SUMPRODUCT((K24:K26&lt;=$B$6)*(L24:L26*AN374+M24:M26*AO374*$B$8*AQ374)/(1+AL374/100)^K24:K26)+L27*AN374*AP374/(1+AL374/100)^$B$6</f>
        <v/>
      </c>
      <c r="AT374">
        <f>AS374-AR374</f>
        <v/>
      </c>
      <c r="AU374">
        <f>RAND()</f>
        <v/>
      </c>
      <c r="AV374">
        <f>RAND()</f>
        <v/>
      </c>
      <c r="AW374">
        <f>RAND()</f>
        <v/>
      </c>
      <c r="AX374">
        <f>RAND()</f>
        <v/>
      </c>
      <c r="AY374">
        <f>RAND()</f>
        <v/>
      </c>
      <c r="AZ374">
        <f>RAND()</f>
        <v/>
      </c>
    </row>
    <row r="375">
      <c r="AK375" t="n">
        <v>362</v>
      </c>
      <c r="AL375">
        <f>IFERROR(IF(AU375&lt;($AM$6-$AL$6)/($AN$6-$AL$6),$AL$6+SQRT(AU375*($AN$6-$AL$6)*($AM$6-$AL$6)),$AN$6-SQRT((1-AU375)*($AN$6-$AL$6)*($AN$6-$AM$6))),$AM$6)</f>
        <v/>
      </c>
      <c r="AM375">
        <f>IFERROR(IF(AV375&lt;($AM$7-$AL$7)/($AN$7-$AL$7),$AL$7+SQRT(AV375*($AN$7-$AL$7)*($AM$7-$AL$7)),$AN$7-SQRT((1-AV375)*($AN$7-$AL$7)*($AN$7-$AM$7))),$AM$7)</f>
        <v/>
      </c>
      <c r="AN375">
        <f>IFERROR(IF(AW375&lt;($AM$8-$AL$8)/($AN$8-$AL$8),$AL$8+SQRT(AW375*($AN$8-$AL$8)*($AM$8-$AL$8)),$AN$8-SQRT((1-AW375)*($AN$8-$AL$8)*($AN$8-$AM$8))),$AM$8)</f>
        <v/>
      </c>
      <c r="AO375">
        <f>IFERROR(IF(AX375&lt;($AM$9-$AL$9)/($AN$9-$AL$9),$AL$9+SQRT(AX375*($AN$9-$AL$9)*($AM$9-$AL$9)),$AN$9-SQRT((1-AX375)*($AN$9-$AL$9)*($AN$9-$AM$9))),$AM$9)</f>
        <v/>
      </c>
      <c r="AP375">
        <f>IFERROR(IF(AY375&lt;($AM$10-$AL$10)/($AN$10-$AL$10),$AL$10+SQRT(AY375*($AN$10-$AL$10)*($AM$10-$AL$10)),$AN$10-SQRT((1-AY375)*($AN$10-$AL$10)*($AN$10-$AM$10))),$AM$10)</f>
        <v/>
      </c>
      <c r="AQ375">
        <f>IFERROR(IF(AZ375&lt;($AM$11-$AL$11)/($AN$11-$AL$11),$AL$11+SQRT(AZ375*($AN$11-$AL$11)*($AM$11-$AL$11)),$AN$11-SQRT((1-AZ375)*($AN$11-$AL$11)*($AN$11-$AM$11))),$AM$11)</f>
        <v/>
      </c>
      <c r="AR375">
        <f>SUMPRODUCT((B24:B31&lt;=$B$6)*(C24:C31*AM375+D24:D31*AO375*$B$8*AQ375)/(1+AL375/100)^B24:B31)+C32*AM375*AP375/(1+AL375/100)^$B$6</f>
        <v/>
      </c>
      <c r="AS375">
        <f>SUMPRODUCT((K24:K26&lt;=$B$6)*(L24:L26*AN375+M24:M26*AO375*$B$8*AQ375)/(1+AL375/100)^K24:K26)+L27*AN375*AP375/(1+AL375/100)^$B$6</f>
        <v/>
      </c>
      <c r="AT375">
        <f>AS375-AR375</f>
        <v/>
      </c>
      <c r="AU375">
        <f>RAND()</f>
        <v/>
      </c>
      <c r="AV375">
        <f>RAND()</f>
        <v/>
      </c>
      <c r="AW375">
        <f>RAND()</f>
        <v/>
      </c>
      <c r="AX375">
        <f>RAND()</f>
        <v/>
      </c>
      <c r="AY375">
        <f>RAND()</f>
        <v/>
      </c>
      <c r="AZ375">
        <f>RAND()</f>
        <v/>
      </c>
    </row>
    <row r="376">
      <c r="AK376" t="n">
        <v>363</v>
      </c>
      <c r="AL376">
        <f>IFERROR(IF(AU376&lt;($AM$6-$AL$6)/($AN$6-$AL$6),$AL$6+SQRT(AU376*($AN$6-$AL$6)*($AM$6-$AL$6)),$AN$6-SQRT((1-AU376)*($AN$6-$AL$6)*($AN$6-$AM$6))),$AM$6)</f>
        <v/>
      </c>
      <c r="AM376">
        <f>IFERROR(IF(AV376&lt;($AM$7-$AL$7)/($AN$7-$AL$7),$AL$7+SQRT(AV376*($AN$7-$AL$7)*($AM$7-$AL$7)),$AN$7-SQRT((1-AV376)*($AN$7-$AL$7)*($AN$7-$AM$7))),$AM$7)</f>
        <v/>
      </c>
      <c r="AN376">
        <f>IFERROR(IF(AW376&lt;($AM$8-$AL$8)/($AN$8-$AL$8),$AL$8+SQRT(AW376*($AN$8-$AL$8)*($AM$8-$AL$8)),$AN$8-SQRT((1-AW376)*($AN$8-$AL$8)*($AN$8-$AM$8))),$AM$8)</f>
        <v/>
      </c>
      <c r="AO376">
        <f>IFERROR(IF(AX376&lt;($AM$9-$AL$9)/($AN$9-$AL$9),$AL$9+SQRT(AX376*($AN$9-$AL$9)*($AM$9-$AL$9)),$AN$9-SQRT((1-AX376)*($AN$9-$AL$9)*($AN$9-$AM$9))),$AM$9)</f>
        <v/>
      </c>
      <c r="AP376">
        <f>IFERROR(IF(AY376&lt;($AM$10-$AL$10)/($AN$10-$AL$10),$AL$10+SQRT(AY376*($AN$10-$AL$10)*($AM$10-$AL$10)),$AN$10-SQRT((1-AY376)*($AN$10-$AL$10)*($AN$10-$AM$10))),$AM$10)</f>
        <v/>
      </c>
      <c r="AQ376">
        <f>IFERROR(IF(AZ376&lt;($AM$11-$AL$11)/($AN$11-$AL$11),$AL$11+SQRT(AZ376*($AN$11-$AL$11)*($AM$11-$AL$11)),$AN$11-SQRT((1-AZ376)*($AN$11-$AL$11)*($AN$11-$AM$11))),$AM$11)</f>
        <v/>
      </c>
      <c r="AR376">
        <f>SUMPRODUCT((B24:B31&lt;=$B$6)*(C24:C31*AM376+D24:D31*AO376*$B$8*AQ376)/(1+AL376/100)^B24:B31)+C32*AM376*AP376/(1+AL376/100)^$B$6</f>
        <v/>
      </c>
      <c r="AS376">
        <f>SUMPRODUCT((K24:K26&lt;=$B$6)*(L24:L26*AN376+M24:M26*AO376*$B$8*AQ376)/(1+AL376/100)^K24:K26)+L27*AN376*AP376/(1+AL376/100)^$B$6</f>
        <v/>
      </c>
      <c r="AT376">
        <f>AS376-AR376</f>
        <v/>
      </c>
      <c r="AU376">
        <f>RAND()</f>
        <v/>
      </c>
      <c r="AV376">
        <f>RAND()</f>
        <v/>
      </c>
      <c r="AW376">
        <f>RAND()</f>
        <v/>
      </c>
      <c r="AX376">
        <f>RAND()</f>
        <v/>
      </c>
      <c r="AY376">
        <f>RAND()</f>
        <v/>
      </c>
      <c r="AZ376">
        <f>RAND()</f>
        <v/>
      </c>
    </row>
    <row r="377">
      <c r="AK377" t="n">
        <v>364</v>
      </c>
      <c r="AL377">
        <f>IFERROR(IF(AU377&lt;($AM$6-$AL$6)/($AN$6-$AL$6),$AL$6+SQRT(AU377*($AN$6-$AL$6)*($AM$6-$AL$6)),$AN$6-SQRT((1-AU377)*($AN$6-$AL$6)*($AN$6-$AM$6))),$AM$6)</f>
        <v/>
      </c>
      <c r="AM377">
        <f>IFERROR(IF(AV377&lt;($AM$7-$AL$7)/($AN$7-$AL$7),$AL$7+SQRT(AV377*($AN$7-$AL$7)*($AM$7-$AL$7)),$AN$7-SQRT((1-AV377)*($AN$7-$AL$7)*($AN$7-$AM$7))),$AM$7)</f>
        <v/>
      </c>
      <c r="AN377">
        <f>IFERROR(IF(AW377&lt;($AM$8-$AL$8)/($AN$8-$AL$8),$AL$8+SQRT(AW377*($AN$8-$AL$8)*($AM$8-$AL$8)),$AN$8-SQRT((1-AW377)*($AN$8-$AL$8)*($AN$8-$AM$8))),$AM$8)</f>
        <v/>
      </c>
      <c r="AO377">
        <f>IFERROR(IF(AX377&lt;($AM$9-$AL$9)/($AN$9-$AL$9),$AL$9+SQRT(AX377*($AN$9-$AL$9)*($AM$9-$AL$9)),$AN$9-SQRT((1-AX377)*($AN$9-$AL$9)*($AN$9-$AM$9))),$AM$9)</f>
        <v/>
      </c>
      <c r="AP377">
        <f>IFERROR(IF(AY377&lt;($AM$10-$AL$10)/($AN$10-$AL$10),$AL$10+SQRT(AY377*($AN$10-$AL$10)*($AM$10-$AL$10)),$AN$10-SQRT((1-AY377)*($AN$10-$AL$10)*($AN$10-$AM$10))),$AM$10)</f>
        <v/>
      </c>
      <c r="AQ377">
        <f>IFERROR(IF(AZ377&lt;($AM$11-$AL$11)/($AN$11-$AL$11),$AL$11+SQRT(AZ377*($AN$11-$AL$11)*($AM$11-$AL$11)),$AN$11-SQRT((1-AZ377)*($AN$11-$AL$11)*($AN$11-$AM$11))),$AM$11)</f>
        <v/>
      </c>
      <c r="AR377">
        <f>SUMPRODUCT((B24:B31&lt;=$B$6)*(C24:C31*AM377+D24:D31*AO377*$B$8*AQ377)/(1+AL377/100)^B24:B31)+C32*AM377*AP377/(1+AL377/100)^$B$6</f>
        <v/>
      </c>
      <c r="AS377">
        <f>SUMPRODUCT((K24:K26&lt;=$B$6)*(L24:L26*AN377+M24:M26*AO377*$B$8*AQ377)/(1+AL377/100)^K24:K26)+L27*AN377*AP377/(1+AL377/100)^$B$6</f>
        <v/>
      </c>
      <c r="AT377">
        <f>AS377-AR377</f>
        <v/>
      </c>
      <c r="AU377">
        <f>RAND()</f>
        <v/>
      </c>
      <c r="AV377">
        <f>RAND()</f>
        <v/>
      </c>
      <c r="AW377">
        <f>RAND()</f>
        <v/>
      </c>
      <c r="AX377">
        <f>RAND()</f>
        <v/>
      </c>
      <c r="AY377">
        <f>RAND()</f>
        <v/>
      </c>
      <c r="AZ377">
        <f>RAND()</f>
        <v/>
      </c>
    </row>
    <row r="378">
      <c r="AK378" t="n">
        <v>365</v>
      </c>
      <c r="AL378">
        <f>IFERROR(IF(AU378&lt;($AM$6-$AL$6)/($AN$6-$AL$6),$AL$6+SQRT(AU378*($AN$6-$AL$6)*($AM$6-$AL$6)),$AN$6-SQRT((1-AU378)*($AN$6-$AL$6)*($AN$6-$AM$6))),$AM$6)</f>
        <v/>
      </c>
      <c r="AM378">
        <f>IFERROR(IF(AV378&lt;($AM$7-$AL$7)/($AN$7-$AL$7),$AL$7+SQRT(AV378*($AN$7-$AL$7)*($AM$7-$AL$7)),$AN$7-SQRT((1-AV378)*($AN$7-$AL$7)*($AN$7-$AM$7))),$AM$7)</f>
        <v/>
      </c>
      <c r="AN378">
        <f>IFERROR(IF(AW378&lt;($AM$8-$AL$8)/($AN$8-$AL$8),$AL$8+SQRT(AW378*($AN$8-$AL$8)*($AM$8-$AL$8)),$AN$8-SQRT((1-AW378)*($AN$8-$AL$8)*($AN$8-$AM$8))),$AM$8)</f>
        <v/>
      </c>
      <c r="AO378">
        <f>IFERROR(IF(AX378&lt;($AM$9-$AL$9)/($AN$9-$AL$9),$AL$9+SQRT(AX378*($AN$9-$AL$9)*($AM$9-$AL$9)),$AN$9-SQRT((1-AX378)*($AN$9-$AL$9)*($AN$9-$AM$9))),$AM$9)</f>
        <v/>
      </c>
      <c r="AP378">
        <f>IFERROR(IF(AY378&lt;($AM$10-$AL$10)/($AN$10-$AL$10),$AL$10+SQRT(AY378*($AN$10-$AL$10)*($AM$10-$AL$10)),$AN$10-SQRT((1-AY378)*($AN$10-$AL$10)*($AN$10-$AM$10))),$AM$10)</f>
        <v/>
      </c>
      <c r="AQ378">
        <f>IFERROR(IF(AZ378&lt;($AM$11-$AL$11)/($AN$11-$AL$11),$AL$11+SQRT(AZ378*($AN$11-$AL$11)*($AM$11-$AL$11)),$AN$11-SQRT((1-AZ378)*($AN$11-$AL$11)*($AN$11-$AM$11))),$AM$11)</f>
        <v/>
      </c>
      <c r="AR378">
        <f>SUMPRODUCT((B24:B31&lt;=$B$6)*(C24:C31*AM378+D24:D31*AO378*$B$8*AQ378)/(1+AL378/100)^B24:B31)+C32*AM378*AP378/(1+AL378/100)^$B$6</f>
        <v/>
      </c>
      <c r="AS378">
        <f>SUMPRODUCT((K24:K26&lt;=$B$6)*(L24:L26*AN378+M24:M26*AO378*$B$8*AQ378)/(1+AL378/100)^K24:K26)+L27*AN378*AP378/(1+AL378/100)^$B$6</f>
        <v/>
      </c>
      <c r="AT378">
        <f>AS378-AR378</f>
        <v/>
      </c>
      <c r="AU378">
        <f>RAND()</f>
        <v/>
      </c>
      <c r="AV378">
        <f>RAND()</f>
        <v/>
      </c>
      <c r="AW378">
        <f>RAND()</f>
        <v/>
      </c>
      <c r="AX378">
        <f>RAND()</f>
        <v/>
      </c>
      <c r="AY378">
        <f>RAND()</f>
        <v/>
      </c>
      <c r="AZ378">
        <f>RAND()</f>
        <v/>
      </c>
    </row>
    <row r="379">
      <c r="AK379" t="n">
        <v>366</v>
      </c>
      <c r="AL379">
        <f>IFERROR(IF(AU379&lt;($AM$6-$AL$6)/($AN$6-$AL$6),$AL$6+SQRT(AU379*($AN$6-$AL$6)*($AM$6-$AL$6)),$AN$6-SQRT((1-AU379)*($AN$6-$AL$6)*($AN$6-$AM$6))),$AM$6)</f>
        <v/>
      </c>
      <c r="AM379">
        <f>IFERROR(IF(AV379&lt;($AM$7-$AL$7)/($AN$7-$AL$7),$AL$7+SQRT(AV379*($AN$7-$AL$7)*($AM$7-$AL$7)),$AN$7-SQRT((1-AV379)*($AN$7-$AL$7)*($AN$7-$AM$7))),$AM$7)</f>
        <v/>
      </c>
      <c r="AN379">
        <f>IFERROR(IF(AW379&lt;($AM$8-$AL$8)/($AN$8-$AL$8),$AL$8+SQRT(AW379*($AN$8-$AL$8)*($AM$8-$AL$8)),$AN$8-SQRT((1-AW379)*($AN$8-$AL$8)*($AN$8-$AM$8))),$AM$8)</f>
        <v/>
      </c>
      <c r="AO379">
        <f>IFERROR(IF(AX379&lt;($AM$9-$AL$9)/($AN$9-$AL$9),$AL$9+SQRT(AX379*($AN$9-$AL$9)*($AM$9-$AL$9)),$AN$9-SQRT((1-AX379)*($AN$9-$AL$9)*($AN$9-$AM$9))),$AM$9)</f>
        <v/>
      </c>
      <c r="AP379">
        <f>IFERROR(IF(AY379&lt;($AM$10-$AL$10)/($AN$10-$AL$10),$AL$10+SQRT(AY379*($AN$10-$AL$10)*($AM$10-$AL$10)),$AN$10-SQRT((1-AY379)*($AN$10-$AL$10)*($AN$10-$AM$10))),$AM$10)</f>
        <v/>
      </c>
      <c r="AQ379">
        <f>IFERROR(IF(AZ379&lt;($AM$11-$AL$11)/($AN$11-$AL$11),$AL$11+SQRT(AZ379*($AN$11-$AL$11)*($AM$11-$AL$11)),$AN$11-SQRT((1-AZ379)*($AN$11-$AL$11)*($AN$11-$AM$11))),$AM$11)</f>
        <v/>
      </c>
      <c r="AR379">
        <f>SUMPRODUCT((B24:B31&lt;=$B$6)*(C24:C31*AM379+D24:D31*AO379*$B$8*AQ379)/(1+AL379/100)^B24:B31)+C32*AM379*AP379/(1+AL379/100)^$B$6</f>
        <v/>
      </c>
      <c r="AS379">
        <f>SUMPRODUCT((K24:K26&lt;=$B$6)*(L24:L26*AN379+M24:M26*AO379*$B$8*AQ379)/(1+AL379/100)^K24:K26)+L27*AN379*AP379/(1+AL379/100)^$B$6</f>
        <v/>
      </c>
      <c r="AT379">
        <f>AS379-AR379</f>
        <v/>
      </c>
      <c r="AU379">
        <f>RAND()</f>
        <v/>
      </c>
      <c r="AV379">
        <f>RAND()</f>
        <v/>
      </c>
      <c r="AW379">
        <f>RAND()</f>
        <v/>
      </c>
      <c r="AX379">
        <f>RAND()</f>
        <v/>
      </c>
      <c r="AY379">
        <f>RAND()</f>
        <v/>
      </c>
      <c r="AZ379">
        <f>RAND()</f>
        <v/>
      </c>
    </row>
    <row r="380">
      <c r="AK380" t="n">
        <v>367</v>
      </c>
      <c r="AL380">
        <f>IFERROR(IF(AU380&lt;($AM$6-$AL$6)/($AN$6-$AL$6),$AL$6+SQRT(AU380*($AN$6-$AL$6)*($AM$6-$AL$6)),$AN$6-SQRT((1-AU380)*($AN$6-$AL$6)*($AN$6-$AM$6))),$AM$6)</f>
        <v/>
      </c>
      <c r="AM380">
        <f>IFERROR(IF(AV380&lt;($AM$7-$AL$7)/($AN$7-$AL$7),$AL$7+SQRT(AV380*($AN$7-$AL$7)*($AM$7-$AL$7)),$AN$7-SQRT((1-AV380)*($AN$7-$AL$7)*($AN$7-$AM$7))),$AM$7)</f>
        <v/>
      </c>
      <c r="AN380">
        <f>IFERROR(IF(AW380&lt;($AM$8-$AL$8)/($AN$8-$AL$8),$AL$8+SQRT(AW380*($AN$8-$AL$8)*($AM$8-$AL$8)),$AN$8-SQRT((1-AW380)*($AN$8-$AL$8)*($AN$8-$AM$8))),$AM$8)</f>
        <v/>
      </c>
      <c r="AO380">
        <f>IFERROR(IF(AX380&lt;($AM$9-$AL$9)/($AN$9-$AL$9),$AL$9+SQRT(AX380*($AN$9-$AL$9)*($AM$9-$AL$9)),$AN$9-SQRT((1-AX380)*($AN$9-$AL$9)*($AN$9-$AM$9))),$AM$9)</f>
        <v/>
      </c>
      <c r="AP380">
        <f>IFERROR(IF(AY380&lt;($AM$10-$AL$10)/($AN$10-$AL$10),$AL$10+SQRT(AY380*($AN$10-$AL$10)*($AM$10-$AL$10)),$AN$10-SQRT((1-AY380)*($AN$10-$AL$10)*($AN$10-$AM$10))),$AM$10)</f>
        <v/>
      </c>
      <c r="AQ380">
        <f>IFERROR(IF(AZ380&lt;($AM$11-$AL$11)/($AN$11-$AL$11),$AL$11+SQRT(AZ380*($AN$11-$AL$11)*($AM$11-$AL$11)),$AN$11-SQRT((1-AZ380)*($AN$11-$AL$11)*($AN$11-$AM$11))),$AM$11)</f>
        <v/>
      </c>
      <c r="AR380">
        <f>SUMPRODUCT((B24:B31&lt;=$B$6)*(C24:C31*AM380+D24:D31*AO380*$B$8*AQ380)/(1+AL380/100)^B24:B31)+C32*AM380*AP380/(1+AL380/100)^$B$6</f>
        <v/>
      </c>
      <c r="AS380">
        <f>SUMPRODUCT((K24:K26&lt;=$B$6)*(L24:L26*AN380+M24:M26*AO380*$B$8*AQ380)/(1+AL380/100)^K24:K26)+L27*AN380*AP380/(1+AL380/100)^$B$6</f>
        <v/>
      </c>
      <c r="AT380">
        <f>AS380-AR380</f>
        <v/>
      </c>
      <c r="AU380">
        <f>RAND()</f>
        <v/>
      </c>
      <c r="AV380">
        <f>RAND()</f>
        <v/>
      </c>
      <c r="AW380">
        <f>RAND()</f>
        <v/>
      </c>
      <c r="AX380">
        <f>RAND()</f>
        <v/>
      </c>
      <c r="AY380">
        <f>RAND()</f>
        <v/>
      </c>
      <c r="AZ380">
        <f>RAND()</f>
        <v/>
      </c>
    </row>
    <row r="381">
      <c r="AK381" t="n">
        <v>368</v>
      </c>
      <c r="AL381">
        <f>IFERROR(IF(AU381&lt;($AM$6-$AL$6)/($AN$6-$AL$6),$AL$6+SQRT(AU381*($AN$6-$AL$6)*($AM$6-$AL$6)),$AN$6-SQRT((1-AU381)*($AN$6-$AL$6)*($AN$6-$AM$6))),$AM$6)</f>
        <v/>
      </c>
      <c r="AM381">
        <f>IFERROR(IF(AV381&lt;($AM$7-$AL$7)/($AN$7-$AL$7),$AL$7+SQRT(AV381*($AN$7-$AL$7)*($AM$7-$AL$7)),$AN$7-SQRT((1-AV381)*($AN$7-$AL$7)*($AN$7-$AM$7))),$AM$7)</f>
        <v/>
      </c>
      <c r="AN381">
        <f>IFERROR(IF(AW381&lt;($AM$8-$AL$8)/($AN$8-$AL$8),$AL$8+SQRT(AW381*($AN$8-$AL$8)*($AM$8-$AL$8)),$AN$8-SQRT((1-AW381)*($AN$8-$AL$8)*($AN$8-$AM$8))),$AM$8)</f>
        <v/>
      </c>
      <c r="AO381">
        <f>IFERROR(IF(AX381&lt;($AM$9-$AL$9)/($AN$9-$AL$9),$AL$9+SQRT(AX381*($AN$9-$AL$9)*($AM$9-$AL$9)),$AN$9-SQRT((1-AX381)*($AN$9-$AL$9)*($AN$9-$AM$9))),$AM$9)</f>
        <v/>
      </c>
      <c r="AP381">
        <f>IFERROR(IF(AY381&lt;($AM$10-$AL$10)/($AN$10-$AL$10),$AL$10+SQRT(AY381*($AN$10-$AL$10)*($AM$10-$AL$10)),$AN$10-SQRT((1-AY381)*($AN$10-$AL$10)*($AN$10-$AM$10))),$AM$10)</f>
        <v/>
      </c>
      <c r="AQ381">
        <f>IFERROR(IF(AZ381&lt;($AM$11-$AL$11)/($AN$11-$AL$11),$AL$11+SQRT(AZ381*($AN$11-$AL$11)*($AM$11-$AL$11)),$AN$11-SQRT((1-AZ381)*($AN$11-$AL$11)*($AN$11-$AM$11))),$AM$11)</f>
        <v/>
      </c>
      <c r="AR381">
        <f>SUMPRODUCT((B24:B31&lt;=$B$6)*(C24:C31*AM381+D24:D31*AO381*$B$8*AQ381)/(1+AL381/100)^B24:B31)+C32*AM381*AP381/(1+AL381/100)^$B$6</f>
        <v/>
      </c>
      <c r="AS381">
        <f>SUMPRODUCT((K24:K26&lt;=$B$6)*(L24:L26*AN381+M24:M26*AO381*$B$8*AQ381)/(1+AL381/100)^K24:K26)+L27*AN381*AP381/(1+AL381/100)^$B$6</f>
        <v/>
      </c>
      <c r="AT381">
        <f>AS381-AR381</f>
        <v/>
      </c>
      <c r="AU381">
        <f>RAND()</f>
        <v/>
      </c>
      <c r="AV381">
        <f>RAND()</f>
        <v/>
      </c>
      <c r="AW381">
        <f>RAND()</f>
        <v/>
      </c>
      <c r="AX381">
        <f>RAND()</f>
        <v/>
      </c>
      <c r="AY381">
        <f>RAND()</f>
        <v/>
      </c>
      <c r="AZ381">
        <f>RAND()</f>
        <v/>
      </c>
    </row>
    <row r="382">
      <c r="AK382" t="n">
        <v>369</v>
      </c>
      <c r="AL382">
        <f>IFERROR(IF(AU382&lt;($AM$6-$AL$6)/($AN$6-$AL$6),$AL$6+SQRT(AU382*($AN$6-$AL$6)*($AM$6-$AL$6)),$AN$6-SQRT((1-AU382)*($AN$6-$AL$6)*($AN$6-$AM$6))),$AM$6)</f>
        <v/>
      </c>
      <c r="AM382">
        <f>IFERROR(IF(AV382&lt;($AM$7-$AL$7)/($AN$7-$AL$7),$AL$7+SQRT(AV382*($AN$7-$AL$7)*($AM$7-$AL$7)),$AN$7-SQRT((1-AV382)*($AN$7-$AL$7)*($AN$7-$AM$7))),$AM$7)</f>
        <v/>
      </c>
      <c r="AN382">
        <f>IFERROR(IF(AW382&lt;($AM$8-$AL$8)/($AN$8-$AL$8),$AL$8+SQRT(AW382*($AN$8-$AL$8)*($AM$8-$AL$8)),$AN$8-SQRT((1-AW382)*($AN$8-$AL$8)*($AN$8-$AM$8))),$AM$8)</f>
        <v/>
      </c>
      <c r="AO382">
        <f>IFERROR(IF(AX382&lt;($AM$9-$AL$9)/($AN$9-$AL$9),$AL$9+SQRT(AX382*($AN$9-$AL$9)*($AM$9-$AL$9)),$AN$9-SQRT((1-AX382)*($AN$9-$AL$9)*($AN$9-$AM$9))),$AM$9)</f>
        <v/>
      </c>
      <c r="AP382">
        <f>IFERROR(IF(AY382&lt;($AM$10-$AL$10)/($AN$10-$AL$10),$AL$10+SQRT(AY382*($AN$10-$AL$10)*($AM$10-$AL$10)),$AN$10-SQRT((1-AY382)*($AN$10-$AL$10)*($AN$10-$AM$10))),$AM$10)</f>
        <v/>
      </c>
      <c r="AQ382">
        <f>IFERROR(IF(AZ382&lt;($AM$11-$AL$11)/($AN$11-$AL$11),$AL$11+SQRT(AZ382*($AN$11-$AL$11)*($AM$11-$AL$11)),$AN$11-SQRT((1-AZ382)*($AN$11-$AL$11)*($AN$11-$AM$11))),$AM$11)</f>
        <v/>
      </c>
      <c r="AR382">
        <f>SUMPRODUCT((B24:B31&lt;=$B$6)*(C24:C31*AM382+D24:D31*AO382*$B$8*AQ382)/(1+AL382/100)^B24:B31)+C32*AM382*AP382/(1+AL382/100)^$B$6</f>
        <v/>
      </c>
      <c r="AS382">
        <f>SUMPRODUCT((K24:K26&lt;=$B$6)*(L24:L26*AN382+M24:M26*AO382*$B$8*AQ382)/(1+AL382/100)^K24:K26)+L27*AN382*AP382/(1+AL382/100)^$B$6</f>
        <v/>
      </c>
      <c r="AT382">
        <f>AS382-AR382</f>
        <v/>
      </c>
      <c r="AU382">
        <f>RAND()</f>
        <v/>
      </c>
      <c r="AV382">
        <f>RAND()</f>
        <v/>
      </c>
      <c r="AW382">
        <f>RAND()</f>
        <v/>
      </c>
      <c r="AX382">
        <f>RAND()</f>
        <v/>
      </c>
      <c r="AY382">
        <f>RAND()</f>
        <v/>
      </c>
      <c r="AZ382">
        <f>RAND()</f>
        <v/>
      </c>
    </row>
    <row r="383">
      <c r="AK383" t="n">
        <v>370</v>
      </c>
      <c r="AL383">
        <f>IFERROR(IF(AU383&lt;($AM$6-$AL$6)/($AN$6-$AL$6),$AL$6+SQRT(AU383*($AN$6-$AL$6)*($AM$6-$AL$6)),$AN$6-SQRT((1-AU383)*($AN$6-$AL$6)*($AN$6-$AM$6))),$AM$6)</f>
        <v/>
      </c>
      <c r="AM383">
        <f>IFERROR(IF(AV383&lt;($AM$7-$AL$7)/($AN$7-$AL$7),$AL$7+SQRT(AV383*($AN$7-$AL$7)*($AM$7-$AL$7)),$AN$7-SQRT((1-AV383)*($AN$7-$AL$7)*($AN$7-$AM$7))),$AM$7)</f>
        <v/>
      </c>
      <c r="AN383">
        <f>IFERROR(IF(AW383&lt;($AM$8-$AL$8)/($AN$8-$AL$8),$AL$8+SQRT(AW383*($AN$8-$AL$8)*($AM$8-$AL$8)),$AN$8-SQRT((1-AW383)*($AN$8-$AL$8)*($AN$8-$AM$8))),$AM$8)</f>
        <v/>
      </c>
      <c r="AO383">
        <f>IFERROR(IF(AX383&lt;($AM$9-$AL$9)/($AN$9-$AL$9),$AL$9+SQRT(AX383*($AN$9-$AL$9)*($AM$9-$AL$9)),$AN$9-SQRT((1-AX383)*($AN$9-$AL$9)*($AN$9-$AM$9))),$AM$9)</f>
        <v/>
      </c>
      <c r="AP383">
        <f>IFERROR(IF(AY383&lt;($AM$10-$AL$10)/($AN$10-$AL$10),$AL$10+SQRT(AY383*($AN$10-$AL$10)*($AM$10-$AL$10)),$AN$10-SQRT((1-AY383)*($AN$10-$AL$10)*($AN$10-$AM$10))),$AM$10)</f>
        <v/>
      </c>
      <c r="AQ383">
        <f>IFERROR(IF(AZ383&lt;($AM$11-$AL$11)/($AN$11-$AL$11),$AL$11+SQRT(AZ383*($AN$11-$AL$11)*($AM$11-$AL$11)),$AN$11-SQRT((1-AZ383)*($AN$11-$AL$11)*($AN$11-$AM$11))),$AM$11)</f>
        <v/>
      </c>
      <c r="AR383">
        <f>SUMPRODUCT((B24:B31&lt;=$B$6)*(C24:C31*AM383+D24:D31*AO383*$B$8*AQ383)/(1+AL383/100)^B24:B31)+C32*AM383*AP383/(1+AL383/100)^$B$6</f>
        <v/>
      </c>
      <c r="AS383">
        <f>SUMPRODUCT((K24:K26&lt;=$B$6)*(L24:L26*AN383+M24:M26*AO383*$B$8*AQ383)/(1+AL383/100)^K24:K26)+L27*AN383*AP383/(1+AL383/100)^$B$6</f>
        <v/>
      </c>
      <c r="AT383">
        <f>AS383-AR383</f>
        <v/>
      </c>
      <c r="AU383">
        <f>RAND()</f>
        <v/>
      </c>
      <c r="AV383">
        <f>RAND()</f>
        <v/>
      </c>
      <c r="AW383">
        <f>RAND()</f>
        <v/>
      </c>
      <c r="AX383">
        <f>RAND()</f>
        <v/>
      </c>
      <c r="AY383">
        <f>RAND()</f>
        <v/>
      </c>
      <c r="AZ383">
        <f>RAND()</f>
        <v/>
      </c>
    </row>
    <row r="384">
      <c r="AK384" t="n">
        <v>371</v>
      </c>
      <c r="AL384">
        <f>IFERROR(IF(AU384&lt;($AM$6-$AL$6)/($AN$6-$AL$6),$AL$6+SQRT(AU384*($AN$6-$AL$6)*($AM$6-$AL$6)),$AN$6-SQRT((1-AU384)*($AN$6-$AL$6)*($AN$6-$AM$6))),$AM$6)</f>
        <v/>
      </c>
      <c r="AM384">
        <f>IFERROR(IF(AV384&lt;($AM$7-$AL$7)/($AN$7-$AL$7),$AL$7+SQRT(AV384*($AN$7-$AL$7)*($AM$7-$AL$7)),$AN$7-SQRT((1-AV384)*($AN$7-$AL$7)*($AN$7-$AM$7))),$AM$7)</f>
        <v/>
      </c>
      <c r="AN384">
        <f>IFERROR(IF(AW384&lt;($AM$8-$AL$8)/($AN$8-$AL$8),$AL$8+SQRT(AW384*($AN$8-$AL$8)*($AM$8-$AL$8)),$AN$8-SQRT((1-AW384)*($AN$8-$AL$8)*($AN$8-$AM$8))),$AM$8)</f>
        <v/>
      </c>
      <c r="AO384">
        <f>IFERROR(IF(AX384&lt;($AM$9-$AL$9)/($AN$9-$AL$9),$AL$9+SQRT(AX384*($AN$9-$AL$9)*($AM$9-$AL$9)),$AN$9-SQRT((1-AX384)*($AN$9-$AL$9)*($AN$9-$AM$9))),$AM$9)</f>
        <v/>
      </c>
      <c r="AP384">
        <f>IFERROR(IF(AY384&lt;($AM$10-$AL$10)/($AN$10-$AL$10),$AL$10+SQRT(AY384*($AN$10-$AL$10)*($AM$10-$AL$10)),$AN$10-SQRT((1-AY384)*($AN$10-$AL$10)*($AN$10-$AM$10))),$AM$10)</f>
        <v/>
      </c>
      <c r="AQ384">
        <f>IFERROR(IF(AZ384&lt;($AM$11-$AL$11)/($AN$11-$AL$11),$AL$11+SQRT(AZ384*($AN$11-$AL$11)*($AM$11-$AL$11)),$AN$11-SQRT((1-AZ384)*($AN$11-$AL$11)*($AN$11-$AM$11))),$AM$11)</f>
        <v/>
      </c>
      <c r="AR384">
        <f>SUMPRODUCT((B24:B31&lt;=$B$6)*(C24:C31*AM384+D24:D31*AO384*$B$8*AQ384)/(1+AL384/100)^B24:B31)+C32*AM384*AP384/(1+AL384/100)^$B$6</f>
        <v/>
      </c>
      <c r="AS384">
        <f>SUMPRODUCT((K24:K26&lt;=$B$6)*(L24:L26*AN384+M24:M26*AO384*$B$8*AQ384)/(1+AL384/100)^K24:K26)+L27*AN384*AP384/(1+AL384/100)^$B$6</f>
        <v/>
      </c>
      <c r="AT384">
        <f>AS384-AR384</f>
        <v/>
      </c>
      <c r="AU384">
        <f>RAND()</f>
        <v/>
      </c>
      <c r="AV384">
        <f>RAND()</f>
        <v/>
      </c>
      <c r="AW384">
        <f>RAND()</f>
        <v/>
      </c>
      <c r="AX384">
        <f>RAND()</f>
        <v/>
      </c>
      <c r="AY384">
        <f>RAND()</f>
        <v/>
      </c>
      <c r="AZ384">
        <f>RAND()</f>
        <v/>
      </c>
    </row>
    <row r="385">
      <c r="AK385" t="n">
        <v>372</v>
      </c>
      <c r="AL385">
        <f>IFERROR(IF(AU385&lt;($AM$6-$AL$6)/($AN$6-$AL$6),$AL$6+SQRT(AU385*($AN$6-$AL$6)*($AM$6-$AL$6)),$AN$6-SQRT((1-AU385)*($AN$6-$AL$6)*($AN$6-$AM$6))),$AM$6)</f>
        <v/>
      </c>
      <c r="AM385">
        <f>IFERROR(IF(AV385&lt;($AM$7-$AL$7)/($AN$7-$AL$7),$AL$7+SQRT(AV385*($AN$7-$AL$7)*($AM$7-$AL$7)),$AN$7-SQRT((1-AV385)*($AN$7-$AL$7)*($AN$7-$AM$7))),$AM$7)</f>
        <v/>
      </c>
      <c r="AN385">
        <f>IFERROR(IF(AW385&lt;($AM$8-$AL$8)/($AN$8-$AL$8),$AL$8+SQRT(AW385*($AN$8-$AL$8)*($AM$8-$AL$8)),$AN$8-SQRT((1-AW385)*($AN$8-$AL$8)*($AN$8-$AM$8))),$AM$8)</f>
        <v/>
      </c>
      <c r="AO385">
        <f>IFERROR(IF(AX385&lt;($AM$9-$AL$9)/($AN$9-$AL$9),$AL$9+SQRT(AX385*($AN$9-$AL$9)*($AM$9-$AL$9)),$AN$9-SQRT((1-AX385)*($AN$9-$AL$9)*($AN$9-$AM$9))),$AM$9)</f>
        <v/>
      </c>
      <c r="AP385">
        <f>IFERROR(IF(AY385&lt;($AM$10-$AL$10)/($AN$10-$AL$10),$AL$10+SQRT(AY385*($AN$10-$AL$10)*($AM$10-$AL$10)),$AN$10-SQRT((1-AY385)*($AN$10-$AL$10)*($AN$10-$AM$10))),$AM$10)</f>
        <v/>
      </c>
      <c r="AQ385">
        <f>IFERROR(IF(AZ385&lt;($AM$11-$AL$11)/($AN$11-$AL$11),$AL$11+SQRT(AZ385*($AN$11-$AL$11)*($AM$11-$AL$11)),$AN$11-SQRT((1-AZ385)*($AN$11-$AL$11)*($AN$11-$AM$11))),$AM$11)</f>
        <v/>
      </c>
      <c r="AR385">
        <f>SUMPRODUCT((B24:B31&lt;=$B$6)*(C24:C31*AM385+D24:D31*AO385*$B$8*AQ385)/(1+AL385/100)^B24:B31)+C32*AM385*AP385/(1+AL385/100)^$B$6</f>
        <v/>
      </c>
      <c r="AS385">
        <f>SUMPRODUCT((K24:K26&lt;=$B$6)*(L24:L26*AN385+M24:M26*AO385*$B$8*AQ385)/(1+AL385/100)^K24:K26)+L27*AN385*AP385/(1+AL385/100)^$B$6</f>
        <v/>
      </c>
      <c r="AT385">
        <f>AS385-AR385</f>
        <v/>
      </c>
      <c r="AU385">
        <f>RAND()</f>
        <v/>
      </c>
      <c r="AV385">
        <f>RAND()</f>
        <v/>
      </c>
      <c r="AW385">
        <f>RAND()</f>
        <v/>
      </c>
      <c r="AX385">
        <f>RAND()</f>
        <v/>
      </c>
      <c r="AY385">
        <f>RAND()</f>
        <v/>
      </c>
      <c r="AZ385">
        <f>RAND()</f>
        <v/>
      </c>
    </row>
    <row r="386">
      <c r="AK386" t="n">
        <v>373</v>
      </c>
      <c r="AL386">
        <f>IFERROR(IF(AU386&lt;($AM$6-$AL$6)/($AN$6-$AL$6),$AL$6+SQRT(AU386*($AN$6-$AL$6)*($AM$6-$AL$6)),$AN$6-SQRT((1-AU386)*($AN$6-$AL$6)*($AN$6-$AM$6))),$AM$6)</f>
        <v/>
      </c>
      <c r="AM386">
        <f>IFERROR(IF(AV386&lt;($AM$7-$AL$7)/($AN$7-$AL$7),$AL$7+SQRT(AV386*($AN$7-$AL$7)*($AM$7-$AL$7)),$AN$7-SQRT((1-AV386)*($AN$7-$AL$7)*($AN$7-$AM$7))),$AM$7)</f>
        <v/>
      </c>
      <c r="AN386">
        <f>IFERROR(IF(AW386&lt;($AM$8-$AL$8)/($AN$8-$AL$8),$AL$8+SQRT(AW386*($AN$8-$AL$8)*($AM$8-$AL$8)),$AN$8-SQRT((1-AW386)*($AN$8-$AL$8)*($AN$8-$AM$8))),$AM$8)</f>
        <v/>
      </c>
      <c r="AO386">
        <f>IFERROR(IF(AX386&lt;($AM$9-$AL$9)/($AN$9-$AL$9),$AL$9+SQRT(AX386*($AN$9-$AL$9)*($AM$9-$AL$9)),$AN$9-SQRT((1-AX386)*($AN$9-$AL$9)*($AN$9-$AM$9))),$AM$9)</f>
        <v/>
      </c>
      <c r="AP386">
        <f>IFERROR(IF(AY386&lt;($AM$10-$AL$10)/($AN$10-$AL$10),$AL$10+SQRT(AY386*($AN$10-$AL$10)*($AM$10-$AL$10)),$AN$10-SQRT((1-AY386)*($AN$10-$AL$10)*($AN$10-$AM$10))),$AM$10)</f>
        <v/>
      </c>
      <c r="AQ386">
        <f>IFERROR(IF(AZ386&lt;($AM$11-$AL$11)/($AN$11-$AL$11),$AL$11+SQRT(AZ386*($AN$11-$AL$11)*($AM$11-$AL$11)),$AN$11-SQRT((1-AZ386)*($AN$11-$AL$11)*($AN$11-$AM$11))),$AM$11)</f>
        <v/>
      </c>
      <c r="AR386">
        <f>SUMPRODUCT((B24:B31&lt;=$B$6)*(C24:C31*AM386+D24:D31*AO386*$B$8*AQ386)/(1+AL386/100)^B24:B31)+C32*AM386*AP386/(1+AL386/100)^$B$6</f>
        <v/>
      </c>
      <c r="AS386">
        <f>SUMPRODUCT((K24:K26&lt;=$B$6)*(L24:L26*AN386+M24:M26*AO386*$B$8*AQ386)/(1+AL386/100)^K24:K26)+L27*AN386*AP386/(1+AL386/100)^$B$6</f>
        <v/>
      </c>
      <c r="AT386">
        <f>AS386-AR386</f>
        <v/>
      </c>
      <c r="AU386">
        <f>RAND()</f>
        <v/>
      </c>
      <c r="AV386">
        <f>RAND()</f>
        <v/>
      </c>
      <c r="AW386">
        <f>RAND()</f>
        <v/>
      </c>
      <c r="AX386">
        <f>RAND()</f>
        <v/>
      </c>
      <c r="AY386">
        <f>RAND()</f>
        <v/>
      </c>
      <c r="AZ386">
        <f>RAND()</f>
        <v/>
      </c>
    </row>
    <row r="387">
      <c r="AK387" t="n">
        <v>374</v>
      </c>
      <c r="AL387">
        <f>IFERROR(IF(AU387&lt;($AM$6-$AL$6)/($AN$6-$AL$6),$AL$6+SQRT(AU387*($AN$6-$AL$6)*($AM$6-$AL$6)),$AN$6-SQRT((1-AU387)*($AN$6-$AL$6)*($AN$6-$AM$6))),$AM$6)</f>
        <v/>
      </c>
      <c r="AM387">
        <f>IFERROR(IF(AV387&lt;($AM$7-$AL$7)/($AN$7-$AL$7),$AL$7+SQRT(AV387*($AN$7-$AL$7)*($AM$7-$AL$7)),$AN$7-SQRT((1-AV387)*($AN$7-$AL$7)*($AN$7-$AM$7))),$AM$7)</f>
        <v/>
      </c>
      <c r="AN387">
        <f>IFERROR(IF(AW387&lt;($AM$8-$AL$8)/($AN$8-$AL$8),$AL$8+SQRT(AW387*($AN$8-$AL$8)*($AM$8-$AL$8)),$AN$8-SQRT((1-AW387)*($AN$8-$AL$8)*($AN$8-$AM$8))),$AM$8)</f>
        <v/>
      </c>
      <c r="AO387">
        <f>IFERROR(IF(AX387&lt;($AM$9-$AL$9)/($AN$9-$AL$9),$AL$9+SQRT(AX387*($AN$9-$AL$9)*($AM$9-$AL$9)),$AN$9-SQRT((1-AX387)*($AN$9-$AL$9)*($AN$9-$AM$9))),$AM$9)</f>
        <v/>
      </c>
      <c r="AP387">
        <f>IFERROR(IF(AY387&lt;($AM$10-$AL$10)/($AN$10-$AL$10),$AL$10+SQRT(AY387*($AN$10-$AL$10)*($AM$10-$AL$10)),$AN$10-SQRT((1-AY387)*($AN$10-$AL$10)*($AN$10-$AM$10))),$AM$10)</f>
        <v/>
      </c>
      <c r="AQ387">
        <f>IFERROR(IF(AZ387&lt;($AM$11-$AL$11)/($AN$11-$AL$11),$AL$11+SQRT(AZ387*($AN$11-$AL$11)*($AM$11-$AL$11)),$AN$11-SQRT((1-AZ387)*($AN$11-$AL$11)*($AN$11-$AM$11))),$AM$11)</f>
        <v/>
      </c>
      <c r="AR387">
        <f>SUMPRODUCT((B24:B31&lt;=$B$6)*(C24:C31*AM387+D24:D31*AO387*$B$8*AQ387)/(1+AL387/100)^B24:B31)+C32*AM387*AP387/(1+AL387/100)^$B$6</f>
        <v/>
      </c>
      <c r="AS387">
        <f>SUMPRODUCT((K24:K26&lt;=$B$6)*(L24:L26*AN387+M24:M26*AO387*$B$8*AQ387)/(1+AL387/100)^K24:K26)+L27*AN387*AP387/(1+AL387/100)^$B$6</f>
        <v/>
      </c>
      <c r="AT387">
        <f>AS387-AR387</f>
        <v/>
      </c>
      <c r="AU387">
        <f>RAND()</f>
        <v/>
      </c>
      <c r="AV387">
        <f>RAND()</f>
        <v/>
      </c>
      <c r="AW387">
        <f>RAND()</f>
        <v/>
      </c>
      <c r="AX387">
        <f>RAND()</f>
        <v/>
      </c>
      <c r="AY387">
        <f>RAND()</f>
        <v/>
      </c>
      <c r="AZ387">
        <f>RAND()</f>
        <v/>
      </c>
    </row>
    <row r="388">
      <c r="AK388" t="n">
        <v>375</v>
      </c>
      <c r="AL388">
        <f>IFERROR(IF(AU388&lt;($AM$6-$AL$6)/($AN$6-$AL$6),$AL$6+SQRT(AU388*($AN$6-$AL$6)*($AM$6-$AL$6)),$AN$6-SQRT((1-AU388)*($AN$6-$AL$6)*($AN$6-$AM$6))),$AM$6)</f>
        <v/>
      </c>
      <c r="AM388">
        <f>IFERROR(IF(AV388&lt;($AM$7-$AL$7)/($AN$7-$AL$7),$AL$7+SQRT(AV388*($AN$7-$AL$7)*($AM$7-$AL$7)),$AN$7-SQRT((1-AV388)*($AN$7-$AL$7)*($AN$7-$AM$7))),$AM$7)</f>
        <v/>
      </c>
      <c r="AN388">
        <f>IFERROR(IF(AW388&lt;($AM$8-$AL$8)/($AN$8-$AL$8),$AL$8+SQRT(AW388*($AN$8-$AL$8)*($AM$8-$AL$8)),$AN$8-SQRT((1-AW388)*($AN$8-$AL$8)*($AN$8-$AM$8))),$AM$8)</f>
        <v/>
      </c>
      <c r="AO388">
        <f>IFERROR(IF(AX388&lt;($AM$9-$AL$9)/($AN$9-$AL$9),$AL$9+SQRT(AX388*($AN$9-$AL$9)*($AM$9-$AL$9)),$AN$9-SQRT((1-AX388)*($AN$9-$AL$9)*($AN$9-$AM$9))),$AM$9)</f>
        <v/>
      </c>
      <c r="AP388">
        <f>IFERROR(IF(AY388&lt;($AM$10-$AL$10)/($AN$10-$AL$10),$AL$10+SQRT(AY388*($AN$10-$AL$10)*($AM$10-$AL$10)),$AN$10-SQRT((1-AY388)*($AN$10-$AL$10)*($AN$10-$AM$10))),$AM$10)</f>
        <v/>
      </c>
      <c r="AQ388">
        <f>IFERROR(IF(AZ388&lt;($AM$11-$AL$11)/($AN$11-$AL$11),$AL$11+SQRT(AZ388*($AN$11-$AL$11)*($AM$11-$AL$11)),$AN$11-SQRT((1-AZ388)*($AN$11-$AL$11)*($AN$11-$AM$11))),$AM$11)</f>
        <v/>
      </c>
      <c r="AR388">
        <f>SUMPRODUCT((B24:B31&lt;=$B$6)*(C24:C31*AM388+D24:D31*AO388*$B$8*AQ388)/(1+AL388/100)^B24:B31)+C32*AM388*AP388/(1+AL388/100)^$B$6</f>
        <v/>
      </c>
      <c r="AS388">
        <f>SUMPRODUCT((K24:K26&lt;=$B$6)*(L24:L26*AN388+M24:M26*AO388*$B$8*AQ388)/(1+AL388/100)^K24:K26)+L27*AN388*AP388/(1+AL388/100)^$B$6</f>
        <v/>
      </c>
      <c r="AT388">
        <f>AS388-AR388</f>
        <v/>
      </c>
      <c r="AU388">
        <f>RAND()</f>
        <v/>
      </c>
      <c r="AV388">
        <f>RAND()</f>
        <v/>
      </c>
      <c r="AW388">
        <f>RAND()</f>
        <v/>
      </c>
      <c r="AX388">
        <f>RAND()</f>
        <v/>
      </c>
      <c r="AY388">
        <f>RAND()</f>
        <v/>
      </c>
      <c r="AZ388">
        <f>RAND()</f>
        <v/>
      </c>
    </row>
    <row r="389">
      <c r="AK389" t="n">
        <v>376</v>
      </c>
      <c r="AL389">
        <f>IFERROR(IF(AU389&lt;($AM$6-$AL$6)/($AN$6-$AL$6),$AL$6+SQRT(AU389*($AN$6-$AL$6)*($AM$6-$AL$6)),$AN$6-SQRT((1-AU389)*($AN$6-$AL$6)*($AN$6-$AM$6))),$AM$6)</f>
        <v/>
      </c>
      <c r="AM389">
        <f>IFERROR(IF(AV389&lt;($AM$7-$AL$7)/($AN$7-$AL$7),$AL$7+SQRT(AV389*($AN$7-$AL$7)*($AM$7-$AL$7)),$AN$7-SQRT((1-AV389)*($AN$7-$AL$7)*($AN$7-$AM$7))),$AM$7)</f>
        <v/>
      </c>
      <c r="AN389">
        <f>IFERROR(IF(AW389&lt;($AM$8-$AL$8)/($AN$8-$AL$8),$AL$8+SQRT(AW389*($AN$8-$AL$8)*($AM$8-$AL$8)),$AN$8-SQRT((1-AW389)*($AN$8-$AL$8)*($AN$8-$AM$8))),$AM$8)</f>
        <v/>
      </c>
      <c r="AO389">
        <f>IFERROR(IF(AX389&lt;($AM$9-$AL$9)/($AN$9-$AL$9),$AL$9+SQRT(AX389*($AN$9-$AL$9)*($AM$9-$AL$9)),$AN$9-SQRT((1-AX389)*($AN$9-$AL$9)*($AN$9-$AM$9))),$AM$9)</f>
        <v/>
      </c>
      <c r="AP389">
        <f>IFERROR(IF(AY389&lt;($AM$10-$AL$10)/($AN$10-$AL$10),$AL$10+SQRT(AY389*($AN$10-$AL$10)*($AM$10-$AL$10)),$AN$10-SQRT((1-AY389)*($AN$10-$AL$10)*($AN$10-$AM$10))),$AM$10)</f>
        <v/>
      </c>
      <c r="AQ389">
        <f>IFERROR(IF(AZ389&lt;($AM$11-$AL$11)/($AN$11-$AL$11),$AL$11+SQRT(AZ389*($AN$11-$AL$11)*($AM$11-$AL$11)),$AN$11-SQRT((1-AZ389)*($AN$11-$AL$11)*($AN$11-$AM$11))),$AM$11)</f>
        <v/>
      </c>
      <c r="AR389">
        <f>SUMPRODUCT((B24:B31&lt;=$B$6)*(C24:C31*AM389+D24:D31*AO389*$B$8*AQ389)/(1+AL389/100)^B24:B31)+C32*AM389*AP389/(1+AL389/100)^$B$6</f>
        <v/>
      </c>
      <c r="AS389">
        <f>SUMPRODUCT((K24:K26&lt;=$B$6)*(L24:L26*AN389+M24:M26*AO389*$B$8*AQ389)/(1+AL389/100)^K24:K26)+L27*AN389*AP389/(1+AL389/100)^$B$6</f>
        <v/>
      </c>
      <c r="AT389">
        <f>AS389-AR389</f>
        <v/>
      </c>
      <c r="AU389">
        <f>RAND()</f>
        <v/>
      </c>
      <c r="AV389">
        <f>RAND()</f>
        <v/>
      </c>
      <c r="AW389">
        <f>RAND()</f>
        <v/>
      </c>
      <c r="AX389">
        <f>RAND()</f>
        <v/>
      </c>
      <c r="AY389">
        <f>RAND()</f>
        <v/>
      </c>
      <c r="AZ389">
        <f>RAND()</f>
        <v/>
      </c>
    </row>
    <row r="390">
      <c r="AK390" t="n">
        <v>377</v>
      </c>
      <c r="AL390">
        <f>IFERROR(IF(AU390&lt;($AM$6-$AL$6)/($AN$6-$AL$6),$AL$6+SQRT(AU390*($AN$6-$AL$6)*($AM$6-$AL$6)),$AN$6-SQRT((1-AU390)*($AN$6-$AL$6)*($AN$6-$AM$6))),$AM$6)</f>
        <v/>
      </c>
      <c r="AM390">
        <f>IFERROR(IF(AV390&lt;($AM$7-$AL$7)/($AN$7-$AL$7),$AL$7+SQRT(AV390*($AN$7-$AL$7)*($AM$7-$AL$7)),$AN$7-SQRT((1-AV390)*($AN$7-$AL$7)*($AN$7-$AM$7))),$AM$7)</f>
        <v/>
      </c>
      <c r="AN390">
        <f>IFERROR(IF(AW390&lt;($AM$8-$AL$8)/($AN$8-$AL$8),$AL$8+SQRT(AW390*($AN$8-$AL$8)*($AM$8-$AL$8)),$AN$8-SQRT((1-AW390)*($AN$8-$AL$8)*($AN$8-$AM$8))),$AM$8)</f>
        <v/>
      </c>
      <c r="AO390">
        <f>IFERROR(IF(AX390&lt;($AM$9-$AL$9)/($AN$9-$AL$9),$AL$9+SQRT(AX390*($AN$9-$AL$9)*($AM$9-$AL$9)),$AN$9-SQRT((1-AX390)*($AN$9-$AL$9)*($AN$9-$AM$9))),$AM$9)</f>
        <v/>
      </c>
      <c r="AP390">
        <f>IFERROR(IF(AY390&lt;($AM$10-$AL$10)/($AN$10-$AL$10),$AL$10+SQRT(AY390*($AN$10-$AL$10)*($AM$10-$AL$10)),$AN$10-SQRT((1-AY390)*($AN$10-$AL$10)*($AN$10-$AM$10))),$AM$10)</f>
        <v/>
      </c>
      <c r="AQ390">
        <f>IFERROR(IF(AZ390&lt;($AM$11-$AL$11)/($AN$11-$AL$11),$AL$11+SQRT(AZ390*($AN$11-$AL$11)*($AM$11-$AL$11)),$AN$11-SQRT((1-AZ390)*($AN$11-$AL$11)*($AN$11-$AM$11))),$AM$11)</f>
        <v/>
      </c>
      <c r="AR390">
        <f>SUMPRODUCT((B24:B31&lt;=$B$6)*(C24:C31*AM390+D24:D31*AO390*$B$8*AQ390)/(1+AL390/100)^B24:B31)+C32*AM390*AP390/(1+AL390/100)^$B$6</f>
        <v/>
      </c>
      <c r="AS390">
        <f>SUMPRODUCT((K24:K26&lt;=$B$6)*(L24:L26*AN390+M24:M26*AO390*$B$8*AQ390)/(1+AL390/100)^K24:K26)+L27*AN390*AP390/(1+AL390/100)^$B$6</f>
        <v/>
      </c>
      <c r="AT390">
        <f>AS390-AR390</f>
        <v/>
      </c>
      <c r="AU390">
        <f>RAND()</f>
        <v/>
      </c>
      <c r="AV390">
        <f>RAND()</f>
        <v/>
      </c>
      <c r="AW390">
        <f>RAND()</f>
        <v/>
      </c>
      <c r="AX390">
        <f>RAND()</f>
        <v/>
      </c>
      <c r="AY390">
        <f>RAND()</f>
        <v/>
      </c>
      <c r="AZ390">
        <f>RAND()</f>
        <v/>
      </c>
    </row>
    <row r="391">
      <c r="AK391" t="n">
        <v>378</v>
      </c>
      <c r="AL391">
        <f>IFERROR(IF(AU391&lt;($AM$6-$AL$6)/($AN$6-$AL$6),$AL$6+SQRT(AU391*($AN$6-$AL$6)*($AM$6-$AL$6)),$AN$6-SQRT((1-AU391)*($AN$6-$AL$6)*($AN$6-$AM$6))),$AM$6)</f>
        <v/>
      </c>
      <c r="AM391">
        <f>IFERROR(IF(AV391&lt;($AM$7-$AL$7)/($AN$7-$AL$7),$AL$7+SQRT(AV391*($AN$7-$AL$7)*($AM$7-$AL$7)),$AN$7-SQRT((1-AV391)*($AN$7-$AL$7)*($AN$7-$AM$7))),$AM$7)</f>
        <v/>
      </c>
      <c r="AN391">
        <f>IFERROR(IF(AW391&lt;($AM$8-$AL$8)/($AN$8-$AL$8),$AL$8+SQRT(AW391*($AN$8-$AL$8)*($AM$8-$AL$8)),$AN$8-SQRT((1-AW391)*($AN$8-$AL$8)*($AN$8-$AM$8))),$AM$8)</f>
        <v/>
      </c>
      <c r="AO391">
        <f>IFERROR(IF(AX391&lt;($AM$9-$AL$9)/($AN$9-$AL$9),$AL$9+SQRT(AX391*($AN$9-$AL$9)*($AM$9-$AL$9)),$AN$9-SQRT((1-AX391)*($AN$9-$AL$9)*($AN$9-$AM$9))),$AM$9)</f>
        <v/>
      </c>
      <c r="AP391">
        <f>IFERROR(IF(AY391&lt;($AM$10-$AL$10)/($AN$10-$AL$10),$AL$10+SQRT(AY391*($AN$10-$AL$10)*($AM$10-$AL$10)),$AN$10-SQRT((1-AY391)*($AN$10-$AL$10)*($AN$10-$AM$10))),$AM$10)</f>
        <v/>
      </c>
      <c r="AQ391">
        <f>IFERROR(IF(AZ391&lt;($AM$11-$AL$11)/($AN$11-$AL$11),$AL$11+SQRT(AZ391*($AN$11-$AL$11)*($AM$11-$AL$11)),$AN$11-SQRT((1-AZ391)*($AN$11-$AL$11)*($AN$11-$AM$11))),$AM$11)</f>
        <v/>
      </c>
      <c r="AR391">
        <f>SUMPRODUCT((B24:B31&lt;=$B$6)*(C24:C31*AM391+D24:D31*AO391*$B$8*AQ391)/(1+AL391/100)^B24:B31)+C32*AM391*AP391/(1+AL391/100)^$B$6</f>
        <v/>
      </c>
      <c r="AS391">
        <f>SUMPRODUCT((K24:K26&lt;=$B$6)*(L24:L26*AN391+M24:M26*AO391*$B$8*AQ391)/(1+AL391/100)^K24:K26)+L27*AN391*AP391/(1+AL391/100)^$B$6</f>
        <v/>
      </c>
      <c r="AT391">
        <f>AS391-AR391</f>
        <v/>
      </c>
      <c r="AU391">
        <f>RAND()</f>
        <v/>
      </c>
      <c r="AV391">
        <f>RAND()</f>
        <v/>
      </c>
      <c r="AW391">
        <f>RAND()</f>
        <v/>
      </c>
      <c r="AX391">
        <f>RAND()</f>
        <v/>
      </c>
      <c r="AY391">
        <f>RAND()</f>
        <v/>
      </c>
      <c r="AZ391">
        <f>RAND()</f>
        <v/>
      </c>
    </row>
    <row r="392">
      <c r="AK392" t="n">
        <v>379</v>
      </c>
      <c r="AL392">
        <f>IFERROR(IF(AU392&lt;($AM$6-$AL$6)/($AN$6-$AL$6),$AL$6+SQRT(AU392*($AN$6-$AL$6)*($AM$6-$AL$6)),$AN$6-SQRT((1-AU392)*($AN$6-$AL$6)*($AN$6-$AM$6))),$AM$6)</f>
        <v/>
      </c>
      <c r="AM392">
        <f>IFERROR(IF(AV392&lt;($AM$7-$AL$7)/($AN$7-$AL$7),$AL$7+SQRT(AV392*($AN$7-$AL$7)*($AM$7-$AL$7)),$AN$7-SQRT((1-AV392)*($AN$7-$AL$7)*($AN$7-$AM$7))),$AM$7)</f>
        <v/>
      </c>
      <c r="AN392">
        <f>IFERROR(IF(AW392&lt;($AM$8-$AL$8)/($AN$8-$AL$8),$AL$8+SQRT(AW392*($AN$8-$AL$8)*($AM$8-$AL$8)),$AN$8-SQRT((1-AW392)*($AN$8-$AL$8)*($AN$8-$AM$8))),$AM$8)</f>
        <v/>
      </c>
      <c r="AO392">
        <f>IFERROR(IF(AX392&lt;($AM$9-$AL$9)/($AN$9-$AL$9),$AL$9+SQRT(AX392*($AN$9-$AL$9)*($AM$9-$AL$9)),$AN$9-SQRT((1-AX392)*($AN$9-$AL$9)*($AN$9-$AM$9))),$AM$9)</f>
        <v/>
      </c>
      <c r="AP392">
        <f>IFERROR(IF(AY392&lt;($AM$10-$AL$10)/($AN$10-$AL$10),$AL$10+SQRT(AY392*($AN$10-$AL$10)*($AM$10-$AL$10)),$AN$10-SQRT((1-AY392)*($AN$10-$AL$10)*($AN$10-$AM$10))),$AM$10)</f>
        <v/>
      </c>
      <c r="AQ392">
        <f>IFERROR(IF(AZ392&lt;($AM$11-$AL$11)/($AN$11-$AL$11),$AL$11+SQRT(AZ392*($AN$11-$AL$11)*($AM$11-$AL$11)),$AN$11-SQRT((1-AZ392)*($AN$11-$AL$11)*($AN$11-$AM$11))),$AM$11)</f>
        <v/>
      </c>
      <c r="AR392">
        <f>SUMPRODUCT((B24:B31&lt;=$B$6)*(C24:C31*AM392+D24:D31*AO392*$B$8*AQ392)/(1+AL392/100)^B24:B31)+C32*AM392*AP392/(1+AL392/100)^$B$6</f>
        <v/>
      </c>
      <c r="AS392">
        <f>SUMPRODUCT((K24:K26&lt;=$B$6)*(L24:L26*AN392+M24:M26*AO392*$B$8*AQ392)/(1+AL392/100)^K24:K26)+L27*AN392*AP392/(1+AL392/100)^$B$6</f>
        <v/>
      </c>
      <c r="AT392">
        <f>AS392-AR392</f>
        <v/>
      </c>
      <c r="AU392">
        <f>RAND()</f>
        <v/>
      </c>
      <c r="AV392">
        <f>RAND()</f>
        <v/>
      </c>
      <c r="AW392">
        <f>RAND()</f>
        <v/>
      </c>
      <c r="AX392">
        <f>RAND()</f>
        <v/>
      </c>
      <c r="AY392">
        <f>RAND()</f>
        <v/>
      </c>
      <c r="AZ392">
        <f>RAND()</f>
        <v/>
      </c>
    </row>
    <row r="393">
      <c r="AK393" t="n">
        <v>380</v>
      </c>
      <c r="AL393">
        <f>IFERROR(IF(AU393&lt;($AM$6-$AL$6)/($AN$6-$AL$6),$AL$6+SQRT(AU393*($AN$6-$AL$6)*($AM$6-$AL$6)),$AN$6-SQRT((1-AU393)*($AN$6-$AL$6)*($AN$6-$AM$6))),$AM$6)</f>
        <v/>
      </c>
      <c r="AM393">
        <f>IFERROR(IF(AV393&lt;($AM$7-$AL$7)/($AN$7-$AL$7),$AL$7+SQRT(AV393*($AN$7-$AL$7)*($AM$7-$AL$7)),$AN$7-SQRT((1-AV393)*($AN$7-$AL$7)*($AN$7-$AM$7))),$AM$7)</f>
        <v/>
      </c>
      <c r="AN393">
        <f>IFERROR(IF(AW393&lt;($AM$8-$AL$8)/($AN$8-$AL$8),$AL$8+SQRT(AW393*($AN$8-$AL$8)*($AM$8-$AL$8)),$AN$8-SQRT((1-AW393)*($AN$8-$AL$8)*($AN$8-$AM$8))),$AM$8)</f>
        <v/>
      </c>
      <c r="AO393">
        <f>IFERROR(IF(AX393&lt;($AM$9-$AL$9)/($AN$9-$AL$9),$AL$9+SQRT(AX393*($AN$9-$AL$9)*($AM$9-$AL$9)),$AN$9-SQRT((1-AX393)*($AN$9-$AL$9)*($AN$9-$AM$9))),$AM$9)</f>
        <v/>
      </c>
      <c r="AP393">
        <f>IFERROR(IF(AY393&lt;($AM$10-$AL$10)/($AN$10-$AL$10),$AL$10+SQRT(AY393*($AN$10-$AL$10)*($AM$10-$AL$10)),$AN$10-SQRT((1-AY393)*($AN$10-$AL$10)*($AN$10-$AM$10))),$AM$10)</f>
        <v/>
      </c>
      <c r="AQ393">
        <f>IFERROR(IF(AZ393&lt;($AM$11-$AL$11)/($AN$11-$AL$11),$AL$11+SQRT(AZ393*($AN$11-$AL$11)*($AM$11-$AL$11)),$AN$11-SQRT((1-AZ393)*($AN$11-$AL$11)*($AN$11-$AM$11))),$AM$11)</f>
        <v/>
      </c>
      <c r="AR393">
        <f>SUMPRODUCT((B24:B31&lt;=$B$6)*(C24:C31*AM393+D24:D31*AO393*$B$8*AQ393)/(1+AL393/100)^B24:B31)+C32*AM393*AP393/(1+AL393/100)^$B$6</f>
        <v/>
      </c>
      <c r="AS393">
        <f>SUMPRODUCT((K24:K26&lt;=$B$6)*(L24:L26*AN393+M24:M26*AO393*$B$8*AQ393)/(1+AL393/100)^K24:K26)+L27*AN393*AP393/(1+AL393/100)^$B$6</f>
        <v/>
      </c>
      <c r="AT393">
        <f>AS393-AR393</f>
        <v/>
      </c>
      <c r="AU393">
        <f>RAND()</f>
        <v/>
      </c>
      <c r="AV393">
        <f>RAND()</f>
        <v/>
      </c>
      <c r="AW393">
        <f>RAND()</f>
        <v/>
      </c>
      <c r="AX393">
        <f>RAND()</f>
        <v/>
      </c>
      <c r="AY393">
        <f>RAND()</f>
        <v/>
      </c>
      <c r="AZ393">
        <f>RAND()</f>
        <v/>
      </c>
    </row>
    <row r="394">
      <c r="AK394" t="n">
        <v>381</v>
      </c>
      <c r="AL394">
        <f>IFERROR(IF(AU394&lt;($AM$6-$AL$6)/($AN$6-$AL$6),$AL$6+SQRT(AU394*($AN$6-$AL$6)*($AM$6-$AL$6)),$AN$6-SQRT((1-AU394)*($AN$6-$AL$6)*($AN$6-$AM$6))),$AM$6)</f>
        <v/>
      </c>
      <c r="AM394">
        <f>IFERROR(IF(AV394&lt;($AM$7-$AL$7)/($AN$7-$AL$7),$AL$7+SQRT(AV394*($AN$7-$AL$7)*($AM$7-$AL$7)),$AN$7-SQRT((1-AV394)*($AN$7-$AL$7)*($AN$7-$AM$7))),$AM$7)</f>
        <v/>
      </c>
      <c r="AN394">
        <f>IFERROR(IF(AW394&lt;($AM$8-$AL$8)/($AN$8-$AL$8),$AL$8+SQRT(AW394*($AN$8-$AL$8)*($AM$8-$AL$8)),$AN$8-SQRT((1-AW394)*($AN$8-$AL$8)*($AN$8-$AM$8))),$AM$8)</f>
        <v/>
      </c>
      <c r="AO394">
        <f>IFERROR(IF(AX394&lt;($AM$9-$AL$9)/($AN$9-$AL$9),$AL$9+SQRT(AX394*($AN$9-$AL$9)*($AM$9-$AL$9)),$AN$9-SQRT((1-AX394)*($AN$9-$AL$9)*($AN$9-$AM$9))),$AM$9)</f>
        <v/>
      </c>
      <c r="AP394">
        <f>IFERROR(IF(AY394&lt;($AM$10-$AL$10)/($AN$10-$AL$10),$AL$10+SQRT(AY394*($AN$10-$AL$10)*($AM$10-$AL$10)),$AN$10-SQRT((1-AY394)*($AN$10-$AL$10)*($AN$10-$AM$10))),$AM$10)</f>
        <v/>
      </c>
      <c r="AQ394">
        <f>IFERROR(IF(AZ394&lt;($AM$11-$AL$11)/($AN$11-$AL$11),$AL$11+SQRT(AZ394*($AN$11-$AL$11)*($AM$11-$AL$11)),$AN$11-SQRT((1-AZ394)*($AN$11-$AL$11)*($AN$11-$AM$11))),$AM$11)</f>
        <v/>
      </c>
      <c r="AR394">
        <f>SUMPRODUCT((B24:B31&lt;=$B$6)*(C24:C31*AM394+D24:D31*AO394*$B$8*AQ394)/(1+AL394/100)^B24:B31)+C32*AM394*AP394/(1+AL394/100)^$B$6</f>
        <v/>
      </c>
      <c r="AS394">
        <f>SUMPRODUCT((K24:K26&lt;=$B$6)*(L24:L26*AN394+M24:M26*AO394*$B$8*AQ394)/(1+AL394/100)^K24:K26)+L27*AN394*AP394/(1+AL394/100)^$B$6</f>
        <v/>
      </c>
      <c r="AT394">
        <f>AS394-AR394</f>
        <v/>
      </c>
      <c r="AU394">
        <f>RAND()</f>
        <v/>
      </c>
      <c r="AV394">
        <f>RAND()</f>
        <v/>
      </c>
      <c r="AW394">
        <f>RAND()</f>
        <v/>
      </c>
      <c r="AX394">
        <f>RAND()</f>
        <v/>
      </c>
      <c r="AY394">
        <f>RAND()</f>
        <v/>
      </c>
      <c r="AZ394">
        <f>RAND()</f>
        <v/>
      </c>
    </row>
    <row r="395">
      <c r="AK395" t="n">
        <v>382</v>
      </c>
      <c r="AL395">
        <f>IFERROR(IF(AU395&lt;($AM$6-$AL$6)/($AN$6-$AL$6),$AL$6+SQRT(AU395*($AN$6-$AL$6)*($AM$6-$AL$6)),$AN$6-SQRT((1-AU395)*($AN$6-$AL$6)*($AN$6-$AM$6))),$AM$6)</f>
        <v/>
      </c>
      <c r="AM395">
        <f>IFERROR(IF(AV395&lt;($AM$7-$AL$7)/($AN$7-$AL$7),$AL$7+SQRT(AV395*($AN$7-$AL$7)*($AM$7-$AL$7)),$AN$7-SQRT((1-AV395)*($AN$7-$AL$7)*($AN$7-$AM$7))),$AM$7)</f>
        <v/>
      </c>
      <c r="AN395">
        <f>IFERROR(IF(AW395&lt;($AM$8-$AL$8)/($AN$8-$AL$8),$AL$8+SQRT(AW395*($AN$8-$AL$8)*($AM$8-$AL$8)),$AN$8-SQRT((1-AW395)*($AN$8-$AL$8)*($AN$8-$AM$8))),$AM$8)</f>
        <v/>
      </c>
      <c r="AO395">
        <f>IFERROR(IF(AX395&lt;($AM$9-$AL$9)/($AN$9-$AL$9),$AL$9+SQRT(AX395*($AN$9-$AL$9)*($AM$9-$AL$9)),$AN$9-SQRT((1-AX395)*($AN$9-$AL$9)*($AN$9-$AM$9))),$AM$9)</f>
        <v/>
      </c>
      <c r="AP395">
        <f>IFERROR(IF(AY395&lt;($AM$10-$AL$10)/($AN$10-$AL$10),$AL$10+SQRT(AY395*($AN$10-$AL$10)*($AM$10-$AL$10)),$AN$10-SQRT((1-AY395)*($AN$10-$AL$10)*($AN$10-$AM$10))),$AM$10)</f>
        <v/>
      </c>
      <c r="AQ395">
        <f>IFERROR(IF(AZ395&lt;($AM$11-$AL$11)/($AN$11-$AL$11),$AL$11+SQRT(AZ395*($AN$11-$AL$11)*($AM$11-$AL$11)),$AN$11-SQRT((1-AZ395)*($AN$11-$AL$11)*($AN$11-$AM$11))),$AM$11)</f>
        <v/>
      </c>
      <c r="AR395">
        <f>SUMPRODUCT((B24:B31&lt;=$B$6)*(C24:C31*AM395+D24:D31*AO395*$B$8*AQ395)/(1+AL395/100)^B24:B31)+C32*AM395*AP395/(1+AL395/100)^$B$6</f>
        <v/>
      </c>
      <c r="AS395">
        <f>SUMPRODUCT((K24:K26&lt;=$B$6)*(L24:L26*AN395+M24:M26*AO395*$B$8*AQ395)/(1+AL395/100)^K24:K26)+L27*AN395*AP395/(1+AL395/100)^$B$6</f>
        <v/>
      </c>
      <c r="AT395">
        <f>AS395-AR395</f>
        <v/>
      </c>
      <c r="AU395">
        <f>RAND()</f>
        <v/>
      </c>
      <c r="AV395">
        <f>RAND()</f>
        <v/>
      </c>
      <c r="AW395">
        <f>RAND()</f>
        <v/>
      </c>
      <c r="AX395">
        <f>RAND()</f>
        <v/>
      </c>
      <c r="AY395">
        <f>RAND()</f>
        <v/>
      </c>
      <c r="AZ395">
        <f>RAND()</f>
        <v/>
      </c>
    </row>
    <row r="396">
      <c r="AK396" t="n">
        <v>383</v>
      </c>
      <c r="AL396">
        <f>IFERROR(IF(AU396&lt;($AM$6-$AL$6)/($AN$6-$AL$6),$AL$6+SQRT(AU396*($AN$6-$AL$6)*($AM$6-$AL$6)),$AN$6-SQRT((1-AU396)*($AN$6-$AL$6)*($AN$6-$AM$6))),$AM$6)</f>
        <v/>
      </c>
      <c r="AM396">
        <f>IFERROR(IF(AV396&lt;($AM$7-$AL$7)/($AN$7-$AL$7),$AL$7+SQRT(AV396*($AN$7-$AL$7)*($AM$7-$AL$7)),$AN$7-SQRT((1-AV396)*($AN$7-$AL$7)*($AN$7-$AM$7))),$AM$7)</f>
        <v/>
      </c>
      <c r="AN396">
        <f>IFERROR(IF(AW396&lt;($AM$8-$AL$8)/($AN$8-$AL$8),$AL$8+SQRT(AW396*($AN$8-$AL$8)*($AM$8-$AL$8)),$AN$8-SQRT((1-AW396)*($AN$8-$AL$8)*($AN$8-$AM$8))),$AM$8)</f>
        <v/>
      </c>
      <c r="AO396">
        <f>IFERROR(IF(AX396&lt;($AM$9-$AL$9)/($AN$9-$AL$9),$AL$9+SQRT(AX396*($AN$9-$AL$9)*($AM$9-$AL$9)),$AN$9-SQRT((1-AX396)*($AN$9-$AL$9)*($AN$9-$AM$9))),$AM$9)</f>
        <v/>
      </c>
      <c r="AP396">
        <f>IFERROR(IF(AY396&lt;($AM$10-$AL$10)/($AN$10-$AL$10),$AL$10+SQRT(AY396*($AN$10-$AL$10)*($AM$10-$AL$10)),$AN$10-SQRT((1-AY396)*($AN$10-$AL$10)*($AN$10-$AM$10))),$AM$10)</f>
        <v/>
      </c>
      <c r="AQ396">
        <f>IFERROR(IF(AZ396&lt;($AM$11-$AL$11)/($AN$11-$AL$11),$AL$11+SQRT(AZ396*($AN$11-$AL$11)*($AM$11-$AL$11)),$AN$11-SQRT((1-AZ396)*($AN$11-$AL$11)*($AN$11-$AM$11))),$AM$11)</f>
        <v/>
      </c>
      <c r="AR396">
        <f>SUMPRODUCT((B24:B31&lt;=$B$6)*(C24:C31*AM396+D24:D31*AO396*$B$8*AQ396)/(1+AL396/100)^B24:B31)+C32*AM396*AP396/(1+AL396/100)^$B$6</f>
        <v/>
      </c>
      <c r="AS396">
        <f>SUMPRODUCT((K24:K26&lt;=$B$6)*(L24:L26*AN396+M24:M26*AO396*$B$8*AQ396)/(1+AL396/100)^K24:K26)+L27*AN396*AP396/(1+AL396/100)^$B$6</f>
        <v/>
      </c>
      <c r="AT396">
        <f>AS396-AR396</f>
        <v/>
      </c>
      <c r="AU396">
        <f>RAND()</f>
        <v/>
      </c>
      <c r="AV396">
        <f>RAND()</f>
        <v/>
      </c>
      <c r="AW396">
        <f>RAND()</f>
        <v/>
      </c>
      <c r="AX396">
        <f>RAND()</f>
        <v/>
      </c>
      <c r="AY396">
        <f>RAND()</f>
        <v/>
      </c>
      <c r="AZ396">
        <f>RAND()</f>
        <v/>
      </c>
    </row>
    <row r="397">
      <c r="AK397" t="n">
        <v>384</v>
      </c>
      <c r="AL397">
        <f>IFERROR(IF(AU397&lt;($AM$6-$AL$6)/($AN$6-$AL$6),$AL$6+SQRT(AU397*($AN$6-$AL$6)*($AM$6-$AL$6)),$AN$6-SQRT((1-AU397)*($AN$6-$AL$6)*($AN$6-$AM$6))),$AM$6)</f>
        <v/>
      </c>
      <c r="AM397">
        <f>IFERROR(IF(AV397&lt;($AM$7-$AL$7)/($AN$7-$AL$7),$AL$7+SQRT(AV397*($AN$7-$AL$7)*($AM$7-$AL$7)),$AN$7-SQRT((1-AV397)*($AN$7-$AL$7)*($AN$7-$AM$7))),$AM$7)</f>
        <v/>
      </c>
      <c r="AN397">
        <f>IFERROR(IF(AW397&lt;($AM$8-$AL$8)/($AN$8-$AL$8),$AL$8+SQRT(AW397*($AN$8-$AL$8)*($AM$8-$AL$8)),$AN$8-SQRT((1-AW397)*($AN$8-$AL$8)*($AN$8-$AM$8))),$AM$8)</f>
        <v/>
      </c>
      <c r="AO397">
        <f>IFERROR(IF(AX397&lt;($AM$9-$AL$9)/($AN$9-$AL$9),$AL$9+SQRT(AX397*($AN$9-$AL$9)*($AM$9-$AL$9)),$AN$9-SQRT((1-AX397)*($AN$9-$AL$9)*($AN$9-$AM$9))),$AM$9)</f>
        <v/>
      </c>
      <c r="AP397">
        <f>IFERROR(IF(AY397&lt;($AM$10-$AL$10)/($AN$10-$AL$10),$AL$10+SQRT(AY397*($AN$10-$AL$10)*($AM$10-$AL$10)),$AN$10-SQRT((1-AY397)*($AN$10-$AL$10)*($AN$10-$AM$10))),$AM$10)</f>
        <v/>
      </c>
      <c r="AQ397">
        <f>IFERROR(IF(AZ397&lt;($AM$11-$AL$11)/($AN$11-$AL$11),$AL$11+SQRT(AZ397*($AN$11-$AL$11)*($AM$11-$AL$11)),$AN$11-SQRT((1-AZ397)*($AN$11-$AL$11)*($AN$11-$AM$11))),$AM$11)</f>
        <v/>
      </c>
      <c r="AR397">
        <f>SUMPRODUCT((B24:B31&lt;=$B$6)*(C24:C31*AM397+D24:D31*AO397*$B$8*AQ397)/(1+AL397/100)^B24:B31)+C32*AM397*AP397/(1+AL397/100)^$B$6</f>
        <v/>
      </c>
      <c r="AS397">
        <f>SUMPRODUCT((K24:K26&lt;=$B$6)*(L24:L26*AN397+M24:M26*AO397*$B$8*AQ397)/(1+AL397/100)^K24:K26)+L27*AN397*AP397/(1+AL397/100)^$B$6</f>
        <v/>
      </c>
      <c r="AT397">
        <f>AS397-AR397</f>
        <v/>
      </c>
      <c r="AU397">
        <f>RAND()</f>
        <v/>
      </c>
      <c r="AV397">
        <f>RAND()</f>
        <v/>
      </c>
      <c r="AW397">
        <f>RAND()</f>
        <v/>
      </c>
      <c r="AX397">
        <f>RAND()</f>
        <v/>
      </c>
      <c r="AY397">
        <f>RAND()</f>
        <v/>
      </c>
      <c r="AZ397">
        <f>RAND()</f>
        <v/>
      </c>
    </row>
    <row r="398">
      <c r="AK398" t="n">
        <v>385</v>
      </c>
      <c r="AL398">
        <f>IFERROR(IF(AU398&lt;($AM$6-$AL$6)/($AN$6-$AL$6),$AL$6+SQRT(AU398*($AN$6-$AL$6)*($AM$6-$AL$6)),$AN$6-SQRT((1-AU398)*($AN$6-$AL$6)*($AN$6-$AM$6))),$AM$6)</f>
        <v/>
      </c>
      <c r="AM398">
        <f>IFERROR(IF(AV398&lt;($AM$7-$AL$7)/($AN$7-$AL$7),$AL$7+SQRT(AV398*($AN$7-$AL$7)*($AM$7-$AL$7)),$AN$7-SQRT((1-AV398)*($AN$7-$AL$7)*($AN$7-$AM$7))),$AM$7)</f>
        <v/>
      </c>
      <c r="AN398">
        <f>IFERROR(IF(AW398&lt;($AM$8-$AL$8)/($AN$8-$AL$8),$AL$8+SQRT(AW398*($AN$8-$AL$8)*($AM$8-$AL$8)),$AN$8-SQRT((1-AW398)*($AN$8-$AL$8)*($AN$8-$AM$8))),$AM$8)</f>
        <v/>
      </c>
      <c r="AO398">
        <f>IFERROR(IF(AX398&lt;($AM$9-$AL$9)/($AN$9-$AL$9),$AL$9+SQRT(AX398*($AN$9-$AL$9)*($AM$9-$AL$9)),$AN$9-SQRT((1-AX398)*($AN$9-$AL$9)*($AN$9-$AM$9))),$AM$9)</f>
        <v/>
      </c>
      <c r="AP398">
        <f>IFERROR(IF(AY398&lt;($AM$10-$AL$10)/($AN$10-$AL$10),$AL$10+SQRT(AY398*($AN$10-$AL$10)*($AM$10-$AL$10)),$AN$10-SQRT((1-AY398)*($AN$10-$AL$10)*($AN$10-$AM$10))),$AM$10)</f>
        <v/>
      </c>
      <c r="AQ398">
        <f>IFERROR(IF(AZ398&lt;($AM$11-$AL$11)/($AN$11-$AL$11),$AL$11+SQRT(AZ398*($AN$11-$AL$11)*($AM$11-$AL$11)),$AN$11-SQRT((1-AZ398)*($AN$11-$AL$11)*($AN$11-$AM$11))),$AM$11)</f>
        <v/>
      </c>
      <c r="AR398">
        <f>SUMPRODUCT((B24:B31&lt;=$B$6)*(C24:C31*AM398+D24:D31*AO398*$B$8*AQ398)/(1+AL398/100)^B24:B31)+C32*AM398*AP398/(1+AL398/100)^$B$6</f>
        <v/>
      </c>
      <c r="AS398">
        <f>SUMPRODUCT((K24:K26&lt;=$B$6)*(L24:L26*AN398+M24:M26*AO398*$B$8*AQ398)/(1+AL398/100)^K24:K26)+L27*AN398*AP398/(1+AL398/100)^$B$6</f>
        <v/>
      </c>
      <c r="AT398">
        <f>AS398-AR398</f>
        <v/>
      </c>
      <c r="AU398">
        <f>RAND()</f>
        <v/>
      </c>
      <c r="AV398">
        <f>RAND()</f>
        <v/>
      </c>
      <c r="AW398">
        <f>RAND()</f>
        <v/>
      </c>
      <c r="AX398">
        <f>RAND()</f>
        <v/>
      </c>
      <c r="AY398">
        <f>RAND()</f>
        <v/>
      </c>
      <c r="AZ398">
        <f>RAND()</f>
        <v/>
      </c>
    </row>
    <row r="399">
      <c r="AK399" t="n">
        <v>386</v>
      </c>
      <c r="AL399">
        <f>IFERROR(IF(AU399&lt;($AM$6-$AL$6)/($AN$6-$AL$6),$AL$6+SQRT(AU399*($AN$6-$AL$6)*($AM$6-$AL$6)),$AN$6-SQRT((1-AU399)*($AN$6-$AL$6)*($AN$6-$AM$6))),$AM$6)</f>
        <v/>
      </c>
      <c r="AM399">
        <f>IFERROR(IF(AV399&lt;($AM$7-$AL$7)/($AN$7-$AL$7),$AL$7+SQRT(AV399*($AN$7-$AL$7)*($AM$7-$AL$7)),$AN$7-SQRT((1-AV399)*($AN$7-$AL$7)*($AN$7-$AM$7))),$AM$7)</f>
        <v/>
      </c>
      <c r="AN399">
        <f>IFERROR(IF(AW399&lt;($AM$8-$AL$8)/($AN$8-$AL$8),$AL$8+SQRT(AW399*($AN$8-$AL$8)*($AM$8-$AL$8)),$AN$8-SQRT((1-AW399)*($AN$8-$AL$8)*($AN$8-$AM$8))),$AM$8)</f>
        <v/>
      </c>
      <c r="AO399">
        <f>IFERROR(IF(AX399&lt;($AM$9-$AL$9)/($AN$9-$AL$9),$AL$9+SQRT(AX399*($AN$9-$AL$9)*($AM$9-$AL$9)),$AN$9-SQRT((1-AX399)*($AN$9-$AL$9)*($AN$9-$AM$9))),$AM$9)</f>
        <v/>
      </c>
      <c r="AP399">
        <f>IFERROR(IF(AY399&lt;($AM$10-$AL$10)/($AN$10-$AL$10),$AL$10+SQRT(AY399*($AN$10-$AL$10)*($AM$10-$AL$10)),$AN$10-SQRT((1-AY399)*($AN$10-$AL$10)*($AN$10-$AM$10))),$AM$10)</f>
        <v/>
      </c>
      <c r="AQ399">
        <f>IFERROR(IF(AZ399&lt;($AM$11-$AL$11)/($AN$11-$AL$11),$AL$11+SQRT(AZ399*($AN$11-$AL$11)*($AM$11-$AL$11)),$AN$11-SQRT((1-AZ399)*($AN$11-$AL$11)*($AN$11-$AM$11))),$AM$11)</f>
        <v/>
      </c>
      <c r="AR399">
        <f>SUMPRODUCT((B24:B31&lt;=$B$6)*(C24:C31*AM399+D24:D31*AO399*$B$8*AQ399)/(1+AL399/100)^B24:B31)+C32*AM399*AP399/(1+AL399/100)^$B$6</f>
        <v/>
      </c>
      <c r="AS399">
        <f>SUMPRODUCT((K24:K26&lt;=$B$6)*(L24:L26*AN399+M24:M26*AO399*$B$8*AQ399)/(1+AL399/100)^K24:K26)+L27*AN399*AP399/(1+AL399/100)^$B$6</f>
        <v/>
      </c>
      <c r="AT399">
        <f>AS399-AR399</f>
        <v/>
      </c>
      <c r="AU399">
        <f>RAND()</f>
        <v/>
      </c>
      <c r="AV399">
        <f>RAND()</f>
        <v/>
      </c>
      <c r="AW399">
        <f>RAND()</f>
        <v/>
      </c>
      <c r="AX399">
        <f>RAND()</f>
        <v/>
      </c>
      <c r="AY399">
        <f>RAND()</f>
        <v/>
      </c>
      <c r="AZ399">
        <f>RAND()</f>
        <v/>
      </c>
    </row>
    <row r="400">
      <c r="AK400" t="n">
        <v>387</v>
      </c>
      <c r="AL400">
        <f>IFERROR(IF(AU400&lt;($AM$6-$AL$6)/($AN$6-$AL$6),$AL$6+SQRT(AU400*($AN$6-$AL$6)*($AM$6-$AL$6)),$AN$6-SQRT((1-AU400)*($AN$6-$AL$6)*($AN$6-$AM$6))),$AM$6)</f>
        <v/>
      </c>
      <c r="AM400">
        <f>IFERROR(IF(AV400&lt;($AM$7-$AL$7)/($AN$7-$AL$7),$AL$7+SQRT(AV400*($AN$7-$AL$7)*($AM$7-$AL$7)),$AN$7-SQRT((1-AV400)*($AN$7-$AL$7)*($AN$7-$AM$7))),$AM$7)</f>
        <v/>
      </c>
      <c r="AN400">
        <f>IFERROR(IF(AW400&lt;($AM$8-$AL$8)/($AN$8-$AL$8),$AL$8+SQRT(AW400*($AN$8-$AL$8)*($AM$8-$AL$8)),$AN$8-SQRT((1-AW400)*($AN$8-$AL$8)*($AN$8-$AM$8))),$AM$8)</f>
        <v/>
      </c>
      <c r="AO400">
        <f>IFERROR(IF(AX400&lt;($AM$9-$AL$9)/($AN$9-$AL$9),$AL$9+SQRT(AX400*($AN$9-$AL$9)*($AM$9-$AL$9)),$AN$9-SQRT((1-AX400)*($AN$9-$AL$9)*($AN$9-$AM$9))),$AM$9)</f>
        <v/>
      </c>
      <c r="AP400">
        <f>IFERROR(IF(AY400&lt;($AM$10-$AL$10)/($AN$10-$AL$10),$AL$10+SQRT(AY400*($AN$10-$AL$10)*($AM$10-$AL$10)),$AN$10-SQRT((1-AY400)*($AN$10-$AL$10)*($AN$10-$AM$10))),$AM$10)</f>
        <v/>
      </c>
      <c r="AQ400">
        <f>IFERROR(IF(AZ400&lt;($AM$11-$AL$11)/($AN$11-$AL$11),$AL$11+SQRT(AZ400*($AN$11-$AL$11)*($AM$11-$AL$11)),$AN$11-SQRT((1-AZ400)*($AN$11-$AL$11)*($AN$11-$AM$11))),$AM$11)</f>
        <v/>
      </c>
      <c r="AR400">
        <f>SUMPRODUCT((B24:B31&lt;=$B$6)*(C24:C31*AM400+D24:D31*AO400*$B$8*AQ400)/(1+AL400/100)^B24:B31)+C32*AM400*AP400/(1+AL400/100)^$B$6</f>
        <v/>
      </c>
      <c r="AS400">
        <f>SUMPRODUCT((K24:K26&lt;=$B$6)*(L24:L26*AN400+M24:M26*AO400*$B$8*AQ400)/(1+AL400/100)^K24:K26)+L27*AN400*AP400/(1+AL400/100)^$B$6</f>
        <v/>
      </c>
      <c r="AT400">
        <f>AS400-AR400</f>
        <v/>
      </c>
      <c r="AU400">
        <f>RAND()</f>
        <v/>
      </c>
      <c r="AV400">
        <f>RAND()</f>
        <v/>
      </c>
      <c r="AW400">
        <f>RAND()</f>
        <v/>
      </c>
      <c r="AX400">
        <f>RAND()</f>
        <v/>
      </c>
      <c r="AY400">
        <f>RAND()</f>
        <v/>
      </c>
      <c r="AZ400">
        <f>RAND()</f>
        <v/>
      </c>
    </row>
    <row r="401">
      <c r="AK401" t="n">
        <v>388</v>
      </c>
      <c r="AL401">
        <f>IFERROR(IF(AU401&lt;($AM$6-$AL$6)/($AN$6-$AL$6),$AL$6+SQRT(AU401*($AN$6-$AL$6)*($AM$6-$AL$6)),$AN$6-SQRT((1-AU401)*($AN$6-$AL$6)*($AN$6-$AM$6))),$AM$6)</f>
        <v/>
      </c>
      <c r="AM401">
        <f>IFERROR(IF(AV401&lt;($AM$7-$AL$7)/($AN$7-$AL$7),$AL$7+SQRT(AV401*($AN$7-$AL$7)*($AM$7-$AL$7)),$AN$7-SQRT((1-AV401)*($AN$7-$AL$7)*($AN$7-$AM$7))),$AM$7)</f>
        <v/>
      </c>
      <c r="AN401">
        <f>IFERROR(IF(AW401&lt;($AM$8-$AL$8)/($AN$8-$AL$8),$AL$8+SQRT(AW401*($AN$8-$AL$8)*($AM$8-$AL$8)),$AN$8-SQRT((1-AW401)*($AN$8-$AL$8)*($AN$8-$AM$8))),$AM$8)</f>
        <v/>
      </c>
      <c r="AO401">
        <f>IFERROR(IF(AX401&lt;($AM$9-$AL$9)/($AN$9-$AL$9),$AL$9+SQRT(AX401*($AN$9-$AL$9)*($AM$9-$AL$9)),$AN$9-SQRT((1-AX401)*($AN$9-$AL$9)*($AN$9-$AM$9))),$AM$9)</f>
        <v/>
      </c>
      <c r="AP401">
        <f>IFERROR(IF(AY401&lt;($AM$10-$AL$10)/($AN$10-$AL$10),$AL$10+SQRT(AY401*($AN$10-$AL$10)*($AM$10-$AL$10)),$AN$10-SQRT((1-AY401)*($AN$10-$AL$10)*($AN$10-$AM$10))),$AM$10)</f>
        <v/>
      </c>
      <c r="AQ401">
        <f>IFERROR(IF(AZ401&lt;($AM$11-$AL$11)/($AN$11-$AL$11),$AL$11+SQRT(AZ401*($AN$11-$AL$11)*($AM$11-$AL$11)),$AN$11-SQRT((1-AZ401)*($AN$11-$AL$11)*($AN$11-$AM$11))),$AM$11)</f>
        <v/>
      </c>
      <c r="AR401">
        <f>SUMPRODUCT((B24:B31&lt;=$B$6)*(C24:C31*AM401+D24:D31*AO401*$B$8*AQ401)/(1+AL401/100)^B24:B31)+C32*AM401*AP401/(1+AL401/100)^$B$6</f>
        <v/>
      </c>
      <c r="AS401">
        <f>SUMPRODUCT((K24:K26&lt;=$B$6)*(L24:L26*AN401+M24:M26*AO401*$B$8*AQ401)/(1+AL401/100)^K24:K26)+L27*AN401*AP401/(1+AL401/100)^$B$6</f>
        <v/>
      </c>
      <c r="AT401">
        <f>AS401-AR401</f>
        <v/>
      </c>
      <c r="AU401">
        <f>RAND()</f>
        <v/>
      </c>
      <c r="AV401">
        <f>RAND()</f>
        <v/>
      </c>
      <c r="AW401">
        <f>RAND()</f>
        <v/>
      </c>
      <c r="AX401">
        <f>RAND()</f>
        <v/>
      </c>
      <c r="AY401">
        <f>RAND()</f>
        <v/>
      </c>
      <c r="AZ401">
        <f>RAND()</f>
        <v/>
      </c>
    </row>
    <row r="402">
      <c r="AK402" t="n">
        <v>389</v>
      </c>
      <c r="AL402">
        <f>IFERROR(IF(AU402&lt;($AM$6-$AL$6)/($AN$6-$AL$6),$AL$6+SQRT(AU402*($AN$6-$AL$6)*($AM$6-$AL$6)),$AN$6-SQRT((1-AU402)*($AN$6-$AL$6)*($AN$6-$AM$6))),$AM$6)</f>
        <v/>
      </c>
      <c r="AM402">
        <f>IFERROR(IF(AV402&lt;($AM$7-$AL$7)/($AN$7-$AL$7),$AL$7+SQRT(AV402*($AN$7-$AL$7)*($AM$7-$AL$7)),$AN$7-SQRT((1-AV402)*($AN$7-$AL$7)*($AN$7-$AM$7))),$AM$7)</f>
        <v/>
      </c>
      <c r="AN402">
        <f>IFERROR(IF(AW402&lt;($AM$8-$AL$8)/($AN$8-$AL$8),$AL$8+SQRT(AW402*($AN$8-$AL$8)*($AM$8-$AL$8)),$AN$8-SQRT((1-AW402)*($AN$8-$AL$8)*($AN$8-$AM$8))),$AM$8)</f>
        <v/>
      </c>
      <c r="AO402">
        <f>IFERROR(IF(AX402&lt;($AM$9-$AL$9)/($AN$9-$AL$9),$AL$9+SQRT(AX402*($AN$9-$AL$9)*($AM$9-$AL$9)),$AN$9-SQRT((1-AX402)*($AN$9-$AL$9)*($AN$9-$AM$9))),$AM$9)</f>
        <v/>
      </c>
      <c r="AP402">
        <f>IFERROR(IF(AY402&lt;($AM$10-$AL$10)/($AN$10-$AL$10),$AL$10+SQRT(AY402*($AN$10-$AL$10)*($AM$10-$AL$10)),$AN$10-SQRT((1-AY402)*($AN$10-$AL$10)*($AN$10-$AM$10))),$AM$10)</f>
        <v/>
      </c>
      <c r="AQ402">
        <f>IFERROR(IF(AZ402&lt;($AM$11-$AL$11)/($AN$11-$AL$11),$AL$11+SQRT(AZ402*($AN$11-$AL$11)*($AM$11-$AL$11)),$AN$11-SQRT((1-AZ402)*($AN$11-$AL$11)*($AN$11-$AM$11))),$AM$11)</f>
        <v/>
      </c>
      <c r="AR402">
        <f>SUMPRODUCT((B24:B31&lt;=$B$6)*(C24:C31*AM402+D24:D31*AO402*$B$8*AQ402)/(1+AL402/100)^B24:B31)+C32*AM402*AP402/(1+AL402/100)^$B$6</f>
        <v/>
      </c>
      <c r="AS402">
        <f>SUMPRODUCT((K24:K26&lt;=$B$6)*(L24:L26*AN402+M24:M26*AO402*$B$8*AQ402)/(1+AL402/100)^K24:K26)+L27*AN402*AP402/(1+AL402/100)^$B$6</f>
        <v/>
      </c>
      <c r="AT402">
        <f>AS402-AR402</f>
        <v/>
      </c>
      <c r="AU402">
        <f>RAND()</f>
        <v/>
      </c>
      <c r="AV402">
        <f>RAND()</f>
        <v/>
      </c>
      <c r="AW402">
        <f>RAND()</f>
        <v/>
      </c>
      <c r="AX402">
        <f>RAND()</f>
        <v/>
      </c>
      <c r="AY402">
        <f>RAND()</f>
        <v/>
      </c>
      <c r="AZ402">
        <f>RAND()</f>
        <v/>
      </c>
    </row>
    <row r="403">
      <c r="AK403" t="n">
        <v>390</v>
      </c>
      <c r="AL403">
        <f>IFERROR(IF(AU403&lt;($AM$6-$AL$6)/($AN$6-$AL$6),$AL$6+SQRT(AU403*($AN$6-$AL$6)*($AM$6-$AL$6)),$AN$6-SQRT((1-AU403)*($AN$6-$AL$6)*($AN$6-$AM$6))),$AM$6)</f>
        <v/>
      </c>
      <c r="AM403">
        <f>IFERROR(IF(AV403&lt;($AM$7-$AL$7)/($AN$7-$AL$7),$AL$7+SQRT(AV403*($AN$7-$AL$7)*($AM$7-$AL$7)),$AN$7-SQRT((1-AV403)*($AN$7-$AL$7)*($AN$7-$AM$7))),$AM$7)</f>
        <v/>
      </c>
      <c r="AN403">
        <f>IFERROR(IF(AW403&lt;($AM$8-$AL$8)/($AN$8-$AL$8),$AL$8+SQRT(AW403*($AN$8-$AL$8)*($AM$8-$AL$8)),$AN$8-SQRT((1-AW403)*($AN$8-$AL$8)*($AN$8-$AM$8))),$AM$8)</f>
        <v/>
      </c>
      <c r="AO403">
        <f>IFERROR(IF(AX403&lt;($AM$9-$AL$9)/($AN$9-$AL$9),$AL$9+SQRT(AX403*($AN$9-$AL$9)*($AM$9-$AL$9)),$AN$9-SQRT((1-AX403)*($AN$9-$AL$9)*($AN$9-$AM$9))),$AM$9)</f>
        <v/>
      </c>
      <c r="AP403">
        <f>IFERROR(IF(AY403&lt;($AM$10-$AL$10)/($AN$10-$AL$10),$AL$10+SQRT(AY403*($AN$10-$AL$10)*($AM$10-$AL$10)),$AN$10-SQRT((1-AY403)*($AN$10-$AL$10)*($AN$10-$AM$10))),$AM$10)</f>
        <v/>
      </c>
      <c r="AQ403">
        <f>IFERROR(IF(AZ403&lt;($AM$11-$AL$11)/($AN$11-$AL$11),$AL$11+SQRT(AZ403*($AN$11-$AL$11)*($AM$11-$AL$11)),$AN$11-SQRT((1-AZ403)*($AN$11-$AL$11)*($AN$11-$AM$11))),$AM$11)</f>
        <v/>
      </c>
      <c r="AR403">
        <f>SUMPRODUCT((B24:B31&lt;=$B$6)*(C24:C31*AM403+D24:D31*AO403*$B$8*AQ403)/(1+AL403/100)^B24:B31)+C32*AM403*AP403/(1+AL403/100)^$B$6</f>
        <v/>
      </c>
      <c r="AS403">
        <f>SUMPRODUCT((K24:K26&lt;=$B$6)*(L24:L26*AN403+M24:M26*AO403*$B$8*AQ403)/(1+AL403/100)^K24:K26)+L27*AN403*AP403/(1+AL403/100)^$B$6</f>
        <v/>
      </c>
      <c r="AT403">
        <f>AS403-AR403</f>
        <v/>
      </c>
      <c r="AU403">
        <f>RAND()</f>
        <v/>
      </c>
      <c r="AV403">
        <f>RAND()</f>
        <v/>
      </c>
      <c r="AW403">
        <f>RAND()</f>
        <v/>
      </c>
      <c r="AX403">
        <f>RAND()</f>
        <v/>
      </c>
      <c r="AY403">
        <f>RAND()</f>
        <v/>
      </c>
      <c r="AZ403">
        <f>RAND()</f>
        <v/>
      </c>
    </row>
    <row r="404">
      <c r="AK404" t="n">
        <v>391</v>
      </c>
      <c r="AL404">
        <f>IFERROR(IF(AU404&lt;($AM$6-$AL$6)/($AN$6-$AL$6),$AL$6+SQRT(AU404*($AN$6-$AL$6)*($AM$6-$AL$6)),$AN$6-SQRT((1-AU404)*($AN$6-$AL$6)*($AN$6-$AM$6))),$AM$6)</f>
        <v/>
      </c>
      <c r="AM404">
        <f>IFERROR(IF(AV404&lt;($AM$7-$AL$7)/($AN$7-$AL$7),$AL$7+SQRT(AV404*($AN$7-$AL$7)*($AM$7-$AL$7)),$AN$7-SQRT((1-AV404)*($AN$7-$AL$7)*($AN$7-$AM$7))),$AM$7)</f>
        <v/>
      </c>
      <c r="AN404">
        <f>IFERROR(IF(AW404&lt;($AM$8-$AL$8)/($AN$8-$AL$8),$AL$8+SQRT(AW404*($AN$8-$AL$8)*($AM$8-$AL$8)),$AN$8-SQRT((1-AW404)*($AN$8-$AL$8)*($AN$8-$AM$8))),$AM$8)</f>
        <v/>
      </c>
      <c r="AO404">
        <f>IFERROR(IF(AX404&lt;($AM$9-$AL$9)/($AN$9-$AL$9),$AL$9+SQRT(AX404*($AN$9-$AL$9)*($AM$9-$AL$9)),$AN$9-SQRT((1-AX404)*($AN$9-$AL$9)*($AN$9-$AM$9))),$AM$9)</f>
        <v/>
      </c>
      <c r="AP404">
        <f>IFERROR(IF(AY404&lt;($AM$10-$AL$10)/($AN$10-$AL$10),$AL$10+SQRT(AY404*($AN$10-$AL$10)*($AM$10-$AL$10)),$AN$10-SQRT((1-AY404)*($AN$10-$AL$10)*($AN$10-$AM$10))),$AM$10)</f>
        <v/>
      </c>
      <c r="AQ404">
        <f>IFERROR(IF(AZ404&lt;($AM$11-$AL$11)/($AN$11-$AL$11),$AL$11+SQRT(AZ404*($AN$11-$AL$11)*($AM$11-$AL$11)),$AN$11-SQRT((1-AZ404)*($AN$11-$AL$11)*($AN$11-$AM$11))),$AM$11)</f>
        <v/>
      </c>
      <c r="AR404">
        <f>SUMPRODUCT((B24:B31&lt;=$B$6)*(C24:C31*AM404+D24:D31*AO404*$B$8*AQ404)/(1+AL404/100)^B24:B31)+C32*AM404*AP404/(1+AL404/100)^$B$6</f>
        <v/>
      </c>
      <c r="AS404">
        <f>SUMPRODUCT((K24:K26&lt;=$B$6)*(L24:L26*AN404+M24:M26*AO404*$B$8*AQ404)/(1+AL404/100)^K24:K26)+L27*AN404*AP404/(1+AL404/100)^$B$6</f>
        <v/>
      </c>
      <c r="AT404">
        <f>AS404-AR404</f>
        <v/>
      </c>
      <c r="AU404">
        <f>RAND()</f>
        <v/>
      </c>
      <c r="AV404">
        <f>RAND()</f>
        <v/>
      </c>
      <c r="AW404">
        <f>RAND()</f>
        <v/>
      </c>
      <c r="AX404">
        <f>RAND()</f>
        <v/>
      </c>
      <c r="AY404">
        <f>RAND()</f>
        <v/>
      </c>
      <c r="AZ404">
        <f>RAND()</f>
        <v/>
      </c>
    </row>
    <row r="405">
      <c r="AK405" t="n">
        <v>392</v>
      </c>
      <c r="AL405">
        <f>IFERROR(IF(AU405&lt;($AM$6-$AL$6)/($AN$6-$AL$6),$AL$6+SQRT(AU405*($AN$6-$AL$6)*($AM$6-$AL$6)),$AN$6-SQRT((1-AU405)*($AN$6-$AL$6)*($AN$6-$AM$6))),$AM$6)</f>
        <v/>
      </c>
      <c r="AM405">
        <f>IFERROR(IF(AV405&lt;($AM$7-$AL$7)/($AN$7-$AL$7),$AL$7+SQRT(AV405*($AN$7-$AL$7)*($AM$7-$AL$7)),$AN$7-SQRT((1-AV405)*($AN$7-$AL$7)*($AN$7-$AM$7))),$AM$7)</f>
        <v/>
      </c>
      <c r="AN405">
        <f>IFERROR(IF(AW405&lt;($AM$8-$AL$8)/($AN$8-$AL$8),$AL$8+SQRT(AW405*($AN$8-$AL$8)*($AM$8-$AL$8)),$AN$8-SQRT((1-AW405)*($AN$8-$AL$8)*($AN$8-$AM$8))),$AM$8)</f>
        <v/>
      </c>
      <c r="AO405">
        <f>IFERROR(IF(AX405&lt;($AM$9-$AL$9)/($AN$9-$AL$9),$AL$9+SQRT(AX405*($AN$9-$AL$9)*($AM$9-$AL$9)),$AN$9-SQRT((1-AX405)*($AN$9-$AL$9)*($AN$9-$AM$9))),$AM$9)</f>
        <v/>
      </c>
      <c r="AP405">
        <f>IFERROR(IF(AY405&lt;($AM$10-$AL$10)/($AN$10-$AL$10),$AL$10+SQRT(AY405*($AN$10-$AL$10)*($AM$10-$AL$10)),$AN$10-SQRT((1-AY405)*($AN$10-$AL$10)*($AN$10-$AM$10))),$AM$10)</f>
        <v/>
      </c>
      <c r="AQ405">
        <f>IFERROR(IF(AZ405&lt;($AM$11-$AL$11)/($AN$11-$AL$11),$AL$11+SQRT(AZ405*($AN$11-$AL$11)*($AM$11-$AL$11)),$AN$11-SQRT((1-AZ405)*($AN$11-$AL$11)*($AN$11-$AM$11))),$AM$11)</f>
        <v/>
      </c>
      <c r="AR405">
        <f>SUMPRODUCT((B24:B31&lt;=$B$6)*(C24:C31*AM405+D24:D31*AO405*$B$8*AQ405)/(1+AL405/100)^B24:B31)+C32*AM405*AP405/(1+AL405/100)^$B$6</f>
        <v/>
      </c>
      <c r="AS405">
        <f>SUMPRODUCT((K24:K26&lt;=$B$6)*(L24:L26*AN405+M24:M26*AO405*$B$8*AQ405)/(1+AL405/100)^K24:K26)+L27*AN405*AP405/(1+AL405/100)^$B$6</f>
        <v/>
      </c>
      <c r="AT405">
        <f>AS405-AR405</f>
        <v/>
      </c>
      <c r="AU405">
        <f>RAND()</f>
        <v/>
      </c>
      <c r="AV405">
        <f>RAND()</f>
        <v/>
      </c>
      <c r="AW405">
        <f>RAND()</f>
        <v/>
      </c>
      <c r="AX405">
        <f>RAND()</f>
        <v/>
      </c>
      <c r="AY405">
        <f>RAND()</f>
        <v/>
      </c>
      <c r="AZ405">
        <f>RAND()</f>
        <v/>
      </c>
    </row>
    <row r="406">
      <c r="AK406" t="n">
        <v>393</v>
      </c>
      <c r="AL406">
        <f>IFERROR(IF(AU406&lt;($AM$6-$AL$6)/($AN$6-$AL$6),$AL$6+SQRT(AU406*($AN$6-$AL$6)*($AM$6-$AL$6)),$AN$6-SQRT((1-AU406)*($AN$6-$AL$6)*($AN$6-$AM$6))),$AM$6)</f>
        <v/>
      </c>
      <c r="AM406">
        <f>IFERROR(IF(AV406&lt;($AM$7-$AL$7)/($AN$7-$AL$7),$AL$7+SQRT(AV406*($AN$7-$AL$7)*($AM$7-$AL$7)),$AN$7-SQRT((1-AV406)*($AN$7-$AL$7)*($AN$7-$AM$7))),$AM$7)</f>
        <v/>
      </c>
      <c r="AN406">
        <f>IFERROR(IF(AW406&lt;($AM$8-$AL$8)/($AN$8-$AL$8),$AL$8+SQRT(AW406*($AN$8-$AL$8)*($AM$8-$AL$8)),$AN$8-SQRT((1-AW406)*($AN$8-$AL$8)*($AN$8-$AM$8))),$AM$8)</f>
        <v/>
      </c>
      <c r="AO406">
        <f>IFERROR(IF(AX406&lt;($AM$9-$AL$9)/($AN$9-$AL$9),$AL$9+SQRT(AX406*($AN$9-$AL$9)*($AM$9-$AL$9)),$AN$9-SQRT((1-AX406)*($AN$9-$AL$9)*($AN$9-$AM$9))),$AM$9)</f>
        <v/>
      </c>
      <c r="AP406">
        <f>IFERROR(IF(AY406&lt;($AM$10-$AL$10)/($AN$10-$AL$10),$AL$10+SQRT(AY406*($AN$10-$AL$10)*($AM$10-$AL$10)),$AN$10-SQRT((1-AY406)*($AN$10-$AL$10)*($AN$10-$AM$10))),$AM$10)</f>
        <v/>
      </c>
      <c r="AQ406">
        <f>IFERROR(IF(AZ406&lt;($AM$11-$AL$11)/($AN$11-$AL$11),$AL$11+SQRT(AZ406*($AN$11-$AL$11)*($AM$11-$AL$11)),$AN$11-SQRT((1-AZ406)*($AN$11-$AL$11)*($AN$11-$AM$11))),$AM$11)</f>
        <v/>
      </c>
      <c r="AR406">
        <f>SUMPRODUCT((B24:B31&lt;=$B$6)*(C24:C31*AM406+D24:D31*AO406*$B$8*AQ406)/(1+AL406/100)^B24:B31)+C32*AM406*AP406/(1+AL406/100)^$B$6</f>
        <v/>
      </c>
      <c r="AS406">
        <f>SUMPRODUCT((K24:K26&lt;=$B$6)*(L24:L26*AN406+M24:M26*AO406*$B$8*AQ406)/(1+AL406/100)^K24:K26)+L27*AN406*AP406/(1+AL406/100)^$B$6</f>
        <v/>
      </c>
      <c r="AT406">
        <f>AS406-AR406</f>
        <v/>
      </c>
      <c r="AU406">
        <f>RAND()</f>
        <v/>
      </c>
      <c r="AV406">
        <f>RAND()</f>
        <v/>
      </c>
      <c r="AW406">
        <f>RAND()</f>
        <v/>
      </c>
      <c r="AX406">
        <f>RAND()</f>
        <v/>
      </c>
      <c r="AY406">
        <f>RAND()</f>
        <v/>
      </c>
      <c r="AZ406">
        <f>RAND()</f>
        <v/>
      </c>
    </row>
    <row r="407">
      <c r="AK407" t="n">
        <v>394</v>
      </c>
      <c r="AL407">
        <f>IFERROR(IF(AU407&lt;($AM$6-$AL$6)/($AN$6-$AL$6),$AL$6+SQRT(AU407*($AN$6-$AL$6)*($AM$6-$AL$6)),$AN$6-SQRT((1-AU407)*($AN$6-$AL$6)*($AN$6-$AM$6))),$AM$6)</f>
        <v/>
      </c>
      <c r="AM407">
        <f>IFERROR(IF(AV407&lt;($AM$7-$AL$7)/($AN$7-$AL$7),$AL$7+SQRT(AV407*($AN$7-$AL$7)*($AM$7-$AL$7)),$AN$7-SQRT((1-AV407)*($AN$7-$AL$7)*($AN$7-$AM$7))),$AM$7)</f>
        <v/>
      </c>
      <c r="AN407">
        <f>IFERROR(IF(AW407&lt;($AM$8-$AL$8)/($AN$8-$AL$8),$AL$8+SQRT(AW407*($AN$8-$AL$8)*($AM$8-$AL$8)),$AN$8-SQRT((1-AW407)*($AN$8-$AL$8)*($AN$8-$AM$8))),$AM$8)</f>
        <v/>
      </c>
      <c r="AO407">
        <f>IFERROR(IF(AX407&lt;($AM$9-$AL$9)/($AN$9-$AL$9),$AL$9+SQRT(AX407*($AN$9-$AL$9)*($AM$9-$AL$9)),$AN$9-SQRT((1-AX407)*($AN$9-$AL$9)*($AN$9-$AM$9))),$AM$9)</f>
        <v/>
      </c>
      <c r="AP407">
        <f>IFERROR(IF(AY407&lt;($AM$10-$AL$10)/($AN$10-$AL$10),$AL$10+SQRT(AY407*($AN$10-$AL$10)*($AM$10-$AL$10)),$AN$10-SQRT((1-AY407)*($AN$10-$AL$10)*($AN$10-$AM$10))),$AM$10)</f>
        <v/>
      </c>
      <c r="AQ407">
        <f>IFERROR(IF(AZ407&lt;($AM$11-$AL$11)/($AN$11-$AL$11),$AL$11+SQRT(AZ407*($AN$11-$AL$11)*($AM$11-$AL$11)),$AN$11-SQRT((1-AZ407)*($AN$11-$AL$11)*($AN$11-$AM$11))),$AM$11)</f>
        <v/>
      </c>
      <c r="AR407">
        <f>SUMPRODUCT((B24:B31&lt;=$B$6)*(C24:C31*AM407+D24:D31*AO407*$B$8*AQ407)/(1+AL407/100)^B24:B31)+C32*AM407*AP407/(1+AL407/100)^$B$6</f>
        <v/>
      </c>
      <c r="AS407">
        <f>SUMPRODUCT((K24:K26&lt;=$B$6)*(L24:L26*AN407+M24:M26*AO407*$B$8*AQ407)/(1+AL407/100)^K24:K26)+L27*AN407*AP407/(1+AL407/100)^$B$6</f>
        <v/>
      </c>
      <c r="AT407">
        <f>AS407-AR407</f>
        <v/>
      </c>
      <c r="AU407">
        <f>RAND()</f>
        <v/>
      </c>
      <c r="AV407">
        <f>RAND()</f>
        <v/>
      </c>
      <c r="AW407">
        <f>RAND()</f>
        <v/>
      </c>
      <c r="AX407">
        <f>RAND()</f>
        <v/>
      </c>
      <c r="AY407">
        <f>RAND()</f>
        <v/>
      </c>
      <c r="AZ407">
        <f>RAND()</f>
        <v/>
      </c>
    </row>
    <row r="408">
      <c r="AK408" t="n">
        <v>395</v>
      </c>
      <c r="AL408">
        <f>IFERROR(IF(AU408&lt;($AM$6-$AL$6)/($AN$6-$AL$6),$AL$6+SQRT(AU408*($AN$6-$AL$6)*($AM$6-$AL$6)),$AN$6-SQRT((1-AU408)*($AN$6-$AL$6)*($AN$6-$AM$6))),$AM$6)</f>
        <v/>
      </c>
      <c r="AM408">
        <f>IFERROR(IF(AV408&lt;($AM$7-$AL$7)/($AN$7-$AL$7),$AL$7+SQRT(AV408*($AN$7-$AL$7)*($AM$7-$AL$7)),$AN$7-SQRT((1-AV408)*($AN$7-$AL$7)*($AN$7-$AM$7))),$AM$7)</f>
        <v/>
      </c>
      <c r="AN408">
        <f>IFERROR(IF(AW408&lt;($AM$8-$AL$8)/($AN$8-$AL$8),$AL$8+SQRT(AW408*($AN$8-$AL$8)*($AM$8-$AL$8)),$AN$8-SQRT((1-AW408)*($AN$8-$AL$8)*($AN$8-$AM$8))),$AM$8)</f>
        <v/>
      </c>
      <c r="AO408">
        <f>IFERROR(IF(AX408&lt;($AM$9-$AL$9)/($AN$9-$AL$9),$AL$9+SQRT(AX408*($AN$9-$AL$9)*($AM$9-$AL$9)),$AN$9-SQRT((1-AX408)*($AN$9-$AL$9)*($AN$9-$AM$9))),$AM$9)</f>
        <v/>
      </c>
      <c r="AP408">
        <f>IFERROR(IF(AY408&lt;($AM$10-$AL$10)/($AN$10-$AL$10),$AL$10+SQRT(AY408*($AN$10-$AL$10)*($AM$10-$AL$10)),$AN$10-SQRT((1-AY408)*($AN$10-$AL$10)*($AN$10-$AM$10))),$AM$10)</f>
        <v/>
      </c>
      <c r="AQ408">
        <f>IFERROR(IF(AZ408&lt;($AM$11-$AL$11)/($AN$11-$AL$11),$AL$11+SQRT(AZ408*($AN$11-$AL$11)*($AM$11-$AL$11)),$AN$11-SQRT((1-AZ408)*($AN$11-$AL$11)*($AN$11-$AM$11))),$AM$11)</f>
        <v/>
      </c>
      <c r="AR408">
        <f>SUMPRODUCT((B24:B31&lt;=$B$6)*(C24:C31*AM408+D24:D31*AO408*$B$8*AQ408)/(1+AL408/100)^B24:B31)+C32*AM408*AP408/(1+AL408/100)^$B$6</f>
        <v/>
      </c>
      <c r="AS408">
        <f>SUMPRODUCT((K24:K26&lt;=$B$6)*(L24:L26*AN408+M24:M26*AO408*$B$8*AQ408)/(1+AL408/100)^K24:K26)+L27*AN408*AP408/(1+AL408/100)^$B$6</f>
        <v/>
      </c>
      <c r="AT408">
        <f>AS408-AR408</f>
        <v/>
      </c>
      <c r="AU408">
        <f>RAND()</f>
        <v/>
      </c>
      <c r="AV408">
        <f>RAND()</f>
        <v/>
      </c>
      <c r="AW408">
        <f>RAND()</f>
        <v/>
      </c>
      <c r="AX408">
        <f>RAND()</f>
        <v/>
      </c>
      <c r="AY408">
        <f>RAND()</f>
        <v/>
      </c>
      <c r="AZ408">
        <f>RAND()</f>
        <v/>
      </c>
    </row>
    <row r="409">
      <c r="AK409" t="n">
        <v>396</v>
      </c>
      <c r="AL409">
        <f>IFERROR(IF(AU409&lt;($AM$6-$AL$6)/($AN$6-$AL$6),$AL$6+SQRT(AU409*($AN$6-$AL$6)*($AM$6-$AL$6)),$AN$6-SQRT((1-AU409)*($AN$6-$AL$6)*($AN$6-$AM$6))),$AM$6)</f>
        <v/>
      </c>
      <c r="AM409">
        <f>IFERROR(IF(AV409&lt;($AM$7-$AL$7)/($AN$7-$AL$7),$AL$7+SQRT(AV409*($AN$7-$AL$7)*($AM$7-$AL$7)),$AN$7-SQRT((1-AV409)*($AN$7-$AL$7)*($AN$7-$AM$7))),$AM$7)</f>
        <v/>
      </c>
      <c r="AN409">
        <f>IFERROR(IF(AW409&lt;($AM$8-$AL$8)/($AN$8-$AL$8),$AL$8+SQRT(AW409*($AN$8-$AL$8)*($AM$8-$AL$8)),$AN$8-SQRT((1-AW409)*($AN$8-$AL$8)*($AN$8-$AM$8))),$AM$8)</f>
        <v/>
      </c>
      <c r="AO409">
        <f>IFERROR(IF(AX409&lt;($AM$9-$AL$9)/($AN$9-$AL$9),$AL$9+SQRT(AX409*($AN$9-$AL$9)*($AM$9-$AL$9)),$AN$9-SQRT((1-AX409)*($AN$9-$AL$9)*($AN$9-$AM$9))),$AM$9)</f>
        <v/>
      </c>
      <c r="AP409">
        <f>IFERROR(IF(AY409&lt;($AM$10-$AL$10)/($AN$10-$AL$10),$AL$10+SQRT(AY409*($AN$10-$AL$10)*($AM$10-$AL$10)),$AN$10-SQRT((1-AY409)*($AN$10-$AL$10)*($AN$10-$AM$10))),$AM$10)</f>
        <v/>
      </c>
      <c r="AQ409">
        <f>IFERROR(IF(AZ409&lt;($AM$11-$AL$11)/($AN$11-$AL$11),$AL$11+SQRT(AZ409*($AN$11-$AL$11)*($AM$11-$AL$11)),$AN$11-SQRT((1-AZ409)*($AN$11-$AL$11)*($AN$11-$AM$11))),$AM$11)</f>
        <v/>
      </c>
      <c r="AR409">
        <f>SUMPRODUCT((B24:B31&lt;=$B$6)*(C24:C31*AM409+D24:D31*AO409*$B$8*AQ409)/(1+AL409/100)^B24:B31)+C32*AM409*AP409/(1+AL409/100)^$B$6</f>
        <v/>
      </c>
      <c r="AS409">
        <f>SUMPRODUCT((K24:K26&lt;=$B$6)*(L24:L26*AN409+M24:M26*AO409*$B$8*AQ409)/(1+AL409/100)^K24:K26)+L27*AN409*AP409/(1+AL409/100)^$B$6</f>
        <v/>
      </c>
      <c r="AT409">
        <f>AS409-AR409</f>
        <v/>
      </c>
      <c r="AU409">
        <f>RAND()</f>
        <v/>
      </c>
      <c r="AV409">
        <f>RAND()</f>
        <v/>
      </c>
      <c r="AW409">
        <f>RAND()</f>
        <v/>
      </c>
      <c r="AX409">
        <f>RAND()</f>
        <v/>
      </c>
      <c r="AY409">
        <f>RAND()</f>
        <v/>
      </c>
      <c r="AZ409">
        <f>RAND()</f>
        <v/>
      </c>
    </row>
    <row r="410">
      <c r="AK410" t="n">
        <v>397</v>
      </c>
      <c r="AL410">
        <f>IFERROR(IF(AU410&lt;($AM$6-$AL$6)/($AN$6-$AL$6),$AL$6+SQRT(AU410*($AN$6-$AL$6)*($AM$6-$AL$6)),$AN$6-SQRT((1-AU410)*($AN$6-$AL$6)*($AN$6-$AM$6))),$AM$6)</f>
        <v/>
      </c>
      <c r="AM410">
        <f>IFERROR(IF(AV410&lt;($AM$7-$AL$7)/($AN$7-$AL$7),$AL$7+SQRT(AV410*($AN$7-$AL$7)*($AM$7-$AL$7)),$AN$7-SQRT((1-AV410)*($AN$7-$AL$7)*($AN$7-$AM$7))),$AM$7)</f>
        <v/>
      </c>
      <c r="AN410">
        <f>IFERROR(IF(AW410&lt;($AM$8-$AL$8)/($AN$8-$AL$8),$AL$8+SQRT(AW410*($AN$8-$AL$8)*($AM$8-$AL$8)),$AN$8-SQRT((1-AW410)*($AN$8-$AL$8)*($AN$8-$AM$8))),$AM$8)</f>
        <v/>
      </c>
      <c r="AO410">
        <f>IFERROR(IF(AX410&lt;($AM$9-$AL$9)/($AN$9-$AL$9),$AL$9+SQRT(AX410*($AN$9-$AL$9)*($AM$9-$AL$9)),$AN$9-SQRT((1-AX410)*($AN$9-$AL$9)*($AN$9-$AM$9))),$AM$9)</f>
        <v/>
      </c>
      <c r="AP410">
        <f>IFERROR(IF(AY410&lt;($AM$10-$AL$10)/($AN$10-$AL$10),$AL$10+SQRT(AY410*($AN$10-$AL$10)*($AM$10-$AL$10)),$AN$10-SQRT((1-AY410)*($AN$10-$AL$10)*($AN$10-$AM$10))),$AM$10)</f>
        <v/>
      </c>
      <c r="AQ410">
        <f>IFERROR(IF(AZ410&lt;($AM$11-$AL$11)/($AN$11-$AL$11),$AL$11+SQRT(AZ410*($AN$11-$AL$11)*($AM$11-$AL$11)),$AN$11-SQRT((1-AZ410)*($AN$11-$AL$11)*($AN$11-$AM$11))),$AM$11)</f>
        <v/>
      </c>
      <c r="AR410">
        <f>SUMPRODUCT((B24:B31&lt;=$B$6)*(C24:C31*AM410+D24:D31*AO410*$B$8*AQ410)/(1+AL410/100)^B24:B31)+C32*AM410*AP410/(1+AL410/100)^$B$6</f>
        <v/>
      </c>
      <c r="AS410">
        <f>SUMPRODUCT((K24:K26&lt;=$B$6)*(L24:L26*AN410+M24:M26*AO410*$B$8*AQ410)/(1+AL410/100)^K24:K26)+L27*AN410*AP410/(1+AL410/100)^$B$6</f>
        <v/>
      </c>
      <c r="AT410">
        <f>AS410-AR410</f>
        <v/>
      </c>
      <c r="AU410">
        <f>RAND()</f>
        <v/>
      </c>
      <c r="AV410">
        <f>RAND()</f>
        <v/>
      </c>
      <c r="AW410">
        <f>RAND()</f>
        <v/>
      </c>
      <c r="AX410">
        <f>RAND()</f>
        <v/>
      </c>
      <c r="AY410">
        <f>RAND()</f>
        <v/>
      </c>
      <c r="AZ410">
        <f>RAND()</f>
        <v/>
      </c>
    </row>
    <row r="411">
      <c r="AK411" t="n">
        <v>398</v>
      </c>
      <c r="AL411">
        <f>IFERROR(IF(AU411&lt;($AM$6-$AL$6)/($AN$6-$AL$6),$AL$6+SQRT(AU411*($AN$6-$AL$6)*($AM$6-$AL$6)),$AN$6-SQRT((1-AU411)*($AN$6-$AL$6)*($AN$6-$AM$6))),$AM$6)</f>
        <v/>
      </c>
      <c r="AM411">
        <f>IFERROR(IF(AV411&lt;($AM$7-$AL$7)/($AN$7-$AL$7),$AL$7+SQRT(AV411*($AN$7-$AL$7)*($AM$7-$AL$7)),$AN$7-SQRT((1-AV411)*($AN$7-$AL$7)*($AN$7-$AM$7))),$AM$7)</f>
        <v/>
      </c>
      <c r="AN411">
        <f>IFERROR(IF(AW411&lt;($AM$8-$AL$8)/($AN$8-$AL$8),$AL$8+SQRT(AW411*($AN$8-$AL$8)*($AM$8-$AL$8)),$AN$8-SQRT((1-AW411)*($AN$8-$AL$8)*($AN$8-$AM$8))),$AM$8)</f>
        <v/>
      </c>
      <c r="AO411">
        <f>IFERROR(IF(AX411&lt;($AM$9-$AL$9)/($AN$9-$AL$9),$AL$9+SQRT(AX411*($AN$9-$AL$9)*($AM$9-$AL$9)),$AN$9-SQRT((1-AX411)*($AN$9-$AL$9)*($AN$9-$AM$9))),$AM$9)</f>
        <v/>
      </c>
      <c r="AP411">
        <f>IFERROR(IF(AY411&lt;($AM$10-$AL$10)/($AN$10-$AL$10),$AL$10+SQRT(AY411*($AN$10-$AL$10)*($AM$10-$AL$10)),$AN$10-SQRT((1-AY411)*($AN$10-$AL$10)*($AN$10-$AM$10))),$AM$10)</f>
        <v/>
      </c>
      <c r="AQ411">
        <f>IFERROR(IF(AZ411&lt;($AM$11-$AL$11)/($AN$11-$AL$11),$AL$11+SQRT(AZ411*($AN$11-$AL$11)*($AM$11-$AL$11)),$AN$11-SQRT((1-AZ411)*($AN$11-$AL$11)*($AN$11-$AM$11))),$AM$11)</f>
        <v/>
      </c>
      <c r="AR411">
        <f>SUMPRODUCT((B24:B31&lt;=$B$6)*(C24:C31*AM411+D24:D31*AO411*$B$8*AQ411)/(1+AL411/100)^B24:B31)+C32*AM411*AP411/(1+AL411/100)^$B$6</f>
        <v/>
      </c>
      <c r="AS411">
        <f>SUMPRODUCT((K24:K26&lt;=$B$6)*(L24:L26*AN411+M24:M26*AO411*$B$8*AQ411)/(1+AL411/100)^K24:K26)+L27*AN411*AP411/(1+AL411/100)^$B$6</f>
        <v/>
      </c>
      <c r="AT411">
        <f>AS411-AR411</f>
        <v/>
      </c>
      <c r="AU411">
        <f>RAND()</f>
        <v/>
      </c>
      <c r="AV411">
        <f>RAND()</f>
        <v/>
      </c>
      <c r="AW411">
        <f>RAND()</f>
        <v/>
      </c>
      <c r="AX411">
        <f>RAND()</f>
        <v/>
      </c>
      <c r="AY411">
        <f>RAND()</f>
        <v/>
      </c>
      <c r="AZ411">
        <f>RAND()</f>
        <v/>
      </c>
    </row>
    <row r="412">
      <c r="AK412" t="n">
        <v>399</v>
      </c>
      <c r="AL412">
        <f>IFERROR(IF(AU412&lt;($AM$6-$AL$6)/($AN$6-$AL$6),$AL$6+SQRT(AU412*($AN$6-$AL$6)*($AM$6-$AL$6)),$AN$6-SQRT((1-AU412)*($AN$6-$AL$6)*($AN$6-$AM$6))),$AM$6)</f>
        <v/>
      </c>
      <c r="AM412">
        <f>IFERROR(IF(AV412&lt;($AM$7-$AL$7)/($AN$7-$AL$7),$AL$7+SQRT(AV412*($AN$7-$AL$7)*($AM$7-$AL$7)),$AN$7-SQRT((1-AV412)*($AN$7-$AL$7)*($AN$7-$AM$7))),$AM$7)</f>
        <v/>
      </c>
      <c r="AN412">
        <f>IFERROR(IF(AW412&lt;($AM$8-$AL$8)/($AN$8-$AL$8),$AL$8+SQRT(AW412*($AN$8-$AL$8)*($AM$8-$AL$8)),$AN$8-SQRT((1-AW412)*($AN$8-$AL$8)*($AN$8-$AM$8))),$AM$8)</f>
        <v/>
      </c>
      <c r="AO412">
        <f>IFERROR(IF(AX412&lt;($AM$9-$AL$9)/($AN$9-$AL$9),$AL$9+SQRT(AX412*($AN$9-$AL$9)*($AM$9-$AL$9)),$AN$9-SQRT((1-AX412)*($AN$9-$AL$9)*($AN$9-$AM$9))),$AM$9)</f>
        <v/>
      </c>
      <c r="AP412">
        <f>IFERROR(IF(AY412&lt;($AM$10-$AL$10)/($AN$10-$AL$10),$AL$10+SQRT(AY412*($AN$10-$AL$10)*($AM$10-$AL$10)),$AN$10-SQRT((1-AY412)*($AN$10-$AL$10)*($AN$10-$AM$10))),$AM$10)</f>
        <v/>
      </c>
      <c r="AQ412">
        <f>IFERROR(IF(AZ412&lt;($AM$11-$AL$11)/($AN$11-$AL$11),$AL$11+SQRT(AZ412*($AN$11-$AL$11)*($AM$11-$AL$11)),$AN$11-SQRT((1-AZ412)*($AN$11-$AL$11)*($AN$11-$AM$11))),$AM$11)</f>
        <v/>
      </c>
      <c r="AR412">
        <f>SUMPRODUCT((B24:B31&lt;=$B$6)*(C24:C31*AM412+D24:D31*AO412*$B$8*AQ412)/(1+AL412/100)^B24:B31)+C32*AM412*AP412/(1+AL412/100)^$B$6</f>
        <v/>
      </c>
      <c r="AS412">
        <f>SUMPRODUCT((K24:K26&lt;=$B$6)*(L24:L26*AN412+M24:M26*AO412*$B$8*AQ412)/(1+AL412/100)^K24:K26)+L27*AN412*AP412/(1+AL412/100)^$B$6</f>
        <v/>
      </c>
      <c r="AT412">
        <f>AS412-AR412</f>
        <v/>
      </c>
      <c r="AU412">
        <f>RAND()</f>
        <v/>
      </c>
      <c r="AV412">
        <f>RAND()</f>
        <v/>
      </c>
      <c r="AW412">
        <f>RAND()</f>
        <v/>
      </c>
      <c r="AX412">
        <f>RAND()</f>
        <v/>
      </c>
      <c r="AY412">
        <f>RAND()</f>
        <v/>
      </c>
      <c r="AZ412">
        <f>RAND()</f>
        <v/>
      </c>
    </row>
    <row r="413">
      <c r="AK413" t="n">
        <v>400</v>
      </c>
      <c r="AL413">
        <f>IFERROR(IF(AU413&lt;($AM$6-$AL$6)/($AN$6-$AL$6),$AL$6+SQRT(AU413*($AN$6-$AL$6)*($AM$6-$AL$6)),$AN$6-SQRT((1-AU413)*($AN$6-$AL$6)*($AN$6-$AM$6))),$AM$6)</f>
        <v/>
      </c>
      <c r="AM413">
        <f>IFERROR(IF(AV413&lt;($AM$7-$AL$7)/($AN$7-$AL$7),$AL$7+SQRT(AV413*($AN$7-$AL$7)*($AM$7-$AL$7)),$AN$7-SQRT((1-AV413)*($AN$7-$AL$7)*($AN$7-$AM$7))),$AM$7)</f>
        <v/>
      </c>
      <c r="AN413">
        <f>IFERROR(IF(AW413&lt;($AM$8-$AL$8)/($AN$8-$AL$8),$AL$8+SQRT(AW413*($AN$8-$AL$8)*($AM$8-$AL$8)),$AN$8-SQRT((1-AW413)*($AN$8-$AL$8)*($AN$8-$AM$8))),$AM$8)</f>
        <v/>
      </c>
      <c r="AO413">
        <f>IFERROR(IF(AX413&lt;($AM$9-$AL$9)/($AN$9-$AL$9),$AL$9+SQRT(AX413*($AN$9-$AL$9)*($AM$9-$AL$9)),$AN$9-SQRT((1-AX413)*($AN$9-$AL$9)*($AN$9-$AM$9))),$AM$9)</f>
        <v/>
      </c>
      <c r="AP413">
        <f>IFERROR(IF(AY413&lt;($AM$10-$AL$10)/($AN$10-$AL$10),$AL$10+SQRT(AY413*($AN$10-$AL$10)*($AM$10-$AL$10)),$AN$10-SQRT((1-AY413)*($AN$10-$AL$10)*($AN$10-$AM$10))),$AM$10)</f>
        <v/>
      </c>
      <c r="AQ413">
        <f>IFERROR(IF(AZ413&lt;($AM$11-$AL$11)/($AN$11-$AL$11),$AL$11+SQRT(AZ413*($AN$11-$AL$11)*($AM$11-$AL$11)),$AN$11-SQRT((1-AZ413)*($AN$11-$AL$11)*($AN$11-$AM$11))),$AM$11)</f>
        <v/>
      </c>
      <c r="AR413">
        <f>SUMPRODUCT((B24:B31&lt;=$B$6)*(C24:C31*AM413+D24:D31*AO413*$B$8*AQ413)/(1+AL413/100)^B24:B31)+C32*AM413*AP413/(1+AL413/100)^$B$6</f>
        <v/>
      </c>
      <c r="AS413">
        <f>SUMPRODUCT((K24:K26&lt;=$B$6)*(L24:L26*AN413+M24:M26*AO413*$B$8*AQ413)/(1+AL413/100)^K24:K26)+L27*AN413*AP413/(1+AL413/100)^$B$6</f>
        <v/>
      </c>
      <c r="AT413">
        <f>AS413-AR413</f>
        <v/>
      </c>
      <c r="AU413">
        <f>RAND()</f>
        <v/>
      </c>
      <c r="AV413">
        <f>RAND()</f>
        <v/>
      </c>
      <c r="AW413">
        <f>RAND()</f>
        <v/>
      </c>
      <c r="AX413">
        <f>RAND()</f>
        <v/>
      </c>
      <c r="AY413">
        <f>RAND()</f>
        <v/>
      </c>
      <c r="AZ413">
        <f>RAND()</f>
        <v/>
      </c>
    </row>
    <row r="414">
      <c r="AK414" t="n">
        <v>401</v>
      </c>
      <c r="AL414">
        <f>IFERROR(IF(AU414&lt;($AM$6-$AL$6)/($AN$6-$AL$6),$AL$6+SQRT(AU414*($AN$6-$AL$6)*($AM$6-$AL$6)),$AN$6-SQRT((1-AU414)*($AN$6-$AL$6)*($AN$6-$AM$6))),$AM$6)</f>
        <v/>
      </c>
      <c r="AM414">
        <f>IFERROR(IF(AV414&lt;($AM$7-$AL$7)/($AN$7-$AL$7),$AL$7+SQRT(AV414*($AN$7-$AL$7)*($AM$7-$AL$7)),$AN$7-SQRT((1-AV414)*($AN$7-$AL$7)*($AN$7-$AM$7))),$AM$7)</f>
        <v/>
      </c>
      <c r="AN414">
        <f>IFERROR(IF(AW414&lt;($AM$8-$AL$8)/($AN$8-$AL$8),$AL$8+SQRT(AW414*($AN$8-$AL$8)*($AM$8-$AL$8)),$AN$8-SQRT((1-AW414)*($AN$8-$AL$8)*($AN$8-$AM$8))),$AM$8)</f>
        <v/>
      </c>
      <c r="AO414">
        <f>IFERROR(IF(AX414&lt;($AM$9-$AL$9)/($AN$9-$AL$9),$AL$9+SQRT(AX414*($AN$9-$AL$9)*($AM$9-$AL$9)),$AN$9-SQRT((1-AX414)*($AN$9-$AL$9)*($AN$9-$AM$9))),$AM$9)</f>
        <v/>
      </c>
      <c r="AP414">
        <f>IFERROR(IF(AY414&lt;($AM$10-$AL$10)/($AN$10-$AL$10),$AL$10+SQRT(AY414*($AN$10-$AL$10)*($AM$10-$AL$10)),$AN$10-SQRT((1-AY414)*($AN$10-$AL$10)*($AN$10-$AM$10))),$AM$10)</f>
        <v/>
      </c>
      <c r="AQ414">
        <f>IFERROR(IF(AZ414&lt;($AM$11-$AL$11)/($AN$11-$AL$11),$AL$11+SQRT(AZ414*($AN$11-$AL$11)*($AM$11-$AL$11)),$AN$11-SQRT((1-AZ414)*($AN$11-$AL$11)*($AN$11-$AM$11))),$AM$11)</f>
        <v/>
      </c>
      <c r="AR414">
        <f>SUMPRODUCT((B24:B31&lt;=$B$6)*(C24:C31*AM414+D24:D31*AO414*$B$8*AQ414)/(1+AL414/100)^B24:B31)+C32*AM414*AP414/(1+AL414/100)^$B$6</f>
        <v/>
      </c>
      <c r="AS414">
        <f>SUMPRODUCT((K24:K26&lt;=$B$6)*(L24:L26*AN414+M24:M26*AO414*$B$8*AQ414)/(1+AL414/100)^K24:K26)+L27*AN414*AP414/(1+AL414/100)^$B$6</f>
        <v/>
      </c>
      <c r="AT414">
        <f>AS414-AR414</f>
        <v/>
      </c>
      <c r="AU414">
        <f>RAND()</f>
        <v/>
      </c>
      <c r="AV414">
        <f>RAND()</f>
        <v/>
      </c>
      <c r="AW414">
        <f>RAND()</f>
        <v/>
      </c>
      <c r="AX414">
        <f>RAND()</f>
        <v/>
      </c>
      <c r="AY414">
        <f>RAND()</f>
        <v/>
      </c>
      <c r="AZ414">
        <f>RAND()</f>
        <v/>
      </c>
    </row>
    <row r="415">
      <c r="AK415" t="n">
        <v>402</v>
      </c>
      <c r="AL415">
        <f>IFERROR(IF(AU415&lt;($AM$6-$AL$6)/($AN$6-$AL$6),$AL$6+SQRT(AU415*($AN$6-$AL$6)*($AM$6-$AL$6)),$AN$6-SQRT((1-AU415)*($AN$6-$AL$6)*($AN$6-$AM$6))),$AM$6)</f>
        <v/>
      </c>
      <c r="AM415">
        <f>IFERROR(IF(AV415&lt;($AM$7-$AL$7)/($AN$7-$AL$7),$AL$7+SQRT(AV415*($AN$7-$AL$7)*($AM$7-$AL$7)),$AN$7-SQRT((1-AV415)*($AN$7-$AL$7)*($AN$7-$AM$7))),$AM$7)</f>
        <v/>
      </c>
      <c r="AN415">
        <f>IFERROR(IF(AW415&lt;($AM$8-$AL$8)/($AN$8-$AL$8),$AL$8+SQRT(AW415*($AN$8-$AL$8)*($AM$8-$AL$8)),$AN$8-SQRT((1-AW415)*($AN$8-$AL$8)*($AN$8-$AM$8))),$AM$8)</f>
        <v/>
      </c>
      <c r="AO415">
        <f>IFERROR(IF(AX415&lt;($AM$9-$AL$9)/($AN$9-$AL$9),$AL$9+SQRT(AX415*($AN$9-$AL$9)*($AM$9-$AL$9)),$AN$9-SQRT((1-AX415)*($AN$9-$AL$9)*($AN$9-$AM$9))),$AM$9)</f>
        <v/>
      </c>
      <c r="AP415">
        <f>IFERROR(IF(AY415&lt;($AM$10-$AL$10)/($AN$10-$AL$10),$AL$10+SQRT(AY415*($AN$10-$AL$10)*($AM$10-$AL$10)),$AN$10-SQRT((1-AY415)*($AN$10-$AL$10)*($AN$10-$AM$10))),$AM$10)</f>
        <v/>
      </c>
      <c r="AQ415">
        <f>IFERROR(IF(AZ415&lt;($AM$11-$AL$11)/($AN$11-$AL$11),$AL$11+SQRT(AZ415*($AN$11-$AL$11)*($AM$11-$AL$11)),$AN$11-SQRT((1-AZ415)*($AN$11-$AL$11)*($AN$11-$AM$11))),$AM$11)</f>
        <v/>
      </c>
      <c r="AR415">
        <f>SUMPRODUCT((B24:B31&lt;=$B$6)*(C24:C31*AM415+D24:D31*AO415*$B$8*AQ415)/(1+AL415/100)^B24:B31)+C32*AM415*AP415/(1+AL415/100)^$B$6</f>
        <v/>
      </c>
      <c r="AS415">
        <f>SUMPRODUCT((K24:K26&lt;=$B$6)*(L24:L26*AN415+M24:M26*AO415*$B$8*AQ415)/(1+AL415/100)^K24:K26)+L27*AN415*AP415/(1+AL415/100)^$B$6</f>
        <v/>
      </c>
      <c r="AT415">
        <f>AS415-AR415</f>
        <v/>
      </c>
      <c r="AU415">
        <f>RAND()</f>
        <v/>
      </c>
      <c r="AV415">
        <f>RAND()</f>
        <v/>
      </c>
      <c r="AW415">
        <f>RAND()</f>
        <v/>
      </c>
      <c r="AX415">
        <f>RAND()</f>
        <v/>
      </c>
      <c r="AY415">
        <f>RAND()</f>
        <v/>
      </c>
      <c r="AZ415">
        <f>RAND()</f>
        <v/>
      </c>
    </row>
    <row r="416">
      <c r="AK416" t="n">
        <v>403</v>
      </c>
      <c r="AL416">
        <f>IFERROR(IF(AU416&lt;($AM$6-$AL$6)/($AN$6-$AL$6),$AL$6+SQRT(AU416*($AN$6-$AL$6)*($AM$6-$AL$6)),$AN$6-SQRT((1-AU416)*($AN$6-$AL$6)*($AN$6-$AM$6))),$AM$6)</f>
        <v/>
      </c>
      <c r="AM416">
        <f>IFERROR(IF(AV416&lt;($AM$7-$AL$7)/($AN$7-$AL$7),$AL$7+SQRT(AV416*($AN$7-$AL$7)*($AM$7-$AL$7)),$AN$7-SQRT((1-AV416)*($AN$7-$AL$7)*($AN$7-$AM$7))),$AM$7)</f>
        <v/>
      </c>
      <c r="AN416">
        <f>IFERROR(IF(AW416&lt;($AM$8-$AL$8)/($AN$8-$AL$8),$AL$8+SQRT(AW416*($AN$8-$AL$8)*($AM$8-$AL$8)),$AN$8-SQRT((1-AW416)*($AN$8-$AL$8)*($AN$8-$AM$8))),$AM$8)</f>
        <v/>
      </c>
      <c r="AO416">
        <f>IFERROR(IF(AX416&lt;($AM$9-$AL$9)/($AN$9-$AL$9),$AL$9+SQRT(AX416*($AN$9-$AL$9)*($AM$9-$AL$9)),$AN$9-SQRT((1-AX416)*($AN$9-$AL$9)*($AN$9-$AM$9))),$AM$9)</f>
        <v/>
      </c>
      <c r="AP416">
        <f>IFERROR(IF(AY416&lt;($AM$10-$AL$10)/($AN$10-$AL$10),$AL$10+SQRT(AY416*($AN$10-$AL$10)*($AM$10-$AL$10)),$AN$10-SQRT((1-AY416)*($AN$10-$AL$10)*($AN$10-$AM$10))),$AM$10)</f>
        <v/>
      </c>
      <c r="AQ416">
        <f>IFERROR(IF(AZ416&lt;($AM$11-$AL$11)/($AN$11-$AL$11),$AL$11+SQRT(AZ416*($AN$11-$AL$11)*($AM$11-$AL$11)),$AN$11-SQRT((1-AZ416)*($AN$11-$AL$11)*($AN$11-$AM$11))),$AM$11)</f>
        <v/>
      </c>
      <c r="AR416">
        <f>SUMPRODUCT((B24:B31&lt;=$B$6)*(C24:C31*AM416+D24:D31*AO416*$B$8*AQ416)/(1+AL416/100)^B24:B31)+C32*AM416*AP416/(1+AL416/100)^$B$6</f>
        <v/>
      </c>
      <c r="AS416">
        <f>SUMPRODUCT((K24:K26&lt;=$B$6)*(L24:L26*AN416+M24:M26*AO416*$B$8*AQ416)/(1+AL416/100)^K24:K26)+L27*AN416*AP416/(1+AL416/100)^$B$6</f>
        <v/>
      </c>
      <c r="AT416">
        <f>AS416-AR416</f>
        <v/>
      </c>
      <c r="AU416">
        <f>RAND()</f>
        <v/>
      </c>
      <c r="AV416">
        <f>RAND()</f>
        <v/>
      </c>
      <c r="AW416">
        <f>RAND()</f>
        <v/>
      </c>
      <c r="AX416">
        <f>RAND()</f>
        <v/>
      </c>
      <c r="AY416">
        <f>RAND()</f>
        <v/>
      </c>
      <c r="AZ416">
        <f>RAND()</f>
        <v/>
      </c>
    </row>
    <row r="417">
      <c r="AK417" t="n">
        <v>404</v>
      </c>
      <c r="AL417">
        <f>IFERROR(IF(AU417&lt;($AM$6-$AL$6)/($AN$6-$AL$6),$AL$6+SQRT(AU417*($AN$6-$AL$6)*($AM$6-$AL$6)),$AN$6-SQRT((1-AU417)*($AN$6-$AL$6)*($AN$6-$AM$6))),$AM$6)</f>
        <v/>
      </c>
      <c r="AM417">
        <f>IFERROR(IF(AV417&lt;($AM$7-$AL$7)/($AN$7-$AL$7),$AL$7+SQRT(AV417*($AN$7-$AL$7)*($AM$7-$AL$7)),$AN$7-SQRT((1-AV417)*($AN$7-$AL$7)*($AN$7-$AM$7))),$AM$7)</f>
        <v/>
      </c>
      <c r="AN417">
        <f>IFERROR(IF(AW417&lt;($AM$8-$AL$8)/($AN$8-$AL$8),$AL$8+SQRT(AW417*($AN$8-$AL$8)*($AM$8-$AL$8)),$AN$8-SQRT((1-AW417)*($AN$8-$AL$8)*($AN$8-$AM$8))),$AM$8)</f>
        <v/>
      </c>
      <c r="AO417">
        <f>IFERROR(IF(AX417&lt;($AM$9-$AL$9)/($AN$9-$AL$9),$AL$9+SQRT(AX417*($AN$9-$AL$9)*($AM$9-$AL$9)),$AN$9-SQRT((1-AX417)*($AN$9-$AL$9)*($AN$9-$AM$9))),$AM$9)</f>
        <v/>
      </c>
      <c r="AP417">
        <f>IFERROR(IF(AY417&lt;($AM$10-$AL$10)/($AN$10-$AL$10),$AL$10+SQRT(AY417*($AN$10-$AL$10)*($AM$10-$AL$10)),$AN$10-SQRT((1-AY417)*($AN$10-$AL$10)*($AN$10-$AM$10))),$AM$10)</f>
        <v/>
      </c>
      <c r="AQ417">
        <f>IFERROR(IF(AZ417&lt;($AM$11-$AL$11)/($AN$11-$AL$11),$AL$11+SQRT(AZ417*($AN$11-$AL$11)*($AM$11-$AL$11)),$AN$11-SQRT((1-AZ417)*($AN$11-$AL$11)*($AN$11-$AM$11))),$AM$11)</f>
        <v/>
      </c>
      <c r="AR417">
        <f>SUMPRODUCT((B24:B31&lt;=$B$6)*(C24:C31*AM417+D24:D31*AO417*$B$8*AQ417)/(1+AL417/100)^B24:B31)+C32*AM417*AP417/(1+AL417/100)^$B$6</f>
        <v/>
      </c>
      <c r="AS417">
        <f>SUMPRODUCT((K24:K26&lt;=$B$6)*(L24:L26*AN417+M24:M26*AO417*$B$8*AQ417)/(1+AL417/100)^K24:K26)+L27*AN417*AP417/(1+AL417/100)^$B$6</f>
        <v/>
      </c>
      <c r="AT417">
        <f>AS417-AR417</f>
        <v/>
      </c>
      <c r="AU417">
        <f>RAND()</f>
        <v/>
      </c>
      <c r="AV417">
        <f>RAND()</f>
        <v/>
      </c>
      <c r="AW417">
        <f>RAND()</f>
        <v/>
      </c>
      <c r="AX417">
        <f>RAND()</f>
        <v/>
      </c>
      <c r="AY417">
        <f>RAND()</f>
        <v/>
      </c>
      <c r="AZ417">
        <f>RAND()</f>
        <v/>
      </c>
    </row>
    <row r="418">
      <c r="AK418" t="n">
        <v>405</v>
      </c>
      <c r="AL418">
        <f>IFERROR(IF(AU418&lt;($AM$6-$AL$6)/($AN$6-$AL$6),$AL$6+SQRT(AU418*($AN$6-$AL$6)*($AM$6-$AL$6)),$AN$6-SQRT((1-AU418)*($AN$6-$AL$6)*($AN$6-$AM$6))),$AM$6)</f>
        <v/>
      </c>
      <c r="AM418">
        <f>IFERROR(IF(AV418&lt;($AM$7-$AL$7)/($AN$7-$AL$7),$AL$7+SQRT(AV418*($AN$7-$AL$7)*($AM$7-$AL$7)),$AN$7-SQRT((1-AV418)*($AN$7-$AL$7)*($AN$7-$AM$7))),$AM$7)</f>
        <v/>
      </c>
      <c r="AN418">
        <f>IFERROR(IF(AW418&lt;($AM$8-$AL$8)/($AN$8-$AL$8),$AL$8+SQRT(AW418*($AN$8-$AL$8)*($AM$8-$AL$8)),$AN$8-SQRT((1-AW418)*($AN$8-$AL$8)*($AN$8-$AM$8))),$AM$8)</f>
        <v/>
      </c>
      <c r="AO418">
        <f>IFERROR(IF(AX418&lt;($AM$9-$AL$9)/($AN$9-$AL$9),$AL$9+SQRT(AX418*($AN$9-$AL$9)*($AM$9-$AL$9)),$AN$9-SQRT((1-AX418)*($AN$9-$AL$9)*($AN$9-$AM$9))),$AM$9)</f>
        <v/>
      </c>
      <c r="AP418">
        <f>IFERROR(IF(AY418&lt;($AM$10-$AL$10)/($AN$10-$AL$10),$AL$10+SQRT(AY418*($AN$10-$AL$10)*($AM$10-$AL$10)),$AN$10-SQRT((1-AY418)*($AN$10-$AL$10)*($AN$10-$AM$10))),$AM$10)</f>
        <v/>
      </c>
      <c r="AQ418">
        <f>IFERROR(IF(AZ418&lt;($AM$11-$AL$11)/($AN$11-$AL$11),$AL$11+SQRT(AZ418*($AN$11-$AL$11)*($AM$11-$AL$11)),$AN$11-SQRT((1-AZ418)*($AN$11-$AL$11)*($AN$11-$AM$11))),$AM$11)</f>
        <v/>
      </c>
      <c r="AR418">
        <f>SUMPRODUCT((B24:B31&lt;=$B$6)*(C24:C31*AM418+D24:D31*AO418*$B$8*AQ418)/(1+AL418/100)^B24:B31)+C32*AM418*AP418/(1+AL418/100)^$B$6</f>
        <v/>
      </c>
      <c r="AS418">
        <f>SUMPRODUCT((K24:K26&lt;=$B$6)*(L24:L26*AN418+M24:M26*AO418*$B$8*AQ418)/(1+AL418/100)^K24:K26)+L27*AN418*AP418/(1+AL418/100)^$B$6</f>
        <v/>
      </c>
      <c r="AT418">
        <f>AS418-AR418</f>
        <v/>
      </c>
      <c r="AU418">
        <f>RAND()</f>
        <v/>
      </c>
      <c r="AV418">
        <f>RAND()</f>
        <v/>
      </c>
      <c r="AW418">
        <f>RAND()</f>
        <v/>
      </c>
      <c r="AX418">
        <f>RAND()</f>
        <v/>
      </c>
      <c r="AY418">
        <f>RAND()</f>
        <v/>
      </c>
      <c r="AZ418">
        <f>RAND()</f>
        <v/>
      </c>
    </row>
    <row r="419">
      <c r="AK419" t="n">
        <v>406</v>
      </c>
      <c r="AL419">
        <f>IFERROR(IF(AU419&lt;($AM$6-$AL$6)/($AN$6-$AL$6),$AL$6+SQRT(AU419*($AN$6-$AL$6)*($AM$6-$AL$6)),$AN$6-SQRT((1-AU419)*($AN$6-$AL$6)*($AN$6-$AM$6))),$AM$6)</f>
        <v/>
      </c>
      <c r="AM419">
        <f>IFERROR(IF(AV419&lt;($AM$7-$AL$7)/($AN$7-$AL$7),$AL$7+SQRT(AV419*($AN$7-$AL$7)*($AM$7-$AL$7)),$AN$7-SQRT((1-AV419)*($AN$7-$AL$7)*($AN$7-$AM$7))),$AM$7)</f>
        <v/>
      </c>
      <c r="AN419">
        <f>IFERROR(IF(AW419&lt;($AM$8-$AL$8)/($AN$8-$AL$8),$AL$8+SQRT(AW419*($AN$8-$AL$8)*($AM$8-$AL$8)),$AN$8-SQRT((1-AW419)*($AN$8-$AL$8)*($AN$8-$AM$8))),$AM$8)</f>
        <v/>
      </c>
      <c r="AO419">
        <f>IFERROR(IF(AX419&lt;($AM$9-$AL$9)/($AN$9-$AL$9),$AL$9+SQRT(AX419*($AN$9-$AL$9)*($AM$9-$AL$9)),$AN$9-SQRT((1-AX419)*($AN$9-$AL$9)*($AN$9-$AM$9))),$AM$9)</f>
        <v/>
      </c>
      <c r="AP419">
        <f>IFERROR(IF(AY419&lt;($AM$10-$AL$10)/($AN$10-$AL$10),$AL$10+SQRT(AY419*($AN$10-$AL$10)*($AM$10-$AL$10)),$AN$10-SQRT((1-AY419)*($AN$10-$AL$10)*($AN$10-$AM$10))),$AM$10)</f>
        <v/>
      </c>
      <c r="AQ419">
        <f>IFERROR(IF(AZ419&lt;($AM$11-$AL$11)/($AN$11-$AL$11),$AL$11+SQRT(AZ419*($AN$11-$AL$11)*($AM$11-$AL$11)),$AN$11-SQRT((1-AZ419)*($AN$11-$AL$11)*($AN$11-$AM$11))),$AM$11)</f>
        <v/>
      </c>
      <c r="AR419">
        <f>SUMPRODUCT((B24:B31&lt;=$B$6)*(C24:C31*AM419+D24:D31*AO419*$B$8*AQ419)/(1+AL419/100)^B24:B31)+C32*AM419*AP419/(1+AL419/100)^$B$6</f>
        <v/>
      </c>
      <c r="AS419">
        <f>SUMPRODUCT((K24:K26&lt;=$B$6)*(L24:L26*AN419+M24:M26*AO419*$B$8*AQ419)/(1+AL419/100)^K24:K26)+L27*AN419*AP419/(1+AL419/100)^$B$6</f>
        <v/>
      </c>
      <c r="AT419">
        <f>AS419-AR419</f>
        <v/>
      </c>
      <c r="AU419">
        <f>RAND()</f>
        <v/>
      </c>
      <c r="AV419">
        <f>RAND()</f>
        <v/>
      </c>
      <c r="AW419">
        <f>RAND()</f>
        <v/>
      </c>
      <c r="AX419">
        <f>RAND()</f>
        <v/>
      </c>
      <c r="AY419">
        <f>RAND()</f>
        <v/>
      </c>
      <c r="AZ419">
        <f>RAND()</f>
        <v/>
      </c>
    </row>
    <row r="420">
      <c r="AK420" t="n">
        <v>407</v>
      </c>
      <c r="AL420">
        <f>IFERROR(IF(AU420&lt;($AM$6-$AL$6)/($AN$6-$AL$6),$AL$6+SQRT(AU420*($AN$6-$AL$6)*($AM$6-$AL$6)),$AN$6-SQRT((1-AU420)*($AN$6-$AL$6)*($AN$6-$AM$6))),$AM$6)</f>
        <v/>
      </c>
      <c r="AM420">
        <f>IFERROR(IF(AV420&lt;($AM$7-$AL$7)/($AN$7-$AL$7),$AL$7+SQRT(AV420*($AN$7-$AL$7)*($AM$7-$AL$7)),$AN$7-SQRT((1-AV420)*($AN$7-$AL$7)*($AN$7-$AM$7))),$AM$7)</f>
        <v/>
      </c>
      <c r="AN420">
        <f>IFERROR(IF(AW420&lt;($AM$8-$AL$8)/($AN$8-$AL$8),$AL$8+SQRT(AW420*($AN$8-$AL$8)*($AM$8-$AL$8)),$AN$8-SQRT((1-AW420)*($AN$8-$AL$8)*($AN$8-$AM$8))),$AM$8)</f>
        <v/>
      </c>
      <c r="AO420">
        <f>IFERROR(IF(AX420&lt;($AM$9-$AL$9)/($AN$9-$AL$9),$AL$9+SQRT(AX420*($AN$9-$AL$9)*($AM$9-$AL$9)),$AN$9-SQRT((1-AX420)*($AN$9-$AL$9)*($AN$9-$AM$9))),$AM$9)</f>
        <v/>
      </c>
      <c r="AP420">
        <f>IFERROR(IF(AY420&lt;($AM$10-$AL$10)/($AN$10-$AL$10),$AL$10+SQRT(AY420*($AN$10-$AL$10)*($AM$10-$AL$10)),$AN$10-SQRT((1-AY420)*($AN$10-$AL$10)*($AN$10-$AM$10))),$AM$10)</f>
        <v/>
      </c>
      <c r="AQ420">
        <f>IFERROR(IF(AZ420&lt;($AM$11-$AL$11)/($AN$11-$AL$11),$AL$11+SQRT(AZ420*($AN$11-$AL$11)*($AM$11-$AL$11)),$AN$11-SQRT((1-AZ420)*($AN$11-$AL$11)*($AN$11-$AM$11))),$AM$11)</f>
        <v/>
      </c>
      <c r="AR420">
        <f>SUMPRODUCT((B24:B31&lt;=$B$6)*(C24:C31*AM420+D24:D31*AO420*$B$8*AQ420)/(1+AL420/100)^B24:B31)+C32*AM420*AP420/(1+AL420/100)^$B$6</f>
        <v/>
      </c>
      <c r="AS420">
        <f>SUMPRODUCT((K24:K26&lt;=$B$6)*(L24:L26*AN420+M24:M26*AO420*$B$8*AQ420)/(1+AL420/100)^K24:K26)+L27*AN420*AP420/(1+AL420/100)^$B$6</f>
        <v/>
      </c>
      <c r="AT420">
        <f>AS420-AR420</f>
        <v/>
      </c>
      <c r="AU420">
        <f>RAND()</f>
        <v/>
      </c>
      <c r="AV420">
        <f>RAND()</f>
        <v/>
      </c>
      <c r="AW420">
        <f>RAND()</f>
        <v/>
      </c>
      <c r="AX420">
        <f>RAND()</f>
        <v/>
      </c>
      <c r="AY420">
        <f>RAND()</f>
        <v/>
      </c>
      <c r="AZ420">
        <f>RAND()</f>
        <v/>
      </c>
    </row>
    <row r="421">
      <c r="AK421" t="n">
        <v>408</v>
      </c>
      <c r="AL421">
        <f>IFERROR(IF(AU421&lt;($AM$6-$AL$6)/($AN$6-$AL$6),$AL$6+SQRT(AU421*($AN$6-$AL$6)*($AM$6-$AL$6)),$AN$6-SQRT((1-AU421)*($AN$6-$AL$6)*($AN$6-$AM$6))),$AM$6)</f>
        <v/>
      </c>
      <c r="AM421">
        <f>IFERROR(IF(AV421&lt;($AM$7-$AL$7)/($AN$7-$AL$7),$AL$7+SQRT(AV421*($AN$7-$AL$7)*($AM$7-$AL$7)),$AN$7-SQRT((1-AV421)*($AN$7-$AL$7)*($AN$7-$AM$7))),$AM$7)</f>
        <v/>
      </c>
      <c r="AN421">
        <f>IFERROR(IF(AW421&lt;($AM$8-$AL$8)/($AN$8-$AL$8),$AL$8+SQRT(AW421*($AN$8-$AL$8)*($AM$8-$AL$8)),$AN$8-SQRT((1-AW421)*($AN$8-$AL$8)*($AN$8-$AM$8))),$AM$8)</f>
        <v/>
      </c>
      <c r="AO421">
        <f>IFERROR(IF(AX421&lt;($AM$9-$AL$9)/($AN$9-$AL$9),$AL$9+SQRT(AX421*($AN$9-$AL$9)*($AM$9-$AL$9)),$AN$9-SQRT((1-AX421)*($AN$9-$AL$9)*($AN$9-$AM$9))),$AM$9)</f>
        <v/>
      </c>
      <c r="AP421">
        <f>IFERROR(IF(AY421&lt;($AM$10-$AL$10)/($AN$10-$AL$10),$AL$10+SQRT(AY421*($AN$10-$AL$10)*($AM$10-$AL$10)),$AN$10-SQRT((1-AY421)*($AN$10-$AL$10)*($AN$10-$AM$10))),$AM$10)</f>
        <v/>
      </c>
      <c r="AQ421">
        <f>IFERROR(IF(AZ421&lt;($AM$11-$AL$11)/($AN$11-$AL$11),$AL$11+SQRT(AZ421*($AN$11-$AL$11)*($AM$11-$AL$11)),$AN$11-SQRT((1-AZ421)*($AN$11-$AL$11)*($AN$11-$AM$11))),$AM$11)</f>
        <v/>
      </c>
      <c r="AR421">
        <f>SUMPRODUCT((B24:B31&lt;=$B$6)*(C24:C31*AM421+D24:D31*AO421*$B$8*AQ421)/(1+AL421/100)^B24:B31)+C32*AM421*AP421/(1+AL421/100)^$B$6</f>
        <v/>
      </c>
      <c r="AS421">
        <f>SUMPRODUCT((K24:K26&lt;=$B$6)*(L24:L26*AN421+M24:M26*AO421*$B$8*AQ421)/(1+AL421/100)^K24:K26)+L27*AN421*AP421/(1+AL421/100)^$B$6</f>
        <v/>
      </c>
      <c r="AT421">
        <f>AS421-AR421</f>
        <v/>
      </c>
      <c r="AU421">
        <f>RAND()</f>
        <v/>
      </c>
      <c r="AV421">
        <f>RAND()</f>
        <v/>
      </c>
      <c r="AW421">
        <f>RAND()</f>
        <v/>
      </c>
      <c r="AX421">
        <f>RAND()</f>
        <v/>
      </c>
      <c r="AY421">
        <f>RAND()</f>
        <v/>
      </c>
      <c r="AZ421">
        <f>RAND()</f>
        <v/>
      </c>
    </row>
    <row r="422">
      <c r="AK422" t="n">
        <v>409</v>
      </c>
      <c r="AL422">
        <f>IFERROR(IF(AU422&lt;($AM$6-$AL$6)/($AN$6-$AL$6),$AL$6+SQRT(AU422*($AN$6-$AL$6)*($AM$6-$AL$6)),$AN$6-SQRT((1-AU422)*($AN$6-$AL$6)*($AN$6-$AM$6))),$AM$6)</f>
        <v/>
      </c>
      <c r="AM422">
        <f>IFERROR(IF(AV422&lt;($AM$7-$AL$7)/($AN$7-$AL$7),$AL$7+SQRT(AV422*($AN$7-$AL$7)*($AM$7-$AL$7)),$AN$7-SQRT((1-AV422)*($AN$7-$AL$7)*($AN$7-$AM$7))),$AM$7)</f>
        <v/>
      </c>
      <c r="AN422">
        <f>IFERROR(IF(AW422&lt;($AM$8-$AL$8)/($AN$8-$AL$8),$AL$8+SQRT(AW422*($AN$8-$AL$8)*($AM$8-$AL$8)),$AN$8-SQRT((1-AW422)*($AN$8-$AL$8)*($AN$8-$AM$8))),$AM$8)</f>
        <v/>
      </c>
      <c r="AO422">
        <f>IFERROR(IF(AX422&lt;($AM$9-$AL$9)/($AN$9-$AL$9),$AL$9+SQRT(AX422*($AN$9-$AL$9)*($AM$9-$AL$9)),$AN$9-SQRT((1-AX422)*($AN$9-$AL$9)*($AN$9-$AM$9))),$AM$9)</f>
        <v/>
      </c>
      <c r="AP422">
        <f>IFERROR(IF(AY422&lt;($AM$10-$AL$10)/($AN$10-$AL$10),$AL$10+SQRT(AY422*($AN$10-$AL$10)*($AM$10-$AL$10)),$AN$10-SQRT((1-AY422)*($AN$10-$AL$10)*($AN$10-$AM$10))),$AM$10)</f>
        <v/>
      </c>
      <c r="AQ422">
        <f>IFERROR(IF(AZ422&lt;($AM$11-$AL$11)/($AN$11-$AL$11),$AL$11+SQRT(AZ422*($AN$11-$AL$11)*($AM$11-$AL$11)),$AN$11-SQRT((1-AZ422)*($AN$11-$AL$11)*($AN$11-$AM$11))),$AM$11)</f>
        <v/>
      </c>
      <c r="AR422">
        <f>SUMPRODUCT((B24:B31&lt;=$B$6)*(C24:C31*AM422+D24:D31*AO422*$B$8*AQ422)/(1+AL422/100)^B24:B31)+C32*AM422*AP422/(1+AL422/100)^$B$6</f>
        <v/>
      </c>
      <c r="AS422">
        <f>SUMPRODUCT((K24:K26&lt;=$B$6)*(L24:L26*AN422+M24:M26*AO422*$B$8*AQ422)/(1+AL422/100)^K24:K26)+L27*AN422*AP422/(1+AL422/100)^$B$6</f>
        <v/>
      </c>
      <c r="AT422">
        <f>AS422-AR422</f>
        <v/>
      </c>
      <c r="AU422">
        <f>RAND()</f>
        <v/>
      </c>
      <c r="AV422">
        <f>RAND()</f>
        <v/>
      </c>
      <c r="AW422">
        <f>RAND()</f>
        <v/>
      </c>
      <c r="AX422">
        <f>RAND()</f>
        <v/>
      </c>
      <c r="AY422">
        <f>RAND()</f>
        <v/>
      </c>
      <c r="AZ422">
        <f>RAND()</f>
        <v/>
      </c>
    </row>
    <row r="423">
      <c r="AK423" t="n">
        <v>410</v>
      </c>
      <c r="AL423">
        <f>IFERROR(IF(AU423&lt;($AM$6-$AL$6)/($AN$6-$AL$6),$AL$6+SQRT(AU423*($AN$6-$AL$6)*($AM$6-$AL$6)),$AN$6-SQRT((1-AU423)*($AN$6-$AL$6)*($AN$6-$AM$6))),$AM$6)</f>
        <v/>
      </c>
      <c r="AM423">
        <f>IFERROR(IF(AV423&lt;($AM$7-$AL$7)/($AN$7-$AL$7),$AL$7+SQRT(AV423*($AN$7-$AL$7)*($AM$7-$AL$7)),$AN$7-SQRT((1-AV423)*($AN$7-$AL$7)*($AN$7-$AM$7))),$AM$7)</f>
        <v/>
      </c>
      <c r="AN423">
        <f>IFERROR(IF(AW423&lt;($AM$8-$AL$8)/($AN$8-$AL$8),$AL$8+SQRT(AW423*($AN$8-$AL$8)*($AM$8-$AL$8)),$AN$8-SQRT((1-AW423)*($AN$8-$AL$8)*($AN$8-$AM$8))),$AM$8)</f>
        <v/>
      </c>
      <c r="AO423">
        <f>IFERROR(IF(AX423&lt;($AM$9-$AL$9)/($AN$9-$AL$9),$AL$9+SQRT(AX423*($AN$9-$AL$9)*($AM$9-$AL$9)),$AN$9-SQRT((1-AX423)*($AN$9-$AL$9)*($AN$9-$AM$9))),$AM$9)</f>
        <v/>
      </c>
      <c r="AP423">
        <f>IFERROR(IF(AY423&lt;($AM$10-$AL$10)/($AN$10-$AL$10),$AL$10+SQRT(AY423*($AN$10-$AL$10)*($AM$10-$AL$10)),$AN$10-SQRT((1-AY423)*($AN$10-$AL$10)*($AN$10-$AM$10))),$AM$10)</f>
        <v/>
      </c>
      <c r="AQ423">
        <f>IFERROR(IF(AZ423&lt;($AM$11-$AL$11)/($AN$11-$AL$11),$AL$11+SQRT(AZ423*($AN$11-$AL$11)*($AM$11-$AL$11)),$AN$11-SQRT((1-AZ423)*($AN$11-$AL$11)*($AN$11-$AM$11))),$AM$11)</f>
        <v/>
      </c>
      <c r="AR423">
        <f>SUMPRODUCT((B24:B31&lt;=$B$6)*(C24:C31*AM423+D24:D31*AO423*$B$8*AQ423)/(1+AL423/100)^B24:B31)+C32*AM423*AP423/(1+AL423/100)^$B$6</f>
        <v/>
      </c>
      <c r="AS423">
        <f>SUMPRODUCT((K24:K26&lt;=$B$6)*(L24:L26*AN423+M24:M26*AO423*$B$8*AQ423)/(1+AL423/100)^K24:K26)+L27*AN423*AP423/(1+AL423/100)^$B$6</f>
        <v/>
      </c>
      <c r="AT423">
        <f>AS423-AR423</f>
        <v/>
      </c>
      <c r="AU423">
        <f>RAND()</f>
        <v/>
      </c>
      <c r="AV423">
        <f>RAND()</f>
        <v/>
      </c>
      <c r="AW423">
        <f>RAND()</f>
        <v/>
      </c>
      <c r="AX423">
        <f>RAND()</f>
        <v/>
      </c>
      <c r="AY423">
        <f>RAND()</f>
        <v/>
      </c>
      <c r="AZ423">
        <f>RAND()</f>
        <v/>
      </c>
    </row>
    <row r="424">
      <c r="AK424" t="n">
        <v>411</v>
      </c>
      <c r="AL424">
        <f>IFERROR(IF(AU424&lt;($AM$6-$AL$6)/($AN$6-$AL$6),$AL$6+SQRT(AU424*($AN$6-$AL$6)*($AM$6-$AL$6)),$AN$6-SQRT((1-AU424)*($AN$6-$AL$6)*($AN$6-$AM$6))),$AM$6)</f>
        <v/>
      </c>
      <c r="AM424">
        <f>IFERROR(IF(AV424&lt;($AM$7-$AL$7)/($AN$7-$AL$7),$AL$7+SQRT(AV424*($AN$7-$AL$7)*($AM$7-$AL$7)),$AN$7-SQRT((1-AV424)*($AN$7-$AL$7)*($AN$7-$AM$7))),$AM$7)</f>
        <v/>
      </c>
      <c r="AN424">
        <f>IFERROR(IF(AW424&lt;($AM$8-$AL$8)/($AN$8-$AL$8),$AL$8+SQRT(AW424*($AN$8-$AL$8)*($AM$8-$AL$8)),$AN$8-SQRT((1-AW424)*($AN$8-$AL$8)*($AN$8-$AM$8))),$AM$8)</f>
        <v/>
      </c>
      <c r="AO424">
        <f>IFERROR(IF(AX424&lt;($AM$9-$AL$9)/($AN$9-$AL$9),$AL$9+SQRT(AX424*($AN$9-$AL$9)*($AM$9-$AL$9)),$AN$9-SQRT((1-AX424)*($AN$9-$AL$9)*($AN$9-$AM$9))),$AM$9)</f>
        <v/>
      </c>
      <c r="AP424">
        <f>IFERROR(IF(AY424&lt;($AM$10-$AL$10)/($AN$10-$AL$10),$AL$10+SQRT(AY424*($AN$10-$AL$10)*($AM$10-$AL$10)),$AN$10-SQRT((1-AY424)*($AN$10-$AL$10)*($AN$10-$AM$10))),$AM$10)</f>
        <v/>
      </c>
      <c r="AQ424">
        <f>IFERROR(IF(AZ424&lt;($AM$11-$AL$11)/($AN$11-$AL$11),$AL$11+SQRT(AZ424*($AN$11-$AL$11)*($AM$11-$AL$11)),$AN$11-SQRT((1-AZ424)*($AN$11-$AL$11)*($AN$11-$AM$11))),$AM$11)</f>
        <v/>
      </c>
      <c r="AR424">
        <f>SUMPRODUCT((B24:B31&lt;=$B$6)*(C24:C31*AM424+D24:D31*AO424*$B$8*AQ424)/(1+AL424/100)^B24:B31)+C32*AM424*AP424/(1+AL424/100)^$B$6</f>
        <v/>
      </c>
      <c r="AS424">
        <f>SUMPRODUCT((K24:K26&lt;=$B$6)*(L24:L26*AN424+M24:M26*AO424*$B$8*AQ424)/(1+AL424/100)^K24:K26)+L27*AN424*AP424/(1+AL424/100)^$B$6</f>
        <v/>
      </c>
      <c r="AT424">
        <f>AS424-AR424</f>
        <v/>
      </c>
      <c r="AU424">
        <f>RAND()</f>
        <v/>
      </c>
      <c r="AV424">
        <f>RAND()</f>
        <v/>
      </c>
      <c r="AW424">
        <f>RAND()</f>
        <v/>
      </c>
      <c r="AX424">
        <f>RAND()</f>
        <v/>
      </c>
      <c r="AY424">
        <f>RAND()</f>
        <v/>
      </c>
      <c r="AZ424">
        <f>RAND()</f>
        <v/>
      </c>
    </row>
    <row r="425">
      <c r="AK425" t="n">
        <v>412</v>
      </c>
      <c r="AL425">
        <f>IFERROR(IF(AU425&lt;($AM$6-$AL$6)/($AN$6-$AL$6),$AL$6+SQRT(AU425*($AN$6-$AL$6)*($AM$6-$AL$6)),$AN$6-SQRT((1-AU425)*($AN$6-$AL$6)*($AN$6-$AM$6))),$AM$6)</f>
        <v/>
      </c>
      <c r="AM425">
        <f>IFERROR(IF(AV425&lt;($AM$7-$AL$7)/($AN$7-$AL$7),$AL$7+SQRT(AV425*($AN$7-$AL$7)*($AM$7-$AL$7)),$AN$7-SQRT((1-AV425)*($AN$7-$AL$7)*($AN$7-$AM$7))),$AM$7)</f>
        <v/>
      </c>
      <c r="AN425">
        <f>IFERROR(IF(AW425&lt;($AM$8-$AL$8)/($AN$8-$AL$8),$AL$8+SQRT(AW425*($AN$8-$AL$8)*($AM$8-$AL$8)),$AN$8-SQRT((1-AW425)*($AN$8-$AL$8)*($AN$8-$AM$8))),$AM$8)</f>
        <v/>
      </c>
      <c r="AO425">
        <f>IFERROR(IF(AX425&lt;($AM$9-$AL$9)/($AN$9-$AL$9),$AL$9+SQRT(AX425*($AN$9-$AL$9)*($AM$9-$AL$9)),$AN$9-SQRT((1-AX425)*($AN$9-$AL$9)*($AN$9-$AM$9))),$AM$9)</f>
        <v/>
      </c>
      <c r="AP425">
        <f>IFERROR(IF(AY425&lt;($AM$10-$AL$10)/($AN$10-$AL$10),$AL$10+SQRT(AY425*($AN$10-$AL$10)*($AM$10-$AL$10)),$AN$10-SQRT((1-AY425)*($AN$10-$AL$10)*($AN$10-$AM$10))),$AM$10)</f>
        <v/>
      </c>
      <c r="AQ425">
        <f>IFERROR(IF(AZ425&lt;($AM$11-$AL$11)/($AN$11-$AL$11),$AL$11+SQRT(AZ425*($AN$11-$AL$11)*($AM$11-$AL$11)),$AN$11-SQRT((1-AZ425)*($AN$11-$AL$11)*($AN$11-$AM$11))),$AM$11)</f>
        <v/>
      </c>
      <c r="AR425">
        <f>SUMPRODUCT((B24:B31&lt;=$B$6)*(C24:C31*AM425+D24:D31*AO425*$B$8*AQ425)/(1+AL425/100)^B24:B31)+C32*AM425*AP425/(1+AL425/100)^$B$6</f>
        <v/>
      </c>
      <c r="AS425">
        <f>SUMPRODUCT((K24:K26&lt;=$B$6)*(L24:L26*AN425+M24:M26*AO425*$B$8*AQ425)/(1+AL425/100)^K24:K26)+L27*AN425*AP425/(1+AL425/100)^$B$6</f>
        <v/>
      </c>
      <c r="AT425">
        <f>AS425-AR425</f>
        <v/>
      </c>
      <c r="AU425">
        <f>RAND()</f>
        <v/>
      </c>
      <c r="AV425">
        <f>RAND()</f>
        <v/>
      </c>
      <c r="AW425">
        <f>RAND()</f>
        <v/>
      </c>
      <c r="AX425">
        <f>RAND()</f>
        <v/>
      </c>
      <c r="AY425">
        <f>RAND()</f>
        <v/>
      </c>
      <c r="AZ425">
        <f>RAND()</f>
        <v/>
      </c>
    </row>
    <row r="426">
      <c r="AK426" t="n">
        <v>413</v>
      </c>
      <c r="AL426">
        <f>IFERROR(IF(AU426&lt;($AM$6-$AL$6)/($AN$6-$AL$6),$AL$6+SQRT(AU426*($AN$6-$AL$6)*($AM$6-$AL$6)),$AN$6-SQRT((1-AU426)*($AN$6-$AL$6)*($AN$6-$AM$6))),$AM$6)</f>
        <v/>
      </c>
      <c r="AM426">
        <f>IFERROR(IF(AV426&lt;($AM$7-$AL$7)/($AN$7-$AL$7),$AL$7+SQRT(AV426*($AN$7-$AL$7)*($AM$7-$AL$7)),$AN$7-SQRT((1-AV426)*($AN$7-$AL$7)*($AN$7-$AM$7))),$AM$7)</f>
        <v/>
      </c>
      <c r="AN426">
        <f>IFERROR(IF(AW426&lt;($AM$8-$AL$8)/($AN$8-$AL$8),$AL$8+SQRT(AW426*($AN$8-$AL$8)*($AM$8-$AL$8)),$AN$8-SQRT((1-AW426)*($AN$8-$AL$8)*($AN$8-$AM$8))),$AM$8)</f>
        <v/>
      </c>
      <c r="AO426">
        <f>IFERROR(IF(AX426&lt;($AM$9-$AL$9)/($AN$9-$AL$9),$AL$9+SQRT(AX426*($AN$9-$AL$9)*($AM$9-$AL$9)),$AN$9-SQRT((1-AX426)*($AN$9-$AL$9)*($AN$9-$AM$9))),$AM$9)</f>
        <v/>
      </c>
      <c r="AP426">
        <f>IFERROR(IF(AY426&lt;($AM$10-$AL$10)/($AN$10-$AL$10),$AL$10+SQRT(AY426*($AN$10-$AL$10)*($AM$10-$AL$10)),$AN$10-SQRT((1-AY426)*($AN$10-$AL$10)*($AN$10-$AM$10))),$AM$10)</f>
        <v/>
      </c>
      <c r="AQ426">
        <f>IFERROR(IF(AZ426&lt;($AM$11-$AL$11)/($AN$11-$AL$11),$AL$11+SQRT(AZ426*($AN$11-$AL$11)*($AM$11-$AL$11)),$AN$11-SQRT((1-AZ426)*($AN$11-$AL$11)*($AN$11-$AM$11))),$AM$11)</f>
        <v/>
      </c>
      <c r="AR426">
        <f>SUMPRODUCT((B24:B31&lt;=$B$6)*(C24:C31*AM426+D24:D31*AO426*$B$8*AQ426)/(1+AL426/100)^B24:B31)+C32*AM426*AP426/(1+AL426/100)^$B$6</f>
        <v/>
      </c>
      <c r="AS426">
        <f>SUMPRODUCT((K24:K26&lt;=$B$6)*(L24:L26*AN426+M24:M26*AO426*$B$8*AQ426)/(1+AL426/100)^K24:K26)+L27*AN426*AP426/(1+AL426/100)^$B$6</f>
        <v/>
      </c>
      <c r="AT426">
        <f>AS426-AR426</f>
        <v/>
      </c>
      <c r="AU426">
        <f>RAND()</f>
        <v/>
      </c>
      <c r="AV426">
        <f>RAND()</f>
        <v/>
      </c>
      <c r="AW426">
        <f>RAND()</f>
        <v/>
      </c>
      <c r="AX426">
        <f>RAND()</f>
        <v/>
      </c>
      <c r="AY426">
        <f>RAND()</f>
        <v/>
      </c>
      <c r="AZ426">
        <f>RAND()</f>
        <v/>
      </c>
    </row>
    <row r="427">
      <c r="AK427" t="n">
        <v>414</v>
      </c>
      <c r="AL427">
        <f>IFERROR(IF(AU427&lt;($AM$6-$AL$6)/($AN$6-$AL$6),$AL$6+SQRT(AU427*($AN$6-$AL$6)*($AM$6-$AL$6)),$AN$6-SQRT((1-AU427)*($AN$6-$AL$6)*($AN$6-$AM$6))),$AM$6)</f>
        <v/>
      </c>
      <c r="AM427">
        <f>IFERROR(IF(AV427&lt;($AM$7-$AL$7)/($AN$7-$AL$7),$AL$7+SQRT(AV427*($AN$7-$AL$7)*($AM$7-$AL$7)),$AN$7-SQRT((1-AV427)*($AN$7-$AL$7)*($AN$7-$AM$7))),$AM$7)</f>
        <v/>
      </c>
      <c r="AN427">
        <f>IFERROR(IF(AW427&lt;($AM$8-$AL$8)/($AN$8-$AL$8),$AL$8+SQRT(AW427*($AN$8-$AL$8)*($AM$8-$AL$8)),$AN$8-SQRT((1-AW427)*($AN$8-$AL$8)*($AN$8-$AM$8))),$AM$8)</f>
        <v/>
      </c>
      <c r="AO427">
        <f>IFERROR(IF(AX427&lt;($AM$9-$AL$9)/($AN$9-$AL$9),$AL$9+SQRT(AX427*($AN$9-$AL$9)*($AM$9-$AL$9)),$AN$9-SQRT((1-AX427)*($AN$9-$AL$9)*($AN$9-$AM$9))),$AM$9)</f>
        <v/>
      </c>
      <c r="AP427">
        <f>IFERROR(IF(AY427&lt;($AM$10-$AL$10)/($AN$10-$AL$10),$AL$10+SQRT(AY427*($AN$10-$AL$10)*($AM$10-$AL$10)),$AN$10-SQRT((1-AY427)*($AN$10-$AL$10)*($AN$10-$AM$10))),$AM$10)</f>
        <v/>
      </c>
      <c r="AQ427">
        <f>IFERROR(IF(AZ427&lt;($AM$11-$AL$11)/($AN$11-$AL$11),$AL$11+SQRT(AZ427*($AN$11-$AL$11)*($AM$11-$AL$11)),$AN$11-SQRT((1-AZ427)*($AN$11-$AL$11)*($AN$11-$AM$11))),$AM$11)</f>
        <v/>
      </c>
      <c r="AR427">
        <f>SUMPRODUCT((B24:B31&lt;=$B$6)*(C24:C31*AM427+D24:D31*AO427*$B$8*AQ427)/(1+AL427/100)^B24:B31)+C32*AM427*AP427/(1+AL427/100)^$B$6</f>
        <v/>
      </c>
      <c r="AS427">
        <f>SUMPRODUCT((K24:K26&lt;=$B$6)*(L24:L26*AN427+M24:M26*AO427*$B$8*AQ427)/(1+AL427/100)^K24:K26)+L27*AN427*AP427/(1+AL427/100)^$B$6</f>
        <v/>
      </c>
      <c r="AT427">
        <f>AS427-AR427</f>
        <v/>
      </c>
      <c r="AU427">
        <f>RAND()</f>
        <v/>
      </c>
      <c r="AV427">
        <f>RAND()</f>
        <v/>
      </c>
      <c r="AW427">
        <f>RAND()</f>
        <v/>
      </c>
      <c r="AX427">
        <f>RAND()</f>
        <v/>
      </c>
      <c r="AY427">
        <f>RAND()</f>
        <v/>
      </c>
      <c r="AZ427">
        <f>RAND()</f>
        <v/>
      </c>
    </row>
    <row r="428">
      <c r="AK428" t="n">
        <v>415</v>
      </c>
      <c r="AL428">
        <f>IFERROR(IF(AU428&lt;($AM$6-$AL$6)/($AN$6-$AL$6),$AL$6+SQRT(AU428*($AN$6-$AL$6)*($AM$6-$AL$6)),$AN$6-SQRT((1-AU428)*($AN$6-$AL$6)*($AN$6-$AM$6))),$AM$6)</f>
        <v/>
      </c>
      <c r="AM428">
        <f>IFERROR(IF(AV428&lt;($AM$7-$AL$7)/($AN$7-$AL$7),$AL$7+SQRT(AV428*($AN$7-$AL$7)*($AM$7-$AL$7)),$AN$7-SQRT((1-AV428)*($AN$7-$AL$7)*($AN$7-$AM$7))),$AM$7)</f>
        <v/>
      </c>
      <c r="AN428">
        <f>IFERROR(IF(AW428&lt;($AM$8-$AL$8)/($AN$8-$AL$8),$AL$8+SQRT(AW428*($AN$8-$AL$8)*($AM$8-$AL$8)),$AN$8-SQRT((1-AW428)*($AN$8-$AL$8)*($AN$8-$AM$8))),$AM$8)</f>
        <v/>
      </c>
      <c r="AO428">
        <f>IFERROR(IF(AX428&lt;($AM$9-$AL$9)/($AN$9-$AL$9),$AL$9+SQRT(AX428*($AN$9-$AL$9)*($AM$9-$AL$9)),$AN$9-SQRT((1-AX428)*($AN$9-$AL$9)*($AN$9-$AM$9))),$AM$9)</f>
        <v/>
      </c>
      <c r="AP428">
        <f>IFERROR(IF(AY428&lt;($AM$10-$AL$10)/($AN$10-$AL$10),$AL$10+SQRT(AY428*($AN$10-$AL$10)*($AM$10-$AL$10)),$AN$10-SQRT((1-AY428)*($AN$10-$AL$10)*($AN$10-$AM$10))),$AM$10)</f>
        <v/>
      </c>
      <c r="AQ428">
        <f>IFERROR(IF(AZ428&lt;($AM$11-$AL$11)/($AN$11-$AL$11),$AL$11+SQRT(AZ428*($AN$11-$AL$11)*($AM$11-$AL$11)),$AN$11-SQRT((1-AZ428)*($AN$11-$AL$11)*($AN$11-$AM$11))),$AM$11)</f>
        <v/>
      </c>
      <c r="AR428">
        <f>SUMPRODUCT((B24:B31&lt;=$B$6)*(C24:C31*AM428+D24:D31*AO428*$B$8*AQ428)/(1+AL428/100)^B24:B31)+C32*AM428*AP428/(1+AL428/100)^$B$6</f>
        <v/>
      </c>
      <c r="AS428">
        <f>SUMPRODUCT((K24:K26&lt;=$B$6)*(L24:L26*AN428+M24:M26*AO428*$B$8*AQ428)/(1+AL428/100)^K24:K26)+L27*AN428*AP428/(1+AL428/100)^$B$6</f>
        <v/>
      </c>
      <c r="AT428">
        <f>AS428-AR428</f>
        <v/>
      </c>
      <c r="AU428">
        <f>RAND()</f>
        <v/>
      </c>
      <c r="AV428">
        <f>RAND()</f>
        <v/>
      </c>
      <c r="AW428">
        <f>RAND()</f>
        <v/>
      </c>
      <c r="AX428">
        <f>RAND()</f>
        <v/>
      </c>
      <c r="AY428">
        <f>RAND()</f>
        <v/>
      </c>
      <c r="AZ428">
        <f>RAND()</f>
        <v/>
      </c>
    </row>
    <row r="429">
      <c r="AK429" t="n">
        <v>416</v>
      </c>
      <c r="AL429">
        <f>IFERROR(IF(AU429&lt;($AM$6-$AL$6)/($AN$6-$AL$6),$AL$6+SQRT(AU429*($AN$6-$AL$6)*($AM$6-$AL$6)),$AN$6-SQRT((1-AU429)*($AN$6-$AL$6)*($AN$6-$AM$6))),$AM$6)</f>
        <v/>
      </c>
      <c r="AM429">
        <f>IFERROR(IF(AV429&lt;($AM$7-$AL$7)/($AN$7-$AL$7),$AL$7+SQRT(AV429*($AN$7-$AL$7)*($AM$7-$AL$7)),$AN$7-SQRT((1-AV429)*($AN$7-$AL$7)*($AN$7-$AM$7))),$AM$7)</f>
        <v/>
      </c>
      <c r="AN429">
        <f>IFERROR(IF(AW429&lt;($AM$8-$AL$8)/($AN$8-$AL$8),$AL$8+SQRT(AW429*($AN$8-$AL$8)*($AM$8-$AL$8)),$AN$8-SQRT((1-AW429)*($AN$8-$AL$8)*($AN$8-$AM$8))),$AM$8)</f>
        <v/>
      </c>
      <c r="AO429">
        <f>IFERROR(IF(AX429&lt;($AM$9-$AL$9)/($AN$9-$AL$9),$AL$9+SQRT(AX429*($AN$9-$AL$9)*($AM$9-$AL$9)),$AN$9-SQRT((1-AX429)*($AN$9-$AL$9)*($AN$9-$AM$9))),$AM$9)</f>
        <v/>
      </c>
      <c r="AP429">
        <f>IFERROR(IF(AY429&lt;($AM$10-$AL$10)/($AN$10-$AL$10),$AL$10+SQRT(AY429*($AN$10-$AL$10)*($AM$10-$AL$10)),$AN$10-SQRT((1-AY429)*($AN$10-$AL$10)*($AN$10-$AM$10))),$AM$10)</f>
        <v/>
      </c>
      <c r="AQ429">
        <f>IFERROR(IF(AZ429&lt;($AM$11-$AL$11)/($AN$11-$AL$11),$AL$11+SQRT(AZ429*($AN$11-$AL$11)*($AM$11-$AL$11)),$AN$11-SQRT((1-AZ429)*($AN$11-$AL$11)*($AN$11-$AM$11))),$AM$11)</f>
        <v/>
      </c>
      <c r="AR429">
        <f>SUMPRODUCT((B24:B31&lt;=$B$6)*(C24:C31*AM429+D24:D31*AO429*$B$8*AQ429)/(1+AL429/100)^B24:B31)+C32*AM429*AP429/(1+AL429/100)^$B$6</f>
        <v/>
      </c>
      <c r="AS429">
        <f>SUMPRODUCT((K24:K26&lt;=$B$6)*(L24:L26*AN429+M24:M26*AO429*$B$8*AQ429)/(1+AL429/100)^K24:K26)+L27*AN429*AP429/(1+AL429/100)^$B$6</f>
        <v/>
      </c>
      <c r="AT429">
        <f>AS429-AR429</f>
        <v/>
      </c>
      <c r="AU429">
        <f>RAND()</f>
        <v/>
      </c>
      <c r="AV429">
        <f>RAND()</f>
        <v/>
      </c>
      <c r="AW429">
        <f>RAND()</f>
        <v/>
      </c>
      <c r="AX429">
        <f>RAND()</f>
        <v/>
      </c>
      <c r="AY429">
        <f>RAND()</f>
        <v/>
      </c>
      <c r="AZ429">
        <f>RAND()</f>
        <v/>
      </c>
    </row>
    <row r="430">
      <c r="AK430" t="n">
        <v>417</v>
      </c>
      <c r="AL430">
        <f>IFERROR(IF(AU430&lt;($AM$6-$AL$6)/($AN$6-$AL$6),$AL$6+SQRT(AU430*($AN$6-$AL$6)*($AM$6-$AL$6)),$AN$6-SQRT((1-AU430)*($AN$6-$AL$6)*($AN$6-$AM$6))),$AM$6)</f>
        <v/>
      </c>
      <c r="AM430">
        <f>IFERROR(IF(AV430&lt;($AM$7-$AL$7)/($AN$7-$AL$7),$AL$7+SQRT(AV430*($AN$7-$AL$7)*($AM$7-$AL$7)),$AN$7-SQRT((1-AV430)*($AN$7-$AL$7)*($AN$7-$AM$7))),$AM$7)</f>
        <v/>
      </c>
      <c r="AN430">
        <f>IFERROR(IF(AW430&lt;($AM$8-$AL$8)/($AN$8-$AL$8),$AL$8+SQRT(AW430*($AN$8-$AL$8)*($AM$8-$AL$8)),$AN$8-SQRT((1-AW430)*($AN$8-$AL$8)*($AN$8-$AM$8))),$AM$8)</f>
        <v/>
      </c>
      <c r="AO430">
        <f>IFERROR(IF(AX430&lt;($AM$9-$AL$9)/($AN$9-$AL$9),$AL$9+SQRT(AX430*($AN$9-$AL$9)*($AM$9-$AL$9)),$AN$9-SQRT((1-AX430)*($AN$9-$AL$9)*($AN$9-$AM$9))),$AM$9)</f>
        <v/>
      </c>
      <c r="AP430">
        <f>IFERROR(IF(AY430&lt;($AM$10-$AL$10)/($AN$10-$AL$10),$AL$10+SQRT(AY430*($AN$10-$AL$10)*($AM$10-$AL$10)),$AN$10-SQRT((1-AY430)*($AN$10-$AL$10)*($AN$10-$AM$10))),$AM$10)</f>
        <v/>
      </c>
      <c r="AQ430">
        <f>IFERROR(IF(AZ430&lt;($AM$11-$AL$11)/($AN$11-$AL$11),$AL$11+SQRT(AZ430*($AN$11-$AL$11)*($AM$11-$AL$11)),$AN$11-SQRT((1-AZ430)*($AN$11-$AL$11)*($AN$11-$AM$11))),$AM$11)</f>
        <v/>
      </c>
      <c r="AR430">
        <f>SUMPRODUCT((B24:B31&lt;=$B$6)*(C24:C31*AM430+D24:D31*AO430*$B$8*AQ430)/(1+AL430/100)^B24:B31)+C32*AM430*AP430/(1+AL430/100)^$B$6</f>
        <v/>
      </c>
      <c r="AS430">
        <f>SUMPRODUCT((K24:K26&lt;=$B$6)*(L24:L26*AN430+M24:M26*AO430*$B$8*AQ430)/(1+AL430/100)^K24:K26)+L27*AN430*AP430/(1+AL430/100)^$B$6</f>
        <v/>
      </c>
      <c r="AT430">
        <f>AS430-AR430</f>
        <v/>
      </c>
      <c r="AU430">
        <f>RAND()</f>
        <v/>
      </c>
      <c r="AV430">
        <f>RAND()</f>
        <v/>
      </c>
      <c r="AW430">
        <f>RAND()</f>
        <v/>
      </c>
      <c r="AX430">
        <f>RAND()</f>
        <v/>
      </c>
      <c r="AY430">
        <f>RAND()</f>
        <v/>
      </c>
      <c r="AZ430">
        <f>RAND()</f>
        <v/>
      </c>
    </row>
    <row r="431">
      <c r="AK431" t="n">
        <v>418</v>
      </c>
      <c r="AL431">
        <f>IFERROR(IF(AU431&lt;($AM$6-$AL$6)/($AN$6-$AL$6),$AL$6+SQRT(AU431*($AN$6-$AL$6)*($AM$6-$AL$6)),$AN$6-SQRT((1-AU431)*($AN$6-$AL$6)*($AN$6-$AM$6))),$AM$6)</f>
        <v/>
      </c>
      <c r="AM431">
        <f>IFERROR(IF(AV431&lt;($AM$7-$AL$7)/($AN$7-$AL$7),$AL$7+SQRT(AV431*($AN$7-$AL$7)*($AM$7-$AL$7)),$AN$7-SQRT((1-AV431)*($AN$7-$AL$7)*($AN$7-$AM$7))),$AM$7)</f>
        <v/>
      </c>
      <c r="AN431">
        <f>IFERROR(IF(AW431&lt;($AM$8-$AL$8)/($AN$8-$AL$8),$AL$8+SQRT(AW431*($AN$8-$AL$8)*($AM$8-$AL$8)),$AN$8-SQRT((1-AW431)*($AN$8-$AL$8)*($AN$8-$AM$8))),$AM$8)</f>
        <v/>
      </c>
      <c r="AO431">
        <f>IFERROR(IF(AX431&lt;($AM$9-$AL$9)/($AN$9-$AL$9),$AL$9+SQRT(AX431*($AN$9-$AL$9)*($AM$9-$AL$9)),$AN$9-SQRT((1-AX431)*($AN$9-$AL$9)*($AN$9-$AM$9))),$AM$9)</f>
        <v/>
      </c>
      <c r="AP431">
        <f>IFERROR(IF(AY431&lt;($AM$10-$AL$10)/($AN$10-$AL$10),$AL$10+SQRT(AY431*($AN$10-$AL$10)*($AM$10-$AL$10)),$AN$10-SQRT((1-AY431)*($AN$10-$AL$10)*($AN$10-$AM$10))),$AM$10)</f>
        <v/>
      </c>
      <c r="AQ431">
        <f>IFERROR(IF(AZ431&lt;($AM$11-$AL$11)/($AN$11-$AL$11),$AL$11+SQRT(AZ431*($AN$11-$AL$11)*($AM$11-$AL$11)),$AN$11-SQRT((1-AZ431)*($AN$11-$AL$11)*($AN$11-$AM$11))),$AM$11)</f>
        <v/>
      </c>
      <c r="AR431">
        <f>SUMPRODUCT((B24:B31&lt;=$B$6)*(C24:C31*AM431+D24:D31*AO431*$B$8*AQ431)/(1+AL431/100)^B24:B31)+C32*AM431*AP431/(1+AL431/100)^$B$6</f>
        <v/>
      </c>
      <c r="AS431">
        <f>SUMPRODUCT((K24:K26&lt;=$B$6)*(L24:L26*AN431+M24:M26*AO431*$B$8*AQ431)/(1+AL431/100)^K24:K26)+L27*AN431*AP431/(1+AL431/100)^$B$6</f>
        <v/>
      </c>
      <c r="AT431">
        <f>AS431-AR431</f>
        <v/>
      </c>
      <c r="AU431">
        <f>RAND()</f>
        <v/>
      </c>
      <c r="AV431">
        <f>RAND()</f>
        <v/>
      </c>
      <c r="AW431">
        <f>RAND()</f>
        <v/>
      </c>
      <c r="AX431">
        <f>RAND()</f>
        <v/>
      </c>
      <c r="AY431">
        <f>RAND()</f>
        <v/>
      </c>
      <c r="AZ431">
        <f>RAND()</f>
        <v/>
      </c>
    </row>
    <row r="432">
      <c r="AK432" t="n">
        <v>419</v>
      </c>
      <c r="AL432">
        <f>IFERROR(IF(AU432&lt;($AM$6-$AL$6)/($AN$6-$AL$6),$AL$6+SQRT(AU432*($AN$6-$AL$6)*($AM$6-$AL$6)),$AN$6-SQRT((1-AU432)*($AN$6-$AL$6)*($AN$6-$AM$6))),$AM$6)</f>
        <v/>
      </c>
      <c r="AM432">
        <f>IFERROR(IF(AV432&lt;($AM$7-$AL$7)/($AN$7-$AL$7),$AL$7+SQRT(AV432*($AN$7-$AL$7)*($AM$7-$AL$7)),$AN$7-SQRT((1-AV432)*($AN$7-$AL$7)*($AN$7-$AM$7))),$AM$7)</f>
        <v/>
      </c>
      <c r="AN432">
        <f>IFERROR(IF(AW432&lt;($AM$8-$AL$8)/($AN$8-$AL$8),$AL$8+SQRT(AW432*($AN$8-$AL$8)*($AM$8-$AL$8)),$AN$8-SQRT((1-AW432)*($AN$8-$AL$8)*($AN$8-$AM$8))),$AM$8)</f>
        <v/>
      </c>
      <c r="AO432">
        <f>IFERROR(IF(AX432&lt;($AM$9-$AL$9)/($AN$9-$AL$9),$AL$9+SQRT(AX432*($AN$9-$AL$9)*($AM$9-$AL$9)),$AN$9-SQRT((1-AX432)*($AN$9-$AL$9)*($AN$9-$AM$9))),$AM$9)</f>
        <v/>
      </c>
      <c r="AP432">
        <f>IFERROR(IF(AY432&lt;($AM$10-$AL$10)/($AN$10-$AL$10),$AL$10+SQRT(AY432*($AN$10-$AL$10)*($AM$10-$AL$10)),$AN$10-SQRT((1-AY432)*($AN$10-$AL$10)*($AN$10-$AM$10))),$AM$10)</f>
        <v/>
      </c>
      <c r="AQ432">
        <f>IFERROR(IF(AZ432&lt;($AM$11-$AL$11)/($AN$11-$AL$11),$AL$11+SQRT(AZ432*($AN$11-$AL$11)*($AM$11-$AL$11)),$AN$11-SQRT((1-AZ432)*($AN$11-$AL$11)*($AN$11-$AM$11))),$AM$11)</f>
        <v/>
      </c>
      <c r="AR432">
        <f>SUMPRODUCT((B24:B31&lt;=$B$6)*(C24:C31*AM432+D24:D31*AO432*$B$8*AQ432)/(1+AL432/100)^B24:B31)+C32*AM432*AP432/(1+AL432/100)^$B$6</f>
        <v/>
      </c>
      <c r="AS432">
        <f>SUMPRODUCT((K24:K26&lt;=$B$6)*(L24:L26*AN432+M24:M26*AO432*$B$8*AQ432)/(1+AL432/100)^K24:K26)+L27*AN432*AP432/(1+AL432/100)^$B$6</f>
        <v/>
      </c>
      <c r="AT432">
        <f>AS432-AR432</f>
        <v/>
      </c>
      <c r="AU432">
        <f>RAND()</f>
        <v/>
      </c>
      <c r="AV432">
        <f>RAND()</f>
        <v/>
      </c>
      <c r="AW432">
        <f>RAND()</f>
        <v/>
      </c>
      <c r="AX432">
        <f>RAND()</f>
        <v/>
      </c>
      <c r="AY432">
        <f>RAND()</f>
        <v/>
      </c>
      <c r="AZ432">
        <f>RAND()</f>
        <v/>
      </c>
    </row>
    <row r="433">
      <c r="AK433" t="n">
        <v>420</v>
      </c>
      <c r="AL433">
        <f>IFERROR(IF(AU433&lt;($AM$6-$AL$6)/($AN$6-$AL$6),$AL$6+SQRT(AU433*($AN$6-$AL$6)*($AM$6-$AL$6)),$AN$6-SQRT((1-AU433)*($AN$6-$AL$6)*($AN$6-$AM$6))),$AM$6)</f>
        <v/>
      </c>
      <c r="AM433">
        <f>IFERROR(IF(AV433&lt;($AM$7-$AL$7)/($AN$7-$AL$7),$AL$7+SQRT(AV433*($AN$7-$AL$7)*($AM$7-$AL$7)),$AN$7-SQRT((1-AV433)*($AN$7-$AL$7)*($AN$7-$AM$7))),$AM$7)</f>
        <v/>
      </c>
      <c r="AN433">
        <f>IFERROR(IF(AW433&lt;($AM$8-$AL$8)/($AN$8-$AL$8),$AL$8+SQRT(AW433*($AN$8-$AL$8)*($AM$8-$AL$8)),$AN$8-SQRT((1-AW433)*($AN$8-$AL$8)*($AN$8-$AM$8))),$AM$8)</f>
        <v/>
      </c>
      <c r="AO433">
        <f>IFERROR(IF(AX433&lt;($AM$9-$AL$9)/($AN$9-$AL$9),$AL$9+SQRT(AX433*($AN$9-$AL$9)*($AM$9-$AL$9)),$AN$9-SQRT((1-AX433)*($AN$9-$AL$9)*($AN$9-$AM$9))),$AM$9)</f>
        <v/>
      </c>
      <c r="AP433">
        <f>IFERROR(IF(AY433&lt;($AM$10-$AL$10)/($AN$10-$AL$10),$AL$10+SQRT(AY433*($AN$10-$AL$10)*($AM$10-$AL$10)),$AN$10-SQRT((1-AY433)*($AN$10-$AL$10)*($AN$10-$AM$10))),$AM$10)</f>
        <v/>
      </c>
      <c r="AQ433">
        <f>IFERROR(IF(AZ433&lt;($AM$11-$AL$11)/($AN$11-$AL$11),$AL$11+SQRT(AZ433*($AN$11-$AL$11)*($AM$11-$AL$11)),$AN$11-SQRT((1-AZ433)*($AN$11-$AL$11)*($AN$11-$AM$11))),$AM$11)</f>
        <v/>
      </c>
      <c r="AR433">
        <f>SUMPRODUCT((B24:B31&lt;=$B$6)*(C24:C31*AM433+D24:D31*AO433*$B$8*AQ433)/(1+AL433/100)^B24:B31)+C32*AM433*AP433/(1+AL433/100)^$B$6</f>
        <v/>
      </c>
      <c r="AS433">
        <f>SUMPRODUCT((K24:K26&lt;=$B$6)*(L24:L26*AN433+M24:M26*AO433*$B$8*AQ433)/(1+AL433/100)^K24:K26)+L27*AN433*AP433/(1+AL433/100)^$B$6</f>
        <v/>
      </c>
      <c r="AT433">
        <f>AS433-AR433</f>
        <v/>
      </c>
      <c r="AU433">
        <f>RAND()</f>
        <v/>
      </c>
      <c r="AV433">
        <f>RAND()</f>
        <v/>
      </c>
      <c r="AW433">
        <f>RAND()</f>
        <v/>
      </c>
      <c r="AX433">
        <f>RAND()</f>
        <v/>
      </c>
      <c r="AY433">
        <f>RAND()</f>
        <v/>
      </c>
      <c r="AZ433">
        <f>RAND()</f>
        <v/>
      </c>
    </row>
    <row r="434">
      <c r="AK434" t="n">
        <v>421</v>
      </c>
      <c r="AL434">
        <f>IFERROR(IF(AU434&lt;($AM$6-$AL$6)/($AN$6-$AL$6),$AL$6+SQRT(AU434*($AN$6-$AL$6)*($AM$6-$AL$6)),$AN$6-SQRT((1-AU434)*($AN$6-$AL$6)*($AN$6-$AM$6))),$AM$6)</f>
        <v/>
      </c>
      <c r="AM434">
        <f>IFERROR(IF(AV434&lt;($AM$7-$AL$7)/($AN$7-$AL$7),$AL$7+SQRT(AV434*($AN$7-$AL$7)*($AM$7-$AL$7)),$AN$7-SQRT((1-AV434)*($AN$7-$AL$7)*($AN$7-$AM$7))),$AM$7)</f>
        <v/>
      </c>
      <c r="AN434">
        <f>IFERROR(IF(AW434&lt;($AM$8-$AL$8)/($AN$8-$AL$8),$AL$8+SQRT(AW434*($AN$8-$AL$8)*($AM$8-$AL$8)),$AN$8-SQRT((1-AW434)*($AN$8-$AL$8)*($AN$8-$AM$8))),$AM$8)</f>
        <v/>
      </c>
      <c r="AO434">
        <f>IFERROR(IF(AX434&lt;($AM$9-$AL$9)/($AN$9-$AL$9),$AL$9+SQRT(AX434*($AN$9-$AL$9)*($AM$9-$AL$9)),$AN$9-SQRT((1-AX434)*($AN$9-$AL$9)*($AN$9-$AM$9))),$AM$9)</f>
        <v/>
      </c>
      <c r="AP434">
        <f>IFERROR(IF(AY434&lt;($AM$10-$AL$10)/($AN$10-$AL$10),$AL$10+SQRT(AY434*($AN$10-$AL$10)*($AM$10-$AL$10)),$AN$10-SQRT((1-AY434)*($AN$10-$AL$10)*($AN$10-$AM$10))),$AM$10)</f>
        <v/>
      </c>
      <c r="AQ434">
        <f>IFERROR(IF(AZ434&lt;($AM$11-$AL$11)/($AN$11-$AL$11),$AL$11+SQRT(AZ434*($AN$11-$AL$11)*($AM$11-$AL$11)),$AN$11-SQRT((1-AZ434)*($AN$11-$AL$11)*($AN$11-$AM$11))),$AM$11)</f>
        <v/>
      </c>
      <c r="AR434">
        <f>SUMPRODUCT((B24:B31&lt;=$B$6)*(C24:C31*AM434+D24:D31*AO434*$B$8*AQ434)/(1+AL434/100)^B24:B31)+C32*AM434*AP434/(1+AL434/100)^$B$6</f>
        <v/>
      </c>
      <c r="AS434">
        <f>SUMPRODUCT((K24:K26&lt;=$B$6)*(L24:L26*AN434+M24:M26*AO434*$B$8*AQ434)/(1+AL434/100)^K24:K26)+L27*AN434*AP434/(1+AL434/100)^$B$6</f>
        <v/>
      </c>
      <c r="AT434">
        <f>AS434-AR434</f>
        <v/>
      </c>
      <c r="AU434">
        <f>RAND()</f>
        <v/>
      </c>
      <c r="AV434">
        <f>RAND()</f>
        <v/>
      </c>
      <c r="AW434">
        <f>RAND()</f>
        <v/>
      </c>
      <c r="AX434">
        <f>RAND()</f>
        <v/>
      </c>
      <c r="AY434">
        <f>RAND()</f>
        <v/>
      </c>
      <c r="AZ434">
        <f>RAND()</f>
        <v/>
      </c>
    </row>
    <row r="435">
      <c r="AK435" t="n">
        <v>422</v>
      </c>
      <c r="AL435">
        <f>IFERROR(IF(AU435&lt;($AM$6-$AL$6)/($AN$6-$AL$6),$AL$6+SQRT(AU435*($AN$6-$AL$6)*($AM$6-$AL$6)),$AN$6-SQRT((1-AU435)*($AN$6-$AL$6)*($AN$6-$AM$6))),$AM$6)</f>
        <v/>
      </c>
      <c r="AM435">
        <f>IFERROR(IF(AV435&lt;($AM$7-$AL$7)/($AN$7-$AL$7),$AL$7+SQRT(AV435*($AN$7-$AL$7)*($AM$7-$AL$7)),$AN$7-SQRT((1-AV435)*($AN$7-$AL$7)*($AN$7-$AM$7))),$AM$7)</f>
        <v/>
      </c>
      <c r="AN435">
        <f>IFERROR(IF(AW435&lt;($AM$8-$AL$8)/($AN$8-$AL$8),$AL$8+SQRT(AW435*($AN$8-$AL$8)*($AM$8-$AL$8)),$AN$8-SQRT((1-AW435)*($AN$8-$AL$8)*($AN$8-$AM$8))),$AM$8)</f>
        <v/>
      </c>
      <c r="AO435">
        <f>IFERROR(IF(AX435&lt;($AM$9-$AL$9)/($AN$9-$AL$9),$AL$9+SQRT(AX435*($AN$9-$AL$9)*($AM$9-$AL$9)),$AN$9-SQRT((1-AX435)*($AN$9-$AL$9)*($AN$9-$AM$9))),$AM$9)</f>
        <v/>
      </c>
      <c r="AP435">
        <f>IFERROR(IF(AY435&lt;($AM$10-$AL$10)/($AN$10-$AL$10),$AL$10+SQRT(AY435*($AN$10-$AL$10)*($AM$10-$AL$10)),$AN$10-SQRT((1-AY435)*($AN$10-$AL$10)*($AN$10-$AM$10))),$AM$10)</f>
        <v/>
      </c>
      <c r="AQ435">
        <f>IFERROR(IF(AZ435&lt;($AM$11-$AL$11)/($AN$11-$AL$11),$AL$11+SQRT(AZ435*($AN$11-$AL$11)*($AM$11-$AL$11)),$AN$11-SQRT((1-AZ435)*($AN$11-$AL$11)*($AN$11-$AM$11))),$AM$11)</f>
        <v/>
      </c>
      <c r="AR435">
        <f>SUMPRODUCT((B24:B31&lt;=$B$6)*(C24:C31*AM435+D24:D31*AO435*$B$8*AQ435)/(1+AL435/100)^B24:B31)+C32*AM435*AP435/(1+AL435/100)^$B$6</f>
        <v/>
      </c>
      <c r="AS435">
        <f>SUMPRODUCT((K24:K26&lt;=$B$6)*(L24:L26*AN435+M24:M26*AO435*$B$8*AQ435)/(1+AL435/100)^K24:K26)+L27*AN435*AP435/(1+AL435/100)^$B$6</f>
        <v/>
      </c>
      <c r="AT435">
        <f>AS435-AR435</f>
        <v/>
      </c>
      <c r="AU435">
        <f>RAND()</f>
        <v/>
      </c>
      <c r="AV435">
        <f>RAND()</f>
        <v/>
      </c>
      <c r="AW435">
        <f>RAND()</f>
        <v/>
      </c>
      <c r="AX435">
        <f>RAND()</f>
        <v/>
      </c>
      <c r="AY435">
        <f>RAND()</f>
        <v/>
      </c>
      <c r="AZ435">
        <f>RAND()</f>
        <v/>
      </c>
    </row>
    <row r="436">
      <c r="AK436" t="n">
        <v>423</v>
      </c>
      <c r="AL436">
        <f>IFERROR(IF(AU436&lt;($AM$6-$AL$6)/($AN$6-$AL$6),$AL$6+SQRT(AU436*($AN$6-$AL$6)*($AM$6-$AL$6)),$AN$6-SQRT((1-AU436)*($AN$6-$AL$6)*($AN$6-$AM$6))),$AM$6)</f>
        <v/>
      </c>
      <c r="AM436">
        <f>IFERROR(IF(AV436&lt;($AM$7-$AL$7)/($AN$7-$AL$7),$AL$7+SQRT(AV436*($AN$7-$AL$7)*($AM$7-$AL$7)),$AN$7-SQRT((1-AV436)*($AN$7-$AL$7)*($AN$7-$AM$7))),$AM$7)</f>
        <v/>
      </c>
      <c r="AN436">
        <f>IFERROR(IF(AW436&lt;($AM$8-$AL$8)/($AN$8-$AL$8),$AL$8+SQRT(AW436*($AN$8-$AL$8)*($AM$8-$AL$8)),$AN$8-SQRT((1-AW436)*($AN$8-$AL$8)*($AN$8-$AM$8))),$AM$8)</f>
        <v/>
      </c>
      <c r="AO436">
        <f>IFERROR(IF(AX436&lt;($AM$9-$AL$9)/($AN$9-$AL$9),$AL$9+SQRT(AX436*($AN$9-$AL$9)*($AM$9-$AL$9)),$AN$9-SQRT((1-AX436)*($AN$9-$AL$9)*($AN$9-$AM$9))),$AM$9)</f>
        <v/>
      </c>
      <c r="AP436">
        <f>IFERROR(IF(AY436&lt;($AM$10-$AL$10)/($AN$10-$AL$10),$AL$10+SQRT(AY436*($AN$10-$AL$10)*($AM$10-$AL$10)),$AN$10-SQRT((1-AY436)*($AN$10-$AL$10)*($AN$10-$AM$10))),$AM$10)</f>
        <v/>
      </c>
      <c r="AQ436">
        <f>IFERROR(IF(AZ436&lt;($AM$11-$AL$11)/($AN$11-$AL$11),$AL$11+SQRT(AZ436*($AN$11-$AL$11)*($AM$11-$AL$11)),$AN$11-SQRT((1-AZ436)*($AN$11-$AL$11)*($AN$11-$AM$11))),$AM$11)</f>
        <v/>
      </c>
      <c r="AR436">
        <f>SUMPRODUCT((B24:B31&lt;=$B$6)*(C24:C31*AM436+D24:D31*AO436*$B$8*AQ436)/(1+AL436/100)^B24:B31)+C32*AM436*AP436/(1+AL436/100)^$B$6</f>
        <v/>
      </c>
      <c r="AS436">
        <f>SUMPRODUCT((K24:K26&lt;=$B$6)*(L24:L26*AN436+M24:M26*AO436*$B$8*AQ436)/(1+AL436/100)^K24:K26)+L27*AN436*AP436/(1+AL436/100)^$B$6</f>
        <v/>
      </c>
      <c r="AT436">
        <f>AS436-AR436</f>
        <v/>
      </c>
      <c r="AU436">
        <f>RAND()</f>
        <v/>
      </c>
      <c r="AV436">
        <f>RAND()</f>
        <v/>
      </c>
      <c r="AW436">
        <f>RAND()</f>
        <v/>
      </c>
      <c r="AX436">
        <f>RAND()</f>
        <v/>
      </c>
      <c r="AY436">
        <f>RAND()</f>
        <v/>
      </c>
      <c r="AZ436">
        <f>RAND()</f>
        <v/>
      </c>
    </row>
    <row r="437">
      <c r="AK437" t="n">
        <v>424</v>
      </c>
      <c r="AL437">
        <f>IFERROR(IF(AU437&lt;($AM$6-$AL$6)/($AN$6-$AL$6),$AL$6+SQRT(AU437*($AN$6-$AL$6)*($AM$6-$AL$6)),$AN$6-SQRT((1-AU437)*($AN$6-$AL$6)*($AN$6-$AM$6))),$AM$6)</f>
        <v/>
      </c>
      <c r="AM437">
        <f>IFERROR(IF(AV437&lt;($AM$7-$AL$7)/($AN$7-$AL$7),$AL$7+SQRT(AV437*($AN$7-$AL$7)*($AM$7-$AL$7)),$AN$7-SQRT((1-AV437)*($AN$7-$AL$7)*($AN$7-$AM$7))),$AM$7)</f>
        <v/>
      </c>
      <c r="AN437">
        <f>IFERROR(IF(AW437&lt;($AM$8-$AL$8)/($AN$8-$AL$8),$AL$8+SQRT(AW437*($AN$8-$AL$8)*($AM$8-$AL$8)),$AN$8-SQRT((1-AW437)*($AN$8-$AL$8)*($AN$8-$AM$8))),$AM$8)</f>
        <v/>
      </c>
      <c r="AO437">
        <f>IFERROR(IF(AX437&lt;($AM$9-$AL$9)/($AN$9-$AL$9),$AL$9+SQRT(AX437*($AN$9-$AL$9)*($AM$9-$AL$9)),$AN$9-SQRT((1-AX437)*($AN$9-$AL$9)*($AN$9-$AM$9))),$AM$9)</f>
        <v/>
      </c>
      <c r="AP437">
        <f>IFERROR(IF(AY437&lt;($AM$10-$AL$10)/($AN$10-$AL$10),$AL$10+SQRT(AY437*($AN$10-$AL$10)*($AM$10-$AL$10)),$AN$10-SQRT((1-AY437)*($AN$10-$AL$10)*($AN$10-$AM$10))),$AM$10)</f>
        <v/>
      </c>
      <c r="AQ437">
        <f>IFERROR(IF(AZ437&lt;($AM$11-$AL$11)/($AN$11-$AL$11),$AL$11+SQRT(AZ437*($AN$11-$AL$11)*($AM$11-$AL$11)),$AN$11-SQRT((1-AZ437)*($AN$11-$AL$11)*($AN$11-$AM$11))),$AM$11)</f>
        <v/>
      </c>
      <c r="AR437">
        <f>SUMPRODUCT((B24:B31&lt;=$B$6)*(C24:C31*AM437+D24:D31*AO437*$B$8*AQ437)/(1+AL437/100)^B24:B31)+C32*AM437*AP437/(1+AL437/100)^$B$6</f>
        <v/>
      </c>
      <c r="AS437">
        <f>SUMPRODUCT((K24:K26&lt;=$B$6)*(L24:L26*AN437+M24:M26*AO437*$B$8*AQ437)/(1+AL437/100)^K24:K26)+L27*AN437*AP437/(1+AL437/100)^$B$6</f>
        <v/>
      </c>
      <c r="AT437">
        <f>AS437-AR437</f>
        <v/>
      </c>
      <c r="AU437">
        <f>RAND()</f>
        <v/>
      </c>
      <c r="AV437">
        <f>RAND()</f>
        <v/>
      </c>
      <c r="AW437">
        <f>RAND()</f>
        <v/>
      </c>
      <c r="AX437">
        <f>RAND()</f>
        <v/>
      </c>
      <c r="AY437">
        <f>RAND()</f>
        <v/>
      </c>
      <c r="AZ437">
        <f>RAND()</f>
        <v/>
      </c>
    </row>
    <row r="438">
      <c r="AK438" t="n">
        <v>425</v>
      </c>
      <c r="AL438">
        <f>IFERROR(IF(AU438&lt;($AM$6-$AL$6)/($AN$6-$AL$6),$AL$6+SQRT(AU438*($AN$6-$AL$6)*($AM$6-$AL$6)),$AN$6-SQRT((1-AU438)*($AN$6-$AL$6)*($AN$6-$AM$6))),$AM$6)</f>
        <v/>
      </c>
      <c r="AM438">
        <f>IFERROR(IF(AV438&lt;($AM$7-$AL$7)/($AN$7-$AL$7),$AL$7+SQRT(AV438*($AN$7-$AL$7)*($AM$7-$AL$7)),$AN$7-SQRT((1-AV438)*($AN$7-$AL$7)*($AN$7-$AM$7))),$AM$7)</f>
        <v/>
      </c>
      <c r="AN438">
        <f>IFERROR(IF(AW438&lt;($AM$8-$AL$8)/($AN$8-$AL$8),$AL$8+SQRT(AW438*($AN$8-$AL$8)*($AM$8-$AL$8)),$AN$8-SQRT((1-AW438)*($AN$8-$AL$8)*($AN$8-$AM$8))),$AM$8)</f>
        <v/>
      </c>
      <c r="AO438">
        <f>IFERROR(IF(AX438&lt;($AM$9-$AL$9)/($AN$9-$AL$9),$AL$9+SQRT(AX438*($AN$9-$AL$9)*($AM$9-$AL$9)),$AN$9-SQRT((1-AX438)*($AN$9-$AL$9)*($AN$9-$AM$9))),$AM$9)</f>
        <v/>
      </c>
      <c r="AP438">
        <f>IFERROR(IF(AY438&lt;($AM$10-$AL$10)/($AN$10-$AL$10),$AL$10+SQRT(AY438*($AN$10-$AL$10)*($AM$10-$AL$10)),$AN$10-SQRT((1-AY438)*($AN$10-$AL$10)*($AN$10-$AM$10))),$AM$10)</f>
        <v/>
      </c>
      <c r="AQ438">
        <f>IFERROR(IF(AZ438&lt;($AM$11-$AL$11)/($AN$11-$AL$11),$AL$11+SQRT(AZ438*($AN$11-$AL$11)*($AM$11-$AL$11)),$AN$11-SQRT((1-AZ438)*($AN$11-$AL$11)*($AN$11-$AM$11))),$AM$11)</f>
        <v/>
      </c>
      <c r="AR438">
        <f>SUMPRODUCT((B24:B31&lt;=$B$6)*(C24:C31*AM438+D24:D31*AO438*$B$8*AQ438)/(1+AL438/100)^B24:B31)+C32*AM438*AP438/(1+AL438/100)^$B$6</f>
        <v/>
      </c>
      <c r="AS438">
        <f>SUMPRODUCT((K24:K26&lt;=$B$6)*(L24:L26*AN438+M24:M26*AO438*$B$8*AQ438)/(1+AL438/100)^K24:K26)+L27*AN438*AP438/(1+AL438/100)^$B$6</f>
        <v/>
      </c>
      <c r="AT438">
        <f>AS438-AR438</f>
        <v/>
      </c>
      <c r="AU438">
        <f>RAND()</f>
        <v/>
      </c>
      <c r="AV438">
        <f>RAND()</f>
        <v/>
      </c>
      <c r="AW438">
        <f>RAND()</f>
        <v/>
      </c>
      <c r="AX438">
        <f>RAND()</f>
        <v/>
      </c>
      <c r="AY438">
        <f>RAND()</f>
        <v/>
      </c>
      <c r="AZ438">
        <f>RAND()</f>
        <v/>
      </c>
    </row>
    <row r="439">
      <c r="AK439" t="n">
        <v>426</v>
      </c>
      <c r="AL439">
        <f>IFERROR(IF(AU439&lt;($AM$6-$AL$6)/($AN$6-$AL$6),$AL$6+SQRT(AU439*($AN$6-$AL$6)*($AM$6-$AL$6)),$AN$6-SQRT((1-AU439)*($AN$6-$AL$6)*($AN$6-$AM$6))),$AM$6)</f>
        <v/>
      </c>
      <c r="AM439">
        <f>IFERROR(IF(AV439&lt;($AM$7-$AL$7)/($AN$7-$AL$7),$AL$7+SQRT(AV439*($AN$7-$AL$7)*($AM$7-$AL$7)),$AN$7-SQRT((1-AV439)*($AN$7-$AL$7)*($AN$7-$AM$7))),$AM$7)</f>
        <v/>
      </c>
      <c r="AN439">
        <f>IFERROR(IF(AW439&lt;($AM$8-$AL$8)/($AN$8-$AL$8),$AL$8+SQRT(AW439*($AN$8-$AL$8)*($AM$8-$AL$8)),$AN$8-SQRT((1-AW439)*($AN$8-$AL$8)*($AN$8-$AM$8))),$AM$8)</f>
        <v/>
      </c>
      <c r="AO439">
        <f>IFERROR(IF(AX439&lt;($AM$9-$AL$9)/($AN$9-$AL$9),$AL$9+SQRT(AX439*($AN$9-$AL$9)*($AM$9-$AL$9)),$AN$9-SQRT((1-AX439)*($AN$9-$AL$9)*($AN$9-$AM$9))),$AM$9)</f>
        <v/>
      </c>
      <c r="AP439">
        <f>IFERROR(IF(AY439&lt;($AM$10-$AL$10)/($AN$10-$AL$10),$AL$10+SQRT(AY439*($AN$10-$AL$10)*($AM$10-$AL$10)),$AN$10-SQRT((1-AY439)*($AN$10-$AL$10)*($AN$10-$AM$10))),$AM$10)</f>
        <v/>
      </c>
      <c r="AQ439">
        <f>IFERROR(IF(AZ439&lt;($AM$11-$AL$11)/($AN$11-$AL$11),$AL$11+SQRT(AZ439*($AN$11-$AL$11)*($AM$11-$AL$11)),$AN$11-SQRT((1-AZ439)*($AN$11-$AL$11)*($AN$11-$AM$11))),$AM$11)</f>
        <v/>
      </c>
      <c r="AR439">
        <f>SUMPRODUCT((B24:B31&lt;=$B$6)*(C24:C31*AM439+D24:D31*AO439*$B$8*AQ439)/(1+AL439/100)^B24:B31)+C32*AM439*AP439/(1+AL439/100)^$B$6</f>
        <v/>
      </c>
      <c r="AS439">
        <f>SUMPRODUCT((K24:K26&lt;=$B$6)*(L24:L26*AN439+M24:M26*AO439*$B$8*AQ439)/(1+AL439/100)^K24:K26)+L27*AN439*AP439/(1+AL439/100)^$B$6</f>
        <v/>
      </c>
      <c r="AT439">
        <f>AS439-AR439</f>
        <v/>
      </c>
      <c r="AU439">
        <f>RAND()</f>
        <v/>
      </c>
      <c r="AV439">
        <f>RAND()</f>
        <v/>
      </c>
      <c r="AW439">
        <f>RAND()</f>
        <v/>
      </c>
      <c r="AX439">
        <f>RAND()</f>
        <v/>
      </c>
      <c r="AY439">
        <f>RAND()</f>
        <v/>
      </c>
      <c r="AZ439">
        <f>RAND()</f>
        <v/>
      </c>
    </row>
    <row r="440">
      <c r="AK440" t="n">
        <v>427</v>
      </c>
      <c r="AL440">
        <f>IFERROR(IF(AU440&lt;($AM$6-$AL$6)/($AN$6-$AL$6),$AL$6+SQRT(AU440*($AN$6-$AL$6)*($AM$6-$AL$6)),$AN$6-SQRT((1-AU440)*($AN$6-$AL$6)*($AN$6-$AM$6))),$AM$6)</f>
        <v/>
      </c>
      <c r="AM440">
        <f>IFERROR(IF(AV440&lt;($AM$7-$AL$7)/($AN$7-$AL$7),$AL$7+SQRT(AV440*($AN$7-$AL$7)*($AM$7-$AL$7)),$AN$7-SQRT((1-AV440)*($AN$7-$AL$7)*($AN$7-$AM$7))),$AM$7)</f>
        <v/>
      </c>
      <c r="AN440">
        <f>IFERROR(IF(AW440&lt;($AM$8-$AL$8)/($AN$8-$AL$8),$AL$8+SQRT(AW440*($AN$8-$AL$8)*($AM$8-$AL$8)),$AN$8-SQRT((1-AW440)*($AN$8-$AL$8)*($AN$8-$AM$8))),$AM$8)</f>
        <v/>
      </c>
      <c r="AO440">
        <f>IFERROR(IF(AX440&lt;($AM$9-$AL$9)/($AN$9-$AL$9),$AL$9+SQRT(AX440*($AN$9-$AL$9)*($AM$9-$AL$9)),$AN$9-SQRT((1-AX440)*($AN$9-$AL$9)*($AN$9-$AM$9))),$AM$9)</f>
        <v/>
      </c>
      <c r="AP440">
        <f>IFERROR(IF(AY440&lt;($AM$10-$AL$10)/($AN$10-$AL$10),$AL$10+SQRT(AY440*($AN$10-$AL$10)*($AM$10-$AL$10)),$AN$10-SQRT((1-AY440)*($AN$10-$AL$10)*($AN$10-$AM$10))),$AM$10)</f>
        <v/>
      </c>
      <c r="AQ440">
        <f>IFERROR(IF(AZ440&lt;($AM$11-$AL$11)/($AN$11-$AL$11),$AL$11+SQRT(AZ440*($AN$11-$AL$11)*($AM$11-$AL$11)),$AN$11-SQRT((1-AZ440)*($AN$11-$AL$11)*($AN$11-$AM$11))),$AM$11)</f>
        <v/>
      </c>
      <c r="AR440">
        <f>SUMPRODUCT((B24:B31&lt;=$B$6)*(C24:C31*AM440+D24:D31*AO440*$B$8*AQ440)/(1+AL440/100)^B24:B31)+C32*AM440*AP440/(1+AL440/100)^$B$6</f>
        <v/>
      </c>
      <c r="AS440">
        <f>SUMPRODUCT((K24:K26&lt;=$B$6)*(L24:L26*AN440+M24:M26*AO440*$B$8*AQ440)/(1+AL440/100)^K24:K26)+L27*AN440*AP440/(1+AL440/100)^$B$6</f>
        <v/>
      </c>
      <c r="AT440">
        <f>AS440-AR440</f>
        <v/>
      </c>
      <c r="AU440">
        <f>RAND()</f>
        <v/>
      </c>
      <c r="AV440">
        <f>RAND()</f>
        <v/>
      </c>
      <c r="AW440">
        <f>RAND()</f>
        <v/>
      </c>
      <c r="AX440">
        <f>RAND()</f>
        <v/>
      </c>
      <c r="AY440">
        <f>RAND()</f>
        <v/>
      </c>
      <c r="AZ440">
        <f>RAND()</f>
        <v/>
      </c>
    </row>
    <row r="441">
      <c r="AK441" t="n">
        <v>428</v>
      </c>
      <c r="AL441">
        <f>IFERROR(IF(AU441&lt;($AM$6-$AL$6)/($AN$6-$AL$6),$AL$6+SQRT(AU441*($AN$6-$AL$6)*($AM$6-$AL$6)),$AN$6-SQRT((1-AU441)*($AN$6-$AL$6)*($AN$6-$AM$6))),$AM$6)</f>
        <v/>
      </c>
      <c r="AM441">
        <f>IFERROR(IF(AV441&lt;($AM$7-$AL$7)/($AN$7-$AL$7),$AL$7+SQRT(AV441*($AN$7-$AL$7)*($AM$7-$AL$7)),$AN$7-SQRT((1-AV441)*($AN$7-$AL$7)*($AN$7-$AM$7))),$AM$7)</f>
        <v/>
      </c>
      <c r="AN441">
        <f>IFERROR(IF(AW441&lt;($AM$8-$AL$8)/($AN$8-$AL$8),$AL$8+SQRT(AW441*($AN$8-$AL$8)*($AM$8-$AL$8)),$AN$8-SQRT((1-AW441)*($AN$8-$AL$8)*($AN$8-$AM$8))),$AM$8)</f>
        <v/>
      </c>
      <c r="AO441">
        <f>IFERROR(IF(AX441&lt;($AM$9-$AL$9)/($AN$9-$AL$9),$AL$9+SQRT(AX441*($AN$9-$AL$9)*($AM$9-$AL$9)),$AN$9-SQRT((1-AX441)*($AN$9-$AL$9)*($AN$9-$AM$9))),$AM$9)</f>
        <v/>
      </c>
      <c r="AP441">
        <f>IFERROR(IF(AY441&lt;($AM$10-$AL$10)/($AN$10-$AL$10),$AL$10+SQRT(AY441*($AN$10-$AL$10)*($AM$10-$AL$10)),$AN$10-SQRT((1-AY441)*($AN$10-$AL$10)*($AN$10-$AM$10))),$AM$10)</f>
        <v/>
      </c>
      <c r="AQ441">
        <f>IFERROR(IF(AZ441&lt;($AM$11-$AL$11)/($AN$11-$AL$11),$AL$11+SQRT(AZ441*($AN$11-$AL$11)*($AM$11-$AL$11)),$AN$11-SQRT((1-AZ441)*($AN$11-$AL$11)*($AN$11-$AM$11))),$AM$11)</f>
        <v/>
      </c>
      <c r="AR441">
        <f>SUMPRODUCT((B24:B31&lt;=$B$6)*(C24:C31*AM441+D24:D31*AO441*$B$8*AQ441)/(1+AL441/100)^B24:B31)+C32*AM441*AP441/(1+AL441/100)^$B$6</f>
        <v/>
      </c>
      <c r="AS441">
        <f>SUMPRODUCT((K24:K26&lt;=$B$6)*(L24:L26*AN441+M24:M26*AO441*$B$8*AQ441)/(1+AL441/100)^K24:K26)+L27*AN441*AP441/(1+AL441/100)^$B$6</f>
        <v/>
      </c>
      <c r="AT441">
        <f>AS441-AR441</f>
        <v/>
      </c>
      <c r="AU441">
        <f>RAND()</f>
        <v/>
      </c>
      <c r="AV441">
        <f>RAND()</f>
        <v/>
      </c>
      <c r="AW441">
        <f>RAND()</f>
        <v/>
      </c>
      <c r="AX441">
        <f>RAND()</f>
        <v/>
      </c>
      <c r="AY441">
        <f>RAND()</f>
        <v/>
      </c>
      <c r="AZ441">
        <f>RAND()</f>
        <v/>
      </c>
    </row>
    <row r="442">
      <c r="AK442" t="n">
        <v>429</v>
      </c>
      <c r="AL442">
        <f>IFERROR(IF(AU442&lt;($AM$6-$AL$6)/($AN$6-$AL$6),$AL$6+SQRT(AU442*($AN$6-$AL$6)*($AM$6-$AL$6)),$AN$6-SQRT((1-AU442)*($AN$6-$AL$6)*($AN$6-$AM$6))),$AM$6)</f>
        <v/>
      </c>
      <c r="AM442">
        <f>IFERROR(IF(AV442&lt;($AM$7-$AL$7)/($AN$7-$AL$7),$AL$7+SQRT(AV442*($AN$7-$AL$7)*($AM$7-$AL$7)),$AN$7-SQRT((1-AV442)*($AN$7-$AL$7)*($AN$7-$AM$7))),$AM$7)</f>
        <v/>
      </c>
      <c r="AN442">
        <f>IFERROR(IF(AW442&lt;($AM$8-$AL$8)/($AN$8-$AL$8),$AL$8+SQRT(AW442*($AN$8-$AL$8)*($AM$8-$AL$8)),$AN$8-SQRT((1-AW442)*($AN$8-$AL$8)*($AN$8-$AM$8))),$AM$8)</f>
        <v/>
      </c>
      <c r="AO442">
        <f>IFERROR(IF(AX442&lt;($AM$9-$AL$9)/($AN$9-$AL$9),$AL$9+SQRT(AX442*($AN$9-$AL$9)*($AM$9-$AL$9)),$AN$9-SQRT((1-AX442)*($AN$9-$AL$9)*($AN$9-$AM$9))),$AM$9)</f>
        <v/>
      </c>
      <c r="AP442">
        <f>IFERROR(IF(AY442&lt;($AM$10-$AL$10)/($AN$10-$AL$10),$AL$10+SQRT(AY442*($AN$10-$AL$10)*($AM$10-$AL$10)),$AN$10-SQRT((1-AY442)*($AN$10-$AL$10)*($AN$10-$AM$10))),$AM$10)</f>
        <v/>
      </c>
      <c r="AQ442">
        <f>IFERROR(IF(AZ442&lt;($AM$11-$AL$11)/($AN$11-$AL$11),$AL$11+SQRT(AZ442*($AN$11-$AL$11)*($AM$11-$AL$11)),$AN$11-SQRT((1-AZ442)*($AN$11-$AL$11)*($AN$11-$AM$11))),$AM$11)</f>
        <v/>
      </c>
      <c r="AR442">
        <f>SUMPRODUCT((B24:B31&lt;=$B$6)*(C24:C31*AM442+D24:D31*AO442*$B$8*AQ442)/(1+AL442/100)^B24:B31)+C32*AM442*AP442/(1+AL442/100)^$B$6</f>
        <v/>
      </c>
      <c r="AS442">
        <f>SUMPRODUCT((K24:K26&lt;=$B$6)*(L24:L26*AN442+M24:M26*AO442*$B$8*AQ442)/(1+AL442/100)^K24:K26)+L27*AN442*AP442/(1+AL442/100)^$B$6</f>
        <v/>
      </c>
      <c r="AT442">
        <f>AS442-AR442</f>
        <v/>
      </c>
      <c r="AU442">
        <f>RAND()</f>
        <v/>
      </c>
      <c r="AV442">
        <f>RAND()</f>
        <v/>
      </c>
      <c r="AW442">
        <f>RAND()</f>
        <v/>
      </c>
      <c r="AX442">
        <f>RAND()</f>
        <v/>
      </c>
      <c r="AY442">
        <f>RAND()</f>
        <v/>
      </c>
      <c r="AZ442">
        <f>RAND()</f>
        <v/>
      </c>
    </row>
    <row r="443">
      <c r="AK443" t="n">
        <v>430</v>
      </c>
      <c r="AL443">
        <f>IFERROR(IF(AU443&lt;($AM$6-$AL$6)/($AN$6-$AL$6),$AL$6+SQRT(AU443*($AN$6-$AL$6)*($AM$6-$AL$6)),$AN$6-SQRT((1-AU443)*($AN$6-$AL$6)*($AN$6-$AM$6))),$AM$6)</f>
        <v/>
      </c>
      <c r="AM443">
        <f>IFERROR(IF(AV443&lt;($AM$7-$AL$7)/($AN$7-$AL$7),$AL$7+SQRT(AV443*($AN$7-$AL$7)*($AM$7-$AL$7)),$AN$7-SQRT((1-AV443)*($AN$7-$AL$7)*($AN$7-$AM$7))),$AM$7)</f>
        <v/>
      </c>
      <c r="AN443">
        <f>IFERROR(IF(AW443&lt;($AM$8-$AL$8)/($AN$8-$AL$8),$AL$8+SQRT(AW443*($AN$8-$AL$8)*($AM$8-$AL$8)),$AN$8-SQRT((1-AW443)*($AN$8-$AL$8)*($AN$8-$AM$8))),$AM$8)</f>
        <v/>
      </c>
      <c r="AO443">
        <f>IFERROR(IF(AX443&lt;($AM$9-$AL$9)/($AN$9-$AL$9),$AL$9+SQRT(AX443*($AN$9-$AL$9)*($AM$9-$AL$9)),$AN$9-SQRT((1-AX443)*($AN$9-$AL$9)*($AN$9-$AM$9))),$AM$9)</f>
        <v/>
      </c>
      <c r="AP443">
        <f>IFERROR(IF(AY443&lt;($AM$10-$AL$10)/($AN$10-$AL$10),$AL$10+SQRT(AY443*($AN$10-$AL$10)*($AM$10-$AL$10)),$AN$10-SQRT((1-AY443)*($AN$10-$AL$10)*($AN$10-$AM$10))),$AM$10)</f>
        <v/>
      </c>
      <c r="AQ443">
        <f>IFERROR(IF(AZ443&lt;($AM$11-$AL$11)/($AN$11-$AL$11),$AL$11+SQRT(AZ443*($AN$11-$AL$11)*($AM$11-$AL$11)),$AN$11-SQRT((1-AZ443)*($AN$11-$AL$11)*($AN$11-$AM$11))),$AM$11)</f>
        <v/>
      </c>
      <c r="AR443">
        <f>SUMPRODUCT((B24:B31&lt;=$B$6)*(C24:C31*AM443+D24:D31*AO443*$B$8*AQ443)/(1+AL443/100)^B24:B31)+C32*AM443*AP443/(1+AL443/100)^$B$6</f>
        <v/>
      </c>
      <c r="AS443">
        <f>SUMPRODUCT((K24:K26&lt;=$B$6)*(L24:L26*AN443+M24:M26*AO443*$B$8*AQ443)/(1+AL443/100)^K24:K26)+L27*AN443*AP443/(1+AL443/100)^$B$6</f>
        <v/>
      </c>
      <c r="AT443">
        <f>AS443-AR443</f>
        <v/>
      </c>
      <c r="AU443">
        <f>RAND()</f>
        <v/>
      </c>
      <c r="AV443">
        <f>RAND()</f>
        <v/>
      </c>
      <c r="AW443">
        <f>RAND()</f>
        <v/>
      </c>
      <c r="AX443">
        <f>RAND()</f>
        <v/>
      </c>
      <c r="AY443">
        <f>RAND()</f>
        <v/>
      </c>
      <c r="AZ443">
        <f>RAND()</f>
        <v/>
      </c>
    </row>
    <row r="444">
      <c r="AK444" t="n">
        <v>431</v>
      </c>
      <c r="AL444">
        <f>IFERROR(IF(AU444&lt;($AM$6-$AL$6)/($AN$6-$AL$6),$AL$6+SQRT(AU444*($AN$6-$AL$6)*($AM$6-$AL$6)),$AN$6-SQRT((1-AU444)*($AN$6-$AL$6)*($AN$6-$AM$6))),$AM$6)</f>
        <v/>
      </c>
      <c r="AM444">
        <f>IFERROR(IF(AV444&lt;($AM$7-$AL$7)/($AN$7-$AL$7),$AL$7+SQRT(AV444*($AN$7-$AL$7)*($AM$7-$AL$7)),$AN$7-SQRT((1-AV444)*($AN$7-$AL$7)*($AN$7-$AM$7))),$AM$7)</f>
        <v/>
      </c>
      <c r="AN444">
        <f>IFERROR(IF(AW444&lt;($AM$8-$AL$8)/($AN$8-$AL$8),$AL$8+SQRT(AW444*($AN$8-$AL$8)*($AM$8-$AL$8)),$AN$8-SQRT((1-AW444)*($AN$8-$AL$8)*($AN$8-$AM$8))),$AM$8)</f>
        <v/>
      </c>
      <c r="AO444">
        <f>IFERROR(IF(AX444&lt;($AM$9-$AL$9)/($AN$9-$AL$9),$AL$9+SQRT(AX444*($AN$9-$AL$9)*($AM$9-$AL$9)),$AN$9-SQRT((1-AX444)*($AN$9-$AL$9)*($AN$9-$AM$9))),$AM$9)</f>
        <v/>
      </c>
      <c r="AP444">
        <f>IFERROR(IF(AY444&lt;($AM$10-$AL$10)/($AN$10-$AL$10),$AL$10+SQRT(AY444*($AN$10-$AL$10)*($AM$10-$AL$10)),$AN$10-SQRT((1-AY444)*($AN$10-$AL$10)*($AN$10-$AM$10))),$AM$10)</f>
        <v/>
      </c>
      <c r="AQ444">
        <f>IFERROR(IF(AZ444&lt;($AM$11-$AL$11)/($AN$11-$AL$11),$AL$11+SQRT(AZ444*($AN$11-$AL$11)*($AM$11-$AL$11)),$AN$11-SQRT((1-AZ444)*($AN$11-$AL$11)*($AN$11-$AM$11))),$AM$11)</f>
        <v/>
      </c>
      <c r="AR444">
        <f>SUMPRODUCT((B24:B31&lt;=$B$6)*(C24:C31*AM444+D24:D31*AO444*$B$8*AQ444)/(1+AL444/100)^B24:B31)+C32*AM444*AP444/(1+AL444/100)^$B$6</f>
        <v/>
      </c>
      <c r="AS444">
        <f>SUMPRODUCT((K24:K26&lt;=$B$6)*(L24:L26*AN444+M24:M26*AO444*$B$8*AQ444)/(1+AL444/100)^K24:K26)+L27*AN444*AP444/(1+AL444/100)^$B$6</f>
        <v/>
      </c>
      <c r="AT444">
        <f>AS444-AR444</f>
        <v/>
      </c>
      <c r="AU444">
        <f>RAND()</f>
        <v/>
      </c>
      <c r="AV444">
        <f>RAND()</f>
        <v/>
      </c>
      <c r="AW444">
        <f>RAND()</f>
        <v/>
      </c>
      <c r="AX444">
        <f>RAND()</f>
        <v/>
      </c>
      <c r="AY444">
        <f>RAND()</f>
        <v/>
      </c>
      <c r="AZ444">
        <f>RAND()</f>
        <v/>
      </c>
    </row>
    <row r="445">
      <c r="AK445" t="n">
        <v>432</v>
      </c>
      <c r="AL445">
        <f>IFERROR(IF(AU445&lt;($AM$6-$AL$6)/($AN$6-$AL$6),$AL$6+SQRT(AU445*($AN$6-$AL$6)*($AM$6-$AL$6)),$AN$6-SQRT((1-AU445)*($AN$6-$AL$6)*($AN$6-$AM$6))),$AM$6)</f>
        <v/>
      </c>
      <c r="AM445">
        <f>IFERROR(IF(AV445&lt;($AM$7-$AL$7)/($AN$7-$AL$7),$AL$7+SQRT(AV445*($AN$7-$AL$7)*($AM$7-$AL$7)),$AN$7-SQRT((1-AV445)*($AN$7-$AL$7)*($AN$7-$AM$7))),$AM$7)</f>
        <v/>
      </c>
      <c r="AN445">
        <f>IFERROR(IF(AW445&lt;($AM$8-$AL$8)/($AN$8-$AL$8),$AL$8+SQRT(AW445*($AN$8-$AL$8)*($AM$8-$AL$8)),$AN$8-SQRT((1-AW445)*($AN$8-$AL$8)*($AN$8-$AM$8))),$AM$8)</f>
        <v/>
      </c>
      <c r="AO445">
        <f>IFERROR(IF(AX445&lt;($AM$9-$AL$9)/($AN$9-$AL$9),$AL$9+SQRT(AX445*($AN$9-$AL$9)*($AM$9-$AL$9)),$AN$9-SQRT((1-AX445)*($AN$9-$AL$9)*($AN$9-$AM$9))),$AM$9)</f>
        <v/>
      </c>
      <c r="AP445">
        <f>IFERROR(IF(AY445&lt;($AM$10-$AL$10)/($AN$10-$AL$10),$AL$10+SQRT(AY445*($AN$10-$AL$10)*($AM$10-$AL$10)),$AN$10-SQRT((1-AY445)*($AN$10-$AL$10)*($AN$10-$AM$10))),$AM$10)</f>
        <v/>
      </c>
      <c r="AQ445">
        <f>IFERROR(IF(AZ445&lt;($AM$11-$AL$11)/($AN$11-$AL$11),$AL$11+SQRT(AZ445*($AN$11-$AL$11)*($AM$11-$AL$11)),$AN$11-SQRT((1-AZ445)*($AN$11-$AL$11)*($AN$11-$AM$11))),$AM$11)</f>
        <v/>
      </c>
      <c r="AR445">
        <f>SUMPRODUCT((B24:B31&lt;=$B$6)*(C24:C31*AM445+D24:D31*AO445*$B$8*AQ445)/(1+AL445/100)^B24:B31)+C32*AM445*AP445/(1+AL445/100)^$B$6</f>
        <v/>
      </c>
      <c r="AS445">
        <f>SUMPRODUCT((K24:K26&lt;=$B$6)*(L24:L26*AN445+M24:M26*AO445*$B$8*AQ445)/(1+AL445/100)^K24:K26)+L27*AN445*AP445/(1+AL445/100)^$B$6</f>
        <v/>
      </c>
      <c r="AT445">
        <f>AS445-AR445</f>
        <v/>
      </c>
      <c r="AU445">
        <f>RAND()</f>
        <v/>
      </c>
      <c r="AV445">
        <f>RAND()</f>
        <v/>
      </c>
      <c r="AW445">
        <f>RAND()</f>
        <v/>
      </c>
      <c r="AX445">
        <f>RAND()</f>
        <v/>
      </c>
      <c r="AY445">
        <f>RAND()</f>
        <v/>
      </c>
      <c r="AZ445">
        <f>RAND()</f>
        <v/>
      </c>
    </row>
    <row r="446">
      <c r="AK446" t="n">
        <v>433</v>
      </c>
      <c r="AL446">
        <f>IFERROR(IF(AU446&lt;($AM$6-$AL$6)/($AN$6-$AL$6),$AL$6+SQRT(AU446*($AN$6-$AL$6)*($AM$6-$AL$6)),$AN$6-SQRT((1-AU446)*($AN$6-$AL$6)*($AN$6-$AM$6))),$AM$6)</f>
        <v/>
      </c>
      <c r="AM446">
        <f>IFERROR(IF(AV446&lt;($AM$7-$AL$7)/($AN$7-$AL$7),$AL$7+SQRT(AV446*($AN$7-$AL$7)*($AM$7-$AL$7)),$AN$7-SQRT((1-AV446)*($AN$7-$AL$7)*($AN$7-$AM$7))),$AM$7)</f>
        <v/>
      </c>
      <c r="AN446">
        <f>IFERROR(IF(AW446&lt;($AM$8-$AL$8)/($AN$8-$AL$8),$AL$8+SQRT(AW446*($AN$8-$AL$8)*($AM$8-$AL$8)),$AN$8-SQRT((1-AW446)*($AN$8-$AL$8)*($AN$8-$AM$8))),$AM$8)</f>
        <v/>
      </c>
      <c r="AO446">
        <f>IFERROR(IF(AX446&lt;($AM$9-$AL$9)/($AN$9-$AL$9),$AL$9+SQRT(AX446*($AN$9-$AL$9)*($AM$9-$AL$9)),$AN$9-SQRT((1-AX446)*($AN$9-$AL$9)*($AN$9-$AM$9))),$AM$9)</f>
        <v/>
      </c>
      <c r="AP446">
        <f>IFERROR(IF(AY446&lt;($AM$10-$AL$10)/($AN$10-$AL$10),$AL$10+SQRT(AY446*($AN$10-$AL$10)*($AM$10-$AL$10)),$AN$10-SQRT((1-AY446)*($AN$10-$AL$10)*($AN$10-$AM$10))),$AM$10)</f>
        <v/>
      </c>
      <c r="AQ446">
        <f>IFERROR(IF(AZ446&lt;($AM$11-$AL$11)/($AN$11-$AL$11),$AL$11+SQRT(AZ446*($AN$11-$AL$11)*($AM$11-$AL$11)),$AN$11-SQRT((1-AZ446)*($AN$11-$AL$11)*($AN$11-$AM$11))),$AM$11)</f>
        <v/>
      </c>
      <c r="AR446">
        <f>SUMPRODUCT((B24:B31&lt;=$B$6)*(C24:C31*AM446+D24:D31*AO446*$B$8*AQ446)/(1+AL446/100)^B24:B31)+C32*AM446*AP446/(1+AL446/100)^$B$6</f>
        <v/>
      </c>
      <c r="AS446">
        <f>SUMPRODUCT((K24:K26&lt;=$B$6)*(L24:L26*AN446+M24:M26*AO446*$B$8*AQ446)/(1+AL446/100)^K24:K26)+L27*AN446*AP446/(1+AL446/100)^$B$6</f>
        <v/>
      </c>
      <c r="AT446">
        <f>AS446-AR446</f>
        <v/>
      </c>
      <c r="AU446">
        <f>RAND()</f>
        <v/>
      </c>
      <c r="AV446">
        <f>RAND()</f>
        <v/>
      </c>
      <c r="AW446">
        <f>RAND()</f>
        <v/>
      </c>
      <c r="AX446">
        <f>RAND()</f>
        <v/>
      </c>
      <c r="AY446">
        <f>RAND()</f>
        <v/>
      </c>
      <c r="AZ446">
        <f>RAND()</f>
        <v/>
      </c>
    </row>
    <row r="447">
      <c r="AK447" t="n">
        <v>434</v>
      </c>
      <c r="AL447">
        <f>IFERROR(IF(AU447&lt;($AM$6-$AL$6)/($AN$6-$AL$6),$AL$6+SQRT(AU447*($AN$6-$AL$6)*($AM$6-$AL$6)),$AN$6-SQRT((1-AU447)*($AN$6-$AL$6)*($AN$6-$AM$6))),$AM$6)</f>
        <v/>
      </c>
      <c r="AM447">
        <f>IFERROR(IF(AV447&lt;($AM$7-$AL$7)/($AN$7-$AL$7),$AL$7+SQRT(AV447*($AN$7-$AL$7)*($AM$7-$AL$7)),$AN$7-SQRT((1-AV447)*($AN$7-$AL$7)*($AN$7-$AM$7))),$AM$7)</f>
        <v/>
      </c>
      <c r="AN447">
        <f>IFERROR(IF(AW447&lt;($AM$8-$AL$8)/($AN$8-$AL$8),$AL$8+SQRT(AW447*($AN$8-$AL$8)*($AM$8-$AL$8)),$AN$8-SQRT((1-AW447)*($AN$8-$AL$8)*($AN$8-$AM$8))),$AM$8)</f>
        <v/>
      </c>
      <c r="AO447">
        <f>IFERROR(IF(AX447&lt;($AM$9-$AL$9)/($AN$9-$AL$9),$AL$9+SQRT(AX447*($AN$9-$AL$9)*($AM$9-$AL$9)),$AN$9-SQRT((1-AX447)*($AN$9-$AL$9)*($AN$9-$AM$9))),$AM$9)</f>
        <v/>
      </c>
      <c r="AP447">
        <f>IFERROR(IF(AY447&lt;($AM$10-$AL$10)/($AN$10-$AL$10),$AL$10+SQRT(AY447*($AN$10-$AL$10)*($AM$10-$AL$10)),$AN$10-SQRT((1-AY447)*($AN$10-$AL$10)*($AN$10-$AM$10))),$AM$10)</f>
        <v/>
      </c>
      <c r="AQ447">
        <f>IFERROR(IF(AZ447&lt;($AM$11-$AL$11)/($AN$11-$AL$11),$AL$11+SQRT(AZ447*($AN$11-$AL$11)*($AM$11-$AL$11)),$AN$11-SQRT((1-AZ447)*($AN$11-$AL$11)*($AN$11-$AM$11))),$AM$11)</f>
        <v/>
      </c>
      <c r="AR447">
        <f>SUMPRODUCT((B24:B31&lt;=$B$6)*(C24:C31*AM447+D24:D31*AO447*$B$8*AQ447)/(1+AL447/100)^B24:B31)+C32*AM447*AP447/(1+AL447/100)^$B$6</f>
        <v/>
      </c>
      <c r="AS447">
        <f>SUMPRODUCT((K24:K26&lt;=$B$6)*(L24:L26*AN447+M24:M26*AO447*$B$8*AQ447)/(1+AL447/100)^K24:K26)+L27*AN447*AP447/(1+AL447/100)^$B$6</f>
        <v/>
      </c>
      <c r="AT447">
        <f>AS447-AR447</f>
        <v/>
      </c>
      <c r="AU447">
        <f>RAND()</f>
        <v/>
      </c>
      <c r="AV447">
        <f>RAND()</f>
        <v/>
      </c>
      <c r="AW447">
        <f>RAND()</f>
        <v/>
      </c>
      <c r="AX447">
        <f>RAND()</f>
        <v/>
      </c>
      <c r="AY447">
        <f>RAND()</f>
        <v/>
      </c>
      <c r="AZ447">
        <f>RAND()</f>
        <v/>
      </c>
    </row>
    <row r="448">
      <c r="AK448" t="n">
        <v>435</v>
      </c>
      <c r="AL448">
        <f>IFERROR(IF(AU448&lt;($AM$6-$AL$6)/($AN$6-$AL$6),$AL$6+SQRT(AU448*($AN$6-$AL$6)*($AM$6-$AL$6)),$AN$6-SQRT((1-AU448)*($AN$6-$AL$6)*($AN$6-$AM$6))),$AM$6)</f>
        <v/>
      </c>
      <c r="AM448">
        <f>IFERROR(IF(AV448&lt;($AM$7-$AL$7)/($AN$7-$AL$7),$AL$7+SQRT(AV448*($AN$7-$AL$7)*($AM$7-$AL$7)),$AN$7-SQRT((1-AV448)*($AN$7-$AL$7)*($AN$7-$AM$7))),$AM$7)</f>
        <v/>
      </c>
      <c r="AN448">
        <f>IFERROR(IF(AW448&lt;($AM$8-$AL$8)/($AN$8-$AL$8),$AL$8+SQRT(AW448*($AN$8-$AL$8)*($AM$8-$AL$8)),$AN$8-SQRT((1-AW448)*($AN$8-$AL$8)*($AN$8-$AM$8))),$AM$8)</f>
        <v/>
      </c>
      <c r="AO448">
        <f>IFERROR(IF(AX448&lt;($AM$9-$AL$9)/($AN$9-$AL$9),$AL$9+SQRT(AX448*($AN$9-$AL$9)*($AM$9-$AL$9)),$AN$9-SQRT((1-AX448)*($AN$9-$AL$9)*($AN$9-$AM$9))),$AM$9)</f>
        <v/>
      </c>
      <c r="AP448">
        <f>IFERROR(IF(AY448&lt;($AM$10-$AL$10)/($AN$10-$AL$10),$AL$10+SQRT(AY448*($AN$10-$AL$10)*($AM$10-$AL$10)),$AN$10-SQRT((1-AY448)*($AN$10-$AL$10)*($AN$10-$AM$10))),$AM$10)</f>
        <v/>
      </c>
      <c r="AQ448">
        <f>IFERROR(IF(AZ448&lt;($AM$11-$AL$11)/($AN$11-$AL$11),$AL$11+SQRT(AZ448*($AN$11-$AL$11)*($AM$11-$AL$11)),$AN$11-SQRT((1-AZ448)*($AN$11-$AL$11)*($AN$11-$AM$11))),$AM$11)</f>
        <v/>
      </c>
      <c r="AR448">
        <f>SUMPRODUCT((B24:B31&lt;=$B$6)*(C24:C31*AM448+D24:D31*AO448*$B$8*AQ448)/(1+AL448/100)^B24:B31)+C32*AM448*AP448/(1+AL448/100)^$B$6</f>
        <v/>
      </c>
      <c r="AS448">
        <f>SUMPRODUCT((K24:K26&lt;=$B$6)*(L24:L26*AN448+M24:M26*AO448*$B$8*AQ448)/(1+AL448/100)^K24:K26)+L27*AN448*AP448/(1+AL448/100)^$B$6</f>
        <v/>
      </c>
      <c r="AT448">
        <f>AS448-AR448</f>
        <v/>
      </c>
      <c r="AU448">
        <f>RAND()</f>
        <v/>
      </c>
      <c r="AV448">
        <f>RAND()</f>
        <v/>
      </c>
      <c r="AW448">
        <f>RAND()</f>
        <v/>
      </c>
      <c r="AX448">
        <f>RAND()</f>
        <v/>
      </c>
      <c r="AY448">
        <f>RAND()</f>
        <v/>
      </c>
      <c r="AZ448">
        <f>RAND()</f>
        <v/>
      </c>
    </row>
    <row r="449">
      <c r="AK449" t="n">
        <v>436</v>
      </c>
      <c r="AL449">
        <f>IFERROR(IF(AU449&lt;($AM$6-$AL$6)/($AN$6-$AL$6),$AL$6+SQRT(AU449*($AN$6-$AL$6)*($AM$6-$AL$6)),$AN$6-SQRT((1-AU449)*($AN$6-$AL$6)*($AN$6-$AM$6))),$AM$6)</f>
        <v/>
      </c>
      <c r="AM449">
        <f>IFERROR(IF(AV449&lt;($AM$7-$AL$7)/($AN$7-$AL$7),$AL$7+SQRT(AV449*($AN$7-$AL$7)*($AM$7-$AL$7)),$AN$7-SQRT((1-AV449)*($AN$7-$AL$7)*($AN$7-$AM$7))),$AM$7)</f>
        <v/>
      </c>
      <c r="AN449">
        <f>IFERROR(IF(AW449&lt;($AM$8-$AL$8)/($AN$8-$AL$8),$AL$8+SQRT(AW449*($AN$8-$AL$8)*($AM$8-$AL$8)),$AN$8-SQRT((1-AW449)*($AN$8-$AL$8)*($AN$8-$AM$8))),$AM$8)</f>
        <v/>
      </c>
      <c r="AO449">
        <f>IFERROR(IF(AX449&lt;($AM$9-$AL$9)/($AN$9-$AL$9),$AL$9+SQRT(AX449*($AN$9-$AL$9)*($AM$9-$AL$9)),$AN$9-SQRT((1-AX449)*($AN$9-$AL$9)*($AN$9-$AM$9))),$AM$9)</f>
        <v/>
      </c>
      <c r="AP449">
        <f>IFERROR(IF(AY449&lt;($AM$10-$AL$10)/($AN$10-$AL$10),$AL$10+SQRT(AY449*($AN$10-$AL$10)*($AM$10-$AL$10)),$AN$10-SQRT((1-AY449)*($AN$10-$AL$10)*($AN$10-$AM$10))),$AM$10)</f>
        <v/>
      </c>
      <c r="AQ449">
        <f>IFERROR(IF(AZ449&lt;($AM$11-$AL$11)/($AN$11-$AL$11),$AL$11+SQRT(AZ449*($AN$11-$AL$11)*($AM$11-$AL$11)),$AN$11-SQRT((1-AZ449)*($AN$11-$AL$11)*($AN$11-$AM$11))),$AM$11)</f>
        <v/>
      </c>
      <c r="AR449">
        <f>SUMPRODUCT((B24:B31&lt;=$B$6)*(C24:C31*AM449+D24:D31*AO449*$B$8*AQ449)/(1+AL449/100)^B24:B31)+C32*AM449*AP449/(1+AL449/100)^$B$6</f>
        <v/>
      </c>
      <c r="AS449">
        <f>SUMPRODUCT((K24:K26&lt;=$B$6)*(L24:L26*AN449+M24:M26*AO449*$B$8*AQ449)/(1+AL449/100)^K24:K26)+L27*AN449*AP449/(1+AL449/100)^$B$6</f>
        <v/>
      </c>
      <c r="AT449">
        <f>AS449-AR449</f>
        <v/>
      </c>
      <c r="AU449">
        <f>RAND()</f>
        <v/>
      </c>
      <c r="AV449">
        <f>RAND()</f>
        <v/>
      </c>
      <c r="AW449">
        <f>RAND()</f>
        <v/>
      </c>
      <c r="AX449">
        <f>RAND()</f>
        <v/>
      </c>
      <c r="AY449">
        <f>RAND()</f>
        <v/>
      </c>
      <c r="AZ449">
        <f>RAND()</f>
        <v/>
      </c>
    </row>
    <row r="450">
      <c r="AK450" t="n">
        <v>437</v>
      </c>
      <c r="AL450">
        <f>IFERROR(IF(AU450&lt;($AM$6-$AL$6)/($AN$6-$AL$6),$AL$6+SQRT(AU450*($AN$6-$AL$6)*($AM$6-$AL$6)),$AN$6-SQRT((1-AU450)*($AN$6-$AL$6)*($AN$6-$AM$6))),$AM$6)</f>
        <v/>
      </c>
      <c r="AM450">
        <f>IFERROR(IF(AV450&lt;($AM$7-$AL$7)/($AN$7-$AL$7),$AL$7+SQRT(AV450*($AN$7-$AL$7)*($AM$7-$AL$7)),$AN$7-SQRT((1-AV450)*($AN$7-$AL$7)*($AN$7-$AM$7))),$AM$7)</f>
        <v/>
      </c>
      <c r="AN450">
        <f>IFERROR(IF(AW450&lt;($AM$8-$AL$8)/($AN$8-$AL$8),$AL$8+SQRT(AW450*($AN$8-$AL$8)*($AM$8-$AL$8)),$AN$8-SQRT((1-AW450)*($AN$8-$AL$8)*($AN$8-$AM$8))),$AM$8)</f>
        <v/>
      </c>
      <c r="AO450">
        <f>IFERROR(IF(AX450&lt;($AM$9-$AL$9)/($AN$9-$AL$9),$AL$9+SQRT(AX450*($AN$9-$AL$9)*($AM$9-$AL$9)),$AN$9-SQRT((1-AX450)*($AN$9-$AL$9)*($AN$9-$AM$9))),$AM$9)</f>
        <v/>
      </c>
      <c r="AP450">
        <f>IFERROR(IF(AY450&lt;($AM$10-$AL$10)/($AN$10-$AL$10),$AL$10+SQRT(AY450*($AN$10-$AL$10)*($AM$10-$AL$10)),$AN$10-SQRT((1-AY450)*($AN$10-$AL$10)*($AN$10-$AM$10))),$AM$10)</f>
        <v/>
      </c>
      <c r="AQ450">
        <f>IFERROR(IF(AZ450&lt;($AM$11-$AL$11)/($AN$11-$AL$11),$AL$11+SQRT(AZ450*($AN$11-$AL$11)*($AM$11-$AL$11)),$AN$11-SQRT((1-AZ450)*($AN$11-$AL$11)*($AN$11-$AM$11))),$AM$11)</f>
        <v/>
      </c>
      <c r="AR450">
        <f>SUMPRODUCT((B24:B31&lt;=$B$6)*(C24:C31*AM450+D24:D31*AO450*$B$8*AQ450)/(1+AL450/100)^B24:B31)+C32*AM450*AP450/(1+AL450/100)^$B$6</f>
        <v/>
      </c>
      <c r="AS450">
        <f>SUMPRODUCT((K24:K26&lt;=$B$6)*(L24:L26*AN450+M24:M26*AO450*$B$8*AQ450)/(1+AL450/100)^K24:K26)+L27*AN450*AP450/(1+AL450/100)^$B$6</f>
        <v/>
      </c>
      <c r="AT450">
        <f>AS450-AR450</f>
        <v/>
      </c>
      <c r="AU450">
        <f>RAND()</f>
        <v/>
      </c>
      <c r="AV450">
        <f>RAND()</f>
        <v/>
      </c>
      <c r="AW450">
        <f>RAND()</f>
        <v/>
      </c>
      <c r="AX450">
        <f>RAND()</f>
        <v/>
      </c>
      <c r="AY450">
        <f>RAND()</f>
        <v/>
      </c>
      <c r="AZ450">
        <f>RAND()</f>
        <v/>
      </c>
    </row>
    <row r="451">
      <c r="AK451" t="n">
        <v>438</v>
      </c>
      <c r="AL451">
        <f>IFERROR(IF(AU451&lt;($AM$6-$AL$6)/($AN$6-$AL$6),$AL$6+SQRT(AU451*($AN$6-$AL$6)*($AM$6-$AL$6)),$AN$6-SQRT((1-AU451)*($AN$6-$AL$6)*($AN$6-$AM$6))),$AM$6)</f>
        <v/>
      </c>
      <c r="AM451">
        <f>IFERROR(IF(AV451&lt;($AM$7-$AL$7)/($AN$7-$AL$7),$AL$7+SQRT(AV451*($AN$7-$AL$7)*($AM$7-$AL$7)),$AN$7-SQRT((1-AV451)*($AN$7-$AL$7)*($AN$7-$AM$7))),$AM$7)</f>
        <v/>
      </c>
      <c r="AN451">
        <f>IFERROR(IF(AW451&lt;($AM$8-$AL$8)/($AN$8-$AL$8),$AL$8+SQRT(AW451*($AN$8-$AL$8)*($AM$8-$AL$8)),$AN$8-SQRT((1-AW451)*($AN$8-$AL$8)*($AN$8-$AM$8))),$AM$8)</f>
        <v/>
      </c>
      <c r="AO451">
        <f>IFERROR(IF(AX451&lt;($AM$9-$AL$9)/($AN$9-$AL$9),$AL$9+SQRT(AX451*($AN$9-$AL$9)*($AM$9-$AL$9)),$AN$9-SQRT((1-AX451)*($AN$9-$AL$9)*($AN$9-$AM$9))),$AM$9)</f>
        <v/>
      </c>
      <c r="AP451">
        <f>IFERROR(IF(AY451&lt;($AM$10-$AL$10)/($AN$10-$AL$10),$AL$10+SQRT(AY451*($AN$10-$AL$10)*($AM$10-$AL$10)),$AN$10-SQRT((1-AY451)*($AN$10-$AL$10)*($AN$10-$AM$10))),$AM$10)</f>
        <v/>
      </c>
      <c r="AQ451">
        <f>IFERROR(IF(AZ451&lt;($AM$11-$AL$11)/($AN$11-$AL$11),$AL$11+SQRT(AZ451*($AN$11-$AL$11)*($AM$11-$AL$11)),$AN$11-SQRT((1-AZ451)*($AN$11-$AL$11)*($AN$11-$AM$11))),$AM$11)</f>
        <v/>
      </c>
      <c r="AR451">
        <f>SUMPRODUCT((B24:B31&lt;=$B$6)*(C24:C31*AM451+D24:D31*AO451*$B$8*AQ451)/(1+AL451/100)^B24:B31)+C32*AM451*AP451/(1+AL451/100)^$B$6</f>
        <v/>
      </c>
      <c r="AS451">
        <f>SUMPRODUCT((K24:K26&lt;=$B$6)*(L24:L26*AN451+M24:M26*AO451*$B$8*AQ451)/(1+AL451/100)^K24:K26)+L27*AN451*AP451/(1+AL451/100)^$B$6</f>
        <v/>
      </c>
      <c r="AT451">
        <f>AS451-AR451</f>
        <v/>
      </c>
      <c r="AU451">
        <f>RAND()</f>
        <v/>
      </c>
      <c r="AV451">
        <f>RAND()</f>
        <v/>
      </c>
      <c r="AW451">
        <f>RAND()</f>
        <v/>
      </c>
      <c r="AX451">
        <f>RAND()</f>
        <v/>
      </c>
      <c r="AY451">
        <f>RAND()</f>
        <v/>
      </c>
      <c r="AZ451">
        <f>RAND()</f>
        <v/>
      </c>
    </row>
    <row r="452">
      <c r="AK452" t="n">
        <v>439</v>
      </c>
      <c r="AL452">
        <f>IFERROR(IF(AU452&lt;($AM$6-$AL$6)/($AN$6-$AL$6),$AL$6+SQRT(AU452*($AN$6-$AL$6)*($AM$6-$AL$6)),$AN$6-SQRT((1-AU452)*($AN$6-$AL$6)*($AN$6-$AM$6))),$AM$6)</f>
        <v/>
      </c>
      <c r="AM452">
        <f>IFERROR(IF(AV452&lt;($AM$7-$AL$7)/($AN$7-$AL$7),$AL$7+SQRT(AV452*($AN$7-$AL$7)*($AM$7-$AL$7)),$AN$7-SQRT((1-AV452)*($AN$7-$AL$7)*($AN$7-$AM$7))),$AM$7)</f>
        <v/>
      </c>
      <c r="AN452">
        <f>IFERROR(IF(AW452&lt;($AM$8-$AL$8)/($AN$8-$AL$8),$AL$8+SQRT(AW452*($AN$8-$AL$8)*($AM$8-$AL$8)),$AN$8-SQRT((1-AW452)*($AN$8-$AL$8)*($AN$8-$AM$8))),$AM$8)</f>
        <v/>
      </c>
      <c r="AO452">
        <f>IFERROR(IF(AX452&lt;($AM$9-$AL$9)/($AN$9-$AL$9),$AL$9+SQRT(AX452*($AN$9-$AL$9)*($AM$9-$AL$9)),$AN$9-SQRT((1-AX452)*($AN$9-$AL$9)*($AN$9-$AM$9))),$AM$9)</f>
        <v/>
      </c>
      <c r="AP452">
        <f>IFERROR(IF(AY452&lt;($AM$10-$AL$10)/($AN$10-$AL$10),$AL$10+SQRT(AY452*($AN$10-$AL$10)*($AM$10-$AL$10)),$AN$10-SQRT((1-AY452)*($AN$10-$AL$10)*($AN$10-$AM$10))),$AM$10)</f>
        <v/>
      </c>
      <c r="AQ452">
        <f>IFERROR(IF(AZ452&lt;($AM$11-$AL$11)/($AN$11-$AL$11),$AL$11+SQRT(AZ452*($AN$11-$AL$11)*($AM$11-$AL$11)),$AN$11-SQRT((1-AZ452)*($AN$11-$AL$11)*($AN$11-$AM$11))),$AM$11)</f>
        <v/>
      </c>
      <c r="AR452">
        <f>SUMPRODUCT((B24:B31&lt;=$B$6)*(C24:C31*AM452+D24:D31*AO452*$B$8*AQ452)/(1+AL452/100)^B24:B31)+C32*AM452*AP452/(1+AL452/100)^$B$6</f>
        <v/>
      </c>
      <c r="AS452">
        <f>SUMPRODUCT((K24:K26&lt;=$B$6)*(L24:L26*AN452+M24:M26*AO452*$B$8*AQ452)/(1+AL452/100)^K24:K26)+L27*AN452*AP452/(1+AL452/100)^$B$6</f>
        <v/>
      </c>
      <c r="AT452">
        <f>AS452-AR452</f>
        <v/>
      </c>
      <c r="AU452">
        <f>RAND()</f>
        <v/>
      </c>
      <c r="AV452">
        <f>RAND()</f>
        <v/>
      </c>
      <c r="AW452">
        <f>RAND()</f>
        <v/>
      </c>
      <c r="AX452">
        <f>RAND()</f>
        <v/>
      </c>
      <c r="AY452">
        <f>RAND()</f>
        <v/>
      </c>
      <c r="AZ452">
        <f>RAND()</f>
        <v/>
      </c>
    </row>
    <row r="453">
      <c r="AK453" t="n">
        <v>440</v>
      </c>
      <c r="AL453">
        <f>IFERROR(IF(AU453&lt;($AM$6-$AL$6)/($AN$6-$AL$6),$AL$6+SQRT(AU453*($AN$6-$AL$6)*($AM$6-$AL$6)),$AN$6-SQRT((1-AU453)*($AN$6-$AL$6)*($AN$6-$AM$6))),$AM$6)</f>
        <v/>
      </c>
      <c r="AM453">
        <f>IFERROR(IF(AV453&lt;($AM$7-$AL$7)/($AN$7-$AL$7),$AL$7+SQRT(AV453*($AN$7-$AL$7)*($AM$7-$AL$7)),$AN$7-SQRT((1-AV453)*($AN$7-$AL$7)*($AN$7-$AM$7))),$AM$7)</f>
        <v/>
      </c>
      <c r="AN453">
        <f>IFERROR(IF(AW453&lt;($AM$8-$AL$8)/($AN$8-$AL$8),$AL$8+SQRT(AW453*($AN$8-$AL$8)*($AM$8-$AL$8)),$AN$8-SQRT((1-AW453)*($AN$8-$AL$8)*($AN$8-$AM$8))),$AM$8)</f>
        <v/>
      </c>
      <c r="AO453">
        <f>IFERROR(IF(AX453&lt;($AM$9-$AL$9)/($AN$9-$AL$9),$AL$9+SQRT(AX453*($AN$9-$AL$9)*($AM$9-$AL$9)),$AN$9-SQRT((1-AX453)*($AN$9-$AL$9)*($AN$9-$AM$9))),$AM$9)</f>
        <v/>
      </c>
      <c r="AP453">
        <f>IFERROR(IF(AY453&lt;($AM$10-$AL$10)/($AN$10-$AL$10),$AL$10+SQRT(AY453*($AN$10-$AL$10)*($AM$10-$AL$10)),$AN$10-SQRT((1-AY453)*($AN$10-$AL$10)*($AN$10-$AM$10))),$AM$10)</f>
        <v/>
      </c>
      <c r="AQ453">
        <f>IFERROR(IF(AZ453&lt;($AM$11-$AL$11)/($AN$11-$AL$11),$AL$11+SQRT(AZ453*($AN$11-$AL$11)*($AM$11-$AL$11)),$AN$11-SQRT((1-AZ453)*($AN$11-$AL$11)*($AN$11-$AM$11))),$AM$11)</f>
        <v/>
      </c>
      <c r="AR453">
        <f>SUMPRODUCT((B24:B31&lt;=$B$6)*(C24:C31*AM453+D24:D31*AO453*$B$8*AQ453)/(1+AL453/100)^B24:B31)+C32*AM453*AP453/(1+AL453/100)^$B$6</f>
        <v/>
      </c>
      <c r="AS453">
        <f>SUMPRODUCT((K24:K26&lt;=$B$6)*(L24:L26*AN453+M24:M26*AO453*$B$8*AQ453)/(1+AL453/100)^K24:K26)+L27*AN453*AP453/(1+AL453/100)^$B$6</f>
        <v/>
      </c>
      <c r="AT453">
        <f>AS453-AR453</f>
        <v/>
      </c>
      <c r="AU453">
        <f>RAND()</f>
        <v/>
      </c>
      <c r="AV453">
        <f>RAND()</f>
        <v/>
      </c>
      <c r="AW453">
        <f>RAND()</f>
        <v/>
      </c>
      <c r="AX453">
        <f>RAND()</f>
        <v/>
      </c>
      <c r="AY453">
        <f>RAND()</f>
        <v/>
      </c>
      <c r="AZ453">
        <f>RAND()</f>
        <v/>
      </c>
    </row>
    <row r="454">
      <c r="AK454" t="n">
        <v>441</v>
      </c>
      <c r="AL454">
        <f>IFERROR(IF(AU454&lt;($AM$6-$AL$6)/($AN$6-$AL$6),$AL$6+SQRT(AU454*($AN$6-$AL$6)*($AM$6-$AL$6)),$AN$6-SQRT((1-AU454)*($AN$6-$AL$6)*($AN$6-$AM$6))),$AM$6)</f>
        <v/>
      </c>
      <c r="AM454">
        <f>IFERROR(IF(AV454&lt;($AM$7-$AL$7)/($AN$7-$AL$7),$AL$7+SQRT(AV454*($AN$7-$AL$7)*($AM$7-$AL$7)),$AN$7-SQRT((1-AV454)*($AN$7-$AL$7)*($AN$7-$AM$7))),$AM$7)</f>
        <v/>
      </c>
      <c r="AN454">
        <f>IFERROR(IF(AW454&lt;($AM$8-$AL$8)/($AN$8-$AL$8),$AL$8+SQRT(AW454*($AN$8-$AL$8)*($AM$8-$AL$8)),$AN$8-SQRT((1-AW454)*($AN$8-$AL$8)*($AN$8-$AM$8))),$AM$8)</f>
        <v/>
      </c>
      <c r="AO454">
        <f>IFERROR(IF(AX454&lt;($AM$9-$AL$9)/($AN$9-$AL$9),$AL$9+SQRT(AX454*($AN$9-$AL$9)*($AM$9-$AL$9)),$AN$9-SQRT((1-AX454)*($AN$9-$AL$9)*($AN$9-$AM$9))),$AM$9)</f>
        <v/>
      </c>
      <c r="AP454">
        <f>IFERROR(IF(AY454&lt;($AM$10-$AL$10)/($AN$10-$AL$10),$AL$10+SQRT(AY454*($AN$10-$AL$10)*($AM$10-$AL$10)),$AN$10-SQRT((1-AY454)*($AN$10-$AL$10)*($AN$10-$AM$10))),$AM$10)</f>
        <v/>
      </c>
      <c r="AQ454">
        <f>IFERROR(IF(AZ454&lt;($AM$11-$AL$11)/($AN$11-$AL$11),$AL$11+SQRT(AZ454*($AN$11-$AL$11)*($AM$11-$AL$11)),$AN$11-SQRT((1-AZ454)*($AN$11-$AL$11)*($AN$11-$AM$11))),$AM$11)</f>
        <v/>
      </c>
      <c r="AR454">
        <f>SUMPRODUCT((B24:B31&lt;=$B$6)*(C24:C31*AM454+D24:D31*AO454*$B$8*AQ454)/(1+AL454/100)^B24:B31)+C32*AM454*AP454/(1+AL454/100)^$B$6</f>
        <v/>
      </c>
      <c r="AS454">
        <f>SUMPRODUCT((K24:K26&lt;=$B$6)*(L24:L26*AN454+M24:M26*AO454*$B$8*AQ454)/(1+AL454/100)^K24:K26)+L27*AN454*AP454/(1+AL454/100)^$B$6</f>
        <v/>
      </c>
      <c r="AT454">
        <f>AS454-AR454</f>
        <v/>
      </c>
      <c r="AU454">
        <f>RAND()</f>
        <v/>
      </c>
      <c r="AV454">
        <f>RAND()</f>
        <v/>
      </c>
      <c r="AW454">
        <f>RAND()</f>
        <v/>
      </c>
      <c r="AX454">
        <f>RAND()</f>
        <v/>
      </c>
      <c r="AY454">
        <f>RAND()</f>
        <v/>
      </c>
      <c r="AZ454">
        <f>RAND()</f>
        <v/>
      </c>
    </row>
    <row r="455">
      <c r="AK455" t="n">
        <v>442</v>
      </c>
      <c r="AL455">
        <f>IFERROR(IF(AU455&lt;($AM$6-$AL$6)/($AN$6-$AL$6),$AL$6+SQRT(AU455*($AN$6-$AL$6)*($AM$6-$AL$6)),$AN$6-SQRT((1-AU455)*($AN$6-$AL$6)*($AN$6-$AM$6))),$AM$6)</f>
        <v/>
      </c>
      <c r="AM455">
        <f>IFERROR(IF(AV455&lt;($AM$7-$AL$7)/($AN$7-$AL$7),$AL$7+SQRT(AV455*($AN$7-$AL$7)*($AM$7-$AL$7)),$AN$7-SQRT((1-AV455)*($AN$7-$AL$7)*($AN$7-$AM$7))),$AM$7)</f>
        <v/>
      </c>
      <c r="AN455">
        <f>IFERROR(IF(AW455&lt;($AM$8-$AL$8)/($AN$8-$AL$8),$AL$8+SQRT(AW455*($AN$8-$AL$8)*($AM$8-$AL$8)),$AN$8-SQRT((1-AW455)*($AN$8-$AL$8)*($AN$8-$AM$8))),$AM$8)</f>
        <v/>
      </c>
      <c r="AO455">
        <f>IFERROR(IF(AX455&lt;($AM$9-$AL$9)/($AN$9-$AL$9),$AL$9+SQRT(AX455*($AN$9-$AL$9)*($AM$9-$AL$9)),$AN$9-SQRT((1-AX455)*($AN$9-$AL$9)*($AN$9-$AM$9))),$AM$9)</f>
        <v/>
      </c>
      <c r="AP455">
        <f>IFERROR(IF(AY455&lt;($AM$10-$AL$10)/($AN$10-$AL$10),$AL$10+SQRT(AY455*($AN$10-$AL$10)*($AM$10-$AL$10)),$AN$10-SQRT((1-AY455)*($AN$10-$AL$10)*($AN$10-$AM$10))),$AM$10)</f>
        <v/>
      </c>
      <c r="AQ455">
        <f>IFERROR(IF(AZ455&lt;($AM$11-$AL$11)/($AN$11-$AL$11),$AL$11+SQRT(AZ455*($AN$11-$AL$11)*($AM$11-$AL$11)),$AN$11-SQRT((1-AZ455)*($AN$11-$AL$11)*($AN$11-$AM$11))),$AM$11)</f>
        <v/>
      </c>
      <c r="AR455">
        <f>SUMPRODUCT((B24:B31&lt;=$B$6)*(C24:C31*AM455+D24:D31*AO455*$B$8*AQ455)/(1+AL455/100)^B24:B31)+C32*AM455*AP455/(1+AL455/100)^$B$6</f>
        <v/>
      </c>
      <c r="AS455">
        <f>SUMPRODUCT((K24:K26&lt;=$B$6)*(L24:L26*AN455+M24:M26*AO455*$B$8*AQ455)/(1+AL455/100)^K24:K26)+L27*AN455*AP455/(1+AL455/100)^$B$6</f>
        <v/>
      </c>
      <c r="AT455">
        <f>AS455-AR455</f>
        <v/>
      </c>
      <c r="AU455">
        <f>RAND()</f>
        <v/>
      </c>
      <c r="AV455">
        <f>RAND()</f>
        <v/>
      </c>
      <c r="AW455">
        <f>RAND()</f>
        <v/>
      </c>
      <c r="AX455">
        <f>RAND()</f>
        <v/>
      </c>
      <c r="AY455">
        <f>RAND()</f>
        <v/>
      </c>
      <c r="AZ455">
        <f>RAND()</f>
        <v/>
      </c>
    </row>
    <row r="456">
      <c r="AK456" t="n">
        <v>443</v>
      </c>
      <c r="AL456">
        <f>IFERROR(IF(AU456&lt;($AM$6-$AL$6)/($AN$6-$AL$6),$AL$6+SQRT(AU456*($AN$6-$AL$6)*($AM$6-$AL$6)),$AN$6-SQRT((1-AU456)*($AN$6-$AL$6)*($AN$6-$AM$6))),$AM$6)</f>
        <v/>
      </c>
      <c r="AM456">
        <f>IFERROR(IF(AV456&lt;($AM$7-$AL$7)/($AN$7-$AL$7),$AL$7+SQRT(AV456*($AN$7-$AL$7)*($AM$7-$AL$7)),$AN$7-SQRT((1-AV456)*($AN$7-$AL$7)*($AN$7-$AM$7))),$AM$7)</f>
        <v/>
      </c>
      <c r="AN456">
        <f>IFERROR(IF(AW456&lt;($AM$8-$AL$8)/($AN$8-$AL$8),$AL$8+SQRT(AW456*($AN$8-$AL$8)*($AM$8-$AL$8)),$AN$8-SQRT((1-AW456)*($AN$8-$AL$8)*($AN$8-$AM$8))),$AM$8)</f>
        <v/>
      </c>
      <c r="AO456">
        <f>IFERROR(IF(AX456&lt;($AM$9-$AL$9)/($AN$9-$AL$9),$AL$9+SQRT(AX456*($AN$9-$AL$9)*($AM$9-$AL$9)),$AN$9-SQRT((1-AX456)*($AN$9-$AL$9)*($AN$9-$AM$9))),$AM$9)</f>
        <v/>
      </c>
      <c r="AP456">
        <f>IFERROR(IF(AY456&lt;($AM$10-$AL$10)/($AN$10-$AL$10),$AL$10+SQRT(AY456*($AN$10-$AL$10)*($AM$10-$AL$10)),$AN$10-SQRT((1-AY456)*($AN$10-$AL$10)*($AN$10-$AM$10))),$AM$10)</f>
        <v/>
      </c>
      <c r="AQ456">
        <f>IFERROR(IF(AZ456&lt;($AM$11-$AL$11)/($AN$11-$AL$11),$AL$11+SQRT(AZ456*($AN$11-$AL$11)*($AM$11-$AL$11)),$AN$11-SQRT((1-AZ456)*($AN$11-$AL$11)*($AN$11-$AM$11))),$AM$11)</f>
        <v/>
      </c>
      <c r="AR456">
        <f>SUMPRODUCT((B24:B31&lt;=$B$6)*(C24:C31*AM456+D24:D31*AO456*$B$8*AQ456)/(1+AL456/100)^B24:B31)+C32*AM456*AP456/(1+AL456/100)^$B$6</f>
        <v/>
      </c>
      <c r="AS456">
        <f>SUMPRODUCT((K24:K26&lt;=$B$6)*(L24:L26*AN456+M24:M26*AO456*$B$8*AQ456)/(1+AL456/100)^K24:K26)+L27*AN456*AP456/(1+AL456/100)^$B$6</f>
        <v/>
      </c>
      <c r="AT456">
        <f>AS456-AR456</f>
        <v/>
      </c>
      <c r="AU456">
        <f>RAND()</f>
        <v/>
      </c>
      <c r="AV456">
        <f>RAND()</f>
        <v/>
      </c>
      <c r="AW456">
        <f>RAND()</f>
        <v/>
      </c>
      <c r="AX456">
        <f>RAND()</f>
        <v/>
      </c>
      <c r="AY456">
        <f>RAND()</f>
        <v/>
      </c>
      <c r="AZ456">
        <f>RAND()</f>
        <v/>
      </c>
    </row>
    <row r="457">
      <c r="AK457" t="n">
        <v>444</v>
      </c>
      <c r="AL457">
        <f>IFERROR(IF(AU457&lt;($AM$6-$AL$6)/($AN$6-$AL$6),$AL$6+SQRT(AU457*($AN$6-$AL$6)*($AM$6-$AL$6)),$AN$6-SQRT((1-AU457)*($AN$6-$AL$6)*($AN$6-$AM$6))),$AM$6)</f>
        <v/>
      </c>
      <c r="AM457">
        <f>IFERROR(IF(AV457&lt;($AM$7-$AL$7)/($AN$7-$AL$7),$AL$7+SQRT(AV457*($AN$7-$AL$7)*($AM$7-$AL$7)),$AN$7-SQRT((1-AV457)*($AN$7-$AL$7)*($AN$7-$AM$7))),$AM$7)</f>
        <v/>
      </c>
      <c r="AN457">
        <f>IFERROR(IF(AW457&lt;($AM$8-$AL$8)/($AN$8-$AL$8),$AL$8+SQRT(AW457*($AN$8-$AL$8)*($AM$8-$AL$8)),$AN$8-SQRT((1-AW457)*($AN$8-$AL$8)*($AN$8-$AM$8))),$AM$8)</f>
        <v/>
      </c>
      <c r="AO457">
        <f>IFERROR(IF(AX457&lt;($AM$9-$AL$9)/($AN$9-$AL$9),$AL$9+SQRT(AX457*($AN$9-$AL$9)*($AM$9-$AL$9)),$AN$9-SQRT((1-AX457)*($AN$9-$AL$9)*($AN$9-$AM$9))),$AM$9)</f>
        <v/>
      </c>
      <c r="AP457">
        <f>IFERROR(IF(AY457&lt;($AM$10-$AL$10)/($AN$10-$AL$10),$AL$10+SQRT(AY457*($AN$10-$AL$10)*($AM$10-$AL$10)),$AN$10-SQRT((1-AY457)*($AN$10-$AL$10)*($AN$10-$AM$10))),$AM$10)</f>
        <v/>
      </c>
      <c r="AQ457">
        <f>IFERROR(IF(AZ457&lt;($AM$11-$AL$11)/($AN$11-$AL$11),$AL$11+SQRT(AZ457*($AN$11-$AL$11)*($AM$11-$AL$11)),$AN$11-SQRT((1-AZ457)*($AN$11-$AL$11)*($AN$11-$AM$11))),$AM$11)</f>
        <v/>
      </c>
      <c r="AR457">
        <f>SUMPRODUCT((B24:B31&lt;=$B$6)*(C24:C31*AM457+D24:D31*AO457*$B$8*AQ457)/(1+AL457/100)^B24:B31)+C32*AM457*AP457/(1+AL457/100)^$B$6</f>
        <v/>
      </c>
      <c r="AS457">
        <f>SUMPRODUCT((K24:K26&lt;=$B$6)*(L24:L26*AN457+M24:M26*AO457*$B$8*AQ457)/(1+AL457/100)^K24:K26)+L27*AN457*AP457/(1+AL457/100)^$B$6</f>
        <v/>
      </c>
      <c r="AT457">
        <f>AS457-AR457</f>
        <v/>
      </c>
      <c r="AU457">
        <f>RAND()</f>
        <v/>
      </c>
      <c r="AV457">
        <f>RAND()</f>
        <v/>
      </c>
      <c r="AW457">
        <f>RAND()</f>
        <v/>
      </c>
      <c r="AX457">
        <f>RAND()</f>
        <v/>
      </c>
      <c r="AY457">
        <f>RAND()</f>
        <v/>
      </c>
      <c r="AZ457">
        <f>RAND()</f>
        <v/>
      </c>
    </row>
    <row r="458">
      <c r="AK458" t="n">
        <v>445</v>
      </c>
      <c r="AL458">
        <f>IFERROR(IF(AU458&lt;($AM$6-$AL$6)/($AN$6-$AL$6),$AL$6+SQRT(AU458*($AN$6-$AL$6)*($AM$6-$AL$6)),$AN$6-SQRT((1-AU458)*($AN$6-$AL$6)*($AN$6-$AM$6))),$AM$6)</f>
        <v/>
      </c>
      <c r="AM458">
        <f>IFERROR(IF(AV458&lt;($AM$7-$AL$7)/($AN$7-$AL$7),$AL$7+SQRT(AV458*($AN$7-$AL$7)*($AM$7-$AL$7)),$AN$7-SQRT((1-AV458)*($AN$7-$AL$7)*($AN$7-$AM$7))),$AM$7)</f>
        <v/>
      </c>
      <c r="AN458">
        <f>IFERROR(IF(AW458&lt;($AM$8-$AL$8)/($AN$8-$AL$8),$AL$8+SQRT(AW458*($AN$8-$AL$8)*($AM$8-$AL$8)),$AN$8-SQRT((1-AW458)*($AN$8-$AL$8)*($AN$8-$AM$8))),$AM$8)</f>
        <v/>
      </c>
      <c r="AO458">
        <f>IFERROR(IF(AX458&lt;($AM$9-$AL$9)/($AN$9-$AL$9),$AL$9+SQRT(AX458*($AN$9-$AL$9)*($AM$9-$AL$9)),$AN$9-SQRT((1-AX458)*($AN$9-$AL$9)*($AN$9-$AM$9))),$AM$9)</f>
        <v/>
      </c>
      <c r="AP458">
        <f>IFERROR(IF(AY458&lt;($AM$10-$AL$10)/($AN$10-$AL$10),$AL$10+SQRT(AY458*($AN$10-$AL$10)*($AM$10-$AL$10)),$AN$10-SQRT((1-AY458)*($AN$10-$AL$10)*($AN$10-$AM$10))),$AM$10)</f>
        <v/>
      </c>
      <c r="AQ458">
        <f>IFERROR(IF(AZ458&lt;($AM$11-$AL$11)/($AN$11-$AL$11),$AL$11+SQRT(AZ458*($AN$11-$AL$11)*($AM$11-$AL$11)),$AN$11-SQRT((1-AZ458)*($AN$11-$AL$11)*($AN$11-$AM$11))),$AM$11)</f>
        <v/>
      </c>
      <c r="AR458">
        <f>SUMPRODUCT((B24:B31&lt;=$B$6)*(C24:C31*AM458+D24:D31*AO458*$B$8*AQ458)/(1+AL458/100)^B24:B31)+C32*AM458*AP458/(1+AL458/100)^$B$6</f>
        <v/>
      </c>
      <c r="AS458">
        <f>SUMPRODUCT((K24:K26&lt;=$B$6)*(L24:L26*AN458+M24:M26*AO458*$B$8*AQ458)/(1+AL458/100)^K24:K26)+L27*AN458*AP458/(1+AL458/100)^$B$6</f>
        <v/>
      </c>
      <c r="AT458">
        <f>AS458-AR458</f>
        <v/>
      </c>
      <c r="AU458">
        <f>RAND()</f>
        <v/>
      </c>
      <c r="AV458">
        <f>RAND()</f>
        <v/>
      </c>
      <c r="AW458">
        <f>RAND()</f>
        <v/>
      </c>
      <c r="AX458">
        <f>RAND()</f>
        <v/>
      </c>
      <c r="AY458">
        <f>RAND()</f>
        <v/>
      </c>
      <c r="AZ458">
        <f>RAND()</f>
        <v/>
      </c>
    </row>
    <row r="459">
      <c r="AK459" t="n">
        <v>446</v>
      </c>
      <c r="AL459">
        <f>IFERROR(IF(AU459&lt;($AM$6-$AL$6)/($AN$6-$AL$6),$AL$6+SQRT(AU459*($AN$6-$AL$6)*($AM$6-$AL$6)),$AN$6-SQRT((1-AU459)*($AN$6-$AL$6)*($AN$6-$AM$6))),$AM$6)</f>
        <v/>
      </c>
      <c r="AM459">
        <f>IFERROR(IF(AV459&lt;($AM$7-$AL$7)/($AN$7-$AL$7),$AL$7+SQRT(AV459*($AN$7-$AL$7)*($AM$7-$AL$7)),$AN$7-SQRT((1-AV459)*($AN$7-$AL$7)*($AN$7-$AM$7))),$AM$7)</f>
        <v/>
      </c>
      <c r="AN459">
        <f>IFERROR(IF(AW459&lt;($AM$8-$AL$8)/($AN$8-$AL$8),$AL$8+SQRT(AW459*($AN$8-$AL$8)*($AM$8-$AL$8)),$AN$8-SQRT((1-AW459)*($AN$8-$AL$8)*($AN$8-$AM$8))),$AM$8)</f>
        <v/>
      </c>
      <c r="AO459">
        <f>IFERROR(IF(AX459&lt;($AM$9-$AL$9)/($AN$9-$AL$9),$AL$9+SQRT(AX459*($AN$9-$AL$9)*($AM$9-$AL$9)),$AN$9-SQRT((1-AX459)*($AN$9-$AL$9)*($AN$9-$AM$9))),$AM$9)</f>
        <v/>
      </c>
      <c r="AP459">
        <f>IFERROR(IF(AY459&lt;($AM$10-$AL$10)/($AN$10-$AL$10),$AL$10+SQRT(AY459*($AN$10-$AL$10)*($AM$10-$AL$10)),$AN$10-SQRT((1-AY459)*($AN$10-$AL$10)*($AN$10-$AM$10))),$AM$10)</f>
        <v/>
      </c>
      <c r="AQ459">
        <f>IFERROR(IF(AZ459&lt;($AM$11-$AL$11)/($AN$11-$AL$11),$AL$11+SQRT(AZ459*($AN$11-$AL$11)*($AM$11-$AL$11)),$AN$11-SQRT((1-AZ459)*($AN$11-$AL$11)*($AN$11-$AM$11))),$AM$11)</f>
        <v/>
      </c>
      <c r="AR459">
        <f>SUMPRODUCT((B24:B31&lt;=$B$6)*(C24:C31*AM459+D24:D31*AO459*$B$8*AQ459)/(1+AL459/100)^B24:B31)+C32*AM459*AP459/(1+AL459/100)^$B$6</f>
        <v/>
      </c>
      <c r="AS459">
        <f>SUMPRODUCT((K24:K26&lt;=$B$6)*(L24:L26*AN459+M24:M26*AO459*$B$8*AQ459)/(1+AL459/100)^K24:K26)+L27*AN459*AP459/(1+AL459/100)^$B$6</f>
        <v/>
      </c>
      <c r="AT459">
        <f>AS459-AR459</f>
        <v/>
      </c>
      <c r="AU459">
        <f>RAND()</f>
        <v/>
      </c>
      <c r="AV459">
        <f>RAND()</f>
        <v/>
      </c>
      <c r="AW459">
        <f>RAND()</f>
        <v/>
      </c>
      <c r="AX459">
        <f>RAND()</f>
        <v/>
      </c>
      <c r="AY459">
        <f>RAND()</f>
        <v/>
      </c>
      <c r="AZ459">
        <f>RAND()</f>
        <v/>
      </c>
    </row>
    <row r="460">
      <c r="AK460" t="n">
        <v>447</v>
      </c>
      <c r="AL460">
        <f>IFERROR(IF(AU460&lt;($AM$6-$AL$6)/($AN$6-$AL$6),$AL$6+SQRT(AU460*($AN$6-$AL$6)*($AM$6-$AL$6)),$AN$6-SQRT((1-AU460)*($AN$6-$AL$6)*($AN$6-$AM$6))),$AM$6)</f>
        <v/>
      </c>
      <c r="AM460">
        <f>IFERROR(IF(AV460&lt;($AM$7-$AL$7)/($AN$7-$AL$7),$AL$7+SQRT(AV460*($AN$7-$AL$7)*($AM$7-$AL$7)),$AN$7-SQRT((1-AV460)*($AN$7-$AL$7)*($AN$7-$AM$7))),$AM$7)</f>
        <v/>
      </c>
      <c r="AN460">
        <f>IFERROR(IF(AW460&lt;($AM$8-$AL$8)/($AN$8-$AL$8),$AL$8+SQRT(AW460*($AN$8-$AL$8)*($AM$8-$AL$8)),$AN$8-SQRT((1-AW460)*($AN$8-$AL$8)*($AN$8-$AM$8))),$AM$8)</f>
        <v/>
      </c>
      <c r="AO460">
        <f>IFERROR(IF(AX460&lt;($AM$9-$AL$9)/($AN$9-$AL$9),$AL$9+SQRT(AX460*($AN$9-$AL$9)*($AM$9-$AL$9)),$AN$9-SQRT((1-AX460)*($AN$9-$AL$9)*($AN$9-$AM$9))),$AM$9)</f>
        <v/>
      </c>
      <c r="AP460">
        <f>IFERROR(IF(AY460&lt;($AM$10-$AL$10)/($AN$10-$AL$10),$AL$10+SQRT(AY460*($AN$10-$AL$10)*($AM$10-$AL$10)),$AN$10-SQRT((1-AY460)*($AN$10-$AL$10)*($AN$10-$AM$10))),$AM$10)</f>
        <v/>
      </c>
      <c r="AQ460">
        <f>IFERROR(IF(AZ460&lt;($AM$11-$AL$11)/($AN$11-$AL$11),$AL$11+SQRT(AZ460*($AN$11-$AL$11)*($AM$11-$AL$11)),$AN$11-SQRT((1-AZ460)*($AN$11-$AL$11)*($AN$11-$AM$11))),$AM$11)</f>
        <v/>
      </c>
      <c r="AR460">
        <f>SUMPRODUCT((B24:B31&lt;=$B$6)*(C24:C31*AM460+D24:D31*AO460*$B$8*AQ460)/(1+AL460/100)^B24:B31)+C32*AM460*AP460/(1+AL460/100)^$B$6</f>
        <v/>
      </c>
      <c r="AS460">
        <f>SUMPRODUCT((K24:K26&lt;=$B$6)*(L24:L26*AN460+M24:M26*AO460*$B$8*AQ460)/(1+AL460/100)^K24:K26)+L27*AN460*AP460/(1+AL460/100)^$B$6</f>
        <v/>
      </c>
      <c r="AT460">
        <f>AS460-AR460</f>
        <v/>
      </c>
      <c r="AU460">
        <f>RAND()</f>
        <v/>
      </c>
      <c r="AV460">
        <f>RAND()</f>
        <v/>
      </c>
      <c r="AW460">
        <f>RAND()</f>
        <v/>
      </c>
      <c r="AX460">
        <f>RAND()</f>
        <v/>
      </c>
      <c r="AY460">
        <f>RAND()</f>
        <v/>
      </c>
      <c r="AZ460">
        <f>RAND()</f>
        <v/>
      </c>
    </row>
    <row r="461">
      <c r="AK461" t="n">
        <v>448</v>
      </c>
      <c r="AL461">
        <f>IFERROR(IF(AU461&lt;($AM$6-$AL$6)/($AN$6-$AL$6),$AL$6+SQRT(AU461*($AN$6-$AL$6)*($AM$6-$AL$6)),$AN$6-SQRT((1-AU461)*($AN$6-$AL$6)*($AN$6-$AM$6))),$AM$6)</f>
        <v/>
      </c>
      <c r="AM461">
        <f>IFERROR(IF(AV461&lt;($AM$7-$AL$7)/($AN$7-$AL$7),$AL$7+SQRT(AV461*($AN$7-$AL$7)*($AM$7-$AL$7)),$AN$7-SQRT((1-AV461)*($AN$7-$AL$7)*($AN$7-$AM$7))),$AM$7)</f>
        <v/>
      </c>
      <c r="AN461">
        <f>IFERROR(IF(AW461&lt;($AM$8-$AL$8)/($AN$8-$AL$8),$AL$8+SQRT(AW461*($AN$8-$AL$8)*($AM$8-$AL$8)),$AN$8-SQRT((1-AW461)*($AN$8-$AL$8)*($AN$8-$AM$8))),$AM$8)</f>
        <v/>
      </c>
      <c r="AO461">
        <f>IFERROR(IF(AX461&lt;($AM$9-$AL$9)/($AN$9-$AL$9),$AL$9+SQRT(AX461*($AN$9-$AL$9)*($AM$9-$AL$9)),$AN$9-SQRT((1-AX461)*($AN$9-$AL$9)*($AN$9-$AM$9))),$AM$9)</f>
        <v/>
      </c>
      <c r="AP461">
        <f>IFERROR(IF(AY461&lt;($AM$10-$AL$10)/($AN$10-$AL$10),$AL$10+SQRT(AY461*($AN$10-$AL$10)*($AM$10-$AL$10)),$AN$10-SQRT((1-AY461)*($AN$10-$AL$10)*($AN$10-$AM$10))),$AM$10)</f>
        <v/>
      </c>
      <c r="AQ461">
        <f>IFERROR(IF(AZ461&lt;($AM$11-$AL$11)/($AN$11-$AL$11),$AL$11+SQRT(AZ461*($AN$11-$AL$11)*($AM$11-$AL$11)),$AN$11-SQRT((1-AZ461)*($AN$11-$AL$11)*($AN$11-$AM$11))),$AM$11)</f>
        <v/>
      </c>
      <c r="AR461">
        <f>SUMPRODUCT((B24:B31&lt;=$B$6)*(C24:C31*AM461+D24:D31*AO461*$B$8*AQ461)/(1+AL461/100)^B24:B31)+C32*AM461*AP461/(1+AL461/100)^$B$6</f>
        <v/>
      </c>
      <c r="AS461">
        <f>SUMPRODUCT((K24:K26&lt;=$B$6)*(L24:L26*AN461+M24:M26*AO461*$B$8*AQ461)/(1+AL461/100)^K24:K26)+L27*AN461*AP461/(1+AL461/100)^$B$6</f>
        <v/>
      </c>
      <c r="AT461">
        <f>AS461-AR461</f>
        <v/>
      </c>
      <c r="AU461">
        <f>RAND()</f>
        <v/>
      </c>
      <c r="AV461">
        <f>RAND()</f>
        <v/>
      </c>
      <c r="AW461">
        <f>RAND()</f>
        <v/>
      </c>
      <c r="AX461">
        <f>RAND()</f>
        <v/>
      </c>
      <c r="AY461">
        <f>RAND()</f>
        <v/>
      </c>
      <c r="AZ461">
        <f>RAND()</f>
        <v/>
      </c>
    </row>
    <row r="462">
      <c r="AK462" t="n">
        <v>449</v>
      </c>
      <c r="AL462">
        <f>IFERROR(IF(AU462&lt;($AM$6-$AL$6)/($AN$6-$AL$6),$AL$6+SQRT(AU462*($AN$6-$AL$6)*($AM$6-$AL$6)),$AN$6-SQRT((1-AU462)*($AN$6-$AL$6)*($AN$6-$AM$6))),$AM$6)</f>
        <v/>
      </c>
      <c r="AM462">
        <f>IFERROR(IF(AV462&lt;($AM$7-$AL$7)/($AN$7-$AL$7),$AL$7+SQRT(AV462*($AN$7-$AL$7)*($AM$7-$AL$7)),$AN$7-SQRT((1-AV462)*($AN$7-$AL$7)*($AN$7-$AM$7))),$AM$7)</f>
        <v/>
      </c>
      <c r="AN462">
        <f>IFERROR(IF(AW462&lt;($AM$8-$AL$8)/($AN$8-$AL$8),$AL$8+SQRT(AW462*($AN$8-$AL$8)*($AM$8-$AL$8)),$AN$8-SQRT((1-AW462)*($AN$8-$AL$8)*($AN$8-$AM$8))),$AM$8)</f>
        <v/>
      </c>
      <c r="AO462">
        <f>IFERROR(IF(AX462&lt;($AM$9-$AL$9)/($AN$9-$AL$9),$AL$9+SQRT(AX462*($AN$9-$AL$9)*($AM$9-$AL$9)),$AN$9-SQRT((1-AX462)*($AN$9-$AL$9)*($AN$9-$AM$9))),$AM$9)</f>
        <v/>
      </c>
      <c r="AP462">
        <f>IFERROR(IF(AY462&lt;($AM$10-$AL$10)/($AN$10-$AL$10),$AL$10+SQRT(AY462*($AN$10-$AL$10)*($AM$10-$AL$10)),$AN$10-SQRT((1-AY462)*($AN$10-$AL$10)*($AN$10-$AM$10))),$AM$10)</f>
        <v/>
      </c>
      <c r="AQ462">
        <f>IFERROR(IF(AZ462&lt;($AM$11-$AL$11)/($AN$11-$AL$11),$AL$11+SQRT(AZ462*($AN$11-$AL$11)*($AM$11-$AL$11)),$AN$11-SQRT((1-AZ462)*($AN$11-$AL$11)*($AN$11-$AM$11))),$AM$11)</f>
        <v/>
      </c>
      <c r="AR462">
        <f>SUMPRODUCT((B24:B31&lt;=$B$6)*(C24:C31*AM462+D24:D31*AO462*$B$8*AQ462)/(1+AL462/100)^B24:B31)+C32*AM462*AP462/(1+AL462/100)^$B$6</f>
        <v/>
      </c>
      <c r="AS462">
        <f>SUMPRODUCT((K24:K26&lt;=$B$6)*(L24:L26*AN462+M24:M26*AO462*$B$8*AQ462)/(1+AL462/100)^K24:K26)+L27*AN462*AP462/(1+AL462/100)^$B$6</f>
        <v/>
      </c>
      <c r="AT462">
        <f>AS462-AR462</f>
        <v/>
      </c>
      <c r="AU462">
        <f>RAND()</f>
        <v/>
      </c>
      <c r="AV462">
        <f>RAND()</f>
        <v/>
      </c>
      <c r="AW462">
        <f>RAND()</f>
        <v/>
      </c>
      <c r="AX462">
        <f>RAND()</f>
        <v/>
      </c>
      <c r="AY462">
        <f>RAND()</f>
        <v/>
      </c>
      <c r="AZ462">
        <f>RAND()</f>
        <v/>
      </c>
    </row>
    <row r="463">
      <c r="AK463" t="n">
        <v>450</v>
      </c>
      <c r="AL463">
        <f>IFERROR(IF(AU463&lt;($AM$6-$AL$6)/($AN$6-$AL$6),$AL$6+SQRT(AU463*($AN$6-$AL$6)*($AM$6-$AL$6)),$AN$6-SQRT((1-AU463)*($AN$6-$AL$6)*($AN$6-$AM$6))),$AM$6)</f>
        <v/>
      </c>
      <c r="AM463">
        <f>IFERROR(IF(AV463&lt;($AM$7-$AL$7)/($AN$7-$AL$7),$AL$7+SQRT(AV463*($AN$7-$AL$7)*($AM$7-$AL$7)),$AN$7-SQRT((1-AV463)*($AN$7-$AL$7)*($AN$7-$AM$7))),$AM$7)</f>
        <v/>
      </c>
      <c r="AN463">
        <f>IFERROR(IF(AW463&lt;($AM$8-$AL$8)/($AN$8-$AL$8),$AL$8+SQRT(AW463*($AN$8-$AL$8)*($AM$8-$AL$8)),$AN$8-SQRT((1-AW463)*($AN$8-$AL$8)*($AN$8-$AM$8))),$AM$8)</f>
        <v/>
      </c>
      <c r="AO463">
        <f>IFERROR(IF(AX463&lt;($AM$9-$AL$9)/($AN$9-$AL$9),$AL$9+SQRT(AX463*($AN$9-$AL$9)*($AM$9-$AL$9)),$AN$9-SQRT((1-AX463)*($AN$9-$AL$9)*($AN$9-$AM$9))),$AM$9)</f>
        <v/>
      </c>
      <c r="AP463">
        <f>IFERROR(IF(AY463&lt;($AM$10-$AL$10)/($AN$10-$AL$10),$AL$10+SQRT(AY463*($AN$10-$AL$10)*($AM$10-$AL$10)),$AN$10-SQRT((1-AY463)*($AN$10-$AL$10)*($AN$10-$AM$10))),$AM$10)</f>
        <v/>
      </c>
      <c r="AQ463">
        <f>IFERROR(IF(AZ463&lt;($AM$11-$AL$11)/($AN$11-$AL$11),$AL$11+SQRT(AZ463*($AN$11-$AL$11)*($AM$11-$AL$11)),$AN$11-SQRT((1-AZ463)*($AN$11-$AL$11)*($AN$11-$AM$11))),$AM$11)</f>
        <v/>
      </c>
      <c r="AR463">
        <f>SUMPRODUCT((B24:B31&lt;=$B$6)*(C24:C31*AM463+D24:D31*AO463*$B$8*AQ463)/(1+AL463/100)^B24:B31)+C32*AM463*AP463/(1+AL463/100)^$B$6</f>
        <v/>
      </c>
      <c r="AS463">
        <f>SUMPRODUCT((K24:K26&lt;=$B$6)*(L24:L26*AN463+M24:M26*AO463*$B$8*AQ463)/(1+AL463/100)^K24:K26)+L27*AN463*AP463/(1+AL463/100)^$B$6</f>
        <v/>
      </c>
      <c r="AT463">
        <f>AS463-AR463</f>
        <v/>
      </c>
      <c r="AU463">
        <f>RAND()</f>
        <v/>
      </c>
      <c r="AV463">
        <f>RAND()</f>
        <v/>
      </c>
      <c r="AW463">
        <f>RAND()</f>
        <v/>
      </c>
      <c r="AX463">
        <f>RAND()</f>
        <v/>
      </c>
      <c r="AY463">
        <f>RAND()</f>
        <v/>
      </c>
      <c r="AZ463">
        <f>RAND()</f>
        <v/>
      </c>
    </row>
    <row r="464">
      <c r="AK464" t="n">
        <v>451</v>
      </c>
      <c r="AL464">
        <f>IFERROR(IF(AU464&lt;($AM$6-$AL$6)/($AN$6-$AL$6),$AL$6+SQRT(AU464*($AN$6-$AL$6)*($AM$6-$AL$6)),$AN$6-SQRT((1-AU464)*($AN$6-$AL$6)*($AN$6-$AM$6))),$AM$6)</f>
        <v/>
      </c>
      <c r="AM464">
        <f>IFERROR(IF(AV464&lt;($AM$7-$AL$7)/($AN$7-$AL$7),$AL$7+SQRT(AV464*($AN$7-$AL$7)*($AM$7-$AL$7)),$AN$7-SQRT((1-AV464)*($AN$7-$AL$7)*($AN$7-$AM$7))),$AM$7)</f>
        <v/>
      </c>
      <c r="AN464">
        <f>IFERROR(IF(AW464&lt;($AM$8-$AL$8)/($AN$8-$AL$8),$AL$8+SQRT(AW464*($AN$8-$AL$8)*($AM$8-$AL$8)),$AN$8-SQRT((1-AW464)*($AN$8-$AL$8)*($AN$8-$AM$8))),$AM$8)</f>
        <v/>
      </c>
      <c r="AO464">
        <f>IFERROR(IF(AX464&lt;($AM$9-$AL$9)/($AN$9-$AL$9),$AL$9+SQRT(AX464*($AN$9-$AL$9)*($AM$9-$AL$9)),$AN$9-SQRT((1-AX464)*($AN$9-$AL$9)*($AN$9-$AM$9))),$AM$9)</f>
        <v/>
      </c>
      <c r="AP464">
        <f>IFERROR(IF(AY464&lt;($AM$10-$AL$10)/($AN$10-$AL$10),$AL$10+SQRT(AY464*($AN$10-$AL$10)*($AM$10-$AL$10)),$AN$10-SQRT((1-AY464)*($AN$10-$AL$10)*($AN$10-$AM$10))),$AM$10)</f>
        <v/>
      </c>
      <c r="AQ464">
        <f>IFERROR(IF(AZ464&lt;($AM$11-$AL$11)/($AN$11-$AL$11),$AL$11+SQRT(AZ464*($AN$11-$AL$11)*($AM$11-$AL$11)),$AN$11-SQRT((1-AZ464)*($AN$11-$AL$11)*($AN$11-$AM$11))),$AM$11)</f>
        <v/>
      </c>
      <c r="AR464">
        <f>SUMPRODUCT((B24:B31&lt;=$B$6)*(C24:C31*AM464+D24:D31*AO464*$B$8*AQ464)/(1+AL464/100)^B24:B31)+C32*AM464*AP464/(1+AL464/100)^$B$6</f>
        <v/>
      </c>
      <c r="AS464">
        <f>SUMPRODUCT((K24:K26&lt;=$B$6)*(L24:L26*AN464+M24:M26*AO464*$B$8*AQ464)/(1+AL464/100)^K24:K26)+L27*AN464*AP464/(1+AL464/100)^$B$6</f>
        <v/>
      </c>
      <c r="AT464">
        <f>AS464-AR464</f>
        <v/>
      </c>
      <c r="AU464">
        <f>RAND()</f>
        <v/>
      </c>
      <c r="AV464">
        <f>RAND()</f>
        <v/>
      </c>
      <c r="AW464">
        <f>RAND()</f>
        <v/>
      </c>
      <c r="AX464">
        <f>RAND()</f>
        <v/>
      </c>
      <c r="AY464">
        <f>RAND()</f>
        <v/>
      </c>
      <c r="AZ464">
        <f>RAND()</f>
        <v/>
      </c>
    </row>
    <row r="465">
      <c r="AK465" t="n">
        <v>452</v>
      </c>
      <c r="AL465">
        <f>IFERROR(IF(AU465&lt;($AM$6-$AL$6)/($AN$6-$AL$6),$AL$6+SQRT(AU465*($AN$6-$AL$6)*($AM$6-$AL$6)),$AN$6-SQRT((1-AU465)*($AN$6-$AL$6)*($AN$6-$AM$6))),$AM$6)</f>
        <v/>
      </c>
      <c r="AM465">
        <f>IFERROR(IF(AV465&lt;($AM$7-$AL$7)/($AN$7-$AL$7),$AL$7+SQRT(AV465*($AN$7-$AL$7)*($AM$7-$AL$7)),$AN$7-SQRT((1-AV465)*($AN$7-$AL$7)*($AN$7-$AM$7))),$AM$7)</f>
        <v/>
      </c>
      <c r="AN465">
        <f>IFERROR(IF(AW465&lt;($AM$8-$AL$8)/($AN$8-$AL$8),$AL$8+SQRT(AW465*($AN$8-$AL$8)*($AM$8-$AL$8)),$AN$8-SQRT((1-AW465)*($AN$8-$AL$8)*($AN$8-$AM$8))),$AM$8)</f>
        <v/>
      </c>
      <c r="AO465">
        <f>IFERROR(IF(AX465&lt;($AM$9-$AL$9)/($AN$9-$AL$9),$AL$9+SQRT(AX465*($AN$9-$AL$9)*($AM$9-$AL$9)),$AN$9-SQRT((1-AX465)*($AN$9-$AL$9)*($AN$9-$AM$9))),$AM$9)</f>
        <v/>
      </c>
      <c r="AP465">
        <f>IFERROR(IF(AY465&lt;($AM$10-$AL$10)/($AN$10-$AL$10),$AL$10+SQRT(AY465*($AN$10-$AL$10)*($AM$10-$AL$10)),$AN$10-SQRT((1-AY465)*($AN$10-$AL$10)*($AN$10-$AM$10))),$AM$10)</f>
        <v/>
      </c>
      <c r="AQ465">
        <f>IFERROR(IF(AZ465&lt;($AM$11-$AL$11)/($AN$11-$AL$11),$AL$11+SQRT(AZ465*($AN$11-$AL$11)*($AM$11-$AL$11)),$AN$11-SQRT((1-AZ465)*($AN$11-$AL$11)*($AN$11-$AM$11))),$AM$11)</f>
        <v/>
      </c>
      <c r="AR465">
        <f>SUMPRODUCT((B24:B31&lt;=$B$6)*(C24:C31*AM465+D24:D31*AO465*$B$8*AQ465)/(1+AL465/100)^B24:B31)+C32*AM465*AP465/(1+AL465/100)^$B$6</f>
        <v/>
      </c>
      <c r="AS465">
        <f>SUMPRODUCT((K24:K26&lt;=$B$6)*(L24:L26*AN465+M24:M26*AO465*$B$8*AQ465)/(1+AL465/100)^K24:K26)+L27*AN465*AP465/(1+AL465/100)^$B$6</f>
        <v/>
      </c>
      <c r="AT465">
        <f>AS465-AR465</f>
        <v/>
      </c>
      <c r="AU465">
        <f>RAND()</f>
        <v/>
      </c>
      <c r="AV465">
        <f>RAND()</f>
        <v/>
      </c>
      <c r="AW465">
        <f>RAND()</f>
        <v/>
      </c>
      <c r="AX465">
        <f>RAND()</f>
        <v/>
      </c>
      <c r="AY465">
        <f>RAND()</f>
        <v/>
      </c>
      <c r="AZ465">
        <f>RAND()</f>
        <v/>
      </c>
    </row>
    <row r="466">
      <c r="AK466" t="n">
        <v>453</v>
      </c>
      <c r="AL466">
        <f>IFERROR(IF(AU466&lt;($AM$6-$AL$6)/($AN$6-$AL$6),$AL$6+SQRT(AU466*($AN$6-$AL$6)*($AM$6-$AL$6)),$AN$6-SQRT((1-AU466)*($AN$6-$AL$6)*($AN$6-$AM$6))),$AM$6)</f>
        <v/>
      </c>
      <c r="AM466">
        <f>IFERROR(IF(AV466&lt;($AM$7-$AL$7)/($AN$7-$AL$7),$AL$7+SQRT(AV466*($AN$7-$AL$7)*($AM$7-$AL$7)),$AN$7-SQRT((1-AV466)*($AN$7-$AL$7)*($AN$7-$AM$7))),$AM$7)</f>
        <v/>
      </c>
      <c r="AN466">
        <f>IFERROR(IF(AW466&lt;($AM$8-$AL$8)/($AN$8-$AL$8),$AL$8+SQRT(AW466*($AN$8-$AL$8)*($AM$8-$AL$8)),$AN$8-SQRT((1-AW466)*($AN$8-$AL$8)*($AN$8-$AM$8))),$AM$8)</f>
        <v/>
      </c>
      <c r="AO466">
        <f>IFERROR(IF(AX466&lt;($AM$9-$AL$9)/($AN$9-$AL$9),$AL$9+SQRT(AX466*($AN$9-$AL$9)*($AM$9-$AL$9)),$AN$9-SQRT((1-AX466)*($AN$9-$AL$9)*($AN$9-$AM$9))),$AM$9)</f>
        <v/>
      </c>
      <c r="AP466">
        <f>IFERROR(IF(AY466&lt;($AM$10-$AL$10)/($AN$10-$AL$10),$AL$10+SQRT(AY466*($AN$10-$AL$10)*($AM$10-$AL$10)),$AN$10-SQRT((1-AY466)*($AN$10-$AL$10)*($AN$10-$AM$10))),$AM$10)</f>
        <v/>
      </c>
      <c r="AQ466">
        <f>IFERROR(IF(AZ466&lt;($AM$11-$AL$11)/($AN$11-$AL$11),$AL$11+SQRT(AZ466*($AN$11-$AL$11)*($AM$11-$AL$11)),$AN$11-SQRT((1-AZ466)*($AN$11-$AL$11)*($AN$11-$AM$11))),$AM$11)</f>
        <v/>
      </c>
      <c r="AR466">
        <f>SUMPRODUCT((B24:B31&lt;=$B$6)*(C24:C31*AM466+D24:D31*AO466*$B$8*AQ466)/(1+AL466/100)^B24:B31)+C32*AM466*AP466/(1+AL466/100)^$B$6</f>
        <v/>
      </c>
      <c r="AS466">
        <f>SUMPRODUCT((K24:K26&lt;=$B$6)*(L24:L26*AN466+M24:M26*AO466*$B$8*AQ466)/(1+AL466/100)^K24:K26)+L27*AN466*AP466/(1+AL466/100)^$B$6</f>
        <v/>
      </c>
      <c r="AT466">
        <f>AS466-AR466</f>
        <v/>
      </c>
      <c r="AU466">
        <f>RAND()</f>
        <v/>
      </c>
      <c r="AV466">
        <f>RAND()</f>
        <v/>
      </c>
      <c r="AW466">
        <f>RAND()</f>
        <v/>
      </c>
      <c r="AX466">
        <f>RAND()</f>
        <v/>
      </c>
      <c r="AY466">
        <f>RAND()</f>
        <v/>
      </c>
      <c r="AZ466">
        <f>RAND()</f>
        <v/>
      </c>
    </row>
    <row r="467">
      <c r="AK467" t="n">
        <v>454</v>
      </c>
      <c r="AL467">
        <f>IFERROR(IF(AU467&lt;($AM$6-$AL$6)/($AN$6-$AL$6),$AL$6+SQRT(AU467*($AN$6-$AL$6)*($AM$6-$AL$6)),$AN$6-SQRT((1-AU467)*($AN$6-$AL$6)*($AN$6-$AM$6))),$AM$6)</f>
        <v/>
      </c>
      <c r="AM467">
        <f>IFERROR(IF(AV467&lt;($AM$7-$AL$7)/($AN$7-$AL$7),$AL$7+SQRT(AV467*($AN$7-$AL$7)*($AM$7-$AL$7)),$AN$7-SQRT((1-AV467)*($AN$7-$AL$7)*($AN$7-$AM$7))),$AM$7)</f>
        <v/>
      </c>
      <c r="AN467">
        <f>IFERROR(IF(AW467&lt;($AM$8-$AL$8)/($AN$8-$AL$8),$AL$8+SQRT(AW467*($AN$8-$AL$8)*($AM$8-$AL$8)),$AN$8-SQRT((1-AW467)*($AN$8-$AL$8)*($AN$8-$AM$8))),$AM$8)</f>
        <v/>
      </c>
      <c r="AO467">
        <f>IFERROR(IF(AX467&lt;($AM$9-$AL$9)/($AN$9-$AL$9),$AL$9+SQRT(AX467*($AN$9-$AL$9)*($AM$9-$AL$9)),$AN$9-SQRT((1-AX467)*($AN$9-$AL$9)*($AN$9-$AM$9))),$AM$9)</f>
        <v/>
      </c>
      <c r="AP467">
        <f>IFERROR(IF(AY467&lt;($AM$10-$AL$10)/($AN$10-$AL$10),$AL$10+SQRT(AY467*($AN$10-$AL$10)*($AM$10-$AL$10)),$AN$10-SQRT((1-AY467)*($AN$10-$AL$10)*($AN$10-$AM$10))),$AM$10)</f>
        <v/>
      </c>
      <c r="AQ467">
        <f>IFERROR(IF(AZ467&lt;($AM$11-$AL$11)/($AN$11-$AL$11),$AL$11+SQRT(AZ467*($AN$11-$AL$11)*($AM$11-$AL$11)),$AN$11-SQRT((1-AZ467)*($AN$11-$AL$11)*($AN$11-$AM$11))),$AM$11)</f>
        <v/>
      </c>
      <c r="AR467">
        <f>SUMPRODUCT((B24:B31&lt;=$B$6)*(C24:C31*AM467+D24:D31*AO467*$B$8*AQ467)/(1+AL467/100)^B24:B31)+C32*AM467*AP467/(1+AL467/100)^$B$6</f>
        <v/>
      </c>
      <c r="AS467">
        <f>SUMPRODUCT((K24:K26&lt;=$B$6)*(L24:L26*AN467+M24:M26*AO467*$B$8*AQ467)/(1+AL467/100)^K24:K26)+L27*AN467*AP467/(1+AL467/100)^$B$6</f>
        <v/>
      </c>
      <c r="AT467">
        <f>AS467-AR467</f>
        <v/>
      </c>
      <c r="AU467">
        <f>RAND()</f>
        <v/>
      </c>
      <c r="AV467">
        <f>RAND()</f>
        <v/>
      </c>
      <c r="AW467">
        <f>RAND()</f>
        <v/>
      </c>
      <c r="AX467">
        <f>RAND()</f>
        <v/>
      </c>
      <c r="AY467">
        <f>RAND()</f>
        <v/>
      </c>
      <c r="AZ467">
        <f>RAND()</f>
        <v/>
      </c>
    </row>
    <row r="468">
      <c r="AK468" t="n">
        <v>455</v>
      </c>
      <c r="AL468">
        <f>IFERROR(IF(AU468&lt;($AM$6-$AL$6)/($AN$6-$AL$6),$AL$6+SQRT(AU468*($AN$6-$AL$6)*($AM$6-$AL$6)),$AN$6-SQRT((1-AU468)*($AN$6-$AL$6)*($AN$6-$AM$6))),$AM$6)</f>
        <v/>
      </c>
      <c r="AM468">
        <f>IFERROR(IF(AV468&lt;($AM$7-$AL$7)/($AN$7-$AL$7),$AL$7+SQRT(AV468*($AN$7-$AL$7)*($AM$7-$AL$7)),$AN$7-SQRT((1-AV468)*($AN$7-$AL$7)*($AN$7-$AM$7))),$AM$7)</f>
        <v/>
      </c>
      <c r="AN468">
        <f>IFERROR(IF(AW468&lt;($AM$8-$AL$8)/($AN$8-$AL$8),$AL$8+SQRT(AW468*($AN$8-$AL$8)*($AM$8-$AL$8)),$AN$8-SQRT((1-AW468)*($AN$8-$AL$8)*($AN$8-$AM$8))),$AM$8)</f>
        <v/>
      </c>
      <c r="AO468">
        <f>IFERROR(IF(AX468&lt;($AM$9-$AL$9)/($AN$9-$AL$9),$AL$9+SQRT(AX468*($AN$9-$AL$9)*($AM$9-$AL$9)),$AN$9-SQRT((1-AX468)*($AN$9-$AL$9)*($AN$9-$AM$9))),$AM$9)</f>
        <v/>
      </c>
      <c r="AP468">
        <f>IFERROR(IF(AY468&lt;($AM$10-$AL$10)/($AN$10-$AL$10),$AL$10+SQRT(AY468*($AN$10-$AL$10)*($AM$10-$AL$10)),$AN$10-SQRT((1-AY468)*($AN$10-$AL$10)*($AN$10-$AM$10))),$AM$10)</f>
        <v/>
      </c>
      <c r="AQ468">
        <f>IFERROR(IF(AZ468&lt;($AM$11-$AL$11)/($AN$11-$AL$11),$AL$11+SQRT(AZ468*($AN$11-$AL$11)*($AM$11-$AL$11)),$AN$11-SQRT((1-AZ468)*($AN$11-$AL$11)*($AN$11-$AM$11))),$AM$11)</f>
        <v/>
      </c>
      <c r="AR468">
        <f>SUMPRODUCT((B24:B31&lt;=$B$6)*(C24:C31*AM468+D24:D31*AO468*$B$8*AQ468)/(1+AL468/100)^B24:B31)+C32*AM468*AP468/(1+AL468/100)^$B$6</f>
        <v/>
      </c>
      <c r="AS468">
        <f>SUMPRODUCT((K24:K26&lt;=$B$6)*(L24:L26*AN468+M24:M26*AO468*$B$8*AQ468)/(1+AL468/100)^K24:K26)+L27*AN468*AP468/(1+AL468/100)^$B$6</f>
        <v/>
      </c>
      <c r="AT468">
        <f>AS468-AR468</f>
        <v/>
      </c>
      <c r="AU468">
        <f>RAND()</f>
        <v/>
      </c>
      <c r="AV468">
        <f>RAND()</f>
        <v/>
      </c>
      <c r="AW468">
        <f>RAND()</f>
        <v/>
      </c>
      <c r="AX468">
        <f>RAND()</f>
        <v/>
      </c>
      <c r="AY468">
        <f>RAND()</f>
        <v/>
      </c>
      <c r="AZ468">
        <f>RAND()</f>
        <v/>
      </c>
    </row>
    <row r="469">
      <c r="AK469" t="n">
        <v>456</v>
      </c>
      <c r="AL469">
        <f>IFERROR(IF(AU469&lt;($AM$6-$AL$6)/($AN$6-$AL$6),$AL$6+SQRT(AU469*($AN$6-$AL$6)*($AM$6-$AL$6)),$AN$6-SQRT((1-AU469)*($AN$6-$AL$6)*($AN$6-$AM$6))),$AM$6)</f>
        <v/>
      </c>
      <c r="AM469">
        <f>IFERROR(IF(AV469&lt;($AM$7-$AL$7)/($AN$7-$AL$7),$AL$7+SQRT(AV469*($AN$7-$AL$7)*($AM$7-$AL$7)),$AN$7-SQRT((1-AV469)*($AN$7-$AL$7)*($AN$7-$AM$7))),$AM$7)</f>
        <v/>
      </c>
      <c r="AN469">
        <f>IFERROR(IF(AW469&lt;($AM$8-$AL$8)/($AN$8-$AL$8),$AL$8+SQRT(AW469*($AN$8-$AL$8)*($AM$8-$AL$8)),$AN$8-SQRT((1-AW469)*($AN$8-$AL$8)*($AN$8-$AM$8))),$AM$8)</f>
        <v/>
      </c>
      <c r="AO469">
        <f>IFERROR(IF(AX469&lt;($AM$9-$AL$9)/($AN$9-$AL$9),$AL$9+SQRT(AX469*($AN$9-$AL$9)*($AM$9-$AL$9)),$AN$9-SQRT((1-AX469)*($AN$9-$AL$9)*($AN$9-$AM$9))),$AM$9)</f>
        <v/>
      </c>
      <c r="AP469">
        <f>IFERROR(IF(AY469&lt;($AM$10-$AL$10)/($AN$10-$AL$10),$AL$10+SQRT(AY469*($AN$10-$AL$10)*($AM$10-$AL$10)),$AN$10-SQRT((1-AY469)*($AN$10-$AL$10)*($AN$10-$AM$10))),$AM$10)</f>
        <v/>
      </c>
      <c r="AQ469">
        <f>IFERROR(IF(AZ469&lt;($AM$11-$AL$11)/($AN$11-$AL$11),$AL$11+SQRT(AZ469*($AN$11-$AL$11)*($AM$11-$AL$11)),$AN$11-SQRT((1-AZ469)*($AN$11-$AL$11)*($AN$11-$AM$11))),$AM$11)</f>
        <v/>
      </c>
      <c r="AR469">
        <f>SUMPRODUCT((B24:B31&lt;=$B$6)*(C24:C31*AM469+D24:D31*AO469*$B$8*AQ469)/(1+AL469/100)^B24:B31)+C32*AM469*AP469/(1+AL469/100)^$B$6</f>
        <v/>
      </c>
      <c r="AS469">
        <f>SUMPRODUCT((K24:K26&lt;=$B$6)*(L24:L26*AN469+M24:M26*AO469*$B$8*AQ469)/(1+AL469/100)^K24:K26)+L27*AN469*AP469/(1+AL469/100)^$B$6</f>
        <v/>
      </c>
      <c r="AT469">
        <f>AS469-AR469</f>
        <v/>
      </c>
      <c r="AU469">
        <f>RAND()</f>
        <v/>
      </c>
      <c r="AV469">
        <f>RAND()</f>
        <v/>
      </c>
      <c r="AW469">
        <f>RAND()</f>
        <v/>
      </c>
      <c r="AX469">
        <f>RAND()</f>
        <v/>
      </c>
      <c r="AY469">
        <f>RAND()</f>
        <v/>
      </c>
      <c r="AZ469">
        <f>RAND()</f>
        <v/>
      </c>
    </row>
    <row r="470">
      <c r="AK470" t="n">
        <v>457</v>
      </c>
      <c r="AL470">
        <f>IFERROR(IF(AU470&lt;($AM$6-$AL$6)/($AN$6-$AL$6),$AL$6+SQRT(AU470*($AN$6-$AL$6)*($AM$6-$AL$6)),$AN$6-SQRT((1-AU470)*($AN$6-$AL$6)*($AN$6-$AM$6))),$AM$6)</f>
        <v/>
      </c>
      <c r="AM470">
        <f>IFERROR(IF(AV470&lt;($AM$7-$AL$7)/($AN$7-$AL$7),$AL$7+SQRT(AV470*($AN$7-$AL$7)*($AM$7-$AL$7)),$AN$7-SQRT((1-AV470)*($AN$7-$AL$7)*($AN$7-$AM$7))),$AM$7)</f>
        <v/>
      </c>
      <c r="AN470">
        <f>IFERROR(IF(AW470&lt;($AM$8-$AL$8)/($AN$8-$AL$8),$AL$8+SQRT(AW470*($AN$8-$AL$8)*($AM$8-$AL$8)),$AN$8-SQRT((1-AW470)*($AN$8-$AL$8)*($AN$8-$AM$8))),$AM$8)</f>
        <v/>
      </c>
      <c r="AO470">
        <f>IFERROR(IF(AX470&lt;($AM$9-$AL$9)/($AN$9-$AL$9),$AL$9+SQRT(AX470*($AN$9-$AL$9)*($AM$9-$AL$9)),$AN$9-SQRT((1-AX470)*($AN$9-$AL$9)*($AN$9-$AM$9))),$AM$9)</f>
        <v/>
      </c>
      <c r="AP470">
        <f>IFERROR(IF(AY470&lt;($AM$10-$AL$10)/($AN$10-$AL$10),$AL$10+SQRT(AY470*($AN$10-$AL$10)*($AM$10-$AL$10)),$AN$10-SQRT((1-AY470)*($AN$10-$AL$10)*($AN$10-$AM$10))),$AM$10)</f>
        <v/>
      </c>
      <c r="AQ470">
        <f>IFERROR(IF(AZ470&lt;($AM$11-$AL$11)/($AN$11-$AL$11),$AL$11+SQRT(AZ470*($AN$11-$AL$11)*($AM$11-$AL$11)),$AN$11-SQRT((1-AZ470)*($AN$11-$AL$11)*($AN$11-$AM$11))),$AM$11)</f>
        <v/>
      </c>
      <c r="AR470">
        <f>SUMPRODUCT((B24:B31&lt;=$B$6)*(C24:C31*AM470+D24:D31*AO470*$B$8*AQ470)/(1+AL470/100)^B24:B31)+C32*AM470*AP470/(1+AL470/100)^$B$6</f>
        <v/>
      </c>
      <c r="AS470">
        <f>SUMPRODUCT((K24:K26&lt;=$B$6)*(L24:L26*AN470+M24:M26*AO470*$B$8*AQ470)/(1+AL470/100)^K24:K26)+L27*AN470*AP470/(1+AL470/100)^$B$6</f>
        <v/>
      </c>
      <c r="AT470">
        <f>AS470-AR470</f>
        <v/>
      </c>
      <c r="AU470">
        <f>RAND()</f>
        <v/>
      </c>
      <c r="AV470">
        <f>RAND()</f>
        <v/>
      </c>
      <c r="AW470">
        <f>RAND()</f>
        <v/>
      </c>
      <c r="AX470">
        <f>RAND()</f>
        <v/>
      </c>
      <c r="AY470">
        <f>RAND()</f>
        <v/>
      </c>
      <c r="AZ470">
        <f>RAND()</f>
        <v/>
      </c>
    </row>
    <row r="471">
      <c r="AK471" t="n">
        <v>458</v>
      </c>
      <c r="AL471">
        <f>IFERROR(IF(AU471&lt;($AM$6-$AL$6)/($AN$6-$AL$6),$AL$6+SQRT(AU471*($AN$6-$AL$6)*($AM$6-$AL$6)),$AN$6-SQRT((1-AU471)*($AN$6-$AL$6)*($AN$6-$AM$6))),$AM$6)</f>
        <v/>
      </c>
      <c r="AM471">
        <f>IFERROR(IF(AV471&lt;($AM$7-$AL$7)/($AN$7-$AL$7),$AL$7+SQRT(AV471*($AN$7-$AL$7)*($AM$7-$AL$7)),$AN$7-SQRT((1-AV471)*($AN$7-$AL$7)*($AN$7-$AM$7))),$AM$7)</f>
        <v/>
      </c>
      <c r="AN471">
        <f>IFERROR(IF(AW471&lt;($AM$8-$AL$8)/($AN$8-$AL$8),$AL$8+SQRT(AW471*($AN$8-$AL$8)*($AM$8-$AL$8)),$AN$8-SQRT((1-AW471)*($AN$8-$AL$8)*($AN$8-$AM$8))),$AM$8)</f>
        <v/>
      </c>
      <c r="AO471">
        <f>IFERROR(IF(AX471&lt;($AM$9-$AL$9)/($AN$9-$AL$9),$AL$9+SQRT(AX471*($AN$9-$AL$9)*($AM$9-$AL$9)),$AN$9-SQRT((1-AX471)*($AN$9-$AL$9)*($AN$9-$AM$9))),$AM$9)</f>
        <v/>
      </c>
      <c r="AP471">
        <f>IFERROR(IF(AY471&lt;($AM$10-$AL$10)/($AN$10-$AL$10),$AL$10+SQRT(AY471*($AN$10-$AL$10)*($AM$10-$AL$10)),$AN$10-SQRT((1-AY471)*($AN$10-$AL$10)*($AN$10-$AM$10))),$AM$10)</f>
        <v/>
      </c>
      <c r="AQ471">
        <f>IFERROR(IF(AZ471&lt;($AM$11-$AL$11)/($AN$11-$AL$11),$AL$11+SQRT(AZ471*($AN$11-$AL$11)*($AM$11-$AL$11)),$AN$11-SQRT((1-AZ471)*($AN$11-$AL$11)*($AN$11-$AM$11))),$AM$11)</f>
        <v/>
      </c>
      <c r="AR471">
        <f>SUMPRODUCT((B24:B31&lt;=$B$6)*(C24:C31*AM471+D24:D31*AO471*$B$8*AQ471)/(1+AL471/100)^B24:B31)+C32*AM471*AP471/(1+AL471/100)^$B$6</f>
        <v/>
      </c>
      <c r="AS471">
        <f>SUMPRODUCT((K24:K26&lt;=$B$6)*(L24:L26*AN471+M24:M26*AO471*$B$8*AQ471)/(1+AL471/100)^K24:K26)+L27*AN471*AP471/(1+AL471/100)^$B$6</f>
        <v/>
      </c>
      <c r="AT471">
        <f>AS471-AR471</f>
        <v/>
      </c>
      <c r="AU471">
        <f>RAND()</f>
        <v/>
      </c>
      <c r="AV471">
        <f>RAND()</f>
        <v/>
      </c>
      <c r="AW471">
        <f>RAND()</f>
        <v/>
      </c>
      <c r="AX471">
        <f>RAND()</f>
        <v/>
      </c>
      <c r="AY471">
        <f>RAND()</f>
        <v/>
      </c>
      <c r="AZ471">
        <f>RAND()</f>
        <v/>
      </c>
    </row>
    <row r="472">
      <c r="AK472" t="n">
        <v>459</v>
      </c>
      <c r="AL472">
        <f>IFERROR(IF(AU472&lt;($AM$6-$AL$6)/($AN$6-$AL$6),$AL$6+SQRT(AU472*($AN$6-$AL$6)*($AM$6-$AL$6)),$AN$6-SQRT((1-AU472)*($AN$6-$AL$6)*($AN$6-$AM$6))),$AM$6)</f>
        <v/>
      </c>
      <c r="AM472">
        <f>IFERROR(IF(AV472&lt;($AM$7-$AL$7)/($AN$7-$AL$7),$AL$7+SQRT(AV472*($AN$7-$AL$7)*($AM$7-$AL$7)),$AN$7-SQRT((1-AV472)*($AN$7-$AL$7)*($AN$7-$AM$7))),$AM$7)</f>
        <v/>
      </c>
      <c r="AN472">
        <f>IFERROR(IF(AW472&lt;($AM$8-$AL$8)/($AN$8-$AL$8),$AL$8+SQRT(AW472*($AN$8-$AL$8)*($AM$8-$AL$8)),$AN$8-SQRT((1-AW472)*($AN$8-$AL$8)*($AN$8-$AM$8))),$AM$8)</f>
        <v/>
      </c>
      <c r="AO472">
        <f>IFERROR(IF(AX472&lt;($AM$9-$AL$9)/($AN$9-$AL$9),$AL$9+SQRT(AX472*($AN$9-$AL$9)*($AM$9-$AL$9)),$AN$9-SQRT((1-AX472)*($AN$9-$AL$9)*($AN$9-$AM$9))),$AM$9)</f>
        <v/>
      </c>
      <c r="AP472">
        <f>IFERROR(IF(AY472&lt;($AM$10-$AL$10)/($AN$10-$AL$10),$AL$10+SQRT(AY472*($AN$10-$AL$10)*($AM$10-$AL$10)),$AN$10-SQRT((1-AY472)*($AN$10-$AL$10)*($AN$10-$AM$10))),$AM$10)</f>
        <v/>
      </c>
      <c r="AQ472">
        <f>IFERROR(IF(AZ472&lt;($AM$11-$AL$11)/($AN$11-$AL$11),$AL$11+SQRT(AZ472*($AN$11-$AL$11)*($AM$11-$AL$11)),$AN$11-SQRT((1-AZ472)*($AN$11-$AL$11)*($AN$11-$AM$11))),$AM$11)</f>
        <v/>
      </c>
      <c r="AR472">
        <f>SUMPRODUCT((B24:B31&lt;=$B$6)*(C24:C31*AM472+D24:D31*AO472*$B$8*AQ472)/(1+AL472/100)^B24:B31)+C32*AM472*AP472/(1+AL472/100)^$B$6</f>
        <v/>
      </c>
      <c r="AS472">
        <f>SUMPRODUCT((K24:K26&lt;=$B$6)*(L24:L26*AN472+M24:M26*AO472*$B$8*AQ472)/(1+AL472/100)^K24:K26)+L27*AN472*AP472/(1+AL472/100)^$B$6</f>
        <v/>
      </c>
      <c r="AT472">
        <f>AS472-AR472</f>
        <v/>
      </c>
      <c r="AU472">
        <f>RAND()</f>
        <v/>
      </c>
      <c r="AV472">
        <f>RAND()</f>
        <v/>
      </c>
      <c r="AW472">
        <f>RAND()</f>
        <v/>
      </c>
      <c r="AX472">
        <f>RAND()</f>
        <v/>
      </c>
      <c r="AY472">
        <f>RAND()</f>
        <v/>
      </c>
      <c r="AZ472">
        <f>RAND()</f>
        <v/>
      </c>
    </row>
    <row r="473">
      <c r="AK473" t="n">
        <v>460</v>
      </c>
      <c r="AL473">
        <f>IFERROR(IF(AU473&lt;($AM$6-$AL$6)/($AN$6-$AL$6),$AL$6+SQRT(AU473*($AN$6-$AL$6)*($AM$6-$AL$6)),$AN$6-SQRT((1-AU473)*($AN$6-$AL$6)*($AN$6-$AM$6))),$AM$6)</f>
        <v/>
      </c>
      <c r="AM473">
        <f>IFERROR(IF(AV473&lt;($AM$7-$AL$7)/($AN$7-$AL$7),$AL$7+SQRT(AV473*($AN$7-$AL$7)*($AM$7-$AL$7)),$AN$7-SQRT((1-AV473)*($AN$7-$AL$7)*($AN$7-$AM$7))),$AM$7)</f>
        <v/>
      </c>
      <c r="AN473">
        <f>IFERROR(IF(AW473&lt;($AM$8-$AL$8)/($AN$8-$AL$8),$AL$8+SQRT(AW473*($AN$8-$AL$8)*($AM$8-$AL$8)),$AN$8-SQRT((1-AW473)*($AN$8-$AL$8)*($AN$8-$AM$8))),$AM$8)</f>
        <v/>
      </c>
      <c r="AO473">
        <f>IFERROR(IF(AX473&lt;($AM$9-$AL$9)/($AN$9-$AL$9),$AL$9+SQRT(AX473*($AN$9-$AL$9)*($AM$9-$AL$9)),$AN$9-SQRT((1-AX473)*($AN$9-$AL$9)*($AN$9-$AM$9))),$AM$9)</f>
        <v/>
      </c>
      <c r="AP473">
        <f>IFERROR(IF(AY473&lt;($AM$10-$AL$10)/($AN$10-$AL$10),$AL$10+SQRT(AY473*($AN$10-$AL$10)*($AM$10-$AL$10)),$AN$10-SQRT((1-AY473)*($AN$10-$AL$10)*($AN$10-$AM$10))),$AM$10)</f>
        <v/>
      </c>
      <c r="AQ473">
        <f>IFERROR(IF(AZ473&lt;($AM$11-$AL$11)/($AN$11-$AL$11),$AL$11+SQRT(AZ473*($AN$11-$AL$11)*($AM$11-$AL$11)),$AN$11-SQRT((1-AZ473)*($AN$11-$AL$11)*($AN$11-$AM$11))),$AM$11)</f>
        <v/>
      </c>
      <c r="AR473">
        <f>SUMPRODUCT((B24:B31&lt;=$B$6)*(C24:C31*AM473+D24:D31*AO473*$B$8*AQ473)/(1+AL473/100)^B24:B31)+C32*AM473*AP473/(1+AL473/100)^$B$6</f>
        <v/>
      </c>
      <c r="AS473">
        <f>SUMPRODUCT((K24:K26&lt;=$B$6)*(L24:L26*AN473+M24:M26*AO473*$B$8*AQ473)/(1+AL473/100)^K24:K26)+L27*AN473*AP473/(1+AL473/100)^$B$6</f>
        <v/>
      </c>
      <c r="AT473">
        <f>AS473-AR473</f>
        <v/>
      </c>
      <c r="AU473">
        <f>RAND()</f>
        <v/>
      </c>
      <c r="AV473">
        <f>RAND()</f>
        <v/>
      </c>
      <c r="AW473">
        <f>RAND()</f>
        <v/>
      </c>
      <c r="AX473">
        <f>RAND()</f>
        <v/>
      </c>
      <c r="AY473">
        <f>RAND()</f>
        <v/>
      </c>
      <c r="AZ473">
        <f>RAND()</f>
        <v/>
      </c>
    </row>
    <row r="474">
      <c r="AK474" t="n">
        <v>461</v>
      </c>
      <c r="AL474">
        <f>IFERROR(IF(AU474&lt;($AM$6-$AL$6)/($AN$6-$AL$6),$AL$6+SQRT(AU474*($AN$6-$AL$6)*($AM$6-$AL$6)),$AN$6-SQRT((1-AU474)*($AN$6-$AL$6)*($AN$6-$AM$6))),$AM$6)</f>
        <v/>
      </c>
      <c r="AM474">
        <f>IFERROR(IF(AV474&lt;($AM$7-$AL$7)/($AN$7-$AL$7),$AL$7+SQRT(AV474*($AN$7-$AL$7)*($AM$7-$AL$7)),$AN$7-SQRT((1-AV474)*($AN$7-$AL$7)*($AN$7-$AM$7))),$AM$7)</f>
        <v/>
      </c>
      <c r="AN474">
        <f>IFERROR(IF(AW474&lt;($AM$8-$AL$8)/($AN$8-$AL$8),$AL$8+SQRT(AW474*($AN$8-$AL$8)*($AM$8-$AL$8)),$AN$8-SQRT((1-AW474)*($AN$8-$AL$8)*($AN$8-$AM$8))),$AM$8)</f>
        <v/>
      </c>
      <c r="AO474">
        <f>IFERROR(IF(AX474&lt;($AM$9-$AL$9)/($AN$9-$AL$9),$AL$9+SQRT(AX474*($AN$9-$AL$9)*($AM$9-$AL$9)),$AN$9-SQRT((1-AX474)*($AN$9-$AL$9)*($AN$9-$AM$9))),$AM$9)</f>
        <v/>
      </c>
      <c r="AP474">
        <f>IFERROR(IF(AY474&lt;($AM$10-$AL$10)/($AN$10-$AL$10),$AL$10+SQRT(AY474*($AN$10-$AL$10)*($AM$10-$AL$10)),$AN$10-SQRT((1-AY474)*($AN$10-$AL$10)*($AN$10-$AM$10))),$AM$10)</f>
        <v/>
      </c>
      <c r="AQ474">
        <f>IFERROR(IF(AZ474&lt;($AM$11-$AL$11)/($AN$11-$AL$11),$AL$11+SQRT(AZ474*($AN$11-$AL$11)*($AM$11-$AL$11)),$AN$11-SQRT((1-AZ474)*($AN$11-$AL$11)*($AN$11-$AM$11))),$AM$11)</f>
        <v/>
      </c>
      <c r="AR474">
        <f>SUMPRODUCT((B24:B31&lt;=$B$6)*(C24:C31*AM474+D24:D31*AO474*$B$8*AQ474)/(1+AL474/100)^B24:B31)+C32*AM474*AP474/(1+AL474/100)^$B$6</f>
        <v/>
      </c>
      <c r="AS474">
        <f>SUMPRODUCT((K24:K26&lt;=$B$6)*(L24:L26*AN474+M24:M26*AO474*$B$8*AQ474)/(1+AL474/100)^K24:K26)+L27*AN474*AP474/(1+AL474/100)^$B$6</f>
        <v/>
      </c>
      <c r="AT474">
        <f>AS474-AR474</f>
        <v/>
      </c>
      <c r="AU474">
        <f>RAND()</f>
        <v/>
      </c>
      <c r="AV474">
        <f>RAND()</f>
        <v/>
      </c>
      <c r="AW474">
        <f>RAND()</f>
        <v/>
      </c>
      <c r="AX474">
        <f>RAND()</f>
        <v/>
      </c>
      <c r="AY474">
        <f>RAND()</f>
        <v/>
      </c>
      <c r="AZ474">
        <f>RAND()</f>
        <v/>
      </c>
    </row>
    <row r="475">
      <c r="AK475" t="n">
        <v>462</v>
      </c>
      <c r="AL475">
        <f>IFERROR(IF(AU475&lt;($AM$6-$AL$6)/($AN$6-$AL$6),$AL$6+SQRT(AU475*($AN$6-$AL$6)*($AM$6-$AL$6)),$AN$6-SQRT((1-AU475)*($AN$6-$AL$6)*($AN$6-$AM$6))),$AM$6)</f>
        <v/>
      </c>
      <c r="AM475">
        <f>IFERROR(IF(AV475&lt;($AM$7-$AL$7)/($AN$7-$AL$7),$AL$7+SQRT(AV475*($AN$7-$AL$7)*($AM$7-$AL$7)),$AN$7-SQRT((1-AV475)*($AN$7-$AL$7)*($AN$7-$AM$7))),$AM$7)</f>
        <v/>
      </c>
      <c r="AN475">
        <f>IFERROR(IF(AW475&lt;($AM$8-$AL$8)/($AN$8-$AL$8),$AL$8+SQRT(AW475*($AN$8-$AL$8)*($AM$8-$AL$8)),$AN$8-SQRT((1-AW475)*($AN$8-$AL$8)*($AN$8-$AM$8))),$AM$8)</f>
        <v/>
      </c>
      <c r="AO475">
        <f>IFERROR(IF(AX475&lt;($AM$9-$AL$9)/($AN$9-$AL$9),$AL$9+SQRT(AX475*($AN$9-$AL$9)*($AM$9-$AL$9)),$AN$9-SQRT((1-AX475)*($AN$9-$AL$9)*($AN$9-$AM$9))),$AM$9)</f>
        <v/>
      </c>
      <c r="AP475">
        <f>IFERROR(IF(AY475&lt;($AM$10-$AL$10)/($AN$10-$AL$10),$AL$10+SQRT(AY475*($AN$10-$AL$10)*($AM$10-$AL$10)),$AN$10-SQRT((1-AY475)*($AN$10-$AL$10)*($AN$10-$AM$10))),$AM$10)</f>
        <v/>
      </c>
      <c r="AQ475">
        <f>IFERROR(IF(AZ475&lt;($AM$11-$AL$11)/($AN$11-$AL$11),$AL$11+SQRT(AZ475*($AN$11-$AL$11)*($AM$11-$AL$11)),$AN$11-SQRT((1-AZ475)*($AN$11-$AL$11)*($AN$11-$AM$11))),$AM$11)</f>
        <v/>
      </c>
      <c r="AR475">
        <f>SUMPRODUCT((B24:B31&lt;=$B$6)*(C24:C31*AM475+D24:D31*AO475*$B$8*AQ475)/(1+AL475/100)^B24:B31)+C32*AM475*AP475/(1+AL475/100)^$B$6</f>
        <v/>
      </c>
      <c r="AS475">
        <f>SUMPRODUCT((K24:K26&lt;=$B$6)*(L24:L26*AN475+M24:M26*AO475*$B$8*AQ475)/(1+AL475/100)^K24:K26)+L27*AN475*AP475/(1+AL475/100)^$B$6</f>
        <v/>
      </c>
      <c r="AT475">
        <f>AS475-AR475</f>
        <v/>
      </c>
      <c r="AU475">
        <f>RAND()</f>
        <v/>
      </c>
      <c r="AV475">
        <f>RAND()</f>
        <v/>
      </c>
      <c r="AW475">
        <f>RAND()</f>
        <v/>
      </c>
      <c r="AX475">
        <f>RAND()</f>
        <v/>
      </c>
      <c r="AY475">
        <f>RAND()</f>
        <v/>
      </c>
      <c r="AZ475">
        <f>RAND()</f>
        <v/>
      </c>
    </row>
    <row r="476">
      <c r="AK476" t="n">
        <v>463</v>
      </c>
      <c r="AL476">
        <f>IFERROR(IF(AU476&lt;($AM$6-$AL$6)/($AN$6-$AL$6),$AL$6+SQRT(AU476*($AN$6-$AL$6)*($AM$6-$AL$6)),$AN$6-SQRT((1-AU476)*($AN$6-$AL$6)*($AN$6-$AM$6))),$AM$6)</f>
        <v/>
      </c>
      <c r="AM476">
        <f>IFERROR(IF(AV476&lt;($AM$7-$AL$7)/($AN$7-$AL$7),$AL$7+SQRT(AV476*($AN$7-$AL$7)*($AM$7-$AL$7)),$AN$7-SQRT((1-AV476)*($AN$7-$AL$7)*($AN$7-$AM$7))),$AM$7)</f>
        <v/>
      </c>
      <c r="AN476">
        <f>IFERROR(IF(AW476&lt;($AM$8-$AL$8)/($AN$8-$AL$8),$AL$8+SQRT(AW476*($AN$8-$AL$8)*($AM$8-$AL$8)),$AN$8-SQRT((1-AW476)*($AN$8-$AL$8)*($AN$8-$AM$8))),$AM$8)</f>
        <v/>
      </c>
      <c r="AO476">
        <f>IFERROR(IF(AX476&lt;($AM$9-$AL$9)/($AN$9-$AL$9),$AL$9+SQRT(AX476*($AN$9-$AL$9)*($AM$9-$AL$9)),$AN$9-SQRT((1-AX476)*($AN$9-$AL$9)*($AN$9-$AM$9))),$AM$9)</f>
        <v/>
      </c>
      <c r="AP476">
        <f>IFERROR(IF(AY476&lt;($AM$10-$AL$10)/($AN$10-$AL$10),$AL$10+SQRT(AY476*($AN$10-$AL$10)*($AM$10-$AL$10)),$AN$10-SQRT((1-AY476)*($AN$10-$AL$10)*($AN$10-$AM$10))),$AM$10)</f>
        <v/>
      </c>
      <c r="AQ476">
        <f>IFERROR(IF(AZ476&lt;($AM$11-$AL$11)/($AN$11-$AL$11),$AL$11+SQRT(AZ476*($AN$11-$AL$11)*($AM$11-$AL$11)),$AN$11-SQRT((1-AZ476)*($AN$11-$AL$11)*($AN$11-$AM$11))),$AM$11)</f>
        <v/>
      </c>
      <c r="AR476">
        <f>SUMPRODUCT((B24:B31&lt;=$B$6)*(C24:C31*AM476+D24:D31*AO476*$B$8*AQ476)/(1+AL476/100)^B24:B31)+C32*AM476*AP476/(1+AL476/100)^$B$6</f>
        <v/>
      </c>
      <c r="AS476">
        <f>SUMPRODUCT((K24:K26&lt;=$B$6)*(L24:L26*AN476+M24:M26*AO476*$B$8*AQ476)/(1+AL476/100)^K24:K26)+L27*AN476*AP476/(1+AL476/100)^$B$6</f>
        <v/>
      </c>
      <c r="AT476">
        <f>AS476-AR476</f>
        <v/>
      </c>
      <c r="AU476">
        <f>RAND()</f>
        <v/>
      </c>
      <c r="AV476">
        <f>RAND()</f>
        <v/>
      </c>
      <c r="AW476">
        <f>RAND()</f>
        <v/>
      </c>
      <c r="AX476">
        <f>RAND()</f>
        <v/>
      </c>
      <c r="AY476">
        <f>RAND()</f>
        <v/>
      </c>
      <c r="AZ476">
        <f>RAND()</f>
        <v/>
      </c>
    </row>
    <row r="477">
      <c r="AK477" t="n">
        <v>464</v>
      </c>
      <c r="AL477">
        <f>IFERROR(IF(AU477&lt;($AM$6-$AL$6)/($AN$6-$AL$6),$AL$6+SQRT(AU477*($AN$6-$AL$6)*($AM$6-$AL$6)),$AN$6-SQRT((1-AU477)*($AN$6-$AL$6)*($AN$6-$AM$6))),$AM$6)</f>
        <v/>
      </c>
      <c r="AM477">
        <f>IFERROR(IF(AV477&lt;($AM$7-$AL$7)/($AN$7-$AL$7),$AL$7+SQRT(AV477*($AN$7-$AL$7)*($AM$7-$AL$7)),$AN$7-SQRT((1-AV477)*($AN$7-$AL$7)*($AN$7-$AM$7))),$AM$7)</f>
        <v/>
      </c>
      <c r="AN477">
        <f>IFERROR(IF(AW477&lt;($AM$8-$AL$8)/($AN$8-$AL$8),$AL$8+SQRT(AW477*($AN$8-$AL$8)*($AM$8-$AL$8)),$AN$8-SQRT((1-AW477)*($AN$8-$AL$8)*($AN$8-$AM$8))),$AM$8)</f>
        <v/>
      </c>
      <c r="AO477">
        <f>IFERROR(IF(AX477&lt;($AM$9-$AL$9)/($AN$9-$AL$9),$AL$9+SQRT(AX477*($AN$9-$AL$9)*($AM$9-$AL$9)),$AN$9-SQRT((1-AX477)*($AN$9-$AL$9)*($AN$9-$AM$9))),$AM$9)</f>
        <v/>
      </c>
      <c r="AP477">
        <f>IFERROR(IF(AY477&lt;($AM$10-$AL$10)/($AN$10-$AL$10),$AL$10+SQRT(AY477*($AN$10-$AL$10)*($AM$10-$AL$10)),$AN$10-SQRT((1-AY477)*($AN$10-$AL$10)*($AN$10-$AM$10))),$AM$10)</f>
        <v/>
      </c>
      <c r="AQ477">
        <f>IFERROR(IF(AZ477&lt;($AM$11-$AL$11)/($AN$11-$AL$11),$AL$11+SQRT(AZ477*($AN$11-$AL$11)*($AM$11-$AL$11)),$AN$11-SQRT((1-AZ477)*($AN$11-$AL$11)*($AN$11-$AM$11))),$AM$11)</f>
        <v/>
      </c>
      <c r="AR477">
        <f>SUMPRODUCT((B24:B31&lt;=$B$6)*(C24:C31*AM477+D24:D31*AO477*$B$8*AQ477)/(1+AL477/100)^B24:B31)+C32*AM477*AP477/(1+AL477/100)^$B$6</f>
        <v/>
      </c>
      <c r="AS477">
        <f>SUMPRODUCT((K24:K26&lt;=$B$6)*(L24:L26*AN477+M24:M26*AO477*$B$8*AQ477)/(1+AL477/100)^K24:K26)+L27*AN477*AP477/(1+AL477/100)^$B$6</f>
        <v/>
      </c>
      <c r="AT477">
        <f>AS477-AR477</f>
        <v/>
      </c>
      <c r="AU477">
        <f>RAND()</f>
        <v/>
      </c>
      <c r="AV477">
        <f>RAND()</f>
        <v/>
      </c>
      <c r="AW477">
        <f>RAND()</f>
        <v/>
      </c>
      <c r="AX477">
        <f>RAND()</f>
        <v/>
      </c>
      <c r="AY477">
        <f>RAND()</f>
        <v/>
      </c>
      <c r="AZ477">
        <f>RAND()</f>
        <v/>
      </c>
    </row>
    <row r="478">
      <c r="AK478" t="n">
        <v>465</v>
      </c>
      <c r="AL478">
        <f>IFERROR(IF(AU478&lt;($AM$6-$AL$6)/($AN$6-$AL$6),$AL$6+SQRT(AU478*($AN$6-$AL$6)*($AM$6-$AL$6)),$AN$6-SQRT((1-AU478)*($AN$6-$AL$6)*($AN$6-$AM$6))),$AM$6)</f>
        <v/>
      </c>
      <c r="AM478">
        <f>IFERROR(IF(AV478&lt;($AM$7-$AL$7)/($AN$7-$AL$7),$AL$7+SQRT(AV478*($AN$7-$AL$7)*($AM$7-$AL$7)),$AN$7-SQRT((1-AV478)*($AN$7-$AL$7)*($AN$7-$AM$7))),$AM$7)</f>
        <v/>
      </c>
      <c r="AN478">
        <f>IFERROR(IF(AW478&lt;($AM$8-$AL$8)/($AN$8-$AL$8),$AL$8+SQRT(AW478*($AN$8-$AL$8)*($AM$8-$AL$8)),$AN$8-SQRT((1-AW478)*($AN$8-$AL$8)*($AN$8-$AM$8))),$AM$8)</f>
        <v/>
      </c>
      <c r="AO478">
        <f>IFERROR(IF(AX478&lt;($AM$9-$AL$9)/($AN$9-$AL$9),$AL$9+SQRT(AX478*($AN$9-$AL$9)*($AM$9-$AL$9)),$AN$9-SQRT((1-AX478)*($AN$9-$AL$9)*($AN$9-$AM$9))),$AM$9)</f>
        <v/>
      </c>
      <c r="AP478">
        <f>IFERROR(IF(AY478&lt;($AM$10-$AL$10)/($AN$10-$AL$10),$AL$10+SQRT(AY478*($AN$10-$AL$10)*($AM$10-$AL$10)),$AN$10-SQRT((1-AY478)*($AN$10-$AL$10)*($AN$10-$AM$10))),$AM$10)</f>
        <v/>
      </c>
      <c r="AQ478">
        <f>IFERROR(IF(AZ478&lt;($AM$11-$AL$11)/($AN$11-$AL$11),$AL$11+SQRT(AZ478*($AN$11-$AL$11)*($AM$11-$AL$11)),$AN$11-SQRT((1-AZ478)*($AN$11-$AL$11)*($AN$11-$AM$11))),$AM$11)</f>
        <v/>
      </c>
      <c r="AR478">
        <f>SUMPRODUCT((B24:B31&lt;=$B$6)*(C24:C31*AM478+D24:D31*AO478*$B$8*AQ478)/(1+AL478/100)^B24:B31)+C32*AM478*AP478/(1+AL478/100)^$B$6</f>
        <v/>
      </c>
      <c r="AS478">
        <f>SUMPRODUCT((K24:K26&lt;=$B$6)*(L24:L26*AN478+M24:M26*AO478*$B$8*AQ478)/(1+AL478/100)^K24:K26)+L27*AN478*AP478/(1+AL478/100)^$B$6</f>
        <v/>
      </c>
      <c r="AT478">
        <f>AS478-AR478</f>
        <v/>
      </c>
      <c r="AU478">
        <f>RAND()</f>
        <v/>
      </c>
      <c r="AV478">
        <f>RAND()</f>
        <v/>
      </c>
      <c r="AW478">
        <f>RAND()</f>
        <v/>
      </c>
      <c r="AX478">
        <f>RAND()</f>
        <v/>
      </c>
      <c r="AY478">
        <f>RAND()</f>
        <v/>
      </c>
      <c r="AZ478">
        <f>RAND()</f>
        <v/>
      </c>
    </row>
    <row r="479">
      <c r="AK479" t="n">
        <v>466</v>
      </c>
      <c r="AL479">
        <f>IFERROR(IF(AU479&lt;($AM$6-$AL$6)/($AN$6-$AL$6),$AL$6+SQRT(AU479*($AN$6-$AL$6)*($AM$6-$AL$6)),$AN$6-SQRT((1-AU479)*($AN$6-$AL$6)*($AN$6-$AM$6))),$AM$6)</f>
        <v/>
      </c>
      <c r="AM479">
        <f>IFERROR(IF(AV479&lt;($AM$7-$AL$7)/($AN$7-$AL$7),$AL$7+SQRT(AV479*($AN$7-$AL$7)*($AM$7-$AL$7)),$AN$7-SQRT((1-AV479)*($AN$7-$AL$7)*($AN$7-$AM$7))),$AM$7)</f>
        <v/>
      </c>
      <c r="AN479">
        <f>IFERROR(IF(AW479&lt;($AM$8-$AL$8)/($AN$8-$AL$8),$AL$8+SQRT(AW479*($AN$8-$AL$8)*($AM$8-$AL$8)),$AN$8-SQRT((1-AW479)*($AN$8-$AL$8)*($AN$8-$AM$8))),$AM$8)</f>
        <v/>
      </c>
      <c r="AO479">
        <f>IFERROR(IF(AX479&lt;($AM$9-$AL$9)/($AN$9-$AL$9),$AL$9+SQRT(AX479*($AN$9-$AL$9)*($AM$9-$AL$9)),$AN$9-SQRT((1-AX479)*($AN$9-$AL$9)*($AN$9-$AM$9))),$AM$9)</f>
        <v/>
      </c>
      <c r="AP479">
        <f>IFERROR(IF(AY479&lt;($AM$10-$AL$10)/($AN$10-$AL$10),$AL$10+SQRT(AY479*($AN$10-$AL$10)*($AM$10-$AL$10)),$AN$10-SQRT((1-AY479)*($AN$10-$AL$10)*($AN$10-$AM$10))),$AM$10)</f>
        <v/>
      </c>
      <c r="AQ479">
        <f>IFERROR(IF(AZ479&lt;($AM$11-$AL$11)/($AN$11-$AL$11),$AL$11+SQRT(AZ479*($AN$11-$AL$11)*($AM$11-$AL$11)),$AN$11-SQRT((1-AZ479)*($AN$11-$AL$11)*($AN$11-$AM$11))),$AM$11)</f>
        <v/>
      </c>
      <c r="AR479">
        <f>SUMPRODUCT((B24:B31&lt;=$B$6)*(C24:C31*AM479+D24:D31*AO479*$B$8*AQ479)/(1+AL479/100)^B24:B31)+C32*AM479*AP479/(1+AL479/100)^$B$6</f>
        <v/>
      </c>
      <c r="AS479">
        <f>SUMPRODUCT((K24:K26&lt;=$B$6)*(L24:L26*AN479+M24:M26*AO479*$B$8*AQ479)/(1+AL479/100)^K24:K26)+L27*AN479*AP479/(1+AL479/100)^$B$6</f>
        <v/>
      </c>
      <c r="AT479">
        <f>AS479-AR479</f>
        <v/>
      </c>
      <c r="AU479">
        <f>RAND()</f>
        <v/>
      </c>
      <c r="AV479">
        <f>RAND()</f>
        <v/>
      </c>
      <c r="AW479">
        <f>RAND()</f>
        <v/>
      </c>
      <c r="AX479">
        <f>RAND()</f>
        <v/>
      </c>
      <c r="AY479">
        <f>RAND()</f>
        <v/>
      </c>
      <c r="AZ479">
        <f>RAND()</f>
        <v/>
      </c>
    </row>
    <row r="480">
      <c r="AK480" t="n">
        <v>467</v>
      </c>
      <c r="AL480">
        <f>IFERROR(IF(AU480&lt;($AM$6-$AL$6)/($AN$6-$AL$6),$AL$6+SQRT(AU480*($AN$6-$AL$6)*($AM$6-$AL$6)),$AN$6-SQRT((1-AU480)*($AN$6-$AL$6)*($AN$6-$AM$6))),$AM$6)</f>
        <v/>
      </c>
      <c r="AM480">
        <f>IFERROR(IF(AV480&lt;($AM$7-$AL$7)/($AN$7-$AL$7),$AL$7+SQRT(AV480*($AN$7-$AL$7)*($AM$7-$AL$7)),$AN$7-SQRT((1-AV480)*($AN$7-$AL$7)*($AN$7-$AM$7))),$AM$7)</f>
        <v/>
      </c>
      <c r="AN480">
        <f>IFERROR(IF(AW480&lt;($AM$8-$AL$8)/($AN$8-$AL$8),$AL$8+SQRT(AW480*($AN$8-$AL$8)*($AM$8-$AL$8)),$AN$8-SQRT((1-AW480)*($AN$8-$AL$8)*($AN$8-$AM$8))),$AM$8)</f>
        <v/>
      </c>
      <c r="AO480">
        <f>IFERROR(IF(AX480&lt;($AM$9-$AL$9)/($AN$9-$AL$9),$AL$9+SQRT(AX480*($AN$9-$AL$9)*($AM$9-$AL$9)),$AN$9-SQRT((1-AX480)*($AN$9-$AL$9)*($AN$9-$AM$9))),$AM$9)</f>
        <v/>
      </c>
      <c r="AP480">
        <f>IFERROR(IF(AY480&lt;($AM$10-$AL$10)/($AN$10-$AL$10),$AL$10+SQRT(AY480*($AN$10-$AL$10)*($AM$10-$AL$10)),$AN$10-SQRT((1-AY480)*($AN$10-$AL$10)*($AN$10-$AM$10))),$AM$10)</f>
        <v/>
      </c>
      <c r="AQ480">
        <f>IFERROR(IF(AZ480&lt;($AM$11-$AL$11)/($AN$11-$AL$11),$AL$11+SQRT(AZ480*($AN$11-$AL$11)*($AM$11-$AL$11)),$AN$11-SQRT((1-AZ480)*($AN$11-$AL$11)*($AN$11-$AM$11))),$AM$11)</f>
        <v/>
      </c>
      <c r="AR480">
        <f>SUMPRODUCT((B24:B31&lt;=$B$6)*(C24:C31*AM480+D24:D31*AO480*$B$8*AQ480)/(1+AL480/100)^B24:B31)+C32*AM480*AP480/(1+AL480/100)^$B$6</f>
        <v/>
      </c>
      <c r="AS480">
        <f>SUMPRODUCT((K24:K26&lt;=$B$6)*(L24:L26*AN480+M24:M26*AO480*$B$8*AQ480)/(1+AL480/100)^K24:K26)+L27*AN480*AP480/(1+AL480/100)^$B$6</f>
        <v/>
      </c>
      <c r="AT480">
        <f>AS480-AR480</f>
        <v/>
      </c>
      <c r="AU480">
        <f>RAND()</f>
        <v/>
      </c>
      <c r="AV480">
        <f>RAND()</f>
        <v/>
      </c>
      <c r="AW480">
        <f>RAND()</f>
        <v/>
      </c>
      <c r="AX480">
        <f>RAND()</f>
        <v/>
      </c>
      <c r="AY480">
        <f>RAND()</f>
        <v/>
      </c>
      <c r="AZ480">
        <f>RAND()</f>
        <v/>
      </c>
    </row>
    <row r="481">
      <c r="AK481" t="n">
        <v>468</v>
      </c>
      <c r="AL481">
        <f>IFERROR(IF(AU481&lt;($AM$6-$AL$6)/($AN$6-$AL$6),$AL$6+SQRT(AU481*($AN$6-$AL$6)*($AM$6-$AL$6)),$AN$6-SQRT((1-AU481)*($AN$6-$AL$6)*($AN$6-$AM$6))),$AM$6)</f>
        <v/>
      </c>
      <c r="AM481">
        <f>IFERROR(IF(AV481&lt;($AM$7-$AL$7)/($AN$7-$AL$7),$AL$7+SQRT(AV481*($AN$7-$AL$7)*($AM$7-$AL$7)),$AN$7-SQRT((1-AV481)*($AN$7-$AL$7)*($AN$7-$AM$7))),$AM$7)</f>
        <v/>
      </c>
      <c r="AN481">
        <f>IFERROR(IF(AW481&lt;($AM$8-$AL$8)/($AN$8-$AL$8),$AL$8+SQRT(AW481*($AN$8-$AL$8)*($AM$8-$AL$8)),$AN$8-SQRT((1-AW481)*($AN$8-$AL$8)*($AN$8-$AM$8))),$AM$8)</f>
        <v/>
      </c>
      <c r="AO481">
        <f>IFERROR(IF(AX481&lt;($AM$9-$AL$9)/($AN$9-$AL$9),$AL$9+SQRT(AX481*($AN$9-$AL$9)*($AM$9-$AL$9)),$AN$9-SQRT((1-AX481)*($AN$9-$AL$9)*($AN$9-$AM$9))),$AM$9)</f>
        <v/>
      </c>
      <c r="AP481">
        <f>IFERROR(IF(AY481&lt;($AM$10-$AL$10)/($AN$10-$AL$10),$AL$10+SQRT(AY481*($AN$10-$AL$10)*($AM$10-$AL$10)),$AN$10-SQRT((1-AY481)*($AN$10-$AL$10)*($AN$10-$AM$10))),$AM$10)</f>
        <v/>
      </c>
      <c r="AQ481">
        <f>IFERROR(IF(AZ481&lt;($AM$11-$AL$11)/($AN$11-$AL$11),$AL$11+SQRT(AZ481*($AN$11-$AL$11)*($AM$11-$AL$11)),$AN$11-SQRT((1-AZ481)*($AN$11-$AL$11)*($AN$11-$AM$11))),$AM$11)</f>
        <v/>
      </c>
      <c r="AR481">
        <f>SUMPRODUCT((B24:B31&lt;=$B$6)*(C24:C31*AM481+D24:D31*AO481*$B$8*AQ481)/(1+AL481/100)^B24:B31)+C32*AM481*AP481/(1+AL481/100)^$B$6</f>
        <v/>
      </c>
      <c r="AS481">
        <f>SUMPRODUCT((K24:K26&lt;=$B$6)*(L24:L26*AN481+M24:M26*AO481*$B$8*AQ481)/(1+AL481/100)^K24:K26)+L27*AN481*AP481/(1+AL481/100)^$B$6</f>
        <v/>
      </c>
      <c r="AT481">
        <f>AS481-AR481</f>
        <v/>
      </c>
      <c r="AU481">
        <f>RAND()</f>
        <v/>
      </c>
      <c r="AV481">
        <f>RAND()</f>
        <v/>
      </c>
      <c r="AW481">
        <f>RAND()</f>
        <v/>
      </c>
      <c r="AX481">
        <f>RAND()</f>
        <v/>
      </c>
      <c r="AY481">
        <f>RAND()</f>
        <v/>
      </c>
      <c r="AZ481">
        <f>RAND()</f>
        <v/>
      </c>
    </row>
    <row r="482">
      <c r="AK482" t="n">
        <v>469</v>
      </c>
      <c r="AL482">
        <f>IFERROR(IF(AU482&lt;($AM$6-$AL$6)/($AN$6-$AL$6),$AL$6+SQRT(AU482*($AN$6-$AL$6)*($AM$6-$AL$6)),$AN$6-SQRT((1-AU482)*($AN$6-$AL$6)*($AN$6-$AM$6))),$AM$6)</f>
        <v/>
      </c>
      <c r="AM482">
        <f>IFERROR(IF(AV482&lt;($AM$7-$AL$7)/($AN$7-$AL$7),$AL$7+SQRT(AV482*($AN$7-$AL$7)*($AM$7-$AL$7)),$AN$7-SQRT((1-AV482)*($AN$7-$AL$7)*($AN$7-$AM$7))),$AM$7)</f>
        <v/>
      </c>
      <c r="AN482">
        <f>IFERROR(IF(AW482&lt;($AM$8-$AL$8)/($AN$8-$AL$8),$AL$8+SQRT(AW482*($AN$8-$AL$8)*($AM$8-$AL$8)),$AN$8-SQRT((1-AW482)*($AN$8-$AL$8)*($AN$8-$AM$8))),$AM$8)</f>
        <v/>
      </c>
      <c r="AO482">
        <f>IFERROR(IF(AX482&lt;($AM$9-$AL$9)/($AN$9-$AL$9),$AL$9+SQRT(AX482*($AN$9-$AL$9)*($AM$9-$AL$9)),$AN$9-SQRT((1-AX482)*($AN$9-$AL$9)*($AN$9-$AM$9))),$AM$9)</f>
        <v/>
      </c>
      <c r="AP482">
        <f>IFERROR(IF(AY482&lt;($AM$10-$AL$10)/($AN$10-$AL$10),$AL$10+SQRT(AY482*($AN$10-$AL$10)*($AM$10-$AL$10)),$AN$10-SQRT((1-AY482)*($AN$10-$AL$10)*($AN$10-$AM$10))),$AM$10)</f>
        <v/>
      </c>
      <c r="AQ482">
        <f>IFERROR(IF(AZ482&lt;($AM$11-$AL$11)/($AN$11-$AL$11),$AL$11+SQRT(AZ482*($AN$11-$AL$11)*($AM$11-$AL$11)),$AN$11-SQRT((1-AZ482)*($AN$11-$AL$11)*($AN$11-$AM$11))),$AM$11)</f>
        <v/>
      </c>
      <c r="AR482">
        <f>SUMPRODUCT((B24:B31&lt;=$B$6)*(C24:C31*AM482+D24:D31*AO482*$B$8*AQ482)/(1+AL482/100)^B24:B31)+C32*AM482*AP482/(1+AL482/100)^$B$6</f>
        <v/>
      </c>
      <c r="AS482">
        <f>SUMPRODUCT((K24:K26&lt;=$B$6)*(L24:L26*AN482+M24:M26*AO482*$B$8*AQ482)/(1+AL482/100)^K24:K26)+L27*AN482*AP482/(1+AL482/100)^$B$6</f>
        <v/>
      </c>
      <c r="AT482">
        <f>AS482-AR482</f>
        <v/>
      </c>
      <c r="AU482">
        <f>RAND()</f>
        <v/>
      </c>
      <c r="AV482">
        <f>RAND()</f>
        <v/>
      </c>
      <c r="AW482">
        <f>RAND()</f>
        <v/>
      </c>
      <c r="AX482">
        <f>RAND()</f>
        <v/>
      </c>
      <c r="AY482">
        <f>RAND()</f>
        <v/>
      </c>
      <c r="AZ482">
        <f>RAND()</f>
        <v/>
      </c>
    </row>
    <row r="483">
      <c r="AK483" t="n">
        <v>470</v>
      </c>
      <c r="AL483">
        <f>IFERROR(IF(AU483&lt;($AM$6-$AL$6)/($AN$6-$AL$6),$AL$6+SQRT(AU483*($AN$6-$AL$6)*($AM$6-$AL$6)),$AN$6-SQRT((1-AU483)*($AN$6-$AL$6)*($AN$6-$AM$6))),$AM$6)</f>
        <v/>
      </c>
      <c r="AM483">
        <f>IFERROR(IF(AV483&lt;($AM$7-$AL$7)/($AN$7-$AL$7),$AL$7+SQRT(AV483*($AN$7-$AL$7)*($AM$7-$AL$7)),$AN$7-SQRT((1-AV483)*($AN$7-$AL$7)*($AN$7-$AM$7))),$AM$7)</f>
        <v/>
      </c>
      <c r="AN483">
        <f>IFERROR(IF(AW483&lt;($AM$8-$AL$8)/($AN$8-$AL$8),$AL$8+SQRT(AW483*($AN$8-$AL$8)*($AM$8-$AL$8)),$AN$8-SQRT((1-AW483)*($AN$8-$AL$8)*($AN$8-$AM$8))),$AM$8)</f>
        <v/>
      </c>
      <c r="AO483">
        <f>IFERROR(IF(AX483&lt;($AM$9-$AL$9)/($AN$9-$AL$9),$AL$9+SQRT(AX483*($AN$9-$AL$9)*($AM$9-$AL$9)),$AN$9-SQRT((1-AX483)*($AN$9-$AL$9)*($AN$9-$AM$9))),$AM$9)</f>
        <v/>
      </c>
      <c r="AP483">
        <f>IFERROR(IF(AY483&lt;($AM$10-$AL$10)/($AN$10-$AL$10),$AL$10+SQRT(AY483*($AN$10-$AL$10)*($AM$10-$AL$10)),$AN$10-SQRT((1-AY483)*($AN$10-$AL$10)*($AN$10-$AM$10))),$AM$10)</f>
        <v/>
      </c>
      <c r="AQ483">
        <f>IFERROR(IF(AZ483&lt;($AM$11-$AL$11)/($AN$11-$AL$11),$AL$11+SQRT(AZ483*($AN$11-$AL$11)*($AM$11-$AL$11)),$AN$11-SQRT((1-AZ483)*($AN$11-$AL$11)*($AN$11-$AM$11))),$AM$11)</f>
        <v/>
      </c>
      <c r="AR483">
        <f>SUMPRODUCT((B24:B31&lt;=$B$6)*(C24:C31*AM483+D24:D31*AO483*$B$8*AQ483)/(1+AL483/100)^B24:B31)+C32*AM483*AP483/(1+AL483/100)^$B$6</f>
        <v/>
      </c>
      <c r="AS483">
        <f>SUMPRODUCT((K24:K26&lt;=$B$6)*(L24:L26*AN483+M24:M26*AO483*$B$8*AQ483)/(1+AL483/100)^K24:K26)+L27*AN483*AP483/(1+AL483/100)^$B$6</f>
        <v/>
      </c>
      <c r="AT483">
        <f>AS483-AR483</f>
        <v/>
      </c>
      <c r="AU483">
        <f>RAND()</f>
        <v/>
      </c>
      <c r="AV483">
        <f>RAND()</f>
        <v/>
      </c>
      <c r="AW483">
        <f>RAND()</f>
        <v/>
      </c>
      <c r="AX483">
        <f>RAND()</f>
        <v/>
      </c>
      <c r="AY483">
        <f>RAND()</f>
        <v/>
      </c>
      <c r="AZ483">
        <f>RAND()</f>
        <v/>
      </c>
    </row>
    <row r="484">
      <c r="AK484" t="n">
        <v>471</v>
      </c>
      <c r="AL484">
        <f>IFERROR(IF(AU484&lt;($AM$6-$AL$6)/($AN$6-$AL$6),$AL$6+SQRT(AU484*($AN$6-$AL$6)*($AM$6-$AL$6)),$AN$6-SQRT((1-AU484)*($AN$6-$AL$6)*($AN$6-$AM$6))),$AM$6)</f>
        <v/>
      </c>
      <c r="AM484">
        <f>IFERROR(IF(AV484&lt;($AM$7-$AL$7)/($AN$7-$AL$7),$AL$7+SQRT(AV484*($AN$7-$AL$7)*($AM$7-$AL$7)),$AN$7-SQRT((1-AV484)*($AN$7-$AL$7)*($AN$7-$AM$7))),$AM$7)</f>
        <v/>
      </c>
      <c r="AN484">
        <f>IFERROR(IF(AW484&lt;($AM$8-$AL$8)/($AN$8-$AL$8),$AL$8+SQRT(AW484*($AN$8-$AL$8)*($AM$8-$AL$8)),$AN$8-SQRT((1-AW484)*($AN$8-$AL$8)*($AN$8-$AM$8))),$AM$8)</f>
        <v/>
      </c>
      <c r="AO484">
        <f>IFERROR(IF(AX484&lt;($AM$9-$AL$9)/($AN$9-$AL$9),$AL$9+SQRT(AX484*($AN$9-$AL$9)*($AM$9-$AL$9)),$AN$9-SQRT((1-AX484)*($AN$9-$AL$9)*($AN$9-$AM$9))),$AM$9)</f>
        <v/>
      </c>
      <c r="AP484">
        <f>IFERROR(IF(AY484&lt;($AM$10-$AL$10)/($AN$10-$AL$10),$AL$10+SQRT(AY484*($AN$10-$AL$10)*($AM$10-$AL$10)),$AN$10-SQRT((1-AY484)*($AN$10-$AL$10)*($AN$10-$AM$10))),$AM$10)</f>
        <v/>
      </c>
      <c r="AQ484">
        <f>IFERROR(IF(AZ484&lt;($AM$11-$AL$11)/($AN$11-$AL$11),$AL$11+SQRT(AZ484*($AN$11-$AL$11)*($AM$11-$AL$11)),$AN$11-SQRT((1-AZ484)*($AN$11-$AL$11)*($AN$11-$AM$11))),$AM$11)</f>
        <v/>
      </c>
      <c r="AR484">
        <f>SUMPRODUCT((B24:B31&lt;=$B$6)*(C24:C31*AM484+D24:D31*AO484*$B$8*AQ484)/(1+AL484/100)^B24:B31)+C32*AM484*AP484/(1+AL484/100)^$B$6</f>
        <v/>
      </c>
      <c r="AS484">
        <f>SUMPRODUCT((K24:K26&lt;=$B$6)*(L24:L26*AN484+M24:M26*AO484*$B$8*AQ484)/(1+AL484/100)^K24:K26)+L27*AN484*AP484/(1+AL484/100)^$B$6</f>
        <v/>
      </c>
      <c r="AT484">
        <f>AS484-AR484</f>
        <v/>
      </c>
      <c r="AU484">
        <f>RAND()</f>
        <v/>
      </c>
      <c r="AV484">
        <f>RAND()</f>
        <v/>
      </c>
      <c r="AW484">
        <f>RAND()</f>
        <v/>
      </c>
      <c r="AX484">
        <f>RAND()</f>
        <v/>
      </c>
      <c r="AY484">
        <f>RAND()</f>
        <v/>
      </c>
      <c r="AZ484">
        <f>RAND()</f>
        <v/>
      </c>
    </row>
    <row r="485">
      <c r="AK485" t="n">
        <v>472</v>
      </c>
      <c r="AL485">
        <f>IFERROR(IF(AU485&lt;($AM$6-$AL$6)/($AN$6-$AL$6),$AL$6+SQRT(AU485*($AN$6-$AL$6)*($AM$6-$AL$6)),$AN$6-SQRT((1-AU485)*($AN$6-$AL$6)*($AN$6-$AM$6))),$AM$6)</f>
        <v/>
      </c>
      <c r="AM485">
        <f>IFERROR(IF(AV485&lt;($AM$7-$AL$7)/($AN$7-$AL$7),$AL$7+SQRT(AV485*($AN$7-$AL$7)*($AM$7-$AL$7)),$AN$7-SQRT((1-AV485)*($AN$7-$AL$7)*($AN$7-$AM$7))),$AM$7)</f>
        <v/>
      </c>
      <c r="AN485">
        <f>IFERROR(IF(AW485&lt;($AM$8-$AL$8)/($AN$8-$AL$8),$AL$8+SQRT(AW485*($AN$8-$AL$8)*($AM$8-$AL$8)),$AN$8-SQRT((1-AW485)*($AN$8-$AL$8)*($AN$8-$AM$8))),$AM$8)</f>
        <v/>
      </c>
      <c r="AO485">
        <f>IFERROR(IF(AX485&lt;($AM$9-$AL$9)/($AN$9-$AL$9),$AL$9+SQRT(AX485*($AN$9-$AL$9)*($AM$9-$AL$9)),$AN$9-SQRT((1-AX485)*($AN$9-$AL$9)*($AN$9-$AM$9))),$AM$9)</f>
        <v/>
      </c>
      <c r="AP485">
        <f>IFERROR(IF(AY485&lt;($AM$10-$AL$10)/($AN$10-$AL$10),$AL$10+SQRT(AY485*($AN$10-$AL$10)*($AM$10-$AL$10)),$AN$10-SQRT((1-AY485)*($AN$10-$AL$10)*($AN$10-$AM$10))),$AM$10)</f>
        <v/>
      </c>
      <c r="AQ485">
        <f>IFERROR(IF(AZ485&lt;($AM$11-$AL$11)/($AN$11-$AL$11),$AL$11+SQRT(AZ485*($AN$11-$AL$11)*($AM$11-$AL$11)),$AN$11-SQRT((1-AZ485)*($AN$11-$AL$11)*($AN$11-$AM$11))),$AM$11)</f>
        <v/>
      </c>
      <c r="AR485">
        <f>SUMPRODUCT((B24:B31&lt;=$B$6)*(C24:C31*AM485+D24:D31*AO485*$B$8*AQ485)/(1+AL485/100)^B24:B31)+C32*AM485*AP485/(1+AL485/100)^$B$6</f>
        <v/>
      </c>
      <c r="AS485">
        <f>SUMPRODUCT((K24:K26&lt;=$B$6)*(L24:L26*AN485+M24:M26*AO485*$B$8*AQ485)/(1+AL485/100)^K24:K26)+L27*AN485*AP485/(1+AL485/100)^$B$6</f>
        <v/>
      </c>
      <c r="AT485">
        <f>AS485-AR485</f>
        <v/>
      </c>
      <c r="AU485">
        <f>RAND()</f>
        <v/>
      </c>
      <c r="AV485">
        <f>RAND()</f>
        <v/>
      </c>
      <c r="AW485">
        <f>RAND()</f>
        <v/>
      </c>
      <c r="AX485">
        <f>RAND()</f>
        <v/>
      </c>
      <c r="AY485">
        <f>RAND()</f>
        <v/>
      </c>
      <c r="AZ485">
        <f>RAND()</f>
        <v/>
      </c>
    </row>
    <row r="486">
      <c r="AK486" t="n">
        <v>473</v>
      </c>
      <c r="AL486">
        <f>IFERROR(IF(AU486&lt;($AM$6-$AL$6)/($AN$6-$AL$6),$AL$6+SQRT(AU486*($AN$6-$AL$6)*($AM$6-$AL$6)),$AN$6-SQRT((1-AU486)*($AN$6-$AL$6)*($AN$6-$AM$6))),$AM$6)</f>
        <v/>
      </c>
      <c r="AM486">
        <f>IFERROR(IF(AV486&lt;($AM$7-$AL$7)/($AN$7-$AL$7),$AL$7+SQRT(AV486*($AN$7-$AL$7)*($AM$7-$AL$7)),$AN$7-SQRT((1-AV486)*($AN$7-$AL$7)*($AN$7-$AM$7))),$AM$7)</f>
        <v/>
      </c>
      <c r="AN486">
        <f>IFERROR(IF(AW486&lt;($AM$8-$AL$8)/($AN$8-$AL$8),$AL$8+SQRT(AW486*($AN$8-$AL$8)*($AM$8-$AL$8)),$AN$8-SQRT((1-AW486)*($AN$8-$AL$8)*($AN$8-$AM$8))),$AM$8)</f>
        <v/>
      </c>
      <c r="AO486">
        <f>IFERROR(IF(AX486&lt;($AM$9-$AL$9)/($AN$9-$AL$9),$AL$9+SQRT(AX486*($AN$9-$AL$9)*($AM$9-$AL$9)),$AN$9-SQRT((1-AX486)*($AN$9-$AL$9)*($AN$9-$AM$9))),$AM$9)</f>
        <v/>
      </c>
      <c r="AP486">
        <f>IFERROR(IF(AY486&lt;($AM$10-$AL$10)/($AN$10-$AL$10),$AL$10+SQRT(AY486*($AN$10-$AL$10)*($AM$10-$AL$10)),$AN$10-SQRT((1-AY486)*($AN$10-$AL$10)*($AN$10-$AM$10))),$AM$10)</f>
        <v/>
      </c>
      <c r="AQ486">
        <f>IFERROR(IF(AZ486&lt;($AM$11-$AL$11)/($AN$11-$AL$11),$AL$11+SQRT(AZ486*($AN$11-$AL$11)*($AM$11-$AL$11)),$AN$11-SQRT((1-AZ486)*($AN$11-$AL$11)*($AN$11-$AM$11))),$AM$11)</f>
        <v/>
      </c>
      <c r="AR486">
        <f>SUMPRODUCT((B24:B31&lt;=$B$6)*(C24:C31*AM486+D24:D31*AO486*$B$8*AQ486)/(1+AL486/100)^B24:B31)+C32*AM486*AP486/(1+AL486/100)^$B$6</f>
        <v/>
      </c>
      <c r="AS486">
        <f>SUMPRODUCT((K24:K26&lt;=$B$6)*(L24:L26*AN486+M24:M26*AO486*$B$8*AQ486)/(1+AL486/100)^K24:K26)+L27*AN486*AP486/(1+AL486/100)^$B$6</f>
        <v/>
      </c>
      <c r="AT486">
        <f>AS486-AR486</f>
        <v/>
      </c>
      <c r="AU486">
        <f>RAND()</f>
        <v/>
      </c>
      <c r="AV486">
        <f>RAND()</f>
        <v/>
      </c>
      <c r="AW486">
        <f>RAND()</f>
        <v/>
      </c>
      <c r="AX486">
        <f>RAND()</f>
        <v/>
      </c>
      <c r="AY486">
        <f>RAND()</f>
        <v/>
      </c>
      <c r="AZ486">
        <f>RAND()</f>
        <v/>
      </c>
    </row>
    <row r="487">
      <c r="AK487" t="n">
        <v>474</v>
      </c>
      <c r="AL487">
        <f>IFERROR(IF(AU487&lt;($AM$6-$AL$6)/($AN$6-$AL$6),$AL$6+SQRT(AU487*($AN$6-$AL$6)*($AM$6-$AL$6)),$AN$6-SQRT((1-AU487)*($AN$6-$AL$6)*($AN$6-$AM$6))),$AM$6)</f>
        <v/>
      </c>
      <c r="AM487">
        <f>IFERROR(IF(AV487&lt;($AM$7-$AL$7)/($AN$7-$AL$7),$AL$7+SQRT(AV487*($AN$7-$AL$7)*($AM$7-$AL$7)),$AN$7-SQRT((1-AV487)*($AN$7-$AL$7)*($AN$7-$AM$7))),$AM$7)</f>
        <v/>
      </c>
      <c r="AN487">
        <f>IFERROR(IF(AW487&lt;($AM$8-$AL$8)/($AN$8-$AL$8),$AL$8+SQRT(AW487*($AN$8-$AL$8)*($AM$8-$AL$8)),$AN$8-SQRT((1-AW487)*($AN$8-$AL$8)*($AN$8-$AM$8))),$AM$8)</f>
        <v/>
      </c>
      <c r="AO487">
        <f>IFERROR(IF(AX487&lt;($AM$9-$AL$9)/($AN$9-$AL$9),$AL$9+SQRT(AX487*($AN$9-$AL$9)*($AM$9-$AL$9)),$AN$9-SQRT((1-AX487)*($AN$9-$AL$9)*($AN$9-$AM$9))),$AM$9)</f>
        <v/>
      </c>
      <c r="AP487">
        <f>IFERROR(IF(AY487&lt;($AM$10-$AL$10)/($AN$10-$AL$10),$AL$10+SQRT(AY487*($AN$10-$AL$10)*($AM$10-$AL$10)),$AN$10-SQRT((1-AY487)*($AN$10-$AL$10)*($AN$10-$AM$10))),$AM$10)</f>
        <v/>
      </c>
      <c r="AQ487">
        <f>IFERROR(IF(AZ487&lt;($AM$11-$AL$11)/($AN$11-$AL$11),$AL$11+SQRT(AZ487*($AN$11-$AL$11)*($AM$11-$AL$11)),$AN$11-SQRT((1-AZ487)*($AN$11-$AL$11)*($AN$11-$AM$11))),$AM$11)</f>
        <v/>
      </c>
      <c r="AR487">
        <f>SUMPRODUCT((B24:B31&lt;=$B$6)*(C24:C31*AM487+D24:D31*AO487*$B$8*AQ487)/(1+AL487/100)^B24:B31)+C32*AM487*AP487/(1+AL487/100)^$B$6</f>
        <v/>
      </c>
      <c r="AS487">
        <f>SUMPRODUCT((K24:K26&lt;=$B$6)*(L24:L26*AN487+M24:M26*AO487*$B$8*AQ487)/(1+AL487/100)^K24:K26)+L27*AN487*AP487/(1+AL487/100)^$B$6</f>
        <v/>
      </c>
      <c r="AT487">
        <f>AS487-AR487</f>
        <v/>
      </c>
      <c r="AU487">
        <f>RAND()</f>
        <v/>
      </c>
      <c r="AV487">
        <f>RAND()</f>
        <v/>
      </c>
      <c r="AW487">
        <f>RAND()</f>
        <v/>
      </c>
      <c r="AX487">
        <f>RAND()</f>
        <v/>
      </c>
      <c r="AY487">
        <f>RAND()</f>
        <v/>
      </c>
      <c r="AZ487">
        <f>RAND()</f>
        <v/>
      </c>
    </row>
    <row r="488">
      <c r="AK488" t="n">
        <v>475</v>
      </c>
      <c r="AL488">
        <f>IFERROR(IF(AU488&lt;($AM$6-$AL$6)/($AN$6-$AL$6),$AL$6+SQRT(AU488*($AN$6-$AL$6)*($AM$6-$AL$6)),$AN$6-SQRT((1-AU488)*($AN$6-$AL$6)*($AN$6-$AM$6))),$AM$6)</f>
        <v/>
      </c>
      <c r="AM488">
        <f>IFERROR(IF(AV488&lt;($AM$7-$AL$7)/($AN$7-$AL$7),$AL$7+SQRT(AV488*($AN$7-$AL$7)*($AM$7-$AL$7)),$AN$7-SQRT((1-AV488)*($AN$7-$AL$7)*($AN$7-$AM$7))),$AM$7)</f>
        <v/>
      </c>
      <c r="AN488">
        <f>IFERROR(IF(AW488&lt;($AM$8-$AL$8)/($AN$8-$AL$8),$AL$8+SQRT(AW488*($AN$8-$AL$8)*($AM$8-$AL$8)),$AN$8-SQRT((1-AW488)*($AN$8-$AL$8)*($AN$8-$AM$8))),$AM$8)</f>
        <v/>
      </c>
      <c r="AO488">
        <f>IFERROR(IF(AX488&lt;($AM$9-$AL$9)/($AN$9-$AL$9),$AL$9+SQRT(AX488*($AN$9-$AL$9)*($AM$9-$AL$9)),$AN$9-SQRT((1-AX488)*($AN$9-$AL$9)*($AN$9-$AM$9))),$AM$9)</f>
        <v/>
      </c>
      <c r="AP488">
        <f>IFERROR(IF(AY488&lt;($AM$10-$AL$10)/($AN$10-$AL$10),$AL$10+SQRT(AY488*($AN$10-$AL$10)*($AM$10-$AL$10)),$AN$10-SQRT((1-AY488)*($AN$10-$AL$10)*($AN$10-$AM$10))),$AM$10)</f>
        <v/>
      </c>
      <c r="AQ488">
        <f>IFERROR(IF(AZ488&lt;($AM$11-$AL$11)/($AN$11-$AL$11),$AL$11+SQRT(AZ488*($AN$11-$AL$11)*($AM$11-$AL$11)),$AN$11-SQRT((1-AZ488)*($AN$11-$AL$11)*($AN$11-$AM$11))),$AM$11)</f>
        <v/>
      </c>
      <c r="AR488">
        <f>SUMPRODUCT((B24:B31&lt;=$B$6)*(C24:C31*AM488+D24:D31*AO488*$B$8*AQ488)/(1+AL488/100)^B24:B31)+C32*AM488*AP488/(1+AL488/100)^$B$6</f>
        <v/>
      </c>
      <c r="AS488">
        <f>SUMPRODUCT((K24:K26&lt;=$B$6)*(L24:L26*AN488+M24:M26*AO488*$B$8*AQ488)/(1+AL488/100)^K24:K26)+L27*AN488*AP488/(1+AL488/100)^$B$6</f>
        <v/>
      </c>
      <c r="AT488">
        <f>AS488-AR488</f>
        <v/>
      </c>
      <c r="AU488">
        <f>RAND()</f>
        <v/>
      </c>
      <c r="AV488">
        <f>RAND()</f>
        <v/>
      </c>
      <c r="AW488">
        <f>RAND()</f>
        <v/>
      </c>
      <c r="AX488">
        <f>RAND()</f>
        <v/>
      </c>
      <c r="AY488">
        <f>RAND()</f>
        <v/>
      </c>
      <c r="AZ488">
        <f>RAND()</f>
        <v/>
      </c>
    </row>
    <row r="489">
      <c r="AK489" t="n">
        <v>476</v>
      </c>
      <c r="AL489">
        <f>IFERROR(IF(AU489&lt;($AM$6-$AL$6)/($AN$6-$AL$6),$AL$6+SQRT(AU489*($AN$6-$AL$6)*($AM$6-$AL$6)),$AN$6-SQRT((1-AU489)*($AN$6-$AL$6)*($AN$6-$AM$6))),$AM$6)</f>
        <v/>
      </c>
      <c r="AM489">
        <f>IFERROR(IF(AV489&lt;($AM$7-$AL$7)/($AN$7-$AL$7),$AL$7+SQRT(AV489*($AN$7-$AL$7)*($AM$7-$AL$7)),$AN$7-SQRT((1-AV489)*($AN$7-$AL$7)*($AN$7-$AM$7))),$AM$7)</f>
        <v/>
      </c>
      <c r="AN489">
        <f>IFERROR(IF(AW489&lt;($AM$8-$AL$8)/($AN$8-$AL$8),$AL$8+SQRT(AW489*($AN$8-$AL$8)*($AM$8-$AL$8)),$AN$8-SQRT((1-AW489)*($AN$8-$AL$8)*($AN$8-$AM$8))),$AM$8)</f>
        <v/>
      </c>
      <c r="AO489">
        <f>IFERROR(IF(AX489&lt;($AM$9-$AL$9)/($AN$9-$AL$9),$AL$9+SQRT(AX489*($AN$9-$AL$9)*($AM$9-$AL$9)),$AN$9-SQRT((1-AX489)*($AN$9-$AL$9)*($AN$9-$AM$9))),$AM$9)</f>
        <v/>
      </c>
      <c r="AP489">
        <f>IFERROR(IF(AY489&lt;($AM$10-$AL$10)/($AN$10-$AL$10),$AL$10+SQRT(AY489*($AN$10-$AL$10)*($AM$10-$AL$10)),$AN$10-SQRT((1-AY489)*($AN$10-$AL$10)*($AN$10-$AM$10))),$AM$10)</f>
        <v/>
      </c>
      <c r="AQ489">
        <f>IFERROR(IF(AZ489&lt;($AM$11-$AL$11)/($AN$11-$AL$11),$AL$11+SQRT(AZ489*($AN$11-$AL$11)*($AM$11-$AL$11)),$AN$11-SQRT((1-AZ489)*($AN$11-$AL$11)*($AN$11-$AM$11))),$AM$11)</f>
        <v/>
      </c>
      <c r="AR489">
        <f>SUMPRODUCT((B24:B31&lt;=$B$6)*(C24:C31*AM489+D24:D31*AO489*$B$8*AQ489)/(1+AL489/100)^B24:B31)+C32*AM489*AP489/(1+AL489/100)^$B$6</f>
        <v/>
      </c>
      <c r="AS489">
        <f>SUMPRODUCT((K24:K26&lt;=$B$6)*(L24:L26*AN489+M24:M26*AO489*$B$8*AQ489)/(1+AL489/100)^K24:K26)+L27*AN489*AP489/(1+AL489/100)^$B$6</f>
        <v/>
      </c>
      <c r="AT489">
        <f>AS489-AR489</f>
        <v/>
      </c>
      <c r="AU489">
        <f>RAND()</f>
        <v/>
      </c>
      <c r="AV489">
        <f>RAND()</f>
        <v/>
      </c>
      <c r="AW489">
        <f>RAND()</f>
        <v/>
      </c>
      <c r="AX489">
        <f>RAND()</f>
        <v/>
      </c>
      <c r="AY489">
        <f>RAND()</f>
        <v/>
      </c>
      <c r="AZ489">
        <f>RAND()</f>
        <v/>
      </c>
    </row>
    <row r="490">
      <c r="AK490" t="n">
        <v>477</v>
      </c>
      <c r="AL490">
        <f>IFERROR(IF(AU490&lt;($AM$6-$AL$6)/($AN$6-$AL$6),$AL$6+SQRT(AU490*($AN$6-$AL$6)*($AM$6-$AL$6)),$AN$6-SQRT((1-AU490)*($AN$6-$AL$6)*($AN$6-$AM$6))),$AM$6)</f>
        <v/>
      </c>
      <c r="AM490">
        <f>IFERROR(IF(AV490&lt;($AM$7-$AL$7)/($AN$7-$AL$7),$AL$7+SQRT(AV490*($AN$7-$AL$7)*($AM$7-$AL$7)),$AN$7-SQRT((1-AV490)*($AN$7-$AL$7)*($AN$7-$AM$7))),$AM$7)</f>
        <v/>
      </c>
      <c r="AN490">
        <f>IFERROR(IF(AW490&lt;($AM$8-$AL$8)/($AN$8-$AL$8),$AL$8+SQRT(AW490*($AN$8-$AL$8)*($AM$8-$AL$8)),$AN$8-SQRT((1-AW490)*($AN$8-$AL$8)*($AN$8-$AM$8))),$AM$8)</f>
        <v/>
      </c>
      <c r="AO490">
        <f>IFERROR(IF(AX490&lt;($AM$9-$AL$9)/($AN$9-$AL$9),$AL$9+SQRT(AX490*($AN$9-$AL$9)*($AM$9-$AL$9)),$AN$9-SQRT((1-AX490)*($AN$9-$AL$9)*($AN$9-$AM$9))),$AM$9)</f>
        <v/>
      </c>
      <c r="AP490">
        <f>IFERROR(IF(AY490&lt;($AM$10-$AL$10)/($AN$10-$AL$10),$AL$10+SQRT(AY490*($AN$10-$AL$10)*($AM$10-$AL$10)),$AN$10-SQRT((1-AY490)*($AN$10-$AL$10)*($AN$10-$AM$10))),$AM$10)</f>
        <v/>
      </c>
      <c r="AQ490">
        <f>IFERROR(IF(AZ490&lt;($AM$11-$AL$11)/($AN$11-$AL$11),$AL$11+SQRT(AZ490*($AN$11-$AL$11)*($AM$11-$AL$11)),$AN$11-SQRT((1-AZ490)*($AN$11-$AL$11)*($AN$11-$AM$11))),$AM$11)</f>
        <v/>
      </c>
      <c r="AR490">
        <f>SUMPRODUCT((B24:B31&lt;=$B$6)*(C24:C31*AM490+D24:D31*AO490*$B$8*AQ490)/(1+AL490/100)^B24:B31)+C32*AM490*AP490/(1+AL490/100)^$B$6</f>
        <v/>
      </c>
      <c r="AS490">
        <f>SUMPRODUCT((K24:K26&lt;=$B$6)*(L24:L26*AN490+M24:M26*AO490*$B$8*AQ490)/(1+AL490/100)^K24:K26)+L27*AN490*AP490/(1+AL490/100)^$B$6</f>
        <v/>
      </c>
      <c r="AT490">
        <f>AS490-AR490</f>
        <v/>
      </c>
      <c r="AU490">
        <f>RAND()</f>
        <v/>
      </c>
      <c r="AV490">
        <f>RAND()</f>
        <v/>
      </c>
      <c r="AW490">
        <f>RAND()</f>
        <v/>
      </c>
      <c r="AX490">
        <f>RAND()</f>
        <v/>
      </c>
      <c r="AY490">
        <f>RAND()</f>
        <v/>
      </c>
      <c r="AZ490">
        <f>RAND()</f>
        <v/>
      </c>
    </row>
    <row r="491">
      <c r="AK491" t="n">
        <v>478</v>
      </c>
      <c r="AL491">
        <f>IFERROR(IF(AU491&lt;($AM$6-$AL$6)/($AN$6-$AL$6),$AL$6+SQRT(AU491*($AN$6-$AL$6)*($AM$6-$AL$6)),$AN$6-SQRT((1-AU491)*($AN$6-$AL$6)*($AN$6-$AM$6))),$AM$6)</f>
        <v/>
      </c>
      <c r="AM491">
        <f>IFERROR(IF(AV491&lt;($AM$7-$AL$7)/($AN$7-$AL$7),$AL$7+SQRT(AV491*($AN$7-$AL$7)*($AM$7-$AL$7)),$AN$7-SQRT((1-AV491)*($AN$7-$AL$7)*($AN$7-$AM$7))),$AM$7)</f>
        <v/>
      </c>
      <c r="AN491">
        <f>IFERROR(IF(AW491&lt;($AM$8-$AL$8)/($AN$8-$AL$8),$AL$8+SQRT(AW491*($AN$8-$AL$8)*($AM$8-$AL$8)),$AN$8-SQRT((1-AW491)*($AN$8-$AL$8)*($AN$8-$AM$8))),$AM$8)</f>
        <v/>
      </c>
      <c r="AO491">
        <f>IFERROR(IF(AX491&lt;($AM$9-$AL$9)/($AN$9-$AL$9),$AL$9+SQRT(AX491*($AN$9-$AL$9)*($AM$9-$AL$9)),$AN$9-SQRT((1-AX491)*($AN$9-$AL$9)*($AN$9-$AM$9))),$AM$9)</f>
        <v/>
      </c>
      <c r="AP491">
        <f>IFERROR(IF(AY491&lt;($AM$10-$AL$10)/($AN$10-$AL$10),$AL$10+SQRT(AY491*($AN$10-$AL$10)*($AM$10-$AL$10)),$AN$10-SQRT((1-AY491)*($AN$10-$AL$10)*($AN$10-$AM$10))),$AM$10)</f>
        <v/>
      </c>
      <c r="AQ491">
        <f>IFERROR(IF(AZ491&lt;($AM$11-$AL$11)/($AN$11-$AL$11),$AL$11+SQRT(AZ491*($AN$11-$AL$11)*($AM$11-$AL$11)),$AN$11-SQRT((1-AZ491)*($AN$11-$AL$11)*($AN$11-$AM$11))),$AM$11)</f>
        <v/>
      </c>
      <c r="AR491">
        <f>SUMPRODUCT((B24:B31&lt;=$B$6)*(C24:C31*AM491+D24:D31*AO491*$B$8*AQ491)/(1+AL491/100)^B24:B31)+C32*AM491*AP491/(1+AL491/100)^$B$6</f>
        <v/>
      </c>
      <c r="AS491">
        <f>SUMPRODUCT((K24:K26&lt;=$B$6)*(L24:L26*AN491+M24:M26*AO491*$B$8*AQ491)/(1+AL491/100)^K24:K26)+L27*AN491*AP491/(1+AL491/100)^$B$6</f>
        <v/>
      </c>
      <c r="AT491">
        <f>AS491-AR491</f>
        <v/>
      </c>
      <c r="AU491">
        <f>RAND()</f>
        <v/>
      </c>
      <c r="AV491">
        <f>RAND()</f>
        <v/>
      </c>
      <c r="AW491">
        <f>RAND()</f>
        <v/>
      </c>
      <c r="AX491">
        <f>RAND()</f>
        <v/>
      </c>
      <c r="AY491">
        <f>RAND()</f>
        <v/>
      </c>
      <c r="AZ491">
        <f>RAND()</f>
        <v/>
      </c>
    </row>
    <row r="492">
      <c r="AK492" t="n">
        <v>479</v>
      </c>
      <c r="AL492">
        <f>IFERROR(IF(AU492&lt;($AM$6-$AL$6)/($AN$6-$AL$6),$AL$6+SQRT(AU492*($AN$6-$AL$6)*($AM$6-$AL$6)),$AN$6-SQRT((1-AU492)*($AN$6-$AL$6)*($AN$6-$AM$6))),$AM$6)</f>
        <v/>
      </c>
      <c r="AM492">
        <f>IFERROR(IF(AV492&lt;($AM$7-$AL$7)/($AN$7-$AL$7),$AL$7+SQRT(AV492*($AN$7-$AL$7)*($AM$7-$AL$7)),$AN$7-SQRT((1-AV492)*($AN$7-$AL$7)*($AN$7-$AM$7))),$AM$7)</f>
        <v/>
      </c>
      <c r="AN492">
        <f>IFERROR(IF(AW492&lt;($AM$8-$AL$8)/($AN$8-$AL$8),$AL$8+SQRT(AW492*($AN$8-$AL$8)*($AM$8-$AL$8)),$AN$8-SQRT((1-AW492)*($AN$8-$AL$8)*($AN$8-$AM$8))),$AM$8)</f>
        <v/>
      </c>
      <c r="AO492">
        <f>IFERROR(IF(AX492&lt;($AM$9-$AL$9)/($AN$9-$AL$9),$AL$9+SQRT(AX492*($AN$9-$AL$9)*($AM$9-$AL$9)),$AN$9-SQRT((1-AX492)*($AN$9-$AL$9)*($AN$9-$AM$9))),$AM$9)</f>
        <v/>
      </c>
      <c r="AP492">
        <f>IFERROR(IF(AY492&lt;($AM$10-$AL$10)/($AN$10-$AL$10),$AL$10+SQRT(AY492*($AN$10-$AL$10)*($AM$10-$AL$10)),$AN$10-SQRT((1-AY492)*($AN$10-$AL$10)*($AN$10-$AM$10))),$AM$10)</f>
        <v/>
      </c>
      <c r="AQ492">
        <f>IFERROR(IF(AZ492&lt;($AM$11-$AL$11)/($AN$11-$AL$11),$AL$11+SQRT(AZ492*($AN$11-$AL$11)*($AM$11-$AL$11)),$AN$11-SQRT((1-AZ492)*($AN$11-$AL$11)*($AN$11-$AM$11))),$AM$11)</f>
        <v/>
      </c>
      <c r="AR492">
        <f>SUMPRODUCT((B24:B31&lt;=$B$6)*(C24:C31*AM492+D24:D31*AO492*$B$8*AQ492)/(1+AL492/100)^B24:B31)+C32*AM492*AP492/(1+AL492/100)^$B$6</f>
        <v/>
      </c>
      <c r="AS492">
        <f>SUMPRODUCT((K24:K26&lt;=$B$6)*(L24:L26*AN492+M24:M26*AO492*$B$8*AQ492)/(1+AL492/100)^K24:K26)+L27*AN492*AP492/(1+AL492/100)^$B$6</f>
        <v/>
      </c>
      <c r="AT492">
        <f>AS492-AR492</f>
        <v/>
      </c>
      <c r="AU492">
        <f>RAND()</f>
        <v/>
      </c>
      <c r="AV492">
        <f>RAND()</f>
        <v/>
      </c>
      <c r="AW492">
        <f>RAND()</f>
        <v/>
      </c>
      <c r="AX492">
        <f>RAND()</f>
        <v/>
      </c>
      <c r="AY492">
        <f>RAND()</f>
        <v/>
      </c>
      <c r="AZ492">
        <f>RAND()</f>
        <v/>
      </c>
    </row>
    <row r="493">
      <c r="AK493" t="n">
        <v>480</v>
      </c>
      <c r="AL493">
        <f>IFERROR(IF(AU493&lt;($AM$6-$AL$6)/($AN$6-$AL$6),$AL$6+SQRT(AU493*($AN$6-$AL$6)*($AM$6-$AL$6)),$AN$6-SQRT((1-AU493)*($AN$6-$AL$6)*($AN$6-$AM$6))),$AM$6)</f>
        <v/>
      </c>
      <c r="AM493">
        <f>IFERROR(IF(AV493&lt;($AM$7-$AL$7)/($AN$7-$AL$7),$AL$7+SQRT(AV493*($AN$7-$AL$7)*($AM$7-$AL$7)),$AN$7-SQRT((1-AV493)*($AN$7-$AL$7)*($AN$7-$AM$7))),$AM$7)</f>
        <v/>
      </c>
      <c r="AN493">
        <f>IFERROR(IF(AW493&lt;($AM$8-$AL$8)/($AN$8-$AL$8),$AL$8+SQRT(AW493*($AN$8-$AL$8)*($AM$8-$AL$8)),$AN$8-SQRT((1-AW493)*($AN$8-$AL$8)*($AN$8-$AM$8))),$AM$8)</f>
        <v/>
      </c>
      <c r="AO493">
        <f>IFERROR(IF(AX493&lt;($AM$9-$AL$9)/($AN$9-$AL$9),$AL$9+SQRT(AX493*($AN$9-$AL$9)*($AM$9-$AL$9)),$AN$9-SQRT((1-AX493)*($AN$9-$AL$9)*($AN$9-$AM$9))),$AM$9)</f>
        <v/>
      </c>
      <c r="AP493">
        <f>IFERROR(IF(AY493&lt;($AM$10-$AL$10)/($AN$10-$AL$10),$AL$10+SQRT(AY493*($AN$10-$AL$10)*($AM$10-$AL$10)),$AN$10-SQRT((1-AY493)*($AN$10-$AL$10)*($AN$10-$AM$10))),$AM$10)</f>
        <v/>
      </c>
      <c r="AQ493">
        <f>IFERROR(IF(AZ493&lt;($AM$11-$AL$11)/($AN$11-$AL$11),$AL$11+SQRT(AZ493*($AN$11-$AL$11)*($AM$11-$AL$11)),$AN$11-SQRT((1-AZ493)*($AN$11-$AL$11)*($AN$11-$AM$11))),$AM$11)</f>
        <v/>
      </c>
      <c r="AR493">
        <f>SUMPRODUCT((B24:B31&lt;=$B$6)*(C24:C31*AM493+D24:D31*AO493*$B$8*AQ493)/(1+AL493/100)^B24:B31)+C32*AM493*AP493/(1+AL493/100)^$B$6</f>
        <v/>
      </c>
      <c r="AS493">
        <f>SUMPRODUCT((K24:K26&lt;=$B$6)*(L24:L26*AN493+M24:M26*AO493*$B$8*AQ493)/(1+AL493/100)^K24:K26)+L27*AN493*AP493/(1+AL493/100)^$B$6</f>
        <v/>
      </c>
      <c r="AT493">
        <f>AS493-AR493</f>
        <v/>
      </c>
      <c r="AU493">
        <f>RAND()</f>
        <v/>
      </c>
      <c r="AV493">
        <f>RAND()</f>
        <v/>
      </c>
      <c r="AW493">
        <f>RAND()</f>
        <v/>
      </c>
      <c r="AX493">
        <f>RAND()</f>
        <v/>
      </c>
      <c r="AY493">
        <f>RAND()</f>
        <v/>
      </c>
      <c r="AZ493">
        <f>RAND()</f>
        <v/>
      </c>
    </row>
    <row r="494">
      <c r="AK494" t="n">
        <v>481</v>
      </c>
      <c r="AL494">
        <f>IFERROR(IF(AU494&lt;($AM$6-$AL$6)/($AN$6-$AL$6),$AL$6+SQRT(AU494*($AN$6-$AL$6)*($AM$6-$AL$6)),$AN$6-SQRT((1-AU494)*($AN$6-$AL$6)*($AN$6-$AM$6))),$AM$6)</f>
        <v/>
      </c>
      <c r="AM494">
        <f>IFERROR(IF(AV494&lt;($AM$7-$AL$7)/($AN$7-$AL$7),$AL$7+SQRT(AV494*($AN$7-$AL$7)*($AM$7-$AL$7)),$AN$7-SQRT((1-AV494)*($AN$7-$AL$7)*($AN$7-$AM$7))),$AM$7)</f>
        <v/>
      </c>
      <c r="AN494">
        <f>IFERROR(IF(AW494&lt;($AM$8-$AL$8)/($AN$8-$AL$8),$AL$8+SQRT(AW494*($AN$8-$AL$8)*($AM$8-$AL$8)),$AN$8-SQRT((1-AW494)*($AN$8-$AL$8)*($AN$8-$AM$8))),$AM$8)</f>
        <v/>
      </c>
      <c r="AO494">
        <f>IFERROR(IF(AX494&lt;($AM$9-$AL$9)/($AN$9-$AL$9),$AL$9+SQRT(AX494*($AN$9-$AL$9)*($AM$9-$AL$9)),$AN$9-SQRT((1-AX494)*($AN$9-$AL$9)*($AN$9-$AM$9))),$AM$9)</f>
        <v/>
      </c>
      <c r="AP494">
        <f>IFERROR(IF(AY494&lt;($AM$10-$AL$10)/($AN$10-$AL$10),$AL$10+SQRT(AY494*($AN$10-$AL$10)*($AM$10-$AL$10)),$AN$10-SQRT((1-AY494)*($AN$10-$AL$10)*($AN$10-$AM$10))),$AM$10)</f>
        <v/>
      </c>
      <c r="AQ494">
        <f>IFERROR(IF(AZ494&lt;($AM$11-$AL$11)/($AN$11-$AL$11),$AL$11+SQRT(AZ494*($AN$11-$AL$11)*($AM$11-$AL$11)),$AN$11-SQRT((1-AZ494)*($AN$11-$AL$11)*($AN$11-$AM$11))),$AM$11)</f>
        <v/>
      </c>
      <c r="AR494">
        <f>SUMPRODUCT((B24:B31&lt;=$B$6)*(C24:C31*AM494+D24:D31*AO494*$B$8*AQ494)/(1+AL494/100)^B24:B31)+C32*AM494*AP494/(1+AL494/100)^$B$6</f>
        <v/>
      </c>
      <c r="AS494">
        <f>SUMPRODUCT((K24:K26&lt;=$B$6)*(L24:L26*AN494+M24:M26*AO494*$B$8*AQ494)/(1+AL494/100)^K24:K26)+L27*AN494*AP494/(1+AL494/100)^$B$6</f>
        <v/>
      </c>
      <c r="AT494">
        <f>AS494-AR494</f>
        <v/>
      </c>
      <c r="AU494">
        <f>RAND()</f>
        <v/>
      </c>
      <c r="AV494">
        <f>RAND()</f>
        <v/>
      </c>
      <c r="AW494">
        <f>RAND()</f>
        <v/>
      </c>
      <c r="AX494">
        <f>RAND()</f>
        <v/>
      </c>
      <c r="AY494">
        <f>RAND()</f>
        <v/>
      </c>
      <c r="AZ494">
        <f>RAND()</f>
        <v/>
      </c>
    </row>
    <row r="495">
      <c r="AK495" t="n">
        <v>482</v>
      </c>
      <c r="AL495">
        <f>IFERROR(IF(AU495&lt;($AM$6-$AL$6)/($AN$6-$AL$6),$AL$6+SQRT(AU495*($AN$6-$AL$6)*($AM$6-$AL$6)),$AN$6-SQRT((1-AU495)*($AN$6-$AL$6)*($AN$6-$AM$6))),$AM$6)</f>
        <v/>
      </c>
      <c r="AM495">
        <f>IFERROR(IF(AV495&lt;($AM$7-$AL$7)/($AN$7-$AL$7),$AL$7+SQRT(AV495*($AN$7-$AL$7)*($AM$7-$AL$7)),$AN$7-SQRT((1-AV495)*($AN$7-$AL$7)*($AN$7-$AM$7))),$AM$7)</f>
        <v/>
      </c>
      <c r="AN495">
        <f>IFERROR(IF(AW495&lt;($AM$8-$AL$8)/($AN$8-$AL$8),$AL$8+SQRT(AW495*($AN$8-$AL$8)*($AM$8-$AL$8)),$AN$8-SQRT((1-AW495)*($AN$8-$AL$8)*($AN$8-$AM$8))),$AM$8)</f>
        <v/>
      </c>
      <c r="AO495">
        <f>IFERROR(IF(AX495&lt;($AM$9-$AL$9)/($AN$9-$AL$9),$AL$9+SQRT(AX495*($AN$9-$AL$9)*($AM$9-$AL$9)),$AN$9-SQRT((1-AX495)*($AN$9-$AL$9)*($AN$9-$AM$9))),$AM$9)</f>
        <v/>
      </c>
      <c r="AP495">
        <f>IFERROR(IF(AY495&lt;($AM$10-$AL$10)/($AN$10-$AL$10),$AL$10+SQRT(AY495*($AN$10-$AL$10)*($AM$10-$AL$10)),$AN$10-SQRT((1-AY495)*($AN$10-$AL$10)*($AN$10-$AM$10))),$AM$10)</f>
        <v/>
      </c>
      <c r="AQ495">
        <f>IFERROR(IF(AZ495&lt;($AM$11-$AL$11)/($AN$11-$AL$11),$AL$11+SQRT(AZ495*($AN$11-$AL$11)*($AM$11-$AL$11)),$AN$11-SQRT((1-AZ495)*($AN$11-$AL$11)*($AN$11-$AM$11))),$AM$11)</f>
        <v/>
      </c>
      <c r="AR495">
        <f>SUMPRODUCT((B24:B31&lt;=$B$6)*(C24:C31*AM495+D24:D31*AO495*$B$8*AQ495)/(1+AL495/100)^B24:B31)+C32*AM495*AP495/(1+AL495/100)^$B$6</f>
        <v/>
      </c>
      <c r="AS495">
        <f>SUMPRODUCT((K24:K26&lt;=$B$6)*(L24:L26*AN495+M24:M26*AO495*$B$8*AQ495)/(1+AL495/100)^K24:K26)+L27*AN495*AP495/(1+AL495/100)^$B$6</f>
        <v/>
      </c>
      <c r="AT495">
        <f>AS495-AR495</f>
        <v/>
      </c>
      <c r="AU495">
        <f>RAND()</f>
        <v/>
      </c>
      <c r="AV495">
        <f>RAND()</f>
        <v/>
      </c>
      <c r="AW495">
        <f>RAND()</f>
        <v/>
      </c>
      <c r="AX495">
        <f>RAND()</f>
        <v/>
      </c>
      <c r="AY495">
        <f>RAND()</f>
        <v/>
      </c>
      <c r="AZ495">
        <f>RAND()</f>
        <v/>
      </c>
    </row>
    <row r="496">
      <c r="AK496" t="n">
        <v>483</v>
      </c>
      <c r="AL496">
        <f>IFERROR(IF(AU496&lt;($AM$6-$AL$6)/($AN$6-$AL$6),$AL$6+SQRT(AU496*($AN$6-$AL$6)*($AM$6-$AL$6)),$AN$6-SQRT((1-AU496)*($AN$6-$AL$6)*($AN$6-$AM$6))),$AM$6)</f>
        <v/>
      </c>
      <c r="AM496">
        <f>IFERROR(IF(AV496&lt;($AM$7-$AL$7)/($AN$7-$AL$7),$AL$7+SQRT(AV496*($AN$7-$AL$7)*($AM$7-$AL$7)),$AN$7-SQRT((1-AV496)*($AN$7-$AL$7)*($AN$7-$AM$7))),$AM$7)</f>
        <v/>
      </c>
      <c r="AN496">
        <f>IFERROR(IF(AW496&lt;($AM$8-$AL$8)/($AN$8-$AL$8),$AL$8+SQRT(AW496*($AN$8-$AL$8)*($AM$8-$AL$8)),$AN$8-SQRT((1-AW496)*($AN$8-$AL$8)*($AN$8-$AM$8))),$AM$8)</f>
        <v/>
      </c>
      <c r="AO496">
        <f>IFERROR(IF(AX496&lt;($AM$9-$AL$9)/($AN$9-$AL$9),$AL$9+SQRT(AX496*($AN$9-$AL$9)*($AM$9-$AL$9)),$AN$9-SQRT((1-AX496)*($AN$9-$AL$9)*($AN$9-$AM$9))),$AM$9)</f>
        <v/>
      </c>
      <c r="AP496">
        <f>IFERROR(IF(AY496&lt;($AM$10-$AL$10)/($AN$10-$AL$10),$AL$10+SQRT(AY496*($AN$10-$AL$10)*($AM$10-$AL$10)),$AN$10-SQRT((1-AY496)*($AN$10-$AL$10)*($AN$10-$AM$10))),$AM$10)</f>
        <v/>
      </c>
      <c r="AQ496">
        <f>IFERROR(IF(AZ496&lt;($AM$11-$AL$11)/($AN$11-$AL$11),$AL$11+SQRT(AZ496*($AN$11-$AL$11)*($AM$11-$AL$11)),$AN$11-SQRT((1-AZ496)*($AN$11-$AL$11)*($AN$11-$AM$11))),$AM$11)</f>
        <v/>
      </c>
      <c r="AR496">
        <f>SUMPRODUCT((B24:B31&lt;=$B$6)*(C24:C31*AM496+D24:D31*AO496*$B$8*AQ496)/(1+AL496/100)^B24:B31)+C32*AM496*AP496/(1+AL496/100)^$B$6</f>
        <v/>
      </c>
      <c r="AS496">
        <f>SUMPRODUCT((K24:K26&lt;=$B$6)*(L24:L26*AN496+M24:M26*AO496*$B$8*AQ496)/(1+AL496/100)^K24:K26)+L27*AN496*AP496/(1+AL496/100)^$B$6</f>
        <v/>
      </c>
      <c r="AT496">
        <f>AS496-AR496</f>
        <v/>
      </c>
      <c r="AU496">
        <f>RAND()</f>
        <v/>
      </c>
      <c r="AV496">
        <f>RAND()</f>
        <v/>
      </c>
      <c r="AW496">
        <f>RAND()</f>
        <v/>
      </c>
      <c r="AX496">
        <f>RAND()</f>
        <v/>
      </c>
      <c r="AY496">
        <f>RAND()</f>
        <v/>
      </c>
      <c r="AZ496">
        <f>RAND()</f>
        <v/>
      </c>
    </row>
    <row r="497">
      <c r="AK497" t="n">
        <v>484</v>
      </c>
      <c r="AL497">
        <f>IFERROR(IF(AU497&lt;($AM$6-$AL$6)/($AN$6-$AL$6),$AL$6+SQRT(AU497*($AN$6-$AL$6)*($AM$6-$AL$6)),$AN$6-SQRT((1-AU497)*($AN$6-$AL$6)*($AN$6-$AM$6))),$AM$6)</f>
        <v/>
      </c>
      <c r="AM497">
        <f>IFERROR(IF(AV497&lt;($AM$7-$AL$7)/($AN$7-$AL$7),$AL$7+SQRT(AV497*($AN$7-$AL$7)*($AM$7-$AL$7)),$AN$7-SQRT((1-AV497)*($AN$7-$AL$7)*($AN$7-$AM$7))),$AM$7)</f>
        <v/>
      </c>
      <c r="AN497">
        <f>IFERROR(IF(AW497&lt;($AM$8-$AL$8)/($AN$8-$AL$8),$AL$8+SQRT(AW497*($AN$8-$AL$8)*($AM$8-$AL$8)),$AN$8-SQRT((1-AW497)*($AN$8-$AL$8)*($AN$8-$AM$8))),$AM$8)</f>
        <v/>
      </c>
      <c r="AO497">
        <f>IFERROR(IF(AX497&lt;($AM$9-$AL$9)/($AN$9-$AL$9),$AL$9+SQRT(AX497*($AN$9-$AL$9)*($AM$9-$AL$9)),$AN$9-SQRT((1-AX497)*($AN$9-$AL$9)*($AN$9-$AM$9))),$AM$9)</f>
        <v/>
      </c>
      <c r="AP497">
        <f>IFERROR(IF(AY497&lt;($AM$10-$AL$10)/($AN$10-$AL$10),$AL$10+SQRT(AY497*($AN$10-$AL$10)*($AM$10-$AL$10)),$AN$10-SQRT((1-AY497)*($AN$10-$AL$10)*($AN$10-$AM$10))),$AM$10)</f>
        <v/>
      </c>
      <c r="AQ497">
        <f>IFERROR(IF(AZ497&lt;($AM$11-$AL$11)/($AN$11-$AL$11),$AL$11+SQRT(AZ497*($AN$11-$AL$11)*($AM$11-$AL$11)),$AN$11-SQRT((1-AZ497)*($AN$11-$AL$11)*($AN$11-$AM$11))),$AM$11)</f>
        <v/>
      </c>
      <c r="AR497">
        <f>SUMPRODUCT((B24:B31&lt;=$B$6)*(C24:C31*AM497+D24:D31*AO497*$B$8*AQ497)/(1+AL497/100)^B24:B31)+C32*AM497*AP497/(1+AL497/100)^$B$6</f>
        <v/>
      </c>
      <c r="AS497">
        <f>SUMPRODUCT((K24:K26&lt;=$B$6)*(L24:L26*AN497+M24:M26*AO497*$B$8*AQ497)/(1+AL497/100)^K24:K26)+L27*AN497*AP497/(1+AL497/100)^$B$6</f>
        <v/>
      </c>
      <c r="AT497">
        <f>AS497-AR497</f>
        <v/>
      </c>
      <c r="AU497">
        <f>RAND()</f>
        <v/>
      </c>
      <c r="AV497">
        <f>RAND()</f>
        <v/>
      </c>
      <c r="AW497">
        <f>RAND()</f>
        <v/>
      </c>
      <c r="AX497">
        <f>RAND()</f>
        <v/>
      </c>
      <c r="AY497">
        <f>RAND()</f>
        <v/>
      </c>
      <c r="AZ497">
        <f>RAND()</f>
        <v/>
      </c>
    </row>
    <row r="498">
      <c r="AK498" t="n">
        <v>485</v>
      </c>
      <c r="AL498">
        <f>IFERROR(IF(AU498&lt;($AM$6-$AL$6)/($AN$6-$AL$6),$AL$6+SQRT(AU498*($AN$6-$AL$6)*($AM$6-$AL$6)),$AN$6-SQRT((1-AU498)*($AN$6-$AL$6)*($AN$6-$AM$6))),$AM$6)</f>
        <v/>
      </c>
      <c r="AM498">
        <f>IFERROR(IF(AV498&lt;($AM$7-$AL$7)/($AN$7-$AL$7),$AL$7+SQRT(AV498*($AN$7-$AL$7)*($AM$7-$AL$7)),$AN$7-SQRT((1-AV498)*($AN$7-$AL$7)*($AN$7-$AM$7))),$AM$7)</f>
        <v/>
      </c>
      <c r="AN498">
        <f>IFERROR(IF(AW498&lt;($AM$8-$AL$8)/($AN$8-$AL$8),$AL$8+SQRT(AW498*($AN$8-$AL$8)*($AM$8-$AL$8)),$AN$8-SQRT((1-AW498)*($AN$8-$AL$8)*($AN$8-$AM$8))),$AM$8)</f>
        <v/>
      </c>
      <c r="AO498">
        <f>IFERROR(IF(AX498&lt;($AM$9-$AL$9)/($AN$9-$AL$9),$AL$9+SQRT(AX498*($AN$9-$AL$9)*($AM$9-$AL$9)),$AN$9-SQRT((1-AX498)*($AN$9-$AL$9)*($AN$9-$AM$9))),$AM$9)</f>
        <v/>
      </c>
      <c r="AP498">
        <f>IFERROR(IF(AY498&lt;($AM$10-$AL$10)/($AN$10-$AL$10),$AL$10+SQRT(AY498*($AN$10-$AL$10)*($AM$10-$AL$10)),$AN$10-SQRT((1-AY498)*($AN$10-$AL$10)*($AN$10-$AM$10))),$AM$10)</f>
        <v/>
      </c>
      <c r="AQ498">
        <f>IFERROR(IF(AZ498&lt;($AM$11-$AL$11)/($AN$11-$AL$11),$AL$11+SQRT(AZ498*($AN$11-$AL$11)*($AM$11-$AL$11)),$AN$11-SQRT((1-AZ498)*($AN$11-$AL$11)*($AN$11-$AM$11))),$AM$11)</f>
        <v/>
      </c>
      <c r="AR498">
        <f>SUMPRODUCT((B24:B31&lt;=$B$6)*(C24:C31*AM498+D24:D31*AO498*$B$8*AQ498)/(1+AL498/100)^B24:B31)+C32*AM498*AP498/(1+AL498/100)^$B$6</f>
        <v/>
      </c>
      <c r="AS498">
        <f>SUMPRODUCT((K24:K26&lt;=$B$6)*(L24:L26*AN498+M24:M26*AO498*$B$8*AQ498)/(1+AL498/100)^K24:K26)+L27*AN498*AP498/(1+AL498/100)^$B$6</f>
        <v/>
      </c>
      <c r="AT498">
        <f>AS498-AR498</f>
        <v/>
      </c>
      <c r="AU498">
        <f>RAND()</f>
        <v/>
      </c>
      <c r="AV498">
        <f>RAND()</f>
        <v/>
      </c>
      <c r="AW498">
        <f>RAND()</f>
        <v/>
      </c>
      <c r="AX498">
        <f>RAND()</f>
        <v/>
      </c>
      <c r="AY498">
        <f>RAND()</f>
        <v/>
      </c>
      <c r="AZ498">
        <f>RAND()</f>
        <v/>
      </c>
    </row>
    <row r="499">
      <c r="AK499" t="n">
        <v>486</v>
      </c>
      <c r="AL499">
        <f>IFERROR(IF(AU499&lt;($AM$6-$AL$6)/($AN$6-$AL$6),$AL$6+SQRT(AU499*($AN$6-$AL$6)*($AM$6-$AL$6)),$AN$6-SQRT((1-AU499)*($AN$6-$AL$6)*($AN$6-$AM$6))),$AM$6)</f>
        <v/>
      </c>
      <c r="AM499">
        <f>IFERROR(IF(AV499&lt;($AM$7-$AL$7)/($AN$7-$AL$7),$AL$7+SQRT(AV499*($AN$7-$AL$7)*($AM$7-$AL$7)),$AN$7-SQRT((1-AV499)*($AN$7-$AL$7)*($AN$7-$AM$7))),$AM$7)</f>
        <v/>
      </c>
      <c r="AN499">
        <f>IFERROR(IF(AW499&lt;($AM$8-$AL$8)/($AN$8-$AL$8),$AL$8+SQRT(AW499*($AN$8-$AL$8)*($AM$8-$AL$8)),$AN$8-SQRT((1-AW499)*($AN$8-$AL$8)*($AN$8-$AM$8))),$AM$8)</f>
        <v/>
      </c>
      <c r="AO499">
        <f>IFERROR(IF(AX499&lt;($AM$9-$AL$9)/($AN$9-$AL$9),$AL$9+SQRT(AX499*($AN$9-$AL$9)*($AM$9-$AL$9)),$AN$9-SQRT((1-AX499)*($AN$9-$AL$9)*($AN$9-$AM$9))),$AM$9)</f>
        <v/>
      </c>
      <c r="AP499">
        <f>IFERROR(IF(AY499&lt;($AM$10-$AL$10)/($AN$10-$AL$10),$AL$10+SQRT(AY499*($AN$10-$AL$10)*($AM$10-$AL$10)),$AN$10-SQRT((1-AY499)*($AN$10-$AL$10)*($AN$10-$AM$10))),$AM$10)</f>
        <v/>
      </c>
      <c r="AQ499">
        <f>IFERROR(IF(AZ499&lt;($AM$11-$AL$11)/($AN$11-$AL$11),$AL$11+SQRT(AZ499*($AN$11-$AL$11)*($AM$11-$AL$11)),$AN$11-SQRT((1-AZ499)*($AN$11-$AL$11)*($AN$11-$AM$11))),$AM$11)</f>
        <v/>
      </c>
      <c r="AR499">
        <f>SUMPRODUCT((B24:B31&lt;=$B$6)*(C24:C31*AM499+D24:D31*AO499*$B$8*AQ499)/(1+AL499/100)^B24:B31)+C32*AM499*AP499/(1+AL499/100)^$B$6</f>
        <v/>
      </c>
      <c r="AS499">
        <f>SUMPRODUCT((K24:K26&lt;=$B$6)*(L24:L26*AN499+M24:M26*AO499*$B$8*AQ499)/(1+AL499/100)^K24:K26)+L27*AN499*AP499/(1+AL499/100)^$B$6</f>
        <v/>
      </c>
      <c r="AT499">
        <f>AS499-AR499</f>
        <v/>
      </c>
      <c r="AU499">
        <f>RAND()</f>
        <v/>
      </c>
      <c r="AV499">
        <f>RAND()</f>
        <v/>
      </c>
      <c r="AW499">
        <f>RAND()</f>
        <v/>
      </c>
      <c r="AX499">
        <f>RAND()</f>
        <v/>
      </c>
      <c r="AY499">
        <f>RAND()</f>
        <v/>
      </c>
      <c r="AZ499">
        <f>RAND()</f>
        <v/>
      </c>
    </row>
    <row r="500">
      <c r="AK500" t="n">
        <v>487</v>
      </c>
      <c r="AL500">
        <f>IFERROR(IF(AU500&lt;($AM$6-$AL$6)/($AN$6-$AL$6),$AL$6+SQRT(AU500*($AN$6-$AL$6)*($AM$6-$AL$6)),$AN$6-SQRT((1-AU500)*($AN$6-$AL$6)*($AN$6-$AM$6))),$AM$6)</f>
        <v/>
      </c>
      <c r="AM500">
        <f>IFERROR(IF(AV500&lt;($AM$7-$AL$7)/($AN$7-$AL$7),$AL$7+SQRT(AV500*($AN$7-$AL$7)*($AM$7-$AL$7)),$AN$7-SQRT((1-AV500)*($AN$7-$AL$7)*($AN$7-$AM$7))),$AM$7)</f>
        <v/>
      </c>
      <c r="AN500">
        <f>IFERROR(IF(AW500&lt;($AM$8-$AL$8)/($AN$8-$AL$8),$AL$8+SQRT(AW500*($AN$8-$AL$8)*($AM$8-$AL$8)),$AN$8-SQRT((1-AW500)*($AN$8-$AL$8)*($AN$8-$AM$8))),$AM$8)</f>
        <v/>
      </c>
      <c r="AO500">
        <f>IFERROR(IF(AX500&lt;($AM$9-$AL$9)/($AN$9-$AL$9),$AL$9+SQRT(AX500*($AN$9-$AL$9)*($AM$9-$AL$9)),$AN$9-SQRT((1-AX500)*($AN$9-$AL$9)*($AN$9-$AM$9))),$AM$9)</f>
        <v/>
      </c>
      <c r="AP500">
        <f>IFERROR(IF(AY500&lt;($AM$10-$AL$10)/($AN$10-$AL$10),$AL$10+SQRT(AY500*($AN$10-$AL$10)*($AM$10-$AL$10)),$AN$10-SQRT((1-AY500)*($AN$10-$AL$10)*($AN$10-$AM$10))),$AM$10)</f>
        <v/>
      </c>
      <c r="AQ500">
        <f>IFERROR(IF(AZ500&lt;($AM$11-$AL$11)/($AN$11-$AL$11),$AL$11+SQRT(AZ500*($AN$11-$AL$11)*($AM$11-$AL$11)),$AN$11-SQRT((1-AZ500)*($AN$11-$AL$11)*($AN$11-$AM$11))),$AM$11)</f>
        <v/>
      </c>
      <c r="AR500">
        <f>SUMPRODUCT((B24:B31&lt;=$B$6)*(C24:C31*AM500+D24:D31*AO500*$B$8*AQ500)/(1+AL500/100)^B24:B31)+C32*AM500*AP500/(1+AL500/100)^$B$6</f>
        <v/>
      </c>
      <c r="AS500">
        <f>SUMPRODUCT((K24:K26&lt;=$B$6)*(L24:L26*AN500+M24:M26*AO500*$B$8*AQ500)/(1+AL500/100)^K24:K26)+L27*AN500*AP500/(1+AL500/100)^$B$6</f>
        <v/>
      </c>
      <c r="AT500">
        <f>AS500-AR500</f>
        <v/>
      </c>
      <c r="AU500">
        <f>RAND()</f>
        <v/>
      </c>
      <c r="AV500">
        <f>RAND()</f>
        <v/>
      </c>
      <c r="AW500">
        <f>RAND()</f>
        <v/>
      </c>
      <c r="AX500">
        <f>RAND()</f>
        <v/>
      </c>
      <c r="AY500">
        <f>RAND()</f>
        <v/>
      </c>
      <c r="AZ500">
        <f>RAND()</f>
        <v/>
      </c>
    </row>
    <row r="501">
      <c r="AK501" t="n">
        <v>488</v>
      </c>
      <c r="AL501">
        <f>IFERROR(IF(AU501&lt;($AM$6-$AL$6)/($AN$6-$AL$6),$AL$6+SQRT(AU501*($AN$6-$AL$6)*($AM$6-$AL$6)),$AN$6-SQRT((1-AU501)*($AN$6-$AL$6)*($AN$6-$AM$6))),$AM$6)</f>
        <v/>
      </c>
      <c r="AM501">
        <f>IFERROR(IF(AV501&lt;($AM$7-$AL$7)/($AN$7-$AL$7),$AL$7+SQRT(AV501*($AN$7-$AL$7)*($AM$7-$AL$7)),$AN$7-SQRT((1-AV501)*($AN$7-$AL$7)*($AN$7-$AM$7))),$AM$7)</f>
        <v/>
      </c>
      <c r="AN501">
        <f>IFERROR(IF(AW501&lt;($AM$8-$AL$8)/($AN$8-$AL$8),$AL$8+SQRT(AW501*($AN$8-$AL$8)*($AM$8-$AL$8)),$AN$8-SQRT((1-AW501)*($AN$8-$AL$8)*($AN$8-$AM$8))),$AM$8)</f>
        <v/>
      </c>
      <c r="AO501">
        <f>IFERROR(IF(AX501&lt;($AM$9-$AL$9)/($AN$9-$AL$9),$AL$9+SQRT(AX501*($AN$9-$AL$9)*($AM$9-$AL$9)),$AN$9-SQRT((1-AX501)*($AN$9-$AL$9)*($AN$9-$AM$9))),$AM$9)</f>
        <v/>
      </c>
      <c r="AP501">
        <f>IFERROR(IF(AY501&lt;($AM$10-$AL$10)/($AN$10-$AL$10),$AL$10+SQRT(AY501*($AN$10-$AL$10)*($AM$10-$AL$10)),$AN$10-SQRT((1-AY501)*($AN$10-$AL$10)*($AN$10-$AM$10))),$AM$10)</f>
        <v/>
      </c>
      <c r="AQ501">
        <f>IFERROR(IF(AZ501&lt;($AM$11-$AL$11)/($AN$11-$AL$11),$AL$11+SQRT(AZ501*($AN$11-$AL$11)*($AM$11-$AL$11)),$AN$11-SQRT((1-AZ501)*($AN$11-$AL$11)*($AN$11-$AM$11))),$AM$11)</f>
        <v/>
      </c>
      <c r="AR501">
        <f>SUMPRODUCT((B24:B31&lt;=$B$6)*(C24:C31*AM501+D24:D31*AO501*$B$8*AQ501)/(1+AL501/100)^B24:B31)+C32*AM501*AP501/(1+AL501/100)^$B$6</f>
        <v/>
      </c>
      <c r="AS501">
        <f>SUMPRODUCT((K24:K26&lt;=$B$6)*(L24:L26*AN501+M24:M26*AO501*$B$8*AQ501)/(1+AL501/100)^K24:K26)+L27*AN501*AP501/(1+AL501/100)^$B$6</f>
        <v/>
      </c>
      <c r="AT501">
        <f>AS501-AR501</f>
        <v/>
      </c>
      <c r="AU501">
        <f>RAND()</f>
        <v/>
      </c>
      <c r="AV501">
        <f>RAND()</f>
        <v/>
      </c>
      <c r="AW501">
        <f>RAND()</f>
        <v/>
      </c>
      <c r="AX501">
        <f>RAND()</f>
        <v/>
      </c>
      <c r="AY501">
        <f>RAND()</f>
        <v/>
      </c>
      <c r="AZ501">
        <f>RAND()</f>
        <v/>
      </c>
    </row>
    <row r="502">
      <c r="AK502" t="n">
        <v>489</v>
      </c>
      <c r="AL502">
        <f>IFERROR(IF(AU502&lt;($AM$6-$AL$6)/($AN$6-$AL$6),$AL$6+SQRT(AU502*($AN$6-$AL$6)*($AM$6-$AL$6)),$AN$6-SQRT((1-AU502)*($AN$6-$AL$6)*($AN$6-$AM$6))),$AM$6)</f>
        <v/>
      </c>
      <c r="AM502">
        <f>IFERROR(IF(AV502&lt;($AM$7-$AL$7)/($AN$7-$AL$7),$AL$7+SQRT(AV502*($AN$7-$AL$7)*($AM$7-$AL$7)),$AN$7-SQRT((1-AV502)*($AN$7-$AL$7)*($AN$7-$AM$7))),$AM$7)</f>
        <v/>
      </c>
      <c r="AN502">
        <f>IFERROR(IF(AW502&lt;($AM$8-$AL$8)/($AN$8-$AL$8),$AL$8+SQRT(AW502*($AN$8-$AL$8)*($AM$8-$AL$8)),$AN$8-SQRT((1-AW502)*($AN$8-$AL$8)*($AN$8-$AM$8))),$AM$8)</f>
        <v/>
      </c>
      <c r="AO502">
        <f>IFERROR(IF(AX502&lt;($AM$9-$AL$9)/($AN$9-$AL$9),$AL$9+SQRT(AX502*($AN$9-$AL$9)*($AM$9-$AL$9)),$AN$9-SQRT((1-AX502)*($AN$9-$AL$9)*($AN$9-$AM$9))),$AM$9)</f>
        <v/>
      </c>
      <c r="AP502">
        <f>IFERROR(IF(AY502&lt;($AM$10-$AL$10)/($AN$10-$AL$10),$AL$10+SQRT(AY502*($AN$10-$AL$10)*($AM$10-$AL$10)),$AN$10-SQRT((1-AY502)*($AN$10-$AL$10)*($AN$10-$AM$10))),$AM$10)</f>
        <v/>
      </c>
      <c r="AQ502">
        <f>IFERROR(IF(AZ502&lt;($AM$11-$AL$11)/($AN$11-$AL$11),$AL$11+SQRT(AZ502*($AN$11-$AL$11)*($AM$11-$AL$11)),$AN$11-SQRT((1-AZ502)*($AN$11-$AL$11)*($AN$11-$AM$11))),$AM$11)</f>
        <v/>
      </c>
      <c r="AR502">
        <f>SUMPRODUCT((B24:B31&lt;=$B$6)*(C24:C31*AM502+D24:D31*AO502*$B$8*AQ502)/(1+AL502/100)^B24:B31)+C32*AM502*AP502/(1+AL502/100)^$B$6</f>
        <v/>
      </c>
      <c r="AS502">
        <f>SUMPRODUCT((K24:K26&lt;=$B$6)*(L24:L26*AN502+M24:M26*AO502*$B$8*AQ502)/(1+AL502/100)^K24:K26)+L27*AN502*AP502/(1+AL502/100)^$B$6</f>
        <v/>
      </c>
      <c r="AT502">
        <f>AS502-AR502</f>
        <v/>
      </c>
      <c r="AU502">
        <f>RAND()</f>
        <v/>
      </c>
      <c r="AV502">
        <f>RAND()</f>
        <v/>
      </c>
      <c r="AW502">
        <f>RAND()</f>
        <v/>
      </c>
      <c r="AX502">
        <f>RAND()</f>
        <v/>
      </c>
      <c r="AY502">
        <f>RAND()</f>
        <v/>
      </c>
      <c r="AZ502">
        <f>RAND()</f>
        <v/>
      </c>
    </row>
    <row r="503">
      <c r="AK503" t="n">
        <v>490</v>
      </c>
      <c r="AL503">
        <f>IFERROR(IF(AU503&lt;($AM$6-$AL$6)/($AN$6-$AL$6),$AL$6+SQRT(AU503*($AN$6-$AL$6)*($AM$6-$AL$6)),$AN$6-SQRT((1-AU503)*($AN$6-$AL$6)*($AN$6-$AM$6))),$AM$6)</f>
        <v/>
      </c>
      <c r="AM503">
        <f>IFERROR(IF(AV503&lt;($AM$7-$AL$7)/($AN$7-$AL$7),$AL$7+SQRT(AV503*($AN$7-$AL$7)*($AM$7-$AL$7)),$AN$7-SQRT((1-AV503)*($AN$7-$AL$7)*($AN$7-$AM$7))),$AM$7)</f>
        <v/>
      </c>
      <c r="AN503">
        <f>IFERROR(IF(AW503&lt;($AM$8-$AL$8)/($AN$8-$AL$8),$AL$8+SQRT(AW503*($AN$8-$AL$8)*($AM$8-$AL$8)),$AN$8-SQRT((1-AW503)*($AN$8-$AL$8)*($AN$8-$AM$8))),$AM$8)</f>
        <v/>
      </c>
      <c r="AO503">
        <f>IFERROR(IF(AX503&lt;($AM$9-$AL$9)/($AN$9-$AL$9),$AL$9+SQRT(AX503*($AN$9-$AL$9)*($AM$9-$AL$9)),$AN$9-SQRT((1-AX503)*($AN$9-$AL$9)*($AN$9-$AM$9))),$AM$9)</f>
        <v/>
      </c>
      <c r="AP503">
        <f>IFERROR(IF(AY503&lt;($AM$10-$AL$10)/($AN$10-$AL$10),$AL$10+SQRT(AY503*($AN$10-$AL$10)*($AM$10-$AL$10)),$AN$10-SQRT((1-AY503)*($AN$10-$AL$10)*($AN$10-$AM$10))),$AM$10)</f>
        <v/>
      </c>
      <c r="AQ503">
        <f>IFERROR(IF(AZ503&lt;($AM$11-$AL$11)/($AN$11-$AL$11),$AL$11+SQRT(AZ503*($AN$11-$AL$11)*($AM$11-$AL$11)),$AN$11-SQRT((1-AZ503)*($AN$11-$AL$11)*($AN$11-$AM$11))),$AM$11)</f>
        <v/>
      </c>
      <c r="AR503">
        <f>SUMPRODUCT((B24:B31&lt;=$B$6)*(C24:C31*AM503+D24:D31*AO503*$B$8*AQ503)/(1+AL503/100)^B24:B31)+C32*AM503*AP503/(1+AL503/100)^$B$6</f>
        <v/>
      </c>
      <c r="AS503">
        <f>SUMPRODUCT((K24:K26&lt;=$B$6)*(L24:L26*AN503+M24:M26*AO503*$B$8*AQ503)/(1+AL503/100)^K24:K26)+L27*AN503*AP503/(1+AL503/100)^$B$6</f>
        <v/>
      </c>
      <c r="AT503">
        <f>AS503-AR503</f>
        <v/>
      </c>
      <c r="AU503">
        <f>RAND()</f>
        <v/>
      </c>
      <c r="AV503">
        <f>RAND()</f>
        <v/>
      </c>
      <c r="AW503">
        <f>RAND()</f>
        <v/>
      </c>
      <c r="AX503">
        <f>RAND()</f>
        <v/>
      </c>
      <c r="AY503">
        <f>RAND()</f>
        <v/>
      </c>
      <c r="AZ503">
        <f>RAND()</f>
        <v/>
      </c>
    </row>
    <row r="504">
      <c r="AK504" t="n">
        <v>491</v>
      </c>
      <c r="AL504">
        <f>IFERROR(IF(AU504&lt;($AM$6-$AL$6)/($AN$6-$AL$6),$AL$6+SQRT(AU504*($AN$6-$AL$6)*($AM$6-$AL$6)),$AN$6-SQRT((1-AU504)*($AN$6-$AL$6)*($AN$6-$AM$6))),$AM$6)</f>
        <v/>
      </c>
      <c r="AM504">
        <f>IFERROR(IF(AV504&lt;($AM$7-$AL$7)/($AN$7-$AL$7),$AL$7+SQRT(AV504*($AN$7-$AL$7)*($AM$7-$AL$7)),$AN$7-SQRT((1-AV504)*($AN$7-$AL$7)*($AN$7-$AM$7))),$AM$7)</f>
        <v/>
      </c>
      <c r="AN504">
        <f>IFERROR(IF(AW504&lt;($AM$8-$AL$8)/($AN$8-$AL$8),$AL$8+SQRT(AW504*($AN$8-$AL$8)*($AM$8-$AL$8)),$AN$8-SQRT((1-AW504)*($AN$8-$AL$8)*($AN$8-$AM$8))),$AM$8)</f>
        <v/>
      </c>
      <c r="AO504">
        <f>IFERROR(IF(AX504&lt;($AM$9-$AL$9)/($AN$9-$AL$9),$AL$9+SQRT(AX504*($AN$9-$AL$9)*($AM$9-$AL$9)),$AN$9-SQRT((1-AX504)*($AN$9-$AL$9)*($AN$9-$AM$9))),$AM$9)</f>
        <v/>
      </c>
      <c r="AP504">
        <f>IFERROR(IF(AY504&lt;($AM$10-$AL$10)/($AN$10-$AL$10),$AL$10+SQRT(AY504*($AN$10-$AL$10)*($AM$10-$AL$10)),$AN$10-SQRT((1-AY504)*($AN$10-$AL$10)*($AN$10-$AM$10))),$AM$10)</f>
        <v/>
      </c>
      <c r="AQ504">
        <f>IFERROR(IF(AZ504&lt;($AM$11-$AL$11)/($AN$11-$AL$11),$AL$11+SQRT(AZ504*($AN$11-$AL$11)*($AM$11-$AL$11)),$AN$11-SQRT((1-AZ504)*($AN$11-$AL$11)*($AN$11-$AM$11))),$AM$11)</f>
        <v/>
      </c>
      <c r="AR504">
        <f>SUMPRODUCT((B24:B31&lt;=$B$6)*(C24:C31*AM504+D24:D31*AO504*$B$8*AQ504)/(1+AL504/100)^B24:B31)+C32*AM504*AP504/(1+AL504/100)^$B$6</f>
        <v/>
      </c>
      <c r="AS504">
        <f>SUMPRODUCT((K24:K26&lt;=$B$6)*(L24:L26*AN504+M24:M26*AO504*$B$8*AQ504)/(1+AL504/100)^K24:K26)+L27*AN504*AP504/(1+AL504/100)^$B$6</f>
        <v/>
      </c>
      <c r="AT504">
        <f>AS504-AR504</f>
        <v/>
      </c>
      <c r="AU504">
        <f>RAND()</f>
        <v/>
      </c>
      <c r="AV504">
        <f>RAND()</f>
        <v/>
      </c>
      <c r="AW504">
        <f>RAND()</f>
        <v/>
      </c>
      <c r="AX504">
        <f>RAND()</f>
        <v/>
      </c>
      <c r="AY504">
        <f>RAND()</f>
        <v/>
      </c>
      <c r="AZ504">
        <f>RAND()</f>
        <v/>
      </c>
    </row>
    <row r="505">
      <c r="AK505" t="n">
        <v>492</v>
      </c>
      <c r="AL505">
        <f>IFERROR(IF(AU505&lt;($AM$6-$AL$6)/($AN$6-$AL$6),$AL$6+SQRT(AU505*($AN$6-$AL$6)*($AM$6-$AL$6)),$AN$6-SQRT((1-AU505)*($AN$6-$AL$6)*($AN$6-$AM$6))),$AM$6)</f>
        <v/>
      </c>
      <c r="AM505">
        <f>IFERROR(IF(AV505&lt;($AM$7-$AL$7)/($AN$7-$AL$7),$AL$7+SQRT(AV505*($AN$7-$AL$7)*($AM$7-$AL$7)),$AN$7-SQRT((1-AV505)*($AN$7-$AL$7)*($AN$7-$AM$7))),$AM$7)</f>
        <v/>
      </c>
      <c r="AN505">
        <f>IFERROR(IF(AW505&lt;($AM$8-$AL$8)/($AN$8-$AL$8),$AL$8+SQRT(AW505*($AN$8-$AL$8)*($AM$8-$AL$8)),$AN$8-SQRT((1-AW505)*($AN$8-$AL$8)*($AN$8-$AM$8))),$AM$8)</f>
        <v/>
      </c>
      <c r="AO505">
        <f>IFERROR(IF(AX505&lt;($AM$9-$AL$9)/($AN$9-$AL$9),$AL$9+SQRT(AX505*($AN$9-$AL$9)*($AM$9-$AL$9)),$AN$9-SQRT((1-AX505)*($AN$9-$AL$9)*($AN$9-$AM$9))),$AM$9)</f>
        <v/>
      </c>
      <c r="AP505">
        <f>IFERROR(IF(AY505&lt;($AM$10-$AL$10)/($AN$10-$AL$10),$AL$10+SQRT(AY505*($AN$10-$AL$10)*($AM$10-$AL$10)),$AN$10-SQRT((1-AY505)*($AN$10-$AL$10)*($AN$10-$AM$10))),$AM$10)</f>
        <v/>
      </c>
      <c r="AQ505">
        <f>IFERROR(IF(AZ505&lt;($AM$11-$AL$11)/($AN$11-$AL$11),$AL$11+SQRT(AZ505*($AN$11-$AL$11)*($AM$11-$AL$11)),$AN$11-SQRT((1-AZ505)*($AN$11-$AL$11)*($AN$11-$AM$11))),$AM$11)</f>
        <v/>
      </c>
      <c r="AR505">
        <f>SUMPRODUCT((B24:B31&lt;=$B$6)*(C24:C31*AM505+D24:D31*AO505*$B$8*AQ505)/(1+AL505/100)^B24:B31)+C32*AM505*AP505/(1+AL505/100)^$B$6</f>
        <v/>
      </c>
      <c r="AS505">
        <f>SUMPRODUCT((K24:K26&lt;=$B$6)*(L24:L26*AN505+M24:M26*AO505*$B$8*AQ505)/(1+AL505/100)^K24:K26)+L27*AN505*AP505/(1+AL505/100)^$B$6</f>
        <v/>
      </c>
      <c r="AT505">
        <f>AS505-AR505</f>
        <v/>
      </c>
      <c r="AU505">
        <f>RAND()</f>
        <v/>
      </c>
      <c r="AV505">
        <f>RAND()</f>
        <v/>
      </c>
      <c r="AW505">
        <f>RAND()</f>
        <v/>
      </c>
      <c r="AX505">
        <f>RAND()</f>
        <v/>
      </c>
      <c r="AY505">
        <f>RAND()</f>
        <v/>
      </c>
      <c r="AZ505">
        <f>RAND()</f>
        <v/>
      </c>
    </row>
    <row r="506">
      <c r="AK506" t="n">
        <v>493</v>
      </c>
      <c r="AL506">
        <f>IFERROR(IF(AU506&lt;($AM$6-$AL$6)/($AN$6-$AL$6),$AL$6+SQRT(AU506*($AN$6-$AL$6)*($AM$6-$AL$6)),$AN$6-SQRT((1-AU506)*($AN$6-$AL$6)*($AN$6-$AM$6))),$AM$6)</f>
        <v/>
      </c>
      <c r="AM506">
        <f>IFERROR(IF(AV506&lt;($AM$7-$AL$7)/($AN$7-$AL$7),$AL$7+SQRT(AV506*($AN$7-$AL$7)*($AM$7-$AL$7)),$AN$7-SQRT((1-AV506)*($AN$7-$AL$7)*($AN$7-$AM$7))),$AM$7)</f>
        <v/>
      </c>
      <c r="AN506">
        <f>IFERROR(IF(AW506&lt;($AM$8-$AL$8)/($AN$8-$AL$8),$AL$8+SQRT(AW506*($AN$8-$AL$8)*($AM$8-$AL$8)),$AN$8-SQRT((1-AW506)*($AN$8-$AL$8)*($AN$8-$AM$8))),$AM$8)</f>
        <v/>
      </c>
      <c r="AO506">
        <f>IFERROR(IF(AX506&lt;($AM$9-$AL$9)/($AN$9-$AL$9),$AL$9+SQRT(AX506*($AN$9-$AL$9)*($AM$9-$AL$9)),$AN$9-SQRT((1-AX506)*($AN$9-$AL$9)*($AN$9-$AM$9))),$AM$9)</f>
        <v/>
      </c>
      <c r="AP506">
        <f>IFERROR(IF(AY506&lt;($AM$10-$AL$10)/($AN$10-$AL$10),$AL$10+SQRT(AY506*($AN$10-$AL$10)*($AM$10-$AL$10)),$AN$10-SQRT((1-AY506)*($AN$10-$AL$10)*($AN$10-$AM$10))),$AM$10)</f>
        <v/>
      </c>
      <c r="AQ506">
        <f>IFERROR(IF(AZ506&lt;($AM$11-$AL$11)/($AN$11-$AL$11),$AL$11+SQRT(AZ506*($AN$11-$AL$11)*($AM$11-$AL$11)),$AN$11-SQRT((1-AZ506)*($AN$11-$AL$11)*($AN$11-$AM$11))),$AM$11)</f>
        <v/>
      </c>
      <c r="AR506">
        <f>SUMPRODUCT((B24:B31&lt;=$B$6)*(C24:C31*AM506+D24:D31*AO506*$B$8*AQ506)/(1+AL506/100)^B24:B31)+C32*AM506*AP506/(1+AL506/100)^$B$6</f>
        <v/>
      </c>
      <c r="AS506">
        <f>SUMPRODUCT((K24:K26&lt;=$B$6)*(L24:L26*AN506+M24:M26*AO506*$B$8*AQ506)/(1+AL506/100)^K24:K26)+L27*AN506*AP506/(1+AL506/100)^$B$6</f>
        <v/>
      </c>
      <c r="AT506">
        <f>AS506-AR506</f>
        <v/>
      </c>
      <c r="AU506">
        <f>RAND()</f>
        <v/>
      </c>
      <c r="AV506">
        <f>RAND()</f>
        <v/>
      </c>
      <c r="AW506">
        <f>RAND()</f>
        <v/>
      </c>
      <c r="AX506">
        <f>RAND()</f>
        <v/>
      </c>
      <c r="AY506">
        <f>RAND()</f>
        <v/>
      </c>
      <c r="AZ506">
        <f>RAND()</f>
        <v/>
      </c>
    </row>
    <row r="507">
      <c r="AK507" t="n">
        <v>494</v>
      </c>
      <c r="AL507">
        <f>IFERROR(IF(AU507&lt;($AM$6-$AL$6)/($AN$6-$AL$6),$AL$6+SQRT(AU507*($AN$6-$AL$6)*($AM$6-$AL$6)),$AN$6-SQRT((1-AU507)*($AN$6-$AL$6)*($AN$6-$AM$6))),$AM$6)</f>
        <v/>
      </c>
      <c r="AM507">
        <f>IFERROR(IF(AV507&lt;($AM$7-$AL$7)/($AN$7-$AL$7),$AL$7+SQRT(AV507*($AN$7-$AL$7)*($AM$7-$AL$7)),$AN$7-SQRT((1-AV507)*($AN$7-$AL$7)*($AN$7-$AM$7))),$AM$7)</f>
        <v/>
      </c>
      <c r="AN507">
        <f>IFERROR(IF(AW507&lt;($AM$8-$AL$8)/($AN$8-$AL$8),$AL$8+SQRT(AW507*($AN$8-$AL$8)*($AM$8-$AL$8)),$AN$8-SQRT((1-AW507)*($AN$8-$AL$8)*($AN$8-$AM$8))),$AM$8)</f>
        <v/>
      </c>
      <c r="AO507">
        <f>IFERROR(IF(AX507&lt;($AM$9-$AL$9)/($AN$9-$AL$9),$AL$9+SQRT(AX507*($AN$9-$AL$9)*($AM$9-$AL$9)),$AN$9-SQRT((1-AX507)*($AN$9-$AL$9)*($AN$9-$AM$9))),$AM$9)</f>
        <v/>
      </c>
      <c r="AP507">
        <f>IFERROR(IF(AY507&lt;($AM$10-$AL$10)/($AN$10-$AL$10),$AL$10+SQRT(AY507*($AN$10-$AL$10)*($AM$10-$AL$10)),$AN$10-SQRT((1-AY507)*($AN$10-$AL$10)*($AN$10-$AM$10))),$AM$10)</f>
        <v/>
      </c>
      <c r="AQ507">
        <f>IFERROR(IF(AZ507&lt;($AM$11-$AL$11)/($AN$11-$AL$11),$AL$11+SQRT(AZ507*($AN$11-$AL$11)*($AM$11-$AL$11)),$AN$11-SQRT((1-AZ507)*($AN$11-$AL$11)*($AN$11-$AM$11))),$AM$11)</f>
        <v/>
      </c>
      <c r="AR507">
        <f>SUMPRODUCT((B24:B31&lt;=$B$6)*(C24:C31*AM507+D24:D31*AO507*$B$8*AQ507)/(1+AL507/100)^B24:B31)+C32*AM507*AP507/(1+AL507/100)^$B$6</f>
        <v/>
      </c>
      <c r="AS507">
        <f>SUMPRODUCT((K24:K26&lt;=$B$6)*(L24:L26*AN507+M24:M26*AO507*$B$8*AQ507)/(1+AL507/100)^K24:K26)+L27*AN507*AP507/(1+AL507/100)^$B$6</f>
        <v/>
      </c>
      <c r="AT507">
        <f>AS507-AR507</f>
        <v/>
      </c>
      <c r="AU507">
        <f>RAND()</f>
        <v/>
      </c>
      <c r="AV507">
        <f>RAND()</f>
        <v/>
      </c>
      <c r="AW507">
        <f>RAND()</f>
        <v/>
      </c>
      <c r="AX507">
        <f>RAND()</f>
        <v/>
      </c>
      <c r="AY507">
        <f>RAND()</f>
        <v/>
      </c>
      <c r="AZ507">
        <f>RAND()</f>
        <v/>
      </c>
    </row>
    <row r="508">
      <c r="AK508" t="n">
        <v>495</v>
      </c>
      <c r="AL508">
        <f>IFERROR(IF(AU508&lt;($AM$6-$AL$6)/($AN$6-$AL$6),$AL$6+SQRT(AU508*($AN$6-$AL$6)*($AM$6-$AL$6)),$AN$6-SQRT((1-AU508)*($AN$6-$AL$6)*($AN$6-$AM$6))),$AM$6)</f>
        <v/>
      </c>
      <c r="AM508">
        <f>IFERROR(IF(AV508&lt;($AM$7-$AL$7)/($AN$7-$AL$7),$AL$7+SQRT(AV508*($AN$7-$AL$7)*($AM$7-$AL$7)),$AN$7-SQRT((1-AV508)*($AN$7-$AL$7)*($AN$7-$AM$7))),$AM$7)</f>
        <v/>
      </c>
      <c r="AN508">
        <f>IFERROR(IF(AW508&lt;($AM$8-$AL$8)/($AN$8-$AL$8),$AL$8+SQRT(AW508*($AN$8-$AL$8)*($AM$8-$AL$8)),$AN$8-SQRT((1-AW508)*($AN$8-$AL$8)*($AN$8-$AM$8))),$AM$8)</f>
        <v/>
      </c>
      <c r="AO508">
        <f>IFERROR(IF(AX508&lt;($AM$9-$AL$9)/($AN$9-$AL$9),$AL$9+SQRT(AX508*($AN$9-$AL$9)*($AM$9-$AL$9)),$AN$9-SQRT((1-AX508)*($AN$9-$AL$9)*($AN$9-$AM$9))),$AM$9)</f>
        <v/>
      </c>
      <c r="AP508">
        <f>IFERROR(IF(AY508&lt;($AM$10-$AL$10)/($AN$10-$AL$10),$AL$10+SQRT(AY508*($AN$10-$AL$10)*($AM$10-$AL$10)),$AN$10-SQRT((1-AY508)*($AN$10-$AL$10)*($AN$10-$AM$10))),$AM$10)</f>
        <v/>
      </c>
      <c r="AQ508">
        <f>IFERROR(IF(AZ508&lt;($AM$11-$AL$11)/($AN$11-$AL$11),$AL$11+SQRT(AZ508*($AN$11-$AL$11)*($AM$11-$AL$11)),$AN$11-SQRT((1-AZ508)*($AN$11-$AL$11)*($AN$11-$AM$11))),$AM$11)</f>
        <v/>
      </c>
      <c r="AR508">
        <f>SUMPRODUCT((B24:B31&lt;=$B$6)*(C24:C31*AM508+D24:D31*AO508*$B$8*AQ508)/(1+AL508/100)^B24:B31)+C32*AM508*AP508/(1+AL508/100)^$B$6</f>
        <v/>
      </c>
      <c r="AS508">
        <f>SUMPRODUCT((K24:K26&lt;=$B$6)*(L24:L26*AN508+M24:M26*AO508*$B$8*AQ508)/(1+AL508/100)^K24:K26)+L27*AN508*AP508/(1+AL508/100)^$B$6</f>
        <v/>
      </c>
      <c r="AT508">
        <f>AS508-AR508</f>
        <v/>
      </c>
      <c r="AU508">
        <f>RAND()</f>
        <v/>
      </c>
      <c r="AV508">
        <f>RAND()</f>
        <v/>
      </c>
      <c r="AW508">
        <f>RAND()</f>
        <v/>
      </c>
      <c r="AX508">
        <f>RAND()</f>
        <v/>
      </c>
      <c r="AY508">
        <f>RAND()</f>
        <v/>
      </c>
      <c r="AZ508">
        <f>RAND()</f>
        <v/>
      </c>
    </row>
    <row r="509">
      <c r="AK509" t="n">
        <v>496</v>
      </c>
      <c r="AL509">
        <f>IFERROR(IF(AU509&lt;($AM$6-$AL$6)/($AN$6-$AL$6),$AL$6+SQRT(AU509*($AN$6-$AL$6)*($AM$6-$AL$6)),$AN$6-SQRT((1-AU509)*($AN$6-$AL$6)*($AN$6-$AM$6))),$AM$6)</f>
        <v/>
      </c>
      <c r="AM509">
        <f>IFERROR(IF(AV509&lt;($AM$7-$AL$7)/($AN$7-$AL$7),$AL$7+SQRT(AV509*($AN$7-$AL$7)*($AM$7-$AL$7)),$AN$7-SQRT((1-AV509)*($AN$7-$AL$7)*($AN$7-$AM$7))),$AM$7)</f>
        <v/>
      </c>
      <c r="AN509">
        <f>IFERROR(IF(AW509&lt;($AM$8-$AL$8)/($AN$8-$AL$8),$AL$8+SQRT(AW509*($AN$8-$AL$8)*($AM$8-$AL$8)),$AN$8-SQRT((1-AW509)*($AN$8-$AL$8)*($AN$8-$AM$8))),$AM$8)</f>
        <v/>
      </c>
      <c r="AO509">
        <f>IFERROR(IF(AX509&lt;($AM$9-$AL$9)/($AN$9-$AL$9),$AL$9+SQRT(AX509*($AN$9-$AL$9)*($AM$9-$AL$9)),$AN$9-SQRT((1-AX509)*($AN$9-$AL$9)*($AN$9-$AM$9))),$AM$9)</f>
        <v/>
      </c>
      <c r="AP509">
        <f>IFERROR(IF(AY509&lt;($AM$10-$AL$10)/($AN$10-$AL$10),$AL$10+SQRT(AY509*($AN$10-$AL$10)*($AM$10-$AL$10)),$AN$10-SQRT((1-AY509)*($AN$10-$AL$10)*($AN$10-$AM$10))),$AM$10)</f>
        <v/>
      </c>
      <c r="AQ509">
        <f>IFERROR(IF(AZ509&lt;($AM$11-$AL$11)/($AN$11-$AL$11),$AL$11+SQRT(AZ509*($AN$11-$AL$11)*($AM$11-$AL$11)),$AN$11-SQRT((1-AZ509)*($AN$11-$AL$11)*($AN$11-$AM$11))),$AM$11)</f>
        <v/>
      </c>
      <c r="AR509">
        <f>SUMPRODUCT((B24:B31&lt;=$B$6)*(C24:C31*AM509+D24:D31*AO509*$B$8*AQ509)/(1+AL509/100)^B24:B31)+C32*AM509*AP509/(1+AL509/100)^$B$6</f>
        <v/>
      </c>
      <c r="AS509">
        <f>SUMPRODUCT((K24:K26&lt;=$B$6)*(L24:L26*AN509+M24:M26*AO509*$B$8*AQ509)/(1+AL509/100)^K24:K26)+L27*AN509*AP509/(1+AL509/100)^$B$6</f>
        <v/>
      </c>
      <c r="AT509">
        <f>AS509-AR509</f>
        <v/>
      </c>
      <c r="AU509">
        <f>RAND()</f>
        <v/>
      </c>
      <c r="AV509">
        <f>RAND()</f>
        <v/>
      </c>
      <c r="AW509">
        <f>RAND()</f>
        <v/>
      </c>
      <c r="AX509">
        <f>RAND()</f>
        <v/>
      </c>
      <c r="AY509">
        <f>RAND()</f>
        <v/>
      </c>
      <c r="AZ509">
        <f>RAND()</f>
        <v/>
      </c>
    </row>
    <row r="510">
      <c r="AK510" t="n">
        <v>497</v>
      </c>
      <c r="AL510">
        <f>IFERROR(IF(AU510&lt;($AM$6-$AL$6)/($AN$6-$AL$6),$AL$6+SQRT(AU510*($AN$6-$AL$6)*($AM$6-$AL$6)),$AN$6-SQRT((1-AU510)*($AN$6-$AL$6)*($AN$6-$AM$6))),$AM$6)</f>
        <v/>
      </c>
      <c r="AM510">
        <f>IFERROR(IF(AV510&lt;($AM$7-$AL$7)/($AN$7-$AL$7),$AL$7+SQRT(AV510*($AN$7-$AL$7)*($AM$7-$AL$7)),$AN$7-SQRT((1-AV510)*($AN$7-$AL$7)*($AN$7-$AM$7))),$AM$7)</f>
        <v/>
      </c>
      <c r="AN510">
        <f>IFERROR(IF(AW510&lt;($AM$8-$AL$8)/($AN$8-$AL$8),$AL$8+SQRT(AW510*($AN$8-$AL$8)*($AM$8-$AL$8)),$AN$8-SQRT((1-AW510)*($AN$8-$AL$8)*($AN$8-$AM$8))),$AM$8)</f>
        <v/>
      </c>
      <c r="AO510">
        <f>IFERROR(IF(AX510&lt;($AM$9-$AL$9)/($AN$9-$AL$9),$AL$9+SQRT(AX510*($AN$9-$AL$9)*($AM$9-$AL$9)),$AN$9-SQRT((1-AX510)*($AN$9-$AL$9)*($AN$9-$AM$9))),$AM$9)</f>
        <v/>
      </c>
      <c r="AP510">
        <f>IFERROR(IF(AY510&lt;($AM$10-$AL$10)/($AN$10-$AL$10),$AL$10+SQRT(AY510*($AN$10-$AL$10)*($AM$10-$AL$10)),$AN$10-SQRT((1-AY510)*($AN$10-$AL$10)*($AN$10-$AM$10))),$AM$10)</f>
        <v/>
      </c>
      <c r="AQ510">
        <f>IFERROR(IF(AZ510&lt;($AM$11-$AL$11)/($AN$11-$AL$11),$AL$11+SQRT(AZ510*($AN$11-$AL$11)*($AM$11-$AL$11)),$AN$11-SQRT((1-AZ510)*($AN$11-$AL$11)*($AN$11-$AM$11))),$AM$11)</f>
        <v/>
      </c>
      <c r="AR510">
        <f>SUMPRODUCT((B24:B31&lt;=$B$6)*(C24:C31*AM510+D24:D31*AO510*$B$8*AQ510)/(1+AL510/100)^B24:B31)+C32*AM510*AP510/(1+AL510/100)^$B$6</f>
        <v/>
      </c>
      <c r="AS510">
        <f>SUMPRODUCT((K24:K26&lt;=$B$6)*(L24:L26*AN510+M24:M26*AO510*$B$8*AQ510)/(1+AL510/100)^K24:K26)+L27*AN510*AP510/(1+AL510/100)^$B$6</f>
        <v/>
      </c>
      <c r="AT510">
        <f>AS510-AR510</f>
        <v/>
      </c>
      <c r="AU510">
        <f>RAND()</f>
        <v/>
      </c>
      <c r="AV510">
        <f>RAND()</f>
        <v/>
      </c>
      <c r="AW510">
        <f>RAND()</f>
        <v/>
      </c>
      <c r="AX510">
        <f>RAND()</f>
        <v/>
      </c>
      <c r="AY510">
        <f>RAND()</f>
        <v/>
      </c>
      <c r="AZ510">
        <f>RAND()</f>
        <v/>
      </c>
    </row>
    <row r="511">
      <c r="AK511" t="n">
        <v>498</v>
      </c>
      <c r="AL511">
        <f>IFERROR(IF(AU511&lt;($AM$6-$AL$6)/($AN$6-$AL$6),$AL$6+SQRT(AU511*($AN$6-$AL$6)*($AM$6-$AL$6)),$AN$6-SQRT((1-AU511)*($AN$6-$AL$6)*($AN$6-$AM$6))),$AM$6)</f>
        <v/>
      </c>
      <c r="AM511">
        <f>IFERROR(IF(AV511&lt;($AM$7-$AL$7)/($AN$7-$AL$7),$AL$7+SQRT(AV511*($AN$7-$AL$7)*($AM$7-$AL$7)),$AN$7-SQRT((1-AV511)*($AN$7-$AL$7)*($AN$7-$AM$7))),$AM$7)</f>
        <v/>
      </c>
      <c r="AN511">
        <f>IFERROR(IF(AW511&lt;($AM$8-$AL$8)/($AN$8-$AL$8),$AL$8+SQRT(AW511*($AN$8-$AL$8)*($AM$8-$AL$8)),$AN$8-SQRT((1-AW511)*($AN$8-$AL$8)*($AN$8-$AM$8))),$AM$8)</f>
        <v/>
      </c>
      <c r="AO511">
        <f>IFERROR(IF(AX511&lt;($AM$9-$AL$9)/($AN$9-$AL$9),$AL$9+SQRT(AX511*($AN$9-$AL$9)*($AM$9-$AL$9)),$AN$9-SQRT((1-AX511)*($AN$9-$AL$9)*($AN$9-$AM$9))),$AM$9)</f>
        <v/>
      </c>
      <c r="AP511">
        <f>IFERROR(IF(AY511&lt;($AM$10-$AL$10)/($AN$10-$AL$10),$AL$10+SQRT(AY511*($AN$10-$AL$10)*($AM$10-$AL$10)),$AN$10-SQRT((1-AY511)*($AN$10-$AL$10)*($AN$10-$AM$10))),$AM$10)</f>
        <v/>
      </c>
      <c r="AQ511">
        <f>IFERROR(IF(AZ511&lt;($AM$11-$AL$11)/($AN$11-$AL$11),$AL$11+SQRT(AZ511*($AN$11-$AL$11)*($AM$11-$AL$11)),$AN$11-SQRT((1-AZ511)*($AN$11-$AL$11)*($AN$11-$AM$11))),$AM$11)</f>
        <v/>
      </c>
      <c r="AR511">
        <f>SUMPRODUCT((B24:B31&lt;=$B$6)*(C24:C31*AM511+D24:D31*AO511*$B$8*AQ511)/(1+AL511/100)^B24:B31)+C32*AM511*AP511/(1+AL511/100)^$B$6</f>
        <v/>
      </c>
      <c r="AS511">
        <f>SUMPRODUCT((K24:K26&lt;=$B$6)*(L24:L26*AN511+M24:M26*AO511*$B$8*AQ511)/(1+AL511/100)^K24:K26)+L27*AN511*AP511/(1+AL511/100)^$B$6</f>
        <v/>
      </c>
      <c r="AT511">
        <f>AS511-AR511</f>
        <v/>
      </c>
      <c r="AU511">
        <f>RAND()</f>
        <v/>
      </c>
      <c r="AV511">
        <f>RAND()</f>
        <v/>
      </c>
      <c r="AW511">
        <f>RAND()</f>
        <v/>
      </c>
      <c r="AX511">
        <f>RAND()</f>
        <v/>
      </c>
      <c r="AY511">
        <f>RAND()</f>
        <v/>
      </c>
      <c r="AZ511">
        <f>RAND()</f>
        <v/>
      </c>
    </row>
    <row r="512">
      <c r="AK512" t="n">
        <v>499</v>
      </c>
      <c r="AL512">
        <f>IFERROR(IF(AU512&lt;($AM$6-$AL$6)/($AN$6-$AL$6),$AL$6+SQRT(AU512*($AN$6-$AL$6)*($AM$6-$AL$6)),$AN$6-SQRT((1-AU512)*($AN$6-$AL$6)*($AN$6-$AM$6))),$AM$6)</f>
        <v/>
      </c>
      <c r="AM512">
        <f>IFERROR(IF(AV512&lt;($AM$7-$AL$7)/($AN$7-$AL$7),$AL$7+SQRT(AV512*($AN$7-$AL$7)*($AM$7-$AL$7)),$AN$7-SQRT((1-AV512)*($AN$7-$AL$7)*($AN$7-$AM$7))),$AM$7)</f>
        <v/>
      </c>
      <c r="AN512">
        <f>IFERROR(IF(AW512&lt;($AM$8-$AL$8)/($AN$8-$AL$8),$AL$8+SQRT(AW512*($AN$8-$AL$8)*($AM$8-$AL$8)),$AN$8-SQRT((1-AW512)*($AN$8-$AL$8)*($AN$8-$AM$8))),$AM$8)</f>
        <v/>
      </c>
      <c r="AO512">
        <f>IFERROR(IF(AX512&lt;($AM$9-$AL$9)/($AN$9-$AL$9),$AL$9+SQRT(AX512*($AN$9-$AL$9)*($AM$9-$AL$9)),$AN$9-SQRT((1-AX512)*($AN$9-$AL$9)*($AN$9-$AM$9))),$AM$9)</f>
        <v/>
      </c>
      <c r="AP512">
        <f>IFERROR(IF(AY512&lt;($AM$10-$AL$10)/($AN$10-$AL$10),$AL$10+SQRT(AY512*($AN$10-$AL$10)*($AM$10-$AL$10)),$AN$10-SQRT((1-AY512)*($AN$10-$AL$10)*($AN$10-$AM$10))),$AM$10)</f>
        <v/>
      </c>
      <c r="AQ512">
        <f>IFERROR(IF(AZ512&lt;($AM$11-$AL$11)/($AN$11-$AL$11),$AL$11+SQRT(AZ512*($AN$11-$AL$11)*($AM$11-$AL$11)),$AN$11-SQRT((1-AZ512)*($AN$11-$AL$11)*($AN$11-$AM$11))),$AM$11)</f>
        <v/>
      </c>
      <c r="AR512">
        <f>SUMPRODUCT((B24:B31&lt;=$B$6)*(C24:C31*AM512+D24:D31*AO512*$B$8*AQ512)/(1+AL512/100)^B24:B31)+C32*AM512*AP512/(1+AL512/100)^$B$6</f>
        <v/>
      </c>
      <c r="AS512">
        <f>SUMPRODUCT((K24:K26&lt;=$B$6)*(L24:L26*AN512+M24:M26*AO512*$B$8*AQ512)/(1+AL512/100)^K24:K26)+L27*AN512*AP512/(1+AL512/100)^$B$6</f>
        <v/>
      </c>
      <c r="AT512">
        <f>AS512-AR512</f>
        <v/>
      </c>
      <c r="AU512">
        <f>RAND()</f>
        <v/>
      </c>
      <c r="AV512">
        <f>RAND()</f>
        <v/>
      </c>
      <c r="AW512">
        <f>RAND()</f>
        <v/>
      </c>
      <c r="AX512">
        <f>RAND()</f>
        <v/>
      </c>
      <c r="AY512">
        <f>RAND()</f>
        <v/>
      </c>
      <c r="AZ512">
        <f>RAND()</f>
        <v/>
      </c>
    </row>
    <row r="513">
      <c r="AK513" t="n">
        <v>500</v>
      </c>
      <c r="AL513">
        <f>IFERROR(IF(AU513&lt;($AM$6-$AL$6)/($AN$6-$AL$6),$AL$6+SQRT(AU513*($AN$6-$AL$6)*($AM$6-$AL$6)),$AN$6-SQRT((1-AU513)*($AN$6-$AL$6)*($AN$6-$AM$6))),$AM$6)</f>
        <v/>
      </c>
      <c r="AM513">
        <f>IFERROR(IF(AV513&lt;($AM$7-$AL$7)/($AN$7-$AL$7),$AL$7+SQRT(AV513*($AN$7-$AL$7)*($AM$7-$AL$7)),$AN$7-SQRT((1-AV513)*($AN$7-$AL$7)*($AN$7-$AM$7))),$AM$7)</f>
        <v/>
      </c>
      <c r="AN513">
        <f>IFERROR(IF(AW513&lt;($AM$8-$AL$8)/($AN$8-$AL$8),$AL$8+SQRT(AW513*($AN$8-$AL$8)*($AM$8-$AL$8)),$AN$8-SQRT((1-AW513)*($AN$8-$AL$8)*($AN$8-$AM$8))),$AM$8)</f>
        <v/>
      </c>
      <c r="AO513">
        <f>IFERROR(IF(AX513&lt;($AM$9-$AL$9)/($AN$9-$AL$9),$AL$9+SQRT(AX513*($AN$9-$AL$9)*($AM$9-$AL$9)),$AN$9-SQRT((1-AX513)*($AN$9-$AL$9)*($AN$9-$AM$9))),$AM$9)</f>
        <v/>
      </c>
      <c r="AP513">
        <f>IFERROR(IF(AY513&lt;($AM$10-$AL$10)/($AN$10-$AL$10),$AL$10+SQRT(AY513*($AN$10-$AL$10)*($AM$10-$AL$10)),$AN$10-SQRT((1-AY513)*($AN$10-$AL$10)*($AN$10-$AM$10))),$AM$10)</f>
        <v/>
      </c>
      <c r="AQ513">
        <f>IFERROR(IF(AZ513&lt;($AM$11-$AL$11)/($AN$11-$AL$11),$AL$11+SQRT(AZ513*($AN$11-$AL$11)*($AM$11-$AL$11)),$AN$11-SQRT((1-AZ513)*($AN$11-$AL$11)*($AN$11-$AM$11))),$AM$11)</f>
        <v/>
      </c>
      <c r="AR513">
        <f>SUMPRODUCT((B24:B31&lt;=$B$6)*(C24:C31*AM513+D24:D31*AO513*$B$8*AQ513)/(1+AL513/100)^B24:B31)+C32*AM513*AP513/(1+AL513/100)^$B$6</f>
        <v/>
      </c>
      <c r="AS513">
        <f>SUMPRODUCT((K24:K26&lt;=$B$6)*(L24:L26*AN513+M24:M26*AO513*$B$8*AQ513)/(1+AL513/100)^K24:K26)+L27*AN513*AP513/(1+AL513/100)^$B$6</f>
        <v/>
      </c>
      <c r="AT513">
        <f>AS513-AR513</f>
        <v/>
      </c>
      <c r="AU513">
        <f>RAND()</f>
        <v/>
      </c>
      <c r="AV513">
        <f>RAND()</f>
        <v/>
      </c>
      <c r="AW513">
        <f>RAND()</f>
        <v/>
      </c>
      <c r="AX513">
        <f>RAND()</f>
        <v/>
      </c>
      <c r="AY513">
        <f>RAND()</f>
        <v/>
      </c>
      <c r="AZ513">
        <f>RAND()</f>
        <v/>
      </c>
    </row>
    <row r="514">
      <c r="AK514" t="n">
        <v>501</v>
      </c>
      <c r="AL514">
        <f>IFERROR(IF(AU514&lt;($AM$6-$AL$6)/($AN$6-$AL$6),$AL$6+SQRT(AU514*($AN$6-$AL$6)*($AM$6-$AL$6)),$AN$6-SQRT((1-AU514)*($AN$6-$AL$6)*($AN$6-$AM$6))),$AM$6)</f>
        <v/>
      </c>
      <c r="AM514">
        <f>IFERROR(IF(AV514&lt;($AM$7-$AL$7)/($AN$7-$AL$7),$AL$7+SQRT(AV514*($AN$7-$AL$7)*($AM$7-$AL$7)),$AN$7-SQRT((1-AV514)*($AN$7-$AL$7)*($AN$7-$AM$7))),$AM$7)</f>
        <v/>
      </c>
      <c r="AN514">
        <f>IFERROR(IF(AW514&lt;($AM$8-$AL$8)/($AN$8-$AL$8),$AL$8+SQRT(AW514*($AN$8-$AL$8)*($AM$8-$AL$8)),$AN$8-SQRT((1-AW514)*($AN$8-$AL$8)*($AN$8-$AM$8))),$AM$8)</f>
        <v/>
      </c>
      <c r="AO514">
        <f>IFERROR(IF(AX514&lt;($AM$9-$AL$9)/($AN$9-$AL$9),$AL$9+SQRT(AX514*($AN$9-$AL$9)*($AM$9-$AL$9)),$AN$9-SQRT((1-AX514)*($AN$9-$AL$9)*($AN$9-$AM$9))),$AM$9)</f>
        <v/>
      </c>
      <c r="AP514">
        <f>IFERROR(IF(AY514&lt;($AM$10-$AL$10)/($AN$10-$AL$10),$AL$10+SQRT(AY514*($AN$10-$AL$10)*($AM$10-$AL$10)),$AN$10-SQRT((1-AY514)*($AN$10-$AL$10)*($AN$10-$AM$10))),$AM$10)</f>
        <v/>
      </c>
      <c r="AQ514">
        <f>IFERROR(IF(AZ514&lt;($AM$11-$AL$11)/($AN$11-$AL$11),$AL$11+SQRT(AZ514*($AN$11-$AL$11)*($AM$11-$AL$11)),$AN$11-SQRT((1-AZ514)*($AN$11-$AL$11)*($AN$11-$AM$11))),$AM$11)</f>
        <v/>
      </c>
      <c r="AR514">
        <f>SUMPRODUCT((B24:B31&lt;=$B$6)*(C24:C31*AM514+D24:D31*AO514*$B$8*AQ514)/(1+AL514/100)^B24:B31)+C32*AM514*AP514/(1+AL514/100)^$B$6</f>
        <v/>
      </c>
      <c r="AS514">
        <f>SUMPRODUCT((K24:K26&lt;=$B$6)*(L24:L26*AN514+M24:M26*AO514*$B$8*AQ514)/(1+AL514/100)^K24:K26)+L27*AN514*AP514/(1+AL514/100)^$B$6</f>
        <v/>
      </c>
      <c r="AT514">
        <f>AS514-AR514</f>
        <v/>
      </c>
      <c r="AU514">
        <f>RAND()</f>
        <v/>
      </c>
      <c r="AV514">
        <f>RAND()</f>
        <v/>
      </c>
      <c r="AW514">
        <f>RAND()</f>
        <v/>
      </c>
      <c r="AX514">
        <f>RAND()</f>
        <v/>
      </c>
      <c r="AY514">
        <f>RAND()</f>
        <v/>
      </c>
      <c r="AZ514">
        <f>RAND()</f>
        <v/>
      </c>
    </row>
    <row r="515">
      <c r="AK515" t="n">
        <v>502</v>
      </c>
      <c r="AL515">
        <f>IFERROR(IF(AU515&lt;($AM$6-$AL$6)/($AN$6-$AL$6),$AL$6+SQRT(AU515*($AN$6-$AL$6)*($AM$6-$AL$6)),$AN$6-SQRT((1-AU515)*($AN$6-$AL$6)*($AN$6-$AM$6))),$AM$6)</f>
        <v/>
      </c>
      <c r="AM515">
        <f>IFERROR(IF(AV515&lt;($AM$7-$AL$7)/($AN$7-$AL$7),$AL$7+SQRT(AV515*($AN$7-$AL$7)*($AM$7-$AL$7)),$AN$7-SQRT((1-AV515)*($AN$7-$AL$7)*($AN$7-$AM$7))),$AM$7)</f>
        <v/>
      </c>
      <c r="AN515">
        <f>IFERROR(IF(AW515&lt;($AM$8-$AL$8)/($AN$8-$AL$8),$AL$8+SQRT(AW515*($AN$8-$AL$8)*($AM$8-$AL$8)),$AN$8-SQRT((1-AW515)*($AN$8-$AL$8)*($AN$8-$AM$8))),$AM$8)</f>
        <v/>
      </c>
      <c r="AO515">
        <f>IFERROR(IF(AX515&lt;($AM$9-$AL$9)/($AN$9-$AL$9),$AL$9+SQRT(AX515*($AN$9-$AL$9)*($AM$9-$AL$9)),$AN$9-SQRT((1-AX515)*($AN$9-$AL$9)*($AN$9-$AM$9))),$AM$9)</f>
        <v/>
      </c>
      <c r="AP515">
        <f>IFERROR(IF(AY515&lt;($AM$10-$AL$10)/($AN$10-$AL$10),$AL$10+SQRT(AY515*($AN$10-$AL$10)*($AM$10-$AL$10)),$AN$10-SQRT((1-AY515)*($AN$10-$AL$10)*($AN$10-$AM$10))),$AM$10)</f>
        <v/>
      </c>
      <c r="AQ515">
        <f>IFERROR(IF(AZ515&lt;($AM$11-$AL$11)/($AN$11-$AL$11),$AL$11+SQRT(AZ515*($AN$11-$AL$11)*($AM$11-$AL$11)),$AN$11-SQRT((1-AZ515)*($AN$11-$AL$11)*($AN$11-$AM$11))),$AM$11)</f>
        <v/>
      </c>
      <c r="AR515">
        <f>SUMPRODUCT((B24:B31&lt;=$B$6)*(C24:C31*AM515+D24:D31*AO515*$B$8*AQ515)/(1+AL515/100)^B24:B31)+C32*AM515*AP515/(1+AL515/100)^$B$6</f>
        <v/>
      </c>
      <c r="AS515">
        <f>SUMPRODUCT((K24:K26&lt;=$B$6)*(L24:L26*AN515+M24:M26*AO515*$B$8*AQ515)/(1+AL515/100)^K24:K26)+L27*AN515*AP515/(1+AL515/100)^$B$6</f>
        <v/>
      </c>
      <c r="AT515">
        <f>AS515-AR515</f>
        <v/>
      </c>
      <c r="AU515">
        <f>RAND()</f>
        <v/>
      </c>
      <c r="AV515">
        <f>RAND()</f>
        <v/>
      </c>
      <c r="AW515">
        <f>RAND()</f>
        <v/>
      </c>
      <c r="AX515">
        <f>RAND()</f>
        <v/>
      </c>
      <c r="AY515">
        <f>RAND()</f>
        <v/>
      </c>
      <c r="AZ515">
        <f>RAND()</f>
        <v/>
      </c>
    </row>
    <row r="516">
      <c r="AK516" t="n">
        <v>503</v>
      </c>
      <c r="AL516">
        <f>IFERROR(IF(AU516&lt;($AM$6-$AL$6)/($AN$6-$AL$6),$AL$6+SQRT(AU516*($AN$6-$AL$6)*($AM$6-$AL$6)),$AN$6-SQRT((1-AU516)*($AN$6-$AL$6)*($AN$6-$AM$6))),$AM$6)</f>
        <v/>
      </c>
      <c r="AM516">
        <f>IFERROR(IF(AV516&lt;($AM$7-$AL$7)/($AN$7-$AL$7),$AL$7+SQRT(AV516*($AN$7-$AL$7)*($AM$7-$AL$7)),$AN$7-SQRT((1-AV516)*($AN$7-$AL$7)*($AN$7-$AM$7))),$AM$7)</f>
        <v/>
      </c>
      <c r="AN516">
        <f>IFERROR(IF(AW516&lt;($AM$8-$AL$8)/($AN$8-$AL$8),$AL$8+SQRT(AW516*($AN$8-$AL$8)*($AM$8-$AL$8)),$AN$8-SQRT((1-AW516)*($AN$8-$AL$8)*($AN$8-$AM$8))),$AM$8)</f>
        <v/>
      </c>
      <c r="AO516">
        <f>IFERROR(IF(AX516&lt;($AM$9-$AL$9)/($AN$9-$AL$9),$AL$9+SQRT(AX516*($AN$9-$AL$9)*($AM$9-$AL$9)),$AN$9-SQRT((1-AX516)*($AN$9-$AL$9)*($AN$9-$AM$9))),$AM$9)</f>
        <v/>
      </c>
      <c r="AP516">
        <f>IFERROR(IF(AY516&lt;($AM$10-$AL$10)/($AN$10-$AL$10),$AL$10+SQRT(AY516*($AN$10-$AL$10)*($AM$10-$AL$10)),$AN$10-SQRT((1-AY516)*($AN$10-$AL$10)*($AN$10-$AM$10))),$AM$10)</f>
        <v/>
      </c>
      <c r="AQ516">
        <f>IFERROR(IF(AZ516&lt;($AM$11-$AL$11)/($AN$11-$AL$11),$AL$11+SQRT(AZ516*($AN$11-$AL$11)*($AM$11-$AL$11)),$AN$11-SQRT((1-AZ516)*($AN$11-$AL$11)*($AN$11-$AM$11))),$AM$11)</f>
        <v/>
      </c>
      <c r="AR516">
        <f>SUMPRODUCT((B24:B31&lt;=$B$6)*(C24:C31*AM516+D24:D31*AO516*$B$8*AQ516)/(1+AL516/100)^B24:B31)+C32*AM516*AP516/(1+AL516/100)^$B$6</f>
        <v/>
      </c>
      <c r="AS516">
        <f>SUMPRODUCT((K24:K26&lt;=$B$6)*(L24:L26*AN516+M24:M26*AO516*$B$8*AQ516)/(1+AL516/100)^K24:K26)+L27*AN516*AP516/(1+AL516/100)^$B$6</f>
        <v/>
      </c>
      <c r="AT516">
        <f>AS516-AR516</f>
        <v/>
      </c>
      <c r="AU516">
        <f>RAND()</f>
        <v/>
      </c>
      <c r="AV516">
        <f>RAND()</f>
        <v/>
      </c>
      <c r="AW516">
        <f>RAND()</f>
        <v/>
      </c>
      <c r="AX516">
        <f>RAND()</f>
        <v/>
      </c>
      <c r="AY516">
        <f>RAND()</f>
        <v/>
      </c>
      <c r="AZ516">
        <f>RAND()</f>
        <v/>
      </c>
    </row>
    <row r="517">
      <c r="AK517" t="n">
        <v>504</v>
      </c>
      <c r="AL517">
        <f>IFERROR(IF(AU517&lt;($AM$6-$AL$6)/($AN$6-$AL$6),$AL$6+SQRT(AU517*($AN$6-$AL$6)*($AM$6-$AL$6)),$AN$6-SQRT((1-AU517)*($AN$6-$AL$6)*($AN$6-$AM$6))),$AM$6)</f>
        <v/>
      </c>
      <c r="AM517">
        <f>IFERROR(IF(AV517&lt;($AM$7-$AL$7)/($AN$7-$AL$7),$AL$7+SQRT(AV517*($AN$7-$AL$7)*($AM$7-$AL$7)),$AN$7-SQRT((1-AV517)*($AN$7-$AL$7)*($AN$7-$AM$7))),$AM$7)</f>
        <v/>
      </c>
      <c r="AN517">
        <f>IFERROR(IF(AW517&lt;($AM$8-$AL$8)/($AN$8-$AL$8),$AL$8+SQRT(AW517*($AN$8-$AL$8)*($AM$8-$AL$8)),$AN$8-SQRT((1-AW517)*($AN$8-$AL$8)*($AN$8-$AM$8))),$AM$8)</f>
        <v/>
      </c>
      <c r="AO517">
        <f>IFERROR(IF(AX517&lt;($AM$9-$AL$9)/($AN$9-$AL$9),$AL$9+SQRT(AX517*($AN$9-$AL$9)*($AM$9-$AL$9)),$AN$9-SQRT((1-AX517)*($AN$9-$AL$9)*($AN$9-$AM$9))),$AM$9)</f>
        <v/>
      </c>
      <c r="AP517">
        <f>IFERROR(IF(AY517&lt;($AM$10-$AL$10)/($AN$10-$AL$10),$AL$10+SQRT(AY517*($AN$10-$AL$10)*($AM$10-$AL$10)),$AN$10-SQRT((1-AY517)*($AN$10-$AL$10)*($AN$10-$AM$10))),$AM$10)</f>
        <v/>
      </c>
      <c r="AQ517">
        <f>IFERROR(IF(AZ517&lt;($AM$11-$AL$11)/($AN$11-$AL$11),$AL$11+SQRT(AZ517*($AN$11-$AL$11)*($AM$11-$AL$11)),$AN$11-SQRT((1-AZ517)*($AN$11-$AL$11)*($AN$11-$AM$11))),$AM$11)</f>
        <v/>
      </c>
      <c r="AR517">
        <f>SUMPRODUCT((B24:B31&lt;=$B$6)*(C24:C31*AM517+D24:D31*AO517*$B$8*AQ517)/(1+AL517/100)^B24:B31)+C32*AM517*AP517/(1+AL517/100)^$B$6</f>
        <v/>
      </c>
      <c r="AS517">
        <f>SUMPRODUCT((K24:K26&lt;=$B$6)*(L24:L26*AN517+M24:M26*AO517*$B$8*AQ517)/(1+AL517/100)^K24:K26)+L27*AN517*AP517/(1+AL517/100)^$B$6</f>
        <v/>
      </c>
      <c r="AT517">
        <f>AS517-AR517</f>
        <v/>
      </c>
      <c r="AU517">
        <f>RAND()</f>
        <v/>
      </c>
      <c r="AV517">
        <f>RAND()</f>
        <v/>
      </c>
      <c r="AW517">
        <f>RAND()</f>
        <v/>
      </c>
      <c r="AX517">
        <f>RAND()</f>
        <v/>
      </c>
      <c r="AY517">
        <f>RAND()</f>
        <v/>
      </c>
      <c r="AZ517">
        <f>RAND()</f>
        <v/>
      </c>
    </row>
    <row r="518">
      <c r="AK518" t="n">
        <v>505</v>
      </c>
      <c r="AL518">
        <f>IFERROR(IF(AU518&lt;($AM$6-$AL$6)/($AN$6-$AL$6),$AL$6+SQRT(AU518*($AN$6-$AL$6)*($AM$6-$AL$6)),$AN$6-SQRT((1-AU518)*($AN$6-$AL$6)*($AN$6-$AM$6))),$AM$6)</f>
        <v/>
      </c>
      <c r="AM518">
        <f>IFERROR(IF(AV518&lt;($AM$7-$AL$7)/($AN$7-$AL$7),$AL$7+SQRT(AV518*($AN$7-$AL$7)*($AM$7-$AL$7)),$AN$7-SQRT((1-AV518)*($AN$7-$AL$7)*($AN$7-$AM$7))),$AM$7)</f>
        <v/>
      </c>
      <c r="AN518">
        <f>IFERROR(IF(AW518&lt;($AM$8-$AL$8)/($AN$8-$AL$8),$AL$8+SQRT(AW518*($AN$8-$AL$8)*($AM$8-$AL$8)),$AN$8-SQRT((1-AW518)*($AN$8-$AL$8)*($AN$8-$AM$8))),$AM$8)</f>
        <v/>
      </c>
      <c r="AO518">
        <f>IFERROR(IF(AX518&lt;($AM$9-$AL$9)/($AN$9-$AL$9),$AL$9+SQRT(AX518*($AN$9-$AL$9)*($AM$9-$AL$9)),$AN$9-SQRT((1-AX518)*($AN$9-$AL$9)*($AN$9-$AM$9))),$AM$9)</f>
        <v/>
      </c>
      <c r="AP518">
        <f>IFERROR(IF(AY518&lt;($AM$10-$AL$10)/($AN$10-$AL$10),$AL$10+SQRT(AY518*($AN$10-$AL$10)*($AM$10-$AL$10)),$AN$10-SQRT((1-AY518)*($AN$10-$AL$10)*($AN$10-$AM$10))),$AM$10)</f>
        <v/>
      </c>
      <c r="AQ518">
        <f>IFERROR(IF(AZ518&lt;($AM$11-$AL$11)/($AN$11-$AL$11),$AL$11+SQRT(AZ518*($AN$11-$AL$11)*($AM$11-$AL$11)),$AN$11-SQRT((1-AZ518)*($AN$11-$AL$11)*($AN$11-$AM$11))),$AM$11)</f>
        <v/>
      </c>
      <c r="AR518">
        <f>SUMPRODUCT((B24:B31&lt;=$B$6)*(C24:C31*AM518+D24:D31*AO518*$B$8*AQ518)/(1+AL518/100)^B24:B31)+C32*AM518*AP518/(1+AL518/100)^$B$6</f>
        <v/>
      </c>
      <c r="AS518">
        <f>SUMPRODUCT((K24:K26&lt;=$B$6)*(L24:L26*AN518+M24:M26*AO518*$B$8*AQ518)/(1+AL518/100)^K24:K26)+L27*AN518*AP518/(1+AL518/100)^$B$6</f>
        <v/>
      </c>
      <c r="AT518">
        <f>AS518-AR518</f>
        <v/>
      </c>
      <c r="AU518">
        <f>RAND()</f>
        <v/>
      </c>
      <c r="AV518">
        <f>RAND()</f>
        <v/>
      </c>
      <c r="AW518">
        <f>RAND()</f>
        <v/>
      </c>
      <c r="AX518">
        <f>RAND()</f>
        <v/>
      </c>
      <c r="AY518">
        <f>RAND()</f>
        <v/>
      </c>
      <c r="AZ518">
        <f>RAND()</f>
        <v/>
      </c>
    </row>
    <row r="519">
      <c r="AK519" t="n">
        <v>506</v>
      </c>
      <c r="AL519">
        <f>IFERROR(IF(AU519&lt;($AM$6-$AL$6)/($AN$6-$AL$6),$AL$6+SQRT(AU519*($AN$6-$AL$6)*($AM$6-$AL$6)),$AN$6-SQRT((1-AU519)*($AN$6-$AL$6)*($AN$6-$AM$6))),$AM$6)</f>
        <v/>
      </c>
      <c r="AM519">
        <f>IFERROR(IF(AV519&lt;($AM$7-$AL$7)/($AN$7-$AL$7),$AL$7+SQRT(AV519*($AN$7-$AL$7)*($AM$7-$AL$7)),$AN$7-SQRT((1-AV519)*($AN$7-$AL$7)*($AN$7-$AM$7))),$AM$7)</f>
        <v/>
      </c>
      <c r="AN519">
        <f>IFERROR(IF(AW519&lt;($AM$8-$AL$8)/($AN$8-$AL$8),$AL$8+SQRT(AW519*($AN$8-$AL$8)*($AM$8-$AL$8)),$AN$8-SQRT((1-AW519)*($AN$8-$AL$8)*($AN$8-$AM$8))),$AM$8)</f>
        <v/>
      </c>
      <c r="AO519">
        <f>IFERROR(IF(AX519&lt;($AM$9-$AL$9)/($AN$9-$AL$9),$AL$9+SQRT(AX519*($AN$9-$AL$9)*($AM$9-$AL$9)),$AN$9-SQRT((1-AX519)*($AN$9-$AL$9)*($AN$9-$AM$9))),$AM$9)</f>
        <v/>
      </c>
      <c r="AP519">
        <f>IFERROR(IF(AY519&lt;($AM$10-$AL$10)/($AN$10-$AL$10),$AL$10+SQRT(AY519*($AN$10-$AL$10)*($AM$10-$AL$10)),$AN$10-SQRT((1-AY519)*($AN$10-$AL$10)*($AN$10-$AM$10))),$AM$10)</f>
        <v/>
      </c>
      <c r="AQ519">
        <f>IFERROR(IF(AZ519&lt;($AM$11-$AL$11)/($AN$11-$AL$11),$AL$11+SQRT(AZ519*($AN$11-$AL$11)*($AM$11-$AL$11)),$AN$11-SQRT((1-AZ519)*($AN$11-$AL$11)*($AN$11-$AM$11))),$AM$11)</f>
        <v/>
      </c>
      <c r="AR519">
        <f>SUMPRODUCT((B24:B31&lt;=$B$6)*(C24:C31*AM519+D24:D31*AO519*$B$8*AQ519)/(1+AL519/100)^B24:B31)+C32*AM519*AP519/(1+AL519/100)^$B$6</f>
        <v/>
      </c>
      <c r="AS519">
        <f>SUMPRODUCT((K24:K26&lt;=$B$6)*(L24:L26*AN519+M24:M26*AO519*$B$8*AQ519)/(1+AL519/100)^K24:K26)+L27*AN519*AP519/(1+AL519/100)^$B$6</f>
        <v/>
      </c>
      <c r="AT519">
        <f>AS519-AR519</f>
        <v/>
      </c>
      <c r="AU519">
        <f>RAND()</f>
        <v/>
      </c>
      <c r="AV519">
        <f>RAND()</f>
        <v/>
      </c>
      <c r="AW519">
        <f>RAND()</f>
        <v/>
      </c>
      <c r="AX519">
        <f>RAND()</f>
        <v/>
      </c>
      <c r="AY519">
        <f>RAND()</f>
        <v/>
      </c>
      <c r="AZ519">
        <f>RAND()</f>
        <v/>
      </c>
    </row>
    <row r="520">
      <c r="AK520" t="n">
        <v>507</v>
      </c>
      <c r="AL520">
        <f>IFERROR(IF(AU520&lt;($AM$6-$AL$6)/($AN$6-$AL$6),$AL$6+SQRT(AU520*($AN$6-$AL$6)*($AM$6-$AL$6)),$AN$6-SQRT((1-AU520)*($AN$6-$AL$6)*($AN$6-$AM$6))),$AM$6)</f>
        <v/>
      </c>
      <c r="AM520">
        <f>IFERROR(IF(AV520&lt;($AM$7-$AL$7)/($AN$7-$AL$7),$AL$7+SQRT(AV520*($AN$7-$AL$7)*($AM$7-$AL$7)),$AN$7-SQRT((1-AV520)*($AN$7-$AL$7)*($AN$7-$AM$7))),$AM$7)</f>
        <v/>
      </c>
      <c r="AN520">
        <f>IFERROR(IF(AW520&lt;($AM$8-$AL$8)/($AN$8-$AL$8),$AL$8+SQRT(AW520*($AN$8-$AL$8)*($AM$8-$AL$8)),$AN$8-SQRT((1-AW520)*($AN$8-$AL$8)*($AN$8-$AM$8))),$AM$8)</f>
        <v/>
      </c>
      <c r="AO520">
        <f>IFERROR(IF(AX520&lt;($AM$9-$AL$9)/($AN$9-$AL$9),$AL$9+SQRT(AX520*($AN$9-$AL$9)*($AM$9-$AL$9)),$AN$9-SQRT((1-AX520)*($AN$9-$AL$9)*($AN$9-$AM$9))),$AM$9)</f>
        <v/>
      </c>
      <c r="AP520">
        <f>IFERROR(IF(AY520&lt;($AM$10-$AL$10)/($AN$10-$AL$10),$AL$10+SQRT(AY520*($AN$10-$AL$10)*($AM$10-$AL$10)),$AN$10-SQRT((1-AY520)*($AN$10-$AL$10)*($AN$10-$AM$10))),$AM$10)</f>
        <v/>
      </c>
      <c r="AQ520">
        <f>IFERROR(IF(AZ520&lt;($AM$11-$AL$11)/($AN$11-$AL$11),$AL$11+SQRT(AZ520*($AN$11-$AL$11)*($AM$11-$AL$11)),$AN$11-SQRT((1-AZ520)*($AN$11-$AL$11)*($AN$11-$AM$11))),$AM$11)</f>
        <v/>
      </c>
      <c r="AR520">
        <f>SUMPRODUCT((B24:B31&lt;=$B$6)*(C24:C31*AM520+D24:D31*AO520*$B$8*AQ520)/(1+AL520/100)^B24:B31)+C32*AM520*AP520/(1+AL520/100)^$B$6</f>
        <v/>
      </c>
      <c r="AS520">
        <f>SUMPRODUCT((K24:K26&lt;=$B$6)*(L24:L26*AN520+M24:M26*AO520*$B$8*AQ520)/(1+AL520/100)^K24:K26)+L27*AN520*AP520/(1+AL520/100)^$B$6</f>
        <v/>
      </c>
      <c r="AT520">
        <f>AS520-AR520</f>
        <v/>
      </c>
      <c r="AU520">
        <f>RAND()</f>
        <v/>
      </c>
      <c r="AV520">
        <f>RAND()</f>
        <v/>
      </c>
      <c r="AW520">
        <f>RAND()</f>
        <v/>
      </c>
      <c r="AX520">
        <f>RAND()</f>
        <v/>
      </c>
      <c r="AY520">
        <f>RAND()</f>
        <v/>
      </c>
      <c r="AZ520">
        <f>RAND()</f>
        <v/>
      </c>
    </row>
    <row r="521">
      <c r="AK521" t="n">
        <v>508</v>
      </c>
      <c r="AL521">
        <f>IFERROR(IF(AU521&lt;($AM$6-$AL$6)/($AN$6-$AL$6),$AL$6+SQRT(AU521*($AN$6-$AL$6)*($AM$6-$AL$6)),$AN$6-SQRT((1-AU521)*($AN$6-$AL$6)*($AN$6-$AM$6))),$AM$6)</f>
        <v/>
      </c>
      <c r="AM521">
        <f>IFERROR(IF(AV521&lt;($AM$7-$AL$7)/($AN$7-$AL$7),$AL$7+SQRT(AV521*($AN$7-$AL$7)*($AM$7-$AL$7)),$AN$7-SQRT((1-AV521)*($AN$7-$AL$7)*($AN$7-$AM$7))),$AM$7)</f>
        <v/>
      </c>
      <c r="AN521">
        <f>IFERROR(IF(AW521&lt;($AM$8-$AL$8)/($AN$8-$AL$8),$AL$8+SQRT(AW521*($AN$8-$AL$8)*($AM$8-$AL$8)),$AN$8-SQRT((1-AW521)*($AN$8-$AL$8)*($AN$8-$AM$8))),$AM$8)</f>
        <v/>
      </c>
      <c r="AO521">
        <f>IFERROR(IF(AX521&lt;($AM$9-$AL$9)/($AN$9-$AL$9),$AL$9+SQRT(AX521*($AN$9-$AL$9)*($AM$9-$AL$9)),$AN$9-SQRT((1-AX521)*($AN$9-$AL$9)*($AN$9-$AM$9))),$AM$9)</f>
        <v/>
      </c>
      <c r="AP521">
        <f>IFERROR(IF(AY521&lt;($AM$10-$AL$10)/($AN$10-$AL$10),$AL$10+SQRT(AY521*($AN$10-$AL$10)*($AM$10-$AL$10)),$AN$10-SQRT((1-AY521)*($AN$10-$AL$10)*($AN$10-$AM$10))),$AM$10)</f>
        <v/>
      </c>
      <c r="AQ521">
        <f>IFERROR(IF(AZ521&lt;($AM$11-$AL$11)/($AN$11-$AL$11),$AL$11+SQRT(AZ521*($AN$11-$AL$11)*($AM$11-$AL$11)),$AN$11-SQRT((1-AZ521)*($AN$11-$AL$11)*($AN$11-$AM$11))),$AM$11)</f>
        <v/>
      </c>
      <c r="AR521">
        <f>SUMPRODUCT((B24:B31&lt;=$B$6)*(C24:C31*AM521+D24:D31*AO521*$B$8*AQ521)/(1+AL521/100)^B24:B31)+C32*AM521*AP521/(1+AL521/100)^$B$6</f>
        <v/>
      </c>
      <c r="AS521">
        <f>SUMPRODUCT((K24:K26&lt;=$B$6)*(L24:L26*AN521+M24:M26*AO521*$B$8*AQ521)/(1+AL521/100)^K24:K26)+L27*AN521*AP521/(1+AL521/100)^$B$6</f>
        <v/>
      </c>
      <c r="AT521">
        <f>AS521-AR521</f>
        <v/>
      </c>
      <c r="AU521">
        <f>RAND()</f>
        <v/>
      </c>
      <c r="AV521">
        <f>RAND()</f>
        <v/>
      </c>
      <c r="AW521">
        <f>RAND()</f>
        <v/>
      </c>
      <c r="AX521">
        <f>RAND()</f>
        <v/>
      </c>
      <c r="AY521">
        <f>RAND()</f>
        <v/>
      </c>
      <c r="AZ521">
        <f>RAND()</f>
        <v/>
      </c>
    </row>
    <row r="522">
      <c r="AK522" t="n">
        <v>509</v>
      </c>
      <c r="AL522">
        <f>IFERROR(IF(AU522&lt;($AM$6-$AL$6)/($AN$6-$AL$6),$AL$6+SQRT(AU522*($AN$6-$AL$6)*($AM$6-$AL$6)),$AN$6-SQRT((1-AU522)*($AN$6-$AL$6)*($AN$6-$AM$6))),$AM$6)</f>
        <v/>
      </c>
      <c r="AM522">
        <f>IFERROR(IF(AV522&lt;($AM$7-$AL$7)/($AN$7-$AL$7),$AL$7+SQRT(AV522*($AN$7-$AL$7)*($AM$7-$AL$7)),$AN$7-SQRT((1-AV522)*($AN$7-$AL$7)*($AN$7-$AM$7))),$AM$7)</f>
        <v/>
      </c>
      <c r="AN522">
        <f>IFERROR(IF(AW522&lt;($AM$8-$AL$8)/($AN$8-$AL$8),$AL$8+SQRT(AW522*($AN$8-$AL$8)*($AM$8-$AL$8)),$AN$8-SQRT((1-AW522)*($AN$8-$AL$8)*($AN$8-$AM$8))),$AM$8)</f>
        <v/>
      </c>
      <c r="AO522">
        <f>IFERROR(IF(AX522&lt;($AM$9-$AL$9)/($AN$9-$AL$9),$AL$9+SQRT(AX522*($AN$9-$AL$9)*($AM$9-$AL$9)),$AN$9-SQRT((1-AX522)*($AN$9-$AL$9)*($AN$9-$AM$9))),$AM$9)</f>
        <v/>
      </c>
      <c r="AP522">
        <f>IFERROR(IF(AY522&lt;($AM$10-$AL$10)/($AN$10-$AL$10),$AL$10+SQRT(AY522*($AN$10-$AL$10)*($AM$10-$AL$10)),$AN$10-SQRT((1-AY522)*($AN$10-$AL$10)*($AN$10-$AM$10))),$AM$10)</f>
        <v/>
      </c>
      <c r="AQ522">
        <f>IFERROR(IF(AZ522&lt;($AM$11-$AL$11)/($AN$11-$AL$11),$AL$11+SQRT(AZ522*($AN$11-$AL$11)*($AM$11-$AL$11)),$AN$11-SQRT((1-AZ522)*($AN$11-$AL$11)*($AN$11-$AM$11))),$AM$11)</f>
        <v/>
      </c>
      <c r="AR522">
        <f>SUMPRODUCT((B24:B31&lt;=$B$6)*(C24:C31*AM522+D24:D31*AO522*$B$8*AQ522)/(1+AL522/100)^B24:B31)+C32*AM522*AP522/(1+AL522/100)^$B$6</f>
        <v/>
      </c>
      <c r="AS522">
        <f>SUMPRODUCT((K24:K26&lt;=$B$6)*(L24:L26*AN522+M24:M26*AO522*$B$8*AQ522)/(1+AL522/100)^K24:K26)+L27*AN522*AP522/(1+AL522/100)^$B$6</f>
        <v/>
      </c>
      <c r="AT522">
        <f>AS522-AR522</f>
        <v/>
      </c>
      <c r="AU522">
        <f>RAND()</f>
        <v/>
      </c>
      <c r="AV522">
        <f>RAND()</f>
        <v/>
      </c>
      <c r="AW522">
        <f>RAND()</f>
        <v/>
      </c>
      <c r="AX522">
        <f>RAND()</f>
        <v/>
      </c>
      <c r="AY522">
        <f>RAND()</f>
        <v/>
      </c>
      <c r="AZ522">
        <f>RAND()</f>
        <v/>
      </c>
    </row>
    <row r="523">
      <c r="AK523" t="n">
        <v>510</v>
      </c>
      <c r="AL523">
        <f>IFERROR(IF(AU523&lt;($AM$6-$AL$6)/($AN$6-$AL$6),$AL$6+SQRT(AU523*($AN$6-$AL$6)*($AM$6-$AL$6)),$AN$6-SQRT((1-AU523)*($AN$6-$AL$6)*($AN$6-$AM$6))),$AM$6)</f>
        <v/>
      </c>
      <c r="AM523">
        <f>IFERROR(IF(AV523&lt;($AM$7-$AL$7)/($AN$7-$AL$7),$AL$7+SQRT(AV523*($AN$7-$AL$7)*($AM$7-$AL$7)),$AN$7-SQRT((1-AV523)*($AN$7-$AL$7)*($AN$7-$AM$7))),$AM$7)</f>
        <v/>
      </c>
      <c r="AN523">
        <f>IFERROR(IF(AW523&lt;($AM$8-$AL$8)/($AN$8-$AL$8),$AL$8+SQRT(AW523*($AN$8-$AL$8)*($AM$8-$AL$8)),$AN$8-SQRT((1-AW523)*($AN$8-$AL$8)*($AN$8-$AM$8))),$AM$8)</f>
        <v/>
      </c>
      <c r="AO523">
        <f>IFERROR(IF(AX523&lt;($AM$9-$AL$9)/($AN$9-$AL$9),$AL$9+SQRT(AX523*($AN$9-$AL$9)*($AM$9-$AL$9)),$AN$9-SQRT((1-AX523)*($AN$9-$AL$9)*($AN$9-$AM$9))),$AM$9)</f>
        <v/>
      </c>
      <c r="AP523">
        <f>IFERROR(IF(AY523&lt;($AM$10-$AL$10)/($AN$10-$AL$10),$AL$10+SQRT(AY523*($AN$10-$AL$10)*($AM$10-$AL$10)),$AN$10-SQRT((1-AY523)*($AN$10-$AL$10)*($AN$10-$AM$10))),$AM$10)</f>
        <v/>
      </c>
      <c r="AQ523">
        <f>IFERROR(IF(AZ523&lt;($AM$11-$AL$11)/($AN$11-$AL$11),$AL$11+SQRT(AZ523*($AN$11-$AL$11)*($AM$11-$AL$11)),$AN$11-SQRT((1-AZ523)*($AN$11-$AL$11)*($AN$11-$AM$11))),$AM$11)</f>
        <v/>
      </c>
      <c r="AR523">
        <f>SUMPRODUCT((B24:B31&lt;=$B$6)*(C24:C31*AM523+D24:D31*AO523*$B$8*AQ523)/(1+AL523/100)^B24:B31)+C32*AM523*AP523/(1+AL523/100)^$B$6</f>
        <v/>
      </c>
      <c r="AS523">
        <f>SUMPRODUCT((K24:K26&lt;=$B$6)*(L24:L26*AN523+M24:M26*AO523*$B$8*AQ523)/(1+AL523/100)^K24:K26)+L27*AN523*AP523/(1+AL523/100)^$B$6</f>
        <v/>
      </c>
      <c r="AT523">
        <f>AS523-AR523</f>
        <v/>
      </c>
      <c r="AU523">
        <f>RAND()</f>
        <v/>
      </c>
      <c r="AV523">
        <f>RAND()</f>
        <v/>
      </c>
      <c r="AW523">
        <f>RAND()</f>
        <v/>
      </c>
      <c r="AX523">
        <f>RAND()</f>
        <v/>
      </c>
      <c r="AY523">
        <f>RAND()</f>
        <v/>
      </c>
      <c r="AZ523">
        <f>RAND()</f>
        <v/>
      </c>
    </row>
    <row r="524">
      <c r="AK524" t="n">
        <v>511</v>
      </c>
      <c r="AL524">
        <f>IFERROR(IF(AU524&lt;($AM$6-$AL$6)/($AN$6-$AL$6),$AL$6+SQRT(AU524*($AN$6-$AL$6)*($AM$6-$AL$6)),$AN$6-SQRT((1-AU524)*($AN$6-$AL$6)*($AN$6-$AM$6))),$AM$6)</f>
        <v/>
      </c>
      <c r="AM524">
        <f>IFERROR(IF(AV524&lt;($AM$7-$AL$7)/($AN$7-$AL$7),$AL$7+SQRT(AV524*($AN$7-$AL$7)*($AM$7-$AL$7)),$AN$7-SQRT((1-AV524)*($AN$7-$AL$7)*($AN$7-$AM$7))),$AM$7)</f>
        <v/>
      </c>
      <c r="AN524">
        <f>IFERROR(IF(AW524&lt;($AM$8-$AL$8)/($AN$8-$AL$8),$AL$8+SQRT(AW524*($AN$8-$AL$8)*($AM$8-$AL$8)),$AN$8-SQRT((1-AW524)*($AN$8-$AL$8)*($AN$8-$AM$8))),$AM$8)</f>
        <v/>
      </c>
      <c r="AO524">
        <f>IFERROR(IF(AX524&lt;($AM$9-$AL$9)/($AN$9-$AL$9),$AL$9+SQRT(AX524*($AN$9-$AL$9)*($AM$9-$AL$9)),$AN$9-SQRT((1-AX524)*($AN$9-$AL$9)*($AN$9-$AM$9))),$AM$9)</f>
        <v/>
      </c>
      <c r="AP524">
        <f>IFERROR(IF(AY524&lt;($AM$10-$AL$10)/($AN$10-$AL$10),$AL$10+SQRT(AY524*($AN$10-$AL$10)*($AM$10-$AL$10)),$AN$10-SQRT((1-AY524)*($AN$10-$AL$10)*($AN$10-$AM$10))),$AM$10)</f>
        <v/>
      </c>
      <c r="AQ524">
        <f>IFERROR(IF(AZ524&lt;($AM$11-$AL$11)/($AN$11-$AL$11),$AL$11+SQRT(AZ524*($AN$11-$AL$11)*($AM$11-$AL$11)),$AN$11-SQRT((1-AZ524)*($AN$11-$AL$11)*($AN$11-$AM$11))),$AM$11)</f>
        <v/>
      </c>
      <c r="AR524">
        <f>SUMPRODUCT((B24:B31&lt;=$B$6)*(C24:C31*AM524+D24:D31*AO524*$B$8*AQ524)/(1+AL524/100)^B24:B31)+C32*AM524*AP524/(1+AL524/100)^$B$6</f>
        <v/>
      </c>
      <c r="AS524">
        <f>SUMPRODUCT((K24:K26&lt;=$B$6)*(L24:L26*AN524+M24:M26*AO524*$B$8*AQ524)/(1+AL524/100)^K24:K26)+L27*AN524*AP524/(1+AL524/100)^$B$6</f>
        <v/>
      </c>
      <c r="AT524">
        <f>AS524-AR524</f>
        <v/>
      </c>
      <c r="AU524">
        <f>RAND()</f>
        <v/>
      </c>
      <c r="AV524">
        <f>RAND()</f>
        <v/>
      </c>
      <c r="AW524">
        <f>RAND()</f>
        <v/>
      </c>
      <c r="AX524">
        <f>RAND()</f>
        <v/>
      </c>
      <c r="AY524">
        <f>RAND()</f>
        <v/>
      </c>
      <c r="AZ524">
        <f>RAND()</f>
        <v/>
      </c>
    </row>
    <row r="525">
      <c r="AK525" t="n">
        <v>512</v>
      </c>
      <c r="AL525">
        <f>IFERROR(IF(AU525&lt;($AM$6-$AL$6)/($AN$6-$AL$6),$AL$6+SQRT(AU525*($AN$6-$AL$6)*($AM$6-$AL$6)),$AN$6-SQRT((1-AU525)*($AN$6-$AL$6)*($AN$6-$AM$6))),$AM$6)</f>
        <v/>
      </c>
      <c r="AM525">
        <f>IFERROR(IF(AV525&lt;($AM$7-$AL$7)/($AN$7-$AL$7),$AL$7+SQRT(AV525*($AN$7-$AL$7)*($AM$7-$AL$7)),$AN$7-SQRT((1-AV525)*($AN$7-$AL$7)*($AN$7-$AM$7))),$AM$7)</f>
        <v/>
      </c>
      <c r="AN525">
        <f>IFERROR(IF(AW525&lt;($AM$8-$AL$8)/($AN$8-$AL$8),$AL$8+SQRT(AW525*($AN$8-$AL$8)*($AM$8-$AL$8)),$AN$8-SQRT((1-AW525)*($AN$8-$AL$8)*($AN$8-$AM$8))),$AM$8)</f>
        <v/>
      </c>
      <c r="AO525">
        <f>IFERROR(IF(AX525&lt;($AM$9-$AL$9)/($AN$9-$AL$9),$AL$9+SQRT(AX525*($AN$9-$AL$9)*($AM$9-$AL$9)),$AN$9-SQRT((1-AX525)*($AN$9-$AL$9)*($AN$9-$AM$9))),$AM$9)</f>
        <v/>
      </c>
      <c r="AP525">
        <f>IFERROR(IF(AY525&lt;($AM$10-$AL$10)/($AN$10-$AL$10),$AL$10+SQRT(AY525*($AN$10-$AL$10)*($AM$10-$AL$10)),$AN$10-SQRT((1-AY525)*($AN$10-$AL$10)*($AN$10-$AM$10))),$AM$10)</f>
        <v/>
      </c>
      <c r="AQ525">
        <f>IFERROR(IF(AZ525&lt;($AM$11-$AL$11)/($AN$11-$AL$11),$AL$11+SQRT(AZ525*($AN$11-$AL$11)*($AM$11-$AL$11)),$AN$11-SQRT((1-AZ525)*($AN$11-$AL$11)*($AN$11-$AM$11))),$AM$11)</f>
        <v/>
      </c>
      <c r="AR525">
        <f>SUMPRODUCT((B24:B31&lt;=$B$6)*(C24:C31*AM525+D24:D31*AO525*$B$8*AQ525)/(1+AL525/100)^B24:B31)+C32*AM525*AP525/(1+AL525/100)^$B$6</f>
        <v/>
      </c>
      <c r="AS525">
        <f>SUMPRODUCT((K24:K26&lt;=$B$6)*(L24:L26*AN525+M24:M26*AO525*$B$8*AQ525)/(1+AL525/100)^K24:K26)+L27*AN525*AP525/(1+AL525/100)^$B$6</f>
        <v/>
      </c>
      <c r="AT525">
        <f>AS525-AR525</f>
        <v/>
      </c>
      <c r="AU525">
        <f>RAND()</f>
        <v/>
      </c>
      <c r="AV525">
        <f>RAND()</f>
        <v/>
      </c>
      <c r="AW525">
        <f>RAND()</f>
        <v/>
      </c>
      <c r="AX525">
        <f>RAND()</f>
        <v/>
      </c>
      <c r="AY525">
        <f>RAND()</f>
        <v/>
      </c>
      <c r="AZ525">
        <f>RAND()</f>
        <v/>
      </c>
    </row>
    <row r="526">
      <c r="AK526" t="n">
        <v>513</v>
      </c>
      <c r="AL526">
        <f>IFERROR(IF(AU526&lt;($AM$6-$AL$6)/($AN$6-$AL$6),$AL$6+SQRT(AU526*($AN$6-$AL$6)*($AM$6-$AL$6)),$AN$6-SQRT((1-AU526)*($AN$6-$AL$6)*($AN$6-$AM$6))),$AM$6)</f>
        <v/>
      </c>
      <c r="AM526">
        <f>IFERROR(IF(AV526&lt;($AM$7-$AL$7)/($AN$7-$AL$7),$AL$7+SQRT(AV526*($AN$7-$AL$7)*($AM$7-$AL$7)),$AN$7-SQRT((1-AV526)*($AN$7-$AL$7)*($AN$7-$AM$7))),$AM$7)</f>
        <v/>
      </c>
      <c r="AN526">
        <f>IFERROR(IF(AW526&lt;($AM$8-$AL$8)/($AN$8-$AL$8),$AL$8+SQRT(AW526*($AN$8-$AL$8)*($AM$8-$AL$8)),$AN$8-SQRT((1-AW526)*($AN$8-$AL$8)*($AN$8-$AM$8))),$AM$8)</f>
        <v/>
      </c>
      <c r="AO526">
        <f>IFERROR(IF(AX526&lt;($AM$9-$AL$9)/($AN$9-$AL$9),$AL$9+SQRT(AX526*($AN$9-$AL$9)*($AM$9-$AL$9)),$AN$9-SQRT((1-AX526)*($AN$9-$AL$9)*($AN$9-$AM$9))),$AM$9)</f>
        <v/>
      </c>
      <c r="AP526">
        <f>IFERROR(IF(AY526&lt;($AM$10-$AL$10)/($AN$10-$AL$10),$AL$10+SQRT(AY526*($AN$10-$AL$10)*($AM$10-$AL$10)),$AN$10-SQRT((1-AY526)*($AN$10-$AL$10)*($AN$10-$AM$10))),$AM$10)</f>
        <v/>
      </c>
      <c r="AQ526">
        <f>IFERROR(IF(AZ526&lt;($AM$11-$AL$11)/($AN$11-$AL$11),$AL$11+SQRT(AZ526*($AN$11-$AL$11)*($AM$11-$AL$11)),$AN$11-SQRT((1-AZ526)*($AN$11-$AL$11)*($AN$11-$AM$11))),$AM$11)</f>
        <v/>
      </c>
      <c r="AR526">
        <f>SUMPRODUCT((B24:B31&lt;=$B$6)*(C24:C31*AM526+D24:D31*AO526*$B$8*AQ526)/(1+AL526/100)^B24:B31)+C32*AM526*AP526/(1+AL526/100)^$B$6</f>
        <v/>
      </c>
      <c r="AS526">
        <f>SUMPRODUCT((K24:K26&lt;=$B$6)*(L24:L26*AN526+M24:M26*AO526*$B$8*AQ526)/(1+AL526/100)^K24:K26)+L27*AN526*AP526/(1+AL526/100)^$B$6</f>
        <v/>
      </c>
      <c r="AT526">
        <f>AS526-AR526</f>
        <v/>
      </c>
      <c r="AU526">
        <f>RAND()</f>
        <v/>
      </c>
      <c r="AV526">
        <f>RAND()</f>
        <v/>
      </c>
      <c r="AW526">
        <f>RAND()</f>
        <v/>
      </c>
      <c r="AX526">
        <f>RAND()</f>
        <v/>
      </c>
      <c r="AY526">
        <f>RAND()</f>
        <v/>
      </c>
      <c r="AZ526">
        <f>RAND()</f>
        <v/>
      </c>
    </row>
    <row r="527">
      <c r="AK527" t="n">
        <v>514</v>
      </c>
      <c r="AL527">
        <f>IFERROR(IF(AU527&lt;($AM$6-$AL$6)/($AN$6-$AL$6),$AL$6+SQRT(AU527*($AN$6-$AL$6)*($AM$6-$AL$6)),$AN$6-SQRT((1-AU527)*($AN$6-$AL$6)*($AN$6-$AM$6))),$AM$6)</f>
        <v/>
      </c>
      <c r="AM527">
        <f>IFERROR(IF(AV527&lt;($AM$7-$AL$7)/($AN$7-$AL$7),$AL$7+SQRT(AV527*($AN$7-$AL$7)*($AM$7-$AL$7)),$AN$7-SQRT((1-AV527)*($AN$7-$AL$7)*($AN$7-$AM$7))),$AM$7)</f>
        <v/>
      </c>
      <c r="AN527">
        <f>IFERROR(IF(AW527&lt;($AM$8-$AL$8)/($AN$8-$AL$8),$AL$8+SQRT(AW527*($AN$8-$AL$8)*($AM$8-$AL$8)),$AN$8-SQRT((1-AW527)*($AN$8-$AL$8)*($AN$8-$AM$8))),$AM$8)</f>
        <v/>
      </c>
      <c r="AO527">
        <f>IFERROR(IF(AX527&lt;($AM$9-$AL$9)/($AN$9-$AL$9),$AL$9+SQRT(AX527*($AN$9-$AL$9)*($AM$9-$AL$9)),$AN$9-SQRT((1-AX527)*($AN$9-$AL$9)*($AN$9-$AM$9))),$AM$9)</f>
        <v/>
      </c>
      <c r="AP527">
        <f>IFERROR(IF(AY527&lt;($AM$10-$AL$10)/($AN$10-$AL$10),$AL$10+SQRT(AY527*($AN$10-$AL$10)*($AM$10-$AL$10)),$AN$10-SQRT((1-AY527)*($AN$10-$AL$10)*($AN$10-$AM$10))),$AM$10)</f>
        <v/>
      </c>
      <c r="AQ527">
        <f>IFERROR(IF(AZ527&lt;($AM$11-$AL$11)/($AN$11-$AL$11),$AL$11+SQRT(AZ527*($AN$11-$AL$11)*($AM$11-$AL$11)),$AN$11-SQRT((1-AZ527)*($AN$11-$AL$11)*($AN$11-$AM$11))),$AM$11)</f>
        <v/>
      </c>
      <c r="AR527">
        <f>SUMPRODUCT((B24:B31&lt;=$B$6)*(C24:C31*AM527+D24:D31*AO527*$B$8*AQ527)/(1+AL527/100)^B24:B31)+C32*AM527*AP527/(1+AL527/100)^$B$6</f>
        <v/>
      </c>
      <c r="AS527">
        <f>SUMPRODUCT((K24:K26&lt;=$B$6)*(L24:L26*AN527+M24:M26*AO527*$B$8*AQ527)/(1+AL527/100)^K24:K26)+L27*AN527*AP527/(1+AL527/100)^$B$6</f>
        <v/>
      </c>
      <c r="AT527">
        <f>AS527-AR527</f>
        <v/>
      </c>
      <c r="AU527">
        <f>RAND()</f>
        <v/>
      </c>
      <c r="AV527">
        <f>RAND()</f>
        <v/>
      </c>
      <c r="AW527">
        <f>RAND()</f>
        <v/>
      </c>
      <c r="AX527">
        <f>RAND()</f>
        <v/>
      </c>
      <c r="AY527">
        <f>RAND()</f>
        <v/>
      </c>
      <c r="AZ527">
        <f>RAND()</f>
        <v/>
      </c>
    </row>
    <row r="528">
      <c r="AK528" t="n">
        <v>515</v>
      </c>
      <c r="AL528">
        <f>IFERROR(IF(AU528&lt;($AM$6-$AL$6)/($AN$6-$AL$6),$AL$6+SQRT(AU528*($AN$6-$AL$6)*($AM$6-$AL$6)),$AN$6-SQRT((1-AU528)*($AN$6-$AL$6)*($AN$6-$AM$6))),$AM$6)</f>
        <v/>
      </c>
      <c r="AM528">
        <f>IFERROR(IF(AV528&lt;($AM$7-$AL$7)/($AN$7-$AL$7),$AL$7+SQRT(AV528*($AN$7-$AL$7)*($AM$7-$AL$7)),$AN$7-SQRT((1-AV528)*($AN$7-$AL$7)*($AN$7-$AM$7))),$AM$7)</f>
        <v/>
      </c>
      <c r="AN528">
        <f>IFERROR(IF(AW528&lt;($AM$8-$AL$8)/($AN$8-$AL$8),$AL$8+SQRT(AW528*($AN$8-$AL$8)*($AM$8-$AL$8)),$AN$8-SQRT((1-AW528)*($AN$8-$AL$8)*($AN$8-$AM$8))),$AM$8)</f>
        <v/>
      </c>
      <c r="AO528">
        <f>IFERROR(IF(AX528&lt;($AM$9-$AL$9)/($AN$9-$AL$9),$AL$9+SQRT(AX528*($AN$9-$AL$9)*($AM$9-$AL$9)),$AN$9-SQRT((1-AX528)*($AN$9-$AL$9)*($AN$9-$AM$9))),$AM$9)</f>
        <v/>
      </c>
      <c r="AP528">
        <f>IFERROR(IF(AY528&lt;($AM$10-$AL$10)/($AN$10-$AL$10),$AL$10+SQRT(AY528*($AN$10-$AL$10)*($AM$10-$AL$10)),$AN$10-SQRT((1-AY528)*($AN$10-$AL$10)*($AN$10-$AM$10))),$AM$10)</f>
        <v/>
      </c>
      <c r="AQ528">
        <f>IFERROR(IF(AZ528&lt;($AM$11-$AL$11)/($AN$11-$AL$11),$AL$11+SQRT(AZ528*($AN$11-$AL$11)*($AM$11-$AL$11)),$AN$11-SQRT((1-AZ528)*($AN$11-$AL$11)*($AN$11-$AM$11))),$AM$11)</f>
        <v/>
      </c>
      <c r="AR528">
        <f>SUMPRODUCT((B24:B31&lt;=$B$6)*(C24:C31*AM528+D24:D31*AO528*$B$8*AQ528)/(1+AL528/100)^B24:B31)+C32*AM528*AP528/(1+AL528/100)^$B$6</f>
        <v/>
      </c>
      <c r="AS528">
        <f>SUMPRODUCT((K24:K26&lt;=$B$6)*(L24:L26*AN528+M24:M26*AO528*$B$8*AQ528)/(1+AL528/100)^K24:K26)+L27*AN528*AP528/(1+AL528/100)^$B$6</f>
        <v/>
      </c>
      <c r="AT528">
        <f>AS528-AR528</f>
        <v/>
      </c>
      <c r="AU528">
        <f>RAND()</f>
        <v/>
      </c>
      <c r="AV528">
        <f>RAND()</f>
        <v/>
      </c>
      <c r="AW528">
        <f>RAND()</f>
        <v/>
      </c>
      <c r="AX528">
        <f>RAND()</f>
        <v/>
      </c>
      <c r="AY528">
        <f>RAND()</f>
        <v/>
      </c>
      <c r="AZ528">
        <f>RAND()</f>
        <v/>
      </c>
    </row>
    <row r="529">
      <c r="AK529" t="n">
        <v>516</v>
      </c>
      <c r="AL529">
        <f>IFERROR(IF(AU529&lt;($AM$6-$AL$6)/($AN$6-$AL$6),$AL$6+SQRT(AU529*($AN$6-$AL$6)*($AM$6-$AL$6)),$AN$6-SQRT((1-AU529)*($AN$6-$AL$6)*($AN$6-$AM$6))),$AM$6)</f>
        <v/>
      </c>
      <c r="AM529">
        <f>IFERROR(IF(AV529&lt;($AM$7-$AL$7)/($AN$7-$AL$7),$AL$7+SQRT(AV529*($AN$7-$AL$7)*($AM$7-$AL$7)),$AN$7-SQRT((1-AV529)*($AN$7-$AL$7)*($AN$7-$AM$7))),$AM$7)</f>
        <v/>
      </c>
      <c r="AN529">
        <f>IFERROR(IF(AW529&lt;($AM$8-$AL$8)/($AN$8-$AL$8),$AL$8+SQRT(AW529*($AN$8-$AL$8)*($AM$8-$AL$8)),$AN$8-SQRT((1-AW529)*($AN$8-$AL$8)*($AN$8-$AM$8))),$AM$8)</f>
        <v/>
      </c>
      <c r="AO529">
        <f>IFERROR(IF(AX529&lt;($AM$9-$AL$9)/($AN$9-$AL$9),$AL$9+SQRT(AX529*($AN$9-$AL$9)*($AM$9-$AL$9)),$AN$9-SQRT((1-AX529)*($AN$9-$AL$9)*($AN$9-$AM$9))),$AM$9)</f>
        <v/>
      </c>
      <c r="AP529">
        <f>IFERROR(IF(AY529&lt;($AM$10-$AL$10)/($AN$10-$AL$10),$AL$10+SQRT(AY529*($AN$10-$AL$10)*($AM$10-$AL$10)),$AN$10-SQRT((1-AY529)*($AN$10-$AL$10)*($AN$10-$AM$10))),$AM$10)</f>
        <v/>
      </c>
      <c r="AQ529">
        <f>IFERROR(IF(AZ529&lt;($AM$11-$AL$11)/($AN$11-$AL$11),$AL$11+SQRT(AZ529*($AN$11-$AL$11)*($AM$11-$AL$11)),$AN$11-SQRT((1-AZ529)*($AN$11-$AL$11)*($AN$11-$AM$11))),$AM$11)</f>
        <v/>
      </c>
      <c r="AR529">
        <f>SUMPRODUCT((B24:B31&lt;=$B$6)*(C24:C31*AM529+D24:D31*AO529*$B$8*AQ529)/(1+AL529/100)^B24:B31)+C32*AM529*AP529/(1+AL529/100)^$B$6</f>
        <v/>
      </c>
      <c r="AS529">
        <f>SUMPRODUCT((K24:K26&lt;=$B$6)*(L24:L26*AN529+M24:M26*AO529*$B$8*AQ529)/(1+AL529/100)^K24:K26)+L27*AN529*AP529/(1+AL529/100)^$B$6</f>
        <v/>
      </c>
      <c r="AT529">
        <f>AS529-AR529</f>
        <v/>
      </c>
      <c r="AU529">
        <f>RAND()</f>
        <v/>
      </c>
      <c r="AV529">
        <f>RAND()</f>
        <v/>
      </c>
      <c r="AW529">
        <f>RAND()</f>
        <v/>
      </c>
      <c r="AX529">
        <f>RAND()</f>
        <v/>
      </c>
      <c r="AY529">
        <f>RAND()</f>
        <v/>
      </c>
      <c r="AZ529">
        <f>RAND()</f>
        <v/>
      </c>
    </row>
    <row r="530">
      <c r="AK530" t="n">
        <v>517</v>
      </c>
      <c r="AL530">
        <f>IFERROR(IF(AU530&lt;($AM$6-$AL$6)/($AN$6-$AL$6),$AL$6+SQRT(AU530*($AN$6-$AL$6)*($AM$6-$AL$6)),$AN$6-SQRT((1-AU530)*($AN$6-$AL$6)*($AN$6-$AM$6))),$AM$6)</f>
        <v/>
      </c>
      <c r="AM530">
        <f>IFERROR(IF(AV530&lt;($AM$7-$AL$7)/($AN$7-$AL$7),$AL$7+SQRT(AV530*($AN$7-$AL$7)*($AM$7-$AL$7)),$AN$7-SQRT((1-AV530)*($AN$7-$AL$7)*($AN$7-$AM$7))),$AM$7)</f>
        <v/>
      </c>
      <c r="AN530">
        <f>IFERROR(IF(AW530&lt;($AM$8-$AL$8)/($AN$8-$AL$8),$AL$8+SQRT(AW530*($AN$8-$AL$8)*($AM$8-$AL$8)),$AN$8-SQRT((1-AW530)*($AN$8-$AL$8)*($AN$8-$AM$8))),$AM$8)</f>
        <v/>
      </c>
      <c r="AO530">
        <f>IFERROR(IF(AX530&lt;($AM$9-$AL$9)/($AN$9-$AL$9),$AL$9+SQRT(AX530*($AN$9-$AL$9)*($AM$9-$AL$9)),$AN$9-SQRT((1-AX530)*($AN$9-$AL$9)*($AN$9-$AM$9))),$AM$9)</f>
        <v/>
      </c>
      <c r="AP530">
        <f>IFERROR(IF(AY530&lt;($AM$10-$AL$10)/($AN$10-$AL$10),$AL$10+SQRT(AY530*($AN$10-$AL$10)*($AM$10-$AL$10)),$AN$10-SQRT((1-AY530)*($AN$10-$AL$10)*($AN$10-$AM$10))),$AM$10)</f>
        <v/>
      </c>
      <c r="AQ530">
        <f>IFERROR(IF(AZ530&lt;($AM$11-$AL$11)/($AN$11-$AL$11),$AL$11+SQRT(AZ530*($AN$11-$AL$11)*($AM$11-$AL$11)),$AN$11-SQRT((1-AZ530)*($AN$11-$AL$11)*($AN$11-$AM$11))),$AM$11)</f>
        <v/>
      </c>
      <c r="AR530">
        <f>SUMPRODUCT((B24:B31&lt;=$B$6)*(C24:C31*AM530+D24:D31*AO530*$B$8*AQ530)/(1+AL530/100)^B24:B31)+C32*AM530*AP530/(1+AL530/100)^$B$6</f>
        <v/>
      </c>
      <c r="AS530">
        <f>SUMPRODUCT((K24:K26&lt;=$B$6)*(L24:L26*AN530+M24:M26*AO530*$B$8*AQ530)/(1+AL530/100)^K24:K26)+L27*AN530*AP530/(1+AL530/100)^$B$6</f>
        <v/>
      </c>
      <c r="AT530">
        <f>AS530-AR530</f>
        <v/>
      </c>
      <c r="AU530">
        <f>RAND()</f>
        <v/>
      </c>
      <c r="AV530">
        <f>RAND()</f>
        <v/>
      </c>
      <c r="AW530">
        <f>RAND()</f>
        <v/>
      </c>
      <c r="AX530">
        <f>RAND()</f>
        <v/>
      </c>
      <c r="AY530">
        <f>RAND()</f>
        <v/>
      </c>
      <c r="AZ530">
        <f>RAND()</f>
        <v/>
      </c>
    </row>
    <row r="531">
      <c r="AK531" t="n">
        <v>518</v>
      </c>
      <c r="AL531">
        <f>IFERROR(IF(AU531&lt;($AM$6-$AL$6)/($AN$6-$AL$6),$AL$6+SQRT(AU531*($AN$6-$AL$6)*($AM$6-$AL$6)),$AN$6-SQRT((1-AU531)*($AN$6-$AL$6)*($AN$6-$AM$6))),$AM$6)</f>
        <v/>
      </c>
      <c r="AM531">
        <f>IFERROR(IF(AV531&lt;($AM$7-$AL$7)/($AN$7-$AL$7),$AL$7+SQRT(AV531*($AN$7-$AL$7)*($AM$7-$AL$7)),$AN$7-SQRT((1-AV531)*($AN$7-$AL$7)*($AN$7-$AM$7))),$AM$7)</f>
        <v/>
      </c>
      <c r="AN531">
        <f>IFERROR(IF(AW531&lt;($AM$8-$AL$8)/($AN$8-$AL$8),$AL$8+SQRT(AW531*($AN$8-$AL$8)*($AM$8-$AL$8)),$AN$8-SQRT((1-AW531)*($AN$8-$AL$8)*($AN$8-$AM$8))),$AM$8)</f>
        <v/>
      </c>
      <c r="AO531">
        <f>IFERROR(IF(AX531&lt;($AM$9-$AL$9)/($AN$9-$AL$9),$AL$9+SQRT(AX531*($AN$9-$AL$9)*($AM$9-$AL$9)),$AN$9-SQRT((1-AX531)*($AN$9-$AL$9)*($AN$9-$AM$9))),$AM$9)</f>
        <v/>
      </c>
      <c r="AP531">
        <f>IFERROR(IF(AY531&lt;($AM$10-$AL$10)/($AN$10-$AL$10),$AL$10+SQRT(AY531*($AN$10-$AL$10)*($AM$10-$AL$10)),$AN$10-SQRT((1-AY531)*($AN$10-$AL$10)*($AN$10-$AM$10))),$AM$10)</f>
        <v/>
      </c>
      <c r="AQ531">
        <f>IFERROR(IF(AZ531&lt;($AM$11-$AL$11)/($AN$11-$AL$11),$AL$11+SQRT(AZ531*($AN$11-$AL$11)*($AM$11-$AL$11)),$AN$11-SQRT((1-AZ531)*($AN$11-$AL$11)*($AN$11-$AM$11))),$AM$11)</f>
        <v/>
      </c>
      <c r="AR531">
        <f>SUMPRODUCT((B24:B31&lt;=$B$6)*(C24:C31*AM531+D24:D31*AO531*$B$8*AQ531)/(1+AL531/100)^B24:B31)+C32*AM531*AP531/(1+AL531/100)^$B$6</f>
        <v/>
      </c>
      <c r="AS531">
        <f>SUMPRODUCT((K24:K26&lt;=$B$6)*(L24:L26*AN531+M24:M26*AO531*$B$8*AQ531)/(1+AL531/100)^K24:K26)+L27*AN531*AP531/(1+AL531/100)^$B$6</f>
        <v/>
      </c>
      <c r="AT531">
        <f>AS531-AR531</f>
        <v/>
      </c>
      <c r="AU531">
        <f>RAND()</f>
        <v/>
      </c>
      <c r="AV531">
        <f>RAND()</f>
        <v/>
      </c>
      <c r="AW531">
        <f>RAND()</f>
        <v/>
      </c>
      <c r="AX531">
        <f>RAND()</f>
        <v/>
      </c>
      <c r="AY531">
        <f>RAND()</f>
        <v/>
      </c>
      <c r="AZ531">
        <f>RAND()</f>
        <v/>
      </c>
    </row>
    <row r="532">
      <c r="AK532" t="n">
        <v>519</v>
      </c>
      <c r="AL532">
        <f>IFERROR(IF(AU532&lt;($AM$6-$AL$6)/($AN$6-$AL$6),$AL$6+SQRT(AU532*($AN$6-$AL$6)*($AM$6-$AL$6)),$AN$6-SQRT((1-AU532)*($AN$6-$AL$6)*($AN$6-$AM$6))),$AM$6)</f>
        <v/>
      </c>
      <c r="AM532">
        <f>IFERROR(IF(AV532&lt;($AM$7-$AL$7)/($AN$7-$AL$7),$AL$7+SQRT(AV532*($AN$7-$AL$7)*($AM$7-$AL$7)),$AN$7-SQRT((1-AV532)*($AN$7-$AL$7)*($AN$7-$AM$7))),$AM$7)</f>
        <v/>
      </c>
      <c r="AN532">
        <f>IFERROR(IF(AW532&lt;($AM$8-$AL$8)/($AN$8-$AL$8),$AL$8+SQRT(AW532*($AN$8-$AL$8)*($AM$8-$AL$8)),$AN$8-SQRT((1-AW532)*($AN$8-$AL$8)*($AN$8-$AM$8))),$AM$8)</f>
        <v/>
      </c>
      <c r="AO532">
        <f>IFERROR(IF(AX532&lt;($AM$9-$AL$9)/($AN$9-$AL$9),$AL$9+SQRT(AX532*($AN$9-$AL$9)*($AM$9-$AL$9)),$AN$9-SQRT((1-AX532)*($AN$9-$AL$9)*($AN$9-$AM$9))),$AM$9)</f>
        <v/>
      </c>
      <c r="AP532">
        <f>IFERROR(IF(AY532&lt;($AM$10-$AL$10)/($AN$10-$AL$10),$AL$10+SQRT(AY532*($AN$10-$AL$10)*($AM$10-$AL$10)),$AN$10-SQRT((1-AY532)*($AN$10-$AL$10)*($AN$10-$AM$10))),$AM$10)</f>
        <v/>
      </c>
      <c r="AQ532">
        <f>IFERROR(IF(AZ532&lt;($AM$11-$AL$11)/($AN$11-$AL$11),$AL$11+SQRT(AZ532*($AN$11-$AL$11)*($AM$11-$AL$11)),$AN$11-SQRT((1-AZ532)*($AN$11-$AL$11)*($AN$11-$AM$11))),$AM$11)</f>
        <v/>
      </c>
      <c r="AR532">
        <f>SUMPRODUCT((B24:B31&lt;=$B$6)*(C24:C31*AM532+D24:D31*AO532*$B$8*AQ532)/(1+AL532/100)^B24:B31)+C32*AM532*AP532/(1+AL532/100)^$B$6</f>
        <v/>
      </c>
      <c r="AS532">
        <f>SUMPRODUCT((K24:K26&lt;=$B$6)*(L24:L26*AN532+M24:M26*AO532*$B$8*AQ532)/(1+AL532/100)^K24:K26)+L27*AN532*AP532/(1+AL532/100)^$B$6</f>
        <v/>
      </c>
      <c r="AT532">
        <f>AS532-AR532</f>
        <v/>
      </c>
      <c r="AU532">
        <f>RAND()</f>
        <v/>
      </c>
      <c r="AV532">
        <f>RAND()</f>
        <v/>
      </c>
      <c r="AW532">
        <f>RAND()</f>
        <v/>
      </c>
      <c r="AX532">
        <f>RAND()</f>
        <v/>
      </c>
      <c r="AY532">
        <f>RAND()</f>
        <v/>
      </c>
      <c r="AZ532">
        <f>RAND()</f>
        <v/>
      </c>
    </row>
    <row r="533">
      <c r="AK533" t="n">
        <v>520</v>
      </c>
      <c r="AL533">
        <f>IFERROR(IF(AU533&lt;($AM$6-$AL$6)/($AN$6-$AL$6),$AL$6+SQRT(AU533*($AN$6-$AL$6)*($AM$6-$AL$6)),$AN$6-SQRT((1-AU533)*($AN$6-$AL$6)*($AN$6-$AM$6))),$AM$6)</f>
        <v/>
      </c>
      <c r="AM533">
        <f>IFERROR(IF(AV533&lt;($AM$7-$AL$7)/($AN$7-$AL$7),$AL$7+SQRT(AV533*($AN$7-$AL$7)*($AM$7-$AL$7)),$AN$7-SQRT((1-AV533)*($AN$7-$AL$7)*($AN$7-$AM$7))),$AM$7)</f>
        <v/>
      </c>
      <c r="AN533">
        <f>IFERROR(IF(AW533&lt;($AM$8-$AL$8)/($AN$8-$AL$8),$AL$8+SQRT(AW533*($AN$8-$AL$8)*($AM$8-$AL$8)),$AN$8-SQRT((1-AW533)*($AN$8-$AL$8)*($AN$8-$AM$8))),$AM$8)</f>
        <v/>
      </c>
      <c r="AO533">
        <f>IFERROR(IF(AX533&lt;($AM$9-$AL$9)/($AN$9-$AL$9),$AL$9+SQRT(AX533*($AN$9-$AL$9)*($AM$9-$AL$9)),$AN$9-SQRT((1-AX533)*($AN$9-$AL$9)*($AN$9-$AM$9))),$AM$9)</f>
        <v/>
      </c>
      <c r="AP533">
        <f>IFERROR(IF(AY533&lt;($AM$10-$AL$10)/($AN$10-$AL$10),$AL$10+SQRT(AY533*($AN$10-$AL$10)*($AM$10-$AL$10)),$AN$10-SQRT((1-AY533)*($AN$10-$AL$10)*($AN$10-$AM$10))),$AM$10)</f>
        <v/>
      </c>
      <c r="AQ533">
        <f>IFERROR(IF(AZ533&lt;($AM$11-$AL$11)/($AN$11-$AL$11),$AL$11+SQRT(AZ533*($AN$11-$AL$11)*($AM$11-$AL$11)),$AN$11-SQRT((1-AZ533)*($AN$11-$AL$11)*($AN$11-$AM$11))),$AM$11)</f>
        <v/>
      </c>
      <c r="AR533">
        <f>SUMPRODUCT((B24:B31&lt;=$B$6)*(C24:C31*AM533+D24:D31*AO533*$B$8*AQ533)/(1+AL533/100)^B24:B31)+C32*AM533*AP533/(1+AL533/100)^$B$6</f>
        <v/>
      </c>
      <c r="AS533">
        <f>SUMPRODUCT((K24:K26&lt;=$B$6)*(L24:L26*AN533+M24:M26*AO533*$B$8*AQ533)/(1+AL533/100)^K24:K26)+L27*AN533*AP533/(1+AL533/100)^$B$6</f>
        <v/>
      </c>
      <c r="AT533">
        <f>AS533-AR533</f>
        <v/>
      </c>
      <c r="AU533">
        <f>RAND()</f>
        <v/>
      </c>
      <c r="AV533">
        <f>RAND()</f>
        <v/>
      </c>
      <c r="AW533">
        <f>RAND()</f>
        <v/>
      </c>
      <c r="AX533">
        <f>RAND()</f>
        <v/>
      </c>
      <c r="AY533">
        <f>RAND()</f>
        <v/>
      </c>
      <c r="AZ533">
        <f>RAND()</f>
        <v/>
      </c>
    </row>
    <row r="534">
      <c r="AK534" t="n">
        <v>521</v>
      </c>
      <c r="AL534">
        <f>IFERROR(IF(AU534&lt;($AM$6-$AL$6)/($AN$6-$AL$6),$AL$6+SQRT(AU534*($AN$6-$AL$6)*($AM$6-$AL$6)),$AN$6-SQRT((1-AU534)*($AN$6-$AL$6)*($AN$6-$AM$6))),$AM$6)</f>
        <v/>
      </c>
      <c r="AM534">
        <f>IFERROR(IF(AV534&lt;($AM$7-$AL$7)/($AN$7-$AL$7),$AL$7+SQRT(AV534*($AN$7-$AL$7)*($AM$7-$AL$7)),$AN$7-SQRT((1-AV534)*($AN$7-$AL$7)*($AN$7-$AM$7))),$AM$7)</f>
        <v/>
      </c>
      <c r="AN534">
        <f>IFERROR(IF(AW534&lt;($AM$8-$AL$8)/($AN$8-$AL$8),$AL$8+SQRT(AW534*($AN$8-$AL$8)*($AM$8-$AL$8)),$AN$8-SQRT((1-AW534)*($AN$8-$AL$8)*($AN$8-$AM$8))),$AM$8)</f>
        <v/>
      </c>
      <c r="AO534">
        <f>IFERROR(IF(AX534&lt;($AM$9-$AL$9)/($AN$9-$AL$9),$AL$9+SQRT(AX534*($AN$9-$AL$9)*($AM$9-$AL$9)),$AN$9-SQRT((1-AX534)*($AN$9-$AL$9)*($AN$9-$AM$9))),$AM$9)</f>
        <v/>
      </c>
      <c r="AP534">
        <f>IFERROR(IF(AY534&lt;($AM$10-$AL$10)/($AN$10-$AL$10),$AL$10+SQRT(AY534*($AN$10-$AL$10)*($AM$10-$AL$10)),$AN$10-SQRT((1-AY534)*($AN$10-$AL$10)*($AN$10-$AM$10))),$AM$10)</f>
        <v/>
      </c>
      <c r="AQ534">
        <f>IFERROR(IF(AZ534&lt;($AM$11-$AL$11)/($AN$11-$AL$11),$AL$11+SQRT(AZ534*($AN$11-$AL$11)*($AM$11-$AL$11)),$AN$11-SQRT((1-AZ534)*($AN$11-$AL$11)*($AN$11-$AM$11))),$AM$11)</f>
        <v/>
      </c>
      <c r="AR534">
        <f>SUMPRODUCT((B24:B31&lt;=$B$6)*(C24:C31*AM534+D24:D31*AO534*$B$8*AQ534)/(1+AL534/100)^B24:B31)+C32*AM534*AP534/(1+AL534/100)^$B$6</f>
        <v/>
      </c>
      <c r="AS534">
        <f>SUMPRODUCT((K24:K26&lt;=$B$6)*(L24:L26*AN534+M24:M26*AO534*$B$8*AQ534)/(1+AL534/100)^K24:K26)+L27*AN534*AP534/(1+AL534/100)^$B$6</f>
        <v/>
      </c>
      <c r="AT534">
        <f>AS534-AR534</f>
        <v/>
      </c>
      <c r="AU534">
        <f>RAND()</f>
        <v/>
      </c>
      <c r="AV534">
        <f>RAND()</f>
        <v/>
      </c>
      <c r="AW534">
        <f>RAND()</f>
        <v/>
      </c>
      <c r="AX534">
        <f>RAND()</f>
        <v/>
      </c>
      <c r="AY534">
        <f>RAND()</f>
        <v/>
      </c>
      <c r="AZ534">
        <f>RAND()</f>
        <v/>
      </c>
    </row>
    <row r="535">
      <c r="AK535" t="n">
        <v>522</v>
      </c>
      <c r="AL535">
        <f>IFERROR(IF(AU535&lt;($AM$6-$AL$6)/($AN$6-$AL$6),$AL$6+SQRT(AU535*($AN$6-$AL$6)*($AM$6-$AL$6)),$AN$6-SQRT((1-AU535)*($AN$6-$AL$6)*($AN$6-$AM$6))),$AM$6)</f>
        <v/>
      </c>
      <c r="AM535">
        <f>IFERROR(IF(AV535&lt;($AM$7-$AL$7)/($AN$7-$AL$7),$AL$7+SQRT(AV535*($AN$7-$AL$7)*($AM$7-$AL$7)),$AN$7-SQRT((1-AV535)*($AN$7-$AL$7)*($AN$7-$AM$7))),$AM$7)</f>
        <v/>
      </c>
      <c r="AN535">
        <f>IFERROR(IF(AW535&lt;($AM$8-$AL$8)/($AN$8-$AL$8),$AL$8+SQRT(AW535*($AN$8-$AL$8)*($AM$8-$AL$8)),$AN$8-SQRT((1-AW535)*($AN$8-$AL$8)*($AN$8-$AM$8))),$AM$8)</f>
        <v/>
      </c>
      <c r="AO535">
        <f>IFERROR(IF(AX535&lt;($AM$9-$AL$9)/($AN$9-$AL$9),$AL$9+SQRT(AX535*($AN$9-$AL$9)*($AM$9-$AL$9)),$AN$9-SQRT((1-AX535)*($AN$9-$AL$9)*($AN$9-$AM$9))),$AM$9)</f>
        <v/>
      </c>
      <c r="AP535">
        <f>IFERROR(IF(AY535&lt;($AM$10-$AL$10)/($AN$10-$AL$10),$AL$10+SQRT(AY535*($AN$10-$AL$10)*($AM$10-$AL$10)),$AN$10-SQRT((1-AY535)*($AN$10-$AL$10)*($AN$10-$AM$10))),$AM$10)</f>
        <v/>
      </c>
      <c r="AQ535">
        <f>IFERROR(IF(AZ535&lt;($AM$11-$AL$11)/($AN$11-$AL$11),$AL$11+SQRT(AZ535*($AN$11-$AL$11)*($AM$11-$AL$11)),$AN$11-SQRT((1-AZ535)*($AN$11-$AL$11)*($AN$11-$AM$11))),$AM$11)</f>
        <v/>
      </c>
      <c r="AR535">
        <f>SUMPRODUCT((B24:B31&lt;=$B$6)*(C24:C31*AM535+D24:D31*AO535*$B$8*AQ535)/(1+AL535/100)^B24:B31)+C32*AM535*AP535/(1+AL535/100)^$B$6</f>
        <v/>
      </c>
      <c r="AS535">
        <f>SUMPRODUCT((K24:K26&lt;=$B$6)*(L24:L26*AN535+M24:M26*AO535*$B$8*AQ535)/(1+AL535/100)^K24:K26)+L27*AN535*AP535/(1+AL535/100)^$B$6</f>
        <v/>
      </c>
      <c r="AT535">
        <f>AS535-AR535</f>
        <v/>
      </c>
      <c r="AU535">
        <f>RAND()</f>
        <v/>
      </c>
      <c r="AV535">
        <f>RAND()</f>
        <v/>
      </c>
      <c r="AW535">
        <f>RAND()</f>
        <v/>
      </c>
      <c r="AX535">
        <f>RAND()</f>
        <v/>
      </c>
      <c r="AY535">
        <f>RAND()</f>
        <v/>
      </c>
      <c r="AZ535">
        <f>RAND()</f>
        <v/>
      </c>
    </row>
    <row r="536">
      <c r="AK536" t="n">
        <v>523</v>
      </c>
      <c r="AL536">
        <f>IFERROR(IF(AU536&lt;($AM$6-$AL$6)/($AN$6-$AL$6),$AL$6+SQRT(AU536*($AN$6-$AL$6)*($AM$6-$AL$6)),$AN$6-SQRT((1-AU536)*($AN$6-$AL$6)*($AN$6-$AM$6))),$AM$6)</f>
        <v/>
      </c>
      <c r="AM536">
        <f>IFERROR(IF(AV536&lt;($AM$7-$AL$7)/($AN$7-$AL$7),$AL$7+SQRT(AV536*($AN$7-$AL$7)*($AM$7-$AL$7)),$AN$7-SQRT((1-AV536)*($AN$7-$AL$7)*($AN$7-$AM$7))),$AM$7)</f>
        <v/>
      </c>
      <c r="AN536">
        <f>IFERROR(IF(AW536&lt;($AM$8-$AL$8)/($AN$8-$AL$8),$AL$8+SQRT(AW536*($AN$8-$AL$8)*($AM$8-$AL$8)),$AN$8-SQRT((1-AW536)*($AN$8-$AL$8)*($AN$8-$AM$8))),$AM$8)</f>
        <v/>
      </c>
      <c r="AO536">
        <f>IFERROR(IF(AX536&lt;($AM$9-$AL$9)/($AN$9-$AL$9),$AL$9+SQRT(AX536*($AN$9-$AL$9)*($AM$9-$AL$9)),$AN$9-SQRT((1-AX536)*($AN$9-$AL$9)*($AN$9-$AM$9))),$AM$9)</f>
        <v/>
      </c>
      <c r="AP536">
        <f>IFERROR(IF(AY536&lt;($AM$10-$AL$10)/($AN$10-$AL$10),$AL$10+SQRT(AY536*($AN$10-$AL$10)*($AM$10-$AL$10)),$AN$10-SQRT((1-AY536)*($AN$10-$AL$10)*($AN$10-$AM$10))),$AM$10)</f>
        <v/>
      </c>
      <c r="AQ536">
        <f>IFERROR(IF(AZ536&lt;($AM$11-$AL$11)/($AN$11-$AL$11),$AL$11+SQRT(AZ536*($AN$11-$AL$11)*($AM$11-$AL$11)),$AN$11-SQRT((1-AZ536)*($AN$11-$AL$11)*($AN$11-$AM$11))),$AM$11)</f>
        <v/>
      </c>
      <c r="AR536">
        <f>SUMPRODUCT((B24:B31&lt;=$B$6)*(C24:C31*AM536+D24:D31*AO536*$B$8*AQ536)/(1+AL536/100)^B24:B31)+C32*AM536*AP536/(1+AL536/100)^$B$6</f>
        <v/>
      </c>
      <c r="AS536">
        <f>SUMPRODUCT((K24:K26&lt;=$B$6)*(L24:L26*AN536+M24:M26*AO536*$B$8*AQ536)/(1+AL536/100)^K24:K26)+L27*AN536*AP536/(1+AL536/100)^$B$6</f>
        <v/>
      </c>
      <c r="AT536">
        <f>AS536-AR536</f>
        <v/>
      </c>
      <c r="AU536">
        <f>RAND()</f>
        <v/>
      </c>
      <c r="AV536">
        <f>RAND()</f>
        <v/>
      </c>
      <c r="AW536">
        <f>RAND()</f>
        <v/>
      </c>
      <c r="AX536">
        <f>RAND()</f>
        <v/>
      </c>
      <c r="AY536">
        <f>RAND()</f>
        <v/>
      </c>
      <c r="AZ536">
        <f>RAND()</f>
        <v/>
      </c>
    </row>
    <row r="537">
      <c r="AK537" t="n">
        <v>524</v>
      </c>
      <c r="AL537">
        <f>IFERROR(IF(AU537&lt;($AM$6-$AL$6)/($AN$6-$AL$6),$AL$6+SQRT(AU537*($AN$6-$AL$6)*($AM$6-$AL$6)),$AN$6-SQRT((1-AU537)*($AN$6-$AL$6)*($AN$6-$AM$6))),$AM$6)</f>
        <v/>
      </c>
      <c r="AM537">
        <f>IFERROR(IF(AV537&lt;($AM$7-$AL$7)/($AN$7-$AL$7),$AL$7+SQRT(AV537*($AN$7-$AL$7)*($AM$7-$AL$7)),$AN$7-SQRT((1-AV537)*($AN$7-$AL$7)*($AN$7-$AM$7))),$AM$7)</f>
        <v/>
      </c>
      <c r="AN537">
        <f>IFERROR(IF(AW537&lt;($AM$8-$AL$8)/($AN$8-$AL$8),$AL$8+SQRT(AW537*($AN$8-$AL$8)*($AM$8-$AL$8)),$AN$8-SQRT((1-AW537)*($AN$8-$AL$8)*($AN$8-$AM$8))),$AM$8)</f>
        <v/>
      </c>
      <c r="AO537">
        <f>IFERROR(IF(AX537&lt;($AM$9-$AL$9)/($AN$9-$AL$9),$AL$9+SQRT(AX537*($AN$9-$AL$9)*($AM$9-$AL$9)),$AN$9-SQRT((1-AX537)*($AN$9-$AL$9)*($AN$9-$AM$9))),$AM$9)</f>
        <v/>
      </c>
      <c r="AP537">
        <f>IFERROR(IF(AY537&lt;($AM$10-$AL$10)/($AN$10-$AL$10),$AL$10+SQRT(AY537*($AN$10-$AL$10)*($AM$10-$AL$10)),$AN$10-SQRT((1-AY537)*($AN$10-$AL$10)*($AN$10-$AM$10))),$AM$10)</f>
        <v/>
      </c>
      <c r="AQ537">
        <f>IFERROR(IF(AZ537&lt;($AM$11-$AL$11)/($AN$11-$AL$11),$AL$11+SQRT(AZ537*($AN$11-$AL$11)*($AM$11-$AL$11)),$AN$11-SQRT((1-AZ537)*($AN$11-$AL$11)*($AN$11-$AM$11))),$AM$11)</f>
        <v/>
      </c>
      <c r="AR537">
        <f>SUMPRODUCT((B24:B31&lt;=$B$6)*(C24:C31*AM537+D24:D31*AO537*$B$8*AQ537)/(1+AL537/100)^B24:B31)+C32*AM537*AP537/(1+AL537/100)^$B$6</f>
        <v/>
      </c>
      <c r="AS537">
        <f>SUMPRODUCT((K24:K26&lt;=$B$6)*(L24:L26*AN537+M24:M26*AO537*$B$8*AQ537)/(1+AL537/100)^K24:K26)+L27*AN537*AP537/(1+AL537/100)^$B$6</f>
        <v/>
      </c>
      <c r="AT537">
        <f>AS537-AR537</f>
        <v/>
      </c>
      <c r="AU537">
        <f>RAND()</f>
        <v/>
      </c>
      <c r="AV537">
        <f>RAND()</f>
        <v/>
      </c>
      <c r="AW537">
        <f>RAND()</f>
        <v/>
      </c>
      <c r="AX537">
        <f>RAND()</f>
        <v/>
      </c>
      <c r="AY537">
        <f>RAND()</f>
        <v/>
      </c>
      <c r="AZ537">
        <f>RAND()</f>
        <v/>
      </c>
    </row>
    <row r="538">
      <c r="AK538" t="n">
        <v>525</v>
      </c>
      <c r="AL538">
        <f>IFERROR(IF(AU538&lt;($AM$6-$AL$6)/($AN$6-$AL$6),$AL$6+SQRT(AU538*($AN$6-$AL$6)*($AM$6-$AL$6)),$AN$6-SQRT((1-AU538)*($AN$6-$AL$6)*($AN$6-$AM$6))),$AM$6)</f>
        <v/>
      </c>
      <c r="AM538">
        <f>IFERROR(IF(AV538&lt;($AM$7-$AL$7)/($AN$7-$AL$7),$AL$7+SQRT(AV538*($AN$7-$AL$7)*($AM$7-$AL$7)),$AN$7-SQRT((1-AV538)*($AN$7-$AL$7)*($AN$7-$AM$7))),$AM$7)</f>
        <v/>
      </c>
      <c r="AN538">
        <f>IFERROR(IF(AW538&lt;($AM$8-$AL$8)/($AN$8-$AL$8),$AL$8+SQRT(AW538*($AN$8-$AL$8)*($AM$8-$AL$8)),$AN$8-SQRT((1-AW538)*($AN$8-$AL$8)*($AN$8-$AM$8))),$AM$8)</f>
        <v/>
      </c>
      <c r="AO538">
        <f>IFERROR(IF(AX538&lt;($AM$9-$AL$9)/($AN$9-$AL$9),$AL$9+SQRT(AX538*($AN$9-$AL$9)*($AM$9-$AL$9)),$AN$9-SQRT((1-AX538)*($AN$9-$AL$9)*($AN$9-$AM$9))),$AM$9)</f>
        <v/>
      </c>
      <c r="AP538">
        <f>IFERROR(IF(AY538&lt;($AM$10-$AL$10)/($AN$10-$AL$10),$AL$10+SQRT(AY538*($AN$10-$AL$10)*($AM$10-$AL$10)),$AN$10-SQRT((1-AY538)*($AN$10-$AL$10)*($AN$10-$AM$10))),$AM$10)</f>
        <v/>
      </c>
      <c r="AQ538">
        <f>IFERROR(IF(AZ538&lt;($AM$11-$AL$11)/($AN$11-$AL$11),$AL$11+SQRT(AZ538*($AN$11-$AL$11)*($AM$11-$AL$11)),$AN$11-SQRT((1-AZ538)*($AN$11-$AL$11)*($AN$11-$AM$11))),$AM$11)</f>
        <v/>
      </c>
      <c r="AR538">
        <f>SUMPRODUCT((B24:B31&lt;=$B$6)*(C24:C31*AM538+D24:D31*AO538*$B$8*AQ538)/(1+AL538/100)^B24:B31)+C32*AM538*AP538/(1+AL538/100)^$B$6</f>
        <v/>
      </c>
      <c r="AS538">
        <f>SUMPRODUCT((K24:K26&lt;=$B$6)*(L24:L26*AN538+M24:M26*AO538*$B$8*AQ538)/(1+AL538/100)^K24:K26)+L27*AN538*AP538/(1+AL538/100)^$B$6</f>
        <v/>
      </c>
      <c r="AT538">
        <f>AS538-AR538</f>
        <v/>
      </c>
      <c r="AU538">
        <f>RAND()</f>
        <v/>
      </c>
      <c r="AV538">
        <f>RAND()</f>
        <v/>
      </c>
      <c r="AW538">
        <f>RAND()</f>
        <v/>
      </c>
      <c r="AX538">
        <f>RAND()</f>
        <v/>
      </c>
      <c r="AY538">
        <f>RAND()</f>
        <v/>
      </c>
      <c r="AZ538">
        <f>RAND()</f>
        <v/>
      </c>
    </row>
    <row r="539">
      <c r="AK539" t="n">
        <v>526</v>
      </c>
      <c r="AL539">
        <f>IFERROR(IF(AU539&lt;($AM$6-$AL$6)/($AN$6-$AL$6),$AL$6+SQRT(AU539*($AN$6-$AL$6)*($AM$6-$AL$6)),$AN$6-SQRT((1-AU539)*($AN$6-$AL$6)*($AN$6-$AM$6))),$AM$6)</f>
        <v/>
      </c>
      <c r="AM539">
        <f>IFERROR(IF(AV539&lt;($AM$7-$AL$7)/($AN$7-$AL$7),$AL$7+SQRT(AV539*($AN$7-$AL$7)*($AM$7-$AL$7)),$AN$7-SQRT((1-AV539)*($AN$7-$AL$7)*($AN$7-$AM$7))),$AM$7)</f>
        <v/>
      </c>
      <c r="AN539">
        <f>IFERROR(IF(AW539&lt;($AM$8-$AL$8)/($AN$8-$AL$8),$AL$8+SQRT(AW539*($AN$8-$AL$8)*($AM$8-$AL$8)),$AN$8-SQRT((1-AW539)*($AN$8-$AL$8)*($AN$8-$AM$8))),$AM$8)</f>
        <v/>
      </c>
      <c r="AO539">
        <f>IFERROR(IF(AX539&lt;($AM$9-$AL$9)/($AN$9-$AL$9),$AL$9+SQRT(AX539*($AN$9-$AL$9)*($AM$9-$AL$9)),$AN$9-SQRT((1-AX539)*($AN$9-$AL$9)*($AN$9-$AM$9))),$AM$9)</f>
        <v/>
      </c>
      <c r="AP539">
        <f>IFERROR(IF(AY539&lt;($AM$10-$AL$10)/($AN$10-$AL$10),$AL$10+SQRT(AY539*($AN$10-$AL$10)*($AM$10-$AL$10)),$AN$10-SQRT((1-AY539)*($AN$10-$AL$10)*($AN$10-$AM$10))),$AM$10)</f>
        <v/>
      </c>
      <c r="AQ539">
        <f>IFERROR(IF(AZ539&lt;($AM$11-$AL$11)/($AN$11-$AL$11),$AL$11+SQRT(AZ539*($AN$11-$AL$11)*($AM$11-$AL$11)),$AN$11-SQRT((1-AZ539)*($AN$11-$AL$11)*($AN$11-$AM$11))),$AM$11)</f>
        <v/>
      </c>
      <c r="AR539">
        <f>SUMPRODUCT((B24:B31&lt;=$B$6)*(C24:C31*AM539+D24:D31*AO539*$B$8*AQ539)/(1+AL539/100)^B24:B31)+C32*AM539*AP539/(1+AL539/100)^$B$6</f>
        <v/>
      </c>
      <c r="AS539">
        <f>SUMPRODUCT((K24:K26&lt;=$B$6)*(L24:L26*AN539+M24:M26*AO539*$B$8*AQ539)/(1+AL539/100)^K24:K26)+L27*AN539*AP539/(1+AL539/100)^$B$6</f>
        <v/>
      </c>
      <c r="AT539">
        <f>AS539-AR539</f>
        <v/>
      </c>
      <c r="AU539">
        <f>RAND()</f>
        <v/>
      </c>
      <c r="AV539">
        <f>RAND()</f>
        <v/>
      </c>
      <c r="AW539">
        <f>RAND()</f>
        <v/>
      </c>
      <c r="AX539">
        <f>RAND()</f>
        <v/>
      </c>
      <c r="AY539">
        <f>RAND()</f>
        <v/>
      </c>
      <c r="AZ539">
        <f>RAND()</f>
        <v/>
      </c>
    </row>
    <row r="540">
      <c r="AK540" t="n">
        <v>527</v>
      </c>
      <c r="AL540">
        <f>IFERROR(IF(AU540&lt;($AM$6-$AL$6)/($AN$6-$AL$6),$AL$6+SQRT(AU540*($AN$6-$AL$6)*($AM$6-$AL$6)),$AN$6-SQRT((1-AU540)*($AN$6-$AL$6)*($AN$6-$AM$6))),$AM$6)</f>
        <v/>
      </c>
      <c r="AM540">
        <f>IFERROR(IF(AV540&lt;($AM$7-$AL$7)/($AN$7-$AL$7),$AL$7+SQRT(AV540*($AN$7-$AL$7)*($AM$7-$AL$7)),$AN$7-SQRT((1-AV540)*($AN$7-$AL$7)*($AN$7-$AM$7))),$AM$7)</f>
        <v/>
      </c>
      <c r="AN540">
        <f>IFERROR(IF(AW540&lt;($AM$8-$AL$8)/($AN$8-$AL$8),$AL$8+SQRT(AW540*($AN$8-$AL$8)*($AM$8-$AL$8)),$AN$8-SQRT((1-AW540)*($AN$8-$AL$8)*($AN$8-$AM$8))),$AM$8)</f>
        <v/>
      </c>
      <c r="AO540">
        <f>IFERROR(IF(AX540&lt;($AM$9-$AL$9)/($AN$9-$AL$9),$AL$9+SQRT(AX540*($AN$9-$AL$9)*($AM$9-$AL$9)),$AN$9-SQRT((1-AX540)*($AN$9-$AL$9)*($AN$9-$AM$9))),$AM$9)</f>
        <v/>
      </c>
      <c r="AP540">
        <f>IFERROR(IF(AY540&lt;($AM$10-$AL$10)/($AN$10-$AL$10),$AL$10+SQRT(AY540*($AN$10-$AL$10)*($AM$10-$AL$10)),$AN$10-SQRT((1-AY540)*($AN$10-$AL$10)*($AN$10-$AM$10))),$AM$10)</f>
        <v/>
      </c>
      <c r="AQ540">
        <f>IFERROR(IF(AZ540&lt;($AM$11-$AL$11)/($AN$11-$AL$11),$AL$11+SQRT(AZ540*($AN$11-$AL$11)*($AM$11-$AL$11)),$AN$11-SQRT((1-AZ540)*($AN$11-$AL$11)*($AN$11-$AM$11))),$AM$11)</f>
        <v/>
      </c>
      <c r="AR540">
        <f>SUMPRODUCT((B24:B31&lt;=$B$6)*(C24:C31*AM540+D24:D31*AO540*$B$8*AQ540)/(1+AL540/100)^B24:B31)+C32*AM540*AP540/(1+AL540/100)^$B$6</f>
        <v/>
      </c>
      <c r="AS540">
        <f>SUMPRODUCT((K24:K26&lt;=$B$6)*(L24:L26*AN540+M24:M26*AO540*$B$8*AQ540)/(1+AL540/100)^K24:K26)+L27*AN540*AP540/(1+AL540/100)^$B$6</f>
        <v/>
      </c>
      <c r="AT540">
        <f>AS540-AR540</f>
        <v/>
      </c>
      <c r="AU540">
        <f>RAND()</f>
        <v/>
      </c>
      <c r="AV540">
        <f>RAND()</f>
        <v/>
      </c>
      <c r="AW540">
        <f>RAND()</f>
        <v/>
      </c>
      <c r="AX540">
        <f>RAND()</f>
        <v/>
      </c>
      <c r="AY540">
        <f>RAND()</f>
        <v/>
      </c>
      <c r="AZ540">
        <f>RAND()</f>
        <v/>
      </c>
    </row>
    <row r="541">
      <c r="AK541" t="n">
        <v>528</v>
      </c>
      <c r="AL541">
        <f>IFERROR(IF(AU541&lt;($AM$6-$AL$6)/($AN$6-$AL$6),$AL$6+SQRT(AU541*($AN$6-$AL$6)*($AM$6-$AL$6)),$AN$6-SQRT((1-AU541)*($AN$6-$AL$6)*($AN$6-$AM$6))),$AM$6)</f>
        <v/>
      </c>
      <c r="AM541">
        <f>IFERROR(IF(AV541&lt;($AM$7-$AL$7)/($AN$7-$AL$7),$AL$7+SQRT(AV541*($AN$7-$AL$7)*($AM$7-$AL$7)),$AN$7-SQRT((1-AV541)*($AN$7-$AL$7)*($AN$7-$AM$7))),$AM$7)</f>
        <v/>
      </c>
      <c r="AN541">
        <f>IFERROR(IF(AW541&lt;($AM$8-$AL$8)/($AN$8-$AL$8),$AL$8+SQRT(AW541*($AN$8-$AL$8)*($AM$8-$AL$8)),$AN$8-SQRT((1-AW541)*($AN$8-$AL$8)*($AN$8-$AM$8))),$AM$8)</f>
        <v/>
      </c>
      <c r="AO541">
        <f>IFERROR(IF(AX541&lt;($AM$9-$AL$9)/($AN$9-$AL$9),$AL$9+SQRT(AX541*($AN$9-$AL$9)*($AM$9-$AL$9)),$AN$9-SQRT((1-AX541)*($AN$9-$AL$9)*($AN$9-$AM$9))),$AM$9)</f>
        <v/>
      </c>
      <c r="AP541">
        <f>IFERROR(IF(AY541&lt;($AM$10-$AL$10)/($AN$10-$AL$10),$AL$10+SQRT(AY541*($AN$10-$AL$10)*($AM$10-$AL$10)),$AN$10-SQRT((1-AY541)*($AN$10-$AL$10)*($AN$10-$AM$10))),$AM$10)</f>
        <v/>
      </c>
      <c r="AQ541">
        <f>IFERROR(IF(AZ541&lt;($AM$11-$AL$11)/($AN$11-$AL$11),$AL$11+SQRT(AZ541*($AN$11-$AL$11)*($AM$11-$AL$11)),$AN$11-SQRT((1-AZ541)*($AN$11-$AL$11)*($AN$11-$AM$11))),$AM$11)</f>
        <v/>
      </c>
      <c r="AR541">
        <f>SUMPRODUCT((B24:B31&lt;=$B$6)*(C24:C31*AM541+D24:D31*AO541*$B$8*AQ541)/(1+AL541/100)^B24:B31)+C32*AM541*AP541/(1+AL541/100)^$B$6</f>
        <v/>
      </c>
      <c r="AS541">
        <f>SUMPRODUCT((K24:K26&lt;=$B$6)*(L24:L26*AN541+M24:M26*AO541*$B$8*AQ541)/(1+AL541/100)^K24:K26)+L27*AN541*AP541/(1+AL541/100)^$B$6</f>
        <v/>
      </c>
      <c r="AT541">
        <f>AS541-AR541</f>
        <v/>
      </c>
      <c r="AU541">
        <f>RAND()</f>
        <v/>
      </c>
      <c r="AV541">
        <f>RAND()</f>
        <v/>
      </c>
      <c r="AW541">
        <f>RAND()</f>
        <v/>
      </c>
      <c r="AX541">
        <f>RAND()</f>
        <v/>
      </c>
      <c r="AY541">
        <f>RAND()</f>
        <v/>
      </c>
      <c r="AZ541">
        <f>RAND()</f>
        <v/>
      </c>
    </row>
    <row r="542">
      <c r="AK542" t="n">
        <v>529</v>
      </c>
      <c r="AL542">
        <f>IFERROR(IF(AU542&lt;($AM$6-$AL$6)/($AN$6-$AL$6),$AL$6+SQRT(AU542*($AN$6-$AL$6)*($AM$6-$AL$6)),$AN$6-SQRT((1-AU542)*($AN$6-$AL$6)*($AN$6-$AM$6))),$AM$6)</f>
        <v/>
      </c>
      <c r="AM542">
        <f>IFERROR(IF(AV542&lt;($AM$7-$AL$7)/($AN$7-$AL$7),$AL$7+SQRT(AV542*($AN$7-$AL$7)*($AM$7-$AL$7)),$AN$7-SQRT((1-AV542)*($AN$7-$AL$7)*($AN$7-$AM$7))),$AM$7)</f>
        <v/>
      </c>
      <c r="AN542">
        <f>IFERROR(IF(AW542&lt;($AM$8-$AL$8)/($AN$8-$AL$8),$AL$8+SQRT(AW542*($AN$8-$AL$8)*($AM$8-$AL$8)),$AN$8-SQRT((1-AW542)*($AN$8-$AL$8)*($AN$8-$AM$8))),$AM$8)</f>
        <v/>
      </c>
      <c r="AO542">
        <f>IFERROR(IF(AX542&lt;($AM$9-$AL$9)/($AN$9-$AL$9),$AL$9+SQRT(AX542*($AN$9-$AL$9)*($AM$9-$AL$9)),$AN$9-SQRT((1-AX542)*($AN$9-$AL$9)*($AN$9-$AM$9))),$AM$9)</f>
        <v/>
      </c>
      <c r="AP542">
        <f>IFERROR(IF(AY542&lt;($AM$10-$AL$10)/($AN$10-$AL$10),$AL$10+SQRT(AY542*($AN$10-$AL$10)*($AM$10-$AL$10)),$AN$10-SQRT((1-AY542)*($AN$10-$AL$10)*($AN$10-$AM$10))),$AM$10)</f>
        <v/>
      </c>
      <c r="AQ542">
        <f>IFERROR(IF(AZ542&lt;($AM$11-$AL$11)/($AN$11-$AL$11),$AL$11+SQRT(AZ542*($AN$11-$AL$11)*($AM$11-$AL$11)),$AN$11-SQRT((1-AZ542)*($AN$11-$AL$11)*($AN$11-$AM$11))),$AM$11)</f>
        <v/>
      </c>
      <c r="AR542">
        <f>SUMPRODUCT((B24:B31&lt;=$B$6)*(C24:C31*AM542+D24:D31*AO542*$B$8*AQ542)/(1+AL542/100)^B24:B31)+C32*AM542*AP542/(1+AL542/100)^$B$6</f>
        <v/>
      </c>
      <c r="AS542">
        <f>SUMPRODUCT((K24:K26&lt;=$B$6)*(L24:L26*AN542+M24:M26*AO542*$B$8*AQ542)/(1+AL542/100)^K24:K26)+L27*AN542*AP542/(1+AL542/100)^$B$6</f>
        <v/>
      </c>
      <c r="AT542">
        <f>AS542-AR542</f>
        <v/>
      </c>
      <c r="AU542">
        <f>RAND()</f>
        <v/>
      </c>
      <c r="AV542">
        <f>RAND()</f>
        <v/>
      </c>
      <c r="AW542">
        <f>RAND()</f>
        <v/>
      </c>
      <c r="AX542">
        <f>RAND()</f>
        <v/>
      </c>
      <c r="AY542">
        <f>RAND()</f>
        <v/>
      </c>
      <c r="AZ542">
        <f>RAND()</f>
        <v/>
      </c>
    </row>
    <row r="543">
      <c r="AK543" t="n">
        <v>530</v>
      </c>
      <c r="AL543">
        <f>IFERROR(IF(AU543&lt;($AM$6-$AL$6)/($AN$6-$AL$6),$AL$6+SQRT(AU543*($AN$6-$AL$6)*($AM$6-$AL$6)),$AN$6-SQRT((1-AU543)*($AN$6-$AL$6)*($AN$6-$AM$6))),$AM$6)</f>
        <v/>
      </c>
      <c r="AM543">
        <f>IFERROR(IF(AV543&lt;($AM$7-$AL$7)/($AN$7-$AL$7),$AL$7+SQRT(AV543*($AN$7-$AL$7)*($AM$7-$AL$7)),$AN$7-SQRT((1-AV543)*($AN$7-$AL$7)*($AN$7-$AM$7))),$AM$7)</f>
        <v/>
      </c>
      <c r="AN543">
        <f>IFERROR(IF(AW543&lt;($AM$8-$AL$8)/($AN$8-$AL$8),$AL$8+SQRT(AW543*($AN$8-$AL$8)*($AM$8-$AL$8)),$AN$8-SQRT((1-AW543)*($AN$8-$AL$8)*($AN$8-$AM$8))),$AM$8)</f>
        <v/>
      </c>
      <c r="AO543">
        <f>IFERROR(IF(AX543&lt;($AM$9-$AL$9)/($AN$9-$AL$9),$AL$9+SQRT(AX543*($AN$9-$AL$9)*($AM$9-$AL$9)),$AN$9-SQRT((1-AX543)*($AN$9-$AL$9)*($AN$9-$AM$9))),$AM$9)</f>
        <v/>
      </c>
      <c r="AP543">
        <f>IFERROR(IF(AY543&lt;($AM$10-$AL$10)/($AN$10-$AL$10),$AL$10+SQRT(AY543*($AN$10-$AL$10)*($AM$10-$AL$10)),$AN$10-SQRT((1-AY543)*($AN$10-$AL$10)*($AN$10-$AM$10))),$AM$10)</f>
        <v/>
      </c>
      <c r="AQ543">
        <f>IFERROR(IF(AZ543&lt;($AM$11-$AL$11)/($AN$11-$AL$11),$AL$11+SQRT(AZ543*($AN$11-$AL$11)*($AM$11-$AL$11)),$AN$11-SQRT((1-AZ543)*($AN$11-$AL$11)*($AN$11-$AM$11))),$AM$11)</f>
        <v/>
      </c>
      <c r="AR543">
        <f>SUMPRODUCT((B24:B31&lt;=$B$6)*(C24:C31*AM543+D24:D31*AO543*$B$8*AQ543)/(1+AL543/100)^B24:B31)+C32*AM543*AP543/(1+AL543/100)^$B$6</f>
        <v/>
      </c>
      <c r="AS543">
        <f>SUMPRODUCT((K24:K26&lt;=$B$6)*(L24:L26*AN543+M24:M26*AO543*$B$8*AQ543)/(1+AL543/100)^K24:K26)+L27*AN543*AP543/(1+AL543/100)^$B$6</f>
        <v/>
      </c>
      <c r="AT543">
        <f>AS543-AR543</f>
        <v/>
      </c>
      <c r="AU543">
        <f>RAND()</f>
        <v/>
      </c>
      <c r="AV543">
        <f>RAND()</f>
        <v/>
      </c>
      <c r="AW543">
        <f>RAND()</f>
        <v/>
      </c>
      <c r="AX543">
        <f>RAND()</f>
        <v/>
      </c>
      <c r="AY543">
        <f>RAND()</f>
        <v/>
      </c>
      <c r="AZ543">
        <f>RAND()</f>
        <v/>
      </c>
    </row>
    <row r="544">
      <c r="AK544" t="n">
        <v>531</v>
      </c>
      <c r="AL544">
        <f>IFERROR(IF(AU544&lt;($AM$6-$AL$6)/($AN$6-$AL$6),$AL$6+SQRT(AU544*($AN$6-$AL$6)*($AM$6-$AL$6)),$AN$6-SQRT((1-AU544)*($AN$6-$AL$6)*($AN$6-$AM$6))),$AM$6)</f>
        <v/>
      </c>
      <c r="AM544">
        <f>IFERROR(IF(AV544&lt;($AM$7-$AL$7)/($AN$7-$AL$7),$AL$7+SQRT(AV544*($AN$7-$AL$7)*($AM$7-$AL$7)),$AN$7-SQRT((1-AV544)*($AN$7-$AL$7)*($AN$7-$AM$7))),$AM$7)</f>
        <v/>
      </c>
      <c r="AN544">
        <f>IFERROR(IF(AW544&lt;($AM$8-$AL$8)/($AN$8-$AL$8),$AL$8+SQRT(AW544*($AN$8-$AL$8)*($AM$8-$AL$8)),$AN$8-SQRT((1-AW544)*($AN$8-$AL$8)*($AN$8-$AM$8))),$AM$8)</f>
        <v/>
      </c>
      <c r="AO544">
        <f>IFERROR(IF(AX544&lt;($AM$9-$AL$9)/($AN$9-$AL$9),$AL$9+SQRT(AX544*($AN$9-$AL$9)*($AM$9-$AL$9)),$AN$9-SQRT((1-AX544)*($AN$9-$AL$9)*($AN$9-$AM$9))),$AM$9)</f>
        <v/>
      </c>
      <c r="AP544">
        <f>IFERROR(IF(AY544&lt;($AM$10-$AL$10)/($AN$10-$AL$10),$AL$10+SQRT(AY544*($AN$10-$AL$10)*($AM$10-$AL$10)),$AN$10-SQRT((1-AY544)*($AN$10-$AL$10)*($AN$10-$AM$10))),$AM$10)</f>
        <v/>
      </c>
      <c r="AQ544">
        <f>IFERROR(IF(AZ544&lt;($AM$11-$AL$11)/($AN$11-$AL$11),$AL$11+SQRT(AZ544*($AN$11-$AL$11)*($AM$11-$AL$11)),$AN$11-SQRT((1-AZ544)*($AN$11-$AL$11)*($AN$11-$AM$11))),$AM$11)</f>
        <v/>
      </c>
      <c r="AR544">
        <f>SUMPRODUCT((B24:B31&lt;=$B$6)*(C24:C31*AM544+D24:D31*AO544*$B$8*AQ544)/(1+AL544/100)^B24:B31)+C32*AM544*AP544/(1+AL544/100)^$B$6</f>
        <v/>
      </c>
      <c r="AS544">
        <f>SUMPRODUCT((K24:K26&lt;=$B$6)*(L24:L26*AN544+M24:M26*AO544*$B$8*AQ544)/(1+AL544/100)^K24:K26)+L27*AN544*AP544/(1+AL544/100)^$B$6</f>
        <v/>
      </c>
      <c r="AT544">
        <f>AS544-AR544</f>
        <v/>
      </c>
      <c r="AU544">
        <f>RAND()</f>
        <v/>
      </c>
      <c r="AV544">
        <f>RAND()</f>
        <v/>
      </c>
      <c r="AW544">
        <f>RAND()</f>
        <v/>
      </c>
      <c r="AX544">
        <f>RAND()</f>
        <v/>
      </c>
      <c r="AY544">
        <f>RAND()</f>
        <v/>
      </c>
      <c r="AZ544">
        <f>RAND()</f>
        <v/>
      </c>
    </row>
    <row r="545">
      <c r="AK545" t="n">
        <v>532</v>
      </c>
      <c r="AL545">
        <f>IFERROR(IF(AU545&lt;($AM$6-$AL$6)/($AN$6-$AL$6),$AL$6+SQRT(AU545*($AN$6-$AL$6)*($AM$6-$AL$6)),$AN$6-SQRT((1-AU545)*($AN$6-$AL$6)*($AN$6-$AM$6))),$AM$6)</f>
        <v/>
      </c>
      <c r="AM545">
        <f>IFERROR(IF(AV545&lt;($AM$7-$AL$7)/($AN$7-$AL$7),$AL$7+SQRT(AV545*($AN$7-$AL$7)*($AM$7-$AL$7)),$AN$7-SQRT((1-AV545)*($AN$7-$AL$7)*($AN$7-$AM$7))),$AM$7)</f>
        <v/>
      </c>
      <c r="AN545">
        <f>IFERROR(IF(AW545&lt;($AM$8-$AL$8)/($AN$8-$AL$8),$AL$8+SQRT(AW545*($AN$8-$AL$8)*($AM$8-$AL$8)),$AN$8-SQRT((1-AW545)*($AN$8-$AL$8)*($AN$8-$AM$8))),$AM$8)</f>
        <v/>
      </c>
      <c r="AO545">
        <f>IFERROR(IF(AX545&lt;($AM$9-$AL$9)/($AN$9-$AL$9),$AL$9+SQRT(AX545*($AN$9-$AL$9)*($AM$9-$AL$9)),$AN$9-SQRT((1-AX545)*($AN$9-$AL$9)*($AN$9-$AM$9))),$AM$9)</f>
        <v/>
      </c>
      <c r="AP545">
        <f>IFERROR(IF(AY545&lt;($AM$10-$AL$10)/($AN$10-$AL$10),$AL$10+SQRT(AY545*($AN$10-$AL$10)*($AM$10-$AL$10)),$AN$10-SQRT((1-AY545)*($AN$10-$AL$10)*($AN$10-$AM$10))),$AM$10)</f>
        <v/>
      </c>
      <c r="AQ545">
        <f>IFERROR(IF(AZ545&lt;($AM$11-$AL$11)/($AN$11-$AL$11),$AL$11+SQRT(AZ545*($AN$11-$AL$11)*($AM$11-$AL$11)),$AN$11-SQRT((1-AZ545)*($AN$11-$AL$11)*($AN$11-$AM$11))),$AM$11)</f>
        <v/>
      </c>
      <c r="AR545">
        <f>SUMPRODUCT((B24:B31&lt;=$B$6)*(C24:C31*AM545+D24:D31*AO545*$B$8*AQ545)/(1+AL545/100)^B24:B31)+C32*AM545*AP545/(1+AL545/100)^$B$6</f>
        <v/>
      </c>
      <c r="AS545">
        <f>SUMPRODUCT((K24:K26&lt;=$B$6)*(L24:L26*AN545+M24:M26*AO545*$B$8*AQ545)/(1+AL545/100)^K24:K26)+L27*AN545*AP545/(1+AL545/100)^$B$6</f>
        <v/>
      </c>
      <c r="AT545">
        <f>AS545-AR545</f>
        <v/>
      </c>
      <c r="AU545">
        <f>RAND()</f>
        <v/>
      </c>
      <c r="AV545">
        <f>RAND()</f>
        <v/>
      </c>
      <c r="AW545">
        <f>RAND()</f>
        <v/>
      </c>
      <c r="AX545">
        <f>RAND()</f>
        <v/>
      </c>
      <c r="AY545">
        <f>RAND()</f>
        <v/>
      </c>
      <c r="AZ545">
        <f>RAND()</f>
        <v/>
      </c>
    </row>
    <row r="546">
      <c r="AK546" t="n">
        <v>533</v>
      </c>
      <c r="AL546">
        <f>IFERROR(IF(AU546&lt;($AM$6-$AL$6)/($AN$6-$AL$6),$AL$6+SQRT(AU546*($AN$6-$AL$6)*($AM$6-$AL$6)),$AN$6-SQRT((1-AU546)*($AN$6-$AL$6)*($AN$6-$AM$6))),$AM$6)</f>
        <v/>
      </c>
      <c r="AM546">
        <f>IFERROR(IF(AV546&lt;($AM$7-$AL$7)/($AN$7-$AL$7),$AL$7+SQRT(AV546*($AN$7-$AL$7)*($AM$7-$AL$7)),$AN$7-SQRT((1-AV546)*($AN$7-$AL$7)*($AN$7-$AM$7))),$AM$7)</f>
        <v/>
      </c>
      <c r="AN546">
        <f>IFERROR(IF(AW546&lt;($AM$8-$AL$8)/($AN$8-$AL$8),$AL$8+SQRT(AW546*($AN$8-$AL$8)*($AM$8-$AL$8)),$AN$8-SQRT((1-AW546)*($AN$8-$AL$8)*($AN$8-$AM$8))),$AM$8)</f>
        <v/>
      </c>
      <c r="AO546">
        <f>IFERROR(IF(AX546&lt;($AM$9-$AL$9)/($AN$9-$AL$9),$AL$9+SQRT(AX546*($AN$9-$AL$9)*($AM$9-$AL$9)),$AN$9-SQRT((1-AX546)*($AN$9-$AL$9)*($AN$9-$AM$9))),$AM$9)</f>
        <v/>
      </c>
      <c r="AP546">
        <f>IFERROR(IF(AY546&lt;($AM$10-$AL$10)/($AN$10-$AL$10),$AL$10+SQRT(AY546*($AN$10-$AL$10)*($AM$10-$AL$10)),$AN$10-SQRT((1-AY546)*($AN$10-$AL$10)*($AN$10-$AM$10))),$AM$10)</f>
        <v/>
      </c>
      <c r="AQ546">
        <f>IFERROR(IF(AZ546&lt;($AM$11-$AL$11)/($AN$11-$AL$11),$AL$11+SQRT(AZ546*($AN$11-$AL$11)*($AM$11-$AL$11)),$AN$11-SQRT((1-AZ546)*($AN$11-$AL$11)*($AN$11-$AM$11))),$AM$11)</f>
        <v/>
      </c>
      <c r="AR546">
        <f>SUMPRODUCT((B24:B31&lt;=$B$6)*(C24:C31*AM546+D24:D31*AO546*$B$8*AQ546)/(1+AL546/100)^B24:B31)+C32*AM546*AP546/(1+AL546/100)^$B$6</f>
        <v/>
      </c>
      <c r="AS546">
        <f>SUMPRODUCT((K24:K26&lt;=$B$6)*(L24:L26*AN546+M24:M26*AO546*$B$8*AQ546)/(1+AL546/100)^K24:K26)+L27*AN546*AP546/(1+AL546/100)^$B$6</f>
        <v/>
      </c>
      <c r="AT546">
        <f>AS546-AR546</f>
        <v/>
      </c>
      <c r="AU546">
        <f>RAND()</f>
        <v/>
      </c>
      <c r="AV546">
        <f>RAND()</f>
        <v/>
      </c>
      <c r="AW546">
        <f>RAND()</f>
        <v/>
      </c>
      <c r="AX546">
        <f>RAND()</f>
        <v/>
      </c>
      <c r="AY546">
        <f>RAND()</f>
        <v/>
      </c>
      <c r="AZ546">
        <f>RAND()</f>
        <v/>
      </c>
    </row>
    <row r="547">
      <c r="AK547" t="n">
        <v>534</v>
      </c>
      <c r="AL547">
        <f>IFERROR(IF(AU547&lt;($AM$6-$AL$6)/($AN$6-$AL$6),$AL$6+SQRT(AU547*($AN$6-$AL$6)*($AM$6-$AL$6)),$AN$6-SQRT((1-AU547)*($AN$6-$AL$6)*($AN$6-$AM$6))),$AM$6)</f>
        <v/>
      </c>
      <c r="AM547">
        <f>IFERROR(IF(AV547&lt;($AM$7-$AL$7)/($AN$7-$AL$7),$AL$7+SQRT(AV547*($AN$7-$AL$7)*($AM$7-$AL$7)),$AN$7-SQRT((1-AV547)*($AN$7-$AL$7)*($AN$7-$AM$7))),$AM$7)</f>
        <v/>
      </c>
      <c r="AN547">
        <f>IFERROR(IF(AW547&lt;($AM$8-$AL$8)/($AN$8-$AL$8),$AL$8+SQRT(AW547*($AN$8-$AL$8)*($AM$8-$AL$8)),$AN$8-SQRT((1-AW547)*($AN$8-$AL$8)*($AN$8-$AM$8))),$AM$8)</f>
        <v/>
      </c>
      <c r="AO547">
        <f>IFERROR(IF(AX547&lt;($AM$9-$AL$9)/($AN$9-$AL$9),$AL$9+SQRT(AX547*($AN$9-$AL$9)*($AM$9-$AL$9)),$AN$9-SQRT((1-AX547)*($AN$9-$AL$9)*($AN$9-$AM$9))),$AM$9)</f>
        <v/>
      </c>
      <c r="AP547">
        <f>IFERROR(IF(AY547&lt;($AM$10-$AL$10)/($AN$10-$AL$10),$AL$10+SQRT(AY547*($AN$10-$AL$10)*($AM$10-$AL$10)),$AN$10-SQRT((1-AY547)*($AN$10-$AL$10)*($AN$10-$AM$10))),$AM$10)</f>
        <v/>
      </c>
      <c r="AQ547">
        <f>IFERROR(IF(AZ547&lt;($AM$11-$AL$11)/($AN$11-$AL$11),$AL$11+SQRT(AZ547*($AN$11-$AL$11)*($AM$11-$AL$11)),$AN$11-SQRT((1-AZ547)*($AN$11-$AL$11)*($AN$11-$AM$11))),$AM$11)</f>
        <v/>
      </c>
      <c r="AR547">
        <f>SUMPRODUCT((B24:B31&lt;=$B$6)*(C24:C31*AM547+D24:D31*AO547*$B$8*AQ547)/(1+AL547/100)^B24:B31)+C32*AM547*AP547/(1+AL547/100)^$B$6</f>
        <v/>
      </c>
      <c r="AS547">
        <f>SUMPRODUCT((K24:K26&lt;=$B$6)*(L24:L26*AN547+M24:M26*AO547*$B$8*AQ547)/(1+AL547/100)^K24:K26)+L27*AN547*AP547/(1+AL547/100)^$B$6</f>
        <v/>
      </c>
      <c r="AT547">
        <f>AS547-AR547</f>
        <v/>
      </c>
      <c r="AU547">
        <f>RAND()</f>
        <v/>
      </c>
      <c r="AV547">
        <f>RAND()</f>
        <v/>
      </c>
      <c r="AW547">
        <f>RAND()</f>
        <v/>
      </c>
      <c r="AX547">
        <f>RAND()</f>
        <v/>
      </c>
      <c r="AY547">
        <f>RAND()</f>
        <v/>
      </c>
      <c r="AZ547">
        <f>RAND()</f>
        <v/>
      </c>
    </row>
    <row r="548">
      <c r="AK548" t="n">
        <v>535</v>
      </c>
      <c r="AL548">
        <f>IFERROR(IF(AU548&lt;($AM$6-$AL$6)/($AN$6-$AL$6),$AL$6+SQRT(AU548*($AN$6-$AL$6)*($AM$6-$AL$6)),$AN$6-SQRT((1-AU548)*($AN$6-$AL$6)*($AN$6-$AM$6))),$AM$6)</f>
        <v/>
      </c>
      <c r="AM548">
        <f>IFERROR(IF(AV548&lt;($AM$7-$AL$7)/($AN$7-$AL$7),$AL$7+SQRT(AV548*($AN$7-$AL$7)*($AM$7-$AL$7)),$AN$7-SQRT((1-AV548)*($AN$7-$AL$7)*($AN$7-$AM$7))),$AM$7)</f>
        <v/>
      </c>
      <c r="AN548">
        <f>IFERROR(IF(AW548&lt;($AM$8-$AL$8)/($AN$8-$AL$8),$AL$8+SQRT(AW548*($AN$8-$AL$8)*($AM$8-$AL$8)),$AN$8-SQRT((1-AW548)*($AN$8-$AL$8)*($AN$8-$AM$8))),$AM$8)</f>
        <v/>
      </c>
      <c r="AO548">
        <f>IFERROR(IF(AX548&lt;($AM$9-$AL$9)/($AN$9-$AL$9),$AL$9+SQRT(AX548*($AN$9-$AL$9)*($AM$9-$AL$9)),$AN$9-SQRT((1-AX548)*($AN$9-$AL$9)*($AN$9-$AM$9))),$AM$9)</f>
        <v/>
      </c>
      <c r="AP548">
        <f>IFERROR(IF(AY548&lt;($AM$10-$AL$10)/($AN$10-$AL$10),$AL$10+SQRT(AY548*($AN$10-$AL$10)*($AM$10-$AL$10)),$AN$10-SQRT((1-AY548)*($AN$10-$AL$10)*($AN$10-$AM$10))),$AM$10)</f>
        <v/>
      </c>
      <c r="AQ548">
        <f>IFERROR(IF(AZ548&lt;($AM$11-$AL$11)/($AN$11-$AL$11),$AL$11+SQRT(AZ548*($AN$11-$AL$11)*($AM$11-$AL$11)),$AN$11-SQRT((1-AZ548)*($AN$11-$AL$11)*($AN$11-$AM$11))),$AM$11)</f>
        <v/>
      </c>
      <c r="AR548">
        <f>SUMPRODUCT((B24:B31&lt;=$B$6)*(C24:C31*AM548+D24:D31*AO548*$B$8*AQ548)/(1+AL548/100)^B24:B31)+C32*AM548*AP548/(1+AL548/100)^$B$6</f>
        <v/>
      </c>
      <c r="AS548">
        <f>SUMPRODUCT((K24:K26&lt;=$B$6)*(L24:L26*AN548+M24:M26*AO548*$B$8*AQ548)/(1+AL548/100)^K24:K26)+L27*AN548*AP548/(1+AL548/100)^$B$6</f>
        <v/>
      </c>
      <c r="AT548">
        <f>AS548-AR548</f>
        <v/>
      </c>
      <c r="AU548">
        <f>RAND()</f>
        <v/>
      </c>
      <c r="AV548">
        <f>RAND()</f>
        <v/>
      </c>
      <c r="AW548">
        <f>RAND()</f>
        <v/>
      </c>
      <c r="AX548">
        <f>RAND()</f>
        <v/>
      </c>
      <c r="AY548">
        <f>RAND()</f>
        <v/>
      </c>
      <c r="AZ548">
        <f>RAND()</f>
        <v/>
      </c>
    </row>
    <row r="549">
      <c r="AK549" t="n">
        <v>536</v>
      </c>
      <c r="AL549">
        <f>IFERROR(IF(AU549&lt;($AM$6-$AL$6)/($AN$6-$AL$6),$AL$6+SQRT(AU549*($AN$6-$AL$6)*($AM$6-$AL$6)),$AN$6-SQRT((1-AU549)*($AN$6-$AL$6)*($AN$6-$AM$6))),$AM$6)</f>
        <v/>
      </c>
      <c r="AM549">
        <f>IFERROR(IF(AV549&lt;($AM$7-$AL$7)/($AN$7-$AL$7),$AL$7+SQRT(AV549*($AN$7-$AL$7)*($AM$7-$AL$7)),$AN$7-SQRT((1-AV549)*($AN$7-$AL$7)*($AN$7-$AM$7))),$AM$7)</f>
        <v/>
      </c>
      <c r="AN549">
        <f>IFERROR(IF(AW549&lt;($AM$8-$AL$8)/($AN$8-$AL$8),$AL$8+SQRT(AW549*($AN$8-$AL$8)*($AM$8-$AL$8)),$AN$8-SQRT((1-AW549)*($AN$8-$AL$8)*($AN$8-$AM$8))),$AM$8)</f>
        <v/>
      </c>
      <c r="AO549">
        <f>IFERROR(IF(AX549&lt;($AM$9-$AL$9)/($AN$9-$AL$9),$AL$9+SQRT(AX549*($AN$9-$AL$9)*($AM$9-$AL$9)),$AN$9-SQRT((1-AX549)*($AN$9-$AL$9)*($AN$9-$AM$9))),$AM$9)</f>
        <v/>
      </c>
      <c r="AP549">
        <f>IFERROR(IF(AY549&lt;($AM$10-$AL$10)/($AN$10-$AL$10),$AL$10+SQRT(AY549*($AN$10-$AL$10)*($AM$10-$AL$10)),$AN$10-SQRT((1-AY549)*($AN$10-$AL$10)*($AN$10-$AM$10))),$AM$10)</f>
        <v/>
      </c>
      <c r="AQ549">
        <f>IFERROR(IF(AZ549&lt;($AM$11-$AL$11)/($AN$11-$AL$11),$AL$11+SQRT(AZ549*($AN$11-$AL$11)*($AM$11-$AL$11)),$AN$11-SQRT((1-AZ549)*($AN$11-$AL$11)*($AN$11-$AM$11))),$AM$11)</f>
        <v/>
      </c>
      <c r="AR549">
        <f>SUMPRODUCT((B24:B31&lt;=$B$6)*(C24:C31*AM549+D24:D31*AO549*$B$8*AQ549)/(1+AL549/100)^B24:B31)+C32*AM549*AP549/(1+AL549/100)^$B$6</f>
        <v/>
      </c>
      <c r="AS549">
        <f>SUMPRODUCT((K24:K26&lt;=$B$6)*(L24:L26*AN549+M24:M26*AO549*$B$8*AQ549)/(1+AL549/100)^K24:K26)+L27*AN549*AP549/(1+AL549/100)^$B$6</f>
        <v/>
      </c>
      <c r="AT549">
        <f>AS549-AR549</f>
        <v/>
      </c>
      <c r="AU549">
        <f>RAND()</f>
        <v/>
      </c>
      <c r="AV549">
        <f>RAND()</f>
        <v/>
      </c>
      <c r="AW549">
        <f>RAND()</f>
        <v/>
      </c>
      <c r="AX549">
        <f>RAND()</f>
        <v/>
      </c>
      <c r="AY549">
        <f>RAND()</f>
        <v/>
      </c>
      <c r="AZ549">
        <f>RAND()</f>
        <v/>
      </c>
    </row>
    <row r="550">
      <c r="AK550" t="n">
        <v>537</v>
      </c>
      <c r="AL550">
        <f>IFERROR(IF(AU550&lt;($AM$6-$AL$6)/($AN$6-$AL$6),$AL$6+SQRT(AU550*($AN$6-$AL$6)*($AM$6-$AL$6)),$AN$6-SQRT((1-AU550)*($AN$6-$AL$6)*($AN$6-$AM$6))),$AM$6)</f>
        <v/>
      </c>
      <c r="AM550">
        <f>IFERROR(IF(AV550&lt;($AM$7-$AL$7)/($AN$7-$AL$7),$AL$7+SQRT(AV550*($AN$7-$AL$7)*($AM$7-$AL$7)),$AN$7-SQRT((1-AV550)*($AN$7-$AL$7)*($AN$7-$AM$7))),$AM$7)</f>
        <v/>
      </c>
      <c r="AN550">
        <f>IFERROR(IF(AW550&lt;($AM$8-$AL$8)/($AN$8-$AL$8),$AL$8+SQRT(AW550*($AN$8-$AL$8)*($AM$8-$AL$8)),$AN$8-SQRT((1-AW550)*($AN$8-$AL$8)*($AN$8-$AM$8))),$AM$8)</f>
        <v/>
      </c>
      <c r="AO550">
        <f>IFERROR(IF(AX550&lt;($AM$9-$AL$9)/($AN$9-$AL$9),$AL$9+SQRT(AX550*($AN$9-$AL$9)*($AM$9-$AL$9)),$AN$9-SQRT((1-AX550)*($AN$9-$AL$9)*($AN$9-$AM$9))),$AM$9)</f>
        <v/>
      </c>
      <c r="AP550">
        <f>IFERROR(IF(AY550&lt;($AM$10-$AL$10)/($AN$10-$AL$10),$AL$10+SQRT(AY550*($AN$10-$AL$10)*($AM$10-$AL$10)),$AN$10-SQRT((1-AY550)*($AN$10-$AL$10)*($AN$10-$AM$10))),$AM$10)</f>
        <v/>
      </c>
      <c r="AQ550">
        <f>IFERROR(IF(AZ550&lt;($AM$11-$AL$11)/($AN$11-$AL$11),$AL$11+SQRT(AZ550*($AN$11-$AL$11)*($AM$11-$AL$11)),$AN$11-SQRT((1-AZ550)*($AN$11-$AL$11)*($AN$11-$AM$11))),$AM$11)</f>
        <v/>
      </c>
      <c r="AR550">
        <f>SUMPRODUCT((B24:B31&lt;=$B$6)*(C24:C31*AM550+D24:D31*AO550*$B$8*AQ550)/(1+AL550/100)^B24:B31)+C32*AM550*AP550/(1+AL550/100)^$B$6</f>
        <v/>
      </c>
      <c r="AS550">
        <f>SUMPRODUCT((K24:K26&lt;=$B$6)*(L24:L26*AN550+M24:M26*AO550*$B$8*AQ550)/(1+AL550/100)^K24:K26)+L27*AN550*AP550/(1+AL550/100)^$B$6</f>
        <v/>
      </c>
      <c r="AT550">
        <f>AS550-AR550</f>
        <v/>
      </c>
      <c r="AU550">
        <f>RAND()</f>
        <v/>
      </c>
      <c r="AV550">
        <f>RAND()</f>
        <v/>
      </c>
      <c r="AW550">
        <f>RAND()</f>
        <v/>
      </c>
      <c r="AX550">
        <f>RAND()</f>
        <v/>
      </c>
      <c r="AY550">
        <f>RAND()</f>
        <v/>
      </c>
      <c r="AZ550">
        <f>RAND()</f>
        <v/>
      </c>
    </row>
    <row r="551">
      <c r="AK551" t="n">
        <v>538</v>
      </c>
      <c r="AL551">
        <f>IFERROR(IF(AU551&lt;($AM$6-$AL$6)/($AN$6-$AL$6),$AL$6+SQRT(AU551*($AN$6-$AL$6)*($AM$6-$AL$6)),$AN$6-SQRT((1-AU551)*($AN$6-$AL$6)*($AN$6-$AM$6))),$AM$6)</f>
        <v/>
      </c>
      <c r="AM551">
        <f>IFERROR(IF(AV551&lt;($AM$7-$AL$7)/($AN$7-$AL$7),$AL$7+SQRT(AV551*($AN$7-$AL$7)*($AM$7-$AL$7)),$AN$7-SQRT((1-AV551)*($AN$7-$AL$7)*($AN$7-$AM$7))),$AM$7)</f>
        <v/>
      </c>
      <c r="AN551">
        <f>IFERROR(IF(AW551&lt;($AM$8-$AL$8)/($AN$8-$AL$8),$AL$8+SQRT(AW551*($AN$8-$AL$8)*($AM$8-$AL$8)),$AN$8-SQRT((1-AW551)*($AN$8-$AL$8)*($AN$8-$AM$8))),$AM$8)</f>
        <v/>
      </c>
      <c r="AO551">
        <f>IFERROR(IF(AX551&lt;($AM$9-$AL$9)/($AN$9-$AL$9),$AL$9+SQRT(AX551*($AN$9-$AL$9)*($AM$9-$AL$9)),$AN$9-SQRT((1-AX551)*($AN$9-$AL$9)*($AN$9-$AM$9))),$AM$9)</f>
        <v/>
      </c>
      <c r="AP551">
        <f>IFERROR(IF(AY551&lt;($AM$10-$AL$10)/($AN$10-$AL$10),$AL$10+SQRT(AY551*($AN$10-$AL$10)*($AM$10-$AL$10)),$AN$10-SQRT((1-AY551)*($AN$10-$AL$10)*($AN$10-$AM$10))),$AM$10)</f>
        <v/>
      </c>
      <c r="AQ551">
        <f>IFERROR(IF(AZ551&lt;($AM$11-$AL$11)/($AN$11-$AL$11),$AL$11+SQRT(AZ551*($AN$11-$AL$11)*($AM$11-$AL$11)),$AN$11-SQRT((1-AZ551)*($AN$11-$AL$11)*($AN$11-$AM$11))),$AM$11)</f>
        <v/>
      </c>
      <c r="AR551">
        <f>SUMPRODUCT((B24:B31&lt;=$B$6)*(C24:C31*AM551+D24:D31*AO551*$B$8*AQ551)/(1+AL551/100)^B24:B31)+C32*AM551*AP551/(1+AL551/100)^$B$6</f>
        <v/>
      </c>
      <c r="AS551">
        <f>SUMPRODUCT((K24:K26&lt;=$B$6)*(L24:L26*AN551+M24:M26*AO551*$B$8*AQ551)/(1+AL551/100)^K24:K26)+L27*AN551*AP551/(1+AL551/100)^$B$6</f>
        <v/>
      </c>
      <c r="AT551">
        <f>AS551-AR551</f>
        <v/>
      </c>
      <c r="AU551">
        <f>RAND()</f>
        <v/>
      </c>
      <c r="AV551">
        <f>RAND()</f>
        <v/>
      </c>
      <c r="AW551">
        <f>RAND()</f>
        <v/>
      </c>
      <c r="AX551">
        <f>RAND()</f>
        <v/>
      </c>
      <c r="AY551">
        <f>RAND()</f>
        <v/>
      </c>
      <c r="AZ551">
        <f>RAND()</f>
        <v/>
      </c>
    </row>
    <row r="552">
      <c r="AK552" t="n">
        <v>539</v>
      </c>
      <c r="AL552">
        <f>IFERROR(IF(AU552&lt;($AM$6-$AL$6)/($AN$6-$AL$6),$AL$6+SQRT(AU552*($AN$6-$AL$6)*($AM$6-$AL$6)),$AN$6-SQRT((1-AU552)*($AN$6-$AL$6)*($AN$6-$AM$6))),$AM$6)</f>
        <v/>
      </c>
      <c r="AM552">
        <f>IFERROR(IF(AV552&lt;($AM$7-$AL$7)/($AN$7-$AL$7),$AL$7+SQRT(AV552*($AN$7-$AL$7)*($AM$7-$AL$7)),$AN$7-SQRT((1-AV552)*($AN$7-$AL$7)*($AN$7-$AM$7))),$AM$7)</f>
        <v/>
      </c>
      <c r="AN552">
        <f>IFERROR(IF(AW552&lt;($AM$8-$AL$8)/($AN$8-$AL$8),$AL$8+SQRT(AW552*($AN$8-$AL$8)*($AM$8-$AL$8)),$AN$8-SQRT((1-AW552)*($AN$8-$AL$8)*($AN$8-$AM$8))),$AM$8)</f>
        <v/>
      </c>
      <c r="AO552">
        <f>IFERROR(IF(AX552&lt;($AM$9-$AL$9)/($AN$9-$AL$9),$AL$9+SQRT(AX552*($AN$9-$AL$9)*($AM$9-$AL$9)),$AN$9-SQRT((1-AX552)*($AN$9-$AL$9)*($AN$9-$AM$9))),$AM$9)</f>
        <v/>
      </c>
      <c r="AP552">
        <f>IFERROR(IF(AY552&lt;($AM$10-$AL$10)/($AN$10-$AL$10),$AL$10+SQRT(AY552*($AN$10-$AL$10)*($AM$10-$AL$10)),$AN$10-SQRT((1-AY552)*($AN$10-$AL$10)*($AN$10-$AM$10))),$AM$10)</f>
        <v/>
      </c>
      <c r="AQ552">
        <f>IFERROR(IF(AZ552&lt;($AM$11-$AL$11)/($AN$11-$AL$11),$AL$11+SQRT(AZ552*($AN$11-$AL$11)*($AM$11-$AL$11)),$AN$11-SQRT((1-AZ552)*($AN$11-$AL$11)*($AN$11-$AM$11))),$AM$11)</f>
        <v/>
      </c>
      <c r="AR552">
        <f>SUMPRODUCT((B24:B31&lt;=$B$6)*(C24:C31*AM552+D24:D31*AO552*$B$8*AQ552)/(1+AL552/100)^B24:B31)+C32*AM552*AP552/(1+AL552/100)^$B$6</f>
        <v/>
      </c>
      <c r="AS552">
        <f>SUMPRODUCT((K24:K26&lt;=$B$6)*(L24:L26*AN552+M24:M26*AO552*$B$8*AQ552)/(1+AL552/100)^K24:K26)+L27*AN552*AP552/(1+AL552/100)^$B$6</f>
        <v/>
      </c>
      <c r="AT552">
        <f>AS552-AR552</f>
        <v/>
      </c>
      <c r="AU552">
        <f>RAND()</f>
        <v/>
      </c>
      <c r="AV552">
        <f>RAND()</f>
        <v/>
      </c>
      <c r="AW552">
        <f>RAND()</f>
        <v/>
      </c>
      <c r="AX552">
        <f>RAND()</f>
        <v/>
      </c>
      <c r="AY552">
        <f>RAND()</f>
        <v/>
      </c>
      <c r="AZ552">
        <f>RAND()</f>
        <v/>
      </c>
    </row>
    <row r="553">
      <c r="AK553" t="n">
        <v>540</v>
      </c>
      <c r="AL553">
        <f>IFERROR(IF(AU553&lt;($AM$6-$AL$6)/($AN$6-$AL$6),$AL$6+SQRT(AU553*($AN$6-$AL$6)*($AM$6-$AL$6)),$AN$6-SQRT((1-AU553)*($AN$6-$AL$6)*($AN$6-$AM$6))),$AM$6)</f>
        <v/>
      </c>
      <c r="AM553">
        <f>IFERROR(IF(AV553&lt;($AM$7-$AL$7)/($AN$7-$AL$7),$AL$7+SQRT(AV553*($AN$7-$AL$7)*($AM$7-$AL$7)),$AN$7-SQRT((1-AV553)*($AN$7-$AL$7)*($AN$7-$AM$7))),$AM$7)</f>
        <v/>
      </c>
      <c r="AN553">
        <f>IFERROR(IF(AW553&lt;($AM$8-$AL$8)/($AN$8-$AL$8),$AL$8+SQRT(AW553*($AN$8-$AL$8)*($AM$8-$AL$8)),$AN$8-SQRT((1-AW553)*($AN$8-$AL$8)*($AN$8-$AM$8))),$AM$8)</f>
        <v/>
      </c>
      <c r="AO553">
        <f>IFERROR(IF(AX553&lt;($AM$9-$AL$9)/($AN$9-$AL$9),$AL$9+SQRT(AX553*($AN$9-$AL$9)*($AM$9-$AL$9)),$AN$9-SQRT((1-AX553)*($AN$9-$AL$9)*($AN$9-$AM$9))),$AM$9)</f>
        <v/>
      </c>
      <c r="AP553">
        <f>IFERROR(IF(AY553&lt;($AM$10-$AL$10)/($AN$10-$AL$10),$AL$10+SQRT(AY553*($AN$10-$AL$10)*($AM$10-$AL$10)),$AN$10-SQRT((1-AY553)*($AN$10-$AL$10)*($AN$10-$AM$10))),$AM$10)</f>
        <v/>
      </c>
      <c r="AQ553">
        <f>IFERROR(IF(AZ553&lt;($AM$11-$AL$11)/($AN$11-$AL$11),$AL$11+SQRT(AZ553*($AN$11-$AL$11)*($AM$11-$AL$11)),$AN$11-SQRT((1-AZ553)*($AN$11-$AL$11)*($AN$11-$AM$11))),$AM$11)</f>
        <v/>
      </c>
      <c r="AR553">
        <f>SUMPRODUCT((B24:B31&lt;=$B$6)*(C24:C31*AM553+D24:D31*AO553*$B$8*AQ553)/(1+AL553/100)^B24:B31)+C32*AM553*AP553/(1+AL553/100)^$B$6</f>
        <v/>
      </c>
      <c r="AS553">
        <f>SUMPRODUCT((K24:K26&lt;=$B$6)*(L24:L26*AN553+M24:M26*AO553*$B$8*AQ553)/(1+AL553/100)^K24:K26)+L27*AN553*AP553/(1+AL553/100)^$B$6</f>
        <v/>
      </c>
      <c r="AT553">
        <f>AS553-AR553</f>
        <v/>
      </c>
      <c r="AU553">
        <f>RAND()</f>
        <v/>
      </c>
      <c r="AV553">
        <f>RAND()</f>
        <v/>
      </c>
      <c r="AW553">
        <f>RAND()</f>
        <v/>
      </c>
      <c r="AX553">
        <f>RAND()</f>
        <v/>
      </c>
      <c r="AY553">
        <f>RAND()</f>
        <v/>
      </c>
      <c r="AZ553">
        <f>RAND()</f>
        <v/>
      </c>
    </row>
    <row r="554">
      <c r="AK554" t="n">
        <v>541</v>
      </c>
      <c r="AL554">
        <f>IFERROR(IF(AU554&lt;($AM$6-$AL$6)/($AN$6-$AL$6),$AL$6+SQRT(AU554*($AN$6-$AL$6)*($AM$6-$AL$6)),$AN$6-SQRT((1-AU554)*($AN$6-$AL$6)*($AN$6-$AM$6))),$AM$6)</f>
        <v/>
      </c>
      <c r="AM554">
        <f>IFERROR(IF(AV554&lt;($AM$7-$AL$7)/($AN$7-$AL$7),$AL$7+SQRT(AV554*($AN$7-$AL$7)*($AM$7-$AL$7)),$AN$7-SQRT((1-AV554)*($AN$7-$AL$7)*($AN$7-$AM$7))),$AM$7)</f>
        <v/>
      </c>
      <c r="AN554">
        <f>IFERROR(IF(AW554&lt;($AM$8-$AL$8)/($AN$8-$AL$8),$AL$8+SQRT(AW554*($AN$8-$AL$8)*($AM$8-$AL$8)),$AN$8-SQRT((1-AW554)*($AN$8-$AL$8)*($AN$8-$AM$8))),$AM$8)</f>
        <v/>
      </c>
      <c r="AO554">
        <f>IFERROR(IF(AX554&lt;($AM$9-$AL$9)/($AN$9-$AL$9),$AL$9+SQRT(AX554*($AN$9-$AL$9)*($AM$9-$AL$9)),$AN$9-SQRT((1-AX554)*($AN$9-$AL$9)*($AN$9-$AM$9))),$AM$9)</f>
        <v/>
      </c>
      <c r="AP554">
        <f>IFERROR(IF(AY554&lt;($AM$10-$AL$10)/($AN$10-$AL$10),$AL$10+SQRT(AY554*($AN$10-$AL$10)*($AM$10-$AL$10)),$AN$10-SQRT((1-AY554)*($AN$10-$AL$10)*($AN$10-$AM$10))),$AM$10)</f>
        <v/>
      </c>
      <c r="AQ554">
        <f>IFERROR(IF(AZ554&lt;($AM$11-$AL$11)/($AN$11-$AL$11),$AL$11+SQRT(AZ554*($AN$11-$AL$11)*($AM$11-$AL$11)),$AN$11-SQRT((1-AZ554)*($AN$11-$AL$11)*($AN$11-$AM$11))),$AM$11)</f>
        <v/>
      </c>
      <c r="AR554">
        <f>SUMPRODUCT((B24:B31&lt;=$B$6)*(C24:C31*AM554+D24:D31*AO554*$B$8*AQ554)/(1+AL554/100)^B24:B31)+C32*AM554*AP554/(1+AL554/100)^$B$6</f>
        <v/>
      </c>
      <c r="AS554">
        <f>SUMPRODUCT((K24:K26&lt;=$B$6)*(L24:L26*AN554+M24:M26*AO554*$B$8*AQ554)/(1+AL554/100)^K24:K26)+L27*AN554*AP554/(1+AL554/100)^$B$6</f>
        <v/>
      </c>
      <c r="AT554">
        <f>AS554-AR554</f>
        <v/>
      </c>
      <c r="AU554">
        <f>RAND()</f>
        <v/>
      </c>
      <c r="AV554">
        <f>RAND()</f>
        <v/>
      </c>
      <c r="AW554">
        <f>RAND()</f>
        <v/>
      </c>
      <c r="AX554">
        <f>RAND()</f>
        <v/>
      </c>
      <c r="AY554">
        <f>RAND()</f>
        <v/>
      </c>
      <c r="AZ554">
        <f>RAND()</f>
        <v/>
      </c>
    </row>
    <row r="555">
      <c r="AK555" t="n">
        <v>542</v>
      </c>
      <c r="AL555">
        <f>IFERROR(IF(AU555&lt;($AM$6-$AL$6)/($AN$6-$AL$6),$AL$6+SQRT(AU555*($AN$6-$AL$6)*($AM$6-$AL$6)),$AN$6-SQRT((1-AU555)*($AN$6-$AL$6)*($AN$6-$AM$6))),$AM$6)</f>
        <v/>
      </c>
      <c r="AM555">
        <f>IFERROR(IF(AV555&lt;($AM$7-$AL$7)/($AN$7-$AL$7),$AL$7+SQRT(AV555*($AN$7-$AL$7)*($AM$7-$AL$7)),$AN$7-SQRT((1-AV555)*($AN$7-$AL$7)*($AN$7-$AM$7))),$AM$7)</f>
        <v/>
      </c>
      <c r="AN555">
        <f>IFERROR(IF(AW555&lt;($AM$8-$AL$8)/($AN$8-$AL$8),$AL$8+SQRT(AW555*($AN$8-$AL$8)*($AM$8-$AL$8)),$AN$8-SQRT((1-AW555)*($AN$8-$AL$8)*($AN$8-$AM$8))),$AM$8)</f>
        <v/>
      </c>
      <c r="AO555">
        <f>IFERROR(IF(AX555&lt;($AM$9-$AL$9)/($AN$9-$AL$9),$AL$9+SQRT(AX555*($AN$9-$AL$9)*($AM$9-$AL$9)),$AN$9-SQRT((1-AX555)*($AN$9-$AL$9)*($AN$9-$AM$9))),$AM$9)</f>
        <v/>
      </c>
      <c r="AP555">
        <f>IFERROR(IF(AY555&lt;($AM$10-$AL$10)/($AN$10-$AL$10),$AL$10+SQRT(AY555*($AN$10-$AL$10)*($AM$10-$AL$10)),$AN$10-SQRT((1-AY555)*($AN$10-$AL$10)*($AN$10-$AM$10))),$AM$10)</f>
        <v/>
      </c>
      <c r="AQ555">
        <f>IFERROR(IF(AZ555&lt;($AM$11-$AL$11)/($AN$11-$AL$11),$AL$11+SQRT(AZ555*($AN$11-$AL$11)*($AM$11-$AL$11)),$AN$11-SQRT((1-AZ555)*($AN$11-$AL$11)*($AN$11-$AM$11))),$AM$11)</f>
        <v/>
      </c>
      <c r="AR555">
        <f>SUMPRODUCT((B24:B31&lt;=$B$6)*(C24:C31*AM555+D24:D31*AO555*$B$8*AQ555)/(1+AL555/100)^B24:B31)+C32*AM555*AP555/(1+AL555/100)^$B$6</f>
        <v/>
      </c>
      <c r="AS555">
        <f>SUMPRODUCT((K24:K26&lt;=$B$6)*(L24:L26*AN555+M24:M26*AO555*$B$8*AQ555)/(1+AL555/100)^K24:K26)+L27*AN555*AP555/(1+AL555/100)^$B$6</f>
        <v/>
      </c>
      <c r="AT555">
        <f>AS555-AR555</f>
        <v/>
      </c>
      <c r="AU555">
        <f>RAND()</f>
        <v/>
      </c>
      <c r="AV555">
        <f>RAND()</f>
        <v/>
      </c>
      <c r="AW555">
        <f>RAND()</f>
        <v/>
      </c>
      <c r="AX555">
        <f>RAND()</f>
        <v/>
      </c>
      <c r="AY555">
        <f>RAND()</f>
        <v/>
      </c>
      <c r="AZ555">
        <f>RAND()</f>
        <v/>
      </c>
    </row>
    <row r="556">
      <c r="AK556" t="n">
        <v>543</v>
      </c>
      <c r="AL556">
        <f>IFERROR(IF(AU556&lt;($AM$6-$AL$6)/($AN$6-$AL$6),$AL$6+SQRT(AU556*($AN$6-$AL$6)*($AM$6-$AL$6)),$AN$6-SQRT((1-AU556)*($AN$6-$AL$6)*($AN$6-$AM$6))),$AM$6)</f>
        <v/>
      </c>
      <c r="AM556">
        <f>IFERROR(IF(AV556&lt;($AM$7-$AL$7)/($AN$7-$AL$7),$AL$7+SQRT(AV556*($AN$7-$AL$7)*($AM$7-$AL$7)),$AN$7-SQRT((1-AV556)*($AN$7-$AL$7)*($AN$7-$AM$7))),$AM$7)</f>
        <v/>
      </c>
      <c r="AN556">
        <f>IFERROR(IF(AW556&lt;($AM$8-$AL$8)/($AN$8-$AL$8),$AL$8+SQRT(AW556*($AN$8-$AL$8)*($AM$8-$AL$8)),$AN$8-SQRT((1-AW556)*($AN$8-$AL$8)*($AN$8-$AM$8))),$AM$8)</f>
        <v/>
      </c>
      <c r="AO556">
        <f>IFERROR(IF(AX556&lt;($AM$9-$AL$9)/($AN$9-$AL$9),$AL$9+SQRT(AX556*($AN$9-$AL$9)*($AM$9-$AL$9)),$AN$9-SQRT((1-AX556)*($AN$9-$AL$9)*($AN$9-$AM$9))),$AM$9)</f>
        <v/>
      </c>
      <c r="AP556">
        <f>IFERROR(IF(AY556&lt;($AM$10-$AL$10)/($AN$10-$AL$10),$AL$10+SQRT(AY556*($AN$10-$AL$10)*($AM$10-$AL$10)),$AN$10-SQRT((1-AY556)*($AN$10-$AL$10)*($AN$10-$AM$10))),$AM$10)</f>
        <v/>
      </c>
      <c r="AQ556">
        <f>IFERROR(IF(AZ556&lt;($AM$11-$AL$11)/($AN$11-$AL$11),$AL$11+SQRT(AZ556*($AN$11-$AL$11)*($AM$11-$AL$11)),$AN$11-SQRT((1-AZ556)*($AN$11-$AL$11)*($AN$11-$AM$11))),$AM$11)</f>
        <v/>
      </c>
      <c r="AR556">
        <f>SUMPRODUCT((B24:B31&lt;=$B$6)*(C24:C31*AM556+D24:D31*AO556*$B$8*AQ556)/(1+AL556/100)^B24:B31)+C32*AM556*AP556/(1+AL556/100)^$B$6</f>
        <v/>
      </c>
      <c r="AS556">
        <f>SUMPRODUCT((K24:K26&lt;=$B$6)*(L24:L26*AN556+M24:M26*AO556*$B$8*AQ556)/(1+AL556/100)^K24:K26)+L27*AN556*AP556/(1+AL556/100)^$B$6</f>
        <v/>
      </c>
      <c r="AT556">
        <f>AS556-AR556</f>
        <v/>
      </c>
      <c r="AU556">
        <f>RAND()</f>
        <v/>
      </c>
      <c r="AV556">
        <f>RAND()</f>
        <v/>
      </c>
      <c r="AW556">
        <f>RAND()</f>
        <v/>
      </c>
      <c r="AX556">
        <f>RAND()</f>
        <v/>
      </c>
      <c r="AY556">
        <f>RAND()</f>
        <v/>
      </c>
      <c r="AZ556">
        <f>RAND()</f>
        <v/>
      </c>
    </row>
    <row r="557">
      <c r="AK557" t="n">
        <v>544</v>
      </c>
      <c r="AL557">
        <f>IFERROR(IF(AU557&lt;($AM$6-$AL$6)/($AN$6-$AL$6),$AL$6+SQRT(AU557*($AN$6-$AL$6)*($AM$6-$AL$6)),$AN$6-SQRT((1-AU557)*($AN$6-$AL$6)*($AN$6-$AM$6))),$AM$6)</f>
        <v/>
      </c>
      <c r="AM557">
        <f>IFERROR(IF(AV557&lt;($AM$7-$AL$7)/($AN$7-$AL$7),$AL$7+SQRT(AV557*($AN$7-$AL$7)*($AM$7-$AL$7)),$AN$7-SQRT((1-AV557)*($AN$7-$AL$7)*($AN$7-$AM$7))),$AM$7)</f>
        <v/>
      </c>
      <c r="AN557">
        <f>IFERROR(IF(AW557&lt;($AM$8-$AL$8)/($AN$8-$AL$8),$AL$8+SQRT(AW557*($AN$8-$AL$8)*($AM$8-$AL$8)),$AN$8-SQRT((1-AW557)*($AN$8-$AL$8)*($AN$8-$AM$8))),$AM$8)</f>
        <v/>
      </c>
      <c r="AO557">
        <f>IFERROR(IF(AX557&lt;($AM$9-$AL$9)/($AN$9-$AL$9),$AL$9+SQRT(AX557*($AN$9-$AL$9)*($AM$9-$AL$9)),$AN$9-SQRT((1-AX557)*($AN$9-$AL$9)*($AN$9-$AM$9))),$AM$9)</f>
        <v/>
      </c>
      <c r="AP557">
        <f>IFERROR(IF(AY557&lt;($AM$10-$AL$10)/($AN$10-$AL$10),$AL$10+SQRT(AY557*($AN$10-$AL$10)*($AM$10-$AL$10)),$AN$10-SQRT((1-AY557)*($AN$10-$AL$10)*($AN$10-$AM$10))),$AM$10)</f>
        <v/>
      </c>
      <c r="AQ557">
        <f>IFERROR(IF(AZ557&lt;($AM$11-$AL$11)/($AN$11-$AL$11),$AL$11+SQRT(AZ557*($AN$11-$AL$11)*($AM$11-$AL$11)),$AN$11-SQRT((1-AZ557)*($AN$11-$AL$11)*($AN$11-$AM$11))),$AM$11)</f>
        <v/>
      </c>
      <c r="AR557">
        <f>SUMPRODUCT((B24:B31&lt;=$B$6)*(C24:C31*AM557+D24:D31*AO557*$B$8*AQ557)/(1+AL557/100)^B24:B31)+C32*AM557*AP557/(1+AL557/100)^$B$6</f>
        <v/>
      </c>
      <c r="AS557">
        <f>SUMPRODUCT((K24:K26&lt;=$B$6)*(L24:L26*AN557+M24:M26*AO557*$B$8*AQ557)/(1+AL557/100)^K24:K26)+L27*AN557*AP557/(1+AL557/100)^$B$6</f>
        <v/>
      </c>
      <c r="AT557">
        <f>AS557-AR557</f>
        <v/>
      </c>
      <c r="AU557">
        <f>RAND()</f>
        <v/>
      </c>
      <c r="AV557">
        <f>RAND()</f>
        <v/>
      </c>
      <c r="AW557">
        <f>RAND()</f>
        <v/>
      </c>
      <c r="AX557">
        <f>RAND()</f>
        <v/>
      </c>
      <c r="AY557">
        <f>RAND()</f>
        <v/>
      </c>
      <c r="AZ557">
        <f>RAND()</f>
        <v/>
      </c>
    </row>
    <row r="558">
      <c r="AK558" t="n">
        <v>545</v>
      </c>
      <c r="AL558">
        <f>IFERROR(IF(AU558&lt;($AM$6-$AL$6)/($AN$6-$AL$6),$AL$6+SQRT(AU558*($AN$6-$AL$6)*($AM$6-$AL$6)),$AN$6-SQRT((1-AU558)*($AN$6-$AL$6)*($AN$6-$AM$6))),$AM$6)</f>
        <v/>
      </c>
      <c r="AM558">
        <f>IFERROR(IF(AV558&lt;($AM$7-$AL$7)/($AN$7-$AL$7),$AL$7+SQRT(AV558*($AN$7-$AL$7)*($AM$7-$AL$7)),$AN$7-SQRT((1-AV558)*($AN$7-$AL$7)*($AN$7-$AM$7))),$AM$7)</f>
        <v/>
      </c>
      <c r="AN558">
        <f>IFERROR(IF(AW558&lt;($AM$8-$AL$8)/($AN$8-$AL$8),$AL$8+SQRT(AW558*($AN$8-$AL$8)*($AM$8-$AL$8)),$AN$8-SQRT((1-AW558)*($AN$8-$AL$8)*($AN$8-$AM$8))),$AM$8)</f>
        <v/>
      </c>
      <c r="AO558">
        <f>IFERROR(IF(AX558&lt;($AM$9-$AL$9)/($AN$9-$AL$9),$AL$9+SQRT(AX558*($AN$9-$AL$9)*($AM$9-$AL$9)),$AN$9-SQRT((1-AX558)*($AN$9-$AL$9)*($AN$9-$AM$9))),$AM$9)</f>
        <v/>
      </c>
      <c r="AP558">
        <f>IFERROR(IF(AY558&lt;($AM$10-$AL$10)/($AN$10-$AL$10),$AL$10+SQRT(AY558*($AN$10-$AL$10)*($AM$10-$AL$10)),$AN$10-SQRT((1-AY558)*($AN$10-$AL$10)*($AN$10-$AM$10))),$AM$10)</f>
        <v/>
      </c>
      <c r="AQ558">
        <f>IFERROR(IF(AZ558&lt;($AM$11-$AL$11)/($AN$11-$AL$11),$AL$11+SQRT(AZ558*($AN$11-$AL$11)*($AM$11-$AL$11)),$AN$11-SQRT((1-AZ558)*($AN$11-$AL$11)*($AN$11-$AM$11))),$AM$11)</f>
        <v/>
      </c>
      <c r="AR558">
        <f>SUMPRODUCT((B24:B31&lt;=$B$6)*(C24:C31*AM558+D24:D31*AO558*$B$8*AQ558)/(1+AL558/100)^B24:B31)+C32*AM558*AP558/(1+AL558/100)^$B$6</f>
        <v/>
      </c>
      <c r="AS558">
        <f>SUMPRODUCT((K24:K26&lt;=$B$6)*(L24:L26*AN558+M24:M26*AO558*$B$8*AQ558)/(1+AL558/100)^K24:K26)+L27*AN558*AP558/(1+AL558/100)^$B$6</f>
        <v/>
      </c>
      <c r="AT558">
        <f>AS558-AR558</f>
        <v/>
      </c>
      <c r="AU558">
        <f>RAND()</f>
        <v/>
      </c>
      <c r="AV558">
        <f>RAND()</f>
        <v/>
      </c>
      <c r="AW558">
        <f>RAND()</f>
        <v/>
      </c>
      <c r="AX558">
        <f>RAND()</f>
        <v/>
      </c>
      <c r="AY558">
        <f>RAND()</f>
        <v/>
      </c>
      <c r="AZ558">
        <f>RAND()</f>
        <v/>
      </c>
    </row>
    <row r="559">
      <c r="AK559" t="n">
        <v>546</v>
      </c>
      <c r="AL559">
        <f>IFERROR(IF(AU559&lt;($AM$6-$AL$6)/($AN$6-$AL$6),$AL$6+SQRT(AU559*($AN$6-$AL$6)*($AM$6-$AL$6)),$AN$6-SQRT((1-AU559)*($AN$6-$AL$6)*($AN$6-$AM$6))),$AM$6)</f>
        <v/>
      </c>
      <c r="AM559">
        <f>IFERROR(IF(AV559&lt;($AM$7-$AL$7)/($AN$7-$AL$7),$AL$7+SQRT(AV559*($AN$7-$AL$7)*($AM$7-$AL$7)),$AN$7-SQRT((1-AV559)*($AN$7-$AL$7)*($AN$7-$AM$7))),$AM$7)</f>
        <v/>
      </c>
      <c r="AN559">
        <f>IFERROR(IF(AW559&lt;($AM$8-$AL$8)/($AN$8-$AL$8),$AL$8+SQRT(AW559*($AN$8-$AL$8)*($AM$8-$AL$8)),$AN$8-SQRT((1-AW559)*($AN$8-$AL$8)*($AN$8-$AM$8))),$AM$8)</f>
        <v/>
      </c>
      <c r="AO559">
        <f>IFERROR(IF(AX559&lt;($AM$9-$AL$9)/($AN$9-$AL$9),$AL$9+SQRT(AX559*($AN$9-$AL$9)*($AM$9-$AL$9)),$AN$9-SQRT((1-AX559)*($AN$9-$AL$9)*($AN$9-$AM$9))),$AM$9)</f>
        <v/>
      </c>
      <c r="AP559">
        <f>IFERROR(IF(AY559&lt;($AM$10-$AL$10)/($AN$10-$AL$10),$AL$10+SQRT(AY559*($AN$10-$AL$10)*($AM$10-$AL$10)),$AN$10-SQRT((1-AY559)*($AN$10-$AL$10)*($AN$10-$AM$10))),$AM$10)</f>
        <v/>
      </c>
      <c r="AQ559">
        <f>IFERROR(IF(AZ559&lt;($AM$11-$AL$11)/($AN$11-$AL$11),$AL$11+SQRT(AZ559*($AN$11-$AL$11)*($AM$11-$AL$11)),$AN$11-SQRT((1-AZ559)*($AN$11-$AL$11)*($AN$11-$AM$11))),$AM$11)</f>
        <v/>
      </c>
      <c r="AR559">
        <f>SUMPRODUCT((B24:B31&lt;=$B$6)*(C24:C31*AM559+D24:D31*AO559*$B$8*AQ559)/(1+AL559/100)^B24:B31)+C32*AM559*AP559/(1+AL559/100)^$B$6</f>
        <v/>
      </c>
      <c r="AS559">
        <f>SUMPRODUCT((K24:K26&lt;=$B$6)*(L24:L26*AN559+M24:M26*AO559*$B$8*AQ559)/(1+AL559/100)^K24:K26)+L27*AN559*AP559/(1+AL559/100)^$B$6</f>
        <v/>
      </c>
      <c r="AT559">
        <f>AS559-AR559</f>
        <v/>
      </c>
      <c r="AU559">
        <f>RAND()</f>
        <v/>
      </c>
      <c r="AV559">
        <f>RAND()</f>
        <v/>
      </c>
      <c r="AW559">
        <f>RAND()</f>
        <v/>
      </c>
      <c r="AX559">
        <f>RAND()</f>
        <v/>
      </c>
      <c r="AY559">
        <f>RAND()</f>
        <v/>
      </c>
      <c r="AZ559">
        <f>RAND()</f>
        <v/>
      </c>
    </row>
    <row r="560">
      <c r="AK560" t="n">
        <v>547</v>
      </c>
      <c r="AL560">
        <f>IFERROR(IF(AU560&lt;($AM$6-$AL$6)/($AN$6-$AL$6),$AL$6+SQRT(AU560*($AN$6-$AL$6)*($AM$6-$AL$6)),$AN$6-SQRT((1-AU560)*($AN$6-$AL$6)*($AN$6-$AM$6))),$AM$6)</f>
        <v/>
      </c>
      <c r="AM560">
        <f>IFERROR(IF(AV560&lt;($AM$7-$AL$7)/($AN$7-$AL$7),$AL$7+SQRT(AV560*($AN$7-$AL$7)*($AM$7-$AL$7)),$AN$7-SQRT((1-AV560)*($AN$7-$AL$7)*($AN$7-$AM$7))),$AM$7)</f>
        <v/>
      </c>
      <c r="AN560">
        <f>IFERROR(IF(AW560&lt;($AM$8-$AL$8)/($AN$8-$AL$8),$AL$8+SQRT(AW560*($AN$8-$AL$8)*($AM$8-$AL$8)),$AN$8-SQRT((1-AW560)*($AN$8-$AL$8)*($AN$8-$AM$8))),$AM$8)</f>
        <v/>
      </c>
      <c r="AO560">
        <f>IFERROR(IF(AX560&lt;($AM$9-$AL$9)/($AN$9-$AL$9),$AL$9+SQRT(AX560*($AN$9-$AL$9)*($AM$9-$AL$9)),$AN$9-SQRT((1-AX560)*($AN$9-$AL$9)*($AN$9-$AM$9))),$AM$9)</f>
        <v/>
      </c>
      <c r="AP560">
        <f>IFERROR(IF(AY560&lt;($AM$10-$AL$10)/($AN$10-$AL$10),$AL$10+SQRT(AY560*($AN$10-$AL$10)*($AM$10-$AL$10)),$AN$10-SQRT((1-AY560)*($AN$10-$AL$10)*($AN$10-$AM$10))),$AM$10)</f>
        <v/>
      </c>
      <c r="AQ560">
        <f>IFERROR(IF(AZ560&lt;($AM$11-$AL$11)/($AN$11-$AL$11),$AL$11+SQRT(AZ560*($AN$11-$AL$11)*($AM$11-$AL$11)),$AN$11-SQRT((1-AZ560)*($AN$11-$AL$11)*($AN$11-$AM$11))),$AM$11)</f>
        <v/>
      </c>
      <c r="AR560">
        <f>SUMPRODUCT((B24:B31&lt;=$B$6)*(C24:C31*AM560+D24:D31*AO560*$B$8*AQ560)/(1+AL560/100)^B24:B31)+C32*AM560*AP560/(1+AL560/100)^$B$6</f>
        <v/>
      </c>
      <c r="AS560">
        <f>SUMPRODUCT((K24:K26&lt;=$B$6)*(L24:L26*AN560+M24:M26*AO560*$B$8*AQ560)/(1+AL560/100)^K24:K26)+L27*AN560*AP560/(1+AL560/100)^$B$6</f>
        <v/>
      </c>
      <c r="AT560">
        <f>AS560-AR560</f>
        <v/>
      </c>
      <c r="AU560">
        <f>RAND()</f>
        <v/>
      </c>
      <c r="AV560">
        <f>RAND()</f>
        <v/>
      </c>
      <c r="AW560">
        <f>RAND()</f>
        <v/>
      </c>
      <c r="AX560">
        <f>RAND()</f>
        <v/>
      </c>
      <c r="AY560">
        <f>RAND()</f>
        <v/>
      </c>
      <c r="AZ560">
        <f>RAND()</f>
        <v/>
      </c>
    </row>
    <row r="561">
      <c r="AK561" t="n">
        <v>548</v>
      </c>
      <c r="AL561">
        <f>IFERROR(IF(AU561&lt;($AM$6-$AL$6)/($AN$6-$AL$6),$AL$6+SQRT(AU561*($AN$6-$AL$6)*($AM$6-$AL$6)),$AN$6-SQRT((1-AU561)*($AN$6-$AL$6)*($AN$6-$AM$6))),$AM$6)</f>
        <v/>
      </c>
      <c r="AM561">
        <f>IFERROR(IF(AV561&lt;($AM$7-$AL$7)/($AN$7-$AL$7),$AL$7+SQRT(AV561*($AN$7-$AL$7)*($AM$7-$AL$7)),$AN$7-SQRT((1-AV561)*($AN$7-$AL$7)*($AN$7-$AM$7))),$AM$7)</f>
        <v/>
      </c>
      <c r="AN561">
        <f>IFERROR(IF(AW561&lt;($AM$8-$AL$8)/($AN$8-$AL$8),$AL$8+SQRT(AW561*($AN$8-$AL$8)*($AM$8-$AL$8)),$AN$8-SQRT((1-AW561)*($AN$8-$AL$8)*($AN$8-$AM$8))),$AM$8)</f>
        <v/>
      </c>
      <c r="AO561">
        <f>IFERROR(IF(AX561&lt;($AM$9-$AL$9)/($AN$9-$AL$9),$AL$9+SQRT(AX561*($AN$9-$AL$9)*($AM$9-$AL$9)),$AN$9-SQRT((1-AX561)*($AN$9-$AL$9)*($AN$9-$AM$9))),$AM$9)</f>
        <v/>
      </c>
      <c r="AP561">
        <f>IFERROR(IF(AY561&lt;($AM$10-$AL$10)/($AN$10-$AL$10),$AL$10+SQRT(AY561*($AN$10-$AL$10)*($AM$10-$AL$10)),$AN$10-SQRT((1-AY561)*($AN$10-$AL$10)*($AN$10-$AM$10))),$AM$10)</f>
        <v/>
      </c>
      <c r="AQ561">
        <f>IFERROR(IF(AZ561&lt;($AM$11-$AL$11)/($AN$11-$AL$11),$AL$11+SQRT(AZ561*($AN$11-$AL$11)*($AM$11-$AL$11)),$AN$11-SQRT((1-AZ561)*($AN$11-$AL$11)*($AN$11-$AM$11))),$AM$11)</f>
        <v/>
      </c>
      <c r="AR561">
        <f>SUMPRODUCT((B24:B31&lt;=$B$6)*(C24:C31*AM561+D24:D31*AO561*$B$8*AQ561)/(1+AL561/100)^B24:B31)+C32*AM561*AP561/(1+AL561/100)^$B$6</f>
        <v/>
      </c>
      <c r="AS561">
        <f>SUMPRODUCT((K24:K26&lt;=$B$6)*(L24:L26*AN561+M24:M26*AO561*$B$8*AQ561)/(1+AL561/100)^K24:K26)+L27*AN561*AP561/(1+AL561/100)^$B$6</f>
        <v/>
      </c>
      <c r="AT561">
        <f>AS561-AR561</f>
        <v/>
      </c>
      <c r="AU561">
        <f>RAND()</f>
        <v/>
      </c>
      <c r="AV561">
        <f>RAND()</f>
        <v/>
      </c>
      <c r="AW561">
        <f>RAND()</f>
        <v/>
      </c>
      <c r="AX561">
        <f>RAND()</f>
        <v/>
      </c>
      <c r="AY561">
        <f>RAND()</f>
        <v/>
      </c>
      <c r="AZ561">
        <f>RAND()</f>
        <v/>
      </c>
    </row>
    <row r="562">
      <c r="AK562" t="n">
        <v>549</v>
      </c>
      <c r="AL562">
        <f>IFERROR(IF(AU562&lt;($AM$6-$AL$6)/($AN$6-$AL$6),$AL$6+SQRT(AU562*($AN$6-$AL$6)*($AM$6-$AL$6)),$AN$6-SQRT((1-AU562)*($AN$6-$AL$6)*($AN$6-$AM$6))),$AM$6)</f>
        <v/>
      </c>
      <c r="AM562">
        <f>IFERROR(IF(AV562&lt;($AM$7-$AL$7)/($AN$7-$AL$7),$AL$7+SQRT(AV562*($AN$7-$AL$7)*($AM$7-$AL$7)),$AN$7-SQRT((1-AV562)*($AN$7-$AL$7)*($AN$7-$AM$7))),$AM$7)</f>
        <v/>
      </c>
      <c r="AN562">
        <f>IFERROR(IF(AW562&lt;($AM$8-$AL$8)/($AN$8-$AL$8),$AL$8+SQRT(AW562*($AN$8-$AL$8)*($AM$8-$AL$8)),$AN$8-SQRT((1-AW562)*($AN$8-$AL$8)*($AN$8-$AM$8))),$AM$8)</f>
        <v/>
      </c>
      <c r="AO562">
        <f>IFERROR(IF(AX562&lt;($AM$9-$AL$9)/($AN$9-$AL$9),$AL$9+SQRT(AX562*($AN$9-$AL$9)*($AM$9-$AL$9)),$AN$9-SQRT((1-AX562)*($AN$9-$AL$9)*($AN$9-$AM$9))),$AM$9)</f>
        <v/>
      </c>
      <c r="AP562">
        <f>IFERROR(IF(AY562&lt;($AM$10-$AL$10)/($AN$10-$AL$10),$AL$10+SQRT(AY562*($AN$10-$AL$10)*($AM$10-$AL$10)),$AN$10-SQRT((1-AY562)*($AN$10-$AL$10)*($AN$10-$AM$10))),$AM$10)</f>
        <v/>
      </c>
      <c r="AQ562">
        <f>IFERROR(IF(AZ562&lt;($AM$11-$AL$11)/($AN$11-$AL$11),$AL$11+SQRT(AZ562*($AN$11-$AL$11)*($AM$11-$AL$11)),$AN$11-SQRT((1-AZ562)*($AN$11-$AL$11)*($AN$11-$AM$11))),$AM$11)</f>
        <v/>
      </c>
      <c r="AR562">
        <f>SUMPRODUCT((B24:B31&lt;=$B$6)*(C24:C31*AM562+D24:D31*AO562*$B$8*AQ562)/(1+AL562/100)^B24:B31)+C32*AM562*AP562/(1+AL562/100)^$B$6</f>
        <v/>
      </c>
      <c r="AS562">
        <f>SUMPRODUCT((K24:K26&lt;=$B$6)*(L24:L26*AN562+M24:M26*AO562*$B$8*AQ562)/(1+AL562/100)^K24:K26)+L27*AN562*AP562/(1+AL562/100)^$B$6</f>
        <v/>
      </c>
      <c r="AT562">
        <f>AS562-AR562</f>
        <v/>
      </c>
      <c r="AU562">
        <f>RAND()</f>
        <v/>
      </c>
      <c r="AV562">
        <f>RAND()</f>
        <v/>
      </c>
      <c r="AW562">
        <f>RAND()</f>
        <v/>
      </c>
      <c r="AX562">
        <f>RAND()</f>
        <v/>
      </c>
      <c r="AY562">
        <f>RAND()</f>
        <v/>
      </c>
      <c r="AZ562">
        <f>RAND()</f>
        <v/>
      </c>
    </row>
    <row r="563">
      <c r="AK563" t="n">
        <v>550</v>
      </c>
      <c r="AL563">
        <f>IFERROR(IF(AU563&lt;($AM$6-$AL$6)/($AN$6-$AL$6),$AL$6+SQRT(AU563*($AN$6-$AL$6)*($AM$6-$AL$6)),$AN$6-SQRT((1-AU563)*($AN$6-$AL$6)*($AN$6-$AM$6))),$AM$6)</f>
        <v/>
      </c>
      <c r="AM563">
        <f>IFERROR(IF(AV563&lt;($AM$7-$AL$7)/($AN$7-$AL$7),$AL$7+SQRT(AV563*($AN$7-$AL$7)*($AM$7-$AL$7)),$AN$7-SQRT((1-AV563)*($AN$7-$AL$7)*($AN$7-$AM$7))),$AM$7)</f>
        <v/>
      </c>
      <c r="AN563">
        <f>IFERROR(IF(AW563&lt;($AM$8-$AL$8)/($AN$8-$AL$8),$AL$8+SQRT(AW563*($AN$8-$AL$8)*($AM$8-$AL$8)),$AN$8-SQRT((1-AW563)*($AN$8-$AL$8)*($AN$8-$AM$8))),$AM$8)</f>
        <v/>
      </c>
      <c r="AO563">
        <f>IFERROR(IF(AX563&lt;($AM$9-$AL$9)/($AN$9-$AL$9),$AL$9+SQRT(AX563*($AN$9-$AL$9)*($AM$9-$AL$9)),$AN$9-SQRT((1-AX563)*($AN$9-$AL$9)*($AN$9-$AM$9))),$AM$9)</f>
        <v/>
      </c>
      <c r="AP563">
        <f>IFERROR(IF(AY563&lt;($AM$10-$AL$10)/($AN$10-$AL$10),$AL$10+SQRT(AY563*($AN$10-$AL$10)*($AM$10-$AL$10)),$AN$10-SQRT((1-AY563)*($AN$10-$AL$10)*($AN$10-$AM$10))),$AM$10)</f>
        <v/>
      </c>
      <c r="AQ563">
        <f>IFERROR(IF(AZ563&lt;($AM$11-$AL$11)/($AN$11-$AL$11),$AL$11+SQRT(AZ563*($AN$11-$AL$11)*($AM$11-$AL$11)),$AN$11-SQRT((1-AZ563)*($AN$11-$AL$11)*($AN$11-$AM$11))),$AM$11)</f>
        <v/>
      </c>
      <c r="AR563">
        <f>SUMPRODUCT((B24:B31&lt;=$B$6)*(C24:C31*AM563+D24:D31*AO563*$B$8*AQ563)/(1+AL563/100)^B24:B31)+C32*AM563*AP563/(1+AL563/100)^$B$6</f>
        <v/>
      </c>
      <c r="AS563">
        <f>SUMPRODUCT((K24:K26&lt;=$B$6)*(L24:L26*AN563+M24:M26*AO563*$B$8*AQ563)/(1+AL563/100)^K24:K26)+L27*AN563*AP563/(1+AL563/100)^$B$6</f>
        <v/>
      </c>
      <c r="AT563">
        <f>AS563-AR563</f>
        <v/>
      </c>
      <c r="AU563">
        <f>RAND()</f>
        <v/>
      </c>
      <c r="AV563">
        <f>RAND()</f>
        <v/>
      </c>
      <c r="AW563">
        <f>RAND()</f>
        <v/>
      </c>
      <c r="AX563">
        <f>RAND()</f>
        <v/>
      </c>
      <c r="AY563">
        <f>RAND()</f>
        <v/>
      </c>
      <c r="AZ563">
        <f>RAND()</f>
        <v/>
      </c>
    </row>
    <row r="564">
      <c r="AK564" t="n">
        <v>551</v>
      </c>
      <c r="AL564">
        <f>IFERROR(IF(AU564&lt;($AM$6-$AL$6)/($AN$6-$AL$6),$AL$6+SQRT(AU564*($AN$6-$AL$6)*($AM$6-$AL$6)),$AN$6-SQRT((1-AU564)*($AN$6-$AL$6)*($AN$6-$AM$6))),$AM$6)</f>
        <v/>
      </c>
      <c r="AM564">
        <f>IFERROR(IF(AV564&lt;($AM$7-$AL$7)/($AN$7-$AL$7),$AL$7+SQRT(AV564*($AN$7-$AL$7)*($AM$7-$AL$7)),$AN$7-SQRT((1-AV564)*($AN$7-$AL$7)*($AN$7-$AM$7))),$AM$7)</f>
        <v/>
      </c>
      <c r="AN564">
        <f>IFERROR(IF(AW564&lt;($AM$8-$AL$8)/($AN$8-$AL$8),$AL$8+SQRT(AW564*($AN$8-$AL$8)*($AM$8-$AL$8)),$AN$8-SQRT((1-AW564)*($AN$8-$AL$8)*($AN$8-$AM$8))),$AM$8)</f>
        <v/>
      </c>
      <c r="AO564">
        <f>IFERROR(IF(AX564&lt;($AM$9-$AL$9)/($AN$9-$AL$9),$AL$9+SQRT(AX564*($AN$9-$AL$9)*($AM$9-$AL$9)),$AN$9-SQRT((1-AX564)*($AN$9-$AL$9)*($AN$9-$AM$9))),$AM$9)</f>
        <v/>
      </c>
      <c r="AP564">
        <f>IFERROR(IF(AY564&lt;($AM$10-$AL$10)/($AN$10-$AL$10),$AL$10+SQRT(AY564*($AN$10-$AL$10)*($AM$10-$AL$10)),$AN$10-SQRT((1-AY564)*($AN$10-$AL$10)*($AN$10-$AM$10))),$AM$10)</f>
        <v/>
      </c>
      <c r="AQ564">
        <f>IFERROR(IF(AZ564&lt;($AM$11-$AL$11)/($AN$11-$AL$11),$AL$11+SQRT(AZ564*($AN$11-$AL$11)*($AM$11-$AL$11)),$AN$11-SQRT((1-AZ564)*($AN$11-$AL$11)*($AN$11-$AM$11))),$AM$11)</f>
        <v/>
      </c>
      <c r="AR564">
        <f>SUMPRODUCT((B24:B31&lt;=$B$6)*(C24:C31*AM564+D24:D31*AO564*$B$8*AQ564)/(1+AL564/100)^B24:B31)+C32*AM564*AP564/(1+AL564/100)^$B$6</f>
        <v/>
      </c>
      <c r="AS564">
        <f>SUMPRODUCT((K24:K26&lt;=$B$6)*(L24:L26*AN564+M24:M26*AO564*$B$8*AQ564)/(1+AL564/100)^K24:K26)+L27*AN564*AP564/(1+AL564/100)^$B$6</f>
        <v/>
      </c>
      <c r="AT564">
        <f>AS564-AR564</f>
        <v/>
      </c>
      <c r="AU564">
        <f>RAND()</f>
        <v/>
      </c>
      <c r="AV564">
        <f>RAND()</f>
        <v/>
      </c>
      <c r="AW564">
        <f>RAND()</f>
        <v/>
      </c>
      <c r="AX564">
        <f>RAND()</f>
        <v/>
      </c>
      <c r="AY564">
        <f>RAND()</f>
        <v/>
      </c>
      <c r="AZ564">
        <f>RAND()</f>
        <v/>
      </c>
    </row>
    <row r="565">
      <c r="AK565" t="n">
        <v>552</v>
      </c>
      <c r="AL565">
        <f>IFERROR(IF(AU565&lt;($AM$6-$AL$6)/($AN$6-$AL$6),$AL$6+SQRT(AU565*($AN$6-$AL$6)*($AM$6-$AL$6)),$AN$6-SQRT((1-AU565)*($AN$6-$AL$6)*($AN$6-$AM$6))),$AM$6)</f>
        <v/>
      </c>
      <c r="AM565">
        <f>IFERROR(IF(AV565&lt;($AM$7-$AL$7)/($AN$7-$AL$7),$AL$7+SQRT(AV565*($AN$7-$AL$7)*($AM$7-$AL$7)),$AN$7-SQRT((1-AV565)*($AN$7-$AL$7)*($AN$7-$AM$7))),$AM$7)</f>
        <v/>
      </c>
      <c r="AN565">
        <f>IFERROR(IF(AW565&lt;($AM$8-$AL$8)/($AN$8-$AL$8),$AL$8+SQRT(AW565*($AN$8-$AL$8)*($AM$8-$AL$8)),$AN$8-SQRT((1-AW565)*($AN$8-$AL$8)*($AN$8-$AM$8))),$AM$8)</f>
        <v/>
      </c>
      <c r="AO565">
        <f>IFERROR(IF(AX565&lt;($AM$9-$AL$9)/($AN$9-$AL$9),$AL$9+SQRT(AX565*($AN$9-$AL$9)*($AM$9-$AL$9)),$AN$9-SQRT((1-AX565)*($AN$9-$AL$9)*($AN$9-$AM$9))),$AM$9)</f>
        <v/>
      </c>
      <c r="AP565">
        <f>IFERROR(IF(AY565&lt;($AM$10-$AL$10)/($AN$10-$AL$10),$AL$10+SQRT(AY565*($AN$10-$AL$10)*($AM$10-$AL$10)),$AN$10-SQRT((1-AY565)*($AN$10-$AL$10)*($AN$10-$AM$10))),$AM$10)</f>
        <v/>
      </c>
      <c r="AQ565">
        <f>IFERROR(IF(AZ565&lt;($AM$11-$AL$11)/($AN$11-$AL$11),$AL$11+SQRT(AZ565*($AN$11-$AL$11)*($AM$11-$AL$11)),$AN$11-SQRT((1-AZ565)*($AN$11-$AL$11)*($AN$11-$AM$11))),$AM$11)</f>
        <v/>
      </c>
      <c r="AR565">
        <f>SUMPRODUCT((B24:B31&lt;=$B$6)*(C24:C31*AM565+D24:D31*AO565*$B$8*AQ565)/(1+AL565/100)^B24:B31)+C32*AM565*AP565/(1+AL565/100)^$B$6</f>
        <v/>
      </c>
      <c r="AS565">
        <f>SUMPRODUCT((K24:K26&lt;=$B$6)*(L24:L26*AN565+M24:M26*AO565*$B$8*AQ565)/(1+AL565/100)^K24:K26)+L27*AN565*AP565/(1+AL565/100)^$B$6</f>
        <v/>
      </c>
      <c r="AT565">
        <f>AS565-AR565</f>
        <v/>
      </c>
      <c r="AU565">
        <f>RAND()</f>
        <v/>
      </c>
      <c r="AV565">
        <f>RAND()</f>
        <v/>
      </c>
      <c r="AW565">
        <f>RAND()</f>
        <v/>
      </c>
      <c r="AX565">
        <f>RAND()</f>
        <v/>
      </c>
      <c r="AY565">
        <f>RAND()</f>
        <v/>
      </c>
      <c r="AZ565">
        <f>RAND()</f>
        <v/>
      </c>
    </row>
    <row r="566">
      <c r="AK566" t="n">
        <v>553</v>
      </c>
      <c r="AL566">
        <f>IFERROR(IF(AU566&lt;($AM$6-$AL$6)/($AN$6-$AL$6),$AL$6+SQRT(AU566*($AN$6-$AL$6)*($AM$6-$AL$6)),$AN$6-SQRT((1-AU566)*($AN$6-$AL$6)*($AN$6-$AM$6))),$AM$6)</f>
        <v/>
      </c>
      <c r="AM566">
        <f>IFERROR(IF(AV566&lt;($AM$7-$AL$7)/($AN$7-$AL$7),$AL$7+SQRT(AV566*($AN$7-$AL$7)*($AM$7-$AL$7)),$AN$7-SQRT((1-AV566)*($AN$7-$AL$7)*($AN$7-$AM$7))),$AM$7)</f>
        <v/>
      </c>
      <c r="AN566">
        <f>IFERROR(IF(AW566&lt;($AM$8-$AL$8)/($AN$8-$AL$8),$AL$8+SQRT(AW566*($AN$8-$AL$8)*($AM$8-$AL$8)),$AN$8-SQRT((1-AW566)*($AN$8-$AL$8)*($AN$8-$AM$8))),$AM$8)</f>
        <v/>
      </c>
      <c r="AO566">
        <f>IFERROR(IF(AX566&lt;($AM$9-$AL$9)/($AN$9-$AL$9),$AL$9+SQRT(AX566*($AN$9-$AL$9)*($AM$9-$AL$9)),$AN$9-SQRT((1-AX566)*($AN$9-$AL$9)*($AN$9-$AM$9))),$AM$9)</f>
        <v/>
      </c>
      <c r="AP566">
        <f>IFERROR(IF(AY566&lt;($AM$10-$AL$10)/($AN$10-$AL$10),$AL$10+SQRT(AY566*($AN$10-$AL$10)*($AM$10-$AL$10)),$AN$10-SQRT((1-AY566)*($AN$10-$AL$10)*($AN$10-$AM$10))),$AM$10)</f>
        <v/>
      </c>
      <c r="AQ566">
        <f>IFERROR(IF(AZ566&lt;($AM$11-$AL$11)/($AN$11-$AL$11),$AL$11+SQRT(AZ566*($AN$11-$AL$11)*($AM$11-$AL$11)),$AN$11-SQRT((1-AZ566)*($AN$11-$AL$11)*($AN$11-$AM$11))),$AM$11)</f>
        <v/>
      </c>
      <c r="AR566">
        <f>SUMPRODUCT((B24:B31&lt;=$B$6)*(C24:C31*AM566+D24:D31*AO566*$B$8*AQ566)/(1+AL566/100)^B24:B31)+C32*AM566*AP566/(1+AL566/100)^$B$6</f>
        <v/>
      </c>
      <c r="AS566">
        <f>SUMPRODUCT((K24:K26&lt;=$B$6)*(L24:L26*AN566+M24:M26*AO566*$B$8*AQ566)/(1+AL566/100)^K24:K26)+L27*AN566*AP566/(1+AL566/100)^$B$6</f>
        <v/>
      </c>
      <c r="AT566">
        <f>AS566-AR566</f>
        <v/>
      </c>
      <c r="AU566">
        <f>RAND()</f>
        <v/>
      </c>
      <c r="AV566">
        <f>RAND()</f>
        <v/>
      </c>
      <c r="AW566">
        <f>RAND()</f>
        <v/>
      </c>
      <c r="AX566">
        <f>RAND()</f>
        <v/>
      </c>
      <c r="AY566">
        <f>RAND()</f>
        <v/>
      </c>
      <c r="AZ566">
        <f>RAND()</f>
        <v/>
      </c>
    </row>
    <row r="567">
      <c r="AK567" t="n">
        <v>554</v>
      </c>
      <c r="AL567">
        <f>IFERROR(IF(AU567&lt;($AM$6-$AL$6)/($AN$6-$AL$6),$AL$6+SQRT(AU567*($AN$6-$AL$6)*($AM$6-$AL$6)),$AN$6-SQRT((1-AU567)*($AN$6-$AL$6)*($AN$6-$AM$6))),$AM$6)</f>
        <v/>
      </c>
      <c r="AM567">
        <f>IFERROR(IF(AV567&lt;($AM$7-$AL$7)/($AN$7-$AL$7),$AL$7+SQRT(AV567*($AN$7-$AL$7)*($AM$7-$AL$7)),$AN$7-SQRT((1-AV567)*($AN$7-$AL$7)*($AN$7-$AM$7))),$AM$7)</f>
        <v/>
      </c>
      <c r="AN567">
        <f>IFERROR(IF(AW567&lt;($AM$8-$AL$8)/($AN$8-$AL$8),$AL$8+SQRT(AW567*($AN$8-$AL$8)*($AM$8-$AL$8)),$AN$8-SQRT((1-AW567)*($AN$8-$AL$8)*($AN$8-$AM$8))),$AM$8)</f>
        <v/>
      </c>
      <c r="AO567">
        <f>IFERROR(IF(AX567&lt;($AM$9-$AL$9)/($AN$9-$AL$9),$AL$9+SQRT(AX567*($AN$9-$AL$9)*($AM$9-$AL$9)),$AN$9-SQRT((1-AX567)*($AN$9-$AL$9)*($AN$9-$AM$9))),$AM$9)</f>
        <v/>
      </c>
      <c r="AP567">
        <f>IFERROR(IF(AY567&lt;($AM$10-$AL$10)/($AN$10-$AL$10),$AL$10+SQRT(AY567*($AN$10-$AL$10)*($AM$10-$AL$10)),$AN$10-SQRT((1-AY567)*($AN$10-$AL$10)*($AN$10-$AM$10))),$AM$10)</f>
        <v/>
      </c>
      <c r="AQ567">
        <f>IFERROR(IF(AZ567&lt;($AM$11-$AL$11)/($AN$11-$AL$11),$AL$11+SQRT(AZ567*($AN$11-$AL$11)*($AM$11-$AL$11)),$AN$11-SQRT((1-AZ567)*($AN$11-$AL$11)*($AN$11-$AM$11))),$AM$11)</f>
        <v/>
      </c>
      <c r="AR567">
        <f>SUMPRODUCT((B24:B31&lt;=$B$6)*(C24:C31*AM567+D24:D31*AO567*$B$8*AQ567)/(1+AL567/100)^B24:B31)+C32*AM567*AP567/(1+AL567/100)^$B$6</f>
        <v/>
      </c>
      <c r="AS567">
        <f>SUMPRODUCT((K24:K26&lt;=$B$6)*(L24:L26*AN567+M24:M26*AO567*$B$8*AQ567)/(1+AL567/100)^K24:K26)+L27*AN567*AP567/(1+AL567/100)^$B$6</f>
        <v/>
      </c>
      <c r="AT567">
        <f>AS567-AR567</f>
        <v/>
      </c>
      <c r="AU567">
        <f>RAND()</f>
        <v/>
      </c>
      <c r="AV567">
        <f>RAND()</f>
        <v/>
      </c>
      <c r="AW567">
        <f>RAND()</f>
        <v/>
      </c>
      <c r="AX567">
        <f>RAND()</f>
        <v/>
      </c>
      <c r="AY567">
        <f>RAND()</f>
        <v/>
      </c>
      <c r="AZ567">
        <f>RAND()</f>
        <v/>
      </c>
    </row>
    <row r="568">
      <c r="AK568" t="n">
        <v>555</v>
      </c>
      <c r="AL568">
        <f>IFERROR(IF(AU568&lt;($AM$6-$AL$6)/($AN$6-$AL$6),$AL$6+SQRT(AU568*($AN$6-$AL$6)*($AM$6-$AL$6)),$AN$6-SQRT((1-AU568)*($AN$6-$AL$6)*($AN$6-$AM$6))),$AM$6)</f>
        <v/>
      </c>
      <c r="AM568">
        <f>IFERROR(IF(AV568&lt;($AM$7-$AL$7)/($AN$7-$AL$7),$AL$7+SQRT(AV568*($AN$7-$AL$7)*($AM$7-$AL$7)),$AN$7-SQRT((1-AV568)*($AN$7-$AL$7)*($AN$7-$AM$7))),$AM$7)</f>
        <v/>
      </c>
      <c r="AN568">
        <f>IFERROR(IF(AW568&lt;($AM$8-$AL$8)/($AN$8-$AL$8),$AL$8+SQRT(AW568*($AN$8-$AL$8)*($AM$8-$AL$8)),$AN$8-SQRT((1-AW568)*($AN$8-$AL$8)*($AN$8-$AM$8))),$AM$8)</f>
        <v/>
      </c>
      <c r="AO568">
        <f>IFERROR(IF(AX568&lt;($AM$9-$AL$9)/($AN$9-$AL$9),$AL$9+SQRT(AX568*($AN$9-$AL$9)*($AM$9-$AL$9)),$AN$9-SQRT((1-AX568)*($AN$9-$AL$9)*($AN$9-$AM$9))),$AM$9)</f>
        <v/>
      </c>
      <c r="AP568">
        <f>IFERROR(IF(AY568&lt;($AM$10-$AL$10)/($AN$10-$AL$10),$AL$10+SQRT(AY568*($AN$10-$AL$10)*($AM$10-$AL$10)),$AN$10-SQRT((1-AY568)*($AN$10-$AL$10)*($AN$10-$AM$10))),$AM$10)</f>
        <v/>
      </c>
      <c r="AQ568">
        <f>IFERROR(IF(AZ568&lt;($AM$11-$AL$11)/($AN$11-$AL$11),$AL$11+SQRT(AZ568*($AN$11-$AL$11)*($AM$11-$AL$11)),$AN$11-SQRT((1-AZ568)*($AN$11-$AL$11)*($AN$11-$AM$11))),$AM$11)</f>
        <v/>
      </c>
      <c r="AR568">
        <f>SUMPRODUCT((B24:B31&lt;=$B$6)*(C24:C31*AM568+D24:D31*AO568*$B$8*AQ568)/(1+AL568/100)^B24:B31)+C32*AM568*AP568/(1+AL568/100)^$B$6</f>
        <v/>
      </c>
      <c r="AS568">
        <f>SUMPRODUCT((K24:K26&lt;=$B$6)*(L24:L26*AN568+M24:M26*AO568*$B$8*AQ568)/(1+AL568/100)^K24:K26)+L27*AN568*AP568/(1+AL568/100)^$B$6</f>
        <v/>
      </c>
      <c r="AT568">
        <f>AS568-AR568</f>
        <v/>
      </c>
      <c r="AU568">
        <f>RAND()</f>
        <v/>
      </c>
      <c r="AV568">
        <f>RAND()</f>
        <v/>
      </c>
      <c r="AW568">
        <f>RAND()</f>
        <v/>
      </c>
      <c r="AX568">
        <f>RAND()</f>
        <v/>
      </c>
      <c r="AY568">
        <f>RAND()</f>
        <v/>
      </c>
      <c r="AZ568">
        <f>RAND()</f>
        <v/>
      </c>
    </row>
    <row r="569">
      <c r="AK569" t="n">
        <v>556</v>
      </c>
      <c r="AL569">
        <f>IFERROR(IF(AU569&lt;($AM$6-$AL$6)/($AN$6-$AL$6),$AL$6+SQRT(AU569*($AN$6-$AL$6)*($AM$6-$AL$6)),$AN$6-SQRT((1-AU569)*($AN$6-$AL$6)*($AN$6-$AM$6))),$AM$6)</f>
        <v/>
      </c>
      <c r="AM569">
        <f>IFERROR(IF(AV569&lt;($AM$7-$AL$7)/($AN$7-$AL$7),$AL$7+SQRT(AV569*($AN$7-$AL$7)*($AM$7-$AL$7)),$AN$7-SQRT((1-AV569)*($AN$7-$AL$7)*($AN$7-$AM$7))),$AM$7)</f>
        <v/>
      </c>
      <c r="AN569">
        <f>IFERROR(IF(AW569&lt;($AM$8-$AL$8)/($AN$8-$AL$8),$AL$8+SQRT(AW569*($AN$8-$AL$8)*($AM$8-$AL$8)),$AN$8-SQRT((1-AW569)*($AN$8-$AL$8)*($AN$8-$AM$8))),$AM$8)</f>
        <v/>
      </c>
      <c r="AO569">
        <f>IFERROR(IF(AX569&lt;($AM$9-$AL$9)/($AN$9-$AL$9),$AL$9+SQRT(AX569*($AN$9-$AL$9)*($AM$9-$AL$9)),$AN$9-SQRT((1-AX569)*($AN$9-$AL$9)*($AN$9-$AM$9))),$AM$9)</f>
        <v/>
      </c>
      <c r="AP569">
        <f>IFERROR(IF(AY569&lt;($AM$10-$AL$10)/($AN$10-$AL$10),$AL$10+SQRT(AY569*($AN$10-$AL$10)*($AM$10-$AL$10)),$AN$10-SQRT((1-AY569)*($AN$10-$AL$10)*($AN$10-$AM$10))),$AM$10)</f>
        <v/>
      </c>
      <c r="AQ569">
        <f>IFERROR(IF(AZ569&lt;($AM$11-$AL$11)/($AN$11-$AL$11),$AL$11+SQRT(AZ569*($AN$11-$AL$11)*($AM$11-$AL$11)),$AN$11-SQRT((1-AZ569)*($AN$11-$AL$11)*($AN$11-$AM$11))),$AM$11)</f>
        <v/>
      </c>
      <c r="AR569">
        <f>SUMPRODUCT((B24:B31&lt;=$B$6)*(C24:C31*AM569+D24:D31*AO569*$B$8*AQ569)/(1+AL569/100)^B24:B31)+C32*AM569*AP569/(1+AL569/100)^$B$6</f>
        <v/>
      </c>
      <c r="AS569">
        <f>SUMPRODUCT((K24:K26&lt;=$B$6)*(L24:L26*AN569+M24:M26*AO569*$B$8*AQ569)/(1+AL569/100)^K24:K26)+L27*AN569*AP569/(1+AL569/100)^$B$6</f>
        <v/>
      </c>
      <c r="AT569">
        <f>AS569-AR569</f>
        <v/>
      </c>
      <c r="AU569">
        <f>RAND()</f>
        <v/>
      </c>
      <c r="AV569">
        <f>RAND()</f>
        <v/>
      </c>
      <c r="AW569">
        <f>RAND()</f>
        <v/>
      </c>
      <c r="AX569">
        <f>RAND()</f>
        <v/>
      </c>
      <c r="AY569">
        <f>RAND()</f>
        <v/>
      </c>
      <c r="AZ569">
        <f>RAND()</f>
        <v/>
      </c>
    </row>
    <row r="570">
      <c r="AK570" t="n">
        <v>557</v>
      </c>
      <c r="AL570">
        <f>IFERROR(IF(AU570&lt;($AM$6-$AL$6)/($AN$6-$AL$6),$AL$6+SQRT(AU570*($AN$6-$AL$6)*($AM$6-$AL$6)),$AN$6-SQRT((1-AU570)*($AN$6-$AL$6)*($AN$6-$AM$6))),$AM$6)</f>
        <v/>
      </c>
      <c r="AM570">
        <f>IFERROR(IF(AV570&lt;($AM$7-$AL$7)/($AN$7-$AL$7),$AL$7+SQRT(AV570*($AN$7-$AL$7)*($AM$7-$AL$7)),$AN$7-SQRT((1-AV570)*($AN$7-$AL$7)*($AN$7-$AM$7))),$AM$7)</f>
        <v/>
      </c>
      <c r="AN570">
        <f>IFERROR(IF(AW570&lt;($AM$8-$AL$8)/($AN$8-$AL$8),$AL$8+SQRT(AW570*($AN$8-$AL$8)*($AM$8-$AL$8)),$AN$8-SQRT((1-AW570)*($AN$8-$AL$8)*($AN$8-$AM$8))),$AM$8)</f>
        <v/>
      </c>
      <c r="AO570">
        <f>IFERROR(IF(AX570&lt;($AM$9-$AL$9)/($AN$9-$AL$9),$AL$9+SQRT(AX570*($AN$9-$AL$9)*($AM$9-$AL$9)),$AN$9-SQRT((1-AX570)*($AN$9-$AL$9)*($AN$9-$AM$9))),$AM$9)</f>
        <v/>
      </c>
      <c r="AP570">
        <f>IFERROR(IF(AY570&lt;($AM$10-$AL$10)/($AN$10-$AL$10),$AL$10+SQRT(AY570*($AN$10-$AL$10)*($AM$10-$AL$10)),$AN$10-SQRT((1-AY570)*($AN$10-$AL$10)*($AN$10-$AM$10))),$AM$10)</f>
        <v/>
      </c>
      <c r="AQ570">
        <f>IFERROR(IF(AZ570&lt;($AM$11-$AL$11)/($AN$11-$AL$11),$AL$11+SQRT(AZ570*($AN$11-$AL$11)*($AM$11-$AL$11)),$AN$11-SQRT((1-AZ570)*($AN$11-$AL$11)*($AN$11-$AM$11))),$AM$11)</f>
        <v/>
      </c>
      <c r="AR570">
        <f>SUMPRODUCT((B24:B31&lt;=$B$6)*(C24:C31*AM570+D24:D31*AO570*$B$8*AQ570)/(1+AL570/100)^B24:B31)+C32*AM570*AP570/(1+AL570/100)^$B$6</f>
        <v/>
      </c>
      <c r="AS570">
        <f>SUMPRODUCT((K24:K26&lt;=$B$6)*(L24:L26*AN570+M24:M26*AO570*$B$8*AQ570)/(1+AL570/100)^K24:K26)+L27*AN570*AP570/(1+AL570/100)^$B$6</f>
        <v/>
      </c>
      <c r="AT570">
        <f>AS570-AR570</f>
        <v/>
      </c>
      <c r="AU570">
        <f>RAND()</f>
        <v/>
      </c>
      <c r="AV570">
        <f>RAND()</f>
        <v/>
      </c>
      <c r="AW570">
        <f>RAND()</f>
        <v/>
      </c>
      <c r="AX570">
        <f>RAND()</f>
        <v/>
      </c>
      <c r="AY570">
        <f>RAND()</f>
        <v/>
      </c>
      <c r="AZ570">
        <f>RAND()</f>
        <v/>
      </c>
    </row>
    <row r="571">
      <c r="AK571" t="n">
        <v>558</v>
      </c>
      <c r="AL571">
        <f>IFERROR(IF(AU571&lt;($AM$6-$AL$6)/($AN$6-$AL$6),$AL$6+SQRT(AU571*($AN$6-$AL$6)*($AM$6-$AL$6)),$AN$6-SQRT((1-AU571)*($AN$6-$AL$6)*($AN$6-$AM$6))),$AM$6)</f>
        <v/>
      </c>
      <c r="AM571">
        <f>IFERROR(IF(AV571&lt;($AM$7-$AL$7)/($AN$7-$AL$7),$AL$7+SQRT(AV571*($AN$7-$AL$7)*($AM$7-$AL$7)),$AN$7-SQRT((1-AV571)*($AN$7-$AL$7)*($AN$7-$AM$7))),$AM$7)</f>
        <v/>
      </c>
      <c r="AN571">
        <f>IFERROR(IF(AW571&lt;($AM$8-$AL$8)/($AN$8-$AL$8),$AL$8+SQRT(AW571*($AN$8-$AL$8)*($AM$8-$AL$8)),$AN$8-SQRT((1-AW571)*($AN$8-$AL$8)*($AN$8-$AM$8))),$AM$8)</f>
        <v/>
      </c>
      <c r="AO571">
        <f>IFERROR(IF(AX571&lt;($AM$9-$AL$9)/($AN$9-$AL$9),$AL$9+SQRT(AX571*($AN$9-$AL$9)*($AM$9-$AL$9)),$AN$9-SQRT((1-AX571)*($AN$9-$AL$9)*($AN$9-$AM$9))),$AM$9)</f>
        <v/>
      </c>
      <c r="AP571">
        <f>IFERROR(IF(AY571&lt;($AM$10-$AL$10)/($AN$10-$AL$10),$AL$10+SQRT(AY571*($AN$10-$AL$10)*($AM$10-$AL$10)),$AN$10-SQRT((1-AY571)*($AN$10-$AL$10)*($AN$10-$AM$10))),$AM$10)</f>
        <v/>
      </c>
      <c r="AQ571">
        <f>IFERROR(IF(AZ571&lt;($AM$11-$AL$11)/($AN$11-$AL$11),$AL$11+SQRT(AZ571*($AN$11-$AL$11)*($AM$11-$AL$11)),$AN$11-SQRT((1-AZ571)*($AN$11-$AL$11)*($AN$11-$AM$11))),$AM$11)</f>
        <v/>
      </c>
      <c r="AR571">
        <f>SUMPRODUCT((B24:B31&lt;=$B$6)*(C24:C31*AM571+D24:D31*AO571*$B$8*AQ571)/(1+AL571/100)^B24:B31)+C32*AM571*AP571/(1+AL571/100)^$B$6</f>
        <v/>
      </c>
      <c r="AS571">
        <f>SUMPRODUCT((K24:K26&lt;=$B$6)*(L24:L26*AN571+M24:M26*AO571*$B$8*AQ571)/(1+AL571/100)^K24:K26)+L27*AN571*AP571/(1+AL571/100)^$B$6</f>
        <v/>
      </c>
      <c r="AT571">
        <f>AS571-AR571</f>
        <v/>
      </c>
      <c r="AU571">
        <f>RAND()</f>
        <v/>
      </c>
      <c r="AV571">
        <f>RAND()</f>
        <v/>
      </c>
      <c r="AW571">
        <f>RAND()</f>
        <v/>
      </c>
      <c r="AX571">
        <f>RAND()</f>
        <v/>
      </c>
      <c r="AY571">
        <f>RAND()</f>
        <v/>
      </c>
      <c r="AZ571">
        <f>RAND()</f>
        <v/>
      </c>
    </row>
    <row r="572">
      <c r="AK572" t="n">
        <v>559</v>
      </c>
      <c r="AL572">
        <f>IFERROR(IF(AU572&lt;($AM$6-$AL$6)/($AN$6-$AL$6),$AL$6+SQRT(AU572*($AN$6-$AL$6)*($AM$6-$AL$6)),$AN$6-SQRT((1-AU572)*($AN$6-$AL$6)*($AN$6-$AM$6))),$AM$6)</f>
        <v/>
      </c>
      <c r="AM572">
        <f>IFERROR(IF(AV572&lt;($AM$7-$AL$7)/($AN$7-$AL$7),$AL$7+SQRT(AV572*($AN$7-$AL$7)*($AM$7-$AL$7)),$AN$7-SQRT((1-AV572)*($AN$7-$AL$7)*($AN$7-$AM$7))),$AM$7)</f>
        <v/>
      </c>
      <c r="AN572">
        <f>IFERROR(IF(AW572&lt;($AM$8-$AL$8)/($AN$8-$AL$8),$AL$8+SQRT(AW572*($AN$8-$AL$8)*($AM$8-$AL$8)),$AN$8-SQRT((1-AW572)*($AN$8-$AL$8)*($AN$8-$AM$8))),$AM$8)</f>
        <v/>
      </c>
      <c r="AO572">
        <f>IFERROR(IF(AX572&lt;($AM$9-$AL$9)/($AN$9-$AL$9),$AL$9+SQRT(AX572*($AN$9-$AL$9)*($AM$9-$AL$9)),$AN$9-SQRT((1-AX572)*($AN$9-$AL$9)*($AN$9-$AM$9))),$AM$9)</f>
        <v/>
      </c>
      <c r="AP572">
        <f>IFERROR(IF(AY572&lt;($AM$10-$AL$10)/($AN$10-$AL$10),$AL$10+SQRT(AY572*($AN$10-$AL$10)*($AM$10-$AL$10)),$AN$10-SQRT((1-AY572)*($AN$10-$AL$10)*($AN$10-$AM$10))),$AM$10)</f>
        <v/>
      </c>
      <c r="AQ572">
        <f>IFERROR(IF(AZ572&lt;($AM$11-$AL$11)/($AN$11-$AL$11),$AL$11+SQRT(AZ572*($AN$11-$AL$11)*($AM$11-$AL$11)),$AN$11-SQRT((1-AZ572)*($AN$11-$AL$11)*($AN$11-$AM$11))),$AM$11)</f>
        <v/>
      </c>
      <c r="AR572">
        <f>SUMPRODUCT((B24:B31&lt;=$B$6)*(C24:C31*AM572+D24:D31*AO572*$B$8*AQ572)/(1+AL572/100)^B24:B31)+C32*AM572*AP572/(1+AL572/100)^$B$6</f>
        <v/>
      </c>
      <c r="AS572">
        <f>SUMPRODUCT((K24:K26&lt;=$B$6)*(L24:L26*AN572+M24:M26*AO572*$B$8*AQ572)/(1+AL572/100)^K24:K26)+L27*AN572*AP572/(1+AL572/100)^$B$6</f>
        <v/>
      </c>
      <c r="AT572">
        <f>AS572-AR572</f>
        <v/>
      </c>
      <c r="AU572">
        <f>RAND()</f>
        <v/>
      </c>
      <c r="AV572">
        <f>RAND()</f>
        <v/>
      </c>
      <c r="AW572">
        <f>RAND()</f>
        <v/>
      </c>
      <c r="AX572">
        <f>RAND()</f>
        <v/>
      </c>
      <c r="AY572">
        <f>RAND()</f>
        <v/>
      </c>
      <c r="AZ572">
        <f>RAND()</f>
        <v/>
      </c>
    </row>
    <row r="573">
      <c r="AK573" t="n">
        <v>560</v>
      </c>
      <c r="AL573">
        <f>IFERROR(IF(AU573&lt;($AM$6-$AL$6)/($AN$6-$AL$6),$AL$6+SQRT(AU573*($AN$6-$AL$6)*($AM$6-$AL$6)),$AN$6-SQRT((1-AU573)*($AN$6-$AL$6)*($AN$6-$AM$6))),$AM$6)</f>
        <v/>
      </c>
      <c r="AM573">
        <f>IFERROR(IF(AV573&lt;($AM$7-$AL$7)/($AN$7-$AL$7),$AL$7+SQRT(AV573*($AN$7-$AL$7)*($AM$7-$AL$7)),$AN$7-SQRT((1-AV573)*($AN$7-$AL$7)*($AN$7-$AM$7))),$AM$7)</f>
        <v/>
      </c>
      <c r="AN573">
        <f>IFERROR(IF(AW573&lt;($AM$8-$AL$8)/($AN$8-$AL$8),$AL$8+SQRT(AW573*($AN$8-$AL$8)*($AM$8-$AL$8)),$AN$8-SQRT((1-AW573)*($AN$8-$AL$8)*($AN$8-$AM$8))),$AM$8)</f>
        <v/>
      </c>
      <c r="AO573">
        <f>IFERROR(IF(AX573&lt;($AM$9-$AL$9)/($AN$9-$AL$9),$AL$9+SQRT(AX573*($AN$9-$AL$9)*($AM$9-$AL$9)),$AN$9-SQRT((1-AX573)*($AN$9-$AL$9)*($AN$9-$AM$9))),$AM$9)</f>
        <v/>
      </c>
      <c r="AP573">
        <f>IFERROR(IF(AY573&lt;($AM$10-$AL$10)/($AN$10-$AL$10),$AL$10+SQRT(AY573*($AN$10-$AL$10)*($AM$10-$AL$10)),$AN$10-SQRT((1-AY573)*($AN$10-$AL$10)*($AN$10-$AM$10))),$AM$10)</f>
        <v/>
      </c>
      <c r="AQ573">
        <f>IFERROR(IF(AZ573&lt;($AM$11-$AL$11)/($AN$11-$AL$11),$AL$11+SQRT(AZ573*($AN$11-$AL$11)*($AM$11-$AL$11)),$AN$11-SQRT((1-AZ573)*($AN$11-$AL$11)*($AN$11-$AM$11))),$AM$11)</f>
        <v/>
      </c>
      <c r="AR573">
        <f>SUMPRODUCT((B24:B31&lt;=$B$6)*(C24:C31*AM573+D24:D31*AO573*$B$8*AQ573)/(1+AL573/100)^B24:B31)+C32*AM573*AP573/(1+AL573/100)^$B$6</f>
        <v/>
      </c>
      <c r="AS573">
        <f>SUMPRODUCT((K24:K26&lt;=$B$6)*(L24:L26*AN573+M24:M26*AO573*$B$8*AQ573)/(1+AL573/100)^K24:K26)+L27*AN573*AP573/(1+AL573/100)^$B$6</f>
        <v/>
      </c>
      <c r="AT573">
        <f>AS573-AR573</f>
        <v/>
      </c>
      <c r="AU573">
        <f>RAND()</f>
        <v/>
      </c>
      <c r="AV573">
        <f>RAND()</f>
        <v/>
      </c>
      <c r="AW573">
        <f>RAND()</f>
        <v/>
      </c>
      <c r="AX573">
        <f>RAND()</f>
        <v/>
      </c>
      <c r="AY573">
        <f>RAND()</f>
        <v/>
      </c>
      <c r="AZ573">
        <f>RAND()</f>
        <v/>
      </c>
    </row>
    <row r="574">
      <c r="AK574" t="n">
        <v>561</v>
      </c>
      <c r="AL574">
        <f>IFERROR(IF(AU574&lt;($AM$6-$AL$6)/($AN$6-$AL$6),$AL$6+SQRT(AU574*($AN$6-$AL$6)*($AM$6-$AL$6)),$AN$6-SQRT((1-AU574)*($AN$6-$AL$6)*($AN$6-$AM$6))),$AM$6)</f>
        <v/>
      </c>
      <c r="AM574">
        <f>IFERROR(IF(AV574&lt;($AM$7-$AL$7)/($AN$7-$AL$7),$AL$7+SQRT(AV574*($AN$7-$AL$7)*($AM$7-$AL$7)),$AN$7-SQRT((1-AV574)*($AN$7-$AL$7)*($AN$7-$AM$7))),$AM$7)</f>
        <v/>
      </c>
      <c r="AN574">
        <f>IFERROR(IF(AW574&lt;($AM$8-$AL$8)/($AN$8-$AL$8),$AL$8+SQRT(AW574*($AN$8-$AL$8)*($AM$8-$AL$8)),$AN$8-SQRT((1-AW574)*($AN$8-$AL$8)*($AN$8-$AM$8))),$AM$8)</f>
        <v/>
      </c>
      <c r="AO574">
        <f>IFERROR(IF(AX574&lt;($AM$9-$AL$9)/($AN$9-$AL$9),$AL$9+SQRT(AX574*($AN$9-$AL$9)*($AM$9-$AL$9)),$AN$9-SQRT((1-AX574)*($AN$9-$AL$9)*($AN$9-$AM$9))),$AM$9)</f>
        <v/>
      </c>
      <c r="AP574">
        <f>IFERROR(IF(AY574&lt;($AM$10-$AL$10)/($AN$10-$AL$10),$AL$10+SQRT(AY574*($AN$10-$AL$10)*($AM$10-$AL$10)),$AN$10-SQRT((1-AY574)*($AN$10-$AL$10)*($AN$10-$AM$10))),$AM$10)</f>
        <v/>
      </c>
      <c r="AQ574">
        <f>IFERROR(IF(AZ574&lt;($AM$11-$AL$11)/($AN$11-$AL$11),$AL$11+SQRT(AZ574*($AN$11-$AL$11)*($AM$11-$AL$11)),$AN$11-SQRT((1-AZ574)*($AN$11-$AL$11)*($AN$11-$AM$11))),$AM$11)</f>
        <v/>
      </c>
      <c r="AR574">
        <f>SUMPRODUCT((B24:B31&lt;=$B$6)*(C24:C31*AM574+D24:D31*AO574*$B$8*AQ574)/(1+AL574/100)^B24:B31)+C32*AM574*AP574/(1+AL574/100)^$B$6</f>
        <v/>
      </c>
      <c r="AS574">
        <f>SUMPRODUCT((K24:K26&lt;=$B$6)*(L24:L26*AN574+M24:M26*AO574*$B$8*AQ574)/(1+AL574/100)^K24:K26)+L27*AN574*AP574/(1+AL574/100)^$B$6</f>
        <v/>
      </c>
      <c r="AT574">
        <f>AS574-AR574</f>
        <v/>
      </c>
      <c r="AU574">
        <f>RAND()</f>
        <v/>
      </c>
      <c r="AV574">
        <f>RAND()</f>
        <v/>
      </c>
      <c r="AW574">
        <f>RAND()</f>
        <v/>
      </c>
      <c r="AX574">
        <f>RAND()</f>
        <v/>
      </c>
      <c r="AY574">
        <f>RAND()</f>
        <v/>
      </c>
      <c r="AZ574">
        <f>RAND()</f>
        <v/>
      </c>
    </row>
    <row r="575">
      <c r="AK575" t="n">
        <v>562</v>
      </c>
      <c r="AL575">
        <f>IFERROR(IF(AU575&lt;($AM$6-$AL$6)/($AN$6-$AL$6),$AL$6+SQRT(AU575*($AN$6-$AL$6)*($AM$6-$AL$6)),$AN$6-SQRT((1-AU575)*($AN$6-$AL$6)*($AN$6-$AM$6))),$AM$6)</f>
        <v/>
      </c>
      <c r="AM575">
        <f>IFERROR(IF(AV575&lt;($AM$7-$AL$7)/($AN$7-$AL$7),$AL$7+SQRT(AV575*($AN$7-$AL$7)*($AM$7-$AL$7)),$AN$7-SQRT((1-AV575)*($AN$7-$AL$7)*($AN$7-$AM$7))),$AM$7)</f>
        <v/>
      </c>
      <c r="AN575">
        <f>IFERROR(IF(AW575&lt;($AM$8-$AL$8)/($AN$8-$AL$8),$AL$8+SQRT(AW575*($AN$8-$AL$8)*($AM$8-$AL$8)),$AN$8-SQRT((1-AW575)*($AN$8-$AL$8)*($AN$8-$AM$8))),$AM$8)</f>
        <v/>
      </c>
      <c r="AO575">
        <f>IFERROR(IF(AX575&lt;($AM$9-$AL$9)/($AN$9-$AL$9),$AL$9+SQRT(AX575*($AN$9-$AL$9)*($AM$9-$AL$9)),$AN$9-SQRT((1-AX575)*($AN$9-$AL$9)*($AN$9-$AM$9))),$AM$9)</f>
        <v/>
      </c>
      <c r="AP575">
        <f>IFERROR(IF(AY575&lt;($AM$10-$AL$10)/($AN$10-$AL$10),$AL$10+SQRT(AY575*($AN$10-$AL$10)*($AM$10-$AL$10)),$AN$10-SQRT((1-AY575)*($AN$10-$AL$10)*($AN$10-$AM$10))),$AM$10)</f>
        <v/>
      </c>
      <c r="AQ575">
        <f>IFERROR(IF(AZ575&lt;($AM$11-$AL$11)/($AN$11-$AL$11),$AL$11+SQRT(AZ575*($AN$11-$AL$11)*($AM$11-$AL$11)),$AN$11-SQRT((1-AZ575)*($AN$11-$AL$11)*($AN$11-$AM$11))),$AM$11)</f>
        <v/>
      </c>
      <c r="AR575">
        <f>SUMPRODUCT((B24:B31&lt;=$B$6)*(C24:C31*AM575+D24:D31*AO575*$B$8*AQ575)/(1+AL575/100)^B24:B31)+C32*AM575*AP575/(1+AL575/100)^$B$6</f>
        <v/>
      </c>
      <c r="AS575">
        <f>SUMPRODUCT((K24:K26&lt;=$B$6)*(L24:L26*AN575+M24:M26*AO575*$B$8*AQ575)/(1+AL575/100)^K24:K26)+L27*AN575*AP575/(1+AL575/100)^$B$6</f>
        <v/>
      </c>
      <c r="AT575">
        <f>AS575-AR575</f>
        <v/>
      </c>
      <c r="AU575">
        <f>RAND()</f>
        <v/>
      </c>
      <c r="AV575">
        <f>RAND()</f>
        <v/>
      </c>
      <c r="AW575">
        <f>RAND()</f>
        <v/>
      </c>
      <c r="AX575">
        <f>RAND()</f>
        <v/>
      </c>
      <c r="AY575">
        <f>RAND()</f>
        <v/>
      </c>
      <c r="AZ575">
        <f>RAND()</f>
        <v/>
      </c>
    </row>
    <row r="576">
      <c r="AK576" t="n">
        <v>563</v>
      </c>
      <c r="AL576">
        <f>IFERROR(IF(AU576&lt;($AM$6-$AL$6)/($AN$6-$AL$6),$AL$6+SQRT(AU576*($AN$6-$AL$6)*($AM$6-$AL$6)),$AN$6-SQRT((1-AU576)*($AN$6-$AL$6)*($AN$6-$AM$6))),$AM$6)</f>
        <v/>
      </c>
      <c r="AM576">
        <f>IFERROR(IF(AV576&lt;($AM$7-$AL$7)/($AN$7-$AL$7),$AL$7+SQRT(AV576*($AN$7-$AL$7)*($AM$7-$AL$7)),$AN$7-SQRT((1-AV576)*($AN$7-$AL$7)*($AN$7-$AM$7))),$AM$7)</f>
        <v/>
      </c>
      <c r="AN576">
        <f>IFERROR(IF(AW576&lt;($AM$8-$AL$8)/($AN$8-$AL$8),$AL$8+SQRT(AW576*($AN$8-$AL$8)*($AM$8-$AL$8)),$AN$8-SQRT((1-AW576)*($AN$8-$AL$8)*($AN$8-$AM$8))),$AM$8)</f>
        <v/>
      </c>
      <c r="AO576">
        <f>IFERROR(IF(AX576&lt;($AM$9-$AL$9)/($AN$9-$AL$9),$AL$9+SQRT(AX576*($AN$9-$AL$9)*($AM$9-$AL$9)),$AN$9-SQRT((1-AX576)*($AN$9-$AL$9)*($AN$9-$AM$9))),$AM$9)</f>
        <v/>
      </c>
      <c r="AP576">
        <f>IFERROR(IF(AY576&lt;($AM$10-$AL$10)/($AN$10-$AL$10),$AL$10+SQRT(AY576*($AN$10-$AL$10)*($AM$10-$AL$10)),$AN$10-SQRT((1-AY576)*($AN$10-$AL$10)*($AN$10-$AM$10))),$AM$10)</f>
        <v/>
      </c>
      <c r="AQ576">
        <f>IFERROR(IF(AZ576&lt;($AM$11-$AL$11)/($AN$11-$AL$11),$AL$11+SQRT(AZ576*($AN$11-$AL$11)*($AM$11-$AL$11)),$AN$11-SQRT((1-AZ576)*($AN$11-$AL$11)*($AN$11-$AM$11))),$AM$11)</f>
        <v/>
      </c>
      <c r="AR576">
        <f>SUMPRODUCT((B24:B31&lt;=$B$6)*(C24:C31*AM576+D24:D31*AO576*$B$8*AQ576)/(1+AL576/100)^B24:B31)+C32*AM576*AP576/(1+AL576/100)^$B$6</f>
        <v/>
      </c>
      <c r="AS576">
        <f>SUMPRODUCT((K24:K26&lt;=$B$6)*(L24:L26*AN576+M24:M26*AO576*$B$8*AQ576)/(1+AL576/100)^K24:K26)+L27*AN576*AP576/(1+AL576/100)^$B$6</f>
        <v/>
      </c>
      <c r="AT576">
        <f>AS576-AR576</f>
        <v/>
      </c>
      <c r="AU576">
        <f>RAND()</f>
        <v/>
      </c>
      <c r="AV576">
        <f>RAND()</f>
        <v/>
      </c>
      <c r="AW576">
        <f>RAND()</f>
        <v/>
      </c>
      <c r="AX576">
        <f>RAND()</f>
        <v/>
      </c>
      <c r="AY576">
        <f>RAND()</f>
        <v/>
      </c>
      <c r="AZ576">
        <f>RAND()</f>
        <v/>
      </c>
    </row>
    <row r="577">
      <c r="AK577" t="n">
        <v>564</v>
      </c>
      <c r="AL577">
        <f>IFERROR(IF(AU577&lt;($AM$6-$AL$6)/($AN$6-$AL$6),$AL$6+SQRT(AU577*($AN$6-$AL$6)*($AM$6-$AL$6)),$AN$6-SQRT((1-AU577)*($AN$6-$AL$6)*($AN$6-$AM$6))),$AM$6)</f>
        <v/>
      </c>
      <c r="AM577">
        <f>IFERROR(IF(AV577&lt;($AM$7-$AL$7)/($AN$7-$AL$7),$AL$7+SQRT(AV577*($AN$7-$AL$7)*($AM$7-$AL$7)),$AN$7-SQRT((1-AV577)*($AN$7-$AL$7)*($AN$7-$AM$7))),$AM$7)</f>
        <v/>
      </c>
      <c r="AN577">
        <f>IFERROR(IF(AW577&lt;($AM$8-$AL$8)/($AN$8-$AL$8),$AL$8+SQRT(AW577*($AN$8-$AL$8)*($AM$8-$AL$8)),$AN$8-SQRT((1-AW577)*($AN$8-$AL$8)*($AN$8-$AM$8))),$AM$8)</f>
        <v/>
      </c>
      <c r="AO577">
        <f>IFERROR(IF(AX577&lt;($AM$9-$AL$9)/($AN$9-$AL$9),$AL$9+SQRT(AX577*($AN$9-$AL$9)*($AM$9-$AL$9)),$AN$9-SQRT((1-AX577)*($AN$9-$AL$9)*($AN$9-$AM$9))),$AM$9)</f>
        <v/>
      </c>
      <c r="AP577">
        <f>IFERROR(IF(AY577&lt;($AM$10-$AL$10)/($AN$10-$AL$10),$AL$10+SQRT(AY577*($AN$10-$AL$10)*($AM$10-$AL$10)),$AN$10-SQRT((1-AY577)*($AN$10-$AL$10)*($AN$10-$AM$10))),$AM$10)</f>
        <v/>
      </c>
      <c r="AQ577">
        <f>IFERROR(IF(AZ577&lt;($AM$11-$AL$11)/($AN$11-$AL$11),$AL$11+SQRT(AZ577*($AN$11-$AL$11)*($AM$11-$AL$11)),$AN$11-SQRT((1-AZ577)*($AN$11-$AL$11)*($AN$11-$AM$11))),$AM$11)</f>
        <v/>
      </c>
      <c r="AR577">
        <f>SUMPRODUCT((B24:B31&lt;=$B$6)*(C24:C31*AM577+D24:D31*AO577*$B$8*AQ577)/(1+AL577/100)^B24:B31)+C32*AM577*AP577/(1+AL577/100)^$B$6</f>
        <v/>
      </c>
      <c r="AS577">
        <f>SUMPRODUCT((K24:K26&lt;=$B$6)*(L24:L26*AN577+M24:M26*AO577*$B$8*AQ577)/(1+AL577/100)^K24:K26)+L27*AN577*AP577/(1+AL577/100)^$B$6</f>
        <v/>
      </c>
      <c r="AT577">
        <f>AS577-AR577</f>
        <v/>
      </c>
      <c r="AU577">
        <f>RAND()</f>
        <v/>
      </c>
      <c r="AV577">
        <f>RAND()</f>
        <v/>
      </c>
      <c r="AW577">
        <f>RAND()</f>
        <v/>
      </c>
      <c r="AX577">
        <f>RAND()</f>
        <v/>
      </c>
      <c r="AY577">
        <f>RAND()</f>
        <v/>
      </c>
      <c r="AZ577">
        <f>RAND()</f>
        <v/>
      </c>
    </row>
    <row r="578">
      <c r="AK578" t="n">
        <v>565</v>
      </c>
      <c r="AL578">
        <f>IFERROR(IF(AU578&lt;($AM$6-$AL$6)/($AN$6-$AL$6),$AL$6+SQRT(AU578*($AN$6-$AL$6)*($AM$6-$AL$6)),$AN$6-SQRT((1-AU578)*($AN$6-$AL$6)*($AN$6-$AM$6))),$AM$6)</f>
        <v/>
      </c>
      <c r="AM578">
        <f>IFERROR(IF(AV578&lt;($AM$7-$AL$7)/($AN$7-$AL$7),$AL$7+SQRT(AV578*($AN$7-$AL$7)*($AM$7-$AL$7)),$AN$7-SQRT((1-AV578)*($AN$7-$AL$7)*($AN$7-$AM$7))),$AM$7)</f>
        <v/>
      </c>
      <c r="AN578">
        <f>IFERROR(IF(AW578&lt;($AM$8-$AL$8)/($AN$8-$AL$8),$AL$8+SQRT(AW578*($AN$8-$AL$8)*($AM$8-$AL$8)),$AN$8-SQRT((1-AW578)*($AN$8-$AL$8)*($AN$8-$AM$8))),$AM$8)</f>
        <v/>
      </c>
      <c r="AO578">
        <f>IFERROR(IF(AX578&lt;($AM$9-$AL$9)/($AN$9-$AL$9),$AL$9+SQRT(AX578*($AN$9-$AL$9)*($AM$9-$AL$9)),$AN$9-SQRT((1-AX578)*($AN$9-$AL$9)*($AN$9-$AM$9))),$AM$9)</f>
        <v/>
      </c>
      <c r="AP578">
        <f>IFERROR(IF(AY578&lt;($AM$10-$AL$10)/($AN$10-$AL$10),$AL$10+SQRT(AY578*($AN$10-$AL$10)*($AM$10-$AL$10)),$AN$10-SQRT((1-AY578)*($AN$10-$AL$10)*($AN$10-$AM$10))),$AM$10)</f>
        <v/>
      </c>
      <c r="AQ578">
        <f>IFERROR(IF(AZ578&lt;($AM$11-$AL$11)/($AN$11-$AL$11),$AL$11+SQRT(AZ578*($AN$11-$AL$11)*($AM$11-$AL$11)),$AN$11-SQRT((1-AZ578)*($AN$11-$AL$11)*($AN$11-$AM$11))),$AM$11)</f>
        <v/>
      </c>
      <c r="AR578">
        <f>SUMPRODUCT((B24:B31&lt;=$B$6)*(C24:C31*AM578+D24:D31*AO578*$B$8*AQ578)/(1+AL578/100)^B24:B31)+C32*AM578*AP578/(1+AL578/100)^$B$6</f>
        <v/>
      </c>
      <c r="AS578">
        <f>SUMPRODUCT((K24:K26&lt;=$B$6)*(L24:L26*AN578+M24:M26*AO578*$B$8*AQ578)/(1+AL578/100)^K24:K26)+L27*AN578*AP578/(1+AL578/100)^$B$6</f>
        <v/>
      </c>
      <c r="AT578">
        <f>AS578-AR578</f>
        <v/>
      </c>
      <c r="AU578">
        <f>RAND()</f>
        <v/>
      </c>
      <c r="AV578">
        <f>RAND()</f>
        <v/>
      </c>
      <c r="AW578">
        <f>RAND()</f>
        <v/>
      </c>
      <c r="AX578">
        <f>RAND()</f>
        <v/>
      </c>
      <c r="AY578">
        <f>RAND()</f>
        <v/>
      </c>
      <c r="AZ578">
        <f>RAND()</f>
        <v/>
      </c>
    </row>
    <row r="579">
      <c r="AK579" t="n">
        <v>566</v>
      </c>
      <c r="AL579">
        <f>IFERROR(IF(AU579&lt;($AM$6-$AL$6)/($AN$6-$AL$6),$AL$6+SQRT(AU579*($AN$6-$AL$6)*($AM$6-$AL$6)),$AN$6-SQRT((1-AU579)*($AN$6-$AL$6)*($AN$6-$AM$6))),$AM$6)</f>
        <v/>
      </c>
      <c r="AM579">
        <f>IFERROR(IF(AV579&lt;($AM$7-$AL$7)/($AN$7-$AL$7),$AL$7+SQRT(AV579*($AN$7-$AL$7)*($AM$7-$AL$7)),$AN$7-SQRT((1-AV579)*($AN$7-$AL$7)*($AN$7-$AM$7))),$AM$7)</f>
        <v/>
      </c>
      <c r="AN579">
        <f>IFERROR(IF(AW579&lt;($AM$8-$AL$8)/($AN$8-$AL$8),$AL$8+SQRT(AW579*($AN$8-$AL$8)*($AM$8-$AL$8)),$AN$8-SQRT((1-AW579)*($AN$8-$AL$8)*($AN$8-$AM$8))),$AM$8)</f>
        <v/>
      </c>
      <c r="AO579">
        <f>IFERROR(IF(AX579&lt;($AM$9-$AL$9)/($AN$9-$AL$9),$AL$9+SQRT(AX579*($AN$9-$AL$9)*($AM$9-$AL$9)),$AN$9-SQRT((1-AX579)*($AN$9-$AL$9)*($AN$9-$AM$9))),$AM$9)</f>
        <v/>
      </c>
      <c r="AP579">
        <f>IFERROR(IF(AY579&lt;($AM$10-$AL$10)/($AN$10-$AL$10),$AL$10+SQRT(AY579*($AN$10-$AL$10)*($AM$10-$AL$10)),$AN$10-SQRT((1-AY579)*($AN$10-$AL$10)*($AN$10-$AM$10))),$AM$10)</f>
        <v/>
      </c>
      <c r="AQ579">
        <f>IFERROR(IF(AZ579&lt;($AM$11-$AL$11)/($AN$11-$AL$11),$AL$11+SQRT(AZ579*($AN$11-$AL$11)*($AM$11-$AL$11)),$AN$11-SQRT((1-AZ579)*($AN$11-$AL$11)*($AN$11-$AM$11))),$AM$11)</f>
        <v/>
      </c>
      <c r="AR579">
        <f>SUMPRODUCT((B24:B31&lt;=$B$6)*(C24:C31*AM579+D24:D31*AO579*$B$8*AQ579)/(1+AL579/100)^B24:B31)+C32*AM579*AP579/(1+AL579/100)^$B$6</f>
        <v/>
      </c>
      <c r="AS579">
        <f>SUMPRODUCT((K24:K26&lt;=$B$6)*(L24:L26*AN579+M24:M26*AO579*$B$8*AQ579)/(1+AL579/100)^K24:K26)+L27*AN579*AP579/(1+AL579/100)^$B$6</f>
        <v/>
      </c>
      <c r="AT579">
        <f>AS579-AR579</f>
        <v/>
      </c>
      <c r="AU579">
        <f>RAND()</f>
        <v/>
      </c>
      <c r="AV579">
        <f>RAND()</f>
        <v/>
      </c>
      <c r="AW579">
        <f>RAND()</f>
        <v/>
      </c>
      <c r="AX579">
        <f>RAND()</f>
        <v/>
      </c>
      <c r="AY579">
        <f>RAND()</f>
        <v/>
      </c>
      <c r="AZ579">
        <f>RAND()</f>
        <v/>
      </c>
    </row>
    <row r="580">
      <c r="AK580" t="n">
        <v>567</v>
      </c>
      <c r="AL580">
        <f>IFERROR(IF(AU580&lt;($AM$6-$AL$6)/($AN$6-$AL$6),$AL$6+SQRT(AU580*($AN$6-$AL$6)*($AM$6-$AL$6)),$AN$6-SQRT((1-AU580)*($AN$6-$AL$6)*($AN$6-$AM$6))),$AM$6)</f>
        <v/>
      </c>
      <c r="AM580">
        <f>IFERROR(IF(AV580&lt;($AM$7-$AL$7)/($AN$7-$AL$7),$AL$7+SQRT(AV580*($AN$7-$AL$7)*($AM$7-$AL$7)),$AN$7-SQRT((1-AV580)*($AN$7-$AL$7)*($AN$7-$AM$7))),$AM$7)</f>
        <v/>
      </c>
      <c r="AN580">
        <f>IFERROR(IF(AW580&lt;($AM$8-$AL$8)/($AN$8-$AL$8),$AL$8+SQRT(AW580*($AN$8-$AL$8)*($AM$8-$AL$8)),$AN$8-SQRT((1-AW580)*($AN$8-$AL$8)*($AN$8-$AM$8))),$AM$8)</f>
        <v/>
      </c>
      <c r="AO580">
        <f>IFERROR(IF(AX580&lt;($AM$9-$AL$9)/($AN$9-$AL$9),$AL$9+SQRT(AX580*($AN$9-$AL$9)*($AM$9-$AL$9)),$AN$9-SQRT((1-AX580)*($AN$9-$AL$9)*($AN$9-$AM$9))),$AM$9)</f>
        <v/>
      </c>
      <c r="AP580">
        <f>IFERROR(IF(AY580&lt;($AM$10-$AL$10)/($AN$10-$AL$10),$AL$10+SQRT(AY580*($AN$10-$AL$10)*($AM$10-$AL$10)),$AN$10-SQRT((1-AY580)*($AN$10-$AL$10)*($AN$10-$AM$10))),$AM$10)</f>
        <v/>
      </c>
      <c r="AQ580">
        <f>IFERROR(IF(AZ580&lt;($AM$11-$AL$11)/($AN$11-$AL$11),$AL$11+SQRT(AZ580*($AN$11-$AL$11)*($AM$11-$AL$11)),$AN$11-SQRT((1-AZ580)*($AN$11-$AL$11)*($AN$11-$AM$11))),$AM$11)</f>
        <v/>
      </c>
      <c r="AR580">
        <f>SUMPRODUCT((B24:B31&lt;=$B$6)*(C24:C31*AM580+D24:D31*AO580*$B$8*AQ580)/(1+AL580/100)^B24:B31)+C32*AM580*AP580/(1+AL580/100)^$B$6</f>
        <v/>
      </c>
      <c r="AS580">
        <f>SUMPRODUCT((K24:K26&lt;=$B$6)*(L24:L26*AN580+M24:M26*AO580*$B$8*AQ580)/(1+AL580/100)^K24:K26)+L27*AN580*AP580/(1+AL580/100)^$B$6</f>
        <v/>
      </c>
      <c r="AT580">
        <f>AS580-AR580</f>
        <v/>
      </c>
      <c r="AU580">
        <f>RAND()</f>
        <v/>
      </c>
      <c r="AV580">
        <f>RAND()</f>
        <v/>
      </c>
      <c r="AW580">
        <f>RAND()</f>
        <v/>
      </c>
      <c r="AX580">
        <f>RAND()</f>
        <v/>
      </c>
      <c r="AY580">
        <f>RAND()</f>
        <v/>
      </c>
      <c r="AZ580">
        <f>RAND()</f>
        <v/>
      </c>
    </row>
    <row r="581">
      <c r="AK581" t="n">
        <v>568</v>
      </c>
      <c r="AL581">
        <f>IFERROR(IF(AU581&lt;($AM$6-$AL$6)/($AN$6-$AL$6),$AL$6+SQRT(AU581*($AN$6-$AL$6)*($AM$6-$AL$6)),$AN$6-SQRT((1-AU581)*($AN$6-$AL$6)*($AN$6-$AM$6))),$AM$6)</f>
        <v/>
      </c>
      <c r="AM581">
        <f>IFERROR(IF(AV581&lt;($AM$7-$AL$7)/($AN$7-$AL$7),$AL$7+SQRT(AV581*($AN$7-$AL$7)*($AM$7-$AL$7)),$AN$7-SQRT((1-AV581)*($AN$7-$AL$7)*($AN$7-$AM$7))),$AM$7)</f>
        <v/>
      </c>
      <c r="AN581">
        <f>IFERROR(IF(AW581&lt;($AM$8-$AL$8)/($AN$8-$AL$8),$AL$8+SQRT(AW581*($AN$8-$AL$8)*($AM$8-$AL$8)),$AN$8-SQRT((1-AW581)*($AN$8-$AL$8)*($AN$8-$AM$8))),$AM$8)</f>
        <v/>
      </c>
      <c r="AO581">
        <f>IFERROR(IF(AX581&lt;($AM$9-$AL$9)/($AN$9-$AL$9),$AL$9+SQRT(AX581*($AN$9-$AL$9)*($AM$9-$AL$9)),$AN$9-SQRT((1-AX581)*($AN$9-$AL$9)*($AN$9-$AM$9))),$AM$9)</f>
        <v/>
      </c>
      <c r="AP581">
        <f>IFERROR(IF(AY581&lt;($AM$10-$AL$10)/($AN$10-$AL$10),$AL$10+SQRT(AY581*($AN$10-$AL$10)*($AM$10-$AL$10)),$AN$10-SQRT((1-AY581)*($AN$10-$AL$10)*($AN$10-$AM$10))),$AM$10)</f>
        <v/>
      </c>
      <c r="AQ581">
        <f>IFERROR(IF(AZ581&lt;($AM$11-$AL$11)/($AN$11-$AL$11),$AL$11+SQRT(AZ581*($AN$11-$AL$11)*($AM$11-$AL$11)),$AN$11-SQRT((1-AZ581)*($AN$11-$AL$11)*($AN$11-$AM$11))),$AM$11)</f>
        <v/>
      </c>
      <c r="AR581">
        <f>SUMPRODUCT((B24:B31&lt;=$B$6)*(C24:C31*AM581+D24:D31*AO581*$B$8*AQ581)/(1+AL581/100)^B24:B31)+C32*AM581*AP581/(1+AL581/100)^$B$6</f>
        <v/>
      </c>
      <c r="AS581">
        <f>SUMPRODUCT((K24:K26&lt;=$B$6)*(L24:L26*AN581+M24:M26*AO581*$B$8*AQ581)/(1+AL581/100)^K24:K26)+L27*AN581*AP581/(1+AL581/100)^$B$6</f>
        <v/>
      </c>
      <c r="AT581">
        <f>AS581-AR581</f>
        <v/>
      </c>
      <c r="AU581">
        <f>RAND()</f>
        <v/>
      </c>
      <c r="AV581">
        <f>RAND()</f>
        <v/>
      </c>
      <c r="AW581">
        <f>RAND()</f>
        <v/>
      </c>
      <c r="AX581">
        <f>RAND()</f>
        <v/>
      </c>
      <c r="AY581">
        <f>RAND()</f>
        <v/>
      </c>
      <c r="AZ581">
        <f>RAND()</f>
        <v/>
      </c>
    </row>
    <row r="582">
      <c r="AK582" t="n">
        <v>569</v>
      </c>
      <c r="AL582">
        <f>IFERROR(IF(AU582&lt;($AM$6-$AL$6)/($AN$6-$AL$6),$AL$6+SQRT(AU582*($AN$6-$AL$6)*($AM$6-$AL$6)),$AN$6-SQRT((1-AU582)*($AN$6-$AL$6)*($AN$6-$AM$6))),$AM$6)</f>
        <v/>
      </c>
      <c r="AM582">
        <f>IFERROR(IF(AV582&lt;($AM$7-$AL$7)/($AN$7-$AL$7),$AL$7+SQRT(AV582*($AN$7-$AL$7)*($AM$7-$AL$7)),$AN$7-SQRT((1-AV582)*($AN$7-$AL$7)*($AN$7-$AM$7))),$AM$7)</f>
        <v/>
      </c>
      <c r="AN582">
        <f>IFERROR(IF(AW582&lt;($AM$8-$AL$8)/($AN$8-$AL$8),$AL$8+SQRT(AW582*($AN$8-$AL$8)*($AM$8-$AL$8)),$AN$8-SQRT((1-AW582)*($AN$8-$AL$8)*($AN$8-$AM$8))),$AM$8)</f>
        <v/>
      </c>
      <c r="AO582">
        <f>IFERROR(IF(AX582&lt;($AM$9-$AL$9)/($AN$9-$AL$9),$AL$9+SQRT(AX582*($AN$9-$AL$9)*($AM$9-$AL$9)),$AN$9-SQRT((1-AX582)*($AN$9-$AL$9)*($AN$9-$AM$9))),$AM$9)</f>
        <v/>
      </c>
      <c r="AP582">
        <f>IFERROR(IF(AY582&lt;($AM$10-$AL$10)/($AN$10-$AL$10),$AL$10+SQRT(AY582*($AN$10-$AL$10)*($AM$10-$AL$10)),$AN$10-SQRT((1-AY582)*($AN$10-$AL$10)*($AN$10-$AM$10))),$AM$10)</f>
        <v/>
      </c>
      <c r="AQ582">
        <f>IFERROR(IF(AZ582&lt;($AM$11-$AL$11)/($AN$11-$AL$11),$AL$11+SQRT(AZ582*($AN$11-$AL$11)*($AM$11-$AL$11)),$AN$11-SQRT((1-AZ582)*($AN$11-$AL$11)*($AN$11-$AM$11))),$AM$11)</f>
        <v/>
      </c>
      <c r="AR582">
        <f>SUMPRODUCT((B24:B31&lt;=$B$6)*(C24:C31*AM582+D24:D31*AO582*$B$8*AQ582)/(1+AL582/100)^B24:B31)+C32*AM582*AP582/(1+AL582/100)^$B$6</f>
        <v/>
      </c>
      <c r="AS582">
        <f>SUMPRODUCT((K24:K26&lt;=$B$6)*(L24:L26*AN582+M24:M26*AO582*$B$8*AQ582)/(1+AL582/100)^K24:K26)+L27*AN582*AP582/(1+AL582/100)^$B$6</f>
        <v/>
      </c>
      <c r="AT582">
        <f>AS582-AR582</f>
        <v/>
      </c>
      <c r="AU582">
        <f>RAND()</f>
        <v/>
      </c>
      <c r="AV582">
        <f>RAND()</f>
        <v/>
      </c>
      <c r="AW582">
        <f>RAND()</f>
        <v/>
      </c>
      <c r="AX582">
        <f>RAND()</f>
        <v/>
      </c>
      <c r="AY582">
        <f>RAND()</f>
        <v/>
      </c>
      <c r="AZ582">
        <f>RAND()</f>
        <v/>
      </c>
    </row>
    <row r="583">
      <c r="AK583" t="n">
        <v>570</v>
      </c>
      <c r="AL583">
        <f>IFERROR(IF(AU583&lt;($AM$6-$AL$6)/($AN$6-$AL$6),$AL$6+SQRT(AU583*($AN$6-$AL$6)*($AM$6-$AL$6)),$AN$6-SQRT((1-AU583)*($AN$6-$AL$6)*($AN$6-$AM$6))),$AM$6)</f>
        <v/>
      </c>
      <c r="AM583">
        <f>IFERROR(IF(AV583&lt;($AM$7-$AL$7)/($AN$7-$AL$7),$AL$7+SQRT(AV583*($AN$7-$AL$7)*($AM$7-$AL$7)),$AN$7-SQRT((1-AV583)*($AN$7-$AL$7)*($AN$7-$AM$7))),$AM$7)</f>
        <v/>
      </c>
      <c r="AN583">
        <f>IFERROR(IF(AW583&lt;($AM$8-$AL$8)/($AN$8-$AL$8),$AL$8+SQRT(AW583*($AN$8-$AL$8)*($AM$8-$AL$8)),$AN$8-SQRT((1-AW583)*($AN$8-$AL$8)*($AN$8-$AM$8))),$AM$8)</f>
        <v/>
      </c>
      <c r="AO583">
        <f>IFERROR(IF(AX583&lt;($AM$9-$AL$9)/($AN$9-$AL$9),$AL$9+SQRT(AX583*($AN$9-$AL$9)*($AM$9-$AL$9)),$AN$9-SQRT((1-AX583)*($AN$9-$AL$9)*($AN$9-$AM$9))),$AM$9)</f>
        <v/>
      </c>
      <c r="AP583">
        <f>IFERROR(IF(AY583&lt;($AM$10-$AL$10)/($AN$10-$AL$10),$AL$10+SQRT(AY583*($AN$10-$AL$10)*($AM$10-$AL$10)),$AN$10-SQRT((1-AY583)*($AN$10-$AL$10)*($AN$10-$AM$10))),$AM$10)</f>
        <v/>
      </c>
      <c r="AQ583">
        <f>IFERROR(IF(AZ583&lt;($AM$11-$AL$11)/($AN$11-$AL$11),$AL$11+SQRT(AZ583*($AN$11-$AL$11)*($AM$11-$AL$11)),$AN$11-SQRT((1-AZ583)*($AN$11-$AL$11)*($AN$11-$AM$11))),$AM$11)</f>
        <v/>
      </c>
      <c r="AR583">
        <f>SUMPRODUCT((B24:B31&lt;=$B$6)*(C24:C31*AM583+D24:D31*AO583*$B$8*AQ583)/(1+AL583/100)^B24:B31)+C32*AM583*AP583/(1+AL583/100)^$B$6</f>
        <v/>
      </c>
      <c r="AS583">
        <f>SUMPRODUCT((K24:K26&lt;=$B$6)*(L24:L26*AN583+M24:M26*AO583*$B$8*AQ583)/(1+AL583/100)^K24:K26)+L27*AN583*AP583/(1+AL583/100)^$B$6</f>
        <v/>
      </c>
      <c r="AT583">
        <f>AS583-AR583</f>
        <v/>
      </c>
      <c r="AU583">
        <f>RAND()</f>
        <v/>
      </c>
      <c r="AV583">
        <f>RAND()</f>
        <v/>
      </c>
      <c r="AW583">
        <f>RAND()</f>
        <v/>
      </c>
      <c r="AX583">
        <f>RAND()</f>
        <v/>
      </c>
      <c r="AY583">
        <f>RAND()</f>
        <v/>
      </c>
      <c r="AZ583">
        <f>RAND()</f>
        <v/>
      </c>
    </row>
    <row r="584">
      <c r="AK584" t="n">
        <v>571</v>
      </c>
      <c r="AL584">
        <f>IFERROR(IF(AU584&lt;($AM$6-$AL$6)/($AN$6-$AL$6),$AL$6+SQRT(AU584*($AN$6-$AL$6)*($AM$6-$AL$6)),$AN$6-SQRT((1-AU584)*($AN$6-$AL$6)*($AN$6-$AM$6))),$AM$6)</f>
        <v/>
      </c>
      <c r="AM584">
        <f>IFERROR(IF(AV584&lt;($AM$7-$AL$7)/($AN$7-$AL$7),$AL$7+SQRT(AV584*($AN$7-$AL$7)*($AM$7-$AL$7)),$AN$7-SQRT((1-AV584)*($AN$7-$AL$7)*($AN$7-$AM$7))),$AM$7)</f>
        <v/>
      </c>
      <c r="AN584">
        <f>IFERROR(IF(AW584&lt;($AM$8-$AL$8)/($AN$8-$AL$8),$AL$8+SQRT(AW584*($AN$8-$AL$8)*($AM$8-$AL$8)),$AN$8-SQRT((1-AW584)*($AN$8-$AL$8)*($AN$8-$AM$8))),$AM$8)</f>
        <v/>
      </c>
      <c r="AO584">
        <f>IFERROR(IF(AX584&lt;($AM$9-$AL$9)/($AN$9-$AL$9),$AL$9+SQRT(AX584*($AN$9-$AL$9)*($AM$9-$AL$9)),$AN$9-SQRT((1-AX584)*($AN$9-$AL$9)*($AN$9-$AM$9))),$AM$9)</f>
        <v/>
      </c>
      <c r="AP584">
        <f>IFERROR(IF(AY584&lt;($AM$10-$AL$10)/($AN$10-$AL$10),$AL$10+SQRT(AY584*($AN$10-$AL$10)*($AM$10-$AL$10)),$AN$10-SQRT((1-AY584)*($AN$10-$AL$10)*($AN$10-$AM$10))),$AM$10)</f>
        <v/>
      </c>
      <c r="AQ584">
        <f>IFERROR(IF(AZ584&lt;($AM$11-$AL$11)/($AN$11-$AL$11),$AL$11+SQRT(AZ584*($AN$11-$AL$11)*($AM$11-$AL$11)),$AN$11-SQRT((1-AZ584)*($AN$11-$AL$11)*($AN$11-$AM$11))),$AM$11)</f>
        <v/>
      </c>
      <c r="AR584">
        <f>SUMPRODUCT((B24:B31&lt;=$B$6)*(C24:C31*AM584+D24:D31*AO584*$B$8*AQ584)/(1+AL584/100)^B24:B31)+C32*AM584*AP584/(1+AL584/100)^$B$6</f>
        <v/>
      </c>
      <c r="AS584">
        <f>SUMPRODUCT((K24:K26&lt;=$B$6)*(L24:L26*AN584+M24:M26*AO584*$B$8*AQ584)/(1+AL584/100)^K24:K26)+L27*AN584*AP584/(1+AL584/100)^$B$6</f>
        <v/>
      </c>
      <c r="AT584">
        <f>AS584-AR584</f>
        <v/>
      </c>
      <c r="AU584">
        <f>RAND()</f>
        <v/>
      </c>
      <c r="AV584">
        <f>RAND()</f>
        <v/>
      </c>
      <c r="AW584">
        <f>RAND()</f>
        <v/>
      </c>
      <c r="AX584">
        <f>RAND()</f>
        <v/>
      </c>
      <c r="AY584">
        <f>RAND()</f>
        <v/>
      </c>
      <c r="AZ584">
        <f>RAND()</f>
        <v/>
      </c>
    </row>
    <row r="585">
      <c r="AK585" t="n">
        <v>572</v>
      </c>
      <c r="AL585">
        <f>IFERROR(IF(AU585&lt;($AM$6-$AL$6)/($AN$6-$AL$6),$AL$6+SQRT(AU585*($AN$6-$AL$6)*($AM$6-$AL$6)),$AN$6-SQRT((1-AU585)*($AN$6-$AL$6)*($AN$6-$AM$6))),$AM$6)</f>
        <v/>
      </c>
      <c r="AM585">
        <f>IFERROR(IF(AV585&lt;($AM$7-$AL$7)/($AN$7-$AL$7),$AL$7+SQRT(AV585*($AN$7-$AL$7)*($AM$7-$AL$7)),$AN$7-SQRT((1-AV585)*($AN$7-$AL$7)*($AN$7-$AM$7))),$AM$7)</f>
        <v/>
      </c>
      <c r="AN585">
        <f>IFERROR(IF(AW585&lt;($AM$8-$AL$8)/($AN$8-$AL$8),$AL$8+SQRT(AW585*($AN$8-$AL$8)*($AM$8-$AL$8)),$AN$8-SQRT((1-AW585)*($AN$8-$AL$8)*($AN$8-$AM$8))),$AM$8)</f>
        <v/>
      </c>
      <c r="AO585">
        <f>IFERROR(IF(AX585&lt;($AM$9-$AL$9)/($AN$9-$AL$9),$AL$9+SQRT(AX585*($AN$9-$AL$9)*($AM$9-$AL$9)),$AN$9-SQRT((1-AX585)*($AN$9-$AL$9)*($AN$9-$AM$9))),$AM$9)</f>
        <v/>
      </c>
      <c r="AP585">
        <f>IFERROR(IF(AY585&lt;($AM$10-$AL$10)/($AN$10-$AL$10),$AL$10+SQRT(AY585*($AN$10-$AL$10)*($AM$10-$AL$10)),$AN$10-SQRT((1-AY585)*($AN$10-$AL$10)*($AN$10-$AM$10))),$AM$10)</f>
        <v/>
      </c>
      <c r="AQ585">
        <f>IFERROR(IF(AZ585&lt;($AM$11-$AL$11)/($AN$11-$AL$11),$AL$11+SQRT(AZ585*($AN$11-$AL$11)*($AM$11-$AL$11)),$AN$11-SQRT((1-AZ585)*($AN$11-$AL$11)*($AN$11-$AM$11))),$AM$11)</f>
        <v/>
      </c>
      <c r="AR585">
        <f>SUMPRODUCT((B24:B31&lt;=$B$6)*(C24:C31*AM585+D24:D31*AO585*$B$8*AQ585)/(1+AL585/100)^B24:B31)+C32*AM585*AP585/(1+AL585/100)^$B$6</f>
        <v/>
      </c>
      <c r="AS585">
        <f>SUMPRODUCT((K24:K26&lt;=$B$6)*(L24:L26*AN585+M24:M26*AO585*$B$8*AQ585)/(1+AL585/100)^K24:K26)+L27*AN585*AP585/(1+AL585/100)^$B$6</f>
        <v/>
      </c>
      <c r="AT585">
        <f>AS585-AR585</f>
        <v/>
      </c>
      <c r="AU585">
        <f>RAND()</f>
        <v/>
      </c>
      <c r="AV585">
        <f>RAND()</f>
        <v/>
      </c>
      <c r="AW585">
        <f>RAND()</f>
        <v/>
      </c>
      <c r="AX585">
        <f>RAND()</f>
        <v/>
      </c>
      <c r="AY585">
        <f>RAND()</f>
        <v/>
      </c>
      <c r="AZ585">
        <f>RAND()</f>
        <v/>
      </c>
    </row>
    <row r="586">
      <c r="AK586" t="n">
        <v>573</v>
      </c>
      <c r="AL586">
        <f>IFERROR(IF(AU586&lt;($AM$6-$AL$6)/($AN$6-$AL$6),$AL$6+SQRT(AU586*($AN$6-$AL$6)*($AM$6-$AL$6)),$AN$6-SQRT((1-AU586)*($AN$6-$AL$6)*($AN$6-$AM$6))),$AM$6)</f>
        <v/>
      </c>
      <c r="AM586">
        <f>IFERROR(IF(AV586&lt;($AM$7-$AL$7)/($AN$7-$AL$7),$AL$7+SQRT(AV586*($AN$7-$AL$7)*($AM$7-$AL$7)),$AN$7-SQRT((1-AV586)*($AN$7-$AL$7)*($AN$7-$AM$7))),$AM$7)</f>
        <v/>
      </c>
      <c r="AN586">
        <f>IFERROR(IF(AW586&lt;($AM$8-$AL$8)/($AN$8-$AL$8),$AL$8+SQRT(AW586*($AN$8-$AL$8)*($AM$8-$AL$8)),$AN$8-SQRT((1-AW586)*($AN$8-$AL$8)*($AN$8-$AM$8))),$AM$8)</f>
        <v/>
      </c>
      <c r="AO586">
        <f>IFERROR(IF(AX586&lt;($AM$9-$AL$9)/($AN$9-$AL$9),$AL$9+SQRT(AX586*($AN$9-$AL$9)*($AM$9-$AL$9)),$AN$9-SQRT((1-AX586)*($AN$9-$AL$9)*($AN$9-$AM$9))),$AM$9)</f>
        <v/>
      </c>
      <c r="AP586">
        <f>IFERROR(IF(AY586&lt;($AM$10-$AL$10)/($AN$10-$AL$10),$AL$10+SQRT(AY586*($AN$10-$AL$10)*($AM$10-$AL$10)),$AN$10-SQRT((1-AY586)*($AN$10-$AL$10)*($AN$10-$AM$10))),$AM$10)</f>
        <v/>
      </c>
      <c r="AQ586">
        <f>IFERROR(IF(AZ586&lt;($AM$11-$AL$11)/($AN$11-$AL$11),$AL$11+SQRT(AZ586*($AN$11-$AL$11)*($AM$11-$AL$11)),$AN$11-SQRT((1-AZ586)*($AN$11-$AL$11)*($AN$11-$AM$11))),$AM$11)</f>
        <v/>
      </c>
      <c r="AR586">
        <f>SUMPRODUCT((B24:B31&lt;=$B$6)*(C24:C31*AM586+D24:D31*AO586*$B$8*AQ586)/(1+AL586/100)^B24:B31)+C32*AM586*AP586/(1+AL586/100)^$B$6</f>
        <v/>
      </c>
      <c r="AS586">
        <f>SUMPRODUCT((K24:K26&lt;=$B$6)*(L24:L26*AN586+M24:M26*AO586*$B$8*AQ586)/(1+AL586/100)^K24:K26)+L27*AN586*AP586/(1+AL586/100)^$B$6</f>
        <v/>
      </c>
      <c r="AT586">
        <f>AS586-AR586</f>
        <v/>
      </c>
      <c r="AU586">
        <f>RAND()</f>
        <v/>
      </c>
      <c r="AV586">
        <f>RAND()</f>
        <v/>
      </c>
      <c r="AW586">
        <f>RAND()</f>
        <v/>
      </c>
      <c r="AX586">
        <f>RAND()</f>
        <v/>
      </c>
      <c r="AY586">
        <f>RAND()</f>
        <v/>
      </c>
      <c r="AZ586">
        <f>RAND()</f>
        <v/>
      </c>
    </row>
    <row r="587">
      <c r="AK587" t="n">
        <v>574</v>
      </c>
      <c r="AL587">
        <f>IFERROR(IF(AU587&lt;($AM$6-$AL$6)/($AN$6-$AL$6),$AL$6+SQRT(AU587*($AN$6-$AL$6)*($AM$6-$AL$6)),$AN$6-SQRT((1-AU587)*($AN$6-$AL$6)*($AN$6-$AM$6))),$AM$6)</f>
        <v/>
      </c>
      <c r="AM587">
        <f>IFERROR(IF(AV587&lt;($AM$7-$AL$7)/($AN$7-$AL$7),$AL$7+SQRT(AV587*($AN$7-$AL$7)*($AM$7-$AL$7)),$AN$7-SQRT((1-AV587)*($AN$7-$AL$7)*($AN$7-$AM$7))),$AM$7)</f>
        <v/>
      </c>
      <c r="AN587">
        <f>IFERROR(IF(AW587&lt;($AM$8-$AL$8)/($AN$8-$AL$8),$AL$8+SQRT(AW587*($AN$8-$AL$8)*($AM$8-$AL$8)),$AN$8-SQRT((1-AW587)*($AN$8-$AL$8)*($AN$8-$AM$8))),$AM$8)</f>
        <v/>
      </c>
      <c r="AO587">
        <f>IFERROR(IF(AX587&lt;($AM$9-$AL$9)/($AN$9-$AL$9),$AL$9+SQRT(AX587*($AN$9-$AL$9)*($AM$9-$AL$9)),$AN$9-SQRT((1-AX587)*($AN$9-$AL$9)*($AN$9-$AM$9))),$AM$9)</f>
        <v/>
      </c>
      <c r="AP587">
        <f>IFERROR(IF(AY587&lt;($AM$10-$AL$10)/($AN$10-$AL$10),$AL$10+SQRT(AY587*($AN$10-$AL$10)*($AM$10-$AL$10)),$AN$10-SQRT((1-AY587)*($AN$10-$AL$10)*($AN$10-$AM$10))),$AM$10)</f>
        <v/>
      </c>
      <c r="AQ587">
        <f>IFERROR(IF(AZ587&lt;($AM$11-$AL$11)/($AN$11-$AL$11),$AL$11+SQRT(AZ587*($AN$11-$AL$11)*($AM$11-$AL$11)),$AN$11-SQRT((1-AZ587)*($AN$11-$AL$11)*($AN$11-$AM$11))),$AM$11)</f>
        <v/>
      </c>
      <c r="AR587">
        <f>SUMPRODUCT((B24:B31&lt;=$B$6)*(C24:C31*AM587+D24:D31*AO587*$B$8*AQ587)/(1+AL587/100)^B24:B31)+C32*AM587*AP587/(1+AL587/100)^$B$6</f>
        <v/>
      </c>
      <c r="AS587">
        <f>SUMPRODUCT((K24:K26&lt;=$B$6)*(L24:L26*AN587+M24:M26*AO587*$B$8*AQ587)/(1+AL587/100)^K24:K26)+L27*AN587*AP587/(1+AL587/100)^$B$6</f>
        <v/>
      </c>
      <c r="AT587">
        <f>AS587-AR587</f>
        <v/>
      </c>
      <c r="AU587">
        <f>RAND()</f>
        <v/>
      </c>
      <c r="AV587">
        <f>RAND()</f>
        <v/>
      </c>
      <c r="AW587">
        <f>RAND()</f>
        <v/>
      </c>
      <c r="AX587">
        <f>RAND()</f>
        <v/>
      </c>
      <c r="AY587">
        <f>RAND()</f>
        <v/>
      </c>
      <c r="AZ587">
        <f>RAND()</f>
        <v/>
      </c>
    </row>
    <row r="588">
      <c r="AK588" t="n">
        <v>575</v>
      </c>
      <c r="AL588">
        <f>IFERROR(IF(AU588&lt;($AM$6-$AL$6)/($AN$6-$AL$6),$AL$6+SQRT(AU588*($AN$6-$AL$6)*($AM$6-$AL$6)),$AN$6-SQRT((1-AU588)*($AN$6-$AL$6)*($AN$6-$AM$6))),$AM$6)</f>
        <v/>
      </c>
      <c r="AM588">
        <f>IFERROR(IF(AV588&lt;($AM$7-$AL$7)/($AN$7-$AL$7),$AL$7+SQRT(AV588*($AN$7-$AL$7)*($AM$7-$AL$7)),$AN$7-SQRT((1-AV588)*($AN$7-$AL$7)*($AN$7-$AM$7))),$AM$7)</f>
        <v/>
      </c>
      <c r="AN588">
        <f>IFERROR(IF(AW588&lt;($AM$8-$AL$8)/($AN$8-$AL$8),$AL$8+SQRT(AW588*($AN$8-$AL$8)*($AM$8-$AL$8)),$AN$8-SQRT((1-AW588)*($AN$8-$AL$8)*($AN$8-$AM$8))),$AM$8)</f>
        <v/>
      </c>
      <c r="AO588">
        <f>IFERROR(IF(AX588&lt;($AM$9-$AL$9)/($AN$9-$AL$9),$AL$9+SQRT(AX588*($AN$9-$AL$9)*($AM$9-$AL$9)),$AN$9-SQRT((1-AX588)*($AN$9-$AL$9)*($AN$9-$AM$9))),$AM$9)</f>
        <v/>
      </c>
      <c r="AP588">
        <f>IFERROR(IF(AY588&lt;($AM$10-$AL$10)/($AN$10-$AL$10),$AL$10+SQRT(AY588*($AN$10-$AL$10)*($AM$10-$AL$10)),$AN$10-SQRT((1-AY588)*($AN$10-$AL$10)*($AN$10-$AM$10))),$AM$10)</f>
        <v/>
      </c>
      <c r="AQ588">
        <f>IFERROR(IF(AZ588&lt;($AM$11-$AL$11)/($AN$11-$AL$11),$AL$11+SQRT(AZ588*($AN$11-$AL$11)*($AM$11-$AL$11)),$AN$11-SQRT((1-AZ588)*($AN$11-$AL$11)*($AN$11-$AM$11))),$AM$11)</f>
        <v/>
      </c>
      <c r="AR588">
        <f>SUMPRODUCT((B24:B31&lt;=$B$6)*(C24:C31*AM588+D24:D31*AO588*$B$8*AQ588)/(1+AL588/100)^B24:B31)+C32*AM588*AP588/(1+AL588/100)^$B$6</f>
        <v/>
      </c>
      <c r="AS588">
        <f>SUMPRODUCT((K24:K26&lt;=$B$6)*(L24:L26*AN588+M24:M26*AO588*$B$8*AQ588)/(1+AL588/100)^K24:K26)+L27*AN588*AP588/(1+AL588/100)^$B$6</f>
        <v/>
      </c>
      <c r="AT588">
        <f>AS588-AR588</f>
        <v/>
      </c>
      <c r="AU588">
        <f>RAND()</f>
        <v/>
      </c>
      <c r="AV588">
        <f>RAND()</f>
        <v/>
      </c>
      <c r="AW588">
        <f>RAND()</f>
        <v/>
      </c>
      <c r="AX588">
        <f>RAND()</f>
        <v/>
      </c>
      <c r="AY588">
        <f>RAND()</f>
        <v/>
      </c>
      <c r="AZ588">
        <f>RAND()</f>
        <v/>
      </c>
    </row>
    <row r="589">
      <c r="AK589" t="n">
        <v>576</v>
      </c>
      <c r="AL589">
        <f>IFERROR(IF(AU589&lt;($AM$6-$AL$6)/($AN$6-$AL$6),$AL$6+SQRT(AU589*($AN$6-$AL$6)*($AM$6-$AL$6)),$AN$6-SQRT((1-AU589)*($AN$6-$AL$6)*($AN$6-$AM$6))),$AM$6)</f>
        <v/>
      </c>
      <c r="AM589">
        <f>IFERROR(IF(AV589&lt;($AM$7-$AL$7)/($AN$7-$AL$7),$AL$7+SQRT(AV589*($AN$7-$AL$7)*($AM$7-$AL$7)),$AN$7-SQRT((1-AV589)*($AN$7-$AL$7)*($AN$7-$AM$7))),$AM$7)</f>
        <v/>
      </c>
      <c r="AN589">
        <f>IFERROR(IF(AW589&lt;($AM$8-$AL$8)/($AN$8-$AL$8),$AL$8+SQRT(AW589*($AN$8-$AL$8)*($AM$8-$AL$8)),$AN$8-SQRT((1-AW589)*($AN$8-$AL$8)*($AN$8-$AM$8))),$AM$8)</f>
        <v/>
      </c>
      <c r="AO589">
        <f>IFERROR(IF(AX589&lt;($AM$9-$AL$9)/($AN$9-$AL$9),$AL$9+SQRT(AX589*($AN$9-$AL$9)*($AM$9-$AL$9)),$AN$9-SQRT((1-AX589)*($AN$9-$AL$9)*($AN$9-$AM$9))),$AM$9)</f>
        <v/>
      </c>
      <c r="AP589">
        <f>IFERROR(IF(AY589&lt;($AM$10-$AL$10)/($AN$10-$AL$10),$AL$10+SQRT(AY589*($AN$10-$AL$10)*($AM$10-$AL$10)),$AN$10-SQRT((1-AY589)*($AN$10-$AL$10)*($AN$10-$AM$10))),$AM$10)</f>
        <v/>
      </c>
      <c r="AQ589">
        <f>IFERROR(IF(AZ589&lt;($AM$11-$AL$11)/($AN$11-$AL$11),$AL$11+SQRT(AZ589*($AN$11-$AL$11)*($AM$11-$AL$11)),$AN$11-SQRT((1-AZ589)*($AN$11-$AL$11)*($AN$11-$AM$11))),$AM$11)</f>
        <v/>
      </c>
      <c r="AR589">
        <f>SUMPRODUCT((B24:B31&lt;=$B$6)*(C24:C31*AM589+D24:D31*AO589*$B$8*AQ589)/(1+AL589/100)^B24:B31)+C32*AM589*AP589/(1+AL589/100)^$B$6</f>
        <v/>
      </c>
      <c r="AS589">
        <f>SUMPRODUCT((K24:K26&lt;=$B$6)*(L24:L26*AN589+M24:M26*AO589*$B$8*AQ589)/(1+AL589/100)^K24:K26)+L27*AN589*AP589/(1+AL589/100)^$B$6</f>
        <v/>
      </c>
      <c r="AT589">
        <f>AS589-AR589</f>
        <v/>
      </c>
      <c r="AU589">
        <f>RAND()</f>
        <v/>
      </c>
      <c r="AV589">
        <f>RAND()</f>
        <v/>
      </c>
      <c r="AW589">
        <f>RAND()</f>
        <v/>
      </c>
      <c r="AX589">
        <f>RAND()</f>
        <v/>
      </c>
      <c r="AY589">
        <f>RAND()</f>
        <v/>
      </c>
      <c r="AZ589">
        <f>RAND()</f>
        <v/>
      </c>
    </row>
    <row r="590">
      <c r="AK590" t="n">
        <v>577</v>
      </c>
      <c r="AL590">
        <f>IFERROR(IF(AU590&lt;($AM$6-$AL$6)/($AN$6-$AL$6),$AL$6+SQRT(AU590*($AN$6-$AL$6)*($AM$6-$AL$6)),$AN$6-SQRT((1-AU590)*($AN$6-$AL$6)*($AN$6-$AM$6))),$AM$6)</f>
        <v/>
      </c>
      <c r="AM590">
        <f>IFERROR(IF(AV590&lt;($AM$7-$AL$7)/($AN$7-$AL$7),$AL$7+SQRT(AV590*($AN$7-$AL$7)*($AM$7-$AL$7)),$AN$7-SQRT((1-AV590)*($AN$7-$AL$7)*($AN$7-$AM$7))),$AM$7)</f>
        <v/>
      </c>
      <c r="AN590">
        <f>IFERROR(IF(AW590&lt;($AM$8-$AL$8)/($AN$8-$AL$8),$AL$8+SQRT(AW590*($AN$8-$AL$8)*($AM$8-$AL$8)),$AN$8-SQRT((1-AW590)*($AN$8-$AL$8)*($AN$8-$AM$8))),$AM$8)</f>
        <v/>
      </c>
      <c r="AO590">
        <f>IFERROR(IF(AX590&lt;($AM$9-$AL$9)/($AN$9-$AL$9),$AL$9+SQRT(AX590*($AN$9-$AL$9)*($AM$9-$AL$9)),$AN$9-SQRT((1-AX590)*($AN$9-$AL$9)*($AN$9-$AM$9))),$AM$9)</f>
        <v/>
      </c>
      <c r="AP590">
        <f>IFERROR(IF(AY590&lt;($AM$10-$AL$10)/($AN$10-$AL$10),$AL$10+SQRT(AY590*($AN$10-$AL$10)*($AM$10-$AL$10)),$AN$10-SQRT((1-AY590)*($AN$10-$AL$10)*($AN$10-$AM$10))),$AM$10)</f>
        <v/>
      </c>
      <c r="AQ590">
        <f>IFERROR(IF(AZ590&lt;($AM$11-$AL$11)/($AN$11-$AL$11),$AL$11+SQRT(AZ590*($AN$11-$AL$11)*($AM$11-$AL$11)),$AN$11-SQRT((1-AZ590)*($AN$11-$AL$11)*($AN$11-$AM$11))),$AM$11)</f>
        <v/>
      </c>
      <c r="AR590">
        <f>SUMPRODUCT((B24:B31&lt;=$B$6)*(C24:C31*AM590+D24:D31*AO590*$B$8*AQ590)/(1+AL590/100)^B24:B31)+C32*AM590*AP590/(1+AL590/100)^$B$6</f>
        <v/>
      </c>
      <c r="AS590">
        <f>SUMPRODUCT((K24:K26&lt;=$B$6)*(L24:L26*AN590+M24:M26*AO590*$B$8*AQ590)/(1+AL590/100)^K24:K26)+L27*AN590*AP590/(1+AL590/100)^$B$6</f>
        <v/>
      </c>
      <c r="AT590">
        <f>AS590-AR590</f>
        <v/>
      </c>
      <c r="AU590">
        <f>RAND()</f>
        <v/>
      </c>
      <c r="AV590">
        <f>RAND()</f>
        <v/>
      </c>
      <c r="AW590">
        <f>RAND()</f>
        <v/>
      </c>
      <c r="AX590">
        <f>RAND()</f>
        <v/>
      </c>
      <c r="AY590">
        <f>RAND()</f>
        <v/>
      </c>
      <c r="AZ590">
        <f>RAND()</f>
        <v/>
      </c>
    </row>
    <row r="591">
      <c r="AK591" t="n">
        <v>578</v>
      </c>
      <c r="AL591">
        <f>IFERROR(IF(AU591&lt;($AM$6-$AL$6)/($AN$6-$AL$6),$AL$6+SQRT(AU591*($AN$6-$AL$6)*($AM$6-$AL$6)),$AN$6-SQRT((1-AU591)*($AN$6-$AL$6)*($AN$6-$AM$6))),$AM$6)</f>
        <v/>
      </c>
      <c r="AM591">
        <f>IFERROR(IF(AV591&lt;($AM$7-$AL$7)/($AN$7-$AL$7),$AL$7+SQRT(AV591*($AN$7-$AL$7)*($AM$7-$AL$7)),$AN$7-SQRT((1-AV591)*($AN$7-$AL$7)*($AN$7-$AM$7))),$AM$7)</f>
        <v/>
      </c>
      <c r="AN591">
        <f>IFERROR(IF(AW591&lt;($AM$8-$AL$8)/($AN$8-$AL$8),$AL$8+SQRT(AW591*($AN$8-$AL$8)*($AM$8-$AL$8)),$AN$8-SQRT((1-AW591)*($AN$8-$AL$8)*($AN$8-$AM$8))),$AM$8)</f>
        <v/>
      </c>
      <c r="AO591">
        <f>IFERROR(IF(AX591&lt;($AM$9-$AL$9)/($AN$9-$AL$9),$AL$9+SQRT(AX591*($AN$9-$AL$9)*($AM$9-$AL$9)),$AN$9-SQRT((1-AX591)*($AN$9-$AL$9)*($AN$9-$AM$9))),$AM$9)</f>
        <v/>
      </c>
      <c r="AP591">
        <f>IFERROR(IF(AY591&lt;($AM$10-$AL$10)/($AN$10-$AL$10),$AL$10+SQRT(AY591*($AN$10-$AL$10)*($AM$10-$AL$10)),$AN$10-SQRT((1-AY591)*($AN$10-$AL$10)*($AN$10-$AM$10))),$AM$10)</f>
        <v/>
      </c>
      <c r="AQ591">
        <f>IFERROR(IF(AZ591&lt;($AM$11-$AL$11)/($AN$11-$AL$11),$AL$11+SQRT(AZ591*($AN$11-$AL$11)*($AM$11-$AL$11)),$AN$11-SQRT((1-AZ591)*($AN$11-$AL$11)*($AN$11-$AM$11))),$AM$11)</f>
        <v/>
      </c>
      <c r="AR591">
        <f>SUMPRODUCT((B24:B31&lt;=$B$6)*(C24:C31*AM591+D24:D31*AO591*$B$8*AQ591)/(1+AL591/100)^B24:B31)+C32*AM591*AP591/(1+AL591/100)^$B$6</f>
        <v/>
      </c>
      <c r="AS591">
        <f>SUMPRODUCT((K24:K26&lt;=$B$6)*(L24:L26*AN591+M24:M26*AO591*$B$8*AQ591)/(1+AL591/100)^K24:K26)+L27*AN591*AP591/(1+AL591/100)^$B$6</f>
        <v/>
      </c>
      <c r="AT591">
        <f>AS591-AR591</f>
        <v/>
      </c>
      <c r="AU591">
        <f>RAND()</f>
        <v/>
      </c>
      <c r="AV591">
        <f>RAND()</f>
        <v/>
      </c>
      <c r="AW591">
        <f>RAND()</f>
        <v/>
      </c>
      <c r="AX591">
        <f>RAND()</f>
        <v/>
      </c>
      <c r="AY591">
        <f>RAND()</f>
        <v/>
      </c>
      <c r="AZ591">
        <f>RAND()</f>
        <v/>
      </c>
    </row>
    <row r="592">
      <c r="AK592" t="n">
        <v>579</v>
      </c>
      <c r="AL592">
        <f>IFERROR(IF(AU592&lt;($AM$6-$AL$6)/($AN$6-$AL$6),$AL$6+SQRT(AU592*($AN$6-$AL$6)*($AM$6-$AL$6)),$AN$6-SQRT((1-AU592)*($AN$6-$AL$6)*($AN$6-$AM$6))),$AM$6)</f>
        <v/>
      </c>
      <c r="AM592">
        <f>IFERROR(IF(AV592&lt;($AM$7-$AL$7)/($AN$7-$AL$7),$AL$7+SQRT(AV592*($AN$7-$AL$7)*($AM$7-$AL$7)),$AN$7-SQRT((1-AV592)*($AN$7-$AL$7)*($AN$7-$AM$7))),$AM$7)</f>
        <v/>
      </c>
      <c r="AN592">
        <f>IFERROR(IF(AW592&lt;($AM$8-$AL$8)/($AN$8-$AL$8),$AL$8+SQRT(AW592*($AN$8-$AL$8)*($AM$8-$AL$8)),$AN$8-SQRT((1-AW592)*($AN$8-$AL$8)*($AN$8-$AM$8))),$AM$8)</f>
        <v/>
      </c>
      <c r="AO592">
        <f>IFERROR(IF(AX592&lt;($AM$9-$AL$9)/($AN$9-$AL$9),$AL$9+SQRT(AX592*($AN$9-$AL$9)*($AM$9-$AL$9)),$AN$9-SQRT((1-AX592)*($AN$9-$AL$9)*($AN$9-$AM$9))),$AM$9)</f>
        <v/>
      </c>
      <c r="AP592">
        <f>IFERROR(IF(AY592&lt;($AM$10-$AL$10)/($AN$10-$AL$10),$AL$10+SQRT(AY592*($AN$10-$AL$10)*($AM$10-$AL$10)),$AN$10-SQRT((1-AY592)*($AN$10-$AL$10)*($AN$10-$AM$10))),$AM$10)</f>
        <v/>
      </c>
      <c r="AQ592">
        <f>IFERROR(IF(AZ592&lt;($AM$11-$AL$11)/($AN$11-$AL$11),$AL$11+SQRT(AZ592*($AN$11-$AL$11)*($AM$11-$AL$11)),$AN$11-SQRT((1-AZ592)*($AN$11-$AL$11)*($AN$11-$AM$11))),$AM$11)</f>
        <v/>
      </c>
      <c r="AR592">
        <f>SUMPRODUCT((B24:B31&lt;=$B$6)*(C24:C31*AM592+D24:D31*AO592*$B$8*AQ592)/(1+AL592/100)^B24:B31)+C32*AM592*AP592/(1+AL592/100)^$B$6</f>
        <v/>
      </c>
      <c r="AS592">
        <f>SUMPRODUCT((K24:K26&lt;=$B$6)*(L24:L26*AN592+M24:M26*AO592*$B$8*AQ592)/(1+AL592/100)^K24:K26)+L27*AN592*AP592/(1+AL592/100)^$B$6</f>
        <v/>
      </c>
      <c r="AT592">
        <f>AS592-AR592</f>
        <v/>
      </c>
      <c r="AU592">
        <f>RAND()</f>
        <v/>
      </c>
      <c r="AV592">
        <f>RAND()</f>
        <v/>
      </c>
      <c r="AW592">
        <f>RAND()</f>
        <v/>
      </c>
      <c r="AX592">
        <f>RAND()</f>
        <v/>
      </c>
      <c r="AY592">
        <f>RAND()</f>
        <v/>
      </c>
      <c r="AZ592">
        <f>RAND()</f>
        <v/>
      </c>
    </row>
    <row r="593">
      <c r="AK593" t="n">
        <v>580</v>
      </c>
      <c r="AL593">
        <f>IFERROR(IF(AU593&lt;($AM$6-$AL$6)/($AN$6-$AL$6),$AL$6+SQRT(AU593*($AN$6-$AL$6)*($AM$6-$AL$6)),$AN$6-SQRT((1-AU593)*($AN$6-$AL$6)*($AN$6-$AM$6))),$AM$6)</f>
        <v/>
      </c>
      <c r="AM593">
        <f>IFERROR(IF(AV593&lt;($AM$7-$AL$7)/($AN$7-$AL$7),$AL$7+SQRT(AV593*($AN$7-$AL$7)*($AM$7-$AL$7)),$AN$7-SQRT((1-AV593)*($AN$7-$AL$7)*($AN$7-$AM$7))),$AM$7)</f>
        <v/>
      </c>
      <c r="AN593">
        <f>IFERROR(IF(AW593&lt;($AM$8-$AL$8)/($AN$8-$AL$8),$AL$8+SQRT(AW593*($AN$8-$AL$8)*($AM$8-$AL$8)),$AN$8-SQRT((1-AW593)*($AN$8-$AL$8)*($AN$8-$AM$8))),$AM$8)</f>
        <v/>
      </c>
      <c r="AO593">
        <f>IFERROR(IF(AX593&lt;($AM$9-$AL$9)/($AN$9-$AL$9),$AL$9+SQRT(AX593*($AN$9-$AL$9)*($AM$9-$AL$9)),$AN$9-SQRT((1-AX593)*($AN$9-$AL$9)*($AN$9-$AM$9))),$AM$9)</f>
        <v/>
      </c>
      <c r="AP593">
        <f>IFERROR(IF(AY593&lt;($AM$10-$AL$10)/($AN$10-$AL$10),$AL$10+SQRT(AY593*($AN$10-$AL$10)*($AM$10-$AL$10)),$AN$10-SQRT((1-AY593)*($AN$10-$AL$10)*($AN$10-$AM$10))),$AM$10)</f>
        <v/>
      </c>
      <c r="AQ593">
        <f>IFERROR(IF(AZ593&lt;($AM$11-$AL$11)/($AN$11-$AL$11),$AL$11+SQRT(AZ593*($AN$11-$AL$11)*($AM$11-$AL$11)),$AN$11-SQRT((1-AZ593)*($AN$11-$AL$11)*($AN$11-$AM$11))),$AM$11)</f>
        <v/>
      </c>
      <c r="AR593">
        <f>SUMPRODUCT((B24:B31&lt;=$B$6)*(C24:C31*AM593+D24:D31*AO593*$B$8*AQ593)/(1+AL593/100)^B24:B31)+C32*AM593*AP593/(1+AL593/100)^$B$6</f>
        <v/>
      </c>
      <c r="AS593">
        <f>SUMPRODUCT((K24:K26&lt;=$B$6)*(L24:L26*AN593+M24:M26*AO593*$B$8*AQ593)/(1+AL593/100)^K24:K26)+L27*AN593*AP593/(1+AL593/100)^$B$6</f>
        <v/>
      </c>
      <c r="AT593">
        <f>AS593-AR593</f>
        <v/>
      </c>
      <c r="AU593">
        <f>RAND()</f>
        <v/>
      </c>
      <c r="AV593">
        <f>RAND()</f>
        <v/>
      </c>
      <c r="AW593">
        <f>RAND()</f>
        <v/>
      </c>
      <c r="AX593">
        <f>RAND()</f>
        <v/>
      </c>
      <c r="AY593">
        <f>RAND()</f>
        <v/>
      </c>
      <c r="AZ593">
        <f>RAND()</f>
        <v/>
      </c>
    </row>
    <row r="594">
      <c r="AK594" t="n">
        <v>581</v>
      </c>
      <c r="AL594">
        <f>IFERROR(IF(AU594&lt;($AM$6-$AL$6)/($AN$6-$AL$6),$AL$6+SQRT(AU594*($AN$6-$AL$6)*($AM$6-$AL$6)),$AN$6-SQRT((1-AU594)*($AN$6-$AL$6)*($AN$6-$AM$6))),$AM$6)</f>
        <v/>
      </c>
      <c r="AM594">
        <f>IFERROR(IF(AV594&lt;($AM$7-$AL$7)/($AN$7-$AL$7),$AL$7+SQRT(AV594*($AN$7-$AL$7)*($AM$7-$AL$7)),$AN$7-SQRT((1-AV594)*($AN$7-$AL$7)*($AN$7-$AM$7))),$AM$7)</f>
        <v/>
      </c>
      <c r="AN594">
        <f>IFERROR(IF(AW594&lt;($AM$8-$AL$8)/($AN$8-$AL$8),$AL$8+SQRT(AW594*($AN$8-$AL$8)*($AM$8-$AL$8)),$AN$8-SQRT((1-AW594)*($AN$8-$AL$8)*($AN$8-$AM$8))),$AM$8)</f>
        <v/>
      </c>
      <c r="AO594">
        <f>IFERROR(IF(AX594&lt;($AM$9-$AL$9)/($AN$9-$AL$9),$AL$9+SQRT(AX594*($AN$9-$AL$9)*($AM$9-$AL$9)),$AN$9-SQRT((1-AX594)*($AN$9-$AL$9)*($AN$9-$AM$9))),$AM$9)</f>
        <v/>
      </c>
      <c r="AP594">
        <f>IFERROR(IF(AY594&lt;($AM$10-$AL$10)/($AN$10-$AL$10),$AL$10+SQRT(AY594*($AN$10-$AL$10)*($AM$10-$AL$10)),$AN$10-SQRT((1-AY594)*($AN$10-$AL$10)*($AN$10-$AM$10))),$AM$10)</f>
        <v/>
      </c>
      <c r="AQ594">
        <f>IFERROR(IF(AZ594&lt;($AM$11-$AL$11)/($AN$11-$AL$11),$AL$11+SQRT(AZ594*($AN$11-$AL$11)*($AM$11-$AL$11)),$AN$11-SQRT((1-AZ594)*($AN$11-$AL$11)*($AN$11-$AM$11))),$AM$11)</f>
        <v/>
      </c>
      <c r="AR594">
        <f>SUMPRODUCT((B24:B31&lt;=$B$6)*(C24:C31*AM594+D24:D31*AO594*$B$8*AQ594)/(1+AL594/100)^B24:B31)+C32*AM594*AP594/(1+AL594/100)^$B$6</f>
        <v/>
      </c>
      <c r="AS594">
        <f>SUMPRODUCT((K24:K26&lt;=$B$6)*(L24:L26*AN594+M24:M26*AO594*$B$8*AQ594)/(1+AL594/100)^K24:K26)+L27*AN594*AP594/(1+AL594/100)^$B$6</f>
        <v/>
      </c>
      <c r="AT594">
        <f>AS594-AR594</f>
        <v/>
      </c>
      <c r="AU594">
        <f>RAND()</f>
        <v/>
      </c>
      <c r="AV594">
        <f>RAND()</f>
        <v/>
      </c>
      <c r="AW594">
        <f>RAND()</f>
        <v/>
      </c>
      <c r="AX594">
        <f>RAND()</f>
        <v/>
      </c>
      <c r="AY594">
        <f>RAND()</f>
        <v/>
      </c>
      <c r="AZ594">
        <f>RAND()</f>
        <v/>
      </c>
    </row>
    <row r="595">
      <c r="AK595" t="n">
        <v>582</v>
      </c>
      <c r="AL595">
        <f>IFERROR(IF(AU595&lt;($AM$6-$AL$6)/($AN$6-$AL$6),$AL$6+SQRT(AU595*($AN$6-$AL$6)*($AM$6-$AL$6)),$AN$6-SQRT((1-AU595)*($AN$6-$AL$6)*($AN$6-$AM$6))),$AM$6)</f>
        <v/>
      </c>
      <c r="AM595">
        <f>IFERROR(IF(AV595&lt;($AM$7-$AL$7)/($AN$7-$AL$7),$AL$7+SQRT(AV595*($AN$7-$AL$7)*($AM$7-$AL$7)),$AN$7-SQRT((1-AV595)*($AN$7-$AL$7)*($AN$7-$AM$7))),$AM$7)</f>
        <v/>
      </c>
      <c r="AN595">
        <f>IFERROR(IF(AW595&lt;($AM$8-$AL$8)/($AN$8-$AL$8),$AL$8+SQRT(AW595*($AN$8-$AL$8)*($AM$8-$AL$8)),$AN$8-SQRT((1-AW595)*($AN$8-$AL$8)*($AN$8-$AM$8))),$AM$8)</f>
        <v/>
      </c>
      <c r="AO595">
        <f>IFERROR(IF(AX595&lt;($AM$9-$AL$9)/($AN$9-$AL$9),$AL$9+SQRT(AX595*($AN$9-$AL$9)*($AM$9-$AL$9)),$AN$9-SQRT((1-AX595)*($AN$9-$AL$9)*($AN$9-$AM$9))),$AM$9)</f>
        <v/>
      </c>
      <c r="AP595">
        <f>IFERROR(IF(AY595&lt;($AM$10-$AL$10)/($AN$10-$AL$10),$AL$10+SQRT(AY595*($AN$10-$AL$10)*($AM$10-$AL$10)),$AN$10-SQRT((1-AY595)*($AN$10-$AL$10)*($AN$10-$AM$10))),$AM$10)</f>
        <v/>
      </c>
      <c r="AQ595">
        <f>IFERROR(IF(AZ595&lt;($AM$11-$AL$11)/($AN$11-$AL$11),$AL$11+SQRT(AZ595*($AN$11-$AL$11)*($AM$11-$AL$11)),$AN$11-SQRT((1-AZ595)*($AN$11-$AL$11)*($AN$11-$AM$11))),$AM$11)</f>
        <v/>
      </c>
      <c r="AR595">
        <f>SUMPRODUCT((B24:B31&lt;=$B$6)*(C24:C31*AM595+D24:D31*AO595*$B$8*AQ595)/(1+AL595/100)^B24:B31)+C32*AM595*AP595/(1+AL595/100)^$B$6</f>
        <v/>
      </c>
      <c r="AS595">
        <f>SUMPRODUCT((K24:K26&lt;=$B$6)*(L24:L26*AN595+M24:M26*AO595*$B$8*AQ595)/(1+AL595/100)^K24:K26)+L27*AN595*AP595/(1+AL595/100)^$B$6</f>
        <v/>
      </c>
      <c r="AT595">
        <f>AS595-AR595</f>
        <v/>
      </c>
      <c r="AU595">
        <f>RAND()</f>
        <v/>
      </c>
      <c r="AV595">
        <f>RAND()</f>
        <v/>
      </c>
      <c r="AW595">
        <f>RAND()</f>
        <v/>
      </c>
      <c r="AX595">
        <f>RAND()</f>
        <v/>
      </c>
      <c r="AY595">
        <f>RAND()</f>
        <v/>
      </c>
      <c r="AZ595">
        <f>RAND()</f>
        <v/>
      </c>
    </row>
    <row r="596">
      <c r="AK596" t="n">
        <v>583</v>
      </c>
      <c r="AL596">
        <f>IFERROR(IF(AU596&lt;($AM$6-$AL$6)/($AN$6-$AL$6),$AL$6+SQRT(AU596*($AN$6-$AL$6)*($AM$6-$AL$6)),$AN$6-SQRT((1-AU596)*($AN$6-$AL$6)*($AN$6-$AM$6))),$AM$6)</f>
        <v/>
      </c>
      <c r="AM596">
        <f>IFERROR(IF(AV596&lt;($AM$7-$AL$7)/($AN$7-$AL$7),$AL$7+SQRT(AV596*($AN$7-$AL$7)*($AM$7-$AL$7)),$AN$7-SQRT((1-AV596)*($AN$7-$AL$7)*($AN$7-$AM$7))),$AM$7)</f>
        <v/>
      </c>
      <c r="AN596">
        <f>IFERROR(IF(AW596&lt;($AM$8-$AL$8)/($AN$8-$AL$8),$AL$8+SQRT(AW596*($AN$8-$AL$8)*($AM$8-$AL$8)),$AN$8-SQRT((1-AW596)*($AN$8-$AL$8)*($AN$8-$AM$8))),$AM$8)</f>
        <v/>
      </c>
      <c r="AO596">
        <f>IFERROR(IF(AX596&lt;($AM$9-$AL$9)/($AN$9-$AL$9),$AL$9+SQRT(AX596*($AN$9-$AL$9)*($AM$9-$AL$9)),$AN$9-SQRT((1-AX596)*($AN$9-$AL$9)*($AN$9-$AM$9))),$AM$9)</f>
        <v/>
      </c>
      <c r="AP596">
        <f>IFERROR(IF(AY596&lt;($AM$10-$AL$10)/($AN$10-$AL$10),$AL$10+SQRT(AY596*($AN$10-$AL$10)*($AM$10-$AL$10)),$AN$10-SQRT((1-AY596)*($AN$10-$AL$10)*($AN$10-$AM$10))),$AM$10)</f>
        <v/>
      </c>
      <c r="AQ596">
        <f>IFERROR(IF(AZ596&lt;($AM$11-$AL$11)/($AN$11-$AL$11),$AL$11+SQRT(AZ596*($AN$11-$AL$11)*($AM$11-$AL$11)),$AN$11-SQRT((1-AZ596)*($AN$11-$AL$11)*($AN$11-$AM$11))),$AM$11)</f>
        <v/>
      </c>
      <c r="AR596">
        <f>SUMPRODUCT((B24:B31&lt;=$B$6)*(C24:C31*AM596+D24:D31*AO596*$B$8*AQ596)/(1+AL596/100)^B24:B31)+C32*AM596*AP596/(1+AL596/100)^$B$6</f>
        <v/>
      </c>
      <c r="AS596">
        <f>SUMPRODUCT((K24:K26&lt;=$B$6)*(L24:L26*AN596+M24:M26*AO596*$B$8*AQ596)/(1+AL596/100)^K24:K26)+L27*AN596*AP596/(1+AL596/100)^$B$6</f>
        <v/>
      </c>
      <c r="AT596">
        <f>AS596-AR596</f>
        <v/>
      </c>
      <c r="AU596">
        <f>RAND()</f>
        <v/>
      </c>
      <c r="AV596">
        <f>RAND()</f>
        <v/>
      </c>
      <c r="AW596">
        <f>RAND()</f>
        <v/>
      </c>
      <c r="AX596">
        <f>RAND()</f>
        <v/>
      </c>
      <c r="AY596">
        <f>RAND()</f>
        <v/>
      </c>
      <c r="AZ596">
        <f>RAND()</f>
        <v/>
      </c>
    </row>
    <row r="597">
      <c r="AK597" t="n">
        <v>584</v>
      </c>
      <c r="AL597">
        <f>IFERROR(IF(AU597&lt;($AM$6-$AL$6)/($AN$6-$AL$6),$AL$6+SQRT(AU597*($AN$6-$AL$6)*($AM$6-$AL$6)),$AN$6-SQRT((1-AU597)*($AN$6-$AL$6)*($AN$6-$AM$6))),$AM$6)</f>
        <v/>
      </c>
      <c r="AM597">
        <f>IFERROR(IF(AV597&lt;($AM$7-$AL$7)/($AN$7-$AL$7),$AL$7+SQRT(AV597*($AN$7-$AL$7)*($AM$7-$AL$7)),$AN$7-SQRT((1-AV597)*($AN$7-$AL$7)*($AN$7-$AM$7))),$AM$7)</f>
        <v/>
      </c>
      <c r="AN597">
        <f>IFERROR(IF(AW597&lt;($AM$8-$AL$8)/($AN$8-$AL$8),$AL$8+SQRT(AW597*($AN$8-$AL$8)*($AM$8-$AL$8)),$AN$8-SQRT((1-AW597)*($AN$8-$AL$8)*($AN$8-$AM$8))),$AM$8)</f>
        <v/>
      </c>
      <c r="AO597">
        <f>IFERROR(IF(AX597&lt;($AM$9-$AL$9)/($AN$9-$AL$9),$AL$9+SQRT(AX597*($AN$9-$AL$9)*($AM$9-$AL$9)),$AN$9-SQRT((1-AX597)*($AN$9-$AL$9)*($AN$9-$AM$9))),$AM$9)</f>
        <v/>
      </c>
      <c r="AP597">
        <f>IFERROR(IF(AY597&lt;($AM$10-$AL$10)/($AN$10-$AL$10),$AL$10+SQRT(AY597*($AN$10-$AL$10)*($AM$10-$AL$10)),$AN$10-SQRT((1-AY597)*($AN$10-$AL$10)*($AN$10-$AM$10))),$AM$10)</f>
        <v/>
      </c>
      <c r="AQ597">
        <f>IFERROR(IF(AZ597&lt;($AM$11-$AL$11)/($AN$11-$AL$11),$AL$11+SQRT(AZ597*($AN$11-$AL$11)*($AM$11-$AL$11)),$AN$11-SQRT((1-AZ597)*($AN$11-$AL$11)*($AN$11-$AM$11))),$AM$11)</f>
        <v/>
      </c>
      <c r="AR597">
        <f>SUMPRODUCT((B24:B31&lt;=$B$6)*(C24:C31*AM597+D24:D31*AO597*$B$8*AQ597)/(1+AL597/100)^B24:B31)+C32*AM597*AP597/(1+AL597/100)^$B$6</f>
        <v/>
      </c>
      <c r="AS597">
        <f>SUMPRODUCT((K24:K26&lt;=$B$6)*(L24:L26*AN597+M24:M26*AO597*$B$8*AQ597)/(1+AL597/100)^K24:K26)+L27*AN597*AP597/(1+AL597/100)^$B$6</f>
        <v/>
      </c>
      <c r="AT597">
        <f>AS597-AR597</f>
        <v/>
      </c>
      <c r="AU597">
        <f>RAND()</f>
        <v/>
      </c>
      <c r="AV597">
        <f>RAND()</f>
        <v/>
      </c>
      <c r="AW597">
        <f>RAND()</f>
        <v/>
      </c>
      <c r="AX597">
        <f>RAND()</f>
        <v/>
      </c>
      <c r="AY597">
        <f>RAND()</f>
        <v/>
      </c>
      <c r="AZ597">
        <f>RAND()</f>
        <v/>
      </c>
    </row>
    <row r="598">
      <c r="AK598" t="n">
        <v>585</v>
      </c>
      <c r="AL598">
        <f>IFERROR(IF(AU598&lt;($AM$6-$AL$6)/($AN$6-$AL$6),$AL$6+SQRT(AU598*($AN$6-$AL$6)*($AM$6-$AL$6)),$AN$6-SQRT((1-AU598)*($AN$6-$AL$6)*($AN$6-$AM$6))),$AM$6)</f>
        <v/>
      </c>
      <c r="AM598">
        <f>IFERROR(IF(AV598&lt;($AM$7-$AL$7)/($AN$7-$AL$7),$AL$7+SQRT(AV598*($AN$7-$AL$7)*($AM$7-$AL$7)),$AN$7-SQRT((1-AV598)*($AN$7-$AL$7)*($AN$7-$AM$7))),$AM$7)</f>
        <v/>
      </c>
      <c r="AN598">
        <f>IFERROR(IF(AW598&lt;($AM$8-$AL$8)/($AN$8-$AL$8),$AL$8+SQRT(AW598*($AN$8-$AL$8)*($AM$8-$AL$8)),$AN$8-SQRT((1-AW598)*($AN$8-$AL$8)*($AN$8-$AM$8))),$AM$8)</f>
        <v/>
      </c>
      <c r="AO598">
        <f>IFERROR(IF(AX598&lt;($AM$9-$AL$9)/($AN$9-$AL$9),$AL$9+SQRT(AX598*($AN$9-$AL$9)*($AM$9-$AL$9)),$AN$9-SQRT((1-AX598)*($AN$9-$AL$9)*($AN$9-$AM$9))),$AM$9)</f>
        <v/>
      </c>
      <c r="AP598">
        <f>IFERROR(IF(AY598&lt;($AM$10-$AL$10)/($AN$10-$AL$10),$AL$10+SQRT(AY598*($AN$10-$AL$10)*($AM$10-$AL$10)),$AN$10-SQRT((1-AY598)*($AN$10-$AL$10)*($AN$10-$AM$10))),$AM$10)</f>
        <v/>
      </c>
      <c r="AQ598">
        <f>IFERROR(IF(AZ598&lt;($AM$11-$AL$11)/($AN$11-$AL$11),$AL$11+SQRT(AZ598*($AN$11-$AL$11)*($AM$11-$AL$11)),$AN$11-SQRT((1-AZ598)*($AN$11-$AL$11)*($AN$11-$AM$11))),$AM$11)</f>
        <v/>
      </c>
      <c r="AR598">
        <f>SUMPRODUCT((B24:B31&lt;=$B$6)*(C24:C31*AM598+D24:D31*AO598*$B$8*AQ598)/(1+AL598/100)^B24:B31)+C32*AM598*AP598/(1+AL598/100)^$B$6</f>
        <v/>
      </c>
      <c r="AS598">
        <f>SUMPRODUCT((K24:K26&lt;=$B$6)*(L24:L26*AN598+M24:M26*AO598*$B$8*AQ598)/(1+AL598/100)^K24:K26)+L27*AN598*AP598/(1+AL598/100)^$B$6</f>
        <v/>
      </c>
      <c r="AT598">
        <f>AS598-AR598</f>
        <v/>
      </c>
      <c r="AU598">
        <f>RAND()</f>
        <v/>
      </c>
      <c r="AV598">
        <f>RAND()</f>
        <v/>
      </c>
      <c r="AW598">
        <f>RAND()</f>
        <v/>
      </c>
      <c r="AX598">
        <f>RAND()</f>
        <v/>
      </c>
      <c r="AY598">
        <f>RAND()</f>
        <v/>
      </c>
      <c r="AZ598">
        <f>RAND()</f>
        <v/>
      </c>
    </row>
    <row r="599">
      <c r="AK599" t="n">
        <v>586</v>
      </c>
      <c r="AL599">
        <f>IFERROR(IF(AU599&lt;($AM$6-$AL$6)/($AN$6-$AL$6),$AL$6+SQRT(AU599*($AN$6-$AL$6)*($AM$6-$AL$6)),$AN$6-SQRT((1-AU599)*($AN$6-$AL$6)*($AN$6-$AM$6))),$AM$6)</f>
        <v/>
      </c>
      <c r="AM599">
        <f>IFERROR(IF(AV599&lt;($AM$7-$AL$7)/($AN$7-$AL$7),$AL$7+SQRT(AV599*($AN$7-$AL$7)*($AM$7-$AL$7)),$AN$7-SQRT((1-AV599)*($AN$7-$AL$7)*($AN$7-$AM$7))),$AM$7)</f>
        <v/>
      </c>
      <c r="AN599">
        <f>IFERROR(IF(AW599&lt;($AM$8-$AL$8)/($AN$8-$AL$8),$AL$8+SQRT(AW599*($AN$8-$AL$8)*($AM$8-$AL$8)),$AN$8-SQRT((1-AW599)*($AN$8-$AL$8)*($AN$8-$AM$8))),$AM$8)</f>
        <v/>
      </c>
      <c r="AO599">
        <f>IFERROR(IF(AX599&lt;($AM$9-$AL$9)/($AN$9-$AL$9),$AL$9+SQRT(AX599*($AN$9-$AL$9)*($AM$9-$AL$9)),$AN$9-SQRT((1-AX599)*($AN$9-$AL$9)*($AN$9-$AM$9))),$AM$9)</f>
        <v/>
      </c>
      <c r="AP599">
        <f>IFERROR(IF(AY599&lt;($AM$10-$AL$10)/($AN$10-$AL$10),$AL$10+SQRT(AY599*($AN$10-$AL$10)*($AM$10-$AL$10)),$AN$10-SQRT((1-AY599)*($AN$10-$AL$10)*($AN$10-$AM$10))),$AM$10)</f>
        <v/>
      </c>
      <c r="AQ599">
        <f>IFERROR(IF(AZ599&lt;($AM$11-$AL$11)/($AN$11-$AL$11),$AL$11+SQRT(AZ599*($AN$11-$AL$11)*($AM$11-$AL$11)),$AN$11-SQRT((1-AZ599)*($AN$11-$AL$11)*($AN$11-$AM$11))),$AM$11)</f>
        <v/>
      </c>
      <c r="AR599">
        <f>SUMPRODUCT((B24:B31&lt;=$B$6)*(C24:C31*AM599+D24:D31*AO599*$B$8*AQ599)/(1+AL599/100)^B24:B31)+C32*AM599*AP599/(1+AL599/100)^$B$6</f>
        <v/>
      </c>
      <c r="AS599">
        <f>SUMPRODUCT((K24:K26&lt;=$B$6)*(L24:L26*AN599+M24:M26*AO599*$B$8*AQ599)/(1+AL599/100)^K24:K26)+L27*AN599*AP599/(1+AL599/100)^$B$6</f>
        <v/>
      </c>
      <c r="AT599">
        <f>AS599-AR599</f>
        <v/>
      </c>
      <c r="AU599">
        <f>RAND()</f>
        <v/>
      </c>
      <c r="AV599">
        <f>RAND()</f>
        <v/>
      </c>
      <c r="AW599">
        <f>RAND()</f>
        <v/>
      </c>
      <c r="AX599">
        <f>RAND()</f>
        <v/>
      </c>
      <c r="AY599">
        <f>RAND()</f>
        <v/>
      </c>
      <c r="AZ599">
        <f>RAND()</f>
        <v/>
      </c>
    </row>
    <row r="600">
      <c r="AK600" t="n">
        <v>587</v>
      </c>
      <c r="AL600">
        <f>IFERROR(IF(AU600&lt;($AM$6-$AL$6)/($AN$6-$AL$6),$AL$6+SQRT(AU600*($AN$6-$AL$6)*($AM$6-$AL$6)),$AN$6-SQRT((1-AU600)*($AN$6-$AL$6)*($AN$6-$AM$6))),$AM$6)</f>
        <v/>
      </c>
      <c r="AM600">
        <f>IFERROR(IF(AV600&lt;($AM$7-$AL$7)/($AN$7-$AL$7),$AL$7+SQRT(AV600*($AN$7-$AL$7)*($AM$7-$AL$7)),$AN$7-SQRT((1-AV600)*($AN$7-$AL$7)*($AN$7-$AM$7))),$AM$7)</f>
        <v/>
      </c>
      <c r="AN600">
        <f>IFERROR(IF(AW600&lt;($AM$8-$AL$8)/($AN$8-$AL$8),$AL$8+SQRT(AW600*($AN$8-$AL$8)*($AM$8-$AL$8)),$AN$8-SQRT((1-AW600)*($AN$8-$AL$8)*($AN$8-$AM$8))),$AM$8)</f>
        <v/>
      </c>
      <c r="AO600">
        <f>IFERROR(IF(AX600&lt;($AM$9-$AL$9)/($AN$9-$AL$9),$AL$9+SQRT(AX600*($AN$9-$AL$9)*($AM$9-$AL$9)),$AN$9-SQRT((1-AX600)*($AN$9-$AL$9)*($AN$9-$AM$9))),$AM$9)</f>
        <v/>
      </c>
      <c r="AP600">
        <f>IFERROR(IF(AY600&lt;($AM$10-$AL$10)/($AN$10-$AL$10),$AL$10+SQRT(AY600*($AN$10-$AL$10)*($AM$10-$AL$10)),$AN$10-SQRT((1-AY600)*($AN$10-$AL$10)*($AN$10-$AM$10))),$AM$10)</f>
        <v/>
      </c>
      <c r="AQ600">
        <f>IFERROR(IF(AZ600&lt;($AM$11-$AL$11)/($AN$11-$AL$11),$AL$11+SQRT(AZ600*($AN$11-$AL$11)*($AM$11-$AL$11)),$AN$11-SQRT((1-AZ600)*($AN$11-$AL$11)*($AN$11-$AM$11))),$AM$11)</f>
        <v/>
      </c>
      <c r="AR600">
        <f>SUMPRODUCT((B24:B31&lt;=$B$6)*(C24:C31*AM600+D24:D31*AO600*$B$8*AQ600)/(1+AL600/100)^B24:B31)+C32*AM600*AP600/(1+AL600/100)^$B$6</f>
        <v/>
      </c>
      <c r="AS600">
        <f>SUMPRODUCT((K24:K26&lt;=$B$6)*(L24:L26*AN600+M24:M26*AO600*$B$8*AQ600)/(1+AL600/100)^K24:K26)+L27*AN600*AP600/(1+AL600/100)^$B$6</f>
        <v/>
      </c>
      <c r="AT600">
        <f>AS600-AR600</f>
        <v/>
      </c>
      <c r="AU600">
        <f>RAND()</f>
        <v/>
      </c>
      <c r="AV600">
        <f>RAND()</f>
        <v/>
      </c>
      <c r="AW600">
        <f>RAND()</f>
        <v/>
      </c>
      <c r="AX600">
        <f>RAND()</f>
        <v/>
      </c>
      <c r="AY600">
        <f>RAND()</f>
        <v/>
      </c>
      <c r="AZ600">
        <f>RAND()</f>
        <v/>
      </c>
    </row>
    <row r="601">
      <c r="AK601" t="n">
        <v>588</v>
      </c>
      <c r="AL601">
        <f>IFERROR(IF(AU601&lt;($AM$6-$AL$6)/($AN$6-$AL$6),$AL$6+SQRT(AU601*($AN$6-$AL$6)*($AM$6-$AL$6)),$AN$6-SQRT((1-AU601)*($AN$6-$AL$6)*($AN$6-$AM$6))),$AM$6)</f>
        <v/>
      </c>
      <c r="AM601">
        <f>IFERROR(IF(AV601&lt;($AM$7-$AL$7)/($AN$7-$AL$7),$AL$7+SQRT(AV601*($AN$7-$AL$7)*($AM$7-$AL$7)),$AN$7-SQRT((1-AV601)*($AN$7-$AL$7)*($AN$7-$AM$7))),$AM$7)</f>
        <v/>
      </c>
      <c r="AN601">
        <f>IFERROR(IF(AW601&lt;($AM$8-$AL$8)/($AN$8-$AL$8),$AL$8+SQRT(AW601*($AN$8-$AL$8)*($AM$8-$AL$8)),$AN$8-SQRT((1-AW601)*($AN$8-$AL$8)*($AN$8-$AM$8))),$AM$8)</f>
        <v/>
      </c>
      <c r="AO601">
        <f>IFERROR(IF(AX601&lt;($AM$9-$AL$9)/($AN$9-$AL$9),$AL$9+SQRT(AX601*($AN$9-$AL$9)*($AM$9-$AL$9)),$AN$9-SQRT((1-AX601)*($AN$9-$AL$9)*($AN$9-$AM$9))),$AM$9)</f>
        <v/>
      </c>
      <c r="AP601">
        <f>IFERROR(IF(AY601&lt;($AM$10-$AL$10)/($AN$10-$AL$10),$AL$10+SQRT(AY601*($AN$10-$AL$10)*($AM$10-$AL$10)),$AN$10-SQRT((1-AY601)*($AN$10-$AL$10)*($AN$10-$AM$10))),$AM$10)</f>
        <v/>
      </c>
      <c r="AQ601">
        <f>IFERROR(IF(AZ601&lt;($AM$11-$AL$11)/($AN$11-$AL$11),$AL$11+SQRT(AZ601*($AN$11-$AL$11)*($AM$11-$AL$11)),$AN$11-SQRT((1-AZ601)*($AN$11-$AL$11)*($AN$11-$AM$11))),$AM$11)</f>
        <v/>
      </c>
      <c r="AR601">
        <f>SUMPRODUCT((B24:B31&lt;=$B$6)*(C24:C31*AM601+D24:D31*AO601*$B$8*AQ601)/(1+AL601/100)^B24:B31)+C32*AM601*AP601/(1+AL601/100)^$B$6</f>
        <v/>
      </c>
      <c r="AS601">
        <f>SUMPRODUCT((K24:K26&lt;=$B$6)*(L24:L26*AN601+M24:M26*AO601*$B$8*AQ601)/(1+AL601/100)^K24:K26)+L27*AN601*AP601/(1+AL601/100)^$B$6</f>
        <v/>
      </c>
      <c r="AT601">
        <f>AS601-AR601</f>
        <v/>
      </c>
      <c r="AU601">
        <f>RAND()</f>
        <v/>
      </c>
      <c r="AV601">
        <f>RAND()</f>
        <v/>
      </c>
      <c r="AW601">
        <f>RAND()</f>
        <v/>
      </c>
      <c r="AX601">
        <f>RAND()</f>
        <v/>
      </c>
      <c r="AY601">
        <f>RAND()</f>
        <v/>
      </c>
      <c r="AZ601">
        <f>RAND()</f>
        <v/>
      </c>
    </row>
    <row r="602">
      <c r="AK602" t="n">
        <v>589</v>
      </c>
      <c r="AL602">
        <f>IFERROR(IF(AU602&lt;($AM$6-$AL$6)/($AN$6-$AL$6),$AL$6+SQRT(AU602*($AN$6-$AL$6)*($AM$6-$AL$6)),$AN$6-SQRT((1-AU602)*($AN$6-$AL$6)*($AN$6-$AM$6))),$AM$6)</f>
        <v/>
      </c>
      <c r="AM602">
        <f>IFERROR(IF(AV602&lt;($AM$7-$AL$7)/($AN$7-$AL$7),$AL$7+SQRT(AV602*($AN$7-$AL$7)*($AM$7-$AL$7)),$AN$7-SQRT((1-AV602)*($AN$7-$AL$7)*($AN$7-$AM$7))),$AM$7)</f>
        <v/>
      </c>
      <c r="AN602">
        <f>IFERROR(IF(AW602&lt;($AM$8-$AL$8)/($AN$8-$AL$8),$AL$8+SQRT(AW602*($AN$8-$AL$8)*($AM$8-$AL$8)),$AN$8-SQRT((1-AW602)*($AN$8-$AL$8)*($AN$8-$AM$8))),$AM$8)</f>
        <v/>
      </c>
      <c r="AO602">
        <f>IFERROR(IF(AX602&lt;($AM$9-$AL$9)/($AN$9-$AL$9),$AL$9+SQRT(AX602*($AN$9-$AL$9)*($AM$9-$AL$9)),$AN$9-SQRT((1-AX602)*($AN$9-$AL$9)*($AN$9-$AM$9))),$AM$9)</f>
        <v/>
      </c>
      <c r="AP602">
        <f>IFERROR(IF(AY602&lt;($AM$10-$AL$10)/($AN$10-$AL$10),$AL$10+SQRT(AY602*($AN$10-$AL$10)*($AM$10-$AL$10)),$AN$10-SQRT((1-AY602)*($AN$10-$AL$10)*($AN$10-$AM$10))),$AM$10)</f>
        <v/>
      </c>
      <c r="AQ602">
        <f>IFERROR(IF(AZ602&lt;($AM$11-$AL$11)/($AN$11-$AL$11),$AL$11+SQRT(AZ602*($AN$11-$AL$11)*($AM$11-$AL$11)),$AN$11-SQRT((1-AZ602)*($AN$11-$AL$11)*($AN$11-$AM$11))),$AM$11)</f>
        <v/>
      </c>
      <c r="AR602">
        <f>SUMPRODUCT((B24:B31&lt;=$B$6)*(C24:C31*AM602+D24:D31*AO602*$B$8*AQ602)/(1+AL602/100)^B24:B31)+C32*AM602*AP602/(1+AL602/100)^$B$6</f>
        <v/>
      </c>
      <c r="AS602">
        <f>SUMPRODUCT((K24:K26&lt;=$B$6)*(L24:L26*AN602+M24:M26*AO602*$B$8*AQ602)/(1+AL602/100)^K24:K26)+L27*AN602*AP602/(1+AL602/100)^$B$6</f>
        <v/>
      </c>
      <c r="AT602">
        <f>AS602-AR602</f>
        <v/>
      </c>
      <c r="AU602">
        <f>RAND()</f>
        <v/>
      </c>
      <c r="AV602">
        <f>RAND()</f>
        <v/>
      </c>
      <c r="AW602">
        <f>RAND()</f>
        <v/>
      </c>
      <c r="AX602">
        <f>RAND()</f>
        <v/>
      </c>
      <c r="AY602">
        <f>RAND()</f>
        <v/>
      </c>
      <c r="AZ602">
        <f>RAND()</f>
        <v/>
      </c>
    </row>
    <row r="603">
      <c r="AK603" t="n">
        <v>590</v>
      </c>
      <c r="AL603">
        <f>IFERROR(IF(AU603&lt;($AM$6-$AL$6)/($AN$6-$AL$6),$AL$6+SQRT(AU603*($AN$6-$AL$6)*($AM$6-$AL$6)),$AN$6-SQRT((1-AU603)*($AN$6-$AL$6)*($AN$6-$AM$6))),$AM$6)</f>
        <v/>
      </c>
      <c r="AM603">
        <f>IFERROR(IF(AV603&lt;($AM$7-$AL$7)/($AN$7-$AL$7),$AL$7+SQRT(AV603*($AN$7-$AL$7)*($AM$7-$AL$7)),$AN$7-SQRT((1-AV603)*($AN$7-$AL$7)*($AN$7-$AM$7))),$AM$7)</f>
        <v/>
      </c>
      <c r="AN603">
        <f>IFERROR(IF(AW603&lt;($AM$8-$AL$8)/($AN$8-$AL$8),$AL$8+SQRT(AW603*($AN$8-$AL$8)*($AM$8-$AL$8)),$AN$8-SQRT((1-AW603)*($AN$8-$AL$8)*($AN$8-$AM$8))),$AM$8)</f>
        <v/>
      </c>
      <c r="AO603">
        <f>IFERROR(IF(AX603&lt;($AM$9-$AL$9)/($AN$9-$AL$9),$AL$9+SQRT(AX603*($AN$9-$AL$9)*($AM$9-$AL$9)),$AN$9-SQRT((1-AX603)*($AN$9-$AL$9)*($AN$9-$AM$9))),$AM$9)</f>
        <v/>
      </c>
      <c r="AP603">
        <f>IFERROR(IF(AY603&lt;($AM$10-$AL$10)/($AN$10-$AL$10),$AL$10+SQRT(AY603*($AN$10-$AL$10)*($AM$10-$AL$10)),$AN$10-SQRT((1-AY603)*($AN$10-$AL$10)*($AN$10-$AM$10))),$AM$10)</f>
        <v/>
      </c>
      <c r="AQ603">
        <f>IFERROR(IF(AZ603&lt;($AM$11-$AL$11)/($AN$11-$AL$11),$AL$11+SQRT(AZ603*($AN$11-$AL$11)*($AM$11-$AL$11)),$AN$11-SQRT((1-AZ603)*($AN$11-$AL$11)*($AN$11-$AM$11))),$AM$11)</f>
        <v/>
      </c>
      <c r="AR603">
        <f>SUMPRODUCT((B24:B31&lt;=$B$6)*(C24:C31*AM603+D24:D31*AO603*$B$8*AQ603)/(1+AL603/100)^B24:B31)+C32*AM603*AP603/(1+AL603/100)^$B$6</f>
        <v/>
      </c>
      <c r="AS603">
        <f>SUMPRODUCT((K24:K26&lt;=$B$6)*(L24:L26*AN603+M24:M26*AO603*$B$8*AQ603)/(1+AL603/100)^K24:K26)+L27*AN603*AP603/(1+AL603/100)^$B$6</f>
        <v/>
      </c>
      <c r="AT603">
        <f>AS603-AR603</f>
        <v/>
      </c>
      <c r="AU603">
        <f>RAND()</f>
        <v/>
      </c>
      <c r="AV603">
        <f>RAND()</f>
        <v/>
      </c>
      <c r="AW603">
        <f>RAND()</f>
        <v/>
      </c>
      <c r="AX603">
        <f>RAND()</f>
        <v/>
      </c>
      <c r="AY603">
        <f>RAND()</f>
        <v/>
      </c>
      <c r="AZ603">
        <f>RAND()</f>
        <v/>
      </c>
    </row>
    <row r="604">
      <c r="AK604" t="n">
        <v>591</v>
      </c>
      <c r="AL604">
        <f>IFERROR(IF(AU604&lt;($AM$6-$AL$6)/($AN$6-$AL$6),$AL$6+SQRT(AU604*($AN$6-$AL$6)*($AM$6-$AL$6)),$AN$6-SQRT((1-AU604)*($AN$6-$AL$6)*($AN$6-$AM$6))),$AM$6)</f>
        <v/>
      </c>
      <c r="AM604">
        <f>IFERROR(IF(AV604&lt;($AM$7-$AL$7)/($AN$7-$AL$7),$AL$7+SQRT(AV604*($AN$7-$AL$7)*($AM$7-$AL$7)),$AN$7-SQRT((1-AV604)*($AN$7-$AL$7)*($AN$7-$AM$7))),$AM$7)</f>
        <v/>
      </c>
      <c r="AN604">
        <f>IFERROR(IF(AW604&lt;($AM$8-$AL$8)/($AN$8-$AL$8),$AL$8+SQRT(AW604*($AN$8-$AL$8)*($AM$8-$AL$8)),$AN$8-SQRT((1-AW604)*($AN$8-$AL$8)*($AN$8-$AM$8))),$AM$8)</f>
        <v/>
      </c>
      <c r="AO604">
        <f>IFERROR(IF(AX604&lt;($AM$9-$AL$9)/($AN$9-$AL$9),$AL$9+SQRT(AX604*($AN$9-$AL$9)*($AM$9-$AL$9)),$AN$9-SQRT((1-AX604)*($AN$9-$AL$9)*($AN$9-$AM$9))),$AM$9)</f>
        <v/>
      </c>
      <c r="AP604">
        <f>IFERROR(IF(AY604&lt;($AM$10-$AL$10)/($AN$10-$AL$10),$AL$10+SQRT(AY604*($AN$10-$AL$10)*($AM$10-$AL$10)),$AN$10-SQRT((1-AY604)*($AN$10-$AL$10)*($AN$10-$AM$10))),$AM$10)</f>
        <v/>
      </c>
      <c r="AQ604">
        <f>IFERROR(IF(AZ604&lt;($AM$11-$AL$11)/($AN$11-$AL$11),$AL$11+SQRT(AZ604*($AN$11-$AL$11)*($AM$11-$AL$11)),$AN$11-SQRT((1-AZ604)*($AN$11-$AL$11)*($AN$11-$AM$11))),$AM$11)</f>
        <v/>
      </c>
      <c r="AR604">
        <f>SUMPRODUCT((B24:B31&lt;=$B$6)*(C24:C31*AM604+D24:D31*AO604*$B$8*AQ604)/(1+AL604/100)^B24:B31)+C32*AM604*AP604/(1+AL604/100)^$B$6</f>
        <v/>
      </c>
      <c r="AS604">
        <f>SUMPRODUCT((K24:K26&lt;=$B$6)*(L24:L26*AN604+M24:M26*AO604*$B$8*AQ604)/(1+AL604/100)^K24:K26)+L27*AN604*AP604/(1+AL604/100)^$B$6</f>
        <v/>
      </c>
      <c r="AT604">
        <f>AS604-AR604</f>
        <v/>
      </c>
      <c r="AU604">
        <f>RAND()</f>
        <v/>
      </c>
      <c r="AV604">
        <f>RAND()</f>
        <v/>
      </c>
      <c r="AW604">
        <f>RAND()</f>
        <v/>
      </c>
      <c r="AX604">
        <f>RAND()</f>
        <v/>
      </c>
      <c r="AY604">
        <f>RAND()</f>
        <v/>
      </c>
      <c r="AZ604">
        <f>RAND()</f>
        <v/>
      </c>
    </row>
    <row r="605">
      <c r="AK605" t="n">
        <v>592</v>
      </c>
      <c r="AL605">
        <f>IFERROR(IF(AU605&lt;($AM$6-$AL$6)/($AN$6-$AL$6),$AL$6+SQRT(AU605*($AN$6-$AL$6)*($AM$6-$AL$6)),$AN$6-SQRT((1-AU605)*($AN$6-$AL$6)*($AN$6-$AM$6))),$AM$6)</f>
        <v/>
      </c>
      <c r="AM605">
        <f>IFERROR(IF(AV605&lt;($AM$7-$AL$7)/($AN$7-$AL$7),$AL$7+SQRT(AV605*($AN$7-$AL$7)*($AM$7-$AL$7)),$AN$7-SQRT((1-AV605)*($AN$7-$AL$7)*($AN$7-$AM$7))),$AM$7)</f>
        <v/>
      </c>
      <c r="AN605">
        <f>IFERROR(IF(AW605&lt;($AM$8-$AL$8)/($AN$8-$AL$8),$AL$8+SQRT(AW605*($AN$8-$AL$8)*($AM$8-$AL$8)),$AN$8-SQRT((1-AW605)*($AN$8-$AL$8)*($AN$8-$AM$8))),$AM$8)</f>
        <v/>
      </c>
      <c r="AO605">
        <f>IFERROR(IF(AX605&lt;($AM$9-$AL$9)/($AN$9-$AL$9),$AL$9+SQRT(AX605*($AN$9-$AL$9)*($AM$9-$AL$9)),$AN$9-SQRT((1-AX605)*($AN$9-$AL$9)*($AN$9-$AM$9))),$AM$9)</f>
        <v/>
      </c>
      <c r="AP605">
        <f>IFERROR(IF(AY605&lt;($AM$10-$AL$10)/($AN$10-$AL$10),$AL$10+SQRT(AY605*($AN$10-$AL$10)*($AM$10-$AL$10)),$AN$10-SQRT((1-AY605)*($AN$10-$AL$10)*($AN$10-$AM$10))),$AM$10)</f>
        <v/>
      </c>
      <c r="AQ605">
        <f>IFERROR(IF(AZ605&lt;($AM$11-$AL$11)/($AN$11-$AL$11),$AL$11+SQRT(AZ605*($AN$11-$AL$11)*($AM$11-$AL$11)),$AN$11-SQRT((1-AZ605)*($AN$11-$AL$11)*($AN$11-$AM$11))),$AM$11)</f>
        <v/>
      </c>
      <c r="AR605">
        <f>SUMPRODUCT((B24:B31&lt;=$B$6)*(C24:C31*AM605+D24:D31*AO605*$B$8*AQ605)/(1+AL605/100)^B24:B31)+C32*AM605*AP605/(1+AL605/100)^$B$6</f>
        <v/>
      </c>
      <c r="AS605">
        <f>SUMPRODUCT((K24:K26&lt;=$B$6)*(L24:L26*AN605+M24:M26*AO605*$B$8*AQ605)/(1+AL605/100)^K24:K26)+L27*AN605*AP605/(1+AL605/100)^$B$6</f>
        <v/>
      </c>
      <c r="AT605">
        <f>AS605-AR605</f>
        <v/>
      </c>
      <c r="AU605">
        <f>RAND()</f>
        <v/>
      </c>
      <c r="AV605">
        <f>RAND()</f>
        <v/>
      </c>
      <c r="AW605">
        <f>RAND()</f>
        <v/>
      </c>
      <c r="AX605">
        <f>RAND()</f>
        <v/>
      </c>
      <c r="AY605">
        <f>RAND()</f>
        <v/>
      </c>
      <c r="AZ605">
        <f>RAND()</f>
        <v/>
      </c>
    </row>
    <row r="606">
      <c r="AK606" t="n">
        <v>593</v>
      </c>
      <c r="AL606">
        <f>IFERROR(IF(AU606&lt;($AM$6-$AL$6)/($AN$6-$AL$6),$AL$6+SQRT(AU606*($AN$6-$AL$6)*($AM$6-$AL$6)),$AN$6-SQRT((1-AU606)*($AN$6-$AL$6)*($AN$6-$AM$6))),$AM$6)</f>
        <v/>
      </c>
      <c r="AM606">
        <f>IFERROR(IF(AV606&lt;($AM$7-$AL$7)/($AN$7-$AL$7),$AL$7+SQRT(AV606*($AN$7-$AL$7)*($AM$7-$AL$7)),$AN$7-SQRT((1-AV606)*($AN$7-$AL$7)*($AN$7-$AM$7))),$AM$7)</f>
        <v/>
      </c>
      <c r="AN606">
        <f>IFERROR(IF(AW606&lt;($AM$8-$AL$8)/($AN$8-$AL$8),$AL$8+SQRT(AW606*($AN$8-$AL$8)*($AM$8-$AL$8)),$AN$8-SQRT((1-AW606)*($AN$8-$AL$8)*($AN$8-$AM$8))),$AM$8)</f>
        <v/>
      </c>
      <c r="AO606">
        <f>IFERROR(IF(AX606&lt;($AM$9-$AL$9)/($AN$9-$AL$9),$AL$9+SQRT(AX606*($AN$9-$AL$9)*($AM$9-$AL$9)),$AN$9-SQRT((1-AX606)*($AN$9-$AL$9)*($AN$9-$AM$9))),$AM$9)</f>
        <v/>
      </c>
      <c r="AP606">
        <f>IFERROR(IF(AY606&lt;($AM$10-$AL$10)/($AN$10-$AL$10),$AL$10+SQRT(AY606*($AN$10-$AL$10)*($AM$10-$AL$10)),$AN$10-SQRT((1-AY606)*($AN$10-$AL$10)*($AN$10-$AM$10))),$AM$10)</f>
        <v/>
      </c>
      <c r="AQ606">
        <f>IFERROR(IF(AZ606&lt;($AM$11-$AL$11)/($AN$11-$AL$11),$AL$11+SQRT(AZ606*($AN$11-$AL$11)*($AM$11-$AL$11)),$AN$11-SQRT((1-AZ606)*($AN$11-$AL$11)*($AN$11-$AM$11))),$AM$11)</f>
        <v/>
      </c>
      <c r="AR606">
        <f>SUMPRODUCT((B24:B31&lt;=$B$6)*(C24:C31*AM606+D24:D31*AO606*$B$8*AQ606)/(1+AL606/100)^B24:B31)+C32*AM606*AP606/(1+AL606/100)^$B$6</f>
        <v/>
      </c>
      <c r="AS606">
        <f>SUMPRODUCT((K24:K26&lt;=$B$6)*(L24:L26*AN606+M24:M26*AO606*$B$8*AQ606)/(1+AL606/100)^K24:K26)+L27*AN606*AP606/(1+AL606/100)^$B$6</f>
        <v/>
      </c>
      <c r="AT606">
        <f>AS606-AR606</f>
        <v/>
      </c>
      <c r="AU606">
        <f>RAND()</f>
        <v/>
      </c>
      <c r="AV606">
        <f>RAND()</f>
        <v/>
      </c>
      <c r="AW606">
        <f>RAND()</f>
        <v/>
      </c>
      <c r="AX606">
        <f>RAND()</f>
        <v/>
      </c>
      <c r="AY606">
        <f>RAND()</f>
        <v/>
      </c>
      <c r="AZ606">
        <f>RAND()</f>
        <v/>
      </c>
    </row>
    <row r="607">
      <c r="AK607" t="n">
        <v>594</v>
      </c>
      <c r="AL607">
        <f>IFERROR(IF(AU607&lt;($AM$6-$AL$6)/($AN$6-$AL$6),$AL$6+SQRT(AU607*($AN$6-$AL$6)*($AM$6-$AL$6)),$AN$6-SQRT((1-AU607)*($AN$6-$AL$6)*($AN$6-$AM$6))),$AM$6)</f>
        <v/>
      </c>
      <c r="AM607">
        <f>IFERROR(IF(AV607&lt;($AM$7-$AL$7)/($AN$7-$AL$7),$AL$7+SQRT(AV607*($AN$7-$AL$7)*($AM$7-$AL$7)),$AN$7-SQRT((1-AV607)*($AN$7-$AL$7)*($AN$7-$AM$7))),$AM$7)</f>
        <v/>
      </c>
      <c r="AN607">
        <f>IFERROR(IF(AW607&lt;($AM$8-$AL$8)/($AN$8-$AL$8),$AL$8+SQRT(AW607*($AN$8-$AL$8)*($AM$8-$AL$8)),$AN$8-SQRT((1-AW607)*($AN$8-$AL$8)*($AN$8-$AM$8))),$AM$8)</f>
        <v/>
      </c>
      <c r="AO607">
        <f>IFERROR(IF(AX607&lt;($AM$9-$AL$9)/($AN$9-$AL$9),$AL$9+SQRT(AX607*($AN$9-$AL$9)*($AM$9-$AL$9)),$AN$9-SQRT((1-AX607)*($AN$9-$AL$9)*($AN$9-$AM$9))),$AM$9)</f>
        <v/>
      </c>
      <c r="AP607">
        <f>IFERROR(IF(AY607&lt;($AM$10-$AL$10)/($AN$10-$AL$10),$AL$10+SQRT(AY607*($AN$10-$AL$10)*($AM$10-$AL$10)),$AN$10-SQRT((1-AY607)*($AN$10-$AL$10)*($AN$10-$AM$10))),$AM$10)</f>
        <v/>
      </c>
      <c r="AQ607">
        <f>IFERROR(IF(AZ607&lt;($AM$11-$AL$11)/($AN$11-$AL$11),$AL$11+SQRT(AZ607*($AN$11-$AL$11)*($AM$11-$AL$11)),$AN$11-SQRT((1-AZ607)*($AN$11-$AL$11)*($AN$11-$AM$11))),$AM$11)</f>
        <v/>
      </c>
      <c r="AR607">
        <f>SUMPRODUCT((B24:B31&lt;=$B$6)*(C24:C31*AM607+D24:D31*AO607*$B$8*AQ607)/(1+AL607/100)^B24:B31)+C32*AM607*AP607/(1+AL607/100)^$B$6</f>
        <v/>
      </c>
      <c r="AS607">
        <f>SUMPRODUCT((K24:K26&lt;=$B$6)*(L24:L26*AN607+M24:M26*AO607*$B$8*AQ607)/(1+AL607/100)^K24:K26)+L27*AN607*AP607/(1+AL607/100)^$B$6</f>
        <v/>
      </c>
      <c r="AT607">
        <f>AS607-AR607</f>
        <v/>
      </c>
      <c r="AU607">
        <f>RAND()</f>
        <v/>
      </c>
      <c r="AV607">
        <f>RAND()</f>
        <v/>
      </c>
      <c r="AW607">
        <f>RAND()</f>
        <v/>
      </c>
      <c r="AX607">
        <f>RAND()</f>
        <v/>
      </c>
      <c r="AY607">
        <f>RAND()</f>
        <v/>
      </c>
      <c r="AZ607">
        <f>RAND()</f>
        <v/>
      </c>
    </row>
    <row r="608">
      <c r="AK608" t="n">
        <v>595</v>
      </c>
      <c r="AL608">
        <f>IFERROR(IF(AU608&lt;($AM$6-$AL$6)/($AN$6-$AL$6),$AL$6+SQRT(AU608*($AN$6-$AL$6)*($AM$6-$AL$6)),$AN$6-SQRT((1-AU608)*($AN$6-$AL$6)*($AN$6-$AM$6))),$AM$6)</f>
        <v/>
      </c>
      <c r="AM608">
        <f>IFERROR(IF(AV608&lt;($AM$7-$AL$7)/($AN$7-$AL$7),$AL$7+SQRT(AV608*($AN$7-$AL$7)*($AM$7-$AL$7)),$AN$7-SQRT((1-AV608)*($AN$7-$AL$7)*($AN$7-$AM$7))),$AM$7)</f>
        <v/>
      </c>
      <c r="AN608">
        <f>IFERROR(IF(AW608&lt;($AM$8-$AL$8)/($AN$8-$AL$8),$AL$8+SQRT(AW608*($AN$8-$AL$8)*($AM$8-$AL$8)),$AN$8-SQRT((1-AW608)*($AN$8-$AL$8)*($AN$8-$AM$8))),$AM$8)</f>
        <v/>
      </c>
      <c r="AO608">
        <f>IFERROR(IF(AX608&lt;($AM$9-$AL$9)/($AN$9-$AL$9),$AL$9+SQRT(AX608*($AN$9-$AL$9)*($AM$9-$AL$9)),$AN$9-SQRT((1-AX608)*($AN$9-$AL$9)*($AN$9-$AM$9))),$AM$9)</f>
        <v/>
      </c>
      <c r="AP608">
        <f>IFERROR(IF(AY608&lt;($AM$10-$AL$10)/($AN$10-$AL$10),$AL$10+SQRT(AY608*($AN$10-$AL$10)*($AM$10-$AL$10)),$AN$10-SQRT((1-AY608)*($AN$10-$AL$10)*($AN$10-$AM$10))),$AM$10)</f>
        <v/>
      </c>
      <c r="AQ608">
        <f>IFERROR(IF(AZ608&lt;($AM$11-$AL$11)/($AN$11-$AL$11),$AL$11+SQRT(AZ608*($AN$11-$AL$11)*($AM$11-$AL$11)),$AN$11-SQRT((1-AZ608)*($AN$11-$AL$11)*($AN$11-$AM$11))),$AM$11)</f>
        <v/>
      </c>
      <c r="AR608">
        <f>SUMPRODUCT((B24:B31&lt;=$B$6)*(C24:C31*AM608+D24:D31*AO608*$B$8*AQ608)/(1+AL608/100)^B24:B31)+C32*AM608*AP608/(1+AL608/100)^$B$6</f>
        <v/>
      </c>
      <c r="AS608">
        <f>SUMPRODUCT((K24:K26&lt;=$B$6)*(L24:L26*AN608+M24:M26*AO608*$B$8*AQ608)/(1+AL608/100)^K24:K26)+L27*AN608*AP608/(1+AL608/100)^$B$6</f>
        <v/>
      </c>
      <c r="AT608">
        <f>AS608-AR608</f>
        <v/>
      </c>
      <c r="AU608">
        <f>RAND()</f>
        <v/>
      </c>
      <c r="AV608">
        <f>RAND()</f>
        <v/>
      </c>
      <c r="AW608">
        <f>RAND()</f>
        <v/>
      </c>
      <c r="AX608">
        <f>RAND()</f>
        <v/>
      </c>
      <c r="AY608">
        <f>RAND()</f>
        <v/>
      </c>
      <c r="AZ608">
        <f>RAND()</f>
        <v/>
      </c>
    </row>
    <row r="609">
      <c r="AK609" t="n">
        <v>596</v>
      </c>
      <c r="AL609">
        <f>IFERROR(IF(AU609&lt;($AM$6-$AL$6)/($AN$6-$AL$6),$AL$6+SQRT(AU609*($AN$6-$AL$6)*($AM$6-$AL$6)),$AN$6-SQRT((1-AU609)*($AN$6-$AL$6)*($AN$6-$AM$6))),$AM$6)</f>
        <v/>
      </c>
      <c r="AM609">
        <f>IFERROR(IF(AV609&lt;($AM$7-$AL$7)/($AN$7-$AL$7),$AL$7+SQRT(AV609*($AN$7-$AL$7)*($AM$7-$AL$7)),$AN$7-SQRT((1-AV609)*($AN$7-$AL$7)*($AN$7-$AM$7))),$AM$7)</f>
        <v/>
      </c>
      <c r="AN609">
        <f>IFERROR(IF(AW609&lt;($AM$8-$AL$8)/($AN$8-$AL$8),$AL$8+SQRT(AW609*($AN$8-$AL$8)*($AM$8-$AL$8)),$AN$8-SQRT((1-AW609)*($AN$8-$AL$8)*($AN$8-$AM$8))),$AM$8)</f>
        <v/>
      </c>
      <c r="AO609">
        <f>IFERROR(IF(AX609&lt;($AM$9-$AL$9)/($AN$9-$AL$9),$AL$9+SQRT(AX609*($AN$9-$AL$9)*($AM$9-$AL$9)),$AN$9-SQRT((1-AX609)*($AN$9-$AL$9)*($AN$9-$AM$9))),$AM$9)</f>
        <v/>
      </c>
      <c r="AP609">
        <f>IFERROR(IF(AY609&lt;($AM$10-$AL$10)/($AN$10-$AL$10),$AL$10+SQRT(AY609*($AN$10-$AL$10)*($AM$10-$AL$10)),$AN$10-SQRT((1-AY609)*($AN$10-$AL$10)*($AN$10-$AM$10))),$AM$10)</f>
        <v/>
      </c>
      <c r="AQ609">
        <f>IFERROR(IF(AZ609&lt;($AM$11-$AL$11)/($AN$11-$AL$11),$AL$11+SQRT(AZ609*($AN$11-$AL$11)*($AM$11-$AL$11)),$AN$11-SQRT((1-AZ609)*($AN$11-$AL$11)*($AN$11-$AM$11))),$AM$11)</f>
        <v/>
      </c>
      <c r="AR609">
        <f>SUMPRODUCT((B24:B31&lt;=$B$6)*(C24:C31*AM609+D24:D31*AO609*$B$8*AQ609)/(1+AL609/100)^B24:B31)+C32*AM609*AP609/(1+AL609/100)^$B$6</f>
        <v/>
      </c>
      <c r="AS609">
        <f>SUMPRODUCT((K24:K26&lt;=$B$6)*(L24:L26*AN609+M24:M26*AO609*$B$8*AQ609)/(1+AL609/100)^K24:K26)+L27*AN609*AP609/(1+AL609/100)^$B$6</f>
        <v/>
      </c>
      <c r="AT609">
        <f>AS609-AR609</f>
        <v/>
      </c>
      <c r="AU609">
        <f>RAND()</f>
        <v/>
      </c>
      <c r="AV609">
        <f>RAND()</f>
        <v/>
      </c>
      <c r="AW609">
        <f>RAND()</f>
        <v/>
      </c>
      <c r="AX609">
        <f>RAND()</f>
        <v/>
      </c>
      <c r="AY609">
        <f>RAND()</f>
        <v/>
      </c>
      <c r="AZ609">
        <f>RAND()</f>
        <v/>
      </c>
    </row>
    <row r="610">
      <c r="AK610" t="n">
        <v>597</v>
      </c>
      <c r="AL610">
        <f>IFERROR(IF(AU610&lt;($AM$6-$AL$6)/($AN$6-$AL$6),$AL$6+SQRT(AU610*($AN$6-$AL$6)*($AM$6-$AL$6)),$AN$6-SQRT((1-AU610)*($AN$6-$AL$6)*($AN$6-$AM$6))),$AM$6)</f>
        <v/>
      </c>
      <c r="AM610">
        <f>IFERROR(IF(AV610&lt;($AM$7-$AL$7)/($AN$7-$AL$7),$AL$7+SQRT(AV610*($AN$7-$AL$7)*($AM$7-$AL$7)),$AN$7-SQRT((1-AV610)*($AN$7-$AL$7)*($AN$7-$AM$7))),$AM$7)</f>
        <v/>
      </c>
      <c r="AN610">
        <f>IFERROR(IF(AW610&lt;($AM$8-$AL$8)/($AN$8-$AL$8),$AL$8+SQRT(AW610*($AN$8-$AL$8)*($AM$8-$AL$8)),$AN$8-SQRT((1-AW610)*($AN$8-$AL$8)*($AN$8-$AM$8))),$AM$8)</f>
        <v/>
      </c>
      <c r="AO610">
        <f>IFERROR(IF(AX610&lt;($AM$9-$AL$9)/($AN$9-$AL$9),$AL$9+SQRT(AX610*($AN$9-$AL$9)*($AM$9-$AL$9)),$AN$9-SQRT((1-AX610)*($AN$9-$AL$9)*($AN$9-$AM$9))),$AM$9)</f>
        <v/>
      </c>
      <c r="AP610">
        <f>IFERROR(IF(AY610&lt;($AM$10-$AL$10)/($AN$10-$AL$10),$AL$10+SQRT(AY610*($AN$10-$AL$10)*($AM$10-$AL$10)),$AN$10-SQRT((1-AY610)*($AN$10-$AL$10)*($AN$10-$AM$10))),$AM$10)</f>
        <v/>
      </c>
      <c r="AQ610">
        <f>IFERROR(IF(AZ610&lt;($AM$11-$AL$11)/($AN$11-$AL$11),$AL$11+SQRT(AZ610*($AN$11-$AL$11)*($AM$11-$AL$11)),$AN$11-SQRT((1-AZ610)*($AN$11-$AL$11)*($AN$11-$AM$11))),$AM$11)</f>
        <v/>
      </c>
      <c r="AR610">
        <f>SUMPRODUCT((B24:B31&lt;=$B$6)*(C24:C31*AM610+D24:D31*AO610*$B$8*AQ610)/(1+AL610/100)^B24:B31)+C32*AM610*AP610/(1+AL610/100)^$B$6</f>
        <v/>
      </c>
      <c r="AS610">
        <f>SUMPRODUCT((K24:K26&lt;=$B$6)*(L24:L26*AN610+M24:M26*AO610*$B$8*AQ610)/(1+AL610/100)^K24:K26)+L27*AN610*AP610/(1+AL610/100)^$B$6</f>
        <v/>
      </c>
      <c r="AT610">
        <f>AS610-AR610</f>
        <v/>
      </c>
      <c r="AU610">
        <f>RAND()</f>
        <v/>
      </c>
      <c r="AV610">
        <f>RAND()</f>
        <v/>
      </c>
      <c r="AW610">
        <f>RAND()</f>
        <v/>
      </c>
      <c r="AX610">
        <f>RAND()</f>
        <v/>
      </c>
      <c r="AY610">
        <f>RAND()</f>
        <v/>
      </c>
      <c r="AZ610">
        <f>RAND()</f>
        <v/>
      </c>
    </row>
    <row r="611">
      <c r="AK611" t="n">
        <v>598</v>
      </c>
      <c r="AL611">
        <f>IFERROR(IF(AU611&lt;($AM$6-$AL$6)/($AN$6-$AL$6),$AL$6+SQRT(AU611*($AN$6-$AL$6)*($AM$6-$AL$6)),$AN$6-SQRT((1-AU611)*($AN$6-$AL$6)*($AN$6-$AM$6))),$AM$6)</f>
        <v/>
      </c>
      <c r="AM611">
        <f>IFERROR(IF(AV611&lt;($AM$7-$AL$7)/($AN$7-$AL$7),$AL$7+SQRT(AV611*($AN$7-$AL$7)*($AM$7-$AL$7)),$AN$7-SQRT((1-AV611)*($AN$7-$AL$7)*($AN$7-$AM$7))),$AM$7)</f>
        <v/>
      </c>
      <c r="AN611">
        <f>IFERROR(IF(AW611&lt;($AM$8-$AL$8)/($AN$8-$AL$8),$AL$8+SQRT(AW611*($AN$8-$AL$8)*($AM$8-$AL$8)),$AN$8-SQRT((1-AW611)*($AN$8-$AL$8)*($AN$8-$AM$8))),$AM$8)</f>
        <v/>
      </c>
      <c r="AO611">
        <f>IFERROR(IF(AX611&lt;($AM$9-$AL$9)/($AN$9-$AL$9),$AL$9+SQRT(AX611*($AN$9-$AL$9)*($AM$9-$AL$9)),$AN$9-SQRT((1-AX611)*($AN$9-$AL$9)*($AN$9-$AM$9))),$AM$9)</f>
        <v/>
      </c>
      <c r="AP611">
        <f>IFERROR(IF(AY611&lt;($AM$10-$AL$10)/($AN$10-$AL$10),$AL$10+SQRT(AY611*($AN$10-$AL$10)*($AM$10-$AL$10)),$AN$10-SQRT((1-AY611)*($AN$10-$AL$10)*($AN$10-$AM$10))),$AM$10)</f>
        <v/>
      </c>
      <c r="AQ611">
        <f>IFERROR(IF(AZ611&lt;($AM$11-$AL$11)/($AN$11-$AL$11),$AL$11+SQRT(AZ611*($AN$11-$AL$11)*($AM$11-$AL$11)),$AN$11-SQRT((1-AZ611)*($AN$11-$AL$11)*($AN$11-$AM$11))),$AM$11)</f>
        <v/>
      </c>
      <c r="AR611">
        <f>SUMPRODUCT((B24:B31&lt;=$B$6)*(C24:C31*AM611+D24:D31*AO611*$B$8*AQ611)/(1+AL611/100)^B24:B31)+C32*AM611*AP611/(1+AL611/100)^$B$6</f>
        <v/>
      </c>
      <c r="AS611">
        <f>SUMPRODUCT((K24:K26&lt;=$B$6)*(L24:L26*AN611+M24:M26*AO611*$B$8*AQ611)/(1+AL611/100)^K24:K26)+L27*AN611*AP611/(1+AL611/100)^$B$6</f>
        <v/>
      </c>
      <c r="AT611">
        <f>AS611-AR611</f>
        <v/>
      </c>
      <c r="AU611">
        <f>RAND()</f>
        <v/>
      </c>
      <c r="AV611">
        <f>RAND()</f>
        <v/>
      </c>
      <c r="AW611">
        <f>RAND()</f>
        <v/>
      </c>
      <c r="AX611">
        <f>RAND()</f>
        <v/>
      </c>
      <c r="AY611">
        <f>RAND()</f>
        <v/>
      </c>
      <c r="AZ611">
        <f>RAND()</f>
        <v/>
      </c>
    </row>
    <row r="612">
      <c r="AK612" t="n">
        <v>599</v>
      </c>
      <c r="AL612">
        <f>IFERROR(IF(AU612&lt;($AM$6-$AL$6)/($AN$6-$AL$6),$AL$6+SQRT(AU612*($AN$6-$AL$6)*($AM$6-$AL$6)),$AN$6-SQRT((1-AU612)*($AN$6-$AL$6)*($AN$6-$AM$6))),$AM$6)</f>
        <v/>
      </c>
      <c r="AM612">
        <f>IFERROR(IF(AV612&lt;($AM$7-$AL$7)/($AN$7-$AL$7),$AL$7+SQRT(AV612*($AN$7-$AL$7)*($AM$7-$AL$7)),$AN$7-SQRT((1-AV612)*($AN$7-$AL$7)*($AN$7-$AM$7))),$AM$7)</f>
        <v/>
      </c>
      <c r="AN612">
        <f>IFERROR(IF(AW612&lt;($AM$8-$AL$8)/($AN$8-$AL$8),$AL$8+SQRT(AW612*($AN$8-$AL$8)*($AM$8-$AL$8)),$AN$8-SQRT((1-AW612)*($AN$8-$AL$8)*($AN$8-$AM$8))),$AM$8)</f>
        <v/>
      </c>
      <c r="AO612">
        <f>IFERROR(IF(AX612&lt;($AM$9-$AL$9)/($AN$9-$AL$9),$AL$9+SQRT(AX612*($AN$9-$AL$9)*($AM$9-$AL$9)),$AN$9-SQRT((1-AX612)*($AN$9-$AL$9)*($AN$9-$AM$9))),$AM$9)</f>
        <v/>
      </c>
      <c r="AP612">
        <f>IFERROR(IF(AY612&lt;($AM$10-$AL$10)/($AN$10-$AL$10),$AL$10+SQRT(AY612*($AN$10-$AL$10)*($AM$10-$AL$10)),$AN$10-SQRT((1-AY612)*($AN$10-$AL$10)*($AN$10-$AM$10))),$AM$10)</f>
        <v/>
      </c>
      <c r="AQ612">
        <f>IFERROR(IF(AZ612&lt;($AM$11-$AL$11)/($AN$11-$AL$11),$AL$11+SQRT(AZ612*($AN$11-$AL$11)*($AM$11-$AL$11)),$AN$11-SQRT((1-AZ612)*($AN$11-$AL$11)*($AN$11-$AM$11))),$AM$11)</f>
        <v/>
      </c>
      <c r="AR612">
        <f>SUMPRODUCT((B24:B31&lt;=$B$6)*(C24:C31*AM612+D24:D31*AO612*$B$8*AQ612)/(1+AL612/100)^B24:B31)+C32*AM612*AP612/(1+AL612/100)^$B$6</f>
        <v/>
      </c>
      <c r="AS612">
        <f>SUMPRODUCT((K24:K26&lt;=$B$6)*(L24:L26*AN612+M24:M26*AO612*$B$8*AQ612)/(1+AL612/100)^K24:K26)+L27*AN612*AP612/(1+AL612/100)^$B$6</f>
        <v/>
      </c>
      <c r="AT612">
        <f>AS612-AR612</f>
        <v/>
      </c>
      <c r="AU612">
        <f>RAND()</f>
        <v/>
      </c>
      <c r="AV612">
        <f>RAND()</f>
        <v/>
      </c>
      <c r="AW612">
        <f>RAND()</f>
        <v/>
      </c>
      <c r="AX612">
        <f>RAND()</f>
        <v/>
      </c>
      <c r="AY612">
        <f>RAND()</f>
        <v/>
      </c>
      <c r="AZ612">
        <f>RAND()</f>
        <v/>
      </c>
    </row>
    <row r="613">
      <c r="AK613" t="n">
        <v>600</v>
      </c>
      <c r="AL613">
        <f>IFERROR(IF(AU613&lt;($AM$6-$AL$6)/($AN$6-$AL$6),$AL$6+SQRT(AU613*($AN$6-$AL$6)*($AM$6-$AL$6)),$AN$6-SQRT((1-AU613)*($AN$6-$AL$6)*($AN$6-$AM$6))),$AM$6)</f>
        <v/>
      </c>
      <c r="AM613">
        <f>IFERROR(IF(AV613&lt;($AM$7-$AL$7)/($AN$7-$AL$7),$AL$7+SQRT(AV613*($AN$7-$AL$7)*($AM$7-$AL$7)),$AN$7-SQRT((1-AV613)*($AN$7-$AL$7)*($AN$7-$AM$7))),$AM$7)</f>
        <v/>
      </c>
      <c r="AN613">
        <f>IFERROR(IF(AW613&lt;($AM$8-$AL$8)/($AN$8-$AL$8),$AL$8+SQRT(AW613*($AN$8-$AL$8)*($AM$8-$AL$8)),$AN$8-SQRT((1-AW613)*($AN$8-$AL$8)*($AN$8-$AM$8))),$AM$8)</f>
        <v/>
      </c>
      <c r="AO613">
        <f>IFERROR(IF(AX613&lt;($AM$9-$AL$9)/($AN$9-$AL$9),$AL$9+SQRT(AX613*($AN$9-$AL$9)*($AM$9-$AL$9)),$AN$9-SQRT((1-AX613)*($AN$9-$AL$9)*($AN$9-$AM$9))),$AM$9)</f>
        <v/>
      </c>
      <c r="AP613">
        <f>IFERROR(IF(AY613&lt;($AM$10-$AL$10)/($AN$10-$AL$10),$AL$10+SQRT(AY613*($AN$10-$AL$10)*($AM$10-$AL$10)),$AN$10-SQRT((1-AY613)*($AN$10-$AL$10)*($AN$10-$AM$10))),$AM$10)</f>
        <v/>
      </c>
      <c r="AQ613">
        <f>IFERROR(IF(AZ613&lt;($AM$11-$AL$11)/($AN$11-$AL$11),$AL$11+SQRT(AZ613*($AN$11-$AL$11)*($AM$11-$AL$11)),$AN$11-SQRT((1-AZ613)*($AN$11-$AL$11)*($AN$11-$AM$11))),$AM$11)</f>
        <v/>
      </c>
      <c r="AR613">
        <f>SUMPRODUCT((B24:B31&lt;=$B$6)*(C24:C31*AM613+D24:D31*AO613*$B$8*AQ613)/(1+AL613/100)^B24:B31)+C32*AM613*AP613/(1+AL613/100)^$B$6</f>
        <v/>
      </c>
      <c r="AS613">
        <f>SUMPRODUCT((K24:K26&lt;=$B$6)*(L24:L26*AN613+M24:M26*AO613*$B$8*AQ613)/(1+AL613/100)^K24:K26)+L27*AN613*AP613/(1+AL613/100)^$B$6</f>
        <v/>
      </c>
      <c r="AT613">
        <f>AS613-AR613</f>
        <v/>
      </c>
      <c r="AU613">
        <f>RAND()</f>
        <v/>
      </c>
      <c r="AV613">
        <f>RAND()</f>
        <v/>
      </c>
      <c r="AW613">
        <f>RAND()</f>
        <v/>
      </c>
      <c r="AX613">
        <f>RAND()</f>
        <v/>
      </c>
      <c r="AY613">
        <f>RAND()</f>
        <v/>
      </c>
      <c r="AZ613">
        <f>RAND()</f>
        <v/>
      </c>
    </row>
    <row r="614">
      <c r="AK614" t="n">
        <v>601</v>
      </c>
      <c r="AL614">
        <f>IFERROR(IF(AU614&lt;($AM$6-$AL$6)/($AN$6-$AL$6),$AL$6+SQRT(AU614*($AN$6-$AL$6)*($AM$6-$AL$6)),$AN$6-SQRT((1-AU614)*($AN$6-$AL$6)*($AN$6-$AM$6))),$AM$6)</f>
        <v/>
      </c>
      <c r="AM614">
        <f>IFERROR(IF(AV614&lt;($AM$7-$AL$7)/($AN$7-$AL$7),$AL$7+SQRT(AV614*($AN$7-$AL$7)*($AM$7-$AL$7)),$AN$7-SQRT((1-AV614)*($AN$7-$AL$7)*($AN$7-$AM$7))),$AM$7)</f>
        <v/>
      </c>
      <c r="AN614">
        <f>IFERROR(IF(AW614&lt;($AM$8-$AL$8)/($AN$8-$AL$8),$AL$8+SQRT(AW614*($AN$8-$AL$8)*($AM$8-$AL$8)),$AN$8-SQRT((1-AW614)*($AN$8-$AL$8)*($AN$8-$AM$8))),$AM$8)</f>
        <v/>
      </c>
      <c r="AO614">
        <f>IFERROR(IF(AX614&lt;($AM$9-$AL$9)/($AN$9-$AL$9),$AL$9+SQRT(AX614*($AN$9-$AL$9)*($AM$9-$AL$9)),$AN$9-SQRT((1-AX614)*($AN$9-$AL$9)*($AN$9-$AM$9))),$AM$9)</f>
        <v/>
      </c>
      <c r="AP614">
        <f>IFERROR(IF(AY614&lt;($AM$10-$AL$10)/($AN$10-$AL$10),$AL$10+SQRT(AY614*($AN$10-$AL$10)*($AM$10-$AL$10)),$AN$10-SQRT((1-AY614)*($AN$10-$AL$10)*($AN$10-$AM$10))),$AM$10)</f>
        <v/>
      </c>
      <c r="AQ614">
        <f>IFERROR(IF(AZ614&lt;($AM$11-$AL$11)/($AN$11-$AL$11),$AL$11+SQRT(AZ614*($AN$11-$AL$11)*($AM$11-$AL$11)),$AN$11-SQRT((1-AZ614)*($AN$11-$AL$11)*($AN$11-$AM$11))),$AM$11)</f>
        <v/>
      </c>
      <c r="AR614">
        <f>SUMPRODUCT((B24:B31&lt;=$B$6)*(C24:C31*AM614+D24:D31*AO614*$B$8*AQ614)/(1+AL614/100)^B24:B31)+C32*AM614*AP614/(1+AL614/100)^$B$6</f>
        <v/>
      </c>
      <c r="AS614">
        <f>SUMPRODUCT((K24:K26&lt;=$B$6)*(L24:L26*AN614+M24:M26*AO614*$B$8*AQ614)/(1+AL614/100)^K24:K26)+L27*AN614*AP614/(1+AL614/100)^$B$6</f>
        <v/>
      </c>
      <c r="AT614">
        <f>AS614-AR614</f>
        <v/>
      </c>
      <c r="AU614">
        <f>RAND()</f>
        <v/>
      </c>
      <c r="AV614">
        <f>RAND()</f>
        <v/>
      </c>
      <c r="AW614">
        <f>RAND()</f>
        <v/>
      </c>
      <c r="AX614">
        <f>RAND()</f>
        <v/>
      </c>
      <c r="AY614">
        <f>RAND()</f>
        <v/>
      </c>
      <c r="AZ614">
        <f>RAND()</f>
        <v/>
      </c>
    </row>
    <row r="615">
      <c r="AK615" t="n">
        <v>602</v>
      </c>
      <c r="AL615">
        <f>IFERROR(IF(AU615&lt;($AM$6-$AL$6)/($AN$6-$AL$6),$AL$6+SQRT(AU615*($AN$6-$AL$6)*($AM$6-$AL$6)),$AN$6-SQRT((1-AU615)*($AN$6-$AL$6)*($AN$6-$AM$6))),$AM$6)</f>
        <v/>
      </c>
      <c r="AM615">
        <f>IFERROR(IF(AV615&lt;($AM$7-$AL$7)/($AN$7-$AL$7),$AL$7+SQRT(AV615*($AN$7-$AL$7)*($AM$7-$AL$7)),$AN$7-SQRT((1-AV615)*($AN$7-$AL$7)*($AN$7-$AM$7))),$AM$7)</f>
        <v/>
      </c>
      <c r="AN615">
        <f>IFERROR(IF(AW615&lt;($AM$8-$AL$8)/($AN$8-$AL$8),$AL$8+SQRT(AW615*($AN$8-$AL$8)*($AM$8-$AL$8)),$AN$8-SQRT((1-AW615)*($AN$8-$AL$8)*($AN$8-$AM$8))),$AM$8)</f>
        <v/>
      </c>
      <c r="AO615">
        <f>IFERROR(IF(AX615&lt;($AM$9-$AL$9)/($AN$9-$AL$9),$AL$9+SQRT(AX615*($AN$9-$AL$9)*($AM$9-$AL$9)),$AN$9-SQRT((1-AX615)*($AN$9-$AL$9)*($AN$9-$AM$9))),$AM$9)</f>
        <v/>
      </c>
      <c r="AP615">
        <f>IFERROR(IF(AY615&lt;($AM$10-$AL$10)/($AN$10-$AL$10),$AL$10+SQRT(AY615*($AN$10-$AL$10)*($AM$10-$AL$10)),$AN$10-SQRT((1-AY615)*($AN$10-$AL$10)*($AN$10-$AM$10))),$AM$10)</f>
        <v/>
      </c>
      <c r="AQ615">
        <f>IFERROR(IF(AZ615&lt;($AM$11-$AL$11)/($AN$11-$AL$11),$AL$11+SQRT(AZ615*($AN$11-$AL$11)*($AM$11-$AL$11)),$AN$11-SQRT((1-AZ615)*($AN$11-$AL$11)*($AN$11-$AM$11))),$AM$11)</f>
        <v/>
      </c>
      <c r="AR615">
        <f>SUMPRODUCT((B24:B31&lt;=$B$6)*(C24:C31*AM615+D24:D31*AO615*$B$8*AQ615)/(1+AL615/100)^B24:B31)+C32*AM615*AP615/(1+AL615/100)^$B$6</f>
        <v/>
      </c>
      <c r="AS615">
        <f>SUMPRODUCT((K24:K26&lt;=$B$6)*(L24:L26*AN615+M24:M26*AO615*$B$8*AQ615)/(1+AL615/100)^K24:K26)+L27*AN615*AP615/(1+AL615/100)^$B$6</f>
        <v/>
      </c>
      <c r="AT615">
        <f>AS615-AR615</f>
        <v/>
      </c>
      <c r="AU615">
        <f>RAND()</f>
        <v/>
      </c>
      <c r="AV615">
        <f>RAND()</f>
        <v/>
      </c>
      <c r="AW615">
        <f>RAND()</f>
        <v/>
      </c>
      <c r="AX615">
        <f>RAND()</f>
        <v/>
      </c>
      <c r="AY615">
        <f>RAND()</f>
        <v/>
      </c>
      <c r="AZ615">
        <f>RAND()</f>
        <v/>
      </c>
    </row>
    <row r="616">
      <c r="AK616" t="n">
        <v>603</v>
      </c>
      <c r="AL616">
        <f>IFERROR(IF(AU616&lt;($AM$6-$AL$6)/($AN$6-$AL$6),$AL$6+SQRT(AU616*($AN$6-$AL$6)*($AM$6-$AL$6)),$AN$6-SQRT((1-AU616)*($AN$6-$AL$6)*($AN$6-$AM$6))),$AM$6)</f>
        <v/>
      </c>
      <c r="AM616">
        <f>IFERROR(IF(AV616&lt;($AM$7-$AL$7)/($AN$7-$AL$7),$AL$7+SQRT(AV616*($AN$7-$AL$7)*($AM$7-$AL$7)),$AN$7-SQRT((1-AV616)*($AN$7-$AL$7)*($AN$7-$AM$7))),$AM$7)</f>
        <v/>
      </c>
      <c r="AN616">
        <f>IFERROR(IF(AW616&lt;($AM$8-$AL$8)/($AN$8-$AL$8),$AL$8+SQRT(AW616*($AN$8-$AL$8)*($AM$8-$AL$8)),$AN$8-SQRT((1-AW616)*($AN$8-$AL$8)*($AN$8-$AM$8))),$AM$8)</f>
        <v/>
      </c>
      <c r="AO616">
        <f>IFERROR(IF(AX616&lt;($AM$9-$AL$9)/($AN$9-$AL$9),$AL$9+SQRT(AX616*($AN$9-$AL$9)*($AM$9-$AL$9)),$AN$9-SQRT((1-AX616)*($AN$9-$AL$9)*($AN$9-$AM$9))),$AM$9)</f>
        <v/>
      </c>
      <c r="AP616">
        <f>IFERROR(IF(AY616&lt;($AM$10-$AL$10)/($AN$10-$AL$10),$AL$10+SQRT(AY616*($AN$10-$AL$10)*($AM$10-$AL$10)),$AN$10-SQRT((1-AY616)*($AN$10-$AL$10)*($AN$10-$AM$10))),$AM$10)</f>
        <v/>
      </c>
      <c r="AQ616">
        <f>IFERROR(IF(AZ616&lt;($AM$11-$AL$11)/($AN$11-$AL$11),$AL$11+SQRT(AZ616*($AN$11-$AL$11)*($AM$11-$AL$11)),$AN$11-SQRT((1-AZ616)*($AN$11-$AL$11)*($AN$11-$AM$11))),$AM$11)</f>
        <v/>
      </c>
      <c r="AR616">
        <f>SUMPRODUCT((B24:B31&lt;=$B$6)*(C24:C31*AM616+D24:D31*AO616*$B$8*AQ616)/(1+AL616/100)^B24:B31)+C32*AM616*AP616/(1+AL616/100)^$B$6</f>
        <v/>
      </c>
      <c r="AS616">
        <f>SUMPRODUCT((K24:K26&lt;=$B$6)*(L24:L26*AN616+M24:M26*AO616*$B$8*AQ616)/(1+AL616/100)^K24:K26)+L27*AN616*AP616/(1+AL616/100)^$B$6</f>
        <v/>
      </c>
      <c r="AT616">
        <f>AS616-AR616</f>
        <v/>
      </c>
      <c r="AU616">
        <f>RAND()</f>
        <v/>
      </c>
      <c r="AV616">
        <f>RAND()</f>
        <v/>
      </c>
      <c r="AW616">
        <f>RAND()</f>
        <v/>
      </c>
      <c r="AX616">
        <f>RAND()</f>
        <v/>
      </c>
      <c r="AY616">
        <f>RAND()</f>
        <v/>
      </c>
      <c r="AZ616">
        <f>RAND()</f>
        <v/>
      </c>
    </row>
    <row r="617">
      <c r="AK617" t="n">
        <v>604</v>
      </c>
      <c r="AL617">
        <f>IFERROR(IF(AU617&lt;($AM$6-$AL$6)/($AN$6-$AL$6),$AL$6+SQRT(AU617*($AN$6-$AL$6)*($AM$6-$AL$6)),$AN$6-SQRT((1-AU617)*($AN$6-$AL$6)*($AN$6-$AM$6))),$AM$6)</f>
        <v/>
      </c>
      <c r="AM617">
        <f>IFERROR(IF(AV617&lt;($AM$7-$AL$7)/($AN$7-$AL$7),$AL$7+SQRT(AV617*($AN$7-$AL$7)*($AM$7-$AL$7)),$AN$7-SQRT((1-AV617)*($AN$7-$AL$7)*($AN$7-$AM$7))),$AM$7)</f>
        <v/>
      </c>
      <c r="AN617">
        <f>IFERROR(IF(AW617&lt;($AM$8-$AL$8)/($AN$8-$AL$8),$AL$8+SQRT(AW617*($AN$8-$AL$8)*($AM$8-$AL$8)),$AN$8-SQRT((1-AW617)*($AN$8-$AL$8)*($AN$8-$AM$8))),$AM$8)</f>
        <v/>
      </c>
      <c r="AO617">
        <f>IFERROR(IF(AX617&lt;($AM$9-$AL$9)/($AN$9-$AL$9),$AL$9+SQRT(AX617*($AN$9-$AL$9)*($AM$9-$AL$9)),$AN$9-SQRT((1-AX617)*($AN$9-$AL$9)*($AN$9-$AM$9))),$AM$9)</f>
        <v/>
      </c>
      <c r="AP617">
        <f>IFERROR(IF(AY617&lt;($AM$10-$AL$10)/($AN$10-$AL$10),$AL$10+SQRT(AY617*($AN$10-$AL$10)*($AM$10-$AL$10)),$AN$10-SQRT((1-AY617)*($AN$10-$AL$10)*($AN$10-$AM$10))),$AM$10)</f>
        <v/>
      </c>
      <c r="AQ617">
        <f>IFERROR(IF(AZ617&lt;($AM$11-$AL$11)/($AN$11-$AL$11),$AL$11+SQRT(AZ617*($AN$11-$AL$11)*($AM$11-$AL$11)),$AN$11-SQRT((1-AZ617)*($AN$11-$AL$11)*($AN$11-$AM$11))),$AM$11)</f>
        <v/>
      </c>
      <c r="AR617">
        <f>SUMPRODUCT((B24:B31&lt;=$B$6)*(C24:C31*AM617+D24:D31*AO617*$B$8*AQ617)/(1+AL617/100)^B24:B31)+C32*AM617*AP617/(1+AL617/100)^$B$6</f>
        <v/>
      </c>
      <c r="AS617">
        <f>SUMPRODUCT((K24:K26&lt;=$B$6)*(L24:L26*AN617+M24:M26*AO617*$B$8*AQ617)/(1+AL617/100)^K24:K26)+L27*AN617*AP617/(1+AL617/100)^$B$6</f>
        <v/>
      </c>
      <c r="AT617">
        <f>AS617-AR617</f>
        <v/>
      </c>
      <c r="AU617">
        <f>RAND()</f>
        <v/>
      </c>
      <c r="AV617">
        <f>RAND()</f>
        <v/>
      </c>
      <c r="AW617">
        <f>RAND()</f>
        <v/>
      </c>
      <c r="AX617">
        <f>RAND()</f>
        <v/>
      </c>
      <c r="AY617">
        <f>RAND()</f>
        <v/>
      </c>
      <c r="AZ617">
        <f>RAND()</f>
        <v/>
      </c>
    </row>
    <row r="618">
      <c r="AK618" t="n">
        <v>605</v>
      </c>
      <c r="AL618">
        <f>IFERROR(IF(AU618&lt;($AM$6-$AL$6)/($AN$6-$AL$6),$AL$6+SQRT(AU618*($AN$6-$AL$6)*($AM$6-$AL$6)),$AN$6-SQRT((1-AU618)*($AN$6-$AL$6)*($AN$6-$AM$6))),$AM$6)</f>
        <v/>
      </c>
      <c r="AM618">
        <f>IFERROR(IF(AV618&lt;($AM$7-$AL$7)/($AN$7-$AL$7),$AL$7+SQRT(AV618*($AN$7-$AL$7)*($AM$7-$AL$7)),$AN$7-SQRT((1-AV618)*($AN$7-$AL$7)*($AN$7-$AM$7))),$AM$7)</f>
        <v/>
      </c>
      <c r="AN618">
        <f>IFERROR(IF(AW618&lt;($AM$8-$AL$8)/($AN$8-$AL$8),$AL$8+SQRT(AW618*($AN$8-$AL$8)*($AM$8-$AL$8)),$AN$8-SQRT((1-AW618)*($AN$8-$AL$8)*($AN$8-$AM$8))),$AM$8)</f>
        <v/>
      </c>
      <c r="AO618">
        <f>IFERROR(IF(AX618&lt;($AM$9-$AL$9)/($AN$9-$AL$9),$AL$9+SQRT(AX618*($AN$9-$AL$9)*($AM$9-$AL$9)),$AN$9-SQRT((1-AX618)*($AN$9-$AL$9)*($AN$9-$AM$9))),$AM$9)</f>
        <v/>
      </c>
      <c r="AP618">
        <f>IFERROR(IF(AY618&lt;($AM$10-$AL$10)/($AN$10-$AL$10),$AL$10+SQRT(AY618*($AN$10-$AL$10)*($AM$10-$AL$10)),$AN$10-SQRT((1-AY618)*($AN$10-$AL$10)*($AN$10-$AM$10))),$AM$10)</f>
        <v/>
      </c>
      <c r="AQ618">
        <f>IFERROR(IF(AZ618&lt;($AM$11-$AL$11)/($AN$11-$AL$11),$AL$11+SQRT(AZ618*($AN$11-$AL$11)*($AM$11-$AL$11)),$AN$11-SQRT((1-AZ618)*($AN$11-$AL$11)*($AN$11-$AM$11))),$AM$11)</f>
        <v/>
      </c>
      <c r="AR618">
        <f>SUMPRODUCT((B24:B31&lt;=$B$6)*(C24:C31*AM618+D24:D31*AO618*$B$8*AQ618)/(1+AL618/100)^B24:B31)+C32*AM618*AP618/(1+AL618/100)^$B$6</f>
        <v/>
      </c>
      <c r="AS618">
        <f>SUMPRODUCT((K24:K26&lt;=$B$6)*(L24:L26*AN618+M24:M26*AO618*$B$8*AQ618)/(1+AL618/100)^K24:K26)+L27*AN618*AP618/(1+AL618/100)^$B$6</f>
        <v/>
      </c>
      <c r="AT618">
        <f>AS618-AR618</f>
        <v/>
      </c>
      <c r="AU618">
        <f>RAND()</f>
        <v/>
      </c>
      <c r="AV618">
        <f>RAND()</f>
        <v/>
      </c>
      <c r="AW618">
        <f>RAND()</f>
        <v/>
      </c>
      <c r="AX618">
        <f>RAND()</f>
        <v/>
      </c>
      <c r="AY618">
        <f>RAND()</f>
        <v/>
      </c>
      <c r="AZ618">
        <f>RAND()</f>
        <v/>
      </c>
    </row>
    <row r="619">
      <c r="AK619" t="n">
        <v>606</v>
      </c>
      <c r="AL619">
        <f>IFERROR(IF(AU619&lt;($AM$6-$AL$6)/($AN$6-$AL$6),$AL$6+SQRT(AU619*($AN$6-$AL$6)*($AM$6-$AL$6)),$AN$6-SQRT((1-AU619)*($AN$6-$AL$6)*($AN$6-$AM$6))),$AM$6)</f>
        <v/>
      </c>
      <c r="AM619">
        <f>IFERROR(IF(AV619&lt;($AM$7-$AL$7)/($AN$7-$AL$7),$AL$7+SQRT(AV619*($AN$7-$AL$7)*($AM$7-$AL$7)),$AN$7-SQRT((1-AV619)*($AN$7-$AL$7)*($AN$7-$AM$7))),$AM$7)</f>
        <v/>
      </c>
      <c r="AN619">
        <f>IFERROR(IF(AW619&lt;($AM$8-$AL$8)/($AN$8-$AL$8),$AL$8+SQRT(AW619*($AN$8-$AL$8)*($AM$8-$AL$8)),$AN$8-SQRT((1-AW619)*($AN$8-$AL$8)*($AN$8-$AM$8))),$AM$8)</f>
        <v/>
      </c>
      <c r="AO619">
        <f>IFERROR(IF(AX619&lt;($AM$9-$AL$9)/($AN$9-$AL$9),$AL$9+SQRT(AX619*($AN$9-$AL$9)*($AM$9-$AL$9)),$AN$9-SQRT((1-AX619)*($AN$9-$AL$9)*($AN$9-$AM$9))),$AM$9)</f>
        <v/>
      </c>
      <c r="AP619">
        <f>IFERROR(IF(AY619&lt;($AM$10-$AL$10)/($AN$10-$AL$10),$AL$10+SQRT(AY619*($AN$10-$AL$10)*($AM$10-$AL$10)),$AN$10-SQRT((1-AY619)*($AN$10-$AL$10)*($AN$10-$AM$10))),$AM$10)</f>
        <v/>
      </c>
      <c r="AQ619">
        <f>IFERROR(IF(AZ619&lt;($AM$11-$AL$11)/($AN$11-$AL$11),$AL$11+SQRT(AZ619*($AN$11-$AL$11)*($AM$11-$AL$11)),$AN$11-SQRT((1-AZ619)*($AN$11-$AL$11)*($AN$11-$AM$11))),$AM$11)</f>
        <v/>
      </c>
      <c r="AR619">
        <f>SUMPRODUCT((B24:B31&lt;=$B$6)*(C24:C31*AM619+D24:D31*AO619*$B$8*AQ619)/(1+AL619/100)^B24:B31)+C32*AM619*AP619/(1+AL619/100)^$B$6</f>
        <v/>
      </c>
      <c r="AS619">
        <f>SUMPRODUCT((K24:K26&lt;=$B$6)*(L24:L26*AN619+M24:M26*AO619*$B$8*AQ619)/(1+AL619/100)^K24:K26)+L27*AN619*AP619/(1+AL619/100)^$B$6</f>
        <v/>
      </c>
      <c r="AT619">
        <f>AS619-AR619</f>
        <v/>
      </c>
      <c r="AU619">
        <f>RAND()</f>
        <v/>
      </c>
      <c r="AV619">
        <f>RAND()</f>
        <v/>
      </c>
      <c r="AW619">
        <f>RAND()</f>
        <v/>
      </c>
      <c r="AX619">
        <f>RAND()</f>
        <v/>
      </c>
      <c r="AY619">
        <f>RAND()</f>
        <v/>
      </c>
      <c r="AZ619">
        <f>RAND()</f>
        <v/>
      </c>
    </row>
    <row r="620">
      <c r="AK620" t="n">
        <v>607</v>
      </c>
      <c r="AL620">
        <f>IFERROR(IF(AU620&lt;($AM$6-$AL$6)/($AN$6-$AL$6),$AL$6+SQRT(AU620*($AN$6-$AL$6)*($AM$6-$AL$6)),$AN$6-SQRT((1-AU620)*($AN$6-$AL$6)*($AN$6-$AM$6))),$AM$6)</f>
        <v/>
      </c>
      <c r="AM620">
        <f>IFERROR(IF(AV620&lt;($AM$7-$AL$7)/($AN$7-$AL$7),$AL$7+SQRT(AV620*($AN$7-$AL$7)*($AM$7-$AL$7)),$AN$7-SQRT((1-AV620)*($AN$7-$AL$7)*($AN$7-$AM$7))),$AM$7)</f>
        <v/>
      </c>
      <c r="AN620">
        <f>IFERROR(IF(AW620&lt;($AM$8-$AL$8)/($AN$8-$AL$8),$AL$8+SQRT(AW620*($AN$8-$AL$8)*($AM$8-$AL$8)),$AN$8-SQRT((1-AW620)*($AN$8-$AL$8)*($AN$8-$AM$8))),$AM$8)</f>
        <v/>
      </c>
      <c r="AO620">
        <f>IFERROR(IF(AX620&lt;($AM$9-$AL$9)/($AN$9-$AL$9),$AL$9+SQRT(AX620*($AN$9-$AL$9)*($AM$9-$AL$9)),$AN$9-SQRT((1-AX620)*($AN$9-$AL$9)*($AN$9-$AM$9))),$AM$9)</f>
        <v/>
      </c>
      <c r="AP620">
        <f>IFERROR(IF(AY620&lt;($AM$10-$AL$10)/($AN$10-$AL$10),$AL$10+SQRT(AY620*($AN$10-$AL$10)*($AM$10-$AL$10)),$AN$10-SQRT((1-AY620)*($AN$10-$AL$10)*($AN$10-$AM$10))),$AM$10)</f>
        <v/>
      </c>
      <c r="AQ620">
        <f>IFERROR(IF(AZ620&lt;($AM$11-$AL$11)/($AN$11-$AL$11),$AL$11+SQRT(AZ620*($AN$11-$AL$11)*($AM$11-$AL$11)),$AN$11-SQRT((1-AZ620)*($AN$11-$AL$11)*($AN$11-$AM$11))),$AM$11)</f>
        <v/>
      </c>
      <c r="AR620">
        <f>SUMPRODUCT((B24:B31&lt;=$B$6)*(C24:C31*AM620+D24:D31*AO620*$B$8*AQ620)/(1+AL620/100)^B24:B31)+C32*AM620*AP620/(1+AL620/100)^$B$6</f>
        <v/>
      </c>
      <c r="AS620">
        <f>SUMPRODUCT((K24:K26&lt;=$B$6)*(L24:L26*AN620+M24:M26*AO620*$B$8*AQ620)/(1+AL620/100)^K24:K26)+L27*AN620*AP620/(1+AL620/100)^$B$6</f>
        <v/>
      </c>
      <c r="AT620">
        <f>AS620-AR620</f>
        <v/>
      </c>
      <c r="AU620">
        <f>RAND()</f>
        <v/>
      </c>
      <c r="AV620">
        <f>RAND()</f>
        <v/>
      </c>
      <c r="AW620">
        <f>RAND()</f>
        <v/>
      </c>
      <c r="AX620">
        <f>RAND()</f>
        <v/>
      </c>
      <c r="AY620">
        <f>RAND()</f>
        <v/>
      </c>
      <c r="AZ620">
        <f>RAND()</f>
        <v/>
      </c>
    </row>
    <row r="621">
      <c r="AK621" t="n">
        <v>608</v>
      </c>
      <c r="AL621">
        <f>IFERROR(IF(AU621&lt;($AM$6-$AL$6)/($AN$6-$AL$6),$AL$6+SQRT(AU621*($AN$6-$AL$6)*($AM$6-$AL$6)),$AN$6-SQRT((1-AU621)*($AN$6-$AL$6)*($AN$6-$AM$6))),$AM$6)</f>
        <v/>
      </c>
      <c r="AM621">
        <f>IFERROR(IF(AV621&lt;($AM$7-$AL$7)/($AN$7-$AL$7),$AL$7+SQRT(AV621*($AN$7-$AL$7)*($AM$7-$AL$7)),$AN$7-SQRT((1-AV621)*($AN$7-$AL$7)*($AN$7-$AM$7))),$AM$7)</f>
        <v/>
      </c>
      <c r="AN621">
        <f>IFERROR(IF(AW621&lt;($AM$8-$AL$8)/($AN$8-$AL$8),$AL$8+SQRT(AW621*($AN$8-$AL$8)*($AM$8-$AL$8)),$AN$8-SQRT((1-AW621)*($AN$8-$AL$8)*($AN$8-$AM$8))),$AM$8)</f>
        <v/>
      </c>
      <c r="AO621">
        <f>IFERROR(IF(AX621&lt;($AM$9-$AL$9)/($AN$9-$AL$9),$AL$9+SQRT(AX621*($AN$9-$AL$9)*($AM$9-$AL$9)),$AN$9-SQRT((1-AX621)*($AN$9-$AL$9)*($AN$9-$AM$9))),$AM$9)</f>
        <v/>
      </c>
      <c r="AP621">
        <f>IFERROR(IF(AY621&lt;($AM$10-$AL$10)/($AN$10-$AL$10),$AL$10+SQRT(AY621*($AN$10-$AL$10)*($AM$10-$AL$10)),$AN$10-SQRT((1-AY621)*($AN$10-$AL$10)*($AN$10-$AM$10))),$AM$10)</f>
        <v/>
      </c>
      <c r="AQ621">
        <f>IFERROR(IF(AZ621&lt;($AM$11-$AL$11)/($AN$11-$AL$11),$AL$11+SQRT(AZ621*($AN$11-$AL$11)*($AM$11-$AL$11)),$AN$11-SQRT((1-AZ621)*($AN$11-$AL$11)*($AN$11-$AM$11))),$AM$11)</f>
        <v/>
      </c>
      <c r="AR621">
        <f>SUMPRODUCT((B24:B31&lt;=$B$6)*(C24:C31*AM621+D24:D31*AO621*$B$8*AQ621)/(1+AL621/100)^B24:B31)+C32*AM621*AP621/(1+AL621/100)^$B$6</f>
        <v/>
      </c>
      <c r="AS621">
        <f>SUMPRODUCT((K24:K26&lt;=$B$6)*(L24:L26*AN621+M24:M26*AO621*$B$8*AQ621)/(1+AL621/100)^K24:K26)+L27*AN621*AP621/(1+AL621/100)^$B$6</f>
        <v/>
      </c>
      <c r="AT621">
        <f>AS621-AR621</f>
        <v/>
      </c>
      <c r="AU621">
        <f>RAND()</f>
        <v/>
      </c>
      <c r="AV621">
        <f>RAND()</f>
        <v/>
      </c>
      <c r="AW621">
        <f>RAND()</f>
        <v/>
      </c>
      <c r="AX621">
        <f>RAND()</f>
        <v/>
      </c>
      <c r="AY621">
        <f>RAND()</f>
        <v/>
      </c>
      <c r="AZ621">
        <f>RAND()</f>
        <v/>
      </c>
    </row>
    <row r="622">
      <c r="AK622" t="n">
        <v>609</v>
      </c>
      <c r="AL622">
        <f>IFERROR(IF(AU622&lt;($AM$6-$AL$6)/($AN$6-$AL$6),$AL$6+SQRT(AU622*($AN$6-$AL$6)*($AM$6-$AL$6)),$AN$6-SQRT((1-AU622)*($AN$6-$AL$6)*($AN$6-$AM$6))),$AM$6)</f>
        <v/>
      </c>
      <c r="AM622">
        <f>IFERROR(IF(AV622&lt;($AM$7-$AL$7)/($AN$7-$AL$7),$AL$7+SQRT(AV622*($AN$7-$AL$7)*($AM$7-$AL$7)),$AN$7-SQRT((1-AV622)*($AN$7-$AL$7)*($AN$7-$AM$7))),$AM$7)</f>
        <v/>
      </c>
      <c r="AN622">
        <f>IFERROR(IF(AW622&lt;($AM$8-$AL$8)/($AN$8-$AL$8),$AL$8+SQRT(AW622*($AN$8-$AL$8)*($AM$8-$AL$8)),$AN$8-SQRT((1-AW622)*($AN$8-$AL$8)*($AN$8-$AM$8))),$AM$8)</f>
        <v/>
      </c>
      <c r="AO622">
        <f>IFERROR(IF(AX622&lt;($AM$9-$AL$9)/($AN$9-$AL$9),$AL$9+SQRT(AX622*($AN$9-$AL$9)*($AM$9-$AL$9)),$AN$9-SQRT((1-AX622)*($AN$9-$AL$9)*($AN$9-$AM$9))),$AM$9)</f>
        <v/>
      </c>
      <c r="AP622">
        <f>IFERROR(IF(AY622&lt;($AM$10-$AL$10)/($AN$10-$AL$10),$AL$10+SQRT(AY622*($AN$10-$AL$10)*($AM$10-$AL$10)),$AN$10-SQRT((1-AY622)*($AN$10-$AL$10)*($AN$10-$AM$10))),$AM$10)</f>
        <v/>
      </c>
      <c r="AQ622">
        <f>IFERROR(IF(AZ622&lt;($AM$11-$AL$11)/($AN$11-$AL$11),$AL$11+SQRT(AZ622*($AN$11-$AL$11)*($AM$11-$AL$11)),$AN$11-SQRT((1-AZ622)*($AN$11-$AL$11)*($AN$11-$AM$11))),$AM$11)</f>
        <v/>
      </c>
      <c r="AR622">
        <f>SUMPRODUCT((B24:B31&lt;=$B$6)*(C24:C31*AM622+D24:D31*AO622*$B$8*AQ622)/(1+AL622/100)^B24:B31)+C32*AM622*AP622/(1+AL622/100)^$B$6</f>
        <v/>
      </c>
      <c r="AS622">
        <f>SUMPRODUCT((K24:K26&lt;=$B$6)*(L24:L26*AN622+M24:M26*AO622*$B$8*AQ622)/(1+AL622/100)^K24:K26)+L27*AN622*AP622/(1+AL622/100)^$B$6</f>
        <v/>
      </c>
      <c r="AT622">
        <f>AS622-AR622</f>
        <v/>
      </c>
      <c r="AU622">
        <f>RAND()</f>
        <v/>
      </c>
      <c r="AV622">
        <f>RAND()</f>
        <v/>
      </c>
      <c r="AW622">
        <f>RAND()</f>
        <v/>
      </c>
      <c r="AX622">
        <f>RAND()</f>
        <v/>
      </c>
      <c r="AY622">
        <f>RAND()</f>
        <v/>
      </c>
      <c r="AZ622">
        <f>RAND()</f>
        <v/>
      </c>
    </row>
    <row r="623">
      <c r="AK623" t="n">
        <v>610</v>
      </c>
      <c r="AL623">
        <f>IFERROR(IF(AU623&lt;($AM$6-$AL$6)/($AN$6-$AL$6),$AL$6+SQRT(AU623*($AN$6-$AL$6)*($AM$6-$AL$6)),$AN$6-SQRT((1-AU623)*($AN$6-$AL$6)*($AN$6-$AM$6))),$AM$6)</f>
        <v/>
      </c>
      <c r="AM623">
        <f>IFERROR(IF(AV623&lt;($AM$7-$AL$7)/($AN$7-$AL$7),$AL$7+SQRT(AV623*($AN$7-$AL$7)*($AM$7-$AL$7)),$AN$7-SQRT((1-AV623)*($AN$7-$AL$7)*($AN$7-$AM$7))),$AM$7)</f>
        <v/>
      </c>
      <c r="AN623">
        <f>IFERROR(IF(AW623&lt;($AM$8-$AL$8)/($AN$8-$AL$8),$AL$8+SQRT(AW623*($AN$8-$AL$8)*($AM$8-$AL$8)),$AN$8-SQRT((1-AW623)*($AN$8-$AL$8)*($AN$8-$AM$8))),$AM$8)</f>
        <v/>
      </c>
      <c r="AO623">
        <f>IFERROR(IF(AX623&lt;($AM$9-$AL$9)/($AN$9-$AL$9),$AL$9+SQRT(AX623*($AN$9-$AL$9)*($AM$9-$AL$9)),$AN$9-SQRT((1-AX623)*($AN$9-$AL$9)*($AN$9-$AM$9))),$AM$9)</f>
        <v/>
      </c>
      <c r="AP623">
        <f>IFERROR(IF(AY623&lt;($AM$10-$AL$10)/($AN$10-$AL$10),$AL$10+SQRT(AY623*($AN$10-$AL$10)*($AM$10-$AL$10)),$AN$10-SQRT((1-AY623)*($AN$10-$AL$10)*($AN$10-$AM$10))),$AM$10)</f>
        <v/>
      </c>
      <c r="AQ623">
        <f>IFERROR(IF(AZ623&lt;($AM$11-$AL$11)/($AN$11-$AL$11),$AL$11+SQRT(AZ623*($AN$11-$AL$11)*($AM$11-$AL$11)),$AN$11-SQRT((1-AZ623)*($AN$11-$AL$11)*($AN$11-$AM$11))),$AM$11)</f>
        <v/>
      </c>
      <c r="AR623">
        <f>SUMPRODUCT((B24:B31&lt;=$B$6)*(C24:C31*AM623+D24:D31*AO623*$B$8*AQ623)/(1+AL623/100)^B24:B31)+C32*AM623*AP623/(1+AL623/100)^$B$6</f>
        <v/>
      </c>
      <c r="AS623">
        <f>SUMPRODUCT((K24:K26&lt;=$B$6)*(L24:L26*AN623+M24:M26*AO623*$B$8*AQ623)/(1+AL623/100)^K24:K26)+L27*AN623*AP623/(1+AL623/100)^$B$6</f>
        <v/>
      </c>
      <c r="AT623">
        <f>AS623-AR623</f>
        <v/>
      </c>
      <c r="AU623">
        <f>RAND()</f>
        <v/>
      </c>
      <c r="AV623">
        <f>RAND()</f>
        <v/>
      </c>
      <c r="AW623">
        <f>RAND()</f>
        <v/>
      </c>
      <c r="AX623">
        <f>RAND()</f>
        <v/>
      </c>
      <c r="AY623">
        <f>RAND()</f>
        <v/>
      </c>
      <c r="AZ623">
        <f>RAND()</f>
        <v/>
      </c>
    </row>
    <row r="624">
      <c r="AK624" t="n">
        <v>611</v>
      </c>
      <c r="AL624">
        <f>IFERROR(IF(AU624&lt;($AM$6-$AL$6)/($AN$6-$AL$6),$AL$6+SQRT(AU624*($AN$6-$AL$6)*($AM$6-$AL$6)),$AN$6-SQRT((1-AU624)*($AN$6-$AL$6)*($AN$6-$AM$6))),$AM$6)</f>
        <v/>
      </c>
      <c r="AM624">
        <f>IFERROR(IF(AV624&lt;($AM$7-$AL$7)/($AN$7-$AL$7),$AL$7+SQRT(AV624*($AN$7-$AL$7)*($AM$7-$AL$7)),$AN$7-SQRT((1-AV624)*($AN$7-$AL$7)*($AN$7-$AM$7))),$AM$7)</f>
        <v/>
      </c>
      <c r="AN624">
        <f>IFERROR(IF(AW624&lt;($AM$8-$AL$8)/($AN$8-$AL$8),$AL$8+SQRT(AW624*($AN$8-$AL$8)*($AM$8-$AL$8)),$AN$8-SQRT((1-AW624)*($AN$8-$AL$8)*($AN$8-$AM$8))),$AM$8)</f>
        <v/>
      </c>
      <c r="AO624">
        <f>IFERROR(IF(AX624&lt;($AM$9-$AL$9)/($AN$9-$AL$9),$AL$9+SQRT(AX624*($AN$9-$AL$9)*($AM$9-$AL$9)),$AN$9-SQRT((1-AX624)*($AN$9-$AL$9)*($AN$9-$AM$9))),$AM$9)</f>
        <v/>
      </c>
      <c r="AP624">
        <f>IFERROR(IF(AY624&lt;($AM$10-$AL$10)/($AN$10-$AL$10),$AL$10+SQRT(AY624*($AN$10-$AL$10)*($AM$10-$AL$10)),$AN$10-SQRT((1-AY624)*($AN$10-$AL$10)*($AN$10-$AM$10))),$AM$10)</f>
        <v/>
      </c>
      <c r="AQ624">
        <f>IFERROR(IF(AZ624&lt;($AM$11-$AL$11)/($AN$11-$AL$11),$AL$11+SQRT(AZ624*($AN$11-$AL$11)*($AM$11-$AL$11)),$AN$11-SQRT((1-AZ624)*($AN$11-$AL$11)*($AN$11-$AM$11))),$AM$11)</f>
        <v/>
      </c>
      <c r="AR624">
        <f>SUMPRODUCT((B24:B31&lt;=$B$6)*(C24:C31*AM624+D24:D31*AO624*$B$8*AQ624)/(1+AL624/100)^B24:B31)+C32*AM624*AP624/(1+AL624/100)^$B$6</f>
        <v/>
      </c>
      <c r="AS624">
        <f>SUMPRODUCT((K24:K26&lt;=$B$6)*(L24:L26*AN624+M24:M26*AO624*$B$8*AQ624)/(1+AL624/100)^K24:K26)+L27*AN624*AP624/(1+AL624/100)^$B$6</f>
        <v/>
      </c>
      <c r="AT624">
        <f>AS624-AR624</f>
        <v/>
      </c>
      <c r="AU624">
        <f>RAND()</f>
        <v/>
      </c>
      <c r="AV624">
        <f>RAND()</f>
        <v/>
      </c>
      <c r="AW624">
        <f>RAND()</f>
        <v/>
      </c>
      <c r="AX624">
        <f>RAND()</f>
        <v/>
      </c>
      <c r="AY624">
        <f>RAND()</f>
        <v/>
      </c>
      <c r="AZ624">
        <f>RAND()</f>
        <v/>
      </c>
    </row>
    <row r="625">
      <c r="AK625" t="n">
        <v>612</v>
      </c>
      <c r="AL625">
        <f>IFERROR(IF(AU625&lt;($AM$6-$AL$6)/($AN$6-$AL$6),$AL$6+SQRT(AU625*($AN$6-$AL$6)*($AM$6-$AL$6)),$AN$6-SQRT((1-AU625)*($AN$6-$AL$6)*($AN$6-$AM$6))),$AM$6)</f>
        <v/>
      </c>
      <c r="AM625">
        <f>IFERROR(IF(AV625&lt;($AM$7-$AL$7)/($AN$7-$AL$7),$AL$7+SQRT(AV625*($AN$7-$AL$7)*($AM$7-$AL$7)),$AN$7-SQRT((1-AV625)*($AN$7-$AL$7)*($AN$7-$AM$7))),$AM$7)</f>
        <v/>
      </c>
      <c r="AN625">
        <f>IFERROR(IF(AW625&lt;($AM$8-$AL$8)/($AN$8-$AL$8),$AL$8+SQRT(AW625*($AN$8-$AL$8)*($AM$8-$AL$8)),$AN$8-SQRT((1-AW625)*($AN$8-$AL$8)*($AN$8-$AM$8))),$AM$8)</f>
        <v/>
      </c>
      <c r="AO625">
        <f>IFERROR(IF(AX625&lt;($AM$9-$AL$9)/($AN$9-$AL$9),$AL$9+SQRT(AX625*($AN$9-$AL$9)*($AM$9-$AL$9)),$AN$9-SQRT((1-AX625)*($AN$9-$AL$9)*($AN$9-$AM$9))),$AM$9)</f>
        <v/>
      </c>
      <c r="AP625">
        <f>IFERROR(IF(AY625&lt;($AM$10-$AL$10)/($AN$10-$AL$10),$AL$10+SQRT(AY625*($AN$10-$AL$10)*($AM$10-$AL$10)),$AN$10-SQRT((1-AY625)*($AN$10-$AL$10)*($AN$10-$AM$10))),$AM$10)</f>
        <v/>
      </c>
      <c r="AQ625">
        <f>IFERROR(IF(AZ625&lt;($AM$11-$AL$11)/($AN$11-$AL$11),$AL$11+SQRT(AZ625*($AN$11-$AL$11)*($AM$11-$AL$11)),$AN$11-SQRT((1-AZ625)*($AN$11-$AL$11)*($AN$11-$AM$11))),$AM$11)</f>
        <v/>
      </c>
      <c r="AR625">
        <f>SUMPRODUCT((B24:B31&lt;=$B$6)*(C24:C31*AM625+D24:D31*AO625*$B$8*AQ625)/(1+AL625/100)^B24:B31)+C32*AM625*AP625/(1+AL625/100)^$B$6</f>
        <v/>
      </c>
      <c r="AS625">
        <f>SUMPRODUCT((K24:K26&lt;=$B$6)*(L24:L26*AN625+M24:M26*AO625*$B$8*AQ625)/(1+AL625/100)^K24:K26)+L27*AN625*AP625/(1+AL625/100)^$B$6</f>
        <v/>
      </c>
      <c r="AT625">
        <f>AS625-AR625</f>
        <v/>
      </c>
      <c r="AU625">
        <f>RAND()</f>
        <v/>
      </c>
      <c r="AV625">
        <f>RAND()</f>
        <v/>
      </c>
      <c r="AW625">
        <f>RAND()</f>
        <v/>
      </c>
      <c r="AX625">
        <f>RAND()</f>
        <v/>
      </c>
      <c r="AY625">
        <f>RAND()</f>
        <v/>
      </c>
      <c r="AZ625">
        <f>RAND()</f>
        <v/>
      </c>
    </row>
    <row r="626">
      <c r="AK626" t="n">
        <v>613</v>
      </c>
      <c r="AL626">
        <f>IFERROR(IF(AU626&lt;($AM$6-$AL$6)/($AN$6-$AL$6),$AL$6+SQRT(AU626*($AN$6-$AL$6)*($AM$6-$AL$6)),$AN$6-SQRT((1-AU626)*($AN$6-$AL$6)*($AN$6-$AM$6))),$AM$6)</f>
        <v/>
      </c>
      <c r="AM626">
        <f>IFERROR(IF(AV626&lt;($AM$7-$AL$7)/($AN$7-$AL$7),$AL$7+SQRT(AV626*($AN$7-$AL$7)*($AM$7-$AL$7)),$AN$7-SQRT((1-AV626)*($AN$7-$AL$7)*($AN$7-$AM$7))),$AM$7)</f>
        <v/>
      </c>
      <c r="AN626">
        <f>IFERROR(IF(AW626&lt;($AM$8-$AL$8)/($AN$8-$AL$8),$AL$8+SQRT(AW626*($AN$8-$AL$8)*($AM$8-$AL$8)),$AN$8-SQRT((1-AW626)*($AN$8-$AL$8)*($AN$8-$AM$8))),$AM$8)</f>
        <v/>
      </c>
      <c r="AO626">
        <f>IFERROR(IF(AX626&lt;($AM$9-$AL$9)/($AN$9-$AL$9),$AL$9+SQRT(AX626*($AN$9-$AL$9)*($AM$9-$AL$9)),$AN$9-SQRT((1-AX626)*($AN$9-$AL$9)*($AN$9-$AM$9))),$AM$9)</f>
        <v/>
      </c>
      <c r="AP626">
        <f>IFERROR(IF(AY626&lt;($AM$10-$AL$10)/($AN$10-$AL$10),$AL$10+SQRT(AY626*($AN$10-$AL$10)*($AM$10-$AL$10)),$AN$10-SQRT((1-AY626)*($AN$10-$AL$10)*($AN$10-$AM$10))),$AM$10)</f>
        <v/>
      </c>
      <c r="AQ626">
        <f>IFERROR(IF(AZ626&lt;($AM$11-$AL$11)/($AN$11-$AL$11),$AL$11+SQRT(AZ626*($AN$11-$AL$11)*($AM$11-$AL$11)),$AN$11-SQRT((1-AZ626)*($AN$11-$AL$11)*($AN$11-$AM$11))),$AM$11)</f>
        <v/>
      </c>
      <c r="AR626">
        <f>SUMPRODUCT((B24:B31&lt;=$B$6)*(C24:C31*AM626+D24:D31*AO626*$B$8*AQ626)/(1+AL626/100)^B24:B31)+C32*AM626*AP626/(1+AL626/100)^$B$6</f>
        <v/>
      </c>
      <c r="AS626">
        <f>SUMPRODUCT((K24:K26&lt;=$B$6)*(L24:L26*AN626+M24:M26*AO626*$B$8*AQ626)/(1+AL626/100)^K24:K26)+L27*AN626*AP626/(1+AL626/100)^$B$6</f>
        <v/>
      </c>
      <c r="AT626">
        <f>AS626-AR626</f>
        <v/>
      </c>
      <c r="AU626">
        <f>RAND()</f>
        <v/>
      </c>
      <c r="AV626">
        <f>RAND()</f>
        <v/>
      </c>
      <c r="AW626">
        <f>RAND()</f>
        <v/>
      </c>
      <c r="AX626">
        <f>RAND()</f>
        <v/>
      </c>
      <c r="AY626">
        <f>RAND()</f>
        <v/>
      </c>
      <c r="AZ626">
        <f>RAND()</f>
        <v/>
      </c>
    </row>
    <row r="627">
      <c r="AK627" t="n">
        <v>614</v>
      </c>
      <c r="AL627">
        <f>IFERROR(IF(AU627&lt;($AM$6-$AL$6)/($AN$6-$AL$6),$AL$6+SQRT(AU627*($AN$6-$AL$6)*($AM$6-$AL$6)),$AN$6-SQRT((1-AU627)*($AN$6-$AL$6)*($AN$6-$AM$6))),$AM$6)</f>
        <v/>
      </c>
      <c r="AM627">
        <f>IFERROR(IF(AV627&lt;($AM$7-$AL$7)/($AN$7-$AL$7),$AL$7+SQRT(AV627*($AN$7-$AL$7)*($AM$7-$AL$7)),$AN$7-SQRT((1-AV627)*($AN$7-$AL$7)*($AN$7-$AM$7))),$AM$7)</f>
        <v/>
      </c>
      <c r="AN627">
        <f>IFERROR(IF(AW627&lt;($AM$8-$AL$8)/($AN$8-$AL$8),$AL$8+SQRT(AW627*($AN$8-$AL$8)*($AM$8-$AL$8)),$AN$8-SQRT((1-AW627)*($AN$8-$AL$8)*($AN$8-$AM$8))),$AM$8)</f>
        <v/>
      </c>
      <c r="AO627">
        <f>IFERROR(IF(AX627&lt;($AM$9-$AL$9)/($AN$9-$AL$9),$AL$9+SQRT(AX627*($AN$9-$AL$9)*($AM$9-$AL$9)),$AN$9-SQRT((1-AX627)*($AN$9-$AL$9)*($AN$9-$AM$9))),$AM$9)</f>
        <v/>
      </c>
      <c r="AP627">
        <f>IFERROR(IF(AY627&lt;($AM$10-$AL$10)/($AN$10-$AL$10),$AL$10+SQRT(AY627*($AN$10-$AL$10)*($AM$10-$AL$10)),$AN$10-SQRT((1-AY627)*($AN$10-$AL$10)*($AN$10-$AM$10))),$AM$10)</f>
        <v/>
      </c>
      <c r="AQ627">
        <f>IFERROR(IF(AZ627&lt;($AM$11-$AL$11)/($AN$11-$AL$11),$AL$11+SQRT(AZ627*($AN$11-$AL$11)*($AM$11-$AL$11)),$AN$11-SQRT((1-AZ627)*($AN$11-$AL$11)*($AN$11-$AM$11))),$AM$11)</f>
        <v/>
      </c>
      <c r="AR627">
        <f>SUMPRODUCT((B24:B31&lt;=$B$6)*(C24:C31*AM627+D24:D31*AO627*$B$8*AQ627)/(1+AL627/100)^B24:B31)+C32*AM627*AP627/(1+AL627/100)^$B$6</f>
        <v/>
      </c>
      <c r="AS627">
        <f>SUMPRODUCT((K24:K26&lt;=$B$6)*(L24:L26*AN627+M24:M26*AO627*$B$8*AQ627)/(1+AL627/100)^K24:K26)+L27*AN627*AP627/(1+AL627/100)^$B$6</f>
        <v/>
      </c>
      <c r="AT627">
        <f>AS627-AR627</f>
        <v/>
      </c>
      <c r="AU627">
        <f>RAND()</f>
        <v/>
      </c>
      <c r="AV627">
        <f>RAND()</f>
        <v/>
      </c>
      <c r="AW627">
        <f>RAND()</f>
        <v/>
      </c>
      <c r="AX627">
        <f>RAND()</f>
        <v/>
      </c>
      <c r="AY627">
        <f>RAND()</f>
        <v/>
      </c>
      <c r="AZ627">
        <f>RAND()</f>
        <v/>
      </c>
    </row>
    <row r="628">
      <c r="AK628" t="n">
        <v>615</v>
      </c>
      <c r="AL628">
        <f>IFERROR(IF(AU628&lt;($AM$6-$AL$6)/($AN$6-$AL$6),$AL$6+SQRT(AU628*($AN$6-$AL$6)*($AM$6-$AL$6)),$AN$6-SQRT((1-AU628)*($AN$6-$AL$6)*($AN$6-$AM$6))),$AM$6)</f>
        <v/>
      </c>
      <c r="AM628">
        <f>IFERROR(IF(AV628&lt;($AM$7-$AL$7)/($AN$7-$AL$7),$AL$7+SQRT(AV628*($AN$7-$AL$7)*($AM$7-$AL$7)),$AN$7-SQRT((1-AV628)*($AN$7-$AL$7)*($AN$7-$AM$7))),$AM$7)</f>
        <v/>
      </c>
      <c r="AN628">
        <f>IFERROR(IF(AW628&lt;($AM$8-$AL$8)/($AN$8-$AL$8),$AL$8+SQRT(AW628*($AN$8-$AL$8)*($AM$8-$AL$8)),$AN$8-SQRT((1-AW628)*($AN$8-$AL$8)*($AN$8-$AM$8))),$AM$8)</f>
        <v/>
      </c>
      <c r="AO628">
        <f>IFERROR(IF(AX628&lt;($AM$9-$AL$9)/($AN$9-$AL$9),$AL$9+SQRT(AX628*($AN$9-$AL$9)*($AM$9-$AL$9)),$AN$9-SQRT((1-AX628)*($AN$9-$AL$9)*($AN$9-$AM$9))),$AM$9)</f>
        <v/>
      </c>
      <c r="AP628">
        <f>IFERROR(IF(AY628&lt;($AM$10-$AL$10)/($AN$10-$AL$10),$AL$10+SQRT(AY628*($AN$10-$AL$10)*($AM$10-$AL$10)),$AN$10-SQRT((1-AY628)*($AN$10-$AL$10)*($AN$10-$AM$10))),$AM$10)</f>
        <v/>
      </c>
      <c r="AQ628">
        <f>IFERROR(IF(AZ628&lt;($AM$11-$AL$11)/($AN$11-$AL$11),$AL$11+SQRT(AZ628*($AN$11-$AL$11)*($AM$11-$AL$11)),$AN$11-SQRT((1-AZ628)*($AN$11-$AL$11)*($AN$11-$AM$11))),$AM$11)</f>
        <v/>
      </c>
      <c r="AR628">
        <f>SUMPRODUCT((B24:B31&lt;=$B$6)*(C24:C31*AM628+D24:D31*AO628*$B$8*AQ628)/(1+AL628/100)^B24:B31)+C32*AM628*AP628/(1+AL628/100)^$B$6</f>
        <v/>
      </c>
      <c r="AS628">
        <f>SUMPRODUCT((K24:K26&lt;=$B$6)*(L24:L26*AN628+M24:M26*AO628*$B$8*AQ628)/(1+AL628/100)^K24:K26)+L27*AN628*AP628/(1+AL628/100)^$B$6</f>
        <v/>
      </c>
      <c r="AT628">
        <f>AS628-AR628</f>
        <v/>
      </c>
      <c r="AU628">
        <f>RAND()</f>
        <v/>
      </c>
      <c r="AV628">
        <f>RAND()</f>
        <v/>
      </c>
      <c r="AW628">
        <f>RAND()</f>
        <v/>
      </c>
      <c r="AX628">
        <f>RAND()</f>
        <v/>
      </c>
      <c r="AY628">
        <f>RAND()</f>
        <v/>
      </c>
      <c r="AZ628">
        <f>RAND()</f>
        <v/>
      </c>
    </row>
    <row r="629">
      <c r="AK629" t="n">
        <v>616</v>
      </c>
      <c r="AL629">
        <f>IFERROR(IF(AU629&lt;($AM$6-$AL$6)/($AN$6-$AL$6),$AL$6+SQRT(AU629*($AN$6-$AL$6)*($AM$6-$AL$6)),$AN$6-SQRT((1-AU629)*($AN$6-$AL$6)*($AN$6-$AM$6))),$AM$6)</f>
        <v/>
      </c>
      <c r="AM629">
        <f>IFERROR(IF(AV629&lt;($AM$7-$AL$7)/($AN$7-$AL$7),$AL$7+SQRT(AV629*($AN$7-$AL$7)*($AM$7-$AL$7)),$AN$7-SQRT((1-AV629)*($AN$7-$AL$7)*($AN$7-$AM$7))),$AM$7)</f>
        <v/>
      </c>
      <c r="AN629">
        <f>IFERROR(IF(AW629&lt;($AM$8-$AL$8)/($AN$8-$AL$8),$AL$8+SQRT(AW629*($AN$8-$AL$8)*($AM$8-$AL$8)),$AN$8-SQRT((1-AW629)*($AN$8-$AL$8)*($AN$8-$AM$8))),$AM$8)</f>
        <v/>
      </c>
      <c r="AO629">
        <f>IFERROR(IF(AX629&lt;($AM$9-$AL$9)/($AN$9-$AL$9),$AL$9+SQRT(AX629*($AN$9-$AL$9)*($AM$9-$AL$9)),$AN$9-SQRT((1-AX629)*($AN$9-$AL$9)*($AN$9-$AM$9))),$AM$9)</f>
        <v/>
      </c>
      <c r="AP629">
        <f>IFERROR(IF(AY629&lt;($AM$10-$AL$10)/($AN$10-$AL$10),$AL$10+SQRT(AY629*($AN$10-$AL$10)*($AM$10-$AL$10)),$AN$10-SQRT((1-AY629)*($AN$10-$AL$10)*($AN$10-$AM$10))),$AM$10)</f>
        <v/>
      </c>
      <c r="AQ629">
        <f>IFERROR(IF(AZ629&lt;($AM$11-$AL$11)/($AN$11-$AL$11),$AL$11+SQRT(AZ629*($AN$11-$AL$11)*($AM$11-$AL$11)),$AN$11-SQRT((1-AZ629)*($AN$11-$AL$11)*($AN$11-$AM$11))),$AM$11)</f>
        <v/>
      </c>
      <c r="AR629">
        <f>SUMPRODUCT((B24:B31&lt;=$B$6)*(C24:C31*AM629+D24:D31*AO629*$B$8*AQ629)/(1+AL629/100)^B24:B31)+C32*AM629*AP629/(1+AL629/100)^$B$6</f>
        <v/>
      </c>
      <c r="AS629">
        <f>SUMPRODUCT((K24:K26&lt;=$B$6)*(L24:L26*AN629+M24:M26*AO629*$B$8*AQ629)/(1+AL629/100)^K24:K26)+L27*AN629*AP629/(1+AL629/100)^$B$6</f>
        <v/>
      </c>
      <c r="AT629">
        <f>AS629-AR629</f>
        <v/>
      </c>
      <c r="AU629">
        <f>RAND()</f>
        <v/>
      </c>
      <c r="AV629">
        <f>RAND()</f>
        <v/>
      </c>
      <c r="AW629">
        <f>RAND()</f>
        <v/>
      </c>
      <c r="AX629">
        <f>RAND()</f>
        <v/>
      </c>
      <c r="AY629">
        <f>RAND()</f>
        <v/>
      </c>
      <c r="AZ629">
        <f>RAND()</f>
        <v/>
      </c>
    </row>
    <row r="630">
      <c r="AK630" t="n">
        <v>617</v>
      </c>
      <c r="AL630">
        <f>IFERROR(IF(AU630&lt;($AM$6-$AL$6)/($AN$6-$AL$6),$AL$6+SQRT(AU630*($AN$6-$AL$6)*($AM$6-$AL$6)),$AN$6-SQRT((1-AU630)*($AN$6-$AL$6)*($AN$6-$AM$6))),$AM$6)</f>
        <v/>
      </c>
      <c r="AM630">
        <f>IFERROR(IF(AV630&lt;($AM$7-$AL$7)/($AN$7-$AL$7),$AL$7+SQRT(AV630*($AN$7-$AL$7)*($AM$7-$AL$7)),$AN$7-SQRT((1-AV630)*($AN$7-$AL$7)*($AN$7-$AM$7))),$AM$7)</f>
        <v/>
      </c>
      <c r="AN630">
        <f>IFERROR(IF(AW630&lt;($AM$8-$AL$8)/($AN$8-$AL$8),$AL$8+SQRT(AW630*($AN$8-$AL$8)*($AM$8-$AL$8)),$AN$8-SQRT((1-AW630)*($AN$8-$AL$8)*($AN$8-$AM$8))),$AM$8)</f>
        <v/>
      </c>
      <c r="AO630">
        <f>IFERROR(IF(AX630&lt;($AM$9-$AL$9)/($AN$9-$AL$9),$AL$9+SQRT(AX630*($AN$9-$AL$9)*($AM$9-$AL$9)),$AN$9-SQRT((1-AX630)*($AN$9-$AL$9)*($AN$9-$AM$9))),$AM$9)</f>
        <v/>
      </c>
      <c r="AP630">
        <f>IFERROR(IF(AY630&lt;($AM$10-$AL$10)/($AN$10-$AL$10),$AL$10+SQRT(AY630*($AN$10-$AL$10)*($AM$10-$AL$10)),$AN$10-SQRT((1-AY630)*($AN$10-$AL$10)*($AN$10-$AM$10))),$AM$10)</f>
        <v/>
      </c>
      <c r="AQ630">
        <f>IFERROR(IF(AZ630&lt;($AM$11-$AL$11)/($AN$11-$AL$11),$AL$11+SQRT(AZ630*($AN$11-$AL$11)*($AM$11-$AL$11)),$AN$11-SQRT((1-AZ630)*($AN$11-$AL$11)*($AN$11-$AM$11))),$AM$11)</f>
        <v/>
      </c>
      <c r="AR630">
        <f>SUMPRODUCT((B24:B31&lt;=$B$6)*(C24:C31*AM630+D24:D31*AO630*$B$8*AQ630)/(1+AL630/100)^B24:B31)+C32*AM630*AP630/(1+AL630/100)^$B$6</f>
        <v/>
      </c>
      <c r="AS630">
        <f>SUMPRODUCT((K24:K26&lt;=$B$6)*(L24:L26*AN630+M24:M26*AO630*$B$8*AQ630)/(1+AL630/100)^K24:K26)+L27*AN630*AP630/(1+AL630/100)^$B$6</f>
        <v/>
      </c>
      <c r="AT630">
        <f>AS630-AR630</f>
        <v/>
      </c>
      <c r="AU630">
        <f>RAND()</f>
        <v/>
      </c>
      <c r="AV630">
        <f>RAND()</f>
        <v/>
      </c>
      <c r="AW630">
        <f>RAND()</f>
        <v/>
      </c>
      <c r="AX630">
        <f>RAND()</f>
        <v/>
      </c>
      <c r="AY630">
        <f>RAND()</f>
        <v/>
      </c>
      <c r="AZ630">
        <f>RAND()</f>
        <v/>
      </c>
    </row>
    <row r="631">
      <c r="AK631" t="n">
        <v>618</v>
      </c>
      <c r="AL631">
        <f>IFERROR(IF(AU631&lt;($AM$6-$AL$6)/($AN$6-$AL$6),$AL$6+SQRT(AU631*($AN$6-$AL$6)*($AM$6-$AL$6)),$AN$6-SQRT((1-AU631)*($AN$6-$AL$6)*($AN$6-$AM$6))),$AM$6)</f>
        <v/>
      </c>
      <c r="AM631">
        <f>IFERROR(IF(AV631&lt;($AM$7-$AL$7)/($AN$7-$AL$7),$AL$7+SQRT(AV631*($AN$7-$AL$7)*($AM$7-$AL$7)),$AN$7-SQRT((1-AV631)*($AN$7-$AL$7)*($AN$7-$AM$7))),$AM$7)</f>
        <v/>
      </c>
      <c r="AN631">
        <f>IFERROR(IF(AW631&lt;($AM$8-$AL$8)/($AN$8-$AL$8),$AL$8+SQRT(AW631*($AN$8-$AL$8)*($AM$8-$AL$8)),$AN$8-SQRT((1-AW631)*($AN$8-$AL$8)*($AN$8-$AM$8))),$AM$8)</f>
        <v/>
      </c>
      <c r="AO631">
        <f>IFERROR(IF(AX631&lt;($AM$9-$AL$9)/($AN$9-$AL$9),$AL$9+SQRT(AX631*($AN$9-$AL$9)*($AM$9-$AL$9)),$AN$9-SQRT((1-AX631)*($AN$9-$AL$9)*($AN$9-$AM$9))),$AM$9)</f>
        <v/>
      </c>
      <c r="AP631">
        <f>IFERROR(IF(AY631&lt;($AM$10-$AL$10)/($AN$10-$AL$10),$AL$10+SQRT(AY631*($AN$10-$AL$10)*($AM$10-$AL$10)),$AN$10-SQRT((1-AY631)*($AN$10-$AL$10)*($AN$10-$AM$10))),$AM$10)</f>
        <v/>
      </c>
      <c r="AQ631">
        <f>IFERROR(IF(AZ631&lt;($AM$11-$AL$11)/($AN$11-$AL$11),$AL$11+SQRT(AZ631*($AN$11-$AL$11)*($AM$11-$AL$11)),$AN$11-SQRT((1-AZ631)*($AN$11-$AL$11)*($AN$11-$AM$11))),$AM$11)</f>
        <v/>
      </c>
      <c r="AR631">
        <f>SUMPRODUCT((B24:B31&lt;=$B$6)*(C24:C31*AM631+D24:D31*AO631*$B$8*AQ631)/(1+AL631/100)^B24:B31)+C32*AM631*AP631/(1+AL631/100)^$B$6</f>
        <v/>
      </c>
      <c r="AS631">
        <f>SUMPRODUCT((K24:K26&lt;=$B$6)*(L24:L26*AN631+M24:M26*AO631*$B$8*AQ631)/(1+AL631/100)^K24:K26)+L27*AN631*AP631/(1+AL631/100)^$B$6</f>
        <v/>
      </c>
      <c r="AT631">
        <f>AS631-AR631</f>
        <v/>
      </c>
      <c r="AU631">
        <f>RAND()</f>
        <v/>
      </c>
      <c r="AV631">
        <f>RAND()</f>
        <v/>
      </c>
      <c r="AW631">
        <f>RAND()</f>
        <v/>
      </c>
      <c r="AX631">
        <f>RAND()</f>
        <v/>
      </c>
      <c r="AY631">
        <f>RAND()</f>
        <v/>
      </c>
      <c r="AZ631">
        <f>RAND()</f>
        <v/>
      </c>
    </row>
    <row r="632">
      <c r="AK632" t="n">
        <v>619</v>
      </c>
      <c r="AL632">
        <f>IFERROR(IF(AU632&lt;($AM$6-$AL$6)/($AN$6-$AL$6),$AL$6+SQRT(AU632*($AN$6-$AL$6)*($AM$6-$AL$6)),$AN$6-SQRT((1-AU632)*($AN$6-$AL$6)*($AN$6-$AM$6))),$AM$6)</f>
        <v/>
      </c>
      <c r="AM632">
        <f>IFERROR(IF(AV632&lt;($AM$7-$AL$7)/($AN$7-$AL$7),$AL$7+SQRT(AV632*($AN$7-$AL$7)*($AM$7-$AL$7)),$AN$7-SQRT((1-AV632)*($AN$7-$AL$7)*($AN$7-$AM$7))),$AM$7)</f>
        <v/>
      </c>
      <c r="AN632">
        <f>IFERROR(IF(AW632&lt;($AM$8-$AL$8)/($AN$8-$AL$8),$AL$8+SQRT(AW632*($AN$8-$AL$8)*($AM$8-$AL$8)),$AN$8-SQRT((1-AW632)*($AN$8-$AL$8)*($AN$8-$AM$8))),$AM$8)</f>
        <v/>
      </c>
      <c r="AO632">
        <f>IFERROR(IF(AX632&lt;($AM$9-$AL$9)/($AN$9-$AL$9),$AL$9+SQRT(AX632*($AN$9-$AL$9)*($AM$9-$AL$9)),$AN$9-SQRT((1-AX632)*($AN$9-$AL$9)*($AN$9-$AM$9))),$AM$9)</f>
        <v/>
      </c>
      <c r="AP632">
        <f>IFERROR(IF(AY632&lt;($AM$10-$AL$10)/($AN$10-$AL$10),$AL$10+SQRT(AY632*($AN$10-$AL$10)*($AM$10-$AL$10)),$AN$10-SQRT((1-AY632)*($AN$10-$AL$10)*($AN$10-$AM$10))),$AM$10)</f>
        <v/>
      </c>
      <c r="AQ632">
        <f>IFERROR(IF(AZ632&lt;($AM$11-$AL$11)/($AN$11-$AL$11),$AL$11+SQRT(AZ632*($AN$11-$AL$11)*($AM$11-$AL$11)),$AN$11-SQRT((1-AZ632)*($AN$11-$AL$11)*($AN$11-$AM$11))),$AM$11)</f>
        <v/>
      </c>
      <c r="AR632">
        <f>SUMPRODUCT((B24:B31&lt;=$B$6)*(C24:C31*AM632+D24:D31*AO632*$B$8*AQ632)/(1+AL632/100)^B24:B31)+C32*AM632*AP632/(1+AL632/100)^$B$6</f>
        <v/>
      </c>
      <c r="AS632">
        <f>SUMPRODUCT((K24:K26&lt;=$B$6)*(L24:L26*AN632+M24:M26*AO632*$B$8*AQ632)/(1+AL632/100)^K24:K26)+L27*AN632*AP632/(1+AL632/100)^$B$6</f>
        <v/>
      </c>
      <c r="AT632">
        <f>AS632-AR632</f>
        <v/>
      </c>
      <c r="AU632">
        <f>RAND()</f>
        <v/>
      </c>
      <c r="AV632">
        <f>RAND()</f>
        <v/>
      </c>
      <c r="AW632">
        <f>RAND()</f>
        <v/>
      </c>
      <c r="AX632">
        <f>RAND()</f>
        <v/>
      </c>
      <c r="AY632">
        <f>RAND()</f>
        <v/>
      </c>
      <c r="AZ632">
        <f>RAND()</f>
        <v/>
      </c>
    </row>
    <row r="633">
      <c r="AK633" t="n">
        <v>620</v>
      </c>
      <c r="AL633">
        <f>IFERROR(IF(AU633&lt;($AM$6-$AL$6)/($AN$6-$AL$6),$AL$6+SQRT(AU633*($AN$6-$AL$6)*($AM$6-$AL$6)),$AN$6-SQRT((1-AU633)*($AN$6-$AL$6)*($AN$6-$AM$6))),$AM$6)</f>
        <v/>
      </c>
      <c r="AM633">
        <f>IFERROR(IF(AV633&lt;($AM$7-$AL$7)/($AN$7-$AL$7),$AL$7+SQRT(AV633*($AN$7-$AL$7)*($AM$7-$AL$7)),$AN$7-SQRT((1-AV633)*($AN$7-$AL$7)*($AN$7-$AM$7))),$AM$7)</f>
        <v/>
      </c>
      <c r="AN633">
        <f>IFERROR(IF(AW633&lt;($AM$8-$AL$8)/($AN$8-$AL$8),$AL$8+SQRT(AW633*($AN$8-$AL$8)*($AM$8-$AL$8)),$AN$8-SQRT((1-AW633)*($AN$8-$AL$8)*($AN$8-$AM$8))),$AM$8)</f>
        <v/>
      </c>
      <c r="AO633">
        <f>IFERROR(IF(AX633&lt;($AM$9-$AL$9)/($AN$9-$AL$9),$AL$9+SQRT(AX633*($AN$9-$AL$9)*($AM$9-$AL$9)),$AN$9-SQRT((1-AX633)*($AN$9-$AL$9)*($AN$9-$AM$9))),$AM$9)</f>
        <v/>
      </c>
      <c r="AP633">
        <f>IFERROR(IF(AY633&lt;($AM$10-$AL$10)/($AN$10-$AL$10),$AL$10+SQRT(AY633*($AN$10-$AL$10)*($AM$10-$AL$10)),$AN$10-SQRT((1-AY633)*($AN$10-$AL$10)*($AN$10-$AM$10))),$AM$10)</f>
        <v/>
      </c>
      <c r="AQ633">
        <f>IFERROR(IF(AZ633&lt;($AM$11-$AL$11)/($AN$11-$AL$11),$AL$11+SQRT(AZ633*($AN$11-$AL$11)*($AM$11-$AL$11)),$AN$11-SQRT((1-AZ633)*($AN$11-$AL$11)*($AN$11-$AM$11))),$AM$11)</f>
        <v/>
      </c>
      <c r="AR633">
        <f>SUMPRODUCT((B24:B31&lt;=$B$6)*(C24:C31*AM633+D24:D31*AO633*$B$8*AQ633)/(1+AL633/100)^B24:B31)+C32*AM633*AP633/(1+AL633/100)^$B$6</f>
        <v/>
      </c>
      <c r="AS633">
        <f>SUMPRODUCT((K24:K26&lt;=$B$6)*(L24:L26*AN633+M24:M26*AO633*$B$8*AQ633)/(1+AL633/100)^K24:K26)+L27*AN633*AP633/(1+AL633/100)^$B$6</f>
        <v/>
      </c>
      <c r="AT633">
        <f>AS633-AR633</f>
        <v/>
      </c>
      <c r="AU633">
        <f>RAND()</f>
        <v/>
      </c>
      <c r="AV633">
        <f>RAND()</f>
        <v/>
      </c>
      <c r="AW633">
        <f>RAND()</f>
        <v/>
      </c>
      <c r="AX633">
        <f>RAND()</f>
        <v/>
      </c>
      <c r="AY633">
        <f>RAND()</f>
        <v/>
      </c>
      <c r="AZ633">
        <f>RAND()</f>
        <v/>
      </c>
    </row>
    <row r="634">
      <c r="AK634" t="n">
        <v>621</v>
      </c>
      <c r="AL634">
        <f>IFERROR(IF(AU634&lt;($AM$6-$AL$6)/($AN$6-$AL$6),$AL$6+SQRT(AU634*($AN$6-$AL$6)*($AM$6-$AL$6)),$AN$6-SQRT((1-AU634)*($AN$6-$AL$6)*($AN$6-$AM$6))),$AM$6)</f>
        <v/>
      </c>
      <c r="AM634">
        <f>IFERROR(IF(AV634&lt;($AM$7-$AL$7)/($AN$7-$AL$7),$AL$7+SQRT(AV634*($AN$7-$AL$7)*($AM$7-$AL$7)),$AN$7-SQRT((1-AV634)*($AN$7-$AL$7)*($AN$7-$AM$7))),$AM$7)</f>
        <v/>
      </c>
      <c r="AN634">
        <f>IFERROR(IF(AW634&lt;($AM$8-$AL$8)/($AN$8-$AL$8),$AL$8+SQRT(AW634*($AN$8-$AL$8)*($AM$8-$AL$8)),$AN$8-SQRT((1-AW634)*($AN$8-$AL$8)*($AN$8-$AM$8))),$AM$8)</f>
        <v/>
      </c>
      <c r="AO634">
        <f>IFERROR(IF(AX634&lt;($AM$9-$AL$9)/($AN$9-$AL$9),$AL$9+SQRT(AX634*($AN$9-$AL$9)*($AM$9-$AL$9)),$AN$9-SQRT((1-AX634)*($AN$9-$AL$9)*($AN$9-$AM$9))),$AM$9)</f>
        <v/>
      </c>
      <c r="AP634">
        <f>IFERROR(IF(AY634&lt;($AM$10-$AL$10)/($AN$10-$AL$10),$AL$10+SQRT(AY634*($AN$10-$AL$10)*($AM$10-$AL$10)),$AN$10-SQRT((1-AY634)*($AN$10-$AL$10)*($AN$10-$AM$10))),$AM$10)</f>
        <v/>
      </c>
      <c r="AQ634">
        <f>IFERROR(IF(AZ634&lt;($AM$11-$AL$11)/($AN$11-$AL$11),$AL$11+SQRT(AZ634*($AN$11-$AL$11)*($AM$11-$AL$11)),$AN$11-SQRT((1-AZ634)*($AN$11-$AL$11)*($AN$11-$AM$11))),$AM$11)</f>
        <v/>
      </c>
      <c r="AR634">
        <f>SUMPRODUCT((B24:B31&lt;=$B$6)*(C24:C31*AM634+D24:D31*AO634*$B$8*AQ634)/(1+AL634/100)^B24:B31)+C32*AM634*AP634/(1+AL634/100)^$B$6</f>
        <v/>
      </c>
      <c r="AS634">
        <f>SUMPRODUCT((K24:K26&lt;=$B$6)*(L24:L26*AN634+M24:M26*AO634*$B$8*AQ634)/(1+AL634/100)^K24:K26)+L27*AN634*AP634/(1+AL634/100)^$B$6</f>
        <v/>
      </c>
      <c r="AT634">
        <f>AS634-AR634</f>
        <v/>
      </c>
      <c r="AU634">
        <f>RAND()</f>
        <v/>
      </c>
      <c r="AV634">
        <f>RAND()</f>
        <v/>
      </c>
      <c r="AW634">
        <f>RAND()</f>
        <v/>
      </c>
      <c r="AX634">
        <f>RAND()</f>
        <v/>
      </c>
      <c r="AY634">
        <f>RAND()</f>
        <v/>
      </c>
      <c r="AZ634">
        <f>RAND()</f>
        <v/>
      </c>
    </row>
    <row r="635">
      <c r="AK635" t="n">
        <v>622</v>
      </c>
      <c r="AL635">
        <f>IFERROR(IF(AU635&lt;($AM$6-$AL$6)/($AN$6-$AL$6),$AL$6+SQRT(AU635*($AN$6-$AL$6)*($AM$6-$AL$6)),$AN$6-SQRT((1-AU635)*($AN$6-$AL$6)*($AN$6-$AM$6))),$AM$6)</f>
        <v/>
      </c>
      <c r="AM635">
        <f>IFERROR(IF(AV635&lt;($AM$7-$AL$7)/($AN$7-$AL$7),$AL$7+SQRT(AV635*($AN$7-$AL$7)*($AM$7-$AL$7)),$AN$7-SQRT((1-AV635)*($AN$7-$AL$7)*($AN$7-$AM$7))),$AM$7)</f>
        <v/>
      </c>
      <c r="AN635">
        <f>IFERROR(IF(AW635&lt;($AM$8-$AL$8)/($AN$8-$AL$8),$AL$8+SQRT(AW635*($AN$8-$AL$8)*($AM$8-$AL$8)),$AN$8-SQRT((1-AW635)*($AN$8-$AL$8)*($AN$8-$AM$8))),$AM$8)</f>
        <v/>
      </c>
      <c r="AO635">
        <f>IFERROR(IF(AX635&lt;($AM$9-$AL$9)/($AN$9-$AL$9),$AL$9+SQRT(AX635*($AN$9-$AL$9)*($AM$9-$AL$9)),$AN$9-SQRT((1-AX635)*($AN$9-$AL$9)*($AN$9-$AM$9))),$AM$9)</f>
        <v/>
      </c>
      <c r="AP635">
        <f>IFERROR(IF(AY635&lt;($AM$10-$AL$10)/($AN$10-$AL$10),$AL$10+SQRT(AY635*($AN$10-$AL$10)*($AM$10-$AL$10)),$AN$10-SQRT((1-AY635)*($AN$10-$AL$10)*($AN$10-$AM$10))),$AM$10)</f>
        <v/>
      </c>
      <c r="AQ635">
        <f>IFERROR(IF(AZ635&lt;($AM$11-$AL$11)/($AN$11-$AL$11),$AL$11+SQRT(AZ635*($AN$11-$AL$11)*($AM$11-$AL$11)),$AN$11-SQRT((1-AZ635)*($AN$11-$AL$11)*($AN$11-$AM$11))),$AM$11)</f>
        <v/>
      </c>
      <c r="AR635">
        <f>SUMPRODUCT((B24:B31&lt;=$B$6)*(C24:C31*AM635+D24:D31*AO635*$B$8*AQ635)/(1+AL635/100)^B24:B31)+C32*AM635*AP635/(1+AL635/100)^$B$6</f>
        <v/>
      </c>
      <c r="AS635">
        <f>SUMPRODUCT((K24:K26&lt;=$B$6)*(L24:L26*AN635+M24:M26*AO635*$B$8*AQ635)/(1+AL635/100)^K24:K26)+L27*AN635*AP635/(1+AL635/100)^$B$6</f>
        <v/>
      </c>
      <c r="AT635">
        <f>AS635-AR635</f>
        <v/>
      </c>
      <c r="AU635">
        <f>RAND()</f>
        <v/>
      </c>
      <c r="AV635">
        <f>RAND()</f>
        <v/>
      </c>
      <c r="AW635">
        <f>RAND()</f>
        <v/>
      </c>
      <c r="AX635">
        <f>RAND()</f>
        <v/>
      </c>
      <c r="AY635">
        <f>RAND()</f>
        <v/>
      </c>
      <c r="AZ635">
        <f>RAND()</f>
        <v/>
      </c>
    </row>
    <row r="636">
      <c r="AK636" t="n">
        <v>623</v>
      </c>
      <c r="AL636">
        <f>IFERROR(IF(AU636&lt;($AM$6-$AL$6)/($AN$6-$AL$6),$AL$6+SQRT(AU636*($AN$6-$AL$6)*($AM$6-$AL$6)),$AN$6-SQRT((1-AU636)*($AN$6-$AL$6)*($AN$6-$AM$6))),$AM$6)</f>
        <v/>
      </c>
      <c r="AM636">
        <f>IFERROR(IF(AV636&lt;($AM$7-$AL$7)/($AN$7-$AL$7),$AL$7+SQRT(AV636*($AN$7-$AL$7)*($AM$7-$AL$7)),$AN$7-SQRT((1-AV636)*($AN$7-$AL$7)*($AN$7-$AM$7))),$AM$7)</f>
        <v/>
      </c>
      <c r="AN636">
        <f>IFERROR(IF(AW636&lt;($AM$8-$AL$8)/($AN$8-$AL$8),$AL$8+SQRT(AW636*($AN$8-$AL$8)*($AM$8-$AL$8)),$AN$8-SQRT((1-AW636)*($AN$8-$AL$8)*($AN$8-$AM$8))),$AM$8)</f>
        <v/>
      </c>
      <c r="AO636">
        <f>IFERROR(IF(AX636&lt;($AM$9-$AL$9)/($AN$9-$AL$9),$AL$9+SQRT(AX636*($AN$9-$AL$9)*($AM$9-$AL$9)),$AN$9-SQRT((1-AX636)*($AN$9-$AL$9)*($AN$9-$AM$9))),$AM$9)</f>
        <v/>
      </c>
      <c r="AP636">
        <f>IFERROR(IF(AY636&lt;($AM$10-$AL$10)/($AN$10-$AL$10),$AL$10+SQRT(AY636*($AN$10-$AL$10)*($AM$10-$AL$10)),$AN$10-SQRT((1-AY636)*($AN$10-$AL$10)*($AN$10-$AM$10))),$AM$10)</f>
        <v/>
      </c>
      <c r="AQ636">
        <f>IFERROR(IF(AZ636&lt;($AM$11-$AL$11)/($AN$11-$AL$11),$AL$11+SQRT(AZ636*($AN$11-$AL$11)*($AM$11-$AL$11)),$AN$11-SQRT((1-AZ636)*($AN$11-$AL$11)*($AN$11-$AM$11))),$AM$11)</f>
        <v/>
      </c>
      <c r="AR636">
        <f>SUMPRODUCT((B24:B31&lt;=$B$6)*(C24:C31*AM636+D24:D31*AO636*$B$8*AQ636)/(1+AL636/100)^B24:B31)+C32*AM636*AP636/(1+AL636/100)^$B$6</f>
        <v/>
      </c>
      <c r="AS636">
        <f>SUMPRODUCT((K24:K26&lt;=$B$6)*(L24:L26*AN636+M24:M26*AO636*$B$8*AQ636)/(1+AL636/100)^K24:K26)+L27*AN636*AP636/(1+AL636/100)^$B$6</f>
        <v/>
      </c>
      <c r="AT636">
        <f>AS636-AR636</f>
        <v/>
      </c>
      <c r="AU636">
        <f>RAND()</f>
        <v/>
      </c>
      <c r="AV636">
        <f>RAND()</f>
        <v/>
      </c>
      <c r="AW636">
        <f>RAND()</f>
        <v/>
      </c>
      <c r="AX636">
        <f>RAND()</f>
        <v/>
      </c>
      <c r="AY636">
        <f>RAND()</f>
        <v/>
      </c>
      <c r="AZ636">
        <f>RAND()</f>
        <v/>
      </c>
    </row>
    <row r="637">
      <c r="AK637" t="n">
        <v>624</v>
      </c>
      <c r="AL637">
        <f>IFERROR(IF(AU637&lt;($AM$6-$AL$6)/($AN$6-$AL$6),$AL$6+SQRT(AU637*($AN$6-$AL$6)*($AM$6-$AL$6)),$AN$6-SQRT((1-AU637)*($AN$6-$AL$6)*($AN$6-$AM$6))),$AM$6)</f>
        <v/>
      </c>
      <c r="AM637">
        <f>IFERROR(IF(AV637&lt;($AM$7-$AL$7)/($AN$7-$AL$7),$AL$7+SQRT(AV637*($AN$7-$AL$7)*($AM$7-$AL$7)),$AN$7-SQRT((1-AV637)*($AN$7-$AL$7)*($AN$7-$AM$7))),$AM$7)</f>
        <v/>
      </c>
      <c r="AN637">
        <f>IFERROR(IF(AW637&lt;($AM$8-$AL$8)/($AN$8-$AL$8),$AL$8+SQRT(AW637*($AN$8-$AL$8)*($AM$8-$AL$8)),$AN$8-SQRT((1-AW637)*($AN$8-$AL$8)*($AN$8-$AM$8))),$AM$8)</f>
        <v/>
      </c>
      <c r="AO637">
        <f>IFERROR(IF(AX637&lt;($AM$9-$AL$9)/($AN$9-$AL$9),$AL$9+SQRT(AX637*($AN$9-$AL$9)*($AM$9-$AL$9)),$AN$9-SQRT((1-AX637)*($AN$9-$AL$9)*($AN$9-$AM$9))),$AM$9)</f>
        <v/>
      </c>
      <c r="AP637">
        <f>IFERROR(IF(AY637&lt;($AM$10-$AL$10)/($AN$10-$AL$10),$AL$10+SQRT(AY637*($AN$10-$AL$10)*($AM$10-$AL$10)),$AN$10-SQRT((1-AY637)*($AN$10-$AL$10)*($AN$10-$AM$10))),$AM$10)</f>
        <v/>
      </c>
      <c r="AQ637">
        <f>IFERROR(IF(AZ637&lt;($AM$11-$AL$11)/($AN$11-$AL$11),$AL$11+SQRT(AZ637*($AN$11-$AL$11)*($AM$11-$AL$11)),$AN$11-SQRT((1-AZ637)*($AN$11-$AL$11)*($AN$11-$AM$11))),$AM$11)</f>
        <v/>
      </c>
      <c r="AR637">
        <f>SUMPRODUCT((B24:B31&lt;=$B$6)*(C24:C31*AM637+D24:D31*AO637*$B$8*AQ637)/(1+AL637/100)^B24:B31)+C32*AM637*AP637/(1+AL637/100)^$B$6</f>
        <v/>
      </c>
      <c r="AS637">
        <f>SUMPRODUCT((K24:K26&lt;=$B$6)*(L24:L26*AN637+M24:M26*AO637*$B$8*AQ637)/(1+AL637/100)^K24:K26)+L27*AN637*AP637/(1+AL637/100)^$B$6</f>
        <v/>
      </c>
      <c r="AT637">
        <f>AS637-AR637</f>
        <v/>
      </c>
      <c r="AU637">
        <f>RAND()</f>
        <v/>
      </c>
      <c r="AV637">
        <f>RAND()</f>
        <v/>
      </c>
      <c r="AW637">
        <f>RAND()</f>
        <v/>
      </c>
      <c r="AX637">
        <f>RAND()</f>
        <v/>
      </c>
      <c r="AY637">
        <f>RAND()</f>
        <v/>
      </c>
      <c r="AZ637">
        <f>RAND()</f>
        <v/>
      </c>
    </row>
    <row r="638">
      <c r="AK638" t="n">
        <v>625</v>
      </c>
      <c r="AL638">
        <f>IFERROR(IF(AU638&lt;($AM$6-$AL$6)/($AN$6-$AL$6),$AL$6+SQRT(AU638*($AN$6-$AL$6)*($AM$6-$AL$6)),$AN$6-SQRT((1-AU638)*($AN$6-$AL$6)*($AN$6-$AM$6))),$AM$6)</f>
        <v/>
      </c>
      <c r="AM638">
        <f>IFERROR(IF(AV638&lt;($AM$7-$AL$7)/($AN$7-$AL$7),$AL$7+SQRT(AV638*($AN$7-$AL$7)*($AM$7-$AL$7)),$AN$7-SQRT((1-AV638)*($AN$7-$AL$7)*($AN$7-$AM$7))),$AM$7)</f>
        <v/>
      </c>
      <c r="AN638">
        <f>IFERROR(IF(AW638&lt;($AM$8-$AL$8)/($AN$8-$AL$8),$AL$8+SQRT(AW638*($AN$8-$AL$8)*($AM$8-$AL$8)),$AN$8-SQRT((1-AW638)*($AN$8-$AL$8)*($AN$8-$AM$8))),$AM$8)</f>
        <v/>
      </c>
      <c r="AO638">
        <f>IFERROR(IF(AX638&lt;($AM$9-$AL$9)/($AN$9-$AL$9),$AL$9+SQRT(AX638*($AN$9-$AL$9)*($AM$9-$AL$9)),$AN$9-SQRT((1-AX638)*($AN$9-$AL$9)*($AN$9-$AM$9))),$AM$9)</f>
        <v/>
      </c>
      <c r="AP638">
        <f>IFERROR(IF(AY638&lt;($AM$10-$AL$10)/($AN$10-$AL$10),$AL$10+SQRT(AY638*($AN$10-$AL$10)*($AM$10-$AL$10)),$AN$10-SQRT((1-AY638)*($AN$10-$AL$10)*($AN$10-$AM$10))),$AM$10)</f>
        <v/>
      </c>
      <c r="AQ638">
        <f>IFERROR(IF(AZ638&lt;($AM$11-$AL$11)/($AN$11-$AL$11),$AL$11+SQRT(AZ638*($AN$11-$AL$11)*($AM$11-$AL$11)),$AN$11-SQRT((1-AZ638)*($AN$11-$AL$11)*($AN$11-$AM$11))),$AM$11)</f>
        <v/>
      </c>
      <c r="AR638">
        <f>SUMPRODUCT((B24:B31&lt;=$B$6)*(C24:C31*AM638+D24:D31*AO638*$B$8*AQ638)/(1+AL638/100)^B24:B31)+C32*AM638*AP638/(1+AL638/100)^$B$6</f>
        <v/>
      </c>
      <c r="AS638">
        <f>SUMPRODUCT((K24:K26&lt;=$B$6)*(L24:L26*AN638+M24:M26*AO638*$B$8*AQ638)/(1+AL638/100)^K24:K26)+L27*AN638*AP638/(1+AL638/100)^$B$6</f>
        <v/>
      </c>
      <c r="AT638">
        <f>AS638-AR638</f>
        <v/>
      </c>
      <c r="AU638">
        <f>RAND()</f>
        <v/>
      </c>
      <c r="AV638">
        <f>RAND()</f>
        <v/>
      </c>
      <c r="AW638">
        <f>RAND()</f>
        <v/>
      </c>
      <c r="AX638">
        <f>RAND()</f>
        <v/>
      </c>
      <c r="AY638">
        <f>RAND()</f>
        <v/>
      </c>
      <c r="AZ638">
        <f>RAND()</f>
        <v/>
      </c>
    </row>
    <row r="639">
      <c r="AK639" t="n">
        <v>626</v>
      </c>
      <c r="AL639">
        <f>IFERROR(IF(AU639&lt;($AM$6-$AL$6)/($AN$6-$AL$6),$AL$6+SQRT(AU639*($AN$6-$AL$6)*($AM$6-$AL$6)),$AN$6-SQRT((1-AU639)*($AN$6-$AL$6)*($AN$6-$AM$6))),$AM$6)</f>
        <v/>
      </c>
      <c r="AM639">
        <f>IFERROR(IF(AV639&lt;($AM$7-$AL$7)/($AN$7-$AL$7),$AL$7+SQRT(AV639*($AN$7-$AL$7)*($AM$7-$AL$7)),$AN$7-SQRT((1-AV639)*($AN$7-$AL$7)*($AN$7-$AM$7))),$AM$7)</f>
        <v/>
      </c>
      <c r="AN639">
        <f>IFERROR(IF(AW639&lt;($AM$8-$AL$8)/($AN$8-$AL$8),$AL$8+SQRT(AW639*($AN$8-$AL$8)*($AM$8-$AL$8)),$AN$8-SQRT((1-AW639)*($AN$8-$AL$8)*($AN$8-$AM$8))),$AM$8)</f>
        <v/>
      </c>
      <c r="AO639">
        <f>IFERROR(IF(AX639&lt;($AM$9-$AL$9)/($AN$9-$AL$9),$AL$9+SQRT(AX639*($AN$9-$AL$9)*($AM$9-$AL$9)),$AN$9-SQRT((1-AX639)*($AN$9-$AL$9)*($AN$9-$AM$9))),$AM$9)</f>
        <v/>
      </c>
      <c r="AP639">
        <f>IFERROR(IF(AY639&lt;($AM$10-$AL$10)/($AN$10-$AL$10),$AL$10+SQRT(AY639*($AN$10-$AL$10)*($AM$10-$AL$10)),$AN$10-SQRT((1-AY639)*($AN$10-$AL$10)*($AN$10-$AM$10))),$AM$10)</f>
        <v/>
      </c>
      <c r="AQ639">
        <f>IFERROR(IF(AZ639&lt;($AM$11-$AL$11)/($AN$11-$AL$11),$AL$11+SQRT(AZ639*($AN$11-$AL$11)*($AM$11-$AL$11)),$AN$11-SQRT((1-AZ639)*($AN$11-$AL$11)*($AN$11-$AM$11))),$AM$11)</f>
        <v/>
      </c>
      <c r="AR639">
        <f>SUMPRODUCT((B24:B31&lt;=$B$6)*(C24:C31*AM639+D24:D31*AO639*$B$8*AQ639)/(1+AL639/100)^B24:B31)+C32*AM639*AP639/(1+AL639/100)^$B$6</f>
        <v/>
      </c>
      <c r="AS639">
        <f>SUMPRODUCT((K24:K26&lt;=$B$6)*(L24:L26*AN639+M24:M26*AO639*$B$8*AQ639)/(1+AL639/100)^K24:K26)+L27*AN639*AP639/(1+AL639/100)^$B$6</f>
        <v/>
      </c>
      <c r="AT639">
        <f>AS639-AR639</f>
        <v/>
      </c>
      <c r="AU639">
        <f>RAND()</f>
        <v/>
      </c>
      <c r="AV639">
        <f>RAND()</f>
        <v/>
      </c>
      <c r="AW639">
        <f>RAND()</f>
        <v/>
      </c>
      <c r="AX639">
        <f>RAND()</f>
        <v/>
      </c>
      <c r="AY639">
        <f>RAND()</f>
        <v/>
      </c>
      <c r="AZ639">
        <f>RAND()</f>
        <v/>
      </c>
    </row>
    <row r="640">
      <c r="AK640" t="n">
        <v>627</v>
      </c>
      <c r="AL640">
        <f>IFERROR(IF(AU640&lt;($AM$6-$AL$6)/($AN$6-$AL$6),$AL$6+SQRT(AU640*($AN$6-$AL$6)*($AM$6-$AL$6)),$AN$6-SQRT((1-AU640)*($AN$6-$AL$6)*($AN$6-$AM$6))),$AM$6)</f>
        <v/>
      </c>
      <c r="AM640">
        <f>IFERROR(IF(AV640&lt;($AM$7-$AL$7)/($AN$7-$AL$7),$AL$7+SQRT(AV640*($AN$7-$AL$7)*($AM$7-$AL$7)),$AN$7-SQRT((1-AV640)*($AN$7-$AL$7)*($AN$7-$AM$7))),$AM$7)</f>
        <v/>
      </c>
      <c r="AN640">
        <f>IFERROR(IF(AW640&lt;($AM$8-$AL$8)/($AN$8-$AL$8),$AL$8+SQRT(AW640*($AN$8-$AL$8)*($AM$8-$AL$8)),$AN$8-SQRT((1-AW640)*($AN$8-$AL$8)*($AN$8-$AM$8))),$AM$8)</f>
        <v/>
      </c>
      <c r="AO640">
        <f>IFERROR(IF(AX640&lt;($AM$9-$AL$9)/($AN$9-$AL$9),$AL$9+SQRT(AX640*($AN$9-$AL$9)*($AM$9-$AL$9)),$AN$9-SQRT((1-AX640)*($AN$9-$AL$9)*($AN$9-$AM$9))),$AM$9)</f>
        <v/>
      </c>
      <c r="AP640">
        <f>IFERROR(IF(AY640&lt;($AM$10-$AL$10)/($AN$10-$AL$10),$AL$10+SQRT(AY640*($AN$10-$AL$10)*($AM$10-$AL$10)),$AN$10-SQRT((1-AY640)*($AN$10-$AL$10)*($AN$10-$AM$10))),$AM$10)</f>
        <v/>
      </c>
      <c r="AQ640">
        <f>IFERROR(IF(AZ640&lt;($AM$11-$AL$11)/($AN$11-$AL$11),$AL$11+SQRT(AZ640*($AN$11-$AL$11)*($AM$11-$AL$11)),$AN$11-SQRT((1-AZ640)*($AN$11-$AL$11)*($AN$11-$AM$11))),$AM$11)</f>
        <v/>
      </c>
      <c r="AR640">
        <f>SUMPRODUCT((B24:B31&lt;=$B$6)*(C24:C31*AM640+D24:D31*AO640*$B$8*AQ640)/(1+AL640/100)^B24:B31)+C32*AM640*AP640/(1+AL640/100)^$B$6</f>
        <v/>
      </c>
      <c r="AS640">
        <f>SUMPRODUCT((K24:K26&lt;=$B$6)*(L24:L26*AN640+M24:M26*AO640*$B$8*AQ640)/(1+AL640/100)^K24:K26)+L27*AN640*AP640/(1+AL640/100)^$B$6</f>
        <v/>
      </c>
      <c r="AT640">
        <f>AS640-AR640</f>
        <v/>
      </c>
      <c r="AU640">
        <f>RAND()</f>
        <v/>
      </c>
      <c r="AV640">
        <f>RAND()</f>
        <v/>
      </c>
      <c r="AW640">
        <f>RAND()</f>
        <v/>
      </c>
      <c r="AX640">
        <f>RAND()</f>
        <v/>
      </c>
      <c r="AY640">
        <f>RAND()</f>
        <v/>
      </c>
      <c r="AZ640">
        <f>RAND()</f>
        <v/>
      </c>
    </row>
    <row r="641">
      <c r="AK641" t="n">
        <v>628</v>
      </c>
      <c r="AL641">
        <f>IFERROR(IF(AU641&lt;($AM$6-$AL$6)/($AN$6-$AL$6),$AL$6+SQRT(AU641*($AN$6-$AL$6)*($AM$6-$AL$6)),$AN$6-SQRT((1-AU641)*($AN$6-$AL$6)*($AN$6-$AM$6))),$AM$6)</f>
        <v/>
      </c>
      <c r="AM641">
        <f>IFERROR(IF(AV641&lt;($AM$7-$AL$7)/($AN$7-$AL$7),$AL$7+SQRT(AV641*($AN$7-$AL$7)*($AM$7-$AL$7)),$AN$7-SQRT((1-AV641)*($AN$7-$AL$7)*($AN$7-$AM$7))),$AM$7)</f>
        <v/>
      </c>
      <c r="AN641">
        <f>IFERROR(IF(AW641&lt;($AM$8-$AL$8)/($AN$8-$AL$8),$AL$8+SQRT(AW641*($AN$8-$AL$8)*($AM$8-$AL$8)),$AN$8-SQRT((1-AW641)*($AN$8-$AL$8)*($AN$8-$AM$8))),$AM$8)</f>
        <v/>
      </c>
      <c r="AO641">
        <f>IFERROR(IF(AX641&lt;($AM$9-$AL$9)/($AN$9-$AL$9),$AL$9+SQRT(AX641*($AN$9-$AL$9)*($AM$9-$AL$9)),$AN$9-SQRT((1-AX641)*($AN$9-$AL$9)*($AN$9-$AM$9))),$AM$9)</f>
        <v/>
      </c>
      <c r="AP641">
        <f>IFERROR(IF(AY641&lt;($AM$10-$AL$10)/($AN$10-$AL$10),$AL$10+SQRT(AY641*($AN$10-$AL$10)*($AM$10-$AL$10)),$AN$10-SQRT((1-AY641)*($AN$10-$AL$10)*($AN$10-$AM$10))),$AM$10)</f>
        <v/>
      </c>
      <c r="AQ641">
        <f>IFERROR(IF(AZ641&lt;($AM$11-$AL$11)/($AN$11-$AL$11),$AL$11+SQRT(AZ641*($AN$11-$AL$11)*($AM$11-$AL$11)),$AN$11-SQRT((1-AZ641)*($AN$11-$AL$11)*($AN$11-$AM$11))),$AM$11)</f>
        <v/>
      </c>
      <c r="AR641">
        <f>SUMPRODUCT((B24:B31&lt;=$B$6)*(C24:C31*AM641+D24:D31*AO641*$B$8*AQ641)/(1+AL641/100)^B24:B31)+C32*AM641*AP641/(1+AL641/100)^$B$6</f>
        <v/>
      </c>
      <c r="AS641">
        <f>SUMPRODUCT((K24:K26&lt;=$B$6)*(L24:L26*AN641+M24:M26*AO641*$B$8*AQ641)/(1+AL641/100)^K24:K26)+L27*AN641*AP641/(1+AL641/100)^$B$6</f>
        <v/>
      </c>
      <c r="AT641">
        <f>AS641-AR641</f>
        <v/>
      </c>
      <c r="AU641">
        <f>RAND()</f>
        <v/>
      </c>
      <c r="AV641">
        <f>RAND()</f>
        <v/>
      </c>
      <c r="AW641">
        <f>RAND()</f>
        <v/>
      </c>
      <c r="AX641">
        <f>RAND()</f>
        <v/>
      </c>
      <c r="AY641">
        <f>RAND()</f>
        <v/>
      </c>
      <c r="AZ641">
        <f>RAND()</f>
        <v/>
      </c>
    </row>
    <row r="642">
      <c r="AK642" t="n">
        <v>629</v>
      </c>
      <c r="AL642">
        <f>IFERROR(IF(AU642&lt;($AM$6-$AL$6)/($AN$6-$AL$6),$AL$6+SQRT(AU642*($AN$6-$AL$6)*($AM$6-$AL$6)),$AN$6-SQRT((1-AU642)*($AN$6-$AL$6)*($AN$6-$AM$6))),$AM$6)</f>
        <v/>
      </c>
      <c r="AM642">
        <f>IFERROR(IF(AV642&lt;($AM$7-$AL$7)/($AN$7-$AL$7),$AL$7+SQRT(AV642*($AN$7-$AL$7)*($AM$7-$AL$7)),$AN$7-SQRT((1-AV642)*($AN$7-$AL$7)*($AN$7-$AM$7))),$AM$7)</f>
        <v/>
      </c>
      <c r="AN642">
        <f>IFERROR(IF(AW642&lt;($AM$8-$AL$8)/($AN$8-$AL$8),$AL$8+SQRT(AW642*($AN$8-$AL$8)*($AM$8-$AL$8)),$AN$8-SQRT((1-AW642)*($AN$8-$AL$8)*($AN$8-$AM$8))),$AM$8)</f>
        <v/>
      </c>
      <c r="AO642">
        <f>IFERROR(IF(AX642&lt;($AM$9-$AL$9)/($AN$9-$AL$9),$AL$9+SQRT(AX642*($AN$9-$AL$9)*($AM$9-$AL$9)),$AN$9-SQRT((1-AX642)*($AN$9-$AL$9)*($AN$9-$AM$9))),$AM$9)</f>
        <v/>
      </c>
      <c r="AP642">
        <f>IFERROR(IF(AY642&lt;($AM$10-$AL$10)/($AN$10-$AL$10),$AL$10+SQRT(AY642*($AN$10-$AL$10)*($AM$10-$AL$10)),$AN$10-SQRT((1-AY642)*($AN$10-$AL$10)*($AN$10-$AM$10))),$AM$10)</f>
        <v/>
      </c>
      <c r="AQ642">
        <f>IFERROR(IF(AZ642&lt;($AM$11-$AL$11)/($AN$11-$AL$11),$AL$11+SQRT(AZ642*($AN$11-$AL$11)*($AM$11-$AL$11)),$AN$11-SQRT((1-AZ642)*($AN$11-$AL$11)*($AN$11-$AM$11))),$AM$11)</f>
        <v/>
      </c>
      <c r="AR642">
        <f>SUMPRODUCT((B24:B31&lt;=$B$6)*(C24:C31*AM642+D24:D31*AO642*$B$8*AQ642)/(1+AL642/100)^B24:B31)+C32*AM642*AP642/(1+AL642/100)^$B$6</f>
        <v/>
      </c>
      <c r="AS642">
        <f>SUMPRODUCT((K24:K26&lt;=$B$6)*(L24:L26*AN642+M24:M26*AO642*$B$8*AQ642)/(1+AL642/100)^K24:K26)+L27*AN642*AP642/(1+AL642/100)^$B$6</f>
        <v/>
      </c>
      <c r="AT642">
        <f>AS642-AR642</f>
        <v/>
      </c>
      <c r="AU642">
        <f>RAND()</f>
        <v/>
      </c>
      <c r="AV642">
        <f>RAND()</f>
        <v/>
      </c>
      <c r="AW642">
        <f>RAND()</f>
        <v/>
      </c>
      <c r="AX642">
        <f>RAND()</f>
        <v/>
      </c>
      <c r="AY642">
        <f>RAND()</f>
        <v/>
      </c>
      <c r="AZ642">
        <f>RAND()</f>
        <v/>
      </c>
    </row>
    <row r="643">
      <c r="AK643" t="n">
        <v>630</v>
      </c>
      <c r="AL643">
        <f>IFERROR(IF(AU643&lt;($AM$6-$AL$6)/($AN$6-$AL$6),$AL$6+SQRT(AU643*($AN$6-$AL$6)*($AM$6-$AL$6)),$AN$6-SQRT((1-AU643)*($AN$6-$AL$6)*($AN$6-$AM$6))),$AM$6)</f>
        <v/>
      </c>
      <c r="AM643">
        <f>IFERROR(IF(AV643&lt;($AM$7-$AL$7)/($AN$7-$AL$7),$AL$7+SQRT(AV643*($AN$7-$AL$7)*($AM$7-$AL$7)),$AN$7-SQRT((1-AV643)*($AN$7-$AL$7)*($AN$7-$AM$7))),$AM$7)</f>
        <v/>
      </c>
      <c r="AN643">
        <f>IFERROR(IF(AW643&lt;($AM$8-$AL$8)/($AN$8-$AL$8),$AL$8+SQRT(AW643*($AN$8-$AL$8)*($AM$8-$AL$8)),$AN$8-SQRT((1-AW643)*($AN$8-$AL$8)*($AN$8-$AM$8))),$AM$8)</f>
        <v/>
      </c>
      <c r="AO643">
        <f>IFERROR(IF(AX643&lt;($AM$9-$AL$9)/($AN$9-$AL$9),$AL$9+SQRT(AX643*($AN$9-$AL$9)*($AM$9-$AL$9)),$AN$9-SQRT((1-AX643)*($AN$9-$AL$9)*($AN$9-$AM$9))),$AM$9)</f>
        <v/>
      </c>
      <c r="AP643">
        <f>IFERROR(IF(AY643&lt;($AM$10-$AL$10)/($AN$10-$AL$10),$AL$10+SQRT(AY643*($AN$10-$AL$10)*($AM$10-$AL$10)),$AN$10-SQRT((1-AY643)*($AN$10-$AL$10)*($AN$10-$AM$10))),$AM$10)</f>
        <v/>
      </c>
      <c r="AQ643">
        <f>IFERROR(IF(AZ643&lt;($AM$11-$AL$11)/($AN$11-$AL$11),$AL$11+SQRT(AZ643*($AN$11-$AL$11)*($AM$11-$AL$11)),$AN$11-SQRT((1-AZ643)*($AN$11-$AL$11)*($AN$11-$AM$11))),$AM$11)</f>
        <v/>
      </c>
      <c r="AR643">
        <f>SUMPRODUCT((B24:B31&lt;=$B$6)*(C24:C31*AM643+D24:D31*AO643*$B$8*AQ643)/(1+AL643/100)^B24:B31)+C32*AM643*AP643/(1+AL643/100)^$B$6</f>
        <v/>
      </c>
      <c r="AS643">
        <f>SUMPRODUCT((K24:K26&lt;=$B$6)*(L24:L26*AN643+M24:M26*AO643*$B$8*AQ643)/(1+AL643/100)^K24:K26)+L27*AN643*AP643/(1+AL643/100)^$B$6</f>
        <v/>
      </c>
      <c r="AT643">
        <f>AS643-AR643</f>
        <v/>
      </c>
      <c r="AU643">
        <f>RAND()</f>
        <v/>
      </c>
      <c r="AV643">
        <f>RAND()</f>
        <v/>
      </c>
      <c r="AW643">
        <f>RAND()</f>
        <v/>
      </c>
      <c r="AX643">
        <f>RAND()</f>
        <v/>
      </c>
      <c r="AY643">
        <f>RAND()</f>
        <v/>
      </c>
      <c r="AZ643">
        <f>RAND()</f>
        <v/>
      </c>
    </row>
    <row r="644">
      <c r="AK644" t="n">
        <v>631</v>
      </c>
      <c r="AL644">
        <f>IFERROR(IF(AU644&lt;($AM$6-$AL$6)/($AN$6-$AL$6),$AL$6+SQRT(AU644*($AN$6-$AL$6)*($AM$6-$AL$6)),$AN$6-SQRT((1-AU644)*($AN$6-$AL$6)*($AN$6-$AM$6))),$AM$6)</f>
        <v/>
      </c>
      <c r="AM644">
        <f>IFERROR(IF(AV644&lt;($AM$7-$AL$7)/($AN$7-$AL$7),$AL$7+SQRT(AV644*($AN$7-$AL$7)*($AM$7-$AL$7)),$AN$7-SQRT((1-AV644)*($AN$7-$AL$7)*($AN$7-$AM$7))),$AM$7)</f>
        <v/>
      </c>
      <c r="AN644">
        <f>IFERROR(IF(AW644&lt;($AM$8-$AL$8)/($AN$8-$AL$8),$AL$8+SQRT(AW644*($AN$8-$AL$8)*($AM$8-$AL$8)),$AN$8-SQRT((1-AW644)*($AN$8-$AL$8)*($AN$8-$AM$8))),$AM$8)</f>
        <v/>
      </c>
      <c r="AO644">
        <f>IFERROR(IF(AX644&lt;($AM$9-$AL$9)/($AN$9-$AL$9),$AL$9+SQRT(AX644*($AN$9-$AL$9)*($AM$9-$AL$9)),$AN$9-SQRT((1-AX644)*($AN$9-$AL$9)*($AN$9-$AM$9))),$AM$9)</f>
        <v/>
      </c>
      <c r="AP644">
        <f>IFERROR(IF(AY644&lt;($AM$10-$AL$10)/($AN$10-$AL$10),$AL$10+SQRT(AY644*($AN$10-$AL$10)*($AM$10-$AL$10)),$AN$10-SQRT((1-AY644)*($AN$10-$AL$10)*($AN$10-$AM$10))),$AM$10)</f>
        <v/>
      </c>
      <c r="AQ644">
        <f>IFERROR(IF(AZ644&lt;($AM$11-$AL$11)/($AN$11-$AL$11),$AL$11+SQRT(AZ644*($AN$11-$AL$11)*($AM$11-$AL$11)),$AN$11-SQRT((1-AZ644)*($AN$11-$AL$11)*($AN$11-$AM$11))),$AM$11)</f>
        <v/>
      </c>
      <c r="AR644">
        <f>SUMPRODUCT((B24:B31&lt;=$B$6)*(C24:C31*AM644+D24:D31*AO644*$B$8*AQ644)/(1+AL644/100)^B24:B31)+C32*AM644*AP644/(1+AL644/100)^$B$6</f>
        <v/>
      </c>
      <c r="AS644">
        <f>SUMPRODUCT((K24:K26&lt;=$B$6)*(L24:L26*AN644+M24:M26*AO644*$B$8*AQ644)/(1+AL644/100)^K24:K26)+L27*AN644*AP644/(1+AL644/100)^$B$6</f>
        <v/>
      </c>
      <c r="AT644">
        <f>AS644-AR644</f>
        <v/>
      </c>
      <c r="AU644">
        <f>RAND()</f>
        <v/>
      </c>
      <c r="AV644">
        <f>RAND()</f>
        <v/>
      </c>
      <c r="AW644">
        <f>RAND()</f>
        <v/>
      </c>
      <c r="AX644">
        <f>RAND()</f>
        <v/>
      </c>
      <c r="AY644">
        <f>RAND()</f>
        <v/>
      </c>
      <c r="AZ644">
        <f>RAND()</f>
        <v/>
      </c>
    </row>
    <row r="645">
      <c r="AK645" t="n">
        <v>632</v>
      </c>
      <c r="AL645">
        <f>IFERROR(IF(AU645&lt;($AM$6-$AL$6)/($AN$6-$AL$6),$AL$6+SQRT(AU645*($AN$6-$AL$6)*($AM$6-$AL$6)),$AN$6-SQRT((1-AU645)*($AN$6-$AL$6)*($AN$6-$AM$6))),$AM$6)</f>
        <v/>
      </c>
      <c r="AM645">
        <f>IFERROR(IF(AV645&lt;($AM$7-$AL$7)/($AN$7-$AL$7),$AL$7+SQRT(AV645*($AN$7-$AL$7)*($AM$7-$AL$7)),$AN$7-SQRT((1-AV645)*($AN$7-$AL$7)*($AN$7-$AM$7))),$AM$7)</f>
        <v/>
      </c>
      <c r="AN645">
        <f>IFERROR(IF(AW645&lt;($AM$8-$AL$8)/($AN$8-$AL$8),$AL$8+SQRT(AW645*($AN$8-$AL$8)*($AM$8-$AL$8)),$AN$8-SQRT((1-AW645)*($AN$8-$AL$8)*($AN$8-$AM$8))),$AM$8)</f>
        <v/>
      </c>
      <c r="AO645">
        <f>IFERROR(IF(AX645&lt;($AM$9-$AL$9)/($AN$9-$AL$9),$AL$9+SQRT(AX645*($AN$9-$AL$9)*($AM$9-$AL$9)),$AN$9-SQRT((1-AX645)*($AN$9-$AL$9)*($AN$9-$AM$9))),$AM$9)</f>
        <v/>
      </c>
      <c r="AP645">
        <f>IFERROR(IF(AY645&lt;($AM$10-$AL$10)/($AN$10-$AL$10),$AL$10+SQRT(AY645*($AN$10-$AL$10)*($AM$10-$AL$10)),$AN$10-SQRT((1-AY645)*($AN$10-$AL$10)*($AN$10-$AM$10))),$AM$10)</f>
        <v/>
      </c>
      <c r="AQ645">
        <f>IFERROR(IF(AZ645&lt;($AM$11-$AL$11)/($AN$11-$AL$11),$AL$11+SQRT(AZ645*($AN$11-$AL$11)*($AM$11-$AL$11)),$AN$11-SQRT((1-AZ645)*($AN$11-$AL$11)*($AN$11-$AM$11))),$AM$11)</f>
        <v/>
      </c>
      <c r="AR645">
        <f>SUMPRODUCT((B24:B31&lt;=$B$6)*(C24:C31*AM645+D24:D31*AO645*$B$8*AQ645)/(1+AL645/100)^B24:B31)+C32*AM645*AP645/(1+AL645/100)^$B$6</f>
        <v/>
      </c>
      <c r="AS645">
        <f>SUMPRODUCT((K24:K26&lt;=$B$6)*(L24:L26*AN645+M24:M26*AO645*$B$8*AQ645)/(1+AL645/100)^K24:K26)+L27*AN645*AP645/(1+AL645/100)^$B$6</f>
        <v/>
      </c>
      <c r="AT645">
        <f>AS645-AR645</f>
        <v/>
      </c>
      <c r="AU645">
        <f>RAND()</f>
        <v/>
      </c>
      <c r="AV645">
        <f>RAND()</f>
        <v/>
      </c>
      <c r="AW645">
        <f>RAND()</f>
        <v/>
      </c>
      <c r="AX645">
        <f>RAND()</f>
        <v/>
      </c>
      <c r="AY645">
        <f>RAND()</f>
        <v/>
      </c>
      <c r="AZ645">
        <f>RAND()</f>
        <v/>
      </c>
    </row>
    <row r="646">
      <c r="AK646" t="n">
        <v>633</v>
      </c>
      <c r="AL646">
        <f>IFERROR(IF(AU646&lt;($AM$6-$AL$6)/($AN$6-$AL$6),$AL$6+SQRT(AU646*($AN$6-$AL$6)*($AM$6-$AL$6)),$AN$6-SQRT((1-AU646)*($AN$6-$AL$6)*($AN$6-$AM$6))),$AM$6)</f>
        <v/>
      </c>
      <c r="AM646">
        <f>IFERROR(IF(AV646&lt;($AM$7-$AL$7)/($AN$7-$AL$7),$AL$7+SQRT(AV646*($AN$7-$AL$7)*($AM$7-$AL$7)),$AN$7-SQRT((1-AV646)*($AN$7-$AL$7)*($AN$7-$AM$7))),$AM$7)</f>
        <v/>
      </c>
      <c r="AN646">
        <f>IFERROR(IF(AW646&lt;($AM$8-$AL$8)/($AN$8-$AL$8),$AL$8+SQRT(AW646*($AN$8-$AL$8)*($AM$8-$AL$8)),$AN$8-SQRT((1-AW646)*($AN$8-$AL$8)*($AN$8-$AM$8))),$AM$8)</f>
        <v/>
      </c>
      <c r="AO646">
        <f>IFERROR(IF(AX646&lt;($AM$9-$AL$9)/($AN$9-$AL$9),$AL$9+SQRT(AX646*($AN$9-$AL$9)*($AM$9-$AL$9)),$AN$9-SQRT((1-AX646)*($AN$9-$AL$9)*($AN$9-$AM$9))),$AM$9)</f>
        <v/>
      </c>
      <c r="AP646">
        <f>IFERROR(IF(AY646&lt;($AM$10-$AL$10)/($AN$10-$AL$10),$AL$10+SQRT(AY646*($AN$10-$AL$10)*($AM$10-$AL$10)),$AN$10-SQRT((1-AY646)*($AN$10-$AL$10)*($AN$10-$AM$10))),$AM$10)</f>
        <v/>
      </c>
      <c r="AQ646">
        <f>IFERROR(IF(AZ646&lt;($AM$11-$AL$11)/($AN$11-$AL$11),$AL$11+SQRT(AZ646*($AN$11-$AL$11)*($AM$11-$AL$11)),$AN$11-SQRT((1-AZ646)*($AN$11-$AL$11)*($AN$11-$AM$11))),$AM$11)</f>
        <v/>
      </c>
      <c r="AR646">
        <f>SUMPRODUCT((B24:B31&lt;=$B$6)*(C24:C31*AM646+D24:D31*AO646*$B$8*AQ646)/(1+AL646/100)^B24:B31)+C32*AM646*AP646/(1+AL646/100)^$B$6</f>
        <v/>
      </c>
      <c r="AS646">
        <f>SUMPRODUCT((K24:K26&lt;=$B$6)*(L24:L26*AN646+M24:M26*AO646*$B$8*AQ646)/(1+AL646/100)^K24:K26)+L27*AN646*AP646/(1+AL646/100)^$B$6</f>
        <v/>
      </c>
      <c r="AT646">
        <f>AS646-AR646</f>
        <v/>
      </c>
      <c r="AU646">
        <f>RAND()</f>
        <v/>
      </c>
      <c r="AV646">
        <f>RAND()</f>
        <v/>
      </c>
      <c r="AW646">
        <f>RAND()</f>
        <v/>
      </c>
      <c r="AX646">
        <f>RAND()</f>
        <v/>
      </c>
      <c r="AY646">
        <f>RAND()</f>
        <v/>
      </c>
      <c r="AZ646">
        <f>RAND()</f>
        <v/>
      </c>
    </row>
    <row r="647">
      <c r="AK647" t="n">
        <v>634</v>
      </c>
      <c r="AL647">
        <f>IFERROR(IF(AU647&lt;($AM$6-$AL$6)/($AN$6-$AL$6),$AL$6+SQRT(AU647*($AN$6-$AL$6)*($AM$6-$AL$6)),$AN$6-SQRT((1-AU647)*($AN$6-$AL$6)*($AN$6-$AM$6))),$AM$6)</f>
        <v/>
      </c>
      <c r="AM647">
        <f>IFERROR(IF(AV647&lt;($AM$7-$AL$7)/($AN$7-$AL$7),$AL$7+SQRT(AV647*($AN$7-$AL$7)*($AM$7-$AL$7)),$AN$7-SQRT((1-AV647)*($AN$7-$AL$7)*($AN$7-$AM$7))),$AM$7)</f>
        <v/>
      </c>
      <c r="AN647">
        <f>IFERROR(IF(AW647&lt;($AM$8-$AL$8)/($AN$8-$AL$8),$AL$8+SQRT(AW647*($AN$8-$AL$8)*($AM$8-$AL$8)),$AN$8-SQRT((1-AW647)*($AN$8-$AL$8)*($AN$8-$AM$8))),$AM$8)</f>
        <v/>
      </c>
      <c r="AO647">
        <f>IFERROR(IF(AX647&lt;($AM$9-$AL$9)/($AN$9-$AL$9),$AL$9+SQRT(AX647*($AN$9-$AL$9)*($AM$9-$AL$9)),$AN$9-SQRT((1-AX647)*($AN$9-$AL$9)*($AN$9-$AM$9))),$AM$9)</f>
        <v/>
      </c>
      <c r="AP647">
        <f>IFERROR(IF(AY647&lt;($AM$10-$AL$10)/($AN$10-$AL$10),$AL$10+SQRT(AY647*($AN$10-$AL$10)*($AM$10-$AL$10)),$AN$10-SQRT((1-AY647)*($AN$10-$AL$10)*($AN$10-$AM$10))),$AM$10)</f>
        <v/>
      </c>
      <c r="AQ647">
        <f>IFERROR(IF(AZ647&lt;($AM$11-$AL$11)/($AN$11-$AL$11),$AL$11+SQRT(AZ647*($AN$11-$AL$11)*($AM$11-$AL$11)),$AN$11-SQRT((1-AZ647)*($AN$11-$AL$11)*($AN$11-$AM$11))),$AM$11)</f>
        <v/>
      </c>
      <c r="AR647">
        <f>SUMPRODUCT((B24:B31&lt;=$B$6)*(C24:C31*AM647+D24:D31*AO647*$B$8*AQ647)/(1+AL647/100)^B24:B31)+C32*AM647*AP647/(1+AL647/100)^$B$6</f>
        <v/>
      </c>
      <c r="AS647">
        <f>SUMPRODUCT((K24:K26&lt;=$B$6)*(L24:L26*AN647+M24:M26*AO647*$B$8*AQ647)/(1+AL647/100)^K24:K26)+L27*AN647*AP647/(1+AL647/100)^$B$6</f>
        <v/>
      </c>
      <c r="AT647">
        <f>AS647-AR647</f>
        <v/>
      </c>
      <c r="AU647">
        <f>RAND()</f>
        <v/>
      </c>
      <c r="AV647">
        <f>RAND()</f>
        <v/>
      </c>
      <c r="AW647">
        <f>RAND()</f>
        <v/>
      </c>
      <c r="AX647">
        <f>RAND()</f>
        <v/>
      </c>
      <c r="AY647">
        <f>RAND()</f>
        <v/>
      </c>
      <c r="AZ647">
        <f>RAND()</f>
        <v/>
      </c>
    </row>
    <row r="648">
      <c r="AK648" t="n">
        <v>635</v>
      </c>
      <c r="AL648">
        <f>IFERROR(IF(AU648&lt;($AM$6-$AL$6)/($AN$6-$AL$6),$AL$6+SQRT(AU648*($AN$6-$AL$6)*($AM$6-$AL$6)),$AN$6-SQRT((1-AU648)*($AN$6-$AL$6)*($AN$6-$AM$6))),$AM$6)</f>
        <v/>
      </c>
      <c r="AM648">
        <f>IFERROR(IF(AV648&lt;($AM$7-$AL$7)/($AN$7-$AL$7),$AL$7+SQRT(AV648*($AN$7-$AL$7)*($AM$7-$AL$7)),$AN$7-SQRT((1-AV648)*($AN$7-$AL$7)*($AN$7-$AM$7))),$AM$7)</f>
        <v/>
      </c>
      <c r="AN648">
        <f>IFERROR(IF(AW648&lt;($AM$8-$AL$8)/($AN$8-$AL$8),$AL$8+SQRT(AW648*($AN$8-$AL$8)*($AM$8-$AL$8)),$AN$8-SQRT((1-AW648)*($AN$8-$AL$8)*($AN$8-$AM$8))),$AM$8)</f>
        <v/>
      </c>
      <c r="AO648">
        <f>IFERROR(IF(AX648&lt;($AM$9-$AL$9)/($AN$9-$AL$9),$AL$9+SQRT(AX648*($AN$9-$AL$9)*($AM$9-$AL$9)),$AN$9-SQRT((1-AX648)*($AN$9-$AL$9)*($AN$9-$AM$9))),$AM$9)</f>
        <v/>
      </c>
      <c r="AP648">
        <f>IFERROR(IF(AY648&lt;($AM$10-$AL$10)/($AN$10-$AL$10),$AL$10+SQRT(AY648*($AN$10-$AL$10)*($AM$10-$AL$10)),$AN$10-SQRT((1-AY648)*($AN$10-$AL$10)*($AN$10-$AM$10))),$AM$10)</f>
        <v/>
      </c>
      <c r="AQ648">
        <f>IFERROR(IF(AZ648&lt;($AM$11-$AL$11)/($AN$11-$AL$11),$AL$11+SQRT(AZ648*($AN$11-$AL$11)*($AM$11-$AL$11)),$AN$11-SQRT((1-AZ648)*($AN$11-$AL$11)*($AN$11-$AM$11))),$AM$11)</f>
        <v/>
      </c>
      <c r="AR648">
        <f>SUMPRODUCT((B24:B31&lt;=$B$6)*(C24:C31*AM648+D24:D31*AO648*$B$8*AQ648)/(1+AL648/100)^B24:B31)+C32*AM648*AP648/(1+AL648/100)^$B$6</f>
        <v/>
      </c>
      <c r="AS648">
        <f>SUMPRODUCT((K24:K26&lt;=$B$6)*(L24:L26*AN648+M24:M26*AO648*$B$8*AQ648)/(1+AL648/100)^K24:K26)+L27*AN648*AP648/(1+AL648/100)^$B$6</f>
        <v/>
      </c>
      <c r="AT648">
        <f>AS648-AR648</f>
        <v/>
      </c>
      <c r="AU648">
        <f>RAND()</f>
        <v/>
      </c>
      <c r="AV648">
        <f>RAND()</f>
        <v/>
      </c>
      <c r="AW648">
        <f>RAND()</f>
        <v/>
      </c>
      <c r="AX648">
        <f>RAND()</f>
        <v/>
      </c>
      <c r="AY648">
        <f>RAND()</f>
        <v/>
      </c>
      <c r="AZ648">
        <f>RAND()</f>
        <v/>
      </c>
    </row>
    <row r="649">
      <c r="AK649" t="n">
        <v>636</v>
      </c>
      <c r="AL649">
        <f>IFERROR(IF(AU649&lt;($AM$6-$AL$6)/($AN$6-$AL$6),$AL$6+SQRT(AU649*($AN$6-$AL$6)*($AM$6-$AL$6)),$AN$6-SQRT((1-AU649)*($AN$6-$AL$6)*($AN$6-$AM$6))),$AM$6)</f>
        <v/>
      </c>
      <c r="AM649">
        <f>IFERROR(IF(AV649&lt;($AM$7-$AL$7)/($AN$7-$AL$7),$AL$7+SQRT(AV649*($AN$7-$AL$7)*($AM$7-$AL$7)),$AN$7-SQRT((1-AV649)*($AN$7-$AL$7)*($AN$7-$AM$7))),$AM$7)</f>
        <v/>
      </c>
      <c r="AN649">
        <f>IFERROR(IF(AW649&lt;($AM$8-$AL$8)/($AN$8-$AL$8),$AL$8+SQRT(AW649*($AN$8-$AL$8)*($AM$8-$AL$8)),$AN$8-SQRT((1-AW649)*($AN$8-$AL$8)*($AN$8-$AM$8))),$AM$8)</f>
        <v/>
      </c>
      <c r="AO649">
        <f>IFERROR(IF(AX649&lt;($AM$9-$AL$9)/($AN$9-$AL$9),$AL$9+SQRT(AX649*($AN$9-$AL$9)*($AM$9-$AL$9)),$AN$9-SQRT((1-AX649)*($AN$9-$AL$9)*($AN$9-$AM$9))),$AM$9)</f>
        <v/>
      </c>
      <c r="AP649">
        <f>IFERROR(IF(AY649&lt;($AM$10-$AL$10)/($AN$10-$AL$10),$AL$10+SQRT(AY649*($AN$10-$AL$10)*($AM$10-$AL$10)),$AN$10-SQRT((1-AY649)*($AN$10-$AL$10)*($AN$10-$AM$10))),$AM$10)</f>
        <v/>
      </c>
      <c r="AQ649">
        <f>IFERROR(IF(AZ649&lt;($AM$11-$AL$11)/($AN$11-$AL$11),$AL$11+SQRT(AZ649*($AN$11-$AL$11)*($AM$11-$AL$11)),$AN$11-SQRT((1-AZ649)*($AN$11-$AL$11)*($AN$11-$AM$11))),$AM$11)</f>
        <v/>
      </c>
      <c r="AR649">
        <f>SUMPRODUCT((B24:B31&lt;=$B$6)*(C24:C31*AM649+D24:D31*AO649*$B$8*AQ649)/(1+AL649/100)^B24:B31)+C32*AM649*AP649/(1+AL649/100)^$B$6</f>
        <v/>
      </c>
      <c r="AS649">
        <f>SUMPRODUCT((K24:K26&lt;=$B$6)*(L24:L26*AN649+M24:M26*AO649*$B$8*AQ649)/(1+AL649/100)^K24:K26)+L27*AN649*AP649/(1+AL649/100)^$B$6</f>
        <v/>
      </c>
      <c r="AT649">
        <f>AS649-AR649</f>
        <v/>
      </c>
      <c r="AU649">
        <f>RAND()</f>
        <v/>
      </c>
      <c r="AV649">
        <f>RAND()</f>
        <v/>
      </c>
      <c r="AW649">
        <f>RAND()</f>
        <v/>
      </c>
      <c r="AX649">
        <f>RAND()</f>
        <v/>
      </c>
      <c r="AY649">
        <f>RAND()</f>
        <v/>
      </c>
      <c r="AZ649">
        <f>RAND()</f>
        <v/>
      </c>
    </row>
    <row r="650">
      <c r="AK650" t="n">
        <v>637</v>
      </c>
      <c r="AL650">
        <f>IFERROR(IF(AU650&lt;($AM$6-$AL$6)/($AN$6-$AL$6),$AL$6+SQRT(AU650*($AN$6-$AL$6)*($AM$6-$AL$6)),$AN$6-SQRT((1-AU650)*($AN$6-$AL$6)*($AN$6-$AM$6))),$AM$6)</f>
        <v/>
      </c>
      <c r="AM650">
        <f>IFERROR(IF(AV650&lt;($AM$7-$AL$7)/($AN$7-$AL$7),$AL$7+SQRT(AV650*($AN$7-$AL$7)*($AM$7-$AL$7)),$AN$7-SQRT((1-AV650)*($AN$7-$AL$7)*($AN$7-$AM$7))),$AM$7)</f>
        <v/>
      </c>
      <c r="AN650">
        <f>IFERROR(IF(AW650&lt;($AM$8-$AL$8)/($AN$8-$AL$8),$AL$8+SQRT(AW650*($AN$8-$AL$8)*($AM$8-$AL$8)),$AN$8-SQRT((1-AW650)*($AN$8-$AL$8)*($AN$8-$AM$8))),$AM$8)</f>
        <v/>
      </c>
      <c r="AO650">
        <f>IFERROR(IF(AX650&lt;($AM$9-$AL$9)/($AN$9-$AL$9),$AL$9+SQRT(AX650*($AN$9-$AL$9)*($AM$9-$AL$9)),$AN$9-SQRT((1-AX650)*($AN$9-$AL$9)*($AN$9-$AM$9))),$AM$9)</f>
        <v/>
      </c>
      <c r="AP650">
        <f>IFERROR(IF(AY650&lt;($AM$10-$AL$10)/($AN$10-$AL$10),$AL$10+SQRT(AY650*($AN$10-$AL$10)*($AM$10-$AL$10)),$AN$10-SQRT((1-AY650)*($AN$10-$AL$10)*($AN$10-$AM$10))),$AM$10)</f>
        <v/>
      </c>
      <c r="AQ650">
        <f>IFERROR(IF(AZ650&lt;($AM$11-$AL$11)/($AN$11-$AL$11),$AL$11+SQRT(AZ650*($AN$11-$AL$11)*($AM$11-$AL$11)),$AN$11-SQRT((1-AZ650)*($AN$11-$AL$11)*($AN$11-$AM$11))),$AM$11)</f>
        <v/>
      </c>
      <c r="AR650">
        <f>SUMPRODUCT((B24:B31&lt;=$B$6)*(C24:C31*AM650+D24:D31*AO650*$B$8*AQ650)/(1+AL650/100)^B24:B31)+C32*AM650*AP650/(1+AL650/100)^$B$6</f>
        <v/>
      </c>
      <c r="AS650">
        <f>SUMPRODUCT((K24:K26&lt;=$B$6)*(L24:L26*AN650+M24:M26*AO650*$B$8*AQ650)/(1+AL650/100)^K24:K26)+L27*AN650*AP650/(1+AL650/100)^$B$6</f>
        <v/>
      </c>
      <c r="AT650">
        <f>AS650-AR650</f>
        <v/>
      </c>
      <c r="AU650">
        <f>RAND()</f>
        <v/>
      </c>
      <c r="AV650">
        <f>RAND()</f>
        <v/>
      </c>
      <c r="AW650">
        <f>RAND()</f>
        <v/>
      </c>
      <c r="AX650">
        <f>RAND()</f>
        <v/>
      </c>
      <c r="AY650">
        <f>RAND()</f>
        <v/>
      </c>
      <c r="AZ650">
        <f>RAND()</f>
        <v/>
      </c>
    </row>
    <row r="651">
      <c r="AK651" t="n">
        <v>638</v>
      </c>
      <c r="AL651">
        <f>IFERROR(IF(AU651&lt;($AM$6-$AL$6)/($AN$6-$AL$6),$AL$6+SQRT(AU651*($AN$6-$AL$6)*($AM$6-$AL$6)),$AN$6-SQRT((1-AU651)*($AN$6-$AL$6)*($AN$6-$AM$6))),$AM$6)</f>
        <v/>
      </c>
      <c r="AM651">
        <f>IFERROR(IF(AV651&lt;($AM$7-$AL$7)/($AN$7-$AL$7),$AL$7+SQRT(AV651*($AN$7-$AL$7)*($AM$7-$AL$7)),$AN$7-SQRT((1-AV651)*($AN$7-$AL$7)*($AN$7-$AM$7))),$AM$7)</f>
        <v/>
      </c>
      <c r="AN651">
        <f>IFERROR(IF(AW651&lt;($AM$8-$AL$8)/($AN$8-$AL$8),$AL$8+SQRT(AW651*($AN$8-$AL$8)*($AM$8-$AL$8)),$AN$8-SQRT((1-AW651)*($AN$8-$AL$8)*($AN$8-$AM$8))),$AM$8)</f>
        <v/>
      </c>
      <c r="AO651">
        <f>IFERROR(IF(AX651&lt;($AM$9-$AL$9)/($AN$9-$AL$9),$AL$9+SQRT(AX651*($AN$9-$AL$9)*($AM$9-$AL$9)),$AN$9-SQRT((1-AX651)*($AN$9-$AL$9)*($AN$9-$AM$9))),$AM$9)</f>
        <v/>
      </c>
      <c r="AP651">
        <f>IFERROR(IF(AY651&lt;($AM$10-$AL$10)/($AN$10-$AL$10),$AL$10+SQRT(AY651*($AN$10-$AL$10)*($AM$10-$AL$10)),$AN$10-SQRT((1-AY651)*($AN$10-$AL$10)*($AN$10-$AM$10))),$AM$10)</f>
        <v/>
      </c>
      <c r="AQ651">
        <f>IFERROR(IF(AZ651&lt;($AM$11-$AL$11)/($AN$11-$AL$11),$AL$11+SQRT(AZ651*($AN$11-$AL$11)*($AM$11-$AL$11)),$AN$11-SQRT((1-AZ651)*($AN$11-$AL$11)*($AN$11-$AM$11))),$AM$11)</f>
        <v/>
      </c>
      <c r="AR651">
        <f>SUMPRODUCT((B24:B31&lt;=$B$6)*(C24:C31*AM651+D24:D31*AO651*$B$8*AQ651)/(1+AL651/100)^B24:B31)+C32*AM651*AP651/(1+AL651/100)^$B$6</f>
        <v/>
      </c>
      <c r="AS651">
        <f>SUMPRODUCT((K24:K26&lt;=$B$6)*(L24:L26*AN651+M24:M26*AO651*$B$8*AQ651)/(1+AL651/100)^K24:K26)+L27*AN651*AP651/(1+AL651/100)^$B$6</f>
        <v/>
      </c>
      <c r="AT651">
        <f>AS651-AR651</f>
        <v/>
      </c>
      <c r="AU651">
        <f>RAND()</f>
        <v/>
      </c>
      <c r="AV651">
        <f>RAND()</f>
        <v/>
      </c>
      <c r="AW651">
        <f>RAND()</f>
        <v/>
      </c>
      <c r="AX651">
        <f>RAND()</f>
        <v/>
      </c>
      <c r="AY651">
        <f>RAND()</f>
        <v/>
      </c>
      <c r="AZ651">
        <f>RAND()</f>
        <v/>
      </c>
    </row>
    <row r="652">
      <c r="AK652" t="n">
        <v>639</v>
      </c>
      <c r="AL652">
        <f>IFERROR(IF(AU652&lt;($AM$6-$AL$6)/($AN$6-$AL$6),$AL$6+SQRT(AU652*($AN$6-$AL$6)*($AM$6-$AL$6)),$AN$6-SQRT((1-AU652)*($AN$6-$AL$6)*($AN$6-$AM$6))),$AM$6)</f>
        <v/>
      </c>
      <c r="AM652">
        <f>IFERROR(IF(AV652&lt;($AM$7-$AL$7)/($AN$7-$AL$7),$AL$7+SQRT(AV652*($AN$7-$AL$7)*($AM$7-$AL$7)),$AN$7-SQRT((1-AV652)*($AN$7-$AL$7)*($AN$7-$AM$7))),$AM$7)</f>
        <v/>
      </c>
      <c r="AN652">
        <f>IFERROR(IF(AW652&lt;($AM$8-$AL$8)/($AN$8-$AL$8),$AL$8+SQRT(AW652*($AN$8-$AL$8)*($AM$8-$AL$8)),$AN$8-SQRT((1-AW652)*($AN$8-$AL$8)*($AN$8-$AM$8))),$AM$8)</f>
        <v/>
      </c>
      <c r="AO652">
        <f>IFERROR(IF(AX652&lt;($AM$9-$AL$9)/($AN$9-$AL$9),$AL$9+SQRT(AX652*($AN$9-$AL$9)*($AM$9-$AL$9)),$AN$9-SQRT((1-AX652)*($AN$9-$AL$9)*($AN$9-$AM$9))),$AM$9)</f>
        <v/>
      </c>
      <c r="AP652">
        <f>IFERROR(IF(AY652&lt;($AM$10-$AL$10)/($AN$10-$AL$10),$AL$10+SQRT(AY652*($AN$10-$AL$10)*($AM$10-$AL$10)),$AN$10-SQRT((1-AY652)*($AN$10-$AL$10)*($AN$10-$AM$10))),$AM$10)</f>
        <v/>
      </c>
      <c r="AQ652">
        <f>IFERROR(IF(AZ652&lt;($AM$11-$AL$11)/($AN$11-$AL$11),$AL$11+SQRT(AZ652*($AN$11-$AL$11)*($AM$11-$AL$11)),$AN$11-SQRT((1-AZ652)*($AN$11-$AL$11)*($AN$11-$AM$11))),$AM$11)</f>
        <v/>
      </c>
      <c r="AR652">
        <f>SUMPRODUCT((B24:B31&lt;=$B$6)*(C24:C31*AM652+D24:D31*AO652*$B$8*AQ652)/(1+AL652/100)^B24:B31)+C32*AM652*AP652/(1+AL652/100)^$B$6</f>
        <v/>
      </c>
      <c r="AS652">
        <f>SUMPRODUCT((K24:K26&lt;=$B$6)*(L24:L26*AN652+M24:M26*AO652*$B$8*AQ652)/(1+AL652/100)^K24:K26)+L27*AN652*AP652/(1+AL652/100)^$B$6</f>
        <v/>
      </c>
      <c r="AT652">
        <f>AS652-AR652</f>
        <v/>
      </c>
      <c r="AU652">
        <f>RAND()</f>
        <v/>
      </c>
      <c r="AV652">
        <f>RAND()</f>
        <v/>
      </c>
      <c r="AW652">
        <f>RAND()</f>
        <v/>
      </c>
      <c r="AX652">
        <f>RAND()</f>
        <v/>
      </c>
      <c r="AY652">
        <f>RAND()</f>
        <v/>
      </c>
      <c r="AZ652">
        <f>RAND()</f>
        <v/>
      </c>
    </row>
    <row r="653">
      <c r="AK653" t="n">
        <v>640</v>
      </c>
      <c r="AL653">
        <f>IFERROR(IF(AU653&lt;($AM$6-$AL$6)/($AN$6-$AL$6),$AL$6+SQRT(AU653*($AN$6-$AL$6)*($AM$6-$AL$6)),$AN$6-SQRT((1-AU653)*($AN$6-$AL$6)*($AN$6-$AM$6))),$AM$6)</f>
        <v/>
      </c>
      <c r="AM653">
        <f>IFERROR(IF(AV653&lt;($AM$7-$AL$7)/($AN$7-$AL$7),$AL$7+SQRT(AV653*($AN$7-$AL$7)*($AM$7-$AL$7)),$AN$7-SQRT((1-AV653)*($AN$7-$AL$7)*($AN$7-$AM$7))),$AM$7)</f>
        <v/>
      </c>
      <c r="AN653">
        <f>IFERROR(IF(AW653&lt;($AM$8-$AL$8)/($AN$8-$AL$8),$AL$8+SQRT(AW653*($AN$8-$AL$8)*($AM$8-$AL$8)),$AN$8-SQRT((1-AW653)*($AN$8-$AL$8)*($AN$8-$AM$8))),$AM$8)</f>
        <v/>
      </c>
      <c r="AO653">
        <f>IFERROR(IF(AX653&lt;($AM$9-$AL$9)/($AN$9-$AL$9),$AL$9+SQRT(AX653*($AN$9-$AL$9)*($AM$9-$AL$9)),$AN$9-SQRT((1-AX653)*($AN$9-$AL$9)*($AN$9-$AM$9))),$AM$9)</f>
        <v/>
      </c>
      <c r="AP653">
        <f>IFERROR(IF(AY653&lt;($AM$10-$AL$10)/($AN$10-$AL$10),$AL$10+SQRT(AY653*($AN$10-$AL$10)*($AM$10-$AL$10)),$AN$10-SQRT((1-AY653)*($AN$10-$AL$10)*($AN$10-$AM$10))),$AM$10)</f>
        <v/>
      </c>
      <c r="AQ653">
        <f>IFERROR(IF(AZ653&lt;($AM$11-$AL$11)/($AN$11-$AL$11),$AL$11+SQRT(AZ653*($AN$11-$AL$11)*($AM$11-$AL$11)),$AN$11-SQRT((1-AZ653)*($AN$11-$AL$11)*($AN$11-$AM$11))),$AM$11)</f>
        <v/>
      </c>
      <c r="AR653">
        <f>SUMPRODUCT((B24:B31&lt;=$B$6)*(C24:C31*AM653+D24:D31*AO653*$B$8*AQ653)/(1+AL653/100)^B24:B31)+C32*AM653*AP653/(1+AL653/100)^$B$6</f>
        <v/>
      </c>
      <c r="AS653">
        <f>SUMPRODUCT((K24:K26&lt;=$B$6)*(L24:L26*AN653+M24:M26*AO653*$B$8*AQ653)/(1+AL653/100)^K24:K26)+L27*AN653*AP653/(1+AL653/100)^$B$6</f>
        <v/>
      </c>
      <c r="AT653">
        <f>AS653-AR653</f>
        <v/>
      </c>
      <c r="AU653">
        <f>RAND()</f>
        <v/>
      </c>
      <c r="AV653">
        <f>RAND()</f>
        <v/>
      </c>
      <c r="AW653">
        <f>RAND()</f>
        <v/>
      </c>
      <c r="AX653">
        <f>RAND()</f>
        <v/>
      </c>
      <c r="AY653">
        <f>RAND()</f>
        <v/>
      </c>
      <c r="AZ653">
        <f>RAND()</f>
        <v/>
      </c>
    </row>
    <row r="654">
      <c r="AK654" t="n">
        <v>641</v>
      </c>
      <c r="AL654">
        <f>IFERROR(IF(AU654&lt;($AM$6-$AL$6)/($AN$6-$AL$6),$AL$6+SQRT(AU654*($AN$6-$AL$6)*($AM$6-$AL$6)),$AN$6-SQRT((1-AU654)*($AN$6-$AL$6)*($AN$6-$AM$6))),$AM$6)</f>
        <v/>
      </c>
      <c r="AM654">
        <f>IFERROR(IF(AV654&lt;($AM$7-$AL$7)/($AN$7-$AL$7),$AL$7+SQRT(AV654*($AN$7-$AL$7)*($AM$7-$AL$7)),$AN$7-SQRT((1-AV654)*($AN$7-$AL$7)*($AN$7-$AM$7))),$AM$7)</f>
        <v/>
      </c>
      <c r="AN654">
        <f>IFERROR(IF(AW654&lt;($AM$8-$AL$8)/($AN$8-$AL$8),$AL$8+SQRT(AW654*($AN$8-$AL$8)*($AM$8-$AL$8)),$AN$8-SQRT((1-AW654)*($AN$8-$AL$8)*($AN$8-$AM$8))),$AM$8)</f>
        <v/>
      </c>
      <c r="AO654">
        <f>IFERROR(IF(AX654&lt;($AM$9-$AL$9)/($AN$9-$AL$9),$AL$9+SQRT(AX654*($AN$9-$AL$9)*($AM$9-$AL$9)),$AN$9-SQRT((1-AX654)*($AN$9-$AL$9)*($AN$9-$AM$9))),$AM$9)</f>
        <v/>
      </c>
      <c r="AP654">
        <f>IFERROR(IF(AY654&lt;($AM$10-$AL$10)/($AN$10-$AL$10),$AL$10+SQRT(AY654*($AN$10-$AL$10)*($AM$10-$AL$10)),$AN$10-SQRT((1-AY654)*($AN$10-$AL$10)*($AN$10-$AM$10))),$AM$10)</f>
        <v/>
      </c>
      <c r="AQ654">
        <f>IFERROR(IF(AZ654&lt;($AM$11-$AL$11)/($AN$11-$AL$11),$AL$11+SQRT(AZ654*($AN$11-$AL$11)*($AM$11-$AL$11)),$AN$11-SQRT((1-AZ654)*($AN$11-$AL$11)*($AN$11-$AM$11))),$AM$11)</f>
        <v/>
      </c>
      <c r="AR654">
        <f>SUMPRODUCT((B24:B31&lt;=$B$6)*(C24:C31*AM654+D24:D31*AO654*$B$8*AQ654)/(1+AL654/100)^B24:B31)+C32*AM654*AP654/(1+AL654/100)^$B$6</f>
        <v/>
      </c>
      <c r="AS654">
        <f>SUMPRODUCT((K24:K26&lt;=$B$6)*(L24:L26*AN654+M24:M26*AO654*$B$8*AQ654)/(1+AL654/100)^K24:K26)+L27*AN654*AP654/(1+AL654/100)^$B$6</f>
        <v/>
      </c>
      <c r="AT654">
        <f>AS654-AR654</f>
        <v/>
      </c>
      <c r="AU654">
        <f>RAND()</f>
        <v/>
      </c>
      <c r="AV654">
        <f>RAND()</f>
        <v/>
      </c>
      <c r="AW654">
        <f>RAND()</f>
        <v/>
      </c>
      <c r="AX654">
        <f>RAND()</f>
        <v/>
      </c>
      <c r="AY654">
        <f>RAND()</f>
        <v/>
      </c>
      <c r="AZ654">
        <f>RAND()</f>
        <v/>
      </c>
    </row>
    <row r="655">
      <c r="AK655" t="n">
        <v>642</v>
      </c>
      <c r="AL655">
        <f>IFERROR(IF(AU655&lt;($AM$6-$AL$6)/($AN$6-$AL$6),$AL$6+SQRT(AU655*($AN$6-$AL$6)*($AM$6-$AL$6)),$AN$6-SQRT((1-AU655)*($AN$6-$AL$6)*($AN$6-$AM$6))),$AM$6)</f>
        <v/>
      </c>
      <c r="AM655">
        <f>IFERROR(IF(AV655&lt;($AM$7-$AL$7)/($AN$7-$AL$7),$AL$7+SQRT(AV655*($AN$7-$AL$7)*($AM$7-$AL$7)),$AN$7-SQRT((1-AV655)*($AN$7-$AL$7)*($AN$7-$AM$7))),$AM$7)</f>
        <v/>
      </c>
      <c r="AN655">
        <f>IFERROR(IF(AW655&lt;($AM$8-$AL$8)/($AN$8-$AL$8),$AL$8+SQRT(AW655*($AN$8-$AL$8)*($AM$8-$AL$8)),$AN$8-SQRT((1-AW655)*($AN$8-$AL$8)*($AN$8-$AM$8))),$AM$8)</f>
        <v/>
      </c>
      <c r="AO655">
        <f>IFERROR(IF(AX655&lt;($AM$9-$AL$9)/($AN$9-$AL$9),$AL$9+SQRT(AX655*($AN$9-$AL$9)*($AM$9-$AL$9)),$AN$9-SQRT((1-AX655)*($AN$9-$AL$9)*($AN$9-$AM$9))),$AM$9)</f>
        <v/>
      </c>
      <c r="AP655">
        <f>IFERROR(IF(AY655&lt;($AM$10-$AL$10)/($AN$10-$AL$10),$AL$10+SQRT(AY655*($AN$10-$AL$10)*($AM$10-$AL$10)),$AN$10-SQRT((1-AY655)*($AN$10-$AL$10)*($AN$10-$AM$10))),$AM$10)</f>
        <v/>
      </c>
      <c r="AQ655">
        <f>IFERROR(IF(AZ655&lt;($AM$11-$AL$11)/($AN$11-$AL$11),$AL$11+SQRT(AZ655*($AN$11-$AL$11)*($AM$11-$AL$11)),$AN$11-SQRT((1-AZ655)*($AN$11-$AL$11)*($AN$11-$AM$11))),$AM$11)</f>
        <v/>
      </c>
      <c r="AR655">
        <f>SUMPRODUCT((B24:B31&lt;=$B$6)*(C24:C31*AM655+D24:D31*AO655*$B$8*AQ655)/(1+AL655/100)^B24:B31)+C32*AM655*AP655/(1+AL655/100)^$B$6</f>
        <v/>
      </c>
      <c r="AS655">
        <f>SUMPRODUCT((K24:K26&lt;=$B$6)*(L24:L26*AN655+M24:M26*AO655*$B$8*AQ655)/(1+AL655/100)^K24:K26)+L27*AN655*AP655/(1+AL655/100)^$B$6</f>
        <v/>
      </c>
      <c r="AT655">
        <f>AS655-AR655</f>
        <v/>
      </c>
      <c r="AU655">
        <f>RAND()</f>
        <v/>
      </c>
      <c r="AV655">
        <f>RAND()</f>
        <v/>
      </c>
      <c r="AW655">
        <f>RAND()</f>
        <v/>
      </c>
      <c r="AX655">
        <f>RAND()</f>
        <v/>
      </c>
      <c r="AY655">
        <f>RAND()</f>
        <v/>
      </c>
      <c r="AZ655">
        <f>RAND()</f>
        <v/>
      </c>
    </row>
    <row r="656">
      <c r="AK656" t="n">
        <v>643</v>
      </c>
      <c r="AL656">
        <f>IFERROR(IF(AU656&lt;($AM$6-$AL$6)/($AN$6-$AL$6),$AL$6+SQRT(AU656*($AN$6-$AL$6)*($AM$6-$AL$6)),$AN$6-SQRT((1-AU656)*($AN$6-$AL$6)*($AN$6-$AM$6))),$AM$6)</f>
        <v/>
      </c>
      <c r="AM656">
        <f>IFERROR(IF(AV656&lt;($AM$7-$AL$7)/($AN$7-$AL$7),$AL$7+SQRT(AV656*($AN$7-$AL$7)*($AM$7-$AL$7)),$AN$7-SQRT((1-AV656)*($AN$7-$AL$7)*($AN$7-$AM$7))),$AM$7)</f>
        <v/>
      </c>
      <c r="AN656">
        <f>IFERROR(IF(AW656&lt;($AM$8-$AL$8)/($AN$8-$AL$8),$AL$8+SQRT(AW656*($AN$8-$AL$8)*($AM$8-$AL$8)),$AN$8-SQRT((1-AW656)*($AN$8-$AL$8)*($AN$8-$AM$8))),$AM$8)</f>
        <v/>
      </c>
      <c r="AO656">
        <f>IFERROR(IF(AX656&lt;($AM$9-$AL$9)/($AN$9-$AL$9),$AL$9+SQRT(AX656*($AN$9-$AL$9)*($AM$9-$AL$9)),$AN$9-SQRT((1-AX656)*($AN$9-$AL$9)*($AN$9-$AM$9))),$AM$9)</f>
        <v/>
      </c>
      <c r="AP656">
        <f>IFERROR(IF(AY656&lt;($AM$10-$AL$10)/($AN$10-$AL$10),$AL$10+SQRT(AY656*($AN$10-$AL$10)*($AM$10-$AL$10)),$AN$10-SQRT((1-AY656)*($AN$10-$AL$10)*($AN$10-$AM$10))),$AM$10)</f>
        <v/>
      </c>
      <c r="AQ656">
        <f>IFERROR(IF(AZ656&lt;($AM$11-$AL$11)/($AN$11-$AL$11),$AL$11+SQRT(AZ656*($AN$11-$AL$11)*($AM$11-$AL$11)),$AN$11-SQRT((1-AZ656)*($AN$11-$AL$11)*($AN$11-$AM$11))),$AM$11)</f>
        <v/>
      </c>
      <c r="AR656">
        <f>SUMPRODUCT((B24:B31&lt;=$B$6)*(C24:C31*AM656+D24:D31*AO656*$B$8*AQ656)/(1+AL656/100)^B24:B31)+C32*AM656*AP656/(1+AL656/100)^$B$6</f>
        <v/>
      </c>
      <c r="AS656">
        <f>SUMPRODUCT((K24:K26&lt;=$B$6)*(L24:L26*AN656+M24:M26*AO656*$B$8*AQ656)/(1+AL656/100)^K24:K26)+L27*AN656*AP656/(1+AL656/100)^$B$6</f>
        <v/>
      </c>
      <c r="AT656">
        <f>AS656-AR656</f>
        <v/>
      </c>
      <c r="AU656">
        <f>RAND()</f>
        <v/>
      </c>
      <c r="AV656">
        <f>RAND()</f>
        <v/>
      </c>
      <c r="AW656">
        <f>RAND()</f>
        <v/>
      </c>
      <c r="AX656">
        <f>RAND()</f>
        <v/>
      </c>
      <c r="AY656">
        <f>RAND()</f>
        <v/>
      </c>
      <c r="AZ656">
        <f>RAND()</f>
        <v/>
      </c>
    </row>
    <row r="657">
      <c r="AK657" t="n">
        <v>644</v>
      </c>
      <c r="AL657">
        <f>IFERROR(IF(AU657&lt;($AM$6-$AL$6)/($AN$6-$AL$6),$AL$6+SQRT(AU657*($AN$6-$AL$6)*($AM$6-$AL$6)),$AN$6-SQRT((1-AU657)*($AN$6-$AL$6)*($AN$6-$AM$6))),$AM$6)</f>
        <v/>
      </c>
      <c r="AM657">
        <f>IFERROR(IF(AV657&lt;($AM$7-$AL$7)/($AN$7-$AL$7),$AL$7+SQRT(AV657*($AN$7-$AL$7)*($AM$7-$AL$7)),$AN$7-SQRT((1-AV657)*($AN$7-$AL$7)*($AN$7-$AM$7))),$AM$7)</f>
        <v/>
      </c>
      <c r="AN657">
        <f>IFERROR(IF(AW657&lt;($AM$8-$AL$8)/($AN$8-$AL$8),$AL$8+SQRT(AW657*($AN$8-$AL$8)*($AM$8-$AL$8)),$AN$8-SQRT((1-AW657)*($AN$8-$AL$8)*($AN$8-$AM$8))),$AM$8)</f>
        <v/>
      </c>
      <c r="AO657">
        <f>IFERROR(IF(AX657&lt;($AM$9-$AL$9)/($AN$9-$AL$9),$AL$9+SQRT(AX657*($AN$9-$AL$9)*($AM$9-$AL$9)),$AN$9-SQRT((1-AX657)*($AN$9-$AL$9)*($AN$9-$AM$9))),$AM$9)</f>
        <v/>
      </c>
      <c r="AP657">
        <f>IFERROR(IF(AY657&lt;($AM$10-$AL$10)/($AN$10-$AL$10),$AL$10+SQRT(AY657*($AN$10-$AL$10)*($AM$10-$AL$10)),$AN$10-SQRT((1-AY657)*($AN$10-$AL$10)*($AN$10-$AM$10))),$AM$10)</f>
        <v/>
      </c>
      <c r="AQ657">
        <f>IFERROR(IF(AZ657&lt;($AM$11-$AL$11)/($AN$11-$AL$11),$AL$11+SQRT(AZ657*($AN$11-$AL$11)*($AM$11-$AL$11)),$AN$11-SQRT((1-AZ657)*($AN$11-$AL$11)*($AN$11-$AM$11))),$AM$11)</f>
        <v/>
      </c>
      <c r="AR657">
        <f>SUMPRODUCT((B24:B31&lt;=$B$6)*(C24:C31*AM657+D24:D31*AO657*$B$8*AQ657)/(1+AL657/100)^B24:B31)+C32*AM657*AP657/(1+AL657/100)^$B$6</f>
        <v/>
      </c>
      <c r="AS657">
        <f>SUMPRODUCT((K24:K26&lt;=$B$6)*(L24:L26*AN657+M24:M26*AO657*$B$8*AQ657)/(1+AL657/100)^K24:K26)+L27*AN657*AP657/(1+AL657/100)^$B$6</f>
        <v/>
      </c>
      <c r="AT657">
        <f>AS657-AR657</f>
        <v/>
      </c>
      <c r="AU657">
        <f>RAND()</f>
        <v/>
      </c>
      <c r="AV657">
        <f>RAND()</f>
        <v/>
      </c>
      <c r="AW657">
        <f>RAND()</f>
        <v/>
      </c>
      <c r="AX657">
        <f>RAND()</f>
        <v/>
      </c>
      <c r="AY657">
        <f>RAND()</f>
        <v/>
      </c>
      <c r="AZ657">
        <f>RAND()</f>
        <v/>
      </c>
    </row>
    <row r="658">
      <c r="AK658" t="n">
        <v>645</v>
      </c>
      <c r="AL658">
        <f>IFERROR(IF(AU658&lt;($AM$6-$AL$6)/($AN$6-$AL$6),$AL$6+SQRT(AU658*($AN$6-$AL$6)*($AM$6-$AL$6)),$AN$6-SQRT((1-AU658)*($AN$6-$AL$6)*($AN$6-$AM$6))),$AM$6)</f>
        <v/>
      </c>
      <c r="AM658">
        <f>IFERROR(IF(AV658&lt;($AM$7-$AL$7)/($AN$7-$AL$7),$AL$7+SQRT(AV658*($AN$7-$AL$7)*($AM$7-$AL$7)),$AN$7-SQRT((1-AV658)*($AN$7-$AL$7)*($AN$7-$AM$7))),$AM$7)</f>
        <v/>
      </c>
      <c r="AN658">
        <f>IFERROR(IF(AW658&lt;($AM$8-$AL$8)/($AN$8-$AL$8),$AL$8+SQRT(AW658*($AN$8-$AL$8)*($AM$8-$AL$8)),$AN$8-SQRT((1-AW658)*($AN$8-$AL$8)*($AN$8-$AM$8))),$AM$8)</f>
        <v/>
      </c>
      <c r="AO658">
        <f>IFERROR(IF(AX658&lt;($AM$9-$AL$9)/($AN$9-$AL$9),$AL$9+SQRT(AX658*($AN$9-$AL$9)*($AM$9-$AL$9)),$AN$9-SQRT((1-AX658)*($AN$9-$AL$9)*($AN$9-$AM$9))),$AM$9)</f>
        <v/>
      </c>
      <c r="AP658">
        <f>IFERROR(IF(AY658&lt;($AM$10-$AL$10)/($AN$10-$AL$10),$AL$10+SQRT(AY658*($AN$10-$AL$10)*($AM$10-$AL$10)),$AN$10-SQRT((1-AY658)*($AN$10-$AL$10)*($AN$10-$AM$10))),$AM$10)</f>
        <v/>
      </c>
      <c r="AQ658">
        <f>IFERROR(IF(AZ658&lt;($AM$11-$AL$11)/($AN$11-$AL$11),$AL$11+SQRT(AZ658*($AN$11-$AL$11)*($AM$11-$AL$11)),$AN$11-SQRT((1-AZ658)*($AN$11-$AL$11)*($AN$11-$AM$11))),$AM$11)</f>
        <v/>
      </c>
      <c r="AR658">
        <f>SUMPRODUCT((B24:B31&lt;=$B$6)*(C24:C31*AM658+D24:D31*AO658*$B$8*AQ658)/(1+AL658/100)^B24:B31)+C32*AM658*AP658/(1+AL658/100)^$B$6</f>
        <v/>
      </c>
      <c r="AS658">
        <f>SUMPRODUCT((K24:K26&lt;=$B$6)*(L24:L26*AN658+M24:M26*AO658*$B$8*AQ658)/(1+AL658/100)^K24:K26)+L27*AN658*AP658/(1+AL658/100)^$B$6</f>
        <v/>
      </c>
      <c r="AT658">
        <f>AS658-AR658</f>
        <v/>
      </c>
      <c r="AU658">
        <f>RAND()</f>
        <v/>
      </c>
      <c r="AV658">
        <f>RAND()</f>
        <v/>
      </c>
      <c r="AW658">
        <f>RAND()</f>
        <v/>
      </c>
      <c r="AX658">
        <f>RAND()</f>
        <v/>
      </c>
      <c r="AY658">
        <f>RAND()</f>
        <v/>
      </c>
      <c r="AZ658">
        <f>RAND()</f>
        <v/>
      </c>
    </row>
    <row r="659">
      <c r="AK659" t="n">
        <v>646</v>
      </c>
      <c r="AL659">
        <f>IFERROR(IF(AU659&lt;($AM$6-$AL$6)/($AN$6-$AL$6),$AL$6+SQRT(AU659*($AN$6-$AL$6)*($AM$6-$AL$6)),$AN$6-SQRT((1-AU659)*($AN$6-$AL$6)*($AN$6-$AM$6))),$AM$6)</f>
        <v/>
      </c>
      <c r="AM659">
        <f>IFERROR(IF(AV659&lt;($AM$7-$AL$7)/($AN$7-$AL$7),$AL$7+SQRT(AV659*($AN$7-$AL$7)*($AM$7-$AL$7)),$AN$7-SQRT((1-AV659)*($AN$7-$AL$7)*($AN$7-$AM$7))),$AM$7)</f>
        <v/>
      </c>
      <c r="AN659">
        <f>IFERROR(IF(AW659&lt;($AM$8-$AL$8)/($AN$8-$AL$8),$AL$8+SQRT(AW659*($AN$8-$AL$8)*($AM$8-$AL$8)),$AN$8-SQRT((1-AW659)*($AN$8-$AL$8)*($AN$8-$AM$8))),$AM$8)</f>
        <v/>
      </c>
      <c r="AO659">
        <f>IFERROR(IF(AX659&lt;($AM$9-$AL$9)/($AN$9-$AL$9),$AL$9+SQRT(AX659*($AN$9-$AL$9)*($AM$9-$AL$9)),$AN$9-SQRT((1-AX659)*($AN$9-$AL$9)*($AN$9-$AM$9))),$AM$9)</f>
        <v/>
      </c>
      <c r="AP659">
        <f>IFERROR(IF(AY659&lt;($AM$10-$AL$10)/($AN$10-$AL$10),$AL$10+SQRT(AY659*($AN$10-$AL$10)*($AM$10-$AL$10)),$AN$10-SQRT((1-AY659)*($AN$10-$AL$10)*($AN$10-$AM$10))),$AM$10)</f>
        <v/>
      </c>
      <c r="AQ659">
        <f>IFERROR(IF(AZ659&lt;($AM$11-$AL$11)/($AN$11-$AL$11),$AL$11+SQRT(AZ659*($AN$11-$AL$11)*($AM$11-$AL$11)),$AN$11-SQRT((1-AZ659)*($AN$11-$AL$11)*($AN$11-$AM$11))),$AM$11)</f>
        <v/>
      </c>
      <c r="AR659">
        <f>SUMPRODUCT((B24:B31&lt;=$B$6)*(C24:C31*AM659+D24:D31*AO659*$B$8*AQ659)/(1+AL659/100)^B24:B31)+C32*AM659*AP659/(1+AL659/100)^$B$6</f>
        <v/>
      </c>
      <c r="AS659">
        <f>SUMPRODUCT((K24:K26&lt;=$B$6)*(L24:L26*AN659+M24:M26*AO659*$B$8*AQ659)/(1+AL659/100)^K24:K26)+L27*AN659*AP659/(1+AL659/100)^$B$6</f>
        <v/>
      </c>
      <c r="AT659">
        <f>AS659-AR659</f>
        <v/>
      </c>
      <c r="AU659">
        <f>RAND()</f>
        <v/>
      </c>
      <c r="AV659">
        <f>RAND()</f>
        <v/>
      </c>
      <c r="AW659">
        <f>RAND()</f>
        <v/>
      </c>
      <c r="AX659">
        <f>RAND()</f>
        <v/>
      </c>
      <c r="AY659">
        <f>RAND()</f>
        <v/>
      </c>
      <c r="AZ659">
        <f>RAND()</f>
        <v/>
      </c>
    </row>
    <row r="660">
      <c r="AK660" t="n">
        <v>647</v>
      </c>
      <c r="AL660">
        <f>IFERROR(IF(AU660&lt;($AM$6-$AL$6)/($AN$6-$AL$6),$AL$6+SQRT(AU660*($AN$6-$AL$6)*($AM$6-$AL$6)),$AN$6-SQRT((1-AU660)*($AN$6-$AL$6)*($AN$6-$AM$6))),$AM$6)</f>
        <v/>
      </c>
      <c r="AM660">
        <f>IFERROR(IF(AV660&lt;($AM$7-$AL$7)/($AN$7-$AL$7),$AL$7+SQRT(AV660*($AN$7-$AL$7)*($AM$7-$AL$7)),$AN$7-SQRT((1-AV660)*($AN$7-$AL$7)*($AN$7-$AM$7))),$AM$7)</f>
        <v/>
      </c>
      <c r="AN660">
        <f>IFERROR(IF(AW660&lt;($AM$8-$AL$8)/($AN$8-$AL$8),$AL$8+SQRT(AW660*($AN$8-$AL$8)*($AM$8-$AL$8)),$AN$8-SQRT((1-AW660)*($AN$8-$AL$8)*($AN$8-$AM$8))),$AM$8)</f>
        <v/>
      </c>
      <c r="AO660">
        <f>IFERROR(IF(AX660&lt;($AM$9-$AL$9)/($AN$9-$AL$9),$AL$9+SQRT(AX660*($AN$9-$AL$9)*($AM$9-$AL$9)),$AN$9-SQRT((1-AX660)*($AN$9-$AL$9)*($AN$9-$AM$9))),$AM$9)</f>
        <v/>
      </c>
      <c r="AP660">
        <f>IFERROR(IF(AY660&lt;($AM$10-$AL$10)/($AN$10-$AL$10),$AL$10+SQRT(AY660*($AN$10-$AL$10)*($AM$10-$AL$10)),$AN$10-SQRT((1-AY660)*($AN$10-$AL$10)*($AN$10-$AM$10))),$AM$10)</f>
        <v/>
      </c>
      <c r="AQ660">
        <f>IFERROR(IF(AZ660&lt;($AM$11-$AL$11)/($AN$11-$AL$11),$AL$11+SQRT(AZ660*($AN$11-$AL$11)*($AM$11-$AL$11)),$AN$11-SQRT((1-AZ660)*($AN$11-$AL$11)*($AN$11-$AM$11))),$AM$11)</f>
        <v/>
      </c>
      <c r="AR660">
        <f>SUMPRODUCT((B24:B31&lt;=$B$6)*(C24:C31*AM660+D24:D31*AO660*$B$8*AQ660)/(1+AL660/100)^B24:B31)+C32*AM660*AP660/(1+AL660/100)^$B$6</f>
        <v/>
      </c>
      <c r="AS660">
        <f>SUMPRODUCT((K24:K26&lt;=$B$6)*(L24:L26*AN660+M24:M26*AO660*$B$8*AQ660)/(1+AL660/100)^K24:K26)+L27*AN660*AP660/(1+AL660/100)^$B$6</f>
        <v/>
      </c>
      <c r="AT660">
        <f>AS660-AR660</f>
        <v/>
      </c>
      <c r="AU660">
        <f>RAND()</f>
        <v/>
      </c>
      <c r="AV660">
        <f>RAND()</f>
        <v/>
      </c>
      <c r="AW660">
        <f>RAND()</f>
        <v/>
      </c>
      <c r="AX660">
        <f>RAND()</f>
        <v/>
      </c>
      <c r="AY660">
        <f>RAND()</f>
        <v/>
      </c>
      <c r="AZ660">
        <f>RAND()</f>
        <v/>
      </c>
    </row>
    <row r="661">
      <c r="AK661" t="n">
        <v>648</v>
      </c>
      <c r="AL661">
        <f>IFERROR(IF(AU661&lt;($AM$6-$AL$6)/($AN$6-$AL$6),$AL$6+SQRT(AU661*($AN$6-$AL$6)*($AM$6-$AL$6)),$AN$6-SQRT((1-AU661)*($AN$6-$AL$6)*($AN$6-$AM$6))),$AM$6)</f>
        <v/>
      </c>
      <c r="AM661">
        <f>IFERROR(IF(AV661&lt;($AM$7-$AL$7)/($AN$7-$AL$7),$AL$7+SQRT(AV661*($AN$7-$AL$7)*($AM$7-$AL$7)),$AN$7-SQRT((1-AV661)*($AN$7-$AL$7)*($AN$7-$AM$7))),$AM$7)</f>
        <v/>
      </c>
      <c r="AN661">
        <f>IFERROR(IF(AW661&lt;($AM$8-$AL$8)/($AN$8-$AL$8),$AL$8+SQRT(AW661*($AN$8-$AL$8)*($AM$8-$AL$8)),$AN$8-SQRT((1-AW661)*($AN$8-$AL$8)*($AN$8-$AM$8))),$AM$8)</f>
        <v/>
      </c>
      <c r="AO661">
        <f>IFERROR(IF(AX661&lt;($AM$9-$AL$9)/($AN$9-$AL$9),$AL$9+SQRT(AX661*($AN$9-$AL$9)*($AM$9-$AL$9)),$AN$9-SQRT((1-AX661)*($AN$9-$AL$9)*($AN$9-$AM$9))),$AM$9)</f>
        <v/>
      </c>
      <c r="AP661">
        <f>IFERROR(IF(AY661&lt;($AM$10-$AL$10)/($AN$10-$AL$10),$AL$10+SQRT(AY661*($AN$10-$AL$10)*($AM$10-$AL$10)),$AN$10-SQRT((1-AY661)*($AN$10-$AL$10)*($AN$10-$AM$10))),$AM$10)</f>
        <v/>
      </c>
      <c r="AQ661">
        <f>IFERROR(IF(AZ661&lt;($AM$11-$AL$11)/($AN$11-$AL$11),$AL$11+SQRT(AZ661*($AN$11-$AL$11)*($AM$11-$AL$11)),$AN$11-SQRT((1-AZ661)*($AN$11-$AL$11)*($AN$11-$AM$11))),$AM$11)</f>
        <v/>
      </c>
      <c r="AR661">
        <f>SUMPRODUCT((B24:B31&lt;=$B$6)*(C24:C31*AM661+D24:D31*AO661*$B$8*AQ661)/(1+AL661/100)^B24:B31)+C32*AM661*AP661/(1+AL661/100)^$B$6</f>
        <v/>
      </c>
      <c r="AS661">
        <f>SUMPRODUCT((K24:K26&lt;=$B$6)*(L24:L26*AN661+M24:M26*AO661*$B$8*AQ661)/(1+AL661/100)^K24:K26)+L27*AN661*AP661/(1+AL661/100)^$B$6</f>
        <v/>
      </c>
      <c r="AT661">
        <f>AS661-AR661</f>
        <v/>
      </c>
      <c r="AU661">
        <f>RAND()</f>
        <v/>
      </c>
      <c r="AV661">
        <f>RAND()</f>
        <v/>
      </c>
      <c r="AW661">
        <f>RAND()</f>
        <v/>
      </c>
      <c r="AX661">
        <f>RAND()</f>
        <v/>
      </c>
      <c r="AY661">
        <f>RAND()</f>
        <v/>
      </c>
      <c r="AZ661">
        <f>RAND()</f>
        <v/>
      </c>
    </row>
    <row r="662">
      <c r="AK662" t="n">
        <v>649</v>
      </c>
      <c r="AL662">
        <f>IFERROR(IF(AU662&lt;($AM$6-$AL$6)/($AN$6-$AL$6),$AL$6+SQRT(AU662*($AN$6-$AL$6)*($AM$6-$AL$6)),$AN$6-SQRT((1-AU662)*($AN$6-$AL$6)*($AN$6-$AM$6))),$AM$6)</f>
        <v/>
      </c>
      <c r="AM662">
        <f>IFERROR(IF(AV662&lt;($AM$7-$AL$7)/($AN$7-$AL$7),$AL$7+SQRT(AV662*($AN$7-$AL$7)*($AM$7-$AL$7)),$AN$7-SQRT((1-AV662)*($AN$7-$AL$7)*($AN$7-$AM$7))),$AM$7)</f>
        <v/>
      </c>
      <c r="AN662">
        <f>IFERROR(IF(AW662&lt;($AM$8-$AL$8)/($AN$8-$AL$8),$AL$8+SQRT(AW662*($AN$8-$AL$8)*($AM$8-$AL$8)),$AN$8-SQRT((1-AW662)*($AN$8-$AL$8)*($AN$8-$AM$8))),$AM$8)</f>
        <v/>
      </c>
      <c r="AO662">
        <f>IFERROR(IF(AX662&lt;($AM$9-$AL$9)/($AN$9-$AL$9),$AL$9+SQRT(AX662*($AN$9-$AL$9)*($AM$9-$AL$9)),$AN$9-SQRT((1-AX662)*($AN$9-$AL$9)*($AN$9-$AM$9))),$AM$9)</f>
        <v/>
      </c>
      <c r="AP662">
        <f>IFERROR(IF(AY662&lt;($AM$10-$AL$10)/($AN$10-$AL$10),$AL$10+SQRT(AY662*($AN$10-$AL$10)*($AM$10-$AL$10)),$AN$10-SQRT((1-AY662)*($AN$10-$AL$10)*($AN$10-$AM$10))),$AM$10)</f>
        <v/>
      </c>
      <c r="AQ662">
        <f>IFERROR(IF(AZ662&lt;($AM$11-$AL$11)/($AN$11-$AL$11),$AL$11+SQRT(AZ662*($AN$11-$AL$11)*($AM$11-$AL$11)),$AN$11-SQRT((1-AZ662)*($AN$11-$AL$11)*($AN$11-$AM$11))),$AM$11)</f>
        <v/>
      </c>
      <c r="AR662">
        <f>SUMPRODUCT((B24:B31&lt;=$B$6)*(C24:C31*AM662+D24:D31*AO662*$B$8*AQ662)/(1+AL662/100)^B24:B31)+C32*AM662*AP662/(1+AL662/100)^$B$6</f>
        <v/>
      </c>
      <c r="AS662">
        <f>SUMPRODUCT((K24:K26&lt;=$B$6)*(L24:L26*AN662+M24:M26*AO662*$B$8*AQ662)/(1+AL662/100)^K24:K26)+L27*AN662*AP662/(1+AL662/100)^$B$6</f>
        <v/>
      </c>
      <c r="AT662">
        <f>AS662-AR662</f>
        <v/>
      </c>
      <c r="AU662">
        <f>RAND()</f>
        <v/>
      </c>
      <c r="AV662">
        <f>RAND()</f>
        <v/>
      </c>
      <c r="AW662">
        <f>RAND()</f>
        <v/>
      </c>
      <c r="AX662">
        <f>RAND()</f>
        <v/>
      </c>
      <c r="AY662">
        <f>RAND()</f>
        <v/>
      </c>
      <c r="AZ662">
        <f>RAND()</f>
        <v/>
      </c>
    </row>
    <row r="663">
      <c r="AK663" t="n">
        <v>650</v>
      </c>
      <c r="AL663">
        <f>IFERROR(IF(AU663&lt;($AM$6-$AL$6)/($AN$6-$AL$6),$AL$6+SQRT(AU663*($AN$6-$AL$6)*($AM$6-$AL$6)),$AN$6-SQRT((1-AU663)*($AN$6-$AL$6)*($AN$6-$AM$6))),$AM$6)</f>
        <v/>
      </c>
      <c r="AM663">
        <f>IFERROR(IF(AV663&lt;($AM$7-$AL$7)/($AN$7-$AL$7),$AL$7+SQRT(AV663*($AN$7-$AL$7)*($AM$7-$AL$7)),$AN$7-SQRT((1-AV663)*($AN$7-$AL$7)*($AN$7-$AM$7))),$AM$7)</f>
        <v/>
      </c>
      <c r="AN663">
        <f>IFERROR(IF(AW663&lt;($AM$8-$AL$8)/($AN$8-$AL$8),$AL$8+SQRT(AW663*($AN$8-$AL$8)*($AM$8-$AL$8)),$AN$8-SQRT((1-AW663)*($AN$8-$AL$8)*($AN$8-$AM$8))),$AM$8)</f>
        <v/>
      </c>
      <c r="AO663">
        <f>IFERROR(IF(AX663&lt;($AM$9-$AL$9)/($AN$9-$AL$9),$AL$9+SQRT(AX663*($AN$9-$AL$9)*($AM$9-$AL$9)),$AN$9-SQRT((1-AX663)*($AN$9-$AL$9)*($AN$9-$AM$9))),$AM$9)</f>
        <v/>
      </c>
      <c r="AP663">
        <f>IFERROR(IF(AY663&lt;($AM$10-$AL$10)/($AN$10-$AL$10),$AL$10+SQRT(AY663*($AN$10-$AL$10)*($AM$10-$AL$10)),$AN$10-SQRT((1-AY663)*($AN$10-$AL$10)*($AN$10-$AM$10))),$AM$10)</f>
        <v/>
      </c>
      <c r="AQ663">
        <f>IFERROR(IF(AZ663&lt;($AM$11-$AL$11)/($AN$11-$AL$11),$AL$11+SQRT(AZ663*($AN$11-$AL$11)*($AM$11-$AL$11)),$AN$11-SQRT((1-AZ663)*($AN$11-$AL$11)*($AN$11-$AM$11))),$AM$11)</f>
        <v/>
      </c>
      <c r="AR663">
        <f>SUMPRODUCT((B24:B31&lt;=$B$6)*(C24:C31*AM663+D24:D31*AO663*$B$8*AQ663)/(1+AL663/100)^B24:B31)+C32*AM663*AP663/(1+AL663/100)^$B$6</f>
        <v/>
      </c>
      <c r="AS663">
        <f>SUMPRODUCT((K24:K26&lt;=$B$6)*(L24:L26*AN663+M24:M26*AO663*$B$8*AQ663)/(1+AL663/100)^K24:K26)+L27*AN663*AP663/(1+AL663/100)^$B$6</f>
        <v/>
      </c>
      <c r="AT663">
        <f>AS663-AR663</f>
        <v/>
      </c>
      <c r="AU663">
        <f>RAND()</f>
        <v/>
      </c>
      <c r="AV663">
        <f>RAND()</f>
        <v/>
      </c>
      <c r="AW663">
        <f>RAND()</f>
        <v/>
      </c>
      <c r="AX663">
        <f>RAND()</f>
        <v/>
      </c>
      <c r="AY663">
        <f>RAND()</f>
        <v/>
      </c>
      <c r="AZ663">
        <f>RAND()</f>
        <v/>
      </c>
    </row>
    <row r="664">
      <c r="AK664" t="n">
        <v>651</v>
      </c>
      <c r="AL664">
        <f>IFERROR(IF(AU664&lt;($AM$6-$AL$6)/($AN$6-$AL$6),$AL$6+SQRT(AU664*($AN$6-$AL$6)*($AM$6-$AL$6)),$AN$6-SQRT((1-AU664)*($AN$6-$AL$6)*($AN$6-$AM$6))),$AM$6)</f>
        <v/>
      </c>
      <c r="AM664">
        <f>IFERROR(IF(AV664&lt;($AM$7-$AL$7)/($AN$7-$AL$7),$AL$7+SQRT(AV664*($AN$7-$AL$7)*($AM$7-$AL$7)),$AN$7-SQRT((1-AV664)*($AN$7-$AL$7)*($AN$7-$AM$7))),$AM$7)</f>
        <v/>
      </c>
      <c r="AN664">
        <f>IFERROR(IF(AW664&lt;($AM$8-$AL$8)/($AN$8-$AL$8),$AL$8+SQRT(AW664*($AN$8-$AL$8)*($AM$8-$AL$8)),$AN$8-SQRT((1-AW664)*($AN$8-$AL$8)*($AN$8-$AM$8))),$AM$8)</f>
        <v/>
      </c>
      <c r="AO664">
        <f>IFERROR(IF(AX664&lt;($AM$9-$AL$9)/($AN$9-$AL$9),$AL$9+SQRT(AX664*($AN$9-$AL$9)*($AM$9-$AL$9)),$AN$9-SQRT((1-AX664)*($AN$9-$AL$9)*($AN$9-$AM$9))),$AM$9)</f>
        <v/>
      </c>
      <c r="AP664">
        <f>IFERROR(IF(AY664&lt;($AM$10-$AL$10)/($AN$10-$AL$10),$AL$10+SQRT(AY664*($AN$10-$AL$10)*($AM$10-$AL$10)),$AN$10-SQRT((1-AY664)*($AN$10-$AL$10)*($AN$10-$AM$10))),$AM$10)</f>
        <v/>
      </c>
      <c r="AQ664">
        <f>IFERROR(IF(AZ664&lt;($AM$11-$AL$11)/($AN$11-$AL$11),$AL$11+SQRT(AZ664*($AN$11-$AL$11)*($AM$11-$AL$11)),$AN$11-SQRT((1-AZ664)*($AN$11-$AL$11)*($AN$11-$AM$11))),$AM$11)</f>
        <v/>
      </c>
      <c r="AR664">
        <f>SUMPRODUCT((B24:B31&lt;=$B$6)*(C24:C31*AM664+D24:D31*AO664*$B$8*AQ664)/(1+AL664/100)^B24:B31)+C32*AM664*AP664/(1+AL664/100)^$B$6</f>
        <v/>
      </c>
      <c r="AS664">
        <f>SUMPRODUCT((K24:K26&lt;=$B$6)*(L24:L26*AN664+M24:M26*AO664*$B$8*AQ664)/(1+AL664/100)^K24:K26)+L27*AN664*AP664/(1+AL664/100)^$B$6</f>
        <v/>
      </c>
      <c r="AT664">
        <f>AS664-AR664</f>
        <v/>
      </c>
      <c r="AU664">
        <f>RAND()</f>
        <v/>
      </c>
      <c r="AV664">
        <f>RAND()</f>
        <v/>
      </c>
      <c r="AW664">
        <f>RAND()</f>
        <v/>
      </c>
      <c r="AX664">
        <f>RAND()</f>
        <v/>
      </c>
      <c r="AY664">
        <f>RAND()</f>
        <v/>
      </c>
      <c r="AZ664">
        <f>RAND()</f>
        <v/>
      </c>
    </row>
    <row r="665">
      <c r="AK665" t="n">
        <v>652</v>
      </c>
      <c r="AL665">
        <f>IFERROR(IF(AU665&lt;($AM$6-$AL$6)/($AN$6-$AL$6),$AL$6+SQRT(AU665*($AN$6-$AL$6)*($AM$6-$AL$6)),$AN$6-SQRT((1-AU665)*($AN$6-$AL$6)*($AN$6-$AM$6))),$AM$6)</f>
        <v/>
      </c>
      <c r="AM665">
        <f>IFERROR(IF(AV665&lt;($AM$7-$AL$7)/($AN$7-$AL$7),$AL$7+SQRT(AV665*($AN$7-$AL$7)*($AM$7-$AL$7)),$AN$7-SQRT((1-AV665)*($AN$7-$AL$7)*($AN$7-$AM$7))),$AM$7)</f>
        <v/>
      </c>
      <c r="AN665">
        <f>IFERROR(IF(AW665&lt;($AM$8-$AL$8)/($AN$8-$AL$8),$AL$8+SQRT(AW665*($AN$8-$AL$8)*($AM$8-$AL$8)),$AN$8-SQRT((1-AW665)*($AN$8-$AL$8)*($AN$8-$AM$8))),$AM$8)</f>
        <v/>
      </c>
      <c r="AO665">
        <f>IFERROR(IF(AX665&lt;($AM$9-$AL$9)/($AN$9-$AL$9),$AL$9+SQRT(AX665*($AN$9-$AL$9)*($AM$9-$AL$9)),$AN$9-SQRT((1-AX665)*($AN$9-$AL$9)*($AN$9-$AM$9))),$AM$9)</f>
        <v/>
      </c>
      <c r="AP665">
        <f>IFERROR(IF(AY665&lt;($AM$10-$AL$10)/($AN$10-$AL$10),$AL$10+SQRT(AY665*($AN$10-$AL$10)*($AM$10-$AL$10)),$AN$10-SQRT((1-AY665)*($AN$10-$AL$10)*($AN$10-$AM$10))),$AM$10)</f>
        <v/>
      </c>
      <c r="AQ665">
        <f>IFERROR(IF(AZ665&lt;($AM$11-$AL$11)/($AN$11-$AL$11),$AL$11+SQRT(AZ665*($AN$11-$AL$11)*($AM$11-$AL$11)),$AN$11-SQRT((1-AZ665)*($AN$11-$AL$11)*($AN$11-$AM$11))),$AM$11)</f>
        <v/>
      </c>
      <c r="AR665">
        <f>SUMPRODUCT((B24:B31&lt;=$B$6)*(C24:C31*AM665+D24:D31*AO665*$B$8*AQ665)/(1+AL665/100)^B24:B31)+C32*AM665*AP665/(1+AL665/100)^$B$6</f>
        <v/>
      </c>
      <c r="AS665">
        <f>SUMPRODUCT((K24:K26&lt;=$B$6)*(L24:L26*AN665+M24:M26*AO665*$B$8*AQ665)/(1+AL665/100)^K24:K26)+L27*AN665*AP665/(1+AL665/100)^$B$6</f>
        <v/>
      </c>
      <c r="AT665">
        <f>AS665-AR665</f>
        <v/>
      </c>
      <c r="AU665">
        <f>RAND()</f>
        <v/>
      </c>
      <c r="AV665">
        <f>RAND()</f>
        <v/>
      </c>
      <c r="AW665">
        <f>RAND()</f>
        <v/>
      </c>
      <c r="AX665">
        <f>RAND()</f>
        <v/>
      </c>
      <c r="AY665">
        <f>RAND()</f>
        <v/>
      </c>
      <c r="AZ665">
        <f>RAND()</f>
        <v/>
      </c>
    </row>
    <row r="666">
      <c r="AK666" t="n">
        <v>653</v>
      </c>
      <c r="AL666">
        <f>IFERROR(IF(AU666&lt;($AM$6-$AL$6)/($AN$6-$AL$6),$AL$6+SQRT(AU666*($AN$6-$AL$6)*($AM$6-$AL$6)),$AN$6-SQRT((1-AU666)*($AN$6-$AL$6)*($AN$6-$AM$6))),$AM$6)</f>
        <v/>
      </c>
      <c r="AM666">
        <f>IFERROR(IF(AV666&lt;($AM$7-$AL$7)/($AN$7-$AL$7),$AL$7+SQRT(AV666*($AN$7-$AL$7)*($AM$7-$AL$7)),$AN$7-SQRT((1-AV666)*($AN$7-$AL$7)*($AN$7-$AM$7))),$AM$7)</f>
        <v/>
      </c>
      <c r="AN666">
        <f>IFERROR(IF(AW666&lt;($AM$8-$AL$8)/($AN$8-$AL$8),$AL$8+SQRT(AW666*($AN$8-$AL$8)*($AM$8-$AL$8)),$AN$8-SQRT((1-AW666)*($AN$8-$AL$8)*($AN$8-$AM$8))),$AM$8)</f>
        <v/>
      </c>
      <c r="AO666">
        <f>IFERROR(IF(AX666&lt;($AM$9-$AL$9)/($AN$9-$AL$9),$AL$9+SQRT(AX666*($AN$9-$AL$9)*($AM$9-$AL$9)),$AN$9-SQRT((1-AX666)*($AN$9-$AL$9)*($AN$9-$AM$9))),$AM$9)</f>
        <v/>
      </c>
      <c r="AP666">
        <f>IFERROR(IF(AY666&lt;($AM$10-$AL$10)/($AN$10-$AL$10),$AL$10+SQRT(AY666*($AN$10-$AL$10)*($AM$10-$AL$10)),$AN$10-SQRT((1-AY666)*($AN$10-$AL$10)*($AN$10-$AM$10))),$AM$10)</f>
        <v/>
      </c>
      <c r="AQ666">
        <f>IFERROR(IF(AZ666&lt;($AM$11-$AL$11)/($AN$11-$AL$11),$AL$11+SQRT(AZ666*($AN$11-$AL$11)*($AM$11-$AL$11)),$AN$11-SQRT((1-AZ666)*($AN$11-$AL$11)*($AN$11-$AM$11))),$AM$11)</f>
        <v/>
      </c>
      <c r="AR666">
        <f>SUMPRODUCT((B24:B31&lt;=$B$6)*(C24:C31*AM666+D24:D31*AO666*$B$8*AQ666)/(1+AL666/100)^B24:B31)+C32*AM666*AP666/(1+AL666/100)^$B$6</f>
        <v/>
      </c>
      <c r="AS666">
        <f>SUMPRODUCT((K24:K26&lt;=$B$6)*(L24:L26*AN666+M24:M26*AO666*$B$8*AQ666)/(1+AL666/100)^K24:K26)+L27*AN666*AP666/(1+AL666/100)^$B$6</f>
        <v/>
      </c>
      <c r="AT666">
        <f>AS666-AR666</f>
        <v/>
      </c>
      <c r="AU666">
        <f>RAND()</f>
        <v/>
      </c>
      <c r="AV666">
        <f>RAND()</f>
        <v/>
      </c>
      <c r="AW666">
        <f>RAND()</f>
        <v/>
      </c>
      <c r="AX666">
        <f>RAND()</f>
        <v/>
      </c>
      <c r="AY666">
        <f>RAND()</f>
        <v/>
      </c>
      <c r="AZ666">
        <f>RAND()</f>
        <v/>
      </c>
    </row>
    <row r="667">
      <c r="AK667" t="n">
        <v>654</v>
      </c>
      <c r="AL667">
        <f>IFERROR(IF(AU667&lt;($AM$6-$AL$6)/($AN$6-$AL$6),$AL$6+SQRT(AU667*($AN$6-$AL$6)*($AM$6-$AL$6)),$AN$6-SQRT((1-AU667)*($AN$6-$AL$6)*($AN$6-$AM$6))),$AM$6)</f>
        <v/>
      </c>
      <c r="AM667">
        <f>IFERROR(IF(AV667&lt;($AM$7-$AL$7)/($AN$7-$AL$7),$AL$7+SQRT(AV667*($AN$7-$AL$7)*($AM$7-$AL$7)),$AN$7-SQRT((1-AV667)*($AN$7-$AL$7)*($AN$7-$AM$7))),$AM$7)</f>
        <v/>
      </c>
      <c r="AN667">
        <f>IFERROR(IF(AW667&lt;($AM$8-$AL$8)/($AN$8-$AL$8),$AL$8+SQRT(AW667*($AN$8-$AL$8)*($AM$8-$AL$8)),$AN$8-SQRT((1-AW667)*($AN$8-$AL$8)*($AN$8-$AM$8))),$AM$8)</f>
        <v/>
      </c>
      <c r="AO667">
        <f>IFERROR(IF(AX667&lt;($AM$9-$AL$9)/($AN$9-$AL$9),$AL$9+SQRT(AX667*($AN$9-$AL$9)*($AM$9-$AL$9)),$AN$9-SQRT((1-AX667)*($AN$9-$AL$9)*($AN$9-$AM$9))),$AM$9)</f>
        <v/>
      </c>
      <c r="AP667">
        <f>IFERROR(IF(AY667&lt;($AM$10-$AL$10)/($AN$10-$AL$10),$AL$10+SQRT(AY667*($AN$10-$AL$10)*($AM$10-$AL$10)),$AN$10-SQRT((1-AY667)*($AN$10-$AL$10)*($AN$10-$AM$10))),$AM$10)</f>
        <v/>
      </c>
      <c r="AQ667">
        <f>IFERROR(IF(AZ667&lt;($AM$11-$AL$11)/($AN$11-$AL$11),$AL$11+SQRT(AZ667*($AN$11-$AL$11)*($AM$11-$AL$11)),$AN$11-SQRT((1-AZ667)*($AN$11-$AL$11)*($AN$11-$AM$11))),$AM$11)</f>
        <v/>
      </c>
      <c r="AR667">
        <f>SUMPRODUCT((B24:B31&lt;=$B$6)*(C24:C31*AM667+D24:D31*AO667*$B$8*AQ667)/(1+AL667/100)^B24:B31)+C32*AM667*AP667/(1+AL667/100)^$B$6</f>
        <v/>
      </c>
      <c r="AS667">
        <f>SUMPRODUCT((K24:K26&lt;=$B$6)*(L24:L26*AN667+M24:M26*AO667*$B$8*AQ667)/(1+AL667/100)^K24:K26)+L27*AN667*AP667/(1+AL667/100)^$B$6</f>
        <v/>
      </c>
      <c r="AT667">
        <f>AS667-AR667</f>
        <v/>
      </c>
      <c r="AU667">
        <f>RAND()</f>
        <v/>
      </c>
      <c r="AV667">
        <f>RAND()</f>
        <v/>
      </c>
      <c r="AW667">
        <f>RAND()</f>
        <v/>
      </c>
      <c r="AX667">
        <f>RAND()</f>
        <v/>
      </c>
      <c r="AY667">
        <f>RAND()</f>
        <v/>
      </c>
      <c r="AZ667">
        <f>RAND()</f>
        <v/>
      </c>
    </row>
    <row r="668">
      <c r="AK668" t="n">
        <v>655</v>
      </c>
      <c r="AL668">
        <f>IFERROR(IF(AU668&lt;($AM$6-$AL$6)/($AN$6-$AL$6),$AL$6+SQRT(AU668*($AN$6-$AL$6)*($AM$6-$AL$6)),$AN$6-SQRT((1-AU668)*($AN$6-$AL$6)*($AN$6-$AM$6))),$AM$6)</f>
        <v/>
      </c>
      <c r="AM668">
        <f>IFERROR(IF(AV668&lt;($AM$7-$AL$7)/($AN$7-$AL$7),$AL$7+SQRT(AV668*($AN$7-$AL$7)*($AM$7-$AL$7)),$AN$7-SQRT((1-AV668)*($AN$7-$AL$7)*($AN$7-$AM$7))),$AM$7)</f>
        <v/>
      </c>
      <c r="AN668">
        <f>IFERROR(IF(AW668&lt;($AM$8-$AL$8)/($AN$8-$AL$8),$AL$8+SQRT(AW668*($AN$8-$AL$8)*($AM$8-$AL$8)),$AN$8-SQRT((1-AW668)*($AN$8-$AL$8)*($AN$8-$AM$8))),$AM$8)</f>
        <v/>
      </c>
      <c r="AO668">
        <f>IFERROR(IF(AX668&lt;($AM$9-$AL$9)/($AN$9-$AL$9),$AL$9+SQRT(AX668*($AN$9-$AL$9)*($AM$9-$AL$9)),$AN$9-SQRT((1-AX668)*($AN$9-$AL$9)*($AN$9-$AM$9))),$AM$9)</f>
        <v/>
      </c>
      <c r="AP668">
        <f>IFERROR(IF(AY668&lt;($AM$10-$AL$10)/($AN$10-$AL$10),$AL$10+SQRT(AY668*($AN$10-$AL$10)*($AM$10-$AL$10)),$AN$10-SQRT((1-AY668)*($AN$10-$AL$10)*($AN$10-$AM$10))),$AM$10)</f>
        <v/>
      </c>
      <c r="AQ668">
        <f>IFERROR(IF(AZ668&lt;($AM$11-$AL$11)/($AN$11-$AL$11),$AL$11+SQRT(AZ668*($AN$11-$AL$11)*($AM$11-$AL$11)),$AN$11-SQRT((1-AZ668)*($AN$11-$AL$11)*($AN$11-$AM$11))),$AM$11)</f>
        <v/>
      </c>
      <c r="AR668">
        <f>SUMPRODUCT((B24:B31&lt;=$B$6)*(C24:C31*AM668+D24:D31*AO668*$B$8*AQ668)/(1+AL668/100)^B24:B31)+C32*AM668*AP668/(1+AL668/100)^$B$6</f>
        <v/>
      </c>
      <c r="AS668">
        <f>SUMPRODUCT((K24:K26&lt;=$B$6)*(L24:L26*AN668+M24:M26*AO668*$B$8*AQ668)/(1+AL668/100)^K24:K26)+L27*AN668*AP668/(1+AL668/100)^$B$6</f>
        <v/>
      </c>
      <c r="AT668">
        <f>AS668-AR668</f>
        <v/>
      </c>
      <c r="AU668">
        <f>RAND()</f>
        <v/>
      </c>
      <c r="AV668">
        <f>RAND()</f>
        <v/>
      </c>
      <c r="AW668">
        <f>RAND()</f>
        <v/>
      </c>
      <c r="AX668">
        <f>RAND()</f>
        <v/>
      </c>
      <c r="AY668">
        <f>RAND()</f>
        <v/>
      </c>
      <c r="AZ668">
        <f>RAND()</f>
        <v/>
      </c>
    </row>
    <row r="669">
      <c r="AK669" t="n">
        <v>656</v>
      </c>
      <c r="AL669">
        <f>IFERROR(IF(AU669&lt;($AM$6-$AL$6)/($AN$6-$AL$6),$AL$6+SQRT(AU669*($AN$6-$AL$6)*($AM$6-$AL$6)),$AN$6-SQRT((1-AU669)*($AN$6-$AL$6)*($AN$6-$AM$6))),$AM$6)</f>
        <v/>
      </c>
      <c r="AM669">
        <f>IFERROR(IF(AV669&lt;($AM$7-$AL$7)/($AN$7-$AL$7),$AL$7+SQRT(AV669*($AN$7-$AL$7)*($AM$7-$AL$7)),$AN$7-SQRT((1-AV669)*($AN$7-$AL$7)*($AN$7-$AM$7))),$AM$7)</f>
        <v/>
      </c>
      <c r="AN669">
        <f>IFERROR(IF(AW669&lt;($AM$8-$AL$8)/($AN$8-$AL$8),$AL$8+SQRT(AW669*($AN$8-$AL$8)*($AM$8-$AL$8)),$AN$8-SQRT((1-AW669)*($AN$8-$AL$8)*($AN$8-$AM$8))),$AM$8)</f>
        <v/>
      </c>
      <c r="AO669">
        <f>IFERROR(IF(AX669&lt;($AM$9-$AL$9)/($AN$9-$AL$9),$AL$9+SQRT(AX669*($AN$9-$AL$9)*($AM$9-$AL$9)),$AN$9-SQRT((1-AX669)*($AN$9-$AL$9)*($AN$9-$AM$9))),$AM$9)</f>
        <v/>
      </c>
      <c r="AP669">
        <f>IFERROR(IF(AY669&lt;($AM$10-$AL$10)/($AN$10-$AL$10),$AL$10+SQRT(AY669*($AN$10-$AL$10)*($AM$10-$AL$10)),$AN$10-SQRT((1-AY669)*($AN$10-$AL$10)*($AN$10-$AM$10))),$AM$10)</f>
        <v/>
      </c>
      <c r="AQ669">
        <f>IFERROR(IF(AZ669&lt;($AM$11-$AL$11)/($AN$11-$AL$11),$AL$11+SQRT(AZ669*($AN$11-$AL$11)*($AM$11-$AL$11)),$AN$11-SQRT((1-AZ669)*($AN$11-$AL$11)*($AN$11-$AM$11))),$AM$11)</f>
        <v/>
      </c>
      <c r="AR669">
        <f>SUMPRODUCT((B24:B31&lt;=$B$6)*(C24:C31*AM669+D24:D31*AO669*$B$8*AQ669)/(1+AL669/100)^B24:B31)+C32*AM669*AP669/(1+AL669/100)^$B$6</f>
        <v/>
      </c>
      <c r="AS669">
        <f>SUMPRODUCT((K24:K26&lt;=$B$6)*(L24:L26*AN669+M24:M26*AO669*$B$8*AQ669)/(1+AL669/100)^K24:K26)+L27*AN669*AP669/(1+AL669/100)^$B$6</f>
        <v/>
      </c>
      <c r="AT669">
        <f>AS669-AR669</f>
        <v/>
      </c>
      <c r="AU669">
        <f>RAND()</f>
        <v/>
      </c>
      <c r="AV669">
        <f>RAND()</f>
        <v/>
      </c>
      <c r="AW669">
        <f>RAND()</f>
        <v/>
      </c>
      <c r="AX669">
        <f>RAND()</f>
        <v/>
      </c>
      <c r="AY669">
        <f>RAND()</f>
        <v/>
      </c>
      <c r="AZ669">
        <f>RAND()</f>
        <v/>
      </c>
    </row>
    <row r="670">
      <c r="AK670" t="n">
        <v>657</v>
      </c>
      <c r="AL670">
        <f>IFERROR(IF(AU670&lt;($AM$6-$AL$6)/($AN$6-$AL$6),$AL$6+SQRT(AU670*($AN$6-$AL$6)*($AM$6-$AL$6)),$AN$6-SQRT((1-AU670)*($AN$6-$AL$6)*($AN$6-$AM$6))),$AM$6)</f>
        <v/>
      </c>
      <c r="AM670">
        <f>IFERROR(IF(AV670&lt;($AM$7-$AL$7)/($AN$7-$AL$7),$AL$7+SQRT(AV670*($AN$7-$AL$7)*($AM$7-$AL$7)),$AN$7-SQRT((1-AV670)*($AN$7-$AL$7)*($AN$7-$AM$7))),$AM$7)</f>
        <v/>
      </c>
      <c r="AN670">
        <f>IFERROR(IF(AW670&lt;($AM$8-$AL$8)/($AN$8-$AL$8),$AL$8+SQRT(AW670*($AN$8-$AL$8)*($AM$8-$AL$8)),$AN$8-SQRT((1-AW670)*($AN$8-$AL$8)*($AN$8-$AM$8))),$AM$8)</f>
        <v/>
      </c>
      <c r="AO670">
        <f>IFERROR(IF(AX670&lt;($AM$9-$AL$9)/($AN$9-$AL$9),$AL$9+SQRT(AX670*($AN$9-$AL$9)*($AM$9-$AL$9)),$AN$9-SQRT((1-AX670)*($AN$9-$AL$9)*($AN$9-$AM$9))),$AM$9)</f>
        <v/>
      </c>
      <c r="AP670">
        <f>IFERROR(IF(AY670&lt;($AM$10-$AL$10)/($AN$10-$AL$10),$AL$10+SQRT(AY670*($AN$10-$AL$10)*($AM$10-$AL$10)),$AN$10-SQRT((1-AY670)*($AN$10-$AL$10)*($AN$10-$AM$10))),$AM$10)</f>
        <v/>
      </c>
      <c r="AQ670">
        <f>IFERROR(IF(AZ670&lt;($AM$11-$AL$11)/($AN$11-$AL$11),$AL$11+SQRT(AZ670*($AN$11-$AL$11)*($AM$11-$AL$11)),$AN$11-SQRT((1-AZ670)*($AN$11-$AL$11)*($AN$11-$AM$11))),$AM$11)</f>
        <v/>
      </c>
      <c r="AR670">
        <f>SUMPRODUCT((B24:B31&lt;=$B$6)*(C24:C31*AM670+D24:D31*AO670*$B$8*AQ670)/(1+AL670/100)^B24:B31)+C32*AM670*AP670/(1+AL670/100)^$B$6</f>
        <v/>
      </c>
      <c r="AS670">
        <f>SUMPRODUCT((K24:K26&lt;=$B$6)*(L24:L26*AN670+M24:M26*AO670*$B$8*AQ670)/(1+AL670/100)^K24:K26)+L27*AN670*AP670/(1+AL670/100)^$B$6</f>
        <v/>
      </c>
      <c r="AT670">
        <f>AS670-AR670</f>
        <v/>
      </c>
      <c r="AU670">
        <f>RAND()</f>
        <v/>
      </c>
      <c r="AV670">
        <f>RAND()</f>
        <v/>
      </c>
      <c r="AW670">
        <f>RAND()</f>
        <v/>
      </c>
      <c r="AX670">
        <f>RAND()</f>
        <v/>
      </c>
      <c r="AY670">
        <f>RAND()</f>
        <v/>
      </c>
      <c r="AZ670">
        <f>RAND()</f>
        <v/>
      </c>
    </row>
    <row r="671">
      <c r="AK671" t="n">
        <v>658</v>
      </c>
      <c r="AL671">
        <f>IFERROR(IF(AU671&lt;($AM$6-$AL$6)/($AN$6-$AL$6),$AL$6+SQRT(AU671*($AN$6-$AL$6)*($AM$6-$AL$6)),$AN$6-SQRT((1-AU671)*($AN$6-$AL$6)*($AN$6-$AM$6))),$AM$6)</f>
        <v/>
      </c>
      <c r="AM671">
        <f>IFERROR(IF(AV671&lt;($AM$7-$AL$7)/($AN$7-$AL$7),$AL$7+SQRT(AV671*($AN$7-$AL$7)*($AM$7-$AL$7)),$AN$7-SQRT((1-AV671)*($AN$7-$AL$7)*($AN$7-$AM$7))),$AM$7)</f>
        <v/>
      </c>
      <c r="AN671">
        <f>IFERROR(IF(AW671&lt;($AM$8-$AL$8)/($AN$8-$AL$8),$AL$8+SQRT(AW671*($AN$8-$AL$8)*($AM$8-$AL$8)),$AN$8-SQRT((1-AW671)*($AN$8-$AL$8)*($AN$8-$AM$8))),$AM$8)</f>
        <v/>
      </c>
      <c r="AO671">
        <f>IFERROR(IF(AX671&lt;($AM$9-$AL$9)/($AN$9-$AL$9),$AL$9+SQRT(AX671*($AN$9-$AL$9)*($AM$9-$AL$9)),$AN$9-SQRT((1-AX671)*($AN$9-$AL$9)*($AN$9-$AM$9))),$AM$9)</f>
        <v/>
      </c>
      <c r="AP671">
        <f>IFERROR(IF(AY671&lt;($AM$10-$AL$10)/($AN$10-$AL$10),$AL$10+SQRT(AY671*($AN$10-$AL$10)*($AM$10-$AL$10)),$AN$10-SQRT((1-AY671)*($AN$10-$AL$10)*($AN$10-$AM$10))),$AM$10)</f>
        <v/>
      </c>
      <c r="AQ671">
        <f>IFERROR(IF(AZ671&lt;($AM$11-$AL$11)/($AN$11-$AL$11),$AL$11+SQRT(AZ671*($AN$11-$AL$11)*($AM$11-$AL$11)),$AN$11-SQRT((1-AZ671)*($AN$11-$AL$11)*($AN$11-$AM$11))),$AM$11)</f>
        <v/>
      </c>
      <c r="AR671">
        <f>SUMPRODUCT((B24:B31&lt;=$B$6)*(C24:C31*AM671+D24:D31*AO671*$B$8*AQ671)/(1+AL671/100)^B24:B31)+C32*AM671*AP671/(1+AL671/100)^$B$6</f>
        <v/>
      </c>
      <c r="AS671">
        <f>SUMPRODUCT((K24:K26&lt;=$B$6)*(L24:L26*AN671+M24:M26*AO671*$B$8*AQ671)/(1+AL671/100)^K24:K26)+L27*AN671*AP671/(1+AL671/100)^$B$6</f>
        <v/>
      </c>
      <c r="AT671">
        <f>AS671-AR671</f>
        <v/>
      </c>
      <c r="AU671">
        <f>RAND()</f>
        <v/>
      </c>
      <c r="AV671">
        <f>RAND()</f>
        <v/>
      </c>
      <c r="AW671">
        <f>RAND()</f>
        <v/>
      </c>
      <c r="AX671">
        <f>RAND()</f>
        <v/>
      </c>
      <c r="AY671">
        <f>RAND()</f>
        <v/>
      </c>
      <c r="AZ671">
        <f>RAND()</f>
        <v/>
      </c>
    </row>
    <row r="672">
      <c r="AK672" t="n">
        <v>659</v>
      </c>
      <c r="AL672">
        <f>IFERROR(IF(AU672&lt;($AM$6-$AL$6)/($AN$6-$AL$6),$AL$6+SQRT(AU672*($AN$6-$AL$6)*($AM$6-$AL$6)),$AN$6-SQRT((1-AU672)*($AN$6-$AL$6)*($AN$6-$AM$6))),$AM$6)</f>
        <v/>
      </c>
      <c r="AM672">
        <f>IFERROR(IF(AV672&lt;($AM$7-$AL$7)/($AN$7-$AL$7),$AL$7+SQRT(AV672*($AN$7-$AL$7)*($AM$7-$AL$7)),$AN$7-SQRT((1-AV672)*($AN$7-$AL$7)*($AN$7-$AM$7))),$AM$7)</f>
        <v/>
      </c>
      <c r="AN672">
        <f>IFERROR(IF(AW672&lt;($AM$8-$AL$8)/($AN$8-$AL$8),$AL$8+SQRT(AW672*($AN$8-$AL$8)*($AM$8-$AL$8)),$AN$8-SQRT((1-AW672)*($AN$8-$AL$8)*($AN$8-$AM$8))),$AM$8)</f>
        <v/>
      </c>
      <c r="AO672">
        <f>IFERROR(IF(AX672&lt;($AM$9-$AL$9)/($AN$9-$AL$9),$AL$9+SQRT(AX672*($AN$9-$AL$9)*($AM$9-$AL$9)),$AN$9-SQRT((1-AX672)*($AN$9-$AL$9)*($AN$9-$AM$9))),$AM$9)</f>
        <v/>
      </c>
      <c r="AP672">
        <f>IFERROR(IF(AY672&lt;($AM$10-$AL$10)/($AN$10-$AL$10),$AL$10+SQRT(AY672*($AN$10-$AL$10)*($AM$10-$AL$10)),$AN$10-SQRT((1-AY672)*($AN$10-$AL$10)*($AN$10-$AM$10))),$AM$10)</f>
        <v/>
      </c>
      <c r="AQ672">
        <f>IFERROR(IF(AZ672&lt;($AM$11-$AL$11)/($AN$11-$AL$11),$AL$11+SQRT(AZ672*($AN$11-$AL$11)*($AM$11-$AL$11)),$AN$11-SQRT((1-AZ672)*($AN$11-$AL$11)*($AN$11-$AM$11))),$AM$11)</f>
        <v/>
      </c>
      <c r="AR672">
        <f>SUMPRODUCT((B24:B31&lt;=$B$6)*(C24:C31*AM672+D24:D31*AO672*$B$8*AQ672)/(1+AL672/100)^B24:B31)+C32*AM672*AP672/(1+AL672/100)^$B$6</f>
        <v/>
      </c>
      <c r="AS672">
        <f>SUMPRODUCT((K24:K26&lt;=$B$6)*(L24:L26*AN672+M24:M26*AO672*$B$8*AQ672)/(1+AL672/100)^K24:K26)+L27*AN672*AP672/(1+AL672/100)^$B$6</f>
        <v/>
      </c>
      <c r="AT672">
        <f>AS672-AR672</f>
        <v/>
      </c>
      <c r="AU672">
        <f>RAND()</f>
        <v/>
      </c>
      <c r="AV672">
        <f>RAND()</f>
        <v/>
      </c>
      <c r="AW672">
        <f>RAND()</f>
        <v/>
      </c>
      <c r="AX672">
        <f>RAND()</f>
        <v/>
      </c>
      <c r="AY672">
        <f>RAND()</f>
        <v/>
      </c>
      <c r="AZ672">
        <f>RAND()</f>
        <v/>
      </c>
    </row>
    <row r="673">
      <c r="AK673" t="n">
        <v>660</v>
      </c>
      <c r="AL673">
        <f>IFERROR(IF(AU673&lt;($AM$6-$AL$6)/($AN$6-$AL$6),$AL$6+SQRT(AU673*($AN$6-$AL$6)*($AM$6-$AL$6)),$AN$6-SQRT((1-AU673)*($AN$6-$AL$6)*($AN$6-$AM$6))),$AM$6)</f>
        <v/>
      </c>
      <c r="AM673">
        <f>IFERROR(IF(AV673&lt;($AM$7-$AL$7)/($AN$7-$AL$7),$AL$7+SQRT(AV673*($AN$7-$AL$7)*($AM$7-$AL$7)),$AN$7-SQRT((1-AV673)*($AN$7-$AL$7)*($AN$7-$AM$7))),$AM$7)</f>
        <v/>
      </c>
      <c r="AN673">
        <f>IFERROR(IF(AW673&lt;($AM$8-$AL$8)/($AN$8-$AL$8),$AL$8+SQRT(AW673*($AN$8-$AL$8)*($AM$8-$AL$8)),$AN$8-SQRT((1-AW673)*($AN$8-$AL$8)*($AN$8-$AM$8))),$AM$8)</f>
        <v/>
      </c>
      <c r="AO673">
        <f>IFERROR(IF(AX673&lt;($AM$9-$AL$9)/($AN$9-$AL$9),$AL$9+SQRT(AX673*($AN$9-$AL$9)*($AM$9-$AL$9)),$AN$9-SQRT((1-AX673)*($AN$9-$AL$9)*($AN$9-$AM$9))),$AM$9)</f>
        <v/>
      </c>
      <c r="AP673">
        <f>IFERROR(IF(AY673&lt;($AM$10-$AL$10)/($AN$10-$AL$10),$AL$10+SQRT(AY673*($AN$10-$AL$10)*($AM$10-$AL$10)),$AN$10-SQRT((1-AY673)*($AN$10-$AL$10)*($AN$10-$AM$10))),$AM$10)</f>
        <v/>
      </c>
      <c r="AQ673">
        <f>IFERROR(IF(AZ673&lt;($AM$11-$AL$11)/($AN$11-$AL$11),$AL$11+SQRT(AZ673*($AN$11-$AL$11)*($AM$11-$AL$11)),$AN$11-SQRT((1-AZ673)*($AN$11-$AL$11)*($AN$11-$AM$11))),$AM$11)</f>
        <v/>
      </c>
      <c r="AR673">
        <f>SUMPRODUCT((B24:B31&lt;=$B$6)*(C24:C31*AM673+D24:D31*AO673*$B$8*AQ673)/(1+AL673/100)^B24:B31)+C32*AM673*AP673/(1+AL673/100)^$B$6</f>
        <v/>
      </c>
      <c r="AS673">
        <f>SUMPRODUCT((K24:K26&lt;=$B$6)*(L24:L26*AN673+M24:M26*AO673*$B$8*AQ673)/(1+AL673/100)^K24:K26)+L27*AN673*AP673/(1+AL673/100)^$B$6</f>
        <v/>
      </c>
      <c r="AT673">
        <f>AS673-AR673</f>
        <v/>
      </c>
      <c r="AU673">
        <f>RAND()</f>
        <v/>
      </c>
      <c r="AV673">
        <f>RAND()</f>
        <v/>
      </c>
      <c r="AW673">
        <f>RAND()</f>
        <v/>
      </c>
      <c r="AX673">
        <f>RAND()</f>
        <v/>
      </c>
      <c r="AY673">
        <f>RAND()</f>
        <v/>
      </c>
      <c r="AZ673">
        <f>RAND()</f>
        <v/>
      </c>
    </row>
    <row r="674">
      <c r="AK674" t="n">
        <v>661</v>
      </c>
      <c r="AL674">
        <f>IFERROR(IF(AU674&lt;($AM$6-$AL$6)/($AN$6-$AL$6),$AL$6+SQRT(AU674*($AN$6-$AL$6)*($AM$6-$AL$6)),$AN$6-SQRT((1-AU674)*($AN$6-$AL$6)*($AN$6-$AM$6))),$AM$6)</f>
        <v/>
      </c>
      <c r="AM674">
        <f>IFERROR(IF(AV674&lt;($AM$7-$AL$7)/($AN$7-$AL$7),$AL$7+SQRT(AV674*($AN$7-$AL$7)*($AM$7-$AL$7)),$AN$7-SQRT((1-AV674)*($AN$7-$AL$7)*($AN$7-$AM$7))),$AM$7)</f>
        <v/>
      </c>
      <c r="AN674">
        <f>IFERROR(IF(AW674&lt;($AM$8-$AL$8)/($AN$8-$AL$8),$AL$8+SQRT(AW674*($AN$8-$AL$8)*($AM$8-$AL$8)),$AN$8-SQRT((1-AW674)*($AN$8-$AL$8)*($AN$8-$AM$8))),$AM$8)</f>
        <v/>
      </c>
      <c r="AO674">
        <f>IFERROR(IF(AX674&lt;($AM$9-$AL$9)/($AN$9-$AL$9),$AL$9+SQRT(AX674*($AN$9-$AL$9)*($AM$9-$AL$9)),$AN$9-SQRT((1-AX674)*($AN$9-$AL$9)*($AN$9-$AM$9))),$AM$9)</f>
        <v/>
      </c>
      <c r="AP674">
        <f>IFERROR(IF(AY674&lt;($AM$10-$AL$10)/($AN$10-$AL$10),$AL$10+SQRT(AY674*($AN$10-$AL$10)*($AM$10-$AL$10)),$AN$10-SQRT((1-AY674)*($AN$10-$AL$10)*($AN$10-$AM$10))),$AM$10)</f>
        <v/>
      </c>
      <c r="AQ674">
        <f>IFERROR(IF(AZ674&lt;($AM$11-$AL$11)/($AN$11-$AL$11),$AL$11+SQRT(AZ674*($AN$11-$AL$11)*($AM$11-$AL$11)),$AN$11-SQRT((1-AZ674)*($AN$11-$AL$11)*($AN$11-$AM$11))),$AM$11)</f>
        <v/>
      </c>
      <c r="AR674">
        <f>SUMPRODUCT((B24:B31&lt;=$B$6)*(C24:C31*AM674+D24:D31*AO674*$B$8*AQ674)/(1+AL674/100)^B24:B31)+C32*AM674*AP674/(1+AL674/100)^$B$6</f>
        <v/>
      </c>
      <c r="AS674">
        <f>SUMPRODUCT((K24:K26&lt;=$B$6)*(L24:L26*AN674+M24:M26*AO674*$B$8*AQ674)/(1+AL674/100)^K24:K26)+L27*AN674*AP674/(1+AL674/100)^$B$6</f>
        <v/>
      </c>
      <c r="AT674">
        <f>AS674-AR674</f>
        <v/>
      </c>
      <c r="AU674">
        <f>RAND()</f>
        <v/>
      </c>
      <c r="AV674">
        <f>RAND()</f>
        <v/>
      </c>
      <c r="AW674">
        <f>RAND()</f>
        <v/>
      </c>
      <c r="AX674">
        <f>RAND()</f>
        <v/>
      </c>
      <c r="AY674">
        <f>RAND()</f>
        <v/>
      </c>
      <c r="AZ674">
        <f>RAND()</f>
        <v/>
      </c>
    </row>
    <row r="675">
      <c r="AK675" t="n">
        <v>662</v>
      </c>
      <c r="AL675">
        <f>IFERROR(IF(AU675&lt;($AM$6-$AL$6)/($AN$6-$AL$6),$AL$6+SQRT(AU675*($AN$6-$AL$6)*($AM$6-$AL$6)),$AN$6-SQRT((1-AU675)*($AN$6-$AL$6)*($AN$6-$AM$6))),$AM$6)</f>
        <v/>
      </c>
      <c r="AM675">
        <f>IFERROR(IF(AV675&lt;($AM$7-$AL$7)/($AN$7-$AL$7),$AL$7+SQRT(AV675*($AN$7-$AL$7)*($AM$7-$AL$7)),$AN$7-SQRT((1-AV675)*($AN$7-$AL$7)*($AN$7-$AM$7))),$AM$7)</f>
        <v/>
      </c>
      <c r="AN675">
        <f>IFERROR(IF(AW675&lt;($AM$8-$AL$8)/($AN$8-$AL$8),$AL$8+SQRT(AW675*($AN$8-$AL$8)*($AM$8-$AL$8)),$AN$8-SQRT((1-AW675)*($AN$8-$AL$8)*($AN$8-$AM$8))),$AM$8)</f>
        <v/>
      </c>
      <c r="AO675">
        <f>IFERROR(IF(AX675&lt;($AM$9-$AL$9)/($AN$9-$AL$9),$AL$9+SQRT(AX675*($AN$9-$AL$9)*($AM$9-$AL$9)),$AN$9-SQRT((1-AX675)*($AN$9-$AL$9)*($AN$9-$AM$9))),$AM$9)</f>
        <v/>
      </c>
      <c r="AP675">
        <f>IFERROR(IF(AY675&lt;($AM$10-$AL$10)/($AN$10-$AL$10),$AL$10+SQRT(AY675*($AN$10-$AL$10)*($AM$10-$AL$10)),$AN$10-SQRT((1-AY675)*($AN$10-$AL$10)*($AN$10-$AM$10))),$AM$10)</f>
        <v/>
      </c>
      <c r="AQ675">
        <f>IFERROR(IF(AZ675&lt;($AM$11-$AL$11)/($AN$11-$AL$11),$AL$11+SQRT(AZ675*($AN$11-$AL$11)*($AM$11-$AL$11)),$AN$11-SQRT((1-AZ675)*($AN$11-$AL$11)*($AN$11-$AM$11))),$AM$11)</f>
        <v/>
      </c>
      <c r="AR675">
        <f>SUMPRODUCT((B24:B31&lt;=$B$6)*(C24:C31*AM675+D24:D31*AO675*$B$8*AQ675)/(1+AL675/100)^B24:B31)+C32*AM675*AP675/(1+AL675/100)^$B$6</f>
        <v/>
      </c>
      <c r="AS675">
        <f>SUMPRODUCT((K24:K26&lt;=$B$6)*(L24:L26*AN675+M24:M26*AO675*$B$8*AQ675)/(1+AL675/100)^K24:K26)+L27*AN675*AP675/(1+AL675/100)^$B$6</f>
        <v/>
      </c>
      <c r="AT675">
        <f>AS675-AR675</f>
        <v/>
      </c>
      <c r="AU675">
        <f>RAND()</f>
        <v/>
      </c>
      <c r="AV675">
        <f>RAND()</f>
        <v/>
      </c>
      <c r="AW675">
        <f>RAND()</f>
        <v/>
      </c>
      <c r="AX675">
        <f>RAND()</f>
        <v/>
      </c>
      <c r="AY675">
        <f>RAND()</f>
        <v/>
      </c>
      <c r="AZ675">
        <f>RAND()</f>
        <v/>
      </c>
    </row>
    <row r="676">
      <c r="AK676" t="n">
        <v>663</v>
      </c>
      <c r="AL676">
        <f>IFERROR(IF(AU676&lt;($AM$6-$AL$6)/($AN$6-$AL$6),$AL$6+SQRT(AU676*($AN$6-$AL$6)*($AM$6-$AL$6)),$AN$6-SQRT((1-AU676)*($AN$6-$AL$6)*($AN$6-$AM$6))),$AM$6)</f>
        <v/>
      </c>
      <c r="AM676">
        <f>IFERROR(IF(AV676&lt;($AM$7-$AL$7)/($AN$7-$AL$7),$AL$7+SQRT(AV676*($AN$7-$AL$7)*($AM$7-$AL$7)),$AN$7-SQRT((1-AV676)*($AN$7-$AL$7)*($AN$7-$AM$7))),$AM$7)</f>
        <v/>
      </c>
      <c r="AN676">
        <f>IFERROR(IF(AW676&lt;($AM$8-$AL$8)/($AN$8-$AL$8),$AL$8+SQRT(AW676*($AN$8-$AL$8)*($AM$8-$AL$8)),$AN$8-SQRT((1-AW676)*($AN$8-$AL$8)*($AN$8-$AM$8))),$AM$8)</f>
        <v/>
      </c>
      <c r="AO676">
        <f>IFERROR(IF(AX676&lt;($AM$9-$AL$9)/($AN$9-$AL$9),$AL$9+SQRT(AX676*($AN$9-$AL$9)*($AM$9-$AL$9)),$AN$9-SQRT((1-AX676)*($AN$9-$AL$9)*($AN$9-$AM$9))),$AM$9)</f>
        <v/>
      </c>
      <c r="AP676">
        <f>IFERROR(IF(AY676&lt;($AM$10-$AL$10)/($AN$10-$AL$10),$AL$10+SQRT(AY676*($AN$10-$AL$10)*($AM$10-$AL$10)),$AN$10-SQRT((1-AY676)*($AN$10-$AL$10)*($AN$10-$AM$10))),$AM$10)</f>
        <v/>
      </c>
      <c r="AQ676">
        <f>IFERROR(IF(AZ676&lt;($AM$11-$AL$11)/($AN$11-$AL$11),$AL$11+SQRT(AZ676*($AN$11-$AL$11)*($AM$11-$AL$11)),$AN$11-SQRT((1-AZ676)*($AN$11-$AL$11)*($AN$11-$AM$11))),$AM$11)</f>
        <v/>
      </c>
      <c r="AR676">
        <f>SUMPRODUCT((B24:B31&lt;=$B$6)*(C24:C31*AM676+D24:D31*AO676*$B$8*AQ676)/(1+AL676/100)^B24:B31)+C32*AM676*AP676/(1+AL676/100)^$B$6</f>
        <v/>
      </c>
      <c r="AS676">
        <f>SUMPRODUCT((K24:K26&lt;=$B$6)*(L24:L26*AN676+M24:M26*AO676*$B$8*AQ676)/(1+AL676/100)^K24:K26)+L27*AN676*AP676/(1+AL676/100)^$B$6</f>
        <v/>
      </c>
      <c r="AT676">
        <f>AS676-AR676</f>
        <v/>
      </c>
      <c r="AU676">
        <f>RAND()</f>
        <v/>
      </c>
      <c r="AV676">
        <f>RAND()</f>
        <v/>
      </c>
      <c r="AW676">
        <f>RAND()</f>
        <v/>
      </c>
      <c r="AX676">
        <f>RAND()</f>
        <v/>
      </c>
      <c r="AY676">
        <f>RAND()</f>
        <v/>
      </c>
      <c r="AZ676">
        <f>RAND()</f>
        <v/>
      </c>
    </row>
    <row r="677">
      <c r="AK677" t="n">
        <v>664</v>
      </c>
      <c r="AL677">
        <f>IFERROR(IF(AU677&lt;($AM$6-$AL$6)/($AN$6-$AL$6),$AL$6+SQRT(AU677*($AN$6-$AL$6)*($AM$6-$AL$6)),$AN$6-SQRT((1-AU677)*($AN$6-$AL$6)*($AN$6-$AM$6))),$AM$6)</f>
        <v/>
      </c>
      <c r="AM677">
        <f>IFERROR(IF(AV677&lt;($AM$7-$AL$7)/($AN$7-$AL$7),$AL$7+SQRT(AV677*($AN$7-$AL$7)*($AM$7-$AL$7)),$AN$7-SQRT((1-AV677)*($AN$7-$AL$7)*($AN$7-$AM$7))),$AM$7)</f>
        <v/>
      </c>
      <c r="AN677">
        <f>IFERROR(IF(AW677&lt;($AM$8-$AL$8)/($AN$8-$AL$8),$AL$8+SQRT(AW677*($AN$8-$AL$8)*($AM$8-$AL$8)),$AN$8-SQRT((1-AW677)*($AN$8-$AL$8)*($AN$8-$AM$8))),$AM$8)</f>
        <v/>
      </c>
      <c r="AO677">
        <f>IFERROR(IF(AX677&lt;($AM$9-$AL$9)/($AN$9-$AL$9),$AL$9+SQRT(AX677*($AN$9-$AL$9)*($AM$9-$AL$9)),$AN$9-SQRT((1-AX677)*($AN$9-$AL$9)*($AN$9-$AM$9))),$AM$9)</f>
        <v/>
      </c>
      <c r="AP677">
        <f>IFERROR(IF(AY677&lt;($AM$10-$AL$10)/($AN$10-$AL$10),$AL$10+SQRT(AY677*($AN$10-$AL$10)*($AM$10-$AL$10)),$AN$10-SQRT((1-AY677)*($AN$10-$AL$10)*($AN$10-$AM$10))),$AM$10)</f>
        <v/>
      </c>
      <c r="AQ677">
        <f>IFERROR(IF(AZ677&lt;($AM$11-$AL$11)/($AN$11-$AL$11),$AL$11+SQRT(AZ677*($AN$11-$AL$11)*($AM$11-$AL$11)),$AN$11-SQRT((1-AZ677)*($AN$11-$AL$11)*($AN$11-$AM$11))),$AM$11)</f>
        <v/>
      </c>
      <c r="AR677">
        <f>SUMPRODUCT((B24:B31&lt;=$B$6)*(C24:C31*AM677+D24:D31*AO677*$B$8*AQ677)/(1+AL677/100)^B24:B31)+C32*AM677*AP677/(1+AL677/100)^$B$6</f>
        <v/>
      </c>
      <c r="AS677">
        <f>SUMPRODUCT((K24:K26&lt;=$B$6)*(L24:L26*AN677+M24:M26*AO677*$B$8*AQ677)/(1+AL677/100)^K24:K26)+L27*AN677*AP677/(1+AL677/100)^$B$6</f>
        <v/>
      </c>
      <c r="AT677">
        <f>AS677-AR677</f>
        <v/>
      </c>
      <c r="AU677">
        <f>RAND()</f>
        <v/>
      </c>
      <c r="AV677">
        <f>RAND()</f>
        <v/>
      </c>
      <c r="AW677">
        <f>RAND()</f>
        <v/>
      </c>
      <c r="AX677">
        <f>RAND()</f>
        <v/>
      </c>
      <c r="AY677">
        <f>RAND()</f>
        <v/>
      </c>
      <c r="AZ677">
        <f>RAND()</f>
        <v/>
      </c>
    </row>
    <row r="678">
      <c r="AK678" t="n">
        <v>665</v>
      </c>
      <c r="AL678">
        <f>IFERROR(IF(AU678&lt;($AM$6-$AL$6)/($AN$6-$AL$6),$AL$6+SQRT(AU678*($AN$6-$AL$6)*($AM$6-$AL$6)),$AN$6-SQRT((1-AU678)*($AN$6-$AL$6)*($AN$6-$AM$6))),$AM$6)</f>
        <v/>
      </c>
      <c r="AM678">
        <f>IFERROR(IF(AV678&lt;($AM$7-$AL$7)/($AN$7-$AL$7),$AL$7+SQRT(AV678*($AN$7-$AL$7)*($AM$7-$AL$7)),$AN$7-SQRT((1-AV678)*($AN$7-$AL$7)*($AN$7-$AM$7))),$AM$7)</f>
        <v/>
      </c>
      <c r="AN678">
        <f>IFERROR(IF(AW678&lt;($AM$8-$AL$8)/($AN$8-$AL$8),$AL$8+SQRT(AW678*($AN$8-$AL$8)*($AM$8-$AL$8)),$AN$8-SQRT((1-AW678)*($AN$8-$AL$8)*($AN$8-$AM$8))),$AM$8)</f>
        <v/>
      </c>
      <c r="AO678">
        <f>IFERROR(IF(AX678&lt;($AM$9-$AL$9)/($AN$9-$AL$9),$AL$9+SQRT(AX678*($AN$9-$AL$9)*($AM$9-$AL$9)),$AN$9-SQRT((1-AX678)*($AN$9-$AL$9)*($AN$9-$AM$9))),$AM$9)</f>
        <v/>
      </c>
      <c r="AP678">
        <f>IFERROR(IF(AY678&lt;($AM$10-$AL$10)/($AN$10-$AL$10),$AL$10+SQRT(AY678*($AN$10-$AL$10)*($AM$10-$AL$10)),$AN$10-SQRT((1-AY678)*($AN$10-$AL$10)*($AN$10-$AM$10))),$AM$10)</f>
        <v/>
      </c>
      <c r="AQ678">
        <f>IFERROR(IF(AZ678&lt;($AM$11-$AL$11)/($AN$11-$AL$11),$AL$11+SQRT(AZ678*($AN$11-$AL$11)*($AM$11-$AL$11)),$AN$11-SQRT((1-AZ678)*($AN$11-$AL$11)*($AN$11-$AM$11))),$AM$11)</f>
        <v/>
      </c>
      <c r="AR678">
        <f>SUMPRODUCT((B24:B31&lt;=$B$6)*(C24:C31*AM678+D24:D31*AO678*$B$8*AQ678)/(1+AL678/100)^B24:B31)+C32*AM678*AP678/(1+AL678/100)^$B$6</f>
        <v/>
      </c>
      <c r="AS678">
        <f>SUMPRODUCT((K24:K26&lt;=$B$6)*(L24:L26*AN678+M24:M26*AO678*$B$8*AQ678)/(1+AL678/100)^K24:K26)+L27*AN678*AP678/(1+AL678/100)^$B$6</f>
        <v/>
      </c>
      <c r="AT678">
        <f>AS678-AR678</f>
        <v/>
      </c>
      <c r="AU678">
        <f>RAND()</f>
        <v/>
      </c>
      <c r="AV678">
        <f>RAND()</f>
        <v/>
      </c>
      <c r="AW678">
        <f>RAND()</f>
        <v/>
      </c>
      <c r="AX678">
        <f>RAND()</f>
        <v/>
      </c>
      <c r="AY678">
        <f>RAND()</f>
        <v/>
      </c>
      <c r="AZ678">
        <f>RAND()</f>
        <v/>
      </c>
    </row>
    <row r="679">
      <c r="AK679" t="n">
        <v>666</v>
      </c>
      <c r="AL679">
        <f>IFERROR(IF(AU679&lt;($AM$6-$AL$6)/($AN$6-$AL$6),$AL$6+SQRT(AU679*($AN$6-$AL$6)*($AM$6-$AL$6)),$AN$6-SQRT((1-AU679)*($AN$6-$AL$6)*($AN$6-$AM$6))),$AM$6)</f>
        <v/>
      </c>
      <c r="AM679">
        <f>IFERROR(IF(AV679&lt;($AM$7-$AL$7)/($AN$7-$AL$7),$AL$7+SQRT(AV679*($AN$7-$AL$7)*($AM$7-$AL$7)),$AN$7-SQRT((1-AV679)*($AN$7-$AL$7)*($AN$7-$AM$7))),$AM$7)</f>
        <v/>
      </c>
      <c r="AN679">
        <f>IFERROR(IF(AW679&lt;($AM$8-$AL$8)/($AN$8-$AL$8),$AL$8+SQRT(AW679*($AN$8-$AL$8)*($AM$8-$AL$8)),$AN$8-SQRT((1-AW679)*($AN$8-$AL$8)*($AN$8-$AM$8))),$AM$8)</f>
        <v/>
      </c>
      <c r="AO679">
        <f>IFERROR(IF(AX679&lt;($AM$9-$AL$9)/($AN$9-$AL$9),$AL$9+SQRT(AX679*($AN$9-$AL$9)*($AM$9-$AL$9)),$AN$9-SQRT((1-AX679)*($AN$9-$AL$9)*($AN$9-$AM$9))),$AM$9)</f>
        <v/>
      </c>
      <c r="AP679">
        <f>IFERROR(IF(AY679&lt;($AM$10-$AL$10)/($AN$10-$AL$10),$AL$10+SQRT(AY679*($AN$10-$AL$10)*($AM$10-$AL$10)),$AN$10-SQRT((1-AY679)*($AN$10-$AL$10)*($AN$10-$AM$10))),$AM$10)</f>
        <v/>
      </c>
      <c r="AQ679">
        <f>IFERROR(IF(AZ679&lt;($AM$11-$AL$11)/($AN$11-$AL$11),$AL$11+SQRT(AZ679*($AN$11-$AL$11)*($AM$11-$AL$11)),$AN$11-SQRT((1-AZ679)*($AN$11-$AL$11)*($AN$11-$AM$11))),$AM$11)</f>
        <v/>
      </c>
      <c r="AR679">
        <f>SUMPRODUCT((B24:B31&lt;=$B$6)*(C24:C31*AM679+D24:D31*AO679*$B$8*AQ679)/(1+AL679/100)^B24:B31)+C32*AM679*AP679/(1+AL679/100)^$B$6</f>
        <v/>
      </c>
      <c r="AS679">
        <f>SUMPRODUCT((K24:K26&lt;=$B$6)*(L24:L26*AN679+M24:M26*AO679*$B$8*AQ679)/(1+AL679/100)^K24:K26)+L27*AN679*AP679/(1+AL679/100)^$B$6</f>
        <v/>
      </c>
      <c r="AT679">
        <f>AS679-AR679</f>
        <v/>
      </c>
      <c r="AU679">
        <f>RAND()</f>
        <v/>
      </c>
      <c r="AV679">
        <f>RAND()</f>
        <v/>
      </c>
      <c r="AW679">
        <f>RAND()</f>
        <v/>
      </c>
      <c r="AX679">
        <f>RAND()</f>
        <v/>
      </c>
      <c r="AY679">
        <f>RAND()</f>
        <v/>
      </c>
      <c r="AZ679">
        <f>RAND()</f>
        <v/>
      </c>
    </row>
    <row r="680">
      <c r="AK680" t="n">
        <v>667</v>
      </c>
      <c r="AL680">
        <f>IFERROR(IF(AU680&lt;($AM$6-$AL$6)/($AN$6-$AL$6),$AL$6+SQRT(AU680*($AN$6-$AL$6)*($AM$6-$AL$6)),$AN$6-SQRT((1-AU680)*($AN$6-$AL$6)*($AN$6-$AM$6))),$AM$6)</f>
        <v/>
      </c>
      <c r="AM680">
        <f>IFERROR(IF(AV680&lt;($AM$7-$AL$7)/($AN$7-$AL$7),$AL$7+SQRT(AV680*($AN$7-$AL$7)*($AM$7-$AL$7)),$AN$7-SQRT((1-AV680)*($AN$7-$AL$7)*($AN$7-$AM$7))),$AM$7)</f>
        <v/>
      </c>
      <c r="AN680">
        <f>IFERROR(IF(AW680&lt;($AM$8-$AL$8)/($AN$8-$AL$8),$AL$8+SQRT(AW680*($AN$8-$AL$8)*($AM$8-$AL$8)),$AN$8-SQRT((1-AW680)*($AN$8-$AL$8)*($AN$8-$AM$8))),$AM$8)</f>
        <v/>
      </c>
      <c r="AO680">
        <f>IFERROR(IF(AX680&lt;($AM$9-$AL$9)/($AN$9-$AL$9),$AL$9+SQRT(AX680*($AN$9-$AL$9)*($AM$9-$AL$9)),$AN$9-SQRT((1-AX680)*($AN$9-$AL$9)*($AN$9-$AM$9))),$AM$9)</f>
        <v/>
      </c>
      <c r="AP680">
        <f>IFERROR(IF(AY680&lt;($AM$10-$AL$10)/($AN$10-$AL$10),$AL$10+SQRT(AY680*($AN$10-$AL$10)*($AM$10-$AL$10)),$AN$10-SQRT((1-AY680)*($AN$10-$AL$10)*($AN$10-$AM$10))),$AM$10)</f>
        <v/>
      </c>
      <c r="AQ680">
        <f>IFERROR(IF(AZ680&lt;($AM$11-$AL$11)/($AN$11-$AL$11),$AL$11+SQRT(AZ680*($AN$11-$AL$11)*($AM$11-$AL$11)),$AN$11-SQRT((1-AZ680)*($AN$11-$AL$11)*($AN$11-$AM$11))),$AM$11)</f>
        <v/>
      </c>
      <c r="AR680">
        <f>SUMPRODUCT((B24:B31&lt;=$B$6)*(C24:C31*AM680+D24:D31*AO680*$B$8*AQ680)/(1+AL680/100)^B24:B31)+C32*AM680*AP680/(1+AL680/100)^$B$6</f>
        <v/>
      </c>
      <c r="AS680">
        <f>SUMPRODUCT((K24:K26&lt;=$B$6)*(L24:L26*AN680+M24:M26*AO680*$B$8*AQ680)/(1+AL680/100)^K24:K26)+L27*AN680*AP680/(1+AL680/100)^$B$6</f>
        <v/>
      </c>
      <c r="AT680">
        <f>AS680-AR680</f>
        <v/>
      </c>
      <c r="AU680">
        <f>RAND()</f>
        <v/>
      </c>
      <c r="AV680">
        <f>RAND()</f>
        <v/>
      </c>
      <c r="AW680">
        <f>RAND()</f>
        <v/>
      </c>
      <c r="AX680">
        <f>RAND()</f>
        <v/>
      </c>
      <c r="AY680">
        <f>RAND()</f>
        <v/>
      </c>
      <c r="AZ680">
        <f>RAND()</f>
        <v/>
      </c>
    </row>
    <row r="681">
      <c r="AK681" t="n">
        <v>668</v>
      </c>
      <c r="AL681">
        <f>IFERROR(IF(AU681&lt;($AM$6-$AL$6)/($AN$6-$AL$6),$AL$6+SQRT(AU681*($AN$6-$AL$6)*($AM$6-$AL$6)),$AN$6-SQRT((1-AU681)*($AN$6-$AL$6)*($AN$6-$AM$6))),$AM$6)</f>
        <v/>
      </c>
      <c r="AM681">
        <f>IFERROR(IF(AV681&lt;($AM$7-$AL$7)/($AN$7-$AL$7),$AL$7+SQRT(AV681*($AN$7-$AL$7)*($AM$7-$AL$7)),$AN$7-SQRT((1-AV681)*($AN$7-$AL$7)*($AN$7-$AM$7))),$AM$7)</f>
        <v/>
      </c>
      <c r="AN681">
        <f>IFERROR(IF(AW681&lt;($AM$8-$AL$8)/($AN$8-$AL$8),$AL$8+SQRT(AW681*($AN$8-$AL$8)*($AM$8-$AL$8)),$AN$8-SQRT((1-AW681)*($AN$8-$AL$8)*($AN$8-$AM$8))),$AM$8)</f>
        <v/>
      </c>
      <c r="AO681">
        <f>IFERROR(IF(AX681&lt;($AM$9-$AL$9)/($AN$9-$AL$9),$AL$9+SQRT(AX681*($AN$9-$AL$9)*($AM$9-$AL$9)),$AN$9-SQRT((1-AX681)*($AN$9-$AL$9)*($AN$9-$AM$9))),$AM$9)</f>
        <v/>
      </c>
      <c r="AP681">
        <f>IFERROR(IF(AY681&lt;($AM$10-$AL$10)/($AN$10-$AL$10),$AL$10+SQRT(AY681*($AN$10-$AL$10)*($AM$10-$AL$10)),$AN$10-SQRT((1-AY681)*($AN$10-$AL$10)*($AN$10-$AM$10))),$AM$10)</f>
        <v/>
      </c>
      <c r="AQ681">
        <f>IFERROR(IF(AZ681&lt;($AM$11-$AL$11)/($AN$11-$AL$11),$AL$11+SQRT(AZ681*($AN$11-$AL$11)*($AM$11-$AL$11)),$AN$11-SQRT((1-AZ681)*($AN$11-$AL$11)*($AN$11-$AM$11))),$AM$11)</f>
        <v/>
      </c>
      <c r="AR681">
        <f>SUMPRODUCT((B24:B31&lt;=$B$6)*(C24:C31*AM681+D24:D31*AO681*$B$8*AQ681)/(1+AL681/100)^B24:B31)+C32*AM681*AP681/(1+AL681/100)^$B$6</f>
        <v/>
      </c>
      <c r="AS681">
        <f>SUMPRODUCT((K24:K26&lt;=$B$6)*(L24:L26*AN681+M24:M26*AO681*$B$8*AQ681)/(1+AL681/100)^K24:K26)+L27*AN681*AP681/(1+AL681/100)^$B$6</f>
        <v/>
      </c>
      <c r="AT681">
        <f>AS681-AR681</f>
        <v/>
      </c>
      <c r="AU681">
        <f>RAND()</f>
        <v/>
      </c>
      <c r="AV681">
        <f>RAND()</f>
        <v/>
      </c>
      <c r="AW681">
        <f>RAND()</f>
        <v/>
      </c>
      <c r="AX681">
        <f>RAND()</f>
        <v/>
      </c>
      <c r="AY681">
        <f>RAND()</f>
        <v/>
      </c>
      <c r="AZ681">
        <f>RAND()</f>
        <v/>
      </c>
    </row>
    <row r="682">
      <c r="AK682" t="n">
        <v>669</v>
      </c>
      <c r="AL682">
        <f>IFERROR(IF(AU682&lt;($AM$6-$AL$6)/($AN$6-$AL$6),$AL$6+SQRT(AU682*($AN$6-$AL$6)*($AM$6-$AL$6)),$AN$6-SQRT((1-AU682)*($AN$6-$AL$6)*($AN$6-$AM$6))),$AM$6)</f>
        <v/>
      </c>
      <c r="AM682">
        <f>IFERROR(IF(AV682&lt;($AM$7-$AL$7)/($AN$7-$AL$7),$AL$7+SQRT(AV682*($AN$7-$AL$7)*($AM$7-$AL$7)),$AN$7-SQRT((1-AV682)*($AN$7-$AL$7)*($AN$7-$AM$7))),$AM$7)</f>
        <v/>
      </c>
      <c r="AN682">
        <f>IFERROR(IF(AW682&lt;($AM$8-$AL$8)/($AN$8-$AL$8),$AL$8+SQRT(AW682*($AN$8-$AL$8)*($AM$8-$AL$8)),$AN$8-SQRT((1-AW682)*($AN$8-$AL$8)*($AN$8-$AM$8))),$AM$8)</f>
        <v/>
      </c>
      <c r="AO682">
        <f>IFERROR(IF(AX682&lt;($AM$9-$AL$9)/($AN$9-$AL$9),$AL$9+SQRT(AX682*($AN$9-$AL$9)*($AM$9-$AL$9)),$AN$9-SQRT((1-AX682)*($AN$9-$AL$9)*($AN$9-$AM$9))),$AM$9)</f>
        <v/>
      </c>
      <c r="AP682">
        <f>IFERROR(IF(AY682&lt;($AM$10-$AL$10)/($AN$10-$AL$10),$AL$10+SQRT(AY682*($AN$10-$AL$10)*($AM$10-$AL$10)),$AN$10-SQRT((1-AY682)*($AN$10-$AL$10)*($AN$10-$AM$10))),$AM$10)</f>
        <v/>
      </c>
      <c r="AQ682">
        <f>IFERROR(IF(AZ682&lt;($AM$11-$AL$11)/($AN$11-$AL$11),$AL$11+SQRT(AZ682*($AN$11-$AL$11)*($AM$11-$AL$11)),$AN$11-SQRT((1-AZ682)*($AN$11-$AL$11)*($AN$11-$AM$11))),$AM$11)</f>
        <v/>
      </c>
      <c r="AR682">
        <f>SUMPRODUCT((B24:B31&lt;=$B$6)*(C24:C31*AM682+D24:D31*AO682*$B$8*AQ682)/(1+AL682/100)^B24:B31)+C32*AM682*AP682/(1+AL682/100)^$B$6</f>
        <v/>
      </c>
      <c r="AS682">
        <f>SUMPRODUCT((K24:K26&lt;=$B$6)*(L24:L26*AN682+M24:M26*AO682*$B$8*AQ682)/(1+AL682/100)^K24:K26)+L27*AN682*AP682/(1+AL682/100)^$B$6</f>
        <v/>
      </c>
      <c r="AT682">
        <f>AS682-AR682</f>
        <v/>
      </c>
      <c r="AU682">
        <f>RAND()</f>
        <v/>
      </c>
      <c r="AV682">
        <f>RAND()</f>
        <v/>
      </c>
      <c r="AW682">
        <f>RAND()</f>
        <v/>
      </c>
      <c r="AX682">
        <f>RAND()</f>
        <v/>
      </c>
      <c r="AY682">
        <f>RAND()</f>
        <v/>
      </c>
      <c r="AZ682">
        <f>RAND()</f>
        <v/>
      </c>
    </row>
    <row r="683">
      <c r="AK683" t="n">
        <v>670</v>
      </c>
      <c r="AL683">
        <f>IFERROR(IF(AU683&lt;($AM$6-$AL$6)/($AN$6-$AL$6),$AL$6+SQRT(AU683*($AN$6-$AL$6)*($AM$6-$AL$6)),$AN$6-SQRT((1-AU683)*($AN$6-$AL$6)*($AN$6-$AM$6))),$AM$6)</f>
        <v/>
      </c>
      <c r="AM683">
        <f>IFERROR(IF(AV683&lt;($AM$7-$AL$7)/($AN$7-$AL$7),$AL$7+SQRT(AV683*($AN$7-$AL$7)*($AM$7-$AL$7)),$AN$7-SQRT((1-AV683)*($AN$7-$AL$7)*($AN$7-$AM$7))),$AM$7)</f>
        <v/>
      </c>
      <c r="AN683">
        <f>IFERROR(IF(AW683&lt;($AM$8-$AL$8)/($AN$8-$AL$8),$AL$8+SQRT(AW683*($AN$8-$AL$8)*($AM$8-$AL$8)),$AN$8-SQRT((1-AW683)*($AN$8-$AL$8)*($AN$8-$AM$8))),$AM$8)</f>
        <v/>
      </c>
      <c r="AO683">
        <f>IFERROR(IF(AX683&lt;($AM$9-$AL$9)/($AN$9-$AL$9),$AL$9+SQRT(AX683*($AN$9-$AL$9)*($AM$9-$AL$9)),$AN$9-SQRT((1-AX683)*($AN$9-$AL$9)*($AN$9-$AM$9))),$AM$9)</f>
        <v/>
      </c>
      <c r="AP683">
        <f>IFERROR(IF(AY683&lt;($AM$10-$AL$10)/($AN$10-$AL$10),$AL$10+SQRT(AY683*($AN$10-$AL$10)*($AM$10-$AL$10)),$AN$10-SQRT((1-AY683)*($AN$10-$AL$10)*($AN$10-$AM$10))),$AM$10)</f>
        <v/>
      </c>
      <c r="AQ683">
        <f>IFERROR(IF(AZ683&lt;($AM$11-$AL$11)/($AN$11-$AL$11),$AL$11+SQRT(AZ683*($AN$11-$AL$11)*($AM$11-$AL$11)),$AN$11-SQRT((1-AZ683)*($AN$11-$AL$11)*($AN$11-$AM$11))),$AM$11)</f>
        <v/>
      </c>
      <c r="AR683">
        <f>SUMPRODUCT((B24:B31&lt;=$B$6)*(C24:C31*AM683+D24:D31*AO683*$B$8*AQ683)/(1+AL683/100)^B24:B31)+C32*AM683*AP683/(1+AL683/100)^$B$6</f>
        <v/>
      </c>
      <c r="AS683">
        <f>SUMPRODUCT((K24:K26&lt;=$B$6)*(L24:L26*AN683+M24:M26*AO683*$B$8*AQ683)/(1+AL683/100)^K24:K26)+L27*AN683*AP683/(1+AL683/100)^$B$6</f>
        <v/>
      </c>
      <c r="AT683">
        <f>AS683-AR683</f>
        <v/>
      </c>
      <c r="AU683">
        <f>RAND()</f>
        <v/>
      </c>
      <c r="AV683">
        <f>RAND()</f>
        <v/>
      </c>
      <c r="AW683">
        <f>RAND()</f>
        <v/>
      </c>
      <c r="AX683">
        <f>RAND()</f>
        <v/>
      </c>
      <c r="AY683">
        <f>RAND()</f>
        <v/>
      </c>
      <c r="AZ683">
        <f>RAND()</f>
        <v/>
      </c>
    </row>
    <row r="684">
      <c r="AK684" t="n">
        <v>671</v>
      </c>
      <c r="AL684">
        <f>IFERROR(IF(AU684&lt;($AM$6-$AL$6)/($AN$6-$AL$6),$AL$6+SQRT(AU684*($AN$6-$AL$6)*($AM$6-$AL$6)),$AN$6-SQRT((1-AU684)*($AN$6-$AL$6)*($AN$6-$AM$6))),$AM$6)</f>
        <v/>
      </c>
      <c r="AM684">
        <f>IFERROR(IF(AV684&lt;($AM$7-$AL$7)/($AN$7-$AL$7),$AL$7+SQRT(AV684*($AN$7-$AL$7)*($AM$7-$AL$7)),$AN$7-SQRT((1-AV684)*($AN$7-$AL$7)*($AN$7-$AM$7))),$AM$7)</f>
        <v/>
      </c>
      <c r="AN684">
        <f>IFERROR(IF(AW684&lt;($AM$8-$AL$8)/($AN$8-$AL$8),$AL$8+SQRT(AW684*($AN$8-$AL$8)*($AM$8-$AL$8)),$AN$8-SQRT((1-AW684)*($AN$8-$AL$8)*($AN$8-$AM$8))),$AM$8)</f>
        <v/>
      </c>
      <c r="AO684">
        <f>IFERROR(IF(AX684&lt;($AM$9-$AL$9)/($AN$9-$AL$9),$AL$9+SQRT(AX684*($AN$9-$AL$9)*($AM$9-$AL$9)),$AN$9-SQRT((1-AX684)*($AN$9-$AL$9)*($AN$9-$AM$9))),$AM$9)</f>
        <v/>
      </c>
      <c r="AP684">
        <f>IFERROR(IF(AY684&lt;($AM$10-$AL$10)/($AN$10-$AL$10),$AL$10+SQRT(AY684*($AN$10-$AL$10)*($AM$10-$AL$10)),$AN$10-SQRT((1-AY684)*($AN$10-$AL$10)*($AN$10-$AM$10))),$AM$10)</f>
        <v/>
      </c>
      <c r="AQ684">
        <f>IFERROR(IF(AZ684&lt;($AM$11-$AL$11)/($AN$11-$AL$11),$AL$11+SQRT(AZ684*($AN$11-$AL$11)*($AM$11-$AL$11)),$AN$11-SQRT((1-AZ684)*($AN$11-$AL$11)*($AN$11-$AM$11))),$AM$11)</f>
        <v/>
      </c>
      <c r="AR684">
        <f>SUMPRODUCT((B24:B31&lt;=$B$6)*(C24:C31*AM684+D24:D31*AO684*$B$8*AQ684)/(1+AL684/100)^B24:B31)+C32*AM684*AP684/(1+AL684/100)^$B$6</f>
        <v/>
      </c>
      <c r="AS684">
        <f>SUMPRODUCT((K24:K26&lt;=$B$6)*(L24:L26*AN684+M24:M26*AO684*$B$8*AQ684)/(1+AL684/100)^K24:K26)+L27*AN684*AP684/(1+AL684/100)^$B$6</f>
        <v/>
      </c>
      <c r="AT684">
        <f>AS684-AR684</f>
        <v/>
      </c>
      <c r="AU684">
        <f>RAND()</f>
        <v/>
      </c>
      <c r="AV684">
        <f>RAND()</f>
        <v/>
      </c>
      <c r="AW684">
        <f>RAND()</f>
        <v/>
      </c>
      <c r="AX684">
        <f>RAND()</f>
        <v/>
      </c>
      <c r="AY684">
        <f>RAND()</f>
        <v/>
      </c>
      <c r="AZ684">
        <f>RAND()</f>
        <v/>
      </c>
    </row>
    <row r="685">
      <c r="AK685" t="n">
        <v>672</v>
      </c>
      <c r="AL685">
        <f>IFERROR(IF(AU685&lt;($AM$6-$AL$6)/($AN$6-$AL$6),$AL$6+SQRT(AU685*($AN$6-$AL$6)*($AM$6-$AL$6)),$AN$6-SQRT((1-AU685)*($AN$6-$AL$6)*($AN$6-$AM$6))),$AM$6)</f>
        <v/>
      </c>
      <c r="AM685">
        <f>IFERROR(IF(AV685&lt;($AM$7-$AL$7)/($AN$7-$AL$7),$AL$7+SQRT(AV685*($AN$7-$AL$7)*($AM$7-$AL$7)),$AN$7-SQRT((1-AV685)*($AN$7-$AL$7)*($AN$7-$AM$7))),$AM$7)</f>
        <v/>
      </c>
      <c r="AN685">
        <f>IFERROR(IF(AW685&lt;($AM$8-$AL$8)/($AN$8-$AL$8),$AL$8+SQRT(AW685*($AN$8-$AL$8)*($AM$8-$AL$8)),$AN$8-SQRT((1-AW685)*($AN$8-$AL$8)*($AN$8-$AM$8))),$AM$8)</f>
        <v/>
      </c>
      <c r="AO685">
        <f>IFERROR(IF(AX685&lt;($AM$9-$AL$9)/($AN$9-$AL$9),$AL$9+SQRT(AX685*($AN$9-$AL$9)*($AM$9-$AL$9)),$AN$9-SQRT((1-AX685)*($AN$9-$AL$9)*($AN$9-$AM$9))),$AM$9)</f>
        <v/>
      </c>
      <c r="AP685">
        <f>IFERROR(IF(AY685&lt;($AM$10-$AL$10)/($AN$10-$AL$10),$AL$10+SQRT(AY685*($AN$10-$AL$10)*($AM$10-$AL$10)),$AN$10-SQRT((1-AY685)*($AN$10-$AL$10)*($AN$10-$AM$10))),$AM$10)</f>
        <v/>
      </c>
      <c r="AQ685">
        <f>IFERROR(IF(AZ685&lt;($AM$11-$AL$11)/($AN$11-$AL$11),$AL$11+SQRT(AZ685*($AN$11-$AL$11)*($AM$11-$AL$11)),$AN$11-SQRT((1-AZ685)*($AN$11-$AL$11)*($AN$11-$AM$11))),$AM$11)</f>
        <v/>
      </c>
      <c r="AR685">
        <f>SUMPRODUCT((B24:B31&lt;=$B$6)*(C24:C31*AM685+D24:D31*AO685*$B$8*AQ685)/(1+AL685/100)^B24:B31)+C32*AM685*AP685/(1+AL685/100)^$B$6</f>
        <v/>
      </c>
      <c r="AS685">
        <f>SUMPRODUCT((K24:K26&lt;=$B$6)*(L24:L26*AN685+M24:M26*AO685*$B$8*AQ685)/(1+AL685/100)^K24:K26)+L27*AN685*AP685/(1+AL685/100)^$B$6</f>
        <v/>
      </c>
      <c r="AT685">
        <f>AS685-AR685</f>
        <v/>
      </c>
      <c r="AU685">
        <f>RAND()</f>
        <v/>
      </c>
      <c r="AV685">
        <f>RAND()</f>
        <v/>
      </c>
      <c r="AW685">
        <f>RAND()</f>
        <v/>
      </c>
      <c r="AX685">
        <f>RAND()</f>
        <v/>
      </c>
      <c r="AY685">
        <f>RAND()</f>
        <v/>
      </c>
      <c r="AZ685">
        <f>RAND()</f>
        <v/>
      </c>
    </row>
    <row r="686">
      <c r="AK686" t="n">
        <v>673</v>
      </c>
      <c r="AL686">
        <f>IFERROR(IF(AU686&lt;($AM$6-$AL$6)/($AN$6-$AL$6),$AL$6+SQRT(AU686*($AN$6-$AL$6)*($AM$6-$AL$6)),$AN$6-SQRT((1-AU686)*($AN$6-$AL$6)*($AN$6-$AM$6))),$AM$6)</f>
        <v/>
      </c>
      <c r="AM686">
        <f>IFERROR(IF(AV686&lt;($AM$7-$AL$7)/($AN$7-$AL$7),$AL$7+SQRT(AV686*($AN$7-$AL$7)*($AM$7-$AL$7)),$AN$7-SQRT((1-AV686)*($AN$7-$AL$7)*($AN$7-$AM$7))),$AM$7)</f>
        <v/>
      </c>
      <c r="AN686">
        <f>IFERROR(IF(AW686&lt;($AM$8-$AL$8)/($AN$8-$AL$8),$AL$8+SQRT(AW686*($AN$8-$AL$8)*($AM$8-$AL$8)),$AN$8-SQRT((1-AW686)*($AN$8-$AL$8)*($AN$8-$AM$8))),$AM$8)</f>
        <v/>
      </c>
      <c r="AO686">
        <f>IFERROR(IF(AX686&lt;($AM$9-$AL$9)/($AN$9-$AL$9),$AL$9+SQRT(AX686*($AN$9-$AL$9)*($AM$9-$AL$9)),$AN$9-SQRT((1-AX686)*($AN$9-$AL$9)*($AN$9-$AM$9))),$AM$9)</f>
        <v/>
      </c>
      <c r="AP686">
        <f>IFERROR(IF(AY686&lt;($AM$10-$AL$10)/($AN$10-$AL$10),$AL$10+SQRT(AY686*($AN$10-$AL$10)*($AM$10-$AL$10)),$AN$10-SQRT((1-AY686)*($AN$10-$AL$10)*($AN$10-$AM$10))),$AM$10)</f>
        <v/>
      </c>
      <c r="AQ686">
        <f>IFERROR(IF(AZ686&lt;($AM$11-$AL$11)/($AN$11-$AL$11),$AL$11+SQRT(AZ686*($AN$11-$AL$11)*($AM$11-$AL$11)),$AN$11-SQRT((1-AZ686)*($AN$11-$AL$11)*($AN$11-$AM$11))),$AM$11)</f>
        <v/>
      </c>
      <c r="AR686">
        <f>SUMPRODUCT((B24:B31&lt;=$B$6)*(C24:C31*AM686+D24:D31*AO686*$B$8*AQ686)/(1+AL686/100)^B24:B31)+C32*AM686*AP686/(1+AL686/100)^$B$6</f>
        <v/>
      </c>
      <c r="AS686">
        <f>SUMPRODUCT((K24:K26&lt;=$B$6)*(L24:L26*AN686+M24:M26*AO686*$B$8*AQ686)/(1+AL686/100)^K24:K26)+L27*AN686*AP686/(1+AL686/100)^$B$6</f>
        <v/>
      </c>
      <c r="AT686">
        <f>AS686-AR686</f>
        <v/>
      </c>
      <c r="AU686">
        <f>RAND()</f>
        <v/>
      </c>
      <c r="AV686">
        <f>RAND()</f>
        <v/>
      </c>
      <c r="AW686">
        <f>RAND()</f>
        <v/>
      </c>
      <c r="AX686">
        <f>RAND()</f>
        <v/>
      </c>
      <c r="AY686">
        <f>RAND()</f>
        <v/>
      </c>
      <c r="AZ686">
        <f>RAND()</f>
        <v/>
      </c>
    </row>
    <row r="687">
      <c r="AK687" t="n">
        <v>674</v>
      </c>
      <c r="AL687">
        <f>IFERROR(IF(AU687&lt;($AM$6-$AL$6)/($AN$6-$AL$6),$AL$6+SQRT(AU687*($AN$6-$AL$6)*($AM$6-$AL$6)),$AN$6-SQRT((1-AU687)*($AN$6-$AL$6)*($AN$6-$AM$6))),$AM$6)</f>
        <v/>
      </c>
      <c r="AM687">
        <f>IFERROR(IF(AV687&lt;($AM$7-$AL$7)/($AN$7-$AL$7),$AL$7+SQRT(AV687*($AN$7-$AL$7)*($AM$7-$AL$7)),$AN$7-SQRT((1-AV687)*($AN$7-$AL$7)*($AN$7-$AM$7))),$AM$7)</f>
        <v/>
      </c>
      <c r="AN687">
        <f>IFERROR(IF(AW687&lt;($AM$8-$AL$8)/($AN$8-$AL$8),$AL$8+SQRT(AW687*($AN$8-$AL$8)*($AM$8-$AL$8)),$AN$8-SQRT((1-AW687)*($AN$8-$AL$8)*($AN$8-$AM$8))),$AM$8)</f>
        <v/>
      </c>
      <c r="AO687">
        <f>IFERROR(IF(AX687&lt;($AM$9-$AL$9)/($AN$9-$AL$9),$AL$9+SQRT(AX687*($AN$9-$AL$9)*($AM$9-$AL$9)),$AN$9-SQRT((1-AX687)*($AN$9-$AL$9)*($AN$9-$AM$9))),$AM$9)</f>
        <v/>
      </c>
      <c r="AP687">
        <f>IFERROR(IF(AY687&lt;($AM$10-$AL$10)/($AN$10-$AL$10),$AL$10+SQRT(AY687*($AN$10-$AL$10)*($AM$10-$AL$10)),$AN$10-SQRT((1-AY687)*($AN$10-$AL$10)*($AN$10-$AM$10))),$AM$10)</f>
        <v/>
      </c>
      <c r="AQ687">
        <f>IFERROR(IF(AZ687&lt;($AM$11-$AL$11)/($AN$11-$AL$11),$AL$11+SQRT(AZ687*($AN$11-$AL$11)*($AM$11-$AL$11)),$AN$11-SQRT((1-AZ687)*($AN$11-$AL$11)*($AN$11-$AM$11))),$AM$11)</f>
        <v/>
      </c>
      <c r="AR687">
        <f>SUMPRODUCT((B24:B31&lt;=$B$6)*(C24:C31*AM687+D24:D31*AO687*$B$8*AQ687)/(1+AL687/100)^B24:B31)+C32*AM687*AP687/(1+AL687/100)^$B$6</f>
        <v/>
      </c>
      <c r="AS687">
        <f>SUMPRODUCT((K24:K26&lt;=$B$6)*(L24:L26*AN687+M24:M26*AO687*$B$8*AQ687)/(1+AL687/100)^K24:K26)+L27*AN687*AP687/(1+AL687/100)^$B$6</f>
        <v/>
      </c>
      <c r="AT687">
        <f>AS687-AR687</f>
        <v/>
      </c>
      <c r="AU687">
        <f>RAND()</f>
        <v/>
      </c>
      <c r="AV687">
        <f>RAND()</f>
        <v/>
      </c>
      <c r="AW687">
        <f>RAND()</f>
        <v/>
      </c>
      <c r="AX687">
        <f>RAND()</f>
        <v/>
      </c>
      <c r="AY687">
        <f>RAND()</f>
        <v/>
      </c>
      <c r="AZ687">
        <f>RAND()</f>
        <v/>
      </c>
    </row>
    <row r="688">
      <c r="AK688" t="n">
        <v>675</v>
      </c>
      <c r="AL688">
        <f>IFERROR(IF(AU688&lt;($AM$6-$AL$6)/($AN$6-$AL$6),$AL$6+SQRT(AU688*($AN$6-$AL$6)*($AM$6-$AL$6)),$AN$6-SQRT((1-AU688)*($AN$6-$AL$6)*($AN$6-$AM$6))),$AM$6)</f>
        <v/>
      </c>
      <c r="AM688">
        <f>IFERROR(IF(AV688&lt;($AM$7-$AL$7)/($AN$7-$AL$7),$AL$7+SQRT(AV688*($AN$7-$AL$7)*($AM$7-$AL$7)),$AN$7-SQRT((1-AV688)*($AN$7-$AL$7)*($AN$7-$AM$7))),$AM$7)</f>
        <v/>
      </c>
      <c r="AN688">
        <f>IFERROR(IF(AW688&lt;($AM$8-$AL$8)/($AN$8-$AL$8),$AL$8+SQRT(AW688*($AN$8-$AL$8)*($AM$8-$AL$8)),$AN$8-SQRT((1-AW688)*($AN$8-$AL$8)*($AN$8-$AM$8))),$AM$8)</f>
        <v/>
      </c>
      <c r="AO688">
        <f>IFERROR(IF(AX688&lt;($AM$9-$AL$9)/($AN$9-$AL$9),$AL$9+SQRT(AX688*($AN$9-$AL$9)*($AM$9-$AL$9)),$AN$9-SQRT((1-AX688)*($AN$9-$AL$9)*($AN$9-$AM$9))),$AM$9)</f>
        <v/>
      </c>
      <c r="AP688">
        <f>IFERROR(IF(AY688&lt;($AM$10-$AL$10)/($AN$10-$AL$10),$AL$10+SQRT(AY688*($AN$10-$AL$10)*($AM$10-$AL$10)),$AN$10-SQRT((1-AY688)*($AN$10-$AL$10)*($AN$10-$AM$10))),$AM$10)</f>
        <v/>
      </c>
      <c r="AQ688">
        <f>IFERROR(IF(AZ688&lt;($AM$11-$AL$11)/($AN$11-$AL$11),$AL$11+SQRT(AZ688*($AN$11-$AL$11)*($AM$11-$AL$11)),$AN$11-SQRT((1-AZ688)*($AN$11-$AL$11)*($AN$11-$AM$11))),$AM$11)</f>
        <v/>
      </c>
      <c r="AR688">
        <f>SUMPRODUCT((B24:B31&lt;=$B$6)*(C24:C31*AM688+D24:D31*AO688*$B$8*AQ688)/(1+AL688/100)^B24:B31)+C32*AM688*AP688/(1+AL688/100)^$B$6</f>
        <v/>
      </c>
      <c r="AS688">
        <f>SUMPRODUCT((K24:K26&lt;=$B$6)*(L24:L26*AN688+M24:M26*AO688*$B$8*AQ688)/(1+AL688/100)^K24:K26)+L27*AN688*AP688/(1+AL688/100)^$B$6</f>
        <v/>
      </c>
      <c r="AT688">
        <f>AS688-AR688</f>
        <v/>
      </c>
      <c r="AU688">
        <f>RAND()</f>
        <v/>
      </c>
      <c r="AV688">
        <f>RAND()</f>
        <v/>
      </c>
      <c r="AW688">
        <f>RAND()</f>
        <v/>
      </c>
      <c r="AX688">
        <f>RAND()</f>
        <v/>
      </c>
      <c r="AY688">
        <f>RAND()</f>
        <v/>
      </c>
      <c r="AZ688">
        <f>RAND()</f>
        <v/>
      </c>
    </row>
    <row r="689">
      <c r="AK689" t="n">
        <v>676</v>
      </c>
      <c r="AL689">
        <f>IFERROR(IF(AU689&lt;($AM$6-$AL$6)/($AN$6-$AL$6),$AL$6+SQRT(AU689*($AN$6-$AL$6)*($AM$6-$AL$6)),$AN$6-SQRT((1-AU689)*($AN$6-$AL$6)*($AN$6-$AM$6))),$AM$6)</f>
        <v/>
      </c>
      <c r="AM689">
        <f>IFERROR(IF(AV689&lt;($AM$7-$AL$7)/($AN$7-$AL$7),$AL$7+SQRT(AV689*($AN$7-$AL$7)*($AM$7-$AL$7)),$AN$7-SQRT((1-AV689)*($AN$7-$AL$7)*($AN$7-$AM$7))),$AM$7)</f>
        <v/>
      </c>
      <c r="AN689">
        <f>IFERROR(IF(AW689&lt;($AM$8-$AL$8)/($AN$8-$AL$8),$AL$8+SQRT(AW689*($AN$8-$AL$8)*($AM$8-$AL$8)),$AN$8-SQRT((1-AW689)*($AN$8-$AL$8)*($AN$8-$AM$8))),$AM$8)</f>
        <v/>
      </c>
      <c r="AO689">
        <f>IFERROR(IF(AX689&lt;($AM$9-$AL$9)/($AN$9-$AL$9),$AL$9+SQRT(AX689*($AN$9-$AL$9)*($AM$9-$AL$9)),$AN$9-SQRT((1-AX689)*($AN$9-$AL$9)*($AN$9-$AM$9))),$AM$9)</f>
        <v/>
      </c>
      <c r="AP689">
        <f>IFERROR(IF(AY689&lt;($AM$10-$AL$10)/($AN$10-$AL$10),$AL$10+SQRT(AY689*($AN$10-$AL$10)*($AM$10-$AL$10)),$AN$10-SQRT((1-AY689)*($AN$10-$AL$10)*($AN$10-$AM$10))),$AM$10)</f>
        <v/>
      </c>
      <c r="AQ689">
        <f>IFERROR(IF(AZ689&lt;($AM$11-$AL$11)/($AN$11-$AL$11),$AL$11+SQRT(AZ689*($AN$11-$AL$11)*($AM$11-$AL$11)),$AN$11-SQRT((1-AZ689)*($AN$11-$AL$11)*($AN$11-$AM$11))),$AM$11)</f>
        <v/>
      </c>
      <c r="AR689">
        <f>SUMPRODUCT((B24:B31&lt;=$B$6)*(C24:C31*AM689+D24:D31*AO689*$B$8*AQ689)/(1+AL689/100)^B24:B31)+C32*AM689*AP689/(1+AL689/100)^$B$6</f>
        <v/>
      </c>
      <c r="AS689">
        <f>SUMPRODUCT((K24:K26&lt;=$B$6)*(L24:L26*AN689+M24:M26*AO689*$B$8*AQ689)/(1+AL689/100)^K24:K26)+L27*AN689*AP689/(1+AL689/100)^$B$6</f>
        <v/>
      </c>
      <c r="AT689">
        <f>AS689-AR689</f>
        <v/>
      </c>
      <c r="AU689">
        <f>RAND()</f>
        <v/>
      </c>
      <c r="AV689">
        <f>RAND()</f>
        <v/>
      </c>
      <c r="AW689">
        <f>RAND()</f>
        <v/>
      </c>
      <c r="AX689">
        <f>RAND()</f>
        <v/>
      </c>
      <c r="AY689">
        <f>RAND()</f>
        <v/>
      </c>
      <c r="AZ689">
        <f>RAND()</f>
        <v/>
      </c>
    </row>
    <row r="690">
      <c r="AK690" t="n">
        <v>677</v>
      </c>
      <c r="AL690">
        <f>IFERROR(IF(AU690&lt;($AM$6-$AL$6)/($AN$6-$AL$6),$AL$6+SQRT(AU690*($AN$6-$AL$6)*($AM$6-$AL$6)),$AN$6-SQRT((1-AU690)*($AN$6-$AL$6)*($AN$6-$AM$6))),$AM$6)</f>
        <v/>
      </c>
      <c r="AM690">
        <f>IFERROR(IF(AV690&lt;($AM$7-$AL$7)/($AN$7-$AL$7),$AL$7+SQRT(AV690*($AN$7-$AL$7)*($AM$7-$AL$7)),$AN$7-SQRT((1-AV690)*($AN$7-$AL$7)*($AN$7-$AM$7))),$AM$7)</f>
        <v/>
      </c>
      <c r="AN690">
        <f>IFERROR(IF(AW690&lt;($AM$8-$AL$8)/($AN$8-$AL$8),$AL$8+SQRT(AW690*($AN$8-$AL$8)*($AM$8-$AL$8)),$AN$8-SQRT((1-AW690)*($AN$8-$AL$8)*($AN$8-$AM$8))),$AM$8)</f>
        <v/>
      </c>
      <c r="AO690">
        <f>IFERROR(IF(AX690&lt;($AM$9-$AL$9)/($AN$9-$AL$9),$AL$9+SQRT(AX690*($AN$9-$AL$9)*($AM$9-$AL$9)),$AN$9-SQRT((1-AX690)*($AN$9-$AL$9)*($AN$9-$AM$9))),$AM$9)</f>
        <v/>
      </c>
      <c r="AP690">
        <f>IFERROR(IF(AY690&lt;($AM$10-$AL$10)/($AN$10-$AL$10),$AL$10+SQRT(AY690*($AN$10-$AL$10)*($AM$10-$AL$10)),$AN$10-SQRT((1-AY690)*($AN$10-$AL$10)*($AN$10-$AM$10))),$AM$10)</f>
        <v/>
      </c>
      <c r="AQ690">
        <f>IFERROR(IF(AZ690&lt;($AM$11-$AL$11)/($AN$11-$AL$11),$AL$11+SQRT(AZ690*($AN$11-$AL$11)*($AM$11-$AL$11)),$AN$11-SQRT((1-AZ690)*($AN$11-$AL$11)*($AN$11-$AM$11))),$AM$11)</f>
        <v/>
      </c>
      <c r="AR690">
        <f>SUMPRODUCT((B24:B31&lt;=$B$6)*(C24:C31*AM690+D24:D31*AO690*$B$8*AQ690)/(1+AL690/100)^B24:B31)+C32*AM690*AP690/(1+AL690/100)^$B$6</f>
        <v/>
      </c>
      <c r="AS690">
        <f>SUMPRODUCT((K24:K26&lt;=$B$6)*(L24:L26*AN690+M24:M26*AO690*$B$8*AQ690)/(1+AL690/100)^K24:K26)+L27*AN690*AP690/(1+AL690/100)^$B$6</f>
        <v/>
      </c>
      <c r="AT690">
        <f>AS690-AR690</f>
        <v/>
      </c>
      <c r="AU690">
        <f>RAND()</f>
        <v/>
      </c>
      <c r="AV690">
        <f>RAND()</f>
        <v/>
      </c>
      <c r="AW690">
        <f>RAND()</f>
        <v/>
      </c>
      <c r="AX690">
        <f>RAND()</f>
        <v/>
      </c>
      <c r="AY690">
        <f>RAND()</f>
        <v/>
      </c>
      <c r="AZ690">
        <f>RAND()</f>
        <v/>
      </c>
    </row>
    <row r="691">
      <c r="AK691" t="n">
        <v>678</v>
      </c>
      <c r="AL691">
        <f>IFERROR(IF(AU691&lt;($AM$6-$AL$6)/($AN$6-$AL$6),$AL$6+SQRT(AU691*($AN$6-$AL$6)*($AM$6-$AL$6)),$AN$6-SQRT((1-AU691)*($AN$6-$AL$6)*($AN$6-$AM$6))),$AM$6)</f>
        <v/>
      </c>
      <c r="AM691">
        <f>IFERROR(IF(AV691&lt;($AM$7-$AL$7)/($AN$7-$AL$7),$AL$7+SQRT(AV691*($AN$7-$AL$7)*($AM$7-$AL$7)),$AN$7-SQRT((1-AV691)*($AN$7-$AL$7)*($AN$7-$AM$7))),$AM$7)</f>
        <v/>
      </c>
      <c r="AN691">
        <f>IFERROR(IF(AW691&lt;($AM$8-$AL$8)/($AN$8-$AL$8),$AL$8+SQRT(AW691*($AN$8-$AL$8)*($AM$8-$AL$8)),$AN$8-SQRT((1-AW691)*($AN$8-$AL$8)*($AN$8-$AM$8))),$AM$8)</f>
        <v/>
      </c>
      <c r="AO691">
        <f>IFERROR(IF(AX691&lt;($AM$9-$AL$9)/($AN$9-$AL$9),$AL$9+SQRT(AX691*($AN$9-$AL$9)*($AM$9-$AL$9)),$AN$9-SQRT((1-AX691)*($AN$9-$AL$9)*($AN$9-$AM$9))),$AM$9)</f>
        <v/>
      </c>
      <c r="AP691">
        <f>IFERROR(IF(AY691&lt;($AM$10-$AL$10)/($AN$10-$AL$10),$AL$10+SQRT(AY691*($AN$10-$AL$10)*($AM$10-$AL$10)),$AN$10-SQRT((1-AY691)*($AN$10-$AL$10)*($AN$10-$AM$10))),$AM$10)</f>
        <v/>
      </c>
      <c r="AQ691">
        <f>IFERROR(IF(AZ691&lt;($AM$11-$AL$11)/($AN$11-$AL$11),$AL$11+SQRT(AZ691*($AN$11-$AL$11)*($AM$11-$AL$11)),$AN$11-SQRT((1-AZ691)*($AN$11-$AL$11)*($AN$11-$AM$11))),$AM$11)</f>
        <v/>
      </c>
      <c r="AR691">
        <f>SUMPRODUCT((B24:B31&lt;=$B$6)*(C24:C31*AM691+D24:D31*AO691*$B$8*AQ691)/(1+AL691/100)^B24:B31)+C32*AM691*AP691/(1+AL691/100)^$B$6</f>
        <v/>
      </c>
      <c r="AS691">
        <f>SUMPRODUCT((K24:K26&lt;=$B$6)*(L24:L26*AN691+M24:M26*AO691*$B$8*AQ691)/(1+AL691/100)^K24:K26)+L27*AN691*AP691/(1+AL691/100)^$B$6</f>
        <v/>
      </c>
      <c r="AT691">
        <f>AS691-AR691</f>
        <v/>
      </c>
      <c r="AU691">
        <f>RAND()</f>
        <v/>
      </c>
      <c r="AV691">
        <f>RAND()</f>
        <v/>
      </c>
      <c r="AW691">
        <f>RAND()</f>
        <v/>
      </c>
      <c r="AX691">
        <f>RAND()</f>
        <v/>
      </c>
      <c r="AY691">
        <f>RAND()</f>
        <v/>
      </c>
      <c r="AZ691">
        <f>RAND()</f>
        <v/>
      </c>
    </row>
    <row r="692">
      <c r="AK692" t="n">
        <v>679</v>
      </c>
      <c r="AL692">
        <f>IFERROR(IF(AU692&lt;($AM$6-$AL$6)/($AN$6-$AL$6),$AL$6+SQRT(AU692*($AN$6-$AL$6)*($AM$6-$AL$6)),$AN$6-SQRT((1-AU692)*($AN$6-$AL$6)*($AN$6-$AM$6))),$AM$6)</f>
        <v/>
      </c>
      <c r="AM692">
        <f>IFERROR(IF(AV692&lt;($AM$7-$AL$7)/($AN$7-$AL$7),$AL$7+SQRT(AV692*($AN$7-$AL$7)*($AM$7-$AL$7)),$AN$7-SQRT((1-AV692)*($AN$7-$AL$7)*($AN$7-$AM$7))),$AM$7)</f>
        <v/>
      </c>
      <c r="AN692">
        <f>IFERROR(IF(AW692&lt;($AM$8-$AL$8)/($AN$8-$AL$8),$AL$8+SQRT(AW692*($AN$8-$AL$8)*($AM$8-$AL$8)),$AN$8-SQRT((1-AW692)*($AN$8-$AL$8)*($AN$8-$AM$8))),$AM$8)</f>
        <v/>
      </c>
      <c r="AO692">
        <f>IFERROR(IF(AX692&lt;($AM$9-$AL$9)/($AN$9-$AL$9),$AL$9+SQRT(AX692*($AN$9-$AL$9)*($AM$9-$AL$9)),$AN$9-SQRT((1-AX692)*($AN$9-$AL$9)*($AN$9-$AM$9))),$AM$9)</f>
        <v/>
      </c>
      <c r="AP692">
        <f>IFERROR(IF(AY692&lt;($AM$10-$AL$10)/($AN$10-$AL$10),$AL$10+SQRT(AY692*($AN$10-$AL$10)*($AM$10-$AL$10)),$AN$10-SQRT((1-AY692)*($AN$10-$AL$10)*($AN$10-$AM$10))),$AM$10)</f>
        <v/>
      </c>
      <c r="AQ692">
        <f>IFERROR(IF(AZ692&lt;($AM$11-$AL$11)/($AN$11-$AL$11),$AL$11+SQRT(AZ692*($AN$11-$AL$11)*($AM$11-$AL$11)),$AN$11-SQRT((1-AZ692)*($AN$11-$AL$11)*($AN$11-$AM$11))),$AM$11)</f>
        <v/>
      </c>
      <c r="AR692">
        <f>SUMPRODUCT((B24:B31&lt;=$B$6)*(C24:C31*AM692+D24:D31*AO692*$B$8*AQ692)/(1+AL692/100)^B24:B31)+C32*AM692*AP692/(1+AL692/100)^$B$6</f>
        <v/>
      </c>
      <c r="AS692">
        <f>SUMPRODUCT((K24:K26&lt;=$B$6)*(L24:L26*AN692+M24:M26*AO692*$B$8*AQ692)/(1+AL692/100)^K24:K26)+L27*AN692*AP692/(1+AL692/100)^$B$6</f>
        <v/>
      </c>
      <c r="AT692">
        <f>AS692-AR692</f>
        <v/>
      </c>
      <c r="AU692">
        <f>RAND()</f>
        <v/>
      </c>
      <c r="AV692">
        <f>RAND()</f>
        <v/>
      </c>
      <c r="AW692">
        <f>RAND()</f>
        <v/>
      </c>
      <c r="AX692">
        <f>RAND()</f>
        <v/>
      </c>
      <c r="AY692">
        <f>RAND()</f>
        <v/>
      </c>
      <c r="AZ692">
        <f>RAND()</f>
        <v/>
      </c>
    </row>
    <row r="693">
      <c r="AK693" t="n">
        <v>680</v>
      </c>
      <c r="AL693">
        <f>IFERROR(IF(AU693&lt;($AM$6-$AL$6)/($AN$6-$AL$6),$AL$6+SQRT(AU693*($AN$6-$AL$6)*($AM$6-$AL$6)),$AN$6-SQRT((1-AU693)*($AN$6-$AL$6)*($AN$6-$AM$6))),$AM$6)</f>
        <v/>
      </c>
      <c r="AM693">
        <f>IFERROR(IF(AV693&lt;($AM$7-$AL$7)/($AN$7-$AL$7),$AL$7+SQRT(AV693*($AN$7-$AL$7)*($AM$7-$AL$7)),$AN$7-SQRT((1-AV693)*($AN$7-$AL$7)*($AN$7-$AM$7))),$AM$7)</f>
        <v/>
      </c>
      <c r="AN693">
        <f>IFERROR(IF(AW693&lt;($AM$8-$AL$8)/($AN$8-$AL$8),$AL$8+SQRT(AW693*($AN$8-$AL$8)*($AM$8-$AL$8)),$AN$8-SQRT((1-AW693)*($AN$8-$AL$8)*($AN$8-$AM$8))),$AM$8)</f>
        <v/>
      </c>
      <c r="AO693">
        <f>IFERROR(IF(AX693&lt;($AM$9-$AL$9)/($AN$9-$AL$9),$AL$9+SQRT(AX693*($AN$9-$AL$9)*($AM$9-$AL$9)),$AN$9-SQRT((1-AX693)*($AN$9-$AL$9)*($AN$9-$AM$9))),$AM$9)</f>
        <v/>
      </c>
      <c r="AP693">
        <f>IFERROR(IF(AY693&lt;($AM$10-$AL$10)/($AN$10-$AL$10),$AL$10+SQRT(AY693*($AN$10-$AL$10)*($AM$10-$AL$10)),$AN$10-SQRT((1-AY693)*($AN$10-$AL$10)*($AN$10-$AM$10))),$AM$10)</f>
        <v/>
      </c>
      <c r="AQ693">
        <f>IFERROR(IF(AZ693&lt;($AM$11-$AL$11)/($AN$11-$AL$11),$AL$11+SQRT(AZ693*($AN$11-$AL$11)*($AM$11-$AL$11)),$AN$11-SQRT((1-AZ693)*($AN$11-$AL$11)*($AN$11-$AM$11))),$AM$11)</f>
        <v/>
      </c>
      <c r="AR693">
        <f>SUMPRODUCT((B24:B31&lt;=$B$6)*(C24:C31*AM693+D24:D31*AO693*$B$8*AQ693)/(1+AL693/100)^B24:B31)+C32*AM693*AP693/(1+AL693/100)^$B$6</f>
        <v/>
      </c>
      <c r="AS693">
        <f>SUMPRODUCT((K24:K26&lt;=$B$6)*(L24:L26*AN693+M24:M26*AO693*$B$8*AQ693)/(1+AL693/100)^K24:K26)+L27*AN693*AP693/(1+AL693/100)^$B$6</f>
        <v/>
      </c>
      <c r="AT693">
        <f>AS693-AR693</f>
        <v/>
      </c>
      <c r="AU693">
        <f>RAND()</f>
        <v/>
      </c>
      <c r="AV693">
        <f>RAND()</f>
        <v/>
      </c>
      <c r="AW693">
        <f>RAND()</f>
        <v/>
      </c>
      <c r="AX693">
        <f>RAND()</f>
        <v/>
      </c>
      <c r="AY693">
        <f>RAND()</f>
        <v/>
      </c>
      <c r="AZ693">
        <f>RAND()</f>
        <v/>
      </c>
    </row>
    <row r="694">
      <c r="AK694" t="n">
        <v>681</v>
      </c>
      <c r="AL694">
        <f>IFERROR(IF(AU694&lt;($AM$6-$AL$6)/($AN$6-$AL$6),$AL$6+SQRT(AU694*($AN$6-$AL$6)*($AM$6-$AL$6)),$AN$6-SQRT((1-AU694)*($AN$6-$AL$6)*($AN$6-$AM$6))),$AM$6)</f>
        <v/>
      </c>
      <c r="AM694">
        <f>IFERROR(IF(AV694&lt;($AM$7-$AL$7)/($AN$7-$AL$7),$AL$7+SQRT(AV694*($AN$7-$AL$7)*($AM$7-$AL$7)),$AN$7-SQRT((1-AV694)*($AN$7-$AL$7)*($AN$7-$AM$7))),$AM$7)</f>
        <v/>
      </c>
      <c r="AN694">
        <f>IFERROR(IF(AW694&lt;($AM$8-$AL$8)/($AN$8-$AL$8),$AL$8+SQRT(AW694*($AN$8-$AL$8)*($AM$8-$AL$8)),$AN$8-SQRT((1-AW694)*($AN$8-$AL$8)*($AN$8-$AM$8))),$AM$8)</f>
        <v/>
      </c>
      <c r="AO694">
        <f>IFERROR(IF(AX694&lt;($AM$9-$AL$9)/($AN$9-$AL$9),$AL$9+SQRT(AX694*($AN$9-$AL$9)*($AM$9-$AL$9)),$AN$9-SQRT((1-AX694)*($AN$9-$AL$9)*($AN$9-$AM$9))),$AM$9)</f>
        <v/>
      </c>
      <c r="AP694">
        <f>IFERROR(IF(AY694&lt;($AM$10-$AL$10)/($AN$10-$AL$10),$AL$10+SQRT(AY694*($AN$10-$AL$10)*($AM$10-$AL$10)),$AN$10-SQRT((1-AY694)*($AN$10-$AL$10)*($AN$10-$AM$10))),$AM$10)</f>
        <v/>
      </c>
      <c r="AQ694">
        <f>IFERROR(IF(AZ694&lt;($AM$11-$AL$11)/($AN$11-$AL$11),$AL$11+SQRT(AZ694*($AN$11-$AL$11)*($AM$11-$AL$11)),$AN$11-SQRT((1-AZ694)*($AN$11-$AL$11)*($AN$11-$AM$11))),$AM$11)</f>
        <v/>
      </c>
      <c r="AR694">
        <f>SUMPRODUCT((B24:B31&lt;=$B$6)*(C24:C31*AM694+D24:D31*AO694*$B$8*AQ694)/(1+AL694/100)^B24:B31)+C32*AM694*AP694/(1+AL694/100)^$B$6</f>
        <v/>
      </c>
      <c r="AS694">
        <f>SUMPRODUCT((K24:K26&lt;=$B$6)*(L24:L26*AN694+M24:M26*AO694*$B$8*AQ694)/(1+AL694/100)^K24:K26)+L27*AN694*AP694/(1+AL694/100)^$B$6</f>
        <v/>
      </c>
      <c r="AT694">
        <f>AS694-AR694</f>
        <v/>
      </c>
      <c r="AU694">
        <f>RAND()</f>
        <v/>
      </c>
      <c r="AV694">
        <f>RAND()</f>
        <v/>
      </c>
      <c r="AW694">
        <f>RAND()</f>
        <v/>
      </c>
      <c r="AX694">
        <f>RAND()</f>
        <v/>
      </c>
      <c r="AY694">
        <f>RAND()</f>
        <v/>
      </c>
      <c r="AZ694">
        <f>RAND()</f>
        <v/>
      </c>
    </row>
    <row r="695">
      <c r="AK695" t="n">
        <v>682</v>
      </c>
      <c r="AL695">
        <f>IFERROR(IF(AU695&lt;($AM$6-$AL$6)/($AN$6-$AL$6),$AL$6+SQRT(AU695*($AN$6-$AL$6)*($AM$6-$AL$6)),$AN$6-SQRT((1-AU695)*($AN$6-$AL$6)*($AN$6-$AM$6))),$AM$6)</f>
        <v/>
      </c>
      <c r="AM695">
        <f>IFERROR(IF(AV695&lt;($AM$7-$AL$7)/($AN$7-$AL$7),$AL$7+SQRT(AV695*($AN$7-$AL$7)*($AM$7-$AL$7)),$AN$7-SQRT((1-AV695)*($AN$7-$AL$7)*($AN$7-$AM$7))),$AM$7)</f>
        <v/>
      </c>
      <c r="AN695">
        <f>IFERROR(IF(AW695&lt;($AM$8-$AL$8)/($AN$8-$AL$8),$AL$8+SQRT(AW695*($AN$8-$AL$8)*($AM$8-$AL$8)),$AN$8-SQRT((1-AW695)*($AN$8-$AL$8)*($AN$8-$AM$8))),$AM$8)</f>
        <v/>
      </c>
      <c r="AO695">
        <f>IFERROR(IF(AX695&lt;($AM$9-$AL$9)/($AN$9-$AL$9),$AL$9+SQRT(AX695*($AN$9-$AL$9)*($AM$9-$AL$9)),$AN$9-SQRT((1-AX695)*($AN$9-$AL$9)*($AN$9-$AM$9))),$AM$9)</f>
        <v/>
      </c>
      <c r="AP695">
        <f>IFERROR(IF(AY695&lt;($AM$10-$AL$10)/($AN$10-$AL$10),$AL$10+SQRT(AY695*($AN$10-$AL$10)*($AM$10-$AL$10)),$AN$10-SQRT((1-AY695)*($AN$10-$AL$10)*($AN$10-$AM$10))),$AM$10)</f>
        <v/>
      </c>
      <c r="AQ695">
        <f>IFERROR(IF(AZ695&lt;($AM$11-$AL$11)/($AN$11-$AL$11),$AL$11+SQRT(AZ695*($AN$11-$AL$11)*($AM$11-$AL$11)),$AN$11-SQRT((1-AZ695)*($AN$11-$AL$11)*($AN$11-$AM$11))),$AM$11)</f>
        <v/>
      </c>
      <c r="AR695">
        <f>SUMPRODUCT((B24:B31&lt;=$B$6)*(C24:C31*AM695+D24:D31*AO695*$B$8*AQ695)/(1+AL695/100)^B24:B31)+C32*AM695*AP695/(1+AL695/100)^$B$6</f>
        <v/>
      </c>
      <c r="AS695">
        <f>SUMPRODUCT((K24:K26&lt;=$B$6)*(L24:L26*AN695+M24:M26*AO695*$B$8*AQ695)/(1+AL695/100)^K24:K26)+L27*AN695*AP695/(1+AL695/100)^$B$6</f>
        <v/>
      </c>
      <c r="AT695">
        <f>AS695-AR695</f>
        <v/>
      </c>
      <c r="AU695">
        <f>RAND()</f>
        <v/>
      </c>
      <c r="AV695">
        <f>RAND()</f>
        <v/>
      </c>
      <c r="AW695">
        <f>RAND()</f>
        <v/>
      </c>
      <c r="AX695">
        <f>RAND()</f>
        <v/>
      </c>
      <c r="AY695">
        <f>RAND()</f>
        <v/>
      </c>
      <c r="AZ695">
        <f>RAND()</f>
        <v/>
      </c>
    </row>
    <row r="696">
      <c r="AK696" t="n">
        <v>683</v>
      </c>
      <c r="AL696">
        <f>IFERROR(IF(AU696&lt;($AM$6-$AL$6)/($AN$6-$AL$6),$AL$6+SQRT(AU696*($AN$6-$AL$6)*($AM$6-$AL$6)),$AN$6-SQRT((1-AU696)*($AN$6-$AL$6)*($AN$6-$AM$6))),$AM$6)</f>
        <v/>
      </c>
      <c r="AM696">
        <f>IFERROR(IF(AV696&lt;($AM$7-$AL$7)/($AN$7-$AL$7),$AL$7+SQRT(AV696*($AN$7-$AL$7)*($AM$7-$AL$7)),$AN$7-SQRT((1-AV696)*($AN$7-$AL$7)*($AN$7-$AM$7))),$AM$7)</f>
        <v/>
      </c>
      <c r="AN696">
        <f>IFERROR(IF(AW696&lt;($AM$8-$AL$8)/($AN$8-$AL$8),$AL$8+SQRT(AW696*($AN$8-$AL$8)*($AM$8-$AL$8)),$AN$8-SQRT((1-AW696)*($AN$8-$AL$8)*($AN$8-$AM$8))),$AM$8)</f>
        <v/>
      </c>
      <c r="AO696">
        <f>IFERROR(IF(AX696&lt;($AM$9-$AL$9)/($AN$9-$AL$9),$AL$9+SQRT(AX696*($AN$9-$AL$9)*($AM$9-$AL$9)),$AN$9-SQRT((1-AX696)*($AN$9-$AL$9)*($AN$9-$AM$9))),$AM$9)</f>
        <v/>
      </c>
      <c r="AP696">
        <f>IFERROR(IF(AY696&lt;($AM$10-$AL$10)/($AN$10-$AL$10),$AL$10+SQRT(AY696*($AN$10-$AL$10)*($AM$10-$AL$10)),$AN$10-SQRT((1-AY696)*($AN$10-$AL$10)*($AN$10-$AM$10))),$AM$10)</f>
        <v/>
      </c>
      <c r="AQ696">
        <f>IFERROR(IF(AZ696&lt;($AM$11-$AL$11)/($AN$11-$AL$11),$AL$11+SQRT(AZ696*($AN$11-$AL$11)*($AM$11-$AL$11)),$AN$11-SQRT((1-AZ696)*($AN$11-$AL$11)*($AN$11-$AM$11))),$AM$11)</f>
        <v/>
      </c>
      <c r="AR696">
        <f>SUMPRODUCT((B24:B31&lt;=$B$6)*(C24:C31*AM696+D24:D31*AO696*$B$8*AQ696)/(1+AL696/100)^B24:B31)+C32*AM696*AP696/(1+AL696/100)^$B$6</f>
        <v/>
      </c>
      <c r="AS696">
        <f>SUMPRODUCT((K24:K26&lt;=$B$6)*(L24:L26*AN696+M24:M26*AO696*$B$8*AQ696)/(1+AL696/100)^K24:K26)+L27*AN696*AP696/(1+AL696/100)^$B$6</f>
        <v/>
      </c>
      <c r="AT696">
        <f>AS696-AR696</f>
        <v/>
      </c>
      <c r="AU696">
        <f>RAND()</f>
        <v/>
      </c>
      <c r="AV696">
        <f>RAND()</f>
        <v/>
      </c>
      <c r="AW696">
        <f>RAND()</f>
        <v/>
      </c>
      <c r="AX696">
        <f>RAND()</f>
        <v/>
      </c>
      <c r="AY696">
        <f>RAND()</f>
        <v/>
      </c>
      <c r="AZ696">
        <f>RAND()</f>
        <v/>
      </c>
    </row>
    <row r="697">
      <c r="AK697" t="n">
        <v>684</v>
      </c>
      <c r="AL697">
        <f>IFERROR(IF(AU697&lt;($AM$6-$AL$6)/($AN$6-$AL$6),$AL$6+SQRT(AU697*($AN$6-$AL$6)*($AM$6-$AL$6)),$AN$6-SQRT((1-AU697)*($AN$6-$AL$6)*($AN$6-$AM$6))),$AM$6)</f>
        <v/>
      </c>
      <c r="AM697">
        <f>IFERROR(IF(AV697&lt;($AM$7-$AL$7)/($AN$7-$AL$7),$AL$7+SQRT(AV697*($AN$7-$AL$7)*($AM$7-$AL$7)),$AN$7-SQRT((1-AV697)*($AN$7-$AL$7)*($AN$7-$AM$7))),$AM$7)</f>
        <v/>
      </c>
      <c r="AN697">
        <f>IFERROR(IF(AW697&lt;($AM$8-$AL$8)/($AN$8-$AL$8),$AL$8+SQRT(AW697*($AN$8-$AL$8)*($AM$8-$AL$8)),$AN$8-SQRT((1-AW697)*($AN$8-$AL$8)*($AN$8-$AM$8))),$AM$8)</f>
        <v/>
      </c>
      <c r="AO697">
        <f>IFERROR(IF(AX697&lt;($AM$9-$AL$9)/($AN$9-$AL$9),$AL$9+SQRT(AX697*($AN$9-$AL$9)*($AM$9-$AL$9)),$AN$9-SQRT((1-AX697)*($AN$9-$AL$9)*($AN$9-$AM$9))),$AM$9)</f>
        <v/>
      </c>
      <c r="AP697">
        <f>IFERROR(IF(AY697&lt;($AM$10-$AL$10)/($AN$10-$AL$10),$AL$10+SQRT(AY697*($AN$10-$AL$10)*($AM$10-$AL$10)),$AN$10-SQRT((1-AY697)*($AN$10-$AL$10)*($AN$10-$AM$10))),$AM$10)</f>
        <v/>
      </c>
      <c r="AQ697">
        <f>IFERROR(IF(AZ697&lt;($AM$11-$AL$11)/($AN$11-$AL$11),$AL$11+SQRT(AZ697*($AN$11-$AL$11)*($AM$11-$AL$11)),$AN$11-SQRT((1-AZ697)*($AN$11-$AL$11)*($AN$11-$AM$11))),$AM$11)</f>
        <v/>
      </c>
      <c r="AR697">
        <f>SUMPRODUCT((B24:B31&lt;=$B$6)*(C24:C31*AM697+D24:D31*AO697*$B$8*AQ697)/(1+AL697/100)^B24:B31)+C32*AM697*AP697/(1+AL697/100)^$B$6</f>
        <v/>
      </c>
      <c r="AS697">
        <f>SUMPRODUCT((K24:K26&lt;=$B$6)*(L24:L26*AN697+M24:M26*AO697*$B$8*AQ697)/(1+AL697/100)^K24:K26)+L27*AN697*AP697/(1+AL697/100)^$B$6</f>
        <v/>
      </c>
      <c r="AT697">
        <f>AS697-AR697</f>
        <v/>
      </c>
      <c r="AU697">
        <f>RAND()</f>
        <v/>
      </c>
      <c r="AV697">
        <f>RAND()</f>
        <v/>
      </c>
      <c r="AW697">
        <f>RAND()</f>
        <v/>
      </c>
      <c r="AX697">
        <f>RAND()</f>
        <v/>
      </c>
      <c r="AY697">
        <f>RAND()</f>
        <v/>
      </c>
      <c r="AZ697">
        <f>RAND()</f>
        <v/>
      </c>
    </row>
    <row r="698">
      <c r="AK698" t="n">
        <v>685</v>
      </c>
      <c r="AL698">
        <f>IFERROR(IF(AU698&lt;($AM$6-$AL$6)/($AN$6-$AL$6),$AL$6+SQRT(AU698*($AN$6-$AL$6)*($AM$6-$AL$6)),$AN$6-SQRT((1-AU698)*($AN$6-$AL$6)*($AN$6-$AM$6))),$AM$6)</f>
        <v/>
      </c>
      <c r="AM698">
        <f>IFERROR(IF(AV698&lt;($AM$7-$AL$7)/($AN$7-$AL$7),$AL$7+SQRT(AV698*($AN$7-$AL$7)*($AM$7-$AL$7)),$AN$7-SQRT((1-AV698)*($AN$7-$AL$7)*($AN$7-$AM$7))),$AM$7)</f>
        <v/>
      </c>
      <c r="AN698">
        <f>IFERROR(IF(AW698&lt;($AM$8-$AL$8)/($AN$8-$AL$8),$AL$8+SQRT(AW698*($AN$8-$AL$8)*($AM$8-$AL$8)),$AN$8-SQRT((1-AW698)*($AN$8-$AL$8)*($AN$8-$AM$8))),$AM$8)</f>
        <v/>
      </c>
      <c r="AO698">
        <f>IFERROR(IF(AX698&lt;($AM$9-$AL$9)/($AN$9-$AL$9),$AL$9+SQRT(AX698*($AN$9-$AL$9)*($AM$9-$AL$9)),$AN$9-SQRT((1-AX698)*($AN$9-$AL$9)*($AN$9-$AM$9))),$AM$9)</f>
        <v/>
      </c>
      <c r="AP698">
        <f>IFERROR(IF(AY698&lt;($AM$10-$AL$10)/($AN$10-$AL$10),$AL$10+SQRT(AY698*($AN$10-$AL$10)*($AM$10-$AL$10)),$AN$10-SQRT((1-AY698)*($AN$10-$AL$10)*($AN$10-$AM$10))),$AM$10)</f>
        <v/>
      </c>
      <c r="AQ698">
        <f>IFERROR(IF(AZ698&lt;($AM$11-$AL$11)/($AN$11-$AL$11),$AL$11+SQRT(AZ698*($AN$11-$AL$11)*($AM$11-$AL$11)),$AN$11-SQRT((1-AZ698)*($AN$11-$AL$11)*($AN$11-$AM$11))),$AM$11)</f>
        <v/>
      </c>
      <c r="AR698">
        <f>SUMPRODUCT((B24:B31&lt;=$B$6)*(C24:C31*AM698+D24:D31*AO698*$B$8*AQ698)/(1+AL698/100)^B24:B31)+C32*AM698*AP698/(1+AL698/100)^$B$6</f>
        <v/>
      </c>
      <c r="AS698">
        <f>SUMPRODUCT((K24:K26&lt;=$B$6)*(L24:L26*AN698+M24:M26*AO698*$B$8*AQ698)/(1+AL698/100)^K24:K26)+L27*AN698*AP698/(1+AL698/100)^$B$6</f>
        <v/>
      </c>
      <c r="AT698">
        <f>AS698-AR698</f>
        <v/>
      </c>
      <c r="AU698">
        <f>RAND()</f>
        <v/>
      </c>
      <c r="AV698">
        <f>RAND()</f>
        <v/>
      </c>
      <c r="AW698">
        <f>RAND()</f>
        <v/>
      </c>
      <c r="AX698">
        <f>RAND()</f>
        <v/>
      </c>
      <c r="AY698">
        <f>RAND()</f>
        <v/>
      </c>
      <c r="AZ698">
        <f>RAND()</f>
        <v/>
      </c>
    </row>
    <row r="699">
      <c r="AK699" t="n">
        <v>686</v>
      </c>
      <c r="AL699">
        <f>IFERROR(IF(AU699&lt;($AM$6-$AL$6)/($AN$6-$AL$6),$AL$6+SQRT(AU699*($AN$6-$AL$6)*($AM$6-$AL$6)),$AN$6-SQRT((1-AU699)*($AN$6-$AL$6)*($AN$6-$AM$6))),$AM$6)</f>
        <v/>
      </c>
      <c r="AM699">
        <f>IFERROR(IF(AV699&lt;($AM$7-$AL$7)/($AN$7-$AL$7),$AL$7+SQRT(AV699*($AN$7-$AL$7)*($AM$7-$AL$7)),$AN$7-SQRT((1-AV699)*($AN$7-$AL$7)*($AN$7-$AM$7))),$AM$7)</f>
        <v/>
      </c>
      <c r="AN699">
        <f>IFERROR(IF(AW699&lt;($AM$8-$AL$8)/($AN$8-$AL$8),$AL$8+SQRT(AW699*($AN$8-$AL$8)*($AM$8-$AL$8)),$AN$8-SQRT((1-AW699)*($AN$8-$AL$8)*($AN$8-$AM$8))),$AM$8)</f>
        <v/>
      </c>
      <c r="AO699">
        <f>IFERROR(IF(AX699&lt;($AM$9-$AL$9)/($AN$9-$AL$9),$AL$9+SQRT(AX699*($AN$9-$AL$9)*($AM$9-$AL$9)),$AN$9-SQRT((1-AX699)*($AN$9-$AL$9)*($AN$9-$AM$9))),$AM$9)</f>
        <v/>
      </c>
      <c r="AP699">
        <f>IFERROR(IF(AY699&lt;($AM$10-$AL$10)/($AN$10-$AL$10),$AL$10+SQRT(AY699*($AN$10-$AL$10)*($AM$10-$AL$10)),$AN$10-SQRT((1-AY699)*($AN$10-$AL$10)*($AN$10-$AM$10))),$AM$10)</f>
        <v/>
      </c>
      <c r="AQ699">
        <f>IFERROR(IF(AZ699&lt;($AM$11-$AL$11)/($AN$11-$AL$11),$AL$11+SQRT(AZ699*($AN$11-$AL$11)*($AM$11-$AL$11)),$AN$11-SQRT((1-AZ699)*($AN$11-$AL$11)*($AN$11-$AM$11))),$AM$11)</f>
        <v/>
      </c>
      <c r="AR699">
        <f>SUMPRODUCT((B24:B31&lt;=$B$6)*(C24:C31*AM699+D24:D31*AO699*$B$8*AQ699)/(1+AL699/100)^B24:B31)+C32*AM699*AP699/(1+AL699/100)^$B$6</f>
        <v/>
      </c>
      <c r="AS699">
        <f>SUMPRODUCT((K24:K26&lt;=$B$6)*(L24:L26*AN699+M24:M26*AO699*$B$8*AQ699)/(1+AL699/100)^K24:K26)+L27*AN699*AP699/(1+AL699/100)^$B$6</f>
        <v/>
      </c>
      <c r="AT699">
        <f>AS699-AR699</f>
        <v/>
      </c>
      <c r="AU699">
        <f>RAND()</f>
        <v/>
      </c>
      <c r="AV699">
        <f>RAND()</f>
        <v/>
      </c>
      <c r="AW699">
        <f>RAND()</f>
        <v/>
      </c>
      <c r="AX699">
        <f>RAND()</f>
        <v/>
      </c>
      <c r="AY699">
        <f>RAND()</f>
        <v/>
      </c>
      <c r="AZ699">
        <f>RAND()</f>
        <v/>
      </c>
    </row>
    <row r="700">
      <c r="AK700" t="n">
        <v>687</v>
      </c>
      <c r="AL700">
        <f>IFERROR(IF(AU700&lt;($AM$6-$AL$6)/($AN$6-$AL$6),$AL$6+SQRT(AU700*($AN$6-$AL$6)*($AM$6-$AL$6)),$AN$6-SQRT((1-AU700)*($AN$6-$AL$6)*($AN$6-$AM$6))),$AM$6)</f>
        <v/>
      </c>
      <c r="AM700">
        <f>IFERROR(IF(AV700&lt;($AM$7-$AL$7)/($AN$7-$AL$7),$AL$7+SQRT(AV700*($AN$7-$AL$7)*($AM$7-$AL$7)),$AN$7-SQRT((1-AV700)*($AN$7-$AL$7)*($AN$7-$AM$7))),$AM$7)</f>
        <v/>
      </c>
      <c r="AN700">
        <f>IFERROR(IF(AW700&lt;($AM$8-$AL$8)/($AN$8-$AL$8),$AL$8+SQRT(AW700*($AN$8-$AL$8)*($AM$8-$AL$8)),$AN$8-SQRT((1-AW700)*($AN$8-$AL$8)*($AN$8-$AM$8))),$AM$8)</f>
        <v/>
      </c>
      <c r="AO700">
        <f>IFERROR(IF(AX700&lt;($AM$9-$AL$9)/($AN$9-$AL$9),$AL$9+SQRT(AX700*($AN$9-$AL$9)*($AM$9-$AL$9)),$AN$9-SQRT((1-AX700)*($AN$9-$AL$9)*($AN$9-$AM$9))),$AM$9)</f>
        <v/>
      </c>
      <c r="AP700">
        <f>IFERROR(IF(AY700&lt;($AM$10-$AL$10)/($AN$10-$AL$10),$AL$10+SQRT(AY700*($AN$10-$AL$10)*($AM$10-$AL$10)),$AN$10-SQRT((1-AY700)*($AN$10-$AL$10)*($AN$10-$AM$10))),$AM$10)</f>
        <v/>
      </c>
      <c r="AQ700">
        <f>IFERROR(IF(AZ700&lt;($AM$11-$AL$11)/($AN$11-$AL$11),$AL$11+SQRT(AZ700*($AN$11-$AL$11)*($AM$11-$AL$11)),$AN$11-SQRT((1-AZ700)*($AN$11-$AL$11)*($AN$11-$AM$11))),$AM$11)</f>
        <v/>
      </c>
      <c r="AR700">
        <f>SUMPRODUCT((B24:B31&lt;=$B$6)*(C24:C31*AM700+D24:D31*AO700*$B$8*AQ700)/(1+AL700/100)^B24:B31)+C32*AM700*AP700/(1+AL700/100)^$B$6</f>
        <v/>
      </c>
      <c r="AS700">
        <f>SUMPRODUCT((K24:K26&lt;=$B$6)*(L24:L26*AN700+M24:M26*AO700*$B$8*AQ700)/(1+AL700/100)^K24:K26)+L27*AN700*AP700/(1+AL700/100)^$B$6</f>
        <v/>
      </c>
      <c r="AT700">
        <f>AS700-AR700</f>
        <v/>
      </c>
      <c r="AU700">
        <f>RAND()</f>
        <v/>
      </c>
      <c r="AV700">
        <f>RAND()</f>
        <v/>
      </c>
      <c r="AW700">
        <f>RAND()</f>
        <v/>
      </c>
      <c r="AX700">
        <f>RAND()</f>
        <v/>
      </c>
      <c r="AY700">
        <f>RAND()</f>
        <v/>
      </c>
      <c r="AZ700">
        <f>RAND()</f>
        <v/>
      </c>
    </row>
    <row r="701">
      <c r="AK701" t="n">
        <v>688</v>
      </c>
      <c r="AL701">
        <f>IFERROR(IF(AU701&lt;($AM$6-$AL$6)/($AN$6-$AL$6),$AL$6+SQRT(AU701*($AN$6-$AL$6)*($AM$6-$AL$6)),$AN$6-SQRT((1-AU701)*($AN$6-$AL$6)*($AN$6-$AM$6))),$AM$6)</f>
        <v/>
      </c>
      <c r="AM701">
        <f>IFERROR(IF(AV701&lt;($AM$7-$AL$7)/($AN$7-$AL$7),$AL$7+SQRT(AV701*($AN$7-$AL$7)*($AM$7-$AL$7)),$AN$7-SQRT((1-AV701)*($AN$7-$AL$7)*($AN$7-$AM$7))),$AM$7)</f>
        <v/>
      </c>
      <c r="AN701">
        <f>IFERROR(IF(AW701&lt;($AM$8-$AL$8)/($AN$8-$AL$8),$AL$8+SQRT(AW701*($AN$8-$AL$8)*($AM$8-$AL$8)),$AN$8-SQRT((1-AW701)*($AN$8-$AL$8)*($AN$8-$AM$8))),$AM$8)</f>
        <v/>
      </c>
      <c r="AO701">
        <f>IFERROR(IF(AX701&lt;($AM$9-$AL$9)/($AN$9-$AL$9),$AL$9+SQRT(AX701*($AN$9-$AL$9)*($AM$9-$AL$9)),$AN$9-SQRT((1-AX701)*($AN$9-$AL$9)*($AN$9-$AM$9))),$AM$9)</f>
        <v/>
      </c>
      <c r="AP701">
        <f>IFERROR(IF(AY701&lt;($AM$10-$AL$10)/($AN$10-$AL$10),$AL$10+SQRT(AY701*($AN$10-$AL$10)*($AM$10-$AL$10)),$AN$10-SQRT((1-AY701)*($AN$10-$AL$10)*($AN$10-$AM$10))),$AM$10)</f>
        <v/>
      </c>
      <c r="AQ701">
        <f>IFERROR(IF(AZ701&lt;($AM$11-$AL$11)/($AN$11-$AL$11),$AL$11+SQRT(AZ701*($AN$11-$AL$11)*($AM$11-$AL$11)),$AN$11-SQRT((1-AZ701)*($AN$11-$AL$11)*($AN$11-$AM$11))),$AM$11)</f>
        <v/>
      </c>
      <c r="AR701">
        <f>SUMPRODUCT((B24:B31&lt;=$B$6)*(C24:C31*AM701+D24:D31*AO701*$B$8*AQ701)/(1+AL701/100)^B24:B31)+C32*AM701*AP701/(1+AL701/100)^$B$6</f>
        <v/>
      </c>
      <c r="AS701">
        <f>SUMPRODUCT((K24:K26&lt;=$B$6)*(L24:L26*AN701+M24:M26*AO701*$B$8*AQ701)/(1+AL701/100)^K24:K26)+L27*AN701*AP701/(1+AL701/100)^$B$6</f>
        <v/>
      </c>
      <c r="AT701">
        <f>AS701-AR701</f>
        <v/>
      </c>
      <c r="AU701">
        <f>RAND()</f>
        <v/>
      </c>
      <c r="AV701">
        <f>RAND()</f>
        <v/>
      </c>
      <c r="AW701">
        <f>RAND()</f>
        <v/>
      </c>
      <c r="AX701">
        <f>RAND()</f>
        <v/>
      </c>
      <c r="AY701">
        <f>RAND()</f>
        <v/>
      </c>
      <c r="AZ701">
        <f>RAND()</f>
        <v/>
      </c>
    </row>
    <row r="702">
      <c r="AK702" t="n">
        <v>689</v>
      </c>
      <c r="AL702">
        <f>IFERROR(IF(AU702&lt;($AM$6-$AL$6)/($AN$6-$AL$6),$AL$6+SQRT(AU702*($AN$6-$AL$6)*($AM$6-$AL$6)),$AN$6-SQRT((1-AU702)*($AN$6-$AL$6)*($AN$6-$AM$6))),$AM$6)</f>
        <v/>
      </c>
      <c r="AM702">
        <f>IFERROR(IF(AV702&lt;($AM$7-$AL$7)/($AN$7-$AL$7),$AL$7+SQRT(AV702*($AN$7-$AL$7)*($AM$7-$AL$7)),$AN$7-SQRT((1-AV702)*($AN$7-$AL$7)*($AN$7-$AM$7))),$AM$7)</f>
        <v/>
      </c>
      <c r="AN702">
        <f>IFERROR(IF(AW702&lt;($AM$8-$AL$8)/($AN$8-$AL$8),$AL$8+SQRT(AW702*($AN$8-$AL$8)*($AM$8-$AL$8)),$AN$8-SQRT((1-AW702)*($AN$8-$AL$8)*($AN$8-$AM$8))),$AM$8)</f>
        <v/>
      </c>
      <c r="AO702">
        <f>IFERROR(IF(AX702&lt;($AM$9-$AL$9)/($AN$9-$AL$9),$AL$9+SQRT(AX702*($AN$9-$AL$9)*($AM$9-$AL$9)),$AN$9-SQRT((1-AX702)*($AN$9-$AL$9)*($AN$9-$AM$9))),$AM$9)</f>
        <v/>
      </c>
      <c r="AP702">
        <f>IFERROR(IF(AY702&lt;($AM$10-$AL$10)/($AN$10-$AL$10),$AL$10+SQRT(AY702*($AN$10-$AL$10)*($AM$10-$AL$10)),$AN$10-SQRT((1-AY702)*($AN$10-$AL$10)*($AN$10-$AM$10))),$AM$10)</f>
        <v/>
      </c>
      <c r="AQ702">
        <f>IFERROR(IF(AZ702&lt;($AM$11-$AL$11)/($AN$11-$AL$11),$AL$11+SQRT(AZ702*($AN$11-$AL$11)*($AM$11-$AL$11)),$AN$11-SQRT((1-AZ702)*($AN$11-$AL$11)*($AN$11-$AM$11))),$AM$11)</f>
        <v/>
      </c>
      <c r="AR702">
        <f>SUMPRODUCT((B24:B31&lt;=$B$6)*(C24:C31*AM702+D24:D31*AO702*$B$8*AQ702)/(1+AL702/100)^B24:B31)+C32*AM702*AP702/(1+AL702/100)^$B$6</f>
        <v/>
      </c>
      <c r="AS702">
        <f>SUMPRODUCT((K24:K26&lt;=$B$6)*(L24:L26*AN702+M24:M26*AO702*$B$8*AQ702)/(1+AL702/100)^K24:K26)+L27*AN702*AP702/(1+AL702/100)^$B$6</f>
        <v/>
      </c>
      <c r="AT702">
        <f>AS702-AR702</f>
        <v/>
      </c>
      <c r="AU702">
        <f>RAND()</f>
        <v/>
      </c>
      <c r="AV702">
        <f>RAND()</f>
        <v/>
      </c>
      <c r="AW702">
        <f>RAND()</f>
        <v/>
      </c>
      <c r="AX702">
        <f>RAND()</f>
        <v/>
      </c>
      <c r="AY702">
        <f>RAND()</f>
        <v/>
      </c>
      <c r="AZ702">
        <f>RAND()</f>
        <v/>
      </c>
    </row>
    <row r="703">
      <c r="AK703" t="n">
        <v>690</v>
      </c>
      <c r="AL703">
        <f>IFERROR(IF(AU703&lt;($AM$6-$AL$6)/($AN$6-$AL$6),$AL$6+SQRT(AU703*($AN$6-$AL$6)*($AM$6-$AL$6)),$AN$6-SQRT((1-AU703)*($AN$6-$AL$6)*($AN$6-$AM$6))),$AM$6)</f>
        <v/>
      </c>
      <c r="AM703">
        <f>IFERROR(IF(AV703&lt;($AM$7-$AL$7)/($AN$7-$AL$7),$AL$7+SQRT(AV703*($AN$7-$AL$7)*($AM$7-$AL$7)),$AN$7-SQRT((1-AV703)*($AN$7-$AL$7)*($AN$7-$AM$7))),$AM$7)</f>
        <v/>
      </c>
      <c r="AN703">
        <f>IFERROR(IF(AW703&lt;($AM$8-$AL$8)/($AN$8-$AL$8),$AL$8+SQRT(AW703*($AN$8-$AL$8)*($AM$8-$AL$8)),$AN$8-SQRT((1-AW703)*($AN$8-$AL$8)*($AN$8-$AM$8))),$AM$8)</f>
        <v/>
      </c>
      <c r="AO703">
        <f>IFERROR(IF(AX703&lt;($AM$9-$AL$9)/($AN$9-$AL$9),$AL$9+SQRT(AX703*($AN$9-$AL$9)*($AM$9-$AL$9)),$AN$9-SQRT((1-AX703)*($AN$9-$AL$9)*($AN$9-$AM$9))),$AM$9)</f>
        <v/>
      </c>
      <c r="AP703">
        <f>IFERROR(IF(AY703&lt;($AM$10-$AL$10)/($AN$10-$AL$10),$AL$10+SQRT(AY703*($AN$10-$AL$10)*($AM$10-$AL$10)),$AN$10-SQRT((1-AY703)*($AN$10-$AL$10)*($AN$10-$AM$10))),$AM$10)</f>
        <v/>
      </c>
      <c r="AQ703">
        <f>IFERROR(IF(AZ703&lt;($AM$11-$AL$11)/($AN$11-$AL$11),$AL$11+SQRT(AZ703*($AN$11-$AL$11)*($AM$11-$AL$11)),$AN$11-SQRT((1-AZ703)*($AN$11-$AL$11)*($AN$11-$AM$11))),$AM$11)</f>
        <v/>
      </c>
      <c r="AR703">
        <f>SUMPRODUCT((B24:B31&lt;=$B$6)*(C24:C31*AM703+D24:D31*AO703*$B$8*AQ703)/(1+AL703/100)^B24:B31)+C32*AM703*AP703/(1+AL703/100)^$B$6</f>
        <v/>
      </c>
      <c r="AS703">
        <f>SUMPRODUCT((K24:K26&lt;=$B$6)*(L24:L26*AN703+M24:M26*AO703*$B$8*AQ703)/(1+AL703/100)^K24:K26)+L27*AN703*AP703/(1+AL703/100)^$B$6</f>
        <v/>
      </c>
      <c r="AT703">
        <f>AS703-AR703</f>
        <v/>
      </c>
      <c r="AU703">
        <f>RAND()</f>
        <v/>
      </c>
      <c r="AV703">
        <f>RAND()</f>
        <v/>
      </c>
      <c r="AW703">
        <f>RAND()</f>
        <v/>
      </c>
      <c r="AX703">
        <f>RAND()</f>
        <v/>
      </c>
      <c r="AY703">
        <f>RAND()</f>
        <v/>
      </c>
      <c r="AZ703">
        <f>RAND()</f>
        <v/>
      </c>
    </row>
    <row r="704">
      <c r="AK704" t="n">
        <v>691</v>
      </c>
      <c r="AL704">
        <f>IFERROR(IF(AU704&lt;($AM$6-$AL$6)/($AN$6-$AL$6),$AL$6+SQRT(AU704*($AN$6-$AL$6)*($AM$6-$AL$6)),$AN$6-SQRT((1-AU704)*($AN$6-$AL$6)*($AN$6-$AM$6))),$AM$6)</f>
        <v/>
      </c>
      <c r="AM704">
        <f>IFERROR(IF(AV704&lt;($AM$7-$AL$7)/($AN$7-$AL$7),$AL$7+SQRT(AV704*($AN$7-$AL$7)*($AM$7-$AL$7)),$AN$7-SQRT((1-AV704)*($AN$7-$AL$7)*($AN$7-$AM$7))),$AM$7)</f>
        <v/>
      </c>
      <c r="AN704">
        <f>IFERROR(IF(AW704&lt;($AM$8-$AL$8)/($AN$8-$AL$8),$AL$8+SQRT(AW704*($AN$8-$AL$8)*($AM$8-$AL$8)),$AN$8-SQRT((1-AW704)*($AN$8-$AL$8)*($AN$8-$AM$8))),$AM$8)</f>
        <v/>
      </c>
      <c r="AO704">
        <f>IFERROR(IF(AX704&lt;($AM$9-$AL$9)/($AN$9-$AL$9),$AL$9+SQRT(AX704*($AN$9-$AL$9)*($AM$9-$AL$9)),$AN$9-SQRT((1-AX704)*($AN$9-$AL$9)*($AN$9-$AM$9))),$AM$9)</f>
        <v/>
      </c>
      <c r="AP704">
        <f>IFERROR(IF(AY704&lt;($AM$10-$AL$10)/($AN$10-$AL$10),$AL$10+SQRT(AY704*($AN$10-$AL$10)*($AM$10-$AL$10)),$AN$10-SQRT((1-AY704)*($AN$10-$AL$10)*($AN$10-$AM$10))),$AM$10)</f>
        <v/>
      </c>
      <c r="AQ704">
        <f>IFERROR(IF(AZ704&lt;($AM$11-$AL$11)/($AN$11-$AL$11),$AL$11+SQRT(AZ704*($AN$11-$AL$11)*($AM$11-$AL$11)),$AN$11-SQRT((1-AZ704)*($AN$11-$AL$11)*($AN$11-$AM$11))),$AM$11)</f>
        <v/>
      </c>
      <c r="AR704">
        <f>SUMPRODUCT((B24:B31&lt;=$B$6)*(C24:C31*AM704+D24:D31*AO704*$B$8*AQ704)/(1+AL704/100)^B24:B31)+C32*AM704*AP704/(1+AL704/100)^$B$6</f>
        <v/>
      </c>
      <c r="AS704">
        <f>SUMPRODUCT((K24:K26&lt;=$B$6)*(L24:L26*AN704+M24:M26*AO704*$B$8*AQ704)/(1+AL704/100)^K24:K26)+L27*AN704*AP704/(1+AL704/100)^$B$6</f>
        <v/>
      </c>
      <c r="AT704">
        <f>AS704-AR704</f>
        <v/>
      </c>
      <c r="AU704">
        <f>RAND()</f>
        <v/>
      </c>
      <c r="AV704">
        <f>RAND()</f>
        <v/>
      </c>
      <c r="AW704">
        <f>RAND()</f>
        <v/>
      </c>
      <c r="AX704">
        <f>RAND()</f>
        <v/>
      </c>
      <c r="AY704">
        <f>RAND()</f>
        <v/>
      </c>
      <c r="AZ704">
        <f>RAND()</f>
        <v/>
      </c>
    </row>
    <row r="705">
      <c r="AK705" t="n">
        <v>692</v>
      </c>
      <c r="AL705">
        <f>IFERROR(IF(AU705&lt;($AM$6-$AL$6)/($AN$6-$AL$6),$AL$6+SQRT(AU705*($AN$6-$AL$6)*($AM$6-$AL$6)),$AN$6-SQRT((1-AU705)*($AN$6-$AL$6)*($AN$6-$AM$6))),$AM$6)</f>
        <v/>
      </c>
      <c r="AM705">
        <f>IFERROR(IF(AV705&lt;($AM$7-$AL$7)/($AN$7-$AL$7),$AL$7+SQRT(AV705*($AN$7-$AL$7)*($AM$7-$AL$7)),$AN$7-SQRT((1-AV705)*($AN$7-$AL$7)*($AN$7-$AM$7))),$AM$7)</f>
        <v/>
      </c>
      <c r="AN705">
        <f>IFERROR(IF(AW705&lt;($AM$8-$AL$8)/($AN$8-$AL$8),$AL$8+SQRT(AW705*($AN$8-$AL$8)*($AM$8-$AL$8)),$AN$8-SQRT((1-AW705)*($AN$8-$AL$8)*($AN$8-$AM$8))),$AM$8)</f>
        <v/>
      </c>
      <c r="AO705">
        <f>IFERROR(IF(AX705&lt;($AM$9-$AL$9)/($AN$9-$AL$9),$AL$9+SQRT(AX705*($AN$9-$AL$9)*($AM$9-$AL$9)),$AN$9-SQRT((1-AX705)*($AN$9-$AL$9)*($AN$9-$AM$9))),$AM$9)</f>
        <v/>
      </c>
      <c r="AP705">
        <f>IFERROR(IF(AY705&lt;($AM$10-$AL$10)/($AN$10-$AL$10),$AL$10+SQRT(AY705*($AN$10-$AL$10)*($AM$10-$AL$10)),$AN$10-SQRT((1-AY705)*($AN$10-$AL$10)*($AN$10-$AM$10))),$AM$10)</f>
        <v/>
      </c>
      <c r="AQ705">
        <f>IFERROR(IF(AZ705&lt;($AM$11-$AL$11)/($AN$11-$AL$11),$AL$11+SQRT(AZ705*($AN$11-$AL$11)*($AM$11-$AL$11)),$AN$11-SQRT((1-AZ705)*($AN$11-$AL$11)*($AN$11-$AM$11))),$AM$11)</f>
        <v/>
      </c>
      <c r="AR705">
        <f>SUMPRODUCT((B24:B31&lt;=$B$6)*(C24:C31*AM705+D24:D31*AO705*$B$8*AQ705)/(1+AL705/100)^B24:B31)+C32*AM705*AP705/(1+AL705/100)^$B$6</f>
        <v/>
      </c>
      <c r="AS705">
        <f>SUMPRODUCT((K24:K26&lt;=$B$6)*(L24:L26*AN705+M24:M26*AO705*$B$8*AQ705)/(1+AL705/100)^K24:K26)+L27*AN705*AP705/(1+AL705/100)^$B$6</f>
        <v/>
      </c>
      <c r="AT705">
        <f>AS705-AR705</f>
        <v/>
      </c>
      <c r="AU705">
        <f>RAND()</f>
        <v/>
      </c>
      <c r="AV705">
        <f>RAND()</f>
        <v/>
      </c>
      <c r="AW705">
        <f>RAND()</f>
        <v/>
      </c>
      <c r="AX705">
        <f>RAND()</f>
        <v/>
      </c>
      <c r="AY705">
        <f>RAND()</f>
        <v/>
      </c>
      <c r="AZ705">
        <f>RAND()</f>
        <v/>
      </c>
    </row>
    <row r="706">
      <c r="AK706" t="n">
        <v>693</v>
      </c>
      <c r="AL706">
        <f>IFERROR(IF(AU706&lt;($AM$6-$AL$6)/($AN$6-$AL$6),$AL$6+SQRT(AU706*($AN$6-$AL$6)*($AM$6-$AL$6)),$AN$6-SQRT((1-AU706)*($AN$6-$AL$6)*($AN$6-$AM$6))),$AM$6)</f>
        <v/>
      </c>
      <c r="AM706">
        <f>IFERROR(IF(AV706&lt;($AM$7-$AL$7)/($AN$7-$AL$7),$AL$7+SQRT(AV706*($AN$7-$AL$7)*($AM$7-$AL$7)),$AN$7-SQRT((1-AV706)*($AN$7-$AL$7)*($AN$7-$AM$7))),$AM$7)</f>
        <v/>
      </c>
      <c r="AN706">
        <f>IFERROR(IF(AW706&lt;($AM$8-$AL$8)/($AN$8-$AL$8),$AL$8+SQRT(AW706*($AN$8-$AL$8)*($AM$8-$AL$8)),$AN$8-SQRT((1-AW706)*($AN$8-$AL$8)*($AN$8-$AM$8))),$AM$8)</f>
        <v/>
      </c>
      <c r="AO706">
        <f>IFERROR(IF(AX706&lt;($AM$9-$AL$9)/($AN$9-$AL$9),$AL$9+SQRT(AX706*($AN$9-$AL$9)*($AM$9-$AL$9)),$AN$9-SQRT((1-AX706)*($AN$9-$AL$9)*($AN$9-$AM$9))),$AM$9)</f>
        <v/>
      </c>
      <c r="AP706">
        <f>IFERROR(IF(AY706&lt;($AM$10-$AL$10)/($AN$10-$AL$10),$AL$10+SQRT(AY706*($AN$10-$AL$10)*($AM$10-$AL$10)),$AN$10-SQRT((1-AY706)*($AN$10-$AL$10)*($AN$10-$AM$10))),$AM$10)</f>
        <v/>
      </c>
      <c r="AQ706">
        <f>IFERROR(IF(AZ706&lt;($AM$11-$AL$11)/($AN$11-$AL$11),$AL$11+SQRT(AZ706*($AN$11-$AL$11)*($AM$11-$AL$11)),$AN$11-SQRT((1-AZ706)*($AN$11-$AL$11)*($AN$11-$AM$11))),$AM$11)</f>
        <v/>
      </c>
      <c r="AR706">
        <f>SUMPRODUCT((B24:B31&lt;=$B$6)*(C24:C31*AM706+D24:D31*AO706*$B$8*AQ706)/(1+AL706/100)^B24:B31)+C32*AM706*AP706/(1+AL706/100)^$B$6</f>
        <v/>
      </c>
      <c r="AS706">
        <f>SUMPRODUCT((K24:K26&lt;=$B$6)*(L24:L26*AN706+M24:M26*AO706*$B$8*AQ706)/(1+AL706/100)^K24:K26)+L27*AN706*AP706/(1+AL706/100)^$B$6</f>
        <v/>
      </c>
      <c r="AT706">
        <f>AS706-AR706</f>
        <v/>
      </c>
      <c r="AU706">
        <f>RAND()</f>
        <v/>
      </c>
      <c r="AV706">
        <f>RAND()</f>
        <v/>
      </c>
      <c r="AW706">
        <f>RAND()</f>
        <v/>
      </c>
      <c r="AX706">
        <f>RAND()</f>
        <v/>
      </c>
      <c r="AY706">
        <f>RAND()</f>
        <v/>
      </c>
      <c r="AZ706">
        <f>RAND()</f>
        <v/>
      </c>
    </row>
    <row r="707">
      <c r="AK707" t="n">
        <v>694</v>
      </c>
      <c r="AL707">
        <f>IFERROR(IF(AU707&lt;($AM$6-$AL$6)/($AN$6-$AL$6),$AL$6+SQRT(AU707*($AN$6-$AL$6)*($AM$6-$AL$6)),$AN$6-SQRT((1-AU707)*($AN$6-$AL$6)*($AN$6-$AM$6))),$AM$6)</f>
        <v/>
      </c>
      <c r="AM707">
        <f>IFERROR(IF(AV707&lt;($AM$7-$AL$7)/($AN$7-$AL$7),$AL$7+SQRT(AV707*($AN$7-$AL$7)*($AM$7-$AL$7)),$AN$7-SQRT((1-AV707)*($AN$7-$AL$7)*($AN$7-$AM$7))),$AM$7)</f>
        <v/>
      </c>
      <c r="AN707">
        <f>IFERROR(IF(AW707&lt;($AM$8-$AL$8)/($AN$8-$AL$8),$AL$8+SQRT(AW707*($AN$8-$AL$8)*($AM$8-$AL$8)),$AN$8-SQRT((1-AW707)*($AN$8-$AL$8)*($AN$8-$AM$8))),$AM$8)</f>
        <v/>
      </c>
      <c r="AO707">
        <f>IFERROR(IF(AX707&lt;($AM$9-$AL$9)/($AN$9-$AL$9),$AL$9+SQRT(AX707*($AN$9-$AL$9)*($AM$9-$AL$9)),$AN$9-SQRT((1-AX707)*($AN$9-$AL$9)*($AN$9-$AM$9))),$AM$9)</f>
        <v/>
      </c>
      <c r="AP707">
        <f>IFERROR(IF(AY707&lt;($AM$10-$AL$10)/($AN$10-$AL$10),$AL$10+SQRT(AY707*($AN$10-$AL$10)*($AM$10-$AL$10)),$AN$10-SQRT((1-AY707)*($AN$10-$AL$10)*($AN$10-$AM$10))),$AM$10)</f>
        <v/>
      </c>
      <c r="AQ707">
        <f>IFERROR(IF(AZ707&lt;($AM$11-$AL$11)/($AN$11-$AL$11),$AL$11+SQRT(AZ707*($AN$11-$AL$11)*($AM$11-$AL$11)),$AN$11-SQRT((1-AZ707)*($AN$11-$AL$11)*($AN$11-$AM$11))),$AM$11)</f>
        <v/>
      </c>
      <c r="AR707">
        <f>SUMPRODUCT((B24:B31&lt;=$B$6)*(C24:C31*AM707+D24:D31*AO707*$B$8*AQ707)/(1+AL707/100)^B24:B31)+C32*AM707*AP707/(1+AL707/100)^$B$6</f>
        <v/>
      </c>
      <c r="AS707">
        <f>SUMPRODUCT((K24:K26&lt;=$B$6)*(L24:L26*AN707+M24:M26*AO707*$B$8*AQ707)/(1+AL707/100)^K24:K26)+L27*AN707*AP707/(1+AL707/100)^$B$6</f>
        <v/>
      </c>
      <c r="AT707">
        <f>AS707-AR707</f>
        <v/>
      </c>
      <c r="AU707">
        <f>RAND()</f>
        <v/>
      </c>
      <c r="AV707">
        <f>RAND()</f>
        <v/>
      </c>
      <c r="AW707">
        <f>RAND()</f>
        <v/>
      </c>
      <c r="AX707">
        <f>RAND()</f>
        <v/>
      </c>
      <c r="AY707">
        <f>RAND()</f>
        <v/>
      </c>
      <c r="AZ707">
        <f>RAND()</f>
        <v/>
      </c>
    </row>
    <row r="708">
      <c r="AK708" t="n">
        <v>695</v>
      </c>
      <c r="AL708">
        <f>IFERROR(IF(AU708&lt;($AM$6-$AL$6)/($AN$6-$AL$6),$AL$6+SQRT(AU708*($AN$6-$AL$6)*($AM$6-$AL$6)),$AN$6-SQRT((1-AU708)*($AN$6-$AL$6)*($AN$6-$AM$6))),$AM$6)</f>
        <v/>
      </c>
      <c r="AM708">
        <f>IFERROR(IF(AV708&lt;($AM$7-$AL$7)/($AN$7-$AL$7),$AL$7+SQRT(AV708*($AN$7-$AL$7)*($AM$7-$AL$7)),$AN$7-SQRT((1-AV708)*($AN$7-$AL$7)*($AN$7-$AM$7))),$AM$7)</f>
        <v/>
      </c>
      <c r="AN708">
        <f>IFERROR(IF(AW708&lt;($AM$8-$AL$8)/($AN$8-$AL$8),$AL$8+SQRT(AW708*($AN$8-$AL$8)*($AM$8-$AL$8)),$AN$8-SQRT((1-AW708)*($AN$8-$AL$8)*($AN$8-$AM$8))),$AM$8)</f>
        <v/>
      </c>
      <c r="AO708">
        <f>IFERROR(IF(AX708&lt;($AM$9-$AL$9)/($AN$9-$AL$9),$AL$9+SQRT(AX708*($AN$9-$AL$9)*($AM$9-$AL$9)),$AN$9-SQRT((1-AX708)*($AN$9-$AL$9)*($AN$9-$AM$9))),$AM$9)</f>
        <v/>
      </c>
      <c r="AP708">
        <f>IFERROR(IF(AY708&lt;($AM$10-$AL$10)/($AN$10-$AL$10),$AL$10+SQRT(AY708*($AN$10-$AL$10)*($AM$10-$AL$10)),$AN$10-SQRT((1-AY708)*($AN$10-$AL$10)*($AN$10-$AM$10))),$AM$10)</f>
        <v/>
      </c>
      <c r="AQ708">
        <f>IFERROR(IF(AZ708&lt;($AM$11-$AL$11)/($AN$11-$AL$11),$AL$11+SQRT(AZ708*($AN$11-$AL$11)*($AM$11-$AL$11)),$AN$11-SQRT((1-AZ708)*($AN$11-$AL$11)*($AN$11-$AM$11))),$AM$11)</f>
        <v/>
      </c>
      <c r="AR708">
        <f>SUMPRODUCT((B24:B31&lt;=$B$6)*(C24:C31*AM708+D24:D31*AO708*$B$8*AQ708)/(1+AL708/100)^B24:B31)+C32*AM708*AP708/(1+AL708/100)^$B$6</f>
        <v/>
      </c>
      <c r="AS708">
        <f>SUMPRODUCT((K24:K26&lt;=$B$6)*(L24:L26*AN708+M24:M26*AO708*$B$8*AQ708)/(1+AL708/100)^K24:K26)+L27*AN708*AP708/(1+AL708/100)^$B$6</f>
        <v/>
      </c>
      <c r="AT708">
        <f>AS708-AR708</f>
        <v/>
      </c>
      <c r="AU708">
        <f>RAND()</f>
        <v/>
      </c>
      <c r="AV708">
        <f>RAND()</f>
        <v/>
      </c>
      <c r="AW708">
        <f>RAND()</f>
        <v/>
      </c>
      <c r="AX708">
        <f>RAND()</f>
        <v/>
      </c>
      <c r="AY708">
        <f>RAND()</f>
        <v/>
      </c>
      <c r="AZ708">
        <f>RAND()</f>
        <v/>
      </c>
    </row>
    <row r="709">
      <c r="AK709" t="n">
        <v>696</v>
      </c>
      <c r="AL709">
        <f>IFERROR(IF(AU709&lt;($AM$6-$AL$6)/($AN$6-$AL$6),$AL$6+SQRT(AU709*($AN$6-$AL$6)*($AM$6-$AL$6)),$AN$6-SQRT((1-AU709)*($AN$6-$AL$6)*($AN$6-$AM$6))),$AM$6)</f>
        <v/>
      </c>
      <c r="AM709">
        <f>IFERROR(IF(AV709&lt;($AM$7-$AL$7)/($AN$7-$AL$7),$AL$7+SQRT(AV709*($AN$7-$AL$7)*($AM$7-$AL$7)),$AN$7-SQRT((1-AV709)*($AN$7-$AL$7)*($AN$7-$AM$7))),$AM$7)</f>
        <v/>
      </c>
      <c r="AN709">
        <f>IFERROR(IF(AW709&lt;($AM$8-$AL$8)/($AN$8-$AL$8),$AL$8+SQRT(AW709*($AN$8-$AL$8)*($AM$8-$AL$8)),$AN$8-SQRT((1-AW709)*($AN$8-$AL$8)*($AN$8-$AM$8))),$AM$8)</f>
        <v/>
      </c>
      <c r="AO709">
        <f>IFERROR(IF(AX709&lt;($AM$9-$AL$9)/($AN$9-$AL$9),$AL$9+SQRT(AX709*($AN$9-$AL$9)*($AM$9-$AL$9)),$AN$9-SQRT((1-AX709)*($AN$9-$AL$9)*($AN$9-$AM$9))),$AM$9)</f>
        <v/>
      </c>
      <c r="AP709">
        <f>IFERROR(IF(AY709&lt;($AM$10-$AL$10)/($AN$10-$AL$10),$AL$10+SQRT(AY709*($AN$10-$AL$10)*($AM$10-$AL$10)),$AN$10-SQRT((1-AY709)*($AN$10-$AL$10)*($AN$10-$AM$10))),$AM$10)</f>
        <v/>
      </c>
      <c r="AQ709">
        <f>IFERROR(IF(AZ709&lt;($AM$11-$AL$11)/($AN$11-$AL$11),$AL$11+SQRT(AZ709*($AN$11-$AL$11)*($AM$11-$AL$11)),$AN$11-SQRT((1-AZ709)*($AN$11-$AL$11)*($AN$11-$AM$11))),$AM$11)</f>
        <v/>
      </c>
      <c r="AR709">
        <f>SUMPRODUCT((B24:B31&lt;=$B$6)*(C24:C31*AM709+D24:D31*AO709*$B$8*AQ709)/(1+AL709/100)^B24:B31)+C32*AM709*AP709/(1+AL709/100)^$B$6</f>
        <v/>
      </c>
      <c r="AS709">
        <f>SUMPRODUCT((K24:K26&lt;=$B$6)*(L24:L26*AN709+M24:M26*AO709*$B$8*AQ709)/(1+AL709/100)^K24:K26)+L27*AN709*AP709/(1+AL709/100)^$B$6</f>
        <v/>
      </c>
      <c r="AT709">
        <f>AS709-AR709</f>
        <v/>
      </c>
      <c r="AU709">
        <f>RAND()</f>
        <v/>
      </c>
      <c r="AV709">
        <f>RAND()</f>
        <v/>
      </c>
      <c r="AW709">
        <f>RAND()</f>
        <v/>
      </c>
      <c r="AX709">
        <f>RAND()</f>
        <v/>
      </c>
      <c r="AY709">
        <f>RAND()</f>
        <v/>
      </c>
      <c r="AZ709">
        <f>RAND()</f>
        <v/>
      </c>
    </row>
    <row r="710">
      <c r="AK710" t="n">
        <v>697</v>
      </c>
      <c r="AL710">
        <f>IFERROR(IF(AU710&lt;($AM$6-$AL$6)/($AN$6-$AL$6),$AL$6+SQRT(AU710*($AN$6-$AL$6)*($AM$6-$AL$6)),$AN$6-SQRT((1-AU710)*($AN$6-$AL$6)*($AN$6-$AM$6))),$AM$6)</f>
        <v/>
      </c>
      <c r="AM710">
        <f>IFERROR(IF(AV710&lt;($AM$7-$AL$7)/($AN$7-$AL$7),$AL$7+SQRT(AV710*($AN$7-$AL$7)*($AM$7-$AL$7)),$AN$7-SQRT((1-AV710)*($AN$7-$AL$7)*($AN$7-$AM$7))),$AM$7)</f>
        <v/>
      </c>
      <c r="AN710">
        <f>IFERROR(IF(AW710&lt;($AM$8-$AL$8)/($AN$8-$AL$8),$AL$8+SQRT(AW710*($AN$8-$AL$8)*($AM$8-$AL$8)),$AN$8-SQRT((1-AW710)*($AN$8-$AL$8)*($AN$8-$AM$8))),$AM$8)</f>
        <v/>
      </c>
      <c r="AO710">
        <f>IFERROR(IF(AX710&lt;($AM$9-$AL$9)/($AN$9-$AL$9),$AL$9+SQRT(AX710*($AN$9-$AL$9)*($AM$9-$AL$9)),$AN$9-SQRT((1-AX710)*($AN$9-$AL$9)*($AN$9-$AM$9))),$AM$9)</f>
        <v/>
      </c>
      <c r="AP710">
        <f>IFERROR(IF(AY710&lt;($AM$10-$AL$10)/($AN$10-$AL$10),$AL$10+SQRT(AY710*($AN$10-$AL$10)*($AM$10-$AL$10)),$AN$10-SQRT((1-AY710)*($AN$10-$AL$10)*($AN$10-$AM$10))),$AM$10)</f>
        <v/>
      </c>
      <c r="AQ710">
        <f>IFERROR(IF(AZ710&lt;($AM$11-$AL$11)/($AN$11-$AL$11),$AL$11+SQRT(AZ710*($AN$11-$AL$11)*($AM$11-$AL$11)),$AN$11-SQRT((1-AZ710)*($AN$11-$AL$11)*($AN$11-$AM$11))),$AM$11)</f>
        <v/>
      </c>
      <c r="AR710">
        <f>SUMPRODUCT((B24:B31&lt;=$B$6)*(C24:C31*AM710+D24:D31*AO710*$B$8*AQ710)/(1+AL710/100)^B24:B31)+C32*AM710*AP710/(1+AL710/100)^$B$6</f>
        <v/>
      </c>
      <c r="AS710">
        <f>SUMPRODUCT((K24:K26&lt;=$B$6)*(L24:L26*AN710+M24:M26*AO710*$B$8*AQ710)/(1+AL710/100)^K24:K26)+L27*AN710*AP710/(1+AL710/100)^$B$6</f>
        <v/>
      </c>
      <c r="AT710">
        <f>AS710-AR710</f>
        <v/>
      </c>
      <c r="AU710">
        <f>RAND()</f>
        <v/>
      </c>
      <c r="AV710">
        <f>RAND()</f>
        <v/>
      </c>
      <c r="AW710">
        <f>RAND()</f>
        <v/>
      </c>
      <c r="AX710">
        <f>RAND()</f>
        <v/>
      </c>
      <c r="AY710">
        <f>RAND()</f>
        <v/>
      </c>
      <c r="AZ710">
        <f>RAND()</f>
        <v/>
      </c>
    </row>
    <row r="711">
      <c r="AK711" t="n">
        <v>698</v>
      </c>
      <c r="AL711">
        <f>IFERROR(IF(AU711&lt;($AM$6-$AL$6)/($AN$6-$AL$6),$AL$6+SQRT(AU711*($AN$6-$AL$6)*($AM$6-$AL$6)),$AN$6-SQRT((1-AU711)*($AN$6-$AL$6)*($AN$6-$AM$6))),$AM$6)</f>
        <v/>
      </c>
      <c r="AM711">
        <f>IFERROR(IF(AV711&lt;($AM$7-$AL$7)/($AN$7-$AL$7),$AL$7+SQRT(AV711*($AN$7-$AL$7)*($AM$7-$AL$7)),$AN$7-SQRT((1-AV711)*($AN$7-$AL$7)*($AN$7-$AM$7))),$AM$7)</f>
        <v/>
      </c>
      <c r="AN711">
        <f>IFERROR(IF(AW711&lt;($AM$8-$AL$8)/($AN$8-$AL$8),$AL$8+SQRT(AW711*($AN$8-$AL$8)*($AM$8-$AL$8)),$AN$8-SQRT((1-AW711)*($AN$8-$AL$8)*($AN$8-$AM$8))),$AM$8)</f>
        <v/>
      </c>
      <c r="AO711">
        <f>IFERROR(IF(AX711&lt;($AM$9-$AL$9)/($AN$9-$AL$9),$AL$9+SQRT(AX711*($AN$9-$AL$9)*($AM$9-$AL$9)),$AN$9-SQRT((1-AX711)*($AN$9-$AL$9)*($AN$9-$AM$9))),$AM$9)</f>
        <v/>
      </c>
      <c r="AP711">
        <f>IFERROR(IF(AY711&lt;($AM$10-$AL$10)/($AN$10-$AL$10),$AL$10+SQRT(AY711*($AN$10-$AL$10)*($AM$10-$AL$10)),$AN$10-SQRT((1-AY711)*($AN$10-$AL$10)*($AN$10-$AM$10))),$AM$10)</f>
        <v/>
      </c>
      <c r="AQ711">
        <f>IFERROR(IF(AZ711&lt;($AM$11-$AL$11)/($AN$11-$AL$11),$AL$11+SQRT(AZ711*($AN$11-$AL$11)*($AM$11-$AL$11)),$AN$11-SQRT((1-AZ711)*($AN$11-$AL$11)*($AN$11-$AM$11))),$AM$11)</f>
        <v/>
      </c>
      <c r="AR711">
        <f>SUMPRODUCT((B24:B31&lt;=$B$6)*(C24:C31*AM711+D24:D31*AO711*$B$8*AQ711)/(1+AL711/100)^B24:B31)+C32*AM711*AP711/(1+AL711/100)^$B$6</f>
        <v/>
      </c>
      <c r="AS711">
        <f>SUMPRODUCT((K24:K26&lt;=$B$6)*(L24:L26*AN711+M24:M26*AO711*$B$8*AQ711)/(1+AL711/100)^K24:K26)+L27*AN711*AP711/(1+AL711/100)^$B$6</f>
        <v/>
      </c>
      <c r="AT711">
        <f>AS711-AR711</f>
        <v/>
      </c>
      <c r="AU711">
        <f>RAND()</f>
        <v/>
      </c>
      <c r="AV711">
        <f>RAND()</f>
        <v/>
      </c>
      <c r="AW711">
        <f>RAND()</f>
        <v/>
      </c>
      <c r="AX711">
        <f>RAND()</f>
        <v/>
      </c>
      <c r="AY711">
        <f>RAND()</f>
        <v/>
      </c>
      <c r="AZ711">
        <f>RAND()</f>
        <v/>
      </c>
    </row>
    <row r="712">
      <c r="AK712" t="n">
        <v>699</v>
      </c>
      <c r="AL712">
        <f>IFERROR(IF(AU712&lt;($AM$6-$AL$6)/($AN$6-$AL$6),$AL$6+SQRT(AU712*($AN$6-$AL$6)*($AM$6-$AL$6)),$AN$6-SQRT((1-AU712)*($AN$6-$AL$6)*($AN$6-$AM$6))),$AM$6)</f>
        <v/>
      </c>
      <c r="AM712">
        <f>IFERROR(IF(AV712&lt;($AM$7-$AL$7)/($AN$7-$AL$7),$AL$7+SQRT(AV712*($AN$7-$AL$7)*($AM$7-$AL$7)),$AN$7-SQRT((1-AV712)*($AN$7-$AL$7)*($AN$7-$AM$7))),$AM$7)</f>
        <v/>
      </c>
      <c r="AN712">
        <f>IFERROR(IF(AW712&lt;($AM$8-$AL$8)/($AN$8-$AL$8),$AL$8+SQRT(AW712*($AN$8-$AL$8)*($AM$8-$AL$8)),$AN$8-SQRT((1-AW712)*($AN$8-$AL$8)*($AN$8-$AM$8))),$AM$8)</f>
        <v/>
      </c>
      <c r="AO712">
        <f>IFERROR(IF(AX712&lt;($AM$9-$AL$9)/($AN$9-$AL$9),$AL$9+SQRT(AX712*($AN$9-$AL$9)*($AM$9-$AL$9)),$AN$9-SQRT((1-AX712)*($AN$9-$AL$9)*($AN$9-$AM$9))),$AM$9)</f>
        <v/>
      </c>
      <c r="AP712">
        <f>IFERROR(IF(AY712&lt;($AM$10-$AL$10)/($AN$10-$AL$10),$AL$10+SQRT(AY712*($AN$10-$AL$10)*($AM$10-$AL$10)),$AN$10-SQRT((1-AY712)*($AN$10-$AL$10)*($AN$10-$AM$10))),$AM$10)</f>
        <v/>
      </c>
      <c r="AQ712">
        <f>IFERROR(IF(AZ712&lt;($AM$11-$AL$11)/($AN$11-$AL$11),$AL$11+SQRT(AZ712*($AN$11-$AL$11)*($AM$11-$AL$11)),$AN$11-SQRT((1-AZ712)*($AN$11-$AL$11)*($AN$11-$AM$11))),$AM$11)</f>
        <v/>
      </c>
      <c r="AR712">
        <f>SUMPRODUCT((B24:B31&lt;=$B$6)*(C24:C31*AM712+D24:D31*AO712*$B$8*AQ712)/(1+AL712/100)^B24:B31)+C32*AM712*AP712/(1+AL712/100)^$B$6</f>
        <v/>
      </c>
      <c r="AS712">
        <f>SUMPRODUCT((K24:K26&lt;=$B$6)*(L24:L26*AN712+M24:M26*AO712*$B$8*AQ712)/(1+AL712/100)^K24:K26)+L27*AN712*AP712/(1+AL712/100)^$B$6</f>
        <v/>
      </c>
      <c r="AT712">
        <f>AS712-AR712</f>
        <v/>
      </c>
      <c r="AU712">
        <f>RAND()</f>
        <v/>
      </c>
      <c r="AV712">
        <f>RAND()</f>
        <v/>
      </c>
      <c r="AW712">
        <f>RAND()</f>
        <v/>
      </c>
      <c r="AX712">
        <f>RAND()</f>
        <v/>
      </c>
      <c r="AY712">
        <f>RAND()</f>
        <v/>
      </c>
      <c r="AZ712">
        <f>RAND()</f>
        <v/>
      </c>
    </row>
    <row r="713">
      <c r="AK713" t="n">
        <v>700</v>
      </c>
      <c r="AL713">
        <f>IFERROR(IF(AU713&lt;($AM$6-$AL$6)/($AN$6-$AL$6),$AL$6+SQRT(AU713*($AN$6-$AL$6)*($AM$6-$AL$6)),$AN$6-SQRT((1-AU713)*($AN$6-$AL$6)*($AN$6-$AM$6))),$AM$6)</f>
        <v/>
      </c>
      <c r="AM713">
        <f>IFERROR(IF(AV713&lt;($AM$7-$AL$7)/($AN$7-$AL$7),$AL$7+SQRT(AV713*($AN$7-$AL$7)*($AM$7-$AL$7)),$AN$7-SQRT((1-AV713)*($AN$7-$AL$7)*($AN$7-$AM$7))),$AM$7)</f>
        <v/>
      </c>
      <c r="AN713">
        <f>IFERROR(IF(AW713&lt;($AM$8-$AL$8)/($AN$8-$AL$8),$AL$8+SQRT(AW713*($AN$8-$AL$8)*($AM$8-$AL$8)),$AN$8-SQRT((1-AW713)*($AN$8-$AL$8)*($AN$8-$AM$8))),$AM$8)</f>
        <v/>
      </c>
      <c r="AO713">
        <f>IFERROR(IF(AX713&lt;($AM$9-$AL$9)/($AN$9-$AL$9),$AL$9+SQRT(AX713*($AN$9-$AL$9)*($AM$9-$AL$9)),$AN$9-SQRT((1-AX713)*($AN$9-$AL$9)*($AN$9-$AM$9))),$AM$9)</f>
        <v/>
      </c>
      <c r="AP713">
        <f>IFERROR(IF(AY713&lt;($AM$10-$AL$10)/($AN$10-$AL$10),$AL$10+SQRT(AY713*($AN$10-$AL$10)*($AM$10-$AL$10)),$AN$10-SQRT((1-AY713)*($AN$10-$AL$10)*($AN$10-$AM$10))),$AM$10)</f>
        <v/>
      </c>
      <c r="AQ713">
        <f>IFERROR(IF(AZ713&lt;($AM$11-$AL$11)/($AN$11-$AL$11),$AL$11+SQRT(AZ713*($AN$11-$AL$11)*($AM$11-$AL$11)),$AN$11-SQRT((1-AZ713)*($AN$11-$AL$11)*($AN$11-$AM$11))),$AM$11)</f>
        <v/>
      </c>
      <c r="AR713">
        <f>SUMPRODUCT((B24:B31&lt;=$B$6)*(C24:C31*AM713+D24:D31*AO713*$B$8*AQ713)/(1+AL713/100)^B24:B31)+C32*AM713*AP713/(1+AL713/100)^$B$6</f>
        <v/>
      </c>
      <c r="AS713">
        <f>SUMPRODUCT((K24:K26&lt;=$B$6)*(L24:L26*AN713+M24:M26*AO713*$B$8*AQ713)/(1+AL713/100)^K24:K26)+L27*AN713*AP713/(1+AL713/100)^$B$6</f>
        <v/>
      </c>
      <c r="AT713">
        <f>AS713-AR713</f>
        <v/>
      </c>
      <c r="AU713">
        <f>RAND()</f>
        <v/>
      </c>
      <c r="AV713">
        <f>RAND()</f>
        <v/>
      </c>
      <c r="AW713">
        <f>RAND()</f>
        <v/>
      </c>
      <c r="AX713">
        <f>RAND()</f>
        <v/>
      </c>
      <c r="AY713">
        <f>RAND()</f>
        <v/>
      </c>
      <c r="AZ713">
        <f>RAND()</f>
        <v/>
      </c>
    </row>
    <row r="714">
      <c r="AK714" t="n">
        <v>701</v>
      </c>
      <c r="AL714">
        <f>IFERROR(IF(AU714&lt;($AM$6-$AL$6)/($AN$6-$AL$6),$AL$6+SQRT(AU714*($AN$6-$AL$6)*($AM$6-$AL$6)),$AN$6-SQRT((1-AU714)*($AN$6-$AL$6)*($AN$6-$AM$6))),$AM$6)</f>
        <v/>
      </c>
      <c r="AM714">
        <f>IFERROR(IF(AV714&lt;($AM$7-$AL$7)/($AN$7-$AL$7),$AL$7+SQRT(AV714*($AN$7-$AL$7)*($AM$7-$AL$7)),$AN$7-SQRT((1-AV714)*($AN$7-$AL$7)*($AN$7-$AM$7))),$AM$7)</f>
        <v/>
      </c>
      <c r="AN714">
        <f>IFERROR(IF(AW714&lt;($AM$8-$AL$8)/($AN$8-$AL$8),$AL$8+SQRT(AW714*($AN$8-$AL$8)*($AM$8-$AL$8)),$AN$8-SQRT((1-AW714)*($AN$8-$AL$8)*($AN$8-$AM$8))),$AM$8)</f>
        <v/>
      </c>
      <c r="AO714">
        <f>IFERROR(IF(AX714&lt;($AM$9-$AL$9)/($AN$9-$AL$9),$AL$9+SQRT(AX714*($AN$9-$AL$9)*($AM$9-$AL$9)),$AN$9-SQRT((1-AX714)*($AN$9-$AL$9)*($AN$9-$AM$9))),$AM$9)</f>
        <v/>
      </c>
      <c r="AP714">
        <f>IFERROR(IF(AY714&lt;($AM$10-$AL$10)/($AN$10-$AL$10),$AL$10+SQRT(AY714*($AN$10-$AL$10)*($AM$10-$AL$10)),$AN$10-SQRT((1-AY714)*($AN$10-$AL$10)*($AN$10-$AM$10))),$AM$10)</f>
        <v/>
      </c>
      <c r="AQ714">
        <f>IFERROR(IF(AZ714&lt;($AM$11-$AL$11)/($AN$11-$AL$11),$AL$11+SQRT(AZ714*($AN$11-$AL$11)*($AM$11-$AL$11)),$AN$11-SQRT((1-AZ714)*($AN$11-$AL$11)*($AN$11-$AM$11))),$AM$11)</f>
        <v/>
      </c>
      <c r="AR714">
        <f>SUMPRODUCT((B24:B31&lt;=$B$6)*(C24:C31*AM714+D24:D31*AO714*$B$8*AQ714)/(1+AL714/100)^B24:B31)+C32*AM714*AP714/(1+AL714/100)^$B$6</f>
        <v/>
      </c>
      <c r="AS714">
        <f>SUMPRODUCT((K24:K26&lt;=$B$6)*(L24:L26*AN714+M24:M26*AO714*$B$8*AQ714)/(1+AL714/100)^K24:K26)+L27*AN714*AP714/(1+AL714/100)^$B$6</f>
        <v/>
      </c>
      <c r="AT714">
        <f>AS714-AR714</f>
        <v/>
      </c>
      <c r="AU714">
        <f>RAND()</f>
        <v/>
      </c>
      <c r="AV714">
        <f>RAND()</f>
        <v/>
      </c>
      <c r="AW714">
        <f>RAND()</f>
        <v/>
      </c>
      <c r="AX714">
        <f>RAND()</f>
        <v/>
      </c>
      <c r="AY714">
        <f>RAND()</f>
        <v/>
      </c>
      <c r="AZ714">
        <f>RAND()</f>
        <v/>
      </c>
    </row>
    <row r="715">
      <c r="AK715" t="n">
        <v>702</v>
      </c>
      <c r="AL715">
        <f>IFERROR(IF(AU715&lt;($AM$6-$AL$6)/($AN$6-$AL$6),$AL$6+SQRT(AU715*($AN$6-$AL$6)*($AM$6-$AL$6)),$AN$6-SQRT((1-AU715)*($AN$6-$AL$6)*($AN$6-$AM$6))),$AM$6)</f>
        <v/>
      </c>
      <c r="AM715">
        <f>IFERROR(IF(AV715&lt;($AM$7-$AL$7)/($AN$7-$AL$7),$AL$7+SQRT(AV715*($AN$7-$AL$7)*($AM$7-$AL$7)),$AN$7-SQRT((1-AV715)*($AN$7-$AL$7)*($AN$7-$AM$7))),$AM$7)</f>
        <v/>
      </c>
      <c r="AN715">
        <f>IFERROR(IF(AW715&lt;($AM$8-$AL$8)/($AN$8-$AL$8),$AL$8+SQRT(AW715*($AN$8-$AL$8)*($AM$8-$AL$8)),$AN$8-SQRT((1-AW715)*($AN$8-$AL$8)*($AN$8-$AM$8))),$AM$8)</f>
        <v/>
      </c>
      <c r="AO715">
        <f>IFERROR(IF(AX715&lt;($AM$9-$AL$9)/($AN$9-$AL$9),$AL$9+SQRT(AX715*($AN$9-$AL$9)*($AM$9-$AL$9)),$AN$9-SQRT((1-AX715)*($AN$9-$AL$9)*($AN$9-$AM$9))),$AM$9)</f>
        <v/>
      </c>
      <c r="AP715">
        <f>IFERROR(IF(AY715&lt;($AM$10-$AL$10)/($AN$10-$AL$10),$AL$10+SQRT(AY715*($AN$10-$AL$10)*($AM$10-$AL$10)),$AN$10-SQRT((1-AY715)*($AN$10-$AL$10)*($AN$10-$AM$10))),$AM$10)</f>
        <v/>
      </c>
      <c r="AQ715">
        <f>IFERROR(IF(AZ715&lt;($AM$11-$AL$11)/($AN$11-$AL$11),$AL$11+SQRT(AZ715*($AN$11-$AL$11)*($AM$11-$AL$11)),$AN$11-SQRT((1-AZ715)*($AN$11-$AL$11)*($AN$11-$AM$11))),$AM$11)</f>
        <v/>
      </c>
      <c r="AR715">
        <f>SUMPRODUCT((B24:B31&lt;=$B$6)*(C24:C31*AM715+D24:D31*AO715*$B$8*AQ715)/(1+AL715/100)^B24:B31)+C32*AM715*AP715/(1+AL715/100)^$B$6</f>
        <v/>
      </c>
      <c r="AS715">
        <f>SUMPRODUCT((K24:K26&lt;=$B$6)*(L24:L26*AN715+M24:M26*AO715*$B$8*AQ715)/(1+AL715/100)^K24:K26)+L27*AN715*AP715/(1+AL715/100)^$B$6</f>
        <v/>
      </c>
      <c r="AT715">
        <f>AS715-AR715</f>
        <v/>
      </c>
      <c r="AU715">
        <f>RAND()</f>
        <v/>
      </c>
      <c r="AV715">
        <f>RAND()</f>
        <v/>
      </c>
      <c r="AW715">
        <f>RAND()</f>
        <v/>
      </c>
      <c r="AX715">
        <f>RAND()</f>
        <v/>
      </c>
      <c r="AY715">
        <f>RAND()</f>
        <v/>
      </c>
      <c r="AZ715">
        <f>RAND()</f>
        <v/>
      </c>
    </row>
    <row r="716">
      <c r="AK716" t="n">
        <v>703</v>
      </c>
      <c r="AL716">
        <f>IFERROR(IF(AU716&lt;($AM$6-$AL$6)/($AN$6-$AL$6),$AL$6+SQRT(AU716*($AN$6-$AL$6)*($AM$6-$AL$6)),$AN$6-SQRT((1-AU716)*($AN$6-$AL$6)*($AN$6-$AM$6))),$AM$6)</f>
        <v/>
      </c>
      <c r="AM716">
        <f>IFERROR(IF(AV716&lt;($AM$7-$AL$7)/($AN$7-$AL$7),$AL$7+SQRT(AV716*($AN$7-$AL$7)*($AM$7-$AL$7)),$AN$7-SQRT((1-AV716)*($AN$7-$AL$7)*($AN$7-$AM$7))),$AM$7)</f>
        <v/>
      </c>
      <c r="AN716">
        <f>IFERROR(IF(AW716&lt;($AM$8-$AL$8)/($AN$8-$AL$8),$AL$8+SQRT(AW716*($AN$8-$AL$8)*($AM$8-$AL$8)),$AN$8-SQRT((1-AW716)*($AN$8-$AL$8)*($AN$8-$AM$8))),$AM$8)</f>
        <v/>
      </c>
      <c r="AO716">
        <f>IFERROR(IF(AX716&lt;($AM$9-$AL$9)/($AN$9-$AL$9),$AL$9+SQRT(AX716*($AN$9-$AL$9)*($AM$9-$AL$9)),$AN$9-SQRT((1-AX716)*($AN$9-$AL$9)*($AN$9-$AM$9))),$AM$9)</f>
        <v/>
      </c>
      <c r="AP716">
        <f>IFERROR(IF(AY716&lt;($AM$10-$AL$10)/($AN$10-$AL$10),$AL$10+SQRT(AY716*($AN$10-$AL$10)*($AM$10-$AL$10)),$AN$10-SQRT((1-AY716)*($AN$10-$AL$10)*($AN$10-$AM$10))),$AM$10)</f>
        <v/>
      </c>
      <c r="AQ716">
        <f>IFERROR(IF(AZ716&lt;($AM$11-$AL$11)/($AN$11-$AL$11),$AL$11+SQRT(AZ716*($AN$11-$AL$11)*($AM$11-$AL$11)),$AN$11-SQRT((1-AZ716)*($AN$11-$AL$11)*($AN$11-$AM$11))),$AM$11)</f>
        <v/>
      </c>
      <c r="AR716">
        <f>SUMPRODUCT((B24:B31&lt;=$B$6)*(C24:C31*AM716+D24:D31*AO716*$B$8*AQ716)/(1+AL716/100)^B24:B31)+C32*AM716*AP716/(1+AL716/100)^$B$6</f>
        <v/>
      </c>
      <c r="AS716">
        <f>SUMPRODUCT((K24:K26&lt;=$B$6)*(L24:L26*AN716+M24:M26*AO716*$B$8*AQ716)/(1+AL716/100)^K24:K26)+L27*AN716*AP716/(1+AL716/100)^$B$6</f>
        <v/>
      </c>
      <c r="AT716">
        <f>AS716-AR716</f>
        <v/>
      </c>
      <c r="AU716">
        <f>RAND()</f>
        <v/>
      </c>
      <c r="AV716">
        <f>RAND()</f>
        <v/>
      </c>
      <c r="AW716">
        <f>RAND()</f>
        <v/>
      </c>
      <c r="AX716">
        <f>RAND()</f>
        <v/>
      </c>
      <c r="AY716">
        <f>RAND()</f>
        <v/>
      </c>
      <c r="AZ716">
        <f>RAND()</f>
        <v/>
      </c>
    </row>
    <row r="717">
      <c r="AK717" t="n">
        <v>704</v>
      </c>
      <c r="AL717">
        <f>IFERROR(IF(AU717&lt;($AM$6-$AL$6)/($AN$6-$AL$6),$AL$6+SQRT(AU717*($AN$6-$AL$6)*($AM$6-$AL$6)),$AN$6-SQRT((1-AU717)*($AN$6-$AL$6)*($AN$6-$AM$6))),$AM$6)</f>
        <v/>
      </c>
      <c r="AM717">
        <f>IFERROR(IF(AV717&lt;($AM$7-$AL$7)/($AN$7-$AL$7),$AL$7+SQRT(AV717*($AN$7-$AL$7)*($AM$7-$AL$7)),$AN$7-SQRT((1-AV717)*($AN$7-$AL$7)*($AN$7-$AM$7))),$AM$7)</f>
        <v/>
      </c>
      <c r="AN717">
        <f>IFERROR(IF(AW717&lt;($AM$8-$AL$8)/($AN$8-$AL$8),$AL$8+SQRT(AW717*($AN$8-$AL$8)*($AM$8-$AL$8)),$AN$8-SQRT((1-AW717)*($AN$8-$AL$8)*($AN$8-$AM$8))),$AM$8)</f>
        <v/>
      </c>
      <c r="AO717">
        <f>IFERROR(IF(AX717&lt;($AM$9-$AL$9)/($AN$9-$AL$9),$AL$9+SQRT(AX717*($AN$9-$AL$9)*($AM$9-$AL$9)),$AN$9-SQRT((1-AX717)*($AN$9-$AL$9)*($AN$9-$AM$9))),$AM$9)</f>
        <v/>
      </c>
      <c r="AP717">
        <f>IFERROR(IF(AY717&lt;($AM$10-$AL$10)/($AN$10-$AL$10),$AL$10+SQRT(AY717*($AN$10-$AL$10)*($AM$10-$AL$10)),$AN$10-SQRT((1-AY717)*($AN$10-$AL$10)*($AN$10-$AM$10))),$AM$10)</f>
        <v/>
      </c>
      <c r="AQ717">
        <f>IFERROR(IF(AZ717&lt;($AM$11-$AL$11)/($AN$11-$AL$11),$AL$11+SQRT(AZ717*($AN$11-$AL$11)*($AM$11-$AL$11)),$AN$11-SQRT((1-AZ717)*($AN$11-$AL$11)*($AN$11-$AM$11))),$AM$11)</f>
        <v/>
      </c>
      <c r="AR717">
        <f>SUMPRODUCT((B24:B31&lt;=$B$6)*(C24:C31*AM717+D24:D31*AO717*$B$8*AQ717)/(1+AL717/100)^B24:B31)+C32*AM717*AP717/(1+AL717/100)^$B$6</f>
        <v/>
      </c>
      <c r="AS717">
        <f>SUMPRODUCT((K24:K26&lt;=$B$6)*(L24:L26*AN717+M24:M26*AO717*$B$8*AQ717)/(1+AL717/100)^K24:K26)+L27*AN717*AP717/(1+AL717/100)^$B$6</f>
        <v/>
      </c>
      <c r="AT717">
        <f>AS717-AR717</f>
        <v/>
      </c>
      <c r="AU717">
        <f>RAND()</f>
        <v/>
      </c>
      <c r="AV717">
        <f>RAND()</f>
        <v/>
      </c>
      <c r="AW717">
        <f>RAND()</f>
        <v/>
      </c>
      <c r="AX717">
        <f>RAND()</f>
        <v/>
      </c>
      <c r="AY717">
        <f>RAND()</f>
        <v/>
      </c>
      <c r="AZ717">
        <f>RAND()</f>
        <v/>
      </c>
    </row>
    <row r="718">
      <c r="AK718" t="n">
        <v>705</v>
      </c>
      <c r="AL718">
        <f>IFERROR(IF(AU718&lt;($AM$6-$AL$6)/($AN$6-$AL$6),$AL$6+SQRT(AU718*($AN$6-$AL$6)*($AM$6-$AL$6)),$AN$6-SQRT((1-AU718)*($AN$6-$AL$6)*($AN$6-$AM$6))),$AM$6)</f>
        <v/>
      </c>
      <c r="AM718">
        <f>IFERROR(IF(AV718&lt;($AM$7-$AL$7)/($AN$7-$AL$7),$AL$7+SQRT(AV718*($AN$7-$AL$7)*($AM$7-$AL$7)),$AN$7-SQRT((1-AV718)*($AN$7-$AL$7)*($AN$7-$AM$7))),$AM$7)</f>
        <v/>
      </c>
      <c r="AN718">
        <f>IFERROR(IF(AW718&lt;($AM$8-$AL$8)/($AN$8-$AL$8),$AL$8+SQRT(AW718*($AN$8-$AL$8)*($AM$8-$AL$8)),$AN$8-SQRT((1-AW718)*($AN$8-$AL$8)*($AN$8-$AM$8))),$AM$8)</f>
        <v/>
      </c>
      <c r="AO718">
        <f>IFERROR(IF(AX718&lt;($AM$9-$AL$9)/($AN$9-$AL$9),$AL$9+SQRT(AX718*($AN$9-$AL$9)*($AM$9-$AL$9)),$AN$9-SQRT((1-AX718)*($AN$9-$AL$9)*($AN$9-$AM$9))),$AM$9)</f>
        <v/>
      </c>
      <c r="AP718">
        <f>IFERROR(IF(AY718&lt;($AM$10-$AL$10)/($AN$10-$AL$10),$AL$10+SQRT(AY718*($AN$10-$AL$10)*($AM$10-$AL$10)),$AN$10-SQRT((1-AY718)*($AN$10-$AL$10)*($AN$10-$AM$10))),$AM$10)</f>
        <v/>
      </c>
      <c r="AQ718">
        <f>IFERROR(IF(AZ718&lt;($AM$11-$AL$11)/($AN$11-$AL$11),$AL$11+SQRT(AZ718*($AN$11-$AL$11)*($AM$11-$AL$11)),$AN$11-SQRT((1-AZ718)*($AN$11-$AL$11)*($AN$11-$AM$11))),$AM$11)</f>
        <v/>
      </c>
      <c r="AR718">
        <f>SUMPRODUCT((B24:B31&lt;=$B$6)*(C24:C31*AM718+D24:D31*AO718*$B$8*AQ718)/(1+AL718/100)^B24:B31)+C32*AM718*AP718/(1+AL718/100)^$B$6</f>
        <v/>
      </c>
      <c r="AS718">
        <f>SUMPRODUCT((K24:K26&lt;=$B$6)*(L24:L26*AN718+M24:M26*AO718*$B$8*AQ718)/(1+AL718/100)^K24:K26)+L27*AN718*AP718/(1+AL718/100)^$B$6</f>
        <v/>
      </c>
      <c r="AT718">
        <f>AS718-AR718</f>
        <v/>
      </c>
      <c r="AU718">
        <f>RAND()</f>
        <v/>
      </c>
      <c r="AV718">
        <f>RAND()</f>
        <v/>
      </c>
      <c r="AW718">
        <f>RAND()</f>
        <v/>
      </c>
      <c r="AX718">
        <f>RAND()</f>
        <v/>
      </c>
      <c r="AY718">
        <f>RAND()</f>
        <v/>
      </c>
      <c r="AZ718">
        <f>RAND()</f>
        <v/>
      </c>
    </row>
    <row r="719">
      <c r="AK719" t="n">
        <v>706</v>
      </c>
      <c r="AL719">
        <f>IFERROR(IF(AU719&lt;($AM$6-$AL$6)/($AN$6-$AL$6),$AL$6+SQRT(AU719*($AN$6-$AL$6)*($AM$6-$AL$6)),$AN$6-SQRT((1-AU719)*($AN$6-$AL$6)*($AN$6-$AM$6))),$AM$6)</f>
        <v/>
      </c>
      <c r="AM719">
        <f>IFERROR(IF(AV719&lt;($AM$7-$AL$7)/($AN$7-$AL$7),$AL$7+SQRT(AV719*($AN$7-$AL$7)*($AM$7-$AL$7)),$AN$7-SQRT((1-AV719)*($AN$7-$AL$7)*($AN$7-$AM$7))),$AM$7)</f>
        <v/>
      </c>
      <c r="AN719">
        <f>IFERROR(IF(AW719&lt;($AM$8-$AL$8)/($AN$8-$AL$8),$AL$8+SQRT(AW719*($AN$8-$AL$8)*($AM$8-$AL$8)),$AN$8-SQRT((1-AW719)*($AN$8-$AL$8)*($AN$8-$AM$8))),$AM$8)</f>
        <v/>
      </c>
      <c r="AO719">
        <f>IFERROR(IF(AX719&lt;($AM$9-$AL$9)/($AN$9-$AL$9),$AL$9+SQRT(AX719*($AN$9-$AL$9)*($AM$9-$AL$9)),$AN$9-SQRT((1-AX719)*($AN$9-$AL$9)*($AN$9-$AM$9))),$AM$9)</f>
        <v/>
      </c>
      <c r="AP719">
        <f>IFERROR(IF(AY719&lt;($AM$10-$AL$10)/($AN$10-$AL$10),$AL$10+SQRT(AY719*($AN$10-$AL$10)*($AM$10-$AL$10)),$AN$10-SQRT((1-AY719)*($AN$10-$AL$10)*($AN$10-$AM$10))),$AM$10)</f>
        <v/>
      </c>
      <c r="AQ719">
        <f>IFERROR(IF(AZ719&lt;($AM$11-$AL$11)/($AN$11-$AL$11),$AL$11+SQRT(AZ719*($AN$11-$AL$11)*($AM$11-$AL$11)),$AN$11-SQRT((1-AZ719)*($AN$11-$AL$11)*($AN$11-$AM$11))),$AM$11)</f>
        <v/>
      </c>
      <c r="AR719">
        <f>SUMPRODUCT((B24:B31&lt;=$B$6)*(C24:C31*AM719+D24:D31*AO719*$B$8*AQ719)/(1+AL719/100)^B24:B31)+C32*AM719*AP719/(1+AL719/100)^$B$6</f>
        <v/>
      </c>
      <c r="AS719">
        <f>SUMPRODUCT((K24:K26&lt;=$B$6)*(L24:L26*AN719+M24:M26*AO719*$B$8*AQ719)/(1+AL719/100)^K24:K26)+L27*AN719*AP719/(1+AL719/100)^$B$6</f>
        <v/>
      </c>
      <c r="AT719">
        <f>AS719-AR719</f>
        <v/>
      </c>
      <c r="AU719">
        <f>RAND()</f>
        <v/>
      </c>
      <c r="AV719">
        <f>RAND()</f>
        <v/>
      </c>
      <c r="AW719">
        <f>RAND()</f>
        <v/>
      </c>
      <c r="AX719">
        <f>RAND()</f>
        <v/>
      </c>
      <c r="AY719">
        <f>RAND()</f>
        <v/>
      </c>
      <c r="AZ719">
        <f>RAND()</f>
        <v/>
      </c>
    </row>
    <row r="720">
      <c r="AK720" t="n">
        <v>707</v>
      </c>
      <c r="AL720">
        <f>IFERROR(IF(AU720&lt;($AM$6-$AL$6)/($AN$6-$AL$6),$AL$6+SQRT(AU720*($AN$6-$AL$6)*($AM$6-$AL$6)),$AN$6-SQRT((1-AU720)*($AN$6-$AL$6)*($AN$6-$AM$6))),$AM$6)</f>
        <v/>
      </c>
      <c r="AM720">
        <f>IFERROR(IF(AV720&lt;($AM$7-$AL$7)/($AN$7-$AL$7),$AL$7+SQRT(AV720*($AN$7-$AL$7)*($AM$7-$AL$7)),$AN$7-SQRT((1-AV720)*($AN$7-$AL$7)*($AN$7-$AM$7))),$AM$7)</f>
        <v/>
      </c>
      <c r="AN720">
        <f>IFERROR(IF(AW720&lt;($AM$8-$AL$8)/($AN$8-$AL$8),$AL$8+SQRT(AW720*($AN$8-$AL$8)*($AM$8-$AL$8)),$AN$8-SQRT((1-AW720)*($AN$8-$AL$8)*($AN$8-$AM$8))),$AM$8)</f>
        <v/>
      </c>
      <c r="AO720">
        <f>IFERROR(IF(AX720&lt;($AM$9-$AL$9)/($AN$9-$AL$9),$AL$9+SQRT(AX720*($AN$9-$AL$9)*($AM$9-$AL$9)),$AN$9-SQRT((1-AX720)*($AN$9-$AL$9)*($AN$9-$AM$9))),$AM$9)</f>
        <v/>
      </c>
      <c r="AP720">
        <f>IFERROR(IF(AY720&lt;($AM$10-$AL$10)/($AN$10-$AL$10),$AL$10+SQRT(AY720*($AN$10-$AL$10)*($AM$10-$AL$10)),$AN$10-SQRT((1-AY720)*($AN$10-$AL$10)*($AN$10-$AM$10))),$AM$10)</f>
        <v/>
      </c>
      <c r="AQ720">
        <f>IFERROR(IF(AZ720&lt;($AM$11-$AL$11)/($AN$11-$AL$11),$AL$11+SQRT(AZ720*($AN$11-$AL$11)*($AM$11-$AL$11)),$AN$11-SQRT((1-AZ720)*($AN$11-$AL$11)*($AN$11-$AM$11))),$AM$11)</f>
        <v/>
      </c>
      <c r="AR720">
        <f>SUMPRODUCT((B24:B31&lt;=$B$6)*(C24:C31*AM720+D24:D31*AO720*$B$8*AQ720)/(1+AL720/100)^B24:B31)+C32*AM720*AP720/(1+AL720/100)^$B$6</f>
        <v/>
      </c>
      <c r="AS720">
        <f>SUMPRODUCT((K24:K26&lt;=$B$6)*(L24:L26*AN720+M24:M26*AO720*$B$8*AQ720)/(1+AL720/100)^K24:K26)+L27*AN720*AP720/(1+AL720/100)^$B$6</f>
        <v/>
      </c>
      <c r="AT720">
        <f>AS720-AR720</f>
        <v/>
      </c>
      <c r="AU720">
        <f>RAND()</f>
        <v/>
      </c>
      <c r="AV720">
        <f>RAND()</f>
        <v/>
      </c>
      <c r="AW720">
        <f>RAND()</f>
        <v/>
      </c>
      <c r="AX720">
        <f>RAND()</f>
        <v/>
      </c>
      <c r="AY720">
        <f>RAND()</f>
        <v/>
      </c>
      <c r="AZ720">
        <f>RAND()</f>
        <v/>
      </c>
    </row>
    <row r="721">
      <c r="AK721" t="n">
        <v>708</v>
      </c>
      <c r="AL721">
        <f>IFERROR(IF(AU721&lt;($AM$6-$AL$6)/($AN$6-$AL$6),$AL$6+SQRT(AU721*($AN$6-$AL$6)*($AM$6-$AL$6)),$AN$6-SQRT((1-AU721)*($AN$6-$AL$6)*($AN$6-$AM$6))),$AM$6)</f>
        <v/>
      </c>
      <c r="AM721">
        <f>IFERROR(IF(AV721&lt;($AM$7-$AL$7)/($AN$7-$AL$7),$AL$7+SQRT(AV721*($AN$7-$AL$7)*($AM$7-$AL$7)),$AN$7-SQRT((1-AV721)*($AN$7-$AL$7)*($AN$7-$AM$7))),$AM$7)</f>
        <v/>
      </c>
      <c r="AN721">
        <f>IFERROR(IF(AW721&lt;($AM$8-$AL$8)/($AN$8-$AL$8),$AL$8+SQRT(AW721*($AN$8-$AL$8)*($AM$8-$AL$8)),$AN$8-SQRT((1-AW721)*($AN$8-$AL$8)*($AN$8-$AM$8))),$AM$8)</f>
        <v/>
      </c>
      <c r="AO721">
        <f>IFERROR(IF(AX721&lt;($AM$9-$AL$9)/($AN$9-$AL$9),$AL$9+SQRT(AX721*($AN$9-$AL$9)*($AM$9-$AL$9)),$AN$9-SQRT((1-AX721)*($AN$9-$AL$9)*($AN$9-$AM$9))),$AM$9)</f>
        <v/>
      </c>
      <c r="AP721">
        <f>IFERROR(IF(AY721&lt;($AM$10-$AL$10)/($AN$10-$AL$10),$AL$10+SQRT(AY721*($AN$10-$AL$10)*($AM$10-$AL$10)),$AN$10-SQRT((1-AY721)*($AN$10-$AL$10)*($AN$10-$AM$10))),$AM$10)</f>
        <v/>
      </c>
      <c r="AQ721">
        <f>IFERROR(IF(AZ721&lt;($AM$11-$AL$11)/($AN$11-$AL$11),$AL$11+SQRT(AZ721*($AN$11-$AL$11)*($AM$11-$AL$11)),$AN$11-SQRT((1-AZ721)*($AN$11-$AL$11)*($AN$11-$AM$11))),$AM$11)</f>
        <v/>
      </c>
      <c r="AR721">
        <f>SUMPRODUCT((B24:B31&lt;=$B$6)*(C24:C31*AM721+D24:D31*AO721*$B$8*AQ721)/(1+AL721/100)^B24:B31)+C32*AM721*AP721/(1+AL721/100)^$B$6</f>
        <v/>
      </c>
      <c r="AS721">
        <f>SUMPRODUCT((K24:K26&lt;=$B$6)*(L24:L26*AN721+M24:M26*AO721*$B$8*AQ721)/(1+AL721/100)^K24:K26)+L27*AN721*AP721/(1+AL721/100)^$B$6</f>
        <v/>
      </c>
      <c r="AT721">
        <f>AS721-AR721</f>
        <v/>
      </c>
      <c r="AU721">
        <f>RAND()</f>
        <v/>
      </c>
      <c r="AV721">
        <f>RAND()</f>
        <v/>
      </c>
      <c r="AW721">
        <f>RAND()</f>
        <v/>
      </c>
      <c r="AX721">
        <f>RAND()</f>
        <v/>
      </c>
      <c r="AY721">
        <f>RAND()</f>
        <v/>
      </c>
      <c r="AZ721">
        <f>RAND()</f>
        <v/>
      </c>
    </row>
    <row r="722">
      <c r="AK722" t="n">
        <v>709</v>
      </c>
      <c r="AL722">
        <f>IFERROR(IF(AU722&lt;($AM$6-$AL$6)/($AN$6-$AL$6),$AL$6+SQRT(AU722*($AN$6-$AL$6)*($AM$6-$AL$6)),$AN$6-SQRT((1-AU722)*($AN$6-$AL$6)*($AN$6-$AM$6))),$AM$6)</f>
        <v/>
      </c>
      <c r="AM722">
        <f>IFERROR(IF(AV722&lt;($AM$7-$AL$7)/($AN$7-$AL$7),$AL$7+SQRT(AV722*($AN$7-$AL$7)*($AM$7-$AL$7)),$AN$7-SQRT((1-AV722)*($AN$7-$AL$7)*($AN$7-$AM$7))),$AM$7)</f>
        <v/>
      </c>
      <c r="AN722">
        <f>IFERROR(IF(AW722&lt;($AM$8-$AL$8)/($AN$8-$AL$8),$AL$8+SQRT(AW722*($AN$8-$AL$8)*($AM$8-$AL$8)),$AN$8-SQRT((1-AW722)*($AN$8-$AL$8)*($AN$8-$AM$8))),$AM$8)</f>
        <v/>
      </c>
      <c r="AO722">
        <f>IFERROR(IF(AX722&lt;($AM$9-$AL$9)/($AN$9-$AL$9),$AL$9+SQRT(AX722*($AN$9-$AL$9)*($AM$9-$AL$9)),$AN$9-SQRT((1-AX722)*($AN$9-$AL$9)*($AN$9-$AM$9))),$AM$9)</f>
        <v/>
      </c>
      <c r="AP722">
        <f>IFERROR(IF(AY722&lt;($AM$10-$AL$10)/($AN$10-$AL$10),$AL$10+SQRT(AY722*($AN$10-$AL$10)*($AM$10-$AL$10)),$AN$10-SQRT((1-AY722)*($AN$10-$AL$10)*($AN$10-$AM$10))),$AM$10)</f>
        <v/>
      </c>
      <c r="AQ722">
        <f>IFERROR(IF(AZ722&lt;($AM$11-$AL$11)/($AN$11-$AL$11),$AL$11+SQRT(AZ722*($AN$11-$AL$11)*($AM$11-$AL$11)),$AN$11-SQRT((1-AZ722)*($AN$11-$AL$11)*($AN$11-$AM$11))),$AM$11)</f>
        <v/>
      </c>
      <c r="AR722">
        <f>SUMPRODUCT((B24:B31&lt;=$B$6)*(C24:C31*AM722+D24:D31*AO722*$B$8*AQ722)/(1+AL722/100)^B24:B31)+C32*AM722*AP722/(1+AL722/100)^$B$6</f>
        <v/>
      </c>
      <c r="AS722">
        <f>SUMPRODUCT((K24:K26&lt;=$B$6)*(L24:L26*AN722+M24:M26*AO722*$B$8*AQ722)/(1+AL722/100)^K24:K26)+L27*AN722*AP722/(1+AL722/100)^$B$6</f>
        <v/>
      </c>
      <c r="AT722">
        <f>AS722-AR722</f>
        <v/>
      </c>
      <c r="AU722">
        <f>RAND()</f>
        <v/>
      </c>
      <c r="AV722">
        <f>RAND()</f>
        <v/>
      </c>
      <c r="AW722">
        <f>RAND()</f>
        <v/>
      </c>
      <c r="AX722">
        <f>RAND()</f>
        <v/>
      </c>
      <c r="AY722">
        <f>RAND()</f>
        <v/>
      </c>
      <c r="AZ722">
        <f>RAND()</f>
        <v/>
      </c>
    </row>
    <row r="723">
      <c r="AK723" t="n">
        <v>710</v>
      </c>
      <c r="AL723">
        <f>IFERROR(IF(AU723&lt;($AM$6-$AL$6)/($AN$6-$AL$6),$AL$6+SQRT(AU723*($AN$6-$AL$6)*($AM$6-$AL$6)),$AN$6-SQRT((1-AU723)*($AN$6-$AL$6)*($AN$6-$AM$6))),$AM$6)</f>
        <v/>
      </c>
      <c r="AM723">
        <f>IFERROR(IF(AV723&lt;($AM$7-$AL$7)/($AN$7-$AL$7),$AL$7+SQRT(AV723*($AN$7-$AL$7)*($AM$7-$AL$7)),$AN$7-SQRT((1-AV723)*($AN$7-$AL$7)*($AN$7-$AM$7))),$AM$7)</f>
        <v/>
      </c>
      <c r="AN723">
        <f>IFERROR(IF(AW723&lt;($AM$8-$AL$8)/($AN$8-$AL$8),$AL$8+SQRT(AW723*($AN$8-$AL$8)*($AM$8-$AL$8)),$AN$8-SQRT((1-AW723)*($AN$8-$AL$8)*($AN$8-$AM$8))),$AM$8)</f>
        <v/>
      </c>
      <c r="AO723">
        <f>IFERROR(IF(AX723&lt;($AM$9-$AL$9)/($AN$9-$AL$9),$AL$9+SQRT(AX723*($AN$9-$AL$9)*($AM$9-$AL$9)),$AN$9-SQRT((1-AX723)*($AN$9-$AL$9)*($AN$9-$AM$9))),$AM$9)</f>
        <v/>
      </c>
      <c r="AP723">
        <f>IFERROR(IF(AY723&lt;($AM$10-$AL$10)/($AN$10-$AL$10),$AL$10+SQRT(AY723*($AN$10-$AL$10)*($AM$10-$AL$10)),$AN$10-SQRT((1-AY723)*($AN$10-$AL$10)*($AN$10-$AM$10))),$AM$10)</f>
        <v/>
      </c>
      <c r="AQ723">
        <f>IFERROR(IF(AZ723&lt;($AM$11-$AL$11)/($AN$11-$AL$11),$AL$11+SQRT(AZ723*($AN$11-$AL$11)*($AM$11-$AL$11)),$AN$11-SQRT((1-AZ723)*($AN$11-$AL$11)*($AN$11-$AM$11))),$AM$11)</f>
        <v/>
      </c>
      <c r="AR723">
        <f>SUMPRODUCT((B24:B31&lt;=$B$6)*(C24:C31*AM723+D24:D31*AO723*$B$8*AQ723)/(1+AL723/100)^B24:B31)+C32*AM723*AP723/(1+AL723/100)^$B$6</f>
        <v/>
      </c>
      <c r="AS723">
        <f>SUMPRODUCT((K24:K26&lt;=$B$6)*(L24:L26*AN723+M24:M26*AO723*$B$8*AQ723)/(1+AL723/100)^K24:K26)+L27*AN723*AP723/(1+AL723/100)^$B$6</f>
        <v/>
      </c>
      <c r="AT723">
        <f>AS723-AR723</f>
        <v/>
      </c>
      <c r="AU723">
        <f>RAND()</f>
        <v/>
      </c>
      <c r="AV723">
        <f>RAND()</f>
        <v/>
      </c>
      <c r="AW723">
        <f>RAND()</f>
        <v/>
      </c>
      <c r="AX723">
        <f>RAND()</f>
        <v/>
      </c>
      <c r="AY723">
        <f>RAND()</f>
        <v/>
      </c>
      <c r="AZ723">
        <f>RAND()</f>
        <v/>
      </c>
    </row>
    <row r="724">
      <c r="AK724" t="n">
        <v>711</v>
      </c>
      <c r="AL724">
        <f>IFERROR(IF(AU724&lt;($AM$6-$AL$6)/($AN$6-$AL$6),$AL$6+SQRT(AU724*($AN$6-$AL$6)*($AM$6-$AL$6)),$AN$6-SQRT((1-AU724)*($AN$6-$AL$6)*($AN$6-$AM$6))),$AM$6)</f>
        <v/>
      </c>
      <c r="AM724">
        <f>IFERROR(IF(AV724&lt;($AM$7-$AL$7)/($AN$7-$AL$7),$AL$7+SQRT(AV724*($AN$7-$AL$7)*($AM$7-$AL$7)),$AN$7-SQRT((1-AV724)*($AN$7-$AL$7)*($AN$7-$AM$7))),$AM$7)</f>
        <v/>
      </c>
      <c r="AN724">
        <f>IFERROR(IF(AW724&lt;($AM$8-$AL$8)/($AN$8-$AL$8),$AL$8+SQRT(AW724*($AN$8-$AL$8)*($AM$8-$AL$8)),$AN$8-SQRT((1-AW724)*($AN$8-$AL$8)*($AN$8-$AM$8))),$AM$8)</f>
        <v/>
      </c>
      <c r="AO724">
        <f>IFERROR(IF(AX724&lt;($AM$9-$AL$9)/($AN$9-$AL$9),$AL$9+SQRT(AX724*($AN$9-$AL$9)*($AM$9-$AL$9)),$AN$9-SQRT((1-AX724)*($AN$9-$AL$9)*($AN$9-$AM$9))),$AM$9)</f>
        <v/>
      </c>
      <c r="AP724">
        <f>IFERROR(IF(AY724&lt;($AM$10-$AL$10)/($AN$10-$AL$10),$AL$10+SQRT(AY724*($AN$10-$AL$10)*($AM$10-$AL$10)),$AN$10-SQRT((1-AY724)*($AN$10-$AL$10)*($AN$10-$AM$10))),$AM$10)</f>
        <v/>
      </c>
      <c r="AQ724">
        <f>IFERROR(IF(AZ724&lt;($AM$11-$AL$11)/($AN$11-$AL$11),$AL$11+SQRT(AZ724*($AN$11-$AL$11)*($AM$11-$AL$11)),$AN$11-SQRT((1-AZ724)*($AN$11-$AL$11)*($AN$11-$AM$11))),$AM$11)</f>
        <v/>
      </c>
      <c r="AR724">
        <f>SUMPRODUCT((B24:B31&lt;=$B$6)*(C24:C31*AM724+D24:D31*AO724*$B$8*AQ724)/(1+AL724/100)^B24:B31)+C32*AM724*AP724/(1+AL724/100)^$B$6</f>
        <v/>
      </c>
      <c r="AS724">
        <f>SUMPRODUCT((K24:K26&lt;=$B$6)*(L24:L26*AN724+M24:M26*AO724*$B$8*AQ724)/(1+AL724/100)^K24:K26)+L27*AN724*AP724/(1+AL724/100)^$B$6</f>
        <v/>
      </c>
      <c r="AT724">
        <f>AS724-AR724</f>
        <v/>
      </c>
      <c r="AU724">
        <f>RAND()</f>
        <v/>
      </c>
      <c r="AV724">
        <f>RAND()</f>
        <v/>
      </c>
      <c r="AW724">
        <f>RAND()</f>
        <v/>
      </c>
      <c r="AX724">
        <f>RAND()</f>
        <v/>
      </c>
      <c r="AY724">
        <f>RAND()</f>
        <v/>
      </c>
      <c r="AZ724">
        <f>RAND()</f>
        <v/>
      </c>
    </row>
    <row r="725">
      <c r="AK725" t="n">
        <v>712</v>
      </c>
      <c r="AL725">
        <f>IFERROR(IF(AU725&lt;($AM$6-$AL$6)/($AN$6-$AL$6),$AL$6+SQRT(AU725*($AN$6-$AL$6)*($AM$6-$AL$6)),$AN$6-SQRT((1-AU725)*($AN$6-$AL$6)*($AN$6-$AM$6))),$AM$6)</f>
        <v/>
      </c>
      <c r="AM725">
        <f>IFERROR(IF(AV725&lt;($AM$7-$AL$7)/($AN$7-$AL$7),$AL$7+SQRT(AV725*($AN$7-$AL$7)*($AM$7-$AL$7)),$AN$7-SQRT((1-AV725)*($AN$7-$AL$7)*($AN$7-$AM$7))),$AM$7)</f>
        <v/>
      </c>
      <c r="AN725">
        <f>IFERROR(IF(AW725&lt;($AM$8-$AL$8)/($AN$8-$AL$8),$AL$8+SQRT(AW725*($AN$8-$AL$8)*($AM$8-$AL$8)),$AN$8-SQRT((1-AW725)*($AN$8-$AL$8)*($AN$8-$AM$8))),$AM$8)</f>
        <v/>
      </c>
      <c r="AO725">
        <f>IFERROR(IF(AX725&lt;($AM$9-$AL$9)/($AN$9-$AL$9),$AL$9+SQRT(AX725*($AN$9-$AL$9)*($AM$9-$AL$9)),$AN$9-SQRT((1-AX725)*($AN$9-$AL$9)*($AN$9-$AM$9))),$AM$9)</f>
        <v/>
      </c>
      <c r="AP725">
        <f>IFERROR(IF(AY725&lt;($AM$10-$AL$10)/($AN$10-$AL$10),$AL$10+SQRT(AY725*($AN$10-$AL$10)*($AM$10-$AL$10)),$AN$10-SQRT((1-AY725)*($AN$10-$AL$10)*($AN$10-$AM$10))),$AM$10)</f>
        <v/>
      </c>
      <c r="AQ725">
        <f>IFERROR(IF(AZ725&lt;($AM$11-$AL$11)/($AN$11-$AL$11),$AL$11+SQRT(AZ725*($AN$11-$AL$11)*($AM$11-$AL$11)),$AN$11-SQRT((1-AZ725)*($AN$11-$AL$11)*($AN$11-$AM$11))),$AM$11)</f>
        <v/>
      </c>
      <c r="AR725">
        <f>SUMPRODUCT((B24:B31&lt;=$B$6)*(C24:C31*AM725+D24:D31*AO725*$B$8*AQ725)/(1+AL725/100)^B24:B31)+C32*AM725*AP725/(1+AL725/100)^$B$6</f>
        <v/>
      </c>
      <c r="AS725">
        <f>SUMPRODUCT((K24:K26&lt;=$B$6)*(L24:L26*AN725+M24:M26*AO725*$B$8*AQ725)/(1+AL725/100)^K24:K26)+L27*AN725*AP725/(1+AL725/100)^$B$6</f>
        <v/>
      </c>
      <c r="AT725">
        <f>AS725-AR725</f>
        <v/>
      </c>
      <c r="AU725">
        <f>RAND()</f>
        <v/>
      </c>
      <c r="AV725">
        <f>RAND()</f>
        <v/>
      </c>
      <c r="AW725">
        <f>RAND()</f>
        <v/>
      </c>
      <c r="AX725">
        <f>RAND()</f>
        <v/>
      </c>
      <c r="AY725">
        <f>RAND()</f>
        <v/>
      </c>
      <c r="AZ725">
        <f>RAND()</f>
        <v/>
      </c>
    </row>
    <row r="726">
      <c r="AK726" t="n">
        <v>713</v>
      </c>
      <c r="AL726">
        <f>IFERROR(IF(AU726&lt;($AM$6-$AL$6)/($AN$6-$AL$6),$AL$6+SQRT(AU726*($AN$6-$AL$6)*($AM$6-$AL$6)),$AN$6-SQRT((1-AU726)*($AN$6-$AL$6)*($AN$6-$AM$6))),$AM$6)</f>
        <v/>
      </c>
      <c r="AM726">
        <f>IFERROR(IF(AV726&lt;($AM$7-$AL$7)/($AN$7-$AL$7),$AL$7+SQRT(AV726*($AN$7-$AL$7)*($AM$7-$AL$7)),$AN$7-SQRT((1-AV726)*($AN$7-$AL$7)*($AN$7-$AM$7))),$AM$7)</f>
        <v/>
      </c>
      <c r="AN726">
        <f>IFERROR(IF(AW726&lt;($AM$8-$AL$8)/($AN$8-$AL$8),$AL$8+SQRT(AW726*($AN$8-$AL$8)*($AM$8-$AL$8)),$AN$8-SQRT((1-AW726)*($AN$8-$AL$8)*($AN$8-$AM$8))),$AM$8)</f>
        <v/>
      </c>
      <c r="AO726">
        <f>IFERROR(IF(AX726&lt;($AM$9-$AL$9)/($AN$9-$AL$9),$AL$9+SQRT(AX726*($AN$9-$AL$9)*($AM$9-$AL$9)),$AN$9-SQRT((1-AX726)*($AN$9-$AL$9)*($AN$9-$AM$9))),$AM$9)</f>
        <v/>
      </c>
      <c r="AP726">
        <f>IFERROR(IF(AY726&lt;($AM$10-$AL$10)/($AN$10-$AL$10),$AL$10+SQRT(AY726*($AN$10-$AL$10)*($AM$10-$AL$10)),$AN$10-SQRT((1-AY726)*($AN$10-$AL$10)*($AN$10-$AM$10))),$AM$10)</f>
        <v/>
      </c>
      <c r="AQ726">
        <f>IFERROR(IF(AZ726&lt;($AM$11-$AL$11)/($AN$11-$AL$11),$AL$11+SQRT(AZ726*($AN$11-$AL$11)*($AM$11-$AL$11)),$AN$11-SQRT((1-AZ726)*($AN$11-$AL$11)*($AN$11-$AM$11))),$AM$11)</f>
        <v/>
      </c>
      <c r="AR726">
        <f>SUMPRODUCT((B24:B31&lt;=$B$6)*(C24:C31*AM726+D24:D31*AO726*$B$8*AQ726)/(1+AL726/100)^B24:B31)+C32*AM726*AP726/(1+AL726/100)^$B$6</f>
        <v/>
      </c>
      <c r="AS726">
        <f>SUMPRODUCT((K24:K26&lt;=$B$6)*(L24:L26*AN726+M24:M26*AO726*$B$8*AQ726)/(1+AL726/100)^K24:K26)+L27*AN726*AP726/(1+AL726/100)^$B$6</f>
        <v/>
      </c>
      <c r="AT726">
        <f>AS726-AR726</f>
        <v/>
      </c>
      <c r="AU726">
        <f>RAND()</f>
        <v/>
      </c>
      <c r="AV726">
        <f>RAND()</f>
        <v/>
      </c>
      <c r="AW726">
        <f>RAND()</f>
        <v/>
      </c>
      <c r="AX726">
        <f>RAND()</f>
        <v/>
      </c>
      <c r="AY726">
        <f>RAND()</f>
        <v/>
      </c>
      <c r="AZ726">
        <f>RAND()</f>
        <v/>
      </c>
    </row>
    <row r="727">
      <c r="AK727" t="n">
        <v>714</v>
      </c>
      <c r="AL727">
        <f>IFERROR(IF(AU727&lt;($AM$6-$AL$6)/($AN$6-$AL$6),$AL$6+SQRT(AU727*($AN$6-$AL$6)*($AM$6-$AL$6)),$AN$6-SQRT((1-AU727)*($AN$6-$AL$6)*($AN$6-$AM$6))),$AM$6)</f>
        <v/>
      </c>
      <c r="AM727">
        <f>IFERROR(IF(AV727&lt;($AM$7-$AL$7)/($AN$7-$AL$7),$AL$7+SQRT(AV727*($AN$7-$AL$7)*($AM$7-$AL$7)),$AN$7-SQRT((1-AV727)*($AN$7-$AL$7)*($AN$7-$AM$7))),$AM$7)</f>
        <v/>
      </c>
      <c r="AN727">
        <f>IFERROR(IF(AW727&lt;($AM$8-$AL$8)/($AN$8-$AL$8),$AL$8+SQRT(AW727*($AN$8-$AL$8)*($AM$8-$AL$8)),$AN$8-SQRT((1-AW727)*($AN$8-$AL$8)*($AN$8-$AM$8))),$AM$8)</f>
        <v/>
      </c>
      <c r="AO727">
        <f>IFERROR(IF(AX727&lt;($AM$9-$AL$9)/($AN$9-$AL$9),$AL$9+SQRT(AX727*($AN$9-$AL$9)*($AM$9-$AL$9)),$AN$9-SQRT((1-AX727)*($AN$9-$AL$9)*($AN$9-$AM$9))),$AM$9)</f>
        <v/>
      </c>
      <c r="AP727">
        <f>IFERROR(IF(AY727&lt;($AM$10-$AL$10)/($AN$10-$AL$10),$AL$10+SQRT(AY727*($AN$10-$AL$10)*($AM$10-$AL$10)),$AN$10-SQRT((1-AY727)*($AN$10-$AL$10)*($AN$10-$AM$10))),$AM$10)</f>
        <v/>
      </c>
      <c r="AQ727">
        <f>IFERROR(IF(AZ727&lt;($AM$11-$AL$11)/($AN$11-$AL$11),$AL$11+SQRT(AZ727*($AN$11-$AL$11)*($AM$11-$AL$11)),$AN$11-SQRT((1-AZ727)*($AN$11-$AL$11)*($AN$11-$AM$11))),$AM$11)</f>
        <v/>
      </c>
      <c r="AR727">
        <f>SUMPRODUCT((B24:B31&lt;=$B$6)*(C24:C31*AM727+D24:D31*AO727*$B$8*AQ727)/(1+AL727/100)^B24:B31)+C32*AM727*AP727/(1+AL727/100)^$B$6</f>
        <v/>
      </c>
      <c r="AS727">
        <f>SUMPRODUCT((K24:K26&lt;=$B$6)*(L24:L26*AN727+M24:M26*AO727*$B$8*AQ727)/(1+AL727/100)^K24:K26)+L27*AN727*AP727/(1+AL727/100)^$B$6</f>
        <v/>
      </c>
      <c r="AT727">
        <f>AS727-AR727</f>
        <v/>
      </c>
      <c r="AU727">
        <f>RAND()</f>
        <v/>
      </c>
      <c r="AV727">
        <f>RAND()</f>
        <v/>
      </c>
      <c r="AW727">
        <f>RAND()</f>
        <v/>
      </c>
      <c r="AX727">
        <f>RAND()</f>
        <v/>
      </c>
      <c r="AY727">
        <f>RAND()</f>
        <v/>
      </c>
      <c r="AZ727">
        <f>RAND()</f>
        <v/>
      </c>
    </row>
    <row r="728">
      <c r="AK728" t="n">
        <v>715</v>
      </c>
      <c r="AL728">
        <f>IFERROR(IF(AU728&lt;($AM$6-$AL$6)/($AN$6-$AL$6),$AL$6+SQRT(AU728*($AN$6-$AL$6)*($AM$6-$AL$6)),$AN$6-SQRT((1-AU728)*($AN$6-$AL$6)*($AN$6-$AM$6))),$AM$6)</f>
        <v/>
      </c>
      <c r="AM728">
        <f>IFERROR(IF(AV728&lt;($AM$7-$AL$7)/($AN$7-$AL$7),$AL$7+SQRT(AV728*($AN$7-$AL$7)*($AM$7-$AL$7)),$AN$7-SQRT((1-AV728)*($AN$7-$AL$7)*($AN$7-$AM$7))),$AM$7)</f>
        <v/>
      </c>
      <c r="AN728">
        <f>IFERROR(IF(AW728&lt;($AM$8-$AL$8)/($AN$8-$AL$8),$AL$8+SQRT(AW728*($AN$8-$AL$8)*($AM$8-$AL$8)),$AN$8-SQRT((1-AW728)*($AN$8-$AL$8)*($AN$8-$AM$8))),$AM$8)</f>
        <v/>
      </c>
      <c r="AO728">
        <f>IFERROR(IF(AX728&lt;($AM$9-$AL$9)/($AN$9-$AL$9),$AL$9+SQRT(AX728*($AN$9-$AL$9)*($AM$9-$AL$9)),$AN$9-SQRT((1-AX728)*($AN$9-$AL$9)*($AN$9-$AM$9))),$AM$9)</f>
        <v/>
      </c>
      <c r="AP728">
        <f>IFERROR(IF(AY728&lt;($AM$10-$AL$10)/($AN$10-$AL$10),$AL$10+SQRT(AY728*($AN$10-$AL$10)*($AM$10-$AL$10)),$AN$10-SQRT((1-AY728)*($AN$10-$AL$10)*($AN$10-$AM$10))),$AM$10)</f>
        <v/>
      </c>
      <c r="AQ728">
        <f>IFERROR(IF(AZ728&lt;($AM$11-$AL$11)/($AN$11-$AL$11),$AL$11+SQRT(AZ728*($AN$11-$AL$11)*($AM$11-$AL$11)),$AN$11-SQRT((1-AZ728)*($AN$11-$AL$11)*($AN$11-$AM$11))),$AM$11)</f>
        <v/>
      </c>
      <c r="AR728">
        <f>SUMPRODUCT((B24:B31&lt;=$B$6)*(C24:C31*AM728+D24:D31*AO728*$B$8*AQ728)/(1+AL728/100)^B24:B31)+C32*AM728*AP728/(1+AL728/100)^$B$6</f>
        <v/>
      </c>
      <c r="AS728">
        <f>SUMPRODUCT((K24:K26&lt;=$B$6)*(L24:L26*AN728+M24:M26*AO728*$B$8*AQ728)/(1+AL728/100)^K24:K26)+L27*AN728*AP728/(1+AL728/100)^$B$6</f>
        <v/>
      </c>
      <c r="AT728">
        <f>AS728-AR728</f>
        <v/>
      </c>
      <c r="AU728">
        <f>RAND()</f>
        <v/>
      </c>
      <c r="AV728">
        <f>RAND()</f>
        <v/>
      </c>
      <c r="AW728">
        <f>RAND()</f>
        <v/>
      </c>
      <c r="AX728">
        <f>RAND()</f>
        <v/>
      </c>
      <c r="AY728">
        <f>RAND()</f>
        <v/>
      </c>
      <c r="AZ728">
        <f>RAND()</f>
        <v/>
      </c>
    </row>
    <row r="729">
      <c r="AK729" t="n">
        <v>716</v>
      </c>
      <c r="AL729">
        <f>IFERROR(IF(AU729&lt;($AM$6-$AL$6)/($AN$6-$AL$6),$AL$6+SQRT(AU729*($AN$6-$AL$6)*($AM$6-$AL$6)),$AN$6-SQRT((1-AU729)*($AN$6-$AL$6)*($AN$6-$AM$6))),$AM$6)</f>
        <v/>
      </c>
      <c r="AM729">
        <f>IFERROR(IF(AV729&lt;($AM$7-$AL$7)/($AN$7-$AL$7),$AL$7+SQRT(AV729*($AN$7-$AL$7)*($AM$7-$AL$7)),$AN$7-SQRT((1-AV729)*($AN$7-$AL$7)*($AN$7-$AM$7))),$AM$7)</f>
        <v/>
      </c>
      <c r="AN729">
        <f>IFERROR(IF(AW729&lt;($AM$8-$AL$8)/($AN$8-$AL$8),$AL$8+SQRT(AW729*($AN$8-$AL$8)*($AM$8-$AL$8)),$AN$8-SQRT((1-AW729)*($AN$8-$AL$8)*($AN$8-$AM$8))),$AM$8)</f>
        <v/>
      </c>
      <c r="AO729">
        <f>IFERROR(IF(AX729&lt;($AM$9-$AL$9)/($AN$9-$AL$9),$AL$9+SQRT(AX729*($AN$9-$AL$9)*($AM$9-$AL$9)),$AN$9-SQRT((1-AX729)*($AN$9-$AL$9)*($AN$9-$AM$9))),$AM$9)</f>
        <v/>
      </c>
      <c r="AP729">
        <f>IFERROR(IF(AY729&lt;($AM$10-$AL$10)/($AN$10-$AL$10),$AL$10+SQRT(AY729*($AN$10-$AL$10)*($AM$10-$AL$10)),$AN$10-SQRT((1-AY729)*($AN$10-$AL$10)*($AN$10-$AM$10))),$AM$10)</f>
        <v/>
      </c>
      <c r="AQ729">
        <f>IFERROR(IF(AZ729&lt;($AM$11-$AL$11)/($AN$11-$AL$11),$AL$11+SQRT(AZ729*($AN$11-$AL$11)*($AM$11-$AL$11)),$AN$11-SQRT((1-AZ729)*($AN$11-$AL$11)*($AN$11-$AM$11))),$AM$11)</f>
        <v/>
      </c>
      <c r="AR729">
        <f>SUMPRODUCT((B24:B31&lt;=$B$6)*(C24:C31*AM729+D24:D31*AO729*$B$8*AQ729)/(1+AL729/100)^B24:B31)+C32*AM729*AP729/(1+AL729/100)^$B$6</f>
        <v/>
      </c>
      <c r="AS729">
        <f>SUMPRODUCT((K24:K26&lt;=$B$6)*(L24:L26*AN729+M24:M26*AO729*$B$8*AQ729)/(1+AL729/100)^K24:K26)+L27*AN729*AP729/(1+AL729/100)^$B$6</f>
        <v/>
      </c>
      <c r="AT729">
        <f>AS729-AR729</f>
        <v/>
      </c>
      <c r="AU729">
        <f>RAND()</f>
        <v/>
      </c>
      <c r="AV729">
        <f>RAND()</f>
        <v/>
      </c>
      <c r="AW729">
        <f>RAND()</f>
        <v/>
      </c>
      <c r="AX729">
        <f>RAND()</f>
        <v/>
      </c>
      <c r="AY729">
        <f>RAND()</f>
        <v/>
      </c>
      <c r="AZ729">
        <f>RAND()</f>
        <v/>
      </c>
    </row>
    <row r="730">
      <c r="AK730" t="n">
        <v>717</v>
      </c>
      <c r="AL730">
        <f>IFERROR(IF(AU730&lt;($AM$6-$AL$6)/($AN$6-$AL$6),$AL$6+SQRT(AU730*($AN$6-$AL$6)*($AM$6-$AL$6)),$AN$6-SQRT((1-AU730)*($AN$6-$AL$6)*($AN$6-$AM$6))),$AM$6)</f>
        <v/>
      </c>
      <c r="AM730">
        <f>IFERROR(IF(AV730&lt;($AM$7-$AL$7)/($AN$7-$AL$7),$AL$7+SQRT(AV730*($AN$7-$AL$7)*($AM$7-$AL$7)),$AN$7-SQRT((1-AV730)*($AN$7-$AL$7)*($AN$7-$AM$7))),$AM$7)</f>
        <v/>
      </c>
      <c r="AN730">
        <f>IFERROR(IF(AW730&lt;($AM$8-$AL$8)/($AN$8-$AL$8),$AL$8+SQRT(AW730*($AN$8-$AL$8)*($AM$8-$AL$8)),$AN$8-SQRT((1-AW730)*($AN$8-$AL$8)*($AN$8-$AM$8))),$AM$8)</f>
        <v/>
      </c>
      <c r="AO730">
        <f>IFERROR(IF(AX730&lt;($AM$9-$AL$9)/($AN$9-$AL$9),$AL$9+SQRT(AX730*($AN$9-$AL$9)*($AM$9-$AL$9)),$AN$9-SQRT((1-AX730)*($AN$9-$AL$9)*($AN$9-$AM$9))),$AM$9)</f>
        <v/>
      </c>
      <c r="AP730">
        <f>IFERROR(IF(AY730&lt;($AM$10-$AL$10)/($AN$10-$AL$10),$AL$10+SQRT(AY730*($AN$10-$AL$10)*($AM$10-$AL$10)),$AN$10-SQRT((1-AY730)*($AN$10-$AL$10)*($AN$10-$AM$10))),$AM$10)</f>
        <v/>
      </c>
      <c r="AQ730">
        <f>IFERROR(IF(AZ730&lt;($AM$11-$AL$11)/($AN$11-$AL$11),$AL$11+SQRT(AZ730*($AN$11-$AL$11)*($AM$11-$AL$11)),$AN$11-SQRT((1-AZ730)*($AN$11-$AL$11)*($AN$11-$AM$11))),$AM$11)</f>
        <v/>
      </c>
      <c r="AR730">
        <f>SUMPRODUCT((B24:B31&lt;=$B$6)*(C24:C31*AM730+D24:D31*AO730*$B$8*AQ730)/(1+AL730/100)^B24:B31)+C32*AM730*AP730/(1+AL730/100)^$B$6</f>
        <v/>
      </c>
      <c r="AS730">
        <f>SUMPRODUCT((K24:K26&lt;=$B$6)*(L24:L26*AN730+M24:M26*AO730*$B$8*AQ730)/(1+AL730/100)^K24:K26)+L27*AN730*AP730/(1+AL730/100)^$B$6</f>
        <v/>
      </c>
      <c r="AT730">
        <f>AS730-AR730</f>
        <v/>
      </c>
      <c r="AU730">
        <f>RAND()</f>
        <v/>
      </c>
      <c r="AV730">
        <f>RAND()</f>
        <v/>
      </c>
      <c r="AW730">
        <f>RAND()</f>
        <v/>
      </c>
      <c r="AX730">
        <f>RAND()</f>
        <v/>
      </c>
      <c r="AY730">
        <f>RAND()</f>
        <v/>
      </c>
      <c r="AZ730">
        <f>RAND()</f>
        <v/>
      </c>
    </row>
    <row r="731">
      <c r="AK731" t="n">
        <v>718</v>
      </c>
      <c r="AL731">
        <f>IFERROR(IF(AU731&lt;($AM$6-$AL$6)/($AN$6-$AL$6),$AL$6+SQRT(AU731*($AN$6-$AL$6)*($AM$6-$AL$6)),$AN$6-SQRT((1-AU731)*($AN$6-$AL$6)*($AN$6-$AM$6))),$AM$6)</f>
        <v/>
      </c>
      <c r="AM731">
        <f>IFERROR(IF(AV731&lt;($AM$7-$AL$7)/($AN$7-$AL$7),$AL$7+SQRT(AV731*($AN$7-$AL$7)*($AM$7-$AL$7)),$AN$7-SQRT((1-AV731)*($AN$7-$AL$7)*($AN$7-$AM$7))),$AM$7)</f>
        <v/>
      </c>
      <c r="AN731">
        <f>IFERROR(IF(AW731&lt;($AM$8-$AL$8)/($AN$8-$AL$8),$AL$8+SQRT(AW731*($AN$8-$AL$8)*($AM$8-$AL$8)),$AN$8-SQRT((1-AW731)*($AN$8-$AL$8)*($AN$8-$AM$8))),$AM$8)</f>
        <v/>
      </c>
      <c r="AO731">
        <f>IFERROR(IF(AX731&lt;($AM$9-$AL$9)/($AN$9-$AL$9),$AL$9+SQRT(AX731*($AN$9-$AL$9)*($AM$9-$AL$9)),$AN$9-SQRT((1-AX731)*($AN$9-$AL$9)*($AN$9-$AM$9))),$AM$9)</f>
        <v/>
      </c>
      <c r="AP731">
        <f>IFERROR(IF(AY731&lt;($AM$10-$AL$10)/($AN$10-$AL$10),$AL$10+SQRT(AY731*($AN$10-$AL$10)*($AM$10-$AL$10)),$AN$10-SQRT((1-AY731)*($AN$10-$AL$10)*($AN$10-$AM$10))),$AM$10)</f>
        <v/>
      </c>
      <c r="AQ731">
        <f>IFERROR(IF(AZ731&lt;($AM$11-$AL$11)/($AN$11-$AL$11),$AL$11+SQRT(AZ731*($AN$11-$AL$11)*($AM$11-$AL$11)),$AN$11-SQRT((1-AZ731)*($AN$11-$AL$11)*($AN$11-$AM$11))),$AM$11)</f>
        <v/>
      </c>
      <c r="AR731">
        <f>SUMPRODUCT((B24:B31&lt;=$B$6)*(C24:C31*AM731+D24:D31*AO731*$B$8*AQ731)/(1+AL731/100)^B24:B31)+C32*AM731*AP731/(1+AL731/100)^$B$6</f>
        <v/>
      </c>
      <c r="AS731">
        <f>SUMPRODUCT((K24:K26&lt;=$B$6)*(L24:L26*AN731+M24:M26*AO731*$B$8*AQ731)/(1+AL731/100)^K24:K26)+L27*AN731*AP731/(1+AL731/100)^$B$6</f>
        <v/>
      </c>
      <c r="AT731">
        <f>AS731-AR731</f>
        <v/>
      </c>
      <c r="AU731">
        <f>RAND()</f>
        <v/>
      </c>
      <c r="AV731">
        <f>RAND()</f>
        <v/>
      </c>
      <c r="AW731">
        <f>RAND()</f>
        <v/>
      </c>
      <c r="AX731">
        <f>RAND()</f>
        <v/>
      </c>
      <c r="AY731">
        <f>RAND()</f>
        <v/>
      </c>
      <c r="AZ731">
        <f>RAND()</f>
        <v/>
      </c>
    </row>
    <row r="732">
      <c r="AK732" t="n">
        <v>719</v>
      </c>
      <c r="AL732">
        <f>IFERROR(IF(AU732&lt;($AM$6-$AL$6)/($AN$6-$AL$6),$AL$6+SQRT(AU732*($AN$6-$AL$6)*($AM$6-$AL$6)),$AN$6-SQRT((1-AU732)*($AN$6-$AL$6)*($AN$6-$AM$6))),$AM$6)</f>
        <v/>
      </c>
      <c r="AM732">
        <f>IFERROR(IF(AV732&lt;($AM$7-$AL$7)/($AN$7-$AL$7),$AL$7+SQRT(AV732*($AN$7-$AL$7)*($AM$7-$AL$7)),$AN$7-SQRT((1-AV732)*($AN$7-$AL$7)*($AN$7-$AM$7))),$AM$7)</f>
        <v/>
      </c>
      <c r="AN732">
        <f>IFERROR(IF(AW732&lt;($AM$8-$AL$8)/($AN$8-$AL$8),$AL$8+SQRT(AW732*($AN$8-$AL$8)*($AM$8-$AL$8)),$AN$8-SQRT((1-AW732)*($AN$8-$AL$8)*($AN$8-$AM$8))),$AM$8)</f>
        <v/>
      </c>
      <c r="AO732">
        <f>IFERROR(IF(AX732&lt;($AM$9-$AL$9)/($AN$9-$AL$9),$AL$9+SQRT(AX732*($AN$9-$AL$9)*($AM$9-$AL$9)),$AN$9-SQRT((1-AX732)*($AN$9-$AL$9)*($AN$9-$AM$9))),$AM$9)</f>
        <v/>
      </c>
      <c r="AP732">
        <f>IFERROR(IF(AY732&lt;($AM$10-$AL$10)/($AN$10-$AL$10),$AL$10+SQRT(AY732*($AN$10-$AL$10)*($AM$10-$AL$10)),$AN$10-SQRT((1-AY732)*($AN$10-$AL$10)*($AN$10-$AM$10))),$AM$10)</f>
        <v/>
      </c>
      <c r="AQ732">
        <f>IFERROR(IF(AZ732&lt;($AM$11-$AL$11)/($AN$11-$AL$11),$AL$11+SQRT(AZ732*($AN$11-$AL$11)*($AM$11-$AL$11)),$AN$11-SQRT((1-AZ732)*($AN$11-$AL$11)*($AN$11-$AM$11))),$AM$11)</f>
        <v/>
      </c>
      <c r="AR732">
        <f>SUMPRODUCT((B24:B31&lt;=$B$6)*(C24:C31*AM732+D24:D31*AO732*$B$8*AQ732)/(1+AL732/100)^B24:B31)+C32*AM732*AP732/(1+AL732/100)^$B$6</f>
        <v/>
      </c>
      <c r="AS732">
        <f>SUMPRODUCT((K24:K26&lt;=$B$6)*(L24:L26*AN732+M24:M26*AO732*$B$8*AQ732)/(1+AL732/100)^K24:K26)+L27*AN732*AP732/(1+AL732/100)^$B$6</f>
        <v/>
      </c>
      <c r="AT732">
        <f>AS732-AR732</f>
        <v/>
      </c>
      <c r="AU732">
        <f>RAND()</f>
        <v/>
      </c>
      <c r="AV732">
        <f>RAND()</f>
        <v/>
      </c>
      <c r="AW732">
        <f>RAND()</f>
        <v/>
      </c>
      <c r="AX732">
        <f>RAND()</f>
        <v/>
      </c>
      <c r="AY732">
        <f>RAND()</f>
        <v/>
      </c>
      <c r="AZ732">
        <f>RAND()</f>
        <v/>
      </c>
    </row>
    <row r="733">
      <c r="AK733" t="n">
        <v>720</v>
      </c>
      <c r="AL733">
        <f>IFERROR(IF(AU733&lt;($AM$6-$AL$6)/($AN$6-$AL$6),$AL$6+SQRT(AU733*($AN$6-$AL$6)*($AM$6-$AL$6)),$AN$6-SQRT((1-AU733)*($AN$6-$AL$6)*($AN$6-$AM$6))),$AM$6)</f>
        <v/>
      </c>
      <c r="AM733">
        <f>IFERROR(IF(AV733&lt;($AM$7-$AL$7)/($AN$7-$AL$7),$AL$7+SQRT(AV733*($AN$7-$AL$7)*($AM$7-$AL$7)),$AN$7-SQRT((1-AV733)*($AN$7-$AL$7)*($AN$7-$AM$7))),$AM$7)</f>
        <v/>
      </c>
      <c r="AN733">
        <f>IFERROR(IF(AW733&lt;($AM$8-$AL$8)/($AN$8-$AL$8),$AL$8+SQRT(AW733*($AN$8-$AL$8)*($AM$8-$AL$8)),$AN$8-SQRT((1-AW733)*($AN$8-$AL$8)*($AN$8-$AM$8))),$AM$8)</f>
        <v/>
      </c>
      <c r="AO733">
        <f>IFERROR(IF(AX733&lt;($AM$9-$AL$9)/($AN$9-$AL$9),$AL$9+SQRT(AX733*($AN$9-$AL$9)*($AM$9-$AL$9)),$AN$9-SQRT((1-AX733)*($AN$9-$AL$9)*($AN$9-$AM$9))),$AM$9)</f>
        <v/>
      </c>
      <c r="AP733">
        <f>IFERROR(IF(AY733&lt;($AM$10-$AL$10)/($AN$10-$AL$10),$AL$10+SQRT(AY733*($AN$10-$AL$10)*($AM$10-$AL$10)),$AN$10-SQRT((1-AY733)*($AN$10-$AL$10)*($AN$10-$AM$10))),$AM$10)</f>
        <v/>
      </c>
      <c r="AQ733">
        <f>IFERROR(IF(AZ733&lt;($AM$11-$AL$11)/($AN$11-$AL$11),$AL$11+SQRT(AZ733*($AN$11-$AL$11)*($AM$11-$AL$11)),$AN$11-SQRT((1-AZ733)*($AN$11-$AL$11)*($AN$11-$AM$11))),$AM$11)</f>
        <v/>
      </c>
      <c r="AR733">
        <f>SUMPRODUCT((B24:B31&lt;=$B$6)*(C24:C31*AM733+D24:D31*AO733*$B$8*AQ733)/(1+AL733/100)^B24:B31)+C32*AM733*AP733/(1+AL733/100)^$B$6</f>
        <v/>
      </c>
      <c r="AS733">
        <f>SUMPRODUCT((K24:K26&lt;=$B$6)*(L24:L26*AN733+M24:M26*AO733*$B$8*AQ733)/(1+AL733/100)^K24:K26)+L27*AN733*AP733/(1+AL733/100)^$B$6</f>
        <v/>
      </c>
      <c r="AT733">
        <f>AS733-AR733</f>
        <v/>
      </c>
      <c r="AU733">
        <f>RAND()</f>
        <v/>
      </c>
      <c r="AV733">
        <f>RAND()</f>
        <v/>
      </c>
      <c r="AW733">
        <f>RAND()</f>
        <v/>
      </c>
      <c r="AX733">
        <f>RAND()</f>
        <v/>
      </c>
      <c r="AY733">
        <f>RAND()</f>
        <v/>
      </c>
      <c r="AZ733">
        <f>RAND()</f>
        <v/>
      </c>
    </row>
    <row r="734">
      <c r="AK734" t="n">
        <v>721</v>
      </c>
      <c r="AL734">
        <f>IFERROR(IF(AU734&lt;($AM$6-$AL$6)/($AN$6-$AL$6),$AL$6+SQRT(AU734*($AN$6-$AL$6)*($AM$6-$AL$6)),$AN$6-SQRT((1-AU734)*($AN$6-$AL$6)*($AN$6-$AM$6))),$AM$6)</f>
        <v/>
      </c>
      <c r="AM734">
        <f>IFERROR(IF(AV734&lt;($AM$7-$AL$7)/($AN$7-$AL$7),$AL$7+SQRT(AV734*($AN$7-$AL$7)*($AM$7-$AL$7)),$AN$7-SQRT((1-AV734)*($AN$7-$AL$7)*($AN$7-$AM$7))),$AM$7)</f>
        <v/>
      </c>
      <c r="AN734">
        <f>IFERROR(IF(AW734&lt;($AM$8-$AL$8)/($AN$8-$AL$8),$AL$8+SQRT(AW734*($AN$8-$AL$8)*($AM$8-$AL$8)),$AN$8-SQRT((1-AW734)*($AN$8-$AL$8)*($AN$8-$AM$8))),$AM$8)</f>
        <v/>
      </c>
      <c r="AO734">
        <f>IFERROR(IF(AX734&lt;($AM$9-$AL$9)/($AN$9-$AL$9),$AL$9+SQRT(AX734*($AN$9-$AL$9)*($AM$9-$AL$9)),$AN$9-SQRT((1-AX734)*($AN$9-$AL$9)*($AN$9-$AM$9))),$AM$9)</f>
        <v/>
      </c>
      <c r="AP734">
        <f>IFERROR(IF(AY734&lt;($AM$10-$AL$10)/($AN$10-$AL$10),$AL$10+SQRT(AY734*($AN$10-$AL$10)*($AM$10-$AL$10)),$AN$10-SQRT((1-AY734)*($AN$10-$AL$10)*($AN$10-$AM$10))),$AM$10)</f>
        <v/>
      </c>
      <c r="AQ734">
        <f>IFERROR(IF(AZ734&lt;($AM$11-$AL$11)/($AN$11-$AL$11),$AL$11+SQRT(AZ734*($AN$11-$AL$11)*($AM$11-$AL$11)),$AN$11-SQRT((1-AZ734)*($AN$11-$AL$11)*($AN$11-$AM$11))),$AM$11)</f>
        <v/>
      </c>
      <c r="AR734">
        <f>SUMPRODUCT((B24:B31&lt;=$B$6)*(C24:C31*AM734+D24:D31*AO734*$B$8*AQ734)/(1+AL734/100)^B24:B31)+C32*AM734*AP734/(1+AL734/100)^$B$6</f>
        <v/>
      </c>
      <c r="AS734">
        <f>SUMPRODUCT((K24:K26&lt;=$B$6)*(L24:L26*AN734+M24:M26*AO734*$B$8*AQ734)/(1+AL734/100)^K24:K26)+L27*AN734*AP734/(1+AL734/100)^$B$6</f>
        <v/>
      </c>
      <c r="AT734">
        <f>AS734-AR734</f>
        <v/>
      </c>
      <c r="AU734">
        <f>RAND()</f>
        <v/>
      </c>
      <c r="AV734">
        <f>RAND()</f>
        <v/>
      </c>
      <c r="AW734">
        <f>RAND()</f>
        <v/>
      </c>
      <c r="AX734">
        <f>RAND()</f>
        <v/>
      </c>
      <c r="AY734">
        <f>RAND()</f>
        <v/>
      </c>
      <c r="AZ734">
        <f>RAND()</f>
        <v/>
      </c>
    </row>
    <row r="735">
      <c r="AK735" t="n">
        <v>722</v>
      </c>
      <c r="AL735">
        <f>IFERROR(IF(AU735&lt;($AM$6-$AL$6)/($AN$6-$AL$6),$AL$6+SQRT(AU735*($AN$6-$AL$6)*($AM$6-$AL$6)),$AN$6-SQRT((1-AU735)*($AN$6-$AL$6)*($AN$6-$AM$6))),$AM$6)</f>
        <v/>
      </c>
      <c r="AM735">
        <f>IFERROR(IF(AV735&lt;($AM$7-$AL$7)/($AN$7-$AL$7),$AL$7+SQRT(AV735*($AN$7-$AL$7)*($AM$7-$AL$7)),$AN$7-SQRT((1-AV735)*($AN$7-$AL$7)*($AN$7-$AM$7))),$AM$7)</f>
        <v/>
      </c>
      <c r="AN735">
        <f>IFERROR(IF(AW735&lt;($AM$8-$AL$8)/($AN$8-$AL$8),$AL$8+SQRT(AW735*($AN$8-$AL$8)*($AM$8-$AL$8)),$AN$8-SQRT((1-AW735)*($AN$8-$AL$8)*($AN$8-$AM$8))),$AM$8)</f>
        <v/>
      </c>
      <c r="AO735">
        <f>IFERROR(IF(AX735&lt;($AM$9-$AL$9)/($AN$9-$AL$9),$AL$9+SQRT(AX735*($AN$9-$AL$9)*($AM$9-$AL$9)),$AN$9-SQRT((1-AX735)*($AN$9-$AL$9)*($AN$9-$AM$9))),$AM$9)</f>
        <v/>
      </c>
      <c r="AP735">
        <f>IFERROR(IF(AY735&lt;($AM$10-$AL$10)/($AN$10-$AL$10),$AL$10+SQRT(AY735*($AN$10-$AL$10)*($AM$10-$AL$10)),$AN$10-SQRT((1-AY735)*($AN$10-$AL$10)*($AN$10-$AM$10))),$AM$10)</f>
        <v/>
      </c>
      <c r="AQ735">
        <f>IFERROR(IF(AZ735&lt;($AM$11-$AL$11)/($AN$11-$AL$11),$AL$11+SQRT(AZ735*($AN$11-$AL$11)*($AM$11-$AL$11)),$AN$11-SQRT((1-AZ735)*($AN$11-$AL$11)*($AN$11-$AM$11))),$AM$11)</f>
        <v/>
      </c>
      <c r="AR735">
        <f>SUMPRODUCT((B24:B31&lt;=$B$6)*(C24:C31*AM735+D24:D31*AO735*$B$8*AQ735)/(1+AL735/100)^B24:B31)+C32*AM735*AP735/(1+AL735/100)^$B$6</f>
        <v/>
      </c>
      <c r="AS735">
        <f>SUMPRODUCT((K24:K26&lt;=$B$6)*(L24:L26*AN735+M24:M26*AO735*$B$8*AQ735)/(1+AL735/100)^K24:K26)+L27*AN735*AP735/(1+AL735/100)^$B$6</f>
        <v/>
      </c>
      <c r="AT735">
        <f>AS735-AR735</f>
        <v/>
      </c>
      <c r="AU735">
        <f>RAND()</f>
        <v/>
      </c>
      <c r="AV735">
        <f>RAND()</f>
        <v/>
      </c>
      <c r="AW735">
        <f>RAND()</f>
        <v/>
      </c>
      <c r="AX735">
        <f>RAND()</f>
        <v/>
      </c>
      <c r="AY735">
        <f>RAND()</f>
        <v/>
      </c>
      <c r="AZ735">
        <f>RAND()</f>
        <v/>
      </c>
    </row>
    <row r="736">
      <c r="AK736" t="n">
        <v>723</v>
      </c>
      <c r="AL736">
        <f>IFERROR(IF(AU736&lt;($AM$6-$AL$6)/($AN$6-$AL$6),$AL$6+SQRT(AU736*($AN$6-$AL$6)*($AM$6-$AL$6)),$AN$6-SQRT((1-AU736)*($AN$6-$AL$6)*($AN$6-$AM$6))),$AM$6)</f>
        <v/>
      </c>
      <c r="AM736">
        <f>IFERROR(IF(AV736&lt;($AM$7-$AL$7)/($AN$7-$AL$7),$AL$7+SQRT(AV736*($AN$7-$AL$7)*($AM$7-$AL$7)),$AN$7-SQRT((1-AV736)*($AN$7-$AL$7)*($AN$7-$AM$7))),$AM$7)</f>
        <v/>
      </c>
      <c r="AN736">
        <f>IFERROR(IF(AW736&lt;($AM$8-$AL$8)/($AN$8-$AL$8),$AL$8+SQRT(AW736*($AN$8-$AL$8)*($AM$8-$AL$8)),$AN$8-SQRT((1-AW736)*($AN$8-$AL$8)*($AN$8-$AM$8))),$AM$8)</f>
        <v/>
      </c>
      <c r="AO736">
        <f>IFERROR(IF(AX736&lt;($AM$9-$AL$9)/($AN$9-$AL$9),$AL$9+SQRT(AX736*($AN$9-$AL$9)*($AM$9-$AL$9)),$AN$9-SQRT((1-AX736)*($AN$9-$AL$9)*($AN$9-$AM$9))),$AM$9)</f>
        <v/>
      </c>
      <c r="AP736">
        <f>IFERROR(IF(AY736&lt;($AM$10-$AL$10)/($AN$10-$AL$10),$AL$10+SQRT(AY736*($AN$10-$AL$10)*($AM$10-$AL$10)),$AN$10-SQRT((1-AY736)*($AN$10-$AL$10)*($AN$10-$AM$10))),$AM$10)</f>
        <v/>
      </c>
      <c r="AQ736">
        <f>IFERROR(IF(AZ736&lt;($AM$11-$AL$11)/($AN$11-$AL$11),$AL$11+SQRT(AZ736*($AN$11-$AL$11)*($AM$11-$AL$11)),$AN$11-SQRT((1-AZ736)*($AN$11-$AL$11)*($AN$11-$AM$11))),$AM$11)</f>
        <v/>
      </c>
      <c r="AR736">
        <f>SUMPRODUCT((B24:B31&lt;=$B$6)*(C24:C31*AM736+D24:D31*AO736*$B$8*AQ736)/(1+AL736/100)^B24:B31)+C32*AM736*AP736/(1+AL736/100)^$B$6</f>
        <v/>
      </c>
      <c r="AS736">
        <f>SUMPRODUCT((K24:K26&lt;=$B$6)*(L24:L26*AN736+M24:M26*AO736*$B$8*AQ736)/(1+AL736/100)^K24:K26)+L27*AN736*AP736/(1+AL736/100)^$B$6</f>
        <v/>
      </c>
      <c r="AT736">
        <f>AS736-AR736</f>
        <v/>
      </c>
      <c r="AU736">
        <f>RAND()</f>
        <v/>
      </c>
      <c r="AV736">
        <f>RAND()</f>
        <v/>
      </c>
      <c r="AW736">
        <f>RAND()</f>
        <v/>
      </c>
      <c r="AX736">
        <f>RAND()</f>
        <v/>
      </c>
      <c r="AY736">
        <f>RAND()</f>
        <v/>
      </c>
      <c r="AZ736">
        <f>RAND()</f>
        <v/>
      </c>
    </row>
    <row r="737">
      <c r="AK737" t="n">
        <v>724</v>
      </c>
      <c r="AL737">
        <f>IFERROR(IF(AU737&lt;($AM$6-$AL$6)/($AN$6-$AL$6),$AL$6+SQRT(AU737*($AN$6-$AL$6)*($AM$6-$AL$6)),$AN$6-SQRT((1-AU737)*($AN$6-$AL$6)*($AN$6-$AM$6))),$AM$6)</f>
        <v/>
      </c>
      <c r="AM737">
        <f>IFERROR(IF(AV737&lt;($AM$7-$AL$7)/($AN$7-$AL$7),$AL$7+SQRT(AV737*($AN$7-$AL$7)*($AM$7-$AL$7)),$AN$7-SQRT((1-AV737)*($AN$7-$AL$7)*($AN$7-$AM$7))),$AM$7)</f>
        <v/>
      </c>
      <c r="AN737">
        <f>IFERROR(IF(AW737&lt;($AM$8-$AL$8)/($AN$8-$AL$8),$AL$8+SQRT(AW737*($AN$8-$AL$8)*($AM$8-$AL$8)),$AN$8-SQRT((1-AW737)*($AN$8-$AL$8)*($AN$8-$AM$8))),$AM$8)</f>
        <v/>
      </c>
      <c r="AO737">
        <f>IFERROR(IF(AX737&lt;($AM$9-$AL$9)/($AN$9-$AL$9),$AL$9+SQRT(AX737*($AN$9-$AL$9)*($AM$9-$AL$9)),$AN$9-SQRT((1-AX737)*($AN$9-$AL$9)*($AN$9-$AM$9))),$AM$9)</f>
        <v/>
      </c>
      <c r="AP737">
        <f>IFERROR(IF(AY737&lt;($AM$10-$AL$10)/($AN$10-$AL$10),$AL$10+SQRT(AY737*($AN$10-$AL$10)*($AM$10-$AL$10)),$AN$10-SQRT((1-AY737)*($AN$10-$AL$10)*($AN$10-$AM$10))),$AM$10)</f>
        <v/>
      </c>
      <c r="AQ737">
        <f>IFERROR(IF(AZ737&lt;($AM$11-$AL$11)/($AN$11-$AL$11),$AL$11+SQRT(AZ737*($AN$11-$AL$11)*($AM$11-$AL$11)),$AN$11-SQRT((1-AZ737)*($AN$11-$AL$11)*($AN$11-$AM$11))),$AM$11)</f>
        <v/>
      </c>
      <c r="AR737">
        <f>SUMPRODUCT((B24:B31&lt;=$B$6)*(C24:C31*AM737+D24:D31*AO737*$B$8*AQ737)/(1+AL737/100)^B24:B31)+C32*AM737*AP737/(1+AL737/100)^$B$6</f>
        <v/>
      </c>
      <c r="AS737">
        <f>SUMPRODUCT((K24:K26&lt;=$B$6)*(L24:L26*AN737+M24:M26*AO737*$B$8*AQ737)/(1+AL737/100)^K24:K26)+L27*AN737*AP737/(1+AL737/100)^$B$6</f>
        <v/>
      </c>
      <c r="AT737">
        <f>AS737-AR737</f>
        <v/>
      </c>
      <c r="AU737">
        <f>RAND()</f>
        <v/>
      </c>
      <c r="AV737">
        <f>RAND()</f>
        <v/>
      </c>
      <c r="AW737">
        <f>RAND()</f>
        <v/>
      </c>
      <c r="AX737">
        <f>RAND()</f>
        <v/>
      </c>
      <c r="AY737">
        <f>RAND()</f>
        <v/>
      </c>
      <c r="AZ737">
        <f>RAND()</f>
        <v/>
      </c>
    </row>
    <row r="738">
      <c r="AK738" t="n">
        <v>725</v>
      </c>
      <c r="AL738">
        <f>IFERROR(IF(AU738&lt;($AM$6-$AL$6)/($AN$6-$AL$6),$AL$6+SQRT(AU738*($AN$6-$AL$6)*($AM$6-$AL$6)),$AN$6-SQRT((1-AU738)*($AN$6-$AL$6)*($AN$6-$AM$6))),$AM$6)</f>
        <v/>
      </c>
      <c r="AM738">
        <f>IFERROR(IF(AV738&lt;($AM$7-$AL$7)/($AN$7-$AL$7),$AL$7+SQRT(AV738*($AN$7-$AL$7)*($AM$7-$AL$7)),$AN$7-SQRT((1-AV738)*($AN$7-$AL$7)*($AN$7-$AM$7))),$AM$7)</f>
        <v/>
      </c>
      <c r="AN738">
        <f>IFERROR(IF(AW738&lt;($AM$8-$AL$8)/($AN$8-$AL$8),$AL$8+SQRT(AW738*($AN$8-$AL$8)*($AM$8-$AL$8)),$AN$8-SQRT((1-AW738)*($AN$8-$AL$8)*($AN$8-$AM$8))),$AM$8)</f>
        <v/>
      </c>
      <c r="AO738">
        <f>IFERROR(IF(AX738&lt;($AM$9-$AL$9)/($AN$9-$AL$9),$AL$9+SQRT(AX738*($AN$9-$AL$9)*($AM$9-$AL$9)),$AN$9-SQRT((1-AX738)*($AN$9-$AL$9)*($AN$9-$AM$9))),$AM$9)</f>
        <v/>
      </c>
      <c r="AP738">
        <f>IFERROR(IF(AY738&lt;($AM$10-$AL$10)/($AN$10-$AL$10),$AL$10+SQRT(AY738*($AN$10-$AL$10)*($AM$10-$AL$10)),$AN$10-SQRT((1-AY738)*($AN$10-$AL$10)*($AN$10-$AM$10))),$AM$10)</f>
        <v/>
      </c>
      <c r="AQ738">
        <f>IFERROR(IF(AZ738&lt;($AM$11-$AL$11)/($AN$11-$AL$11),$AL$11+SQRT(AZ738*($AN$11-$AL$11)*($AM$11-$AL$11)),$AN$11-SQRT((1-AZ738)*($AN$11-$AL$11)*($AN$11-$AM$11))),$AM$11)</f>
        <v/>
      </c>
      <c r="AR738">
        <f>SUMPRODUCT((B24:B31&lt;=$B$6)*(C24:C31*AM738+D24:D31*AO738*$B$8*AQ738)/(1+AL738/100)^B24:B31)+C32*AM738*AP738/(1+AL738/100)^$B$6</f>
        <v/>
      </c>
      <c r="AS738">
        <f>SUMPRODUCT((K24:K26&lt;=$B$6)*(L24:L26*AN738+M24:M26*AO738*$B$8*AQ738)/(1+AL738/100)^K24:K26)+L27*AN738*AP738/(1+AL738/100)^$B$6</f>
        <v/>
      </c>
      <c r="AT738">
        <f>AS738-AR738</f>
        <v/>
      </c>
      <c r="AU738">
        <f>RAND()</f>
        <v/>
      </c>
      <c r="AV738">
        <f>RAND()</f>
        <v/>
      </c>
      <c r="AW738">
        <f>RAND()</f>
        <v/>
      </c>
      <c r="AX738">
        <f>RAND()</f>
        <v/>
      </c>
      <c r="AY738">
        <f>RAND()</f>
        <v/>
      </c>
      <c r="AZ738">
        <f>RAND()</f>
        <v/>
      </c>
    </row>
    <row r="739">
      <c r="AK739" t="n">
        <v>726</v>
      </c>
      <c r="AL739">
        <f>IFERROR(IF(AU739&lt;($AM$6-$AL$6)/($AN$6-$AL$6),$AL$6+SQRT(AU739*($AN$6-$AL$6)*($AM$6-$AL$6)),$AN$6-SQRT((1-AU739)*($AN$6-$AL$6)*($AN$6-$AM$6))),$AM$6)</f>
        <v/>
      </c>
      <c r="AM739">
        <f>IFERROR(IF(AV739&lt;($AM$7-$AL$7)/($AN$7-$AL$7),$AL$7+SQRT(AV739*($AN$7-$AL$7)*($AM$7-$AL$7)),$AN$7-SQRT((1-AV739)*($AN$7-$AL$7)*($AN$7-$AM$7))),$AM$7)</f>
        <v/>
      </c>
      <c r="AN739">
        <f>IFERROR(IF(AW739&lt;($AM$8-$AL$8)/($AN$8-$AL$8),$AL$8+SQRT(AW739*($AN$8-$AL$8)*($AM$8-$AL$8)),$AN$8-SQRT((1-AW739)*($AN$8-$AL$8)*($AN$8-$AM$8))),$AM$8)</f>
        <v/>
      </c>
      <c r="AO739">
        <f>IFERROR(IF(AX739&lt;($AM$9-$AL$9)/($AN$9-$AL$9),$AL$9+SQRT(AX739*($AN$9-$AL$9)*($AM$9-$AL$9)),$AN$9-SQRT((1-AX739)*($AN$9-$AL$9)*($AN$9-$AM$9))),$AM$9)</f>
        <v/>
      </c>
      <c r="AP739">
        <f>IFERROR(IF(AY739&lt;($AM$10-$AL$10)/($AN$10-$AL$10),$AL$10+SQRT(AY739*($AN$10-$AL$10)*($AM$10-$AL$10)),$AN$10-SQRT((1-AY739)*($AN$10-$AL$10)*($AN$10-$AM$10))),$AM$10)</f>
        <v/>
      </c>
      <c r="AQ739">
        <f>IFERROR(IF(AZ739&lt;($AM$11-$AL$11)/($AN$11-$AL$11),$AL$11+SQRT(AZ739*($AN$11-$AL$11)*($AM$11-$AL$11)),$AN$11-SQRT((1-AZ739)*($AN$11-$AL$11)*($AN$11-$AM$11))),$AM$11)</f>
        <v/>
      </c>
      <c r="AR739">
        <f>SUMPRODUCT((B24:B31&lt;=$B$6)*(C24:C31*AM739+D24:D31*AO739*$B$8*AQ739)/(1+AL739/100)^B24:B31)+C32*AM739*AP739/(1+AL739/100)^$B$6</f>
        <v/>
      </c>
      <c r="AS739">
        <f>SUMPRODUCT((K24:K26&lt;=$B$6)*(L24:L26*AN739+M24:M26*AO739*$B$8*AQ739)/(1+AL739/100)^K24:K26)+L27*AN739*AP739/(1+AL739/100)^$B$6</f>
        <v/>
      </c>
      <c r="AT739">
        <f>AS739-AR739</f>
        <v/>
      </c>
      <c r="AU739">
        <f>RAND()</f>
        <v/>
      </c>
      <c r="AV739">
        <f>RAND()</f>
        <v/>
      </c>
      <c r="AW739">
        <f>RAND()</f>
        <v/>
      </c>
      <c r="AX739">
        <f>RAND()</f>
        <v/>
      </c>
      <c r="AY739">
        <f>RAND()</f>
        <v/>
      </c>
      <c r="AZ739">
        <f>RAND()</f>
        <v/>
      </c>
    </row>
    <row r="740">
      <c r="AK740" t="n">
        <v>727</v>
      </c>
      <c r="AL740">
        <f>IFERROR(IF(AU740&lt;($AM$6-$AL$6)/($AN$6-$AL$6),$AL$6+SQRT(AU740*($AN$6-$AL$6)*($AM$6-$AL$6)),$AN$6-SQRT((1-AU740)*($AN$6-$AL$6)*($AN$6-$AM$6))),$AM$6)</f>
        <v/>
      </c>
      <c r="AM740">
        <f>IFERROR(IF(AV740&lt;($AM$7-$AL$7)/($AN$7-$AL$7),$AL$7+SQRT(AV740*($AN$7-$AL$7)*($AM$7-$AL$7)),$AN$7-SQRT((1-AV740)*($AN$7-$AL$7)*($AN$7-$AM$7))),$AM$7)</f>
        <v/>
      </c>
      <c r="AN740">
        <f>IFERROR(IF(AW740&lt;($AM$8-$AL$8)/($AN$8-$AL$8),$AL$8+SQRT(AW740*($AN$8-$AL$8)*($AM$8-$AL$8)),$AN$8-SQRT((1-AW740)*($AN$8-$AL$8)*($AN$8-$AM$8))),$AM$8)</f>
        <v/>
      </c>
      <c r="AO740">
        <f>IFERROR(IF(AX740&lt;($AM$9-$AL$9)/($AN$9-$AL$9),$AL$9+SQRT(AX740*($AN$9-$AL$9)*($AM$9-$AL$9)),$AN$9-SQRT((1-AX740)*($AN$9-$AL$9)*($AN$9-$AM$9))),$AM$9)</f>
        <v/>
      </c>
      <c r="AP740">
        <f>IFERROR(IF(AY740&lt;($AM$10-$AL$10)/($AN$10-$AL$10),$AL$10+SQRT(AY740*($AN$10-$AL$10)*($AM$10-$AL$10)),$AN$10-SQRT((1-AY740)*($AN$10-$AL$10)*($AN$10-$AM$10))),$AM$10)</f>
        <v/>
      </c>
      <c r="AQ740">
        <f>IFERROR(IF(AZ740&lt;($AM$11-$AL$11)/($AN$11-$AL$11),$AL$11+SQRT(AZ740*($AN$11-$AL$11)*($AM$11-$AL$11)),$AN$11-SQRT((1-AZ740)*($AN$11-$AL$11)*($AN$11-$AM$11))),$AM$11)</f>
        <v/>
      </c>
      <c r="AR740">
        <f>SUMPRODUCT((B24:B31&lt;=$B$6)*(C24:C31*AM740+D24:D31*AO740*$B$8*AQ740)/(1+AL740/100)^B24:B31)+C32*AM740*AP740/(1+AL740/100)^$B$6</f>
        <v/>
      </c>
      <c r="AS740">
        <f>SUMPRODUCT((K24:K26&lt;=$B$6)*(L24:L26*AN740+M24:M26*AO740*$B$8*AQ740)/(1+AL740/100)^K24:K26)+L27*AN740*AP740/(1+AL740/100)^$B$6</f>
        <v/>
      </c>
      <c r="AT740">
        <f>AS740-AR740</f>
        <v/>
      </c>
      <c r="AU740">
        <f>RAND()</f>
        <v/>
      </c>
      <c r="AV740">
        <f>RAND()</f>
        <v/>
      </c>
      <c r="AW740">
        <f>RAND()</f>
        <v/>
      </c>
      <c r="AX740">
        <f>RAND()</f>
        <v/>
      </c>
      <c r="AY740">
        <f>RAND()</f>
        <v/>
      </c>
      <c r="AZ740">
        <f>RAND()</f>
        <v/>
      </c>
    </row>
    <row r="741">
      <c r="AK741" t="n">
        <v>728</v>
      </c>
      <c r="AL741">
        <f>IFERROR(IF(AU741&lt;($AM$6-$AL$6)/($AN$6-$AL$6),$AL$6+SQRT(AU741*($AN$6-$AL$6)*($AM$6-$AL$6)),$AN$6-SQRT((1-AU741)*($AN$6-$AL$6)*($AN$6-$AM$6))),$AM$6)</f>
        <v/>
      </c>
      <c r="AM741">
        <f>IFERROR(IF(AV741&lt;($AM$7-$AL$7)/($AN$7-$AL$7),$AL$7+SQRT(AV741*($AN$7-$AL$7)*($AM$7-$AL$7)),$AN$7-SQRT((1-AV741)*($AN$7-$AL$7)*($AN$7-$AM$7))),$AM$7)</f>
        <v/>
      </c>
      <c r="AN741">
        <f>IFERROR(IF(AW741&lt;($AM$8-$AL$8)/($AN$8-$AL$8),$AL$8+SQRT(AW741*($AN$8-$AL$8)*($AM$8-$AL$8)),$AN$8-SQRT((1-AW741)*($AN$8-$AL$8)*($AN$8-$AM$8))),$AM$8)</f>
        <v/>
      </c>
      <c r="AO741">
        <f>IFERROR(IF(AX741&lt;($AM$9-$AL$9)/($AN$9-$AL$9),$AL$9+SQRT(AX741*($AN$9-$AL$9)*($AM$9-$AL$9)),$AN$9-SQRT((1-AX741)*($AN$9-$AL$9)*($AN$9-$AM$9))),$AM$9)</f>
        <v/>
      </c>
      <c r="AP741">
        <f>IFERROR(IF(AY741&lt;($AM$10-$AL$10)/($AN$10-$AL$10),$AL$10+SQRT(AY741*($AN$10-$AL$10)*($AM$10-$AL$10)),$AN$10-SQRT((1-AY741)*($AN$10-$AL$10)*($AN$10-$AM$10))),$AM$10)</f>
        <v/>
      </c>
      <c r="AQ741">
        <f>IFERROR(IF(AZ741&lt;($AM$11-$AL$11)/($AN$11-$AL$11),$AL$11+SQRT(AZ741*($AN$11-$AL$11)*($AM$11-$AL$11)),$AN$11-SQRT((1-AZ741)*($AN$11-$AL$11)*($AN$11-$AM$11))),$AM$11)</f>
        <v/>
      </c>
      <c r="AR741">
        <f>SUMPRODUCT((B24:B31&lt;=$B$6)*(C24:C31*AM741+D24:D31*AO741*$B$8*AQ741)/(1+AL741/100)^B24:B31)+C32*AM741*AP741/(1+AL741/100)^$B$6</f>
        <v/>
      </c>
      <c r="AS741">
        <f>SUMPRODUCT((K24:K26&lt;=$B$6)*(L24:L26*AN741+M24:M26*AO741*$B$8*AQ741)/(1+AL741/100)^K24:K26)+L27*AN741*AP741/(1+AL741/100)^$B$6</f>
        <v/>
      </c>
      <c r="AT741">
        <f>AS741-AR741</f>
        <v/>
      </c>
      <c r="AU741">
        <f>RAND()</f>
        <v/>
      </c>
      <c r="AV741">
        <f>RAND()</f>
        <v/>
      </c>
      <c r="AW741">
        <f>RAND()</f>
        <v/>
      </c>
      <c r="AX741">
        <f>RAND()</f>
        <v/>
      </c>
      <c r="AY741">
        <f>RAND()</f>
        <v/>
      </c>
      <c r="AZ741">
        <f>RAND()</f>
        <v/>
      </c>
    </row>
    <row r="742">
      <c r="AK742" t="n">
        <v>729</v>
      </c>
      <c r="AL742">
        <f>IFERROR(IF(AU742&lt;($AM$6-$AL$6)/($AN$6-$AL$6),$AL$6+SQRT(AU742*($AN$6-$AL$6)*($AM$6-$AL$6)),$AN$6-SQRT((1-AU742)*($AN$6-$AL$6)*($AN$6-$AM$6))),$AM$6)</f>
        <v/>
      </c>
      <c r="AM742">
        <f>IFERROR(IF(AV742&lt;($AM$7-$AL$7)/($AN$7-$AL$7),$AL$7+SQRT(AV742*($AN$7-$AL$7)*($AM$7-$AL$7)),$AN$7-SQRT((1-AV742)*($AN$7-$AL$7)*($AN$7-$AM$7))),$AM$7)</f>
        <v/>
      </c>
      <c r="AN742">
        <f>IFERROR(IF(AW742&lt;($AM$8-$AL$8)/($AN$8-$AL$8),$AL$8+SQRT(AW742*($AN$8-$AL$8)*($AM$8-$AL$8)),$AN$8-SQRT((1-AW742)*($AN$8-$AL$8)*($AN$8-$AM$8))),$AM$8)</f>
        <v/>
      </c>
      <c r="AO742">
        <f>IFERROR(IF(AX742&lt;($AM$9-$AL$9)/($AN$9-$AL$9),$AL$9+SQRT(AX742*($AN$9-$AL$9)*($AM$9-$AL$9)),$AN$9-SQRT((1-AX742)*($AN$9-$AL$9)*($AN$9-$AM$9))),$AM$9)</f>
        <v/>
      </c>
      <c r="AP742">
        <f>IFERROR(IF(AY742&lt;($AM$10-$AL$10)/($AN$10-$AL$10),$AL$10+SQRT(AY742*($AN$10-$AL$10)*($AM$10-$AL$10)),$AN$10-SQRT((1-AY742)*($AN$10-$AL$10)*($AN$10-$AM$10))),$AM$10)</f>
        <v/>
      </c>
      <c r="AQ742">
        <f>IFERROR(IF(AZ742&lt;($AM$11-$AL$11)/($AN$11-$AL$11),$AL$11+SQRT(AZ742*($AN$11-$AL$11)*($AM$11-$AL$11)),$AN$11-SQRT((1-AZ742)*($AN$11-$AL$11)*($AN$11-$AM$11))),$AM$11)</f>
        <v/>
      </c>
      <c r="AR742">
        <f>SUMPRODUCT((B24:B31&lt;=$B$6)*(C24:C31*AM742+D24:D31*AO742*$B$8*AQ742)/(1+AL742/100)^B24:B31)+C32*AM742*AP742/(1+AL742/100)^$B$6</f>
        <v/>
      </c>
      <c r="AS742">
        <f>SUMPRODUCT((K24:K26&lt;=$B$6)*(L24:L26*AN742+M24:M26*AO742*$B$8*AQ742)/(1+AL742/100)^K24:K26)+L27*AN742*AP742/(1+AL742/100)^$B$6</f>
        <v/>
      </c>
      <c r="AT742">
        <f>AS742-AR742</f>
        <v/>
      </c>
      <c r="AU742">
        <f>RAND()</f>
        <v/>
      </c>
      <c r="AV742">
        <f>RAND()</f>
        <v/>
      </c>
      <c r="AW742">
        <f>RAND()</f>
        <v/>
      </c>
      <c r="AX742">
        <f>RAND()</f>
        <v/>
      </c>
      <c r="AY742">
        <f>RAND()</f>
        <v/>
      </c>
      <c r="AZ742">
        <f>RAND()</f>
        <v/>
      </c>
    </row>
    <row r="743">
      <c r="AK743" t="n">
        <v>730</v>
      </c>
      <c r="AL743">
        <f>IFERROR(IF(AU743&lt;($AM$6-$AL$6)/($AN$6-$AL$6),$AL$6+SQRT(AU743*($AN$6-$AL$6)*($AM$6-$AL$6)),$AN$6-SQRT((1-AU743)*($AN$6-$AL$6)*($AN$6-$AM$6))),$AM$6)</f>
        <v/>
      </c>
      <c r="AM743">
        <f>IFERROR(IF(AV743&lt;($AM$7-$AL$7)/($AN$7-$AL$7),$AL$7+SQRT(AV743*($AN$7-$AL$7)*($AM$7-$AL$7)),$AN$7-SQRT((1-AV743)*($AN$7-$AL$7)*($AN$7-$AM$7))),$AM$7)</f>
        <v/>
      </c>
      <c r="AN743">
        <f>IFERROR(IF(AW743&lt;($AM$8-$AL$8)/($AN$8-$AL$8),$AL$8+SQRT(AW743*($AN$8-$AL$8)*($AM$8-$AL$8)),$AN$8-SQRT((1-AW743)*($AN$8-$AL$8)*($AN$8-$AM$8))),$AM$8)</f>
        <v/>
      </c>
      <c r="AO743">
        <f>IFERROR(IF(AX743&lt;($AM$9-$AL$9)/($AN$9-$AL$9),$AL$9+SQRT(AX743*($AN$9-$AL$9)*($AM$9-$AL$9)),$AN$9-SQRT((1-AX743)*($AN$9-$AL$9)*($AN$9-$AM$9))),$AM$9)</f>
        <v/>
      </c>
      <c r="AP743">
        <f>IFERROR(IF(AY743&lt;($AM$10-$AL$10)/($AN$10-$AL$10),$AL$10+SQRT(AY743*($AN$10-$AL$10)*($AM$10-$AL$10)),$AN$10-SQRT((1-AY743)*($AN$10-$AL$10)*($AN$10-$AM$10))),$AM$10)</f>
        <v/>
      </c>
      <c r="AQ743">
        <f>IFERROR(IF(AZ743&lt;($AM$11-$AL$11)/($AN$11-$AL$11),$AL$11+SQRT(AZ743*($AN$11-$AL$11)*($AM$11-$AL$11)),$AN$11-SQRT((1-AZ743)*($AN$11-$AL$11)*($AN$11-$AM$11))),$AM$11)</f>
        <v/>
      </c>
      <c r="AR743">
        <f>SUMPRODUCT((B24:B31&lt;=$B$6)*(C24:C31*AM743+D24:D31*AO743*$B$8*AQ743)/(1+AL743/100)^B24:B31)+C32*AM743*AP743/(1+AL743/100)^$B$6</f>
        <v/>
      </c>
      <c r="AS743">
        <f>SUMPRODUCT((K24:K26&lt;=$B$6)*(L24:L26*AN743+M24:M26*AO743*$B$8*AQ743)/(1+AL743/100)^K24:K26)+L27*AN743*AP743/(1+AL743/100)^$B$6</f>
        <v/>
      </c>
      <c r="AT743">
        <f>AS743-AR743</f>
        <v/>
      </c>
      <c r="AU743">
        <f>RAND()</f>
        <v/>
      </c>
      <c r="AV743">
        <f>RAND()</f>
        <v/>
      </c>
      <c r="AW743">
        <f>RAND()</f>
        <v/>
      </c>
      <c r="AX743">
        <f>RAND()</f>
        <v/>
      </c>
      <c r="AY743">
        <f>RAND()</f>
        <v/>
      </c>
      <c r="AZ743">
        <f>RAND()</f>
        <v/>
      </c>
    </row>
    <row r="744">
      <c r="AK744" t="n">
        <v>731</v>
      </c>
      <c r="AL744">
        <f>IFERROR(IF(AU744&lt;($AM$6-$AL$6)/($AN$6-$AL$6),$AL$6+SQRT(AU744*($AN$6-$AL$6)*($AM$6-$AL$6)),$AN$6-SQRT((1-AU744)*($AN$6-$AL$6)*($AN$6-$AM$6))),$AM$6)</f>
        <v/>
      </c>
      <c r="AM744">
        <f>IFERROR(IF(AV744&lt;($AM$7-$AL$7)/($AN$7-$AL$7),$AL$7+SQRT(AV744*($AN$7-$AL$7)*($AM$7-$AL$7)),$AN$7-SQRT((1-AV744)*($AN$7-$AL$7)*($AN$7-$AM$7))),$AM$7)</f>
        <v/>
      </c>
      <c r="AN744">
        <f>IFERROR(IF(AW744&lt;($AM$8-$AL$8)/($AN$8-$AL$8),$AL$8+SQRT(AW744*($AN$8-$AL$8)*($AM$8-$AL$8)),$AN$8-SQRT((1-AW744)*($AN$8-$AL$8)*($AN$8-$AM$8))),$AM$8)</f>
        <v/>
      </c>
      <c r="AO744">
        <f>IFERROR(IF(AX744&lt;($AM$9-$AL$9)/($AN$9-$AL$9),$AL$9+SQRT(AX744*($AN$9-$AL$9)*($AM$9-$AL$9)),$AN$9-SQRT((1-AX744)*($AN$9-$AL$9)*($AN$9-$AM$9))),$AM$9)</f>
        <v/>
      </c>
      <c r="AP744">
        <f>IFERROR(IF(AY744&lt;($AM$10-$AL$10)/($AN$10-$AL$10),$AL$10+SQRT(AY744*($AN$10-$AL$10)*($AM$10-$AL$10)),$AN$10-SQRT((1-AY744)*($AN$10-$AL$10)*($AN$10-$AM$10))),$AM$10)</f>
        <v/>
      </c>
      <c r="AQ744">
        <f>IFERROR(IF(AZ744&lt;($AM$11-$AL$11)/($AN$11-$AL$11),$AL$11+SQRT(AZ744*($AN$11-$AL$11)*($AM$11-$AL$11)),$AN$11-SQRT((1-AZ744)*($AN$11-$AL$11)*($AN$11-$AM$11))),$AM$11)</f>
        <v/>
      </c>
      <c r="AR744">
        <f>SUMPRODUCT((B24:B31&lt;=$B$6)*(C24:C31*AM744+D24:D31*AO744*$B$8*AQ744)/(1+AL744/100)^B24:B31)+C32*AM744*AP744/(1+AL744/100)^$B$6</f>
        <v/>
      </c>
      <c r="AS744">
        <f>SUMPRODUCT((K24:K26&lt;=$B$6)*(L24:L26*AN744+M24:M26*AO744*$B$8*AQ744)/(1+AL744/100)^K24:K26)+L27*AN744*AP744/(1+AL744/100)^$B$6</f>
        <v/>
      </c>
      <c r="AT744">
        <f>AS744-AR744</f>
        <v/>
      </c>
      <c r="AU744">
        <f>RAND()</f>
        <v/>
      </c>
      <c r="AV744">
        <f>RAND()</f>
        <v/>
      </c>
      <c r="AW744">
        <f>RAND()</f>
        <v/>
      </c>
      <c r="AX744">
        <f>RAND()</f>
        <v/>
      </c>
      <c r="AY744">
        <f>RAND()</f>
        <v/>
      </c>
      <c r="AZ744">
        <f>RAND()</f>
        <v/>
      </c>
    </row>
    <row r="745">
      <c r="AK745" t="n">
        <v>732</v>
      </c>
      <c r="AL745">
        <f>IFERROR(IF(AU745&lt;($AM$6-$AL$6)/($AN$6-$AL$6),$AL$6+SQRT(AU745*($AN$6-$AL$6)*($AM$6-$AL$6)),$AN$6-SQRT((1-AU745)*($AN$6-$AL$6)*($AN$6-$AM$6))),$AM$6)</f>
        <v/>
      </c>
      <c r="AM745">
        <f>IFERROR(IF(AV745&lt;($AM$7-$AL$7)/($AN$7-$AL$7),$AL$7+SQRT(AV745*($AN$7-$AL$7)*($AM$7-$AL$7)),$AN$7-SQRT((1-AV745)*($AN$7-$AL$7)*($AN$7-$AM$7))),$AM$7)</f>
        <v/>
      </c>
      <c r="AN745">
        <f>IFERROR(IF(AW745&lt;($AM$8-$AL$8)/($AN$8-$AL$8),$AL$8+SQRT(AW745*($AN$8-$AL$8)*($AM$8-$AL$8)),$AN$8-SQRT((1-AW745)*($AN$8-$AL$8)*($AN$8-$AM$8))),$AM$8)</f>
        <v/>
      </c>
      <c r="AO745">
        <f>IFERROR(IF(AX745&lt;($AM$9-$AL$9)/($AN$9-$AL$9),$AL$9+SQRT(AX745*($AN$9-$AL$9)*($AM$9-$AL$9)),$AN$9-SQRT((1-AX745)*($AN$9-$AL$9)*($AN$9-$AM$9))),$AM$9)</f>
        <v/>
      </c>
      <c r="AP745">
        <f>IFERROR(IF(AY745&lt;($AM$10-$AL$10)/($AN$10-$AL$10),$AL$10+SQRT(AY745*($AN$10-$AL$10)*($AM$10-$AL$10)),$AN$10-SQRT((1-AY745)*($AN$10-$AL$10)*($AN$10-$AM$10))),$AM$10)</f>
        <v/>
      </c>
      <c r="AQ745">
        <f>IFERROR(IF(AZ745&lt;($AM$11-$AL$11)/($AN$11-$AL$11),$AL$11+SQRT(AZ745*($AN$11-$AL$11)*($AM$11-$AL$11)),$AN$11-SQRT((1-AZ745)*($AN$11-$AL$11)*($AN$11-$AM$11))),$AM$11)</f>
        <v/>
      </c>
      <c r="AR745">
        <f>SUMPRODUCT((B24:B31&lt;=$B$6)*(C24:C31*AM745+D24:D31*AO745*$B$8*AQ745)/(1+AL745/100)^B24:B31)+C32*AM745*AP745/(1+AL745/100)^$B$6</f>
        <v/>
      </c>
      <c r="AS745">
        <f>SUMPRODUCT((K24:K26&lt;=$B$6)*(L24:L26*AN745+M24:M26*AO745*$B$8*AQ745)/(1+AL745/100)^K24:K26)+L27*AN745*AP745/(1+AL745/100)^$B$6</f>
        <v/>
      </c>
      <c r="AT745">
        <f>AS745-AR745</f>
        <v/>
      </c>
      <c r="AU745">
        <f>RAND()</f>
        <v/>
      </c>
      <c r="AV745">
        <f>RAND()</f>
        <v/>
      </c>
      <c r="AW745">
        <f>RAND()</f>
        <v/>
      </c>
      <c r="AX745">
        <f>RAND()</f>
        <v/>
      </c>
      <c r="AY745">
        <f>RAND()</f>
        <v/>
      </c>
      <c r="AZ745">
        <f>RAND()</f>
        <v/>
      </c>
    </row>
    <row r="746">
      <c r="AK746" t="n">
        <v>733</v>
      </c>
      <c r="AL746">
        <f>IFERROR(IF(AU746&lt;($AM$6-$AL$6)/($AN$6-$AL$6),$AL$6+SQRT(AU746*($AN$6-$AL$6)*($AM$6-$AL$6)),$AN$6-SQRT((1-AU746)*($AN$6-$AL$6)*($AN$6-$AM$6))),$AM$6)</f>
        <v/>
      </c>
      <c r="AM746">
        <f>IFERROR(IF(AV746&lt;($AM$7-$AL$7)/($AN$7-$AL$7),$AL$7+SQRT(AV746*($AN$7-$AL$7)*($AM$7-$AL$7)),$AN$7-SQRT((1-AV746)*($AN$7-$AL$7)*($AN$7-$AM$7))),$AM$7)</f>
        <v/>
      </c>
      <c r="AN746">
        <f>IFERROR(IF(AW746&lt;($AM$8-$AL$8)/($AN$8-$AL$8),$AL$8+SQRT(AW746*($AN$8-$AL$8)*($AM$8-$AL$8)),$AN$8-SQRT((1-AW746)*($AN$8-$AL$8)*($AN$8-$AM$8))),$AM$8)</f>
        <v/>
      </c>
      <c r="AO746">
        <f>IFERROR(IF(AX746&lt;($AM$9-$AL$9)/($AN$9-$AL$9),$AL$9+SQRT(AX746*($AN$9-$AL$9)*($AM$9-$AL$9)),$AN$9-SQRT((1-AX746)*($AN$9-$AL$9)*($AN$9-$AM$9))),$AM$9)</f>
        <v/>
      </c>
      <c r="AP746">
        <f>IFERROR(IF(AY746&lt;($AM$10-$AL$10)/($AN$10-$AL$10),$AL$10+SQRT(AY746*($AN$10-$AL$10)*($AM$10-$AL$10)),$AN$10-SQRT((1-AY746)*($AN$10-$AL$10)*($AN$10-$AM$10))),$AM$10)</f>
        <v/>
      </c>
      <c r="AQ746">
        <f>IFERROR(IF(AZ746&lt;($AM$11-$AL$11)/($AN$11-$AL$11),$AL$11+SQRT(AZ746*($AN$11-$AL$11)*($AM$11-$AL$11)),$AN$11-SQRT((1-AZ746)*($AN$11-$AL$11)*($AN$11-$AM$11))),$AM$11)</f>
        <v/>
      </c>
      <c r="AR746">
        <f>SUMPRODUCT((B24:B31&lt;=$B$6)*(C24:C31*AM746+D24:D31*AO746*$B$8*AQ746)/(1+AL746/100)^B24:B31)+C32*AM746*AP746/(1+AL746/100)^$B$6</f>
        <v/>
      </c>
      <c r="AS746">
        <f>SUMPRODUCT((K24:K26&lt;=$B$6)*(L24:L26*AN746+M24:M26*AO746*$B$8*AQ746)/(1+AL746/100)^K24:K26)+L27*AN746*AP746/(1+AL746/100)^$B$6</f>
        <v/>
      </c>
      <c r="AT746">
        <f>AS746-AR746</f>
        <v/>
      </c>
      <c r="AU746">
        <f>RAND()</f>
        <v/>
      </c>
      <c r="AV746">
        <f>RAND()</f>
        <v/>
      </c>
      <c r="AW746">
        <f>RAND()</f>
        <v/>
      </c>
      <c r="AX746">
        <f>RAND()</f>
        <v/>
      </c>
      <c r="AY746">
        <f>RAND()</f>
        <v/>
      </c>
      <c r="AZ746">
        <f>RAND()</f>
        <v/>
      </c>
    </row>
    <row r="747">
      <c r="AK747" t="n">
        <v>734</v>
      </c>
      <c r="AL747">
        <f>IFERROR(IF(AU747&lt;($AM$6-$AL$6)/($AN$6-$AL$6),$AL$6+SQRT(AU747*($AN$6-$AL$6)*($AM$6-$AL$6)),$AN$6-SQRT((1-AU747)*($AN$6-$AL$6)*($AN$6-$AM$6))),$AM$6)</f>
        <v/>
      </c>
      <c r="AM747">
        <f>IFERROR(IF(AV747&lt;($AM$7-$AL$7)/($AN$7-$AL$7),$AL$7+SQRT(AV747*($AN$7-$AL$7)*($AM$7-$AL$7)),$AN$7-SQRT((1-AV747)*($AN$7-$AL$7)*($AN$7-$AM$7))),$AM$7)</f>
        <v/>
      </c>
      <c r="AN747">
        <f>IFERROR(IF(AW747&lt;($AM$8-$AL$8)/($AN$8-$AL$8),$AL$8+SQRT(AW747*($AN$8-$AL$8)*($AM$8-$AL$8)),$AN$8-SQRT((1-AW747)*($AN$8-$AL$8)*($AN$8-$AM$8))),$AM$8)</f>
        <v/>
      </c>
      <c r="AO747">
        <f>IFERROR(IF(AX747&lt;($AM$9-$AL$9)/($AN$9-$AL$9),$AL$9+SQRT(AX747*($AN$9-$AL$9)*($AM$9-$AL$9)),$AN$9-SQRT((1-AX747)*($AN$9-$AL$9)*($AN$9-$AM$9))),$AM$9)</f>
        <v/>
      </c>
      <c r="AP747">
        <f>IFERROR(IF(AY747&lt;($AM$10-$AL$10)/($AN$10-$AL$10),$AL$10+SQRT(AY747*($AN$10-$AL$10)*($AM$10-$AL$10)),$AN$10-SQRT((1-AY747)*($AN$10-$AL$10)*($AN$10-$AM$10))),$AM$10)</f>
        <v/>
      </c>
      <c r="AQ747">
        <f>IFERROR(IF(AZ747&lt;($AM$11-$AL$11)/($AN$11-$AL$11),$AL$11+SQRT(AZ747*($AN$11-$AL$11)*($AM$11-$AL$11)),$AN$11-SQRT((1-AZ747)*($AN$11-$AL$11)*($AN$11-$AM$11))),$AM$11)</f>
        <v/>
      </c>
      <c r="AR747">
        <f>SUMPRODUCT((B24:B31&lt;=$B$6)*(C24:C31*AM747+D24:D31*AO747*$B$8*AQ747)/(1+AL747/100)^B24:B31)+C32*AM747*AP747/(1+AL747/100)^$B$6</f>
        <v/>
      </c>
      <c r="AS747">
        <f>SUMPRODUCT((K24:K26&lt;=$B$6)*(L24:L26*AN747+M24:M26*AO747*$B$8*AQ747)/(1+AL747/100)^K24:K26)+L27*AN747*AP747/(1+AL747/100)^$B$6</f>
        <v/>
      </c>
      <c r="AT747">
        <f>AS747-AR747</f>
        <v/>
      </c>
      <c r="AU747">
        <f>RAND()</f>
        <v/>
      </c>
      <c r="AV747">
        <f>RAND()</f>
        <v/>
      </c>
      <c r="AW747">
        <f>RAND()</f>
        <v/>
      </c>
      <c r="AX747">
        <f>RAND()</f>
        <v/>
      </c>
      <c r="AY747">
        <f>RAND()</f>
        <v/>
      </c>
      <c r="AZ747">
        <f>RAND()</f>
        <v/>
      </c>
    </row>
    <row r="748">
      <c r="AK748" t="n">
        <v>735</v>
      </c>
      <c r="AL748">
        <f>IFERROR(IF(AU748&lt;($AM$6-$AL$6)/($AN$6-$AL$6),$AL$6+SQRT(AU748*($AN$6-$AL$6)*($AM$6-$AL$6)),$AN$6-SQRT((1-AU748)*($AN$6-$AL$6)*($AN$6-$AM$6))),$AM$6)</f>
        <v/>
      </c>
      <c r="AM748">
        <f>IFERROR(IF(AV748&lt;($AM$7-$AL$7)/($AN$7-$AL$7),$AL$7+SQRT(AV748*($AN$7-$AL$7)*($AM$7-$AL$7)),$AN$7-SQRT((1-AV748)*($AN$7-$AL$7)*($AN$7-$AM$7))),$AM$7)</f>
        <v/>
      </c>
      <c r="AN748">
        <f>IFERROR(IF(AW748&lt;($AM$8-$AL$8)/($AN$8-$AL$8),$AL$8+SQRT(AW748*($AN$8-$AL$8)*($AM$8-$AL$8)),$AN$8-SQRT((1-AW748)*($AN$8-$AL$8)*($AN$8-$AM$8))),$AM$8)</f>
        <v/>
      </c>
      <c r="AO748">
        <f>IFERROR(IF(AX748&lt;($AM$9-$AL$9)/($AN$9-$AL$9),$AL$9+SQRT(AX748*($AN$9-$AL$9)*($AM$9-$AL$9)),$AN$9-SQRT((1-AX748)*($AN$9-$AL$9)*($AN$9-$AM$9))),$AM$9)</f>
        <v/>
      </c>
      <c r="AP748">
        <f>IFERROR(IF(AY748&lt;($AM$10-$AL$10)/($AN$10-$AL$10),$AL$10+SQRT(AY748*($AN$10-$AL$10)*($AM$10-$AL$10)),$AN$10-SQRT((1-AY748)*($AN$10-$AL$10)*($AN$10-$AM$10))),$AM$10)</f>
        <v/>
      </c>
      <c r="AQ748">
        <f>IFERROR(IF(AZ748&lt;($AM$11-$AL$11)/($AN$11-$AL$11),$AL$11+SQRT(AZ748*($AN$11-$AL$11)*($AM$11-$AL$11)),$AN$11-SQRT((1-AZ748)*($AN$11-$AL$11)*($AN$11-$AM$11))),$AM$11)</f>
        <v/>
      </c>
      <c r="AR748">
        <f>SUMPRODUCT((B24:B31&lt;=$B$6)*(C24:C31*AM748+D24:D31*AO748*$B$8*AQ748)/(1+AL748/100)^B24:B31)+C32*AM748*AP748/(1+AL748/100)^$B$6</f>
        <v/>
      </c>
      <c r="AS748">
        <f>SUMPRODUCT((K24:K26&lt;=$B$6)*(L24:L26*AN748+M24:M26*AO748*$B$8*AQ748)/(1+AL748/100)^K24:K26)+L27*AN748*AP748/(1+AL748/100)^$B$6</f>
        <v/>
      </c>
      <c r="AT748">
        <f>AS748-AR748</f>
        <v/>
      </c>
      <c r="AU748">
        <f>RAND()</f>
        <v/>
      </c>
      <c r="AV748">
        <f>RAND()</f>
        <v/>
      </c>
      <c r="AW748">
        <f>RAND()</f>
        <v/>
      </c>
      <c r="AX748">
        <f>RAND()</f>
        <v/>
      </c>
      <c r="AY748">
        <f>RAND()</f>
        <v/>
      </c>
      <c r="AZ748">
        <f>RAND()</f>
        <v/>
      </c>
    </row>
    <row r="749">
      <c r="AK749" t="n">
        <v>736</v>
      </c>
      <c r="AL749">
        <f>IFERROR(IF(AU749&lt;($AM$6-$AL$6)/($AN$6-$AL$6),$AL$6+SQRT(AU749*($AN$6-$AL$6)*($AM$6-$AL$6)),$AN$6-SQRT((1-AU749)*($AN$6-$AL$6)*($AN$6-$AM$6))),$AM$6)</f>
        <v/>
      </c>
      <c r="AM749">
        <f>IFERROR(IF(AV749&lt;($AM$7-$AL$7)/($AN$7-$AL$7),$AL$7+SQRT(AV749*($AN$7-$AL$7)*($AM$7-$AL$7)),$AN$7-SQRT((1-AV749)*($AN$7-$AL$7)*($AN$7-$AM$7))),$AM$7)</f>
        <v/>
      </c>
      <c r="AN749">
        <f>IFERROR(IF(AW749&lt;($AM$8-$AL$8)/($AN$8-$AL$8),$AL$8+SQRT(AW749*($AN$8-$AL$8)*($AM$8-$AL$8)),$AN$8-SQRT((1-AW749)*($AN$8-$AL$8)*($AN$8-$AM$8))),$AM$8)</f>
        <v/>
      </c>
      <c r="AO749">
        <f>IFERROR(IF(AX749&lt;($AM$9-$AL$9)/($AN$9-$AL$9),$AL$9+SQRT(AX749*($AN$9-$AL$9)*($AM$9-$AL$9)),$AN$9-SQRT((1-AX749)*($AN$9-$AL$9)*($AN$9-$AM$9))),$AM$9)</f>
        <v/>
      </c>
      <c r="AP749">
        <f>IFERROR(IF(AY749&lt;($AM$10-$AL$10)/($AN$10-$AL$10),$AL$10+SQRT(AY749*($AN$10-$AL$10)*($AM$10-$AL$10)),$AN$10-SQRT((1-AY749)*($AN$10-$AL$10)*($AN$10-$AM$10))),$AM$10)</f>
        <v/>
      </c>
      <c r="AQ749">
        <f>IFERROR(IF(AZ749&lt;($AM$11-$AL$11)/($AN$11-$AL$11),$AL$11+SQRT(AZ749*($AN$11-$AL$11)*($AM$11-$AL$11)),$AN$11-SQRT((1-AZ749)*($AN$11-$AL$11)*($AN$11-$AM$11))),$AM$11)</f>
        <v/>
      </c>
      <c r="AR749">
        <f>SUMPRODUCT((B24:B31&lt;=$B$6)*(C24:C31*AM749+D24:D31*AO749*$B$8*AQ749)/(1+AL749/100)^B24:B31)+C32*AM749*AP749/(1+AL749/100)^$B$6</f>
        <v/>
      </c>
      <c r="AS749">
        <f>SUMPRODUCT((K24:K26&lt;=$B$6)*(L24:L26*AN749+M24:M26*AO749*$B$8*AQ749)/(1+AL749/100)^K24:K26)+L27*AN749*AP749/(1+AL749/100)^$B$6</f>
        <v/>
      </c>
      <c r="AT749">
        <f>AS749-AR749</f>
        <v/>
      </c>
      <c r="AU749">
        <f>RAND()</f>
        <v/>
      </c>
      <c r="AV749">
        <f>RAND()</f>
        <v/>
      </c>
      <c r="AW749">
        <f>RAND()</f>
        <v/>
      </c>
      <c r="AX749">
        <f>RAND()</f>
        <v/>
      </c>
      <c r="AY749">
        <f>RAND()</f>
        <v/>
      </c>
      <c r="AZ749">
        <f>RAND()</f>
        <v/>
      </c>
    </row>
    <row r="750">
      <c r="AK750" t="n">
        <v>737</v>
      </c>
      <c r="AL750">
        <f>IFERROR(IF(AU750&lt;($AM$6-$AL$6)/($AN$6-$AL$6),$AL$6+SQRT(AU750*($AN$6-$AL$6)*($AM$6-$AL$6)),$AN$6-SQRT((1-AU750)*($AN$6-$AL$6)*($AN$6-$AM$6))),$AM$6)</f>
        <v/>
      </c>
      <c r="AM750">
        <f>IFERROR(IF(AV750&lt;($AM$7-$AL$7)/($AN$7-$AL$7),$AL$7+SQRT(AV750*($AN$7-$AL$7)*($AM$7-$AL$7)),$AN$7-SQRT((1-AV750)*($AN$7-$AL$7)*($AN$7-$AM$7))),$AM$7)</f>
        <v/>
      </c>
      <c r="AN750">
        <f>IFERROR(IF(AW750&lt;($AM$8-$AL$8)/($AN$8-$AL$8),$AL$8+SQRT(AW750*($AN$8-$AL$8)*($AM$8-$AL$8)),$AN$8-SQRT((1-AW750)*($AN$8-$AL$8)*($AN$8-$AM$8))),$AM$8)</f>
        <v/>
      </c>
      <c r="AO750">
        <f>IFERROR(IF(AX750&lt;($AM$9-$AL$9)/($AN$9-$AL$9),$AL$9+SQRT(AX750*($AN$9-$AL$9)*($AM$9-$AL$9)),$AN$9-SQRT((1-AX750)*($AN$9-$AL$9)*($AN$9-$AM$9))),$AM$9)</f>
        <v/>
      </c>
      <c r="AP750">
        <f>IFERROR(IF(AY750&lt;($AM$10-$AL$10)/($AN$10-$AL$10),$AL$10+SQRT(AY750*($AN$10-$AL$10)*($AM$10-$AL$10)),$AN$10-SQRT((1-AY750)*($AN$10-$AL$10)*($AN$10-$AM$10))),$AM$10)</f>
        <v/>
      </c>
      <c r="AQ750">
        <f>IFERROR(IF(AZ750&lt;($AM$11-$AL$11)/($AN$11-$AL$11),$AL$11+SQRT(AZ750*($AN$11-$AL$11)*($AM$11-$AL$11)),$AN$11-SQRT((1-AZ750)*($AN$11-$AL$11)*($AN$11-$AM$11))),$AM$11)</f>
        <v/>
      </c>
      <c r="AR750">
        <f>SUMPRODUCT((B24:B31&lt;=$B$6)*(C24:C31*AM750+D24:D31*AO750*$B$8*AQ750)/(1+AL750/100)^B24:B31)+C32*AM750*AP750/(1+AL750/100)^$B$6</f>
        <v/>
      </c>
      <c r="AS750">
        <f>SUMPRODUCT((K24:K26&lt;=$B$6)*(L24:L26*AN750+M24:M26*AO750*$B$8*AQ750)/(1+AL750/100)^K24:K26)+L27*AN750*AP750/(1+AL750/100)^$B$6</f>
        <v/>
      </c>
      <c r="AT750">
        <f>AS750-AR750</f>
        <v/>
      </c>
      <c r="AU750">
        <f>RAND()</f>
        <v/>
      </c>
      <c r="AV750">
        <f>RAND()</f>
        <v/>
      </c>
      <c r="AW750">
        <f>RAND()</f>
        <v/>
      </c>
      <c r="AX750">
        <f>RAND()</f>
        <v/>
      </c>
      <c r="AY750">
        <f>RAND()</f>
        <v/>
      </c>
      <c r="AZ750">
        <f>RAND()</f>
        <v/>
      </c>
    </row>
    <row r="751">
      <c r="AK751" t="n">
        <v>738</v>
      </c>
      <c r="AL751">
        <f>IFERROR(IF(AU751&lt;($AM$6-$AL$6)/($AN$6-$AL$6),$AL$6+SQRT(AU751*($AN$6-$AL$6)*($AM$6-$AL$6)),$AN$6-SQRT((1-AU751)*($AN$6-$AL$6)*($AN$6-$AM$6))),$AM$6)</f>
        <v/>
      </c>
      <c r="AM751">
        <f>IFERROR(IF(AV751&lt;($AM$7-$AL$7)/($AN$7-$AL$7),$AL$7+SQRT(AV751*($AN$7-$AL$7)*($AM$7-$AL$7)),$AN$7-SQRT((1-AV751)*($AN$7-$AL$7)*($AN$7-$AM$7))),$AM$7)</f>
        <v/>
      </c>
      <c r="AN751">
        <f>IFERROR(IF(AW751&lt;($AM$8-$AL$8)/($AN$8-$AL$8),$AL$8+SQRT(AW751*($AN$8-$AL$8)*($AM$8-$AL$8)),$AN$8-SQRT((1-AW751)*($AN$8-$AL$8)*($AN$8-$AM$8))),$AM$8)</f>
        <v/>
      </c>
      <c r="AO751">
        <f>IFERROR(IF(AX751&lt;($AM$9-$AL$9)/($AN$9-$AL$9),$AL$9+SQRT(AX751*($AN$9-$AL$9)*($AM$9-$AL$9)),$AN$9-SQRT((1-AX751)*($AN$9-$AL$9)*($AN$9-$AM$9))),$AM$9)</f>
        <v/>
      </c>
      <c r="AP751">
        <f>IFERROR(IF(AY751&lt;($AM$10-$AL$10)/($AN$10-$AL$10),$AL$10+SQRT(AY751*($AN$10-$AL$10)*($AM$10-$AL$10)),$AN$10-SQRT((1-AY751)*($AN$10-$AL$10)*($AN$10-$AM$10))),$AM$10)</f>
        <v/>
      </c>
      <c r="AQ751">
        <f>IFERROR(IF(AZ751&lt;($AM$11-$AL$11)/($AN$11-$AL$11),$AL$11+SQRT(AZ751*($AN$11-$AL$11)*($AM$11-$AL$11)),$AN$11-SQRT((1-AZ751)*($AN$11-$AL$11)*($AN$11-$AM$11))),$AM$11)</f>
        <v/>
      </c>
      <c r="AR751">
        <f>SUMPRODUCT((B24:B31&lt;=$B$6)*(C24:C31*AM751+D24:D31*AO751*$B$8*AQ751)/(1+AL751/100)^B24:B31)+C32*AM751*AP751/(1+AL751/100)^$B$6</f>
        <v/>
      </c>
      <c r="AS751">
        <f>SUMPRODUCT((K24:K26&lt;=$B$6)*(L24:L26*AN751+M24:M26*AO751*$B$8*AQ751)/(1+AL751/100)^K24:K26)+L27*AN751*AP751/(1+AL751/100)^$B$6</f>
        <v/>
      </c>
      <c r="AT751">
        <f>AS751-AR751</f>
        <v/>
      </c>
      <c r="AU751">
        <f>RAND()</f>
        <v/>
      </c>
      <c r="AV751">
        <f>RAND()</f>
        <v/>
      </c>
      <c r="AW751">
        <f>RAND()</f>
        <v/>
      </c>
      <c r="AX751">
        <f>RAND()</f>
        <v/>
      </c>
      <c r="AY751">
        <f>RAND()</f>
        <v/>
      </c>
      <c r="AZ751">
        <f>RAND()</f>
        <v/>
      </c>
    </row>
    <row r="752">
      <c r="AK752" t="n">
        <v>739</v>
      </c>
      <c r="AL752">
        <f>IFERROR(IF(AU752&lt;($AM$6-$AL$6)/($AN$6-$AL$6),$AL$6+SQRT(AU752*($AN$6-$AL$6)*($AM$6-$AL$6)),$AN$6-SQRT((1-AU752)*($AN$6-$AL$6)*($AN$6-$AM$6))),$AM$6)</f>
        <v/>
      </c>
      <c r="AM752">
        <f>IFERROR(IF(AV752&lt;($AM$7-$AL$7)/($AN$7-$AL$7),$AL$7+SQRT(AV752*($AN$7-$AL$7)*($AM$7-$AL$7)),$AN$7-SQRT((1-AV752)*($AN$7-$AL$7)*($AN$7-$AM$7))),$AM$7)</f>
        <v/>
      </c>
      <c r="AN752">
        <f>IFERROR(IF(AW752&lt;($AM$8-$AL$8)/($AN$8-$AL$8),$AL$8+SQRT(AW752*($AN$8-$AL$8)*($AM$8-$AL$8)),$AN$8-SQRT((1-AW752)*($AN$8-$AL$8)*($AN$8-$AM$8))),$AM$8)</f>
        <v/>
      </c>
      <c r="AO752">
        <f>IFERROR(IF(AX752&lt;($AM$9-$AL$9)/($AN$9-$AL$9),$AL$9+SQRT(AX752*($AN$9-$AL$9)*($AM$9-$AL$9)),$AN$9-SQRT((1-AX752)*($AN$9-$AL$9)*($AN$9-$AM$9))),$AM$9)</f>
        <v/>
      </c>
      <c r="AP752">
        <f>IFERROR(IF(AY752&lt;($AM$10-$AL$10)/($AN$10-$AL$10),$AL$10+SQRT(AY752*($AN$10-$AL$10)*($AM$10-$AL$10)),$AN$10-SQRT((1-AY752)*($AN$10-$AL$10)*($AN$10-$AM$10))),$AM$10)</f>
        <v/>
      </c>
      <c r="AQ752">
        <f>IFERROR(IF(AZ752&lt;($AM$11-$AL$11)/($AN$11-$AL$11),$AL$11+SQRT(AZ752*($AN$11-$AL$11)*($AM$11-$AL$11)),$AN$11-SQRT((1-AZ752)*($AN$11-$AL$11)*($AN$11-$AM$11))),$AM$11)</f>
        <v/>
      </c>
      <c r="AR752">
        <f>SUMPRODUCT((B24:B31&lt;=$B$6)*(C24:C31*AM752+D24:D31*AO752*$B$8*AQ752)/(1+AL752/100)^B24:B31)+C32*AM752*AP752/(1+AL752/100)^$B$6</f>
        <v/>
      </c>
      <c r="AS752">
        <f>SUMPRODUCT((K24:K26&lt;=$B$6)*(L24:L26*AN752+M24:M26*AO752*$B$8*AQ752)/(1+AL752/100)^K24:K26)+L27*AN752*AP752/(1+AL752/100)^$B$6</f>
        <v/>
      </c>
      <c r="AT752">
        <f>AS752-AR752</f>
        <v/>
      </c>
      <c r="AU752">
        <f>RAND()</f>
        <v/>
      </c>
      <c r="AV752">
        <f>RAND()</f>
        <v/>
      </c>
      <c r="AW752">
        <f>RAND()</f>
        <v/>
      </c>
      <c r="AX752">
        <f>RAND()</f>
        <v/>
      </c>
      <c r="AY752">
        <f>RAND()</f>
        <v/>
      </c>
      <c r="AZ752">
        <f>RAND()</f>
        <v/>
      </c>
    </row>
    <row r="753">
      <c r="AK753" t="n">
        <v>740</v>
      </c>
      <c r="AL753">
        <f>IFERROR(IF(AU753&lt;($AM$6-$AL$6)/($AN$6-$AL$6),$AL$6+SQRT(AU753*($AN$6-$AL$6)*($AM$6-$AL$6)),$AN$6-SQRT((1-AU753)*($AN$6-$AL$6)*($AN$6-$AM$6))),$AM$6)</f>
        <v/>
      </c>
      <c r="AM753">
        <f>IFERROR(IF(AV753&lt;($AM$7-$AL$7)/($AN$7-$AL$7),$AL$7+SQRT(AV753*($AN$7-$AL$7)*($AM$7-$AL$7)),$AN$7-SQRT((1-AV753)*($AN$7-$AL$7)*($AN$7-$AM$7))),$AM$7)</f>
        <v/>
      </c>
      <c r="AN753">
        <f>IFERROR(IF(AW753&lt;($AM$8-$AL$8)/($AN$8-$AL$8),$AL$8+SQRT(AW753*($AN$8-$AL$8)*($AM$8-$AL$8)),$AN$8-SQRT((1-AW753)*($AN$8-$AL$8)*($AN$8-$AM$8))),$AM$8)</f>
        <v/>
      </c>
      <c r="AO753">
        <f>IFERROR(IF(AX753&lt;($AM$9-$AL$9)/($AN$9-$AL$9),$AL$9+SQRT(AX753*($AN$9-$AL$9)*($AM$9-$AL$9)),$AN$9-SQRT((1-AX753)*($AN$9-$AL$9)*($AN$9-$AM$9))),$AM$9)</f>
        <v/>
      </c>
      <c r="AP753">
        <f>IFERROR(IF(AY753&lt;($AM$10-$AL$10)/($AN$10-$AL$10),$AL$10+SQRT(AY753*($AN$10-$AL$10)*($AM$10-$AL$10)),$AN$10-SQRT((1-AY753)*($AN$10-$AL$10)*($AN$10-$AM$10))),$AM$10)</f>
        <v/>
      </c>
      <c r="AQ753">
        <f>IFERROR(IF(AZ753&lt;($AM$11-$AL$11)/($AN$11-$AL$11),$AL$11+SQRT(AZ753*($AN$11-$AL$11)*($AM$11-$AL$11)),$AN$11-SQRT((1-AZ753)*($AN$11-$AL$11)*($AN$11-$AM$11))),$AM$11)</f>
        <v/>
      </c>
      <c r="AR753">
        <f>SUMPRODUCT((B24:B31&lt;=$B$6)*(C24:C31*AM753+D24:D31*AO753*$B$8*AQ753)/(1+AL753/100)^B24:B31)+C32*AM753*AP753/(1+AL753/100)^$B$6</f>
        <v/>
      </c>
      <c r="AS753">
        <f>SUMPRODUCT((K24:K26&lt;=$B$6)*(L24:L26*AN753+M24:M26*AO753*$B$8*AQ753)/(1+AL753/100)^K24:K26)+L27*AN753*AP753/(1+AL753/100)^$B$6</f>
        <v/>
      </c>
      <c r="AT753">
        <f>AS753-AR753</f>
        <v/>
      </c>
      <c r="AU753">
        <f>RAND()</f>
        <v/>
      </c>
      <c r="AV753">
        <f>RAND()</f>
        <v/>
      </c>
      <c r="AW753">
        <f>RAND()</f>
        <v/>
      </c>
      <c r="AX753">
        <f>RAND()</f>
        <v/>
      </c>
      <c r="AY753">
        <f>RAND()</f>
        <v/>
      </c>
      <c r="AZ753">
        <f>RAND()</f>
        <v/>
      </c>
    </row>
    <row r="754">
      <c r="AK754" t="n">
        <v>741</v>
      </c>
      <c r="AL754">
        <f>IFERROR(IF(AU754&lt;($AM$6-$AL$6)/($AN$6-$AL$6),$AL$6+SQRT(AU754*($AN$6-$AL$6)*($AM$6-$AL$6)),$AN$6-SQRT((1-AU754)*($AN$6-$AL$6)*($AN$6-$AM$6))),$AM$6)</f>
        <v/>
      </c>
      <c r="AM754">
        <f>IFERROR(IF(AV754&lt;($AM$7-$AL$7)/($AN$7-$AL$7),$AL$7+SQRT(AV754*($AN$7-$AL$7)*($AM$7-$AL$7)),$AN$7-SQRT((1-AV754)*($AN$7-$AL$7)*($AN$7-$AM$7))),$AM$7)</f>
        <v/>
      </c>
      <c r="AN754">
        <f>IFERROR(IF(AW754&lt;($AM$8-$AL$8)/($AN$8-$AL$8),$AL$8+SQRT(AW754*($AN$8-$AL$8)*($AM$8-$AL$8)),$AN$8-SQRT((1-AW754)*($AN$8-$AL$8)*($AN$8-$AM$8))),$AM$8)</f>
        <v/>
      </c>
      <c r="AO754">
        <f>IFERROR(IF(AX754&lt;($AM$9-$AL$9)/($AN$9-$AL$9),$AL$9+SQRT(AX754*($AN$9-$AL$9)*($AM$9-$AL$9)),$AN$9-SQRT((1-AX754)*($AN$9-$AL$9)*($AN$9-$AM$9))),$AM$9)</f>
        <v/>
      </c>
      <c r="AP754">
        <f>IFERROR(IF(AY754&lt;($AM$10-$AL$10)/($AN$10-$AL$10),$AL$10+SQRT(AY754*($AN$10-$AL$10)*($AM$10-$AL$10)),$AN$10-SQRT((1-AY754)*($AN$10-$AL$10)*($AN$10-$AM$10))),$AM$10)</f>
        <v/>
      </c>
      <c r="AQ754">
        <f>IFERROR(IF(AZ754&lt;($AM$11-$AL$11)/($AN$11-$AL$11),$AL$11+SQRT(AZ754*($AN$11-$AL$11)*($AM$11-$AL$11)),$AN$11-SQRT((1-AZ754)*($AN$11-$AL$11)*($AN$11-$AM$11))),$AM$11)</f>
        <v/>
      </c>
      <c r="AR754">
        <f>SUMPRODUCT((B24:B31&lt;=$B$6)*(C24:C31*AM754+D24:D31*AO754*$B$8*AQ754)/(1+AL754/100)^B24:B31)+C32*AM754*AP754/(1+AL754/100)^$B$6</f>
        <v/>
      </c>
      <c r="AS754">
        <f>SUMPRODUCT((K24:K26&lt;=$B$6)*(L24:L26*AN754+M24:M26*AO754*$B$8*AQ754)/(1+AL754/100)^K24:K26)+L27*AN754*AP754/(1+AL754/100)^$B$6</f>
        <v/>
      </c>
      <c r="AT754">
        <f>AS754-AR754</f>
        <v/>
      </c>
      <c r="AU754">
        <f>RAND()</f>
        <v/>
      </c>
      <c r="AV754">
        <f>RAND()</f>
        <v/>
      </c>
      <c r="AW754">
        <f>RAND()</f>
        <v/>
      </c>
      <c r="AX754">
        <f>RAND()</f>
        <v/>
      </c>
      <c r="AY754">
        <f>RAND()</f>
        <v/>
      </c>
      <c r="AZ754">
        <f>RAND()</f>
        <v/>
      </c>
    </row>
    <row r="755">
      <c r="AK755" t="n">
        <v>742</v>
      </c>
      <c r="AL755">
        <f>IFERROR(IF(AU755&lt;($AM$6-$AL$6)/($AN$6-$AL$6),$AL$6+SQRT(AU755*($AN$6-$AL$6)*($AM$6-$AL$6)),$AN$6-SQRT((1-AU755)*($AN$6-$AL$6)*($AN$6-$AM$6))),$AM$6)</f>
        <v/>
      </c>
      <c r="AM755">
        <f>IFERROR(IF(AV755&lt;($AM$7-$AL$7)/($AN$7-$AL$7),$AL$7+SQRT(AV755*($AN$7-$AL$7)*($AM$7-$AL$7)),$AN$7-SQRT((1-AV755)*($AN$7-$AL$7)*($AN$7-$AM$7))),$AM$7)</f>
        <v/>
      </c>
      <c r="AN755">
        <f>IFERROR(IF(AW755&lt;($AM$8-$AL$8)/($AN$8-$AL$8),$AL$8+SQRT(AW755*($AN$8-$AL$8)*($AM$8-$AL$8)),$AN$8-SQRT((1-AW755)*($AN$8-$AL$8)*($AN$8-$AM$8))),$AM$8)</f>
        <v/>
      </c>
      <c r="AO755">
        <f>IFERROR(IF(AX755&lt;($AM$9-$AL$9)/($AN$9-$AL$9),$AL$9+SQRT(AX755*($AN$9-$AL$9)*($AM$9-$AL$9)),$AN$9-SQRT((1-AX755)*($AN$9-$AL$9)*($AN$9-$AM$9))),$AM$9)</f>
        <v/>
      </c>
      <c r="AP755">
        <f>IFERROR(IF(AY755&lt;($AM$10-$AL$10)/($AN$10-$AL$10),$AL$10+SQRT(AY755*($AN$10-$AL$10)*($AM$10-$AL$10)),$AN$10-SQRT((1-AY755)*($AN$10-$AL$10)*($AN$10-$AM$10))),$AM$10)</f>
        <v/>
      </c>
      <c r="AQ755">
        <f>IFERROR(IF(AZ755&lt;($AM$11-$AL$11)/($AN$11-$AL$11),$AL$11+SQRT(AZ755*($AN$11-$AL$11)*($AM$11-$AL$11)),$AN$11-SQRT((1-AZ755)*($AN$11-$AL$11)*($AN$11-$AM$11))),$AM$11)</f>
        <v/>
      </c>
      <c r="AR755">
        <f>SUMPRODUCT((B24:B31&lt;=$B$6)*(C24:C31*AM755+D24:D31*AO755*$B$8*AQ755)/(1+AL755/100)^B24:B31)+C32*AM755*AP755/(1+AL755/100)^$B$6</f>
        <v/>
      </c>
      <c r="AS755">
        <f>SUMPRODUCT((K24:K26&lt;=$B$6)*(L24:L26*AN755+M24:M26*AO755*$B$8*AQ755)/(1+AL755/100)^K24:K26)+L27*AN755*AP755/(1+AL755/100)^$B$6</f>
        <v/>
      </c>
      <c r="AT755">
        <f>AS755-AR755</f>
        <v/>
      </c>
      <c r="AU755">
        <f>RAND()</f>
        <v/>
      </c>
      <c r="AV755">
        <f>RAND()</f>
        <v/>
      </c>
      <c r="AW755">
        <f>RAND()</f>
        <v/>
      </c>
      <c r="AX755">
        <f>RAND()</f>
        <v/>
      </c>
      <c r="AY755">
        <f>RAND()</f>
        <v/>
      </c>
      <c r="AZ755">
        <f>RAND()</f>
        <v/>
      </c>
    </row>
    <row r="756">
      <c r="AK756" t="n">
        <v>743</v>
      </c>
      <c r="AL756">
        <f>IFERROR(IF(AU756&lt;($AM$6-$AL$6)/($AN$6-$AL$6),$AL$6+SQRT(AU756*($AN$6-$AL$6)*($AM$6-$AL$6)),$AN$6-SQRT((1-AU756)*($AN$6-$AL$6)*($AN$6-$AM$6))),$AM$6)</f>
        <v/>
      </c>
      <c r="AM756">
        <f>IFERROR(IF(AV756&lt;($AM$7-$AL$7)/($AN$7-$AL$7),$AL$7+SQRT(AV756*($AN$7-$AL$7)*($AM$7-$AL$7)),$AN$7-SQRT((1-AV756)*($AN$7-$AL$7)*($AN$7-$AM$7))),$AM$7)</f>
        <v/>
      </c>
      <c r="AN756">
        <f>IFERROR(IF(AW756&lt;($AM$8-$AL$8)/($AN$8-$AL$8),$AL$8+SQRT(AW756*($AN$8-$AL$8)*($AM$8-$AL$8)),$AN$8-SQRT((1-AW756)*($AN$8-$AL$8)*($AN$8-$AM$8))),$AM$8)</f>
        <v/>
      </c>
      <c r="AO756">
        <f>IFERROR(IF(AX756&lt;($AM$9-$AL$9)/($AN$9-$AL$9),$AL$9+SQRT(AX756*($AN$9-$AL$9)*($AM$9-$AL$9)),$AN$9-SQRT((1-AX756)*($AN$9-$AL$9)*($AN$9-$AM$9))),$AM$9)</f>
        <v/>
      </c>
      <c r="AP756">
        <f>IFERROR(IF(AY756&lt;($AM$10-$AL$10)/($AN$10-$AL$10),$AL$10+SQRT(AY756*($AN$10-$AL$10)*($AM$10-$AL$10)),$AN$10-SQRT((1-AY756)*($AN$10-$AL$10)*($AN$10-$AM$10))),$AM$10)</f>
        <v/>
      </c>
      <c r="AQ756">
        <f>IFERROR(IF(AZ756&lt;($AM$11-$AL$11)/($AN$11-$AL$11),$AL$11+SQRT(AZ756*($AN$11-$AL$11)*($AM$11-$AL$11)),$AN$11-SQRT((1-AZ756)*($AN$11-$AL$11)*($AN$11-$AM$11))),$AM$11)</f>
        <v/>
      </c>
      <c r="AR756">
        <f>SUMPRODUCT((B24:B31&lt;=$B$6)*(C24:C31*AM756+D24:D31*AO756*$B$8*AQ756)/(1+AL756/100)^B24:B31)+C32*AM756*AP756/(1+AL756/100)^$B$6</f>
        <v/>
      </c>
      <c r="AS756">
        <f>SUMPRODUCT((K24:K26&lt;=$B$6)*(L24:L26*AN756+M24:M26*AO756*$B$8*AQ756)/(1+AL756/100)^K24:K26)+L27*AN756*AP756/(1+AL756/100)^$B$6</f>
        <v/>
      </c>
      <c r="AT756">
        <f>AS756-AR756</f>
        <v/>
      </c>
      <c r="AU756">
        <f>RAND()</f>
        <v/>
      </c>
      <c r="AV756">
        <f>RAND()</f>
        <v/>
      </c>
      <c r="AW756">
        <f>RAND()</f>
        <v/>
      </c>
      <c r="AX756">
        <f>RAND()</f>
        <v/>
      </c>
      <c r="AY756">
        <f>RAND()</f>
        <v/>
      </c>
      <c r="AZ756">
        <f>RAND()</f>
        <v/>
      </c>
    </row>
    <row r="757">
      <c r="AK757" t="n">
        <v>744</v>
      </c>
      <c r="AL757">
        <f>IFERROR(IF(AU757&lt;($AM$6-$AL$6)/($AN$6-$AL$6),$AL$6+SQRT(AU757*($AN$6-$AL$6)*($AM$6-$AL$6)),$AN$6-SQRT((1-AU757)*($AN$6-$AL$6)*($AN$6-$AM$6))),$AM$6)</f>
        <v/>
      </c>
      <c r="AM757">
        <f>IFERROR(IF(AV757&lt;($AM$7-$AL$7)/($AN$7-$AL$7),$AL$7+SQRT(AV757*($AN$7-$AL$7)*($AM$7-$AL$7)),$AN$7-SQRT((1-AV757)*($AN$7-$AL$7)*($AN$7-$AM$7))),$AM$7)</f>
        <v/>
      </c>
      <c r="AN757">
        <f>IFERROR(IF(AW757&lt;($AM$8-$AL$8)/($AN$8-$AL$8),$AL$8+SQRT(AW757*($AN$8-$AL$8)*($AM$8-$AL$8)),$AN$8-SQRT((1-AW757)*($AN$8-$AL$8)*($AN$8-$AM$8))),$AM$8)</f>
        <v/>
      </c>
      <c r="AO757">
        <f>IFERROR(IF(AX757&lt;($AM$9-$AL$9)/($AN$9-$AL$9),$AL$9+SQRT(AX757*($AN$9-$AL$9)*($AM$9-$AL$9)),$AN$9-SQRT((1-AX757)*($AN$9-$AL$9)*($AN$9-$AM$9))),$AM$9)</f>
        <v/>
      </c>
      <c r="AP757">
        <f>IFERROR(IF(AY757&lt;($AM$10-$AL$10)/($AN$10-$AL$10),$AL$10+SQRT(AY757*($AN$10-$AL$10)*($AM$10-$AL$10)),$AN$10-SQRT((1-AY757)*($AN$10-$AL$10)*($AN$10-$AM$10))),$AM$10)</f>
        <v/>
      </c>
      <c r="AQ757">
        <f>IFERROR(IF(AZ757&lt;($AM$11-$AL$11)/($AN$11-$AL$11),$AL$11+SQRT(AZ757*($AN$11-$AL$11)*($AM$11-$AL$11)),$AN$11-SQRT((1-AZ757)*($AN$11-$AL$11)*($AN$11-$AM$11))),$AM$11)</f>
        <v/>
      </c>
      <c r="AR757">
        <f>SUMPRODUCT((B24:B31&lt;=$B$6)*(C24:C31*AM757+D24:D31*AO757*$B$8*AQ757)/(1+AL757/100)^B24:B31)+C32*AM757*AP757/(1+AL757/100)^$B$6</f>
        <v/>
      </c>
      <c r="AS757">
        <f>SUMPRODUCT((K24:K26&lt;=$B$6)*(L24:L26*AN757+M24:M26*AO757*$B$8*AQ757)/(1+AL757/100)^K24:K26)+L27*AN757*AP757/(1+AL757/100)^$B$6</f>
        <v/>
      </c>
      <c r="AT757">
        <f>AS757-AR757</f>
        <v/>
      </c>
      <c r="AU757">
        <f>RAND()</f>
        <v/>
      </c>
      <c r="AV757">
        <f>RAND()</f>
        <v/>
      </c>
      <c r="AW757">
        <f>RAND()</f>
        <v/>
      </c>
      <c r="AX757">
        <f>RAND()</f>
        <v/>
      </c>
      <c r="AY757">
        <f>RAND()</f>
        <v/>
      </c>
      <c r="AZ757">
        <f>RAND()</f>
        <v/>
      </c>
    </row>
    <row r="758">
      <c r="AK758" t="n">
        <v>745</v>
      </c>
      <c r="AL758">
        <f>IFERROR(IF(AU758&lt;($AM$6-$AL$6)/($AN$6-$AL$6),$AL$6+SQRT(AU758*($AN$6-$AL$6)*($AM$6-$AL$6)),$AN$6-SQRT((1-AU758)*($AN$6-$AL$6)*($AN$6-$AM$6))),$AM$6)</f>
        <v/>
      </c>
      <c r="AM758">
        <f>IFERROR(IF(AV758&lt;($AM$7-$AL$7)/($AN$7-$AL$7),$AL$7+SQRT(AV758*($AN$7-$AL$7)*($AM$7-$AL$7)),$AN$7-SQRT((1-AV758)*($AN$7-$AL$7)*($AN$7-$AM$7))),$AM$7)</f>
        <v/>
      </c>
      <c r="AN758">
        <f>IFERROR(IF(AW758&lt;($AM$8-$AL$8)/($AN$8-$AL$8),$AL$8+SQRT(AW758*($AN$8-$AL$8)*($AM$8-$AL$8)),$AN$8-SQRT((1-AW758)*($AN$8-$AL$8)*($AN$8-$AM$8))),$AM$8)</f>
        <v/>
      </c>
      <c r="AO758">
        <f>IFERROR(IF(AX758&lt;($AM$9-$AL$9)/($AN$9-$AL$9),$AL$9+SQRT(AX758*($AN$9-$AL$9)*($AM$9-$AL$9)),$AN$9-SQRT((1-AX758)*($AN$9-$AL$9)*($AN$9-$AM$9))),$AM$9)</f>
        <v/>
      </c>
      <c r="AP758">
        <f>IFERROR(IF(AY758&lt;($AM$10-$AL$10)/($AN$10-$AL$10),$AL$10+SQRT(AY758*($AN$10-$AL$10)*($AM$10-$AL$10)),$AN$10-SQRT((1-AY758)*($AN$10-$AL$10)*($AN$10-$AM$10))),$AM$10)</f>
        <v/>
      </c>
      <c r="AQ758">
        <f>IFERROR(IF(AZ758&lt;($AM$11-$AL$11)/($AN$11-$AL$11),$AL$11+SQRT(AZ758*($AN$11-$AL$11)*($AM$11-$AL$11)),$AN$11-SQRT((1-AZ758)*($AN$11-$AL$11)*($AN$11-$AM$11))),$AM$11)</f>
        <v/>
      </c>
      <c r="AR758">
        <f>SUMPRODUCT((B24:B31&lt;=$B$6)*(C24:C31*AM758+D24:D31*AO758*$B$8*AQ758)/(1+AL758/100)^B24:B31)+C32*AM758*AP758/(1+AL758/100)^$B$6</f>
        <v/>
      </c>
      <c r="AS758">
        <f>SUMPRODUCT((K24:K26&lt;=$B$6)*(L24:L26*AN758+M24:M26*AO758*$B$8*AQ758)/(1+AL758/100)^K24:K26)+L27*AN758*AP758/(1+AL758/100)^$B$6</f>
        <v/>
      </c>
      <c r="AT758">
        <f>AS758-AR758</f>
        <v/>
      </c>
      <c r="AU758">
        <f>RAND()</f>
        <v/>
      </c>
      <c r="AV758">
        <f>RAND()</f>
        <v/>
      </c>
      <c r="AW758">
        <f>RAND()</f>
        <v/>
      </c>
      <c r="AX758">
        <f>RAND()</f>
        <v/>
      </c>
      <c r="AY758">
        <f>RAND()</f>
        <v/>
      </c>
      <c r="AZ758">
        <f>RAND()</f>
        <v/>
      </c>
    </row>
    <row r="759">
      <c r="AK759" t="n">
        <v>746</v>
      </c>
      <c r="AL759">
        <f>IFERROR(IF(AU759&lt;($AM$6-$AL$6)/($AN$6-$AL$6),$AL$6+SQRT(AU759*($AN$6-$AL$6)*($AM$6-$AL$6)),$AN$6-SQRT((1-AU759)*($AN$6-$AL$6)*($AN$6-$AM$6))),$AM$6)</f>
        <v/>
      </c>
      <c r="AM759">
        <f>IFERROR(IF(AV759&lt;($AM$7-$AL$7)/($AN$7-$AL$7),$AL$7+SQRT(AV759*($AN$7-$AL$7)*($AM$7-$AL$7)),$AN$7-SQRT((1-AV759)*($AN$7-$AL$7)*($AN$7-$AM$7))),$AM$7)</f>
        <v/>
      </c>
      <c r="AN759">
        <f>IFERROR(IF(AW759&lt;($AM$8-$AL$8)/($AN$8-$AL$8),$AL$8+SQRT(AW759*($AN$8-$AL$8)*($AM$8-$AL$8)),$AN$8-SQRT((1-AW759)*($AN$8-$AL$8)*($AN$8-$AM$8))),$AM$8)</f>
        <v/>
      </c>
      <c r="AO759">
        <f>IFERROR(IF(AX759&lt;($AM$9-$AL$9)/($AN$9-$AL$9),$AL$9+SQRT(AX759*($AN$9-$AL$9)*($AM$9-$AL$9)),$AN$9-SQRT((1-AX759)*($AN$9-$AL$9)*($AN$9-$AM$9))),$AM$9)</f>
        <v/>
      </c>
      <c r="AP759">
        <f>IFERROR(IF(AY759&lt;($AM$10-$AL$10)/($AN$10-$AL$10),$AL$10+SQRT(AY759*($AN$10-$AL$10)*($AM$10-$AL$10)),$AN$10-SQRT((1-AY759)*($AN$10-$AL$10)*($AN$10-$AM$10))),$AM$10)</f>
        <v/>
      </c>
      <c r="AQ759">
        <f>IFERROR(IF(AZ759&lt;($AM$11-$AL$11)/($AN$11-$AL$11),$AL$11+SQRT(AZ759*($AN$11-$AL$11)*($AM$11-$AL$11)),$AN$11-SQRT((1-AZ759)*($AN$11-$AL$11)*($AN$11-$AM$11))),$AM$11)</f>
        <v/>
      </c>
      <c r="AR759">
        <f>SUMPRODUCT((B24:B31&lt;=$B$6)*(C24:C31*AM759+D24:D31*AO759*$B$8*AQ759)/(1+AL759/100)^B24:B31)+C32*AM759*AP759/(1+AL759/100)^$B$6</f>
        <v/>
      </c>
      <c r="AS759">
        <f>SUMPRODUCT((K24:K26&lt;=$B$6)*(L24:L26*AN759+M24:M26*AO759*$B$8*AQ759)/(1+AL759/100)^K24:K26)+L27*AN759*AP759/(1+AL759/100)^$B$6</f>
        <v/>
      </c>
      <c r="AT759">
        <f>AS759-AR759</f>
        <v/>
      </c>
      <c r="AU759">
        <f>RAND()</f>
        <v/>
      </c>
      <c r="AV759">
        <f>RAND()</f>
        <v/>
      </c>
      <c r="AW759">
        <f>RAND()</f>
        <v/>
      </c>
      <c r="AX759">
        <f>RAND()</f>
        <v/>
      </c>
      <c r="AY759">
        <f>RAND()</f>
        <v/>
      </c>
      <c r="AZ759">
        <f>RAND()</f>
        <v/>
      </c>
    </row>
    <row r="760">
      <c r="AK760" t="n">
        <v>747</v>
      </c>
      <c r="AL760">
        <f>IFERROR(IF(AU760&lt;($AM$6-$AL$6)/($AN$6-$AL$6),$AL$6+SQRT(AU760*($AN$6-$AL$6)*($AM$6-$AL$6)),$AN$6-SQRT((1-AU760)*($AN$6-$AL$6)*($AN$6-$AM$6))),$AM$6)</f>
        <v/>
      </c>
      <c r="AM760">
        <f>IFERROR(IF(AV760&lt;($AM$7-$AL$7)/($AN$7-$AL$7),$AL$7+SQRT(AV760*($AN$7-$AL$7)*($AM$7-$AL$7)),$AN$7-SQRT((1-AV760)*($AN$7-$AL$7)*($AN$7-$AM$7))),$AM$7)</f>
        <v/>
      </c>
      <c r="AN760">
        <f>IFERROR(IF(AW760&lt;($AM$8-$AL$8)/($AN$8-$AL$8),$AL$8+SQRT(AW760*($AN$8-$AL$8)*($AM$8-$AL$8)),$AN$8-SQRT((1-AW760)*($AN$8-$AL$8)*($AN$8-$AM$8))),$AM$8)</f>
        <v/>
      </c>
      <c r="AO760">
        <f>IFERROR(IF(AX760&lt;($AM$9-$AL$9)/($AN$9-$AL$9),$AL$9+SQRT(AX760*($AN$9-$AL$9)*($AM$9-$AL$9)),$AN$9-SQRT((1-AX760)*($AN$9-$AL$9)*($AN$9-$AM$9))),$AM$9)</f>
        <v/>
      </c>
      <c r="AP760">
        <f>IFERROR(IF(AY760&lt;($AM$10-$AL$10)/($AN$10-$AL$10),$AL$10+SQRT(AY760*($AN$10-$AL$10)*($AM$10-$AL$10)),$AN$10-SQRT((1-AY760)*($AN$10-$AL$10)*($AN$10-$AM$10))),$AM$10)</f>
        <v/>
      </c>
      <c r="AQ760">
        <f>IFERROR(IF(AZ760&lt;($AM$11-$AL$11)/($AN$11-$AL$11),$AL$11+SQRT(AZ760*($AN$11-$AL$11)*($AM$11-$AL$11)),$AN$11-SQRT((1-AZ760)*($AN$11-$AL$11)*($AN$11-$AM$11))),$AM$11)</f>
        <v/>
      </c>
      <c r="AR760">
        <f>SUMPRODUCT((B24:B31&lt;=$B$6)*(C24:C31*AM760+D24:D31*AO760*$B$8*AQ760)/(1+AL760/100)^B24:B31)+C32*AM760*AP760/(1+AL760/100)^$B$6</f>
        <v/>
      </c>
      <c r="AS760">
        <f>SUMPRODUCT((K24:K26&lt;=$B$6)*(L24:L26*AN760+M24:M26*AO760*$B$8*AQ760)/(1+AL760/100)^K24:K26)+L27*AN760*AP760/(1+AL760/100)^$B$6</f>
        <v/>
      </c>
      <c r="AT760">
        <f>AS760-AR760</f>
        <v/>
      </c>
      <c r="AU760">
        <f>RAND()</f>
        <v/>
      </c>
      <c r="AV760">
        <f>RAND()</f>
        <v/>
      </c>
      <c r="AW760">
        <f>RAND()</f>
        <v/>
      </c>
      <c r="AX760">
        <f>RAND()</f>
        <v/>
      </c>
      <c r="AY760">
        <f>RAND()</f>
        <v/>
      </c>
      <c r="AZ760">
        <f>RAND()</f>
        <v/>
      </c>
    </row>
    <row r="761">
      <c r="AK761" t="n">
        <v>748</v>
      </c>
      <c r="AL761">
        <f>IFERROR(IF(AU761&lt;($AM$6-$AL$6)/($AN$6-$AL$6),$AL$6+SQRT(AU761*($AN$6-$AL$6)*($AM$6-$AL$6)),$AN$6-SQRT((1-AU761)*($AN$6-$AL$6)*($AN$6-$AM$6))),$AM$6)</f>
        <v/>
      </c>
      <c r="AM761">
        <f>IFERROR(IF(AV761&lt;($AM$7-$AL$7)/($AN$7-$AL$7),$AL$7+SQRT(AV761*($AN$7-$AL$7)*($AM$7-$AL$7)),$AN$7-SQRT((1-AV761)*($AN$7-$AL$7)*($AN$7-$AM$7))),$AM$7)</f>
        <v/>
      </c>
      <c r="AN761">
        <f>IFERROR(IF(AW761&lt;($AM$8-$AL$8)/($AN$8-$AL$8),$AL$8+SQRT(AW761*($AN$8-$AL$8)*($AM$8-$AL$8)),$AN$8-SQRT((1-AW761)*($AN$8-$AL$8)*($AN$8-$AM$8))),$AM$8)</f>
        <v/>
      </c>
      <c r="AO761">
        <f>IFERROR(IF(AX761&lt;($AM$9-$AL$9)/($AN$9-$AL$9),$AL$9+SQRT(AX761*($AN$9-$AL$9)*($AM$9-$AL$9)),$AN$9-SQRT((1-AX761)*($AN$9-$AL$9)*($AN$9-$AM$9))),$AM$9)</f>
        <v/>
      </c>
      <c r="AP761">
        <f>IFERROR(IF(AY761&lt;($AM$10-$AL$10)/($AN$10-$AL$10),$AL$10+SQRT(AY761*($AN$10-$AL$10)*($AM$10-$AL$10)),$AN$10-SQRT((1-AY761)*($AN$10-$AL$10)*($AN$10-$AM$10))),$AM$10)</f>
        <v/>
      </c>
      <c r="AQ761">
        <f>IFERROR(IF(AZ761&lt;($AM$11-$AL$11)/($AN$11-$AL$11),$AL$11+SQRT(AZ761*($AN$11-$AL$11)*($AM$11-$AL$11)),$AN$11-SQRT((1-AZ761)*($AN$11-$AL$11)*($AN$11-$AM$11))),$AM$11)</f>
        <v/>
      </c>
      <c r="AR761">
        <f>SUMPRODUCT((B24:B31&lt;=$B$6)*(C24:C31*AM761+D24:D31*AO761*$B$8*AQ761)/(1+AL761/100)^B24:B31)+C32*AM761*AP761/(1+AL761/100)^$B$6</f>
        <v/>
      </c>
      <c r="AS761">
        <f>SUMPRODUCT((K24:K26&lt;=$B$6)*(L24:L26*AN761+M24:M26*AO761*$B$8*AQ761)/(1+AL761/100)^K24:K26)+L27*AN761*AP761/(1+AL761/100)^$B$6</f>
        <v/>
      </c>
      <c r="AT761">
        <f>AS761-AR761</f>
        <v/>
      </c>
      <c r="AU761">
        <f>RAND()</f>
        <v/>
      </c>
      <c r="AV761">
        <f>RAND()</f>
        <v/>
      </c>
      <c r="AW761">
        <f>RAND()</f>
        <v/>
      </c>
      <c r="AX761">
        <f>RAND()</f>
        <v/>
      </c>
      <c r="AY761">
        <f>RAND()</f>
        <v/>
      </c>
      <c r="AZ761">
        <f>RAND()</f>
        <v/>
      </c>
    </row>
    <row r="762">
      <c r="AK762" t="n">
        <v>749</v>
      </c>
      <c r="AL762">
        <f>IFERROR(IF(AU762&lt;($AM$6-$AL$6)/($AN$6-$AL$6),$AL$6+SQRT(AU762*($AN$6-$AL$6)*($AM$6-$AL$6)),$AN$6-SQRT((1-AU762)*($AN$6-$AL$6)*($AN$6-$AM$6))),$AM$6)</f>
        <v/>
      </c>
      <c r="AM762">
        <f>IFERROR(IF(AV762&lt;($AM$7-$AL$7)/($AN$7-$AL$7),$AL$7+SQRT(AV762*($AN$7-$AL$7)*($AM$7-$AL$7)),$AN$7-SQRT((1-AV762)*($AN$7-$AL$7)*($AN$7-$AM$7))),$AM$7)</f>
        <v/>
      </c>
      <c r="AN762">
        <f>IFERROR(IF(AW762&lt;($AM$8-$AL$8)/($AN$8-$AL$8),$AL$8+SQRT(AW762*($AN$8-$AL$8)*($AM$8-$AL$8)),$AN$8-SQRT((1-AW762)*($AN$8-$AL$8)*($AN$8-$AM$8))),$AM$8)</f>
        <v/>
      </c>
      <c r="AO762">
        <f>IFERROR(IF(AX762&lt;($AM$9-$AL$9)/($AN$9-$AL$9),$AL$9+SQRT(AX762*($AN$9-$AL$9)*($AM$9-$AL$9)),$AN$9-SQRT((1-AX762)*($AN$9-$AL$9)*($AN$9-$AM$9))),$AM$9)</f>
        <v/>
      </c>
      <c r="AP762">
        <f>IFERROR(IF(AY762&lt;($AM$10-$AL$10)/($AN$10-$AL$10),$AL$10+SQRT(AY762*($AN$10-$AL$10)*($AM$10-$AL$10)),$AN$10-SQRT((1-AY762)*($AN$10-$AL$10)*($AN$10-$AM$10))),$AM$10)</f>
        <v/>
      </c>
      <c r="AQ762">
        <f>IFERROR(IF(AZ762&lt;($AM$11-$AL$11)/($AN$11-$AL$11),$AL$11+SQRT(AZ762*($AN$11-$AL$11)*($AM$11-$AL$11)),$AN$11-SQRT((1-AZ762)*($AN$11-$AL$11)*($AN$11-$AM$11))),$AM$11)</f>
        <v/>
      </c>
      <c r="AR762">
        <f>SUMPRODUCT((B24:B31&lt;=$B$6)*(C24:C31*AM762+D24:D31*AO762*$B$8*AQ762)/(1+AL762/100)^B24:B31)+C32*AM762*AP762/(1+AL762/100)^$B$6</f>
        <v/>
      </c>
      <c r="AS762">
        <f>SUMPRODUCT((K24:K26&lt;=$B$6)*(L24:L26*AN762+M24:M26*AO762*$B$8*AQ762)/(1+AL762/100)^K24:K26)+L27*AN762*AP762/(1+AL762/100)^$B$6</f>
        <v/>
      </c>
      <c r="AT762">
        <f>AS762-AR762</f>
        <v/>
      </c>
      <c r="AU762">
        <f>RAND()</f>
        <v/>
      </c>
      <c r="AV762">
        <f>RAND()</f>
        <v/>
      </c>
      <c r="AW762">
        <f>RAND()</f>
        <v/>
      </c>
      <c r="AX762">
        <f>RAND()</f>
        <v/>
      </c>
      <c r="AY762">
        <f>RAND()</f>
        <v/>
      </c>
      <c r="AZ762">
        <f>RAND()</f>
        <v/>
      </c>
    </row>
    <row r="763">
      <c r="AK763" t="n">
        <v>750</v>
      </c>
      <c r="AL763">
        <f>IFERROR(IF(AU763&lt;($AM$6-$AL$6)/($AN$6-$AL$6),$AL$6+SQRT(AU763*($AN$6-$AL$6)*($AM$6-$AL$6)),$AN$6-SQRT((1-AU763)*($AN$6-$AL$6)*($AN$6-$AM$6))),$AM$6)</f>
        <v/>
      </c>
      <c r="AM763">
        <f>IFERROR(IF(AV763&lt;($AM$7-$AL$7)/($AN$7-$AL$7),$AL$7+SQRT(AV763*($AN$7-$AL$7)*($AM$7-$AL$7)),$AN$7-SQRT((1-AV763)*($AN$7-$AL$7)*($AN$7-$AM$7))),$AM$7)</f>
        <v/>
      </c>
      <c r="AN763">
        <f>IFERROR(IF(AW763&lt;($AM$8-$AL$8)/($AN$8-$AL$8),$AL$8+SQRT(AW763*($AN$8-$AL$8)*($AM$8-$AL$8)),$AN$8-SQRT((1-AW763)*($AN$8-$AL$8)*($AN$8-$AM$8))),$AM$8)</f>
        <v/>
      </c>
      <c r="AO763">
        <f>IFERROR(IF(AX763&lt;($AM$9-$AL$9)/($AN$9-$AL$9),$AL$9+SQRT(AX763*($AN$9-$AL$9)*($AM$9-$AL$9)),$AN$9-SQRT((1-AX763)*($AN$9-$AL$9)*($AN$9-$AM$9))),$AM$9)</f>
        <v/>
      </c>
      <c r="AP763">
        <f>IFERROR(IF(AY763&lt;($AM$10-$AL$10)/($AN$10-$AL$10),$AL$10+SQRT(AY763*($AN$10-$AL$10)*($AM$10-$AL$10)),$AN$10-SQRT((1-AY763)*($AN$10-$AL$10)*($AN$10-$AM$10))),$AM$10)</f>
        <v/>
      </c>
      <c r="AQ763">
        <f>IFERROR(IF(AZ763&lt;($AM$11-$AL$11)/($AN$11-$AL$11),$AL$11+SQRT(AZ763*($AN$11-$AL$11)*($AM$11-$AL$11)),$AN$11-SQRT((1-AZ763)*($AN$11-$AL$11)*($AN$11-$AM$11))),$AM$11)</f>
        <v/>
      </c>
      <c r="AR763">
        <f>SUMPRODUCT((B24:B31&lt;=$B$6)*(C24:C31*AM763+D24:D31*AO763*$B$8*AQ763)/(1+AL763/100)^B24:B31)+C32*AM763*AP763/(1+AL763/100)^$B$6</f>
        <v/>
      </c>
      <c r="AS763">
        <f>SUMPRODUCT((K24:K26&lt;=$B$6)*(L24:L26*AN763+M24:M26*AO763*$B$8*AQ763)/(1+AL763/100)^K24:K26)+L27*AN763*AP763/(1+AL763/100)^$B$6</f>
        <v/>
      </c>
      <c r="AT763">
        <f>AS763-AR763</f>
        <v/>
      </c>
      <c r="AU763">
        <f>RAND()</f>
        <v/>
      </c>
      <c r="AV763">
        <f>RAND()</f>
        <v/>
      </c>
      <c r="AW763">
        <f>RAND()</f>
        <v/>
      </c>
      <c r="AX763">
        <f>RAND()</f>
        <v/>
      </c>
      <c r="AY763">
        <f>RAND()</f>
        <v/>
      </c>
      <c r="AZ763">
        <f>RAND()</f>
        <v/>
      </c>
    </row>
    <row r="764">
      <c r="AK764" t="n">
        <v>751</v>
      </c>
      <c r="AL764">
        <f>IFERROR(IF(AU764&lt;($AM$6-$AL$6)/($AN$6-$AL$6),$AL$6+SQRT(AU764*($AN$6-$AL$6)*($AM$6-$AL$6)),$AN$6-SQRT((1-AU764)*($AN$6-$AL$6)*($AN$6-$AM$6))),$AM$6)</f>
        <v/>
      </c>
      <c r="AM764">
        <f>IFERROR(IF(AV764&lt;($AM$7-$AL$7)/($AN$7-$AL$7),$AL$7+SQRT(AV764*($AN$7-$AL$7)*($AM$7-$AL$7)),$AN$7-SQRT((1-AV764)*($AN$7-$AL$7)*($AN$7-$AM$7))),$AM$7)</f>
        <v/>
      </c>
      <c r="AN764">
        <f>IFERROR(IF(AW764&lt;($AM$8-$AL$8)/($AN$8-$AL$8),$AL$8+SQRT(AW764*($AN$8-$AL$8)*($AM$8-$AL$8)),$AN$8-SQRT((1-AW764)*($AN$8-$AL$8)*($AN$8-$AM$8))),$AM$8)</f>
        <v/>
      </c>
      <c r="AO764">
        <f>IFERROR(IF(AX764&lt;($AM$9-$AL$9)/($AN$9-$AL$9),$AL$9+SQRT(AX764*($AN$9-$AL$9)*($AM$9-$AL$9)),$AN$9-SQRT((1-AX764)*($AN$9-$AL$9)*($AN$9-$AM$9))),$AM$9)</f>
        <v/>
      </c>
      <c r="AP764">
        <f>IFERROR(IF(AY764&lt;($AM$10-$AL$10)/($AN$10-$AL$10),$AL$10+SQRT(AY764*($AN$10-$AL$10)*($AM$10-$AL$10)),$AN$10-SQRT((1-AY764)*($AN$10-$AL$10)*($AN$10-$AM$10))),$AM$10)</f>
        <v/>
      </c>
      <c r="AQ764">
        <f>IFERROR(IF(AZ764&lt;($AM$11-$AL$11)/($AN$11-$AL$11),$AL$11+SQRT(AZ764*($AN$11-$AL$11)*($AM$11-$AL$11)),$AN$11-SQRT((1-AZ764)*($AN$11-$AL$11)*($AN$11-$AM$11))),$AM$11)</f>
        <v/>
      </c>
      <c r="AR764">
        <f>SUMPRODUCT((B24:B31&lt;=$B$6)*(C24:C31*AM764+D24:D31*AO764*$B$8*AQ764)/(1+AL764/100)^B24:B31)+C32*AM764*AP764/(1+AL764/100)^$B$6</f>
        <v/>
      </c>
      <c r="AS764">
        <f>SUMPRODUCT((K24:K26&lt;=$B$6)*(L24:L26*AN764+M24:M26*AO764*$B$8*AQ764)/(1+AL764/100)^K24:K26)+L27*AN764*AP764/(1+AL764/100)^$B$6</f>
        <v/>
      </c>
      <c r="AT764">
        <f>AS764-AR764</f>
        <v/>
      </c>
      <c r="AU764">
        <f>RAND()</f>
        <v/>
      </c>
      <c r="AV764">
        <f>RAND()</f>
        <v/>
      </c>
      <c r="AW764">
        <f>RAND()</f>
        <v/>
      </c>
      <c r="AX764">
        <f>RAND()</f>
        <v/>
      </c>
      <c r="AY764">
        <f>RAND()</f>
        <v/>
      </c>
      <c r="AZ764">
        <f>RAND()</f>
        <v/>
      </c>
    </row>
    <row r="765">
      <c r="AK765" t="n">
        <v>752</v>
      </c>
      <c r="AL765">
        <f>IFERROR(IF(AU765&lt;($AM$6-$AL$6)/($AN$6-$AL$6),$AL$6+SQRT(AU765*($AN$6-$AL$6)*($AM$6-$AL$6)),$AN$6-SQRT((1-AU765)*($AN$6-$AL$6)*($AN$6-$AM$6))),$AM$6)</f>
        <v/>
      </c>
      <c r="AM765">
        <f>IFERROR(IF(AV765&lt;($AM$7-$AL$7)/($AN$7-$AL$7),$AL$7+SQRT(AV765*($AN$7-$AL$7)*($AM$7-$AL$7)),$AN$7-SQRT((1-AV765)*($AN$7-$AL$7)*($AN$7-$AM$7))),$AM$7)</f>
        <v/>
      </c>
      <c r="AN765">
        <f>IFERROR(IF(AW765&lt;($AM$8-$AL$8)/($AN$8-$AL$8),$AL$8+SQRT(AW765*($AN$8-$AL$8)*($AM$8-$AL$8)),$AN$8-SQRT((1-AW765)*($AN$8-$AL$8)*($AN$8-$AM$8))),$AM$8)</f>
        <v/>
      </c>
      <c r="AO765">
        <f>IFERROR(IF(AX765&lt;($AM$9-$AL$9)/($AN$9-$AL$9),$AL$9+SQRT(AX765*($AN$9-$AL$9)*($AM$9-$AL$9)),$AN$9-SQRT((1-AX765)*($AN$9-$AL$9)*($AN$9-$AM$9))),$AM$9)</f>
        <v/>
      </c>
      <c r="AP765">
        <f>IFERROR(IF(AY765&lt;($AM$10-$AL$10)/($AN$10-$AL$10),$AL$10+SQRT(AY765*($AN$10-$AL$10)*($AM$10-$AL$10)),$AN$10-SQRT((1-AY765)*($AN$10-$AL$10)*($AN$10-$AM$10))),$AM$10)</f>
        <v/>
      </c>
      <c r="AQ765">
        <f>IFERROR(IF(AZ765&lt;($AM$11-$AL$11)/($AN$11-$AL$11),$AL$11+SQRT(AZ765*($AN$11-$AL$11)*($AM$11-$AL$11)),$AN$11-SQRT((1-AZ765)*($AN$11-$AL$11)*($AN$11-$AM$11))),$AM$11)</f>
        <v/>
      </c>
      <c r="AR765">
        <f>SUMPRODUCT((B24:B31&lt;=$B$6)*(C24:C31*AM765+D24:D31*AO765*$B$8*AQ765)/(1+AL765/100)^B24:B31)+C32*AM765*AP765/(1+AL765/100)^$B$6</f>
        <v/>
      </c>
      <c r="AS765">
        <f>SUMPRODUCT((K24:K26&lt;=$B$6)*(L24:L26*AN765+M24:M26*AO765*$B$8*AQ765)/(1+AL765/100)^K24:K26)+L27*AN765*AP765/(1+AL765/100)^$B$6</f>
        <v/>
      </c>
      <c r="AT765">
        <f>AS765-AR765</f>
        <v/>
      </c>
      <c r="AU765">
        <f>RAND()</f>
        <v/>
      </c>
      <c r="AV765">
        <f>RAND()</f>
        <v/>
      </c>
      <c r="AW765">
        <f>RAND()</f>
        <v/>
      </c>
      <c r="AX765">
        <f>RAND()</f>
        <v/>
      </c>
      <c r="AY765">
        <f>RAND()</f>
        <v/>
      </c>
      <c r="AZ765">
        <f>RAND()</f>
        <v/>
      </c>
    </row>
    <row r="766">
      <c r="AK766" t="n">
        <v>753</v>
      </c>
      <c r="AL766">
        <f>IFERROR(IF(AU766&lt;($AM$6-$AL$6)/($AN$6-$AL$6),$AL$6+SQRT(AU766*($AN$6-$AL$6)*($AM$6-$AL$6)),$AN$6-SQRT((1-AU766)*($AN$6-$AL$6)*($AN$6-$AM$6))),$AM$6)</f>
        <v/>
      </c>
      <c r="AM766">
        <f>IFERROR(IF(AV766&lt;($AM$7-$AL$7)/($AN$7-$AL$7),$AL$7+SQRT(AV766*($AN$7-$AL$7)*($AM$7-$AL$7)),$AN$7-SQRT((1-AV766)*($AN$7-$AL$7)*($AN$7-$AM$7))),$AM$7)</f>
        <v/>
      </c>
      <c r="AN766">
        <f>IFERROR(IF(AW766&lt;($AM$8-$AL$8)/($AN$8-$AL$8),$AL$8+SQRT(AW766*($AN$8-$AL$8)*($AM$8-$AL$8)),$AN$8-SQRT((1-AW766)*($AN$8-$AL$8)*($AN$8-$AM$8))),$AM$8)</f>
        <v/>
      </c>
      <c r="AO766">
        <f>IFERROR(IF(AX766&lt;($AM$9-$AL$9)/($AN$9-$AL$9),$AL$9+SQRT(AX766*($AN$9-$AL$9)*($AM$9-$AL$9)),$AN$9-SQRT((1-AX766)*($AN$9-$AL$9)*($AN$9-$AM$9))),$AM$9)</f>
        <v/>
      </c>
      <c r="AP766">
        <f>IFERROR(IF(AY766&lt;($AM$10-$AL$10)/($AN$10-$AL$10),$AL$10+SQRT(AY766*($AN$10-$AL$10)*($AM$10-$AL$10)),$AN$10-SQRT((1-AY766)*($AN$10-$AL$10)*($AN$10-$AM$10))),$AM$10)</f>
        <v/>
      </c>
      <c r="AQ766">
        <f>IFERROR(IF(AZ766&lt;($AM$11-$AL$11)/($AN$11-$AL$11),$AL$11+SQRT(AZ766*($AN$11-$AL$11)*($AM$11-$AL$11)),$AN$11-SQRT((1-AZ766)*($AN$11-$AL$11)*($AN$11-$AM$11))),$AM$11)</f>
        <v/>
      </c>
      <c r="AR766">
        <f>SUMPRODUCT((B24:B31&lt;=$B$6)*(C24:C31*AM766+D24:D31*AO766*$B$8*AQ766)/(1+AL766/100)^B24:B31)+C32*AM766*AP766/(1+AL766/100)^$B$6</f>
        <v/>
      </c>
      <c r="AS766">
        <f>SUMPRODUCT((K24:K26&lt;=$B$6)*(L24:L26*AN766+M24:M26*AO766*$B$8*AQ766)/(1+AL766/100)^K24:K26)+L27*AN766*AP766/(1+AL766/100)^$B$6</f>
        <v/>
      </c>
      <c r="AT766">
        <f>AS766-AR766</f>
        <v/>
      </c>
      <c r="AU766">
        <f>RAND()</f>
        <v/>
      </c>
      <c r="AV766">
        <f>RAND()</f>
        <v/>
      </c>
      <c r="AW766">
        <f>RAND()</f>
        <v/>
      </c>
      <c r="AX766">
        <f>RAND()</f>
        <v/>
      </c>
      <c r="AY766">
        <f>RAND()</f>
        <v/>
      </c>
      <c r="AZ766">
        <f>RAND()</f>
        <v/>
      </c>
    </row>
    <row r="767">
      <c r="AK767" t="n">
        <v>754</v>
      </c>
      <c r="AL767">
        <f>IFERROR(IF(AU767&lt;($AM$6-$AL$6)/($AN$6-$AL$6),$AL$6+SQRT(AU767*($AN$6-$AL$6)*($AM$6-$AL$6)),$AN$6-SQRT((1-AU767)*($AN$6-$AL$6)*($AN$6-$AM$6))),$AM$6)</f>
        <v/>
      </c>
      <c r="AM767">
        <f>IFERROR(IF(AV767&lt;($AM$7-$AL$7)/($AN$7-$AL$7),$AL$7+SQRT(AV767*($AN$7-$AL$7)*($AM$7-$AL$7)),$AN$7-SQRT((1-AV767)*($AN$7-$AL$7)*($AN$7-$AM$7))),$AM$7)</f>
        <v/>
      </c>
      <c r="AN767">
        <f>IFERROR(IF(AW767&lt;($AM$8-$AL$8)/($AN$8-$AL$8),$AL$8+SQRT(AW767*($AN$8-$AL$8)*($AM$8-$AL$8)),$AN$8-SQRT((1-AW767)*($AN$8-$AL$8)*($AN$8-$AM$8))),$AM$8)</f>
        <v/>
      </c>
      <c r="AO767">
        <f>IFERROR(IF(AX767&lt;($AM$9-$AL$9)/($AN$9-$AL$9),$AL$9+SQRT(AX767*($AN$9-$AL$9)*($AM$9-$AL$9)),$AN$9-SQRT((1-AX767)*($AN$9-$AL$9)*($AN$9-$AM$9))),$AM$9)</f>
        <v/>
      </c>
      <c r="AP767">
        <f>IFERROR(IF(AY767&lt;($AM$10-$AL$10)/($AN$10-$AL$10),$AL$10+SQRT(AY767*($AN$10-$AL$10)*($AM$10-$AL$10)),$AN$10-SQRT((1-AY767)*($AN$10-$AL$10)*($AN$10-$AM$10))),$AM$10)</f>
        <v/>
      </c>
      <c r="AQ767">
        <f>IFERROR(IF(AZ767&lt;($AM$11-$AL$11)/($AN$11-$AL$11),$AL$11+SQRT(AZ767*($AN$11-$AL$11)*($AM$11-$AL$11)),$AN$11-SQRT((1-AZ767)*($AN$11-$AL$11)*($AN$11-$AM$11))),$AM$11)</f>
        <v/>
      </c>
      <c r="AR767">
        <f>SUMPRODUCT((B24:B31&lt;=$B$6)*(C24:C31*AM767+D24:D31*AO767*$B$8*AQ767)/(1+AL767/100)^B24:B31)+C32*AM767*AP767/(1+AL767/100)^$B$6</f>
        <v/>
      </c>
      <c r="AS767">
        <f>SUMPRODUCT((K24:K26&lt;=$B$6)*(L24:L26*AN767+M24:M26*AO767*$B$8*AQ767)/(1+AL767/100)^K24:K26)+L27*AN767*AP767/(1+AL767/100)^$B$6</f>
        <v/>
      </c>
      <c r="AT767">
        <f>AS767-AR767</f>
        <v/>
      </c>
      <c r="AU767">
        <f>RAND()</f>
        <v/>
      </c>
      <c r="AV767">
        <f>RAND()</f>
        <v/>
      </c>
      <c r="AW767">
        <f>RAND()</f>
        <v/>
      </c>
      <c r="AX767">
        <f>RAND()</f>
        <v/>
      </c>
      <c r="AY767">
        <f>RAND()</f>
        <v/>
      </c>
      <c r="AZ767">
        <f>RAND()</f>
        <v/>
      </c>
    </row>
    <row r="768">
      <c r="AK768" t="n">
        <v>755</v>
      </c>
      <c r="AL768">
        <f>IFERROR(IF(AU768&lt;($AM$6-$AL$6)/($AN$6-$AL$6),$AL$6+SQRT(AU768*($AN$6-$AL$6)*($AM$6-$AL$6)),$AN$6-SQRT((1-AU768)*($AN$6-$AL$6)*($AN$6-$AM$6))),$AM$6)</f>
        <v/>
      </c>
      <c r="AM768">
        <f>IFERROR(IF(AV768&lt;($AM$7-$AL$7)/($AN$7-$AL$7),$AL$7+SQRT(AV768*($AN$7-$AL$7)*($AM$7-$AL$7)),$AN$7-SQRT((1-AV768)*($AN$7-$AL$7)*($AN$7-$AM$7))),$AM$7)</f>
        <v/>
      </c>
      <c r="AN768">
        <f>IFERROR(IF(AW768&lt;($AM$8-$AL$8)/($AN$8-$AL$8),$AL$8+SQRT(AW768*($AN$8-$AL$8)*($AM$8-$AL$8)),$AN$8-SQRT((1-AW768)*($AN$8-$AL$8)*($AN$8-$AM$8))),$AM$8)</f>
        <v/>
      </c>
      <c r="AO768">
        <f>IFERROR(IF(AX768&lt;($AM$9-$AL$9)/($AN$9-$AL$9),$AL$9+SQRT(AX768*($AN$9-$AL$9)*($AM$9-$AL$9)),$AN$9-SQRT((1-AX768)*($AN$9-$AL$9)*($AN$9-$AM$9))),$AM$9)</f>
        <v/>
      </c>
      <c r="AP768">
        <f>IFERROR(IF(AY768&lt;($AM$10-$AL$10)/($AN$10-$AL$10),$AL$10+SQRT(AY768*($AN$10-$AL$10)*($AM$10-$AL$10)),$AN$10-SQRT((1-AY768)*($AN$10-$AL$10)*($AN$10-$AM$10))),$AM$10)</f>
        <v/>
      </c>
      <c r="AQ768">
        <f>IFERROR(IF(AZ768&lt;($AM$11-$AL$11)/($AN$11-$AL$11),$AL$11+SQRT(AZ768*($AN$11-$AL$11)*($AM$11-$AL$11)),$AN$11-SQRT((1-AZ768)*($AN$11-$AL$11)*($AN$11-$AM$11))),$AM$11)</f>
        <v/>
      </c>
      <c r="AR768">
        <f>SUMPRODUCT((B24:B31&lt;=$B$6)*(C24:C31*AM768+D24:D31*AO768*$B$8*AQ768)/(1+AL768/100)^B24:B31)+C32*AM768*AP768/(1+AL768/100)^$B$6</f>
        <v/>
      </c>
      <c r="AS768">
        <f>SUMPRODUCT((K24:K26&lt;=$B$6)*(L24:L26*AN768+M24:M26*AO768*$B$8*AQ768)/(1+AL768/100)^K24:K26)+L27*AN768*AP768/(1+AL768/100)^$B$6</f>
        <v/>
      </c>
      <c r="AT768">
        <f>AS768-AR768</f>
        <v/>
      </c>
      <c r="AU768">
        <f>RAND()</f>
        <v/>
      </c>
      <c r="AV768">
        <f>RAND()</f>
        <v/>
      </c>
      <c r="AW768">
        <f>RAND()</f>
        <v/>
      </c>
      <c r="AX768">
        <f>RAND()</f>
        <v/>
      </c>
      <c r="AY768">
        <f>RAND()</f>
        <v/>
      </c>
      <c r="AZ768">
        <f>RAND()</f>
        <v/>
      </c>
    </row>
    <row r="769">
      <c r="AK769" t="n">
        <v>756</v>
      </c>
      <c r="AL769">
        <f>IFERROR(IF(AU769&lt;($AM$6-$AL$6)/($AN$6-$AL$6),$AL$6+SQRT(AU769*($AN$6-$AL$6)*($AM$6-$AL$6)),$AN$6-SQRT((1-AU769)*($AN$6-$AL$6)*($AN$6-$AM$6))),$AM$6)</f>
        <v/>
      </c>
      <c r="AM769">
        <f>IFERROR(IF(AV769&lt;($AM$7-$AL$7)/($AN$7-$AL$7),$AL$7+SQRT(AV769*($AN$7-$AL$7)*($AM$7-$AL$7)),$AN$7-SQRT((1-AV769)*($AN$7-$AL$7)*($AN$7-$AM$7))),$AM$7)</f>
        <v/>
      </c>
      <c r="AN769">
        <f>IFERROR(IF(AW769&lt;($AM$8-$AL$8)/($AN$8-$AL$8),$AL$8+SQRT(AW769*($AN$8-$AL$8)*($AM$8-$AL$8)),$AN$8-SQRT((1-AW769)*($AN$8-$AL$8)*($AN$8-$AM$8))),$AM$8)</f>
        <v/>
      </c>
      <c r="AO769">
        <f>IFERROR(IF(AX769&lt;($AM$9-$AL$9)/($AN$9-$AL$9),$AL$9+SQRT(AX769*($AN$9-$AL$9)*($AM$9-$AL$9)),$AN$9-SQRT((1-AX769)*($AN$9-$AL$9)*($AN$9-$AM$9))),$AM$9)</f>
        <v/>
      </c>
      <c r="AP769">
        <f>IFERROR(IF(AY769&lt;($AM$10-$AL$10)/($AN$10-$AL$10),$AL$10+SQRT(AY769*($AN$10-$AL$10)*($AM$10-$AL$10)),$AN$10-SQRT((1-AY769)*($AN$10-$AL$10)*($AN$10-$AM$10))),$AM$10)</f>
        <v/>
      </c>
      <c r="AQ769">
        <f>IFERROR(IF(AZ769&lt;($AM$11-$AL$11)/($AN$11-$AL$11),$AL$11+SQRT(AZ769*($AN$11-$AL$11)*($AM$11-$AL$11)),$AN$11-SQRT((1-AZ769)*($AN$11-$AL$11)*($AN$11-$AM$11))),$AM$11)</f>
        <v/>
      </c>
      <c r="AR769">
        <f>SUMPRODUCT((B24:B31&lt;=$B$6)*(C24:C31*AM769+D24:D31*AO769*$B$8*AQ769)/(1+AL769/100)^B24:B31)+C32*AM769*AP769/(1+AL769/100)^$B$6</f>
        <v/>
      </c>
      <c r="AS769">
        <f>SUMPRODUCT((K24:K26&lt;=$B$6)*(L24:L26*AN769+M24:M26*AO769*$B$8*AQ769)/(1+AL769/100)^K24:K26)+L27*AN769*AP769/(1+AL769/100)^$B$6</f>
        <v/>
      </c>
      <c r="AT769">
        <f>AS769-AR769</f>
        <v/>
      </c>
      <c r="AU769">
        <f>RAND()</f>
        <v/>
      </c>
      <c r="AV769">
        <f>RAND()</f>
        <v/>
      </c>
      <c r="AW769">
        <f>RAND()</f>
        <v/>
      </c>
      <c r="AX769">
        <f>RAND()</f>
        <v/>
      </c>
      <c r="AY769">
        <f>RAND()</f>
        <v/>
      </c>
      <c r="AZ769">
        <f>RAND()</f>
        <v/>
      </c>
    </row>
    <row r="770">
      <c r="AK770" t="n">
        <v>757</v>
      </c>
      <c r="AL770">
        <f>IFERROR(IF(AU770&lt;($AM$6-$AL$6)/($AN$6-$AL$6),$AL$6+SQRT(AU770*($AN$6-$AL$6)*($AM$6-$AL$6)),$AN$6-SQRT((1-AU770)*($AN$6-$AL$6)*($AN$6-$AM$6))),$AM$6)</f>
        <v/>
      </c>
      <c r="AM770">
        <f>IFERROR(IF(AV770&lt;($AM$7-$AL$7)/($AN$7-$AL$7),$AL$7+SQRT(AV770*($AN$7-$AL$7)*($AM$7-$AL$7)),$AN$7-SQRT((1-AV770)*($AN$7-$AL$7)*($AN$7-$AM$7))),$AM$7)</f>
        <v/>
      </c>
      <c r="AN770">
        <f>IFERROR(IF(AW770&lt;($AM$8-$AL$8)/($AN$8-$AL$8),$AL$8+SQRT(AW770*($AN$8-$AL$8)*($AM$8-$AL$8)),$AN$8-SQRT((1-AW770)*($AN$8-$AL$8)*($AN$8-$AM$8))),$AM$8)</f>
        <v/>
      </c>
      <c r="AO770">
        <f>IFERROR(IF(AX770&lt;($AM$9-$AL$9)/($AN$9-$AL$9),$AL$9+SQRT(AX770*($AN$9-$AL$9)*($AM$9-$AL$9)),$AN$9-SQRT((1-AX770)*($AN$9-$AL$9)*($AN$9-$AM$9))),$AM$9)</f>
        <v/>
      </c>
      <c r="AP770">
        <f>IFERROR(IF(AY770&lt;($AM$10-$AL$10)/($AN$10-$AL$10),$AL$10+SQRT(AY770*($AN$10-$AL$10)*($AM$10-$AL$10)),$AN$10-SQRT((1-AY770)*($AN$10-$AL$10)*($AN$10-$AM$10))),$AM$10)</f>
        <v/>
      </c>
      <c r="AQ770">
        <f>IFERROR(IF(AZ770&lt;($AM$11-$AL$11)/($AN$11-$AL$11),$AL$11+SQRT(AZ770*($AN$11-$AL$11)*($AM$11-$AL$11)),$AN$11-SQRT((1-AZ770)*($AN$11-$AL$11)*($AN$11-$AM$11))),$AM$11)</f>
        <v/>
      </c>
      <c r="AR770">
        <f>SUMPRODUCT((B24:B31&lt;=$B$6)*(C24:C31*AM770+D24:D31*AO770*$B$8*AQ770)/(1+AL770/100)^B24:B31)+C32*AM770*AP770/(1+AL770/100)^$B$6</f>
        <v/>
      </c>
      <c r="AS770">
        <f>SUMPRODUCT((K24:K26&lt;=$B$6)*(L24:L26*AN770+M24:M26*AO770*$B$8*AQ770)/(1+AL770/100)^K24:K26)+L27*AN770*AP770/(1+AL770/100)^$B$6</f>
        <v/>
      </c>
      <c r="AT770">
        <f>AS770-AR770</f>
        <v/>
      </c>
      <c r="AU770">
        <f>RAND()</f>
        <v/>
      </c>
      <c r="AV770">
        <f>RAND()</f>
        <v/>
      </c>
      <c r="AW770">
        <f>RAND()</f>
        <v/>
      </c>
      <c r="AX770">
        <f>RAND()</f>
        <v/>
      </c>
      <c r="AY770">
        <f>RAND()</f>
        <v/>
      </c>
      <c r="AZ770">
        <f>RAND()</f>
        <v/>
      </c>
    </row>
    <row r="771">
      <c r="AK771" t="n">
        <v>758</v>
      </c>
      <c r="AL771">
        <f>IFERROR(IF(AU771&lt;($AM$6-$AL$6)/($AN$6-$AL$6),$AL$6+SQRT(AU771*($AN$6-$AL$6)*($AM$6-$AL$6)),$AN$6-SQRT((1-AU771)*($AN$6-$AL$6)*($AN$6-$AM$6))),$AM$6)</f>
        <v/>
      </c>
      <c r="AM771">
        <f>IFERROR(IF(AV771&lt;($AM$7-$AL$7)/($AN$7-$AL$7),$AL$7+SQRT(AV771*($AN$7-$AL$7)*($AM$7-$AL$7)),$AN$7-SQRT((1-AV771)*($AN$7-$AL$7)*($AN$7-$AM$7))),$AM$7)</f>
        <v/>
      </c>
      <c r="AN771">
        <f>IFERROR(IF(AW771&lt;($AM$8-$AL$8)/($AN$8-$AL$8),$AL$8+SQRT(AW771*($AN$8-$AL$8)*($AM$8-$AL$8)),$AN$8-SQRT((1-AW771)*($AN$8-$AL$8)*($AN$8-$AM$8))),$AM$8)</f>
        <v/>
      </c>
      <c r="AO771">
        <f>IFERROR(IF(AX771&lt;($AM$9-$AL$9)/($AN$9-$AL$9),$AL$9+SQRT(AX771*($AN$9-$AL$9)*($AM$9-$AL$9)),$AN$9-SQRT((1-AX771)*($AN$9-$AL$9)*($AN$9-$AM$9))),$AM$9)</f>
        <v/>
      </c>
      <c r="AP771">
        <f>IFERROR(IF(AY771&lt;($AM$10-$AL$10)/($AN$10-$AL$10),$AL$10+SQRT(AY771*($AN$10-$AL$10)*($AM$10-$AL$10)),$AN$10-SQRT((1-AY771)*($AN$10-$AL$10)*($AN$10-$AM$10))),$AM$10)</f>
        <v/>
      </c>
      <c r="AQ771">
        <f>IFERROR(IF(AZ771&lt;($AM$11-$AL$11)/($AN$11-$AL$11),$AL$11+SQRT(AZ771*($AN$11-$AL$11)*($AM$11-$AL$11)),$AN$11-SQRT((1-AZ771)*($AN$11-$AL$11)*($AN$11-$AM$11))),$AM$11)</f>
        <v/>
      </c>
      <c r="AR771">
        <f>SUMPRODUCT((B24:B31&lt;=$B$6)*(C24:C31*AM771+D24:D31*AO771*$B$8*AQ771)/(1+AL771/100)^B24:B31)+C32*AM771*AP771/(1+AL771/100)^$B$6</f>
        <v/>
      </c>
      <c r="AS771">
        <f>SUMPRODUCT((K24:K26&lt;=$B$6)*(L24:L26*AN771+M24:M26*AO771*$B$8*AQ771)/(1+AL771/100)^K24:K26)+L27*AN771*AP771/(1+AL771/100)^$B$6</f>
        <v/>
      </c>
      <c r="AT771">
        <f>AS771-AR771</f>
        <v/>
      </c>
      <c r="AU771">
        <f>RAND()</f>
        <v/>
      </c>
      <c r="AV771">
        <f>RAND()</f>
        <v/>
      </c>
      <c r="AW771">
        <f>RAND()</f>
        <v/>
      </c>
      <c r="AX771">
        <f>RAND()</f>
        <v/>
      </c>
      <c r="AY771">
        <f>RAND()</f>
        <v/>
      </c>
      <c r="AZ771">
        <f>RAND()</f>
        <v/>
      </c>
    </row>
    <row r="772">
      <c r="AK772" t="n">
        <v>759</v>
      </c>
      <c r="AL772">
        <f>IFERROR(IF(AU772&lt;($AM$6-$AL$6)/($AN$6-$AL$6),$AL$6+SQRT(AU772*($AN$6-$AL$6)*($AM$6-$AL$6)),$AN$6-SQRT((1-AU772)*($AN$6-$AL$6)*($AN$6-$AM$6))),$AM$6)</f>
        <v/>
      </c>
      <c r="AM772">
        <f>IFERROR(IF(AV772&lt;($AM$7-$AL$7)/($AN$7-$AL$7),$AL$7+SQRT(AV772*($AN$7-$AL$7)*($AM$7-$AL$7)),$AN$7-SQRT((1-AV772)*($AN$7-$AL$7)*($AN$7-$AM$7))),$AM$7)</f>
        <v/>
      </c>
      <c r="AN772">
        <f>IFERROR(IF(AW772&lt;($AM$8-$AL$8)/($AN$8-$AL$8),$AL$8+SQRT(AW772*($AN$8-$AL$8)*($AM$8-$AL$8)),$AN$8-SQRT((1-AW772)*($AN$8-$AL$8)*($AN$8-$AM$8))),$AM$8)</f>
        <v/>
      </c>
      <c r="AO772">
        <f>IFERROR(IF(AX772&lt;($AM$9-$AL$9)/($AN$9-$AL$9),$AL$9+SQRT(AX772*($AN$9-$AL$9)*($AM$9-$AL$9)),$AN$9-SQRT((1-AX772)*($AN$9-$AL$9)*($AN$9-$AM$9))),$AM$9)</f>
        <v/>
      </c>
      <c r="AP772">
        <f>IFERROR(IF(AY772&lt;($AM$10-$AL$10)/($AN$10-$AL$10),$AL$10+SQRT(AY772*($AN$10-$AL$10)*($AM$10-$AL$10)),$AN$10-SQRT((1-AY772)*($AN$10-$AL$10)*($AN$10-$AM$10))),$AM$10)</f>
        <v/>
      </c>
      <c r="AQ772">
        <f>IFERROR(IF(AZ772&lt;($AM$11-$AL$11)/($AN$11-$AL$11),$AL$11+SQRT(AZ772*($AN$11-$AL$11)*($AM$11-$AL$11)),$AN$11-SQRT((1-AZ772)*($AN$11-$AL$11)*($AN$11-$AM$11))),$AM$11)</f>
        <v/>
      </c>
      <c r="AR772">
        <f>SUMPRODUCT((B24:B31&lt;=$B$6)*(C24:C31*AM772+D24:D31*AO772*$B$8*AQ772)/(1+AL772/100)^B24:B31)+C32*AM772*AP772/(1+AL772/100)^$B$6</f>
        <v/>
      </c>
      <c r="AS772">
        <f>SUMPRODUCT((K24:K26&lt;=$B$6)*(L24:L26*AN772+M24:M26*AO772*$B$8*AQ772)/(1+AL772/100)^K24:K26)+L27*AN772*AP772/(1+AL772/100)^$B$6</f>
        <v/>
      </c>
      <c r="AT772">
        <f>AS772-AR772</f>
        <v/>
      </c>
      <c r="AU772">
        <f>RAND()</f>
        <v/>
      </c>
      <c r="AV772">
        <f>RAND()</f>
        <v/>
      </c>
      <c r="AW772">
        <f>RAND()</f>
        <v/>
      </c>
      <c r="AX772">
        <f>RAND()</f>
        <v/>
      </c>
      <c r="AY772">
        <f>RAND()</f>
        <v/>
      </c>
      <c r="AZ772">
        <f>RAND()</f>
        <v/>
      </c>
    </row>
    <row r="773">
      <c r="AK773" t="n">
        <v>760</v>
      </c>
      <c r="AL773">
        <f>IFERROR(IF(AU773&lt;($AM$6-$AL$6)/($AN$6-$AL$6),$AL$6+SQRT(AU773*($AN$6-$AL$6)*($AM$6-$AL$6)),$AN$6-SQRT((1-AU773)*($AN$6-$AL$6)*($AN$6-$AM$6))),$AM$6)</f>
        <v/>
      </c>
      <c r="AM773">
        <f>IFERROR(IF(AV773&lt;($AM$7-$AL$7)/($AN$7-$AL$7),$AL$7+SQRT(AV773*($AN$7-$AL$7)*($AM$7-$AL$7)),$AN$7-SQRT((1-AV773)*($AN$7-$AL$7)*($AN$7-$AM$7))),$AM$7)</f>
        <v/>
      </c>
      <c r="AN773">
        <f>IFERROR(IF(AW773&lt;($AM$8-$AL$8)/($AN$8-$AL$8),$AL$8+SQRT(AW773*($AN$8-$AL$8)*($AM$8-$AL$8)),$AN$8-SQRT((1-AW773)*($AN$8-$AL$8)*($AN$8-$AM$8))),$AM$8)</f>
        <v/>
      </c>
      <c r="AO773">
        <f>IFERROR(IF(AX773&lt;($AM$9-$AL$9)/($AN$9-$AL$9),$AL$9+SQRT(AX773*($AN$9-$AL$9)*($AM$9-$AL$9)),$AN$9-SQRT((1-AX773)*($AN$9-$AL$9)*($AN$9-$AM$9))),$AM$9)</f>
        <v/>
      </c>
      <c r="AP773">
        <f>IFERROR(IF(AY773&lt;($AM$10-$AL$10)/($AN$10-$AL$10),$AL$10+SQRT(AY773*($AN$10-$AL$10)*($AM$10-$AL$10)),$AN$10-SQRT((1-AY773)*($AN$10-$AL$10)*($AN$10-$AM$10))),$AM$10)</f>
        <v/>
      </c>
      <c r="AQ773">
        <f>IFERROR(IF(AZ773&lt;($AM$11-$AL$11)/($AN$11-$AL$11),$AL$11+SQRT(AZ773*($AN$11-$AL$11)*($AM$11-$AL$11)),$AN$11-SQRT((1-AZ773)*($AN$11-$AL$11)*($AN$11-$AM$11))),$AM$11)</f>
        <v/>
      </c>
      <c r="AR773">
        <f>SUMPRODUCT((B24:B31&lt;=$B$6)*(C24:C31*AM773+D24:D31*AO773*$B$8*AQ773)/(1+AL773/100)^B24:B31)+C32*AM773*AP773/(1+AL773/100)^$B$6</f>
        <v/>
      </c>
      <c r="AS773">
        <f>SUMPRODUCT((K24:K26&lt;=$B$6)*(L24:L26*AN773+M24:M26*AO773*$B$8*AQ773)/(1+AL773/100)^K24:K26)+L27*AN773*AP773/(1+AL773/100)^$B$6</f>
        <v/>
      </c>
      <c r="AT773">
        <f>AS773-AR773</f>
        <v/>
      </c>
      <c r="AU773">
        <f>RAND()</f>
        <v/>
      </c>
      <c r="AV773">
        <f>RAND()</f>
        <v/>
      </c>
      <c r="AW773">
        <f>RAND()</f>
        <v/>
      </c>
      <c r="AX773">
        <f>RAND()</f>
        <v/>
      </c>
      <c r="AY773">
        <f>RAND()</f>
        <v/>
      </c>
      <c r="AZ773">
        <f>RAND()</f>
        <v/>
      </c>
    </row>
    <row r="774">
      <c r="AK774" t="n">
        <v>761</v>
      </c>
      <c r="AL774">
        <f>IFERROR(IF(AU774&lt;($AM$6-$AL$6)/($AN$6-$AL$6),$AL$6+SQRT(AU774*($AN$6-$AL$6)*($AM$6-$AL$6)),$AN$6-SQRT((1-AU774)*($AN$6-$AL$6)*($AN$6-$AM$6))),$AM$6)</f>
        <v/>
      </c>
      <c r="AM774">
        <f>IFERROR(IF(AV774&lt;($AM$7-$AL$7)/($AN$7-$AL$7),$AL$7+SQRT(AV774*($AN$7-$AL$7)*($AM$7-$AL$7)),$AN$7-SQRT((1-AV774)*($AN$7-$AL$7)*($AN$7-$AM$7))),$AM$7)</f>
        <v/>
      </c>
      <c r="AN774">
        <f>IFERROR(IF(AW774&lt;($AM$8-$AL$8)/($AN$8-$AL$8),$AL$8+SQRT(AW774*($AN$8-$AL$8)*($AM$8-$AL$8)),$AN$8-SQRT((1-AW774)*($AN$8-$AL$8)*($AN$8-$AM$8))),$AM$8)</f>
        <v/>
      </c>
      <c r="AO774">
        <f>IFERROR(IF(AX774&lt;($AM$9-$AL$9)/($AN$9-$AL$9),$AL$9+SQRT(AX774*($AN$9-$AL$9)*($AM$9-$AL$9)),$AN$9-SQRT((1-AX774)*($AN$9-$AL$9)*($AN$9-$AM$9))),$AM$9)</f>
        <v/>
      </c>
      <c r="AP774">
        <f>IFERROR(IF(AY774&lt;($AM$10-$AL$10)/($AN$10-$AL$10),$AL$10+SQRT(AY774*($AN$10-$AL$10)*($AM$10-$AL$10)),$AN$10-SQRT((1-AY774)*($AN$10-$AL$10)*($AN$10-$AM$10))),$AM$10)</f>
        <v/>
      </c>
      <c r="AQ774">
        <f>IFERROR(IF(AZ774&lt;($AM$11-$AL$11)/($AN$11-$AL$11),$AL$11+SQRT(AZ774*($AN$11-$AL$11)*($AM$11-$AL$11)),$AN$11-SQRT((1-AZ774)*($AN$11-$AL$11)*($AN$11-$AM$11))),$AM$11)</f>
        <v/>
      </c>
      <c r="AR774">
        <f>SUMPRODUCT((B24:B31&lt;=$B$6)*(C24:C31*AM774+D24:D31*AO774*$B$8*AQ774)/(1+AL774/100)^B24:B31)+C32*AM774*AP774/(1+AL774/100)^$B$6</f>
        <v/>
      </c>
      <c r="AS774">
        <f>SUMPRODUCT((K24:K26&lt;=$B$6)*(L24:L26*AN774+M24:M26*AO774*$B$8*AQ774)/(1+AL774/100)^K24:K26)+L27*AN774*AP774/(1+AL774/100)^$B$6</f>
        <v/>
      </c>
      <c r="AT774">
        <f>AS774-AR774</f>
        <v/>
      </c>
      <c r="AU774">
        <f>RAND()</f>
        <v/>
      </c>
      <c r="AV774">
        <f>RAND()</f>
        <v/>
      </c>
      <c r="AW774">
        <f>RAND()</f>
        <v/>
      </c>
      <c r="AX774">
        <f>RAND()</f>
        <v/>
      </c>
      <c r="AY774">
        <f>RAND()</f>
        <v/>
      </c>
      <c r="AZ774">
        <f>RAND()</f>
        <v/>
      </c>
    </row>
    <row r="775">
      <c r="AK775" t="n">
        <v>762</v>
      </c>
      <c r="AL775">
        <f>IFERROR(IF(AU775&lt;($AM$6-$AL$6)/($AN$6-$AL$6),$AL$6+SQRT(AU775*($AN$6-$AL$6)*($AM$6-$AL$6)),$AN$6-SQRT((1-AU775)*($AN$6-$AL$6)*($AN$6-$AM$6))),$AM$6)</f>
        <v/>
      </c>
      <c r="AM775">
        <f>IFERROR(IF(AV775&lt;($AM$7-$AL$7)/($AN$7-$AL$7),$AL$7+SQRT(AV775*($AN$7-$AL$7)*($AM$7-$AL$7)),$AN$7-SQRT((1-AV775)*($AN$7-$AL$7)*($AN$7-$AM$7))),$AM$7)</f>
        <v/>
      </c>
      <c r="AN775">
        <f>IFERROR(IF(AW775&lt;($AM$8-$AL$8)/($AN$8-$AL$8),$AL$8+SQRT(AW775*($AN$8-$AL$8)*($AM$8-$AL$8)),$AN$8-SQRT((1-AW775)*($AN$8-$AL$8)*($AN$8-$AM$8))),$AM$8)</f>
        <v/>
      </c>
      <c r="AO775">
        <f>IFERROR(IF(AX775&lt;($AM$9-$AL$9)/($AN$9-$AL$9),$AL$9+SQRT(AX775*($AN$9-$AL$9)*($AM$9-$AL$9)),$AN$9-SQRT((1-AX775)*($AN$9-$AL$9)*($AN$9-$AM$9))),$AM$9)</f>
        <v/>
      </c>
      <c r="AP775">
        <f>IFERROR(IF(AY775&lt;($AM$10-$AL$10)/($AN$10-$AL$10),$AL$10+SQRT(AY775*($AN$10-$AL$10)*($AM$10-$AL$10)),$AN$10-SQRT((1-AY775)*($AN$10-$AL$10)*($AN$10-$AM$10))),$AM$10)</f>
        <v/>
      </c>
      <c r="AQ775">
        <f>IFERROR(IF(AZ775&lt;($AM$11-$AL$11)/($AN$11-$AL$11),$AL$11+SQRT(AZ775*($AN$11-$AL$11)*($AM$11-$AL$11)),$AN$11-SQRT((1-AZ775)*($AN$11-$AL$11)*($AN$11-$AM$11))),$AM$11)</f>
        <v/>
      </c>
      <c r="AR775">
        <f>SUMPRODUCT((B24:B31&lt;=$B$6)*(C24:C31*AM775+D24:D31*AO775*$B$8*AQ775)/(1+AL775/100)^B24:B31)+C32*AM775*AP775/(1+AL775/100)^$B$6</f>
        <v/>
      </c>
      <c r="AS775">
        <f>SUMPRODUCT((K24:K26&lt;=$B$6)*(L24:L26*AN775+M24:M26*AO775*$B$8*AQ775)/(1+AL775/100)^K24:K26)+L27*AN775*AP775/(1+AL775/100)^$B$6</f>
        <v/>
      </c>
      <c r="AT775">
        <f>AS775-AR775</f>
        <v/>
      </c>
      <c r="AU775">
        <f>RAND()</f>
        <v/>
      </c>
      <c r="AV775">
        <f>RAND()</f>
        <v/>
      </c>
      <c r="AW775">
        <f>RAND()</f>
        <v/>
      </c>
      <c r="AX775">
        <f>RAND()</f>
        <v/>
      </c>
      <c r="AY775">
        <f>RAND()</f>
        <v/>
      </c>
      <c r="AZ775">
        <f>RAND()</f>
        <v/>
      </c>
    </row>
    <row r="776">
      <c r="AK776" t="n">
        <v>763</v>
      </c>
      <c r="AL776">
        <f>IFERROR(IF(AU776&lt;($AM$6-$AL$6)/($AN$6-$AL$6),$AL$6+SQRT(AU776*($AN$6-$AL$6)*($AM$6-$AL$6)),$AN$6-SQRT((1-AU776)*($AN$6-$AL$6)*($AN$6-$AM$6))),$AM$6)</f>
        <v/>
      </c>
      <c r="AM776">
        <f>IFERROR(IF(AV776&lt;($AM$7-$AL$7)/($AN$7-$AL$7),$AL$7+SQRT(AV776*($AN$7-$AL$7)*($AM$7-$AL$7)),$AN$7-SQRT((1-AV776)*($AN$7-$AL$7)*($AN$7-$AM$7))),$AM$7)</f>
        <v/>
      </c>
      <c r="AN776">
        <f>IFERROR(IF(AW776&lt;($AM$8-$AL$8)/($AN$8-$AL$8),$AL$8+SQRT(AW776*($AN$8-$AL$8)*($AM$8-$AL$8)),$AN$8-SQRT((1-AW776)*($AN$8-$AL$8)*($AN$8-$AM$8))),$AM$8)</f>
        <v/>
      </c>
      <c r="AO776">
        <f>IFERROR(IF(AX776&lt;($AM$9-$AL$9)/($AN$9-$AL$9),$AL$9+SQRT(AX776*($AN$9-$AL$9)*($AM$9-$AL$9)),$AN$9-SQRT((1-AX776)*($AN$9-$AL$9)*($AN$9-$AM$9))),$AM$9)</f>
        <v/>
      </c>
      <c r="AP776">
        <f>IFERROR(IF(AY776&lt;($AM$10-$AL$10)/($AN$10-$AL$10),$AL$10+SQRT(AY776*($AN$10-$AL$10)*($AM$10-$AL$10)),$AN$10-SQRT((1-AY776)*($AN$10-$AL$10)*($AN$10-$AM$10))),$AM$10)</f>
        <v/>
      </c>
      <c r="AQ776">
        <f>IFERROR(IF(AZ776&lt;($AM$11-$AL$11)/($AN$11-$AL$11),$AL$11+SQRT(AZ776*($AN$11-$AL$11)*($AM$11-$AL$11)),$AN$11-SQRT((1-AZ776)*($AN$11-$AL$11)*($AN$11-$AM$11))),$AM$11)</f>
        <v/>
      </c>
      <c r="AR776">
        <f>SUMPRODUCT((B24:B31&lt;=$B$6)*(C24:C31*AM776+D24:D31*AO776*$B$8*AQ776)/(1+AL776/100)^B24:B31)+C32*AM776*AP776/(1+AL776/100)^$B$6</f>
        <v/>
      </c>
      <c r="AS776">
        <f>SUMPRODUCT((K24:K26&lt;=$B$6)*(L24:L26*AN776+M24:M26*AO776*$B$8*AQ776)/(1+AL776/100)^K24:K26)+L27*AN776*AP776/(1+AL776/100)^$B$6</f>
        <v/>
      </c>
      <c r="AT776">
        <f>AS776-AR776</f>
        <v/>
      </c>
      <c r="AU776">
        <f>RAND()</f>
        <v/>
      </c>
      <c r="AV776">
        <f>RAND()</f>
        <v/>
      </c>
      <c r="AW776">
        <f>RAND()</f>
        <v/>
      </c>
      <c r="AX776">
        <f>RAND()</f>
        <v/>
      </c>
      <c r="AY776">
        <f>RAND()</f>
        <v/>
      </c>
      <c r="AZ776">
        <f>RAND()</f>
        <v/>
      </c>
    </row>
    <row r="777">
      <c r="AK777" t="n">
        <v>764</v>
      </c>
      <c r="AL777">
        <f>IFERROR(IF(AU777&lt;($AM$6-$AL$6)/($AN$6-$AL$6),$AL$6+SQRT(AU777*($AN$6-$AL$6)*($AM$6-$AL$6)),$AN$6-SQRT((1-AU777)*($AN$6-$AL$6)*($AN$6-$AM$6))),$AM$6)</f>
        <v/>
      </c>
      <c r="AM777">
        <f>IFERROR(IF(AV777&lt;($AM$7-$AL$7)/($AN$7-$AL$7),$AL$7+SQRT(AV777*($AN$7-$AL$7)*($AM$7-$AL$7)),$AN$7-SQRT((1-AV777)*($AN$7-$AL$7)*($AN$7-$AM$7))),$AM$7)</f>
        <v/>
      </c>
      <c r="AN777">
        <f>IFERROR(IF(AW777&lt;($AM$8-$AL$8)/($AN$8-$AL$8),$AL$8+SQRT(AW777*($AN$8-$AL$8)*($AM$8-$AL$8)),$AN$8-SQRT((1-AW777)*($AN$8-$AL$8)*($AN$8-$AM$8))),$AM$8)</f>
        <v/>
      </c>
      <c r="AO777">
        <f>IFERROR(IF(AX777&lt;($AM$9-$AL$9)/($AN$9-$AL$9),$AL$9+SQRT(AX777*($AN$9-$AL$9)*($AM$9-$AL$9)),$AN$9-SQRT((1-AX777)*($AN$9-$AL$9)*($AN$9-$AM$9))),$AM$9)</f>
        <v/>
      </c>
      <c r="AP777">
        <f>IFERROR(IF(AY777&lt;($AM$10-$AL$10)/($AN$10-$AL$10),$AL$10+SQRT(AY777*($AN$10-$AL$10)*($AM$10-$AL$10)),$AN$10-SQRT((1-AY777)*($AN$10-$AL$10)*($AN$10-$AM$10))),$AM$10)</f>
        <v/>
      </c>
      <c r="AQ777">
        <f>IFERROR(IF(AZ777&lt;($AM$11-$AL$11)/($AN$11-$AL$11),$AL$11+SQRT(AZ777*($AN$11-$AL$11)*($AM$11-$AL$11)),$AN$11-SQRT((1-AZ777)*($AN$11-$AL$11)*($AN$11-$AM$11))),$AM$11)</f>
        <v/>
      </c>
      <c r="AR777">
        <f>SUMPRODUCT((B24:B31&lt;=$B$6)*(C24:C31*AM777+D24:D31*AO777*$B$8*AQ777)/(1+AL777/100)^B24:B31)+C32*AM777*AP777/(1+AL777/100)^$B$6</f>
        <v/>
      </c>
      <c r="AS777">
        <f>SUMPRODUCT((K24:K26&lt;=$B$6)*(L24:L26*AN777+M24:M26*AO777*$B$8*AQ777)/(1+AL777/100)^K24:K26)+L27*AN777*AP777/(1+AL777/100)^$B$6</f>
        <v/>
      </c>
      <c r="AT777">
        <f>AS777-AR777</f>
        <v/>
      </c>
      <c r="AU777">
        <f>RAND()</f>
        <v/>
      </c>
      <c r="AV777">
        <f>RAND()</f>
        <v/>
      </c>
      <c r="AW777">
        <f>RAND()</f>
        <v/>
      </c>
      <c r="AX777">
        <f>RAND()</f>
        <v/>
      </c>
      <c r="AY777">
        <f>RAND()</f>
        <v/>
      </c>
      <c r="AZ777">
        <f>RAND()</f>
        <v/>
      </c>
    </row>
    <row r="778">
      <c r="AK778" t="n">
        <v>765</v>
      </c>
      <c r="AL778">
        <f>IFERROR(IF(AU778&lt;($AM$6-$AL$6)/($AN$6-$AL$6),$AL$6+SQRT(AU778*($AN$6-$AL$6)*($AM$6-$AL$6)),$AN$6-SQRT((1-AU778)*($AN$6-$AL$6)*($AN$6-$AM$6))),$AM$6)</f>
        <v/>
      </c>
      <c r="AM778">
        <f>IFERROR(IF(AV778&lt;($AM$7-$AL$7)/($AN$7-$AL$7),$AL$7+SQRT(AV778*($AN$7-$AL$7)*($AM$7-$AL$7)),$AN$7-SQRT((1-AV778)*($AN$7-$AL$7)*($AN$7-$AM$7))),$AM$7)</f>
        <v/>
      </c>
      <c r="AN778">
        <f>IFERROR(IF(AW778&lt;($AM$8-$AL$8)/($AN$8-$AL$8),$AL$8+SQRT(AW778*($AN$8-$AL$8)*($AM$8-$AL$8)),$AN$8-SQRT((1-AW778)*($AN$8-$AL$8)*($AN$8-$AM$8))),$AM$8)</f>
        <v/>
      </c>
      <c r="AO778">
        <f>IFERROR(IF(AX778&lt;($AM$9-$AL$9)/($AN$9-$AL$9),$AL$9+SQRT(AX778*($AN$9-$AL$9)*($AM$9-$AL$9)),$AN$9-SQRT((1-AX778)*($AN$9-$AL$9)*($AN$9-$AM$9))),$AM$9)</f>
        <v/>
      </c>
      <c r="AP778">
        <f>IFERROR(IF(AY778&lt;($AM$10-$AL$10)/($AN$10-$AL$10),$AL$10+SQRT(AY778*($AN$10-$AL$10)*($AM$10-$AL$10)),$AN$10-SQRT((1-AY778)*($AN$10-$AL$10)*($AN$10-$AM$10))),$AM$10)</f>
        <v/>
      </c>
      <c r="AQ778">
        <f>IFERROR(IF(AZ778&lt;($AM$11-$AL$11)/($AN$11-$AL$11),$AL$11+SQRT(AZ778*($AN$11-$AL$11)*($AM$11-$AL$11)),$AN$11-SQRT((1-AZ778)*($AN$11-$AL$11)*($AN$11-$AM$11))),$AM$11)</f>
        <v/>
      </c>
      <c r="AR778">
        <f>SUMPRODUCT((B24:B31&lt;=$B$6)*(C24:C31*AM778+D24:D31*AO778*$B$8*AQ778)/(1+AL778/100)^B24:B31)+C32*AM778*AP778/(1+AL778/100)^$B$6</f>
        <v/>
      </c>
      <c r="AS778">
        <f>SUMPRODUCT((K24:K26&lt;=$B$6)*(L24:L26*AN778+M24:M26*AO778*$B$8*AQ778)/(1+AL778/100)^K24:K26)+L27*AN778*AP778/(1+AL778/100)^$B$6</f>
        <v/>
      </c>
      <c r="AT778">
        <f>AS778-AR778</f>
        <v/>
      </c>
      <c r="AU778">
        <f>RAND()</f>
        <v/>
      </c>
      <c r="AV778">
        <f>RAND()</f>
        <v/>
      </c>
      <c r="AW778">
        <f>RAND()</f>
        <v/>
      </c>
      <c r="AX778">
        <f>RAND()</f>
        <v/>
      </c>
      <c r="AY778">
        <f>RAND()</f>
        <v/>
      </c>
      <c r="AZ778">
        <f>RAND()</f>
        <v/>
      </c>
    </row>
    <row r="779">
      <c r="AK779" t="n">
        <v>766</v>
      </c>
      <c r="AL779">
        <f>IFERROR(IF(AU779&lt;($AM$6-$AL$6)/($AN$6-$AL$6),$AL$6+SQRT(AU779*($AN$6-$AL$6)*($AM$6-$AL$6)),$AN$6-SQRT((1-AU779)*($AN$6-$AL$6)*($AN$6-$AM$6))),$AM$6)</f>
        <v/>
      </c>
      <c r="AM779">
        <f>IFERROR(IF(AV779&lt;($AM$7-$AL$7)/($AN$7-$AL$7),$AL$7+SQRT(AV779*($AN$7-$AL$7)*($AM$7-$AL$7)),$AN$7-SQRT((1-AV779)*($AN$7-$AL$7)*($AN$7-$AM$7))),$AM$7)</f>
        <v/>
      </c>
      <c r="AN779">
        <f>IFERROR(IF(AW779&lt;($AM$8-$AL$8)/($AN$8-$AL$8),$AL$8+SQRT(AW779*($AN$8-$AL$8)*($AM$8-$AL$8)),$AN$8-SQRT((1-AW779)*($AN$8-$AL$8)*($AN$8-$AM$8))),$AM$8)</f>
        <v/>
      </c>
      <c r="AO779">
        <f>IFERROR(IF(AX779&lt;($AM$9-$AL$9)/($AN$9-$AL$9),$AL$9+SQRT(AX779*($AN$9-$AL$9)*($AM$9-$AL$9)),$AN$9-SQRT((1-AX779)*($AN$9-$AL$9)*($AN$9-$AM$9))),$AM$9)</f>
        <v/>
      </c>
      <c r="AP779">
        <f>IFERROR(IF(AY779&lt;($AM$10-$AL$10)/($AN$10-$AL$10),$AL$10+SQRT(AY779*($AN$10-$AL$10)*($AM$10-$AL$10)),$AN$10-SQRT((1-AY779)*($AN$10-$AL$10)*($AN$10-$AM$10))),$AM$10)</f>
        <v/>
      </c>
      <c r="AQ779">
        <f>IFERROR(IF(AZ779&lt;($AM$11-$AL$11)/($AN$11-$AL$11),$AL$11+SQRT(AZ779*($AN$11-$AL$11)*($AM$11-$AL$11)),$AN$11-SQRT((1-AZ779)*($AN$11-$AL$11)*($AN$11-$AM$11))),$AM$11)</f>
        <v/>
      </c>
      <c r="AR779">
        <f>SUMPRODUCT((B24:B31&lt;=$B$6)*(C24:C31*AM779+D24:D31*AO779*$B$8*AQ779)/(1+AL779/100)^B24:B31)+C32*AM779*AP779/(1+AL779/100)^$B$6</f>
        <v/>
      </c>
      <c r="AS779">
        <f>SUMPRODUCT((K24:K26&lt;=$B$6)*(L24:L26*AN779+M24:M26*AO779*$B$8*AQ779)/(1+AL779/100)^K24:K26)+L27*AN779*AP779/(1+AL779/100)^$B$6</f>
        <v/>
      </c>
      <c r="AT779">
        <f>AS779-AR779</f>
        <v/>
      </c>
      <c r="AU779">
        <f>RAND()</f>
        <v/>
      </c>
      <c r="AV779">
        <f>RAND()</f>
        <v/>
      </c>
      <c r="AW779">
        <f>RAND()</f>
        <v/>
      </c>
      <c r="AX779">
        <f>RAND()</f>
        <v/>
      </c>
      <c r="AY779">
        <f>RAND()</f>
        <v/>
      </c>
      <c r="AZ779">
        <f>RAND()</f>
        <v/>
      </c>
    </row>
    <row r="780">
      <c r="AK780" t="n">
        <v>767</v>
      </c>
      <c r="AL780">
        <f>IFERROR(IF(AU780&lt;($AM$6-$AL$6)/($AN$6-$AL$6),$AL$6+SQRT(AU780*($AN$6-$AL$6)*($AM$6-$AL$6)),$AN$6-SQRT((1-AU780)*($AN$6-$AL$6)*($AN$6-$AM$6))),$AM$6)</f>
        <v/>
      </c>
      <c r="AM780">
        <f>IFERROR(IF(AV780&lt;($AM$7-$AL$7)/($AN$7-$AL$7),$AL$7+SQRT(AV780*($AN$7-$AL$7)*($AM$7-$AL$7)),$AN$7-SQRT((1-AV780)*($AN$7-$AL$7)*($AN$7-$AM$7))),$AM$7)</f>
        <v/>
      </c>
      <c r="AN780">
        <f>IFERROR(IF(AW780&lt;($AM$8-$AL$8)/($AN$8-$AL$8),$AL$8+SQRT(AW780*($AN$8-$AL$8)*($AM$8-$AL$8)),$AN$8-SQRT((1-AW780)*($AN$8-$AL$8)*($AN$8-$AM$8))),$AM$8)</f>
        <v/>
      </c>
      <c r="AO780">
        <f>IFERROR(IF(AX780&lt;($AM$9-$AL$9)/($AN$9-$AL$9),$AL$9+SQRT(AX780*($AN$9-$AL$9)*($AM$9-$AL$9)),$AN$9-SQRT((1-AX780)*($AN$9-$AL$9)*($AN$9-$AM$9))),$AM$9)</f>
        <v/>
      </c>
      <c r="AP780">
        <f>IFERROR(IF(AY780&lt;($AM$10-$AL$10)/($AN$10-$AL$10),$AL$10+SQRT(AY780*($AN$10-$AL$10)*($AM$10-$AL$10)),$AN$10-SQRT((1-AY780)*($AN$10-$AL$10)*($AN$10-$AM$10))),$AM$10)</f>
        <v/>
      </c>
      <c r="AQ780">
        <f>IFERROR(IF(AZ780&lt;($AM$11-$AL$11)/($AN$11-$AL$11),$AL$11+SQRT(AZ780*($AN$11-$AL$11)*($AM$11-$AL$11)),$AN$11-SQRT((1-AZ780)*($AN$11-$AL$11)*($AN$11-$AM$11))),$AM$11)</f>
        <v/>
      </c>
      <c r="AR780">
        <f>SUMPRODUCT((B24:B31&lt;=$B$6)*(C24:C31*AM780+D24:D31*AO780*$B$8*AQ780)/(1+AL780/100)^B24:B31)+C32*AM780*AP780/(1+AL780/100)^$B$6</f>
        <v/>
      </c>
      <c r="AS780">
        <f>SUMPRODUCT((K24:K26&lt;=$B$6)*(L24:L26*AN780+M24:M26*AO780*$B$8*AQ780)/(1+AL780/100)^K24:K26)+L27*AN780*AP780/(1+AL780/100)^$B$6</f>
        <v/>
      </c>
      <c r="AT780">
        <f>AS780-AR780</f>
        <v/>
      </c>
      <c r="AU780">
        <f>RAND()</f>
        <v/>
      </c>
      <c r="AV780">
        <f>RAND()</f>
        <v/>
      </c>
      <c r="AW780">
        <f>RAND()</f>
        <v/>
      </c>
      <c r="AX780">
        <f>RAND()</f>
        <v/>
      </c>
      <c r="AY780">
        <f>RAND()</f>
        <v/>
      </c>
      <c r="AZ780">
        <f>RAND()</f>
        <v/>
      </c>
    </row>
    <row r="781">
      <c r="AK781" t="n">
        <v>768</v>
      </c>
      <c r="AL781">
        <f>IFERROR(IF(AU781&lt;($AM$6-$AL$6)/($AN$6-$AL$6),$AL$6+SQRT(AU781*($AN$6-$AL$6)*($AM$6-$AL$6)),$AN$6-SQRT((1-AU781)*($AN$6-$AL$6)*($AN$6-$AM$6))),$AM$6)</f>
        <v/>
      </c>
      <c r="AM781">
        <f>IFERROR(IF(AV781&lt;($AM$7-$AL$7)/($AN$7-$AL$7),$AL$7+SQRT(AV781*($AN$7-$AL$7)*($AM$7-$AL$7)),$AN$7-SQRT((1-AV781)*($AN$7-$AL$7)*($AN$7-$AM$7))),$AM$7)</f>
        <v/>
      </c>
      <c r="AN781">
        <f>IFERROR(IF(AW781&lt;($AM$8-$AL$8)/($AN$8-$AL$8),$AL$8+SQRT(AW781*($AN$8-$AL$8)*($AM$8-$AL$8)),$AN$8-SQRT((1-AW781)*($AN$8-$AL$8)*($AN$8-$AM$8))),$AM$8)</f>
        <v/>
      </c>
      <c r="AO781">
        <f>IFERROR(IF(AX781&lt;($AM$9-$AL$9)/($AN$9-$AL$9),$AL$9+SQRT(AX781*($AN$9-$AL$9)*($AM$9-$AL$9)),$AN$9-SQRT((1-AX781)*($AN$9-$AL$9)*($AN$9-$AM$9))),$AM$9)</f>
        <v/>
      </c>
      <c r="AP781">
        <f>IFERROR(IF(AY781&lt;($AM$10-$AL$10)/($AN$10-$AL$10),$AL$10+SQRT(AY781*($AN$10-$AL$10)*($AM$10-$AL$10)),$AN$10-SQRT((1-AY781)*($AN$10-$AL$10)*($AN$10-$AM$10))),$AM$10)</f>
        <v/>
      </c>
      <c r="AQ781">
        <f>IFERROR(IF(AZ781&lt;($AM$11-$AL$11)/($AN$11-$AL$11),$AL$11+SQRT(AZ781*($AN$11-$AL$11)*($AM$11-$AL$11)),$AN$11-SQRT((1-AZ781)*($AN$11-$AL$11)*($AN$11-$AM$11))),$AM$11)</f>
        <v/>
      </c>
      <c r="AR781">
        <f>SUMPRODUCT((B24:B31&lt;=$B$6)*(C24:C31*AM781+D24:D31*AO781*$B$8*AQ781)/(1+AL781/100)^B24:B31)+C32*AM781*AP781/(1+AL781/100)^$B$6</f>
        <v/>
      </c>
      <c r="AS781">
        <f>SUMPRODUCT((K24:K26&lt;=$B$6)*(L24:L26*AN781+M24:M26*AO781*$B$8*AQ781)/(1+AL781/100)^K24:K26)+L27*AN781*AP781/(1+AL781/100)^$B$6</f>
        <v/>
      </c>
      <c r="AT781">
        <f>AS781-AR781</f>
        <v/>
      </c>
      <c r="AU781">
        <f>RAND()</f>
        <v/>
      </c>
      <c r="AV781">
        <f>RAND()</f>
        <v/>
      </c>
      <c r="AW781">
        <f>RAND()</f>
        <v/>
      </c>
      <c r="AX781">
        <f>RAND()</f>
        <v/>
      </c>
      <c r="AY781">
        <f>RAND()</f>
        <v/>
      </c>
      <c r="AZ781">
        <f>RAND()</f>
        <v/>
      </c>
    </row>
    <row r="782">
      <c r="AK782" t="n">
        <v>769</v>
      </c>
      <c r="AL782">
        <f>IFERROR(IF(AU782&lt;($AM$6-$AL$6)/($AN$6-$AL$6),$AL$6+SQRT(AU782*($AN$6-$AL$6)*($AM$6-$AL$6)),$AN$6-SQRT((1-AU782)*($AN$6-$AL$6)*($AN$6-$AM$6))),$AM$6)</f>
        <v/>
      </c>
      <c r="AM782">
        <f>IFERROR(IF(AV782&lt;($AM$7-$AL$7)/($AN$7-$AL$7),$AL$7+SQRT(AV782*($AN$7-$AL$7)*($AM$7-$AL$7)),$AN$7-SQRT((1-AV782)*($AN$7-$AL$7)*($AN$7-$AM$7))),$AM$7)</f>
        <v/>
      </c>
      <c r="AN782">
        <f>IFERROR(IF(AW782&lt;($AM$8-$AL$8)/($AN$8-$AL$8),$AL$8+SQRT(AW782*($AN$8-$AL$8)*($AM$8-$AL$8)),$AN$8-SQRT((1-AW782)*($AN$8-$AL$8)*($AN$8-$AM$8))),$AM$8)</f>
        <v/>
      </c>
      <c r="AO782">
        <f>IFERROR(IF(AX782&lt;($AM$9-$AL$9)/($AN$9-$AL$9),$AL$9+SQRT(AX782*($AN$9-$AL$9)*($AM$9-$AL$9)),$AN$9-SQRT((1-AX782)*($AN$9-$AL$9)*($AN$9-$AM$9))),$AM$9)</f>
        <v/>
      </c>
      <c r="AP782">
        <f>IFERROR(IF(AY782&lt;($AM$10-$AL$10)/($AN$10-$AL$10),$AL$10+SQRT(AY782*($AN$10-$AL$10)*($AM$10-$AL$10)),$AN$10-SQRT((1-AY782)*($AN$10-$AL$10)*($AN$10-$AM$10))),$AM$10)</f>
        <v/>
      </c>
      <c r="AQ782">
        <f>IFERROR(IF(AZ782&lt;($AM$11-$AL$11)/($AN$11-$AL$11),$AL$11+SQRT(AZ782*($AN$11-$AL$11)*($AM$11-$AL$11)),$AN$11-SQRT((1-AZ782)*($AN$11-$AL$11)*($AN$11-$AM$11))),$AM$11)</f>
        <v/>
      </c>
      <c r="AR782">
        <f>SUMPRODUCT((B24:B31&lt;=$B$6)*(C24:C31*AM782+D24:D31*AO782*$B$8*AQ782)/(1+AL782/100)^B24:B31)+C32*AM782*AP782/(1+AL782/100)^$B$6</f>
        <v/>
      </c>
      <c r="AS782">
        <f>SUMPRODUCT((K24:K26&lt;=$B$6)*(L24:L26*AN782+M24:M26*AO782*$B$8*AQ782)/(1+AL782/100)^K24:K26)+L27*AN782*AP782/(1+AL782/100)^$B$6</f>
        <v/>
      </c>
      <c r="AT782">
        <f>AS782-AR782</f>
        <v/>
      </c>
      <c r="AU782">
        <f>RAND()</f>
        <v/>
      </c>
      <c r="AV782">
        <f>RAND()</f>
        <v/>
      </c>
      <c r="AW782">
        <f>RAND()</f>
        <v/>
      </c>
      <c r="AX782">
        <f>RAND()</f>
        <v/>
      </c>
      <c r="AY782">
        <f>RAND()</f>
        <v/>
      </c>
      <c r="AZ782">
        <f>RAND()</f>
        <v/>
      </c>
    </row>
    <row r="783">
      <c r="AK783" t="n">
        <v>770</v>
      </c>
      <c r="AL783">
        <f>IFERROR(IF(AU783&lt;($AM$6-$AL$6)/($AN$6-$AL$6),$AL$6+SQRT(AU783*($AN$6-$AL$6)*($AM$6-$AL$6)),$AN$6-SQRT((1-AU783)*($AN$6-$AL$6)*($AN$6-$AM$6))),$AM$6)</f>
        <v/>
      </c>
      <c r="AM783">
        <f>IFERROR(IF(AV783&lt;($AM$7-$AL$7)/($AN$7-$AL$7),$AL$7+SQRT(AV783*($AN$7-$AL$7)*($AM$7-$AL$7)),$AN$7-SQRT((1-AV783)*($AN$7-$AL$7)*($AN$7-$AM$7))),$AM$7)</f>
        <v/>
      </c>
      <c r="AN783">
        <f>IFERROR(IF(AW783&lt;($AM$8-$AL$8)/($AN$8-$AL$8),$AL$8+SQRT(AW783*($AN$8-$AL$8)*($AM$8-$AL$8)),$AN$8-SQRT((1-AW783)*($AN$8-$AL$8)*($AN$8-$AM$8))),$AM$8)</f>
        <v/>
      </c>
      <c r="AO783">
        <f>IFERROR(IF(AX783&lt;($AM$9-$AL$9)/($AN$9-$AL$9),$AL$9+SQRT(AX783*($AN$9-$AL$9)*($AM$9-$AL$9)),$AN$9-SQRT((1-AX783)*($AN$9-$AL$9)*($AN$9-$AM$9))),$AM$9)</f>
        <v/>
      </c>
      <c r="AP783">
        <f>IFERROR(IF(AY783&lt;($AM$10-$AL$10)/($AN$10-$AL$10),$AL$10+SQRT(AY783*($AN$10-$AL$10)*($AM$10-$AL$10)),$AN$10-SQRT((1-AY783)*($AN$10-$AL$10)*($AN$10-$AM$10))),$AM$10)</f>
        <v/>
      </c>
      <c r="AQ783">
        <f>IFERROR(IF(AZ783&lt;($AM$11-$AL$11)/($AN$11-$AL$11),$AL$11+SQRT(AZ783*($AN$11-$AL$11)*($AM$11-$AL$11)),$AN$11-SQRT((1-AZ783)*($AN$11-$AL$11)*($AN$11-$AM$11))),$AM$11)</f>
        <v/>
      </c>
      <c r="AR783">
        <f>SUMPRODUCT((B24:B31&lt;=$B$6)*(C24:C31*AM783+D24:D31*AO783*$B$8*AQ783)/(1+AL783/100)^B24:B31)+C32*AM783*AP783/(1+AL783/100)^$B$6</f>
        <v/>
      </c>
      <c r="AS783">
        <f>SUMPRODUCT((K24:K26&lt;=$B$6)*(L24:L26*AN783+M24:M26*AO783*$B$8*AQ783)/(1+AL783/100)^K24:K26)+L27*AN783*AP783/(1+AL783/100)^$B$6</f>
        <v/>
      </c>
      <c r="AT783">
        <f>AS783-AR783</f>
        <v/>
      </c>
      <c r="AU783">
        <f>RAND()</f>
        <v/>
      </c>
      <c r="AV783">
        <f>RAND()</f>
        <v/>
      </c>
      <c r="AW783">
        <f>RAND()</f>
        <v/>
      </c>
      <c r="AX783">
        <f>RAND()</f>
        <v/>
      </c>
      <c r="AY783">
        <f>RAND()</f>
        <v/>
      </c>
      <c r="AZ783">
        <f>RAND()</f>
        <v/>
      </c>
    </row>
    <row r="784">
      <c r="AK784" t="n">
        <v>771</v>
      </c>
      <c r="AL784">
        <f>IFERROR(IF(AU784&lt;($AM$6-$AL$6)/($AN$6-$AL$6),$AL$6+SQRT(AU784*($AN$6-$AL$6)*($AM$6-$AL$6)),$AN$6-SQRT((1-AU784)*($AN$6-$AL$6)*($AN$6-$AM$6))),$AM$6)</f>
        <v/>
      </c>
      <c r="AM784">
        <f>IFERROR(IF(AV784&lt;($AM$7-$AL$7)/($AN$7-$AL$7),$AL$7+SQRT(AV784*($AN$7-$AL$7)*($AM$7-$AL$7)),$AN$7-SQRT((1-AV784)*($AN$7-$AL$7)*($AN$7-$AM$7))),$AM$7)</f>
        <v/>
      </c>
      <c r="AN784">
        <f>IFERROR(IF(AW784&lt;($AM$8-$AL$8)/($AN$8-$AL$8),$AL$8+SQRT(AW784*($AN$8-$AL$8)*($AM$8-$AL$8)),$AN$8-SQRT((1-AW784)*($AN$8-$AL$8)*($AN$8-$AM$8))),$AM$8)</f>
        <v/>
      </c>
      <c r="AO784">
        <f>IFERROR(IF(AX784&lt;($AM$9-$AL$9)/($AN$9-$AL$9),$AL$9+SQRT(AX784*($AN$9-$AL$9)*($AM$9-$AL$9)),$AN$9-SQRT((1-AX784)*($AN$9-$AL$9)*($AN$9-$AM$9))),$AM$9)</f>
        <v/>
      </c>
      <c r="AP784">
        <f>IFERROR(IF(AY784&lt;($AM$10-$AL$10)/($AN$10-$AL$10),$AL$10+SQRT(AY784*($AN$10-$AL$10)*($AM$10-$AL$10)),$AN$10-SQRT((1-AY784)*($AN$10-$AL$10)*($AN$10-$AM$10))),$AM$10)</f>
        <v/>
      </c>
      <c r="AQ784">
        <f>IFERROR(IF(AZ784&lt;($AM$11-$AL$11)/($AN$11-$AL$11),$AL$11+SQRT(AZ784*($AN$11-$AL$11)*($AM$11-$AL$11)),$AN$11-SQRT((1-AZ784)*($AN$11-$AL$11)*($AN$11-$AM$11))),$AM$11)</f>
        <v/>
      </c>
      <c r="AR784">
        <f>SUMPRODUCT((B24:B31&lt;=$B$6)*(C24:C31*AM784+D24:D31*AO784*$B$8*AQ784)/(1+AL784/100)^B24:B31)+C32*AM784*AP784/(1+AL784/100)^$B$6</f>
        <v/>
      </c>
      <c r="AS784">
        <f>SUMPRODUCT((K24:K26&lt;=$B$6)*(L24:L26*AN784+M24:M26*AO784*$B$8*AQ784)/(1+AL784/100)^K24:K26)+L27*AN784*AP784/(1+AL784/100)^$B$6</f>
        <v/>
      </c>
      <c r="AT784">
        <f>AS784-AR784</f>
        <v/>
      </c>
      <c r="AU784">
        <f>RAND()</f>
        <v/>
      </c>
      <c r="AV784">
        <f>RAND()</f>
        <v/>
      </c>
      <c r="AW784">
        <f>RAND()</f>
        <v/>
      </c>
      <c r="AX784">
        <f>RAND()</f>
        <v/>
      </c>
      <c r="AY784">
        <f>RAND()</f>
        <v/>
      </c>
      <c r="AZ784">
        <f>RAND()</f>
        <v/>
      </c>
    </row>
    <row r="785">
      <c r="AK785" t="n">
        <v>772</v>
      </c>
      <c r="AL785">
        <f>IFERROR(IF(AU785&lt;($AM$6-$AL$6)/($AN$6-$AL$6),$AL$6+SQRT(AU785*($AN$6-$AL$6)*($AM$6-$AL$6)),$AN$6-SQRT((1-AU785)*($AN$6-$AL$6)*($AN$6-$AM$6))),$AM$6)</f>
        <v/>
      </c>
      <c r="AM785">
        <f>IFERROR(IF(AV785&lt;($AM$7-$AL$7)/($AN$7-$AL$7),$AL$7+SQRT(AV785*($AN$7-$AL$7)*($AM$7-$AL$7)),$AN$7-SQRT((1-AV785)*($AN$7-$AL$7)*($AN$7-$AM$7))),$AM$7)</f>
        <v/>
      </c>
      <c r="AN785">
        <f>IFERROR(IF(AW785&lt;($AM$8-$AL$8)/($AN$8-$AL$8),$AL$8+SQRT(AW785*($AN$8-$AL$8)*($AM$8-$AL$8)),$AN$8-SQRT((1-AW785)*($AN$8-$AL$8)*($AN$8-$AM$8))),$AM$8)</f>
        <v/>
      </c>
      <c r="AO785">
        <f>IFERROR(IF(AX785&lt;($AM$9-$AL$9)/($AN$9-$AL$9),$AL$9+SQRT(AX785*($AN$9-$AL$9)*($AM$9-$AL$9)),$AN$9-SQRT((1-AX785)*($AN$9-$AL$9)*($AN$9-$AM$9))),$AM$9)</f>
        <v/>
      </c>
      <c r="AP785">
        <f>IFERROR(IF(AY785&lt;($AM$10-$AL$10)/($AN$10-$AL$10),$AL$10+SQRT(AY785*($AN$10-$AL$10)*($AM$10-$AL$10)),$AN$10-SQRT((1-AY785)*($AN$10-$AL$10)*($AN$10-$AM$10))),$AM$10)</f>
        <v/>
      </c>
      <c r="AQ785">
        <f>IFERROR(IF(AZ785&lt;($AM$11-$AL$11)/($AN$11-$AL$11),$AL$11+SQRT(AZ785*($AN$11-$AL$11)*($AM$11-$AL$11)),$AN$11-SQRT((1-AZ785)*($AN$11-$AL$11)*($AN$11-$AM$11))),$AM$11)</f>
        <v/>
      </c>
      <c r="AR785">
        <f>SUMPRODUCT((B24:B31&lt;=$B$6)*(C24:C31*AM785+D24:D31*AO785*$B$8*AQ785)/(1+AL785/100)^B24:B31)+C32*AM785*AP785/(1+AL785/100)^$B$6</f>
        <v/>
      </c>
      <c r="AS785">
        <f>SUMPRODUCT((K24:K26&lt;=$B$6)*(L24:L26*AN785+M24:M26*AO785*$B$8*AQ785)/(1+AL785/100)^K24:K26)+L27*AN785*AP785/(1+AL785/100)^$B$6</f>
        <v/>
      </c>
      <c r="AT785">
        <f>AS785-AR785</f>
        <v/>
      </c>
      <c r="AU785">
        <f>RAND()</f>
        <v/>
      </c>
      <c r="AV785">
        <f>RAND()</f>
        <v/>
      </c>
      <c r="AW785">
        <f>RAND()</f>
        <v/>
      </c>
      <c r="AX785">
        <f>RAND()</f>
        <v/>
      </c>
      <c r="AY785">
        <f>RAND()</f>
        <v/>
      </c>
      <c r="AZ785">
        <f>RAND()</f>
        <v/>
      </c>
    </row>
    <row r="786">
      <c r="AK786" t="n">
        <v>773</v>
      </c>
      <c r="AL786">
        <f>IFERROR(IF(AU786&lt;($AM$6-$AL$6)/($AN$6-$AL$6),$AL$6+SQRT(AU786*($AN$6-$AL$6)*($AM$6-$AL$6)),$AN$6-SQRT((1-AU786)*($AN$6-$AL$6)*($AN$6-$AM$6))),$AM$6)</f>
        <v/>
      </c>
      <c r="AM786">
        <f>IFERROR(IF(AV786&lt;($AM$7-$AL$7)/($AN$7-$AL$7),$AL$7+SQRT(AV786*($AN$7-$AL$7)*($AM$7-$AL$7)),$AN$7-SQRT((1-AV786)*($AN$7-$AL$7)*($AN$7-$AM$7))),$AM$7)</f>
        <v/>
      </c>
      <c r="AN786">
        <f>IFERROR(IF(AW786&lt;($AM$8-$AL$8)/($AN$8-$AL$8),$AL$8+SQRT(AW786*($AN$8-$AL$8)*($AM$8-$AL$8)),$AN$8-SQRT((1-AW786)*($AN$8-$AL$8)*($AN$8-$AM$8))),$AM$8)</f>
        <v/>
      </c>
      <c r="AO786">
        <f>IFERROR(IF(AX786&lt;($AM$9-$AL$9)/($AN$9-$AL$9),$AL$9+SQRT(AX786*($AN$9-$AL$9)*($AM$9-$AL$9)),$AN$9-SQRT((1-AX786)*($AN$9-$AL$9)*($AN$9-$AM$9))),$AM$9)</f>
        <v/>
      </c>
      <c r="AP786">
        <f>IFERROR(IF(AY786&lt;($AM$10-$AL$10)/($AN$10-$AL$10),$AL$10+SQRT(AY786*($AN$10-$AL$10)*($AM$10-$AL$10)),$AN$10-SQRT((1-AY786)*($AN$10-$AL$10)*($AN$10-$AM$10))),$AM$10)</f>
        <v/>
      </c>
      <c r="AQ786">
        <f>IFERROR(IF(AZ786&lt;($AM$11-$AL$11)/($AN$11-$AL$11),$AL$11+SQRT(AZ786*($AN$11-$AL$11)*($AM$11-$AL$11)),$AN$11-SQRT((1-AZ786)*($AN$11-$AL$11)*($AN$11-$AM$11))),$AM$11)</f>
        <v/>
      </c>
      <c r="AR786">
        <f>SUMPRODUCT((B24:B31&lt;=$B$6)*(C24:C31*AM786+D24:D31*AO786*$B$8*AQ786)/(1+AL786/100)^B24:B31)+C32*AM786*AP786/(1+AL786/100)^$B$6</f>
        <v/>
      </c>
      <c r="AS786">
        <f>SUMPRODUCT((K24:K26&lt;=$B$6)*(L24:L26*AN786+M24:M26*AO786*$B$8*AQ786)/(1+AL786/100)^K24:K26)+L27*AN786*AP786/(1+AL786/100)^$B$6</f>
        <v/>
      </c>
      <c r="AT786">
        <f>AS786-AR786</f>
        <v/>
      </c>
      <c r="AU786">
        <f>RAND()</f>
        <v/>
      </c>
      <c r="AV786">
        <f>RAND()</f>
        <v/>
      </c>
      <c r="AW786">
        <f>RAND()</f>
        <v/>
      </c>
      <c r="AX786">
        <f>RAND()</f>
        <v/>
      </c>
      <c r="AY786">
        <f>RAND()</f>
        <v/>
      </c>
      <c r="AZ786">
        <f>RAND()</f>
        <v/>
      </c>
    </row>
    <row r="787">
      <c r="AK787" t="n">
        <v>774</v>
      </c>
      <c r="AL787">
        <f>IFERROR(IF(AU787&lt;($AM$6-$AL$6)/($AN$6-$AL$6),$AL$6+SQRT(AU787*($AN$6-$AL$6)*($AM$6-$AL$6)),$AN$6-SQRT((1-AU787)*($AN$6-$AL$6)*($AN$6-$AM$6))),$AM$6)</f>
        <v/>
      </c>
      <c r="AM787">
        <f>IFERROR(IF(AV787&lt;($AM$7-$AL$7)/($AN$7-$AL$7),$AL$7+SQRT(AV787*($AN$7-$AL$7)*($AM$7-$AL$7)),$AN$7-SQRT((1-AV787)*($AN$7-$AL$7)*($AN$7-$AM$7))),$AM$7)</f>
        <v/>
      </c>
      <c r="AN787">
        <f>IFERROR(IF(AW787&lt;($AM$8-$AL$8)/($AN$8-$AL$8),$AL$8+SQRT(AW787*($AN$8-$AL$8)*($AM$8-$AL$8)),$AN$8-SQRT((1-AW787)*($AN$8-$AL$8)*($AN$8-$AM$8))),$AM$8)</f>
        <v/>
      </c>
      <c r="AO787">
        <f>IFERROR(IF(AX787&lt;($AM$9-$AL$9)/($AN$9-$AL$9),$AL$9+SQRT(AX787*($AN$9-$AL$9)*($AM$9-$AL$9)),$AN$9-SQRT((1-AX787)*($AN$9-$AL$9)*($AN$9-$AM$9))),$AM$9)</f>
        <v/>
      </c>
      <c r="AP787">
        <f>IFERROR(IF(AY787&lt;($AM$10-$AL$10)/($AN$10-$AL$10),$AL$10+SQRT(AY787*($AN$10-$AL$10)*($AM$10-$AL$10)),$AN$10-SQRT((1-AY787)*($AN$10-$AL$10)*($AN$10-$AM$10))),$AM$10)</f>
        <v/>
      </c>
      <c r="AQ787">
        <f>IFERROR(IF(AZ787&lt;($AM$11-$AL$11)/($AN$11-$AL$11),$AL$11+SQRT(AZ787*($AN$11-$AL$11)*($AM$11-$AL$11)),$AN$11-SQRT((1-AZ787)*($AN$11-$AL$11)*($AN$11-$AM$11))),$AM$11)</f>
        <v/>
      </c>
      <c r="AR787">
        <f>SUMPRODUCT((B24:B31&lt;=$B$6)*(C24:C31*AM787+D24:D31*AO787*$B$8*AQ787)/(1+AL787/100)^B24:B31)+C32*AM787*AP787/(1+AL787/100)^$B$6</f>
        <v/>
      </c>
      <c r="AS787">
        <f>SUMPRODUCT((K24:K26&lt;=$B$6)*(L24:L26*AN787+M24:M26*AO787*$B$8*AQ787)/(1+AL787/100)^K24:K26)+L27*AN787*AP787/(1+AL787/100)^$B$6</f>
        <v/>
      </c>
      <c r="AT787">
        <f>AS787-AR787</f>
        <v/>
      </c>
      <c r="AU787">
        <f>RAND()</f>
        <v/>
      </c>
      <c r="AV787">
        <f>RAND()</f>
        <v/>
      </c>
      <c r="AW787">
        <f>RAND()</f>
        <v/>
      </c>
      <c r="AX787">
        <f>RAND()</f>
        <v/>
      </c>
      <c r="AY787">
        <f>RAND()</f>
        <v/>
      </c>
      <c r="AZ787">
        <f>RAND()</f>
        <v/>
      </c>
    </row>
    <row r="788">
      <c r="AK788" t="n">
        <v>775</v>
      </c>
      <c r="AL788">
        <f>IFERROR(IF(AU788&lt;($AM$6-$AL$6)/($AN$6-$AL$6),$AL$6+SQRT(AU788*($AN$6-$AL$6)*($AM$6-$AL$6)),$AN$6-SQRT((1-AU788)*($AN$6-$AL$6)*($AN$6-$AM$6))),$AM$6)</f>
        <v/>
      </c>
      <c r="AM788">
        <f>IFERROR(IF(AV788&lt;($AM$7-$AL$7)/($AN$7-$AL$7),$AL$7+SQRT(AV788*($AN$7-$AL$7)*($AM$7-$AL$7)),$AN$7-SQRT((1-AV788)*($AN$7-$AL$7)*($AN$7-$AM$7))),$AM$7)</f>
        <v/>
      </c>
      <c r="AN788">
        <f>IFERROR(IF(AW788&lt;($AM$8-$AL$8)/($AN$8-$AL$8),$AL$8+SQRT(AW788*($AN$8-$AL$8)*($AM$8-$AL$8)),$AN$8-SQRT((1-AW788)*($AN$8-$AL$8)*($AN$8-$AM$8))),$AM$8)</f>
        <v/>
      </c>
      <c r="AO788">
        <f>IFERROR(IF(AX788&lt;($AM$9-$AL$9)/($AN$9-$AL$9),$AL$9+SQRT(AX788*($AN$9-$AL$9)*($AM$9-$AL$9)),$AN$9-SQRT((1-AX788)*($AN$9-$AL$9)*($AN$9-$AM$9))),$AM$9)</f>
        <v/>
      </c>
      <c r="AP788">
        <f>IFERROR(IF(AY788&lt;($AM$10-$AL$10)/($AN$10-$AL$10),$AL$10+SQRT(AY788*($AN$10-$AL$10)*($AM$10-$AL$10)),$AN$10-SQRT((1-AY788)*($AN$10-$AL$10)*($AN$10-$AM$10))),$AM$10)</f>
        <v/>
      </c>
      <c r="AQ788">
        <f>IFERROR(IF(AZ788&lt;($AM$11-$AL$11)/($AN$11-$AL$11),$AL$11+SQRT(AZ788*($AN$11-$AL$11)*($AM$11-$AL$11)),$AN$11-SQRT((1-AZ788)*($AN$11-$AL$11)*($AN$11-$AM$11))),$AM$11)</f>
        <v/>
      </c>
      <c r="AR788">
        <f>SUMPRODUCT((B24:B31&lt;=$B$6)*(C24:C31*AM788+D24:D31*AO788*$B$8*AQ788)/(1+AL788/100)^B24:B31)+C32*AM788*AP788/(1+AL788/100)^$B$6</f>
        <v/>
      </c>
      <c r="AS788">
        <f>SUMPRODUCT((K24:K26&lt;=$B$6)*(L24:L26*AN788+M24:M26*AO788*$B$8*AQ788)/(1+AL788/100)^K24:K26)+L27*AN788*AP788/(1+AL788/100)^$B$6</f>
        <v/>
      </c>
      <c r="AT788">
        <f>AS788-AR788</f>
        <v/>
      </c>
      <c r="AU788">
        <f>RAND()</f>
        <v/>
      </c>
      <c r="AV788">
        <f>RAND()</f>
        <v/>
      </c>
      <c r="AW788">
        <f>RAND()</f>
        <v/>
      </c>
      <c r="AX788">
        <f>RAND()</f>
        <v/>
      </c>
      <c r="AY788">
        <f>RAND()</f>
        <v/>
      </c>
      <c r="AZ788">
        <f>RAND()</f>
        <v/>
      </c>
    </row>
    <row r="789">
      <c r="AK789" t="n">
        <v>776</v>
      </c>
      <c r="AL789">
        <f>IFERROR(IF(AU789&lt;($AM$6-$AL$6)/($AN$6-$AL$6),$AL$6+SQRT(AU789*($AN$6-$AL$6)*($AM$6-$AL$6)),$AN$6-SQRT((1-AU789)*($AN$6-$AL$6)*($AN$6-$AM$6))),$AM$6)</f>
        <v/>
      </c>
      <c r="AM789">
        <f>IFERROR(IF(AV789&lt;($AM$7-$AL$7)/($AN$7-$AL$7),$AL$7+SQRT(AV789*($AN$7-$AL$7)*($AM$7-$AL$7)),$AN$7-SQRT((1-AV789)*($AN$7-$AL$7)*($AN$7-$AM$7))),$AM$7)</f>
        <v/>
      </c>
      <c r="AN789">
        <f>IFERROR(IF(AW789&lt;($AM$8-$AL$8)/($AN$8-$AL$8),$AL$8+SQRT(AW789*($AN$8-$AL$8)*($AM$8-$AL$8)),$AN$8-SQRT((1-AW789)*($AN$8-$AL$8)*($AN$8-$AM$8))),$AM$8)</f>
        <v/>
      </c>
      <c r="AO789">
        <f>IFERROR(IF(AX789&lt;($AM$9-$AL$9)/($AN$9-$AL$9),$AL$9+SQRT(AX789*($AN$9-$AL$9)*($AM$9-$AL$9)),$AN$9-SQRT((1-AX789)*($AN$9-$AL$9)*($AN$9-$AM$9))),$AM$9)</f>
        <v/>
      </c>
      <c r="AP789">
        <f>IFERROR(IF(AY789&lt;($AM$10-$AL$10)/($AN$10-$AL$10),$AL$10+SQRT(AY789*($AN$10-$AL$10)*($AM$10-$AL$10)),$AN$10-SQRT((1-AY789)*($AN$10-$AL$10)*($AN$10-$AM$10))),$AM$10)</f>
        <v/>
      </c>
      <c r="AQ789">
        <f>IFERROR(IF(AZ789&lt;($AM$11-$AL$11)/($AN$11-$AL$11),$AL$11+SQRT(AZ789*($AN$11-$AL$11)*($AM$11-$AL$11)),$AN$11-SQRT((1-AZ789)*($AN$11-$AL$11)*($AN$11-$AM$11))),$AM$11)</f>
        <v/>
      </c>
      <c r="AR789">
        <f>SUMPRODUCT((B24:B31&lt;=$B$6)*(C24:C31*AM789+D24:D31*AO789*$B$8*AQ789)/(1+AL789/100)^B24:B31)+C32*AM789*AP789/(1+AL789/100)^$B$6</f>
        <v/>
      </c>
      <c r="AS789">
        <f>SUMPRODUCT((K24:K26&lt;=$B$6)*(L24:L26*AN789+M24:M26*AO789*$B$8*AQ789)/(1+AL789/100)^K24:K26)+L27*AN789*AP789/(1+AL789/100)^$B$6</f>
        <v/>
      </c>
      <c r="AT789">
        <f>AS789-AR789</f>
        <v/>
      </c>
      <c r="AU789">
        <f>RAND()</f>
        <v/>
      </c>
      <c r="AV789">
        <f>RAND()</f>
        <v/>
      </c>
      <c r="AW789">
        <f>RAND()</f>
        <v/>
      </c>
      <c r="AX789">
        <f>RAND()</f>
        <v/>
      </c>
      <c r="AY789">
        <f>RAND()</f>
        <v/>
      </c>
      <c r="AZ789">
        <f>RAND()</f>
        <v/>
      </c>
    </row>
    <row r="790">
      <c r="AK790" t="n">
        <v>777</v>
      </c>
      <c r="AL790">
        <f>IFERROR(IF(AU790&lt;($AM$6-$AL$6)/($AN$6-$AL$6),$AL$6+SQRT(AU790*($AN$6-$AL$6)*($AM$6-$AL$6)),$AN$6-SQRT((1-AU790)*($AN$6-$AL$6)*($AN$6-$AM$6))),$AM$6)</f>
        <v/>
      </c>
      <c r="AM790">
        <f>IFERROR(IF(AV790&lt;($AM$7-$AL$7)/($AN$7-$AL$7),$AL$7+SQRT(AV790*($AN$7-$AL$7)*($AM$7-$AL$7)),$AN$7-SQRT((1-AV790)*($AN$7-$AL$7)*($AN$7-$AM$7))),$AM$7)</f>
        <v/>
      </c>
      <c r="AN790">
        <f>IFERROR(IF(AW790&lt;($AM$8-$AL$8)/($AN$8-$AL$8),$AL$8+SQRT(AW790*($AN$8-$AL$8)*($AM$8-$AL$8)),$AN$8-SQRT((1-AW790)*($AN$8-$AL$8)*($AN$8-$AM$8))),$AM$8)</f>
        <v/>
      </c>
      <c r="AO790">
        <f>IFERROR(IF(AX790&lt;($AM$9-$AL$9)/($AN$9-$AL$9),$AL$9+SQRT(AX790*($AN$9-$AL$9)*($AM$9-$AL$9)),$AN$9-SQRT((1-AX790)*($AN$9-$AL$9)*($AN$9-$AM$9))),$AM$9)</f>
        <v/>
      </c>
      <c r="AP790">
        <f>IFERROR(IF(AY790&lt;($AM$10-$AL$10)/($AN$10-$AL$10),$AL$10+SQRT(AY790*($AN$10-$AL$10)*($AM$10-$AL$10)),$AN$10-SQRT((1-AY790)*($AN$10-$AL$10)*($AN$10-$AM$10))),$AM$10)</f>
        <v/>
      </c>
      <c r="AQ790">
        <f>IFERROR(IF(AZ790&lt;($AM$11-$AL$11)/($AN$11-$AL$11),$AL$11+SQRT(AZ790*($AN$11-$AL$11)*($AM$11-$AL$11)),$AN$11-SQRT((1-AZ790)*($AN$11-$AL$11)*($AN$11-$AM$11))),$AM$11)</f>
        <v/>
      </c>
      <c r="AR790">
        <f>SUMPRODUCT((B24:B31&lt;=$B$6)*(C24:C31*AM790+D24:D31*AO790*$B$8*AQ790)/(1+AL790/100)^B24:B31)+C32*AM790*AP790/(1+AL790/100)^$B$6</f>
        <v/>
      </c>
      <c r="AS790">
        <f>SUMPRODUCT((K24:K26&lt;=$B$6)*(L24:L26*AN790+M24:M26*AO790*$B$8*AQ790)/(1+AL790/100)^K24:K26)+L27*AN790*AP790/(1+AL790/100)^$B$6</f>
        <v/>
      </c>
      <c r="AT790">
        <f>AS790-AR790</f>
        <v/>
      </c>
      <c r="AU790">
        <f>RAND()</f>
        <v/>
      </c>
      <c r="AV790">
        <f>RAND()</f>
        <v/>
      </c>
      <c r="AW790">
        <f>RAND()</f>
        <v/>
      </c>
      <c r="AX790">
        <f>RAND()</f>
        <v/>
      </c>
      <c r="AY790">
        <f>RAND()</f>
        <v/>
      </c>
      <c r="AZ790">
        <f>RAND()</f>
        <v/>
      </c>
    </row>
    <row r="791">
      <c r="AK791" t="n">
        <v>778</v>
      </c>
      <c r="AL791">
        <f>IFERROR(IF(AU791&lt;($AM$6-$AL$6)/($AN$6-$AL$6),$AL$6+SQRT(AU791*($AN$6-$AL$6)*($AM$6-$AL$6)),$AN$6-SQRT((1-AU791)*($AN$6-$AL$6)*($AN$6-$AM$6))),$AM$6)</f>
        <v/>
      </c>
      <c r="AM791">
        <f>IFERROR(IF(AV791&lt;($AM$7-$AL$7)/($AN$7-$AL$7),$AL$7+SQRT(AV791*($AN$7-$AL$7)*($AM$7-$AL$7)),$AN$7-SQRT((1-AV791)*($AN$7-$AL$7)*($AN$7-$AM$7))),$AM$7)</f>
        <v/>
      </c>
      <c r="AN791">
        <f>IFERROR(IF(AW791&lt;($AM$8-$AL$8)/($AN$8-$AL$8),$AL$8+SQRT(AW791*($AN$8-$AL$8)*($AM$8-$AL$8)),$AN$8-SQRT((1-AW791)*($AN$8-$AL$8)*($AN$8-$AM$8))),$AM$8)</f>
        <v/>
      </c>
      <c r="AO791">
        <f>IFERROR(IF(AX791&lt;($AM$9-$AL$9)/($AN$9-$AL$9),$AL$9+SQRT(AX791*($AN$9-$AL$9)*($AM$9-$AL$9)),$AN$9-SQRT((1-AX791)*($AN$9-$AL$9)*($AN$9-$AM$9))),$AM$9)</f>
        <v/>
      </c>
      <c r="AP791">
        <f>IFERROR(IF(AY791&lt;($AM$10-$AL$10)/($AN$10-$AL$10),$AL$10+SQRT(AY791*($AN$10-$AL$10)*($AM$10-$AL$10)),$AN$10-SQRT((1-AY791)*($AN$10-$AL$10)*($AN$10-$AM$10))),$AM$10)</f>
        <v/>
      </c>
      <c r="AQ791">
        <f>IFERROR(IF(AZ791&lt;($AM$11-$AL$11)/($AN$11-$AL$11),$AL$11+SQRT(AZ791*($AN$11-$AL$11)*($AM$11-$AL$11)),$AN$11-SQRT((1-AZ791)*($AN$11-$AL$11)*($AN$11-$AM$11))),$AM$11)</f>
        <v/>
      </c>
      <c r="AR791">
        <f>SUMPRODUCT((B24:B31&lt;=$B$6)*(C24:C31*AM791+D24:D31*AO791*$B$8*AQ791)/(1+AL791/100)^B24:B31)+C32*AM791*AP791/(1+AL791/100)^$B$6</f>
        <v/>
      </c>
      <c r="AS791">
        <f>SUMPRODUCT((K24:K26&lt;=$B$6)*(L24:L26*AN791+M24:M26*AO791*$B$8*AQ791)/(1+AL791/100)^K24:K26)+L27*AN791*AP791/(1+AL791/100)^$B$6</f>
        <v/>
      </c>
      <c r="AT791">
        <f>AS791-AR791</f>
        <v/>
      </c>
      <c r="AU791">
        <f>RAND()</f>
        <v/>
      </c>
      <c r="AV791">
        <f>RAND()</f>
        <v/>
      </c>
      <c r="AW791">
        <f>RAND()</f>
        <v/>
      </c>
      <c r="AX791">
        <f>RAND()</f>
        <v/>
      </c>
      <c r="AY791">
        <f>RAND()</f>
        <v/>
      </c>
      <c r="AZ791">
        <f>RAND()</f>
        <v/>
      </c>
    </row>
    <row r="792">
      <c r="AK792" t="n">
        <v>779</v>
      </c>
      <c r="AL792">
        <f>IFERROR(IF(AU792&lt;($AM$6-$AL$6)/($AN$6-$AL$6),$AL$6+SQRT(AU792*($AN$6-$AL$6)*($AM$6-$AL$6)),$AN$6-SQRT((1-AU792)*($AN$6-$AL$6)*($AN$6-$AM$6))),$AM$6)</f>
        <v/>
      </c>
      <c r="AM792">
        <f>IFERROR(IF(AV792&lt;($AM$7-$AL$7)/($AN$7-$AL$7),$AL$7+SQRT(AV792*($AN$7-$AL$7)*($AM$7-$AL$7)),$AN$7-SQRT((1-AV792)*($AN$7-$AL$7)*($AN$7-$AM$7))),$AM$7)</f>
        <v/>
      </c>
      <c r="AN792">
        <f>IFERROR(IF(AW792&lt;($AM$8-$AL$8)/($AN$8-$AL$8),$AL$8+SQRT(AW792*($AN$8-$AL$8)*($AM$8-$AL$8)),$AN$8-SQRT((1-AW792)*($AN$8-$AL$8)*($AN$8-$AM$8))),$AM$8)</f>
        <v/>
      </c>
      <c r="AO792">
        <f>IFERROR(IF(AX792&lt;($AM$9-$AL$9)/($AN$9-$AL$9),$AL$9+SQRT(AX792*($AN$9-$AL$9)*($AM$9-$AL$9)),$AN$9-SQRT((1-AX792)*($AN$9-$AL$9)*($AN$9-$AM$9))),$AM$9)</f>
        <v/>
      </c>
      <c r="AP792">
        <f>IFERROR(IF(AY792&lt;($AM$10-$AL$10)/($AN$10-$AL$10),$AL$10+SQRT(AY792*($AN$10-$AL$10)*($AM$10-$AL$10)),$AN$10-SQRT((1-AY792)*($AN$10-$AL$10)*($AN$10-$AM$10))),$AM$10)</f>
        <v/>
      </c>
      <c r="AQ792">
        <f>IFERROR(IF(AZ792&lt;($AM$11-$AL$11)/($AN$11-$AL$11),$AL$11+SQRT(AZ792*($AN$11-$AL$11)*($AM$11-$AL$11)),$AN$11-SQRT((1-AZ792)*($AN$11-$AL$11)*($AN$11-$AM$11))),$AM$11)</f>
        <v/>
      </c>
      <c r="AR792">
        <f>SUMPRODUCT((B24:B31&lt;=$B$6)*(C24:C31*AM792+D24:D31*AO792*$B$8*AQ792)/(1+AL792/100)^B24:B31)+C32*AM792*AP792/(1+AL792/100)^$B$6</f>
        <v/>
      </c>
      <c r="AS792">
        <f>SUMPRODUCT((K24:K26&lt;=$B$6)*(L24:L26*AN792+M24:M26*AO792*$B$8*AQ792)/(1+AL792/100)^K24:K26)+L27*AN792*AP792/(1+AL792/100)^$B$6</f>
        <v/>
      </c>
      <c r="AT792">
        <f>AS792-AR792</f>
        <v/>
      </c>
      <c r="AU792">
        <f>RAND()</f>
        <v/>
      </c>
      <c r="AV792">
        <f>RAND()</f>
        <v/>
      </c>
      <c r="AW792">
        <f>RAND()</f>
        <v/>
      </c>
      <c r="AX792">
        <f>RAND()</f>
        <v/>
      </c>
      <c r="AY792">
        <f>RAND()</f>
        <v/>
      </c>
      <c r="AZ792">
        <f>RAND()</f>
        <v/>
      </c>
    </row>
    <row r="793">
      <c r="AK793" t="n">
        <v>780</v>
      </c>
      <c r="AL793">
        <f>IFERROR(IF(AU793&lt;($AM$6-$AL$6)/($AN$6-$AL$6),$AL$6+SQRT(AU793*($AN$6-$AL$6)*($AM$6-$AL$6)),$AN$6-SQRT((1-AU793)*($AN$6-$AL$6)*($AN$6-$AM$6))),$AM$6)</f>
        <v/>
      </c>
      <c r="AM793">
        <f>IFERROR(IF(AV793&lt;($AM$7-$AL$7)/($AN$7-$AL$7),$AL$7+SQRT(AV793*($AN$7-$AL$7)*($AM$7-$AL$7)),$AN$7-SQRT((1-AV793)*($AN$7-$AL$7)*($AN$7-$AM$7))),$AM$7)</f>
        <v/>
      </c>
      <c r="AN793">
        <f>IFERROR(IF(AW793&lt;($AM$8-$AL$8)/($AN$8-$AL$8),$AL$8+SQRT(AW793*($AN$8-$AL$8)*($AM$8-$AL$8)),$AN$8-SQRT((1-AW793)*($AN$8-$AL$8)*($AN$8-$AM$8))),$AM$8)</f>
        <v/>
      </c>
      <c r="AO793">
        <f>IFERROR(IF(AX793&lt;($AM$9-$AL$9)/($AN$9-$AL$9),$AL$9+SQRT(AX793*($AN$9-$AL$9)*($AM$9-$AL$9)),$AN$9-SQRT((1-AX793)*($AN$9-$AL$9)*($AN$9-$AM$9))),$AM$9)</f>
        <v/>
      </c>
      <c r="AP793">
        <f>IFERROR(IF(AY793&lt;($AM$10-$AL$10)/($AN$10-$AL$10),$AL$10+SQRT(AY793*($AN$10-$AL$10)*($AM$10-$AL$10)),$AN$10-SQRT((1-AY793)*($AN$10-$AL$10)*($AN$10-$AM$10))),$AM$10)</f>
        <v/>
      </c>
      <c r="AQ793">
        <f>IFERROR(IF(AZ793&lt;($AM$11-$AL$11)/($AN$11-$AL$11),$AL$11+SQRT(AZ793*($AN$11-$AL$11)*($AM$11-$AL$11)),$AN$11-SQRT((1-AZ793)*($AN$11-$AL$11)*($AN$11-$AM$11))),$AM$11)</f>
        <v/>
      </c>
      <c r="AR793">
        <f>SUMPRODUCT((B24:B31&lt;=$B$6)*(C24:C31*AM793+D24:D31*AO793*$B$8*AQ793)/(1+AL793/100)^B24:B31)+C32*AM793*AP793/(1+AL793/100)^$B$6</f>
        <v/>
      </c>
      <c r="AS793">
        <f>SUMPRODUCT((K24:K26&lt;=$B$6)*(L24:L26*AN793+M24:M26*AO793*$B$8*AQ793)/(1+AL793/100)^K24:K26)+L27*AN793*AP793/(1+AL793/100)^$B$6</f>
        <v/>
      </c>
      <c r="AT793">
        <f>AS793-AR793</f>
        <v/>
      </c>
      <c r="AU793">
        <f>RAND()</f>
        <v/>
      </c>
      <c r="AV793">
        <f>RAND()</f>
        <v/>
      </c>
      <c r="AW793">
        <f>RAND()</f>
        <v/>
      </c>
      <c r="AX793">
        <f>RAND()</f>
        <v/>
      </c>
      <c r="AY793">
        <f>RAND()</f>
        <v/>
      </c>
      <c r="AZ793">
        <f>RAND()</f>
        <v/>
      </c>
    </row>
    <row r="794">
      <c r="AK794" t="n">
        <v>781</v>
      </c>
      <c r="AL794">
        <f>IFERROR(IF(AU794&lt;($AM$6-$AL$6)/($AN$6-$AL$6),$AL$6+SQRT(AU794*($AN$6-$AL$6)*($AM$6-$AL$6)),$AN$6-SQRT((1-AU794)*($AN$6-$AL$6)*($AN$6-$AM$6))),$AM$6)</f>
        <v/>
      </c>
      <c r="AM794">
        <f>IFERROR(IF(AV794&lt;($AM$7-$AL$7)/($AN$7-$AL$7),$AL$7+SQRT(AV794*($AN$7-$AL$7)*($AM$7-$AL$7)),$AN$7-SQRT((1-AV794)*($AN$7-$AL$7)*($AN$7-$AM$7))),$AM$7)</f>
        <v/>
      </c>
      <c r="AN794">
        <f>IFERROR(IF(AW794&lt;($AM$8-$AL$8)/($AN$8-$AL$8),$AL$8+SQRT(AW794*($AN$8-$AL$8)*($AM$8-$AL$8)),$AN$8-SQRT((1-AW794)*($AN$8-$AL$8)*($AN$8-$AM$8))),$AM$8)</f>
        <v/>
      </c>
      <c r="AO794">
        <f>IFERROR(IF(AX794&lt;($AM$9-$AL$9)/($AN$9-$AL$9),$AL$9+SQRT(AX794*($AN$9-$AL$9)*($AM$9-$AL$9)),$AN$9-SQRT((1-AX794)*($AN$9-$AL$9)*($AN$9-$AM$9))),$AM$9)</f>
        <v/>
      </c>
      <c r="AP794">
        <f>IFERROR(IF(AY794&lt;($AM$10-$AL$10)/($AN$10-$AL$10),$AL$10+SQRT(AY794*($AN$10-$AL$10)*($AM$10-$AL$10)),$AN$10-SQRT((1-AY794)*($AN$10-$AL$10)*($AN$10-$AM$10))),$AM$10)</f>
        <v/>
      </c>
      <c r="AQ794">
        <f>IFERROR(IF(AZ794&lt;($AM$11-$AL$11)/($AN$11-$AL$11),$AL$11+SQRT(AZ794*($AN$11-$AL$11)*($AM$11-$AL$11)),$AN$11-SQRT((1-AZ794)*($AN$11-$AL$11)*($AN$11-$AM$11))),$AM$11)</f>
        <v/>
      </c>
      <c r="AR794">
        <f>SUMPRODUCT((B24:B31&lt;=$B$6)*(C24:C31*AM794+D24:D31*AO794*$B$8*AQ794)/(1+AL794/100)^B24:B31)+C32*AM794*AP794/(1+AL794/100)^$B$6</f>
        <v/>
      </c>
      <c r="AS794">
        <f>SUMPRODUCT((K24:K26&lt;=$B$6)*(L24:L26*AN794+M24:M26*AO794*$B$8*AQ794)/(1+AL794/100)^K24:K26)+L27*AN794*AP794/(1+AL794/100)^$B$6</f>
        <v/>
      </c>
      <c r="AT794">
        <f>AS794-AR794</f>
        <v/>
      </c>
      <c r="AU794">
        <f>RAND()</f>
        <v/>
      </c>
      <c r="AV794">
        <f>RAND()</f>
        <v/>
      </c>
      <c r="AW794">
        <f>RAND()</f>
        <v/>
      </c>
      <c r="AX794">
        <f>RAND()</f>
        <v/>
      </c>
      <c r="AY794">
        <f>RAND()</f>
        <v/>
      </c>
      <c r="AZ794">
        <f>RAND()</f>
        <v/>
      </c>
    </row>
    <row r="795">
      <c r="AK795" t="n">
        <v>782</v>
      </c>
      <c r="AL795">
        <f>IFERROR(IF(AU795&lt;($AM$6-$AL$6)/($AN$6-$AL$6),$AL$6+SQRT(AU795*($AN$6-$AL$6)*($AM$6-$AL$6)),$AN$6-SQRT((1-AU795)*($AN$6-$AL$6)*($AN$6-$AM$6))),$AM$6)</f>
        <v/>
      </c>
      <c r="AM795">
        <f>IFERROR(IF(AV795&lt;($AM$7-$AL$7)/($AN$7-$AL$7),$AL$7+SQRT(AV795*($AN$7-$AL$7)*($AM$7-$AL$7)),$AN$7-SQRT((1-AV795)*($AN$7-$AL$7)*($AN$7-$AM$7))),$AM$7)</f>
        <v/>
      </c>
      <c r="AN795">
        <f>IFERROR(IF(AW795&lt;($AM$8-$AL$8)/($AN$8-$AL$8),$AL$8+SQRT(AW795*($AN$8-$AL$8)*($AM$8-$AL$8)),$AN$8-SQRT((1-AW795)*($AN$8-$AL$8)*($AN$8-$AM$8))),$AM$8)</f>
        <v/>
      </c>
      <c r="AO795">
        <f>IFERROR(IF(AX795&lt;($AM$9-$AL$9)/($AN$9-$AL$9),$AL$9+SQRT(AX795*($AN$9-$AL$9)*($AM$9-$AL$9)),$AN$9-SQRT((1-AX795)*($AN$9-$AL$9)*($AN$9-$AM$9))),$AM$9)</f>
        <v/>
      </c>
      <c r="AP795">
        <f>IFERROR(IF(AY795&lt;($AM$10-$AL$10)/($AN$10-$AL$10),$AL$10+SQRT(AY795*($AN$10-$AL$10)*($AM$10-$AL$10)),$AN$10-SQRT((1-AY795)*($AN$10-$AL$10)*($AN$10-$AM$10))),$AM$10)</f>
        <v/>
      </c>
      <c r="AQ795">
        <f>IFERROR(IF(AZ795&lt;($AM$11-$AL$11)/($AN$11-$AL$11),$AL$11+SQRT(AZ795*($AN$11-$AL$11)*($AM$11-$AL$11)),$AN$11-SQRT((1-AZ795)*($AN$11-$AL$11)*($AN$11-$AM$11))),$AM$11)</f>
        <v/>
      </c>
      <c r="AR795">
        <f>SUMPRODUCT((B24:B31&lt;=$B$6)*(C24:C31*AM795+D24:D31*AO795*$B$8*AQ795)/(1+AL795/100)^B24:B31)+C32*AM795*AP795/(1+AL795/100)^$B$6</f>
        <v/>
      </c>
      <c r="AS795">
        <f>SUMPRODUCT((K24:K26&lt;=$B$6)*(L24:L26*AN795+M24:M26*AO795*$B$8*AQ795)/(1+AL795/100)^K24:K26)+L27*AN795*AP795/(1+AL795/100)^$B$6</f>
        <v/>
      </c>
      <c r="AT795">
        <f>AS795-AR795</f>
        <v/>
      </c>
      <c r="AU795">
        <f>RAND()</f>
        <v/>
      </c>
      <c r="AV795">
        <f>RAND()</f>
        <v/>
      </c>
      <c r="AW795">
        <f>RAND()</f>
        <v/>
      </c>
      <c r="AX795">
        <f>RAND()</f>
        <v/>
      </c>
      <c r="AY795">
        <f>RAND()</f>
        <v/>
      </c>
      <c r="AZ795">
        <f>RAND()</f>
        <v/>
      </c>
    </row>
    <row r="796">
      <c r="AK796" t="n">
        <v>783</v>
      </c>
      <c r="AL796">
        <f>IFERROR(IF(AU796&lt;($AM$6-$AL$6)/($AN$6-$AL$6),$AL$6+SQRT(AU796*($AN$6-$AL$6)*($AM$6-$AL$6)),$AN$6-SQRT((1-AU796)*($AN$6-$AL$6)*($AN$6-$AM$6))),$AM$6)</f>
        <v/>
      </c>
      <c r="AM796">
        <f>IFERROR(IF(AV796&lt;($AM$7-$AL$7)/($AN$7-$AL$7),$AL$7+SQRT(AV796*($AN$7-$AL$7)*($AM$7-$AL$7)),$AN$7-SQRT((1-AV796)*($AN$7-$AL$7)*($AN$7-$AM$7))),$AM$7)</f>
        <v/>
      </c>
      <c r="AN796">
        <f>IFERROR(IF(AW796&lt;($AM$8-$AL$8)/($AN$8-$AL$8),$AL$8+SQRT(AW796*($AN$8-$AL$8)*($AM$8-$AL$8)),$AN$8-SQRT((1-AW796)*($AN$8-$AL$8)*($AN$8-$AM$8))),$AM$8)</f>
        <v/>
      </c>
      <c r="AO796">
        <f>IFERROR(IF(AX796&lt;($AM$9-$AL$9)/($AN$9-$AL$9),$AL$9+SQRT(AX796*($AN$9-$AL$9)*($AM$9-$AL$9)),$AN$9-SQRT((1-AX796)*($AN$9-$AL$9)*($AN$9-$AM$9))),$AM$9)</f>
        <v/>
      </c>
      <c r="AP796">
        <f>IFERROR(IF(AY796&lt;($AM$10-$AL$10)/($AN$10-$AL$10),$AL$10+SQRT(AY796*($AN$10-$AL$10)*($AM$10-$AL$10)),$AN$10-SQRT((1-AY796)*($AN$10-$AL$10)*($AN$10-$AM$10))),$AM$10)</f>
        <v/>
      </c>
      <c r="AQ796">
        <f>IFERROR(IF(AZ796&lt;($AM$11-$AL$11)/($AN$11-$AL$11),$AL$11+SQRT(AZ796*($AN$11-$AL$11)*($AM$11-$AL$11)),$AN$11-SQRT((1-AZ796)*($AN$11-$AL$11)*($AN$11-$AM$11))),$AM$11)</f>
        <v/>
      </c>
      <c r="AR796">
        <f>SUMPRODUCT((B24:B31&lt;=$B$6)*(C24:C31*AM796+D24:D31*AO796*$B$8*AQ796)/(1+AL796/100)^B24:B31)+C32*AM796*AP796/(1+AL796/100)^$B$6</f>
        <v/>
      </c>
      <c r="AS796">
        <f>SUMPRODUCT((K24:K26&lt;=$B$6)*(L24:L26*AN796+M24:M26*AO796*$B$8*AQ796)/(1+AL796/100)^K24:K26)+L27*AN796*AP796/(1+AL796/100)^$B$6</f>
        <v/>
      </c>
      <c r="AT796">
        <f>AS796-AR796</f>
        <v/>
      </c>
      <c r="AU796">
        <f>RAND()</f>
        <v/>
      </c>
      <c r="AV796">
        <f>RAND()</f>
        <v/>
      </c>
      <c r="AW796">
        <f>RAND()</f>
        <v/>
      </c>
      <c r="AX796">
        <f>RAND()</f>
        <v/>
      </c>
      <c r="AY796">
        <f>RAND()</f>
        <v/>
      </c>
      <c r="AZ796">
        <f>RAND()</f>
        <v/>
      </c>
    </row>
    <row r="797">
      <c r="AK797" t="n">
        <v>784</v>
      </c>
      <c r="AL797">
        <f>IFERROR(IF(AU797&lt;($AM$6-$AL$6)/($AN$6-$AL$6),$AL$6+SQRT(AU797*($AN$6-$AL$6)*($AM$6-$AL$6)),$AN$6-SQRT((1-AU797)*($AN$6-$AL$6)*($AN$6-$AM$6))),$AM$6)</f>
        <v/>
      </c>
      <c r="AM797">
        <f>IFERROR(IF(AV797&lt;($AM$7-$AL$7)/($AN$7-$AL$7),$AL$7+SQRT(AV797*($AN$7-$AL$7)*($AM$7-$AL$7)),$AN$7-SQRT((1-AV797)*($AN$7-$AL$7)*($AN$7-$AM$7))),$AM$7)</f>
        <v/>
      </c>
      <c r="AN797">
        <f>IFERROR(IF(AW797&lt;($AM$8-$AL$8)/($AN$8-$AL$8),$AL$8+SQRT(AW797*($AN$8-$AL$8)*($AM$8-$AL$8)),$AN$8-SQRT((1-AW797)*($AN$8-$AL$8)*($AN$8-$AM$8))),$AM$8)</f>
        <v/>
      </c>
      <c r="AO797">
        <f>IFERROR(IF(AX797&lt;($AM$9-$AL$9)/($AN$9-$AL$9),$AL$9+SQRT(AX797*($AN$9-$AL$9)*($AM$9-$AL$9)),$AN$9-SQRT((1-AX797)*($AN$9-$AL$9)*($AN$9-$AM$9))),$AM$9)</f>
        <v/>
      </c>
      <c r="AP797">
        <f>IFERROR(IF(AY797&lt;($AM$10-$AL$10)/($AN$10-$AL$10),$AL$10+SQRT(AY797*($AN$10-$AL$10)*($AM$10-$AL$10)),$AN$10-SQRT((1-AY797)*($AN$10-$AL$10)*($AN$10-$AM$10))),$AM$10)</f>
        <v/>
      </c>
      <c r="AQ797">
        <f>IFERROR(IF(AZ797&lt;($AM$11-$AL$11)/($AN$11-$AL$11),$AL$11+SQRT(AZ797*($AN$11-$AL$11)*($AM$11-$AL$11)),$AN$11-SQRT((1-AZ797)*($AN$11-$AL$11)*($AN$11-$AM$11))),$AM$11)</f>
        <v/>
      </c>
      <c r="AR797">
        <f>SUMPRODUCT((B24:B31&lt;=$B$6)*(C24:C31*AM797+D24:D31*AO797*$B$8*AQ797)/(1+AL797/100)^B24:B31)+C32*AM797*AP797/(1+AL797/100)^$B$6</f>
        <v/>
      </c>
      <c r="AS797">
        <f>SUMPRODUCT((K24:K26&lt;=$B$6)*(L24:L26*AN797+M24:M26*AO797*$B$8*AQ797)/(1+AL797/100)^K24:K26)+L27*AN797*AP797/(1+AL797/100)^$B$6</f>
        <v/>
      </c>
      <c r="AT797">
        <f>AS797-AR797</f>
        <v/>
      </c>
      <c r="AU797">
        <f>RAND()</f>
        <v/>
      </c>
      <c r="AV797">
        <f>RAND()</f>
        <v/>
      </c>
      <c r="AW797">
        <f>RAND()</f>
        <v/>
      </c>
      <c r="AX797">
        <f>RAND()</f>
        <v/>
      </c>
      <c r="AY797">
        <f>RAND()</f>
        <v/>
      </c>
      <c r="AZ797">
        <f>RAND()</f>
        <v/>
      </c>
    </row>
    <row r="798">
      <c r="AK798" t="n">
        <v>785</v>
      </c>
      <c r="AL798">
        <f>IFERROR(IF(AU798&lt;($AM$6-$AL$6)/($AN$6-$AL$6),$AL$6+SQRT(AU798*($AN$6-$AL$6)*($AM$6-$AL$6)),$AN$6-SQRT((1-AU798)*($AN$6-$AL$6)*($AN$6-$AM$6))),$AM$6)</f>
        <v/>
      </c>
      <c r="AM798">
        <f>IFERROR(IF(AV798&lt;($AM$7-$AL$7)/($AN$7-$AL$7),$AL$7+SQRT(AV798*($AN$7-$AL$7)*($AM$7-$AL$7)),$AN$7-SQRT((1-AV798)*($AN$7-$AL$7)*($AN$7-$AM$7))),$AM$7)</f>
        <v/>
      </c>
      <c r="AN798">
        <f>IFERROR(IF(AW798&lt;($AM$8-$AL$8)/($AN$8-$AL$8),$AL$8+SQRT(AW798*($AN$8-$AL$8)*($AM$8-$AL$8)),$AN$8-SQRT((1-AW798)*($AN$8-$AL$8)*($AN$8-$AM$8))),$AM$8)</f>
        <v/>
      </c>
      <c r="AO798">
        <f>IFERROR(IF(AX798&lt;($AM$9-$AL$9)/($AN$9-$AL$9),$AL$9+SQRT(AX798*($AN$9-$AL$9)*($AM$9-$AL$9)),$AN$9-SQRT((1-AX798)*($AN$9-$AL$9)*($AN$9-$AM$9))),$AM$9)</f>
        <v/>
      </c>
      <c r="AP798">
        <f>IFERROR(IF(AY798&lt;($AM$10-$AL$10)/($AN$10-$AL$10),$AL$10+SQRT(AY798*($AN$10-$AL$10)*($AM$10-$AL$10)),$AN$10-SQRT((1-AY798)*($AN$10-$AL$10)*($AN$10-$AM$10))),$AM$10)</f>
        <v/>
      </c>
      <c r="AQ798">
        <f>IFERROR(IF(AZ798&lt;($AM$11-$AL$11)/($AN$11-$AL$11),$AL$11+SQRT(AZ798*($AN$11-$AL$11)*($AM$11-$AL$11)),$AN$11-SQRT((1-AZ798)*($AN$11-$AL$11)*($AN$11-$AM$11))),$AM$11)</f>
        <v/>
      </c>
      <c r="AR798">
        <f>SUMPRODUCT((B24:B31&lt;=$B$6)*(C24:C31*AM798+D24:D31*AO798*$B$8*AQ798)/(1+AL798/100)^B24:B31)+C32*AM798*AP798/(1+AL798/100)^$B$6</f>
        <v/>
      </c>
      <c r="AS798">
        <f>SUMPRODUCT((K24:K26&lt;=$B$6)*(L24:L26*AN798+M24:M26*AO798*$B$8*AQ798)/(1+AL798/100)^K24:K26)+L27*AN798*AP798/(1+AL798/100)^$B$6</f>
        <v/>
      </c>
      <c r="AT798">
        <f>AS798-AR798</f>
        <v/>
      </c>
      <c r="AU798">
        <f>RAND()</f>
        <v/>
      </c>
      <c r="AV798">
        <f>RAND()</f>
        <v/>
      </c>
      <c r="AW798">
        <f>RAND()</f>
        <v/>
      </c>
      <c r="AX798">
        <f>RAND()</f>
        <v/>
      </c>
      <c r="AY798">
        <f>RAND()</f>
        <v/>
      </c>
      <c r="AZ798">
        <f>RAND()</f>
        <v/>
      </c>
    </row>
    <row r="799">
      <c r="AK799" t="n">
        <v>786</v>
      </c>
      <c r="AL799">
        <f>IFERROR(IF(AU799&lt;($AM$6-$AL$6)/($AN$6-$AL$6),$AL$6+SQRT(AU799*($AN$6-$AL$6)*($AM$6-$AL$6)),$AN$6-SQRT((1-AU799)*($AN$6-$AL$6)*($AN$6-$AM$6))),$AM$6)</f>
        <v/>
      </c>
      <c r="AM799">
        <f>IFERROR(IF(AV799&lt;($AM$7-$AL$7)/($AN$7-$AL$7),$AL$7+SQRT(AV799*($AN$7-$AL$7)*($AM$7-$AL$7)),$AN$7-SQRT((1-AV799)*($AN$7-$AL$7)*($AN$7-$AM$7))),$AM$7)</f>
        <v/>
      </c>
      <c r="AN799">
        <f>IFERROR(IF(AW799&lt;($AM$8-$AL$8)/($AN$8-$AL$8),$AL$8+SQRT(AW799*($AN$8-$AL$8)*($AM$8-$AL$8)),$AN$8-SQRT((1-AW799)*($AN$8-$AL$8)*($AN$8-$AM$8))),$AM$8)</f>
        <v/>
      </c>
      <c r="AO799">
        <f>IFERROR(IF(AX799&lt;($AM$9-$AL$9)/($AN$9-$AL$9),$AL$9+SQRT(AX799*($AN$9-$AL$9)*($AM$9-$AL$9)),$AN$9-SQRT((1-AX799)*($AN$9-$AL$9)*($AN$9-$AM$9))),$AM$9)</f>
        <v/>
      </c>
      <c r="AP799">
        <f>IFERROR(IF(AY799&lt;($AM$10-$AL$10)/($AN$10-$AL$10),$AL$10+SQRT(AY799*($AN$10-$AL$10)*($AM$10-$AL$10)),$AN$10-SQRT((1-AY799)*($AN$10-$AL$10)*($AN$10-$AM$10))),$AM$10)</f>
        <v/>
      </c>
      <c r="AQ799">
        <f>IFERROR(IF(AZ799&lt;($AM$11-$AL$11)/($AN$11-$AL$11),$AL$11+SQRT(AZ799*($AN$11-$AL$11)*($AM$11-$AL$11)),$AN$11-SQRT((1-AZ799)*($AN$11-$AL$11)*($AN$11-$AM$11))),$AM$11)</f>
        <v/>
      </c>
      <c r="AR799">
        <f>SUMPRODUCT((B24:B31&lt;=$B$6)*(C24:C31*AM799+D24:D31*AO799*$B$8*AQ799)/(1+AL799/100)^B24:B31)+C32*AM799*AP799/(1+AL799/100)^$B$6</f>
        <v/>
      </c>
      <c r="AS799">
        <f>SUMPRODUCT((K24:K26&lt;=$B$6)*(L24:L26*AN799+M24:M26*AO799*$B$8*AQ799)/(1+AL799/100)^K24:K26)+L27*AN799*AP799/(1+AL799/100)^$B$6</f>
        <v/>
      </c>
      <c r="AT799">
        <f>AS799-AR799</f>
        <v/>
      </c>
      <c r="AU799">
        <f>RAND()</f>
        <v/>
      </c>
      <c r="AV799">
        <f>RAND()</f>
        <v/>
      </c>
      <c r="AW799">
        <f>RAND()</f>
        <v/>
      </c>
      <c r="AX799">
        <f>RAND()</f>
        <v/>
      </c>
      <c r="AY799">
        <f>RAND()</f>
        <v/>
      </c>
      <c r="AZ799">
        <f>RAND()</f>
        <v/>
      </c>
    </row>
    <row r="800">
      <c r="AK800" t="n">
        <v>787</v>
      </c>
      <c r="AL800">
        <f>IFERROR(IF(AU800&lt;($AM$6-$AL$6)/($AN$6-$AL$6),$AL$6+SQRT(AU800*($AN$6-$AL$6)*($AM$6-$AL$6)),$AN$6-SQRT((1-AU800)*($AN$6-$AL$6)*($AN$6-$AM$6))),$AM$6)</f>
        <v/>
      </c>
      <c r="AM800">
        <f>IFERROR(IF(AV800&lt;($AM$7-$AL$7)/($AN$7-$AL$7),$AL$7+SQRT(AV800*($AN$7-$AL$7)*($AM$7-$AL$7)),$AN$7-SQRT((1-AV800)*($AN$7-$AL$7)*($AN$7-$AM$7))),$AM$7)</f>
        <v/>
      </c>
      <c r="AN800">
        <f>IFERROR(IF(AW800&lt;($AM$8-$AL$8)/($AN$8-$AL$8),$AL$8+SQRT(AW800*($AN$8-$AL$8)*($AM$8-$AL$8)),$AN$8-SQRT((1-AW800)*($AN$8-$AL$8)*($AN$8-$AM$8))),$AM$8)</f>
        <v/>
      </c>
      <c r="AO800">
        <f>IFERROR(IF(AX800&lt;($AM$9-$AL$9)/($AN$9-$AL$9),$AL$9+SQRT(AX800*($AN$9-$AL$9)*($AM$9-$AL$9)),$AN$9-SQRT((1-AX800)*($AN$9-$AL$9)*($AN$9-$AM$9))),$AM$9)</f>
        <v/>
      </c>
      <c r="AP800">
        <f>IFERROR(IF(AY800&lt;($AM$10-$AL$10)/($AN$10-$AL$10),$AL$10+SQRT(AY800*($AN$10-$AL$10)*($AM$10-$AL$10)),$AN$10-SQRT((1-AY800)*($AN$10-$AL$10)*($AN$10-$AM$10))),$AM$10)</f>
        <v/>
      </c>
      <c r="AQ800">
        <f>IFERROR(IF(AZ800&lt;($AM$11-$AL$11)/($AN$11-$AL$11),$AL$11+SQRT(AZ800*($AN$11-$AL$11)*($AM$11-$AL$11)),$AN$11-SQRT((1-AZ800)*($AN$11-$AL$11)*($AN$11-$AM$11))),$AM$11)</f>
        <v/>
      </c>
      <c r="AR800">
        <f>SUMPRODUCT((B24:B31&lt;=$B$6)*(C24:C31*AM800+D24:D31*AO800*$B$8*AQ800)/(1+AL800/100)^B24:B31)+C32*AM800*AP800/(1+AL800/100)^$B$6</f>
        <v/>
      </c>
      <c r="AS800">
        <f>SUMPRODUCT((K24:K26&lt;=$B$6)*(L24:L26*AN800+M24:M26*AO800*$B$8*AQ800)/(1+AL800/100)^K24:K26)+L27*AN800*AP800/(1+AL800/100)^$B$6</f>
        <v/>
      </c>
      <c r="AT800">
        <f>AS800-AR800</f>
        <v/>
      </c>
      <c r="AU800">
        <f>RAND()</f>
        <v/>
      </c>
      <c r="AV800">
        <f>RAND()</f>
        <v/>
      </c>
      <c r="AW800">
        <f>RAND()</f>
        <v/>
      </c>
      <c r="AX800">
        <f>RAND()</f>
        <v/>
      </c>
      <c r="AY800">
        <f>RAND()</f>
        <v/>
      </c>
      <c r="AZ800">
        <f>RAND()</f>
        <v/>
      </c>
    </row>
    <row r="801">
      <c r="AK801" t="n">
        <v>788</v>
      </c>
      <c r="AL801">
        <f>IFERROR(IF(AU801&lt;($AM$6-$AL$6)/($AN$6-$AL$6),$AL$6+SQRT(AU801*($AN$6-$AL$6)*($AM$6-$AL$6)),$AN$6-SQRT((1-AU801)*($AN$6-$AL$6)*($AN$6-$AM$6))),$AM$6)</f>
        <v/>
      </c>
      <c r="AM801">
        <f>IFERROR(IF(AV801&lt;($AM$7-$AL$7)/($AN$7-$AL$7),$AL$7+SQRT(AV801*($AN$7-$AL$7)*($AM$7-$AL$7)),$AN$7-SQRT((1-AV801)*($AN$7-$AL$7)*($AN$7-$AM$7))),$AM$7)</f>
        <v/>
      </c>
      <c r="AN801">
        <f>IFERROR(IF(AW801&lt;($AM$8-$AL$8)/($AN$8-$AL$8),$AL$8+SQRT(AW801*($AN$8-$AL$8)*($AM$8-$AL$8)),$AN$8-SQRT((1-AW801)*($AN$8-$AL$8)*($AN$8-$AM$8))),$AM$8)</f>
        <v/>
      </c>
      <c r="AO801">
        <f>IFERROR(IF(AX801&lt;($AM$9-$AL$9)/($AN$9-$AL$9),$AL$9+SQRT(AX801*($AN$9-$AL$9)*($AM$9-$AL$9)),$AN$9-SQRT((1-AX801)*($AN$9-$AL$9)*($AN$9-$AM$9))),$AM$9)</f>
        <v/>
      </c>
      <c r="AP801">
        <f>IFERROR(IF(AY801&lt;($AM$10-$AL$10)/($AN$10-$AL$10),$AL$10+SQRT(AY801*($AN$10-$AL$10)*($AM$10-$AL$10)),$AN$10-SQRT((1-AY801)*($AN$10-$AL$10)*($AN$10-$AM$10))),$AM$10)</f>
        <v/>
      </c>
      <c r="AQ801">
        <f>IFERROR(IF(AZ801&lt;($AM$11-$AL$11)/($AN$11-$AL$11),$AL$11+SQRT(AZ801*($AN$11-$AL$11)*($AM$11-$AL$11)),$AN$11-SQRT((1-AZ801)*($AN$11-$AL$11)*($AN$11-$AM$11))),$AM$11)</f>
        <v/>
      </c>
      <c r="AR801">
        <f>SUMPRODUCT((B24:B31&lt;=$B$6)*(C24:C31*AM801+D24:D31*AO801*$B$8*AQ801)/(1+AL801/100)^B24:B31)+C32*AM801*AP801/(1+AL801/100)^$B$6</f>
        <v/>
      </c>
      <c r="AS801">
        <f>SUMPRODUCT((K24:K26&lt;=$B$6)*(L24:L26*AN801+M24:M26*AO801*$B$8*AQ801)/(1+AL801/100)^K24:K26)+L27*AN801*AP801/(1+AL801/100)^$B$6</f>
        <v/>
      </c>
      <c r="AT801">
        <f>AS801-AR801</f>
        <v/>
      </c>
      <c r="AU801">
        <f>RAND()</f>
        <v/>
      </c>
      <c r="AV801">
        <f>RAND()</f>
        <v/>
      </c>
      <c r="AW801">
        <f>RAND()</f>
        <v/>
      </c>
      <c r="AX801">
        <f>RAND()</f>
        <v/>
      </c>
      <c r="AY801">
        <f>RAND()</f>
        <v/>
      </c>
      <c r="AZ801">
        <f>RAND()</f>
        <v/>
      </c>
    </row>
    <row r="802">
      <c r="AK802" t="n">
        <v>789</v>
      </c>
      <c r="AL802">
        <f>IFERROR(IF(AU802&lt;($AM$6-$AL$6)/($AN$6-$AL$6),$AL$6+SQRT(AU802*($AN$6-$AL$6)*($AM$6-$AL$6)),$AN$6-SQRT((1-AU802)*($AN$6-$AL$6)*($AN$6-$AM$6))),$AM$6)</f>
        <v/>
      </c>
      <c r="AM802">
        <f>IFERROR(IF(AV802&lt;($AM$7-$AL$7)/($AN$7-$AL$7),$AL$7+SQRT(AV802*($AN$7-$AL$7)*($AM$7-$AL$7)),$AN$7-SQRT((1-AV802)*($AN$7-$AL$7)*($AN$7-$AM$7))),$AM$7)</f>
        <v/>
      </c>
      <c r="AN802">
        <f>IFERROR(IF(AW802&lt;($AM$8-$AL$8)/($AN$8-$AL$8),$AL$8+SQRT(AW802*($AN$8-$AL$8)*($AM$8-$AL$8)),$AN$8-SQRT((1-AW802)*($AN$8-$AL$8)*($AN$8-$AM$8))),$AM$8)</f>
        <v/>
      </c>
      <c r="AO802">
        <f>IFERROR(IF(AX802&lt;($AM$9-$AL$9)/($AN$9-$AL$9),$AL$9+SQRT(AX802*($AN$9-$AL$9)*($AM$9-$AL$9)),$AN$9-SQRT((1-AX802)*($AN$9-$AL$9)*($AN$9-$AM$9))),$AM$9)</f>
        <v/>
      </c>
      <c r="AP802">
        <f>IFERROR(IF(AY802&lt;($AM$10-$AL$10)/($AN$10-$AL$10),$AL$10+SQRT(AY802*($AN$10-$AL$10)*($AM$10-$AL$10)),$AN$10-SQRT((1-AY802)*($AN$10-$AL$10)*($AN$10-$AM$10))),$AM$10)</f>
        <v/>
      </c>
      <c r="AQ802">
        <f>IFERROR(IF(AZ802&lt;($AM$11-$AL$11)/($AN$11-$AL$11),$AL$11+SQRT(AZ802*($AN$11-$AL$11)*($AM$11-$AL$11)),$AN$11-SQRT((1-AZ802)*($AN$11-$AL$11)*($AN$11-$AM$11))),$AM$11)</f>
        <v/>
      </c>
      <c r="AR802">
        <f>SUMPRODUCT((B24:B31&lt;=$B$6)*(C24:C31*AM802+D24:D31*AO802*$B$8*AQ802)/(1+AL802/100)^B24:B31)+C32*AM802*AP802/(1+AL802/100)^$B$6</f>
        <v/>
      </c>
      <c r="AS802">
        <f>SUMPRODUCT((K24:K26&lt;=$B$6)*(L24:L26*AN802+M24:M26*AO802*$B$8*AQ802)/(1+AL802/100)^K24:K26)+L27*AN802*AP802/(1+AL802/100)^$B$6</f>
        <v/>
      </c>
      <c r="AT802">
        <f>AS802-AR802</f>
        <v/>
      </c>
      <c r="AU802">
        <f>RAND()</f>
        <v/>
      </c>
      <c r="AV802">
        <f>RAND()</f>
        <v/>
      </c>
      <c r="AW802">
        <f>RAND()</f>
        <v/>
      </c>
      <c r="AX802">
        <f>RAND()</f>
        <v/>
      </c>
      <c r="AY802">
        <f>RAND()</f>
        <v/>
      </c>
      <c r="AZ802">
        <f>RAND()</f>
        <v/>
      </c>
    </row>
    <row r="803">
      <c r="AK803" t="n">
        <v>790</v>
      </c>
      <c r="AL803">
        <f>IFERROR(IF(AU803&lt;($AM$6-$AL$6)/($AN$6-$AL$6),$AL$6+SQRT(AU803*($AN$6-$AL$6)*($AM$6-$AL$6)),$AN$6-SQRT((1-AU803)*($AN$6-$AL$6)*($AN$6-$AM$6))),$AM$6)</f>
        <v/>
      </c>
      <c r="AM803">
        <f>IFERROR(IF(AV803&lt;($AM$7-$AL$7)/($AN$7-$AL$7),$AL$7+SQRT(AV803*($AN$7-$AL$7)*($AM$7-$AL$7)),$AN$7-SQRT((1-AV803)*($AN$7-$AL$7)*($AN$7-$AM$7))),$AM$7)</f>
        <v/>
      </c>
      <c r="AN803">
        <f>IFERROR(IF(AW803&lt;($AM$8-$AL$8)/($AN$8-$AL$8),$AL$8+SQRT(AW803*($AN$8-$AL$8)*($AM$8-$AL$8)),$AN$8-SQRT((1-AW803)*($AN$8-$AL$8)*($AN$8-$AM$8))),$AM$8)</f>
        <v/>
      </c>
      <c r="AO803">
        <f>IFERROR(IF(AX803&lt;($AM$9-$AL$9)/($AN$9-$AL$9),$AL$9+SQRT(AX803*($AN$9-$AL$9)*($AM$9-$AL$9)),$AN$9-SQRT((1-AX803)*($AN$9-$AL$9)*($AN$9-$AM$9))),$AM$9)</f>
        <v/>
      </c>
      <c r="AP803">
        <f>IFERROR(IF(AY803&lt;($AM$10-$AL$10)/($AN$10-$AL$10),$AL$10+SQRT(AY803*($AN$10-$AL$10)*($AM$10-$AL$10)),$AN$10-SQRT((1-AY803)*($AN$10-$AL$10)*($AN$10-$AM$10))),$AM$10)</f>
        <v/>
      </c>
      <c r="AQ803">
        <f>IFERROR(IF(AZ803&lt;($AM$11-$AL$11)/($AN$11-$AL$11),$AL$11+SQRT(AZ803*($AN$11-$AL$11)*($AM$11-$AL$11)),$AN$11-SQRT((1-AZ803)*($AN$11-$AL$11)*($AN$11-$AM$11))),$AM$11)</f>
        <v/>
      </c>
      <c r="AR803">
        <f>SUMPRODUCT((B24:B31&lt;=$B$6)*(C24:C31*AM803+D24:D31*AO803*$B$8*AQ803)/(1+AL803/100)^B24:B31)+C32*AM803*AP803/(1+AL803/100)^$B$6</f>
        <v/>
      </c>
      <c r="AS803">
        <f>SUMPRODUCT((K24:K26&lt;=$B$6)*(L24:L26*AN803+M24:M26*AO803*$B$8*AQ803)/(1+AL803/100)^K24:K26)+L27*AN803*AP803/(1+AL803/100)^$B$6</f>
        <v/>
      </c>
      <c r="AT803">
        <f>AS803-AR803</f>
        <v/>
      </c>
      <c r="AU803">
        <f>RAND()</f>
        <v/>
      </c>
      <c r="AV803">
        <f>RAND()</f>
        <v/>
      </c>
      <c r="AW803">
        <f>RAND()</f>
        <v/>
      </c>
      <c r="AX803">
        <f>RAND()</f>
        <v/>
      </c>
      <c r="AY803">
        <f>RAND()</f>
        <v/>
      </c>
      <c r="AZ803">
        <f>RAND()</f>
        <v/>
      </c>
    </row>
    <row r="804">
      <c r="AK804" t="n">
        <v>791</v>
      </c>
      <c r="AL804">
        <f>IFERROR(IF(AU804&lt;($AM$6-$AL$6)/($AN$6-$AL$6),$AL$6+SQRT(AU804*($AN$6-$AL$6)*($AM$6-$AL$6)),$AN$6-SQRT((1-AU804)*($AN$6-$AL$6)*($AN$6-$AM$6))),$AM$6)</f>
        <v/>
      </c>
      <c r="AM804">
        <f>IFERROR(IF(AV804&lt;($AM$7-$AL$7)/($AN$7-$AL$7),$AL$7+SQRT(AV804*($AN$7-$AL$7)*($AM$7-$AL$7)),$AN$7-SQRT((1-AV804)*($AN$7-$AL$7)*($AN$7-$AM$7))),$AM$7)</f>
        <v/>
      </c>
      <c r="AN804">
        <f>IFERROR(IF(AW804&lt;($AM$8-$AL$8)/($AN$8-$AL$8),$AL$8+SQRT(AW804*($AN$8-$AL$8)*($AM$8-$AL$8)),$AN$8-SQRT((1-AW804)*($AN$8-$AL$8)*($AN$8-$AM$8))),$AM$8)</f>
        <v/>
      </c>
      <c r="AO804">
        <f>IFERROR(IF(AX804&lt;($AM$9-$AL$9)/($AN$9-$AL$9),$AL$9+SQRT(AX804*($AN$9-$AL$9)*($AM$9-$AL$9)),$AN$9-SQRT((1-AX804)*($AN$9-$AL$9)*($AN$9-$AM$9))),$AM$9)</f>
        <v/>
      </c>
      <c r="AP804">
        <f>IFERROR(IF(AY804&lt;($AM$10-$AL$10)/($AN$10-$AL$10),$AL$10+SQRT(AY804*($AN$10-$AL$10)*($AM$10-$AL$10)),$AN$10-SQRT((1-AY804)*($AN$10-$AL$10)*($AN$10-$AM$10))),$AM$10)</f>
        <v/>
      </c>
      <c r="AQ804">
        <f>IFERROR(IF(AZ804&lt;($AM$11-$AL$11)/($AN$11-$AL$11),$AL$11+SQRT(AZ804*($AN$11-$AL$11)*($AM$11-$AL$11)),$AN$11-SQRT((1-AZ804)*($AN$11-$AL$11)*($AN$11-$AM$11))),$AM$11)</f>
        <v/>
      </c>
      <c r="AR804">
        <f>SUMPRODUCT((B24:B31&lt;=$B$6)*(C24:C31*AM804+D24:D31*AO804*$B$8*AQ804)/(1+AL804/100)^B24:B31)+C32*AM804*AP804/(1+AL804/100)^$B$6</f>
        <v/>
      </c>
      <c r="AS804">
        <f>SUMPRODUCT((K24:K26&lt;=$B$6)*(L24:L26*AN804+M24:M26*AO804*$B$8*AQ804)/(1+AL804/100)^K24:K26)+L27*AN804*AP804/(1+AL804/100)^$B$6</f>
        <v/>
      </c>
      <c r="AT804">
        <f>AS804-AR804</f>
        <v/>
      </c>
      <c r="AU804">
        <f>RAND()</f>
        <v/>
      </c>
      <c r="AV804">
        <f>RAND()</f>
        <v/>
      </c>
      <c r="AW804">
        <f>RAND()</f>
        <v/>
      </c>
      <c r="AX804">
        <f>RAND()</f>
        <v/>
      </c>
      <c r="AY804">
        <f>RAND()</f>
        <v/>
      </c>
      <c r="AZ804">
        <f>RAND()</f>
        <v/>
      </c>
    </row>
    <row r="805">
      <c r="AK805" t="n">
        <v>792</v>
      </c>
      <c r="AL805">
        <f>IFERROR(IF(AU805&lt;($AM$6-$AL$6)/($AN$6-$AL$6),$AL$6+SQRT(AU805*($AN$6-$AL$6)*($AM$6-$AL$6)),$AN$6-SQRT((1-AU805)*($AN$6-$AL$6)*($AN$6-$AM$6))),$AM$6)</f>
        <v/>
      </c>
      <c r="AM805">
        <f>IFERROR(IF(AV805&lt;($AM$7-$AL$7)/($AN$7-$AL$7),$AL$7+SQRT(AV805*($AN$7-$AL$7)*($AM$7-$AL$7)),$AN$7-SQRT((1-AV805)*($AN$7-$AL$7)*($AN$7-$AM$7))),$AM$7)</f>
        <v/>
      </c>
      <c r="AN805">
        <f>IFERROR(IF(AW805&lt;($AM$8-$AL$8)/($AN$8-$AL$8),$AL$8+SQRT(AW805*($AN$8-$AL$8)*($AM$8-$AL$8)),$AN$8-SQRT((1-AW805)*($AN$8-$AL$8)*($AN$8-$AM$8))),$AM$8)</f>
        <v/>
      </c>
      <c r="AO805">
        <f>IFERROR(IF(AX805&lt;($AM$9-$AL$9)/($AN$9-$AL$9),$AL$9+SQRT(AX805*($AN$9-$AL$9)*($AM$9-$AL$9)),$AN$9-SQRT((1-AX805)*($AN$9-$AL$9)*($AN$9-$AM$9))),$AM$9)</f>
        <v/>
      </c>
      <c r="AP805">
        <f>IFERROR(IF(AY805&lt;($AM$10-$AL$10)/($AN$10-$AL$10),$AL$10+SQRT(AY805*($AN$10-$AL$10)*($AM$10-$AL$10)),$AN$10-SQRT((1-AY805)*($AN$10-$AL$10)*($AN$10-$AM$10))),$AM$10)</f>
        <v/>
      </c>
      <c r="AQ805">
        <f>IFERROR(IF(AZ805&lt;($AM$11-$AL$11)/($AN$11-$AL$11),$AL$11+SQRT(AZ805*($AN$11-$AL$11)*($AM$11-$AL$11)),$AN$11-SQRT((1-AZ805)*($AN$11-$AL$11)*($AN$11-$AM$11))),$AM$11)</f>
        <v/>
      </c>
      <c r="AR805">
        <f>SUMPRODUCT((B24:B31&lt;=$B$6)*(C24:C31*AM805+D24:D31*AO805*$B$8*AQ805)/(1+AL805/100)^B24:B31)+C32*AM805*AP805/(1+AL805/100)^$B$6</f>
        <v/>
      </c>
      <c r="AS805">
        <f>SUMPRODUCT((K24:K26&lt;=$B$6)*(L24:L26*AN805+M24:M26*AO805*$B$8*AQ805)/(1+AL805/100)^K24:K26)+L27*AN805*AP805/(1+AL805/100)^$B$6</f>
        <v/>
      </c>
      <c r="AT805">
        <f>AS805-AR805</f>
        <v/>
      </c>
      <c r="AU805">
        <f>RAND()</f>
        <v/>
      </c>
      <c r="AV805">
        <f>RAND()</f>
        <v/>
      </c>
      <c r="AW805">
        <f>RAND()</f>
        <v/>
      </c>
      <c r="AX805">
        <f>RAND()</f>
        <v/>
      </c>
      <c r="AY805">
        <f>RAND()</f>
        <v/>
      </c>
      <c r="AZ805">
        <f>RAND()</f>
        <v/>
      </c>
    </row>
    <row r="806">
      <c r="AK806" t="n">
        <v>793</v>
      </c>
      <c r="AL806">
        <f>IFERROR(IF(AU806&lt;($AM$6-$AL$6)/($AN$6-$AL$6),$AL$6+SQRT(AU806*($AN$6-$AL$6)*($AM$6-$AL$6)),$AN$6-SQRT((1-AU806)*($AN$6-$AL$6)*($AN$6-$AM$6))),$AM$6)</f>
        <v/>
      </c>
      <c r="AM806">
        <f>IFERROR(IF(AV806&lt;($AM$7-$AL$7)/($AN$7-$AL$7),$AL$7+SQRT(AV806*($AN$7-$AL$7)*($AM$7-$AL$7)),$AN$7-SQRT((1-AV806)*($AN$7-$AL$7)*($AN$7-$AM$7))),$AM$7)</f>
        <v/>
      </c>
      <c r="AN806">
        <f>IFERROR(IF(AW806&lt;($AM$8-$AL$8)/($AN$8-$AL$8),$AL$8+SQRT(AW806*($AN$8-$AL$8)*($AM$8-$AL$8)),$AN$8-SQRT((1-AW806)*($AN$8-$AL$8)*($AN$8-$AM$8))),$AM$8)</f>
        <v/>
      </c>
      <c r="AO806">
        <f>IFERROR(IF(AX806&lt;($AM$9-$AL$9)/($AN$9-$AL$9),$AL$9+SQRT(AX806*($AN$9-$AL$9)*($AM$9-$AL$9)),$AN$9-SQRT((1-AX806)*($AN$9-$AL$9)*($AN$9-$AM$9))),$AM$9)</f>
        <v/>
      </c>
      <c r="AP806">
        <f>IFERROR(IF(AY806&lt;($AM$10-$AL$10)/($AN$10-$AL$10),$AL$10+SQRT(AY806*($AN$10-$AL$10)*($AM$10-$AL$10)),$AN$10-SQRT((1-AY806)*($AN$10-$AL$10)*($AN$10-$AM$10))),$AM$10)</f>
        <v/>
      </c>
      <c r="AQ806">
        <f>IFERROR(IF(AZ806&lt;($AM$11-$AL$11)/($AN$11-$AL$11),$AL$11+SQRT(AZ806*($AN$11-$AL$11)*($AM$11-$AL$11)),$AN$11-SQRT((1-AZ806)*($AN$11-$AL$11)*($AN$11-$AM$11))),$AM$11)</f>
        <v/>
      </c>
      <c r="AR806">
        <f>SUMPRODUCT((B24:B31&lt;=$B$6)*(C24:C31*AM806+D24:D31*AO806*$B$8*AQ806)/(1+AL806/100)^B24:B31)+C32*AM806*AP806/(1+AL806/100)^$B$6</f>
        <v/>
      </c>
      <c r="AS806">
        <f>SUMPRODUCT((K24:K26&lt;=$B$6)*(L24:L26*AN806+M24:M26*AO806*$B$8*AQ806)/(1+AL806/100)^K24:K26)+L27*AN806*AP806/(1+AL806/100)^$B$6</f>
        <v/>
      </c>
      <c r="AT806">
        <f>AS806-AR806</f>
        <v/>
      </c>
      <c r="AU806">
        <f>RAND()</f>
        <v/>
      </c>
      <c r="AV806">
        <f>RAND()</f>
        <v/>
      </c>
      <c r="AW806">
        <f>RAND()</f>
        <v/>
      </c>
      <c r="AX806">
        <f>RAND()</f>
        <v/>
      </c>
      <c r="AY806">
        <f>RAND()</f>
        <v/>
      </c>
      <c r="AZ806">
        <f>RAND()</f>
        <v/>
      </c>
    </row>
    <row r="807">
      <c r="AK807" t="n">
        <v>794</v>
      </c>
      <c r="AL807">
        <f>IFERROR(IF(AU807&lt;($AM$6-$AL$6)/($AN$6-$AL$6),$AL$6+SQRT(AU807*($AN$6-$AL$6)*($AM$6-$AL$6)),$AN$6-SQRT((1-AU807)*($AN$6-$AL$6)*($AN$6-$AM$6))),$AM$6)</f>
        <v/>
      </c>
      <c r="AM807">
        <f>IFERROR(IF(AV807&lt;($AM$7-$AL$7)/($AN$7-$AL$7),$AL$7+SQRT(AV807*($AN$7-$AL$7)*($AM$7-$AL$7)),$AN$7-SQRT((1-AV807)*($AN$7-$AL$7)*($AN$7-$AM$7))),$AM$7)</f>
        <v/>
      </c>
      <c r="AN807">
        <f>IFERROR(IF(AW807&lt;($AM$8-$AL$8)/($AN$8-$AL$8),$AL$8+SQRT(AW807*($AN$8-$AL$8)*($AM$8-$AL$8)),$AN$8-SQRT((1-AW807)*($AN$8-$AL$8)*($AN$8-$AM$8))),$AM$8)</f>
        <v/>
      </c>
      <c r="AO807">
        <f>IFERROR(IF(AX807&lt;($AM$9-$AL$9)/($AN$9-$AL$9),$AL$9+SQRT(AX807*($AN$9-$AL$9)*($AM$9-$AL$9)),$AN$9-SQRT((1-AX807)*($AN$9-$AL$9)*($AN$9-$AM$9))),$AM$9)</f>
        <v/>
      </c>
      <c r="AP807">
        <f>IFERROR(IF(AY807&lt;($AM$10-$AL$10)/($AN$10-$AL$10),$AL$10+SQRT(AY807*($AN$10-$AL$10)*($AM$10-$AL$10)),$AN$10-SQRT((1-AY807)*($AN$10-$AL$10)*($AN$10-$AM$10))),$AM$10)</f>
        <v/>
      </c>
      <c r="AQ807">
        <f>IFERROR(IF(AZ807&lt;($AM$11-$AL$11)/($AN$11-$AL$11),$AL$11+SQRT(AZ807*($AN$11-$AL$11)*($AM$11-$AL$11)),$AN$11-SQRT((1-AZ807)*($AN$11-$AL$11)*($AN$11-$AM$11))),$AM$11)</f>
        <v/>
      </c>
      <c r="AR807">
        <f>SUMPRODUCT((B24:B31&lt;=$B$6)*(C24:C31*AM807+D24:D31*AO807*$B$8*AQ807)/(1+AL807/100)^B24:B31)+C32*AM807*AP807/(1+AL807/100)^$B$6</f>
        <v/>
      </c>
      <c r="AS807">
        <f>SUMPRODUCT((K24:K26&lt;=$B$6)*(L24:L26*AN807+M24:M26*AO807*$B$8*AQ807)/(1+AL807/100)^K24:K26)+L27*AN807*AP807/(1+AL807/100)^$B$6</f>
        <v/>
      </c>
      <c r="AT807">
        <f>AS807-AR807</f>
        <v/>
      </c>
      <c r="AU807">
        <f>RAND()</f>
        <v/>
      </c>
      <c r="AV807">
        <f>RAND()</f>
        <v/>
      </c>
      <c r="AW807">
        <f>RAND()</f>
        <v/>
      </c>
      <c r="AX807">
        <f>RAND()</f>
        <v/>
      </c>
      <c r="AY807">
        <f>RAND()</f>
        <v/>
      </c>
      <c r="AZ807">
        <f>RAND()</f>
        <v/>
      </c>
    </row>
    <row r="808">
      <c r="AK808" t="n">
        <v>795</v>
      </c>
      <c r="AL808">
        <f>IFERROR(IF(AU808&lt;($AM$6-$AL$6)/($AN$6-$AL$6),$AL$6+SQRT(AU808*($AN$6-$AL$6)*($AM$6-$AL$6)),$AN$6-SQRT((1-AU808)*($AN$6-$AL$6)*($AN$6-$AM$6))),$AM$6)</f>
        <v/>
      </c>
      <c r="AM808">
        <f>IFERROR(IF(AV808&lt;($AM$7-$AL$7)/($AN$7-$AL$7),$AL$7+SQRT(AV808*($AN$7-$AL$7)*($AM$7-$AL$7)),$AN$7-SQRT((1-AV808)*($AN$7-$AL$7)*($AN$7-$AM$7))),$AM$7)</f>
        <v/>
      </c>
      <c r="AN808">
        <f>IFERROR(IF(AW808&lt;($AM$8-$AL$8)/($AN$8-$AL$8),$AL$8+SQRT(AW808*($AN$8-$AL$8)*($AM$8-$AL$8)),$AN$8-SQRT((1-AW808)*($AN$8-$AL$8)*($AN$8-$AM$8))),$AM$8)</f>
        <v/>
      </c>
      <c r="AO808">
        <f>IFERROR(IF(AX808&lt;($AM$9-$AL$9)/($AN$9-$AL$9),$AL$9+SQRT(AX808*($AN$9-$AL$9)*($AM$9-$AL$9)),$AN$9-SQRT((1-AX808)*($AN$9-$AL$9)*($AN$9-$AM$9))),$AM$9)</f>
        <v/>
      </c>
      <c r="AP808">
        <f>IFERROR(IF(AY808&lt;($AM$10-$AL$10)/($AN$10-$AL$10),$AL$10+SQRT(AY808*($AN$10-$AL$10)*($AM$10-$AL$10)),$AN$10-SQRT((1-AY808)*($AN$10-$AL$10)*($AN$10-$AM$10))),$AM$10)</f>
        <v/>
      </c>
      <c r="AQ808">
        <f>IFERROR(IF(AZ808&lt;($AM$11-$AL$11)/($AN$11-$AL$11),$AL$11+SQRT(AZ808*($AN$11-$AL$11)*($AM$11-$AL$11)),$AN$11-SQRT((1-AZ808)*($AN$11-$AL$11)*($AN$11-$AM$11))),$AM$11)</f>
        <v/>
      </c>
      <c r="AR808">
        <f>SUMPRODUCT((B24:B31&lt;=$B$6)*(C24:C31*AM808+D24:D31*AO808*$B$8*AQ808)/(1+AL808/100)^B24:B31)+C32*AM808*AP808/(1+AL808/100)^$B$6</f>
        <v/>
      </c>
      <c r="AS808">
        <f>SUMPRODUCT((K24:K26&lt;=$B$6)*(L24:L26*AN808+M24:M26*AO808*$B$8*AQ808)/(1+AL808/100)^K24:K26)+L27*AN808*AP808/(1+AL808/100)^$B$6</f>
        <v/>
      </c>
      <c r="AT808">
        <f>AS808-AR808</f>
        <v/>
      </c>
      <c r="AU808">
        <f>RAND()</f>
        <v/>
      </c>
      <c r="AV808">
        <f>RAND()</f>
        <v/>
      </c>
      <c r="AW808">
        <f>RAND()</f>
        <v/>
      </c>
      <c r="AX808">
        <f>RAND()</f>
        <v/>
      </c>
      <c r="AY808">
        <f>RAND()</f>
        <v/>
      </c>
      <c r="AZ808">
        <f>RAND()</f>
        <v/>
      </c>
    </row>
    <row r="809">
      <c r="AK809" t="n">
        <v>796</v>
      </c>
      <c r="AL809">
        <f>IFERROR(IF(AU809&lt;($AM$6-$AL$6)/($AN$6-$AL$6),$AL$6+SQRT(AU809*($AN$6-$AL$6)*($AM$6-$AL$6)),$AN$6-SQRT((1-AU809)*($AN$6-$AL$6)*($AN$6-$AM$6))),$AM$6)</f>
        <v/>
      </c>
      <c r="AM809">
        <f>IFERROR(IF(AV809&lt;($AM$7-$AL$7)/($AN$7-$AL$7),$AL$7+SQRT(AV809*($AN$7-$AL$7)*($AM$7-$AL$7)),$AN$7-SQRT((1-AV809)*($AN$7-$AL$7)*($AN$7-$AM$7))),$AM$7)</f>
        <v/>
      </c>
      <c r="AN809">
        <f>IFERROR(IF(AW809&lt;($AM$8-$AL$8)/($AN$8-$AL$8),$AL$8+SQRT(AW809*($AN$8-$AL$8)*($AM$8-$AL$8)),$AN$8-SQRT((1-AW809)*($AN$8-$AL$8)*($AN$8-$AM$8))),$AM$8)</f>
        <v/>
      </c>
      <c r="AO809">
        <f>IFERROR(IF(AX809&lt;($AM$9-$AL$9)/($AN$9-$AL$9),$AL$9+SQRT(AX809*($AN$9-$AL$9)*($AM$9-$AL$9)),$AN$9-SQRT((1-AX809)*($AN$9-$AL$9)*($AN$9-$AM$9))),$AM$9)</f>
        <v/>
      </c>
      <c r="AP809">
        <f>IFERROR(IF(AY809&lt;($AM$10-$AL$10)/($AN$10-$AL$10),$AL$10+SQRT(AY809*($AN$10-$AL$10)*($AM$10-$AL$10)),$AN$10-SQRT((1-AY809)*($AN$10-$AL$10)*($AN$10-$AM$10))),$AM$10)</f>
        <v/>
      </c>
      <c r="AQ809">
        <f>IFERROR(IF(AZ809&lt;($AM$11-$AL$11)/($AN$11-$AL$11),$AL$11+SQRT(AZ809*($AN$11-$AL$11)*($AM$11-$AL$11)),$AN$11-SQRT((1-AZ809)*($AN$11-$AL$11)*($AN$11-$AM$11))),$AM$11)</f>
        <v/>
      </c>
      <c r="AR809">
        <f>SUMPRODUCT((B24:B31&lt;=$B$6)*(C24:C31*AM809+D24:D31*AO809*$B$8*AQ809)/(1+AL809/100)^B24:B31)+C32*AM809*AP809/(1+AL809/100)^$B$6</f>
        <v/>
      </c>
      <c r="AS809">
        <f>SUMPRODUCT((K24:K26&lt;=$B$6)*(L24:L26*AN809+M24:M26*AO809*$B$8*AQ809)/(1+AL809/100)^K24:K26)+L27*AN809*AP809/(1+AL809/100)^$B$6</f>
        <v/>
      </c>
      <c r="AT809">
        <f>AS809-AR809</f>
        <v/>
      </c>
      <c r="AU809">
        <f>RAND()</f>
        <v/>
      </c>
      <c r="AV809">
        <f>RAND()</f>
        <v/>
      </c>
      <c r="AW809">
        <f>RAND()</f>
        <v/>
      </c>
      <c r="AX809">
        <f>RAND()</f>
        <v/>
      </c>
      <c r="AY809">
        <f>RAND()</f>
        <v/>
      </c>
      <c r="AZ809">
        <f>RAND()</f>
        <v/>
      </c>
    </row>
    <row r="810">
      <c r="AK810" t="n">
        <v>797</v>
      </c>
      <c r="AL810">
        <f>IFERROR(IF(AU810&lt;($AM$6-$AL$6)/($AN$6-$AL$6),$AL$6+SQRT(AU810*($AN$6-$AL$6)*($AM$6-$AL$6)),$AN$6-SQRT((1-AU810)*($AN$6-$AL$6)*($AN$6-$AM$6))),$AM$6)</f>
        <v/>
      </c>
      <c r="AM810">
        <f>IFERROR(IF(AV810&lt;($AM$7-$AL$7)/($AN$7-$AL$7),$AL$7+SQRT(AV810*($AN$7-$AL$7)*($AM$7-$AL$7)),$AN$7-SQRT((1-AV810)*($AN$7-$AL$7)*($AN$7-$AM$7))),$AM$7)</f>
        <v/>
      </c>
      <c r="AN810">
        <f>IFERROR(IF(AW810&lt;($AM$8-$AL$8)/($AN$8-$AL$8),$AL$8+SQRT(AW810*($AN$8-$AL$8)*($AM$8-$AL$8)),$AN$8-SQRT((1-AW810)*($AN$8-$AL$8)*($AN$8-$AM$8))),$AM$8)</f>
        <v/>
      </c>
      <c r="AO810">
        <f>IFERROR(IF(AX810&lt;($AM$9-$AL$9)/($AN$9-$AL$9),$AL$9+SQRT(AX810*($AN$9-$AL$9)*($AM$9-$AL$9)),$AN$9-SQRT((1-AX810)*($AN$9-$AL$9)*($AN$9-$AM$9))),$AM$9)</f>
        <v/>
      </c>
      <c r="AP810">
        <f>IFERROR(IF(AY810&lt;($AM$10-$AL$10)/($AN$10-$AL$10),$AL$10+SQRT(AY810*($AN$10-$AL$10)*($AM$10-$AL$10)),$AN$10-SQRT((1-AY810)*($AN$10-$AL$10)*($AN$10-$AM$10))),$AM$10)</f>
        <v/>
      </c>
      <c r="AQ810">
        <f>IFERROR(IF(AZ810&lt;($AM$11-$AL$11)/($AN$11-$AL$11),$AL$11+SQRT(AZ810*($AN$11-$AL$11)*($AM$11-$AL$11)),$AN$11-SQRT((1-AZ810)*($AN$11-$AL$11)*($AN$11-$AM$11))),$AM$11)</f>
        <v/>
      </c>
      <c r="AR810">
        <f>SUMPRODUCT((B24:B31&lt;=$B$6)*(C24:C31*AM810+D24:D31*AO810*$B$8*AQ810)/(1+AL810/100)^B24:B31)+C32*AM810*AP810/(1+AL810/100)^$B$6</f>
        <v/>
      </c>
      <c r="AS810">
        <f>SUMPRODUCT((K24:K26&lt;=$B$6)*(L24:L26*AN810+M24:M26*AO810*$B$8*AQ810)/(1+AL810/100)^K24:K26)+L27*AN810*AP810/(1+AL810/100)^$B$6</f>
        <v/>
      </c>
      <c r="AT810">
        <f>AS810-AR810</f>
        <v/>
      </c>
      <c r="AU810">
        <f>RAND()</f>
        <v/>
      </c>
      <c r="AV810">
        <f>RAND()</f>
        <v/>
      </c>
      <c r="AW810">
        <f>RAND()</f>
        <v/>
      </c>
      <c r="AX810">
        <f>RAND()</f>
        <v/>
      </c>
      <c r="AY810">
        <f>RAND()</f>
        <v/>
      </c>
      <c r="AZ810">
        <f>RAND()</f>
        <v/>
      </c>
    </row>
    <row r="811">
      <c r="AK811" t="n">
        <v>798</v>
      </c>
      <c r="AL811">
        <f>IFERROR(IF(AU811&lt;($AM$6-$AL$6)/($AN$6-$AL$6),$AL$6+SQRT(AU811*($AN$6-$AL$6)*($AM$6-$AL$6)),$AN$6-SQRT((1-AU811)*($AN$6-$AL$6)*($AN$6-$AM$6))),$AM$6)</f>
        <v/>
      </c>
      <c r="AM811">
        <f>IFERROR(IF(AV811&lt;($AM$7-$AL$7)/($AN$7-$AL$7),$AL$7+SQRT(AV811*($AN$7-$AL$7)*($AM$7-$AL$7)),$AN$7-SQRT((1-AV811)*($AN$7-$AL$7)*($AN$7-$AM$7))),$AM$7)</f>
        <v/>
      </c>
      <c r="AN811">
        <f>IFERROR(IF(AW811&lt;($AM$8-$AL$8)/($AN$8-$AL$8),$AL$8+SQRT(AW811*($AN$8-$AL$8)*($AM$8-$AL$8)),$AN$8-SQRT((1-AW811)*($AN$8-$AL$8)*($AN$8-$AM$8))),$AM$8)</f>
        <v/>
      </c>
      <c r="AO811">
        <f>IFERROR(IF(AX811&lt;($AM$9-$AL$9)/($AN$9-$AL$9),$AL$9+SQRT(AX811*($AN$9-$AL$9)*($AM$9-$AL$9)),$AN$9-SQRT((1-AX811)*($AN$9-$AL$9)*($AN$9-$AM$9))),$AM$9)</f>
        <v/>
      </c>
      <c r="AP811">
        <f>IFERROR(IF(AY811&lt;($AM$10-$AL$10)/($AN$10-$AL$10),$AL$10+SQRT(AY811*($AN$10-$AL$10)*($AM$10-$AL$10)),$AN$10-SQRT((1-AY811)*($AN$10-$AL$10)*($AN$10-$AM$10))),$AM$10)</f>
        <v/>
      </c>
      <c r="AQ811">
        <f>IFERROR(IF(AZ811&lt;($AM$11-$AL$11)/($AN$11-$AL$11),$AL$11+SQRT(AZ811*($AN$11-$AL$11)*($AM$11-$AL$11)),$AN$11-SQRT((1-AZ811)*($AN$11-$AL$11)*($AN$11-$AM$11))),$AM$11)</f>
        <v/>
      </c>
      <c r="AR811">
        <f>SUMPRODUCT((B24:B31&lt;=$B$6)*(C24:C31*AM811+D24:D31*AO811*$B$8*AQ811)/(1+AL811/100)^B24:B31)+C32*AM811*AP811/(1+AL811/100)^$B$6</f>
        <v/>
      </c>
      <c r="AS811">
        <f>SUMPRODUCT((K24:K26&lt;=$B$6)*(L24:L26*AN811+M24:M26*AO811*$B$8*AQ811)/(1+AL811/100)^K24:K26)+L27*AN811*AP811/(1+AL811/100)^$B$6</f>
        <v/>
      </c>
      <c r="AT811">
        <f>AS811-AR811</f>
        <v/>
      </c>
      <c r="AU811">
        <f>RAND()</f>
        <v/>
      </c>
      <c r="AV811">
        <f>RAND()</f>
        <v/>
      </c>
      <c r="AW811">
        <f>RAND()</f>
        <v/>
      </c>
      <c r="AX811">
        <f>RAND()</f>
        <v/>
      </c>
      <c r="AY811">
        <f>RAND()</f>
        <v/>
      </c>
      <c r="AZ811">
        <f>RAND()</f>
        <v/>
      </c>
    </row>
    <row r="812">
      <c r="AK812" t="n">
        <v>799</v>
      </c>
      <c r="AL812">
        <f>IFERROR(IF(AU812&lt;($AM$6-$AL$6)/($AN$6-$AL$6),$AL$6+SQRT(AU812*($AN$6-$AL$6)*($AM$6-$AL$6)),$AN$6-SQRT((1-AU812)*($AN$6-$AL$6)*($AN$6-$AM$6))),$AM$6)</f>
        <v/>
      </c>
      <c r="AM812">
        <f>IFERROR(IF(AV812&lt;($AM$7-$AL$7)/($AN$7-$AL$7),$AL$7+SQRT(AV812*($AN$7-$AL$7)*($AM$7-$AL$7)),$AN$7-SQRT((1-AV812)*($AN$7-$AL$7)*($AN$7-$AM$7))),$AM$7)</f>
        <v/>
      </c>
      <c r="AN812">
        <f>IFERROR(IF(AW812&lt;($AM$8-$AL$8)/($AN$8-$AL$8),$AL$8+SQRT(AW812*($AN$8-$AL$8)*($AM$8-$AL$8)),$AN$8-SQRT((1-AW812)*($AN$8-$AL$8)*($AN$8-$AM$8))),$AM$8)</f>
        <v/>
      </c>
      <c r="AO812">
        <f>IFERROR(IF(AX812&lt;($AM$9-$AL$9)/($AN$9-$AL$9),$AL$9+SQRT(AX812*($AN$9-$AL$9)*($AM$9-$AL$9)),$AN$9-SQRT((1-AX812)*($AN$9-$AL$9)*($AN$9-$AM$9))),$AM$9)</f>
        <v/>
      </c>
      <c r="AP812">
        <f>IFERROR(IF(AY812&lt;($AM$10-$AL$10)/($AN$10-$AL$10),$AL$10+SQRT(AY812*($AN$10-$AL$10)*($AM$10-$AL$10)),$AN$10-SQRT((1-AY812)*($AN$10-$AL$10)*($AN$10-$AM$10))),$AM$10)</f>
        <v/>
      </c>
      <c r="AQ812">
        <f>IFERROR(IF(AZ812&lt;($AM$11-$AL$11)/($AN$11-$AL$11),$AL$11+SQRT(AZ812*($AN$11-$AL$11)*($AM$11-$AL$11)),$AN$11-SQRT((1-AZ812)*($AN$11-$AL$11)*($AN$11-$AM$11))),$AM$11)</f>
        <v/>
      </c>
      <c r="AR812">
        <f>SUMPRODUCT((B24:B31&lt;=$B$6)*(C24:C31*AM812+D24:D31*AO812*$B$8*AQ812)/(1+AL812/100)^B24:B31)+C32*AM812*AP812/(1+AL812/100)^$B$6</f>
        <v/>
      </c>
      <c r="AS812">
        <f>SUMPRODUCT((K24:K26&lt;=$B$6)*(L24:L26*AN812+M24:M26*AO812*$B$8*AQ812)/(1+AL812/100)^K24:K26)+L27*AN812*AP812/(1+AL812/100)^$B$6</f>
        <v/>
      </c>
      <c r="AT812">
        <f>AS812-AR812</f>
        <v/>
      </c>
      <c r="AU812">
        <f>RAND()</f>
        <v/>
      </c>
      <c r="AV812">
        <f>RAND()</f>
        <v/>
      </c>
      <c r="AW812">
        <f>RAND()</f>
        <v/>
      </c>
      <c r="AX812">
        <f>RAND()</f>
        <v/>
      </c>
      <c r="AY812">
        <f>RAND()</f>
        <v/>
      </c>
      <c r="AZ812">
        <f>RAND()</f>
        <v/>
      </c>
    </row>
    <row r="813">
      <c r="AK813" t="n">
        <v>800</v>
      </c>
      <c r="AL813">
        <f>IFERROR(IF(AU813&lt;($AM$6-$AL$6)/($AN$6-$AL$6),$AL$6+SQRT(AU813*($AN$6-$AL$6)*($AM$6-$AL$6)),$AN$6-SQRT((1-AU813)*($AN$6-$AL$6)*($AN$6-$AM$6))),$AM$6)</f>
        <v/>
      </c>
      <c r="AM813">
        <f>IFERROR(IF(AV813&lt;($AM$7-$AL$7)/($AN$7-$AL$7),$AL$7+SQRT(AV813*($AN$7-$AL$7)*($AM$7-$AL$7)),$AN$7-SQRT((1-AV813)*($AN$7-$AL$7)*($AN$7-$AM$7))),$AM$7)</f>
        <v/>
      </c>
      <c r="AN813">
        <f>IFERROR(IF(AW813&lt;($AM$8-$AL$8)/($AN$8-$AL$8),$AL$8+SQRT(AW813*($AN$8-$AL$8)*($AM$8-$AL$8)),$AN$8-SQRT((1-AW813)*($AN$8-$AL$8)*($AN$8-$AM$8))),$AM$8)</f>
        <v/>
      </c>
      <c r="AO813">
        <f>IFERROR(IF(AX813&lt;($AM$9-$AL$9)/($AN$9-$AL$9),$AL$9+SQRT(AX813*($AN$9-$AL$9)*($AM$9-$AL$9)),$AN$9-SQRT((1-AX813)*($AN$9-$AL$9)*($AN$9-$AM$9))),$AM$9)</f>
        <v/>
      </c>
      <c r="AP813">
        <f>IFERROR(IF(AY813&lt;($AM$10-$AL$10)/($AN$10-$AL$10),$AL$10+SQRT(AY813*($AN$10-$AL$10)*($AM$10-$AL$10)),$AN$10-SQRT((1-AY813)*($AN$10-$AL$10)*($AN$10-$AM$10))),$AM$10)</f>
        <v/>
      </c>
      <c r="AQ813">
        <f>IFERROR(IF(AZ813&lt;($AM$11-$AL$11)/($AN$11-$AL$11),$AL$11+SQRT(AZ813*($AN$11-$AL$11)*($AM$11-$AL$11)),$AN$11-SQRT((1-AZ813)*($AN$11-$AL$11)*($AN$11-$AM$11))),$AM$11)</f>
        <v/>
      </c>
      <c r="AR813">
        <f>SUMPRODUCT((B24:B31&lt;=$B$6)*(C24:C31*AM813+D24:D31*AO813*$B$8*AQ813)/(1+AL813/100)^B24:B31)+C32*AM813*AP813/(1+AL813/100)^$B$6</f>
        <v/>
      </c>
      <c r="AS813">
        <f>SUMPRODUCT((K24:K26&lt;=$B$6)*(L24:L26*AN813+M24:M26*AO813*$B$8*AQ813)/(1+AL813/100)^K24:K26)+L27*AN813*AP813/(1+AL813/100)^$B$6</f>
        <v/>
      </c>
      <c r="AT813">
        <f>AS813-AR813</f>
        <v/>
      </c>
      <c r="AU813">
        <f>RAND()</f>
        <v/>
      </c>
      <c r="AV813">
        <f>RAND()</f>
        <v/>
      </c>
      <c r="AW813">
        <f>RAND()</f>
        <v/>
      </c>
      <c r="AX813">
        <f>RAND()</f>
        <v/>
      </c>
      <c r="AY813">
        <f>RAND()</f>
        <v/>
      </c>
      <c r="AZ813">
        <f>RAND()</f>
        <v/>
      </c>
    </row>
    <row r="814">
      <c r="AK814" t="n">
        <v>801</v>
      </c>
      <c r="AL814">
        <f>IFERROR(IF(AU814&lt;($AM$6-$AL$6)/($AN$6-$AL$6),$AL$6+SQRT(AU814*($AN$6-$AL$6)*($AM$6-$AL$6)),$AN$6-SQRT((1-AU814)*($AN$6-$AL$6)*($AN$6-$AM$6))),$AM$6)</f>
        <v/>
      </c>
      <c r="AM814">
        <f>IFERROR(IF(AV814&lt;($AM$7-$AL$7)/($AN$7-$AL$7),$AL$7+SQRT(AV814*($AN$7-$AL$7)*($AM$7-$AL$7)),$AN$7-SQRT((1-AV814)*($AN$7-$AL$7)*($AN$7-$AM$7))),$AM$7)</f>
        <v/>
      </c>
      <c r="AN814">
        <f>IFERROR(IF(AW814&lt;($AM$8-$AL$8)/($AN$8-$AL$8),$AL$8+SQRT(AW814*($AN$8-$AL$8)*($AM$8-$AL$8)),$AN$8-SQRT((1-AW814)*($AN$8-$AL$8)*($AN$8-$AM$8))),$AM$8)</f>
        <v/>
      </c>
      <c r="AO814">
        <f>IFERROR(IF(AX814&lt;($AM$9-$AL$9)/($AN$9-$AL$9),$AL$9+SQRT(AX814*($AN$9-$AL$9)*($AM$9-$AL$9)),$AN$9-SQRT((1-AX814)*($AN$9-$AL$9)*($AN$9-$AM$9))),$AM$9)</f>
        <v/>
      </c>
      <c r="AP814">
        <f>IFERROR(IF(AY814&lt;($AM$10-$AL$10)/($AN$10-$AL$10),$AL$10+SQRT(AY814*($AN$10-$AL$10)*($AM$10-$AL$10)),$AN$10-SQRT((1-AY814)*($AN$10-$AL$10)*($AN$10-$AM$10))),$AM$10)</f>
        <v/>
      </c>
      <c r="AQ814">
        <f>IFERROR(IF(AZ814&lt;($AM$11-$AL$11)/($AN$11-$AL$11),$AL$11+SQRT(AZ814*($AN$11-$AL$11)*($AM$11-$AL$11)),$AN$11-SQRT((1-AZ814)*($AN$11-$AL$11)*($AN$11-$AM$11))),$AM$11)</f>
        <v/>
      </c>
      <c r="AR814">
        <f>SUMPRODUCT((B24:B31&lt;=$B$6)*(C24:C31*AM814+D24:D31*AO814*$B$8*AQ814)/(1+AL814/100)^B24:B31)+C32*AM814*AP814/(1+AL814/100)^$B$6</f>
        <v/>
      </c>
      <c r="AS814">
        <f>SUMPRODUCT((K24:K26&lt;=$B$6)*(L24:L26*AN814+M24:M26*AO814*$B$8*AQ814)/(1+AL814/100)^K24:K26)+L27*AN814*AP814/(1+AL814/100)^$B$6</f>
        <v/>
      </c>
      <c r="AT814">
        <f>AS814-AR814</f>
        <v/>
      </c>
      <c r="AU814">
        <f>RAND()</f>
        <v/>
      </c>
      <c r="AV814">
        <f>RAND()</f>
        <v/>
      </c>
      <c r="AW814">
        <f>RAND()</f>
        <v/>
      </c>
      <c r="AX814">
        <f>RAND()</f>
        <v/>
      </c>
      <c r="AY814">
        <f>RAND()</f>
        <v/>
      </c>
      <c r="AZ814">
        <f>RAND()</f>
        <v/>
      </c>
    </row>
    <row r="815">
      <c r="AK815" t="n">
        <v>802</v>
      </c>
      <c r="AL815">
        <f>IFERROR(IF(AU815&lt;($AM$6-$AL$6)/($AN$6-$AL$6),$AL$6+SQRT(AU815*($AN$6-$AL$6)*($AM$6-$AL$6)),$AN$6-SQRT((1-AU815)*($AN$6-$AL$6)*($AN$6-$AM$6))),$AM$6)</f>
        <v/>
      </c>
      <c r="AM815">
        <f>IFERROR(IF(AV815&lt;($AM$7-$AL$7)/($AN$7-$AL$7),$AL$7+SQRT(AV815*($AN$7-$AL$7)*($AM$7-$AL$7)),$AN$7-SQRT((1-AV815)*($AN$7-$AL$7)*($AN$7-$AM$7))),$AM$7)</f>
        <v/>
      </c>
      <c r="AN815">
        <f>IFERROR(IF(AW815&lt;($AM$8-$AL$8)/($AN$8-$AL$8),$AL$8+SQRT(AW815*($AN$8-$AL$8)*($AM$8-$AL$8)),$AN$8-SQRT((1-AW815)*($AN$8-$AL$8)*($AN$8-$AM$8))),$AM$8)</f>
        <v/>
      </c>
      <c r="AO815">
        <f>IFERROR(IF(AX815&lt;($AM$9-$AL$9)/($AN$9-$AL$9),$AL$9+SQRT(AX815*($AN$9-$AL$9)*($AM$9-$AL$9)),$AN$9-SQRT((1-AX815)*($AN$9-$AL$9)*($AN$9-$AM$9))),$AM$9)</f>
        <v/>
      </c>
      <c r="AP815">
        <f>IFERROR(IF(AY815&lt;($AM$10-$AL$10)/($AN$10-$AL$10),$AL$10+SQRT(AY815*($AN$10-$AL$10)*($AM$10-$AL$10)),$AN$10-SQRT((1-AY815)*($AN$10-$AL$10)*($AN$10-$AM$10))),$AM$10)</f>
        <v/>
      </c>
      <c r="AQ815">
        <f>IFERROR(IF(AZ815&lt;($AM$11-$AL$11)/($AN$11-$AL$11),$AL$11+SQRT(AZ815*($AN$11-$AL$11)*($AM$11-$AL$11)),$AN$11-SQRT((1-AZ815)*($AN$11-$AL$11)*($AN$11-$AM$11))),$AM$11)</f>
        <v/>
      </c>
      <c r="AR815">
        <f>SUMPRODUCT((B24:B31&lt;=$B$6)*(C24:C31*AM815+D24:D31*AO815*$B$8*AQ815)/(1+AL815/100)^B24:B31)+C32*AM815*AP815/(1+AL815/100)^$B$6</f>
        <v/>
      </c>
      <c r="AS815">
        <f>SUMPRODUCT((K24:K26&lt;=$B$6)*(L24:L26*AN815+M24:M26*AO815*$B$8*AQ815)/(1+AL815/100)^K24:K26)+L27*AN815*AP815/(1+AL815/100)^$B$6</f>
        <v/>
      </c>
      <c r="AT815">
        <f>AS815-AR815</f>
        <v/>
      </c>
      <c r="AU815">
        <f>RAND()</f>
        <v/>
      </c>
      <c r="AV815">
        <f>RAND()</f>
        <v/>
      </c>
      <c r="AW815">
        <f>RAND()</f>
        <v/>
      </c>
      <c r="AX815">
        <f>RAND()</f>
        <v/>
      </c>
      <c r="AY815">
        <f>RAND()</f>
        <v/>
      </c>
      <c r="AZ815">
        <f>RAND()</f>
        <v/>
      </c>
    </row>
    <row r="816">
      <c r="AK816" t="n">
        <v>803</v>
      </c>
      <c r="AL816">
        <f>IFERROR(IF(AU816&lt;($AM$6-$AL$6)/($AN$6-$AL$6),$AL$6+SQRT(AU816*($AN$6-$AL$6)*($AM$6-$AL$6)),$AN$6-SQRT((1-AU816)*($AN$6-$AL$6)*($AN$6-$AM$6))),$AM$6)</f>
        <v/>
      </c>
      <c r="AM816">
        <f>IFERROR(IF(AV816&lt;($AM$7-$AL$7)/($AN$7-$AL$7),$AL$7+SQRT(AV816*($AN$7-$AL$7)*($AM$7-$AL$7)),$AN$7-SQRT((1-AV816)*($AN$7-$AL$7)*($AN$7-$AM$7))),$AM$7)</f>
        <v/>
      </c>
      <c r="AN816">
        <f>IFERROR(IF(AW816&lt;($AM$8-$AL$8)/($AN$8-$AL$8),$AL$8+SQRT(AW816*($AN$8-$AL$8)*($AM$8-$AL$8)),$AN$8-SQRT((1-AW816)*($AN$8-$AL$8)*($AN$8-$AM$8))),$AM$8)</f>
        <v/>
      </c>
      <c r="AO816">
        <f>IFERROR(IF(AX816&lt;($AM$9-$AL$9)/($AN$9-$AL$9),$AL$9+SQRT(AX816*($AN$9-$AL$9)*($AM$9-$AL$9)),$AN$9-SQRT((1-AX816)*($AN$9-$AL$9)*($AN$9-$AM$9))),$AM$9)</f>
        <v/>
      </c>
      <c r="AP816">
        <f>IFERROR(IF(AY816&lt;($AM$10-$AL$10)/($AN$10-$AL$10),$AL$10+SQRT(AY816*($AN$10-$AL$10)*($AM$10-$AL$10)),$AN$10-SQRT((1-AY816)*($AN$10-$AL$10)*($AN$10-$AM$10))),$AM$10)</f>
        <v/>
      </c>
      <c r="AQ816">
        <f>IFERROR(IF(AZ816&lt;($AM$11-$AL$11)/($AN$11-$AL$11),$AL$11+SQRT(AZ816*($AN$11-$AL$11)*($AM$11-$AL$11)),$AN$11-SQRT((1-AZ816)*($AN$11-$AL$11)*($AN$11-$AM$11))),$AM$11)</f>
        <v/>
      </c>
      <c r="AR816">
        <f>SUMPRODUCT((B24:B31&lt;=$B$6)*(C24:C31*AM816+D24:D31*AO816*$B$8*AQ816)/(1+AL816/100)^B24:B31)+C32*AM816*AP816/(1+AL816/100)^$B$6</f>
        <v/>
      </c>
      <c r="AS816">
        <f>SUMPRODUCT((K24:K26&lt;=$B$6)*(L24:L26*AN816+M24:M26*AO816*$B$8*AQ816)/(1+AL816/100)^K24:K26)+L27*AN816*AP816/(1+AL816/100)^$B$6</f>
        <v/>
      </c>
      <c r="AT816">
        <f>AS816-AR816</f>
        <v/>
      </c>
      <c r="AU816">
        <f>RAND()</f>
        <v/>
      </c>
      <c r="AV816">
        <f>RAND()</f>
        <v/>
      </c>
      <c r="AW816">
        <f>RAND()</f>
        <v/>
      </c>
      <c r="AX816">
        <f>RAND()</f>
        <v/>
      </c>
      <c r="AY816">
        <f>RAND()</f>
        <v/>
      </c>
      <c r="AZ816">
        <f>RAND()</f>
        <v/>
      </c>
    </row>
    <row r="817">
      <c r="AK817" t="n">
        <v>804</v>
      </c>
      <c r="AL817">
        <f>IFERROR(IF(AU817&lt;($AM$6-$AL$6)/($AN$6-$AL$6),$AL$6+SQRT(AU817*($AN$6-$AL$6)*($AM$6-$AL$6)),$AN$6-SQRT((1-AU817)*($AN$6-$AL$6)*($AN$6-$AM$6))),$AM$6)</f>
        <v/>
      </c>
      <c r="AM817">
        <f>IFERROR(IF(AV817&lt;($AM$7-$AL$7)/($AN$7-$AL$7),$AL$7+SQRT(AV817*($AN$7-$AL$7)*($AM$7-$AL$7)),$AN$7-SQRT((1-AV817)*($AN$7-$AL$7)*($AN$7-$AM$7))),$AM$7)</f>
        <v/>
      </c>
      <c r="AN817">
        <f>IFERROR(IF(AW817&lt;($AM$8-$AL$8)/($AN$8-$AL$8),$AL$8+SQRT(AW817*($AN$8-$AL$8)*($AM$8-$AL$8)),$AN$8-SQRT((1-AW817)*($AN$8-$AL$8)*($AN$8-$AM$8))),$AM$8)</f>
        <v/>
      </c>
      <c r="AO817">
        <f>IFERROR(IF(AX817&lt;($AM$9-$AL$9)/($AN$9-$AL$9),$AL$9+SQRT(AX817*($AN$9-$AL$9)*($AM$9-$AL$9)),$AN$9-SQRT((1-AX817)*($AN$9-$AL$9)*($AN$9-$AM$9))),$AM$9)</f>
        <v/>
      </c>
      <c r="AP817">
        <f>IFERROR(IF(AY817&lt;($AM$10-$AL$10)/($AN$10-$AL$10),$AL$10+SQRT(AY817*($AN$10-$AL$10)*($AM$10-$AL$10)),$AN$10-SQRT((1-AY817)*($AN$10-$AL$10)*($AN$10-$AM$10))),$AM$10)</f>
        <v/>
      </c>
      <c r="AQ817">
        <f>IFERROR(IF(AZ817&lt;($AM$11-$AL$11)/($AN$11-$AL$11),$AL$11+SQRT(AZ817*($AN$11-$AL$11)*($AM$11-$AL$11)),$AN$11-SQRT((1-AZ817)*($AN$11-$AL$11)*($AN$11-$AM$11))),$AM$11)</f>
        <v/>
      </c>
      <c r="AR817">
        <f>SUMPRODUCT((B24:B31&lt;=$B$6)*(C24:C31*AM817+D24:D31*AO817*$B$8*AQ817)/(1+AL817/100)^B24:B31)+C32*AM817*AP817/(1+AL817/100)^$B$6</f>
        <v/>
      </c>
      <c r="AS817">
        <f>SUMPRODUCT((K24:K26&lt;=$B$6)*(L24:L26*AN817+M24:M26*AO817*$B$8*AQ817)/(1+AL817/100)^K24:K26)+L27*AN817*AP817/(1+AL817/100)^$B$6</f>
        <v/>
      </c>
      <c r="AT817">
        <f>AS817-AR817</f>
        <v/>
      </c>
      <c r="AU817">
        <f>RAND()</f>
        <v/>
      </c>
      <c r="AV817">
        <f>RAND()</f>
        <v/>
      </c>
      <c r="AW817">
        <f>RAND()</f>
        <v/>
      </c>
      <c r="AX817">
        <f>RAND()</f>
        <v/>
      </c>
      <c r="AY817">
        <f>RAND()</f>
        <v/>
      </c>
      <c r="AZ817">
        <f>RAND()</f>
        <v/>
      </c>
    </row>
    <row r="818">
      <c r="AK818" t="n">
        <v>805</v>
      </c>
      <c r="AL818">
        <f>IFERROR(IF(AU818&lt;($AM$6-$AL$6)/($AN$6-$AL$6),$AL$6+SQRT(AU818*($AN$6-$AL$6)*($AM$6-$AL$6)),$AN$6-SQRT((1-AU818)*($AN$6-$AL$6)*($AN$6-$AM$6))),$AM$6)</f>
        <v/>
      </c>
      <c r="AM818">
        <f>IFERROR(IF(AV818&lt;($AM$7-$AL$7)/($AN$7-$AL$7),$AL$7+SQRT(AV818*($AN$7-$AL$7)*($AM$7-$AL$7)),$AN$7-SQRT((1-AV818)*($AN$7-$AL$7)*($AN$7-$AM$7))),$AM$7)</f>
        <v/>
      </c>
      <c r="AN818">
        <f>IFERROR(IF(AW818&lt;($AM$8-$AL$8)/($AN$8-$AL$8),$AL$8+SQRT(AW818*($AN$8-$AL$8)*($AM$8-$AL$8)),$AN$8-SQRT((1-AW818)*($AN$8-$AL$8)*($AN$8-$AM$8))),$AM$8)</f>
        <v/>
      </c>
      <c r="AO818">
        <f>IFERROR(IF(AX818&lt;($AM$9-$AL$9)/($AN$9-$AL$9),$AL$9+SQRT(AX818*($AN$9-$AL$9)*($AM$9-$AL$9)),$AN$9-SQRT((1-AX818)*($AN$9-$AL$9)*($AN$9-$AM$9))),$AM$9)</f>
        <v/>
      </c>
      <c r="AP818">
        <f>IFERROR(IF(AY818&lt;($AM$10-$AL$10)/($AN$10-$AL$10),$AL$10+SQRT(AY818*($AN$10-$AL$10)*($AM$10-$AL$10)),$AN$10-SQRT((1-AY818)*($AN$10-$AL$10)*($AN$10-$AM$10))),$AM$10)</f>
        <v/>
      </c>
      <c r="AQ818">
        <f>IFERROR(IF(AZ818&lt;($AM$11-$AL$11)/($AN$11-$AL$11),$AL$11+SQRT(AZ818*($AN$11-$AL$11)*($AM$11-$AL$11)),$AN$11-SQRT((1-AZ818)*($AN$11-$AL$11)*($AN$11-$AM$11))),$AM$11)</f>
        <v/>
      </c>
      <c r="AR818">
        <f>SUMPRODUCT((B24:B31&lt;=$B$6)*(C24:C31*AM818+D24:D31*AO818*$B$8*AQ818)/(1+AL818/100)^B24:B31)+C32*AM818*AP818/(1+AL818/100)^$B$6</f>
        <v/>
      </c>
      <c r="AS818">
        <f>SUMPRODUCT((K24:K26&lt;=$B$6)*(L24:L26*AN818+M24:M26*AO818*$B$8*AQ818)/(1+AL818/100)^K24:K26)+L27*AN818*AP818/(1+AL818/100)^$B$6</f>
        <v/>
      </c>
      <c r="AT818">
        <f>AS818-AR818</f>
        <v/>
      </c>
      <c r="AU818">
        <f>RAND()</f>
        <v/>
      </c>
      <c r="AV818">
        <f>RAND()</f>
        <v/>
      </c>
      <c r="AW818">
        <f>RAND()</f>
        <v/>
      </c>
      <c r="AX818">
        <f>RAND()</f>
        <v/>
      </c>
      <c r="AY818">
        <f>RAND()</f>
        <v/>
      </c>
      <c r="AZ818">
        <f>RAND()</f>
        <v/>
      </c>
    </row>
    <row r="819">
      <c r="AK819" t="n">
        <v>806</v>
      </c>
      <c r="AL819">
        <f>IFERROR(IF(AU819&lt;($AM$6-$AL$6)/($AN$6-$AL$6),$AL$6+SQRT(AU819*($AN$6-$AL$6)*($AM$6-$AL$6)),$AN$6-SQRT((1-AU819)*($AN$6-$AL$6)*($AN$6-$AM$6))),$AM$6)</f>
        <v/>
      </c>
      <c r="AM819">
        <f>IFERROR(IF(AV819&lt;($AM$7-$AL$7)/($AN$7-$AL$7),$AL$7+SQRT(AV819*($AN$7-$AL$7)*($AM$7-$AL$7)),$AN$7-SQRT((1-AV819)*($AN$7-$AL$7)*($AN$7-$AM$7))),$AM$7)</f>
        <v/>
      </c>
      <c r="AN819">
        <f>IFERROR(IF(AW819&lt;($AM$8-$AL$8)/($AN$8-$AL$8),$AL$8+SQRT(AW819*($AN$8-$AL$8)*($AM$8-$AL$8)),$AN$8-SQRT((1-AW819)*($AN$8-$AL$8)*($AN$8-$AM$8))),$AM$8)</f>
        <v/>
      </c>
      <c r="AO819">
        <f>IFERROR(IF(AX819&lt;($AM$9-$AL$9)/($AN$9-$AL$9),$AL$9+SQRT(AX819*($AN$9-$AL$9)*($AM$9-$AL$9)),$AN$9-SQRT((1-AX819)*($AN$9-$AL$9)*($AN$9-$AM$9))),$AM$9)</f>
        <v/>
      </c>
      <c r="AP819">
        <f>IFERROR(IF(AY819&lt;($AM$10-$AL$10)/($AN$10-$AL$10),$AL$10+SQRT(AY819*($AN$10-$AL$10)*($AM$10-$AL$10)),$AN$10-SQRT((1-AY819)*($AN$10-$AL$10)*($AN$10-$AM$10))),$AM$10)</f>
        <v/>
      </c>
      <c r="AQ819">
        <f>IFERROR(IF(AZ819&lt;($AM$11-$AL$11)/($AN$11-$AL$11),$AL$11+SQRT(AZ819*($AN$11-$AL$11)*($AM$11-$AL$11)),$AN$11-SQRT((1-AZ819)*($AN$11-$AL$11)*($AN$11-$AM$11))),$AM$11)</f>
        <v/>
      </c>
      <c r="AR819">
        <f>SUMPRODUCT((B24:B31&lt;=$B$6)*(C24:C31*AM819+D24:D31*AO819*$B$8*AQ819)/(1+AL819/100)^B24:B31)+C32*AM819*AP819/(1+AL819/100)^$B$6</f>
        <v/>
      </c>
      <c r="AS819">
        <f>SUMPRODUCT((K24:K26&lt;=$B$6)*(L24:L26*AN819+M24:M26*AO819*$B$8*AQ819)/(1+AL819/100)^K24:K26)+L27*AN819*AP819/(1+AL819/100)^$B$6</f>
        <v/>
      </c>
      <c r="AT819">
        <f>AS819-AR819</f>
        <v/>
      </c>
      <c r="AU819">
        <f>RAND()</f>
        <v/>
      </c>
      <c r="AV819">
        <f>RAND()</f>
        <v/>
      </c>
      <c r="AW819">
        <f>RAND()</f>
        <v/>
      </c>
      <c r="AX819">
        <f>RAND()</f>
        <v/>
      </c>
      <c r="AY819">
        <f>RAND()</f>
        <v/>
      </c>
      <c r="AZ819">
        <f>RAND()</f>
        <v/>
      </c>
    </row>
    <row r="820">
      <c r="AK820" t="n">
        <v>807</v>
      </c>
      <c r="AL820">
        <f>IFERROR(IF(AU820&lt;($AM$6-$AL$6)/($AN$6-$AL$6),$AL$6+SQRT(AU820*($AN$6-$AL$6)*($AM$6-$AL$6)),$AN$6-SQRT((1-AU820)*($AN$6-$AL$6)*($AN$6-$AM$6))),$AM$6)</f>
        <v/>
      </c>
      <c r="AM820">
        <f>IFERROR(IF(AV820&lt;($AM$7-$AL$7)/($AN$7-$AL$7),$AL$7+SQRT(AV820*($AN$7-$AL$7)*($AM$7-$AL$7)),$AN$7-SQRT((1-AV820)*($AN$7-$AL$7)*($AN$7-$AM$7))),$AM$7)</f>
        <v/>
      </c>
      <c r="AN820">
        <f>IFERROR(IF(AW820&lt;($AM$8-$AL$8)/($AN$8-$AL$8),$AL$8+SQRT(AW820*($AN$8-$AL$8)*($AM$8-$AL$8)),$AN$8-SQRT((1-AW820)*($AN$8-$AL$8)*($AN$8-$AM$8))),$AM$8)</f>
        <v/>
      </c>
      <c r="AO820">
        <f>IFERROR(IF(AX820&lt;($AM$9-$AL$9)/($AN$9-$AL$9),$AL$9+SQRT(AX820*($AN$9-$AL$9)*($AM$9-$AL$9)),$AN$9-SQRT((1-AX820)*($AN$9-$AL$9)*($AN$9-$AM$9))),$AM$9)</f>
        <v/>
      </c>
      <c r="AP820">
        <f>IFERROR(IF(AY820&lt;($AM$10-$AL$10)/($AN$10-$AL$10),$AL$10+SQRT(AY820*($AN$10-$AL$10)*($AM$10-$AL$10)),$AN$10-SQRT((1-AY820)*($AN$10-$AL$10)*($AN$10-$AM$10))),$AM$10)</f>
        <v/>
      </c>
      <c r="AQ820">
        <f>IFERROR(IF(AZ820&lt;($AM$11-$AL$11)/($AN$11-$AL$11),$AL$11+SQRT(AZ820*($AN$11-$AL$11)*($AM$11-$AL$11)),$AN$11-SQRT((1-AZ820)*($AN$11-$AL$11)*($AN$11-$AM$11))),$AM$11)</f>
        <v/>
      </c>
      <c r="AR820">
        <f>SUMPRODUCT((B24:B31&lt;=$B$6)*(C24:C31*AM820+D24:D31*AO820*$B$8*AQ820)/(1+AL820/100)^B24:B31)+C32*AM820*AP820/(1+AL820/100)^$B$6</f>
        <v/>
      </c>
      <c r="AS820">
        <f>SUMPRODUCT((K24:K26&lt;=$B$6)*(L24:L26*AN820+M24:M26*AO820*$B$8*AQ820)/(1+AL820/100)^K24:K26)+L27*AN820*AP820/(1+AL820/100)^$B$6</f>
        <v/>
      </c>
      <c r="AT820">
        <f>AS820-AR820</f>
        <v/>
      </c>
      <c r="AU820">
        <f>RAND()</f>
        <v/>
      </c>
      <c r="AV820">
        <f>RAND()</f>
        <v/>
      </c>
      <c r="AW820">
        <f>RAND()</f>
        <v/>
      </c>
      <c r="AX820">
        <f>RAND()</f>
        <v/>
      </c>
      <c r="AY820">
        <f>RAND()</f>
        <v/>
      </c>
      <c r="AZ820">
        <f>RAND()</f>
        <v/>
      </c>
    </row>
    <row r="821">
      <c r="AK821" t="n">
        <v>808</v>
      </c>
      <c r="AL821">
        <f>IFERROR(IF(AU821&lt;($AM$6-$AL$6)/($AN$6-$AL$6),$AL$6+SQRT(AU821*($AN$6-$AL$6)*($AM$6-$AL$6)),$AN$6-SQRT((1-AU821)*($AN$6-$AL$6)*($AN$6-$AM$6))),$AM$6)</f>
        <v/>
      </c>
      <c r="AM821">
        <f>IFERROR(IF(AV821&lt;($AM$7-$AL$7)/($AN$7-$AL$7),$AL$7+SQRT(AV821*($AN$7-$AL$7)*($AM$7-$AL$7)),$AN$7-SQRT((1-AV821)*($AN$7-$AL$7)*($AN$7-$AM$7))),$AM$7)</f>
        <v/>
      </c>
      <c r="AN821">
        <f>IFERROR(IF(AW821&lt;($AM$8-$AL$8)/($AN$8-$AL$8),$AL$8+SQRT(AW821*($AN$8-$AL$8)*($AM$8-$AL$8)),$AN$8-SQRT((1-AW821)*($AN$8-$AL$8)*($AN$8-$AM$8))),$AM$8)</f>
        <v/>
      </c>
      <c r="AO821">
        <f>IFERROR(IF(AX821&lt;($AM$9-$AL$9)/($AN$9-$AL$9),$AL$9+SQRT(AX821*($AN$9-$AL$9)*($AM$9-$AL$9)),$AN$9-SQRT((1-AX821)*($AN$9-$AL$9)*($AN$9-$AM$9))),$AM$9)</f>
        <v/>
      </c>
      <c r="AP821">
        <f>IFERROR(IF(AY821&lt;($AM$10-$AL$10)/($AN$10-$AL$10),$AL$10+SQRT(AY821*($AN$10-$AL$10)*($AM$10-$AL$10)),$AN$10-SQRT((1-AY821)*($AN$10-$AL$10)*($AN$10-$AM$10))),$AM$10)</f>
        <v/>
      </c>
      <c r="AQ821">
        <f>IFERROR(IF(AZ821&lt;($AM$11-$AL$11)/($AN$11-$AL$11),$AL$11+SQRT(AZ821*($AN$11-$AL$11)*($AM$11-$AL$11)),$AN$11-SQRT((1-AZ821)*($AN$11-$AL$11)*($AN$11-$AM$11))),$AM$11)</f>
        <v/>
      </c>
      <c r="AR821">
        <f>SUMPRODUCT((B24:B31&lt;=$B$6)*(C24:C31*AM821+D24:D31*AO821*$B$8*AQ821)/(1+AL821/100)^B24:B31)+C32*AM821*AP821/(1+AL821/100)^$B$6</f>
        <v/>
      </c>
      <c r="AS821">
        <f>SUMPRODUCT((K24:K26&lt;=$B$6)*(L24:L26*AN821+M24:M26*AO821*$B$8*AQ821)/(1+AL821/100)^K24:K26)+L27*AN821*AP821/(1+AL821/100)^$B$6</f>
        <v/>
      </c>
      <c r="AT821">
        <f>AS821-AR821</f>
        <v/>
      </c>
      <c r="AU821">
        <f>RAND()</f>
        <v/>
      </c>
      <c r="AV821">
        <f>RAND()</f>
        <v/>
      </c>
      <c r="AW821">
        <f>RAND()</f>
        <v/>
      </c>
      <c r="AX821">
        <f>RAND()</f>
        <v/>
      </c>
      <c r="AY821">
        <f>RAND()</f>
        <v/>
      </c>
      <c r="AZ821">
        <f>RAND()</f>
        <v/>
      </c>
    </row>
    <row r="822">
      <c r="AK822" t="n">
        <v>809</v>
      </c>
      <c r="AL822">
        <f>IFERROR(IF(AU822&lt;($AM$6-$AL$6)/($AN$6-$AL$6),$AL$6+SQRT(AU822*($AN$6-$AL$6)*($AM$6-$AL$6)),$AN$6-SQRT((1-AU822)*($AN$6-$AL$6)*($AN$6-$AM$6))),$AM$6)</f>
        <v/>
      </c>
      <c r="AM822">
        <f>IFERROR(IF(AV822&lt;($AM$7-$AL$7)/($AN$7-$AL$7),$AL$7+SQRT(AV822*($AN$7-$AL$7)*($AM$7-$AL$7)),$AN$7-SQRT((1-AV822)*($AN$7-$AL$7)*($AN$7-$AM$7))),$AM$7)</f>
        <v/>
      </c>
      <c r="AN822">
        <f>IFERROR(IF(AW822&lt;($AM$8-$AL$8)/($AN$8-$AL$8),$AL$8+SQRT(AW822*($AN$8-$AL$8)*($AM$8-$AL$8)),$AN$8-SQRT((1-AW822)*($AN$8-$AL$8)*($AN$8-$AM$8))),$AM$8)</f>
        <v/>
      </c>
      <c r="AO822">
        <f>IFERROR(IF(AX822&lt;($AM$9-$AL$9)/($AN$9-$AL$9),$AL$9+SQRT(AX822*($AN$9-$AL$9)*($AM$9-$AL$9)),$AN$9-SQRT((1-AX822)*($AN$9-$AL$9)*($AN$9-$AM$9))),$AM$9)</f>
        <v/>
      </c>
      <c r="AP822">
        <f>IFERROR(IF(AY822&lt;($AM$10-$AL$10)/($AN$10-$AL$10),$AL$10+SQRT(AY822*($AN$10-$AL$10)*($AM$10-$AL$10)),$AN$10-SQRT((1-AY822)*($AN$10-$AL$10)*($AN$10-$AM$10))),$AM$10)</f>
        <v/>
      </c>
      <c r="AQ822">
        <f>IFERROR(IF(AZ822&lt;($AM$11-$AL$11)/($AN$11-$AL$11),$AL$11+SQRT(AZ822*($AN$11-$AL$11)*($AM$11-$AL$11)),$AN$11-SQRT((1-AZ822)*($AN$11-$AL$11)*($AN$11-$AM$11))),$AM$11)</f>
        <v/>
      </c>
      <c r="AR822">
        <f>SUMPRODUCT((B24:B31&lt;=$B$6)*(C24:C31*AM822+D24:D31*AO822*$B$8*AQ822)/(1+AL822/100)^B24:B31)+C32*AM822*AP822/(1+AL822/100)^$B$6</f>
        <v/>
      </c>
      <c r="AS822">
        <f>SUMPRODUCT((K24:K26&lt;=$B$6)*(L24:L26*AN822+M24:M26*AO822*$B$8*AQ822)/(1+AL822/100)^K24:K26)+L27*AN822*AP822/(1+AL822/100)^$B$6</f>
        <v/>
      </c>
      <c r="AT822">
        <f>AS822-AR822</f>
        <v/>
      </c>
      <c r="AU822">
        <f>RAND()</f>
        <v/>
      </c>
      <c r="AV822">
        <f>RAND()</f>
        <v/>
      </c>
      <c r="AW822">
        <f>RAND()</f>
        <v/>
      </c>
      <c r="AX822">
        <f>RAND()</f>
        <v/>
      </c>
      <c r="AY822">
        <f>RAND()</f>
        <v/>
      </c>
      <c r="AZ822">
        <f>RAND()</f>
        <v/>
      </c>
    </row>
    <row r="823">
      <c r="AK823" t="n">
        <v>810</v>
      </c>
      <c r="AL823">
        <f>IFERROR(IF(AU823&lt;($AM$6-$AL$6)/($AN$6-$AL$6),$AL$6+SQRT(AU823*($AN$6-$AL$6)*($AM$6-$AL$6)),$AN$6-SQRT((1-AU823)*($AN$6-$AL$6)*($AN$6-$AM$6))),$AM$6)</f>
        <v/>
      </c>
      <c r="AM823">
        <f>IFERROR(IF(AV823&lt;($AM$7-$AL$7)/($AN$7-$AL$7),$AL$7+SQRT(AV823*($AN$7-$AL$7)*($AM$7-$AL$7)),$AN$7-SQRT((1-AV823)*($AN$7-$AL$7)*($AN$7-$AM$7))),$AM$7)</f>
        <v/>
      </c>
      <c r="AN823">
        <f>IFERROR(IF(AW823&lt;($AM$8-$AL$8)/($AN$8-$AL$8),$AL$8+SQRT(AW823*($AN$8-$AL$8)*($AM$8-$AL$8)),$AN$8-SQRT((1-AW823)*($AN$8-$AL$8)*($AN$8-$AM$8))),$AM$8)</f>
        <v/>
      </c>
      <c r="AO823">
        <f>IFERROR(IF(AX823&lt;($AM$9-$AL$9)/($AN$9-$AL$9),$AL$9+SQRT(AX823*($AN$9-$AL$9)*($AM$9-$AL$9)),$AN$9-SQRT((1-AX823)*($AN$9-$AL$9)*($AN$9-$AM$9))),$AM$9)</f>
        <v/>
      </c>
      <c r="AP823">
        <f>IFERROR(IF(AY823&lt;($AM$10-$AL$10)/($AN$10-$AL$10),$AL$10+SQRT(AY823*($AN$10-$AL$10)*($AM$10-$AL$10)),$AN$10-SQRT((1-AY823)*($AN$10-$AL$10)*($AN$10-$AM$10))),$AM$10)</f>
        <v/>
      </c>
      <c r="AQ823">
        <f>IFERROR(IF(AZ823&lt;($AM$11-$AL$11)/($AN$11-$AL$11),$AL$11+SQRT(AZ823*($AN$11-$AL$11)*($AM$11-$AL$11)),$AN$11-SQRT((1-AZ823)*($AN$11-$AL$11)*($AN$11-$AM$11))),$AM$11)</f>
        <v/>
      </c>
      <c r="AR823">
        <f>SUMPRODUCT((B24:B31&lt;=$B$6)*(C24:C31*AM823+D24:D31*AO823*$B$8*AQ823)/(1+AL823/100)^B24:B31)+C32*AM823*AP823/(1+AL823/100)^$B$6</f>
        <v/>
      </c>
      <c r="AS823">
        <f>SUMPRODUCT((K24:K26&lt;=$B$6)*(L24:L26*AN823+M24:M26*AO823*$B$8*AQ823)/(1+AL823/100)^K24:K26)+L27*AN823*AP823/(1+AL823/100)^$B$6</f>
        <v/>
      </c>
      <c r="AT823">
        <f>AS823-AR823</f>
        <v/>
      </c>
      <c r="AU823">
        <f>RAND()</f>
        <v/>
      </c>
      <c r="AV823">
        <f>RAND()</f>
        <v/>
      </c>
      <c r="AW823">
        <f>RAND()</f>
        <v/>
      </c>
      <c r="AX823">
        <f>RAND()</f>
        <v/>
      </c>
      <c r="AY823">
        <f>RAND()</f>
        <v/>
      </c>
      <c r="AZ823">
        <f>RAND()</f>
        <v/>
      </c>
    </row>
    <row r="824">
      <c r="AK824" t="n">
        <v>811</v>
      </c>
      <c r="AL824">
        <f>IFERROR(IF(AU824&lt;($AM$6-$AL$6)/($AN$6-$AL$6),$AL$6+SQRT(AU824*($AN$6-$AL$6)*($AM$6-$AL$6)),$AN$6-SQRT((1-AU824)*($AN$6-$AL$6)*($AN$6-$AM$6))),$AM$6)</f>
        <v/>
      </c>
      <c r="AM824">
        <f>IFERROR(IF(AV824&lt;($AM$7-$AL$7)/($AN$7-$AL$7),$AL$7+SQRT(AV824*($AN$7-$AL$7)*($AM$7-$AL$7)),$AN$7-SQRT((1-AV824)*($AN$7-$AL$7)*($AN$7-$AM$7))),$AM$7)</f>
        <v/>
      </c>
      <c r="AN824">
        <f>IFERROR(IF(AW824&lt;($AM$8-$AL$8)/($AN$8-$AL$8),$AL$8+SQRT(AW824*($AN$8-$AL$8)*($AM$8-$AL$8)),$AN$8-SQRT((1-AW824)*($AN$8-$AL$8)*($AN$8-$AM$8))),$AM$8)</f>
        <v/>
      </c>
      <c r="AO824">
        <f>IFERROR(IF(AX824&lt;($AM$9-$AL$9)/($AN$9-$AL$9),$AL$9+SQRT(AX824*($AN$9-$AL$9)*($AM$9-$AL$9)),$AN$9-SQRT((1-AX824)*($AN$9-$AL$9)*($AN$9-$AM$9))),$AM$9)</f>
        <v/>
      </c>
      <c r="AP824">
        <f>IFERROR(IF(AY824&lt;($AM$10-$AL$10)/($AN$10-$AL$10),$AL$10+SQRT(AY824*($AN$10-$AL$10)*($AM$10-$AL$10)),$AN$10-SQRT((1-AY824)*($AN$10-$AL$10)*($AN$10-$AM$10))),$AM$10)</f>
        <v/>
      </c>
      <c r="AQ824">
        <f>IFERROR(IF(AZ824&lt;($AM$11-$AL$11)/($AN$11-$AL$11),$AL$11+SQRT(AZ824*($AN$11-$AL$11)*($AM$11-$AL$11)),$AN$11-SQRT((1-AZ824)*($AN$11-$AL$11)*($AN$11-$AM$11))),$AM$11)</f>
        <v/>
      </c>
      <c r="AR824">
        <f>SUMPRODUCT((B24:B31&lt;=$B$6)*(C24:C31*AM824+D24:D31*AO824*$B$8*AQ824)/(1+AL824/100)^B24:B31)+C32*AM824*AP824/(1+AL824/100)^$B$6</f>
        <v/>
      </c>
      <c r="AS824">
        <f>SUMPRODUCT((K24:K26&lt;=$B$6)*(L24:L26*AN824+M24:M26*AO824*$B$8*AQ824)/(1+AL824/100)^K24:K26)+L27*AN824*AP824/(1+AL824/100)^$B$6</f>
        <v/>
      </c>
      <c r="AT824">
        <f>AS824-AR824</f>
        <v/>
      </c>
      <c r="AU824">
        <f>RAND()</f>
        <v/>
      </c>
      <c r="AV824">
        <f>RAND()</f>
        <v/>
      </c>
      <c r="AW824">
        <f>RAND()</f>
        <v/>
      </c>
      <c r="AX824">
        <f>RAND()</f>
        <v/>
      </c>
      <c r="AY824">
        <f>RAND()</f>
        <v/>
      </c>
      <c r="AZ824">
        <f>RAND()</f>
        <v/>
      </c>
    </row>
    <row r="825">
      <c r="AK825" t="n">
        <v>812</v>
      </c>
      <c r="AL825">
        <f>IFERROR(IF(AU825&lt;($AM$6-$AL$6)/($AN$6-$AL$6),$AL$6+SQRT(AU825*($AN$6-$AL$6)*($AM$6-$AL$6)),$AN$6-SQRT((1-AU825)*($AN$6-$AL$6)*($AN$6-$AM$6))),$AM$6)</f>
        <v/>
      </c>
      <c r="AM825">
        <f>IFERROR(IF(AV825&lt;($AM$7-$AL$7)/($AN$7-$AL$7),$AL$7+SQRT(AV825*($AN$7-$AL$7)*($AM$7-$AL$7)),$AN$7-SQRT((1-AV825)*($AN$7-$AL$7)*($AN$7-$AM$7))),$AM$7)</f>
        <v/>
      </c>
      <c r="AN825">
        <f>IFERROR(IF(AW825&lt;($AM$8-$AL$8)/($AN$8-$AL$8),$AL$8+SQRT(AW825*($AN$8-$AL$8)*($AM$8-$AL$8)),$AN$8-SQRT((1-AW825)*($AN$8-$AL$8)*($AN$8-$AM$8))),$AM$8)</f>
        <v/>
      </c>
      <c r="AO825">
        <f>IFERROR(IF(AX825&lt;($AM$9-$AL$9)/($AN$9-$AL$9),$AL$9+SQRT(AX825*($AN$9-$AL$9)*($AM$9-$AL$9)),$AN$9-SQRT((1-AX825)*($AN$9-$AL$9)*($AN$9-$AM$9))),$AM$9)</f>
        <v/>
      </c>
      <c r="AP825">
        <f>IFERROR(IF(AY825&lt;($AM$10-$AL$10)/($AN$10-$AL$10),$AL$10+SQRT(AY825*($AN$10-$AL$10)*($AM$10-$AL$10)),$AN$10-SQRT((1-AY825)*($AN$10-$AL$10)*($AN$10-$AM$10))),$AM$10)</f>
        <v/>
      </c>
      <c r="AQ825">
        <f>IFERROR(IF(AZ825&lt;($AM$11-$AL$11)/($AN$11-$AL$11),$AL$11+SQRT(AZ825*($AN$11-$AL$11)*($AM$11-$AL$11)),$AN$11-SQRT((1-AZ825)*($AN$11-$AL$11)*($AN$11-$AM$11))),$AM$11)</f>
        <v/>
      </c>
      <c r="AR825">
        <f>SUMPRODUCT((B24:B31&lt;=$B$6)*(C24:C31*AM825+D24:D31*AO825*$B$8*AQ825)/(1+AL825/100)^B24:B31)+C32*AM825*AP825/(1+AL825/100)^$B$6</f>
        <v/>
      </c>
      <c r="AS825">
        <f>SUMPRODUCT((K24:K26&lt;=$B$6)*(L24:L26*AN825+M24:M26*AO825*$B$8*AQ825)/(1+AL825/100)^K24:K26)+L27*AN825*AP825/(1+AL825/100)^$B$6</f>
        <v/>
      </c>
      <c r="AT825">
        <f>AS825-AR825</f>
        <v/>
      </c>
      <c r="AU825">
        <f>RAND()</f>
        <v/>
      </c>
      <c r="AV825">
        <f>RAND()</f>
        <v/>
      </c>
      <c r="AW825">
        <f>RAND()</f>
        <v/>
      </c>
      <c r="AX825">
        <f>RAND()</f>
        <v/>
      </c>
      <c r="AY825">
        <f>RAND()</f>
        <v/>
      </c>
      <c r="AZ825">
        <f>RAND()</f>
        <v/>
      </c>
    </row>
    <row r="826">
      <c r="AK826" t="n">
        <v>813</v>
      </c>
      <c r="AL826">
        <f>IFERROR(IF(AU826&lt;($AM$6-$AL$6)/($AN$6-$AL$6),$AL$6+SQRT(AU826*($AN$6-$AL$6)*($AM$6-$AL$6)),$AN$6-SQRT((1-AU826)*($AN$6-$AL$6)*($AN$6-$AM$6))),$AM$6)</f>
        <v/>
      </c>
      <c r="AM826">
        <f>IFERROR(IF(AV826&lt;($AM$7-$AL$7)/($AN$7-$AL$7),$AL$7+SQRT(AV826*($AN$7-$AL$7)*($AM$7-$AL$7)),$AN$7-SQRT((1-AV826)*($AN$7-$AL$7)*($AN$7-$AM$7))),$AM$7)</f>
        <v/>
      </c>
      <c r="AN826">
        <f>IFERROR(IF(AW826&lt;($AM$8-$AL$8)/($AN$8-$AL$8),$AL$8+SQRT(AW826*($AN$8-$AL$8)*($AM$8-$AL$8)),$AN$8-SQRT((1-AW826)*($AN$8-$AL$8)*($AN$8-$AM$8))),$AM$8)</f>
        <v/>
      </c>
      <c r="AO826">
        <f>IFERROR(IF(AX826&lt;($AM$9-$AL$9)/($AN$9-$AL$9),$AL$9+SQRT(AX826*($AN$9-$AL$9)*($AM$9-$AL$9)),$AN$9-SQRT((1-AX826)*($AN$9-$AL$9)*($AN$9-$AM$9))),$AM$9)</f>
        <v/>
      </c>
      <c r="AP826">
        <f>IFERROR(IF(AY826&lt;($AM$10-$AL$10)/($AN$10-$AL$10),$AL$10+SQRT(AY826*($AN$10-$AL$10)*($AM$10-$AL$10)),$AN$10-SQRT((1-AY826)*($AN$10-$AL$10)*($AN$10-$AM$10))),$AM$10)</f>
        <v/>
      </c>
      <c r="AQ826">
        <f>IFERROR(IF(AZ826&lt;($AM$11-$AL$11)/($AN$11-$AL$11),$AL$11+SQRT(AZ826*($AN$11-$AL$11)*($AM$11-$AL$11)),$AN$11-SQRT((1-AZ826)*($AN$11-$AL$11)*($AN$11-$AM$11))),$AM$11)</f>
        <v/>
      </c>
      <c r="AR826">
        <f>SUMPRODUCT((B24:B31&lt;=$B$6)*(C24:C31*AM826+D24:D31*AO826*$B$8*AQ826)/(1+AL826/100)^B24:B31)+C32*AM826*AP826/(1+AL826/100)^$B$6</f>
        <v/>
      </c>
      <c r="AS826">
        <f>SUMPRODUCT((K24:K26&lt;=$B$6)*(L24:L26*AN826+M24:M26*AO826*$B$8*AQ826)/(1+AL826/100)^K24:K26)+L27*AN826*AP826/(1+AL826/100)^$B$6</f>
        <v/>
      </c>
      <c r="AT826">
        <f>AS826-AR826</f>
        <v/>
      </c>
      <c r="AU826">
        <f>RAND()</f>
        <v/>
      </c>
      <c r="AV826">
        <f>RAND()</f>
        <v/>
      </c>
      <c r="AW826">
        <f>RAND()</f>
        <v/>
      </c>
      <c r="AX826">
        <f>RAND()</f>
        <v/>
      </c>
      <c r="AY826">
        <f>RAND()</f>
        <v/>
      </c>
      <c r="AZ826">
        <f>RAND()</f>
        <v/>
      </c>
    </row>
    <row r="827">
      <c r="AK827" t="n">
        <v>814</v>
      </c>
      <c r="AL827">
        <f>IFERROR(IF(AU827&lt;($AM$6-$AL$6)/($AN$6-$AL$6),$AL$6+SQRT(AU827*($AN$6-$AL$6)*($AM$6-$AL$6)),$AN$6-SQRT((1-AU827)*($AN$6-$AL$6)*($AN$6-$AM$6))),$AM$6)</f>
        <v/>
      </c>
      <c r="AM827">
        <f>IFERROR(IF(AV827&lt;($AM$7-$AL$7)/($AN$7-$AL$7),$AL$7+SQRT(AV827*($AN$7-$AL$7)*($AM$7-$AL$7)),$AN$7-SQRT((1-AV827)*($AN$7-$AL$7)*($AN$7-$AM$7))),$AM$7)</f>
        <v/>
      </c>
      <c r="AN827">
        <f>IFERROR(IF(AW827&lt;($AM$8-$AL$8)/($AN$8-$AL$8),$AL$8+SQRT(AW827*($AN$8-$AL$8)*($AM$8-$AL$8)),$AN$8-SQRT((1-AW827)*($AN$8-$AL$8)*($AN$8-$AM$8))),$AM$8)</f>
        <v/>
      </c>
      <c r="AO827">
        <f>IFERROR(IF(AX827&lt;($AM$9-$AL$9)/($AN$9-$AL$9),$AL$9+SQRT(AX827*($AN$9-$AL$9)*($AM$9-$AL$9)),$AN$9-SQRT((1-AX827)*($AN$9-$AL$9)*($AN$9-$AM$9))),$AM$9)</f>
        <v/>
      </c>
      <c r="AP827">
        <f>IFERROR(IF(AY827&lt;($AM$10-$AL$10)/($AN$10-$AL$10),$AL$10+SQRT(AY827*($AN$10-$AL$10)*($AM$10-$AL$10)),$AN$10-SQRT((1-AY827)*($AN$10-$AL$10)*($AN$10-$AM$10))),$AM$10)</f>
        <v/>
      </c>
      <c r="AQ827">
        <f>IFERROR(IF(AZ827&lt;($AM$11-$AL$11)/($AN$11-$AL$11),$AL$11+SQRT(AZ827*($AN$11-$AL$11)*($AM$11-$AL$11)),$AN$11-SQRT((1-AZ827)*($AN$11-$AL$11)*($AN$11-$AM$11))),$AM$11)</f>
        <v/>
      </c>
      <c r="AR827">
        <f>SUMPRODUCT((B24:B31&lt;=$B$6)*(C24:C31*AM827+D24:D31*AO827*$B$8*AQ827)/(1+AL827/100)^B24:B31)+C32*AM827*AP827/(1+AL827/100)^$B$6</f>
        <v/>
      </c>
      <c r="AS827">
        <f>SUMPRODUCT((K24:K26&lt;=$B$6)*(L24:L26*AN827+M24:M26*AO827*$B$8*AQ827)/(1+AL827/100)^K24:K26)+L27*AN827*AP827/(1+AL827/100)^$B$6</f>
        <v/>
      </c>
      <c r="AT827">
        <f>AS827-AR827</f>
        <v/>
      </c>
      <c r="AU827">
        <f>RAND()</f>
        <v/>
      </c>
      <c r="AV827">
        <f>RAND()</f>
        <v/>
      </c>
      <c r="AW827">
        <f>RAND()</f>
        <v/>
      </c>
      <c r="AX827">
        <f>RAND()</f>
        <v/>
      </c>
      <c r="AY827">
        <f>RAND()</f>
        <v/>
      </c>
      <c r="AZ827">
        <f>RAND()</f>
        <v/>
      </c>
    </row>
    <row r="828">
      <c r="AK828" t="n">
        <v>815</v>
      </c>
      <c r="AL828">
        <f>IFERROR(IF(AU828&lt;($AM$6-$AL$6)/($AN$6-$AL$6),$AL$6+SQRT(AU828*($AN$6-$AL$6)*($AM$6-$AL$6)),$AN$6-SQRT((1-AU828)*($AN$6-$AL$6)*($AN$6-$AM$6))),$AM$6)</f>
        <v/>
      </c>
      <c r="AM828">
        <f>IFERROR(IF(AV828&lt;($AM$7-$AL$7)/($AN$7-$AL$7),$AL$7+SQRT(AV828*($AN$7-$AL$7)*($AM$7-$AL$7)),$AN$7-SQRT((1-AV828)*($AN$7-$AL$7)*($AN$7-$AM$7))),$AM$7)</f>
        <v/>
      </c>
      <c r="AN828">
        <f>IFERROR(IF(AW828&lt;($AM$8-$AL$8)/($AN$8-$AL$8),$AL$8+SQRT(AW828*($AN$8-$AL$8)*($AM$8-$AL$8)),$AN$8-SQRT((1-AW828)*($AN$8-$AL$8)*($AN$8-$AM$8))),$AM$8)</f>
        <v/>
      </c>
      <c r="AO828">
        <f>IFERROR(IF(AX828&lt;($AM$9-$AL$9)/($AN$9-$AL$9),$AL$9+SQRT(AX828*($AN$9-$AL$9)*($AM$9-$AL$9)),$AN$9-SQRT((1-AX828)*($AN$9-$AL$9)*($AN$9-$AM$9))),$AM$9)</f>
        <v/>
      </c>
      <c r="AP828">
        <f>IFERROR(IF(AY828&lt;($AM$10-$AL$10)/($AN$10-$AL$10),$AL$10+SQRT(AY828*($AN$10-$AL$10)*($AM$10-$AL$10)),$AN$10-SQRT((1-AY828)*($AN$10-$AL$10)*($AN$10-$AM$10))),$AM$10)</f>
        <v/>
      </c>
      <c r="AQ828">
        <f>IFERROR(IF(AZ828&lt;($AM$11-$AL$11)/($AN$11-$AL$11),$AL$11+SQRT(AZ828*($AN$11-$AL$11)*($AM$11-$AL$11)),$AN$11-SQRT((1-AZ828)*($AN$11-$AL$11)*($AN$11-$AM$11))),$AM$11)</f>
        <v/>
      </c>
      <c r="AR828">
        <f>SUMPRODUCT((B24:B31&lt;=$B$6)*(C24:C31*AM828+D24:D31*AO828*$B$8*AQ828)/(1+AL828/100)^B24:B31)+C32*AM828*AP828/(1+AL828/100)^$B$6</f>
        <v/>
      </c>
      <c r="AS828">
        <f>SUMPRODUCT((K24:K26&lt;=$B$6)*(L24:L26*AN828+M24:M26*AO828*$B$8*AQ828)/(1+AL828/100)^K24:K26)+L27*AN828*AP828/(1+AL828/100)^$B$6</f>
        <v/>
      </c>
      <c r="AT828">
        <f>AS828-AR828</f>
        <v/>
      </c>
      <c r="AU828">
        <f>RAND()</f>
        <v/>
      </c>
      <c r="AV828">
        <f>RAND()</f>
        <v/>
      </c>
      <c r="AW828">
        <f>RAND()</f>
        <v/>
      </c>
      <c r="AX828">
        <f>RAND()</f>
        <v/>
      </c>
      <c r="AY828">
        <f>RAND()</f>
        <v/>
      </c>
      <c r="AZ828">
        <f>RAND()</f>
        <v/>
      </c>
    </row>
    <row r="829">
      <c r="AK829" t="n">
        <v>816</v>
      </c>
      <c r="AL829">
        <f>IFERROR(IF(AU829&lt;($AM$6-$AL$6)/($AN$6-$AL$6),$AL$6+SQRT(AU829*($AN$6-$AL$6)*($AM$6-$AL$6)),$AN$6-SQRT((1-AU829)*($AN$6-$AL$6)*($AN$6-$AM$6))),$AM$6)</f>
        <v/>
      </c>
      <c r="AM829">
        <f>IFERROR(IF(AV829&lt;($AM$7-$AL$7)/($AN$7-$AL$7),$AL$7+SQRT(AV829*($AN$7-$AL$7)*($AM$7-$AL$7)),$AN$7-SQRT((1-AV829)*($AN$7-$AL$7)*($AN$7-$AM$7))),$AM$7)</f>
        <v/>
      </c>
      <c r="AN829">
        <f>IFERROR(IF(AW829&lt;($AM$8-$AL$8)/($AN$8-$AL$8),$AL$8+SQRT(AW829*($AN$8-$AL$8)*($AM$8-$AL$8)),$AN$8-SQRT((1-AW829)*($AN$8-$AL$8)*($AN$8-$AM$8))),$AM$8)</f>
        <v/>
      </c>
      <c r="AO829">
        <f>IFERROR(IF(AX829&lt;($AM$9-$AL$9)/($AN$9-$AL$9),$AL$9+SQRT(AX829*($AN$9-$AL$9)*($AM$9-$AL$9)),$AN$9-SQRT((1-AX829)*($AN$9-$AL$9)*($AN$9-$AM$9))),$AM$9)</f>
        <v/>
      </c>
      <c r="AP829">
        <f>IFERROR(IF(AY829&lt;($AM$10-$AL$10)/($AN$10-$AL$10),$AL$10+SQRT(AY829*($AN$10-$AL$10)*($AM$10-$AL$10)),$AN$10-SQRT((1-AY829)*($AN$10-$AL$10)*($AN$10-$AM$10))),$AM$10)</f>
        <v/>
      </c>
      <c r="AQ829">
        <f>IFERROR(IF(AZ829&lt;($AM$11-$AL$11)/($AN$11-$AL$11),$AL$11+SQRT(AZ829*($AN$11-$AL$11)*($AM$11-$AL$11)),$AN$11-SQRT((1-AZ829)*($AN$11-$AL$11)*($AN$11-$AM$11))),$AM$11)</f>
        <v/>
      </c>
      <c r="AR829">
        <f>SUMPRODUCT((B24:B31&lt;=$B$6)*(C24:C31*AM829+D24:D31*AO829*$B$8*AQ829)/(1+AL829/100)^B24:B31)+C32*AM829*AP829/(1+AL829/100)^$B$6</f>
        <v/>
      </c>
      <c r="AS829">
        <f>SUMPRODUCT((K24:K26&lt;=$B$6)*(L24:L26*AN829+M24:M26*AO829*$B$8*AQ829)/(1+AL829/100)^K24:K26)+L27*AN829*AP829/(1+AL829/100)^$B$6</f>
        <v/>
      </c>
      <c r="AT829">
        <f>AS829-AR829</f>
        <v/>
      </c>
      <c r="AU829">
        <f>RAND()</f>
        <v/>
      </c>
      <c r="AV829">
        <f>RAND()</f>
        <v/>
      </c>
      <c r="AW829">
        <f>RAND()</f>
        <v/>
      </c>
      <c r="AX829">
        <f>RAND()</f>
        <v/>
      </c>
      <c r="AY829">
        <f>RAND()</f>
        <v/>
      </c>
      <c r="AZ829">
        <f>RAND()</f>
        <v/>
      </c>
    </row>
    <row r="830">
      <c r="AK830" t="n">
        <v>817</v>
      </c>
      <c r="AL830">
        <f>IFERROR(IF(AU830&lt;($AM$6-$AL$6)/($AN$6-$AL$6),$AL$6+SQRT(AU830*($AN$6-$AL$6)*($AM$6-$AL$6)),$AN$6-SQRT((1-AU830)*($AN$6-$AL$6)*($AN$6-$AM$6))),$AM$6)</f>
        <v/>
      </c>
      <c r="AM830">
        <f>IFERROR(IF(AV830&lt;($AM$7-$AL$7)/($AN$7-$AL$7),$AL$7+SQRT(AV830*($AN$7-$AL$7)*($AM$7-$AL$7)),$AN$7-SQRT((1-AV830)*($AN$7-$AL$7)*($AN$7-$AM$7))),$AM$7)</f>
        <v/>
      </c>
      <c r="AN830">
        <f>IFERROR(IF(AW830&lt;($AM$8-$AL$8)/($AN$8-$AL$8),$AL$8+SQRT(AW830*($AN$8-$AL$8)*($AM$8-$AL$8)),$AN$8-SQRT((1-AW830)*($AN$8-$AL$8)*($AN$8-$AM$8))),$AM$8)</f>
        <v/>
      </c>
      <c r="AO830">
        <f>IFERROR(IF(AX830&lt;($AM$9-$AL$9)/($AN$9-$AL$9),$AL$9+SQRT(AX830*($AN$9-$AL$9)*($AM$9-$AL$9)),$AN$9-SQRT((1-AX830)*($AN$9-$AL$9)*($AN$9-$AM$9))),$AM$9)</f>
        <v/>
      </c>
      <c r="AP830">
        <f>IFERROR(IF(AY830&lt;($AM$10-$AL$10)/($AN$10-$AL$10),$AL$10+SQRT(AY830*($AN$10-$AL$10)*($AM$10-$AL$10)),$AN$10-SQRT((1-AY830)*($AN$10-$AL$10)*($AN$10-$AM$10))),$AM$10)</f>
        <v/>
      </c>
      <c r="AQ830">
        <f>IFERROR(IF(AZ830&lt;($AM$11-$AL$11)/($AN$11-$AL$11),$AL$11+SQRT(AZ830*($AN$11-$AL$11)*($AM$11-$AL$11)),$AN$11-SQRT((1-AZ830)*($AN$11-$AL$11)*($AN$11-$AM$11))),$AM$11)</f>
        <v/>
      </c>
      <c r="AR830">
        <f>SUMPRODUCT((B24:B31&lt;=$B$6)*(C24:C31*AM830+D24:D31*AO830*$B$8*AQ830)/(1+AL830/100)^B24:B31)+C32*AM830*AP830/(1+AL830/100)^$B$6</f>
        <v/>
      </c>
      <c r="AS830">
        <f>SUMPRODUCT((K24:K26&lt;=$B$6)*(L24:L26*AN830+M24:M26*AO830*$B$8*AQ830)/(1+AL830/100)^K24:K26)+L27*AN830*AP830/(1+AL830/100)^$B$6</f>
        <v/>
      </c>
      <c r="AT830">
        <f>AS830-AR830</f>
        <v/>
      </c>
      <c r="AU830">
        <f>RAND()</f>
        <v/>
      </c>
      <c r="AV830">
        <f>RAND()</f>
        <v/>
      </c>
      <c r="AW830">
        <f>RAND()</f>
        <v/>
      </c>
      <c r="AX830">
        <f>RAND()</f>
        <v/>
      </c>
      <c r="AY830">
        <f>RAND()</f>
        <v/>
      </c>
      <c r="AZ830">
        <f>RAND()</f>
        <v/>
      </c>
    </row>
    <row r="831">
      <c r="AK831" t="n">
        <v>818</v>
      </c>
      <c r="AL831">
        <f>IFERROR(IF(AU831&lt;($AM$6-$AL$6)/($AN$6-$AL$6),$AL$6+SQRT(AU831*($AN$6-$AL$6)*($AM$6-$AL$6)),$AN$6-SQRT((1-AU831)*($AN$6-$AL$6)*($AN$6-$AM$6))),$AM$6)</f>
        <v/>
      </c>
      <c r="AM831">
        <f>IFERROR(IF(AV831&lt;($AM$7-$AL$7)/($AN$7-$AL$7),$AL$7+SQRT(AV831*($AN$7-$AL$7)*($AM$7-$AL$7)),$AN$7-SQRT((1-AV831)*($AN$7-$AL$7)*($AN$7-$AM$7))),$AM$7)</f>
        <v/>
      </c>
      <c r="AN831">
        <f>IFERROR(IF(AW831&lt;($AM$8-$AL$8)/($AN$8-$AL$8),$AL$8+SQRT(AW831*($AN$8-$AL$8)*($AM$8-$AL$8)),$AN$8-SQRT((1-AW831)*($AN$8-$AL$8)*($AN$8-$AM$8))),$AM$8)</f>
        <v/>
      </c>
      <c r="AO831">
        <f>IFERROR(IF(AX831&lt;($AM$9-$AL$9)/($AN$9-$AL$9),$AL$9+SQRT(AX831*($AN$9-$AL$9)*($AM$9-$AL$9)),$AN$9-SQRT((1-AX831)*($AN$9-$AL$9)*($AN$9-$AM$9))),$AM$9)</f>
        <v/>
      </c>
      <c r="AP831">
        <f>IFERROR(IF(AY831&lt;($AM$10-$AL$10)/($AN$10-$AL$10),$AL$10+SQRT(AY831*($AN$10-$AL$10)*($AM$10-$AL$10)),$AN$10-SQRT((1-AY831)*($AN$10-$AL$10)*($AN$10-$AM$10))),$AM$10)</f>
        <v/>
      </c>
      <c r="AQ831">
        <f>IFERROR(IF(AZ831&lt;($AM$11-$AL$11)/($AN$11-$AL$11),$AL$11+SQRT(AZ831*($AN$11-$AL$11)*($AM$11-$AL$11)),$AN$11-SQRT((1-AZ831)*($AN$11-$AL$11)*($AN$11-$AM$11))),$AM$11)</f>
        <v/>
      </c>
      <c r="AR831">
        <f>SUMPRODUCT((B24:B31&lt;=$B$6)*(C24:C31*AM831+D24:D31*AO831*$B$8*AQ831)/(1+AL831/100)^B24:B31)+C32*AM831*AP831/(1+AL831/100)^$B$6</f>
        <v/>
      </c>
      <c r="AS831">
        <f>SUMPRODUCT((K24:K26&lt;=$B$6)*(L24:L26*AN831+M24:M26*AO831*$B$8*AQ831)/(1+AL831/100)^K24:K26)+L27*AN831*AP831/(1+AL831/100)^$B$6</f>
        <v/>
      </c>
      <c r="AT831">
        <f>AS831-AR831</f>
        <v/>
      </c>
      <c r="AU831">
        <f>RAND()</f>
        <v/>
      </c>
      <c r="AV831">
        <f>RAND()</f>
        <v/>
      </c>
      <c r="AW831">
        <f>RAND()</f>
        <v/>
      </c>
      <c r="AX831">
        <f>RAND()</f>
        <v/>
      </c>
      <c r="AY831">
        <f>RAND()</f>
        <v/>
      </c>
      <c r="AZ831">
        <f>RAND()</f>
        <v/>
      </c>
    </row>
    <row r="832">
      <c r="AK832" t="n">
        <v>819</v>
      </c>
      <c r="AL832">
        <f>IFERROR(IF(AU832&lt;($AM$6-$AL$6)/($AN$6-$AL$6),$AL$6+SQRT(AU832*($AN$6-$AL$6)*($AM$6-$AL$6)),$AN$6-SQRT((1-AU832)*($AN$6-$AL$6)*($AN$6-$AM$6))),$AM$6)</f>
        <v/>
      </c>
      <c r="AM832">
        <f>IFERROR(IF(AV832&lt;($AM$7-$AL$7)/($AN$7-$AL$7),$AL$7+SQRT(AV832*($AN$7-$AL$7)*($AM$7-$AL$7)),$AN$7-SQRT((1-AV832)*($AN$7-$AL$7)*($AN$7-$AM$7))),$AM$7)</f>
        <v/>
      </c>
      <c r="AN832">
        <f>IFERROR(IF(AW832&lt;($AM$8-$AL$8)/($AN$8-$AL$8),$AL$8+SQRT(AW832*($AN$8-$AL$8)*($AM$8-$AL$8)),$AN$8-SQRT((1-AW832)*($AN$8-$AL$8)*($AN$8-$AM$8))),$AM$8)</f>
        <v/>
      </c>
      <c r="AO832">
        <f>IFERROR(IF(AX832&lt;($AM$9-$AL$9)/($AN$9-$AL$9),$AL$9+SQRT(AX832*($AN$9-$AL$9)*($AM$9-$AL$9)),$AN$9-SQRT((1-AX832)*($AN$9-$AL$9)*($AN$9-$AM$9))),$AM$9)</f>
        <v/>
      </c>
      <c r="AP832">
        <f>IFERROR(IF(AY832&lt;($AM$10-$AL$10)/($AN$10-$AL$10),$AL$10+SQRT(AY832*($AN$10-$AL$10)*($AM$10-$AL$10)),$AN$10-SQRT((1-AY832)*($AN$10-$AL$10)*($AN$10-$AM$10))),$AM$10)</f>
        <v/>
      </c>
      <c r="AQ832">
        <f>IFERROR(IF(AZ832&lt;($AM$11-$AL$11)/($AN$11-$AL$11),$AL$11+SQRT(AZ832*($AN$11-$AL$11)*($AM$11-$AL$11)),$AN$11-SQRT((1-AZ832)*($AN$11-$AL$11)*($AN$11-$AM$11))),$AM$11)</f>
        <v/>
      </c>
      <c r="AR832">
        <f>SUMPRODUCT((B24:B31&lt;=$B$6)*(C24:C31*AM832+D24:D31*AO832*$B$8*AQ832)/(1+AL832/100)^B24:B31)+C32*AM832*AP832/(1+AL832/100)^$B$6</f>
        <v/>
      </c>
      <c r="AS832">
        <f>SUMPRODUCT((K24:K26&lt;=$B$6)*(L24:L26*AN832+M24:M26*AO832*$B$8*AQ832)/(1+AL832/100)^K24:K26)+L27*AN832*AP832/(1+AL832/100)^$B$6</f>
        <v/>
      </c>
      <c r="AT832">
        <f>AS832-AR832</f>
        <v/>
      </c>
      <c r="AU832">
        <f>RAND()</f>
        <v/>
      </c>
      <c r="AV832">
        <f>RAND()</f>
        <v/>
      </c>
      <c r="AW832">
        <f>RAND()</f>
        <v/>
      </c>
      <c r="AX832">
        <f>RAND()</f>
        <v/>
      </c>
      <c r="AY832">
        <f>RAND()</f>
        <v/>
      </c>
      <c r="AZ832">
        <f>RAND()</f>
        <v/>
      </c>
    </row>
    <row r="833">
      <c r="AK833" t="n">
        <v>820</v>
      </c>
      <c r="AL833">
        <f>IFERROR(IF(AU833&lt;($AM$6-$AL$6)/($AN$6-$AL$6),$AL$6+SQRT(AU833*($AN$6-$AL$6)*($AM$6-$AL$6)),$AN$6-SQRT((1-AU833)*($AN$6-$AL$6)*($AN$6-$AM$6))),$AM$6)</f>
        <v/>
      </c>
      <c r="AM833">
        <f>IFERROR(IF(AV833&lt;($AM$7-$AL$7)/($AN$7-$AL$7),$AL$7+SQRT(AV833*($AN$7-$AL$7)*($AM$7-$AL$7)),$AN$7-SQRT((1-AV833)*($AN$7-$AL$7)*($AN$7-$AM$7))),$AM$7)</f>
        <v/>
      </c>
      <c r="AN833">
        <f>IFERROR(IF(AW833&lt;($AM$8-$AL$8)/($AN$8-$AL$8),$AL$8+SQRT(AW833*($AN$8-$AL$8)*($AM$8-$AL$8)),$AN$8-SQRT((1-AW833)*($AN$8-$AL$8)*($AN$8-$AM$8))),$AM$8)</f>
        <v/>
      </c>
      <c r="AO833">
        <f>IFERROR(IF(AX833&lt;($AM$9-$AL$9)/($AN$9-$AL$9),$AL$9+SQRT(AX833*($AN$9-$AL$9)*($AM$9-$AL$9)),$AN$9-SQRT((1-AX833)*($AN$9-$AL$9)*($AN$9-$AM$9))),$AM$9)</f>
        <v/>
      </c>
      <c r="AP833">
        <f>IFERROR(IF(AY833&lt;($AM$10-$AL$10)/($AN$10-$AL$10),$AL$10+SQRT(AY833*($AN$10-$AL$10)*($AM$10-$AL$10)),$AN$10-SQRT((1-AY833)*($AN$10-$AL$10)*($AN$10-$AM$10))),$AM$10)</f>
        <v/>
      </c>
      <c r="AQ833">
        <f>IFERROR(IF(AZ833&lt;($AM$11-$AL$11)/($AN$11-$AL$11),$AL$11+SQRT(AZ833*($AN$11-$AL$11)*($AM$11-$AL$11)),$AN$11-SQRT((1-AZ833)*($AN$11-$AL$11)*($AN$11-$AM$11))),$AM$11)</f>
        <v/>
      </c>
      <c r="AR833">
        <f>SUMPRODUCT((B24:B31&lt;=$B$6)*(C24:C31*AM833+D24:D31*AO833*$B$8*AQ833)/(1+AL833/100)^B24:B31)+C32*AM833*AP833/(1+AL833/100)^$B$6</f>
        <v/>
      </c>
      <c r="AS833">
        <f>SUMPRODUCT((K24:K26&lt;=$B$6)*(L24:L26*AN833+M24:M26*AO833*$B$8*AQ833)/(1+AL833/100)^K24:K26)+L27*AN833*AP833/(1+AL833/100)^$B$6</f>
        <v/>
      </c>
      <c r="AT833">
        <f>AS833-AR833</f>
        <v/>
      </c>
      <c r="AU833">
        <f>RAND()</f>
        <v/>
      </c>
      <c r="AV833">
        <f>RAND()</f>
        <v/>
      </c>
      <c r="AW833">
        <f>RAND()</f>
        <v/>
      </c>
      <c r="AX833">
        <f>RAND()</f>
        <v/>
      </c>
      <c r="AY833">
        <f>RAND()</f>
        <v/>
      </c>
      <c r="AZ833">
        <f>RAND()</f>
        <v/>
      </c>
    </row>
    <row r="834">
      <c r="AK834" t="n">
        <v>821</v>
      </c>
      <c r="AL834">
        <f>IFERROR(IF(AU834&lt;($AM$6-$AL$6)/($AN$6-$AL$6),$AL$6+SQRT(AU834*($AN$6-$AL$6)*($AM$6-$AL$6)),$AN$6-SQRT((1-AU834)*($AN$6-$AL$6)*($AN$6-$AM$6))),$AM$6)</f>
        <v/>
      </c>
      <c r="AM834">
        <f>IFERROR(IF(AV834&lt;($AM$7-$AL$7)/($AN$7-$AL$7),$AL$7+SQRT(AV834*($AN$7-$AL$7)*($AM$7-$AL$7)),$AN$7-SQRT((1-AV834)*($AN$7-$AL$7)*($AN$7-$AM$7))),$AM$7)</f>
        <v/>
      </c>
      <c r="AN834">
        <f>IFERROR(IF(AW834&lt;($AM$8-$AL$8)/($AN$8-$AL$8),$AL$8+SQRT(AW834*($AN$8-$AL$8)*($AM$8-$AL$8)),$AN$8-SQRT((1-AW834)*($AN$8-$AL$8)*($AN$8-$AM$8))),$AM$8)</f>
        <v/>
      </c>
      <c r="AO834">
        <f>IFERROR(IF(AX834&lt;($AM$9-$AL$9)/($AN$9-$AL$9),$AL$9+SQRT(AX834*($AN$9-$AL$9)*($AM$9-$AL$9)),$AN$9-SQRT((1-AX834)*($AN$9-$AL$9)*($AN$9-$AM$9))),$AM$9)</f>
        <v/>
      </c>
      <c r="AP834">
        <f>IFERROR(IF(AY834&lt;($AM$10-$AL$10)/($AN$10-$AL$10),$AL$10+SQRT(AY834*($AN$10-$AL$10)*($AM$10-$AL$10)),$AN$10-SQRT((1-AY834)*($AN$10-$AL$10)*($AN$10-$AM$10))),$AM$10)</f>
        <v/>
      </c>
      <c r="AQ834">
        <f>IFERROR(IF(AZ834&lt;($AM$11-$AL$11)/($AN$11-$AL$11),$AL$11+SQRT(AZ834*($AN$11-$AL$11)*($AM$11-$AL$11)),$AN$11-SQRT((1-AZ834)*($AN$11-$AL$11)*($AN$11-$AM$11))),$AM$11)</f>
        <v/>
      </c>
      <c r="AR834">
        <f>SUMPRODUCT((B24:B31&lt;=$B$6)*(C24:C31*AM834+D24:D31*AO834*$B$8*AQ834)/(1+AL834/100)^B24:B31)+C32*AM834*AP834/(1+AL834/100)^$B$6</f>
        <v/>
      </c>
      <c r="AS834">
        <f>SUMPRODUCT((K24:K26&lt;=$B$6)*(L24:L26*AN834+M24:M26*AO834*$B$8*AQ834)/(1+AL834/100)^K24:K26)+L27*AN834*AP834/(1+AL834/100)^$B$6</f>
        <v/>
      </c>
      <c r="AT834">
        <f>AS834-AR834</f>
        <v/>
      </c>
      <c r="AU834">
        <f>RAND()</f>
        <v/>
      </c>
      <c r="AV834">
        <f>RAND()</f>
        <v/>
      </c>
      <c r="AW834">
        <f>RAND()</f>
        <v/>
      </c>
      <c r="AX834">
        <f>RAND()</f>
        <v/>
      </c>
      <c r="AY834">
        <f>RAND()</f>
        <v/>
      </c>
      <c r="AZ834">
        <f>RAND()</f>
        <v/>
      </c>
    </row>
    <row r="835">
      <c r="AK835" t="n">
        <v>822</v>
      </c>
      <c r="AL835">
        <f>IFERROR(IF(AU835&lt;($AM$6-$AL$6)/($AN$6-$AL$6),$AL$6+SQRT(AU835*($AN$6-$AL$6)*($AM$6-$AL$6)),$AN$6-SQRT((1-AU835)*($AN$6-$AL$6)*($AN$6-$AM$6))),$AM$6)</f>
        <v/>
      </c>
      <c r="AM835">
        <f>IFERROR(IF(AV835&lt;($AM$7-$AL$7)/($AN$7-$AL$7),$AL$7+SQRT(AV835*($AN$7-$AL$7)*($AM$7-$AL$7)),$AN$7-SQRT((1-AV835)*($AN$7-$AL$7)*($AN$7-$AM$7))),$AM$7)</f>
        <v/>
      </c>
      <c r="AN835">
        <f>IFERROR(IF(AW835&lt;($AM$8-$AL$8)/($AN$8-$AL$8),$AL$8+SQRT(AW835*($AN$8-$AL$8)*($AM$8-$AL$8)),$AN$8-SQRT((1-AW835)*($AN$8-$AL$8)*($AN$8-$AM$8))),$AM$8)</f>
        <v/>
      </c>
      <c r="AO835">
        <f>IFERROR(IF(AX835&lt;($AM$9-$AL$9)/($AN$9-$AL$9),$AL$9+SQRT(AX835*($AN$9-$AL$9)*($AM$9-$AL$9)),$AN$9-SQRT((1-AX835)*($AN$9-$AL$9)*($AN$9-$AM$9))),$AM$9)</f>
        <v/>
      </c>
      <c r="AP835">
        <f>IFERROR(IF(AY835&lt;($AM$10-$AL$10)/($AN$10-$AL$10),$AL$10+SQRT(AY835*($AN$10-$AL$10)*($AM$10-$AL$10)),$AN$10-SQRT((1-AY835)*($AN$10-$AL$10)*($AN$10-$AM$10))),$AM$10)</f>
        <v/>
      </c>
      <c r="AQ835">
        <f>IFERROR(IF(AZ835&lt;($AM$11-$AL$11)/($AN$11-$AL$11),$AL$11+SQRT(AZ835*($AN$11-$AL$11)*($AM$11-$AL$11)),$AN$11-SQRT((1-AZ835)*($AN$11-$AL$11)*($AN$11-$AM$11))),$AM$11)</f>
        <v/>
      </c>
      <c r="AR835">
        <f>SUMPRODUCT((B24:B31&lt;=$B$6)*(C24:C31*AM835+D24:D31*AO835*$B$8*AQ835)/(1+AL835/100)^B24:B31)+C32*AM835*AP835/(1+AL835/100)^$B$6</f>
        <v/>
      </c>
      <c r="AS835">
        <f>SUMPRODUCT((K24:K26&lt;=$B$6)*(L24:L26*AN835+M24:M26*AO835*$B$8*AQ835)/(1+AL835/100)^K24:K26)+L27*AN835*AP835/(1+AL835/100)^$B$6</f>
        <v/>
      </c>
      <c r="AT835">
        <f>AS835-AR835</f>
        <v/>
      </c>
      <c r="AU835">
        <f>RAND()</f>
        <v/>
      </c>
      <c r="AV835">
        <f>RAND()</f>
        <v/>
      </c>
      <c r="AW835">
        <f>RAND()</f>
        <v/>
      </c>
      <c r="AX835">
        <f>RAND()</f>
        <v/>
      </c>
      <c r="AY835">
        <f>RAND()</f>
        <v/>
      </c>
      <c r="AZ835">
        <f>RAND()</f>
        <v/>
      </c>
    </row>
    <row r="836">
      <c r="AK836" t="n">
        <v>823</v>
      </c>
      <c r="AL836">
        <f>IFERROR(IF(AU836&lt;($AM$6-$AL$6)/($AN$6-$AL$6),$AL$6+SQRT(AU836*($AN$6-$AL$6)*($AM$6-$AL$6)),$AN$6-SQRT((1-AU836)*($AN$6-$AL$6)*($AN$6-$AM$6))),$AM$6)</f>
        <v/>
      </c>
      <c r="AM836">
        <f>IFERROR(IF(AV836&lt;($AM$7-$AL$7)/($AN$7-$AL$7),$AL$7+SQRT(AV836*($AN$7-$AL$7)*($AM$7-$AL$7)),$AN$7-SQRT((1-AV836)*($AN$7-$AL$7)*($AN$7-$AM$7))),$AM$7)</f>
        <v/>
      </c>
      <c r="AN836">
        <f>IFERROR(IF(AW836&lt;($AM$8-$AL$8)/($AN$8-$AL$8),$AL$8+SQRT(AW836*($AN$8-$AL$8)*($AM$8-$AL$8)),$AN$8-SQRT((1-AW836)*($AN$8-$AL$8)*($AN$8-$AM$8))),$AM$8)</f>
        <v/>
      </c>
      <c r="AO836">
        <f>IFERROR(IF(AX836&lt;($AM$9-$AL$9)/($AN$9-$AL$9),$AL$9+SQRT(AX836*($AN$9-$AL$9)*($AM$9-$AL$9)),$AN$9-SQRT((1-AX836)*($AN$9-$AL$9)*($AN$9-$AM$9))),$AM$9)</f>
        <v/>
      </c>
      <c r="AP836">
        <f>IFERROR(IF(AY836&lt;($AM$10-$AL$10)/($AN$10-$AL$10),$AL$10+SQRT(AY836*($AN$10-$AL$10)*($AM$10-$AL$10)),$AN$10-SQRT((1-AY836)*($AN$10-$AL$10)*($AN$10-$AM$10))),$AM$10)</f>
        <v/>
      </c>
      <c r="AQ836">
        <f>IFERROR(IF(AZ836&lt;($AM$11-$AL$11)/($AN$11-$AL$11),$AL$11+SQRT(AZ836*($AN$11-$AL$11)*($AM$11-$AL$11)),$AN$11-SQRT((1-AZ836)*($AN$11-$AL$11)*($AN$11-$AM$11))),$AM$11)</f>
        <v/>
      </c>
      <c r="AR836">
        <f>SUMPRODUCT((B24:B31&lt;=$B$6)*(C24:C31*AM836+D24:D31*AO836*$B$8*AQ836)/(1+AL836/100)^B24:B31)+C32*AM836*AP836/(1+AL836/100)^$B$6</f>
        <v/>
      </c>
      <c r="AS836">
        <f>SUMPRODUCT((K24:K26&lt;=$B$6)*(L24:L26*AN836+M24:M26*AO836*$B$8*AQ836)/(1+AL836/100)^K24:K26)+L27*AN836*AP836/(1+AL836/100)^$B$6</f>
        <v/>
      </c>
      <c r="AT836">
        <f>AS836-AR836</f>
        <v/>
      </c>
      <c r="AU836">
        <f>RAND()</f>
        <v/>
      </c>
      <c r="AV836">
        <f>RAND()</f>
        <v/>
      </c>
      <c r="AW836">
        <f>RAND()</f>
        <v/>
      </c>
      <c r="AX836">
        <f>RAND()</f>
        <v/>
      </c>
      <c r="AY836">
        <f>RAND()</f>
        <v/>
      </c>
      <c r="AZ836">
        <f>RAND()</f>
        <v/>
      </c>
    </row>
    <row r="837">
      <c r="AK837" t="n">
        <v>824</v>
      </c>
      <c r="AL837">
        <f>IFERROR(IF(AU837&lt;($AM$6-$AL$6)/($AN$6-$AL$6),$AL$6+SQRT(AU837*($AN$6-$AL$6)*($AM$6-$AL$6)),$AN$6-SQRT((1-AU837)*($AN$6-$AL$6)*($AN$6-$AM$6))),$AM$6)</f>
        <v/>
      </c>
      <c r="AM837">
        <f>IFERROR(IF(AV837&lt;($AM$7-$AL$7)/($AN$7-$AL$7),$AL$7+SQRT(AV837*($AN$7-$AL$7)*($AM$7-$AL$7)),$AN$7-SQRT((1-AV837)*($AN$7-$AL$7)*($AN$7-$AM$7))),$AM$7)</f>
        <v/>
      </c>
      <c r="AN837">
        <f>IFERROR(IF(AW837&lt;($AM$8-$AL$8)/($AN$8-$AL$8),$AL$8+SQRT(AW837*($AN$8-$AL$8)*($AM$8-$AL$8)),$AN$8-SQRT((1-AW837)*($AN$8-$AL$8)*($AN$8-$AM$8))),$AM$8)</f>
        <v/>
      </c>
      <c r="AO837">
        <f>IFERROR(IF(AX837&lt;($AM$9-$AL$9)/($AN$9-$AL$9),$AL$9+SQRT(AX837*($AN$9-$AL$9)*($AM$9-$AL$9)),$AN$9-SQRT((1-AX837)*($AN$9-$AL$9)*($AN$9-$AM$9))),$AM$9)</f>
        <v/>
      </c>
      <c r="AP837">
        <f>IFERROR(IF(AY837&lt;($AM$10-$AL$10)/($AN$10-$AL$10),$AL$10+SQRT(AY837*($AN$10-$AL$10)*($AM$10-$AL$10)),$AN$10-SQRT((1-AY837)*($AN$10-$AL$10)*($AN$10-$AM$10))),$AM$10)</f>
        <v/>
      </c>
      <c r="AQ837">
        <f>IFERROR(IF(AZ837&lt;($AM$11-$AL$11)/($AN$11-$AL$11),$AL$11+SQRT(AZ837*($AN$11-$AL$11)*($AM$11-$AL$11)),$AN$11-SQRT((1-AZ837)*($AN$11-$AL$11)*($AN$11-$AM$11))),$AM$11)</f>
        <v/>
      </c>
      <c r="AR837">
        <f>SUMPRODUCT((B24:B31&lt;=$B$6)*(C24:C31*AM837+D24:D31*AO837*$B$8*AQ837)/(1+AL837/100)^B24:B31)+C32*AM837*AP837/(1+AL837/100)^$B$6</f>
        <v/>
      </c>
      <c r="AS837">
        <f>SUMPRODUCT((K24:K26&lt;=$B$6)*(L24:L26*AN837+M24:M26*AO837*$B$8*AQ837)/(1+AL837/100)^K24:K26)+L27*AN837*AP837/(1+AL837/100)^$B$6</f>
        <v/>
      </c>
      <c r="AT837">
        <f>AS837-AR837</f>
        <v/>
      </c>
      <c r="AU837">
        <f>RAND()</f>
        <v/>
      </c>
      <c r="AV837">
        <f>RAND()</f>
        <v/>
      </c>
      <c r="AW837">
        <f>RAND()</f>
        <v/>
      </c>
      <c r="AX837">
        <f>RAND()</f>
        <v/>
      </c>
      <c r="AY837">
        <f>RAND()</f>
        <v/>
      </c>
      <c r="AZ837">
        <f>RAND()</f>
        <v/>
      </c>
    </row>
    <row r="838">
      <c r="AK838" t="n">
        <v>825</v>
      </c>
      <c r="AL838">
        <f>IFERROR(IF(AU838&lt;($AM$6-$AL$6)/($AN$6-$AL$6),$AL$6+SQRT(AU838*($AN$6-$AL$6)*($AM$6-$AL$6)),$AN$6-SQRT((1-AU838)*($AN$6-$AL$6)*($AN$6-$AM$6))),$AM$6)</f>
        <v/>
      </c>
      <c r="AM838">
        <f>IFERROR(IF(AV838&lt;($AM$7-$AL$7)/($AN$7-$AL$7),$AL$7+SQRT(AV838*($AN$7-$AL$7)*($AM$7-$AL$7)),$AN$7-SQRT((1-AV838)*($AN$7-$AL$7)*($AN$7-$AM$7))),$AM$7)</f>
        <v/>
      </c>
      <c r="AN838">
        <f>IFERROR(IF(AW838&lt;($AM$8-$AL$8)/($AN$8-$AL$8),$AL$8+SQRT(AW838*($AN$8-$AL$8)*($AM$8-$AL$8)),$AN$8-SQRT((1-AW838)*($AN$8-$AL$8)*($AN$8-$AM$8))),$AM$8)</f>
        <v/>
      </c>
      <c r="AO838">
        <f>IFERROR(IF(AX838&lt;($AM$9-$AL$9)/($AN$9-$AL$9),$AL$9+SQRT(AX838*($AN$9-$AL$9)*($AM$9-$AL$9)),$AN$9-SQRT((1-AX838)*($AN$9-$AL$9)*($AN$9-$AM$9))),$AM$9)</f>
        <v/>
      </c>
      <c r="AP838">
        <f>IFERROR(IF(AY838&lt;($AM$10-$AL$10)/($AN$10-$AL$10),$AL$10+SQRT(AY838*($AN$10-$AL$10)*($AM$10-$AL$10)),$AN$10-SQRT((1-AY838)*($AN$10-$AL$10)*($AN$10-$AM$10))),$AM$10)</f>
        <v/>
      </c>
      <c r="AQ838">
        <f>IFERROR(IF(AZ838&lt;($AM$11-$AL$11)/($AN$11-$AL$11),$AL$11+SQRT(AZ838*($AN$11-$AL$11)*($AM$11-$AL$11)),$AN$11-SQRT((1-AZ838)*($AN$11-$AL$11)*($AN$11-$AM$11))),$AM$11)</f>
        <v/>
      </c>
      <c r="AR838">
        <f>SUMPRODUCT((B24:B31&lt;=$B$6)*(C24:C31*AM838+D24:D31*AO838*$B$8*AQ838)/(1+AL838/100)^B24:B31)+C32*AM838*AP838/(1+AL838/100)^$B$6</f>
        <v/>
      </c>
      <c r="AS838">
        <f>SUMPRODUCT((K24:K26&lt;=$B$6)*(L24:L26*AN838+M24:M26*AO838*$B$8*AQ838)/(1+AL838/100)^K24:K26)+L27*AN838*AP838/(1+AL838/100)^$B$6</f>
        <v/>
      </c>
      <c r="AT838">
        <f>AS838-AR838</f>
        <v/>
      </c>
      <c r="AU838">
        <f>RAND()</f>
        <v/>
      </c>
      <c r="AV838">
        <f>RAND()</f>
        <v/>
      </c>
      <c r="AW838">
        <f>RAND()</f>
        <v/>
      </c>
      <c r="AX838">
        <f>RAND()</f>
        <v/>
      </c>
      <c r="AY838">
        <f>RAND()</f>
        <v/>
      </c>
      <c r="AZ838">
        <f>RAND()</f>
        <v/>
      </c>
    </row>
    <row r="839">
      <c r="AK839" t="n">
        <v>826</v>
      </c>
      <c r="AL839">
        <f>IFERROR(IF(AU839&lt;($AM$6-$AL$6)/($AN$6-$AL$6),$AL$6+SQRT(AU839*($AN$6-$AL$6)*($AM$6-$AL$6)),$AN$6-SQRT((1-AU839)*($AN$6-$AL$6)*($AN$6-$AM$6))),$AM$6)</f>
        <v/>
      </c>
      <c r="AM839">
        <f>IFERROR(IF(AV839&lt;($AM$7-$AL$7)/($AN$7-$AL$7),$AL$7+SQRT(AV839*($AN$7-$AL$7)*($AM$7-$AL$7)),$AN$7-SQRT((1-AV839)*($AN$7-$AL$7)*($AN$7-$AM$7))),$AM$7)</f>
        <v/>
      </c>
      <c r="AN839">
        <f>IFERROR(IF(AW839&lt;($AM$8-$AL$8)/($AN$8-$AL$8),$AL$8+SQRT(AW839*($AN$8-$AL$8)*($AM$8-$AL$8)),$AN$8-SQRT((1-AW839)*($AN$8-$AL$8)*($AN$8-$AM$8))),$AM$8)</f>
        <v/>
      </c>
      <c r="AO839">
        <f>IFERROR(IF(AX839&lt;($AM$9-$AL$9)/($AN$9-$AL$9),$AL$9+SQRT(AX839*($AN$9-$AL$9)*($AM$9-$AL$9)),$AN$9-SQRT((1-AX839)*($AN$9-$AL$9)*($AN$9-$AM$9))),$AM$9)</f>
        <v/>
      </c>
      <c r="AP839">
        <f>IFERROR(IF(AY839&lt;($AM$10-$AL$10)/($AN$10-$AL$10),$AL$10+SQRT(AY839*($AN$10-$AL$10)*($AM$10-$AL$10)),$AN$10-SQRT((1-AY839)*($AN$10-$AL$10)*($AN$10-$AM$10))),$AM$10)</f>
        <v/>
      </c>
      <c r="AQ839">
        <f>IFERROR(IF(AZ839&lt;($AM$11-$AL$11)/($AN$11-$AL$11),$AL$11+SQRT(AZ839*($AN$11-$AL$11)*($AM$11-$AL$11)),$AN$11-SQRT((1-AZ839)*($AN$11-$AL$11)*($AN$11-$AM$11))),$AM$11)</f>
        <v/>
      </c>
      <c r="AR839">
        <f>SUMPRODUCT((B24:B31&lt;=$B$6)*(C24:C31*AM839+D24:D31*AO839*$B$8*AQ839)/(1+AL839/100)^B24:B31)+C32*AM839*AP839/(1+AL839/100)^$B$6</f>
        <v/>
      </c>
      <c r="AS839">
        <f>SUMPRODUCT((K24:K26&lt;=$B$6)*(L24:L26*AN839+M24:M26*AO839*$B$8*AQ839)/(1+AL839/100)^K24:K26)+L27*AN839*AP839/(1+AL839/100)^$B$6</f>
        <v/>
      </c>
      <c r="AT839">
        <f>AS839-AR839</f>
        <v/>
      </c>
      <c r="AU839">
        <f>RAND()</f>
        <v/>
      </c>
      <c r="AV839">
        <f>RAND()</f>
        <v/>
      </c>
      <c r="AW839">
        <f>RAND()</f>
        <v/>
      </c>
      <c r="AX839">
        <f>RAND()</f>
        <v/>
      </c>
      <c r="AY839">
        <f>RAND()</f>
        <v/>
      </c>
      <c r="AZ839">
        <f>RAND()</f>
        <v/>
      </c>
    </row>
    <row r="840">
      <c r="AK840" t="n">
        <v>827</v>
      </c>
      <c r="AL840">
        <f>IFERROR(IF(AU840&lt;($AM$6-$AL$6)/($AN$6-$AL$6),$AL$6+SQRT(AU840*($AN$6-$AL$6)*($AM$6-$AL$6)),$AN$6-SQRT((1-AU840)*($AN$6-$AL$6)*($AN$6-$AM$6))),$AM$6)</f>
        <v/>
      </c>
      <c r="AM840">
        <f>IFERROR(IF(AV840&lt;($AM$7-$AL$7)/($AN$7-$AL$7),$AL$7+SQRT(AV840*($AN$7-$AL$7)*($AM$7-$AL$7)),$AN$7-SQRT((1-AV840)*($AN$7-$AL$7)*($AN$7-$AM$7))),$AM$7)</f>
        <v/>
      </c>
      <c r="AN840">
        <f>IFERROR(IF(AW840&lt;($AM$8-$AL$8)/($AN$8-$AL$8),$AL$8+SQRT(AW840*($AN$8-$AL$8)*($AM$8-$AL$8)),$AN$8-SQRT((1-AW840)*($AN$8-$AL$8)*($AN$8-$AM$8))),$AM$8)</f>
        <v/>
      </c>
      <c r="AO840">
        <f>IFERROR(IF(AX840&lt;($AM$9-$AL$9)/($AN$9-$AL$9),$AL$9+SQRT(AX840*($AN$9-$AL$9)*($AM$9-$AL$9)),$AN$9-SQRT((1-AX840)*($AN$9-$AL$9)*($AN$9-$AM$9))),$AM$9)</f>
        <v/>
      </c>
      <c r="AP840">
        <f>IFERROR(IF(AY840&lt;($AM$10-$AL$10)/($AN$10-$AL$10),$AL$10+SQRT(AY840*($AN$10-$AL$10)*($AM$10-$AL$10)),$AN$10-SQRT((1-AY840)*($AN$10-$AL$10)*($AN$10-$AM$10))),$AM$10)</f>
        <v/>
      </c>
      <c r="AQ840">
        <f>IFERROR(IF(AZ840&lt;($AM$11-$AL$11)/($AN$11-$AL$11),$AL$11+SQRT(AZ840*($AN$11-$AL$11)*($AM$11-$AL$11)),$AN$11-SQRT((1-AZ840)*($AN$11-$AL$11)*($AN$11-$AM$11))),$AM$11)</f>
        <v/>
      </c>
      <c r="AR840">
        <f>SUMPRODUCT((B24:B31&lt;=$B$6)*(C24:C31*AM840+D24:D31*AO840*$B$8*AQ840)/(1+AL840/100)^B24:B31)+C32*AM840*AP840/(1+AL840/100)^$B$6</f>
        <v/>
      </c>
      <c r="AS840">
        <f>SUMPRODUCT((K24:K26&lt;=$B$6)*(L24:L26*AN840+M24:M26*AO840*$B$8*AQ840)/(1+AL840/100)^K24:K26)+L27*AN840*AP840/(1+AL840/100)^$B$6</f>
        <v/>
      </c>
      <c r="AT840">
        <f>AS840-AR840</f>
        <v/>
      </c>
      <c r="AU840">
        <f>RAND()</f>
        <v/>
      </c>
      <c r="AV840">
        <f>RAND()</f>
        <v/>
      </c>
      <c r="AW840">
        <f>RAND()</f>
        <v/>
      </c>
      <c r="AX840">
        <f>RAND()</f>
        <v/>
      </c>
      <c r="AY840">
        <f>RAND()</f>
        <v/>
      </c>
      <c r="AZ840">
        <f>RAND()</f>
        <v/>
      </c>
    </row>
    <row r="841">
      <c r="AK841" t="n">
        <v>828</v>
      </c>
      <c r="AL841">
        <f>IFERROR(IF(AU841&lt;($AM$6-$AL$6)/($AN$6-$AL$6),$AL$6+SQRT(AU841*($AN$6-$AL$6)*($AM$6-$AL$6)),$AN$6-SQRT((1-AU841)*($AN$6-$AL$6)*($AN$6-$AM$6))),$AM$6)</f>
        <v/>
      </c>
      <c r="AM841">
        <f>IFERROR(IF(AV841&lt;($AM$7-$AL$7)/($AN$7-$AL$7),$AL$7+SQRT(AV841*($AN$7-$AL$7)*($AM$7-$AL$7)),$AN$7-SQRT((1-AV841)*($AN$7-$AL$7)*($AN$7-$AM$7))),$AM$7)</f>
        <v/>
      </c>
      <c r="AN841">
        <f>IFERROR(IF(AW841&lt;($AM$8-$AL$8)/($AN$8-$AL$8),$AL$8+SQRT(AW841*($AN$8-$AL$8)*($AM$8-$AL$8)),$AN$8-SQRT((1-AW841)*($AN$8-$AL$8)*($AN$8-$AM$8))),$AM$8)</f>
        <v/>
      </c>
      <c r="AO841">
        <f>IFERROR(IF(AX841&lt;($AM$9-$AL$9)/($AN$9-$AL$9),$AL$9+SQRT(AX841*($AN$9-$AL$9)*($AM$9-$AL$9)),$AN$9-SQRT((1-AX841)*($AN$9-$AL$9)*($AN$9-$AM$9))),$AM$9)</f>
        <v/>
      </c>
      <c r="AP841">
        <f>IFERROR(IF(AY841&lt;($AM$10-$AL$10)/($AN$10-$AL$10),$AL$10+SQRT(AY841*($AN$10-$AL$10)*($AM$10-$AL$10)),$AN$10-SQRT((1-AY841)*($AN$10-$AL$10)*($AN$10-$AM$10))),$AM$10)</f>
        <v/>
      </c>
      <c r="AQ841">
        <f>IFERROR(IF(AZ841&lt;($AM$11-$AL$11)/($AN$11-$AL$11),$AL$11+SQRT(AZ841*($AN$11-$AL$11)*($AM$11-$AL$11)),$AN$11-SQRT((1-AZ841)*($AN$11-$AL$11)*($AN$11-$AM$11))),$AM$11)</f>
        <v/>
      </c>
      <c r="AR841">
        <f>SUMPRODUCT((B24:B31&lt;=$B$6)*(C24:C31*AM841+D24:D31*AO841*$B$8*AQ841)/(1+AL841/100)^B24:B31)+C32*AM841*AP841/(1+AL841/100)^$B$6</f>
        <v/>
      </c>
      <c r="AS841">
        <f>SUMPRODUCT((K24:K26&lt;=$B$6)*(L24:L26*AN841+M24:M26*AO841*$B$8*AQ841)/(1+AL841/100)^K24:K26)+L27*AN841*AP841/(1+AL841/100)^$B$6</f>
        <v/>
      </c>
      <c r="AT841">
        <f>AS841-AR841</f>
        <v/>
      </c>
      <c r="AU841">
        <f>RAND()</f>
        <v/>
      </c>
      <c r="AV841">
        <f>RAND()</f>
        <v/>
      </c>
      <c r="AW841">
        <f>RAND()</f>
        <v/>
      </c>
      <c r="AX841">
        <f>RAND()</f>
        <v/>
      </c>
      <c r="AY841">
        <f>RAND()</f>
        <v/>
      </c>
      <c r="AZ841">
        <f>RAND()</f>
        <v/>
      </c>
    </row>
    <row r="842">
      <c r="AK842" t="n">
        <v>829</v>
      </c>
      <c r="AL842">
        <f>IFERROR(IF(AU842&lt;($AM$6-$AL$6)/($AN$6-$AL$6),$AL$6+SQRT(AU842*($AN$6-$AL$6)*($AM$6-$AL$6)),$AN$6-SQRT((1-AU842)*($AN$6-$AL$6)*($AN$6-$AM$6))),$AM$6)</f>
        <v/>
      </c>
      <c r="AM842">
        <f>IFERROR(IF(AV842&lt;($AM$7-$AL$7)/($AN$7-$AL$7),$AL$7+SQRT(AV842*($AN$7-$AL$7)*($AM$7-$AL$7)),$AN$7-SQRT((1-AV842)*($AN$7-$AL$7)*($AN$7-$AM$7))),$AM$7)</f>
        <v/>
      </c>
      <c r="AN842">
        <f>IFERROR(IF(AW842&lt;($AM$8-$AL$8)/($AN$8-$AL$8),$AL$8+SQRT(AW842*($AN$8-$AL$8)*($AM$8-$AL$8)),$AN$8-SQRT((1-AW842)*($AN$8-$AL$8)*($AN$8-$AM$8))),$AM$8)</f>
        <v/>
      </c>
      <c r="AO842">
        <f>IFERROR(IF(AX842&lt;($AM$9-$AL$9)/($AN$9-$AL$9),$AL$9+SQRT(AX842*($AN$9-$AL$9)*($AM$9-$AL$9)),$AN$9-SQRT((1-AX842)*($AN$9-$AL$9)*($AN$9-$AM$9))),$AM$9)</f>
        <v/>
      </c>
      <c r="AP842">
        <f>IFERROR(IF(AY842&lt;($AM$10-$AL$10)/($AN$10-$AL$10),$AL$10+SQRT(AY842*($AN$10-$AL$10)*($AM$10-$AL$10)),$AN$10-SQRT((1-AY842)*($AN$10-$AL$10)*($AN$10-$AM$10))),$AM$10)</f>
        <v/>
      </c>
      <c r="AQ842">
        <f>IFERROR(IF(AZ842&lt;($AM$11-$AL$11)/($AN$11-$AL$11),$AL$11+SQRT(AZ842*($AN$11-$AL$11)*($AM$11-$AL$11)),$AN$11-SQRT((1-AZ842)*($AN$11-$AL$11)*($AN$11-$AM$11))),$AM$11)</f>
        <v/>
      </c>
      <c r="AR842">
        <f>SUMPRODUCT((B24:B31&lt;=$B$6)*(C24:C31*AM842+D24:D31*AO842*$B$8*AQ842)/(1+AL842/100)^B24:B31)+C32*AM842*AP842/(1+AL842/100)^$B$6</f>
        <v/>
      </c>
      <c r="AS842">
        <f>SUMPRODUCT((K24:K26&lt;=$B$6)*(L24:L26*AN842+M24:M26*AO842*$B$8*AQ842)/(1+AL842/100)^K24:K26)+L27*AN842*AP842/(1+AL842/100)^$B$6</f>
        <v/>
      </c>
      <c r="AT842">
        <f>AS842-AR842</f>
        <v/>
      </c>
      <c r="AU842">
        <f>RAND()</f>
        <v/>
      </c>
      <c r="AV842">
        <f>RAND()</f>
        <v/>
      </c>
      <c r="AW842">
        <f>RAND()</f>
        <v/>
      </c>
      <c r="AX842">
        <f>RAND()</f>
        <v/>
      </c>
      <c r="AY842">
        <f>RAND()</f>
        <v/>
      </c>
      <c r="AZ842">
        <f>RAND()</f>
        <v/>
      </c>
    </row>
    <row r="843">
      <c r="AK843" t="n">
        <v>830</v>
      </c>
      <c r="AL843">
        <f>IFERROR(IF(AU843&lt;($AM$6-$AL$6)/($AN$6-$AL$6),$AL$6+SQRT(AU843*($AN$6-$AL$6)*($AM$6-$AL$6)),$AN$6-SQRT((1-AU843)*($AN$6-$AL$6)*($AN$6-$AM$6))),$AM$6)</f>
        <v/>
      </c>
      <c r="AM843">
        <f>IFERROR(IF(AV843&lt;($AM$7-$AL$7)/($AN$7-$AL$7),$AL$7+SQRT(AV843*($AN$7-$AL$7)*($AM$7-$AL$7)),$AN$7-SQRT((1-AV843)*($AN$7-$AL$7)*($AN$7-$AM$7))),$AM$7)</f>
        <v/>
      </c>
      <c r="AN843">
        <f>IFERROR(IF(AW843&lt;($AM$8-$AL$8)/($AN$8-$AL$8),$AL$8+SQRT(AW843*($AN$8-$AL$8)*($AM$8-$AL$8)),$AN$8-SQRT((1-AW843)*($AN$8-$AL$8)*($AN$8-$AM$8))),$AM$8)</f>
        <v/>
      </c>
      <c r="AO843">
        <f>IFERROR(IF(AX843&lt;($AM$9-$AL$9)/($AN$9-$AL$9),$AL$9+SQRT(AX843*($AN$9-$AL$9)*($AM$9-$AL$9)),$AN$9-SQRT((1-AX843)*($AN$9-$AL$9)*($AN$9-$AM$9))),$AM$9)</f>
        <v/>
      </c>
      <c r="AP843">
        <f>IFERROR(IF(AY843&lt;($AM$10-$AL$10)/($AN$10-$AL$10),$AL$10+SQRT(AY843*($AN$10-$AL$10)*($AM$10-$AL$10)),$AN$10-SQRT((1-AY843)*($AN$10-$AL$10)*($AN$10-$AM$10))),$AM$10)</f>
        <v/>
      </c>
      <c r="AQ843">
        <f>IFERROR(IF(AZ843&lt;($AM$11-$AL$11)/($AN$11-$AL$11),$AL$11+SQRT(AZ843*($AN$11-$AL$11)*($AM$11-$AL$11)),$AN$11-SQRT((1-AZ843)*($AN$11-$AL$11)*($AN$11-$AM$11))),$AM$11)</f>
        <v/>
      </c>
      <c r="AR843">
        <f>SUMPRODUCT((B24:B31&lt;=$B$6)*(C24:C31*AM843+D24:D31*AO843*$B$8*AQ843)/(1+AL843/100)^B24:B31)+C32*AM843*AP843/(1+AL843/100)^$B$6</f>
        <v/>
      </c>
      <c r="AS843">
        <f>SUMPRODUCT((K24:K26&lt;=$B$6)*(L24:L26*AN843+M24:M26*AO843*$B$8*AQ843)/(1+AL843/100)^K24:K26)+L27*AN843*AP843/(1+AL843/100)^$B$6</f>
        <v/>
      </c>
      <c r="AT843">
        <f>AS843-AR843</f>
        <v/>
      </c>
      <c r="AU843">
        <f>RAND()</f>
        <v/>
      </c>
      <c r="AV843">
        <f>RAND()</f>
        <v/>
      </c>
      <c r="AW843">
        <f>RAND()</f>
        <v/>
      </c>
      <c r="AX843">
        <f>RAND()</f>
        <v/>
      </c>
      <c r="AY843">
        <f>RAND()</f>
        <v/>
      </c>
      <c r="AZ843">
        <f>RAND()</f>
        <v/>
      </c>
    </row>
    <row r="844">
      <c r="AK844" t="n">
        <v>831</v>
      </c>
      <c r="AL844">
        <f>IFERROR(IF(AU844&lt;($AM$6-$AL$6)/($AN$6-$AL$6),$AL$6+SQRT(AU844*($AN$6-$AL$6)*($AM$6-$AL$6)),$AN$6-SQRT((1-AU844)*($AN$6-$AL$6)*($AN$6-$AM$6))),$AM$6)</f>
        <v/>
      </c>
      <c r="AM844">
        <f>IFERROR(IF(AV844&lt;($AM$7-$AL$7)/($AN$7-$AL$7),$AL$7+SQRT(AV844*($AN$7-$AL$7)*($AM$7-$AL$7)),$AN$7-SQRT((1-AV844)*($AN$7-$AL$7)*($AN$7-$AM$7))),$AM$7)</f>
        <v/>
      </c>
      <c r="AN844">
        <f>IFERROR(IF(AW844&lt;($AM$8-$AL$8)/($AN$8-$AL$8),$AL$8+SQRT(AW844*($AN$8-$AL$8)*($AM$8-$AL$8)),$AN$8-SQRT((1-AW844)*($AN$8-$AL$8)*($AN$8-$AM$8))),$AM$8)</f>
        <v/>
      </c>
      <c r="AO844">
        <f>IFERROR(IF(AX844&lt;($AM$9-$AL$9)/($AN$9-$AL$9),$AL$9+SQRT(AX844*($AN$9-$AL$9)*($AM$9-$AL$9)),$AN$9-SQRT((1-AX844)*($AN$9-$AL$9)*($AN$9-$AM$9))),$AM$9)</f>
        <v/>
      </c>
      <c r="AP844">
        <f>IFERROR(IF(AY844&lt;($AM$10-$AL$10)/($AN$10-$AL$10),$AL$10+SQRT(AY844*($AN$10-$AL$10)*($AM$10-$AL$10)),$AN$10-SQRT((1-AY844)*($AN$10-$AL$10)*($AN$10-$AM$10))),$AM$10)</f>
        <v/>
      </c>
      <c r="AQ844">
        <f>IFERROR(IF(AZ844&lt;($AM$11-$AL$11)/($AN$11-$AL$11),$AL$11+SQRT(AZ844*($AN$11-$AL$11)*($AM$11-$AL$11)),$AN$11-SQRT((1-AZ844)*($AN$11-$AL$11)*($AN$11-$AM$11))),$AM$11)</f>
        <v/>
      </c>
      <c r="AR844">
        <f>SUMPRODUCT((B24:B31&lt;=$B$6)*(C24:C31*AM844+D24:D31*AO844*$B$8*AQ844)/(1+AL844/100)^B24:B31)+C32*AM844*AP844/(1+AL844/100)^$B$6</f>
        <v/>
      </c>
      <c r="AS844">
        <f>SUMPRODUCT((K24:K26&lt;=$B$6)*(L24:L26*AN844+M24:M26*AO844*$B$8*AQ844)/(1+AL844/100)^K24:K26)+L27*AN844*AP844/(1+AL844/100)^$B$6</f>
        <v/>
      </c>
      <c r="AT844">
        <f>AS844-AR844</f>
        <v/>
      </c>
      <c r="AU844">
        <f>RAND()</f>
        <v/>
      </c>
      <c r="AV844">
        <f>RAND()</f>
        <v/>
      </c>
      <c r="AW844">
        <f>RAND()</f>
        <v/>
      </c>
      <c r="AX844">
        <f>RAND()</f>
        <v/>
      </c>
      <c r="AY844">
        <f>RAND()</f>
        <v/>
      </c>
      <c r="AZ844">
        <f>RAND()</f>
        <v/>
      </c>
    </row>
    <row r="845">
      <c r="AK845" t="n">
        <v>832</v>
      </c>
      <c r="AL845">
        <f>IFERROR(IF(AU845&lt;($AM$6-$AL$6)/($AN$6-$AL$6),$AL$6+SQRT(AU845*($AN$6-$AL$6)*($AM$6-$AL$6)),$AN$6-SQRT((1-AU845)*($AN$6-$AL$6)*($AN$6-$AM$6))),$AM$6)</f>
        <v/>
      </c>
      <c r="AM845">
        <f>IFERROR(IF(AV845&lt;($AM$7-$AL$7)/($AN$7-$AL$7),$AL$7+SQRT(AV845*($AN$7-$AL$7)*($AM$7-$AL$7)),$AN$7-SQRT((1-AV845)*($AN$7-$AL$7)*($AN$7-$AM$7))),$AM$7)</f>
        <v/>
      </c>
      <c r="AN845">
        <f>IFERROR(IF(AW845&lt;($AM$8-$AL$8)/($AN$8-$AL$8),$AL$8+SQRT(AW845*($AN$8-$AL$8)*($AM$8-$AL$8)),$AN$8-SQRT((1-AW845)*($AN$8-$AL$8)*($AN$8-$AM$8))),$AM$8)</f>
        <v/>
      </c>
      <c r="AO845">
        <f>IFERROR(IF(AX845&lt;($AM$9-$AL$9)/($AN$9-$AL$9),$AL$9+SQRT(AX845*($AN$9-$AL$9)*($AM$9-$AL$9)),$AN$9-SQRT((1-AX845)*($AN$9-$AL$9)*($AN$9-$AM$9))),$AM$9)</f>
        <v/>
      </c>
      <c r="AP845">
        <f>IFERROR(IF(AY845&lt;($AM$10-$AL$10)/($AN$10-$AL$10),$AL$10+SQRT(AY845*($AN$10-$AL$10)*($AM$10-$AL$10)),$AN$10-SQRT((1-AY845)*($AN$10-$AL$10)*($AN$10-$AM$10))),$AM$10)</f>
        <v/>
      </c>
      <c r="AQ845">
        <f>IFERROR(IF(AZ845&lt;($AM$11-$AL$11)/($AN$11-$AL$11),$AL$11+SQRT(AZ845*($AN$11-$AL$11)*($AM$11-$AL$11)),$AN$11-SQRT((1-AZ845)*($AN$11-$AL$11)*($AN$11-$AM$11))),$AM$11)</f>
        <v/>
      </c>
      <c r="AR845">
        <f>SUMPRODUCT((B24:B31&lt;=$B$6)*(C24:C31*AM845+D24:D31*AO845*$B$8*AQ845)/(1+AL845/100)^B24:B31)+C32*AM845*AP845/(1+AL845/100)^$B$6</f>
        <v/>
      </c>
      <c r="AS845">
        <f>SUMPRODUCT((K24:K26&lt;=$B$6)*(L24:L26*AN845+M24:M26*AO845*$B$8*AQ845)/(1+AL845/100)^K24:K26)+L27*AN845*AP845/(1+AL845/100)^$B$6</f>
        <v/>
      </c>
      <c r="AT845">
        <f>AS845-AR845</f>
        <v/>
      </c>
      <c r="AU845">
        <f>RAND()</f>
        <v/>
      </c>
      <c r="AV845">
        <f>RAND()</f>
        <v/>
      </c>
      <c r="AW845">
        <f>RAND()</f>
        <v/>
      </c>
      <c r="AX845">
        <f>RAND()</f>
        <v/>
      </c>
      <c r="AY845">
        <f>RAND()</f>
        <v/>
      </c>
      <c r="AZ845">
        <f>RAND()</f>
        <v/>
      </c>
    </row>
    <row r="846">
      <c r="AK846" t="n">
        <v>833</v>
      </c>
      <c r="AL846">
        <f>IFERROR(IF(AU846&lt;($AM$6-$AL$6)/($AN$6-$AL$6),$AL$6+SQRT(AU846*($AN$6-$AL$6)*($AM$6-$AL$6)),$AN$6-SQRT((1-AU846)*($AN$6-$AL$6)*($AN$6-$AM$6))),$AM$6)</f>
        <v/>
      </c>
      <c r="AM846">
        <f>IFERROR(IF(AV846&lt;($AM$7-$AL$7)/($AN$7-$AL$7),$AL$7+SQRT(AV846*($AN$7-$AL$7)*($AM$7-$AL$7)),$AN$7-SQRT((1-AV846)*($AN$7-$AL$7)*($AN$7-$AM$7))),$AM$7)</f>
        <v/>
      </c>
      <c r="AN846">
        <f>IFERROR(IF(AW846&lt;($AM$8-$AL$8)/($AN$8-$AL$8),$AL$8+SQRT(AW846*($AN$8-$AL$8)*($AM$8-$AL$8)),$AN$8-SQRT((1-AW846)*($AN$8-$AL$8)*($AN$8-$AM$8))),$AM$8)</f>
        <v/>
      </c>
      <c r="AO846">
        <f>IFERROR(IF(AX846&lt;($AM$9-$AL$9)/($AN$9-$AL$9),$AL$9+SQRT(AX846*($AN$9-$AL$9)*($AM$9-$AL$9)),$AN$9-SQRT((1-AX846)*($AN$9-$AL$9)*($AN$9-$AM$9))),$AM$9)</f>
        <v/>
      </c>
      <c r="AP846">
        <f>IFERROR(IF(AY846&lt;($AM$10-$AL$10)/($AN$10-$AL$10),$AL$10+SQRT(AY846*($AN$10-$AL$10)*($AM$10-$AL$10)),$AN$10-SQRT((1-AY846)*($AN$10-$AL$10)*($AN$10-$AM$10))),$AM$10)</f>
        <v/>
      </c>
      <c r="AQ846">
        <f>IFERROR(IF(AZ846&lt;($AM$11-$AL$11)/($AN$11-$AL$11),$AL$11+SQRT(AZ846*($AN$11-$AL$11)*($AM$11-$AL$11)),$AN$11-SQRT((1-AZ846)*($AN$11-$AL$11)*($AN$11-$AM$11))),$AM$11)</f>
        <v/>
      </c>
      <c r="AR846">
        <f>SUMPRODUCT((B24:B31&lt;=$B$6)*(C24:C31*AM846+D24:D31*AO846*$B$8*AQ846)/(1+AL846/100)^B24:B31)+C32*AM846*AP846/(1+AL846/100)^$B$6</f>
        <v/>
      </c>
      <c r="AS846">
        <f>SUMPRODUCT((K24:K26&lt;=$B$6)*(L24:L26*AN846+M24:M26*AO846*$B$8*AQ846)/(1+AL846/100)^K24:K26)+L27*AN846*AP846/(1+AL846/100)^$B$6</f>
        <v/>
      </c>
      <c r="AT846">
        <f>AS846-AR846</f>
        <v/>
      </c>
      <c r="AU846">
        <f>RAND()</f>
        <v/>
      </c>
      <c r="AV846">
        <f>RAND()</f>
        <v/>
      </c>
      <c r="AW846">
        <f>RAND()</f>
        <v/>
      </c>
      <c r="AX846">
        <f>RAND()</f>
        <v/>
      </c>
      <c r="AY846">
        <f>RAND()</f>
        <v/>
      </c>
      <c r="AZ846">
        <f>RAND()</f>
        <v/>
      </c>
    </row>
    <row r="847">
      <c r="AK847" t="n">
        <v>834</v>
      </c>
      <c r="AL847">
        <f>IFERROR(IF(AU847&lt;($AM$6-$AL$6)/($AN$6-$AL$6),$AL$6+SQRT(AU847*($AN$6-$AL$6)*($AM$6-$AL$6)),$AN$6-SQRT((1-AU847)*($AN$6-$AL$6)*($AN$6-$AM$6))),$AM$6)</f>
        <v/>
      </c>
      <c r="AM847">
        <f>IFERROR(IF(AV847&lt;($AM$7-$AL$7)/($AN$7-$AL$7),$AL$7+SQRT(AV847*($AN$7-$AL$7)*($AM$7-$AL$7)),$AN$7-SQRT((1-AV847)*($AN$7-$AL$7)*($AN$7-$AM$7))),$AM$7)</f>
        <v/>
      </c>
      <c r="AN847">
        <f>IFERROR(IF(AW847&lt;($AM$8-$AL$8)/($AN$8-$AL$8),$AL$8+SQRT(AW847*($AN$8-$AL$8)*($AM$8-$AL$8)),$AN$8-SQRT((1-AW847)*($AN$8-$AL$8)*($AN$8-$AM$8))),$AM$8)</f>
        <v/>
      </c>
      <c r="AO847">
        <f>IFERROR(IF(AX847&lt;($AM$9-$AL$9)/($AN$9-$AL$9),$AL$9+SQRT(AX847*($AN$9-$AL$9)*($AM$9-$AL$9)),$AN$9-SQRT((1-AX847)*($AN$9-$AL$9)*($AN$9-$AM$9))),$AM$9)</f>
        <v/>
      </c>
      <c r="AP847">
        <f>IFERROR(IF(AY847&lt;($AM$10-$AL$10)/($AN$10-$AL$10),$AL$10+SQRT(AY847*($AN$10-$AL$10)*($AM$10-$AL$10)),$AN$10-SQRT((1-AY847)*($AN$10-$AL$10)*($AN$10-$AM$10))),$AM$10)</f>
        <v/>
      </c>
      <c r="AQ847">
        <f>IFERROR(IF(AZ847&lt;($AM$11-$AL$11)/($AN$11-$AL$11),$AL$11+SQRT(AZ847*($AN$11-$AL$11)*($AM$11-$AL$11)),$AN$11-SQRT((1-AZ847)*($AN$11-$AL$11)*($AN$11-$AM$11))),$AM$11)</f>
        <v/>
      </c>
      <c r="AR847">
        <f>SUMPRODUCT((B24:B31&lt;=$B$6)*(C24:C31*AM847+D24:D31*AO847*$B$8*AQ847)/(1+AL847/100)^B24:B31)+C32*AM847*AP847/(1+AL847/100)^$B$6</f>
        <v/>
      </c>
      <c r="AS847">
        <f>SUMPRODUCT((K24:K26&lt;=$B$6)*(L24:L26*AN847+M24:M26*AO847*$B$8*AQ847)/(1+AL847/100)^K24:K26)+L27*AN847*AP847/(1+AL847/100)^$B$6</f>
        <v/>
      </c>
      <c r="AT847">
        <f>AS847-AR847</f>
        <v/>
      </c>
      <c r="AU847">
        <f>RAND()</f>
        <v/>
      </c>
      <c r="AV847">
        <f>RAND()</f>
        <v/>
      </c>
      <c r="AW847">
        <f>RAND()</f>
        <v/>
      </c>
      <c r="AX847">
        <f>RAND()</f>
        <v/>
      </c>
      <c r="AY847">
        <f>RAND()</f>
        <v/>
      </c>
      <c r="AZ847">
        <f>RAND()</f>
        <v/>
      </c>
    </row>
    <row r="848">
      <c r="AK848" t="n">
        <v>835</v>
      </c>
      <c r="AL848">
        <f>IFERROR(IF(AU848&lt;($AM$6-$AL$6)/($AN$6-$AL$6),$AL$6+SQRT(AU848*($AN$6-$AL$6)*($AM$6-$AL$6)),$AN$6-SQRT((1-AU848)*($AN$6-$AL$6)*($AN$6-$AM$6))),$AM$6)</f>
        <v/>
      </c>
      <c r="AM848">
        <f>IFERROR(IF(AV848&lt;($AM$7-$AL$7)/($AN$7-$AL$7),$AL$7+SQRT(AV848*($AN$7-$AL$7)*($AM$7-$AL$7)),$AN$7-SQRT((1-AV848)*($AN$7-$AL$7)*($AN$7-$AM$7))),$AM$7)</f>
        <v/>
      </c>
      <c r="AN848">
        <f>IFERROR(IF(AW848&lt;($AM$8-$AL$8)/($AN$8-$AL$8),$AL$8+SQRT(AW848*($AN$8-$AL$8)*($AM$8-$AL$8)),$AN$8-SQRT((1-AW848)*($AN$8-$AL$8)*($AN$8-$AM$8))),$AM$8)</f>
        <v/>
      </c>
      <c r="AO848">
        <f>IFERROR(IF(AX848&lt;($AM$9-$AL$9)/($AN$9-$AL$9),$AL$9+SQRT(AX848*($AN$9-$AL$9)*($AM$9-$AL$9)),$AN$9-SQRT((1-AX848)*($AN$9-$AL$9)*($AN$9-$AM$9))),$AM$9)</f>
        <v/>
      </c>
      <c r="AP848">
        <f>IFERROR(IF(AY848&lt;($AM$10-$AL$10)/($AN$10-$AL$10),$AL$10+SQRT(AY848*($AN$10-$AL$10)*($AM$10-$AL$10)),$AN$10-SQRT((1-AY848)*($AN$10-$AL$10)*($AN$10-$AM$10))),$AM$10)</f>
        <v/>
      </c>
      <c r="AQ848">
        <f>IFERROR(IF(AZ848&lt;($AM$11-$AL$11)/($AN$11-$AL$11),$AL$11+SQRT(AZ848*($AN$11-$AL$11)*($AM$11-$AL$11)),$AN$11-SQRT((1-AZ848)*($AN$11-$AL$11)*($AN$11-$AM$11))),$AM$11)</f>
        <v/>
      </c>
      <c r="AR848">
        <f>SUMPRODUCT((B24:B31&lt;=$B$6)*(C24:C31*AM848+D24:D31*AO848*$B$8*AQ848)/(1+AL848/100)^B24:B31)+C32*AM848*AP848/(1+AL848/100)^$B$6</f>
        <v/>
      </c>
      <c r="AS848">
        <f>SUMPRODUCT((K24:K26&lt;=$B$6)*(L24:L26*AN848+M24:M26*AO848*$B$8*AQ848)/(1+AL848/100)^K24:K26)+L27*AN848*AP848/(1+AL848/100)^$B$6</f>
        <v/>
      </c>
      <c r="AT848">
        <f>AS848-AR848</f>
        <v/>
      </c>
      <c r="AU848">
        <f>RAND()</f>
        <v/>
      </c>
      <c r="AV848">
        <f>RAND()</f>
        <v/>
      </c>
      <c r="AW848">
        <f>RAND()</f>
        <v/>
      </c>
      <c r="AX848">
        <f>RAND()</f>
        <v/>
      </c>
      <c r="AY848">
        <f>RAND()</f>
        <v/>
      </c>
      <c r="AZ848">
        <f>RAND()</f>
        <v/>
      </c>
    </row>
    <row r="849">
      <c r="AK849" t="n">
        <v>836</v>
      </c>
      <c r="AL849">
        <f>IFERROR(IF(AU849&lt;($AM$6-$AL$6)/($AN$6-$AL$6),$AL$6+SQRT(AU849*($AN$6-$AL$6)*($AM$6-$AL$6)),$AN$6-SQRT((1-AU849)*($AN$6-$AL$6)*($AN$6-$AM$6))),$AM$6)</f>
        <v/>
      </c>
      <c r="AM849">
        <f>IFERROR(IF(AV849&lt;($AM$7-$AL$7)/($AN$7-$AL$7),$AL$7+SQRT(AV849*($AN$7-$AL$7)*($AM$7-$AL$7)),$AN$7-SQRT((1-AV849)*($AN$7-$AL$7)*($AN$7-$AM$7))),$AM$7)</f>
        <v/>
      </c>
      <c r="AN849">
        <f>IFERROR(IF(AW849&lt;($AM$8-$AL$8)/($AN$8-$AL$8),$AL$8+SQRT(AW849*($AN$8-$AL$8)*($AM$8-$AL$8)),$AN$8-SQRT((1-AW849)*($AN$8-$AL$8)*($AN$8-$AM$8))),$AM$8)</f>
        <v/>
      </c>
      <c r="AO849">
        <f>IFERROR(IF(AX849&lt;($AM$9-$AL$9)/($AN$9-$AL$9),$AL$9+SQRT(AX849*($AN$9-$AL$9)*($AM$9-$AL$9)),$AN$9-SQRT((1-AX849)*($AN$9-$AL$9)*($AN$9-$AM$9))),$AM$9)</f>
        <v/>
      </c>
      <c r="AP849">
        <f>IFERROR(IF(AY849&lt;($AM$10-$AL$10)/($AN$10-$AL$10),$AL$10+SQRT(AY849*($AN$10-$AL$10)*($AM$10-$AL$10)),$AN$10-SQRT((1-AY849)*($AN$10-$AL$10)*($AN$10-$AM$10))),$AM$10)</f>
        <v/>
      </c>
      <c r="AQ849">
        <f>IFERROR(IF(AZ849&lt;($AM$11-$AL$11)/($AN$11-$AL$11),$AL$11+SQRT(AZ849*($AN$11-$AL$11)*($AM$11-$AL$11)),$AN$11-SQRT((1-AZ849)*($AN$11-$AL$11)*($AN$11-$AM$11))),$AM$11)</f>
        <v/>
      </c>
      <c r="AR849">
        <f>SUMPRODUCT((B24:B31&lt;=$B$6)*(C24:C31*AM849+D24:D31*AO849*$B$8*AQ849)/(1+AL849/100)^B24:B31)+C32*AM849*AP849/(1+AL849/100)^$B$6</f>
        <v/>
      </c>
      <c r="AS849">
        <f>SUMPRODUCT((K24:K26&lt;=$B$6)*(L24:L26*AN849+M24:M26*AO849*$B$8*AQ849)/(1+AL849/100)^K24:K26)+L27*AN849*AP849/(1+AL849/100)^$B$6</f>
        <v/>
      </c>
      <c r="AT849">
        <f>AS849-AR849</f>
        <v/>
      </c>
      <c r="AU849">
        <f>RAND()</f>
        <v/>
      </c>
      <c r="AV849">
        <f>RAND()</f>
        <v/>
      </c>
      <c r="AW849">
        <f>RAND()</f>
        <v/>
      </c>
      <c r="AX849">
        <f>RAND()</f>
        <v/>
      </c>
      <c r="AY849">
        <f>RAND()</f>
        <v/>
      </c>
      <c r="AZ849">
        <f>RAND()</f>
        <v/>
      </c>
    </row>
    <row r="850">
      <c r="AK850" t="n">
        <v>837</v>
      </c>
      <c r="AL850">
        <f>IFERROR(IF(AU850&lt;($AM$6-$AL$6)/($AN$6-$AL$6),$AL$6+SQRT(AU850*($AN$6-$AL$6)*($AM$6-$AL$6)),$AN$6-SQRT((1-AU850)*($AN$6-$AL$6)*($AN$6-$AM$6))),$AM$6)</f>
        <v/>
      </c>
      <c r="AM850">
        <f>IFERROR(IF(AV850&lt;($AM$7-$AL$7)/($AN$7-$AL$7),$AL$7+SQRT(AV850*($AN$7-$AL$7)*($AM$7-$AL$7)),$AN$7-SQRT((1-AV850)*($AN$7-$AL$7)*($AN$7-$AM$7))),$AM$7)</f>
        <v/>
      </c>
      <c r="AN850">
        <f>IFERROR(IF(AW850&lt;($AM$8-$AL$8)/($AN$8-$AL$8),$AL$8+SQRT(AW850*($AN$8-$AL$8)*($AM$8-$AL$8)),$AN$8-SQRT((1-AW850)*($AN$8-$AL$8)*($AN$8-$AM$8))),$AM$8)</f>
        <v/>
      </c>
      <c r="AO850">
        <f>IFERROR(IF(AX850&lt;($AM$9-$AL$9)/($AN$9-$AL$9),$AL$9+SQRT(AX850*($AN$9-$AL$9)*($AM$9-$AL$9)),$AN$9-SQRT((1-AX850)*($AN$9-$AL$9)*($AN$9-$AM$9))),$AM$9)</f>
        <v/>
      </c>
      <c r="AP850">
        <f>IFERROR(IF(AY850&lt;($AM$10-$AL$10)/($AN$10-$AL$10),$AL$10+SQRT(AY850*($AN$10-$AL$10)*($AM$10-$AL$10)),$AN$10-SQRT((1-AY850)*($AN$10-$AL$10)*($AN$10-$AM$10))),$AM$10)</f>
        <v/>
      </c>
      <c r="AQ850">
        <f>IFERROR(IF(AZ850&lt;($AM$11-$AL$11)/($AN$11-$AL$11),$AL$11+SQRT(AZ850*($AN$11-$AL$11)*($AM$11-$AL$11)),$AN$11-SQRT((1-AZ850)*($AN$11-$AL$11)*($AN$11-$AM$11))),$AM$11)</f>
        <v/>
      </c>
      <c r="AR850">
        <f>SUMPRODUCT((B24:B31&lt;=$B$6)*(C24:C31*AM850+D24:D31*AO850*$B$8*AQ850)/(1+AL850/100)^B24:B31)+C32*AM850*AP850/(1+AL850/100)^$B$6</f>
        <v/>
      </c>
      <c r="AS850">
        <f>SUMPRODUCT((K24:K26&lt;=$B$6)*(L24:L26*AN850+M24:M26*AO850*$B$8*AQ850)/(1+AL850/100)^K24:K26)+L27*AN850*AP850/(1+AL850/100)^$B$6</f>
        <v/>
      </c>
      <c r="AT850">
        <f>AS850-AR850</f>
        <v/>
      </c>
      <c r="AU850">
        <f>RAND()</f>
        <v/>
      </c>
      <c r="AV850">
        <f>RAND()</f>
        <v/>
      </c>
      <c r="AW850">
        <f>RAND()</f>
        <v/>
      </c>
      <c r="AX850">
        <f>RAND()</f>
        <v/>
      </c>
      <c r="AY850">
        <f>RAND()</f>
        <v/>
      </c>
      <c r="AZ850">
        <f>RAND()</f>
        <v/>
      </c>
    </row>
    <row r="851">
      <c r="AK851" t="n">
        <v>838</v>
      </c>
      <c r="AL851">
        <f>IFERROR(IF(AU851&lt;($AM$6-$AL$6)/($AN$6-$AL$6),$AL$6+SQRT(AU851*($AN$6-$AL$6)*($AM$6-$AL$6)),$AN$6-SQRT((1-AU851)*($AN$6-$AL$6)*($AN$6-$AM$6))),$AM$6)</f>
        <v/>
      </c>
      <c r="AM851">
        <f>IFERROR(IF(AV851&lt;($AM$7-$AL$7)/($AN$7-$AL$7),$AL$7+SQRT(AV851*($AN$7-$AL$7)*($AM$7-$AL$7)),$AN$7-SQRT((1-AV851)*($AN$7-$AL$7)*($AN$7-$AM$7))),$AM$7)</f>
        <v/>
      </c>
      <c r="AN851">
        <f>IFERROR(IF(AW851&lt;($AM$8-$AL$8)/($AN$8-$AL$8),$AL$8+SQRT(AW851*($AN$8-$AL$8)*($AM$8-$AL$8)),$AN$8-SQRT((1-AW851)*($AN$8-$AL$8)*($AN$8-$AM$8))),$AM$8)</f>
        <v/>
      </c>
      <c r="AO851">
        <f>IFERROR(IF(AX851&lt;($AM$9-$AL$9)/($AN$9-$AL$9),$AL$9+SQRT(AX851*($AN$9-$AL$9)*($AM$9-$AL$9)),$AN$9-SQRT((1-AX851)*($AN$9-$AL$9)*($AN$9-$AM$9))),$AM$9)</f>
        <v/>
      </c>
      <c r="AP851">
        <f>IFERROR(IF(AY851&lt;($AM$10-$AL$10)/($AN$10-$AL$10),$AL$10+SQRT(AY851*($AN$10-$AL$10)*($AM$10-$AL$10)),$AN$10-SQRT((1-AY851)*($AN$10-$AL$10)*($AN$10-$AM$10))),$AM$10)</f>
        <v/>
      </c>
      <c r="AQ851">
        <f>IFERROR(IF(AZ851&lt;($AM$11-$AL$11)/($AN$11-$AL$11),$AL$11+SQRT(AZ851*($AN$11-$AL$11)*($AM$11-$AL$11)),$AN$11-SQRT((1-AZ851)*($AN$11-$AL$11)*($AN$11-$AM$11))),$AM$11)</f>
        <v/>
      </c>
      <c r="AR851">
        <f>SUMPRODUCT((B24:B31&lt;=$B$6)*(C24:C31*AM851+D24:D31*AO851*$B$8*AQ851)/(1+AL851/100)^B24:B31)+C32*AM851*AP851/(1+AL851/100)^$B$6</f>
        <v/>
      </c>
      <c r="AS851">
        <f>SUMPRODUCT((K24:K26&lt;=$B$6)*(L24:L26*AN851+M24:M26*AO851*$B$8*AQ851)/(1+AL851/100)^K24:K26)+L27*AN851*AP851/(1+AL851/100)^$B$6</f>
        <v/>
      </c>
      <c r="AT851">
        <f>AS851-AR851</f>
        <v/>
      </c>
      <c r="AU851">
        <f>RAND()</f>
        <v/>
      </c>
      <c r="AV851">
        <f>RAND()</f>
        <v/>
      </c>
      <c r="AW851">
        <f>RAND()</f>
        <v/>
      </c>
      <c r="AX851">
        <f>RAND()</f>
        <v/>
      </c>
      <c r="AY851">
        <f>RAND()</f>
        <v/>
      </c>
      <c r="AZ851">
        <f>RAND()</f>
        <v/>
      </c>
    </row>
    <row r="852">
      <c r="AK852" t="n">
        <v>839</v>
      </c>
      <c r="AL852">
        <f>IFERROR(IF(AU852&lt;($AM$6-$AL$6)/($AN$6-$AL$6),$AL$6+SQRT(AU852*($AN$6-$AL$6)*($AM$6-$AL$6)),$AN$6-SQRT((1-AU852)*($AN$6-$AL$6)*($AN$6-$AM$6))),$AM$6)</f>
        <v/>
      </c>
      <c r="AM852">
        <f>IFERROR(IF(AV852&lt;($AM$7-$AL$7)/($AN$7-$AL$7),$AL$7+SQRT(AV852*($AN$7-$AL$7)*($AM$7-$AL$7)),$AN$7-SQRT((1-AV852)*($AN$7-$AL$7)*($AN$7-$AM$7))),$AM$7)</f>
        <v/>
      </c>
      <c r="AN852">
        <f>IFERROR(IF(AW852&lt;($AM$8-$AL$8)/($AN$8-$AL$8),$AL$8+SQRT(AW852*($AN$8-$AL$8)*($AM$8-$AL$8)),$AN$8-SQRT((1-AW852)*($AN$8-$AL$8)*($AN$8-$AM$8))),$AM$8)</f>
        <v/>
      </c>
      <c r="AO852">
        <f>IFERROR(IF(AX852&lt;($AM$9-$AL$9)/($AN$9-$AL$9),$AL$9+SQRT(AX852*($AN$9-$AL$9)*($AM$9-$AL$9)),$AN$9-SQRT((1-AX852)*($AN$9-$AL$9)*($AN$9-$AM$9))),$AM$9)</f>
        <v/>
      </c>
      <c r="AP852">
        <f>IFERROR(IF(AY852&lt;($AM$10-$AL$10)/($AN$10-$AL$10),$AL$10+SQRT(AY852*($AN$10-$AL$10)*($AM$10-$AL$10)),$AN$10-SQRT((1-AY852)*($AN$10-$AL$10)*($AN$10-$AM$10))),$AM$10)</f>
        <v/>
      </c>
      <c r="AQ852">
        <f>IFERROR(IF(AZ852&lt;($AM$11-$AL$11)/($AN$11-$AL$11),$AL$11+SQRT(AZ852*($AN$11-$AL$11)*($AM$11-$AL$11)),$AN$11-SQRT((1-AZ852)*($AN$11-$AL$11)*($AN$11-$AM$11))),$AM$11)</f>
        <v/>
      </c>
      <c r="AR852">
        <f>SUMPRODUCT((B24:B31&lt;=$B$6)*(C24:C31*AM852+D24:D31*AO852*$B$8*AQ852)/(1+AL852/100)^B24:B31)+C32*AM852*AP852/(1+AL852/100)^$B$6</f>
        <v/>
      </c>
      <c r="AS852">
        <f>SUMPRODUCT((K24:K26&lt;=$B$6)*(L24:L26*AN852+M24:M26*AO852*$B$8*AQ852)/(1+AL852/100)^K24:K26)+L27*AN852*AP852/(1+AL852/100)^$B$6</f>
        <v/>
      </c>
      <c r="AT852">
        <f>AS852-AR852</f>
        <v/>
      </c>
      <c r="AU852">
        <f>RAND()</f>
        <v/>
      </c>
      <c r="AV852">
        <f>RAND()</f>
        <v/>
      </c>
      <c r="AW852">
        <f>RAND()</f>
        <v/>
      </c>
      <c r="AX852">
        <f>RAND()</f>
        <v/>
      </c>
      <c r="AY852">
        <f>RAND()</f>
        <v/>
      </c>
      <c r="AZ852">
        <f>RAND()</f>
        <v/>
      </c>
    </row>
    <row r="853">
      <c r="AK853" t="n">
        <v>840</v>
      </c>
      <c r="AL853">
        <f>IFERROR(IF(AU853&lt;($AM$6-$AL$6)/($AN$6-$AL$6),$AL$6+SQRT(AU853*($AN$6-$AL$6)*($AM$6-$AL$6)),$AN$6-SQRT((1-AU853)*($AN$6-$AL$6)*($AN$6-$AM$6))),$AM$6)</f>
        <v/>
      </c>
      <c r="AM853">
        <f>IFERROR(IF(AV853&lt;($AM$7-$AL$7)/($AN$7-$AL$7),$AL$7+SQRT(AV853*($AN$7-$AL$7)*($AM$7-$AL$7)),$AN$7-SQRT((1-AV853)*($AN$7-$AL$7)*($AN$7-$AM$7))),$AM$7)</f>
        <v/>
      </c>
      <c r="AN853">
        <f>IFERROR(IF(AW853&lt;($AM$8-$AL$8)/($AN$8-$AL$8),$AL$8+SQRT(AW853*($AN$8-$AL$8)*($AM$8-$AL$8)),$AN$8-SQRT((1-AW853)*($AN$8-$AL$8)*($AN$8-$AM$8))),$AM$8)</f>
        <v/>
      </c>
      <c r="AO853">
        <f>IFERROR(IF(AX853&lt;($AM$9-$AL$9)/($AN$9-$AL$9),$AL$9+SQRT(AX853*($AN$9-$AL$9)*($AM$9-$AL$9)),$AN$9-SQRT((1-AX853)*($AN$9-$AL$9)*($AN$9-$AM$9))),$AM$9)</f>
        <v/>
      </c>
      <c r="AP853">
        <f>IFERROR(IF(AY853&lt;($AM$10-$AL$10)/($AN$10-$AL$10),$AL$10+SQRT(AY853*($AN$10-$AL$10)*($AM$10-$AL$10)),$AN$10-SQRT((1-AY853)*($AN$10-$AL$10)*($AN$10-$AM$10))),$AM$10)</f>
        <v/>
      </c>
      <c r="AQ853">
        <f>IFERROR(IF(AZ853&lt;($AM$11-$AL$11)/($AN$11-$AL$11),$AL$11+SQRT(AZ853*($AN$11-$AL$11)*($AM$11-$AL$11)),$AN$11-SQRT((1-AZ853)*($AN$11-$AL$11)*($AN$11-$AM$11))),$AM$11)</f>
        <v/>
      </c>
      <c r="AR853">
        <f>SUMPRODUCT((B24:B31&lt;=$B$6)*(C24:C31*AM853+D24:D31*AO853*$B$8*AQ853)/(1+AL853/100)^B24:B31)+C32*AM853*AP853/(1+AL853/100)^$B$6</f>
        <v/>
      </c>
      <c r="AS853">
        <f>SUMPRODUCT((K24:K26&lt;=$B$6)*(L24:L26*AN853+M24:M26*AO853*$B$8*AQ853)/(1+AL853/100)^K24:K26)+L27*AN853*AP853/(1+AL853/100)^$B$6</f>
        <v/>
      </c>
      <c r="AT853">
        <f>AS853-AR853</f>
        <v/>
      </c>
      <c r="AU853">
        <f>RAND()</f>
        <v/>
      </c>
      <c r="AV853">
        <f>RAND()</f>
        <v/>
      </c>
      <c r="AW853">
        <f>RAND()</f>
        <v/>
      </c>
      <c r="AX853">
        <f>RAND()</f>
        <v/>
      </c>
      <c r="AY853">
        <f>RAND()</f>
        <v/>
      </c>
      <c r="AZ853">
        <f>RAND()</f>
        <v/>
      </c>
    </row>
    <row r="854">
      <c r="AK854" t="n">
        <v>841</v>
      </c>
      <c r="AL854">
        <f>IFERROR(IF(AU854&lt;($AM$6-$AL$6)/($AN$6-$AL$6),$AL$6+SQRT(AU854*($AN$6-$AL$6)*($AM$6-$AL$6)),$AN$6-SQRT((1-AU854)*($AN$6-$AL$6)*($AN$6-$AM$6))),$AM$6)</f>
        <v/>
      </c>
      <c r="AM854">
        <f>IFERROR(IF(AV854&lt;($AM$7-$AL$7)/($AN$7-$AL$7),$AL$7+SQRT(AV854*($AN$7-$AL$7)*($AM$7-$AL$7)),$AN$7-SQRT((1-AV854)*($AN$7-$AL$7)*($AN$7-$AM$7))),$AM$7)</f>
        <v/>
      </c>
      <c r="AN854">
        <f>IFERROR(IF(AW854&lt;($AM$8-$AL$8)/($AN$8-$AL$8),$AL$8+SQRT(AW854*($AN$8-$AL$8)*($AM$8-$AL$8)),$AN$8-SQRT((1-AW854)*($AN$8-$AL$8)*($AN$8-$AM$8))),$AM$8)</f>
        <v/>
      </c>
      <c r="AO854">
        <f>IFERROR(IF(AX854&lt;($AM$9-$AL$9)/($AN$9-$AL$9),$AL$9+SQRT(AX854*($AN$9-$AL$9)*($AM$9-$AL$9)),$AN$9-SQRT((1-AX854)*($AN$9-$AL$9)*($AN$9-$AM$9))),$AM$9)</f>
        <v/>
      </c>
      <c r="AP854">
        <f>IFERROR(IF(AY854&lt;($AM$10-$AL$10)/($AN$10-$AL$10),$AL$10+SQRT(AY854*($AN$10-$AL$10)*($AM$10-$AL$10)),$AN$10-SQRT((1-AY854)*($AN$10-$AL$10)*($AN$10-$AM$10))),$AM$10)</f>
        <v/>
      </c>
      <c r="AQ854">
        <f>IFERROR(IF(AZ854&lt;($AM$11-$AL$11)/($AN$11-$AL$11),$AL$11+SQRT(AZ854*($AN$11-$AL$11)*($AM$11-$AL$11)),$AN$11-SQRT((1-AZ854)*($AN$11-$AL$11)*($AN$11-$AM$11))),$AM$11)</f>
        <v/>
      </c>
      <c r="AR854">
        <f>SUMPRODUCT((B24:B31&lt;=$B$6)*(C24:C31*AM854+D24:D31*AO854*$B$8*AQ854)/(1+AL854/100)^B24:B31)+C32*AM854*AP854/(1+AL854/100)^$B$6</f>
        <v/>
      </c>
      <c r="AS854">
        <f>SUMPRODUCT((K24:K26&lt;=$B$6)*(L24:L26*AN854+M24:M26*AO854*$B$8*AQ854)/(1+AL854/100)^K24:K26)+L27*AN854*AP854/(1+AL854/100)^$B$6</f>
        <v/>
      </c>
      <c r="AT854">
        <f>AS854-AR854</f>
        <v/>
      </c>
      <c r="AU854">
        <f>RAND()</f>
        <v/>
      </c>
      <c r="AV854">
        <f>RAND()</f>
        <v/>
      </c>
      <c r="AW854">
        <f>RAND()</f>
        <v/>
      </c>
      <c r="AX854">
        <f>RAND()</f>
        <v/>
      </c>
      <c r="AY854">
        <f>RAND()</f>
        <v/>
      </c>
      <c r="AZ854">
        <f>RAND()</f>
        <v/>
      </c>
    </row>
    <row r="855">
      <c r="AK855" t="n">
        <v>842</v>
      </c>
      <c r="AL855">
        <f>IFERROR(IF(AU855&lt;($AM$6-$AL$6)/($AN$6-$AL$6),$AL$6+SQRT(AU855*($AN$6-$AL$6)*($AM$6-$AL$6)),$AN$6-SQRT((1-AU855)*($AN$6-$AL$6)*($AN$6-$AM$6))),$AM$6)</f>
        <v/>
      </c>
      <c r="AM855">
        <f>IFERROR(IF(AV855&lt;($AM$7-$AL$7)/($AN$7-$AL$7),$AL$7+SQRT(AV855*($AN$7-$AL$7)*($AM$7-$AL$7)),$AN$7-SQRT((1-AV855)*($AN$7-$AL$7)*($AN$7-$AM$7))),$AM$7)</f>
        <v/>
      </c>
      <c r="AN855">
        <f>IFERROR(IF(AW855&lt;($AM$8-$AL$8)/($AN$8-$AL$8),$AL$8+SQRT(AW855*($AN$8-$AL$8)*($AM$8-$AL$8)),$AN$8-SQRT((1-AW855)*($AN$8-$AL$8)*($AN$8-$AM$8))),$AM$8)</f>
        <v/>
      </c>
      <c r="AO855">
        <f>IFERROR(IF(AX855&lt;($AM$9-$AL$9)/($AN$9-$AL$9),$AL$9+SQRT(AX855*($AN$9-$AL$9)*($AM$9-$AL$9)),$AN$9-SQRT((1-AX855)*($AN$9-$AL$9)*($AN$9-$AM$9))),$AM$9)</f>
        <v/>
      </c>
      <c r="AP855">
        <f>IFERROR(IF(AY855&lt;($AM$10-$AL$10)/($AN$10-$AL$10),$AL$10+SQRT(AY855*($AN$10-$AL$10)*($AM$10-$AL$10)),$AN$10-SQRT((1-AY855)*($AN$10-$AL$10)*($AN$10-$AM$10))),$AM$10)</f>
        <v/>
      </c>
      <c r="AQ855">
        <f>IFERROR(IF(AZ855&lt;($AM$11-$AL$11)/($AN$11-$AL$11),$AL$11+SQRT(AZ855*($AN$11-$AL$11)*($AM$11-$AL$11)),$AN$11-SQRT((1-AZ855)*($AN$11-$AL$11)*($AN$11-$AM$11))),$AM$11)</f>
        <v/>
      </c>
      <c r="AR855">
        <f>SUMPRODUCT((B24:B31&lt;=$B$6)*(C24:C31*AM855+D24:D31*AO855*$B$8*AQ855)/(1+AL855/100)^B24:B31)+C32*AM855*AP855/(1+AL855/100)^$B$6</f>
        <v/>
      </c>
      <c r="AS855">
        <f>SUMPRODUCT((K24:K26&lt;=$B$6)*(L24:L26*AN855+M24:M26*AO855*$B$8*AQ855)/(1+AL855/100)^K24:K26)+L27*AN855*AP855/(1+AL855/100)^$B$6</f>
        <v/>
      </c>
      <c r="AT855">
        <f>AS855-AR855</f>
        <v/>
      </c>
      <c r="AU855">
        <f>RAND()</f>
        <v/>
      </c>
      <c r="AV855">
        <f>RAND()</f>
        <v/>
      </c>
      <c r="AW855">
        <f>RAND()</f>
        <v/>
      </c>
      <c r="AX855">
        <f>RAND()</f>
        <v/>
      </c>
      <c r="AY855">
        <f>RAND()</f>
        <v/>
      </c>
      <c r="AZ855">
        <f>RAND()</f>
        <v/>
      </c>
    </row>
    <row r="856">
      <c r="AK856" t="n">
        <v>843</v>
      </c>
      <c r="AL856">
        <f>IFERROR(IF(AU856&lt;($AM$6-$AL$6)/($AN$6-$AL$6),$AL$6+SQRT(AU856*($AN$6-$AL$6)*($AM$6-$AL$6)),$AN$6-SQRT((1-AU856)*($AN$6-$AL$6)*($AN$6-$AM$6))),$AM$6)</f>
        <v/>
      </c>
      <c r="AM856">
        <f>IFERROR(IF(AV856&lt;($AM$7-$AL$7)/($AN$7-$AL$7),$AL$7+SQRT(AV856*($AN$7-$AL$7)*($AM$7-$AL$7)),$AN$7-SQRT((1-AV856)*($AN$7-$AL$7)*($AN$7-$AM$7))),$AM$7)</f>
        <v/>
      </c>
      <c r="AN856">
        <f>IFERROR(IF(AW856&lt;($AM$8-$AL$8)/($AN$8-$AL$8),$AL$8+SQRT(AW856*($AN$8-$AL$8)*($AM$8-$AL$8)),$AN$8-SQRT((1-AW856)*($AN$8-$AL$8)*($AN$8-$AM$8))),$AM$8)</f>
        <v/>
      </c>
      <c r="AO856">
        <f>IFERROR(IF(AX856&lt;($AM$9-$AL$9)/($AN$9-$AL$9),$AL$9+SQRT(AX856*($AN$9-$AL$9)*($AM$9-$AL$9)),$AN$9-SQRT((1-AX856)*($AN$9-$AL$9)*($AN$9-$AM$9))),$AM$9)</f>
        <v/>
      </c>
      <c r="AP856">
        <f>IFERROR(IF(AY856&lt;($AM$10-$AL$10)/($AN$10-$AL$10),$AL$10+SQRT(AY856*($AN$10-$AL$10)*($AM$10-$AL$10)),$AN$10-SQRT((1-AY856)*($AN$10-$AL$10)*($AN$10-$AM$10))),$AM$10)</f>
        <v/>
      </c>
      <c r="AQ856">
        <f>IFERROR(IF(AZ856&lt;($AM$11-$AL$11)/($AN$11-$AL$11),$AL$11+SQRT(AZ856*($AN$11-$AL$11)*($AM$11-$AL$11)),$AN$11-SQRT((1-AZ856)*($AN$11-$AL$11)*($AN$11-$AM$11))),$AM$11)</f>
        <v/>
      </c>
      <c r="AR856">
        <f>SUMPRODUCT((B24:B31&lt;=$B$6)*(C24:C31*AM856+D24:D31*AO856*$B$8*AQ856)/(1+AL856/100)^B24:B31)+C32*AM856*AP856/(1+AL856/100)^$B$6</f>
        <v/>
      </c>
      <c r="AS856">
        <f>SUMPRODUCT((K24:K26&lt;=$B$6)*(L24:L26*AN856+M24:M26*AO856*$B$8*AQ856)/(1+AL856/100)^K24:K26)+L27*AN856*AP856/(1+AL856/100)^$B$6</f>
        <v/>
      </c>
      <c r="AT856">
        <f>AS856-AR856</f>
        <v/>
      </c>
      <c r="AU856">
        <f>RAND()</f>
        <v/>
      </c>
      <c r="AV856">
        <f>RAND()</f>
        <v/>
      </c>
      <c r="AW856">
        <f>RAND()</f>
        <v/>
      </c>
      <c r="AX856">
        <f>RAND()</f>
        <v/>
      </c>
      <c r="AY856">
        <f>RAND()</f>
        <v/>
      </c>
      <c r="AZ856">
        <f>RAND()</f>
        <v/>
      </c>
    </row>
    <row r="857">
      <c r="AK857" t="n">
        <v>844</v>
      </c>
      <c r="AL857">
        <f>IFERROR(IF(AU857&lt;($AM$6-$AL$6)/($AN$6-$AL$6),$AL$6+SQRT(AU857*($AN$6-$AL$6)*($AM$6-$AL$6)),$AN$6-SQRT((1-AU857)*($AN$6-$AL$6)*($AN$6-$AM$6))),$AM$6)</f>
        <v/>
      </c>
      <c r="AM857">
        <f>IFERROR(IF(AV857&lt;($AM$7-$AL$7)/($AN$7-$AL$7),$AL$7+SQRT(AV857*($AN$7-$AL$7)*($AM$7-$AL$7)),$AN$7-SQRT((1-AV857)*($AN$7-$AL$7)*($AN$7-$AM$7))),$AM$7)</f>
        <v/>
      </c>
      <c r="AN857">
        <f>IFERROR(IF(AW857&lt;($AM$8-$AL$8)/($AN$8-$AL$8),$AL$8+SQRT(AW857*($AN$8-$AL$8)*($AM$8-$AL$8)),$AN$8-SQRT((1-AW857)*($AN$8-$AL$8)*($AN$8-$AM$8))),$AM$8)</f>
        <v/>
      </c>
      <c r="AO857">
        <f>IFERROR(IF(AX857&lt;($AM$9-$AL$9)/($AN$9-$AL$9),$AL$9+SQRT(AX857*($AN$9-$AL$9)*($AM$9-$AL$9)),$AN$9-SQRT((1-AX857)*($AN$9-$AL$9)*($AN$9-$AM$9))),$AM$9)</f>
        <v/>
      </c>
      <c r="AP857">
        <f>IFERROR(IF(AY857&lt;($AM$10-$AL$10)/($AN$10-$AL$10),$AL$10+SQRT(AY857*($AN$10-$AL$10)*($AM$10-$AL$10)),$AN$10-SQRT((1-AY857)*($AN$10-$AL$10)*($AN$10-$AM$10))),$AM$10)</f>
        <v/>
      </c>
      <c r="AQ857">
        <f>IFERROR(IF(AZ857&lt;($AM$11-$AL$11)/($AN$11-$AL$11),$AL$11+SQRT(AZ857*($AN$11-$AL$11)*($AM$11-$AL$11)),$AN$11-SQRT((1-AZ857)*($AN$11-$AL$11)*($AN$11-$AM$11))),$AM$11)</f>
        <v/>
      </c>
      <c r="AR857">
        <f>SUMPRODUCT((B24:B31&lt;=$B$6)*(C24:C31*AM857+D24:D31*AO857*$B$8*AQ857)/(1+AL857/100)^B24:B31)+C32*AM857*AP857/(1+AL857/100)^$B$6</f>
        <v/>
      </c>
      <c r="AS857">
        <f>SUMPRODUCT((K24:K26&lt;=$B$6)*(L24:L26*AN857+M24:M26*AO857*$B$8*AQ857)/(1+AL857/100)^K24:K26)+L27*AN857*AP857/(1+AL857/100)^$B$6</f>
        <v/>
      </c>
      <c r="AT857">
        <f>AS857-AR857</f>
        <v/>
      </c>
      <c r="AU857">
        <f>RAND()</f>
        <v/>
      </c>
      <c r="AV857">
        <f>RAND()</f>
        <v/>
      </c>
      <c r="AW857">
        <f>RAND()</f>
        <v/>
      </c>
      <c r="AX857">
        <f>RAND()</f>
        <v/>
      </c>
      <c r="AY857">
        <f>RAND()</f>
        <v/>
      </c>
      <c r="AZ857">
        <f>RAND()</f>
        <v/>
      </c>
    </row>
    <row r="858">
      <c r="AK858" t="n">
        <v>845</v>
      </c>
      <c r="AL858">
        <f>IFERROR(IF(AU858&lt;($AM$6-$AL$6)/($AN$6-$AL$6),$AL$6+SQRT(AU858*($AN$6-$AL$6)*($AM$6-$AL$6)),$AN$6-SQRT((1-AU858)*($AN$6-$AL$6)*($AN$6-$AM$6))),$AM$6)</f>
        <v/>
      </c>
      <c r="AM858">
        <f>IFERROR(IF(AV858&lt;($AM$7-$AL$7)/($AN$7-$AL$7),$AL$7+SQRT(AV858*($AN$7-$AL$7)*($AM$7-$AL$7)),$AN$7-SQRT((1-AV858)*($AN$7-$AL$7)*($AN$7-$AM$7))),$AM$7)</f>
        <v/>
      </c>
      <c r="AN858">
        <f>IFERROR(IF(AW858&lt;($AM$8-$AL$8)/($AN$8-$AL$8),$AL$8+SQRT(AW858*($AN$8-$AL$8)*($AM$8-$AL$8)),$AN$8-SQRT((1-AW858)*($AN$8-$AL$8)*($AN$8-$AM$8))),$AM$8)</f>
        <v/>
      </c>
      <c r="AO858">
        <f>IFERROR(IF(AX858&lt;($AM$9-$AL$9)/($AN$9-$AL$9),$AL$9+SQRT(AX858*($AN$9-$AL$9)*($AM$9-$AL$9)),$AN$9-SQRT((1-AX858)*($AN$9-$AL$9)*($AN$9-$AM$9))),$AM$9)</f>
        <v/>
      </c>
      <c r="AP858">
        <f>IFERROR(IF(AY858&lt;($AM$10-$AL$10)/($AN$10-$AL$10),$AL$10+SQRT(AY858*($AN$10-$AL$10)*($AM$10-$AL$10)),$AN$10-SQRT((1-AY858)*($AN$10-$AL$10)*($AN$10-$AM$10))),$AM$10)</f>
        <v/>
      </c>
      <c r="AQ858">
        <f>IFERROR(IF(AZ858&lt;($AM$11-$AL$11)/($AN$11-$AL$11),$AL$11+SQRT(AZ858*($AN$11-$AL$11)*($AM$11-$AL$11)),$AN$11-SQRT((1-AZ858)*($AN$11-$AL$11)*($AN$11-$AM$11))),$AM$11)</f>
        <v/>
      </c>
      <c r="AR858">
        <f>SUMPRODUCT((B24:B31&lt;=$B$6)*(C24:C31*AM858+D24:D31*AO858*$B$8*AQ858)/(1+AL858/100)^B24:B31)+C32*AM858*AP858/(1+AL858/100)^$B$6</f>
        <v/>
      </c>
      <c r="AS858">
        <f>SUMPRODUCT((K24:K26&lt;=$B$6)*(L24:L26*AN858+M24:M26*AO858*$B$8*AQ858)/(1+AL858/100)^K24:K26)+L27*AN858*AP858/(1+AL858/100)^$B$6</f>
        <v/>
      </c>
      <c r="AT858">
        <f>AS858-AR858</f>
        <v/>
      </c>
      <c r="AU858">
        <f>RAND()</f>
        <v/>
      </c>
      <c r="AV858">
        <f>RAND()</f>
        <v/>
      </c>
      <c r="AW858">
        <f>RAND()</f>
        <v/>
      </c>
      <c r="AX858">
        <f>RAND()</f>
        <v/>
      </c>
      <c r="AY858">
        <f>RAND()</f>
        <v/>
      </c>
      <c r="AZ858">
        <f>RAND()</f>
        <v/>
      </c>
    </row>
    <row r="859">
      <c r="AK859" t="n">
        <v>846</v>
      </c>
      <c r="AL859">
        <f>IFERROR(IF(AU859&lt;($AM$6-$AL$6)/($AN$6-$AL$6),$AL$6+SQRT(AU859*($AN$6-$AL$6)*($AM$6-$AL$6)),$AN$6-SQRT((1-AU859)*($AN$6-$AL$6)*($AN$6-$AM$6))),$AM$6)</f>
        <v/>
      </c>
      <c r="AM859">
        <f>IFERROR(IF(AV859&lt;($AM$7-$AL$7)/($AN$7-$AL$7),$AL$7+SQRT(AV859*($AN$7-$AL$7)*($AM$7-$AL$7)),$AN$7-SQRT((1-AV859)*($AN$7-$AL$7)*($AN$7-$AM$7))),$AM$7)</f>
        <v/>
      </c>
      <c r="AN859">
        <f>IFERROR(IF(AW859&lt;($AM$8-$AL$8)/($AN$8-$AL$8),$AL$8+SQRT(AW859*($AN$8-$AL$8)*($AM$8-$AL$8)),$AN$8-SQRT((1-AW859)*($AN$8-$AL$8)*($AN$8-$AM$8))),$AM$8)</f>
        <v/>
      </c>
      <c r="AO859">
        <f>IFERROR(IF(AX859&lt;($AM$9-$AL$9)/($AN$9-$AL$9),$AL$9+SQRT(AX859*($AN$9-$AL$9)*($AM$9-$AL$9)),$AN$9-SQRT((1-AX859)*($AN$9-$AL$9)*($AN$9-$AM$9))),$AM$9)</f>
        <v/>
      </c>
      <c r="AP859">
        <f>IFERROR(IF(AY859&lt;($AM$10-$AL$10)/($AN$10-$AL$10),$AL$10+SQRT(AY859*($AN$10-$AL$10)*($AM$10-$AL$10)),$AN$10-SQRT((1-AY859)*($AN$10-$AL$10)*($AN$10-$AM$10))),$AM$10)</f>
        <v/>
      </c>
      <c r="AQ859">
        <f>IFERROR(IF(AZ859&lt;($AM$11-$AL$11)/($AN$11-$AL$11),$AL$11+SQRT(AZ859*($AN$11-$AL$11)*($AM$11-$AL$11)),$AN$11-SQRT((1-AZ859)*($AN$11-$AL$11)*($AN$11-$AM$11))),$AM$11)</f>
        <v/>
      </c>
      <c r="AR859">
        <f>SUMPRODUCT((B24:B31&lt;=$B$6)*(C24:C31*AM859+D24:D31*AO859*$B$8*AQ859)/(1+AL859/100)^B24:B31)+C32*AM859*AP859/(1+AL859/100)^$B$6</f>
        <v/>
      </c>
      <c r="AS859">
        <f>SUMPRODUCT((K24:K26&lt;=$B$6)*(L24:L26*AN859+M24:M26*AO859*$B$8*AQ859)/(1+AL859/100)^K24:K26)+L27*AN859*AP859/(1+AL859/100)^$B$6</f>
        <v/>
      </c>
      <c r="AT859">
        <f>AS859-AR859</f>
        <v/>
      </c>
      <c r="AU859">
        <f>RAND()</f>
        <v/>
      </c>
      <c r="AV859">
        <f>RAND()</f>
        <v/>
      </c>
      <c r="AW859">
        <f>RAND()</f>
        <v/>
      </c>
      <c r="AX859">
        <f>RAND()</f>
        <v/>
      </c>
      <c r="AY859">
        <f>RAND()</f>
        <v/>
      </c>
      <c r="AZ859">
        <f>RAND()</f>
        <v/>
      </c>
    </row>
    <row r="860">
      <c r="AK860" t="n">
        <v>847</v>
      </c>
      <c r="AL860">
        <f>IFERROR(IF(AU860&lt;($AM$6-$AL$6)/($AN$6-$AL$6),$AL$6+SQRT(AU860*($AN$6-$AL$6)*($AM$6-$AL$6)),$AN$6-SQRT((1-AU860)*($AN$6-$AL$6)*($AN$6-$AM$6))),$AM$6)</f>
        <v/>
      </c>
      <c r="AM860">
        <f>IFERROR(IF(AV860&lt;($AM$7-$AL$7)/($AN$7-$AL$7),$AL$7+SQRT(AV860*($AN$7-$AL$7)*($AM$7-$AL$7)),$AN$7-SQRT((1-AV860)*($AN$7-$AL$7)*($AN$7-$AM$7))),$AM$7)</f>
        <v/>
      </c>
      <c r="AN860">
        <f>IFERROR(IF(AW860&lt;($AM$8-$AL$8)/($AN$8-$AL$8),$AL$8+SQRT(AW860*($AN$8-$AL$8)*($AM$8-$AL$8)),$AN$8-SQRT((1-AW860)*($AN$8-$AL$8)*($AN$8-$AM$8))),$AM$8)</f>
        <v/>
      </c>
      <c r="AO860">
        <f>IFERROR(IF(AX860&lt;($AM$9-$AL$9)/($AN$9-$AL$9),$AL$9+SQRT(AX860*($AN$9-$AL$9)*($AM$9-$AL$9)),$AN$9-SQRT((1-AX860)*($AN$9-$AL$9)*($AN$9-$AM$9))),$AM$9)</f>
        <v/>
      </c>
      <c r="AP860">
        <f>IFERROR(IF(AY860&lt;($AM$10-$AL$10)/($AN$10-$AL$10),$AL$10+SQRT(AY860*($AN$10-$AL$10)*($AM$10-$AL$10)),$AN$10-SQRT((1-AY860)*($AN$10-$AL$10)*($AN$10-$AM$10))),$AM$10)</f>
        <v/>
      </c>
      <c r="AQ860">
        <f>IFERROR(IF(AZ860&lt;($AM$11-$AL$11)/($AN$11-$AL$11),$AL$11+SQRT(AZ860*($AN$11-$AL$11)*($AM$11-$AL$11)),$AN$11-SQRT((1-AZ860)*($AN$11-$AL$11)*($AN$11-$AM$11))),$AM$11)</f>
        <v/>
      </c>
      <c r="AR860">
        <f>SUMPRODUCT((B24:B31&lt;=$B$6)*(C24:C31*AM860+D24:D31*AO860*$B$8*AQ860)/(1+AL860/100)^B24:B31)+C32*AM860*AP860/(1+AL860/100)^$B$6</f>
        <v/>
      </c>
      <c r="AS860">
        <f>SUMPRODUCT((K24:K26&lt;=$B$6)*(L24:L26*AN860+M24:M26*AO860*$B$8*AQ860)/(1+AL860/100)^K24:K26)+L27*AN860*AP860/(1+AL860/100)^$B$6</f>
        <v/>
      </c>
      <c r="AT860">
        <f>AS860-AR860</f>
        <v/>
      </c>
      <c r="AU860">
        <f>RAND()</f>
        <v/>
      </c>
      <c r="AV860">
        <f>RAND()</f>
        <v/>
      </c>
      <c r="AW860">
        <f>RAND()</f>
        <v/>
      </c>
      <c r="AX860">
        <f>RAND()</f>
        <v/>
      </c>
      <c r="AY860">
        <f>RAND()</f>
        <v/>
      </c>
      <c r="AZ860">
        <f>RAND()</f>
        <v/>
      </c>
    </row>
    <row r="861">
      <c r="AK861" t="n">
        <v>848</v>
      </c>
      <c r="AL861">
        <f>IFERROR(IF(AU861&lt;($AM$6-$AL$6)/($AN$6-$AL$6),$AL$6+SQRT(AU861*($AN$6-$AL$6)*($AM$6-$AL$6)),$AN$6-SQRT((1-AU861)*($AN$6-$AL$6)*($AN$6-$AM$6))),$AM$6)</f>
        <v/>
      </c>
      <c r="AM861">
        <f>IFERROR(IF(AV861&lt;($AM$7-$AL$7)/($AN$7-$AL$7),$AL$7+SQRT(AV861*($AN$7-$AL$7)*($AM$7-$AL$7)),$AN$7-SQRT((1-AV861)*($AN$7-$AL$7)*($AN$7-$AM$7))),$AM$7)</f>
        <v/>
      </c>
      <c r="AN861">
        <f>IFERROR(IF(AW861&lt;($AM$8-$AL$8)/($AN$8-$AL$8),$AL$8+SQRT(AW861*($AN$8-$AL$8)*($AM$8-$AL$8)),$AN$8-SQRT((1-AW861)*($AN$8-$AL$8)*($AN$8-$AM$8))),$AM$8)</f>
        <v/>
      </c>
      <c r="AO861">
        <f>IFERROR(IF(AX861&lt;($AM$9-$AL$9)/($AN$9-$AL$9),$AL$9+SQRT(AX861*($AN$9-$AL$9)*($AM$9-$AL$9)),$AN$9-SQRT((1-AX861)*($AN$9-$AL$9)*($AN$9-$AM$9))),$AM$9)</f>
        <v/>
      </c>
      <c r="AP861">
        <f>IFERROR(IF(AY861&lt;($AM$10-$AL$10)/($AN$10-$AL$10),$AL$10+SQRT(AY861*($AN$10-$AL$10)*($AM$10-$AL$10)),$AN$10-SQRT((1-AY861)*($AN$10-$AL$10)*($AN$10-$AM$10))),$AM$10)</f>
        <v/>
      </c>
      <c r="AQ861">
        <f>IFERROR(IF(AZ861&lt;($AM$11-$AL$11)/($AN$11-$AL$11),$AL$11+SQRT(AZ861*($AN$11-$AL$11)*($AM$11-$AL$11)),$AN$11-SQRT((1-AZ861)*($AN$11-$AL$11)*($AN$11-$AM$11))),$AM$11)</f>
        <v/>
      </c>
      <c r="AR861">
        <f>SUMPRODUCT((B24:B31&lt;=$B$6)*(C24:C31*AM861+D24:D31*AO861*$B$8*AQ861)/(1+AL861/100)^B24:B31)+C32*AM861*AP861/(1+AL861/100)^$B$6</f>
        <v/>
      </c>
      <c r="AS861">
        <f>SUMPRODUCT((K24:K26&lt;=$B$6)*(L24:L26*AN861+M24:M26*AO861*$B$8*AQ861)/(1+AL861/100)^K24:K26)+L27*AN861*AP861/(1+AL861/100)^$B$6</f>
        <v/>
      </c>
      <c r="AT861">
        <f>AS861-AR861</f>
        <v/>
      </c>
      <c r="AU861">
        <f>RAND()</f>
        <v/>
      </c>
      <c r="AV861">
        <f>RAND()</f>
        <v/>
      </c>
      <c r="AW861">
        <f>RAND()</f>
        <v/>
      </c>
      <c r="AX861">
        <f>RAND()</f>
        <v/>
      </c>
      <c r="AY861">
        <f>RAND()</f>
        <v/>
      </c>
      <c r="AZ861">
        <f>RAND()</f>
        <v/>
      </c>
    </row>
    <row r="862">
      <c r="AK862" t="n">
        <v>849</v>
      </c>
      <c r="AL862">
        <f>IFERROR(IF(AU862&lt;($AM$6-$AL$6)/($AN$6-$AL$6),$AL$6+SQRT(AU862*($AN$6-$AL$6)*($AM$6-$AL$6)),$AN$6-SQRT((1-AU862)*($AN$6-$AL$6)*($AN$6-$AM$6))),$AM$6)</f>
        <v/>
      </c>
      <c r="AM862">
        <f>IFERROR(IF(AV862&lt;($AM$7-$AL$7)/($AN$7-$AL$7),$AL$7+SQRT(AV862*($AN$7-$AL$7)*($AM$7-$AL$7)),$AN$7-SQRT((1-AV862)*($AN$7-$AL$7)*($AN$7-$AM$7))),$AM$7)</f>
        <v/>
      </c>
      <c r="AN862">
        <f>IFERROR(IF(AW862&lt;($AM$8-$AL$8)/($AN$8-$AL$8),$AL$8+SQRT(AW862*($AN$8-$AL$8)*($AM$8-$AL$8)),$AN$8-SQRT((1-AW862)*($AN$8-$AL$8)*($AN$8-$AM$8))),$AM$8)</f>
        <v/>
      </c>
      <c r="AO862">
        <f>IFERROR(IF(AX862&lt;($AM$9-$AL$9)/($AN$9-$AL$9),$AL$9+SQRT(AX862*($AN$9-$AL$9)*($AM$9-$AL$9)),$AN$9-SQRT((1-AX862)*($AN$9-$AL$9)*($AN$9-$AM$9))),$AM$9)</f>
        <v/>
      </c>
      <c r="AP862">
        <f>IFERROR(IF(AY862&lt;($AM$10-$AL$10)/($AN$10-$AL$10),$AL$10+SQRT(AY862*($AN$10-$AL$10)*($AM$10-$AL$10)),$AN$10-SQRT((1-AY862)*($AN$10-$AL$10)*($AN$10-$AM$10))),$AM$10)</f>
        <v/>
      </c>
      <c r="AQ862">
        <f>IFERROR(IF(AZ862&lt;($AM$11-$AL$11)/($AN$11-$AL$11),$AL$11+SQRT(AZ862*($AN$11-$AL$11)*($AM$11-$AL$11)),$AN$11-SQRT((1-AZ862)*($AN$11-$AL$11)*($AN$11-$AM$11))),$AM$11)</f>
        <v/>
      </c>
      <c r="AR862">
        <f>SUMPRODUCT((B24:B31&lt;=$B$6)*(C24:C31*AM862+D24:D31*AO862*$B$8*AQ862)/(1+AL862/100)^B24:B31)+C32*AM862*AP862/(1+AL862/100)^$B$6</f>
        <v/>
      </c>
      <c r="AS862">
        <f>SUMPRODUCT((K24:K26&lt;=$B$6)*(L24:L26*AN862+M24:M26*AO862*$B$8*AQ862)/(1+AL862/100)^K24:K26)+L27*AN862*AP862/(1+AL862/100)^$B$6</f>
        <v/>
      </c>
      <c r="AT862">
        <f>AS862-AR862</f>
        <v/>
      </c>
      <c r="AU862">
        <f>RAND()</f>
        <v/>
      </c>
      <c r="AV862">
        <f>RAND()</f>
        <v/>
      </c>
      <c r="AW862">
        <f>RAND()</f>
        <v/>
      </c>
      <c r="AX862">
        <f>RAND()</f>
        <v/>
      </c>
      <c r="AY862">
        <f>RAND()</f>
        <v/>
      </c>
      <c r="AZ862">
        <f>RAND()</f>
        <v/>
      </c>
    </row>
    <row r="863">
      <c r="AK863" t="n">
        <v>850</v>
      </c>
      <c r="AL863">
        <f>IFERROR(IF(AU863&lt;($AM$6-$AL$6)/($AN$6-$AL$6),$AL$6+SQRT(AU863*($AN$6-$AL$6)*($AM$6-$AL$6)),$AN$6-SQRT((1-AU863)*($AN$6-$AL$6)*($AN$6-$AM$6))),$AM$6)</f>
        <v/>
      </c>
      <c r="AM863">
        <f>IFERROR(IF(AV863&lt;($AM$7-$AL$7)/($AN$7-$AL$7),$AL$7+SQRT(AV863*($AN$7-$AL$7)*($AM$7-$AL$7)),$AN$7-SQRT((1-AV863)*($AN$7-$AL$7)*($AN$7-$AM$7))),$AM$7)</f>
        <v/>
      </c>
      <c r="AN863">
        <f>IFERROR(IF(AW863&lt;($AM$8-$AL$8)/($AN$8-$AL$8),$AL$8+SQRT(AW863*($AN$8-$AL$8)*($AM$8-$AL$8)),$AN$8-SQRT((1-AW863)*($AN$8-$AL$8)*($AN$8-$AM$8))),$AM$8)</f>
        <v/>
      </c>
      <c r="AO863">
        <f>IFERROR(IF(AX863&lt;($AM$9-$AL$9)/($AN$9-$AL$9),$AL$9+SQRT(AX863*($AN$9-$AL$9)*($AM$9-$AL$9)),$AN$9-SQRT((1-AX863)*($AN$9-$AL$9)*($AN$9-$AM$9))),$AM$9)</f>
        <v/>
      </c>
      <c r="AP863">
        <f>IFERROR(IF(AY863&lt;($AM$10-$AL$10)/($AN$10-$AL$10),$AL$10+SQRT(AY863*($AN$10-$AL$10)*($AM$10-$AL$10)),$AN$10-SQRT((1-AY863)*($AN$10-$AL$10)*($AN$10-$AM$10))),$AM$10)</f>
        <v/>
      </c>
      <c r="AQ863">
        <f>IFERROR(IF(AZ863&lt;($AM$11-$AL$11)/($AN$11-$AL$11),$AL$11+SQRT(AZ863*($AN$11-$AL$11)*($AM$11-$AL$11)),$AN$11-SQRT((1-AZ863)*($AN$11-$AL$11)*($AN$11-$AM$11))),$AM$11)</f>
        <v/>
      </c>
      <c r="AR863">
        <f>SUMPRODUCT((B24:B31&lt;=$B$6)*(C24:C31*AM863+D24:D31*AO863*$B$8*AQ863)/(1+AL863/100)^B24:B31)+C32*AM863*AP863/(1+AL863/100)^$B$6</f>
        <v/>
      </c>
      <c r="AS863">
        <f>SUMPRODUCT((K24:K26&lt;=$B$6)*(L24:L26*AN863+M24:M26*AO863*$B$8*AQ863)/(1+AL863/100)^K24:K26)+L27*AN863*AP863/(1+AL863/100)^$B$6</f>
        <v/>
      </c>
      <c r="AT863">
        <f>AS863-AR863</f>
        <v/>
      </c>
      <c r="AU863">
        <f>RAND()</f>
        <v/>
      </c>
      <c r="AV863">
        <f>RAND()</f>
        <v/>
      </c>
      <c r="AW863">
        <f>RAND()</f>
        <v/>
      </c>
      <c r="AX863">
        <f>RAND()</f>
        <v/>
      </c>
      <c r="AY863">
        <f>RAND()</f>
        <v/>
      </c>
      <c r="AZ863">
        <f>RAND()</f>
        <v/>
      </c>
    </row>
    <row r="864">
      <c r="AK864" t="n">
        <v>851</v>
      </c>
      <c r="AL864">
        <f>IFERROR(IF(AU864&lt;($AM$6-$AL$6)/($AN$6-$AL$6),$AL$6+SQRT(AU864*($AN$6-$AL$6)*($AM$6-$AL$6)),$AN$6-SQRT((1-AU864)*($AN$6-$AL$6)*($AN$6-$AM$6))),$AM$6)</f>
        <v/>
      </c>
      <c r="AM864">
        <f>IFERROR(IF(AV864&lt;($AM$7-$AL$7)/($AN$7-$AL$7),$AL$7+SQRT(AV864*($AN$7-$AL$7)*($AM$7-$AL$7)),$AN$7-SQRT((1-AV864)*($AN$7-$AL$7)*($AN$7-$AM$7))),$AM$7)</f>
        <v/>
      </c>
      <c r="AN864">
        <f>IFERROR(IF(AW864&lt;($AM$8-$AL$8)/($AN$8-$AL$8),$AL$8+SQRT(AW864*($AN$8-$AL$8)*($AM$8-$AL$8)),$AN$8-SQRT((1-AW864)*($AN$8-$AL$8)*($AN$8-$AM$8))),$AM$8)</f>
        <v/>
      </c>
      <c r="AO864">
        <f>IFERROR(IF(AX864&lt;($AM$9-$AL$9)/($AN$9-$AL$9),$AL$9+SQRT(AX864*($AN$9-$AL$9)*($AM$9-$AL$9)),$AN$9-SQRT((1-AX864)*($AN$9-$AL$9)*($AN$9-$AM$9))),$AM$9)</f>
        <v/>
      </c>
      <c r="AP864">
        <f>IFERROR(IF(AY864&lt;($AM$10-$AL$10)/($AN$10-$AL$10),$AL$10+SQRT(AY864*($AN$10-$AL$10)*($AM$10-$AL$10)),$AN$10-SQRT((1-AY864)*($AN$10-$AL$10)*($AN$10-$AM$10))),$AM$10)</f>
        <v/>
      </c>
      <c r="AQ864">
        <f>IFERROR(IF(AZ864&lt;($AM$11-$AL$11)/($AN$11-$AL$11),$AL$11+SQRT(AZ864*($AN$11-$AL$11)*($AM$11-$AL$11)),$AN$11-SQRT((1-AZ864)*($AN$11-$AL$11)*($AN$11-$AM$11))),$AM$11)</f>
        <v/>
      </c>
      <c r="AR864">
        <f>SUMPRODUCT((B24:B31&lt;=$B$6)*(C24:C31*AM864+D24:D31*AO864*$B$8*AQ864)/(1+AL864/100)^B24:B31)+C32*AM864*AP864/(1+AL864/100)^$B$6</f>
        <v/>
      </c>
      <c r="AS864">
        <f>SUMPRODUCT((K24:K26&lt;=$B$6)*(L24:L26*AN864+M24:M26*AO864*$B$8*AQ864)/(1+AL864/100)^K24:K26)+L27*AN864*AP864/(1+AL864/100)^$B$6</f>
        <v/>
      </c>
      <c r="AT864">
        <f>AS864-AR864</f>
        <v/>
      </c>
      <c r="AU864">
        <f>RAND()</f>
        <v/>
      </c>
      <c r="AV864">
        <f>RAND()</f>
        <v/>
      </c>
      <c r="AW864">
        <f>RAND()</f>
        <v/>
      </c>
      <c r="AX864">
        <f>RAND()</f>
        <v/>
      </c>
      <c r="AY864">
        <f>RAND()</f>
        <v/>
      </c>
      <c r="AZ864">
        <f>RAND()</f>
        <v/>
      </c>
    </row>
    <row r="865">
      <c r="AK865" t="n">
        <v>852</v>
      </c>
      <c r="AL865">
        <f>IFERROR(IF(AU865&lt;($AM$6-$AL$6)/($AN$6-$AL$6),$AL$6+SQRT(AU865*($AN$6-$AL$6)*($AM$6-$AL$6)),$AN$6-SQRT((1-AU865)*($AN$6-$AL$6)*($AN$6-$AM$6))),$AM$6)</f>
        <v/>
      </c>
      <c r="AM865">
        <f>IFERROR(IF(AV865&lt;($AM$7-$AL$7)/($AN$7-$AL$7),$AL$7+SQRT(AV865*($AN$7-$AL$7)*($AM$7-$AL$7)),$AN$7-SQRT((1-AV865)*($AN$7-$AL$7)*($AN$7-$AM$7))),$AM$7)</f>
        <v/>
      </c>
      <c r="AN865">
        <f>IFERROR(IF(AW865&lt;($AM$8-$AL$8)/($AN$8-$AL$8),$AL$8+SQRT(AW865*($AN$8-$AL$8)*($AM$8-$AL$8)),$AN$8-SQRT((1-AW865)*($AN$8-$AL$8)*($AN$8-$AM$8))),$AM$8)</f>
        <v/>
      </c>
      <c r="AO865">
        <f>IFERROR(IF(AX865&lt;($AM$9-$AL$9)/($AN$9-$AL$9),$AL$9+SQRT(AX865*($AN$9-$AL$9)*($AM$9-$AL$9)),$AN$9-SQRT((1-AX865)*($AN$9-$AL$9)*($AN$9-$AM$9))),$AM$9)</f>
        <v/>
      </c>
      <c r="AP865">
        <f>IFERROR(IF(AY865&lt;($AM$10-$AL$10)/($AN$10-$AL$10),$AL$10+SQRT(AY865*($AN$10-$AL$10)*($AM$10-$AL$10)),$AN$10-SQRT((1-AY865)*($AN$10-$AL$10)*($AN$10-$AM$10))),$AM$10)</f>
        <v/>
      </c>
      <c r="AQ865">
        <f>IFERROR(IF(AZ865&lt;($AM$11-$AL$11)/($AN$11-$AL$11),$AL$11+SQRT(AZ865*($AN$11-$AL$11)*($AM$11-$AL$11)),$AN$11-SQRT((1-AZ865)*($AN$11-$AL$11)*($AN$11-$AM$11))),$AM$11)</f>
        <v/>
      </c>
      <c r="AR865">
        <f>SUMPRODUCT((B24:B31&lt;=$B$6)*(C24:C31*AM865+D24:D31*AO865*$B$8*AQ865)/(1+AL865/100)^B24:B31)+C32*AM865*AP865/(1+AL865/100)^$B$6</f>
        <v/>
      </c>
      <c r="AS865">
        <f>SUMPRODUCT((K24:K26&lt;=$B$6)*(L24:L26*AN865+M24:M26*AO865*$B$8*AQ865)/(1+AL865/100)^K24:K26)+L27*AN865*AP865/(1+AL865/100)^$B$6</f>
        <v/>
      </c>
      <c r="AT865">
        <f>AS865-AR865</f>
        <v/>
      </c>
      <c r="AU865">
        <f>RAND()</f>
        <v/>
      </c>
      <c r="AV865">
        <f>RAND()</f>
        <v/>
      </c>
      <c r="AW865">
        <f>RAND()</f>
        <v/>
      </c>
      <c r="AX865">
        <f>RAND()</f>
        <v/>
      </c>
      <c r="AY865">
        <f>RAND()</f>
        <v/>
      </c>
      <c r="AZ865">
        <f>RAND()</f>
        <v/>
      </c>
    </row>
    <row r="866">
      <c r="AK866" t="n">
        <v>853</v>
      </c>
      <c r="AL866">
        <f>IFERROR(IF(AU866&lt;($AM$6-$AL$6)/($AN$6-$AL$6),$AL$6+SQRT(AU866*($AN$6-$AL$6)*($AM$6-$AL$6)),$AN$6-SQRT((1-AU866)*($AN$6-$AL$6)*($AN$6-$AM$6))),$AM$6)</f>
        <v/>
      </c>
      <c r="AM866">
        <f>IFERROR(IF(AV866&lt;($AM$7-$AL$7)/($AN$7-$AL$7),$AL$7+SQRT(AV866*($AN$7-$AL$7)*($AM$7-$AL$7)),$AN$7-SQRT((1-AV866)*($AN$7-$AL$7)*($AN$7-$AM$7))),$AM$7)</f>
        <v/>
      </c>
      <c r="AN866">
        <f>IFERROR(IF(AW866&lt;($AM$8-$AL$8)/($AN$8-$AL$8),$AL$8+SQRT(AW866*($AN$8-$AL$8)*($AM$8-$AL$8)),$AN$8-SQRT((1-AW866)*($AN$8-$AL$8)*($AN$8-$AM$8))),$AM$8)</f>
        <v/>
      </c>
      <c r="AO866">
        <f>IFERROR(IF(AX866&lt;($AM$9-$AL$9)/($AN$9-$AL$9),$AL$9+SQRT(AX866*($AN$9-$AL$9)*($AM$9-$AL$9)),$AN$9-SQRT((1-AX866)*($AN$9-$AL$9)*($AN$9-$AM$9))),$AM$9)</f>
        <v/>
      </c>
      <c r="AP866">
        <f>IFERROR(IF(AY866&lt;($AM$10-$AL$10)/($AN$10-$AL$10),$AL$10+SQRT(AY866*($AN$10-$AL$10)*($AM$10-$AL$10)),$AN$10-SQRT((1-AY866)*($AN$10-$AL$10)*($AN$10-$AM$10))),$AM$10)</f>
        <v/>
      </c>
      <c r="AQ866">
        <f>IFERROR(IF(AZ866&lt;($AM$11-$AL$11)/($AN$11-$AL$11),$AL$11+SQRT(AZ866*($AN$11-$AL$11)*($AM$11-$AL$11)),$AN$11-SQRT((1-AZ866)*($AN$11-$AL$11)*($AN$11-$AM$11))),$AM$11)</f>
        <v/>
      </c>
      <c r="AR866">
        <f>SUMPRODUCT((B24:B31&lt;=$B$6)*(C24:C31*AM866+D24:D31*AO866*$B$8*AQ866)/(1+AL866/100)^B24:B31)+C32*AM866*AP866/(1+AL866/100)^$B$6</f>
        <v/>
      </c>
      <c r="AS866">
        <f>SUMPRODUCT((K24:K26&lt;=$B$6)*(L24:L26*AN866+M24:M26*AO866*$B$8*AQ866)/(1+AL866/100)^K24:K26)+L27*AN866*AP866/(1+AL866/100)^$B$6</f>
        <v/>
      </c>
      <c r="AT866">
        <f>AS866-AR866</f>
        <v/>
      </c>
      <c r="AU866">
        <f>RAND()</f>
        <v/>
      </c>
      <c r="AV866">
        <f>RAND()</f>
        <v/>
      </c>
      <c r="AW866">
        <f>RAND()</f>
        <v/>
      </c>
      <c r="AX866">
        <f>RAND()</f>
        <v/>
      </c>
      <c r="AY866">
        <f>RAND()</f>
        <v/>
      </c>
      <c r="AZ866">
        <f>RAND()</f>
        <v/>
      </c>
    </row>
    <row r="867">
      <c r="AK867" t="n">
        <v>854</v>
      </c>
      <c r="AL867">
        <f>IFERROR(IF(AU867&lt;($AM$6-$AL$6)/($AN$6-$AL$6),$AL$6+SQRT(AU867*($AN$6-$AL$6)*($AM$6-$AL$6)),$AN$6-SQRT((1-AU867)*($AN$6-$AL$6)*($AN$6-$AM$6))),$AM$6)</f>
        <v/>
      </c>
      <c r="AM867">
        <f>IFERROR(IF(AV867&lt;($AM$7-$AL$7)/($AN$7-$AL$7),$AL$7+SQRT(AV867*($AN$7-$AL$7)*($AM$7-$AL$7)),$AN$7-SQRT((1-AV867)*($AN$7-$AL$7)*($AN$7-$AM$7))),$AM$7)</f>
        <v/>
      </c>
      <c r="AN867">
        <f>IFERROR(IF(AW867&lt;($AM$8-$AL$8)/($AN$8-$AL$8),$AL$8+SQRT(AW867*($AN$8-$AL$8)*($AM$8-$AL$8)),$AN$8-SQRT((1-AW867)*($AN$8-$AL$8)*($AN$8-$AM$8))),$AM$8)</f>
        <v/>
      </c>
      <c r="AO867">
        <f>IFERROR(IF(AX867&lt;($AM$9-$AL$9)/($AN$9-$AL$9),$AL$9+SQRT(AX867*($AN$9-$AL$9)*($AM$9-$AL$9)),$AN$9-SQRT((1-AX867)*($AN$9-$AL$9)*($AN$9-$AM$9))),$AM$9)</f>
        <v/>
      </c>
      <c r="AP867">
        <f>IFERROR(IF(AY867&lt;($AM$10-$AL$10)/($AN$10-$AL$10),$AL$10+SQRT(AY867*($AN$10-$AL$10)*($AM$10-$AL$10)),$AN$10-SQRT((1-AY867)*($AN$10-$AL$10)*($AN$10-$AM$10))),$AM$10)</f>
        <v/>
      </c>
      <c r="AQ867">
        <f>IFERROR(IF(AZ867&lt;($AM$11-$AL$11)/($AN$11-$AL$11),$AL$11+SQRT(AZ867*($AN$11-$AL$11)*($AM$11-$AL$11)),$AN$11-SQRT((1-AZ867)*($AN$11-$AL$11)*($AN$11-$AM$11))),$AM$11)</f>
        <v/>
      </c>
      <c r="AR867">
        <f>SUMPRODUCT((B24:B31&lt;=$B$6)*(C24:C31*AM867+D24:D31*AO867*$B$8*AQ867)/(1+AL867/100)^B24:B31)+C32*AM867*AP867/(1+AL867/100)^$B$6</f>
        <v/>
      </c>
      <c r="AS867">
        <f>SUMPRODUCT((K24:K26&lt;=$B$6)*(L24:L26*AN867+M24:M26*AO867*$B$8*AQ867)/(1+AL867/100)^K24:K26)+L27*AN867*AP867/(1+AL867/100)^$B$6</f>
        <v/>
      </c>
      <c r="AT867">
        <f>AS867-AR867</f>
        <v/>
      </c>
      <c r="AU867">
        <f>RAND()</f>
        <v/>
      </c>
      <c r="AV867">
        <f>RAND()</f>
        <v/>
      </c>
      <c r="AW867">
        <f>RAND()</f>
        <v/>
      </c>
      <c r="AX867">
        <f>RAND()</f>
        <v/>
      </c>
      <c r="AY867">
        <f>RAND()</f>
        <v/>
      </c>
      <c r="AZ867">
        <f>RAND()</f>
        <v/>
      </c>
    </row>
    <row r="868">
      <c r="AK868" t="n">
        <v>855</v>
      </c>
      <c r="AL868">
        <f>IFERROR(IF(AU868&lt;($AM$6-$AL$6)/($AN$6-$AL$6),$AL$6+SQRT(AU868*($AN$6-$AL$6)*($AM$6-$AL$6)),$AN$6-SQRT((1-AU868)*($AN$6-$AL$6)*($AN$6-$AM$6))),$AM$6)</f>
        <v/>
      </c>
      <c r="AM868">
        <f>IFERROR(IF(AV868&lt;($AM$7-$AL$7)/($AN$7-$AL$7),$AL$7+SQRT(AV868*($AN$7-$AL$7)*($AM$7-$AL$7)),$AN$7-SQRT((1-AV868)*($AN$7-$AL$7)*($AN$7-$AM$7))),$AM$7)</f>
        <v/>
      </c>
      <c r="AN868">
        <f>IFERROR(IF(AW868&lt;($AM$8-$AL$8)/($AN$8-$AL$8),$AL$8+SQRT(AW868*($AN$8-$AL$8)*($AM$8-$AL$8)),$AN$8-SQRT((1-AW868)*($AN$8-$AL$8)*($AN$8-$AM$8))),$AM$8)</f>
        <v/>
      </c>
      <c r="AO868">
        <f>IFERROR(IF(AX868&lt;($AM$9-$AL$9)/($AN$9-$AL$9),$AL$9+SQRT(AX868*($AN$9-$AL$9)*($AM$9-$AL$9)),$AN$9-SQRT((1-AX868)*($AN$9-$AL$9)*($AN$9-$AM$9))),$AM$9)</f>
        <v/>
      </c>
      <c r="AP868">
        <f>IFERROR(IF(AY868&lt;($AM$10-$AL$10)/($AN$10-$AL$10),$AL$10+SQRT(AY868*($AN$10-$AL$10)*($AM$10-$AL$10)),$AN$10-SQRT((1-AY868)*($AN$10-$AL$10)*($AN$10-$AM$10))),$AM$10)</f>
        <v/>
      </c>
      <c r="AQ868">
        <f>IFERROR(IF(AZ868&lt;($AM$11-$AL$11)/($AN$11-$AL$11),$AL$11+SQRT(AZ868*($AN$11-$AL$11)*($AM$11-$AL$11)),$AN$11-SQRT((1-AZ868)*($AN$11-$AL$11)*($AN$11-$AM$11))),$AM$11)</f>
        <v/>
      </c>
      <c r="AR868">
        <f>SUMPRODUCT((B24:B31&lt;=$B$6)*(C24:C31*AM868+D24:D31*AO868*$B$8*AQ868)/(1+AL868/100)^B24:B31)+C32*AM868*AP868/(1+AL868/100)^$B$6</f>
        <v/>
      </c>
      <c r="AS868">
        <f>SUMPRODUCT((K24:K26&lt;=$B$6)*(L24:L26*AN868+M24:M26*AO868*$B$8*AQ868)/(1+AL868/100)^K24:K26)+L27*AN868*AP868/(1+AL868/100)^$B$6</f>
        <v/>
      </c>
      <c r="AT868">
        <f>AS868-AR868</f>
        <v/>
      </c>
      <c r="AU868">
        <f>RAND()</f>
        <v/>
      </c>
      <c r="AV868">
        <f>RAND()</f>
        <v/>
      </c>
      <c r="AW868">
        <f>RAND()</f>
        <v/>
      </c>
      <c r="AX868">
        <f>RAND()</f>
        <v/>
      </c>
      <c r="AY868">
        <f>RAND()</f>
        <v/>
      </c>
      <c r="AZ868">
        <f>RAND()</f>
        <v/>
      </c>
    </row>
    <row r="869">
      <c r="AK869" t="n">
        <v>856</v>
      </c>
      <c r="AL869">
        <f>IFERROR(IF(AU869&lt;($AM$6-$AL$6)/($AN$6-$AL$6),$AL$6+SQRT(AU869*($AN$6-$AL$6)*($AM$6-$AL$6)),$AN$6-SQRT((1-AU869)*($AN$6-$AL$6)*($AN$6-$AM$6))),$AM$6)</f>
        <v/>
      </c>
      <c r="AM869">
        <f>IFERROR(IF(AV869&lt;($AM$7-$AL$7)/($AN$7-$AL$7),$AL$7+SQRT(AV869*($AN$7-$AL$7)*($AM$7-$AL$7)),$AN$7-SQRT((1-AV869)*($AN$7-$AL$7)*($AN$7-$AM$7))),$AM$7)</f>
        <v/>
      </c>
      <c r="AN869">
        <f>IFERROR(IF(AW869&lt;($AM$8-$AL$8)/($AN$8-$AL$8),$AL$8+SQRT(AW869*($AN$8-$AL$8)*($AM$8-$AL$8)),$AN$8-SQRT((1-AW869)*($AN$8-$AL$8)*($AN$8-$AM$8))),$AM$8)</f>
        <v/>
      </c>
      <c r="AO869">
        <f>IFERROR(IF(AX869&lt;($AM$9-$AL$9)/($AN$9-$AL$9),$AL$9+SQRT(AX869*($AN$9-$AL$9)*($AM$9-$AL$9)),$AN$9-SQRT((1-AX869)*($AN$9-$AL$9)*($AN$9-$AM$9))),$AM$9)</f>
        <v/>
      </c>
      <c r="AP869">
        <f>IFERROR(IF(AY869&lt;($AM$10-$AL$10)/($AN$10-$AL$10),$AL$10+SQRT(AY869*($AN$10-$AL$10)*($AM$10-$AL$10)),$AN$10-SQRT((1-AY869)*($AN$10-$AL$10)*($AN$10-$AM$10))),$AM$10)</f>
        <v/>
      </c>
      <c r="AQ869">
        <f>IFERROR(IF(AZ869&lt;($AM$11-$AL$11)/($AN$11-$AL$11),$AL$11+SQRT(AZ869*($AN$11-$AL$11)*($AM$11-$AL$11)),$AN$11-SQRT((1-AZ869)*($AN$11-$AL$11)*($AN$11-$AM$11))),$AM$11)</f>
        <v/>
      </c>
      <c r="AR869">
        <f>SUMPRODUCT((B24:B31&lt;=$B$6)*(C24:C31*AM869+D24:D31*AO869*$B$8*AQ869)/(1+AL869/100)^B24:B31)+C32*AM869*AP869/(1+AL869/100)^$B$6</f>
        <v/>
      </c>
      <c r="AS869">
        <f>SUMPRODUCT((K24:K26&lt;=$B$6)*(L24:L26*AN869+M24:M26*AO869*$B$8*AQ869)/(1+AL869/100)^K24:K26)+L27*AN869*AP869/(1+AL869/100)^$B$6</f>
        <v/>
      </c>
      <c r="AT869">
        <f>AS869-AR869</f>
        <v/>
      </c>
      <c r="AU869">
        <f>RAND()</f>
        <v/>
      </c>
      <c r="AV869">
        <f>RAND()</f>
        <v/>
      </c>
      <c r="AW869">
        <f>RAND()</f>
        <v/>
      </c>
      <c r="AX869">
        <f>RAND()</f>
        <v/>
      </c>
      <c r="AY869">
        <f>RAND()</f>
        <v/>
      </c>
      <c r="AZ869">
        <f>RAND()</f>
        <v/>
      </c>
    </row>
    <row r="870">
      <c r="AK870" t="n">
        <v>857</v>
      </c>
      <c r="AL870">
        <f>IFERROR(IF(AU870&lt;($AM$6-$AL$6)/($AN$6-$AL$6),$AL$6+SQRT(AU870*($AN$6-$AL$6)*($AM$6-$AL$6)),$AN$6-SQRT((1-AU870)*($AN$6-$AL$6)*($AN$6-$AM$6))),$AM$6)</f>
        <v/>
      </c>
      <c r="AM870">
        <f>IFERROR(IF(AV870&lt;($AM$7-$AL$7)/($AN$7-$AL$7),$AL$7+SQRT(AV870*($AN$7-$AL$7)*($AM$7-$AL$7)),$AN$7-SQRT((1-AV870)*($AN$7-$AL$7)*($AN$7-$AM$7))),$AM$7)</f>
        <v/>
      </c>
      <c r="AN870">
        <f>IFERROR(IF(AW870&lt;($AM$8-$AL$8)/($AN$8-$AL$8),$AL$8+SQRT(AW870*($AN$8-$AL$8)*($AM$8-$AL$8)),$AN$8-SQRT((1-AW870)*($AN$8-$AL$8)*($AN$8-$AM$8))),$AM$8)</f>
        <v/>
      </c>
      <c r="AO870">
        <f>IFERROR(IF(AX870&lt;($AM$9-$AL$9)/($AN$9-$AL$9),$AL$9+SQRT(AX870*($AN$9-$AL$9)*($AM$9-$AL$9)),$AN$9-SQRT((1-AX870)*($AN$9-$AL$9)*($AN$9-$AM$9))),$AM$9)</f>
        <v/>
      </c>
      <c r="AP870">
        <f>IFERROR(IF(AY870&lt;($AM$10-$AL$10)/($AN$10-$AL$10),$AL$10+SQRT(AY870*($AN$10-$AL$10)*($AM$10-$AL$10)),$AN$10-SQRT((1-AY870)*($AN$10-$AL$10)*($AN$10-$AM$10))),$AM$10)</f>
        <v/>
      </c>
      <c r="AQ870">
        <f>IFERROR(IF(AZ870&lt;($AM$11-$AL$11)/($AN$11-$AL$11),$AL$11+SQRT(AZ870*($AN$11-$AL$11)*($AM$11-$AL$11)),$AN$11-SQRT((1-AZ870)*($AN$11-$AL$11)*($AN$11-$AM$11))),$AM$11)</f>
        <v/>
      </c>
      <c r="AR870">
        <f>SUMPRODUCT((B24:B31&lt;=$B$6)*(C24:C31*AM870+D24:D31*AO870*$B$8*AQ870)/(1+AL870/100)^B24:B31)+C32*AM870*AP870/(1+AL870/100)^$B$6</f>
        <v/>
      </c>
      <c r="AS870">
        <f>SUMPRODUCT((K24:K26&lt;=$B$6)*(L24:L26*AN870+M24:M26*AO870*$B$8*AQ870)/(1+AL870/100)^K24:K26)+L27*AN870*AP870/(1+AL870/100)^$B$6</f>
        <v/>
      </c>
      <c r="AT870">
        <f>AS870-AR870</f>
        <v/>
      </c>
      <c r="AU870">
        <f>RAND()</f>
        <v/>
      </c>
      <c r="AV870">
        <f>RAND()</f>
        <v/>
      </c>
      <c r="AW870">
        <f>RAND()</f>
        <v/>
      </c>
      <c r="AX870">
        <f>RAND()</f>
        <v/>
      </c>
      <c r="AY870">
        <f>RAND()</f>
        <v/>
      </c>
      <c r="AZ870">
        <f>RAND()</f>
        <v/>
      </c>
    </row>
    <row r="871">
      <c r="AK871" t="n">
        <v>858</v>
      </c>
      <c r="AL871">
        <f>IFERROR(IF(AU871&lt;($AM$6-$AL$6)/($AN$6-$AL$6),$AL$6+SQRT(AU871*($AN$6-$AL$6)*($AM$6-$AL$6)),$AN$6-SQRT((1-AU871)*($AN$6-$AL$6)*($AN$6-$AM$6))),$AM$6)</f>
        <v/>
      </c>
      <c r="AM871">
        <f>IFERROR(IF(AV871&lt;($AM$7-$AL$7)/($AN$7-$AL$7),$AL$7+SQRT(AV871*($AN$7-$AL$7)*($AM$7-$AL$7)),$AN$7-SQRT((1-AV871)*($AN$7-$AL$7)*($AN$7-$AM$7))),$AM$7)</f>
        <v/>
      </c>
      <c r="AN871">
        <f>IFERROR(IF(AW871&lt;($AM$8-$AL$8)/($AN$8-$AL$8),$AL$8+SQRT(AW871*($AN$8-$AL$8)*($AM$8-$AL$8)),$AN$8-SQRT((1-AW871)*($AN$8-$AL$8)*($AN$8-$AM$8))),$AM$8)</f>
        <v/>
      </c>
      <c r="AO871">
        <f>IFERROR(IF(AX871&lt;($AM$9-$AL$9)/($AN$9-$AL$9),$AL$9+SQRT(AX871*($AN$9-$AL$9)*($AM$9-$AL$9)),$AN$9-SQRT((1-AX871)*($AN$9-$AL$9)*($AN$9-$AM$9))),$AM$9)</f>
        <v/>
      </c>
      <c r="AP871">
        <f>IFERROR(IF(AY871&lt;($AM$10-$AL$10)/($AN$10-$AL$10),$AL$10+SQRT(AY871*($AN$10-$AL$10)*($AM$10-$AL$10)),$AN$10-SQRT((1-AY871)*($AN$10-$AL$10)*($AN$10-$AM$10))),$AM$10)</f>
        <v/>
      </c>
      <c r="AQ871">
        <f>IFERROR(IF(AZ871&lt;($AM$11-$AL$11)/($AN$11-$AL$11),$AL$11+SQRT(AZ871*($AN$11-$AL$11)*($AM$11-$AL$11)),$AN$11-SQRT((1-AZ871)*($AN$11-$AL$11)*($AN$11-$AM$11))),$AM$11)</f>
        <v/>
      </c>
      <c r="AR871">
        <f>SUMPRODUCT((B24:B31&lt;=$B$6)*(C24:C31*AM871+D24:D31*AO871*$B$8*AQ871)/(1+AL871/100)^B24:B31)+C32*AM871*AP871/(1+AL871/100)^$B$6</f>
        <v/>
      </c>
      <c r="AS871">
        <f>SUMPRODUCT((K24:K26&lt;=$B$6)*(L24:L26*AN871+M24:M26*AO871*$B$8*AQ871)/(1+AL871/100)^K24:K26)+L27*AN871*AP871/(1+AL871/100)^$B$6</f>
        <v/>
      </c>
      <c r="AT871">
        <f>AS871-AR871</f>
        <v/>
      </c>
      <c r="AU871">
        <f>RAND()</f>
        <v/>
      </c>
      <c r="AV871">
        <f>RAND()</f>
        <v/>
      </c>
      <c r="AW871">
        <f>RAND()</f>
        <v/>
      </c>
      <c r="AX871">
        <f>RAND()</f>
        <v/>
      </c>
      <c r="AY871">
        <f>RAND()</f>
        <v/>
      </c>
      <c r="AZ871">
        <f>RAND()</f>
        <v/>
      </c>
    </row>
    <row r="872">
      <c r="AK872" t="n">
        <v>859</v>
      </c>
      <c r="AL872">
        <f>IFERROR(IF(AU872&lt;($AM$6-$AL$6)/($AN$6-$AL$6),$AL$6+SQRT(AU872*($AN$6-$AL$6)*($AM$6-$AL$6)),$AN$6-SQRT((1-AU872)*($AN$6-$AL$6)*($AN$6-$AM$6))),$AM$6)</f>
        <v/>
      </c>
      <c r="AM872">
        <f>IFERROR(IF(AV872&lt;($AM$7-$AL$7)/($AN$7-$AL$7),$AL$7+SQRT(AV872*($AN$7-$AL$7)*($AM$7-$AL$7)),$AN$7-SQRT((1-AV872)*($AN$7-$AL$7)*($AN$7-$AM$7))),$AM$7)</f>
        <v/>
      </c>
      <c r="AN872">
        <f>IFERROR(IF(AW872&lt;($AM$8-$AL$8)/($AN$8-$AL$8),$AL$8+SQRT(AW872*($AN$8-$AL$8)*($AM$8-$AL$8)),$AN$8-SQRT((1-AW872)*($AN$8-$AL$8)*($AN$8-$AM$8))),$AM$8)</f>
        <v/>
      </c>
      <c r="AO872">
        <f>IFERROR(IF(AX872&lt;($AM$9-$AL$9)/($AN$9-$AL$9),$AL$9+SQRT(AX872*($AN$9-$AL$9)*($AM$9-$AL$9)),$AN$9-SQRT((1-AX872)*($AN$9-$AL$9)*($AN$9-$AM$9))),$AM$9)</f>
        <v/>
      </c>
      <c r="AP872">
        <f>IFERROR(IF(AY872&lt;($AM$10-$AL$10)/($AN$10-$AL$10),$AL$10+SQRT(AY872*($AN$10-$AL$10)*($AM$10-$AL$10)),$AN$10-SQRT((1-AY872)*($AN$10-$AL$10)*($AN$10-$AM$10))),$AM$10)</f>
        <v/>
      </c>
      <c r="AQ872">
        <f>IFERROR(IF(AZ872&lt;($AM$11-$AL$11)/($AN$11-$AL$11),$AL$11+SQRT(AZ872*($AN$11-$AL$11)*($AM$11-$AL$11)),$AN$11-SQRT((1-AZ872)*($AN$11-$AL$11)*($AN$11-$AM$11))),$AM$11)</f>
        <v/>
      </c>
      <c r="AR872">
        <f>SUMPRODUCT((B24:B31&lt;=$B$6)*(C24:C31*AM872+D24:D31*AO872*$B$8*AQ872)/(1+AL872/100)^B24:B31)+C32*AM872*AP872/(1+AL872/100)^$B$6</f>
        <v/>
      </c>
      <c r="AS872">
        <f>SUMPRODUCT((K24:K26&lt;=$B$6)*(L24:L26*AN872+M24:M26*AO872*$B$8*AQ872)/(1+AL872/100)^K24:K26)+L27*AN872*AP872/(1+AL872/100)^$B$6</f>
        <v/>
      </c>
      <c r="AT872">
        <f>AS872-AR872</f>
        <v/>
      </c>
      <c r="AU872">
        <f>RAND()</f>
        <v/>
      </c>
      <c r="AV872">
        <f>RAND()</f>
        <v/>
      </c>
      <c r="AW872">
        <f>RAND()</f>
        <v/>
      </c>
      <c r="AX872">
        <f>RAND()</f>
        <v/>
      </c>
      <c r="AY872">
        <f>RAND()</f>
        <v/>
      </c>
      <c r="AZ872">
        <f>RAND()</f>
        <v/>
      </c>
    </row>
    <row r="873">
      <c r="AK873" t="n">
        <v>860</v>
      </c>
      <c r="AL873">
        <f>IFERROR(IF(AU873&lt;($AM$6-$AL$6)/($AN$6-$AL$6),$AL$6+SQRT(AU873*($AN$6-$AL$6)*($AM$6-$AL$6)),$AN$6-SQRT((1-AU873)*($AN$6-$AL$6)*($AN$6-$AM$6))),$AM$6)</f>
        <v/>
      </c>
      <c r="AM873">
        <f>IFERROR(IF(AV873&lt;($AM$7-$AL$7)/($AN$7-$AL$7),$AL$7+SQRT(AV873*($AN$7-$AL$7)*($AM$7-$AL$7)),$AN$7-SQRT((1-AV873)*($AN$7-$AL$7)*($AN$7-$AM$7))),$AM$7)</f>
        <v/>
      </c>
      <c r="AN873">
        <f>IFERROR(IF(AW873&lt;($AM$8-$AL$8)/($AN$8-$AL$8),$AL$8+SQRT(AW873*($AN$8-$AL$8)*($AM$8-$AL$8)),$AN$8-SQRT((1-AW873)*($AN$8-$AL$8)*($AN$8-$AM$8))),$AM$8)</f>
        <v/>
      </c>
      <c r="AO873">
        <f>IFERROR(IF(AX873&lt;($AM$9-$AL$9)/($AN$9-$AL$9),$AL$9+SQRT(AX873*($AN$9-$AL$9)*($AM$9-$AL$9)),$AN$9-SQRT((1-AX873)*($AN$9-$AL$9)*($AN$9-$AM$9))),$AM$9)</f>
        <v/>
      </c>
      <c r="AP873">
        <f>IFERROR(IF(AY873&lt;($AM$10-$AL$10)/($AN$10-$AL$10),$AL$10+SQRT(AY873*($AN$10-$AL$10)*($AM$10-$AL$10)),$AN$10-SQRT((1-AY873)*($AN$10-$AL$10)*($AN$10-$AM$10))),$AM$10)</f>
        <v/>
      </c>
      <c r="AQ873">
        <f>IFERROR(IF(AZ873&lt;($AM$11-$AL$11)/($AN$11-$AL$11),$AL$11+SQRT(AZ873*($AN$11-$AL$11)*($AM$11-$AL$11)),$AN$11-SQRT((1-AZ873)*($AN$11-$AL$11)*($AN$11-$AM$11))),$AM$11)</f>
        <v/>
      </c>
      <c r="AR873">
        <f>SUMPRODUCT((B24:B31&lt;=$B$6)*(C24:C31*AM873+D24:D31*AO873*$B$8*AQ873)/(1+AL873/100)^B24:B31)+C32*AM873*AP873/(1+AL873/100)^$B$6</f>
        <v/>
      </c>
      <c r="AS873">
        <f>SUMPRODUCT((K24:K26&lt;=$B$6)*(L24:L26*AN873+M24:M26*AO873*$B$8*AQ873)/(1+AL873/100)^K24:K26)+L27*AN873*AP873/(1+AL873/100)^$B$6</f>
        <v/>
      </c>
      <c r="AT873">
        <f>AS873-AR873</f>
        <v/>
      </c>
      <c r="AU873">
        <f>RAND()</f>
        <v/>
      </c>
      <c r="AV873">
        <f>RAND()</f>
        <v/>
      </c>
      <c r="AW873">
        <f>RAND()</f>
        <v/>
      </c>
      <c r="AX873">
        <f>RAND()</f>
        <v/>
      </c>
      <c r="AY873">
        <f>RAND()</f>
        <v/>
      </c>
      <c r="AZ873">
        <f>RAND()</f>
        <v/>
      </c>
    </row>
    <row r="874">
      <c r="AK874" t="n">
        <v>861</v>
      </c>
      <c r="AL874">
        <f>IFERROR(IF(AU874&lt;($AM$6-$AL$6)/($AN$6-$AL$6),$AL$6+SQRT(AU874*($AN$6-$AL$6)*($AM$6-$AL$6)),$AN$6-SQRT((1-AU874)*($AN$6-$AL$6)*($AN$6-$AM$6))),$AM$6)</f>
        <v/>
      </c>
      <c r="AM874">
        <f>IFERROR(IF(AV874&lt;($AM$7-$AL$7)/($AN$7-$AL$7),$AL$7+SQRT(AV874*($AN$7-$AL$7)*($AM$7-$AL$7)),$AN$7-SQRT((1-AV874)*($AN$7-$AL$7)*($AN$7-$AM$7))),$AM$7)</f>
        <v/>
      </c>
      <c r="AN874">
        <f>IFERROR(IF(AW874&lt;($AM$8-$AL$8)/($AN$8-$AL$8),$AL$8+SQRT(AW874*($AN$8-$AL$8)*($AM$8-$AL$8)),$AN$8-SQRT((1-AW874)*($AN$8-$AL$8)*($AN$8-$AM$8))),$AM$8)</f>
        <v/>
      </c>
      <c r="AO874">
        <f>IFERROR(IF(AX874&lt;($AM$9-$AL$9)/($AN$9-$AL$9),$AL$9+SQRT(AX874*($AN$9-$AL$9)*($AM$9-$AL$9)),$AN$9-SQRT((1-AX874)*($AN$9-$AL$9)*($AN$9-$AM$9))),$AM$9)</f>
        <v/>
      </c>
      <c r="AP874">
        <f>IFERROR(IF(AY874&lt;($AM$10-$AL$10)/($AN$10-$AL$10),$AL$10+SQRT(AY874*($AN$10-$AL$10)*($AM$10-$AL$10)),$AN$10-SQRT((1-AY874)*($AN$10-$AL$10)*($AN$10-$AM$10))),$AM$10)</f>
        <v/>
      </c>
      <c r="AQ874">
        <f>IFERROR(IF(AZ874&lt;($AM$11-$AL$11)/($AN$11-$AL$11),$AL$11+SQRT(AZ874*($AN$11-$AL$11)*($AM$11-$AL$11)),$AN$11-SQRT((1-AZ874)*($AN$11-$AL$11)*($AN$11-$AM$11))),$AM$11)</f>
        <v/>
      </c>
      <c r="AR874">
        <f>SUMPRODUCT((B24:B31&lt;=$B$6)*(C24:C31*AM874+D24:D31*AO874*$B$8*AQ874)/(1+AL874/100)^B24:B31)+C32*AM874*AP874/(1+AL874/100)^$B$6</f>
        <v/>
      </c>
      <c r="AS874">
        <f>SUMPRODUCT((K24:K26&lt;=$B$6)*(L24:L26*AN874+M24:M26*AO874*$B$8*AQ874)/(1+AL874/100)^K24:K26)+L27*AN874*AP874/(1+AL874/100)^$B$6</f>
        <v/>
      </c>
      <c r="AT874">
        <f>AS874-AR874</f>
        <v/>
      </c>
      <c r="AU874">
        <f>RAND()</f>
        <v/>
      </c>
      <c r="AV874">
        <f>RAND()</f>
        <v/>
      </c>
      <c r="AW874">
        <f>RAND()</f>
        <v/>
      </c>
      <c r="AX874">
        <f>RAND()</f>
        <v/>
      </c>
      <c r="AY874">
        <f>RAND()</f>
        <v/>
      </c>
      <c r="AZ874">
        <f>RAND()</f>
        <v/>
      </c>
    </row>
    <row r="875">
      <c r="AK875" t="n">
        <v>862</v>
      </c>
      <c r="AL875">
        <f>IFERROR(IF(AU875&lt;($AM$6-$AL$6)/($AN$6-$AL$6),$AL$6+SQRT(AU875*($AN$6-$AL$6)*($AM$6-$AL$6)),$AN$6-SQRT((1-AU875)*($AN$6-$AL$6)*($AN$6-$AM$6))),$AM$6)</f>
        <v/>
      </c>
      <c r="AM875">
        <f>IFERROR(IF(AV875&lt;($AM$7-$AL$7)/($AN$7-$AL$7),$AL$7+SQRT(AV875*($AN$7-$AL$7)*($AM$7-$AL$7)),$AN$7-SQRT((1-AV875)*($AN$7-$AL$7)*($AN$7-$AM$7))),$AM$7)</f>
        <v/>
      </c>
      <c r="AN875">
        <f>IFERROR(IF(AW875&lt;($AM$8-$AL$8)/($AN$8-$AL$8),$AL$8+SQRT(AW875*($AN$8-$AL$8)*($AM$8-$AL$8)),$AN$8-SQRT((1-AW875)*($AN$8-$AL$8)*($AN$8-$AM$8))),$AM$8)</f>
        <v/>
      </c>
      <c r="AO875">
        <f>IFERROR(IF(AX875&lt;($AM$9-$AL$9)/($AN$9-$AL$9),$AL$9+SQRT(AX875*($AN$9-$AL$9)*($AM$9-$AL$9)),$AN$9-SQRT((1-AX875)*($AN$9-$AL$9)*($AN$9-$AM$9))),$AM$9)</f>
        <v/>
      </c>
      <c r="AP875">
        <f>IFERROR(IF(AY875&lt;($AM$10-$AL$10)/($AN$10-$AL$10),$AL$10+SQRT(AY875*($AN$10-$AL$10)*($AM$10-$AL$10)),$AN$10-SQRT((1-AY875)*($AN$10-$AL$10)*($AN$10-$AM$10))),$AM$10)</f>
        <v/>
      </c>
      <c r="AQ875">
        <f>IFERROR(IF(AZ875&lt;($AM$11-$AL$11)/($AN$11-$AL$11),$AL$11+SQRT(AZ875*($AN$11-$AL$11)*($AM$11-$AL$11)),$AN$11-SQRT((1-AZ875)*($AN$11-$AL$11)*($AN$11-$AM$11))),$AM$11)</f>
        <v/>
      </c>
      <c r="AR875">
        <f>SUMPRODUCT((B24:B31&lt;=$B$6)*(C24:C31*AM875+D24:D31*AO875*$B$8*AQ875)/(1+AL875/100)^B24:B31)+C32*AM875*AP875/(1+AL875/100)^$B$6</f>
        <v/>
      </c>
      <c r="AS875">
        <f>SUMPRODUCT((K24:K26&lt;=$B$6)*(L24:L26*AN875+M24:M26*AO875*$B$8*AQ875)/(1+AL875/100)^K24:K26)+L27*AN875*AP875/(1+AL875/100)^$B$6</f>
        <v/>
      </c>
      <c r="AT875">
        <f>AS875-AR875</f>
        <v/>
      </c>
      <c r="AU875">
        <f>RAND()</f>
        <v/>
      </c>
      <c r="AV875">
        <f>RAND()</f>
        <v/>
      </c>
      <c r="AW875">
        <f>RAND()</f>
        <v/>
      </c>
      <c r="AX875">
        <f>RAND()</f>
        <v/>
      </c>
      <c r="AY875">
        <f>RAND()</f>
        <v/>
      </c>
      <c r="AZ875">
        <f>RAND()</f>
        <v/>
      </c>
    </row>
    <row r="876">
      <c r="AK876" t="n">
        <v>863</v>
      </c>
      <c r="AL876">
        <f>IFERROR(IF(AU876&lt;($AM$6-$AL$6)/($AN$6-$AL$6),$AL$6+SQRT(AU876*($AN$6-$AL$6)*($AM$6-$AL$6)),$AN$6-SQRT((1-AU876)*($AN$6-$AL$6)*($AN$6-$AM$6))),$AM$6)</f>
        <v/>
      </c>
      <c r="AM876">
        <f>IFERROR(IF(AV876&lt;($AM$7-$AL$7)/($AN$7-$AL$7),$AL$7+SQRT(AV876*($AN$7-$AL$7)*($AM$7-$AL$7)),$AN$7-SQRT((1-AV876)*($AN$7-$AL$7)*($AN$7-$AM$7))),$AM$7)</f>
        <v/>
      </c>
      <c r="AN876">
        <f>IFERROR(IF(AW876&lt;($AM$8-$AL$8)/($AN$8-$AL$8),$AL$8+SQRT(AW876*($AN$8-$AL$8)*($AM$8-$AL$8)),$AN$8-SQRT((1-AW876)*($AN$8-$AL$8)*($AN$8-$AM$8))),$AM$8)</f>
        <v/>
      </c>
      <c r="AO876">
        <f>IFERROR(IF(AX876&lt;($AM$9-$AL$9)/($AN$9-$AL$9),$AL$9+SQRT(AX876*($AN$9-$AL$9)*($AM$9-$AL$9)),$AN$9-SQRT((1-AX876)*($AN$9-$AL$9)*($AN$9-$AM$9))),$AM$9)</f>
        <v/>
      </c>
      <c r="AP876">
        <f>IFERROR(IF(AY876&lt;($AM$10-$AL$10)/($AN$10-$AL$10),$AL$10+SQRT(AY876*($AN$10-$AL$10)*($AM$10-$AL$10)),$AN$10-SQRT((1-AY876)*($AN$10-$AL$10)*($AN$10-$AM$10))),$AM$10)</f>
        <v/>
      </c>
      <c r="AQ876">
        <f>IFERROR(IF(AZ876&lt;($AM$11-$AL$11)/($AN$11-$AL$11),$AL$11+SQRT(AZ876*($AN$11-$AL$11)*($AM$11-$AL$11)),$AN$11-SQRT((1-AZ876)*($AN$11-$AL$11)*($AN$11-$AM$11))),$AM$11)</f>
        <v/>
      </c>
      <c r="AR876">
        <f>SUMPRODUCT((B24:B31&lt;=$B$6)*(C24:C31*AM876+D24:D31*AO876*$B$8*AQ876)/(1+AL876/100)^B24:B31)+C32*AM876*AP876/(1+AL876/100)^$B$6</f>
        <v/>
      </c>
      <c r="AS876">
        <f>SUMPRODUCT((K24:K26&lt;=$B$6)*(L24:L26*AN876+M24:M26*AO876*$B$8*AQ876)/(1+AL876/100)^K24:K26)+L27*AN876*AP876/(1+AL876/100)^$B$6</f>
        <v/>
      </c>
      <c r="AT876">
        <f>AS876-AR876</f>
        <v/>
      </c>
      <c r="AU876">
        <f>RAND()</f>
        <v/>
      </c>
      <c r="AV876">
        <f>RAND()</f>
        <v/>
      </c>
      <c r="AW876">
        <f>RAND()</f>
        <v/>
      </c>
      <c r="AX876">
        <f>RAND()</f>
        <v/>
      </c>
      <c r="AY876">
        <f>RAND()</f>
        <v/>
      </c>
      <c r="AZ876">
        <f>RAND()</f>
        <v/>
      </c>
    </row>
    <row r="877">
      <c r="AK877" t="n">
        <v>864</v>
      </c>
      <c r="AL877">
        <f>IFERROR(IF(AU877&lt;($AM$6-$AL$6)/($AN$6-$AL$6),$AL$6+SQRT(AU877*($AN$6-$AL$6)*($AM$6-$AL$6)),$AN$6-SQRT((1-AU877)*($AN$6-$AL$6)*($AN$6-$AM$6))),$AM$6)</f>
        <v/>
      </c>
      <c r="AM877">
        <f>IFERROR(IF(AV877&lt;($AM$7-$AL$7)/($AN$7-$AL$7),$AL$7+SQRT(AV877*($AN$7-$AL$7)*($AM$7-$AL$7)),$AN$7-SQRT((1-AV877)*($AN$7-$AL$7)*($AN$7-$AM$7))),$AM$7)</f>
        <v/>
      </c>
      <c r="AN877">
        <f>IFERROR(IF(AW877&lt;($AM$8-$AL$8)/($AN$8-$AL$8),$AL$8+SQRT(AW877*($AN$8-$AL$8)*($AM$8-$AL$8)),$AN$8-SQRT((1-AW877)*($AN$8-$AL$8)*($AN$8-$AM$8))),$AM$8)</f>
        <v/>
      </c>
      <c r="AO877">
        <f>IFERROR(IF(AX877&lt;($AM$9-$AL$9)/($AN$9-$AL$9),$AL$9+SQRT(AX877*($AN$9-$AL$9)*($AM$9-$AL$9)),$AN$9-SQRT((1-AX877)*($AN$9-$AL$9)*($AN$9-$AM$9))),$AM$9)</f>
        <v/>
      </c>
      <c r="AP877">
        <f>IFERROR(IF(AY877&lt;($AM$10-$AL$10)/($AN$10-$AL$10),$AL$10+SQRT(AY877*($AN$10-$AL$10)*($AM$10-$AL$10)),$AN$10-SQRT((1-AY877)*($AN$10-$AL$10)*($AN$10-$AM$10))),$AM$10)</f>
        <v/>
      </c>
      <c r="AQ877">
        <f>IFERROR(IF(AZ877&lt;($AM$11-$AL$11)/($AN$11-$AL$11),$AL$11+SQRT(AZ877*($AN$11-$AL$11)*($AM$11-$AL$11)),$AN$11-SQRT((1-AZ877)*($AN$11-$AL$11)*($AN$11-$AM$11))),$AM$11)</f>
        <v/>
      </c>
      <c r="AR877">
        <f>SUMPRODUCT((B24:B31&lt;=$B$6)*(C24:C31*AM877+D24:D31*AO877*$B$8*AQ877)/(1+AL877/100)^B24:B31)+C32*AM877*AP877/(1+AL877/100)^$B$6</f>
        <v/>
      </c>
      <c r="AS877">
        <f>SUMPRODUCT((K24:K26&lt;=$B$6)*(L24:L26*AN877+M24:M26*AO877*$B$8*AQ877)/(1+AL877/100)^K24:K26)+L27*AN877*AP877/(1+AL877/100)^$B$6</f>
        <v/>
      </c>
      <c r="AT877">
        <f>AS877-AR877</f>
        <v/>
      </c>
      <c r="AU877">
        <f>RAND()</f>
        <v/>
      </c>
      <c r="AV877">
        <f>RAND()</f>
        <v/>
      </c>
      <c r="AW877">
        <f>RAND()</f>
        <v/>
      </c>
      <c r="AX877">
        <f>RAND()</f>
        <v/>
      </c>
      <c r="AY877">
        <f>RAND()</f>
        <v/>
      </c>
      <c r="AZ877">
        <f>RAND()</f>
        <v/>
      </c>
    </row>
    <row r="878">
      <c r="AK878" t="n">
        <v>865</v>
      </c>
      <c r="AL878">
        <f>IFERROR(IF(AU878&lt;($AM$6-$AL$6)/($AN$6-$AL$6),$AL$6+SQRT(AU878*($AN$6-$AL$6)*($AM$6-$AL$6)),$AN$6-SQRT((1-AU878)*($AN$6-$AL$6)*($AN$6-$AM$6))),$AM$6)</f>
        <v/>
      </c>
      <c r="AM878">
        <f>IFERROR(IF(AV878&lt;($AM$7-$AL$7)/($AN$7-$AL$7),$AL$7+SQRT(AV878*($AN$7-$AL$7)*($AM$7-$AL$7)),$AN$7-SQRT((1-AV878)*($AN$7-$AL$7)*($AN$7-$AM$7))),$AM$7)</f>
        <v/>
      </c>
      <c r="AN878">
        <f>IFERROR(IF(AW878&lt;($AM$8-$AL$8)/($AN$8-$AL$8),$AL$8+SQRT(AW878*($AN$8-$AL$8)*($AM$8-$AL$8)),$AN$8-SQRT((1-AW878)*($AN$8-$AL$8)*($AN$8-$AM$8))),$AM$8)</f>
        <v/>
      </c>
      <c r="AO878">
        <f>IFERROR(IF(AX878&lt;($AM$9-$AL$9)/($AN$9-$AL$9),$AL$9+SQRT(AX878*($AN$9-$AL$9)*($AM$9-$AL$9)),$AN$9-SQRT((1-AX878)*($AN$9-$AL$9)*($AN$9-$AM$9))),$AM$9)</f>
        <v/>
      </c>
      <c r="AP878">
        <f>IFERROR(IF(AY878&lt;($AM$10-$AL$10)/($AN$10-$AL$10),$AL$10+SQRT(AY878*($AN$10-$AL$10)*($AM$10-$AL$10)),$AN$10-SQRT((1-AY878)*($AN$10-$AL$10)*($AN$10-$AM$10))),$AM$10)</f>
        <v/>
      </c>
      <c r="AQ878">
        <f>IFERROR(IF(AZ878&lt;($AM$11-$AL$11)/($AN$11-$AL$11),$AL$11+SQRT(AZ878*($AN$11-$AL$11)*($AM$11-$AL$11)),$AN$11-SQRT((1-AZ878)*($AN$11-$AL$11)*($AN$11-$AM$11))),$AM$11)</f>
        <v/>
      </c>
      <c r="AR878">
        <f>SUMPRODUCT((B24:B31&lt;=$B$6)*(C24:C31*AM878+D24:D31*AO878*$B$8*AQ878)/(1+AL878/100)^B24:B31)+C32*AM878*AP878/(1+AL878/100)^$B$6</f>
        <v/>
      </c>
      <c r="AS878">
        <f>SUMPRODUCT((K24:K26&lt;=$B$6)*(L24:L26*AN878+M24:M26*AO878*$B$8*AQ878)/(1+AL878/100)^K24:K26)+L27*AN878*AP878/(1+AL878/100)^$B$6</f>
        <v/>
      </c>
      <c r="AT878">
        <f>AS878-AR878</f>
        <v/>
      </c>
      <c r="AU878">
        <f>RAND()</f>
        <v/>
      </c>
      <c r="AV878">
        <f>RAND()</f>
        <v/>
      </c>
      <c r="AW878">
        <f>RAND()</f>
        <v/>
      </c>
      <c r="AX878">
        <f>RAND()</f>
        <v/>
      </c>
      <c r="AY878">
        <f>RAND()</f>
        <v/>
      </c>
      <c r="AZ878">
        <f>RAND()</f>
        <v/>
      </c>
    </row>
    <row r="879">
      <c r="AK879" t="n">
        <v>866</v>
      </c>
      <c r="AL879">
        <f>IFERROR(IF(AU879&lt;($AM$6-$AL$6)/($AN$6-$AL$6),$AL$6+SQRT(AU879*($AN$6-$AL$6)*($AM$6-$AL$6)),$AN$6-SQRT((1-AU879)*($AN$6-$AL$6)*($AN$6-$AM$6))),$AM$6)</f>
        <v/>
      </c>
      <c r="AM879">
        <f>IFERROR(IF(AV879&lt;($AM$7-$AL$7)/($AN$7-$AL$7),$AL$7+SQRT(AV879*($AN$7-$AL$7)*($AM$7-$AL$7)),$AN$7-SQRT((1-AV879)*($AN$7-$AL$7)*($AN$7-$AM$7))),$AM$7)</f>
        <v/>
      </c>
      <c r="AN879">
        <f>IFERROR(IF(AW879&lt;($AM$8-$AL$8)/($AN$8-$AL$8),$AL$8+SQRT(AW879*($AN$8-$AL$8)*($AM$8-$AL$8)),$AN$8-SQRT((1-AW879)*($AN$8-$AL$8)*($AN$8-$AM$8))),$AM$8)</f>
        <v/>
      </c>
      <c r="AO879">
        <f>IFERROR(IF(AX879&lt;($AM$9-$AL$9)/($AN$9-$AL$9),$AL$9+SQRT(AX879*($AN$9-$AL$9)*($AM$9-$AL$9)),$AN$9-SQRT((1-AX879)*($AN$9-$AL$9)*($AN$9-$AM$9))),$AM$9)</f>
        <v/>
      </c>
      <c r="AP879">
        <f>IFERROR(IF(AY879&lt;($AM$10-$AL$10)/($AN$10-$AL$10),$AL$10+SQRT(AY879*($AN$10-$AL$10)*($AM$10-$AL$10)),$AN$10-SQRT((1-AY879)*($AN$10-$AL$10)*($AN$10-$AM$10))),$AM$10)</f>
        <v/>
      </c>
      <c r="AQ879">
        <f>IFERROR(IF(AZ879&lt;($AM$11-$AL$11)/($AN$11-$AL$11),$AL$11+SQRT(AZ879*($AN$11-$AL$11)*($AM$11-$AL$11)),$AN$11-SQRT((1-AZ879)*($AN$11-$AL$11)*($AN$11-$AM$11))),$AM$11)</f>
        <v/>
      </c>
      <c r="AR879">
        <f>SUMPRODUCT((B24:B31&lt;=$B$6)*(C24:C31*AM879+D24:D31*AO879*$B$8*AQ879)/(1+AL879/100)^B24:B31)+C32*AM879*AP879/(1+AL879/100)^$B$6</f>
        <v/>
      </c>
      <c r="AS879">
        <f>SUMPRODUCT((K24:K26&lt;=$B$6)*(L24:L26*AN879+M24:M26*AO879*$B$8*AQ879)/(1+AL879/100)^K24:K26)+L27*AN879*AP879/(1+AL879/100)^$B$6</f>
        <v/>
      </c>
      <c r="AT879">
        <f>AS879-AR879</f>
        <v/>
      </c>
      <c r="AU879">
        <f>RAND()</f>
        <v/>
      </c>
      <c r="AV879">
        <f>RAND()</f>
        <v/>
      </c>
      <c r="AW879">
        <f>RAND()</f>
        <v/>
      </c>
      <c r="AX879">
        <f>RAND()</f>
        <v/>
      </c>
      <c r="AY879">
        <f>RAND()</f>
        <v/>
      </c>
      <c r="AZ879">
        <f>RAND()</f>
        <v/>
      </c>
    </row>
    <row r="880">
      <c r="AK880" t="n">
        <v>867</v>
      </c>
      <c r="AL880">
        <f>IFERROR(IF(AU880&lt;($AM$6-$AL$6)/($AN$6-$AL$6),$AL$6+SQRT(AU880*($AN$6-$AL$6)*($AM$6-$AL$6)),$AN$6-SQRT((1-AU880)*($AN$6-$AL$6)*($AN$6-$AM$6))),$AM$6)</f>
        <v/>
      </c>
      <c r="AM880">
        <f>IFERROR(IF(AV880&lt;($AM$7-$AL$7)/($AN$7-$AL$7),$AL$7+SQRT(AV880*($AN$7-$AL$7)*($AM$7-$AL$7)),$AN$7-SQRT((1-AV880)*($AN$7-$AL$7)*($AN$7-$AM$7))),$AM$7)</f>
        <v/>
      </c>
      <c r="AN880">
        <f>IFERROR(IF(AW880&lt;($AM$8-$AL$8)/($AN$8-$AL$8),$AL$8+SQRT(AW880*($AN$8-$AL$8)*($AM$8-$AL$8)),$AN$8-SQRT((1-AW880)*($AN$8-$AL$8)*($AN$8-$AM$8))),$AM$8)</f>
        <v/>
      </c>
      <c r="AO880">
        <f>IFERROR(IF(AX880&lt;($AM$9-$AL$9)/($AN$9-$AL$9),$AL$9+SQRT(AX880*($AN$9-$AL$9)*($AM$9-$AL$9)),$AN$9-SQRT((1-AX880)*($AN$9-$AL$9)*($AN$9-$AM$9))),$AM$9)</f>
        <v/>
      </c>
      <c r="AP880">
        <f>IFERROR(IF(AY880&lt;($AM$10-$AL$10)/($AN$10-$AL$10),$AL$10+SQRT(AY880*($AN$10-$AL$10)*($AM$10-$AL$10)),$AN$10-SQRT((1-AY880)*($AN$10-$AL$10)*($AN$10-$AM$10))),$AM$10)</f>
        <v/>
      </c>
      <c r="AQ880">
        <f>IFERROR(IF(AZ880&lt;($AM$11-$AL$11)/($AN$11-$AL$11),$AL$11+SQRT(AZ880*($AN$11-$AL$11)*($AM$11-$AL$11)),$AN$11-SQRT((1-AZ880)*($AN$11-$AL$11)*($AN$11-$AM$11))),$AM$11)</f>
        <v/>
      </c>
      <c r="AR880">
        <f>SUMPRODUCT((B24:B31&lt;=$B$6)*(C24:C31*AM880+D24:D31*AO880*$B$8*AQ880)/(1+AL880/100)^B24:B31)+C32*AM880*AP880/(1+AL880/100)^$B$6</f>
        <v/>
      </c>
      <c r="AS880">
        <f>SUMPRODUCT((K24:K26&lt;=$B$6)*(L24:L26*AN880+M24:M26*AO880*$B$8*AQ880)/(1+AL880/100)^K24:K26)+L27*AN880*AP880/(1+AL880/100)^$B$6</f>
        <v/>
      </c>
      <c r="AT880">
        <f>AS880-AR880</f>
        <v/>
      </c>
      <c r="AU880">
        <f>RAND()</f>
        <v/>
      </c>
      <c r="AV880">
        <f>RAND()</f>
        <v/>
      </c>
      <c r="AW880">
        <f>RAND()</f>
        <v/>
      </c>
      <c r="AX880">
        <f>RAND()</f>
        <v/>
      </c>
      <c r="AY880">
        <f>RAND()</f>
        <v/>
      </c>
      <c r="AZ880">
        <f>RAND()</f>
        <v/>
      </c>
    </row>
    <row r="881">
      <c r="AK881" t="n">
        <v>868</v>
      </c>
      <c r="AL881">
        <f>IFERROR(IF(AU881&lt;($AM$6-$AL$6)/($AN$6-$AL$6),$AL$6+SQRT(AU881*($AN$6-$AL$6)*($AM$6-$AL$6)),$AN$6-SQRT((1-AU881)*($AN$6-$AL$6)*($AN$6-$AM$6))),$AM$6)</f>
        <v/>
      </c>
      <c r="AM881">
        <f>IFERROR(IF(AV881&lt;($AM$7-$AL$7)/($AN$7-$AL$7),$AL$7+SQRT(AV881*($AN$7-$AL$7)*($AM$7-$AL$7)),$AN$7-SQRT((1-AV881)*($AN$7-$AL$7)*($AN$7-$AM$7))),$AM$7)</f>
        <v/>
      </c>
      <c r="AN881">
        <f>IFERROR(IF(AW881&lt;($AM$8-$AL$8)/($AN$8-$AL$8),$AL$8+SQRT(AW881*($AN$8-$AL$8)*($AM$8-$AL$8)),$AN$8-SQRT((1-AW881)*($AN$8-$AL$8)*($AN$8-$AM$8))),$AM$8)</f>
        <v/>
      </c>
      <c r="AO881">
        <f>IFERROR(IF(AX881&lt;($AM$9-$AL$9)/($AN$9-$AL$9),$AL$9+SQRT(AX881*($AN$9-$AL$9)*($AM$9-$AL$9)),$AN$9-SQRT((1-AX881)*($AN$9-$AL$9)*($AN$9-$AM$9))),$AM$9)</f>
        <v/>
      </c>
      <c r="AP881">
        <f>IFERROR(IF(AY881&lt;($AM$10-$AL$10)/($AN$10-$AL$10),$AL$10+SQRT(AY881*($AN$10-$AL$10)*($AM$10-$AL$10)),$AN$10-SQRT((1-AY881)*($AN$10-$AL$10)*($AN$10-$AM$10))),$AM$10)</f>
        <v/>
      </c>
      <c r="AQ881">
        <f>IFERROR(IF(AZ881&lt;($AM$11-$AL$11)/($AN$11-$AL$11),$AL$11+SQRT(AZ881*($AN$11-$AL$11)*($AM$11-$AL$11)),$AN$11-SQRT((1-AZ881)*($AN$11-$AL$11)*($AN$11-$AM$11))),$AM$11)</f>
        <v/>
      </c>
      <c r="AR881">
        <f>SUMPRODUCT((B24:B31&lt;=$B$6)*(C24:C31*AM881+D24:D31*AO881*$B$8*AQ881)/(1+AL881/100)^B24:B31)+C32*AM881*AP881/(1+AL881/100)^$B$6</f>
        <v/>
      </c>
      <c r="AS881">
        <f>SUMPRODUCT((K24:K26&lt;=$B$6)*(L24:L26*AN881+M24:M26*AO881*$B$8*AQ881)/(1+AL881/100)^K24:K26)+L27*AN881*AP881/(1+AL881/100)^$B$6</f>
        <v/>
      </c>
      <c r="AT881">
        <f>AS881-AR881</f>
        <v/>
      </c>
      <c r="AU881">
        <f>RAND()</f>
        <v/>
      </c>
      <c r="AV881">
        <f>RAND()</f>
        <v/>
      </c>
      <c r="AW881">
        <f>RAND()</f>
        <v/>
      </c>
      <c r="AX881">
        <f>RAND()</f>
        <v/>
      </c>
      <c r="AY881">
        <f>RAND()</f>
        <v/>
      </c>
      <c r="AZ881">
        <f>RAND()</f>
        <v/>
      </c>
    </row>
    <row r="882">
      <c r="AK882" t="n">
        <v>869</v>
      </c>
      <c r="AL882">
        <f>IFERROR(IF(AU882&lt;($AM$6-$AL$6)/($AN$6-$AL$6),$AL$6+SQRT(AU882*($AN$6-$AL$6)*($AM$6-$AL$6)),$AN$6-SQRT((1-AU882)*($AN$6-$AL$6)*($AN$6-$AM$6))),$AM$6)</f>
        <v/>
      </c>
      <c r="AM882">
        <f>IFERROR(IF(AV882&lt;($AM$7-$AL$7)/($AN$7-$AL$7),$AL$7+SQRT(AV882*($AN$7-$AL$7)*($AM$7-$AL$7)),$AN$7-SQRT((1-AV882)*($AN$7-$AL$7)*($AN$7-$AM$7))),$AM$7)</f>
        <v/>
      </c>
      <c r="AN882">
        <f>IFERROR(IF(AW882&lt;($AM$8-$AL$8)/($AN$8-$AL$8),$AL$8+SQRT(AW882*($AN$8-$AL$8)*($AM$8-$AL$8)),$AN$8-SQRT((1-AW882)*($AN$8-$AL$8)*($AN$8-$AM$8))),$AM$8)</f>
        <v/>
      </c>
      <c r="AO882">
        <f>IFERROR(IF(AX882&lt;($AM$9-$AL$9)/($AN$9-$AL$9),$AL$9+SQRT(AX882*($AN$9-$AL$9)*($AM$9-$AL$9)),$AN$9-SQRT((1-AX882)*($AN$9-$AL$9)*($AN$9-$AM$9))),$AM$9)</f>
        <v/>
      </c>
      <c r="AP882">
        <f>IFERROR(IF(AY882&lt;($AM$10-$AL$10)/($AN$10-$AL$10),$AL$10+SQRT(AY882*($AN$10-$AL$10)*($AM$10-$AL$10)),$AN$10-SQRT((1-AY882)*($AN$10-$AL$10)*($AN$10-$AM$10))),$AM$10)</f>
        <v/>
      </c>
      <c r="AQ882">
        <f>IFERROR(IF(AZ882&lt;($AM$11-$AL$11)/($AN$11-$AL$11),$AL$11+SQRT(AZ882*($AN$11-$AL$11)*($AM$11-$AL$11)),$AN$11-SQRT((1-AZ882)*($AN$11-$AL$11)*($AN$11-$AM$11))),$AM$11)</f>
        <v/>
      </c>
      <c r="AR882">
        <f>SUMPRODUCT((B24:B31&lt;=$B$6)*(C24:C31*AM882+D24:D31*AO882*$B$8*AQ882)/(1+AL882/100)^B24:B31)+C32*AM882*AP882/(1+AL882/100)^$B$6</f>
        <v/>
      </c>
      <c r="AS882">
        <f>SUMPRODUCT((K24:K26&lt;=$B$6)*(L24:L26*AN882+M24:M26*AO882*$B$8*AQ882)/(1+AL882/100)^K24:K26)+L27*AN882*AP882/(1+AL882/100)^$B$6</f>
        <v/>
      </c>
      <c r="AT882">
        <f>AS882-AR882</f>
        <v/>
      </c>
      <c r="AU882">
        <f>RAND()</f>
        <v/>
      </c>
      <c r="AV882">
        <f>RAND()</f>
        <v/>
      </c>
      <c r="AW882">
        <f>RAND()</f>
        <v/>
      </c>
      <c r="AX882">
        <f>RAND()</f>
        <v/>
      </c>
      <c r="AY882">
        <f>RAND()</f>
        <v/>
      </c>
      <c r="AZ882">
        <f>RAND()</f>
        <v/>
      </c>
    </row>
    <row r="883">
      <c r="AK883" t="n">
        <v>870</v>
      </c>
      <c r="AL883">
        <f>IFERROR(IF(AU883&lt;($AM$6-$AL$6)/($AN$6-$AL$6),$AL$6+SQRT(AU883*($AN$6-$AL$6)*($AM$6-$AL$6)),$AN$6-SQRT((1-AU883)*($AN$6-$AL$6)*($AN$6-$AM$6))),$AM$6)</f>
        <v/>
      </c>
      <c r="AM883">
        <f>IFERROR(IF(AV883&lt;($AM$7-$AL$7)/($AN$7-$AL$7),$AL$7+SQRT(AV883*($AN$7-$AL$7)*($AM$7-$AL$7)),$AN$7-SQRT((1-AV883)*($AN$7-$AL$7)*($AN$7-$AM$7))),$AM$7)</f>
        <v/>
      </c>
      <c r="AN883">
        <f>IFERROR(IF(AW883&lt;($AM$8-$AL$8)/($AN$8-$AL$8),$AL$8+SQRT(AW883*($AN$8-$AL$8)*($AM$8-$AL$8)),$AN$8-SQRT((1-AW883)*($AN$8-$AL$8)*($AN$8-$AM$8))),$AM$8)</f>
        <v/>
      </c>
      <c r="AO883">
        <f>IFERROR(IF(AX883&lt;($AM$9-$AL$9)/($AN$9-$AL$9),$AL$9+SQRT(AX883*($AN$9-$AL$9)*($AM$9-$AL$9)),$AN$9-SQRT((1-AX883)*($AN$9-$AL$9)*($AN$9-$AM$9))),$AM$9)</f>
        <v/>
      </c>
      <c r="AP883">
        <f>IFERROR(IF(AY883&lt;($AM$10-$AL$10)/($AN$10-$AL$10),$AL$10+SQRT(AY883*($AN$10-$AL$10)*($AM$10-$AL$10)),$AN$10-SQRT((1-AY883)*($AN$10-$AL$10)*($AN$10-$AM$10))),$AM$10)</f>
        <v/>
      </c>
      <c r="AQ883">
        <f>IFERROR(IF(AZ883&lt;($AM$11-$AL$11)/($AN$11-$AL$11),$AL$11+SQRT(AZ883*($AN$11-$AL$11)*($AM$11-$AL$11)),$AN$11-SQRT((1-AZ883)*($AN$11-$AL$11)*($AN$11-$AM$11))),$AM$11)</f>
        <v/>
      </c>
      <c r="AR883">
        <f>SUMPRODUCT((B24:B31&lt;=$B$6)*(C24:C31*AM883+D24:D31*AO883*$B$8*AQ883)/(1+AL883/100)^B24:B31)+C32*AM883*AP883/(1+AL883/100)^$B$6</f>
        <v/>
      </c>
      <c r="AS883">
        <f>SUMPRODUCT((K24:K26&lt;=$B$6)*(L24:L26*AN883+M24:M26*AO883*$B$8*AQ883)/(1+AL883/100)^K24:K26)+L27*AN883*AP883/(1+AL883/100)^$B$6</f>
        <v/>
      </c>
      <c r="AT883">
        <f>AS883-AR883</f>
        <v/>
      </c>
      <c r="AU883">
        <f>RAND()</f>
        <v/>
      </c>
      <c r="AV883">
        <f>RAND()</f>
        <v/>
      </c>
      <c r="AW883">
        <f>RAND()</f>
        <v/>
      </c>
      <c r="AX883">
        <f>RAND()</f>
        <v/>
      </c>
      <c r="AY883">
        <f>RAND()</f>
        <v/>
      </c>
      <c r="AZ883">
        <f>RAND()</f>
        <v/>
      </c>
    </row>
    <row r="884">
      <c r="AK884" t="n">
        <v>871</v>
      </c>
      <c r="AL884">
        <f>IFERROR(IF(AU884&lt;($AM$6-$AL$6)/($AN$6-$AL$6),$AL$6+SQRT(AU884*($AN$6-$AL$6)*($AM$6-$AL$6)),$AN$6-SQRT((1-AU884)*($AN$6-$AL$6)*($AN$6-$AM$6))),$AM$6)</f>
        <v/>
      </c>
      <c r="AM884">
        <f>IFERROR(IF(AV884&lt;($AM$7-$AL$7)/($AN$7-$AL$7),$AL$7+SQRT(AV884*($AN$7-$AL$7)*($AM$7-$AL$7)),$AN$7-SQRT((1-AV884)*($AN$7-$AL$7)*($AN$7-$AM$7))),$AM$7)</f>
        <v/>
      </c>
      <c r="AN884">
        <f>IFERROR(IF(AW884&lt;($AM$8-$AL$8)/($AN$8-$AL$8),$AL$8+SQRT(AW884*($AN$8-$AL$8)*($AM$8-$AL$8)),$AN$8-SQRT((1-AW884)*($AN$8-$AL$8)*($AN$8-$AM$8))),$AM$8)</f>
        <v/>
      </c>
      <c r="AO884">
        <f>IFERROR(IF(AX884&lt;($AM$9-$AL$9)/($AN$9-$AL$9),$AL$9+SQRT(AX884*($AN$9-$AL$9)*($AM$9-$AL$9)),$AN$9-SQRT((1-AX884)*($AN$9-$AL$9)*($AN$9-$AM$9))),$AM$9)</f>
        <v/>
      </c>
      <c r="AP884">
        <f>IFERROR(IF(AY884&lt;($AM$10-$AL$10)/($AN$10-$AL$10),$AL$10+SQRT(AY884*($AN$10-$AL$10)*($AM$10-$AL$10)),$AN$10-SQRT((1-AY884)*($AN$10-$AL$10)*($AN$10-$AM$10))),$AM$10)</f>
        <v/>
      </c>
      <c r="AQ884">
        <f>IFERROR(IF(AZ884&lt;($AM$11-$AL$11)/($AN$11-$AL$11),$AL$11+SQRT(AZ884*($AN$11-$AL$11)*($AM$11-$AL$11)),$AN$11-SQRT((1-AZ884)*($AN$11-$AL$11)*($AN$11-$AM$11))),$AM$11)</f>
        <v/>
      </c>
      <c r="AR884">
        <f>SUMPRODUCT((B24:B31&lt;=$B$6)*(C24:C31*AM884+D24:D31*AO884*$B$8*AQ884)/(1+AL884/100)^B24:B31)+C32*AM884*AP884/(1+AL884/100)^$B$6</f>
        <v/>
      </c>
      <c r="AS884">
        <f>SUMPRODUCT((K24:K26&lt;=$B$6)*(L24:L26*AN884+M24:M26*AO884*$B$8*AQ884)/(1+AL884/100)^K24:K26)+L27*AN884*AP884/(1+AL884/100)^$B$6</f>
        <v/>
      </c>
      <c r="AT884">
        <f>AS884-AR884</f>
        <v/>
      </c>
      <c r="AU884">
        <f>RAND()</f>
        <v/>
      </c>
      <c r="AV884">
        <f>RAND()</f>
        <v/>
      </c>
      <c r="AW884">
        <f>RAND()</f>
        <v/>
      </c>
      <c r="AX884">
        <f>RAND()</f>
        <v/>
      </c>
      <c r="AY884">
        <f>RAND()</f>
        <v/>
      </c>
      <c r="AZ884">
        <f>RAND()</f>
        <v/>
      </c>
    </row>
    <row r="885">
      <c r="AK885" t="n">
        <v>872</v>
      </c>
      <c r="AL885">
        <f>IFERROR(IF(AU885&lt;($AM$6-$AL$6)/($AN$6-$AL$6),$AL$6+SQRT(AU885*($AN$6-$AL$6)*($AM$6-$AL$6)),$AN$6-SQRT((1-AU885)*($AN$6-$AL$6)*($AN$6-$AM$6))),$AM$6)</f>
        <v/>
      </c>
      <c r="AM885">
        <f>IFERROR(IF(AV885&lt;($AM$7-$AL$7)/($AN$7-$AL$7),$AL$7+SQRT(AV885*($AN$7-$AL$7)*($AM$7-$AL$7)),$AN$7-SQRT((1-AV885)*($AN$7-$AL$7)*($AN$7-$AM$7))),$AM$7)</f>
        <v/>
      </c>
      <c r="AN885">
        <f>IFERROR(IF(AW885&lt;($AM$8-$AL$8)/($AN$8-$AL$8),$AL$8+SQRT(AW885*($AN$8-$AL$8)*($AM$8-$AL$8)),$AN$8-SQRT((1-AW885)*($AN$8-$AL$8)*($AN$8-$AM$8))),$AM$8)</f>
        <v/>
      </c>
      <c r="AO885">
        <f>IFERROR(IF(AX885&lt;($AM$9-$AL$9)/($AN$9-$AL$9),$AL$9+SQRT(AX885*($AN$9-$AL$9)*($AM$9-$AL$9)),$AN$9-SQRT((1-AX885)*($AN$9-$AL$9)*($AN$9-$AM$9))),$AM$9)</f>
        <v/>
      </c>
      <c r="AP885">
        <f>IFERROR(IF(AY885&lt;($AM$10-$AL$10)/($AN$10-$AL$10),$AL$10+SQRT(AY885*($AN$10-$AL$10)*($AM$10-$AL$10)),$AN$10-SQRT((1-AY885)*($AN$10-$AL$10)*($AN$10-$AM$10))),$AM$10)</f>
        <v/>
      </c>
      <c r="AQ885">
        <f>IFERROR(IF(AZ885&lt;($AM$11-$AL$11)/($AN$11-$AL$11),$AL$11+SQRT(AZ885*($AN$11-$AL$11)*($AM$11-$AL$11)),$AN$11-SQRT((1-AZ885)*($AN$11-$AL$11)*($AN$11-$AM$11))),$AM$11)</f>
        <v/>
      </c>
      <c r="AR885">
        <f>SUMPRODUCT((B24:B31&lt;=$B$6)*(C24:C31*AM885+D24:D31*AO885*$B$8*AQ885)/(1+AL885/100)^B24:B31)+C32*AM885*AP885/(1+AL885/100)^$B$6</f>
        <v/>
      </c>
      <c r="AS885">
        <f>SUMPRODUCT((K24:K26&lt;=$B$6)*(L24:L26*AN885+M24:M26*AO885*$B$8*AQ885)/(1+AL885/100)^K24:K26)+L27*AN885*AP885/(1+AL885/100)^$B$6</f>
        <v/>
      </c>
      <c r="AT885">
        <f>AS885-AR885</f>
        <v/>
      </c>
      <c r="AU885">
        <f>RAND()</f>
        <v/>
      </c>
      <c r="AV885">
        <f>RAND()</f>
        <v/>
      </c>
      <c r="AW885">
        <f>RAND()</f>
        <v/>
      </c>
      <c r="AX885">
        <f>RAND()</f>
        <v/>
      </c>
      <c r="AY885">
        <f>RAND()</f>
        <v/>
      </c>
      <c r="AZ885">
        <f>RAND()</f>
        <v/>
      </c>
    </row>
    <row r="886">
      <c r="AK886" t="n">
        <v>873</v>
      </c>
      <c r="AL886">
        <f>IFERROR(IF(AU886&lt;($AM$6-$AL$6)/($AN$6-$AL$6),$AL$6+SQRT(AU886*($AN$6-$AL$6)*($AM$6-$AL$6)),$AN$6-SQRT((1-AU886)*($AN$6-$AL$6)*($AN$6-$AM$6))),$AM$6)</f>
        <v/>
      </c>
      <c r="AM886">
        <f>IFERROR(IF(AV886&lt;($AM$7-$AL$7)/($AN$7-$AL$7),$AL$7+SQRT(AV886*($AN$7-$AL$7)*($AM$7-$AL$7)),$AN$7-SQRT((1-AV886)*($AN$7-$AL$7)*($AN$7-$AM$7))),$AM$7)</f>
        <v/>
      </c>
      <c r="AN886">
        <f>IFERROR(IF(AW886&lt;($AM$8-$AL$8)/($AN$8-$AL$8),$AL$8+SQRT(AW886*($AN$8-$AL$8)*($AM$8-$AL$8)),$AN$8-SQRT((1-AW886)*($AN$8-$AL$8)*($AN$8-$AM$8))),$AM$8)</f>
        <v/>
      </c>
      <c r="AO886">
        <f>IFERROR(IF(AX886&lt;($AM$9-$AL$9)/($AN$9-$AL$9),$AL$9+SQRT(AX886*($AN$9-$AL$9)*($AM$9-$AL$9)),$AN$9-SQRT((1-AX886)*($AN$9-$AL$9)*($AN$9-$AM$9))),$AM$9)</f>
        <v/>
      </c>
      <c r="AP886">
        <f>IFERROR(IF(AY886&lt;($AM$10-$AL$10)/($AN$10-$AL$10),$AL$10+SQRT(AY886*($AN$10-$AL$10)*($AM$10-$AL$10)),$AN$10-SQRT((1-AY886)*($AN$10-$AL$10)*($AN$10-$AM$10))),$AM$10)</f>
        <v/>
      </c>
      <c r="AQ886">
        <f>IFERROR(IF(AZ886&lt;($AM$11-$AL$11)/($AN$11-$AL$11),$AL$11+SQRT(AZ886*($AN$11-$AL$11)*($AM$11-$AL$11)),$AN$11-SQRT((1-AZ886)*($AN$11-$AL$11)*($AN$11-$AM$11))),$AM$11)</f>
        <v/>
      </c>
      <c r="AR886">
        <f>SUMPRODUCT((B24:B31&lt;=$B$6)*(C24:C31*AM886+D24:D31*AO886*$B$8*AQ886)/(1+AL886/100)^B24:B31)+C32*AM886*AP886/(1+AL886/100)^$B$6</f>
        <v/>
      </c>
      <c r="AS886">
        <f>SUMPRODUCT((K24:K26&lt;=$B$6)*(L24:L26*AN886+M24:M26*AO886*$B$8*AQ886)/(1+AL886/100)^K24:K26)+L27*AN886*AP886/(1+AL886/100)^$B$6</f>
        <v/>
      </c>
      <c r="AT886">
        <f>AS886-AR886</f>
        <v/>
      </c>
      <c r="AU886">
        <f>RAND()</f>
        <v/>
      </c>
      <c r="AV886">
        <f>RAND()</f>
        <v/>
      </c>
      <c r="AW886">
        <f>RAND()</f>
        <v/>
      </c>
      <c r="AX886">
        <f>RAND()</f>
        <v/>
      </c>
      <c r="AY886">
        <f>RAND()</f>
        <v/>
      </c>
      <c r="AZ886">
        <f>RAND()</f>
        <v/>
      </c>
    </row>
    <row r="887">
      <c r="AK887" t="n">
        <v>874</v>
      </c>
      <c r="AL887">
        <f>IFERROR(IF(AU887&lt;($AM$6-$AL$6)/($AN$6-$AL$6),$AL$6+SQRT(AU887*($AN$6-$AL$6)*($AM$6-$AL$6)),$AN$6-SQRT((1-AU887)*($AN$6-$AL$6)*($AN$6-$AM$6))),$AM$6)</f>
        <v/>
      </c>
      <c r="AM887">
        <f>IFERROR(IF(AV887&lt;($AM$7-$AL$7)/($AN$7-$AL$7),$AL$7+SQRT(AV887*($AN$7-$AL$7)*($AM$7-$AL$7)),$AN$7-SQRT((1-AV887)*($AN$7-$AL$7)*($AN$7-$AM$7))),$AM$7)</f>
        <v/>
      </c>
      <c r="AN887">
        <f>IFERROR(IF(AW887&lt;($AM$8-$AL$8)/($AN$8-$AL$8),$AL$8+SQRT(AW887*($AN$8-$AL$8)*($AM$8-$AL$8)),$AN$8-SQRT((1-AW887)*($AN$8-$AL$8)*($AN$8-$AM$8))),$AM$8)</f>
        <v/>
      </c>
      <c r="AO887">
        <f>IFERROR(IF(AX887&lt;($AM$9-$AL$9)/($AN$9-$AL$9),$AL$9+SQRT(AX887*($AN$9-$AL$9)*($AM$9-$AL$9)),$AN$9-SQRT((1-AX887)*($AN$9-$AL$9)*($AN$9-$AM$9))),$AM$9)</f>
        <v/>
      </c>
      <c r="AP887">
        <f>IFERROR(IF(AY887&lt;($AM$10-$AL$10)/($AN$10-$AL$10),$AL$10+SQRT(AY887*($AN$10-$AL$10)*($AM$10-$AL$10)),$AN$10-SQRT((1-AY887)*($AN$10-$AL$10)*($AN$10-$AM$10))),$AM$10)</f>
        <v/>
      </c>
      <c r="AQ887">
        <f>IFERROR(IF(AZ887&lt;($AM$11-$AL$11)/($AN$11-$AL$11),$AL$11+SQRT(AZ887*($AN$11-$AL$11)*($AM$11-$AL$11)),$AN$11-SQRT((1-AZ887)*($AN$11-$AL$11)*($AN$11-$AM$11))),$AM$11)</f>
        <v/>
      </c>
      <c r="AR887">
        <f>SUMPRODUCT((B24:B31&lt;=$B$6)*(C24:C31*AM887+D24:D31*AO887*$B$8*AQ887)/(1+AL887/100)^B24:B31)+C32*AM887*AP887/(1+AL887/100)^$B$6</f>
        <v/>
      </c>
      <c r="AS887">
        <f>SUMPRODUCT((K24:K26&lt;=$B$6)*(L24:L26*AN887+M24:M26*AO887*$B$8*AQ887)/(1+AL887/100)^K24:K26)+L27*AN887*AP887/(1+AL887/100)^$B$6</f>
        <v/>
      </c>
      <c r="AT887">
        <f>AS887-AR887</f>
        <v/>
      </c>
      <c r="AU887">
        <f>RAND()</f>
        <v/>
      </c>
      <c r="AV887">
        <f>RAND()</f>
        <v/>
      </c>
      <c r="AW887">
        <f>RAND()</f>
        <v/>
      </c>
      <c r="AX887">
        <f>RAND()</f>
        <v/>
      </c>
      <c r="AY887">
        <f>RAND()</f>
        <v/>
      </c>
      <c r="AZ887">
        <f>RAND()</f>
        <v/>
      </c>
    </row>
    <row r="888">
      <c r="AK888" t="n">
        <v>875</v>
      </c>
      <c r="AL888">
        <f>IFERROR(IF(AU888&lt;($AM$6-$AL$6)/($AN$6-$AL$6),$AL$6+SQRT(AU888*($AN$6-$AL$6)*($AM$6-$AL$6)),$AN$6-SQRT((1-AU888)*($AN$6-$AL$6)*($AN$6-$AM$6))),$AM$6)</f>
        <v/>
      </c>
      <c r="AM888">
        <f>IFERROR(IF(AV888&lt;($AM$7-$AL$7)/($AN$7-$AL$7),$AL$7+SQRT(AV888*($AN$7-$AL$7)*($AM$7-$AL$7)),$AN$7-SQRT((1-AV888)*($AN$7-$AL$7)*($AN$7-$AM$7))),$AM$7)</f>
        <v/>
      </c>
      <c r="AN888">
        <f>IFERROR(IF(AW888&lt;($AM$8-$AL$8)/($AN$8-$AL$8),$AL$8+SQRT(AW888*($AN$8-$AL$8)*($AM$8-$AL$8)),$AN$8-SQRT((1-AW888)*($AN$8-$AL$8)*($AN$8-$AM$8))),$AM$8)</f>
        <v/>
      </c>
      <c r="AO888">
        <f>IFERROR(IF(AX888&lt;($AM$9-$AL$9)/($AN$9-$AL$9),$AL$9+SQRT(AX888*($AN$9-$AL$9)*($AM$9-$AL$9)),$AN$9-SQRT((1-AX888)*($AN$9-$AL$9)*($AN$9-$AM$9))),$AM$9)</f>
        <v/>
      </c>
      <c r="AP888">
        <f>IFERROR(IF(AY888&lt;($AM$10-$AL$10)/($AN$10-$AL$10),$AL$10+SQRT(AY888*($AN$10-$AL$10)*($AM$10-$AL$10)),$AN$10-SQRT((1-AY888)*($AN$10-$AL$10)*($AN$10-$AM$10))),$AM$10)</f>
        <v/>
      </c>
      <c r="AQ888">
        <f>IFERROR(IF(AZ888&lt;($AM$11-$AL$11)/($AN$11-$AL$11),$AL$11+SQRT(AZ888*($AN$11-$AL$11)*($AM$11-$AL$11)),$AN$11-SQRT((1-AZ888)*($AN$11-$AL$11)*($AN$11-$AM$11))),$AM$11)</f>
        <v/>
      </c>
      <c r="AR888">
        <f>SUMPRODUCT((B24:B31&lt;=$B$6)*(C24:C31*AM888+D24:D31*AO888*$B$8*AQ888)/(1+AL888/100)^B24:B31)+C32*AM888*AP888/(1+AL888/100)^$B$6</f>
        <v/>
      </c>
      <c r="AS888">
        <f>SUMPRODUCT((K24:K26&lt;=$B$6)*(L24:L26*AN888+M24:M26*AO888*$B$8*AQ888)/(1+AL888/100)^K24:K26)+L27*AN888*AP888/(1+AL888/100)^$B$6</f>
        <v/>
      </c>
      <c r="AT888">
        <f>AS888-AR888</f>
        <v/>
      </c>
      <c r="AU888">
        <f>RAND()</f>
        <v/>
      </c>
      <c r="AV888">
        <f>RAND()</f>
        <v/>
      </c>
      <c r="AW888">
        <f>RAND()</f>
        <v/>
      </c>
      <c r="AX888">
        <f>RAND()</f>
        <v/>
      </c>
      <c r="AY888">
        <f>RAND()</f>
        <v/>
      </c>
      <c r="AZ888">
        <f>RAND()</f>
        <v/>
      </c>
    </row>
    <row r="889">
      <c r="AK889" t="n">
        <v>876</v>
      </c>
      <c r="AL889">
        <f>IFERROR(IF(AU889&lt;($AM$6-$AL$6)/($AN$6-$AL$6),$AL$6+SQRT(AU889*($AN$6-$AL$6)*($AM$6-$AL$6)),$AN$6-SQRT((1-AU889)*($AN$6-$AL$6)*($AN$6-$AM$6))),$AM$6)</f>
        <v/>
      </c>
      <c r="AM889">
        <f>IFERROR(IF(AV889&lt;($AM$7-$AL$7)/($AN$7-$AL$7),$AL$7+SQRT(AV889*($AN$7-$AL$7)*($AM$7-$AL$7)),$AN$7-SQRT((1-AV889)*($AN$7-$AL$7)*($AN$7-$AM$7))),$AM$7)</f>
        <v/>
      </c>
      <c r="AN889">
        <f>IFERROR(IF(AW889&lt;($AM$8-$AL$8)/($AN$8-$AL$8),$AL$8+SQRT(AW889*($AN$8-$AL$8)*($AM$8-$AL$8)),$AN$8-SQRT((1-AW889)*($AN$8-$AL$8)*($AN$8-$AM$8))),$AM$8)</f>
        <v/>
      </c>
      <c r="AO889">
        <f>IFERROR(IF(AX889&lt;($AM$9-$AL$9)/($AN$9-$AL$9),$AL$9+SQRT(AX889*($AN$9-$AL$9)*($AM$9-$AL$9)),$AN$9-SQRT((1-AX889)*($AN$9-$AL$9)*($AN$9-$AM$9))),$AM$9)</f>
        <v/>
      </c>
      <c r="AP889">
        <f>IFERROR(IF(AY889&lt;($AM$10-$AL$10)/($AN$10-$AL$10),$AL$10+SQRT(AY889*($AN$10-$AL$10)*($AM$10-$AL$10)),$AN$10-SQRT((1-AY889)*($AN$10-$AL$10)*($AN$10-$AM$10))),$AM$10)</f>
        <v/>
      </c>
      <c r="AQ889">
        <f>IFERROR(IF(AZ889&lt;($AM$11-$AL$11)/($AN$11-$AL$11),$AL$11+SQRT(AZ889*($AN$11-$AL$11)*($AM$11-$AL$11)),$AN$11-SQRT((1-AZ889)*($AN$11-$AL$11)*($AN$11-$AM$11))),$AM$11)</f>
        <v/>
      </c>
      <c r="AR889">
        <f>SUMPRODUCT((B24:B31&lt;=$B$6)*(C24:C31*AM889+D24:D31*AO889*$B$8*AQ889)/(1+AL889/100)^B24:B31)+C32*AM889*AP889/(1+AL889/100)^$B$6</f>
        <v/>
      </c>
      <c r="AS889">
        <f>SUMPRODUCT((K24:K26&lt;=$B$6)*(L24:L26*AN889+M24:M26*AO889*$B$8*AQ889)/(1+AL889/100)^K24:K26)+L27*AN889*AP889/(1+AL889/100)^$B$6</f>
        <v/>
      </c>
      <c r="AT889">
        <f>AS889-AR889</f>
        <v/>
      </c>
      <c r="AU889">
        <f>RAND()</f>
        <v/>
      </c>
      <c r="AV889">
        <f>RAND()</f>
        <v/>
      </c>
      <c r="AW889">
        <f>RAND()</f>
        <v/>
      </c>
      <c r="AX889">
        <f>RAND()</f>
        <v/>
      </c>
      <c r="AY889">
        <f>RAND()</f>
        <v/>
      </c>
      <c r="AZ889">
        <f>RAND()</f>
        <v/>
      </c>
    </row>
    <row r="890">
      <c r="AK890" t="n">
        <v>877</v>
      </c>
      <c r="AL890">
        <f>IFERROR(IF(AU890&lt;($AM$6-$AL$6)/($AN$6-$AL$6),$AL$6+SQRT(AU890*($AN$6-$AL$6)*($AM$6-$AL$6)),$AN$6-SQRT((1-AU890)*($AN$6-$AL$6)*($AN$6-$AM$6))),$AM$6)</f>
        <v/>
      </c>
      <c r="AM890">
        <f>IFERROR(IF(AV890&lt;($AM$7-$AL$7)/($AN$7-$AL$7),$AL$7+SQRT(AV890*($AN$7-$AL$7)*($AM$7-$AL$7)),$AN$7-SQRT((1-AV890)*($AN$7-$AL$7)*($AN$7-$AM$7))),$AM$7)</f>
        <v/>
      </c>
      <c r="AN890">
        <f>IFERROR(IF(AW890&lt;($AM$8-$AL$8)/($AN$8-$AL$8),$AL$8+SQRT(AW890*($AN$8-$AL$8)*($AM$8-$AL$8)),$AN$8-SQRT((1-AW890)*($AN$8-$AL$8)*($AN$8-$AM$8))),$AM$8)</f>
        <v/>
      </c>
      <c r="AO890">
        <f>IFERROR(IF(AX890&lt;($AM$9-$AL$9)/($AN$9-$AL$9),$AL$9+SQRT(AX890*($AN$9-$AL$9)*($AM$9-$AL$9)),$AN$9-SQRT((1-AX890)*($AN$9-$AL$9)*($AN$9-$AM$9))),$AM$9)</f>
        <v/>
      </c>
      <c r="AP890">
        <f>IFERROR(IF(AY890&lt;($AM$10-$AL$10)/($AN$10-$AL$10),$AL$10+SQRT(AY890*($AN$10-$AL$10)*($AM$10-$AL$10)),$AN$10-SQRT((1-AY890)*($AN$10-$AL$10)*($AN$10-$AM$10))),$AM$10)</f>
        <v/>
      </c>
      <c r="AQ890">
        <f>IFERROR(IF(AZ890&lt;($AM$11-$AL$11)/($AN$11-$AL$11),$AL$11+SQRT(AZ890*($AN$11-$AL$11)*($AM$11-$AL$11)),$AN$11-SQRT((1-AZ890)*($AN$11-$AL$11)*($AN$11-$AM$11))),$AM$11)</f>
        <v/>
      </c>
      <c r="AR890">
        <f>SUMPRODUCT((B24:B31&lt;=$B$6)*(C24:C31*AM890+D24:D31*AO890*$B$8*AQ890)/(1+AL890/100)^B24:B31)+C32*AM890*AP890/(1+AL890/100)^$B$6</f>
        <v/>
      </c>
      <c r="AS890">
        <f>SUMPRODUCT((K24:K26&lt;=$B$6)*(L24:L26*AN890+M24:M26*AO890*$B$8*AQ890)/(1+AL890/100)^K24:K26)+L27*AN890*AP890/(1+AL890/100)^$B$6</f>
        <v/>
      </c>
      <c r="AT890">
        <f>AS890-AR890</f>
        <v/>
      </c>
      <c r="AU890">
        <f>RAND()</f>
        <v/>
      </c>
      <c r="AV890">
        <f>RAND()</f>
        <v/>
      </c>
      <c r="AW890">
        <f>RAND()</f>
        <v/>
      </c>
      <c r="AX890">
        <f>RAND()</f>
        <v/>
      </c>
      <c r="AY890">
        <f>RAND()</f>
        <v/>
      </c>
      <c r="AZ890">
        <f>RAND()</f>
        <v/>
      </c>
    </row>
    <row r="891">
      <c r="AK891" t="n">
        <v>878</v>
      </c>
      <c r="AL891">
        <f>IFERROR(IF(AU891&lt;($AM$6-$AL$6)/($AN$6-$AL$6),$AL$6+SQRT(AU891*($AN$6-$AL$6)*($AM$6-$AL$6)),$AN$6-SQRT((1-AU891)*($AN$6-$AL$6)*($AN$6-$AM$6))),$AM$6)</f>
        <v/>
      </c>
      <c r="AM891">
        <f>IFERROR(IF(AV891&lt;($AM$7-$AL$7)/($AN$7-$AL$7),$AL$7+SQRT(AV891*($AN$7-$AL$7)*($AM$7-$AL$7)),$AN$7-SQRT((1-AV891)*($AN$7-$AL$7)*($AN$7-$AM$7))),$AM$7)</f>
        <v/>
      </c>
      <c r="AN891">
        <f>IFERROR(IF(AW891&lt;($AM$8-$AL$8)/($AN$8-$AL$8),$AL$8+SQRT(AW891*($AN$8-$AL$8)*($AM$8-$AL$8)),$AN$8-SQRT((1-AW891)*($AN$8-$AL$8)*($AN$8-$AM$8))),$AM$8)</f>
        <v/>
      </c>
      <c r="AO891">
        <f>IFERROR(IF(AX891&lt;($AM$9-$AL$9)/($AN$9-$AL$9),$AL$9+SQRT(AX891*($AN$9-$AL$9)*($AM$9-$AL$9)),$AN$9-SQRT((1-AX891)*($AN$9-$AL$9)*($AN$9-$AM$9))),$AM$9)</f>
        <v/>
      </c>
      <c r="AP891">
        <f>IFERROR(IF(AY891&lt;($AM$10-$AL$10)/($AN$10-$AL$10),$AL$10+SQRT(AY891*($AN$10-$AL$10)*($AM$10-$AL$10)),$AN$10-SQRT((1-AY891)*($AN$10-$AL$10)*($AN$10-$AM$10))),$AM$10)</f>
        <v/>
      </c>
      <c r="AQ891">
        <f>IFERROR(IF(AZ891&lt;($AM$11-$AL$11)/($AN$11-$AL$11),$AL$11+SQRT(AZ891*($AN$11-$AL$11)*($AM$11-$AL$11)),$AN$11-SQRT((1-AZ891)*($AN$11-$AL$11)*($AN$11-$AM$11))),$AM$11)</f>
        <v/>
      </c>
      <c r="AR891">
        <f>SUMPRODUCT((B24:B31&lt;=$B$6)*(C24:C31*AM891+D24:D31*AO891*$B$8*AQ891)/(1+AL891/100)^B24:B31)+C32*AM891*AP891/(1+AL891/100)^$B$6</f>
        <v/>
      </c>
      <c r="AS891">
        <f>SUMPRODUCT((K24:K26&lt;=$B$6)*(L24:L26*AN891+M24:M26*AO891*$B$8*AQ891)/(1+AL891/100)^K24:K26)+L27*AN891*AP891/(1+AL891/100)^$B$6</f>
        <v/>
      </c>
      <c r="AT891">
        <f>AS891-AR891</f>
        <v/>
      </c>
      <c r="AU891">
        <f>RAND()</f>
        <v/>
      </c>
      <c r="AV891">
        <f>RAND()</f>
        <v/>
      </c>
      <c r="AW891">
        <f>RAND()</f>
        <v/>
      </c>
      <c r="AX891">
        <f>RAND()</f>
        <v/>
      </c>
      <c r="AY891">
        <f>RAND()</f>
        <v/>
      </c>
      <c r="AZ891">
        <f>RAND()</f>
        <v/>
      </c>
    </row>
    <row r="892">
      <c r="AK892" t="n">
        <v>879</v>
      </c>
      <c r="AL892">
        <f>IFERROR(IF(AU892&lt;($AM$6-$AL$6)/($AN$6-$AL$6),$AL$6+SQRT(AU892*($AN$6-$AL$6)*($AM$6-$AL$6)),$AN$6-SQRT((1-AU892)*($AN$6-$AL$6)*($AN$6-$AM$6))),$AM$6)</f>
        <v/>
      </c>
      <c r="AM892">
        <f>IFERROR(IF(AV892&lt;($AM$7-$AL$7)/($AN$7-$AL$7),$AL$7+SQRT(AV892*($AN$7-$AL$7)*($AM$7-$AL$7)),$AN$7-SQRT((1-AV892)*($AN$7-$AL$7)*($AN$7-$AM$7))),$AM$7)</f>
        <v/>
      </c>
      <c r="AN892">
        <f>IFERROR(IF(AW892&lt;($AM$8-$AL$8)/($AN$8-$AL$8),$AL$8+SQRT(AW892*($AN$8-$AL$8)*($AM$8-$AL$8)),$AN$8-SQRT((1-AW892)*($AN$8-$AL$8)*($AN$8-$AM$8))),$AM$8)</f>
        <v/>
      </c>
      <c r="AO892">
        <f>IFERROR(IF(AX892&lt;($AM$9-$AL$9)/($AN$9-$AL$9),$AL$9+SQRT(AX892*($AN$9-$AL$9)*($AM$9-$AL$9)),$AN$9-SQRT((1-AX892)*($AN$9-$AL$9)*($AN$9-$AM$9))),$AM$9)</f>
        <v/>
      </c>
      <c r="AP892">
        <f>IFERROR(IF(AY892&lt;($AM$10-$AL$10)/($AN$10-$AL$10),$AL$10+SQRT(AY892*($AN$10-$AL$10)*($AM$10-$AL$10)),$AN$10-SQRT((1-AY892)*($AN$10-$AL$10)*($AN$10-$AM$10))),$AM$10)</f>
        <v/>
      </c>
      <c r="AQ892">
        <f>IFERROR(IF(AZ892&lt;($AM$11-$AL$11)/($AN$11-$AL$11),$AL$11+SQRT(AZ892*($AN$11-$AL$11)*($AM$11-$AL$11)),$AN$11-SQRT((1-AZ892)*($AN$11-$AL$11)*($AN$11-$AM$11))),$AM$11)</f>
        <v/>
      </c>
      <c r="AR892">
        <f>SUMPRODUCT((B24:B31&lt;=$B$6)*(C24:C31*AM892+D24:D31*AO892*$B$8*AQ892)/(1+AL892/100)^B24:B31)+C32*AM892*AP892/(1+AL892/100)^$B$6</f>
        <v/>
      </c>
      <c r="AS892">
        <f>SUMPRODUCT((K24:K26&lt;=$B$6)*(L24:L26*AN892+M24:M26*AO892*$B$8*AQ892)/(1+AL892/100)^K24:K26)+L27*AN892*AP892/(1+AL892/100)^$B$6</f>
        <v/>
      </c>
      <c r="AT892">
        <f>AS892-AR892</f>
        <v/>
      </c>
      <c r="AU892">
        <f>RAND()</f>
        <v/>
      </c>
      <c r="AV892">
        <f>RAND()</f>
        <v/>
      </c>
      <c r="AW892">
        <f>RAND()</f>
        <v/>
      </c>
      <c r="AX892">
        <f>RAND()</f>
        <v/>
      </c>
      <c r="AY892">
        <f>RAND()</f>
        <v/>
      </c>
      <c r="AZ892">
        <f>RAND()</f>
        <v/>
      </c>
    </row>
    <row r="893">
      <c r="AK893" t="n">
        <v>880</v>
      </c>
      <c r="AL893">
        <f>IFERROR(IF(AU893&lt;($AM$6-$AL$6)/($AN$6-$AL$6),$AL$6+SQRT(AU893*($AN$6-$AL$6)*($AM$6-$AL$6)),$AN$6-SQRT((1-AU893)*($AN$6-$AL$6)*($AN$6-$AM$6))),$AM$6)</f>
        <v/>
      </c>
      <c r="AM893">
        <f>IFERROR(IF(AV893&lt;($AM$7-$AL$7)/($AN$7-$AL$7),$AL$7+SQRT(AV893*($AN$7-$AL$7)*($AM$7-$AL$7)),$AN$7-SQRT((1-AV893)*($AN$7-$AL$7)*($AN$7-$AM$7))),$AM$7)</f>
        <v/>
      </c>
      <c r="AN893">
        <f>IFERROR(IF(AW893&lt;($AM$8-$AL$8)/($AN$8-$AL$8),$AL$8+SQRT(AW893*($AN$8-$AL$8)*($AM$8-$AL$8)),$AN$8-SQRT((1-AW893)*($AN$8-$AL$8)*($AN$8-$AM$8))),$AM$8)</f>
        <v/>
      </c>
      <c r="AO893">
        <f>IFERROR(IF(AX893&lt;($AM$9-$AL$9)/($AN$9-$AL$9),$AL$9+SQRT(AX893*($AN$9-$AL$9)*($AM$9-$AL$9)),$AN$9-SQRT((1-AX893)*($AN$9-$AL$9)*($AN$9-$AM$9))),$AM$9)</f>
        <v/>
      </c>
      <c r="AP893">
        <f>IFERROR(IF(AY893&lt;($AM$10-$AL$10)/($AN$10-$AL$10),$AL$10+SQRT(AY893*($AN$10-$AL$10)*($AM$10-$AL$10)),$AN$10-SQRT((1-AY893)*($AN$10-$AL$10)*($AN$10-$AM$10))),$AM$10)</f>
        <v/>
      </c>
      <c r="AQ893">
        <f>IFERROR(IF(AZ893&lt;($AM$11-$AL$11)/($AN$11-$AL$11),$AL$11+SQRT(AZ893*($AN$11-$AL$11)*($AM$11-$AL$11)),$AN$11-SQRT((1-AZ893)*($AN$11-$AL$11)*($AN$11-$AM$11))),$AM$11)</f>
        <v/>
      </c>
      <c r="AR893">
        <f>SUMPRODUCT((B24:B31&lt;=$B$6)*(C24:C31*AM893+D24:D31*AO893*$B$8*AQ893)/(1+AL893/100)^B24:B31)+C32*AM893*AP893/(1+AL893/100)^$B$6</f>
        <v/>
      </c>
      <c r="AS893">
        <f>SUMPRODUCT((K24:K26&lt;=$B$6)*(L24:L26*AN893+M24:M26*AO893*$B$8*AQ893)/(1+AL893/100)^K24:K26)+L27*AN893*AP893/(1+AL893/100)^$B$6</f>
        <v/>
      </c>
      <c r="AT893">
        <f>AS893-AR893</f>
        <v/>
      </c>
      <c r="AU893">
        <f>RAND()</f>
        <v/>
      </c>
      <c r="AV893">
        <f>RAND()</f>
        <v/>
      </c>
      <c r="AW893">
        <f>RAND()</f>
        <v/>
      </c>
      <c r="AX893">
        <f>RAND()</f>
        <v/>
      </c>
      <c r="AY893">
        <f>RAND()</f>
        <v/>
      </c>
      <c r="AZ893">
        <f>RAND()</f>
        <v/>
      </c>
    </row>
    <row r="894">
      <c r="AK894" t="n">
        <v>881</v>
      </c>
      <c r="AL894">
        <f>IFERROR(IF(AU894&lt;($AM$6-$AL$6)/($AN$6-$AL$6),$AL$6+SQRT(AU894*($AN$6-$AL$6)*($AM$6-$AL$6)),$AN$6-SQRT((1-AU894)*($AN$6-$AL$6)*($AN$6-$AM$6))),$AM$6)</f>
        <v/>
      </c>
      <c r="AM894">
        <f>IFERROR(IF(AV894&lt;($AM$7-$AL$7)/($AN$7-$AL$7),$AL$7+SQRT(AV894*($AN$7-$AL$7)*($AM$7-$AL$7)),$AN$7-SQRT((1-AV894)*($AN$7-$AL$7)*($AN$7-$AM$7))),$AM$7)</f>
        <v/>
      </c>
      <c r="AN894">
        <f>IFERROR(IF(AW894&lt;($AM$8-$AL$8)/($AN$8-$AL$8),$AL$8+SQRT(AW894*($AN$8-$AL$8)*($AM$8-$AL$8)),$AN$8-SQRT((1-AW894)*($AN$8-$AL$8)*($AN$8-$AM$8))),$AM$8)</f>
        <v/>
      </c>
      <c r="AO894">
        <f>IFERROR(IF(AX894&lt;($AM$9-$AL$9)/($AN$9-$AL$9),$AL$9+SQRT(AX894*($AN$9-$AL$9)*($AM$9-$AL$9)),$AN$9-SQRT((1-AX894)*($AN$9-$AL$9)*($AN$9-$AM$9))),$AM$9)</f>
        <v/>
      </c>
      <c r="AP894">
        <f>IFERROR(IF(AY894&lt;($AM$10-$AL$10)/($AN$10-$AL$10),$AL$10+SQRT(AY894*($AN$10-$AL$10)*($AM$10-$AL$10)),$AN$10-SQRT((1-AY894)*($AN$10-$AL$10)*($AN$10-$AM$10))),$AM$10)</f>
        <v/>
      </c>
      <c r="AQ894">
        <f>IFERROR(IF(AZ894&lt;($AM$11-$AL$11)/($AN$11-$AL$11),$AL$11+SQRT(AZ894*($AN$11-$AL$11)*($AM$11-$AL$11)),$AN$11-SQRT((1-AZ894)*($AN$11-$AL$11)*($AN$11-$AM$11))),$AM$11)</f>
        <v/>
      </c>
      <c r="AR894">
        <f>SUMPRODUCT((B24:B31&lt;=$B$6)*(C24:C31*AM894+D24:D31*AO894*$B$8*AQ894)/(1+AL894/100)^B24:B31)+C32*AM894*AP894/(1+AL894/100)^$B$6</f>
        <v/>
      </c>
      <c r="AS894">
        <f>SUMPRODUCT((K24:K26&lt;=$B$6)*(L24:L26*AN894+M24:M26*AO894*$B$8*AQ894)/(1+AL894/100)^K24:K26)+L27*AN894*AP894/(1+AL894/100)^$B$6</f>
        <v/>
      </c>
      <c r="AT894">
        <f>AS894-AR894</f>
        <v/>
      </c>
      <c r="AU894">
        <f>RAND()</f>
        <v/>
      </c>
      <c r="AV894">
        <f>RAND()</f>
        <v/>
      </c>
      <c r="AW894">
        <f>RAND()</f>
        <v/>
      </c>
      <c r="AX894">
        <f>RAND()</f>
        <v/>
      </c>
      <c r="AY894">
        <f>RAND()</f>
        <v/>
      </c>
      <c r="AZ894">
        <f>RAND()</f>
        <v/>
      </c>
    </row>
    <row r="895">
      <c r="AK895" t="n">
        <v>882</v>
      </c>
      <c r="AL895">
        <f>IFERROR(IF(AU895&lt;($AM$6-$AL$6)/($AN$6-$AL$6),$AL$6+SQRT(AU895*($AN$6-$AL$6)*($AM$6-$AL$6)),$AN$6-SQRT((1-AU895)*($AN$6-$AL$6)*($AN$6-$AM$6))),$AM$6)</f>
        <v/>
      </c>
      <c r="AM895">
        <f>IFERROR(IF(AV895&lt;($AM$7-$AL$7)/($AN$7-$AL$7),$AL$7+SQRT(AV895*($AN$7-$AL$7)*($AM$7-$AL$7)),$AN$7-SQRT((1-AV895)*($AN$7-$AL$7)*($AN$7-$AM$7))),$AM$7)</f>
        <v/>
      </c>
      <c r="AN895">
        <f>IFERROR(IF(AW895&lt;($AM$8-$AL$8)/($AN$8-$AL$8),$AL$8+SQRT(AW895*($AN$8-$AL$8)*($AM$8-$AL$8)),$AN$8-SQRT((1-AW895)*($AN$8-$AL$8)*($AN$8-$AM$8))),$AM$8)</f>
        <v/>
      </c>
      <c r="AO895">
        <f>IFERROR(IF(AX895&lt;($AM$9-$AL$9)/($AN$9-$AL$9),$AL$9+SQRT(AX895*($AN$9-$AL$9)*($AM$9-$AL$9)),$AN$9-SQRT((1-AX895)*($AN$9-$AL$9)*($AN$9-$AM$9))),$AM$9)</f>
        <v/>
      </c>
      <c r="AP895">
        <f>IFERROR(IF(AY895&lt;($AM$10-$AL$10)/($AN$10-$AL$10),$AL$10+SQRT(AY895*($AN$10-$AL$10)*($AM$10-$AL$10)),$AN$10-SQRT((1-AY895)*($AN$10-$AL$10)*($AN$10-$AM$10))),$AM$10)</f>
        <v/>
      </c>
      <c r="AQ895">
        <f>IFERROR(IF(AZ895&lt;($AM$11-$AL$11)/($AN$11-$AL$11),$AL$11+SQRT(AZ895*($AN$11-$AL$11)*($AM$11-$AL$11)),$AN$11-SQRT((1-AZ895)*($AN$11-$AL$11)*($AN$11-$AM$11))),$AM$11)</f>
        <v/>
      </c>
      <c r="AR895">
        <f>SUMPRODUCT((B24:B31&lt;=$B$6)*(C24:C31*AM895+D24:D31*AO895*$B$8*AQ895)/(1+AL895/100)^B24:B31)+C32*AM895*AP895/(1+AL895/100)^$B$6</f>
        <v/>
      </c>
      <c r="AS895">
        <f>SUMPRODUCT((K24:K26&lt;=$B$6)*(L24:L26*AN895+M24:M26*AO895*$B$8*AQ895)/(1+AL895/100)^K24:K26)+L27*AN895*AP895/(1+AL895/100)^$B$6</f>
        <v/>
      </c>
      <c r="AT895">
        <f>AS895-AR895</f>
        <v/>
      </c>
      <c r="AU895">
        <f>RAND()</f>
        <v/>
      </c>
      <c r="AV895">
        <f>RAND()</f>
        <v/>
      </c>
      <c r="AW895">
        <f>RAND()</f>
        <v/>
      </c>
      <c r="AX895">
        <f>RAND()</f>
        <v/>
      </c>
      <c r="AY895">
        <f>RAND()</f>
        <v/>
      </c>
      <c r="AZ895">
        <f>RAND()</f>
        <v/>
      </c>
    </row>
    <row r="896">
      <c r="AK896" t="n">
        <v>883</v>
      </c>
      <c r="AL896">
        <f>IFERROR(IF(AU896&lt;($AM$6-$AL$6)/($AN$6-$AL$6),$AL$6+SQRT(AU896*($AN$6-$AL$6)*($AM$6-$AL$6)),$AN$6-SQRT((1-AU896)*($AN$6-$AL$6)*($AN$6-$AM$6))),$AM$6)</f>
        <v/>
      </c>
      <c r="AM896">
        <f>IFERROR(IF(AV896&lt;($AM$7-$AL$7)/($AN$7-$AL$7),$AL$7+SQRT(AV896*($AN$7-$AL$7)*($AM$7-$AL$7)),$AN$7-SQRT((1-AV896)*($AN$7-$AL$7)*($AN$7-$AM$7))),$AM$7)</f>
        <v/>
      </c>
      <c r="AN896">
        <f>IFERROR(IF(AW896&lt;($AM$8-$AL$8)/($AN$8-$AL$8),$AL$8+SQRT(AW896*($AN$8-$AL$8)*($AM$8-$AL$8)),$AN$8-SQRT((1-AW896)*($AN$8-$AL$8)*($AN$8-$AM$8))),$AM$8)</f>
        <v/>
      </c>
      <c r="AO896">
        <f>IFERROR(IF(AX896&lt;($AM$9-$AL$9)/($AN$9-$AL$9),$AL$9+SQRT(AX896*($AN$9-$AL$9)*($AM$9-$AL$9)),$AN$9-SQRT((1-AX896)*($AN$9-$AL$9)*($AN$9-$AM$9))),$AM$9)</f>
        <v/>
      </c>
      <c r="AP896">
        <f>IFERROR(IF(AY896&lt;($AM$10-$AL$10)/($AN$10-$AL$10),$AL$10+SQRT(AY896*($AN$10-$AL$10)*($AM$10-$AL$10)),$AN$10-SQRT((1-AY896)*($AN$10-$AL$10)*($AN$10-$AM$10))),$AM$10)</f>
        <v/>
      </c>
      <c r="AQ896">
        <f>IFERROR(IF(AZ896&lt;($AM$11-$AL$11)/($AN$11-$AL$11),$AL$11+SQRT(AZ896*($AN$11-$AL$11)*($AM$11-$AL$11)),$AN$11-SQRT((1-AZ896)*($AN$11-$AL$11)*($AN$11-$AM$11))),$AM$11)</f>
        <v/>
      </c>
      <c r="AR896">
        <f>SUMPRODUCT((B24:B31&lt;=$B$6)*(C24:C31*AM896+D24:D31*AO896*$B$8*AQ896)/(1+AL896/100)^B24:B31)+C32*AM896*AP896/(1+AL896/100)^$B$6</f>
        <v/>
      </c>
      <c r="AS896">
        <f>SUMPRODUCT((K24:K26&lt;=$B$6)*(L24:L26*AN896+M24:M26*AO896*$B$8*AQ896)/(1+AL896/100)^K24:K26)+L27*AN896*AP896/(1+AL896/100)^$B$6</f>
        <v/>
      </c>
      <c r="AT896">
        <f>AS896-AR896</f>
        <v/>
      </c>
      <c r="AU896">
        <f>RAND()</f>
        <v/>
      </c>
      <c r="AV896">
        <f>RAND()</f>
        <v/>
      </c>
      <c r="AW896">
        <f>RAND()</f>
        <v/>
      </c>
      <c r="AX896">
        <f>RAND()</f>
        <v/>
      </c>
      <c r="AY896">
        <f>RAND()</f>
        <v/>
      </c>
      <c r="AZ896">
        <f>RAND()</f>
        <v/>
      </c>
    </row>
    <row r="897">
      <c r="AK897" t="n">
        <v>884</v>
      </c>
      <c r="AL897">
        <f>IFERROR(IF(AU897&lt;($AM$6-$AL$6)/($AN$6-$AL$6),$AL$6+SQRT(AU897*($AN$6-$AL$6)*($AM$6-$AL$6)),$AN$6-SQRT((1-AU897)*($AN$6-$AL$6)*($AN$6-$AM$6))),$AM$6)</f>
        <v/>
      </c>
      <c r="AM897">
        <f>IFERROR(IF(AV897&lt;($AM$7-$AL$7)/($AN$7-$AL$7),$AL$7+SQRT(AV897*($AN$7-$AL$7)*($AM$7-$AL$7)),$AN$7-SQRT((1-AV897)*($AN$7-$AL$7)*($AN$7-$AM$7))),$AM$7)</f>
        <v/>
      </c>
      <c r="AN897">
        <f>IFERROR(IF(AW897&lt;($AM$8-$AL$8)/($AN$8-$AL$8),$AL$8+SQRT(AW897*($AN$8-$AL$8)*($AM$8-$AL$8)),$AN$8-SQRT((1-AW897)*($AN$8-$AL$8)*($AN$8-$AM$8))),$AM$8)</f>
        <v/>
      </c>
      <c r="AO897">
        <f>IFERROR(IF(AX897&lt;($AM$9-$AL$9)/($AN$9-$AL$9),$AL$9+SQRT(AX897*($AN$9-$AL$9)*($AM$9-$AL$9)),$AN$9-SQRT((1-AX897)*($AN$9-$AL$9)*($AN$9-$AM$9))),$AM$9)</f>
        <v/>
      </c>
      <c r="AP897">
        <f>IFERROR(IF(AY897&lt;($AM$10-$AL$10)/($AN$10-$AL$10),$AL$10+SQRT(AY897*($AN$10-$AL$10)*($AM$10-$AL$10)),$AN$10-SQRT((1-AY897)*($AN$10-$AL$10)*($AN$10-$AM$10))),$AM$10)</f>
        <v/>
      </c>
      <c r="AQ897">
        <f>IFERROR(IF(AZ897&lt;($AM$11-$AL$11)/($AN$11-$AL$11),$AL$11+SQRT(AZ897*($AN$11-$AL$11)*($AM$11-$AL$11)),$AN$11-SQRT((1-AZ897)*($AN$11-$AL$11)*($AN$11-$AM$11))),$AM$11)</f>
        <v/>
      </c>
      <c r="AR897">
        <f>SUMPRODUCT((B24:B31&lt;=$B$6)*(C24:C31*AM897+D24:D31*AO897*$B$8*AQ897)/(1+AL897/100)^B24:B31)+C32*AM897*AP897/(1+AL897/100)^$B$6</f>
        <v/>
      </c>
      <c r="AS897">
        <f>SUMPRODUCT((K24:K26&lt;=$B$6)*(L24:L26*AN897+M24:M26*AO897*$B$8*AQ897)/(1+AL897/100)^K24:K26)+L27*AN897*AP897/(1+AL897/100)^$B$6</f>
        <v/>
      </c>
      <c r="AT897">
        <f>AS897-AR897</f>
        <v/>
      </c>
      <c r="AU897">
        <f>RAND()</f>
        <v/>
      </c>
      <c r="AV897">
        <f>RAND()</f>
        <v/>
      </c>
      <c r="AW897">
        <f>RAND()</f>
        <v/>
      </c>
      <c r="AX897">
        <f>RAND()</f>
        <v/>
      </c>
      <c r="AY897">
        <f>RAND()</f>
        <v/>
      </c>
      <c r="AZ897">
        <f>RAND()</f>
        <v/>
      </c>
    </row>
    <row r="898">
      <c r="AK898" t="n">
        <v>885</v>
      </c>
      <c r="AL898">
        <f>IFERROR(IF(AU898&lt;($AM$6-$AL$6)/($AN$6-$AL$6),$AL$6+SQRT(AU898*($AN$6-$AL$6)*($AM$6-$AL$6)),$AN$6-SQRT((1-AU898)*($AN$6-$AL$6)*($AN$6-$AM$6))),$AM$6)</f>
        <v/>
      </c>
      <c r="AM898">
        <f>IFERROR(IF(AV898&lt;($AM$7-$AL$7)/($AN$7-$AL$7),$AL$7+SQRT(AV898*($AN$7-$AL$7)*($AM$7-$AL$7)),$AN$7-SQRT((1-AV898)*($AN$7-$AL$7)*($AN$7-$AM$7))),$AM$7)</f>
        <v/>
      </c>
      <c r="AN898">
        <f>IFERROR(IF(AW898&lt;($AM$8-$AL$8)/($AN$8-$AL$8),$AL$8+SQRT(AW898*($AN$8-$AL$8)*($AM$8-$AL$8)),$AN$8-SQRT((1-AW898)*($AN$8-$AL$8)*($AN$8-$AM$8))),$AM$8)</f>
        <v/>
      </c>
      <c r="AO898">
        <f>IFERROR(IF(AX898&lt;($AM$9-$AL$9)/($AN$9-$AL$9),$AL$9+SQRT(AX898*($AN$9-$AL$9)*($AM$9-$AL$9)),$AN$9-SQRT((1-AX898)*($AN$9-$AL$9)*($AN$9-$AM$9))),$AM$9)</f>
        <v/>
      </c>
      <c r="AP898">
        <f>IFERROR(IF(AY898&lt;($AM$10-$AL$10)/($AN$10-$AL$10),$AL$10+SQRT(AY898*($AN$10-$AL$10)*($AM$10-$AL$10)),$AN$10-SQRT((1-AY898)*($AN$10-$AL$10)*($AN$10-$AM$10))),$AM$10)</f>
        <v/>
      </c>
      <c r="AQ898">
        <f>IFERROR(IF(AZ898&lt;($AM$11-$AL$11)/($AN$11-$AL$11),$AL$11+SQRT(AZ898*($AN$11-$AL$11)*($AM$11-$AL$11)),$AN$11-SQRT((1-AZ898)*($AN$11-$AL$11)*($AN$11-$AM$11))),$AM$11)</f>
        <v/>
      </c>
      <c r="AR898">
        <f>SUMPRODUCT((B24:B31&lt;=$B$6)*(C24:C31*AM898+D24:D31*AO898*$B$8*AQ898)/(1+AL898/100)^B24:B31)+C32*AM898*AP898/(1+AL898/100)^$B$6</f>
        <v/>
      </c>
      <c r="AS898">
        <f>SUMPRODUCT((K24:K26&lt;=$B$6)*(L24:L26*AN898+M24:M26*AO898*$B$8*AQ898)/(1+AL898/100)^K24:K26)+L27*AN898*AP898/(1+AL898/100)^$B$6</f>
        <v/>
      </c>
      <c r="AT898">
        <f>AS898-AR898</f>
        <v/>
      </c>
      <c r="AU898">
        <f>RAND()</f>
        <v/>
      </c>
      <c r="AV898">
        <f>RAND()</f>
        <v/>
      </c>
      <c r="AW898">
        <f>RAND()</f>
        <v/>
      </c>
      <c r="AX898">
        <f>RAND()</f>
        <v/>
      </c>
      <c r="AY898">
        <f>RAND()</f>
        <v/>
      </c>
      <c r="AZ898">
        <f>RAND()</f>
        <v/>
      </c>
    </row>
    <row r="899">
      <c r="AK899" t="n">
        <v>886</v>
      </c>
      <c r="AL899">
        <f>IFERROR(IF(AU899&lt;($AM$6-$AL$6)/($AN$6-$AL$6),$AL$6+SQRT(AU899*($AN$6-$AL$6)*($AM$6-$AL$6)),$AN$6-SQRT((1-AU899)*($AN$6-$AL$6)*($AN$6-$AM$6))),$AM$6)</f>
        <v/>
      </c>
      <c r="AM899">
        <f>IFERROR(IF(AV899&lt;($AM$7-$AL$7)/($AN$7-$AL$7),$AL$7+SQRT(AV899*($AN$7-$AL$7)*($AM$7-$AL$7)),$AN$7-SQRT((1-AV899)*($AN$7-$AL$7)*($AN$7-$AM$7))),$AM$7)</f>
        <v/>
      </c>
      <c r="AN899">
        <f>IFERROR(IF(AW899&lt;($AM$8-$AL$8)/($AN$8-$AL$8),$AL$8+SQRT(AW899*($AN$8-$AL$8)*($AM$8-$AL$8)),$AN$8-SQRT((1-AW899)*($AN$8-$AL$8)*($AN$8-$AM$8))),$AM$8)</f>
        <v/>
      </c>
      <c r="AO899">
        <f>IFERROR(IF(AX899&lt;($AM$9-$AL$9)/($AN$9-$AL$9),$AL$9+SQRT(AX899*($AN$9-$AL$9)*($AM$9-$AL$9)),$AN$9-SQRT((1-AX899)*($AN$9-$AL$9)*($AN$9-$AM$9))),$AM$9)</f>
        <v/>
      </c>
      <c r="AP899">
        <f>IFERROR(IF(AY899&lt;($AM$10-$AL$10)/($AN$10-$AL$10),$AL$10+SQRT(AY899*($AN$10-$AL$10)*($AM$10-$AL$10)),$AN$10-SQRT((1-AY899)*($AN$10-$AL$10)*($AN$10-$AM$10))),$AM$10)</f>
        <v/>
      </c>
      <c r="AQ899">
        <f>IFERROR(IF(AZ899&lt;($AM$11-$AL$11)/($AN$11-$AL$11),$AL$11+SQRT(AZ899*($AN$11-$AL$11)*($AM$11-$AL$11)),$AN$11-SQRT((1-AZ899)*($AN$11-$AL$11)*($AN$11-$AM$11))),$AM$11)</f>
        <v/>
      </c>
      <c r="AR899">
        <f>SUMPRODUCT((B24:B31&lt;=$B$6)*(C24:C31*AM899+D24:D31*AO899*$B$8*AQ899)/(1+AL899/100)^B24:B31)+C32*AM899*AP899/(1+AL899/100)^$B$6</f>
        <v/>
      </c>
      <c r="AS899">
        <f>SUMPRODUCT((K24:K26&lt;=$B$6)*(L24:L26*AN899+M24:M26*AO899*$B$8*AQ899)/(1+AL899/100)^K24:K26)+L27*AN899*AP899/(1+AL899/100)^$B$6</f>
        <v/>
      </c>
      <c r="AT899">
        <f>AS899-AR899</f>
        <v/>
      </c>
      <c r="AU899">
        <f>RAND()</f>
        <v/>
      </c>
      <c r="AV899">
        <f>RAND()</f>
        <v/>
      </c>
      <c r="AW899">
        <f>RAND()</f>
        <v/>
      </c>
      <c r="AX899">
        <f>RAND()</f>
        <v/>
      </c>
      <c r="AY899">
        <f>RAND()</f>
        <v/>
      </c>
      <c r="AZ899">
        <f>RAND()</f>
        <v/>
      </c>
    </row>
    <row r="900">
      <c r="AK900" t="n">
        <v>887</v>
      </c>
      <c r="AL900">
        <f>IFERROR(IF(AU900&lt;($AM$6-$AL$6)/($AN$6-$AL$6),$AL$6+SQRT(AU900*($AN$6-$AL$6)*($AM$6-$AL$6)),$AN$6-SQRT((1-AU900)*($AN$6-$AL$6)*($AN$6-$AM$6))),$AM$6)</f>
        <v/>
      </c>
      <c r="AM900">
        <f>IFERROR(IF(AV900&lt;($AM$7-$AL$7)/($AN$7-$AL$7),$AL$7+SQRT(AV900*($AN$7-$AL$7)*($AM$7-$AL$7)),$AN$7-SQRT((1-AV900)*($AN$7-$AL$7)*($AN$7-$AM$7))),$AM$7)</f>
        <v/>
      </c>
      <c r="AN900">
        <f>IFERROR(IF(AW900&lt;($AM$8-$AL$8)/($AN$8-$AL$8),$AL$8+SQRT(AW900*($AN$8-$AL$8)*($AM$8-$AL$8)),$AN$8-SQRT((1-AW900)*($AN$8-$AL$8)*($AN$8-$AM$8))),$AM$8)</f>
        <v/>
      </c>
      <c r="AO900">
        <f>IFERROR(IF(AX900&lt;($AM$9-$AL$9)/($AN$9-$AL$9),$AL$9+SQRT(AX900*($AN$9-$AL$9)*($AM$9-$AL$9)),$AN$9-SQRT((1-AX900)*($AN$9-$AL$9)*($AN$9-$AM$9))),$AM$9)</f>
        <v/>
      </c>
      <c r="AP900">
        <f>IFERROR(IF(AY900&lt;($AM$10-$AL$10)/($AN$10-$AL$10),$AL$10+SQRT(AY900*($AN$10-$AL$10)*($AM$10-$AL$10)),$AN$10-SQRT((1-AY900)*($AN$10-$AL$10)*($AN$10-$AM$10))),$AM$10)</f>
        <v/>
      </c>
      <c r="AQ900">
        <f>IFERROR(IF(AZ900&lt;($AM$11-$AL$11)/($AN$11-$AL$11),$AL$11+SQRT(AZ900*($AN$11-$AL$11)*($AM$11-$AL$11)),$AN$11-SQRT((1-AZ900)*($AN$11-$AL$11)*($AN$11-$AM$11))),$AM$11)</f>
        <v/>
      </c>
      <c r="AR900">
        <f>SUMPRODUCT((B24:B31&lt;=$B$6)*(C24:C31*AM900+D24:D31*AO900*$B$8*AQ900)/(1+AL900/100)^B24:B31)+C32*AM900*AP900/(1+AL900/100)^$B$6</f>
        <v/>
      </c>
      <c r="AS900">
        <f>SUMPRODUCT((K24:K26&lt;=$B$6)*(L24:L26*AN900+M24:M26*AO900*$B$8*AQ900)/(1+AL900/100)^K24:K26)+L27*AN900*AP900/(1+AL900/100)^$B$6</f>
        <v/>
      </c>
      <c r="AT900">
        <f>AS900-AR900</f>
        <v/>
      </c>
      <c r="AU900">
        <f>RAND()</f>
        <v/>
      </c>
      <c r="AV900">
        <f>RAND()</f>
        <v/>
      </c>
      <c r="AW900">
        <f>RAND()</f>
        <v/>
      </c>
      <c r="AX900">
        <f>RAND()</f>
        <v/>
      </c>
      <c r="AY900">
        <f>RAND()</f>
        <v/>
      </c>
      <c r="AZ900">
        <f>RAND()</f>
        <v/>
      </c>
    </row>
    <row r="901">
      <c r="AK901" t="n">
        <v>888</v>
      </c>
      <c r="AL901">
        <f>IFERROR(IF(AU901&lt;($AM$6-$AL$6)/($AN$6-$AL$6),$AL$6+SQRT(AU901*($AN$6-$AL$6)*($AM$6-$AL$6)),$AN$6-SQRT((1-AU901)*($AN$6-$AL$6)*($AN$6-$AM$6))),$AM$6)</f>
        <v/>
      </c>
      <c r="AM901">
        <f>IFERROR(IF(AV901&lt;($AM$7-$AL$7)/($AN$7-$AL$7),$AL$7+SQRT(AV901*($AN$7-$AL$7)*($AM$7-$AL$7)),$AN$7-SQRT((1-AV901)*($AN$7-$AL$7)*($AN$7-$AM$7))),$AM$7)</f>
        <v/>
      </c>
      <c r="AN901">
        <f>IFERROR(IF(AW901&lt;($AM$8-$AL$8)/($AN$8-$AL$8),$AL$8+SQRT(AW901*($AN$8-$AL$8)*($AM$8-$AL$8)),$AN$8-SQRT((1-AW901)*($AN$8-$AL$8)*($AN$8-$AM$8))),$AM$8)</f>
        <v/>
      </c>
      <c r="AO901">
        <f>IFERROR(IF(AX901&lt;($AM$9-$AL$9)/($AN$9-$AL$9),$AL$9+SQRT(AX901*($AN$9-$AL$9)*($AM$9-$AL$9)),$AN$9-SQRT((1-AX901)*($AN$9-$AL$9)*($AN$9-$AM$9))),$AM$9)</f>
        <v/>
      </c>
      <c r="AP901">
        <f>IFERROR(IF(AY901&lt;($AM$10-$AL$10)/($AN$10-$AL$10),$AL$10+SQRT(AY901*($AN$10-$AL$10)*($AM$10-$AL$10)),$AN$10-SQRT((1-AY901)*($AN$10-$AL$10)*($AN$10-$AM$10))),$AM$10)</f>
        <v/>
      </c>
      <c r="AQ901">
        <f>IFERROR(IF(AZ901&lt;($AM$11-$AL$11)/($AN$11-$AL$11),$AL$11+SQRT(AZ901*($AN$11-$AL$11)*($AM$11-$AL$11)),$AN$11-SQRT((1-AZ901)*($AN$11-$AL$11)*($AN$11-$AM$11))),$AM$11)</f>
        <v/>
      </c>
      <c r="AR901">
        <f>SUMPRODUCT((B24:B31&lt;=$B$6)*(C24:C31*AM901+D24:D31*AO901*$B$8*AQ901)/(1+AL901/100)^B24:B31)+C32*AM901*AP901/(1+AL901/100)^$B$6</f>
        <v/>
      </c>
      <c r="AS901">
        <f>SUMPRODUCT((K24:K26&lt;=$B$6)*(L24:L26*AN901+M24:M26*AO901*$B$8*AQ901)/(1+AL901/100)^K24:K26)+L27*AN901*AP901/(1+AL901/100)^$B$6</f>
        <v/>
      </c>
      <c r="AT901">
        <f>AS901-AR901</f>
        <v/>
      </c>
      <c r="AU901">
        <f>RAND()</f>
        <v/>
      </c>
      <c r="AV901">
        <f>RAND()</f>
        <v/>
      </c>
      <c r="AW901">
        <f>RAND()</f>
        <v/>
      </c>
      <c r="AX901">
        <f>RAND()</f>
        <v/>
      </c>
      <c r="AY901">
        <f>RAND()</f>
        <v/>
      </c>
      <c r="AZ901">
        <f>RAND()</f>
        <v/>
      </c>
    </row>
    <row r="902">
      <c r="AK902" t="n">
        <v>889</v>
      </c>
      <c r="AL902">
        <f>IFERROR(IF(AU902&lt;($AM$6-$AL$6)/($AN$6-$AL$6),$AL$6+SQRT(AU902*($AN$6-$AL$6)*($AM$6-$AL$6)),$AN$6-SQRT((1-AU902)*($AN$6-$AL$6)*($AN$6-$AM$6))),$AM$6)</f>
        <v/>
      </c>
      <c r="AM902">
        <f>IFERROR(IF(AV902&lt;($AM$7-$AL$7)/($AN$7-$AL$7),$AL$7+SQRT(AV902*($AN$7-$AL$7)*($AM$7-$AL$7)),$AN$7-SQRT((1-AV902)*($AN$7-$AL$7)*($AN$7-$AM$7))),$AM$7)</f>
        <v/>
      </c>
      <c r="AN902">
        <f>IFERROR(IF(AW902&lt;($AM$8-$AL$8)/($AN$8-$AL$8),$AL$8+SQRT(AW902*($AN$8-$AL$8)*($AM$8-$AL$8)),$AN$8-SQRT((1-AW902)*($AN$8-$AL$8)*($AN$8-$AM$8))),$AM$8)</f>
        <v/>
      </c>
      <c r="AO902">
        <f>IFERROR(IF(AX902&lt;($AM$9-$AL$9)/($AN$9-$AL$9),$AL$9+SQRT(AX902*($AN$9-$AL$9)*($AM$9-$AL$9)),$AN$9-SQRT((1-AX902)*($AN$9-$AL$9)*($AN$9-$AM$9))),$AM$9)</f>
        <v/>
      </c>
      <c r="AP902">
        <f>IFERROR(IF(AY902&lt;($AM$10-$AL$10)/($AN$10-$AL$10),$AL$10+SQRT(AY902*($AN$10-$AL$10)*($AM$10-$AL$10)),$AN$10-SQRT((1-AY902)*($AN$10-$AL$10)*($AN$10-$AM$10))),$AM$10)</f>
        <v/>
      </c>
      <c r="AQ902">
        <f>IFERROR(IF(AZ902&lt;($AM$11-$AL$11)/($AN$11-$AL$11),$AL$11+SQRT(AZ902*($AN$11-$AL$11)*($AM$11-$AL$11)),$AN$11-SQRT((1-AZ902)*($AN$11-$AL$11)*($AN$11-$AM$11))),$AM$11)</f>
        <v/>
      </c>
      <c r="AR902">
        <f>SUMPRODUCT((B24:B31&lt;=$B$6)*(C24:C31*AM902+D24:D31*AO902*$B$8*AQ902)/(1+AL902/100)^B24:B31)+C32*AM902*AP902/(1+AL902/100)^$B$6</f>
        <v/>
      </c>
      <c r="AS902">
        <f>SUMPRODUCT((K24:K26&lt;=$B$6)*(L24:L26*AN902+M24:M26*AO902*$B$8*AQ902)/(1+AL902/100)^K24:K26)+L27*AN902*AP902/(1+AL902/100)^$B$6</f>
        <v/>
      </c>
      <c r="AT902">
        <f>AS902-AR902</f>
        <v/>
      </c>
      <c r="AU902">
        <f>RAND()</f>
        <v/>
      </c>
      <c r="AV902">
        <f>RAND()</f>
        <v/>
      </c>
      <c r="AW902">
        <f>RAND()</f>
        <v/>
      </c>
      <c r="AX902">
        <f>RAND()</f>
        <v/>
      </c>
      <c r="AY902">
        <f>RAND()</f>
        <v/>
      </c>
      <c r="AZ902">
        <f>RAND()</f>
        <v/>
      </c>
    </row>
    <row r="903">
      <c r="AK903" t="n">
        <v>890</v>
      </c>
      <c r="AL903">
        <f>IFERROR(IF(AU903&lt;($AM$6-$AL$6)/($AN$6-$AL$6),$AL$6+SQRT(AU903*($AN$6-$AL$6)*($AM$6-$AL$6)),$AN$6-SQRT((1-AU903)*($AN$6-$AL$6)*($AN$6-$AM$6))),$AM$6)</f>
        <v/>
      </c>
      <c r="AM903">
        <f>IFERROR(IF(AV903&lt;($AM$7-$AL$7)/($AN$7-$AL$7),$AL$7+SQRT(AV903*($AN$7-$AL$7)*($AM$7-$AL$7)),$AN$7-SQRT((1-AV903)*($AN$7-$AL$7)*($AN$7-$AM$7))),$AM$7)</f>
        <v/>
      </c>
      <c r="AN903">
        <f>IFERROR(IF(AW903&lt;($AM$8-$AL$8)/($AN$8-$AL$8),$AL$8+SQRT(AW903*($AN$8-$AL$8)*($AM$8-$AL$8)),$AN$8-SQRT((1-AW903)*($AN$8-$AL$8)*($AN$8-$AM$8))),$AM$8)</f>
        <v/>
      </c>
      <c r="AO903">
        <f>IFERROR(IF(AX903&lt;($AM$9-$AL$9)/($AN$9-$AL$9),$AL$9+SQRT(AX903*($AN$9-$AL$9)*($AM$9-$AL$9)),$AN$9-SQRT((1-AX903)*($AN$9-$AL$9)*($AN$9-$AM$9))),$AM$9)</f>
        <v/>
      </c>
      <c r="AP903">
        <f>IFERROR(IF(AY903&lt;($AM$10-$AL$10)/($AN$10-$AL$10),$AL$10+SQRT(AY903*($AN$10-$AL$10)*($AM$10-$AL$10)),$AN$10-SQRT((1-AY903)*($AN$10-$AL$10)*($AN$10-$AM$10))),$AM$10)</f>
        <v/>
      </c>
      <c r="AQ903">
        <f>IFERROR(IF(AZ903&lt;($AM$11-$AL$11)/($AN$11-$AL$11),$AL$11+SQRT(AZ903*($AN$11-$AL$11)*($AM$11-$AL$11)),$AN$11-SQRT((1-AZ903)*($AN$11-$AL$11)*($AN$11-$AM$11))),$AM$11)</f>
        <v/>
      </c>
      <c r="AR903">
        <f>SUMPRODUCT((B24:B31&lt;=$B$6)*(C24:C31*AM903+D24:D31*AO903*$B$8*AQ903)/(1+AL903/100)^B24:B31)+C32*AM903*AP903/(1+AL903/100)^$B$6</f>
        <v/>
      </c>
      <c r="AS903">
        <f>SUMPRODUCT((K24:K26&lt;=$B$6)*(L24:L26*AN903+M24:M26*AO903*$B$8*AQ903)/(1+AL903/100)^K24:K26)+L27*AN903*AP903/(1+AL903/100)^$B$6</f>
        <v/>
      </c>
      <c r="AT903">
        <f>AS903-AR903</f>
        <v/>
      </c>
      <c r="AU903">
        <f>RAND()</f>
        <v/>
      </c>
      <c r="AV903">
        <f>RAND()</f>
        <v/>
      </c>
      <c r="AW903">
        <f>RAND()</f>
        <v/>
      </c>
      <c r="AX903">
        <f>RAND()</f>
        <v/>
      </c>
      <c r="AY903">
        <f>RAND()</f>
        <v/>
      </c>
      <c r="AZ903">
        <f>RAND()</f>
        <v/>
      </c>
    </row>
    <row r="904">
      <c r="AK904" t="n">
        <v>891</v>
      </c>
      <c r="AL904">
        <f>IFERROR(IF(AU904&lt;($AM$6-$AL$6)/($AN$6-$AL$6),$AL$6+SQRT(AU904*($AN$6-$AL$6)*($AM$6-$AL$6)),$AN$6-SQRT((1-AU904)*($AN$6-$AL$6)*($AN$6-$AM$6))),$AM$6)</f>
        <v/>
      </c>
      <c r="AM904">
        <f>IFERROR(IF(AV904&lt;($AM$7-$AL$7)/($AN$7-$AL$7),$AL$7+SQRT(AV904*($AN$7-$AL$7)*($AM$7-$AL$7)),$AN$7-SQRT((1-AV904)*($AN$7-$AL$7)*($AN$7-$AM$7))),$AM$7)</f>
        <v/>
      </c>
      <c r="AN904">
        <f>IFERROR(IF(AW904&lt;($AM$8-$AL$8)/($AN$8-$AL$8),$AL$8+SQRT(AW904*($AN$8-$AL$8)*($AM$8-$AL$8)),$AN$8-SQRT((1-AW904)*($AN$8-$AL$8)*($AN$8-$AM$8))),$AM$8)</f>
        <v/>
      </c>
      <c r="AO904">
        <f>IFERROR(IF(AX904&lt;($AM$9-$AL$9)/($AN$9-$AL$9),$AL$9+SQRT(AX904*($AN$9-$AL$9)*($AM$9-$AL$9)),$AN$9-SQRT((1-AX904)*($AN$9-$AL$9)*($AN$9-$AM$9))),$AM$9)</f>
        <v/>
      </c>
      <c r="AP904">
        <f>IFERROR(IF(AY904&lt;($AM$10-$AL$10)/($AN$10-$AL$10),$AL$10+SQRT(AY904*($AN$10-$AL$10)*($AM$10-$AL$10)),$AN$10-SQRT((1-AY904)*($AN$10-$AL$10)*($AN$10-$AM$10))),$AM$10)</f>
        <v/>
      </c>
      <c r="AQ904">
        <f>IFERROR(IF(AZ904&lt;($AM$11-$AL$11)/($AN$11-$AL$11),$AL$11+SQRT(AZ904*($AN$11-$AL$11)*($AM$11-$AL$11)),$AN$11-SQRT((1-AZ904)*($AN$11-$AL$11)*($AN$11-$AM$11))),$AM$11)</f>
        <v/>
      </c>
      <c r="AR904">
        <f>SUMPRODUCT((B24:B31&lt;=$B$6)*(C24:C31*AM904+D24:D31*AO904*$B$8*AQ904)/(1+AL904/100)^B24:B31)+C32*AM904*AP904/(1+AL904/100)^$B$6</f>
        <v/>
      </c>
      <c r="AS904">
        <f>SUMPRODUCT((K24:K26&lt;=$B$6)*(L24:L26*AN904+M24:M26*AO904*$B$8*AQ904)/(1+AL904/100)^K24:K26)+L27*AN904*AP904/(1+AL904/100)^$B$6</f>
        <v/>
      </c>
      <c r="AT904">
        <f>AS904-AR904</f>
        <v/>
      </c>
      <c r="AU904">
        <f>RAND()</f>
        <v/>
      </c>
      <c r="AV904">
        <f>RAND()</f>
        <v/>
      </c>
      <c r="AW904">
        <f>RAND()</f>
        <v/>
      </c>
      <c r="AX904">
        <f>RAND()</f>
        <v/>
      </c>
      <c r="AY904">
        <f>RAND()</f>
        <v/>
      </c>
      <c r="AZ904">
        <f>RAND()</f>
        <v/>
      </c>
    </row>
    <row r="905">
      <c r="AK905" t="n">
        <v>892</v>
      </c>
      <c r="AL905">
        <f>IFERROR(IF(AU905&lt;($AM$6-$AL$6)/($AN$6-$AL$6),$AL$6+SQRT(AU905*($AN$6-$AL$6)*($AM$6-$AL$6)),$AN$6-SQRT((1-AU905)*($AN$6-$AL$6)*($AN$6-$AM$6))),$AM$6)</f>
        <v/>
      </c>
      <c r="AM905">
        <f>IFERROR(IF(AV905&lt;($AM$7-$AL$7)/($AN$7-$AL$7),$AL$7+SQRT(AV905*($AN$7-$AL$7)*($AM$7-$AL$7)),$AN$7-SQRT((1-AV905)*($AN$7-$AL$7)*($AN$7-$AM$7))),$AM$7)</f>
        <v/>
      </c>
      <c r="AN905">
        <f>IFERROR(IF(AW905&lt;($AM$8-$AL$8)/($AN$8-$AL$8),$AL$8+SQRT(AW905*($AN$8-$AL$8)*($AM$8-$AL$8)),$AN$8-SQRT((1-AW905)*($AN$8-$AL$8)*($AN$8-$AM$8))),$AM$8)</f>
        <v/>
      </c>
      <c r="AO905">
        <f>IFERROR(IF(AX905&lt;($AM$9-$AL$9)/($AN$9-$AL$9),$AL$9+SQRT(AX905*($AN$9-$AL$9)*($AM$9-$AL$9)),$AN$9-SQRT((1-AX905)*($AN$9-$AL$9)*($AN$9-$AM$9))),$AM$9)</f>
        <v/>
      </c>
      <c r="AP905">
        <f>IFERROR(IF(AY905&lt;($AM$10-$AL$10)/($AN$10-$AL$10),$AL$10+SQRT(AY905*($AN$10-$AL$10)*($AM$10-$AL$10)),$AN$10-SQRT((1-AY905)*($AN$10-$AL$10)*($AN$10-$AM$10))),$AM$10)</f>
        <v/>
      </c>
      <c r="AQ905">
        <f>IFERROR(IF(AZ905&lt;($AM$11-$AL$11)/($AN$11-$AL$11),$AL$11+SQRT(AZ905*($AN$11-$AL$11)*($AM$11-$AL$11)),$AN$11-SQRT((1-AZ905)*($AN$11-$AL$11)*($AN$11-$AM$11))),$AM$11)</f>
        <v/>
      </c>
      <c r="AR905">
        <f>SUMPRODUCT((B24:B31&lt;=$B$6)*(C24:C31*AM905+D24:D31*AO905*$B$8*AQ905)/(1+AL905/100)^B24:B31)+C32*AM905*AP905/(1+AL905/100)^$B$6</f>
        <v/>
      </c>
      <c r="AS905">
        <f>SUMPRODUCT((K24:K26&lt;=$B$6)*(L24:L26*AN905+M24:M26*AO905*$B$8*AQ905)/(1+AL905/100)^K24:K26)+L27*AN905*AP905/(1+AL905/100)^$B$6</f>
        <v/>
      </c>
      <c r="AT905">
        <f>AS905-AR905</f>
        <v/>
      </c>
      <c r="AU905">
        <f>RAND()</f>
        <v/>
      </c>
      <c r="AV905">
        <f>RAND()</f>
        <v/>
      </c>
      <c r="AW905">
        <f>RAND()</f>
        <v/>
      </c>
      <c r="AX905">
        <f>RAND()</f>
        <v/>
      </c>
      <c r="AY905">
        <f>RAND()</f>
        <v/>
      </c>
      <c r="AZ905">
        <f>RAND()</f>
        <v/>
      </c>
    </row>
    <row r="906">
      <c r="AK906" t="n">
        <v>893</v>
      </c>
      <c r="AL906">
        <f>IFERROR(IF(AU906&lt;($AM$6-$AL$6)/($AN$6-$AL$6),$AL$6+SQRT(AU906*($AN$6-$AL$6)*($AM$6-$AL$6)),$AN$6-SQRT((1-AU906)*($AN$6-$AL$6)*($AN$6-$AM$6))),$AM$6)</f>
        <v/>
      </c>
      <c r="AM906">
        <f>IFERROR(IF(AV906&lt;($AM$7-$AL$7)/($AN$7-$AL$7),$AL$7+SQRT(AV906*($AN$7-$AL$7)*($AM$7-$AL$7)),$AN$7-SQRT((1-AV906)*($AN$7-$AL$7)*($AN$7-$AM$7))),$AM$7)</f>
        <v/>
      </c>
      <c r="AN906">
        <f>IFERROR(IF(AW906&lt;($AM$8-$AL$8)/($AN$8-$AL$8),$AL$8+SQRT(AW906*($AN$8-$AL$8)*($AM$8-$AL$8)),$AN$8-SQRT((1-AW906)*($AN$8-$AL$8)*($AN$8-$AM$8))),$AM$8)</f>
        <v/>
      </c>
      <c r="AO906">
        <f>IFERROR(IF(AX906&lt;($AM$9-$AL$9)/($AN$9-$AL$9),$AL$9+SQRT(AX906*($AN$9-$AL$9)*($AM$9-$AL$9)),$AN$9-SQRT((1-AX906)*($AN$9-$AL$9)*($AN$9-$AM$9))),$AM$9)</f>
        <v/>
      </c>
      <c r="AP906">
        <f>IFERROR(IF(AY906&lt;($AM$10-$AL$10)/($AN$10-$AL$10),$AL$10+SQRT(AY906*($AN$10-$AL$10)*($AM$10-$AL$10)),$AN$10-SQRT((1-AY906)*($AN$10-$AL$10)*($AN$10-$AM$10))),$AM$10)</f>
        <v/>
      </c>
      <c r="AQ906">
        <f>IFERROR(IF(AZ906&lt;($AM$11-$AL$11)/($AN$11-$AL$11),$AL$11+SQRT(AZ906*($AN$11-$AL$11)*($AM$11-$AL$11)),$AN$11-SQRT((1-AZ906)*($AN$11-$AL$11)*($AN$11-$AM$11))),$AM$11)</f>
        <v/>
      </c>
      <c r="AR906">
        <f>SUMPRODUCT((B24:B31&lt;=$B$6)*(C24:C31*AM906+D24:D31*AO906*$B$8*AQ906)/(1+AL906/100)^B24:B31)+C32*AM906*AP906/(1+AL906/100)^$B$6</f>
        <v/>
      </c>
      <c r="AS906">
        <f>SUMPRODUCT((K24:K26&lt;=$B$6)*(L24:L26*AN906+M24:M26*AO906*$B$8*AQ906)/(1+AL906/100)^K24:K26)+L27*AN906*AP906/(1+AL906/100)^$B$6</f>
        <v/>
      </c>
      <c r="AT906">
        <f>AS906-AR906</f>
        <v/>
      </c>
      <c r="AU906">
        <f>RAND()</f>
        <v/>
      </c>
      <c r="AV906">
        <f>RAND()</f>
        <v/>
      </c>
      <c r="AW906">
        <f>RAND()</f>
        <v/>
      </c>
      <c r="AX906">
        <f>RAND()</f>
        <v/>
      </c>
      <c r="AY906">
        <f>RAND()</f>
        <v/>
      </c>
      <c r="AZ906">
        <f>RAND()</f>
        <v/>
      </c>
    </row>
    <row r="907">
      <c r="AK907" t="n">
        <v>894</v>
      </c>
      <c r="AL907">
        <f>IFERROR(IF(AU907&lt;($AM$6-$AL$6)/($AN$6-$AL$6),$AL$6+SQRT(AU907*($AN$6-$AL$6)*($AM$6-$AL$6)),$AN$6-SQRT((1-AU907)*($AN$6-$AL$6)*($AN$6-$AM$6))),$AM$6)</f>
        <v/>
      </c>
      <c r="AM907">
        <f>IFERROR(IF(AV907&lt;($AM$7-$AL$7)/($AN$7-$AL$7),$AL$7+SQRT(AV907*($AN$7-$AL$7)*($AM$7-$AL$7)),$AN$7-SQRT((1-AV907)*($AN$7-$AL$7)*($AN$7-$AM$7))),$AM$7)</f>
        <v/>
      </c>
      <c r="AN907">
        <f>IFERROR(IF(AW907&lt;($AM$8-$AL$8)/($AN$8-$AL$8),$AL$8+SQRT(AW907*($AN$8-$AL$8)*($AM$8-$AL$8)),$AN$8-SQRT((1-AW907)*($AN$8-$AL$8)*($AN$8-$AM$8))),$AM$8)</f>
        <v/>
      </c>
      <c r="AO907">
        <f>IFERROR(IF(AX907&lt;($AM$9-$AL$9)/($AN$9-$AL$9),$AL$9+SQRT(AX907*($AN$9-$AL$9)*($AM$9-$AL$9)),$AN$9-SQRT((1-AX907)*($AN$9-$AL$9)*($AN$9-$AM$9))),$AM$9)</f>
        <v/>
      </c>
      <c r="AP907">
        <f>IFERROR(IF(AY907&lt;($AM$10-$AL$10)/($AN$10-$AL$10),$AL$10+SQRT(AY907*($AN$10-$AL$10)*($AM$10-$AL$10)),$AN$10-SQRT((1-AY907)*($AN$10-$AL$10)*($AN$10-$AM$10))),$AM$10)</f>
        <v/>
      </c>
      <c r="AQ907">
        <f>IFERROR(IF(AZ907&lt;($AM$11-$AL$11)/($AN$11-$AL$11),$AL$11+SQRT(AZ907*($AN$11-$AL$11)*($AM$11-$AL$11)),$AN$11-SQRT((1-AZ907)*($AN$11-$AL$11)*($AN$11-$AM$11))),$AM$11)</f>
        <v/>
      </c>
      <c r="AR907">
        <f>SUMPRODUCT((B24:B31&lt;=$B$6)*(C24:C31*AM907+D24:D31*AO907*$B$8*AQ907)/(1+AL907/100)^B24:B31)+C32*AM907*AP907/(1+AL907/100)^$B$6</f>
        <v/>
      </c>
      <c r="AS907">
        <f>SUMPRODUCT((K24:K26&lt;=$B$6)*(L24:L26*AN907+M24:M26*AO907*$B$8*AQ907)/(1+AL907/100)^K24:K26)+L27*AN907*AP907/(1+AL907/100)^$B$6</f>
        <v/>
      </c>
      <c r="AT907">
        <f>AS907-AR907</f>
        <v/>
      </c>
      <c r="AU907">
        <f>RAND()</f>
        <v/>
      </c>
      <c r="AV907">
        <f>RAND()</f>
        <v/>
      </c>
      <c r="AW907">
        <f>RAND()</f>
        <v/>
      </c>
      <c r="AX907">
        <f>RAND()</f>
        <v/>
      </c>
      <c r="AY907">
        <f>RAND()</f>
        <v/>
      </c>
      <c r="AZ907">
        <f>RAND()</f>
        <v/>
      </c>
    </row>
    <row r="908">
      <c r="AK908" t="n">
        <v>895</v>
      </c>
      <c r="AL908">
        <f>IFERROR(IF(AU908&lt;($AM$6-$AL$6)/($AN$6-$AL$6),$AL$6+SQRT(AU908*($AN$6-$AL$6)*($AM$6-$AL$6)),$AN$6-SQRT((1-AU908)*($AN$6-$AL$6)*($AN$6-$AM$6))),$AM$6)</f>
        <v/>
      </c>
      <c r="AM908">
        <f>IFERROR(IF(AV908&lt;($AM$7-$AL$7)/($AN$7-$AL$7),$AL$7+SQRT(AV908*($AN$7-$AL$7)*($AM$7-$AL$7)),$AN$7-SQRT((1-AV908)*($AN$7-$AL$7)*($AN$7-$AM$7))),$AM$7)</f>
        <v/>
      </c>
      <c r="AN908">
        <f>IFERROR(IF(AW908&lt;($AM$8-$AL$8)/($AN$8-$AL$8),$AL$8+SQRT(AW908*($AN$8-$AL$8)*($AM$8-$AL$8)),$AN$8-SQRT((1-AW908)*($AN$8-$AL$8)*($AN$8-$AM$8))),$AM$8)</f>
        <v/>
      </c>
      <c r="AO908">
        <f>IFERROR(IF(AX908&lt;($AM$9-$AL$9)/($AN$9-$AL$9),$AL$9+SQRT(AX908*($AN$9-$AL$9)*($AM$9-$AL$9)),$AN$9-SQRT((1-AX908)*($AN$9-$AL$9)*($AN$9-$AM$9))),$AM$9)</f>
        <v/>
      </c>
      <c r="AP908">
        <f>IFERROR(IF(AY908&lt;($AM$10-$AL$10)/($AN$10-$AL$10),$AL$10+SQRT(AY908*($AN$10-$AL$10)*($AM$10-$AL$10)),$AN$10-SQRT((1-AY908)*($AN$10-$AL$10)*($AN$10-$AM$10))),$AM$10)</f>
        <v/>
      </c>
      <c r="AQ908">
        <f>IFERROR(IF(AZ908&lt;($AM$11-$AL$11)/($AN$11-$AL$11),$AL$11+SQRT(AZ908*($AN$11-$AL$11)*($AM$11-$AL$11)),$AN$11-SQRT((1-AZ908)*($AN$11-$AL$11)*($AN$11-$AM$11))),$AM$11)</f>
        <v/>
      </c>
      <c r="AR908">
        <f>SUMPRODUCT((B24:B31&lt;=$B$6)*(C24:C31*AM908+D24:D31*AO908*$B$8*AQ908)/(1+AL908/100)^B24:B31)+C32*AM908*AP908/(1+AL908/100)^$B$6</f>
        <v/>
      </c>
      <c r="AS908">
        <f>SUMPRODUCT((K24:K26&lt;=$B$6)*(L24:L26*AN908+M24:M26*AO908*$B$8*AQ908)/(1+AL908/100)^K24:K26)+L27*AN908*AP908/(1+AL908/100)^$B$6</f>
        <v/>
      </c>
      <c r="AT908">
        <f>AS908-AR908</f>
        <v/>
      </c>
      <c r="AU908">
        <f>RAND()</f>
        <v/>
      </c>
      <c r="AV908">
        <f>RAND()</f>
        <v/>
      </c>
      <c r="AW908">
        <f>RAND()</f>
        <v/>
      </c>
      <c r="AX908">
        <f>RAND()</f>
        <v/>
      </c>
      <c r="AY908">
        <f>RAND()</f>
        <v/>
      </c>
      <c r="AZ908">
        <f>RAND()</f>
        <v/>
      </c>
    </row>
    <row r="909">
      <c r="AK909" t="n">
        <v>896</v>
      </c>
      <c r="AL909">
        <f>IFERROR(IF(AU909&lt;($AM$6-$AL$6)/($AN$6-$AL$6),$AL$6+SQRT(AU909*($AN$6-$AL$6)*($AM$6-$AL$6)),$AN$6-SQRT((1-AU909)*($AN$6-$AL$6)*($AN$6-$AM$6))),$AM$6)</f>
        <v/>
      </c>
      <c r="AM909">
        <f>IFERROR(IF(AV909&lt;($AM$7-$AL$7)/($AN$7-$AL$7),$AL$7+SQRT(AV909*($AN$7-$AL$7)*($AM$7-$AL$7)),$AN$7-SQRT((1-AV909)*($AN$7-$AL$7)*($AN$7-$AM$7))),$AM$7)</f>
        <v/>
      </c>
      <c r="AN909">
        <f>IFERROR(IF(AW909&lt;($AM$8-$AL$8)/($AN$8-$AL$8),$AL$8+SQRT(AW909*($AN$8-$AL$8)*($AM$8-$AL$8)),$AN$8-SQRT((1-AW909)*($AN$8-$AL$8)*($AN$8-$AM$8))),$AM$8)</f>
        <v/>
      </c>
      <c r="AO909">
        <f>IFERROR(IF(AX909&lt;($AM$9-$AL$9)/($AN$9-$AL$9),$AL$9+SQRT(AX909*($AN$9-$AL$9)*($AM$9-$AL$9)),$AN$9-SQRT((1-AX909)*($AN$9-$AL$9)*($AN$9-$AM$9))),$AM$9)</f>
        <v/>
      </c>
      <c r="AP909">
        <f>IFERROR(IF(AY909&lt;($AM$10-$AL$10)/($AN$10-$AL$10),$AL$10+SQRT(AY909*($AN$10-$AL$10)*($AM$10-$AL$10)),$AN$10-SQRT((1-AY909)*($AN$10-$AL$10)*($AN$10-$AM$10))),$AM$10)</f>
        <v/>
      </c>
      <c r="AQ909">
        <f>IFERROR(IF(AZ909&lt;($AM$11-$AL$11)/($AN$11-$AL$11),$AL$11+SQRT(AZ909*($AN$11-$AL$11)*($AM$11-$AL$11)),$AN$11-SQRT((1-AZ909)*($AN$11-$AL$11)*($AN$11-$AM$11))),$AM$11)</f>
        <v/>
      </c>
      <c r="AR909">
        <f>SUMPRODUCT((B24:B31&lt;=$B$6)*(C24:C31*AM909+D24:D31*AO909*$B$8*AQ909)/(1+AL909/100)^B24:B31)+C32*AM909*AP909/(1+AL909/100)^$B$6</f>
        <v/>
      </c>
      <c r="AS909">
        <f>SUMPRODUCT((K24:K26&lt;=$B$6)*(L24:L26*AN909+M24:M26*AO909*$B$8*AQ909)/(1+AL909/100)^K24:K26)+L27*AN909*AP909/(1+AL909/100)^$B$6</f>
        <v/>
      </c>
      <c r="AT909">
        <f>AS909-AR909</f>
        <v/>
      </c>
      <c r="AU909">
        <f>RAND()</f>
        <v/>
      </c>
      <c r="AV909">
        <f>RAND()</f>
        <v/>
      </c>
      <c r="AW909">
        <f>RAND()</f>
        <v/>
      </c>
      <c r="AX909">
        <f>RAND()</f>
        <v/>
      </c>
      <c r="AY909">
        <f>RAND()</f>
        <v/>
      </c>
      <c r="AZ909">
        <f>RAND()</f>
        <v/>
      </c>
    </row>
    <row r="910">
      <c r="AK910" t="n">
        <v>897</v>
      </c>
      <c r="AL910">
        <f>IFERROR(IF(AU910&lt;($AM$6-$AL$6)/($AN$6-$AL$6),$AL$6+SQRT(AU910*($AN$6-$AL$6)*($AM$6-$AL$6)),$AN$6-SQRT((1-AU910)*($AN$6-$AL$6)*($AN$6-$AM$6))),$AM$6)</f>
        <v/>
      </c>
      <c r="AM910">
        <f>IFERROR(IF(AV910&lt;($AM$7-$AL$7)/($AN$7-$AL$7),$AL$7+SQRT(AV910*($AN$7-$AL$7)*($AM$7-$AL$7)),$AN$7-SQRT((1-AV910)*($AN$7-$AL$7)*($AN$7-$AM$7))),$AM$7)</f>
        <v/>
      </c>
      <c r="AN910">
        <f>IFERROR(IF(AW910&lt;($AM$8-$AL$8)/($AN$8-$AL$8),$AL$8+SQRT(AW910*($AN$8-$AL$8)*($AM$8-$AL$8)),$AN$8-SQRT((1-AW910)*($AN$8-$AL$8)*($AN$8-$AM$8))),$AM$8)</f>
        <v/>
      </c>
      <c r="AO910">
        <f>IFERROR(IF(AX910&lt;($AM$9-$AL$9)/($AN$9-$AL$9),$AL$9+SQRT(AX910*($AN$9-$AL$9)*($AM$9-$AL$9)),$AN$9-SQRT((1-AX910)*($AN$9-$AL$9)*($AN$9-$AM$9))),$AM$9)</f>
        <v/>
      </c>
      <c r="AP910">
        <f>IFERROR(IF(AY910&lt;($AM$10-$AL$10)/($AN$10-$AL$10),$AL$10+SQRT(AY910*($AN$10-$AL$10)*($AM$10-$AL$10)),$AN$10-SQRT((1-AY910)*($AN$10-$AL$10)*($AN$10-$AM$10))),$AM$10)</f>
        <v/>
      </c>
      <c r="AQ910">
        <f>IFERROR(IF(AZ910&lt;($AM$11-$AL$11)/($AN$11-$AL$11),$AL$11+SQRT(AZ910*($AN$11-$AL$11)*($AM$11-$AL$11)),$AN$11-SQRT((1-AZ910)*($AN$11-$AL$11)*($AN$11-$AM$11))),$AM$11)</f>
        <v/>
      </c>
      <c r="AR910">
        <f>SUMPRODUCT((B24:B31&lt;=$B$6)*(C24:C31*AM910+D24:D31*AO910*$B$8*AQ910)/(1+AL910/100)^B24:B31)+C32*AM910*AP910/(1+AL910/100)^$B$6</f>
        <v/>
      </c>
      <c r="AS910">
        <f>SUMPRODUCT((K24:K26&lt;=$B$6)*(L24:L26*AN910+M24:M26*AO910*$B$8*AQ910)/(1+AL910/100)^K24:K26)+L27*AN910*AP910/(1+AL910/100)^$B$6</f>
        <v/>
      </c>
      <c r="AT910">
        <f>AS910-AR910</f>
        <v/>
      </c>
      <c r="AU910">
        <f>RAND()</f>
        <v/>
      </c>
      <c r="AV910">
        <f>RAND()</f>
        <v/>
      </c>
      <c r="AW910">
        <f>RAND()</f>
        <v/>
      </c>
      <c r="AX910">
        <f>RAND()</f>
        <v/>
      </c>
      <c r="AY910">
        <f>RAND()</f>
        <v/>
      </c>
      <c r="AZ910">
        <f>RAND()</f>
        <v/>
      </c>
    </row>
    <row r="911">
      <c r="AK911" t="n">
        <v>898</v>
      </c>
      <c r="AL911">
        <f>IFERROR(IF(AU911&lt;($AM$6-$AL$6)/($AN$6-$AL$6),$AL$6+SQRT(AU911*($AN$6-$AL$6)*($AM$6-$AL$6)),$AN$6-SQRT((1-AU911)*($AN$6-$AL$6)*($AN$6-$AM$6))),$AM$6)</f>
        <v/>
      </c>
      <c r="AM911">
        <f>IFERROR(IF(AV911&lt;($AM$7-$AL$7)/($AN$7-$AL$7),$AL$7+SQRT(AV911*($AN$7-$AL$7)*($AM$7-$AL$7)),$AN$7-SQRT((1-AV911)*($AN$7-$AL$7)*($AN$7-$AM$7))),$AM$7)</f>
        <v/>
      </c>
      <c r="AN911">
        <f>IFERROR(IF(AW911&lt;($AM$8-$AL$8)/($AN$8-$AL$8),$AL$8+SQRT(AW911*($AN$8-$AL$8)*($AM$8-$AL$8)),$AN$8-SQRT((1-AW911)*($AN$8-$AL$8)*($AN$8-$AM$8))),$AM$8)</f>
        <v/>
      </c>
      <c r="AO911">
        <f>IFERROR(IF(AX911&lt;($AM$9-$AL$9)/($AN$9-$AL$9),$AL$9+SQRT(AX911*($AN$9-$AL$9)*($AM$9-$AL$9)),$AN$9-SQRT((1-AX911)*($AN$9-$AL$9)*($AN$9-$AM$9))),$AM$9)</f>
        <v/>
      </c>
      <c r="AP911">
        <f>IFERROR(IF(AY911&lt;($AM$10-$AL$10)/($AN$10-$AL$10),$AL$10+SQRT(AY911*($AN$10-$AL$10)*($AM$10-$AL$10)),$AN$10-SQRT((1-AY911)*($AN$10-$AL$10)*($AN$10-$AM$10))),$AM$10)</f>
        <v/>
      </c>
      <c r="AQ911">
        <f>IFERROR(IF(AZ911&lt;($AM$11-$AL$11)/($AN$11-$AL$11),$AL$11+SQRT(AZ911*($AN$11-$AL$11)*($AM$11-$AL$11)),$AN$11-SQRT((1-AZ911)*($AN$11-$AL$11)*($AN$11-$AM$11))),$AM$11)</f>
        <v/>
      </c>
      <c r="AR911">
        <f>SUMPRODUCT((B24:B31&lt;=$B$6)*(C24:C31*AM911+D24:D31*AO911*$B$8*AQ911)/(1+AL911/100)^B24:B31)+C32*AM911*AP911/(1+AL911/100)^$B$6</f>
        <v/>
      </c>
      <c r="AS911">
        <f>SUMPRODUCT((K24:K26&lt;=$B$6)*(L24:L26*AN911+M24:M26*AO911*$B$8*AQ911)/(1+AL911/100)^K24:K26)+L27*AN911*AP911/(1+AL911/100)^$B$6</f>
        <v/>
      </c>
      <c r="AT911">
        <f>AS911-AR911</f>
        <v/>
      </c>
      <c r="AU911">
        <f>RAND()</f>
        <v/>
      </c>
      <c r="AV911">
        <f>RAND()</f>
        <v/>
      </c>
      <c r="AW911">
        <f>RAND()</f>
        <v/>
      </c>
      <c r="AX911">
        <f>RAND()</f>
        <v/>
      </c>
      <c r="AY911">
        <f>RAND()</f>
        <v/>
      </c>
      <c r="AZ911">
        <f>RAND()</f>
        <v/>
      </c>
    </row>
    <row r="912">
      <c r="AK912" t="n">
        <v>899</v>
      </c>
      <c r="AL912">
        <f>IFERROR(IF(AU912&lt;($AM$6-$AL$6)/($AN$6-$AL$6),$AL$6+SQRT(AU912*($AN$6-$AL$6)*($AM$6-$AL$6)),$AN$6-SQRT((1-AU912)*($AN$6-$AL$6)*($AN$6-$AM$6))),$AM$6)</f>
        <v/>
      </c>
      <c r="AM912">
        <f>IFERROR(IF(AV912&lt;($AM$7-$AL$7)/($AN$7-$AL$7),$AL$7+SQRT(AV912*($AN$7-$AL$7)*($AM$7-$AL$7)),$AN$7-SQRT((1-AV912)*($AN$7-$AL$7)*($AN$7-$AM$7))),$AM$7)</f>
        <v/>
      </c>
      <c r="AN912">
        <f>IFERROR(IF(AW912&lt;($AM$8-$AL$8)/($AN$8-$AL$8),$AL$8+SQRT(AW912*($AN$8-$AL$8)*($AM$8-$AL$8)),$AN$8-SQRT((1-AW912)*($AN$8-$AL$8)*($AN$8-$AM$8))),$AM$8)</f>
        <v/>
      </c>
      <c r="AO912">
        <f>IFERROR(IF(AX912&lt;($AM$9-$AL$9)/($AN$9-$AL$9),$AL$9+SQRT(AX912*($AN$9-$AL$9)*($AM$9-$AL$9)),$AN$9-SQRT((1-AX912)*($AN$9-$AL$9)*($AN$9-$AM$9))),$AM$9)</f>
        <v/>
      </c>
      <c r="AP912">
        <f>IFERROR(IF(AY912&lt;($AM$10-$AL$10)/($AN$10-$AL$10),$AL$10+SQRT(AY912*($AN$10-$AL$10)*($AM$10-$AL$10)),$AN$10-SQRT((1-AY912)*($AN$10-$AL$10)*($AN$10-$AM$10))),$AM$10)</f>
        <v/>
      </c>
      <c r="AQ912">
        <f>IFERROR(IF(AZ912&lt;($AM$11-$AL$11)/($AN$11-$AL$11),$AL$11+SQRT(AZ912*($AN$11-$AL$11)*($AM$11-$AL$11)),$AN$11-SQRT((1-AZ912)*($AN$11-$AL$11)*($AN$11-$AM$11))),$AM$11)</f>
        <v/>
      </c>
      <c r="AR912">
        <f>SUMPRODUCT((B24:B31&lt;=$B$6)*(C24:C31*AM912+D24:D31*AO912*$B$8*AQ912)/(1+AL912/100)^B24:B31)+C32*AM912*AP912/(1+AL912/100)^$B$6</f>
        <v/>
      </c>
      <c r="AS912">
        <f>SUMPRODUCT((K24:K26&lt;=$B$6)*(L24:L26*AN912+M24:M26*AO912*$B$8*AQ912)/(1+AL912/100)^K24:K26)+L27*AN912*AP912/(1+AL912/100)^$B$6</f>
        <v/>
      </c>
      <c r="AT912">
        <f>AS912-AR912</f>
        <v/>
      </c>
      <c r="AU912">
        <f>RAND()</f>
        <v/>
      </c>
      <c r="AV912">
        <f>RAND()</f>
        <v/>
      </c>
      <c r="AW912">
        <f>RAND()</f>
        <v/>
      </c>
      <c r="AX912">
        <f>RAND()</f>
        <v/>
      </c>
      <c r="AY912">
        <f>RAND()</f>
        <v/>
      </c>
      <c r="AZ912">
        <f>RAND()</f>
        <v/>
      </c>
    </row>
    <row r="913">
      <c r="AK913" t="n">
        <v>900</v>
      </c>
      <c r="AL913">
        <f>IFERROR(IF(AU913&lt;($AM$6-$AL$6)/($AN$6-$AL$6),$AL$6+SQRT(AU913*($AN$6-$AL$6)*($AM$6-$AL$6)),$AN$6-SQRT((1-AU913)*($AN$6-$AL$6)*($AN$6-$AM$6))),$AM$6)</f>
        <v/>
      </c>
      <c r="AM913">
        <f>IFERROR(IF(AV913&lt;($AM$7-$AL$7)/($AN$7-$AL$7),$AL$7+SQRT(AV913*($AN$7-$AL$7)*($AM$7-$AL$7)),$AN$7-SQRT((1-AV913)*($AN$7-$AL$7)*($AN$7-$AM$7))),$AM$7)</f>
        <v/>
      </c>
      <c r="AN913">
        <f>IFERROR(IF(AW913&lt;($AM$8-$AL$8)/($AN$8-$AL$8),$AL$8+SQRT(AW913*($AN$8-$AL$8)*($AM$8-$AL$8)),$AN$8-SQRT((1-AW913)*($AN$8-$AL$8)*($AN$8-$AM$8))),$AM$8)</f>
        <v/>
      </c>
      <c r="AO913">
        <f>IFERROR(IF(AX913&lt;($AM$9-$AL$9)/($AN$9-$AL$9),$AL$9+SQRT(AX913*($AN$9-$AL$9)*($AM$9-$AL$9)),$AN$9-SQRT((1-AX913)*($AN$9-$AL$9)*($AN$9-$AM$9))),$AM$9)</f>
        <v/>
      </c>
      <c r="AP913">
        <f>IFERROR(IF(AY913&lt;($AM$10-$AL$10)/($AN$10-$AL$10),$AL$10+SQRT(AY913*($AN$10-$AL$10)*($AM$10-$AL$10)),$AN$10-SQRT((1-AY913)*($AN$10-$AL$10)*($AN$10-$AM$10))),$AM$10)</f>
        <v/>
      </c>
      <c r="AQ913">
        <f>IFERROR(IF(AZ913&lt;($AM$11-$AL$11)/($AN$11-$AL$11),$AL$11+SQRT(AZ913*($AN$11-$AL$11)*($AM$11-$AL$11)),$AN$11-SQRT((1-AZ913)*($AN$11-$AL$11)*($AN$11-$AM$11))),$AM$11)</f>
        <v/>
      </c>
      <c r="AR913">
        <f>SUMPRODUCT((B24:B31&lt;=$B$6)*(C24:C31*AM913+D24:D31*AO913*$B$8*AQ913)/(1+AL913/100)^B24:B31)+C32*AM913*AP913/(1+AL913/100)^$B$6</f>
        <v/>
      </c>
      <c r="AS913">
        <f>SUMPRODUCT((K24:K26&lt;=$B$6)*(L24:L26*AN913+M24:M26*AO913*$B$8*AQ913)/(1+AL913/100)^K24:K26)+L27*AN913*AP913/(1+AL913/100)^$B$6</f>
        <v/>
      </c>
      <c r="AT913">
        <f>AS913-AR913</f>
        <v/>
      </c>
      <c r="AU913">
        <f>RAND()</f>
        <v/>
      </c>
      <c r="AV913">
        <f>RAND()</f>
        <v/>
      </c>
      <c r="AW913">
        <f>RAND()</f>
        <v/>
      </c>
      <c r="AX913">
        <f>RAND()</f>
        <v/>
      </c>
      <c r="AY913">
        <f>RAND()</f>
        <v/>
      </c>
      <c r="AZ913">
        <f>RAND()</f>
        <v/>
      </c>
    </row>
    <row r="914">
      <c r="AK914" t="n">
        <v>901</v>
      </c>
      <c r="AL914">
        <f>IFERROR(IF(AU914&lt;($AM$6-$AL$6)/($AN$6-$AL$6),$AL$6+SQRT(AU914*($AN$6-$AL$6)*($AM$6-$AL$6)),$AN$6-SQRT((1-AU914)*($AN$6-$AL$6)*($AN$6-$AM$6))),$AM$6)</f>
        <v/>
      </c>
      <c r="AM914">
        <f>IFERROR(IF(AV914&lt;($AM$7-$AL$7)/($AN$7-$AL$7),$AL$7+SQRT(AV914*($AN$7-$AL$7)*($AM$7-$AL$7)),$AN$7-SQRT((1-AV914)*($AN$7-$AL$7)*($AN$7-$AM$7))),$AM$7)</f>
        <v/>
      </c>
      <c r="AN914">
        <f>IFERROR(IF(AW914&lt;($AM$8-$AL$8)/($AN$8-$AL$8),$AL$8+SQRT(AW914*($AN$8-$AL$8)*($AM$8-$AL$8)),$AN$8-SQRT((1-AW914)*($AN$8-$AL$8)*($AN$8-$AM$8))),$AM$8)</f>
        <v/>
      </c>
      <c r="AO914">
        <f>IFERROR(IF(AX914&lt;($AM$9-$AL$9)/($AN$9-$AL$9),$AL$9+SQRT(AX914*($AN$9-$AL$9)*($AM$9-$AL$9)),$AN$9-SQRT((1-AX914)*($AN$9-$AL$9)*($AN$9-$AM$9))),$AM$9)</f>
        <v/>
      </c>
      <c r="AP914">
        <f>IFERROR(IF(AY914&lt;($AM$10-$AL$10)/($AN$10-$AL$10),$AL$10+SQRT(AY914*($AN$10-$AL$10)*($AM$10-$AL$10)),$AN$10-SQRT((1-AY914)*($AN$10-$AL$10)*($AN$10-$AM$10))),$AM$10)</f>
        <v/>
      </c>
      <c r="AQ914">
        <f>IFERROR(IF(AZ914&lt;($AM$11-$AL$11)/($AN$11-$AL$11),$AL$11+SQRT(AZ914*($AN$11-$AL$11)*($AM$11-$AL$11)),$AN$11-SQRT((1-AZ914)*($AN$11-$AL$11)*($AN$11-$AM$11))),$AM$11)</f>
        <v/>
      </c>
      <c r="AR914">
        <f>SUMPRODUCT((B24:B31&lt;=$B$6)*(C24:C31*AM914+D24:D31*AO914*$B$8*AQ914)/(1+AL914/100)^B24:B31)+C32*AM914*AP914/(1+AL914/100)^$B$6</f>
        <v/>
      </c>
      <c r="AS914">
        <f>SUMPRODUCT((K24:K26&lt;=$B$6)*(L24:L26*AN914+M24:M26*AO914*$B$8*AQ914)/(1+AL914/100)^K24:K26)+L27*AN914*AP914/(1+AL914/100)^$B$6</f>
        <v/>
      </c>
      <c r="AT914">
        <f>AS914-AR914</f>
        <v/>
      </c>
      <c r="AU914">
        <f>RAND()</f>
        <v/>
      </c>
      <c r="AV914">
        <f>RAND()</f>
        <v/>
      </c>
      <c r="AW914">
        <f>RAND()</f>
        <v/>
      </c>
      <c r="AX914">
        <f>RAND()</f>
        <v/>
      </c>
      <c r="AY914">
        <f>RAND()</f>
        <v/>
      </c>
      <c r="AZ914">
        <f>RAND()</f>
        <v/>
      </c>
    </row>
    <row r="915">
      <c r="AK915" t="n">
        <v>902</v>
      </c>
      <c r="AL915">
        <f>IFERROR(IF(AU915&lt;($AM$6-$AL$6)/($AN$6-$AL$6),$AL$6+SQRT(AU915*($AN$6-$AL$6)*($AM$6-$AL$6)),$AN$6-SQRT((1-AU915)*($AN$6-$AL$6)*($AN$6-$AM$6))),$AM$6)</f>
        <v/>
      </c>
      <c r="AM915">
        <f>IFERROR(IF(AV915&lt;($AM$7-$AL$7)/($AN$7-$AL$7),$AL$7+SQRT(AV915*($AN$7-$AL$7)*($AM$7-$AL$7)),$AN$7-SQRT((1-AV915)*($AN$7-$AL$7)*($AN$7-$AM$7))),$AM$7)</f>
        <v/>
      </c>
      <c r="AN915">
        <f>IFERROR(IF(AW915&lt;($AM$8-$AL$8)/($AN$8-$AL$8),$AL$8+SQRT(AW915*($AN$8-$AL$8)*($AM$8-$AL$8)),$AN$8-SQRT((1-AW915)*($AN$8-$AL$8)*($AN$8-$AM$8))),$AM$8)</f>
        <v/>
      </c>
      <c r="AO915">
        <f>IFERROR(IF(AX915&lt;($AM$9-$AL$9)/($AN$9-$AL$9),$AL$9+SQRT(AX915*($AN$9-$AL$9)*($AM$9-$AL$9)),$AN$9-SQRT((1-AX915)*($AN$9-$AL$9)*($AN$9-$AM$9))),$AM$9)</f>
        <v/>
      </c>
      <c r="AP915">
        <f>IFERROR(IF(AY915&lt;($AM$10-$AL$10)/($AN$10-$AL$10),$AL$10+SQRT(AY915*($AN$10-$AL$10)*($AM$10-$AL$10)),$AN$10-SQRT((1-AY915)*($AN$10-$AL$10)*($AN$10-$AM$10))),$AM$10)</f>
        <v/>
      </c>
      <c r="AQ915">
        <f>IFERROR(IF(AZ915&lt;($AM$11-$AL$11)/($AN$11-$AL$11),$AL$11+SQRT(AZ915*($AN$11-$AL$11)*($AM$11-$AL$11)),$AN$11-SQRT((1-AZ915)*($AN$11-$AL$11)*($AN$11-$AM$11))),$AM$11)</f>
        <v/>
      </c>
      <c r="AR915">
        <f>SUMPRODUCT((B24:B31&lt;=$B$6)*(C24:C31*AM915+D24:D31*AO915*$B$8*AQ915)/(1+AL915/100)^B24:B31)+C32*AM915*AP915/(1+AL915/100)^$B$6</f>
        <v/>
      </c>
      <c r="AS915">
        <f>SUMPRODUCT((K24:K26&lt;=$B$6)*(L24:L26*AN915+M24:M26*AO915*$B$8*AQ915)/(1+AL915/100)^K24:K26)+L27*AN915*AP915/(1+AL915/100)^$B$6</f>
        <v/>
      </c>
      <c r="AT915">
        <f>AS915-AR915</f>
        <v/>
      </c>
      <c r="AU915">
        <f>RAND()</f>
        <v/>
      </c>
      <c r="AV915">
        <f>RAND()</f>
        <v/>
      </c>
      <c r="AW915">
        <f>RAND()</f>
        <v/>
      </c>
      <c r="AX915">
        <f>RAND()</f>
        <v/>
      </c>
      <c r="AY915">
        <f>RAND()</f>
        <v/>
      </c>
      <c r="AZ915">
        <f>RAND()</f>
        <v/>
      </c>
    </row>
    <row r="916">
      <c r="AK916" t="n">
        <v>903</v>
      </c>
      <c r="AL916">
        <f>IFERROR(IF(AU916&lt;($AM$6-$AL$6)/($AN$6-$AL$6),$AL$6+SQRT(AU916*($AN$6-$AL$6)*($AM$6-$AL$6)),$AN$6-SQRT((1-AU916)*($AN$6-$AL$6)*($AN$6-$AM$6))),$AM$6)</f>
        <v/>
      </c>
      <c r="AM916">
        <f>IFERROR(IF(AV916&lt;($AM$7-$AL$7)/($AN$7-$AL$7),$AL$7+SQRT(AV916*($AN$7-$AL$7)*($AM$7-$AL$7)),$AN$7-SQRT((1-AV916)*($AN$7-$AL$7)*($AN$7-$AM$7))),$AM$7)</f>
        <v/>
      </c>
      <c r="AN916">
        <f>IFERROR(IF(AW916&lt;($AM$8-$AL$8)/($AN$8-$AL$8),$AL$8+SQRT(AW916*($AN$8-$AL$8)*($AM$8-$AL$8)),$AN$8-SQRT((1-AW916)*($AN$8-$AL$8)*($AN$8-$AM$8))),$AM$8)</f>
        <v/>
      </c>
      <c r="AO916">
        <f>IFERROR(IF(AX916&lt;($AM$9-$AL$9)/($AN$9-$AL$9),$AL$9+SQRT(AX916*($AN$9-$AL$9)*($AM$9-$AL$9)),$AN$9-SQRT((1-AX916)*($AN$9-$AL$9)*($AN$9-$AM$9))),$AM$9)</f>
        <v/>
      </c>
      <c r="AP916">
        <f>IFERROR(IF(AY916&lt;($AM$10-$AL$10)/($AN$10-$AL$10),$AL$10+SQRT(AY916*($AN$10-$AL$10)*($AM$10-$AL$10)),$AN$10-SQRT((1-AY916)*($AN$10-$AL$10)*($AN$10-$AM$10))),$AM$10)</f>
        <v/>
      </c>
      <c r="AQ916">
        <f>IFERROR(IF(AZ916&lt;($AM$11-$AL$11)/($AN$11-$AL$11),$AL$11+SQRT(AZ916*($AN$11-$AL$11)*($AM$11-$AL$11)),$AN$11-SQRT((1-AZ916)*($AN$11-$AL$11)*($AN$11-$AM$11))),$AM$11)</f>
        <v/>
      </c>
      <c r="AR916">
        <f>SUMPRODUCT((B24:B31&lt;=$B$6)*(C24:C31*AM916+D24:D31*AO916*$B$8*AQ916)/(1+AL916/100)^B24:B31)+C32*AM916*AP916/(1+AL916/100)^$B$6</f>
        <v/>
      </c>
      <c r="AS916">
        <f>SUMPRODUCT((K24:K26&lt;=$B$6)*(L24:L26*AN916+M24:M26*AO916*$B$8*AQ916)/(1+AL916/100)^K24:K26)+L27*AN916*AP916/(1+AL916/100)^$B$6</f>
        <v/>
      </c>
      <c r="AT916">
        <f>AS916-AR916</f>
        <v/>
      </c>
      <c r="AU916">
        <f>RAND()</f>
        <v/>
      </c>
      <c r="AV916">
        <f>RAND()</f>
        <v/>
      </c>
      <c r="AW916">
        <f>RAND()</f>
        <v/>
      </c>
      <c r="AX916">
        <f>RAND()</f>
        <v/>
      </c>
      <c r="AY916">
        <f>RAND()</f>
        <v/>
      </c>
      <c r="AZ916">
        <f>RAND()</f>
        <v/>
      </c>
    </row>
    <row r="917">
      <c r="AK917" t="n">
        <v>904</v>
      </c>
      <c r="AL917">
        <f>IFERROR(IF(AU917&lt;($AM$6-$AL$6)/($AN$6-$AL$6),$AL$6+SQRT(AU917*($AN$6-$AL$6)*($AM$6-$AL$6)),$AN$6-SQRT((1-AU917)*($AN$6-$AL$6)*($AN$6-$AM$6))),$AM$6)</f>
        <v/>
      </c>
      <c r="AM917">
        <f>IFERROR(IF(AV917&lt;($AM$7-$AL$7)/($AN$7-$AL$7),$AL$7+SQRT(AV917*($AN$7-$AL$7)*($AM$7-$AL$7)),$AN$7-SQRT((1-AV917)*($AN$7-$AL$7)*($AN$7-$AM$7))),$AM$7)</f>
        <v/>
      </c>
      <c r="AN917">
        <f>IFERROR(IF(AW917&lt;($AM$8-$AL$8)/($AN$8-$AL$8),$AL$8+SQRT(AW917*($AN$8-$AL$8)*($AM$8-$AL$8)),$AN$8-SQRT((1-AW917)*($AN$8-$AL$8)*($AN$8-$AM$8))),$AM$8)</f>
        <v/>
      </c>
      <c r="AO917">
        <f>IFERROR(IF(AX917&lt;($AM$9-$AL$9)/($AN$9-$AL$9),$AL$9+SQRT(AX917*($AN$9-$AL$9)*($AM$9-$AL$9)),$AN$9-SQRT((1-AX917)*($AN$9-$AL$9)*($AN$9-$AM$9))),$AM$9)</f>
        <v/>
      </c>
      <c r="AP917">
        <f>IFERROR(IF(AY917&lt;($AM$10-$AL$10)/($AN$10-$AL$10),$AL$10+SQRT(AY917*($AN$10-$AL$10)*($AM$10-$AL$10)),$AN$10-SQRT((1-AY917)*($AN$10-$AL$10)*($AN$10-$AM$10))),$AM$10)</f>
        <v/>
      </c>
      <c r="AQ917">
        <f>IFERROR(IF(AZ917&lt;($AM$11-$AL$11)/($AN$11-$AL$11),$AL$11+SQRT(AZ917*($AN$11-$AL$11)*($AM$11-$AL$11)),$AN$11-SQRT((1-AZ917)*($AN$11-$AL$11)*($AN$11-$AM$11))),$AM$11)</f>
        <v/>
      </c>
      <c r="AR917">
        <f>SUMPRODUCT((B24:B31&lt;=$B$6)*(C24:C31*AM917+D24:D31*AO917*$B$8*AQ917)/(1+AL917/100)^B24:B31)+C32*AM917*AP917/(1+AL917/100)^$B$6</f>
        <v/>
      </c>
      <c r="AS917">
        <f>SUMPRODUCT((K24:K26&lt;=$B$6)*(L24:L26*AN917+M24:M26*AO917*$B$8*AQ917)/(1+AL917/100)^K24:K26)+L27*AN917*AP917/(1+AL917/100)^$B$6</f>
        <v/>
      </c>
      <c r="AT917">
        <f>AS917-AR917</f>
        <v/>
      </c>
      <c r="AU917">
        <f>RAND()</f>
        <v/>
      </c>
      <c r="AV917">
        <f>RAND()</f>
        <v/>
      </c>
      <c r="AW917">
        <f>RAND()</f>
        <v/>
      </c>
      <c r="AX917">
        <f>RAND()</f>
        <v/>
      </c>
      <c r="AY917">
        <f>RAND()</f>
        <v/>
      </c>
      <c r="AZ917">
        <f>RAND()</f>
        <v/>
      </c>
    </row>
    <row r="918">
      <c r="AK918" t="n">
        <v>905</v>
      </c>
      <c r="AL918">
        <f>IFERROR(IF(AU918&lt;($AM$6-$AL$6)/($AN$6-$AL$6),$AL$6+SQRT(AU918*($AN$6-$AL$6)*($AM$6-$AL$6)),$AN$6-SQRT((1-AU918)*($AN$6-$AL$6)*($AN$6-$AM$6))),$AM$6)</f>
        <v/>
      </c>
      <c r="AM918">
        <f>IFERROR(IF(AV918&lt;($AM$7-$AL$7)/($AN$7-$AL$7),$AL$7+SQRT(AV918*($AN$7-$AL$7)*($AM$7-$AL$7)),$AN$7-SQRT((1-AV918)*($AN$7-$AL$7)*($AN$7-$AM$7))),$AM$7)</f>
        <v/>
      </c>
      <c r="AN918">
        <f>IFERROR(IF(AW918&lt;($AM$8-$AL$8)/($AN$8-$AL$8),$AL$8+SQRT(AW918*($AN$8-$AL$8)*($AM$8-$AL$8)),$AN$8-SQRT((1-AW918)*($AN$8-$AL$8)*($AN$8-$AM$8))),$AM$8)</f>
        <v/>
      </c>
      <c r="AO918">
        <f>IFERROR(IF(AX918&lt;($AM$9-$AL$9)/($AN$9-$AL$9),$AL$9+SQRT(AX918*($AN$9-$AL$9)*($AM$9-$AL$9)),$AN$9-SQRT((1-AX918)*($AN$9-$AL$9)*($AN$9-$AM$9))),$AM$9)</f>
        <v/>
      </c>
      <c r="AP918">
        <f>IFERROR(IF(AY918&lt;($AM$10-$AL$10)/($AN$10-$AL$10),$AL$10+SQRT(AY918*($AN$10-$AL$10)*($AM$10-$AL$10)),$AN$10-SQRT((1-AY918)*($AN$10-$AL$10)*($AN$10-$AM$10))),$AM$10)</f>
        <v/>
      </c>
      <c r="AQ918">
        <f>IFERROR(IF(AZ918&lt;($AM$11-$AL$11)/($AN$11-$AL$11),$AL$11+SQRT(AZ918*($AN$11-$AL$11)*($AM$11-$AL$11)),$AN$11-SQRT((1-AZ918)*($AN$11-$AL$11)*($AN$11-$AM$11))),$AM$11)</f>
        <v/>
      </c>
      <c r="AR918">
        <f>SUMPRODUCT((B24:B31&lt;=$B$6)*(C24:C31*AM918+D24:D31*AO918*$B$8*AQ918)/(1+AL918/100)^B24:B31)+C32*AM918*AP918/(1+AL918/100)^$B$6</f>
        <v/>
      </c>
      <c r="AS918">
        <f>SUMPRODUCT((K24:K26&lt;=$B$6)*(L24:L26*AN918+M24:M26*AO918*$B$8*AQ918)/(1+AL918/100)^K24:K26)+L27*AN918*AP918/(1+AL918/100)^$B$6</f>
        <v/>
      </c>
      <c r="AT918">
        <f>AS918-AR918</f>
        <v/>
      </c>
      <c r="AU918">
        <f>RAND()</f>
        <v/>
      </c>
      <c r="AV918">
        <f>RAND()</f>
        <v/>
      </c>
      <c r="AW918">
        <f>RAND()</f>
        <v/>
      </c>
      <c r="AX918">
        <f>RAND()</f>
        <v/>
      </c>
      <c r="AY918">
        <f>RAND()</f>
        <v/>
      </c>
      <c r="AZ918">
        <f>RAND()</f>
        <v/>
      </c>
    </row>
    <row r="919">
      <c r="AK919" t="n">
        <v>906</v>
      </c>
      <c r="AL919">
        <f>IFERROR(IF(AU919&lt;($AM$6-$AL$6)/($AN$6-$AL$6),$AL$6+SQRT(AU919*($AN$6-$AL$6)*($AM$6-$AL$6)),$AN$6-SQRT((1-AU919)*($AN$6-$AL$6)*($AN$6-$AM$6))),$AM$6)</f>
        <v/>
      </c>
      <c r="AM919">
        <f>IFERROR(IF(AV919&lt;($AM$7-$AL$7)/($AN$7-$AL$7),$AL$7+SQRT(AV919*($AN$7-$AL$7)*($AM$7-$AL$7)),$AN$7-SQRT((1-AV919)*($AN$7-$AL$7)*($AN$7-$AM$7))),$AM$7)</f>
        <v/>
      </c>
      <c r="AN919">
        <f>IFERROR(IF(AW919&lt;($AM$8-$AL$8)/($AN$8-$AL$8),$AL$8+SQRT(AW919*($AN$8-$AL$8)*($AM$8-$AL$8)),$AN$8-SQRT((1-AW919)*($AN$8-$AL$8)*($AN$8-$AM$8))),$AM$8)</f>
        <v/>
      </c>
      <c r="AO919">
        <f>IFERROR(IF(AX919&lt;($AM$9-$AL$9)/($AN$9-$AL$9),$AL$9+SQRT(AX919*($AN$9-$AL$9)*($AM$9-$AL$9)),$AN$9-SQRT((1-AX919)*($AN$9-$AL$9)*($AN$9-$AM$9))),$AM$9)</f>
        <v/>
      </c>
      <c r="AP919">
        <f>IFERROR(IF(AY919&lt;($AM$10-$AL$10)/($AN$10-$AL$10),$AL$10+SQRT(AY919*($AN$10-$AL$10)*($AM$10-$AL$10)),$AN$10-SQRT((1-AY919)*($AN$10-$AL$10)*($AN$10-$AM$10))),$AM$10)</f>
        <v/>
      </c>
      <c r="AQ919">
        <f>IFERROR(IF(AZ919&lt;($AM$11-$AL$11)/($AN$11-$AL$11),$AL$11+SQRT(AZ919*($AN$11-$AL$11)*($AM$11-$AL$11)),$AN$11-SQRT((1-AZ919)*($AN$11-$AL$11)*($AN$11-$AM$11))),$AM$11)</f>
        <v/>
      </c>
      <c r="AR919">
        <f>SUMPRODUCT((B24:B31&lt;=$B$6)*(C24:C31*AM919+D24:D31*AO919*$B$8*AQ919)/(1+AL919/100)^B24:B31)+C32*AM919*AP919/(1+AL919/100)^$B$6</f>
        <v/>
      </c>
      <c r="AS919">
        <f>SUMPRODUCT((K24:K26&lt;=$B$6)*(L24:L26*AN919+M24:M26*AO919*$B$8*AQ919)/(1+AL919/100)^K24:K26)+L27*AN919*AP919/(1+AL919/100)^$B$6</f>
        <v/>
      </c>
      <c r="AT919">
        <f>AS919-AR919</f>
        <v/>
      </c>
      <c r="AU919">
        <f>RAND()</f>
        <v/>
      </c>
      <c r="AV919">
        <f>RAND()</f>
        <v/>
      </c>
      <c r="AW919">
        <f>RAND()</f>
        <v/>
      </c>
      <c r="AX919">
        <f>RAND()</f>
        <v/>
      </c>
      <c r="AY919">
        <f>RAND()</f>
        <v/>
      </c>
      <c r="AZ919">
        <f>RAND()</f>
        <v/>
      </c>
    </row>
    <row r="920">
      <c r="AK920" t="n">
        <v>907</v>
      </c>
      <c r="AL920">
        <f>IFERROR(IF(AU920&lt;($AM$6-$AL$6)/($AN$6-$AL$6),$AL$6+SQRT(AU920*($AN$6-$AL$6)*($AM$6-$AL$6)),$AN$6-SQRT((1-AU920)*($AN$6-$AL$6)*($AN$6-$AM$6))),$AM$6)</f>
        <v/>
      </c>
      <c r="AM920">
        <f>IFERROR(IF(AV920&lt;($AM$7-$AL$7)/($AN$7-$AL$7),$AL$7+SQRT(AV920*($AN$7-$AL$7)*($AM$7-$AL$7)),$AN$7-SQRT((1-AV920)*($AN$7-$AL$7)*($AN$7-$AM$7))),$AM$7)</f>
        <v/>
      </c>
      <c r="AN920">
        <f>IFERROR(IF(AW920&lt;($AM$8-$AL$8)/($AN$8-$AL$8),$AL$8+SQRT(AW920*($AN$8-$AL$8)*($AM$8-$AL$8)),$AN$8-SQRT((1-AW920)*($AN$8-$AL$8)*($AN$8-$AM$8))),$AM$8)</f>
        <v/>
      </c>
      <c r="AO920">
        <f>IFERROR(IF(AX920&lt;($AM$9-$AL$9)/($AN$9-$AL$9),$AL$9+SQRT(AX920*($AN$9-$AL$9)*($AM$9-$AL$9)),$AN$9-SQRT((1-AX920)*($AN$9-$AL$9)*($AN$9-$AM$9))),$AM$9)</f>
        <v/>
      </c>
      <c r="AP920">
        <f>IFERROR(IF(AY920&lt;($AM$10-$AL$10)/($AN$10-$AL$10),$AL$10+SQRT(AY920*($AN$10-$AL$10)*($AM$10-$AL$10)),$AN$10-SQRT((1-AY920)*($AN$10-$AL$10)*($AN$10-$AM$10))),$AM$10)</f>
        <v/>
      </c>
      <c r="AQ920">
        <f>IFERROR(IF(AZ920&lt;($AM$11-$AL$11)/($AN$11-$AL$11),$AL$11+SQRT(AZ920*($AN$11-$AL$11)*($AM$11-$AL$11)),$AN$11-SQRT((1-AZ920)*($AN$11-$AL$11)*($AN$11-$AM$11))),$AM$11)</f>
        <v/>
      </c>
      <c r="AR920">
        <f>SUMPRODUCT((B24:B31&lt;=$B$6)*(C24:C31*AM920+D24:D31*AO920*$B$8*AQ920)/(1+AL920/100)^B24:B31)+C32*AM920*AP920/(1+AL920/100)^$B$6</f>
        <v/>
      </c>
      <c r="AS920">
        <f>SUMPRODUCT((K24:K26&lt;=$B$6)*(L24:L26*AN920+M24:M26*AO920*$B$8*AQ920)/(1+AL920/100)^K24:K26)+L27*AN920*AP920/(1+AL920/100)^$B$6</f>
        <v/>
      </c>
      <c r="AT920">
        <f>AS920-AR920</f>
        <v/>
      </c>
      <c r="AU920">
        <f>RAND()</f>
        <v/>
      </c>
      <c r="AV920">
        <f>RAND()</f>
        <v/>
      </c>
      <c r="AW920">
        <f>RAND()</f>
        <v/>
      </c>
      <c r="AX920">
        <f>RAND()</f>
        <v/>
      </c>
      <c r="AY920">
        <f>RAND()</f>
        <v/>
      </c>
      <c r="AZ920">
        <f>RAND()</f>
        <v/>
      </c>
    </row>
    <row r="921">
      <c r="AK921" t="n">
        <v>908</v>
      </c>
      <c r="AL921">
        <f>IFERROR(IF(AU921&lt;($AM$6-$AL$6)/($AN$6-$AL$6),$AL$6+SQRT(AU921*($AN$6-$AL$6)*($AM$6-$AL$6)),$AN$6-SQRT((1-AU921)*($AN$6-$AL$6)*($AN$6-$AM$6))),$AM$6)</f>
        <v/>
      </c>
      <c r="AM921">
        <f>IFERROR(IF(AV921&lt;($AM$7-$AL$7)/($AN$7-$AL$7),$AL$7+SQRT(AV921*($AN$7-$AL$7)*($AM$7-$AL$7)),$AN$7-SQRT((1-AV921)*($AN$7-$AL$7)*($AN$7-$AM$7))),$AM$7)</f>
        <v/>
      </c>
      <c r="AN921">
        <f>IFERROR(IF(AW921&lt;($AM$8-$AL$8)/($AN$8-$AL$8),$AL$8+SQRT(AW921*($AN$8-$AL$8)*($AM$8-$AL$8)),$AN$8-SQRT((1-AW921)*($AN$8-$AL$8)*($AN$8-$AM$8))),$AM$8)</f>
        <v/>
      </c>
      <c r="AO921">
        <f>IFERROR(IF(AX921&lt;($AM$9-$AL$9)/($AN$9-$AL$9),$AL$9+SQRT(AX921*($AN$9-$AL$9)*($AM$9-$AL$9)),$AN$9-SQRT((1-AX921)*($AN$9-$AL$9)*($AN$9-$AM$9))),$AM$9)</f>
        <v/>
      </c>
      <c r="AP921">
        <f>IFERROR(IF(AY921&lt;($AM$10-$AL$10)/($AN$10-$AL$10),$AL$10+SQRT(AY921*($AN$10-$AL$10)*($AM$10-$AL$10)),$AN$10-SQRT((1-AY921)*($AN$10-$AL$10)*($AN$10-$AM$10))),$AM$10)</f>
        <v/>
      </c>
      <c r="AQ921">
        <f>IFERROR(IF(AZ921&lt;($AM$11-$AL$11)/($AN$11-$AL$11),$AL$11+SQRT(AZ921*($AN$11-$AL$11)*($AM$11-$AL$11)),$AN$11-SQRT((1-AZ921)*($AN$11-$AL$11)*($AN$11-$AM$11))),$AM$11)</f>
        <v/>
      </c>
      <c r="AR921">
        <f>SUMPRODUCT((B24:B31&lt;=$B$6)*(C24:C31*AM921+D24:D31*AO921*$B$8*AQ921)/(1+AL921/100)^B24:B31)+C32*AM921*AP921/(1+AL921/100)^$B$6</f>
        <v/>
      </c>
      <c r="AS921">
        <f>SUMPRODUCT((K24:K26&lt;=$B$6)*(L24:L26*AN921+M24:M26*AO921*$B$8*AQ921)/(1+AL921/100)^K24:K26)+L27*AN921*AP921/(1+AL921/100)^$B$6</f>
        <v/>
      </c>
      <c r="AT921">
        <f>AS921-AR921</f>
        <v/>
      </c>
      <c r="AU921">
        <f>RAND()</f>
        <v/>
      </c>
      <c r="AV921">
        <f>RAND()</f>
        <v/>
      </c>
      <c r="AW921">
        <f>RAND()</f>
        <v/>
      </c>
      <c r="AX921">
        <f>RAND()</f>
        <v/>
      </c>
      <c r="AY921">
        <f>RAND()</f>
        <v/>
      </c>
      <c r="AZ921">
        <f>RAND()</f>
        <v/>
      </c>
    </row>
    <row r="922">
      <c r="AK922" t="n">
        <v>909</v>
      </c>
      <c r="AL922">
        <f>IFERROR(IF(AU922&lt;($AM$6-$AL$6)/($AN$6-$AL$6),$AL$6+SQRT(AU922*($AN$6-$AL$6)*($AM$6-$AL$6)),$AN$6-SQRT((1-AU922)*($AN$6-$AL$6)*($AN$6-$AM$6))),$AM$6)</f>
        <v/>
      </c>
      <c r="AM922">
        <f>IFERROR(IF(AV922&lt;($AM$7-$AL$7)/($AN$7-$AL$7),$AL$7+SQRT(AV922*($AN$7-$AL$7)*($AM$7-$AL$7)),$AN$7-SQRT((1-AV922)*($AN$7-$AL$7)*($AN$7-$AM$7))),$AM$7)</f>
        <v/>
      </c>
      <c r="AN922">
        <f>IFERROR(IF(AW922&lt;($AM$8-$AL$8)/($AN$8-$AL$8),$AL$8+SQRT(AW922*($AN$8-$AL$8)*($AM$8-$AL$8)),$AN$8-SQRT((1-AW922)*($AN$8-$AL$8)*($AN$8-$AM$8))),$AM$8)</f>
        <v/>
      </c>
      <c r="AO922">
        <f>IFERROR(IF(AX922&lt;($AM$9-$AL$9)/($AN$9-$AL$9),$AL$9+SQRT(AX922*($AN$9-$AL$9)*($AM$9-$AL$9)),$AN$9-SQRT((1-AX922)*($AN$9-$AL$9)*($AN$9-$AM$9))),$AM$9)</f>
        <v/>
      </c>
      <c r="AP922">
        <f>IFERROR(IF(AY922&lt;($AM$10-$AL$10)/($AN$10-$AL$10),$AL$10+SQRT(AY922*($AN$10-$AL$10)*($AM$10-$AL$10)),$AN$10-SQRT((1-AY922)*($AN$10-$AL$10)*($AN$10-$AM$10))),$AM$10)</f>
        <v/>
      </c>
      <c r="AQ922">
        <f>IFERROR(IF(AZ922&lt;($AM$11-$AL$11)/($AN$11-$AL$11),$AL$11+SQRT(AZ922*($AN$11-$AL$11)*($AM$11-$AL$11)),$AN$11-SQRT((1-AZ922)*($AN$11-$AL$11)*($AN$11-$AM$11))),$AM$11)</f>
        <v/>
      </c>
      <c r="AR922">
        <f>SUMPRODUCT((B24:B31&lt;=$B$6)*(C24:C31*AM922+D24:D31*AO922*$B$8*AQ922)/(1+AL922/100)^B24:B31)+C32*AM922*AP922/(1+AL922/100)^$B$6</f>
        <v/>
      </c>
      <c r="AS922">
        <f>SUMPRODUCT((K24:K26&lt;=$B$6)*(L24:L26*AN922+M24:M26*AO922*$B$8*AQ922)/(1+AL922/100)^K24:K26)+L27*AN922*AP922/(1+AL922/100)^$B$6</f>
        <v/>
      </c>
      <c r="AT922">
        <f>AS922-AR922</f>
        <v/>
      </c>
      <c r="AU922">
        <f>RAND()</f>
        <v/>
      </c>
      <c r="AV922">
        <f>RAND()</f>
        <v/>
      </c>
      <c r="AW922">
        <f>RAND()</f>
        <v/>
      </c>
      <c r="AX922">
        <f>RAND()</f>
        <v/>
      </c>
      <c r="AY922">
        <f>RAND()</f>
        <v/>
      </c>
      <c r="AZ922">
        <f>RAND()</f>
        <v/>
      </c>
    </row>
    <row r="923">
      <c r="AK923" t="n">
        <v>910</v>
      </c>
      <c r="AL923">
        <f>IFERROR(IF(AU923&lt;($AM$6-$AL$6)/($AN$6-$AL$6),$AL$6+SQRT(AU923*($AN$6-$AL$6)*($AM$6-$AL$6)),$AN$6-SQRT((1-AU923)*($AN$6-$AL$6)*($AN$6-$AM$6))),$AM$6)</f>
        <v/>
      </c>
      <c r="AM923">
        <f>IFERROR(IF(AV923&lt;($AM$7-$AL$7)/($AN$7-$AL$7),$AL$7+SQRT(AV923*($AN$7-$AL$7)*($AM$7-$AL$7)),$AN$7-SQRT((1-AV923)*($AN$7-$AL$7)*($AN$7-$AM$7))),$AM$7)</f>
        <v/>
      </c>
      <c r="AN923">
        <f>IFERROR(IF(AW923&lt;($AM$8-$AL$8)/($AN$8-$AL$8),$AL$8+SQRT(AW923*($AN$8-$AL$8)*($AM$8-$AL$8)),$AN$8-SQRT((1-AW923)*($AN$8-$AL$8)*($AN$8-$AM$8))),$AM$8)</f>
        <v/>
      </c>
      <c r="AO923">
        <f>IFERROR(IF(AX923&lt;($AM$9-$AL$9)/($AN$9-$AL$9),$AL$9+SQRT(AX923*($AN$9-$AL$9)*($AM$9-$AL$9)),$AN$9-SQRT((1-AX923)*($AN$9-$AL$9)*($AN$9-$AM$9))),$AM$9)</f>
        <v/>
      </c>
      <c r="AP923">
        <f>IFERROR(IF(AY923&lt;($AM$10-$AL$10)/($AN$10-$AL$10),$AL$10+SQRT(AY923*($AN$10-$AL$10)*($AM$10-$AL$10)),$AN$10-SQRT((1-AY923)*($AN$10-$AL$10)*($AN$10-$AM$10))),$AM$10)</f>
        <v/>
      </c>
      <c r="AQ923">
        <f>IFERROR(IF(AZ923&lt;($AM$11-$AL$11)/($AN$11-$AL$11),$AL$11+SQRT(AZ923*($AN$11-$AL$11)*($AM$11-$AL$11)),$AN$11-SQRT((1-AZ923)*($AN$11-$AL$11)*($AN$11-$AM$11))),$AM$11)</f>
        <v/>
      </c>
      <c r="AR923">
        <f>SUMPRODUCT((B24:B31&lt;=$B$6)*(C24:C31*AM923+D24:D31*AO923*$B$8*AQ923)/(1+AL923/100)^B24:B31)+C32*AM923*AP923/(1+AL923/100)^$B$6</f>
        <v/>
      </c>
      <c r="AS923">
        <f>SUMPRODUCT((K24:K26&lt;=$B$6)*(L24:L26*AN923+M24:M26*AO923*$B$8*AQ923)/(1+AL923/100)^K24:K26)+L27*AN923*AP923/(1+AL923/100)^$B$6</f>
        <v/>
      </c>
      <c r="AT923">
        <f>AS923-AR923</f>
        <v/>
      </c>
      <c r="AU923">
        <f>RAND()</f>
        <v/>
      </c>
      <c r="AV923">
        <f>RAND()</f>
        <v/>
      </c>
      <c r="AW923">
        <f>RAND()</f>
        <v/>
      </c>
      <c r="AX923">
        <f>RAND()</f>
        <v/>
      </c>
      <c r="AY923">
        <f>RAND()</f>
        <v/>
      </c>
      <c r="AZ923">
        <f>RAND()</f>
        <v/>
      </c>
    </row>
    <row r="924">
      <c r="AK924" t="n">
        <v>911</v>
      </c>
      <c r="AL924">
        <f>IFERROR(IF(AU924&lt;($AM$6-$AL$6)/($AN$6-$AL$6),$AL$6+SQRT(AU924*($AN$6-$AL$6)*($AM$6-$AL$6)),$AN$6-SQRT((1-AU924)*($AN$6-$AL$6)*($AN$6-$AM$6))),$AM$6)</f>
        <v/>
      </c>
      <c r="AM924">
        <f>IFERROR(IF(AV924&lt;($AM$7-$AL$7)/($AN$7-$AL$7),$AL$7+SQRT(AV924*($AN$7-$AL$7)*($AM$7-$AL$7)),$AN$7-SQRT((1-AV924)*($AN$7-$AL$7)*($AN$7-$AM$7))),$AM$7)</f>
        <v/>
      </c>
      <c r="AN924">
        <f>IFERROR(IF(AW924&lt;($AM$8-$AL$8)/($AN$8-$AL$8),$AL$8+SQRT(AW924*($AN$8-$AL$8)*($AM$8-$AL$8)),$AN$8-SQRT((1-AW924)*($AN$8-$AL$8)*($AN$8-$AM$8))),$AM$8)</f>
        <v/>
      </c>
      <c r="AO924">
        <f>IFERROR(IF(AX924&lt;($AM$9-$AL$9)/($AN$9-$AL$9),$AL$9+SQRT(AX924*($AN$9-$AL$9)*($AM$9-$AL$9)),$AN$9-SQRT((1-AX924)*($AN$9-$AL$9)*($AN$9-$AM$9))),$AM$9)</f>
        <v/>
      </c>
      <c r="AP924">
        <f>IFERROR(IF(AY924&lt;($AM$10-$AL$10)/($AN$10-$AL$10),$AL$10+SQRT(AY924*($AN$10-$AL$10)*($AM$10-$AL$10)),$AN$10-SQRT((1-AY924)*($AN$10-$AL$10)*($AN$10-$AM$10))),$AM$10)</f>
        <v/>
      </c>
      <c r="AQ924">
        <f>IFERROR(IF(AZ924&lt;($AM$11-$AL$11)/($AN$11-$AL$11),$AL$11+SQRT(AZ924*($AN$11-$AL$11)*($AM$11-$AL$11)),$AN$11-SQRT((1-AZ924)*($AN$11-$AL$11)*($AN$11-$AM$11))),$AM$11)</f>
        <v/>
      </c>
      <c r="AR924">
        <f>SUMPRODUCT((B24:B31&lt;=$B$6)*(C24:C31*AM924+D24:D31*AO924*$B$8*AQ924)/(1+AL924/100)^B24:B31)+C32*AM924*AP924/(1+AL924/100)^$B$6</f>
        <v/>
      </c>
      <c r="AS924">
        <f>SUMPRODUCT((K24:K26&lt;=$B$6)*(L24:L26*AN924+M24:M26*AO924*$B$8*AQ924)/(1+AL924/100)^K24:K26)+L27*AN924*AP924/(1+AL924/100)^$B$6</f>
        <v/>
      </c>
      <c r="AT924">
        <f>AS924-AR924</f>
        <v/>
      </c>
      <c r="AU924">
        <f>RAND()</f>
        <v/>
      </c>
      <c r="AV924">
        <f>RAND()</f>
        <v/>
      </c>
      <c r="AW924">
        <f>RAND()</f>
        <v/>
      </c>
      <c r="AX924">
        <f>RAND()</f>
        <v/>
      </c>
      <c r="AY924">
        <f>RAND()</f>
        <v/>
      </c>
      <c r="AZ924">
        <f>RAND()</f>
        <v/>
      </c>
    </row>
    <row r="925">
      <c r="AK925" t="n">
        <v>912</v>
      </c>
      <c r="AL925">
        <f>IFERROR(IF(AU925&lt;($AM$6-$AL$6)/($AN$6-$AL$6),$AL$6+SQRT(AU925*($AN$6-$AL$6)*($AM$6-$AL$6)),$AN$6-SQRT((1-AU925)*($AN$6-$AL$6)*($AN$6-$AM$6))),$AM$6)</f>
        <v/>
      </c>
      <c r="AM925">
        <f>IFERROR(IF(AV925&lt;($AM$7-$AL$7)/($AN$7-$AL$7),$AL$7+SQRT(AV925*($AN$7-$AL$7)*($AM$7-$AL$7)),$AN$7-SQRT((1-AV925)*($AN$7-$AL$7)*($AN$7-$AM$7))),$AM$7)</f>
        <v/>
      </c>
      <c r="AN925">
        <f>IFERROR(IF(AW925&lt;($AM$8-$AL$8)/($AN$8-$AL$8),$AL$8+SQRT(AW925*($AN$8-$AL$8)*($AM$8-$AL$8)),$AN$8-SQRT((1-AW925)*($AN$8-$AL$8)*($AN$8-$AM$8))),$AM$8)</f>
        <v/>
      </c>
      <c r="AO925">
        <f>IFERROR(IF(AX925&lt;($AM$9-$AL$9)/($AN$9-$AL$9),$AL$9+SQRT(AX925*($AN$9-$AL$9)*($AM$9-$AL$9)),$AN$9-SQRT((1-AX925)*($AN$9-$AL$9)*($AN$9-$AM$9))),$AM$9)</f>
        <v/>
      </c>
      <c r="AP925">
        <f>IFERROR(IF(AY925&lt;($AM$10-$AL$10)/($AN$10-$AL$10),$AL$10+SQRT(AY925*($AN$10-$AL$10)*($AM$10-$AL$10)),$AN$10-SQRT((1-AY925)*($AN$10-$AL$10)*($AN$10-$AM$10))),$AM$10)</f>
        <v/>
      </c>
      <c r="AQ925">
        <f>IFERROR(IF(AZ925&lt;($AM$11-$AL$11)/($AN$11-$AL$11),$AL$11+SQRT(AZ925*($AN$11-$AL$11)*($AM$11-$AL$11)),$AN$11-SQRT((1-AZ925)*($AN$11-$AL$11)*($AN$11-$AM$11))),$AM$11)</f>
        <v/>
      </c>
      <c r="AR925">
        <f>SUMPRODUCT((B24:B31&lt;=$B$6)*(C24:C31*AM925+D24:D31*AO925*$B$8*AQ925)/(1+AL925/100)^B24:B31)+C32*AM925*AP925/(1+AL925/100)^$B$6</f>
        <v/>
      </c>
      <c r="AS925">
        <f>SUMPRODUCT((K24:K26&lt;=$B$6)*(L24:L26*AN925+M24:M26*AO925*$B$8*AQ925)/(1+AL925/100)^K24:K26)+L27*AN925*AP925/(1+AL925/100)^$B$6</f>
        <v/>
      </c>
      <c r="AT925">
        <f>AS925-AR925</f>
        <v/>
      </c>
      <c r="AU925">
        <f>RAND()</f>
        <v/>
      </c>
      <c r="AV925">
        <f>RAND()</f>
        <v/>
      </c>
      <c r="AW925">
        <f>RAND()</f>
        <v/>
      </c>
      <c r="AX925">
        <f>RAND()</f>
        <v/>
      </c>
      <c r="AY925">
        <f>RAND()</f>
        <v/>
      </c>
      <c r="AZ925">
        <f>RAND()</f>
        <v/>
      </c>
    </row>
    <row r="926">
      <c r="AK926" t="n">
        <v>913</v>
      </c>
      <c r="AL926">
        <f>IFERROR(IF(AU926&lt;($AM$6-$AL$6)/($AN$6-$AL$6),$AL$6+SQRT(AU926*($AN$6-$AL$6)*($AM$6-$AL$6)),$AN$6-SQRT((1-AU926)*($AN$6-$AL$6)*($AN$6-$AM$6))),$AM$6)</f>
        <v/>
      </c>
      <c r="AM926">
        <f>IFERROR(IF(AV926&lt;($AM$7-$AL$7)/($AN$7-$AL$7),$AL$7+SQRT(AV926*($AN$7-$AL$7)*($AM$7-$AL$7)),$AN$7-SQRT((1-AV926)*($AN$7-$AL$7)*($AN$7-$AM$7))),$AM$7)</f>
        <v/>
      </c>
      <c r="AN926">
        <f>IFERROR(IF(AW926&lt;($AM$8-$AL$8)/($AN$8-$AL$8),$AL$8+SQRT(AW926*($AN$8-$AL$8)*($AM$8-$AL$8)),$AN$8-SQRT((1-AW926)*($AN$8-$AL$8)*($AN$8-$AM$8))),$AM$8)</f>
        <v/>
      </c>
      <c r="AO926">
        <f>IFERROR(IF(AX926&lt;($AM$9-$AL$9)/($AN$9-$AL$9),$AL$9+SQRT(AX926*($AN$9-$AL$9)*($AM$9-$AL$9)),$AN$9-SQRT((1-AX926)*($AN$9-$AL$9)*($AN$9-$AM$9))),$AM$9)</f>
        <v/>
      </c>
      <c r="AP926">
        <f>IFERROR(IF(AY926&lt;($AM$10-$AL$10)/($AN$10-$AL$10),$AL$10+SQRT(AY926*($AN$10-$AL$10)*($AM$10-$AL$10)),$AN$10-SQRT((1-AY926)*($AN$10-$AL$10)*($AN$10-$AM$10))),$AM$10)</f>
        <v/>
      </c>
      <c r="AQ926">
        <f>IFERROR(IF(AZ926&lt;($AM$11-$AL$11)/($AN$11-$AL$11),$AL$11+SQRT(AZ926*($AN$11-$AL$11)*($AM$11-$AL$11)),$AN$11-SQRT((1-AZ926)*($AN$11-$AL$11)*($AN$11-$AM$11))),$AM$11)</f>
        <v/>
      </c>
      <c r="AR926">
        <f>SUMPRODUCT((B24:B31&lt;=$B$6)*(C24:C31*AM926+D24:D31*AO926*$B$8*AQ926)/(1+AL926/100)^B24:B31)+C32*AM926*AP926/(1+AL926/100)^$B$6</f>
        <v/>
      </c>
      <c r="AS926">
        <f>SUMPRODUCT((K24:K26&lt;=$B$6)*(L24:L26*AN926+M24:M26*AO926*$B$8*AQ926)/(1+AL926/100)^K24:K26)+L27*AN926*AP926/(1+AL926/100)^$B$6</f>
        <v/>
      </c>
      <c r="AT926">
        <f>AS926-AR926</f>
        <v/>
      </c>
      <c r="AU926">
        <f>RAND()</f>
        <v/>
      </c>
      <c r="AV926">
        <f>RAND()</f>
        <v/>
      </c>
      <c r="AW926">
        <f>RAND()</f>
        <v/>
      </c>
      <c r="AX926">
        <f>RAND()</f>
        <v/>
      </c>
      <c r="AY926">
        <f>RAND()</f>
        <v/>
      </c>
      <c r="AZ926">
        <f>RAND()</f>
        <v/>
      </c>
    </row>
    <row r="927">
      <c r="AK927" t="n">
        <v>914</v>
      </c>
      <c r="AL927">
        <f>IFERROR(IF(AU927&lt;($AM$6-$AL$6)/($AN$6-$AL$6),$AL$6+SQRT(AU927*($AN$6-$AL$6)*($AM$6-$AL$6)),$AN$6-SQRT((1-AU927)*($AN$6-$AL$6)*($AN$6-$AM$6))),$AM$6)</f>
        <v/>
      </c>
      <c r="AM927">
        <f>IFERROR(IF(AV927&lt;($AM$7-$AL$7)/($AN$7-$AL$7),$AL$7+SQRT(AV927*($AN$7-$AL$7)*($AM$7-$AL$7)),$AN$7-SQRT((1-AV927)*($AN$7-$AL$7)*($AN$7-$AM$7))),$AM$7)</f>
        <v/>
      </c>
      <c r="AN927">
        <f>IFERROR(IF(AW927&lt;($AM$8-$AL$8)/($AN$8-$AL$8),$AL$8+SQRT(AW927*($AN$8-$AL$8)*($AM$8-$AL$8)),$AN$8-SQRT((1-AW927)*($AN$8-$AL$8)*($AN$8-$AM$8))),$AM$8)</f>
        <v/>
      </c>
      <c r="AO927">
        <f>IFERROR(IF(AX927&lt;($AM$9-$AL$9)/($AN$9-$AL$9),$AL$9+SQRT(AX927*($AN$9-$AL$9)*($AM$9-$AL$9)),$AN$9-SQRT((1-AX927)*($AN$9-$AL$9)*($AN$9-$AM$9))),$AM$9)</f>
        <v/>
      </c>
      <c r="AP927">
        <f>IFERROR(IF(AY927&lt;($AM$10-$AL$10)/($AN$10-$AL$10),$AL$10+SQRT(AY927*($AN$10-$AL$10)*($AM$10-$AL$10)),$AN$10-SQRT((1-AY927)*($AN$10-$AL$10)*($AN$10-$AM$10))),$AM$10)</f>
        <v/>
      </c>
      <c r="AQ927">
        <f>IFERROR(IF(AZ927&lt;($AM$11-$AL$11)/($AN$11-$AL$11),$AL$11+SQRT(AZ927*($AN$11-$AL$11)*($AM$11-$AL$11)),$AN$11-SQRT((1-AZ927)*($AN$11-$AL$11)*($AN$11-$AM$11))),$AM$11)</f>
        <v/>
      </c>
      <c r="AR927">
        <f>SUMPRODUCT((B24:B31&lt;=$B$6)*(C24:C31*AM927+D24:D31*AO927*$B$8*AQ927)/(1+AL927/100)^B24:B31)+C32*AM927*AP927/(1+AL927/100)^$B$6</f>
        <v/>
      </c>
      <c r="AS927">
        <f>SUMPRODUCT((K24:K26&lt;=$B$6)*(L24:L26*AN927+M24:M26*AO927*$B$8*AQ927)/(1+AL927/100)^K24:K26)+L27*AN927*AP927/(1+AL927/100)^$B$6</f>
        <v/>
      </c>
      <c r="AT927">
        <f>AS927-AR927</f>
        <v/>
      </c>
      <c r="AU927">
        <f>RAND()</f>
        <v/>
      </c>
      <c r="AV927">
        <f>RAND()</f>
        <v/>
      </c>
      <c r="AW927">
        <f>RAND()</f>
        <v/>
      </c>
      <c r="AX927">
        <f>RAND()</f>
        <v/>
      </c>
      <c r="AY927">
        <f>RAND()</f>
        <v/>
      </c>
      <c r="AZ927">
        <f>RAND()</f>
        <v/>
      </c>
    </row>
    <row r="928">
      <c r="AK928" t="n">
        <v>915</v>
      </c>
      <c r="AL928">
        <f>IFERROR(IF(AU928&lt;($AM$6-$AL$6)/($AN$6-$AL$6),$AL$6+SQRT(AU928*($AN$6-$AL$6)*($AM$6-$AL$6)),$AN$6-SQRT((1-AU928)*($AN$6-$AL$6)*($AN$6-$AM$6))),$AM$6)</f>
        <v/>
      </c>
      <c r="AM928">
        <f>IFERROR(IF(AV928&lt;($AM$7-$AL$7)/($AN$7-$AL$7),$AL$7+SQRT(AV928*($AN$7-$AL$7)*($AM$7-$AL$7)),$AN$7-SQRT((1-AV928)*($AN$7-$AL$7)*($AN$7-$AM$7))),$AM$7)</f>
        <v/>
      </c>
      <c r="AN928">
        <f>IFERROR(IF(AW928&lt;($AM$8-$AL$8)/($AN$8-$AL$8),$AL$8+SQRT(AW928*($AN$8-$AL$8)*($AM$8-$AL$8)),$AN$8-SQRT((1-AW928)*($AN$8-$AL$8)*($AN$8-$AM$8))),$AM$8)</f>
        <v/>
      </c>
      <c r="AO928">
        <f>IFERROR(IF(AX928&lt;($AM$9-$AL$9)/($AN$9-$AL$9),$AL$9+SQRT(AX928*($AN$9-$AL$9)*($AM$9-$AL$9)),$AN$9-SQRT((1-AX928)*($AN$9-$AL$9)*($AN$9-$AM$9))),$AM$9)</f>
        <v/>
      </c>
      <c r="AP928">
        <f>IFERROR(IF(AY928&lt;($AM$10-$AL$10)/($AN$10-$AL$10),$AL$10+SQRT(AY928*($AN$10-$AL$10)*($AM$10-$AL$10)),$AN$10-SQRT((1-AY928)*($AN$10-$AL$10)*($AN$10-$AM$10))),$AM$10)</f>
        <v/>
      </c>
      <c r="AQ928">
        <f>IFERROR(IF(AZ928&lt;($AM$11-$AL$11)/($AN$11-$AL$11),$AL$11+SQRT(AZ928*($AN$11-$AL$11)*($AM$11-$AL$11)),$AN$11-SQRT((1-AZ928)*($AN$11-$AL$11)*($AN$11-$AM$11))),$AM$11)</f>
        <v/>
      </c>
      <c r="AR928">
        <f>SUMPRODUCT((B24:B31&lt;=$B$6)*(C24:C31*AM928+D24:D31*AO928*$B$8*AQ928)/(1+AL928/100)^B24:B31)+C32*AM928*AP928/(1+AL928/100)^$B$6</f>
        <v/>
      </c>
      <c r="AS928">
        <f>SUMPRODUCT((K24:K26&lt;=$B$6)*(L24:L26*AN928+M24:M26*AO928*$B$8*AQ928)/(1+AL928/100)^K24:K26)+L27*AN928*AP928/(1+AL928/100)^$B$6</f>
        <v/>
      </c>
      <c r="AT928">
        <f>AS928-AR928</f>
        <v/>
      </c>
      <c r="AU928">
        <f>RAND()</f>
        <v/>
      </c>
      <c r="AV928">
        <f>RAND()</f>
        <v/>
      </c>
      <c r="AW928">
        <f>RAND()</f>
        <v/>
      </c>
      <c r="AX928">
        <f>RAND()</f>
        <v/>
      </c>
      <c r="AY928">
        <f>RAND()</f>
        <v/>
      </c>
      <c r="AZ928">
        <f>RAND()</f>
        <v/>
      </c>
    </row>
    <row r="929">
      <c r="AK929" t="n">
        <v>916</v>
      </c>
      <c r="AL929">
        <f>IFERROR(IF(AU929&lt;($AM$6-$AL$6)/($AN$6-$AL$6),$AL$6+SQRT(AU929*($AN$6-$AL$6)*($AM$6-$AL$6)),$AN$6-SQRT((1-AU929)*($AN$6-$AL$6)*($AN$6-$AM$6))),$AM$6)</f>
        <v/>
      </c>
      <c r="AM929">
        <f>IFERROR(IF(AV929&lt;($AM$7-$AL$7)/($AN$7-$AL$7),$AL$7+SQRT(AV929*($AN$7-$AL$7)*($AM$7-$AL$7)),$AN$7-SQRT((1-AV929)*($AN$7-$AL$7)*($AN$7-$AM$7))),$AM$7)</f>
        <v/>
      </c>
      <c r="AN929">
        <f>IFERROR(IF(AW929&lt;($AM$8-$AL$8)/($AN$8-$AL$8),$AL$8+SQRT(AW929*($AN$8-$AL$8)*($AM$8-$AL$8)),$AN$8-SQRT((1-AW929)*($AN$8-$AL$8)*($AN$8-$AM$8))),$AM$8)</f>
        <v/>
      </c>
      <c r="AO929">
        <f>IFERROR(IF(AX929&lt;($AM$9-$AL$9)/($AN$9-$AL$9),$AL$9+SQRT(AX929*($AN$9-$AL$9)*($AM$9-$AL$9)),$AN$9-SQRT((1-AX929)*($AN$9-$AL$9)*($AN$9-$AM$9))),$AM$9)</f>
        <v/>
      </c>
      <c r="AP929">
        <f>IFERROR(IF(AY929&lt;($AM$10-$AL$10)/($AN$10-$AL$10),$AL$10+SQRT(AY929*($AN$10-$AL$10)*($AM$10-$AL$10)),$AN$10-SQRT((1-AY929)*($AN$10-$AL$10)*($AN$10-$AM$10))),$AM$10)</f>
        <v/>
      </c>
      <c r="AQ929">
        <f>IFERROR(IF(AZ929&lt;($AM$11-$AL$11)/($AN$11-$AL$11),$AL$11+SQRT(AZ929*($AN$11-$AL$11)*($AM$11-$AL$11)),$AN$11-SQRT((1-AZ929)*($AN$11-$AL$11)*($AN$11-$AM$11))),$AM$11)</f>
        <v/>
      </c>
      <c r="AR929">
        <f>SUMPRODUCT((B24:B31&lt;=$B$6)*(C24:C31*AM929+D24:D31*AO929*$B$8*AQ929)/(1+AL929/100)^B24:B31)+C32*AM929*AP929/(1+AL929/100)^$B$6</f>
        <v/>
      </c>
      <c r="AS929">
        <f>SUMPRODUCT((K24:K26&lt;=$B$6)*(L24:L26*AN929+M24:M26*AO929*$B$8*AQ929)/(1+AL929/100)^K24:K26)+L27*AN929*AP929/(1+AL929/100)^$B$6</f>
        <v/>
      </c>
      <c r="AT929">
        <f>AS929-AR929</f>
        <v/>
      </c>
      <c r="AU929">
        <f>RAND()</f>
        <v/>
      </c>
      <c r="AV929">
        <f>RAND()</f>
        <v/>
      </c>
      <c r="AW929">
        <f>RAND()</f>
        <v/>
      </c>
      <c r="AX929">
        <f>RAND()</f>
        <v/>
      </c>
      <c r="AY929">
        <f>RAND()</f>
        <v/>
      </c>
      <c r="AZ929">
        <f>RAND()</f>
        <v/>
      </c>
    </row>
    <row r="930">
      <c r="AK930" t="n">
        <v>917</v>
      </c>
      <c r="AL930">
        <f>IFERROR(IF(AU930&lt;($AM$6-$AL$6)/($AN$6-$AL$6),$AL$6+SQRT(AU930*($AN$6-$AL$6)*($AM$6-$AL$6)),$AN$6-SQRT((1-AU930)*($AN$6-$AL$6)*($AN$6-$AM$6))),$AM$6)</f>
        <v/>
      </c>
      <c r="AM930">
        <f>IFERROR(IF(AV930&lt;($AM$7-$AL$7)/($AN$7-$AL$7),$AL$7+SQRT(AV930*($AN$7-$AL$7)*($AM$7-$AL$7)),$AN$7-SQRT((1-AV930)*($AN$7-$AL$7)*($AN$7-$AM$7))),$AM$7)</f>
        <v/>
      </c>
      <c r="AN930">
        <f>IFERROR(IF(AW930&lt;($AM$8-$AL$8)/($AN$8-$AL$8),$AL$8+SQRT(AW930*($AN$8-$AL$8)*($AM$8-$AL$8)),$AN$8-SQRT((1-AW930)*($AN$8-$AL$8)*($AN$8-$AM$8))),$AM$8)</f>
        <v/>
      </c>
      <c r="AO930">
        <f>IFERROR(IF(AX930&lt;($AM$9-$AL$9)/($AN$9-$AL$9),$AL$9+SQRT(AX930*($AN$9-$AL$9)*($AM$9-$AL$9)),$AN$9-SQRT((1-AX930)*($AN$9-$AL$9)*($AN$9-$AM$9))),$AM$9)</f>
        <v/>
      </c>
      <c r="AP930">
        <f>IFERROR(IF(AY930&lt;($AM$10-$AL$10)/($AN$10-$AL$10),$AL$10+SQRT(AY930*($AN$10-$AL$10)*($AM$10-$AL$10)),$AN$10-SQRT((1-AY930)*($AN$10-$AL$10)*($AN$10-$AM$10))),$AM$10)</f>
        <v/>
      </c>
      <c r="AQ930">
        <f>IFERROR(IF(AZ930&lt;($AM$11-$AL$11)/($AN$11-$AL$11),$AL$11+SQRT(AZ930*($AN$11-$AL$11)*($AM$11-$AL$11)),$AN$11-SQRT((1-AZ930)*($AN$11-$AL$11)*($AN$11-$AM$11))),$AM$11)</f>
        <v/>
      </c>
      <c r="AR930">
        <f>SUMPRODUCT((B24:B31&lt;=$B$6)*(C24:C31*AM930+D24:D31*AO930*$B$8*AQ930)/(1+AL930/100)^B24:B31)+C32*AM930*AP930/(1+AL930/100)^$B$6</f>
        <v/>
      </c>
      <c r="AS930">
        <f>SUMPRODUCT((K24:K26&lt;=$B$6)*(L24:L26*AN930+M24:M26*AO930*$B$8*AQ930)/(1+AL930/100)^K24:K26)+L27*AN930*AP930/(1+AL930/100)^$B$6</f>
        <v/>
      </c>
      <c r="AT930">
        <f>AS930-AR930</f>
        <v/>
      </c>
      <c r="AU930">
        <f>RAND()</f>
        <v/>
      </c>
      <c r="AV930">
        <f>RAND()</f>
        <v/>
      </c>
      <c r="AW930">
        <f>RAND()</f>
        <v/>
      </c>
      <c r="AX930">
        <f>RAND()</f>
        <v/>
      </c>
      <c r="AY930">
        <f>RAND()</f>
        <v/>
      </c>
      <c r="AZ930">
        <f>RAND()</f>
        <v/>
      </c>
    </row>
    <row r="931">
      <c r="AK931" t="n">
        <v>918</v>
      </c>
      <c r="AL931">
        <f>IFERROR(IF(AU931&lt;($AM$6-$AL$6)/($AN$6-$AL$6),$AL$6+SQRT(AU931*($AN$6-$AL$6)*($AM$6-$AL$6)),$AN$6-SQRT((1-AU931)*($AN$6-$AL$6)*($AN$6-$AM$6))),$AM$6)</f>
        <v/>
      </c>
      <c r="AM931">
        <f>IFERROR(IF(AV931&lt;($AM$7-$AL$7)/($AN$7-$AL$7),$AL$7+SQRT(AV931*($AN$7-$AL$7)*($AM$7-$AL$7)),$AN$7-SQRT((1-AV931)*($AN$7-$AL$7)*($AN$7-$AM$7))),$AM$7)</f>
        <v/>
      </c>
      <c r="AN931">
        <f>IFERROR(IF(AW931&lt;($AM$8-$AL$8)/($AN$8-$AL$8),$AL$8+SQRT(AW931*($AN$8-$AL$8)*($AM$8-$AL$8)),$AN$8-SQRT((1-AW931)*($AN$8-$AL$8)*($AN$8-$AM$8))),$AM$8)</f>
        <v/>
      </c>
      <c r="AO931">
        <f>IFERROR(IF(AX931&lt;($AM$9-$AL$9)/($AN$9-$AL$9),$AL$9+SQRT(AX931*($AN$9-$AL$9)*($AM$9-$AL$9)),$AN$9-SQRT((1-AX931)*($AN$9-$AL$9)*($AN$9-$AM$9))),$AM$9)</f>
        <v/>
      </c>
      <c r="AP931">
        <f>IFERROR(IF(AY931&lt;($AM$10-$AL$10)/($AN$10-$AL$10),$AL$10+SQRT(AY931*($AN$10-$AL$10)*($AM$10-$AL$10)),$AN$10-SQRT((1-AY931)*($AN$10-$AL$10)*($AN$10-$AM$10))),$AM$10)</f>
        <v/>
      </c>
      <c r="AQ931">
        <f>IFERROR(IF(AZ931&lt;($AM$11-$AL$11)/($AN$11-$AL$11),$AL$11+SQRT(AZ931*($AN$11-$AL$11)*($AM$11-$AL$11)),$AN$11-SQRT((1-AZ931)*($AN$11-$AL$11)*($AN$11-$AM$11))),$AM$11)</f>
        <v/>
      </c>
      <c r="AR931">
        <f>SUMPRODUCT((B24:B31&lt;=$B$6)*(C24:C31*AM931+D24:D31*AO931*$B$8*AQ931)/(1+AL931/100)^B24:B31)+C32*AM931*AP931/(1+AL931/100)^$B$6</f>
        <v/>
      </c>
      <c r="AS931">
        <f>SUMPRODUCT((K24:K26&lt;=$B$6)*(L24:L26*AN931+M24:M26*AO931*$B$8*AQ931)/(1+AL931/100)^K24:K26)+L27*AN931*AP931/(1+AL931/100)^$B$6</f>
        <v/>
      </c>
      <c r="AT931">
        <f>AS931-AR931</f>
        <v/>
      </c>
      <c r="AU931">
        <f>RAND()</f>
        <v/>
      </c>
      <c r="AV931">
        <f>RAND()</f>
        <v/>
      </c>
      <c r="AW931">
        <f>RAND()</f>
        <v/>
      </c>
      <c r="AX931">
        <f>RAND()</f>
        <v/>
      </c>
      <c r="AY931">
        <f>RAND()</f>
        <v/>
      </c>
      <c r="AZ931">
        <f>RAND()</f>
        <v/>
      </c>
    </row>
    <row r="932">
      <c r="AK932" t="n">
        <v>919</v>
      </c>
      <c r="AL932">
        <f>IFERROR(IF(AU932&lt;($AM$6-$AL$6)/($AN$6-$AL$6),$AL$6+SQRT(AU932*($AN$6-$AL$6)*($AM$6-$AL$6)),$AN$6-SQRT((1-AU932)*($AN$6-$AL$6)*($AN$6-$AM$6))),$AM$6)</f>
        <v/>
      </c>
      <c r="AM932">
        <f>IFERROR(IF(AV932&lt;($AM$7-$AL$7)/($AN$7-$AL$7),$AL$7+SQRT(AV932*($AN$7-$AL$7)*($AM$7-$AL$7)),$AN$7-SQRT((1-AV932)*($AN$7-$AL$7)*($AN$7-$AM$7))),$AM$7)</f>
        <v/>
      </c>
      <c r="AN932">
        <f>IFERROR(IF(AW932&lt;($AM$8-$AL$8)/($AN$8-$AL$8),$AL$8+SQRT(AW932*($AN$8-$AL$8)*($AM$8-$AL$8)),$AN$8-SQRT((1-AW932)*($AN$8-$AL$8)*($AN$8-$AM$8))),$AM$8)</f>
        <v/>
      </c>
      <c r="AO932">
        <f>IFERROR(IF(AX932&lt;($AM$9-$AL$9)/($AN$9-$AL$9),$AL$9+SQRT(AX932*($AN$9-$AL$9)*($AM$9-$AL$9)),$AN$9-SQRT((1-AX932)*($AN$9-$AL$9)*($AN$9-$AM$9))),$AM$9)</f>
        <v/>
      </c>
      <c r="AP932">
        <f>IFERROR(IF(AY932&lt;($AM$10-$AL$10)/($AN$10-$AL$10),$AL$10+SQRT(AY932*($AN$10-$AL$10)*($AM$10-$AL$10)),$AN$10-SQRT((1-AY932)*($AN$10-$AL$10)*($AN$10-$AM$10))),$AM$10)</f>
        <v/>
      </c>
      <c r="AQ932">
        <f>IFERROR(IF(AZ932&lt;($AM$11-$AL$11)/($AN$11-$AL$11),$AL$11+SQRT(AZ932*($AN$11-$AL$11)*($AM$11-$AL$11)),$AN$11-SQRT((1-AZ932)*($AN$11-$AL$11)*($AN$11-$AM$11))),$AM$11)</f>
        <v/>
      </c>
      <c r="AR932">
        <f>SUMPRODUCT((B24:B31&lt;=$B$6)*(C24:C31*AM932+D24:D31*AO932*$B$8*AQ932)/(1+AL932/100)^B24:B31)+C32*AM932*AP932/(1+AL932/100)^$B$6</f>
        <v/>
      </c>
      <c r="AS932">
        <f>SUMPRODUCT((K24:K26&lt;=$B$6)*(L24:L26*AN932+M24:M26*AO932*$B$8*AQ932)/(1+AL932/100)^K24:K26)+L27*AN932*AP932/(1+AL932/100)^$B$6</f>
        <v/>
      </c>
      <c r="AT932">
        <f>AS932-AR932</f>
        <v/>
      </c>
      <c r="AU932">
        <f>RAND()</f>
        <v/>
      </c>
      <c r="AV932">
        <f>RAND()</f>
        <v/>
      </c>
      <c r="AW932">
        <f>RAND()</f>
        <v/>
      </c>
      <c r="AX932">
        <f>RAND()</f>
        <v/>
      </c>
      <c r="AY932">
        <f>RAND()</f>
        <v/>
      </c>
      <c r="AZ932">
        <f>RAND()</f>
        <v/>
      </c>
    </row>
    <row r="933">
      <c r="AK933" t="n">
        <v>920</v>
      </c>
      <c r="AL933">
        <f>IFERROR(IF(AU933&lt;($AM$6-$AL$6)/($AN$6-$AL$6),$AL$6+SQRT(AU933*($AN$6-$AL$6)*($AM$6-$AL$6)),$AN$6-SQRT((1-AU933)*($AN$6-$AL$6)*($AN$6-$AM$6))),$AM$6)</f>
        <v/>
      </c>
      <c r="AM933">
        <f>IFERROR(IF(AV933&lt;($AM$7-$AL$7)/($AN$7-$AL$7),$AL$7+SQRT(AV933*($AN$7-$AL$7)*($AM$7-$AL$7)),$AN$7-SQRT((1-AV933)*($AN$7-$AL$7)*($AN$7-$AM$7))),$AM$7)</f>
        <v/>
      </c>
      <c r="AN933">
        <f>IFERROR(IF(AW933&lt;($AM$8-$AL$8)/($AN$8-$AL$8),$AL$8+SQRT(AW933*($AN$8-$AL$8)*($AM$8-$AL$8)),$AN$8-SQRT((1-AW933)*($AN$8-$AL$8)*($AN$8-$AM$8))),$AM$8)</f>
        <v/>
      </c>
      <c r="AO933">
        <f>IFERROR(IF(AX933&lt;($AM$9-$AL$9)/($AN$9-$AL$9),$AL$9+SQRT(AX933*($AN$9-$AL$9)*($AM$9-$AL$9)),$AN$9-SQRT((1-AX933)*($AN$9-$AL$9)*($AN$9-$AM$9))),$AM$9)</f>
        <v/>
      </c>
      <c r="AP933">
        <f>IFERROR(IF(AY933&lt;($AM$10-$AL$10)/($AN$10-$AL$10),$AL$10+SQRT(AY933*($AN$10-$AL$10)*($AM$10-$AL$10)),$AN$10-SQRT((1-AY933)*($AN$10-$AL$10)*($AN$10-$AM$10))),$AM$10)</f>
        <v/>
      </c>
      <c r="AQ933">
        <f>IFERROR(IF(AZ933&lt;($AM$11-$AL$11)/($AN$11-$AL$11),$AL$11+SQRT(AZ933*($AN$11-$AL$11)*($AM$11-$AL$11)),$AN$11-SQRT((1-AZ933)*($AN$11-$AL$11)*($AN$11-$AM$11))),$AM$11)</f>
        <v/>
      </c>
      <c r="AR933">
        <f>SUMPRODUCT((B24:B31&lt;=$B$6)*(C24:C31*AM933+D24:D31*AO933*$B$8*AQ933)/(1+AL933/100)^B24:B31)+C32*AM933*AP933/(1+AL933/100)^$B$6</f>
        <v/>
      </c>
      <c r="AS933">
        <f>SUMPRODUCT((K24:K26&lt;=$B$6)*(L24:L26*AN933+M24:M26*AO933*$B$8*AQ933)/(1+AL933/100)^K24:K26)+L27*AN933*AP933/(1+AL933/100)^$B$6</f>
        <v/>
      </c>
      <c r="AT933">
        <f>AS933-AR933</f>
        <v/>
      </c>
      <c r="AU933">
        <f>RAND()</f>
        <v/>
      </c>
      <c r="AV933">
        <f>RAND()</f>
        <v/>
      </c>
      <c r="AW933">
        <f>RAND()</f>
        <v/>
      </c>
      <c r="AX933">
        <f>RAND()</f>
        <v/>
      </c>
      <c r="AY933">
        <f>RAND()</f>
        <v/>
      </c>
      <c r="AZ933">
        <f>RAND()</f>
        <v/>
      </c>
    </row>
    <row r="934">
      <c r="AK934" t="n">
        <v>921</v>
      </c>
      <c r="AL934">
        <f>IFERROR(IF(AU934&lt;($AM$6-$AL$6)/($AN$6-$AL$6),$AL$6+SQRT(AU934*($AN$6-$AL$6)*($AM$6-$AL$6)),$AN$6-SQRT((1-AU934)*($AN$6-$AL$6)*($AN$6-$AM$6))),$AM$6)</f>
        <v/>
      </c>
      <c r="AM934">
        <f>IFERROR(IF(AV934&lt;($AM$7-$AL$7)/($AN$7-$AL$7),$AL$7+SQRT(AV934*($AN$7-$AL$7)*($AM$7-$AL$7)),$AN$7-SQRT((1-AV934)*($AN$7-$AL$7)*($AN$7-$AM$7))),$AM$7)</f>
        <v/>
      </c>
      <c r="AN934">
        <f>IFERROR(IF(AW934&lt;($AM$8-$AL$8)/($AN$8-$AL$8),$AL$8+SQRT(AW934*($AN$8-$AL$8)*($AM$8-$AL$8)),$AN$8-SQRT((1-AW934)*($AN$8-$AL$8)*($AN$8-$AM$8))),$AM$8)</f>
        <v/>
      </c>
      <c r="AO934">
        <f>IFERROR(IF(AX934&lt;($AM$9-$AL$9)/($AN$9-$AL$9),$AL$9+SQRT(AX934*($AN$9-$AL$9)*($AM$9-$AL$9)),$AN$9-SQRT((1-AX934)*($AN$9-$AL$9)*($AN$9-$AM$9))),$AM$9)</f>
        <v/>
      </c>
      <c r="AP934">
        <f>IFERROR(IF(AY934&lt;($AM$10-$AL$10)/($AN$10-$AL$10),$AL$10+SQRT(AY934*($AN$10-$AL$10)*($AM$10-$AL$10)),$AN$10-SQRT((1-AY934)*($AN$10-$AL$10)*($AN$10-$AM$10))),$AM$10)</f>
        <v/>
      </c>
      <c r="AQ934">
        <f>IFERROR(IF(AZ934&lt;($AM$11-$AL$11)/($AN$11-$AL$11),$AL$11+SQRT(AZ934*($AN$11-$AL$11)*($AM$11-$AL$11)),$AN$11-SQRT((1-AZ934)*($AN$11-$AL$11)*($AN$11-$AM$11))),$AM$11)</f>
        <v/>
      </c>
      <c r="AR934">
        <f>SUMPRODUCT((B24:B31&lt;=$B$6)*(C24:C31*AM934+D24:D31*AO934*$B$8*AQ934)/(1+AL934/100)^B24:B31)+C32*AM934*AP934/(1+AL934/100)^$B$6</f>
        <v/>
      </c>
      <c r="AS934">
        <f>SUMPRODUCT((K24:K26&lt;=$B$6)*(L24:L26*AN934+M24:M26*AO934*$B$8*AQ934)/(1+AL934/100)^K24:K26)+L27*AN934*AP934/(1+AL934/100)^$B$6</f>
        <v/>
      </c>
      <c r="AT934">
        <f>AS934-AR934</f>
        <v/>
      </c>
      <c r="AU934">
        <f>RAND()</f>
        <v/>
      </c>
      <c r="AV934">
        <f>RAND()</f>
        <v/>
      </c>
      <c r="AW934">
        <f>RAND()</f>
        <v/>
      </c>
      <c r="AX934">
        <f>RAND()</f>
        <v/>
      </c>
      <c r="AY934">
        <f>RAND()</f>
        <v/>
      </c>
      <c r="AZ934">
        <f>RAND()</f>
        <v/>
      </c>
    </row>
    <row r="935">
      <c r="AK935" t="n">
        <v>922</v>
      </c>
      <c r="AL935">
        <f>IFERROR(IF(AU935&lt;($AM$6-$AL$6)/($AN$6-$AL$6),$AL$6+SQRT(AU935*($AN$6-$AL$6)*($AM$6-$AL$6)),$AN$6-SQRT((1-AU935)*($AN$6-$AL$6)*($AN$6-$AM$6))),$AM$6)</f>
        <v/>
      </c>
      <c r="AM935">
        <f>IFERROR(IF(AV935&lt;($AM$7-$AL$7)/($AN$7-$AL$7),$AL$7+SQRT(AV935*($AN$7-$AL$7)*($AM$7-$AL$7)),$AN$7-SQRT((1-AV935)*($AN$7-$AL$7)*($AN$7-$AM$7))),$AM$7)</f>
        <v/>
      </c>
      <c r="AN935">
        <f>IFERROR(IF(AW935&lt;($AM$8-$AL$8)/($AN$8-$AL$8),$AL$8+SQRT(AW935*($AN$8-$AL$8)*($AM$8-$AL$8)),$AN$8-SQRT((1-AW935)*($AN$8-$AL$8)*($AN$8-$AM$8))),$AM$8)</f>
        <v/>
      </c>
      <c r="AO935">
        <f>IFERROR(IF(AX935&lt;($AM$9-$AL$9)/($AN$9-$AL$9),$AL$9+SQRT(AX935*($AN$9-$AL$9)*($AM$9-$AL$9)),$AN$9-SQRT((1-AX935)*($AN$9-$AL$9)*($AN$9-$AM$9))),$AM$9)</f>
        <v/>
      </c>
      <c r="AP935">
        <f>IFERROR(IF(AY935&lt;($AM$10-$AL$10)/($AN$10-$AL$10),$AL$10+SQRT(AY935*($AN$10-$AL$10)*($AM$10-$AL$10)),$AN$10-SQRT((1-AY935)*($AN$10-$AL$10)*($AN$10-$AM$10))),$AM$10)</f>
        <v/>
      </c>
      <c r="AQ935">
        <f>IFERROR(IF(AZ935&lt;($AM$11-$AL$11)/($AN$11-$AL$11),$AL$11+SQRT(AZ935*($AN$11-$AL$11)*($AM$11-$AL$11)),$AN$11-SQRT((1-AZ935)*($AN$11-$AL$11)*($AN$11-$AM$11))),$AM$11)</f>
        <v/>
      </c>
      <c r="AR935">
        <f>SUMPRODUCT((B24:B31&lt;=$B$6)*(C24:C31*AM935+D24:D31*AO935*$B$8*AQ935)/(1+AL935/100)^B24:B31)+C32*AM935*AP935/(1+AL935/100)^$B$6</f>
        <v/>
      </c>
      <c r="AS935">
        <f>SUMPRODUCT((K24:K26&lt;=$B$6)*(L24:L26*AN935+M24:M26*AO935*$B$8*AQ935)/(1+AL935/100)^K24:K26)+L27*AN935*AP935/(1+AL935/100)^$B$6</f>
        <v/>
      </c>
      <c r="AT935">
        <f>AS935-AR935</f>
        <v/>
      </c>
      <c r="AU935">
        <f>RAND()</f>
        <v/>
      </c>
      <c r="AV935">
        <f>RAND()</f>
        <v/>
      </c>
      <c r="AW935">
        <f>RAND()</f>
        <v/>
      </c>
      <c r="AX935">
        <f>RAND()</f>
        <v/>
      </c>
      <c r="AY935">
        <f>RAND()</f>
        <v/>
      </c>
      <c r="AZ935">
        <f>RAND()</f>
        <v/>
      </c>
    </row>
    <row r="936">
      <c r="AK936" t="n">
        <v>923</v>
      </c>
      <c r="AL936">
        <f>IFERROR(IF(AU936&lt;($AM$6-$AL$6)/($AN$6-$AL$6),$AL$6+SQRT(AU936*($AN$6-$AL$6)*($AM$6-$AL$6)),$AN$6-SQRT((1-AU936)*($AN$6-$AL$6)*($AN$6-$AM$6))),$AM$6)</f>
        <v/>
      </c>
      <c r="AM936">
        <f>IFERROR(IF(AV936&lt;($AM$7-$AL$7)/($AN$7-$AL$7),$AL$7+SQRT(AV936*($AN$7-$AL$7)*($AM$7-$AL$7)),$AN$7-SQRT((1-AV936)*($AN$7-$AL$7)*($AN$7-$AM$7))),$AM$7)</f>
        <v/>
      </c>
      <c r="AN936">
        <f>IFERROR(IF(AW936&lt;($AM$8-$AL$8)/($AN$8-$AL$8),$AL$8+SQRT(AW936*($AN$8-$AL$8)*($AM$8-$AL$8)),$AN$8-SQRT((1-AW936)*($AN$8-$AL$8)*($AN$8-$AM$8))),$AM$8)</f>
        <v/>
      </c>
      <c r="AO936">
        <f>IFERROR(IF(AX936&lt;($AM$9-$AL$9)/($AN$9-$AL$9),$AL$9+SQRT(AX936*($AN$9-$AL$9)*($AM$9-$AL$9)),$AN$9-SQRT((1-AX936)*($AN$9-$AL$9)*($AN$9-$AM$9))),$AM$9)</f>
        <v/>
      </c>
      <c r="AP936">
        <f>IFERROR(IF(AY936&lt;($AM$10-$AL$10)/($AN$10-$AL$10),$AL$10+SQRT(AY936*($AN$10-$AL$10)*($AM$10-$AL$10)),$AN$10-SQRT((1-AY936)*($AN$10-$AL$10)*($AN$10-$AM$10))),$AM$10)</f>
        <v/>
      </c>
      <c r="AQ936">
        <f>IFERROR(IF(AZ936&lt;($AM$11-$AL$11)/($AN$11-$AL$11),$AL$11+SQRT(AZ936*($AN$11-$AL$11)*($AM$11-$AL$11)),$AN$11-SQRT((1-AZ936)*($AN$11-$AL$11)*($AN$11-$AM$11))),$AM$11)</f>
        <v/>
      </c>
      <c r="AR936">
        <f>SUMPRODUCT((B24:B31&lt;=$B$6)*(C24:C31*AM936+D24:D31*AO936*$B$8*AQ936)/(1+AL936/100)^B24:B31)+C32*AM936*AP936/(1+AL936/100)^$B$6</f>
        <v/>
      </c>
      <c r="AS936">
        <f>SUMPRODUCT((K24:K26&lt;=$B$6)*(L24:L26*AN936+M24:M26*AO936*$B$8*AQ936)/(1+AL936/100)^K24:K26)+L27*AN936*AP936/(1+AL936/100)^$B$6</f>
        <v/>
      </c>
      <c r="AT936">
        <f>AS936-AR936</f>
        <v/>
      </c>
      <c r="AU936">
        <f>RAND()</f>
        <v/>
      </c>
      <c r="AV936">
        <f>RAND()</f>
        <v/>
      </c>
      <c r="AW936">
        <f>RAND()</f>
        <v/>
      </c>
      <c r="AX936">
        <f>RAND()</f>
        <v/>
      </c>
      <c r="AY936">
        <f>RAND()</f>
        <v/>
      </c>
      <c r="AZ936">
        <f>RAND()</f>
        <v/>
      </c>
    </row>
    <row r="937">
      <c r="AK937" t="n">
        <v>924</v>
      </c>
      <c r="AL937">
        <f>IFERROR(IF(AU937&lt;($AM$6-$AL$6)/($AN$6-$AL$6),$AL$6+SQRT(AU937*($AN$6-$AL$6)*($AM$6-$AL$6)),$AN$6-SQRT((1-AU937)*($AN$6-$AL$6)*($AN$6-$AM$6))),$AM$6)</f>
        <v/>
      </c>
      <c r="AM937">
        <f>IFERROR(IF(AV937&lt;($AM$7-$AL$7)/($AN$7-$AL$7),$AL$7+SQRT(AV937*($AN$7-$AL$7)*($AM$7-$AL$7)),$AN$7-SQRT((1-AV937)*($AN$7-$AL$7)*($AN$7-$AM$7))),$AM$7)</f>
        <v/>
      </c>
      <c r="AN937">
        <f>IFERROR(IF(AW937&lt;($AM$8-$AL$8)/($AN$8-$AL$8),$AL$8+SQRT(AW937*($AN$8-$AL$8)*($AM$8-$AL$8)),$AN$8-SQRT((1-AW937)*($AN$8-$AL$8)*($AN$8-$AM$8))),$AM$8)</f>
        <v/>
      </c>
      <c r="AO937">
        <f>IFERROR(IF(AX937&lt;($AM$9-$AL$9)/($AN$9-$AL$9),$AL$9+SQRT(AX937*($AN$9-$AL$9)*($AM$9-$AL$9)),$AN$9-SQRT((1-AX937)*($AN$9-$AL$9)*($AN$9-$AM$9))),$AM$9)</f>
        <v/>
      </c>
      <c r="AP937">
        <f>IFERROR(IF(AY937&lt;($AM$10-$AL$10)/($AN$10-$AL$10),$AL$10+SQRT(AY937*($AN$10-$AL$10)*($AM$10-$AL$10)),$AN$10-SQRT((1-AY937)*($AN$10-$AL$10)*($AN$10-$AM$10))),$AM$10)</f>
        <v/>
      </c>
      <c r="AQ937">
        <f>IFERROR(IF(AZ937&lt;($AM$11-$AL$11)/($AN$11-$AL$11),$AL$11+SQRT(AZ937*($AN$11-$AL$11)*($AM$11-$AL$11)),$AN$11-SQRT((1-AZ937)*($AN$11-$AL$11)*($AN$11-$AM$11))),$AM$11)</f>
        <v/>
      </c>
      <c r="AR937">
        <f>SUMPRODUCT((B24:B31&lt;=$B$6)*(C24:C31*AM937+D24:D31*AO937*$B$8*AQ937)/(1+AL937/100)^B24:B31)+C32*AM937*AP937/(1+AL937/100)^$B$6</f>
        <v/>
      </c>
      <c r="AS937">
        <f>SUMPRODUCT((K24:K26&lt;=$B$6)*(L24:L26*AN937+M24:M26*AO937*$B$8*AQ937)/(1+AL937/100)^K24:K26)+L27*AN937*AP937/(1+AL937/100)^$B$6</f>
        <v/>
      </c>
      <c r="AT937">
        <f>AS937-AR937</f>
        <v/>
      </c>
      <c r="AU937">
        <f>RAND()</f>
        <v/>
      </c>
      <c r="AV937">
        <f>RAND()</f>
        <v/>
      </c>
      <c r="AW937">
        <f>RAND()</f>
        <v/>
      </c>
      <c r="AX937">
        <f>RAND()</f>
        <v/>
      </c>
      <c r="AY937">
        <f>RAND()</f>
        <v/>
      </c>
      <c r="AZ937">
        <f>RAND()</f>
        <v/>
      </c>
    </row>
    <row r="938">
      <c r="AK938" t="n">
        <v>925</v>
      </c>
      <c r="AL938">
        <f>IFERROR(IF(AU938&lt;($AM$6-$AL$6)/($AN$6-$AL$6),$AL$6+SQRT(AU938*($AN$6-$AL$6)*($AM$6-$AL$6)),$AN$6-SQRT((1-AU938)*($AN$6-$AL$6)*($AN$6-$AM$6))),$AM$6)</f>
        <v/>
      </c>
      <c r="AM938">
        <f>IFERROR(IF(AV938&lt;($AM$7-$AL$7)/($AN$7-$AL$7),$AL$7+SQRT(AV938*($AN$7-$AL$7)*($AM$7-$AL$7)),$AN$7-SQRT((1-AV938)*($AN$7-$AL$7)*($AN$7-$AM$7))),$AM$7)</f>
        <v/>
      </c>
      <c r="AN938">
        <f>IFERROR(IF(AW938&lt;($AM$8-$AL$8)/($AN$8-$AL$8),$AL$8+SQRT(AW938*($AN$8-$AL$8)*($AM$8-$AL$8)),$AN$8-SQRT((1-AW938)*($AN$8-$AL$8)*($AN$8-$AM$8))),$AM$8)</f>
        <v/>
      </c>
      <c r="AO938">
        <f>IFERROR(IF(AX938&lt;($AM$9-$AL$9)/($AN$9-$AL$9),$AL$9+SQRT(AX938*($AN$9-$AL$9)*($AM$9-$AL$9)),$AN$9-SQRT((1-AX938)*($AN$9-$AL$9)*($AN$9-$AM$9))),$AM$9)</f>
        <v/>
      </c>
      <c r="AP938">
        <f>IFERROR(IF(AY938&lt;($AM$10-$AL$10)/($AN$10-$AL$10),$AL$10+SQRT(AY938*($AN$10-$AL$10)*($AM$10-$AL$10)),$AN$10-SQRT((1-AY938)*($AN$10-$AL$10)*($AN$10-$AM$10))),$AM$10)</f>
        <v/>
      </c>
      <c r="AQ938">
        <f>IFERROR(IF(AZ938&lt;($AM$11-$AL$11)/($AN$11-$AL$11),$AL$11+SQRT(AZ938*($AN$11-$AL$11)*($AM$11-$AL$11)),$AN$11-SQRT((1-AZ938)*($AN$11-$AL$11)*($AN$11-$AM$11))),$AM$11)</f>
        <v/>
      </c>
      <c r="AR938">
        <f>SUMPRODUCT((B24:B31&lt;=$B$6)*(C24:C31*AM938+D24:D31*AO938*$B$8*AQ938)/(1+AL938/100)^B24:B31)+C32*AM938*AP938/(1+AL938/100)^$B$6</f>
        <v/>
      </c>
      <c r="AS938">
        <f>SUMPRODUCT((K24:K26&lt;=$B$6)*(L24:L26*AN938+M24:M26*AO938*$B$8*AQ938)/(1+AL938/100)^K24:K26)+L27*AN938*AP938/(1+AL938/100)^$B$6</f>
        <v/>
      </c>
      <c r="AT938">
        <f>AS938-AR938</f>
        <v/>
      </c>
      <c r="AU938">
        <f>RAND()</f>
        <v/>
      </c>
      <c r="AV938">
        <f>RAND()</f>
        <v/>
      </c>
      <c r="AW938">
        <f>RAND()</f>
        <v/>
      </c>
      <c r="AX938">
        <f>RAND()</f>
        <v/>
      </c>
      <c r="AY938">
        <f>RAND()</f>
        <v/>
      </c>
      <c r="AZ938">
        <f>RAND()</f>
        <v/>
      </c>
    </row>
    <row r="939">
      <c r="AK939" t="n">
        <v>926</v>
      </c>
      <c r="AL939">
        <f>IFERROR(IF(AU939&lt;($AM$6-$AL$6)/($AN$6-$AL$6),$AL$6+SQRT(AU939*($AN$6-$AL$6)*($AM$6-$AL$6)),$AN$6-SQRT((1-AU939)*($AN$6-$AL$6)*($AN$6-$AM$6))),$AM$6)</f>
        <v/>
      </c>
      <c r="AM939">
        <f>IFERROR(IF(AV939&lt;($AM$7-$AL$7)/($AN$7-$AL$7),$AL$7+SQRT(AV939*($AN$7-$AL$7)*($AM$7-$AL$7)),$AN$7-SQRT((1-AV939)*($AN$7-$AL$7)*($AN$7-$AM$7))),$AM$7)</f>
        <v/>
      </c>
      <c r="AN939">
        <f>IFERROR(IF(AW939&lt;($AM$8-$AL$8)/($AN$8-$AL$8),$AL$8+SQRT(AW939*($AN$8-$AL$8)*($AM$8-$AL$8)),$AN$8-SQRT((1-AW939)*($AN$8-$AL$8)*($AN$8-$AM$8))),$AM$8)</f>
        <v/>
      </c>
      <c r="AO939">
        <f>IFERROR(IF(AX939&lt;($AM$9-$AL$9)/($AN$9-$AL$9),$AL$9+SQRT(AX939*($AN$9-$AL$9)*($AM$9-$AL$9)),$AN$9-SQRT((1-AX939)*($AN$9-$AL$9)*($AN$9-$AM$9))),$AM$9)</f>
        <v/>
      </c>
      <c r="AP939">
        <f>IFERROR(IF(AY939&lt;($AM$10-$AL$10)/($AN$10-$AL$10),$AL$10+SQRT(AY939*($AN$10-$AL$10)*($AM$10-$AL$10)),$AN$10-SQRT((1-AY939)*($AN$10-$AL$10)*($AN$10-$AM$10))),$AM$10)</f>
        <v/>
      </c>
      <c r="AQ939">
        <f>IFERROR(IF(AZ939&lt;($AM$11-$AL$11)/($AN$11-$AL$11),$AL$11+SQRT(AZ939*($AN$11-$AL$11)*($AM$11-$AL$11)),$AN$11-SQRT((1-AZ939)*($AN$11-$AL$11)*($AN$11-$AM$11))),$AM$11)</f>
        <v/>
      </c>
      <c r="AR939">
        <f>SUMPRODUCT((B24:B31&lt;=$B$6)*(C24:C31*AM939+D24:D31*AO939*$B$8*AQ939)/(1+AL939/100)^B24:B31)+C32*AM939*AP939/(1+AL939/100)^$B$6</f>
        <v/>
      </c>
      <c r="AS939">
        <f>SUMPRODUCT((K24:K26&lt;=$B$6)*(L24:L26*AN939+M24:M26*AO939*$B$8*AQ939)/(1+AL939/100)^K24:K26)+L27*AN939*AP939/(1+AL939/100)^$B$6</f>
        <v/>
      </c>
      <c r="AT939">
        <f>AS939-AR939</f>
        <v/>
      </c>
      <c r="AU939">
        <f>RAND()</f>
        <v/>
      </c>
      <c r="AV939">
        <f>RAND()</f>
        <v/>
      </c>
      <c r="AW939">
        <f>RAND()</f>
        <v/>
      </c>
      <c r="AX939">
        <f>RAND()</f>
        <v/>
      </c>
      <c r="AY939">
        <f>RAND()</f>
        <v/>
      </c>
      <c r="AZ939">
        <f>RAND()</f>
        <v/>
      </c>
    </row>
    <row r="940">
      <c r="AK940" t="n">
        <v>927</v>
      </c>
      <c r="AL940">
        <f>IFERROR(IF(AU940&lt;($AM$6-$AL$6)/($AN$6-$AL$6),$AL$6+SQRT(AU940*($AN$6-$AL$6)*($AM$6-$AL$6)),$AN$6-SQRT((1-AU940)*($AN$6-$AL$6)*($AN$6-$AM$6))),$AM$6)</f>
        <v/>
      </c>
      <c r="AM940">
        <f>IFERROR(IF(AV940&lt;($AM$7-$AL$7)/($AN$7-$AL$7),$AL$7+SQRT(AV940*($AN$7-$AL$7)*($AM$7-$AL$7)),$AN$7-SQRT((1-AV940)*($AN$7-$AL$7)*($AN$7-$AM$7))),$AM$7)</f>
        <v/>
      </c>
      <c r="AN940">
        <f>IFERROR(IF(AW940&lt;($AM$8-$AL$8)/($AN$8-$AL$8),$AL$8+SQRT(AW940*($AN$8-$AL$8)*($AM$8-$AL$8)),$AN$8-SQRT((1-AW940)*($AN$8-$AL$8)*($AN$8-$AM$8))),$AM$8)</f>
        <v/>
      </c>
      <c r="AO940">
        <f>IFERROR(IF(AX940&lt;($AM$9-$AL$9)/($AN$9-$AL$9),$AL$9+SQRT(AX940*($AN$9-$AL$9)*($AM$9-$AL$9)),$AN$9-SQRT((1-AX940)*($AN$9-$AL$9)*($AN$9-$AM$9))),$AM$9)</f>
        <v/>
      </c>
      <c r="AP940">
        <f>IFERROR(IF(AY940&lt;($AM$10-$AL$10)/($AN$10-$AL$10),$AL$10+SQRT(AY940*($AN$10-$AL$10)*($AM$10-$AL$10)),$AN$10-SQRT((1-AY940)*($AN$10-$AL$10)*($AN$10-$AM$10))),$AM$10)</f>
        <v/>
      </c>
      <c r="AQ940">
        <f>IFERROR(IF(AZ940&lt;($AM$11-$AL$11)/($AN$11-$AL$11),$AL$11+SQRT(AZ940*($AN$11-$AL$11)*($AM$11-$AL$11)),$AN$11-SQRT((1-AZ940)*($AN$11-$AL$11)*($AN$11-$AM$11))),$AM$11)</f>
        <v/>
      </c>
      <c r="AR940">
        <f>SUMPRODUCT((B24:B31&lt;=$B$6)*(C24:C31*AM940+D24:D31*AO940*$B$8*AQ940)/(1+AL940/100)^B24:B31)+C32*AM940*AP940/(1+AL940/100)^$B$6</f>
        <v/>
      </c>
      <c r="AS940">
        <f>SUMPRODUCT((K24:K26&lt;=$B$6)*(L24:L26*AN940+M24:M26*AO940*$B$8*AQ940)/(1+AL940/100)^K24:K26)+L27*AN940*AP940/(1+AL940/100)^$B$6</f>
        <v/>
      </c>
      <c r="AT940">
        <f>AS940-AR940</f>
        <v/>
      </c>
      <c r="AU940">
        <f>RAND()</f>
        <v/>
      </c>
      <c r="AV940">
        <f>RAND()</f>
        <v/>
      </c>
      <c r="AW940">
        <f>RAND()</f>
        <v/>
      </c>
      <c r="AX940">
        <f>RAND()</f>
        <v/>
      </c>
      <c r="AY940">
        <f>RAND()</f>
        <v/>
      </c>
      <c r="AZ940">
        <f>RAND()</f>
        <v/>
      </c>
    </row>
    <row r="941">
      <c r="AK941" t="n">
        <v>928</v>
      </c>
      <c r="AL941">
        <f>IFERROR(IF(AU941&lt;($AM$6-$AL$6)/($AN$6-$AL$6),$AL$6+SQRT(AU941*($AN$6-$AL$6)*($AM$6-$AL$6)),$AN$6-SQRT((1-AU941)*($AN$6-$AL$6)*($AN$6-$AM$6))),$AM$6)</f>
        <v/>
      </c>
      <c r="AM941">
        <f>IFERROR(IF(AV941&lt;($AM$7-$AL$7)/($AN$7-$AL$7),$AL$7+SQRT(AV941*($AN$7-$AL$7)*($AM$7-$AL$7)),$AN$7-SQRT((1-AV941)*($AN$7-$AL$7)*($AN$7-$AM$7))),$AM$7)</f>
        <v/>
      </c>
      <c r="AN941">
        <f>IFERROR(IF(AW941&lt;($AM$8-$AL$8)/($AN$8-$AL$8),$AL$8+SQRT(AW941*($AN$8-$AL$8)*($AM$8-$AL$8)),$AN$8-SQRT((1-AW941)*($AN$8-$AL$8)*($AN$8-$AM$8))),$AM$8)</f>
        <v/>
      </c>
      <c r="AO941">
        <f>IFERROR(IF(AX941&lt;($AM$9-$AL$9)/($AN$9-$AL$9),$AL$9+SQRT(AX941*($AN$9-$AL$9)*($AM$9-$AL$9)),$AN$9-SQRT((1-AX941)*($AN$9-$AL$9)*($AN$9-$AM$9))),$AM$9)</f>
        <v/>
      </c>
      <c r="AP941">
        <f>IFERROR(IF(AY941&lt;($AM$10-$AL$10)/($AN$10-$AL$10),$AL$10+SQRT(AY941*($AN$10-$AL$10)*($AM$10-$AL$10)),$AN$10-SQRT((1-AY941)*($AN$10-$AL$10)*($AN$10-$AM$10))),$AM$10)</f>
        <v/>
      </c>
      <c r="AQ941">
        <f>IFERROR(IF(AZ941&lt;($AM$11-$AL$11)/($AN$11-$AL$11),$AL$11+SQRT(AZ941*($AN$11-$AL$11)*($AM$11-$AL$11)),$AN$11-SQRT((1-AZ941)*($AN$11-$AL$11)*($AN$11-$AM$11))),$AM$11)</f>
        <v/>
      </c>
      <c r="AR941">
        <f>SUMPRODUCT((B24:B31&lt;=$B$6)*(C24:C31*AM941+D24:D31*AO941*$B$8*AQ941)/(1+AL941/100)^B24:B31)+C32*AM941*AP941/(1+AL941/100)^$B$6</f>
        <v/>
      </c>
      <c r="AS941">
        <f>SUMPRODUCT((K24:K26&lt;=$B$6)*(L24:L26*AN941+M24:M26*AO941*$B$8*AQ941)/(1+AL941/100)^K24:K26)+L27*AN941*AP941/(1+AL941/100)^$B$6</f>
        <v/>
      </c>
      <c r="AT941">
        <f>AS941-AR941</f>
        <v/>
      </c>
      <c r="AU941">
        <f>RAND()</f>
        <v/>
      </c>
      <c r="AV941">
        <f>RAND()</f>
        <v/>
      </c>
      <c r="AW941">
        <f>RAND()</f>
        <v/>
      </c>
      <c r="AX941">
        <f>RAND()</f>
        <v/>
      </c>
      <c r="AY941">
        <f>RAND()</f>
        <v/>
      </c>
      <c r="AZ941">
        <f>RAND()</f>
        <v/>
      </c>
    </row>
    <row r="942">
      <c r="AK942" t="n">
        <v>929</v>
      </c>
      <c r="AL942">
        <f>IFERROR(IF(AU942&lt;($AM$6-$AL$6)/($AN$6-$AL$6),$AL$6+SQRT(AU942*($AN$6-$AL$6)*($AM$6-$AL$6)),$AN$6-SQRT((1-AU942)*($AN$6-$AL$6)*($AN$6-$AM$6))),$AM$6)</f>
        <v/>
      </c>
      <c r="AM942">
        <f>IFERROR(IF(AV942&lt;($AM$7-$AL$7)/($AN$7-$AL$7),$AL$7+SQRT(AV942*($AN$7-$AL$7)*($AM$7-$AL$7)),$AN$7-SQRT((1-AV942)*($AN$7-$AL$7)*($AN$7-$AM$7))),$AM$7)</f>
        <v/>
      </c>
      <c r="AN942">
        <f>IFERROR(IF(AW942&lt;($AM$8-$AL$8)/($AN$8-$AL$8),$AL$8+SQRT(AW942*($AN$8-$AL$8)*($AM$8-$AL$8)),$AN$8-SQRT((1-AW942)*($AN$8-$AL$8)*($AN$8-$AM$8))),$AM$8)</f>
        <v/>
      </c>
      <c r="AO942">
        <f>IFERROR(IF(AX942&lt;($AM$9-$AL$9)/($AN$9-$AL$9),$AL$9+SQRT(AX942*($AN$9-$AL$9)*($AM$9-$AL$9)),$AN$9-SQRT((1-AX942)*($AN$9-$AL$9)*($AN$9-$AM$9))),$AM$9)</f>
        <v/>
      </c>
      <c r="AP942">
        <f>IFERROR(IF(AY942&lt;($AM$10-$AL$10)/($AN$10-$AL$10),$AL$10+SQRT(AY942*($AN$10-$AL$10)*($AM$10-$AL$10)),$AN$10-SQRT((1-AY942)*($AN$10-$AL$10)*($AN$10-$AM$10))),$AM$10)</f>
        <v/>
      </c>
      <c r="AQ942">
        <f>IFERROR(IF(AZ942&lt;($AM$11-$AL$11)/($AN$11-$AL$11),$AL$11+SQRT(AZ942*($AN$11-$AL$11)*($AM$11-$AL$11)),$AN$11-SQRT((1-AZ942)*($AN$11-$AL$11)*($AN$11-$AM$11))),$AM$11)</f>
        <v/>
      </c>
      <c r="AR942">
        <f>SUMPRODUCT((B24:B31&lt;=$B$6)*(C24:C31*AM942+D24:D31*AO942*$B$8*AQ942)/(1+AL942/100)^B24:B31)+C32*AM942*AP942/(1+AL942/100)^$B$6</f>
        <v/>
      </c>
      <c r="AS942">
        <f>SUMPRODUCT((K24:K26&lt;=$B$6)*(L24:L26*AN942+M24:M26*AO942*$B$8*AQ942)/(1+AL942/100)^K24:K26)+L27*AN942*AP942/(1+AL942/100)^$B$6</f>
        <v/>
      </c>
      <c r="AT942">
        <f>AS942-AR942</f>
        <v/>
      </c>
      <c r="AU942">
        <f>RAND()</f>
        <v/>
      </c>
      <c r="AV942">
        <f>RAND()</f>
        <v/>
      </c>
      <c r="AW942">
        <f>RAND()</f>
        <v/>
      </c>
      <c r="AX942">
        <f>RAND()</f>
        <v/>
      </c>
      <c r="AY942">
        <f>RAND()</f>
        <v/>
      </c>
      <c r="AZ942">
        <f>RAND()</f>
        <v/>
      </c>
    </row>
    <row r="943">
      <c r="AK943" t="n">
        <v>930</v>
      </c>
      <c r="AL943">
        <f>IFERROR(IF(AU943&lt;($AM$6-$AL$6)/($AN$6-$AL$6),$AL$6+SQRT(AU943*($AN$6-$AL$6)*($AM$6-$AL$6)),$AN$6-SQRT((1-AU943)*($AN$6-$AL$6)*($AN$6-$AM$6))),$AM$6)</f>
        <v/>
      </c>
      <c r="AM943">
        <f>IFERROR(IF(AV943&lt;($AM$7-$AL$7)/($AN$7-$AL$7),$AL$7+SQRT(AV943*($AN$7-$AL$7)*($AM$7-$AL$7)),$AN$7-SQRT((1-AV943)*($AN$7-$AL$7)*($AN$7-$AM$7))),$AM$7)</f>
        <v/>
      </c>
      <c r="AN943">
        <f>IFERROR(IF(AW943&lt;($AM$8-$AL$8)/($AN$8-$AL$8),$AL$8+SQRT(AW943*($AN$8-$AL$8)*($AM$8-$AL$8)),$AN$8-SQRT((1-AW943)*($AN$8-$AL$8)*($AN$8-$AM$8))),$AM$8)</f>
        <v/>
      </c>
      <c r="AO943">
        <f>IFERROR(IF(AX943&lt;($AM$9-$AL$9)/($AN$9-$AL$9),$AL$9+SQRT(AX943*($AN$9-$AL$9)*($AM$9-$AL$9)),$AN$9-SQRT((1-AX943)*($AN$9-$AL$9)*($AN$9-$AM$9))),$AM$9)</f>
        <v/>
      </c>
      <c r="AP943">
        <f>IFERROR(IF(AY943&lt;($AM$10-$AL$10)/($AN$10-$AL$10),$AL$10+SQRT(AY943*($AN$10-$AL$10)*($AM$10-$AL$10)),$AN$10-SQRT((1-AY943)*($AN$10-$AL$10)*($AN$10-$AM$10))),$AM$10)</f>
        <v/>
      </c>
      <c r="AQ943">
        <f>IFERROR(IF(AZ943&lt;($AM$11-$AL$11)/($AN$11-$AL$11),$AL$11+SQRT(AZ943*($AN$11-$AL$11)*($AM$11-$AL$11)),$AN$11-SQRT((1-AZ943)*($AN$11-$AL$11)*($AN$11-$AM$11))),$AM$11)</f>
        <v/>
      </c>
      <c r="AR943">
        <f>SUMPRODUCT((B24:B31&lt;=$B$6)*(C24:C31*AM943+D24:D31*AO943*$B$8*AQ943)/(1+AL943/100)^B24:B31)+C32*AM943*AP943/(1+AL943/100)^$B$6</f>
        <v/>
      </c>
      <c r="AS943">
        <f>SUMPRODUCT((K24:K26&lt;=$B$6)*(L24:L26*AN943+M24:M26*AO943*$B$8*AQ943)/(1+AL943/100)^K24:K26)+L27*AN943*AP943/(1+AL943/100)^$B$6</f>
        <v/>
      </c>
      <c r="AT943">
        <f>AS943-AR943</f>
        <v/>
      </c>
      <c r="AU943">
        <f>RAND()</f>
        <v/>
      </c>
      <c r="AV943">
        <f>RAND()</f>
        <v/>
      </c>
      <c r="AW943">
        <f>RAND()</f>
        <v/>
      </c>
      <c r="AX943">
        <f>RAND()</f>
        <v/>
      </c>
      <c r="AY943">
        <f>RAND()</f>
        <v/>
      </c>
      <c r="AZ943">
        <f>RAND()</f>
        <v/>
      </c>
    </row>
    <row r="944">
      <c r="AK944" t="n">
        <v>931</v>
      </c>
      <c r="AL944">
        <f>IFERROR(IF(AU944&lt;($AM$6-$AL$6)/($AN$6-$AL$6),$AL$6+SQRT(AU944*($AN$6-$AL$6)*($AM$6-$AL$6)),$AN$6-SQRT((1-AU944)*($AN$6-$AL$6)*($AN$6-$AM$6))),$AM$6)</f>
        <v/>
      </c>
      <c r="AM944">
        <f>IFERROR(IF(AV944&lt;($AM$7-$AL$7)/($AN$7-$AL$7),$AL$7+SQRT(AV944*($AN$7-$AL$7)*($AM$7-$AL$7)),$AN$7-SQRT((1-AV944)*($AN$7-$AL$7)*($AN$7-$AM$7))),$AM$7)</f>
        <v/>
      </c>
      <c r="AN944">
        <f>IFERROR(IF(AW944&lt;($AM$8-$AL$8)/($AN$8-$AL$8),$AL$8+SQRT(AW944*($AN$8-$AL$8)*($AM$8-$AL$8)),$AN$8-SQRT((1-AW944)*($AN$8-$AL$8)*($AN$8-$AM$8))),$AM$8)</f>
        <v/>
      </c>
      <c r="AO944">
        <f>IFERROR(IF(AX944&lt;($AM$9-$AL$9)/($AN$9-$AL$9),$AL$9+SQRT(AX944*($AN$9-$AL$9)*($AM$9-$AL$9)),$AN$9-SQRT((1-AX944)*($AN$9-$AL$9)*($AN$9-$AM$9))),$AM$9)</f>
        <v/>
      </c>
      <c r="AP944">
        <f>IFERROR(IF(AY944&lt;($AM$10-$AL$10)/($AN$10-$AL$10),$AL$10+SQRT(AY944*($AN$10-$AL$10)*($AM$10-$AL$10)),$AN$10-SQRT((1-AY944)*($AN$10-$AL$10)*($AN$10-$AM$10))),$AM$10)</f>
        <v/>
      </c>
      <c r="AQ944">
        <f>IFERROR(IF(AZ944&lt;($AM$11-$AL$11)/($AN$11-$AL$11),$AL$11+SQRT(AZ944*($AN$11-$AL$11)*($AM$11-$AL$11)),$AN$11-SQRT((1-AZ944)*($AN$11-$AL$11)*($AN$11-$AM$11))),$AM$11)</f>
        <v/>
      </c>
      <c r="AR944">
        <f>SUMPRODUCT((B24:B31&lt;=$B$6)*(C24:C31*AM944+D24:D31*AO944*$B$8*AQ944)/(1+AL944/100)^B24:B31)+C32*AM944*AP944/(1+AL944/100)^$B$6</f>
        <v/>
      </c>
      <c r="AS944">
        <f>SUMPRODUCT((K24:K26&lt;=$B$6)*(L24:L26*AN944+M24:M26*AO944*$B$8*AQ944)/(1+AL944/100)^K24:K26)+L27*AN944*AP944/(1+AL944/100)^$B$6</f>
        <v/>
      </c>
      <c r="AT944">
        <f>AS944-AR944</f>
        <v/>
      </c>
      <c r="AU944">
        <f>RAND()</f>
        <v/>
      </c>
      <c r="AV944">
        <f>RAND()</f>
        <v/>
      </c>
      <c r="AW944">
        <f>RAND()</f>
        <v/>
      </c>
      <c r="AX944">
        <f>RAND()</f>
        <v/>
      </c>
      <c r="AY944">
        <f>RAND()</f>
        <v/>
      </c>
      <c r="AZ944">
        <f>RAND()</f>
        <v/>
      </c>
    </row>
    <row r="945">
      <c r="AK945" t="n">
        <v>932</v>
      </c>
      <c r="AL945">
        <f>IFERROR(IF(AU945&lt;($AM$6-$AL$6)/($AN$6-$AL$6),$AL$6+SQRT(AU945*($AN$6-$AL$6)*($AM$6-$AL$6)),$AN$6-SQRT((1-AU945)*($AN$6-$AL$6)*($AN$6-$AM$6))),$AM$6)</f>
        <v/>
      </c>
      <c r="AM945">
        <f>IFERROR(IF(AV945&lt;($AM$7-$AL$7)/($AN$7-$AL$7),$AL$7+SQRT(AV945*($AN$7-$AL$7)*($AM$7-$AL$7)),$AN$7-SQRT((1-AV945)*($AN$7-$AL$7)*($AN$7-$AM$7))),$AM$7)</f>
        <v/>
      </c>
      <c r="AN945">
        <f>IFERROR(IF(AW945&lt;($AM$8-$AL$8)/($AN$8-$AL$8),$AL$8+SQRT(AW945*($AN$8-$AL$8)*($AM$8-$AL$8)),$AN$8-SQRT((1-AW945)*($AN$8-$AL$8)*($AN$8-$AM$8))),$AM$8)</f>
        <v/>
      </c>
      <c r="AO945">
        <f>IFERROR(IF(AX945&lt;($AM$9-$AL$9)/($AN$9-$AL$9),$AL$9+SQRT(AX945*($AN$9-$AL$9)*($AM$9-$AL$9)),$AN$9-SQRT((1-AX945)*($AN$9-$AL$9)*($AN$9-$AM$9))),$AM$9)</f>
        <v/>
      </c>
      <c r="AP945">
        <f>IFERROR(IF(AY945&lt;($AM$10-$AL$10)/($AN$10-$AL$10),$AL$10+SQRT(AY945*($AN$10-$AL$10)*($AM$10-$AL$10)),$AN$10-SQRT((1-AY945)*($AN$10-$AL$10)*($AN$10-$AM$10))),$AM$10)</f>
        <v/>
      </c>
      <c r="AQ945">
        <f>IFERROR(IF(AZ945&lt;($AM$11-$AL$11)/($AN$11-$AL$11),$AL$11+SQRT(AZ945*($AN$11-$AL$11)*($AM$11-$AL$11)),$AN$11-SQRT((1-AZ945)*($AN$11-$AL$11)*($AN$11-$AM$11))),$AM$11)</f>
        <v/>
      </c>
      <c r="AR945">
        <f>SUMPRODUCT((B24:B31&lt;=$B$6)*(C24:C31*AM945+D24:D31*AO945*$B$8*AQ945)/(1+AL945/100)^B24:B31)+C32*AM945*AP945/(1+AL945/100)^$B$6</f>
        <v/>
      </c>
      <c r="AS945">
        <f>SUMPRODUCT((K24:K26&lt;=$B$6)*(L24:L26*AN945+M24:M26*AO945*$B$8*AQ945)/(1+AL945/100)^K24:K26)+L27*AN945*AP945/(1+AL945/100)^$B$6</f>
        <v/>
      </c>
      <c r="AT945">
        <f>AS945-AR945</f>
        <v/>
      </c>
      <c r="AU945">
        <f>RAND()</f>
        <v/>
      </c>
      <c r="AV945">
        <f>RAND()</f>
        <v/>
      </c>
      <c r="AW945">
        <f>RAND()</f>
        <v/>
      </c>
      <c r="AX945">
        <f>RAND()</f>
        <v/>
      </c>
      <c r="AY945">
        <f>RAND()</f>
        <v/>
      </c>
      <c r="AZ945">
        <f>RAND()</f>
        <v/>
      </c>
    </row>
    <row r="946">
      <c r="AK946" t="n">
        <v>933</v>
      </c>
      <c r="AL946">
        <f>IFERROR(IF(AU946&lt;($AM$6-$AL$6)/($AN$6-$AL$6),$AL$6+SQRT(AU946*($AN$6-$AL$6)*($AM$6-$AL$6)),$AN$6-SQRT((1-AU946)*($AN$6-$AL$6)*($AN$6-$AM$6))),$AM$6)</f>
        <v/>
      </c>
      <c r="AM946">
        <f>IFERROR(IF(AV946&lt;($AM$7-$AL$7)/($AN$7-$AL$7),$AL$7+SQRT(AV946*($AN$7-$AL$7)*($AM$7-$AL$7)),$AN$7-SQRT((1-AV946)*($AN$7-$AL$7)*($AN$7-$AM$7))),$AM$7)</f>
        <v/>
      </c>
      <c r="AN946">
        <f>IFERROR(IF(AW946&lt;($AM$8-$AL$8)/($AN$8-$AL$8),$AL$8+SQRT(AW946*($AN$8-$AL$8)*($AM$8-$AL$8)),$AN$8-SQRT((1-AW946)*($AN$8-$AL$8)*($AN$8-$AM$8))),$AM$8)</f>
        <v/>
      </c>
      <c r="AO946">
        <f>IFERROR(IF(AX946&lt;($AM$9-$AL$9)/($AN$9-$AL$9),$AL$9+SQRT(AX946*($AN$9-$AL$9)*($AM$9-$AL$9)),$AN$9-SQRT((1-AX946)*($AN$9-$AL$9)*($AN$9-$AM$9))),$AM$9)</f>
        <v/>
      </c>
      <c r="AP946">
        <f>IFERROR(IF(AY946&lt;($AM$10-$AL$10)/($AN$10-$AL$10),$AL$10+SQRT(AY946*($AN$10-$AL$10)*($AM$10-$AL$10)),$AN$10-SQRT((1-AY946)*($AN$10-$AL$10)*($AN$10-$AM$10))),$AM$10)</f>
        <v/>
      </c>
      <c r="AQ946">
        <f>IFERROR(IF(AZ946&lt;($AM$11-$AL$11)/($AN$11-$AL$11),$AL$11+SQRT(AZ946*($AN$11-$AL$11)*($AM$11-$AL$11)),$AN$11-SQRT((1-AZ946)*($AN$11-$AL$11)*($AN$11-$AM$11))),$AM$11)</f>
        <v/>
      </c>
      <c r="AR946">
        <f>SUMPRODUCT((B24:B31&lt;=$B$6)*(C24:C31*AM946+D24:D31*AO946*$B$8*AQ946)/(1+AL946/100)^B24:B31)+C32*AM946*AP946/(1+AL946/100)^$B$6</f>
        <v/>
      </c>
      <c r="AS946">
        <f>SUMPRODUCT((K24:K26&lt;=$B$6)*(L24:L26*AN946+M24:M26*AO946*$B$8*AQ946)/(1+AL946/100)^K24:K26)+L27*AN946*AP946/(1+AL946/100)^$B$6</f>
        <v/>
      </c>
      <c r="AT946">
        <f>AS946-AR946</f>
        <v/>
      </c>
      <c r="AU946">
        <f>RAND()</f>
        <v/>
      </c>
      <c r="AV946">
        <f>RAND()</f>
        <v/>
      </c>
      <c r="AW946">
        <f>RAND()</f>
        <v/>
      </c>
      <c r="AX946">
        <f>RAND()</f>
        <v/>
      </c>
      <c r="AY946">
        <f>RAND()</f>
        <v/>
      </c>
      <c r="AZ946">
        <f>RAND()</f>
        <v/>
      </c>
    </row>
    <row r="947">
      <c r="AK947" t="n">
        <v>934</v>
      </c>
      <c r="AL947">
        <f>IFERROR(IF(AU947&lt;($AM$6-$AL$6)/($AN$6-$AL$6),$AL$6+SQRT(AU947*($AN$6-$AL$6)*($AM$6-$AL$6)),$AN$6-SQRT((1-AU947)*($AN$6-$AL$6)*($AN$6-$AM$6))),$AM$6)</f>
        <v/>
      </c>
      <c r="AM947">
        <f>IFERROR(IF(AV947&lt;($AM$7-$AL$7)/($AN$7-$AL$7),$AL$7+SQRT(AV947*($AN$7-$AL$7)*($AM$7-$AL$7)),$AN$7-SQRT((1-AV947)*($AN$7-$AL$7)*($AN$7-$AM$7))),$AM$7)</f>
        <v/>
      </c>
      <c r="AN947">
        <f>IFERROR(IF(AW947&lt;($AM$8-$AL$8)/($AN$8-$AL$8),$AL$8+SQRT(AW947*($AN$8-$AL$8)*($AM$8-$AL$8)),$AN$8-SQRT((1-AW947)*($AN$8-$AL$8)*($AN$8-$AM$8))),$AM$8)</f>
        <v/>
      </c>
      <c r="AO947">
        <f>IFERROR(IF(AX947&lt;($AM$9-$AL$9)/($AN$9-$AL$9),$AL$9+SQRT(AX947*($AN$9-$AL$9)*($AM$9-$AL$9)),$AN$9-SQRT((1-AX947)*($AN$9-$AL$9)*($AN$9-$AM$9))),$AM$9)</f>
        <v/>
      </c>
      <c r="AP947">
        <f>IFERROR(IF(AY947&lt;($AM$10-$AL$10)/($AN$10-$AL$10),$AL$10+SQRT(AY947*($AN$10-$AL$10)*($AM$10-$AL$10)),$AN$10-SQRT((1-AY947)*($AN$10-$AL$10)*($AN$10-$AM$10))),$AM$10)</f>
        <v/>
      </c>
      <c r="AQ947">
        <f>IFERROR(IF(AZ947&lt;($AM$11-$AL$11)/($AN$11-$AL$11),$AL$11+SQRT(AZ947*($AN$11-$AL$11)*($AM$11-$AL$11)),$AN$11-SQRT((1-AZ947)*($AN$11-$AL$11)*($AN$11-$AM$11))),$AM$11)</f>
        <v/>
      </c>
      <c r="AR947">
        <f>SUMPRODUCT((B24:B31&lt;=$B$6)*(C24:C31*AM947+D24:D31*AO947*$B$8*AQ947)/(1+AL947/100)^B24:B31)+C32*AM947*AP947/(1+AL947/100)^$B$6</f>
        <v/>
      </c>
      <c r="AS947">
        <f>SUMPRODUCT((K24:K26&lt;=$B$6)*(L24:L26*AN947+M24:M26*AO947*$B$8*AQ947)/(1+AL947/100)^K24:K26)+L27*AN947*AP947/(1+AL947/100)^$B$6</f>
        <v/>
      </c>
      <c r="AT947">
        <f>AS947-AR947</f>
        <v/>
      </c>
      <c r="AU947">
        <f>RAND()</f>
        <v/>
      </c>
      <c r="AV947">
        <f>RAND()</f>
        <v/>
      </c>
      <c r="AW947">
        <f>RAND()</f>
        <v/>
      </c>
      <c r="AX947">
        <f>RAND()</f>
        <v/>
      </c>
      <c r="AY947">
        <f>RAND()</f>
        <v/>
      </c>
      <c r="AZ947">
        <f>RAND()</f>
        <v/>
      </c>
    </row>
    <row r="948">
      <c r="AK948" t="n">
        <v>935</v>
      </c>
      <c r="AL948">
        <f>IFERROR(IF(AU948&lt;($AM$6-$AL$6)/($AN$6-$AL$6),$AL$6+SQRT(AU948*($AN$6-$AL$6)*($AM$6-$AL$6)),$AN$6-SQRT((1-AU948)*($AN$6-$AL$6)*($AN$6-$AM$6))),$AM$6)</f>
        <v/>
      </c>
      <c r="AM948">
        <f>IFERROR(IF(AV948&lt;($AM$7-$AL$7)/($AN$7-$AL$7),$AL$7+SQRT(AV948*($AN$7-$AL$7)*($AM$7-$AL$7)),$AN$7-SQRT((1-AV948)*($AN$7-$AL$7)*($AN$7-$AM$7))),$AM$7)</f>
        <v/>
      </c>
      <c r="AN948">
        <f>IFERROR(IF(AW948&lt;($AM$8-$AL$8)/($AN$8-$AL$8),$AL$8+SQRT(AW948*($AN$8-$AL$8)*($AM$8-$AL$8)),$AN$8-SQRT((1-AW948)*($AN$8-$AL$8)*($AN$8-$AM$8))),$AM$8)</f>
        <v/>
      </c>
      <c r="AO948">
        <f>IFERROR(IF(AX948&lt;($AM$9-$AL$9)/($AN$9-$AL$9),$AL$9+SQRT(AX948*($AN$9-$AL$9)*($AM$9-$AL$9)),$AN$9-SQRT((1-AX948)*($AN$9-$AL$9)*($AN$9-$AM$9))),$AM$9)</f>
        <v/>
      </c>
      <c r="AP948">
        <f>IFERROR(IF(AY948&lt;($AM$10-$AL$10)/($AN$10-$AL$10),$AL$10+SQRT(AY948*($AN$10-$AL$10)*($AM$10-$AL$10)),$AN$10-SQRT((1-AY948)*($AN$10-$AL$10)*($AN$10-$AM$10))),$AM$10)</f>
        <v/>
      </c>
      <c r="AQ948">
        <f>IFERROR(IF(AZ948&lt;($AM$11-$AL$11)/($AN$11-$AL$11),$AL$11+SQRT(AZ948*($AN$11-$AL$11)*($AM$11-$AL$11)),$AN$11-SQRT((1-AZ948)*($AN$11-$AL$11)*($AN$11-$AM$11))),$AM$11)</f>
        <v/>
      </c>
      <c r="AR948">
        <f>SUMPRODUCT((B24:B31&lt;=$B$6)*(C24:C31*AM948+D24:D31*AO948*$B$8*AQ948)/(1+AL948/100)^B24:B31)+C32*AM948*AP948/(1+AL948/100)^$B$6</f>
        <v/>
      </c>
      <c r="AS948">
        <f>SUMPRODUCT((K24:K26&lt;=$B$6)*(L24:L26*AN948+M24:M26*AO948*$B$8*AQ948)/(1+AL948/100)^K24:K26)+L27*AN948*AP948/(1+AL948/100)^$B$6</f>
        <v/>
      </c>
      <c r="AT948">
        <f>AS948-AR948</f>
        <v/>
      </c>
      <c r="AU948">
        <f>RAND()</f>
        <v/>
      </c>
      <c r="AV948">
        <f>RAND()</f>
        <v/>
      </c>
      <c r="AW948">
        <f>RAND()</f>
        <v/>
      </c>
      <c r="AX948">
        <f>RAND()</f>
        <v/>
      </c>
      <c r="AY948">
        <f>RAND()</f>
        <v/>
      </c>
      <c r="AZ948">
        <f>RAND()</f>
        <v/>
      </c>
    </row>
    <row r="949">
      <c r="AK949" t="n">
        <v>936</v>
      </c>
      <c r="AL949">
        <f>IFERROR(IF(AU949&lt;($AM$6-$AL$6)/($AN$6-$AL$6),$AL$6+SQRT(AU949*($AN$6-$AL$6)*($AM$6-$AL$6)),$AN$6-SQRT((1-AU949)*($AN$6-$AL$6)*($AN$6-$AM$6))),$AM$6)</f>
        <v/>
      </c>
      <c r="AM949">
        <f>IFERROR(IF(AV949&lt;($AM$7-$AL$7)/($AN$7-$AL$7),$AL$7+SQRT(AV949*($AN$7-$AL$7)*($AM$7-$AL$7)),$AN$7-SQRT((1-AV949)*($AN$7-$AL$7)*($AN$7-$AM$7))),$AM$7)</f>
        <v/>
      </c>
      <c r="AN949">
        <f>IFERROR(IF(AW949&lt;($AM$8-$AL$8)/($AN$8-$AL$8),$AL$8+SQRT(AW949*($AN$8-$AL$8)*($AM$8-$AL$8)),$AN$8-SQRT((1-AW949)*($AN$8-$AL$8)*($AN$8-$AM$8))),$AM$8)</f>
        <v/>
      </c>
      <c r="AO949">
        <f>IFERROR(IF(AX949&lt;($AM$9-$AL$9)/($AN$9-$AL$9),$AL$9+SQRT(AX949*($AN$9-$AL$9)*($AM$9-$AL$9)),$AN$9-SQRT((1-AX949)*($AN$9-$AL$9)*($AN$9-$AM$9))),$AM$9)</f>
        <v/>
      </c>
      <c r="AP949">
        <f>IFERROR(IF(AY949&lt;($AM$10-$AL$10)/($AN$10-$AL$10),$AL$10+SQRT(AY949*($AN$10-$AL$10)*($AM$10-$AL$10)),$AN$10-SQRT((1-AY949)*($AN$10-$AL$10)*($AN$10-$AM$10))),$AM$10)</f>
        <v/>
      </c>
      <c r="AQ949">
        <f>IFERROR(IF(AZ949&lt;($AM$11-$AL$11)/($AN$11-$AL$11),$AL$11+SQRT(AZ949*($AN$11-$AL$11)*($AM$11-$AL$11)),$AN$11-SQRT((1-AZ949)*($AN$11-$AL$11)*($AN$11-$AM$11))),$AM$11)</f>
        <v/>
      </c>
      <c r="AR949">
        <f>SUMPRODUCT((B24:B31&lt;=$B$6)*(C24:C31*AM949+D24:D31*AO949*$B$8*AQ949)/(1+AL949/100)^B24:B31)+C32*AM949*AP949/(1+AL949/100)^$B$6</f>
        <v/>
      </c>
      <c r="AS949">
        <f>SUMPRODUCT((K24:K26&lt;=$B$6)*(L24:L26*AN949+M24:M26*AO949*$B$8*AQ949)/(1+AL949/100)^K24:K26)+L27*AN949*AP949/(1+AL949/100)^$B$6</f>
        <v/>
      </c>
      <c r="AT949">
        <f>AS949-AR949</f>
        <v/>
      </c>
      <c r="AU949">
        <f>RAND()</f>
        <v/>
      </c>
      <c r="AV949">
        <f>RAND()</f>
        <v/>
      </c>
      <c r="AW949">
        <f>RAND()</f>
        <v/>
      </c>
      <c r="AX949">
        <f>RAND()</f>
        <v/>
      </c>
      <c r="AY949">
        <f>RAND()</f>
        <v/>
      </c>
      <c r="AZ949">
        <f>RAND()</f>
        <v/>
      </c>
    </row>
    <row r="950">
      <c r="AK950" t="n">
        <v>937</v>
      </c>
      <c r="AL950">
        <f>IFERROR(IF(AU950&lt;($AM$6-$AL$6)/($AN$6-$AL$6),$AL$6+SQRT(AU950*($AN$6-$AL$6)*($AM$6-$AL$6)),$AN$6-SQRT((1-AU950)*($AN$6-$AL$6)*($AN$6-$AM$6))),$AM$6)</f>
        <v/>
      </c>
      <c r="AM950">
        <f>IFERROR(IF(AV950&lt;($AM$7-$AL$7)/($AN$7-$AL$7),$AL$7+SQRT(AV950*($AN$7-$AL$7)*($AM$7-$AL$7)),$AN$7-SQRT((1-AV950)*($AN$7-$AL$7)*($AN$7-$AM$7))),$AM$7)</f>
        <v/>
      </c>
      <c r="AN950">
        <f>IFERROR(IF(AW950&lt;($AM$8-$AL$8)/($AN$8-$AL$8),$AL$8+SQRT(AW950*($AN$8-$AL$8)*($AM$8-$AL$8)),$AN$8-SQRT((1-AW950)*($AN$8-$AL$8)*($AN$8-$AM$8))),$AM$8)</f>
        <v/>
      </c>
      <c r="AO950">
        <f>IFERROR(IF(AX950&lt;($AM$9-$AL$9)/($AN$9-$AL$9),$AL$9+SQRT(AX950*($AN$9-$AL$9)*($AM$9-$AL$9)),$AN$9-SQRT((1-AX950)*($AN$9-$AL$9)*($AN$9-$AM$9))),$AM$9)</f>
        <v/>
      </c>
      <c r="AP950">
        <f>IFERROR(IF(AY950&lt;($AM$10-$AL$10)/($AN$10-$AL$10),$AL$10+SQRT(AY950*($AN$10-$AL$10)*($AM$10-$AL$10)),$AN$10-SQRT((1-AY950)*($AN$10-$AL$10)*($AN$10-$AM$10))),$AM$10)</f>
        <v/>
      </c>
      <c r="AQ950">
        <f>IFERROR(IF(AZ950&lt;($AM$11-$AL$11)/($AN$11-$AL$11),$AL$11+SQRT(AZ950*($AN$11-$AL$11)*($AM$11-$AL$11)),$AN$11-SQRT((1-AZ950)*($AN$11-$AL$11)*($AN$11-$AM$11))),$AM$11)</f>
        <v/>
      </c>
      <c r="AR950">
        <f>SUMPRODUCT((B24:B31&lt;=$B$6)*(C24:C31*AM950+D24:D31*AO950*$B$8*AQ950)/(1+AL950/100)^B24:B31)+C32*AM950*AP950/(1+AL950/100)^$B$6</f>
        <v/>
      </c>
      <c r="AS950">
        <f>SUMPRODUCT((K24:K26&lt;=$B$6)*(L24:L26*AN950+M24:M26*AO950*$B$8*AQ950)/(1+AL950/100)^K24:K26)+L27*AN950*AP950/(1+AL950/100)^$B$6</f>
        <v/>
      </c>
      <c r="AT950">
        <f>AS950-AR950</f>
        <v/>
      </c>
      <c r="AU950">
        <f>RAND()</f>
        <v/>
      </c>
      <c r="AV950">
        <f>RAND()</f>
        <v/>
      </c>
      <c r="AW950">
        <f>RAND()</f>
        <v/>
      </c>
      <c r="AX950">
        <f>RAND()</f>
        <v/>
      </c>
      <c r="AY950">
        <f>RAND()</f>
        <v/>
      </c>
      <c r="AZ950">
        <f>RAND()</f>
        <v/>
      </c>
    </row>
    <row r="951">
      <c r="AK951" t="n">
        <v>938</v>
      </c>
      <c r="AL951">
        <f>IFERROR(IF(AU951&lt;($AM$6-$AL$6)/($AN$6-$AL$6),$AL$6+SQRT(AU951*($AN$6-$AL$6)*($AM$6-$AL$6)),$AN$6-SQRT((1-AU951)*($AN$6-$AL$6)*($AN$6-$AM$6))),$AM$6)</f>
        <v/>
      </c>
      <c r="AM951">
        <f>IFERROR(IF(AV951&lt;($AM$7-$AL$7)/($AN$7-$AL$7),$AL$7+SQRT(AV951*($AN$7-$AL$7)*($AM$7-$AL$7)),$AN$7-SQRT((1-AV951)*($AN$7-$AL$7)*($AN$7-$AM$7))),$AM$7)</f>
        <v/>
      </c>
      <c r="AN951">
        <f>IFERROR(IF(AW951&lt;($AM$8-$AL$8)/($AN$8-$AL$8),$AL$8+SQRT(AW951*($AN$8-$AL$8)*($AM$8-$AL$8)),$AN$8-SQRT((1-AW951)*($AN$8-$AL$8)*($AN$8-$AM$8))),$AM$8)</f>
        <v/>
      </c>
      <c r="AO951">
        <f>IFERROR(IF(AX951&lt;($AM$9-$AL$9)/($AN$9-$AL$9),$AL$9+SQRT(AX951*($AN$9-$AL$9)*($AM$9-$AL$9)),$AN$9-SQRT((1-AX951)*($AN$9-$AL$9)*($AN$9-$AM$9))),$AM$9)</f>
        <v/>
      </c>
      <c r="AP951">
        <f>IFERROR(IF(AY951&lt;($AM$10-$AL$10)/($AN$10-$AL$10),$AL$10+SQRT(AY951*($AN$10-$AL$10)*($AM$10-$AL$10)),$AN$10-SQRT((1-AY951)*($AN$10-$AL$10)*($AN$10-$AM$10))),$AM$10)</f>
        <v/>
      </c>
      <c r="AQ951">
        <f>IFERROR(IF(AZ951&lt;($AM$11-$AL$11)/($AN$11-$AL$11),$AL$11+SQRT(AZ951*($AN$11-$AL$11)*($AM$11-$AL$11)),$AN$11-SQRT((1-AZ951)*($AN$11-$AL$11)*($AN$11-$AM$11))),$AM$11)</f>
        <v/>
      </c>
      <c r="AR951">
        <f>SUMPRODUCT((B24:B31&lt;=$B$6)*(C24:C31*AM951+D24:D31*AO951*$B$8*AQ951)/(1+AL951/100)^B24:B31)+C32*AM951*AP951/(1+AL951/100)^$B$6</f>
        <v/>
      </c>
      <c r="AS951">
        <f>SUMPRODUCT((K24:K26&lt;=$B$6)*(L24:L26*AN951+M24:M26*AO951*$B$8*AQ951)/(1+AL951/100)^K24:K26)+L27*AN951*AP951/(1+AL951/100)^$B$6</f>
        <v/>
      </c>
      <c r="AT951">
        <f>AS951-AR951</f>
        <v/>
      </c>
      <c r="AU951">
        <f>RAND()</f>
        <v/>
      </c>
      <c r="AV951">
        <f>RAND()</f>
        <v/>
      </c>
      <c r="AW951">
        <f>RAND()</f>
        <v/>
      </c>
      <c r="AX951">
        <f>RAND()</f>
        <v/>
      </c>
      <c r="AY951">
        <f>RAND()</f>
        <v/>
      </c>
      <c r="AZ951">
        <f>RAND()</f>
        <v/>
      </c>
    </row>
    <row r="952">
      <c r="AK952" t="n">
        <v>939</v>
      </c>
      <c r="AL952">
        <f>IFERROR(IF(AU952&lt;($AM$6-$AL$6)/($AN$6-$AL$6),$AL$6+SQRT(AU952*($AN$6-$AL$6)*($AM$6-$AL$6)),$AN$6-SQRT((1-AU952)*($AN$6-$AL$6)*($AN$6-$AM$6))),$AM$6)</f>
        <v/>
      </c>
      <c r="AM952">
        <f>IFERROR(IF(AV952&lt;($AM$7-$AL$7)/($AN$7-$AL$7),$AL$7+SQRT(AV952*($AN$7-$AL$7)*($AM$7-$AL$7)),$AN$7-SQRT((1-AV952)*($AN$7-$AL$7)*($AN$7-$AM$7))),$AM$7)</f>
        <v/>
      </c>
      <c r="AN952">
        <f>IFERROR(IF(AW952&lt;($AM$8-$AL$8)/($AN$8-$AL$8),$AL$8+SQRT(AW952*($AN$8-$AL$8)*($AM$8-$AL$8)),$AN$8-SQRT((1-AW952)*($AN$8-$AL$8)*($AN$8-$AM$8))),$AM$8)</f>
        <v/>
      </c>
      <c r="AO952">
        <f>IFERROR(IF(AX952&lt;($AM$9-$AL$9)/($AN$9-$AL$9),$AL$9+SQRT(AX952*($AN$9-$AL$9)*($AM$9-$AL$9)),$AN$9-SQRT((1-AX952)*($AN$9-$AL$9)*($AN$9-$AM$9))),$AM$9)</f>
        <v/>
      </c>
      <c r="AP952">
        <f>IFERROR(IF(AY952&lt;($AM$10-$AL$10)/($AN$10-$AL$10),$AL$10+SQRT(AY952*($AN$10-$AL$10)*($AM$10-$AL$10)),$AN$10-SQRT((1-AY952)*($AN$10-$AL$10)*($AN$10-$AM$10))),$AM$10)</f>
        <v/>
      </c>
      <c r="AQ952">
        <f>IFERROR(IF(AZ952&lt;($AM$11-$AL$11)/($AN$11-$AL$11),$AL$11+SQRT(AZ952*($AN$11-$AL$11)*($AM$11-$AL$11)),$AN$11-SQRT((1-AZ952)*($AN$11-$AL$11)*($AN$11-$AM$11))),$AM$11)</f>
        <v/>
      </c>
      <c r="AR952">
        <f>SUMPRODUCT((B24:B31&lt;=$B$6)*(C24:C31*AM952+D24:D31*AO952*$B$8*AQ952)/(1+AL952/100)^B24:B31)+C32*AM952*AP952/(1+AL952/100)^$B$6</f>
        <v/>
      </c>
      <c r="AS952">
        <f>SUMPRODUCT((K24:K26&lt;=$B$6)*(L24:L26*AN952+M24:M26*AO952*$B$8*AQ952)/(1+AL952/100)^K24:K26)+L27*AN952*AP952/(1+AL952/100)^$B$6</f>
        <v/>
      </c>
      <c r="AT952">
        <f>AS952-AR952</f>
        <v/>
      </c>
      <c r="AU952">
        <f>RAND()</f>
        <v/>
      </c>
      <c r="AV952">
        <f>RAND()</f>
        <v/>
      </c>
      <c r="AW952">
        <f>RAND()</f>
        <v/>
      </c>
      <c r="AX952">
        <f>RAND()</f>
        <v/>
      </c>
      <c r="AY952">
        <f>RAND()</f>
        <v/>
      </c>
      <c r="AZ952">
        <f>RAND()</f>
        <v/>
      </c>
    </row>
    <row r="953">
      <c r="AK953" t="n">
        <v>940</v>
      </c>
      <c r="AL953">
        <f>IFERROR(IF(AU953&lt;($AM$6-$AL$6)/($AN$6-$AL$6),$AL$6+SQRT(AU953*($AN$6-$AL$6)*($AM$6-$AL$6)),$AN$6-SQRT((1-AU953)*($AN$6-$AL$6)*($AN$6-$AM$6))),$AM$6)</f>
        <v/>
      </c>
      <c r="AM953">
        <f>IFERROR(IF(AV953&lt;($AM$7-$AL$7)/($AN$7-$AL$7),$AL$7+SQRT(AV953*($AN$7-$AL$7)*($AM$7-$AL$7)),$AN$7-SQRT((1-AV953)*($AN$7-$AL$7)*($AN$7-$AM$7))),$AM$7)</f>
        <v/>
      </c>
      <c r="AN953">
        <f>IFERROR(IF(AW953&lt;($AM$8-$AL$8)/($AN$8-$AL$8),$AL$8+SQRT(AW953*($AN$8-$AL$8)*($AM$8-$AL$8)),$AN$8-SQRT((1-AW953)*($AN$8-$AL$8)*($AN$8-$AM$8))),$AM$8)</f>
        <v/>
      </c>
      <c r="AO953">
        <f>IFERROR(IF(AX953&lt;($AM$9-$AL$9)/($AN$9-$AL$9),$AL$9+SQRT(AX953*($AN$9-$AL$9)*($AM$9-$AL$9)),$AN$9-SQRT((1-AX953)*($AN$9-$AL$9)*($AN$9-$AM$9))),$AM$9)</f>
        <v/>
      </c>
      <c r="AP953">
        <f>IFERROR(IF(AY953&lt;($AM$10-$AL$10)/($AN$10-$AL$10),$AL$10+SQRT(AY953*($AN$10-$AL$10)*($AM$10-$AL$10)),$AN$10-SQRT((1-AY953)*($AN$10-$AL$10)*($AN$10-$AM$10))),$AM$10)</f>
        <v/>
      </c>
      <c r="AQ953">
        <f>IFERROR(IF(AZ953&lt;($AM$11-$AL$11)/($AN$11-$AL$11),$AL$11+SQRT(AZ953*($AN$11-$AL$11)*($AM$11-$AL$11)),$AN$11-SQRT((1-AZ953)*($AN$11-$AL$11)*($AN$11-$AM$11))),$AM$11)</f>
        <v/>
      </c>
      <c r="AR953">
        <f>SUMPRODUCT((B24:B31&lt;=$B$6)*(C24:C31*AM953+D24:D31*AO953*$B$8*AQ953)/(1+AL953/100)^B24:B31)+C32*AM953*AP953/(1+AL953/100)^$B$6</f>
        <v/>
      </c>
      <c r="AS953">
        <f>SUMPRODUCT((K24:K26&lt;=$B$6)*(L24:L26*AN953+M24:M26*AO953*$B$8*AQ953)/(1+AL953/100)^K24:K26)+L27*AN953*AP953/(1+AL953/100)^$B$6</f>
        <v/>
      </c>
      <c r="AT953">
        <f>AS953-AR953</f>
        <v/>
      </c>
      <c r="AU953">
        <f>RAND()</f>
        <v/>
      </c>
      <c r="AV953">
        <f>RAND()</f>
        <v/>
      </c>
      <c r="AW953">
        <f>RAND()</f>
        <v/>
      </c>
      <c r="AX953">
        <f>RAND()</f>
        <v/>
      </c>
      <c r="AY953">
        <f>RAND()</f>
        <v/>
      </c>
      <c r="AZ953">
        <f>RAND()</f>
        <v/>
      </c>
    </row>
    <row r="954">
      <c r="AK954" t="n">
        <v>941</v>
      </c>
      <c r="AL954">
        <f>IFERROR(IF(AU954&lt;($AM$6-$AL$6)/($AN$6-$AL$6),$AL$6+SQRT(AU954*($AN$6-$AL$6)*($AM$6-$AL$6)),$AN$6-SQRT((1-AU954)*($AN$6-$AL$6)*($AN$6-$AM$6))),$AM$6)</f>
        <v/>
      </c>
      <c r="AM954">
        <f>IFERROR(IF(AV954&lt;($AM$7-$AL$7)/($AN$7-$AL$7),$AL$7+SQRT(AV954*($AN$7-$AL$7)*($AM$7-$AL$7)),$AN$7-SQRT((1-AV954)*($AN$7-$AL$7)*($AN$7-$AM$7))),$AM$7)</f>
        <v/>
      </c>
      <c r="AN954">
        <f>IFERROR(IF(AW954&lt;($AM$8-$AL$8)/($AN$8-$AL$8),$AL$8+SQRT(AW954*($AN$8-$AL$8)*($AM$8-$AL$8)),$AN$8-SQRT((1-AW954)*($AN$8-$AL$8)*($AN$8-$AM$8))),$AM$8)</f>
        <v/>
      </c>
      <c r="AO954">
        <f>IFERROR(IF(AX954&lt;($AM$9-$AL$9)/($AN$9-$AL$9),$AL$9+SQRT(AX954*($AN$9-$AL$9)*($AM$9-$AL$9)),$AN$9-SQRT((1-AX954)*($AN$9-$AL$9)*($AN$9-$AM$9))),$AM$9)</f>
        <v/>
      </c>
      <c r="AP954">
        <f>IFERROR(IF(AY954&lt;($AM$10-$AL$10)/($AN$10-$AL$10),$AL$10+SQRT(AY954*($AN$10-$AL$10)*($AM$10-$AL$10)),$AN$10-SQRT((1-AY954)*($AN$10-$AL$10)*($AN$10-$AM$10))),$AM$10)</f>
        <v/>
      </c>
      <c r="AQ954">
        <f>IFERROR(IF(AZ954&lt;($AM$11-$AL$11)/($AN$11-$AL$11),$AL$11+SQRT(AZ954*($AN$11-$AL$11)*($AM$11-$AL$11)),$AN$11-SQRT((1-AZ954)*($AN$11-$AL$11)*($AN$11-$AM$11))),$AM$11)</f>
        <v/>
      </c>
      <c r="AR954">
        <f>SUMPRODUCT((B24:B31&lt;=$B$6)*(C24:C31*AM954+D24:D31*AO954*$B$8*AQ954)/(1+AL954/100)^B24:B31)+C32*AM954*AP954/(1+AL954/100)^$B$6</f>
        <v/>
      </c>
      <c r="AS954">
        <f>SUMPRODUCT((K24:K26&lt;=$B$6)*(L24:L26*AN954+M24:M26*AO954*$B$8*AQ954)/(1+AL954/100)^K24:K26)+L27*AN954*AP954/(1+AL954/100)^$B$6</f>
        <v/>
      </c>
      <c r="AT954">
        <f>AS954-AR954</f>
        <v/>
      </c>
      <c r="AU954">
        <f>RAND()</f>
        <v/>
      </c>
      <c r="AV954">
        <f>RAND()</f>
        <v/>
      </c>
      <c r="AW954">
        <f>RAND()</f>
        <v/>
      </c>
      <c r="AX954">
        <f>RAND()</f>
        <v/>
      </c>
      <c r="AY954">
        <f>RAND()</f>
        <v/>
      </c>
      <c r="AZ954">
        <f>RAND()</f>
        <v/>
      </c>
    </row>
    <row r="955">
      <c r="AK955" t="n">
        <v>942</v>
      </c>
      <c r="AL955">
        <f>IFERROR(IF(AU955&lt;($AM$6-$AL$6)/($AN$6-$AL$6),$AL$6+SQRT(AU955*($AN$6-$AL$6)*($AM$6-$AL$6)),$AN$6-SQRT((1-AU955)*($AN$6-$AL$6)*($AN$6-$AM$6))),$AM$6)</f>
        <v/>
      </c>
      <c r="AM955">
        <f>IFERROR(IF(AV955&lt;($AM$7-$AL$7)/($AN$7-$AL$7),$AL$7+SQRT(AV955*($AN$7-$AL$7)*($AM$7-$AL$7)),$AN$7-SQRT((1-AV955)*($AN$7-$AL$7)*($AN$7-$AM$7))),$AM$7)</f>
        <v/>
      </c>
      <c r="AN955">
        <f>IFERROR(IF(AW955&lt;($AM$8-$AL$8)/($AN$8-$AL$8),$AL$8+SQRT(AW955*($AN$8-$AL$8)*($AM$8-$AL$8)),$AN$8-SQRT((1-AW955)*($AN$8-$AL$8)*($AN$8-$AM$8))),$AM$8)</f>
        <v/>
      </c>
      <c r="AO955">
        <f>IFERROR(IF(AX955&lt;($AM$9-$AL$9)/($AN$9-$AL$9),$AL$9+SQRT(AX955*($AN$9-$AL$9)*($AM$9-$AL$9)),$AN$9-SQRT((1-AX955)*($AN$9-$AL$9)*($AN$9-$AM$9))),$AM$9)</f>
        <v/>
      </c>
      <c r="AP955">
        <f>IFERROR(IF(AY955&lt;($AM$10-$AL$10)/($AN$10-$AL$10),$AL$10+SQRT(AY955*($AN$10-$AL$10)*($AM$10-$AL$10)),$AN$10-SQRT((1-AY955)*($AN$10-$AL$10)*($AN$10-$AM$10))),$AM$10)</f>
        <v/>
      </c>
      <c r="AQ955">
        <f>IFERROR(IF(AZ955&lt;($AM$11-$AL$11)/($AN$11-$AL$11),$AL$11+SQRT(AZ955*($AN$11-$AL$11)*($AM$11-$AL$11)),$AN$11-SQRT((1-AZ955)*($AN$11-$AL$11)*($AN$11-$AM$11))),$AM$11)</f>
        <v/>
      </c>
      <c r="AR955">
        <f>SUMPRODUCT((B24:B31&lt;=$B$6)*(C24:C31*AM955+D24:D31*AO955*$B$8*AQ955)/(1+AL955/100)^B24:B31)+C32*AM955*AP955/(1+AL955/100)^$B$6</f>
        <v/>
      </c>
      <c r="AS955">
        <f>SUMPRODUCT((K24:K26&lt;=$B$6)*(L24:L26*AN955+M24:M26*AO955*$B$8*AQ955)/(1+AL955/100)^K24:K26)+L27*AN955*AP955/(1+AL955/100)^$B$6</f>
        <v/>
      </c>
      <c r="AT955">
        <f>AS955-AR955</f>
        <v/>
      </c>
      <c r="AU955">
        <f>RAND()</f>
        <v/>
      </c>
      <c r="AV955">
        <f>RAND()</f>
        <v/>
      </c>
      <c r="AW955">
        <f>RAND()</f>
        <v/>
      </c>
      <c r="AX955">
        <f>RAND()</f>
        <v/>
      </c>
      <c r="AY955">
        <f>RAND()</f>
        <v/>
      </c>
      <c r="AZ955">
        <f>RAND()</f>
        <v/>
      </c>
    </row>
    <row r="956">
      <c r="AK956" t="n">
        <v>943</v>
      </c>
      <c r="AL956">
        <f>IFERROR(IF(AU956&lt;($AM$6-$AL$6)/($AN$6-$AL$6),$AL$6+SQRT(AU956*($AN$6-$AL$6)*($AM$6-$AL$6)),$AN$6-SQRT((1-AU956)*($AN$6-$AL$6)*($AN$6-$AM$6))),$AM$6)</f>
        <v/>
      </c>
      <c r="AM956">
        <f>IFERROR(IF(AV956&lt;($AM$7-$AL$7)/($AN$7-$AL$7),$AL$7+SQRT(AV956*($AN$7-$AL$7)*($AM$7-$AL$7)),$AN$7-SQRT((1-AV956)*($AN$7-$AL$7)*($AN$7-$AM$7))),$AM$7)</f>
        <v/>
      </c>
      <c r="AN956">
        <f>IFERROR(IF(AW956&lt;($AM$8-$AL$8)/($AN$8-$AL$8),$AL$8+SQRT(AW956*($AN$8-$AL$8)*($AM$8-$AL$8)),$AN$8-SQRT((1-AW956)*($AN$8-$AL$8)*($AN$8-$AM$8))),$AM$8)</f>
        <v/>
      </c>
      <c r="AO956">
        <f>IFERROR(IF(AX956&lt;($AM$9-$AL$9)/($AN$9-$AL$9),$AL$9+SQRT(AX956*($AN$9-$AL$9)*($AM$9-$AL$9)),$AN$9-SQRT((1-AX956)*($AN$9-$AL$9)*($AN$9-$AM$9))),$AM$9)</f>
        <v/>
      </c>
      <c r="AP956">
        <f>IFERROR(IF(AY956&lt;($AM$10-$AL$10)/($AN$10-$AL$10),$AL$10+SQRT(AY956*($AN$10-$AL$10)*($AM$10-$AL$10)),$AN$10-SQRT((1-AY956)*($AN$10-$AL$10)*($AN$10-$AM$10))),$AM$10)</f>
        <v/>
      </c>
      <c r="AQ956">
        <f>IFERROR(IF(AZ956&lt;($AM$11-$AL$11)/($AN$11-$AL$11),$AL$11+SQRT(AZ956*($AN$11-$AL$11)*($AM$11-$AL$11)),$AN$11-SQRT((1-AZ956)*($AN$11-$AL$11)*($AN$11-$AM$11))),$AM$11)</f>
        <v/>
      </c>
      <c r="AR956">
        <f>SUMPRODUCT((B24:B31&lt;=$B$6)*(C24:C31*AM956+D24:D31*AO956*$B$8*AQ956)/(1+AL956/100)^B24:B31)+C32*AM956*AP956/(1+AL956/100)^$B$6</f>
        <v/>
      </c>
      <c r="AS956">
        <f>SUMPRODUCT((K24:K26&lt;=$B$6)*(L24:L26*AN956+M24:M26*AO956*$B$8*AQ956)/(1+AL956/100)^K24:K26)+L27*AN956*AP956/(1+AL956/100)^$B$6</f>
        <v/>
      </c>
      <c r="AT956">
        <f>AS956-AR956</f>
        <v/>
      </c>
      <c r="AU956">
        <f>RAND()</f>
        <v/>
      </c>
      <c r="AV956">
        <f>RAND()</f>
        <v/>
      </c>
      <c r="AW956">
        <f>RAND()</f>
        <v/>
      </c>
      <c r="AX956">
        <f>RAND()</f>
        <v/>
      </c>
      <c r="AY956">
        <f>RAND()</f>
        <v/>
      </c>
      <c r="AZ956">
        <f>RAND()</f>
        <v/>
      </c>
    </row>
    <row r="957">
      <c r="AK957" t="n">
        <v>944</v>
      </c>
      <c r="AL957">
        <f>IFERROR(IF(AU957&lt;($AM$6-$AL$6)/($AN$6-$AL$6),$AL$6+SQRT(AU957*($AN$6-$AL$6)*($AM$6-$AL$6)),$AN$6-SQRT((1-AU957)*($AN$6-$AL$6)*($AN$6-$AM$6))),$AM$6)</f>
        <v/>
      </c>
      <c r="AM957">
        <f>IFERROR(IF(AV957&lt;($AM$7-$AL$7)/($AN$7-$AL$7),$AL$7+SQRT(AV957*($AN$7-$AL$7)*($AM$7-$AL$7)),$AN$7-SQRT((1-AV957)*($AN$7-$AL$7)*($AN$7-$AM$7))),$AM$7)</f>
        <v/>
      </c>
      <c r="AN957">
        <f>IFERROR(IF(AW957&lt;($AM$8-$AL$8)/($AN$8-$AL$8),$AL$8+SQRT(AW957*($AN$8-$AL$8)*($AM$8-$AL$8)),$AN$8-SQRT((1-AW957)*($AN$8-$AL$8)*($AN$8-$AM$8))),$AM$8)</f>
        <v/>
      </c>
      <c r="AO957">
        <f>IFERROR(IF(AX957&lt;($AM$9-$AL$9)/($AN$9-$AL$9),$AL$9+SQRT(AX957*($AN$9-$AL$9)*($AM$9-$AL$9)),$AN$9-SQRT((1-AX957)*($AN$9-$AL$9)*($AN$9-$AM$9))),$AM$9)</f>
        <v/>
      </c>
      <c r="AP957">
        <f>IFERROR(IF(AY957&lt;($AM$10-$AL$10)/($AN$10-$AL$10),$AL$10+SQRT(AY957*($AN$10-$AL$10)*($AM$10-$AL$10)),$AN$10-SQRT((1-AY957)*($AN$10-$AL$10)*($AN$10-$AM$10))),$AM$10)</f>
        <v/>
      </c>
      <c r="AQ957">
        <f>IFERROR(IF(AZ957&lt;($AM$11-$AL$11)/($AN$11-$AL$11),$AL$11+SQRT(AZ957*($AN$11-$AL$11)*($AM$11-$AL$11)),$AN$11-SQRT((1-AZ957)*($AN$11-$AL$11)*($AN$11-$AM$11))),$AM$11)</f>
        <v/>
      </c>
      <c r="AR957">
        <f>SUMPRODUCT((B24:B31&lt;=$B$6)*(C24:C31*AM957+D24:D31*AO957*$B$8*AQ957)/(1+AL957/100)^B24:B31)+C32*AM957*AP957/(1+AL957/100)^$B$6</f>
        <v/>
      </c>
      <c r="AS957">
        <f>SUMPRODUCT((K24:K26&lt;=$B$6)*(L24:L26*AN957+M24:M26*AO957*$B$8*AQ957)/(1+AL957/100)^K24:K26)+L27*AN957*AP957/(1+AL957/100)^$B$6</f>
        <v/>
      </c>
      <c r="AT957">
        <f>AS957-AR957</f>
        <v/>
      </c>
      <c r="AU957">
        <f>RAND()</f>
        <v/>
      </c>
      <c r="AV957">
        <f>RAND()</f>
        <v/>
      </c>
      <c r="AW957">
        <f>RAND()</f>
        <v/>
      </c>
      <c r="AX957">
        <f>RAND()</f>
        <v/>
      </c>
      <c r="AY957">
        <f>RAND()</f>
        <v/>
      </c>
      <c r="AZ957">
        <f>RAND()</f>
        <v/>
      </c>
    </row>
    <row r="958">
      <c r="AK958" t="n">
        <v>945</v>
      </c>
      <c r="AL958">
        <f>IFERROR(IF(AU958&lt;($AM$6-$AL$6)/($AN$6-$AL$6),$AL$6+SQRT(AU958*($AN$6-$AL$6)*($AM$6-$AL$6)),$AN$6-SQRT((1-AU958)*($AN$6-$AL$6)*($AN$6-$AM$6))),$AM$6)</f>
        <v/>
      </c>
      <c r="AM958">
        <f>IFERROR(IF(AV958&lt;($AM$7-$AL$7)/($AN$7-$AL$7),$AL$7+SQRT(AV958*($AN$7-$AL$7)*($AM$7-$AL$7)),$AN$7-SQRT((1-AV958)*($AN$7-$AL$7)*($AN$7-$AM$7))),$AM$7)</f>
        <v/>
      </c>
      <c r="AN958">
        <f>IFERROR(IF(AW958&lt;($AM$8-$AL$8)/($AN$8-$AL$8),$AL$8+SQRT(AW958*($AN$8-$AL$8)*($AM$8-$AL$8)),$AN$8-SQRT((1-AW958)*($AN$8-$AL$8)*($AN$8-$AM$8))),$AM$8)</f>
        <v/>
      </c>
      <c r="AO958">
        <f>IFERROR(IF(AX958&lt;($AM$9-$AL$9)/($AN$9-$AL$9),$AL$9+SQRT(AX958*($AN$9-$AL$9)*($AM$9-$AL$9)),$AN$9-SQRT((1-AX958)*($AN$9-$AL$9)*($AN$9-$AM$9))),$AM$9)</f>
        <v/>
      </c>
      <c r="AP958">
        <f>IFERROR(IF(AY958&lt;($AM$10-$AL$10)/($AN$10-$AL$10),$AL$10+SQRT(AY958*($AN$10-$AL$10)*($AM$10-$AL$10)),$AN$10-SQRT((1-AY958)*($AN$10-$AL$10)*($AN$10-$AM$10))),$AM$10)</f>
        <v/>
      </c>
      <c r="AQ958">
        <f>IFERROR(IF(AZ958&lt;($AM$11-$AL$11)/($AN$11-$AL$11),$AL$11+SQRT(AZ958*($AN$11-$AL$11)*($AM$11-$AL$11)),$AN$11-SQRT((1-AZ958)*($AN$11-$AL$11)*($AN$11-$AM$11))),$AM$11)</f>
        <v/>
      </c>
      <c r="AR958">
        <f>SUMPRODUCT((B24:B31&lt;=$B$6)*(C24:C31*AM958+D24:D31*AO958*$B$8*AQ958)/(1+AL958/100)^B24:B31)+C32*AM958*AP958/(1+AL958/100)^$B$6</f>
        <v/>
      </c>
      <c r="AS958">
        <f>SUMPRODUCT((K24:K26&lt;=$B$6)*(L24:L26*AN958+M24:M26*AO958*$B$8*AQ958)/(1+AL958/100)^K24:K26)+L27*AN958*AP958/(1+AL958/100)^$B$6</f>
        <v/>
      </c>
      <c r="AT958">
        <f>AS958-AR958</f>
        <v/>
      </c>
      <c r="AU958">
        <f>RAND()</f>
        <v/>
      </c>
      <c r="AV958">
        <f>RAND()</f>
        <v/>
      </c>
      <c r="AW958">
        <f>RAND()</f>
        <v/>
      </c>
      <c r="AX958">
        <f>RAND()</f>
        <v/>
      </c>
      <c r="AY958">
        <f>RAND()</f>
        <v/>
      </c>
      <c r="AZ958">
        <f>RAND()</f>
        <v/>
      </c>
    </row>
    <row r="959">
      <c r="AK959" t="n">
        <v>946</v>
      </c>
      <c r="AL959">
        <f>IFERROR(IF(AU959&lt;($AM$6-$AL$6)/($AN$6-$AL$6),$AL$6+SQRT(AU959*($AN$6-$AL$6)*($AM$6-$AL$6)),$AN$6-SQRT((1-AU959)*($AN$6-$AL$6)*($AN$6-$AM$6))),$AM$6)</f>
        <v/>
      </c>
      <c r="AM959">
        <f>IFERROR(IF(AV959&lt;($AM$7-$AL$7)/($AN$7-$AL$7),$AL$7+SQRT(AV959*($AN$7-$AL$7)*($AM$7-$AL$7)),$AN$7-SQRT((1-AV959)*($AN$7-$AL$7)*($AN$7-$AM$7))),$AM$7)</f>
        <v/>
      </c>
      <c r="AN959">
        <f>IFERROR(IF(AW959&lt;($AM$8-$AL$8)/($AN$8-$AL$8),$AL$8+SQRT(AW959*($AN$8-$AL$8)*($AM$8-$AL$8)),$AN$8-SQRT((1-AW959)*($AN$8-$AL$8)*($AN$8-$AM$8))),$AM$8)</f>
        <v/>
      </c>
      <c r="AO959">
        <f>IFERROR(IF(AX959&lt;($AM$9-$AL$9)/($AN$9-$AL$9),$AL$9+SQRT(AX959*($AN$9-$AL$9)*($AM$9-$AL$9)),$AN$9-SQRT((1-AX959)*($AN$9-$AL$9)*($AN$9-$AM$9))),$AM$9)</f>
        <v/>
      </c>
      <c r="AP959">
        <f>IFERROR(IF(AY959&lt;($AM$10-$AL$10)/($AN$10-$AL$10),$AL$10+SQRT(AY959*($AN$10-$AL$10)*($AM$10-$AL$10)),$AN$10-SQRT((1-AY959)*($AN$10-$AL$10)*($AN$10-$AM$10))),$AM$10)</f>
        <v/>
      </c>
      <c r="AQ959">
        <f>IFERROR(IF(AZ959&lt;($AM$11-$AL$11)/($AN$11-$AL$11),$AL$11+SQRT(AZ959*($AN$11-$AL$11)*($AM$11-$AL$11)),$AN$11-SQRT((1-AZ959)*($AN$11-$AL$11)*($AN$11-$AM$11))),$AM$11)</f>
        <v/>
      </c>
      <c r="AR959">
        <f>SUMPRODUCT((B24:B31&lt;=$B$6)*(C24:C31*AM959+D24:D31*AO959*$B$8*AQ959)/(1+AL959/100)^B24:B31)+C32*AM959*AP959/(1+AL959/100)^$B$6</f>
        <v/>
      </c>
      <c r="AS959">
        <f>SUMPRODUCT((K24:K26&lt;=$B$6)*(L24:L26*AN959+M24:M26*AO959*$B$8*AQ959)/(1+AL959/100)^K24:K26)+L27*AN959*AP959/(1+AL959/100)^$B$6</f>
        <v/>
      </c>
      <c r="AT959">
        <f>AS959-AR959</f>
        <v/>
      </c>
      <c r="AU959">
        <f>RAND()</f>
        <v/>
      </c>
      <c r="AV959">
        <f>RAND()</f>
        <v/>
      </c>
      <c r="AW959">
        <f>RAND()</f>
        <v/>
      </c>
      <c r="AX959">
        <f>RAND()</f>
        <v/>
      </c>
      <c r="AY959">
        <f>RAND()</f>
        <v/>
      </c>
      <c r="AZ959">
        <f>RAND()</f>
        <v/>
      </c>
    </row>
    <row r="960">
      <c r="AK960" t="n">
        <v>947</v>
      </c>
      <c r="AL960">
        <f>IFERROR(IF(AU960&lt;($AM$6-$AL$6)/($AN$6-$AL$6),$AL$6+SQRT(AU960*($AN$6-$AL$6)*($AM$6-$AL$6)),$AN$6-SQRT((1-AU960)*($AN$6-$AL$6)*($AN$6-$AM$6))),$AM$6)</f>
        <v/>
      </c>
      <c r="AM960">
        <f>IFERROR(IF(AV960&lt;($AM$7-$AL$7)/($AN$7-$AL$7),$AL$7+SQRT(AV960*($AN$7-$AL$7)*($AM$7-$AL$7)),$AN$7-SQRT((1-AV960)*($AN$7-$AL$7)*($AN$7-$AM$7))),$AM$7)</f>
        <v/>
      </c>
      <c r="AN960">
        <f>IFERROR(IF(AW960&lt;($AM$8-$AL$8)/($AN$8-$AL$8),$AL$8+SQRT(AW960*($AN$8-$AL$8)*($AM$8-$AL$8)),$AN$8-SQRT((1-AW960)*($AN$8-$AL$8)*($AN$8-$AM$8))),$AM$8)</f>
        <v/>
      </c>
      <c r="AO960">
        <f>IFERROR(IF(AX960&lt;($AM$9-$AL$9)/($AN$9-$AL$9),$AL$9+SQRT(AX960*($AN$9-$AL$9)*($AM$9-$AL$9)),$AN$9-SQRT((1-AX960)*($AN$9-$AL$9)*($AN$9-$AM$9))),$AM$9)</f>
        <v/>
      </c>
      <c r="AP960">
        <f>IFERROR(IF(AY960&lt;($AM$10-$AL$10)/($AN$10-$AL$10),$AL$10+SQRT(AY960*($AN$10-$AL$10)*($AM$10-$AL$10)),$AN$10-SQRT((1-AY960)*($AN$10-$AL$10)*($AN$10-$AM$10))),$AM$10)</f>
        <v/>
      </c>
      <c r="AQ960">
        <f>IFERROR(IF(AZ960&lt;($AM$11-$AL$11)/($AN$11-$AL$11),$AL$11+SQRT(AZ960*($AN$11-$AL$11)*($AM$11-$AL$11)),$AN$11-SQRT((1-AZ960)*($AN$11-$AL$11)*($AN$11-$AM$11))),$AM$11)</f>
        <v/>
      </c>
      <c r="AR960">
        <f>SUMPRODUCT((B24:B31&lt;=$B$6)*(C24:C31*AM960+D24:D31*AO960*$B$8*AQ960)/(1+AL960/100)^B24:B31)+C32*AM960*AP960/(1+AL960/100)^$B$6</f>
        <v/>
      </c>
      <c r="AS960">
        <f>SUMPRODUCT((K24:K26&lt;=$B$6)*(L24:L26*AN960+M24:M26*AO960*$B$8*AQ960)/(1+AL960/100)^K24:K26)+L27*AN960*AP960/(1+AL960/100)^$B$6</f>
        <v/>
      </c>
      <c r="AT960">
        <f>AS960-AR960</f>
        <v/>
      </c>
      <c r="AU960">
        <f>RAND()</f>
        <v/>
      </c>
      <c r="AV960">
        <f>RAND()</f>
        <v/>
      </c>
      <c r="AW960">
        <f>RAND()</f>
        <v/>
      </c>
      <c r="AX960">
        <f>RAND()</f>
        <v/>
      </c>
      <c r="AY960">
        <f>RAND()</f>
        <v/>
      </c>
      <c r="AZ960">
        <f>RAND()</f>
        <v/>
      </c>
    </row>
    <row r="961">
      <c r="AK961" t="n">
        <v>948</v>
      </c>
      <c r="AL961">
        <f>IFERROR(IF(AU961&lt;($AM$6-$AL$6)/($AN$6-$AL$6),$AL$6+SQRT(AU961*($AN$6-$AL$6)*($AM$6-$AL$6)),$AN$6-SQRT((1-AU961)*($AN$6-$AL$6)*($AN$6-$AM$6))),$AM$6)</f>
        <v/>
      </c>
      <c r="AM961">
        <f>IFERROR(IF(AV961&lt;($AM$7-$AL$7)/($AN$7-$AL$7),$AL$7+SQRT(AV961*($AN$7-$AL$7)*($AM$7-$AL$7)),$AN$7-SQRT((1-AV961)*($AN$7-$AL$7)*($AN$7-$AM$7))),$AM$7)</f>
        <v/>
      </c>
      <c r="AN961">
        <f>IFERROR(IF(AW961&lt;($AM$8-$AL$8)/($AN$8-$AL$8),$AL$8+SQRT(AW961*($AN$8-$AL$8)*($AM$8-$AL$8)),$AN$8-SQRT((1-AW961)*($AN$8-$AL$8)*($AN$8-$AM$8))),$AM$8)</f>
        <v/>
      </c>
      <c r="AO961">
        <f>IFERROR(IF(AX961&lt;($AM$9-$AL$9)/($AN$9-$AL$9),$AL$9+SQRT(AX961*($AN$9-$AL$9)*($AM$9-$AL$9)),$AN$9-SQRT((1-AX961)*($AN$9-$AL$9)*($AN$9-$AM$9))),$AM$9)</f>
        <v/>
      </c>
      <c r="AP961">
        <f>IFERROR(IF(AY961&lt;($AM$10-$AL$10)/($AN$10-$AL$10),$AL$10+SQRT(AY961*($AN$10-$AL$10)*($AM$10-$AL$10)),$AN$10-SQRT((1-AY961)*($AN$10-$AL$10)*($AN$10-$AM$10))),$AM$10)</f>
        <v/>
      </c>
      <c r="AQ961">
        <f>IFERROR(IF(AZ961&lt;($AM$11-$AL$11)/($AN$11-$AL$11),$AL$11+SQRT(AZ961*($AN$11-$AL$11)*($AM$11-$AL$11)),$AN$11-SQRT((1-AZ961)*($AN$11-$AL$11)*($AN$11-$AM$11))),$AM$11)</f>
        <v/>
      </c>
      <c r="AR961">
        <f>SUMPRODUCT((B24:B31&lt;=$B$6)*(C24:C31*AM961+D24:D31*AO961*$B$8*AQ961)/(1+AL961/100)^B24:B31)+C32*AM961*AP961/(1+AL961/100)^$B$6</f>
        <v/>
      </c>
      <c r="AS961">
        <f>SUMPRODUCT((K24:K26&lt;=$B$6)*(L24:L26*AN961+M24:M26*AO961*$B$8*AQ961)/(1+AL961/100)^K24:K26)+L27*AN961*AP961/(1+AL961/100)^$B$6</f>
        <v/>
      </c>
      <c r="AT961">
        <f>AS961-AR961</f>
        <v/>
      </c>
      <c r="AU961">
        <f>RAND()</f>
        <v/>
      </c>
      <c r="AV961">
        <f>RAND()</f>
        <v/>
      </c>
      <c r="AW961">
        <f>RAND()</f>
        <v/>
      </c>
      <c r="AX961">
        <f>RAND()</f>
        <v/>
      </c>
      <c r="AY961">
        <f>RAND()</f>
        <v/>
      </c>
      <c r="AZ961">
        <f>RAND()</f>
        <v/>
      </c>
    </row>
    <row r="962">
      <c r="AK962" t="n">
        <v>949</v>
      </c>
      <c r="AL962">
        <f>IFERROR(IF(AU962&lt;($AM$6-$AL$6)/($AN$6-$AL$6),$AL$6+SQRT(AU962*($AN$6-$AL$6)*($AM$6-$AL$6)),$AN$6-SQRT((1-AU962)*($AN$6-$AL$6)*($AN$6-$AM$6))),$AM$6)</f>
        <v/>
      </c>
      <c r="AM962">
        <f>IFERROR(IF(AV962&lt;($AM$7-$AL$7)/($AN$7-$AL$7),$AL$7+SQRT(AV962*($AN$7-$AL$7)*($AM$7-$AL$7)),$AN$7-SQRT((1-AV962)*($AN$7-$AL$7)*($AN$7-$AM$7))),$AM$7)</f>
        <v/>
      </c>
      <c r="AN962">
        <f>IFERROR(IF(AW962&lt;($AM$8-$AL$8)/($AN$8-$AL$8),$AL$8+SQRT(AW962*($AN$8-$AL$8)*($AM$8-$AL$8)),$AN$8-SQRT((1-AW962)*($AN$8-$AL$8)*($AN$8-$AM$8))),$AM$8)</f>
        <v/>
      </c>
      <c r="AO962">
        <f>IFERROR(IF(AX962&lt;($AM$9-$AL$9)/($AN$9-$AL$9),$AL$9+SQRT(AX962*($AN$9-$AL$9)*($AM$9-$AL$9)),$AN$9-SQRT((1-AX962)*($AN$9-$AL$9)*($AN$9-$AM$9))),$AM$9)</f>
        <v/>
      </c>
      <c r="AP962">
        <f>IFERROR(IF(AY962&lt;($AM$10-$AL$10)/($AN$10-$AL$10),$AL$10+SQRT(AY962*($AN$10-$AL$10)*($AM$10-$AL$10)),$AN$10-SQRT((1-AY962)*($AN$10-$AL$10)*($AN$10-$AM$10))),$AM$10)</f>
        <v/>
      </c>
      <c r="AQ962">
        <f>IFERROR(IF(AZ962&lt;($AM$11-$AL$11)/($AN$11-$AL$11),$AL$11+SQRT(AZ962*($AN$11-$AL$11)*($AM$11-$AL$11)),$AN$11-SQRT((1-AZ962)*($AN$11-$AL$11)*($AN$11-$AM$11))),$AM$11)</f>
        <v/>
      </c>
      <c r="AR962">
        <f>SUMPRODUCT((B24:B31&lt;=$B$6)*(C24:C31*AM962+D24:D31*AO962*$B$8*AQ962)/(1+AL962/100)^B24:B31)+C32*AM962*AP962/(1+AL962/100)^$B$6</f>
        <v/>
      </c>
      <c r="AS962">
        <f>SUMPRODUCT((K24:K26&lt;=$B$6)*(L24:L26*AN962+M24:M26*AO962*$B$8*AQ962)/(1+AL962/100)^K24:K26)+L27*AN962*AP962/(1+AL962/100)^$B$6</f>
        <v/>
      </c>
      <c r="AT962">
        <f>AS962-AR962</f>
        <v/>
      </c>
      <c r="AU962">
        <f>RAND()</f>
        <v/>
      </c>
      <c r="AV962">
        <f>RAND()</f>
        <v/>
      </c>
      <c r="AW962">
        <f>RAND()</f>
        <v/>
      </c>
      <c r="AX962">
        <f>RAND()</f>
        <v/>
      </c>
      <c r="AY962">
        <f>RAND()</f>
        <v/>
      </c>
      <c r="AZ962">
        <f>RAND()</f>
        <v/>
      </c>
    </row>
    <row r="963">
      <c r="AK963" t="n">
        <v>950</v>
      </c>
      <c r="AL963">
        <f>IFERROR(IF(AU963&lt;($AM$6-$AL$6)/($AN$6-$AL$6),$AL$6+SQRT(AU963*($AN$6-$AL$6)*($AM$6-$AL$6)),$AN$6-SQRT((1-AU963)*($AN$6-$AL$6)*($AN$6-$AM$6))),$AM$6)</f>
        <v/>
      </c>
      <c r="AM963">
        <f>IFERROR(IF(AV963&lt;($AM$7-$AL$7)/($AN$7-$AL$7),$AL$7+SQRT(AV963*($AN$7-$AL$7)*($AM$7-$AL$7)),$AN$7-SQRT((1-AV963)*($AN$7-$AL$7)*($AN$7-$AM$7))),$AM$7)</f>
        <v/>
      </c>
      <c r="AN963">
        <f>IFERROR(IF(AW963&lt;($AM$8-$AL$8)/($AN$8-$AL$8),$AL$8+SQRT(AW963*($AN$8-$AL$8)*($AM$8-$AL$8)),$AN$8-SQRT((1-AW963)*($AN$8-$AL$8)*($AN$8-$AM$8))),$AM$8)</f>
        <v/>
      </c>
      <c r="AO963">
        <f>IFERROR(IF(AX963&lt;($AM$9-$AL$9)/($AN$9-$AL$9),$AL$9+SQRT(AX963*($AN$9-$AL$9)*($AM$9-$AL$9)),$AN$9-SQRT((1-AX963)*($AN$9-$AL$9)*($AN$9-$AM$9))),$AM$9)</f>
        <v/>
      </c>
      <c r="AP963">
        <f>IFERROR(IF(AY963&lt;($AM$10-$AL$10)/($AN$10-$AL$10),$AL$10+SQRT(AY963*($AN$10-$AL$10)*($AM$10-$AL$10)),$AN$10-SQRT((1-AY963)*($AN$10-$AL$10)*($AN$10-$AM$10))),$AM$10)</f>
        <v/>
      </c>
      <c r="AQ963">
        <f>IFERROR(IF(AZ963&lt;($AM$11-$AL$11)/($AN$11-$AL$11),$AL$11+SQRT(AZ963*($AN$11-$AL$11)*($AM$11-$AL$11)),$AN$11-SQRT((1-AZ963)*($AN$11-$AL$11)*($AN$11-$AM$11))),$AM$11)</f>
        <v/>
      </c>
      <c r="AR963">
        <f>SUMPRODUCT((B24:B31&lt;=$B$6)*(C24:C31*AM963+D24:D31*AO963*$B$8*AQ963)/(1+AL963/100)^B24:B31)+C32*AM963*AP963/(1+AL963/100)^$B$6</f>
        <v/>
      </c>
      <c r="AS963">
        <f>SUMPRODUCT((K24:K26&lt;=$B$6)*(L24:L26*AN963+M24:M26*AO963*$B$8*AQ963)/(1+AL963/100)^K24:K26)+L27*AN963*AP963/(1+AL963/100)^$B$6</f>
        <v/>
      </c>
      <c r="AT963">
        <f>AS963-AR963</f>
        <v/>
      </c>
      <c r="AU963">
        <f>RAND()</f>
        <v/>
      </c>
      <c r="AV963">
        <f>RAND()</f>
        <v/>
      </c>
      <c r="AW963">
        <f>RAND()</f>
        <v/>
      </c>
      <c r="AX963">
        <f>RAND()</f>
        <v/>
      </c>
      <c r="AY963">
        <f>RAND()</f>
        <v/>
      </c>
      <c r="AZ963">
        <f>RAND()</f>
        <v/>
      </c>
    </row>
    <row r="964">
      <c r="AK964" t="n">
        <v>951</v>
      </c>
      <c r="AL964">
        <f>IFERROR(IF(AU964&lt;($AM$6-$AL$6)/($AN$6-$AL$6),$AL$6+SQRT(AU964*($AN$6-$AL$6)*($AM$6-$AL$6)),$AN$6-SQRT((1-AU964)*($AN$6-$AL$6)*($AN$6-$AM$6))),$AM$6)</f>
        <v/>
      </c>
      <c r="AM964">
        <f>IFERROR(IF(AV964&lt;($AM$7-$AL$7)/($AN$7-$AL$7),$AL$7+SQRT(AV964*($AN$7-$AL$7)*($AM$7-$AL$7)),$AN$7-SQRT((1-AV964)*($AN$7-$AL$7)*($AN$7-$AM$7))),$AM$7)</f>
        <v/>
      </c>
      <c r="AN964">
        <f>IFERROR(IF(AW964&lt;($AM$8-$AL$8)/($AN$8-$AL$8),$AL$8+SQRT(AW964*($AN$8-$AL$8)*($AM$8-$AL$8)),$AN$8-SQRT((1-AW964)*($AN$8-$AL$8)*($AN$8-$AM$8))),$AM$8)</f>
        <v/>
      </c>
      <c r="AO964">
        <f>IFERROR(IF(AX964&lt;($AM$9-$AL$9)/($AN$9-$AL$9),$AL$9+SQRT(AX964*($AN$9-$AL$9)*($AM$9-$AL$9)),$AN$9-SQRT((1-AX964)*($AN$9-$AL$9)*($AN$9-$AM$9))),$AM$9)</f>
        <v/>
      </c>
      <c r="AP964">
        <f>IFERROR(IF(AY964&lt;($AM$10-$AL$10)/($AN$10-$AL$10),$AL$10+SQRT(AY964*($AN$10-$AL$10)*($AM$10-$AL$10)),$AN$10-SQRT((1-AY964)*($AN$10-$AL$10)*($AN$10-$AM$10))),$AM$10)</f>
        <v/>
      </c>
      <c r="AQ964">
        <f>IFERROR(IF(AZ964&lt;($AM$11-$AL$11)/($AN$11-$AL$11),$AL$11+SQRT(AZ964*($AN$11-$AL$11)*($AM$11-$AL$11)),$AN$11-SQRT((1-AZ964)*($AN$11-$AL$11)*($AN$11-$AM$11))),$AM$11)</f>
        <v/>
      </c>
      <c r="AR964">
        <f>SUMPRODUCT((B24:B31&lt;=$B$6)*(C24:C31*AM964+D24:D31*AO964*$B$8*AQ964)/(1+AL964/100)^B24:B31)+C32*AM964*AP964/(1+AL964/100)^$B$6</f>
        <v/>
      </c>
      <c r="AS964">
        <f>SUMPRODUCT((K24:K26&lt;=$B$6)*(L24:L26*AN964+M24:M26*AO964*$B$8*AQ964)/(1+AL964/100)^K24:K26)+L27*AN964*AP964/(1+AL964/100)^$B$6</f>
        <v/>
      </c>
      <c r="AT964">
        <f>AS964-AR964</f>
        <v/>
      </c>
      <c r="AU964">
        <f>RAND()</f>
        <v/>
      </c>
      <c r="AV964">
        <f>RAND()</f>
        <v/>
      </c>
      <c r="AW964">
        <f>RAND()</f>
        <v/>
      </c>
      <c r="AX964">
        <f>RAND()</f>
        <v/>
      </c>
      <c r="AY964">
        <f>RAND()</f>
        <v/>
      </c>
      <c r="AZ964">
        <f>RAND()</f>
        <v/>
      </c>
    </row>
    <row r="965">
      <c r="AK965" t="n">
        <v>952</v>
      </c>
      <c r="AL965">
        <f>IFERROR(IF(AU965&lt;($AM$6-$AL$6)/($AN$6-$AL$6),$AL$6+SQRT(AU965*($AN$6-$AL$6)*($AM$6-$AL$6)),$AN$6-SQRT((1-AU965)*($AN$6-$AL$6)*($AN$6-$AM$6))),$AM$6)</f>
        <v/>
      </c>
      <c r="AM965">
        <f>IFERROR(IF(AV965&lt;($AM$7-$AL$7)/($AN$7-$AL$7),$AL$7+SQRT(AV965*($AN$7-$AL$7)*($AM$7-$AL$7)),$AN$7-SQRT((1-AV965)*($AN$7-$AL$7)*($AN$7-$AM$7))),$AM$7)</f>
        <v/>
      </c>
      <c r="AN965">
        <f>IFERROR(IF(AW965&lt;($AM$8-$AL$8)/($AN$8-$AL$8),$AL$8+SQRT(AW965*($AN$8-$AL$8)*($AM$8-$AL$8)),$AN$8-SQRT((1-AW965)*($AN$8-$AL$8)*($AN$8-$AM$8))),$AM$8)</f>
        <v/>
      </c>
      <c r="AO965">
        <f>IFERROR(IF(AX965&lt;($AM$9-$AL$9)/($AN$9-$AL$9),$AL$9+SQRT(AX965*($AN$9-$AL$9)*($AM$9-$AL$9)),$AN$9-SQRT((1-AX965)*($AN$9-$AL$9)*($AN$9-$AM$9))),$AM$9)</f>
        <v/>
      </c>
      <c r="AP965">
        <f>IFERROR(IF(AY965&lt;($AM$10-$AL$10)/($AN$10-$AL$10),$AL$10+SQRT(AY965*($AN$10-$AL$10)*($AM$10-$AL$10)),$AN$10-SQRT((1-AY965)*($AN$10-$AL$10)*($AN$10-$AM$10))),$AM$10)</f>
        <v/>
      </c>
      <c r="AQ965">
        <f>IFERROR(IF(AZ965&lt;($AM$11-$AL$11)/($AN$11-$AL$11),$AL$11+SQRT(AZ965*($AN$11-$AL$11)*($AM$11-$AL$11)),$AN$11-SQRT((1-AZ965)*($AN$11-$AL$11)*($AN$11-$AM$11))),$AM$11)</f>
        <v/>
      </c>
      <c r="AR965">
        <f>SUMPRODUCT((B24:B31&lt;=$B$6)*(C24:C31*AM965+D24:D31*AO965*$B$8*AQ965)/(1+AL965/100)^B24:B31)+C32*AM965*AP965/(1+AL965/100)^$B$6</f>
        <v/>
      </c>
      <c r="AS965">
        <f>SUMPRODUCT((K24:K26&lt;=$B$6)*(L24:L26*AN965+M24:M26*AO965*$B$8*AQ965)/(1+AL965/100)^K24:K26)+L27*AN965*AP965/(1+AL965/100)^$B$6</f>
        <v/>
      </c>
      <c r="AT965">
        <f>AS965-AR965</f>
        <v/>
      </c>
      <c r="AU965">
        <f>RAND()</f>
        <v/>
      </c>
      <c r="AV965">
        <f>RAND()</f>
        <v/>
      </c>
      <c r="AW965">
        <f>RAND()</f>
        <v/>
      </c>
      <c r="AX965">
        <f>RAND()</f>
        <v/>
      </c>
      <c r="AY965">
        <f>RAND()</f>
        <v/>
      </c>
      <c r="AZ965">
        <f>RAND()</f>
        <v/>
      </c>
    </row>
    <row r="966">
      <c r="AK966" t="n">
        <v>953</v>
      </c>
      <c r="AL966">
        <f>IFERROR(IF(AU966&lt;($AM$6-$AL$6)/($AN$6-$AL$6),$AL$6+SQRT(AU966*($AN$6-$AL$6)*($AM$6-$AL$6)),$AN$6-SQRT((1-AU966)*($AN$6-$AL$6)*($AN$6-$AM$6))),$AM$6)</f>
        <v/>
      </c>
      <c r="AM966">
        <f>IFERROR(IF(AV966&lt;($AM$7-$AL$7)/($AN$7-$AL$7),$AL$7+SQRT(AV966*($AN$7-$AL$7)*($AM$7-$AL$7)),$AN$7-SQRT((1-AV966)*($AN$7-$AL$7)*($AN$7-$AM$7))),$AM$7)</f>
        <v/>
      </c>
      <c r="AN966">
        <f>IFERROR(IF(AW966&lt;($AM$8-$AL$8)/($AN$8-$AL$8),$AL$8+SQRT(AW966*($AN$8-$AL$8)*($AM$8-$AL$8)),$AN$8-SQRT((1-AW966)*($AN$8-$AL$8)*($AN$8-$AM$8))),$AM$8)</f>
        <v/>
      </c>
      <c r="AO966">
        <f>IFERROR(IF(AX966&lt;($AM$9-$AL$9)/($AN$9-$AL$9),$AL$9+SQRT(AX966*($AN$9-$AL$9)*($AM$9-$AL$9)),$AN$9-SQRT((1-AX966)*($AN$9-$AL$9)*($AN$9-$AM$9))),$AM$9)</f>
        <v/>
      </c>
      <c r="AP966">
        <f>IFERROR(IF(AY966&lt;($AM$10-$AL$10)/($AN$10-$AL$10),$AL$10+SQRT(AY966*($AN$10-$AL$10)*($AM$10-$AL$10)),$AN$10-SQRT((1-AY966)*($AN$10-$AL$10)*($AN$10-$AM$10))),$AM$10)</f>
        <v/>
      </c>
      <c r="AQ966">
        <f>IFERROR(IF(AZ966&lt;($AM$11-$AL$11)/($AN$11-$AL$11),$AL$11+SQRT(AZ966*($AN$11-$AL$11)*($AM$11-$AL$11)),$AN$11-SQRT((1-AZ966)*($AN$11-$AL$11)*($AN$11-$AM$11))),$AM$11)</f>
        <v/>
      </c>
      <c r="AR966">
        <f>SUMPRODUCT((B24:B31&lt;=$B$6)*(C24:C31*AM966+D24:D31*AO966*$B$8*AQ966)/(1+AL966/100)^B24:B31)+C32*AM966*AP966/(1+AL966/100)^$B$6</f>
        <v/>
      </c>
      <c r="AS966">
        <f>SUMPRODUCT((K24:K26&lt;=$B$6)*(L24:L26*AN966+M24:M26*AO966*$B$8*AQ966)/(1+AL966/100)^K24:K26)+L27*AN966*AP966/(1+AL966/100)^$B$6</f>
        <v/>
      </c>
      <c r="AT966">
        <f>AS966-AR966</f>
        <v/>
      </c>
      <c r="AU966">
        <f>RAND()</f>
        <v/>
      </c>
      <c r="AV966">
        <f>RAND()</f>
        <v/>
      </c>
      <c r="AW966">
        <f>RAND()</f>
        <v/>
      </c>
      <c r="AX966">
        <f>RAND()</f>
        <v/>
      </c>
      <c r="AY966">
        <f>RAND()</f>
        <v/>
      </c>
      <c r="AZ966">
        <f>RAND()</f>
        <v/>
      </c>
    </row>
    <row r="967">
      <c r="AK967" t="n">
        <v>954</v>
      </c>
      <c r="AL967">
        <f>IFERROR(IF(AU967&lt;($AM$6-$AL$6)/($AN$6-$AL$6),$AL$6+SQRT(AU967*($AN$6-$AL$6)*($AM$6-$AL$6)),$AN$6-SQRT((1-AU967)*($AN$6-$AL$6)*($AN$6-$AM$6))),$AM$6)</f>
        <v/>
      </c>
      <c r="AM967">
        <f>IFERROR(IF(AV967&lt;($AM$7-$AL$7)/($AN$7-$AL$7),$AL$7+SQRT(AV967*($AN$7-$AL$7)*($AM$7-$AL$7)),$AN$7-SQRT((1-AV967)*($AN$7-$AL$7)*($AN$7-$AM$7))),$AM$7)</f>
        <v/>
      </c>
      <c r="AN967">
        <f>IFERROR(IF(AW967&lt;($AM$8-$AL$8)/($AN$8-$AL$8),$AL$8+SQRT(AW967*($AN$8-$AL$8)*($AM$8-$AL$8)),$AN$8-SQRT((1-AW967)*($AN$8-$AL$8)*($AN$8-$AM$8))),$AM$8)</f>
        <v/>
      </c>
      <c r="AO967">
        <f>IFERROR(IF(AX967&lt;($AM$9-$AL$9)/($AN$9-$AL$9),$AL$9+SQRT(AX967*($AN$9-$AL$9)*($AM$9-$AL$9)),$AN$9-SQRT((1-AX967)*($AN$9-$AL$9)*($AN$9-$AM$9))),$AM$9)</f>
        <v/>
      </c>
      <c r="AP967">
        <f>IFERROR(IF(AY967&lt;($AM$10-$AL$10)/($AN$10-$AL$10),$AL$10+SQRT(AY967*($AN$10-$AL$10)*($AM$10-$AL$10)),$AN$10-SQRT((1-AY967)*($AN$10-$AL$10)*($AN$10-$AM$10))),$AM$10)</f>
        <v/>
      </c>
      <c r="AQ967">
        <f>IFERROR(IF(AZ967&lt;($AM$11-$AL$11)/($AN$11-$AL$11),$AL$11+SQRT(AZ967*($AN$11-$AL$11)*($AM$11-$AL$11)),$AN$11-SQRT((1-AZ967)*($AN$11-$AL$11)*($AN$11-$AM$11))),$AM$11)</f>
        <v/>
      </c>
      <c r="AR967">
        <f>SUMPRODUCT((B24:B31&lt;=$B$6)*(C24:C31*AM967+D24:D31*AO967*$B$8*AQ967)/(1+AL967/100)^B24:B31)+C32*AM967*AP967/(1+AL967/100)^$B$6</f>
        <v/>
      </c>
      <c r="AS967">
        <f>SUMPRODUCT((K24:K26&lt;=$B$6)*(L24:L26*AN967+M24:M26*AO967*$B$8*AQ967)/(1+AL967/100)^K24:K26)+L27*AN967*AP967/(1+AL967/100)^$B$6</f>
        <v/>
      </c>
      <c r="AT967">
        <f>AS967-AR967</f>
        <v/>
      </c>
      <c r="AU967">
        <f>RAND()</f>
        <v/>
      </c>
      <c r="AV967">
        <f>RAND()</f>
        <v/>
      </c>
      <c r="AW967">
        <f>RAND()</f>
        <v/>
      </c>
      <c r="AX967">
        <f>RAND()</f>
        <v/>
      </c>
      <c r="AY967">
        <f>RAND()</f>
        <v/>
      </c>
      <c r="AZ967">
        <f>RAND()</f>
        <v/>
      </c>
    </row>
    <row r="968">
      <c r="AK968" t="n">
        <v>955</v>
      </c>
      <c r="AL968">
        <f>IFERROR(IF(AU968&lt;($AM$6-$AL$6)/($AN$6-$AL$6),$AL$6+SQRT(AU968*($AN$6-$AL$6)*($AM$6-$AL$6)),$AN$6-SQRT((1-AU968)*($AN$6-$AL$6)*($AN$6-$AM$6))),$AM$6)</f>
        <v/>
      </c>
      <c r="AM968">
        <f>IFERROR(IF(AV968&lt;($AM$7-$AL$7)/($AN$7-$AL$7),$AL$7+SQRT(AV968*($AN$7-$AL$7)*($AM$7-$AL$7)),$AN$7-SQRT((1-AV968)*($AN$7-$AL$7)*($AN$7-$AM$7))),$AM$7)</f>
        <v/>
      </c>
      <c r="AN968">
        <f>IFERROR(IF(AW968&lt;($AM$8-$AL$8)/($AN$8-$AL$8),$AL$8+SQRT(AW968*($AN$8-$AL$8)*($AM$8-$AL$8)),$AN$8-SQRT((1-AW968)*($AN$8-$AL$8)*($AN$8-$AM$8))),$AM$8)</f>
        <v/>
      </c>
      <c r="AO968">
        <f>IFERROR(IF(AX968&lt;($AM$9-$AL$9)/($AN$9-$AL$9),$AL$9+SQRT(AX968*($AN$9-$AL$9)*($AM$9-$AL$9)),$AN$9-SQRT((1-AX968)*($AN$9-$AL$9)*($AN$9-$AM$9))),$AM$9)</f>
        <v/>
      </c>
      <c r="AP968">
        <f>IFERROR(IF(AY968&lt;($AM$10-$AL$10)/($AN$10-$AL$10),$AL$10+SQRT(AY968*($AN$10-$AL$10)*($AM$10-$AL$10)),$AN$10-SQRT((1-AY968)*($AN$10-$AL$10)*($AN$10-$AM$10))),$AM$10)</f>
        <v/>
      </c>
      <c r="AQ968">
        <f>IFERROR(IF(AZ968&lt;($AM$11-$AL$11)/($AN$11-$AL$11),$AL$11+SQRT(AZ968*($AN$11-$AL$11)*($AM$11-$AL$11)),$AN$11-SQRT((1-AZ968)*($AN$11-$AL$11)*($AN$11-$AM$11))),$AM$11)</f>
        <v/>
      </c>
      <c r="AR968">
        <f>SUMPRODUCT((B24:B31&lt;=$B$6)*(C24:C31*AM968+D24:D31*AO968*$B$8*AQ968)/(1+AL968/100)^B24:B31)+C32*AM968*AP968/(1+AL968/100)^$B$6</f>
        <v/>
      </c>
      <c r="AS968">
        <f>SUMPRODUCT((K24:K26&lt;=$B$6)*(L24:L26*AN968+M24:M26*AO968*$B$8*AQ968)/(1+AL968/100)^K24:K26)+L27*AN968*AP968/(1+AL968/100)^$B$6</f>
        <v/>
      </c>
      <c r="AT968">
        <f>AS968-AR968</f>
        <v/>
      </c>
      <c r="AU968">
        <f>RAND()</f>
        <v/>
      </c>
      <c r="AV968">
        <f>RAND()</f>
        <v/>
      </c>
      <c r="AW968">
        <f>RAND()</f>
        <v/>
      </c>
      <c r="AX968">
        <f>RAND()</f>
        <v/>
      </c>
      <c r="AY968">
        <f>RAND()</f>
        <v/>
      </c>
      <c r="AZ968">
        <f>RAND()</f>
        <v/>
      </c>
    </row>
    <row r="969">
      <c r="AK969" t="n">
        <v>956</v>
      </c>
      <c r="AL969">
        <f>IFERROR(IF(AU969&lt;($AM$6-$AL$6)/($AN$6-$AL$6),$AL$6+SQRT(AU969*($AN$6-$AL$6)*($AM$6-$AL$6)),$AN$6-SQRT((1-AU969)*($AN$6-$AL$6)*($AN$6-$AM$6))),$AM$6)</f>
        <v/>
      </c>
      <c r="AM969">
        <f>IFERROR(IF(AV969&lt;($AM$7-$AL$7)/($AN$7-$AL$7),$AL$7+SQRT(AV969*($AN$7-$AL$7)*($AM$7-$AL$7)),$AN$7-SQRT((1-AV969)*($AN$7-$AL$7)*($AN$7-$AM$7))),$AM$7)</f>
        <v/>
      </c>
      <c r="AN969">
        <f>IFERROR(IF(AW969&lt;($AM$8-$AL$8)/($AN$8-$AL$8),$AL$8+SQRT(AW969*($AN$8-$AL$8)*($AM$8-$AL$8)),$AN$8-SQRT((1-AW969)*($AN$8-$AL$8)*($AN$8-$AM$8))),$AM$8)</f>
        <v/>
      </c>
      <c r="AO969">
        <f>IFERROR(IF(AX969&lt;($AM$9-$AL$9)/($AN$9-$AL$9),$AL$9+SQRT(AX969*($AN$9-$AL$9)*($AM$9-$AL$9)),$AN$9-SQRT((1-AX969)*($AN$9-$AL$9)*($AN$9-$AM$9))),$AM$9)</f>
        <v/>
      </c>
      <c r="AP969">
        <f>IFERROR(IF(AY969&lt;($AM$10-$AL$10)/($AN$10-$AL$10),$AL$10+SQRT(AY969*($AN$10-$AL$10)*($AM$10-$AL$10)),$AN$10-SQRT((1-AY969)*($AN$10-$AL$10)*($AN$10-$AM$10))),$AM$10)</f>
        <v/>
      </c>
      <c r="AQ969">
        <f>IFERROR(IF(AZ969&lt;($AM$11-$AL$11)/($AN$11-$AL$11),$AL$11+SQRT(AZ969*($AN$11-$AL$11)*($AM$11-$AL$11)),$AN$11-SQRT((1-AZ969)*($AN$11-$AL$11)*($AN$11-$AM$11))),$AM$11)</f>
        <v/>
      </c>
      <c r="AR969">
        <f>SUMPRODUCT((B24:B31&lt;=$B$6)*(C24:C31*AM969+D24:D31*AO969*$B$8*AQ969)/(1+AL969/100)^B24:B31)+C32*AM969*AP969/(1+AL969/100)^$B$6</f>
        <v/>
      </c>
      <c r="AS969">
        <f>SUMPRODUCT((K24:K26&lt;=$B$6)*(L24:L26*AN969+M24:M26*AO969*$B$8*AQ969)/(1+AL969/100)^K24:K26)+L27*AN969*AP969/(1+AL969/100)^$B$6</f>
        <v/>
      </c>
      <c r="AT969">
        <f>AS969-AR969</f>
        <v/>
      </c>
      <c r="AU969">
        <f>RAND()</f>
        <v/>
      </c>
      <c r="AV969">
        <f>RAND()</f>
        <v/>
      </c>
      <c r="AW969">
        <f>RAND()</f>
        <v/>
      </c>
      <c r="AX969">
        <f>RAND()</f>
        <v/>
      </c>
      <c r="AY969">
        <f>RAND()</f>
        <v/>
      </c>
      <c r="AZ969">
        <f>RAND()</f>
        <v/>
      </c>
    </row>
    <row r="970">
      <c r="AK970" t="n">
        <v>957</v>
      </c>
      <c r="AL970">
        <f>IFERROR(IF(AU970&lt;($AM$6-$AL$6)/($AN$6-$AL$6),$AL$6+SQRT(AU970*($AN$6-$AL$6)*($AM$6-$AL$6)),$AN$6-SQRT((1-AU970)*($AN$6-$AL$6)*($AN$6-$AM$6))),$AM$6)</f>
        <v/>
      </c>
      <c r="AM970">
        <f>IFERROR(IF(AV970&lt;($AM$7-$AL$7)/($AN$7-$AL$7),$AL$7+SQRT(AV970*($AN$7-$AL$7)*($AM$7-$AL$7)),$AN$7-SQRT((1-AV970)*($AN$7-$AL$7)*($AN$7-$AM$7))),$AM$7)</f>
        <v/>
      </c>
      <c r="AN970">
        <f>IFERROR(IF(AW970&lt;($AM$8-$AL$8)/($AN$8-$AL$8),$AL$8+SQRT(AW970*($AN$8-$AL$8)*($AM$8-$AL$8)),$AN$8-SQRT((1-AW970)*($AN$8-$AL$8)*($AN$8-$AM$8))),$AM$8)</f>
        <v/>
      </c>
      <c r="AO970">
        <f>IFERROR(IF(AX970&lt;($AM$9-$AL$9)/($AN$9-$AL$9),$AL$9+SQRT(AX970*($AN$9-$AL$9)*($AM$9-$AL$9)),$AN$9-SQRT((1-AX970)*($AN$9-$AL$9)*($AN$9-$AM$9))),$AM$9)</f>
        <v/>
      </c>
      <c r="AP970">
        <f>IFERROR(IF(AY970&lt;($AM$10-$AL$10)/($AN$10-$AL$10),$AL$10+SQRT(AY970*($AN$10-$AL$10)*($AM$10-$AL$10)),$AN$10-SQRT((1-AY970)*($AN$10-$AL$10)*($AN$10-$AM$10))),$AM$10)</f>
        <v/>
      </c>
      <c r="AQ970">
        <f>IFERROR(IF(AZ970&lt;($AM$11-$AL$11)/($AN$11-$AL$11),$AL$11+SQRT(AZ970*($AN$11-$AL$11)*($AM$11-$AL$11)),$AN$11-SQRT((1-AZ970)*($AN$11-$AL$11)*($AN$11-$AM$11))),$AM$11)</f>
        <v/>
      </c>
      <c r="AR970">
        <f>SUMPRODUCT((B24:B31&lt;=$B$6)*(C24:C31*AM970+D24:D31*AO970*$B$8*AQ970)/(1+AL970/100)^B24:B31)+C32*AM970*AP970/(1+AL970/100)^$B$6</f>
        <v/>
      </c>
      <c r="AS970">
        <f>SUMPRODUCT((K24:K26&lt;=$B$6)*(L24:L26*AN970+M24:M26*AO970*$B$8*AQ970)/(1+AL970/100)^K24:K26)+L27*AN970*AP970/(1+AL970/100)^$B$6</f>
        <v/>
      </c>
      <c r="AT970">
        <f>AS970-AR970</f>
        <v/>
      </c>
      <c r="AU970">
        <f>RAND()</f>
        <v/>
      </c>
      <c r="AV970">
        <f>RAND()</f>
        <v/>
      </c>
      <c r="AW970">
        <f>RAND()</f>
        <v/>
      </c>
      <c r="AX970">
        <f>RAND()</f>
        <v/>
      </c>
      <c r="AY970">
        <f>RAND()</f>
        <v/>
      </c>
      <c r="AZ970">
        <f>RAND()</f>
        <v/>
      </c>
    </row>
    <row r="971">
      <c r="AK971" t="n">
        <v>958</v>
      </c>
      <c r="AL971">
        <f>IFERROR(IF(AU971&lt;($AM$6-$AL$6)/($AN$6-$AL$6),$AL$6+SQRT(AU971*($AN$6-$AL$6)*($AM$6-$AL$6)),$AN$6-SQRT((1-AU971)*($AN$6-$AL$6)*($AN$6-$AM$6))),$AM$6)</f>
        <v/>
      </c>
      <c r="AM971">
        <f>IFERROR(IF(AV971&lt;($AM$7-$AL$7)/($AN$7-$AL$7),$AL$7+SQRT(AV971*($AN$7-$AL$7)*($AM$7-$AL$7)),$AN$7-SQRT((1-AV971)*($AN$7-$AL$7)*($AN$7-$AM$7))),$AM$7)</f>
        <v/>
      </c>
      <c r="AN971">
        <f>IFERROR(IF(AW971&lt;($AM$8-$AL$8)/($AN$8-$AL$8),$AL$8+SQRT(AW971*($AN$8-$AL$8)*($AM$8-$AL$8)),$AN$8-SQRT((1-AW971)*($AN$8-$AL$8)*($AN$8-$AM$8))),$AM$8)</f>
        <v/>
      </c>
      <c r="AO971">
        <f>IFERROR(IF(AX971&lt;($AM$9-$AL$9)/($AN$9-$AL$9),$AL$9+SQRT(AX971*($AN$9-$AL$9)*($AM$9-$AL$9)),$AN$9-SQRT((1-AX971)*($AN$9-$AL$9)*($AN$9-$AM$9))),$AM$9)</f>
        <v/>
      </c>
      <c r="AP971">
        <f>IFERROR(IF(AY971&lt;($AM$10-$AL$10)/($AN$10-$AL$10),$AL$10+SQRT(AY971*($AN$10-$AL$10)*($AM$10-$AL$10)),$AN$10-SQRT((1-AY971)*($AN$10-$AL$10)*($AN$10-$AM$10))),$AM$10)</f>
        <v/>
      </c>
      <c r="AQ971">
        <f>IFERROR(IF(AZ971&lt;($AM$11-$AL$11)/($AN$11-$AL$11),$AL$11+SQRT(AZ971*($AN$11-$AL$11)*($AM$11-$AL$11)),$AN$11-SQRT((1-AZ971)*($AN$11-$AL$11)*($AN$11-$AM$11))),$AM$11)</f>
        <v/>
      </c>
      <c r="AR971">
        <f>SUMPRODUCT((B24:B31&lt;=$B$6)*(C24:C31*AM971+D24:D31*AO971*$B$8*AQ971)/(1+AL971/100)^B24:B31)+C32*AM971*AP971/(1+AL971/100)^$B$6</f>
        <v/>
      </c>
      <c r="AS971">
        <f>SUMPRODUCT((K24:K26&lt;=$B$6)*(L24:L26*AN971+M24:M26*AO971*$B$8*AQ971)/(1+AL971/100)^K24:K26)+L27*AN971*AP971/(1+AL971/100)^$B$6</f>
        <v/>
      </c>
      <c r="AT971">
        <f>AS971-AR971</f>
        <v/>
      </c>
      <c r="AU971">
        <f>RAND()</f>
        <v/>
      </c>
      <c r="AV971">
        <f>RAND()</f>
        <v/>
      </c>
      <c r="AW971">
        <f>RAND()</f>
        <v/>
      </c>
      <c r="AX971">
        <f>RAND()</f>
        <v/>
      </c>
      <c r="AY971">
        <f>RAND()</f>
        <v/>
      </c>
      <c r="AZ971">
        <f>RAND()</f>
        <v/>
      </c>
    </row>
    <row r="972">
      <c r="AK972" t="n">
        <v>959</v>
      </c>
      <c r="AL972">
        <f>IFERROR(IF(AU972&lt;($AM$6-$AL$6)/($AN$6-$AL$6),$AL$6+SQRT(AU972*($AN$6-$AL$6)*($AM$6-$AL$6)),$AN$6-SQRT((1-AU972)*($AN$6-$AL$6)*($AN$6-$AM$6))),$AM$6)</f>
        <v/>
      </c>
      <c r="AM972">
        <f>IFERROR(IF(AV972&lt;($AM$7-$AL$7)/($AN$7-$AL$7),$AL$7+SQRT(AV972*($AN$7-$AL$7)*($AM$7-$AL$7)),$AN$7-SQRT((1-AV972)*($AN$7-$AL$7)*($AN$7-$AM$7))),$AM$7)</f>
        <v/>
      </c>
      <c r="AN972">
        <f>IFERROR(IF(AW972&lt;($AM$8-$AL$8)/($AN$8-$AL$8),$AL$8+SQRT(AW972*($AN$8-$AL$8)*($AM$8-$AL$8)),$AN$8-SQRT((1-AW972)*($AN$8-$AL$8)*($AN$8-$AM$8))),$AM$8)</f>
        <v/>
      </c>
      <c r="AO972">
        <f>IFERROR(IF(AX972&lt;($AM$9-$AL$9)/($AN$9-$AL$9),$AL$9+SQRT(AX972*($AN$9-$AL$9)*($AM$9-$AL$9)),$AN$9-SQRT((1-AX972)*($AN$9-$AL$9)*($AN$9-$AM$9))),$AM$9)</f>
        <v/>
      </c>
      <c r="AP972">
        <f>IFERROR(IF(AY972&lt;($AM$10-$AL$10)/($AN$10-$AL$10),$AL$10+SQRT(AY972*($AN$10-$AL$10)*($AM$10-$AL$10)),$AN$10-SQRT((1-AY972)*($AN$10-$AL$10)*($AN$10-$AM$10))),$AM$10)</f>
        <v/>
      </c>
      <c r="AQ972">
        <f>IFERROR(IF(AZ972&lt;($AM$11-$AL$11)/($AN$11-$AL$11),$AL$11+SQRT(AZ972*($AN$11-$AL$11)*($AM$11-$AL$11)),$AN$11-SQRT((1-AZ972)*($AN$11-$AL$11)*($AN$11-$AM$11))),$AM$11)</f>
        <v/>
      </c>
      <c r="AR972">
        <f>SUMPRODUCT((B24:B31&lt;=$B$6)*(C24:C31*AM972+D24:D31*AO972*$B$8*AQ972)/(1+AL972/100)^B24:B31)+C32*AM972*AP972/(1+AL972/100)^$B$6</f>
        <v/>
      </c>
      <c r="AS972">
        <f>SUMPRODUCT((K24:K26&lt;=$B$6)*(L24:L26*AN972+M24:M26*AO972*$B$8*AQ972)/(1+AL972/100)^K24:K26)+L27*AN972*AP972/(1+AL972/100)^$B$6</f>
        <v/>
      </c>
      <c r="AT972">
        <f>AS972-AR972</f>
        <v/>
      </c>
      <c r="AU972">
        <f>RAND()</f>
        <v/>
      </c>
      <c r="AV972">
        <f>RAND()</f>
        <v/>
      </c>
      <c r="AW972">
        <f>RAND()</f>
        <v/>
      </c>
      <c r="AX972">
        <f>RAND()</f>
        <v/>
      </c>
      <c r="AY972">
        <f>RAND()</f>
        <v/>
      </c>
      <c r="AZ972">
        <f>RAND()</f>
        <v/>
      </c>
    </row>
    <row r="973">
      <c r="AK973" t="n">
        <v>960</v>
      </c>
      <c r="AL973">
        <f>IFERROR(IF(AU973&lt;($AM$6-$AL$6)/($AN$6-$AL$6),$AL$6+SQRT(AU973*($AN$6-$AL$6)*($AM$6-$AL$6)),$AN$6-SQRT((1-AU973)*($AN$6-$AL$6)*($AN$6-$AM$6))),$AM$6)</f>
        <v/>
      </c>
      <c r="AM973">
        <f>IFERROR(IF(AV973&lt;($AM$7-$AL$7)/($AN$7-$AL$7),$AL$7+SQRT(AV973*($AN$7-$AL$7)*($AM$7-$AL$7)),$AN$7-SQRT((1-AV973)*($AN$7-$AL$7)*($AN$7-$AM$7))),$AM$7)</f>
        <v/>
      </c>
      <c r="AN973">
        <f>IFERROR(IF(AW973&lt;($AM$8-$AL$8)/($AN$8-$AL$8),$AL$8+SQRT(AW973*($AN$8-$AL$8)*($AM$8-$AL$8)),$AN$8-SQRT((1-AW973)*($AN$8-$AL$8)*($AN$8-$AM$8))),$AM$8)</f>
        <v/>
      </c>
      <c r="AO973">
        <f>IFERROR(IF(AX973&lt;($AM$9-$AL$9)/($AN$9-$AL$9),$AL$9+SQRT(AX973*($AN$9-$AL$9)*($AM$9-$AL$9)),$AN$9-SQRT((1-AX973)*($AN$9-$AL$9)*($AN$9-$AM$9))),$AM$9)</f>
        <v/>
      </c>
      <c r="AP973">
        <f>IFERROR(IF(AY973&lt;($AM$10-$AL$10)/($AN$10-$AL$10),$AL$10+SQRT(AY973*($AN$10-$AL$10)*($AM$10-$AL$10)),$AN$10-SQRT((1-AY973)*($AN$10-$AL$10)*($AN$10-$AM$10))),$AM$10)</f>
        <v/>
      </c>
      <c r="AQ973">
        <f>IFERROR(IF(AZ973&lt;($AM$11-$AL$11)/($AN$11-$AL$11),$AL$11+SQRT(AZ973*($AN$11-$AL$11)*($AM$11-$AL$11)),$AN$11-SQRT((1-AZ973)*($AN$11-$AL$11)*($AN$11-$AM$11))),$AM$11)</f>
        <v/>
      </c>
      <c r="AR973">
        <f>SUMPRODUCT((B24:B31&lt;=$B$6)*(C24:C31*AM973+D24:D31*AO973*$B$8*AQ973)/(1+AL973/100)^B24:B31)+C32*AM973*AP973/(1+AL973/100)^$B$6</f>
        <v/>
      </c>
      <c r="AS973">
        <f>SUMPRODUCT((K24:K26&lt;=$B$6)*(L24:L26*AN973+M24:M26*AO973*$B$8*AQ973)/(1+AL973/100)^K24:K26)+L27*AN973*AP973/(1+AL973/100)^$B$6</f>
        <v/>
      </c>
      <c r="AT973">
        <f>AS973-AR973</f>
        <v/>
      </c>
      <c r="AU973">
        <f>RAND()</f>
        <v/>
      </c>
      <c r="AV973">
        <f>RAND()</f>
        <v/>
      </c>
      <c r="AW973">
        <f>RAND()</f>
        <v/>
      </c>
      <c r="AX973">
        <f>RAND()</f>
        <v/>
      </c>
      <c r="AY973">
        <f>RAND()</f>
        <v/>
      </c>
      <c r="AZ973">
        <f>RAND()</f>
        <v/>
      </c>
    </row>
    <row r="974">
      <c r="AK974" t="n">
        <v>961</v>
      </c>
      <c r="AL974">
        <f>IFERROR(IF(AU974&lt;($AM$6-$AL$6)/($AN$6-$AL$6),$AL$6+SQRT(AU974*($AN$6-$AL$6)*($AM$6-$AL$6)),$AN$6-SQRT((1-AU974)*($AN$6-$AL$6)*($AN$6-$AM$6))),$AM$6)</f>
        <v/>
      </c>
      <c r="AM974">
        <f>IFERROR(IF(AV974&lt;($AM$7-$AL$7)/($AN$7-$AL$7),$AL$7+SQRT(AV974*($AN$7-$AL$7)*($AM$7-$AL$7)),$AN$7-SQRT((1-AV974)*($AN$7-$AL$7)*($AN$7-$AM$7))),$AM$7)</f>
        <v/>
      </c>
      <c r="AN974">
        <f>IFERROR(IF(AW974&lt;($AM$8-$AL$8)/($AN$8-$AL$8),$AL$8+SQRT(AW974*($AN$8-$AL$8)*($AM$8-$AL$8)),$AN$8-SQRT((1-AW974)*($AN$8-$AL$8)*($AN$8-$AM$8))),$AM$8)</f>
        <v/>
      </c>
      <c r="AO974">
        <f>IFERROR(IF(AX974&lt;($AM$9-$AL$9)/($AN$9-$AL$9),$AL$9+SQRT(AX974*($AN$9-$AL$9)*($AM$9-$AL$9)),$AN$9-SQRT((1-AX974)*($AN$9-$AL$9)*($AN$9-$AM$9))),$AM$9)</f>
        <v/>
      </c>
      <c r="AP974">
        <f>IFERROR(IF(AY974&lt;($AM$10-$AL$10)/($AN$10-$AL$10),$AL$10+SQRT(AY974*($AN$10-$AL$10)*($AM$10-$AL$10)),$AN$10-SQRT((1-AY974)*($AN$10-$AL$10)*($AN$10-$AM$10))),$AM$10)</f>
        <v/>
      </c>
      <c r="AQ974">
        <f>IFERROR(IF(AZ974&lt;($AM$11-$AL$11)/($AN$11-$AL$11),$AL$11+SQRT(AZ974*($AN$11-$AL$11)*($AM$11-$AL$11)),$AN$11-SQRT((1-AZ974)*($AN$11-$AL$11)*($AN$11-$AM$11))),$AM$11)</f>
        <v/>
      </c>
      <c r="AR974">
        <f>SUMPRODUCT((B24:B31&lt;=$B$6)*(C24:C31*AM974+D24:D31*AO974*$B$8*AQ974)/(1+AL974/100)^B24:B31)+C32*AM974*AP974/(1+AL974/100)^$B$6</f>
        <v/>
      </c>
      <c r="AS974">
        <f>SUMPRODUCT((K24:K26&lt;=$B$6)*(L24:L26*AN974+M24:M26*AO974*$B$8*AQ974)/(1+AL974/100)^K24:K26)+L27*AN974*AP974/(1+AL974/100)^$B$6</f>
        <v/>
      </c>
      <c r="AT974">
        <f>AS974-AR974</f>
        <v/>
      </c>
      <c r="AU974">
        <f>RAND()</f>
        <v/>
      </c>
      <c r="AV974">
        <f>RAND()</f>
        <v/>
      </c>
      <c r="AW974">
        <f>RAND()</f>
        <v/>
      </c>
      <c r="AX974">
        <f>RAND()</f>
        <v/>
      </c>
      <c r="AY974">
        <f>RAND()</f>
        <v/>
      </c>
      <c r="AZ974">
        <f>RAND()</f>
        <v/>
      </c>
    </row>
    <row r="975">
      <c r="AK975" t="n">
        <v>962</v>
      </c>
      <c r="AL975">
        <f>IFERROR(IF(AU975&lt;($AM$6-$AL$6)/($AN$6-$AL$6),$AL$6+SQRT(AU975*($AN$6-$AL$6)*($AM$6-$AL$6)),$AN$6-SQRT((1-AU975)*($AN$6-$AL$6)*($AN$6-$AM$6))),$AM$6)</f>
        <v/>
      </c>
      <c r="AM975">
        <f>IFERROR(IF(AV975&lt;($AM$7-$AL$7)/($AN$7-$AL$7),$AL$7+SQRT(AV975*($AN$7-$AL$7)*($AM$7-$AL$7)),$AN$7-SQRT((1-AV975)*($AN$7-$AL$7)*($AN$7-$AM$7))),$AM$7)</f>
        <v/>
      </c>
      <c r="AN975">
        <f>IFERROR(IF(AW975&lt;($AM$8-$AL$8)/($AN$8-$AL$8),$AL$8+SQRT(AW975*($AN$8-$AL$8)*($AM$8-$AL$8)),$AN$8-SQRT((1-AW975)*($AN$8-$AL$8)*($AN$8-$AM$8))),$AM$8)</f>
        <v/>
      </c>
      <c r="AO975">
        <f>IFERROR(IF(AX975&lt;($AM$9-$AL$9)/($AN$9-$AL$9),$AL$9+SQRT(AX975*($AN$9-$AL$9)*($AM$9-$AL$9)),$AN$9-SQRT((1-AX975)*($AN$9-$AL$9)*($AN$9-$AM$9))),$AM$9)</f>
        <v/>
      </c>
      <c r="AP975">
        <f>IFERROR(IF(AY975&lt;($AM$10-$AL$10)/($AN$10-$AL$10),$AL$10+SQRT(AY975*($AN$10-$AL$10)*($AM$10-$AL$10)),$AN$10-SQRT((1-AY975)*($AN$10-$AL$10)*($AN$10-$AM$10))),$AM$10)</f>
        <v/>
      </c>
      <c r="AQ975">
        <f>IFERROR(IF(AZ975&lt;($AM$11-$AL$11)/($AN$11-$AL$11),$AL$11+SQRT(AZ975*($AN$11-$AL$11)*($AM$11-$AL$11)),$AN$11-SQRT((1-AZ975)*($AN$11-$AL$11)*($AN$11-$AM$11))),$AM$11)</f>
        <v/>
      </c>
      <c r="AR975">
        <f>SUMPRODUCT((B24:B31&lt;=$B$6)*(C24:C31*AM975+D24:D31*AO975*$B$8*AQ975)/(1+AL975/100)^B24:B31)+C32*AM975*AP975/(1+AL975/100)^$B$6</f>
        <v/>
      </c>
      <c r="AS975">
        <f>SUMPRODUCT((K24:K26&lt;=$B$6)*(L24:L26*AN975+M24:M26*AO975*$B$8*AQ975)/(1+AL975/100)^K24:K26)+L27*AN975*AP975/(1+AL975/100)^$B$6</f>
        <v/>
      </c>
      <c r="AT975">
        <f>AS975-AR975</f>
        <v/>
      </c>
      <c r="AU975">
        <f>RAND()</f>
        <v/>
      </c>
      <c r="AV975">
        <f>RAND()</f>
        <v/>
      </c>
      <c r="AW975">
        <f>RAND()</f>
        <v/>
      </c>
      <c r="AX975">
        <f>RAND()</f>
        <v/>
      </c>
      <c r="AY975">
        <f>RAND()</f>
        <v/>
      </c>
      <c r="AZ975">
        <f>RAND()</f>
        <v/>
      </c>
    </row>
    <row r="976">
      <c r="AK976" t="n">
        <v>963</v>
      </c>
      <c r="AL976">
        <f>IFERROR(IF(AU976&lt;($AM$6-$AL$6)/($AN$6-$AL$6),$AL$6+SQRT(AU976*($AN$6-$AL$6)*($AM$6-$AL$6)),$AN$6-SQRT((1-AU976)*($AN$6-$AL$6)*($AN$6-$AM$6))),$AM$6)</f>
        <v/>
      </c>
      <c r="AM976">
        <f>IFERROR(IF(AV976&lt;($AM$7-$AL$7)/($AN$7-$AL$7),$AL$7+SQRT(AV976*($AN$7-$AL$7)*($AM$7-$AL$7)),$AN$7-SQRT((1-AV976)*($AN$7-$AL$7)*($AN$7-$AM$7))),$AM$7)</f>
        <v/>
      </c>
      <c r="AN976">
        <f>IFERROR(IF(AW976&lt;($AM$8-$AL$8)/($AN$8-$AL$8),$AL$8+SQRT(AW976*($AN$8-$AL$8)*($AM$8-$AL$8)),$AN$8-SQRT((1-AW976)*($AN$8-$AL$8)*($AN$8-$AM$8))),$AM$8)</f>
        <v/>
      </c>
      <c r="AO976">
        <f>IFERROR(IF(AX976&lt;($AM$9-$AL$9)/($AN$9-$AL$9),$AL$9+SQRT(AX976*($AN$9-$AL$9)*($AM$9-$AL$9)),$AN$9-SQRT((1-AX976)*($AN$9-$AL$9)*($AN$9-$AM$9))),$AM$9)</f>
        <v/>
      </c>
      <c r="AP976">
        <f>IFERROR(IF(AY976&lt;($AM$10-$AL$10)/($AN$10-$AL$10),$AL$10+SQRT(AY976*($AN$10-$AL$10)*($AM$10-$AL$10)),$AN$10-SQRT((1-AY976)*($AN$10-$AL$10)*($AN$10-$AM$10))),$AM$10)</f>
        <v/>
      </c>
      <c r="AQ976">
        <f>IFERROR(IF(AZ976&lt;($AM$11-$AL$11)/($AN$11-$AL$11),$AL$11+SQRT(AZ976*($AN$11-$AL$11)*($AM$11-$AL$11)),$AN$11-SQRT((1-AZ976)*($AN$11-$AL$11)*($AN$11-$AM$11))),$AM$11)</f>
        <v/>
      </c>
      <c r="AR976">
        <f>SUMPRODUCT((B24:B31&lt;=$B$6)*(C24:C31*AM976+D24:D31*AO976*$B$8*AQ976)/(1+AL976/100)^B24:B31)+C32*AM976*AP976/(1+AL976/100)^$B$6</f>
        <v/>
      </c>
      <c r="AS976">
        <f>SUMPRODUCT((K24:K26&lt;=$B$6)*(L24:L26*AN976+M24:M26*AO976*$B$8*AQ976)/(1+AL976/100)^K24:K26)+L27*AN976*AP976/(1+AL976/100)^$B$6</f>
        <v/>
      </c>
      <c r="AT976">
        <f>AS976-AR976</f>
        <v/>
      </c>
      <c r="AU976">
        <f>RAND()</f>
        <v/>
      </c>
      <c r="AV976">
        <f>RAND()</f>
        <v/>
      </c>
      <c r="AW976">
        <f>RAND()</f>
        <v/>
      </c>
      <c r="AX976">
        <f>RAND()</f>
        <v/>
      </c>
      <c r="AY976">
        <f>RAND()</f>
        <v/>
      </c>
      <c r="AZ976">
        <f>RAND()</f>
        <v/>
      </c>
    </row>
    <row r="977">
      <c r="AK977" t="n">
        <v>964</v>
      </c>
      <c r="AL977">
        <f>IFERROR(IF(AU977&lt;($AM$6-$AL$6)/($AN$6-$AL$6),$AL$6+SQRT(AU977*($AN$6-$AL$6)*($AM$6-$AL$6)),$AN$6-SQRT((1-AU977)*($AN$6-$AL$6)*($AN$6-$AM$6))),$AM$6)</f>
        <v/>
      </c>
      <c r="AM977">
        <f>IFERROR(IF(AV977&lt;($AM$7-$AL$7)/($AN$7-$AL$7),$AL$7+SQRT(AV977*($AN$7-$AL$7)*($AM$7-$AL$7)),$AN$7-SQRT((1-AV977)*($AN$7-$AL$7)*($AN$7-$AM$7))),$AM$7)</f>
        <v/>
      </c>
      <c r="AN977">
        <f>IFERROR(IF(AW977&lt;($AM$8-$AL$8)/($AN$8-$AL$8),$AL$8+SQRT(AW977*($AN$8-$AL$8)*($AM$8-$AL$8)),$AN$8-SQRT((1-AW977)*($AN$8-$AL$8)*($AN$8-$AM$8))),$AM$8)</f>
        <v/>
      </c>
      <c r="AO977">
        <f>IFERROR(IF(AX977&lt;($AM$9-$AL$9)/($AN$9-$AL$9),$AL$9+SQRT(AX977*($AN$9-$AL$9)*($AM$9-$AL$9)),$AN$9-SQRT((1-AX977)*($AN$9-$AL$9)*($AN$9-$AM$9))),$AM$9)</f>
        <v/>
      </c>
      <c r="AP977">
        <f>IFERROR(IF(AY977&lt;($AM$10-$AL$10)/($AN$10-$AL$10),$AL$10+SQRT(AY977*($AN$10-$AL$10)*($AM$10-$AL$10)),$AN$10-SQRT((1-AY977)*($AN$10-$AL$10)*($AN$10-$AM$10))),$AM$10)</f>
        <v/>
      </c>
      <c r="AQ977">
        <f>IFERROR(IF(AZ977&lt;($AM$11-$AL$11)/($AN$11-$AL$11),$AL$11+SQRT(AZ977*($AN$11-$AL$11)*($AM$11-$AL$11)),$AN$11-SQRT((1-AZ977)*($AN$11-$AL$11)*($AN$11-$AM$11))),$AM$11)</f>
        <v/>
      </c>
      <c r="AR977">
        <f>SUMPRODUCT((B24:B31&lt;=$B$6)*(C24:C31*AM977+D24:D31*AO977*$B$8*AQ977)/(1+AL977/100)^B24:B31)+C32*AM977*AP977/(1+AL977/100)^$B$6</f>
        <v/>
      </c>
      <c r="AS977">
        <f>SUMPRODUCT((K24:K26&lt;=$B$6)*(L24:L26*AN977+M24:M26*AO977*$B$8*AQ977)/(1+AL977/100)^K24:K26)+L27*AN977*AP977/(1+AL977/100)^$B$6</f>
        <v/>
      </c>
      <c r="AT977">
        <f>AS977-AR977</f>
        <v/>
      </c>
      <c r="AU977">
        <f>RAND()</f>
        <v/>
      </c>
      <c r="AV977">
        <f>RAND()</f>
        <v/>
      </c>
      <c r="AW977">
        <f>RAND()</f>
        <v/>
      </c>
      <c r="AX977">
        <f>RAND()</f>
        <v/>
      </c>
      <c r="AY977">
        <f>RAND()</f>
        <v/>
      </c>
      <c r="AZ977">
        <f>RAND()</f>
        <v/>
      </c>
    </row>
    <row r="978">
      <c r="AK978" t="n">
        <v>965</v>
      </c>
      <c r="AL978">
        <f>IFERROR(IF(AU978&lt;($AM$6-$AL$6)/($AN$6-$AL$6),$AL$6+SQRT(AU978*($AN$6-$AL$6)*($AM$6-$AL$6)),$AN$6-SQRT((1-AU978)*($AN$6-$AL$6)*($AN$6-$AM$6))),$AM$6)</f>
        <v/>
      </c>
      <c r="AM978">
        <f>IFERROR(IF(AV978&lt;($AM$7-$AL$7)/($AN$7-$AL$7),$AL$7+SQRT(AV978*($AN$7-$AL$7)*($AM$7-$AL$7)),$AN$7-SQRT((1-AV978)*($AN$7-$AL$7)*($AN$7-$AM$7))),$AM$7)</f>
        <v/>
      </c>
      <c r="AN978">
        <f>IFERROR(IF(AW978&lt;($AM$8-$AL$8)/($AN$8-$AL$8),$AL$8+SQRT(AW978*($AN$8-$AL$8)*($AM$8-$AL$8)),$AN$8-SQRT((1-AW978)*($AN$8-$AL$8)*($AN$8-$AM$8))),$AM$8)</f>
        <v/>
      </c>
      <c r="AO978">
        <f>IFERROR(IF(AX978&lt;($AM$9-$AL$9)/($AN$9-$AL$9),$AL$9+SQRT(AX978*($AN$9-$AL$9)*($AM$9-$AL$9)),$AN$9-SQRT((1-AX978)*($AN$9-$AL$9)*($AN$9-$AM$9))),$AM$9)</f>
        <v/>
      </c>
      <c r="AP978">
        <f>IFERROR(IF(AY978&lt;($AM$10-$AL$10)/($AN$10-$AL$10),$AL$10+SQRT(AY978*($AN$10-$AL$10)*($AM$10-$AL$10)),$AN$10-SQRT((1-AY978)*($AN$10-$AL$10)*($AN$10-$AM$10))),$AM$10)</f>
        <v/>
      </c>
      <c r="AQ978">
        <f>IFERROR(IF(AZ978&lt;($AM$11-$AL$11)/($AN$11-$AL$11),$AL$11+SQRT(AZ978*($AN$11-$AL$11)*($AM$11-$AL$11)),$AN$11-SQRT((1-AZ978)*($AN$11-$AL$11)*($AN$11-$AM$11))),$AM$11)</f>
        <v/>
      </c>
      <c r="AR978">
        <f>SUMPRODUCT((B24:B31&lt;=$B$6)*(C24:C31*AM978+D24:D31*AO978*$B$8*AQ978)/(1+AL978/100)^B24:B31)+C32*AM978*AP978/(1+AL978/100)^$B$6</f>
        <v/>
      </c>
      <c r="AS978">
        <f>SUMPRODUCT((K24:K26&lt;=$B$6)*(L24:L26*AN978+M24:M26*AO978*$B$8*AQ978)/(1+AL978/100)^K24:K26)+L27*AN978*AP978/(1+AL978/100)^$B$6</f>
        <v/>
      </c>
      <c r="AT978">
        <f>AS978-AR978</f>
        <v/>
      </c>
      <c r="AU978">
        <f>RAND()</f>
        <v/>
      </c>
      <c r="AV978">
        <f>RAND()</f>
        <v/>
      </c>
      <c r="AW978">
        <f>RAND()</f>
        <v/>
      </c>
      <c r="AX978">
        <f>RAND()</f>
        <v/>
      </c>
      <c r="AY978">
        <f>RAND()</f>
        <v/>
      </c>
      <c r="AZ978">
        <f>RAND()</f>
        <v/>
      </c>
    </row>
    <row r="979">
      <c r="AK979" t="n">
        <v>966</v>
      </c>
      <c r="AL979">
        <f>IFERROR(IF(AU979&lt;($AM$6-$AL$6)/($AN$6-$AL$6),$AL$6+SQRT(AU979*($AN$6-$AL$6)*($AM$6-$AL$6)),$AN$6-SQRT((1-AU979)*($AN$6-$AL$6)*($AN$6-$AM$6))),$AM$6)</f>
        <v/>
      </c>
      <c r="AM979">
        <f>IFERROR(IF(AV979&lt;($AM$7-$AL$7)/($AN$7-$AL$7),$AL$7+SQRT(AV979*($AN$7-$AL$7)*($AM$7-$AL$7)),$AN$7-SQRT((1-AV979)*($AN$7-$AL$7)*($AN$7-$AM$7))),$AM$7)</f>
        <v/>
      </c>
      <c r="AN979">
        <f>IFERROR(IF(AW979&lt;($AM$8-$AL$8)/($AN$8-$AL$8),$AL$8+SQRT(AW979*($AN$8-$AL$8)*($AM$8-$AL$8)),$AN$8-SQRT((1-AW979)*($AN$8-$AL$8)*($AN$8-$AM$8))),$AM$8)</f>
        <v/>
      </c>
      <c r="AO979">
        <f>IFERROR(IF(AX979&lt;($AM$9-$AL$9)/($AN$9-$AL$9),$AL$9+SQRT(AX979*($AN$9-$AL$9)*($AM$9-$AL$9)),$AN$9-SQRT((1-AX979)*($AN$9-$AL$9)*($AN$9-$AM$9))),$AM$9)</f>
        <v/>
      </c>
      <c r="AP979">
        <f>IFERROR(IF(AY979&lt;($AM$10-$AL$10)/($AN$10-$AL$10),$AL$10+SQRT(AY979*($AN$10-$AL$10)*($AM$10-$AL$10)),$AN$10-SQRT((1-AY979)*($AN$10-$AL$10)*($AN$10-$AM$10))),$AM$10)</f>
        <v/>
      </c>
      <c r="AQ979">
        <f>IFERROR(IF(AZ979&lt;($AM$11-$AL$11)/($AN$11-$AL$11),$AL$11+SQRT(AZ979*($AN$11-$AL$11)*($AM$11-$AL$11)),$AN$11-SQRT((1-AZ979)*($AN$11-$AL$11)*($AN$11-$AM$11))),$AM$11)</f>
        <v/>
      </c>
      <c r="AR979">
        <f>SUMPRODUCT((B24:B31&lt;=$B$6)*(C24:C31*AM979+D24:D31*AO979*$B$8*AQ979)/(1+AL979/100)^B24:B31)+C32*AM979*AP979/(1+AL979/100)^$B$6</f>
        <v/>
      </c>
      <c r="AS979">
        <f>SUMPRODUCT((K24:K26&lt;=$B$6)*(L24:L26*AN979+M24:M26*AO979*$B$8*AQ979)/(1+AL979/100)^K24:K26)+L27*AN979*AP979/(1+AL979/100)^$B$6</f>
        <v/>
      </c>
      <c r="AT979">
        <f>AS979-AR979</f>
        <v/>
      </c>
      <c r="AU979">
        <f>RAND()</f>
        <v/>
      </c>
      <c r="AV979">
        <f>RAND()</f>
        <v/>
      </c>
      <c r="AW979">
        <f>RAND()</f>
        <v/>
      </c>
      <c r="AX979">
        <f>RAND()</f>
        <v/>
      </c>
      <c r="AY979">
        <f>RAND()</f>
        <v/>
      </c>
      <c r="AZ979">
        <f>RAND()</f>
        <v/>
      </c>
    </row>
    <row r="980">
      <c r="AK980" t="n">
        <v>967</v>
      </c>
      <c r="AL980">
        <f>IFERROR(IF(AU980&lt;($AM$6-$AL$6)/($AN$6-$AL$6),$AL$6+SQRT(AU980*($AN$6-$AL$6)*($AM$6-$AL$6)),$AN$6-SQRT((1-AU980)*($AN$6-$AL$6)*($AN$6-$AM$6))),$AM$6)</f>
        <v/>
      </c>
      <c r="AM980">
        <f>IFERROR(IF(AV980&lt;($AM$7-$AL$7)/($AN$7-$AL$7),$AL$7+SQRT(AV980*($AN$7-$AL$7)*($AM$7-$AL$7)),$AN$7-SQRT((1-AV980)*($AN$7-$AL$7)*($AN$7-$AM$7))),$AM$7)</f>
        <v/>
      </c>
      <c r="AN980">
        <f>IFERROR(IF(AW980&lt;($AM$8-$AL$8)/($AN$8-$AL$8),$AL$8+SQRT(AW980*($AN$8-$AL$8)*($AM$8-$AL$8)),$AN$8-SQRT((1-AW980)*($AN$8-$AL$8)*($AN$8-$AM$8))),$AM$8)</f>
        <v/>
      </c>
      <c r="AO980">
        <f>IFERROR(IF(AX980&lt;($AM$9-$AL$9)/($AN$9-$AL$9),$AL$9+SQRT(AX980*($AN$9-$AL$9)*($AM$9-$AL$9)),$AN$9-SQRT((1-AX980)*($AN$9-$AL$9)*($AN$9-$AM$9))),$AM$9)</f>
        <v/>
      </c>
      <c r="AP980">
        <f>IFERROR(IF(AY980&lt;($AM$10-$AL$10)/($AN$10-$AL$10),$AL$10+SQRT(AY980*($AN$10-$AL$10)*($AM$10-$AL$10)),$AN$10-SQRT((1-AY980)*($AN$10-$AL$10)*($AN$10-$AM$10))),$AM$10)</f>
        <v/>
      </c>
      <c r="AQ980">
        <f>IFERROR(IF(AZ980&lt;($AM$11-$AL$11)/($AN$11-$AL$11),$AL$11+SQRT(AZ980*($AN$11-$AL$11)*($AM$11-$AL$11)),$AN$11-SQRT((1-AZ980)*($AN$11-$AL$11)*($AN$11-$AM$11))),$AM$11)</f>
        <v/>
      </c>
      <c r="AR980">
        <f>SUMPRODUCT((B24:B31&lt;=$B$6)*(C24:C31*AM980+D24:D31*AO980*$B$8*AQ980)/(1+AL980/100)^B24:B31)+C32*AM980*AP980/(1+AL980/100)^$B$6</f>
        <v/>
      </c>
      <c r="AS980">
        <f>SUMPRODUCT((K24:K26&lt;=$B$6)*(L24:L26*AN980+M24:M26*AO980*$B$8*AQ980)/(1+AL980/100)^K24:K26)+L27*AN980*AP980/(1+AL980/100)^$B$6</f>
        <v/>
      </c>
      <c r="AT980">
        <f>AS980-AR980</f>
        <v/>
      </c>
      <c r="AU980">
        <f>RAND()</f>
        <v/>
      </c>
      <c r="AV980">
        <f>RAND()</f>
        <v/>
      </c>
      <c r="AW980">
        <f>RAND()</f>
        <v/>
      </c>
      <c r="AX980">
        <f>RAND()</f>
        <v/>
      </c>
      <c r="AY980">
        <f>RAND()</f>
        <v/>
      </c>
      <c r="AZ980">
        <f>RAND()</f>
        <v/>
      </c>
    </row>
    <row r="981">
      <c r="AK981" t="n">
        <v>968</v>
      </c>
      <c r="AL981">
        <f>IFERROR(IF(AU981&lt;($AM$6-$AL$6)/($AN$6-$AL$6),$AL$6+SQRT(AU981*($AN$6-$AL$6)*($AM$6-$AL$6)),$AN$6-SQRT((1-AU981)*($AN$6-$AL$6)*($AN$6-$AM$6))),$AM$6)</f>
        <v/>
      </c>
      <c r="AM981">
        <f>IFERROR(IF(AV981&lt;($AM$7-$AL$7)/($AN$7-$AL$7),$AL$7+SQRT(AV981*($AN$7-$AL$7)*($AM$7-$AL$7)),$AN$7-SQRT((1-AV981)*($AN$7-$AL$7)*($AN$7-$AM$7))),$AM$7)</f>
        <v/>
      </c>
      <c r="AN981">
        <f>IFERROR(IF(AW981&lt;($AM$8-$AL$8)/($AN$8-$AL$8),$AL$8+SQRT(AW981*($AN$8-$AL$8)*($AM$8-$AL$8)),$AN$8-SQRT((1-AW981)*($AN$8-$AL$8)*($AN$8-$AM$8))),$AM$8)</f>
        <v/>
      </c>
      <c r="AO981">
        <f>IFERROR(IF(AX981&lt;($AM$9-$AL$9)/($AN$9-$AL$9),$AL$9+SQRT(AX981*($AN$9-$AL$9)*($AM$9-$AL$9)),$AN$9-SQRT((1-AX981)*($AN$9-$AL$9)*($AN$9-$AM$9))),$AM$9)</f>
        <v/>
      </c>
      <c r="AP981">
        <f>IFERROR(IF(AY981&lt;($AM$10-$AL$10)/($AN$10-$AL$10),$AL$10+SQRT(AY981*($AN$10-$AL$10)*($AM$10-$AL$10)),$AN$10-SQRT((1-AY981)*($AN$10-$AL$10)*($AN$10-$AM$10))),$AM$10)</f>
        <v/>
      </c>
      <c r="AQ981">
        <f>IFERROR(IF(AZ981&lt;($AM$11-$AL$11)/($AN$11-$AL$11),$AL$11+SQRT(AZ981*($AN$11-$AL$11)*($AM$11-$AL$11)),$AN$11-SQRT((1-AZ981)*($AN$11-$AL$11)*($AN$11-$AM$11))),$AM$11)</f>
        <v/>
      </c>
      <c r="AR981">
        <f>SUMPRODUCT((B24:B31&lt;=$B$6)*(C24:C31*AM981+D24:D31*AO981*$B$8*AQ981)/(1+AL981/100)^B24:B31)+C32*AM981*AP981/(1+AL981/100)^$B$6</f>
        <v/>
      </c>
      <c r="AS981">
        <f>SUMPRODUCT((K24:K26&lt;=$B$6)*(L24:L26*AN981+M24:M26*AO981*$B$8*AQ981)/(1+AL981/100)^K24:K26)+L27*AN981*AP981/(1+AL981/100)^$B$6</f>
        <v/>
      </c>
      <c r="AT981">
        <f>AS981-AR981</f>
        <v/>
      </c>
      <c r="AU981">
        <f>RAND()</f>
        <v/>
      </c>
      <c r="AV981">
        <f>RAND()</f>
        <v/>
      </c>
      <c r="AW981">
        <f>RAND()</f>
        <v/>
      </c>
      <c r="AX981">
        <f>RAND()</f>
        <v/>
      </c>
      <c r="AY981">
        <f>RAND()</f>
        <v/>
      </c>
      <c r="AZ981">
        <f>RAND()</f>
        <v/>
      </c>
    </row>
    <row r="982">
      <c r="AK982" t="n">
        <v>969</v>
      </c>
      <c r="AL982">
        <f>IFERROR(IF(AU982&lt;($AM$6-$AL$6)/($AN$6-$AL$6),$AL$6+SQRT(AU982*($AN$6-$AL$6)*($AM$6-$AL$6)),$AN$6-SQRT((1-AU982)*($AN$6-$AL$6)*($AN$6-$AM$6))),$AM$6)</f>
        <v/>
      </c>
      <c r="AM982">
        <f>IFERROR(IF(AV982&lt;($AM$7-$AL$7)/($AN$7-$AL$7),$AL$7+SQRT(AV982*($AN$7-$AL$7)*($AM$7-$AL$7)),$AN$7-SQRT((1-AV982)*($AN$7-$AL$7)*($AN$7-$AM$7))),$AM$7)</f>
        <v/>
      </c>
      <c r="AN982">
        <f>IFERROR(IF(AW982&lt;($AM$8-$AL$8)/($AN$8-$AL$8),$AL$8+SQRT(AW982*($AN$8-$AL$8)*($AM$8-$AL$8)),$AN$8-SQRT((1-AW982)*($AN$8-$AL$8)*($AN$8-$AM$8))),$AM$8)</f>
        <v/>
      </c>
      <c r="AO982">
        <f>IFERROR(IF(AX982&lt;($AM$9-$AL$9)/($AN$9-$AL$9),$AL$9+SQRT(AX982*($AN$9-$AL$9)*($AM$9-$AL$9)),$AN$9-SQRT((1-AX982)*($AN$9-$AL$9)*($AN$9-$AM$9))),$AM$9)</f>
        <v/>
      </c>
      <c r="AP982">
        <f>IFERROR(IF(AY982&lt;($AM$10-$AL$10)/($AN$10-$AL$10),$AL$10+SQRT(AY982*($AN$10-$AL$10)*($AM$10-$AL$10)),$AN$10-SQRT((1-AY982)*($AN$10-$AL$10)*($AN$10-$AM$10))),$AM$10)</f>
        <v/>
      </c>
      <c r="AQ982">
        <f>IFERROR(IF(AZ982&lt;($AM$11-$AL$11)/($AN$11-$AL$11),$AL$11+SQRT(AZ982*($AN$11-$AL$11)*($AM$11-$AL$11)),$AN$11-SQRT((1-AZ982)*($AN$11-$AL$11)*($AN$11-$AM$11))),$AM$11)</f>
        <v/>
      </c>
      <c r="AR982">
        <f>SUMPRODUCT((B24:B31&lt;=$B$6)*(C24:C31*AM982+D24:D31*AO982*$B$8*AQ982)/(1+AL982/100)^B24:B31)+C32*AM982*AP982/(1+AL982/100)^$B$6</f>
        <v/>
      </c>
      <c r="AS982">
        <f>SUMPRODUCT((K24:K26&lt;=$B$6)*(L24:L26*AN982+M24:M26*AO982*$B$8*AQ982)/(1+AL982/100)^K24:K26)+L27*AN982*AP982/(1+AL982/100)^$B$6</f>
        <v/>
      </c>
      <c r="AT982">
        <f>AS982-AR982</f>
        <v/>
      </c>
      <c r="AU982">
        <f>RAND()</f>
        <v/>
      </c>
      <c r="AV982">
        <f>RAND()</f>
        <v/>
      </c>
      <c r="AW982">
        <f>RAND()</f>
        <v/>
      </c>
      <c r="AX982">
        <f>RAND()</f>
        <v/>
      </c>
      <c r="AY982">
        <f>RAND()</f>
        <v/>
      </c>
      <c r="AZ982">
        <f>RAND()</f>
        <v/>
      </c>
    </row>
    <row r="983">
      <c r="AK983" t="n">
        <v>970</v>
      </c>
      <c r="AL983">
        <f>IFERROR(IF(AU983&lt;($AM$6-$AL$6)/($AN$6-$AL$6),$AL$6+SQRT(AU983*($AN$6-$AL$6)*($AM$6-$AL$6)),$AN$6-SQRT((1-AU983)*($AN$6-$AL$6)*($AN$6-$AM$6))),$AM$6)</f>
        <v/>
      </c>
      <c r="AM983">
        <f>IFERROR(IF(AV983&lt;($AM$7-$AL$7)/($AN$7-$AL$7),$AL$7+SQRT(AV983*($AN$7-$AL$7)*($AM$7-$AL$7)),$AN$7-SQRT((1-AV983)*($AN$7-$AL$7)*($AN$7-$AM$7))),$AM$7)</f>
        <v/>
      </c>
      <c r="AN983">
        <f>IFERROR(IF(AW983&lt;($AM$8-$AL$8)/($AN$8-$AL$8),$AL$8+SQRT(AW983*($AN$8-$AL$8)*($AM$8-$AL$8)),$AN$8-SQRT((1-AW983)*($AN$8-$AL$8)*($AN$8-$AM$8))),$AM$8)</f>
        <v/>
      </c>
      <c r="AO983">
        <f>IFERROR(IF(AX983&lt;($AM$9-$AL$9)/($AN$9-$AL$9),$AL$9+SQRT(AX983*($AN$9-$AL$9)*($AM$9-$AL$9)),$AN$9-SQRT((1-AX983)*($AN$9-$AL$9)*($AN$9-$AM$9))),$AM$9)</f>
        <v/>
      </c>
      <c r="AP983">
        <f>IFERROR(IF(AY983&lt;($AM$10-$AL$10)/($AN$10-$AL$10),$AL$10+SQRT(AY983*($AN$10-$AL$10)*($AM$10-$AL$10)),$AN$10-SQRT((1-AY983)*($AN$10-$AL$10)*($AN$10-$AM$10))),$AM$10)</f>
        <v/>
      </c>
      <c r="AQ983">
        <f>IFERROR(IF(AZ983&lt;($AM$11-$AL$11)/($AN$11-$AL$11),$AL$11+SQRT(AZ983*($AN$11-$AL$11)*($AM$11-$AL$11)),$AN$11-SQRT((1-AZ983)*($AN$11-$AL$11)*($AN$11-$AM$11))),$AM$11)</f>
        <v/>
      </c>
      <c r="AR983">
        <f>SUMPRODUCT((B24:B31&lt;=$B$6)*(C24:C31*AM983+D24:D31*AO983*$B$8*AQ983)/(1+AL983/100)^B24:B31)+C32*AM983*AP983/(1+AL983/100)^$B$6</f>
        <v/>
      </c>
      <c r="AS983">
        <f>SUMPRODUCT((K24:K26&lt;=$B$6)*(L24:L26*AN983+M24:M26*AO983*$B$8*AQ983)/(1+AL983/100)^K24:K26)+L27*AN983*AP983/(1+AL983/100)^$B$6</f>
        <v/>
      </c>
      <c r="AT983">
        <f>AS983-AR983</f>
        <v/>
      </c>
      <c r="AU983">
        <f>RAND()</f>
        <v/>
      </c>
      <c r="AV983">
        <f>RAND()</f>
        <v/>
      </c>
      <c r="AW983">
        <f>RAND()</f>
        <v/>
      </c>
      <c r="AX983">
        <f>RAND()</f>
        <v/>
      </c>
      <c r="AY983">
        <f>RAND()</f>
        <v/>
      </c>
      <c r="AZ983">
        <f>RAND()</f>
        <v/>
      </c>
    </row>
    <row r="984">
      <c r="AK984" t="n">
        <v>971</v>
      </c>
      <c r="AL984">
        <f>IFERROR(IF(AU984&lt;($AM$6-$AL$6)/($AN$6-$AL$6),$AL$6+SQRT(AU984*($AN$6-$AL$6)*($AM$6-$AL$6)),$AN$6-SQRT((1-AU984)*($AN$6-$AL$6)*($AN$6-$AM$6))),$AM$6)</f>
        <v/>
      </c>
      <c r="AM984">
        <f>IFERROR(IF(AV984&lt;($AM$7-$AL$7)/($AN$7-$AL$7),$AL$7+SQRT(AV984*($AN$7-$AL$7)*($AM$7-$AL$7)),$AN$7-SQRT((1-AV984)*($AN$7-$AL$7)*($AN$7-$AM$7))),$AM$7)</f>
        <v/>
      </c>
      <c r="AN984">
        <f>IFERROR(IF(AW984&lt;($AM$8-$AL$8)/($AN$8-$AL$8),$AL$8+SQRT(AW984*($AN$8-$AL$8)*($AM$8-$AL$8)),$AN$8-SQRT((1-AW984)*($AN$8-$AL$8)*($AN$8-$AM$8))),$AM$8)</f>
        <v/>
      </c>
      <c r="AO984">
        <f>IFERROR(IF(AX984&lt;($AM$9-$AL$9)/($AN$9-$AL$9),$AL$9+SQRT(AX984*($AN$9-$AL$9)*($AM$9-$AL$9)),$AN$9-SQRT((1-AX984)*($AN$9-$AL$9)*($AN$9-$AM$9))),$AM$9)</f>
        <v/>
      </c>
      <c r="AP984">
        <f>IFERROR(IF(AY984&lt;($AM$10-$AL$10)/($AN$10-$AL$10),$AL$10+SQRT(AY984*($AN$10-$AL$10)*($AM$10-$AL$10)),$AN$10-SQRT((1-AY984)*($AN$10-$AL$10)*($AN$10-$AM$10))),$AM$10)</f>
        <v/>
      </c>
      <c r="AQ984">
        <f>IFERROR(IF(AZ984&lt;($AM$11-$AL$11)/($AN$11-$AL$11),$AL$11+SQRT(AZ984*($AN$11-$AL$11)*($AM$11-$AL$11)),$AN$11-SQRT((1-AZ984)*($AN$11-$AL$11)*($AN$11-$AM$11))),$AM$11)</f>
        <v/>
      </c>
      <c r="AR984">
        <f>SUMPRODUCT((B24:B31&lt;=$B$6)*(C24:C31*AM984+D24:D31*AO984*$B$8*AQ984)/(1+AL984/100)^B24:B31)+C32*AM984*AP984/(1+AL984/100)^$B$6</f>
        <v/>
      </c>
      <c r="AS984">
        <f>SUMPRODUCT((K24:K26&lt;=$B$6)*(L24:L26*AN984+M24:M26*AO984*$B$8*AQ984)/(1+AL984/100)^K24:K26)+L27*AN984*AP984/(1+AL984/100)^$B$6</f>
        <v/>
      </c>
      <c r="AT984">
        <f>AS984-AR984</f>
        <v/>
      </c>
      <c r="AU984">
        <f>RAND()</f>
        <v/>
      </c>
      <c r="AV984">
        <f>RAND()</f>
        <v/>
      </c>
      <c r="AW984">
        <f>RAND()</f>
        <v/>
      </c>
      <c r="AX984">
        <f>RAND()</f>
        <v/>
      </c>
      <c r="AY984">
        <f>RAND()</f>
        <v/>
      </c>
      <c r="AZ984">
        <f>RAND()</f>
        <v/>
      </c>
    </row>
    <row r="985">
      <c r="AK985" t="n">
        <v>972</v>
      </c>
      <c r="AL985">
        <f>IFERROR(IF(AU985&lt;($AM$6-$AL$6)/($AN$6-$AL$6),$AL$6+SQRT(AU985*($AN$6-$AL$6)*($AM$6-$AL$6)),$AN$6-SQRT((1-AU985)*($AN$6-$AL$6)*($AN$6-$AM$6))),$AM$6)</f>
        <v/>
      </c>
      <c r="AM985">
        <f>IFERROR(IF(AV985&lt;($AM$7-$AL$7)/($AN$7-$AL$7),$AL$7+SQRT(AV985*($AN$7-$AL$7)*($AM$7-$AL$7)),$AN$7-SQRT((1-AV985)*($AN$7-$AL$7)*($AN$7-$AM$7))),$AM$7)</f>
        <v/>
      </c>
      <c r="AN985">
        <f>IFERROR(IF(AW985&lt;($AM$8-$AL$8)/($AN$8-$AL$8),$AL$8+SQRT(AW985*($AN$8-$AL$8)*($AM$8-$AL$8)),$AN$8-SQRT((1-AW985)*($AN$8-$AL$8)*($AN$8-$AM$8))),$AM$8)</f>
        <v/>
      </c>
      <c r="AO985">
        <f>IFERROR(IF(AX985&lt;($AM$9-$AL$9)/($AN$9-$AL$9),$AL$9+SQRT(AX985*($AN$9-$AL$9)*($AM$9-$AL$9)),$AN$9-SQRT((1-AX985)*($AN$9-$AL$9)*($AN$9-$AM$9))),$AM$9)</f>
        <v/>
      </c>
      <c r="AP985">
        <f>IFERROR(IF(AY985&lt;($AM$10-$AL$10)/($AN$10-$AL$10),$AL$10+SQRT(AY985*($AN$10-$AL$10)*($AM$10-$AL$10)),$AN$10-SQRT((1-AY985)*($AN$10-$AL$10)*($AN$10-$AM$10))),$AM$10)</f>
        <v/>
      </c>
      <c r="AQ985">
        <f>IFERROR(IF(AZ985&lt;($AM$11-$AL$11)/($AN$11-$AL$11),$AL$11+SQRT(AZ985*($AN$11-$AL$11)*($AM$11-$AL$11)),$AN$11-SQRT((1-AZ985)*($AN$11-$AL$11)*($AN$11-$AM$11))),$AM$11)</f>
        <v/>
      </c>
      <c r="AR985">
        <f>SUMPRODUCT((B24:B31&lt;=$B$6)*(C24:C31*AM985+D24:D31*AO985*$B$8*AQ985)/(1+AL985/100)^B24:B31)+C32*AM985*AP985/(1+AL985/100)^$B$6</f>
        <v/>
      </c>
      <c r="AS985">
        <f>SUMPRODUCT((K24:K26&lt;=$B$6)*(L24:L26*AN985+M24:M26*AO985*$B$8*AQ985)/(1+AL985/100)^K24:K26)+L27*AN985*AP985/(1+AL985/100)^$B$6</f>
        <v/>
      </c>
      <c r="AT985">
        <f>AS985-AR985</f>
        <v/>
      </c>
      <c r="AU985">
        <f>RAND()</f>
        <v/>
      </c>
      <c r="AV985">
        <f>RAND()</f>
        <v/>
      </c>
      <c r="AW985">
        <f>RAND()</f>
        <v/>
      </c>
      <c r="AX985">
        <f>RAND()</f>
        <v/>
      </c>
      <c r="AY985">
        <f>RAND()</f>
        <v/>
      </c>
      <c r="AZ985">
        <f>RAND()</f>
        <v/>
      </c>
    </row>
    <row r="986">
      <c r="AK986" t="n">
        <v>973</v>
      </c>
      <c r="AL986">
        <f>IFERROR(IF(AU986&lt;($AM$6-$AL$6)/($AN$6-$AL$6),$AL$6+SQRT(AU986*($AN$6-$AL$6)*($AM$6-$AL$6)),$AN$6-SQRT((1-AU986)*($AN$6-$AL$6)*($AN$6-$AM$6))),$AM$6)</f>
        <v/>
      </c>
      <c r="AM986">
        <f>IFERROR(IF(AV986&lt;($AM$7-$AL$7)/($AN$7-$AL$7),$AL$7+SQRT(AV986*($AN$7-$AL$7)*($AM$7-$AL$7)),$AN$7-SQRT((1-AV986)*($AN$7-$AL$7)*($AN$7-$AM$7))),$AM$7)</f>
        <v/>
      </c>
      <c r="AN986">
        <f>IFERROR(IF(AW986&lt;($AM$8-$AL$8)/($AN$8-$AL$8),$AL$8+SQRT(AW986*($AN$8-$AL$8)*($AM$8-$AL$8)),$AN$8-SQRT((1-AW986)*($AN$8-$AL$8)*($AN$8-$AM$8))),$AM$8)</f>
        <v/>
      </c>
      <c r="AO986">
        <f>IFERROR(IF(AX986&lt;($AM$9-$AL$9)/($AN$9-$AL$9),$AL$9+SQRT(AX986*($AN$9-$AL$9)*($AM$9-$AL$9)),$AN$9-SQRT((1-AX986)*($AN$9-$AL$9)*($AN$9-$AM$9))),$AM$9)</f>
        <v/>
      </c>
      <c r="AP986">
        <f>IFERROR(IF(AY986&lt;($AM$10-$AL$10)/($AN$10-$AL$10),$AL$10+SQRT(AY986*($AN$10-$AL$10)*($AM$10-$AL$10)),$AN$10-SQRT((1-AY986)*($AN$10-$AL$10)*($AN$10-$AM$10))),$AM$10)</f>
        <v/>
      </c>
      <c r="AQ986">
        <f>IFERROR(IF(AZ986&lt;($AM$11-$AL$11)/($AN$11-$AL$11),$AL$11+SQRT(AZ986*($AN$11-$AL$11)*($AM$11-$AL$11)),$AN$11-SQRT((1-AZ986)*($AN$11-$AL$11)*($AN$11-$AM$11))),$AM$11)</f>
        <v/>
      </c>
      <c r="AR986">
        <f>SUMPRODUCT((B24:B31&lt;=$B$6)*(C24:C31*AM986+D24:D31*AO986*$B$8*AQ986)/(1+AL986/100)^B24:B31)+C32*AM986*AP986/(1+AL986/100)^$B$6</f>
        <v/>
      </c>
      <c r="AS986">
        <f>SUMPRODUCT((K24:K26&lt;=$B$6)*(L24:L26*AN986+M24:M26*AO986*$B$8*AQ986)/(1+AL986/100)^K24:K26)+L27*AN986*AP986/(1+AL986/100)^$B$6</f>
        <v/>
      </c>
      <c r="AT986">
        <f>AS986-AR986</f>
        <v/>
      </c>
      <c r="AU986">
        <f>RAND()</f>
        <v/>
      </c>
      <c r="AV986">
        <f>RAND()</f>
        <v/>
      </c>
      <c r="AW986">
        <f>RAND()</f>
        <v/>
      </c>
      <c r="AX986">
        <f>RAND()</f>
        <v/>
      </c>
      <c r="AY986">
        <f>RAND()</f>
        <v/>
      </c>
      <c r="AZ986">
        <f>RAND()</f>
        <v/>
      </c>
    </row>
    <row r="987">
      <c r="AK987" t="n">
        <v>974</v>
      </c>
      <c r="AL987">
        <f>IFERROR(IF(AU987&lt;($AM$6-$AL$6)/($AN$6-$AL$6),$AL$6+SQRT(AU987*($AN$6-$AL$6)*($AM$6-$AL$6)),$AN$6-SQRT((1-AU987)*($AN$6-$AL$6)*($AN$6-$AM$6))),$AM$6)</f>
        <v/>
      </c>
      <c r="AM987">
        <f>IFERROR(IF(AV987&lt;($AM$7-$AL$7)/($AN$7-$AL$7),$AL$7+SQRT(AV987*($AN$7-$AL$7)*($AM$7-$AL$7)),$AN$7-SQRT((1-AV987)*($AN$7-$AL$7)*($AN$7-$AM$7))),$AM$7)</f>
        <v/>
      </c>
      <c r="AN987">
        <f>IFERROR(IF(AW987&lt;($AM$8-$AL$8)/($AN$8-$AL$8),$AL$8+SQRT(AW987*($AN$8-$AL$8)*($AM$8-$AL$8)),$AN$8-SQRT((1-AW987)*($AN$8-$AL$8)*($AN$8-$AM$8))),$AM$8)</f>
        <v/>
      </c>
      <c r="AO987">
        <f>IFERROR(IF(AX987&lt;($AM$9-$AL$9)/($AN$9-$AL$9),$AL$9+SQRT(AX987*($AN$9-$AL$9)*($AM$9-$AL$9)),$AN$9-SQRT((1-AX987)*($AN$9-$AL$9)*($AN$9-$AM$9))),$AM$9)</f>
        <v/>
      </c>
      <c r="AP987">
        <f>IFERROR(IF(AY987&lt;($AM$10-$AL$10)/($AN$10-$AL$10),$AL$10+SQRT(AY987*($AN$10-$AL$10)*($AM$10-$AL$10)),$AN$10-SQRT((1-AY987)*($AN$10-$AL$10)*($AN$10-$AM$10))),$AM$10)</f>
        <v/>
      </c>
      <c r="AQ987">
        <f>IFERROR(IF(AZ987&lt;($AM$11-$AL$11)/($AN$11-$AL$11),$AL$11+SQRT(AZ987*($AN$11-$AL$11)*($AM$11-$AL$11)),$AN$11-SQRT((1-AZ987)*($AN$11-$AL$11)*($AN$11-$AM$11))),$AM$11)</f>
        <v/>
      </c>
      <c r="AR987">
        <f>SUMPRODUCT((B24:B31&lt;=$B$6)*(C24:C31*AM987+D24:D31*AO987*$B$8*AQ987)/(1+AL987/100)^B24:B31)+C32*AM987*AP987/(1+AL987/100)^$B$6</f>
        <v/>
      </c>
      <c r="AS987">
        <f>SUMPRODUCT((K24:K26&lt;=$B$6)*(L24:L26*AN987+M24:M26*AO987*$B$8*AQ987)/(1+AL987/100)^K24:K26)+L27*AN987*AP987/(1+AL987/100)^$B$6</f>
        <v/>
      </c>
      <c r="AT987">
        <f>AS987-AR987</f>
        <v/>
      </c>
      <c r="AU987">
        <f>RAND()</f>
        <v/>
      </c>
      <c r="AV987">
        <f>RAND()</f>
        <v/>
      </c>
      <c r="AW987">
        <f>RAND()</f>
        <v/>
      </c>
      <c r="AX987">
        <f>RAND()</f>
        <v/>
      </c>
      <c r="AY987">
        <f>RAND()</f>
        <v/>
      </c>
      <c r="AZ987">
        <f>RAND()</f>
        <v/>
      </c>
    </row>
    <row r="988">
      <c r="AK988" t="n">
        <v>975</v>
      </c>
      <c r="AL988">
        <f>IFERROR(IF(AU988&lt;($AM$6-$AL$6)/($AN$6-$AL$6),$AL$6+SQRT(AU988*($AN$6-$AL$6)*($AM$6-$AL$6)),$AN$6-SQRT((1-AU988)*($AN$6-$AL$6)*($AN$6-$AM$6))),$AM$6)</f>
        <v/>
      </c>
      <c r="AM988">
        <f>IFERROR(IF(AV988&lt;($AM$7-$AL$7)/($AN$7-$AL$7),$AL$7+SQRT(AV988*($AN$7-$AL$7)*($AM$7-$AL$7)),$AN$7-SQRT((1-AV988)*($AN$7-$AL$7)*($AN$7-$AM$7))),$AM$7)</f>
        <v/>
      </c>
      <c r="AN988">
        <f>IFERROR(IF(AW988&lt;($AM$8-$AL$8)/($AN$8-$AL$8),$AL$8+SQRT(AW988*($AN$8-$AL$8)*($AM$8-$AL$8)),$AN$8-SQRT((1-AW988)*($AN$8-$AL$8)*($AN$8-$AM$8))),$AM$8)</f>
        <v/>
      </c>
      <c r="AO988">
        <f>IFERROR(IF(AX988&lt;($AM$9-$AL$9)/($AN$9-$AL$9),$AL$9+SQRT(AX988*($AN$9-$AL$9)*($AM$9-$AL$9)),$AN$9-SQRT((1-AX988)*($AN$9-$AL$9)*($AN$9-$AM$9))),$AM$9)</f>
        <v/>
      </c>
      <c r="AP988">
        <f>IFERROR(IF(AY988&lt;($AM$10-$AL$10)/($AN$10-$AL$10),$AL$10+SQRT(AY988*($AN$10-$AL$10)*($AM$10-$AL$10)),$AN$10-SQRT((1-AY988)*($AN$10-$AL$10)*($AN$10-$AM$10))),$AM$10)</f>
        <v/>
      </c>
      <c r="AQ988">
        <f>IFERROR(IF(AZ988&lt;($AM$11-$AL$11)/($AN$11-$AL$11),$AL$11+SQRT(AZ988*($AN$11-$AL$11)*($AM$11-$AL$11)),$AN$11-SQRT((1-AZ988)*($AN$11-$AL$11)*($AN$11-$AM$11))),$AM$11)</f>
        <v/>
      </c>
      <c r="AR988">
        <f>SUMPRODUCT((B24:B31&lt;=$B$6)*(C24:C31*AM988+D24:D31*AO988*$B$8*AQ988)/(1+AL988/100)^B24:B31)+C32*AM988*AP988/(1+AL988/100)^$B$6</f>
        <v/>
      </c>
      <c r="AS988">
        <f>SUMPRODUCT((K24:K26&lt;=$B$6)*(L24:L26*AN988+M24:M26*AO988*$B$8*AQ988)/(1+AL988/100)^K24:K26)+L27*AN988*AP988/(1+AL988/100)^$B$6</f>
        <v/>
      </c>
      <c r="AT988">
        <f>AS988-AR988</f>
        <v/>
      </c>
      <c r="AU988">
        <f>RAND()</f>
        <v/>
      </c>
      <c r="AV988">
        <f>RAND()</f>
        <v/>
      </c>
      <c r="AW988">
        <f>RAND()</f>
        <v/>
      </c>
      <c r="AX988">
        <f>RAND()</f>
        <v/>
      </c>
      <c r="AY988">
        <f>RAND()</f>
        <v/>
      </c>
      <c r="AZ988">
        <f>RAND()</f>
        <v/>
      </c>
    </row>
    <row r="989">
      <c r="AK989" t="n">
        <v>976</v>
      </c>
      <c r="AL989">
        <f>IFERROR(IF(AU989&lt;($AM$6-$AL$6)/($AN$6-$AL$6),$AL$6+SQRT(AU989*($AN$6-$AL$6)*($AM$6-$AL$6)),$AN$6-SQRT((1-AU989)*($AN$6-$AL$6)*($AN$6-$AM$6))),$AM$6)</f>
        <v/>
      </c>
      <c r="AM989">
        <f>IFERROR(IF(AV989&lt;($AM$7-$AL$7)/($AN$7-$AL$7),$AL$7+SQRT(AV989*($AN$7-$AL$7)*($AM$7-$AL$7)),$AN$7-SQRT((1-AV989)*($AN$7-$AL$7)*($AN$7-$AM$7))),$AM$7)</f>
        <v/>
      </c>
      <c r="AN989">
        <f>IFERROR(IF(AW989&lt;($AM$8-$AL$8)/($AN$8-$AL$8),$AL$8+SQRT(AW989*($AN$8-$AL$8)*($AM$8-$AL$8)),$AN$8-SQRT((1-AW989)*($AN$8-$AL$8)*($AN$8-$AM$8))),$AM$8)</f>
        <v/>
      </c>
      <c r="AO989">
        <f>IFERROR(IF(AX989&lt;($AM$9-$AL$9)/($AN$9-$AL$9),$AL$9+SQRT(AX989*($AN$9-$AL$9)*($AM$9-$AL$9)),$AN$9-SQRT((1-AX989)*($AN$9-$AL$9)*($AN$9-$AM$9))),$AM$9)</f>
        <v/>
      </c>
      <c r="AP989">
        <f>IFERROR(IF(AY989&lt;($AM$10-$AL$10)/($AN$10-$AL$10),$AL$10+SQRT(AY989*($AN$10-$AL$10)*($AM$10-$AL$10)),$AN$10-SQRT((1-AY989)*($AN$10-$AL$10)*($AN$10-$AM$10))),$AM$10)</f>
        <v/>
      </c>
      <c r="AQ989">
        <f>IFERROR(IF(AZ989&lt;($AM$11-$AL$11)/($AN$11-$AL$11),$AL$11+SQRT(AZ989*($AN$11-$AL$11)*($AM$11-$AL$11)),$AN$11-SQRT((1-AZ989)*($AN$11-$AL$11)*($AN$11-$AM$11))),$AM$11)</f>
        <v/>
      </c>
      <c r="AR989">
        <f>SUMPRODUCT((B24:B31&lt;=$B$6)*(C24:C31*AM989+D24:D31*AO989*$B$8*AQ989)/(1+AL989/100)^B24:B31)+C32*AM989*AP989/(1+AL989/100)^$B$6</f>
        <v/>
      </c>
      <c r="AS989">
        <f>SUMPRODUCT((K24:K26&lt;=$B$6)*(L24:L26*AN989+M24:M26*AO989*$B$8*AQ989)/(1+AL989/100)^K24:K26)+L27*AN989*AP989/(1+AL989/100)^$B$6</f>
        <v/>
      </c>
      <c r="AT989">
        <f>AS989-AR989</f>
        <v/>
      </c>
      <c r="AU989">
        <f>RAND()</f>
        <v/>
      </c>
      <c r="AV989">
        <f>RAND()</f>
        <v/>
      </c>
      <c r="AW989">
        <f>RAND()</f>
        <v/>
      </c>
      <c r="AX989">
        <f>RAND()</f>
        <v/>
      </c>
      <c r="AY989">
        <f>RAND()</f>
        <v/>
      </c>
      <c r="AZ989">
        <f>RAND()</f>
        <v/>
      </c>
    </row>
    <row r="990">
      <c r="AK990" t="n">
        <v>977</v>
      </c>
      <c r="AL990">
        <f>IFERROR(IF(AU990&lt;($AM$6-$AL$6)/($AN$6-$AL$6),$AL$6+SQRT(AU990*($AN$6-$AL$6)*($AM$6-$AL$6)),$AN$6-SQRT((1-AU990)*($AN$6-$AL$6)*($AN$6-$AM$6))),$AM$6)</f>
        <v/>
      </c>
      <c r="AM990">
        <f>IFERROR(IF(AV990&lt;($AM$7-$AL$7)/($AN$7-$AL$7),$AL$7+SQRT(AV990*($AN$7-$AL$7)*($AM$7-$AL$7)),$AN$7-SQRT((1-AV990)*($AN$7-$AL$7)*($AN$7-$AM$7))),$AM$7)</f>
        <v/>
      </c>
      <c r="AN990">
        <f>IFERROR(IF(AW990&lt;($AM$8-$AL$8)/($AN$8-$AL$8),$AL$8+SQRT(AW990*($AN$8-$AL$8)*($AM$8-$AL$8)),$AN$8-SQRT((1-AW990)*($AN$8-$AL$8)*($AN$8-$AM$8))),$AM$8)</f>
        <v/>
      </c>
      <c r="AO990">
        <f>IFERROR(IF(AX990&lt;($AM$9-$AL$9)/($AN$9-$AL$9),$AL$9+SQRT(AX990*($AN$9-$AL$9)*($AM$9-$AL$9)),$AN$9-SQRT((1-AX990)*($AN$9-$AL$9)*($AN$9-$AM$9))),$AM$9)</f>
        <v/>
      </c>
      <c r="AP990">
        <f>IFERROR(IF(AY990&lt;($AM$10-$AL$10)/($AN$10-$AL$10),$AL$10+SQRT(AY990*($AN$10-$AL$10)*($AM$10-$AL$10)),$AN$10-SQRT((1-AY990)*($AN$10-$AL$10)*($AN$10-$AM$10))),$AM$10)</f>
        <v/>
      </c>
      <c r="AQ990">
        <f>IFERROR(IF(AZ990&lt;($AM$11-$AL$11)/($AN$11-$AL$11),$AL$11+SQRT(AZ990*($AN$11-$AL$11)*($AM$11-$AL$11)),$AN$11-SQRT((1-AZ990)*($AN$11-$AL$11)*($AN$11-$AM$11))),$AM$11)</f>
        <v/>
      </c>
      <c r="AR990">
        <f>SUMPRODUCT((B24:B31&lt;=$B$6)*(C24:C31*AM990+D24:D31*AO990*$B$8*AQ990)/(1+AL990/100)^B24:B31)+C32*AM990*AP990/(1+AL990/100)^$B$6</f>
        <v/>
      </c>
      <c r="AS990">
        <f>SUMPRODUCT((K24:K26&lt;=$B$6)*(L24:L26*AN990+M24:M26*AO990*$B$8*AQ990)/(1+AL990/100)^K24:K26)+L27*AN990*AP990/(1+AL990/100)^$B$6</f>
        <v/>
      </c>
      <c r="AT990">
        <f>AS990-AR990</f>
        <v/>
      </c>
      <c r="AU990">
        <f>RAND()</f>
        <v/>
      </c>
      <c r="AV990">
        <f>RAND()</f>
        <v/>
      </c>
      <c r="AW990">
        <f>RAND()</f>
        <v/>
      </c>
      <c r="AX990">
        <f>RAND()</f>
        <v/>
      </c>
      <c r="AY990">
        <f>RAND()</f>
        <v/>
      </c>
      <c r="AZ990">
        <f>RAND()</f>
        <v/>
      </c>
    </row>
    <row r="991">
      <c r="AK991" t="n">
        <v>978</v>
      </c>
      <c r="AL991">
        <f>IFERROR(IF(AU991&lt;($AM$6-$AL$6)/($AN$6-$AL$6),$AL$6+SQRT(AU991*($AN$6-$AL$6)*($AM$6-$AL$6)),$AN$6-SQRT((1-AU991)*($AN$6-$AL$6)*($AN$6-$AM$6))),$AM$6)</f>
        <v/>
      </c>
      <c r="AM991">
        <f>IFERROR(IF(AV991&lt;($AM$7-$AL$7)/($AN$7-$AL$7),$AL$7+SQRT(AV991*($AN$7-$AL$7)*($AM$7-$AL$7)),$AN$7-SQRT((1-AV991)*($AN$7-$AL$7)*($AN$7-$AM$7))),$AM$7)</f>
        <v/>
      </c>
      <c r="AN991">
        <f>IFERROR(IF(AW991&lt;($AM$8-$AL$8)/($AN$8-$AL$8),$AL$8+SQRT(AW991*($AN$8-$AL$8)*($AM$8-$AL$8)),$AN$8-SQRT((1-AW991)*($AN$8-$AL$8)*($AN$8-$AM$8))),$AM$8)</f>
        <v/>
      </c>
      <c r="AO991">
        <f>IFERROR(IF(AX991&lt;($AM$9-$AL$9)/($AN$9-$AL$9),$AL$9+SQRT(AX991*($AN$9-$AL$9)*($AM$9-$AL$9)),$AN$9-SQRT((1-AX991)*($AN$9-$AL$9)*($AN$9-$AM$9))),$AM$9)</f>
        <v/>
      </c>
      <c r="AP991">
        <f>IFERROR(IF(AY991&lt;($AM$10-$AL$10)/($AN$10-$AL$10),$AL$10+SQRT(AY991*($AN$10-$AL$10)*($AM$10-$AL$10)),$AN$10-SQRT((1-AY991)*($AN$10-$AL$10)*($AN$10-$AM$10))),$AM$10)</f>
        <v/>
      </c>
      <c r="AQ991">
        <f>IFERROR(IF(AZ991&lt;($AM$11-$AL$11)/($AN$11-$AL$11),$AL$11+SQRT(AZ991*($AN$11-$AL$11)*($AM$11-$AL$11)),$AN$11-SQRT((1-AZ991)*($AN$11-$AL$11)*($AN$11-$AM$11))),$AM$11)</f>
        <v/>
      </c>
      <c r="AR991">
        <f>SUMPRODUCT((B24:B31&lt;=$B$6)*(C24:C31*AM991+D24:D31*AO991*$B$8*AQ991)/(1+AL991/100)^B24:B31)+C32*AM991*AP991/(1+AL991/100)^$B$6</f>
        <v/>
      </c>
      <c r="AS991">
        <f>SUMPRODUCT((K24:K26&lt;=$B$6)*(L24:L26*AN991+M24:M26*AO991*$B$8*AQ991)/(1+AL991/100)^K24:K26)+L27*AN991*AP991/(1+AL991/100)^$B$6</f>
        <v/>
      </c>
      <c r="AT991">
        <f>AS991-AR991</f>
        <v/>
      </c>
      <c r="AU991">
        <f>RAND()</f>
        <v/>
      </c>
      <c r="AV991">
        <f>RAND()</f>
        <v/>
      </c>
      <c r="AW991">
        <f>RAND()</f>
        <v/>
      </c>
      <c r="AX991">
        <f>RAND()</f>
        <v/>
      </c>
      <c r="AY991">
        <f>RAND()</f>
        <v/>
      </c>
      <c r="AZ991">
        <f>RAND()</f>
        <v/>
      </c>
    </row>
    <row r="992">
      <c r="AK992" t="n">
        <v>979</v>
      </c>
      <c r="AL992">
        <f>IFERROR(IF(AU992&lt;($AM$6-$AL$6)/($AN$6-$AL$6),$AL$6+SQRT(AU992*($AN$6-$AL$6)*($AM$6-$AL$6)),$AN$6-SQRT((1-AU992)*($AN$6-$AL$6)*($AN$6-$AM$6))),$AM$6)</f>
        <v/>
      </c>
      <c r="AM992">
        <f>IFERROR(IF(AV992&lt;($AM$7-$AL$7)/($AN$7-$AL$7),$AL$7+SQRT(AV992*($AN$7-$AL$7)*($AM$7-$AL$7)),$AN$7-SQRT((1-AV992)*($AN$7-$AL$7)*($AN$7-$AM$7))),$AM$7)</f>
        <v/>
      </c>
      <c r="AN992">
        <f>IFERROR(IF(AW992&lt;($AM$8-$AL$8)/($AN$8-$AL$8),$AL$8+SQRT(AW992*($AN$8-$AL$8)*($AM$8-$AL$8)),$AN$8-SQRT((1-AW992)*($AN$8-$AL$8)*($AN$8-$AM$8))),$AM$8)</f>
        <v/>
      </c>
      <c r="AO992">
        <f>IFERROR(IF(AX992&lt;($AM$9-$AL$9)/($AN$9-$AL$9),$AL$9+SQRT(AX992*($AN$9-$AL$9)*($AM$9-$AL$9)),$AN$9-SQRT((1-AX992)*($AN$9-$AL$9)*($AN$9-$AM$9))),$AM$9)</f>
        <v/>
      </c>
      <c r="AP992">
        <f>IFERROR(IF(AY992&lt;($AM$10-$AL$10)/($AN$10-$AL$10),$AL$10+SQRT(AY992*($AN$10-$AL$10)*($AM$10-$AL$10)),$AN$10-SQRT((1-AY992)*($AN$10-$AL$10)*($AN$10-$AM$10))),$AM$10)</f>
        <v/>
      </c>
      <c r="AQ992">
        <f>IFERROR(IF(AZ992&lt;($AM$11-$AL$11)/($AN$11-$AL$11),$AL$11+SQRT(AZ992*($AN$11-$AL$11)*($AM$11-$AL$11)),$AN$11-SQRT((1-AZ992)*($AN$11-$AL$11)*($AN$11-$AM$11))),$AM$11)</f>
        <v/>
      </c>
      <c r="AR992">
        <f>SUMPRODUCT((B24:B31&lt;=$B$6)*(C24:C31*AM992+D24:D31*AO992*$B$8*AQ992)/(1+AL992/100)^B24:B31)+C32*AM992*AP992/(1+AL992/100)^$B$6</f>
        <v/>
      </c>
      <c r="AS992">
        <f>SUMPRODUCT((K24:K26&lt;=$B$6)*(L24:L26*AN992+M24:M26*AO992*$B$8*AQ992)/(1+AL992/100)^K24:K26)+L27*AN992*AP992/(1+AL992/100)^$B$6</f>
        <v/>
      </c>
      <c r="AT992">
        <f>AS992-AR992</f>
        <v/>
      </c>
      <c r="AU992">
        <f>RAND()</f>
        <v/>
      </c>
      <c r="AV992">
        <f>RAND()</f>
        <v/>
      </c>
      <c r="AW992">
        <f>RAND()</f>
        <v/>
      </c>
      <c r="AX992">
        <f>RAND()</f>
        <v/>
      </c>
      <c r="AY992">
        <f>RAND()</f>
        <v/>
      </c>
      <c r="AZ992">
        <f>RAND()</f>
        <v/>
      </c>
    </row>
    <row r="993">
      <c r="AK993" t="n">
        <v>980</v>
      </c>
      <c r="AL993">
        <f>IFERROR(IF(AU993&lt;($AM$6-$AL$6)/($AN$6-$AL$6),$AL$6+SQRT(AU993*($AN$6-$AL$6)*($AM$6-$AL$6)),$AN$6-SQRT((1-AU993)*($AN$6-$AL$6)*($AN$6-$AM$6))),$AM$6)</f>
        <v/>
      </c>
      <c r="AM993">
        <f>IFERROR(IF(AV993&lt;($AM$7-$AL$7)/($AN$7-$AL$7),$AL$7+SQRT(AV993*($AN$7-$AL$7)*($AM$7-$AL$7)),$AN$7-SQRT((1-AV993)*($AN$7-$AL$7)*($AN$7-$AM$7))),$AM$7)</f>
        <v/>
      </c>
      <c r="AN993">
        <f>IFERROR(IF(AW993&lt;($AM$8-$AL$8)/($AN$8-$AL$8),$AL$8+SQRT(AW993*($AN$8-$AL$8)*($AM$8-$AL$8)),$AN$8-SQRT((1-AW993)*($AN$8-$AL$8)*($AN$8-$AM$8))),$AM$8)</f>
        <v/>
      </c>
      <c r="AO993">
        <f>IFERROR(IF(AX993&lt;($AM$9-$AL$9)/($AN$9-$AL$9),$AL$9+SQRT(AX993*($AN$9-$AL$9)*($AM$9-$AL$9)),$AN$9-SQRT((1-AX993)*($AN$9-$AL$9)*($AN$9-$AM$9))),$AM$9)</f>
        <v/>
      </c>
      <c r="AP993">
        <f>IFERROR(IF(AY993&lt;($AM$10-$AL$10)/($AN$10-$AL$10),$AL$10+SQRT(AY993*($AN$10-$AL$10)*($AM$10-$AL$10)),$AN$10-SQRT((1-AY993)*($AN$10-$AL$10)*($AN$10-$AM$10))),$AM$10)</f>
        <v/>
      </c>
      <c r="AQ993">
        <f>IFERROR(IF(AZ993&lt;($AM$11-$AL$11)/($AN$11-$AL$11),$AL$11+SQRT(AZ993*($AN$11-$AL$11)*($AM$11-$AL$11)),$AN$11-SQRT((1-AZ993)*($AN$11-$AL$11)*($AN$11-$AM$11))),$AM$11)</f>
        <v/>
      </c>
      <c r="AR993">
        <f>SUMPRODUCT((B24:B31&lt;=$B$6)*(C24:C31*AM993+D24:D31*AO993*$B$8*AQ993)/(1+AL993/100)^B24:B31)+C32*AM993*AP993/(1+AL993/100)^$B$6</f>
        <v/>
      </c>
      <c r="AS993">
        <f>SUMPRODUCT((K24:K26&lt;=$B$6)*(L24:L26*AN993+M24:M26*AO993*$B$8*AQ993)/(1+AL993/100)^K24:K26)+L27*AN993*AP993/(1+AL993/100)^$B$6</f>
        <v/>
      </c>
      <c r="AT993">
        <f>AS993-AR993</f>
        <v/>
      </c>
      <c r="AU993">
        <f>RAND()</f>
        <v/>
      </c>
      <c r="AV993">
        <f>RAND()</f>
        <v/>
      </c>
      <c r="AW993">
        <f>RAND()</f>
        <v/>
      </c>
      <c r="AX993">
        <f>RAND()</f>
        <v/>
      </c>
      <c r="AY993">
        <f>RAND()</f>
        <v/>
      </c>
      <c r="AZ993">
        <f>RAND()</f>
        <v/>
      </c>
    </row>
    <row r="994">
      <c r="AK994" t="n">
        <v>981</v>
      </c>
      <c r="AL994">
        <f>IFERROR(IF(AU994&lt;($AM$6-$AL$6)/($AN$6-$AL$6),$AL$6+SQRT(AU994*($AN$6-$AL$6)*($AM$6-$AL$6)),$AN$6-SQRT((1-AU994)*($AN$6-$AL$6)*($AN$6-$AM$6))),$AM$6)</f>
        <v/>
      </c>
      <c r="AM994">
        <f>IFERROR(IF(AV994&lt;($AM$7-$AL$7)/($AN$7-$AL$7),$AL$7+SQRT(AV994*($AN$7-$AL$7)*($AM$7-$AL$7)),$AN$7-SQRT((1-AV994)*($AN$7-$AL$7)*($AN$7-$AM$7))),$AM$7)</f>
        <v/>
      </c>
      <c r="AN994">
        <f>IFERROR(IF(AW994&lt;($AM$8-$AL$8)/($AN$8-$AL$8),$AL$8+SQRT(AW994*($AN$8-$AL$8)*($AM$8-$AL$8)),$AN$8-SQRT((1-AW994)*($AN$8-$AL$8)*($AN$8-$AM$8))),$AM$8)</f>
        <v/>
      </c>
      <c r="AO994">
        <f>IFERROR(IF(AX994&lt;($AM$9-$AL$9)/($AN$9-$AL$9),$AL$9+SQRT(AX994*($AN$9-$AL$9)*($AM$9-$AL$9)),$AN$9-SQRT((1-AX994)*($AN$9-$AL$9)*($AN$9-$AM$9))),$AM$9)</f>
        <v/>
      </c>
      <c r="AP994">
        <f>IFERROR(IF(AY994&lt;($AM$10-$AL$10)/($AN$10-$AL$10),$AL$10+SQRT(AY994*($AN$10-$AL$10)*($AM$10-$AL$10)),$AN$10-SQRT((1-AY994)*($AN$10-$AL$10)*($AN$10-$AM$10))),$AM$10)</f>
        <v/>
      </c>
      <c r="AQ994">
        <f>IFERROR(IF(AZ994&lt;($AM$11-$AL$11)/($AN$11-$AL$11),$AL$11+SQRT(AZ994*($AN$11-$AL$11)*($AM$11-$AL$11)),$AN$11-SQRT((1-AZ994)*($AN$11-$AL$11)*($AN$11-$AM$11))),$AM$11)</f>
        <v/>
      </c>
      <c r="AR994">
        <f>SUMPRODUCT((B24:B31&lt;=$B$6)*(C24:C31*AM994+D24:D31*AO994*$B$8*AQ994)/(1+AL994/100)^B24:B31)+C32*AM994*AP994/(1+AL994/100)^$B$6</f>
        <v/>
      </c>
      <c r="AS994">
        <f>SUMPRODUCT((K24:K26&lt;=$B$6)*(L24:L26*AN994+M24:M26*AO994*$B$8*AQ994)/(1+AL994/100)^K24:K26)+L27*AN994*AP994/(1+AL994/100)^$B$6</f>
        <v/>
      </c>
      <c r="AT994">
        <f>AS994-AR994</f>
        <v/>
      </c>
      <c r="AU994">
        <f>RAND()</f>
        <v/>
      </c>
      <c r="AV994">
        <f>RAND()</f>
        <v/>
      </c>
      <c r="AW994">
        <f>RAND()</f>
        <v/>
      </c>
      <c r="AX994">
        <f>RAND()</f>
        <v/>
      </c>
      <c r="AY994">
        <f>RAND()</f>
        <v/>
      </c>
      <c r="AZ994">
        <f>RAND()</f>
        <v/>
      </c>
    </row>
    <row r="995">
      <c r="AK995" t="n">
        <v>982</v>
      </c>
      <c r="AL995">
        <f>IFERROR(IF(AU995&lt;($AM$6-$AL$6)/($AN$6-$AL$6),$AL$6+SQRT(AU995*($AN$6-$AL$6)*($AM$6-$AL$6)),$AN$6-SQRT((1-AU995)*($AN$6-$AL$6)*($AN$6-$AM$6))),$AM$6)</f>
        <v/>
      </c>
      <c r="AM995">
        <f>IFERROR(IF(AV995&lt;($AM$7-$AL$7)/($AN$7-$AL$7),$AL$7+SQRT(AV995*($AN$7-$AL$7)*($AM$7-$AL$7)),$AN$7-SQRT((1-AV995)*($AN$7-$AL$7)*($AN$7-$AM$7))),$AM$7)</f>
        <v/>
      </c>
      <c r="AN995">
        <f>IFERROR(IF(AW995&lt;($AM$8-$AL$8)/($AN$8-$AL$8),$AL$8+SQRT(AW995*($AN$8-$AL$8)*($AM$8-$AL$8)),$AN$8-SQRT((1-AW995)*($AN$8-$AL$8)*($AN$8-$AM$8))),$AM$8)</f>
        <v/>
      </c>
      <c r="AO995">
        <f>IFERROR(IF(AX995&lt;($AM$9-$AL$9)/($AN$9-$AL$9),$AL$9+SQRT(AX995*($AN$9-$AL$9)*($AM$9-$AL$9)),$AN$9-SQRT((1-AX995)*($AN$9-$AL$9)*($AN$9-$AM$9))),$AM$9)</f>
        <v/>
      </c>
      <c r="AP995">
        <f>IFERROR(IF(AY995&lt;($AM$10-$AL$10)/($AN$10-$AL$10),$AL$10+SQRT(AY995*($AN$10-$AL$10)*($AM$10-$AL$10)),$AN$10-SQRT((1-AY995)*($AN$10-$AL$10)*($AN$10-$AM$10))),$AM$10)</f>
        <v/>
      </c>
      <c r="AQ995">
        <f>IFERROR(IF(AZ995&lt;($AM$11-$AL$11)/($AN$11-$AL$11),$AL$11+SQRT(AZ995*($AN$11-$AL$11)*($AM$11-$AL$11)),$AN$11-SQRT((1-AZ995)*($AN$11-$AL$11)*($AN$11-$AM$11))),$AM$11)</f>
        <v/>
      </c>
      <c r="AR995">
        <f>SUMPRODUCT((B24:B31&lt;=$B$6)*(C24:C31*AM995+D24:D31*AO995*$B$8*AQ995)/(1+AL995/100)^B24:B31)+C32*AM995*AP995/(1+AL995/100)^$B$6</f>
        <v/>
      </c>
      <c r="AS995">
        <f>SUMPRODUCT((K24:K26&lt;=$B$6)*(L24:L26*AN995+M24:M26*AO995*$B$8*AQ995)/(1+AL995/100)^K24:K26)+L27*AN995*AP995/(1+AL995/100)^$B$6</f>
        <v/>
      </c>
      <c r="AT995">
        <f>AS995-AR995</f>
        <v/>
      </c>
      <c r="AU995">
        <f>RAND()</f>
        <v/>
      </c>
      <c r="AV995">
        <f>RAND()</f>
        <v/>
      </c>
      <c r="AW995">
        <f>RAND()</f>
        <v/>
      </c>
      <c r="AX995">
        <f>RAND()</f>
        <v/>
      </c>
      <c r="AY995">
        <f>RAND()</f>
        <v/>
      </c>
      <c r="AZ995">
        <f>RAND()</f>
        <v/>
      </c>
    </row>
    <row r="996">
      <c r="AK996" t="n">
        <v>983</v>
      </c>
      <c r="AL996">
        <f>IFERROR(IF(AU996&lt;($AM$6-$AL$6)/($AN$6-$AL$6),$AL$6+SQRT(AU996*($AN$6-$AL$6)*($AM$6-$AL$6)),$AN$6-SQRT((1-AU996)*($AN$6-$AL$6)*($AN$6-$AM$6))),$AM$6)</f>
        <v/>
      </c>
      <c r="AM996">
        <f>IFERROR(IF(AV996&lt;($AM$7-$AL$7)/($AN$7-$AL$7),$AL$7+SQRT(AV996*($AN$7-$AL$7)*($AM$7-$AL$7)),$AN$7-SQRT((1-AV996)*($AN$7-$AL$7)*($AN$7-$AM$7))),$AM$7)</f>
        <v/>
      </c>
      <c r="AN996">
        <f>IFERROR(IF(AW996&lt;($AM$8-$AL$8)/($AN$8-$AL$8),$AL$8+SQRT(AW996*($AN$8-$AL$8)*($AM$8-$AL$8)),$AN$8-SQRT((1-AW996)*($AN$8-$AL$8)*($AN$8-$AM$8))),$AM$8)</f>
        <v/>
      </c>
      <c r="AO996">
        <f>IFERROR(IF(AX996&lt;($AM$9-$AL$9)/($AN$9-$AL$9),$AL$9+SQRT(AX996*($AN$9-$AL$9)*($AM$9-$AL$9)),$AN$9-SQRT((1-AX996)*($AN$9-$AL$9)*($AN$9-$AM$9))),$AM$9)</f>
        <v/>
      </c>
      <c r="AP996">
        <f>IFERROR(IF(AY996&lt;($AM$10-$AL$10)/($AN$10-$AL$10),$AL$10+SQRT(AY996*($AN$10-$AL$10)*($AM$10-$AL$10)),$AN$10-SQRT((1-AY996)*($AN$10-$AL$10)*($AN$10-$AM$10))),$AM$10)</f>
        <v/>
      </c>
      <c r="AQ996">
        <f>IFERROR(IF(AZ996&lt;($AM$11-$AL$11)/($AN$11-$AL$11),$AL$11+SQRT(AZ996*($AN$11-$AL$11)*($AM$11-$AL$11)),$AN$11-SQRT((1-AZ996)*($AN$11-$AL$11)*($AN$11-$AM$11))),$AM$11)</f>
        <v/>
      </c>
      <c r="AR996">
        <f>SUMPRODUCT((B24:B31&lt;=$B$6)*(C24:C31*AM996+D24:D31*AO996*$B$8*AQ996)/(1+AL996/100)^B24:B31)+C32*AM996*AP996/(1+AL996/100)^$B$6</f>
        <v/>
      </c>
      <c r="AS996">
        <f>SUMPRODUCT((K24:K26&lt;=$B$6)*(L24:L26*AN996+M24:M26*AO996*$B$8*AQ996)/(1+AL996/100)^K24:K26)+L27*AN996*AP996/(1+AL996/100)^$B$6</f>
        <v/>
      </c>
      <c r="AT996">
        <f>AS996-AR996</f>
        <v/>
      </c>
      <c r="AU996">
        <f>RAND()</f>
        <v/>
      </c>
      <c r="AV996">
        <f>RAND()</f>
        <v/>
      </c>
      <c r="AW996">
        <f>RAND()</f>
        <v/>
      </c>
      <c r="AX996">
        <f>RAND()</f>
        <v/>
      </c>
      <c r="AY996">
        <f>RAND()</f>
        <v/>
      </c>
      <c r="AZ996">
        <f>RAND()</f>
        <v/>
      </c>
    </row>
    <row r="997">
      <c r="AK997" t="n">
        <v>984</v>
      </c>
      <c r="AL997">
        <f>IFERROR(IF(AU997&lt;($AM$6-$AL$6)/($AN$6-$AL$6),$AL$6+SQRT(AU997*($AN$6-$AL$6)*($AM$6-$AL$6)),$AN$6-SQRT((1-AU997)*($AN$6-$AL$6)*($AN$6-$AM$6))),$AM$6)</f>
        <v/>
      </c>
      <c r="AM997">
        <f>IFERROR(IF(AV997&lt;($AM$7-$AL$7)/($AN$7-$AL$7),$AL$7+SQRT(AV997*($AN$7-$AL$7)*($AM$7-$AL$7)),$AN$7-SQRT((1-AV997)*($AN$7-$AL$7)*($AN$7-$AM$7))),$AM$7)</f>
        <v/>
      </c>
      <c r="AN997">
        <f>IFERROR(IF(AW997&lt;($AM$8-$AL$8)/($AN$8-$AL$8),$AL$8+SQRT(AW997*($AN$8-$AL$8)*($AM$8-$AL$8)),$AN$8-SQRT((1-AW997)*($AN$8-$AL$8)*($AN$8-$AM$8))),$AM$8)</f>
        <v/>
      </c>
      <c r="AO997">
        <f>IFERROR(IF(AX997&lt;($AM$9-$AL$9)/($AN$9-$AL$9),$AL$9+SQRT(AX997*($AN$9-$AL$9)*($AM$9-$AL$9)),$AN$9-SQRT((1-AX997)*($AN$9-$AL$9)*($AN$9-$AM$9))),$AM$9)</f>
        <v/>
      </c>
      <c r="AP997">
        <f>IFERROR(IF(AY997&lt;($AM$10-$AL$10)/($AN$10-$AL$10),$AL$10+SQRT(AY997*($AN$10-$AL$10)*($AM$10-$AL$10)),$AN$10-SQRT((1-AY997)*($AN$10-$AL$10)*($AN$10-$AM$10))),$AM$10)</f>
        <v/>
      </c>
      <c r="AQ997">
        <f>IFERROR(IF(AZ997&lt;($AM$11-$AL$11)/($AN$11-$AL$11),$AL$11+SQRT(AZ997*($AN$11-$AL$11)*($AM$11-$AL$11)),$AN$11-SQRT((1-AZ997)*($AN$11-$AL$11)*($AN$11-$AM$11))),$AM$11)</f>
        <v/>
      </c>
      <c r="AR997">
        <f>SUMPRODUCT((B24:B31&lt;=$B$6)*(C24:C31*AM997+D24:D31*AO997*$B$8*AQ997)/(1+AL997/100)^B24:B31)+C32*AM997*AP997/(1+AL997/100)^$B$6</f>
        <v/>
      </c>
      <c r="AS997">
        <f>SUMPRODUCT((K24:K26&lt;=$B$6)*(L24:L26*AN997+M24:M26*AO997*$B$8*AQ997)/(1+AL997/100)^K24:K26)+L27*AN997*AP997/(1+AL997/100)^$B$6</f>
        <v/>
      </c>
      <c r="AT997">
        <f>AS997-AR997</f>
        <v/>
      </c>
      <c r="AU997">
        <f>RAND()</f>
        <v/>
      </c>
      <c r="AV997">
        <f>RAND()</f>
        <v/>
      </c>
      <c r="AW997">
        <f>RAND()</f>
        <v/>
      </c>
      <c r="AX997">
        <f>RAND()</f>
        <v/>
      </c>
      <c r="AY997">
        <f>RAND()</f>
        <v/>
      </c>
      <c r="AZ997">
        <f>RAND()</f>
        <v/>
      </c>
    </row>
    <row r="998">
      <c r="AK998" t="n">
        <v>985</v>
      </c>
      <c r="AL998">
        <f>IFERROR(IF(AU998&lt;($AM$6-$AL$6)/($AN$6-$AL$6),$AL$6+SQRT(AU998*($AN$6-$AL$6)*($AM$6-$AL$6)),$AN$6-SQRT((1-AU998)*($AN$6-$AL$6)*($AN$6-$AM$6))),$AM$6)</f>
        <v/>
      </c>
      <c r="AM998">
        <f>IFERROR(IF(AV998&lt;($AM$7-$AL$7)/($AN$7-$AL$7),$AL$7+SQRT(AV998*($AN$7-$AL$7)*($AM$7-$AL$7)),$AN$7-SQRT((1-AV998)*($AN$7-$AL$7)*($AN$7-$AM$7))),$AM$7)</f>
        <v/>
      </c>
      <c r="AN998">
        <f>IFERROR(IF(AW998&lt;($AM$8-$AL$8)/($AN$8-$AL$8),$AL$8+SQRT(AW998*($AN$8-$AL$8)*($AM$8-$AL$8)),$AN$8-SQRT((1-AW998)*($AN$8-$AL$8)*($AN$8-$AM$8))),$AM$8)</f>
        <v/>
      </c>
      <c r="AO998">
        <f>IFERROR(IF(AX998&lt;($AM$9-$AL$9)/($AN$9-$AL$9),$AL$9+SQRT(AX998*($AN$9-$AL$9)*($AM$9-$AL$9)),$AN$9-SQRT((1-AX998)*($AN$9-$AL$9)*($AN$9-$AM$9))),$AM$9)</f>
        <v/>
      </c>
      <c r="AP998">
        <f>IFERROR(IF(AY998&lt;($AM$10-$AL$10)/($AN$10-$AL$10),$AL$10+SQRT(AY998*($AN$10-$AL$10)*($AM$10-$AL$10)),$AN$10-SQRT((1-AY998)*($AN$10-$AL$10)*($AN$10-$AM$10))),$AM$10)</f>
        <v/>
      </c>
      <c r="AQ998">
        <f>IFERROR(IF(AZ998&lt;($AM$11-$AL$11)/($AN$11-$AL$11),$AL$11+SQRT(AZ998*($AN$11-$AL$11)*($AM$11-$AL$11)),$AN$11-SQRT((1-AZ998)*($AN$11-$AL$11)*($AN$11-$AM$11))),$AM$11)</f>
        <v/>
      </c>
      <c r="AR998">
        <f>SUMPRODUCT((B24:B31&lt;=$B$6)*(C24:C31*AM998+D24:D31*AO998*$B$8*AQ998)/(1+AL998/100)^B24:B31)+C32*AM998*AP998/(1+AL998/100)^$B$6</f>
        <v/>
      </c>
      <c r="AS998">
        <f>SUMPRODUCT((K24:K26&lt;=$B$6)*(L24:L26*AN998+M24:M26*AO998*$B$8*AQ998)/(1+AL998/100)^K24:K26)+L27*AN998*AP998/(1+AL998/100)^$B$6</f>
        <v/>
      </c>
      <c r="AT998">
        <f>AS998-AR998</f>
        <v/>
      </c>
      <c r="AU998">
        <f>RAND()</f>
        <v/>
      </c>
      <c r="AV998">
        <f>RAND()</f>
        <v/>
      </c>
      <c r="AW998">
        <f>RAND()</f>
        <v/>
      </c>
      <c r="AX998">
        <f>RAND()</f>
        <v/>
      </c>
      <c r="AY998">
        <f>RAND()</f>
        <v/>
      </c>
      <c r="AZ998">
        <f>RAND()</f>
        <v/>
      </c>
    </row>
    <row r="999">
      <c r="AK999" t="n">
        <v>986</v>
      </c>
      <c r="AL999">
        <f>IFERROR(IF(AU999&lt;($AM$6-$AL$6)/($AN$6-$AL$6),$AL$6+SQRT(AU999*($AN$6-$AL$6)*($AM$6-$AL$6)),$AN$6-SQRT((1-AU999)*($AN$6-$AL$6)*($AN$6-$AM$6))),$AM$6)</f>
        <v/>
      </c>
      <c r="AM999">
        <f>IFERROR(IF(AV999&lt;($AM$7-$AL$7)/($AN$7-$AL$7),$AL$7+SQRT(AV999*($AN$7-$AL$7)*($AM$7-$AL$7)),$AN$7-SQRT((1-AV999)*($AN$7-$AL$7)*($AN$7-$AM$7))),$AM$7)</f>
        <v/>
      </c>
      <c r="AN999">
        <f>IFERROR(IF(AW999&lt;($AM$8-$AL$8)/($AN$8-$AL$8),$AL$8+SQRT(AW999*($AN$8-$AL$8)*($AM$8-$AL$8)),$AN$8-SQRT((1-AW999)*($AN$8-$AL$8)*($AN$8-$AM$8))),$AM$8)</f>
        <v/>
      </c>
      <c r="AO999">
        <f>IFERROR(IF(AX999&lt;($AM$9-$AL$9)/($AN$9-$AL$9),$AL$9+SQRT(AX999*($AN$9-$AL$9)*($AM$9-$AL$9)),$AN$9-SQRT((1-AX999)*($AN$9-$AL$9)*($AN$9-$AM$9))),$AM$9)</f>
        <v/>
      </c>
      <c r="AP999">
        <f>IFERROR(IF(AY999&lt;($AM$10-$AL$10)/($AN$10-$AL$10),$AL$10+SQRT(AY999*($AN$10-$AL$10)*($AM$10-$AL$10)),$AN$10-SQRT((1-AY999)*($AN$10-$AL$10)*($AN$10-$AM$10))),$AM$10)</f>
        <v/>
      </c>
      <c r="AQ999">
        <f>IFERROR(IF(AZ999&lt;($AM$11-$AL$11)/($AN$11-$AL$11),$AL$11+SQRT(AZ999*($AN$11-$AL$11)*($AM$11-$AL$11)),$AN$11-SQRT((1-AZ999)*($AN$11-$AL$11)*($AN$11-$AM$11))),$AM$11)</f>
        <v/>
      </c>
      <c r="AR999">
        <f>SUMPRODUCT((B24:B31&lt;=$B$6)*(C24:C31*AM999+D24:D31*AO999*$B$8*AQ999)/(1+AL999/100)^B24:B31)+C32*AM999*AP999/(1+AL999/100)^$B$6</f>
        <v/>
      </c>
      <c r="AS999">
        <f>SUMPRODUCT((K24:K26&lt;=$B$6)*(L24:L26*AN999+M24:M26*AO999*$B$8*AQ999)/(1+AL999/100)^K24:K26)+L27*AN999*AP999/(1+AL999/100)^$B$6</f>
        <v/>
      </c>
      <c r="AT999">
        <f>AS999-AR999</f>
        <v/>
      </c>
      <c r="AU999">
        <f>RAND()</f>
        <v/>
      </c>
      <c r="AV999">
        <f>RAND()</f>
        <v/>
      </c>
      <c r="AW999">
        <f>RAND()</f>
        <v/>
      </c>
      <c r="AX999">
        <f>RAND()</f>
        <v/>
      </c>
      <c r="AY999">
        <f>RAND()</f>
        <v/>
      </c>
      <c r="AZ999">
        <f>RAND()</f>
        <v/>
      </c>
    </row>
    <row r="1000">
      <c r="AK1000" t="n">
        <v>987</v>
      </c>
      <c r="AL1000">
        <f>IFERROR(IF(AU1000&lt;($AM$6-$AL$6)/($AN$6-$AL$6),$AL$6+SQRT(AU1000*($AN$6-$AL$6)*($AM$6-$AL$6)),$AN$6-SQRT((1-AU1000)*($AN$6-$AL$6)*($AN$6-$AM$6))),$AM$6)</f>
        <v/>
      </c>
      <c r="AM1000">
        <f>IFERROR(IF(AV1000&lt;($AM$7-$AL$7)/($AN$7-$AL$7),$AL$7+SQRT(AV1000*($AN$7-$AL$7)*($AM$7-$AL$7)),$AN$7-SQRT((1-AV1000)*($AN$7-$AL$7)*($AN$7-$AM$7))),$AM$7)</f>
        <v/>
      </c>
      <c r="AN1000">
        <f>IFERROR(IF(AW1000&lt;($AM$8-$AL$8)/($AN$8-$AL$8),$AL$8+SQRT(AW1000*($AN$8-$AL$8)*($AM$8-$AL$8)),$AN$8-SQRT((1-AW1000)*($AN$8-$AL$8)*($AN$8-$AM$8))),$AM$8)</f>
        <v/>
      </c>
      <c r="AO1000">
        <f>IFERROR(IF(AX1000&lt;($AM$9-$AL$9)/($AN$9-$AL$9),$AL$9+SQRT(AX1000*($AN$9-$AL$9)*($AM$9-$AL$9)),$AN$9-SQRT((1-AX1000)*($AN$9-$AL$9)*($AN$9-$AM$9))),$AM$9)</f>
        <v/>
      </c>
      <c r="AP1000">
        <f>IFERROR(IF(AY1000&lt;($AM$10-$AL$10)/($AN$10-$AL$10),$AL$10+SQRT(AY1000*($AN$10-$AL$10)*($AM$10-$AL$10)),$AN$10-SQRT((1-AY1000)*($AN$10-$AL$10)*($AN$10-$AM$10))),$AM$10)</f>
        <v/>
      </c>
      <c r="AQ1000">
        <f>IFERROR(IF(AZ1000&lt;($AM$11-$AL$11)/($AN$11-$AL$11),$AL$11+SQRT(AZ1000*($AN$11-$AL$11)*($AM$11-$AL$11)),$AN$11-SQRT((1-AZ1000)*($AN$11-$AL$11)*($AN$11-$AM$11))),$AM$11)</f>
        <v/>
      </c>
      <c r="AR1000">
        <f>SUMPRODUCT((B24:B31&lt;=$B$6)*(C24:C31*AM1000+D24:D31*AO1000*$B$8*AQ1000)/(1+AL1000/100)^B24:B31)+C32*AM1000*AP1000/(1+AL1000/100)^$B$6</f>
        <v/>
      </c>
      <c r="AS1000">
        <f>SUMPRODUCT((K24:K26&lt;=$B$6)*(L24:L26*AN1000+M24:M26*AO1000*$B$8*AQ1000)/(1+AL1000/100)^K24:K26)+L27*AN1000*AP1000/(1+AL1000/100)^$B$6</f>
        <v/>
      </c>
      <c r="AT1000">
        <f>AS1000-AR1000</f>
        <v/>
      </c>
      <c r="AU1000">
        <f>RAND()</f>
        <v/>
      </c>
      <c r="AV1000">
        <f>RAND()</f>
        <v/>
      </c>
      <c r="AW1000">
        <f>RAND()</f>
        <v/>
      </c>
      <c r="AX1000">
        <f>RAND()</f>
        <v/>
      </c>
      <c r="AY1000">
        <f>RAND()</f>
        <v/>
      </c>
      <c r="AZ1000">
        <f>RAND()</f>
        <v/>
      </c>
    </row>
    <row r="1001">
      <c r="AK1001" t="n">
        <v>988</v>
      </c>
      <c r="AL1001">
        <f>IFERROR(IF(AU1001&lt;($AM$6-$AL$6)/($AN$6-$AL$6),$AL$6+SQRT(AU1001*($AN$6-$AL$6)*($AM$6-$AL$6)),$AN$6-SQRT((1-AU1001)*($AN$6-$AL$6)*($AN$6-$AM$6))),$AM$6)</f>
        <v/>
      </c>
      <c r="AM1001">
        <f>IFERROR(IF(AV1001&lt;($AM$7-$AL$7)/($AN$7-$AL$7),$AL$7+SQRT(AV1001*($AN$7-$AL$7)*($AM$7-$AL$7)),$AN$7-SQRT((1-AV1001)*($AN$7-$AL$7)*($AN$7-$AM$7))),$AM$7)</f>
        <v/>
      </c>
      <c r="AN1001">
        <f>IFERROR(IF(AW1001&lt;($AM$8-$AL$8)/($AN$8-$AL$8),$AL$8+SQRT(AW1001*($AN$8-$AL$8)*($AM$8-$AL$8)),$AN$8-SQRT((1-AW1001)*($AN$8-$AL$8)*($AN$8-$AM$8))),$AM$8)</f>
        <v/>
      </c>
      <c r="AO1001">
        <f>IFERROR(IF(AX1001&lt;($AM$9-$AL$9)/($AN$9-$AL$9),$AL$9+SQRT(AX1001*($AN$9-$AL$9)*($AM$9-$AL$9)),$AN$9-SQRT((1-AX1001)*($AN$9-$AL$9)*($AN$9-$AM$9))),$AM$9)</f>
        <v/>
      </c>
      <c r="AP1001">
        <f>IFERROR(IF(AY1001&lt;($AM$10-$AL$10)/($AN$10-$AL$10),$AL$10+SQRT(AY1001*($AN$10-$AL$10)*($AM$10-$AL$10)),$AN$10-SQRT((1-AY1001)*($AN$10-$AL$10)*($AN$10-$AM$10))),$AM$10)</f>
        <v/>
      </c>
      <c r="AQ1001">
        <f>IFERROR(IF(AZ1001&lt;($AM$11-$AL$11)/($AN$11-$AL$11),$AL$11+SQRT(AZ1001*($AN$11-$AL$11)*($AM$11-$AL$11)),$AN$11-SQRT((1-AZ1001)*($AN$11-$AL$11)*($AN$11-$AM$11))),$AM$11)</f>
        <v/>
      </c>
      <c r="AR1001">
        <f>SUMPRODUCT((B24:B31&lt;=$B$6)*(C24:C31*AM1001+D24:D31*AO1001*$B$8*AQ1001)/(1+AL1001/100)^B24:B31)+C32*AM1001*AP1001/(1+AL1001/100)^$B$6</f>
        <v/>
      </c>
      <c r="AS1001">
        <f>SUMPRODUCT((K24:K26&lt;=$B$6)*(L24:L26*AN1001+M24:M26*AO1001*$B$8*AQ1001)/(1+AL1001/100)^K24:K26)+L27*AN1001*AP1001/(1+AL1001/100)^$B$6</f>
        <v/>
      </c>
      <c r="AT1001">
        <f>AS1001-AR1001</f>
        <v/>
      </c>
      <c r="AU1001">
        <f>RAND()</f>
        <v/>
      </c>
      <c r="AV1001">
        <f>RAND()</f>
        <v/>
      </c>
      <c r="AW1001">
        <f>RAND()</f>
        <v/>
      </c>
      <c r="AX1001">
        <f>RAND()</f>
        <v/>
      </c>
      <c r="AY1001">
        <f>RAND()</f>
        <v/>
      </c>
      <c r="AZ1001">
        <f>RAND()</f>
        <v/>
      </c>
    </row>
    <row r="1002">
      <c r="AK1002" t="n">
        <v>989</v>
      </c>
      <c r="AL1002">
        <f>IFERROR(IF(AU1002&lt;($AM$6-$AL$6)/($AN$6-$AL$6),$AL$6+SQRT(AU1002*($AN$6-$AL$6)*($AM$6-$AL$6)),$AN$6-SQRT((1-AU1002)*($AN$6-$AL$6)*($AN$6-$AM$6))),$AM$6)</f>
        <v/>
      </c>
      <c r="AM1002">
        <f>IFERROR(IF(AV1002&lt;($AM$7-$AL$7)/($AN$7-$AL$7),$AL$7+SQRT(AV1002*($AN$7-$AL$7)*($AM$7-$AL$7)),$AN$7-SQRT((1-AV1002)*($AN$7-$AL$7)*($AN$7-$AM$7))),$AM$7)</f>
        <v/>
      </c>
      <c r="AN1002">
        <f>IFERROR(IF(AW1002&lt;($AM$8-$AL$8)/($AN$8-$AL$8),$AL$8+SQRT(AW1002*($AN$8-$AL$8)*($AM$8-$AL$8)),$AN$8-SQRT((1-AW1002)*($AN$8-$AL$8)*($AN$8-$AM$8))),$AM$8)</f>
        <v/>
      </c>
      <c r="AO1002">
        <f>IFERROR(IF(AX1002&lt;($AM$9-$AL$9)/($AN$9-$AL$9),$AL$9+SQRT(AX1002*($AN$9-$AL$9)*($AM$9-$AL$9)),$AN$9-SQRT((1-AX1002)*($AN$9-$AL$9)*($AN$9-$AM$9))),$AM$9)</f>
        <v/>
      </c>
      <c r="AP1002">
        <f>IFERROR(IF(AY1002&lt;($AM$10-$AL$10)/($AN$10-$AL$10),$AL$10+SQRT(AY1002*($AN$10-$AL$10)*($AM$10-$AL$10)),$AN$10-SQRT((1-AY1002)*($AN$10-$AL$10)*($AN$10-$AM$10))),$AM$10)</f>
        <v/>
      </c>
      <c r="AQ1002">
        <f>IFERROR(IF(AZ1002&lt;($AM$11-$AL$11)/($AN$11-$AL$11),$AL$11+SQRT(AZ1002*($AN$11-$AL$11)*($AM$11-$AL$11)),$AN$11-SQRT((1-AZ1002)*($AN$11-$AL$11)*($AN$11-$AM$11))),$AM$11)</f>
        <v/>
      </c>
      <c r="AR1002">
        <f>SUMPRODUCT((B24:B31&lt;=$B$6)*(C24:C31*AM1002+D24:D31*AO1002*$B$8*AQ1002)/(1+AL1002/100)^B24:B31)+C32*AM1002*AP1002/(1+AL1002/100)^$B$6</f>
        <v/>
      </c>
      <c r="AS1002">
        <f>SUMPRODUCT((K24:K26&lt;=$B$6)*(L24:L26*AN1002+M24:M26*AO1002*$B$8*AQ1002)/(1+AL1002/100)^K24:K26)+L27*AN1002*AP1002/(1+AL1002/100)^$B$6</f>
        <v/>
      </c>
      <c r="AT1002">
        <f>AS1002-AR1002</f>
        <v/>
      </c>
      <c r="AU1002">
        <f>RAND()</f>
        <v/>
      </c>
      <c r="AV1002">
        <f>RAND()</f>
        <v/>
      </c>
      <c r="AW1002">
        <f>RAND()</f>
        <v/>
      </c>
      <c r="AX1002">
        <f>RAND()</f>
        <v/>
      </c>
      <c r="AY1002">
        <f>RAND()</f>
        <v/>
      </c>
      <c r="AZ1002">
        <f>RAND()</f>
        <v/>
      </c>
    </row>
    <row r="1003">
      <c r="AK1003" t="n">
        <v>990</v>
      </c>
      <c r="AL1003">
        <f>IFERROR(IF(AU1003&lt;($AM$6-$AL$6)/($AN$6-$AL$6),$AL$6+SQRT(AU1003*($AN$6-$AL$6)*($AM$6-$AL$6)),$AN$6-SQRT((1-AU1003)*($AN$6-$AL$6)*($AN$6-$AM$6))),$AM$6)</f>
        <v/>
      </c>
      <c r="AM1003">
        <f>IFERROR(IF(AV1003&lt;($AM$7-$AL$7)/($AN$7-$AL$7),$AL$7+SQRT(AV1003*($AN$7-$AL$7)*($AM$7-$AL$7)),$AN$7-SQRT((1-AV1003)*($AN$7-$AL$7)*($AN$7-$AM$7))),$AM$7)</f>
        <v/>
      </c>
      <c r="AN1003">
        <f>IFERROR(IF(AW1003&lt;($AM$8-$AL$8)/($AN$8-$AL$8),$AL$8+SQRT(AW1003*($AN$8-$AL$8)*($AM$8-$AL$8)),$AN$8-SQRT((1-AW1003)*($AN$8-$AL$8)*($AN$8-$AM$8))),$AM$8)</f>
        <v/>
      </c>
      <c r="AO1003">
        <f>IFERROR(IF(AX1003&lt;($AM$9-$AL$9)/($AN$9-$AL$9),$AL$9+SQRT(AX1003*($AN$9-$AL$9)*($AM$9-$AL$9)),$AN$9-SQRT((1-AX1003)*($AN$9-$AL$9)*($AN$9-$AM$9))),$AM$9)</f>
        <v/>
      </c>
      <c r="AP1003">
        <f>IFERROR(IF(AY1003&lt;($AM$10-$AL$10)/($AN$10-$AL$10),$AL$10+SQRT(AY1003*($AN$10-$AL$10)*($AM$10-$AL$10)),$AN$10-SQRT((1-AY1003)*($AN$10-$AL$10)*($AN$10-$AM$10))),$AM$10)</f>
        <v/>
      </c>
      <c r="AQ1003">
        <f>IFERROR(IF(AZ1003&lt;($AM$11-$AL$11)/($AN$11-$AL$11),$AL$11+SQRT(AZ1003*($AN$11-$AL$11)*($AM$11-$AL$11)),$AN$11-SQRT((1-AZ1003)*($AN$11-$AL$11)*($AN$11-$AM$11))),$AM$11)</f>
        <v/>
      </c>
      <c r="AR1003">
        <f>SUMPRODUCT((B24:B31&lt;=$B$6)*(C24:C31*AM1003+D24:D31*AO1003*$B$8*AQ1003)/(1+AL1003/100)^B24:B31)+C32*AM1003*AP1003/(1+AL1003/100)^$B$6</f>
        <v/>
      </c>
      <c r="AS1003">
        <f>SUMPRODUCT((K24:K26&lt;=$B$6)*(L24:L26*AN1003+M24:M26*AO1003*$B$8*AQ1003)/(1+AL1003/100)^K24:K26)+L27*AN1003*AP1003/(1+AL1003/100)^$B$6</f>
        <v/>
      </c>
      <c r="AT1003">
        <f>AS1003-AR1003</f>
        <v/>
      </c>
      <c r="AU1003">
        <f>RAND()</f>
        <v/>
      </c>
      <c r="AV1003">
        <f>RAND()</f>
        <v/>
      </c>
      <c r="AW1003">
        <f>RAND()</f>
        <v/>
      </c>
      <c r="AX1003">
        <f>RAND()</f>
        <v/>
      </c>
      <c r="AY1003">
        <f>RAND()</f>
        <v/>
      </c>
      <c r="AZ1003">
        <f>RAND()</f>
        <v/>
      </c>
    </row>
    <row r="1004">
      <c r="AK1004" t="n">
        <v>991</v>
      </c>
      <c r="AL1004">
        <f>IFERROR(IF(AU1004&lt;($AM$6-$AL$6)/($AN$6-$AL$6),$AL$6+SQRT(AU1004*($AN$6-$AL$6)*($AM$6-$AL$6)),$AN$6-SQRT((1-AU1004)*($AN$6-$AL$6)*($AN$6-$AM$6))),$AM$6)</f>
        <v/>
      </c>
      <c r="AM1004">
        <f>IFERROR(IF(AV1004&lt;($AM$7-$AL$7)/($AN$7-$AL$7),$AL$7+SQRT(AV1004*($AN$7-$AL$7)*($AM$7-$AL$7)),$AN$7-SQRT((1-AV1004)*($AN$7-$AL$7)*($AN$7-$AM$7))),$AM$7)</f>
        <v/>
      </c>
      <c r="AN1004">
        <f>IFERROR(IF(AW1004&lt;($AM$8-$AL$8)/($AN$8-$AL$8),$AL$8+SQRT(AW1004*($AN$8-$AL$8)*($AM$8-$AL$8)),$AN$8-SQRT((1-AW1004)*($AN$8-$AL$8)*($AN$8-$AM$8))),$AM$8)</f>
        <v/>
      </c>
      <c r="AO1004">
        <f>IFERROR(IF(AX1004&lt;($AM$9-$AL$9)/($AN$9-$AL$9),$AL$9+SQRT(AX1004*($AN$9-$AL$9)*($AM$9-$AL$9)),$AN$9-SQRT((1-AX1004)*($AN$9-$AL$9)*($AN$9-$AM$9))),$AM$9)</f>
        <v/>
      </c>
      <c r="AP1004">
        <f>IFERROR(IF(AY1004&lt;($AM$10-$AL$10)/($AN$10-$AL$10),$AL$10+SQRT(AY1004*($AN$10-$AL$10)*($AM$10-$AL$10)),$AN$10-SQRT((1-AY1004)*($AN$10-$AL$10)*($AN$10-$AM$10))),$AM$10)</f>
        <v/>
      </c>
      <c r="AQ1004">
        <f>IFERROR(IF(AZ1004&lt;($AM$11-$AL$11)/($AN$11-$AL$11),$AL$11+SQRT(AZ1004*($AN$11-$AL$11)*($AM$11-$AL$11)),$AN$11-SQRT((1-AZ1004)*($AN$11-$AL$11)*($AN$11-$AM$11))),$AM$11)</f>
        <v/>
      </c>
      <c r="AR1004">
        <f>SUMPRODUCT((B24:B31&lt;=$B$6)*(C24:C31*AM1004+D24:D31*AO1004*$B$8*AQ1004)/(1+AL1004/100)^B24:B31)+C32*AM1004*AP1004/(1+AL1004/100)^$B$6</f>
        <v/>
      </c>
      <c r="AS1004">
        <f>SUMPRODUCT((K24:K26&lt;=$B$6)*(L24:L26*AN1004+M24:M26*AO1004*$B$8*AQ1004)/(1+AL1004/100)^K24:K26)+L27*AN1004*AP1004/(1+AL1004/100)^$B$6</f>
        <v/>
      </c>
      <c r="AT1004">
        <f>AS1004-AR1004</f>
        <v/>
      </c>
      <c r="AU1004">
        <f>RAND()</f>
        <v/>
      </c>
      <c r="AV1004">
        <f>RAND()</f>
        <v/>
      </c>
      <c r="AW1004">
        <f>RAND()</f>
        <v/>
      </c>
      <c r="AX1004">
        <f>RAND()</f>
        <v/>
      </c>
      <c r="AY1004">
        <f>RAND()</f>
        <v/>
      </c>
      <c r="AZ1004">
        <f>RAND()</f>
        <v/>
      </c>
    </row>
    <row r="1005">
      <c r="AK1005" t="n">
        <v>992</v>
      </c>
      <c r="AL1005">
        <f>IFERROR(IF(AU1005&lt;($AM$6-$AL$6)/($AN$6-$AL$6),$AL$6+SQRT(AU1005*($AN$6-$AL$6)*($AM$6-$AL$6)),$AN$6-SQRT((1-AU1005)*($AN$6-$AL$6)*($AN$6-$AM$6))),$AM$6)</f>
        <v/>
      </c>
      <c r="AM1005">
        <f>IFERROR(IF(AV1005&lt;($AM$7-$AL$7)/($AN$7-$AL$7),$AL$7+SQRT(AV1005*($AN$7-$AL$7)*($AM$7-$AL$7)),$AN$7-SQRT((1-AV1005)*($AN$7-$AL$7)*($AN$7-$AM$7))),$AM$7)</f>
        <v/>
      </c>
      <c r="AN1005">
        <f>IFERROR(IF(AW1005&lt;($AM$8-$AL$8)/($AN$8-$AL$8),$AL$8+SQRT(AW1005*($AN$8-$AL$8)*($AM$8-$AL$8)),$AN$8-SQRT((1-AW1005)*($AN$8-$AL$8)*($AN$8-$AM$8))),$AM$8)</f>
        <v/>
      </c>
      <c r="AO1005">
        <f>IFERROR(IF(AX1005&lt;($AM$9-$AL$9)/($AN$9-$AL$9),$AL$9+SQRT(AX1005*($AN$9-$AL$9)*($AM$9-$AL$9)),$AN$9-SQRT((1-AX1005)*($AN$9-$AL$9)*($AN$9-$AM$9))),$AM$9)</f>
        <v/>
      </c>
      <c r="AP1005">
        <f>IFERROR(IF(AY1005&lt;($AM$10-$AL$10)/($AN$10-$AL$10),$AL$10+SQRT(AY1005*($AN$10-$AL$10)*($AM$10-$AL$10)),$AN$10-SQRT((1-AY1005)*($AN$10-$AL$10)*($AN$10-$AM$10))),$AM$10)</f>
        <v/>
      </c>
      <c r="AQ1005">
        <f>IFERROR(IF(AZ1005&lt;($AM$11-$AL$11)/($AN$11-$AL$11),$AL$11+SQRT(AZ1005*($AN$11-$AL$11)*($AM$11-$AL$11)),$AN$11-SQRT((1-AZ1005)*($AN$11-$AL$11)*($AN$11-$AM$11))),$AM$11)</f>
        <v/>
      </c>
      <c r="AR1005">
        <f>SUMPRODUCT((B24:B31&lt;=$B$6)*(C24:C31*AM1005+D24:D31*AO1005*$B$8*AQ1005)/(1+AL1005/100)^B24:B31)+C32*AM1005*AP1005/(1+AL1005/100)^$B$6</f>
        <v/>
      </c>
      <c r="AS1005">
        <f>SUMPRODUCT((K24:K26&lt;=$B$6)*(L24:L26*AN1005+M24:M26*AO1005*$B$8*AQ1005)/(1+AL1005/100)^K24:K26)+L27*AN1005*AP1005/(1+AL1005/100)^$B$6</f>
        <v/>
      </c>
      <c r="AT1005">
        <f>AS1005-AR1005</f>
        <v/>
      </c>
      <c r="AU1005">
        <f>RAND()</f>
        <v/>
      </c>
      <c r="AV1005">
        <f>RAND()</f>
        <v/>
      </c>
      <c r="AW1005">
        <f>RAND()</f>
        <v/>
      </c>
      <c r="AX1005">
        <f>RAND()</f>
        <v/>
      </c>
      <c r="AY1005">
        <f>RAND()</f>
        <v/>
      </c>
      <c r="AZ1005">
        <f>RAND()</f>
        <v/>
      </c>
    </row>
    <row r="1006">
      <c r="AK1006" t="n">
        <v>993</v>
      </c>
      <c r="AL1006">
        <f>IFERROR(IF(AU1006&lt;($AM$6-$AL$6)/($AN$6-$AL$6),$AL$6+SQRT(AU1006*($AN$6-$AL$6)*($AM$6-$AL$6)),$AN$6-SQRT((1-AU1006)*($AN$6-$AL$6)*($AN$6-$AM$6))),$AM$6)</f>
        <v/>
      </c>
      <c r="AM1006">
        <f>IFERROR(IF(AV1006&lt;($AM$7-$AL$7)/($AN$7-$AL$7),$AL$7+SQRT(AV1006*($AN$7-$AL$7)*($AM$7-$AL$7)),$AN$7-SQRT((1-AV1006)*($AN$7-$AL$7)*($AN$7-$AM$7))),$AM$7)</f>
        <v/>
      </c>
      <c r="AN1006">
        <f>IFERROR(IF(AW1006&lt;($AM$8-$AL$8)/($AN$8-$AL$8),$AL$8+SQRT(AW1006*($AN$8-$AL$8)*($AM$8-$AL$8)),$AN$8-SQRT((1-AW1006)*($AN$8-$AL$8)*($AN$8-$AM$8))),$AM$8)</f>
        <v/>
      </c>
      <c r="AO1006">
        <f>IFERROR(IF(AX1006&lt;($AM$9-$AL$9)/($AN$9-$AL$9),$AL$9+SQRT(AX1006*($AN$9-$AL$9)*($AM$9-$AL$9)),$AN$9-SQRT((1-AX1006)*($AN$9-$AL$9)*($AN$9-$AM$9))),$AM$9)</f>
        <v/>
      </c>
      <c r="AP1006">
        <f>IFERROR(IF(AY1006&lt;($AM$10-$AL$10)/($AN$10-$AL$10),$AL$10+SQRT(AY1006*($AN$10-$AL$10)*($AM$10-$AL$10)),$AN$10-SQRT((1-AY1006)*($AN$10-$AL$10)*($AN$10-$AM$10))),$AM$10)</f>
        <v/>
      </c>
      <c r="AQ1006">
        <f>IFERROR(IF(AZ1006&lt;($AM$11-$AL$11)/($AN$11-$AL$11),$AL$11+SQRT(AZ1006*($AN$11-$AL$11)*($AM$11-$AL$11)),$AN$11-SQRT((1-AZ1006)*($AN$11-$AL$11)*($AN$11-$AM$11))),$AM$11)</f>
        <v/>
      </c>
      <c r="AR1006">
        <f>SUMPRODUCT((B24:B31&lt;=$B$6)*(C24:C31*AM1006+D24:D31*AO1006*$B$8*AQ1006)/(1+AL1006/100)^B24:B31)+C32*AM1006*AP1006/(1+AL1006/100)^$B$6</f>
        <v/>
      </c>
      <c r="AS1006">
        <f>SUMPRODUCT((K24:K26&lt;=$B$6)*(L24:L26*AN1006+M24:M26*AO1006*$B$8*AQ1006)/(1+AL1006/100)^K24:K26)+L27*AN1006*AP1006/(1+AL1006/100)^$B$6</f>
        <v/>
      </c>
      <c r="AT1006">
        <f>AS1006-AR1006</f>
        <v/>
      </c>
      <c r="AU1006">
        <f>RAND()</f>
        <v/>
      </c>
      <c r="AV1006">
        <f>RAND()</f>
        <v/>
      </c>
      <c r="AW1006">
        <f>RAND()</f>
        <v/>
      </c>
      <c r="AX1006">
        <f>RAND()</f>
        <v/>
      </c>
      <c r="AY1006">
        <f>RAND()</f>
        <v/>
      </c>
      <c r="AZ1006">
        <f>RAND()</f>
        <v/>
      </c>
    </row>
    <row r="1007">
      <c r="AK1007" t="n">
        <v>994</v>
      </c>
      <c r="AL1007">
        <f>IFERROR(IF(AU1007&lt;($AM$6-$AL$6)/($AN$6-$AL$6),$AL$6+SQRT(AU1007*($AN$6-$AL$6)*($AM$6-$AL$6)),$AN$6-SQRT((1-AU1007)*($AN$6-$AL$6)*($AN$6-$AM$6))),$AM$6)</f>
        <v/>
      </c>
      <c r="AM1007">
        <f>IFERROR(IF(AV1007&lt;($AM$7-$AL$7)/($AN$7-$AL$7),$AL$7+SQRT(AV1007*($AN$7-$AL$7)*($AM$7-$AL$7)),$AN$7-SQRT((1-AV1007)*($AN$7-$AL$7)*($AN$7-$AM$7))),$AM$7)</f>
        <v/>
      </c>
      <c r="AN1007">
        <f>IFERROR(IF(AW1007&lt;($AM$8-$AL$8)/($AN$8-$AL$8),$AL$8+SQRT(AW1007*($AN$8-$AL$8)*($AM$8-$AL$8)),$AN$8-SQRT((1-AW1007)*($AN$8-$AL$8)*($AN$8-$AM$8))),$AM$8)</f>
        <v/>
      </c>
      <c r="AO1007">
        <f>IFERROR(IF(AX1007&lt;($AM$9-$AL$9)/($AN$9-$AL$9),$AL$9+SQRT(AX1007*($AN$9-$AL$9)*($AM$9-$AL$9)),$AN$9-SQRT((1-AX1007)*($AN$9-$AL$9)*($AN$9-$AM$9))),$AM$9)</f>
        <v/>
      </c>
      <c r="AP1007">
        <f>IFERROR(IF(AY1007&lt;($AM$10-$AL$10)/($AN$10-$AL$10),$AL$10+SQRT(AY1007*($AN$10-$AL$10)*($AM$10-$AL$10)),$AN$10-SQRT((1-AY1007)*($AN$10-$AL$10)*($AN$10-$AM$10))),$AM$10)</f>
        <v/>
      </c>
      <c r="AQ1007">
        <f>IFERROR(IF(AZ1007&lt;($AM$11-$AL$11)/($AN$11-$AL$11),$AL$11+SQRT(AZ1007*($AN$11-$AL$11)*($AM$11-$AL$11)),$AN$11-SQRT((1-AZ1007)*($AN$11-$AL$11)*($AN$11-$AM$11))),$AM$11)</f>
        <v/>
      </c>
      <c r="AR1007">
        <f>SUMPRODUCT((B24:B31&lt;=$B$6)*(C24:C31*AM1007+D24:D31*AO1007*$B$8*AQ1007)/(1+AL1007/100)^B24:B31)+C32*AM1007*AP1007/(1+AL1007/100)^$B$6</f>
        <v/>
      </c>
      <c r="AS1007">
        <f>SUMPRODUCT((K24:K26&lt;=$B$6)*(L24:L26*AN1007+M24:M26*AO1007*$B$8*AQ1007)/(1+AL1007/100)^K24:K26)+L27*AN1007*AP1007/(1+AL1007/100)^$B$6</f>
        <v/>
      </c>
      <c r="AT1007">
        <f>AS1007-AR1007</f>
        <v/>
      </c>
      <c r="AU1007">
        <f>RAND()</f>
        <v/>
      </c>
      <c r="AV1007">
        <f>RAND()</f>
        <v/>
      </c>
      <c r="AW1007">
        <f>RAND()</f>
        <v/>
      </c>
      <c r="AX1007">
        <f>RAND()</f>
        <v/>
      </c>
      <c r="AY1007">
        <f>RAND()</f>
        <v/>
      </c>
      <c r="AZ1007">
        <f>RAND()</f>
        <v/>
      </c>
    </row>
    <row r="1008">
      <c r="AK1008" t="n">
        <v>995</v>
      </c>
      <c r="AL1008">
        <f>IFERROR(IF(AU1008&lt;($AM$6-$AL$6)/($AN$6-$AL$6),$AL$6+SQRT(AU1008*($AN$6-$AL$6)*($AM$6-$AL$6)),$AN$6-SQRT((1-AU1008)*($AN$6-$AL$6)*($AN$6-$AM$6))),$AM$6)</f>
        <v/>
      </c>
      <c r="AM1008">
        <f>IFERROR(IF(AV1008&lt;($AM$7-$AL$7)/($AN$7-$AL$7),$AL$7+SQRT(AV1008*($AN$7-$AL$7)*($AM$7-$AL$7)),$AN$7-SQRT((1-AV1008)*($AN$7-$AL$7)*($AN$7-$AM$7))),$AM$7)</f>
        <v/>
      </c>
      <c r="AN1008">
        <f>IFERROR(IF(AW1008&lt;($AM$8-$AL$8)/($AN$8-$AL$8),$AL$8+SQRT(AW1008*($AN$8-$AL$8)*($AM$8-$AL$8)),$AN$8-SQRT((1-AW1008)*($AN$8-$AL$8)*($AN$8-$AM$8))),$AM$8)</f>
        <v/>
      </c>
      <c r="AO1008">
        <f>IFERROR(IF(AX1008&lt;($AM$9-$AL$9)/($AN$9-$AL$9),$AL$9+SQRT(AX1008*($AN$9-$AL$9)*($AM$9-$AL$9)),$AN$9-SQRT((1-AX1008)*($AN$9-$AL$9)*($AN$9-$AM$9))),$AM$9)</f>
        <v/>
      </c>
      <c r="AP1008">
        <f>IFERROR(IF(AY1008&lt;($AM$10-$AL$10)/($AN$10-$AL$10),$AL$10+SQRT(AY1008*($AN$10-$AL$10)*($AM$10-$AL$10)),$AN$10-SQRT((1-AY1008)*($AN$10-$AL$10)*($AN$10-$AM$10))),$AM$10)</f>
        <v/>
      </c>
      <c r="AQ1008">
        <f>IFERROR(IF(AZ1008&lt;($AM$11-$AL$11)/($AN$11-$AL$11),$AL$11+SQRT(AZ1008*($AN$11-$AL$11)*($AM$11-$AL$11)),$AN$11-SQRT((1-AZ1008)*($AN$11-$AL$11)*($AN$11-$AM$11))),$AM$11)</f>
        <v/>
      </c>
      <c r="AR1008">
        <f>SUMPRODUCT((B24:B31&lt;=$B$6)*(C24:C31*AM1008+D24:D31*AO1008*$B$8*AQ1008)/(1+AL1008/100)^B24:B31)+C32*AM1008*AP1008/(1+AL1008/100)^$B$6</f>
        <v/>
      </c>
      <c r="AS1008">
        <f>SUMPRODUCT((K24:K26&lt;=$B$6)*(L24:L26*AN1008+M24:M26*AO1008*$B$8*AQ1008)/(1+AL1008/100)^K24:K26)+L27*AN1008*AP1008/(1+AL1008/100)^$B$6</f>
        <v/>
      </c>
      <c r="AT1008">
        <f>AS1008-AR1008</f>
        <v/>
      </c>
      <c r="AU1008">
        <f>RAND()</f>
        <v/>
      </c>
      <c r="AV1008">
        <f>RAND()</f>
        <v/>
      </c>
      <c r="AW1008">
        <f>RAND()</f>
        <v/>
      </c>
      <c r="AX1008">
        <f>RAND()</f>
        <v/>
      </c>
      <c r="AY1008">
        <f>RAND()</f>
        <v/>
      </c>
      <c r="AZ1008">
        <f>RAND()</f>
        <v/>
      </c>
    </row>
    <row r="1009">
      <c r="AK1009" t="n">
        <v>996</v>
      </c>
      <c r="AL1009">
        <f>IFERROR(IF(AU1009&lt;($AM$6-$AL$6)/($AN$6-$AL$6),$AL$6+SQRT(AU1009*($AN$6-$AL$6)*($AM$6-$AL$6)),$AN$6-SQRT((1-AU1009)*($AN$6-$AL$6)*($AN$6-$AM$6))),$AM$6)</f>
        <v/>
      </c>
      <c r="AM1009">
        <f>IFERROR(IF(AV1009&lt;($AM$7-$AL$7)/($AN$7-$AL$7),$AL$7+SQRT(AV1009*($AN$7-$AL$7)*($AM$7-$AL$7)),$AN$7-SQRT((1-AV1009)*($AN$7-$AL$7)*($AN$7-$AM$7))),$AM$7)</f>
        <v/>
      </c>
      <c r="AN1009">
        <f>IFERROR(IF(AW1009&lt;($AM$8-$AL$8)/($AN$8-$AL$8),$AL$8+SQRT(AW1009*($AN$8-$AL$8)*($AM$8-$AL$8)),$AN$8-SQRT((1-AW1009)*($AN$8-$AL$8)*($AN$8-$AM$8))),$AM$8)</f>
        <v/>
      </c>
      <c r="AO1009">
        <f>IFERROR(IF(AX1009&lt;($AM$9-$AL$9)/($AN$9-$AL$9),$AL$9+SQRT(AX1009*($AN$9-$AL$9)*($AM$9-$AL$9)),$AN$9-SQRT((1-AX1009)*($AN$9-$AL$9)*($AN$9-$AM$9))),$AM$9)</f>
        <v/>
      </c>
      <c r="AP1009">
        <f>IFERROR(IF(AY1009&lt;($AM$10-$AL$10)/($AN$10-$AL$10),$AL$10+SQRT(AY1009*($AN$10-$AL$10)*($AM$10-$AL$10)),$AN$10-SQRT((1-AY1009)*($AN$10-$AL$10)*($AN$10-$AM$10))),$AM$10)</f>
        <v/>
      </c>
      <c r="AQ1009">
        <f>IFERROR(IF(AZ1009&lt;($AM$11-$AL$11)/($AN$11-$AL$11),$AL$11+SQRT(AZ1009*($AN$11-$AL$11)*($AM$11-$AL$11)),$AN$11-SQRT((1-AZ1009)*($AN$11-$AL$11)*($AN$11-$AM$11))),$AM$11)</f>
        <v/>
      </c>
      <c r="AR1009">
        <f>SUMPRODUCT((B24:B31&lt;=$B$6)*(C24:C31*AM1009+D24:D31*AO1009*$B$8*AQ1009)/(1+AL1009/100)^B24:B31)+C32*AM1009*AP1009/(1+AL1009/100)^$B$6</f>
        <v/>
      </c>
      <c r="AS1009">
        <f>SUMPRODUCT((K24:K26&lt;=$B$6)*(L24:L26*AN1009+M24:M26*AO1009*$B$8*AQ1009)/(1+AL1009/100)^K24:K26)+L27*AN1009*AP1009/(1+AL1009/100)^$B$6</f>
        <v/>
      </c>
      <c r="AT1009">
        <f>AS1009-AR1009</f>
        <v/>
      </c>
      <c r="AU1009">
        <f>RAND()</f>
        <v/>
      </c>
      <c r="AV1009">
        <f>RAND()</f>
        <v/>
      </c>
      <c r="AW1009">
        <f>RAND()</f>
        <v/>
      </c>
      <c r="AX1009">
        <f>RAND()</f>
        <v/>
      </c>
      <c r="AY1009">
        <f>RAND()</f>
        <v/>
      </c>
      <c r="AZ1009">
        <f>RAND()</f>
        <v/>
      </c>
    </row>
    <row r="1010">
      <c r="AK1010" t="n">
        <v>997</v>
      </c>
      <c r="AL1010">
        <f>IFERROR(IF(AU1010&lt;($AM$6-$AL$6)/($AN$6-$AL$6),$AL$6+SQRT(AU1010*($AN$6-$AL$6)*($AM$6-$AL$6)),$AN$6-SQRT((1-AU1010)*($AN$6-$AL$6)*($AN$6-$AM$6))),$AM$6)</f>
        <v/>
      </c>
      <c r="AM1010">
        <f>IFERROR(IF(AV1010&lt;($AM$7-$AL$7)/($AN$7-$AL$7),$AL$7+SQRT(AV1010*($AN$7-$AL$7)*($AM$7-$AL$7)),$AN$7-SQRT((1-AV1010)*($AN$7-$AL$7)*($AN$7-$AM$7))),$AM$7)</f>
        <v/>
      </c>
      <c r="AN1010">
        <f>IFERROR(IF(AW1010&lt;($AM$8-$AL$8)/($AN$8-$AL$8),$AL$8+SQRT(AW1010*($AN$8-$AL$8)*($AM$8-$AL$8)),$AN$8-SQRT((1-AW1010)*($AN$8-$AL$8)*($AN$8-$AM$8))),$AM$8)</f>
        <v/>
      </c>
      <c r="AO1010">
        <f>IFERROR(IF(AX1010&lt;($AM$9-$AL$9)/($AN$9-$AL$9),$AL$9+SQRT(AX1010*($AN$9-$AL$9)*($AM$9-$AL$9)),$AN$9-SQRT((1-AX1010)*($AN$9-$AL$9)*($AN$9-$AM$9))),$AM$9)</f>
        <v/>
      </c>
      <c r="AP1010">
        <f>IFERROR(IF(AY1010&lt;($AM$10-$AL$10)/($AN$10-$AL$10),$AL$10+SQRT(AY1010*($AN$10-$AL$10)*($AM$10-$AL$10)),$AN$10-SQRT((1-AY1010)*($AN$10-$AL$10)*($AN$10-$AM$10))),$AM$10)</f>
        <v/>
      </c>
      <c r="AQ1010">
        <f>IFERROR(IF(AZ1010&lt;($AM$11-$AL$11)/($AN$11-$AL$11),$AL$11+SQRT(AZ1010*($AN$11-$AL$11)*($AM$11-$AL$11)),$AN$11-SQRT((1-AZ1010)*($AN$11-$AL$11)*($AN$11-$AM$11))),$AM$11)</f>
        <v/>
      </c>
      <c r="AR1010">
        <f>SUMPRODUCT((B24:B31&lt;=$B$6)*(C24:C31*AM1010+D24:D31*AO1010*$B$8*AQ1010)/(1+AL1010/100)^B24:B31)+C32*AM1010*AP1010/(1+AL1010/100)^$B$6</f>
        <v/>
      </c>
      <c r="AS1010">
        <f>SUMPRODUCT((K24:K26&lt;=$B$6)*(L24:L26*AN1010+M24:M26*AO1010*$B$8*AQ1010)/(1+AL1010/100)^K24:K26)+L27*AN1010*AP1010/(1+AL1010/100)^$B$6</f>
        <v/>
      </c>
      <c r="AT1010">
        <f>AS1010-AR1010</f>
        <v/>
      </c>
      <c r="AU1010">
        <f>RAND()</f>
        <v/>
      </c>
      <c r="AV1010">
        <f>RAND()</f>
        <v/>
      </c>
      <c r="AW1010">
        <f>RAND()</f>
        <v/>
      </c>
      <c r="AX1010">
        <f>RAND()</f>
        <v/>
      </c>
      <c r="AY1010">
        <f>RAND()</f>
        <v/>
      </c>
      <c r="AZ1010">
        <f>RAND()</f>
        <v/>
      </c>
    </row>
    <row r="1011">
      <c r="AK1011" t="n">
        <v>998</v>
      </c>
      <c r="AL1011">
        <f>IFERROR(IF(AU1011&lt;($AM$6-$AL$6)/($AN$6-$AL$6),$AL$6+SQRT(AU1011*($AN$6-$AL$6)*($AM$6-$AL$6)),$AN$6-SQRT((1-AU1011)*($AN$6-$AL$6)*($AN$6-$AM$6))),$AM$6)</f>
        <v/>
      </c>
      <c r="AM1011">
        <f>IFERROR(IF(AV1011&lt;($AM$7-$AL$7)/($AN$7-$AL$7),$AL$7+SQRT(AV1011*($AN$7-$AL$7)*($AM$7-$AL$7)),$AN$7-SQRT((1-AV1011)*($AN$7-$AL$7)*($AN$7-$AM$7))),$AM$7)</f>
        <v/>
      </c>
      <c r="AN1011">
        <f>IFERROR(IF(AW1011&lt;($AM$8-$AL$8)/($AN$8-$AL$8),$AL$8+SQRT(AW1011*($AN$8-$AL$8)*($AM$8-$AL$8)),$AN$8-SQRT((1-AW1011)*($AN$8-$AL$8)*($AN$8-$AM$8))),$AM$8)</f>
        <v/>
      </c>
      <c r="AO1011">
        <f>IFERROR(IF(AX1011&lt;($AM$9-$AL$9)/($AN$9-$AL$9),$AL$9+SQRT(AX1011*($AN$9-$AL$9)*($AM$9-$AL$9)),$AN$9-SQRT((1-AX1011)*($AN$9-$AL$9)*($AN$9-$AM$9))),$AM$9)</f>
        <v/>
      </c>
      <c r="AP1011">
        <f>IFERROR(IF(AY1011&lt;($AM$10-$AL$10)/($AN$10-$AL$10),$AL$10+SQRT(AY1011*($AN$10-$AL$10)*($AM$10-$AL$10)),$AN$10-SQRT((1-AY1011)*($AN$10-$AL$10)*($AN$10-$AM$10))),$AM$10)</f>
        <v/>
      </c>
      <c r="AQ1011">
        <f>IFERROR(IF(AZ1011&lt;($AM$11-$AL$11)/($AN$11-$AL$11),$AL$11+SQRT(AZ1011*($AN$11-$AL$11)*($AM$11-$AL$11)),$AN$11-SQRT((1-AZ1011)*($AN$11-$AL$11)*($AN$11-$AM$11))),$AM$11)</f>
        <v/>
      </c>
      <c r="AR1011">
        <f>SUMPRODUCT((B24:B31&lt;=$B$6)*(C24:C31*AM1011+D24:D31*AO1011*$B$8*AQ1011)/(1+AL1011/100)^B24:B31)+C32*AM1011*AP1011/(1+AL1011/100)^$B$6</f>
        <v/>
      </c>
      <c r="AS1011">
        <f>SUMPRODUCT((K24:K26&lt;=$B$6)*(L24:L26*AN1011+M24:M26*AO1011*$B$8*AQ1011)/(1+AL1011/100)^K24:K26)+L27*AN1011*AP1011/(1+AL1011/100)^$B$6</f>
        <v/>
      </c>
      <c r="AT1011">
        <f>AS1011-AR1011</f>
        <v/>
      </c>
      <c r="AU1011">
        <f>RAND()</f>
        <v/>
      </c>
      <c r="AV1011">
        <f>RAND()</f>
        <v/>
      </c>
      <c r="AW1011">
        <f>RAND()</f>
        <v/>
      </c>
      <c r="AX1011">
        <f>RAND()</f>
        <v/>
      </c>
      <c r="AY1011">
        <f>RAND()</f>
        <v/>
      </c>
      <c r="AZ1011">
        <f>RAND()</f>
        <v/>
      </c>
    </row>
    <row r="1012">
      <c r="AK1012" t="n">
        <v>999</v>
      </c>
      <c r="AL1012">
        <f>IFERROR(IF(AU1012&lt;($AM$6-$AL$6)/($AN$6-$AL$6),$AL$6+SQRT(AU1012*($AN$6-$AL$6)*($AM$6-$AL$6)),$AN$6-SQRT((1-AU1012)*($AN$6-$AL$6)*($AN$6-$AM$6))),$AM$6)</f>
        <v/>
      </c>
      <c r="AM1012">
        <f>IFERROR(IF(AV1012&lt;($AM$7-$AL$7)/($AN$7-$AL$7),$AL$7+SQRT(AV1012*($AN$7-$AL$7)*($AM$7-$AL$7)),$AN$7-SQRT((1-AV1012)*($AN$7-$AL$7)*($AN$7-$AM$7))),$AM$7)</f>
        <v/>
      </c>
      <c r="AN1012">
        <f>IFERROR(IF(AW1012&lt;($AM$8-$AL$8)/($AN$8-$AL$8),$AL$8+SQRT(AW1012*($AN$8-$AL$8)*($AM$8-$AL$8)),$AN$8-SQRT((1-AW1012)*($AN$8-$AL$8)*($AN$8-$AM$8))),$AM$8)</f>
        <v/>
      </c>
      <c r="AO1012">
        <f>IFERROR(IF(AX1012&lt;($AM$9-$AL$9)/($AN$9-$AL$9),$AL$9+SQRT(AX1012*($AN$9-$AL$9)*($AM$9-$AL$9)),$AN$9-SQRT((1-AX1012)*($AN$9-$AL$9)*($AN$9-$AM$9))),$AM$9)</f>
        <v/>
      </c>
      <c r="AP1012">
        <f>IFERROR(IF(AY1012&lt;($AM$10-$AL$10)/($AN$10-$AL$10),$AL$10+SQRT(AY1012*($AN$10-$AL$10)*($AM$10-$AL$10)),$AN$10-SQRT((1-AY1012)*($AN$10-$AL$10)*($AN$10-$AM$10))),$AM$10)</f>
        <v/>
      </c>
      <c r="AQ1012">
        <f>IFERROR(IF(AZ1012&lt;($AM$11-$AL$11)/($AN$11-$AL$11),$AL$11+SQRT(AZ1012*($AN$11-$AL$11)*($AM$11-$AL$11)),$AN$11-SQRT((1-AZ1012)*($AN$11-$AL$11)*($AN$11-$AM$11))),$AM$11)</f>
        <v/>
      </c>
      <c r="AR1012">
        <f>SUMPRODUCT((B24:B31&lt;=$B$6)*(C24:C31*AM1012+D24:D31*AO1012*$B$8*AQ1012)/(1+AL1012/100)^B24:B31)+C32*AM1012*AP1012/(1+AL1012/100)^$B$6</f>
        <v/>
      </c>
      <c r="AS1012">
        <f>SUMPRODUCT((K24:K26&lt;=$B$6)*(L24:L26*AN1012+M24:M26*AO1012*$B$8*AQ1012)/(1+AL1012/100)^K24:K26)+L27*AN1012*AP1012/(1+AL1012/100)^$B$6</f>
        <v/>
      </c>
      <c r="AT1012">
        <f>AS1012-AR1012</f>
        <v/>
      </c>
      <c r="AU1012">
        <f>RAND()</f>
        <v/>
      </c>
      <c r="AV1012">
        <f>RAND()</f>
        <v/>
      </c>
      <c r="AW1012">
        <f>RAND()</f>
        <v/>
      </c>
      <c r="AX1012">
        <f>RAND()</f>
        <v/>
      </c>
      <c r="AY1012">
        <f>RAND()</f>
        <v/>
      </c>
      <c r="AZ1012">
        <f>RAND()</f>
        <v/>
      </c>
    </row>
    <row r="1013">
      <c r="AK1013" t="n">
        <v>1000</v>
      </c>
      <c r="AL1013">
        <f>IFERROR(IF(AU1013&lt;($AM$6-$AL$6)/($AN$6-$AL$6),$AL$6+SQRT(AU1013*($AN$6-$AL$6)*($AM$6-$AL$6)),$AN$6-SQRT((1-AU1013)*($AN$6-$AL$6)*($AN$6-$AM$6))),$AM$6)</f>
        <v/>
      </c>
      <c r="AM1013">
        <f>IFERROR(IF(AV1013&lt;($AM$7-$AL$7)/($AN$7-$AL$7),$AL$7+SQRT(AV1013*($AN$7-$AL$7)*($AM$7-$AL$7)),$AN$7-SQRT((1-AV1013)*($AN$7-$AL$7)*($AN$7-$AM$7))),$AM$7)</f>
        <v/>
      </c>
      <c r="AN1013">
        <f>IFERROR(IF(AW1013&lt;($AM$8-$AL$8)/($AN$8-$AL$8),$AL$8+SQRT(AW1013*($AN$8-$AL$8)*($AM$8-$AL$8)),$AN$8-SQRT((1-AW1013)*($AN$8-$AL$8)*($AN$8-$AM$8))),$AM$8)</f>
        <v/>
      </c>
      <c r="AO1013">
        <f>IFERROR(IF(AX1013&lt;($AM$9-$AL$9)/($AN$9-$AL$9),$AL$9+SQRT(AX1013*($AN$9-$AL$9)*($AM$9-$AL$9)),$AN$9-SQRT((1-AX1013)*($AN$9-$AL$9)*($AN$9-$AM$9))),$AM$9)</f>
        <v/>
      </c>
      <c r="AP1013">
        <f>IFERROR(IF(AY1013&lt;($AM$10-$AL$10)/($AN$10-$AL$10),$AL$10+SQRT(AY1013*($AN$10-$AL$10)*($AM$10-$AL$10)),$AN$10-SQRT((1-AY1013)*($AN$10-$AL$10)*($AN$10-$AM$10))),$AM$10)</f>
        <v/>
      </c>
      <c r="AQ1013">
        <f>IFERROR(IF(AZ1013&lt;($AM$11-$AL$11)/($AN$11-$AL$11),$AL$11+SQRT(AZ1013*($AN$11-$AL$11)*($AM$11-$AL$11)),$AN$11-SQRT((1-AZ1013)*($AN$11-$AL$11)*($AN$11-$AM$11))),$AM$11)</f>
        <v/>
      </c>
      <c r="AR1013">
        <f>SUMPRODUCT((B24:B31&lt;=$B$6)*(C24:C31*AM1013+D24:D31*AO1013*$B$8*AQ1013)/(1+AL1013/100)^B24:B31)+C32*AM1013*AP1013/(1+AL1013/100)^$B$6</f>
        <v/>
      </c>
      <c r="AS1013">
        <f>SUMPRODUCT((K24:K26&lt;=$B$6)*(L24:L26*AN1013+M24:M26*AO1013*$B$8*AQ1013)/(1+AL1013/100)^K24:K26)+L27*AN1013*AP1013/(1+AL1013/100)^$B$6</f>
        <v/>
      </c>
      <c r="AT1013">
        <f>AS1013-AR1013</f>
        <v/>
      </c>
      <c r="AU1013">
        <f>RAND()</f>
        <v/>
      </c>
      <c r="AV1013">
        <f>RAND()</f>
        <v/>
      </c>
      <c r="AW1013">
        <f>RAND()</f>
        <v/>
      </c>
      <c r="AX1013">
        <f>RAND()</f>
        <v/>
      </c>
      <c r="AY1013">
        <f>RAND()</f>
        <v/>
      </c>
      <c r="AZ1013">
        <f>RAND()</f>
        <v/>
      </c>
    </row>
  </sheetData>
  <conditionalFormatting sqref="D65:D89">
    <cfRule type="colorScale" priority="1">
      <colorScale>
        <cfvo type="min"/>
        <cfvo type="num" val="0"/>
        <cfvo type="max"/>
        <color rgb="00F8CDB9"/>
        <color rgb="00FFFFFF"/>
        <color rgb="00B7D3F6"/>
      </colorScale>
    </cfRule>
  </conditionalFormatting>
  <conditionalFormatting sqref="G130:G137">
    <cfRule type="cellIs" priority="2" operator="equal" dxfId="0">
      <formula>"YES"</formula>
    </cfRule>
  </conditionalFormatting>
  <conditionalFormatting sqref="K143:K154">
    <cfRule type="colorScale" priority="3">
      <colorScale>
        <cfvo type="min"/>
        <cfvo type="num" val="0"/>
        <cfvo type="max"/>
        <color rgb="00F8CDB9"/>
        <color rgb="00FFFFFF"/>
        <color rgb="00B7D3F6"/>
      </colorScale>
    </cfRule>
  </conditionalFormatting>
  <conditionalFormatting sqref="B160:H164">
    <cfRule type="colorScale" priority="4">
      <colorScale>
        <cfvo type="min"/>
        <cfvo type="num" val="0"/>
        <cfvo type="max"/>
        <color rgb="00F39C7A"/>
        <color rgb="00FFFFFF"/>
        <color rgb="006DA7EC"/>
      </colorScale>
    </cfRule>
  </conditionalFormatting>
  <dataValidations count="1">
    <dataValidation sqref="B16 B18" showDropDown="0" showInputMessage="0" showErrorMessage="0" allowBlank="0" type="list">
      <formula1>"Initial,Rehabilitation"</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1013"/>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4" t="inlineStr">
        <is>
          <t>NEW PROJECT (template) - copy this sheet, rename it, fill the yellow cells</t>
        </is>
      </c>
    </row>
    <row r="2">
      <c r="A2" s="5" t="inlineStr">
        <is>
          <t>Life-cycle cost comparison with runway-closure lost revenue. Yellow cells are inputs; everything else recalculates.</t>
        </is>
      </c>
    </row>
    <row r="4">
      <c r="A4" s="6" t="inlineStr">
        <is>
          <t>Parameter</t>
        </is>
      </c>
      <c r="B4" s="6" t="inlineStr">
        <is>
          <t>Value</t>
        </is>
      </c>
      <c r="C4" s="6" t="inlineStr">
        <is>
          <t>Note</t>
        </is>
      </c>
      <c r="AK4" s="4" t="inlineStr">
        <is>
          <t>MONTE CARLO (live): uncertain inputs drawn jointly from triangular ranges; press F9 to redraw</t>
        </is>
      </c>
    </row>
    <row r="5">
      <c r="A5" s="7" t="inlineStr">
        <is>
          <t>Discount rate (%)</t>
        </is>
      </c>
      <c r="B5" s="8" t="n">
        <v>3</v>
      </c>
      <c r="C5" s="5" t="inlineStr">
        <is>
          <t>TDOT default 3; FAA AIP handbook requires 7 for AIP-funded LCCA</t>
        </is>
      </c>
      <c r="AK5" s="6" t="inlineStr">
        <is>
          <t>Uncertain input</t>
        </is>
      </c>
      <c r="AL5" s="6" t="inlineStr">
        <is>
          <t>Min</t>
        </is>
      </c>
      <c r="AM5" s="6" t="inlineStr">
        <is>
          <t>Most likely</t>
        </is>
      </c>
      <c r="AN5" s="6" t="inlineStr">
        <is>
          <t>Max</t>
        </is>
      </c>
      <c r="BB5" s="9" t="inlineStr">
        <is>
          <t>Simulation summary</t>
        </is>
      </c>
    </row>
    <row r="6">
      <c r="A6" s="7" t="inlineStr">
        <is>
          <t>Analysis period (years)</t>
        </is>
      </c>
      <c r="B6" s="10" t="n">
        <v>30</v>
      </c>
      <c r="C6" s="5" t="inlineStr">
        <is>
          <t>TDOT policy 30; FAA AIP caps project life at 20</t>
        </is>
      </c>
      <c r="AK6" s="7" t="inlineStr">
        <is>
          <t>Discount rate (%)</t>
        </is>
      </c>
      <c r="AL6" s="10" t="n">
        <v>2</v>
      </c>
      <c r="AM6" s="10" t="n">
        <v>3</v>
      </c>
      <c r="AN6" s="10" t="n">
        <v>7</v>
      </c>
      <c r="BB6" s="7" t="inlineStr">
        <is>
          <t>Draws</t>
        </is>
      </c>
      <c r="BC6" s="11">
        <f>COUNT($AT$14:$AT$1013)</f>
        <v/>
      </c>
    </row>
    <row r="7">
      <c r="A7" s="7" t="inlineStr">
        <is>
          <t>Construction year</t>
        </is>
      </c>
      <c r="B7" s="10" t="n">
        <v>2027</v>
      </c>
      <c r="C7" s="5" t="inlineStr"/>
      <c r="AK7" s="7" t="inlineStr">
        <is>
          <t>HMA cost multiplier</t>
        </is>
      </c>
      <c r="AL7" s="10" t="n">
        <v>0.8</v>
      </c>
      <c r="AM7" s="10" t="n">
        <v>1</v>
      </c>
      <c r="AN7" s="10" t="n">
        <v>1.25</v>
      </c>
      <c r="BB7" s="7" t="inlineStr">
        <is>
          <t>Probability PCC is lower cost</t>
        </is>
      </c>
      <c r="BC7" s="12">
        <f>COUNTIF($AT$14:$AT$1013,"&lt;0")/COUNT($AT$14:$AT$1013)</f>
        <v/>
      </c>
    </row>
    <row r="8">
      <c r="A8" s="7" t="inlineStr">
        <is>
          <t>Airport daily revenue ($/day)</t>
        </is>
      </c>
      <c r="B8" s="13" t="n">
        <v>0</v>
      </c>
      <c r="C8" s="5" t="inlineStr">
        <is>
          <t>Sum of the seven RevenueData columns for this airport (workbook method)</t>
        </is>
      </c>
      <c r="AK8" s="7" t="inlineStr">
        <is>
          <t>PCC cost multiplier</t>
        </is>
      </c>
      <c r="AL8" s="10" t="n">
        <v>0.8</v>
      </c>
      <c r="AM8" s="10" t="n">
        <v>1</v>
      </c>
      <c r="AN8" s="10" t="n">
        <v>1.25</v>
      </c>
      <c r="BB8" s="7" t="inlineStr">
        <is>
          <t>Mean PCC - HMA</t>
        </is>
      </c>
      <c r="BC8" s="14">
        <f>AVERAGE($AT$14:$AT$1013)</f>
        <v/>
      </c>
    </row>
    <row r="9">
      <c r="A9" s="7" t="inlineStr">
        <is>
          <t>Share of daily revenue actually lost during a closure</t>
        </is>
      </c>
      <c r="B9" s="15" t="n">
        <v>1</v>
      </c>
      <c r="C9" s="5" t="inlineStr">
        <is>
          <t>1.0 = workbook method (gross fuel sales and tenant rent count as lost). Try 0.3 to 0.5 for margin-based revenue</t>
        </is>
      </c>
      <c r="AK9" s="7" t="inlineStr">
        <is>
          <t>Closure-days multiplier</t>
        </is>
      </c>
      <c r="AL9" s="10" t="n">
        <v>0.5</v>
      </c>
      <c r="AM9" s="10" t="n">
        <v>1</v>
      </c>
      <c r="AN9" s="10" t="n">
        <v>2</v>
      </c>
      <c r="BB9" s="7" t="inlineStr">
        <is>
          <t>P10</t>
        </is>
      </c>
      <c r="BC9" s="14">
        <f>PERCENTILE($AT$14:$AT$1013,0.1)</f>
        <v/>
      </c>
    </row>
    <row r="10">
      <c r="A10" s="7" t="inlineStr">
        <is>
          <t>Closure-days multiplier</t>
        </is>
      </c>
      <c r="B10" s="10" t="n">
        <v>1</v>
      </c>
      <c r="C10" s="5" t="inlineStr">
        <is>
          <t>Scales every closure duration (production-rate defaults from the workbook)</t>
        </is>
      </c>
      <c r="AK10" s="7" t="inlineStr">
        <is>
          <t>Salvage multiplier</t>
        </is>
      </c>
      <c r="AL10" s="10" t="n">
        <v>0.5</v>
      </c>
      <c r="AM10" s="10" t="n">
        <v>1</v>
      </c>
      <c r="AN10" s="10" t="n">
        <v>1</v>
      </c>
      <c r="BB10" s="7" t="inlineStr">
        <is>
          <t>P50 (median)</t>
        </is>
      </c>
      <c r="BC10" s="14">
        <f>PERCENTILE($AT$14:$AT$1013,0.5)</f>
        <v/>
      </c>
    </row>
    <row r="11">
      <c r="A11" s="7" t="inlineStr">
        <is>
          <t>HMA cost multiplier</t>
        </is>
      </c>
      <c r="B11" s="10" t="n">
        <v>1</v>
      </c>
      <c r="C11" s="5" t="inlineStr">
        <is>
          <t>Bid-price uncertainty on all HMA direct costs</t>
        </is>
      </c>
      <c r="AK11" s="7" t="inlineStr">
        <is>
          <t>Share of revenue lost</t>
        </is>
      </c>
      <c r="AL11" s="10" t="n">
        <v>0.3</v>
      </c>
      <c r="AM11" s="10" t="n">
        <v>0.65</v>
      </c>
      <c r="AN11" s="10" t="n">
        <v>1</v>
      </c>
      <c r="BB11" s="7" t="inlineStr">
        <is>
          <t>P90</t>
        </is>
      </c>
      <c r="BC11" s="14">
        <f>PERCENTILE($AT$14:$AT$1013,0.9)</f>
        <v/>
      </c>
    </row>
    <row r="12">
      <c r="A12" s="7" t="inlineStr">
        <is>
          <t>PCC cost multiplier</t>
        </is>
      </c>
      <c r="B12" s="10" t="n">
        <v>1</v>
      </c>
      <c r="C12" s="5" t="inlineStr">
        <is>
          <t>Bid-price uncertainty on all PCC direct costs</t>
        </is>
      </c>
    </row>
    <row r="13">
      <c r="A13" s="7" t="inlineStr">
        <is>
          <t>Salvage multiplier</t>
        </is>
      </c>
      <c r="B13" s="10" t="n">
        <v>1</v>
      </c>
      <c r="C13" s="5" t="inlineStr">
        <is>
          <t>0 = no salvage credit; 1 = workbook policy (PCC 25% of initial, HMA 12.5% of one mill-and-overlay)</t>
        </is>
      </c>
      <c r="AK13" s="6" t="inlineStr">
        <is>
          <t>Draw</t>
        </is>
      </c>
      <c r="AL13" s="6" t="inlineStr">
        <is>
          <t>Rate %</t>
        </is>
      </c>
      <c r="AM13" s="6" t="inlineStr">
        <is>
          <t>HMA cost x</t>
        </is>
      </c>
      <c r="AN13" s="6" t="inlineStr">
        <is>
          <t>PCC cost x</t>
        </is>
      </c>
      <c r="AO13" s="6" t="inlineStr">
        <is>
          <t>Closure x</t>
        </is>
      </c>
      <c r="AP13" s="6" t="inlineStr">
        <is>
          <t>Salvage x</t>
        </is>
      </c>
      <c r="AQ13" s="6" t="inlineStr">
        <is>
          <t>Revenue share</t>
        </is>
      </c>
      <c r="AR13" s="6" t="inlineStr">
        <is>
          <t>NPW HMA</t>
        </is>
      </c>
      <c r="AS13" s="6" t="inlineStr">
        <is>
          <t>NPW PCC</t>
        </is>
      </c>
      <c r="AT13" s="6" t="inlineStr">
        <is>
          <t>PCC - HMA</t>
        </is>
      </c>
      <c r="AU13" s="6" t="inlineStr">
        <is>
          <t>u1</t>
        </is>
      </c>
      <c r="AV13" s="6" t="inlineStr">
        <is>
          <t>u2</t>
        </is>
      </c>
      <c r="AW13" s="6" t="inlineStr">
        <is>
          <t>u3</t>
        </is>
      </c>
      <c r="AX13" s="6" t="inlineStr">
        <is>
          <t>u4</t>
        </is>
      </c>
      <c r="AY13" s="6" t="inlineStr">
        <is>
          <t>u5</t>
        </is>
      </c>
      <c r="AZ13" s="6" t="inlineStr">
        <is>
          <t>u6</t>
        </is>
      </c>
      <c r="BB13" s="9" t="inlineStr">
        <is>
          <t>Histogram of PCC - HMA</t>
        </is>
      </c>
    </row>
    <row r="14">
      <c r="A14" s="7" t="inlineStr">
        <is>
          <t>Mainline area (SY)</t>
        </is>
      </c>
      <c r="B14" s="16" t="n">
        <v>0</v>
      </c>
      <c r="C14" s="5" t="inlineStr"/>
      <c r="AK14" t="n">
        <v>1</v>
      </c>
      <c r="AL14">
        <f>IFERROR(IF(AU14&lt;($AM$6-$AL$6)/($AN$6-$AL$6),$AL$6+SQRT(AU14*($AN$6-$AL$6)*($AM$6-$AL$6)),$AN$6-SQRT((1-AU14)*($AN$6-$AL$6)*($AN$6-$AM$6))),$AM$6)</f>
        <v/>
      </c>
      <c r="AM14">
        <f>IFERROR(IF(AV14&lt;($AM$7-$AL$7)/($AN$7-$AL$7),$AL$7+SQRT(AV14*($AN$7-$AL$7)*($AM$7-$AL$7)),$AN$7-SQRT((1-AV14)*($AN$7-$AL$7)*($AN$7-$AM$7))),$AM$7)</f>
        <v/>
      </c>
      <c r="AN14">
        <f>IFERROR(IF(AW14&lt;($AM$8-$AL$8)/($AN$8-$AL$8),$AL$8+SQRT(AW14*($AN$8-$AL$8)*($AM$8-$AL$8)),$AN$8-SQRT((1-AW14)*($AN$8-$AL$8)*($AN$8-$AM$8))),$AM$8)</f>
        <v/>
      </c>
      <c r="AO14">
        <f>IFERROR(IF(AX14&lt;($AM$9-$AL$9)/($AN$9-$AL$9),$AL$9+SQRT(AX14*($AN$9-$AL$9)*($AM$9-$AL$9)),$AN$9-SQRT((1-AX14)*($AN$9-$AL$9)*($AN$9-$AM$9))),$AM$9)</f>
        <v/>
      </c>
      <c r="AP14">
        <f>IFERROR(IF(AY14&lt;($AM$10-$AL$10)/($AN$10-$AL$10),$AL$10+SQRT(AY14*($AN$10-$AL$10)*($AM$10-$AL$10)),$AN$10-SQRT((1-AY14)*($AN$10-$AL$10)*($AN$10-$AM$10))),$AM$10)</f>
        <v/>
      </c>
      <c r="AQ14">
        <f>IFERROR(IF(AZ14&lt;($AM$11-$AL$11)/($AN$11-$AL$11),$AL$11+SQRT(AZ14*($AN$11-$AL$11)*($AM$11-$AL$11)),$AN$11-SQRT((1-AZ14)*($AN$11-$AL$11)*($AN$11-$AM$11))),$AM$11)</f>
        <v/>
      </c>
      <c r="AR14">
        <f>SUMPRODUCT((B24:B31&lt;=$B$6)*(C24:C31*AM14+D24:D31*AO14*$B$8*AQ14)/(1+AL14/100)^B24:B31)+C32*AM14*AP14/(1+AL14/100)^$B$6</f>
        <v/>
      </c>
      <c r="AS14">
        <f>SUMPRODUCT((K24:K26&lt;=$B$6)*(L24:L26*AN14+M24:M26*AO14*$B$8*AQ14)/(1+AL14/100)^K24:K26)+L27*AN14*AP14/(1+AL14/100)^$B$6</f>
        <v/>
      </c>
      <c r="AT14">
        <f>AS14-AR14</f>
        <v/>
      </c>
      <c r="AU14">
        <f>RAND()</f>
        <v/>
      </c>
      <c r="AV14">
        <f>RAND()</f>
        <v/>
      </c>
      <c r="AW14">
        <f>RAND()</f>
        <v/>
      </c>
      <c r="AX14">
        <f>RAND()</f>
        <v/>
      </c>
      <c r="AY14">
        <f>RAND()</f>
        <v/>
      </c>
      <c r="AZ14">
        <f>RAND()</f>
        <v/>
      </c>
      <c r="BB14" s="6" t="inlineStr">
        <is>
          <t>Bin upper edge</t>
        </is>
      </c>
      <c r="BC14" s="6" t="inlineStr">
        <is>
          <t>Draws</t>
        </is>
      </c>
      <c r="BD14" s="6" t="inlineStr">
        <is>
          <t>Cumulative</t>
        </is>
      </c>
    </row>
    <row r="15">
      <c r="A15" s="7" t="inlineStr">
        <is>
          <t>HMA salvage fraction</t>
        </is>
      </c>
      <c r="B15" s="17" t="n">
        <v>0.125</v>
      </c>
      <c r="C15" s="5" t="inlineStr">
        <is>
          <t>TDOT policy: 2 of 16 years of the mill-and-overlay = 0.125</t>
        </is>
      </c>
      <c r="AK15" t="n">
        <v>2</v>
      </c>
      <c r="AL15">
        <f>IFERROR(IF(AU15&lt;($AM$6-$AL$6)/($AN$6-$AL$6),$AL$6+SQRT(AU15*($AN$6-$AL$6)*($AM$6-$AL$6)),$AN$6-SQRT((1-AU15)*($AN$6-$AL$6)*($AN$6-$AM$6))),$AM$6)</f>
        <v/>
      </c>
      <c r="AM15">
        <f>IFERROR(IF(AV15&lt;($AM$7-$AL$7)/($AN$7-$AL$7),$AL$7+SQRT(AV15*($AN$7-$AL$7)*($AM$7-$AL$7)),$AN$7-SQRT((1-AV15)*($AN$7-$AL$7)*($AN$7-$AM$7))),$AM$7)</f>
        <v/>
      </c>
      <c r="AN15">
        <f>IFERROR(IF(AW15&lt;($AM$8-$AL$8)/($AN$8-$AL$8),$AL$8+SQRT(AW15*($AN$8-$AL$8)*($AM$8-$AL$8)),$AN$8-SQRT((1-AW15)*($AN$8-$AL$8)*($AN$8-$AM$8))),$AM$8)</f>
        <v/>
      </c>
      <c r="AO15">
        <f>IFERROR(IF(AX15&lt;($AM$9-$AL$9)/($AN$9-$AL$9),$AL$9+SQRT(AX15*($AN$9-$AL$9)*($AM$9-$AL$9)),$AN$9-SQRT((1-AX15)*($AN$9-$AL$9)*($AN$9-$AM$9))),$AM$9)</f>
        <v/>
      </c>
      <c r="AP15">
        <f>IFERROR(IF(AY15&lt;($AM$10-$AL$10)/($AN$10-$AL$10),$AL$10+SQRT(AY15*($AN$10-$AL$10)*($AM$10-$AL$10)),$AN$10-SQRT((1-AY15)*($AN$10-$AL$10)*($AN$10-$AM$10))),$AM$10)</f>
        <v/>
      </c>
      <c r="AQ15">
        <f>IFERROR(IF(AZ15&lt;($AM$11-$AL$11)/($AN$11-$AL$11),$AL$11+SQRT(AZ15*($AN$11-$AL$11)*($AM$11-$AL$11)),$AN$11-SQRT((1-AZ15)*($AN$11-$AL$11)*($AN$11-$AM$11))),$AM$11)</f>
        <v/>
      </c>
      <c r="AR15">
        <f>SUMPRODUCT((B24:B31&lt;=$B$6)*(C24:C31*AM15+D24:D31*AO15*$B$8*AQ15)/(1+AL15/100)^B24:B31)+C32*AM15*AP15/(1+AL15/100)^$B$6</f>
        <v/>
      </c>
      <c r="AS15">
        <f>SUMPRODUCT((K24:K26&lt;=$B$6)*(L24:L26*AN15+M24:M26*AO15*$B$8*AQ15)/(1+AL15/100)^K24:K26)+L27*AN15*AP15/(1+AL15/100)^$B$6</f>
        <v/>
      </c>
      <c r="AT15">
        <f>AS15-AR15</f>
        <v/>
      </c>
      <c r="AU15">
        <f>RAND()</f>
        <v/>
      </c>
      <c r="AV15">
        <f>RAND()</f>
        <v/>
      </c>
      <c r="AW15">
        <f>RAND()</f>
        <v/>
      </c>
      <c r="AX15">
        <f>RAND()</f>
        <v/>
      </c>
      <c r="AY15">
        <f>RAND()</f>
        <v/>
      </c>
      <c r="AZ15">
        <f>RAND()</f>
        <v/>
      </c>
      <c r="BB15" s="18">
        <f>PERCENTILE($AT$14:$AT$1013,0.01)+(PERCENTILE($AT$14:$AT$1013,0.99)-PERCENTILE($AT$14:$AT$1013,0.01))*1/20</f>
        <v/>
      </c>
      <c r="BC15">
        <f>COUNTIF($AT$14:$AT$1013,"&lt;="&amp;BB15)</f>
        <v/>
      </c>
      <c r="BD15" s="12">
        <f>COUNTIF($AT$14:$AT$1013,"&lt;="&amp;BB15)/COUNT($AT$14:$AT$1013)</f>
        <v/>
      </c>
    </row>
    <row r="16">
      <c r="A16" s="7" t="inlineStr">
        <is>
          <t>HMA salvage basis</t>
        </is>
      </c>
      <c r="B16" s="10" t="inlineStr">
        <is>
          <t>Rehabilitation</t>
        </is>
      </c>
      <c r="C16" s="5" t="inlineStr">
        <is>
          <t>Initial or Rehabilitation (which cost the fraction applies to)</t>
        </is>
      </c>
      <c r="AK16" t="n">
        <v>3</v>
      </c>
      <c r="AL16">
        <f>IFERROR(IF(AU16&lt;($AM$6-$AL$6)/($AN$6-$AL$6),$AL$6+SQRT(AU16*($AN$6-$AL$6)*($AM$6-$AL$6)),$AN$6-SQRT((1-AU16)*($AN$6-$AL$6)*($AN$6-$AM$6))),$AM$6)</f>
        <v/>
      </c>
      <c r="AM16">
        <f>IFERROR(IF(AV16&lt;($AM$7-$AL$7)/($AN$7-$AL$7),$AL$7+SQRT(AV16*($AN$7-$AL$7)*($AM$7-$AL$7)),$AN$7-SQRT((1-AV16)*($AN$7-$AL$7)*($AN$7-$AM$7))),$AM$7)</f>
        <v/>
      </c>
      <c r="AN16">
        <f>IFERROR(IF(AW16&lt;($AM$8-$AL$8)/($AN$8-$AL$8),$AL$8+SQRT(AW16*($AN$8-$AL$8)*($AM$8-$AL$8)),$AN$8-SQRT((1-AW16)*($AN$8-$AL$8)*($AN$8-$AM$8))),$AM$8)</f>
        <v/>
      </c>
      <c r="AO16">
        <f>IFERROR(IF(AX16&lt;($AM$9-$AL$9)/($AN$9-$AL$9),$AL$9+SQRT(AX16*($AN$9-$AL$9)*($AM$9-$AL$9)),$AN$9-SQRT((1-AX16)*($AN$9-$AL$9)*($AN$9-$AM$9))),$AM$9)</f>
        <v/>
      </c>
      <c r="AP16">
        <f>IFERROR(IF(AY16&lt;($AM$10-$AL$10)/($AN$10-$AL$10),$AL$10+SQRT(AY16*($AN$10-$AL$10)*($AM$10-$AL$10)),$AN$10-SQRT((1-AY16)*($AN$10-$AL$10)*($AN$10-$AM$10))),$AM$10)</f>
        <v/>
      </c>
      <c r="AQ16">
        <f>IFERROR(IF(AZ16&lt;($AM$11-$AL$11)/($AN$11-$AL$11),$AL$11+SQRT(AZ16*($AN$11-$AL$11)*($AM$11-$AL$11)),$AN$11-SQRT((1-AZ16)*($AN$11-$AL$11)*($AN$11-$AM$11))),$AM$11)</f>
        <v/>
      </c>
      <c r="AR16">
        <f>SUMPRODUCT((B24:B31&lt;=$B$6)*(C24:C31*AM16+D24:D31*AO16*$B$8*AQ16)/(1+AL16/100)^B24:B31)+C32*AM16*AP16/(1+AL16/100)^$B$6</f>
        <v/>
      </c>
      <c r="AS16">
        <f>SUMPRODUCT((K24:K26&lt;=$B$6)*(L24:L26*AN16+M24:M26*AO16*$B$8*AQ16)/(1+AL16/100)^K24:K26)+L27*AN16*AP16/(1+AL16/100)^$B$6</f>
        <v/>
      </c>
      <c r="AT16">
        <f>AS16-AR16</f>
        <v/>
      </c>
      <c r="AU16">
        <f>RAND()</f>
        <v/>
      </c>
      <c r="AV16">
        <f>RAND()</f>
        <v/>
      </c>
      <c r="AW16">
        <f>RAND()</f>
        <v/>
      </c>
      <c r="AX16">
        <f>RAND()</f>
        <v/>
      </c>
      <c r="AY16">
        <f>RAND()</f>
        <v/>
      </c>
      <c r="AZ16">
        <f>RAND()</f>
        <v/>
      </c>
      <c r="BB16" s="18">
        <f>PERCENTILE($AT$14:$AT$1013,0.01)+(PERCENTILE($AT$14:$AT$1013,0.99)-PERCENTILE($AT$14:$AT$1013,0.01))*2/20</f>
        <v/>
      </c>
      <c r="BC16">
        <f>COUNTIF($AT$14:$AT$1013,"&lt;="&amp;BB16)-COUNTIF($AT$14:$AT$1013,"&lt;="&amp;BB15)</f>
        <v/>
      </c>
      <c r="BD16" s="12">
        <f>COUNTIF($AT$14:$AT$1013,"&lt;="&amp;BB16)/COUNT($AT$14:$AT$1013)</f>
        <v/>
      </c>
    </row>
    <row r="17">
      <c r="A17" s="7" t="inlineStr">
        <is>
          <t>PCC salvage fraction</t>
        </is>
      </c>
      <c r="B17" s="17" t="n">
        <v>0.25</v>
      </c>
      <c r="C17" s="5" t="inlineStr">
        <is>
          <t>TDOT policy: 10 of 40 years of initial construction = 0.25</t>
        </is>
      </c>
      <c r="AK17" t="n">
        <v>4</v>
      </c>
      <c r="AL17">
        <f>IFERROR(IF(AU17&lt;($AM$6-$AL$6)/($AN$6-$AL$6),$AL$6+SQRT(AU17*($AN$6-$AL$6)*($AM$6-$AL$6)),$AN$6-SQRT((1-AU17)*($AN$6-$AL$6)*($AN$6-$AM$6))),$AM$6)</f>
        <v/>
      </c>
      <c r="AM17">
        <f>IFERROR(IF(AV17&lt;($AM$7-$AL$7)/($AN$7-$AL$7),$AL$7+SQRT(AV17*($AN$7-$AL$7)*($AM$7-$AL$7)),$AN$7-SQRT((1-AV17)*($AN$7-$AL$7)*($AN$7-$AM$7))),$AM$7)</f>
        <v/>
      </c>
      <c r="AN17">
        <f>IFERROR(IF(AW17&lt;($AM$8-$AL$8)/($AN$8-$AL$8),$AL$8+SQRT(AW17*($AN$8-$AL$8)*($AM$8-$AL$8)),$AN$8-SQRT((1-AW17)*($AN$8-$AL$8)*($AN$8-$AM$8))),$AM$8)</f>
        <v/>
      </c>
      <c r="AO17">
        <f>IFERROR(IF(AX17&lt;($AM$9-$AL$9)/($AN$9-$AL$9),$AL$9+SQRT(AX17*($AN$9-$AL$9)*($AM$9-$AL$9)),$AN$9-SQRT((1-AX17)*($AN$9-$AL$9)*($AN$9-$AM$9))),$AM$9)</f>
        <v/>
      </c>
      <c r="AP17">
        <f>IFERROR(IF(AY17&lt;($AM$10-$AL$10)/($AN$10-$AL$10),$AL$10+SQRT(AY17*($AN$10-$AL$10)*($AM$10-$AL$10)),$AN$10-SQRT((1-AY17)*($AN$10-$AL$10)*($AN$10-$AM$10))),$AM$10)</f>
        <v/>
      </c>
      <c r="AQ17">
        <f>IFERROR(IF(AZ17&lt;($AM$11-$AL$11)/($AN$11-$AL$11),$AL$11+SQRT(AZ17*($AN$11-$AL$11)*($AM$11-$AL$11)),$AN$11-SQRT((1-AZ17)*($AN$11-$AL$11)*($AN$11-$AM$11))),$AM$11)</f>
        <v/>
      </c>
      <c r="AR17">
        <f>SUMPRODUCT((B24:B31&lt;=$B$6)*(C24:C31*AM17+D24:D31*AO17*$B$8*AQ17)/(1+AL17/100)^B24:B31)+C32*AM17*AP17/(1+AL17/100)^$B$6</f>
        <v/>
      </c>
      <c r="AS17">
        <f>SUMPRODUCT((K24:K26&lt;=$B$6)*(L24:L26*AN17+M24:M26*AO17*$B$8*AQ17)/(1+AL17/100)^K24:K26)+L27*AN17*AP17/(1+AL17/100)^$B$6</f>
        <v/>
      </c>
      <c r="AT17">
        <f>AS17-AR17</f>
        <v/>
      </c>
      <c r="AU17">
        <f>RAND()</f>
        <v/>
      </c>
      <c r="AV17">
        <f>RAND()</f>
        <v/>
      </c>
      <c r="AW17">
        <f>RAND()</f>
        <v/>
      </c>
      <c r="AX17">
        <f>RAND()</f>
        <v/>
      </c>
      <c r="AY17">
        <f>RAND()</f>
        <v/>
      </c>
      <c r="AZ17">
        <f>RAND()</f>
        <v/>
      </c>
      <c r="BB17" s="18">
        <f>PERCENTILE($AT$14:$AT$1013,0.01)+(PERCENTILE($AT$14:$AT$1013,0.99)-PERCENTILE($AT$14:$AT$1013,0.01))*3/20</f>
        <v/>
      </c>
      <c r="BC17">
        <f>COUNTIF($AT$14:$AT$1013,"&lt;="&amp;BB17)-COUNTIF($AT$14:$AT$1013,"&lt;="&amp;BB16)</f>
        <v/>
      </c>
      <c r="BD17" s="12">
        <f>COUNTIF($AT$14:$AT$1013,"&lt;="&amp;BB17)/COUNT($AT$14:$AT$1013)</f>
        <v/>
      </c>
    </row>
    <row r="18">
      <c r="A18" s="7" t="inlineStr">
        <is>
          <t>PCC salvage basis</t>
        </is>
      </c>
      <c r="B18" s="10" t="inlineStr">
        <is>
          <t>Initial</t>
        </is>
      </c>
      <c r="C18" s="5" t="inlineStr">
        <is>
          <t>Initial or Rehabilitation</t>
        </is>
      </c>
      <c r="AK18" t="n">
        <v>5</v>
      </c>
      <c r="AL18">
        <f>IFERROR(IF(AU18&lt;($AM$6-$AL$6)/($AN$6-$AL$6),$AL$6+SQRT(AU18*($AN$6-$AL$6)*($AM$6-$AL$6)),$AN$6-SQRT((1-AU18)*($AN$6-$AL$6)*($AN$6-$AM$6))),$AM$6)</f>
        <v/>
      </c>
      <c r="AM18">
        <f>IFERROR(IF(AV18&lt;($AM$7-$AL$7)/($AN$7-$AL$7),$AL$7+SQRT(AV18*($AN$7-$AL$7)*($AM$7-$AL$7)),$AN$7-SQRT((1-AV18)*($AN$7-$AL$7)*($AN$7-$AM$7))),$AM$7)</f>
        <v/>
      </c>
      <c r="AN18">
        <f>IFERROR(IF(AW18&lt;($AM$8-$AL$8)/($AN$8-$AL$8),$AL$8+SQRT(AW18*($AN$8-$AL$8)*($AM$8-$AL$8)),$AN$8-SQRT((1-AW18)*($AN$8-$AL$8)*($AN$8-$AM$8))),$AM$8)</f>
        <v/>
      </c>
      <c r="AO18">
        <f>IFERROR(IF(AX18&lt;($AM$9-$AL$9)/($AN$9-$AL$9),$AL$9+SQRT(AX18*($AN$9-$AL$9)*($AM$9-$AL$9)),$AN$9-SQRT((1-AX18)*($AN$9-$AL$9)*($AN$9-$AM$9))),$AM$9)</f>
        <v/>
      </c>
      <c r="AP18">
        <f>IFERROR(IF(AY18&lt;($AM$10-$AL$10)/($AN$10-$AL$10),$AL$10+SQRT(AY18*($AN$10-$AL$10)*($AM$10-$AL$10)),$AN$10-SQRT((1-AY18)*($AN$10-$AL$10)*($AN$10-$AM$10))),$AM$10)</f>
        <v/>
      </c>
      <c r="AQ18">
        <f>IFERROR(IF(AZ18&lt;($AM$11-$AL$11)/($AN$11-$AL$11),$AL$11+SQRT(AZ18*($AN$11-$AL$11)*($AM$11-$AL$11)),$AN$11-SQRT((1-AZ18)*($AN$11-$AL$11)*($AN$11-$AM$11))),$AM$11)</f>
        <v/>
      </c>
      <c r="AR18">
        <f>SUMPRODUCT((B24:B31&lt;=$B$6)*(C24:C31*AM18+D24:D31*AO18*$B$8*AQ18)/(1+AL18/100)^B24:B31)+C32*AM18*AP18/(1+AL18/100)^$B$6</f>
        <v/>
      </c>
      <c r="AS18">
        <f>SUMPRODUCT((K24:K26&lt;=$B$6)*(L24:L26*AN18+M24:M26*AO18*$B$8*AQ18)/(1+AL18/100)^K24:K26)+L27*AN18*AP18/(1+AL18/100)^$B$6</f>
        <v/>
      </c>
      <c r="AT18">
        <f>AS18-AR18</f>
        <v/>
      </c>
      <c r="AU18">
        <f>RAND()</f>
        <v/>
      </c>
      <c r="AV18">
        <f>RAND()</f>
        <v/>
      </c>
      <c r="AW18">
        <f>RAND()</f>
        <v/>
      </c>
      <c r="AX18">
        <f>RAND()</f>
        <v/>
      </c>
      <c r="AY18">
        <f>RAND()</f>
        <v/>
      </c>
      <c r="AZ18">
        <f>RAND()</f>
        <v/>
      </c>
      <c r="BB18" s="18">
        <f>PERCENTILE($AT$14:$AT$1013,0.01)+(PERCENTILE($AT$14:$AT$1013,0.99)-PERCENTILE($AT$14:$AT$1013,0.01))*4/20</f>
        <v/>
      </c>
      <c r="BC18">
        <f>COUNTIF($AT$14:$AT$1013,"&lt;="&amp;BB18)-COUNTIF($AT$14:$AT$1013,"&lt;="&amp;BB17)</f>
        <v/>
      </c>
      <c r="BD18" s="12">
        <f>COUNTIF($AT$14:$AT$1013,"&lt;="&amp;BB18)/COUNT($AT$14:$AT$1013)</f>
        <v/>
      </c>
    </row>
    <row r="19">
      <c r="AK19" t="n">
        <v>6</v>
      </c>
      <c r="AL19">
        <f>IFERROR(IF(AU19&lt;($AM$6-$AL$6)/($AN$6-$AL$6),$AL$6+SQRT(AU19*($AN$6-$AL$6)*($AM$6-$AL$6)),$AN$6-SQRT((1-AU19)*($AN$6-$AL$6)*($AN$6-$AM$6))),$AM$6)</f>
        <v/>
      </c>
      <c r="AM19">
        <f>IFERROR(IF(AV19&lt;($AM$7-$AL$7)/($AN$7-$AL$7),$AL$7+SQRT(AV19*($AN$7-$AL$7)*($AM$7-$AL$7)),$AN$7-SQRT((1-AV19)*($AN$7-$AL$7)*($AN$7-$AM$7))),$AM$7)</f>
        <v/>
      </c>
      <c r="AN19">
        <f>IFERROR(IF(AW19&lt;($AM$8-$AL$8)/($AN$8-$AL$8),$AL$8+SQRT(AW19*($AN$8-$AL$8)*($AM$8-$AL$8)),$AN$8-SQRT((1-AW19)*($AN$8-$AL$8)*($AN$8-$AM$8))),$AM$8)</f>
        <v/>
      </c>
      <c r="AO19">
        <f>IFERROR(IF(AX19&lt;($AM$9-$AL$9)/($AN$9-$AL$9),$AL$9+SQRT(AX19*($AN$9-$AL$9)*($AM$9-$AL$9)),$AN$9-SQRT((1-AX19)*($AN$9-$AL$9)*($AN$9-$AM$9))),$AM$9)</f>
        <v/>
      </c>
      <c r="AP19">
        <f>IFERROR(IF(AY19&lt;($AM$10-$AL$10)/($AN$10-$AL$10),$AL$10+SQRT(AY19*($AN$10-$AL$10)*($AM$10-$AL$10)),$AN$10-SQRT((1-AY19)*($AN$10-$AL$10)*($AN$10-$AM$10))),$AM$10)</f>
        <v/>
      </c>
      <c r="AQ19">
        <f>IFERROR(IF(AZ19&lt;($AM$11-$AL$11)/($AN$11-$AL$11),$AL$11+SQRT(AZ19*($AN$11-$AL$11)*($AM$11-$AL$11)),$AN$11-SQRT((1-AZ19)*($AN$11-$AL$11)*($AN$11-$AM$11))),$AM$11)</f>
        <v/>
      </c>
      <c r="AR19">
        <f>SUMPRODUCT((B24:B31&lt;=$B$6)*(C24:C31*AM19+D24:D31*AO19*$B$8*AQ19)/(1+AL19/100)^B24:B31)+C32*AM19*AP19/(1+AL19/100)^$B$6</f>
        <v/>
      </c>
      <c r="AS19">
        <f>SUMPRODUCT((K24:K26&lt;=$B$6)*(L24:L26*AN19+M24:M26*AO19*$B$8*AQ19)/(1+AL19/100)^K24:K26)+L27*AN19*AP19/(1+AL19/100)^$B$6</f>
        <v/>
      </c>
      <c r="AT19">
        <f>AS19-AR19</f>
        <v/>
      </c>
      <c r="AU19">
        <f>RAND()</f>
        <v/>
      </c>
      <c r="AV19">
        <f>RAND()</f>
        <v/>
      </c>
      <c r="AW19">
        <f>RAND()</f>
        <v/>
      </c>
      <c r="AX19">
        <f>RAND()</f>
        <v/>
      </c>
      <c r="AY19">
        <f>RAND()</f>
        <v/>
      </c>
      <c r="AZ19">
        <f>RAND()</f>
        <v/>
      </c>
      <c r="BB19" s="18">
        <f>PERCENTILE($AT$14:$AT$1013,0.01)+(PERCENTILE($AT$14:$AT$1013,0.99)-PERCENTILE($AT$14:$AT$1013,0.01))*5/20</f>
        <v/>
      </c>
      <c r="BC19">
        <f>COUNTIF($AT$14:$AT$1013,"&lt;="&amp;BB19)-COUNTIF($AT$14:$AT$1013,"&lt;="&amp;BB18)</f>
        <v/>
      </c>
      <c r="BD19" s="12">
        <f>COUNTIF($AT$14:$AT$1013,"&lt;="&amp;BB19)/COUNT($AT$14:$AT$1013)</f>
        <v/>
      </c>
    </row>
    <row r="20">
      <c r="A20" s="5" t="inlineStr">
        <is>
          <t>ACTIVITY TABLES: type the base direct cost and closure days for each policy activity (yellow). Years follow the TDOT Maintenance Policies. Copy them from the framework workbook alternative sheets (column D of the NPW table and cells F4:F10).</t>
        </is>
      </c>
      <c r="AK20" t="n">
        <v>7</v>
      </c>
      <c r="AL20">
        <f>IFERROR(IF(AU20&lt;($AM$6-$AL$6)/($AN$6-$AL$6),$AL$6+SQRT(AU20*($AN$6-$AL$6)*($AM$6-$AL$6)),$AN$6-SQRT((1-AU20)*($AN$6-$AL$6)*($AN$6-$AM$6))),$AM$6)</f>
        <v/>
      </c>
      <c r="AM20">
        <f>IFERROR(IF(AV20&lt;($AM$7-$AL$7)/($AN$7-$AL$7),$AL$7+SQRT(AV20*($AN$7-$AL$7)*($AM$7-$AL$7)),$AN$7-SQRT((1-AV20)*($AN$7-$AL$7)*($AN$7-$AM$7))),$AM$7)</f>
        <v/>
      </c>
      <c r="AN20">
        <f>IFERROR(IF(AW20&lt;($AM$8-$AL$8)/($AN$8-$AL$8),$AL$8+SQRT(AW20*($AN$8-$AL$8)*($AM$8-$AL$8)),$AN$8-SQRT((1-AW20)*($AN$8-$AL$8)*($AN$8-$AM$8))),$AM$8)</f>
        <v/>
      </c>
      <c r="AO20">
        <f>IFERROR(IF(AX20&lt;($AM$9-$AL$9)/($AN$9-$AL$9),$AL$9+SQRT(AX20*($AN$9-$AL$9)*($AM$9-$AL$9)),$AN$9-SQRT((1-AX20)*($AN$9-$AL$9)*($AN$9-$AM$9))),$AM$9)</f>
        <v/>
      </c>
      <c r="AP20">
        <f>IFERROR(IF(AY20&lt;($AM$10-$AL$10)/($AN$10-$AL$10),$AL$10+SQRT(AY20*($AN$10-$AL$10)*($AM$10-$AL$10)),$AN$10-SQRT((1-AY20)*($AN$10-$AL$10)*($AN$10-$AM$10))),$AM$10)</f>
        <v/>
      </c>
      <c r="AQ20">
        <f>IFERROR(IF(AZ20&lt;($AM$11-$AL$11)/($AN$11-$AL$11),$AL$11+SQRT(AZ20*($AN$11-$AL$11)*($AM$11-$AL$11)),$AN$11-SQRT((1-AZ20)*($AN$11-$AL$11)*($AN$11-$AM$11))),$AM$11)</f>
        <v/>
      </c>
      <c r="AR20">
        <f>SUMPRODUCT((B24:B31&lt;=$B$6)*(C24:C31*AM20+D24:D31*AO20*$B$8*AQ20)/(1+AL20/100)^B24:B31)+C32*AM20*AP20/(1+AL20/100)^$B$6</f>
        <v/>
      </c>
      <c r="AS20">
        <f>SUMPRODUCT((K24:K26&lt;=$B$6)*(L24:L26*AN20+M24:M26*AO20*$B$8*AQ20)/(1+AL20/100)^K24:K26)+L27*AN20*AP20/(1+AL20/100)^$B$6</f>
        <v/>
      </c>
      <c r="AT20">
        <f>AS20-AR20</f>
        <v/>
      </c>
      <c r="AU20">
        <f>RAND()</f>
        <v/>
      </c>
      <c r="AV20">
        <f>RAND()</f>
        <v/>
      </c>
      <c r="AW20">
        <f>RAND()</f>
        <v/>
      </c>
      <c r="AX20">
        <f>RAND()</f>
        <v/>
      </c>
      <c r="AY20">
        <f>RAND()</f>
        <v/>
      </c>
      <c r="AZ20">
        <f>RAND()</f>
        <v/>
      </c>
      <c r="BB20" s="18">
        <f>PERCENTILE($AT$14:$AT$1013,0.01)+(PERCENTILE($AT$14:$AT$1013,0.99)-PERCENTILE($AT$14:$AT$1013,0.01))*6/20</f>
        <v/>
      </c>
      <c r="BC20">
        <f>COUNTIF($AT$14:$AT$1013,"&lt;="&amp;BB20)-COUNTIF($AT$14:$AT$1013,"&lt;="&amp;BB19)</f>
        <v/>
      </c>
      <c r="BD20" s="12">
        <f>COUNTIF($AT$14:$AT$1013,"&lt;="&amp;BB20)/COUNT($AT$14:$AT$1013)</f>
        <v/>
      </c>
    </row>
    <row r="21">
      <c r="AK21" t="n">
        <v>8</v>
      </c>
      <c r="AL21">
        <f>IFERROR(IF(AU21&lt;($AM$6-$AL$6)/($AN$6-$AL$6),$AL$6+SQRT(AU21*($AN$6-$AL$6)*($AM$6-$AL$6)),$AN$6-SQRT((1-AU21)*($AN$6-$AL$6)*($AN$6-$AM$6))),$AM$6)</f>
        <v/>
      </c>
      <c r="AM21">
        <f>IFERROR(IF(AV21&lt;($AM$7-$AL$7)/($AN$7-$AL$7),$AL$7+SQRT(AV21*($AN$7-$AL$7)*($AM$7-$AL$7)),$AN$7-SQRT((1-AV21)*($AN$7-$AL$7)*($AN$7-$AM$7))),$AM$7)</f>
        <v/>
      </c>
      <c r="AN21">
        <f>IFERROR(IF(AW21&lt;($AM$8-$AL$8)/($AN$8-$AL$8),$AL$8+SQRT(AW21*($AN$8-$AL$8)*($AM$8-$AL$8)),$AN$8-SQRT((1-AW21)*($AN$8-$AL$8)*($AN$8-$AM$8))),$AM$8)</f>
        <v/>
      </c>
      <c r="AO21">
        <f>IFERROR(IF(AX21&lt;($AM$9-$AL$9)/($AN$9-$AL$9),$AL$9+SQRT(AX21*($AN$9-$AL$9)*($AM$9-$AL$9)),$AN$9-SQRT((1-AX21)*($AN$9-$AL$9)*($AN$9-$AM$9))),$AM$9)</f>
        <v/>
      </c>
      <c r="AP21">
        <f>IFERROR(IF(AY21&lt;($AM$10-$AL$10)/($AN$10-$AL$10),$AL$10+SQRT(AY21*($AN$10-$AL$10)*($AM$10-$AL$10)),$AN$10-SQRT((1-AY21)*($AN$10-$AL$10)*($AN$10-$AM$10))),$AM$10)</f>
        <v/>
      </c>
      <c r="AQ21">
        <f>IFERROR(IF(AZ21&lt;($AM$11-$AL$11)/($AN$11-$AL$11),$AL$11+SQRT(AZ21*($AN$11-$AL$11)*($AM$11-$AL$11)),$AN$11-SQRT((1-AZ21)*($AN$11-$AL$11)*($AN$11-$AM$11))),$AM$11)</f>
        <v/>
      </c>
      <c r="AR21">
        <f>SUMPRODUCT((B24:B31&lt;=$B$6)*(C24:C31*AM21+D24:D31*AO21*$B$8*AQ21)/(1+AL21/100)^B24:B31)+C32*AM21*AP21/(1+AL21/100)^$B$6</f>
        <v/>
      </c>
      <c r="AS21">
        <f>SUMPRODUCT((K24:K26&lt;=$B$6)*(L24:L26*AN21+M24:M26*AO21*$B$8*AQ21)/(1+AL21/100)^K24:K26)+L27*AN21*AP21/(1+AL21/100)^$B$6</f>
        <v/>
      </c>
      <c r="AT21">
        <f>AS21-AR21</f>
        <v/>
      </c>
      <c r="AU21">
        <f>RAND()</f>
        <v/>
      </c>
      <c r="AV21">
        <f>RAND()</f>
        <v/>
      </c>
      <c r="AW21">
        <f>RAND()</f>
        <v/>
      </c>
      <c r="AX21">
        <f>RAND()</f>
        <v/>
      </c>
      <c r="AY21">
        <f>RAND()</f>
        <v/>
      </c>
      <c r="AZ21">
        <f>RAND()</f>
        <v/>
      </c>
      <c r="BB21" s="18">
        <f>PERCENTILE($AT$14:$AT$1013,0.01)+(PERCENTILE($AT$14:$AT$1013,0.99)-PERCENTILE($AT$14:$AT$1013,0.01))*7/20</f>
        <v/>
      </c>
      <c r="BC21">
        <f>COUNTIF($AT$14:$AT$1013,"&lt;="&amp;BB21)-COUNTIF($AT$14:$AT$1013,"&lt;="&amp;BB20)</f>
        <v/>
      </c>
      <c r="BD21" s="12">
        <f>COUNTIF($AT$14:$AT$1013,"&lt;="&amp;BB21)/COUNT($AT$14:$AT$1013)</f>
        <v/>
      </c>
    </row>
    <row r="22">
      <c r="A22" s="9" t="inlineStr">
        <is>
          <t>Alt 1 - New HMA  (fill in)</t>
        </is>
      </c>
      <c r="J22" s="9" t="inlineStr">
        <is>
          <t>Alt 2 - New PCC  (fill in)</t>
        </is>
      </c>
      <c r="AK22" t="n">
        <v>9</v>
      </c>
      <c r="AL22">
        <f>IFERROR(IF(AU22&lt;($AM$6-$AL$6)/($AN$6-$AL$6),$AL$6+SQRT(AU22*($AN$6-$AL$6)*($AM$6-$AL$6)),$AN$6-SQRT((1-AU22)*($AN$6-$AL$6)*($AN$6-$AM$6))),$AM$6)</f>
        <v/>
      </c>
      <c r="AM22">
        <f>IFERROR(IF(AV22&lt;($AM$7-$AL$7)/($AN$7-$AL$7),$AL$7+SQRT(AV22*($AN$7-$AL$7)*($AM$7-$AL$7)),$AN$7-SQRT((1-AV22)*($AN$7-$AL$7)*($AN$7-$AM$7))),$AM$7)</f>
        <v/>
      </c>
      <c r="AN22">
        <f>IFERROR(IF(AW22&lt;($AM$8-$AL$8)/($AN$8-$AL$8),$AL$8+SQRT(AW22*($AN$8-$AL$8)*($AM$8-$AL$8)),$AN$8-SQRT((1-AW22)*($AN$8-$AL$8)*($AN$8-$AM$8))),$AM$8)</f>
        <v/>
      </c>
      <c r="AO22">
        <f>IFERROR(IF(AX22&lt;($AM$9-$AL$9)/($AN$9-$AL$9),$AL$9+SQRT(AX22*($AN$9-$AL$9)*($AM$9-$AL$9)),$AN$9-SQRT((1-AX22)*($AN$9-$AL$9)*($AN$9-$AM$9))),$AM$9)</f>
        <v/>
      </c>
      <c r="AP22">
        <f>IFERROR(IF(AY22&lt;($AM$10-$AL$10)/($AN$10-$AL$10),$AL$10+SQRT(AY22*($AN$10-$AL$10)*($AM$10-$AL$10)),$AN$10-SQRT((1-AY22)*($AN$10-$AL$10)*($AN$10-$AM$10))),$AM$10)</f>
        <v/>
      </c>
      <c r="AQ22">
        <f>IFERROR(IF(AZ22&lt;($AM$11-$AL$11)/($AN$11-$AL$11),$AL$11+SQRT(AZ22*($AN$11-$AL$11)*($AM$11-$AL$11)),$AN$11-SQRT((1-AZ22)*($AN$11-$AL$11)*($AN$11-$AM$11))),$AM$11)</f>
        <v/>
      </c>
      <c r="AR22">
        <f>SUMPRODUCT((B24:B31&lt;=$B$6)*(C24:C31*AM22+D24:D31*AO22*$B$8*AQ22)/(1+AL22/100)^B24:B31)+C32*AM22*AP22/(1+AL22/100)^$B$6</f>
        <v/>
      </c>
      <c r="AS22">
        <f>SUMPRODUCT((K24:K26&lt;=$B$6)*(L24:L26*AN22+M24:M26*AO22*$B$8*AQ22)/(1+AL22/100)^K24:K26)+L27*AN22*AP22/(1+AL22/100)^$B$6</f>
        <v/>
      </c>
      <c r="AT22">
        <f>AS22-AR22</f>
        <v/>
      </c>
      <c r="AU22">
        <f>RAND()</f>
        <v/>
      </c>
      <c r="AV22">
        <f>RAND()</f>
        <v/>
      </c>
      <c r="AW22">
        <f>RAND()</f>
        <v/>
      </c>
      <c r="AX22">
        <f>RAND()</f>
        <v/>
      </c>
      <c r="AY22">
        <f>RAND()</f>
        <v/>
      </c>
      <c r="AZ22">
        <f>RAND()</f>
        <v/>
      </c>
      <c r="BB22" s="18">
        <f>PERCENTILE($AT$14:$AT$1013,0.01)+(PERCENTILE($AT$14:$AT$1013,0.99)-PERCENTILE($AT$14:$AT$1013,0.01))*8/20</f>
        <v/>
      </c>
      <c r="BC22">
        <f>COUNTIF($AT$14:$AT$1013,"&lt;="&amp;BB22)-COUNTIF($AT$14:$AT$1013,"&lt;="&amp;BB21)</f>
        <v/>
      </c>
      <c r="BD22" s="12">
        <f>COUNTIF($AT$14:$AT$1013,"&lt;="&amp;BB22)/COUNT($AT$14:$AT$1013)</f>
        <v/>
      </c>
    </row>
    <row r="23">
      <c r="A23" s="19" t="inlineStr">
        <is>
          <t>Activity</t>
        </is>
      </c>
      <c r="B23" s="19" t="inlineStr">
        <is>
          <t>Year</t>
        </is>
      </c>
      <c r="C23" s="19" t="inlineStr">
        <is>
          <t>Direct cost (base $)</t>
        </is>
      </c>
      <c r="D23" s="19" t="inlineStr">
        <is>
          <t>Closure days (base)</t>
        </is>
      </c>
      <c r="E23" s="19" t="inlineStr">
        <is>
          <t>Direct cost (scenario)</t>
        </is>
      </c>
      <c r="F23" s="19" t="inlineStr">
        <is>
          <t>Lost revenue (scenario)</t>
        </is>
      </c>
      <c r="G23" s="19" t="inlineStr">
        <is>
          <t>Present worth</t>
        </is>
      </c>
      <c r="J23" s="20" t="inlineStr">
        <is>
          <t>Activity</t>
        </is>
      </c>
      <c r="K23" s="20" t="inlineStr">
        <is>
          <t>Year</t>
        </is>
      </c>
      <c r="L23" s="20" t="inlineStr">
        <is>
          <t>Direct cost (base $)</t>
        </is>
      </c>
      <c r="M23" s="20" t="inlineStr">
        <is>
          <t>Closure days (base)</t>
        </is>
      </c>
      <c r="N23" s="20" t="inlineStr">
        <is>
          <t>Direct cost (scenario)</t>
        </is>
      </c>
      <c r="O23" s="20" t="inlineStr">
        <is>
          <t>Lost revenue (scenario)</t>
        </is>
      </c>
      <c r="P23" s="20" t="inlineStr">
        <is>
          <t>Present worth</t>
        </is>
      </c>
      <c r="AK23" t="n">
        <v>10</v>
      </c>
      <c r="AL23">
        <f>IFERROR(IF(AU23&lt;($AM$6-$AL$6)/($AN$6-$AL$6),$AL$6+SQRT(AU23*($AN$6-$AL$6)*($AM$6-$AL$6)),$AN$6-SQRT((1-AU23)*($AN$6-$AL$6)*($AN$6-$AM$6))),$AM$6)</f>
        <v/>
      </c>
      <c r="AM23">
        <f>IFERROR(IF(AV23&lt;($AM$7-$AL$7)/($AN$7-$AL$7),$AL$7+SQRT(AV23*($AN$7-$AL$7)*($AM$7-$AL$7)),$AN$7-SQRT((1-AV23)*($AN$7-$AL$7)*($AN$7-$AM$7))),$AM$7)</f>
        <v/>
      </c>
      <c r="AN23">
        <f>IFERROR(IF(AW23&lt;($AM$8-$AL$8)/($AN$8-$AL$8),$AL$8+SQRT(AW23*($AN$8-$AL$8)*($AM$8-$AL$8)),$AN$8-SQRT((1-AW23)*($AN$8-$AL$8)*($AN$8-$AM$8))),$AM$8)</f>
        <v/>
      </c>
      <c r="AO23">
        <f>IFERROR(IF(AX23&lt;($AM$9-$AL$9)/($AN$9-$AL$9),$AL$9+SQRT(AX23*($AN$9-$AL$9)*($AM$9-$AL$9)),$AN$9-SQRT((1-AX23)*($AN$9-$AL$9)*($AN$9-$AM$9))),$AM$9)</f>
        <v/>
      </c>
      <c r="AP23">
        <f>IFERROR(IF(AY23&lt;($AM$10-$AL$10)/($AN$10-$AL$10),$AL$10+SQRT(AY23*($AN$10-$AL$10)*($AM$10-$AL$10)),$AN$10-SQRT((1-AY23)*($AN$10-$AL$10)*($AN$10-$AM$10))),$AM$10)</f>
        <v/>
      </c>
      <c r="AQ23">
        <f>IFERROR(IF(AZ23&lt;($AM$11-$AL$11)/($AN$11-$AL$11),$AL$11+SQRT(AZ23*($AN$11-$AL$11)*($AM$11-$AL$11)),$AN$11-SQRT((1-AZ23)*($AN$11-$AL$11)*($AN$11-$AM$11))),$AM$11)</f>
        <v/>
      </c>
      <c r="AR23">
        <f>SUMPRODUCT((B24:B31&lt;=$B$6)*(C24:C31*AM23+D24:D31*AO23*$B$8*AQ23)/(1+AL23/100)^B24:B31)+C32*AM23*AP23/(1+AL23/100)^$B$6</f>
        <v/>
      </c>
      <c r="AS23">
        <f>SUMPRODUCT((K24:K26&lt;=$B$6)*(L24:L26*AN23+M24:M26*AO23*$B$8*AQ23)/(1+AL23/100)^K24:K26)+L27*AN23*AP23/(1+AL23/100)^$B$6</f>
        <v/>
      </c>
      <c r="AT23">
        <f>AS23-AR23</f>
        <v/>
      </c>
      <c r="AU23">
        <f>RAND()</f>
        <v/>
      </c>
      <c r="AV23">
        <f>RAND()</f>
        <v/>
      </c>
      <c r="AW23">
        <f>RAND()</f>
        <v/>
      </c>
      <c r="AX23">
        <f>RAND()</f>
        <v/>
      </c>
      <c r="AY23">
        <f>RAND()</f>
        <v/>
      </c>
      <c r="AZ23">
        <f>RAND()</f>
        <v/>
      </c>
      <c r="BB23" s="18">
        <f>PERCENTILE($AT$14:$AT$1013,0.01)+(PERCENTILE($AT$14:$AT$1013,0.99)-PERCENTILE($AT$14:$AT$1013,0.01))*9/20</f>
        <v/>
      </c>
      <c r="BC23">
        <f>COUNTIF($AT$14:$AT$1013,"&lt;="&amp;BB23)-COUNTIF($AT$14:$AT$1013,"&lt;="&amp;BB22)</f>
        <v/>
      </c>
      <c r="BD23" s="12">
        <f>COUNTIF($AT$14:$AT$1013,"&lt;="&amp;BB23)/COUNT($AT$14:$AT$1013)</f>
        <v/>
      </c>
    </row>
    <row r="24">
      <c r="A24" s="7" t="inlineStr">
        <is>
          <t>Initial construction</t>
        </is>
      </c>
      <c r="B24" s="7" t="n">
        <v>0</v>
      </c>
      <c r="C24" s="21" t="n">
        <v>0</v>
      </c>
      <c r="D24" s="10" t="n">
        <v>0</v>
      </c>
      <c r="E24" s="14">
        <f>C24*$B$11</f>
        <v/>
      </c>
      <c r="F24" s="14">
        <f>D24*$B$10*$B$8*$B$9</f>
        <v/>
      </c>
      <c r="G24" s="14">
        <f>IF(B24&gt;$B$6,0,(E24+F24)/(1+$B$5/100)^B24)</f>
        <v/>
      </c>
      <c r="J24" s="7" t="inlineStr">
        <is>
          <t>Initial construction</t>
        </is>
      </c>
      <c r="K24" s="7" t="n">
        <v>0</v>
      </c>
      <c r="L24" s="21" t="n">
        <v>0</v>
      </c>
      <c r="M24" s="10" t="n">
        <v>0</v>
      </c>
      <c r="N24" s="14">
        <f>L24*$B$12</f>
        <v/>
      </c>
      <c r="O24" s="14">
        <f>M24*$B$10*$B$8*$B$9</f>
        <v/>
      </c>
      <c r="P24" s="14">
        <f>IF(K24&gt;$B$6,0,(N24+O24)/(1+$B$5/100)^K24)</f>
        <v/>
      </c>
      <c r="AK24" t="n">
        <v>11</v>
      </c>
      <c r="AL24">
        <f>IFERROR(IF(AU24&lt;($AM$6-$AL$6)/($AN$6-$AL$6),$AL$6+SQRT(AU24*($AN$6-$AL$6)*($AM$6-$AL$6)),$AN$6-SQRT((1-AU24)*($AN$6-$AL$6)*($AN$6-$AM$6))),$AM$6)</f>
        <v/>
      </c>
      <c r="AM24">
        <f>IFERROR(IF(AV24&lt;($AM$7-$AL$7)/($AN$7-$AL$7),$AL$7+SQRT(AV24*($AN$7-$AL$7)*($AM$7-$AL$7)),$AN$7-SQRT((1-AV24)*($AN$7-$AL$7)*($AN$7-$AM$7))),$AM$7)</f>
        <v/>
      </c>
      <c r="AN24">
        <f>IFERROR(IF(AW24&lt;($AM$8-$AL$8)/($AN$8-$AL$8),$AL$8+SQRT(AW24*($AN$8-$AL$8)*($AM$8-$AL$8)),$AN$8-SQRT((1-AW24)*($AN$8-$AL$8)*($AN$8-$AM$8))),$AM$8)</f>
        <v/>
      </c>
      <c r="AO24">
        <f>IFERROR(IF(AX24&lt;($AM$9-$AL$9)/($AN$9-$AL$9),$AL$9+SQRT(AX24*($AN$9-$AL$9)*($AM$9-$AL$9)),$AN$9-SQRT((1-AX24)*($AN$9-$AL$9)*($AN$9-$AM$9))),$AM$9)</f>
        <v/>
      </c>
      <c r="AP24">
        <f>IFERROR(IF(AY24&lt;($AM$10-$AL$10)/($AN$10-$AL$10),$AL$10+SQRT(AY24*($AN$10-$AL$10)*($AM$10-$AL$10)),$AN$10-SQRT((1-AY24)*($AN$10-$AL$10)*($AN$10-$AM$10))),$AM$10)</f>
        <v/>
      </c>
      <c r="AQ24">
        <f>IFERROR(IF(AZ24&lt;($AM$11-$AL$11)/($AN$11-$AL$11),$AL$11+SQRT(AZ24*($AN$11-$AL$11)*($AM$11-$AL$11)),$AN$11-SQRT((1-AZ24)*($AN$11-$AL$11)*($AN$11-$AM$11))),$AM$11)</f>
        <v/>
      </c>
      <c r="AR24">
        <f>SUMPRODUCT((B24:B31&lt;=$B$6)*(C24:C31*AM24+D24:D31*AO24*$B$8*AQ24)/(1+AL24/100)^B24:B31)+C32*AM24*AP24/(1+AL24/100)^$B$6</f>
        <v/>
      </c>
      <c r="AS24">
        <f>SUMPRODUCT((K24:K26&lt;=$B$6)*(L24:L26*AN24+M24:M26*AO24*$B$8*AQ24)/(1+AL24/100)^K24:K26)+L27*AN24*AP24/(1+AL24/100)^$B$6</f>
        <v/>
      </c>
      <c r="AT24">
        <f>AS24-AR24</f>
        <v/>
      </c>
      <c r="AU24">
        <f>RAND()</f>
        <v/>
      </c>
      <c r="AV24">
        <f>RAND()</f>
        <v/>
      </c>
      <c r="AW24">
        <f>RAND()</f>
        <v/>
      </c>
      <c r="AX24">
        <f>RAND()</f>
        <v/>
      </c>
      <c r="AY24">
        <f>RAND()</f>
        <v/>
      </c>
      <c r="AZ24">
        <f>RAND()</f>
        <v/>
      </c>
      <c r="BB24" s="18">
        <f>PERCENTILE($AT$14:$AT$1013,0.01)+(PERCENTILE($AT$14:$AT$1013,0.99)-PERCENTILE($AT$14:$AT$1013,0.01))*10/20</f>
        <v/>
      </c>
      <c r="BC24">
        <f>COUNTIF($AT$14:$AT$1013,"&lt;="&amp;BB24)-COUNTIF($AT$14:$AT$1013,"&lt;="&amp;BB23)</f>
        <v/>
      </c>
      <c r="BD24" s="12">
        <f>COUNTIF($AT$14:$AT$1013,"&lt;="&amp;BB24)/COUNT($AT$14:$AT$1013)</f>
        <v/>
      </c>
    </row>
    <row r="25">
      <c r="A25" s="7" t="inlineStr">
        <is>
          <t>Maintenance 1</t>
        </is>
      </c>
      <c r="B25" s="7" t="n">
        <v>4</v>
      </c>
      <c r="C25" s="21" t="n">
        <v>0</v>
      </c>
      <c r="D25" s="10" t="n">
        <v>0</v>
      </c>
      <c r="E25" s="14">
        <f>C25*$B$11</f>
        <v/>
      </c>
      <c r="F25" s="14">
        <f>D25*$B$10*$B$8*$B$9</f>
        <v/>
      </c>
      <c r="G25" s="14">
        <f>IF(B25&gt;$B$6,0,(E25+F25)/(1+$B$5/100)^B25)</f>
        <v/>
      </c>
      <c r="J25" s="7" t="inlineStr">
        <is>
          <t>Maintenance 1</t>
        </is>
      </c>
      <c r="K25" s="7" t="n">
        <v>19</v>
      </c>
      <c r="L25" s="21" t="n">
        <v>0</v>
      </c>
      <c r="M25" s="10" t="n">
        <v>0</v>
      </c>
      <c r="N25" s="14">
        <f>L25*$B$12</f>
        <v/>
      </c>
      <c r="O25" s="14">
        <f>M25*$B$10*$B$8*$B$9</f>
        <v/>
      </c>
      <c r="P25" s="14">
        <f>IF(K25&gt;$B$6,0,(N25+O25)/(1+$B$5/100)^K25)</f>
        <v/>
      </c>
      <c r="AK25" t="n">
        <v>12</v>
      </c>
      <c r="AL25">
        <f>IFERROR(IF(AU25&lt;($AM$6-$AL$6)/($AN$6-$AL$6),$AL$6+SQRT(AU25*($AN$6-$AL$6)*($AM$6-$AL$6)),$AN$6-SQRT((1-AU25)*($AN$6-$AL$6)*($AN$6-$AM$6))),$AM$6)</f>
        <v/>
      </c>
      <c r="AM25">
        <f>IFERROR(IF(AV25&lt;($AM$7-$AL$7)/($AN$7-$AL$7),$AL$7+SQRT(AV25*($AN$7-$AL$7)*($AM$7-$AL$7)),$AN$7-SQRT((1-AV25)*($AN$7-$AL$7)*($AN$7-$AM$7))),$AM$7)</f>
        <v/>
      </c>
      <c r="AN25">
        <f>IFERROR(IF(AW25&lt;($AM$8-$AL$8)/($AN$8-$AL$8),$AL$8+SQRT(AW25*($AN$8-$AL$8)*($AM$8-$AL$8)),$AN$8-SQRT((1-AW25)*($AN$8-$AL$8)*($AN$8-$AM$8))),$AM$8)</f>
        <v/>
      </c>
      <c r="AO25">
        <f>IFERROR(IF(AX25&lt;($AM$9-$AL$9)/($AN$9-$AL$9),$AL$9+SQRT(AX25*($AN$9-$AL$9)*($AM$9-$AL$9)),$AN$9-SQRT((1-AX25)*($AN$9-$AL$9)*($AN$9-$AM$9))),$AM$9)</f>
        <v/>
      </c>
      <c r="AP25">
        <f>IFERROR(IF(AY25&lt;($AM$10-$AL$10)/($AN$10-$AL$10),$AL$10+SQRT(AY25*($AN$10-$AL$10)*($AM$10-$AL$10)),$AN$10-SQRT((1-AY25)*($AN$10-$AL$10)*($AN$10-$AM$10))),$AM$10)</f>
        <v/>
      </c>
      <c r="AQ25">
        <f>IFERROR(IF(AZ25&lt;($AM$11-$AL$11)/($AN$11-$AL$11),$AL$11+SQRT(AZ25*($AN$11-$AL$11)*($AM$11-$AL$11)),$AN$11-SQRT((1-AZ25)*($AN$11-$AL$11)*($AN$11-$AM$11))),$AM$11)</f>
        <v/>
      </c>
      <c r="AR25">
        <f>SUMPRODUCT((B24:B31&lt;=$B$6)*(C24:C31*AM25+D24:D31*AO25*$B$8*AQ25)/(1+AL25/100)^B24:B31)+C32*AM25*AP25/(1+AL25/100)^$B$6</f>
        <v/>
      </c>
      <c r="AS25">
        <f>SUMPRODUCT((K24:K26&lt;=$B$6)*(L24:L26*AN25+M24:M26*AO25*$B$8*AQ25)/(1+AL25/100)^K24:K26)+L27*AN25*AP25/(1+AL25/100)^$B$6</f>
        <v/>
      </c>
      <c r="AT25">
        <f>AS25-AR25</f>
        <v/>
      </c>
      <c r="AU25">
        <f>RAND()</f>
        <v/>
      </c>
      <c r="AV25">
        <f>RAND()</f>
        <v/>
      </c>
      <c r="AW25">
        <f>RAND()</f>
        <v/>
      </c>
      <c r="AX25">
        <f>RAND()</f>
        <v/>
      </c>
      <c r="AY25">
        <f>RAND()</f>
        <v/>
      </c>
      <c r="AZ25">
        <f>RAND()</f>
        <v/>
      </c>
      <c r="BB25" s="18">
        <f>PERCENTILE($AT$14:$AT$1013,0.01)+(PERCENTILE($AT$14:$AT$1013,0.99)-PERCENTILE($AT$14:$AT$1013,0.01))*11/20</f>
        <v/>
      </c>
      <c r="BC25">
        <f>COUNTIF($AT$14:$AT$1013,"&lt;="&amp;BB25)-COUNTIF($AT$14:$AT$1013,"&lt;="&amp;BB24)</f>
        <v/>
      </c>
      <c r="BD25" s="12">
        <f>COUNTIF($AT$14:$AT$1013,"&lt;="&amp;BB25)/COUNT($AT$14:$AT$1013)</f>
        <v/>
      </c>
    </row>
    <row r="26">
      <c r="A26" s="7" t="inlineStr">
        <is>
          <t>Maintenance 2</t>
        </is>
      </c>
      <c r="B26" s="7" t="n">
        <v>8</v>
      </c>
      <c r="C26" s="21" t="n">
        <v>0</v>
      </c>
      <c r="D26" s="10" t="n">
        <v>0</v>
      </c>
      <c r="E26" s="14">
        <f>C26*$B$11</f>
        <v/>
      </c>
      <c r="F26" s="14">
        <f>D26*$B$10*$B$8*$B$9</f>
        <v/>
      </c>
      <c r="G26" s="14">
        <f>IF(B26&gt;$B$6,0,(E26+F26)/(1+$B$5/100)^B26)</f>
        <v/>
      </c>
      <c r="J26" s="7" t="inlineStr">
        <is>
          <t>Rehabilitation 1</t>
        </is>
      </c>
      <c r="K26" s="7" t="n">
        <v>27</v>
      </c>
      <c r="L26" s="21" t="n">
        <v>0</v>
      </c>
      <c r="M26" s="10" t="n">
        <v>0</v>
      </c>
      <c r="N26" s="14">
        <f>L26*$B$12</f>
        <v/>
      </c>
      <c r="O26" s="14">
        <f>M26*$B$10*$B$8*$B$9</f>
        <v/>
      </c>
      <c r="P26" s="14">
        <f>IF(K26&gt;$B$6,0,(N26+O26)/(1+$B$5/100)^K26)</f>
        <v/>
      </c>
      <c r="AK26" t="n">
        <v>13</v>
      </c>
      <c r="AL26">
        <f>IFERROR(IF(AU26&lt;($AM$6-$AL$6)/($AN$6-$AL$6),$AL$6+SQRT(AU26*($AN$6-$AL$6)*($AM$6-$AL$6)),$AN$6-SQRT((1-AU26)*($AN$6-$AL$6)*($AN$6-$AM$6))),$AM$6)</f>
        <v/>
      </c>
      <c r="AM26">
        <f>IFERROR(IF(AV26&lt;($AM$7-$AL$7)/($AN$7-$AL$7),$AL$7+SQRT(AV26*($AN$7-$AL$7)*($AM$7-$AL$7)),$AN$7-SQRT((1-AV26)*($AN$7-$AL$7)*($AN$7-$AM$7))),$AM$7)</f>
        <v/>
      </c>
      <c r="AN26">
        <f>IFERROR(IF(AW26&lt;($AM$8-$AL$8)/($AN$8-$AL$8),$AL$8+SQRT(AW26*($AN$8-$AL$8)*($AM$8-$AL$8)),$AN$8-SQRT((1-AW26)*($AN$8-$AL$8)*($AN$8-$AM$8))),$AM$8)</f>
        <v/>
      </c>
      <c r="AO26">
        <f>IFERROR(IF(AX26&lt;($AM$9-$AL$9)/($AN$9-$AL$9),$AL$9+SQRT(AX26*($AN$9-$AL$9)*($AM$9-$AL$9)),$AN$9-SQRT((1-AX26)*($AN$9-$AL$9)*($AN$9-$AM$9))),$AM$9)</f>
        <v/>
      </c>
      <c r="AP26">
        <f>IFERROR(IF(AY26&lt;($AM$10-$AL$10)/($AN$10-$AL$10),$AL$10+SQRT(AY26*($AN$10-$AL$10)*($AM$10-$AL$10)),$AN$10-SQRT((1-AY26)*($AN$10-$AL$10)*($AN$10-$AM$10))),$AM$10)</f>
        <v/>
      </c>
      <c r="AQ26">
        <f>IFERROR(IF(AZ26&lt;($AM$11-$AL$11)/($AN$11-$AL$11),$AL$11+SQRT(AZ26*($AN$11-$AL$11)*($AM$11-$AL$11)),$AN$11-SQRT((1-AZ26)*($AN$11-$AL$11)*($AN$11-$AM$11))),$AM$11)</f>
        <v/>
      </c>
      <c r="AR26">
        <f>SUMPRODUCT((B24:B31&lt;=$B$6)*(C24:C31*AM26+D24:D31*AO26*$B$8*AQ26)/(1+AL26/100)^B24:B31)+C32*AM26*AP26/(1+AL26/100)^$B$6</f>
        <v/>
      </c>
      <c r="AS26">
        <f>SUMPRODUCT((K24:K26&lt;=$B$6)*(L24:L26*AN26+M24:M26*AO26*$B$8*AQ26)/(1+AL26/100)^K24:K26)+L27*AN26*AP26/(1+AL26/100)^$B$6</f>
        <v/>
      </c>
      <c r="AT26">
        <f>AS26-AR26</f>
        <v/>
      </c>
      <c r="AU26">
        <f>RAND()</f>
        <v/>
      </c>
      <c r="AV26">
        <f>RAND()</f>
        <v/>
      </c>
      <c r="AW26">
        <f>RAND()</f>
        <v/>
      </c>
      <c r="AX26">
        <f>RAND()</f>
        <v/>
      </c>
      <c r="AY26">
        <f>RAND()</f>
        <v/>
      </c>
      <c r="AZ26">
        <f>RAND()</f>
        <v/>
      </c>
      <c r="BB26" s="18">
        <f>PERCENTILE($AT$14:$AT$1013,0.01)+(PERCENTILE($AT$14:$AT$1013,0.99)-PERCENTILE($AT$14:$AT$1013,0.01))*12/20</f>
        <v/>
      </c>
      <c r="BC26">
        <f>COUNTIF($AT$14:$AT$1013,"&lt;="&amp;BB26)-COUNTIF($AT$14:$AT$1013,"&lt;="&amp;BB25)</f>
        <v/>
      </c>
      <c r="BD26" s="12">
        <f>COUNTIF($AT$14:$AT$1013,"&lt;="&amp;BB26)/COUNT($AT$14:$AT$1013)</f>
        <v/>
      </c>
    </row>
    <row r="27">
      <c r="A27" s="7" t="inlineStr">
        <is>
          <t>Maintenance 3</t>
        </is>
      </c>
      <c r="B27" s="7" t="n">
        <v>12</v>
      </c>
      <c r="C27" s="21" t="n">
        <v>0</v>
      </c>
      <c r="D27" s="10" t="n">
        <v>0</v>
      </c>
      <c r="E27" s="14">
        <f>C27*$B$11</f>
        <v/>
      </c>
      <c r="F27" s="14">
        <f>D27*$B$10*$B$8*$B$9</f>
        <v/>
      </c>
      <c r="G27" s="14">
        <f>IF(B27&gt;$B$6,0,(E27+F27)/(1+$B$5/100)^B27)</f>
        <v/>
      </c>
      <c r="J27" s="7" t="inlineStr">
        <is>
          <t>Salvage value (at end of period)</t>
        </is>
      </c>
      <c r="K27">
        <f>$B$6</f>
        <v/>
      </c>
      <c r="L27" s="14">
        <f>-$B$17*IF($B$18="Initial",L24,SUMPRODUCT(ISNUMBER(SEARCH("Rehab",J25:J26))*L25:L26))</f>
        <v/>
      </c>
      <c r="N27" s="14">
        <f>L27*$B$12*$B$13</f>
        <v/>
      </c>
      <c r="P27" s="14">
        <f>N27/(1+$B$5/100)^K27</f>
        <v/>
      </c>
      <c r="AK27" t="n">
        <v>14</v>
      </c>
      <c r="AL27">
        <f>IFERROR(IF(AU27&lt;($AM$6-$AL$6)/($AN$6-$AL$6),$AL$6+SQRT(AU27*($AN$6-$AL$6)*($AM$6-$AL$6)),$AN$6-SQRT((1-AU27)*($AN$6-$AL$6)*($AN$6-$AM$6))),$AM$6)</f>
        <v/>
      </c>
      <c r="AM27">
        <f>IFERROR(IF(AV27&lt;($AM$7-$AL$7)/($AN$7-$AL$7),$AL$7+SQRT(AV27*($AN$7-$AL$7)*($AM$7-$AL$7)),$AN$7-SQRT((1-AV27)*($AN$7-$AL$7)*($AN$7-$AM$7))),$AM$7)</f>
        <v/>
      </c>
      <c r="AN27">
        <f>IFERROR(IF(AW27&lt;($AM$8-$AL$8)/($AN$8-$AL$8),$AL$8+SQRT(AW27*($AN$8-$AL$8)*($AM$8-$AL$8)),$AN$8-SQRT((1-AW27)*($AN$8-$AL$8)*($AN$8-$AM$8))),$AM$8)</f>
        <v/>
      </c>
      <c r="AO27">
        <f>IFERROR(IF(AX27&lt;($AM$9-$AL$9)/($AN$9-$AL$9),$AL$9+SQRT(AX27*($AN$9-$AL$9)*($AM$9-$AL$9)),$AN$9-SQRT((1-AX27)*($AN$9-$AL$9)*($AN$9-$AM$9))),$AM$9)</f>
        <v/>
      </c>
      <c r="AP27">
        <f>IFERROR(IF(AY27&lt;($AM$10-$AL$10)/($AN$10-$AL$10),$AL$10+SQRT(AY27*($AN$10-$AL$10)*($AM$10-$AL$10)),$AN$10-SQRT((1-AY27)*($AN$10-$AL$10)*($AN$10-$AM$10))),$AM$10)</f>
        <v/>
      </c>
      <c r="AQ27">
        <f>IFERROR(IF(AZ27&lt;($AM$11-$AL$11)/($AN$11-$AL$11),$AL$11+SQRT(AZ27*($AN$11-$AL$11)*($AM$11-$AL$11)),$AN$11-SQRT((1-AZ27)*($AN$11-$AL$11)*($AN$11-$AM$11))),$AM$11)</f>
        <v/>
      </c>
      <c r="AR27">
        <f>SUMPRODUCT((B24:B31&lt;=$B$6)*(C24:C31*AM27+D24:D31*AO27*$B$8*AQ27)/(1+AL27/100)^B24:B31)+C32*AM27*AP27/(1+AL27/100)^$B$6</f>
        <v/>
      </c>
      <c r="AS27">
        <f>SUMPRODUCT((K24:K26&lt;=$B$6)*(L24:L26*AN27+M24:M26*AO27*$B$8*AQ27)/(1+AL27/100)^K24:K26)+L27*AN27*AP27/(1+AL27/100)^$B$6</f>
        <v/>
      </c>
      <c r="AT27">
        <f>AS27-AR27</f>
        <v/>
      </c>
      <c r="AU27">
        <f>RAND()</f>
        <v/>
      </c>
      <c r="AV27">
        <f>RAND()</f>
        <v/>
      </c>
      <c r="AW27">
        <f>RAND()</f>
        <v/>
      </c>
      <c r="AX27">
        <f>RAND()</f>
        <v/>
      </c>
      <c r="AY27">
        <f>RAND()</f>
        <v/>
      </c>
      <c r="AZ27">
        <f>RAND()</f>
        <v/>
      </c>
      <c r="BB27" s="18">
        <f>PERCENTILE($AT$14:$AT$1013,0.01)+(PERCENTILE($AT$14:$AT$1013,0.99)-PERCENTILE($AT$14:$AT$1013,0.01))*13/20</f>
        <v/>
      </c>
      <c r="BC27">
        <f>COUNTIF($AT$14:$AT$1013,"&lt;="&amp;BB27)-COUNTIF($AT$14:$AT$1013,"&lt;="&amp;BB26)</f>
        <v/>
      </c>
      <c r="BD27" s="12">
        <f>COUNTIF($AT$14:$AT$1013,"&lt;="&amp;BB27)/COUNT($AT$14:$AT$1013)</f>
        <v/>
      </c>
    </row>
    <row r="28">
      <c r="A28" s="7" t="inlineStr">
        <is>
          <t>Maintenance 4</t>
        </is>
      </c>
      <c r="B28" s="7" t="n">
        <v>16</v>
      </c>
      <c r="C28" s="21" t="n">
        <v>0</v>
      </c>
      <c r="D28" s="10" t="n">
        <v>0</v>
      </c>
      <c r="E28" s="14">
        <f>C28*$B$11</f>
        <v/>
      </c>
      <c r="F28" s="14">
        <f>D28*$B$10*$B$8*$B$9</f>
        <v/>
      </c>
      <c r="G28" s="14">
        <f>IF(B28&gt;$B$6,0,(E28+F28)/(1+$B$5/100)^B28)</f>
        <v/>
      </c>
      <c r="J28" s="9" t="inlineStr">
        <is>
          <t>Net present worth</t>
        </is>
      </c>
      <c r="P28" s="22">
        <f>SUM(P24:P27)</f>
        <v/>
      </c>
      <c r="AK28" t="n">
        <v>15</v>
      </c>
      <c r="AL28">
        <f>IFERROR(IF(AU28&lt;($AM$6-$AL$6)/($AN$6-$AL$6),$AL$6+SQRT(AU28*($AN$6-$AL$6)*($AM$6-$AL$6)),$AN$6-SQRT((1-AU28)*($AN$6-$AL$6)*($AN$6-$AM$6))),$AM$6)</f>
        <v/>
      </c>
      <c r="AM28">
        <f>IFERROR(IF(AV28&lt;($AM$7-$AL$7)/($AN$7-$AL$7),$AL$7+SQRT(AV28*($AN$7-$AL$7)*($AM$7-$AL$7)),$AN$7-SQRT((1-AV28)*($AN$7-$AL$7)*($AN$7-$AM$7))),$AM$7)</f>
        <v/>
      </c>
      <c r="AN28">
        <f>IFERROR(IF(AW28&lt;($AM$8-$AL$8)/($AN$8-$AL$8),$AL$8+SQRT(AW28*($AN$8-$AL$8)*($AM$8-$AL$8)),$AN$8-SQRT((1-AW28)*($AN$8-$AL$8)*($AN$8-$AM$8))),$AM$8)</f>
        <v/>
      </c>
      <c r="AO28">
        <f>IFERROR(IF(AX28&lt;($AM$9-$AL$9)/($AN$9-$AL$9),$AL$9+SQRT(AX28*($AN$9-$AL$9)*($AM$9-$AL$9)),$AN$9-SQRT((1-AX28)*($AN$9-$AL$9)*($AN$9-$AM$9))),$AM$9)</f>
        <v/>
      </c>
      <c r="AP28">
        <f>IFERROR(IF(AY28&lt;($AM$10-$AL$10)/($AN$10-$AL$10),$AL$10+SQRT(AY28*($AN$10-$AL$10)*($AM$10-$AL$10)),$AN$10-SQRT((1-AY28)*($AN$10-$AL$10)*($AN$10-$AM$10))),$AM$10)</f>
        <v/>
      </c>
      <c r="AQ28">
        <f>IFERROR(IF(AZ28&lt;($AM$11-$AL$11)/($AN$11-$AL$11),$AL$11+SQRT(AZ28*($AN$11-$AL$11)*($AM$11-$AL$11)),$AN$11-SQRT((1-AZ28)*($AN$11-$AL$11)*($AN$11-$AM$11))),$AM$11)</f>
        <v/>
      </c>
      <c r="AR28">
        <f>SUMPRODUCT((B24:B31&lt;=$B$6)*(C24:C31*AM28+D24:D31*AO28*$B$8*AQ28)/(1+AL28/100)^B24:B31)+C32*AM28*AP28/(1+AL28/100)^$B$6</f>
        <v/>
      </c>
      <c r="AS28">
        <f>SUMPRODUCT((K24:K26&lt;=$B$6)*(L24:L26*AN28+M24:M26*AO28*$B$8*AQ28)/(1+AL28/100)^K24:K26)+L27*AN28*AP28/(1+AL28/100)^$B$6</f>
        <v/>
      </c>
      <c r="AT28">
        <f>AS28-AR28</f>
        <v/>
      </c>
      <c r="AU28">
        <f>RAND()</f>
        <v/>
      </c>
      <c r="AV28">
        <f>RAND()</f>
        <v/>
      </c>
      <c r="AW28">
        <f>RAND()</f>
        <v/>
      </c>
      <c r="AX28">
        <f>RAND()</f>
        <v/>
      </c>
      <c r="AY28">
        <f>RAND()</f>
        <v/>
      </c>
      <c r="AZ28">
        <f>RAND()</f>
        <v/>
      </c>
      <c r="BB28" s="18">
        <f>PERCENTILE($AT$14:$AT$1013,0.01)+(PERCENTILE($AT$14:$AT$1013,0.99)-PERCENTILE($AT$14:$AT$1013,0.01))*14/20</f>
        <v/>
      </c>
      <c r="BC28">
        <f>COUNTIF($AT$14:$AT$1013,"&lt;="&amp;BB28)-COUNTIF($AT$14:$AT$1013,"&lt;="&amp;BB27)</f>
        <v/>
      </c>
      <c r="BD28" s="12">
        <f>COUNTIF($AT$14:$AT$1013,"&lt;="&amp;BB28)/COUNT($AT$14:$AT$1013)</f>
        <v/>
      </c>
    </row>
    <row r="29">
      <c r="A29" s="7" t="inlineStr">
        <is>
          <t>Rehabilitation 1</t>
        </is>
      </c>
      <c r="B29" s="7" t="n">
        <v>20</v>
      </c>
      <c r="C29" s="21" t="n">
        <v>0</v>
      </c>
      <c r="D29" s="10" t="n">
        <v>0</v>
      </c>
      <c r="E29" s="14">
        <f>C29*$B$11</f>
        <v/>
      </c>
      <c r="F29" s="14">
        <f>D29*$B$10*$B$8*$B$9</f>
        <v/>
      </c>
      <c r="G29" s="14">
        <f>IF(B29&gt;$B$6,0,(E29+F29)/(1+$B$5/100)^B29)</f>
        <v/>
      </c>
      <c r="J29" s="5" t="inlineStr">
        <is>
          <t>Salvage = fraction x basis from the parameter block (TDOT Maintenance Policies). Base costs and closure days are inputs.</t>
        </is>
      </c>
      <c r="AK29" t="n">
        <v>16</v>
      </c>
      <c r="AL29">
        <f>IFERROR(IF(AU29&lt;($AM$6-$AL$6)/($AN$6-$AL$6),$AL$6+SQRT(AU29*($AN$6-$AL$6)*($AM$6-$AL$6)),$AN$6-SQRT((1-AU29)*($AN$6-$AL$6)*($AN$6-$AM$6))),$AM$6)</f>
        <v/>
      </c>
      <c r="AM29">
        <f>IFERROR(IF(AV29&lt;($AM$7-$AL$7)/($AN$7-$AL$7),$AL$7+SQRT(AV29*($AN$7-$AL$7)*($AM$7-$AL$7)),$AN$7-SQRT((1-AV29)*($AN$7-$AL$7)*($AN$7-$AM$7))),$AM$7)</f>
        <v/>
      </c>
      <c r="AN29">
        <f>IFERROR(IF(AW29&lt;($AM$8-$AL$8)/($AN$8-$AL$8),$AL$8+SQRT(AW29*($AN$8-$AL$8)*($AM$8-$AL$8)),$AN$8-SQRT((1-AW29)*($AN$8-$AL$8)*($AN$8-$AM$8))),$AM$8)</f>
        <v/>
      </c>
      <c r="AO29">
        <f>IFERROR(IF(AX29&lt;($AM$9-$AL$9)/($AN$9-$AL$9),$AL$9+SQRT(AX29*($AN$9-$AL$9)*($AM$9-$AL$9)),$AN$9-SQRT((1-AX29)*($AN$9-$AL$9)*($AN$9-$AM$9))),$AM$9)</f>
        <v/>
      </c>
      <c r="AP29">
        <f>IFERROR(IF(AY29&lt;($AM$10-$AL$10)/($AN$10-$AL$10),$AL$10+SQRT(AY29*($AN$10-$AL$10)*($AM$10-$AL$10)),$AN$10-SQRT((1-AY29)*($AN$10-$AL$10)*($AN$10-$AM$10))),$AM$10)</f>
        <v/>
      </c>
      <c r="AQ29">
        <f>IFERROR(IF(AZ29&lt;($AM$11-$AL$11)/($AN$11-$AL$11),$AL$11+SQRT(AZ29*($AN$11-$AL$11)*($AM$11-$AL$11)),$AN$11-SQRT((1-AZ29)*($AN$11-$AL$11)*($AN$11-$AM$11))),$AM$11)</f>
        <v/>
      </c>
      <c r="AR29">
        <f>SUMPRODUCT((B24:B31&lt;=$B$6)*(C24:C31*AM29+D24:D31*AO29*$B$8*AQ29)/(1+AL29/100)^B24:B31)+C32*AM29*AP29/(1+AL29/100)^$B$6</f>
        <v/>
      </c>
      <c r="AS29">
        <f>SUMPRODUCT((K24:K26&lt;=$B$6)*(L24:L26*AN29+M24:M26*AO29*$B$8*AQ29)/(1+AL29/100)^K24:K26)+L27*AN29*AP29/(1+AL29/100)^$B$6</f>
        <v/>
      </c>
      <c r="AT29">
        <f>AS29-AR29</f>
        <v/>
      </c>
      <c r="AU29">
        <f>RAND()</f>
        <v/>
      </c>
      <c r="AV29">
        <f>RAND()</f>
        <v/>
      </c>
      <c r="AW29">
        <f>RAND()</f>
        <v/>
      </c>
      <c r="AX29">
        <f>RAND()</f>
        <v/>
      </c>
      <c r="AY29">
        <f>RAND()</f>
        <v/>
      </c>
      <c r="AZ29">
        <f>RAND()</f>
        <v/>
      </c>
      <c r="BB29" s="18">
        <f>PERCENTILE($AT$14:$AT$1013,0.01)+(PERCENTILE($AT$14:$AT$1013,0.99)-PERCENTILE($AT$14:$AT$1013,0.01))*15/20</f>
        <v/>
      </c>
      <c r="BC29">
        <f>COUNTIF($AT$14:$AT$1013,"&lt;="&amp;BB29)-COUNTIF($AT$14:$AT$1013,"&lt;="&amp;BB28)</f>
        <v/>
      </c>
      <c r="BD29" s="12">
        <f>COUNTIF($AT$14:$AT$1013,"&lt;="&amp;BB29)/COUNT($AT$14:$AT$1013)</f>
        <v/>
      </c>
    </row>
    <row r="30">
      <c r="A30" s="7" t="inlineStr">
        <is>
          <t>Maintenance 5</t>
        </is>
      </c>
      <c r="B30" s="7" t="n">
        <v>24</v>
      </c>
      <c r="C30" s="21" t="n">
        <v>0</v>
      </c>
      <c r="D30" s="10" t="n">
        <v>0</v>
      </c>
      <c r="E30" s="14">
        <f>C30*$B$11</f>
        <v/>
      </c>
      <c r="F30" s="14">
        <f>D30*$B$10*$B$8*$B$9</f>
        <v/>
      </c>
      <c r="G30" s="14">
        <f>IF(B30&gt;$B$6,0,(E30+F30)/(1+$B$5/100)^B30)</f>
        <v/>
      </c>
      <c r="AK30" t="n">
        <v>17</v>
      </c>
      <c r="AL30">
        <f>IFERROR(IF(AU30&lt;($AM$6-$AL$6)/($AN$6-$AL$6),$AL$6+SQRT(AU30*($AN$6-$AL$6)*($AM$6-$AL$6)),$AN$6-SQRT((1-AU30)*($AN$6-$AL$6)*($AN$6-$AM$6))),$AM$6)</f>
        <v/>
      </c>
      <c r="AM30">
        <f>IFERROR(IF(AV30&lt;($AM$7-$AL$7)/($AN$7-$AL$7),$AL$7+SQRT(AV30*($AN$7-$AL$7)*($AM$7-$AL$7)),$AN$7-SQRT((1-AV30)*($AN$7-$AL$7)*($AN$7-$AM$7))),$AM$7)</f>
        <v/>
      </c>
      <c r="AN30">
        <f>IFERROR(IF(AW30&lt;($AM$8-$AL$8)/($AN$8-$AL$8),$AL$8+SQRT(AW30*($AN$8-$AL$8)*($AM$8-$AL$8)),$AN$8-SQRT((1-AW30)*($AN$8-$AL$8)*($AN$8-$AM$8))),$AM$8)</f>
        <v/>
      </c>
      <c r="AO30">
        <f>IFERROR(IF(AX30&lt;($AM$9-$AL$9)/($AN$9-$AL$9),$AL$9+SQRT(AX30*($AN$9-$AL$9)*($AM$9-$AL$9)),$AN$9-SQRT((1-AX30)*($AN$9-$AL$9)*($AN$9-$AM$9))),$AM$9)</f>
        <v/>
      </c>
      <c r="AP30">
        <f>IFERROR(IF(AY30&lt;($AM$10-$AL$10)/($AN$10-$AL$10),$AL$10+SQRT(AY30*($AN$10-$AL$10)*($AM$10-$AL$10)),$AN$10-SQRT((1-AY30)*($AN$10-$AL$10)*($AN$10-$AM$10))),$AM$10)</f>
        <v/>
      </c>
      <c r="AQ30">
        <f>IFERROR(IF(AZ30&lt;($AM$11-$AL$11)/($AN$11-$AL$11),$AL$11+SQRT(AZ30*($AN$11-$AL$11)*($AM$11-$AL$11)),$AN$11-SQRT((1-AZ30)*($AN$11-$AL$11)*($AN$11-$AM$11))),$AM$11)</f>
        <v/>
      </c>
      <c r="AR30">
        <f>SUMPRODUCT((B24:B31&lt;=$B$6)*(C24:C31*AM30+D24:D31*AO30*$B$8*AQ30)/(1+AL30/100)^B24:B31)+C32*AM30*AP30/(1+AL30/100)^$B$6</f>
        <v/>
      </c>
      <c r="AS30">
        <f>SUMPRODUCT((K24:K26&lt;=$B$6)*(L24:L26*AN30+M24:M26*AO30*$B$8*AQ30)/(1+AL30/100)^K24:K26)+L27*AN30*AP30/(1+AL30/100)^$B$6</f>
        <v/>
      </c>
      <c r="AT30">
        <f>AS30-AR30</f>
        <v/>
      </c>
      <c r="AU30">
        <f>RAND()</f>
        <v/>
      </c>
      <c r="AV30">
        <f>RAND()</f>
        <v/>
      </c>
      <c r="AW30">
        <f>RAND()</f>
        <v/>
      </c>
      <c r="AX30">
        <f>RAND()</f>
        <v/>
      </c>
      <c r="AY30">
        <f>RAND()</f>
        <v/>
      </c>
      <c r="AZ30">
        <f>RAND()</f>
        <v/>
      </c>
      <c r="BB30" s="18">
        <f>PERCENTILE($AT$14:$AT$1013,0.01)+(PERCENTILE($AT$14:$AT$1013,0.99)-PERCENTILE($AT$14:$AT$1013,0.01))*16/20</f>
        <v/>
      </c>
      <c r="BC30">
        <f>COUNTIF($AT$14:$AT$1013,"&lt;="&amp;BB30)-COUNTIF($AT$14:$AT$1013,"&lt;="&amp;BB29)</f>
        <v/>
      </c>
      <c r="BD30" s="12">
        <f>COUNTIF($AT$14:$AT$1013,"&lt;="&amp;BB30)/COUNT($AT$14:$AT$1013)</f>
        <v/>
      </c>
    </row>
    <row r="31">
      <c r="A31" s="7" t="inlineStr">
        <is>
          <t>Maintenance 6</t>
        </is>
      </c>
      <c r="B31" s="7" t="n">
        <v>28</v>
      </c>
      <c r="C31" s="21" t="n">
        <v>0</v>
      </c>
      <c r="D31" s="10" t="n">
        <v>0</v>
      </c>
      <c r="E31" s="14">
        <f>C31*$B$11</f>
        <v/>
      </c>
      <c r="F31" s="14">
        <f>D31*$B$10*$B$8*$B$9</f>
        <v/>
      </c>
      <c r="G31" s="14">
        <f>IF(B31&gt;$B$6,0,(E31+F31)/(1+$B$5/100)^B31)</f>
        <v/>
      </c>
      <c r="AK31" t="n">
        <v>18</v>
      </c>
      <c r="AL31">
        <f>IFERROR(IF(AU31&lt;($AM$6-$AL$6)/($AN$6-$AL$6),$AL$6+SQRT(AU31*($AN$6-$AL$6)*($AM$6-$AL$6)),$AN$6-SQRT((1-AU31)*($AN$6-$AL$6)*($AN$6-$AM$6))),$AM$6)</f>
        <v/>
      </c>
      <c r="AM31">
        <f>IFERROR(IF(AV31&lt;($AM$7-$AL$7)/($AN$7-$AL$7),$AL$7+SQRT(AV31*($AN$7-$AL$7)*($AM$7-$AL$7)),$AN$7-SQRT((1-AV31)*($AN$7-$AL$7)*($AN$7-$AM$7))),$AM$7)</f>
        <v/>
      </c>
      <c r="AN31">
        <f>IFERROR(IF(AW31&lt;($AM$8-$AL$8)/($AN$8-$AL$8),$AL$8+SQRT(AW31*($AN$8-$AL$8)*($AM$8-$AL$8)),$AN$8-SQRT((1-AW31)*($AN$8-$AL$8)*($AN$8-$AM$8))),$AM$8)</f>
        <v/>
      </c>
      <c r="AO31">
        <f>IFERROR(IF(AX31&lt;($AM$9-$AL$9)/($AN$9-$AL$9),$AL$9+SQRT(AX31*($AN$9-$AL$9)*($AM$9-$AL$9)),$AN$9-SQRT((1-AX31)*($AN$9-$AL$9)*($AN$9-$AM$9))),$AM$9)</f>
        <v/>
      </c>
      <c r="AP31">
        <f>IFERROR(IF(AY31&lt;($AM$10-$AL$10)/($AN$10-$AL$10),$AL$10+SQRT(AY31*($AN$10-$AL$10)*($AM$10-$AL$10)),$AN$10-SQRT((1-AY31)*($AN$10-$AL$10)*($AN$10-$AM$10))),$AM$10)</f>
        <v/>
      </c>
      <c r="AQ31">
        <f>IFERROR(IF(AZ31&lt;($AM$11-$AL$11)/($AN$11-$AL$11),$AL$11+SQRT(AZ31*($AN$11-$AL$11)*($AM$11-$AL$11)),$AN$11-SQRT((1-AZ31)*($AN$11-$AL$11)*($AN$11-$AM$11))),$AM$11)</f>
        <v/>
      </c>
      <c r="AR31">
        <f>SUMPRODUCT((B24:B31&lt;=$B$6)*(C24:C31*AM31+D24:D31*AO31*$B$8*AQ31)/(1+AL31/100)^B24:B31)+C32*AM31*AP31/(1+AL31/100)^$B$6</f>
        <v/>
      </c>
      <c r="AS31">
        <f>SUMPRODUCT((K24:K26&lt;=$B$6)*(L24:L26*AN31+M24:M26*AO31*$B$8*AQ31)/(1+AL31/100)^K24:K26)+L27*AN31*AP31/(1+AL31/100)^$B$6</f>
        <v/>
      </c>
      <c r="AT31">
        <f>AS31-AR31</f>
        <v/>
      </c>
      <c r="AU31">
        <f>RAND()</f>
        <v/>
      </c>
      <c r="AV31">
        <f>RAND()</f>
        <v/>
      </c>
      <c r="AW31">
        <f>RAND()</f>
        <v/>
      </c>
      <c r="AX31">
        <f>RAND()</f>
        <v/>
      </c>
      <c r="AY31">
        <f>RAND()</f>
        <v/>
      </c>
      <c r="AZ31">
        <f>RAND()</f>
        <v/>
      </c>
      <c r="BB31" s="18">
        <f>PERCENTILE($AT$14:$AT$1013,0.01)+(PERCENTILE($AT$14:$AT$1013,0.99)-PERCENTILE($AT$14:$AT$1013,0.01))*17/20</f>
        <v/>
      </c>
      <c r="BC31">
        <f>COUNTIF($AT$14:$AT$1013,"&lt;="&amp;BB31)-COUNTIF($AT$14:$AT$1013,"&lt;="&amp;BB30)</f>
        <v/>
      </c>
      <c r="BD31" s="12">
        <f>COUNTIF($AT$14:$AT$1013,"&lt;="&amp;BB31)/COUNT($AT$14:$AT$1013)</f>
        <v/>
      </c>
    </row>
    <row r="32">
      <c r="A32" s="7" t="inlineStr">
        <is>
          <t>Salvage value (at end of period)</t>
        </is>
      </c>
      <c r="B32">
        <f>$B$6</f>
        <v/>
      </c>
      <c r="C32" s="14">
        <f>-$B$15*IF($B$16="Initial",C24,SUMPRODUCT(ISNUMBER(SEARCH("Rehab",A25:A31))*C25:C31))</f>
        <v/>
      </c>
      <c r="E32" s="14">
        <f>C32*$B$11*$B$13</f>
        <v/>
      </c>
      <c r="G32" s="14">
        <f>E32/(1+$B$5/100)^B32</f>
        <v/>
      </c>
      <c r="AK32" t="n">
        <v>19</v>
      </c>
      <c r="AL32">
        <f>IFERROR(IF(AU32&lt;($AM$6-$AL$6)/($AN$6-$AL$6),$AL$6+SQRT(AU32*($AN$6-$AL$6)*($AM$6-$AL$6)),$AN$6-SQRT((1-AU32)*($AN$6-$AL$6)*($AN$6-$AM$6))),$AM$6)</f>
        <v/>
      </c>
      <c r="AM32">
        <f>IFERROR(IF(AV32&lt;($AM$7-$AL$7)/($AN$7-$AL$7),$AL$7+SQRT(AV32*($AN$7-$AL$7)*($AM$7-$AL$7)),$AN$7-SQRT((1-AV32)*($AN$7-$AL$7)*($AN$7-$AM$7))),$AM$7)</f>
        <v/>
      </c>
      <c r="AN32">
        <f>IFERROR(IF(AW32&lt;($AM$8-$AL$8)/($AN$8-$AL$8),$AL$8+SQRT(AW32*($AN$8-$AL$8)*($AM$8-$AL$8)),$AN$8-SQRT((1-AW32)*($AN$8-$AL$8)*($AN$8-$AM$8))),$AM$8)</f>
        <v/>
      </c>
      <c r="AO32">
        <f>IFERROR(IF(AX32&lt;($AM$9-$AL$9)/($AN$9-$AL$9),$AL$9+SQRT(AX32*($AN$9-$AL$9)*($AM$9-$AL$9)),$AN$9-SQRT((1-AX32)*($AN$9-$AL$9)*($AN$9-$AM$9))),$AM$9)</f>
        <v/>
      </c>
      <c r="AP32">
        <f>IFERROR(IF(AY32&lt;($AM$10-$AL$10)/($AN$10-$AL$10),$AL$10+SQRT(AY32*($AN$10-$AL$10)*($AM$10-$AL$10)),$AN$10-SQRT((1-AY32)*($AN$10-$AL$10)*($AN$10-$AM$10))),$AM$10)</f>
        <v/>
      </c>
      <c r="AQ32">
        <f>IFERROR(IF(AZ32&lt;($AM$11-$AL$11)/($AN$11-$AL$11),$AL$11+SQRT(AZ32*($AN$11-$AL$11)*($AM$11-$AL$11)),$AN$11-SQRT((1-AZ32)*($AN$11-$AL$11)*($AN$11-$AM$11))),$AM$11)</f>
        <v/>
      </c>
      <c r="AR32">
        <f>SUMPRODUCT((B24:B31&lt;=$B$6)*(C24:C31*AM32+D24:D31*AO32*$B$8*AQ32)/(1+AL32/100)^B24:B31)+C32*AM32*AP32/(1+AL32/100)^$B$6</f>
        <v/>
      </c>
      <c r="AS32">
        <f>SUMPRODUCT((K24:K26&lt;=$B$6)*(L24:L26*AN32+M24:M26*AO32*$B$8*AQ32)/(1+AL32/100)^K24:K26)+L27*AN32*AP32/(1+AL32/100)^$B$6</f>
        <v/>
      </c>
      <c r="AT32">
        <f>AS32-AR32</f>
        <v/>
      </c>
      <c r="AU32">
        <f>RAND()</f>
        <v/>
      </c>
      <c r="AV32">
        <f>RAND()</f>
        <v/>
      </c>
      <c r="AW32">
        <f>RAND()</f>
        <v/>
      </c>
      <c r="AX32">
        <f>RAND()</f>
        <v/>
      </c>
      <c r="AY32">
        <f>RAND()</f>
        <v/>
      </c>
      <c r="AZ32">
        <f>RAND()</f>
        <v/>
      </c>
      <c r="BB32" s="18">
        <f>PERCENTILE($AT$14:$AT$1013,0.01)+(PERCENTILE($AT$14:$AT$1013,0.99)-PERCENTILE($AT$14:$AT$1013,0.01))*18/20</f>
        <v/>
      </c>
      <c r="BC32">
        <f>COUNTIF($AT$14:$AT$1013,"&lt;="&amp;BB32)-COUNTIF($AT$14:$AT$1013,"&lt;="&amp;BB31)</f>
        <v/>
      </c>
      <c r="BD32" s="12">
        <f>COUNTIF($AT$14:$AT$1013,"&lt;="&amp;BB32)/COUNT($AT$14:$AT$1013)</f>
        <v/>
      </c>
    </row>
    <row r="33">
      <c r="A33" s="9" t="inlineStr">
        <is>
          <t>Net present worth</t>
        </is>
      </c>
      <c r="G33" s="22">
        <f>SUM(G24:G32)</f>
        <v/>
      </c>
      <c r="AK33" t="n">
        <v>20</v>
      </c>
      <c r="AL33">
        <f>IFERROR(IF(AU33&lt;($AM$6-$AL$6)/($AN$6-$AL$6),$AL$6+SQRT(AU33*($AN$6-$AL$6)*($AM$6-$AL$6)),$AN$6-SQRT((1-AU33)*($AN$6-$AL$6)*($AN$6-$AM$6))),$AM$6)</f>
        <v/>
      </c>
      <c r="AM33">
        <f>IFERROR(IF(AV33&lt;($AM$7-$AL$7)/($AN$7-$AL$7),$AL$7+SQRT(AV33*($AN$7-$AL$7)*($AM$7-$AL$7)),$AN$7-SQRT((1-AV33)*($AN$7-$AL$7)*($AN$7-$AM$7))),$AM$7)</f>
        <v/>
      </c>
      <c r="AN33">
        <f>IFERROR(IF(AW33&lt;($AM$8-$AL$8)/($AN$8-$AL$8),$AL$8+SQRT(AW33*($AN$8-$AL$8)*($AM$8-$AL$8)),$AN$8-SQRT((1-AW33)*($AN$8-$AL$8)*($AN$8-$AM$8))),$AM$8)</f>
        <v/>
      </c>
      <c r="AO33">
        <f>IFERROR(IF(AX33&lt;($AM$9-$AL$9)/($AN$9-$AL$9),$AL$9+SQRT(AX33*($AN$9-$AL$9)*($AM$9-$AL$9)),$AN$9-SQRT((1-AX33)*($AN$9-$AL$9)*($AN$9-$AM$9))),$AM$9)</f>
        <v/>
      </c>
      <c r="AP33">
        <f>IFERROR(IF(AY33&lt;($AM$10-$AL$10)/($AN$10-$AL$10),$AL$10+SQRT(AY33*($AN$10-$AL$10)*($AM$10-$AL$10)),$AN$10-SQRT((1-AY33)*($AN$10-$AL$10)*($AN$10-$AM$10))),$AM$10)</f>
        <v/>
      </c>
      <c r="AQ33">
        <f>IFERROR(IF(AZ33&lt;($AM$11-$AL$11)/($AN$11-$AL$11),$AL$11+SQRT(AZ33*($AN$11-$AL$11)*($AM$11-$AL$11)),$AN$11-SQRT((1-AZ33)*($AN$11-$AL$11)*($AN$11-$AM$11))),$AM$11)</f>
        <v/>
      </c>
      <c r="AR33">
        <f>SUMPRODUCT((B24:B31&lt;=$B$6)*(C24:C31*AM33+D24:D31*AO33*$B$8*AQ33)/(1+AL33/100)^B24:B31)+C32*AM33*AP33/(1+AL33/100)^$B$6</f>
        <v/>
      </c>
      <c r="AS33">
        <f>SUMPRODUCT((K24:K26&lt;=$B$6)*(L24:L26*AN33+M24:M26*AO33*$B$8*AQ33)/(1+AL33/100)^K24:K26)+L27*AN33*AP33/(1+AL33/100)^$B$6</f>
        <v/>
      </c>
      <c r="AT33">
        <f>AS33-AR33</f>
        <v/>
      </c>
      <c r="AU33">
        <f>RAND()</f>
        <v/>
      </c>
      <c r="AV33">
        <f>RAND()</f>
        <v/>
      </c>
      <c r="AW33">
        <f>RAND()</f>
        <v/>
      </c>
      <c r="AX33">
        <f>RAND()</f>
        <v/>
      </c>
      <c r="AY33">
        <f>RAND()</f>
        <v/>
      </c>
      <c r="AZ33">
        <f>RAND()</f>
        <v/>
      </c>
      <c r="BB33" s="18">
        <f>PERCENTILE($AT$14:$AT$1013,0.01)+(PERCENTILE($AT$14:$AT$1013,0.99)-PERCENTILE($AT$14:$AT$1013,0.01))*19/20</f>
        <v/>
      </c>
      <c r="BC33">
        <f>COUNTIF($AT$14:$AT$1013,"&lt;="&amp;BB33)-COUNTIF($AT$14:$AT$1013,"&lt;="&amp;BB32)</f>
        <v/>
      </c>
      <c r="BD33" s="12">
        <f>COUNTIF($AT$14:$AT$1013,"&lt;="&amp;BB33)/COUNT($AT$14:$AT$1013)</f>
        <v/>
      </c>
    </row>
    <row r="34">
      <c r="A34" s="5" t="inlineStr">
        <is>
          <t>Salvage = fraction x basis from the parameter block (TDOT Maintenance Policies). Base costs and closure days are inputs.</t>
        </is>
      </c>
      <c r="AK34" t="n">
        <v>21</v>
      </c>
      <c r="AL34">
        <f>IFERROR(IF(AU34&lt;($AM$6-$AL$6)/($AN$6-$AL$6),$AL$6+SQRT(AU34*($AN$6-$AL$6)*($AM$6-$AL$6)),$AN$6-SQRT((1-AU34)*($AN$6-$AL$6)*($AN$6-$AM$6))),$AM$6)</f>
        <v/>
      </c>
      <c r="AM34">
        <f>IFERROR(IF(AV34&lt;($AM$7-$AL$7)/($AN$7-$AL$7),$AL$7+SQRT(AV34*($AN$7-$AL$7)*($AM$7-$AL$7)),$AN$7-SQRT((1-AV34)*($AN$7-$AL$7)*($AN$7-$AM$7))),$AM$7)</f>
        <v/>
      </c>
      <c r="AN34">
        <f>IFERROR(IF(AW34&lt;($AM$8-$AL$8)/($AN$8-$AL$8),$AL$8+SQRT(AW34*($AN$8-$AL$8)*($AM$8-$AL$8)),$AN$8-SQRT((1-AW34)*($AN$8-$AL$8)*($AN$8-$AM$8))),$AM$8)</f>
        <v/>
      </c>
      <c r="AO34">
        <f>IFERROR(IF(AX34&lt;($AM$9-$AL$9)/($AN$9-$AL$9),$AL$9+SQRT(AX34*($AN$9-$AL$9)*($AM$9-$AL$9)),$AN$9-SQRT((1-AX34)*($AN$9-$AL$9)*($AN$9-$AM$9))),$AM$9)</f>
        <v/>
      </c>
      <c r="AP34">
        <f>IFERROR(IF(AY34&lt;($AM$10-$AL$10)/($AN$10-$AL$10),$AL$10+SQRT(AY34*($AN$10-$AL$10)*($AM$10-$AL$10)),$AN$10-SQRT((1-AY34)*($AN$10-$AL$10)*($AN$10-$AM$10))),$AM$10)</f>
        <v/>
      </c>
      <c r="AQ34">
        <f>IFERROR(IF(AZ34&lt;($AM$11-$AL$11)/($AN$11-$AL$11),$AL$11+SQRT(AZ34*($AN$11-$AL$11)*($AM$11-$AL$11)),$AN$11-SQRT((1-AZ34)*($AN$11-$AL$11)*($AN$11-$AM$11))),$AM$11)</f>
        <v/>
      </c>
      <c r="AR34">
        <f>SUMPRODUCT((B24:B31&lt;=$B$6)*(C24:C31*AM34+D24:D31*AO34*$B$8*AQ34)/(1+AL34/100)^B24:B31)+C32*AM34*AP34/(1+AL34/100)^$B$6</f>
        <v/>
      </c>
      <c r="AS34">
        <f>SUMPRODUCT((K24:K26&lt;=$B$6)*(L24:L26*AN34+M24:M26*AO34*$B$8*AQ34)/(1+AL34/100)^K24:K26)+L27*AN34*AP34/(1+AL34/100)^$B$6</f>
        <v/>
      </c>
      <c r="AT34">
        <f>AS34-AR34</f>
        <v/>
      </c>
      <c r="AU34">
        <f>RAND()</f>
        <v/>
      </c>
      <c r="AV34">
        <f>RAND()</f>
        <v/>
      </c>
      <c r="AW34">
        <f>RAND()</f>
        <v/>
      </c>
      <c r="AX34">
        <f>RAND()</f>
        <v/>
      </c>
      <c r="AY34">
        <f>RAND()</f>
        <v/>
      </c>
      <c r="AZ34">
        <f>RAND()</f>
        <v/>
      </c>
      <c r="BB34" s="18">
        <f>PERCENTILE($AT$14:$AT$1013,0.01)+(PERCENTILE($AT$14:$AT$1013,0.99)-PERCENTILE($AT$14:$AT$1013,0.01))*20/20</f>
        <v/>
      </c>
      <c r="BC34">
        <f>COUNTIF($AT$14:$AT$1013,"&lt;="&amp;BB34)-COUNTIF($AT$14:$AT$1013,"&lt;="&amp;BB33)</f>
        <v/>
      </c>
      <c r="BD34" s="12">
        <f>COUNTIF($AT$14:$AT$1013,"&lt;="&amp;BB34)/COUNT($AT$14:$AT$1013)</f>
        <v/>
      </c>
    </row>
    <row r="35">
      <c r="AK35" t="n">
        <v>22</v>
      </c>
      <c r="AL35">
        <f>IFERROR(IF(AU35&lt;($AM$6-$AL$6)/($AN$6-$AL$6),$AL$6+SQRT(AU35*($AN$6-$AL$6)*($AM$6-$AL$6)),$AN$6-SQRT((1-AU35)*($AN$6-$AL$6)*($AN$6-$AM$6))),$AM$6)</f>
        <v/>
      </c>
      <c r="AM35">
        <f>IFERROR(IF(AV35&lt;($AM$7-$AL$7)/($AN$7-$AL$7),$AL$7+SQRT(AV35*($AN$7-$AL$7)*($AM$7-$AL$7)),$AN$7-SQRT((1-AV35)*($AN$7-$AL$7)*($AN$7-$AM$7))),$AM$7)</f>
        <v/>
      </c>
      <c r="AN35">
        <f>IFERROR(IF(AW35&lt;($AM$8-$AL$8)/($AN$8-$AL$8),$AL$8+SQRT(AW35*($AN$8-$AL$8)*($AM$8-$AL$8)),$AN$8-SQRT((1-AW35)*($AN$8-$AL$8)*($AN$8-$AM$8))),$AM$8)</f>
        <v/>
      </c>
      <c r="AO35">
        <f>IFERROR(IF(AX35&lt;($AM$9-$AL$9)/($AN$9-$AL$9),$AL$9+SQRT(AX35*($AN$9-$AL$9)*($AM$9-$AL$9)),$AN$9-SQRT((1-AX35)*($AN$9-$AL$9)*($AN$9-$AM$9))),$AM$9)</f>
        <v/>
      </c>
      <c r="AP35">
        <f>IFERROR(IF(AY35&lt;($AM$10-$AL$10)/($AN$10-$AL$10),$AL$10+SQRT(AY35*($AN$10-$AL$10)*($AM$10-$AL$10)),$AN$10-SQRT((1-AY35)*($AN$10-$AL$10)*($AN$10-$AM$10))),$AM$10)</f>
        <v/>
      </c>
      <c r="AQ35">
        <f>IFERROR(IF(AZ35&lt;($AM$11-$AL$11)/($AN$11-$AL$11),$AL$11+SQRT(AZ35*($AN$11-$AL$11)*($AM$11-$AL$11)),$AN$11-SQRT((1-AZ35)*($AN$11-$AL$11)*($AN$11-$AM$11))),$AM$11)</f>
        <v/>
      </c>
      <c r="AR35">
        <f>SUMPRODUCT((B24:B31&lt;=$B$6)*(C24:C31*AM35+D24:D31*AO35*$B$8*AQ35)/(1+AL35/100)^B24:B31)+C32*AM35*AP35/(1+AL35/100)^$B$6</f>
        <v/>
      </c>
      <c r="AS35">
        <f>SUMPRODUCT((K24:K26&lt;=$B$6)*(L24:L26*AN35+M24:M26*AO35*$B$8*AQ35)/(1+AL35/100)^K24:K26)+L27*AN35*AP35/(1+AL35/100)^$B$6</f>
        <v/>
      </c>
      <c r="AT35">
        <f>AS35-AR35</f>
        <v/>
      </c>
      <c r="AU35">
        <f>RAND()</f>
        <v/>
      </c>
      <c r="AV35">
        <f>RAND()</f>
        <v/>
      </c>
      <c r="AW35">
        <f>RAND()</f>
        <v/>
      </c>
      <c r="AX35">
        <f>RAND()</f>
        <v/>
      </c>
      <c r="AY35">
        <f>RAND()</f>
        <v/>
      </c>
      <c r="AZ35">
        <f>RAND()</f>
        <v/>
      </c>
    </row>
    <row r="36">
      <c r="AK36" t="n">
        <v>23</v>
      </c>
      <c r="AL36">
        <f>IFERROR(IF(AU36&lt;($AM$6-$AL$6)/($AN$6-$AL$6),$AL$6+SQRT(AU36*($AN$6-$AL$6)*($AM$6-$AL$6)),$AN$6-SQRT((1-AU36)*($AN$6-$AL$6)*($AN$6-$AM$6))),$AM$6)</f>
        <v/>
      </c>
      <c r="AM36">
        <f>IFERROR(IF(AV36&lt;($AM$7-$AL$7)/($AN$7-$AL$7),$AL$7+SQRT(AV36*($AN$7-$AL$7)*($AM$7-$AL$7)),$AN$7-SQRT((1-AV36)*($AN$7-$AL$7)*($AN$7-$AM$7))),$AM$7)</f>
        <v/>
      </c>
      <c r="AN36">
        <f>IFERROR(IF(AW36&lt;($AM$8-$AL$8)/($AN$8-$AL$8),$AL$8+SQRT(AW36*($AN$8-$AL$8)*($AM$8-$AL$8)),$AN$8-SQRT((1-AW36)*($AN$8-$AL$8)*($AN$8-$AM$8))),$AM$8)</f>
        <v/>
      </c>
      <c r="AO36">
        <f>IFERROR(IF(AX36&lt;($AM$9-$AL$9)/($AN$9-$AL$9),$AL$9+SQRT(AX36*($AN$9-$AL$9)*($AM$9-$AL$9)),$AN$9-SQRT((1-AX36)*($AN$9-$AL$9)*($AN$9-$AM$9))),$AM$9)</f>
        <v/>
      </c>
      <c r="AP36">
        <f>IFERROR(IF(AY36&lt;($AM$10-$AL$10)/($AN$10-$AL$10),$AL$10+SQRT(AY36*($AN$10-$AL$10)*($AM$10-$AL$10)),$AN$10-SQRT((1-AY36)*($AN$10-$AL$10)*($AN$10-$AM$10))),$AM$10)</f>
        <v/>
      </c>
      <c r="AQ36">
        <f>IFERROR(IF(AZ36&lt;($AM$11-$AL$11)/($AN$11-$AL$11),$AL$11+SQRT(AZ36*($AN$11-$AL$11)*($AM$11-$AL$11)),$AN$11-SQRT((1-AZ36)*($AN$11-$AL$11)*($AN$11-$AM$11))),$AM$11)</f>
        <v/>
      </c>
      <c r="AR36">
        <f>SUMPRODUCT((B24:B31&lt;=$B$6)*(C24:C31*AM36+D24:D31*AO36*$B$8*AQ36)/(1+AL36/100)^B24:B31)+C32*AM36*AP36/(1+AL36/100)^$B$6</f>
        <v/>
      </c>
      <c r="AS36">
        <f>SUMPRODUCT((K24:K26&lt;=$B$6)*(L24:L26*AN36+M24:M26*AO36*$B$8*AQ36)/(1+AL36/100)^K24:K26)+L27*AN36*AP36/(1+AL36/100)^$B$6</f>
        <v/>
      </c>
      <c r="AT36">
        <f>AS36-AR36</f>
        <v/>
      </c>
      <c r="AU36">
        <f>RAND()</f>
        <v/>
      </c>
      <c r="AV36">
        <f>RAND()</f>
        <v/>
      </c>
      <c r="AW36">
        <f>RAND()</f>
        <v/>
      </c>
      <c r="AX36">
        <f>RAND()</f>
        <v/>
      </c>
      <c r="AY36">
        <f>RAND()</f>
        <v/>
      </c>
      <c r="AZ36">
        <f>RAND()</f>
        <v/>
      </c>
    </row>
    <row r="37">
      <c r="A37" s="4" t="inlineStr">
        <is>
          <t>RESULTS</t>
        </is>
      </c>
      <c r="AK37" t="n">
        <v>24</v>
      </c>
      <c r="AL37">
        <f>IFERROR(IF(AU37&lt;($AM$6-$AL$6)/($AN$6-$AL$6),$AL$6+SQRT(AU37*($AN$6-$AL$6)*($AM$6-$AL$6)),$AN$6-SQRT((1-AU37)*($AN$6-$AL$6)*($AN$6-$AM$6))),$AM$6)</f>
        <v/>
      </c>
      <c r="AM37">
        <f>IFERROR(IF(AV37&lt;($AM$7-$AL$7)/($AN$7-$AL$7),$AL$7+SQRT(AV37*($AN$7-$AL$7)*($AM$7-$AL$7)),$AN$7-SQRT((1-AV37)*($AN$7-$AL$7)*($AN$7-$AM$7))),$AM$7)</f>
        <v/>
      </c>
      <c r="AN37">
        <f>IFERROR(IF(AW37&lt;($AM$8-$AL$8)/($AN$8-$AL$8),$AL$8+SQRT(AW37*($AN$8-$AL$8)*($AM$8-$AL$8)),$AN$8-SQRT((1-AW37)*($AN$8-$AL$8)*($AN$8-$AM$8))),$AM$8)</f>
        <v/>
      </c>
      <c r="AO37">
        <f>IFERROR(IF(AX37&lt;($AM$9-$AL$9)/($AN$9-$AL$9),$AL$9+SQRT(AX37*($AN$9-$AL$9)*($AM$9-$AL$9)),$AN$9-SQRT((1-AX37)*($AN$9-$AL$9)*($AN$9-$AM$9))),$AM$9)</f>
        <v/>
      </c>
      <c r="AP37">
        <f>IFERROR(IF(AY37&lt;($AM$10-$AL$10)/($AN$10-$AL$10),$AL$10+SQRT(AY37*($AN$10-$AL$10)*($AM$10-$AL$10)),$AN$10-SQRT((1-AY37)*($AN$10-$AL$10)*($AN$10-$AM$10))),$AM$10)</f>
        <v/>
      </c>
      <c r="AQ37">
        <f>IFERROR(IF(AZ37&lt;($AM$11-$AL$11)/($AN$11-$AL$11),$AL$11+SQRT(AZ37*($AN$11-$AL$11)*($AM$11-$AL$11)),$AN$11-SQRT((1-AZ37)*($AN$11-$AL$11)*($AN$11-$AM$11))),$AM$11)</f>
        <v/>
      </c>
      <c r="AR37">
        <f>SUMPRODUCT((B24:B31&lt;=$B$6)*(C24:C31*AM37+D24:D31*AO37*$B$8*AQ37)/(1+AL37/100)^B24:B31)+C32*AM37*AP37/(1+AL37/100)^$B$6</f>
        <v/>
      </c>
      <c r="AS37">
        <f>SUMPRODUCT((K24:K26&lt;=$B$6)*(L24:L26*AN37+M24:M26*AO37*$B$8*AQ37)/(1+AL37/100)^K24:K26)+L27*AN37*AP37/(1+AL37/100)^$B$6</f>
        <v/>
      </c>
      <c r="AT37">
        <f>AS37-AR37</f>
        <v/>
      </c>
      <c r="AU37">
        <f>RAND()</f>
        <v/>
      </c>
      <c r="AV37">
        <f>RAND()</f>
        <v/>
      </c>
      <c r="AW37">
        <f>RAND()</f>
        <v/>
      </c>
      <c r="AX37">
        <f>RAND()</f>
        <v/>
      </c>
      <c r="AY37">
        <f>RAND()</f>
        <v/>
      </c>
      <c r="AZ37">
        <f>RAND()</f>
        <v/>
      </c>
    </row>
    <row r="38">
      <c r="A38" s="6" t="inlineStr">
        <is>
          <t>Measure</t>
        </is>
      </c>
      <c r="B38" s="6" t="inlineStr">
        <is>
          <t>HMA</t>
        </is>
      </c>
      <c r="C38" s="6" t="inlineStr">
        <is>
          <t>PCC</t>
        </is>
      </c>
      <c r="D38" s="6" t="inlineStr">
        <is>
          <t>PCC - HMA</t>
        </is>
      </c>
      <c r="AK38" t="n">
        <v>25</v>
      </c>
      <c r="AL38">
        <f>IFERROR(IF(AU38&lt;($AM$6-$AL$6)/($AN$6-$AL$6),$AL$6+SQRT(AU38*($AN$6-$AL$6)*($AM$6-$AL$6)),$AN$6-SQRT((1-AU38)*($AN$6-$AL$6)*($AN$6-$AM$6))),$AM$6)</f>
        <v/>
      </c>
      <c r="AM38">
        <f>IFERROR(IF(AV38&lt;($AM$7-$AL$7)/($AN$7-$AL$7),$AL$7+SQRT(AV38*($AN$7-$AL$7)*($AM$7-$AL$7)),$AN$7-SQRT((1-AV38)*($AN$7-$AL$7)*($AN$7-$AM$7))),$AM$7)</f>
        <v/>
      </c>
      <c r="AN38">
        <f>IFERROR(IF(AW38&lt;($AM$8-$AL$8)/($AN$8-$AL$8),$AL$8+SQRT(AW38*($AN$8-$AL$8)*($AM$8-$AL$8)),$AN$8-SQRT((1-AW38)*($AN$8-$AL$8)*($AN$8-$AM$8))),$AM$8)</f>
        <v/>
      </c>
      <c r="AO38">
        <f>IFERROR(IF(AX38&lt;($AM$9-$AL$9)/($AN$9-$AL$9),$AL$9+SQRT(AX38*($AN$9-$AL$9)*($AM$9-$AL$9)),$AN$9-SQRT((1-AX38)*($AN$9-$AL$9)*($AN$9-$AM$9))),$AM$9)</f>
        <v/>
      </c>
      <c r="AP38">
        <f>IFERROR(IF(AY38&lt;($AM$10-$AL$10)/($AN$10-$AL$10),$AL$10+SQRT(AY38*($AN$10-$AL$10)*($AM$10-$AL$10)),$AN$10-SQRT((1-AY38)*($AN$10-$AL$10)*($AN$10-$AM$10))),$AM$10)</f>
        <v/>
      </c>
      <c r="AQ38">
        <f>IFERROR(IF(AZ38&lt;($AM$11-$AL$11)/($AN$11-$AL$11),$AL$11+SQRT(AZ38*($AN$11-$AL$11)*($AM$11-$AL$11)),$AN$11-SQRT((1-AZ38)*($AN$11-$AL$11)*($AN$11-$AM$11))),$AM$11)</f>
        <v/>
      </c>
      <c r="AR38">
        <f>SUMPRODUCT((B24:B31&lt;=$B$6)*(C24:C31*AM38+D24:D31*AO38*$B$8*AQ38)/(1+AL38/100)^B24:B31)+C32*AM38*AP38/(1+AL38/100)^$B$6</f>
        <v/>
      </c>
      <c r="AS38">
        <f>SUMPRODUCT((K24:K26&lt;=$B$6)*(L24:L26*AN38+M24:M26*AO38*$B$8*AQ38)/(1+AL38/100)^K24:K26)+L27*AN38*AP38/(1+AL38/100)^$B$6</f>
        <v/>
      </c>
      <c r="AT38">
        <f>AS38-AR38</f>
        <v/>
      </c>
      <c r="AU38">
        <f>RAND()</f>
        <v/>
      </c>
      <c r="AV38">
        <f>RAND()</f>
        <v/>
      </c>
      <c r="AW38">
        <f>RAND()</f>
        <v/>
      </c>
      <c r="AX38">
        <f>RAND()</f>
        <v/>
      </c>
      <c r="AY38">
        <f>RAND()</f>
        <v/>
      </c>
      <c r="AZ38">
        <f>RAND()</f>
        <v/>
      </c>
    </row>
    <row r="39">
      <c r="A39" s="23" t="inlineStr">
        <is>
          <t>Initial construction (scenario)</t>
        </is>
      </c>
      <c r="B39" s="24">
        <f>E24</f>
        <v/>
      </c>
      <c r="C39" s="24">
        <f>N24</f>
        <v/>
      </c>
      <c r="D39" s="24">
        <f>C39-B39</f>
        <v/>
      </c>
      <c r="AK39" t="n">
        <v>26</v>
      </c>
      <c r="AL39">
        <f>IFERROR(IF(AU39&lt;($AM$6-$AL$6)/($AN$6-$AL$6),$AL$6+SQRT(AU39*($AN$6-$AL$6)*($AM$6-$AL$6)),$AN$6-SQRT((1-AU39)*($AN$6-$AL$6)*($AN$6-$AM$6))),$AM$6)</f>
        <v/>
      </c>
      <c r="AM39">
        <f>IFERROR(IF(AV39&lt;($AM$7-$AL$7)/($AN$7-$AL$7),$AL$7+SQRT(AV39*($AN$7-$AL$7)*($AM$7-$AL$7)),$AN$7-SQRT((1-AV39)*($AN$7-$AL$7)*($AN$7-$AM$7))),$AM$7)</f>
        <v/>
      </c>
      <c r="AN39">
        <f>IFERROR(IF(AW39&lt;($AM$8-$AL$8)/($AN$8-$AL$8),$AL$8+SQRT(AW39*($AN$8-$AL$8)*($AM$8-$AL$8)),$AN$8-SQRT((1-AW39)*($AN$8-$AL$8)*($AN$8-$AM$8))),$AM$8)</f>
        <v/>
      </c>
      <c r="AO39">
        <f>IFERROR(IF(AX39&lt;($AM$9-$AL$9)/($AN$9-$AL$9),$AL$9+SQRT(AX39*($AN$9-$AL$9)*($AM$9-$AL$9)),$AN$9-SQRT((1-AX39)*($AN$9-$AL$9)*($AN$9-$AM$9))),$AM$9)</f>
        <v/>
      </c>
      <c r="AP39">
        <f>IFERROR(IF(AY39&lt;($AM$10-$AL$10)/($AN$10-$AL$10),$AL$10+SQRT(AY39*($AN$10-$AL$10)*($AM$10-$AL$10)),$AN$10-SQRT((1-AY39)*($AN$10-$AL$10)*($AN$10-$AM$10))),$AM$10)</f>
        <v/>
      </c>
      <c r="AQ39">
        <f>IFERROR(IF(AZ39&lt;($AM$11-$AL$11)/($AN$11-$AL$11),$AL$11+SQRT(AZ39*($AN$11-$AL$11)*($AM$11-$AL$11)),$AN$11-SQRT((1-AZ39)*($AN$11-$AL$11)*($AN$11-$AM$11))),$AM$11)</f>
        <v/>
      </c>
      <c r="AR39">
        <f>SUMPRODUCT((B24:B31&lt;=$B$6)*(C24:C31*AM39+D24:D31*AO39*$B$8*AQ39)/(1+AL39/100)^B24:B31)+C32*AM39*AP39/(1+AL39/100)^$B$6</f>
        <v/>
      </c>
      <c r="AS39">
        <f>SUMPRODUCT((K24:K26&lt;=$B$6)*(L24:L26*AN39+M24:M26*AO39*$B$8*AQ39)/(1+AL39/100)^K24:K26)+L27*AN39*AP39/(1+AL39/100)^$B$6</f>
        <v/>
      </c>
      <c r="AT39">
        <f>AS39-AR39</f>
        <v/>
      </c>
      <c r="AU39">
        <f>RAND()</f>
        <v/>
      </c>
      <c r="AV39">
        <f>RAND()</f>
        <v/>
      </c>
      <c r="AW39">
        <f>RAND()</f>
        <v/>
      </c>
      <c r="AX39">
        <f>RAND()</f>
        <v/>
      </c>
      <c r="AY39">
        <f>RAND()</f>
        <v/>
      </c>
      <c r="AZ39">
        <f>RAND()</f>
        <v/>
      </c>
    </row>
    <row r="40">
      <c r="A40" s="23" t="inlineStr">
        <is>
          <t>Maintenance PW</t>
        </is>
      </c>
      <c r="B40" s="24">
        <f>SUMPRODUCT((B25:B31&lt;=$B$6)*ISNUMBER(SEARCH("Maintenance",A25:A31))*E25:E31/(1+$B$5/100)^B25:B31)</f>
        <v/>
      </c>
      <c r="C40" s="24">
        <f>SUMPRODUCT((K25:K26&lt;=$B$6)*ISNUMBER(SEARCH("Maintenance",J25:J26))*N25:N26/(1+$B$5/100)^K25:K26)</f>
        <v/>
      </c>
      <c r="D40" s="24">
        <f>C40-B40</f>
        <v/>
      </c>
      <c r="AK40" t="n">
        <v>27</v>
      </c>
      <c r="AL40">
        <f>IFERROR(IF(AU40&lt;($AM$6-$AL$6)/($AN$6-$AL$6),$AL$6+SQRT(AU40*($AN$6-$AL$6)*($AM$6-$AL$6)),$AN$6-SQRT((1-AU40)*($AN$6-$AL$6)*($AN$6-$AM$6))),$AM$6)</f>
        <v/>
      </c>
      <c r="AM40">
        <f>IFERROR(IF(AV40&lt;($AM$7-$AL$7)/($AN$7-$AL$7),$AL$7+SQRT(AV40*($AN$7-$AL$7)*($AM$7-$AL$7)),$AN$7-SQRT((1-AV40)*($AN$7-$AL$7)*($AN$7-$AM$7))),$AM$7)</f>
        <v/>
      </c>
      <c r="AN40">
        <f>IFERROR(IF(AW40&lt;($AM$8-$AL$8)/($AN$8-$AL$8),$AL$8+SQRT(AW40*($AN$8-$AL$8)*($AM$8-$AL$8)),$AN$8-SQRT((1-AW40)*($AN$8-$AL$8)*($AN$8-$AM$8))),$AM$8)</f>
        <v/>
      </c>
      <c r="AO40">
        <f>IFERROR(IF(AX40&lt;($AM$9-$AL$9)/($AN$9-$AL$9),$AL$9+SQRT(AX40*($AN$9-$AL$9)*($AM$9-$AL$9)),$AN$9-SQRT((1-AX40)*($AN$9-$AL$9)*($AN$9-$AM$9))),$AM$9)</f>
        <v/>
      </c>
      <c r="AP40">
        <f>IFERROR(IF(AY40&lt;($AM$10-$AL$10)/($AN$10-$AL$10),$AL$10+SQRT(AY40*($AN$10-$AL$10)*($AM$10-$AL$10)),$AN$10-SQRT((1-AY40)*($AN$10-$AL$10)*($AN$10-$AM$10))),$AM$10)</f>
        <v/>
      </c>
      <c r="AQ40">
        <f>IFERROR(IF(AZ40&lt;($AM$11-$AL$11)/($AN$11-$AL$11),$AL$11+SQRT(AZ40*($AN$11-$AL$11)*($AM$11-$AL$11)),$AN$11-SQRT((1-AZ40)*($AN$11-$AL$11)*($AN$11-$AM$11))),$AM$11)</f>
        <v/>
      </c>
      <c r="AR40">
        <f>SUMPRODUCT((B24:B31&lt;=$B$6)*(C24:C31*AM40+D24:D31*AO40*$B$8*AQ40)/(1+AL40/100)^B24:B31)+C32*AM40*AP40/(1+AL40/100)^$B$6</f>
        <v/>
      </c>
      <c r="AS40">
        <f>SUMPRODUCT((K24:K26&lt;=$B$6)*(L24:L26*AN40+M24:M26*AO40*$B$8*AQ40)/(1+AL40/100)^K24:K26)+L27*AN40*AP40/(1+AL40/100)^$B$6</f>
        <v/>
      </c>
      <c r="AT40">
        <f>AS40-AR40</f>
        <v/>
      </c>
      <c r="AU40">
        <f>RAND()</f>
        <v/>
      </c>
      <c r="AV40">
        <f>RAND()</f>
        <v/>
      </c>
      <c r="AW40">
        <f>RAND()</f>
        <v/>
      </c>
      <c r="AX40">
        <f>RAND()</f>
        <v/>
      </c>
      <c r="AY40">
        <f>RAND()</f>
        <v/>
      </c>
      <c r="AZ40">
        <f>RAND()</f>
        <v/>
      </c>
    </row>
    <row r="41">
      <c r="A41" s="23" t="inlineStr">
        <is>
          <t>Rehabilitation PW</t>
        </is>
      </c>
      <c r="B41" s="24">
        <f>SUMPRODUCT((B25:B31&lt;=$B$6)*ISNUMBER(SEARCH("Rehabilitation",A25:A31))*E25:E31/(1+$B$5/100)^B25:B31)</f>
        <v/>
      </c>
      <c r="C41" s="24">
        <f>SUMPRODUCT((K25:K26&lt;=$B$6)*ISNUMBER(SEARCH("Rehabilitation",J25:J26))*N25:N26/(1+$B$5/100)^K25:K26)</f>
        <v/>
      </c>
      <c r="D41" s="24">
        <f>C41-B41</f>
        <v/>
      </c>
      <c r="AK41" t="n">
        <v>28</v>
      </c>
      <c r="AL41">
        <f>IFERROR(IF(AU41&lt;($AM$6-$AL$6)/($AN$6-$AL$6),$AL$6+SQRT(AU41*($AN$6-$AL$6)*($AM$6-$AL$6)),$AN$6-SQRT((1-AU41)*($AN$6-$AL$6)*($AN$6-$AM$6))),$AM$6)</f>
        <v/>
      </c>
      <c r="AM41">
        <f>IFERROR(IF(AV41&lt;($AM$7-$AL$7)/($AN$7-$AL$7),$AL$7+SQRT(AV41*($AN$7-$AL$7)*($AM$7-$AL$7)),$AN$7-SQRT((1-AV41)*($AN$7-$AL$7)*($AN$7-$AM$7))),$AM$7)</f>
        <v/>
      </c>
      <c r="AN41">
        <f>IFERROR(IF(AW41&lt;($AM$8-$AL$8)/($AN$8-$AL$8),$AL$8+SQRT(AW41*($AN$8-$AL$8)*($AM$8-$AL$8)),$AN$8-SQRT((1-AW41)*($AN$8-$AL$8)*($AN$8-$AM$8))),$AM$8)</f>
        <v/>
      </c>
      <c r="AO41">
        <f>IFERROR(IF(AX41&lt;($AM$9-$AL$9)/($AN$9-$AL$9),$AL$9+SQRT(AX41*($AN$9-$AL$9)*($AM$9-$AL$9)),$AN$9-SQRT((1-AX41)*($AN$9-$AL$9)*($AN$9-$AM$9))),$AM$9)</f>
        <v/>
      </c>
      <c r="AP41">
        <f>IFERROR(IF(AY41&lt;($AM$10-$AL$10)/($AN$10-$AL$10),$AL$10+SQRT(AY41*($AN$10-$AL$10)*($AM$10-$AL$10)),$AN$10-SQRT((1-AY41)*($AN$10-$AL$10)*($AN$10-$AM$10))),$AM$10)</f>
        <v/>
      </c>
      <c r="AQ41">
        <f>IFERROR(IF(AZ41&lt;($AM$11-$AL$11)/($AN$11-$AL$11),$AL$11+SQRT(AZ41*($AN$11-$AL$11)*($AM$11-$AL$11)),$AN$11-SQRT((1-AZ41)*($AN$11-$AL$11)*($AN$11-$AM$11))),$AM$11)</f>
        <v/>
      </c>
      <c r="AR41">
        <f>SUMPRODUCT((B24:B31&lt;=$B$6)*(C24:C31*AM41+D24:D31*AO41*$B$8*AQ41)/(1+AL41/100)^B24:B31)+C32*AM41*AP41/(1+AL41/100)^$B$6</f>
        <v/>
      </c>
      <c r="AS41">
        <f>SUMPRODUCT((K24:K26&lt;=$B$6)*(L24:L26*AN41+M24:M26*AO41*$B$8*AQ41)/(1+AL41/100)^K24:K26)+L27*AN41*AP41/(1+AL41/100)^$B$6</f>
        <v/>
      </c>
      <c r="AT41">
        <f>AS41-AR41</f>
        <v/>
      </c>
      <c r="AU41">
        <f>RAND()</f>
        <v/>
      </c>
      <c r="AV41">
        <f>RAND()</f>
        <v/>
      </c>
      <c r="AW41">
        <f>RAND()</f>
        <v/>
      </c>
      <c r="AX41">
        <f>RAND()</f>
        <v/>
      </c>
      <c r="AY41">
        <f>RAND()</f>
        <v/>
      </c>
      <c r="AZ41">
        <f>RAND()</f>
        <v/>
      </c>
    </row>
    <row r="42">
      <c r="A42" s="23" t="inlineStr">
        <is>
          <t>Lost revenue PW</t>
        </is>
      </c>
      <c r="B42" s="24">
        <f>SUMPRODUCT((B24:B31&lt;=$B$6)*F24:F31/(1+$B$5/100)^B24:B31)</f>
        <v/>
      </c>
      <c r="C42" s="24">
        <f>SUMPRODUCT((K24:K26&lt;=$B$6)*O24:O26/(1+$B$5/100)^K24:K26)</f>
        <v/>
      </c>
      <c r="D42" s="24">
        <f>C42-B42</f>
        <v/>
      </c>
      <c r="AK42" t="n">
        <v>29</v>
      </c>
      <c r="AL42">
        <f>IFERROR(IF(AU42&lt;($AM$6-$AL$6)/($AN$6-$AL$6),$AL$6+SQRT(AU42*($AN$6-$AL$6)*($AM$6-$AL$6)),$AN$6-SQRT((1-AU42)*($AN$6-$AL$6)*($AN$6-$AM$6))),$AM$6)</f>
        <v/>
      </c>
      <c r="AM42">
        <f>IFERROR(IF(AV42&lt;($AM$7-$AL$7)/($AN$7-$AL$7),$AL$7+SQRT(AV42*($AN$7-$AL$7)*($AM$7-$AL$7)),$AN$7-SQRT((1-AV42)*($AN$7-$AL$7)*($AN$7-$AM$7))),$AM$7)</f>
        <v/>
      </c>
      <c r="AN42">
        <f>IFERROR(IF(AW42&lt;($AM$8-$AL$8)/($AN$8-$AL$8),$AL$8+SQRT(AW42*($AN$8-$AL$8)*($AM$8-$AL$8)),$AN$8-SQRT((1-AW42)*($AN$8-$AL$8)*($AN$8-$AM$8))),$AM$8)</f>
        <v/>
      </c>
      <c r="AO42">
        <f>IFERROR(IF(AX42&lt;($AM$9-$AL$9)/($AN$9-$AL$9),$AL$9+SQRT(AX42*($AN$9-$AL$9)*($AM$9-$AL$9)),$AN$9-SQRT((1-AX42)*($AN$9-$AL$9)*($AN$9-$AM$9))),$AM$9)</f>
        <v/>
      </c>
      <c r="AP42">
        <f>IFERROR(IF(AY42&lt;($AM$10-$AL$10)/($AN$10-$AL$10),$AL$10+SQRT(AY42*($AN$10-$AL$10)*($AM$10-$AL$10)),$AN$10-SQRT((1-AY42)*($AN$10-$AL$10)*($AN$10-$AM$10))),$AM$10)</f>
        <v/>
      </c>
      <c r="AQ42">
        <f>IFERROR(IF(AZ42&lt;($AM$11-$AL$11)/($AN$11-$AL$11),$AL$11+SQRT(AZ42*($AN$11-$AL$11)*($AM$11-$AL$11)),$AN$11-SQRT((1-AZ42)*($AN$11-$AL$11)*($AN$11-$AM$11))),$AM$11)</f>
        <v/>
      </c>
      <c r="AR42">
        <f>SUMPRODUCT((B24:B31&lt;=$B$6)*(C24:C31*AM42+D24:D31*AO42*$B$8*AQ42)/(1+AL42/100)^B24:B31)+C32*AM42*AP42/(1+AL42/100)^$B$6</f>
        <v/>
      </c>
      <c r="AS42">
        <f>SUMPRODUCT((K24:K26&lt;=$B$6)*(L24:L26*AN42+M24:M26*AO42*$B$8*AQ42)/(1+AL42/100)^K24:K26)+L27*AN42*AP42/(1+AL42/100)^$B$6</f>
        <v/>
      </c>
      <c r="AT42">
        <f>AS42-AR42</f>
        <v/>
      </c>
      <c r="AU42">
        <f>RAND()</f>
        <v/>
      </c>
      <c r="AV42">
        <f>RAND()</f>
        <v/>
      </c>
      <c r="AW42">
        <f>RAND()</f>
        <v/>
      </c>
      <c r="AX42">
        <f>RAND()</f>
        <v/>
      </c>
      <c r="AY42">
        <f>RAND()</f>
        <v/>
      </c>
      <c r="AZ42">
        <f>RAND()</f>
        <v/>
      </c>
    </row>
    <row r="43">
      <c r="A43" s="23" t="inlineStr">
        <is>
          <t>Salvage PW</t>
        </is>
      </c>
      <c r="B43" s="24">
        <f>G32</f>
        <v/>
      </c>
      <c r="C43" s="24">
        <f>P27</f>
        <v/>
      </c>
      <c r="D43" s="24">
        <f>C43-B43</f>
        <v/>
      </c>
      <c r="AK43" t="n">
        <v>30</v>
      </c>
      <c r="AL43">
        <f>IFERROR(IF(AU43&lt;($AM$6-$AL$6)/($AN$6-$AL$6),$AL$6+SQRT(AU43*($AN$6-$AL$6)*($AM$6-$AL$6)),$AN$6-SQRT((1-AU43)*($AN$6-$AL$6)*($AN$6-$AM$6))),$AM$6)</f>
        <v/>
      </c>
      <c r="AM43">
        <f>IFERROR(IF(AV43&lt;($AM$7-$AL$7)/($AN$7-$AL$7),$AL$7+SQRT(AV43*($AN$7-$AL$7)*($AM$7-$AL$7)),$AN$7-SQRT((1-AV43)*($AN$7-$AL$7)*($AN$7-$AM$7))),$AM$7)</f>
        <v/>
      </c>
      <c r="AN43">
        <f>IFERROR(IF(AW43&lt;($AM$8-$AL$8)/($AN$8-$AL$8),$AL$8+SQRT(AW43*($AN$8-$AL$8)*($AM$8-$AL$8)),$AN$8-SQRT((1-AW43)*($AN$8-$AL$8)*($AN$8-$AM$8))),$AM$8)</f>
        <v/>
      </c>
      <c r="AO43">
        <f>IFERROR(IF(AX43&lt;($AM$9-$AL$9)/($AN$9-$AL$9),$AL$9+SQRT(AX43*($AN$9-$AL$9)*($AM$9-$AL$9)),$AN$9-SQRT((1-AX43)*($AN$9-$AL$9)*($AN$9-$AM$9))),$AM$9)</f>
        <v/>
      </c>
      <c r="AP43">
        <f>IFERROR(IF(AY43&lt;($AM$10-$AL$10)/($AN$10-$AL$10),$AL$10+SQRT(AY43*($AN$10-$AL$10)*($AM$10-$AL$10)),$AN$10-SQRT((1-AY43)*($AN$10-$AL$10)*($AN$10-$AM$10))),$AM$10)</f>
        <v/>
      </c>
      <c r="AQ43">
        <f>IFERROR(IF(AZ43&lt;($AM$11-$AL$11)/($AN$11-$AL$11),$AL$11+SQRT(AZ43*($AN$11-$AL$11)*($AM$11-$AL$11)),$AN$11-SQRT((1-AZ43)*($AN$11-$AL$11)*($AN$11-$AM$11))),$AM$11)</f>
        <v/>
      </c>
      <c r="AR43">
        <f>SUMPRODUCT((B24:B31&lt;=$B$6)*(C24:C31*AM43+D24:D31*AO43*$B$8*AQ43)/(1+AL43/100)^B24:B31)+C32*AM43*AP43/(1+AL43/100)^$B$6</f>
        <v/>
      </c>
      <c r="AS43">
        <f>SUMPRODUCT((K24:K26&lt;=$B$6)*(L24:L26*AN43+M24:M26*AO43*$B$8*AQ43)/(1+AL43/100)^K24:K26)+L27*AN43*AP43/(1+AL43/100)^$B$6</f>
        <v/>
      </c>
      <c r="AT43">
        <f>AS43-AR43</f>
        <v/>
      </c>
      <c r="AU43">
        <f>RAND()</f>
        <v/>
      </c>
      <c r="AV43">
        <f>RAND()</f>
        <v/>
      </c>
      <c r="AW43">
        <f>RAND()</f>
        <v/>
      </c>
      <c r="AX43">
        <f>RAND()</f>
        <v/>
      </c>
      <c r="AY43">
        <f>RAND()</f>
        <v/>
      </c>
      <c r="AZ43">
        <f>RAND()</f>
        <v/>
      </c>
    </row>
    <row r="44">
      <c r="A44" s="23" t="inlineStr">
        <is>
          <t>Net present worth</t>
        </is>
      </c>
      <c r="B44" s="24">
        <f>G33</f>
        <v/>
      </c>
      <c r="C44" s="24">
        <f>P28</f>
        <v/>
      </c>
      <c r="D44" s="24">
        <f>C44-B44</f>
        <v/>
      </c>
      <c r="AK44" t="n">
        <v>31</v>
      </c>
      <c r="AL44">
        <f>IFERROR(IF(AU44&lt;($AM$6-$AL$6)/($AN$6-$AL$6),$AL$6+SQRT(AU44*($AN$6-$AL$6)*($AM$6-$AL$6)),$AN$6-SQRT((1-AU44)*($AN$6-$AL$6)*($AN$6-$AM$6))),$AM$6)</f>
        <v/>
      </c>
      <c r="AM44">
        <f>IFERROR(IF(AV44&lt;($AM$7-$AL$7)/($AN$7-$AL$7),$AL$7+SQRT(AV44*($AN$7-$AL$7)*($AM$7-$AL$7)),$AN$7-SQRT((1-AV44)*($AN$7-$AL$7)*($AN$7-$AM$7))),$AM$7)</f>
        <v/>
      </c>
      <c r="AN44">
        <f>IFERROR(IF(AW44&lt;($AM$8-$AL$8)/($AN$8-$AL$8),$AL$8+SQRT(AW44*($AN$8-$AL$8)*($AM$8-$AL$8)),$AN$8-SQRT((1-AW44)*($AN$8-$AL$8)*($AN$8-$AM$8))),$AM$8)</f>
        <v/>
      </c>
      <c r="AO44">
        <f>IFERROR(IF(AX44&lt;($AM$9-$AL$9)/($AN$9-$AL$9),$AL$9+SQRT(AX44*($AN$9-$AL$9)*($AM$9-$AL$9)),$AN$9-SQRT((1-AX44)*($AN$9-$AL$9)*($AN$9-$AM$9))),$AM$9)</f>
        <v/>
      </c>
      <c r="AP44">
        <f>IFERROR(IF(AY44&lt;($AM$10-$AL$10)/($AN$10-$AL$10),$AL$10+SQRT(AY44*($AN$10-$AL$10)*($AM$10-$AL$10)),$AN$10-SQRT((1-AY44)*($AN$10-$AL$10)*($AN$10-$AM$10))),$AM$10)</f>
        <v/>
      </c>
      <c r="AQ44">
        <f>IFERROR(IF(AZ44&lt;($AM$11-$AL$11)/($AN$11-$AL$11),$AL$11+SQRT(AZ44*($AN$11-$AL$11)*($AM$11-$AL$11)),$AN$11-SQRT((1-AZ44)*($AN$11-$AL$11)*($AN$11-$AM$11))),$AM$11)</f>
        <v/>
      </c>
      <c r="AR44">
        <f>SUMPRODUCT((B24:B31&lt;=$B$6)*(C24:C31*AM44+D24:D31*AO44*$B$8*AQ44)/(1+AL44/100)^B24:B31)+C32*AM44*AP44/(1+AL44/100)^$B$6</f>
        <v/>
      </c>
      <c r="AS44">
        <f>SUMPRODUCT((K24:K26&lt;=$B$6)*(L24:L26*AN44+M24:M26*AO44*$B$8*AQ44)/(1+AL44/100)^K24:K26)+L27*AN44*AP44/(1+AL44/100)^$B$6</f>
        <v/>
      </c>
      <c r="AT44">
        <f>AS44-AR44</f>
        <v/>
      </c>
      <c r="AU44">
        <f>RAND()</f>
        <v/>
      </c>
      <c r="AV44">
        <f>RAND()</f>
        <v/>
      </c>
      <c r="AW44">
        <f>RAND()</f>
        <v/>
      </c>
      <c r="AX44">
        <f>RAND()</f>
        <v/>
      </c>
      <c r="AY44">
        <f>RAND()</f>
        <v/>
      </c>
      <c r="AZ44">
        <f>RAND()</f>
        <v/>
      </c>
    </row>
    <row r="45">
      <c r="A45" s="23" t="inlineStr">
        <is>
          <t>Equivalent uniform annual cost</t>
        </is>
      </c>
      <c r="B45" s="24">
        <f>G33*($B$5/100)*(1+$B$5/100)^$B$6/((1+$B$5/100)^$B$6-1)</f>
        <v/>
      </c>
      <c r="C45" s="24">
        <f>P28*($B$5/100)*(1+$B$5/100)^$B$6/((1+$B$5/100)^$B$6-1)</f>
        <v/>
      </c>
      <c r="D45" s="24">
        <f>C45-B45</f>
        <v/>
      </c>
      <c r="AK45" t="n">
        <v>32</v>
      </c>
      <c r="AL45">
        <f>IFERROR(IF(AU45&lt;($AM$6-$AL$6)/($AN$6-$AL$6),$AL$6+SQRT(AU45*($AN$6-$AL$6)*($AM$6-$AL$6)),$AN$6-SQRT((1-AU45)*($AN$6-$AL$6)*($AN$6-$AM$6))),$AM$6)</f>
        <v/>
      </c>
      <c r="AM45">
        <f>IFERROR(IF(AV45&lt;($AM$7-$AL$7)/($AN$7-$AL$7),$AL$7+SQRT(AV45*($AN$7-$AL$7)*($AM$7-$AL$7)),$AN$7-SQRT((1-AV45)*($AN$7-$AL$7)*($AN$7-$AM$7))),$AM$7)</f>
        <v/>
      </c>
      <c r="AN45">
        <f>IFERROR(IF(AW45&lt;($AM$8-$AL$8)/($AN$8-$AL$8),$AL$8+SQRT(AW45*($AN$8-$AL$8)*($AM$8-$AL$8)),$AN$8-SQRT((1-AW45)*($AN$8-$AL$8)*($AN$8-$AM$8))),$AM$8)</f>
        <v/>
      </c>
      <c r="AO45">
        <f>IFERROR(IF(AX45&lt;($AM$9-$AL$9)/($AN$9-$AL$9),$AL$9+SQRT(AX45*($AN$9-$AL$9)*($AM$9-$AL$9)),$AN$9-SQRT((1-AX45)*($AN$9-$AL$9)*($AN$9-$AM$9))),$AM$9)</f>
        <v/>
      </c>
      <c r="AP45">
        <f>IFERROR(IF(AY45&lt;($AM$10-$AL$10)/($AN$10-$AL$10),$AL$10+SQRT(AY45*($AN$10-$AL$10)*($AM$10-$AL$10)),$AN$10-SQRT((1-AY45)*($AN$10-$AL$10)*($AN$10-$AM$10))),$AM$10)</f>
        <v/>
      </c>
      <c r="AQ45">
        <f>IFERROR(IF(AZ45&lt;($AM$11-$AL$11)/($AN$11-$AL$11),$AL$11+SQRT(AZ45*($AN$11-$AL$11)*($AM$11-$AL$11)),$AN$11-SQRT((1-AZ45)*($AN$11-$AL$11)*($AN$11-$AM$11))),$AM$11)</f>
        <v/>
      </c>
      <c r="AR45">
        <f>SUMPRODUCT((B24:B31&lt;=$B$6)*(C24:C31*AM45+D24:D31*AO45*$B$8*AQ45)/(1+AL45/100)^B24:B31)+C32*AM45*AP45/(1+AL45/100)^$B$6</f>
        <v/>
      </c>
      <c r="AS45">
        <f>SUMPRODUCT((K24:K26&lt;=$B$6)*(L24:L26*AN45+M24:M26*AO45*$B$8*AQ45)/(1+AL45/100)^K24:K26)+L27*AN45*AP45/(1+AL45/100)^$B$6</f>
        <v/>
      </c>
      <c r="AT45">
        <f>AS45-AR45</f>
        <v/>
      </c>
      <c r="AU45">
        <f>RAND()</f>
        <v/>
      </c>
      <c r="AV45">
        <f>RAND()</f>
        <v/>
      </c>
      <c r="AW45">
        <f>RAND()</f>
        <v/>
      </c>
      <c r="AX45">
        <f>RAND()</f>
        <v/>
      </c>
      <c r="AY45">
        <f>RAND()</f>
        <v/>
      </c>
      <c r="AZ45">
        <f>RAND()</f>
        <v/>
      </c>
    </row>
    <row r="46">
      <c r="A46" s="23" t="inlineStr">
        <is>
          <t>NPW per SY of mainline</t>
        </is>
      </c>
      <c r="B46" s="25">
        <f>IFERROR(G33/$B$14,0)</f>
        <v/>
      </c>
      <c r="C46" s="25">
        <f>IFERROR(P28/$B$14,0)</f>
        <v/>
      </c>
      <c r="D46" s="25">
        <f>C46-B46</f>
        <v/>
      </c>
      <c r="AK46" t="n">
        <v>33</v>
      </c>
      <c r="AL46">
        <f>IFERROR(IF(AU46&lt;($AM$6-$AL$6)/($AN$6-$AL$6),$AL$6+SQRT(AU46*($AN$6-$AL$6)*($AM$6-$AL$6)),$AN$6-SQRT((1-AU46)*($AN$6-$AL$6)*($AN$6-$AM$6))),$AM$6)</f>
        <v/>
      </c>
      <c r="AM46">
        <f>IFERROR(IF(AV46&lt;($AM$7-$AL$7)/($AN$7-$AL$7),$AL$7+SQRT(AV46*($AN$7-$AL$7)*($AM$7-$AL$7)),$AN$7-SQRT((1-AV46)*($AN$7-$AL$7)*($AN$7-$AM$7))),$AM$7)</f>
        <v/>
      </c>
      <c r="AN46">
        <f>IFERROR(IF(AW46&lt;($AM$8-$AL$8)/($AN$8-$AL$8),$AL$8+SQRT(AW46*($AN$8-$AL$8)*($AM$8-$AL$8)),$AN$8-SQRT((1-AW46)*($AN$8-$AL$8)*($AN$8-$AM$8))),$AM$8)</f>
        <v/>
      </c>
      <c r="AO46">
        <f>IFERROR(IF(AX46&lt;($AM$9-$AL$9)/($AN$9-$AL$9),$AL$9+SQRT(AX46*($AN$9-$AL$9)*($AM$9-$AL$9)),$AN$9-SQRT((1-AX46)*($AN$9-$AL$9)*($AN$9-$AM$9))),$AM$9)</f>
        <v/>
      </c>
      <c r="AP46">
        <f>IFERROR(IF(AY46&lt;($AM$10-$AL$10)/($AN$10-$AL$10),$AL$10+SQRT(AY46*($AN$10-$AL$10)*($AM$10-$AL$10)),$AN$10-SQRT((1-AY46)*($AN$10-$AL$10)*($AN$10-$AM$10))),$AM$10)</f>
        <v/>
      </c>
      <c r="AQ46">
        <f>IFERROR(IF(AZ46&lt;($AM$11-$AL$11)/($AN$11-$AL$11),$AL$11+SQRT(AZ46*($AN$11-$AL$11)*($AM$11-$AL$11)),$AN$11-SQRT((1-AZ46)*($AN$11-$AL$11)*($AN$11-$AM$11))),$AM$11)</f>
        <v/>
      </c>
      <c r="AR46">
        <f>SUMPRODUCT((B24:B31&lt;=$B$6)*(C24:C31*AM46+D24:D31*AO46*$B$8*AQ46)/(1+AL46/100)^B24:B31)+C32*AM46*AP46/(1+AL46/100)^$B$6</f>
        <v/>
      </c>
      <c r="AS46">
        <f>SUMPRODUCT((K24:K26&lt;=$B$6)*(L24:L26*AN46+M24:M26*AO46*$B$8*AQ46)/(1+AL46/100)^K24:K26)+L27*AN46*AP46/(1+AL46/100)^$B$6</f>
        <v/>
      </c>
      <c r="AT46">
        <f>AS46-AR46</f>
        <v/>
      </c>
      <c r="AU46">
        <f>RAND()</f>
        <v/>
      </c>
      <c r="AV46">
        <f>RAND()</f>
        <v/>
      </c>
      <c r="AW46">
        <f>RAND()</f>
        <v/>
      </c>
      <c r="AX46">
        <f>RAND()</f>
        <v/>
      </c>
      <c r="AY46">
        <f>RAND()</f>
        <v/>
      </c>
      <c r="AZ46">
        <f>RAND()</f>
        <v/>
      </c>
    </row>
    <row r="47">
      <c r="A47" s="23" t="inlineStr">
        <is>
          <t>Closure days in period</t>
        </is>
      </c>
      <c r="B47" s="26">
        <f>SUMPRODUCT((B24:B31&lt;=$B$6)*D24:D31)*$B$10</f>
        <v/>
      </c>
      <c r="C47" s="26">
        <f>SUMPRODUCT((K24:K26&lt;=$B$6)*M24:M26)*$B$10</f>
        <v/>
      </c>
      <c r="D47" s="26">
        <f>C47-B47</f>
        <v/>
      </c>
      <c r="AK47" t="n">
        <v>34</v>
      </c>
      <c r="AL47">
        <f>IFERROR(IF(AU47&lt;($AM$6-$AL$6)/($AN$6-$AL$6),$AL$6+SQRT(AU47*($AN$6-$AL$6)*($AM$6-$AL$6)),$AN$6-SQRT((1-AU47)*($AN$6-$AL$6)*($AN$6-$AM$6))),$AM$6)</f>
        <v/>
      </c>
      <c r="AM47">
        <f>IFERROR(IF(AV47&lt;($AM$7-$AL$7)/($AN$7-$AL$7),$AL$7+SQRT(AV47*($AN$7-$AL$7)*($AM$7-$AL$7)),$AN$7-SQRT((1-AV47)*($AN$7-$AL$7)*($AN$7-$AM$7))),$AM$7)</f>
        <v/>
      </c>
      <c r="AN47">
        <f>IFERROR(IF(AW47&lt;($AM$8-$AL$8)/($AN$8-$AL$8),$AL$8+SQRT(AW47*($AN$8-$AL$8)*($AM$8-$AL$8)),$AN$8-SQRT((1-AW47)*($AN$8-$AL$8)*($AN$8-$AM$8))),$AM$8)</f>
        <v/>
      </c>
      <c r="AO47">
        <f>IFERROR(IF(AX47&lt;($AM$9-$AL$9)/($AN$9-$AL$9),$AL$9+SQRT(AX47*($AN$9-$AL$9)*($AM$9-$AL$9)),$AN$9-SQRT((1-AX47)*($AN$9-$AL$9)*($AN$9-$AM$9))),$AM$9)</f>
        <v/>
      </c>
      <c r="AP47">
        <f>IFERROR(IF(AY47&lt;($AM$10-$AL$10)/($AN$10-$AL$10),$AL$10+SQRT(AY47*($AN$10-$AL$10)*($AM$10-$AL$10)),$AN$10-SQRT((1-AY47)*($AN$10-$AL$10)*($AN$10-$AM$10))),$AM$10)</f>
        <v/>
      </c>
      <c r="AQ47">
        <f>IFERROR(IF(AZ47&lt;($AM$11-$AL$11)/($AN$11-$AL$11),$AL$11+SQRT(AZ47*($AN$11-$AL$11)*($AM$11-$AL$11)),$AN$11-SQRT((1-AZ47)*($AN$11-$AL$11)*($AN$11-$AM$11))),$AM$11)</f>
        <v/>
      </c>
      <c r="AR47">
        <f>SUMPRODUCT((B24:B31&lt;=$B$6)*(C24:C31*AM47+D24:D31*AO47*$B$8*AQ47)/(1+AL47/100)^B24:B31)+C32*AM47*AP47/(1+AL47/100)^$B$6</f>
        <v/>
      </c>
      <c r="AS47">
        <f>SUMPRODUCT((K24:K26&lt;=$B$6)*(L24:L26*AN47+M24:M26*AO47*$B$8*AQ47)/(1+AL47/100)^K24:K26)+L27*AN47*AP47/(1+AL47/100)^$B$6</f>
        <v/>
      </c>
      <c r="AT47">
        <f>AS47-AR47</f>
        <v/>
      </c>
      <c r="AU47">
        <f>RAND()</f>
        <v/>
      </c>
      <c r="AV47">
        <f>RAND()</f>
        <v/>
      </c>
      <c r="AW47">
        <f>RAND()</f>
        <v/>
      </c>
      <c r="AX47">
        <f>RAND()</f>
        <v/>
      </c>
      <c r="AY47">
        <f>RAND()</f>
        <v/>
      </c>
      <c r="AZ47">
        <f>RAND()</f>
        <v/>
      </c>
    </row>
    <row r="48">
      <c r="A48" s="23" t="inlineStr">
        <is>
          <t>Runway availability over period</t>
        </is>
      </c>
      <c r="B48" s="27">
        <f>1-(SUMPRODUCT((B24:B31&lt;=$B$6)*D24:D31)*$B$10)/($B$6*365)</f>
        <v/>
      </c>
      <c r="C48" s="27">
        <f>1-(SUMPRODUCT((K24:K26&lt;=$B$6)*M24:M26)*$B$10)/($B$6*365)</f>
        <v/>
      </c>
      <c r="D48" s="27">
        <f>C48-B48</f>
        <v/>
      </c>
      <c r="AK48" t="n">
        <v>35</v>
      </c>
      <c r="AL48">
        <f>IFERROR(IF(AU48&lt;($AM$6-$AL$6)/($AN$6-$AL$6),$AL$6+SQRT(AU48*($AN$6-$AL$6)*($AM$6-$AL$6)),$AN$6-SQRT((1-AU48)*($AN$6-$AL$6)*($AN$6-$AM$6))),$AM$6)</f>
        <v/>
      </c>
      <c r="AM48">
        <f>IFERROR(IF(AV48&lt;($AM$7-$AL$7)/($AN$7-$AL$7),$AL$7+SQRT(AV48*($AN$7-$AL$7)*($AM$7-$AL$7)),$AN$7-SQRT((1-AV48)*($AN$7-$AL$7)*($AN$7-$AM$7))),$AM$7)</f>
        <v/>
      </c>
      <c r="AN48">
        <f>IFERROR(IF(AW48&lt;($AM$8-$AL$8)/($AN$8-$AL$8),$AL$8+SQRT(AW48*($AN$8-$AL$8)*($AM$8-$AL$8)),$AN$8-SQRT((1-AW48)*($AN$8-$AL$8)*($AN$8-$AM$8))),$AM$8)</f>
        <v/>
      </c>
      <c r="AO48">
        <f>IFERROR(IF(AX48&lt;($AM$9-$AL$9)/($AN$9-$AL$9),$AL$9+SQRT(AX48*($AN$9-$AL$9)*($AM$9-$AL$9)),$AN$9-SQRT((1-AX48)*($AN$9-$AL$9)*($AN$9-$AM$9))),$AM$9)</f>
        <v/>
      </c>
      <c r="AP48">
        <f>IFERROR(IF(AY48&lt;($AM$10-$AL$10)/($AN$10-$AL$10),$AL$10+SQRT(AY48*($AN$10-$AL$10)*($AM$10-$AL$10)),$AN$10-SQRT((1-AY48)*($AN$10-$AL$10)*($AN$10-$AM$10))),$AM$10)</f>
        <v/>
      </c>
      <c r="AQ48">
        <f>IFERROR(IF(AZ48&lt;($AM$11-$AL$11)/($AN$11-$AL$11),$AL$11+SQRT(AZ48*($AN$11-$AL$11)*($AM$11-$AL$11)),$AN$11-SQRT((1-AZ48)*($AN$11-$AL$11)*($AN$11-$AM$11))),$AM$11)</f>
        <v/>
      </c>
      <c r="AR48">
        <f>SUMPRODUCT((B24:B31&lt;=$B$6)*(C24:C31*AM48+D24:D31*AO48*$B$8*AQ48)/(1+AL48/100)^B24:B31)+C32*AM48*AP48/(1+AL48/100)^$B$6</f>
        <v/>
      </c>
      <c r="AS48">
        <f>SUMPRODUCT((K24:K26&lt;=$B$6)*(L24:L26*AN48+M24:M26*AO48*$B$8*AQ48)/(1+AL48/100)^K24:K26)+L27*AN48*AP48/(1+AL48/100)^$B$6</f>
        <v/>
      </c>
      <c r="AT48">
        <f>AS48-AR48</f>
        <v/>
      </c>
      <c r="AU48">
        <f>RAND()</f>
        <v/>
      </c>
      <c r="AV48">
        <f>RAND()</f>
        <v/>
      </c>
      <c r="AW48">
        <f>RAND()</f>
        <v/>
      </c>
      <c r="AX48">
        <f>RAND()</f>
        <v/>
      </c>
      <c r="AY48">
        <f>RAND()</f>
        <v/>
      </c>
      <c r="AZ48">
        <f>RAND()</f>
        <v/>
      </c>
    </row>
    <row r="49">
      <c r="A49" s="23" t="inlineStr">
        <is>
          <t>Lost revenue, undiscounted</t>
        </is>
      </c>
      <c r="B49" s="24">
        <f>SUMPRODUCT((B24:B31&lt;=$B$6)*F24:F31)</f>
        <v/>
      </c>
      <c r="C49" s="24">
        <f>SUMPRODUCT((K24:K26&lt;=$B$6)*O24:O26)</f>
        <v/>
      </c>
      <c r="D49" s="24">
        <f>C49-B49</f>
        <v/>
      </c>
      <c r="AK49" t="n">
        <v>36</v>
      </c>
      <c r="AL49">
        <f>IFERROR(IF(AU49&lt;($AM$6-$AL$6)/($AN$6-$AL$6),$AL$6+SQRT(AU49*($AN$6-$AL$6)*($AM$6-$AL$6)),$AN$6-SQRT((1-AU49)*($AN$6-$AL$6)*($AN$6-$AM$6))),$AM$6)</f>
        <v/>
      </c>
      <c r="AM49">
        <f>IFERROR(IF(AV49&lt;($AM$7-$AL$7)/($AN$7-$AL$7),$AL$7+SQRT(AV49*($AN$7-$AL$7)*($AM$7-$AL$7)),$AN$7-SQRT((1-AV49)*($AN$7-$AL$7)*($AN$7-$AM$7))),$AM$7)</f>
        <v/>
      </c>
      <c r="AN49">
        <f>IFERROR(IF(AW49&lt;($AM$8-$AL$8)/($AN$8-$AL$8),$AL$8+SQRT(AW49*($AN$8-$AL$8)*($AM$8-$AL$8)),$AN$8-SQRT((1-AW49)*($AN$8-$AL$8)*($AN$8-$AM$8))),$AM$8)</f>
        <v/>
      </c>
      <c r="AO49">
        <f>IFERROR(IF(AX49&lt;($AM$9-$AL$9)/($AN$9-$AL$9),$AL$9+SQRT(AX49*($AN$9-$AL$9)*($AM$9-$AL$9)),$AN$9-SQRT((1-AX49)*($AN$9-$AL$9)*($AN$9-$AM$9))),$AM$9)</f>
        <v/>
      </c>
      <c r="AP49">
        <f>IFERROR(IF(AY49&lt;($AM$10-$AL$10)/($AN$10-$AL$10),$AL$10+SQRT(AY49*($AN$10-$AL$10)*($AM$10-$AL$10)),$AN$10-SQRT((1-AY49)*($AN$10-$AL$10)*($AN$10-$AM$10))),$AM$10)</f>
        <v/>
      </c>
      <c r="AQ49">
        <f>IFERROR(IF(AZ49&lt;($AM$11-$AL$11)/($AN$11-$AL$11),$AL$11+SQRT(AZ49*($AN$11-$AL$11)*($AM$11-$AL$11)),$AN$11-SQRT((1-AZ49)*($AN$11-$AL$11)*($AN$11-$AM$11))),$AM$11)</f>
        <v/>
      </c>
      <c r="AR49">
        <f>SUMPRODUCT((B24:B31&lt;=$B$6)*(C24:C31*AM49+D24:D31*AO49*$B$8*AQ49)/(1+AL49/100)^B24:B31)+C32*AM49*AP49/(1+AL49/100)^$B$6</f>
        <v/>
      </c>
      <c r="AS49">
        <f>SUMPRODUCT((K24:K26&lt;=$B$6)*(L24:L26*AN49+M24:M26*AO49*$B$8*AQ49)/(1+AL49/100)^K24:K26)+L27*AN49*AP49/(1+AL49/100)^$B$6</f>
        <v/>
      </c>
      <c r="AT49">
        <f>AS49-AR49</f>
        <v/>
      </c>
      <c r="AU49">
        <f>RAND()</f>
        <v/>
      </c>
      <c r="AV49">
        <f>RAND()</f>
        <v/>
      </c>
      <c r="AW49">
        <f>RAND()</f>
        <v/>
      </c>
      <c r="AX49">
        <f>RAND()</f>
        <v/>
      </c>
      <c r="AY49">
        <f>RAND()</f>
        <v/>
      </c>
      <c r="AZ49">
        <f>RAND()</f>
        <v/>
      </c>
    </row>
    <row r="50">
      <c r="A50" s="9" t="inlineStr">
        <is>
          <t>Lower-cost alternative</t>
        </is>
      </c>
      <c r="B50" s="9">
        <f>IF(C44&lt;B44,"PCC","HMA")</f>
        <v/>
      </c>
      <c r="C50" s="14">
        <f>ABS(D44)</f>
        <v/>
      </c>
      <c r="D50" s="28">
        <f>IFERROR(ABS(D44)/MAX(B44,C44),0)</f>
        <v/>
      </c>
      <c r="E50" s="5">
        <f>IF(D50&lt;0.1,"Margin inside estimating noise (&lt;10%): treat as a tie on cost; decide on closures and constructability","Margin outside estimating noise")</f>
        <v/>
      </c>
      <c r="AK50" t="n">
        <v>37</v>
      </c>
      <c r="AL50">
        <f>IFERROR(IF(AU50&lt;($AM$6-$AL$6)/($AN$6-$AL$6),$AL$6+SQRT(AU50*($AN$6-$AL$6)*($AM$6-$AL$6)),$AN$6-SQRT((1-AU50)*($AN$6-$AL$6)*($AN$6-$AM$6))),$AM$6)</f>
        <v/>
      </c>
      <c r="AM50">
        <f>IFERROR(IF(AV50&lt;($AM$7-$AL$7)/($AN$7-$AL$7),$AL$7+SQRT(AV50*($AN$7-$AL$7)*($AM$7-$AL$7)),$AN$7-SQRT((1-AV50)*($AN$7-$AL$7)*($AN$7-$AM$7))),$AM$7)</f>
        <v/>
      </c>
      <c r="AN50">
        <f>IFERROR(IF(AW50&lt;($AM$8-$AL$8)/($AN$8-$AL$8),$AL$8+SQRT(AW50*($AN$8-$AL$8)*($AM$8-$AL$8)),$AN$8-SQRT((1-AW50)*($AN$8-$AL$8)*($AN$8-$AM$8))),$AM$8)</f>
        <v/>
      </c>
      <c r="AO50">
        <f>IFERROR(IF(AX50&lt;($AM$9-$AL$9)/($AN$9-$AL$9),$AL$9+SQRT(AX50*($AN$9-$AL$9)*($AM$9-$AL$9)),$AN$9-SQRT((1-AX50)*($AN$9-$AL$9)*($AN$9-$AM$9))),$AM$9)</f>
        <v/>
      </c>
      <c r="AP50">
        <f>IFERROR(IF(AY50&lt;($AM$10-$AL$10)/($AN$10-$AL$10),$AL$10+SQRT(AY50*($AN$10-$AL$10)*($AM$10-$AL$10)),$AN$10-SQRT((1-AY50)*($AN$10-$AL$10)*($AN$10-$AM$10))),$AM$10)</f>
        <v/>
      </c>
      <c r="AQ50">
        <f>IFERROR(IF(AZ50&lt;($AM$11-$AL$11)/($AN$11-$AL$11),$AL$11+SQRT(AZ50*($AN$11-$AL$11)*($AM$11-$AL$11)),$AN$11-SQRT((1-AZ50)*($AN$11-$AL$11)*($AN$11-$AM$11))),$AM$11)</f>
        <v/>
      </c>
      <c r="AR50">
        <f>SUMPRODUCT((B24:B31&lt;=$B$6)*(C24:C31*AM50+D24:D31*AO50*$B$8*AQ50)/(1+AL50/100)^B24:B31)+C32*AM50*AP50/(1+AL50/100)^$B$6</f>
        <v/>
      </c>
      <c r="AS50">
        <f>SUMPRODUCT((K24:K26&lt;=$B$6)*(L24:L26*AN50+M24:M26*AO50*$B$8*AQ50)/(1+AL50/100)^K24:K26)+L27*AN50*AP50/(1+AL50/100)^$B$6</f>
        <v/>
      </c>
      <c r="AT50">
        <f>AS50-AR50</f>
        <v/>
      </c>
      <c r="AU50">
        <f>RAND()</f>
        <v/>
      </c>
      <c r="AV50">
        <f>RAND()</f>
        <v/>
      </c>
      <c r="AW50">
        <f>RAND()</f>
        <v/>
      </c>
      <c r="AX50">
        <f>RAND()</f>
        <v/>
      </c>
      <c r="AY50">
        <f>RAND()</f>
        <v/>
      </c>
      <c r="AZ50">
        <f>RAND()</f>
        <v/>
      </c>
    </row>
    <row r="51">
      <c r="A51" s="9" t="inlineStr">
        <is>
          <t>Same winner at 7% (FAA AIP)?</t>
        </is>
      </c>
      <c r="B51">
        <f>IF((SUMPRODUCT((K24:K26&lt;=$B$6)*(L24:L26*$B$12+M24:M26*$B$10*$B$8*$B$9)/(1+7/100)^K24:K26)+L27*$B$12*$B$13/(1+7/100)^$B$6)&lt;(SUMPRODUCT((B24:B31&lt;=$B$6)*(C24:C31*$B$11+D24:D31*$B$10*$B$8*$B$9)/(1+7/100)^B24:B31)+C32*$B$11*$B$13/(1+7/100)^$B$6),"PCC","HMA")</f>
        <v/>
      </c>
      <c r="C51" s="9">
        <f>IF(B51=B50,"Yes","No - decision depends on the discount rate")</f>
        <v/>
      </c>
      <c r="AK51" t="n">
        <v>38</v>
      </c>
      <c r="AL51">
        <f>IFERROR(IF(AU51&lt;($AM$6-$AL$6)/($AN$6-$AL$6),$AL$6+SQRT(AU51*($AN$6-$AL$6)*($AM$6-$AL$6)),$AN$6-SQRT((1-AU51)*($AN$6-$AL$6)*($AN$6-$AM$6))),$AM$6)</f>
        <v/>
      </c>
      <c r="AM51">
        <f>IFERROR(IF(AV51&lt;($AM$7-$AL$7)/($AN$7-$AL$7),$AL$7+SQRT(AV51*($AN$7-$AL$7)*($AM$7-$AL$7)),$AN$7-SQRT((1-AV51)*($AN$7-$AL$7)*($AN$7-$AM$7))),$AM$7)</f>
        <v/>
      </c>
      <c r="AN51">
        <f>IFERROR(IF(AW51&lt;($AM$8-$AL$8)/($AN$8-$AL$8),$AL$8+SQRT(AW51*($AN$8-$AL$8)*($AM$8-$AL$8)),$AN$8-SQRT((1-AW51)*($AN$8-$AL$8)*($AN$8-$AM$8))),$AM$8)</f>
        <v/>
      </c>
      <c r="AO51">
        <f>IFERROR(IF(AX51&lt;($AM$9-$AL$9)/($AN$9-$AL$9),$AL$9+SQRT(AX51*($AN$9-$AL$9)*($AM$9-$AL$9)),$AN$9-SQRT((1-AX51)*($AN$9-$AL$9)*($AN$9-$AM$9))),$AM$9)</f>
        <v/>
      </c>
      <c r="AP51">
        <f>IFERROR(IF(AY51&lt;($AM$10-$AL$10)/($AN$10-$AL$10),$AL$10+SQRT(AY51*($AN$10-$AL$10)*($AM$10-$AL$10)),$AN$10-SQRT((1-AY51)*($AN$10-$AL$10)*($AN$10-$AM$10))),$AM$10)</f>
        <v/>
      </c>
      <c r="AQ51">
        <f>IFERROR(IF(AZ51&lt;($AM$11-$AL$11)/($AN$11-$AL$11),$AL$11+SQRT(AZ51*($AN$11-$AL$11)*($AM$11-$AL$11)),$AN$11-SQRT((1-AZ51)*($AN$11-$AL$11)*($AN$11-$AM$11))),$AM$11)</f>
        <v/>
      </c>
      <c r="AR51">
        <f>SUMPRODUCT((B24:B31&lt;=$B$6)*(C24:C31*AM51+D24:D31*AO51*$B$8*AQ51)/(1+AL51/100)^B24:B31)+C32*AM51*AP51/(1+AL51/100)^$B$6</f>
        <v/>
      </c>
      <c r="AS51">
        <f>SUMPRODUCT((K24:K26&lt;=$B$6)*(L24:L26*AN51+M24:M26*AO51*$B$8*AQ51)/(1+AL51/100)^K24:K26)+L27*AN51*AP51/(1+AL51/100)^$B$6</f>
        <v/>
      </c>
      <c r="AT51">
        <f>AS51-AR51</f>
        <v/>
      </c>
      <c r="AU51">
        <f>RAND()</f>
        <v/>
      </c>
      <c r="AV51">
        <f>RAND()</f>
        <v/>
      </c>
      <c r="AW51">
        <f>RAND()</f>
        <v/>
      </c>
      <c r="AX51">
        <f>RAND()</f>
        <v/>
      </c>
      <c r="AY51">
        <f>RAND()</f>
        <v/>
      </c>
      <c r="AZ51">
        <f>RAND()</f>
        <v/>
      </c>
    </row>
    <row r="52">
      <c r="A52" s="9" t="inlineStr">
        <is>
          <t>Probability PCC is lower (live simulation, F9 redraws)</t>
        </is>
      </c>
      <c r="B52" s="29">
        <f>BC7</f>
        <v/>
      </c>
      <c r="C52" s="5">
        <f>"P10 "&amp;TEXT(BC9,"$#,##0,,")&amp;"M   P90 "&amp;TEXT(BC11,"$#,##0,,")&amp;"M   (PCC - HMA)"</f>
        <v/>
      </c>
      <c r="AK52" t="n">
        <v>39</v>
      </c>
      <c r="AL52">
        <f>IFERROR(IF(AU52&lt;($AM$6-$AL$6)/($AN$6-$AL$6),$AL$6+SQRT(AU52*($AN$6-$AL$6)*($AM$6-$AL$6)),$AN$6-SQRT((1-AU52)*($AN$6-$AL$6)*($AN$6-$AM$6))),$AM$6)</f>
        <v/>
      </c>
      <c r="AM52">
        <f>IFERROR(IF(AV52&lt;($AM$7-$AL$7)/($AN$7-$AL$7),$AL$7+SQRT(AV52*($AN$7-$AL$7)*($AM$7-$AL$7)),$AN$7-SQRT((1-AV52)*($AN$7-$AL$7)*($AN$7-$AM$7))),$AM$7)</f>
        <v/>
      </c>
      <c r="AN52">
        <f>IFERROR(IF(AW52&lt;($AM$8-$AL$8)/($AN$8-$AL$8),$AL$8+SQRT(AW52*($AN$8-$AL$8)*($AM$8-$AL$8)),$AN$8-SQRT((1-AW52)*($AN$8-$AL$8)*($AN$8-$AM$8))),$AM$8)</f>
        <v/>
      </c>
      <c r="AO52">
        <f>IFERROR(IF(AX52&lt;($AM$9-$AL$9)/($AN$9-$AL$9),$AL$9+SQRT(AX52*($AN$9-$AL$9)*($AM$9-$AL$9)),$AN$9-SQRT((1-AX52)*($AN$9-$AL$9)*($AN$9-$AM$9))),$AM$9)</f>
        <v/>
      </c>
      <c r="AP52">
        <f>IFERROR(IF(AY52&lt;($AM$10-$AL$10)/($AN$10-$AL$10),$AL$10+SQRT(AY52*($AN$10-$AL$10)*($AM$10-$AL$10)),$AN$10-SQRT((1-AY52)*($AN$10-$AL$10)*($AN$10-$AM$10))),$AM$10)</f>
        <v/>
      </c>
      <c r="AQ52">
        <f>IFERROR(IF(AZ52&lt;($AM$11-$AL$11)/($AN$11-$AL$11),$AL$11+SQRT(AZ52*($AN$11-$AL$11)*($AM$11-$AL$11)),$AN$11-SQRT((1-AZ52)*($AN$11-$AL$11)*($AN$11-$AM$11))),$AM$11)</f>
        <v/>
      </c>
      <c r="AR52">
        <f>SUMPRODUCT((B24:B31&lt;=$B$6)*(C24:C31*AM52+D24:D31*AO52*$B$8*AQ52)/(1+AL52/100)^B24:B31)+C32*AM52*AP52/(1+AL52/100)^$B$6</f>
        <v/>
      </c>
      <c r="AS52">
        <f>SUMPRODUCT((K24:K26&lt;=$B$6)*(L24:L26*AN52+M24:M26*AO52*$B$8*AQ52)/(1+AL52/100)^K24:K26)+L27*AN52*AP52/(1+AL52/100)^$B$6</f>
        <v/>
      </c>
      <c r="AT52">
        <f>AS52-AR52</f>
        <v/>
      </c>
      <c r="AU52">
        <f>RAND()</f>
        <v/>
      </c>
      <c r="AV52">
        <f>RAND()</f>
        <v/>
      </c>
      <c r="AW52">
        <f>RAND()</f>
        <v/>
      </c>
      <c r="AX52">
        <f>RAND()</f>
        <v/>
      </c>
      <c r="AY52">
        <f>RAND()</f>
        <v/>
      </c>
      <c r="AZ52">
        <f>RAND()</f>
        <v/>
      </c>
    </row>
    <row r="53">
      <c r="AK53" t="n">
        <v>40</v>
      </c>
      <c r="AL53">
        <f>IFERROR(IF(AU53&lt;($AM$6-$AL$6)/($AN$6-$AL$6),$AL$6+SQRT(AU53*($AN$6-$AL$6)*($AM$6-$AL$6)),$AN$6-SQRT((1-AU53)*($AN$6-$AL$6)*($AN$6-$AM$6))),$AM$6)</f>
        <v/>
      </c>
      <c r="AM53">
        <f>IFERROR(IF(AV53&lt;($AM$7-$AL$7)/($AN$7-$AL$7),$AL$7+SQRT(AV53*($AN$7-$AL$7)*($AM$7-$AL$7)),$AN$7-SQRT((1-AV53)*($AN$7-$AL$7)*($AN$7-$AM$7))),$AM$7)</f>
        <v/>
      </c>
      <c r="AN53">
        <f>IFERROR(IF(AW53&lt;($AM$8-$AL$8)/($AN$8-$AL$8),$AL$8+SQRT(AW53*($AN$8-$AL$8)*($AM$8-$AL$8)),$AN$8-SQRT((1-AW53)*($AN$8-$AL$8)*($AN$8-$AM$8))),$AM$8)</f>
        <v/>
      </c>
      <c r="AO53">
        <f>IFERROR(IF(AX53&lt;($AM$9-$AL$9)/($AN$9-$AL$9),$AL$9+SQRT(AX53*($AN$9-$AL$9)*($AM$9-$AL$9)),$AN$9-SQRT((1-AX53)*($AN$9-$AL$9)*($AN$9-$AM$9))),$AM$9)</f>
        <v/>
      </c>
      <c r="AP53">
        <f>IFERROR(IF(AY53&lt;($AM$10-$AL$10)/($AN$10-$AL$10),$AL$10+SQRT(AY53*($AN$10-$AL$10)*($AM$10-$AL$10)),$AN$10-SQRT((1-AY53)*($AN$10-$AL$10)*($AN$10-$AM$10))),$AM$10)</f>
        <v/>
      </c>
      <c r="AQ53">
        <f>IFERROR(IF(AZ53&lt;($AM$11-$AL$11)/($AN$11-$AL$11),$AL$11+SQRT(AZ53*($AN$11-$AL$11)*($AM$11-$AL$11)),$AN$11-SQRT((1-AZ53)*($AN$11-$AL$11)*($AN$11-$AM$11))),$AM$11)</f>
        <v/>
      </c>
      <c r="AR53">
        <f>SUMPRODUCT((B24:B31&lt;=$B$6)*(C24:C31*AM53+D24:D31*AO53*$B$8*AQ53)/(1+AL53/100)^B24:B31)+C32*AM53*AP53/(1+AL53/100)^$B$6</f>
        <v/>
      </c>
      <c r="AS53">
        <f>SUMPRODUCT((K24:K26&lt;=$B$6)*(L24:L26*AN53+M24:M26*AO53*$B$8*AQ53)/(1+AL53/100)^K24:K26)+L27*AN53*AP53/(1+AL53/100)^$B$6</f>
        <v/>
      </c>
      <c r="AT53">
        <f>AS53-AR53</f>
        <v/>
      </c>
      <c r="AU53">
        <f>RAND()</f>
        <v/>
      </c>
      <c r="AV53">
        <f>RAND()</f>
        <v/>
      </c>
      <c r="AW53">
        <f>RAND()</f>
        <v/>
      </c>
      <c r="AX53">
        <f>RAND()</f>
        <v/>
      </c>
      <c r="AY53">
        <f>RAND()</f>
        <v/>
      </c>
      <c r="AZ53">
        <f>RAND()</f>
        <v/>
      </c>
    </row>
    <row r="54">
      <c r="A54" s="4" t="inlineStr">
        <is>
          <t>BREAK-EVEN VALUES (where PCC and HMA present worth are equal)</t>
        </is>
      </c>
      <c r="AK54" t="n">
        <v>41</v>
      </c>
      <c r="AL54">
        <f>IFERROR(IF(AU54&lt;($AM$6-$AL$6)/($AN$6-$AL$6),$AL$6+SQRT(AU54*($AN$6-$AL$6)*($AM$6-$AL$6)),$AN$6-SQRT((1-AU54)*($AN$6-$AL$6)*($AN$6-$AM$6))),$AM$6)</f>
        <v/>
      </c>
      <c r="AM54">
        <f>IFERROR(IF(AV54&lt;($AM$7-$AL$7)/($AN$7-$AL$7),$AL$7+SQRT(AV54*($AN$7-$AL$7)*($AM$7-$AL$7)),$AN$7-SQRT((1-AV54)*($AN$7-$AL$7)*($AN$7-$AM$7))),$AM$7)</f>
        <v/>
      </c>
      <c r="AN54">
        <f>IFERROR(IF(AW54&lt;($AM$8-$AL$8)/($AN$8-$AL$8),$AL$8+SQRT(AW54*($AN$8-$AL$8)*($AM$8-$AL$8)),$AN$8-SQRT((1-AW54)*($AN$8-$AL$8)*($AN$8-$AM$8))),$AM$8)</f>
        <v/>
      </c>
      <c r="AO54">
        <f>IFERROR(IF(AX54&lt;($AM$9-$AL$9)/($AN$9-$AL$9),$AL$9+SQRT(AX54*($AN$9-$AL$9)*($AM$9-$AL$9)),$AN$9-SQRT((1-AX54)*($AN$9-$AL$9)*($AN$9-$AM$9))),$AM$9)</f>
        <v/>
      </c>
      <c r="AP54">
        <f>IFERROR(IF(AY54&lt;($AM$10-$AL$10)/($AN$10-$AL$10),$AL$10+SQRT(AY54*($AN$10-$AL$10)*($AM$10-$AL$10)),$AN$10-SQRT((1-AY54)*($AN$10-$AL$10)*($AN$10-$AM$10))),$AM$10)</f>
        <v/>
      </c>
      <c r="AQ54">
        <f>IFERROR(IF(AZ54&lt;($AM$11-$AL$11)/($AN$11-$AL$11),$AL$11+SQRT(AZ54*($AN$11-$AL$11)*($AM$11-$AL$11)),$AN$11-SQRT((1-AZ54)*($AN$11-$AL$11)*($AN$11-$AM$11))),$AM$11)</f>
        <v/>
      </c>
      <c r="AR54">
        <f>SUMPRODUCT((B24:B31&lt;=$B$6)*(C24:C31*AM54+D24:D31*AO54*$B$8*AQ54)/(1+AL54/100)^B24:B31)+C32*AM54*AP54/(1+AL54/100)^$B$6</f>
        <v/>
      </c>
      <c r="AS54">
        <f>SUMPRODUCT((K24:K26&lt;=$B$6)*(L24:L26*AN54+M24:M26*AO54*$B$8*AQ54)/(1+AL54/100)^K24:K26)+L27*AN54*AP54/(1+AL54/100)^$B$6</f>
        <v/>
      </c>
      <c r="AT54">
        <f>AS54-AR54</f>
        <v/>
      </c>
      <c r="AU54">
        <f>RAND()</f>
        <v/>
      </c>
      <c r="AV54">
        <f>RAND()</f>
        <v/>
      </c>
      <c r="AW54">
        <f>RAND()</f>
        <v/>
      </c>
      <c r="AX54">
        <f>RAND()</f>
        <v/>
      </c>
      <c r="AY54">
        <f>RAND()</f>
        <v/>
      </c>
      <c r="AZ54">
        <f>RAND()</f>
        <v/>
      </c>
    </row>
    <row r="55">
      <c r="A55" s="6" t="inlineStr">
        <is>
          <t>Input</t>
        </is>
      </c>
      <c r="B55" s="6" t="inlineStr">
        <is>
          <t>Break-even value</t>
        </is>
      </c>
      <c r="C55" s="6" t="inlineStr">
        <is>
          <t>Current value</t>
        </is>
      </c>
      <c r="D55" s="6" t="inlineStr">
        <is>
          <t>Reading</t>
        </is>
      </c>
      <c r="AK55" t="n">
        <v>42</v>
      </c>
      <c r="AL55">
        <f>IFERROR(IF(AU55&lt;($AM$6-$AL$6)/($AN$6-$AL$6),$AL$6+SQRT(AU55*($AN$6-$AL$6)*($AM$6-$AL$6)),$AN$6-SQRT((1-AU55)*($AN$6-$AL$6)*($AN$6-$AM$6))),$AM$6)</f>
        <v/>
      </c>
      <c r="AM55">
        <f>IFERROR(IF(AV55&lt;($AM$7-$AL$7)/($AN$7-$AL$7),$AL$7+SQRT(AV55*($AN$7-$AL$7)*($AM$7-$AL$7)),$AN$7-SQRT((1-AV55)*($AN$7-$AL$7)*($AN$7-$AM$7))),$AM$7)</f>
        <v/>
      </c>
      <c r="AN55">
        <f>IFERROR(IF(AW55&lt;($AM$8-$AL$8)/($AN$8-$AL$8),$AL$8+SQRT(AW55*($AN$8-$AL$8)*($AM$8-$AL$8)),$AN$8-SQRT((1-AW55)*($AN$8-$AL$8)*($AN$8-$AM$8))),$AM$8)</f>
        <v/>
      </c>
      <c r="AO55">
        <f>IFERROR(IF(AX55&lt;($AM$9-$AL$9)/($AN$9-$AL$9),$AL$9+SQRT(AX55*($AN$9-$AL$9)*($AM$9-$AL$9)),$AN$9-SQRT((1-AX55)*($AN$9-$AL$9)*($AN$9-$AM$9))),$AM$9)</f>
        <v/>
      </c>
      <c r="AP55">
        <f>IFERROR(IF(AY55&lt;($AM$10-$AL$10)/($AN$10-$AL$10),$AL$10+SQRT(AY55*($AN$10-$AL$10)*($AM$10-$AL$10)),$AN$10-SQRT((1-AY55)*($AN$10-$AL$10)*($AN$10-$AM$10))),$AM$10)</f>
        <v/>
      </c>
      <c r="AQ55">
        <f>IFERROR(IF(AZ55&lt;($AM$11-$AL$11)/($AN$11-$AL$11),$AL$11+SQRT(AZ55*($AN$11-$AL$11)*($AM$11-$AL$11)),$AN$11-SQRT((1-AZ55)*($AN$11-$AL$11)*($AN$11-$AM$11))),$AM$11)</f>
        <v/>
      </c>
      <c r="AR55">
        <f>SUMPRODUCT((B24:B31&lt;=$B$6)*(C24:C31*AM55+D24:D31*AO55*$B$8*AQ55)/(1+AL55/100)^B24:B31)+C32*AM55*AP55/(1+AL55/100)^$B$6</f>
        <v/>
      </c>
      <c r="AS55">
        <f>SUMPRODUCT((K24:K26&lt;=$B$6)*(L24:L26*AN55+M24:M26*AO55*$B$8*AQ55)/(1+AL55/100)^K24:K26)+L27*AN55*AP55/(1+AL55/100)^$B$6</f>
        <v/>
      </c>
      <c r="AT55">
        <f>AS55-AR55</f>
        <v/>
      </c>
      <c r="AU55">
        <f>RAND()</f>
        <v/>
      </c>
      <c r="AV55">
        <f>RAND()</f>
        <v/>
      </c>
      <c r="AW55">
        <f>RAND()</f>
        <v/>
      </c>
      <c r="AX55">
        <f>RAND()</f>
        <v/>
      </c>
      <c r="AY55">
        <f>RAND()</f>
        <v/>
      </c>
      <c r="AZ55">
        <f>RAND()</f>
        <v/>
      </c>
    </row>
    <row r="56">
      <c r="A56" s="23" t="inlineStr">
        <is>
          <t>Airport daily revenue ($/day)</t>
        </is>
      </c>
      <c r="B56" s="30">
        <f>IFERROR(IF(-(((SUMPRODUCT((K24:K26&lt;=$B$6)*N24:N26/(1+$B$5/100)^K24:K26)+P27))-((SUMPRODUCT((B24:B31&lt;=$B$6)*E24:E31/(1+$B$5/100)^B24:B31)+G32)))/((SUMPRODUCT((K24:K26&lt;=$B$6)*M24:M26*$B$10*$B$9/(1+$B$5/100)^K24:K26))-(SUMPRODUCT((B24:B31&lt;=$B$6)*D24:D31*$B$10*$B$9/(1+$B$5/100)^B24:B31)))&lt;=0,"none (no positive value ties them)",-(((SUMPRODUCT((K24:K26&lt;=$B$6)*N24:N26/(1+$B$5/100)^K24:K26)+P27))-((SUMPRODUCT((B24:B31&lt;=$B$6)*E24:E31/(1+$B$5/100)^B24:B31)+G32)))/((SUMPRODUCT((K24:K26&lt;=$B$6)*M24:M26*$B$10*$B$9/(1+$B$5/100)^K24:K26))-(SUMPRODUCT((B24:B31&lt;=$B$6)*D24:D31*$B$10*$B$9/(1+$B$5/100)^B24:B31)))),"n/a")</f>
        <v/>
      </c>
      <c r="C56" s="30">
        <f>$B$8</f>
        <v/>
      </c>
      <c r="D56" s="5" t="inlineStr">
        <is>
          <t>Daily revenue at which lost-revenue exposure alone flips the decision</t>
        </is>
      </c>
      <c r="AK56" t="n">
        <v>43</v>
      </c>
      <c r="AL56">
        <f>IFERROR(IF(AU56&lt;($AM$6-$AL$6)/($AN$6-$AL$6),$AL$6+SQRT(AU56*($AN$6-$AL$6)*($AM$6-$AL$6)),$AN$6-SQRT((1-AU56)*($AN$6-$AL$6)*($AN$6-$AM$6))),$AM$6)</f>
        <v/>
      </c>
      <c r="AM56">
        <f>IFERROR(IF(AV56&lt;($AM$7-$AL$7)/($AN$7-$AL$7),$AL$7+SQRT(AV56*($AN$7-$AL$7)*($AM$7-$AL$7)),$AN$7-SQRT((1-AV56)*($AN$7-$AL$7)*($AN$7-$AM$7))),$AM$7)</f>
        <v/>
      </c>
      <c r="AN56">
        <f>IFERROR(IF(AW56&lt;($AM$8-$AL$8)/($AN$8-$AL$8),$AL$8+SQRT(AW56*($AN$8-$AL$8)*($AM$8-$AL$8)),$AN$8-SQRT((1-AW56)*($AN$8-$AL$8)*($AN$8-$AM$8))),$AM$8)</f>
        <v/>
      </c>
      <c r="AO56">
        <f>IFERROR(IF(AX56&lt;($AM$9-$AL$9)/($AN$9-$AL$9),$AL$9+SQRT(AX56*($AN$9-$AL$9)*($AM$9-$AL$9)),$AN$9-SQRT((1-AX56)*($AN$9-$AL$9)*($AN$9-$AM$9))),$AM$9)</f>
        <v/>
      </c>
      <c r="AP56">
        <f>IFERROR(IF(AY56&lt;($AM$10-$AL$10)/($AN$10-$AL$10),$AL$10+SQRT(AY56*($AN$10-$AL$10)*($AM$10-$AL$10)),$AN$10-SQRT((1-AY56)*($AN$10-$AL$10)*($AN$10-$AM$10))),$AM$10)</f>
        <v/>
      </c>
      <c r="AQ56">
        <f>IFERROR(IF(AZ56&lt;($AM$11-$AL$11)/($AN$11-$AL$11),$AL$11+SQRT(AZ56*($AN$11-$AL$11)*($AM$11-$AL$11)),$AN$11-SQRT((1-AZ56)*($AN$11-$AL$11)*($AN$11-$AM$11))),$AM$11)</f>
        <v/>
      </c>
      <c r="AR56">
        <f>SUMPRODUCT((B24:B31&lt;=$B$6)*(C24:C31*AM56+D24:D31*AO56*$B$8*AQ56)/(1+AL56/100)^B24:B31)+C32*AM56*AP56/(1+AL56/100)^$B$6</f>
        <v/>
      </c>
      <c r="AS56">
        <f>SUMPRODUCT((K24:K26&lt;=$B$6)*(L24:L26*AN56+M24:M26*AO56*$B$8*AQ56)/(1+AL56/100)^K24:K26)+L27*AN56*AP56/(1+AL56/100)^$B$6</f>
        <v/>
      </c>
      <c r="AT56">
        <f>AS56-AR56</f>
        <v/>
      </c>
      <c r="AU56">
        <f>RAND()</f>
        <v/>
      </c>
      <c r="AV56">
        <f>RAND()</f>
        <v/>
      </c>
      <c r="AW56">
        <f>RAND()</f>
        <v/>
      </c>
      <c r="AX56">
        <f>RAND()</f>
        <v/>
      </c>
      <c r="AY56">
        <f>RAND()</f>
        <v/>
      </c>
      <c r="AZ56">
        <f>RAND()</f>
        <v/>
      </c>
    </row>
    <row r="57">
      <c r="A57" s="23" t="inlineStr">
        <is>
          <t>PCC cost multiplier</t>
        </is>
      </c>
      <c r="B57" s="31">
        <f>IFERROR((G33-SUMPRODUCT((K24:K26&lt;=$B$6)*O24:O26/(1+$B$5/100)^K24:K26))/(((SUMPRODUCT((K24:K26&lt;=$B$6)*N24:N26/(1+$B$5/100)^K24:K26)+P27))/$B$12),"n/a")</f>
        <v/>
      </c>
      <c r="C57" s="31">
        <f>$B$12</f>
        <v/>
      </c>
      <c r="D57" s="5" t="inlineStr">
        <is>
          <t>PCC bid level (x base estimate) at which the two tie</t>
        </is>
      </c>
      <c r="AK57" t="n">
        <v>44</v>
      </c>
      <c r="AL57">
        <f>IFERROR(IF(AU57&lt;($AM$6-$AL$6)/($AN$6-$AL$6),$AL$6+SQRT(AU57*($AN$6-$AL$6)*($AM$6-$AL$6)),$AN$6-SQRT((1-AU57)*($AN$6-$AL$6)*($AN$6-$AM$6))),$AM$6)</f>
        <v/>
      </c>
      <c r="AM57">
        <f>IFERROR(IF(AV57&lt;($AM$7-$AL$7)/($AN$7-$AL$7),$AL$7+SQRT(AV57*($AN$7-$AL$7)*($AM$7-$AL$7)),$AN$7-SQRT((1-AV57)*($AN$7-$AL$7)*($AN$7-$AM$7))),$AM$7)</f>
        <v/>
      </c>
      <c r="AN57">
        <f>IFERROR(IF(AW57&lt;($AM$8-$AL$8)/($AN$8-$AL$8),$AL$8+SQRT(AW57*($AN$8-$AL$8)*($AM$8-$AL$8)),$AN$8-SQRT((1-AW57)*($AN$8-$AL$8)*($AN$8-$AM$8))),$AM$8)</f>
        <v/>
      </c>
      <c r="AO57">
        <f>IFERROR(IF(AX57&lt;($AM$9-$AL$9)/($AN$9-$AL$9),$AL$9+SQRT(AX57*($AN$9-$AL$9)*($AM$9-$AL$9)),$AN$9-SQRT((1-AX57)*($AN$9-$AL$9)*($AN$9-$AM$9))),$AM$9)</f>
        <v/>
      </c>
      <c r="AP57">
        <f>IFERROR(IF(AY57&lt;($AM$10-$AL$10)/($AN$10-$AL$10),$AL$10+SQRT(AY57*($AN$10-$AL$10)*($AM$10-$AL$10)),$AN$10-SQRT((1-AY57)*($AN$10-$AL$10)*($AN$10-$AM$10))),$AM$10)</f>
        <v/>
      </c>
      <c r="AQ57">
        <f>IFERROR(IF(AZ57&lt;($AM$11-$AL$11)/($AN$11-$AL$11),$AL$11+SQRT(AZ57*($AN$11-$AL$11)*($AM$11-$AL$11)),$AN$11-SQRT((1-AZ57)*($AN$11-$AL$11)*($AN$11-$AM$11))),$AM$11)</f>
        <v/>
      </c>
      <c r="AR57">
        <f>SUMPRODUCT((B24:B31&lt;=$B$6)*(C24:C31*AM57+D24:D31*AO57*$B$8*AQ57)/(1+AL57/100)^B24:B31)+C32*AM57*AP57/(1+AL57/100)^$B$6</f>
        <v/>
      </c>
      <c r="AS57">
        <f>SUMPRODUCT((K24:K26&lt;=$B$6)*(L24:L26*AN57+M24:M26*AO57*$B$8*AQ57)/(1+AL57/100)^K24:K26)+L27*AN57*AP57/(1+AL57/100)^$B$6</f>
        <v/>
      </c>
      <c r="AT57">
        <f>AS57-AR57</f>
        <v/>
      </c>
      <c r="AU57">
        <f>RAND()</f>
        <v/>
      </c>
      <c r="AV57">
        <f>RAND()</f>
        <v/>
      </c>
      <c r="AW57">
        <f>RAND()</f>
        <v/>
      </c>
      <c r="AX57">
        <f>RAND()</f>
        <v/>
      </c>
      <c r="AY57">
        <f>RAND()</f>
        <v/>
      </c>
      <c r="AZ57">
        <f>RAND()</f>
        <v/>
      </c>
    </row>
    <row r="58">
      <c r="A58" s="23" t="inlineStr">
        <is>
          <t>HMA cost multiplier</t>
        </is>
      </c>
      <c r="B58" s="31">
        <f>IFERROR((P28-SUMPRODUCT((B24:B31&lt;=$B$6)*F24:F31/(1+$B$5/100)^B24:B31))/(((SUMPRODUCT((B24:B31&lt;=$B$6)*E24:E31/(1+$B$5/100)^B24:B31)+G32))/$B$11),"n/a")</f>
        <v/>
      </c>
      <c r="C58" s="31">
        <f>$B$11</f>
        <v/>
      </c>
      <c r="D58" s="5" t="inlineStr">
        <is>
          <t>HMA bid level (x base estimate) at which the two tie</t>
        </is>
      </c>
      <c r="AK58" t="n">
        <v>45</v>
      </c>
      <c r="AL58">
        <f>IFERROR(IF(AU58&lt;($AM$6-$AL$6)/($AN$6-$AL$6),$AL$6+SQRT(AU58*($AN$6-$AL$6)*($AM$6-$AL$6)),$AN$6-SQRT((1-AU58)*($AN$6-$AL$6)*($AN$6-$AM$6))),$AM$6)</f>
        <v/>
      </c>
      <c r="AM58">
        <f>IFERROR(IF(AV58&lt;($AM$7-$AL$7)/($AN$7-$AL$7),$AL$7+SQRT(AV58*($AN$7-$AL$7)*($AM$7-$AL$7)),$AN$7-SQRT((1-AV58)*($AN$7-$AL$7)*($AN$7-$AM$7))),$AM$7)</f>
        <v/>
      </c>
      <c r="AN58">
        <f>IFERROR(IF(AW58&lt;($AM$8-$AL$8)/($AN$8-$AL$8),$AL$8+SQRT(AW58*($AN$8-$AL$8)*($AM$8-$AL$8)),$AN$8-SQRT((1-AW58)*($AN$8-$AL$8)*($AN$8-$AM$8))),$AM$8)</f>
        <v/>
      </c>
      <c r="AO58">
        <f>IFERROR(IF(AX58&lt;($AM$9-$AL$9)/($AN$9-$AL$9),$AL$9+SQRT(AX58*($AN$9-$AL$9)*($AM$9-$AL$9)),$AN$9-SQRT((1-AX58)*($AN$9-$AL$9)*($AN$9-$AM$9))),$AM$9)</f>
        <v/>
      </c>
      <c r="AP58">
        <f>IFERROR(IF(AY58&lt;($AM$10-$AL$10)/($AN$10-$AL$10),$AL$10+SQRT(AY58*($AN$10-$AL$10)*($AM$10-$AL$10)),$AN$10-SQRT((1-AY58)*($AN$10-$AL$10)*($AN$10-$AM$10))),$AM$10)</f>
        <v/>
      </c>
      <c r="AQ58">
        <f>IFERROR(IF(AZ58&lt;($AM$11-$AL$11)/($AN$11-$AL$11),$AL$11+SQRT(AZ58*($AN$11-$AL$11)*($AM$11-$AL$11)),$AN$11-SQRT((1-AZ58)*($AN$11-$AL$11)*($AN$11-$AM$11))),$AM$11)</f>
        <v/>
      </c>
      <c r="AR58">
        <f>SUMPRODUCT((B24:B31&lt;=$B$6)*(C24:C31*AM58+D24:D31*AO58*$B$8*AQ58)/(1+AL58/100)^B24:B31)+C32*AM58*AP58/(1+AL58/100)^$B$6</f>
        <v/>
      </c>
      <c r="AS58">
        <f>SUMPRODUCT((K24:K26&lt;=$B$6)*(L24:L26*AN58+M24:M26*AO58*$B$8*AQ58)/(1+AL58/100)^K24:K26)+L27*AN58*AP58/(1+AL58/100)^$B$6</f>
        <v/>
      </c>
      <c r="AT58">
        <f>AS58-AR58</f>
        <v/>
      </c>
      <c r="AU58">
        <f>RAND()</f>
        <v/>
      </c>
      <c r="AV58">
        <f>RAND()</f>
        <v/>
      </c>
      <c r="AW58">
        <f>RAND()</f>
        <v/>
      </c>
      <c r="AX58">
        <f>RAND()</f>
        <v/>
      </c>
      <c r="AY58">
        <f>RAND()</f>
        <v/>
      </c>
      <c r="AZ58">
        <f>RAND()</f>
        <v/>
      </c>
    </row>
    <row r="59">
      <c r="A59" s="23" t="inlineStr">
        <is>
          <t>PCC salvage credit (% of initial)</t>
        </is>
      </c>
      <c r="B59" s="32">
        <f>IFERROR((P28-P27-G33)/(N24/(1+$B$5/100)^$B$6),"n/a")</f>
        <v/>
      </c>
      <c r="C59" s="32">
        <f>IFERROR(-L27*$B$13/L24,0)</f>
        <v/>
      </c>
      <c r="D59" s="5" t="inlineStr">
        <is>
          <t>Salvage fraction PCC needs to tie; compare with the 25% policy</t>
        </is>
      </c>
      <c r="AK59" t="n">
        <v>46</v>
      </c>
      <c r="AL59">
        <f>IFERROR(IF(AU59&lt;($AM$6-$AL$6)/($AN$6-$AL$6),$AL$6+SQRT(AU59*($AN$6-$AL$6)*($AM$6-$AL$6)),$AN$6-SQRT((1-AU59)*($AN$6-$AL$6)*($AN$6-$AM$6))),$AM$6)</f>
        <v/>
      </c>
      <c r="AM59">
        <f>IFERROR(IF(AV59&lt;($AM$7-$AL$7)/($AN$7-$AL$7),$AL$7+SQRT(AV59*($AN$7-$AL$7)*($AM$7-$AL$7)),$AN$7-SQRT((1-AV59)*($AN$7-$AL$7)*($AN$7-$AM$7))),$AM$7)</f>
        <v/>
      </c>
      <c r="AN59">
        <f>IFERROR(IF(AW59&lt;($AM$8-$AL$8)/($AN$8-$AL$8),$AL$8+SQRT(AW59*($AN$8-$AL$8)*($AM$8-$AL$8)),$AN$8-SQRT((1-AW59)*($AN$8-$AL$8)*($AN$8-$AM$8))),$AM$8)</f>
        <v/>
      </c>
      <c r="AO59">
        <f>IFERROR(IF(AX59&lt;($AM$9-$AL$9)/($AN$9-$AL$9),$AL$9+SQRT(AX59*($AN$9-$AL$9)*($AM$9-$AL$9)),$AN$9-SQRT((1-AX59)*($AN$9-$AL$9)*($AN$9-$AM$9))),$AM$9)</f>
        <v/>
      </c>
      <c r="AP59">
        <f>IFERROR(IF(AY59&lt;($AM$10-$AL$10)/($AN$10-$AL$10),$AL$10+SQRT(AY59*($AN$10-$AL$10)*($AM$10-$AL$10)),$AN$10-SQRT((1-AY59)*($AN$10-$AL$10)*($AN$10-$AM$10))),$AM$10)</f>
        <v/>
      </c>
      <c r="AQ59">
        <f>IFERROR(IF(AZ59&lt;($AM$11-$AL$11)/($AN$11-$AL$11),$AL$11+SQRT(AZ59*($AN$11-$AL$11)*($AM$11-$AL$11)),$AN$11-SQRT((1-AZ59)*($AN$11-$AL$11)*($AN$11-$AM$11))),$AM$11)</f>
        <v/>
      </c>
      <c r="AR59">
        <f>SUMPRODUCT((B24:B31&lt;=$B$6)*(C24:C31*AM59+D24:D31*AO59*$B$8*AQ59)/(1+AL59/100)^B24:B31)+C32*AM59*AP59/(1+AL59/100)^$B$6</f>
        <v/>
      </c>
      <c r="AS59">
        <f>SUMPRODUCT((K24:K26&lt;=$B$6)*(L24:L26*AN59+M24:M26*AO59*$B$8*AQ59)/(1+AL59/100)^K24:K26)+L27*AN59*AP59/(1+AL59/100)^$B$6</f>
        <v/>
      </c>
      <c r="AT59">
        <f>AS59-AR59</f>
        <v/>
      </c>
      <c r="AU59">
        <f>RAND()</f>
        <v/>
      </c>
      <c r="AV59">
        <f>RAND()</f>
        <v/>
      </c>
      <c r="AW59">
        <f>RAND()</f>
        <v/>
      </c>
      <c r="AX59">
        <f>RAND()</f>
        <v/>
      </c>
      <c r="AY59">
        <f>RAND()</f>
        <v/>
      </c>
      <c r="AZ59">
        <f>RAND()</f>
        <v/>
      </c>
    </row>
    <row r="60">
      <c r="A60" s="7" t="inlineStr">
        <is>
          <t>Discount rate (%)</t>
        </is>
      </c>
      <c r="B60" s="33">
        <f>IFERROR(INDEX($A$65:$A$89,MATCH(TRUE,INDEX($E$65:$E$89&lt;&gt;$E$65,0),0)),"none in 2-8%")</f>
        <v/>
      </c>
      <c r="C60" s="33">
        <f>$B$5</f>
        <v/>
      </c>
      <c r="D60" s="5" t="inlineStr">
        <is>
          <t>First rate in the 2-8% sweep where the winner changes (from the sensitivity table)</t>
        </is>
      </c>
      <c r="AK60" t="n">
        <v>47</v>
      </c>
      <c r="AL60">
        <f>IFERROR(IF(AU60&lt;($AM$6-$AL$6)/($AN$6-$AL$6),$AL$6+SQRT(AU60*($AN$6-$AL$6)*($AM$6-$AL$6)),$AN$6-SQRT((1-AU60)*($AN$6-$AL$6)*($AN$6-$AM$6))),$AM$6)</f>
        <v/>
      </c>
      <c r="AM60">
        <f>IFERROR(IF(AV60&lt;($AM$7-$AL$7)/($AN$7-$AL$7),$AL$7+SQRT(AV60*($AN$7-$AL$7)*($AM$7-$AL$7)),$AN$7-SQRT((1-AV60)*($AN$7-$AL$7)*($AN$7-$AM$7))),$AM$7)</f>
        <v/>
      </c>
      <c r="AN60">
        <f>IFERROR(IF(AW60&lt;($AM$8-$AL$8)/($AN$8-$AL$8),$AL$8+SQRT(AW60*($AN$8-$AL$8)*($AM$8-$AL$8)),$AN$8-SQRT((1-AW60)*($AN$8-$AL$8)*($AN$8-$AM$8))),$AM$8)</f>
        <v/>
      </c>
      <c r="AO60">
        <f>IFERROR(IF(AX60&lt;($AM$9-$AL$9)/($AN$9-$AL$9),$AL$9+SQRT(AX60*($AN$9-$AL$9)*($AM$9-$AL$9)),$AN$9-SQRT((1-AX60)*($AN$9-$AL$9)*($AN$9-$AM$9))),$AM$9)</f>
        <v/>
      </c>
      <c r="AP60">
        <f>IFERROR(IF(AY60&lt;($AM$10-$AL$10)/($AN$10-$AL$10),$AL$10+SQRT(AY60*($AN$10-$AL$10)*($AM$10-$AL$10)),$AN$10-SQRT((1-AY60)*($AN$10-$AL$10)*($AN$10-$AM$10))),$AM$10)</f>
        <v/>
      </c>
      <c r="AQ60">
        <f>IFERROR(IF(AZ60&lt;($AM$11-$AL$11)/($AN$11-$AL$11),$AL$11+SQRT(AZ60*($AN$11-$AL$11)*($AM$11-$AL$11)),$AN$11-SQRT((1-AZ60)*($AN$11-$AL$11)*($AN$11-$AM$11))),$AM$11)</f>
        <v/>
      </c>
      <c r="AR60">
        <f>SUMPRODUCT((B24:B31&lt;=$B$6)*(C24:C31*AM60+D24:D31*AO60*$B$8*AQ60)/(1+AL60/100)^B24:B31)+C32*AM60*AP60/(1+AL60/100)^$B$6</f>
        <v/>
      </c>
      <c r="AS60">
        <f>SUMPRODUCT((K24:K26&lt;=$B$6)*(L24:L26*AN60+M24:M26*AO60*$B$8*AQ60)/(1+AL60/100)^K24:K26)+L27*AN60*AP60/(1+AL60/100)^$B$6</f>
        <v/>
      </c>
      <c r="AT60">
        <f>AS60-AR60</f>
        <v/>
      </c>
      <c r="AU60">
        <f>RAND()</f>
        <v/>
      </c>
      <c r="AV60">
        <f>RAND()</f>
        <v/>
      </c>
      <c r="AW60">
        <f>RAND()</f>
        <v/>
      </c>
      <c r="AX60">
        <f>RAND()</f>
        <v/>
      </c>
      <c r="AY60">
        <f>RAND()</f>
        <v/>
      </c>
      <c r="AZ60">
        <f>RAND()</f>
        <v/>
      </c>
    </row>
    <row r="61">
      <c r="AK61" t="n">
        <v>48</v>
      </c>
      <c r="AL61">
        <f>IFERROR(IF(AU61&lt;($AM$6-$AL$6)/($AN$6-$AL$6),$AL$6+SQRT(AU61*($AN$6-$AL$6)*($AM$6-$AL$6)),$AN$6-SQRT((1-AU61)*($AN$6-$AL$6)*($AN$6-$AM$6))),$AM$6)</f>
        <v/>
      </c>
      <c r="AM61">
        <f>IFERROR(IF(AV61&lt;($AM$7-$AL$7)/($AN$7-$AL$7),$AL$7+SQRT(AV61*($AN$7-$AL$7)*($AM$7-$AL$7)),$AN$7-SQRT((1-AV61)*($AN$7-$AL$7)*($AN$7-$AM$7))),$AM$7)</f>
        <v/>
      </c>
      <c r="AN61">
        <f>IFERROR(IF(AW61&lt;($AM$8-$AL$8)/($AN$8-$AL$8),$AL$8+SQRT(AW61*($AN$8-$AL$8)*($AM$8-$AL$8)),$AN$8-SQRT((1-AW61)*($AN$8-$AL$8)*($AN$8-$AM$8))),$AM$8)</f>
        <v/>
      </c>
      <c r="AO61">
        <f>IFERROR(IF(AX61&lt;($AM$9-$AL$9)/($AN$9-$AL$9),$AL$9+SQRT(AX61*($AN$9-$AL$9)*($AM$9-$AL$9)),$AN$9-SQRT((1-AX61)*($AN$9-$AL$9)*($AN$9-$AM$9))),$AM$9)</f>
        <v/>
      </c>
      <c r="AP61">
        <f>IFERROR(IF(AY61&lt;($AM$10-$AL$10)/($AN$10-$AL$10),$AL$10+SQRT(AY61*($AN$10-$AL$10)*($AM$10-$AL$10)),$AN$10-SQRT((1-AY61)*($AN$10-$AL$10)*($AN$10-$AM$10))),$AM$10)</f>
        <v/>
      </c>
      <c r="AQ61">
        <f>IFERROR(IF(AZ61&lt;($AM$11-$AL$11)/($AN$11-$AL$11),$AL$11+SQRT(AZ61*($AN$11-$AL$11)*($AM$11-$AL$11)),$AN$11-SQRT((1-AZ61)*($AN$11-$AL$11)*($AN$11-$AM$11))),$AM$11)</f>
        <v/>
      </c>
      <c r="AR61">
        <f>SUMPRODUCT((B24:B31&lt;=$B$6)*(C24:C31*AM61+D24:D31*AO61*$B$8*AQ61)/(1+AL61/100)^B24:B31)+C32*AM61*AP61/(1+AL61/100)^$B$6</f>
        <v/>
      </c>
      <c r="AS61">
        <f>SUMPRODUCT((K24:K26&lt;=$B$6)*(L24:L26*AN61+M24:M26*AO61*$B$8*AQ61)/(1+AL61/100)^K24:K26)+L27*AN61*AP61/(1+AL61/100)^$B$6</f>
        <v/>
      </c>
      <c r="AT61">
        <f>AS61-AR61</f>
        <v/>
      </c>
      <c r="AU61">
        <f>RAND()</f>
        <v/>
      </c>
      <c r="AV61">
        <f>RAND()</f>
        <v/>
      </c>
      <c r="AW61">
        <f>RAND()</f>
        <v/>
      </c>
      <c r="AX61">
        <f>RAND()</f>
        <v/>
      </c>
      <c r="AY61">
        <f>RAND()</f>
        <v/>
      </c>
      <c r="AZ61">
        <f>RAND()</f>
        <v/>
      </c>
    </row>
    <row r="62">
      <c r="AK62" t="n">
        <v>49</v>
      </c>
      <c r="AL62">
        <f>IFERROR(IF(AU62&lt;($AM$6-$AL$6)/($AN$6-$AL$6),$AL$6+SQRT(AU62*($AN$6-$AL$6)*($AM$6-$AL$6)),$AN$6-SQRT((1-AU62)*($AN$6-$AL$6)*($AN$6-$AM$6))),$AM$6)</f>
        <v/>
      </c>
      <c r="AM62">
        <f>IFERROR(IF(AV62&lt;($AM$7-$AL$7)/($AN$7-$AL$7),$AL$7+SQRT(AV62*($AN$7-$AL$7)*($AM$7-$AL$7)),$AN$7-SQRT((1-AV62)*($AN$7-$AL$7)*($AN$7-$AM$7))),$AM$7)</f>
        <v/>
      </c>
      <c r="AN62">
        <f>IFERROR(IF(AW62&lt;($AM$8-$AL$8)/($AN$8-$AL$8),$AL$8+SQRT(AW62*($AN$8-$AL$8)*($AM$8-$AL$8)),$AN$8-SQRT((1-AW62)*($AN$8-$AL$8)*($AN$8-$AM$8))),$AM$8)</f>
        <v/>
      </c>
      <c r="AO62">
        <f>IFERROR(IF(AX62&lt;($AM$9-$AL$9)/($AN$9-$AL$9),$AL$9+SQRT(AX62*($AN$9-$AL$9)*($AM$9-$AL$9)),$AN$9-SQRT((1-AX62)*($AN$9-$AL$9)*($AN$9-$AM$9))),$AM$9)</f>
        <v/>
      </c>
      <c r="AP62">
        <f>IFERROR(IF(AY62&lt;($AM$10-$AL$10)/($AN$10-$AL$10),$AL$10+SQRT(AY62*($AN$10-$AL$10)*($AM$10-$AL$10)),$AN$10-SQRT((1-AY62)*($AN$10-$AL$10)*($AN$10-$AM$10))),$AM$10)</f>
        <v/>
      </c>
      <c r="AQ62">
        <f>IFERROR(IF(AZ62&lt;($AM$11-$AL$11)/($AN$11-$AL$11),$AL$11+SQRT(AZ62*($AN$11-$AL$11)*($AM$11-$AL$11)),$AN$11-SQRT((1-AZ62)*($AN$11-$AL$11)*($AN$11-$AM$11))),$AM$11)</f>
        <v/>
      </c>
      <c r="AR62">
        <f>SUMPRODUCT((B24:B31&lt;=$B$6)*(C24:C31*AM62+D24:D31*AO62*$B$8*AQ62)/(1+AL62/100)^B24:B31)+C32*AM62*AP62/(1+AL62/100)^$B$6</f>
        <v/>
      </c>
      <c r="AS62">
        <f>SUMPRODUCT((K24:K26&lt;=$B$6)*(L24:L26*AN62+M24:M26*AO62*$B$8*AQ62)/(1+AL62/100)^K24:K26)+L27*AN62*AP62/(1+AL62/100)^$B$6</f>
        <v/>
      </c>
      <c r="AT62">
        <f>AS62-AR62</f>
        <v/>
      </c>
      <c r="AU62">
        <f>RAND()</f>
        <v/>
      </c>
      <c r="AV62">
        <f>RAND()</f>
        <v/>
      </c>
      <c r="AW62">
        <f>RAND()</f>
        <v/>
      </c>
      <c r="AX62">
        <f>RAND()</f>
        <v/>
      </c>
      <c r="AY62">
        <f>RAND()</f>
        <v/>
      </c>
      <c r="AZ62">
        <f>RAND()</f>
        <v/>
      </c>
    </row>
    <row r="63">
      <c r="A63" s="4" t="inlineStr">
        <is>
          <t>DISCOUNT-RATE SENSITIVITY</t>
        </is>
      </c>
      <c r="AK63" t="n">
        <v>50</v>
      </c>
      <c r="AL63">
        <f>IFERROR(IF(AU63&lt;($AM$6-$AL$6)/($AN$6-$AL$6),$AL$6+SQRT(AU63*($AN$6-$AL$6)*($AM$6-$AL$6)),$AN$6-SQRT((1-AU63)*($AN$6-$AL$6)*($AN$6-$AM$6))),$AM$6)</f>
        <v/>
      </c>
      <c r="AM63">
        <f>IFERROR(IF(AV63&lt;($AM$7-$AL$7)/($AN$7-$AL$7),$AL$7+SQRT(AV63*($AN$7-$AL$7)*($AM$7-$AL$7)),$AN$7-SQRT((1-AV63)*($AN$7-$AL$7)*($AN$7-$AM$7))),$AM$7)</f>
        <v/>
      </c>
      <c r="AN63">
        <f>IFERROR(IF(AW63&lt;($AM$8-$AL$8)/($AN$8-$AL$8),$AL$8+SQRT(AW63*($AN$8-$AL$8)*($AM$8-$AL$8)),$AN$8-SQRT((1-AW63)*($AN$8-$AL$8)*($AN$8-$AM$8))),$AM$8)</f>
        <v/>
      </c>
      <c r="AO63">
        <f>IFERROR(IF(AX63&lt;($AM$9-$AL$9)/($AN$9-$AL$9),$AL$9+SQRT(AX63*($AN$9-$AL$9)*($AM$9-$AL$9)),$AN$9-SQRT((1-AX63)*($AN$9-$AL$9)*($AN$9-$AM$9))),$AM$9)</f>
        <v/>
      </c>
      <c r="AP63">
        <f>IFERROR(IF(AY63&lt;($AM$10-$AL$10)/($AN$10-$AL$10),$AL$10+SQRT(AY63*($AN$10-$AL$10)*($AM$10-$AL$10)),$AN$10-SQRT((1-AY63)*($AN$10-$AL$10)*($AN$10-$AM$10))),$AM$10)</f>
        <v/>
      </c>
      <c r="AQ63">
        <f>IFERROR(IF(AZ63&lt;($AM$11-$AL$11)/($AN$11-$AL$11),$AL$11+SQRT(AZ63*($AN$11-$AL$11)*($AM$11-$AL$11)),$AN$11-SQRT((1-AZ63)*($AN$11-$AL$11)*($AN$11-$AM$11))),$AM$11)</f>
        <v/>
      </c>
      <c r="AR63">
        <f>SUMPRODUCT((B24:B31&lt;=$B$6)*(C24:C31*AM63+D24:D31*AO63*$B$8*AQ63)/(1+AL63/100)^B24:B31)+C32*AM63*AP63/(1+AL63/100)^$B$6</f>
        <v/>
      </c>
      <c r="AS63">
        <f>SUMPRODUCT((K24:K26&lt;=$B$6)*(L24:L26*AN63+M24:M26*AO63*$B$8*AQ63)/(1+AL63/100)^K24:K26)+L27*AN63*AP63/(1+AL63/100)^$B$6</f>
        <v/>
      </c>
      <c r="AT63">
        <f>AS63-AR63</f>
        <v/>
      </c>
      <c r="AU63">
        <f>RAND()</f>
        <v/>
      </c>
      <c r="AV63">
        <f>RAND()</f>
        <v/>
      </c>
      <c r="AW63">
        <f>RAND()</f>
        <v/>
      </c>
      <c r="AX63">
        <f>RAND()</f>
        <v/>
      </c>
      <c r="AY63">
        <f>RAND()</f>
        <v/>
      </c>
      <c r="AZ63">
        <f>RAND()</f>
        <v/>
      </c>
    </row>
    <row r="64">
      <c r="A64" s="6" t="inlineStr">
        <is>
          <t>Rate (%)</t>
        </is>
      </c>
      <c r="B64" s="6" t="inlineStr">
        <is>
          <t>NPW HMA</t>
        </is>
      </c>
      <c r="C64" s="6" t="inlineStr">
        <is>
          <t>NPW PCC</t>
        </is>
      </c>
      <c r="D64" s="6" t="inlineStr">
        <is>
          <t>PCC - HMA</t>
        </is>
      </c>
      <c r="E64" s="6" t="inlineStr">
        <is>
          <t>Winner</t>
        </is>
      </c>
      <c r="AK64" t="n">
        <v>51</v>
      </c>
      <c r="AL64">
        <f>IFERROR(IF(AU64&lt;($AM$6-$AL$6)/($AN$6-$AL$6),$AL$6+SQRT(AU64*($AN$6-$AL$6)*($AM$6-$AL$6)),$AN$6-SQRT((1-AU64)*($AN$6-$AL$6)*($AN$6-$AM$6))),$AM$6)</f>
        <v/>
      </c>
      <c r="AM64">
        <f>IFERROR(IF(AV64&lt;($AM$7-$AL$7)/($AN$7-$AL$7),$AL$7+SQRT(AV64*($AN$7-$AL$7)*($AM$7-$AL$7)),$AN$7-SQRT((1-AV64)*($AN$7-$AL$7)*($AN$7-$AM$7))),$AM$7)</f>
        <v/>
      </c>
      <c r="AN64">
        <f>IFERROR(IF(AW64&lt;($AM$8-$AL$8)/($AN$8-$AL$8),$AL$8+SQRT(AW64*($AN$8-$AL$8)*($AM$8-$AL$8)),$AN$8-SQRT((1-AW64)*($AN$8-$AL$8)*($AN$8-$AM$8))),$AM$8)</f>
        <v/>
      </c>
      <c r="AO64">
        <f>IFERROR(IF(AX64&lt;($AM$9-$AL$9)/($AN$9-$AL$9),$AL$9+SQRT(AX64*($AN$9-$AL$9)*($AM$9-$AL$9)),$AN$9-SQRT((1-AX64)*($AN$9-$AL$9)*($AN$9-$AM$9))),$AM$9)</f>
        <v/>
      </c>
      <c r="AP64">
        <f>IFERROR(IF(AY64&lt;($AM$10-$AL$10)/($AN$10-$AL$10),$AL$10+SQRT(AY64*($AN$10-$AL$10)*($AM$10-$AL$10)),$AN$10-SQRT((1-AY64)*($AN$10-$AL$10)*($AN$10-$AM$10))),$AM$10)</f>
        <v/>
      </c>
      <c r="AQ64">
        <f>IFERROR(IF(AZ64&lt;($AM$11-$AL$11)/($AN$11-$AL$11),$AL$11+SQRT(AZ64*($AN$11-$AL$11)*($AM$11-$AL$11)),$AN$11-SQRT((1-AZ64)*($AN$11-$AL$11)*($AN$11-$AM$11))),$AM$11)</f>
        <v/>
      </c>
      <c r="AR64">
        <f>SUMPRODUCT((B24:B31&lt;=$B$6)*(C24:C31*AM64+D24:D31*AO64*$B$8*AQ64)/(1+AL64/100)^B24:B31)+C32*AM64*AP64/(1+AL64/100)^$B$6</f>
        <v/>
      </c>
      <c r="AS64">
        <f>SUMPRODUCT((K24:K26&lt;=$B$6)*(L24:L26*AN64+M24:M26*AO64*$B$8*AQ64)/(1+AL64/100)^K24:K26)+L27*AN64*AP64/(1+AL64/100)^$B$6</f>
        <v/>
      </c>
      <c r="AT64">
        <f>AS64-AR64</f>
        <v/>
      </c>
      <c r="AU64">
        <f>RAND()</f>
        <v/>
      </c>
      <c r="AV64">
        <f>RAND()</f>
        <v/>
      </c>
      <c r="AW64">
        <f>RAND()</f>
        <v/>
      </c>
      <c r="AX64">
        <f>RAND()</f>
        <v/>
      </c>
      <c r="AY64">
        <f>RAND()</f>
        <v/>
      </c>
      <c r="AZ64">
        <f>RAND()</f>
        <v/>
      </c>
    </row>
    <row r="65">
      <c r="A65" s="33" t="n">
        <v>2</v>
      </c>
      <c r="B65" s="14">
        <f>SUMPRODUCT((B24:B31&lt;=$B$6)*(C24:C31*$B$11+D24:D31*$B$10*$B$8*$B$9)/(1+$A65/100)^B24:B31)+C32*$B$11*$B$13/(1+$A65/100)^$B$6</f>
        <v/>
      </c>
      <c r="C65" s="14">
        <f>SUMPRODUCT((K24:K26&lt;=$B$6)*(L24:L26*$B$12+M24:M26*$B$10*$B$8*$B$9)/(1+$A65/100)^K24:K26)+L27*$B$12*$B$13/(1+$A65/100)^$B$6</f>
        <v/>
      </c>
      <c r="D65" s="14">
        <f>C65-B65</f>
        <v/>
      </c>
      <c r="E65">
        <f>IF(D65&lt;0,"PCC","HMA")</f>
        <v/>
      </c>
      <c r="AK65" t="n">
        <v>52</v>
      </c>
      <c r="AL65">
        <f>IFERROR(IF(AU65&lt;($AM$6-$AL$6)/($AN$6-$AL$6),$AL$6+SQRT(AU65*($AN$6-$AL$6)*($AM$6-$AL$6)),$AN$6-SQRT((1-AU65)*($AN$6-$AL$6)*($AN$6-$AM$6))),$AM$6)</f>
        <v/>
      </c>
      <c r="AM65">
        <f>IFERROR(IF(AV65&lt;($AM$7-$AL$7)/($AN$7-$AL$7),$AL$7+SQRT(AV65*($AN$7-$AL$7)*($AM$7-$AL$7)),$AN$7-SQRT((1-AV65)*($AN$7-$AL$7)*($AN$7-$AM$7))),$AM$7)</f>
        <v/>
      </c>
      <c r="AN65">
        <f>IFERROR(IF(AW65&lt;($AM$8-$AL$8)/($AN$8-$AL$8),$AL$8+SQRT(AW65*($AN$8-$AL$8)*($AM$8-$AL$8)),$AN$8-SQRT((1-AW65)*($AN$8-$AL$8)*($AN$8-$AM$8))),$AM$8)</f>
        <v/>
      </c>
      <c r="AO65">
        <f>IFERROR(IF(AX65&lt;($AM$9-$AL$9)/($AN$9-$AL$9),$AL$9+SQRT(AX65*($AN$9-$AL$9)*($AM$9-$AL$9)),$AN$9-SQRT((1-AX65)*($AN$9-$AL$9)*($AN$9-$AM$9))),$AM$9)</f>
        <v/>
      </c>
      <c r="AP65">
        <f>IFERROR(IF(AY65&lt;($AM$10-$AL$10)/($AN$10-$AL$10),$AL$10+SQRT(AY65*($AN$10-$AL$10)*($AM$10-$AL$10)),$AN$10-SQRT((1-AY65)*($AN$10-$AL$10)*($AN$10-$AM$10))),$AM$10)</f>
        <v/>
      </c>
      <c r="AQ65">
        <f>IFERROR(IF(AZ65&lt;($AM$11-$AL$11)/($AN$11-$AL$11),$AL$11+SQRT(AZ65*($AN$11-$AL$11)*($AM$11-$AL$11)),$AN$11-SQRT((1-AZ65)*($AN$11-$AL$11)*($AN$11-$AM$11))),$AM$11)</f>
        <v/>
      </c>
      <c r="AR65">
        <f>SUMPRODUCT((B24:B31&lt;=$B$6)*(C24:C31*AM65+D24:D31*AO65*$B$8*AQ65)/(1+AL65/100)^B24:B31)+C32*AM65*AP65/(1+AL65/100)^$B$6</f>
        <v/>
      </c>
      <c r="AS65">
        <f>SUMPRODUCT((K24:K26&lt;=$B$6)*(L24:L26*AN65+M24:M26*AO65*$B$8*AQ65)/(1+AL65/100)^K24:K26)+L27*AN65*AP65/(1+AL65/100)^$B$6</f>
        <v/>
      </c>
      <c r="AT65">
        <f>AS65-AR65</f>
        <v/>
      </c>
      <c r="AU65">
        <f>RAND()</f>
        <v/>
      </c>
      <c r="AV65">
        <f>RAND()</f>
        <v/>
      </c>
      <c r="AW65">
        <f>RAND()</f>
        <v/>
      </c>
      <c r="AX65">
        <f>RAND()</f>
        <v/>
      </c>
      <c r="AY65">
        <f>RAND()</f>
        <v/>
      </c>
      <c r="AZ65">
        <f>RAND()</f>
        <v/>
      </c>
    </row>
    <row r="66">
      <c r="A66" s="33" t="n">
        <v>2.25</v>
      </c>
      <c r="B66" s="14">
        <f>SUMPRODUCT((B24:B31&lt;=$B$6)*(C24:C31*$B$11+D24:D31*$B$10*$B$8*$B$9)/(1+$A66/100)^B24:B31)+C32*$B$11*$B$13/(1+$A66/100)^$B$6</f>
        <v/>
      </c>
      <c r="C66" s="14">
        <f>SUMPRODUCT((K24:K26&lt;=$B$6)*(L24:L26*$B$12+M24:M26*$B$10*$B$8*$B$9)/(1+$A66/100)^K24:K26)+L27*$B$12*$B$13/(1+$A66/100)^$B$6</f>
        <v/>
      </c>
      <c r="D66" s="14">
        <f>C66-B66</f>
        <v/>
      </c>
      <c r="E66">
        <f>IF(D66&lt;0,"PCC","HMA")</f>
        <v/>
      </c>
      <c r="AK66" t="n">
        <v>53</v>
      </c>
      <c r="AL66">
        <f>IFERROR(IF(AU66&lt;($AM$6-$AL$6)/($AN$6-$AL$6),$AL$6+SQRT(AU66*($AN$6-$AL$6)*($AM$6-$AL$6)),$AN$6-SQRT((1-AU66)*($AN$6-$AL$6)*($AN$6-$AM$6))),$AM$6)</f>
        <v/>
      </c>
      <c r="AM66">
        <f>IFERROR(IF(AV66&lt;($AM$7-$AL$7)/($AN$7-$AL$7),$AL$7+SQRT(AV66*($AN$7-$AL$7)*($AM$7-$AL$7)),$AN$7-SQRT((1-AV66)*($AN$7-$AL$7)*($AN$7-$AM$7))),$AM$7)</f>
        <v/>
      </c>
      <c r="AN66">
        <f>IFERROR(IF(AW66&lt;($AM$8-$AL$8)/($AN$8-$AL$8),$AL$8+SQRT(AW66*($AN$8-$AL$8)*($AM$8-$AL$8)),$AN$8-SQRT((1-AW66)*($AN$8-$AL$8)*($AN$8-$AM$8))),$AM$8)</f>
        <v/>
      </c>
      <c r="AO66">
        <f>IFERROR(IF(AX66&lt;($AM$9-$AL$9)/($AN$9-$AL$9),$AL$9+SQRT(AX66*($AN$9-$AL$9)*($AM$9-$AL$9)),$AN$9-SQRT((1-AX66)*($AN$9-$AL$9)*($AN$9-$AM$9))),$AM$9)</f>
        <v/>
      </c>
      <c r="AP66">
        <f>IFERROR(IF(AY66&lt;($AM$10-$AL$10)/($AN$10-$AL$10),$AL$10+SQRT(AY66*($AN$10-$AL$10)*($AM$10-$AL$10)),$AN$10-SQRT((1-AY66)*($AN$10-$AL$10)*($AN$10-$AM$10))),$AM$10)</f>
        <v/>
      </c>
      <c r="AQ66">
        <f>IFERROR(IF(AZ66&lt;($AM$11-$AL$11)/($AN$11-$AL$11),$AL$11+SQRT(AZ66*($AN$11-$AL$11)*($AM$11-$AL$11)),$AN$11-SQRT((1-AZ66)*($AN$11-$AL$11)*($AN$11-$AM$11))),$AM$11)</f>
        <v/>
      </c>
      <c r="AR66">
        <f>SUMPRODUCT((B24:B31&lt;=$B$6)*(C24:C31*AM66+D24:D31*AO66*$B$8*AQ66)/(1+AL66/100)^B24:B31)+C32*AM66*AP66/(1+AL66/100)^$B$6</f>
        <v/>
      </c>
      <c r="AS66">
        <f>SUMPRODUCT((K24:K26&lt;=$B$6)*(L24:L26*AN66+M24:M26*AO66*$B$8*AQ66)/(1+AL66/100)^K24:K26)+L27*AN66*AP66/(1+AL66/100)^$B$6</f>
        <v/>
      </c>
      <c r="AT66">
        <f>AS66-AR66</f>
        <v/>
      </c>
      <c r="AU66">
        <f>RAND()</f>
        <v/>
      </c>
      <c r="AV66">
        <f>RAND()</f>
        <v/>
      </c>
      <c r="AW66">
        <f>RAND()</f>
        <v/>
      </c>
      <c r="AX66">
        <f>RAND()</f>
        <v/>
      </c>
      <c r="AY66">
        <f>RAND()</f>
        <v/>
      </c>
      <c r="AZ66">
        <f>RAND()</f>
        <v/>
      </c>
    </row>
    <row r="67">
      <c r="A67" s="33" t="n">
        <v>2.5</v>
      </c>
      <c r="B67" s="14">
        <f>SUMPRODUCT((B24:B31&lt;=$B$6)*(C24:C31*$B$11+D24:D31*$B$10*$B$8*$B$9)/(1+$A67/100)^B24:B31)+C32*$B$11*$B$13/(1+$A67/100)^$B$6</f>
        <v/>
      </c>
      <c r="C67" s="14">
        <f>SUMPRODUCT((K24:K26&lt;=$B$6)*(L24:L26*$B$12+M24:M26*$B$10*$B$8*$B$9)/(1+$A67/100)^K24:K26)+L27*$B$12*$B$13/(1+$A67/100)^$B$6</f>
        <v/>
      </c>
      <c r="D67" s="14">
        <f>C67-B67</f>
        <v/>
      </c>
      <c r="E67">
        <f>IF(D67&lt;0,"PCC","HMA")</f>
        <v/>
      </c>
      <c r="AK67" t="n">
        <v>54</v>
      </c>
      <c r="AL67">
        <f>IFERROR(IF(AU67&lt;($AM$6-$AL$6)/($AN$6-$AL$6),$AL$6+SQRT(AU67*($AN$6-$AL$6)*($AM$6-$AL$6)),$AN$6-SQRT((1-AU67)*($AN$6-$AL$6)*($AN$6-$AM$6))),$AM$6)</f>
        <v/>
      </c>
      <c r="AM67">
        <f>IFERROR(IF(AV67&lt;($AM$7-$AL$7)/($AN$7-$AL$7),$AL$7+SQRT(AV67*($AN$7-$AL$7)*($AM$7-$AL$7)),$AN$7-SQRT((1-AV67)*($AN$7-$AL$7)*($AN$7-$AM$7))),$AM$7)</f>
        <v/>
      </c>
      <c r="AN67">
        <f>IFERROR(IF(AW67&lt;($AM$8-$AL$8)/($AN$8-$AL$8),$AL$8+SQRT(AW67*($AN$8-$AL$8)*($AM$8-$AL$8)),$AN$8-SQRT((1-AW67)*($AN$8-$AL$8)*($AN$8-$AM$8))),$AM$8)</f>
        <v/>
      </c>
      <c r="AO67">
        <f>IFERROR(IF(AX67&lt;($AM$9-$AL$9)/($AN$9-$AL$9),$AL$9+SQRT(AX67*($AN$9-$AL$9)*($AM$9-$AL$9)),$AN$9-SQRT((1-AX67)*($AN$9-$AL$9)*($AN$9-$AM$9))),$AM$9)</f>
        <v/>
      </c>
      <c r="AP67">
        <f>IFERROR(IF(AY67&lt;($AM$10-$AL$10)/($AN$10-$AL$10),$AL$10+SQRT(AY67*($AN$10-$AL$10)*($AM$10-$AL$10)),$AN$10-SQRT((1-AY67)*($AN$10-$AL$10)*($AN$10-$AM$10))),$AM$10)</f>
        <v/>
      </c>
      <c r="AQ67">
        <f>IFERROR(IF(AZ67&lt;($AM$11-$AL$11)/($AN$11-$AL$11),$AL$11+SQRT(AZ67*($AN$11-$AL$11)*($AM$11-$AL$11)),$AN$11-SQRT((1-AZ67)*($AN$11-$AL$11)*($AN$11-$AM$11))),$AM$11)</f>
        <v/>
      </c>
      <c r="AR67">
        <f>SUMPRODUCT((B24:B31&lt;=$B$6)*(C24:C31*AM67+D24:D31*AO67*$B$8*AQ67)/(1+AL67/100)^B24:B31)+C32*AM67*AP67/(1+AL67/100)^$B$6</f>
        <v/>
      </c>
      <c r="AS67">
        <f>SUMPRODUCT((K24:K26&lt;=$B$6)*(L24:L26*AN67+M24:M26*AO67*$B$8*AQ67)/(1+AL67/100)^K24:K26)+L27*AN67*AP67/(1+AL67/100)^$B$6</f>
        <v/>
      </c>
      <c r="AT67">
        <f>AS67-AR67</f>
        <v/>
      </c>
      <c r="AU67">
        <f>RAND()</f>
        <v/>
      </c>
      <c r="AV67">
        <f>RAND()</f>
        <v/>
      </c>
      <c r="AW67">
        <f>RAND()</f>
        <v/>
      </c>
      <c r="AX67">
        <f>RAND()</f>
        <v/>
      </c>
      <c r="AY67">
        <f>RAND()</f>
        <v/>
      </c>
      <c r="AZ67">
        <f>RAND()</f>
        <v/>
      </c>
    </row>
    <row r="68">
      <c r="A68" s="33" t="n">
        <v>2.75</v>
      </c>
      <c r="B68" s="14">
        <f>SUMPRODUCT((B24:B31&lt;=$B$6)*(C24:C31*$B$11+D24:D31*$B$10*$B$8*$B$9)/(1+$A68/100)^B24:B31)+C32*$B$11*$B$13/(1+$A68/100)^$B$6</f>
        <v/>
      </c>
      <c r="C68" s="14">
        <f>SUMPRODUCT((K24:K26&lt;=$B$6)*(L24:L26*$B$12+M24:M26*$B$10*$B$8*$B$9)/(1+$A68/100)^K24:K26)+L27*$B$12*$B$13/(1+$A68/100)^$B$6</f>
        <v/>
      </c>
      <c r="D68" s="14">
        <f>C68-B68</f>
        <v/>
      </c>
      <c r="E68">
        <f>IF(D68&lt;0,"PCC","HMA")</f>
        <v/>
      </c>
      <c r="AK68" t="n">
        <v>55</v>
      </c>
      <c r="AL68">
        <f>IFERROR(IF(AU68&lt;($AM$6-$AL$6)/($AN$6-$AL$6),$AL$6+SQRT(AU68*($AN$6-$AL$6)*($AM$6-$AL$6)),$AN$6-SQRT((1-AU68)*($AN$6-$AL$6)*($AN$6-$AM$6))),$AM$6)</f>
        <v/>
      </c>
      <c r="AM68">
        <f>IFERROR(IF(AV68&lt;($AM$7-$AL$7)/($AN$7-$AL$7),$AL$7+SQRT(AV68*($AN$7-$AL$7)*($AM$7-$AL$7)),$AN$7-SQRT((1-AV68)*($AN$7-$AL$7)*($AN$7-$AM$7))),$AM$7)</f>
        <v/>
      </c>
      <c r="AN68">
        <f>IFERROR(IF(AW68&lt;($AM$8-$AL$8)/($AN$8-$AL$8),$AL$8+SQRT(AW68*($AN$8-$AL$8)*($AM$8-$AL$8)),$AN$8-SQRT((1-AW68)*($AN$8-$AL$8)*($AN$8-$AM$8))),$AM$8)</f>
        <v/>
      </c>
      <c r="AO68">
        <f>IFERROR(IF(AX68&lt;($AM$9-$AL$9)/($AN$9-$AL$9),$AL$9+SQRT(AX68*($AN$9-$AL$9)*($AM$9-$AL$9)),$AN$9-SQRT((1-AX68)*($AN$9-$AL$9)*($AN$9-$AM$9))),$AM$9)</f>
        <v/>
      </c>
      <c r="AP68">
        <f>IFERROR(IF(AY68&lt;($AM$10-$AL$10)/($AN$10-$AL$10),$AL$10+SQRT(AY68*($AN$10-$AL$10)*($AM$10-$AL$10)),$AN$10-SQRT((1-AY68)*($AN$10-$AL$10)*($AN$10-$AM$10))),$AM$10)</f>
        <v/>
      </c>
      <c r="AQ68">
        <f>IFERROR(IF(AZ68&lt;($AM$11-$AL$11)/($AN$11-$AL$11),$AL$11+SQRT(AZ68*($AN$11-$AL$11)*($AM$11-$AL$11)),$AN$11-SQRT((1-AZ68)*($AN$11-$AL$11)*($AN$11-$AM$11))),$AM$11)</f>
        <v/>
      </c>
      <c r="AR68">
        <f>SUMPRODUCT((B24:B31&lt;=$B$6)*(C24:C31*AM68+D24:D31*AO68*$B$8*AQ68)/(1+AL68/100)^B24:B31)+C32*AM68*AP68/(1+AL68/100)^$B$6</f>
        <v/>
      </c>
      <c r="AS68">
        <f>SUMPRODUCT((K24:K26&lt;=$B$6)*(L24:L26*AN68+M24:M26*AO68*$B$8*AQ68)/(1+AL68/100)^K24:K26)+L27*AN68*AP68/(1+AL68/100)^$B$6</f>
        <v/>
      </c>
      <c r="AT68">
        <f>AS68-AR68</f>
        <v/>
      </c>
      <c r="AU68">
        <f>RAND()</f>
        <v/>
      </c>
      <c r="AV68">
        <f>RAND()</f>
        <v/>
      </c>
      <c r="AW68">
        <f>RAND()</f>
        <v/>
      </c>
      <c r="AX68">
        <f>RAND()</f>
        <v/>
      </c>
      <c r="AY68">
        <f>RAND()</f>
        <v/>
      </c>
      <c r="AZ68">
        <f>RAND()</f>
        <v/>
      </c>
    </row>
    <row r="69">
      <c r="A69" s="33" t="n">
        <v>3</v>
      </c>
      <c r="B69" s="14">
        <f>SUMPRODUCT((B24:B31&lt;=$B$6)*(C24:C31*$B$11+D24:D31*$B$10*$B$8*$B$9)/(1+$A69/100)^B24:B31)+C32*$B$11*$B$13/(1+$A69/100)^$B$6</f>
        <v/>
      </c>
      <c r="C69" s="14">
        <f>SUMPRODUCT((K24:K26&lt;=$B$6)*(L24:L26*$B$12+M24:M26*$B$10*$B$8*$B$9)/(1+$A69/100)^K24:K26)+L27*$B$12*$B$13/(1+$A69/100)^$B$6</f>
        <v/>
      </c>
      <c r="D69" s="14">
        <f>C69-B69</f>
        <v/>
      </c>
      <c r="E69">
        <f>IF(D69&lt;0,"PCC","HMA")</f>
        <v/>
      </c>
      <c r="AK69" t="n">
        <v>56</v>
      </c>
      <c r="AL69">
        <f>IFERROR(IF(AU69&lt;($AM$6-$AL$6)/($AN$6-$AL$6),$AL$6+SQRT(AU69*($AN$6-$AL$6)*($AM$6-$AL$6)),$AN$6-SQRT((1-AU69)*($AN$6-$AL$6)*($AN$6-$AM$6))),$AM$6)</f>
        <v/>
      </c>
      <c r="AM69">
        <f>IFERROR(IF(AV69&lt;($AM$7-$AL$7)/($AN$7-$AL$7),$AL$7+SQRT(AV69*($AN$7-$AL$7)*($AM$7-$AL$7)),$AN$7-SQRT((1-AV69)*($AN$7-$AL$7)*($AN$7-$AM$7))),$AM$7)</f>
        <v/>
      </c>
      <c r="AN69">
        <f>IFERROR(IF(AW69&lt;($AM$8-$AL$8)/($AN$8-$AL$8),$AL$8+SQRT(AW69*($AN$8-$AL$8)*($AM$8-$AL$8)),$AN$8-SQRT((1-AW69)*($AN$8-$AL$8)*($AN$8-$AM$8))),$AM$8)</f>
        <v/>
      </c>
      <c r="AO69">
        <f>IFERROR(IF(AX69&lt;($AM$9-$AL$9)/($AN$9-$AL$9),$AL$9+SQRT(AX69*($AN$9-$AL$9)*($AM$9-$AL$9)),$AN$9-SQRT((1-AX69)*($AN$9-$AL$9)*($AN$9-$AM$9))),$AM$9)</f>
        <v/>
      </c>
      <c r="AP69">
        <f>IFERROR(IF(AY69&lt;($AM$10-$AL$10)/($AN$10-$AL$10),$AL$10+SQRT(AY69*($AN$10-$AL$10)*($AM$10-$AL$10)),$AN$10-SQRT((1-AY69)*($AN$10-$AL$10)*($AN$10-$AM$10))),$AM$10)</f>
        <v/>
      </c>
      <c r="AQ69">
        <f>IFERROR(IF(AZ69&lt;($AM$11-$AL$11)/($AN$11-$AL$11),$AL$11+SQRT(AZ69*($AN$11-$AL$11)*($AM$11-$AL$11)),$AN$11-SQRT((1-AZ69)*($AN$11-$AL$11)*($AN$11-$AM$11))),$AM$11)</f>
        <v/>
      </c>
      <c r="AR69">
        <f>SUMPRODUCT((B24:B31&lt;=$B$6)*(C24:C31*AM69+D24:D31*AO69*$B$8*AQ69)/(1+AL69/100)^B24:B31)+C32*AM69*AP69/(1+AL69/100)^$B$6</f>
        <v/>
      </c>
      <c r="AS69">
        <f>SUMPRODUCT((K24:K26&lt;=$B$6)*(L24:L26*AN69+M24:M26*AO69*$B$8*AQ69)/(1+AL69/100)^K24:K26)+L27*AN69*AP69/(1+AL69/100)^$B$6</f>
        <v/>
      </c>
      <c r="AT69">
        <f>AS69-AR69</f>
        <v/>
      </c>
      <c r="AU69">
        <f>RAND()</f>
        <v/>
      </c>
      <c r="AV69">
        <f>RAND()</f>
        <v/>
      </c>
      <c r="AW69">
        <f>RAND()</f>
        <v/>
      </c>
      <c r="AX69">
        <f>RAND()</f>
        <v/>
      </c>
      <c r="AY69">
        <f>RAND()</f>
        <v/>
      </c>
      <c r="AZ69">
        <f>RAND()</f>
        <v/>
      </c>
    </row>
    <row r="70">
      <c r="A70" s="33" t="n">
        <v>3.25</v>
      </c>
      <c r="B70" s="14">
        <f>SUMPRODUCT((B24:B31&lt;=$B$6)*(C24:C31*$B$11+D24:D31*$B$10*$B$8*$B$9)/(1+$A70/100)^B24:B31)+C32*$B$11*$B$13/(1+$A70/100)^$B$6</f>
        <v/>
      </c>
      <c r="C70" s="14">
        <f>SUMPRODUCT((K24:K26&lt;=$B$6)*(L24:L26*$B$12+M24:M26*$B$10*$B$8*$B$9)/(1+$A70/100)^K24:K26)+L27*$B$12*$B$13/(1+$A70/100)^$B$6</f>
        <v/>
      </c>
      <c r="D70" s="14">
        <f>C70-B70</f>
        <v/>
      </c>
      <c r="E70">
        <f>IF(D70&lt;0,"PCC","HMA")</f>
        <v/>
      </c>
      <c r="AK70" t="n">
        <v>57</v>
      </c>
      <c r="AL70">
        <f>IFERROR(IF(AU70&lt;($AM$6-$AL$6)/($AN$6-$AL$6),$AL$6+SQRT(AU70*($AN$6-$AL$6)*($AM$6-$AL$6)),$AN$6-SQRT((1-AU70)*($AN$6-$AL$6)*($AN$6-$AM$6))),$AM$6)</f>
        <v/>
      </c>
      <c r="AM70">
        <f>IFERROR(IF(AV70&lt;($AM$7-$AL$7)/($AN$7-$AL$7),$AL$7+SQRT(AV70*($AN$7-$AL$7)*($AM$7-$AL$7)),$AN$7-SQRT((1-AV70)*($AN$7-$AL$7)*($AN$7-$AM$7))),$AM$7)</f>
        <v/>
      </c>
      <c r="AN70">
        <f>IFERROR(IF(AW70&lt;($AM$8-$AL$8)/($AN$8-$AL$8),$AL$8+SQRT(AW70*($AN$8-$AL$8)*($AM$8-$AL$8)),$AN$8-SQRT((1-AW70)*($AN$8-$AL$8)*($AN$8-$AM$8))),$AM$8)</f>
        <v/>
      </c>
      <c r="AO70">
        <f>IFERROR(IF(AX70&lt;($AM$9-$AL$9)/($AN$9-$AL$9),$AL$9+SQRT(AX70*($AN$9-$AL$9)*($AM$9-$AL$9)),$AN$9-SQRT((1-AX70)*($AN$9-$AL$9)*($AN$9-$AM$9))),$AM$9)</f>
        <v/>
      </c>
      <c r="AP70">
        <f>IFERROR(IF(AY70&lt;($AM$10-$AL$10)/($AN$10-$AL$10),$AL$10+SQRT(AY70*($AN$10-$AL$10)*($AM$10-$AL$10)),$AN$10-SQRT((1-AY70)*($AN$10-$AL$10)*($AN$10-$AM$10))),$AM$10)</f>
        <v/>
      </c>
      <c r="AQ70">
        <f>IFERROR(IF(AZ70&lt;($AM$11-$AL$11)/($AN$11-$AL$11),$AL$11+SQRT(AZ70*($AN$11-$AL$11)*($AM$11-$AL$11)),$AN$11-SQRT((1-AZ70)*($AN$11-$AL$11)*($AN$11-$AM$11))),$AM$11)</f>
        <v/>
      </c>
      <c r="AR70">
        <f>SUMPRODUCT((B24:B31&lt;=$B$6)*(C24:C31*AM70+D24:D31*AO70*$B$8*AQ70)/(1+AL70/100)^B24:B31)+C32*AM70*AP70/(1+AL70/100)^$B$6</f>
        <v/>
      </c>
      <c r="AS70">
        <f>SUMPRODUCT((K24:K26&lt;=$B$6)*(L24:L26*AN70+M24:M26*AO70*$B$8*AQ70)/(1+AL70/100)^K24:K26)+L27*AN70*AP70/(1+AL70/100)^$B$6</f>
        <v/>
      </c>
      <c r="AT70">
        <f>AS70-AR70</f>
        <v/>
      </c>
      <c r="AU70">
        <f>RAND()</f>
        <v/>
      </c>
      <c r="AV70">
        <f>RAND()</f>
        <v/>
      </c>
      <c r="AW70">
        <f>RAND()</f>
        <v/>
      </c>
      <c r="AX70">
        <f>RAND()</f>
        <v/>
      </c>
      <c r="AY70">
        <f>RAND()</f>
        <v/>
      </c>
      <c r="AZ70">
        <f>RAND()</f>
        <v/>
      </c>
    </row>
    <row r="71">
      <c r="A71" s="33" t="n">
        <v>3.5</v>
      </c>
      <c r="B71" s="14">
        <f>SUMPRODUCT((B24:B31&lt;=$B$6)*(C24:C31*$B$11+D24:D31*$B$10*$B$8*$B$9)/(1+$A71/100)^B24:B31)+C32*$B$11*$B$13/(1+$A71/100)^$B$6</f>
        <v/>
      </c>
      <c r="C71" s="14">
        <f>SUMPRODUCT((K24:K26&lt;=$B$6)*(L24:L26*$B$12+M24:M26*$B$10*$B$8*$B$9)/(1+$A71/100)^K24:K26)+L27*$B$12*$B$13/(1+$A71/100)^$B$6</f>
        <v/>
      </c>
      <c r="D71" s="14">
        <f>C71-B71</f>
        <v/>
      </c>
      <c r="E71">
        <f>IF(D71&lt;0,"PCC","HMA")</f>
        <v/>
      </c>
      <c r="AK71" t="n">
        <v>58</v>
      </c>
      <c r="AL71">
        <f>IFERROR(IF(AU71&lt;($AM$6-$AL$6)/($AN$6-$AL$6),$AL$6+SQRT(AU71*($AN$6-$AL$6)*($AM$6-$AL$6)),$AN$6-SQRT((1-AU71)*($AN$6-$AL$6)*($AN$6-$AM$6))),$AM$6)</f>
        <v/>
      </c>
      <c r="AM71">
        <f>IFERROR(IF(AV71&lt;($AM$7-$AL$7)/($AN$7-$AL$7),$AL$7+SQRT(AV71*($AN$7-$AL$7)*($AM$7-$AL$7)),$AN$7-SQRT((1-AV71)*($AN$7-$AL$7)*($AN$7-$AM$7))),$AM$7)</f>
        <v/>
      </c>
      <c r="AN71">
        <f>IFERROR(IF(AW71&lt;($AM$8-$AL$8)/($AN$8-$AL$8),$AL$8+SQRT(AW71*($AN$8-$AL$8)*($AM$8-$AL$8)),$AN$8-SQRT((1-AW71)*($AN$8-$AL$8)*($AN$8-$AM$8))),$AM$8)</f>
        <v/>
      </c>
      <c r="AO71">
        <f>IFERROR(IF(AX71&lt;($AM$9-$AL$9)/($AN$9-$AL$9),$AL$9+SQRT(AX71*($AN$9-$AL$9)*($AM$9-$AL$9)),$AN$9-SQRT((1-AX71)*($AN$9-$AL$9)*($AN$9-$AM$9))),$AM$9)</f>
        <v/>
      </c>
      <c r="AP71">
        <f>IFERROR(IF(AY71&lt;($AM$10-$AL$10)/($AN$10-$AL$10),$AL$10+SQRT(AY71*($AN$10-$AL$10)*($AM$10-$AL$10)),$AN$10-SQRT((1-AY71)*($AN$10-$AL$10)*($AN$10-$AM$10))),$AM$10)</f>
        <v/>
      </c>
      <c r="AQ71">
        <f>IFERROR(IF(AZ71&lt;($AM$11-$AL$11)/($AN$11-$AL$11),$AL$11+SQRT(AZ71*($AN$11-$AL$11)*($AM$11-$AL$11)),$AN$11-SQRT((1-AZ71)*($AN$11-$AL$11)*($AN$11-$AM$11))),$AM$11)</f>
        <v/>
      </c>
      <c r="AR71">
        <f>SUMPRODUCT((B24:B31&lt;=$B$6)*(C24:C31*AM71+D24:D31*AO71*$B$8*AQ71)/(1+AL71/100)^B24:B31)+C32*AM71*AP71/(1+AL71/100)^$B$6</f>
        <v/>
      </c>
      <c r="AS71">
        <f>SUMPRODUCT((K24:K26&lt;=$B$6)*(L24:L26*AN71+M24:M26*AO71*$B$8*AQ71)/(1+AL71/100)^K24:K26)+L27*AN71*AP71/(1+AL71/100)^$B$6</f>
        <v/>
      </c>
      <c r="AT71">
        <f>AS71-AR71</f>
        <v/>
      </c>
      <c r="AU71">
        <f>RAND()</f>
        <v/>
      </c>
      <c r="AV71">
        <f>RAND()</f>
        <v/>
      </c>
      <c r="AW71">
        <f>RAND()</f>
        <v/>
      </c>
      <c r="AX71">
        <f>RAND()</f>
        <v/>
      </c>
      <c r="AY71">
        <f>RAND()</f>
        <v/>
      </c>
      <c r="AZ71">
        <f>RAND()</f>
        <v/>
      </c>
    </row>
    <row r="72">
      <c r="A72" s="33" t="n">
        <v>3.75</v>
      </c>
      <c r="B72" s="14">
        <f>SUMPRODUCT((B24:B31&lt;=$B$6)*(C24:C31*$B$11+D24:D31*$B$10*$B$8*$B$9)/(1+$A72/100)^B24:B31)+C32*$B$11*$B$13/(1+$A72/100)^$B$6</f>
        <v/>
      </c>
      <c r="C72" s="14">
        <f>SUMPRODUCT((K24:K26&lt;=$B$6)*(L24:L26*$B$12+M24:M26*$B$10*$B$8*$B$9)/(1+$A72/100)^K24:K26)+L27*$B$12*$B$13/(1+$A72/100)^$B$6</f>
        <v/>
      </c>
      <c r="D72" s="14">
        <f>C72-B72</f>
        <v/>
      </c>
      <c r="E72">
        <f>IF(D72&lt;0,"PCC","HMA")</f>
        <v/>
      </c>
      <c r="AK72" t="n">
        <v>59</v>
      </c>
      <c r="AL72">
        <f>IFERROR(IF(AU72&lt;($AM$6-$AL$6)/($AN$6-$AL$6),$AL$6+SQRT(AU72*($AN$6-$AL$6)*($AM$6-$AL$6)),$AN$6-SQRT((1-AU72)*($AN$6-$AL$6)*($AN$6-$AM$6))),$AM$6)</f>
        <v/>
      </c>
      <c r="AM72">
        <f>IFERROR(IF(AV72&lt;($AM$7-$AL$7)/($AN$7-$AL$7),$AL$7+SQRT(AV72*($AN$7-$AL$7)*($AM$7-$AL$7)),$AN$7-SQRT((1-AV72)*($AN$7-$AL$7)*($AN$7-$AM$7))),$AM$7)</f>
        <v/>
      </c>
      <c r="AN72">
        <f>IFERROR(IF(AW72&lt;($AM$8-$AL$8)/($AN$8-$AL$8),$AL$8+SQRT(AW72*($AN$8-$AL$8)*($AM$8-$AL$8)),$AN$8-SQRT((1-AW72)*($AN$8-$AL$8)*($AN$8-$AM$8))),$AM$8)</f>
        <v/>
      </c>
      <c r="AO72">
        <f>IFERROR(IF(AX72&lt;($AM$9-$AL$9)/($AN$9-$AL$9),$AL$9+SQRT(AX72*($AN$9-$AL$9)*($AM$9-$AL$9)),$AN$9-SQRT((1-AX72)*($AN$9-$AL$9)*($AN$9-$AM$9))),$AM$9)</f>
        <v/>
      </c>
      <c r="AP72">
        <f>IFERROR(IF(AY72&lt;($AM$10-$AL$10)/($AN$10-$AL$10),$AL$10+SQRT(AY72*($AN$10-$AL$10)*($AM$10-$AL$10)),$AN$10-SQRT((1-AY72)*($AN$10-$AL$10)*($AN$10-$AM$10))),$AM$10)</f>
        <v/>
      </c>
      <c r="AQ72">
        <f>IFERROR(IF(AZ72&lt;($AM$11-$AL$11)/($AN$11-$AL$11),$AL$11+SQRT(AZ72*($AN$11-$AL$11)*($AM$11-$AL$11)),$AN$11-SQRT((1-AZ72)*($AN$11-$AL$11)*($AN$11-$AM$11))),$AM$11)</f>
        <v/>
      </c>
      <c r="AR72">
        <f>SUMPRODUCT((B24:B31&lt;=$B$6)*(C24:C31*AM72+D24:D31*AO72*$B$8*AQ72)/(1+AL72/100)^B24:B31)+C32*AM72*AP72/(1+AL72/100)^$B$6</f>
        <v/>
      </c>
      <c r="AS72">
        <f>SUMPRODUCT((K24:K26&lt;=$B$6)*(L24:L26*AN72+M24:M26*AO72*$B$8*AQ72)/(1+AL72/100)^K24:K26)+L27*AN72*AP72/(1+AL72/100)^$B$6</f>
        <v/>
      </c>
      <c r="AT72">
        <f>AS72-AR72</f>
        <v/>
      </c>
      <c r="AU72">
        <f>RAND()</f>
        <v/>
      </c>
      <c r="AV72">
        <f>RAND()</f>
        <v/>
      </c>
      <c r="AW72">
        <f>RAND()</f>
        <v/>
      </c>
      <c r="AX72">
        <f>RAND()</f>
        <v/>
      </c>
      <c r="AY72">
        <f>RAND()</f>
        <v/>
      </c>
      <c r="AZ72">
        <f>RAND()</f>
        <v/>
      </c>
    </row>
    <row r="73">
      <c r="A73" s="33" t="n">
        <v>4</v>
      </c>
      <c r="B73" s="14">
        <f>SUMPRODUCT((B24:B31&lt;=$B$6)*(C24:C31*$B$11+D24:D31*$B$10*$B$8*$B$9)/(1+$A73/100)^B24:B31)+C32*$B$11*$B$13/(1+$A73/100)^$B$6</f>
        <v/>
      </c>
      <c r="C73" s="14">
        <f>SUMPRODUCT((K24:K26&lt;=$B$6)*(L24:L26*$B$12+M24:M26*$B$10*$B$8*$B$9)/(1+$A73/100)^K24:K26)+L27*$B$12*$B$13/(1+$A73/100)^$B$6</f>
        <v/>
      </c>
      <c r="D73" s="14">
        <f>C73-B73</f>
        <v/>
      </c>
      <c r="E73">
        <f>IF(D73&lt;0,"PCC","HMA")</f>
        <v/>
      </c>
      <c r="AK73" t="n">
        <v>60</v>
      </c>
      <c r="AL73">
        <f>IFERROR(IF(AU73&lt;($AM$6-$AL$6)/($AN$6-$AL$6),$AL$6+SQRT(AU73*($AN$6-$AL$6)*($AM$6-$AL$6)),$AN$6-SQRT((1-AU73)*($AN$6-$AL$6)*($AN$6-$AM$6))),$AM$6)</f>
        <v/>
      </c>
      <c r="AM73">
        <f>IFERROR(IF(AV73&lt;($AM$7-$AL$7)/($AN$7-$AL$7),$AL$7+SQRT(AV73*($AN$7-$AL$7)*($AM$7-$AL$7)),$AN$7-SQRT((1-AV73)*($AN$7-$AL$7)*($AN$7-$AM$7))),$AM$7)</f>
        <v/>
      </c>
      <c r="AN73">
        <f>IFERROR(IF(AW73&lt;($AM$8-$AL$8)/($AN$8-$AL$8),$AL$8+SQRT(AW73*($AN$8-$AL$8)*($AM$8-$AL$8)),$AN$8-SQRT((1-AW73)*($AN$8-$AL$8)*($AN$8-$AM$8))),$AM$8)</f>
        <v/>
      </c>
      <c r="AO73">
        <f>IFERROR(IF(AX73&lt;($AM$9-$AL$9)/($AN$9-$AL$9),$AL$9+SQRT(AX73*($AN$9-$AL$9)*($AM$9-$AL$9)),$AN$9-SQRT((1-AX73)*($AN$9-$AL$9)*($AN$9-$AM$9))),$AM$9)</f>
        <v/>
      </c>
      <c r="AP73">
        <f>IFERROR(IF(AY73&lt;($AM$10-$AL$10)/($AN$10-$AL$10),$AL$10+SQRT(AY73*($AN$10-$AL$10)*($AM$10-$AL$10)),$AN$10-SQRT((1-AY73)*($AN$10-$AL$10)*($AN$10-$AM$10))),$AM$10)</f>
        <v/>
      </c>
      <c r="AQ73">
        <f>IFERROR(IF(AZ73&lt;($AM$11-$AL$11)/($AN$11-$AL$11),$AL$11+SQRT(AZ73*($AN$11-$AL$11)*($AM$11-$AL$11)),$AN$11-SQRT((1-AZ73)*($AN$11-$AL$11)*($AN$11-$AM$11))),$AM$11)</f>
        <v/>
      </c>
      <c r="AR73">
        <f>SUMPRODUCT((B24:B31&lt;=$B$6)*(C24:C31*AM73+D24:D31*AO73*$B$8*AQ73)/(1+AL73/100)^B24:B31)+C32*AM73*AP73/(1+AL73/100)^$B$6</f>
        <v/>
      </c>
      <c r="AS73">
        <f>SUMPRODUCT((K24:K26&lt;=$B$6)*(L24:L26*AN73+M24:M26*AO73*$B$8*AQ73)/(1+AL73/100)^K24:K26)+L27*AN73*AP73/(1+AL73/100)^$B$6</f>
        <v/>
      </c>
      <c r="AT73">
        <f>AS73-AR73</f>
        <v/>
      </c>
      <c r="AU73">
        <f>RAND()</f>
        <v/>
      </c>
      <c r="AV73">
        <f>RAND()</f>
        <v/>
      </c>
      <c r="AW73">
        <f>RAND()</f>
        <v/>
      </c>
      <c r="AX73">
        <f>RAND()</f>
        <v/>
      </c>
      <c r="AY73">
        <f>RAND()</f>
        <v/>
      </c>
      <c r="AZ73">
        <f>RAND()</f>
        <v/>
      </c>
    </row>
    <row r="74">
      <c r="A74" s="33" t="n">
        <v>4.25</v>
      </c>
      <c r="B74" s="14">
        <f>SUMPRODUCT((B24:B31&lt;=$B$6)*(C24:C31*$B$11+D24:D31*$B$10*$B$8*$B$9)/(1+$A74/100)^B24:B31)+C32*$B$11*$B$13/(1+$A74/100)^$B$6</f>
        <v/>
      </c>
      <c r="C74" s="14">
        <f>SUMPRODUCT((K24:K26&lt;=$B$6)*(L24:L26*$B$12+M24:M26*$B$10*$B$8*$B$9)/(1+$A74/100)^K24:K26)+L27*$B$12*$B$13/(1+$A74/100)^$B$6</f>
        <v/>
      </c>
      <c r="D74" s="14">
        <f>C74-B74</f>
        <v/>
      </c>
      <c r="E74">
        <f>IF(D74&lt;0,"PCC","HMA")</f>
        <v/>
      </c>
      <c r="AK74" t="n">
        <v>61</v>
      </c>
      <c r="AL74">
        <f>IFERROR(IF(AU74&lt;($AM$6-$AL$6)/($AN$6-$AL$6),$AL$6+SQRT(AU74*($AN$6-$AL$6)*($AM$6-$AL$6)),$AN$6-SQRT((1-AU74)*($AN$6-$AL$6)*($AN$6-$AM$6))),$AM$6)</f>
        <v/>
      </c>
      <c r="AM74">
        <f>IFERROR(IF(AV74&lt;($AM$7-$AL$7)/($AN$7-$AL$7),$AL$7+SQRT(AV74*($AN$7-$AL$7)*($AM$7-$AL$7)),$AN$7-SQRT((1-AV74)*($AN$7-$AL$7)*($AN$7-$AM$7))),$AM$7)</f>
        <v/>
      </c>
      <c r="AN74">
        <f>IFERROR(IF(AW74&lt;($AM$8-$AL$8)/($AN$8-$AL$8),$AL$8+SQRT(AW74*($AN$8-$AL$8)*($AM$8-$AL$8)),$AN$8-SQRT((1-AW74)*($AN$8-$AL$8)*($AN$8-$AM$8))),$AM$8)</f>
        <v/>
      </c>
      <c r="AO74">
        <f>IFERROR(IF(AX74&lt;($AM$9-$AL$9)/($AN$9-$AL$9),$AL$9+SQRT(AX74*($AN$9-$AL$9)*($AM$9-$AL$9)),$AN$9-SQRT((1-AX74)*($AN$9-$AL$9)*($AN$9-$AM$9))),$AM$9)</f>
        <v/>
      </c>
      <c r="AP74">
        <f>IFERROR(IF(AY74&lt;($AM$10-$AL$10)/($AN$10-$AL$10),$AL$10+SQRT(AY74*($AN$10-$AL$10)*($AM$10-$AL$10)),$AN$10-SQRT((1-AY74)*($AN$10-$AL$10)*($AN$10-$AM$10))),$AM$10)</f>
        <v/>
      </c>
      <c r="AQ74">
        <f>IFERROR(IF(AZ74&lt;($AM$11-$AL$11)/($AN$11-$AL$11),$AL$11+SQRT(AZ74*($AN$11-$AL$11)*($AM$11-$AL$11)),$AN$11-SQRT((1-AZ74)*($AN$11-$AL$11)*($AN$11-$AM$11))),$AM$11)</f>
        <v/>
      </c>
      <c r="AR74">
        <f>SUMPRODUCT((B24:B31&lt;=$B$6)*(C24:C31*AM74+D24:D31*AO74*$B$8*AQ74)/(1+AL74/100)^B24:B31)+C32*AM74*AP74/(1+AL74/100)^$B$6</f>
        <v/>
      </c>
      <c r="AS74">
        <f>SUMPRODUCT((K24:K26&lt;=$B$6)*(L24:L26*AN74+M24:M26*AO74*$B$8*AQ74)/(1+AL74/100)^K24:K26)+L27*AN74*AP74/(1+AL74/100)^$B$6</f>
        <v/>
      </c>
      <c r="AT74">
        <f>AS74-AR74</f>
        <v/>
      </c>
      <c r="AU74">
        <f>RAND()</f>
        <v/>
      </c>
      <c r="AV74">
        <f>RAND()</f>
        <v/>
      </c>
      <c r="AW74">
        <f>RAND()</f>
        <v/>
      </c>
      <c r="AX74">
        <f>RAND()</f>
        <v/>
      </c>
      <c r="AY74">
        <f>RAND()</f>
        <v/>
      </c>
      <c r="AZ74">
        <f>RAND()</f>
        <v/>
      </c>
    </row>
    <row r="75">
      <c r="A75" s="33" t="n">
        <v>4.5</v>
      </c>
      <c r="B75" s="14">
        <f>SUMPRODUCT((B24:B31&lt;=$B$6)*(C24:C31*$B$11+D24:D31*$B$10*$B$8*$B$9)/(1+$A75/100)^B24:B31)+C32*$B$11*$B$13/(1+$A75/100)^$B$6</f>
        <v/>
      </c>
      <c r="C75" s="14">
        <f>SUMPRODUCT((K24:K26&lt;=$B$6)*(L24:L26*$B$12+M24:M26*$B$10*$B$8*$B$9)/(1+$A75/100)^K24:K26)+L27*$B$12*$B$13/(1+$A75/100)^$B$6</f>
        <v/>
      </c>
      <c r="D75" s="14">
        <f>C75-B75</f>
        <v/>
      </c>
      <c r="E75">
        <f>IF(D75&lt;0,"PCC","HMA")</f>
        <v/>
      </c>
      <c r="AK75" t="n">
        <v>62</v>
      </c>
      <c r="AL75">
        <f>IFERROR(IF(AU75&lt;($AM$6-$AL$6)/($AN$6-$AL$6),$AL$6+SQRT(AU75*($AN$6-$AL$6)*($AM$6-$AL$6)),$AN$6-SQRT((1-AU75)*($AN$6-$AL$6)*($AN$6-$AM$6))),$AM$6)</f>
        <v/>
      </c>
      <c r="AM75">
        <f>IFERROR(IF(AV75&lt;($AM$7-$AL$7)/($AN$7-$AL$7),$AL$7+SQRT(AV75*($AN$7-$AL$7)*($AM$7-$AL$7)),$AN$7-SQRT((1-AV75)*($AN$7-$AL$7)*($AN$7-$AM$7))),$AM$7)</f>
        <v/>
      </c>
      <c r="AN75">
        <f>IFERROR(IF(AW75&lt;($AM$8-$AL$8)/($AN$8-$AL$8),$AL$8+SQRT(AW75*($AN$8-$AL$8)*($AM$8-$AL$8)),$AN$8-SQRT((1-AW75)*($AN$8-$AL$8)*($AN$8-$AM$8))),$AM$8)</f>
        <v/>
      </c>
      <c r="AO75">
        <f>IFERROR(IF(AX75&lt;($AM$9-$AL$9)/($AN$9-$AL$9),$AL$9+SQRT(AX75*($AN$9-$AL$9)*($AM$9-$AL$9)),$AN$9-SQRT((1-AX75)*($AN$9-$AL$9)*($AN$9-$AM$9))),$AM$9)</f>
        <v/>
      </c>
      <c r="AP75">
        <f>IFERROR(IF(AY75&lt;($AM$10-$AL$10)/($AN$10-$AL$10),$AL$10+SQRT(AY75*($AN$10-$AL$10)*($AM$10-$AL$10)),$AN$10-SQRT((1-AY75)*($AN$10-$AL$10)*($AN$10-$AM$10))),$AM$10)</f>
        <v/>
      </c>
      <c r="AQ75">
        <f>IFERROR(IF(AZ75&lt;($AM$11-$AL$11)/($AN$11-$AL$11),$AL$11+SQRT(AZ75*($AN$11-$AL$11)*($AM$11-$AL$11)),$AN$11-SQRT((1-AZ75)*($AN$11-$AL$11)*($AN$11-$AM$11))),$AM$11)</f>
        <v/>
      </c>
      <c r="AR75">
        <f>SUMPRODUCT((B24:B31&lt;=$B$6)*(C24:C31*AM75+D24:D31*AO75*$B$8*AQ75)/(1+AL75/100)^B24:B31)+C32*AM75*AP75/(1+AL75/100)^$B$6</f>
        <v/>
      </c>
      <c r="AS75">
        <f>SUMPRODUCT((K24:K26&lt;=$B$6)*(L24:L26*AN75+M24:M26*AO75*$B$8*AQ75)/(1+AL75/100)^K24:K26)+L27*AN75*AP75/(1+AL75/100)^$B$6</f>
        <v/>
      </c>
      <c r="AT75">
        <f>AS75-AR75</f>
        <v/>
      </c>
      <c r="AU75">
        <f>RAND()</f>
        <v/>
      </c>
      <c r="AV75">
        <f>RAND()</f>
        <v/>
      </c>
      <c r="AW75">
        <f>RAND()</f>
        <v/>
      </c>
      <c r="AX75">
        <f>RAND()</f>
        <v/>
      </c>
      <c r="AY75">
        <f>RAND()</f>
        <v/>
      </c>
      <c r="AZ75">
        <f>RAND()</f>
        <v/>
      </c>
    </row>
    <row r="76">
      <c r="A76" s="33" t="n">
        <v>4.75</v>
      </c>
      <c r="B76" s="14">
        <f>SUMPRODUCT((B24:B31&lt;=$B$6)*(C24:C31*$B$11+D24:D31*$B$10*$B$8*$B$9)/(1+$A76/100)^B24:B31)+C32*$B$11*$B$13/(1+$A76/100)^$B$6</f>
        <v/>
      </c>
      <c r="C76" s="14">
        <f>SUMPRODUCT((K24:K26&lt;=$B$6)*(L24:L26*$B$12+M24:M26*$B$10*$B$8*$B$9)/(1+$A76/100)^K24:K26)+L27*$B$12*$B$13/(1+$A76/100)^$B$6</f>
        <v/>
      </c>
      <c r="D76" s="14">
        <f>C76-B76</f>
        <v/>
      </c>
      <c r="E76">
        <f>IF(D76&lt;0,"PCC","HMA")</f>
        <v/>
      </c>
      <c r="AK76" t="n">
        <v>63</v>
      </c>
      <c r="AL76">
        <f>IFERROR(IF(AU76&lt;($AM$6-$AL$6)/($AN$6-$AL$6),$AL$6+SQRT(AU76*($AN$6-$AL$6)*($AM$6-$AL$6)),$AN$6-SQRT((1-AU76)*($AN$6-$AL$6)*($AN$6-$AM$6))),$AM$6)</f>
        <v/>
      </c>
      <c r="AM76">
        <f>IFERROR(IF(AV76&lt;($AM$7-$AL$7)/($AN$7-$AL$7),$AL$7+SQRT(AV76*($AN$7-$AL$7)*($AM$7-$AL$7)),$AN$7-SQRT((1-AV76)*($AN$7-$AL$7)*($AN$7-$AM$7))),$AM$7)</f>
        <v/>
      </c>
      <c r="AN76">
        <f>IFERROR(IF(AW76&lt;($AM$8-$AL$8)/($AN$8-$AL$8),$AL$8+SQRT(AW76*($AN$8-$AL$8)*($AM$8-$AL$8)),$AN$8-SQRT((1-AW76)*($AN$8-$AL$8)*($AN$8-$AM$8))),$AM$8)</f>
        <v/>
      </c>
      <c r="AO76">
        <f>IFERROR(IF(AX76&lt;($AM$9-$AL$9)/($AN$9-$AL$9),$AL$9+SQRT(AX76*($AN$9-$AL$9)*($AM$9-$AL$9)),$AN$9-SQRT((1-AX76)*($AN$9-$AL$9)*($AN$9-$AM$9))),$AM$9)</f>
        <v/>
      </c>
      <c r="AP76">
        <f>IFERROR(IF(AY76&lt;($AM$10-$AL$10)/($AN$10-$AL$10),$AL$10+SQRT(AY76*($AN$10-$AL$10)*($AM$10-$AL$10)),$AN$10-SQRT((1-AY76)*($AN$10-$AL$10)*($AN$10-$AM$10))),$AM$10)</f>
        <v/>
      </c>
      <c r="AQ76">
        <f>IFERROR(IF(AZ76&lt;($AM$11-$AL$11)/($AN$11-$AL$11),$AL$11+SQRT(AZ76*($AN$11-$AL$11)*($AM$11-$AL$11)),$AN$11-SQRT((1-AZ76)*($AN$11-$AL$11)*($AN$11-$AM$11))),$AM$11)</f>
        <v/>
      </c>
      <c r="AR76">
        <f>SUMPRODUCT((B24:B31&lt;=$B$6)*(C24:C31*AM76+D24:D31*AO76*$B$8*AQ76)/(1+AL76/100)^B24:B31)+C32*AM76*AP76/(1+AL76/100)^$B$6</f>
        <v/>
      </c>
      <c r="AS76">
        <f>SUMPRODUCT((K24:K26&lt;=$B$6)*(L24:L26*AN76+M24:M26*AO76*$B$8*AQ76)/(1+AL76/100)^K24:K26)+L27*AN76*AP76/(1+AL76/100)^$B$6</f>
        <v/>
      </c>
      <c r="AT76">
        <f>AS76-AR76</f>
        <v/>
      </c>
      <c r="AU76">
        <f>RAND()</f>
        <v/>
      </c>
      <c r="AV76">
        <f>RAND()</f>
        <v/>
      </c>
      <c r="AW76">
        <f>RAND()</f>
        <v/>
      </c>
      <c r="AX76">
        <f>RAND()</f>
        <v/>
      </c>
      <c r="AY76">
        <f>RAND()</f>
        <v/>
      </c>
      <c r="AZ76">
        <f>RAND()</f>
        <v/>
      </c>
    </row>
    <row r="77">
      <c r="A77" s="33" t="n">
        <v>5</v>
      </c>
      <c r="B77" s="14">
        <f>SUMPRODUCT((B24:B31&lt;=$B$6)*(C24:C31*$B$11+D24:D31*$B$10*$B$8*$B$9)/(1+$A77/100)^B24:B31)+C32*$B$11*$B$13/(1+$A77/100)^$B$6</f>
        <v/>
      </c>
      <c r="C77" s="14">
        <f>SUMPRODUCT((K24:K26&lt;=$B$6)*(L24:L26*$B$12+M24:M26*$B$10*$B$8*$B$9)/(1+$A77/100)^K24:K26)+L27*$B$12*$B$13/(1+$A77/100)^$B$6</f>
        <v/>
      </c>
      <c r="D77" s="14">
        <f>C77-B77</f>
        <v/>
      </c>
      <c r="E77">
        <f>IF(D77&lt;0,"PCC","HMA")</f>
        <v/>
      </c>
      <c r="AK77" t="n">
        <v>64</v>
      </c>
      <c r="AL77">
        <f>IFERROR(IF(AU77&lt;($AM$6-$AL$6)/($AN$6-$AL$6),$AL$6+SQRT(AU77*($AN$6-$AL$6)*($AM$6-$AL$6)),$AN$6-SQRT((1-AU77)*($AN$6-$AL$6)*($AN$6-$AM$6))),$AM$6)</f>
        <v/>
      </c>
      <c r="AM77">
        <f>IFERROR(IF(AV77&lt;($AM$7-$AL$7)/($AN$7-$AL$7),$AL$7+SQRT(AV77*($AN$7-$AL$7)*($AM$7-$AL$7)),$AN$7-SQRT((1-AV77)*($AN$7-$AL$7)*($AN$7-$AM$7))),$AM$7)</f>
        <v/>
      </c>
      <c r="AN77">
        <f>IFERROR(IF(AW77&lt;($AM$8-$AL$8)/($AN$8-$AL$8),$AL$8+SQRT(AW77*($AN$8-$AL$8)*($AM$8-$AL$8)),$AN$8-SQRT((1-AW77)*($AN$8-$AL$8)*($AN$8-$AM$8))),$AM$8)</f>
        <v/>
      </c>
      <c r="AO77">
        <f>IFERROR(IF(AX77&lt;($AM$9-$AL$9)/($AN$9-$AL$9),$AL$9+SQRT(AX77*($AN$9-$AL$9)*($AM$9-$AL$9)),$AN$9-SQRT((1-AX77)*($AN$9-$AL$9)*($AN$9-$AM$9))),$AM$9)</f>
        <v/>
      </c>
      <c r="AP77">
        <f>IFERROR(IF(AY77&lt;($AM$10-$AL$10)/($AN$10-$AL$10),$AL$10+SQRT(AY77*($AN$10-$AL$10)*($AM$10-$AL$10)),$AN$10-SQRT((1-AY77)*($AN$10-$AL$10)*($AN$10-$AM$10))),$AM$10)</f>
        <v/>
      </c>
      <c r="AQ77">
        <f>IFERROR(IF(AZ77&lt;($AM$11-$AL$11)/($AN$11-$AL$11),$AL$11+SQRT(AZ77*($AN$11-$AL$11)*($AM$11-$AL$11)),$AN$11-SQRT((1-AZ77)*($AN$11-$AL$11)*($AN$11-$AM$11))),$AM$11)</f>
        <v/>
      </c>
      <c r="AR77">
        <f>SUMPRODUCT((B24:B31&lt;=$B$6)*(C24:C31*AM77+D24:D31*AO77*$B$8*AQ77)/(1+AL77/100)^B24:B31)+C32*AM77*AP77/(1+AL77/100)^$B$6</f>
        <v/>
      </c>
      <c r="AS77">
        <f>SUMPRODUCT((K24:K26&lt;=$B$6)*(L24:L26*AN77+M24:M26*AO77*$B$8*AQ77)/(1+AL77/100)^K24:K26)+L27*AN77*AP77/(1+AL77/100)^$B$6</f>
        <v/>
      </c>
      <c r="AT77">
        <f>AS77-AR77</f>
        <v/>
      </c>
      <c r="AU77">
        <f>RAND()</f>
        <v/>
      </c>
      <c r="AV77">
        <f>RAND()</f>
        <v/>
      </c>
      <c r="AW77">
        <f>RAND()</f>
        <v/>
      </c>
      <c r="AX77">
        <f>RAND()</f>
        <v/>
      </c>
      <c r="AY77">
        <f>RAND()</f>
        <v/>
      </c>
      <c r="AZ77">
        <f>RAND()</f>
        <v/>
      </c>
    </row>
    <row r="78">
      <c r="A78" s="33" t="n">
        <v>5.25</v>
      </c>
      <c r="B78" s="14">
        <f>SUMPRODUCT((B24:B31&lt;=$B$6)*(C24:C31*$B$11+D24:D31*$B$10*$B$8*$B$9)/(1+$A78/100)^B24:B31)+C32*$B$11*$B$13/(1+$A78/100)^$B$6</f>
        <v/>
      </c>
      <c r="C78" s="14">
        <f>SUMPRODUCT((K24:K26&lt;=$B$6)*(L24:L26*$B$12+M24:M26*$B$10*$B$8*$B$9)/(1+$A78/100)^K24:K26)+L27*$B$12*$B$13/(1+$A78/100)^$B$6</f>
        <v/>
      </c>
      <c r="D78" s="14">
        <f>C78-B78</f>
        <v/>
      </c>
      <c r="E78">
        <f>IF(D78&lt;0,"PCC","HMA")</f>
        <v/>
      </c>
      <c r="AK78" t="n">
        <v>65</v>
      </c>
      <c r="AL78">
        <f>IFERROR(IF(AU78&lt;($AM$6-$AL$6)/($AN$6-$AL$6),$AL$6+SQRT(AU78*($AN$6-$AL$6)*($AM$6-$AL$6)),$AN$6-SQRT((1-AU78)*($AN$6-$AL$6)*($AN$6-$AM$6))),$AM$6)</f>
        <v/>
      </c>
      <c r="AM78">
        <f>IFERROR(IF(AV78&lt;($AM$7-$AL$7)/($AN$7-$AL$7),$AL$7+SQRT(AV78*($AN$7-$AL$7)*($AM$7-$AL$7)),$AN$7-SQRT((1-AV78)*($AN$7-$AL$7)*($AN$7-$AM$7))),$AM$7)</f>
        <v/>
      </c>
      <c r="AN78">
        <f>IFERROR(IF(AW78&lt;($AM$8-$AL$8)/($AN$8-$AL$8),$AL$8+SQRT(AW78*($AN$8-$AL$8)*($AM$8-$AL$8)),$AN$8-SQRT((1-AW78)*($AN$8-$AL$8)*($AN$8-$AM$8))),$AM$8)</f>
        <v/>
      </c>
      <c r="AO78">
        <f>IFERROR(IF(AX78&lt;($AM$9-$AL$9)/($AN$9-$AL$9),$AL$9+SQRT(AX78*($AN$9-$AL$9)*($AM$9-$AL$9)),$AN$9-SQRT((1-AX78)*($AN$9-$AL$9)*($AN$9-$AM$9))),$AM$9)</f>
        <v/>
      </c>
      <c r="AP78">
        <f>IFERROR(IF(AY78&lt;($AM$10-$AL$10)/($AN$10-$AL$10),$AL$10+SQRT(AY78*($AN$10-$AL$10)*($AM$10-$AL$10)),$AN$10-SQRT((1-AY78)*($AN$10-$AL$10)*($AN$10-$AM$10))),$AM$10)</f>
        <v/>
      </c>
      <c r="AQ78">
        <f>IFERROR(IF(AZ78&lt;($AM$11-$AL$11)/($AN$11-$AL$11),$AL$11+SQRT(AZ78*($AN$11-$AL$11)*($AM$11-$AL$11)),$AN$11-SQRT((1-AZ78)*($AN$11-$AL$11)*($AN$11-$AM$11))),$AM$11)</f>
        <v/>
      </c>
      <c r="AR78">
        <f>SUMPRODUCT((B24:B31&lt;=$B$6)*(C24:C31*AM78+D24:D31*AO78*$B$8*AQ78)/(1+AL78/100)^B24:B31)+C32*AM78*AP78/(1+AL78/100)^$B$6</f>
        <v/>
      </c>
      <c r="AS78">
        <f>SUMPRODUCT((K24:K26&lt;=$B$6)*(L24:L26*AN78+M24:M26*AO78*$B$8*AQ78)/(1+AL78/100)^K24:K26)+L27*AN78*AP78/(1+AL78/100)^$B$6</f>
        <v/>
      </c>
      <c r="AT78">
        <f>AS78-AR78</f>
        <v/>
      </c>
      <c r="AU78">
        <f>RAND()</f>
        <v/>
      </c>
      <c r="AV78">
        <f>RAND()</f>
        <v/>
      </c>
      <c r="AW78">
        <f>RAND()</f>
        <v/>
      </c>
      <c r="AX78">
        <f>RAND()</f>
        <v/>
      </c>
      <c r="AY78">
        <f>RAND()</f>
        <v/>
      </c>
      <c r="AZ78">
        <f>RAND()</f>
        <v/>
      </c>
    </row>
    <row r="79">
      <c r="A79" s="33" t="n">
        <v>5.5</v>
      </c>
      <c r="B79" s="14">
        <f>SUMPRODUCT((B24:B31&lt;=$B$6)*(C24:C31*$B$11+D24:D31*$B$10*$B$8*$B$9)/(1+$A79/100)^B24:B31)+C32*$B$11*$B$13/(1+$A79/100)^$B$6</f>
        <v/>
      </c>
      <c r="C79" s="14">
        <f>SUMPRODUCT((K24:K26&lt;=$B$6)*(L24:L26*$B$12+M24:M26*$B$10*$B$8*$B$9)/(1+$A79/100)^K24:K26)+L27*$B$12*$B$13/(1+$A79/100)^$B$6</f>
        <v/>
      </c>
      <c r="D79" s="14">
        <f>C79-B79</f>
        <v/>
      </c>
      <c r="E79">
        <f>IF(D79&lt;0,"PCC","HMA")</f>
        <v/>
      </c>
      <c r="AK79" t="n">
        <v>66</v>
      </c>
      <c r="AL79">
        <f>IFERROR(IF(AU79&lt;($AM$6-$AL$6)/($AN$6-$AL$6),$AL$6+SQRT(AU79*($AN$6-$AL$6)*($AM$6-$AL$6)),$AN$6-SQRT((1-AU79)*($AN$6-$AL$6)*($AN$6-$AM$6))),$AM$6)</f>
        <v/>
      </c>
      <c r="AM79">
        <f>IFERROR(IF(AV79&lt;($AM$7-$AL$7)/($AN$7-$AL$7),$AL$7+SQRT(AV79*($AN$7-$AL$7)*($AM$7-$AL$7)),$AN$7-SQRT((1-AV79)*($AN$7-$AL$7)*($AN$7-$AM$7))),$AM$7)</f>
        <v/>
      </c>
      <c r="AN79">
        <f>IFERROR(IF(AW79&lt;($AM$8-$AL$8)/($AN$8-$AL$8),$AL$8+SQRT(AW79*($AN$8-$AL$8)*($AM$8-$AL$8)),$AN$8-SQRT((1-AW79)*($AN$8-$AL$8)*($AN$8-$AM$8))),$AM$8)</f>
        <v/>
      </c>
      <c r="AO79">
        <f>IFERROR(IF(AX79&lt;($AM$9-$AL$9)/($AN$9-$AL$9),$AL$9+SQRT(AX79*($AN$9-$AL$9)*($AM$9-$AL$9)),$AN$9-SQRT((1-AX79)*($AN$9-$AL$9)*($AN$9-$AM$9))),$AM$9)</f>
        <v/>
      </c>
      <c r="AP79">
        <f>IFERROR(IF(AY79&lt;($AM$10-$AL$10)/($AN$10-$AL$10),$AL$10+SQRT(AY79*($AN$10-$AL$10)*($AM$10-$AL$10)),$AN$10-SQRT((1-AY79)*($AN$10-$AL$10)*($AN$10-$AM$10))),$AM$10)</f>
        <v/>
      </c>
      <c r="AQ79">
        <f>IFERROR(IF(AZ79&lt;($AM$11-$AL$11)/($AN$11-$AL$11),$AL$11+SQRT(AZ79*($AN$11-$AL$11)*($AM$11-$AL$11)),$AN$11-SQRT((1-AZ79)*($AN$11-$AL$11)*($AN$11-$AM$11))),$AM$11)</f>
        <v/>
      </c>
      <c r="AR79">
        <f>SUMPRODUCT((B24:B31&lt;=$B$6)*(C24:C31*AM79+D24:D31*AO79*$B$8*AQ79)/(1+AL79/100)^B24:B31)+C32*AM79*AP79/(1+AL79/100)^$B$6</f>
        <v/>
      </c>
      <c r="AS79">
        <f>SUMPRODUCT((K24:K26&lt;=$B$6)*(L24:L26*AN79+M24:M26*AO79*$B$8*AQ79)/(1+AL79/100)^K24:K26)+L27*AN79*AP79/(1+AL79/100)^$B$6</f>
        <v/>
      </c>
      <c r="AT79">
        <f>AS79-AR79</f>
        <v/>
      </c>
      <c r="AU79">
        <f>RAND()</f>
        <v/>
      </c>
      <c r="AV79">
        <f>RAND()</f>
        <v/>
      </c>
      <c r="AW79">
        <f>RAND()</f>
        <v/>
      </c>
      <c r="AX79">
        <f>RAND()</f>
        <v/>
      </c>
      <c r="AY79">
        <f>RAND()</f>
        <v/>
      </c>
      <c r="AZ79">
        <f>RAND()</f>
        <v/>
      </c>
    </row>
    <row r="80">
      <c r="A80" s="33" t="n">
        <v>5.75</v>
      </c>
      <c r="B80" s="14">
        <f>SUMPRODUCT((B24:B31&lt;=$B$6)*(C24:C31*$B$11+D24:D31*$B$10*$B$8*$B$9)/(1+$A80/100)^B24:B31)+C32*$B$11*$B$13/(1+$A80/100)^$B$6</f>
        <v/>
      </c>
      <c r="C80" s="14">
        <f>SUMPRODUCT((K24:K26&lt;=$B$6)*(L24:L26*$B$12+M24:M26*$B$10*$B$8*$B$9)/(1+$A80/100)^K24:K26)+L27*$B$12*$B$13/(1+$A80/100)^$B$6</f>
        <v/>
      </c>
      <c r="D80" s="14">
        <f>C80-B80</f>
        <v/>
      </c>
      <c r="E80">
        <f>IF(D80&lt;0,"PCC","HMA")</f>
        <v/>
      </c>
      <c r="AK80" t="n">
        <v>67</v>
      </c>
      <c r="AL80">
        <f>IFERROR(IF(AU80&lt;($AM$6-$AL$6)/($AN$6-$AL$6),$AL$6+SQRT(AU80*($AN$6-$AL$6)*($AM$6-$AL$6)),$AN$6-SQRT((1-AU80)*($AN$6-$AL$6)*($AN$6-$AM$6))),$AM$6)</f>
        <v/>
      </c>
      <c r="AM80">
        <f>IFERROR(IF(AV80&lt;($AM$7-$AL$7)/($AN$7-$AL$7),$AL$7+SQRT(AV80*($AN$7-$AL$7)*($AM$7-$AL$7)),$AN$7-SQRT((1-AV80)*($AN$7-$AL$7)*($AN$7-$AM$7))),$AM$7)</f>
        <v/>
      </c>
      <c r="AN80">
        <f>IFERROR(IF(AW80&lt;($AM$8-$AL$8)/($AN$8-$AL$8),$AL$8+SQRT(AW80*($AN$8-$AL$8)*($AM$8-$AL$8)),$AN$8-SQRT((1-AW80)*($AN$8-$AL$8)*($AN$8-$AM$8))),$AM$8)</f>
        <v/>
      </c>
      <c r="AO80">
        <f>IFERROR(IF(AX80&lt;($AM$9-$AL$9)/($AN$9-$AL$9),$AL$9+SQRT(AX80*($AN$9-$AL$9)*($AM$9-$AL$9)),$AN$9-SQRT((1-AX80)*($AN$9-$AL$9)*($AN$9-$AM$9))),$AM$9)</f>
        <v/>
      </c>
      <c r="AP80">
        <f>IFERROR(IF(AY80&lt;($AM$10-$AL$10)/($AN$10-$AL$10),$AL$10+SQRT(AY80*($AN$10-$AL$10)*($AM$10-$AL$10)),$AN$10-SQRT((1-AY80)*($AN$10-$AL$10)*($AN$10-$AM$10))),$AM$10)</f>
        <v/>
      </c>
      <c r="AQ80">
        <f>IFERROR(IF(AZ80&lt;($AM$11-$AL$11)/($AN$11-$AL$11),$AL$11+SQRT(AZ80*($AN$11-$AL$11)*($AM$11-$AL$11)),$AN$11-SQRT((1-AZ80)*($AN$11-$AL$11)*($AN$11-$AM$11))),$AM$11)</f>
        <v/>
      </c>
      <c r="AR80">
        <f>SUMPRODUCT((B24:B31&lt;=$B$6)*(C24:C31*AM80+D24:D31*AO80*$B$8*AQ80)/(1+AL80/100)^B24:B31)+C32*AM80*AP80/(1+AL80/100)^$B$6</f>
        <v/>
      </c>
      <c r="AS80">
        <f>SUMPRODUCT((K24:K26&lt;=$B$6)*(L24:L26*AN80+M24:M26*AO80*$B$8*AQ80)/(1+AL80/100)^K24:K26)+L27*AN80*AP80/(1+AL80/100)^$B$6</f>
        <v/>
      </c>
      <c r="AT80">
        <f>AS80-AR80</f>
        <v/>
      </c>
      <c r="AU80">
        <f>RAND()</f>
        <v/>
      </c>
      <c r="AV80">
        <f>RAND()</f>
        <v/>
      </c>
      <c r="AW80">
        <f>RAND()</f>
        <v/>
      </c>
      <c r="AX80">
        <f>RAND()</f>
        <v/>
      </c>
      <c r="AY80">
        <f>RAND()</f>
        <v/>
      </c>
      <c r="AZ80">
        <f>RAND()</f>
        <v/>
      </c>
    </row>
    <row r="81">
      <c r="A81" s="33" t="n">
        <v>6</v>
      </c>
      <c r="B81" s="14">
        <f>SUMPRODUCT((B24:B31&lt;=$B$6)*(C24:C31*$B$11+D24:D31*$B$10*$B$8*$B$9)/(1+$A81/100)^B24:B31)+C32*$B$11*$B$13/(1+$A81/100)^$B$6</f>
        <v/>
      </c>
      <c r="C81" s="14">
        <f>SUMPRODUCT((K24:K26&lt;=$B$6)*(L24:L26*$B$12+M24:M26*$B$10*$B$8*$B$9)/(1+$A81/100)^K24:K26)+L27*$B$12*$B$13/(1+$A81/100)^$B$6</f>
        <v/>
      </c>
      <c r="D81" s="14">
        <f>C81-B81</f>
        <v/>
      </c>
      <c r="E81">
        <f>IF(D81&lt;0,"PCC","HMA")</f>
        <v/>
      </c>
      <c r="AK81" t="n">
        <v>68</v>
      </c>
      <c r="AL81">
        <f>IFERROR(IF(AU81&lt;($AM$6-$AL$6)/($AN$6-$AL$6),$AL$6+SQRT(AU81*($AN$6-$AL$6)*($AM$6-$AL$6)),$AN$6-SQRT((1-AU81)*($AN$6-$AL$6)*($AN$6-$AM$6))),$AM$6)</f>
        <v/>
      </c>
      <c r="AM81">
        <f>IFERROR(IF(AV81&lt;($AM$7-$AL$7)/($AN$7-$AL$7),$AL$7+SQRT(AV81*($AN$7-$AL$7)*($AM$7-$AL$7)),$AN$7-SQRT((1-AV81)*($AN$7-$AL$7)*($AN$7-$AM$7))),$AM$7)</f>
        <v/>
      </c>
      <c r="AN81">
        <f>IFERROR(IF(AW81&lt;($AM$8-$AL$8)/($AN$8-$AL$8),$AL$8+SQRT(AW81*($AN$8-$AL$8)*($AM$8-$AL$8)),$AN$8-SQRT((1-AW81)*($AN$8-$AL$8)*($AN$8-$AM$8))),$AM$8)</f>
        <v/>
      </c>
      <c r="AO81">
        <f>IFERROR(IF(AX81&lt;($AM$9-$AL$9)/($AN$9-$AL$9),$AL$9+SQRT(AX81*($AN$9-$AL$9)*($AM$9-$AL$9)),$AN$9-SQRT((1-AX81)*($AN$9-$AL$9)*($AN$9-$AM$9))),$AM$9)</f>
        <v/>
      </c>
      <c r="AP81">
        <f>IFERROR(IF(AY81&lt;($AM$10-$AL$10)/($AN$10-$AL$10),$AL$10+SQRT(AY81*($AN$10-$AL$10)*($AM$10-$AL$10)),$AN$10-SQRT((1-AY81)*($AN$10-$AL$10)*($AN$10-$AM$10))),$AM$10)</f>
        <v/>
      </c>
      <c r="AQ81">
        <f>IFERROR(IF(AZ81&lt;($AM$11-$AL$11)/($AN$11-$AL$11),$AL$11+SQRT(AZ81*($AN$11-$AL$11)*($AM$11-$AL$11)),$AN$11-SQRT((1-AZ81)*($AN$11-$AL$11)*($AN$11-$AM$11))),$AM$11)</f>
        <v/>
      </c>
      <c r="AR81">
        <f>SUMPRODUCT((B24:B31&lt;=$B$6)*(C24:C31*AM81+D24:D31*AO81*$B$8*AQ81)/(1+AL81/100)^B24:B31)+C32*AM81*AP81/(1+AL81/100)^$B$6</f>
        <v/>
      </c>
      <c r="AS81">
        <f>SUMPRODUCT((K24:K26&lt;=$B$6)*(L24:L26*AN81+M24:M26*AO81*$B$8*AQ81)/(1+AL81/100)^K24:K26)+L27*AN81*AP81/(1+AL81/100)^$B$6</f>
        <v/>
      </c>
      <c r="AT81">
        <f>AS81-AR81</f>
        <v/>
      </c>
      <c r="AU81">
        <f>RAND()</f>
        <v/>
      </c>
      <c r="AV81">
        <f>RAND()</f>
        <v/>
      </c>
      <c r="AW81">
        <f>RAND()</f>
        <v/>
      </c>
      <c r="AX81">
        <f>RAND()</f>
        <v/>
      </c>
      <c r="AY81">
        <f>RAND()</f>
        <v/>
      </c>
      <c r="AZ81">
        <f>RAND()</f>
        <v/>
      </c>
    </row>
    <row r="82">
      <c r="A82" s="33" t="n">
        <v>6.25</v>
      </c>
      <c r="B82" s="14">
        <f>SUMPRODUCT((B24:B31&lt;=$B$6)*(C24:C31*$B$11+D24:D31*$B$10*$B$8*$B$9)/(1+$A82/100)^B24:B31)+C32*$B$11*$B$13/(1+$A82/100)^$B$6</f>
        <v/>
      </c>
      <c r="C82" s="14">
        <f>SUMPRODUCT((K24:K26&lt;=$B$6)*(L24:L26*$B$12+M24:M26*$B$10*$B$8*$B$9)/(1+$A82/100)^K24:K26)+L27*$B$12*$B$13/(1+$A82/100)^$B$6</f>
        <v/>
      </c>
      <c r="D82" s="14">
        <f>C82-B82</f>
        <v/>
      </c>
      <c r="E82">
        <f>IF(D82&lt;0,"PCC","HMA")</f>
        <v/>
      </c>
      <c r="AK82" t="n">
        <v>69</v>
      </c>
      <c r="AL82">
        <f>IFERROR(IF(AU82&lt;($AM$6-$AL$6)/($AN$6-$AL$6),$AL$6+SQRT(AU82*($AN$6-$AL$6)*($AM$6-$AL$6)),$AN$6-SQRT((1-AU82)*($AN$6-$AL$6)*($AN$6-$AM$6))),$AM$6)</f>
        <v/>
      </c>
      <c r="AM82">
        <f>IFERROR(IF(AV82&lt;($AM$7-$AL$7)/($AN$7-$AL$7),$AL$7+SQRT(AV82*($AN$7-$AL$7)*($AM$7-$AL$7)),$AN$7-SQRT((1-AV82)*($AN$7-$AL$7)*($AN$7-$AM$7))),$AM$7)</f>
        <v/>
      </c>
      <c r="AN82">
        <f>IFERROR(IF(AW82&lt;($AM$8-$AL$8)/($AN$8-$AL$8),$AL$8+SQRT(AW82*($AN$8-$AL$8)*($AM$8-$AL$8)),$AN$8-SQRT((1-AW82)*($AN$8-$AL$8)*($AN$8-$AM$8))),$AM$8)</f>
        <v/>
      </c>
      <c r="AO82">
        <f>IFERROR(IF(AX82&lt;($AM$9-$AL$9)/($AN$9-$AL$9),$AL$9+SQRT(AX82*($AN$9-$AL$9)*($AM$9-$AL$9)),$AN$9-SQRT((1-AX82)*($AN$9-$AL$9)*($AN$9-$AM$9))),$AM$9)</f>
        <v/>
      </c>
      <c r="AP82">
        <f>IFERROR(IF(AY82&lt;($AM$10-$AL$10)/($AN$10-$AL$10),$AL$10+SQRT(AY82*($AN$10-$AL$10)*($AM$10-$AL$10)),$AN$10-SQRT((1-AY82)*($AN$10-$AL$10)*($AN$10-$AM$10))),$AM$10)</f>
        <v/>
      </c>
      <c r="AQ82">
        <f>IFERROR(IF(AZ82&lt;($AM$11-$AL$11)/($AN$11-$AL$11),$AL$11+SQRT(AZ82*($AN$11-$AL$11)*($AM$11-$AL$11)),$AN$11-SQRT((1-AZ82)*($AN$11-$AL$11)*($AN$11-$AM$11))),$AM$11)</f>
        <v/>
      </c>
      <c r="AR82">
        <f>SUMPRODUCT((B24:B31&lt;=$B$6)*(C24:C31*AM82+D24:D31*AO82*$B$8*AQ82)/(1+AL82/100)^B24:B31)+C32*AM82*AP82/(1+AL82/100)^$B$6</f>
        <v/>
      </c>
      <c r="AS82">
        <f>SUMPRODUCT((K24:K26&lt;=$B$6)*(L24:L26*AN82+M24:M26*AO82*$B$8*AQ82)/(1+AL82/100)^K24:K26)+L27*AN82*AP82/(1+AL82/100)^$B$6</f>
        <v/>
      </c>
      <c r="AT82">
        <f>AS82-AR82</f>
        <v/>
      </c>
      <c r="AU82">
        <f>RAND()</f>
        <v/>
      </c>
      <c r="AV82">
        <f>RAND()</f>
        <v/>
      </c>
      <c r="AW82">
        <f>RAND()</f>
        <v/>
      </c>
      <c r="AX82">
        <f>RAND()</f>
        <v/>
      </c>
      <c r="AY82">
        <f>RAND()</f>
        <v/>
      </c>
      <c r="AZ82">
        <f>RAND()</f>
        <v/>
      </c>
    </row>
    <row r="83">
      <c r="A83" s="33" t="n">
        <v>6.5</v>
      </c>
      <c r="B83" s="14">
        <f>SUMPRODUCT((B24:B31&lt;=$B$6)*(C24:C31*$B$11+D24:D31*$B$10*$B$8*$B$9)/(1+$A83/100)^B24:B31)+C32*$B$11*$B$13/(1+$A83/100)^$B$6</f>
        <v/>
      </c>
      <c r="C83" s="14">
        <f>SUMPRODUCT((K24:K26&lt;=$B$6)*(L24:L26*$B$12+M24:M26*$B$10*$B$8*$B$9)/(1+$A83/100)^K24:K26)+L27*$B$12*$B$13/(1+$A83/100)^$B$6</f>
        <v/>
      </c>
      <c r="D83" s="14">
        <f>C83-B83</f>
        <v/>
      </c>
      <c r="E83">
        <f>IF(D83&lt;0,"PCC","HMA")</f>
        <v/>
      </c>
      <c r="AK83" t="n">
        <v>70</v>
      </c>
      <c r="AL83">
        <f>IFERROR(IF(AU83&lt;($AM$6-$AL$6)/($AN$6-$AL$6),$AL$6+SQRT(AU83*($AN$6-$AL$6)*($AM$6-$AL$6)),$AN$6-SQRT((1-AU83)*($AN$6-$AL$6)*($AN$6-$AM$6))),$AM$6)</f>
        <v/>
      </c>
      <c r="AM83">
        <f>IFERROR(IF(AV83&lt;($AM$7-$AL$7)/($AN$7-$AL$7),$AL$7+SQRT(AV83*($AN$7-$AL$7)*($AM$7-$AL$7)),$AN$7-SQRT((1-AV83)*($AN$7-$AL$7)*($AN$7-$AM$7))),$AM$7)</f>
        <v/>
      </c>
      <c r="AN83">
        <f>IFERROR(IF(AW83&lt;($AM$8-$AL$8)/($AN$8-$AL$8),$AL$8+SQRT(AW83*($AN$8-$AL$8)*($AM$8-$AL$8)),$AN$8-SQRT((1-AW83)*($AN$8-$AL$8)*($AN$8-$AM$8))),$AM$8)</f>
        <v/>
      </c>
      <c r="AO83">
        <f>IFERROR(IF(AX83&lt;($AM$9-$AL$9)/($AN$9-$AL$9),$AL$9+SQRT(AX83*($AN$9-$AL$9)*($AM$9-$AL$9)),$AN$9-SQRT((1-AX83)*($AN$9-$AL$9)*($AN$9-$AM$9))),$AM$9)</f>
        <v/>
      </c>
      <c r="AP83">
        <f>IFERROR(IF(AY83&lt;($AM$10-$AL$10)/($AN$10-$AL$10),$AL$10+SQRT(AY83*($AN$10-$AL$10)*($AM$10-$AL$10)),$AN$10-SQRT((1-AY83)*($AN$10-$AL$10)*($AN$10-$AM$10))),$AM$10)</f>
        <v/>
      </c>
      <c r="AQ83">
        <f>IFERROR(IF(AZ83&lt;($AM$11-$AL$11)/($AN$11-$AL$11),$AL$11+SQRT(AZ83*($AN$11-$AL$11)*($AM$11-$AL$11)),$AN$11-SQRT((1-AZ83)*($AN$11-$AL$11)*($AN$11-$AM$11))),$AM$11)</f>
        <v/>
      </c>
      <c r="AR83">
        <f>SUMPRODUCT((B24:B31&lt;=$B$6)*(C24:C31*AM83+D24:D31*AO83*$B$8*AQ83)/(1+AL83/100)^B24:B31)+C32*AM83*AP83/(1+AL83/100)^$B$6</f>
        <v/>
      </c>
      <c r="AS83">
        <f>SUMPRODUCT((K24:K26&lt;=$B$6)*(L24:L26*AN83+M24:M26*AO83*$B$8*AQ83)/(1+AL83/100)^K24:K26)+L27*AN83*AP83/(1+AL83/100)^$B$6</f>
        <v/>
      </c>
      <c r="AT83">
        <f>AS83-AR83</f>
        <v/>
      </c>
      <c r="AU83">
        <f>RAND()</f>
        <v/>
      </c>
      <c r="AV83">
        <f>RAND()</f>
        <v/>
      </c>
      <c r="AW83">
        <f>RAND()</f>
        <v/>
      </c>
      <c r="AX83">
        <f>RAND()</f>
        <v/>
      </c>
      <c r="AY83">
        <f>RAND()</f>
        <v/>
      </c>
      <c r="AZ83">
        <f>RAND()</f>
        <v/>
      </c>
    </row>
    <row r="84">
      <c r="A84" s="33" t="n">
        <v>6.75</v>
      </c>
      <c r="B84" s="14">
        <f>SUMPRODUCT((B24:B31&lt;=$B$6)*(C24:C31*$B$11+D24:D31*$B$10*$B$8*$B$9)/(1+$A84/100)^B24:B31)+C32*$B$11*$B$13/(1+$A84/100)^$B$6</f>
        <v/>
      </c>
      <c r="C84" s="14">
        <f>SUMPRODUCT((K24:K26&lt;=$B$6)*(L24:L26*$B$12+M24:M26*$B$10*$B$8*$B$9)/(1+$A84/100)^K24:K26)+L27*$B$12*$B$13/(1+$A84/100)^$B$6</f>
        <v/>
      </c>
      <c r="D84" s="14">
        <f>C84-B84</f>
        <v/>
      </c>
      <c r="E84">
        <f>IF(D84&lt;0,"PCC","HMA")</f>
        <v/>
      </c>
      <c r="AK84" t="n">
        <v>71</v>
      </c>
      <c r="AL84">
        <f>IFERROR(IF(AU84&lt;($AM$6-$AL$6)/($AN$6-$AL$6),$AL$6+SQRT(AU84*($AN$6-$AL$6)*($AM$6-$AL$6)),$AN$6-SQRT((1-AU84)*($AN$6-$AL$6)*($AN$6-$AM$6))),$AM$6)</f>
        <v/>
      </c>
      <c r="AM84">
        <f>IFERROR(IF(AV84&lt;($AM$7-$AL$7)/($AN$7-$AL$7),$AL$7+SQRT(AV84*($AN$7-$AL$7)*($AM$7-$AL$7)),$AN$7-SQRT((1-AV84)*($AN$7-$AL$7)*($AN$7-$AM$7))),$AM$7)</f>
        <v/>
      </c>
      <c r="AN84">
        <f>IFERROR(IF(AW84&lt;($AM$8-$AL$8)/($AN$8-$AL$8),$AL$8+SQRT(AW84*($AN$8-$AL$8)*($AM$8-$AL$8)),$AN$8-SQRT((1-AW84)*($AN$8-$AL$8)*($AN$8-$AM$8))),$AM$8)</f>
        <v/>
      </c>
      <c r="AO84">
        <f>IFERROR(IF(AX84&lt;($AM$9-$AL$9)/($AN$9-$AL$9),$AL$9+SQRT(AX84*($AN$9-$AL$9)*($AM$9-$AL$9)),$AN$9-SQRT((1-AX84)*($AN$9-$AL$9)*($AN$9-$AM$9))),$AM$9)</f>
        <v/>
      </c>
      <c r="AP84">
        <f>IFERROR(IF(AY84&lt;($AM$10-$AL$10)/($AN$10-$AL$10),$AL$10+SQRT(AY84*($AN$10-$AL$10)*($AM$10-$AL$10)),$AN$10-SQRT((1-AY84)*($AN$10-$AL$10)*($AN$10-$AM$10))),$AM$10)</f>
        <v/>
      </c>
      <c r="AQ84">
        <f>IFERROR(IF(AZ84&lt;($AM$11-$AL$11)/($AN$11-$AL$11),$AL$11+SQRT(AZ84*($AN$11-$AL$11)*($AM$11-$AL$11)),$AN$11-SQRT((1-AZ84)*($AN$11-$AL$11)*($AN$11-$AM$11))),$AM$11)</f>
        <v/>
      </c>
      <c r="AR84">
        <f>SUMPRODUCT((B24:B31&lt;=$B$6)*(C24:C31*AM84+D24:D31*AO84*$B$8*AQ84)/(1+AL84/100)^B24:B31)+C32*AM84*AP84/(1+AL84/100)^$B$6</f>
        <v/>
      </c>
      <c r="AS84">
        <f>SUMPRODUCT((K24:K26&lt;=$B$6)*(L24:L26*AN84+M24:M26*AO84*$B$8*AQ84)/(1+AL84/100)^K24:K26)+L27*AN84*AP84/(1+AL84/100)^$B$6</f>
        <v/>
      </c>
      <c r="AT84">
        <f>AS84-AR84</f>
        <v/>
      </c>
      <c r="AU84">
        <f>RAND()</f>
        <v/>
      </c>
      <c r="AV84">
        <f>RAND()</f>
        <v/>
      </c>
      <c r="AW84">
        <f>RAND()</f>
        <v/>
      </c>
      <c r="AX84">
        <f>RAND()</f>
        <v/>
      </c>
      <c r="AY84">
        <f>RAND()</f>
        <v/>
      </c>
      <c r="AZ84">
        <f>RAND()</f>
        <v/>
      </c>
    </row>
    <row r="85">
      <c r="A85" s="33" t="n">
        <v>7</v>
      </c>
      <c r="B85" s="14">
        <f>SUMPRODUCT((B24:B31&lt;=$B$6)*(C24:C31*$B$11+D24:D31*$B$10*$B$8*$B$9)/(1+$A85/100)^B24:B31)+C32*$B$11*$B$13/(1+$A85/100)^$B$6</f>
        <v/>
      </c>
      <c r="C85" s="14">
        <f>SUMPRODUCT((K24:K26&lt;=$B$6)*(L24:L26*$B$12+M24:M26*$B$10*$B$8*$B$9)/(1+$A85/100)^K24:K26)+L27*$B$12*$B$13/(1+$A85/100)^$B$6</f>
        <v/>
      </c>
      <c r="D85" s="14">
        <f>C85-B85</f>
        <v/>
      </c>
      <c r="E85">
        <f>IF(D85&lt;0,"PCC","HMA")</f>
        <v/>
      </c>
      <c r="AK85" t="n">
        <v>72</v>
      </c>
      <c r="AL85">
        <f>IFERROR(IF(AU85&lt;($AM$6-$AL$6)/($AN$6-$AL$6),$AL$6+SQRT(AU85*($AN$6-$AL$6)*($AM$6-$AL$6)),$AN$6-SQRT((1-AU85)*($AN$6-$AL$6)*($AN$6-$AM$6))),$AM$6)</f>
        <v/>
      </c>
      <c r="AM85">
        <f>IFERROR(IF(AV85&lt;($AM$7-$AL$7)/($AN$7-$AL$7),$AL$7+SQRT(AV85*($AN$7-$AL$7)*($AM$7-$AL$7)),$AN$7-SQRT((1-AV85)*($AN$7-$AL$7)*($AN$7-$AM$7))),$AM$7)</f>
        <v/>
      </c>
      <c r="AN85">
        <f>IFERROR(IF(AW85&lt;($AM$8-$AL$8)/($AN$8-$AL$8),$AL$8+SQRT(AW85*($AN$8-$AL$8)*($AM$8-$AL$8)),$AN$8-SQRT((1-AW85)*($AN$8-$AL$8)*($AN$8-$AM$8))),$AM$8)</f>
        <v/>
      </c>
      <c r="AO85">
        <f>IFERROR(IF(AX85&lt;($AM$9-$AL$9)/($AN$9-$AL$9),$AL$9+SQRT(AX85*($AN$9-$AL$9)*($AM$9-$AL$9)),$AN$9-SQRT((1-AX85)*($AN$9-$AL$9)*($AN$9-$AM$9))),$AM$9)</f>
        <v/>
      </c>
      <c r="AP85">
        <f>IFERROR(IF(AY85&lt;($AM$10-$AL$10)/($AN$10-$AL$10),$AL$10+SQRT(AY85*($AN$10-$AL$10)*($AM$10-$AL$10)),$AN$10-SQRT((1-AY85)*($AN$10-$AL$10)*($AN$10-$AM$10))),$AM$10)</f>
        <v/>
      </c>
      <c r="AQ85">
        <f>IFERROR(IF(AZ85&lt;($AM$11-$AL$11)/($AN$11-$AL$11),$AL$11+SQRT(AZ85*($AN$11-$AL$11)*($AM$11-$AL$11)),$AN$11-SQRT((1-AZ85)*($AN$11-$AL$11)*($AN$11-$AM$11))),$AM$11)</f>
        <v/>
      </c>
      <c r="AR85">
        <f>SUMPRODUCT((B24:B31&lt;=$B$6)*(C24:C31*AM85+D24:D31*AO85*$B$8*AQ85)/(1+AL85/100)^B24:B31)+C32*AM85*AP85/(1+AL85/100)^$B$6</f>
        <v/>
      </c>
      <c r="AS85">
        <f>SUMPRODUCT((K24:K26&lt;=$B$6)*(L24:L26*AN85+M24:M26*AO85*$B$8*AQ85)/(1+AL85/100)^K24:K26)+L27*AN85*AP85/(1+AL85/100)^$B$6</f>
        <v/>
      </c>
      <c r="AT85">
        <f>AS85-AR85</f>
        <v/>
      </c>
      <c r="AU85">
        <f>RAND()</f>
        <v/>
      </c>
      <c r="AV85">
        <f>RAND()</f>
        <v/>
      </c>
      <c r="AW85">
        <f>RAND()</f>
        <v/>
      </c>
      <c r="AX85">
        <f>RAND()</f>
        <v/>
      </c>
      <c r="AY85">
        <f>RAND()</f>
        <v/>
      </c>
      <c r="AZ85">
        <f>RAND()</f>
        <v/>
      </c>
    </row>
    <row r="86">
      <c r="A86" s="33" t="n">
        <v>7.25</v>
      </c>
      <c r="B86" s="14">
        <f>SUMPRODUCT((B24:B31&lt;=$B$6)*(C24:C31*$B$11+D24:D31*$B$10*$B$8*$B$9)/(1+$A86/100)^B24:B31)+C32*$B$11*$B$13/(1+$A86/100)^$B$6</f>
        <v/>
      </c>
      <c r="C86" s="14">
        <f>SUMPRODUCT((K24:K26&lt;=$B$6)*(L24:L26*$B$12+M24:M26*$B$10*$B$8*$B$9)/(1+$A86/100)^K24:K26)+L27*$B$12*$B$13/(1+$A86/100)^$B$6</f>
        <v/>
      </c>
      <c r="D86" s="14">
        <f>C86-B86</f>
        <v/>
      </c>
      <c r="E86">
        <f>IF(D86&lt;0,"PCC","HMA")</f>
        <v/>
      </c>
      <c r="AK86" t="n">
        <v>73</v>
      </c>
      <c r="AL86">
        <f>IFERROR(IF(AU86&lt;($AM$6-$AL$6)/($AN$6-$AL$6),$AL$6+SQRT(AU86*($AN$6-$AL$6)*($AM$6-$AL$6)),$AN$6-SQRT((1-AU86)*($AN$6-$AL$6)*($AN$6-$AM$6))),$AM$6)</f>
        <v/>
      </c>
      <c r="AM86">
        <f>IFERROR(IF(AV86&lt;($AM$7-$AL$7)/($AN$7-$AL$7),$AL$7+SQRT(AV86*($AN$7-$AL$7)*($AM$7-$AL$7)),$AN$7-SQRT((1-AV86)*($AN$7-$AL$7)*($AN$7-$AM$7))),$AM$7)</f>
        <v/>
      </c>
      <c r="AN86">
        <f>IFERROR(IF(AW86&lt;($AM$8-$AL$8)/($AN$8-$AL$8),$AL$8+SQRT(AW86*($AN$8-$AL$8)*($AM$8-$AL$8)),$AN$8-SQRT((1-AW86)*($AN$8-$AL$8)*($AN$8-$AM$8))),$AM$8)</f>
        <v/>
      </c>
      <c r="AO86">
        <f>IFERROR(IF(AX86&lt;($AM$9-$AL$9)/($AN$9-$AL$9),$AL$9+SQRT(AX86*($AN$9-$AL$9)*($AM$9-$AL$9)),$AN$9-SQRT((1-AX86)*($AN$9-$AL$9)*($AN$9-$AM$9))),$AM$9)</f>
        <v/>
      </c>
      <c r="AP86">
        <f>IFERROR(IF(AY86&lt;($AM$10-$AL$10)/($AN$10-$AL$10),$AL$10+SQRT(AY86*($AN$10-$AL$10)*($AM$10-$AL$10)),$AN$10-SQRT((1-AY86)*($AN$10-$AL$10)*($AN$10-$AM$10))),$AM$10)</f>
        <v/>
      </c>
      <c r="AQ86">
        <f>IFERROR(IF(AZ86&lt;($AM$11-$AL$11)/($AN$11-$AL$11),$AL$11+SQRT(AZ86*($AN$11-$AL$11)*($AM$11-$AL$11)),$AN$11-SQRT((1-AZ86)*($AN$11-$AL$11)*($AN$11-$AM$11))),$AM$11)</f>
        <v/>
      </c>
      <c r="AR86">
        <f>SUMPRODUCT((B24:B31&lt;=$B$6)*(C24:C31*AM86+D24:D31*AO86*$B$8*AQ86)/(1+AL86/100)^B24:B31)+C32*AM86*AP86/(1+AL86/100)^$B$6</f>
        <v/>
      </c>
      <c r="AS86">
        <f>SUMPRODUCT((K24:K26&lt;=$B$6)*(L24:L26*AN86+M24:M26*AO86*$B$8*AQ86)/(1+AL86/100)^K24:K26)+L27*AN86*AP86/(1+AL86/100)^$B$6</f>
        <v/>
      </c>
      <c r="AT86">
        <f>AS86-AR86</f>
        <v/>
      </c>
      <c r="AU86">
        <f>RAND()</f>
        <v/>
      </c>
      <c r="AV86">
        <f>RAND()</f>
        <v/>
      </c>
      <c r="AW86">
        <f>RAND()</f>
        <v/>
      </c>
      <c r="AX86">
        <f>RAND()</f>
        <v/>
      </c>
      <c r="AY86">
        <f>RAND()</f>
        <v/>
      </c>
      <c r="AZ86">
        <f>RAND()</f>
        <v/>
      </c>
    </row>
    <row r="87">
      <c r="A87" s="33" t="n">
        <v>7.5</v>
      </c>
      <c r="B87" s="14">
        <f>SUMPRODUCT((B24:B31&lt;=$B$6)*(C24:C31*$B$11+D24:D31*$B$10*$B$8*$B$9)/(1+$A87/100)^B24:B31)+C32*$B$11*$B$13/(1+$A87/100)^$B$6</f>
        <v/>
      </c>
      <c r="C87" s="14">
        <f>SUMPRODUCT((K24:K26&lt;=$B$6)*(L24:L26*$B$12+M24:M26*$B$10*$B$8*$B$9)/(1+$A87/100)^K24:K26)+L27*$B$12*$B$13/(1+$A87/100)^$B$6</f>
        <v/>
      </c>
      <c r="D87" s="14">
        <f>C87-B87</f>
        <v/>
      </c>
      <c r="E87">
        <f>IF(D87&lt;0,"PCC","HMA")</f>
        <v/>
      </c>
      <c r="AK87" t="n">
        <v>74</v>
      </c>
      <c r="AL87">
        <f>IFERROR(IF(AU87&lt;($AM$6-$AL$6)/($AN$6-$AL$6),$AL$6+SQRT(AU87*($AN$6-$AL$6)*($AM$6-$AL$6)),$AN$6-SQRT((1-AU87)*($AN$6-$AL$6)*($AN$6-$AM$6))),$AM$6)</f>
        <v/>
      </c>
      <c r="AM87">
        <f>IFERROR(IF(AV87&lt;($AM$7-$AL$7)/($AN$7-$AL$7),$AL$7+SQRT(AV87*($AN$7-$AL$7)*($AM$7-$AL$7)),$AN$7-SQRT((1-AV87)*($AN$7-$AL$7)*($AN$7-$AM$7))),$AM$7)</f>
        <v/>
      </c>
      <c r="AN87">
        <f>IFERROR(IF(AW87&lt;($AM$8-$AL$8)/($AN$8-$AL$8),$AL$8+SQRT(AW87*($AN$8-$AL$8)*($AM$8-$AL$8)),$AN$8-SQRT((1-AW87)*($AN$8-$AL$8)*($AN$8-$AM$8))),$AM$8)</f>
        <v/>
      </c>
      <c r="AO87">
        <f>IFERROR(IF(AX87&lt;($AM$9-$AL$9)/($AN$9-$AL$9),$AL$9+SQRT(AX87*($AN$9-$AL$9)*($AM$9-$AL$9)),$AN$9-SQRT((1-AX87)*($AN$9-$AL$9)*($AN$9-$AM$9))),$AM$9)</f>
        <v/>
      </c>
      <c r="AP87">
        <f>IFERROR(IF(AY87&lt;($AM$10-$AL$10)/($AN$10-$AL$10),$AL$10+SQRT(AY87*($AN$10-$AL$10)*($AM$10-$AL$10)),$AN$10-SQRT((1-AY87)*($AN$10-$AL$10)*($AN$10-$AM$10))),$AM$10)</f>
        <v/>
      </c>
      <c r="AQ87">
        <f>IFERROR(IF(AZ87&lt;($AM$11-$AL$11)/($AN$11-$AL$11),$AL$11+SQRT(AZ87*($AN$11-$AL$11)*($AM$11-$AL$11)),$AN$11-SQRT((1-AZ87)*($AN$11-$AL$11)*($AN$11-$AM$11))),$AM$11)</f>
        <v/>
      </c>
      <c r="AR87">
        <f>SUMPRODUCT((B24:B31&lt;=$B$6)*(C24:C31*AM87+D24:D31*AO87*$B$8*AQ87)/(1+AL87/100)^B24:B31)+C32*AM87*AP87/(1+AL87/100)^$B$6</f>
        <v/>
      </c>
      <c r="AS87">
        <f>SUMPRODUCT((K24:K26&lt;=$B$6)*(L24:L26*AN87+M24:M26*AO87*$B$8*AQ87)/(1+AL87/100)^K24:K26)+L27*AN87*AP87/(1+AL87/100)^$B$6</f>
        <v/>
      </c>
      <c r="AT87">
        <f>AS87-AR87</f>
        <v/>
      </c>
      <c r="AU87">
        <f>RAND()</f>
        <v/>
      </c>
      <c r="AV87">
        <f>RAND()</f>
        <v/>
      </c>
      <c r="AW87">
        <f>RAND()</f>
        <v/>
      </c>
      <c r="AX87">
        <f>RAND()</f>
        <v/>
      </c>
      <c r="AY87">
        <f>RAND()</f>
        <v/>
      </c>
      <c r="AZ87">
        <f>RAND()</f>
        <v/>
      </c>
    </row>
    <row r="88">
      <c r="A88" s="33" t="n">
        <v>7.75</v>
      </c>
      <c r="B88" s="14">
        <f>SUMPRODUCT((B24:B31&lt;=$B$6)*(C24:C31*$B$11+D24:D31*$B$10*$B$8*$B$9)/(1+$A88/100)^B24:B31)+C32*$B$11*$B$13/(1+$A88/100)^$B$6</f>
        <v/>
      </c>
      <c r="C88" s="14">
        <f>SUMPRODUCT((K24:K26&lt;=$B$6)*(L24:L26*$B$12+M24:M26*$B$10*$B$8*$B$9)/(1+$A88/100)^K24:K26)+L27*$B$12*$B$13/(1+$A88/100)^$B$6</f>
        <v/>
      </c>
      <c r="D88" s="14">
        <f>C88-B88</f>
        <v/>
      </c>
      <c r="E88">
        <f>IF(D88&lt;0,"PCC","HMA")</f>
        <v/>
      </c>
      <c r="AK88" t="n">
        <v>75</v>
      </c>
      <c r="AL88">
        <f>IFERROR(IF(AU88&lt;($AM$6-$AL$6)/($AN$6-$AL$6),$AL$6+SQRT(AU88*($AN$6-$AL$6)*($AM$6-$AL$6)),$AN$6-SQRT((1-AU88)*($AN$6-$AL$6)*($AN$6-$AM$6))),$AM$6)</f>
        <v/>
      </c>
      <c r="AM88">
        <f>IFERROR(IF(AV88&lt;($AM$7-$AL$7)/($AN$7-$AL$7),$AL$7+SQRT(AV88*($AN$7-$AL$7)*($AM$7-$AL$7)),$AN$7-SQRT((1-AV88)*($AN$7-$AL$7)*($AN$7-$AM$7))),$AM$7)</f>
        <v/>
      </c>
      <c r="AN88">
        <f>IFERROR(IF(AW88&lt;($AM$8-$AL$8)/($AN$8-$AL$8),$AL$8+SQRT(AW88*($AN$8-$AL$8)*($AM$8-$AL$8)),$AN$8-SQRT((1-AW88)*($AN$8-$AL$8)*($AN$8-$AM$8))),$AM$8)</f>
        <v/>
      </c>
      <c r="AO88">
        <f>IFERROR(IF(AX88&lt;($AM$9-$AL$9)/($AN$9-$AL$9),$AL$9+SQRT(AX88*($AN$9-$AL$9)*($AM$9-$AL$9)),$AN$9-SQRT((1-AX88)*($AN$9-$AL$9)*($AN$9-$AM$9))),$AM$9)</f>
        <v/>
      </c>
      <c r="AP88">
        <f>IFERROR(IF(AY88&lt;($AM$10-$AL$10)/($AN$10-$AL$10),$AL$10+SQRT(AY88*($AN$10-$AL$10)*($AM$10-$AL$10)),$AN$10-SQRT((1-AY88)*($AN$10-$AL$10)*($AN$10-$AM$10))),$AM$10)</f>
        <v/>
      </c>
      <c r="AQ88">
        <f>IFERROR(IF(AZ88&lt;($AM$11-$AL$11)/($AN$11-$AL$11),$AL$11+SQRT(AZ88*($AN$11-$AL$11)*($AM$11-$AL$11)),$AN$11-SQRT((1-AZ88)*($AN$11-$AL$11)*($AN$11-$AM$11))),$AM$11)</f>
        <v/>
      </c>
      <c r="AR88">
        <f>SUMPRODUCT((B24:B31&lt;=$B$6)*(C24:C31*AM88+D24:D31*AO88*$B$8*AQ88)/(1+AL88/100)^B24:B31)+C32*AM88*AP88/(1+AL88/100)^$B$6</f>
        <v/>
      </c>
      <c r="AS88">
        <f>SUMPRODUCT((K24:K26&lt;=$B$6)*(L24:L26*AN88+M24:M26*AO88*$B$8*AQ88)/(1+AL88/100)^K24:K26)+L27*AN88*AP88/(1+AL88/100)^$B$6</f>
        <v/>
      </c>
      <c r="AT88">
        <f>AS88-AR88</f>
        <v/>
      </c>
      <c r="AU88">
        <f>RAND()</f>
        <v/>
      </c>
      <c r="AV88">
        <f>RAND()</f>
        <v/>
      </c>
      <c r="AW88">
        <f>RAND()</f>
        <v/>
      </c>
      <c r="AX88">
        <f>RAND()</f>
        <v/>
      </c>
      <c r="AY88">
        <f>RAND()</f>
        <v/>
      </c>
      <c r="AZ88">
        <f>RAND()</f>
        <v/>
      </c>
    </row>
    <row r="89">
      <c r="A89" s="33" t="n">
        <v>8</v>
      </c>
      <c r="B89" s="14">
        <f>SUMPRODUCT((B24:B31&lt;=$B$6)*(C24:C31*$B$11+D24:D31*$B$10*$B$8*$B$9)/(1+$A89/100)^B24:B31)+C32*$B$11*$B$13/(1+$A89/100)^$B$6</f>
        <v/>
      </c>
      <c r="C89" s="14">
        <f>SUMPRODUCT((K24:K26&lt;=$B$6)*(L24:L26*$B$12+M24:M26*$B$10*$B$8*$B$9)/(1+$A89/100)^K24:K26)+L27*$B$12*$B$13/(1+$A89/100)^$B$6</f>
        <v/>
      </c>
      <c r="D89" s="14">
        <f>C89-B89</f>
        <v/>
      </c>
      <c r="E89">
        <f>IF(D89&lt;0,"PCC","HMA")</f>
        <v/>
      </c>
      <c r="AK89" t="n">
        <v>76</v>
      </c>
      <c r="AL89">
        <f>IFERROR(IF(AU89&lt;($AM$6-$AL$6)/($AN$6-$AL$6),$AL$6+SQRT(AU89*($AN$6-$AL$6)*($AM$6-$AL$6)),$AN$6-SQRT((1-AU89)*($AN$6-$AL$6)*($AN$6-$AM$6))),$AM$6)</f>
        <v/>
      </c>
      <c r="AM89">
        <f>IFERROR(IF(AV89&lt;($AM$7-$AL$7)/($AN$7-$AL$7),$AL$7+SQRT(AV89*($AN$7-$AL$7)*($AM$7-$AL$7)),$AN$7-SQRT((1-AV89)*($AN$7-$AL$7)*($AN$7-$AM$7))),$AM$7)</f>
        <v/>
      </c>
      <c r="AN89">
        <f>IFERROR(IF(AW89&lt;($AM$8-$AL$8)/($AN$8-$AL$8),$AL$8+SQRT(AW89*($AN$8-$AL$8)*($AM$8-$AL$8)),$AN$8-SQRT((1-AW89)*($AN$8-$AL$8)*($AN$8-$AM$8))),$AM$8)</f>
        <v/>
      </c>
      <c r="AO89">
        <f>IFERROR(IF(AX89&lt;($AM$9-$AL$9)/($AN$9-$AL$9),$AL$9+SQRT(AX89*($AN$9-$AL$9)*($AM$9-$AL$9)),$AN$9-SQRT((1-AX89)*($AN$9-$AL$9)*($AN$9-$AM$9))),$AM$9)</f>
        <v/>
      </c>
      <c r="AP89">
        <f>IFERROR(IF(AY89&lt;($AM$10-$AL$10)/($AN$10-$AL$10),$AL$10+SQRT(AY89*($AN$10-$AL$10)*($AM$10-$AL$10)),$AN$10-SQRT((1-AY89)*($AN$10-$AL$10)*($AN$10-$AM$10))),$AM$10)</f>
        <v/>
      </c>
      <c r="AQ89">
        <f>IFERROR(IF(AZ89&lt;($AM$11-$AL$11)/($AN$11-$AL$11),$AL$11+SQRT(AZ89*($AN$11-$AL$11)*($AM$11-$AL$11)),$AN$11-SQRT((1-AZ89)*($AN$11-$AL$11)*($AN$11-$AM$11))),$AM$11)</f>
        <v/>
      </c>
      <c r="AR89">
        <f>SUMPRODUCT((B24:B31&lt;=$B$6)*(C24:C31*AM89+D24:D31*AO89*$B$8*AQ89)/(1+AL89/100)^B24:B31)+C32*AM89*AP89/(1+AL89/100)^$B$6</f>
        <v/>
      </c>
      <c r="AS89">
        <f>SUMPRODUCT((K24:K26&lt;=$B$6)*(L24:L26*AN89+M24:M26*AO89*$B$8*AQ89)/(1+AL89/100)^K24:K26)+L27*AN89*AP89/(1+AL89/100)^$B$6</f>
        <v/>
      </c>
      <c r="AT89">
        <f>AS89-AR89</f>
        <v/>
      </c>
      <c r="AU89">
        <f>RAND()</f>
        <v/>
      </c>
      <c r="AV89">
        <f>RAND()</f>
        <v/>
      </c>
      <c r="AW89">
        <f>RAND()</f>
        <v/>
      </c>
      <c r="AX89">
        <f>RAND()</f>
        <v/>
      </c>
      <c r="AY89">
        <f>RAND()</f>
        <v/>
      </c>
      <c r="AZ89">
        <f>RAND()</f>
        <v/>
      </c>
    </row>
    <row r="90">
      <c r="AK90" t="n">
        <v>77</v>
      </c>
      <c r="AL90">
        <f>IFERROR(IF(AU90&lt;($AM$6-$AL$6)/($AN$6-$AL$6),$AL$6+SQRT(AU90*($AN$6-$AL$6)*($AM$6-$AL$6)),$AN$6-SQRT((1-AU90)*($AN$6-$AL$6)*($AN$6-$AM$6))),$AM$6)</f>
        <v/>
      </c>
      <c r="AM90">
        <f>IFERROR(IF(AV90&lt;($AM$7-$AL$7)/($AN$7-$AL$7),$AL$7+SQRT(AV90*($AN$7-$AL$7)*($AM$7-$AL$7)),$AN$7-SQRT((1-AV90)*($AN$7-$AL$7)*($AN$7-$AM$7))),$AM$7)</f>
        <v/>
      </c>
      <c r="AN90">
        <f>IFERROR(IF(AW90&lt;($AM$8-$AL$8)/($AN$8-$AL$8),$AL$8+SQRT(AW90*($AN$8-$AL$8)*($AM$8-$AL$8)),$AN$8-SQRT((1-AW90)*($AN$8-$AL$8)*($AN$8-$AM$8))),$AM$8)</f>
        <v/>
      </c>
      <c r="AO90">
        <f>IFERROR(IF(AX90&lt;($AM$9-$AL$9)/($AN$9-$AL$9),$AL$9+SQRT(AX90*($AN$9-$AL$9)*($AM$9-$AL$9)),$AN$9-SQRT((1-AX90)*($AN$9-$AL$9)*($AN$9-$AM$9))),$AM$9)</f>
        <v/>
      </c>
      <c r="AP90">
        <f>IFERROR(IF(AY90&lt;($AM$10-$AL$10)/($AN$10-$AL$10),$AL$10+SQRT(AY90*($AN$10-$AL$10)*($AM$10-$AL$10)),$AN$10-SQRT((1-AY90)*($AN$10-$AL$10)*($AN$10-$AM$10))),$AM$10)</f>
        <v/>
      </c>
      <c r="AQ90">
        <f>IFERROR(IF(AZ90&lt;($AM$11-$AL$11)/($AN$11-$AL$11),$AL$11+SQRT(AZ90*($AN$11-$AL$11)*($AM$11-$AL$11)),$AN$11-SQRT((1-AZ90)*($AN$11-$AL$11)*($AN$11-$AM$11))),$AM$11)</f>
        <v/>
      </c>
      <c r="AR90">
        <f>SUMPRODUCT((B24:B31&lt;=$B$6)*(C24:C31*AM90+D24:D31*AO90*$B$8*AQ90)/(1+AL90/100)^B24:B31)+C32*AM90*AP90/(1+AL90/100)^$B$6</f>
        <v/>
      </c>
      <c r="AS90">
        <f>SUMPRODUCT((K24:K26&lt;=$B$6)*(L24:L26*AN90+M24:M26*AO90*$B$8*AQ90)/(1+AL90/100)^K24:K26)+L27*AN90*AP90/(1+AL90/100)^$B$6</f>
        <v/>
      </c>
      <c r="AT90">
        <f>AS90-AR90</f>
        <v/>
      </c>
      <c r="AU90">
        <f>RAND()</f>
        <v/>
      </c>
      <c r="AV90">
        <f>RAND()</f>
        <v/>
      </c>
      <c r="AW90">
        <f>RAND()</f>
        <v/>
      </c>
      <c r="AX90">
        <f>RAND()</f>
        <v/>
      </c>
      <c r="AY90">
        <f>RAND()</f>
        <v/>
      </c>
      <c r="AZ90">
        <f>RAND()</f>
        <v/>
      </c>
    </row>
    <row r="91">
      <c r="AK91" t="n">
        <v>78</v>
      </c>
      <c r="AL91">
        <f>IFERROR(IF(AU91&lt;($AM$6-$AL$6)/($AN$6-$AL$6),$AL$6+SQRT(AU91*($AN$6-$AL$6)*($AM$6-$AL$6)),$AN$6-SQRT((1-AU91)*($AN$6-$AL$6)*($AN$6-$AM$6))),$AM$6)</f>
        <v/>
      </c>
      <c r="AM91">
        <f>IFERROR(IF(AV91&lt;($AM$7-$AL$7)/($AN$7-$AL$7),$AL$7+SQRT(AV91*($AN$7-$AL$7)*($AM$7-$AL$7)),$AN$7-SQRT((1-AV91)*($AN$7-$AL$7)*($AN$7-$AM$7))),$AM$7)</f>
        <v/>
      </c>
      <c r="AN91">
        <f>IFERROR(IF(AW91&lt;($AM$8-$AL$8)/($AN$8-$AL$8),$AL$8+SQRT(AW91*($AN$8-$AL$8)*($AM$8-$AL$8)),$AN$8-SQRT((1-AW91)*($AN$8-$AL$8)*($AN$8-$AM$8))),$AM$8)</f>
        <v/>
      </c>
      <c r="AO91">
        <f>IFERROR(IF(AX91&lt;($AM$9-$AL$9)/($AN$9-$AL$9),$AL$9+SQRT(AX91*($AN$9-$AL$9)*($AM$9-$AL$9)),$AN$9-SQRT((1-AX91)*($AN$9-$AL$9)*($AN$9-$AM$9))),$AM$9)</f>
        <v/>
      </c>
      <c r="AP91">
        <f>IFERROR(IF(AY91&lt;($AM$10-$AL$10)/($AN$10-$AL$10),$AL$10+SQRT(AY91*($AN$10-$AL$10)*($AM$10-$AL$10)),$AN$10-SQRT((1-AY91)*($AN$10-$AL$10)*($AN$10-$AM$10))),$AM$10)</f>
        <v/>
      </c>
      <c r="AQ91">
        <f>IFERROR(IF(AZ91&lt;($AM$11-$AL$11)/($AN$11-$AL$11),$AL$11+SQRT(AZ91*($AN$11-$AL$11)*($AM$11-$AL$11)),$AN$11-SQRT((1-AZ91)*($AN$11-$AL$11)*($AN$11-$AM$11))),$AM$11)</f>
        <v/>
      </c>
      <c r="AR91">
        <f>SUMPRODUCT((B24:B31&lt;=$B$6)*(C24:C31*AM91+D24:D31*AO91*$B$8*AQ91)/(1+AL91/100)^B24:B31)+C32*AM91*AP91/(1+AL91/100)^$B$6</f>
        <v/>
      </c>
      <c r="AS91">
        <f>SUMPRODUCT((K24:K26&lt;=$B$6)*(L24:L26*AN91+M24:M26*AO91*$B$8*AQ91)/(1+AL91/100)^K24:K26)+L27*AN91*AP91/(1+AL91/100)^$B$6</f>
        <v/>
      </c>
      <c r="AT91">
        <f>AS91-AR91</f>
        <v/>
      </c>
      <c r="AU91">
        <f>RAND()</f>
        <v/>
      </c>
      <c r="AV91">
        <f>RAND()</f>
        <v/>
      </c>
      <c r="AW91">
        <f>RAND()</f>
        <v/>
      </c>
      <c r="AX91">
        <f>RAND()</f>
        <v/>
      </c>
      <c r="AY91">
        <f>RAND()</f>
        <v/>
      </c>
      <c r="AZ91">
        <f>RAND()</f>
        <v/>
      </c>
    </row>
    <row r="92">
      <c r="A92" s="4" t="inlineStr">
        <is>
          <t>EXPENDITURE BY CALENDAR YEAR</t>
        </is>
      </c>
      <c r="AK92" t="n">
        <v>79</v>
      </c>
      <c r="AL92">
        <f>IFERROR(IF(AU92&lt;($AM$6-$AL$6)/($AN$6-$AL$6),$AL$6+SQRT(AU92*($AN$6-$AL$6)*($AM$6-$AL$6)),$AN$6-SQRT((1-AU92)*($AN$6-$AL$6)*($AN$6-$AM$6))),$AM$6)</f>
        <v/>
      </c>
      <c r="AM92">
        <f>IFERROR(IF(AV92&lt;($AM$7-$AL$7)/($AN$7-$AL$7),$AL$7+SQRT(AV92*($AN$7-$AL$7)*($AM$7-$AL$7)),$AN$7-SQRT((1-AV92)*($AN$7-$AL$7)*($AN$7-$AM$7))),$AM$7)</f>
        <v/>
      </c>
      <c r="AN92">
        <f>IFERROR(IF(AW92&lt;($AM$8-$AL$8)/($AN$8-$AL$8),$AL$8+SQRT(AW92*($AN$8-$AL$8)*($AM$8-$AL$8)),$AN$8-SQRT((1-AW92)*($AN$8-$AL$8)*($AN$8-$AM$8))),$AM$8)</f>
        <v/>
      </c>
      <c r="AO92">
        <f>IFERROR(IF(AX92&lt;($AM$9-$AL$9)/($AN$9-$AL$9),$AL$9+SQRT(AX92*($AN$9-$AL$9)*($AM$9-$AL$9)),$AN$9-SQRT((1-AX92)*($AN$9-$AL$9)*($AN$9-$AM$9))),$AM$9)</f>
        <v/>
      </c>
      <c r="AP92">
        <f>IFERROR(IF(AY92&lt;($AM$10-$AL$10)/($AN$10-$AL$10),$AL$10+SQRT(AY92*($AN$10-$AL$10)*($AM$10-$AL$10)),$AN$10-SQRT((1-AY92)*($AN$10-$AL$10)*($AN$10-$AM$10))),$AM$10)</f>
        <v/>
      </c>
      <c r="AQ92">
        <f>IFERROR(IF(AZ92&lt;($AM$11-$AL$11)/($AN$11-$AL$11),$AL$11+SQRT(AZ92*($AN$11-$AL$11)*($AM$11-$AL$11)),$AN$11-SQRT((1-AZ92)*($AN$11-$AL$11)*($AN$11-$AM$11))),$AM$11)</f>
        <v/>
      </c>
      <c r="AR92">
        <f>SUMPRODUCT((B24:B31&lt;=$B$6)*(C24:C31*AM92+D24:D31*AO92*$B$8*AQ92)/(1+AL92/100)^B24:B31)+C32*AM92*AP92/(1+AL92/100)^$B$6</f>
        <v/>
      </c>
      <c r="AS92">
        <f>SUMPRODUCT((K24:K26&lt;=$B$6)*(L24:L26*AN92+M24:M26*AO92*$B$8*AQ92)/(1+AL92/100)^K24:K26)+L27*AN92*AP92/(1+AL92/100)^$B$6</f>
        <v/>
      </c>
      <c r="AT92">
        <f>AS92-AR92</f>
        <v/>
      </c>
      <c r="AU92">
        <f>RAND()</f>
        <v/>
      </c>
      <c r="AV92">
        <f>RAND()</f>
        <v/>
      </c>
      <c r="AW92">
        <f>RAND()</f>
        <v/>
      </c>
      <c r="AX92">
        <f>RAND()</f>
        <v/>
      </c>
      <c r="AY92">
        <f>RAND()</f>
        <v/>
      </c>
      <c r="AZ92">
        <f>RAND()</f>
        <v/>
      </c>
    </row>
    <row r="93">
      <c r="A93" s="6" t="inlineStr">
        <is>
          <t>Year</t>
        </is>
      </c>
      <c r="B93" s="6" t="inlineStr">
        <is>
          <t>Calendar year</t>
        </is>
      </c>
      <c r="C93" s="6" t="inlineStr">
        <is>
          <t>HMA direct</t>
        </is>
      </c>
      <c r="D93" s="6" t="inlineStr">
        <is>
          <t>HMA lost revenue</t>
        </is>
      </c>
      <c r="E93" s="6" t="inlineStr">
        <is>
          <t>PCC direct</t>
        </is>
      </c>
      <c r="F93" s="6" t="inlineStr">
        <is>
          <t>PCC lost revenue</t>
        </is>
      </c>
      <c r="G93" s="6" t="inlineStr">
        <is>
          <t>HMA cumulative PW</t>
        </is>
      </c>
      <c r="H93" s="6" t="inlineStr">
        <is>
          <t>PCC cumulative PW</t>
        </is>
      </c>
      <c r="I93" s="6" t="inlineStr">
        <is>
          <t>HMA closure days</t>
        </is>
      </c>
      <c r="J93" s="6" t="inlineStr">
        <is>
          <t>PCC closure days</t>
        </is>
      </c>
      <c r="M93" t="inlineStr">
        <is>
          <t>HMA total</t>
        </is>
      </c>
      <c r="N93" t="inlineStr">
        <is>
          <t>PCC total</t>
        </is>
      </c>
      <c r="AK93" t="n">
        <v>80</v>
      </c>
      <c r="AL93">
        <f>IFERROR(IF(AU93&lt;($AM$6-$AL$6)/($AN$6-$AL$6),$AL$6+SQRT(AU93*($AN$6-$AL$6)*($AM$6-$AL$6)),$AN$6-SQRT((1-AU93)*($AN$6-$AL$6)*($AN$6-$AM$6))),$AM$6)</f>
        <v/>
      </c>
      <c r="AM93">
        <f>IFERROR(IF(AV93&lt;($AM$7-$AL$7)/($AN$7-$AL$7),$AL$7+SQRT(AV93*($AN$7-$AL$7)*($AM$7-$AL$7)),$AN$7-SQRT((1-AV93)*($AN$7-$AL$7)*($AN$7-$AM$7))),$AM$7)</f>
        <v/>
      </c>
      <c r="AN93">
        <f>IFERROR(IF(AW93&lt;($AM$8-$AL$8)/($AN$8-$AL$8),$AL$8+SQRT(AW93*($AN$8-$AL$8)*($AM$8-$AL$8)),$AN$8-SQRT((1-AW93)*($AN$8-$AL$8)*($AN$8-$AM$8))),$AM$8)</f>
        <v/>
      </c>
      <c r="AO93">
        <f>IFERROR(IF(AX93&lt;($AM$9-$AL$9)/($AN$9-$AL$9),$AL$9+SQRT(AX93*($AN$9-$AL$9)*($AM$9-$AL$9)),$AN$9-SQRT((1-AX93)*($AN$9-$AL$9)*($AN$9-$AM$9))),$AM$9)</f>
        <v/>
      </c>
      <c r="AP93">
        <f>IFERROR(IF(AY93&lt;($AM$10-$AL$10)/($AN$10-$AL$10),$AL$10+SQRT(AY93*($AN$10-$AL$10)*($AM$10-$AL$10)),$AN$10-SQRT((1-AY93)*($AN$10-$AL$10)*($AN$10-$AM$10))),$AM$10)</f>
        <v/>
      </c>
      <c r="AQ93">
        <f>IFERROR(IF(AZ93&lt;($AM$11-$AL$11)/($AN$11-$AL$11),$AL$11+SQRT(AZ93*($AN$11-$AL$11)*($AM$11-$AL$11)),$AN$11-SQRT((1-AZ93)*($AN$11-$AL$11)*($AN$11-$AM$11))),$AM$11)</f>
        <v/>
      </c>
      <c r="AR93">
        <f>SUMPRODUCT((B24:B31&lt;=$B$6)*(C24:C31*AM93+D24:D31*AO93*$B$8*AQ93)/(1+AL93/100)^B24:B31)+C32*AM93*AP93/(1+AL93/100)^$B$6</f>
        <v/>
      </c>
      <c r="AS93">
        <f>SUMPRODUCT((K24:K26&lt;=$B$6)*(L24:L26*AN93+M24:M26*AO93*$B$8*AQ93)/(1+AL93/100)^K24:K26)+L27*AN93*AP93/(1+AL93/100)^$B$6</f>
        <v/>
      </c>
      <c r="AT93">
        <f>AS93-AR93</f>
        <v/>
      </c>
      <c r="AU93">
        <f>RAND()</f>
        <v/>
      </c>
      <c r="AV93">
        <f>RAND()</f>
        <v/>
      </c>
      <c r="AW93">
        <f>RAND()</f>
        <v/>
      </c>
      <c r="AX93">
        <f>RAND()</f>
        <v/>
      </c>
      <c r="AY93">
        <f>RAND()</f>
        <v/>
      </c>
      <c r="AZ93">
        <f>RAND()</f>
        <v/>
      </c>
    </row>
    <row r="94">
      <c r="A94" t="n">
        <v>0</v>
      </c>
      <c r="B94">
        <f>$B$7+A94</f>
        <v/>
      </c>
      <c r="C94" s="14">
        <f>IF(A94&gt;$B$6,0,SUMIF(B24:B31,A94,E24:E31)+IF(A94=$B$6,E32,0))</f>
        <v/>
      </c>
      <c r="D94" s="14">
        <f>IF(A94&gt;$B$6,0,SUMIF(B24:B31,A94,F24:F31))</f>
        <v/>
      </c>
      <c r="E94" s="14">
        <f>IF(A94&gt;$B$6,0,SUMIF(K24:K26,A94,N24:N26)+IF(A94=$B$6,N27,0))</f>
        <v/>
      </c>
      <c r="F94" s="14">
        <f>IF(A94&gt;$B$6,0,SUMIF(K24:K26,A94,O24:O26))</f>
        <v/>
      </c>
      <c r="G94" s="14">
        <f>IF(A94&gt;$B$6,0,SUMIF(B24:B31,A94,G24:G31)+IF(A94=$B$6,G32,0))</f>
        <v/>
      </c>
      <c r="H94" s="14">
        <f>IF(A94&gt;$B$6,0,SUMIF(K24:K26,A94,P24:P26)+IF(A94=$B$6,P27,0))</f>
        <v/>
      </c>
      <c r="I94">
        <f>IF(A94&gt;$B$6,0,SUMIF(B24:B31,A94,D24:D31)*$B$10)</f>
        <v/>
      </c>
      <c r="J94">
        <f>IF(A94&gt;$B$6,0,SUMIF(K24:K26,A94,M24:M26)*$B$10)</f>
        <v/>
      </c>
      <c r="M94" s="14">
        <f>C94+D94</f>
        <v/>
      </c>
      <c r="N94" s="14">
        <f>E94+F94</f>
        <v/>
      </c>
      <c r="AK94" t="n">
        <v>81</v>
      </c>
      <c r="AL94">
        <f>IFERROR(IF(AU94&lt;($AM$6-$AL$6)/($AN$6-$AL$6),$AL$6+SQRT(AU94*($AN$6-$AL$6)*($AM$6-$AL$6)),$AN$6-SQRT((1-AU94)*($AN$6-$AL$6)*($AN$6-$AM$6))),$AM$6)</f>
        <v/>
      </c>
      <c r="AM94">
        <f>IFERROR(IF(AV94&lt;($AM$7-$AL$7)/($AN$7-$AL$7),$AL$7+SQRT(AV94*($AN$7-$AL$7)*($AM$7-$AL$7)),$AN$7-SQRT((1-AV94)*($AN$7-$AL$7)*($AN$7-$AM$7))),$AM$7)</f>
        <v/>
      </c>
      <c r="AN94">
        <f>IFERROR(IF(AW94&lt;($AM$8-$AL$8)/($AN$8-$AL$8),$AL$8+SQRT(AW94*($AN$8-$AL$8)*($AM$8-$AL$8)),$AN$8-SQRT((1-AW94)*($AN$8-$AL$8)*($AN$8-$AM$8))),$AM$8)</f>
        <v/>
      </c>
      <c r="AO94">
        <f>IFERROR(IF(AX94&lt;($AM$9-$AL$9)/($AN$9-$AL$9),$AL$9+SQRT(AX94*($AN$9-$AL$9)*($AM$9-$AL$9)),$AN$9-SQRT((1-AX94)*($AN$9-$AL$9)*($AN$9-$AM$9))),$AM$9)</f>
        <v/>
      </c>
      <c r="AP94">
        <f>IFERROR(IF(AY94&lt;($AM$10-$AL$10)/($AN$10-$AL$10),$AL$10+SQRT(AY94*($AN$10-$AL$10)*($AM$10-$AL$10)),$AN$10-SQRT((1-AY94)*($AN$10-$AL$10)*($AN$10-$AM$10))),$AM$10)</f>
        <v/>
      </c>
      <c r="AQ94">
        <f>IFERROR(IF(AZ94&lt;($AM$11-$AL$11)/($AN$11-$AL$11),$AL$11+SQRT(AZ94*($AN$11-$AL$11)*($AM$11-$AL$11)),$AN$11-SQRT((1-AZ94)*($AN$11-$AL$11)*($AN$11-$AM$11))),$AM$11)</f>
        <v/>
      </c>
      <c r="AR94">
        <f>SUMPRODUCT((B24:B31&lt;=$B$6)*(C24:C31*AM94+D24:D31*AO94*$B$8*AQ94)/(1+AL94/100)^B24:B31)+C32*AM94*AP94/(1+AL94/100)^$B$6</f>
        <v/>
      </c>
      <c r="AS94">
        <f>SUMPRODUCT((K24:K26&lt;=$B$6)*(L24:L26*AN94+M24:M26*AO94*$B$8*AQ94)/(1+AL94/100)^K24:K26)+L27*AN94*AP94/(1+AL94/100)^$B$6</f>
        <v/>
      </c>
      <c r="AT94">
        <f>AS94-AR94</f>
        <v/>
      </c>
      <c r="AU94">
        <f>RAND()</f>
        <v/>
      </c>
      <c r="AV94">
        <f>RAND()</f>
        <v/>
      </c>
      <c r="AW94">
        <f>RAND()</f>
        <v/>
      </c>
      <c r="AX94">
        <f>RAND()</f>
        <v/>
      </c>
      <c r="AY94">
        <f>RAND()</f>
        <v/>
      </c>
      <c r="AZ94">
        <f>RAND()</f>
        <v/>
      </c>
    </row>
    <row r="95">
      <c r="A95" t="n">
        <v>1</v>
      </c>
      <c r="B95">
        <f>$B$7+A95</f>
        <v/>
      </c>
      <c r="C95" s="14">
        <f>IF(A95&gt;$B$6,0,SUMIF(B24:B31,A95,E24:E31)+IF(A95=$B$6,E32,0))</f>
        <v/>
      </c>
      <c r="D95" s="14">
        <f>IF(A95&gt;$B$6,0,SUMIF(B24:B31,A95,F24:F31))</f>
        <v/>
      </c>
      <c r="E95" s="14">
        <f>IF(A95&gt;$B$6,0,SUMIF(K24:K26,A95,N24:N26)+IF(A95=$B$6,N27,0))</f>
        <v/>
      </c>
      <c r="F95" s="14">
        <f>IF(A95&gt;$B$6,0,SUMIF(K24:K26,A95,O24:O26))</f>
        <v/>
      </c>
      <c r="G95" s="14">
        <f>G94+IF(A95&gt;$B$6,0,SUMIF(B24:B31,A95,G24:G31)+IF(A95=$B$6,G32,0))</f>
        <v/>
      </c>
      <c r="H95" s="14">
        <f>H94+IF(A95&gt;$B$6,0,SUMIF(K24:K26,A95,P24:P26)+IF(A95=$B$6,P27,0))</f>
        <v/>
      </c>
      <c r="I95">
        <f>IF(A95&gt;$B$6,0,SUMIF(B24:B31,A95,D24:D31)*$B$10)</f>
        <v/>
      </c>
      <c r="J95">
        <f>IF(A95&gt;$B$6,0,SUMIF(K24:K26,A95,M24:M26)*$B$10)</f>
        <v/>
      </c>
      <c r="M95" s="14">
        <f>C95+D95</f>
        <v/>
      </c>
      <c r="N95" s="14">
        <f>E95+F95</f>
        <v/>
      </c>
      <c r="AK95" t="n">
        <v>82</v>
      </c>
      <c r="AL95">
        <f>IFERROR(IF(AU95&lt;($AM$6-$AL$6)/($AN$6-$AL$6),$AL$6+SQRT(AU95*($AN$6-$AL$6)*($AM$6-$AL$6)),$AN$6-SQRT((1-AU95)*($AN$6-$AL$6)*($AN$6-$AM$6))),$AM$6)</f>
        <v/>
      </c>
      <c r="AM95">
        <f>IFERROR(IF(AV95&lt;($AM$7-$AL$7)/($AN$7-$AL$7),$AL$7+SQRT(AV95*($AN$7-$AL$7)*($AM$7-$AL$7)),$AN$7-SQRT((1-AV95)*($AN$7-$AL$7)*($AN$7-$AM$7))),$AM$7)</f>
        <v/>
      </c>
      <c r="AN95">
        <f>IFERROR(IF(AW95&lt;($AM$8-$AL$8)/($AN$8-$AL$8),$AL$8+SQRT(AW95*($AN$8-$AL$8)*($AM$8-$AL$8)),$AN$8-SQRT((1-AW95)*($AN$8-$AL$8)*($AN$8-$AM$8))),$AM$8)</f>
        <v/>
      </c>
      <c r="AO95">
        <f>IFERROR(IF(AX95&lt;($AM$9-$AL$9)/($AN$9-$AL$9),$AL$9+SQRT(AX95*($AN$9-$AL$9)*($AM$9-$AL$9)),$AN$9-SQRT((1-AX95)*($AN$9-$AL$9)*($AN$9-$AM$9))),$AM$9)</f>
        <v/>
      </c>
      <c r="AP95">
        <f>IFERROR(IF(AY95&lt;($AM$10-$AL$10)/($AN$10-$AL$10),$AL$10+SQRT(AY95*($AN$10-$AL$10)*($AM$10-$AL$10)),$AN$10-SQRT((1-AY95)*($AN$10-$AL$10)*($AN$10-$AM$10))),$AM$10)</f>
        <v/>
      </c>
      <c r="AQ95">
        <f>IFERROR(IF(AZ95&lt;($AM$11-$AL$11)/($AN$11-$AL$11),$AL$11+SQRT(AZ95*($AN$11-$AL$11)*($AM$11-$AL$11)),$AN$11-SQRT((1-AZ95)*($AN$11-$AL$11)*($AN$11-$AM$11))),$AM$11)</f>
        <v/>
      </c>
      <c r="AR95">
        <f>SUMPRODUCT((B24:B31&lt;=$B$6)*(C24:C31*AM95+D24:D31*AO95*$B$8*AQ95)/(1+AL95/100)^B24:B31)+C32*AM95*AP95/(1+AL95/100)^$B$6</f>
        <v/>
      </c>
      <c r="AS95">
        <f>SUMPRODUCT((K24:K26&lt;=$B$6)*(L24:L26*AN95+M24:M26*AO95*$B$8*AQ95)/(1+AL95/100)^K24:K26)+L27*AN95*AP95/(1+AL95/100)^$B$6</f>
        <v/>
      </c>
      <c r="AT95">
        <f>AS95-AR95</f>
        <v/>
      </c>
      <c r="AU95">
        <f>RAND()</f>
        <v/>
      </c>
      <c r="AV95">
        <f>RAND()</f>
        <v/>
      </c>
      <c r="AW95">
        <f>RAND()</f>
        <v/>
      </c>
      <c r="AX95">
        <f>RAND()</f>
        <v/>
      </c>
      <c r="AY95">
        <f>RAND()</f>
        <v/>
      </c>
      <c r="AZ95">
        <f>RAND()</f>
        <v/>
      </c>
    </row>
    <row r="96">
      <c r="A96" t="n">
        <v>2</v>
      </c>
      <c r="B96">
        <f>$B$7+A96</f>
        <v/>
      </c>
      <c r="C96" s="14">
        <f>IF(A96&gt;$B$6,0,SUMIF(B24:B31,A96,E24:E31)+IF(A96=$B$6,E32,0))</f>
        <v/>
      </c>
      <c r="D96" s="14">
        <f>IF(A96&gt;$B$6,0,SUMIF(B24:B31,A96,F24:F31))</f>
        <v/>
      </c>
      <c r="E96" s="14">
        <f>IF(A96&gt;$B$6,0,SUMIF(K24:K26,A96,N24:N26)+IF(A96=$B$6,N27,0))</f>
        <v/>
      </c>
      <c r="F96" s="14">
        <f>IF(A96&gt;$B$6,0,SUMIF(K24:K26,A96,O24:O26))</f>
        <v/>
      </c>
      <c r="G96" s="14">
        <f>G95+IF(A96&gt;$B$6,0,SUMIF(B24:B31,A96,G24:G31)+IF(A96=$B$6,G32,0))</f>
        <v/>
      </c>
      <c r="H96" s="14">
        <f>H95+IF(A96&gt;$B$6,0,SUMIF(K24:K26,A96,P24:P26)+IF(A96=$B$6,P27,0))</f>
        <v/>
      </c>
      <c r="I96">
        <f>IF(A96&gt;$B$6,0,SUMIF(B24:B31,A96,D24:D31)*$B$10)</f>
        <v/>
      </c>
      <c r="J96">
        <f>IF(A96&gt;$B$6,0,SUMIF(K24:K26,A96,M24:M26)*$B$10)</f>
        <v/>
      </c>
      <c r="M96" s="14">
        <f>C96+D96</f>
        <v/>
      </c>
      <c r="N96" s="14">
        <f>E96+F96</f>
        <v/>
      </c>
      <c r="AK96" t="n">
        <v>83</v>
      </c>
      <c r="AL96">
        <f>IFERROR(IF(AU96&lt;($AM$6-$AL$6)/($AN$6-$AL$6),$AL$6+SQRT(AU96*($AN$6-$AL$6)*($AM$6-$AL$6)),$AN$6-SQRT((1-AU96)*($AN$6-$AL$6)*($AN$6-$AM$6))),$AM$6)</f>
        <v/>
      </c>
      <c r="AM96">
        <f>IFERROR(IF(AV96&lt;($AM$7-$AL$7)/($AN$7-$AL$7),$AL$7+SQRT(AV96*($AN$7-$AL$7)*($AM$7-$AL$7)),$AN$7-SQRT((1-AV96)*($AN$7-$AL$7)*($AN$7-$AM$7))),$AM$7)</f>
        <v/>
      </c>
      <c r="AN96">
        <f>IFERROR(IF(AW96&lt;($AM$8-$AL$8)/($AN$8-$AL$8),$AL$8+SQRT(AW96*($AN$8-$AL$8)*($AM$8-$AL$8)),$AN$8-SQRT((1-AW96)*($AN$8-$AL$8)*($AN$8-$AM$8))),$AM$8)</f>
        <v/>
      </c>
      <c r="AO96">
        <f>IFERROR(IF(AX96&lt;($AM$9-$AL$9)/($AN$9-$AL$9),$AL$9+SQRT(AX96*($AN$9-$AL$9)*($AM$9-$AL$9)),$AN$9-SQRT((1-AX96)*($AN$9-$AL$9)*($AN$9-$AM$9))),$AM$9)</f>
        <v/>
      </c>
      <c r="AP96">
        <f>IFERROR(IF(AY96&lt;($AM$10-$AL$10)/($AN$10-$AL$10),$AL$10+SQRT(AY96*($AN$10-$AL$10)*($AM$10-$AL$10)),$AN$10-SQRT((1-AY96)*($AN$10-$AL$10)*($AN$10-$AM$10))),$AM$10)</f>
        <v/>
      </c>
      <c r="AQ96">
        <f>IFERROR(IF(AZ96&lt;($AM$11-$AL$11)/($AN$11-$AL$11),$AL$11+SQRT(AZ96*($AN$11-$AL$11)*($AM$11-$AL$11)),$AN$11-SQRT((1-AZ96)*($AN$11-$AL$11)*($AN$11-$AM$11))),$AM$11)</f>
        <v/>
      </c>
      <c r="AR96">
        <f>SUMPRODUCT((B24:B31&lt;=$B$6)*(C24:C31*AM96+D24:D31*AO96*$B$8*AQ96)/(1+AL96/100)^B24:B31)+C32*AM96*AP96/(1+AL96/100)^$B$6</f>
        <v/>
      </c>
      <c r="AS96">
        <f>SUMPRODUCT((K24:K26&lt;=$B$6)*(L24:L26*AN96+M24:M26*AO96*$B$8*AQ96)/(1+AL96/100)^K24:K26)+L27*AN96*AP96/(1+AL96/100)^$B$6</f>
        <v/>
      </c>
      <c r="AT96">
        <f>AS96-AR96</f>
        <v/>
      </c>
      <c r="AU96">
        <f>RAND()</f>
        <v/>
      </c>
      <c r="AV96">
        <f>RAND()</f>
        <v/>
      </c>
      <c r="AW96">
        <f>RAND()</f>
        <v/>
      </c>
      <c r="AX96">
        <f>RAND()</f>
        <v/>
      </c>
      <c r="AY96">
        <f>RAND()</f>
        <v/>
      </c>
      <c r="AZ96">
        <f>RAND()</f>
        <v/>
      </c>
    </row>
    <row r="97">
      <c r="A97" t="n">
        <v>3</v>
      </c>
      <c r="B97">
        <f>$B$7+A97</f>
        <v/>
      </c>
      <c r="C97" s="14">
        <f>IF(A97&gt;$B$6,0,SUMIF(B24:B31,A97,E24:E31)+IF(A97=$B$6,E32,0))</f>
        <v/>
      </c>
      <c r="D97" s="14">
        <f>IF(A97&gt;$B$6,0,SUMIF(B24:B31,A97,F24:F31))</f>
        <v/>
      </c>
      <c r="E97" s="14">
        <f>IF(A97&gt;$B$6,0,SUMIF(K24:K26,A97,N24:N26)+IF(A97=$B$6,N27,0))</f>
        <v/>
      </c>
      <c r="F97" s="14">
        <f>IF(A97&gt;$B$6,0,SUMIF(K24:K26,A97,O24:O26))</f>
        <v/>
      </c>
      <c r="G97" s="14">
        <f>G96+IF(A97&gt;$B$6,0,SUMIF(B24:B31,A97,G24:G31)+IF(A97=$B$6,G32,0))</f>
        <v/>
      </c>
      <c r="H97" s="14">
        <f>H96+IF(A97&gt;$B$6,0,SUMIF(K24:K26,A97,P24:P26)+IF(A97=$B$6,P27,0))</f>
        <v/>
      </c>
      <c r="I97">
        <f>IF(A97&gt;$B$6,0,SUMIF(B24:B31,A97,D24:D31)*$B$10)</f>
        <v/>
      </c>
      <c r="J97">
        <f>IF(A97&gt;$B$6,0,SUMIF(K24:K26,A97,M24:M26)*$B$10)</f>
        <v/>
      </c>
      <c r="M97" s="14">
        <f>C97+D97</f>
        <v/>
      </c>
      <c r="N97" s="14">
        <f>E97+F97</f>
        <v/>
      </c>
      <c r="AK97" t="n">
        <v>84</v>
      </c>
      <c r="AL97">
        <f>IFERROR(IF(AU97&lt;($AM$6-$AL$6)/($AN$6-$AL$6),$AL$6+SQRT(AU97*($AN$6-$AL$6)*($AM$6-$AL$6)),$AN$6-SQRT((1-AU97)*($AN$6-$AL$6)*($AN$6-$AM$6))),$AM$6)</f>
        <v/>
      </c>
      <c r="AM97">
        <f>IFERROR(IF(AV97&lt;($AM$7-$AL$7)/($AN$7-$AL$7),$AL$7+SQRT(AV97*($AN$7-$AL$7)*($AM$7-$AL$7)),$AN$7-SQRT((1-AV97)*($AN$7-$AL$7)*($AN$7-$AM$7))),$AM$7)</f>
        <v/>
      </c>
      <c r="AN97">
        <f>IFERROR(IF(AW97&lt;($AM$8-$AL$8)/($AN$8-$AL$8),$AL$8+SQRT(AW97*($AN$8-$AL$8)*($AM$8-$AL$8)),$AN$8-SQRT((1-AW97)*($AN$8-$AL$8)*($AN$8-$AM$8))),$AM$8)</f>
        <v/>
      </c>
      <c r="AO97">
        <f>IFERROR(IF(AX97&lt;($AM$9-$AL$9)/($AN$9-$AL$9),$AL$9+SQRT(AX97*($AN$9-$AL$9)*($AM$9-$AL$9)),$AN$9-SQRT((1-AX97)*($AN$9-$AL$9)*($AN$9-$AM$9))),$AM$9)</f>
        <v/>
      </c>
      <c r="AP97">
        <f>IFERROR(IF(AY97&lt;($AM$10-$AL$10)/($AN$10-$AL$10),$AL$10+SQRT(AY97*($AN$10-$AL$10)*($AM$10-$AL$10)),$AN$10-SQRT((1-AY97)*($AN$10-$AL$10)*($AN$10-$AM$10))),$AM$10)</f>
        <v/>
      </c>
      <c r="AQ97">
        <f>IFERROR(IF(AZ97&lt;($AM$11-$AL$11)/($AN$11-$AL$11),$AL$11+SQRT(AZ97*($AN$11-$AL$11)*($AM$11-$AL$11)),$AN$11-SQRT((1-AZ97)*($AN$11-$AL$11)*($AN$11-$AM$11))),$AM$11)</f>
        <v/>
      </c>
      <c r="AR97">
        <f>SUMPRODUCT((B24:B31&lt;=$B$6)*(C24:C31*AM97+D24:D31*AO97*$B$8*AQ97)/(1+AL97/100)^B24:B31)+C32*AM97*AP97/(1+AL97/100)^$B$6</f>
        <v/>
      </c>
      <c r="AS97">
        <f>SUMPRODUCT((K24:K26&lt;=$B$6)*(L24:L26*AN97+M24:M26*AO97*$B$8*AQ97)/(1+AL97/100)^K24:K26)+L27*AN97*AP97/(1+AL97/100)^$B$6</f>
        <v/>
      </c>
      <c r="AT97">
        <f>AS97-AR97</f>
        <v/>
      </c>
      <c r="AU97">
        <f>RAND()</f>
        <v/>
      </c>
      <c r="AV97">
        <f>RAND()</f>
        <v/>
      </c>
      <c r="AW97">
        <f>RAND()</f>
        <v/>
      </c>
      <c r="AX97">
        <f>RAND()</f>
        <v/>
      </c>
      <c r="AY97">
        <f>RAND()</f>
        <v/>
      </c>
      <c r="AZ97">
        <f>RAND()</f>
        <v/>
      </c>
    </row>
    <row r="98">
      <c r="A98" t="n">
        <v>4</v>
      </c>
      <c r="B98">
        <f>$B$7+A98</f>
        <v/>
      </c>
      <c r="C98" s="14">
        <f>IF(A98&gt;$B$6,0,SUMIF(B24:B31,A98,E24:E31)+IF(A98=$B$6,E32,0))</f>
        <v/>
      </c>
      <c r="D98" s="14">
        <f>IF(A98&gt;$B$6,0,SUMIF(B24:B31,A98,F24:F31))</f>
        <v/>
      </c>
      <c r="E98" s="14">
        <f>IF(A98&gt;$B$6,0,SUMIF(K24:K26,A98,N24:N26)+IF(A98=$B$6,N27,0))</f>
        <v/>
      </c>
      <c r="F98" s="14">
        <f>IF(A98&gt;$B$6,0,SUMIF(K24:K26,A98,O24:O26))</f>
        <v/>
      </c>
      <c r="G98" s="14">
        <f>G97+IF(A98&gt;$B$6,0,SUMIF(B24:B31,A98,G24:G31)+IF(A98=$B$6,G32,0))</f>
        <v/>
      </c>
      <c r="H98" s="14">
        <f>H97+IF(A98&gt;$B$6,0,SUMIF(K24:K26,A98,P24:P26)+IF(A98=$B$6,P27,0))</f>
        <v/>
      </c>
      <c r="I98">
        <f>IF(A98&gt;$B$6,0,SUMIF(B24:B31,A98,D24:D31)*$B$10)</f>
        <v/>
      </c>
      <c r="J98">
        <f>IF(A98&gt;$B$6,0,SUMIF(K24:K26,A98,M24:M26)*$B$10)</f>
        <v/>
      </c>
      <c r="M98" s="14">
        <f>C98+D98</f>
        <v/>
      </c>
      <c r="N98" s="14">
        <f>E98+F98</f>
        <v/>
      </c>
      <c r="AK98" t="n">
        <v>85</v>
      </c>
      <c r="AL98">
        <f>IFERROR(IF(AU98&lt;($AM$6-$AL$6)/($AN$6-$AL$6),$AL$6+SQRT(AU98*($AN$6-$AL$6)*($AM$6-$AL$6)),$AN$6-SQRT((1-AU98)*($AN$6-$AL$6)*($AN$6-$AM$6))),$AM$6)</f>
        <v/>
      </c>
      <c r="AM98">
        <f>IFERROR(IF(AV98&lt;($AM$7-$AL$7)/($AN$7-$AL$7),$AL$7+SQRT(AV98*($AN$7-$AL$7)*($AM$7-$AL$7)),$AN$7-SQRT((1-AV98)*($AN$7-$AL$7)*($AN$7-$AM$7))),$AM$7)</f>
        <v/>
      </c>
      <c r="AN98">
        <f>IFERROR(IF(AW98&lt;($AM$8-$AL$8)/($AN$8-$AL$8),$AL$8+SQRT(AW98*($AN$8-$AL$8)*($AM$8-$AL$8)),$AN$8-SQRT((1-AW98)*($AN$8-$AL$8)*($AN$8-$AM$8))),$AM$8)</f>
        <v/>
      </c>
      <c r="AO98">
        <f>IFERROR(IF(AX98&lt;($AM$9-$AL$9)/($AN$9-$AL$9),$AL$9+SQRT(AX98*($AN$9-$AL$9)*($AM$9-$AL$9)),$AN$9-SQRT((1-AX98)*($AN$9-$AL$9)*($AN$9-$AM$9))),$AM$9)</f>
        <v/>
      </c>
      <c r="AP98">
        <f>IFERROR(IF(AY98&lt;($AM$10-$AL$10)/($AN$10-$AL$10),$AL$10+SQRT(AY98*($AN$10-$AL$10)*($AM$10-$AL$10)),$AN$10-SQRT((1-AY98)*($AN$10-$AL$10)*($AN$10-$AM$10))),$AM$10)</f>
        <v/>
      </c>
      <c r="AQ98">
        <f>IFERROR(IF(AZ98&lt;($AM$11-$AL$11)/($AN$11-$AL$11),$AL$11+SQRT(AZ98*($AN$11-$AL$11)*($AM$11-$AL$11)),$AN$11-SQRT((1-AZ98)*($AN$11-$AL$11)*($AN$11-$AM$11))),$AM$11)</f>
        <v/>
      </c>
      <c r="AR98">
        <f>SUMPRODUCT((B24:B31&lt;=$B$6)*(C24:C31*AM98+D24:D31*AO98*$B$8*AQ98)/(1+AL98/100)^B24:B31)+C32*AM98*AP98/(1+AL98/100)^$B$6</f>
        <v/>
      </c>
      <c r="AS98">
        <f>SUMPRODUCT((K24:K26&lt;=$B$6)*(L24:L26*AN98+M24:M26*AO98*$B$8*AQ98)/(1+AL98/100)^K24:K26)+L27*AN98*AP98/(1+AL98/100)^$B$6</f>
        <v/>
      </c>
      <c r="AT98">
        <f>AS98-AR98</f>
        <v/>
      </c>
      <c r="AU98">
        <f>RAND()</f>
        <v/>
      </c>
      <c r="AV98">
        <f>RAND()</f>
        <v/>
      </c>
      <c r="AW98">
        <f>RAND()</f>
        <v/>
      </c>
      <c r="AX98">
        <f>RAND()</f>
        <v/>
      </c>
      <c r="AY98">
        <f>RAND()</f>
        <v/>
      </c>
      <c r="AZ98">
        <f>RAND()</f>
        <v/>
      </c>
    </row>
    <row r="99">
      <c r="A99" t="n">
        <v>5</v>
      </c>
      <c r="B99">
        <f>$B$7+A99</f>
        <v/>
      </c>
      <c r="C99" s="14">
        <f>IF(A99&gt;$B$6,0,SUMIF(B24:B31,A99,E24:E31)+IF(A99=$B$6,E32,0))</f>
        <v/>
      </c>
      <c r="D99" s="14">
        <f>IF(A99&gt;$B$6,0,SUMIF(B24:B31,A99,F24:F31))</f>
        <v/>
      </c>
      <c r="E99" s="14">
        <f>IF(A99&gt;$B$6,0,SUMIF(K24:K26,A99,N24:N26)+IF(A99=$B$6,N27,0))</f>
        <v/>
      </c>
      <c r="F99" s="14">
        <f>IF(A99&gt;$B$6,0,SUMIF(K24:K26,A99,O24:O26))</f>
        <v/>
      </c>
      <c r="G99" s="14">
        <f>G98+IF(A99&gt;$B$6,0,SUMIF(B24:B31,A99,G24:G31)+IF(A99=$B$6,G32,0))</f>
        <v/>
      </c>
      <c r="H99" s="14">
        <f>H98+IF(A99&gt;$B$6,0,SUMIF(K24:K26,A99,P24:P26)+IF(A99=$B$6,P27,0))</f>
        <v/>
      </c>
      <c r="I99">
        <f>IF(A99&gt;$B$6,0,SUMIF(B24:B31,A99,D24:D31)*$B$10)</f>
        <v/>
      </c>
      <c r="J99">
        <f>IF(A99&gt;$B$6,0,SUMIF(K24:K26,A99,M24:M26)*$B$10)</f>
        <v/>
      </c>
      <c r="M99" s="14">
        <f>C99+D99</f>
        <v/>
      </c>
      <c r="N99" s="14">
        <f>E99+F99</f>
        <v/>
      </c>
      <c r="AK99" t="n">
        <v>86</v>
      </c>
      <c r="AL99">
        <f>IFERROR(IF(AU99&lt;($AM$6-$AL$6)/($AN$6-$AL$6),$AL$6+SQRT(AU99*($AN$6-$AL$6)*($AM$6-$AL$6)),$AN$6-SQRT((1-AU99)*($AN$6-$AL$6)*($AN$6-$AM$6))),$AM$6)</f>
        <v/>
      </c>
      <c r="AM99">
        <f>IFERROR(IF(AV99&lt;($AM$7-$AL$7)/($AN$7-$AL$7),$AL$7+SQRT(AV99*($AN$7-$AL$7)*($AM$7-$AL$7)),$AN$7-SQRT((1-AV99)*($AN$7-$AL$7)*($AN$7-$AM$7))),$AM$7)</f>
        <v/>
      </c>
      <c r="AN99">
        <f>IFERROR(IF(AW99&lt;($AM$8-$AL$8)/($AN$8-$AL$8),$AL$8+SQRT(AW99*($AN$8-$AL$8)*($AM$8-$AL$8)),$AN$8-SQRT((1-AW99)*($AN$8-$AL$8)*($AN$8-$AM$8))),$AM$8)</f>
        <v/>
      </c>
      <c r="AO99">
        <f>IFERROR(IF(AX99&lt;($AM$9-$AL$9)/($AN$9-$AL$9),$AL$9+SQRT(AX99*($AN$9-$AL$9)*($AM$9-$AL$9)),$AN$9-SQRT((1-AX99)*($AN$9-$AL$9)*($AN$9-$AM$9))),$AM$9)</f>
        <v/>
      </c>
      <c r="AP99">
        <f>IFERROR(IF(AY99&lt;($AM$10-$AL$10)/($AN$10-$AL$10),$AL$10+SQRT(AY99*($AN$10-$AL$10)*($AM$10-$AL$10)),$AN$10-SQRT((1-AY99)*($AN$10-$AL$10)*($AN$10-$AM$10))),$AM$10)</f>
        <v/>
      </c>
      <c r="AQ99">
        <f>IFERROR(IF(AZ99&lt;($AM$11-$AL$11)/($AN$11-$AL$11),$AL$11+SQRT(AZ99*($AN$11-$AL$11)*($AM$11-$AL$11)),$AN$11-SQRT((1-AZ99)*($AN$11-$AL$11)*($AN$11-$AM$11))),$AM$11)</f>
        <v/>
      </c>
      <c r="AR99">
        <f>SUMPRODUCT((B24:B31&lt;=$B$6)*(C24:C31*AM99+D24:D31*AO99*$B$8*AQ99)/(1+AL99/100)^B24:B31)+C32*AM99*AP99/(1+AL99/100)^$B$6</f>
        <v/>
      </c>
      <c r="AS99">
        <f>SUMPRODUCT((K24:K26&lt;=$B$6)*(L24:L26*AN99+M24:M26*AO99*$B$8*AQ99)/(1+AL99/100)^K24:K26)+L27*AN99*AP99/(1+AL99/100)^$B$6</f>
        <v/>
      </c>
      <c r="AT99">
        <f>AS99-AR99</f>
        <v/>
      </c>
      <c r="AU99">
        <f>RAND()</f>
        <v/>
      </c>
      <c r="AV99">
        <f>RAND()</f>
        <v/>
      </c>
      <c r="AW99">
        <f>RAND()</f>
        <v/>
      </c>
      <c r="AX99">
        <f>RAND()</f>
        <v/>
      </c>
      <c r="AY99">
        <f>RAND()</f>
        <v/>
      </c>
      <c r="AZ99">
        <f>RAND()</f>
        <v/>
      </c>
    </row>
    <row r="100">
      <c r="A100" t="n">
        <v>6</v>
      </c>
      <c r="B100">
        <f>$B$7+A100</f>
        <v/>
      </c>
      <c r="C100" s="14">
        <f>IF(A100&gt;$B$6,0,SUMIF(B24:B31,A100,E24:E31)+IF(A100=$B$6,E32,0))</f>
        <v/>
      </c>
      <c r="D100" s="14">
        <f>IF(A100&gt;$B$6,0,SUMIF(B24:B31,A100,F24:F31))</f>
        <v/>
      </c>
      <c r="E100" s="14">
        <f>IF(A100&gt;$B$6,0,SUMIF(K24:K26,A100,N24:N26)+IF(A100=$B$6,N27,0))</f>
        <v/>
      </c>
      <c r="F100" s="14">
        <f>IF(A100&gt;$B$6,0,SUMIF(K24:K26,A100,O24:O26))</f>
        <v/>
      </c>
      <c r="G100" s="14">
        <f>G99+IF(A100&gt;$B$6,0,SUMIF(B24:B31,A100,G24:G31)+IF(A100=$B$6,G32,0))</f>
        <v/>
      </c>
      <c r="H100" s="14">
        <f>H99+IF(A100&gt;$B$6,0,SUMIF(K24:K26,A100,P24:P26)+IF(A100=$B$6,P27,0))</f>
        <v/>
      </c>
      <c r="I100">
        <f>IF(A100&gt;$B$6,0,SUMIF(B24:B31,A100,D24:D31)*$B$10)</f>
        <v/>
      </c>
      <c r="J100">
        <f>IF(A100&gt;$B$6,0,SUMIF(K24:K26,A100,M24:M26)*$B$10)</f>
        <v/>
      </c>
      <c r="M100" s="14">
        <f>C100+D100</f>
        <v/>
      </c>
      <c r="N100" s="14">
        <f>E100+F100</f>
        <v/>
      </c>
      <c r="AK100" t="n">
        <v>87</v>
      </c>
      <c r="AL100">
        <f>IFERROR(IF(AU100&lt;($AM$6-$AL$6)/($AN$6-$AL$6),$AL$6+SQRT(AU100*($AN$6-$AL$6)*($AM$6-$AL$6)),$AN$6-SQRT((1-AU100)*($AN$6-$AL$6)*($AN$6-$AM$6))),$AM$6)</f>
        <v/>
      </c>
      <c r="AM100">
        <f>IFERROR(IF(AV100&lt;($AM$7-$AL$7)/($AN$7-$AL$7),$AL$7+SQRT(AV100*($AN$7-$AL$7)*($AM$7-$AL$7)),$AN$7-SQRT((1-AV100)*($AN$7-$AL$7)*($AN$7-$AM$7))),$AM$7)</f>
        <v/>
      </c>
      <c r="AN100">
        <f>IFERROR(IF(AW100&lt;($AM$8-$AL$8)/($AN$8-$AL$8),$AL$8+SQRT(AW100*($AN$8-$AL$8)*($AM$8-$AL$8)),$AN$8-SQRT((1-AW100)*($AN$8-$AL$8)*($AN$8-$AM$8))),$AM$8)</f>
        <v/>
      </c>
      <c r="AO100">
        <f>IFERROR(IF(AX100&lt;($AM$9-$AL$9)/($AN$9-$AL$9),$AL$9+SQRT(AX100*($AN$9-$AL$9)*($AM$9-$AL$9)),$AN$9-SQRT((1-AX100)*($AN$9-$AL$9)*($AN$9-$AM$9))),$AM$9)</f>
        <v/>
      </c>
      <c r="AP100">
        <f>IFERROR(IF(AY100&lt;($AM$10-$AL$10)/($AN$10-$AL$10),$AL$10+SQRT(AY100*($AN$10-$AL$10)*($AM$10-$AL$10)),$AN$10-SQRT((1-AY100)*($AN$10-$AL$10)*($AN$10-$AM$10))),$AM$10)</f>
        <v/>
      </c>
      <c r="AQ100">
        <f>IFERROR(IF(AZ100&lt;($AM$11-$AL$11)/($AN$11-$AL$11),$AL$11+SQRT(AZ100*($AN$11-$AL$11)*($AM$11-$AL$11)),$AN$11-SQRT((1-AZ100)*($AN$11-$AL$11)*($AN$11-$AM$11))),$AM$11)</f>
        <v/>
      </c>
      <c r="AR100">
        <f>SUMPRODUCT((B24:B31&lt;=$B$6)*(C24:C31*AM100+D24:D31*AO100*$B$8*AQ100)/(1+AL100/100)^B24:B31)+C32*AM100*AP100/(1+AL100/100)^$B$6</f>
        <v/>
      </c>
      <c r="AS100">
        <f>SUMPRODUCT((K24:K26&lt;=$B$6)*(L24:L26*AN100+M24:M26*AO100*$B$8*AQ100)/(1+AL100/100)^K24:K26)+L27*AN100*AP100/(1+AL100/100)^$B$6</f>
        <v/>
      </c>
      <c r="AT100">
        <f>AS100-AR100</f>
        <v/>
      </c>
      <c r="AU100">
        <f>RAND()</f>
        <v/>
      </c>
      <c r="AV100">
        <f>RAND()</f>
        <v/>
      </c>
      <c r="AW100">
        <f>RAND()</f>
        <v/>
      </c>
      <c r="AX100">
        <f>RAND()</f>
        <v/>
      </c>
      <c r="AY100">
        <f>RAND()</f>
        <v/>
      </c>
      <c r="AZ100">
        <f>RAND()</f>
        <v/>
      </c>
    </row>
    <row r="101">
      <c r="A101" t="n">
        <v>7</v>
      </c>
      <c r="B101">
        <f>$B$7+A101</f>
        <v/>
      </c>
      <c r="C101" s="14">
        <f>IF(A101&gt;$B$6,0,SUMIF(B24:B31,A101,E24:E31)+IF(A101=$B$6,E32,0))</f>
        <v/>
      </c>
      <c r="D101" s="14">
        <f>IF(A101&gt;$B$6,0,SUMIF(B24:B31,A101,F24:F31))</f>
        <v/>
      </c>
      <c r="E101" s="14">
        <f>IF(A101&gt;$B$6,0,SUMIF(K24:K26,A101,N24:N26)+IF(A101=$B$6,N27,0))</f>
        <v/>
      </c>
      <c r="F101" s="14">
        <f>IF(A101&gt;$B$6,0,SUMIF(K24:K26,A101,O24:O26))</f>
        <v/>
      </c>
      <c r="G101" s="14">
        <f>G100+IF(A101&gt;$B$6,0,SUMIF(B24:B31,A101,G24:G31)+IF(A101=$B$6,G32,0))</f>
        <v/>
      </c>
      <c r="H101" s="14">
        <f>H100+IF(A101&gt;$B$6,0,SUMIF(K24:K26,A101,P24:P26)+IF(A101=$B$6,P27,0))</f>
        <v/>
      </c>
      <c r="I101">
        <f>IF(A101&gt;$B$6,0,SUMIF(B24:B31,A101,D24:D31)*$B$10)</f>
        <v/>
      </c>
      <c r="J101">
        <f>IF(A101&gt;$B$6,0,SUMIF(K24:K26,A101,M24:M26)*$B$10)</f>
        <v/>
      </c>
      <c r="M101" s="14">
        <f>C101+D101</f>
        <v/>
      </c>
      <c r="N101" s="14">
        <f>E101+F101</f>
        <v/>
      </c>
      <c r="AK101" t="n">
        <v>88</v>
      </c>
      <c r="AL101">
        <f>IFERROR(IF(AU101&lt;($AM$6-$AL$6)/($AN$6-$AL$6),$AL$6+SQRT(AU101*($AN$6-$AL$6)*($AM$6-$AL$6)),$AN$6-SQRT((1-AU101)*($AN$6-$AL$6)*($AN$6-$AM$6))),$AM$6)</f>
        <v/>
      </c>
      <c r="AM101">
        <f>IFERROR(IF(AV101&lt;($AM$7-$AL$7)/($AN$7-$AL$7),$AL$7+SQRT(AV101*($AN$7-$AL$7)*($AM$7-$AL$7)),$AN$7-SQRT((1-AV101)*($AN$7-$AL$7)*($AN$7-$AM$7))),$AM$7)</f>
        <v/>
      </c>
      <c r="AN101">
        <f>IFERROR(IF(AW101&lt;($AM$8-$AL$8)/($AN$8-$AL$8),$AL$8+SQRT(AW101*($AN$8-$AL$8)*($AM$8-$AL$8)),$AN$8-SQRT((1-AW101)*($AN$8-$AL$8)*($AN$8-$AM$8))),$AM$8)</f>
        <v/>
      </c>
      <c r="AO101">
        <f>IFERROR(IF(AX101&lt;($AM$9-$AL$9)/($AN$9-$AL$9),$AL$9+SQRT(AX101*($AN$9-$AL$9)*($AM$9-$AL$9)),$AN$9-SQRT((1-AX101)*($AN$9-$AL$9)*($AN$9-$AM$9))),$AM$9)</f>
        <v/>
      </c>
      <c r="AP101">
        <f>IFERROR(IF(AY101&lt;($AM$10-$AL$10)/($AN$10-$AL$10),$AL$10+SQRT(AY101*($AN$10-$AL$10)*($AM$10-$AL$10)),$AN$10-SQRT((1-AY101)*($AN$10-$AL$10)*($AN$10-$AM$10))),$AM$10)</f>
        <v/>
      </c>
      <c r="AQ101">
        <f>IFERROR(IF(AZ101&lt;($AM$11-$AL$11)/($AN$11-$AL$11),$AL$11+SQRT(AZ101*($AN$11-$AL$11)*($AM$11-$AL$11)),$AN$11-SQRT((1-AZ101)*($AN$11-$AL$11)*($AN$11-$AM$11))),$AM$11)</f>
        <v/>
      </c>
      <c r="AR101">
        <f>SUMPRODUCT((B24:B31&lt;=$B$6)*(C24:C31*AM101+D24:D31*AO101*$B$8*AQ101)/(1+AL101/100)^B24:B31)+C32*AM101*AP101/(1+AL101/100)^$B$6</f>
        <v/>
      </c>
      <c r="AS101">
        <f>SUMPRODUCT((K24:K26&lt;=$B$6)*(L24:L26*AN101+M24:M26*AO101*$B$8*AQ101)/(1+AL101/100)^K24:K26)+L27*AN101*AP101/(1+AL101/100)^$B$6</f>
        <v/>
      </c>
      <c r="AT101">
        <f>AS101-AR101</f>
        <v/>
      </c>
      <c r="AU101">
        <f>RAND()</f>
        <v/>
      </c>
      <c r="AV101">
        <f>RAND()</f>
        <v/>
      </c>
      <c r="AW101">
        <f>RAND()</f>
        <v/>
      </c>
      <c r="AX101">
        <f>RAND()</f>
        <v/>
      </c>
      <c r="AY101">
        <f>RAND()</f>
        <v/>
      </c>
      <c r="AZ101">
        <f>RAND()</f>
        <v/>
      </c>
    </row>
    <row r="102">
      <c r="A102" t="n">
        <v>8</v>
      </c>
      <c r="B102">
        <f>$B$7+A102</f>
        <v/>
      </c>
      <c r="C102" s="14">
        <f>IF(A102&gt;$B$6,0,SUMIF(B24:B31,A102,E24:E31)+IF(A102=$B$6,E32,0))</f>
        <v/>
      </c>
      <c r="D102" s="14">
        <f>IF(A102&gt;$B$6,0,SUMIF(B24:B31,A102,F24:F31))</f>
        <v/>
      </c>
      <c r="E102" s="14">
        <f>IF(A102&gt;$B$6,0,SUMIF(K24:K26,A102,N24:N26)+IF(A102=$B$6,N27,0))</f>
        <v/>
      </c>
      <c r="F102" s="14">
        <f>IF(A102&gt;$B$6,0,SUMIF(K24:K26,A102,O24:O26))</f>
        <v/>
      </c>
      <c r="G102" s="14">
        <f>G101+IF(A102&gt;$B$6,0,SUMIF(B24:B31,A102,G24:G31)+IF(A102=$B$6,G32,0))</f>
        <v/>
      </c>
      <c r="H102" s="14">
        <f>H101+IF(A102&gt;$B$6,0,SUMIF(K24:K26,A102,P24:P26)+IF(A102=$B$6,P27,0))</f>
        <v/>
      </c>
      <c r="I102">
        <f>IF(A102&gt;$B$6,0,SUMIF(B24:B31,A102,D24:D31)*$B$10)</f>
        <v/>
      </c>
      <c r="J102">
        <f>IF(A102&gt;$B$6,0,SUMIF(K24:K26,A102,M24:M26)*$B$10)</f>
        <v/>
      </c>
      <c r="M102" s="14">
        <f>C102+D102</f>
        <v/>
      </c>
      <c r="N102" s="14">
        <f>E102+F102</f>
        <v/>
      </c>
      <c r="AK102" t="n">
        <v>89</v>
      </c>
      <c r="AL102">
        <f>IFERROR(IF(AU102&lt;($AM$6-$AL$6)/($AN$6-$AL$6),$AL$6+SQRT(AU102*($AN$6-$AL$6)*($AM$6-$AL$6)),$AN$6-SQRT((1-AU102)*($AN$6-$AL$6)*($AN$6-$AM$6))),$AM$6)</f>
        <v/>
      </c>
      <c r="AM102">
        <f>IFERROR(IF(AV102&lt;($AM$7-$AL$7)/($AN$7-$AL$7),$AL$7+SQRT(AV102*($AN$7-$AL$7)*($AM$7-$AL$7)),$AN$7-SQRT((1-AV102)*($AN$7-$AL$7)*($AN$7-$AM$7))),$AM$7)</f>
        <v/>
      </c>
      <c r="AN102">
        <f>IFERROR(IF(AW102&lt;($AM$8-$AL$8)/($AN$8-$AL$8),$AL$8+SQRT(AW102*($AN$8-$AL$8)*($AM$8-$AL$8)),$AN$8-SQRT((1-AW102)*($AN$8-$AL$8)*($AN$8-$AM$8))),$AM$8)</f>
        <v/>
      </c>
      <c r="AO102">
        <f>IFERROR(IF(AX102&lt;($AM$9-$AL$9)/($AN$9-$AL$9),$AL$9+SQRT(AX102*($AN$9-$AL$9)*($AM$9-$AL$9)),$AN$9-SQRT((1-AX102)*($AN$9-$AL$9)*($AN$9-$AM$9))),$AM$9)</f>
        <v/>
      </c>
      <c r="AP102">
        <f>IFERROR(IF(AY102&lt;($AM$10-$AL$10)/($AN$10-$AL$10),$AL$10+SQRT(AY102*($AN$10-$AL$10)*($AM$10-$AL$10)),$AN$10-SQRT((1-AY102)*($AN$10-$AL$10)*($AN$10-$AM$10))),$AM$10)</f>
        <v/>
      </c>
      <c r="AQ102">
        <f>IFERROR(IF(AZ102&lt;($AM$11-$AL$11)/($AN$11-$AL$11),$AL$11+SQRT(AZ102*($AN$11-$AL$11)*($AM$11-$AL$11)),$AN$11-SQRT((1-AZ102)*($AN$11-$AL$11)*($AN$11-$AM$11))),$AM$11)</f>
        <v/>
      </c>
      <c r="AR102">
        <f>SUMPRODUCT((B24:B31&lt;=$B$6)*(C24:C31*AM102+D24:D31*AO102*$B$8*AQ102)/(1+AL102/100)^B24:B31)+C32*AM102*AP102/(1+AL102/100)^$B$6</f>
        <v/>
      </c>
      <c r="AS102">
        <f>SUMPRODUCT((K24:K26&lt;=$B$6)*(L24:L26*AN102+M24:M26*AO102*$B$8*AQ102)/(1+AL102/100)^K24:K26)+L27*AN102*AP102/(1+AL102/100)^$B$6</f>
        <v/>
      </c>
      <c r="AT102">
        <f>AS102-AR102</f>
        <v/>
      </c>
      <c r="AU102">
        <f>RAND()</f>
        <v/>
      </c>
      <c r="AV102">
        <f>RAND()</f>
        <v/>
      </c>
      <c r="AW102">
        <f>RAND()</f>
        <v/>
      </c>
      <c r="AX102">
        <f>RAND()</f>
        <v/>
      </c>
      <c r="AY102">
        <f>RAND()</f>
        <v/>
      </c>
      <c r="AZ102">
        <f>RAND()</f>
        <v/>
      </c>
    </row>
    <row r="103">
      <c r="A103" t="n">
        <v>9</v>
      </c>
      <c r="B103">
        <f>$B$7+A103</f>
        <v/>
      </c>
      <c r="C103" s="14">
        <f>IF(A103&gt;$B$6,0,SUMIF(B24:B31,A103,E24:E31)+IF(A103=$B$6,E32,0))</f>
        <v/>
      </c>
      <c r="D103" s="14">
        <f>IF(A103&gt;$B$6,0,SUMIF(B24:B31,A103,F24:F31))</f>
        <v/>
      </c>
      <c r="E103" s="14">
        <f>IF(A103&gt;$B$6,0,SUMIF(K24:K26,A103,N24:N26)+IF(A103=$B$6,N27,0))</f>
        <v/>
      </c>
      <c r="F103" s="14">
        <f>IF(A103&gt;$B$6,0,SUMIF(K24:K26,A103,O24:O26))</f>
        <v/>
      </c>
      <c r="G103" s="14">
        <f>G102+IF(A103&gt;$B$6,0,SUMIF(B24:B31,A103,G24:G31)+IF(A103=$B$6,G32,0))</f>
        <v/>
      </c>
      <c r="H103" s="14">
        <f>H102+IF(A103&gt;$B$6,0,SUMIF(K24:K26,A103,P24:P26)+IF(A103=$B$6,P27,0))</f>
        <v/>
      </c>
      <c r="I103">
        <f>IF(A103&gt;$B$6,0,SUMIF(B24:B31,A103,D24:D31)*$B$10)</f>
        <v/>
      </c>
      <c r="J103">
        <f>IF(A103&gt;$B$6,0,SUMIF(K24:K26,A103,M24:M26)*$B$10)</f>
        <v/>
      </c>
      <c r="M103" s="14">
        <f>C103+D103</f>
        <v/>
      </c>
      <c r="N103" s="14">
        <f>E103+F103</f>
        <v/>
      </c>
      <c r="AK103" t="n">
        <v>90</v>
      </c>
      <c r="AL103">
        <f>IFERROR(IF(AU103&lt;($AM$6-$AL$6)/($AN$6-$AL$6),$AL$6+SQRT(AU103*($AN$6-$AL$6)*($AM$6-$AL$6)),$AN$6-SQRT((1-AU103)*($AN$6-$AL$6)*($AN$6-$AM$6))),$AM$6)</f>
        <v/>
      </c>
      <c r="AM103">
        <f>IFERROR(IF(AV103&lt;($AM$7-$AL$7)/($AN$7-$AL$7),$AL$7+SQRT(AV103*($AN$7-$AL$7)*($AM$7-$AL$7)),$AN$7-SQRT((1-AV103)*($AN$7-$AL$7)*($AN$7-$AM$7))),$AM$7)</f>
        <v/>
      </c>
      <c r="AN103">
        <f>IFERROR(IF(AW103&lt;($AM$8-$AL$8)/($AN$8-$AL$8),$AL$8+SQRT(AW103*($AN$8-$AL$8)*($AM$8-$AL$8)),$AN$8-SQRT((1-AW103)*($AN$8-$AL$8)*($AN$8-$AM$8))),$AM$8)</f>
        <v/>
      </c>
      <c r="AO103">
        <f>IFERROR(IF(AX103&lt;($AM$9-$AL$9)/($AN$9-$AL$9),$AL$9+SQRT(AX103*($AN$9-$AL$9)*($AM$9-$AL$9)),$AN$9-SQRT((1-AX103)*($AN$9-$AL$9)*($AN$9-$AM$9))),$AM$9)</f>
        <v/>
      </c>
      <c r="AP103">
        <f>IFERROR(IF(AY103&lt;($AM$10-$AL$10)/($AN$10-$AL$10),$AL$10+SQRT(AY103*($AN$10-$AL$10)*($AM$10-$AL$10)),$AN$10-SQRT((1-AY103)*($AN$10-$AL$10)*($AN$10-$AM$10))),$AM$10)</f>
        <v/>
      </c>
      <c r="AQ103">
        <f>IFERROR(IF(AZ103&lt;($AM$11-$AL$11)/($AN$11-$AL$11),$AL$11+SQRT(AZ103*($AN$11-$AL$11)*($AM$11-$AL$11)),$AN$11-SQRT((1-AZ103)*($AN$11-$AL$11)*($AN$11-$AM$11))),$AM$11)</f>
        <v/>
      </c>
      <c r="AR103">
        <f>SUMPRODUCT((B24:B31&lt;=$B$6)*(C24:C31*AM103+D24:D31*AO103*$B$8*AQ103)/(1+AL103/100)^B24:B31)+C32*AM103*AP103/(1+AL103/100)^$B$6</f>
        <v/>
      </c>
      <c r="AS103">
        <f>SUMPRODUCT((K24:K26&lt;=$B$6)*(L24:L26*AN103+M24:M26*AO103*$B$8*AQ103)/(1+AL103/100)^K24:K26)+L27*AN103*AP103/(1+AL103/100)^$B$6</f>
        <v/>
      </c>
      <c r="AT103">
        <f>AS103-AR103</f>
        <v/>
      </c>
      <c r="AU103">
        <f>RAND()</f>
        <v/>
      </c>
      <c r="AV103">
        <f>RAND()</f>
        <v/>
      </c>
      <c r="AW103">
        <f>RAND()</f>
        <v/>
      </c>
      <c r="AX103">
        <f>RAND()</f>
        <v/>
      </c>
      <c r="AY103">
        <f>RAND()</f>
        <v/>
      </c>
      <c r="AZ103">
        <f>RAND()</f>
        <v/>
      </c>
    </row>
    <row r="104">
      <c r="A104" t="n">
        <v>10</v>
      </c>
      <c r="B104">
        <f>$B$7+A104</f>
        <v/>
      </c>
      <c r="C104" s="14">
        <f>IF(A104&gt;$B$6,0,SUMIF(B24:B31,A104,E24:E31)+IF(A104=$B$6,E32,0))</f>
        <v/>
      </c>
      <c r="D104" s="14">
        <f>IF(A104&gt;$B$6,0,SUMIF(B24:B31,A104,F24:F31))</f>
        <v/>
      </c>
      <c r="E104" s="14">
        <f>IF(A104&gt;$B$6,0,SUMIF(K24:K26,A104,N24:N26)+IF(A104=$B$6,N27,0))</f>
        <v/>
      </c>
      <c r="F104" s="14">
        <f>IF(A104&gt;$B$6,0,SUMIF(K24:K26,A104,O24:O26))</f>
        <v/>
      </c>
      <c r="G104" s="14">
        <f>G103+IF(A104&gt;$B$6,0,SUMIF(B24:B31,A104,G24:G31)+IF(A104=$B$6,G32,0))</f>
        <v/>
      </c>
      <c r="H104" s="14">
        <f>H103+IF(A104&gt;$B$6,0,SUMIF(K24:K26,A104,P24:P26)+IF(A104=$B$6,P27,0))</f>
        <v/>
      </c>
      <c r="I104">
        <f>IF(A104&gt;$B$6,0,SUMIF(B24:B31,A104,D24:D31)*$B$10)</f>
        <v/>
      </c>
      <c r="J104">
        <f>IF(A104&gt;$B$6,0,SUMIF(K24:K26,A104,M24:M26)*$B$10)</f>
        <v/>
      </c>
      <c r="M104" s="14">
        <f>C104+D104</f>
        <v/>
      </c>
      <c r="N104" s="14">
        <f>E104+F104</f>
        <v/>
      </c>
      <c r="AK104" t="n">
        <v>91</v>
      </c>
      <c r="AL104">
        <f>IFERROR(IF(AU104&lt;($AM$6-$AL$6)/($AN$6-$AL$6),$AL$6+SQRT(AU104*($AN$6-$AL$6)*($AM$6-$AL$6)),$AN$6-SQRT((1-AU104)*($AN$6-$AL$6)*($AN$6-$AM$6))),$AM$6)</f>
        <v/>
      </c>
      <c r="AM104">
        <f>IFERROR(IF(AV104&lt;($AM$7-$AL$7)/($AN$7-$AL$7),$AL$7+SQRT(AV104*($AN$7-$AL$7)*($AM$7-$AL$7)),$AN$7-SQRT((1-AV104)*($AN$7-$AL$7)*($AN$7-$AM$7))),$AM$7)</f>
        <v/>
      </c>
      <c r="AN104">
        <f>IFERROR(IF(AW104&lt;($AM$8-$AL$8)/($AN$8-$AL$8),$AL$8+SQRT(AW104*($AN$8-$AL$8)*($AM$8-$AL$8)),$AN$8-SQRT((1-AW104)*($AN$8-$AL$8)*($AN$8-$AM$8))),$AM$8)</f>
        <v/>
      </c>
      <c r="AO104">
        <f>IFERROR(IF(AX104&lt;($AM$9-$AL$9)/($AN$9-$AL$9),$AL$9+SQRT(AX104*($AN$9-$AL$9)*($AM$9-$AL$9)),$AN$9-SQRT((1-AX104)*($AN$9-$AL$9)*($AN$9-$AM$9))),$AM$9)</f>
        <v/>
      </c>
      <c r="AP104">
        <f>IFERROR(IF(AY104&lt;($AM$10-$AL$10)/($AN$10-$AL$10),$AL$10+SQRT(AY104*($AN$10-$AL$10)*($AM$10-$AL$10)),$AN$10-SQRT((1-AY104)*($AN$10-$AL$10)*($AN$10-$AM$10))),$AM$10)</f>
        <v/>
      </c>
      <c r="AQ104">
        <f>IFERROR(IF(AZ104&lt;($AM$11-$AL$11)/($AN$11-$AL$11),$AL$11+SQRT(AZ104*($AN$11-$AL$11)*($AM$11-$AL$11)),$AN$11-SQRT((1-AZ104)*($AN$11-$AL$11)*($AN$11-$AM$11))),$AM$11)</f>
        <v/>
      </c>
      <c r="AR104">
        <f>SUMPRODUCT((B24:B31&lt;=$B$6)*(C24:C31*AM104+D24:D31*AO104*$B$8*AQ104)/(1+AL104/100)^B24:B31)+C32*AM104*AP104/(1+AL104/100)^$B$6</f>
        <v/>
      </c>
      <c r="AS104">
        <f>SUMPRODUCT((K24:K26&lt;=$B$6)*(L24:L26*AN104+M24:M26*AO104*$B$8*AQ104)/(1+AL104/100)^K24:K26)+L27*AN104*AP104/(1+AL104/100)^$B$6</f>
        <v/>
      </c>
      <c r="AT104">
        <f>AS104-AR104</f>
        <v/>
      </c>
      <c r="AU104">
        <f>RAND()</f>
        <v/>
      </c>
      <c r="AV104">
        <f>RAND()</f>
        <v/>
      </c>
      <c r="AW104">
        <f>RAND()</f>
        <v/>
      </c>
      <c r="AX104">
        <f>RAND()</f>
        <v/>
      </c>
      <c r="AY104">
        <f>RAND()</f>
        <v/>
      </c>
      <c r="AZ104">
        <f>RAND()</f>
        <v/>
      </c>
    </row>
    <row r="105">
      <c r="A105" t="n">
        <v>11</v>
      </c>
      <c r="B105">
        <f>$B$7+A105</f>
        <v/>
      </c>
      <c r="C105" s="14">
        <f>IF(A105&gt;$B$6,0,SUMIF(B24:B31,A105,E24:E31)+IF(A105=$B$6,E32,0))</f>
        <v/>
      </c>
      <c r="D105" s="14">
        <f>IF(A105&gt;$B$6,0,SUMIF(B24:B31,A105,F24:F31))</f>
        <v/>
      </c>
      <c r="E105" s="14">
        <f>IF(A105&gt;$B$6,0,SUMIF(K24:K26,A105,N24:N26)+IF(A105=$B$6,N27,0))</f>
        <v/>
      </c>
      <c r="F105" s="14">
        <f>IF(A105&gt;$B$6,0,SUMIF(K24:K26,A105,O24:O26))</f>
        <v/>
      </c>
      <c r="G105" s="14">
        <f>G104+IF(A105&gt;$B$6,0,SUMIF(B24:B31,A105,G24:G31)+IF(A105=$B$6,G32,0))</f>
        <v/>
      </c>
      <c r="H105" s="14">
        <f>H104+IF(A105&gt;$B$6,0,SUMIF(K24:K26,A105,P24:P26)+IF(A105=$B$6,P27,0))</f>
        <v/>
      </c>
      <c r="I105">
        <f>IF(A105&gt;$B$6,0,SUMIF(B24:B31,A105,D24:D31)*$B$10)</f>
        <v/>
      </c>
      <c r="J105">
        <f>IF(A105&gt;$B$6,0,SUMIF(K24:K26,A105,M24:M26)*$B$10)</f>
        <v/>
      </c>
      <c r="M105" s="14">
        <f>C105+D105</f>
        <v/>
      </c>
      <c r="N105" s="14">
        <f>E105+F105</f>
        <v/>
      </c>
      <c r="AK105" t="n">
        <v>92</v>
      </c>
      <c r="AL105">
        <f>IFERROR(IF(AU105&lt;($AM$6-$AL$6)/($AN$6-$AL$6),$AL$6+SQRT(AU105*($AN$6-$AL$6)*($AM$6-$AL$6)),$AN$6-SQRT((1-AU105)*($AN$6-$AL$6)*($AN$6-$AM$6))),$AM$6)</f>
        <v/>
      </c>
      <c r="AM105">
        <f>IFERROR(IF(AV105&lt;($AM$7-$AL$7)/($AN$7-$AL$7),$AL$7+SQRT(AV105*($AN$7-$AL$7)*($AM$7-$AL$7)),$AN$7-SQRT((1-AV105)*($AN$7-$AL$7)*($AN$7-$AM$7))),$AM$7)</f>
        <v/>
      </c>
      <c r="AN105">
        <f>IFERROR(IF(AW105&lt;($AM$8-$AL$8)/($AN$8-$AL$8),$AL$8+SQRT(AW105*($AN$8-$AL$8)*($AM$8-$AL$8)),$AN$8-SQRT((1-AW105)*($AN$8-$AL$8)*($AN$8-$AM$8))),$AM$8)</f>
        <v/>
      </c>
      <c r="AO105">
        <f>IFERROR(IF(AX105&lt;($AM$9-$AL$9)/($AN$9-$AL$9),$AL$9+SQRT(AX105*($AN$9-$AL$9)*($AM$9-$AL$9)),$AN$9-SQRT((1-AX105)*($AN$9-$AL$9)*($AN$9-$AM$9))),$AM$9)</f>
        <v/>
      </c>
      <c r="AP105">
        <f>IFERROR(IF(AY105&lt;($AM$10-$AL$10)/($AN$10-$AL$10),$AL$10+SQRT(AY105*($AN$10-$AL$10)*($AM$10-$AL$10)),$AN$10-SQRT((1-AY105)*($AN$10-$AL$10)*($AN$10-$AM$10))),$AM$10)</f>
        <v/>
      </c>
      <c r="AQ105">
        <f>IFERROR(IF(AZ105&lt;($AM$11-$AL$11)/($AN$11-$AL$11),$AL$11+SQRT(AZ105*($AN$11-$AL$11)*($AM$11-$AL$11)),$AN$11-SQRT((1-AZ105)*($AN$11-$AL$11)*($AN$11-$AM$11))),$AM$11)</f>
        <v/>
      </c>
      <c r="AR105">
        <f>SUMPRODUCT((B24:B31&lt;=$B$6)*(C24:C31*AM105+D24:D31*AO105*$B$8*AQ105)/(1+AL105/100)^B24:B31)+C32*AM105*AP105/(1+AL105/100)^$B$6</f>
        <v/>
      </c>
      <c r="AS105">
        <f>SUMPRODUCT((K24:K26&lt;=$B$6)*(L24:L26*AN105+M24:M26*AO105*$B$8*AQ105)/(1+AL105/100)^K24:K26)+L27*AN105*AP105/(1+AL105/100)^$B$6</f>
        <v/>
      </c>
      <c r="AT105">
        <f>AS105-AR105</f>
        <v/>
      </c>
      <c r="AU105">
        <f>RAND()</f>
        <v/>
      </c>
      <c r="AV105">
        <f>RAND()</f>
        <v/>
      </c>
      <c r="AW105">
        <f>RAND()</f>
        <v/>
      </c>
      <c r="AX105">
        <f>RAND()</f>
        <v/>
      </c>
      <c r="AY105">
        <f>RAND()</f>
        <v/>
      </c>
      <c r="AZ105">
        <f>RAND()</f>
        <v/>
      </c>
    </row>
    <row r="106">
      <c r="A106" t="n">
        <v>12</v>
      </c>
      <c r="B106">
        <f>$B$7+A106</f>
        <v/>
      </c>
      <c r="C106" s="14">
        <f>IF(A106&gt;$B$6,0,SUMIF(B24:B31,A106,E24:E31)+IF(A106=$B$6,E32,0))</f>
        <v/>
      </c>
      <c r="D106" s="14">
        <f>IF(A106&gt;$B$6,0,SUMIF(B24:B31,A106,F24:F31))</f>
        <v/>
      </c>
      <c r="E106" s="14">
        <f>IF(A106&gt;$B$6,0,SUMIF(K24:K26,A106,N24:N26)+IF(A106=$B$6,N27,0))</f>
        <v/>
      </c>
      <c r="F106" s="14">
        <f>IF(A106&gt;$B$6,0,SUMIF(K24:K26,A106,O24:O26))</f>
        <v/>
      </c>
      <c r="G106" s="14">
        <f>G105+IF(A106&gt;$B$6,0,SUMIF(B24:B31,A106,G24:G31)+IF(A106=$B$6,G32,0))</f>
        <v/>
      </c>
      <c r="H106" s="14">
        <f>H105+IF(A106&gt;$B$6,0,SUMIF(K24:K26,A106,P24:P26)+IF(A106=$B$6,P27,0))</f>
        <v/>
      </c>
      <c r="I106">
        <f>IF(A106&gt;$B$6,0,SUMIF(B24:B31,A106,D24:D31)*$B$10)</f>
        <v/>
      </c>
      <c r="J106">
        <f>IF(A106&gt;$B$6,0,SUMIF(K24:K26,A106,M24:M26)*$B$10)</f>
        <v/>
      </c>
      <c r="M106" s="14">
        <f>C106+D106</f>
        <v/>
      </c>
      <c r="N106" s="14">
        <f>E106+F106</f>
        <v/>
      </c>
      <c r="AK106" t="n">
        <v>93</v>
      </c>
      <c r="AL106">
        <f>IFERROR(IF(AU106&lt;($AM$6-$AL$6)/($AN$6-$AL$6),$AL$6+SQRT(AU106*($AN$6-$AL$6)*($AM$6-$AL$6)),$AN$6-SQRT((1-AU106)*($AN$6-$AL$6)*($AN$6-$AM$6))),$AM$6)</f>
        <v/>
      </c>
      <c r="AM106">
        <f>IFERROR(IF(AV106&lt;($AM$7-$AL$7)/($AN$7-$AL$7),$AL$7+SQRT(AV106*($AN$7-$AL$7)*($AM$7-$AL$7)),$AN$7-SQRT((1-AV106)*($AN$7-$AL$7)*($AN$7-$AM$7))),$AM$7)</f>
        <v/>
      </c>
      <c r="AN106">
        <f>IFERROR(IF(AW106&lt;($AM$8-$AL$8)/($AN$8-$AL$8),$AL$8+SQRT(AW106*($AN$8-$AL$8)*($AM$8-$AL$8)),$AN$8-SQRT((1-AW106)*($AN$8-$AL$8)*($AN$8-$AM$8))),$AM$8)</f>
        <v/>
      </c>
      <c r="AO106">
        <f>IFERROR(IF(AX106&lt;($AM$9-$AL$9)/($AN$9-$AL$9),$AL$9+SQRT(AX106*($AN$9-$AL$9)*($AM$9-$AL$9)),$AN$9-SQRT((1-AX106)*($AN$9-$AL$9)*($AN$9-$AM$9))),$AM$9)</f>
        <v/>
      </c>
      <c r="AP106">
        <f>IFERROR(IF(AY106&lt;($AM$10-$AL$10)/($AN$10-$AL$10),$AL$10+SQRT(AY106*($AN$10-$AL$10)*($AM$10-$AL$10)),$AN$10-SQRT((1-AY106)*($AN$10-$AL$10)*($AN$10-$AM$10))),$AM$10)</f>
        <v/>
      </c>
      <c r="AQ106">
        <f>IFERROR(IF(AZ106&lt;($AM$11-$AL$11)/($AN$11-$AL$11),$AL$11+SQRT(AZ106*($AN$11-$AL$11)*($AM$11-$AL$11)),$AN$11-SQRT((1-AZ106)*($AN$11-$AL$11)*($AN$11-$AM$11))),$AM$11)</f>
        <v/>
      </c>
      <c r="AR106">
        <f>SUMPRODUCT((B24:B31&lt;=$B$6)*(C24:C31*AM106+D24:D31*AO106*$B$8*AQ106)/(1+AL106/100)^B24:B31)+C32*AM106*AP106/(1+AL106/100)^$B$6</f>
        <v/>
      </c>
      <c r="AS106">
        <f>SUMPRODUCT((K24:K26&lt;=$B$6)*(L24:L26*AN106+M24:M26*AO106*$B$8*AQ106)/(1+AL106/100)^K24:K26)+L27*AN106*AP106/(1+AL106/100)^$B$6</f>
        <v/>
      </c>
      <c r="AT106">
        <f>AS106-AR106</f>
        <v/>
      </c>
      <c r="AU106">
        <f>RAND()</f>
        <v/>
      </c>
      <c r="AV106">
        <f>RAND()</f>
        <v/>
      </c>
      <c r="AW106">
        <f>RAND()</f>
        <v/>
      </c>
      <c r="AX106">
        <f>RAND()</f>
        <v/>
      </c>
      <c r="AY106">
        <f>RAND()</f>
        <v/>
      </c>
      <c r="AZ106">
        <f>RAND()</f>
        <v/>
      </c>
    </row>
    <row r="107">
      <c r="A107" t="n">
        <v>13</v>
      </c>
      <c r="B107">
        <f>$B$7+A107</f>
        <v/>
      </c>
      <c r="C107" s="14">
        <f>IF(A107&gt;$B$6,0,SUMIF(B24:B31,A107,E24:E31)+IF(A107=$B$6,E32,0))</f>
        <v/>
      </c>
      <c r="D107" s="14">
        <f>IF(A107&gt;$B$6,0,SUMIF(B24:B31,A107,F24:F31))</f>
        <v/>
      </c>
      <c r="E107" s="14">
        <f>IF(A107&gt;$B$6,0,SUMIF(K24:K26,A107,N24:N26)+IF(A107=$B$6,N27,0))</f>
        <v/>
      </c>
      <c r="F107" s="14">
        <f>IF(A107&gt;$B$6,0,SUMIF(K24:K26,A107,O24:O26))</f>
        <v/>
      </c>
      <c r="G107" s="14">
        <f>G106+IF(A107&gt;$B$6,0,SUMIF(B24:B31,A107,G24:G31)+IF(A107=$B$6,G32,0))</f>
        <v/>
      </c>
      <c r="H107" s="14">
        <f>H106+IF(A107&gt;$B$6,0,SUMIF(K24:K26,A107,P24:P26)+IF(A107=$B$6,P27,0))</f>
        <v/>
      </c>
      <c r="I107">
        <f>IF(A107&gt;$B$6,0,SUMIF(B24:B31,A107,D24:D31)*$B$10)</f>
        <v/>
      </c>
      <c r="J107">
        <f>IF(A107&gt;$B$6,0,SUMIF(K24:K26,A107,M24:M26)*$B$10)</f>
        <v/>
      </c>
      <c r="M107" s="14">
        <f>C107+D107</f>
        <v/>
      </c>
      <c r="N107" s="14">
        <f>E107+F107</f>
        <v/>
      </c>
      <c r="AK107" t="n">
        <v>94</v>
      </c>
      <c r="AL107">
        <f>IFERROR(IF(AU107&lt;($AM$6-$AL$6)/($AN$6-$AL$6),$AL$6+SQRT(AU107*($AN$6-$AL$6)*($AM$6-$AL$6)),$AN$6-SQRT((1-AU107)*($AN$6-$AL$6)*($AN$6-$AM$6))),$AM$6)</f>
        <v/>
      </c>
      <c r="AM107">
        <f>IFERROR(IF(AV107&lt;($AM$7-$AL$7)/($AN$7-$AL$7),$AL$7+SQRT(AV107*($AN$7-$AL$7)*($AM$7-$AL$7)),$AN$7-SQRT((1-AV107)*($AN$7-$AL$7)*($AN$7-$AM$7))),$AM$7)</f>
        <v/>
      </c>
      <c r="AN107">
        <f>IFERROR(IF(AW107&lt;($AM$8-$AL$8)/($AN$8-$AL$8),$AL$8+SQRT(AW107*($AN$8-$AL$8)*($AM$8-$AL$8)),$AN$8-SQRT((1-AW107)*($AN$8-$AL$8)*($AN$8-$AM$8))),$AM$8)</f>
        <v/>
      </c>
      <c r="AO107">
        <f>IFERROR(IF(AX107&lt;($AM$9-$AL$9)/($AN$9-$AL$9),$AL$9+SQRT(AX107*($AN$9-$AL$9)*($AM$9-$AL$9)),$AN$9-SQRT((1-AX107)*($AN$9-$AL$9)*($AN$9-$AM$9))),$AM$9)</f>
        <v/>
      </c>
      <c r="AP107">
        <f>IFERROR(IF(AY107&lt;($AM$10-$AL$10)/($AN$10-$AL$10),$AL$10+SQRT(AY107*($AN$10-$AL$10)*($AM$10-$AL$10)),$AN$10-SQRT((1-AY107)*($AN$10-$AL$10)*($AN$10-$AM$10))),$AM$10)</f>
        <v/>
      </c>
      <c r="AQ107">
        <f>IFERROR(IF(AZ107&lt;($AM$11-$AL$11)/($AN$11-$AL$11),$AL$11+SQRT(AZ107*($AN$11-$AL$11)*($AM$11-$AL$11)),$AN$11-SQRT((1-AZ107)*($AN$11-$AL$11)*($AN$11-$AM$11))),$AM$11)</f>
        <v/>
      </c>
      <c r="AR107">
        <f>SUMPRODUCT((B24:B31&lt;=$B$6)*(C24:C31*AM107+D24:D31*AO107*$B$8*AQ107)/(1+AL107/100)^B24:B31)+C32*AM107*AP107/(1+AL107/100)^$B$6</f>
        <v/>
      </c>
      <c r="AS107">
        <f>SUMPRODUCT((K24:K26&lt;=$B$6)*(L24:L26*AN107+M24:M26*AO107*$B$8*AQ107)/(1+AL107/100)^K24:K26)+L27*AN107*AP107/(1+AL107/100)^$B$6</f>
        <v/>
      </c>
      <c r="AT107">
        <f>AS107-AR107</f>
        <v/>
      </c>
      <c r="AU107">
        <f>RAND()</f>
        <v/>
      </c>
      <c r="AV107">
        <f>RAND()</f>
        <v/>
      </c>
      <c r="AW107">
        <f>RAND()</f>
        <v/>
      </c>
      <c r="AX107">
        <f>RAND()</f>
        <v/>
      </c>
      <c r="AY107">
        <f>RAND()</f>
        <v/>
      </c>
      <c r="AZ107">
        <f>RAND()</f>
        <v/>
      </c>
    </row>
    <row r="108">
      <c r="A108" t="n">
        <v>14</v>
      </c>
      <c r="B108">
        <f>$B$7+A108</f>
        <v/>
      </c>
      <c r="C108" s="14">
        <f>IF(A108&gt;$B$6,0,SUMIF(B24:B31,A108,E24:E31)+IF(A108=$B$6,E32,0))</f>
        <v/>
      </c>
      <c r="D108" s="14">
        <f>IF(A108&gt;$B$6,0,SUMIF(B24:B31,A108,F24:F31))</f>
        <v/>
      </c>
      <c r="E108" s="14">
        <f>IF(A108&gt;$B$6,0,SUMIF(K24:K26,A108,N24:N26)+IF(A108=$B$6,N27,0))</f>
        <v/>
      </c>
      <c r="F108" s="14">
        <f>IF(A108&gt;$B$6,0,SUMIF(K24:K26,A108,O24:O26))</f>
        <v/>
      </c>
      <c r="G108" s="14">
        <f>G107+IF(A108&gt;$B$6,0,SUMIF(B24:B31,A108,G24:G31)+IF(A108=$B$6,G32,0))</f>
        <v/>
      </c>
      <c r="H108" s="14">
        <f>H107+IF(A108&gt;$B$6,0,SUMIF(K24:K26,A108,P24:P26)+IF(A108=$B$6,P27,0))</f>
        <v/>
      </c>
      <c r="I108">
        <f>IF(A108&gt;$B$6,0,SUMIF(B24:B31,A108,D24:D31)*$B$10)</f>
        <v/>
      </c>
      <c r="J108">
        <f>IF(A108&gt;$B$6,0,SUMIF(K24:K26,A108,M24:M26)*$B$10)</f>
        <v/>
      </c>
      <c r="M108" s="14">
        <f>C108+D108</f>
        <v/>
      </c>
      <c r="N108" s="14">
        <f>E108+F108</f>
        <v/>
      </c>
      <c r="AK108" t="n">
        <v>95</v>
      </c>
      <c r="AL108">
        <f>IFERROR(IF(AU108&lt;($AM$6-$AL$6)/($AN$6-$AL$6),$AL$6+SQRT(AU108*($AN$6-$AL$6)*($AM$6-$AL$6)),$AN$6-SQRT((1-AU108)*($AN$6-$AL$6)*($AN$6-$AM$6))),$AM$6)</f>
        <v/>
      </c>
      <c r="AM108">
        <f>IFERROR(IF(AV108&lt;($AM$7-$AL$7)/($AN$7-$AL$7),$AL$7+SQRT(AV108*($AN$7-$AL$7)*($AM$7-$AL$7)),$AN$7-SQRT((1-AV108)*($AN$7-$AL$7)*($AN$7-$AM$7))),$AM$7)</f>
        <v/>
      </c>
      <c r="AN108">
        <f>IFERROR(IF(AW108&lt;($AM$8-$AL$8)/($AN$8-$AL$8),$AL$8+SQRT(AW108*($AN$8-$AL$8)*($AM$8-$AL$8)),$AN$8-SQRT((1-AW108)*($AN$8-$AL$8)*($AN$8-$AM$8))),$AM$8)</f>
        <v/>
      </c>
      <c r="AO108">
        <f>IFERROR(IF(AX108&lt;($AM$9-$AL$9)/($AN$9-$AL$9),$AL$9+SQRT(AX108*($AN$9-$AL$9)*($AM$9-$AL$9)),$AN$9-SQRT((1-AX108)*($AN$9-$AL$9)*($AN$9-$AM$9))),$AM$9)</f>
        <v/>
      </c>
      <c r="AP108">
        <f>IFERROR(IF(AY108&lt;($AM$10-$AL$10)/($AN$10-$AL$10),$AL$10+SQRT(AY108*($AN$10-$AL$10)*($AM$10-$AL$10)),$AN$10-SQRT((1-AY108)*($AN$10-$AL$10)*($AN$10-$AM$10))),$AM$10)</f>
        <v/>
      </c>
      <c r="AQ108">
        <f>IFERROR(IF(AZ108&lt;($AM$11-$AL$11)/($AN$11-$AL$11),$AL$11+SQRT(AZ108*($AN$11-$AL$11)*($AM$11-$AL$11)),$AN$11-SQRT((1-AZ108)*($AN$11-$AL$11)*($AN$11-$AM$11))),$AM$11)</f>
        <v/>
      </c>
      <c r="AR108">
        <f>SUMPRODUCT((B24:B31&lt;=$B$6)*(C24:C31*AM108+D24:D31*AO108*$B$8*AQ108)/(1+AL108/100)^B24:B31)+C32*AM108*AP108/(1+AL108/100)^$B$6</f>
        <v/>
      </c>
      <c r="AS108">
        <f>SUMPRODUCT((K24:K26&lt;=$B$6)*(L24:L26*AN108+M24:M26*AO108*$B$8*AQ108)/(1+AL108/100)^K24:K26)+L27*AN108*AP108/(1+AL108/100)^$B$6</f>
        <v/>
      </c>
      <c r="AT108">
        <f>AS108-AR108</f>
        <v/>
      </c>
      <c r="AU108">
        <f>RAND()</f>
        <v/>
      </c>
      <c r="AV108">
        <f>RAND()</f>
        <v/>
      </c>
      <c r="AW108">
        <f>RAND()</f>
        <v/>
      </c>
      <c r="AX108">
        <f>RAND()</f>
        <v/>
      </c>
      <c r="AY108">
        <f>RAND()</f>
        <v/>
      </c>
      <c r="AZ108">
        <f>RAND()</f>
        <v/>
      </c>
    </row>
    <row r="109">
      <c r="A109" t="n">
        <v>15</v>
      </c>
      <c r="B109">
        <f>$B$7+A109</f>
        <v/>
      </c>
      <c r="C109" s="14">
        <f>IF(A109&gt;$B$6,0,SUMIF(B24:B31,A109,E24:E31)+IF(A109=$B$6,E32,0))</f>
        <v/>
      </c>
      <c r="D109" s="14">
        <f>IF(A109&gt;$B$6,0,SUMIF(B24:B31,A109,F24:F31))</f>
        <v/>
      </c>
      <c r="E109" s="14">
        <f>IF(A109&gt;$B$6,0,SUMIF(K24:K26,A109,N24:N26)+IF(A109=$B$6,N27,0))</f>
        <v/>
      </c>
      <c r="F109" s="14">
        <f>IF(A109&gt;$B$6,0,SUMIF(K24:K26,A109,O24:O26))</f>
        <v/>
      </c>
      <c r="G109" s="14">
        <f>G108+IF(A109&gt;$B$6,0,SUMIF(B24:B31,A109,G24:G31)+IF(A109=$B$6,G32,0))</f>
        <v/>
      </c>
      <c r="H109" s="14">
        <f>H108+IF(A109&gt;$B$6,0,SUMIF(K24:K26,A109,P24:P26)+IF(A109=$B$6,P27,0))</f>
        <v/>
      </c>
      <c r="I109">
        <f>IF(A109&gt;$B$6,0,SUMIF(B24:B31,A109,D24:D31)*$B$10)</f>
        <v/>
      </c>
      <c r="J109">
        <f>IF(A109&gt;$B$6,0,SUMIF(K24:K26,A109,M24:M26)*$B$10)</f>
        <v/>
      </c>
      <c r="M109" s="14">
        <f>C109+D109</f>
        <v/>
      </c>
      <c r="N109" s="14">
        <f>E109+F109</f>
        <v/>
      </c>
      <c r="AK109" t="n">
        <v>96</v>
      </c>
      <c r="AL109">
        <f>IFERROR(IF(AU109&lt;($AM$6-$AL$6)/($AN$6-$AL$6),$AL$6+SQRT(AU109*($AN$6-$AL$6)*($AM$6-$AL$6)),$AN$6-SQRT((1-AU109)*($AN$6-$AL$6)*($AN$6-$AM$6))),$AM$6)</f>
        <v/>
      </c>
      <c r="AM109">
        <f>IFERROR(IF(AV109&lt;($AM$7-$AL$7)/($AN$7-$AL$7),$AL$7+SQRT(AV109*($AN$7-$AL$7)*($AM$7-$AL$7)),$AN$7-SQRT((1-AV109)*($AN$7-$AL$7)*($AN$7-$AM$7))),$AM$7)</f>
        <v/>
      </c>
      <c r="AN109">
        <f>IFERROR(IF(AW109&lt;($AM$8-$AL$8)/($AN$8-$AL$8),$AL$8+SQRT(AW109*($AN$8-$AL$8)*($AM$8-$AL$8)),$AN$8-SQRT((1-AW109)*($AN$8-$AL$8)*($AN$8-$AM$8))),$AM$8)</f>
        <v/>
      </c>
      <c r="AO109">
        <f>IFERROR(IF(AX109&lt;($AM$9-$AL$9)/($AN$9-$AL$9),$AL$9+SQRT(AX109*($AN$9-$AL$9)*($AM$9-$AL$9)),$AN$9-SQRT((1-AX109)*($AN$9-$AL$9)*($AN$9-$AM$9))),$AM$9)</f>
        <v/>
      </c>
      <c r="AP109">
        <f>IFERROR(IF(AY109&lt;($AM$10-$AL$10)/($AN$10-$AL$10),$AL$10+SQRT(AY109*($AN$10-$AL$10)*($AM$10-$AL$10)),$AN$10-SQRT((1-AY109)*($AN$10-$AL$10)*($AN$10-$AM$10))),$AM$10)</f>
        <v/>
      </c>
      <c r="AQ109">
        <f>IFERROR(IF(AZ109&lt;($AM$11-$AL$11)/($AN$11-$AL$11),$AL$11+SQRT(AZ109*($AN$11-$AL$11)*($AM$11-$AL$11)),$AN$11-SQRT((1-AZ109)*($AN$11-$AL$11)*($AN$11-$AM$11))),$AM$11)</f>
        <v/>
      </c>
      <c r="AR109">
        <f>SUMPRODUCT((B24:B31&lt;=$B$6)*(C24:C31*AM109+D24:D31*AO109*$B$8*AQ109)/(1+AL109/100)^B24:B31)+C32*AM109*AP109/(1+AL109/100)^$B$6</f>
        <v/>
      </c>
      <c r="AS109">
        <f>SUMPRODUCT((K24:K26&lt;=$B$6)*(L24:L26*AN109+M24:M26*AO109*$B$8*AQ109)/(1+AL109/100)^K24:K26)+L27*AN109*AP109/(1+AL109/100)^$B$6</f>
        <v/>
      </c>
      <c r="AT109">
        <f>AS109-AR109</f>
        <v/>
      </c>
      <c r="AU109">
        <f>RAND()</f>
        <v/>
      </c>
      <c r="AV109">
        <f>RAND()</f>
        <v/>
      </c>
      <c r="AW109">
        <f>RAND()</f>
        <v/>
      </c>
      <c r="AX109">
        <f>RAND()</f>
        <v/>
      </c>
      <c r="AY109">
        <f>RAND()</f>
        <v/>
      </c>
      <c r="AZ109">
        <f>RAND()</f>
        <v/>
      </c>
    </row>
    <row r="110">
      <c r="A110" t="n">
        <v>16</v>
      </c>
      <c r="B110">
        <f>$B$7+A110</f>
        <v/>
      </c>
      <c r="C110" s="14">
        <f>IF(A110&gt;$B$6,0,SUMIF(B24:B31,A110,E24:E31)+IF(A110=$B$6,E32,0))</f>
        <v/>
      </c>
      <c r="D110" s="14">
        <f>IF(A110&gt;$B$6,0,SUMIF(B24:B31,A110,F24:F31))</f>
        <v/>
      </c>
      <c r="E110" s="14">
        <f>IF(A110&gt;$B$6,0,SUMIF(K24:K26,A110,N24:N26)+IF(A110=$B$6,N27,0))</f>
        <v/>
      </c>
      <c r="F110" s="14">
        <f>IF(A110&gt;$B$6,0,SUMIF(K24:K26,A110,O24:O26))</f>
        <v/>
      </c>
      <c r="G110" s="14">
        <f>G109+IF(A110&gt;$B$6,0,SUMIF(B24:B31,A110,G24:G31)+IF(A110=$B$6,G32,0))</f>
        <v/>
      </c>
      <c r="H110" s="14">
        <f>H109+IF(A110&gt;$B$6,0,SUMIF(K24:K26,A110,P24:P26)+IF(A110=$B$6,P27,0))</f>
        <v/>
      </c>
      <c r="I110">
        <f>IF(A110&gt;$B$6,0,SUMIF(B24:B31,A110,D24:D31)*$B$10)</f>
        <v/>
      </c>
      <c r="J110">
        <f>IF(A110&gt;$B$6,0,SUMIF(K24:K26,A110,M24:M26)*$B$10)</f>
        <v/>
      </c>
      <c r="M110" s="14">
        <f>C110+D110</f>
        <v/>
      </c>
      <c r="N110" s="14">
        <f>E110+F110</f>
        <v/>
      </c>
      <c r="AK110" t="n">
        <v>97</v>
      </c>
      <c r="AL110">
        <f>IFERROR(IF(AU110&lt;($AM$6-$AL$6)/($AN$6-$AL$6),$AL$6+SQRT(AU110*($AN$6-$AL$6)*($AM$6-$AL$6)),$AN$6-SQRT((1-AU110)*($AN$6-$AL$6)*($AN$6-$AM$6))),$AM$6)</f>
        <v/>
      </c>
      <c r="AM110">
        <f>IFERROR(IF(AV110&lt;($AM$7-$AL$7)/($AN$7-$AL$7),$AL$7+SQRT(AV110*($AN$7-$AL$7)*($AM$7-$AL$7)),$AN$7-SQRT((1-AV110)*($AN$7-$AL$7)*($AN$7-$AM$7))),$AM$7)</f>
        <v/>
      </c>
      <c r="AN110">
        <f>IFERROR(IF(AW110&lt;($AM$8-$AL$8)/($AN$8-$AL$8),$AL$8+SQRT(AW110*($AN$8-$AL$8)*($AM$8-$AL$8)),$AN$8-SQRT((1-AW110)*($AN$8-$AL$8)*($AN$8-$AM$8))),$AM$8)</f>
        <v/>
      </c>
      <c r="AO110">
        <f>IFERROR(IF(AX110&lt;($AM$9-$AL$9)/($AN$9-$AL$9),$AL$9+SQRT(AX110*($AN$9-$AL$9)*($AM$9-$AL$9)),$AN$9-SQRT((1-AX110)*($AN$9-$AL$9)*($AN$9-$AM$9))),$AM$9)</f>
        <v/>
      </c>
      <c r="AP110">
        <f>IFERROR(IF(AY110&lt;($AM$10-$AL$10)/($AN$10-$AL$10),$AL$10+SQRT(AY110*($AN$10-$AL$10)*($AM$10-$AL$10)),$AN$10-SQRT((1-AY110)*($AN$10-$AL$10)*($AN$10-$AM$10))),$AM$10)</f>
        <v/>
      </c>
      <c r="AQ110">
        <f>IFERROR(IF(AZ110&lt;($AM$11-$AL$11)/($AN$11-$AL$11),$AL$11+SQRT(AZ110*($AN$11-$AL$11)*($AM$11-$AL$11)),$AN$11-SQRT((1-AZ110)*($AN$11-$AL$11)*($AN$11-$AM$11))),$AM$11)</f>
        <v/>
      </c>
      <c r="AR110">
        <f>SUMPRODUCT((B24:B31&lt;=$B$6)*(C24:C31*AM110+D24:D31*AO110*$B$8*AQ110)/(1+AL110/100)^B24:B31)+C32*AM110*AP110/(1+AL110/100)^$B$6</f>
        <v/>
      </c>
      <c r="AS110">
        <f>SUMPRODUCT((K24:K26&lt;=$B$6)*(L24:L26*AN110+M24:M26*AO110*$B$8*AQ110)/(1+AL110/100)^K24:K26)+L27*AN110*AP110/(1+AL110/100)^$B$6</f>
        <v/>
      </c>
      <c r="AT110">
        <f>AS110-AR110</f>
        <v/>
      </c>
      <c r="AU110">
        <f>RAND()</f>
        <v/>
      </c>
      <c r="AV110">
        <f>RAND()</f>
        <v/>
      </c>
      <c r="AW110">
        <f>RAND()</f>
        <v/>
      </c>
      <c r="AX110">
        <f>RAND()</f>
        <v/>
      </c>
      <c r="AY110">
        <f>RAND()</f>
        <v/>
      </c>
      <c r="AZ110">
        <f>RAND()</f>
        <v/>
      </c>
    </row>
    <row r="111">
      <c r="A111" t="n">
        <v>17</v>
      </c>
      <c r="B111">
        <f>$B$7+A111</f>
        <v/>
      </c>
      <c r="C111" s="14">
        <f>IF(A111&gt;$B$6,0,SUMIF(B24:B31,A111,E24:E31)+IF(A111=$B$6,E32,0))</f>
        <v/>
      </c>
      <c r="D111" s="14">
        <f>IF(A111&gt;$B$6,0,SUMIF(B24:B31,A111,F24:F31))</f>
        <v/>
      </c>
      <c r="E111" s="14">
        <f>IF(A111&gt;$B$6,0,SUMIF(K24:K26,A111,N24:N26)+IF(A111=$B$6,N27,0))</f>
        <v/>
      </c>
      <c r="F111" s="14">
        <f>IF(A111&gt;$B$6,0,SUMIF(K24:K26,A111,O24:O26))</f>
        <v/>
      </c>
      <c r="G111" s="14">
        <f>G110+IF(A111&gt;$B$6,0,SUMIF(B24:B31,A111,G24:G31)+IF(A111=$B$6,G32,0))</f>
        <v/>
      </c>
      <c r="H111" s="14">
        <f>H110+IF(A111&gt;$B$6,0,SUMIF(K24:K26,A111,P24:P26)+IF(A111=$B$6,P27,0))</f>
        <v/>
      </c>
      <c r="I111">
        <f>IF(A111&gt;$B$6,0,SUMIF(B24:B31,A111,D24:D31)*$B$10)</f>
        <v/>
      </c>
      <c r="J111">
        <f>IF(A111&gt;$B$6,0,SUMIF(K24:K26,A111,M24:M26)*$B$10)</f>
        <v/>
      </c>
      <c r="M111" s="14">
        <f>C111+D111</f>
        <v/>
      </c>
      <c r="N111" s="14">
        <f>E111+F111</f>
        <v/>
      </c>
      <c r="AK111" t="n">
        <v>98</v>
      </c>
      <c r="AL111">
        <f>IFERROR(IF(AU111&lt;($AM$6-$AL$6)/($AN$6-$AL$6),$AL$6+SQRT(AU111*($AN$6-$AL$6)*($AM$6-$AL$6)),$AN$6-SQRT((1-AU111)*($AN$6-$AL$6)*($AN$6-$AM$6))),$AM$6)</f>
        <v/>
      </c>
      <c r="AM111">
        <f>IFERROR(IF(AV111&lt;($AM$7-$AL$7)/($AN$7-$AL$7),$AL$7+SQRT(AV111*($AN$7-$AL$7)*($AM$7-$AL$7)),$AN$7-SQRT((1-AV111)*($AN$7-$AL$7)*($AN$7-$AM$7))),$AM$7)</f>
        <v/>
      </c>
      <c r="AN111">
        <f>IFERROR(IF(AW111&lt;($AM$8-$AL$8)/($AN$8-$AL$8),$AL$8+SQRT(AW111*($AN$8-$AL$8)*($AM$8-$AL$8)),$AN$8-SQRT((1-AW111)*($AN$8-$AL$8)*($AN$8-$AM$8))),$AM$8)</f>
        <v/>
      </c>
      <c r="AO111">
        <f>IFERROR(IF(AX111&lt;($AM$9-$AL$9)/($AN$9-$AL$9),$AL$9+SQRT(AX111*($AN$9-$AL$9)*($AM$9-$AL$9)),$AN$9-SQRT((1-AX111)*($AN$9-$AL$9)*($AN$9-$AM$9))),$AM$9)</f>
        <v/>
      </c>
      <c r="AP111">
        <f>IFERROR(IF(AY111&lt;($AM$10-$AL$10)/($AN$10-$AL$10),$AL$10+SQRT(AY111*($AN$10-$AL$10)*($AM$10-$AL$10)),$AN$10-SQRT((1-AY111)*($AN$10-$AL$10)*($AN$10-$AM$10))),$AM$10)</f>
        <v/>
      </c>
      <c r="AQ111">
        <f>IFERROR(IF(AZ111&lt;($AM$11-$AL$11)/($AN$11-$AL$11),$AL$11+SQRT(AZ111*($AN$11-$AL$11)*($AM$11-$AL$11)),$AN$11-SQRT((1-AZ111)*($AN$11-$AL$11)*($AN$11-$AM$11))),$AM$11)</f>
        <v/>
      </c>
      <c r="AR111">
        <f>SUMPRODUCT((B24:B31&lt;=$B$6)*(C24:C31*AM111+D24:D31*AO111*$B$8*AQ111)/(1+AL111/100)^B24:B31)+C32*AM111*AP111/(1+AL111/100)^$B$6</f>
        <v/>
      </c>
      <c r="AS111">
        <f>SUMPRODUCT((K24:K26&lt;=$B$6)*(L24:L26*AN111+M24:M26*AO111*$B$8*AQ111)/(1+AL111/100)^K24:K26)+L27*AN111*AP111/(1+AL111/100)^$B$6</f>
        <v/>
      </c>
      <c r="AT111">
        <f>AS111-AR111</f>
        <v/>
      </c>
      <c r="AU111">
        <f>RAND()</f>
        <v/>
      </c>
      <c r="AV111">
        <f>RAND()</f>
        <v/>
      </c>
      <c r="AW111">
        <f>RAND()</f>
        <v/>
      </c>
      <c r="AX111">
        <f>RAND()</f>
        <v/>
      </c>
      <c r="AY111">
        <f>RAND()</f>
        <v/>
      </c>
      <c r="AZ111">
        <f>RAND()</f>
        <v/>
      </c>
    </row>
    <row r="112">
      <c r="A112" t="n">
        <v>18</v>
      </c>
      <c r="B112">
        <f>$B$7+A112</f>
        <v/>
      </c>
      <c r="C112" s="14">
        <f>IF(A112&gt;$B$6,0,SUMIF(B24:B31,A112,E24:E31)+IF(A112=$B$6,E32,0))</f>
        <v/>
      </c>
      <c r="D112" s="14">
        <f>IF(A112&gt;$B$6,0,SUMIF(B24:B31,A112,F24:F31))</f>
        <v/>
      </c>
      <c r="E112" s="14">
        <f>IF(A112&gt;$B$6,0,SUMIF(K24:K26,A112,N24:N26)+IF(A112=$B$6,N27,0))</f>
        <v/>
      </c>
      <c r="F112" s="14">
        <f>IF(A112&gt;$B$6,0,SUMIF(K24:K26,A112,O24:O26))</f>
        <v/>
      </c>
      <c r="G112" s="14">
        <f>G111+IF(A112&gt;$B$6,0,SUMIF(B24:B31,A112,G24:G31)+IF(A112=$B$6,G32,0))</f>
        <v/>
      </c>
      <c r="H112" s="14">
        <f>H111+IF(A112&gt;$B$6,0,SUMIF(K24:K26,A112,P24:P26)+IF(A112=$B$6,P27,0))</f>
        <v/>
      </c>
      <c r="I112">
        <f>IF(A112&gt;$B$6,0,SUMIF(B24:B31,A112,D24:D31)*$B$10)</f>
        <v/>
      </c>
      <c r="J112">
        <f>IF(A112&gt;$B$6,0,SUMIF(K24:K26,A112,M24:M26)*$B$10)</f>
        <v/>
      </c>
      <c r="M112" s="14">
        <f>C112+D112</f>
        <v/>
      </c>
      <c r="N112" s="14">
        <f>E112+F112</f>
        <v/>
      </c>
      <c r="AK112" t="n">
        <v>99</v>
      </c>
      <c r="AL112">
        <f>IFERROR(IF(AU112&lt;($AM$6-$AL$6)/($AN$6-$AL$6),$AL$6+SQRT(AU112*($AN$6-$AL$6)*($AM$6-$AL$6)),$AN$6-SQRT((1-AU112)*($AN$6-$AL$6)*($AN$6-$AM$6))),$AM$6)</f>
        <v/>
      </c>
      <c r="AM112">
        <f>IFERROR(IF(AV112&lt;($AM$7-$AL$7)/($AN$7-$AL$7),$AL$7+SQRT(AV112*($AN$7-$AL$7)*($AM$7-$AL$7)),$AN$7-SQRT((1-AV112)*($AN$7-$AL$7)*($AN$7-$AM$7))),$AM$7)</f>
        <v/>
      </c>
      <c r="AN112">
        <f>IFERROR(IF(AW112&lt;($AM$8-$AL$8)/($AN$8-$AL$8),$AL$8+SQRT(AW112*($AN$8-$AL$8)*($AM$8-$AL$8)),$AN$8-SQRT((1-AW112)*($AN$8-$AL$8)*($AN$8-$AM$8))),$AM$8)</f>
        <v/>
      </c>
      <c r="AO112">
        <f>IFERROR(IF(AX112&lt;($AM$9-$AL$9)/($AN$9-$AL$9),$AL$9+SQRT(AX112*($AN$9-$AL$9)*($AM$9-$AL$9)),$AN$9-SQRT((1-AX112)*($AN$9-$AL$9)*($AN$9-$AM$9))),$AM$9)</f>
        <v/>
      </c>
      <c r="AP112">
        <f>IFERROR(IF(AY112&lt;($AM$10-$AL$10)/($AN$10-$AL$10),$AL$10+SQRT(AY112*($AN$10-$AL$10)*($AM$10-$AL$10)),$AN$10-SQRT((1-AY112)*($AN$10-$AL$10)*($AN$10-$AM$10))),$AM$10)</f>
        <v/>
      </c>
      <c r="AQ112">
        <f>IFERROR(IF(AZ112&lt;($AM$11-$AL$11)/($AN$11-$AL$11),$AL$11+SQRT(AZ112*($AN$11-$AL$11)*($AM$11-$AL$11)),$AN$11-SQRT((1-AZ112)*($AN$11-$AL$11)*($AN$11-$AM$11))),$AM$11)</f>
        <v/>
      </c>
      <c r="AR112">
        <f>SUMPRODUCT((B24:B31&lt;=$B$6)*(C24:C31*AM112+D24:D31*AO112*$B$8*AQ112)/(1+AL112/100)^B24:B31)+C32*AM112*AP112/(1+AL112/100)^$B$6</f>
        <v/>
      </c>
      <c r="AS112">
        <f>SUMPRODUCT((K24:K26&lt;=$B$6)*(L24:L26*AN112+M24:M26*AO112*$B$8*AQ112)/(1+AL112/100)^K24:K26)+L27*AN112*AP112/(1+AL112/100)^$B$6</f>
        <v/>
      </c>
      <c r="AT112">
        <f>AS112-AR112</f>
        <v/>
      </c>
      <c r="AU112">
        <f>RAND()</f>
        <v/>
      </c>
      <c r="AV112">
        <f>RAND()</f>
        <v/>
      </c>
      <c r="AW112">
        <f>RAND()</f>
        <v/>
      </c>
      <c r="AX112">
        <f>RAND()</f>
        <v/>
      </c>
      <c r="AY112">
        <f>RAND()</f>
        <v/>
      </c>
      <c r="AZ112">
        <f>RAND()</f>
        <v/>
      </c>
    </row>
    <row r="113">
      <c r="A113" t="n">
        <v>19</v>
      </c>
      <c r="B113">
        <f>$B$7+A113</f>
        <v/>
      </c>
      <c r="C113" s="14">
        <f>IF(A113&gt;$B$6,0,SUMIF(B24:B31,A113,E24:E31)+IF(A113=$B$6,E32,0))</f>
        <v/>
      </c>
      <c r="D113" s="14">
        <f>IF(A113&gt;$B$6,0,SUMIF(B24:B31,A113,F24:F31))</f>
        <v/>
      </c>
      <c r="E113" s="14">
        <f>IF(A113&gt;$B$6,0,SUMIF(K24:K26,A113,N24:N26)+IF(A113=$B$6,N27,0))</f>
        <v/>
      </c>
      <c r="F113" s="14">
        <f>IF(A113&gt;$B$6,0,SUMIF(K24:K26,A113,O24:O26))</f>
        <v/>
      </c>
      <c r="G113" s="14">
        <f>G112+IF(A113&gt;$B$6,0,SUMIF(B24:B31,A113,G24:G31)+IF(A113=$B$6,G32,0))</f>
        <v/>
      </c>
      <c r="H113" s="14">
        <f>H112+IF(A113&gt;$B$6,0,SUMIF(K24:K26,A113,P24:P26)+IF(A113=$B$6,P27,0))</f>
        <v/>
      </c>
      <c r="I113">
        <f>IF(A113&gt;$B$6,0,SUMIF(B24:B31,A113,D24:D31)*$B$10)</f>
        <v/>
      </c>
      <c r="J113">
        <f>IF(A113&gt;$B$6,0,SUMIF(K24:K26,A113,M24:M26)*$B$10)</f>
        <v/>
      </c>
      <c r="M113" s="14">
        <f>C113+D113</f>
        <v/>
      </c>
      <c r="N113" s="14">
        <f>E113+F113</f>
        <v/>
      </c>
      <c r="AK113" t="n">
        <v>100</v>
      </c>
      <c r="AL113">
        <f>IFERROR(IF(AU113&lt;($AM$6-$AL$6)/($AN$6-$AL$6),$AL$6+SQRT(AU113*($AN$6-$AL$6)*($AM$6-$AL$6)),$AN$6-SQRT((1-AU113)*($AN$6-$AL$6)*($AN$6-$AM$6))),$AM$6)</f>
        <v/>
      </c>
      <c r="AM113">
        <f>IFERROR(IF(AV113&lt;($AM$7-$AL$7)/($AN$7-$AL$7),$AL$7+SQRT(AV113*($AN$7-$AL$7)*($AM$7-$AL$7)),$AN$7-SQRT((1-AV113)*($AN$7-$AL$7)*($AN$7-$AM$7))),$AM$7)</f>
        <v/>
      </c>
      <c r="AN113">
        <f>IFERROR(IF(AW113&lt;($AM$8-$AL$8)/($AN$8-$AL$8),$AL$8+SQRT(AW113*($AN$8-$AL$8)*($AM$8-$AL$8)),$AN$8-SQRT((1-AW113)*($AN$8-$AL$8)*($AN$8-$AM$8))),$AM$8)</f>
        <v/>
      </c>
      <c r="AO113">
        <f>IFERROR(IF(AX113&lt;($AM$9-$AL$9)/($AN$9-$AL$9),$AL$9+SQRT(AX113*($AN$9-$AL$9)*($AM$9-$AL$9)),$AN$9-SQRT((1-AX113)*($AN$9-$AL$9)*($AN$9-$AM$9))),$AM$9)</f>
        <v/>
      </c>
      <c r="AP113">
        <f>IFERROR(IF(AY113&lt;($AM$10-$AL$10)/($AN$10-$AL$10),$AL$10+SQRT(AY113*($AN$10-$AL$10)*($AM$10-$AL$10)),$AN$10-SQRT((1-AY113)*($AN$10-$AL$10)*($AN$10-$AM$10))),$AM$10)</f>
        <v/>
      </c>
      <c r="AQ113">
        <f>IFERROR(IF(AZ113&lt;($AM$11-$AL$11)/($AN$11-$AL$11),$AL$11+SQRT(AZ113*($AN$11-$AL$11)*($AM$11-$AL$11)),$AN$11-SQRT((1-AZ113)*($AN$11-$AL$11)*($AN$11-$AM$11))),$AM$11)</f>
        <v/>
      </c>
      <c r="AR113">
        <f>SUMPRODUCT((B24:B31&lt;=$B$6)*(C24:C31*AM113+D24:D31*AO113*$B$8*AQ113)/(1+AL113/100)^B24:B31)+C32*AM113*AP113/(1+AL113/100)^$B$6</f>
        <v/>
      </c>
      <c r="AS113">
        <f>SUMPRODUCT((K24:K26&lt;=$B$6)*(L24:L26*AN113+M24:M26*AO113*$B$8*AQ113)/(1+AL113/100)^K24:K26)+L27*AN113*AP113/(1+AL113/100)^$B$6</f>
        <v/>
      </c>
      <c r="AT113">
        <f>AS113-AR113</f>
        <v/>
      </c>
      <c r="AU113">
        <f>RAND()</f>
        <v/>
      </c>
      <c r="AV113">
        <f>RAND()</f>
        <v/>
      </c>
      <c r="AW113">
        <f>RAND()</f>
        <v/>
      </c>
      <c r="AX113">
        <f>RAND()</f>
        <v/>
      </c>
      <c r="AY113">
        <f>RAND()</f>
        <v/>
      </c>
      <c r="AZ113">
        <f>RAND()</f>
        <v/>
      </c>
    </row>
    <row r="114">
      <c r="A114" t="n">
        <v>20</v>
      </c>
      <c r="B114">
        <f>$B$7+A114</f>
        <v/>
      </c>
      <c r="C114" s="14">
        <f>IF(A114&gt;$B$6,0,SUMIF(B24:B31,A114,E24:E31)+IF(A114=$B$6,E32,0))</f>
        <v/>
      </c>
      <c r="D114" s="14">
        <f>IF(A114&gt;$B$6,0,SUMIF(B24:B31,A114,F24:F31))</f>
        <v/>
      </c>
      <c r="E114" s="14">
        <f>IF(A114&gt;$B$6,0,SUMIF(K24:K26,A114,N24:N26)+IF(A114=$B$6,N27,0))</f>
        <v/>
      </c>
      <c r="F114" s="14">
        <f>IF(A114&gt;$B$6,0,SUMIF(K24:K26,A114,O24:O26))</f>
        <v/>
      </c>
      <c r="G114" s="14">
        <f>G113+IF(A114&gt;$B$6,0,SUMIF(B24:B31,A114,G24:G31)+IF(A114=$B$6,G32,0))</f>
        <v/>
      </c>
      <c r="H114" s="14">
        <f>H113+IF(A114&gt;$B$6,0,SUMIF(K24:K26,A114,P24:P26)+IF(A114=$B$6,P27,0))</f>
        <v/>
      </c>
      <c r="I114">
        <f>IF(A114&gt;$B$6,0,SUMIF(B24:B31,A114,D24:D31)*$B$10)</f>
        <v/>
      </c>
      <c r="J114">
        <f>IF(A114&gt;$B$6,0,SUMIF(K24:K26,A114,M24:M26)*$B$10)</f>
        <v/>
      </c>
      <c r="M114" s="14">
        <f>C114+D114</f>
        <v/>
      </c>
      <c r="N114" s="14">
        <f>E114+F114</f>
        <v/>
      </c>
      <c r="AK114" t="n">
        <v>101</v>
      </c>
      <c r="AL114">
        <f>IFERROR(IF(AU114&lt;($AM$6-$AL$6)/($AN$6-$AL$6),$AL$6+SQRT(AU114*($AN$6-$AL$6)*($AM$6-$AL$6)),$AN$6-SQRT((1-AU114)*($AN$6-$AL$6)*($AN$6-$AM$6))),$AM$6)</f>
        <v/>
      </c>
      <c r="AM114">
        <f>IFERROR(IF(AV114&lt;($AM$7-$AL$7)/($AN$7-$AL$7),$AL$7+SQRT(AV114*($AN$7-$AL$7)*($AM$7-$AL$7)),$AN$7-SQRT((1-AV114)*($AN$7-$AL$7)*($AN$7-$AM$7))),$AM$7)</f>
        <v/>
      </c>
      <c r="AN114">
        <f>IFERROR(IF(AW114&lt;($AM$8-$AL$8)/($AN$8-$AL$8),$AL$8+SQRT(AW114*($AN$8-$AL$8)*($AM$8-$AL$8)),$AN$8-SQRT((1-AW114)*($AN$8-$AL$8)*($AN$8-$AM$8))),$AM$8)</f>
        <v/>
      </c>
      <c r="AO114">
        <f>IFERROR(IF(AX114&lt;($AM$9-$AL$9)/($AN$9-$AL$9),$AL$9+SQRT(AX114*($AN$9-$AL$9)*($AM$9-$AL$9)),$AN$9-SQRT((1-AX114)*($AN$9-$AL$9)*($AN$9-$AM$9))),$AM$9)</f>
        <v/>
      </c>
      <c r="AP114">
        <f>IFERROR(IF(AY114&lt;($AM$10-$AL$10)/($AN$10-$AL$10),$AL$10+SQRT(AY114*($AN$10-$AL$10)*($AM$10-$AL$10)),$AN$10-SQRT((1-AY114)*($AN$10-$AL$10)*($AN$10-$AM$10))),$AM$10)</f>
        <v/>
      </c>
      <c r="AQ114">
        <f>IFERROR(IF(AZ114&lt;($AM$11-$AL$11)/($AN$11-$AL$11),$AL$11+SQRT(AZ114*($AN$11-$AL$11)*($AM$11-$AL$11)),$AN$11-SQRT((1-AZ114)*($AN$11-$AL$11)*($AN$11-$AM$11))),$AM$11)</f>
        <v/>
      </c>
      <c r="AR114">
        <f>SUMPRODUCT((B24:B31&lt;=$B$6)*(C24:C31*AM114+D24:D31*AO114*$B$8*AQ114)/(1+AL114/100)^B24:B31)+C32*AM114*AP114/(1+AL114/100)^$B$6</f>
        <v/>
      </c>
      <c r="AS114">
        <f>SUMPRODUCT((K24:K26&lt;=$B$6)*(L24:L26*AN114+M24:M26*AO114*$B$8*AQ114)/(1+AL114/100)^K24:K26)+L27*AN114*AP114/(1+AL114/100)^$B$6</f>
        <v/>
      </c>
      <c r="AT114">
        <f>AS114-AR114</f>
        <v/>
      </c>
      <c r="AU114">
        <f>RAND()</f>
        <v/>
      </c>
      <c r="AV114">
        <f>RAND()</f>
        <v/>
      </c>
      <c r="AW114">
        <f>RAND()</f>
        <v/>
      </c>
      <c r="AX114">
        <f>RAND()</f>
        <v/>
      </c>
      <c r="AY114">
        <f>RAND()</f>
        <v/>
      </c>
      <c r="AZ114">
        <f>RAND()</f>
        <v/>
      </c>
    </row>
    <row r="115">
      <c r="A115" t="n">
        <v>21</v>
      </c>
      <c r="B115">
        <f>$B$7+A115</f>
        <v/>
      </c>
      <c r="C115" s="14">
        <f>IF(A115&gt;$B$6,0,SUMIF(B24:B31,A115,E24:E31)+IF(A115=$B$6,E32,0))</f>
        <v/>
      </c>
      <c r="D115" s="14">
        <f>IF(A115&gt;$B$6,0,SUMIF(B24:B31,A115,F24:F31))</f>
        <v/>
      </c>
      <c r="E115" s="14">
        <f>IF(A115&gt;$B$6,0,SUMIF(K24:K26,A115,N24:N26)+IF(A115=$B$6,N27,0))</f>
        <v/>
      </c>
      <c r="F115" s="14">
        <f>IF(A115&gt;$B$6,0,SUMIF(K24:K26,A115,O24:O26))</f>
        <v/>
      </c>
      <c r="G115" s="14">
        <f>G114+IF(A115&gt;$B$6,0,SUMIF(B24:B31,A115,G24:G31)+IF(A115=$B$6,G32,0))</f>
        <v/>
      </c>
      <c r="H115" s="14">
        <f>H114+IF(A115&gt;$B$6,0,SUMIF(K24:K26,A115,P24:P26)+IF(A115=$B$6,P27,0))</f>
        <v/>
      </c>
      <c r="I115">
        <f>IF(A115&gt;$B$6,0,SUMIF(B24:B31,A115,D24:D31)*$B$10)</f>
        <v/>
      </c>
      <c r="J115">
        <f>IF(A115&gt;$B$6,0,SUMIF(K24:K26,A115,M24:M26)*$B$10)</f>
        <v/>
      </c>
      <c r="M115" s="14">
        <f>C115+D115</f>
        <v/>
      </c>
      <c r="N115" s="14">
        <f>E115+F115</f>
        <v/>
      </c>
      <c r="AK115" t="n">
        <v>102</v>
      </c>
      <c r="AL115">
        <f>IFERROR(IF(AU115&lt;($AM$6-$AL$6)/($AN$6-$AL$6),$AL$6+SQRT(AU115*($AN$6-$AL$6)*($AM$6-$AL$6)),$AN$6-SQRT((1-AU115)*($AN$6-$AL$6)*($AN$6-$AM$6))),$AM$6)</f>
        <v/>
      </c>
      <c r="AM115">
        <f>IFERROR(IF(AV115&lt;($AM$7-$AL$7)/($AN$7-$AL$7),$AL$7+SQRT(AV115*($AN$7-$AL$7)*($AM$7-$AL$7)),$AN$7-SQRT((1-AV115)*($AN$7-$AL$7)*($AN$7-$AM$7))),$AM$7)</f>
        <v/>
      </c>
      <c r="AN115">
        <f>IFERROR(IF(AW115&lt;($AM$8-$AL$8)/($AN$8-$AL$8),$AL$8+SQRT(AW115*($AN$8-$AL$8)*($AM$8-$AL$8)),$AN$8-SQRT((1-AW115)*($AN$8-$AL$8)*($AN$8-$AM$8))),$AM$8)</f>
        <v/>
      </c>
      <c r="AO115">
        <f>IFERROR(IF(AX115&lt;($AM$9-$AL$9)/($AN$9-$AL$9),$AL$9+SQRT(AX115*($AN$9-$AL$9)*($AM$9-$AL$9)),$AN$9-SQRT((1-AX115)*($AN$9-$AL$9)*($AN$9-$AM$9))),$AM$9)</f>
        <v/>
      </c>
      <c r="AP115">
        <f>IFERROR(IF(AY115&lt;($AM$10-$AL$10)/($AN$10-$AL$10),$AL$10+SQRT(AY115*($AN$10-$AL$10)*($AM$10-$AL$10)),$AN$10-SQRT((1-AY115)*($AN$10-$AL$10)*($AN$10-$AM$10))),$AM$10)</f>
        <v/>
      </c>
      <c r="AQ115">
        <f>IFERROR(IF(AZ115&lt;($AM$11-$AL$11)/($AN$11-$AL$11),$AL$11+SQRT(AZ115*($AN$11-$AL$11)*($AM$11-$AL$11)),$AN$11-SQRT((1-AZ115)*($AN$11-$AL$11)*($AN$11-$AM$11))),$AM$11)</f>
        <v/>
      </c>
      <c r="AR115">
        <f>SUMPRODUCT((B24:B31&lt;=$B$6)*(C24:C31*AM115+D24:D31*AO115*$B$8*AQ115)/(1+AL115/100)^B24:B31)+C32*AM115*AP115/(1+AL115/100)^$B$6</f>
        <v/>
      </c>
      <c r="AS115">
        <f>SUMPRODUCT((K24:K26&lt;=$B$6)*(L24:L26*AN115+M24:M26*AO115*$B$8*AQ115)/(1+AL115/100)^K24:K26)+L27*AN115*AP115/(1+AL115/100)^$B$6</f>
        <v/>
      </c>
      <c r="AT115">
        <f>AS115-AR115</f>
        <v/>
      </c>
      <c r="AU115">
        <f>RAND()</f>
        <v/>
      </c>
      <c r="AV115">
        <f>RAND()</f>
        <v/>
      </c>
      <c r="AW115">
        <f>RAND()</f>
        <v/>
      </c>
      <c r="AX115">
        <f>RAND()</f>
        <v/>
      </c>
      <c r="AY115">
        <f>RAND()</f>
        <v/>
      </c>
      <c r="AZ115">
        <f>RAND()</f>
        <v/>
      </c>
    </row>
    <row r="116">
      <c r="A116" t="n">
        <v>22</v>
      </c>
      <c r="B116">
        <f>$B$7+A116</f>
        <v/>
      </c>
      <c r="C116" s="14">
        <f>IF(A116&gt;$B$6,0,SUMIF(B24:B31,A116,E24:E31)+IF(A116=$B$6,E32,0))</f>
        <v/>
      </c>
      <c r="D116" s="14">
        <f>IF(A116&gt;$B$6,0,SUMIF(B24:B31,A116,F24:F31))</f>
        <v/>
      </c>
      <c r="E116" s="14">
        <f>IF(A116&gt;$B$6,0,SUMIF(K24:K26,A116,N24:N26)+IF(A116=$B$6,N27,0))</f>
        <v/>
      </c>
      <c r="F116" s="14">
        <f>IF(A116&gt;$B$6,0,SUMIF(K24:K26,A116,O24:O26))</f>
        <v/>
      </c>
      <c r="G116" s="14">
        <f>G115+IF(A116&gt;$B$6,0,SUMIF(B24:B31,A116,G24:G31)+IF(A116=$B$6,G32,0))</f>
        <v/>
      </c>
      <c r="H116" s="14">
        <f>H115+IF(A116&gt;$B$6,0,SUMIF(K24:K26,A116,P24:P26)+IF(A116=$B$6,P27,0))</f>
        <v/>
      </c>
      <c r="I116">
        <f>IF(A116&gt;$B$6,0,SUMIF(B24:B31,A116,D24:D31)*$B$10)</f>
        <v/>
      </c>
      <c r="J116">
        <f>IF(A116&gt;$B$6,0,SUMIF(K24:K26,A116,M24:M26)*$B$10)</f>
        <v/>
      </c>
      <c r="M116" s="14">
        <f>C116+D116</f>
        <v/>
      </c>
      <c r="N116" s="14">
        <f>E116+F116</f>
        <v/>
      </c>
      <c r="AK116" t="n">
        <v>103</v>
      </c>
      <c r="AL116">
        <f>IFERROR(IF(AU116&lt;($AM$6-$AL$6)/($AN$6-$AL$6),$AL$6+SQRT(AU116*($AN$6-$AL$6)*($AM$6-$AL$6)),$AN$6-SQRT((1-AU116)*($AN$6-$AL$6)*($AN$6-$AM$6))),$AM$6)</f>
        <v/>
      </c>
      <c r="AM116">
        <f>IFERROR(IF(AV116&lt;($AM$7-$AL$7)/($AN$7-$AL$7),$AL$7+SQRT(AV116*($AN$7-$AL$7)*($AM$7-$AL$7)),$AN$7-SQRT((1-AV116)*($AN$7-$AL$7)*($AN$7-$AM$7))),$AM$7)</f>
        <v/>
      </c>
      <c r="AN116">
        <f>IFERROR(IF(AW116&lt;($AM$8-$AL$8)/($AN$8-$AL$8),$AL$8+SQRT(AW116*($AN$8-$AL$8)*($AM$8-$AL$8)),$AN$8-SQRT((1-AW116)*($AN$8-$AL$8)*($AN$8-$AM$8))),$AM$8)</f>
        <v/>
      </c>
      <c r="AO116">
        <f>IFERROR(IF(AX116&lt;($AM$9-$AL$9)/($AN$9-$AL$9),$AL$9+SQRT(AX116*($AN$9-$AL$9)*($AM$9-$AL$9)),$AN$9-SQRT((1-AX116)*($AN$9-$AL$9)*($AN$9-$AM$9))),$AM$9)</f>
        <v/>
      </c>
      <c r="AP116">
        <f>IFERROR(IF(AY116&lt;($AM$10-$AL$10)/($AN$10-$AL$10),$AL$10+SQRT(AY116*($AN$10-$AL$10)*($AM$10-$AL$10)),$AN$10-SQRT((1-AY116)*($AN$10-$AL$10)*($AN$10-$AM$10))),$AM$10)</f>
        <v/>
      </c>
      <c r="AQ116">
        <f>IFERROR(IF(AZ116&lt;($AM$11-$AL$11)/($AN$11-$AL$11),$AL$11+SQRT(AZ116*($AN$11-$AL$11)*($AM$11-$AL$11)),$AN$11-SQRT((1-AZ116)*($AN$11-$AL$11)*($AN$11-$AM$11))),$AM$11)</f>
        <v/>
      </c>
      <c r="AR116">
        <f>SUMPRODUCT((B24:B31&lt;=$B$6)*(C24:C31*AM116+D24:D31*AO116*$B$8*AQ116)/(1+AL116/100)^B24:B31)+C32*AM116*AP116/(1+AL116/100)^$B$6</f>
        <v/>
      </c>
      <c r="AS116">
        <f>SUMPRODUCT((K24:K26&lt;=$B$6)*(L24:L26*AN116+M24:M26*AO116*$B$8*AQ116)/(1+AL116/100)^K24:K26)+L27*AN116*AP116/(1+AL116/100)^$B$6</f>
        <v/>
      </c>
      <c r="AT116">
        <f>AS116-AR116</f>
        <v/>
      </c>
      <c r="AU116">
        <f>RAND()</f>
        <v/>
      </c>
      <c r="AV116">
        <f>RAND()</f>
        <v/>
      </c>
      <c r="AW116">
        <f>RAND()</f>
        <v/>
      </c>
      <c r="AX116">
        <f>RAND()</f>
        <v/>
      </c>
      <c r="AY116">
        <f>RAND()</f>
        <v/>
      </c>
      <c r="AZ116">
        <f>RAND()</f>
        <v/>
      </c>
    </row>
    <row r="117">
      <c r="A117" t="n">
        <v>23</v>
      </c>
      <c r="B117">
        <f>$B$7+A117</f>
        <v/>
      </c>
      <c r="C117" s="14">
        <f>IF(A117&gt;$B$6,0,SUMIF(B24:B31,A117,E24:E31)+IF(A117=$B$6,E32,0))</f>
        <v/>
      </c>
      <c r="D117" s="14">
        <f>IF(A117&gt;$B$6,0,SUMIF(B24:B31,A117,F24:F31))</f>
        <v/>
      </c>
      <c r="E117" s="14">
        <f>IF(A117&gt;$B$6,0,SUMIF(K24:K26,A117,N24:N26)+IF(A117=$B$6,N27,0))</f>
        <v/>
      </c>
      <c r="F117" s="14">
        <f>IF(A117&gt;$B$6,0,SUMIF(K24:K26,A117,O24:O26))</f>
        <v/>
      </c>
      <c r="G117" s="14">
        <f>G116+IF(A117&gt;$B$6,0,SUMIF(B24:B31,A117,G24:G31)+IF(A117=$B$6,G32,0))</f>
        <v/>
      </c>
      <c r="H117" s="14">
        <f>H116+IF(A117&gt;$B$6,0,SUMIF(K24:K26,A117,P24:P26)+IF(A117=$B$6,P27,0))</f>
        <v/>
      </c>
      <c r="I117">
        <f>IF(A117&gt;$B$6,0,SUMIF(B24:B31,A117,D24:D31)*$B$10)</f>
        <v/>
      </c>
      <c r="J117">
        <f>IF(A117&gt;$B$6,0,SUMIF(K24:K26,A117,M24:M26)*$B$10)</f>
        <v/>
      </c>
      <c r="M117" s="14">
        <f>C117+D117</f>
        <v/>
      </c>
      <c r="N117" s="14">
        <f>E117+F117</f>
        <v/>
      </c>
      <c r="AK117" t="n">
        <v>104</v>
      </c>
      <c r="AL117">
        <f>IFERROR(IF(AU117&lt;($AM$6-$AL$6)/($AN$6-$AL$6),$AL$6+SQRT(AU117*($AN$6-$AL$6)*($AM$6-$AL$6)),$AN$6-SQRT((1-AU117)*($AN$6-$AL$6)*($AN$6-$AM$6))),$AM$6)</f>
        <v/>
      </c>
      <c r="AM117">
        <f>IFERROR(IF(AV117&lt;($AM$7-$AL$7)/($AN$7-$AL$7),$AL$7+SQRT(AV117*($AN$7-$AL$7)*($AM$7-$AL$7)),$AN$7-SQRT((1-AV117)*($AN$7-$AL$7)*($AN$7-$AM$7))),$AM$7)</f>
        <v/>
      </c>
      <c r="AN117">
        <f>IFERROR(IF(AW117&lt;($AM$8-$AL$8)/($AN$8-$AL$8),$AL$8+SQRT(AW117*($AN$8-$AL$8)*($AM$8-$AL$8)),$AN$8-SQRT((1-AW117)*($AN$8-$AL$8)*($AN$8-$AM$8))),$AM$8)</f>
        <v/>
      </c>
      <c r="AO117">
        <f>IFERROR(IF(AX117&lt;($AM$9-$AL$9)/($AN$9-$AL$9),$AL$9+SQRT(AX117*($AN$9-$AL$9)*($AM$9-$AL$9)),$AN$9-SQRT((1-AX117)*($AN$9-$AL$9)*($AN$9-$AM$9))),$AM$9)</f>
        <v/>
      </c>
      <c r="AP117">
        <f>IFERROR(IF(AY117&lt;($AM$10-$AL$10)/($AN$10-$AL$10),$AL$10+SQRT(AY117*($AN$10-$AL$10)*($AM$10-$AL$10)),$AN$10-SQRT((1-AY117)*($AN$10-$AL$10)*($AN$10-$AM$10))),$AM$10)</f>
        <v/>
      </c>
      <c r="AQ117">
        <f>IFERROR(IF(AZ117&lt;($AM$11-$AL$11)/($AN$11-$AL$11),$AL$11+SQRT(AZ117*($AN$11-$AL$11)*($AM$11-$AL$11)),$AN$11-SQRT((1-AZ117)*($AN$11-$AL$11)*($AN$11-$AM$11))),$AM$11)</f>
        <v/>
      </c>
      <c r="AR117">
        <f>SUMPRODUCT((B24:B31&lt;=$B$6)*(C24:C31*AM117+D24:D31*AO117*$B$8*AQ117)/(1+AL117/100)^B24:B31)+C32*AM117*AP117/(1+AL117/100)^$B$6</f>
        <v/>
      </c>
      <c r="AS117">
        <f>SUMPRODUCT((K24:K26&lt;=$B$6)*(L24:L26*AN117+M24:M26*AO117*$B$8*AQ117)/(1+AL117/100)^K24:K26)+L27*AN117*AP117/(1+AL117/100)^$B$6</f>
        <v/>
      </c>
      <c r="AT117">
        <f>AS117-AR117</f>
        <v/>
      </c>
      <c r="AU117">
        <f>RAND()</f>
        <v/>
      </c>
      <c r="AV117">
        <f>RAND()</f>
        <v/>
      </c>
      <c r="AW117">
        <f>RAND()</f>
        <v/>
      </c>
      <c r="AX117">
        <f>RAND()</f>
        <v/>
      </c>
      <c r="AY117">
        <f>RAND()</f>
        <v/>
      </c>
      <c r="AZ117">
        <f>RAND()</f>
        <v/>
      </c>
    </row>
    <row r="118">
      <c r="A118" t="n">
        <v>24</v>
      </c>
      <c r="B118">
        <f>$B$7+A118</f>
        <v/>
      </c>
      <c r="C118" s="14">
        <f>IF(A118&gt;$B$6,0,SUMIF(B24:B31,A118,E24:E31)+IF(A118=$B$6,E32,0))</f>
        <v/>
      </c>
      <c r="D118" s="14">
        <f>IF(A118&gt;$B$6,0,SUMIF(B24:B31,A118,F24:F31))</f>
        <v/>
      </c>
      <c r="E118" s="14">
        <f>IF(A118&gt;$B$6,0,SUMIF(K24:K26,A118,N24:N26)+IF(A118=$B$6,N27,0))</f>
        <v/>
      </c>
      <c r="F118" s="14">
        <f>IF(A118&gt;$B$6,0,SUMIF(K24:K26,A118,O24:O26))</f>
        <v/>
      </c>
      <c r="G118" s="14">
        <f>G117+IF(A118&gt;$B$6,0,SUMIF(B24:B31,A118,G24:G31)+IF(A118=$B$6,G32,0))</f>
        <v/>
      </c>
      <c r="H118" s="14">
        <f>H117+IF(A118&gt;$B$6,0,SUMIF(K24:K26,A118,P24:P26)+IF(A118=$B$6,P27,0))</f>
        <v/>
      </c>
      <c r="I118">
        <f>IF(A118&gt;$B$6,0,SUMIF(B24:B31,A118,D24:D31)*$B$10)</f>
        <v/>
      </c>
      <c r="J118">
        <f>IF(A118&gt;$B$6,0,SUMIF(K24:K26,A118,M24:M26)*$B$10)</f>
        <v/>
      </c>
      <c r="M118" s="14">
        <f>C118+D118</f>
        <v/>
      </c>
      <c r="N118" s="14">
        <f>E118+F118</f>
        <v/>
      </c>
      <c r="AK118" t="n">
        <v>105</v>
      </c>
      <c r="AL118">
        <f>IFERROR(IF(AU118&lt;($AM$6-$AL$6)/($AN$6-$AL$6),$AL$6+SQRT(AU118*($AN$6-$AL$6)*($AM$6-$AL$6)),$AN$6-SQRT((1-AU118)*($AN$6-$AL$6)*($AN$6-$AM$6))),$AM$6)</f>
        <v/>
      </c>
      <c r="AM118">
        <f>IFERROR(IF(AV118&lt;($AM$7-$AL$7)/($AN$7-$AL$7),$AL$7+SQRT(AV118*($AN$7-$AL$7)*($AM$7-$AL$7)),$AN$7-SQRT((1-AV118)*($AN$7-$AL$7)*($AN$7-$AM$7))),$AM$7)</f>
        <v/>
      </c>
      <c r="AN118">
        <f>IFERROR(IF(AW118&lt;($AM$8-$AL$8)/($AN$8-$AL$8),$AL$8+SQRT(AW118*($AN$8-$AL$8)*($AM$8-$AL$8)),$AN$8-SQRT((1-AW118)*($AN$8-$AL$8)*($AN$8-$AM$8))),$AM$8)</f>
        <v/>
      </c>
      <c r="AO118">
        <f>IFERROR(IF(AX118&lt;($AM$9-$AL$9)/($AN$9-$AL$9),$AL$9+SQRT(AX118*($AN$9-$AL$9)*($AM$9-$AL$9)),$AN$9-SQRT((1-AX118)*($AN$9-$AL$9)*($AN$9-$AM$9))),$AM$9)</f>
        <v/>
      </c>
      <c r="AP118">
        <f>IFERROR(IF(AY118&lt;($AM$10-$AL$10)/($AN$10-$AL$10),$AL$10+SQRT(AY118*($AN$10-$AL$10)*($AM$10-$AL$10)),$AN$10-SQRT((1-AY118)*($AN$10-$AL$10)*($AN$10-$AM$10))),$AM$10)</f>
        <v/>
      </c>
      <c r="AQ118">
        <f>IFERROR(IF(AZ118&lt;($AM$11-$AL$11)/($AN$11-$AL$11),$AL$11+SQRT(AZ118*($AN$11-$AL$11)*($AM$11-$AL$11)),$AN$11-SQRT((1-AZ118)*($AN$11-$AL$11)*($AN$11-$AM$11))),$AM$11)</f>
        <v/>
      </c>
      <c r="AR118">
        <f>SUMPRODUCT((B24:B31&lt;=$B$6)*(C24:C31*AM118+D24:D31*AO118*$B$8*AQ118)/(1+AL118/100)^B24:B31)+C32*AM118*AP118/(1+AL118/100)^$B$6</f>
        <v/>
      </c>
      <c r="AS118">
        <f>SUMPRODUCT((K24:K26&lt;=$B$6)*(L24:L26*AN118+M24:M26*AO118*$B$8*AQ118)/(1+AL118/100)^K24:K26)+L27*AN118*AP118/(1+AL118/100)^$B$6</f>
        <v/>
      </c>
      <c r="AT118">
        <f>AS118-AR118</f>
        <v/>
      </c>
      <c r="AU118">
        <f>RAND()</f>
        <v/>
      </c>
      <c r="AV118">
        <f>RAND()</f>
        <v/>
      </c>
      <c r="AW118">
        <f>RAND()</f>
        <v/>
      </c>
      <c r="AX118">
        <f>RAND()</f>
        <v/>
      </c>
      <c r="AY118">
        <f>RAND()</f>
        <v/>
      </c>
      <c r="AZ118">
        <f>RAND()</f>
        <v/>
      </c>
    </row>
    <row r="119">
      <c r="A119" t="n">
        <v>25</v>
      </c>
      <c r="B119">
        <f>$B$7+A119</f>
        <v/>
      </c>
      <c r="C119" s="14">
        <f>IF(A119&gt;$B$6,0,SUMIF(B24:B31,A119,E24:E31)+IF(A119=$B$6,E32,0))</f>
        <v/>
      </c>
      <c r="D119" s="14">
        <f>IF(A119&gt;$B$6,0,SUMIF(B24:B31,A119,F24:F31))</f>
        <v/>
      </c>
      <c r="E119" s="14">
        <f>IF(A119&gt;$B$6,0,SUMIF(K24:K26,A119,N24:N26)+IF(A119=$B$6,N27,0))</f>
        <v/>
      </c>
      <c r="F119" s="14">
        <f>IF(A119&gt;$B$6,0,SUMIF(K24:K26,A119,O24:O26))</f>
        <v/>
      </c>
      <c r="G119" s="14">
        <f>G118+IF(A119&gt;$B$6,0,SUMIF(B24:B31,A119,G24:G31)+IF(A119=$B$6,G32,0))</f>
        <v/>
      </c>
      <c r="H119" s="14">
        <f>H118+IF(A119&gt;$B$6,0,SUMIF(K24:K26,A119,P24:P26)+IF(A119=$B$6,P27,0))</f>
        <v/>
      </c>
      <c r="I119">
        <f>IF(A119&gt;$B$6,0,SUMIF(B24:B31,A119,D24:D31)*$B$10)</f>
        <v/>
      </c>
      <c r="J119">
        <f>IF(A119&gt;$B$6,0,SUMIF(K24:K26,A119,M24:M26)*$B$10)</f>
        <v/>
      </c>
      <c r="M119" s="14">
        <f>C119+D119</f>
        <v/>
      </c>
      <c r="N119" s="14">
        <f>E119+F119</f>
        <v/>
      </c>
      <c r="AK119" t="n">
        <v>106</v>
      </c>
      <c r="AL119">
        <f>IFERROR(IF(AU119&lt;($AM$6-$AL$6)/($AN$6-$AL$6),$AL$6+SQRT(AU119*($AN$6-$AL$6)*($AM$6-$AL$6)),$AN$6-SQRT((1-AU119)*($AN$6-$AL$6)*($AN$6-$AM$6))),$AM$6)</f>
        <v/>
      </c>
      <c r="AM119">
        <f>IFERROR(IF(AV119&lt;($AM$7-$AL$7)/($AN$7-$AL$7),$AL$7+SQRT(AV119*($AN$7-$AL$7)*($AM$7-$AL$7)),$AN$7-SQRT((1-AV119)*($AN$7-$AL$7)*($AN$7-$AM$7))),$AM$7)</f>
        <v/>
      </c>
      <c r="AN119">
        <f>IFERROR(IF(AW119&lt;($AM$8-$AL$8)/($AN$8-$AL$8),$AL$8+SQRT(AW119*($AN$8-$AL$8)*($AM$8-$AL$8)),$AN$8-SQRT((1-AW119)*($AN$8-$AL$8)*($AN$8-$AM$8))),$AM$8)</f>
        <v/>
      </c>
      <c r="AO119">
        <f>IFERROR(IF(AX119&lt;($AM$9-$AL$9)/($AN$9-$AL$9),$AL$9+SQRT(AX119*($AN$9-$AL$9)*($AM$9-$AL$9)),$AN$9-SQRT((1-AX119)*($AN$9-$AL$9)*($AN$9-$AM$9))),$AM$9)</f>
        <v/>
      </c>
      <c r="AP119">
        <f>IFERROR(IF(AY119&lt;($AM$10-$AL$10)/($AN$10-$AL$10),$AL$10+SQRT(AY119*($AN$10-$AL$10)*($AM$10-$AL$10)),$AN$10-SQRT((1-AY119)*($AN$10-$AL$10)*($AN$10-$AM$10))),$AM$10)</f>
        <v/>
      </c>
      <c r="AQ119">
        <f>IFERROR(IF(AZ119&lt;($AM$11-$AL$11)/($AN$11-$AL$11),$AL$11+SQRT(AZ119*($AN$11-$AL$11)*($AM$11-$AL$11)),$AN$11-SQRT((1-AZ119)*($AN$11-$AL$11)*($AN$11-$AM$11))),$AM$11)</f>
        <v/>
      </c>
      <c r="AR119">
        <f>SUMPRODUCT((B24:B31&lt;=$B$6)*(C24:C31*AM119+D24:D31*AO119*$B$8*AQ119)/(1+AL119/100)^B24:B31)+C32*AM119*AP119/(1+AL119/100)^$B$6</f>
        <v/>
      </c>
      <c r="AS119">
        <f>SUMPRODUCT((K24:K26&lt;=$B$6)*(L24:L26*AN119+M24:M26*AO119*$B$8*AQ119)/(1+AL119/100)^K24:K26)+L27*AN119*AP119/(1+AL119/100)^$B$6</f>
        <v/>
      </c>
      <c r="AT119">
        <f>AS119-AR119</f>
        <v/>
      </c>
      <c r="AU119">
        <f>RAND()</f>
        <v/>
      </c>
      <c r="AV119">
        <f>RAND()</f>
        <v/>
      </c>
      <c r="AW119">
        <f>RAND()</f>
        <v/>
      </c>
      <c r="AX119">
        <f>RAND()</f>
        <v/>
      </c>
      <c r="AY119">
        <f>RAND()</f>
        <v/>
      </c>
      <c r="AZ119">
        <f>RAND()</f>
        <v/>
      </c>
    </row>
    <row r="120">
      <c r="A120" t="n">
        <v>26</v>
      </c>
      <c r="B120">
        <f>$B$7+A120</f>
        <v/>
      </c>
      <c r="C120" s="14">
        <f>IF(A120&gt;$B$6,0,SUMIF(B24:B31,A120,E24:E31)+IF(A120=$B$6,E32,0))</f>
        <v/>
      </c>
      <c r="D120" s="14">
        <f>IF(A120&gt;$B$6,0,SUMIF(B24:B31,A120,F24:F31))</f>
        <v/>
      </c>
      <c r="E120" s="14">
        <f>IF(A120&gt;$B$6,0,SUMIF(K24:K26,A120,N24:N26)+IF(A120=$B$6,N27,0))</f>
        <v/>
      </c>
      <c r="F120" s="14">
        <f>IF(A120&gt;$B$6,0,SUMIF(K24:K26,A120,O24:O26))</f>
        <v/>
      </c>
      <c r="G120" s="14">
        <f>G119+IF(A120&gt;$B$6,0,SUMIF(B24:B31,A120,G24:G31)+IF(A120=$B$6,G32,0))</f>
        <v/>
      </c>
      <c r="H120" s="14">
        <f>H119+IF(A120&gt;$B$6,0,SUMIF(K24:K26,A120,P24:P26)+IF(A120=$B$6,P27,0))</f>
        <v/>
      </c>
      <c r="I120">
        <f>IF(A120&gt;$B$6,0,SUMIF(B24:B31,A120,D24:D31)*$B$10)</f>
        <v/>
      </c>
      <c r="J120">
        <f>IF(A120&gt;$B$6,0,SUMIF(K24:K26,A120,M24:M26)*$B$10)</f>
        <v/>
      </c>
      <c r="M120" s="14">
        <f>C120+D120</f>
        <v/>
      </c>
      <c r="N120" s="14">
        <f>E120+F120</f>
        <v/>
      </c>
      <c r="AK120" t="n">
        <v>107</v>
      </c>
      <c r="AL120">
        <f>IFERROR(IF(AU120&lt;($AM$6-$AL$6)/($AN$6-$AL$6),$AL$6+SQRT(AU120*($AN$6-$AL$6)*($AM$6-$AL$6)),$AN$6-SQRT((1-AU120)*($AN$6-$AL$6)*($AN$6-$AM$6))),$AM$6)</f>
        <v/>
      </c>
      <c r="AM120">
        <f>IFERROR(IF(AV120&lt;($AM$7-$AL$7)/($AN$7-$AL$7),$AL$7+SQRT(AV120*($AN$7-$AL$7)*($AM$7-$AL$7)),$AN$7-SQRT((1-AV120)*($AN$7-$AL$7)*($AN$7-$AM$7))),$AM$7)</f>
        <v/>
      </c>
      <c r="AN120">
        <f>IFERROR(IF(AW120&lt;($AM$8-$AL$8)/($AN$8-$AL$8),$AL$8+SQRT(AW120*($AN$8-$AL$8)*($AM$8-$AL$8)),$AN$8-SQRT((1-AW120)*($AN$8-$AL$8)*($AN$8-$AM$8))),$AM$8)</f>
        <v/>
      </c>
      <c r="AO120">
        <f>IFERROR(IF(AX120&lt;($AM$9-$AL$9)/($AN$9-$AL$9),$AL$9+SQRT(AX120*($AN$9-$AL$9)*($AM$9-$AL$9)),$AN$9-SQRT((1-AX120)*($AN$9-$AL$9)*($AN$9-$AM$9))),$AM$9)</f>
        <v/>
      </c>
      <c r="AP120">
        <f>IFERROR(IF(AY120&lt;($AM$10-$AL$10)/($AN$10-$AL$10),$AL$10+SQRT(AY120*($AN$10-$AL$10)*($AM$10-$AL$10)),$AN$10-SQRT((1-AY120)*($AN$10-$AL$10)*($AN$10-$AM$10))),$AM$10)</f>
        <v/>
      </c>
      <c r="AQ120">
        <f>IFERROR(IF(AZ120&lt;($AM$11-$AL$11)/($AN$11-$AL$11),$AL$11+SQRT(AZ120*($AN$11-$AL$11)*($AM$11-$AL$11)),$AN$11-SQRT((1-AZ120)*($AN$11-$AL$11)*($AN$11-$AM$11))),$AM$11)</f>
        <v/>
      </c>
      <c r="AR120">
        <f>SUMPRODUCT((B24:B31&lt;=$B$6)*(C24:C31*AM120+D24:D31*AO120*$B$8*AQ120)/(1+AL120/100)^B24:B31)+C32*AM120*AP120/(1+AL120/100)^$B$6</f>
        <v/>
      </c>
      <c r="AS120">
        <f>SUMPRODUCT((K24:K26&lt;=$B$6)*(L24:L26*AN120+M24:M26*AO120*$B$8*AQ120)/(1+AL120/100)^K24:K26)+L27*AN120*AP120/(1+AL120/100)^$B$6</f>
        <v/>
      </c>
      <c r="AT120">
        <f>AS120-AR120</f>
        <v/>
      </c>
      <c r="AU120">
        <f>RAND()</f>
        <v/>
      </c>
      <c r="AV120">
        <f>RAND()</f>
        <v/>
      </c>
      <c r="AW120">
        <f>RAND()</f>
        <v/>
      </c>
      <c r="AX120">
        <f>RAND()</f>
        <v/>
      </c>
      <c r="AY120">
        <f>RAND()</f>
        <v/>
      </c>
      <c r="AZ120">
        <f>RAND()</f>
        <v/>
      </c>
    </row>
    <row r="121">
      <c r="A121" t="n">
        <v>27</v>
      </c>
      <c r="B121">
        <f>$B$7+A121</f>
        <v/>
      </c>
      <c r="C121" s="14">
        <f>IF(A121&gt;$B$6,0,SUMIF(B24:B31,A121,E24:E31)+IF(A121=$B$6,E32,0))</f>
        <v/>
      </c>
      <c r="D121" s="14">
        <f>IF(A121&gt;$B$6,0,SUMIF(B24:B31,A121,F24:F31))</f>
        <v/>
      </c>
      <c r="E121" s="14">
        <f>IF(A121&gt;$B$6,0,SUMIF(K24:K26,A121,N24:N26)+IF(A121=$B$6,N27,0))</f>
        <v/>
      </c>
      <c r="F121" s="14">
        <f>IF(A121&gt;$B$6,0,SUMIF(K24:K26,A121,O24:O26))</f>
        <v/>
      </c>
      <c r="G121" s="14">
        <f>G120+IF(A121&gt;$B$6,0,SUMIF(B24:B31,A121,G24:G31)+IF(A121=$B$6,G32,0))</f>
        <v/>
      </c>
      <c r="H121" s="14">
        <f>H120+IF(A121&gt;$B$6,0,SUMIF(K24:K26,A121,P24:P26)+IF(A121=$B$6,P27,0))</f>
        <v/>
      </c>
      <c r="I121">
        <f>IF(A121&gt;$B$6,0,SUMIF(B24:B31,A121,D24:D31)*$B$10)</f>
        <v/>
      </c>
      <c r="J121">
        <f>IF(A121&gt;$B$6,0,SUMIF(K24:K26,A121,M24:M26)*$B$10)</f>
        <v/>
      </c>
      <c r="M121" s="14">
        <f>C121+D121</f>
        <v/>
      </c>
      <c r="N121" s="14">
        <f>E121+F121</f>
        <v/>
      </c>
      <c r="AK121" t="n">
        <v>108</v>
      </c>
      <c r="AL121">
        <f>IFERROR(IF(AU121&lt;($AM$6-$AL$6)/($AN$6-$AL$6),$AL$6+SQRT(AU121*($AN$6-$AL$6)*($AM$6-$AL$6)),$AN$6-SQRT((1-AU121)*($AN$6-$AL$6)*($AN$6-$AM$6))),$AM$6)</f>
        <v/>
      </c>
      <c r="AM121">
        <f>IFERROR(IF(AV121&lt;($AM$7-$AL$7)/($AN$7-$AL$7),$AL$7+SQRT(AV121*($AN$7-$AL$7)*($AM$7-$AL$7)),$AN$7-SQRT((1-AV121)*($AN$7-$AL$7)*($AN$7-$AM$7))),$AM$7)</f>
        <v/>
      </c>
      <c r="AN121">
        <f>IFERROR(IF(AW121&lt;($AM$8-$AL$8)/($AN$8-$AL$8),$AL$8+SQRT(AW121*($AN$8-$AL$8)*($AM$8-$AL$8)),$AN$8-SQRT((1-AW121)*($AN$8-$AL$8)*($AN$8-$AM$8))),$AM$8)</f>
        <v/>
      </c>
      <c r="AO121">
        <f>IFERROR(IF(AX121&lt;($AM$9-$AL$9)/($AN$9-$AL$9),$AL$9+SQRT(AX121*($AN$9-$AL$9)*($AM$9-$AL$9)),$AN$9-SQRT((1-AX121)*($AN$9-$AL$9)*($AN$9-$AM$9))),$AM$9)</f>
        <v/>
      </c>
      <c r="AP121">
        <f>IFERROR(IF(AY121&lt;($AM$10-$AL$10)/($AN$10-$AL$10),$AL$10+SQRT(AY121*($AN$10-$AL$10)*($AM$10-$AL$10)),$AN$10-SQRT((1-AY121)*($AN$10-$AL$10)*($AN$10-$AM$10))),$AM$10)</f>
        <v/>
      </c>
      <c r="AQ121">
        <f>IFERROR(IF(AZ121&lt;($AM$11-$AL$11)/($AN$11-$AL$11),$AL$11+SQRT(AZ121*($AN$11-$AL$11)*($AM$11-$AL$11)),$AN$11-SQRT((1-AZ121)*($AN$11-$AL$11)*($AN$11-$AM$11))),$AM$11)</f>
        <v/>
      </c>
      <c r="AR121">
        <f>SUMPRODUCT((B24:B31&lt;=$B$6)*(C24:C31*AM121+D24:D31*AO121*$B$8*AQ121)/(1+AL121/100)^B24:B31)+C32*AM121*AP121/(1+AL121/100)^$B$6</f>
        <v/>
      </c>
      <c r="AS121">
        <f>SUMPRODUCT((K24:K26&lt;=$B$6)*(L24:L26*AN121+M24:M26*AO121*$B$8*AQ121)/(1+AL121/100)^K24:K26)+L27*AN121*AP121/(1+AL121/100)^$B$6</f>
        <v/>
      </c>
      <c r="AT121">
        <f>AS121-AR121</f>
        <v/>
      </c>
      <c r="AU121">
        <f>RAND()</f>
        <v/>
      </c>
      <c r="AV121">
        <f>RAND()</f>
        <v/>
      </c>
      <c r="AW121">
        <f>RAND()</f>
        <v/>
      </c>
      <c r="AX121">
        <f>RAND()</f>
        <v/>
      </c>
      <c r="AY121">
        <f>RAND()</f>
        <v/>
      </c>
      <c r="AZ121">
        <f>RAND()</f>
        <v/>
      </c>
    </row>
    <row r="122">
      <c r="A122" t="n">
        <v>28</v>
      </c>
      <c r="B122">
        <f>$B$7+A122</f>
        <v/>
      </c>
      <c r="C122" s="14">
        <f>IF(A122&gt;$B$6,0,SUMIF(B24:B31,A122,E24:E31)+IF(A122=$B$6,E32,0))</f>
        <v/>
      </c>
      <c r="D122" s="14">
        <f>IF(A122&gt;$B$6,0,SUMIF(B24:B31,A122,F24:F31))</f>
        <v/>
      </c>
      <c r="E122" s="14">
        <f>IF(A122&gt;$B$6,0,SUMIF(K24:K26,A122,N24:N26)+IF(A122=$B$6,N27,0))</f>
        <v/>
      </c>
      <c r="F122" s="14">
        <f>IF(A122&gt;$B$6,0,SUMIF(K24:K26,A122,O24:O26))</f>
        <v/>
      </c>
      <c r="G122" s="14">
        <f>G121+IF(A122&gt;$B$6,0,SUMIF(B24:B31,A122,G24:G31)+IF(A122=$B$6,G32,0))</f>
        <v/>
      </c>
      <c r="H122" s="14">
        <f>H121+IF(A122&gt;$B$6,0,SUMIF(K24:K26,A122,P24:P26)+IF(A122=$B$6,P27,0))</f>
        <v/>
      </c>
      <c r="I122">
        <f>IF(A122&gt;$B$6,0,SUMIF(B24:B31,A122,D24:D31)*$B$10)</f>
        <v/>
      </c>
      <c r="J122">
        <f>IF(A122&gt;$B$6,0,SUMIF(K24:K26,A122,M24:M26)*$B$10)</f>
        <v/>
      </c>
      <c r="M122" s="14">
        <f>C122+D122</f>
        <v/>
      </c>
      <c r="N122" s="14">
        <f>E122+F122</f>
        <v/>
      </c>
      <c r="AK122" t="n">
        <v>109</v>
      </c>
      <c r="AL122">
        <f>IFERROR(IF(AU122&lt;($AM$6-$AL$6)/($AN$6-$AL$6),$AL$6+SQRT(AU122*($AN$6-$AL$6)*($AM$6-$AL$6)),$AN$6-SQRT((1-AU122)*($AN$6-$AL$6)*($AN$6-$AM$6))),$AM$6)</f>
        <v/>
      </c>
      <c r="AM122">
        <f>IFERROR(IF(AV122&lt;($AM$7-$AL$7)/($AN$7-$AL$7),$AL$7+SQRT(AV122*($AN$7-$AL$7)*($AM$7-$AL$7)),$AN$7-SQRT((1-AV122)*($AN$7-$AL$7)*($AN$7-$AM$7))),$AM$7)</f>
        <v/>
      </c>
      <c r="AN122">
        <f>IFERROR(IF(AW122&lt;($AM$8-$AL$8)/($AN$8-$AL$8),$AL$8+SQRT(AW122*($AN$8-$AL$8)*($AM$8-$AL$8)),$AN$8-SQRT((1-AW122)*($AN$8-$AL$8)*($AN$8-$AM$8))),$AM$8)</f>
        <v/>
      </c>
      <c r="AO122">
        <f>IFERROR(IF(AX122&lt;($AM$9-$AL$9)/($AN$9-$AL$9),$AL$9+SQRT(AX122*($AN$9-$AL$9)*($AM$9-$AL$9)),$AN$9-SQRT((1-AX122)*($AN$9-$AL$9)*($AN$9-$AM$9))),$AM$9)</f>
        <v/>
      </c>
      <c r="AP122">
        <f>IFERROR(IF(AY122&lt;($AM$10-$AL$10)/($AN$10-$AL$10),$AL$10+SQRT(AY122*($AN$10-$AL$10)*($AM$10-$AL$10)),$AN$10-SQRT((1-AY122)*($AN$10-$AL$10)*($AN$10-$AM$10))),$AM$10)</f>
        <v/>
      </c>
      <c r="AQ122">
        <f>IFERROR(IF(AZ122&lt;($AM$11-$AL$11)/($AN$11-$AL$11),$AL$11+SQRT(AZ122*($AN$11-$AL$11)*($AM$11-$AL$11)),$AN$11-SQRT((1-AZ122)*($AN$11-$AL$11)*($AN$11-$AM$11))),$AM$11)</f>
        <v/>
      </c>
      <c r="AR122">
        <f>SUMPRODUCT((B24:B31&lt;=$B$6)*(C24:C31*AM122+D24:D31*AO122*$B$8*AQ122)/(1+AL122/100)^B24:B31)+C32*AM122*AP122/(1+AL122/100)^$B$6</f>
        <v/>
      </c>
      <c r="AS122">
        <f>SUMPRODUCT((K24:K26&lt;=$B$6)*(L24:L26*AN122+M24:M26*AO122*$B$8*AQ122)/(1+AL122/100)^K24:K26)+L27*AN122*AP122/(1+AL122/100)^$B$6</f>
        <v/>
      </c>
      <c r="AT122">
        <f>AS122-AR122</f>
        <v/>
      </c>
      <c r="AU122">
        <f>RAND()</f>
        <v/>
      </c>
      <c r="AV122">
        <f>RAND()</f>
        <v/>
      </c>
      <c r="AW122">
        <f>RAND()</f>
        <v/>
      </c>
      <c r="AX122">
        <f>RAND()</f>
        <v/>
      </c>
      <c r="AY122">
        <f>RAND()</f>
        <v/>
      </c>
      <c r="AZ122">
        <f>RAND()</f>
        <v/>
      </c>
    </row>
    <row r="123">
      <c r="A123" t="n">
        <v>29</v>
      </c>
      <c r="B123">
        <f>$B$7+A123</f>
        <v/>
      </c>
      <c r="C123" s="14">
        <f>IF(A123&gt;$B$6,0,SUMIF(B24:B31,A123,E24:E31)+IF(A123=$B$6,E32,0))</f>
        <v/>
      </c>
      <c r="D123" s="14">
        <f>IF(A123&gt;$B$6,0,SUMIF(B24:B31,A123,F24:F31))</f>
        <v/>
      </c>
      <c r="E123" s="14">
        <f>IF(A123&gt;$B$6,0,SUMIF(K24:K26,A123,N24:N26)+IF(A123=$B$6,N27,0))</f>
        <v/>
      </c>
      <c r="F123" s="14">
        <f>IF(A123&gt;$B$6,0,SUMIF(K24:K26,A123,O24:O26))</f>
        <v/>
      </c>
      <c r="G123" s="14">
        <f>G122+IF(A123&gt;$B$6,0,SUMIF(B24:B31,A123,G24:G31)+IF(A123=$B$6,G32,0))</f>
        <v/>
      </c>
      <c r="H123" s="14">
        <f>H122+IF(A123&gt;$B$6,0,SUMIF(K24:K26,A123,P24:P26)+IF(A123=$B$6,P27,0))</f>
        <v/>
      </c>
      <c r="I123">
        <f>IF(A123&gt;$B$6,0,SUMIF(B24:B31,A123,D24:D31)*$B$10)</f>
        <v/>
      </c>
      <c r="J123">
        <f>IF(A123&gt;$B$6,0,SUMIF(K24:K26,A123,M24:M26)*$B$10)</f>
        <v/>
      </c>
      <c r="M123" s="14">
        <f>C123+D123</f>
        <v/>
      </c>
      <c r="N123" s="14">
        <f>E123+F123</f>
        <v/>
      </c>
      <c r="AK123" t="n">
        <v>110</v>
      </c>
      <c r="AL123">
        <f>IFERROR(IF(AU123&lt;($AM$6-$AL$6)/($AN$6-$AL$6),$AL$6+SQRT(AU123*($AN$6-$AL$6)*($AM$6-$AL$6)),$AN$6-SQRT((1-AU123)*($AN$6-$AL$6)*($AN$6-$AM$6))),$AM$6)</f>
        <v/>
      </c>
      <c r="AM123">
        <f>IFERROR(IF(AV123&lt;($AM$7-$AL$7)/($AN$7-$AL$7),$AL$7+SQRT(AV123*($AN$7-$AL$7)*($AM$7-$AL$7)),$AN$7-SQRT((1-AV123)*($AN$7-$AL$7)*($AN$7-$AM$7))),$AM$7)</f>
        <v/>
      </c>
      <c r="AN123">
        <f>IFERROR(IF(AW123&lt;($AM$8-$AL$8)/($AN$8-$AL$8),$AL$8+SQRT(AW123*($AN$8-$AL$8)*($AM$8-$AL$8)),$AN$8-SQRT((1-AW123)*($AN$8-$AL$8)*($AN$8-$AM$8))),$AM$8)</f>
        <v/>
      </c>
      <c r="AO123">
        <f>IFERROR(IF(AX123&lt;($AM$9-$AL$9)/($AN$9-$AL$9),$AL$9+SQRT(AX123*($AN$9-$AL$9)*($AM$9-$AL$9)),$AN$9-SQRT((1-AX123)*($AN$9-$AL$9)*($AN$9-$AM$9))),$AM$9)</f>
        <v/>
      </c>
      <c r="AP123">
        <f>IFERROR(IF(AY123&lt;($AM$10-$AL$10)/($AN$10-$AL$10),$AL$10+SQRT(AY123*($AN$10-$AL$10)*($AM$10-$AL$10)),$AN$10-SQRT((1-AY123)*($AN$10-$AL$10)*($AN$10-$AM$10))),$AM$10)</f>
        <v/>
      </c>
      <c r="AQ123">
        <f>IFERROR(IF(AZ123&lt;($AM$11-$AL$11)/($AN$11-$AL$11),$AL$11+SQRT(AZ123*($AN$11-$AL$11)*($AM$11-$AL$11)),$AN$11-SQRT((1-AZ123)*($AN$11-$AL$11)*($AN$11-$AM$11))),$AM$11)</f>
        <v/>
      </c>
      <c r="AR123">
        <f>SUMPRODUCT((B24:B31&lt;=$B$6)*(C24:C31*AM123+D24:D31*AO123*$B$8*AQ123)/(1+AL123/100)^B24:B31)+C32*AM123*AP123/(1+AL123/100)^$B$6</f>
        <v/>
      </c>
      <c r="AS123">
        <f>SUMPRODUCT((K24:K26&lt;=$B$6)*(L24:L26*AN123+M24:M26*AO123*$B$8*AQ123)/(1+AL123/100)^K24:K26)+L27*AN123*AP123/(1+AL123/100)^$B$6</f>
        <v/>
      </c>
      <c r="AT123">
        <f>AS123-AR123</f>
        <v/>
      </c>
      <c r="AU123">
        <f>RAND()</f>
        <v/>
      </c>
      <c r="AV123">
        <f>RAND()</f>
        <v/>
      </c>
      <c r="AW123">
        <f>RAND()</f>
        <v/>
      </c>
      <c r="AX123">
        <f>RAND()</f>
        <v/>
      </c>
      <c r="AY123">
        <f>RAND()</f>
        <v/>
      </c>
      <c r="AZ123">
        <f>RAND()</f>
        <v/>
      </c>
    </row>
    <row r="124">
      <c r="A124" t="n">
        <v>30</v>
      </c>
      <c r="B124">
        <f>$B$7+A124</f>
        <v/>
      </c>
      <c r="C124" s="14">
        <f>IF(A124&gt;$B$6,0,SUMIF(B24:B31,A124,E24:E31)+IF(A124=$B$6,E32,0))</f>
        <v/>
      </c>
      <c r="D124" s="14">
        <f>IF(A124&gt;$B$6,0,SUMIF(B24:B31,A124,F24:F31))</f>
        <v/>
      </c>
      <c r="E124" s="14">
        <f>IF(A124&gt;$B$6,0,SUMIF(K24:K26,A124,N24:N26)+IF(A124=$B$6,N27,0))</f>
        <v/>
      </c>
      <c r="F124" s="14">
        <f>IF(A124&gt;$B$6,0,SUMIF(K24:K26,A124,O24:O26))</f>
        <v/>
      </c>
      <c r="G124" s="14">
        <f>G123+IF(A124&gt;$B$6,0,SUMIF(B24:B31,A124,G24:G31)+IF(A124=$B$6,G32,0))</f>
        <v/>
      </c>
      <c r="H124" s="14">
        <f>H123+IF(A124&gt;$B$6,0,SUMIF(K24:K26,A124,P24:P26)+IF(A124=$B$6,P27,0))</f>
        <v/>
      </c>
      <c r="I124">
        <f>IF(A124&gt;$B$6,0,SUMIF(B24:B31,A124,D24:D31)*$B$10)</f>
        <v/>
      </c>
      <c r="J124">
        <f>IF(A124&gt;$B$6,0,SUMIF(K24:K26,A124,M24:M26)*$B$10)</f>
        <v/>
      </c>
      <c r="M124" s="14">
        <f>C124+D124</f>
        <v/>
      </c>
      <c r="N124" s="14">
        <f>E124+F124</f>
        <v/>
      </c>
      <c r="AK124" t="n">
        <v>111</v>
      </c>
      <c r="AL124">
        <f>IFERROR(IF(AU124&lt;($AM$6-$AL$6)/($AN$6-$AL$6),$AL$6+SQRT(AU124*($AN$6-$AL$6)*($AM$6-$AL$6)),$AN$6-SQRT((1-AU124)*($AN$6-$AL$6)*($AN$6-$AM$6))),$AM$6)</f>
        <v/>
      </c>
      <c r="AM124">
        <f>IFERROR(IF(AV124&lt;($AM$7-$AL$7)/($AN$7-$AL$7),$AL$7+SQRT(AV124*($AN$7-$AL$7)*($AM$7-$AL$7)),$AN$7-SQRT((1-AV124)*($AN$7-$AL$7)*($AN$7-$AM$7))),$AM$7)</f>
        <v/>
      </c>
      <c r="AN124">
        <f>IFERROR(IF(AW124&lt;($AM$8-$AL$8)/($AN$8-$AL$8),$AL$8+SQRT(AW124*($AN$8-$AL$8)*($AM$8-$AL$8)),$AN$8-SQRT((1-AW124)*($AN$8-$AL$8)*($AN$8-$AM$8))),$AM$8)</f>
        <v/>
      </c>
      <c r="AO124">
        <f>IFERROR(IF(AX124&lt;($AM$9-$AL$9)/($AN$9-$AL$9),$AL$9+SQRT(AX124*($AN$9-$AL$9)*($AM$9-$AL$9)),$AN$9-SQRT((1-AX124)*($AN$9-$AL$9)*($AN$9-$AM$9))),$AM$9)</f>
        <v/>
      </c>
      <c r="AP124">
        <f>IFERROR(IF(AY124&lt;($AM$10-$AL$10)/($AN$10-$AL$10),$AL$10+SQRT(AY124*($AN$10-$AL$10)*($AM$10-$AL$10)),$AN$10-SQRT((1-AY124)*($AN$10-$AL$10)*($AN$10-$AM$10))),$AM$10)</f>
        <v/>
      </c>
      <c r="AQ124">
        <f>IFERROR(IF(AZ124&lt;($AM$11-$AL$11)/($AN$11-$AL$11),$AL$11+SQRT(AZ124*($AN$11-$AL$11)*($AM$11-$AL$11)),$AN$11-SQRT((1-AZ124)*($AN$11-$AL$11)*($AN$11-$AM$11))),$AM$11)</f>
        <v/>
      </c>
      <c r="AR124">
        <f>SUMPRODUCT((B24:B31&lt;=$B$6)*(C24:C31*AM124+D24:D31*AO124*$B$8*AQ124)/(1+AL124/100)^B24:B31)+C32*AM124*AP124/(1+AL124/100)^$B$6</f>
        <v/>
      </c>
      <c r="AS124">
        <f>SUMPRODUCT((K24:K26&lt;=$B$6)*(L24:L26*AN124+M24:M26*AO124*$B$8*AQ124)/(1+AL124/100)^K24:K26)+L27*AN124*AP124/(1+AL124/100)^$B$6</f>
        <v/>
      </c>
      <c r="AT124">
        <f>AS124-AR124</f>
        <v/>
      </c>
      <c r="AU124">
        <f>RAND()</f>
        <v/>
      </c>
      <c r="AV124">
        <f>RAND()</f>
        <v/>
      </c>
      <c r="AW124">
        <f>RAND()</f>
        <v/>
      </c>
      <c r="AX124">
        <f>RAND()</f>
        <v/>
      </c>
      <c r="AY124">
        <f>RAND()</f>
        <v/>
      </c>
      <c r="AZ124">
        <f>RAND()</f>
        <v/>
      </c>
    </row>
    <row r="125">
      <c r="A125" s="7" t="inlineStr">
        <is>
          <t>Crossover year (cumulative PW lines cross)</t>
        </is>
      </c>
      <c r="B125">
        <f>IFERROR(INDEX($B$95:$B$124,MATCH(TRUE,INDEX(SIGN($H$95:$H$124-$G$95:$G$124)&lt;&gt;SIGN($H$94-$G$94),0),0)),"no crossover")</f>
        <v/>
      </c>
      <c r="AK125" t="n">
        <v>112</v>
      </c>
      <c r="AL125">
        <f>IFERROR(IF(AU125&lt;($AM$6-$AL$6)/($AN$6-$AL$6),$AL$6+SQRT(AU125*($AN$6-$AL$6)*($AM$6-$AL$6)),$AN$6-SQRT((1-AU125)*($AN$6-$AL$6)*($AN$6-$AM$6))),$AM$6)</f>
        <v/>
      </c>
      <c r="AM125">
        <f>IFERROR(IF(AV125&lt;($AM$7-$AL$7)/($AN$7-$AL$7),$AL$7+SQRT(AV125*($AN$7-$AL$7)*($AM$7-$AL$7)),$AN$7-SQRT((1-AV125)*($AN$7-$AL$7)*($AN$7-$AM$7))),$AM$7)</f>
        <v/>
      </c>
      <c r="AN125">
        <f>IFERROR(IF(AW125&lt;($AM$8-$AL$8)/($AN$8-$AL$8),$AL$8+SQRT(AW125*($AN$8-$AL$8)*($AM$8-$AL$8)),$AN$8-SQRT((1-AW125)*($AN$8-$AL$8)*($AN$8-$AM$8))),$AM$8)</f>
        <v/>
      </c>
      <c r="AO125">
        <f>IFERROR(IF(AX125&lt;($AM$9-$AL$9)/($AN$9-$AL$9),$AL$9+SQRT(AX125*($AN$9-$AL$9)*($AM$9-$AL$9)),$AN$9-SQRT((1-AX125)*($AN$9-$AL$9)*($AN$9-$AM$9))),$AM$9)</f>
        <v/>
      </c>
      <c r="AP125">
        <f>IFERROR(IF(AY125&lt;($AM$10-$AL$10)/($AN$10-$AL$10),$AL$10+SQRT(AY125*($AN$10-$AL$10)*($AM$10-$AL$10)),$AN$10-SQRT((1-AY125)*($AN$10-$AL$10)*($AN$10-$AM$10))),$AM$10)</f>
        <v/>
      </c>
      <c r="AQ125">
        <f>IFERROR(IF(AZ125&lt;($AM$11-$AL$11)/($AN$11-$AL$11),$AL$11+SQRT(AZ125*($AN$11-$AL$11)*($AM$11-$AL$11)),$AN$11-SQRT((1-AZ125)*($AN$11-$AL$11)*($AN$11-$AM$11))),$AM$11)</f>
        <v/>
      </c>
      <c r="AR125">
        <f>SUMPRODUCT((B24:B31&lt;=$B$6)*(C24:C31*AM125+D24:D31*AO125*$B$8*AQ125)/(1+AL125/100)^B24:B31)+C32*AM125*AP125/(1+AL125/100)^$B$6</f>
        <v/>
      </c>
      <c r="AS125">
        <f>SUMPRODUCT((K24:K26&lt;=$B$6)*(L24:L26*AN125+M24:M26*AO125*$B$8*AQ125)/(1+AL125/100)^K24:K26)+L27*AN125*AP125/(1+AL125/100)^$B$6</f>
        <v/>
      </c>
      <c r="AT125">
        <f>AS125-AR125</f>
        <v/>
      </c>
      <c r="AU125">
        <f>RAND()</f>
        <v/>
      </c>
      <c r="AV125">
        <f>RAND()</f>
        <v/>
      </c>
      <c r="AW125">
        <f>RAND()</f>
        <v/>
      </c>
      <c r="AX125">
        <f>RAND()</f>
        <v/>
      </c>
      <c r="AY125">
        <f>RAND()</f>
        <v/>
      </c>
      <c r="AZ125">
        <f>RAND()</f>
        <v/>
      </c>
    </row>
    <row r="126">
      <c r="AK126" t="n">
        <v>113</v>
      </c>
      <c r="AL126">
        <f>IFERROR(IF(AU126&lt;($AM$6-$AL$6)/($AN$6-$AL$6),$AL$6+SQRT(AU126*($AN$6-$AL$6)*($AM$6-$AL$6)),$AN$6-SQRT((1-AU126)*($AN$6-$AL$6)*($AN$6-$AM$6))),$AM$6)</f>
        <v/>
      </c>
      <c r="AM126">
        <f>IFERROR(IF(AV126&lt;($AM$7-$AL$7)/($AN$7-$AL$7),$AL$7+SQRT(AV126*($AN$7-$AL$7)*($AM$7-$AL$7)),$AN$7-SQRT((1-AV126)*($AN$7-$AL$7)*($AN$7-$AM$7))),$AM$7)</f>
        <v/>
      </c>
      <c r="AN126">
        <f>IFERROR(IF(AW126&lt;($AM$8-$AL$8)/($AN$8-$AL$8),$AL$8+SQRT(AW126*($AN$8-$AL$8)*($AM$8-$AL$8)),$AN$8-SQRT((1-AW126)*($AN$8-$AL$8)*($AN$8-$AM$8))),$AM$8)</f>
        <v/>
      </c>
      <c r="AO126">
        <f>IFERROR(IF(AX126&lt;($AM$9-$AL$9)/($AN$9-$AL$9),$AL$9+SQRT(AX126*($AN$9-$AL$9)*($AM$9-$AL$9)),$AN$9-SQRT((1-AX126)*($AN$9-$AL$9)*($AN$9-$AM$9))),$AM$9)</f>
        <v/>
      </c>
      <c r="AP126">
        <f>IFERROR(IF(AY126&lt;($AM$10-$AL$10)/($AN$10-$AL$10),$AL$10+SQRT(AY126*($AN$10-$AL$10)*($AM$10-$AL$10)),$AN$10-SQRT((1-AY126)*($AN$10-$AL$10)*($AN$10-$AM$10))),$AM$10)</f>
        <v/>
      </c>
      <c r="AQ126">
        <f>IFERROR(IF(AZ126&lt;($AM$11-$AL$11)/($AN$11-$AL$11),$AL$11+SQRT(AZ126*($AN$11-$AL$11)*($AM$11-$AL$11)),$AN$11-SQRT((1-AZ126)*($AN$11-$AL$11)*($AN$11-$AM$11))),$AM$11)</f>
        <v/>
      </c>
      <c r="AR126">
        <f>SUMPRODUCT((B24:B31&lt;=$B$6)*(C24:C31*AM126+D24:D31*AO126*$B$8*AQ126)/(1+AL126/100)^B24:B31)+C32*AM126*AP126/(1+AL126/100)^$B$6</f>
        <v/>
      </c>
      <c r="AS126">
        <f>SUMPRODUCT((K24:K26&lt;=$B$6)*(L24:L26*AN126+M24:M26*AO126*$B$8*AQ126)/(1+AL126/100)^K24:K26)+L27*AN126*AP126/(1+AL126/100)^$B$6</f>
        <v/>
      </c>
      <c r="AT126">
        <f>AS126-AR126</f>
        <v/>
      </c>
      <c r="AU126">
        <f>RAND()</f>
        <v/>
      </c>
      <c r="AV126">
        <f>RAND()</f>
        <v/>
      </c>
      <c r="AW126">
        <f>RAND()</f>
        <v/>
      </c>
      <c r="AX126">
        <f>RAND()</f>
        <v/>
      </c>
      <c r="AY126">
        <f>RAND()</f>
        <v/>
      </c>
      <c r="AZ126">
        <f>RAND()</f>
        <v/>
      </c>
    </row>
    <row r="127">
      <c r="AK127" t="n">
        <v>114</v>
      </c>
      <c r="AL127">
        <f>IFERROR(IF(AU127&lt;($AM$6-$AL$6)/($AN$6-$AL$6),$AL$6+SQRT(AU127*($AN$6-$AL$6)*($AM$6-$AL$6)),$AN$6-SQRT((1-AU127)*($AN$6-$AL$6)*($AN$6-$AM$6))),$AM$6)</f>
        <v/>
      </c>
      <c r="AM127">
        <f>IFERROR(IF(AV127&lt;($AM$7-$AL$7)/($AN$7-$AL$7),$AL$7+SQRT(AV127*($AN$7-$AL$7)*($AM$7-$AL$7)),$AN$7-SQRT((1-AV127)*($AN$7-$AL$7)*($AN$7-$AM$7))),$AM$7)</f>
        <v/>
      </c>
      <c r="AN127">
        <f>IFERROR(IF(AW127&lt;($AM$8-$AL$8)/($AN$8-$AL$8),$AL$8+SQRT(AW127*($AN$8-$AL$8)*($AM$8-$AL$8)),$AN$8-SQRT((1-AW127)*($AN$8-$AL$8)*($AN$8-$AM$8))),$AM$8)</f>
        <v/>
      </c>
      <c r="AO127">
        <f>IFERROR(IF(AX127&lt;($AM$9-$AL$9)/($AN$9-$AL$9),$AL$9+SQRT(AX127*($AN$9-$AL$9)*($AM$9-$AL$9)),$AN$9-SQRT((1-AX127)*($AN$9-$AL$9)*($AN$9-$AM$9))),$AM$9)</f>
        <v/>
      </c>
      <c r="AP127">
        <f>IFERROR(IF(AY127&lt;($AM$10-$AL$10)/($AN$10-$AL$10),$AL$10+SQRT(AY127*($AN$10-$AL$10)*($AM$10-$AL$10)),$AN$10-SQRT((1-AY127)*($AN$10-$AL$10)*($AN$10-$AM$10))),$AM$10)</f>
        <v/>
      </c>
      <c r="AQ127">
        <f>IFERROR(IF(AZ127&lt;($AM$11-$AL$11)/($AN$11-$AL$11),$AL$11+SQRT(AZ127*($AN$11-$AL$11)*($AM$11-$AL$11)),$AN$11-SQRT((1-AZ127)*($AN$11-$AL$11)*($AN$11-$AM$11))),$AM$11)</f>
        <v/>
      </c>
      <c r="AR127">
        <f>SUMPRODUCT((B24:B31&lt;=$B$6)*(C24:C31*AM127+D24:D31*AO127*$B$8*AQ127)/(1+AL127/100)^B24:B31)+C32*AM127*AP127/(1+AL127/100)^$B$6</f>
        <v/>
      </c>
      <c r="AS127">
        <f>SUMPRODUCT((K24:K26&lt;=$B$6)*(L24:L26*AN127+M24:M26*AO127*$B$8*AQ127)/(1+AL127/100)^K24:K26)+L27*AN127*AP127/(1+AL127/100)^$B$6</f>
        <v/>
      </c>
      <c r="AT127">
        <f>AS127-AR127</f>
        <v/>
      </c>
      <c r="AU127">
        <f>RAND()</f>
        <v/>
      </c>
      <c r="AV127">
        <f>RAND()</f>
        <v/>
      </c>
      <c r="AW127">
        <f>RAND()</f>
        <v/>
      </c>
      <c r="AX127">
        <f>RAND()</f>
        <v/>
      </c>
      <c r="AY127">
        <f>RAND()</f>
        <v/>
      </c>
      <c r="AZ127">
        <f>RAND()</f>
        <v/>
      </c>
    </row>
    <row r="128">
      <c r="A128" s="4" t="inlineStr">
        <is>
          <t>WHAT COULD FLIP THE ANSWER (one input at a time, PCC - HMA present worth)</t>
        </is>
      </c>
      <c r="AK128" t="n">
        <v>115</v>
      </c>
      <c r="AL128">
        <f>IFERROR(IF(AU128&lt;($AM$6-$AL$6)/($AN$6-$AL$6),$AL$6+SQRT(AU128*($AN$6-$AL$6)*($AM$6-$AL$6)),$AN$6-SQRT((1-AU128)*($AN$6-$AL$6)*($AN$6-$AM$6))),$AM$6)</f>
        <v/>
      </c>
      <c r="AM128">
        <f>IFERROR(IF(AV128&lt;($AM$7-$AL$7)/($AN$7-$AL$7),$AL$7+SQRT(AV128*($AN$7-$AL$7)*($AM$7-$AL$7)),$AN$7-SQRT((1-AV128)*($AN$7-$AL$7)*($AN$7-$AM$7))),$AM$7)</f>
        <v/>
      </c>
      <c r="AN128">
        <f>IFERROR(IF(AW128&lt;($AM$8-$AL$8)/($AN$8-$AL$8),$AL$8+SQRT(AW128*($AN$8-$AL$8)*($AM$8-$AL$8)),$AN$8-SQRT((1-AW128)*($AN$8-$AL$8)*($AN$8-$AM$8))),$AM$8)</f>
        <v/>
      </c>
      <c r="AO128">
        <f>IFERROR(IF(AX128&lt;($AM$9-$AL$9)/($AN$9-$AL$9),$AL$9+SQRT(AX128*($AN$9-$AL$9)*($AM$9-$AL$9)),$AN$9-SQRT((1-AX128)*($AN$9-$AL$9)*($AN$9-$AM$9))),$AM$9)</f>
        <v/>
      </c>
      <c r="AP128">
        <f>IFERROR(IF(AY128&lt;($AM$10-$AL$10)/($AN$10-$AL$10),$AL$10+SQRT(AY128*($AN$10-$AL$10)*($AM$10-$AL$10)),$AN$10-SQRT((1-AY128)*($AN$10-$AL$10)*($AN$10-$AM$10))),$AM$10)</f>
        <v/>
      </c>
      <c r="AQ128">
        <f>IFERROR(IF(AZ128&lt;($AM$11-$AL$11)/($AN$11-$AL$11),$AL$11+SQRT(AZ128*($AN$11-$AL$11)*($AM$11-$AL$11)),$AN$11-SQRT((1-AZ128)*($AN$11-$AL$11)*($AN$11-$AM$11))),$AM$11)</f>
        <v/>
      </c>
      <c r="AR128">
        <f>SUMPRODUCT((B24:B31&lt;=$B$6)*(C24:C31*AM128+D24:D31*AO128*$B$8*AQ128)/(1+AL128/100)^B24:B31)+C32*AM128*AP128/(1+AL128/100)^$B$6</f>
        <v/>
      </c>
      <c r="AS128">
        <f>SUMPRODUCT((K24:K26&lt;=$B$6)*(L24:L26*AN128+M24:M26*AO128*$B$8*AQ128)/(1+AL128/100)^K24:K26)+L27*AN128*AP128/(1+AL128/100)^$B$6</f>
        <v/>
      </c>
      <c r="AT128">
        <f>AS128-AR128</f>
        <v/>
      </c>
      <c r="AU128">
        <f>RAND()</f>
        <v/>
      </c>
      <c r="AV128">
        <f>RAND()</f>
        <v/>
      </c>
      <c r="AW128">
        <f>RAND()</f>
        <v/>
      </c>
      <c r="AX128">
        <f>RAND()</f>
        <v/>
      </c>
      <c r="AY128">
        <f>RAND()</f>
        <v/>
      </c>
      <c r="AZ128">
        <f>RAND()</f>
        <v/>
      </c>
    </row>
    <row r="129">
      <c r="A129" s="6" t="inlineStr">
        <is>
          <t>Input moved</t>
        </is>
      </c>
      <c r="B129" s="6" t="inlineStr">
        <is>
          <t>Low case</t>
        </is>
      </c>
      <c r="C129" s="6" t="inlineStr">
        <is>
          <t>High case</t>
        </is>
      </c>
      <c r="D129" s="6" t="inlineStr">
        <is>
          <t>Low PCC-HMA</t>
        </is>
      </c>
      <c r="E129" s="6" t="inlineStr">
        <is>
          <t>High PCC-HMA</t>
        </is>
      </c>
      <c r="F129" s="6" t="inlineStr">
        <is>
          <t>Swing</t>
        </is>
      </c>
      <c r="G129" s="6" t="inlineStr">
        <is>
          <t>Winner changes?</t>
        </is>
      </c>
      <c r="AK129" t="n">
        <v>116</v>
      </c>
      <c r="AL129">
        <f>IFERROR(IF(AU129&lt;($AM$6-$AL$6)/($AN$6-$AL$6),$AL$6+SQRT(AU129*($AN$6-$AL$6)*($AM$6-$AL$6)),$AN$6-SQRT((1-AU129)*($AN$6-$AL$6)*($AN$6-$AM$6))),$AM$6)</f>
        <v/>
      </c>
      <c r="AM129">
        <f>IFERROR(IF(AV129&lt;($AM$7-$AL$7)/($AN$7-$AL$7),$AL$7+SQRT(AV129*($AN$7-$AL$7)*($AM$7-$AL$7)),$AN$7-SQRT((1-AV129)*($AN$7-$AL$7)*($AN$7-$AM$7))),$AM$7)</f>
        <v/>
      </c>
      <c r="AN129">
        <f>IFERROR(IF(AW129&lt;($AM$8-$AL$8)/($AN$8-$AL$8),$AL$8+SQRT(AW129*($AN$8-$AL$8)*($AM$8-$AL$8)),$AN$8-SQRT((1-AW129)*($AN$8-$AL$8)*($AN$8-$AM$8))),$AM$8)</f>
        <v/>
      </c>
      <c r="AO129">
        <f>IFERROR(IF(AX129&lt;($AM$9-$AL$9)/($AN$9-$AL$9),$AL$9+SQRT(AX129*($AN$9-$AL$9)*($AM$9-$AL$9)),$AN$9-SQRT((1-AX129)*($AN$9-$AL$9)*($AN$9-$AM$9))),$AM$9)</f>
        <v/>
      </c>
      <c r="AP129">
        <f>IFERROR(IF(AY129&lt;($AM$10-$AL$10)/($AN$10-$AL$10),$AL$10+SQRT(AY129*($AN$10-$AL$10)*($AM$10-$AL$10)),$AN$10-SQRT((1-AY129)*($AN$10-$AL$10)*($AN$10-$AM$10))),$AM$10)</f>
        <v/>
      </c>
      <c r="AQ129">
        <f>IFERROR(IF(AZ129&lt;($AM$11-$AL$11)/($AN$11-$AL$11),$AL$11+SQRT(AZ129*($AN$11-$AL$11)*($AM$11-$AL$11)),$AN$11-SQRT((1-AZ129)*($AN$11-$AL$11)*($AN$11-$AM$11))),$AM$11)</f>
        <v/>
      </c>
      <c r="AR129">
        <f>SUMPRODUCT((B24:B31&lt;=$B$6)*(C24:C31*AM129+D24:D31*AO129*$B$8*AQ129)/(1+AL129/100)^B24:B31)+C32*AM129*AP129/(1+AL129/100)^$B$6</f>
        <v/>
      </c>
      <c r="AS129">
        <f>SUMPRODUCT((K24:K26&lt;=$B$6)*(L24:L26*AN129+M24:M26*AO129*$B$8*AQ129)/(1+AL129/100)^K24:K26)+L27*AN129*AP129/(1+AL129/100)^$B$6</f>
        <v/>
      </c>
      <c r="AT129">
        <f>AS129-AR129</f>
        <v/>
      </c>
      <c r="AU129">
        <f>RAND()</f>
        <v/>
      </c>
      <c r="AV129">
        <f>RAND()</f>
        <v/>
      </c>
      <c r="AW129">
        <f>RAND()</f>
        <v/>
      </c>
      <c r="AX129">
        <f>RAND()</f>
        <v/>
      </c>
      <c r="AY129">
        <f>RAND()</f>
        <v/>
      </c>
      <c r="AZ129">
        <f>RAND()</f>
        <v/>
      </c>
    </row>
    <row r="130">
      <c r="A130" s="7" t="inlineStr">
        <is>
          <t>Discount rate</t>
        </is>
      </c>
      <c r="B130" t="inlineStr">
        <is>
          <t>2%</t>
        </is>
      </c>
      <c r="C130" t="inlineStr">
        <is>
          <t>8%</t>
        </is>
      </c>
      <c r="D130" s="14">
        <f>(SUMPRODUCT((K24:K26&lt;=$B$6)*(L24:L26*$B$12+M24:M26*$B$10*$B$8*$B$9)/(1+2/100)^K24:K26)+L27*$B$12*$B$13/(1+2/100)^$B$6)-(SUMPRODUCT((B24:B31&lt;=$B$6)*(C24:C31*$B$11+D24:D31*$B$10*$B$8*$B$9)/(1+2/100)^B24:B31)+C32*$B$11*$B$13/(1+2/100)^$B$6)</f>
        <v/>
      </c>
      <c r="E130" s="14">
        <f>(SUMPRODUCT((K24:K26&lt;=$B$6)*(L24:L26*$B$12+M24:M26*$B$10*$B$8*$B$9)/(1+8/100)^K24:K26)+L27*$B$12*$B$13/(1+8/100)^$B$6)-(SUMPRODUCT((B24:B31&lt;=$B$6)*(C24:C31*$B$11+D24:D31*$B$10*$B$8*$B$9)/(1+8/100)^B24:B31)+C32*$B$11*$B$13/(1+8/100)^$B$6)</f>
        <v/>
      </c>
      <c r="F130" s="14">
        <f>ABS(E130-D130)</f>
        <v/>
      </c>
      <c r="G130">
        <f>IF(SIGN(D130)&lt;&gt;SIGN(E130),"YES","no")</f>
        <v/>
      </c>
      <c r="AK130" t="n">
        <v>117</v>
      </c>
      <c r="AL130">
        <f>IFERROR(IF(AU130&lt;($AM$6-$AL$6)/($AN$6-$AL$6),$AL$6+SQRT(AU130*($AN$6-$AL$6)*($AM$6-$AL$6)),$AN$6-SQRT((1-AU130)*($AN$6-$AL$6)*($AN$6-$AM$6))),$AM$6)</f>
        <v/>
      </c>
      <c r="AM130">
        <f>IFERROR(IF(AV130&lt;($AM$7-$AL$7)/($AN$7-$AL$7),$AL$7+SQRT(AV130*($AN$7-$AL$7)*($AM$7-$AL$7)),$AN$7-SQRT((1-AV130)*($AN$7-$AL$7)*($AN$7-$AM$7))),$AM$7)</f>
        <v/>
      </c>
      <c r="AN130">
        <f>IFERROR(IF(AW130&lt;($AM$8-$AL$8)/($AN$8-$AL$8),$AL$8+SQRT(AW130*($AN$8-$AL$8)*($AM$8-$AL$8)),$AN$8-SQRT((1-AW130)*($AN$8-$AL$8)*($AN$8-$AM$8))),$AM$8)</f>
        <v/>
      </c>
      <c r="AO130">
        <f>IFERROR(IF(AX130&lt;($AM$9-$AL$9)/($AN$9-$AL$9),$AL$9+SQRT(AX130*($AN$9-$AL$9)*($AM$9-$AL$9)),$AN$9-SQRT((1-AX130)*($AN$9-$AL$9)*($AN$9-$AM$9))),$AM$9)</f>
        <v/>
      </c>
      <c r="AP130">
        <f>IFERROR(IF(AY130&lt;($AM$10-$AL$10)/($AN$10-$AL$10),$AL$10+SQRT(AY130*($AN$10-$AL$10)*($AM$10-$AL$10)),$AN$10-SQRT((1-AY130)*($AN$10-$AL$10)*($AN$10-$AM$10))),$AM$10)</f>
        <v/>
      </c>
      <c r="AQ130">
        <f>IFERROR(IF(AZ130&lt;($AM$11-$AL$11)/($AN$11-$AL$11),$AL$11+SQRT(AZ130*($AN$11-$AL$11)*($AM$11-$AL$11)),$AN$11-SQRT((1-AZ130)*($AN$11-$AL$11)*($AN$11-$AM$11))),$AM$11)</f>
        <v/>
      </c>
      <c r="AR130">
        <f>SUMPRODUCT((B24:B31&lt;=$B$6)*(C24:C31*AM130+D24:D31*AO130*$B$8*AQ130)/(1+AL130/100)^B24:B31)+C32*AM130*AP130/(1+AL130/100)^$B$6</f>
        <v/>
      </c>
      <c r="AS130">
        <f>SUMPRODUCT((K24:K26&lt;=$B$6)*(L24:L26*AN130+M24:M26*AO130*$B$8*AQ130)/(1+AL130/100)^K24:K26)+L27*AN130*AP130/(1+AL130/100)^$B$6</f>
        <v/>
      </c>
      <c r="AT130">
        <f>AS130-AR130</f>
        <v/>
      </c>
      <c r="AU130">
        <f>RAND()</f>
        <v/>
      </c>
      <c r="AV130">
        <f>RAND()</f>
        <v/>
      </c>
      <c r="AW130">
        <f>RAND()</f>
        <v/>
      </c>
      <c r="AX130">
        <f>RAND()</f>
        <v/>
      </c>
      <c r="AY130">
        <f>RAND()</f>
        <v/>
      </c>
      <c r="AZ130">
        <f>RAND()</f>
        <v/>
      </c>
    </row>
    <row r="131">
      <c r="A131" s="7" t="inlineStr">
        <is>
          <t>PCC salvage credit</t>
        </is>
      </c>
      <c r="B131" t="inlineStr">
        <is>
          <t>0</t>
        </is>
      </c>
      <c r="C131" t="inlineStr">
        <is>
          <t>policy</t>
        </is>
      </c>
      <c r="D131" s="14">
        <f>(SUMPRODUCT((K24:K26&lt;=$B$6)*(L24:L26*$B$12+M24:M26*$B$10*$B$8*$B$9)/(1+$B$5/100)^K24:K26)+L27*$B$12*0/(1+$B$5/100)^$B$6)-(SUMPRODUCT((B24:B31&lt;=$B$6)*(C24:C31*$B$11+D24:D31*$B$10*$B$8*$B$9)/(1+$B$5/100)^B24:B31)+C32*$B$11*$B$13/(1+$B$5/100)^$B$6)</f>
        <v/>
      </c>
      <c r="E131" s="14">
        <f>$D$44</f>
        <v/>
      </c>
      <c r="F131" s="14">
        <f>ABS(E131-D131)</f>
        <v/>
      </c>
      <c r="G131">
        <f>IF(SIGN(D131)&lt;&gt;SIGN(E131),"YES","no")</f>
        <v/>
      </c>
      <c r="AK131" t="n">
        <v>118</v>
      </c>
      <c r="AL131">
        <f>IFERROR(IF(AU131&lt;($AM$6-$AL$6)/($AN$6-$AL$6),$AL$6+SQRT(AU131*($AN$6-$AL$6)*($AM$6-$AL$6)),$AN$6-SQRT((1-AU131)*($AN$6-$AL$6)*($AN$6-$AM$6))),$AM$6)</f>
        <v/>
      </c>
      <c r="AM131">
        <f>IFERROR(IF(AV131&lt;($AM$7-$AL$7)/($AN$7-$AL$7),$AL$7+SQRT(AV131*($AN$7-$AL$7)*($AM$7-$AL$7)),$AN$7-SQRT((1-AV131)*($AN$7-$AL$7)*($AN$7-$AM$7))),$AM$7)</f>
        <v/>
      </c>
      <c r="AN131">
        <f>IFERROR(IF(AW131&lt;($AM$8-$AL$8)/($AN$8-$AL$8),$AL$8+SQRT(AW131*($AN$8-$AL$8)*($AM$8-$AL$8)),$AN$8-SQRT((1-AW131)*($AN$8-$AL$8)*($AN$8-$AM$8))),$AM$8)</f>
        <v/>
      </c>
      <c r="AO131">
        <f>IFERROR(IF(AX131&lt;($AM$9-$AL$9)/($AN$9-$AL$9),$AL$9+SQRT(AX131*($AN$9-$AL$9)*($AM$9-$AL$9)),$AN$9-SQRT((1-AX131)*($AN$9-$AL$9)*($AN$9-$AM$9))),$AM$9)</f>
        <v/>
      </c>
      <c r="AP131">
        <f>IFERROR(IF(AY131&lt;($AM$10-$AL$10)/($AN$10-$AL$10),$AL$10+SQRT(AY131*($AN$10-$AL$10)*($AM$10-$AL$10)),$AN$10-SQRT((1-AY131)*($AN$10-$AL$10)*($AN$10-$AM$10))),$AM$10)</f>
        <v/>
      </c>
      <c r="AQ131">
        <f>IFERROR(IF(AZ131&lt;($AM$11-$AL$11)/($AN$11-$AL$11),$AL$11+SQRT(AZ131*($AN$11-$AL$11)*($AM$11-$AL$11)),$AN$11-SQRT((1-AZ131)*($AN$11-$AL$11)*($AN$11-$AM$11))),$AM$11)</f>
        <v/>
      </c>
      <c r="AR131">
        <f>SUMPRODUCT((B24:B31&lt;=$B$6)*(C24:C31*AM131+D24:D31*AO131*$B$8*AQ131)/(1+AL131/100)^B24:B31)+C32*AM131*AP131/(1+AL131/100)^$B$6</f>
        <v/>
      </c>
      <c r="AS131">
        <f>SUMPRODUCT((K24:K26&lt;=$B$6)*(L24:L26*AN131+M24:M26*AO131*$B$8*AQ131)/(1+AL131/100)^K24:K26)+L27*AN131*AP131/(1+AL131/100)^$B$6</f>
        <v/>
      </c>
      <c r="AT131">
        <f>AS131-AR131</f>
        <v/>
      </c>
      <c r="AU131">
        <f>RAND()</f>
        <v/>
      </c>
      <c r="AV131">
        <f>RAND()</f>
        <v/>
      </c>
      <c r="AW131">
        <f>RAND()</f>
        <v/>
      </c>
      <c r="AX131">
        <f>RAND()</f>
        <v/>
      </c>
      <c r="AY131">
        <f>RAND()</f>
        <v/>
      </c>
      <c r="AZ131">
        <f>RAND()</f>
        <v/>
      </c>
    </row>
    <row r="132">
      <c r="A132" s="7" t="inlineStr">
        <is>
          <t>HMA salvage credit</t>
        </is>
      </c>
      <c r="B132" t="inlineStr">
        <is>
          <t>0</t>
        </is>
      </c>
      <c r="C132" t="inlineStr">
        <is>
          <t>policy</t>
        </is>
      </c>
      <c r="D132" s="14">
        <f>(SUMPRODUCT((K24:K26&lt;=$B$6)*(L24:L26*$B$12+M24:M26*$B$10*$B$8*$B$9)/(1+$B$5/100)^K24:K26)+L27*$B$12*$B$13/(1+$B$5/100)^$B$6)-(SUMPRODUCT((B24:B31&lt;=$B$6)*(C24:C31*$B$11+D24:D31*$B$10*$B$8*$B$9)/(1+$B$5/100)^B24:B31)+C32*$B$11*0/(1+$B$5/100)^$B$6)</f>
        <v/>
      </c>
      <c r="E132" s="14">
        <f>$D$44</f>
        <v/>
      </c>
      <c r="F132" s="14">
        <f>ABS(E132-D132)</f>
        <v/>
      </c>
      <c r="G132">
        <f>IF(SIGN(D132)&lt;&gt;SIGN(E132),"YES","no")</f>
        <v/>
      </c>
      <c r="AK132" t="n">
        <v>119</v>
      </c>
      <c r="AL132">
        <f>IFERROR(IF(AU132&lt;($AM$6-$AL$6)/($AN$6-$AL$6),$AL$6+SQRT(AU132*($AN$6-$AL$6)*($AM$6-$AL$6)),$AN$6-SQRT((1-AU132)*($AN$6-$AL$6)*($AN$6-$AM$6))),$AM$6)</f>
        <v/>
      </c>
      <c r="AM132">
        <f>IFERROR(IF(AV132&lt;($AM$7-$AL$7)/($AN$7-$AL$7),$AL$7+SQRT(AV132*($AN$7-$AL$7)*($AM$7-$AL$7)),$AN$7-SQRT((1-AV132)*($AN$7-$AL$7)*($AN$7-$AM$7))),$AM$7)</f>
        <v/>
      </c>
      <c r="AN132">
        <f>IFERROR(IF(AW132&lt;($AM$8-$AL$8)/($AN$8-$AL$8),$AL$8+SQRT(AW132*($AN$8-$AL$8)*($AM$8-$AL$8)),$AN$8-SQRT((1-AW132)*($AN$8-$AL$8)*($AN$8-$AM$8))),$AM$8)</f>
        <v/>
      </c>
      <c r="AO132">
        <f>IFERROR(IF(AX132&lt;($AM$9-$AL$9)/($AN$9-$AL$9),$AL$9+SQRT(AX132*($AN$9-$AL$9)*($AM$9-$AL$9)),$AN$9-SQRT((1-AX132)*($AN$9-$AL$9)*($AN$9-$AM$9))),$AM$9)</f>
        <v/>
      </c>
      <c r="AP132">
        <f>IFERROR(IF(AY132&lt;($AM$10-$AL$10)/($AN$10-$AL$10),$AL$10+SQRT(AY132*($AN$10-$AL$10)*($AM$10-$AL$10)),$AN$10-SQRT((1-AY132)*($AN$10-$AL$10)*($AN$10-$AM$10))),$AM$10)</f>
        <v/>
      </c>
      <c r="AQ132">
        <f>IFERROR(IF(AZ132&lt;($AM$11-$AL$11)/($AN$11-$AL$11),$AL$11+SQRT(AZ132*($AN$11-$AL$11)*($AM$11-$AL$11)),$AN$11-SQRT((1-AZ132)*($AN$11-$AL$11)*($AN$11-$AM$11))),$AM$11)</f>
        <v/>
      </c>
      <c r="AR132">
        <f>SUMPRODUCT((B24:B31&lt;=$B$6)*(C24:C31*AM132+D24:D31*AO132*$B$8*AQ132)/(1+AL132/100)^B24:B31)+C32*AM132*AP132/(1+AL132/100)^$B$6</f>
        <v/>
      </c>
      <c r="AS132">
        <f>SUMPRODUCT((K24:K26&lt;=$B$6)*(L24:L26*AN132+M24:M26*AO132*$B$8*AQ132)/(1+AL132/100)^K24:K26)+L27*AN132*AP132/(1+AL132/100)^$B$6</f>
        <v/>
      </c>
      <c r="AT132">
        <f>AS132-AR132</f>
        <v/>
      </c>
      <c r="AU132">
        <f>RAND()</f>
        <v/>
      </c>
      <c r="AV132">
        <f>RAND()</f>
        <v/>
      </c>
      <c r="AW132">
        <f>RAND()</f>
        <v/>
      </c>
      <c r="AX132">
        <f>RAND()</f>
        <v/>
      </c>
      <c r="AY132">
        <f>RAND()</f>
        <v/>
      </c>
      <c r="AZ132">
        <f>RAND()</f>
        <v/>
      </c>
    </row>
    <row r="133">
      <c r="A133" s="7" t="inlineStr">
        <is>
          <t>PCC direct costs</t>
        </is>
      </c>
      <c r="B133" t="inlineStr">
        <is>
          <t>-20%</t>
        </is>
      </c>
      <c r="C133" t="inlineStr">
        <is>
          <t>+20%</t>
        </is>
      </c>
      <c r="D133" s="14">
        <f>(SUMPRODUCT((K24:K26&lt;=$B$6)*(L24:L26*($B$12*0.8)+M24:M26*$B$10*$B$8*$B$9)/(1+$B$5/100)^K24:K26)+L27*($B$12*0.8)*$B$13/(1+$B$5/100)^$B$6)-(SUMPRODUCT((B24:B31&lt;=$B$6)*(C24:C31*$B$11+D24:D31*$B$10*$B$8*$B$9)/(1+$B$5/100)^B24:B31)+C32*$B$11*$B$13/(1+$B$5/100)^$B$6)</f>
        <v/>
      </c>
      <c r="E133" s="14">
        <f>(SUMPRODUCT((K24:K26&lt;=$B$6)*(L24:L26*($B$12*1.2)+M24:M26*$B$10*$B$8*$B$9)/(1+$B$5/100)^K24:K26)+L27*($B$12*1.2)*$B$13/(1+$B$5/100)^$B$6)-(SUMPRODUCT((B24:B31&lt;=$B$6)*(C24:C31*$B$11+D24:D31*$B$10*$B$8*$B$9)/(1+$B$5/100)^B24:B31)+C32*$B$11*$B$13/(1+$B$5/100)^$B$6)</f>
        <v/>
      </c>
      <c r="F133" s="14">
        <f>ABS(E133-D133)</f>
        <v/>
      </c>
      <c r="G133">
        <f>IF(SIGN(D133)&lt;&gt;SIGN(E133),"YES","no")</f>
        <v/>
      </c>
      <c r="AK133" t="n">
        <v>120</v>
      </c>
      <c r="AL133">
        <f>IFERROR(IF(AU133&lt;($AM$6-$AL$6)/($AN$6-$AL$6),$AL$6+SQRT(AU133*($AN$6-$AL$6)*($AM$6-$AL$6)),$AN$6-SQRT((1-AU133)*($AN$6-$AL$6)*($AN$6-$AM$6))),$AM$6)</f>
        <v/>
      </c>
      <c r="AM133">
        <f>IFERROR(IF(AV133&lt;($AM$7-$AL$7)/($AN$7-$AL$7),$AL$7+SQRT(AV133*($AN$7-$AL$7)*($AM$7-$AL$7)),$AN$7-SQRT((1-AV133)*($AN$7-$AL$7)*($AN$7-$AM$7))),$AM$7)</f>
        <v/>
      </c>
      <c r="AN133">
        <f>IFERROR(IF(AW133&lt;($AM$8-$AL$8)/($AN$8-$AL$8),$AL$8+SQRT(AW133*($AN$8-$AL$8)*($AM$8-$AL$8)),$AN$8-SQRT((1-AW133)*($AN$8-$AL$8)*($AN$8-$AM$8))),$AM$8)</f>
        <v/>
      </c>
      <c r="AO133">
        <f>IFERROR(IF(AX133&lt;($AM$9-$AL$9)/($AN$9-$AL$9),$AL$9+SQRT(AX133*($AN$9-$AL$9)*($AM$9-$AL$9)),$AN$9-SQRT((1-AX133)*($AN$9-$AL$9)*($AN$9-$AM$9))),$AM$9)</f>
        <v/>
      </c>
      <c r="AP133">
        <f>IFERROR(IF(AY133&lt;($AM$10-$AL$10)/($AN$10-$AL$10),$AL$10+SQRT(AY133*($AN$10-$AL$10)*($AM$10-$AL$10)),$AN$10-SQRT((1-AY133)*($AN$10-$AL$10)*($AN$10-$AM$10))),$AM$10)</f>
        <v/>
      </c>
      <c r="AQ133">
        <f>IFERROR(IF(AZ133&lt;($AM$11-$AL$11)/($AN$11-$AL$11),$AL$11+SQRT(AZ133*($AN$11-$AL$11)*($AM$11-$AL$11)),$AN$11-SQRT((1-AZ133)*($AN$11-$AL$11)*($AN$11-$AM$11))),$AM$11)</f>
        <v/>
      </c>
      <c r="AR133">
        <f>SUMPRODUCT((B24:B31&lt;=$B$6)*(C24:C31*AM133+D24:D31*AO133*$B$8*AQ133)/(1+AL133/100)^B24:B31)+C32*AM133*AP133/(1+AL133/100)^$B$6</f>
        <v/>
      </c>
      <c r="AS133">
        <f>SUMPRODUCT((K24:K26&lt;=$B$6)*(L24:L26*AN133+M24:M26*AO133*$B$8*AQ133)/(1+AL133/100)^K24:K26)+L27*AN133*AP133/(1+AL133/100)^$B$6</f>
        <v/>
      </c>
      <c r="AT133">
        <f>AS133-AR133</f>
        <v/>
      </c>
      <c r="AU133">
        <f>RAND()</f>
        <v/>
      </c>
      <c r="AV133">
        <f>RAND()</f>
        <v/>
      </c>
      <c r="AW133">
        <f>RAND()</f>
        <v/>
      </c>
      <c r="AX133">
        <f>RAND()</f>
        <v/>
      </c>
      <c r="AY133">
        <f>RAND()</f>
        <v/>
      </c>
      <c r="AZ133">
        <f>RAND()</f>
        <v/>
      </c>
    </row>
    <row r="134">
      <c r="A134" s="7" t="inlineStr">
        <is>
          <t>HMA direct costs</t>
        </is>
      </c>
      <c r="B134" t="inlineStr">
        <is>
          <t>-20%</t>
        </is>
      </c>
      <c r="C134" t="inlineStr">
        <is>
          <t>+20%</t>
        </is>
      </c>
      <c r="D134" s="14">
        <f>(SUMPRODUCT((K24:K26&lt;=$B$6)*(L24:L26*$B$12+M24:M26*$B$10*$B$8*$B$9)/(1+$B$5/100)^K24:K26)+L27*$B$12*$B$13/(1+$B$5/100)^$B$6)-(SUMPRODUCT((B24:B31&lt;=$B$6)*(C24:C31*($B$11*0.8)+D24:D31*$B$10*$B$8*$B$9)/(1+$B$5/100)^B24:B31)+C32*($B$11*0.8)*$B$13/(1+$B$5/100)^$B$6)</f>
        <v/>
      </c>
      <c r="E134" s="14">
        <f>(SUMPRODUCT((K24:K26&lt;=$B$6)*(L24:L26*$B$12+M24:M26*$B$10*$B$8*$B$9)/(1+$B$5/100)^K24:K26)+L27*$B$12*$B$13/(1+$B$5/100)^$B$6)-(SUMPRODUCT((B24:B31&lt;=$B$6)*(C24:C31*($B$11*1.2)+D24:D31*$B$10*$B$8*$B$9)/(1+$B$5/100)^B24:B31)+C32*($B$11*1.2)*$B$13/(1+$B$5/100)^$B$6)</f>
        <v/>
      </c>
      <c r="F134" s="14">
        <f>ABS(E134-D134)</f>
        <v/>
      </c>
      <c r="G134">
        <f>IF(SIGN(D134)&lt;&gt;SIGN(E134),"YES","no")</f>
        <v/>
      </c>
      <c r="AK134" t="n">
        <v>121</v>
      </c>
      <c r="AL134">
        <f>IFERROR(IF(AU134&lt;($AM$6-$AL$6)/($AN$6-$AL$6),$AL$6+SQRT(AU134*($AN$6-$AL$6)*($AM$6-$AL$6)),$AN$6-SQRT((1-AU134)*($AN$6-$AL$6)*($AN$6-$AM$6))),$AM$6)</f>
        <v/>
      </c>
      <c r="AM134">
        <f>IFERROR(IF(AV134&lt;($AM$7-$AL$7)/($AN$7-$AL$7),$AL$7+SQRT(AV134*($AN$7-$AL$7)*($AM$7-$AL$7)),$AN$7-SQRT((1-AV134)*($AN$7-$AL$7)*($AN$7-$AM$7))),$AM$7)</f>
        <v/>
      </c>
      <c r="AN134">
        <f>IFERROR(IF(AW134&lt;($AM$8-$AL$8)/($AN$8-$AL$8),$AL$8+SQRT(AW134*($AN$8-$AL$8)*($AM$8-$AL$8)),$AN$8-SQRT((1-AW134)*($AN$8-$AL$8)*($AN$8-$AM$8))),$AM$8)</f>
        <v/>
      </c>
      <c r="AO134">
        <f>IFERROR(IF(AX134&lt;($AM$9-$AL$9)/($AN$9-$AL$9),$AL$9+SQRT(AX134*($AN$9-$AL$9)*($AM$9-$AL$9)),$AN$9-SQRT((1-AX134)*($AN$9-$AL$9)*($AN$9-$AM$9))),$AM$9)</f>
        <v/>
      </c>
      <c r="AP134">
        <f>IFERROR(IF(AY134&lt;($AM$10-$AL$10)/($AN$10-$AL$10),$AL$10+SQRT(AY134*($AN$10-$AL$10)*($AM$10-$AL$10)),$AN$10-SQRT((1-AY134)*($AN$10-$AL$10)*($AN$10-$AM$10))),$AM$10)</f>
        <v/>
      </c>
      <c r="AQ134">
        <f>IFERROR(IF(AZ134&lt;($AM$11-$AL$11)/($AN$11-$AL$11),$AL$11+SQRT(AZ134*($AN$11-$AL$11)*($AM$11-$AL$11)),$AN$11-SQRT((1-AZ134)*($AN$11-$AL$11)*($AN$11-$AM$11))),$AM$11)</f>
        <v/>
      </c>
      <c r="AR134">
        <f>SUMPRODUCT((B24:B31&lt;=$B$6)*(C24:C31*AM134+D24:D31*AO134*$B$8*AQ134)/(1+AL134/100)^B24:B31)+C32*AM134*AP134/(1+AL134/100)^$B$6</f>
        <v/>
      </c>
      <c r="AS134">
        <f>SUMPRODUCT((K24:K26&lt;=$B$6)*(L24:L26*AN134+M24:M26*AO134*$B$8*AQ134)/(1+AL134/100)^K24:K26)+L27*AN134*AP134/(1+AL134/100)^$B$6</f>
        <v/>
      </c>
      <c r="AT134">
        <f>AS134-AR134</f>
        <v/>
      </c>
      <c r="AU134">
        <f>RAND()</f>
        <v/>
      </c>
      <c r="AV134">
        <f>RAND()</f>
        <v/>
      </c>
      <c r="AW134">
        <f>RAND()</f>
        <v/>
      </c>
      <c r="AX134">
        <f>RAND()</f>
        <v/>
      </c>
      <c r="AY134">
        <f>RAND()</f>
        <v/>
      </c>
      <c r="AZ134">
        <f>RAND()</f>
        <v/>
      </c>
    </row>
    <row r="135">
      <c r="A135" s="7" t="inlineStr">
        <is>
          <t>Closure durations</t>
        </is>
      </c>
      <c r="B135" t="inlineStr">
        <is>
          <t>x0.5</t>
        </is>
      </c>
      <c r="C135" t="inlineStr">
        <is>
          <t>x2</t>
        </is>
      </c>
      <c r="D135" s="14">
        <f>(SUMPRODUCT((K24:K26&lt;=$B$6)*(L24:L26*$B$12+M24:M26*($B$10*0.5)*$B$8*$B$9)/(1+$B$5/100)^K24:K26)+L27*$B$12*$B$13/(1+$B$5/100)^$B$6)-(SUMPRODUCT((B24:B31&lt;=$B$6)*(C24:C31*$B$11+D24:D31*($B$10*0.5)*$B$8*$B$9)/(1+$B$5/100)^B24:B31)+C32*$B$11*$B$13/(1+$B$5/100)^$B$6)</f>
        <v/>
      </c>
      <c r="E135" s="14">
        <f>(SUMPRODUCT((K24:K26&lt;=$B$6)*(L24:L26*$B$12+M24:M26*($B$10*2)*$B$8*$B$9)/(1+$B$5/100)^K24:K26)+L27*$B$12*$B$13/(1+$B$5/100)^$B$6)-(SUMPRODUCT((B24:B31&lt;=$B$6)*(C24:C31*$B$11+D24:D31*($B$10*2)*$B$8*$B$9)/(1+$B$5/100)^B24:B31)+C32*$B$11*$B$13/(1+$B$5/100)^$B$6)</f>
        <v/>
      </c>
      <c r="F135" s="14">
        <f>ABS(E135-D135)</f>
        <v/>
      </c>
      <c r="G135">
        <f>IF(SIGN(D135)&lt;&gt;SIGN(E135),"YES","no")</f>
        <v/>
      </c>
      <c r="AK135" t="n">
        <v>122</v>
      </c>
      <c r="AL135">
        <f>IFERROR(IF(AU135&lt;($AM$6-$AL$6)/($AN$6-$AL$6),$AL$6+SQRT(AU135*($AN$6-$AL$6)*($AM$6-$AL$6)),$AN$6-SQRT((1-AU135)*($AN$6-$AL$6)*($AN$6-$AM$6))),$AM$6)</f>
        <v/>
      </c>
      <c r="AM135">
        <f>IFERROR(IF(AV135&lt;($AM$7-$AL$7)/($AN$7-$AL$7),$AL$7+SQRT(AV135*($AN$7-$AL$7)*($AM$7-$AL$7)),$AN$7-SQRT((1-AV135)*($AN$7-$AL$7)*($AN$7-$AM$7))),$AM$7)</f>
        <v/>
      </c>
      <c r="AN135">
        <f>IFERROR(IF(AW135&lt;($AM$8-$AL$8)/($AN$8-$AL$8),$AL$8+SQRT(AW135*($AN$8-$AL$8)*($AM$8-$AL$8)),$AN$8-SQRT((1-AW135)*($AN$8-$AL$8)*($AN$8-$AM$8))),$AM$8)</f>
        <v/>
      </c>
      <c r="AO135">
        <f>IFERROR(IF(AX135&lt;($AM$9-$AL$9)/($AN$9-$AL$9),$AL$9+SQRT(AX135*($AN$9-$AL$9)*($AM$9-$AL$9)),$AN$9-SQRT((1-AX135)*($AN$9-$AL$9)*($AN$9-$AM$9))),$AM$9)</f>
        <v/>
      </c>
      <c r="AP135">
        <f>IFERROR(IF(AY135&lt;($AM$10-$AL$10)/($AN$10-$AL$10),$AL$10+SQRT(AY135*($AN$10-$AL$10)*($AM$10-$AL$10)),$AN$10-SQRT((1-AY135)*($AN$10-$AL$10)*($AN$10-$AM$10))),$AM$10)</f>
        <v/>
      </c>
      <c r="AQ135">
        <f>IFERROR(IF(AZ135&lt;($AM$11-$AL$11)/($AN$11-$AL$11),$AL$11+SQRT(AZ135*($AN$11-$AL$11)*($AM$11-$AL$11)),$AN$11-SQRT((1-AZ135)*($AN$11-$AL$11)*($AN$11-$AM$11))),$AM$11)</f>
        <v/>
      </c>
      <c r="AR135">
        <f>SUMPRODUCT((B24:B31&lt;=$B$6)*(C24:C31*AM135+D24:D31*AO135*$B$8*AQ135)/(1+AL135/100)^B24:B31)+C32*AM135*AP135/(1+AL135/100)^$B$6</f>
        <v/>
      </c>
      <c r="AS135">
        <f>SUMPRODUCT((K24:K26&lt;=$B$6)*(L24:L26*AN135+M24:M26*AO135*$B$8*AQ135)/(1+AL135/100)^K24:K26)+L27*AN135*AP135/(1+AL135/100)^$B$6</f>
        <v/>
      </c>
      <c r="AT135">
        <f>AS135-AR135</f>
        <v/>
      </c>
      <c r="AU135">
        <f>RAND()</f>
        <v/>
      </c>
      <c r="AV135">
        <f>RAND()</f>
        <v/>
      </c>
      <c r="AW135">
        <f>RAND()</f>
        <v/>
      </c>
      <c r="AX135">
        <f>RAND()</f>
        <v/>
      </c>
      <c r="AY135">
        <f>RAND()</f>
        <v/>
      </c>
      <c r="AZ135">
        <f>RAND()</f>
        <v/>
      </c>
    </row>
    <row r="136">
      <c r="A136" s="7" t="inlineStr">
        <is>
          <t>Lost revenue</t>
        </is>
      </c>
      <c r="B136" t="inlineStr">
        <is>
          <t>excluded</t>
        </is>
      </c>
      <c r="C136" t="inlineStr">
        <is>
          <t>included</t>
        </is>
      </c>
      <c r="D136" s="14">
        <f>(SUMPRODUCT((K24:K26&lt;=$B$6)*(L24:L26*$B$12+M24:M26*$B$10*$B$8*0)/(1+$B$5/100)^K24:K26)+L27*$B$12*$B$13/(1+$B$5/100)^$B$6)-(SUMPRODUCT((B24:B31&lt;=$B$6)*(C24:C31*$B$11+D24:D31*$B$10*$B$8*0)/(1+$B$5/100)^B24:B31)+C32*$B$11*$B$13/(1+$B$5/100)^$B$6)</f>
        <v/>
      </c>
      <c r="E136" s="14">
        <f>$D$44</f>
        <v/>
      </c>
      <c r="F136" s="14">
        <f>ABS(E136-D136)</f>
        <v/>
      </c>
      <c r="G136">
        <f>IF(SIGN(D136)&lt;&gt;SIGN(E136),"YES","no")</f>
        <v/>
      </c>
      <c r="AK136" t="n">
        <v>123</v>
      </c>
      <c r="AL136">
        <f>IFERROR(IF(AU136&lt;($AM$6-$AL$6)/($AN$6-$AL$6),$AL$6+SQRT(AU136*($AN$6-$AL$6)*($AM$6-$AL$6)),$AN$6-SQRT((1-AU136)*($AN$6-$AL$6)*($AN$6-$AM$6))),$AM$6)</f>
        <v/>
      </c>
      <c r="AM136">
        <f>IFERROR(IF(AV136&lt;($AM$7-$AL$7)/($AN$7-$AL$7),$AL$7+SQRT(AV136*($AN$7-$AL$7)*($AM$7-$AL$7)),$AN$7-SQRT((1-AV136)*($AN$7-$AL$7)*($AN$7-$AM$7))),$AM$7)</f>
        <v/>
      </c>
      <c r="AN136">
        <f>IFERROR(IF(AW136&lt;($AM$8-$AL$8)/($AN$8-$AL$8),$AL$8+SQRT(AW136*($AN$8-$AL$8)*($AM$8-$AL$8)),$AN$8-SQRT((1-AW136)*($AN$8-$AL$8)*($AN$8-$AM$8))),$AM$8)</f>
        <v/>
      </c>
      <c r="AO136">
        <f>IFERROR(IF(AX136&lt;($AM$9-$AL$9)/($AN$9-$AL$9),$AL$9+SQRT(AX136*($AN$9-$AL$9)*($AM$9-$AL$9)),$AN$9-SQRT((1-AX136)*($AN$9-$AL$9)*($AN$9-$AM$9))),$AM$9)</f>
        <v/>
      </c>
      <c r="AP136">
        <f>IFERROR(IF(AY136&lt;($AM$10-$AL$10)/($AN$10-$AL$10),$AL$10+SQRT(AY136*($AN$10-$AL$10)*($AM$10-$AL$10)),$AN$10-SQRT((1-AY136)*($AN$10-$AL$10)*($AN$10-$AM$10))),$AM$10)</f>
        <v/>
      </c>
      <c r="AQ136">
        <f>IFERROR(IF(AZ136&lt;($AM$11-$AL$11)/($AN$11-$AL$11),$AL$11+SQRT(AZ136*($AN$11-$AL$11)*($AM$11-$AL$11)),$AN$11-SQRT((1-AZ136)*($AN$11-$AL$11)*($AN$11-$AM$11))),$AM$11)</f>
        <v/>
      </c>
      <c r="AR136">
        <f>SUMPRODUCT((B24:B31&lt;=$B$6)*(C24:C31*AM136+D24:D31*AO136*$B$8*AQ136)/(1+AL136/100)^B24:B31)+C32*AM136*AP136/(1+AL136/100)^$B$6</f>
        <v/>
      </c>
      <c r="AS136">
        <f>SUMPRODUCT((K24:K26&lt;=$B$6)*(L24:L26*AN136+M24:M26*AO136*$B$8*AQ136)/(1+AL136/100)^K24:K26)+L27*AN136*AP136/(1+AL136/100)^$B$6</f>
        <v/>
      </c>
      <c r="AT136">
        <f>AS136-AR136</f>
        <v/>
      </c>
      <c r="AU136">
        <f>RAND()</f>
        <v/>
      </c>
      <c r="AV136">
        <f>RAND()</f>
        <v/>
      </c>
      <c r="AW136">
        <f>RAND()</f>
        <v/>
      </c>
      <c r="AX136">
        <f>RAND()</f>
        <v/>
      </c>
      <c r="AY136">
        <f>RAND()</f>
        <v/>
      </c>
      <c r="AZ136">
        <f>RAND()</f>
        <v/>
      </c>
    </row>
    <row r="137">
      <c r="A137" s="7" t="inlineStr">
        <is>
          <t>Analysis period</t>
        </is>
      </c>
      <c r="B137" t="inlineStr">
        <is>
          <t>20 yr (FAA)</t>
        </is>
      </c>
      <c r="C137" t="inlineStr">
        <is>
          <t>30 yr</t>
        </is>
      </c>
      <c r="D137" s="14">
        <f>(SUMPRODUCT((K24:K26&lt;=20)*(L24:L26*$B$12+M24:M26*$B$10*$B$8*$B$9)/(1+$B$5/100)^K24:K26)+L27*$B$12*$B$13/(1+$B$5/100)^20)-(SUMPRODUCT((B24:B31&lt;=20)*(C24:C31*$B$11+D24:D31*$B$10*$B$8*$B$9)/(1+$B$5/100)^B24:B31)+C32*$B$11*$B$13/(1+$B$5/100)^20)</f>
        <v/>
      </c>
      <c r="E137" s="14">
        <f>$D$44</f>
        <v/>
      </c>
      <c r="F137" s="14">
        <f>ABS(E137-D137)</f>
        <v/>
      </c>
      <c r="G137">
        <f>IF(SIGN(D137)&lt;&gt;SIGN(E137),"YES","no")</f>
        <v/>
      </c>
      <c r="AK137" t="n">
        <v>124</v>
      </c>
      <c r="AL137">
        <f>IFERROR(IF(AU137&lt;($AM$6-$AL$6)/($AN$6-$AL$6),$AL$6+SQRT(AU137*($AN$6-$AL$6)*($AM$6-$AL$6)),$AN$6-SQRT((1-AU137)*($AN$6-$AL$6)*($AN$6-$AM$6))),$AM$6)</f>
        <v/>
      </c>
      <c r="AM137">
        <f>IFERROR(IF(AV137&lt;($AM$7-$AL$7)/($AN$7-$AL$7),$AL$7+SQRT(AV137*($AN$7-$AL$7)*($AM$7-$AL$7)),$AN$7-SQRT((1-AV137)*($AN$7-$AL$7)*($AN$7-$AM$7))),$AM$7)</f>
        <v/>
      </c>
      <c r="AN137">
        <f>IFERROR(IF(AW137&lt;($AM$8-$AL$8)/($AN$8-$AL$8),$AL$8+SQRT(AW137*($AN$8-$AL$8)*($AM$8-$AL$8)),$AN$8-SQRT((1-AW137)*($AN$8-$AL$8)*($AN$8-$AM$8))),$AM$8)</f>
        <v/>
      </c>
      <c r="AO137">
        <f>IFERROR(IF(AX137&lt;($AM$9-$AL$9)/($AN$9-$AL$9),$AL$9+SQRT(AX137*($AN$9-$AL$9)*($AM$9-$AL$9)),$AN$9-SQRT((1-AX137)*($AN$9-$AL$9)*($AN$9-$AM$9))),$AM$9)</f>
        <v/>
      </c>
      <c r="AP137">
        <f>IFERROR(IF(AY137&lt;($AM$10-$AL$10)/($AN$10-$AL$10),$AL$10+SQRT(AY137*($AN$10-$AL$10)*($AM$10-$AL$10)),$AN$10-SQRT((1-AY137)*($AN$10-$AL$10)*($AN$10-$AM$10))),$AM$10)</f>
        <v/>
      </c>
      <c r="AQ137">
        <f>IFERROR(IF(AZ137&lt;($AM$11-$AL$11)/($AN$11-$AL$11),$AL$11+SQRT(AZ137*($AN$11-$AL$11)*($AM$11-$AL$11)),$AN$11-SQRT((1-AZ137)*($AN$11-$AL$11)*($AN$11-$AM$11))),$AM$11)</f>
        <v/>
      </c>
      <c r="AR137">
        <f>SUMPRODUCT((B24:B31&lt;=$B$6)*(C24:C31*AM137+D24:D31*AO137*$B$8*AQ137)/(1+AL137/100)^B24:B31)+C32*AM137*AP137/(1+AL137/100)^$B$6</f>
        <v/>
      </c>
      <c r="AS137">
        <f>SUMPRODUCT((K24:K26&lt;=$B$6)*(L24:L26*AN137+M24:M26*AO137*$B$8*AQ137)/(1+AL137/100)^K24:K26)+L27*AN137*AP137/(1+AL137/100)^$B$6</f>
        <v/>
      </c>
      <c r="AT137">
        <f>AS137-AR137</f>
        <v/>
      </c>
      <c r="AU137">
        <f>RAND()</f>
        <v/>
      </c>
      <c r="AV137">
        <f>RAND()</f>
        <v/>
      </c>
      <c r="AW137">
        <f>RAND()</f>
        <v/>
      </c>
      <c r="AX137">
        <f>RAND()</f>
        <v/>
      </c>
      <c r="AY137">
        <f>RAND()</f>
        <v/>
      </c>
      <c r="AZ137">
        <f>RAND()</f>
        <v/>
      </c>
    </row>
    <row r="138">
      <c r="A138" s="7" t="inlineStr">
        <is>
          <t>Base case PCC - HMA</t>
        </is>
      </c>
      <c r="D138" s="14">
        <f>$D$44</f>
        <v/>
      </c>
      <c r="AK138" t="n">
        <v>125</v>
      </c>
      <c r="AL138">
        <f>IFERROR(IF(AU138&lt;($AM$6-$AL$6)/($AN$6-$AL$6),$AL$6+SQRT(AU138*($AN$6-$AL$6)*($AM$6-$AL$6)),$AN$6-SQRT((1-AU138)*($AN$6-$AL$6)*($AN$6-$AM$6))),$AM$6)</f>
        <v/>
      </c>
      <c r="AM138">
        <f>IFERROR(IF(AV138&lt;($AM$7-$AL$7)/($AN$7-$AL$7),$AL$7+SQRT(AV138*($AN$7-$AL$7)*($AM$7-$AL$7)),$AN$7-SQRT((1-AV138)*($AN$7-$AL$7)*($AN$7-$AM$7))),$AM$7)</f>
        <v/>
      </c>
      <c r="AN138">
        <f>IFERROR(IF(AW138&lt;($AM$8-$AL$8)/($AN$8-$AL$8),$AL$8+SQRT(AW138*($AN$8-$AL$8)*($AM$8-$AL$8)),$AN$8-SQRT((1-AW138)*($AN$8-$AL$8)*($AN$8-$AM$8))),$AM$8)</f>
        <v/>
      </c>
      <c r="AO138">
        <f>IFERROR(IF(AX138&lt;($AM$9-$AL$9)/($AN$9-$AL$9),$AL$9+SQRT(AX138*($AN$9-$AL$9)*($AM$9-$AL$9)),$AN$9-SQRT((1-AX138)*($AN$9-$AL$9)*($AN$9-$AM$9))),$AM$9)</f>
        <v/>
      </c>
      <c r="AP138">
        <f>IFERROR(IF(AY138&lt;($AM$10-$AL$10)/($AN$10-$AL$10),$AL$10+SQRT(AY138*($AN$10-$AL$10)*($AM$10-$AL$10)),$AN$10-SQRT((1-AY138)*($AN$10-$AL$10)*($AN$10-$AM$10))),$AM$10)</f>
        <v/>
      </c>
      <c r="AQ138">
        <f>IFERROR(IF(AZ138&lt;($AM$11-$AL$11)/($AN$11-$AL$11),$AL$11+SQRT(AZ138*($AN$11-$AL$11)*($AM$11-$AL$11)),$AN$11-SQRT((1-AZ138)*($AN$11-$AL$11)*($AN$11-$AM$11))),$AM$11)</f>
        <v/>
      </c>
      <c r="AR138">
        <f>SUMPRODUCT((B24:B31&lt;=$B$6)*(C24:C31*AM138+D24:D31*AO138*$B$8*AQ138)/(1+AL138/100)^B24:B31)+C32*AM138*AP138/(1+AL138/100)^$B$6</f>
        <v/>
      </c>
      <c r="AS138">
        <f>SUMPRODUCT((K24:K26&lt;=$B$6)*(L24:L26*AN138+M24:M26*AO138*$B$8*AQ138)/(1+AL138/100)^K24:K26)+L27*AN138*AP138/(1+AL138/100)^$B$6</f>
        <v/>
      </c>
      <c r="AT138">
        <f>AS138-AR138</f>
        <v/>
      </c>
      <c r="AU138">
        <f>RAND()</f>
        <v/>
      </c>
      <c r="AV138">
        <f>RAND()</f>
        <v/>
      </c>
      <c r="AW138">
        <f>RAND()</f>
        <v/>
      </c>
      <c r="AX138">
        <f>RAND()</f>
        <v/>
      </c>
      <c r="AY138">
        <f>RAND()</f>
        <v/>
      </c>
      <c r="AZ138">
        <f>RAND()</f>
        <v/>
      </c>
    </row>
    <row r="139">
      <c r="AK139" t="n">
        <v>126</v>
      </c>
      <c r="AL139">
        <f>IFERROR(IF(AU139&lt;($AM$6-$AL$6)/($AN$6-$AL$6),$AL$6+SQRT(AU139*($AN$6-$AL$6)*($AM$6-$AL$6)),$AN$6-SQRT((1-AU139)*($AN$6-$AL$6)*($AN$6-$AM$6))),$AM$6)</f>
        <v/>
      </c>
      <c r="AM139">
        <f>IFERROR(IF(AV139&lt;($AM$7-$AL$7)/($AN$7-$AL$7),$AL$7+SQRT(AV139*($AN$7-$AL$7)*($AM$7-$AL$7)),$AN$7-SQRT((1-AV139)*($AN$7-$AL$7)*($AN$7-$AM$7))),$AM$7)</f>
        <v/>
      </c>
      <c r="AN139">
        <f>IFERROR(IF(AW139&lt;($AM$8-$AL$8)/($AN$8-$AL$8),$AL$8+SQRT(AW139*($AN$8-$AL$8)*($AM$8-$AL$8)),$AN$8-SQRT((1-AW139)*($AN$8-$AL$8)*($AN$8-$AM$8))),$AM$8)</f>
        <v/>
      </c>
      <c r="AO139">
        <f>IFERROR(IF(AX139&lt;($AM$9-$AL$9)/($AN$9-$AL$9),$AL$9+SQRT(AX139*($AN$9-$AL$9)*($AM$9-$AL$9)),$AN$9-SQRT((1-AX139)*($AN$9-$AL$9)*($AN$9-$AM$9))),$AM$9)</f>
        <v/>
      </c>
      <c r="AP139">
        <f>IFERROR(IF(AY139&lt;($AM$10-$AL$10)/($AN$10-$AL$10),$AL$10+SQRT(AY139*($AN$10-$AL$10)*($AM$10-$AL$10)),$AN$10-SQRT((1-AY139)*($AN$10-$AL$10)*($AN$10-$AM$10))),$AM$10)</f>
        <v/>
      </c>
      <c r="AQ139">
        <f>IFERROR(IF(AZ139&lt;($AM$11-$AL$11)/($AN$11-$AL$11),$AL$11+SQRT(AZ139*($AN$11-$AL$11)*($AM$11-$AL$11)),$AN$11-SQRT((1-AZ139)*($AN$11-$AL$11)*($AN$11-$AM$11))),$AM$11)</f>
        <v/>
      </c>
      <c r="AR139">
        <f>SUMPRODUCT((B24:B31&lt;=$B$6)*(C24:C31*AM139+D24:D31*AO139*$B$8*AQ139)/(1+AL139/100)^B24:B31)+C32*AM139*AP139/(1+AL139/100)^$B$6</f>
        <v/>
      </c>
      <c r="AS139">
        <f>SUMPRODUCT((K24:K26&lt;=$B$6)*(L24:L26*AN139+M24:M26*AO139*$B$8*AQ139)/(1+AL139/100)^K24:K26)+L27*AN139*AP139/(1+AL139/100)^$B$6</f>
        <v/>
      </c>
      <c r="AT139">
        <f>AS139-AR139</f>
        <v/>
      </c>
      <c r="AU139">
        <f>RAND()</f>
        <v/>
      </c>
      <c r="AV139">
        <f>RAND()</f>
        <v/>
      </c>
      <c r="AW139">
        <f>RAND()</f>
        <v/>
      </c>
      <c r="AX139">
        <f>RAND()</f>
        <v/>
      </c>
      <c r="AY139">
        <f>RAND()</f>
        <v/>
      </c>
      <c r="AZ139">
        <f>RAND()</f>
        <v/>
      </c>
    </row>
    <row r="140">
      <c r="AK140" t="n">
        <v>127</v>
      </c>
      <c r="AL140">
        <f>IFERROR(IF(AU140&lt;($AM$6-$AL$6)/($AN$6-$AL$6),$AL$6+SQRT(AU140*($AN$6-$AL$6)*($AM$6-$AL$6)),$AN$6-SQRT((1-AU140)*($AN$6-$AL$6)*($AN$6-$AM$6))),$AM$6)</f>
        <v/>
      </c>
      <c r="AM140">
        <f>IFERROR(IF(AV140&lt;($AM$7-$AL$7)/($AN$7-$AL$7),$AL$7+SQRT(AV140*($AN$7-$AL$7)*($AM$7-$AL$7)),$AN$7-SQRT((1-AV140)*($AN$7-$AL$7)*($AN$7-$AM$7))),$AM$7)</f>
        <v/>
      </c>
      <c r="AN140">
        <f>IFERROR(IF(AW140&lt;($AM$8-$AL$8)/($AN$8-$AL$8),$AL$8+SQRT(AW140*($AN$8-$AL$8)*($AM$8-$AL$8)),$AN$8-SQRT((1-AW140)*($AN$8-$AL$8)*($AN$8-$AM$8))),$AM$8)</f>
        <v/>
      </c>
      <c r="AO140">
        <f>IFERROR(IF(AX140&lt;($AM$9-$AL$9)/($AN$9-$AL$9),$AL$9+SQRT(AX140*($AN$9-$AL$9)*($AM$9-$AL$9)),$AN$9-SQRT((1-AX140)*($AN$9-$AL$9)*($AN$9-$AM$9))),$AM$9)</f>
        <v/>
      </c>
      <c r="AP140">
        <f>IFERROR(IF(AY140&lt;($AM$10-$AL$10)/($AN$10-$AL$10),$AL$10+SQRT(AY140*($AN$10-$AL$10)*($AM$10-$AL$10)),$AN$10-SQRT((1-AY140)*($AN$10-$AL$10)*($AN$10-$AM$10))),$AM$10)</f>
        <v/>
      </c>
      <c r="AQ140">
        <f>IFERROR(IF(AZ140&lt;($AM$11-$AL$11)/($AN$11-$AL$11),$AL$11+SQRT(AZ140*($AN$11-$AL$11)*($AM$11-$AL$11)),$AN$11-SQRT((1-AZ140)*($AN$11-$AL$11)*($AN$11-$AM$11))),$AM$11)</f>
        <v/>
      </c>
      <c r="AR140">
        <f>SUMPRODUCT((B24:B31&lt;=$B$6)*(C24:C31*AM140+D24:D31*AO140*$B$8*AQ140)/(1+AL140/100)^B24:B31)+C32*AM140*AP140/(1+AL140/100)^$B$6</f>
        <v/>
      </c>
      <c r="AS140">
        <f>SUMPRODUCT((K24:K26&lt;=$B$6)*(L24:L26*AN140+M24:M26*AO140*$B$8*AQ140)/(1+AL140/100)^K24:K26)+L27*AN140*AP140/(1+AL140/100)^$B$6</f>
        <v/>
      </c>
      <c r="AT140">
        <f>AS140-AR140</f>
        <v/>
      </c>
      <c r="AU140">
        <f>RAND()</f>
        <v/>
      </c>
      <c r="AV140">
        <f>RAND()</f>
        <v/>
      </c>
      <c r="AW140">
        <f>RAND()</f>
        <v/>
      </c>
      <c r="AX140">
        <f>RAND()</f>
        <v/>
      </c>
      <c r="AY140">
        <f>RAND()</f>
        <v/>
      </c>
      <c r="AZ140">
        <f>RAND()</f>
        <v/>
      </c>
    </row>
    <row r="141">
      <c r="A141" s="4" t="inlineStr">
        <is>
          <t>SCENARIO SCORECARD</t>
        </is>
      </c>
      <c r="AK141" t="n">
        <v>128</v>
      </c>
      <c r="AL141">
        <f>IFERROR(IF(AU141&lt;($AM$6-$AL$6)/($AN$6-$AL$6),$AL$6+SQRT(AU141*($AN$6-$AL$6)*($AM$6-$AL$6)),$AN$6-SQRT((1-AU141)*($AN$6-$AL$6)*($AN$6-$AM$6))),$AM$6)</f>
        <v/>
      </c>
      <c r="AM141">
        <f>IFERROR(IF(AV141&lt;($AM$7-$AL$7)/($AN$7-$AL$7),$AL$7+SQRT(AV141*($AN$7-$AL$7)*($AM$7-$AL$7)),$AN$7-SQRT((1-AV141)*($AN$7-$AL$7)*($AN$7-$AM$7))),$AM$7)</f>
        <v/>
      </c>
      <c r="AN141">
        <f>IFERROR(IF(AW141&lt;($AM$8-$AL$8)/($AN$8-$AL$8),$AL$8+SQRT(AW141*($AN$8-$AL$8)*($AM$8-$AL$8)),$AN$8-SQRT((1-AW141)*($AN$8-$AL$8)*($AN$8-$AM$8))),$AM$8)</f>
        <v/>
      </c>
      <c r="AO141">
        <f>IFERROR(IF(AX141&lt;($AM$9-$AL$9)/($AN$9-$AL$9),$AL$9+SQRT(AX141*($AN$9-$AL$9)*($AM$9-$AL$9)),$AN$9-SQRT((1-AX141)*($AN$9-$AL$9)*($AN$9-$AM$9))),$AM$9)</f>
        <v/>
      </c>
      <c r="AP141">
        <f>IFERROR(IF(AY141&lt;($AM$10-$AL$10)/($AN$10-$AL$10),$AL$10+SQRT(AY141*($AN$10-$AL$10)*($AM$10-$AL$10)),$AN$10-SQRT((1-AY141)*($AN$10-$AL$10)*($AN$10-$AM$10))),$AM$10)</f>
        <v/>
      </c>
      <c r="AQ141">
        <f>IFERROR(IF(AZ141&lt;($AM$11-$AL$11)/($AN$11-$AL$11),$AL$11+SQRT(AZ141*($AN$11-$AL$11)*($AM$11-$AL$11)),$AN$11-SQRT((1-AZ141)*($AN$11-$AL$11)*($AN$11-$AM$11))),$AM$11)</f>
        <v/>
      </c>
      <c r="AR141">
        <f>SUMPRODUCT((B24:B31&lt;=$B$6)*(C24:C31*AM141+D24:D31*AO141*$B$8*AQ141)/(1+AL141/100)^B24:B31)+C32*AM141*AP141/(1+AL141/100)^$B$6</f>
        <v/>
      </c>
      <c r="AS141">
        <f>SUMPRODUCT((K24:K26&lt;=$B$6)*(L24:L26*AN141+M24:M26*AO141*$B$8*AQ141)/(1+AL141/100)^K24:K26)+L27*AN141*AP141/(1+AL141/100)^$B$6</f>
        <v/>
      </c>
      <c r="AT141">
        <f>AS141-AR141</f>
        <v/>
      </c>
      <c r="AU141">
        <f>RAND()</f>
        <v/>
      </c>
      <c r="AV141">
        <f>RAND()</f>
        <v/>
      </c>
      <c r="AW141">
        <f>RAND()</f>
        <v/>
      </c>
      <c r="AX141">
        <f>RAND()</f>
        <v/>
      </c>
      <c r="AY141">
        <f>RAND()</f>
        <v/>
      </c>
      <c r="AZ141">
        <f>RAND()</f>
        <v/>
      </c>
    </row>
    <row r="142">
      <c r="A142" s="6" t="inlineStr">
        <is>
          <t>Scenario</t>
        </is>
      </c>
      <c r="B142" s="6" t="inlineStr">
        <is>
          <t>Rate %</t>
        </is>
      </c>
      <c r="C142" s="6" t="inlineStr">
        <is>
          <t>Period</t>
        </is>
      </c>
      <c r="D142" s="6" t="inlineStr">
        <is>
          <t>HMA cost x</t>
        </is>
      </c>
      <c r="E142" s="6" t="inlineStr">
        <is>
          <t>PCC cost x</t>
        </is>
      </c>
      <c r="F142" s="6" t="inlineStr">
        <is>
          <t>Closure x</t>
        </is>
      </c>
      <c r="G142" s="6" t="inlineStr">
        <is>
          <t>Salvage x</t>
        </is>
      </c>
      <c r="H142" s="6" t="inlineStr">
        <is>
          <t>Revenue share lost</t>
        </is>
      </c>
      <c r="I142" s="6" t="inlineStr">
        <is>
          <t>NPW HMA</t>
        </is>
      </c>
      <c r="J142" s="6" t="inlineStr">
        <is>
          <t>NPW PCC</t>
        </is>
      </c>
      <c r="K142" s="6" t="inlineStr">
        <is>
          <t>PCC - HMA</t>
        </is>
      </c>
      <c r="L142" s="6" t="inlineStr">
        <is>
          <t>Winner</t>
        </is>
      </c>
      <c r="AK142" t="n">
        <v>129</v>
      </c>
      <c r="AL142">
        <f>IFERROR(IF(AU142&lt;($AM$6-$AL$6)/($AN$6-$AL$6),$AL$6+SQRT(AU142*($AN$6-$AL$6)*($AM$6-$AL$6)),$AN$6-SQRT((1-AU142)*($AN$6-$AL$6)*($AN$6-$AM$6))),$AM$6)</f>
        <v/>
      </c>
      <c r="AM142">
        <f>IFERROR(IF(AV142&lt;($AM$7-$AL$7)/($AN$7-$AL$7),$AL$7+SQRT(AV142*($AN$7-$AL$7)*($AM$7-$AL$7)),$AN$7-SQRT((1-AV142)*($AN$7-$AL$7)*($AN$7-$AM$7))),$AM$7)</f>
        <v/>
      </c>
      <c r="AN142">
        <f>IFERROR(IF(AW142&lt;($AM$8-$AL$8)/($AN$8-$AL$8),$AL$8+SQRT(AW142*($AN$8-$AL$8)*($AM$8-$AL$8)),$AN$8-SQRT((1-AW142)*($AN$8-$AL$8)*($AN$8-$AM$8))),$AM$8)</f>
        <v/>
      </c>
      <c r="AO142">
        <f>IFERROR(IF(AX142&lt;($AM$9-$AL$9)/($AN$9-$AL$9),$AL$9+SQRT(AX142*($AN$9-$AL$9)*($AM$9-$AL$9)),$AN$9-SQRT((1-AX142)*($AN$9-$AL$9)*($AN$9-$AM$9))),$AM$9)</f>
        <v/>
      </c>
      <c r="AP142">
        <f>IFERROR(IF(AY142&lt;($AM$10-$AL$10)/($AN$10-$AL$10),$AL$10+SQRT(AY142*($AN$10-$AL$10)*($AM$10-$AL$10)),$AN$10-SQRT((1-AY142)*($AN$10-$AL$10)*($AN$10-$AM$10))),$AM$10)</f>
        <v/>
      </c>
      <c r="AQ142">
        <f>IFERROR(IF(AZ142&lt;($AM$11-$AL$11)/($AN$11-$AL$11),$AL$11+SQRT(AZ142*($AN$11-$AL$11)*($AM$11-$AL$11)),$AN$11-SQRT((1-AZ142)*($AN$11-$AL$11)*($AN$11-$AM$11))),$AM$11)</f>
        <v/>
      </c>
      <c r="AR142">
        <f>SUMPRODUCT((B24:B31&lt;=$B$6)*(C24:C31*AM142+D24:D31*AO142*$B$8*AQ142)/(1+AL142/100)^B24:B31)+C32*AM142*AP142/(1+AL142/100)^$B$6</f>
        <v/>
      </c>
      <c r="AS142">
        <f>SUMPRODUCT((K24:K26&lt;=$B$6)*(L24:L26*AN142+M24:M26*AO142*$B$8*AQ142)/(1+AL142/100)^K24:K26)+L27*AN142*AP142/(1+AL142/100)^$B$6</f>
        <v/>
      </c>
      <c r="AT142">
        <f>AS142-AR142</f>
        <v/>
      </c>
      <c r="AU142">
        <f>RAND()</f>
        <v/>
      </c>
      <c r="AV142">
        <f>RAND()</f>
        <v/>
      </c>
      <c r="AW142">
        <f>RAND()</f>
        <v/>
      </c>
      <c r="AX142">
        <f>RAND()</f>
        <v/>
      </c>
      <c r="AY142">
        <f>RAND()</f>
        <v/>
      </c>
      <c r="AZ142">
        <f>RAND()</f>
        <v/>
      </c>
    </row>
    <row r="143">
      <c r="A143" s="7" t="inlineStr">
        <is>
          <t>Base: TDOT policy (3%, 30 yr)</t>
        </is>
      </c>
      <c r="B143" t="n">
        <v>3</v>
      </c>
      <c r="C143" t="n">
        <v>30</v>
      </c>
      <c r="D143" t="n">
        <v>1</v>
      </c>
      <c r="E143" t="n">
        <v>1</v>
      </c>
      <c r="F143" t="n">
        <v>1</v>
      </c>
      <c r="G143" t="n">
        <v>1</v>
      </c>
      <c r="H143" t="n">
        <v>1</v>
      </c>
      <c r="I143" s="14">
        <f>SUMPRODUCT((B24:B31&lt;=$C143)*(C24:C31*$D143+D24:D31*$F143*$B$8*$H143)/(1+$B143/100)^B24:B31)+C32*$D143*$G143/(1+$B143/100)^$C143</f>
        <v/>
      </c>
      <c r="J143" s="14">
        <f>SUMPRODUCT((K24:K26&lt;=$C143)*(L24:L26*$E143+M24:M26*$F143*$B$8*$H143)/(1+$B143/100)^K24:K26)+L27*$E143*$G143/(1+$B143/100)^$C143</f>
        <v/>
      </c>
      <c r="K143" s="14">
        <f>J143-I143</f>
        <v/>
      </c>
      <c r="L143">
        <f>IF(K143&lt;0,"PCC","HMA")</f>
        <v/>
      </c>
      <c r="AK143" t="n">
        <v>130</v>
      </c>
      <c r="AL143">
        <f>IFERROR(IF(AU143&lt;($AM$6-$AL$6)/($AN$6-$AL$6),$AL$6+SQRT(AU143*($AN$6-$AL$6)*($AM$6-$AL$6)),$AN$6-SQRT((1-AU143)*($AN$6-$AL$6)*($AN$6-$AM$6))),$AM$6)</f>
        <v/>
      </c>
      <c r="AM143">
        <f>IFERROR(IF(AV143&lt;($AM$7-$AL$7)/($AN$7-$AL$7),$AL$7+SQRT(AV143*($AN$7-$AL$7)*($AM$7-$AL$7)),$AN$7-SQRT((1-AV143)*($AN$7-$AL$7)*($AN$7-$AM$7))),$AM$7)</f>
        <v/>
      </c>
      <c r="AN143">
        <f>IFERROR(IF(AW143&lt;($AM$8-$AL$8)/($AN$8-$AL$8),$AL$8+SQRT(AW143*($AN$8-$AL$8)*($AM$8-$AL$8)),$AN$8-SQRT((1-AW143)*($AN$8-$AL$8)*($AN$8-$AM$8))),$AM$8)</f>
        <v/>
      </c>
      <c r="AO143">
        <f>IFERROR(IF(AX143&lt;($AM$9-$AL$9)/($AN$9-$AL$9),$AL$9+SQRT(AX143*($AN$9-$AL$9)*($AM$9-$AL$9)),$AN$9-SQRT((1-AX143)*($AN$9-$AL$9)*($AN$9-$AM$9))),$AM$9)</f>
        <v/>
      </c>
      <c r="AP143">
        <f>IFERROR(IF(AY143&lt;($AM$10-$AL$10)/($AN$10-$AL$10),$AL$10+SQRT(AY143*($AN$10-$AL$10)*($AM$10-$AL$10)),$AN$10-SQRT((1-AY143)*($AN$10-$AL$10)*($AN$10-$AM$10))),$AM$10)</f>
        <v/>
      </c>
      <c r="AQ143">
        <f>IFERROR(IF(AZ143&lt;($AM$11-$AL$11)/($AN$11-$AL$11),$AL$11+SQRT(AZ143*($AN$11-$AL$11)*($AM$11-$AL$11)),$AN$11-SQRT((1-AZ143)*($AN$11-$AL$11)*($AN$11-$AM$11))),$AM$11)</f>
        <v/>
      </c>
      <c r="AR143">
        <f>SUMPRODUCT((B24:B31&lt;=$B$6)*(C24:C31*AM143+D24:D31*AO143*$B$8*AQ143)/(1+AL143/100)^B24:B31)+C32*AM143*AP143/(1+AL143/100)^$B$6</f>
        <v/>
      </c>
      <c r="AS143">
        <f>SUMPRODUCT((K24:K26&lt;=$B$6)*(L24:L26*AN143+M24:M26*AO143*$B$8*AQ143)/(1+AL143/100)^K24:K26)+L27*AN143*AP143/(1+AL143/100)^$B$6</f>
        <v/>
      </c>
      <c r="AT143">
        <f>AS143-AR143</f>
        <v/>
      </c>
      <c r="AU143">
        <f>RAND()</f>
        <v/>
      </c>
      <c r="AV143">
        <f>RAND()</f>
        <v/>
      </c>
      <c r="AW143">
        <f>RAND()</f>
        <v/>
      </c>
      <c r="AX143">
        <f>RAND()</f>
        <v/>
      </c>
      <c r="AY143">
        <f>RAND()</f>
        <v/>
      </c>
      <c r="AZ143">
        <f>RAND()</f>
        <v/>
      </c>
    </row>
    <row r="144">
      <c r="A144" s="7" t="inlineStr">
        <is>
          <t>FAA AIP funded (7%, 20 yr)</t>
        </is>
      </c>
      <c r="B144" t="n">
        <v>7</v>
      </c>
      <c r="C144" t="n">
        <v>20</v>
      </c>
      <c r="D144" t="n">
        <v>1</v>
      </c>
      <c r="E144" t="n">
        <v>1</v>
      </c>
      <c r="F144" t="n">
        <v>1</v>
      </c>
      <c r="G144" t="n">
        <v>1</v>
      </c>
      <c r="H144" t="n">
        <v>1</v>
      </c>
      <c r="I144" s="14">
        <f>SUMPRODUCT((B24:B31&lt;=$C144)*(C24:C31*$D144+D24:D31*$F144*$B$8*$H144)/(1+$B144/100)^B24:B31)+C32*$D144*$G144/(1+$B144/100)^$C144</f>
        <v/>
      </c>
      <c r="J144" s="14">
        <f>SUMPRODUCT((K24:K26&lt;=$C144)*(L24:L26*$E144+M24:M26*$F144*$B$8*$H144)/(1+$B144/100)^K24:K26)+L27*$E144*$G144/(1+$B144/100)^$C144</f>
        <v/>
      </c>
      <c r="K144" s="14">
        <f>J144-I144</f>
        <v/>
      </c>
      <c r="L144">
        <f>IF(K144&lt;0,"PCC","HMA")</f>
        <v/>
      </c>
      <c r="AK144" t="n">
        <v>131</v>
      </c>
      <c r="AL144">
        <f>IFERROR(IF(AU144&lt;($AM$6-$AL$6)/($AN$6-$AL$6),$AL$6+SQRT(AU144*($AN$6-$AL$6)*($AM$6-$AL$6)),$AN$6-SQRT((1-AU144)*($AN$6-$AL$6)*($AN$6-$AM$6))),$AM$6)</f>
        <v/>
      </c>
      <c r="AM144">
        <f>IFERROR(IF(AV144&lt;($AM$7-$AL$7)/($AN$7-$AL$7),$AL$7+SQRT(AV144*($AN$7-$AL$7)*($AM$7-$AL$7)),$AN$7-SQRT((1-AV144)*($AN$7-$AL$7)*($AN$7-$AM$7))),$AM$7)</f>
        <v/>
      </c>
      <c r="AN144">
        <f>IFERROR(IF(AW144&lt;($AM$8-$AL$8)/($AN$8-$AL$8),$AL$8+SQRT(AW144*($AN$8-$AL$8)*($AM$8-$AL$8)),$AN$8-SQRT((1-AW144)*($AN$8-$AL$8)*($AN$8-$AM$8))),$AM$8)</f>
        <v/>
      </c>
      <c r="AO144">
        <f>IFERROR(IF(AX144&lt;($AM$9-$AL$9)/($AN$9-$AL$9),$AL$9+SQRT(AX144*($AN$9-$AL$9)*($AM$9-$AL$9)),$AN$9-SQRT((1-AX144)*($AN$9-$AL$9)*($AN$9-$AM$9))),$AM$9)</f>
        <v/>
      </c>
      <c r="AP144">
        <f>IFERROR(IF(AY144&lt;($AM$10-$AL$10)/($AN$10-$AL$10),$AL$10+SQRT(AY144*($AN$10-$AL$10)*($AM$10-$AL$10)),$AN$10-SQRT((1-AY144)*($AN$10-$AL$10)*($AN$10-$AM$10))),$AM$10)</f>
        <v/>
      </c>
      <c r="AQ144">
        <f>IFERROR(IF(AZ144&lt;($AM$11-$AL$11)/($AN$11-$AL$11),$AL$11+SQRT(AZ144*($AN$11-$AL$11)*($AM$11-$AL$11)),$AN$11-SQRT((1-AZ144)*($AN$11-$AL$11)*($AN$11-$AM$11))),$AM$11)</f>
        <v/>
      </c>
      <c r="AR144">
        <f>SUMPRODUCT((B24:B31&lt;=$B$6)*(C24:C31*AM144+D24:D31*AO144*$B$8*AQ144)/(1+AL144/100)^B24:B31)+C32*AM144*AP144/(1+AL144/100)^$B$6</f>
        <v/>
      </c>
      <c r="AS144">
        <f>SUMPRODUCT((K24:K26&lt;=$B$6)*(L24:L26*AN144+M24:M26*AO144*$B$8*AQ144)/(1+AL144/100)^K24:K26)+L27*AN144*AP144/(1+AL144/100)^$B$6</f>
        <v/>
      </c>
      <c r="AT144">
        <f>AS144-AR144</f>
        <v/>
      </c>
      <c r="AU144">
        <f>RAND()</f>
        <v/>
      </c>
      <c r="AV144">
        <f>RAND()</f>
        <v/>
      </c>
      <c r="AW144">
        <f>RAND()</f>
        <v/>
      </c>
      <c r="AX144">
        <f>RAND()</f>
        <v/>
      </c>
      <c r="AY144">
        <f>RAND()</f>
        <v/>
      </c>
      <c r="AZ144">
        <f>RAND()</f>
        <v/>
      </c>
    </row>
    <row r="145">
      <c r="A145" s="7" t="inlineStr">
        <is>
          <t>TDOT 3% but 20-yr life</t>
        </is>
      </c>
      <c r="B145" t="n">
        <v>3</v>
      </c>
      <c r="C145" t="n">
        <v>20</v>
      </c>
      <c r="D145" t="n">
        <v>1</v>
      </c>
      <c r="E145" t="n">
        <v>1</v>
      </c>
      <c r="F145" t="n">
        <v>1</v>
      </c>
      <c r="G145" t="n">
        <v>1</v>
      </c>
      <c r="H145" t="n">
        <v>1</v>
      </c>
      <c r="I145" s="14">
        <f>SUMPRODUCT((B24:B31&lt;=$C145)*(C24:C31*$D145+D24:D31*$F145*$B$8*$H145)/(1+$B145/100)^B24:B31)+C32*$D145*$G145/(1+$B145/100)^$C145</f>
        <v/>
      </c>
      <c r="J145" s="14">
        <f>SUMPRODUCT((K24:K26&lt;=$C145)*(L24:L26*$E145+M24:M26*$F145*$B$8*$H145)/(1+$B145/100)^K24:K26)+L27*$E145*$G145/(1+$B145/100)^$C145</f>
        <v/>
      </c>
      <c r="K145" s="14">
        <f>J145-I145</f>
        <v/>
      </c>
      <c r="L145">
        <f>IF(K145&lt;0,"PCC","HMA")</f>
        <v/>
      </c>
      <c r="AK145" t="n">
        <v>132</v>
      </c>
      <c r="AL145">
        <f>IFERROR(IF(AU145&lt;($AM$6-$AL$6)/($AN$6-$AL$6),$AL$6+SQRT(AU145*($AN$6-$AL$6)*($AM$6-$AL$6)),$AN$6-SQRT((1-AU145)*($AN$6-$AL$6)*($AN$6-$AM$6))),$AM$6)</f>
        <v/>
      </c>
      <c r="AM145">
        <f>IFERROR(IF(AV145&lt;($AM$7-$AL$7)/($AN$7-$AL$7),$AL$7+SQRT(AV145*($AN$7-$AL$7)*($AM$7-$AL$7)),$AN$7-SQRT((1-AV145)*($AN$7-$AL$7)*($AN$7-$AM$7))),$AM$7)</f>
        <v/>
      </c>
      <c r="AN145">
        <f>IFERROR(IF(AW145&lt;($AM$8-$AL$8)/($AN$8-$AL$8),$AL$8+SQRT(AW145*($AN$8-$AL$8)*($AM$8-$AL$8)),$AN$8-SQRT((1-AW145)*($AN$8-$AL$8)*($AN$8-$AM$8))),$AM$8)</f>
        <v/>
      </c>
      <c r="AO145">
        <f>IFERROR(IF(AX145&lt;($AM$9-$AL$9)/($AN$9-$AL$9),$AL$9+SQRT(AX145*($AN$9-$AL$9)*($AM$9-$AL$9)),$AN$9-SQRT((1-AX145)*($AN$9-$AL$9)*($AN$9-$AM$9))),$AM$9)</f>
        <v/>
      </c>
      <c r="AP145">
        <f>IFERROR(IF(AY145&lt;($AM$10-$AL$10)/($AN$10-$AL$10),$AL$10+SQRT(AY145*($AN$10-$AL$10)*($AM$10-$AL$10)),$AN$10-SQRT((1-AY145)*($AN$10-$AL$10)*($AN$10-$AM$10))),$AM$10)</f>
        <v/>
      </c>
      <c r="AQ145">
        <f>IFERROR(IF(AZ145&lt;($AM$11-$AL$11)/($AN$11-$AL$11),$AL$11+SQRT(AZ145*($AN$11-$AL$11)*($AM$11-$AL$11)),$AN$11-SQRT((1-AZ145)*($AN$11-$AL$11)*($AN$11-$AM$11))),$AM$11)</f>
        <v/>
      </c>
      <c r="AR145">
        <f>SUMPRODUCT((B24:B31&lt;=$B$6)*(C24:C31*AM145+D24:D31*AO145*$B$8*AQ145)/(1+AL145/100)^B24:B31)+C32*AM145*AP145/(1+AL145/100)^$B$6</f>
        <v/>
      </c>
      <c r="AS145">
        <f>SUMPRODUCT((K24:K26&lt;=$B$6)*(L24:L26*AN145+M24:M26*AO145*$B$8*AQ145)/(1+AL145/100)^K24:K26)+L27*AN145*AP145/(1+AL145/100)^$B$6</f>
        <v/>
      </c>
      <c r="AT145">
        <f>AS145-AR145</f>
        <v/>
      </c>
      <c r="AU145">
        <f>RAND()</f>
        <v/>
      </c>
      <c r="AV145">
        <f>RAND()</f>
        <v/>
      </c>
      <c r="AW145">
        <f>RAND()</f>
        <v/>
      </c>
      <c r="AX145">
        <f>RAND()</f>
        <v/>
      </c>
      <c r="AY145">
        <f>RAND()</f>
        <v/>
      </c>
      <c r="AZ145">
        <f>RAND()</f>
        <v/>
      </c>
    </row>
    <row r="146">
      <c r="A146" s="7" t="inlineStr">
        <is>
          <t>High rate 5%</t>
        </is>
      </c>
      <c r="B146" t="n">
        <v>5</v>
      </c>
      <c r="C146" t="n">
        <v>30</v>
      </c>
      <c r="D146" t="n">
        <v>1</v>
      </c>
      <c r="E146" t="n">
        <v>1</v>
      </c>
      <c r="F146" t="n">
        <v>1</v>
      </c>
      <c r="G146" t="n">
        <v>1</v>
      </c>
      <c r="H146" t="n">
        <v>1</v>
      </c>
      <c r="I146" s="14">
        <f>SUMPRODUCT((B24:B31&lt;=$C146)*(C24:C31*$D146+D24:D31*$F146*$B$8*$H146)/(1+$B146/100)^B24:B31)+C32*$D146*$G146/(1+$B146/100)^$C146</f>
        <v/>
      </c>
      <c r="J146" s="14">
        <f>SUMPRODUCT((K24:K26&lt;=$C146)*(L24:L26*$E146+M24:M26*$F146*$B$8*$H146)/(1+$B146/100)^K24:K26)+L27*$E146*$G146/(1+$B146/100)^$C146</f>
        <v/>
      </c>
      <c r="K146" s="14">
        <f>J146-I146</f>
        <v/>
      </c>
      <c r="L146">
        <f>IF(K146&lt;0,"PCC","HMA")</f>
        <v/>
      </c>
      <c r="AK146" t="n">
        <v>133</v>
      </c>
      <c r="AL146">
        <f>IFERROR(IF(AU146&lt;($AM$6-$AL$6)/($AN$6-$AL$6),$AL$6+SQRT(AU146*($AN$6-$AL$6)*($AM$6-$AL$6)),$AN$6-SQRT((1-AU146)*($AN$6-$AL$6)*($AN$6-$AM$6))),$AM$6)</f>
        <v/>
      </c>
      <c r="AM146">
        <f>IFERROR(IF(AV146&lt;($AM$7-$AL$7)/($AN$7-$AL$7),$AL$7+SQRT(AV146*($AN$7-$AL$7)*($AM$7-$AL$7)),$AN$7-SQRT((1-AV146)*($AN$7-$AL$7)*($AN$7-$AM$7))),$AM$7)</f>
        <v/>
      </c>
      <c r="AN146">
        <f>IFERROR(IF(AW146&lt;($AM$8-$AL$8)/($AN$8-$AL$8),$AL$8+SQRT(AW146*($AN$8-$AL$8)*($AM$8-$AL$8)),$AN$8-SQRT((1-AW146)*($AN$8-$AL$8)*($AN$8-$AM$8))),$AM$8)</f>
        <v/>
      </c>
      <c r="AO146">
        <f>IFERROR(IF(AX146&lt;($AM$9-$AL$9)/($AN$9-$AL$9),$AL$9+SQRT(AX146*($AN$9-$AL$9)*($AM$9-$AL$9)),$AN$9-SQRT((1-AX146)*($AN$9-$AL$9)*($AN$9-$AM$9))),$AM$9)</f>
        <v/>
      </c>
      <c r="AP146">
        <f>IFERROR(IF(AY146&lt;($AM$10-$AL$10)/($AN$10-$AL$10),$AL$10+SQRT(AY146*($AN$10-$AL$10)*($AM$10-$AL$10)),$AN$10-SQRT((1-AY146)*($AN$10-$AL$10)*($AN$10-$AM$10))),$AM$10)</f>
        <v/>
      </c>
      <c r="AQ146">
        <f>IFERROR(IF(AZ146&lt;($AM$11-$AL$11)/($AN$11-$AL$11),$AL$11+SQRT(AZ146*($AN$11-$AL$11)*($AM$11-$AL$11)),$AN$11-SQRT((1-AZ146)*($AN$11-$AL$11)*($AN$11-$AM$11))),$AM$11)</f>
        <v/>
      </c>
      <c r="AR146">
        <f>SUMPRODUCT((B24:B31&lt;=$B$6)*(C24:C31*AM146+D24:D31*AO146*$B$8*AQ146)/(1+AL146/100)^B24:B31)+C32*AM146*AP146/(1+AL146/100)^$B$6</f>
        <v/>
      </c>
      <c r="AS146">
        <f>SUMPRODUCT((K24:K26&lt;=$B$6)*(L24:L26*AN146+M24:M26*AO146*$B$8*AQ146)/(1+AL146/100)^K24:K26)+L27*AN146*AP146/(1+AL146/100)^$B$6</f>
        <v/>
      </c>
      <c r="AT146">
        <f>AS146-AR146</f>
        <v/>
      </c>
      <c r="AU146">
        <f>RAND()</f>
        <v/>
      </c>
      <c r="AV146">
        <f>RAND()</f>
        <v/>
      </c>
      <c r="AW146">
        <f>RAND()</f>
        <v/>
      </c>
      <c r="AX146">
        <f>RAND()</f>
        <v/>
      </c>
      <c r="AY146">
        <f>RAND()</f>
        <v/>
      </c>
      <c r="AZ146">
        <f>RAND()</f>
        <v/>
      </c>
    </row>
    <row r="147">
      <c r="A147" s="7" t="inlineStr">
        <is>
          <t>No lost-revenue term</t>
        </is>
      </c>
      <c r="B147" t="n">
        <v>3</v>
      </c>
      <c r="C147" t="n">
        <v>30</v>
      </c>
      <c r="D147" t="n">
        <v>1</v>
      </c>
      <c r="E147" t="n">
        <v>1</v>
      </c>
      <c r="F147" t="n">
        <v>1</v>
      </c>
      <c r="G147" t="n">
        <v>1</v>
      </c>
      <c r="H147" t="n">
        <v>0</v>
      </c>
      <c r="I147" s="14">
        <f>SUMPRODUCT((B24:B31&lt;=$C147)*(C24:C31*$D147+D24:D31*$F147*$B$8*$H147)/(1+$B147/100)^B24:B31)+C32*$D147*$G147/(1+$B147/100)^$C147</f>
        <v/>
      </c>
      <c r="J147" s="14">
        <f>SUMPRODUCT((K24:K26&lt;=$C147)*(L24:L26*$E147+M24:M26*$F147*$B$8*$H147)/(1+$B147/100)^K24:K26)+L27*$E147*$G147/(1+$B147/100)^$C147</f>
        <v/>
      </c>
      <c r="K147" s="14">
        <f>J147-I147</f>
        <v/>
      </c>
      <c r="L147">
        <f>IF(K147&lt;0,"PCC","HMA")</f>
        <v/>
      </c>
      <c r="AK147" t="n">
        <v>134</v>
      </c>
      <c r="AL147">
        <f>IFERROR(IF(AU147&lt;($AM$6-$AL$6)/($AN$6-$AL$6),$AL$6+SQRT(AU147*($AN$6-$AL$6)*($AM$6-$AL$6)),$AN$6-SQRT((1-AU147)*($AN$6-$AL$6)*($AN$6-$AM$6))),$AM$6)</f>
        <v/>
      </c>
      <c r="AM147">
        <f>IFERROR(IF(AV147&lt;($AM$7-$AL$7)/($AN$7-$AL$7),$AL$7+SQRT(AV147*($AN$7-$AL$7)*($AM$7-$AL$7)),$AN$7-SQRT((1-AV147)*($AN$7-$AL$7)*($AN$7-$AM$7))),$AM$7)</f>
        <v/>
      </c>
      <c r="AN147">
        <f>IFERROR(IF(AW147&lt;($AM$8-$AL$8)/($AN$8-$AL$8),$AL$8+SQRT(AW147*($AN$8-$AL$8)*($AM$8-$AL$8)),$AN$8-SQRT((1-AW147)*($AN$8-$AL$8)*($AN$8-$AM$8))),$AM$8)</f>
        <v/>
      </c>
      <c r="AO147">
        <f>IFERROR(IF(AX147&lt;($AM$9-$AL$9)/($AN$9-$AL$9),$AL$9+SQRT(AX147*($AN$9-$AL$9)*($AM$9-$AL$9)),$AN$9-SQRT((1-AX147)*($AN$9-$AL$9)*($AN$9-$AM$9))),$AM$9)</f>
        <v/>
      </c>
      <c r="AP147">
        <f>IFERROR(IF(AY147&lt;($AM$10-$AL$10)/($AN$10-$AL$10),$AL$10+SQRT(AY147*($AN$10-$AL$10)*($AM$10-$AL$10)),$AN$10-SQRT((1-AY147)*($AN$10-$AL$10)*($AN$10-$AM$10))),$AM$10)</f>
        <v/>
      </c>
      <c r="AQ147">
        <f>IFERROR(IF(AZ147&lt;($AM$11-$AL$11)/($AN$11-$AL$11),$AL$11+SQRT(AZ147*($AN$11-$AL$11)*($AM$11-$AL$11)),$AN$11-SQRT((1-AZ147)*($AN$11-$AL$11)*($AN$11-$AM$11))),$AM$11)</f>
        <v/>
      </c>
      <c r="AR147">
        <f>SUMPRODUCT((B24:B31&lt;=$B$6)*(C24:C31*AM147+D24:D31*AO147*$B$8*AQ147)/(1+AL147/100)^B24:B31)+C32*AM147*AP147/(1+AL147/100)^$B$6</f>
        <v/>
      </c>
      <c r="AS147">
        <f>SUMPRODUCT((K24:K26&lt;=$B$6)*(L24:L26*AN147+M24:M26*AO147*$B$8*AQ147)/(1+AL147/100)^K24:K26)+L27*AN147*AP147/(1+AL147/100)^$B$6</f>
        <v/>
      </c>
      <c r="AT147">
        <f>AS147-AR147</f>
        <v/>
      </c>
      <c r="AU147">
        <f>RAND()</f>
        <v/>
      </c>
      <c r="AV147">
        <f>RAND()</f>
        <v/>
      </c>
      <c r="AW147">
        <f>RAND()</f>
        <v/>
      </c>
      <c r="AX147">
        <f>RAND()</f>
        <v/>
      </c>
      <c r="AY147">
        <f>RAND()</f>
        <v/>
      </c>
      <c r="AZ147">
        <f>RAND()</f>
        <v/>
      </c>
    </row>
    <row r="148">
      <c r="A148" s="7" t="inlineStr">
        <is>
          <t>Revenue loss at 40% of gross</t>
        </is>
      </c>
      <c r="B148" t="n">
        <v>3</v>
      </c>
      <c r="C148" t="n">
        <v>30</v>
      </c>
      <c r="D148" t="n">
        <v>1</v>
      </c>
      <c r="E148" t="n">
        <v>1</v>
      </c>
      <c r="F148" t="n">
        <v>1</v>
      </c>
      <c r="G148" t="n">
        <v>1</v>
      </c>
      <c r="H148" t="n">
        <v>0.4</v>
      </c>
      <c r="I148" s="14">
        <f>SUMPRODUCT((B24:B31&lt;=$C148)*(C24:C31*$D148+D24:D31*$F148*$B$8*$H148)/(1+$B148/100)^B24:B31)+C32*$D148*$G148/(1+$B148/100)^$C148</f>
        <v/>
      </c>
      <c r="J148" s="14">
        <f>SUMPRODUCT((K24:K26&lt;=$C148)*(L24:L26*$E148+M24:M26*$F148*$B$8*$H148)/(1+$B148/100)^K24:K26)+L27*$E148*$G148/(1+$B148/100)^$C148</f>
        <v/>
      </c>
      <c r="K148" s="14">
        <f>J148-I148</f>
        <v/>
      </c>
      <c r="L148">
        <f>IF(K148&lt;0,"PCC","HMA")</f>
        <v/>
      </c>
      <c r="AK148" t="n">
        <v>135</v>
      </c>
      <c r="AL148">
        <f>IFERROR(IF(AU148&lt;($AM$6-$AL$6)/($AN$6-$AL$6),$AL$6+SQRT(AU148*($AN$6-$AL$6)*($AM$6-$AL$6)),$AN$6-SQRT((1-AU148)*($AN$6-$AL$6)*($AN$6-$AM$6))),$AM$6)</f>
        <v/>
      </c>
      <c r="AM148">
        <f>IFERROR(IF(AV148&lt;($AM$7-$AL$7)/($AN$7-$AL$7),$AL$7+SQRT(AV148*($AN$7-$AL$7)*($AM$7-$AL$7)),$AN$7-SQRT((1-AV148)*($AN$7-$AL$7)*($AN$7-$AM$7))),$AM$7)</f>
        <v/>
      </c>
      <c r="AN148">
        <f>IFERROR(IF(AW148&lt;($AM$8-$AL$8)/($AN$8-$AL$8),$AL$8+SQRT(AW148*($AN$8-$AL$8)*($AM$8-$AL$8)),$AN$8-SQRT((1-AW148)*($AN$8-$AL$8)*($AN$8-$AM$8))),$AM$8)</f>
        <v/>
      </c>
      <c r="AO148">
        <f>IFERROR(IF(AX148&lt;($AM$9-$AL$9)/($AN$9-$AL$9),$AL$9+SQRT(AX148*($AN$9-$AL$9)*($AM$9-$AL$9)),$AN$9-SQRT((1-AX148)*($AN$9-$AL$9)*($AN$9-$AM$9))),$AM$9)</f>
        <v/>
      </c>
      <c r="AP148">
        <f>IFERROR(IF(AY148&lt;($AM$10-$AL$10)/($AN$10-$AL$10),$AL$10+SQRT(AY148*($AN$10-$AL$10)*($AM$10-$AL$10)),$AN$10-SQRT((1-AY148)*($AN$10-$AL$10)*($AN$10-$AM$10))),$AM$10)</f>
        <v/>
      </c>
      <c r="AQ148">
        <f>IFERROR(IF(AZ148&lt;($AM$11-$AL$11)/($AN$11-$AL$11),$AL$11+SQRT(AZ148*($AN$11-$AL$11)*($AM$11-$AL$11)),$AN$11-SQRT((1-AZ148)*($AN$11-$AL$11)*($AN$11-$AM$11))),$AM$11)</f>
        <v/>
      </c>
      <c r="AR148">
        <f>SUMPRODUCT((B24:B31&lt;=$B$6)*(C24:C31*AM148+D24:D31*AO148*$B$8*AQ148)/(1+AL148/100)^B24:B31)+C32*AM148*AP148/(1+AL148/100)^$B$6</f>
        <v/>
      </c>
      <c r="AS148">
        <f>SUMPRODUCT((K24:K26&lt;=$B$6)*(L24:L26*AN148+M24:M26*AO148*$B$8*AQ148)/(1+AL148/100)^K24:K26)+L27*AN148*AP148/(1+AL148/100)^$B$6</f>
        <v/>
      </c>
      <c r="AT148">
        <f>AS148-AR148</f>
        <v/>
      </c>
      <c r="AU148">
        <f>RAND()</f>
        <v/>
      </c>
      <c r="AV148">
        <f>RAND()</f>
        <v/>
      </c>
      <c r="AW148">
        <f>RAND()</f>
        <v/>
      </c>
      <c r="AX148">
        <f>RAND()</f>
        <v/>
      </c>
      <c r="AY148">
        <f>RAND()</f>
        <v/>
      </c>
      <c r="AZ148">
        <f>RAND()</f>
        <v/>
      </c>
    </row>
    <row r="149">
      <c r="A149" s="7" t="inlineStr">
        <is>
          <t>No salvage credit</t>
        </is>
      </c>
      <c r="B149" t="n">
        <v>3</v>
      </c>
      <c r="C149" t="n">
        <v>30</v>
      </c>
      <c r="D149" t="n">
        <v>1</v>
      </c>
      <c r="E149" t="n">
        <v>1</v>
      </c>
      <c r="F149" t="n">
        <v>1</v>
      </c>
      <c r="G149" t="n">
        <v>0</v>
      </c>
      <c r="H149" t="n">
        <v>1</v>
      </c>
      <c r="I149" s="14">
        <f>SUMPRODUCT((B24:B31&lt;=$C149)*(C24:C31*$D149+D24:D31*$F149*$B$8*$H149)/(1+$B149/100)^B24:B31)+C32*$D149*$G149/(1+$B149/100)^$C149</f>
        <v/>
      </c>
      <c r="J149" s="14">
        <f>SUMPRODUCT((K24:K26&lt;=$C149)*(L24:L26*$E149+M24:M26*$F149*$B$8*$H149)/(1+$B149/100)^K24:K26)+L27*$E149*$G149/(1+$B149/100)^$C149</f>
        <v/>
      </c>
      <c r="K149" s="14">
        <f>J149-I149</f>
        <v/>
      </c>
      <c r="L149">
        <f>IF(K149&lt;0,"PCC","HMA")</f>
        <v/>
      </c>
      <c r="AK149" t="n">
        <v>136</v>
      </c>
      <c r="AL149">
        <f>IFERROR(IF(AU149&lt;($AM$6-$AL$6)/($AN$6-$AL$6),$AL$6+SQRT(AU149*($AN$6-$AL$6)*($AM$6-$AL$6)),$AN$6-SQRT((1-AU149)*($AN$6-$AL$6)*($AN$6-$AM$6))),$AM$6)</f>
        <v/>
      </c>
      <c r="AM149">
        <f>IFERROR(IF(AV149&lt;($AM$7-$AL$7)/($AN$7-$AL$7),$AL$7+SQRT(AV149*($AN$7-$AL$7)*($AM$7-$AL$7)),$AN$7-SQRT((1-AV149)*($AN$7-$AL$7)*($AN$7-$AM$7))),$AM$7)</f>
        <v/>
      </c>
      <c r="AN149">
        <f>IFERROR(IF(AW149&lt;($AM$8-$AL$8)/($AN$8-$AL$8),$AL$8+SQRT(AW149*($AN$8-$AL$8)*($AM$8-$AL$8)),$AN$8-SQRT((1-AW149)*($AN$8-$AL$8)*($AN$8-$AM$8))),$AM$8)</f>
        <v/>
      </c>
      <c r="AO149">
        <f>IFERROR(IF(AX149&lt;($AM$9-$AL$9)/($AN$9-$AL$9),$AL$9+SQRT(AX149*($AN$9-$AL$9)*($AM$9-$AL$9)),$AN$9-SQRT((1-AX149)*($AN$9-$AL$9)*($AN$9-$AM$9))),$AM$9)</f>
        <v/>
      </c>
      <c r="AP149">
        <f>IFERROR(IF(AY149&lt;($AM$10-$AL$10)/($AN$10-$AL$10),$AL$10+SQRT(AY149*($AN$10-$AL$10)*($AM$10-$AL$10)),$AN$10-SQRT((1-AY149)*($AN$10-$AL$10)*($AN$10-$AM$10))),$AM$10)</f>
        <v/>
      </c>
      <c r="AQ149">
        <f>IFERROR(IF(AZ149&lt;($AM$11-$AL$11)/($AN$11-$AL$11),$AL$11+SQRT(AZ149*($AN$11-$AL$11)*($AM$11-$AL$11)),$AN$11-SQRT((1-AZ149)*($AN$11-$AL$11)*($AN$11-$AM$11))),$AM$11)</f>
        <v/>
      </c>
      <c r="AR149">
        <f>SUMPRODUCT((B24:B31&lt;=$B$6)*(C24:C31*AM149+D24:D31*AO149*$B$8*AQ149)/(1+AL149/100)^B24:B31)+C32*AM149*AP149/(1+AL149/100)^$B$6</f>
        <v/>
      </c>
      <c r="AS149">
        <f>SUMPRODUCT((K24:K26&lt;=$B$6)*(L24:L26*AN149+M24:M26*AO149*$B$8*AQ149)/(1+AL149/100)^K24:K26)+L27*AN149*AP149/(1+AL149/100)^$B$6</f>
        <v/>
      </c>
      <c r="AT149">
        <f>AS149-AR149</f>
        <v/>
      </c>
      <c r="AU149">
        <f>RAND()</f>
        <v/>
      </c>
      <c r="AV149">
        <f>RAND()</f>
        <v/>
      </c>
      <c r="AW149">
        <f>RAND()</f>
        <v/>
      </c>
      <c r="AX149">
        <f>RAND()</f>
        <v/>
      </c>
      <c r="AY149">
        <f>RAND()</f>
        <v/>
      </c>
      <c r="AZ149">
        <f>RAND()</f>
        <v/>
      </c>
    </row>
    <row r="150">
      <c r="A150" s="7" t="inlineStr">
        <is>
          <t>PCC bids +20%</t>
        </is>
      </c>
      <c r="B150" t="n">
        <v>3</v>
      </c>
      <c r="C150" t="n">
        <v>30</v>
      </c>
      <c r="D150" t="n">
        <v>1</v>
      </c>
      <c r="E150" t="n">
        <v>1.2</v>
      </c>
      <c r="F150" t="n">
        <v>1</v>
      </c>
      <c r="G150" t="n">
        <v>1</v>
      </c>
      <c r="H150" t="n">
        <v>1</v>
      </c>
      <c r="I150" s="14">
        <f>SUMPRODUCT((B24:B31&lt;=$C150)*(C24:C31*$D150+D24:D31*$F150*$B$8*$H150)/(1+$B150/100)^B24:B31)+C32*$D150*$G150/(1+$B150/100)^$C150</f>
        <v/>
      </c>
      <c r="J150" s="14">
        <f>SUMPRODUCT((K24:K26&lt;=$C150)*(L24:L26*$E150+M24:M26*$F150*$B$8*$H150)/(1+$B150/100)^K24:K26)+L27*$E150*$G150/(1+$B150/100)^$C150</f>
        <v/>
      </c>
      <c r="K150" s="14">
        <f>J150-I150</f>
        <v/>
      </c>
      <c r="L150">
        <f>IF(K150&lt;0,"PCC","HMA")</f>
        <v/>
      </c>
      <c r="AK150" t="n">
        <v>137</v>
      </c>
      <c r="AL150">
        <f>IFERROR(IF(AU150&lt;($AM$6-$AL$6)/($AN$6-$AL$6),$AL$6+SQRT(AU150*($AN$6-$AL$6)*($AM$6-$AL$6)),$AN$6-SQRT((1-AU150)*($AN$6-$AL$6)*($AN$6-$AM$6))),$AM$6)</f>
        <v/>
      </c>
      <c r="AM150">
        <f>IFERROR(IF(AV150&lt;($AM$7-$AL$7)/($AN$7-$AL$7),$AL$7+SQRT(AV150*($AN$7-$AL$7)*($AM$7-$AL$7)),$AN$7-SQRT((1-AV150)*($AN$7-$AL$7)*($AN$7-$AM$7))),$AM$7)</f>
        <v/>
      </c>
      <c r="AN150">
        <f>IFERROR(IF(AW150&lt;($AM$8-$AL$8)/($AN$8-$AL$8),$AL$8+SQRT(AW150*($AN$8-$AL$8)*($AM$8-$AL$8)),$AN$8-SQRT((1-AW150)*($AN$8-$AL$8)*($AN$8-$AM$8))),$AM$8)</f>
        <v/>
      </c>
      <c r="AO150">
        <f>IFERROR(IF(AX150&lt;($AM$9-$AL$9)/($AN$9-$AL$9),$AL$9+SQRT(AX150*($AN$9-$AL$9)*($AM$9-$AL$9)),$AN$9-SQRT((1-AX150)*($AN$9-$AL$9)*($AN$9-$AM$9))),$AM$9)</f>
        <v/>
      </c>
      <c r="AP150">
        <f>IFERROR(IF(AY150&lt;($AM$10-$AL$10)/($AN$10-$AL$10),$AL$10+SQRT(AY150*($AN$10-$AL$10)*($AM$10-$AL$10)),$AN$10-SQRT((1-AY150)*($AN$10-$AL$10)*($AN$10-$AM$10))),$AM$10)</f>
        <v/>
      </c>
      <c r="AQ150">
        <f>IFERROR(IF(AZ150&lt;($AM$11-$AL$11)/($AN$11-$AL$11),$AL$11+SQRT(AZ150*($AN$11-$AL$11)*($AM$11-$AL$11)),$AN$11-SQRT((1-AZ150)*($AN$11-$AL$11)*($AN$11-$AM$11))),$AM$11)</f>
        <v/>
      </c>
      <c r="AR150">
        <f>SUMPRODUCT((B24:B31&lt;=$B$6)*(C24:C31*AM150+D24:D31*AO150*$B$8*AQ150)/(1+AL150/100)^B24:B31)+C32*AM150*AP150/(1+AL150/100)^$B$6</f>
        <v/>
      </c>
      <c r="AS150">
        <f>SUMPRODUCT((K24:K26&lt;=$B$6)*(L24:L26*AN150+M24:M26*AO150*$B$8*AQ150)/(1+AL150/100)^K24:K26)+L27*AN150*AP150/(1+AL150/100)^$B$6</f>
        <v/>
      </c>
      <c r="AT150">
        <f>AS150-AR150</f>
        <v/>
      </c>
      <c r="AU150">
        <f>RAND()</f>
        <v/>
      </c>
      <c r="AV150">
        <f>RAND()</f>
        <v/>
      </c>
      <c r="AW150">
        <f>RAND()</f>
        <v/>
      </c>
      <c r="AX150">
        <f>RAND()</f>
        <v/>
      </c>
      <c r="AY150">
        <f>RAND()</f>
        <v/>
      </c>
      <c r="AZ150">
        <f>RAND()</f>
        <v/>
      </c>
    </row>
    <row r="151">
      <c r="A151" s="7" t="inlineStr">
        <is>
          <t>HMA bids +20%</t>
        </is>
      </c>
      <c r="B151" t="n">
        <v>3</v>
      </c>
      <c r="C151" t="n">
        <v>30</v>
      </c>
      <c r="D151" t="n">
        <v>1.2</v>
      </c>
      <c r="E151" t="n">
        <v>1</v>
      </c>
      <c r="F151" t="n">
        <v>1</v>
      </c>
      <c r="G151" t="n">
        <v>1</v>
      </c>
      <c r="H151" t="n">
        <v>1</v>
      </c>
      <c r="I151" s="14">
        <f>SUMPRODUCT((B24:B31&lt;=$C151)*(C24:C31*$D151+D24:D31*$F151*$B$8*$H151)/(1+$B151/100)^B24:B31)+C32*$D151*$G151/(1+$B151/100)^$C151</f>
        <v/>
      </c>
      <c r="J151" s="14">
        <f>SUMPRODUCT((K24:K26&lt;=$C151)*(L24:L26*$E151+M24:M26*$F151*$B$8*$H151)/(1+$B151/100)^K24:K26)+L27*$E151*$G151/(1+$B151/100)^$C151</f>
        <v/>
      </c>
      <c r="K151" s="14">
        <f>J151-I151</f>
        <v/>
      </c>
      <c r="L151">
        <f>IF(K151&lt;0,"PCC","HMA")</f>
        <v/>
      </c>
      <c r="AK151" t="n">
        <v>138</v>
      </c>
      <c r="AL151">
        <f>IFERROR(IF(AU151&lt;($AM$6-$AL$6)/($AN$6-$AL$6),$AL$6+SQRT(AU151*($AN$6-$AL$6)*($AM$6-$AL$6)),$AN$6-SQRT((1-AU151)*($AN$6-$AL$6)*($AN$6-$AM$6))),$AM$6)</f>
        <v/>
      </c>
      <c r="AM151">
        <f>IFERROR(IF(AV151&lt;($AM$7-$AL$7)/($AN$7-$AL$7),$AL$7+SQRT(AV151*($AN$7-$AL$7)*($AM$7-$AL$7)),$AN$7-SQRT((1-AV151)*($AN$7-$AL$7)*($AN$7-$AM$7))),$AM$7)</f>
        <v/>
      </c>
      <c r="AN151">
        <f>IFERROR(IF(AW151&lt;($AM$8-$AL$8)/($AN$8-$AL$8),$AL$8+SQRT(AW151*($AN$8-$AL$8)*($AM$8-$AL$8)),$AN$8-SQRT((1-AW151)*($AN$8-$AL$8)*($AN$8-$AM$8))),$AM$8)</f>
        <v/>
      </c>
      <c r="AO151">
        <f>IFERROR(IF(AX151&lt;($AM$9-$AL$9)/($AN$9-$AL$9),$AL$9+SQRT(AX151*($AN$9-$AL$9)*($AM$9-$AL$9)),$AN$9-SQRT((1-AX151)*($AN$9-$AL$9)*($AN$9-$AM$9))),$AM$9)</f>
        <v/>
      </c>
      <c r="AP151">
        <f>IFERROR(IF(AY151&lt;($AM$10-$AL$10)/($AN$10-$AL$10),$AL$10+SQRT(AY151*($AN$10-$AL$10)*($AM$10-$AL$10)),$AN$10-SQRT((1-AY151)*($AN$10-$AL$10)*($AN$10-$AM$10))),$AM$10)</f>
        <v/>
      </c>
      <c r="AQ151">
        <f>IFERROR(IF(AZ151&lt;($AM$11-$AL$11)/($AN$11-$AL$11),$AL$11+SQRT(AZ151*($AN$11-$AL$11)*($AM$11-$AL$11)),$AN$11-SQRT((1-AZ151)*($AN$11-$AL$11)*($AN$11-$AM$11))),$AM$11)</f>
        <v/>
      </c>
      <c r="AR151">
        <f>SUMPRODUCT((B24:B31&lt;=$B$6)*(C24:C31*AM151+D24:D31*AO151*$B$8*AQ151)/(1+AL151/100)^B24:B31)+C32*AM151*AP151/(1+AL151/100)^$B$6</f>
        <v/>
      </c>
      <c r="AS151">
        <f>SUMPRODUCT((K24:K26&lt;=$B$6)*(L24:L26*AN151+M24:M26*AO151*$B$8*AQ151)/(1+AL151/100)^K24:K26)+L27*AN151*AP151/(1+AL151/100)^$B$6</f>
        <v/>
      </c>
      <c r="AT151">
        <f>AS151-AR151</f>
        <v/>
      </c>
      <c r="AU151">
        <f>RAND()</f>
        <v/>
      </c>
      <c r="AV151">
        <f>RAND()</f>
        <v/>
      </c>
      <c r="AW151">
        <f>RAND()</f>
        <v/>
      </c>
      <c r="AX151">
        <f>RAND()</f>
        <v/>
      </c>
      <c r="AY151">
        <f>RAND()</f>
        <v/>
      </c>
      <c r="AZ151">
        <f>RAND()</f>
        <v/>
      </c>
    </row>
    <row r="152">
      <c r="A152" s="7" t="inlineStr">
        <is>
          <t>Closures twice as long</t>
        </is>
      </c>
      <c r="B152" t="n">
        <v>3</v>
      </c>
      <c r="C152" t="n">
        <v>30</v>
      </c>
      <c r="D152" t="n">
        <v>1</v>
      </c>
      <c r="E152" t="n">
        <v>1</v>
      </c>
      <c r="F152" t="n">
        <v>2</v>
      </c>
      <c r="G152" t="n">
        <v>1</v>
      </c>
      <c r="H152" t="n">
        <v>1</v>
      </c>
      <c r="I152" s="14">
        <f>SUMPRODUCT((B24:B31&lt;=$C152)*(C24:C31*$D152+D24:D31*$F152*$B$8*$H152)/(1+$B152/100)^B24:B31)+C32*$D152*$G152/(1+$B152/100)^$C152</f>
        <v/>
      </c>
      <c r="J152" s="14">
        <f>SUMPRODUCT((K24:K26&lt;=$C152)*(L24:L26*$E152+M24:M26*$F152*$B$8*$H152)/(1+$B152/100)^K24:K26)+L27*$E152*$G152/(1+$B152/100)^$C152</f>
        <v/>
      </c>
      <c r="K152" s="14">
        <f>J152-I152</f>
        <v/>
      </c>
      <c r="L152">
        <f>IF(K152&lt;0,"PCC","HMA")</f>
        <v/>
      </c>
      <c r="AK152" t="n">
        <v>139</v>
      </c>
      <c r="AL152">
        <f>IFERROR(IF(AU152&lt;($AM$6-$AL$6)/($AN$6-$AL$6),$AL$6+SQRT(AU152*($AN$6-$AL$6)*($AM$6-$AL$6)),$AN$6-SQRT((1-AU152)*($AN$6-$AL$6)*($AN$6-$AM$6))),$AM$6)</f>
        <v/>
      </c>
      <c r="AM152">
        <f>IFERROR(IF(AV152&lt;($AM$7-$AL$7)/($AN$7-$AL$7),$AL$7+SQRT(AV152*($AN$7-$AL$7)*($AM$7-$AL$7)),$AN$7-SQRT((1-AV152)*($AN$7-$AL$7)*($AN$7-$AM$7))),$AM$7)</f>
        <v/>
      </c>
      <c r="AN152">
        <f>IFERROR(IF(AW152&lt;($AM$8-$AL$8)/($AN$8-$AL$8),$AL$8+SQRT(AW152*($AN$8-$AL$8)*($AM$8-$AL$8)),$AN$8-SQRT((1-AW152)*($AN$8-$AL$8)*($AN$8-$AM$8))),$AM$8)</f>
        <v/>
      </c>
      <c r="AO152">
        <f>IFERROR(IF(AX152&lt;($AM$9-$AL$9)/($AN$9-$AL$9),$AL$9+SQRT(AX152*($AN$9-$AL$9)*($AM$9-$AL$9)),$AN$9-SQRT((1-AX152)*($AN$9-$AL$9)*($AN$9-$AM$9))),$AM$9)</f>
        <v/>
      </c>
      <c r="AP152">
        <f>IFERROR(IF(AY152&lt;($AM$10-$AL$10)/($AN$10-$AL$10),$AL$10+SQRT(AY152*($AN$10-$AL$10)*($AM$10-$AL$10)),$AN$10-SQRT((1-AY152)*($AN$10-$AL$10)*($AN$10-$AM$10))),$AM$10)</f>
        <v/>
      </c>
      <c r="AQ152">
        <f>IFERROR(IF(AZ152&lt;($AM$11-$AL$11)/($AN$11-$AL$11),$AL$11+SQRT(AZ152*($AN$11-$AL$11)*($AM$11-$AL$11)),$AN$11-SQRT((1-AZ152)*($AN$11-$AL$11)*($AN$11-$AM$11))),$AM$11)</f>
        <v/>
      </c>
      <c r="AR152">
        <f>SUMPRODUCT((B24:B31&lt;=$B$6)*(C24:C31*AM152+D24:D31*AO152*$B$8*AQ152)/(1+AL152/100)^B24:B31)+C32*AM152*AP152/(1+AL152/100)^$B$6</f>
        <v/>
      </c>
      <c r="AS152">
        <f>SUMPRODUCT((K24:K26&lt;=$B$6)*(L24:L26*AN152+M24:M26*AO152*$B$8*AQ152)/(1+AL152/100)^K24:K26)+L27*AN152*AP152/(1+AL152/100)^$B$6</f>
        <v/>
      </c>
      <c r="AT152">
        <f>AS152-AR152</f>
        <v/>
      </c>
      <c r="AU152">
        <f>RAND()</f>
        <v/>
      </c>
      <c r="AV152">
        <f>RAND()</f>
        <v/>
      </c>
      <c r="AW152">
        <f>RAND()</f>
        <v/>
      </c>
      <c r="AX152">
        <f>RAND()</f>
        <v/>
      </c>
      <c r="AY152">
        <f>RAND()</f>
        <v/>
      </c>
      <c r="AZ152">
        <f>RAND()</f>
        <v/>
      </c>
    </row>
    <row r="153">
      <c r="A153" s="7" t="inlineStr">
        <is>
          <t>Closures half as long</t>
        </is>
      </c>
      <c r="B153" t="n">
        <v>3</v>
      </c>
      <c r="C153" t="n">
        <v>30</v>
      </c>
      <c r="D153" t="n">
        <v>1</v>
      </c>
      <c r="E153" t="n">
        <v>1</v>
      </c>
      <c r="F153" t="n">
        <v>0.5</v>
      </c>
      <c r="G153" t="n">
        <v>1</v>
      </c>
      <c r="H153" t="n">
        <v>1</v>
      </c>
      <c r="I153" s="14">
        <f>SUMPRODUCT((B24:B31&lt;=$C153)*(C24:C31*$D153+D24:D31*$F153*$B$8*$H153)/(1+$B153/100)^B24:B31)+C32*$D153*$G153/(1+$B153/100)^$C153</f>
        <v/>
      </c>
      <c r="J153" s="14">
        <f>SUMPRODUCT((K24:K26&lt;=$C153)*(L24:L26*$E153+M24:M26*$F153*$B$8*$H153)/(1+$B153/100)^K24:K26)+L27*$E153*$G153/(1+$B153/100)^$C153</f>
        <v/>
      </c>
      <c r="K153" s="14">
        <f>J153-I153</f>
        <v/>
      </c>
      <c r="L153">
        <f>IF(K153&lt;0,"PCC","HMA")</f>
        <v/>
      </c>
      <c r="AK153" t="n">
        <v>140</v>
      </c>
      <c r="AL153">
        <f>IFERROR(IF(AU153&lt;($AM$6-$AL$6)/($AN$6-$AL$6),$AL$6+SQRT(AU153*($AN$6-$AL$6)*($AM$6-$AL$6)),$AN$6-SQRT((1-AU153)*($AN$6-$AL$6)*($AN$6-$AM$6))),$AM$6)</f>
        <v/>
      </c>
      <c r="AM153">
        <f>IFERROR(IF(AV153&lt;($AM$7-$AL$7)/($AN$7-$AL$7),$AL$7+SQRT(AV153*($AN$7-$AL$7)*($AM$7-$AL$7)),$AN$7-SQRT((1-AV153)*($AN$7-$AL$7)*($AN$7-$AM$7))),$AM$7)</f>
        <v/>
      </c>
      <c r="AN153">
        <f>IFERROR(IF(AW153&lt;($AM$8-$AL$8)/($AN$8-$AL$8),$AL$8+SQRT(AW153*($AN$8-$AL$8)*($AM$8-$AL$8)),$AN$8-SQRT((1-AW153)*($AN$8-$AL$8)*($AN$8-$AM$8))),$AM$8)</f>
        <v/>
      </c>
      <c r="AO153">
        <f>IFERROR(IF(AX153&lt;($AM$9-$AL$9)/($AN$9-$AL$9),$AL$9+SQRT(AX153*($AN$9-$AL$9)*($AM$9-$AL$9)),$AN$9-SQRT((1-AX153)*($AN$9-$AL$9)*($AN$9-$AM$9))),$AM$9)</f>
        <v/>
      </c>
      <c r="AP153">
        <f>IFERROR(IF(AY153&lt;($AM$10-$AL$10)/($AN$10-$AL$10),$AL$10+SQRT(AY153*($AN$10-$AL$10)*($AM$10-$AL$10)),$AN$10-SQRT((1-AY153)*($AN$10-$AL$10)*($AN$10-$AM$10))),$AM$10)</f>
        <v/>
      </c>
      <c r="AQ153">
        <f>IFERROR(IF(AZ153&lt;($AM$11-$AL$11)/($AN$11-$AL$11),$AL$11+SQRT(AZ153*($AN$11-$AL$11)*($AM$11-$AL$11)),$AN$11-SQRT((1-AZ153)*($AN$11-$AL$11)*($AN$11-$AM$11))),$AM$11)</f>
        <v/>
      </c>
      <c r="AR153">
        <f>SUMPRODUCT((B24:B31&lt;=$B$6)*(C24:C31*AM153+D24:D31*AO153*$B$8*AQ153)/(1+AL153/100)^B24:B31)+C32*AM153*AP153/(1+AL153/100)^$B$6</f>
        <v/>
      </c>
      <c r="AS153">
        <f>SUMPRODUCT((K24:K26&lt;=$B$6)*(L24:L26*AN153+M24:M26*AO153*$B$8*AQ153)/(1+AL153/100)^K24:K26)+L27*AN153*AP153/(1+AL153/100)^$B$6</f>
        <v/>
      </c>
      <c r="AT153">
        <f>AS153-AR153</f>
        <v/>
      </c>
      <c r="AU153">
        <f>RAND()</f>
        <v/>
      </c>
      <c r="AV153">
        <f>RAND()</f>
        <v/>
      </c>
      <c r="AW153">
        <f>RAND()</f>
        <v/>
      </c>
      <c r="AX153">
        <f>RAND()</f>
        <v/>
      </c>
      <c r="AY153">
        <f>RAND()</f>
        <v/>
      </c>
      <c r="AZ153">
        <f>RAND()</f>
        <v/>
      </c>
    </row>
    <row r="154">
      <c r="A154" s="7" t="inlineStr">
        <is>
          <t>Stress: 7%, no salvage, no lost revenue</t>
        </is>
      </c>
      <c r="B154" t="n">
        <v>7</v>
      </c>
      <c r="C154" t="n">
        <v>30</v>
      </c>
      <c r="D154" t="n">
        <v>1</v>
      </c>
      <c r="E154" t="n">
        <v>1</v>
      </c>
      <c r="F154" t="n">
        <v>1</v>
      </c>
      <c r="G154" t="n">
        <v>0</v>
      </c>
      <c r="H154" t="n">
        <v>0</v>
      </c>
      <c r="I154" s="14">
        <f>SUMPRODUCT((B24:B31&lt;=$C154)*(C24:C31*$D154+D24:D31*$F154*$B$8*$H154)/(1+$B154/100)^B24:B31)+C32*$D154*$G154/(1+$B154/100)^$C154</f>
        <v/>
      </c>
      <c r="J154" s="14">
        <f>SUMPRODUCT((K24:K26&lt;=$C154)*(L24:L26*$E154+M24:M26*$F154*$B$8*$H154)/(1+$B154/100)^K24:K26)+L27*$E154*$G154/(1+$B154/100)^$C154</f>
        <v/>
      </c>
      <c r="K154" s="14">
        <f>J154-I154</f>
        <v/>
      </c>
      <c r="L154">
        <f>IF(K154&lt;0,"PCC","HMA")</f>
        <v/>
      </c>
      <c r="AK154" t="n">
        <v>141</v>
      </c>
      <c r="AL154">
        <f>IFERROR(IF(AU154&lt;($AM$6-$AL$6)/($AN$6-$AL$6),$AL$6+SQRT(AU154*($AN$6-$AL$6)*($AM$6-$AL$6)),$AN$6-SQRT((1-AU154)*($AN$6-$AL$6)*($AN$6-$AM$6))),$AM$6)</f>
        <v/>
      </c>
      <c r="AM154">
        <f>IFERROR(IF(AV154&lt;($AM$7-$AL$7)/($AN$7-$AL$7),$AL$7+SQRT(AV154*($AN$7-$AL$7)*($AM$7-$AL$7)),$AN$7-SQRT((1-AV154)*($AN$7-$AL$7)*($AN$7-$AM$7))),$AM$7)</f>
        <v/>
      </c>
      <c r="AN154">
        <f>IFERROR(IF(AW154&lt;($AM$8-$AL$8)/($AN$8-$AL$8),$AL$8+SQRT(AW154*($AN$8-$AL$8)*($AM$8-$AL$8)),$AN$8-SQRT((1-AW154)*($AN$8-$AL$8)*($AN$8-$AM$8))),$AM$8)</f>
        <v/>
      </c>
      <c r="AO154">
        <f>IFERROR(IF(AX154&lt;($AM$9-$AL$9)/($AN$9-$AL$9),$AL$9+SQRT(AX154*($AN$9-$AL$9)*($AM$9-$AL$9)),$AN$9-SQRT((1-AX154)*($AN$9-$AL$9)*($AN$9-$AM$9))),$AM$9)</f>
        <v/>
      </c>
      <c r="AP154">
        <f>IFERROR(IF(AY154&lt;($AM$10-$AL$10)/($AN$10-$AL$10),$AL$10+SQRT(AY154*($AN$10-$AL$10)*($AM$10-$AL$10)),$AN$10-SQRT((1-AY154)*($AN$10-$AL$10)*($AN$10-$AM$10))),$AM$10)</f>
        <v/>
      </c>
      <c r="AQ154">
        <f>IFERROR(IF(AZ154&lt;($AM$11-$AL$11)/($AN$11-$AL$11),$AL$11+SQRT(AZ154*($AN$11-$AL$11)*($AM$11-$AL$11)),$AN$11-SQRT((1-AZ154)*($AN$11-$AL$11)*($AN$11-$AM$11))),$AM$11)</f>
        <v/>
      </c>
      <c r="AR154">
        <f>SUMPRODUCT((B24:B31&lt;=$B$6)*(C24:C31*AM154+D24:D31*AO154*$B$8*AQ154)/(1+AL154/100)^B24:B31)+C32*AM154*AP154/(1+AL154/100)^$B$6</f>
        <v/>
      </c>
      <c r="AS154">
        <f>SUMPRODUCT((K24:K26&lt;=$B$6)*(L24:L26*AN154+M24:M26*AO154*$B$8*AQ154)/(1+AL154/100)^K24:K26)+L27*AN154*AP154/(1+AL154/100)^$B$6</f>
        <v/>
      </c>
      <c r="AT154">
        <f>AS154-AR154</f>
        <v/>
      </c>
      <c r="AU154">
        <f>RAND()</f>
        <v/>
      </c>
      <c r="AV154">
        <f>RAND()</f>
        <v/>
      </c>
      <c r="AW154">
        <f>RAND()</f>
        <v/>
      </c>
      <c r="AX154">
        <f>RAND()</f>
        <v/>
      </c>
      <c r="AY154">
        <f>RAND()</f>
        <v/>
      </c>
      <c r="AZ154">
        <f>RAND()</f>
        <v/>
      </c>
    </row>
    <row r="155">
      <c r="A155" s="5" t="inlineStr">
        <is>
          <t>Note: scenario rows use their own parameters, not the yellow inputs. A 20-year period applies the same salvage fraction at year 20 (conservative simplification).</t>
        </is>
      </c>
      <c r="AK155" t="n">
        <v>142</v>
      </c>
      <c r="AL155">
        <f>IFERROR(IF(AU155&lt;($AM$6-$AL$6)/($AN$6-$AL$6),$AL$6+SQRT(AU155*($AN$6-$AL$6)*($AM$6-$AL$6)),$AN$6-SQRT((1-AU155)*($AN$6-$AL$6)*($AN$6-$AM$6))),$AM$6)</f>
        <v/>
      </c>
      <c r="AM155">
        <f>IFERROR(IF(AV155&lt;($AM$7-$AL$7)/($AN$7-$AL$7),$AL$7+SQRT(AV155*($AN$7-$AL$7)*($AM$7-$AL$7)),$AN$7-SQRT((1-AV155)*($AN$7-$AL$7)*($AN$7-$AM$7))),$AM$7)</f>
        <v/>
      </c>
      <c r="AN155">
        <f>IFERROR(IF(AW155&lt;($AM$8-$AL$8)/($AN$8-$AL$8),$AL$8+SQRT(AW155*($AN$8-$AL$8)*($AM$8-$AL$8)),$AN$8-SQRT((1-AW155)*($AN$8-$AL$8)*($AN$8-$AM$8))),$AM$8)</f>
        <v/>
      </c>
      <c r="AO155">
        <f>IFERROR(IF(AX155&lt;($AM$9-$AL$9)/($AN$9-$AL$9),$AL$9+SQRT(AX155*($AN$9-$AL$9)*($AM$9-$AL$9)),$AN$9-SQRT((1-AX155)*($AN$9-$AL$9)*($AN$9-$AM$9))),$AM$9)</f>
        <v/>
      </c>
      <c r="AP155">
        <f>IFERROR(IF(AY155&lt;($AM$10-$AL$10)/($AN$10-$AL$10),$AL$10+SQRT(AY155*($AN$10-$AL$10)*($AM$10-$AL$10)),$AN$10-SQRT((1-AY155)*($AN$10-$AL$10)*($AN$10-$AM$10))),$AM$10)</f>
        <v/>
      </c>
      <c r="AQ155">
        <f>IFERROR(IF(AZ155&lt;($AM$11-$AL$11)/($AN$11-$AL$11),$AL$11+SQRT(AZ155*($AN$11-$AL$11)*($AM$11-$AL$11)),$AN$11-SQRT((1-AZ155)*($AN$11-$AL$11)*($AN$11-$AM$11))),$AM$11)</f>
        <v/>
      </c>
      <c r="AR155">
        <f>SUMPRODUCT((B24:B31&lt;=$B$6)*(C24:C31*AM155+D24:D31*AO155*$B$8*AQ155)/(1+AL155/100)^B24:B31)+C32*AM155*AP155/(1+AL155/100)^$B$6</f>
        <v/>
      </c>
      <c r="AS155">
        <f>SUMPRODUCT((K24:K26&lt;=$B$6)*(L24:L26*AN155+M24:M26*AO155*$B$8*AQ155)/(1+AL155/100)^K24:K26)+L27*AN155*AP155/(1+AL155/100)^$B$6</f>
        <v/>
      </c>
      <c r="AT155">
        <f>AS155-AR155</f>
        <v/>
      </c>
      <c r="AU155">
        <f>RAND()</f>
        <v/>
      </c>
      <c r="AV155">
        <f>RAND()</f>
        <v/>
      </c>
      <c r="AW155">
        <f>RAND()</f>
        <v/>
      </c>
      <c r="AX155">
        <f>RAND()</f>
        <v/>
      </c>
      <c r="AY155">
        <f>RAND()</f>
        <v/>
      </c>
      <c r="AZ155">
        <f>RAND()</f>
        <v/>
      </c>
    </row>
    <row r="156">
      <c r="AK156" t="n">
        <v>143</v>
      </c>
      <c r="AL156">
        <f>IFERROR(IF(AU156&lt;($AM$6-$AL$6)/($AN$6-$AL$6),$AL$6+SQRT(AU156*($AN$6-$AL$6)*($AM$6-$AL$6)),$AN$6-SQRT((1-AU156)*($AN$6-$AL$6)*($AN$6-$AM$6))),$AM$6)</f>
        <v/>
      </c>
      <c r="AM156">
        <f>IFERROR(IF(AV156&lt;($AM$7-$AL$7)/($AN$7-$AL$7),$AL$7+SQRT(AV156*($AN$7-$AL$7)*($AM$7-$AL$7)),$AN$7-SQRT((1-AV156)*($AN$7-$AL$7)*($AN$7-$AM$7))),$AM$7)</f>
        <v/>
      </c>
      <c r="AN156">
        <f>IFERROR(IF(AW156&lt;($AM$8-$AL$8)/($AN$8-$AL$8),$AL$8+SQRT(AW156*($AN$8-$AL$8)*($AM$8-$AL$8)),$AN$8-SQRT((1-AW156)*($AN$8-$AL$8)*($AN$8-$AM$8))),$AM$8)</f>
        <v/>
      </c>
      <c r="AO156">
        <f>IFERROR(IF(AX156&lt;($AM$9-$AL$9)/($AN$9-$AL$9),$AL$9+SQRT(AX156*($AN$9-$AL$9)*($AM$9-$AL$9)),$AN$9-SQRT((1-AX156)*($AN$9-$AL$9)*($AN$9-$AM$9))),$AM$9)</f>
        <v/>
      </c>
      <c r="AP156">
        <f>IFERROR(IF(AY156&lt;($AM$10-$AL$10)/($AN$10-$AL$10),$AL$10+SQRT(AY156*($AN$10-$AL$10)*($AM$10-$AL$10)),$AN$10-SQRT((1-AY156)*($AN$10-$AL$10)*($AN$10-$AM$10))),$AM$10)</f>
        <v/>
      </c>
      <c r="AQ156">
        <f>IFERROR(IF(AZ156&lt;($AM$11-$AL$11)/($AN$11-$AL$11),$AL$11+SQRT(AZ156*($AN$11-$AL$11)*($AM$11-$AL$11)),$AN$11-SQRT((1-AZ156)*($AN$11-$AL$11)*($AN$11-$AM$11))),$AM$11)</f>
        <v/>
      </c>
      <c r="AR156">
        <f>SUMPRODUCT((B24:B31&lt;=$B$6)*(C24:C31*AM156+D24:D31*AO156*$B$8*AQ156)/(1+AL156/100)^B24:B31)+C32*AM156*AP156/(1+AL156/100)^$B$6</f>
        <v/>
      </c>
      <c r="AS156">
        <f>SUMPRODUCT((K24:K26&lt;=$B$6)*(L24:L26*AN156+M24:M26*AO156*$B$8*AQ156)/(1+AL156/100)^K24:K26)+L27*AN156*AP156/(1+AL156/100)^$B$6</f>
        <v/>
      </c>
      <c r="AT156">
        <f>AS156-AR156</f>
        <v/>
      </c>
      <c r="AU156">
        <f>RAND()</f>
        <v/>
      </c>
      <c r="AV156">
        <f>RAND()</f>
        <v/>
      </c>
      <c r="AW156">
        <f>RAND()</f>
        <v/>
      </c>
      <c r="AX156">
        <f>RAND()</f>
        <v/>
      </c>
      <c r="AY156">
        <f>RAND()</f>
        <v/>
      </c>
      <c r="AZ156">
        <f>RAND()</f>
        <v/>
      </c>
    </row>
    <row r="157">
      <c r="AK157" t="n">
        <v>144</v>
      </c>
      <c r="AL157">
        <f>IFERROR(IF(AU157&lt;($AM$6-$AL$6)/($AN$6-$AL$6),$AL$6+SQRT(AU157*($AN$6-$AL$6)*($AM$6-$AL$6)),$AN$6-SQRT((1-AU157)*($AN$6-$AL$6)*($AN$6-$AM$6))),$AM$6)</f>
        <v/>
      </c>
      <c r="AM157">
        <f>IFERROR(IF(AV157&lt;($AM$7-$AL$7)/($AN$7-$AL$7),$AL$7+SQRT(AV157*($AN$7-$AL$7)*($AM$7-$AL$7)),$AN$7-SQRT((1-AV157)*($AN$7-$AL$7)*($AN$7-$AM$7))),$AM$7)</f>
        <v/>
      </c>
      <c r="AN157">
        <f>IFERROR(IF(AW157&lt;($AM$8-$AL$8)/($AN$8-$AL$8),$AL$8+SQRT(AW157*($AN$8-$AL$8)*($AM$8-$AL$8)),$AN$8-SQRT((1-AW157)*($AN$8-$AL$8)*($AN$8-$AM$8))),$AM$8)</f>
        <v/>
      </c>
      <c r="AO157">
        <f>IFERROR(IF(AX157&lt;($AM$9-$AL$9)/($AN$9-$AL$9),$AL$9+SQRT(AX157*($AN$9-$AL$9)*($AM$9-$AL$9)),$AN$9-SQRT((1-AX157)*($AN$9-$AL$9)*($AN$9-$AM$9))),$AM$9)</f>
        <v/>
      </c>
      <c r="AP157">
        <f>IFERROR(IF(AY157&lt;($AM$10-$AL$10)/($AN$10-$AL$10),$AL$10+SQRT(AY157*($AN$10-$AL$10)*($AM$10-$AL$10)),$AN$10-SQRT((1-AY157)*($AN$10-$AL$10)*($AN$10-$AM$10))),$AM$10)</f>
        <v/>
      </c>
      <c r="AQ157">
        <f>IFERROR(IF(AZ157&lt;($AM$11-$AL$11)/($AN$11-$AL$11),$AL$11+SQRT(AZ157*($AN$11-$AL$11)*($AM$11-$AL$11)),$AN$11-SQRT((1-AZ157)*($AN$11-$AL$11)*($AN$11-$AM$11))),$AM$11)</f>
        <v/>
      </c>
      <c r="AR157">
        <f>SUMPRODUCT((B24:B31&lt;=$B$6)*(C24:C31*AM157+D24:D31*AO157*$B$8*AQ157)/(1+AL157/100)^B24:B31)+C32*AM157*AP157/(1+AL157/100)^$B$6</f>
        <v/>
      </c>
      <c r="AS157">
        <f>SUMPRODUCT((K24:K26&lt;=$B$6)*(L24:L26*AN157+M24:M26*AO157*$B$8*AQ157)/(1+AL157/100)^K24:K26)+L27*AN157*AP157/(1+AL157/100)^$B$6</f>
        <v/>
      </c>
      <c r="AT157">
        <f>AS157-AR157</f>
        <v/>
      </c>
      <c r="AU157">
        <f>RAND()</f>
        <v/>
      </c>
      <c r="AV157">
        <f>RAND()</f>
        <v/>
      </c>
      <c r="AW157">
        <f>RAND()</f>
        <v/>
      </c>
      <c r="AX157">
        <f>RAND()</f>
        <v/>
      </c>
      <c r="AY157">
        <f>RAND()</f>
        <v/>
      </c>
      <c r="AZ157">
        <f>RAND()</f>
        <v/>
      </c>
    </row>
    <row r="158">
      <c r="A158" s="4" t="inlineStr">
        <is>
          <t>DECISION MAP: PCC - HMA present worth by discount rate and salvage credit</t>
        </is>
      </c>
      <c r="AK158" t="n">
        <v>145</v>
      </c>
      <c r="AL158">
        <f>IFERROR(IF(AU158&lt;($AM$6-$AL$6)/($AN$6-$AL$6),$AL$6+SQRT(AU158*($AN$6-$AL$6)*($AM$6-$AL$6)),$AN$6-SQRT((1-AU158)*($AN$6-$AL$6)*($AN$6-$AM$6))),$AM$6)</f>
        <v/>
      </c>
      <c r="AM158">
        <f>IFERROR(IF(AV158&lt;($AM$7-$AL$7)/($AN$7-$AL$7),$AL$7+SQRT(AV158*($AN$7-$AL$7)*($AM$7-$AL$7)),$AN$7-SQRT((1-AV158)*($AN$7-$AL$7)*($AN$7-$AM$7))),$AM$7)</f>
        <v/>
      </c>
      <c r="AN158">
        <f>IFERROR(IF(AW158&lt;($AM$8-$AL$8)/($AN$8-$AL$8),$AL$8+SQRT(AW158*($AN$8-$AL$8)*($AM$8-$AL$8)),$AN$8-SQRT((1-AW158)*($AN$8-$AL$8)*($AN$8-$AM$8))),$AM$8)</f>
        <v/>
      </c>
      <c r="AO158">
        <f>IFERROR(IF(AX158&lt;($AM$9-$AL$9)/($AN$9-$AL$9),$AL$9+SQRT(AX158*($AN$9-$AL$9)*($AM$9-$AL$9)),$AN$9-SQRT((1-AX158)*($AN$9-$AL$9)*($AN$9-$AM$9))),$AM$9)</f>
        <v/>
      </c>
      <c r="AP158">
        <f>IFERROR(IF(AY158&lt;($AM$10-$AL$10)/($AN$10-$AL$10),$AL$10+SQRT(AY158*($AN$10-$AL$10)*($AM$10-$AL$10)),$AN$10-SQRT((1-AY158)*($AN$10-$AL$10)*($AN$10-$AM$10))),$AM$10)</f>
        <v/>
      </c>
      <c r="AQ158">
        <f>IFERROR(IF(AZ158&lt;($AM$11-$AL$11)/($AN$11-$AL$11),$AL$11+SQRT(AZ158*($AN$11-$AL$11)*($AM$11-$AL$11)),$AN$11-SQRT((1-AZ158)*($AN$11-$AL$11)*($AN$11-$AM$11))),$AM$11)</f>
        <v/>
      </c>
      <c r="AR158">
        <f>SUMPRODUCT((B24:B31&lt;=$B$6)*(C24:C31*AM158+D24:D31*AO158*$B$8*AQ158)/(1+AL158/100)^B24:B31)+C32*AM158*AP158/(1+AL158/100)^$B$6</f>
        <v/>
      </c>
      <c r="AS158">
        <f>SUMPRODUCT((K24:K26&lt;=$B$6)*(L24:L26*AN158+M24:M26*AO158*$B$8*AQ158)/(1+AL158/100)^K24:K26)+L27*AN158*AP158/(1+AL158/100)^$B$6</f>
        <v/>
      </c>
      <c r="AT158">
        <f>AS158-AR158</f>
        <v/>
      </c>
      <c r="AU158">
        <f>RAND()</f>
        <v/>
      </c>
      <c r="AV158">
        <f>RAND()</f>
        <v/>
      </c>
      <c r="AW158">
        <f>RAND()</f>
        <v/>
      </c>
      <c r="AX158">
        <f>RAND()</f>
        <v/>
      </c>
      <c r="AY158">
        <f>RAND()</f>
        <v/>
      </c>
      <c r="AZ158">
        <f>RAND()</f>
        <v/>
      </c>
    </row>
    <row r="159">
      <c r="A159" s="9" t="inlineStr">
        <is>
          <t>Salvage multiplier \ Rate (%)</t>
        </is>
      </c>
      <c r="B159" s="34" t="n">
        <v>2</v>
      </c>
      <c r="C159" s="34" t="n">
        <v>3</v>
      </c>
      <c r="D159" s="34" t="n">
        <v>4</v>
      </c>
      <c r="E159" s="34" t="n">
        <v>5</v>
      </c>
      <c r="F159" s="34" t="n">
        <v>6</v>
      </c>
      <c r="G159" s="34" t="n">
        <v>7</v>
      </c>
      <c r="H159" s="34" t="n">
        <v>8</v>
      </c>
      <c r="AK159" t="n">
        <v>146</v>
      </c>
      <c r="AL159">
        <f>IFERROR(IF(AU159&lt;($AM$6-$AL$6)/($AN$6-$AL$6),$AL$6+SQRT(AU159*($AN$6-$AL$6)*($AM$6-$AL$6)),$AN$6-SQRT((1-AU159)*($AN$6-$AL$6)*($AN$6-$AM$6))),$AM$6)</f>
        <v/>
      </c>
      <c r="AM159">
        <f>IFERROR(IF(AV159&lt;($AM$7-$AL$7)/($AN$7-$AL$7),$AL$7+SQRT(AV159*($AN$7-$AL$7)*($AM$7-$AL$7)),$AN$7-SQRT((1-AV159)*($AN$7-$AL$7)*($AN$7-$AM$7))),$AM$7)</f>
        <v/>
      </c>
      <c r="AN159">
        <f>IFERROR(IF(AW159&lt;($AM$8-$AL$8)/($AN$8-$AL$8),$AL$8+SQRT(AW159*($AN$8-$AL$8)*($AM$8-$AL$8)),$AN$8-SQRT((1-AW159)*($AN$8-$AL$8)*($AN$8-$AM$8))),$AM$8)</f>
        <v/>
      </c>
      <c r="AO159">
        <f>IFERROR(IF(AX159&lt;($AM$9-$AL$9)/($AN$9-$AL$9),$AL$9+SQRT(AX159*($AN$9-$AL$9)*($AM$9-$AL$9)),$AN$9-SQRT((1-AX159)*($AN$9-$AL$9)*($AN$9-$AM$9))),$AM$9)</f>
        <v/>
      </c>
      <c r="AP159">
        <f>IFERROR(IF(AY159&lt;($AM$10-$AL$10)/($AN$10-$AL$10),$AL$10+SQRT(AY159*($AN$10-$AL$10)*($AM$10-$AL$10)),$AN$10-SQRT((1-AY159)*($AN$10-$AL$10)*($AN$10-$AM$10))),$AM$10)</f>
        <v/>
      </c>
      <c r="AQ159">
        <f>IFERROR(IF(AZ159&lt;($AM$11-$AL$11)/($AN$11-$AL$11),$AL$11+SQRT(AZ159*($AN$11-$AL$11)*($AM$11-$AL$11)),$AN$11-SQRT((1-AZ159)*($AN$11-$AL$11)*($AN$11-$AM$11))),$AM$11)</f>
        <v/>
      </c>
      <c r="AR159">
        <f>SUMPRODUCT((B24:B31&lt;=$B$6)*(C24:C31*AM159+D24:D31*AO159*$B$8*AQ159)/(1+AL159/100)^B24:B31)+C32*AM159*AP159/(1+AL159/100)^$B$6</f>
        <v/>
      </c>
      <c r="AS159">
        <f>SUMPRODUCT((K24:K26&lt;=$B$6)*(L24:L26*AN159+M24:M26*AO159*$B$8*AQ159)/(1+AL159/100)^K24:K26)+L27*AN159*AP159/(1+AL159/100)^$B$6</f>
        <v/>
      </c>
      <c r="AT159">
        <f>AS159-AR159</f>
        <v/>
      </c>
      <c r="AU159">
        <f>RAND()</f>
        <v/>
      </c>
      <c r="AV159">
        <f>RAND()</f>
        <v/>
      </c>
      <c r="AW159">
        <f>RAND()</f>
        <v/>
      </c>
      <c r="AX159">
        <f>RAND()</f>
        <v/>
      </c>
      <c r="AY159">
        <f>RAND()</f>
        <v/>
      </c>
      <c r="AZ159">
        <f>RAND()</f>
        <v/>
      </c>
    </row>
    <row r="160">
      <c r="A160" s="29" t="n">
        <v>0</v>
      </c>
      <c r="B160" s="18">
        <f>(SUMPRODUCT((K24:K26&lt;=$B$6)*(L24:L26*$B$12+M24:M26*$B$10*$B$8*$B$9)/(1+2/100)^K24:K26)+L27*$B$12*0/(1+2/100)^$B$6)-(SUMPRODUCT((B24:B31&lt;=$B$6)*(C24:C31*$B$11+D24:D31*$B$10*$B$8*$B$9)/(1+2/100)^B24:B31)+C32*$B$11*0/(1+2/100)^$B$6)</f>
        <v/>
      </c>
      <c r="C160" s="18">
        <f>(SUMPRODUCT((K24:K26&lt;=$B$6)*(L24:L26*$B$12+M24:M26*$B$10*$B$8*$B$9)/(1+3/100)^K24:K26)+L27*$B$12*0/(1+3/100)^$B$6)-(SUMPRODUCT((B24:B31&lt;=$B$6)*(C24:C31*$B$11+D24:D31*$B$10*$B$8*$B$9)/(1+3/100)^B24:B31)+C32*$B$11*0/(1+3/100)^$B$6)</f>
        <v/>
      </c>
      <c r="D160" s="18">
        <f>(SUMPRODUCT((K24:K26&lt;=$B$6)*(L24:L26*$B$12+M24:M26*$B$10*$B$8*$B$9)/(1+4/100)^K24:K26)+L27*$B$12*0/(1+4/100)^$B$6)-(SUMPRODUCT((B24:B31&lt;=$B$6)*(C24:C31*$B$11+D24:D31*$B$10*$B$8*$B$9)/(1+4/100)^B24:B31)+C32*$B$11*0/(1+4/100)^$B$6)</f>
        <v/>
      </c>
      <c r="E160" s="18">
        <f>(SUMPRODUCT((K24:K26&lt;=$B$6)*(L24:L26*$B$12+M24:M26*$B$10*$B$8*$B$9)/(1+5/100)^K24:K26)+L27*$B$12*0/(1+5/100)^$B$6)-(SUMPRODUCT((B24:B31&lt;=$B$6)*(C24:C31*$B$11+D24:D31*$B$10*$B$8*$B$9)/(1+5/100)^B24:B31)+C32*$B$11*0/(1+5/100)^$B$6)</f>
        <v/>
      </c>
      <c r="F160" s="18">
        <f>(SUMPRODUCT((K24:K26&lt;=$B$6)*(L24:L26*$B$12+M24:M26*$B$10*$B$8*$B$9)/(1+6/100)^K24:K26)+L27*$B$12*0/(1+6/100)^$B$6)-(SUMPRODUCT((B24:B31&lt;=$B$6)*(C24:C31*$B$11+D24:D31*$B$10*$B$8*$B$9)/(1+6/100)^B24:B31)+C32*$B$11*0/(1+6/100)^$B$6)</f>
        <v/>
      </c>
      <c r="G160" s="18">
        <f>(SUMPRODUCT((K24:K26&lt;=$B$6)*(L24:L26*$B$12+M24:M26*$B$10*$B$8*$B$9)/(1+7/100)^K24:K26)+L27*$B$12*0/(1+7/100)^$B$6)-(SUMPRODUCT((B24:B31&lt;=$B$6)*(C24:C31*$B$11+D24:D31*$B$10*$B$8*$B$9)/(1+7/100)^B24:B31)+C32*$B$11*0/(1+7/100)^$B$6)</f>
        <v/>
      </c>
      <c r="H160" s="18">
        <f>(SUMPRODUCT((K24:K26&lt;=$B$6)*(L24:L26*$B$12+M24:M26*$B$10*$B$8*$B$9)/(1+8/100)^K24:K26)+L27*$B$12*0/(1+8/100)^$B$6)-(SUMPRODUCT((B24:B31&lt;=$B$6)*(C24:C31*$B$11+D24:D31*$B$10*$B$8*$B$9)/(1+8/100)^B24:B31)+C32*$B$11*0/(1+8/100)^$B$6)</f>
        <v/>
      </c>
      <c r="AK160" t="n">
        <v>147</v>
      </c>
      <c r="AL160">
        <f>IFERROR(IF(AU160&lt;($AM$6-$AL$6)/($AN$6-$AL$6),$AL$6+SQRT(AU160*($AN$6-$AL$6)*($AM$6-$AL$6)),$AN$6-SQRT((1-AU160)*($AN$6-$AL$6)*($AN$6-$AM$6))),$AM$6)</f>
        <v/>
      </c>
      <c r="AM160">
        <f>IFERROR(IF(AV160&lt;($AM$7-$AL$7)/($AN$7-$AL$7),$AL$7+SQRT(AV160*($AN$7-$AL$7)*($AM$7-$AL$7)),$AN$7-SQRT((1-AV160)*($AN$7-$AL$7)*($AN$7-$AM$7))),$AM$7)</f>
        <v/>
      </c>
      <c r="AN160">
        <f>IFERROR(IF(AW160&lt;($AM$8-$AL$8)/($AN$8-$AL$8),$AL$8+SQRT(AW160*($AN$8-$AL$8)*($AM$8-$AL$8)),$AN$8-SQRT((1-AW160)*($AN$8-$AL$8)*($AN$8-$AM$8))),$AM$8)</f>
        <v/>
      </c>
      <c r="AO160">
        <f>IFERROR(IF(AX160&lt;($AM$9-$AL$9)/($AN$9-$AL$9),$AL$9+SQRT(AX160*($AN$9-$AL$9)*($AM$9-$AL$9)),$AN$9-SQRT((1-AX160)*($AN$9-$AL$9)*($AN$9-$AM$9))),$AM$9)</f>
        <v/>
      </c>
      <c r="AP160">
        <f>IFERROR(IF(AY160&lt;($AM$10-$AL$10)/($AN$10-$AL$10),$AL$10+SQRT(AY160*($AN$10-$AL$10)*($AM$10-$AL$10)),$AN$10-SQRT((1-AY160)*($AN$10-$AL$10)*($AN$10-$AM$10))),$AM$10)</f>
        <v/>
      </c>
      <c r="AQ160">
        <f>IFERROR(IF(AZ160&lt;($AM$11-$AL$11)/($AN$11-$AL$11),$AL$11+SQRT(AZ160*($AN$11-$AL$11)*($AM$11-$AL$11)),$AN$11-SQRT((1-AZ160)*($AN$11-$AL$11)*($AN$11-$AM$11))),$AM$11)</f>
        <v/>
      </c>
      <c r="AR160">
        <f>SUMPRODUCT((B24:B31&lt;=$B$6)*(C24:C31*AM160+D24:D31*AO160*$B$8*AQ160)/(1+AL160/100)^B24:B31)+C32*AM160*AP160/(1+AL160/100)^$B$6</f>
        <v/>
      </c>
      <c r="AS160">
        <f>SUMPRODUCT((K24:K26&lt;=$B$6)*(L24:L26*AN160+M24:M26*AO160*$B$8*AQ160)/(1+AL160/100)^K24:K26)+L27*AN160*AP160/(1+AL160/100)^$B$6</f>
        <v/>
      </c>
      <c r="AT160">
        <f>AS160-AR160</f>
        <v/>
      </c>
      <c r="AU160">
        <f>RAND()</f>
        <v/>
      </c>
      <c r="AV160">
        <f>RAND()</f>
        <v/>
      </c>
      <c r="AW160">
        <f>RAND()</f>
        <v/>
      </c>
      <c r="AX160">
        <f>RAND()</f>
        <v/>
      </c>
      <c r="AY160">
        <f>RAND()</f>
        <v/>
      </c>
      <c r="AZ160">
        <f>RAND()</f>
        <v/>
      </c>
    </row>
    <row r="161">
      <c r="A161" s="29" t="n">
        <v>0.25</v>
      </c>
      <c r="B161" s="18">
        <f>(SUMPRODUCT((K24:K26&lt;=$B$6)*(L24:L26*$B$12+M24:M26*$B$10*$B$8*$B$9)/(1+2/100)^K24:K26)+L27*$B$12*0.25/(1+2/100)^$B$6)-(SUMPRODUCT((B24:B31&lt;=$B$6)*(C24:C31*$B$11+D24:D31*$B$10*$B$8*$B$9)/(1+2/100)^B24:B31)+C32*$B$11*0.25/(1+2/100)^$B$6)</f>
        <v/>
      </c>
      <c r="C161" s="18">
        <f>(SUMPRODUCT((K24:K26&lt;=$B$6)*(L24:L26*$B$12+M24:M26*$B$10*$B$8*$B$9)/(1+3/100)^K24:K26)+L27*$B$12*0.25/(1+3/100)^$B$6)-(SUMPRODUCT((B24:B31&lt;=$B$6)*(C24:C31*$B$11+D24:D31*$B$10*$B$8*$B$9)/(1+3/100)^B24:B31)+C32*$B$11*0.25/(1+3/100)^$B$6)</f>
        <v/>
      </c>
      <c r="D161" s="18">
        <f>(SUMPRODUCT((K24:K26&lt;=$B$6)*(L24:L26*$B$12+M24:M26*$B$10*$B$8*$B$9)/(1+4/100)^K24:K26)+L27*$B$12*0.25/(1+4/100)^$B$6)-(SUMPRODUCT((B24:B31&lt;=$B$6)*(C24:C31*$B$11+D24:D31*$B$10*$B$8*$B$9)/(1+4/100)^B24:B31)+C32*$B$11*0.25/(1+4/100)^$B$6)</f>
        <v/>
      </c>
      <c r="E161" s="18">
        <f>(SUMPRODUCT((K24:K26&lt;=$B$6)*(L24:L26*$B$12+M24:M26*$B$10*$B$8*$B$9)/(1+5/100)^K24:K26)+L27*$B$12*0.25/(1+5/100)^$B$6)-(SUMPRODUCT((B24:B31&lt;=$B$6)*(C24:C31*$B$11+D24:D31*$B$10*$B$8*$B$9)/(1+5/100)^B24:B31)+C32*$B$11*0.25/(1+5/100)^$B$6)</f>
        <v/>
      </c>
      <c r="F161" s="18">
        <f>(SUMPRODUCT((K24:K26&lt;=$B$6)*(L24:L26*$B$12+M24:M26*$B$10*$B$8*$B$9)/(1+6/100)^K24:K26)+L27*$B$12*0.25/(1+6/100)^$B$6)-(SUMPRODUCT((B24:B31&lt;=$B$6)*(C24:C31*$B$11+D24:D31*$B$10*$B$8*$B$9)/(1+6/100)^B24:B31)+C32*$B$11*0.25/(1+6/100)^$B$6)</f>
        <v/>
      </c>
      <c r="G161" s="18">
        <f>(SUMPRODUCT((K24:K26&lt;=$B$6)*(L24:L26*$B$12+M24:M26*$B$10*$B$8*$B$9)/(1+7/100)^K24:K26)+L27*$B$12*0.25/(1+7/100)^$B$6)-(SUMPRODUCT((B24:B31&lt;=$B$6)*(C24:C31*$B$11+D24:D31*$B$10*$B$8*$B$9)/(1+7/100)^B24:B31)+C32*$B$11*0.25/(1+7/100)^$B$6)</f>
        <v/>
      </c>
      <c r="H161" s="18">
        <f>(SUMPRODUCT((K24:K26&lt;=$B$6)*(L24:L26*$B$12+M24:M26*$B$10*$B$8*$B$9)/(1+8/100)^K24:K26)+L27*$B$12*0.25/(1+8/100)^$B$6)-(SUMPRODUCT((B24:B31&lt;=$B$6)*(C24:C31*$B$11+D24:D31*$B$10*$B$8*$B$9)/(1+8/100)^B24:B31)+C32*$B$11*0.25/(1+8/100)^$B$6)</f>
        <v/>
      </c>
      <c r="AK161" t="n">
        <v>148</v>
      </c>
      <c r="AL161">
        <f>IFERROR(IF(AU161&lt;($AM$6-$AL$6)/($AN$6-$AL$6),$AL$6+SQRT(AU161*($AN$6-$AL$6)*($AM$6-$AL$6)),$AN$6-SQRT((1-AU161)*($AN$6-$AL$6)*($AN$6-$AM$6))),$AM$6)</f>
        <v/>
      </c>
      <c r="AM161">
        <f>IFERROR(IF(AV161&lt;($AM$7-$AL$7)/($AN$7-$AL$7),$AL$7+SQRT(AV161*($AN$7-$AL$7)*($AM$7-$AL$7)),$AN$7-SQRT((1-AV161)*($AN$7-$AL$7)*($AN$7-$AM$7))),$AM$7)</f>
        <v/>
      </c>
      <c r="AN161">
        <f>IFERROR(IF(AW161&lt;($AM$8-$AL$8)/($AN$8-$AL$8),$AL$8+SQRT(AW161*($AN$8-$AL$8)*($AM$8-$AL$8)),$AN$8-SQRT((1-AW161)*($AN$8-$AL$8)*($AN$8-$AM$8))),$AM$8)</f>
        <v/>
      </c>
      <c r="AO161">
        <f>IFERROR(IF(AX161&lt;($AM$9-$AL$9)/($AN$9-$AL$9),$AL$9+SQRT(AX161*($AN$9-$AL$9)*($AM$9-$AL$9)),$AN$9-SQRT((1-AX161)*($AN$9-$AL$9)*($AN$9-$AM$9))),$AM$9)</f>
        <v/>
      </c>
      <c r="AP161">
        <f>IFERROR(IF(AY161&lt;($AM$10-$AL$10)/($AN$10-$AL$10),$AL$10+SQRT(AY161*($AN$10-$AL$10)*($AM$10-$AL$10)),$AN$10-SQRT((1-AY161)*($AN$10-$AL$10)*($AN$10-$AM$10))),$AM$10)</f>
        <v/>
      </c>
      <c r="AQ161">
        <f>IFERROR(IF(AZ161&lt;($AM$11-$AL$11)/($AN$11-$AL$11),$AL$11+SQRT(AZ161*($AN$11-$AL$11)*($AM$11-$AL$11)),$AN$11-SQRT((1-AZ161)*($AN$11-$AL$11)*($AN$11-$AM$11))),$AM$11)</f>
        <v/>
      </c>
      <c r="AR161">
        <f>SUMPRODUCT((B24:B31&lt;=$B$6)*(C24:C31*AM161+D24:D31*AO161*$B$8*AQ161)/(1+AL161/100)^B24:B31)+C32*AM161*AP161/(1+AL161/100)^$B$6</f>
        <v/>
      </c>
      <c r="AS161">
        <f>SUMPRODUCT((K24:K26&lt;=$B$6)*(L24:L26*AN161+M24:M26*AO161*$B$8*AQ161)/(1+AL161/100)^K24:K26)+L27*AN161*AP161/(1+AL161/100)^$B$6</f>
        <v/>
      </c>
      <c r="AT161">
        <f>AS161-AR161</f>
        <v/>
      </c>
      <c r="AU161">
        <f>RAND()</f>
        <v/>
      </c>
      <c r="AV161">
        <f>RAND()</f>
        <v/>
      </c>
      <c r="AW161">
        <f>RAND()</f>
        <v/>
      </c>
      <c r="AX161">
        <f>RAND()</f>
        <v/>
      </c>
      <c r="AY161">
        <f>RAND()</f>
        <v/>
      </c>
      <c r="AZ161">
        <f>RAND()</f>
        <v/>
      </c>
    </row>
    <row r="162">
      <c r="A162" s="29" t="n">
        <v>0.5</v>
      </c>
      <c r="B162" s="18">
        <f>(SUMPRODUCT((K24:K26&lt;=$B$6)*(L24:L26*$B$12+M24:M26*$B$10*$B$8*$B$9)/(1+2/100)^K24:K26)+L27*$B$12*0.5/(1+2/100)^$B$6)-(SUMPRODUCT((B24:B31&lt;=$B$6)*(C24:C31*$B$11+D24:D31*$B$10*$B$8*$B$9)/(1+2/100)^B24:B31)+C32*$B$11*0.5/(1+2/100)^$B$6)</f>
        <v/>
      </c>
      <c r="C162" s="18">
        <f>(SUMPRODUCT((K24:K26&lt;=$B$6)*(L24:L26*$B$12+M24:M26*$B$10*$B$8*$B$9)/(1+3/100)^K24:K26)+L27*$B$12*0.5/(1+3/100)^$B$6)-(SUMPRODUCT((B24:B31&lt;=$B$6)*(C24:C31*$B$11+D24:D31*$B$10*$B$8*$B$9)/(1+3/100)^B24:B31)+C32*$B$11*0.5/(1+3/100)^$B$6)</f>
        <v/>
      </c>
      <c r="D162" s="18">
        <f>(SUMPRODUCT((K24:K26&lt;=$B$6)*(L24:L26*$B$12+M24:M26*$B$10*$B$8*$B$9)/(1+4/100)^K24:K26)+L27*$B$12*0.5/(1+4/100)^$B$6)-(SUMPRODUCT((B24:B31&lt;=$B$6)*(C24:C31*$B$11+D24:D31*$B$10*$B$8*$B$9)/(1+4/100)^B24:B31)+C32*$B$11*0.5/(1+4/100)^$B$6)</f>
        <v/>
      </c>
      <c r="E162" s="18">
        <f>(SUMPRODUCT((K24:K26&lt;=$B$6)*(L24:L26*$B$12+M24:M26*$B$10*$B$8*$B$9)/(1+5/100)^K24:K26)+L27*$B$12*0.5/(1+5/100)^$B$6)-(SUMPRODUCT((B24:B31&lt;=$B$6)*(C24:C31*$B$11+D24:D31*$B$10*$B$8*$B$9)/(1+5/100)^B24:B31)+C32*$B$11*0.5/(1+5/100)^$B$6)</f>
        <v/>
      </c>
      <c r="F162" s="18">
        <f>(SUMPRODUCT((K24:K26&lt;=$B$6)*(L24:L26*$B$12+M24:M26*$B$10*$B$8*$B$9)/(1+6/100)^K24:K26)+L27*$B$12*0.5/(1+6/100)^$B$6)-(SUMPRODUCT((B24:B31&lt;=$B$6)*(C24:C31*$B$11+D24:D31*$B$10*$B$8*$B$9)/(1+6/100)^B24:B31)+C32*$B$11*0.5/(1+6/100)^$B$6)</f>
        <v/>
      </c>
      <c r="G162" s="18">
        <f>(SUMPRODUCT((K24:K26&lt;=$B$6)*(L24:L26*$B$12+M24:M26*$B$10*$B$8*$B$9)/(1+7/100)^K24:K26)+L27*$B$12*0.5/(1+7/100)^$B$6)-(SUMPRODUCT((B24:B31&lt;=$B$6)*(C24:C31*$B$11+D24:D31*$B$10*$B$8*$B$9)/(1+7/100)^B24:B31)+C32*$B$11*0.5/(1+7/100)^$B$6)</f>
        <v/>
      </c>
      <c r="H162" s="18">
        <f>(SUMPRODUCT((K24:K26&lt;=$B$6)*(L24:L26*$B$12+M24:M26*$B$10*$B$8*$B$9)/(1+8/100)^K24:K26)+L27*$B$12*0.5/(1+8/100)^$B$6)-(SUMPRODUCT((B24:B31&lt;=$B$6)*(C24:C31*$B$11+D24:D31*$B$10*$B$8*$B$9)/(1+8/100)^B24:B31)+C32*$B$11*0.5/(1+8/100)^$B$6)</f>
        <v/>
      </c>
      <c r="AK162" t="n">
        <v>149</v>
      </c>
      <c r="AL162">
        <f>IFERROR(IF(AU162&lt;($AM$6-$AL$6)/($AN$6-$AL$6),$AL$6+SQRT(AU162*($AN$6-$AL$6)*($AM$6-$AL$6)),$AN$6-SQRT((1-AU162)*($AN$6-$AL$6)*($AN$6-$AM$6))),$AM$6)</f>
        <v/>
      </c>
      <c r="AM162">
        <f>IFERROR(IF(AV162&lt;($AM$7-$AL$7)/($AN$7-$AL$7),$AL$7+SQRT(AV162*($AN$7-$AL$7)*($AM$7-$AL$7)),$AN$7-SQRT((1-AV162)*($AN$7-$AL$7)*($AN$7-$AM$7))),$AM$7)</f>
        <v/>
      </c>
      <c r="AN162">
        <f>IFERROR(IF(AW162&lt;($AM$8-$AL$8)/($AN$8-$AL$8),$AL$8+SQRT(AW162*($AN$8-$AL$8)*($AM$8-$AL$8)),$AN$8-SQRT((1-AW162)*($AN$8-$AL$8)*($AN$8-$AM$8))),$AM$8)</f>
        <v/>
      </c>
      <c r="AO162">
        <f>IFERROR(IF(AX162&lt;($AM$9-$AL$9)/($AN$9-$AL$9),$AL$9+SQRT(AX162*($AN$9-$AL$9)*($AM$9-$AL$9)),$AN$9-SQRT((1-AX162)*($AN$9-$AL$9)*($AN$9-$AM$9))),$AM$9)</f>
        <v/>
      </c>
      <c r="AP162">
        <f>IFERROR(IF(AY162&lt;($AM$10-$AL$10)/($AN$10-$AL$10),$AL$10+SQRT(AY162*($AN$10-$AL$10)*($AM$10-$AL$10)),$AN$10-SQRT((1-AY162)*($AN$10-$AL$10)*($AN$10-$AM$10))),$AM$10)</f>
        <v/>
      </c>
      <c r="AQ162">
        <f>IFERROR(IF(AZ162&lt;($AM$11-$AL$11)/($AN$11-$AL$11),$AL$11+SQRT(AZ162*($AN$11-$AL$11)*($AM$11-$AL$11)),$AN$11-SQRT((1-AZ162)*($AN$11-$AL$11)*($AN$11-$AM$11))),$AM$11)</f>
        <v/>
      </c>
      <c r="AR162">
        <f>SUMPRODUCT((B24:B31&lt;=$B$6)*(C24:C31*AM162+D24:D31*AO162*$B$8*AQ162)/(1+AL162/100)^B24:B31)+C32*AM162*AP162/(1+AL162/100)^$B$6</f>
        <v/>
      </c>
      <c r="AS162">
        <f>SUMPRODUCT((K24:K26&lt;=$B$6)*(L24:L26*AN162+M24:M26*AO162*$B$8*AQ162)/(1+AL162/100)^K24:K26)+L27*AN162*AP162/(1+AL162/100)^$B$6</f>
        <v/>
      </c>
      <c r="AT162">
        <f>AS162-AR162</f>
        <v/>
      </c>
      <c r="AU162">
        <f>RAND()</f>
        <v/>
      </c>
      <c r="AV162">
        <f>RAND()</f>
        <v/>
      </c>
      <c r="AW162">
        <f>RAND()</f>
        <v/>
      </c>
      <c r="AX162">
        <f>RAND()</f>
        <v/>
      </c>
      <c r="AY162">
        <f>RAND()</f>
        <v/>
      </c>
      <c r="AZ162">
        <f>RAND()</f>
        <v/>
      </c>
    </row>
    <row r="163">
      <c r="A163" s="29" t="n">
        <v>0.75</v>
      </c>
      <c r="B163" s="18">
        <f>(SUMPRODUCT((K24:K26&lt;=$B$6)*(L24:L26*$B$12+M24:M26*$B$10*$B$8*$B$9)/(1+2/100)^K24:K26)+L27*$B$12*0.75/(1+2/100)^$B$6)-(SUMPRODUCT((B24:B31&lt;=$B$6)*(C24:C31*$B$11+D24:D31*$B$10*$B$8*$B$9)/(1+2/100)^B24:B31)+C32*$B$11*0.75/(1+2/100)^$B$6)</f>
        <v/>
      </c>
      <c r="C163" s="18">
        <f>(SUMPRODUCT((K24:K26&lt;=$B$6)*(L24:L26*$B$12+M24:M26*$B$10*$B$8*$B$9)/(1+3/100)^K24:K26)+L27*$B$12*0.75/(1+3/100)^$B$6)-(SUMPRODUCT((B24:B31&lt;=$B$6)*(C24:C31*$B$11+D24:D31*$B$10*$B$8*$B$9)/(1+3/100)^B24:B31)+C32*$B$11*0.75/(1+3/100)^$B$6)</f>
        <v/>
      </c>
      <c r="D163" s="18">
        <f>(SUMPRODUCT((K24:K26&lt;=$B$6)*(L24:L26*$B$12+M24:M26*$B$10*$B$8*$B$9)/(1+4/100)^K24:K26)+L27*$B$12*0.75/(1+4/100)^$B$6)-(SUMPRODUCT((B24:B31&lt;=$B$6)*(C24:C31*$B$11+D24:D31*$B$10*$B$8*$B$9)/(1+4/100)^B24:B31)+C32*$B$11*0.75/(1+4/100)^$B$6)</f>
        <v/>
      </c>
      <c r="E163" s="18">
        <f>(SUMPRODUCT((K24:K26&lt;=$B$6)*(L24:L26*$B$12+M24:M26*$B$10*$B$8*$B$9)/(1+5/100)^K24:K26)+L27*$B$12*0.75/(1+5/100)^$B$6)-(SUMPRODUCT((B24:B31&lt;=$B$6)*(C24:C31*$B$11+D24:D31*$B$10*$B$8*$B$9)/(1+5/100)^B24:B31)+C32*$B$11*0.75/(1+5/100)^$B$6)</f>
        <v/>
      </c>
      <c r="F163" s="18">
        <f>(SUMPRODUCT((K24:K26&lt;=$B$6)*(L24:L26*$B$12+M24:M26*$B$10*$B$8*$B$9)/(1+6/100)^K24:K26)+L27*$B$12*0.75/(1+6/100)^$B$6)-(SUMPRODUCT((B24:B31&lt;=$B$6)*(C24:C31*$B$11+D24:D31*$B$10*$B$8*$B$9)/(1+6/100)^B24:B31)+C32*$B$11*0.75/(1+6/100)^$B$6)</f>
        <v/>
      </c>
      <c r="G163" s="18">
        <f>(SUMPRODUCT((K24:K26&lt;=$B$6)*(L24:L26*$B$12+M24:M26*$B$10*$B$8*$B$9)/(1+7/100)^K24:K26)+L27*$B$12*0.75/(1+7/100)^$B$6)-(SUMPRODUCT((B24:B31&lt;=$B$6)*(C24:C31*$B$11+D24:D31*$B$10*$B$8*$B$9)/(1+7/100)^B24:B31)+C32*$B$11*0.75/(1+7/100)^$B$6)</f>
        <v/>
      </c>
      <c r="H163" s="18">
        <f>(SUMPRODUCT((K24:K26&lt;=$B$6)*(L24:L26*$B$12+M24:M26*$B$10*$B$8*$B$9)/(1+8/100)^K24:K26)+L27*$B$12*0.75/(1+8/100)^$B$6)-(SUMPRODUCT((B24:B31&lt;=$B$6)*(C24:C31*$B$11+D24:D31*$B$10*$B$8*$B$9)/(1+8/100)^B24:B31)+C32*$B$11*0.75/(1+8/100)^$B$6)</f>
        <v/>
      </c>
      <c r="AK163" t="n">
        <v>150</v>
      </c>
      <c r="AL163">
        <f>IFERROR(IF(AU163&lt;($AM$6-$AL$6)/($AN$6-$AL$6),$AL$6+SQRT(AU163*($AN$6-$AL$6)*($AM$6-$AL$6)),$AN$6-SQRT((1-AU163)*($AN$6-$AL$6)*($AN$6-$AM$6))),$AM$6)</f>
        <v/>
      </c>
      <c r="AM163">
        <f>IFERROR(IF(AV163&lt;($AM$7-$AL$7)/($AN$7-$AL$7),$AL$7+SQRT(AV163*($AN$7-$AL$7)*($AM$7-$AL$7)),$AN$7-SQRT((1-AV163)*($AN$7-$AL$7)*($AN$7-$AM$7))),$AM$7)</f>
        <v/>
      </c>
      <c r="AN163">
        <f>IFERROR(IF(AW163&lt;($AM$8-$AL$8)/($AN$8-$AL$8),$AL$8+SQRT(AW163*($AN$8-$AL$8)*($AM$8-$AL$8)),$AN$8-SQRT((1-AW163)*($AN$8-$AL$8)*($AN$8-$AM$8))),$AM$8)</f>
        <v/>
      </c>
      <c r="AO163">
        <f>IFERROR(IF(AX163&lt;($AM$9-$AL$9)/($AN$9-$AL$9),$AL$9+SQRT(AX163*($AN$9-$AL$9)*($AM$9-$AL$9)),$AN$9-SQRT((1-AX163)*($AN$9-$AL$9)*($AN$9-$AM$9))),$AM$9)</f>
        <v/>
      </c>
      <c r="AP163">
        <f>IFERROR(IF(AY163&lt;($AM$10-$AL$10)/($AN$10-$AL$10),$AL$10+SQRT(AY163*($AN$10-$AL$10)*($AM$10-$AL$10)),$AN$10-SQRT((1-AY163)*($AN$10-$AL$10)*($AN$10-$AM$10))),$AM$10)</f>
        <v/>
      </c>
      <c r="AQ163">
        <f>IFERROR(IF(AZ163&lt;($AM$11-$AL$11)/($AN$11-$AL$11),$AL$11+SQRT(AZ163*($AN$11-$AL$11)*($AM$11-$AL$11)),$AN$11-SQRT((1-AZ163)*($AN$11-$AL$11)*($AN$11-$AM$11))),$AM$11)</f>
        <v/>
      </c>
      <c r="AR163">
        <f>SUMPRODUCT((B24:B31&lt;=$B$6)*(C24:C31*AM163+D24:D31*AO163*$B$8*AQ163)/(1+AL163/100)^B24:B31)+C32*AM163*AP163/(1+AL163/100)^$B$6</f>
        <v/>
      </c>
      <c r="AS163">
        <f>SUMPRODUCT((K24:K26&lt;=$B$6)*(L24:L26*AN163+M24:M26*AO163*$B$8*AQ163)/(1+AL163/100)^K24:K26)+L27*AN163*AP163/(1+AL163/100)^$B$6</f>
        <v/>
      </c>
      <c r="AT163">
        <f>AS163-AR163</f>
        <v/>
      </c>
      <c r="AU163">
        <f>RAND()</f>
        <v/>
      </c>
      <c r="AV163">
        <f>RAND()</f>
        <v/>
      </c>
      <c r="AW163">
        <f>RAND()</f>
        <v/>
      </c>
      <c r="AX163">
        <f>RAND()</f>
        <v/>
      </c>
      <c r="AY163">
        <f>RAND()</f>
        <v/>
      </c>
      <c r="AZ163">
        <f>RAND()</f>
        <v/>
      </c>
    </row>
    <row r="164">
      <c r="A164" s="29" t="n">
        <v>1</v>
      </c>
      <c r="B164" s="18">
        <f>(SUMPRODUCT((K24:K26&lt;=$B$6)*(L24:L26*$B$12+M24:M26*$B$10*$B$8*$B$9)/(1+2/100)^K24:K26)+L27*$B$12*1.0/(1+2/100)^$B$6)-(SUMPRODUCT((B24:B31&lt;=$B$6)*(C24:C31*$B$11+D24:D31*$B$10*$B$8*$B$9)/(1+2/100)^B24:B31)+C32*$B$11*1.0/(1+2/100)^$B$6)</f>
        <v/>
      </c>
      <c r="C164" s="18">
        <f>(SUMPRODUCT((K24:K26&lt;=$B$6)*(L24:L26*$B$12+M24:M26*$B$10*$B$8*$B$9)/(1+3/100)^K24:K26)+L27*$B$12*1.0/(1+3/100)^$B$6)-(SUMPRODUCT((B24:B31&lt;=$B$6)*(C24:C31*$B$11+D24:D31*$B$10*$B$8*$B$9)/(1+3/100)^B24:B31)+C32*$B$11*1.0/(1+3/100)^$B$6)</f>
        <v/>
      </c>
      <c r="D164" s="18">
        <f>(SUMPRODUCT((K24:K26&lt;=$B$6)*(L24:L26*$B$12+M24:M26*$B$10*$B$8*$B$9)/(1+4/100)^K24:K26)+L27*$B$12*1.0/(1+4/100)^$B$6)-(SUMPRODUCT((B24:B31&lt;=$B$6)*(C24:C31*$B$11+D24:D31*$B$10*$B$8*$B$9)/(1+4/100)^B24:B31)+C32*$B$11*1.0/(1+4/100)^$B$6)</f>
        <v/>
      </c>
      <c r="E164" s="18">
        <f>(SUMPRODUCT((K24:K26&lt;=$B$6)*(L24:L26*$B$12+M24:M26*$B$10*$B$8*$B$9)/(1+5/100)^K24:K26)+L27*$B$12*1.0/(1+5/100)^$B$6)-(SUMPRODUCT((B24:B31&lt;=$B$6)*(C24:C31*$B$11+D24:D31*$B$10*$B$8*$B$9)/(1+5/100)^B24:B31)+C32*$B$11*1.0/(1+5/100)^$B$6)</f>
        <v/>
      </c>
      <c r="F164" s="18">
        <f>(SUMPRODUCT((K24:K26&lt;=$B$6)*(L24:L26*$B$12+M24:M26*$B$10*$B$8*$B$9)/(1+6/100)^K24:K26)+L27*$B$12*1.0/(1+6/100)^$B$6)-(SUMPRODUCT((B24:B31&lt;=$B$6)*(C24:C31*$B$11+D24:D31*$B$10*$B$8*$B$9)/(1+6/100)^B24:B31)+C32*$B$11*1.0/(1+6/100)^$B$6)</f>
        <v/>
      </c>
      <c r="G164" s="18">
        <f>(SUMPRODUCT((K24:K26&lt;=$B$6)*(L24:L26*$B$12+M24:M26*$B$10*$B$8*$B$9)/(1+7/100)^K24:K26)+L27*$B$12*1.0/(1+7/100)^$B$6)-(SUMPRODUCT((B24:B31&lt;=$B$6)*(C24:C31*$B$11+D24:D31*$B$10*$B$8*$B$9)/(1+7/100)^B24:B31)+C32*$B$11*1.0/(1+7/100)^$B$6)</f>
        <v/>
      </c>
      <c r="H164" s="18">
        <f>(SUMPRODUCT((K24:K26&lt;=$B$6)*(L24:L26*$B$12+M24:M26*$B$10*$B$8*$B$9)/(1+8/100)^K24:K26)+L27*$B$12*1.0/(1+8/100)^$B$6)-(SUMPRODUCT((B24:B31&lt;=$B$6)*(C24:C31*$B$11+D24:D31*$B$10*$B$8*$B$9)/(1+8/100)^B24:B31)+C32*$B$11*1.0/(1+8/100)^$B$6)</f>
        <v/>
      </c>
      <c r="AK164" t="n">
        <v>151</v>
      </c>
      <c r="AL164">
        <f>IFERROR(IF(AU164&lt;($AM$6-$AL$6)/($AN$6-$AL$6),$AL$6+SQRT(AU164*($AN$6-$AL$6)*($AM$6-$AL$6)),$AN$6-SQRT((1-AU164)*($AN$6-$AL$6)*($AN$6-$AM$6))),$AM$6)</f>
        <v/>
      </c>
      <c r="AM164">
        <f>IFERROR(IF(AV164&lt;($AM$7-$AL$7)/($AN$7-$AL$7),$AL$7+SQRT(AV164*($AN$7-$AL$7)*($AM$7-$AL$7)),$AN$7-SQRT((1-AV164)*($AN$7-$AL$7)*($AN$7-$AM$7))),$AM$7)</f>
        <v/>
      </c>
      <c r="AN164">
        <f>IFERROR(IF(AW164&lt;($AM$8-$AL$8)/($AN$8-$AL$8),$AL$8+SQRT(AW164*($AN$8-$AL$8)*($AM$8-$AL$8)),$AN$8-SQRT((1-AW164)*($AN$8-$AL$8)*($AN$8-$AM$8))),$AM$8)</f>
        <v/>
      </c>
      <c r="AO164">
        <f>IFERROR(IF(AX164&lt;($AM$9-$AL$9)/($AN$9-$AL$9),$AL$9+SQRT(AX164*($AN$9-$AL$9)*($AM$9-$AL$9)),$AN$9-SQRT((1-AX164)*($AN$9-$AL$9)*($AN$9-$AM$9))),$AM$9)</f>
        <v/>
      </c>
      <c r="AP164">
        <f>IFERROR(IF(AY164&lt;($AM$10-$AL$10)/($AN$10-$AL$10),$AL$10+SQRT(AY164*($AN$10-$AL$10)*($AM$10-$AL$10)),$AN$10-SQRT((1-AY164)*($AN$10-$AL$10)*($AN$10-$AM$10))),$AM$10)</f>
        <v/>
      </c>
      <c r="AQ164">
        <f>IFERROR(IF(AZ164&lt;($AM$11-$AL$11)/($AN$11-$AL$11),$AL$11+SQRT(AZ164*($AN$11-$AL$11)*($AM$11-$AL$11)),$AN$11-SQRT((1-AZ164)*($AN$11-$AL$11)*($AN$11-$AM$11))),$AM$11)</f>
        <v/>
      </c>
      <c r="AR164">
        <f>SUMPRODUCT((B24:B31&lt;=$B$6)*(C24:C31*AM164+D24:D31*AO164*$B$8*AQ164)/(1+AL164/100)^B24:B31)+C32*AM164*AP164/(1+AL164/100)^$B$6</f>
        <v/>
      </c>
      <c r="AS164">
        <f>SUMPRODUCT((K24:K26&lt;=$B$6)*(L24:L26*AN164+M24:M26*AO164*$B$8*AQ164)/(1+AL164/100)^K24:K26)+L27*AN164*AP164/(1+AL164/100)^$B$6</f>
        <v/>
      </c>
      <c r="AT164">
        <f>AS164-AR164</f>
        <v/>
      </c>
      <c r="AU164">
        <f>RAND()</f>
        <v/>
      </c>
      <c r="AV164">
        <f>RAND()</f>
        <v/>
      </c>
      <c r="AW164">
        <f>RAND()</f>
        <v/>
      </c>
      <c r="AX164">
        <f>RAND()</f>
        <v/>
      </c>
      <c r="AY164">
        <f>RAND()</f>
        <v/>
      </c>
      <c r="AZ164">
        <f>RAND()</f>
        <v/>
      </c>
    </row>
    <row r="165">
      <c r="A165" s="5" t="inlineStr">
        <is>
          <t>Orange = PCC lower, blue = HMA lower. White cells are within a rounding error of a tie.</t>
        </is>
      </c>
      <c r="AK165" t="n">
        <v>152</v>
      </c>
      <c r="AL165">
        <f>IFERROR(IF(AU165&lt;($AM$6-$AL$6)/($AN$6-$AL$6),$AL$6+SQRT(AU165*($AN$6-$AL$6)*($AM$6-$AL$6)),$AN$6-SQRT((1-AU165)*($AN$6-$AL$6)*($AN$6-$AM$6))),$AM$6)</f>
        <v/>
      </c>
      <c r="AM165">
        <f>IFERROR(IF(AV165&lt;($AM$7-$AL$7)/($AN$7-$AL$7),$AL$7+SQRT(AV165*($AN$7-$AL$7)*($AM$7-$AL$7)),$AN$7-SQRT((1-AV165)*($AN$7-$AL$7)*($AN$7-$AM$7))),$AM$7)</f>
        <v/>
      </c>
      <c r="AN165">
        <f>IFERROR(IF(AW165&lt;($AM$8-$AL$8)/($AN$8-$AL$8),$AL$8+SQRT(AW165*($AN$8-$AL$8)*($AM$8-$AL$8)),$AN$8-SQRT((1-AW165)*($AN$8-$AL$8)*($AN$8-$AM$8))),$AM$8)</f>
        <v/>
      </c>
      <c r="AO165">
        <f>IFERROR(IF(AX165&lt;($AM$9-$AL$9)/($AN$9-$AL$9),$AL$9+SQRT(AX165*($AN$9-$AL$9)*($AM$9-$AL$9)),$AN$9-SQRT((1-AX165)*($AN$9-$AL$9)*($AN$9-$AM$9))),$AM$9)</f>
        <v/>
      </c>
      <c r="AP165">
        <f>IFERROR(IF(AY165&lt;($AM$10-$AL$10)/($AN$10-$AL$10),$AL$10+SQRT(AY165*($AN$10-$AL$10)*($AM$10-$AL$10)),$AN$10-SQRT((1-AY165)*($AN$10-$AL$10)*($AN$10-$AM$10))),$AM$10)</f>
        <v/>
      </c>
      <c r="AQ165">
        <f>IFERROR(IF(AZ165&lt;($AM$11-$AL$11)/($AN$11-$AL$11),$AL$11+SQRT(AZ165*($AN$11-$AL$11)*($AM$11-$AL$11)),$AN$11-SQRT((1-AZ165)*($AN$11-$AL$11)*($AN$11-$AM$11))),$AM$11)</f>
        <v/>
      </c>
      <c r="AR165">
        <f>SUMPRODUCT((B24:B31&lt;=$B$6)*(C24:C31*AM165+D24:D31*AO165*$B$8*AQ165)/(1+AL165/100)^B24:B31)+C32*AM165*AP165/(1+AL165/100)^$B$6</f>
        <v/>
      </c>
      <c r="AS165">
        <f>SUMPRODUCT((K24:K26&lt;=$B$6)*(L24:L26*AN165+M24:M26*AO165*$B$8*AQ165)/(1+AL165/100)^K24:K26)+L27*AN165*AP165/(1+AL165/100)^$B$6</f>
        <v/>
      </c>
      <c r="AT165">
        <f>AS165-AR165</f>
        <v/>
      </c>
      <c r="AU165">
        <f>RAND()</f>
        <v/>
      </c>
      <c r="AV165">
        <f>RAND()</f>
        <v/>
      </c>
      <c r="AW165">
        <f>RAND()</f>
        <v/>
      </c>
      <c r="AX165">
        <f>RAND()</f>
        <v/>
      </c>
      <c r="AY165">
        <f>RAND()</f>
        <v/>
      </c>
      <c r="AZ165">
        <f>RAND()</f>
        <v/>
      </c>
    </row>
    <row r="166">
      <c r="AK166" t="n">
        <v>153</v>
      </c>
      <c r="AL166">
        <f>IFERROR(IF(AU166&lt;($AM$6-$AL$6)/($AN$6-$AL$6),$AL$6+SQRT(AU166*($AN$6-$AL$6)*($AM$6-$AL$6)),$AN$6-SQRT((1-AU166)*($AN$6-$AL$6)*($AN$6-$AM$6))),$AM$6)</f>
        <v/>
      </c>
      <c r="AM166">
        <f>IFERROR(IF(AV166&lt;($AM$7-$AL$7)/($AN$7-$AL$7),$AL$7+SQRT(AV166*($AN$7-$AL$7)*($AM$7-$AL$7)),$AN$7-SQRT((1-AV166)*($AN$7-$AL$7)*($AN$7-$AM$7))),$AM$7)</f>
        <v/>
      </c>
      <c r="AN166">
        <f>IFERROR(IF(AW166&lt;($AM$8-$AL$8)/($AN$8-$AL$8),$AL$8+SQRT(AW166*($AN$8-$AL$8)*($AM$8-$AL$8)),$AN$8-SQRT((1-AW166)*($AN$8-$AL$8)*($AN$8-$AM$8))),$AM$8)</f>
        <v/>
      </c>
      <c r="AO166">
        <f>IFERROR(IF(AX166&lt;($AM$9-$AL$9)/($AN$9-$AL$9),$AL$9+SQRT(AX166*($AN$9-$AL$9)*($AM$9-$AL$9)),$AN$9-SQRT((1-AX166)*($AN$9-$AL$9)*($AN$9-$AM$9))),$AM$9)</f>
        <v/>
      </c>
      <c r="AP166">
        <f>IFERROR(IF(AY166&lt;($AM$10-$AL$10)/($AN$10-$AL$10),$AL$10+SQRT(AY166*($AN$10-$AL$10)*($AM$10-$AL$10)),$AN$10-SQRT((1-AY166)*($AN$10-$AL$10)*($AN$10-$AM$10))),$AM$10)</f>
        <v/>
      </c>
      <c r="AQ166">
        <f>IFERROR(IF(AZ166&lt;($AM$11-$AL$11)/($AN$11-$AL$11),$AL$11+SQRT(AZ166*($AN$11-$AL$11)*($AM$11-$AL$11)),$AN$11-SQRT((1-AZ166)*($AN$11-$AL$11)*($AN$11-$AM$11))),$AM$11)</f>
        <v/>
      </c>
      <c r="AR166">
        <f>SUMPRODUCT((B24:B31&lt;=$B$6)*(C24:C31*AM166+D24:D31*AO166*$B$8*AQ166)/(1+AL166/100)^B24:B31)+C32*AM166*AP166/(1+AL166/100)^$B$6</f>
        <v/>
      </c>
      <c r="AS166">
        <f>SUMPRODUCT((K24:K26&lt;=$B$6)*(L24:L26*AN166+M24:M26*AO166*$B$8*AQ166)/(1+AL166/100)^K24:K26)+L27*AN166*AP166/(1+AL166/100)^$B$6</f>
        <v/>
      </c>
      <c r="AT166">
        <f>AS166-AR166</f>
        <v/>
      </c>
      <c r="AU166">
        <f>RAND()</f>
        <v/>
      </c>
      <c r="AV166">
        <f>RAND()</f>
        <v/>
      </c>
      <c r="AW166">
        <f>RAND()</f>
        <v/>
      </c>
      <c r="AX166">
        <f>RAND()</f>
        <v/>
      </c>
      <c r="AY166">
        <f>RAND()</f>
        <v/>
      </c>
      <c r="AZ166">
        <f>RAND()</f>
        <v/>
      </c>
    </row>
    <row r="167">
      <c r="AK167" t="n">
        <v>154</v>
      </c>
      <c r="AL167">
        <f>IFERROR(IF(AU167&lt;($AM$6-$AL$6)/($AN$6-$AL$6),$AL$6+SQRT(AU167*($AN$6-$AL$6)*($AM$6-$AL$6)),$AN$6-SQRT((1-AU167)*($AN$6-$AL$6)*($AN$6-$AM$6))),$AM$6)</f>
        <v/>
      </c>
      <c r="AM167">
        <f>IFERROR(IF(AV167&lt;($AM$7-$AL$7)/($AN$7-$AL$7),$AL$7+SQRT(AV167*($AN$7-$AL$7)*($AM$7-$AL$7)),$AN$7-SQRT((1-AV167)*($AN$7-$AL$7)*($AN$7-$AM$7))),$AM$7)</f>
        <v/>
      </c>
      <c r="AN167">
        <f>IFERROR(IF(AW167&lt;($AM$8-$AL$8)/($AN$8-$AL$8),$AL$8+SQRT(AW167*($AN$8-$AL$8)*($AM$8-$AL$8)),$AN$8-SQRT((1-AW167)*($AN$8-$AL$8)*($AN$8-$AM$8))),$AM$8)</f>
        <v/>
      </c>
      <c r="AO167">
        <f>IFERROR(IF(AX167&lt;($AM$9-$AL$9)/($AN$9-$AL$9),$AL$9+SQRT(AX167*($AN$9-$AL$9)*($AM$9-$AL$9)),$AN$9-SQRT((1-AX167)*($AN$9-$AL$9)*($AN$9-$AM$9))),$AM$9)</f>
        <v/>
      </c>
      <c r="AP167">
        <f>IFERROR(IF(AY167&lt;($AM$10-$AL$10)/($AN$10-$AL$10),$AL$10+SQRT(AY167*($AN$10-$AL$10)*($AM$10-$AL$10)),$AN$10-SQRT((1-AY167)*($AN$10-$AL$10)*($AN$10-$AM$10))),$AM$10)</f>
        <v/>
      </c>
      <c r="AQ167">
        <f>IFERROR(IF(AZ167&lt;($AM$11-$AL$11)/($AN$11-$AL$11),$AL$11+SQRT(AZ167*($AN$11-$AL$11)*($AM$11-$AL$11)),$AN$11-SQRT((1-AZ167)*($AN$11-$AL$11)*($AN$11-$AM$11))),$AM$11)</f>
        <v/>
      </c>
      <c r="AR167">
        <f>SUMPRODUCT((B24:B31&lt;=$B$6)*(C24:C31*AM167+D24:D31*AO167*$B$8*AQ167)/(1+AL167/100)^B24:B31)+C32*AM167*AP167/(1+AL167/100)^$B$6</f>
        <v/>
      </c>
      <c r="AS167">
        <f>SUMPRODUCT((K24:K26&lt;=$B$6)*(L24:L26*AN167+M24:M26*AO167*$B$8*AQ167)/(1+AL167/100)^K24:K26)+L27*AN167*AP167/(1+AL167/100)^$B$6</f>
        <v/>
      </c>
      <c r="AT167">
        <f>AS167-AR167</f>
        <v/>
      </c>
      <c r="AU167">
        <f>RAND()</f>
        <v/>
      </c>
      <c r="AV167">
        <f>RAND()</f>
        <v/>
      </c>
      <c r="AW167">
        <f>RAND()</f>
        <v/>
      </c>
      <c r="AX167">
        <f>RAND()</f>
        <v/>
      </c>
      <c r="AY167">
        <f>RAND()</f>
        <v/>
      </c>
      <c r="AZ167">
        <f>RAND()</f>
        <v/>
      </c>
    </row>
    <row r="168">
      <c r="A168" s="9" t="inlineStr">
        <is>
          <t>PW by category (chart data)</t>
        </is>
      </c>
      <c r="AK168" t="n">
        <v>155</v>
      </c>
      <c r="AL168">
        <f>IFERROR(IF(AU168&lt;($AM$6-$AL$6)/($AN$6-$AL$6),$AL$6+SQRT(AU168*($AN$6-$AL$6)*($AM$6-$AL$6)),$AN$6-SQRT((1-AU168)*($AN$6-$AL$6)*($AN$6-$AM$6))),$AM$6)</f>
        <v/>
      </c>
      <c r="AM168">
        <f>IFERROR(IF(AV168&lt;($AM$7-$AL$7)/($AN$7-$AL$7),$AL$7+SQRT(AV168*($AN$7-$AL$7)*($AM$7-$AL$7)),$AN$7-SQRT((1-AV168)*($AN$7-$AL$7)*($AN$7-$AM$7))),$AM$7)</f>
        <v/>
      </c>
      <c r="AN168">
        <f>IFERROR(IF(AW168&lt;($AM$8-$AL$8)/($AN$8-$AL$8),$AL$8+SQRT(AW168*($AN$8-$AL$8)*($AM$8-$AL$8)),$AN$8-SQRT((1-AW168)*($AN$8-$AL$8)*($AN$8-$AM$8))),$AM$8)</f>
        <v/>
      </c>
      <c r="AO168">
        <f>IFERROR(IF(AX168&lt;($AM$9-$AL$9)/($AN$9-$AL$9),$AL$9+SQRT(AX168*($AN$9-$AL$9)*($AM$9-$AL$9)),$AN$9-SQRT((1-AX168)*($AN$9-$AL$9)*($AN$9-$AM$9))),$AM$9)</f>
        <v/>
      </c>
      <c r="AP168">
        <f>IFERROR(IF(AY168&lt;($AM$10-$AL$10)/($AN$10-$AL$10),$AL$10+SQRT(AY168*($AN$10-$AL$10)*($AM$10-$AL$10)),$AN$10-SQRT((1-AY168)*($AN$10-$AL$10)*($AN$10-$AM$10))),$AM$10)</f>
        <v/>
      </c>
      <c r="AQ168">
        <f>IFERROR(IF(AZ168&lt;($AM$11-$AL$11)/($AN$11-$AL$11),$AL$11+SQRT(AZ168*($AN$11-$AL$11)*($AM$11-$AL$11)),$AN$11-SQRT((1-AZ168)*($AN$11-$AL$11)*($AN$11-$AM$11))),$AM$11)</f>
        <v/>
      </c>
      <c r="AR168">
        <f>SUMPRODUCT((B24:B31&lt;=$B$6)*(C24:C31*AM168+D24:D31*AO168*$B$8*AQ168)/(1+AL168/100)^B24:B31)+C32*AM168*AP168/(1+AL168/100)^$B$6</f>
        <v/>
      </c>
      <c r="AS168">
        <f>SUMPRODUCT((K24:K26&lt;=$B$6)*(L24:L26*AN168+M24:M26*AO168*$B$8*AQ168)/(1+AL168/100)^K24:K26)+L27*AN168*AP168/(1+AL168/100)^$B$6</f>
        <v/>
      </c>
      <c r="AT168">
        <f>AS168-AR168</f>
        <v/>
      </c>
      <c r="AU168">
        <f>RAND()</f>
        <v/>
      </c>
      <c r="AV168">
        <f>RAND()</f>
        <v/>
      </c>
      <c r="AW168">
        <f>RAND()</f>
        <v/>
      </c>
      <c r="AX168">
        <f>RAND()</f>
        <v/>
      </c>
      <c r="AY168">
        <f>RAND()</f>
        <v/>
      </c>
      <c r="AZ168">
        <f>RAND()</f>
        <v/>
      </c>
    </row>
    <row r="169">
      <c r="A169" s="6" t="inlineStr">
        <is>
          <t>Alternative</t>
        </is>
      </c>
      <c r="B169" s="6" t="inlineStr">
        <is>
          <t>Initial</t>
        </is>
      </c>
      <c r="C169" s="6" t="inlineStr">
        <is>
          <t>Maintenance</t>
        </is>
      </c>
      <c r="D169" s="6" t="inlineStr">
        <is>
          <t>Rehabilitation</t>
        </is>
      </c>
      <c r="E169" s="6" t="inlineStr">
        <is>
          <t>Lost revenue</t>
        </is>
      </c>
      <c r="F169" s="6" t="inlineStr">
        <is>
          <t>Salvage</t>
        </is>
      </c>
      <c r="AK169" t="n">
        <v>156</v>
      </c>
      <c r="AL169">
        <f>IFERROR(IF(AU169&lt;($AM$6-$AL$6)/($AN$6-$AL$6),$AL$6+SQRT(AU169*($AN$6-$AL$6)*($AM$6-$AL$6)),$AN$6-SQRT((1-AU169)*($AN$6-$AL$6)*($AN$6-$AM$6))),$AM$6)</f>
        <v/>
      </c>
      <c r="AM169">
        <f>IFERROR(IF(AV169&lt;($AM$7-$AL$7)/($AN$7-$AL$7),$AL$7+SQRT(AV169*($AN$7-$AL$7)*($AM$7-$AL$7)),$AN$7-SQRT((1-AV169)*($AN$7-$AL$7)*($AN$7-$AM$7))),$AM$7)</f>
        <v/>
      </c>
      <c r="AN169">
        <f>IFERROR(IF(AW169&lt;($AM$8-$AL$8)/($AN$8-$AL$8),$AL$8+SQRT(AW169*($AN$8-$AL$8)*($AM$8-$AL$8)),$AN$8-SQRT((1-AW169)*($AN$8-$AL$8)*($AN$8-$AM$8))),$AM$8)</f>
        <v/>
      </c>
      <c r="AO169">
        <f>IFERROR(IF(AX169&lt;($AM$9-$AL$9)/($AN$9-$AL$9),$AL$9+SQRT(AX169*($AN$9-$AL$9)*($AM$9-$AL$9)),$AN$9-SQRT((1-AX169)*($AN$9-$AL$9)*($AN$9-$AM$9))),$AM$9)</f>
        <v/>
      </c>
      <c r="AP169">
        <f>IFERROR(IF(AY169&lt;($AM$10-$AL$10)/($AN$10-$AL$10),$AL$10+SQRT(AY169*($AN$10-$AL$10)*($AM$10-$AL$10)),$AN$10-SQRT((1-AY169)*($AN$10-$AL$10)*($AN$10-$AM$10))),$AM$10)</f>
        <v/>
      </c>
      <c r="AQ169">
        <f>IFERROR(IF(AZ169&lt;($AM$11-$AL$11)/($AN$11-$AL$11),$AL$11+SQRT(AZ169*($AN$11-$AL$11)*($AM$11-$AL$11)),$AN$11-SQRT((1-AZ169)*($AN$11-$AL$11)*($AN$11-$AM$11))),$AM$11)</f>
        <v/>
      </c>
      <c r="AR169">
        <f>SUMPRODUCT((B24:B31&lt;=$B$6)*(C24:C31*AM169+D24:D31*AO169*$B$8*AQ169)/(1+AL169/100)^B24:B31)+C32*AM169*AP169/(1+AL169/100)^$B$6</f>
        <v/>
      </c>
      <c r="AS169">
        <f>SUMPRODUCT((K24:K26&lt;=$B$6)*(L24:L26*AN169+M24:M26*AO169*$B$8*AQ169)/(1+AL169/100)^K24:K26)+L27*AN169*AP169/(1+AL169/100)^$B$6</f>
        <v/>
      </c>
      <c r="AT169">
        <f>AS169-AR169</f>
        <v/>
      </c>
      <c r="AU169">
        <f>RAND()</f>
        <v/>
      </c>
      <c r="AV169">
        <f>RAND()</f>
        <v/>
      </c>
      <c r="AW169">
        <f>RAND()</f>
        <v/>
      </c>
      <c r="AX169">
        <f>RAND()</f>
        <v/>
      </c>
      <c r="AY169">
        <f>RAND()</f>
        <v/>
      </c>
      <c r="AZ169">
        <f>RAND()</f>
        <v/>
      </c>
    </row>
    <row r="170">
      <c r="A170" t="inlineStr">
        <is>
          <t>HMA</t>
        </is>
      </c>
      <c r="B170" s="14">
        <f>B39</f>
        <v/>
      </c>
      <c r="C170" s="14">
        <f>B40</f>
        <v/>
      </c>
      <c r="D170" s="14">
        <f>B41</f>
        <v/>
      </c>
      <c r="E170" s="14">
        <f>B42</f>
        <v/>
      </c>
      <c r="F170" s="14">
        <f>B43</f>
        <v/>
      </c>
      <c r="AK170" t="n">
        <v>157</v>
      </c>
      <c r="AL170">
        <f>IFERROR(IF(AU170&lt;($AM$6-$AL$6)/($AN$6-$AL$6),$AL$6+SQRT(AU170*($AN$6-$AL$6)*($AM$6-$AL$6)),$AN$6-SQRT((1-AU170)*($AN$6-$AL$6)*($AN$6-$AM$6))),$AM$6)</f>
        <v/>
      </c>
      <c r="AM170">
        <f>IFERROR(IF(AV170&lt;($AM$7-$AL$7)/($AN$7-$AL$7),$AL$7+SQRT(AV170*($AN$7-$AL$7)*($AM$7-$AL$7)),$AN$7-SQRT((1-AV170)*($AN$7-$AL$7)*($AN$7-$AM$7))),$AM$7)</f>
        <v/>
      </c>
      <c r="AN170">
        <f>IFERROR(IF(AW170&lt;($AM$8-$AL$8)/($AN$8-$AL$8),$AL$8+SQRT(AW170*($AN$8-$AL$8)*($AM$8-$AL$8)),$AN$8-SQRT((1-AW170)*($AN$8-$AL$8)*($AN$8-$AM$8))),$AM$8)</f>
        <v/>
      </c>
      <c r="AO170">
        <f>IFERROR(IF(AX170&lt;($AM$9-$AL$9)/($AN$9-$AL$9),$AL$9+SQRT(AX170*($AN$9-$AL$9)*($AM$9-$AL$9)),$AN$9-SQRT((1-AX170)*($AN$9-$AL$9)*($AN$9-$AM$9))),$AM$9)</f>
        <v/>
      </c>
      <c r="AP170">
        <f>IFERROR(IF(AY170&lt;($AM$10-$AL$10)/($AN$10-$AL$10),$AL$10+SQRT(AY170*($AN$10-$AL$10)*($AM$10-$AL$10)),$AN$10-SQRT((1-AY170)*($AN$10-$AL$10)*($AN$10-$AM$10))),$AM$10)</f>
        <v/>
      </c>
      <c r="AQ170">
        <f>IFERROR(IF(AZ170&lt;($AM$11-$AL$11)/($AN$11-$AL$11),$AL$11+SQRT(AZ170*($AN$11-$AL$11)*($AM$11-$AL$11)),$AN$11-SQRT((1-AZ170)*($AN$11-$AL$11)*($AN$11-$AM$11))),$AM$11)</f>
        <v/>
      </c>
      <c r="AR170">
        <f>SUMPRODUCT((B24:B31&lt;=$B$6)*(C24:C31*AM170+D24:D31*AO170*$B$8*AQ170)/(1+AL170/100)^B24:B31)+C32*AM170*AP170/(1+AL170/100)^$B$6</f>
        <v/>
      </c>
      <c r="AS170">
        <f>SUMPRODUCT((K24:K26&lt;=$B$6)*(L24:L26*AN170+M24:M26*AO170*$B$8*AQ170)/(1+AL170/100)^K24:K26)+L27*AN170*AP170/(1+AL170/100)^$B$6</f>
        <v/>
      </c>
      <c r="AT170">
        <f>AS170-AR170</f>
        <v/>
      </c>
      <c r="AU170">
        <f>RAND()</f>
        <v/>
      </c>
      <c r="AV170">
        <f>RAND()</f>
        <v/>
      </c>
      <c r="AW170">
        <f>RAND()</f>
        <v/>
      </c>
      <c r="AX170">
        <f>RAND()</f>
        <v/>
      </c>
      <c r="AY170">
        <f>RAND()</f>
        <v/>
      </c>
      <c r="AZ170">
        <f>RAND()</f>
        <v/>
      </c>
    </row>
    <row r="171">
      <c r="A171" t="inlineStr">
        <is>
          <t>PCC</t>
        </is>
      </c>
      <c r="B171" s="14">
        <f>C39</f>
        <v/>
      </c>
      <c r="C171" s="14">
        <f>C40</f>
        <v/>
      </c>
      <c r="D171" s="14">
        <f>C41</f>
        <v/>
      </c>
      <c r="E171" s="14">
        <f>C42</f>
        <v/>
      </c>
      <c r="F171" s="14">
        <f>C43</f>
        <v/>
      </c>
      <c r="AK171" t="n">
        <v>158</v>
      </c>
      <c r="AL171">
        <f>IFERROR(IF(AU171&lt;($AM$6-$AL$6)/($AN$6-$AL$6),$AL$6+SQRT(AU171*($AN$6-$AL$6)*($AM$6-$AL$6)),$AN$6-SQRT((1-AU171)*($AN$6-$AL$6)*($AN$6-$AM$6))),$AM$6)</f>
        <v/>
      </c>
      <c r="AM171">
        <f>IFERROR(IF(AV171&lt;($AM$7-$AL$7)/($AN$7-$AL$7),$AL$7+SQRT(AV171*($AN$7-$AL$7)*($AM$7-$AL$7)),$AN$7-SQRT((1-AV171)*($AN$7-$AL$7)*($AN$7-$AM$7))),$AM$7)</f>
        <v/>
      </c>
      <c r="AN171">
        <f>IFERROR(IF(AW171&lt;($AM$8-$AL$8)/($AN$8-$AL$8),$AL$8+SQRT(AW171*($AN$8-$AL$8)*($AM$8-$AL$8)),$AN$8-SQRT((1-AW171)*($AN$8-$AL$8)*($AN$8-$AM$8))),$AM$8)</f>
        <v/>
      </c>
      <c r="AO171">
        <f>IFERROR(IF(AX171&lt;($AM$9-$AL$9)/($AN$9-$AL$9),$AL$9+SQRT(AX171*($AN$9-$AL$9)*($AM$9-$AL$9)),$AN$9-SQRT((1-AX171)*($AN$9-$AL$9)*($AN$9-$AM$9))),$AM$9)</f>
        <v/>
      </c>
      <c r="AP171">
        <f>IFERROR(IF(AY171&lt;($AM$10-$AL$10)/($AN$10-$AL$10),$AL$10+SQRT(AY171*($AN$10-$AL$10)*($AM$10-$AL$10)),$AN$10-SQRT((1-AY171)*($AN$10-$AL$10)*($AN$10-$AM$10))),$AM$10)</f>
        <v/>
      </c>
      <c r="AQ171">
        <f>IFERROR(IF(AZ171&lt;($AM$11-$AL$11)/($AN$11-$AL$11),$AL$11+SQRT(AZ171*($AN$11-$AL$11)*($AM$11-$AL$11)),$AN$11-SQRT((1-AZ171)*($AN$11-$AL$11)*($AN$11-$AM$11))),$AM$11)</f>
        <v/>
      </c>
      <c r="AR171">
        <f>SUMPRODUCT((B24:B31&lt;=$B$6)*(C24:C31*AM171+D24:D31*AO171*$B$8*AQ171)/(1+AL171/100)^B24:B31)+C32*AM171*AP171/(1+AL171/100)^$B$6</f>
        <v/>
      </c>
      <c r="AS171">
        <f>SUMPRODUCT((K24:K26&lt;=$B$6)*(L24:L26*AN171+M24:M26*AO171*$B$8*AQ171)/(1+AL171/100)^K24:K26)+L27*AN171*AP171/(1+AL171/100)^$B$6</f>
        <v/>
      </c>
      <c r="AT171">
        <f>AS171-AR171</f>
        <v/>
      </c>
      <c r="AU171">
        <f>RAND()</f>
        <v/>
      </c>
      <c r="AV171">
        <f>RAND()</f>
        <v/>
      </c>
      <c r="AW171">
        <f>RAND()</f>
        <v/>
      </c>
      <c r="AX171">
        <f>RAND()</f>
        <v/>
      </c>
      <c r="AY171">
        <f>RAND()</f>
        <v/>
      </c>
      <c r="AZ171">
        <f>RAND()</f>
        <v/>
      </c>
    </row>
    <row r="172">
      <c r="AK172" t="n">
        <v>159</v>
      </c>
      <c r="AL172">
        <f>IFERROR(IF(AU172&lt;($AM$6-$AL$6)/($AN$6-$AL$6),$AL$6+SQRT(AU172*($AN$6-$AL$6)*($AM$6-$AL$6)),$AN$6-SQRT((1-AU172)*($AN$6-$AL$6)*($AN$6-$AM$6))),$AM$6)</f>
        <v/>
      </c>
      <c r="AM172">
        <f>IFERROR(IF(AV172&lt;($AM$7-$AL$7)/($AN$7-$AL$7),$AL$7+SQRT(AV172*($AN$7-$AL$7)*($AM$7-$AL$7)),$AN$7-SQRT((1-AV172)*($AN$7-$AL$7)*($AN$7-$AM$7))),$AM$7)</f>
        <v/>
      </c>
      <c r="AN172">
        <f>IFERROR(IF(AW172&lt;($AM$8-$AL$8)/($AN$8-$AL$8),$AL$8+SQRT(AW172*($AN$8-$AL$8)*($AM$8-$AL$8)),$AN$8-SQRT((1-AW172)*($AN$8-$AL$8)*($AN$8-$AM$8))),$AM$8)</f>
        <v/>
      </c>
      <c r="AO172">
        <f>IFERROR(IF(AX172&lt;($AM$9-$AL$9)/($AN$9-$AL$9),$AL$9+SQRT(AX172*($AN$9-$AL$9)*($AM$9-$AL$9)),$AN$9-SQRT((1-AX172)*($AN$9-$AL$9)*($AN$9-$AM$9))),$AM$9)</f>
        <v/>
      </c>
      <c r="AP172">
        <f>IFERROR(IF(AY172&lt;($AM$10-$AL$10)/($AN$10-$AL$10),$AL$10+SQRT(AY172*($AN$10-$AL$10)*($AM$10-$AL$10)),$AN$10-SQRT((1-AY172)*($AN$10-$AL$10)*($AN$10-$AM$10))),$AM$10)</f>
        <v/>
      </c>
      <c r="AQ172">
        <f>IFERROR(IF(AZ172&lt;($AM$11-$AL$11)/($AN$11-$AL$11),$AL$11+SQRT(AZ172*($AN$11-$AL$11)*($AM$11-$AL$11)),$AN$11-SQRT((1-AZ172)*($AN$11-$AL$11)*($AN$11-$AM$11))),$AM$11)</f>
        <v/>
      </c>
      <c r="AR172">
        <f>SUMPRODUCT((B24:B31&lt;=$B$6)*(C24:C31*AM172+D24:D31*AO172*$B$8*AQ172)/(1+AL172/100)^B24:B31)+C32*AM172*AP172/(1+AL172/100)^$B$6</f>
        <v/>
      </c>
      <c r="AS172">
        <f>SUMPRODUCT((K24:K26&lt;=$B$6)*(L24:L26*AN172+M24:M26*AO172*$B$8*AQ172)/(1+AL172/100)^K24:K26)+L27*AN172*AP172/(1+AL172/100)^$B$6</f>
        <v/>
      </c>
      <c r="AT172">
        <f>AS172-AR172</f>
        <v/>
      </c>
      <c r="AU172">
        <f>RAND()</f>
        <v/>
      </c>
      <c r="AV172">
        <f>RAND()</f>
        <v/>
      </c>
      <c r="AW172">
        <f>RAND()</f>
        <v/>
      </c>
      <c r="AX172">
        <f>RAND()</f>
        <v/>
      </c>
      <c r="AY172">
        <f>RAND()</f>
        <v/>
      </c>
      <c r="AZ172">
        <f>RAND()</f>
        <v/>
      </c>
    </row>
    <row r="173">
      <c r="A173" s="9" t="inlineStr">
        <is>
          <t>Closure events (chart data)</t>
        </is>
      </c>
      <c r="AK173" t="n">
        <v>160</v>
      </c>
      <c r="AL173">
        <f>IFERROR(IF(AU173&lt;($AM$6-$AL$6)/($AN$6-$AL$6),$AL$6+SQRT(AU173*($AN$6-$AL$6)*($AM$6-$AL$6)),$AN$6-SQRT((1-AU173)*($AN$6-$AL$6)*($AN$6-$AM$6))),$AM$6)</f>
        <v/>
      </c>
      <c r="AM173">
        <f>IFERROR(IF(AV173&lt;($AM$7-$AL$7)/($AN$7-$AL$7),$AL$7+SQRT(AV173*($AN$7-$AL$7)*($AM$7-$AL$7)),$AN$7-SQRT((1-AV173)*($AN$7-$AL$7)*($AN$7-$AM$7))),$AM$7)</f>
        <v/>
      </c>
      <c r="AN173">
        <f>IFERROR(IF(AW173&lt;($AM$8-$AL$8)/($AN$8-$AL$8),$AL$8+SQRT(AW173*($AN$8-$AL$8)*($AM$8-$AL$8)),$AN$8-SQRT((1-AW173)*($AN$8-$AL$8)*($AN$8-$AM$8))),$AM$8)</f>
        <v/>
      </c>
      <c r="AO173">
        <f>IFERROR(IF(AX173&lt;($AM$9-$AL$9)/($AN$9-$AL$9),$AL$9+SQRT(AX173*($AN$9-$AL$9)*($AM$9-$AL$9)),$AN$9-SQRT((1-AX173)*($AN$9-$AL$9)*($AN$9-$AM$9))),$AM$9)</f>
        <v/>
      </c>
      <c r="AP173">
        <f>IFERROR(IF(AY173&lt;($AM$10-$AL$10)/($AN$10-$AL$10),$AL$10+SQRT(AY173*($AN$10-$AL$10)*($AM$10-$AL$10)),$AN$10-SQRT((1-AY173)*($AN$10-$AL$10)*($AN$10-$AM$10))),$AM$10)</f>
        <v/>
      </c>
      <c r="AQ173">
        <f>IFERROR(IF(AZ173&lt;($AM$11-$AL$11)/($AN$11-$AL$11),$AL$11+SQRT(AZ173*($AN$11-$AL$11)*($AM$11-$AL$11)),$AN$11-SQRT((1-AZ173)*($AN$11-$AL$11)*($AN$11-$AM$11))),$AM$11)</f>
        <v/>
      </c>
      <c r="AR173">
        <f>SUMPRODUCT((B24:B31&lt;=$B$6)*(C24:C31*AM173+D24:D31*AO173*$B$8*AQ173)/(1+AL173/100)^B24:B31)+C32*AM173*AP173/(1+AL173/100)^$B$6</f>
        <v/>
      </c>
      <c r="AS173">
        <f>SUMPRODUCT((K24:K26&lt;=$B$6)*(L24:L26*AN173+M24:M26*AO173*$B$8*AQ173)/(1+AL173/100)^K24:K26)+L27*AN173*AP173/(1+AL173/100)^$B$6</f>
        <v/>
      </c>
      <c r="AT173">
        <f>AS173-AR173</f>
        <v/>
      </c>
      <c r="AU173">
        <f>RAND()</f>
        <v/>
      </c>
      <c r="AV173">
        <f>RAND()</f>
        <v/>
      </c>
      <c r="AW173">
        <f>RAND()</f>
        <v/>
      </c>
      <c r="AX173">
        <f>RAND()</f>
        <v/>
      </c>
      <c r="AY173">
        <f>RAND()</f>
        <v/>
      </c>
      <c r="AZ173">
        <f>RAND()</f>
        <v/>
      </c>
    </row>
    <row r="174">
      <c r="A174" s="6" t="inlineStr">
        <is>
          <t>Activity</t>
        </is>
      </c>
      <c r="B174" s="6" t="inlineStr">
        <is>
          <t>Calendar year</t>
        </is>
      </c>
      <c r="C174" s="6" t="inlineStr">
        <is>
          <t>Lane</t>
        </is>
      </c>
      <c r="D174" s="6" t="inlineStr">
        <is>
          <t>Days</t>
        </is>
      </c>
      <c r="E174" s="6" t="inlineStr">
        <is>
          <t>Lost revenue</t>
        </is>
      </c>
      <c r="AK174" t="n">
        <v>161</v>
      </c>
      <c r="AL174">
        <f>IFERROR(IF(AU174&lt;($AM$6-$AL$6)/($AN$6-$AL$6),$AL$6+SQRT(AU174*($AN$6-$AL$6)*($AM$6-$AL$6)),$AN$6-SQRT((1-AU174)*($AN$6-$AL$6)*($AN$6-$AM$6))),$AM$6)</f>
        <v/>
      </c>
      <c r="AM174">
        <f>IFERROR(IF(AV174&lt;($AM$7-$AL$7)/($AN$7-$AL$7),$AL$7+SQRT(AV174*($AN$7-$AL$7)*($AM$7-$AL$7)),$AN$7-SQRT((1-AV174)*($AN$7-$AL$7)*($AN$7-$AM$7))),$AM$7)</f>
        <v/>
      </c>
      <c r="AN174">
        <f>IFERROR(IF(AW174&lt;($AM$8-$AL$8)/($AN$8-$AL$8),$AL$8+SQRT(AW174*($AN$8-$AL$8)*($AM$8-$AL$8)),$AN$8-SQRT((1-AW174)*($AN$8-$AL$8)*($AN$8-$AM$8))),$AM$8)</f>
        <v/>
      </c>
      <c r="AO174">
        <f>IFERROR(IF(AX174&lt;($AM$9-$AL$9)/($AN$9-$AL$9),$AL$9+SQRT(AX174*($AN$9-$AL$9)*($AM$9-$AL$9)),$AN$9-SQRT((1-AX174)*($AN$9-$AL$9)*($AN$9-$AM$9))),$AM$9)</f>
        <v/>
      </c>
      <c r="AP174">
        <f>IFERROR(IF(AY174&lt;($AM$10-$AL$10)/($AN$10-$AL$10),$AL$10+SQRT(AY174*($AN$10-$AL$10)*($AM$10-$AL$10)),$AN$10-SQRT((1-AY174)*($AN$10-$AL$10)*($AN$10-$AM$10))),$AM$10)</f>
        <v/>
      </c>
      <c r="AQ174">
        <f>IFERROR(IF(AZ174&lt;($AM$11-$AL$11)/($AN$11-$AL$11),$AL$11+SQRT(AZ174*($AN$11-$AL$11)*($AM$11-$AL$11)),$AN$11-SQRT((1-AZ174)*($AN$11-$AL$11)*($AN$11-$AM$11))),$AM$11)</f>
        <v/>
      </c>
      <c r="AR174">
        <f>SUMPRODUCT((B24:B31&lt;=$B$6)*(C24:C31*AM174+D24:D31*AO174*$B$8*AQ174)/(1+AL174/100)^B24:B31)+C32*AM174*AP174/(1+AL174/100)^$B$6</f>
        <v/>
      </c>
      <c r="AS174">
        <f>SUMPRODUCT((K24:K26&lt;=$B$6)*(L24:L26*AN174+M24:M26*AO174*$B$8*AQ174)/(1+AL174/100)^K24:K26)+L27*AN174*AP174/(1+AL174/100)^$B$6</f>
        <v/>
      </c>
      <c r="AT174">
        <f>AS174-AR174</f>
        <v/>
      </c>
      <c r="AU174">
        <f>RAND()</f>
        <v/>
      </c>
      <c r="AV174">
        <f>RAND()</f>
        <v/>
      </c>
      <c r="AW174">
        <f>RAND()</f>
        <v/>
      </c>
      <c r="AX174">
        <f>RAND()</f>
        <v/>
      </c>
      <c r="AY174">
        <f>RAND()</f>
        <v/>
      </c>
      <c r="AZ174">
        <f>RAND()</f>
        <v/>
      </c>
    </row>
    <row r="175">
      <c r="A175" t="inlineStr">
        <is>
          <t>HMA: Maintenance 1</t>
        </is>
      </c>
      <c r="B175">
        <f>IF(B25&lt;=$B$6,$B$7+B25,NA())</f>
        <v/>
      </c>
      <c r="C175" t="n">
        <v>1</v>
      </c>
      <c r="D175">
        <f>D25*$B$10</f>
        <v/>
      </c>
      <c r="E175" s="14">
        <f>F25</f>
        <v/>
      </c>
      <c r="AK175" t="n">
        <v>162</v>
      </c>
      <c r="AL175">
        <f>IFERROR(IF(AU175&lt;($AM$6-$AL$6)/($AN$6-$AL$6),$AL$6+SQRT(AU175*($AN$6-$AL$6)*($AM$6-$AL$6)),$AN$6-SQRT((1-AU175)*($AN$6-$AL$6)*($AN$6-$AM$6))),$AM$6)</f>
        <v/>
      </c>
      <c r="AM175">
        <f>IFERROR(IF(AV175&lt;($AM$7-$AL$7)/($AN$7-$AL$7),$AL$7+SQRT(AV175*($AN$7-$AL$7)*($AM$7-$AL$7)),$AN$7-SQRT((1-AV175)*($AN$7-$AL$7)*($AN$7-$AM$7))),$AM$7)</f>
        <v/>
      </c>
      <c r="AN175">
        <f>IFERROR(IF(AW175&lt;($AM$8-$AL$8)/($AN$8-$AL$8),$AL$8+SQRT(AW175*($AN$8-$AL$8)*($AM$8-$AL$8)),$AN$8-SQRT((1-AW175)*($AN$8-$AL$8)*($AN$8-$AM$8))),$AM$8)</f>
        <v/>
      </c>
      <c r="AO175">
        <f>IFERROR(IF(AX175&lt;($AM$9-$AL$9)/($AN$9-$AL$9),$AL$9+SQRT(AX175*($AN$9-$AL$9)*($AM$9-$AL$9)),$AN$9-SQRT((1-AX175)*($AN$9-$AL$9)*($AN$9-$AM$9))),$AM$9)</f>
        <v/>
      </c>
      <c r="AP175">
        <f>IFERROR(IF(AY175&lt;($AM$10-$AL$10)/($AN$10-$AL$10),$AL$10+SQRT(AY175*($AN$10-$AL$10)*($AM$10-$AL$10)),$AN$10-SQRT((1-AY175)*($AN$10-$AL$10)*($AN$10-$AM$10))),$AM$10)</f>
        <v/>
      </c>
      <c r="AQ175">
        <f>IFERROR(IF(AZ175&lt;($AM$11-$AL$11)/($AN$11-$AL$11),$AL$11+SQRT(AZ175*($AN$11-$AL$11)*($AM$11-$AL$11)),$AN$11-SQRT((1-AZ175)*($AN$11-$AL$11)*($AN$11-$AM$11))),$AM$11)</f>
        <v/>
      </c>
      <c r="AR175">
        <f>SUMPRODUCT((B24:B31&lt;=$B$6)*(C24:C31*AM175+D24:D31*AO175*$B$8*AQ175)/(1+AL175/100)^B24:B31)+C32*AM175*AP175/(1+AL175/100)^$B$6</f>
        <v/>
      </c>
      <c r="AS175">
        <f>SUMPRODUCT((K24:K26&lt;=$B$6)*(L24:L26*AN175+M24:M26*AO175*$B$8*AQ175)/(1+AL175/100)^K24:K26)+L27*AN175*AP175/(1+AL175/100)^$B$6</f>
        <v/>
      </c>
      <c r="AT175">
        <f>AS175-AR175</f>
        <v/>
      </c>
      <c r="AU175">
        <f>RAND()</f>
        <v/>
      </c>
      <c r="AV175">
        <f>RAND()</f>
        <v/>
      </c>
      <c r="AW175">
        <f>RAND()</f>
        <v/>
      </c>
      <c r="AX175">
        <f>RAND()</f>
        <v/>
      </c>
      <c r="AY175">
        <f>RAND()</f>
        <v/>
      </c>
      <c r="AZ175">
        <f>RAND()</f>
        <v/>
      </c>
    </row>
    <row r="176">
      <c r="A176" t="inlineStr">
        <is>
          <t>HMA: Maintenance 2</t>
        </is>
      </c>
      <c r="B176">
        <f>IF(B26&lt;=$B$6,$B$7+B26,NA())</f>
        <v/>
      </c>
      <c r="C176" t="n">
        <v>1</v>
      </c>
      <c r="D176">
        <f>D26*$B$10</f>
        <v/>
      </c>
      <c r="E176" s="14">
        <f>F26</f>
        <v/>
      </c>
      <c r="AK176" t="n">
        <v>163</v>
      </c>
      <c r="AL176">
        <f>IFERROR(IF(AU176&lt;($AM$6-$AL$6)/($AN$6-$AL$6),$AL$6+SQRT(AU176*($AN$6-$AL$6)*($AM$6-$AL$6)),$AN$6-SQRT((1-AU176)*($AN$6-$AL$6)*($AN$6-$AM$6))),$AM$6)</f>
        <v/>
      </c>
      <c r="AM176">
        <f>IFERROR(IF(AV176&lt;($AM$7-$AL$7)/($AN$7-$AL$7),$AL$7+SQRT(AV176*($AN$7-$AL$7)*($AM$7-$AL$7)),$AN$7-SQRT((1-AV176)*($AN$7-$AL$7)*($AN$7-$AM$7))),$AM$7)</f>
        <v/>
      </c>
      <c r="AN176">
        <f>IFERROR(IF(AW176&lt;($AM$8-$AL$8)/($AN$8-$AL$8),$AL$8+SQRT(AW176*($AN$8-$AL$8)*($AM$8-$AL$8)),$AN$8-SQRT((1-AW176)*($AN$8-$AL$8)*($AN$8-$AM$8))),$AM$8)</f>
        <v/>
      </c>
      <c r="AO176">
        <f>IFERROR(IF(AX176&lt;($AM$9-$AL$9)/($AN$9-$AL$9),$AL$9+SQRT(AX176*($AN$9-$AL$9)*($AM$9-$AL$9)),$AN$9-SQRT((1-AX176)*($AN$9-$AL$9)*($AN$9-$AM$9))),$AM$9)</f>
        <v/>
      </c>
      <c r="AP176">
        <f>IFERROR(IF(AY176&lt;($AM$10-$AL$10)/($AN$10-$AL$10),$AL$10+SQRT(AY176*($AN$10-$AL$10)*($AM$10-$AL$10)),$AN$10-SQRT((1-AY176)*($AN$10-$AL$10)*($AN$10-$AM$10))),$AM$10)</f>
        <v/>
      </c>
      <c r="AQ176">
        <f>IFERROR(IF(AZ176&lt;($AM$11-$AL$11)/($AN$11-$AL$11),$AL$11+SQRT(AZ176*($AN$11-$AL$11)*($AM$11-$AL$11)),$AN$11-SQRT((1-AZ176)*($AN$11-$AL$11)*($AN$11-$AM$11))),$AM$11)</f>
        <v/>
      </c>
      <c r="AR176">
        <f>SUMPRODUCT((B24:B31&lt;=$B$6)*(C24:C31*AM176+D24:D31*AO176*$B$8*AQ176)/(1+AL176/100)^B24:B31)+C32*AM176*AP176/(1+AL176/100)^$B$6</f>
        <v/>
      </c>
      <c r="AS176">
        <f>SUMPRODUCT((K24:K26&lt;=$B$6)*(L24:L26*AN176+M24:M26*AO176*$B$8*AQ176)/(1+AL176/100)^K24:K26)+L27*AN176*AP176/(1+AL176/100)^$B$6</f>
        <v/>
      </c>
      <c r="AT176">
        <f>AS176-AR176</f>
        <v/>
      </c>
      <c r="AU176">
        <f>RAND()</f>
        <v/>
      </c>
      <c r="AV176">
        <f>RAND()</f>
        <v/>
      </c>
      <c r="AW176">
        <f>RAND()</f>
        <v/>
      </c>
      <c r="AX176">
        <f>RAND()</f>
        <v/>
      </c>
      <c r="AY176">
        <f>RAND()</f>
        <v/>
      </c>
      <c r="AZ176">
        <f>RAND()</f>
        <v/>
      </c>
    </row>
    <row r="177">
      <c r="A177" t="inlineStr">
        <is>
          <t>HMA: Maintenance 3</t>
        </is>
      </c>
      <c r="B177">
        <f>IF(B27&lt;=$B$6,$B$7+B27,NA())</f>
        <v/>
      </c>
      <c r="C177" t="n">
        <v>1</v>
      </c>
      <c r="D177">
        <f>D27*$B$10</f>
        <v/>
      </c>
      <c r="E177" s="14">
        <f>F27</f>
        <v/>
      </c>
      <c r="AK177" t="n">
        <v>164</v>
      </c>
      <c r="AL177">
        <f>IFERROR(IF(AU177&lt;($AM$6-$AL$6)/($AN$6-$AL$6),$AL$6+SQRT(AU177*($AN$6-$AL$6)*($AM$6-$AL$6)),$AN$6-SQRT((1-AU177)*($AN$6-$AL$6)*($AN$6-$AM$6))),$AM$6)</f>
        <v/>
      </c>
      <c r="AM177">
        <f>IFERROR(IF(AV177&lt;($AM$7-$AL$7)/($AN$7-$AL$7),$AL$7+SQRT(AV177*($AN$7-$AL$7)*($AM$7-$AL$7)),$AN$7-SQRT((1-AV177)*($AN$7-$AL$7)*($AN$7-$AM$7))),$AM$7)</f>
        <v/>
      </c>
      <c r="AN177">
        <f>IFERROR(IF(AW177&lt;($AM$8-$AL$8)/($AN$8-$AL$8),$AL$8+SQRT(AW177*($AN$8-$AL$8)*($AM$8-$AL$8)),$AN$8-SQRT((1-AW177)*($AN$8-$AL$8)*($AN$8-$AM$8))),$AM$8)</f>
        <v/>
      </c>
      <c r="AO177">
        <f>IFERROR(IF(AX177&lt;($AM$9-$AL$9)/($AN$9-$AL$9),$AL$9+SQRT(AX177*($AN$9-$AL$9)*($AM$9-$AL$9)),$AN$9-SQRT((1-AX177)*($AN$9-$AL$9)*($AN$9-$AM$9))),$AM$9)</f>
        <v/>
      </c>
      <c r="AP177">
        <f>IFERROR(IF(AY177&lt;($AM$10-$AL$10)/($AN$10-$AL$10),$AL$10+SQRT(AY177*($AN$10-$AL$10)*($AM$10-$AL$10)),$AN$10-SQRT((1-AY177)*($AN$10-$AL$10)*($AN$10-$AM$10))),$AM$10)</f>
        <v/>
      </c>
      <c r="AQ177">
        <f>IFERROR(IF(AZ177&lt;($AM$11-$AL$11)/($AN$11-$AL$11),$AL$11+SQRT(AZ177*($AN$11-$AL$11)*($AM$11-$AL$11)),$AN$11-SQRT((1-AZ177)*($AN$11-$AL$11)*($AN$11-$AM$11))),$AM$11)</f>
        <v/>
      </c>
      <c r="AR177">
        <f>SUMPRODUCT((B24:B31&lt;=$B$6)*(C24:C31*AM177+D24:D31*AO177*$B$8*AQ177)/(1+AL177/100)^B24:B31)+C32*AM177*AP177/(1+AL177/100)^$B$6</f>
        <v/>
      </c>
      <c r="AS177">
        <f>SUMPRODUCT((K24:K26&lt;=$B$6)*(L24:L26*AN177+M24:M26*AO177*$B$8*AQ177)/(1+AL177/100)^K24:K26)+L27*AN177*AP177/(1+AL177/100)^$B$6</f>
        <v/>
      </c>
      <c r="AT177">
        <f>AS177-AR177</f>
        <v/>
      </c>
      <c r="AU177">
        <f>RAND()</f>
        <v/>
      </c>
      <c r="AV177">
        <f>RAND()</f>
        <v/>
      </c>
      <c r="AW177">
        <f>RAND()</f>
        <v/>
      </c>
      <c r="AX177">
        <f>RAND()</f>
        <v/>
      </c>
      <c r="AY177">
        <f>RAND()</f>
        <v/>
      </c>
      <c r="AZ177">
        <f>RAND()</f>
        <v/>
      </c>
    </row>
    <row r="178">
      <c r="A178" t="inlineStr">
        <is>
          <t>HMA: Maintenance 4</t>
        </is>
      </c>
      <c r="B178">
        <f>IF(B28&lt;=$B$6,$B$7+B28,NA())</f>
        <v/>
      </c>
      <c r="C178" t="n">
        <v>1</v>
      </c>
      <c r="D178">
        <f>D28*$B$10</f>
        <v/>
      </c>
      <c r="E178" s="14">
        <f>F28</f>
        <v/>
      </c>
      <c r="AK178" t="n">
        <v>165</v>
      </c>
      <c r="AL178">
        <f>IFERROR(IF(AU178&lt;($AM$6-$AL$6)/($AN$6-$AL$6),$AL$6+SQRT(AU178*($AN$6-$AL$6)*($AM$6-$AL$6)),$AN$6-SQRT((1-AU178)*($AN$6-$AL$6)*($AN$6-$AM$6))),$AM$6)</f>
        <v/>
      </c>
      <c r="AM178">
        <f>IFERROR(IF(AV178&lt;($AM$7-$AL$7)/($AN$7-$AL$7),$AL$7+SQRT(AV178*($AN$7-$AL$7)*($AM$7-$AL$7)),$AN$7-SQRT((1-AV178)*($AN$7-$AL$7)*($AN$7-$AM$7))),$AM$7)</f>
        <v/>
      </c>
      <c r="AN178">
        <f>IFERROR(IF(AW178&lt;($AM$8-$AL$8)/($AN$8-$AL$8),$AL$8+SQRT(AW178*($AN$8-$AL$8)*($AM$8-$AL$8)),$AN$8-SQRT((1-AW178)*($AN$8-$AL$8)*($AN$8-$AM$8))),$AM$8)</f>
        <v/>
      </c>
      <c r="AO178">
        <f>IFERROR(IF(AX178&lt;($AM$9-$AL$9)/($AN$9-$AL$9),$AL$9+SQRT(AX178*($AN$9-$AL$9)*($AM$9-$AL$9)),$AN$9-SQRT((1-AX178)*($AN$9-$AL$9)*($AN$9-$AM$9))),$AM$9)</f>
        <v/>
      </c>
      <c r="AP178">
        <f>IFERROR(IF(AY178&lt;($AM$10-$AL$10)/($AN$10-$AL$10),$AL$10+SQRT(AY178*($AN$10-$AL$10)*($AM$10-$AL$10)),$AN$10-SQRT((1-AY178)*($AN$10-$AL$10)*($AN$10-$AM$10))),$AM$10)</f>
        <v/>
      </c>
      <c r="AQ178">
        <f>IFERROR(IF(AZ178&lt;($AM$11-$AL$11)/($AN$11-$AL$11),$AL$11+SQRT(AZ178*($AN$11-$AL$11)*($AM$11-$AL$11)),$AN$11-SQRT((1-AZ178)*($AN$11-$AL$11)*($AN$11-$AM$11))),$AM$11)</f>
        <v/>
      </c>
      <c r="AR178">
        <f>SUMPRODUCT((B24:B31&lt;=$B$6)*(C24:C31*AM178+D24:D31*AO178*$B$8*AQ178)/(1+AL178/100)^B24:B31)+C32*AM178*AP178/(1+AL178/100)^$B$6</f>
        <v/>
      </c>
      <c r="AS178">
        <f>SUMPRODUCT((K24:K26&lt;=$B$6)*(L24:L26*AN178+M24:M26*AO178*$B$8*AQ178)/(1+AL178/100)^K24:K26)+L27*AN178*AP178/(1+AL178/100)^$B$6</f>
        <v/>
      </c>
      <c r="AT178">
        <f>AS178-AR178</f>
        <v/>
      </c>
      <c r="AU178">
        <f>RAND()</f>
        <v/>
      </c>
      <c r="AV178">
        <f>RAND()</f>
        <v/>
      </c>
      <c r="AW178">
        <f>RAND()</f>
        <v/>
      </c>
      <c r="AX178">
        <f>RAND()</f>
        <v/>
      </c>
      <c r="AY178">
        <f>RAND()</f>
        <v/>
      </c>
      <c r="AZ178">
        <f>RAND()</f>
        <v/>
      </c>
    </row>
    <row r="179">
      <c r="A179" t="inlineStr">
        <is>
          <t>HMA: Rehabilitation 1</t>
        </is>
      </c>
      <c r="B179">
        <f>IF(B29&lt;=$B$6,$B$7+B29,NA())</f>
        <v/>
      </c>
      <c r="C179" t="n">
        <v>1</v>
      </c>
      <c r="D179">
        <f>D29*$B$10</f>
        <v/>
      </c>
      <c r="E179" s="14">
        <f>F29</f>
        <v/>
      </c>
      <c r="AK179" t="n">
        <v>166</v>
      </c>
      <c r="AL179">
        <f>IFERROR(IF(AU179&lt;($AM$6-$AL$6)/($AN$6-$AL$6),$AL$6+SQRT(AU179*($AN$6-$AL$6)*($AM$6-$AL$6)),$AN$6-SQRT((1-AU179)*($AN$6-$AL$6)*($AN$6-$AM$6))),$AM$6)</f>
        <v/>
      </c>
      <c r="AM179">
        <f>IFERROR(IF(AV179&lt;($AM$7-$AL$7)/($AN$7-$AL$7),$AL$7+SQRT(AV179*($AN$7-$AL$7)*($AM$7-$AL$7)),$AN$7-SQRT((1-AV179)*($AN$7-$AL$7)*($AN$7-$AM$7))),$AM$7)</f>
        <v/>
      </c>
      <c r="AN179">
        <f>IFERROR(IF(AW179&lt;($AM$8-$AL$8)/($AN$8-$AL$8),$AL$8+SQRT(AW179*($AN$8-$AL$8)*($AM$8-$AL$8)),$AN$8-SQRT((1-AW179)*($AN$8-$AL$8)*($AN$8-$AM$8))),$AM$8)</f>
        <v/>
      </c>
      <c r="AO179">
        <f>IFERROR(IF(AX179&lt;($AM$9-$AL$9)/($AN$9-$AL$9),$AL$9+SQRT(AX179*($AN$9-$AL$9)*($AM$9-$AL$9)),$AN$9-SQRT((1-AX179)*($AN$9-$AL$9)*($AN$9-$AM$9))),$AM$9)</f>
        <v/>
      </c>
      <c r="AP179">
        <f>IFERROR(IF(AY179&lt;($AM$10-$AL$10)/($AN$10-$AL$10),$AL$10+SQRT(AY179*($AN$10-$AL$10)*($AM$10-$AL$10)),$AN$10-SQRT((1-AY179)*($AN$10-$AL$10)*($AN$10-$AM$10))),$AM$10)</f>
        <v/>
      </c>
      <c r="AQ179">
        <f>IFERROR(IF(AZ179&lt;($AM$11-$AL$11)/($AN$11-$AL$11),$AL$11+SQRT(AZ179*($AN$11-$AL$11)*($AM$11-$AL$11)),$AN$11-SQRT((1-AZ179)*($AN$11-$AL$11)*($AN$11-$AM$11))),$AM$11)</f>
        <v/>
      </c>
      <c r="AR179">
        <f>SUMPRODUCT((B24:B31&lt;=$B$6)*(C24:C31*AM179+D24:D31*AO179*$B$8*AQ179)/(1+AL179/100)^B24:B31)+C32*AM179*AP179/(1+AL179/100)^$B$6</f>
        <v/>
      </c>
      <c r="AS179">
        <f>SUMPRODUCT((K24:K26&lt;=$B$6)*(L24:L26*AN179+M24:M26*AO179*$B$8*AQ179)/(1+AL179/100)^K24:K26)+L27*AN179*AP179/(1+AL179/100)^$B$6</f>
        <v/>
      </c>
      <c r="AT179">
        <f>AS179-AR179</f>
        <v/>
      </c>
      <c r="AU179">
        <f>RAND()</f>
        <v/>
      </c>
      <c r="AV179">
        <f>RAND()</f>
        <v/>
      </c>
      <c r="AW179">
        <f>RAND()</f>
        <v/>
      </c>
      <c r="AX179">
        <f>RAND()</f>
        <v/>
      </c>
      <c r="AY179">
        <f>RAND()</f>
        <v/>
      </c>
      <c r="AZ179">
        <f>RAND()</f>
        <v/>
      </c>
    </row>
    <row r="180">
      <c r="A180" t="inlineStr">
        <is>
          <t>HMA: Maintenance 5</t>
        </is>
      </c>
      <c r="B180">
        <f>IF(B30&lt;=$B$6,$B$7+B30,NA())</f>
        <v/>
      </c>
      <c r="C180" t="n">
        <v>1</v>
      </c>
      <c r="D180">
        <f>D30*$B$10</f>
        <v/>
      </c>
      <c r="E180" s="14">
        <f>F30</f>
        <v/>
      </c>
      <c r="AK180" t="n">
        <v>167</v>
      </c>
      <c r="AL180">
        <f>IFERROR(IF(AU180&lt;($AM$6-$AL$6)/($AN$6-$AL$6),$AL$6+SQRT(AU180*($AN$6-$AL$6)*($AM$6-$AL$6)),$AN$6-SQRT((1-AU180)*($AN$6-$AL$6)*($AN$6-$AM$6))),$AM$6)</f>
        <v/>
      </c>
      <c r="AM180">
        <f>IFERROR(IF(AV180&lt;($AM$7-$AL$7)/($AN$7-$AL$7),$AL$7+SQRT(AV180*($AN$7-$AL$7)*($AM$7-$AL$7)),$AN$7-SQRT((1-AV180)*($AN$7-$AL$7)*($AN$7-$AM$7))),$AM$7)</f>
        <v/>
      </c>
      <c r="AN180">
        <f>IFERROR(IF(AW180&lt;($AM$8-$AL$8)/($AN$8-$AL$8),$AL$8+SQRT(AW180*($AN$8-$AL$8)*($AM$8-$AL$8)),$AN$8-SQRT((1-AW180)*($AN$8-$AL$8)*($AN$8-$AM$8))),$AM$8)</f>
        <v/>
      </c>
      <c r="AO180">
        <f>IFERROR(IF(AX180&lt;($AM$9-$AL$9)/($AN$9-$AL$9),$AL$9+SQRT(AX180*($AN$9-$AL$9)*($AM$9-$AL$9)),$AN$9-SQRT((1-AX180)*($AN$9-$AL$9)*($AN$9-$AM$9))),$AM$9)</f>
        <v/>
      </c>
      <c r="AP180">
        <f>IFERROR(IF(AY180&lt;($AM$10-$AL$10)/($AN$10-$AL$10),$AL$10+SQRT(AY180*($AN$10-$AL$10)*($AM$10-$AL$10)),$AN$10-SQRT((1-AY180)*($AN$10-$AL$10)*($AN$10-$AM$10))),$AM$10)</f>
        <v/>
      </c>
      <c r="AQ180">
        <f>IFERROR(IF(AZ180&lt;($AM$11-$AL$11)/($AN$11-$AL$11),$AL$11+SQRT(AZ180*($AN$11-$AL$11)*($AM$11-$AL$11)),$AN$11-SQRT((1-AZ180)*($AN$11-$AL$11)*($AN$11-$AM$11))),$AM$11)</f>
        <v/>
      </c>
      <c r="AR180">
        <f>SUMPRODUCT((B24:B31&lt;=$B$6)*(C24:C31*AM180+D24:D31*AO180*$B$8*AQ180)/(1+AL180/100)^B24:B31)+C32*AM180*AP180/(1+AL180/100)^$B$6</f>
        <v/>
      </c>
      <c r="AS180">
        <f>SUMPRODUCT((K24:K26&lt;=$B$6)*(L24:L26*AN180+M24:M26*AO180*$B$8*AQ180)/(1+AL180/100)^K24:K26)+L27*AN180*AP180/(1+AL180/100)^$B$6</f>
        <v/>
      </c>
      <c r="AT180">
        <f>AS180-AR180</f>
        <v/>
      </c>
      <c r="AU180">
        <f>RAND()</f>
        <v/>
      </c>
      <c r="AV180">
        <f>RAND()</f>
        <v/>
      </c>
      <c r="AW180">
        <f>RAND()</f>
        <v/>
      </c>
      <c r="AX180">
        <f>RAND()</f>
        <v/>
      </c>
      <c r="AY180">
        <f>RAND()</f>
        <v/>
      </c>
      <c r="AZ180">
        <f>RAND()</f>
        <v/>
      </c>
    </row>
    <row r="181">
      <c r="A181" t="inlineStr">
        <is>
          <t>HMA: Maintenance 6</t>
        </is>
      </c>
      <c r="B181">
        <f>IF(B31&lt;=$B$6,$B$7+B31,NA())</f>
        <v/>
      </c>
      <c r="C181" t="n">
        <v>1</v>
      </c>
      <c r="D181">
        <f>D31*$B$10</f>
        <v/>
      </c>
      <c r="E181" s="14">
        <f>F31</f>
        <v/>
      </c>
      <c r="AK181" t="n">
        <v>168</v>
      </c>
      <c r="AL181">
        <f>IFERROR(IF(AU181&lt;($AM$6-$AL$6)/($AN$6-$AL$6),$AL$6+SQRT(AU181*($AN$6-$AL$6)*($AM$6-$AL$6)),$AN$6-SQRT((1-AU181)*($AN$6-$AL$6)*($AN$6-$AM$6))),$AM$6)</f>
        <v/>
      </c>
      <c r="AM181">
        <f>IFERROR(IF(AV181&lt;($AM$7-$AL$7)/($AN$7-$AL$7),$AL$7+SQRT(AV181*($AN$7-$AL$7)*($AM$7-$AL$7)),$AN$7-SQRT((1-AV181)*($AN$7-$AL$7)*($AN$7-$AM$7))),$AM$7)</f>
        <v/>
      </c>
      <c r="AN181">
        <f>IFERROR(IF(AW181&lt;($AM$8-$AL$8)/($AN$8-$AL$8),$AL$8+SQRT(AW181*($AN$8-$AL$8)*($AM$8-$AL$8)),$AN$8-SQRT((1-AW181)*($AN$8-$AL$8)*($AN$8-$AM$8))),$AM$8)</f>
        <v/>
      </c>
      <c r="AO181">
        <f>IFERROR(IF(AX181&lt;($AM$9-$AL$9)/($AN$9-$AL$9),$AL$9+SQRT(AX181*($AN$9-$AL$9)*($AM$9-$AL$9)),$AN$9-SQRT((1-AX181)*($AN$9-$AL$9)*($AN$9-$AM$9))),$AM$9)</f>
        <v/>
      </c>
      <c r="AP181">
        <f>IFERROR(IF(AY181&lt;($AM$10-$AL$10)/($AN$10-$AL$10),$AL$10+SQRT(AY181*($AN$10-$AL$10)*($AM$10-$AL$10)),$AN$10-SQRT((1-AY181)*($AN$10-$AL$10)*($AN$10-$AM$10))),$AM$10)</f>
        <v/>
      </c>
      <c r="AQ181">
        <f>IFERROR(IF(AZ181&lt;($AM$11-$AL$11)/($AN$11-$AL$11),$AL$11+SQRT(AZ181*($AN$11-$AL$11)*($AM$11-$AL$11)),$AN$11-SQRT((1-AZ181)*($AN$11-$AL$11)*($AN$11-$AM$11))),$AM$11)</f>
        <v/>
      </c>
      <c r="AR181">
        <f>SUMPRODUCT((B24:B31&lt;=$B$6)*(C24:C31*AM181+D24:D31*AO181*$B$8*AQ181)/(1+AL181/100)^B24:B31)+C32*AM181*AP181/(1+AL181/100)^$B$6</f>
        <v/>
      </c>
      <c r="AS181">
        <f>SUMPRODUCT((K24:K26&lt;=$B$6)*(L24:L26*AN181+M24:M26*AO181*$B$8*AQ181)/(1+AL181/100)^K24:K26)+L27*AN181*AP181/(1+AL181/100)^$B$6</f>
        <v/>
      </c>
      <c r="AT181">
        <f>AS181-AR181</f>
        <v/>
      </c>
      <c r="AU181">
        <f>RAND()</f>
        <v/>
      </c>
      <c r="AV181">
        <f>RAND()</f>
        <v/>
      </c>
      <c r="AW181">
        <f>RAND()</f>
        <v/>
      </c>
      <c r="AX181">
        <f>RAND()</f>
        <v/>
      </c>
      <c r="AY181">
        <f>RAND()</f>
        <v/>
      </c>
      <c r="AZ181">
        <f>RAND()</f>
        <v/>
      </c>
    </row>
    <row r="182">
      <c r="A182" t="inlineStr">
        <is>
          <t>PCC: Maintenance 1</t>
        </is>
      </c>
      <c r="B182">
        <f>IF(K25&lt;=$B$6,$B$7+K25,NA())</f>
        <v/>
      </c>
      <c r="C182" t="n">
        <v>2</v>
      </c>
      <c r="D182">
        <f>M25*$B$10</f>
        <v/>
      </c>
      <c r="E182" s="14">
        <f>O25</f>
        <v/>
      </c>
      <c r="AK182" t="n">
        <v>169</v>
      </c>
      <c r="AL182">
        <f>IFERROR(IF(AU182&lt;($AM$6-$AL$6)/($AN$6-$AL$6),$AL$6+SQRT(AU182*($AN$6-$AL$6)*($AM$6-$AL$6)),$AN$6-SQRT((1-AU182)*($AN$6-$AL$6)*($AN$6-$AM$6))),$AM$6)</f>
        <v/>
      </c>
      <c r="AM182">
        <f>IFERROR(IF(AV182&lt;($AM$7-$AL$7)/($AN$7-$AL$7),$AL$7+SQRT(AV182*($AN$7-$AL$7)*($AM$7-$AL$7)),$AN$7-SQRT((1-AV182)*($AN$7-$AL$7)*($AN$7-$AM$7))),$AM$7)</f>
        <v/>
      </c>
      <c r="AN182">
        <f>IFERROR(IF(AW182&lt;($AM$8-$AL$8)/($AN$8-$AL$8),$AL$8+SQRT(AW182*($AN$8-$AL$8)*($AM$8-$AL$8)),$AN$8-SQRT((1-AW182)*($AN$8-$AL$8)*($AN$8-$AM$8))),$AM$8)</f>
        <v/>
      </c>
      <c r="AO182">
        <f>IFERROR(IF(AX182&lt;($AM$9-$AL$9)/($AN$9-$AL$9),$AL$9+SQRT(AX182*($AN$9-$AL$9)*($AM$9-$AL$9)),$AN$9-SQRT((1-AX182)*($AN$9-$AL$9)*($AN$9-$AM$9))),$AM$9)</f>
        <v/>
      </c>
      <c r="AP182">
        <f>IFERROR(IF(AY182&lt;($AM$10-$AL$10)/($AN$10-$AL$10),$AL$10+SQRT(AY182*($AN$10-$AL$10)*($AM$10-$AL$10)),$AN$10-SQRT((1-AY182)*($AN$10-$AL$10)*($AN$10-$AM$10))),$AM$10)</f>
        <v/>
      </c>
      <c r="AQ182">
        <f>IFERROR(IF(AZ182&lt;($AM$11-$AL$11)/($AN$11-$AL$11),$AL$11+SQRT(AZ182*($AN$11-$AL$11)*($AM$11-$AL$11)),$AN$11-SQRT((1-AZ182)*($AN$11-$AL$11)*($AN$11-$AM$11))),$AM$11)</f>
        <v/>
      </c>
      <c r="AR182">
        <f>SUMPRODUCT((B24:B31&lt;=$B$6)*(C24:C31*AM182+D24:D31*AO182*$B$8*AQ182)/(1+AL182/100)^B24:B31)+C32*AM182*AP182/(1+AL182/100)^$B$6</f>
        <v/>
      </c>
      <c r="AS182">
        <f>SUMPRODUCT((K24:K26&lt;=$B$6)*(L24:L26*AN182+M24:M26*AO182*$B$8*AQ182)/(1+AL182/100)^K24:K26)+L27*AN182*AP182/(1+AL182/100)^$B$6</f>
        <v/>
      </c>
      <c r="AT182">
        <f>AS182-AR182</f>
        <v/>
      </c>
      <c r="AU182">
        <f>RAND()</f>
        <v/>
      </c>
      <c r="AV182">
        <f>RAND()</f>
        <v/>
      </c>
      <c r="AW182">
        <f>RAND()</f>
        <v/>
      </c>
      <c r="AX182">
        <f>RAND()</f>
        <v/>
      </c>
      <c r="AY182">
        <f>RAND()</f>
        <v/>
      </c>
      <c r="AZ182">
        <f>RAND()</f>
        <v/>
      </c>
    </row>
    <row r="183">
      <c r="A183" t="inlineStr">
        <is>
          <t>PCC: Rehabilitation 1</t>
        </is>
      </c>
      <c r="B183">
        <f>IF(K26&lt;=$B$6,$B$7+K26,NA())</f>
        <v/>
      </c>
      <c r="C183" t="n">
        <v>2</v>
      </c>
      <c r="D183">
        <f>M26*$B$10</f>
        <v/>
      </c>
      <c r="E183" s="14">
        <f>O26</f>
        <v/>
      </c>
      <c r="AK183" t="n">
        <v>170</v>
      </c>
      <c r="AL183">
        <f>IFERROR(IF(AU183&lt;($AM$6-$AL$6)/($AN$6-$AL$6),$AL$6+SQRT(AU183*($AN$6-$AL$6)*($AM$6-$AL$6)),$AN$6-SQRT((1-AU183)*($AN$6-$AL$6)*($AN$6-$AM$6))),$AM$6)</f>
        <v/>
      </c>
      <c r="AM183">
        <f>IFERROR(IF(AV183&lt;($AM$7-$AL$7)/($AN$7-$AL$7),$AL$7+SQRT(AV183*($AN$7-$AL$7)*($AM$7-$AL$7)),$AN$7-SQRT((1-AV183)*($AN$7-$AL$7)*($AN$7-$AM$7))),$AM$7)</f>
        <v/>
      </c>
      <c r="AN183">
        <f>IFERROR(IF(AW183&lt;($AM$8-$AL$8)/($AN$8-$AL$8),$AL$8+SQRT(AW183*($AN$8-$AL$8)*($AM$8-$AL$8)),$AN$8-SQRT((1-AW183)*($AN$8-$AL$8)*($AN$8-$AM$8))),$AM$8)</f>
        <v/>
      </c>
      <c r="AO183">
        <f>IFERROR(IF(AX183&lt;($AM$9-$AL$9)/($AN$9-$AL$9),$AL$9+SQRT(AX183*($AN$9-$AL$9)*($AM$9-$AL$9)),$AN$9-SQRT((1-AX183)*($AN$9-$AL$9)*($AN$9-$AM$9))),$AM$9)</f>
        <v/>
      </c>
      <c r="AP183">
        <f>IFERROR(IF(AY183&lt;($AM$10-$AL$10)/($AN$10-$AL$10),$AL$10+SQRT(AY183*($AN$10-$AL$10)*($AM$10-$AL$10)),$AN$10-SQRT((1-AY183)*($AN$10-$AL$10)*($AN$10-$AM$10))),$AM$10)</f>
        <v/>
      </c>
      <c r="AQ183">
        <f>IFERROR(IF(AZ183&lt;($AM$11-$AL$11)/($AN$11-$AL$11),$AL$11+SQRT(AZ183*($AN$11-$AL$11)*($AM$11-$AL$11)),$AN$11-SQRT((1-AZ183)*($AN$11-$AL$11)*($AN$11-$AM$11))),$AM$11)</f>
        <v/>
      </c>
      <c r="AR183">
        <f>SUMPRODUCT((B24:B31&lt;=$B$6)*(C24:C31*AM183+D24:D31*AO183*$B$8*AQ183)/(1+AL183/100)^B24:B31)+C32*AM183*AP183/(1+AL183/100)^$B$6</f>
        <v/>
      </c>
      <c r="AS183">
        <f>SUMPRODUCT((K24:K26&lt;=$B$6)*(L24:L26*AN183+M24:M26*AO183*$B$8*AQ183)/(1+AL183/100)^K24:K26)+L27*AN183*AP183/(1+AL183/100)^$B$6</f>
        <v/>
      </c>
      <c r="AT183">
        <f>AS183-AR183</f>
        <v/>
      </c>
      <c r="AU183">
        <f>RAND()</f>
        <v/>
      </c>
      <c r="AV183">
        <f>RAND()</f>
        <v/>
      </c>
      <c r="AW183">
        <f>RAND()</f>
        <v/>
      </c>
      <c r="AX183">
        <f>RAND()</f>
        <v/>
      </c>
      <c r="AY183">
        <f>RAND()</f>
        <v/>
      </c>
      <c r="AZ183">
        <f>RAND()</f>
        <v/>
      </c>
    </row>
    <row r="184">
      <c r="AK184" t="n">
        <v>171</v>
      </c>
      <c r="AL184">
        <f>IFERROR(IF(AU184&lt;($AM$6-$AL$6)/($AN$6-$AL$6),$AL$6+SQRT(AU184*($AN$6-$AL$6)*($AM$6-$AL$6)),$AN$6-SQRT((1-AU184)*($AN$6-$AL$6)*($AN$6-$AM$6))),$AM$6)</f>
        <v/>
      </c>
      <c r="AM184">
        <f>IFERROR(IF(AV184&lt;($AM$7-$AL$7)/($AN$7-$AL$7),$AL$7+SQRT(AV184*($AN$7-$AL$7)*($AM$7-$AL$7)),$AN$7-SQRT((1-AV184)*($AN$7-$AL$7)*($AN$7-$AM$7))),$AM$7)</f>
        <v/>
      </c>
      <c r="AN184">
        <f>IFERROR(IF(AW184&lt;($AM$8-$AL$8)/($AN$8-$AL$8),$AL$8+SQRT(AW184*($AN$8-$AL$8)*($AM$8-$AL$8)),$AN$8-SQRT((1-AW184)*($AN$8-$AL$8)*($AN$8-$AM$8))),$AM$8)</f>
        <v/>
      </c>
      <c r="AO184">
        <f>IFERROR(IF(AX184&lt;($AM$9-$AL$9)/($AN$9-$AL$9),$AL$9+SQRT(AX184*($AN$9-$AL$9)*($AM$9-$AL$9)),$AN$9-SQRT((1-AX184)*($AN$9-$AL$9)*($AN$9-$AM$9))),$AM$9)</f>
        <v/>
      </c>
      <c r="AP184">
        <f>IFERROR(IF(AY184&lt;($AM$10-$AL$10)/($AN$10-$AL$10),$AL$10+SQRT(AY184*($AN$10-$AL$10)*($AM$10-$AL$10)),$AN$10-SQRT((1-AY184)*($AN$10-$AL$10)*($AN$10-$AM$10))),$AM$10)</f>
        <v/>
      </c>
      <c r="AQ184">
        <f>IFERROR(IF(AZ184&lt;($AM$11-$AL$11)/($AN$11-$AL$11),$AL$11+SQRT(AZ184*($AN$11-$AL$11)*($AM$11-$AL$11)),$AN$11-SQRT((1-AZ184)*($AN$11-$AL$11)*($AN$11-$AM$11))),$AM$11)</f>
        <v/>
      </c>
      <c r="AR184">
        <f>SUMPRODUCT((B24:B31&lt;=$B$6)*(C24:C31*AM184+D24:D31*AO184*$B$8*AQ184)/(1+AL184/100)^B24:B31)+C32*AM184*AP184/(1+AL184/100)^$B$6</f>
        <v/>
      </c>
      <c r="AS184">
        <f>SUMPRODUCT((K24:K26&lt;=$B$6)*(L24:L26*AN184+M24:M26*AO184*$B$8*AQ184)/(1+AL184/100)^K24:K26)+L27*AN184*AP184/(1+AL184/100)^$B$6</f>
        <v/>
      </c>
      <c r="AT184">
        <f>AS184-AR184</f>
        <v/>
      </c>
      <c r="AU184">
        <f>RAND()</f>
        <v/>
      </c>
      <c r="AV184">
        <f>RAND()</f>
        <v/>
      </c>
      <c r="AW184">
        <f>RAND()</f>
        <v/>
      </c>
      <c r="AX184">
        <f>RAND()</f>
        <v/>
      </c>
      <c r="AY184">
        <f>RAND()</f>
        <v/>
      </c>
      <c r="AZ184">
        <f>RAND()</f>
        <v/>
      </c>
    </row>
    <row r="185">
      <c r="AK185" t="n">
        <v>172</v>
      </c>
      <c r="AL185">
        <f>IFERROR(IF(AU185&lt;($AM$6-$AL$6)/($AN$6-$AL$6),$AL$6+SQRT(AU185*($AN$6-$AL$6)*($AM$6-$AL$6)),$AN$6-SQRT((1-AU185)*($AN$6-$AL$6)*($AN$6-$AM$6))),$AM$6)</f>
        <v/>
      </c>
      <c r="AM185">
        <f>IFERROR(IF(AV185&lt;($AM$7-$AL$7)/($AN$7-$AL$7),$AL$7+SQRT(AV185*($AN$7-$AL$7)*($AM$7-$AL$7)),$AN$7-SQRT((1-AV185)*($AN$7-$AL$7)*($AN$7-$AM$7))),$AM$7)</f>
        <v/>
      </c>
      <c r="AN185">
        <f>IFERROR(IF(AW185&lt;($AM$8-$AL$8)/($AN$8-$AL$8),$AL$8+SQRT(AW185*($AN$8-$AL$8)*($AM$8-$AL$8)),$AN$8-SQRT((1-AW185)*($AN$8-$AL$8)*($AN$8-$AM$8))),$AM$8)</f>
        <v/>
      </c>
      <c r="AO185">
        <f>IFERROR(IF(AX185&lt;($AM$9-$AL$9)/($AN$9-$AL$9),$AL$9+SQRT(AX185*($AN$9-$AL$9)*($AM$9-$AL$9)),$AN$9-SQRT((1-AX185)*($AN$9-$AL$9)*($AN$9-$AM$9))),$AM$9)</f>
        <v/>
      </c>
      <c r="AP185">
        <f>IFERROR(IF(AY185&lt;($AM$10-$AL$10)/($AN$10-$AL$10),$AL$10+SQRT(AY185*($AN$10-$AL$10)*($AM$10-$AL$10)),$AN$10-SQRT((1-AY185)*($AN$10-$AL$10)*($AN$10-$AM$10))),$AM$10)</f>
        <v/>
      </c>
      <c r="AQ185">
        <f>IFERROR(IF(AZ185&lt;($AM$11-$AL$11)/($AN$11-$AL$11),$AL$11+SQRT(AZ185*($AN$11-$AL$11)*($AM$11-$AL$11)),$AN$11-SQRT((1-AZ185)*($AN$11-$AL$11)*($AN$11-$AM$11))),$AM$11)</f>
        <v/>
      </c>
      <c r="AR185">
        <f>SUMPRODUCT((B24:B31&lt;=$B$6)*(C24:C31*AM185+D24:D31*AO185*$B$8*AQ185)/(1+AL185/100)^B24:B31)+C32*AM185*AP185/(1+AL185/100)^$B$6</f>
        <v/>
      </c>
      <c r="AS185">
        <f>SUMPRODUCT((K24:K26&lt;=$B$6)*(L24:L26*AN185+M24:M26*AO185*$B$8*AQ185)/(1+AL185/100)^K24:K26)+L27*AN185*AP185/(1+AL185/100)^$B$6</f>
        <v/>
      </c>
      <c r="AT185">
        <f>AS185-AR185</f>
        <v/>
      </c>
      <c r="AU185">
        <f>RAND()</f>
        <v/>
      </c>
      <c r="AV185">
        <f>RAND()</f>
        <v/>
      </c>
      <c r="AW185">
        <f>RAND()</f>
        <v/>
      </c>
      <c r="AX185">
        <f>RAND()</f>
        <v/>
      </c>
      <c r="AY185">
        <f>RAND()</f>
        <v/>
      </c>
      <c r="AZ185">
        <f>RAND()</f>
        <v/>
      </c>
    </row>
    <row r="186">
      <c r="AK186" t="n">
        <v>173</v>
      </c>
      <c r="AL186">
        <f>IFERROR(IF(AU186&lt;($AM$6-$AL$6)/($AN$6-$AL$6),$AL$6+SQRT(AU186*($AN$6-$AL$6)*($AM$6-$AL$6)),$AN$6-SQRT((1-AU186)*($AN$6-$AL$6)*($AN$6-$AM$6))),$AM$6)</f>
        <v/>
      </c>
      <c r="AM186">
        <f>IFERROR(IF(AV186&lt;($AM$7-$AL$7)/($AN$7-$AL$7),$AL$7+SQRT(AV186*($AN$7-$AL$7)*($AM$7-$AL$7)),$AN$7-SQRT((1-AV186)*($AN$7-$AL$7)*($AN$7-$AM$7))),$AM$7)</f>
        <v/>
      </c>
      <c r="AN186">
        <f>IFERROR(IF(AW186&lt;($AM$8-$AL$8)/($AN$8-$AL$8),$AL$8+SQRT(AW186*($AN$8-$AL$8)*($AM$8-$AL$8)),$AN$8-SQRT((1-AW186)*($AN$8-$AL$8)*($AN$8-$AM$8))),$AM$8)</f>
        <v/>
      </c>
      <c r="AO186">
        <f>IFERROR(IF(AX186&lt;($AM$9-$AL$9)/($AN$9-$AL$9),$AL$9+SQRT(AX186*($AN$9-$AL$9)*($AM$9-$AL$9)),$AN$9-SQRT((1-AX186)*($AN$9-$AL$9)*($AN$9-$AM$9))),$AM$9)</f>
        <v/>
      </c>
      <c r="AP186">
        <f>IFERROR(IF(AY186&lt;($AM$10-$AL$10)/($AN$10-$AL$10),$AL$10+SQRT(AY186*($AN$10-$AL$10)*($AM$10-$AL$10)),$AN$10-SQRT((1-AY186)*($AN$10-$AL$10)*($AN$10-$AM$10))),$AM$10)</f>
        <v/>
      </c>
      <c r="AQ186">
        <f>IFERROR(IF(AZ186&lt;($AM$11-$AL$11)/($AN$11-$AL$11),$AL$11+SQRT(AZ186*($AN$11-$AL$11)*($AM$11-$AL$11)),$AN$11-SQRT((1-AZ186)*($AN$11-$AL$11)*($AN$11-$AM$11))),$AM$11)</f>
        <v/>
      </c>
      <c r="AR186">
        <f>SUMPRODUCT((B24:B31&lt;=$B$6)*(C24:C31*AM186+D24:D31*AO186*$B$8*AQ186)/(1+AL186/100)^B24:B31)+C32*AM186*AP186/(1+AL186/100)^$B$6</f>
        <v/>
      </c>
      <c r="AS186">
        <f>SUMPRODUCT((K24:K26&lt;=$B$6)*(L24:L26*AN186+M24:M26*AO186*$B$8*AQ186)/(1+AL186/100)^K24:K26)+L27*AN186*AP186/(1+AL186/100)^$B$6</f>
        <v/>
      </c>
      <c r="AT186">
        <f>AS186-AR186</f>
        <v/>
      </c>
      <c r="AU186">
        <f>RAND()</f>
        <v/>
      </c>
      <c r="AV186">
        <f>RAND()</f>
        <v/>
      </c>
      <c r="AW186">
        <f>RAND()</f>
        <v/>
      </c>
      <c r="AX186">
        <f>RAND()</f>
        <v/>
      </c>
      <c r="AY186">
        <f>RAND()</f>
        <v/>
      </c>
      <c r="AZ186">
        <f>RAND()</f>
        <v/>
      </c>
    </row>
    <row r="187">
      <c r="AK187" t="n">
        <v>174</v>
      </c>
      <c r="AL187">
        <f>IFERROR(IF(AU187&lt;($AM$6-$AL$6)/($AN$6-$AL$6),$AL$6+SQRT(AU187*($AN$6-$AL$6)*($AM$6-$AL$6)),$AN$6-SQRT((1-AU187)*($AN$6-$AL$6)*($AN$6-$AM$6))),$AM$6)</f>
        <v/>
      </c>
      <c r="AM187">
        <f>IFERROR(IF(AV187&lt;($AM$7-$AL$7)/($AN$7-$AL$7),$AL$7+SQRT(AV187*($AN$7-$AL$7)*($AM$7-$AL$7)),$AN$7-SQRT((1-AV187)*($AN$7-$AL$7)*($AN$7-$AM$7))),$AM$7)</f>
        <v/>
      </c>
      <c r="AN187">
        <f>IFERROR(IF(AW187&lt;($AM$8-$AL$8)/($AN$8-$AL$8),$AL$8+SQRT(AW187*($AN$8-$AL$8)*($AM$8-$AL$8)),$AN$8-SQRT((1-AW187)*($AN$8-$AL$8)*($AN$8-$AM$8))),$AM$8)</f>
        <v/>
      </c>
      <c r="AO187">
        <f>IFERROR(IF(AX187&lt;($AM$9-$AL$9)/($AN$9-$AL$9),$AL$9+SQRT(AX187*($AN$9-$AL$9)*($AM$9-$AL$9)),$AN$9-SQRT((1-AX187)*($AN$9-$AL$9)*($AN$9-$AM$9))),$AM$9)</f>
        <v/>
      </c>
      <c r="AP187">
        <f>IFERROR(IF(AY187&lt;($AM$10-$AL$10)/($AN$10-$AL$10),$AL$10+SQRT(AY187*($AN$10-$AL$10)*($AM$10-$AL$10)),$AN$10-SQRT((1-AY187)*($AN$10-$AL$10)*($AN$10-$AM$10))),$AM$10)</f>
        <v/>
      </c>
      <c r="AQ187">
        <f>IFERROR(IF(AZ187&lt;($AM$11-$AL$11)/($AN$11-$AL$11),$AL$11+SQRT(AZ187*($AN$11-$AL$11)*($AM$11-$AL$11)),$AN$11-SQRT((1-AZ187)*($AN$11-$AL$11)*($AN$11-$AM$11))),$AM$11)</f>
        <v/>
      </c>
      <c r="AR187">
        <f>SUMPRODUCT((B24:B31&lt;=$B$6)*(C24:C31*AM187+D24:D31*AO187*$B$8*AQ187)/(1+AL187/100)^B24:B31)+C32*AM187*AP187/(1+AL187/100)^$B$6</f>
        <v/>
      </c>
      <c r="AS187">
        <f>SUMPRODUCT((K24:K26&lt;=$B$6)*(L24:L26*AN187+M24:M26*AO187*$B$8*AQ187)/(1+AL187/100)^K24:K26)+L27*AN187*AP187/(1+AL187/100)^$B$6</f>
        <v/>
      </c>
      <c r="AT187">
        <f>AS187-AR187</f>
        <v/>
      </c>
      <c r="AU187">
        <f>RAND()</f>
        <v/>
      </c>
      <c r="AV187">
        <f>RAND()</f>
        <v/>
      </c>
      <c r="AW187">
        <f>RAND()</f>
        <v/>
      </c>
      <c r="AX187">
        <f>RAND()</f>
        <v/>
      </c>
      <c r="AY187">
        <f>RAND()</f>
        <v/>
      </c>
      <c r="AZ187">
        <f>RAND()</f>
        <v/>
      </c>
    </row>
    <row r="188">
      <c r="AK188" t="n">
        <v>175</v>
      </c>
      <c r="AL188">
        <f>IFERROR(IF(AU188&lt;($AM$6-$AL$6)/($AN$6-$AL$6),$AL$6+SQRT(AU188*($AN$6-$AL$6)*($AM$6-$AL$6)),$AN$6-SQRT((1-AU188)*($AN$6-$AL$6)*($AN$6-$AM$6))),$AM$6)</f>
        <v/>
      </c>
      <c r="AM188">
        <f>IFERROR(IF(AV188&lt;($AM$7-$AL$7)/($AN$7-$AL$7),$AL$7+SQRT(AV188*($AN$7-$AL$7)*($AM$7-$AL$7)),$AN$7-SQRT((1-AV188)*($AN$7-$AL$7)*($AN$7-$AM$7))),$AM$7)</f>
        <v/>
      </c>
      <c r="AN188">
        <f>IFERROR(IF(AW188&lt;($AM$8-$AL$8)/($AN$8-$AL$8),$AL$8+SQRT(AW188*($AN$8-$AL$8)*($AM$8-$AL$8)),$AN$8-SQRT((1-AW188)*($AN$8-$AL$8)*($AN$8-$AM$8))),$AM$8)</f>
        <v/>
      </c>
      <c r="AO188">
        <f>IFERROR(IF(AX188&lt;($AM$9-$AL$9)/($AN$9-$AL$9),$AL$9+SQRT(AX188*($AN$9-$AL$9)*($AM$9-$AL$9)),$AN$9-SQRT((1-AX188)*($AN$9-$AL$9)*($AN$9-$AM$9))),$AM$9)</f>
        <v/>
      </c>
      <c r="AP188">
        <f>IFERROR(IF(AY188&lt;($AM$10-$AL$10)/($AN$10-$AL$10),$AL$10+SQRT(AY188*($AN$10-$AL$10)*($AM$10-$AL$10)),$AN$10-SQRT((1-AY188)*($AN$10-$AL$10)*($AN$10-$AM$10))),$AM$10)</f>
        <v/>
      </c>
      <c r="AQ188">
        <f>IFERROR(IF(AZ188&lt;($AM$11-$AL$11)/($AN$11-$AL$11),$AL$11+SQRT(AZ188*($AN$11-$AL$11)*($AM$11-$AL$11)),$AN$11-SQRT((1-AZ188)*($AN$11-$AL$11)*($AN$11-$AM$11))),$AM$11)</f>
        <v/>
      </c>
      <c r="AR188">
        <f>SUMPRODUCT((B24:B31&lt;=$B$6)*(C24:C31*AM188+D24:D31*AO188*$B$8*AQ188)/(1+AL188/100)^B24:B31)+C32*AM188*AP188/(1+AL188/100)^$B$6</f>
        <v/>
      </c>
      <c r="AS188">
        <f>SUMPRODUCT((K24:K26&lt;=$B$6)*(L24:L26*AN188+M24:M26*AO188*$B$8*AQ188)/(1+AL188/100)^K24:K26)+L27*AN188*AP188/(1+AL188/100)^$B$6</f>
        <v/>
      </c>
      <c r="AT188">
        <f>AS188-AR188</f>
        <v/>
      </c>
      <c r="AU188">
        <f>RAND()</f>
        <v/>
      </c>
      <c r="AV188">
        <f>RAND()</f>
        <v/>
      </c>
      <c r="AW188">
        <f>RAND()</f>
        <v/>
      </c>
      <c r="AX188">
        <f>RAND()</f>
        <v/>
      </c>
      <c r="AY188">
        <f>RAND()</f>
        <v/>
      </c>
      <c r="AZ188">
        <f>RAND()</f>
        <v/>
      </c>
    </row>
    <row r="189">
      <c r="AK189" t="n">
        <v>176</v>
      </c>
      <c r="AL189">
        <f>IFERROR(IF(AU189&lt;($AM$6-$AL$6)/($AN$6-$AL$6),$AL$6+SQRT(AU189*($AN$6-$AL$6)*($AM$6-$AL$6)),$AN$6-SQRT((1-AU189)*($AN$6-$AL$6)*($AN$6-$AM$6))),$AM$6)</f>
        <v/>
      </c>
      <c r="AM189">
        <f>IFERROR(IF(AV189&lt;($AM$7-$AL$7)/($AN$7-$AL$7),$AL$7+SQRT(AV189*($AN$7-$AL$7)*($AM$7-$AL$7)),$AN$7-SQRT((1-AV189)*($AN$7-$AL$7)*($AN$7-$AM$7))),$AM$7)</f>
        <v/>
      </c>
      <c r="AN189">
        <f>IFERROR(IF(AW189&lt;($AM$8-$AL$8)/($AN$8-$AL$8),$AL$8+SQRT(AW189*($AN$8-$AL$8)*($AM$8-$AL$8)),$AN$8-SQRT((1-AW189)*($AN$8-$AL$8)*($AN$8-$AM$8))),$AM$8)</f>
        <v/>
      </c>
      <c r="AO189">
        <f>IFERROR(IF(AX189&lt;($AM$9-$AL$9)/($AN$9-$AL$9),$AL$9+SQRT(AX189*($AN$9-$AL$9)*($AM$9-$AL$9)),$AN$9-SQRT((1-AX189)*($AN$9-$AL$9)*($AN$9-$AM$9))),$AM$9)</f>
        <v/>
      </c>
      <c r="AP189">
        <f>IFERROR(IF(AY189&lt;($AM$10-$AL$10)/($AN$10-$AL$10),$AL$10+SQRT(AY189*($AN$10-$AL$10)*($AM$10-$AL$10)),$AN$10-SQRT((1-AY189)*($AN$10-$AL$10)*($AN$10-$AM$10))),$AM$10)</f>
        <v/>
      </c>
      <c r="AQ189">
        <f>IFERROR(IF(AZ189&lt;($AM$11-$AL$11)/($AN$11-$AL$11),$AL$11+SQRT(AZ189*($AN$11-$AL$11)*($AM$11-$AL$11)),$AN$11-SQRT((1-AZ189)*($AN$11-$AL$11)*($AN$11-$AM$11))),$AM$11)</f>
        <v/>
      </c>
      <c r="AR189">
        <f>SUMPRODUCT((B24:B31&lt;=$B$6)*(C24:C31*AM189+D24:D31*AO189*$B$8*AQ189)/(1+AL189/100)^B24:B31)+C32*AM189*AP189/(1+AL189/100)^$B$6</f>
        <v/>
      </c>
      <c r="AS189">
        <f>SUMPRODUCT((K24:K26&lt;=$B$6)*(L24:L26*AN189+M24:M26*AO189*$B$8*AQ189)/(1+AL189/100)^K24:K26)+L27*AN189*AP189/(1+AL189/100)^$B$6</f>
        <v/>
      </c>
      <c r="AT189">
        <f>AS189-AR189</f>
        <v/>
      </c>
      <c r="AU189">
        <f>RAND()</f>
        <v/>
      </c>
      <c r="AV189">
        <f>RAND()</f>
        <v/>
      </c>
      <c r="AW189">
        <f>RAND()</f>
        <v/>
      </c>
      <c r="AX189">
        <f>RAND()</f>
        <v/>
      </c>
      <c r="AY189">
        <f>RAND()</f>
        <v/>
      </c>
      <c r="AZ189">
        <f>RAND()</f>
        <v/>
      </c>
    </row>
    <row r="190">
      <c r="AK190" t="n">
        <v>177</v>
      </c>
      <c r="AL190">
        <f>IFERROR(IF(AU190&lt;($AM$6-$AL$6)/($AN$6-$AL$6),$AL$6+SQRT(AU190*($AN$6-$AL$6)*($AM$6-$AL$6)),$AN$6-SQRT((1-AU190)*($AN$6-$AL$6)*($AN$6-$AM$6))),$AM$6)</f>
        <v/>
      </c>
      <c r="AM190">
        <f>IFERROR(IF(AV190&lt;($AM$7-$AL$7)/($AN$7-$AL$7),$AL$7+SQRT(AV190*($AN$7-$AL$7)*($AM$7-$AL$7)),$AN$7-SQRT((1-AV190)*($AN$7-$AL$7)*($AN$7-$AM$7))),$AM$7)</f>
        <v/>
      </c>
      <c r="AN190">
        <f>IFERROR(IF(AW190&lt;($AM$8-$AL$8)/($AN$8-$AL$8),$AL$8+SQRT(AW190*($AN$8-$AL$8)*($AM$8-$AL$8)),$AN$8-SQRT((1-AW190)*($AN$8-$AL$8)*($AN$8-$AM$8))),$AM$8)</f>
        <v/>
      </c>
      <c r="AO190">
        <f>IFERROR(IF(AX190&lt;($AM$9-$AL$9)/($AN$9-$AL$9),$AL$9+SQRT(AX190*($AN$9-$AL$9)*($AM$9-$AL$9)),$AN$9-SQRT((1-AX190)*($AN$9-$AL$9)*($AN$9-$AM$9))),$AM$9)</f>
        <v/>
      </c>
      <c r="AP190">
        <f>IFERROR(IF(AY190&lt;($AM$10-$AL$10)/($AN$10-$AL$10),$AL$10+SQRT(AY190*($AN$10-$AL$10)*($AM$10-$AL$10)),$AN$10-SQRT((1-AY190)*($AN$10-$AL$10)*($AN$10-$AM$10))),$AM$10)</f>
        <v/>
      </c>
      <c r="AQ190">
        <f>IFERROR(IF(AZ190&lt;($AM$11-$AL$11)/($AN$11-$AL$11),$AL$11+SQRT(AZ190*($AN$11-$AL$11)*($AM$11-$AL$11)),$AN$11-SQRT((1-AZ190)*($AN$11-$AL$11)*($AN$11-$AM$11))),$AM$11)</f>
        <v/>
      </c>
      <c r="AR190">
        <f>SUMPRODUCT((B24:B31&lt;=$B$6)*(C24:C31*AM190+D24:D31*AO190*$B$8*AQ190)/(1+AL190/100)^B24:B31)+C32*AM190*AP190/(1+AL190/100)^$B$6</f>
        <v/>
      </c>
      <c r="AS190">
        <f>SUMPRODUCT((K24:K26&lt;=$B$6)*(L24:L26*AN190+M24:M26*AO190*$B$8*AQ190)/(1+AL190/100)^K24:K26)+L27*AN190*AP190/(1+AL190/100)^$B$6</f>
        <v/>
      </c>
      <c r="AT190">
        <f>AS190-AR190</f>
        <v/>
      </c>
      <c r="AU190">
        <f>RAND()</f>
        <v/>
      </c>
      <c r="AV190">
        <f>RAND()</f>
        <v/>
      </c>
      <c r="AW190">
        <f>RAND()</f>
        <v/>
      </c>
      <c r="AX190">
        <f>RAND()</f>
        <v/>
      </c>
      <c r="AY190">
        <f>RAND()</f>
        <v/>
      </c>
      <c r="AZ190">
        <f>RAND()</f>
        <v/>
      </c>
    </row>
    <row r="191">
      <c r="AK191" t="n">
        <v>178</v>
      </c>
      <c r="AL191">
        <f>IFERROR(IF(AU191&lt;($AM$6-$AL$6)/($AN$6-$AL$6),$AL$6+SQRT(AU191*($AN$6-$AL$6)*($AM$6-$AL$6)),$AN$6-SQRT((1-AU191)*($AN$6-$AL$6)*($AN$6-$AM$6))),$AM$6)</f>
        <v/>
      </c>
      <c r="AM191">
        <f>IFERROR(IF(AV191&lt;($AM$7-$AL$7)/($AN$7-$AL$7),$AL$7+SQRT(AV191*($AN$7-$AL$7)*($AM$7-$AL$7)),$AN$7-SQRT((1-AV191)*($AN$7-$AL$7)*($AN$7-$AM$7))),$AM$7)</f>
        <v/>
      </c>
      <c r="AN191">
        <f>IFERROR(IF(AW191&lt;($AM$8-$AL$8)/($AN$8-$AL$8),$AL$8+SQRT(AW191*($AN$8-$AL$8)*($AM$8-$AL$8)),$AN$8-SQRT((1-AW191)*($AN$8-$AL$8)*($AN$8-$AM$8))),$AM$8)</f>
        <v/>
      </c>
      <c r="AO191">
        <f>IFERROR(IF(AX191&lt;($AM$9-$AL$9)/($AN$9-$AL$9),$AL$9+SQRT(AX191*($AN$9-$AL$9)*($AM$9-$AL$9)),$AN$9-SQRT((1-AX191)*($AN$9-$AL$9)*($AN$9-$AM$9))),$AM$9)</f>
        <v/>
      </c>
      <c r="AP191">
        <f>IFERROR(IF(AY191&lt;($AM$10-$AL$10)/($AN$10-$AL$10),$AL$10+SQRT(AY191*($AN$10-$AL$10)*($AM$10-$AL$10)),$AN$10-SQRT((1-AY191)*($AN$10-$AL$10)*($AN$10-$AM$10))),$AM$10)</f>
        <v/>
      </c>
      <c r="AQ191">
        <f>IFERROR(IF(AZ191&lt;($AM$11-$AL$11)/($AN$11-$AL$11),$AL$11+SQRT(AZ191*($AN$11-$AL$11)*($AM$11-$AL$11)),$AN$11-SQRT((1-AZ191)*($AN$11-$AL$11)*($AN$11-$AM$11))),$AM$11)</f>
        <v/>
      </c>
      <c r="AR191">
        <f>SUMPRODUCT((B24:B31&lt;=$B$6)*(C24:C31*AM191+D24:D31*AO191*$B$8*AQ191)/(1+AL191/100)^B24:B31)+C32*AM191*AP191/(1+AL191/100)^$B$6</f>
        <v/>
      </c>
      <c r="AS191">
        <f>SUMPRODUCT((K24:K26&lt;=$B$6)*(L24:L26*AN191+M24:M26*AO191*$B$8*AQ191)/(1+AL191/100)^K24:K26)+L27*AN191*AP191/(1+AL191/100)^$B$6</f>
        <v/>
      </c>
      <c r="AT191">
        <f>AS191-AR191</f>
        <v/>
      </c>
      <c r="AU191">
        <f>RAND()</f>
        <v/>
      </c>
      <c r="AV191">
        <f>RAND()</f>
        <v/>
      </c>
      <c r="AW191">
        <f>RAND()</f>
        <v/>
      </c>
      <c r="AX191">
        <f>RAND()</f>
        <v/>
      </c>
      <c r="AY191">
        <f>RAND()</f>
        <v/>
      </c>
      <c r="AZ191">
        <f>RAND()</f>
        <v/>
      </c>
    </row>
    <row r="192">
      <c r="AK192" t="n">
        <v>179</v>
      </c>
      <c r="AL192">
        <f>IFERROR(IF(AU192&lt;($AM$6-$AL$6)/($AN$6-$AL$6),$AL$6+SQRT(AU192*($AN$6-$AL$6)*($AM$6-$AL$6)),$AN$6-SQRT((1-AU192)*($AN$6-$AL$6)*($AN$6-$AM$6))),$AM$6)</f>
        <v/>
      </c>
      <c r="AM192">
        <f>IFERROR(IF(AV192&lt;($AM$7-$AL$7)/($AN$7-$AL$7),$AL$7+SQRT(AV192*($AN$7-$AL$7)*($AM$7-$AL$7)),$AN$7-SQRT((1-AV192)*($AN$7-$AL$7)*($AN$7-$AM$7))),$AM$7)</f>
        <v/>
      </c>
      <c r="AN192">
        <f>IFERROR(IF(AW192&lt;($AM$8-$AL$8)/($AN$8-$AL$8),$AL$8+SQRT(AW192*($AN$8-$AL$8)*($AM$8-$AL$8)),$AN$8-SQRT((1-AW192)*($AN$8-$AL$8)*($AN$8-$AM$8))),$AM$8)</f>
        <v/>
      </c>
      <c r="AO192">
        <f>IFERROR(IF(AX192&lt;($AM$9-$AL$9)/($AN$9-$AL$9),$AL$9+SQRT(AX192*($AN$9-$AL$9)*($AM$9-$AL$9)),$AN$9-SQRT((1-AX192)*($AN$9-$AL$9)*($AN$9-$AM$9))),$AM$9)</f>
        <v/>
      </c>
      <c r="AP192">
        <f>IFERROR(IF(AY192&lt;($AM$10-$AL$10)/($AN$10-$AL$10),$AL$10+SQRT(AY192*($AN$10-$AL$10)*($AM$10-$AL$10)),$AN$10-SQRT((1-AY192)*($AN$10-$AL$10)*($AN$10-$AM$10))),$AM$10)</f>
        <v/>
      </c>
      <c r="AQ192">
        <f>IFERROR(IF(AZ192&lt;($AM$11-$AL$11)/($AN$11-$AL$11),$AL$11+SQRT(AZ192*($AN$11-$AL$11)*($AM$11-$AL$11)),$AN$11-SQRT((1-AZ192)*($AN$11-$AL$11)*($AN$11-$AM$11))),$AM$11)</f>
        <v/>
      </c>
      <c r="AR192">
        <f>SUMPRODUCT((B24:B31&lt;=$B$6)*(C24:C31*AM192+D24:D31*AO192*$B$8*AQ192)/(1+AL192/100)^B24:B31)+C32*AM192*AP192/(1+AL192/100)^$B$6</f>
        <v/>
      </c>
      <c r="AS192">
        <f>SUMPRODUCT((K24:K26&lt;=$B$6)*(L24:L26*AN192+M24:M26*AO192*$B$8*AQ192)/(1+AL192/100)^K24:K26)+L27*AN192*AP192/(1+AL192/100)^$B$6</f>
        <v/>
      </c>
      <c r="AT192">
        <f>AS192-AR192</f>
        <v/>
      </c>
      <c r="AU192">
        <f>RAND()</f>
        <v/>
      </c>
      <c r="AV192">
        <f>RAND()</f>
        <v/>
      </c>
      <c r="AW192">
        <f>RAND()</f>
        <v/>
      </c>
      <c r="AX192">
        <f>RAND()</f>
        <v/>
      </c>
      <c r="AY192">
        <f>RAND()</f>
        <v/>
      </c>
      <c r="AZ192">
        <f>RAND()</f>
        <v/>
      </c>
    </row>
    <row r="193">
      <c r="AK193" t="n">
        <v>180</v>
      </c>
      <c r="AL193">
        <f>IFERROR(IF(AU193&lt;($AM$6-$AL$6)/($AN$6-$AL$6),$AL$6+SQRT(AU193*($AN$6-$AL$6)*($AM$6-$AL$6)),$AN$6-SQRT((1-AU193)*($AN$6-$AL$6)*($AN$6-$AM$6))),$AM$6)</f>
        <v/>
      </c>
      <c r="AM193">
        <f>IFERROR(IF(AV193&lt;($AM$7-$AL$7)/($AN$7-$AL$7),$AL$7+SQRT(AV193*($AN$7-$AL$7)*($AM$7-$AL$7)),$AN$7-SQRT((1-AV193)*($AN$7-$AL$7)*($AN$7-$AM$7))),$AM$7)</f>
        <v/>
      </c>
      <c r="AN193">
        <f>IFERROR(IF(AW193&lt;($AM$8-$AL$8)/($AN$8-$AL$8),$AL$8+SQRT(AW193*($AN$8-$AL$8)*($AM$8-$AL$8)),$AN$8-SQRT((1-AW193)*($AN$8-$AL$8)*($AN$8-$AM$8))),$AM$8)</f>
        <v/>
      </c>
      <c r="AO193">
        <f>IFERROR(IF(AX193&lt;($AM$9-$AL$9)/($AN$9-$AL$9),$AL$9+SQRT(AX193*($AN$9-$AL$9)*($AM$9-$AL$9)),$AN$9-SQRT((1-AX193)*($AN$9-$AL$9)*($AN$9-$AM$9))),$AM$9)</f>
        <v/>
      </c>
      <c r="AP193">
        <f>IFERROR(IF(AY193&lt;($AM$10-$AL$10)/($AN$10-$AL$10),$AL$10+SQRT(AY193*($AN$10-$AL$10)*($AM$10-$AL$10)),$AN$10-SQRT((1-AY193)*($AN$10-$AL$10)*($AN$10-$AM$10))),$AM$10)</f>
        <v/>
      </c>
      <c r="AQ193">
        <f>IFERROR(IF(AZ193&lt;($AM$11-$AL$11)/($AN$11-$AL$11),$AL$11+SQRT(AZ193*($AN$11-$AL$11)*($AM$11-$AL$11)),$AN$11-SQRT((1-AZ193)*($AN$11-$AL$11)*($AN$11-$AM$11))),$AM$11)</f>
        <v/>
      </c>
      <c r="AR193">
        <f>SUMPRODUCT((B24:B31&lt;=$B$6)*(C24:C31*AM193+D24:D31*AO193*$B$8*AQ193)/(1+AL193/100)^B24:B31)+C32*AM193*AP193/(1+AL193/100)^$B$6</f>
        <v/>
      </c>
      <c r="AS193">
        <f>SUMPRODUCT((K24:K26&lt;=$B$6)*(L24:L26*AN193+M24:M26*AO193*$B$8*AQ193)/(1+AL193/100)^K24:K26)+L27*AN193*AP193/(1+AL193/100)^$B$6</f>
        <v/>
      </c>
      <c r="AT193">
        <f>AS193-AR193</f>
        <v/>
      </c>
      <c r="AU193">
        <f>RAND()</f>
        <v/>
      </c>
      <c r="AV193">
        <f>RAND()</f>
        <v/>
      </c>
      <c r="AW193">
        <f>RAND()</f>
        <v/>
      </c>
      <c r="AX193">
        <f>RAND()</f>
        <v/>
      </c>
      <c r="AY193">
        <f>RAND()</f>
        <v/>
      </c>
      <c r="AZ193">
        <f>RAND()</f>
        <v/>
      </c>
    </row>
    <row r="194">
      <c r="AK194" t="n">
        <v>181</v>
      </c>
      <c r="AL194">
        <f>IFERROR(IF(AU194&lt;($AM$6-$AL$6)/($AN$6-$AL$6),$AL$6+SQRT(AU194*($AN$6-$AL$6)*($AM$6-$AL$6)),$AN$6-SQRT((1-AU194)*($AN$6-$AL$6)*($AN$6-$AM$6))),$AM$6)</f>
        <v/>
      </c>
      <c r="AM194">
        <f>IFERROR(IF(AV194&lt;($AM$7-$AL$7)/($AN$7-$AL$7),$AL$7+SQRT(AV194*($AN$7-$AL$7)*($AM$7-$AL$7)),$AN$7-SQRT((1-AV194)*($AN$7-$AL$7)*($AN$7-$AM$7))),$AM$7)</f>
        <v/>
      </c>
      <c r="AN194">
        <f>IFERROR(IF(AW194&lt;($AM$8-$AL$8)/($AN$8-$AL$8),$AL$8+SQRT(AW194*($AN$8-$AL$8)*($AM$8-$AL$8)),$AN$8-SQRT((1-AW194)*($AN$8-$AL$8)*($AN$8-$AM$8))),$AM$8)</f>
        <v/>
      </c>
      <c r="AO194">
        <f>IFERROR(IF(AX194&lt;($AM$9-$AL$9)/($AN$9-$AL$9),$AL$9+SQRT(AX194*($AN$9-$AL$9)*($AM$9-$AL$9)),$AN$9-SQRT((1-AX194)*($AN$9-$AL$9)*($AN$9-$AM$9))),$AM$9)</f>
        <v/>
      </c>
      <c r="AP194">
        <f>IFERROR(IF(AY194&lt;($AM$10-$AL$10)/($AN$10-$AL$10),$AL$10+SQRT(AY194*($AN$10-$AL$10)*($AM$10-$AL$10)),$AN$10-SQRT((1-AY194)*($AN$10-$AL$10)*($AN$10-$AM$10))),$AM$10)</f>
        <v/>
      </c>
      <c r="AQ194">
        <f>IFERROR(IF(AZ194&lt;($AM$11-$AL$11)/($AN$11-$AL$11),$AL$11+SQRT(AZ194*($AN$11-$AL$11)*($AM$11-$AL$11)),$AN$11-SQRT((1-AZ194)*($AN$11-$AL$11)*($AN$11-$AM$11))),$AM$11)</f>
        <v/>
      </c>
      <c r="AR194">
        <f>SUMPRODUCT((B24:B31&lt;=$B$6)*(C24:C31*AM194+D24:D31*AO194*$B$8*AQ194)/(1+AL194/100)^B24:B31)+C32*AM194*AP194/(1+AL194/100)^$B$6</f>
        <v/>
      </c>
      <c r="AS194">
        <f>SUMPRODUCT((K24:K26&lt;=$B$6)*(L24:L26*AN194+M24:M26*AO194*$B$8*AQ194)/(1+AL194/100)^K24:K26)+L27*AN194*AP194/(1+AL194/100)^$B$6</f>
        <v/>
      </c>
      <c r="AT194">
        <f>AS194-AR194</f>
        <v/>
      </c>
      <c r="AU194">
        <f>RAND()</f>
        <v/>
      </c>
      <c r="AV194">
        <f>RAND()</f>
        <v/>
      </c>
      <c r="AW194">
        <f>RAND()</f>
        <v/>
      </c>
      <c r="AX194">
        <f>RAND()</f>
        <v/>
      </c>
      <c r="AY194">
        <f>RAND()</f>
        <v/>
      </c>
      <c r="AZ194">
        <f>RAND()</f>
        <v/>
      </c>
    </row>
    <row r="195">
      <c r="AK195" t="n">
        <v>182</v>
      </c>
      <c r="AL195">
        <f>IFERROR(IF(AU195&lt;($AM$6-$AL$6)/($AN$6-$AL$6),$AL$6+SQRT(AU195*($AN$6-$AL$6)*($AM$6-$AL$6)),$AN$6-SQRT((1-AU195)*($AN$6-$AL$6)*($AN$6-$AM$6))),$AM$6)</f>
        <v/>
      </c>
      <c r="AM195">
        <f>IFERROR(IF(AV195&lt;($AM$7-$AL$7)/($AN$7-$AL$7),$AL$7+SQRT(AV195*($AN$7-$AL$7)*($AM$7-$AL$7)),$AN$7-SQRT((1-AV195)*($AN$7-$AL$7)*($AN$7-$AM$7))),$AM$7)</f>
        <v/>
      </c>
      <c r="AN195">
        <f>IFERROR(IF(AW195&lt;($AM$8-$AL$8)/($AN$8-$AL$8),$AL$8+SQRT(AW195*($AN$8-$AL$8)*($AM$8-$AL$8)),$AN$8-SQRT((1-AW195)*($AN$8-$AL$8)*($AN$8-$AM$8))),$AM$8)</f>
        <v/>
      </c>
      <c r="AO195">
        <f>IFERROR(IF(AX195&lt;($AM$9-$AL$9)/($AN$9-$AL$9),$AL$9+SQRT(AX195*($AN$9-$AL$9)*($AM$9-$AL$9)),$AN$9-SQRT((1-AX195)*($AN$9-$AL$9)*($AN$9-$AM$9))),$AM$9)</f>
        <v/>
      </c>
      <c r="AP195">
        <f>IFERROR(IF(AY195&lt;($AM$10-$AL$10)/($AN$10-$AL$10),$AL$10+SQRT(AY195*($AN$10-$AL$10)*($AM$10-$AL$10)),$AN$10-SQRT((1-AY195)*($AN$10-$AL$10)*($AN$10-$AM$10))),$AM$10)</f>
        <v/>
      </c>
      <c r="AQ195">
        <f>IFERROR(IF(AZ195&lt;($AM$11-$AL$11)/($AN$11-$AL$11),$AL$11+SQRT(AZ195*($AN$11-$AL$11)*($AM$11-$AL$11)),$AN$11-SQRT((1-AZ195)*($AN$11-$AL$11)*($AN$11-$AM$11))),$AM$11)</f>
        <v/>
      </c>
      <c r="AR195">
        <f>SUMPRODUCT((B24:B31&lt;=$B$6)*(C24:C31*AM195+D24:D31*AO195*$B$8*AQ195)/(1+AL195/100)^B24:B31)+C32*AM195*AP195/(1+AL195/100)^$B$6</f>
        <v/>
      </c>
      <c r="AS195">
        <f>SUMPRODUCT((K24:K26&lt;=$B$6)*(L24:L26*AN195+M24:M26*AO195*$B$8*AQ195)/(1+AL195/100)^K24:K26)+L27*AN195*AP195/(1+AL195/100)^$B$6</f>
        <v/>
      </c>
      <c r="AT195">
        <f>AS195-AR195</f>
        <v/>
      </c>
      <c r="AU195">
        <f>RAND()</f>
        <v/>
      </c>
      <c r="AV195">
        <f>RAND()</f>
        <v/>
      </c>
      <c r="AW195">
        <f>RAND()</f>
        <v/>
      </c>
      <c r="AX195">
        <f>RAND()</f>
        <v/>
      </c>
      <c r="AY195">
        <f>RAND()</f>
        <v/>
      </c>
      <c r="AZ195">
        <f>RAND()</f>
        <v/>
      </c>
    </row>
    <row r="196">
      <c r="AK196" t="n">
        <v>183</v>
      </c>
      <c r="AL196">
        <f>IFERROR(IF(AU196&lt;($AM$6-$AL$6)/($AN$6-$AL$6),$AL$6+SQRT(AU196*($AN$6-$AL$6)*($AM$6-$AL$6)),$AN$6-SQRT((1-AU196)*($AN$6-$AL$6)*($AN$6-$AM$6))),$AM$6)</f>
        <v/>
      </c>
      <c r="AM196">
        <f>IFERROR(IF(AV196&lt;($AM$7-$AL$7)/($AN$7-$AL$7),$AL$7+SQRT(AV196*($AN$7-$AL$7)*($AM$7-$AL$7)),$AN$7-SQRT((1-AV196)*($AN$7-$AL$7)*($AN$7-$AM$7))),$AM$7)</f>
        <v/>
      </c>
      <c r="AN196">
        <f>IFERROR(IF(AW196&lt;($AM$8-$AL$8)/($AN$8-$AL$8),$AL$8+SQRT(AW196*($AN$8-$AL$8)*($AM$8-$AL$8)),$AN$8-SQRT((1-AW196)*($AN$8-$AL$8)*($AN$8-$AM$8))),$AM$8)</f>
        <v/>
      </c>
      <c r="AO196">
        <f>IFERROR(IF(AX196&lt;($AM$9-$AL$9)/($AN$9-$AL$9),$AL$9+SQRT(AX196*($AN$9-$AL$9)*($AM$9-$AL$9)),$AN$9-SQRT((1-AX196)*($AN$9-$AL$9)*($AN$9-$AM$9))),$AM$9)</f>
        <v/>
      </c>
      <c r="AP196">
        <f>IFERROR(IF(AY196&lt;($AM$10-$AL$10)/($AN$10-$AL$10),$AL$10+SQRT(AY196*($AN$10-$AL$10)*($AM$10-$AL$10)),$AN$10-SQRT((1-AY196)*($AN$10-$AL$10)*($AN$10-$AM$10))),$AM$10)</f>
        <v/>
      </c>
      <c r="AQ196">
        <f>IFERROR(IF(AZ196&lt;($AM$11-$AL$11)/($AN$11-$AL$11),$AL$11+SQRT(AZ196*($AN$11-$AL$11)*($AM$11-$AL$11)),$AN$11-SQRT((1-AZ196)*($AN$11-$AL$11)*($AN$11-$AM$11))),$AM$11)</f>
        <v/>
      </c>
      <c r="AR196">
        <f>SUMPRODUCT((B24:B31&lt;=$B$6)*(C24:C31*AM196+D24:D31*AO196*$B$8*AQ196)/(1+AL196/100)^B24:B31)+C32*AM196*AP196/(1+AL196/100)^$B$6</f>
        <v/>
      </c>
      <c r="AS196">
        <f>SUMPRODUCT((K24:K26&lt;=$B$6)*(L24:L26*AN196+M24:M26*AO196*$B$8*AQ196)/(1+AL196/100)^K24:K26)+L27*AN196*AP196/(1+AL196/100)^$B$6</f>
        <v/>
      </c>
      <c r="AT196">
        <f>AS196-AR196</f>
        <v/>
      </c>
      <c r="AU196">
        <f>RAND()</f>
        <v/>
      </c>
      <c r="AV196">
        <f>RAND()</f>
        <v/>
      </c>
      <c r="AW196">
        <f>RAND()</f>
        <v/>
      </c>
      <c r="AX196">
        <f>RAND()</f>
        <v/>
      </c>
      <c r="AY196">
        <f>RAND()</f>
        <v/>
      </c>
      <c r="AZ196">
        <f>RAND()</f>
        <v/>
      </c>
    </row>
    <row r="197">
      <c r="AK197" t="n">
        <v>184</v>
      </c>
      <c r="AL197">
        <f>IFERROR(IF(AU197&lt;($AM$6-$AL$6)/($AN$6-$AL$6),$AL$6+SQRT(AU197*($AN$6-$AL$6)*($AM$6-$AL$6)),$AN$6-SQRT((1-AU197)*($AN$6-$AL$6)*($AN$6-$AM$6))),$AM$6)</f>
        <v/>
      </c>
      <c r="AM197">
        <f>IFERROR(IF(AV197&lt;($AM$7-$AL$7)/($AN$7-$AL$7),$AL$7+SQRT(AV197*($AN$7-$AL$7)*($AM$7-$AL$7)),$AN$7-SQRT((1-AV197)*($AN$7-$AL$7)*($AN$7-$AM$7))),$AM$7)</f>
        <v/>
      </c>
      <c r="AN197">
        <f>IFERROR(IF(AW197&lt;($AM$8-$AL$8)/($AN$8-$AL$8),$AL$8+SQRT(AW197*($AN$8-$AL$8)*($AM$8-$AL$8)),$AN$8-SQRT((1-AW197)*($AN$8-$AL$8)*($AN$8-$AM$8))),$AM$8)</f>
        <v/>
      </c>
      <c r="AO197">
        <f>IFERROR(IF(AX197&lt;($AM$9-$AL$9)/($AN$9-$AL$9),$AL$9+SQRT(AX197*($AN$9-$AL$9)*($AM$9-$AL$9)),$AN$9-SQRT((1-AX197)*($AN$9-$AL$9)*($AN$9-$AM$9))),$AM$9)</f>
        <v/>
      </c>
      <c r="AP197">
        <f>IFERROR(IF(AY197&lt;($AM$10-$AL$10)/($AN$10-$AL$10),$AL$10+SQRT(AY197*($AN$10-$AL$10)*($AM$10-$AL$10)),$AN$10-SQRT((1-AY197)*($AN$10-$AL$10)*($AN$10-$AM$10))),$AM$10)</f>
        <v/>
      </c>
      <c r="AQ197">
        <f>IFERROR(IF(AZ197&lt;($AM$11-$AL$11)/($AN$11-$AL$11),$AL$11+SQRT(AZ197*($AN$11-$AL$11)*($AM$11-$AL$11)),$AN$11-SQRT((1-AZ197)*($AN$11-$AL$11)*($AN$11-$AM$11))),$AM$11)</f>
        <v/>
      </c>
      <c r="AR197">
        <f>SUMPRODUCT((B24:B31&lt;=$B$6)*(C24:C31*AM197+D24:D31*AO197*$B$8*AQ197)/(1+AL197/100)^B24:B31)+C32*AM197*AP197/(1+AL197/100)^$B$6</f>
        <v/>
      </c>
      <c r="AS197">
        <f>SUMPRODUCT((K24:K26&lt;=$B$6)*(L24:L26*AN197+M24:M26*AO197*$B$8*AQ197)/(1+AL197/100)^K24:K26)+L27*AN197*AP197/(1+AL197/100)^$B$6</f>
        <v/>
      </c>
      <c r="AT197">
        <f>AS197-AR197</f>
        <v/>
      </c>
      <c r="AU197">
        <f>RAND()</f>
        <v/>
      </c>
      <c r="AV197">
        <f>RAND()</f>
        <v/>
      </c>
      <c r="AW197">
        <f>RAND()</f>
        <v/>
      </c>
      <c r="AX197">
        <f>RAND()</f>
        <v/>
      </c>
      <c r="AY197">
        <f>RAND()</f>
        <v/>
      </c>
      <c r="AZ197">
        <f>RAND()</f>
        <v/>
      </c>
    </row>
    <row r="198">
      <c r="AK198" t="n">
        <v>185</v>
      </c>
      <c r="AL198">
        <f>IFERROR(IF(AU198&lt;($AM$6-$AL$6)/($AN$6-$AL$6),$AL$6+SQRT(AU198*($AN$6-$AL$6)*($AM$6-$AL$6)),$AN$6-SQRT((1-AU198)*($AN$6-$AL$6)*($AN$6-$AM$6))),$AM$6)</f>
        <v/>
      </c>
      <c r="AM198">
        <f>IFERROR(IF(AV198&lt;($AM$7-$AL$7)/($AN$7-$AL$7),$AL$7+SQRT(AV198*($AN$7-$AL$7)*($AM$7-$AL$7)),$AN$7-SQRT((1-AV198)*($AN$7-$AL$7)*($AN$7-$AM$7))),$AM$7)</f>
        <v/>
      </c>
      <c r="AN198">
        <f>IFERROR(IF(AW198&lt;($AM$8-$AL$8)/($AN$8-$AL$8),$AL$8+SQRT(AW198*($AN$8-$AL$8)*($AM$8-$AL$8)),$AN$8-SQRT((1-AW198)*($AN$8-$AL$8)*($AN$8-$AM$8))),$AM$8)</f>
        <v/>
      </c>
      <c r="AO198">
        <f>IFERROR(IF(AX198&lt;($AM$9-$AL$9)/($AN$9-$AL$9),$AL$9+SQRT(AX198*($AN$9-$AL$9)*($AM$9-$AL$9)),$AN$9-SQRT((1-AX198)*($AN$9-$AL$9)*($AN$9-$AM$9))),$AM$9)</f>
        <v/>
      </c>
      <c r="AP198">
        <f>IFERROR(IF(AY198&lt;($AM$10-$AL$10)/($AN$10-$AL$10),$AL$10+SQRT(AY198*($AN$10-$AL$10)*($AM$10-$AL$10)),$AN$10-SQRT((1-AY198)*($AN$10-$AL$10)*($AN$10-$AM$10))),$AM$10)</f>
        <v/>
      </c>
      <c r="AQ198">
        <f>IFERROR(IF(AZ198&lt;($AM$11-$AL$11)/($AN$11-$AL$11),$AL$11+SQRT(AZ198*($AN$11-$AL$11)*($AM$11-$AL$11)),$AN$11-SQRT((1-AZ198)*($AN$11-$AL$11)*($AN$11-$AM$11))),$AM$11)</f>
        <v/>
      </c>
      <c r="AR198">
        <f>SUMPRODUCT((B24:B31&lt;=$B$6)*(C24:C31*AM198+D24:D31*AO198*$B$8*AQ198)/(1+AL198/100)^B24:B31)+C32*AM198*AP198/(1+AL198/100)^$B$6</f>
        <v/>
      </c>
      <c r="AS198">
        <f>SUMPRODUCT((K24:K26&lt;=$B$6)*(L24:L26*AN198+M24:M26*AO198*$B$8*AQ198)/(1+AL198/100)^K24:K26)+L27*AN198*AP198/(1+AL198/100)^$B$6</f>
        <v/>
      </c>
      <c r="AT198">
        <f>AS198-AR198</f>
        <v/>
      </c>
      <c r="AU198">
        <f>RAND()</f>
        <v/>
      </c>
      <c r="AV198">
        <f>RAND()</f>
        <v/>
      </c>
      <c r="AW198">
        <f>RAND()</f>
        <v/>
      </c>
      <c r="AX198">
        <f>RAND()</f>
        <v/>
      </c>
      <c r="AY198">
        <f>RAND()</f>
        <v/>
      </c>
      <c r="AZ198">
        <f>RAND()</f>
        <v/>
      </c>
    </row>
    <row r="199">
      <c r="AK199" t="n">
        <v>186</v>
      </c>
      <c r="AL199">
        <f>IFERROR(IF(AU199&lt;($AM$6-$AL$6)/($AN$6-$AL$6),$AL$6+SQRT(AU199*($AN$6-$AL$6)*($AM$6-$AL$6)),$AN$6-SQRT((1-AU199)*($AN$6-$AL$6)*($AN$6-$AM$6))),$AM$6)</f>
        <v/>
      </c>
      <c r="AM199">
        <f>IFERROR(IF(AV199&lt;($AM$7-$AL$7)/($AN$7-$AL$7),$AL$7+SQRT(AV199*($AN$7-$AL$7)*($AM$7-$AL$7)),$AN$7-SQRT((1-AV199)*($AN$7-$AL$7)*($AN$7-$AM$7))),$AM$7)</f>
        <v/>
      </c>
      <c r="AN199">
        <f>IFERROR(IF(AW199&lt;($AM$8-$AL$8)/($AN$8-$AL$8),$AL$8+SQRT(AW199*($AN$8-$AL$8)*($AM$8-$AL$8)),$AN$8-SQRT((1-AW199)*($AN$8-$AL$8)*($AN$8-$AM$8))),$AM$8)</f>
        <v/>
      </c>
      <c r="AO199">
        <f>IFERROR(IF(AX199&lt;($AM$9-$AL$9)/($AN$9-$AL$9),$AL$9+SQRT(AX199*($AN$9-$AL$9)*($AM$9-$AL$9)),$AN$9-SQRT((1-AX199)*($AN$9-$AL$9)*($AN$9-$AM$9))),$AM$9)</f>
        <v/>
      </c>
      <c r="AP199">
        <f>IFERROR(IF(AY199&lt;($AM$10-$AL$10)/($AN$10-$AL$10),$AL$10+SQRT(AY199*($AN$10-$AL$10)*($AM$10-$AL$10)),$AN$10-SQRT((1-AY199)*($AN$10-$AL$10)*($AN$10-$AM$10))),$AM$10)</f>
        <v/>
      </c>
      <c r="AQ199">
        <f>IFERROR(IF(AZ199&lt;($AM$11-$AL$11)/($AN$11-$AL$11),$AL$11+SQRT(AZ199*($AN$11-$AL$11)*($AM$11-$AL$11)),$AN$11-SQRT((1-AZ199)*($AN$11-$AL$11)*($AN$11-$AM$11))),$AM$11)</f>
        <v/>
      </c>
      <c r="AR199">
        <f>SUMPRODUCT((B24:B31&lt;=$B$6)*(C24:C31*AM199+D24:D31*AO199*$B$8*AQ199)/(1+AL199/100)^B24:B31)+C32*AM199*AP199/(1+AL199/100)^$B$6</f>
        <v/>
      </c>
      <c r="AS199">
        <f>SUMPRODUCT((K24:K26&lt;=$B$6)*(L24:L26*AN199+M24:M26*AO199*$B$8*AQ199)/(1+AL199/100)^K24:K26)+L27*AN199*AP199/(1+AL199/100)^$B$6</f>
        <v/>
      </c>
      <c r="AT199">
        <f>AS199-AR199</f>
        <v/>
      </c>
      <c r="AU199">
        <f>RAND()</f>
        <v/>
      </c>
      <c r="AV199">
        <f>RAND()</f>
        <v/>
      </c>
      <c r="AW199">
        <f>RAND()</f>
        <v/>
      </c>
      <c r="AX199">
        <f>RAND()</f>
        <v/>
      </c>
      <c r="AY199">
        <f>RAND()</f>
        <v/>
      </c>
      <c r="AZ199">
        <f>RAND()</f>
        <v/>
      </c>
    </row>
    <row r="200">
      <c r="AK200" t="n">
        <v>187</v>
      </c>
      <c r="AL200">
        <f>IFERROR(IF(AU200&lt;($AM$6-$AL$6)/($AN$6-$AL$6),$AL$6+SQRT(AU200*($AN$6-$AL$6)*($AM$6-$AL$6)),$AN$6-SQRT((1-AU200)*($AN$6-$AL$6)*($AN$6-$AM$6))),$AM$6)</f>
        <v/>
      </c>
      <c r="AM200">
        <f>IFERROR(IF(AV200&lt;($AM$7-$AL$7)/($AN$7-$AL$7),$AL$7+SQRT(AV200*($AN$7-$AL$7)*($AM$7-$AL$7)),$AN$7-SQRT((1-AV200)*($AN$7-$AL$7)*($AN$7-$AM$7))),$AM$7)</f>
        <v/>
      </c>
      <c r="AN200">
        <f>IFERROR(IF(AW200&lt;($AM$8-$AL$8)/($AN$8-$AL$8),$AL$8+SQRT(AW200*($AN$8-$AL$8)*($AM$8-$AL$8)),$AN$8-SQRT((1-AW200)*($AN$8-$AL$8)*($AN$8-$AM$8))),$AM$8)</f>
        <v/>
      </c>
      <c r="AO200">
        <f>IFERROR(IF(AX200&lt;($AM$9-$AL$9)/($AN$9-$AL$9),$AL$9+SQRT(AX200*($AN$9-$AL$9)*($AM$9-$AL$9)),$AN$9-SQRT((1-AX200)*($AN$9-$AL$9)*($AN$9-$AM$9))),$AM$9)</f>
        <v/>
      </c>
      <c r="AP200">
        <f>IFERROR(IF(AY200&lt;($AM$10-$AL$10)/($AN$10-$AL$10),$AL$10+SQRT(AY200*($AN$10-$AL$10)*($AM$10-$AL$10)),$AN$10-SQRT((1-AY200)*($AN$10-$AL$10)*($AN$10-$AM$10))),$AM$10)</f>
        <v/>
      </c>
      <c r="AQ200">
        <f>IFERROR(IF(AZ200&lt;($AM$11-$AL$11)/($AN$11-$AL$11),$AL$11+SQRT(AZ200*($AN$11-$AL$11)*($AM$11-$AL$11)),$AN$11-SQRT((1-AZ200)*($AN$11-$AL$11)*($AN$11-$AM$11))),$AM$11)</f>
        <v/>
      </c>
      <c r="AR200">
        <f>SUMPRODUCT((B24:B31&lt;=$B$6)*(C24:C31*AM200+D24:D31*AO200*$B$8*AQ200)/(1+AL200/100)^B24:B31)+C32*AM200*AP200/(1+AL200/100)^$B$6</f>
        <v/>
      </c>
      <c r="AS200">
        <f>SUMPRODUCT((K24:K26&lt;=$B$6)*(L24:L26*AN200+M24:M26*AO200*$B$8*AQ200)/(1+AL200/100)^K24:K26)+L27*AN200*AP200/(1+AL200/100)^$B$6</f>
        <v/>
      </c>
      <c r="AT200">
        <f>AS200-AR200</f>
        <v/>
      </c>
      <c r="AU200">
        <f>RAND()</f>
        <v/>
      </c>
      <c r="AV200">
        <f>RAND()</f>
        <v/>
      </c>
      <c r="AW200">
        <f>RAND()</f>
        <v/>
      </c>
      <c r="AX200">
        <f>RAND()</f>
        <v/>
      </c>
      <c r="AY200">
        <f>RAND()</f>
        <v/>
      </c>
      <c r="AZ200">
        <f>RAND()</f>
        <v/>
      </c>
    </row>
    <row r="201">
      <c r="AK201" t="n">
        <v>188</v>
      </c>
      <c r="AL201">
        <f>IFERROR(IF(AU201&lt;($AM$6-$AL$6)/($AN$6-$AL$6),$AL$6+SQRT(AU201*($AN$6-$AL$6)*($AM$6-$AL$6)),$AN$6-SQRT((1-AU201)*($AN$6-$AL$6)*($AN$6-$AM$6))),$AM$6)</f>
        <v/>
      </c>
      <c r="AM201">
        <f>IFERROR(IF(AV201&lt;($AM$7-$AL$7)/($AN$7-$AL$7),$AL$7+SQRT(AV201*($AN$7-$AL$7)*($AM$7-$AL$7)),$AN$7-SQRT((1-AV201)*($AN$7-$AL$7)*($AN$7-$AM$7))),$AM$7)</f>
        <v/>
      </c>
      <c r="AN201">
        <f>IFERROR(IF(AW201&lt;($AM$8-$AL$8)/($AN$8-$AL$8),$AL$8+SQRT(AW201*($AN$8-$AL$8)*($AM$8-$AL$8)),$AN$8-SQRT((1-AW201)*($AN$8-$AL$8)*($AN$8-$AM$8))),$AM$8)</f>
        <v/>
      </c>
      <c r="AO201">
        <f>IFERROR(IF(AX201&lt;($AM$9-$AL$9)/($AN$9-$AL$9),$AL$9+SQRT(AX201*($AN$9-$AL$9)*($AM$9-$AL$9)),$AN$9-SQRT((1-AX201)*($AN$9-$AL$9)*($AN$9-$AM$9))),$AM$9)</f>
        <v/>
      </c>
      <c r="AP201">
        <f>IFERROR(IF(AY201&lt;($AM$10-$AL$10)/($AN$10-$AL$10),$AL$10+SQRT(AY201*($AN$10-$AL$10)*($AM$10-$AL$10)),$AN$10-SQRT((1-AY201)*($AN$10-$AL$10)*($AN$10-$AM$10))),$AM$10)</f>
        <v/>
      </c>
      <c r="AQ201">
        <f>IFERROR(IF(AZ201&lt;($AM$11-$AL$11)/($AN$11-$AL$11),$AL$11+SQRT(AZ201*($AN$11-$AL$11)*($AM$11-$AL$11)),$AN$11-SQRT((1-AZ201)*($AN$11-$AL$11)*($AN$11-$AM$11))),$AM$11)</f>
        <v/>
      </c>
      <c r="AR201">
        <f>SUMPRODUCT((B24:B31&lt;=$B$6)*(C24:C31*AM201+D24:D31*AO201*$B$8*AQ201)/(1+AL201/100)^B24:B31)+C32*AM201*AP201/(1+AL201/100)^$B$6</f>
        <v/>
      </c>
      <c r="AS201">
        <f>SUMPRODUCT((K24:K26&lt;=$B$6)*(L24:L26*AN201+M24:M26*AO201*$B$8*AQ201)/(1+AL201/100)^K24:K26)+L27*AN201*AP201/(1+AL201/100)^$B$6</f>
        <v/>
      </c>
      <c r="AT201">
        <f>AS201-AR201</f>
        <v/>
      </c>
      <c r="AU201">
        <f>RAND()</f>
        <v/>
      </c>
      <c r="AV201">
        <f>RAND()</f>
        <v/>
      </c>
      <c r="AW201">
        <f>RAND()</f>
        <v/>
      </c>
      <c r="AX201">
        <f>RAND()</f>
        <v/>
      </c>
      <c r="AY201">
        <f>RAND()</f>
        <v/>
      </c>
      <c r="AZ201">
        <f>RAND()</f>
        <v/>
      </c>
    </row>
    <row r="202">
      <c r="AK202" t="n">
        <v>189</v>
      </c>
      <c r="AL202">
        <f>IFERROR(IF(AU202&lt;($AM$6-$AL$6)/($AN$6-$AL$6),$AL$6+SQRT(AU202*($AN$6-$AL$6)*($AM$6-$AL$6)),$AN$6-SQRT((1-AU202)*($AN$6-$AL$6)*($AN$6-$AM$6))),$AM$6)</f>
        <v/>
      </c>
      <c r="AM202">
        <f>IFERROR(IF(AV202&lt;($AM$7-$AL$7)/($AN$7-$AL$7),$AL$7+SQRT(AV202*($AN$7-$AL$7)*($AM$7-$AL$7)),$AN$7-SQRT((1-AV202)*($AN$7-$AL$7)*($AN$7-$AM$7))),$AM$7)</f>
        <v/>
      </c>
      <c r="AN202">
        <f>IFERROR(IF(AW202&lt;($AM$8-$AL$8)/($AN$8-$AL$8),$AL$8+SQRT(AW202*($AN$8-$AL$8)*($AM$8-$AL$8)),$AN$8-SQRT((1-AW202)*($AN$8-$AL$8)*($AN$8-$AM$8))),$AM$8)</f>
        <v/>
      </c>
      <c r="AO202">
        <f>IFERROR(IF(AX202&lt;($AM$9-$AL$9)/($AN$9-$AL$9),$AL$9+SQRT(AX202*($AN$9-$AL$9)*($AM$9-$AL$9)),$AN$9-SQRT((1-AX202)*($AN$9-$AL$9)*($AN$9-$AM$9))),$AM$9)</f>
        <v/>
      </c>
      <c r="AP202">
        <f>IFERROR(IF(AY202&lt;($AM$10-$AL$10)/($AN$10-$AL$10),$AL$10+SQRT(AY202*($AN$10-$AL$10)*($AM$10-$AL$10)),$AN$10-SQRT((1-AY202)*($AN$10-$AL$10)*($AN$10-$AM$10))),$AM$10)</f>
        <v/>
      </c>
      <c r="AQ202">
        <f>IFERROR(IF(AZ202&lt;($AM$11-$AL$11)/($AN$11-$AL$11),$AL$11+SQRT(AZ202*($AN$11-$AL$11)*($AM$11-$AL$11)),$AN$11-SQRT((1-AZ202)*($AN$11-$AL$11)*($AN$11-$AM$11))),$AM$11)</f>
        <v/>
      </c>
      <c r="AR202">
        <f>SUMPRODUCT((B24:B31&lt;=$B$6)*(C24:C31*AM202+D24:D31*AO202*$B$8*AQ202)/(1+AL202/100)^B24:B31)+C32*AM202*AP202/(1+AL202/100)^$B$6</f>
        <v/>
      </c>
      <c r="AS202">
        <f>SUMPRODUCT((K24:K26&lt;=$B$6)*(L24:L26*AN202+M24:M26*AO202*$B$8*AQ202)/(1+AL202/100)^K24:K26)+L27*AN202*AP202/(1+AL202/100)^$B$6</f>
        <v/>
      </c>
      <c r="AT202">
        <f>AS202-AR202</f>
        <v/>
      </c>
      <c r="AU202">
        <f>RAND()</f>
        <v/>
      </c>
      <c r="AV202">
        <f>RAND()</f>
        <v/>
      </c>
      <c r="AW202">
        <f>RAND()</f>
        <v/>
      </c>
      <c r="AX202">
        <f>RAND()</f>
        <v/>
      </c>
      <c r="AY202">
        <f>RAND()</f>
        <v/>
      </c>
      <c r="AZ202">
        <f>RAND()</f>
        <v/>
      </c>
    </row>
    <row r="203">
      <c r="AK203" t="n">
        <v>190</v>
      </c>
      <c r="AL203">
        <f>IFERROR(IF(AU203&lt;($AM$6-$AL$6)/($AN$6-$AL$6),$AL$6+SQRT(AU203*($AN$6-$AL$6)*($AM$6-$AL$6)),$AN$6-SQRT((1-AU203)*($AN$6-$AL$6)*($AN$6-$AM$6))),$AM$6)</f>
        <v/>
      </c>
      <c r="AM203">
        <f>IFERROR(IF(AV203&lt;($AM$7-$AL$7)/($AN$7-$AL$7),$AL$7+SQRT(AV203*($AN$7-$AL$7)*($AM$7-$AL$7)),$AN$7-SQRT((1-AV203)*($AN$7-$AL$7)*($AN$7-$AM$7))),$AM$7)</f>
        <v/>
      </c>
      <c r="AN203">
        <f>IFERROR(IF(AW203&lt;($AM$8-$AL$8)/($AN$8-$AL$8),$AL$8+SQRT(AW203*($AN$8-$AL$8)*($AM$8-$AL$8)),$AN$8-SQRT((1-AW203)*($AN$8-$AL$8)*($AN$8-$AM$8))),$AM$8)</f>
        <v/>
      </c>
      <c r="AO203">
        <f>IFERROR(IF(AX203&lt;($AM$9-$AL$9)/($AN$9-$AL$9),$AL$9+SQRT(AX203*($AN$9-$AL$9)*($AM$9-$AL$9)),$AN$9-SQRT((1-AX203)*($AN$9-$AL$9)*($AN$9-$AM$9))),$AM$9)</f>
        <v/>
      </c>
      <c r="AP203">
        <f>IFERROR(IF(AY203&lt;($AM$10-$AL$10)/($AN$10-$AL$10),$AL$10+SQRT(AY203*($AN$10-$AL$10)*($AM$10-$AL$10)),$AN$10-SQRT((1-AY203)*($AN$10-$AL$10)*($AN$10-$AM$10))),$AM$10)</f>
        <v/>
      </c>
      <c r="AQ203">
        <f>IFERROR(IF(AZ203&lt;($AM$11-$AL$11)/($AN$11-$AL$11),$AL$11+SQRT(AZ203*($AN$11-$AL$11)*($AM$11-$AL$11)),$AN$11-SQRT((1-AZ203)*($AN$11-$AL$11)*($AN$11-$AM$11))),$AM$11)</f>
        <v/>
      </c>
      <c r="AR203">
        <f>SUMPRODUCT((B24:B31&lt;=$B$6)*(C24:C31*AM203+D24:D31*AO203*$B$8*AQ203)/(1+AL203/100)^B24:B31)+C32*AM203*AP203/(1+AL203/100)^$B$6</f>
        <v/>
      </c>
      <c r="AS203">
        <f>SUMPRODUCT((K24:K26&lt;=$B$6)*(L24:L26*AN203+M24:M26*AO203*$B$8*AQ203)/(1+AL203/100)^K24:K26)+L27*AN203*AP203/(1+AL203/100)^$B$6</f>
        <v/>
      </c>
      <c r="AT203">
        <f>AS203-AR203</f>
        <v/>
      </c>
      <c r="AU203">
        <f>RAND()</f>
        <v/>
      </c>
      <c r="AV203">
        <f>RAND()</f>
        <v/>
      </c>
      <c r="AW203">
        <f>RAND()</f>
        <v/>
      </c>
      <c r="AX203">
        <f>RAND()</f>
        <v/>
      </c>
      <c r="AY203">
        <f>RAND()</f>
        <v/>
      </c>
      <c r="AZ203">
        <f>RAND()</f>
        <v/>
      </c>
    </row>
    <row r="204">
      <c r="AK204" t="n">
        <v>191</v>
      </c>
      <c r="AL204">
        <f>IFERROR(IF(AU204&lt;($AM$6-$AL$6)/($AN$6-$AL$6),$AL$6+SQRT(AU204*($AN$6-$AL$6)*($AM$6-$AL$6)),$AN$6-SQRT((1-AU204)*($AN$6-$AL$6)*($AN$6-$AM$6))),$AM$6)</f>
        <v/>
      </c>
      <c r="AM204">
        <f>IFERROR(IF(AV204&lt;($AM$7-$AL$7)/($AN$7-$AL$7),$AL$7+SQRT(AV204*($AN$7-$AL$7)*($AM$7-$AL$7)),$AN$7-SQRT((1-AV204)*($AN$7-$AL$7)*($AN$7-$AM$7))),$AM$7)</f>
        <v/>
      </c>
      <c r="AN204">
        <f>IFERROR(IF(AW204&lt;($AM$8-$AL$8)/($AN$8-$AL$8),$AL$8+SQRT(AW204*($AN$8-$AL$8)*($AM$8-$AL$8)),$AN$8-SQRT((1-AW204)*($AN$8-$AL$8)*($AN$8-$AM$8))),$AM$8)</f>
        <v/>
      </c>
      <c r="AO204">
        <f>IFERROR(IF(AX204&lt;($AM$9-$AL$9)/($AN$9-$AL$9),$AL$9+SQRT(AX204*($AN$9-$AL$9)*($AM$9-$AL$9)),$AN$9-SQRT((1-AX204)*($AN$9-$AL$9)*($AN$9-$AM$9))),$AM$9)</f>
        <v/>
      </c>
      <c r="AP204">
        <f>IFERROR(IF(AY204&lt;($AM$10-$AL$10)/($AN$10-$AL$10),$AL$10+SQRT(AY204*($AN$10-$AL$10)*($AM$10-$AL$10)),$AN$10-SQRT((1-AY204)*($AN$10-$AL$10)*($AN$10-$AM$10))),$AM$10)</f>
        <v/>
      </c>
      <c r="AQ204">
        <f>IFERROR(IF(AZ204&lt;($AM$11-$AL$11)/($AN$11-$AL$11),$AL$11+SQRT(AZ204*($AN$11-$AL$11)*($AM$11-$AL$11)),$AN$11-SQRT((1-AZ204)*($AN$11-$AL$11)*($AN$11-$AM$11))),$AM$11)</f>
        <v/>
      </c>
      <c r="AR204">
        <f>SUMPRODUCT((B24:B31&lt;=$B$6)*(C24:C31*AM204+D24:D31*AO204*$B$8*AQ204)/(1+AL204/100)^B24:B31)+C32*AM204*AP204/(1+AL204/100)^$B$6</f>
        <v/>
      </c>
      <c r="AS204">
        <f>SUMPRODUCT((K24:K26&lt;=$B$6)*(L24:L26*AN204+M24:M26*AO204*$B$8*AQ204)/(1+AL204/100)^K24:K26)+L27*AN204*AP204/(1+AL204/100)^$B$6</f>
        <v/>
      </c>
      <c r="AT204">
        <f>AS204-AR204</f>
        <v/>
      </c>
      <c r="AU204">
        <f>RAND()</f>
        <v/>
      </c>
      <c r="AV204">
        <f>RAND()</f>
        <v/>
      </c>
      <c r="AW204">
        <f>RAND()</f>
        <v/>
      </c>
      <c r="AX204">
        <f>RAND()</f>
        <v/>
      </c>
      <c r="AY204">
        <f>RAND()</f>
        <v/>
      </c>
      <c r="AZ204">
        <f>RAND()</f>
        <v/>
      </c>
    </row>
    <row r="205">
      <c r="AK205" t="n">
        <v>192</v>
      </c>
      <c r="AL205">
        <f>IFERROR(IF(AU205&lt;($AM$6-$AL$6)/($AN$6-$AL$6),$AL$6+SQRT(AU205*($AN$6-$AL$6)*($AM$6-$AL$6)),$AN$6-SQRT((1-AU205)*($AN$6-$AL$6)*($AN$6-$AM$6))),$AM$6)</f>
        <v/>
      </c>
      <c r="AM205">
        <f>IFERROR(IF(AV205&lt;($AM$7-$AL$7)/($AN$7-$AL$7),$AL$7+SQRT(AV205*($AN$7-$AL$7)*($AM$7-$AL$7)),$AN$7-SQRT((1-AV205)*($AN$7-$AL$7)*($AN$7-$AM$7))),$AM$7)</f>
        <v/>
      </c>
      <c r="AN205">
        <f>IFERROR(IF(AW205&lt;($AM$8-$AL$8)/($AN$8-$AL$8),$AL$8+SQRT(AW205*($AN$8-$AL$8)*($AM$8-$AL$8)),$AN$8-SQRT((1-AW205)*($AN$8-$AL$8)*($AN$8-$AM$8))),$AM$8)</f>
        <v/>
      </c>
      <c r="AO205">
        <f>IFERROR(IF(AX205&lt;($AM$9-$AL$9)/($AN$9-$AL$9),$AL$9+SQRT(AX205*($AN$9-$AL$9)*($AM$9-$AL$9)),$AN$9-SQRT((1-AX205)*($AN$9-$AL$9)*($AN$9-$AM$9))),$AM$9)</f>
        <v/>
      </c>
      <c r="AP205">
        <f>IFERROR(IF(AY205&lt;($AM$10-$AL$10)/($AN$10-$AL$10),$AL$10+SQRT(AY205*($AN$10-$AL$10)*($AM$10-$AL$10)),$AN$10-SQRT((1-AY205)*($AN$10-$AL$10)*($AN$10-$AM$10))),$AM$10)</f>
        <v/>
      </c>
      <c r="AQ205">
        <f>IFERROR(IF(AZ205&lt;($AM$11-$AL$11)/($AN$11-$AL$11),$AL$11+SQRT(AZ205*($AN$11-$AL$11)*($AM$11-$AL$11)),$AN$11-SQRT((1-AZ205)*($AN$11-$AL$11)*($AN$11-$AM$11))),$AM$11)</f>
        <v/>
      </c>
      <c r="AR205">
        <f>SUMPRODUCT((B24:B31&lt;=$B$6)*(C24:C31*AM205+D24:D31*AO205*$B$8*AQ205)/(1+AL205/100)^B24:B31)+C32*AM205*AP205/(1+AL205/100)^$B$6</f>
        <v/>
      </c>
      <c r="AS205">
        <f>SUMPRODUCT((K24:K26&lt;=$B$6)*(L24:L26*AN205+M24:M26*AO205*$B$8*AQ205)/(1+AL205/100)^K24:K26)+L27*AN205*AP205/(1+AL205/100)^$B$6</f>
        <v/>
      </c>
      <c r="AT205">
        <f>AS205-AR205</f>
        <v/>
      </c>
      <c r="AU205">
        <f>RAND()</f>
        <v/>
      </c>
      <c r="AV205">
        <f>RAND()</f>
        <v/>
      </c>
      <c r="AW205">
        <f>RAND()</f>
        <v/>
      </c>
      <c r="AX205">
        <f>RAND()</f>
        <v/>
      </c>
      <c r="AY205">
        <f>RAND()</f>
        <v/>
      </c>
      <c r="AZ205">
        <f>RAND()</f>
        <v/>
      </c>
    </row>
    <row r="206">
      <c r="AK206" t="n">
        <v>193</v>
      </c>
      <c r="AL206">
        <f>IFERROR(IF(AU206&lt;($AM$6-$AL$6)/($AN$6-$AL$6),$AL$6+SQRT(AU206*($AN$6-$AL$6)*($AM$6-$AL$6)),$AN$6-SQRT((1-AU206)*($AN$6-$AL$6)*($AN$6-$AM$6))),$AM$6)</f>
        <v/>
      </c>
      <c r="AM206">
        <f>IFERROR(IF(AV206&lt;($AM$7-$AL$7)/($AN$7-$AL$7),$AL$7+SQRT(AV206*($AN$7-$AL$7)*($AM$7-$AL$7)),$AN$7-SQRT((1-AV206)*($AN$7-$AL$7)*($AN$7-$AM$7))),$AM$7)</f>
        <v/>
      </c>
      <c r="AN206">
        <f>IFERROR(IF(AW206&lt;($AM$8-$AL$8)/($AN$8-$AL$8),$AL$8+SQRT(AW206*($AN$8-$AL$8)*($AM$8-$AL$8)),$AN$8-SQRT((1-AW206)*($AN$8-$AL$8)*($AN$8-$AM$8))),$AM$8)</f>
        <v/>
      </c>
      <c r="AO206">
        <f>IFERROR(IF(AX206&lt;($AM$9-$AL$9)/($AN$9-$AL$9),$AL$9+SQRT(AX206*($AN$9-$AL$9)*($AM$9-$AL$9)),$AN$9-SQRT((1-AX206)*($AN$9-$AL$9)*($AN$9-$AM$9))),$AM$9)</f>
        <v/>
      </c>
      <c r="AP206">
        <f>IFERROR(IF(AY206&lt;($AM$10-$AL$10)/($AN$10-$AL$10),$AL$10+SQRT(AY206*($AN$10-$AL$10)*($AM$10-$AL$10)),$AN$10-SQRT((1-AY206)*($AN$10-$AL$10)*($AN$10-$AM$10))),$AM$10)</f>
        <v/>
      </c>
      <c r="AQ206">
        <f>IFERROR(IF(AZ206&lt;($AM$11-$AL$11)/($AN$11-$AL$11),$AL$11+SQRT(AZ206*($AN$11-$AL$11)*($AM$11-$AL$11)),$AN$11-SQRT((1-AZ206)*($AN$11-$AL$11)*($AN$11-$AM$11))),$AM$11)</f>
        <v/>
      </c>
      <c r="AR206">
        <f>SUMPRODUCT((B24:B31&lt;=$B$6)*(C24:C31*AM206+D24:D31*AO206*$B$8*AQ206)/(1+AL206/100)^B24:B31)+C32*AM206*AP206/(1+AL206/100)^$B$6</f>
        <v/>
      </c>
      <c r="AS206">
        <f>SUMPRODUCT((K24:K26&lt;=$B$6)*(L24:L26*AN206+M24:M26*AO206*$B$8*AQ206)/(1+AL206/100)^K24:K26)+L27*AN206*AP206/(1+AL206/100)^$B$6</f>
        <v/>
      </c>
      <c r="AT206">
        <f>AS206-AR206</f>
        <v/>
      </c>
      <c r="AU206">
        <f>RAND()</f>
        <v/>
      </c>
      <c r="AV206">
        <f>RAND()</f>
        <v/>
      </c>
      <c r="AW206">
        <f>RAND()</f>
        <v/>
      </c>
      <c r="AX206">
        <f>RAND()</f>
        <v/>
      </c>
      <c r="AY206">
        <f>RAND()</f>
        <v/>
      </c>
      <c r="AZ206">
        <f>RAND()</f>
        <v/>
      </c>
    </row>
    <row r="207">
      <c r="AK207" t="n">
        <v>194</v>
      </c>
      <c r="AL207">
        <f>IFERROR(IF(AU207&lt;($AM$6-$AL$6)/($AN$6-$AL$6),$AL$6+SQRT(AU207*($AN$6-$AL$6)*($AM$6-$AL$6)),$AN$6-SQRT((1-AU207)*($AN$6-$AL$6)*($AN$6-$AM$6))),$AM$6)</f>
        <v/>
      </c>
      <c r="AM207">
        <f>IFERROR(IF(AV207&lt;($AM$7-$AL$7)/($AN$7-$AL$7),$AL$7+SQRT(AV207*($AN$7-$AL$7)*($AM$7-$AL$7)),$AN$7-SQRT((1-AV207)*($AN$7-$AL$7)*($AN$7-$AM$7))),$AM$7)</f>
        <v/>
      </c>
      <c r="AN207">
        <f>IFERROR(IF(AW207&lt;($AM$8-$AL$8)/($AN$8-$AL$8),$AL$8+SQRT(AW207*($AN$8-$AL$8)*($AM$8-$AL$8)),$AN$8-SQRT((1-AW207)*($AN$8-$AL$8)*($AN$8-$AM$8))),$AM$8)</f>
        <v/>
      </c>
      <c r="AO207">
        <f>IFERROR(IF(AX207&lt;($AM$9-$AL$9)/($AN$9-$AL$9),$AL$9+SQRT(AX207*($AN$9-$AL$9)*($AM$9-$AL$9)),$AN$9-SQRT((1-AX207)*($AN$9-$AL$9)*($AN$9-$AM$9))),$AM$9)</f>
        <v/>
      </c>
      <c r="AP207">
        <f>IFERROR(IF(AY207&lt;($AM$10-$AL$10)/($AN$10-$AL$10),$AL$10+SQRT(AY207*($AN$10-$AL$10)*($AM$10-$AL$10)),$AN$10-SQRT((1-AY207)*($AN$10-$AL$10)*($AN$10-$AM$10))),$AM$10)</f>
        <v/>
      </c>
      <c r="AQ207">
        <f>IFERROR(IF(AZ207&lt;($AM$11-$AL$11)/($AN$11-$AL$11),$AL$11+SQRT(AZ207*($AN$11-$AL$11)*($AM$11-$AL$11)),$AN$11-SQRT((1-AZ207)*($AN$11-$AL$11)*($AN$11-$AM$11))),$AM$11)</f>
        <v/>
      </c>
      <c r="AR207">
        <f>SUMPRODUCT((B24:B31&lt;=$B$6)*(C24:C31*AM207+D24:D31*AO207*$B$8*AQ207)/(1+AL207/100)^B24:B31)+C32*AM207*AP207/(1+AL207/100)^$B$6</f>
        <v/>
      </c>
      <c r="AS207">
        <f>SUMPRODUCT((K24:K26&lt;=$B$6)*(L24:L26*AN207+M24:M26*AO207*$B$8*AQ207)/(1+AL207/100)^K24:K26)+L27*AN207*AP207/(1+AL207/100)^$B$6</f>
        <v/>
      </c>
      <c r="AT207">
        <f>AS207-AR207</f>
        <v/>
      </c>
      <c r="AU207">
        <f>RAND()</f>
        <v/>
      </c>
      <c r="AV207">
        <f>RAND()</f>
        <v/>
      </c>
      <c r="AW207">
        <f>RAND()</f>
        <v/>
      </c>
      <c r="AX207">
        <f>RAND()</f>
        <v/>
      </c>
      <c r="AY207">
        <f>RAND()</f>
        <v/>
      </c>
      <c r="AZ207">
        <f>RAND()</f>
        <v/>
      </c>
    </row>
    <row r="208">
      <c r="AK208" t="n">
        <v>195</v>
      </c>
      <c r="AL208">
        <f>IFERROR(IF(AU208&lt;($AM$6-$AL$6)/($AN$6-$AL$6),$AL$6+SQRT(AU208*($AN$6-$AL$6)*($AM$6-$AL$6)),$AN$6-SQRT((1-AU208)*($AN$6-$AL$6)*($AN$6-$AM$6))),$AM$6)</f>
        <v/>
      </c>
      <c r="AM208">
        <f>IFERROR(IF(AV208&lt;($AM$7-$AL$7)/($AN$7-$AL$7),$AL$7+SQRT(AV208*($AN$7-$AL$7)*($AM$7-$AL$7)),$AN$7-SQRT((1-AV208)*($AN$7-$AL$7)*($AN$7-$AM$7))),$AM$7)</f>
        <v/>
      </c>
      <c r="AN208">
        <f>IFERROR(IF(AW208&lt;($AM$8-$AL$8)/($AN$8-$AL$8),$AL$8+SQRT(AW208*($AN$8-$AL$8)*($AM$8-$AL$8)),$AN$8-SQRT((1-AW208)*($AN$8-$AL$8)*($AN$8-$AM$8))),$AM$8)</f>
        <v/>
      </c>
      <c r="AO208">
        <f>IFERROR(IF(AX208&lt;($AM$9-$AL$9)/($AN$9-$AL$9),$AL$9+SQRT(AX208*($AN$9-$AL$9)*($AM$9-$AL$9)),$AN$9-SQRT((1-AX208)*($AN$9-$AL$9)*($AN$9-$AM$9))),$AM$9)</f>
        <v/>
      </c>
      <c r="AP208">
        <f>IFERROR(IF(AY208&lt;($AM$10-$AL$10)/($AN$10-$AL$10),$AL$10+SQRT(AY208*($AN$10-$AL$10)*($AM$10-$AL$10)),$AN$10-SQRT((1-AY208)*($AN$10-$AL$10)*($AN$10-$AM$10))),$AM$10)</f>
        <v/>
      </c>
      <c r="AQ208">
        <f>IFERROR(IF(AZ208&lt;($AM$11-$AL$11)/($AN$11-$AL$11),$AL$11+SQRT(AZ208*($AN$11-$AL$11)*($AM$11-$AL$11)),$AN$11-SQRT((1-AZ208)*($AN$11-$AL$11)*($AN$11-$AM$11))),$AM$11)</f>
        <v/>
      </c>
      <c r="AR208">
        <f>SUMPRODUCT((B24:B31&lt;=$B$6)*(C24:C31*AM208+D24:D31*AO208*$B$8*AQ208)/(1+AL208/100)^B24:B31)+C32*AM208*AP208/(1+AL208/100)^$B$6</f>
        <v/>
      </c>
      <c r="AS208">
        <f>SUMPRODUCT((K24:K26&lt;=$B$6)*(L24:L26*AN208+M24:M26*AO208*$B$8*AQ208)/(1+AL208/100)^K24:K26)+L27*AN208*AP208/(1+AL208/100)^$B$6</f>
        <v/>
      </c>
      <c r="AT208">
        <f>AS208-AR208</f>
        <v/>
      </c>
      <c r="AU208">
        <f>RAND()</f>
        <v/>
      </c>
      <c r="AV208">
        <f>RAND()</f>
        <v/>
      </c>
      <c r="AW208">
        <f>RAND()</f>
        <v/>
      </c>
      <c r="AX208">
        <f>RAND()</f>
        <v/>
      </c>
      <c r="AY208">
        <f>RAND()</f>
        <v/>
      </c>
      <c r="AZ208">
        <f>RAND()</f>
        <v/>
      </c>
    </row>
    <row r="209">
      <c r="AK209" t="n">
        <v>196</v>
      </c>
      <c r="AL209">
        <f>IFERROR(IF(AU209&lt;($AM$6-$AL$6)/($AN$6-$AL$6),$AL$6+SQRT(AU209*($AN$6-$AL$6)*($AM$6-$AL$6)),$AN$6-SQRT((1-AU209)*($AN$6-$AL$6)*($AN$6-$AM$6))),$AM$6)</f>
        <v/>
      </c>
      <c r="AM209">
        <f>IFERROR(IF(AV209&lt;($AM$7-$AL$7)/($AN$7-$AL$7),$AL$7+SQRT(AV209*($AN$7-$AL$7)*($AM$7-$AL$7)),$AN$7-SQRT((1-AV209)*($AN$7-$AL$7)*($AN$7-$AM$7))),$AM$7)</f>
        <v/>
      </c>
      <c r="AN209">
        <f>IFERROR(IF(AW209&lt;($AM$8-$AL$8)/($AN$8-$AL$8),$AL$8+SQRT(AW209*($AN$8-$AL$8)*($AM$8-$AL$8)),$AN$8-SQRT((1-AW209)*($AN$8-$AL$8)*($AN$8-$AM$8))),$AM$8)</f>
        <v/>
      </c>
      <c r="AO209">
        <f>IFERROR(IF(AX209&lt;($AM$9-$AL$9)/($AN$9-$AL$9),$AL$9+SQRT(AX209*($AN$9-$AL$9)*($AM$9-$AL$9)),$AN$9-SQRT((1-AX209)*($AN$9-$AL$9)*($AN$9-$AM$9))),$AM$9)</f>
        <v/>
      </c>
      <c r="AP209">
        <f>IFERROR(IF(AY209&lt;($AM$10-$AL$10)/($AN$10-$AL$10),$AL$10+SQRT(AY209*($AN$10-$AL$10)*($AM$10-$AL$10)),$AN$10-SQRT((1-AY209)*($AN$10-$AL$10)*($AN$10-$AM$10))),$AM$10)</f>
        <v/>
      </c>
      <c r="AQ209">
        <f>IFERROR(IF(AZ209&lt;($AM$11-$AL$11)/($AN$11-$AL$11),$AL$11+SQRT(AZ209*($AN$11-$AL$11)*($AM$11-$AL$11)),$AN$11-SQRT((1-AZ209)*($AN$11-$AL$11)*($AN$11-$AM$11))),$AM$11)</f>
        <v/>
      </c>
      <c r="AR209">
        <f>SUMPRODUCT((B24:B31&lt;=$B$6)*(C24:C31*AM209+D24:D31*AO209*$B$8*AQ209)/(1+AL209/100)^B24:B31)+C32*AM209*AP209/(1+AL209/100)^$B$6</f>
        <v/>
      </c>
      <c r="AS209">
        <f>SUMPRODUCT((K24:K26&lt;=$B$6)*(L24:L26*AN209+M24:M26*AO209*$B$8*AQ209)/(1+AL209/100)^K24:K26)+L27*AN209*AP209/(1+AL209/100)^$B$6</f>
        <v/>
      </c>
      <c r="AT209">
        <f>AS209-AR209</f>
        <v/>
      </c>
      <c r="AU209">
        <f>RAND()</f>
        <v/>
      </c>
      <c r="AV209">
        <f>RAND()</f>
        <v/>
      </c>
      <c r="AW209">
        <f>RAND()</f>
        <v/>
      </c>
      <c r="AX209">
        <f>RAND()</f>
        <v/>
      </c>
      <c r="AY209">
        <f>RAND()</f>
        <v/>
      </c>
      <c r="AZ209">
        <f>RAND()</f>
        <v/>
      </c>
    </row>
    <row r="210">
      <c r="AK210" t="n">
        <v>197</v>
      </c>
      <c r="AL210">
        <f>IFERROR(IF(AU210&lt;($AM$6-$AL$6)/($AN$6-$AL$6),$AL$6+SQRT(AU210*($AN$6-$AL$6)*($AM$6-$AL$6)),$AN$6-SQRT((1-AU210)*($AN$6-$AL$6)*($AN$6-$AM$6))),$AM$6)</f>
        <v/>
      </c>
      <c r="AM210">
        <f>IFERROR(IF(AV210&lt;($AM$7-$AL$7)/($AN$7-$AL$7),$AL$7+SQRT(AV210*($AN$7-$AL$7)*($AM$7-$AL$7)),$AN$7-SQRT((1-AV210)*($AN$7-$AL$7)*($AN$7-$AM$7))),$AM$7)</f>
        <v/>
      </c>
      <c r="AN210">
        <f>IFERROR(IF(AW210&lt;($AM$8-$AL$8)/($AN$8-$AL$8),$AL$8+SQRT(AW210*($AN$8-$AL$8)*($AM$8-$AL$8)),$AN$8-SQRT((1-AW210)*($AN$8-$AL$8)*($AN$8-$AM$8))),$AM$8)</f>
        <v/>
      </c>
      <c r="AO210">
        <f>IFERROR(IF(AX210&lt;($AM$9-$AL$9)/($AN$9-$AL$9),$AL$9+SQRT(AX210*($AN$9-$AL$9)*($AM$9-$AL$9)),$AN$9-SQRT((1-AX210)*($AN$9-$AL$9)*($AN$9-$AM$9))),$AM$9)</f>
        <v/>
      </c>
      <c r="AP210">
        <f>IFERROR(IF(AY210&lt;($AM$10-$AL$10)/($AN$10-$AL$10),$AL$10+SQRT(AY210*($AN$10-$AL$10)*($AM$10-$AL$10)),$AN$10-SQRT((1-AY210)*($AN$10-$AL$10)*($AN$10-$AM$10))),$AM$10)</f>
        <v/>
      </c>
      <c r="AQ210">
        <f>IFERROR(IF(AZ210&lt;($AM$11-$AL$11)/($AN$11-$AL$11),$AL$11+SQRT(AZ210*($AN$11-$AL$11)*($AM$11-$AL$11)),$AN$11-SQRT((1-AZ210)*($AN$11-$AL$11)*($AN$11-$AM$11))),$AM$11)</f>
        <v/>
      </c>
      <c r="AR210">
        <f>SUMPRODUCT((B24:B31&lt;=$B$6)*(C24:C31*AM210+D24:D31*AO210*$B$8*AQ210)/(1+AL210/100)^B24:B31)+C32*AM210*AP210/(1+AL210/100)^$B$6</f>
        <v/>
      </c>
      <c r="AS210">
        <f>SUMPRODUCT((K24:K26&lt;=$B$6)*(L24:L26*AN210+M24:M26*AO210*$B$8*AQ210)/(1+AL210/100)^K24:K26)+L27*AN210*AP210/(1+AL210/100)^$B$6</f>
        <v/>
      </c>
      <c r="AT210">
        <f>AS210-AR210</f>
        <v/>
      </c>
      <c r="AU210">
        <f>RAND()</f>
        <v/>
      </c>
      <c r="AV210">
        <f>RAND()</f>
        <v/>
      </c>
      <c r="AW210">
        <f>RAND()</f>
        <v/>
      </c>
      <c r="AX210">
        <f>RAND()</f>
        <v/>
      </c>
      <c r="AY210">
        <f>RAND()</f>
        <v/>
      </c>
      <c r="AZ210">
        <f>RAND()</f>
        <v/>
      </c>
    </row>
    <row r="211">
      <c r="AK211" t="n">
        <v>198</v>
      </c>
      <c r="AL211">
        <f>IFERROR(IF(AU211&lt;($AM$6-$AL$6)/($AN$6-$AL$6),$AL$6+SQRT(AU211*($AN$6-$AL$6)*($AM$6-$AL$6)),$AN$6-SQRT((1-AU211)*($AN$6-$AL$6)*($AN$6-$AM$6))),$AM$6)</f>
        <v/>
      </c>
      <c r="AM211">
        <f>IFERROR(IF(AV211&lt;($AM$7-$AL$7)/($AN$7-$AL$7),$AL$7+SQRT(AV211*($AN$7-$AL$7)*($AM$7-$AL$7)),$AN$7-SQRT((1-AV211)*($AN$7-$AL$7)*($AN$7-$AM$7))),$AM$7)</f>
        <v/>
      </c>
      <c r="AN211">
        <f>IFERROR(IF(AW211&lt;($AM$8-$AL$8)/($AN$8-$AL$8),$AL$8+SQRT(AW211*($AN$8-$AL$8)*($AM$8-$AL$8)),$AN$8-SQRT((1-AW211)*($AN$8-$AL$8)*($AN$8-$AM$8))),$AM$8)</f>
        <v/>
      </c>
      <c r="AO211">
        <f>IFERROR(IF(AX211&lt;($AM$9-$AL$9)/($AN$9-$AL$9),$AL$9+SQRT(AX211*($AN$9-$AL$9)*($AM$9-$AL$9)),$AN$9-SQRT((1-AX211)*($AN$9-$AL$9)*($AN$9-$AM$9))),$AM$9)</f>
        <v/>
      </c>
      <c r="AP211">
        <f>IFERROR(IF(AY211&lt;($AM$10-$AL$10)/($AN$10-$AL$10),$AL$10+SQRT(AY211*($AN$10-$AL$10)*($AM$10-$AL$10)),$AN$10-SQRT((1-AY211)*($AN$10-$AL$10)*($AN$10-$AM$10))),$AM$10)</f>
        <v/>
      </c>
      <c r="AQ211">
        <f>IFERROR(IF(AZ211&lt;($AM$11-$AL$11)/($AN$11-$AL$11),$AL$11+SQRT(AZ211*($AN$11-$AL$11)*($AM$11-$AL$11)),$AN$11-SQRT((1-AZ211)*($AN$11-$AL$11)*($AN$11-$AM$11))),$AM$11)</f>
        <v/>
      </c>
      <c r="AR211">
        <f>SUMPRODUCT((B24:B31&lt;=$B$6)*(C24:C31*AM211+D24:D31*AO211*$B$8*AQ211)/(1+AL211/100)^B24:B31)+C32*AM211*AP211/(1+AL211/100)^$B$6</f>
        <v/>
      </c>
      <c r="AS211">
        <f>SUMPRODUCT((K24:K26&lt;=$B$6)*(L24:L26*AN211+M24:M26*AO211*$B$8*AQ211)/(1+AL211/100)^K24:K26)+L27*AN211*AP211/(1+AL211/100)^$B$6</f>
        <v/>
      </c>
      <c r="AT211">
        <f>AS211-AR211</f>
        <v/>
      </c>
      <c r="AU211">
        <f>RAND()</f>
        <v/>
      </c>
      <c r="AV211">
        <f>RAND()</f>
        <v/>
      </c>
      <c r="AW211">
        <f>RAND()</f>
        <v/>
      </c>
      <c r="AX211">
        <f>RAND()</f>
        <v/>
      </c>
      <c r="AY211">
        <f>RAND()</f>
        <v/>
      </c>
      <c r="AZ211">
        <f>RAND()</f>
        <v/>
      </c>
    </row>
    <row r="212">
      <c r="AK212" t="n">
        <v>199</v>
      </c>
      <c r="AL212">
        <f>IFERROR(IF(AU212&lt;($AM$6-$AL$6)/($AN$6-$AL$6),$AL$6+SQRT(AU212*($AN$6-$AL$6)*($AM$6-$AL$6)),$AN$6-SQRT((1-AU212)*($AN$6-$AL$6)*($AN$6-$AM$6))),$AM$6)</f>
        <v/>
      </c>
      <c r="AM212">
        <f>IFERROR(IF(AV212&lt;($AM$7-$AL$7)/($AN$7-$AL$7),$AL$7+SQRT(AV212*($AN$7-$AL$7)*($AM$7-$AL$7)),$AN$7-SQRT((1-AV212)*($AN$7-$AL$7)*($AN$7-$AM$7))),$AM$7)</f>
        <v/>
      </c>
      <c r="AN212">
        <f>IFERROR(IF(AW212&lt;($AM$8-$AL$8)/($AN$8-$AL$8),$AL$8+SQRT(AW212*($AN$8-$AL$8)*($AM$8-$AL$8)),$AN$8-SQRT((1-AW212)*($AN$8-$AL$8)*($AN$8-$AM$8))),$AM$8)</f>
        <v/>
      </c>
      <c r="AO212">
        <f>IFERROR(IF(AX212&lt;($AM$9-$AL$9)/($AN$9-$AL$9),$AL$9+SQRT(AX212*($AN$9-$AL$9)*($AM$9-$AL$9)),$AN$9-SQRT((1-AX212)*($AN$9-$AL$9)*($AN$9-$AM$9))),$AM$9)</f>
        <v/>
      </c>
      <c r="AP212">
        <f>IFERROR(IF(AY212&lt;($AM$10-$AL$10)/($AN$10-$AL$10),$AL$10+SQRT(AY212*($AN$10-$AL$10)*($AM$10-$AL$10)),$AN$10-SQRT((1-AY212)*($AN$10-$AL$10)*($AN$10-$AM$10))),$AM$10)</f>
        <v/>
      </c>
      <c r="AQ212">
        <f>IFERROR(IF(AZ212&lt;($AM$11-$AL$11)/($AN$11-$AL$11),$AL$11+SQRT(AZ212*($AN$11-$AL$11)*($AM$11-$AL$11)),$AN$11-SQRT((1-AZ212)*($AN$11-$AL$11)*($AN$11-$AM$11))),$AM$11)</f>
        <v/>
      </c>
      <c r="AR212">
        <f>SUMPRODUCT((B24:B31&lt;=$B$6)*(C24:C31*AM212+D24:D31*AO212*$B$8*AQ212)/(1+AL212/100)^B24:B31)+C32*AM212*AP212/(1+AL212/100)^$B$6</f>
        <v/>
      </c>
      <c r="AS212">
        <f>SUMPRODUCT((K24:K26&lt;=$B$6)*(L24:L26*AN212+M24:M26*AO212*$B$8*AQ212)/(1+AL212/100)^K24:K26)+L27*AN212*AP212/(1+AL212/100)^$B$6</f>
        <v/>
      </c>
      <c r="AT212">
        <f>AS212-AR212</f>
        <v/>
      </c>
      <c r="AU212">
        <f>RAND()</f>
        <v/>
      </c>
      <c r="AV212">
        <f>RAND()</f>
        <v/>
      </c>
      <c r="AW212">
        <f>RAND()</f>
        <v/>
      </c>
      <c r="AX212">
        <f>RAND()</f>
        <v/>
      </c>
      <c r="AY212">
        <f>RAND()</f>
        <v/>
      </c>
      <c r="AZ212">
        <f>RAND()</f>
        <v/>
      </c>
    </row>
    <row r="213">
      <c r="AK213" t="n">
        <v>200</v>
      </c>
      <c r="AL213">
        <f>IFERROR(IF(AU213&lt;($AM$6-$AL$6)/($AN$6-$AL$6),$AL$6+SQRT(AU213*($AN$6-$AL$6)*($AM$6-$AL$6)),$AN$6-SQRT((1-AU213)*($AN$6-$AL$6)*($AN$6-$AM$6))),$AM$6)</f>
        <v/>
      </c>
      <c r="AM213">
        <f>IFERROR(IF(AV213&lt;($AM$7-$AL$7)/($AN$7-$AL$7),$AL$7+SQRT(AV213*($AN$7-$AL$7)*($AM$7-$AL$7)),$AN$7-SQRT((1-AV213)*($AN$7-$AL$7)*($AN$7-$AM$7))),$AM$7)</f>
        <v/>
      </c>
      <c r="AN213">
        <f>IFERROR(IF(AW213&lt;($AM$8-$AL$8)/($AN$8-$AL$8),$AL$8+SQRT(AW213*($AN$8-$AL$8)*($AM$8-$AL$8)),$AN$8-SQRT((1-AW213)*($AN$8-$AL$8)*($AN$8-$AM$8))),$AM$8)</f>
        <v/>
      </c>
      <c r="AO213">
        <f>IFERROR(IF(AX213&lt;($AM$9-$AL$9)/($AN$9-$AL$9),$AL$9+SQRT(AX213*($AN$9-$AL$9)*($AM$9-$AL$9)),$AN$9-SQRT((1-AX213)*($AN$9-$AL$9)*($AN$9-$AM$9))),$AM$9)</f>
        <v/>
      </c>
      <c r="AP213">
        <f>IFERROR(IF(AY213&lt;($AM$10-$AL$10)/($AN$10-$AL$10),$AL$10+SQRT(AY213*($AN$10-$AL$10)*($AM$10-$AL$10)),$AN$10-SQRT((1-AY213)*($AN$10-$AL$10)*($AN$10-$AM$10))),$AM$10)</f>
        <v/>
      </c>
      <c r="AQ213">
        <f>IFERROR(IF(AZ213&lt;($AM$11-$AL$11)/($AN$11-$AL$11),$AL$11+SQRT(AZ213*($AN$11-$AL$11)*($AM$11-$AL$11)),$AN$11-SQRT((1-AZ213)*($AN$11-$AL$11)*($AN$11-$AM$11))),$AM$11)</f>
        <v/>
      </c>
      <c r="AR213">
        <f>SUMPRODUCT((B24:B31&lt;=$B$6)*(C24:C31*AM213+D24:D31*AO213*$B$8*AQ213)/(1+AL213/100)^B24:B31)+C32*AM213*AP213/(1+AL213/100)^$B$6</f>
        <v/>
      </c>
      <c r="AS213">
        <f>SUMPRODUCT((K24:K26&lt;=$B$6)*(L24:L26*AN213+M24:M26*AO213*$B$8*AQ213)/(1+AL213/100)^K24:K26)+L27*AN213*AP213/(1+AL213/100)^$B$6</f>
        <v/>
      </c>
      <c r="AT213">
        <f>AS213-AR213</f>
        <v/>
      </c>
      <c r="AU213">
        <f>RAND()</f>
        <v/>
      </c>
      <c r="AV213">
        <f>RAND()</f>
        <v/>
      </c>
      <c r="AW213">
        <f>RAND()</f>
        <v/>
      </c>
      <c r="AX213">
        <f>RAND()</f>
        <v/>
      </c>
      <c r="AY213">
        <f>RAND()</f>
        <v/>
      </c>
      <c r="AZ213">
        <f>RAND()</f>
        <v/>
      </c>
    </row>
    <row r="214">
      <c r="AK214" t="n">
        <v>201</v>
      </c>
      <c r="AL214">
        <f>IFERROR(IF(AU214&lt;($AM$6-$AL$6)/($AN$6-$AL$6),$AL$6+SQRT(AU214*($AN$6-$AL$6)*($AM$6-$AL$6)),$AN$6-SQRT((1-AU214)*($AN$6-$AL$6)*($AN$6-$AM$6))),$AM$6)</f>
        <v/>
      </c>
      <c r="AM214">
        <f>IFERROR(IF(AV214&lt;($AM$7-$AL$7)/($AN$7-$AL$7),$AL$7+SQRT(AV214*($AN$7-$AL$7)*($AM$7-$AL$7)),$AN$7-SQRT((1-AV214)*($AN$7-$AL$7)*($AN$7-$AM$7))),$AM$7)</f>
        <v/>
      </c>
      <c r="AN214">
        <f>IFERROR(IF(AW214&lt;($AM$8-$AL$8)/($AN$8-$AL$8),$AL$8+SQRT(AW214*($AN$8-$AL$8)*($AM$8-$AL$8)),$AN$8-SQRT((1-AW214)*($AN$8-$AL$8)*($AN$8-$AM$8))),$AM$8)</f>
        <v/>
      </c>
      <c r="AO214">
        <f>IFERROR(IF(AX214&lt;($AM$9-$AL$9)/($AN$9-$AL$9),$AL$9+SQRT(AX214*($AN$9-$AL$9)*($AM$9-$AL$9)),$AN$9-SQRT((1-AX214)*($AN$9-$AL$9)*($AN$9-$AM$9))),$AM$9)</f>
        <v/>
      </c>
      <c r="AP214">
        <f>IFERROR(IF(AY214&lt;($AM$10-$AL$10)/($AN$10-$AL$10),$AL$10+SQRT(AY214*($AN$10-$AL$10)*($AM$10-$AL$10)),$AN$10-SQRT((1-AY214)*($AN$10-$AL$10)*($AN$10-$AM$10))),$AM$10)</f>
        <v/>
      </c>
      <c r="AQ214">
        <f>IFERROR(IF(AZ214&lt;($AM$11-$AL$11)/($AN$11-$AL$11),$AL$11+SQRT(AZ214*($AN$11-$AL$11)*($AM$11-$AL$11)),$AN$11-SQRT((1-AZ214)*($AN$11-$AL$11)*($AN$11-$AM$11))),$AM$11)</f>
        <v/>
      </c>
      <c r="AR214">
        <f>SUMPRODUCT((B24:B31&lt;=$B$6)*(C24:C31*AM214+D24:D31*AO214*$B$8*AQ214)/(1+AL214/100)^B24:B31)+C32*AM214*AP214/(1+AL214/100)^$B$6</f>
        <v/>
      </c>
      <c r="AS214">
        <f>SUMPRODUCT((K24:K26&lt;=$B$6)*(L24:L26*AN214+M24:M26*AO214*$B$8*AQ214)/(1+AL214/100)^K24:K26)+L27*AN214*AP214/(1+AL214/100)^$B$6</f>
        <v/>
      </c>
      <c r="AT214">
        <f>AS214-AR214</f>
        <v/>
      </c>
      <c r="AU214">
        <f>RAND()</f>
        <v/>
      </c>
      <c r="AV214">
        <f>RAND()</f>
        <v/>
      </c>
      <c r="AW214">
        <f>RAND()</f>
        <v/>
      </c>
      <c r="AX214">
        <f>RAND()</f>
        <v/>
      </c>
      <c r="AY214">
        <f>RAND()</f>
        <v/>
      </c>
      <c r="AZ214">
        <f>RAND()</f>
        <v/>
      </c>
    </row>
    <row r="215">
      <c r="AK215" t="n">
        <v>202</v>
      </c>
      <c r="AL215">
        <f>IFERROR(IF(AU215&lt;($AM$6-$AL$6)/($AN$6-$AL$6),$AL$6+SQRT(AU215*($AN$6-$AL$6)*($AM$6-$AL$6)),$AN$6-SQRT((1-AU215)*($AN$6-$AL$6)*($AN$6-$AM$6))),$AM$6)</f>
        <v/>
      </c>
      <c r="AM215">
        <f>IFERROR(IF(AV215&lt;($AM$7-$AL$7)/($AN$7-$AL$7),$AL$7+SQRT(AV215*($AN$7-$AL$7)*($AM$7-$AL$7)),$AN$7-SQRT((1-AV215)*($AN$7-$AL$7)*($AN$7-$AM$7))),$AM$7)</f>
        <v/>
      </c>
      <c r="AN215">
        <f>IFERROR(IF(AW215&lt;($AM$8-$AL$8)/($AN$8-$AL$8),$AL$8+SQRT(AW215*($AN$8-$AL$8)*($AM$8-$AL$8)),$AN$8-SQRT((1-AW215)*($AN$8-$AL$8)*($AN$8-$AM$8))),$AM$8)</f>
        <v/>
      </c>
      <c r="AO215">
        <f>IFERROR(IF(AX215&lt;($AM$9-$AL$9)/($AN$9-$AL$9),$AL$9+SQRT(AX215*($AN$9-$AL$9)*($AM$9-$AL$9)),$AN$9-SQRT((1-AX215)*($AN$9-$AL$9)*($AN$9-$AM$9))),$AM$9)</f>
        <v/>
      </c>
      <c r="AP215">
        <f>IFERROR(IF(AY215&lt;($AM$10-$AL$10)/($AN$10-$AL$10),$AL$10+SQRT(AY215*($AN$10-$AL$10)*($AM$10-$AL$10)),$AN$10-SQRT((1-AY215)*($AN$10-$AL$10)*($AN$10-$AM$10))),$AM$10)</f>
        <v/>
      </c>
      <c r="AQ215">
        <f>IFERROR(IF(AZ215&lt;($AM$11-$AL$11)/($AN$11-$AL$11),$AL$11+SQRT(AZ215*($AN$11-$AL$11)*($AM$11-$AL$11)),$AN$11-SQRT((1-AZ215)*($AN$11-$AL$11)*($AN$11-$AM$11))),$AM$11)</f>
        <v/>
      </c>
      <c r="AR215">
        <f>SUMPRODUCT((B24:B31&lt;=$B$6)*(C24:C31*AM215+D24:D31*AO215*$B$8*AQ215)/(1+AL215/100)^B24:B31)+C32*AM215*AP215/(1+AL215/100)^$B$6</f>
        <v/>
      </c>
      <c r="AS215">
        <f>SUMPRODUCT((K24:K26&lt;=$B$6)*(L24:L26*AN215+M24:M26*AO215*$B$8*AQ215)/(1+AL215/100)^K24:K26)+L27*AN215*AP215/(1+AL215/100)^$B$6</f>
        <v/>
      </c>
      <c r="AT215">
        <f>AS215-AR215</f>
        <v/>
      </c>
      <c r="AU215">
        <f>RAND()</f>
        <v/>
      </c>
      <c r="AV215">
        <f>RAND()</f>
        <v/>
      </c>
      <c r="AW215">
        <f>RAND()</f>
        <v/>
      </c>
      <c r="AX215">
        <f>RAND()</f>
        <v/>
      </c>
      <c r="AY215">
        <f>RAND()</f>
        <v/>
      </c>
      <c r="AZ215">
        <f>RAND()</f>
        <v/>
      </c>
    </row>
    <row r="216">
      <c r="AK216" t="n">
        <v>203</v>
      </c>
      <c r="AL216">
        <f>IFERROR(IF(AU216&lt;($AM$6-$AL$6)/($AN$6-$AL$6),$AL$6+SQRT(AU216*($AN$6-$AL$6)*($AM$6-$AL$6)),$AN$6-SQRT((1-AU216)*($AN$6-$AL$6)*($AN$6-$AM$6))),$AM$6)</f>
        <v/>
      </c>
      <c r="AM216">
        <f>IFERROR(IF(AV216&lt;($AM$7-$AL$7)/($AN$7-$AL$7),$AL$7+SQRT(AV216*($AN$7-$AL$7)*($AM$7-$AL$7)),$AN$7-SQRT((1-AV216)*($AN$7-$AL$7)*($AN$7-$AM$7))),$AM$7)</f>
        <v/>
      </c>
      <c r="AN216">
        <f>IFERROR(IF(AW216&lt;($AM$8-$AL$8)/($AN$8-$AL$8),$AL$8+SQRT(AW216*($AN$8-$AL$8)*($AM$8-$AL$8)),$AN$8-SQRT((1-AW216)*($AN$8-$AL$8)*($AN$8-$AM$8))),$AM$8)</f>
        <v/>
      </c>
      <c r="AO216">
        <f>IFERROR(IF(AX216&lt;($AM$9-$AL$9)/($AN$9-$AL$9),$AL$9+SQRT(AX216*($AN$9-$AL$9)*($AM$9-$AL$9)),$AN$9-SQRT((1-AX216)*($AN$9-$AL$9)*($AN$9-$AM$9))),$AM$9)</f>
        <v/>
      </c>
      <c r="AP216">
        <f>IFERROR(IF(AY216&lt;($AM$10-$AL$10)/($AN$10-$AL$10),$AL$10+SQRT(AY216*($AN$10-$AL$10)*($AM$10-$AL$10)),$AN$10-SQRT((1-AY216)*($AN$10-$AL$10)*($AN$10-$AM$10))),$AM$10)</f>
        <v/>
      </c>
      <c r="AQ216">
        <f>IFERROR(IF(AZ216&lt;($AM$11-$AL$11)/($AN$11-$AL$11),$AL$11+SQRT(AZ216*($AN$11-$AL$11)*($AM$11-$AL$11)),$AN$11-SQRT((1-AZ216)*($AN$11-$AL$11)*($AN$11-$AM$11))),$AM$11)</f>
        <v/>
      </c>
      <c r="AR216">
        <f>SUMPRODUCT((B24:B31&lt;=$B$6)*(C24:C31*AM216+D24:D31*AO216*$B$8*AQ216)/(1+AL216/100)^B24:B31)+C32*AM216*AP216/(1+AL216/100)^$B$6</f>
        <v/>
      </c>
      <c r="AS216">
        <f>SUMPRODUCT((K24:K26&lt;=$B$6)*(L24:L26*AN216+M24:M26*AO216*$B$8*AQ216)/(1+AL216/100)^K24:K26)+L27*AN216*AP216/(1+AL216/100)^$B$6</f>
        <v/>
      </c>
      <c r="AT216">
        <f>AS216-AR216</f>
        <v/>
      </c>
      <c r="AU216">
        <f>RAND()</f>
        <v/>
      </c>
      <c r="AV216">
        <f>RAND()</f>
        <v/>
      </c>
      <c r="AW216">
        <f>RAND()</f>
        <v/>
      </c>
      <c r="AX216">
        <f>RAND()</f>
        <v/>
      </c>
      <c r="AY216">
        <f>RAND()</f>
        <v/>
      </c>
      <c r="AZ216">
        <f>RAND()</f>
        <v/>
      </c>
    </row>
    <row r="217">
      <c r="AK217" t="n">
        <v>204</v>
      </c>
      <c r="AL217">
        <f>IFERROR(IF(AU217&lt;($AM$6-$AL$6)/($AN$6-$AL$6),$AL$6+SQRT(AU217*($AN$6-$AL$6)*($AM$6-$AL$6)),$AN$6-SQRT((1-AU217)*($AN$6-$AL$6)*($AN$6-$AM$6))),$AM$6)</f>
        <v/>
      </c>
      <c r="AM217">
        <f>IFERROR(IF(AV217&lt;($AM$7-$AL$7)/($AN$7-$AL$7),$AL$7+SQRT(AV217*($AN$7-$AL$7)*($AM$7-$AL$7)),$AN$7-SQRT((1-AV217)*($AN$7-$AL$7)*($AN$7-$AM$7))),$AM$7)</f>
        <v/>
      </c>
      <c r="AN217">
        <f>IFERROR(IF(AW217&lt;($AM$8-$AL$8)/($AN$8-$AL$8),$AL$8+SQRT(AW217*($AN$8-$AL$8)*($AM$8-$AL$8)),$AN$8-SQRT((1-AW217)*($AN$8-$AL$8)*($AN$8-$AM$8))),$AM$8)</f>
        <v/>
      </c>
      <c r="AO217">
        <f>IFERROR(IF(AX217&lt;($AM$9-$AL$9)/($AN$9-$AL$9),$AL$9+SQRT(AX217*($AN$9-$AL$9)*($AM$9-$AL$9)),$AN$9-SQRT((1-AX217)*($AN$9-$AL$9)*($AN$9-$AM$9))),$AM$9)</f>
        <v/>
      </c>
      <c r="AP217">
        <f>IFERROR(IF(AY217&lt;($AM$10-$AL$10)/($AN$10-$AL$10),$AL$10+SQRT(AY217*($AN$10-$AL$10)*($AM$10-$AL$10)),$AN$10-SQRT((1-AY217)*($AN$10-$AL$10)*($AN$10-$AM$10))),$AM$10)</f>
        <v/>
      </c>
      <c r="AQ217">
        <f>IFERROR(IF(AZ217&lt;($AM$11-$AL$11)/($AN$11-$AL$11),$AL$11+SQRT(AZ217*($AN$11-$AL$11)*($AM$11-$AL$11)),$AN$11-SQRT((1-AZ217)*($AN$11-$AL$11)*($AN$11-$AM$11))),$AM$11)</f>
        <v/>
      </c>
      <c r="AR217">
        <f>SUMPRODUCT((B24:B31&lt;=$B$6)*(C24:C31*AM217+D24:D31*AO217*$B$8*AQ217)/(1+AL217/100)^B24:B31)+C32*AM217*AP217/(1+AL217/100)^$B$6</f>
        <v/>
      </c>
      <c r="AS217">
        <f>SUMPRODUCT((K24:K26&lt;=$B$6)*(L24:L26*AN217+M24:M26*AO217*$B$8*AQ217)/(1+AL217/100)^K24:K26)+L27*AN217*AP217/(1+AL217/100)^$B$6</f>
        <v/>
      </c>
      <c r="AT217">
        <f>AS217-AR217</f>
        <v/>
      </c>
      <c r="AU217">
        <f>RAND()</f>
        <v/>
      </c>
      <c r="AV217">
        <f>RAND()</f>
        <v/>
      </c>
      <c r="AW217">
        <f>RAND()</f>
        <v/>
      </c>
      <c r="AX217">
        <f>RAND()</f>
        <v/>
      </c>
      <c r="AY217">
        <f>RAND()</f>
        <v/>
      </c>
      <c r="AZ217">
        <f>RAND()</f>
        <v/>
      </c>
    </row>
    <row r="218">
      <c r="AK218" t="n">
        <v>205</v>
      </c>
      <c r="AL218">
        <f>IFERROR(IF(AU218&lt;($AM$6-$AL$6)/($AN$6-$AL$6),$AL$6+SQRT(AU218*($AN$6-$AL$6)*($AM$6-$AL$6)),$AN$6-SQRT((1-AU218)*($AN$6-$AL$6)*($AN$6-$AM$6))),$AM$6)</f>
        <v/>
      </c>
      <c r="AM218">
        <f>IFERROR(IF(AV218&lt;($AM$7-$AL$7)/($AN$7-$AL$7),$AL$7+SQRT(AV218*($AN$7-$AL$7)*($AM$7-$AL$7)),$AN$7-SQRT((1-AV218)*($AN$7-$AL$7)*($AN$7-$AM$7))),$AM$7)</f>
        <v/>
      </c>
      <c r="AN218">
        <f>IFERROR(IF(AW218&lt;($AM$8-$AL$8)/($AN$8-$AL$8),$AL$8+SQRT(AW218*($AN$8-$AL$8)*($AM$8-$AL$8)),$AN$8-SQRT((1-AW218)*($AN$8-$AL$8)*($AN$8-$AM$8))),$AM$8)</f>
        <v/>
      </c>
      <c r="AO218">
        <f>IFERROR(IF(AX218&lt;($AM$9-$AL$9)/($AN$9-$AL$9),$AL$9+SQRT(AX218*($AN$9-$AL$9)*($AM$9-$AL$9)),$AN$9-SQRT((1-AX218)*($AN$9-$AL$9)*($AN$9-$AM$9))),$AM$9)</f>
        <v/>
      </c>
      <c r="AP218">
        <f>IFERROR(IF(AY218&lt;($AM$10-$AL$10)/($AN$10-$AL$10),$AL$10+SQRT(AY218*($AN$10-$AL$10)*($AM$10-$AL$10)),$AN$10-SQRT((1-AY218)*($AN$10-$AL$10)*($AN$10-$AM$10))),$AM$10)</f>
        <v/>
      </c>
      <c r="AQ218">
        <f>IFERROR(IF(AZ218&lt;($AM$11-$AL$11)/($AN$11-$AL$11),$AL$11+SQRT(AZ218*($AN$11-$AL$11)*($AM$11-$AL$11)),$AN$11-SQRT((1-AZ218)*($AN$11-$AL$11)*($AN$11-$AM$11))),$AM$11)</f>
        <v/>
      </c>
      <c r="AR218">
        <f>SUMPRODUCT((B24:B31&lt;=$B$6)*(C24:C31*AM218+D24:D31*AO218*$B$8*AQ218)/(1+AL218/100)^B24:B31)+C32*AM218*AP218/(1+AL218/100)^$B$6</f>
        <v/>
      </c>
      <c r="AS218">
        <f>SUMPRODUCT((K24:K26&lt;=$B$6)*(L24:L26*AN218+M24:M26*AO218*$B$8*AQ218)/(1+AL218/100)^K24:K26)+L27*AN218*AP218/(1+AL218/100)^$B$6</f>
        <v/>
      </c>
      <c r="AT218">
        <f>AS218-AR218</f>
        <v/>
      </c>
      <c r="AU218">
        <f>RAND()</f>
        <v/>
      </c>
      <c r="AV218">
        <f>RAND()</f>
        <v/>
      </c>
      <c r="AW218">
        <f>RAND()</f>
        <v/>
      </c>
      <c r="AX218">
        <f>RAND()</f>
        <v/>
      </c>
      <c r="AY218">
        <f>RAND()</f>
        <v/>
      </c>
      <c r="AZ218">
        <f>RAND()</f>
        <v/>
      </c>
    </row>
    <row r="219">
      <c r="AK219" t="n">
        <v>206</v>
      </c>
      <c r="AL219">
        <f>IFERROR(IF(AU219&lt;($AM$6-$AL$6)/($AN$6-$AL$6),$AL$6+SQRT(AU219*($AN$6-$AL$6)*($AM$6-$AL$6)),$AN$6-SQRT((1-AU219)*($AN$6-$AL$6)*($AN$6-$AM$6))),$AM$6)</f>
        <v/>
      </c>
      <c r="AM219">
        <f>IFERROR(IF(AV219&lt;($AM$7-$AL$7)/($AN$7-$AL$7),$AL$7+SQRT(AV219*($AN$7-$AL$7)*($AM$7-$AL$7)),$AN$7-SQRT((1-AV219)*($AN$7-$AL$7)*($AN$7-$AM$7))),$AM$7)</f>
        <v/>
      </c>
      <c r="AN219">
        <f>IFERROR(IF(AW219&lt;($AM$8-$AL$8)/($AN$8-$AL$8),$AL$8+SQRT(AW219*($AN$8-$AL$8)*($AM$8-$AL$8)),$AN$8-SQRT((1-AW219)*($AN$8-$AL$8)*($AN$8-$AM$8))),$AM$8)</f>
        <v/>
      </c>
      <c r="AO219">
        <f>IFERROR(IF(AX219&lt;($AM$9-$AL$9)/($AN$9-$AL$9),$AL$9+SQRT(AX219*($AN$9-$AL$9)*($AM$9-$AL$9)),$AN$9-SQRT((1-AX219)*($AN$9-$AL$9)*($AN$9-$AM$9))),$AM$9)</f>
        <v/>
      </c>
      <c r="AP219">
        <f>IFERROR(IF(AY219&lt;($AM$10-$AL$10)/($AN$10-$AL$10),$AL$10+SQRT(AY219*($AN$10-$AL$10)*($AM$10-$AL$10)),$AN$10-SQRT((1-AY219)*($AN$10-$AL$10)*($AN$10-$AM$10))),$AM$10)</f>
        <v/>
      </c>
      <c r="AQ219">
        <f>IFERROR(IF(AZ219&lt;($AM$11-$AL$11)/($AN$11-$AL$11),$AL$11+SQRT(AZ219*($AN$11-$AL$11)*($AM$11-$AL$11)),$AN$11-SQRT((1-AZ219)*($AN$11-$AL$11)*($AN$11-$AM$11))),$AM$11)</f>
        <v/>
      </c>
      <c r="AR219">
        <f>SUMPRODUCT((B24:B31&lt;=$B$6)*(C24:C31*AM219+D24:D31*AO219*$B$8*AQ219)/(1+AL219/100)^B24:B31)+C32*AM219*AP219/(1+AL219/100)^$B$6</f>
        <v/>
      </c>
      <c r="AS219">
        <f>SUMPRODUCT((K24:K26&lt;=$B$6)*(L24:L26*AN219+M24:M26*AO219*$B$8*AQ219)/(1+AL219/100)^K24:K26)+L27*AN219*AP219/(1+AL219/100)^$B$6</f>
        <v/>
      </c>
      <c r="AT219">
        <f>AS219-AR219</f>
        <v/>
      </c>
      <c r="AU219">
        <f>RAND()</f>
        <v/>
      </c>
      <c r="AV219">
        <f>RAND()</f>
        <v/>
      </c>
      <c r="AW219">
        <f>RAND()</f>
        <v/>
      </c>
      <c r="AX219">
        <f>RAND()</f>
        <v/>
      </c>
      <c r="AY219">
        <f>RAND()</f>
        <v/>
      </c>
      <c r="AZ219">
        <f>RAND()</f>
        <v/>
      </c>
    </row>
    <row r="220">
      <c r="AK220" t="n">
        <v>207</v>
      </c>
      <c r="AL220">
        <f>IFERROR(IF(AU220&lt;($AM$6-$AL$6)/($AN$6-$AL$6),$AL$6+SQRT(AU220*($AN$6-$AL$6)*($AM$6-$AL$6)),$AN$6-SQRT((1-AU220)*($AN$6-$AL$6)*($AN$6-$AM$6))),$AM$6)</f>
        <v/>
      </c>
      <c r="AM220">
        <f>IFERROR(IF(AV220&lt;($AM$7-$AL$7)/($AN$7-$AL$7),$AL$7+SQRT(AV220*($AN$7-$AL$7)*($AM$7-$AL$7)),$AN$7-SQRT((1-AV220)*($AN$7-$AL$7)*($AN$7-$AM$7))),$AM$7)</f>
        <v/>
      </c>
      <c r="AN220">
        <f>IFERROR(IF(AW220&lt;($AM$8-$AL$8)/($AN$8-$AL$8),$AL$8+SQRT(AW220*($AN$8-$AL$8)*($AM$8-$AL$8)),$AN$8-SQRT((1-AW220)*($AN$8-$AL$8)*($AN$8-$AM$8))),$AM$8)</f>
        <v/>
      </c>
      <c r="AO220">
        <f>IFERROR(IF(AX220&lt;($AM$9-$AL$9)/($AN$9-$AL$9),$AL$9+SQRT(AX220*($AN$9-$AL$9)*($AM$9-$AL$9)),$AN$9-SQRT((1-AX220)*($AN$9-$AL$9)*($AN$9-$AM$9))),$AM$9)</f>
        <v/>
      </c>
      <c r="AP220">
        <f>IFERROR(IF(AY220&lt;($AM$10-$AL$10)/($AN$10-$AL$10),$AL$10+SQRT(AY220*($AN$10-$AL$10)*($AM$10-$AL$10)),$AN$10-SQRT((1-AY220)*($AN$10-$AL$10)*($AN$10-$AM$10))),$AM$10)</f>
        <v/>
      </c>
      <c r="AQ220">
        <f>IFERROR(IF(AZ220&lt;($AM$11-$AL$11)/($AN$11-$AL$11),$AL$11+SQRT(AZ220*($AN$11-$AL$11)*($AM$11-$AL$11)),$AN$11-SQRT((1-AZ220)*($AN$11-$AL$11)*($AN$11-$AM$11))),$AM$11)</f>
        <v/>
      </c>
      <c r="AR220">
        <f>SUMPRODUCT((B24:B31&lt;=$B$6)*(C24:C31*AM220+D24:D31*AO220*$B$8*AQ220)/(1+AL220/100)^B24:B31)+C32*AM220*AP220/(1+AL220/100)^$B$6</f>
        <v/>
      </c>
      <c r="AS220">
        <f>SUMPRODUCT((K24:K26&lt;=$B$6)*(L24:L26*AN220+M24:M26*AO220*$B$8*AQ220)/(1+AL220/100)^K24:K26)+L27*AN220*AP220/(1+AL220/100)^$B$6</f>
        <v/>
      </c>
      <c r="AT220">
        <f>AS220-AR220</f>
        <v/>
      </c>
      <c r="AU220">
        <f>RAND()</f>
        <v/>
      </c>
      <c r="AV220">
        <f>RAND()</f>
        <v/>
      </c>
      <c r="AW220">
        <f>RAND()</f>
        <v/>
      </c>
      <c r="AX220">
        <f>RAND()</f>
        <v/>
      </c>
      <c r="AY220">
        <f>RAND()</f>
        <v/>
      </c>
      <c r="AZ220">
        <f>RAND()</f>
        <v/>
      </c>
    </row>
    <row r="221">
      <c r="AK221" t="n">
        <v>208</v>
      </c>
      <c r="AL221">
        <f>IFERROR(IF(AU221&lt;($AM$6-$AL$6)/($AN$6-$AL$6),$AL$6+SQRT(AU221*($AN$6-$AL$6)*($AM$6-$AL$6)),$AN$6-SQRT((1-AU221)*($AN$6-$AL$6)*($AN$6-$AM$6))),$AM$6)</f>
        <v/>
      </c>
      <c r="AM221">
        <f>IFERROR(IF(AV221&lt;($AM$7-$AL$7)/($AN$7-$AL$7),$AL$7+SQRT(AV221*($AN$7-$AL$7)*($AM$7-$AL$7)),$AN$7-SQRT((1-AV221)*($AN$7-$AL$7)*($AN$7-$AM$7))),$AM$7)</f>
        <v/>
      </c>
      <c r="AN221">
        <f>IFERROR(IF(AW221&lt;($AM$8-$AL$8)/($AN$8-$AL$8),$AL$8+SQRT(AW221*($AN$8-$AL$8)*($AM$8-$AL$8)),$AN$8-SQRT((1-AW221)*($AN$8-$AL$8)*($AN$8-$AM$8))),$AM$8)</f>
        <v/>
      </c>
      <c r="AO221">
        <f>IFERROR(IF(AX221&lt;($AM$9-$AL$9)/($AN$9-$AL$9),$AL$9+SQRT(AX221*($AN$9-$AL$9)*($AM$9-$AL$9)),$AN$9-SQRT((1-AX221)*($AN$9-$AL$9)*($AN$9-$AM$9))),$AM$9)</f>
        <v/>
      </c>
      <c r="AP221">
        <f>IFERROR(IF(AY221&lt;($AM$10-$AL$10)/($AN$10-$AL$10),$AL$10+SQRT(AY221*($AN$10-$AL$10)*($AM$10-$AL$10)),$AN$10-SQRT((1-AY221)*($AN$10-$AL$10)*($AN$10-$AM$10))),$AM$10)</f>
        <v/>
      </c>
      <c r="AQ221">
        <f>IFERROR(IF(AZ221&lt;($AM$11-$AL$11)/($AN$11-$AL$11),$AL$11+SQRT(AZ221*($AN$11-$AL$11)*($AM$11-$AL$11)),$AN$11-SQRT((1-AZ221)*($AN$11-$AL$11)*($AN$11-$AM$11))),$AM$11)</f>
        <v/>
      </c>
      <c r="AR221">
        <f>SUMPRODUCT((B24:B31&lt;=$B$6)*(C24:C31*AM221+D24:D31*AO221*$B$8*AQ221)/(1+AL221/100)^B24:B31)+C32*AM221*AP221/(1+AL221/100)^$B$6</f>
        <v/>
      </c>
      <c r="AS221">
        <f>SUMPRODUCT((K24:K26&lt;=$B$6)*(L24:L26*AN221+M24:M26*AO221*$B$8*AQ221)/(1+AL221/100)^K24:K26)+L27*AN221*AP221/(1+AL221/100)^$B$6</f>
        <v/>
      </c>
      <c r="AT221">
        <f>AS221-AR221</f>
        <v/>
      </c>
      <c r="AU221">
        <f>RAND()</f>
        <v/>
      </c>
      <c r="AV221">
        <f>RAND()</f>
        <v/>
      </c>
      <c r="AW221">
        <f>RAND()</f>
        <v/>
      </c>
      <c r="AX221">
        <f>RAND()</f>
        <v/>
      </c>
      <c r="AY221">
        <f>RAND()</f>
        <v/>
      </c>
      <c r="AZ221">
        <f>RAND()</f>
        <v/>
      </c>
    </row>
    <row r="222">
      <c r="AK222" t="n">
        <v>209</v>
      </c>
      <c r="AL222">
        <f>IFERROR(IF(AU222&lt;($AM$6-$AL$6)/($AN$6-$AL$6),$AL$6+SQRT(AU222*($AN$6-$AL$6)*($AM$6-$AL$6)),$AN$6-SQRT((1-AU222)*($AN$6-$AL$6)*($AN$6-$AM$6))),$AM$6)</f>
        <v/>
      </c>
      <c r="AM222">
        <f>IFERROR(IF(AV222&lt;($AM$7-$AL$7)/($AN$7-$AL$7),$AL$7+SQRT(AV222*($AN$7-$AL$7)*($AM$7-$AL$7)),$AN$7-SQRT((1-AV222)*($AN$7-$AL$7)*($AN$7-$AM$7))),$AM$7)</f>
        <v/>
      </c>
      <c r="AN222">
        <f>IFERROR(IF(AW222&lt;($AM$8-$AL$8)/($AN$8-$AL$8),$AL$8+SQRT(AW222*($AN$8-$AL$8)*($AM$8-$AL$8)),$AN$8-SQRT((1-AW222)*($AN$8-$AL$8)*($AN$8-$AM$8))),$AM$8)</f>
        <v/>
      </c>
      <c r="AO222">
        <f>IFERROR(IF(AX222&lt;($AM$9-$AL$9)/($AN$9-$AL$9),$AL$9+SQRT(AX222*($AN$9-$AL$9)*($AM$9-$AL$9)),$AN$9-SQRT((1-AX222)*($AN$9-$AL$9)*($AN$9-$AM$9))),$AM$9)</f>
        <v/>
      </c>
      <c r="AP222">
        <f>IFERROR(IF(AY222&lt;($AM$10-$AL$10)/($AN$10-$AL$10),$AL$10+SQRT(AY222*($AN$10-$AL$10)*($AM$10-$AL$10)),$AN$10-SQRT((1-AY222)*($AN$10-$AL$10)*($AN$10-$AM$10))),$AM$10)</f>
        <v/>
      </c>
      <c r="AQ222">
        <f>IFERROR(IF(AZ222&lt;($AM$11-$AL$11)/($AN$11-$AL$11),$AL$11+SQRT(AZ222*($AN$11-$AL$11)*($AM$11-$AL$11)),$AN$11-SQRT((1-AZ222)*($AN$11-$AL$11)*($AN$11-$AM$11))),$AM$11)</f>
        <v/>
      </c>
      <c r="AR222">
        <f>SUMPRODUCT((B24:B31&lt;=$B$6)*(C24:C31*AM222+D24:D31*AO222*$B$8*AQ222)/(1+AL222/100)^B24:B31)+C32*AM222*AP222/(1+AL222/100)^$B$6</f>
        <v/>
      </c>
      <c r="AS222">
        <f>SUMPRODUCT((K24:K26&lt;=$B$6)*(L24:L26*AN222+M24:M26*AO222*$B$8*AQ222)/(1+AL222/100)^K24:K26)+L27*AN222*AP222/(1+AL222/100)^$B$6</f>
        <v/>
      </c>
      <c r="AT222">
        <f>AS222-AR222</f>
        <v/>
      </c>
      <c r="AU222">
        <f>RAND()</f>
        <v/>
      </c>
      <c r="AV222">
        <f>RAND()</f>
        <v/>
      </c>
      <c r="AW222">
        <f>RAND()</f>
        <v/>
      </c>
      <c r="AX222">
        <f>RAND()</f>
        <v/>
      </c>
      <c r="AY222">
        <f>RAND()</f>
        <v/>
      </c>
      <c r="AZ222">
        <f>RAND()</f>
        <v/>
      </c>
    </row>
    <row r="223">
      <c r="AK223" t="n">
        <v>210</v>
      </c>
      <c r="AL223">
        <f>IFERROR(IF(AU223&lt;($AM$6-$AL$6)/($AN$6-$AL$6),$AL$6+SQRT(AU223*($AN$6-$AL$6)*($AM$6-$AL$6)),$AN$6-SQRT((1-AU223)*($AN$6-$AL$6)*($AN$6-$AM$6))),$AM$6)</f>
        <v/>
      </c>
      <c r="AM223">
        <f>IFERROR(IF(AV223&lt;($AM$7-$AL$7)/($AN$7-$AL$7),$AL$7+SQRT(AV223*($AN$7-$AL$7)*($AM$7-$AL$7)),$AN$7-SQRT((1-AV223)*($AN$7-$AL$7)*($AN$7-$AM$7))),$AM$7)</f>
        <v/>
      </c>
      <c r="AN223">
        <f>IFERROR(IF(AW223&lt;($AM$8-$AL$8)/($AN$8-$AL$8),$AL$8+SQRT(AW223*($AN$8-$AL$8)*($AM$8-$AL$8)),$AN$8-SQRT((1-AW223)*($AN$8-$AL$8)*($AN$8-$AM$8))),$AM$8)</f>
        <v/>
      </c>
      <c r="AO223">
        <f>IFERROR(IF(AX223&lt;($AM$9-$AL$9)/($AN$9-$AL$9),$AL$9+SQRT(AX223*($AN$9-$AL$9)*($AM$9-$AL$9)),$AN$9-SQRT((1-AX223)*($AN$9-$AL$9)*($AN$9-$AM$9))),$AM$9)</f>
        <v/>
      </c>
      <c r="AP223">
        <f>IFERROR(IF(AY223&lt;($AM$10-$AL$10)/($AN$10-$AL$10),$AL$10+SQRT(AY223*($AN$10-$AL$10)*($AM$10-$AL$10)),$AN$10-SQRT((1-AY223)*($AN$10-$AL$10)*($AN$10-$AM$10))),$AM$10)</f>
        <v/>
      </c>
      <c r="AQ223">
        <f>IFERROR(IF(AZ223&lt;($AM$11-$AL$11)/($AN$11-$AL$11),$AL$11+SQRT(AZ223*($AN$11-$AL$11)*($AM$11-$AL$11)),$AN$11-SQRT((1-AZ223)*($AN$11-$AL$11)*($AN$11-$AM$11))),$AM$11)</f>
        <v/>
      </c>
      <c r="AR223">
        <f>SUMPRODUCT((B24:B31&lt;=$B$6)*(C24:C31*AM223+D24:D31*AO223*$B$8*AQ223)/(1+AL223/100)^B24:B31)+C32*AM223*AP223/(1+AL223/100)^$B$6</f>
        <v/>
      </c>
      <c r="AS223">
        <f>SUMPRODUCT((K24:K26&lt;=$B$6)*(L24:L26*AN223+M24:M26*AO223*$B$8*AQ223)/(1+AL223/100)^K24:K26)+L27*AN223*AP223/(1+AL223/100)^$B$6</f>
        <v/>
      </c>
      <c r="AT223">
        <f>AS223-AR223</f>
        <v/>
      </c>
      <c r="AU223">
        <f>RAND()</f>
        <v/>
      </c>
      <c r="AV223">
        <f>RAND()</f>
        <v/>
      </c>
      <c r="AW223">
        <f>RAND()</f>
        <v/>
      </c>
      <c r="AX223">
        <f>RAND()</f>
        <v/>
      </c>
      <c r="AY223">
        <f>RAND()</f>
        <v/>
      </c>
      <c r="AZ223">
        <f>RAND()</f>
        <v/>
      </c>
    </row>
    <row r="224">
      <c r="AK224" t="n">
        <v>211</v>
      </c>
      <c r="AL224">
        <f>IFERROR(IF(AU224&lt;($AM$6-$AL$6)/($AN$6-$AL$6),$AL$6+SQRT(AU224*($AN$6-$AL$6)*($AM$6-$AL$6)),$AN$6-SQRT((1-AU224)*($AN$6-$AL$6)*($AN$6-$AM$6))),$AM$6)</f>
        <v/>
      </c>
      <c r="AM224">
        <f>IFERROR(IF(AV224&lt;($AM$7-$AL$7)/($AN$7-$AL$7),$AL$7+SQRT(AV224*($AN$7-$AL$7)*($AM$7-$AL$7)),$AN$7-SQRT((1-AV224)*($AN$7-$AL$7)*($AN$7-$AM$7))),$AM$7)</f>
        <v/>
      </c>
      <c r="AN224">
        <f>IFERROR(IF(AW224&lt;($AM$8-$AL$8)/($AN$8-$AL$8),$AL$8+SQRT(AW224*($AN$8-$AL$8)*($AM$8-$AL$8)),$AN$8-SQRT((1-AW224)*($AN$8-$AL$8)*($AN$8-$AM$8))),$AM$8)</f>
        <v/>
      </c>
      <c r="AO224">
        <f>IFERROR(IF(AX224&lt;($AM$9-$AL$9)/($AN$9-$AL$9),$AL$9+SQRT(AX224*($AN$9-$AL$9)*($AM$9-$AL$9)),$AN$9-SQRT((1-AX224)*($AN$9-$AL$9)*($AN$9-$AM$9))),$AM$9)</f>
        <v/>
      </c>
      <c r="AP224">
        <f>IFERROR(IF(AY224&lt;($AM$10-$AL$10)/($AN$10-$AL$10),$AL$10+SQRT(AY224*($AN$10-$AL$10)*($AM$10-$AL$10)),$AN$10-SQRT((1-AY224)*($AN$10-$AL$10)*($AN$10-$AM$10))),$AM$10)</f>
        <v/>
      </c>
      <c r="AQ224">
        <f>IFERROR(IF(AZ224&lt;($AM$11-$AL$11)/($AN$11-$AL$11),$AL$11+SQRT(AZ224*($AN$11-$AL$11)*($AM$11-$AL$11)),$AN$11-SQRT((1-AZ224)*($AN$11-$AL$11)*($AN$11-$AM$11))),$AM$11)</f>
        <v/>
      </c>
      <c r="AR224">
        <f>SUMPRODUCT((B24:B31&lt;=$B$6)*(C24:C31*AM224+D24:D31*AO224*$B$8*AQ224)/(1+AL224/100)^B24:B31)+C32*AM224*AP224/(1+AL224/100)^$B$6</f>
        <v/>
      </c>
      <c r="AS224">
        <f>SUMPRODUCT((K24:K26&lt;=$B$6)*(L24:L26*AN224+M24:M26*AO224*$B$8*AQ224)/(1+AL224/100)^K24:K26)+L27*AN224*AP224/(1+AL224/100)^$B$6</f>
        <v/>
      </c>
      <c r="AT224">
        <f>AS224-AR224</f>
        <v/>
      </c>
      <c r="AU224">
        <f>RAND()</f>
        <v/>
      </c>
      <c r="AV224">
        <f>RAND()</f>
        <v/>
      </c>
      <c r="AW224">
        <f>RAND()</f>
        <v/>
      </c>
      <c r="AX224">
        <f>RAND()</f>
        <v/>
      </c>
      <c r="AY224">
        <f>RAND()</f>
        <v/>
      </c>
      <c r="AZ224">
        <f>RAND()</f>
        <v/>
      </c>
    </row>
    <row r="225">
      <c r="AK225" t="n">
        <v>212</v>
      </c>
      <c r="AL225">
        <f>IFERROR(IF(AU225&lt;($AM$6-$AL$6)/($AN$6-$AL$6),$AL$6+SQRT(AU225*($AN$6-$AL$6)*($AM$6-$AL$6)),$AN$6-SQRT((1-AU225)*($AN$6-$AL$6)*($AN$6-$AM$6))),$AM$6)</f>
        <v/>
      </c>
      <c r="AM225">
        <f>IFERROR(IF(AV225&lt;($AM$7-$AL$7)/($AN$7-$AL$7),$AL$7+SQRT(AV225*($AN$7-$AL$7)*($AM$7-$AL$7)),$AN$7-SQRT((1-AV225)*($AN$7-$AL$7)*($AN$7-$AM$7))),$AM$7)</f>
        <v/>
      </c>
      <c r="AN225">
        <f>IFERROR(IF(AW225&lt;($AM$8-$AL$8)/($AN$8-$AL$8),$AL$8+SQRT(AW225*($AN$8-$AL$8)*($AM$8-$AL$8)),$AN$8-SQRT((1-AW225)*($AN$8-$AL$8)*($AN$8-$AM$8))),$AM$8)</f>
        <v/>
      </c>
      <c r="AO225">
        <f>IFERROR(IF(AX225&lt;($AM$9-$AL$9)/($AN$9-$AL$9),$AL$9+SQRT(AX225*($AN$9-$AL$9)*($AM$9-$AL$9)),$AN$9-SQRT((1-AX225)*($AN$9-$AL$9)*($AN$9-$AM$9))),$AM$9)</f>
        <v/>
      </c>
      <c r="AP225">
        <f>IFERROR(IF(AY225&lt;($AM$10-$AL$10)/($AN$10-$AL$10),$AL$10+SQRT(AY225*($AN$10-$AL$10)*($AM$10-$AL$10)),$AN$10-SQRT((1-AY225)*($AN$10-$AL$10)*($AN$10-$AM$10))),$AM$10)</f>
        <v/>
      </c>
      <c r="AQ225">
        <f>IFERROR(IF(AZ225&lt;($AM$11-$AL$11)/($AN$11-$AL$11),$AL$11+SQRT(AZ225*($AN$11-$AL$11)*($AM$11-$AL$11)),$AN$11-SQRT((1-AZ225)*($AN$11-$AL$11)*($AN$11-$AM$11))),$AM$11)</f>
        <v/>
      </c>
      <c r="AR225">
        <f>SUMPRODUCT((B24:B31&lt;=$B$6)*(C24:C31*AM225+D24:D31*AO225*$B$8*AQ225)/(1+AL225/100)^B24:B31)+C32*AM225*AP225/(1+AL225/100)^$B$6</f>
        <v/>
      </c>
      <c r="AS225">
        <f>SUMPRODUCT((K24:K26&lt;=$B$6)*(L24:L26*AN225+M24:M26*AO225*$B$8*AQ225)/(1+AL225/100)^K24:K26)+L27*AN225*AP225/(1+AL225/100)^$B$6</f>
        <v/>
      </c>
      <c r="AT225">
        <f>AS225-AR225</f>
        <v/>
      </c>
      <c r="AU225">
        <f>RAND()</f>
        <v/>
      </c>
      <c r="AV225">
        <f>RAND()</f>
        <v/>
      </c>
      <c r="AW225">
        <f>RAND()</f>
        <v/>
      </c>
      <c r="AX225">
        <f>RAND()</f>
        <v/>
      </c>
      <c r="AY225">
        <f>RAND()</f>
        <v/>
      </c>
      <c r="AZ225">
        <f>RAND()</f>
        <v/>
      </c>
    </row>
    <row r="226">
      <c r="AK226" t="n">
        <v>213</v>
      </c>
      <c r="AL226">
        <f>IFERROR(IF(AU226&lt;($AM$6-$AL$6)/($AN$6-$AL$6),$AL$6+SQRT(AU226*($AN$6-$AL$6)*($AM$6-$AL$6)),$AN$6-SQRT((1-AU226)*($AN$6-$AL$6)*($AN$6-$AM$6))),$AM$6)</f>
        <v/>
      </c>
      <c r="AM226">
        <f>IFERROR(IF(AV226&lt;($AM$7-$AL$7)/($AN$7-$AL$7),$AL$7+SQRT(AV226*($AN$7-$AL$7)*($AM$7-$AL$7)),$AN$7-SQRT((1-AV226)*($AN$7-$AL$7)*($AN$7-$AM$7))),$AM$7)</f>
        <v/>
      </c>
      <c r="AN226">
        <f>IFERROR(IF(AW226&lt;($AM$8-$AL$8)/($AN$8-$AL$8),$AL$8+SQRT(AW226*($AN$8-$AL$8)*($AM$8-$AL$8)),$AN$8-SQRT((1-AW226)*($AN$8-$AL$8)*($AN$8-$AM$8))),$AM$8)</f>
        <v/>
      </c>
      <c r="AO226">
        <f>IFERROR(IF(AX226&lt;($AM$9-$AL$9)/($AN$9-$AL$9),$AL$9+SQRT(AX226*($AN$9-$AL$9)*($AM$9-$AL$9)),$AN$9-SQRT((1-AX226)*($AN$9-$AL$9)*($AN$9-$AM$9))),$AM$9)</f>
        <v/>
      </c>
      <c r="AP226">
        <f>IFERROR(IF(AY226&lt;($AM$10-$AL$10)/($AN$10-$AL$10),$AL$10+SQRT(AY226*($AN$10-$AL$10)*($AM$10-$AL$10)),$AN$10-SQRT((1-AY226)*($AN$10-$AL$10)*($AN$10-$AM$10))),$AM$10)</f>
        <v/>
      </c>
      <c r="AQ226">
        <f>IFERROR(IF(AZ226&lt;($AM$11-$AL$11)/($AN$11-$AL$11),$AL$11+SQRT(AZ226*($AN$11-$AL$11)*($AM$11-$AL$11)),$AN$11-SQRT((1-AZ226)*($AN$11-$AL$11)*($AN$11-$AM$11))),$AM$11)</f>
        <v/>
      </c>
      <c r="AR226">
        <f>SUMPRODUCT((B24:B31&lt;=$B$6)*(C24:C31*AM226+D24:D31*AO226*$B$8*AQ226)/(1+AL226/100)^B24:B31)+C32*AM226*AP226/(1+AL226/100)^$B$6</f>
        <v/>
      </c>
      <c r="AS226">
        <f>SUMPRODUCT((K24:K26&lt;=$B$6)*(L24:L26*AN226+M24:M26*AO226*$B$8*AQ226)/(1+AL226/100)^K24:K26)+L27*AN226*AP226/(1+AL226/100)^$B$6</f>
        <v/>
      </c>
      <c r="AT226">
        <f>AS226-AR226</f>
        <v/>
      </c>
      <c r="AU226">
        <f>RAND()</f>
        <v/>
      </c>
      <c r="AV226">
        <f>RAND()</f>
        <v/>
      </c>
      <c r="AW226">
        <f>RAND()</f>
        <v/>
      </c>
      <c r="AX226">
        <f>RAND()</f>
        <v/>
      </c>
      <c r="AY226">
        <f>RAND()</f>
        <v/>
      </c>
      <c r="AZ226">
        <f>RAND()</f>
        <v/>
      </c>
    </row>
    <row r="227">
      <c r="AK227" t="n">
        <v>214</v>
      </c>
      <c r="AL227">
        <f>IFERROR(IF(AU227&lt;($AM$6-$AL$6)/($AN$6-$AL$6),$AL$6+SQRT(AU227*($AN$6-$AL$6)*($AM$6-$AL$6)),$AN$6-SQRT((1-AU227)*($AN$6-$AL$6)*($AN$6-$AM$6))),$AM$6)</f>
        <v/>
      </c>
      <c r="AM227">
        <f>IFERROR(IF(AV227&lt;($AM$7-$AL$7)/($AN$7-$AL$7),$AL$7+SQRT(AV227*($AN$7-$AL$7)*($AM$7-$AL$7)),$AN$7-SQRT((1-AV227)*($AN$7-$AL$7)*($AN$7-$AM$7))),$AM$7)</f>
        <v/>
      </c>
      <c r="AN227">
        <f>IFERROR(IF(AW227&lt;($AM$8-$AL$8)/($AN$8-$AL$8),$AL$8+SQRT(AW227*($AN$8-$AL$8)*($AM$8-$AL$8)),$AN$8-SQRT((1-AW227)*($AN$8-$AL$8)*($AN$8-$AM$8))),$AM$8)</f>
        <v/>
      </c>
      <c r="AO227">
        <f>IFERROR(IF(AX227&lt;($AM$9-$AL$9)/($AN$9-$AL$9),$AL$9+SQRT(AX227*($AN$9-$AL$9)*($AM$9-$AL$9)),$AN$9-SQRT((1-AX227)*($AN$9-$AL$9)*($AN$9-$AM$9))),$AM$9)</f>
        <v/>
      </c>
      <c r="AP227">
        <f>IFERROR(IF(AY227&lt;($AM$10-$AL$10)/($AN$10-$AL$10),$AL$10+SQRT(AY227*($AN$10-$AL$10)*($AM$10-$AL$10)),$AN$10-SQRT((1-AY227)*($AN$10-$AL$10)*($AN$10-$AM$10))),$AM$10)</f>
        <v/>
      </c>
      <c r="AQ227">
        <f>IFERROR(IF(AZ227&lt;($AM$11-$AL$11)/($AN$11-$AL$11),$AL$11+SQRT(AZ227*($AN$11-$AL$11)*($AM$11-$AL$11)),$AN$11-SQRT((1-AZ227)*($AN$11-$AL$11)*($AN$11-$AM$11))),$AM$11)</f>
        <v/>
      </c>
      <c r="AR227">
        <f>SUMPRODUCT((B24:B31&lt;=$B$6)*(C24:C31*AM227+D24:D31*AO227*$B$8*AQ227)/(1+AL227/100)^B24:B31)+C32*AM227*AP227/(1+AL227/100)^$B$6</f>
        <v/>
      </c>
      <c r="AS227">
        <f>SUMPRODUCT((K24:K26&lt;=$B$6)*(L24:L26*AN227+M24:M26*AO227*$B$8*AQ227)/(1+AL227/100)^K24:K26)+L27*AN227*AP227/(1+AL227/100)^$B$6</f>
        <v/>
      </c>
      <c r="AT227">
        <f>AS227-AR227</f>
        <v/>
      </c>
      <c r="AU227">
        <f>RAND()</f>
        <v/>
      </c>
      <c r="AV227">
        <f>RAND()</f>
        <v/>
      </c>
      <c r="AW227">
        <f>RAND()</f>
        <v/>
      </c>
      <c r="AX227">
        <f>RAND()</f>
        <v/>
      </c>
      <c r="AY227">
        <f>RAND()</f>
        <v/>
      </c>
      <c r="AZ227">
        <f>RAND()</f>
        <v/>
      </c>
    </row>
    <row r="228">
      <c r="AK228" t="n">
        <v>215</v>
      </c>
      <c r="AL228">
        <f>IFERROR(IF(AU228&lt;($AM$6-$AL$6)/($AN$6-$AL$6),$AL$6+SQRT(AU228*($AN$6-$AL$6)*($AM$6-$AL$6)),$AN$6-SQRT((1-AU228)*($AN$6-$AL$6)*($AN$6-$AM$6))),$AM$6)</f>
        <v/>
      </c>
      <c r="AM228">
        <f>IFERROR(IF(AV228&lt;($AM$7-$AL$7)/($AN$7-$AL$7),$AL$7+SQRT(AV228*($AN$7-$AL$7)*($AM$7-$AL$7)),$AN$7-SQRT((1-AV228)*($AN$7-$AL$7)*($AN$7-$AM$7))),$AM$7)</f>
        <v/>
      </c>
      <c r="AN228">
        <f>IFERROR(IF(AW228&lt;($AM$8-$AL$8)/($AN$8-$AL$8),$AL$8+SQRT(AW228*($AN$8-$AL$8)*($AM$8-$AL$8)),$AN$8-SQRT((1-AW228)*($AN$8-$AL$8)*($AN$8-$AM$8))),$AM$8)</f>
        <v/>
      </c>
      <c r="AO228">
        <f>IFERROR(IF(AX228&lt;($AM$9-$AL$9)/($AN$9-$AL$9),$AL$9+SQRT(AX228*($AN$9-$AL$9)*($AM$9-$AL$9)),$AN$9-SQRT((1-AX228)*($AN$9-$AL$9)*($AN$9-$AM$9))),$AM$9)</f>
        <v/>
      </c>
      <c r="AP228">
        <f>IFERROR(IF(AY228&lt;($AM$10-$AL$10)/($AN$10-$AL$10),$AL$10+SQRT(AY228*($AN$10-$AL$10)*($AM$10-$AL$10)),$AN$10-SQRT((1-AY228)*($AN$10-$AL$10)*($AN$10-$AM$10))),$AM$10)</f>
        <v/>
      </c>
      <c r="AQ228">
        <f>IFERROR(IF(AZ228&lt;($AM$11-$AL$11)/($AN$11-$AL$11),$AL$11+SQRT(AZ228*($AN$11-$AL$11)*($AM$11-$AL$11)),$AN$11-SQRT((1-AZ228)*($AN$11-$AL$11)*($AN$11-$AM$11))),$AM$11)</f>
        <v/>
      </c>
      <c r="AR228">
        <f>SUMPRODUCT((B24:B31&lt;=$B$6)*(C24:C31*AM228+D24:D31*AO228*$B$8*AQ228)/(1+AL228/100)^B24:B31)+C32*AM228*AP228/(1+AL228/100)^$B$6</f>
        <v/>
      </c>
      <c r="AS228">
        <f>SUMPRODUCT((K24:K26&lt;=$B$6)*(L24:L26*AN228+M24:M26*AO228*$B$8*AQ228)/(1+AL228/100)^K24:K26)+L27*AN228*AP228/(1+AL228/100)^$B$6</f>
        <v/>
      </c>
      <c r="AT228">
        <f>AS228-AR228</f>
        <v/>
      </c>
      <c r="AU228">
        <f>RAND()</f>
        <v/>
      </c>
      <c r="AV228">
        <f>RAND()</f>
        <v/>
      </c>
      <c r="AW228">
        <f>RAND()</f>
        <v/>
      </c>
      <c r="AX228">
        <f>RAND()</f>
        <v/>
      </c>
      <c r="AY228">
        <f>RAND()</f>
        <v/>
      </c>
      <c r="AZ228">
        <f>RAND()</f>
        <v/>
      </c>
    </row>
    <row r="229">
      <c r="AK229" t="n">
        <v>216</v>
      </c>
      <c r="AL229">
        <f>IFERROR(IF(AU229&lt;($AM$6-$AL$6)/($AN$6-$AL$6),$AL$6+SQRT(AU229*($AN$6-$AL$6)*($AM$6-$AL$6)),$AN$6-SQRT((1-AU229)*($AN$6-$AL$6)*($AN$6-$AM$6))),$AM$6)</f>
        <v/>
      </c>
      <c r="AM229">
        <f>IFERROR(IF(AV229&lt;($AM$7-$AL$7)/($AN$7-$AL$7),$AL$7+SQRT(AV229*($AN$7-$AL$7)*($AM$7-$AL$7)),$AN$7-SQRT((1-AV229)*($AN$7-$AL$7)*($AN$7-$AM$7))),$AM$7)</f>
        <v/>
      </c>
      <c r="AN229">
        <f>IFERROR(IF(AW229&lt;($AM$8-$AL$8)/($AN$8-$AL$8),$AL$8+SQRT(AW229*($AN$8-$AL$8)*($AM$8-$AL$8)),$AN$8-SQRT((1-AW229)*($AN$8-$AL$8)*($AN$8-$AM$8))),$AM$8)</f>
        <v/>
      </c>
      <c r="AO229">
        <f>IFERROR(IF(AX229&lt;($AM$9-$AL$9)/($AN$9-$AL$9),$AL$9+SQRT(AX229*($AN$9-$AL$9)*($AM$9-$AL$9)),$AN$9-SQRT((1-AX229)*($AN$9-$AL$9)*($AN$9-$AM$9))),$AM$9)</f>
        <v/>
      </c>
      <c r="AP229">
        <f>IFERROR(IF(AY229&lt;($AM$10-$AL$10)/($AN$10-$AL$10),$AL$10+SQRT(AY229*($AN$10-$AL$10)*($AM$10-$AL$10)),$AN$10-SQRT((1-AY229)*($AN$10-$AL$10)*($AN$10-$AM$10))),$AM$10)</f>
        <v/>
      </c>
      <c r="AQ229">
        <f>IFERROR(IF(AZ229&lt;($AM$11-$AL$11)/($AN$11-$AL$11),$AL$11+SQRT(AZ229*($AN$11-$AL$11)*($AM$11-$AL$11)),$AN$11-SQRT((1-AZ229)*($AN$11-$AL$11)*($AN$11-$AM$11))),$AM$11)</f>
        <v/>
      </c>
      <c r="AR229">
        <f>SUMPRODUCT((B24:B31&lt;=$B$6)*(C24:C31*AM229+D24:D31*AO229*$B$8*AQ229)/(1+AL229/100)^B24:B31)+C32*AM229*AP229/(1+AL229/100)^$B$6</f>
        <v/>
      </c>
      <c r="AS229">
        <f>SUMPRODUCT((K24:K26&lt;=$B$6)*(L24:L26*AN229+M24:M26*AO229*$B$8*AQ229)/(1+AL229/100)^K24:K26)+L27*AN229*AP229/(1+AL229/100)^$B$6</f>
        <v/>
      </c>
      <c r="AT229">
        <f>AS229-AR229</f>
        <v/>
      </c>
      <c r="AU229">
        <f>RAND()</f>
        <v/>
      </c>
      <c r="AV229">
        <f>RAND()</f>
        <v/>
      </c>
      <c r="AW229">
        <f>RAND()</f>
        <v/>
      </c>
      <c r="AX229">
        <f>RAND()</f>
        <v/>
      </c>
      <c r="AY229">
        <f>RAND()</f>
        <v/>
      </c>
      <c r="AZ229">
        <f>RAND()</f>
        <v/>
      </c>
    </row>
    <row r="230">
      <c r="AK230" t="n">
        <v>217</v>
      </c>
      <c r="AL230">
        <f>IFERROR(IF(AU230&lt;($AM$6-$AL$6)/($AN$6-$AL$6),$AL$6+SQRT(AU230*($AN$6-$AL$6)*($AM$6-$AL$6)),$AN$6-SQRT((1-AU230)*($AN$6-$AL$6)*($AN$6-$AM$6))),$AM$6)</f>
        <v/>
      </c>
      <c r="AM230">
        <f>IFERROR(IF(AV230&lt;($AM$7-$AL$7)/($AN$7-$AL$7),$AL$7+SQRT(AV230*($AN$7-$AL$7)*($AM$7-$AL$7)),$AN$7-SQRT((1-AV230)*($AN$7-$AL$7)*($AN$7-$AM$7))),$AM$7)</f>
        <v/>
      </c>
      <c r="AN230">
        <f>IFERROR(IF(AW230&lt;($AM$8-$AL$8)/($AN$8-$AL$8),$AL$8+SQRT(AW230*($AN$8-$AL$8)*($AM$8-$AL$8)),$AN$8-SQRT((1-AW230)*($AN$8-$AL$8)*($AN$8-$AM$8))),$AM$8)</f>
        <v/>
      </c>
      <c r="AO230">
        <f>IFERROR(IF(AX230&lt;($AM$9-$AL$9)/($AN$9-$AL$9),$AL$9+SQRT(AX230*($AN$9-$AL$9)*($AM$9-$AL$9)),$AN$9-SQRT((1-AX230)*($AN$9-$AL$9)*($AN$9-$AM$9))),$AM$9)</f>
        <v/>
      </c>
      <c r="AP230">
        <f>IFERROR(IF(AY230&lt;($AM$10-$AL$10)/($AN$10-$AL$10),$AL$10+SQRT(AY230*($AN$10-$AL$10)*($AM$10-$AL$10)),$AN$10-SQRT((1-AY230)*($AN$10-$AL$10)*($AN$10-$AM$10))),$AM$10)</f>
        <v/>
      </c>
      <c r="AQ230">
        <f>IFERROR(IF(AZ230&lt;($AM$11-$AL$11)/($AN$11-$AL$11),$AL$11+SQRT(AZ230*($AN$11-$AL$11)*($AM$11-$AL$11)),$AN$11-SQRT((1-AZ230)*($AN$11-$AL$11)*($AN$11-$AM$11))),$AM$11)</f>
        <v/>
      </c>
      <c r="AR230">
        <f>SUMPRODUCT((B24:B31&lt;=$B$6)*(C24:C31*AM230+D24:D31*AO230*$B$8*AQ230)/(1+AL230/100)^B24:B31)+C32*AM230*AP230/(1+AL230/100)^$B$6</f>
        <v/>
      </c>
      <c r="AS230">
        <f>SUMPRODUCT((K24:K26&lt;=$B$6)*(L24:L26*AN230+M24:M26*AO230*$B$8*AQ230)/(1+AL230/100)^K24:K26)+L27*AN230*AP230/(1+AL230/100)^$B$6</f>
        <v/>
      </c>
      <c r="AT230">
        <f>AS230-AR230</f>
        <v/>
      </c>
      <c r="AU230">
        <f>RAND()</f>
        <v/>
      </c>
      <c r="AV230">
        <f>RAND()</f>
        <v/>
      </c>
      <c r="AW230">
        <f>RAND()</f>
        <v/>
      </c>
      <c r="AX230">
        <f>RAND()</f>
        <v/>
      </c>
      <c r="AY230">
        <f>RAND()</f>
        <v/>
      </c>
      <c r="AZ230">
        <f>RAND()</f>
        <v/>
      </c>
    </row>
    <row r="231">
      <c r="AK231" t="n">
        <v>218</v>
      </c>
      <c r="AL231">
        <f>IFERROR(IF(AU231&lt;($AM$6-$AL$6)/($AN$6-$AL$6),$AL$6+SQRT(AU231*($AN$6-$AL$6)*($AM$6-$AL$6)),$AN$6-SQRT((1-AU231)*($AN$6-$AL$6)*($AN$6-$AM$6))),$AM$6)</f>
        <v/>
      </c>
      <c r="AM231">
        <f>IFERROR(IF(AV231&lt;($AM$7-$AL$7)/($AN$7-$AL$7),$AL$7+SQRT(AV231*($AN$7-$AL$7)*($AM$7-$AL$7)),$AN$7-SQRT((1-AV231)*($AN$7-$AL$7)*($AN$7-$AM$7))),$AM$7)</f>
        <v/>
      </c>
      <c r="AN231">
        <f>IFERROR(IF(AW231&lt;($AM$8-$AL$8)/($AN$8-$AL$8),$AL$8+SQRT(AW231*($AN$8-$AL$8)*($AM$8-$AL$8)),$AN$8-SQRT((1-AW231)*($AN$8-$AL$8)*($AN$8-$AM$8))),$AM$8)</f>
        <v/>
      </c>
      <c r="AO231">
        <f>IFERROR(IF(AX231&lt;($AM$9-$AL$9)/($AN$9-$AL$9),$AL$9+SQRT(AX231*($AN$9-$AL$9)*($AM$9-$AL$9)),$AN$9-SQRT((1-AX231)*($AN$9-$AL$9)*($AN$9-$AM$9))),$AM$9)</f>
        <v/>
      </c>
      <c r="AP231">
        <f>IFERROR(IF(AY231&lt;($AM$10-$AL$10)/($AN$10-$AL$10),$AL$10+SQRT(AY231*($AN$10-$AL$10)*($AM$10-$AL$10)),$AN$10-SQRT((1-AY231)*($AN$10-$AL$10)*($AN$10-$AM$10))),$AM$10)</f>
        <v/>
      </c>
      <c r="AQ231">
        <f>IFERROR(IF(AZ231&lt;($AM$11-$AL$11)/($AN$11-$AL$11),$AL$11+SQRT(AZ231*($AN$11-$AL$11)*($AM$11-$AL$11)),$AN$11-SQRT((1-AZ231)*($AN$11-$AL$11)*($AN$11-$AM$11))),$AM$11)</f>
        <v/>
      </c>
      <c r="AR231">
        <f>SUMPRODUCT((B24:B31&lt;=$B$6)*(C24:C31*AM231+D24:D31*AO231*$B$8*AQ231)/(1+AL231/100)^B24:B31)+C32*AM231*AP231/(1+AL231/100)^$B$6</f>
        <v/>
      </c>
      <c r="AS231">
        <f>SUMPRODUCT((K24:K26&lt;=$B$6)*(L24:L26*AN231+M24:M26*AO231*$B$8*AQ231)/(1+AL231/100)^K24:K26)+L27*AN231*AP231/(1+AL231/100)^$B$6</f>
        <v/>
      </c>
      <c r="AT231">
        <f>AS231-AR231</f>
        <v/>
      </c>
      <c r="AU231">
        <f>RAND()</f>
        <v/>
      </c>
      <c r="AV231">
        <f>RAND()</f>
        <v/>
      </c>
      <c r="AW231">
        <f>RAND()</f>
        <v/>
      </c>
      <c r="AX231">
        <f>RAND()</f>
        <v/>
      </c>
      <c r="AY231">
        <f>RAND()</f>
        <v/>
      </c>
      <c r="AZ231">
        <f>RAND()</f>
        <v/>
      </c>
    </row>
    <row r="232">
      <c r="AK232" t="n">
        <v>219</v>
      </c>
      <c r="AL232">
        <f>IFERROR(IF(AU232&lt;($AM$6-$AL$6)/($AN$6-$AL$6),$AL$6+SQRT(AU232*($AN$6-$AL$6)*($AM$6-$AL$6)),$AN$6-SQRT((1-AU232)*($AN$6-$AL$6)*($AN$6-$AM$6))),$AM$6)</f>
        <v/>
      </c>
      <c r="AM232">
        <f>IFERROR(IF(AV232&lt;($AM$7-$AL$7)/($AN$7-$AL$7),$AL$7+SQRT(AV232*($AN$7-$AL$7)*($AM$7-$AL$7)),$AN$7-SQRT((1-AV232)*($AN$7-$AL$7)*($AN$7-$AM$7))),$AM$7)</f>
        <v/>
      </c>
      <c r="AN232">
        <f>IFERROR(IF(AW232&lt;($AM$8-$AL$8)/($AN$8-$AL$8),$AL$8+SQRT(AW232*($AN$8-$AL$8)*($AM$8-$AL$8)),$AN$8-SQRT((1-AW232)*($AN$8-$AL$8)*($AN$8-$AM$8))),$AM$8)</f>
        <v/>
      </c>
      <c r="AO232">
        <f>IFERROR(IF(AX232&lt;($AM$9-$AL$9)/($AN$9-$AL$9),$AL$9+SQRT(AX232*($AN$9-$AL$9)*($AM$9-$AL$9)),$AN$9-SQRT((1-AX232)*($AN$9-$AL$9)*($AN$9-$AM$9))),$AM$9)</f>
        <v/>
      </c>
      <c r="AP232">
        <f>IFERROR(IF(AY232&lt;($AM$10-$AL$10)/($AN$10-$AL$10),$AL$10+SQRT(AY232*($AN$10-$AL$10)*($AM$10-$AL$10)),$AN$10-SQRT((1-AY232)*($AN$10-$AL$10)*($AN$10-$AM$10))),$AM$10)</f>
        <v/>
      </c>
      <c r="AQ232">
        <f>IFERROR(IF(AZ232&lt;($AM$11-$AL$11)/($AN$11-$AL$11),$AL$11+SQRT(AZ232*($AN$11-$AL$11)*($AM$11-$AL$11)),$AN$11-SQRT((1-AZ232)*($AN$11-$AL$11)*($AN$11-$AM$11))),$AM$11)</f>
        <v/>
      </c>
      <c r="AR232">
        <f>SUMPRODUCT((B24:B31&lt;=$B$6)*(C24:C31*AM232+D24:D31*AO232*$B$8*AQ232)/(1+AL232/100)^B24:B31)+C32*AM232*AP232/(1+AL232/100)^$B$6</f>
        <v/>
      </c>
      <c r="AS232">
        <f>SUMPRODUCT((K24:K26&lt;=$B$6)*(L24:L26*AN232+M24:M26*AO232*$B$8*AQ232)/(1+AL232/100)^K24:K26)+L27*AN232*AP232/(1+AL232/100)^$B$6</f>
        <v/>
      </c>
      <c r="AT232">
        <f>AS232-AR232</f>
        <v/>
      </c>
      <c r="AU232">
        <f>RAND()</f>
        <v/>
      </c>
      <c r="AV232">
        <f>RAND()</f>
        <v/>
      </c>
      <c r="AW232">
        <f>RAND()</f>
        <v/>
      </c>
      <c r="AX232">
        <f>RAND()</f>
        <v/>
      </c>
      <c r="AY232">
        <f>RAND()</f>
        <v/>
      </c>
      <c r="AZ232">
        <f>RAND()</f>
        <v/>
      </c>
    </row>
    <row r="233">
      <c r="AK233" t="n">
        <v>220</v>
      </c>
      <c r="AL233">
        <f>IFERROR(IF(AU233&lt;($AM$6-$AL$6)/($AN$6-$AL$6),$AL$6+SQRT(AU233*($AN$6-$AL$6)*($AM$6-$AL$6)),$AN$6-SQRT((1-AU233)*($AN$6-$AL$6)*($AN$6-$AM$6))),$AM$6)</f>
        <v/>
      </c>
      <c r="AM233">
        <f>IFERROR(IF(AV233&lt;($AM$7-$AL$7)/($AN$7-$AL$7),$AL$7+SQRT(AV233*($AN$7-$AL$7)*($AM$7-$AL$7)),$AN$7-SQRT((1-AV233)*($AN$7-$AL$7)*($AN$7-$AM$7))),$AM$7)</f>
        <v/>
      </c>
      <c r="AN233">
        <f>IFERROR(IF(AW233&lt;($AM$8-$AL$8)/($AN$8-$AL$8),$AL$8+SQRT(AW233*($AN$8-$AL$8)*($AM$8-$AL$8)),$AN$8-SQRT((1-AW233)*($AN$8-$AL$8)*($AN$8-$AM$8))),$AM$8)</f>
        <v/>
      </c>
      <c r="AO233">
        <f>IFERROR(IF(AX233&lt;($AM$9-$AL$9)/($AN$9-$AL$9),$AL$9+SQRT(AX233*($AN$9-$AL$9)*($AM$9-$AL$9)),$AN$9-SQRT((1-AX233)*($AN$9-$AL$9)*($AN$9-$AM$9))),$AM$9)</f>
        <v/>
      </c>
      <c r="AP233">
        <f>IFERROR(IF(AY233&lt;($AM$10-$AL$10)/($AN$10-$AL$10),$AL$10+SQRT(AY233*($AN$10-$AL$10)*($AM$10-$AL$10)),$AN$10-SQRT((1-AY233)*($AN$10-$AL$10)*($AN$10-$AM$10))),$AM$10)</f>
        <v/>
      </c>
      <c r="AQ233">
        <f>IFERROR(IF(AZ233&lt;($AM$11-$AL$11)/($AN$11-$AL$11),$AL$11+SQRT(AZ233*($AN$11-$AL$11)*($AM$11-$AL$11)),$AN$11-SQRT((1-AZ233)*($AN$11-$AL$11)*($AN$11-$AM$11))),$AM$11)</f>
        <v/>
      </c>
      <c r="AR233">
        <f>SUMPRODUCT((B24:B31&lt;=$B$6)*(C24:C31*AM233+D24:D31*AO233*$B$8*AQ233)/(1+AL233/100)^B24:B31)+C32*AM233*AP233/(1+AL233/100)^$B$6</f>
        <v/>
      </c>
      <c r="AS233">
        <f>SUMPRODUCT((K24:K26&lt;=$B$6)*(L24:L26*AN233+M24:M26*AO233*$B$8*AQ233)/(1+AL233/100)^K24:K26)+L27*AN233*AP233/(1+AL233/100)^$B$6</f>
        <v/>
      </c>
      <c r="AT233">
        <f>AS233-AR233</f>
        <v/>
      </c>
      <c r="AU233">
        <f>RAND()</f>
        <v/>
      </c>
      <c r="AV233">
        <f>RAND()</f>
        <v/>
      </c>
      <c r="AW233">
        <f>RAND()</f>
        <v/>
      </c>
      <c r="AX233">
        <f>RAND()</f>
        <v/>
      </c>
      <c r="AY233">
        <f>RAND()</f>
        <v/>
      </c>
      <c r="AZ233">
        <f>RAND()</f>
        <v/>
      </c>
    </row>
    <row r="234">
      <c r="AK234" t="n">
        <v>221</v>
      </c>
      <c r="AL234">
        <f>IFERROR(IF(AU234&lt;($AM$6-$AL$6)/($AN$6-$AL$6),$AL$6+SQRT(AU234*($AN$6-$AL$6)*($AM$6-$AL$6)),$AN$6-SQRT((1-AU234)*($AN$6-$AL$6)*($AN$6-$AM$6))),$AM$6)</f>
        <v/>
      </c>
      <c r="AM234">
        <f>IFERROR(IF(AV234&lt;($AM$7-$AL$7)/($AN$7-$AL$7),$AL$7+SQRT(AV234*($AN$7-$AL$7)*($AM$7-$AL$7)),$AN$7-SQRT((1-AV234)*($AN$7-$AL$7)*($AN$7-$AM$7))),$AM$7)</f>
        <v/>
      </c>
      <c r="AN234">
        <f>IFERROR(IF(AW234&lt;($AM$8-$AL$8)/($AN$8-$AL$8),$AL$8+SQRT(AW234*($AN$8-$AL$8)*($AM$8-$AL$8)),$AN$8-SQRT((1-AW234)*($AN$8-$AL$8)*($AN$8-$AM$8))),$AM$8)</f>
        <v/>
      </c>
      <c r="AO234">
        <f>IFERROR(IF(AX234&lt;($AM$9-$AL$9)/($AN$9-$AL$9),$AL$9+SQRT(AX234*($AN$9-$AL$9)*($AM$9-$AL$9)),$AN$9-SQRT((1-AX234)*($AN$9-$AL$9)*($AN$9-$AM$9))),$AM$9)</f>
        <v/>
      </c>
      <c r="AP234">
        <f>IFERROR(IF(AY234&lt;($AM$10-$AL$10)/($AN$10-$AL$10),$AL$10+SQRT(AY234*($AN$10-$AL$10)*($AM$10-$AL$10)),$AN$10-SQRT((1-AY234)*($AN$10-$AL$10)*($AN$10-$AM$10))),$AM$10)</f>
        <v/>
      </c>
      <c r="AQ234">
        <f>IFERROR(IF(AZ234&lt;($AM$11-$AL$11)/($AN$11-$AL$11),$AL$11+SQRT(AZ234*($AN$11-$AL$11)*($AM$11-$AL$11)),$AN$11-SQRT((1-AZ234)*($AN$11-$AL$11)*($AN$11-$AM$11))),$AM$11)</f>
        <v/>
      </c>
      <c r="AR234">
        <f>SUMPRODUCT((B24:B31&lt;=$B$6)*(C24:C31*AM234+D24:D31*AO234*$B$8*AQ234)/(1+AL234/100)^B24:B31)+C32*AM234*AP234/(1+AL234/100)^$B$6</f>
        <v/>
      </c>
      <c r="AS234">
        <f>SUMPRODUCT((K24:K26&lt;=$B$6)*(L24:L26*AN234+M24:M26*AO234*$B$8*AQ234)/(1+AL234/100)^K24:K26)+L27*AN234*AP234/(1+AL234/100)^$B$6</f>
        <v/>
      </c>
      <c r="AT234">
        <f>AS234-AR234</f>
        <v/>
      </c>
      <c r="AU234">
        <f>RAND()</f>
        <v/>
      </c>
      <c r="AV234">
        <f>RAND()</f>
        <v/>
      </c>
      <c r="AW234">
        <f>RAND()</f>
        <v/>
      </c>
      <c r="AX234">
        <f>RAND()</f>
        <v/>
      </c>
      <c r="AY234">
        <f>RAND()</f>
        <v/>
      </c>
      <c r="AZ234">
        <f>RAND()</f>
        <v/>
      </c>
    </row>
    <row r="235">
      <c r="AK235" t="n">
        <v>222</v>
      </c>
      <c r="AL235">
        <f>IFERROR(IF(AU235&lt;($AM$6-$AL$6)/($AN$6-$AL$6),$AL$6+SQRT(AU235*($AN$6-$AL$6)*($AM$6-$AL$6)),$AN$6-SQRT((1-AU235)*($AN$6-$AL$6)*($AN$6-$AM$6))),$AM$6)</f>
        <v/>
      </c>
      <c r="AM235">
        <f>IFERROR(IF(AV235&lt;($AM$7-$AL$7)/($AN$7-$AL$7),$AL$7+SQRT(AV235*($AN$7-$AL$7)*($AM$7-$AL$7)),$AN$7-SQRT((1-AV235)*($AN$7-$AL$7)*($AN$7-$AM$7))),$AM$7)</f>
        <v/>
      </c>
      <c r="AN235">
        <f>IFERROR(IF(AW235&lt;($AM$8-$AL$8)/($AN$8-$AL$8),$AL$8+SQRT(AW235*($AN$8-$AL$8)*($AM$8-$AL$8)),$AN$8-SQRT((1-AW235)*($AN$8-$AL$8)*($AN$8-$AM$8))),$AM$8)</f>
        <v/>
      </c>
      <c r="AO235">
        <f>IFERROR(IF(AX235&lt;($AM$9-$AL$9)/($AN$9-$AL$9),$AL$9+SQRT(AX235*($AN$9-$AL$9)*($AM$9-$AL$9)),$AN$9-SQRT((1-AX235)*($AN$9-$AL$9)*($AN$9-$AM$9))),$AM$9)</f>
        <v/>
      </c>
      <c r="AP235">
        <f>IFERROR(IF(AY235&lt;($AM$10-$AL$10)/($AN$10-$AL$10),$AL$10+SQRT(AY235*($AN$10-$AL$10)*($AM$10-$AL$10)),$AN$10-SQRT((1-AY235)*($AN$10-$AL$10)*($AN$10-$AM$10))),$AM$10)</f>
        <v/>
      </c>
      <c r="AQ235">
        <f>IFERROR(IF(AZ235&lt;($AM$11-$AL$11)/($AN$11-$AL$11),$AL$11+SQRT(AZ235*($AN$11-$AL$11)*($AM$11-$AL$11)),$AN$11-SQRT((1-AZ235)*($AN$11-$AL$11)*($AN$11-$AM$11))),$AM$11)</f>
        <v/>
      </c>
      <c r="AR235">
        <f>SUMPRODUCT((B24:B31&lt;=$B$6)*(C24:C31*AM235+D24:D31*AO235*$B$8*AQ235)/(1+AL235/100)^B24:B31)+C32*AM235*AP235/(1+AL235/100)^$B$6</f>
        <v/>
      </c>
      <c r="AS235">
        <f>SUMPRODUCT((K24:K26&lt;=$B$6)*(L24:L26*AN235+M24:M26*AO235*$B$8*AQ235)/(1+AL235/100)^K24:K26)+L27*AN235*AP235/(1+AL235/100)^$B$6</f>
        <v/>
      </c>
      <c r="AT235">
        <f>AS235-AR235</f>
        <v/>
      </c>
      <c r="AU235">
        <f>RAND()</f>
        <v/>
      </c>
      <c r="AV235">
        <f>RAND()</f>
        <v/>
      </c>
      <c r="AW235">
        <f>RAND()</f>
        <v/>
      </c>
      <c r="AX235">
        <f>RAND()</f>
        <v/>
      </c>
      <c r="AY235">
        <f>RAND()</f>
        <v/>
      </c>
      <c r="AZ235">
        <f>RAND()</f>
        <v/>
      </c>
    </row>
    <row r="236">
      <c r="AK236" t="n">
        <v>223</v>
      </c>
      <c r="AL236">
        <f>IFERROR(IF(AU236&lt;($AM$6-$AL$6)/($AN$6-$AL$6),$AL$6+SQRT(AU236*($AN$6-$AL$6)*($AM$6-$AL$6)),$AN$6-SQRT((1-AU236)*($AN$6-$AL$6)*($AN$6-$AM$6))),$AM$6)</f>
        <v/>
      </c>
      <c r="AM236">
        <f>IFERROR(IF(AV236&lt;($AM$7-$AL$7)/($AN$7-$AL$7),$AL$7+SQRT(AV236*($AN$7-$AL$7)*($AM$7-$AL$7)),$AN$7-SQRT((1-AV236)*($AN$7-$AL$7)*($AN$7-$AM$7))),$AM$7)</f>
        <v/>
      </c>
      <c r="AN236">
        <f>IFERROR(IF(AW236&lt;($AM$8-$AL$8)/($AN$8-$AL$8),$AL$8+SQRT(AW236*($AN$8-$AL$8)*($AM$8-$AL$8)),$AN$8-SQRT((1-AW236)*($AN$8-$AL$8)*($AN$8-$AM$8))),$AM$8)</f>
        <v/>
      </c>
      <c r="AO236">
        <f>IFERROR(IF(AX236&lt;($AM$9-$AL$9)/($AN$9-$AL$9),$AL$9+SQRT(AX236*($AN$9-$AL$9)*($AM$9-$AL$9)),$AN$9-SQRT((1-AX236)*($AN$9-$AL$9)*($AN$9-$AM$9))),$AM$9)</f>
        <v/>
      </c>
      <c r="AP236">
        <f>IFERROR(IF(AY236&lt;($AM$10-$AL$10)/($AN$10-$AL$10),$AL$10+SQRT(AY236*($AN$10-$AL$10)*($AM$10-$AL$10)),$AN$10-SQRT((1-AY236)*($AN$10-$AL$10)*($AN$10-$AM$10))),$AM$10)</f>
        <v/>
      </c>
      <c r="AQ236">
        <f>IFERROR(IF(AZ236&lt;($AM$11-$AL$11)/($AN$11-$AL$11),$AL$11+SQRT(AZ236*($AN$11-$AL$11)*($AM$11-$AL$11)),$AN$11-SQRT((1-AZ236)*($AN$11-$AL$11)*($AN$11-$AM$11))),$AM$11)</f>
        <v/>
      </c>
      <c r="AR236">
        <f>SUMPRODUCT((B24:B31&lt;=$B$6)*(C24:C31*AM236+D24:D31*AO236*$B$8*AQ236)/(1+AL236/100)^B24:B31)+C32*AM236*AP236/(1+AL236/100)^$B$6</f>
        <v/>
      </c>
      <c r="AS236">
        <f>SUMPRODUCT((K24:K26&lt;=$B$6)*(L24:L26*AN236+M24:M26*AO236*$B$8*AQ236)/(1+AL236/100)^K24:K26)+L27*AN236*AP236/(1+AL236/100)^$B$6</f>
        <v/>
      </c>
      <c r="AT236">
        <f>AS236-AR236</f>
        <v/>
      </c>
      <c r="AU236">
        <f>RAND()</f>
        <v/>
      </c>
      <c r="AV236">
        <f>RAND()</f>
        <v/>
      </c>
      <c r="AW236">
        <f>RAND()</f>
        <v/>
      </c>
      <c r="AX236">
        <f>RAND()</f>
        <v/>
      </c>
      <c r="AY236">
        <f>RAND()</f>
        <v/>
      </c>
      <c r="AZ236">
        <f>RAND()</f>
        <v/>
      </c>
    </row>
    <row r="237">
      <c r="AK237" t="n">
        <v>224</v>
      </c>
      <c r="AL237">
        <f>IFERROR(IF(AU237&lt;($AM$6-$AL$6)/($AN$6-$AL$6),$AL$6+SQRT(AU237*($AN$6-$AL$6)*($AM$6-$AL$6)),$AN$6-SQRT((1-AU237)*($AN$6-$AL$6)*($AN$6-$AM$6))),$AM$6)</f>
        <v/>
      </c>
      <c r="AM237">
        <f>IFERROR(IF(AV237&lt;($AM$7-$AL$7)/($AN$7-$AL$7),$AL$7+SQRT(AV237*($AN$7-$AL$7)*($AM$7-$AL$7)),$AN$7-SQRT((1-AV237)*($AN$7-$AL$7)*($AN$7-$AM$7))),$AM$7)</f>
        <v/>
      </c>
      <c r="AN237">
        <f>IFERROR(IF(AW237&lt;($AM$8-$AL$8)/($AN$8-$AL$8),$AL$8+SQRT(AW237*($AN$8-$AL$8)*($AM$8-$AL$8)),$AN$8-SQRT((1-AW237)*($AN$8-$AL$8)*($AN$8-$AM$8))),$AM$8)</f>
        <v/>
      </c>
      <c r="AO237">
        <f>IFERROR(IF(AX237&lt;($AM$9-$AL$9)/($AN$9-$AL$9),$AL$9+SQRT(AX237*($AN$9-$AL$9)*($AM$9-$AL$9)),$AN$9-SQRT((1-AX237)*($AN$9-$AL$9)*($AN$9-$AM$9))),$AM$9)</f>
        <v/>
      </c>
      <c r="AP237">
        <f>IFERROR(IF(AY237&lt;($AM$10-$AL$10)/($AN$10-$AL$10),$AL$10+SQRT(AY237*($AN$10-$AL$10)*($AM$10-$AL$10)),$AN$10-SQRT((1-AY237)*($AN$10-$AL$10)*($AN$10-$AM$10))),$AM$10)</f>
        <v/>
      </c>
      <c r="AQ237">
        <f>IFERROR(IF(AZ237&lt;($AM$11-$AL$11)/($AN$11-$AL$11),$AL$11+SQRT(AZ237*($AN$11-$AL$11)*($AM$11-$AL$11)),$AN$11-SQRT((1-AZ237)*($AN$11-$AL$11)*($AN$11-$AM$11))),$AM$11)</f>
        <v/>
      </c>
      <c r="AR237">
        <f>SUMPRODUCT((B24:B31&lt;=$B$6)*(C24:C31*AM237+D24:D31*AO237*$B$8*AQ237)/(1+AL237/100)^B24:B31)+C32*AM237*AP237/(1+AL237/100)^$B$6</f>
        <v/>
      </c>
      <c r="AS237">
        <f>SUMPRODUCT((K24:K26&lt;=$B$6)*(L24:L26*AN237+M24:M26*AO237*$B$8*AQ237)/(1+AL237/100)^K24:K26)+L27*AN237*AP237/(1+AL237/100)^$B$6</f>
        <v/>
      </c>
      <c r="AT237">
        <f>AS237-AR237</f>
        <v/>
      </c>
      <c r="AU237">
        <f>RAND()</f>
        <v/>
      </c>
      <c r="AV237">
        <f>RAND()</f>
        <v/>
      </c>
      <c r="AW237">
        <f>RAND()</f>
        <v/>
      </c>
      <c r="AX237">
        <f>RAND()</f>
        <v/>
      </c>
      <c r="AY237">
        <f>RAND()</f>
        <v/>
      </c>
      <c r="AZ237">
        <f>RAND()</f>
        <v/>
      </c>
    </row>
    <row r="238">
      <c r="AK238" t="n">
        <v>225</v>
      </c>
      <c r="AL238">
        <f>IFERROR(IF(AU238&lt;($AM$6-$AL$6)/($AN$6-$AL$6),$AL$6+SQRT(AU238*($AN$6-$AL$6)*($AM$6-$AL$6)),$AN$6-SQRT((1-AU238)*($AN$6-$AL$6)*($AN$6-$AM$6))),$AM$6)</f>
        <v/>
      </c>
      <c r="AM238">
        <f>IFERROR(IF(AV238&lt;($AM$7-$AL$7)/($AN$7-$AL$7),$AL$7+SQRT(AV238*($AN$7-$AL$7)*($AM$7-$AL$7)),$AN$7-SQRT((1-AV238)*($AN$7-$AL$7)*($AN$7-$AM$7))),$AM$7)</f>
        <v/>
      </c>
      <c r="AN238">
        <f>IFERROR(IF(AW238&lt;($AM$8-$AL$8)/($AN$8-$AL$8),$AL$8+SQRT(AW238*($AN$8-$AL$8)*($AM$8-$AL$8)),$AN$8-SQRT((1-AW238)*($AN$8-$AL$8)*($AN$8-$AM$8))),$AM$8)</f>
        <v/>
      </c>
      <c r="AO238">
        <f>IFERROR(IF(AX238&lt;($AM$9-$AL$9)/($AN$9-$AL$9),$AL$9+SQRT(AX238*($AN$9-$AL$9)*($AM$9-$AL$9)),$AN$9-SQRT((1-AX238)*($AN$9-$AL$9)*($AN$9-$AM$9))),$AM$9)</f>
        <v/>
      </c>
      <c r="AP238">
        <f>IFERROR(IF(AY238&lt;($AM$10-$AL$10)/($AN$10-$AL$10),$AL$10+SQRT(AY238*($AN$10-$AL$10)*($AM$10-$AL$10)),$AN$10-SQRT((1-AY238)*($AN$10-$AL$10)*($AN$10-$AM$10))),$AM$10)</f>
        <v/>
      </c>
      <c r="AQ238">
        <f>IFERROR(IF(AZ238&lt;($AM$11-$AL$11)/($AN$11-$AL$11),$AL$11+SQRT(AZ238*($AN$11-$AL$11)*($AM$11-$AL$11)),$AN$11-SQRT((1-AZ238)*($AN$11-$AL$11)*($AN$11-$AM$11))),$AM$11)</f>
        <v/>
      </c>
      <c r="AR238">
        <f>SUMPRODUCT((B24:B31&lt;=$B$6)*(C24:C31*AM238+D24:D31*AO238*$B$8*AQ238)/(1+AL238/100)^B24:B31)+C32*AM238*AP238/(1+AL238/100)^$B$6</f>
        <v/>
      </c>
      <c r="AS238">
        <f>SUMPRODUCT((K24:K26&lt;=$B$6)*(L24:L26*AN238+M24:M26*AO238*$B$8*AQ238)/(1+AL238/100)^K24:K26)+L27*AN238*AP238/(1+AL238/100)^$B$6</f>
        <v/>
      </c>
      <c r="AT238">
        <f>AS238-AR238</f>
        <v/>
      </c>
      <c r="AU238">
        <f>RAND()</f>
        <v/>
      </c>
      <c r="AV238">
        <f>RAND()</f>
        <v/>
      </c>
      <c r="AW238">
        <f>RAND()</f>
        <v/>
      </c>
      <c r="AX238">
        <f>RAND()</f>
        <v/>
      </c>
      <c r="AY238">
        <f>RAND()</f>
        <v/>
      </c>
      <c r="AZ238">
        <f>RAND()</f>
        <v/>
      </c>
    </row>
    <row r="239">
      <c r="AK239" t="n">
        <v>226</v>
      </c>
      <c r="AL239">
        <f>IFERROR(IF(AU239&lt;($AM$6-$AL$6)/($AN$6-$AL$6),$AL$6+SQRT(AU239*($AN$6-$AL$6)*($AM$6-$AL$6)),$AN$6-SQRT((1-AU239)*($AN$6-$AL$6)*($AN$6-$AM$6))),$AM$6)</f>
        <v/>
      </c>
      <c r="AM239">
        <f>IFERROR(IF(AV239&lt;($AM$7-$AL$7)/($AN$7-$AL$7),$AL$7+SQRT(AV239*($AN$7-$AL$7)*($AM$7-$AL$7)),$AN$7-SQRT((1-AV239)*($AN$7-$AL$7)*($AN$7-$AM$7))),$AM$7)</f>
        <v/>
      </c>
      <c r="AN239">
        <f>IFERROR(IF(AW239&lt;($AM$8-$AL$8)/($AN$8-$AL$8),$AL$8+SQRT(AW239*($AN$8-$AL$8)*($AM$8-$AL$8)),$AN$8-SQRT((1-AW239)*($AN$8-$AL$8)*($AN$8-$AM$8))),$AM$8)</f>
        <v/>
      </c>
      <c r="AO239">
        <f>IFERROR(IF(AX239&lt;($AM$9-$AL$9)/($AN$9-$AL$9),$AL$9+SQRT(AX239*($AN$9-$AL$9)*($AM$9-$AL$9)),$AN$9-SQRT((1-AX239)*($AN$9-$AL$9)*($AN$9-$AM$9))),$AM$9)</f>
        <v/>
      </c>
      <c r="AP239">
        <f>IFERROR(IF(AY239&lt;($AM$10-$AL$10)/($AN$10-$AL$10),$AL$10+SQRT(AY239*($AN$10-$AL$10)*($AM$10-$AL$10)),$AN$10-SQRT((1-AY239)*($AN$10-$AL$10)*($AN$10-$AM$10))),$AM$10)</f>
        <v/>
      </c>
      <c r="AQ239">
        <f>IFERROR(IF(AZ239&lt;($AM$11-$AL$11)/($AN$11-$AL$11),$AL$11+SQRT(AZ239*($AN$11-$AL$11)*($AM$11-$AL$11)),$AN$11-SQRT((1-AZ239)*($AN$11-$AL$11)*($AN$11-$AM$11))),$AM$11)</f>
        <v/>
      </c>
      <c r="AR239">
        <f>SUMPRODUCT((B24:B31&lt;=$B$6)*(C24:C31*AM239+D24:D31*AO239*$B$8*AQ239)/(1+AL239/100)^B24:B31)+C32*AM239*AP239/(1+AL239/100)^$B$6</f>
        <v/>
      </c>
      <c r="AS239">
        <f>SUMPRODUCT((K24:K26&lt;=$B$6)*(L24:L26*AN239+M24:M26*AO239*$B$8*AQ239)/(1+AL239/100)^K24:K26)+L27*AN239*AP239/(1+AL239/100)^$B$6</f>
        <v/>
      </c>
      <c r="AT239">
        <f>AS239-AR239</f>
        <v/>
      </c>
      <c r="AU239">
        <f>RAND()</f>
        <v/>
      </c>
      <c r="AV239">
        <f>RAND()</f>
        <v/>
      </c>
      <c r="AW239">
        <f>RAND()</f>
        <v/>
      </c>
      <c r="AX239">
        <f>RAND()</f>
        <v/>
      </c>
      <c r="AY239">
        <f>RAND()</f>
        <v/>
      </c>
      <c r="AZ239">
        <f>RAND()</f>
        <v/>
      </c>
    </row>
    <row r="240">
      <c r="AK240" t="n">
        <v>227</v>
      </c>
      <c r="AL240">
        <f>IFERROR(IF(AU240&lt;($AM$6-$AL$6)/($AN$6-$AL$6),$AL$6+SQRT(AU240*($AN$6-$AL$6)*($AM$6-$AL$6)),$AN$6-SQRT((1-AU240)*($AN$6-$AL$6)*($AN$6-$AM$6))),$AM$6)</f>
        <v/>
      </c>
      <c r="AM240">
        <f>IFERROR(IF(AV240&lt;($AM$7-$AL$7)/($AN$7-$AL$7),$AL$7+SQRT(AV240*($AN$7-$AL$7)*($AM$7-$AL$7)),$AN$7-SQRT((1-AV240)*($AN$7-$AL$7)*($AN$7-$AM$7))),$AM$7)</f>
        <v/>
      </c>
      <c r="AN240">
        <f>IFERROR(IF(AW240&lt;($AM$8-$AL$8)/($AN$8-$AL$8),$AL$8+SQRT(AW240*($AN$8-$AL$8)*($AM$8-$AL$8)),$AN$8-SQRT((1-AW240)*($AN$8-$AL$8)*($AN$8-$AM$8))),$AM$8)</f>
        <v/>
      </c>
      <c r="AO240">
        <f>IFERROR(IF(AX240&lt;($AM$9-$AL$9)/($AN$9-$AL$9),$AL$9+SQRT(AX240*($AN$9-$AL$9)*($AM$9-$AL$9)),$AN$9-SQRT((1-AX240)*($AN$9-$AL$9)*($AN$9-$AM$9))),$AM$9)</f>
        <v/>
      </c>
      <c r="AP240">
        <f>IFERROR(IF(AY240&lt;($AM$10-$AL$10)/($AN$10-$AL$10),$AL$10+SQRT(AY240*($AN$10-$AL$10)*($AM$10-$AL$10)),$AN$10-SQRT((1-AY240)*($AN$10-$AL$10)*($AN$10-$AM$10))),$AM$10)</f>
        <v/>
      </c>
      <c r="AQ240">
        <f>IFERROR(IF(AZ240&lt;($AM$11-$AL$11)/($AN$11-$AL$11),$AL$11+SQRT(AZ240*($AN$11-$AL$11)*($AM$11-$AL$11)),$AN$11-SQRT((1-AZ240)*($AN$11-$AL$11)*($AN$11-$AM$11))),$AM$11)</f>
        <v/>
      </c>
      <c r="AR240">
        <f>SUMPRODUCT((B24:B31&lt;=$B$6)*(C24:C31*AM240+D24:D31*AO240*$B$8*AQ240)/(1+AL240/100)^B24:B31)+C32*AM240*AP240/(1+AL240/100)^$B$6</f>
        <v/>
      </c>
      <c r="AS240">
        <f>SUMPRODUCT((K24:K26&lt;=$B$6)*(L24:L26*AN240+M24:M26*AO240*$B$8*AQ240)/(1+AL240/100)^K24:K26)+L27*AN240*AP240/(1+AL240/100)^$B$6</f>
        <v/>
      </c>
      <c r="AT240">
        <f>AS240-AR240</f>
        <v/>
      </c>
      <c r="AU240">
        <f>RAND()</f>
        <v/>
      </c>
      <c r="AV240">
        <f>RAND()</f>
        <v/>
      </c>
      <c r="AW240">
        <f>RAND()</f>
        <v/>
      </c>
      <c r="AX240">
        <f>RAND()</f>
        <v/>
      </c>
      <c r="AY240">
        <f>RAND()</f>
        <v/>
      </c>
      <c r="AZ240">
        <f>RAND()</f>
        <v/>
      </c>
    </row>
    <row r="241">
      <c r="AK241" t="n">
        <v>228</v>
      </c>
      <c r="AL241">
        <f>IFERROR(IF(AU241&lt;($AM$6-$AL$6)/($AN$6-$AL$6),$AL$6+SQRT(AU241*($AN$6-$AL$6)*($AM$6-$AL$6)),$AN$6-SQRT((1-AU241)*($AN$6-$AL$6)*($AN$6-$AM$6))),$AM$6)</f>
        <v/>
      </c>
      <c r="AM241">
        <f>IFERROR(IF(AV241&lt;($AM$7-$AL$7)/($AN$7-$AL$7),$AL$7+SQRT(AV241*($AN$7-$AL$7)*($AM$7-$AL$7)),$AN$7-SQRT((1-AV241)*($AN$7-$AL$7)*($AN$7-$AM$7))),$AM$7)</f>
        <v/>
      </c>
      <c r="AN241">
        <f>IFERROR(IF(AW241&lt;($AM$8-$AL$8)/($AN$8-$AL$8),$AL$8+SQRT(AW241*($AN$8-$AL$8)*($AM$8-$AL$8)),$AN$8-SQRT((1-AW241)*($AN$8-$AL$8)*($AN$8-$AM$8))),$AM$8)</f>
        <v/>
      </c>
      <c r="AO241">
        <f>IFERROR(IF(AX241&lt;($AM$9-$AL$9)/($AN$9-$AL$9),$AL$9+SQRT(AX241*($AN$9-$AL$9)*($AM$9-$AL$9)),$AN$9-SQRT((1-AX241)*($AN$9-$AL$9)*($AN$9-$AM$9))),$AM$9)</f>
        <v/>
      </c>
      <c r="AP241">
        <f>IFERROR(IF(AY241&lt;($AM$10-$AL$10)/($AN$10-$AL$10),$AL$10+SQRT(AY241*($AN$10-$AL$10)*($AM$10-$AL$10)),$AN$10-SQRT((1-AY241)*($AN$10-$AL$10)*($AN$10-$AM$10))),$AM$10)</f>
        <v/>
      </c>
      <c r="AQ241">
        <f>IFERROR(IF(AZ241&lt;($AM$11-$AL$11)/($AN$11-$AL$11),$AL$11+SQRT(AZ241*($AN$11-$AL$11)*($AM$11-$AL$11)),$AN$11-SQRT((1-AZ241)*($AN$11-$AL$11)*($AN$11-$AM$11))),$AM$11)</f>
        <v/>
      </c>
      <c r="AR241">
        <f>SUMPRODUCT((B24:B31&lt;=$B$6)*(C24:C31*AM241+D24:D31*AO241*$B$8*AQ241)/(1+AL241/100)^B24:B31)+C32*AM241*AP241/(1+AL241/100)^$B$6</f>
        <v/>
      </c>
      <c r="AS241">
        <f>SUMPRODUCT((K24:K26&lt;=$B$6)*(L24:L26*AN241+M24:M26*AO241*$B$8*AQ241)/(1+AL241/100)^K24:K26)+L27*AN241*AP241/(1+AL241/100)^$B$6</f>
        <v/>
      </c>
      <c r="AT241">
        <f>AS241-AR241</f>
        <v/>
      </c>
      <c r="AU241">
        <f>RAND()</f>
        <v/>
      </c>
      <c r="AV241">
        <f>RAND()</f>
        <v/>
      </c>
      <c r="AW241">
        <f>RAND()</f>
        <v/>
      </c>
      <c r="AX241">
        <f>RAND()</f>
        <v/>
      </c>
      <c r="AY241">
        <f>RAND()</f>
        <v/>
      </c>
      <c r="AZ241">
        <f>RAND()</f>
        <v/>
      </c>
    </row>
    <row r="242">
      <c r="AK242" t="n">
        <v>229</v>
      </c>
      <c r="AL242">
        <f>IFERROR(IF(AU242&lt;($AM$6-$AL$6)/($AN$6-$AL$6),$AL$6+SQRT(AU242*($AN$6-$AL$6)*($AM$6-$AL$6)),$AN$6-SQRT((1-AU242)*($AN$6-$AL$6)*($AN$6-$AM$6))),$AM$6)</f>
        <v/>
      </c>
      <c r="AM242">
        <f>IFERROR(IF(AV242&lt;($AM$7-$AL$7)/($AN$7-$AL$7),$AL$7+SQRT(AV242*($AN$7-$AL$7)*($AM$7-$AL$7)),$AN$7-SQRT((1-AV242)*($AN$7-$AL$7)*($AN$7-$AM$7))),$AM$7)</f>
        <v/>
      </c>
      <c r="AN242">
        <f>IFERROR(IF(AW242&lt;($AM$8-$AL$8)/($AN$8-$AL$8),$AL$8+SQRT(AW242*($AN$8-$AL$8)*($AM$8-$AL$8)),$AN$8-SQRT((1-AW242)*($AN$8-$AL$8)*($AN$8-$AM$8))),$AM$8)</f>
        <v/>
      </c>
      <c r="AO242">
        <f>IFERROR(IF(AX242&lt;($AM$9-$AL$9)/($AN$9-$AL$9),$AL$9+SQRT(AX242*($AN$9-$AL$9)*($AM$9-$AL$9)),$AN$9-SQRT((1-AX242)*($AN$9-$AL$9)*($AN$9-$AM$9))),$AM$9)</f>
        <v/>
      </c>
      <c r="AP242">
        <f>IFERROR(IF(AY242&lt;($AM$10-$AL$10)/($AN$10-$AL$10),$AL$10+SQRT(AY242*($AN$10-$AL$10)*($AM$10-$AL$10)),$AN$10-SQRT((1-AY242)*($AN$10-$AL$10)*($AN$10-$AM$10))),$AM$10)</f>
        <v/>
      </c>
      <c r="AQ242">
        <f>IFERROR(IF(AZ242&lt;($AM$11-$AL$11)/($AN$11-$AL$11),$AL$11+SQRT(AZ242*($AN$11-$AL$11)*($AM$11-$AL$11)),$AN$11-SQRT((1-AZ242)*($AN$11-$AL$11)*($AN$11-$AM$11))),$AM$11)</f>
        <v/>
      </c>
      <c r="AR242">
        <f>SUMPRODUCT((B24:B31&lt;=$B$6)*(C24:C31*AM242+D24:D31*AO242*$B$8*AQ242)/(1+AL242/100)^B24:B31)+C32*AM242*AP242/(1+AL242/100)^$B$6</f>
        <v/>
      </c>
      <c r="AS242">
        <f>SUMPRODUCT((K24:K26&lt;=$B$6)*(L24:L26*AN242+M24:M26*AO242*$B$8*AQ242)/(1+AL242/100)^K24:K26)+L27*AN242*AP242/(1+AL242/100)^$B$6</f>
        <v/>
      </c>
      <c r="AT242">
        <f>AS242-AR242</f>
        <v/>
      </c>
      <c r="AU242">
        <f>RAND()</f>
        <v/>
      </c>
      <c r="AV242">
        <f>RAND()</f>
        <v/>
      </c>
      <c r="AW242">
        <f>RAND()</f>
        <v/>
      </c>
      <c r="AX242">
        <f>RAND()</f>
        <v/>
      </c>
      <c r="AY242">
        <f>RAND()</f>
        <v/>
      </c>
      <c r="AZ242">
        <f>RAND()</f>
        <v/>
      </c>
    </row>
    <row r="243">
      <c r="AK243" t="n">
        <v>230</v>
      </c>
      <c r="AL243">
        <f>IFERROR(IF(AU243&lt;($AM$6-$AL$6)/($AN$6-$AL$6),$AL$6+SQRT(AU243*($AN$6-$AL$6)*($AM$6-$AL$6)),$AN$6-SQRT((1-AU243)*($AN$6-$AL$6)*($AN$6-$AM$6))),$AM$6)</f>
        <v/>
      </c>
      <c r="AM243">
        <f>IFERROR(IF(AV243&lt;($AM$7-$AL$7)/($AN$7-$AL$7),$AL$7+SQRT(AV243*($AN$7-$AL$7)*($AM$7-$AL$7)),$AN$7-SQRT((1-AV243)*($AN$7-$AL$7)*($AN$7-$AM$7))),$AM$7)</f>
        <v/>
      </c>
      <c r="AN243">
        <f>IFERROR(IF(AW243&lt;($AM$8-$AL$8)/($AN$8-$AL$8),$AL$8+SQRT(AW243*($AN$8-$AL$8)*($AM$8-$AL$8)),$AN$8-SQRT((1-AW243)*($AN$8-$AL$8)*($AN$8-$AM$8))),$AM$8)</f>
        <v/>
      </c>
      <c r="AO243">
        <f>IFERROR(IF(AX243&lt;($AM$9-$AL$9)/($AN$9-$AL$9),$AL$9+SQRT(AX243*($AN$9-$AL$9)*($AM$9-$AL$9)),$AN$9-SQRT((1-AX243)*($AN$9-$AL$9)*($AN$9-$AM$9))),$AM$9)</f>
        <v/>
      </c>
      <c r="AP243">
        <f>IFERROR(IF(AY243&lt;($AM$10-$AL$10)/($AN$10-$AL$10),$AL$10+SQRT(AY243*($AN$10-$AL$10)*($AM$10-$AL$10)),$AN$10-SQRT((1-AY243)*($AN$10-$AL$10)*($AN$10-$AM$10))),$AM$10)</f>
        <v/>
      </c>
      <c r="AQ243">
        <f>IFERROR(IF(AZ243&lt;($AM$11-$AL$11)/($AN$11-$AL$11),$AL$11+SQRT(AZ243*($AN$11-$AL$11)*($AM$11-$AL$11)),$AN$11-SQRT((1-AZ243)*($AN$11-$AL$11)*($AN$11-$AM$11))),$AM$11)</f>
        <v/>
      </c>
      <c r="AR243">
        <f>SUMPRODUCT((B24:B31&lt;=$B$6)*(C24:C31*AM243+D24:D31*AO243*$B$8*AQ243)/(1+AL243/100)^B24:B31)+C32*AM243*AP243/(1+AL243/100)^$B$6</f>
        <v/>
      </c>
      <c r="AS243">
        <f>SUMPRODUCT((K24:K26&lt;=$B$6)*(L24:L26*AN243+M24:M26*AO243*$B$8*AQ243)/(1+AL243/100)^K24:K26)+L27*AN243*AP243/(1+AL243/100)^$B$6</f>
        <v/>
      </c>
      <c r="AT243">
        <f>AS243-AR243</f>
        <v/>
      </c>
      <c r="AU243">
        <f>RAND()</f>
        <v/>
      </c>
      <c r="AV243">
        <f>RAND()</f>
        <v/>
      </c>
      <c r="AW243">
        <f>RAND()</f>
        <v/>
      </c>
      <c r="AX243">
        <f>RAND()</f>
        <v/>
      </c>
      <c r="AY243">
        <f>RAND()</f>
        <v/>
      </c>
      <c r="AZ243">
        <f>RAND()</f>
        <v/>
      </c>
    </row>
    <row r="244">
      <c r="AK244" t="n">
        <v>231</v>
      </c>
      <c r="AL244">
        <f>IFERROR(IF(AU244&lt;($AM$6-$AL$6)/($AN$6-$AL$6),$AL$6+SQRT(AU244*($AN$6-$AL$6)*($AM$6-$AL$6)),$AN$6-SQRT((1-AU244)*($AN$6-$AL$6)*($AN$6-$AM$6))),$AM$6)</f>
        <v/>
      </c>
      <c r="AM244">
        <f>IFERROR(IF(AV244&lt;($AM$7-$AL$7)/($AN$7-$AL$7),$AL$7+SQRT(AV244*($AN$7-$AL$7)*($AM$7-$AL$7)),$AN$7-SQRT((1-AV244)*($AN$7-$AL$7)*($AN$7-$AM$7))),$AM$7)</f>
        <v/>
      </c>
      <c r="AN244">
        <f>IFERROR(IF(AW244&lt;($AM$8-$AL$8)/($AN$8-$AL$8),$AL$8+SQRT(AW244*($AN$8-$AL$8)*($AM$8-$AL$8)),$AN$8-SQRT((1-AW244)*($AN$8-$AL$8)*($AN$8-$AM$8))),$AM$8)</f>
        <v/>
      </c>
      <c r="AO244">
        <f>IFERROR(IF(AX244&lt;($AM$9-$AL$9)/($AN$9-$AL$9),$AL$9+SQRT(AX244*($AN$9-$AL$9)*($AM$9-$AL$9)),$AN$9-SQRT((1-AX244)*($AN$9-$AL$9)*($AN$9-$AM$9))),$AM$9)</f>
        <v/>
      </c>
      <c r="AP244">
        <f>IFERROR(IF(AY244&lt;($AM$10-$AL$10)/($AN$10-$AL$10),$AL$10+SQRT(AY244*($AN$10-$AL$10)*($AM$10-$AL$10)),$AN$10-SQRT((1-AY244)*($AN$10-$AL$10)*($AN$10-$AM$10))),$AM$10)</f>
        <v/>
      </c>
      <c r="AQ244">
        <f>IFERROR(IF(AZ244&lt;($AM$11-$AL$11)/($AN$11-$AL$11),$AL$11+SQRT(AZ244*($AN$11-$AL$11)*($AM$11-$AL$11)),$AN$11-SQRT((1-AZ244)*($AN$11-$AL$11)*($AN$11-$AM$11))),$AM$11)</f>
        <v/>
      </c>
      <c r="AR244">
        <f>SUMPRODUCT((B24:B31&lt;=$B$6)*(C24:C31*AM244+D24:D31*AO244*$B$8*AQ244)/(1+AL244/100)^B24:B31)+C32*AM244*AP244/(1+AL244/100)^$B$6</f>
        <v/>
      </c>
      <c r="AS244">
        <f>SUMPRODUCT((K24:K26&lt;=$B$6)*(L24:L26*AN244+M24:M26*AO244*$B$8*AQ244)/(1+AL244/100)^K24:K26)+L27*AN244*AP244/(1+AL244/100)^$B$6</f>
        <v/>
      </c>
      <c r="AT244">
        <f>AS244-AR244</f>
        <v/>
      </c>
      <c r="AU244">
        <f>RAND()</f>
        <v/>
      </c>
      <c r="AV244">
        <f>RAND()</f>
        <v/>
      </c>
      <c r="AW244">
        <f>RAND()</f>
        <v/>
      </c>
      <c r="AX244">
        <f>RAND()</f>
        <v/>
      </c>
      <c r="AY244">
        <f>RAND()</f>
        <v/>
      </c>
      <c r="AZ244">
        <f>RAND()</f>
        <v/>
      </c>
    </row>
    <row r="245">
      <c r="AK245" t="n">
        <v>232</v>
      </c>
      <c r="AL245">
        <f>IFERROR(IF(AU245&lt;($AM$6-$AL$6)/($AN$6-$AL$6),$AL$6+SQRT(AU245*($AN$6-$AL$6)*($AM$6-$AL$6)),$AN$6-SQRT((1-AU245)*($AN$6-$AL$6)*($AN$6-$AM$6))),$AM$6)</f>
        <v/>
      </c>
      <c r="AM245">
        <f>IFERROR(IF(AV245&lt;($AM$7-$AL$7)/($AN$7-$AL$7),$AL$7+SQRT(AV245*($AN$7-$AL$7)*($AM$7-$AL$7)),$AN$7-SQRT((1-AV245)*($AN$7-$AL$7)*($AN$7-$AM$7))),$AM$7)</f>
        <v/>
      </c>
      <c r="AN245">
        <f>IFERROR(IF(AW245&lt;($AM$8-$AL$8)/($AN$8-$AL$8),$AL$8+SQRT(AW245*($AN$8-$AL$8)*($AM$8-$AL$8)),$AN$8-SQRT((1-AW245)*($AN$8-$AL$8)*($AN$8-$AM$8))),$AM$8)</f>
        <v/>
      </c>
      <c r="AO245">
        <f>IFERROR(IF(AX245&lt;($AM$9-$AL$9)/($AN$9-$AL$9),$AL$9+SQRT(AX245*($AN$9-$AL$9)*($AM$9-$AL$9)),$AN$9-SQRT((1-AX245)*($AN$9-$AL$9)*($AN$9-$AM$9))),$AM$9)</f>
        <v/>
      </c>
      <c r="AP245">
        <f>IFERROR(IF(AY245&lt;($AM$10-$AL$10)/($AN$10-$AL$10),$AL$10+SQRT(AY245*($AN$10-$AL$10)*($AM$10-$AL$10)),$AN$10-SQRT((1-AY245)*($AN$10-$AL$10)*($AN$10-$AM$10))),$AM$10)</f>
        <v/>
      </c>
      <c r="AQ245">
        <f>IFERROR(IF(AZ245&lt;($AM$11-$AL$11)/($AN$11-$AL$11),$AL$11+SQRT(AZ245*($AN$11-$AL$11)*($AM$11-$AL$11)),$AN$11-SQRT((1-AZ245)*($AN$11-$AL$11)*($AN$11-$AM$11))),$AM$11)</f>
        <v/>
      </c>
      <c r="AR245">
        <f>SUMPRODUCT((B24:B31&lt;=$B$6)*(C24:C31*AM245+D24:D31*AO245*$B$8*AQ245)/(1+AL245/100)^B24:B31)+C32*AM245*AP245/(1+AL245/100)^$B$6</f>
        <v/>
      </c>
      <c r="AS245">
        <f>SUMPRODUCT((K24:K26&lt;=$B$6)*(L24:L26*AN245+M24:M26*AO245*$B$8*AQ245)/(1+AL245/100)^K24:K26)+L27*AN245*AP245/(1+AL245/100)^$B$6</f>
        <v/>
      </c>
      <c r="AT245">
        <f>AS245-AR245</f>
        <v/>
      </c>
      <c r="AU245">
        <f>RAND()</f>
        <v/>
      </c>
      <c r="AV245">
        <f>RAND()</f>
        <v/>
      </c>
      <c r="AW245">
        <f>RAND()</f>
        <v/>
      </c>
      <c r="AX245">
        <f>RAND()</f>
        <v/>
      </c>
      <c r="AY245">
        <f>RAND()</f>
        <v/>
      </c>
      <c r="AZ245">
        <f>RAND()</f>
        <v/>
      </c>
    </row>
    <row r="246">
      <c r="AK246" t="n">
        <v>233</v>
      </c>
      <c r="AL246">
        <f>IFERROR(IF(AU246&lt;($AM$6-$AL$6)/($AN$6-$AL$6),$AL$6+SQRT(AU246*($AN$6-$AL$6)*($AM$6-$AL$6)),$AN$6-SQRT((1-AU246)*($AN$6-$AL$6)*($AN$6-$AM$6))),$AM$6)</f>
        <v/>
      </c>
      <c r="AM246">
        <f>IFERROR(IF(AV246&lt;($AM$7-$AL$7)/($AN$7-$AL$7),$AL$7+SQRT(AV246*($AN$7-$AL$7)*($AM$7-$AL$7)),$AN$7-SQRT((1-AV246)*($AN$7-$AL$7)*($AN$7-$AM$7))),$AM$7)</f>
        <v/>
      </c>
      <c r="AN246">
        <f>IFERROR(IF(AW246&lt;($AM$8-$AL$8)/($AN$8-$AL$8),$AL$8+SQRT(AW246*($AN$8-$AL$8)*($AM$8-$AL$8)),$AN$8-SQRT((1-AW246)*($AN$8-$AL$8)*($AN$8-$AM$8))),$AM$8)</f>
        <v/>
      </c>
      <c r="AO246">
        <f>IFERROR(IF(AX246&lt;($AM$9-$AL$9)/($AN$9-$AL$9),$AL$9+SQRT(AX246*($AN$9-$AL$9)*($AM$9-$AL$9)),$AN$9-SQRT((1-AX246)*($AN$9-$AL$9)*($AN$9-$AM$9))),$AM$9)</f>
        <v/>
      </c>
      <c r="AP246">
        <f>IFERROR(IF(AY246&lt;($AM$10-$AL$10)/($AN$10-$AL$10),$AL$10+SQRT(AY246*($AN$10-$AL$10)*($AM$10-$AL$10)),$AN$10-SQRT((1-AY246)*($AN$10-$AL$10)*($AN$10-$AM$10))),$AM$10)</f>
        <v/>
      </c>
      <c r="AQ246">
        <f>IFERROR(IF(AZ246&lt;($AM$11-$AL$11)/($AN$11-$AL$11),$AL$11+SQRT(AZ246*($AN$11-$AL$11)*($AM$11-$AL$11)),$AN$11-SQRT((1-AZ246)*($AN$11-$AL$11)*($AN$11-$AM$11))),$AM$11)</f>
        <v/>
      </c>
      <c r="AR246">
        <f>SUMPRODUCT((B24:B31&lt;=$B$6)*(C24:C31*AM246+D24:D31*AO246*$B$8*AQ246)/(1+AL246/100)^B24:B31)+C32*AM246*AP246/(1+AL246/100)^$B$6</f>
        <v/>
      </c>
      <c r="AS246">
        <f>SUMPRODUCT((K24:K26&lt;=$B$6)*(L24:L26*AN246+M24:M26*AO246*$B$8*AQ246)/(1+AL246/100)^K24:K26)+L27*AN246*AP246/(1+AL246/100)^$B$6</f>
        <v/>
      </c>
      <c r="AT246">
        <f>AS246-AR246</f>
        <v/>
      </c>
      <c r="AU246">
        <f>RAND()</f>
        <v/>
      </c>
      <c r="AV246">
        <f>RAND()</f>
        <v/>
      </c>
      <c r="AW246">
        <f>RAND()</f>
        <v/>
      </c>
      <c r="AX246">
        <f>RAND()</f>
        <v/>
      </c>
      <c r="AY246">
        <f>RAND()</f>
        <v/>
      </c>
      <c r="AZ246">
        <f>RAND()</f>
        <v/>
      </c>
    </row>
    <row r="247">
      <c r="AK247" t="n">
        <v>234</v>
      </c>
      <c r="AL247">
        <f>IFERROR(IF(AU247&lt;($AM$6-$AL$6)/($AN$6-$AL$6),$AL$6+SQRT(AU247*($AN$6-$AL$6)*($AM$6-$AL$6)),$AN$6-SQRT((1-AU247)*($AN$6-$AL$6)*($AN$6-$AM$6))),$AM$6)</f>
        <v/>
      </c>
      <c r="AM247">
        <f>IFERROR(IF(AV247&lt;($AM$7-$AL$7)/($AN$7-$AL$7),$AL$7+SQRT(AV247*($AN$7-$AL$7)*($AM$7-$AL$7)),$AN$7-SQRT((1-AV247)*($AN$7-$AL$7)*($AN$7-$AM$7))),$AM$7)</f>
        <v/>
      </c>
      <c r="AN247">
        <f>IFERROR(IF(AW247&lt;($AM$8-$AL$8)/($AN$8-$AL$8),$AL$8+SQRT(AW247*($AN$8-$AL$8)*($AM$8-$AL$8)),$AN$8-SQRT((1-AW247)*($AN$8-$AL$8)*($AN$8-$AM$8))),$AM$8)</f>
        <v/>
      </c>
      <c r="AO247">
        <f>IFERROR(IF(AX247&lt;($AM$9-$AL$9)/($AN$9-$AL$9),$AL$9+SQRT(AX247*($AN$9-$AL$9)*($AM$9-$AL$9)),$AN$9-SQRT((1-AX247)*($AN$9-$AL$9)*($AN$9-$AM$9))),$AM$9)</f>
        <v/>
      </c>
      <c r="AP247">
        <f>IFERROR(IF(AY247&lt;($AM$10-$AL$10)/($AN$10-$AL$10),$AL$10+SQRT(AY247*($AN$10-$AL$10)*($AM$10-$AL$10)),$AN$10-SQRT((1-AY247)*($AN$10-$AL$10)*($AN$10-$AM$10))),$AM$10)</f>
        <v/>
      </c>
      <c r="AQ247">
        <f>IFERROR(IF(AZ247&lt;($AM$11-$AL$11)/($AN$11-$AL$11),$AL$11+SQRT(AZ247*($AN$11-$AL$11)*($AM$11-$AL$11)),$AN$11-SQRT((1-AZ247)*($AN$11-$AL$11)*($AN$11-$AM$11))),$AM$11)</f>
        <v/>
      </c>
      <c r="AR247">
        <f>SUMPRODUCT((B24:B31&lt;=$B$6)*(C24:C31*AM247+D24:D31*AO247*$B$8*AQ247)/(1+AL247/100)^B24:B31)+C32*AM247*AP247/(1+AL247/100)^$B$6</f>
        <v/>
      </c>
      <c r="AS247">
        <f>SUMPRODUCT((K24:K26&lt;=$B$6)*(L24:L26*AN247+M24:M26*AO247*$B$8*AQ247)/(1+AL247/100)^K24:K26)+L27*AN247*AP247/(1+AL247/100)^$B$6</f>
        <v/>
      </c>
      <c r="AT247">
        <f>AS247-AR247</f>
        <v/>
      </c>
      <c r="AU247">
        <f>RAND()</f>
        <v/>
      </c>
      <c r="AV247">
        <f>RAND()</f>
        <v/>
      </c>
      <c r="AW247">
        <f>RAND()</f>
        <v/>
      </c>
      <c r="AX247">
        <f>RAND()</f>
        <v/>
      </c>
      <c r="AY247">
        <f>RAND()</f>
        <v/>
      </c>
      <c r="AZ247">
        <f>RAND()</f>
        <v/>
      </c>
    </row>
    <row r="248">
      <c r="AK248" t="n">
        <v>235</v>
      </c>
      <c r="AL248">
        <f>IFERROR(IF(AU248&lt;($AM$6-$AL$6)/($AN$6-$AL$6),$AL$6+SQRT(AU248*($AN$6-$AL$6)*($AM$6-$AL$6)),$AN$6-SQRT((1-AU248)*($AN$6-$AL$6)*($AN$6-$AM$6))),$AM$6)</f>
        <v/>
      </c>
      <c r="AM248">
        <f>IFERROR(IF(AV248&lt;($AM$7-$AL$7)/($AN$7-$AL$7),$AL$7+SQRT(AV248*($AN$7-$AL$7)*($AM$7-$AL$7)),$AN$7-SQRT((1-AV248)*($AN$7-$AL$7)*($AN$7-$AM$7))),$AM$7)</f>
        <v/>
      </c>
      <c r="AN248">
        <f>IFERROR(IF(AW248&lt;($AM$8-$AL$8)/($AN$8-$AL$8),$AL$8+SQRT(AW248*($AN$8-$AL$8)*($AM$8-$AL$8)),$AN$8-SQRT((1-AW248)*($AN$8-$AL$8)*($AN$8-$AM$8))),$AM$8)</f>
        <v/>
      </c>
      <c r="AO248">
        <f>IFERROR(IF(AX248&lt;($AM$9-$AL$9)/($AN$9-$AL$9),$AL$9+SQRT(AX248*($AN$9-$AL$9)*($AM$9-$AL$9)),$AN$9-SQRT((1-AX248)*($AN$9-$AL$9)*($AN$9-$AM$9))),$AM$9)</f>
        <v/>
      </c>
      <c r="AP248">
        <f>IFERROR(IF(AY248&lt;($AM$10-$AL$10)/($AN$10-$AL$10),$AL$10+SQRT(AY248*($AN$10-$AL$10)*($AM$10-$AL$10)),$AN$10-SQRT((1-AY248)*($AN$10-$AL$10)*($AN$10-$AM$10))),$AM$10)</f>
        <v/>
      </c>
      <c r="AQ248">
        <f>IFERROR(IF(AZ248&lt;($AM$11-$AL$11)/($AN$11-$AL$11),$AL$11+SQRT(AZ248*($AN$11-$AL$11)*($AM$11-$AL$11)),$AN$11-SQRT((1-AZ248)*($AN$11-$AL$11)*($AN$11-$AM$11))),$AM$11)</f>
        <v/>
      </c>
      <c r="AR248">
        <f>SUMPRODUCT((B24:B31&lt;=$B$6)*(C24:C31*AM248+D24:D31*AO248*$B$8*AQ248)/(1+AL248/100)^B24:B31)+C32*AM248*AP248/(1+AL248/100)^$B$6</f>
        <v/>
      </c>
      <c r="AS248">
        <f>SUMPRODUCT((K24:K26&lt;=$B$6)*(L24:L26*AN248+M24:M26*AO248*$B$8*AQ248)/(1+AL248/100)^K24:K26)+L27*AN248*AP248/(1+AL248/100)^$B$6</f>
        <v/>
      </c>
      <c r="AT248">
        <f>AS248-AR248</f>
        <v/>
      </c>
      <c r="AU248">
        <f>RAND()</f>
        <v/>
      </c>
      <c r="AV248">
        <f>RAND()</f>
        <v/>
      </c>
      <c r="AW248">
        <f>RAND()</f>
        <v/>
      </c>
      <c r="AX248">
        <f>RAND()</f>
        <v/>
      </c>
      <c r="AY248">
        <f>RAND()</f>
        <v/>
      </c>
      <c r="AZ248">
        <f>RAND()</f>
        <v/>
      </c>
    </row>
    <row r="249">
      <c r="AK249" t="n">
        <v>236</v>
      </c>
      <c r="AL249">
        <f>IFERROR(IF(AU249&lt;($AM$6-$AL$6)/($AN$6-$AL$6),$AL$6+SQRT(AU249*($AN$6-$AL$6)*($AM$6-$AL$6)),$AN$6-SQRT((1-AU249)*($AN$6-$AL$6)*($AN$6-$AM$6))),$AM$6)</f>
        <v/>
      </c>
      <c r="AM249">
        <f>IFERROR(IF(AV249&lt;($AM$7-$AL$7)/($AN$7-$AL$7),$AL$7+SQRT(AV249*($AN$7-$AL$7)*($AM$7-$AL$7)),$AN$7-SQRT((1-AV249)*($AN$7-$AL$7)*($AN$7-$AM$7))),$AM$7)</f>
        <v/>
      </c>
      <c r="AN249">
        <f>IFERROR(IF(AW249&lt;($AM$8-$AL$8)/($AN$8-$AL$8),$AL$8+SQRT(AW249*($AN$8-$AL$8)*($AM$8-$AL$8)),$AN$8-SQRT((1-AW249)*($AN$8-$AL$8)*($AN$8-$AM$8))),$AM$8)</f>
        <v/>
      </c>
      <c r="AO249">
        <f>IFERROR(IF(AX249&lt;($AM$9-$AL$9)/($AN$9-$AL$9),$AL$9+SQRT(AX249*($AN$9-$AL$9)*($AM$9-$AL$9)),$AN$9-SQRT((1-AX249)*($AN$9-$AL$9)*($AN$9-$AM$9))),$AM$9)</f>
        <v/>
      </c>
      <c r="AP249">
        <f>IFERROR(IF(AY249&lt;($AM$10-$AL$10)/($AN$10-$AL$10),$AL$10+SQRT(AY249*($AN$10-$AL$10)*($AM$10-$AL$10)),$AN$10-SQRT((1-AY249)*($AN$10-$AL$10)*($AN$10-$AM$10))),$AM$10)</f>
        <v/>
      </c>
      <c r="AQ249">
        <f>IFERROR(IF(AZ249&lt;($AM$11-$AL$11)/($AN$11-$AL$11),$AL$11+SQRT(AZ249*($AN$11-$AL$11)*($AM$11-$AL$11)),$AN$11-SQRT((1-AZ249)*($AN$11-$AL$11)*($AN$11-$AM$11))),$AM$11)</f>
        <v/>
      </c>
      <c r="AR249">
        <f>SUMPRODUCT((B24:B31&lt;=$B$6)*(C24:C31*AM249+D24:D31*AO249*$B$8*AQ249)/(1+AL249/100)^B24:B31)+C32*AM249*AP249/(1+AL249/100)^$B$6</f>
        <v/>
      </c>
      <c r="AS249">
        <f>SUMPRODUCT((K24:K26&lt;=$B$6)*(L24:L26*AN249+M24:M26*AO249*$B$8*AQ249)/(1+AL249/100)^K24:K26)+L27*AN249*AP249/(1+AL249/100)^$B$6</f>
        <v/>
      </c>
      <c r="AT249">
        <f>AS249-AR249</f>
        <v/>
      </c>
      <c r="AU249">
        <f>RAND()</f>
        <v/>
      </c>
      <c r="AV249">
        <f>RAND()</f>
        <v/>
      </c>
      <c r="AW249">
        <f>RAND()</f>
        <v/>
      </c>
      <c r="AX249">
        <f>RAND()</f>
        <v/>
      </c>
      <c r="AY249">
        <f>RAND()</f>
        <v/>
      </c>
      <c r="AZ249">
        <f>RAND()</f>
        <v/>
      </c>
    </row>
    <row r="250">
      <c r="AK250" t="n">
        <v>237</v>
      </c>
      <c r="AL250">
        <f>IFERROR(IF(AU250&lt;($AM$6-$AL$6)/($AN$6-$AL$6),$AL$6+SQRT(AU250*($AN$6-$AL$6)*($AM$6-$AL$6)),$AN$6-SQRT((1-AU250)*($AN$6-$AL$6)*($AN$6-$AM$6))),$AM$6)</f>
        <v/>
      </c>
      <c r="AM250">
        <f>IFERROR(IF(AV250&lt;($AM$7-$AL$7)/($AN$7-$AL$7),$AL$7+SQRT(AV250*($AN$7-$AL$7)*($AM$7-$AL$7)),$AN$7-SQRT((1-AV250)*($AN$7-$AL$7)*($AN$7-$AM$7))),$AM$7)</f>
        <v/>
      </c>
      <c r="AN250">
        <f>IFERROR(IF(AW250&lt;($AM$8-$AL$8)/($AN$8-$AL$8),$AL$8+SQRT(AW250*($AN$8-$AL$8)*($AM$8-$AL$8)),$AN$8-SQRT((1-AW250)*($AN$8-$AL$8)*($AN$8-$AM$8))),$AM$8)</f>
        <v/>
      </c>
      <c r="AO250">
        <f>IFERROR(IF(AX250&lt;($AM$9-$AL$9)/($AN$9-$AL$9),$AL$9+SQRT(AX250*($AN$9-$AL$9)*($AM$9-$AL$9)),$AN$9-SQRT((1-AX250)*($AN$9-$AL$9)*($AN$9-$AM$9))),$AM$9)</f>
        <v/>
      </c>
      <c r="AP250">
        <f>IFERROR(IF(AY250&lt;($AM$10-$AL$10)/($AN$10-$AL$10),$AL$10+SQRT(AY250*($AN$10-$AL$10)*($AM$10-$AL$10)),$AN$10-SQRT((1-AY250)*($AN$10-$AL$10)*($AN$10-$AM$10))),$AM$10)</f>
        <v/>
      </c>
      <c r="AQ250">
        <f>IFERROR(IF(AZ250&lt;($AM$11-$AL$11)/($AN$11-$AL$11),$AL$11+SQRT(AZ250*($AN$11-$AL$11)*($AM$11-$AL$11)),$AN$11-SQRT((1-AZ250)*($AN$11-$AL$11)*($AN$11-$AM$11))),$AM$11)</f>
        <v/>
      </c>
      <c r="AR250">
        <f>SUMPRODUCT((B24:B31&lt;=$B$6)*(C24:C31*AM250+D24:D31*AO250*$B$8*AQ250)/(1+AL250/100)^B24:B31)+C32*AM250*AP250/(1+AL250/100)^$B$6</f>
        <v/>
      </c>
      <c r="AS250">
        <f>SUMPRODUCT((K24:K26&lt;=$B$6)*(L24:L26*AN250+M24:M26*AO250*$B$8*AQ250)/(1+AL250/100)^K24:K26)+L27*AN250*AP250/(1+AL250/100)^$B$6</f>
        <v/>
      </c>
      <c r="AT250">
        <f>AS250-AR250</f>
        <v/>
      </c>
      <c r="AU250">
        <f>RAND()</f>
        <v/>
      </c>
      <c r="AV250">
        <f>RAND()</f>
        <v/>
      </c>
      <c r="AW250">
        <f>RAND()</f>
        <v/>
      </c>
      <c r="AX250">
        <f>RAND()</f>
        <v/>
      </c>
      <c r="AY250">
        <f>RAND()</f>
        <v/>
      </c>
      <c r="AZ250">
        <f>RAND()</f>
        <v/>
      </c>
    </row>
    <row r="251">
      <c r="AK251" t="n">
        <v>238</v>
      </c>
      <c r="AL251">
        <f>IFERROR(IF(AU251&lt;($AM$6-$AL$6)/($AN$6-$AL$6),$AL$6+SQRT(AU251*($AN$6-$AL$6)*($AM$6-$AL$6)),$AN$6-SQRT((1-AU251)*($AN$6-$AL$6)*($AN$6-$AM$6))),$AM$6)</f>
        <v/>
      </c>
      <c r="AM251">
        <f>IFERROR(IF(AV251&lt;($AM$7-$AL$7)/($AN$7-$AL$7),$AL$7+SQRT(AV251*($AN$7-$AL$7)*($AM$7-$AL$7)),$AN$7-SQRT((1-AV251)*($AN$7-$AL$7)*($AN$7-$AM$7))),$AM$7)</f>
        <v/>
      </c>
      <c r="AN251">
        <f>IFERROR(IF(AW251&lt;($AM$8-$AL$8)/($AN$8-$AL$8),$AL$8+SQRT(AW251*($AN$8-$AL$8)*($AM$8-$AL$8)),$AN$8-SQRT((1-AW251)*($AN$8-$AL$8)*($AN$8-$AM$8))),$AM$8)</f>
        <v/>
      </c>
      <c r="AO251">
        <f>IFERROR(IF(AX251&lt;($AM$9-$AL$9)/($AN$9-$AL$9),$AL$9+SQRT(AX251*($AN$9-$AL$9)*($AM$9-$AL$9)),$AN$9-SQRT((1-AX251)*($AN$9-$AL$9)*($AN$9-$AM$9))),$AM$9)</f>
        <v/>
      </c>
      <c r="AP251">
        <f>IFERROR(IF(AY251&lt;($AM$10-$AL$10)/($AN$10-$AL$10),$AL$10+SQRT(AY251*($AN$10-$AL$10)*($AM$10-$AL$10)),$AN$10-SQRT((1-AY251)*($AN$10-$AL$10)*($AN$10-$AM$10))),$AM$10)</f>
        <v/>
      </c>
      <c r="AQ251">
        <f>IFERROR(IF(AZ251&lt;($AM$11-$AL$11)/($AN$11-$AL$11),$AL$11+SQRT(AZ251*($AN$11-$AL$11)*($AM$11-$AL$11)),$AN$11-SQRT((1-AZ251)*($AN$11-$AL$11)*($AN$11-$AM$11))),$AM$11)</f>
        <v/>
      </c>
      <c r="AR251">
        <f>SUMPRODUCT((B24:B31&lt;=$B$6)*(C24:C31*AM251+D24:D31*AO251*$B$8*AQ251)/(1+AL251/100)^B24:B31)+C32*AM251*AP251/(1+AL251/100)^$B$6</f>
        <v/>
      </c>
      <c r="AS251">
        <f>SUMPRODUCT((K24:K26&lt;=$B$6)*(L24:L26*AN251+M24:M26*AO251*$B$8*AQ251)/(1+AL251/100)^K24:K26)+L27*AN251*AP251/(1+AL251/100)^$B$6</f>
        <v/>
      </c>
      <c r="AT251">
        <f>AS251-AR251</f>
        <v/>
      </c>
      <c r="AU251">
        <f>RAND()</f>
        <v/>
      </c>
      <c r="AV251">
        <f>RAND()</f>
        <v/>
      </c>
      <c r="AW251">
        <f>RAND()</f>
        <v/>
      </c>
      <c r="AX251">
        <f>RAND()</f>
        <v/>
      </c>
      <c r="AY251">
        <f>RAND()</f>
        <v/>
      </c>
      <c r="AZ251">
        <f>RAND()</f>
        <v/>
      </c>
    </row>
    <row r="252">
      <c r="AK252" t="n">
        <v>239</v>
      </c>
      <c r="AL252">
        <f>IFERROR(IF(AU252&lt;($AM$6-$AL$6)/($AN$6-$AL$6),$AL$6+SQRT(AU252*($AN$6-$AL$6)*($AM$6-$AL$6)),$AN$6-SQRT((1-AU252)*($AN$6-$AL$6)*($AN$6-$AM$6))),$AM$6)</f>
        <v/>
      </c>
      <c r="AM252">
        <f>IFERROR(IF(AV252&lt;($AM$7-$AL$7)/($AN$7-$AL$7),$AL$7+SQRT(AV252*($AN$7-$AL$7)*($AM$7-$AL$7)),$AN$7-SQRT((1-AV252)*($AN$7-$AL$7)*($AN$7-$AM$7))),$AM$7)</f>
        <v/>
      </c>
      <c r="AN252">
        <f>IFERROR(IF(AW252&lt;($AM$8-$AL$8)/($AN$8-$AL$8),$AL$8+SQRT(AW252*($AN$8-$AL$8)*($AM$8-$AL$8)),$AN$8-SQRT((1-AW252)*($AN$8-$AL$8)*($AN$8-$AM$8))),$AM$8)</f>
        <v/>
      </c>
      <c r="AO252">
        <f>IFERROR(IF(AX252&lt;($AM$9-$AL$9)/($AN$9-$AL$9),$AL$9+SQRT(AX252*($AN$9-$AL$9)*($AM$9-$AL$9)),$AN$9-SQRT((1-AX252)*($AN$9-$AL$9)*($AN$9-$AM$9))),$AM$9)</f>
        <v/>
      </c>
      <c r="AP252">
        <f>IFERROR(IF(AY252&lt;($AM$10-$AL$10)/($AN$10-$AL$10),$AL$10+SQRT(AY252*($AN$10-$AL$10)*($AM$10-$AL$10)),$AN$10-SQRT((1-AY252)*($AN$10-$AL$10)*($AN$10-$AM$10))),$AM$10)</f>
        <v/>
      </c>
      <c r="AQ252">
        <f>IFERROR(IF(AZ252&lt;($AM$11-$AL$11)/($AN$11-$AL$11),$AL$11+SQRT(AZ252*($AN$11-$AL$11)*($AM$11-$AL$11)),$AN$11-SQRT((1-AZ252)*($AN$11-$AL$11)*($AN$11-$AM$11))),$AM$11)</f>
        <v/>
      </c>
      <c r="AR252">
        <f>SUMPRODUCT((B24:B31&lt;=$B$6)*(C24:C31*AM252+D24:D31*AO252*$B$8*AQ252)/(1+AL252/100)^B24:B31)+C32*AM252*AP252/(1+AL252/100)^$B$6</f>
        <v/>
      </c>
      <c r="AS252">
        <f>SUMPRODUCT((K24:K26&lt;=$B$6)*(L24:L26*AN252+M24:M26*AO252*$B$8*AQ252)/(1+AL252/100)^K24:K26)+L27*AN252*AP252/(1+AL252/100)^$B$6</f>
        <v/>
      </c>
      <c r="AT252">
        <f>AS252-AR252</f>
        <v/>
      </c>
      <c r="AU252">
        <f>RAND()</f>
        <v/>
      </c>
      <c r="AV252">
        <f>RAND()</f>
        <v/>
      </c>
      <c r="AW252">
        <f>RAND()</f>
        <v/>
      </c>
      <c r="AX252">
        <f>RAND()</f>
        <v/>
      </c>
      <c r="AY252">
        <f>RAND()</f>
        <v/>
      </c>
      <c r="AZ252">
        <f>RAND()</f>
        <v/>
      </c>
    </row>
    <row r="253">
      <c r="AK253" t="n">
        <v>240</v>
      </c>
      <c r="AL253">
        <f>IFERROR(IF(AU253&lt;($AM$6-$AL$6)/($AN$6-$AL$6),$AL$6+SQRT(AU253*($AN$6-$AL$6)*($AM$6-$AL$6)),$AN$6-SQRT((1-AU253)*($AN$6-$AL$6)*($AN$6-$AM$6))),$AM$6)</f>
        <v/>
      </c>
      <c r="AM253">
        <f>IFERROR(IF(AV253&lt;($AM$7-$AL$7)/($AN$7-$AL$7),$AL$7+SQRT(AV253*($AN$7-$AL$7)*($AM$7-$AL$7)),$AN$7-SQRT((1-AV253)*($AN$7-$AL$7)*($AN$7-$AM$7))),$AM$7)</f>
        <v/>
      </c>
      <c r="AN253">
        <f>IFERROR(IF(AW253&lt;($AM$8-$AL$8)/($AN$8-$AL$8),$AL$8+SQRT(AW253*($AN$8-$AL$8)*($AM$8-$AL$8)),$AN$8-SQRT((1-AW253)*($AN$8-$AL$8)*($AN$8-$AM$8))),$AM$8)</f>
        <v/>
      </c>
      <c r="AO253">
        <f>IFERROR(IF(AX253&lt;($AM$9-$AL$9)/($AN$9-$AL$9),$AL$9+SQRT(AX253*($AN$9-$AL$9)*($AM$9-$AL$9)),$AN$9-SQRT((1-AX253)*($AN$9-$AL$9)*($AN$9-$AM$9))),$AM$9)</f>
        <v/>
      </c>
      <c r="AP253">
        <f>IFERROR(IF(AY253&lt;($AM$10-$AL$10)/($AN$10-$AL$10),$AL$10+SQRT(AY253*($AN$10-$AL$10)*($AM$10-$AL$10)),$AN$10-SQRT((1-AY253)*($AN$10-$AL$10)*($AN$10-$AM$10))),$AM$10)</f>
        <v/>
      </c>
      <c r="AQ253">
        <f>IFERROR(IF(AZ253&lt;($AM$11-$AL$11)/($AN$11-$AL$11),$AL$11+SQRT(AZ253*($AN$11-$AL$11)*($AM$11-$AL$11)),$AN$11-SQRT((1-AZ253)*($AN$11-$AL$11)*($AN$11-$AM$11))),$AM$11)</f>
        <v/>
      </c>
      <c r="AR253">
        <f>SUMPRODUCT((B24:B31&lt;=$B$6)*(C24:C31*AM253+D24:D31*AO253*$B$8*AQ253)/(1+AL253/100)^B24:B31)+C32*AM253*AP253/(1+AL253/100)^$B$6</f>
        <v/>
      </c>
      <c r="AS253">
        <f>SUMPRODUCT((K24:K26&lt;=$B$6)*(L24:L26*AN253+M24:M26*AO253*$B$8*AQ253)/(1+AL253/100)^K24:K26)+L27*AN253*AP253/(1+AL253/100)^$B$6</f>
        <v/>
      </c>
      <c r="AT253">
        <f>AS253-AR253</f>
        <v/>
      </c>
      <c r="AU253">
        <f>RAND()</f>
        <v/>
      </c>
      <c r="AV253">
        <f>RAND()</f>
        <v/>
      </c>
      <c r="AW253">
        <f>RAND()</f>
        <v/>
      </c>
      <c r="AX253">
        <f>RAND()</f>
        <v/>
      </c>
      <c r="AY253">
        <f>RAND()</f>
        <v/>
      </c>
      <c r="AZ253">
        <f>RAND()</f>
        <v/>
      </c>
    </row>
    <row r="254">
      <c r="AK254" t="n">
        <v>241</v>
      </c>
      <c r="AL254">
        <f>IFERROR(IF(AU254&lt;($AM$6-$AL$6)/($AN$6-$AL$6),$AL$6+SQRT(AU254*($AN$6-$AL$6)*($AM$6-$AL$6)),$AN$6-SQRT((1-AU254)*($AN$6-$AL$6)*($AN$6-$AM$6))),$AM$6)</f>
        <v/>
      </c>
      <c r="AM254">
        <f>IFERROR(IF(AV254&lt;($AM$7-$AL$7)/($AN$7-$AL$7),$AL$7+SQRT(AV254*($AN$7-$AL$7)*($AM$7-$AL$7)),$AN$7-SQRT((1-AV254)*($AN$7-$AL$7)*($AN$7-$AM$7))),$AM$7)</f>
        <v/>
      </c>
      <c r="AN254">
        <f>IFERROR(IF(AW254&lt;($AM$8-$AL$8)/($AN$8-$AL$8),$AL$8+SQRT(AW254*($AN$8-$AL$8)*($AM$8-$AL$8)),$AN$8-SQRT((1-AW254)*($AN$8-$AL$8)*($AN$8-$AM$8))),$AM$8)</f>
        <v/>
      </c>
      <c r="AO254">
        <f>IFERROR(IF(AX254&lt;($AM$9-$AL$9)/($AN$9-$AL$9),$AL$9+SQRT(AX254*($AN$9-$AL$9)*($AM$9-$AL$9)),$AN$9-SQRT((1-AX254)*($AN$9-$AL$9)*($AN$9-$AM$9))),$AM$9)</f>
        <v/>
      </c>
      <c r="AP254">
        <f>IFERROR(IF(AY254&lt;($AM$10-$AL$10)/($AN$10-$AL$10),$AL$10+SQRT(AY254*($AN$10-$AL$10)*($AM$10-$AL$10)),$AN$10-SQRT((1-AY254)*($AN$10-$AL$10)*($AN$10-$AM$10))),$AM$10)</f>
        <v/>
      </c>
      <c r="AQ254">
        <f>IFERROR(IF(AZ254&lt;($AM$11-$AL$11)/($AN$11-$AL$11),$AL$11+SQRT(AZ254*($AN$11-$AL$11)*($AM$11-$AL$11)),$AN$11-SQRT((1-AZ254)*($AN$11-$AL$11)*($AN$11-$AM$11))),$AM$11)</f>
        <v/>
      </c>
      <c r="AR254">
        <f>SUMPRODUCT((B24:B31&lt;=$B$6)*(C24:C31*AM254+D24:D31*AO254*$B$8*AQ254)/(1+AL254/100)^B24:B31)+C32*AM254*AP254/(1+AL254/100)^$B$6</f>
        <v/>
      </c>
      <c r="AS254">
        <f>SUMPRODUCT((K24:K26&lt;=$B$6)*(L24:L26*AN254+M24:M26*AO254*$B$8*AQ254)/(1+AL254/100)^K24:K26)+L27*AN254*AP254/(1+AL254/100)^$B$6</f>
        <v/>
      </c>
      <c r="AT254">
        <f>AS254-AR254</f>
        <v/>
      </c>
      <c r="AU254">
        <f>RAND()</f>
        <v/>
      </c>
      <c r="AV254">
        <f>RAND()</f>
        <v/>
      </c>
      <c r="AW254">
        <f>RAND()</f>
        <v/>
      </c>
      <c r="AX254">
        <f>RAND()</f>
        <v/>
      </c>
      <c r="AY254">
        <f>RAND()</f>
        <v/>
      </c>
      <c r="AZ254">
        <f>RAND()</f>
        <v/>
      </c>
    </row>
    <row r="255">
      <c r="AK255" t="n">
        <v>242</v>
      </c>
      <c r="AL255">
        <f>IFERROR(IF(AU255&lt;($AM$6-$AL$6)/($AN$6-$AL$6),$AL$6+SQRT(AU255*($AN$6-$AL$6)*($AM$6-$AL$6)),$AN$6-SQRT((1-AU255)*($AN$6-$AL$6)*($AN$6-$AM$6))),$AM$6)</f>
        <v/>
      </c>
      <c r="AM255">
        <f>IFERROR(IF(AV255&lt;($AM$7-$AL$7)/($AN$7-$AL$7),$AL$7+SQRT(AV255*($AN$7-$AL$7)*($AM$7-$AL$7)),$AN$7-SQRT((1-AV255)*($AN$7-$AL$7)*($AN$7-$AM$7))),$AM$7)</f>
        <v/>
      </c>
      <c r="AN255">
        <f>IFERROR(IF(AW255&lt;($AM$8-$AL$8)/($AN$8-$AL$8),$AL$8+SQRT(AW255*($AN$8-$AL$8)*($AM$8-$AL$8)),$AN$8-SQRT((1-AW255)*($AN$8-$AL$8)*($AN$8-$AM$8))),$AM$8)</f>
        <v/>
      </c>
      <c r="AO255">
        <f>IFERROR(IF(AX255&lt;($AM$9-$AL$9)/($AN$9-$AL$9),$AL$9+SQRT(AX255*($AN$9-$AL$9)*($AM$9-$AL$9)),$AN$9-SQRT((1-AX255)*($AN$9-$AL$9)*($AN$9-$AM$9))),$AM$9)</f>
        <v/>
      </c>
      <c r="AP255">
        <f>IFERROR(IF(AY255&lt;($AM$10-$AL$10)/($AN$10-$AL$10),$AL$10+SQRT(AY255*($AN$10-$AL$10)*($AM$10-$AL$10)),$AN$10-SQRT((1-AY255)*($AN$10-$AL$10)*($AN$10-$AM$10))),$AM$10)</f>
        <v/>
      </c>
      <c r="AQ255">
        <f>IFERROR(IF(AZ255&lt;($AM$11-$AL$11)/($AN$11-$AL$11),$AL$11+SQRT(AZ255*($AN$11-$AL$11)*($AM$11-$AL$11)),$AN$11-SQRT((1-AZ255)*($AN$11-$AL$11)*($AN$11-$AM$11))),$AM$11)</f>
        <v/>
      </c>
      <c r="AR255">
        <f>SUMPRODUCT((B24:B31&lt;=$B$6)*(C24:C31*AM255+D24:D31*AO255*$B$8*AQ255)/(1+AL255/100)^B24:B31)+C32*AM255*AP255/(1+AL255/100)^$B$6</f>
        <v/>
      </c>
      <c r="AS255">
        <f>SUMPRODUCT((K24:K26&lt;=$B$6)*(L24:L26*AN255+M24:M26*AO255*$B$8*AQ255)/(1+AL255/100)^K24:K26)+L27*AN255*AP255/(1+AL255/100)^$B$6</f>
        <v/>
      </c>
      <c r="AT255">
        <f>AS255-AR255</f>
        <v/>
      </c>
      <c r="AU255">
        <f>RAND()</f>
        <v/>
      </c>
      <c r="AV255">
        <f>RAND()</f>
        <v/>
      </c>
      <c r="AW255">
        <f>RAND()</f>
        <v/>
      </c>
      <c r="AX255">
        <f>RAND()</f>
        <v/>
      </c>
      <c r="AY255">
        <f>RAND()</f>
        <v/>
      </c>
      <c r="AZ255">
        <f>RAND()</f>
        <v/>
      </c>
    </row>
    <row r="256">
      <c r="AK256" t="n">
        <v>243</v>
      </c>
      <c r="AL256">
        <f>IFERROR(IF(AU256&lt;($AM$6-$AL$6)/($AN$6-$AL$6),$AL$6+SQRT(AU256*($AN$6-$AL$6)*($AM$6-$AL$6)),$AN$6-SQRT((1-AU256)*($AN$6-$AL$6)*($AN$6-$AM$6))),$AM$6)</f>
        <v/>
      </c>
      <c r="AM256">
        <f>IFERROR(IF(AV256&lt;($AM$7-$AL$7)/($AN$7-$AL$7),$AL$7+SQRT(AV256*($AN$7-$AL$7)*($AM$7-$AL$7)),$AN$7-SQRT((1-AV256)*($AN$7-$AL$7)*($AN$7-$AM$7))),$AM$7)</f>
        <v/>
      </c>
      <c r="AN256">
        <f>IFERROR(IF(AW256&lt;($AM$8-$AL$8)/($AN$8-$AL$8),$AL$8+SQRT(AW256*($AN$8-$AL$8)*($AM$8-$AL$8)),$AN$8-SQRT((1-AW256)*($AN$8-$AL$8)*($AN$8-$AM$8))),$AM$8)</f>
        <v/>
      </c>
      <c r="AO256">
        <f>IFERROR(IF(AX256&lt;($AM$9-$AL$9)/($AN$9-$AL$9),$AL$9+SQRT(AX256*($AN$9-$AL$9)*($AM$9-$AL$9)),$AN$9-SQRT((1-AX256)*($AN$9-$AL$9)*($AN$9-$AM$9))),$AM$9)</f>
        <v/>
      </c>
      <c r="AP256">
        <f>IFERROR(IF(AY256&lt;($AM$10-$AL$10)/($AN$10-$AL$10),$AL$10+SQRT(AY256*($AN$10-$AL$10)*($AM$10-$AL$10)),$AN$10-SQRT((1-AY256)*($AN$10-$AL$10)*($AN$10-$AM$10))),$AM$10)</f>
        <v/>
      </c>
      <c r="AQ256">
        <f>IFERROR(IF(AZ256&lt;($AM$11-$AL$11)/($AN$11-$AL$11),$AL$11+SQRT(AZ256*($AN$11-$AL$11)*($AM$11-$AL$11)),$AN$11-SQRT((1-AZ256)*($AN$11-$AL$11)*($AN$11-$AM$11))),$AM$11)</f>
        <v/>
      </c>
      <c r="AR256">
        <f>SUMPRODUCT((B24:B31&lt;=$B$6)*(C24:C31*AM256+D24:D31*AO256*$B$8*AQ256)/(1+AL256/100)^B24:B31)+C32*AM256*AP256/(1+AL256/100)^$B$6</f>
        <v/>
      </c>
      <c r="AS256">
        <f>SUMPRODUCT((K24:K26&lt;=$B$6)*(L24:L26*AN256+M24:M26*AO256*$B$8*AQ256)/(1+AL256/100)^K24:K26)+L27*AN256*AP256/(1+AL256/100)^$B$6</f>
        <v/>
      </c>
      <c r="AT256">
        <f>AS256-AR256</f>
        <v/>
      </c>
      <c r="AU256">
        <f>RAND()</f>
        <v/>
      </c>
      <c r="AV256">
        <f>RAND()</f>
        <v/>
      </c>
      <c r="AW256">
        <f>RAND()</f>
        <v/>
      </c>
      <c r="AX256">
        <f>RAND()</f>
        <v/>
      </c>
      <c r="AY256">
        <f>RAND()</f>
        <v/>
      </c>
      <c r="AZ256">
        <f>RAND()</f>
        <v/>
      </c>
    </row>
    <row r="257">
      <c r="AK257" t="n">
        <v>244</v>
      </c>
      <c r="AL257">
        <f>IFERROR(IF(AU257&lt;($AM$6-$AL$6)/($AN$6-$AL$6),$AL$6+SQRT(AU257*($AN$6-$AL$6)*($AM$6-$AL$6)),$AN$6-SQRT((1-AU257)*($AN$6-$AL$6)*($AN$6-$AM$6))),$AM$6)</f>
        <v/>
      </c>
      <c r="AM257">
        <f>IFERROR(IF(AV257&lt;($AM$7-$AL$7)/($AN$7-$AL$7),$AL$7+SQRT(AV257*($AN$7-$AL$7)*($AM$7-$AL$7)),$AN$7-SQRT((1-AV257)*($AN$7-$AL$7)*($AN$7-$AM$7))),$AM$7)</f>
        <v/>
      </c>
      <c r="AN257">
        <f>IFERROR(IF(AW257&lt;($AM$8-$AL$8)/($AN$8-$AL$8),$AL$8+SQRT(AW257*($AN$8-$AL$8)*($AM$8-$AL$8)),$AN$8-SQRT((1-AW257)*($AN$8-$AL$8)*($AN$8-$AM$8))),$AM$8)</f>
        <v/>
      </c>
      <c r="AO257">
        <f>IFERROR(IF(AX257&lt;($AM$9-$AL$9)/($AN$9-$AL$9),$AL$9+SQRT(AX257*($AN$9-$AL$9)*($AM$9-$AL$9)),$AN$9-SQRT((1-AX257)*($AN$9-$AL$9)*($AN$9-$AM$9))),$AM$9)</f>
        <v/>
      </c>
      <c r="AP257">
        <f>IFERROR(IF(AY257&lt;($AM$10-$AL$10)/($AN$10-$AL$10),$AL$10+SQRT(AY257*($AN$10-$AL$10)*($AM$10-$AL$10)),$AN$10-SQRT((1-AY257)*($AN$10-$AL$10)*($AN$10-$AM$10))),$AM$10)</f>
        <v/>
      </c>
      <c r="AQ257">
        <f>IFERROR(IF(AZ257&lt;($AM$11-$AL$11)/($AN$11-$AL$11),$AL$11+SQRT(AZ257*($AN$11-$AL$11)*($AM$11-$AL$11)),$AN$11-SQRT((1-AZ257)*($AN$11-$AL$11)*($AN$11-$AM$11))),$AM$11)</f>
        <v/>
      </c>
      <c r="AR257">
        <f>SUMPRODUCT((B24:B31&lt;=$B$6)*(C24:C31*AM257+D24:D31*AO257*$B$8*AQ257)/(1+AL257/100)^B24:B31)+C32*AM257*AP257/(1+AL257/100)^$B$6</f>
        <v/>
      </c>
      <c r="AS257">
        <f>SUMPRODUCT((K24:K26&lt;=$B$6)*(L24:L26*AN257+M24:M26*AO257*$B$8*AQ257)/(1+AL257/100)^K24:K26)+L27*AN257*AP257/(1+AL257/100)^$B$6</f>
        <v/>
      </c>
      <c r="AT257">
        <f>AS257-AR257</f>
        <v/>
      </c>
      <c r="AU257">
        <f>RAND()</f>
        <v/>
      </c>
      <c r="AV257">
        <f>RAND()</f>
        <v/>
      </c>
      <c r="AW257">
        <f>RAND()</f>
        <v/>
      </c>
      <c r="AX257">
        <f>RAND()</f>
        <v/>
      </c>
      <c r="AY257">
        <f>RAND()</f>
        <v/>
      </c>
      <c r="AZ257">
        <f>RAND()</f>
        <v/>
      </c>
    </row>
    <row r="258">
      <c r="AK258" t="n">
        <v>245</v>
      </c>
      <c r="AL258">
        <f>IFERROR(IF(AU258&lt;($AM$6-$AL$6)/($AN$6-$AL$6),$AL$6+SQRT(AU258*($AN$6-$AL$6)*($AM$6-$AL$6)),$AN$6-SQRT((1-AU258)*($AN$6-$AL$6)*($AN$6-$AM$6))),$AM$6)</f>
        <v/>
      </c>
      <c r="AM258">
        <f>IFERROR(IF(AV258&lt;($AM$7-$AL$7)/($AN$7-$AL$7),$AL$7+SQRT(AV258*($AN$7-$AL$7)*($AM$7-$AL$7)),$AN$7-SQRT((1-AV258)*($AN$7-$AL$7)*($AN$7-$AM$7))),$AM$7)</f>
        <v/>
      </c>
      <c r="AN258">
        <f>IFERROR(IF(AW258&lt;($AM$8-$AL$8)/($AN$8-$AL$8),$AL$8+SQRT(AW258*($AN$8-$AL$8)*($AM$8-$AL$8)),$AN$8-SQRT((1-AW258)*($AN$8-$AL$8)*($AN$8-$AM$8))),$AM$8)</f>
        <v/>
      </c>
      <c r="AO258">
        <f>IFERROR(IF(AX258&lt;($AM$9-$AL$9)/($AN$9-$AL$9),$AL$9+SQRT(AX258*($AN$9-$AL$9)*($AM$9-$AL$9)),$AN$9-SQRT((1-AX258)*($AN$9-$AL$9)*($AN$9-$AM$9))),$AM$9)</f>
        <v/>
      </c>
      <c r="AP258">
        <f>IFERROR(IF(AY258&lt;($AM$10-$AL$10)/($AN$10-$AL$10),$AL$10+SQRT(AY258*($AN$10-$AL$10)*($AM$10-$AL$10)),$AN$10-SQRT((1-AY258)*($AN$10-$AL$10)*($AN$10-$AM$10))),$AM$10)</f>
        <v/>
      </c>
      <c r="AQ258">
        <f>IFERROR(IF(AZ258&lt;($AM$11-$AL$11)/($AN$11-$AL$11),$AL$11+SQRT(AZ258*($AN$11-$AL$11)*($AM$11-$AL$11)),$AN$11-SQRT((1-AZ258)*($AN$11-$AL$11)*($AN$11-$AM$11))),$AM$11)</f>
        <v/>
      </c>
      <c r="AR258">
        <f>SUMPRODUCT((B24:B31&lt;=$B$6)*(C24:C31*AM258+D24:D31*AO258*$B$8*AQ258)/(1+AL258/100)^B24:B31)+C32*AM258*AP258/(1+AL258/100)^$B$6</f>
        <v/>
      </c>
      <c r="AS258">
        <f>SUMPRODUCT((K24:K26&lt;=$B$6)*(L24:L26*AN258+M24:M26*AO258*$B$8*AQ258)/(1+AL258/100)^K24:K26)+L27*AN258*AP258/(1+AL258/100)^$B$6</f>
        <v/>
      </c>
      <c r="AT258">
        <f>AS258-AR258</f>
        <v/>
      </c>
      <c r="AU258">
        <f>RAND()</f>
        <v/>
      </c>
      <c r="AV258">
        <f>RAND()</f>
        <v/>
      </c>
      <c r="AW258">
        <f>RAND()</f>
        <v/>
      </c>
      <c r="AX258">
        <f>RAND()</f>
        <v/>
      </c>
      <c r="AY258">
        <f>RAND()</f>
        <v/>
      </c>
      <c r="AZ258">
        <f>RAND()</f>
        <v/>
      </c>
    </row>
    <row r="259">
      <c r="AK259" t="n">
        <v>246</v>
      </c>
      <c r="AL259">
        <f>IFERROR(IF(AU259&lt;($AM$6-$AL$6)/($AN$6-$AL$6),$AL$6+SQRT(AU259*($AN$6-$AL$6)*($AM$6-$AL$6)),$AN$6-SQRT((1-AU259)*($AN$6-$AL$6)*($AN$6-$AM$6))),$AM$6)</f>
        <v/>
      </c>
      <c r="AM259">
        <f>IFERROR(IF(AV259&lt;($AM$7-$AL$7)/($AN$7-$AL$7),$AL$7+SQRT(AV259*($AN$7-$AL$7)*($AM$7-$AL$7)),$AN$7-SQRT((1-AV259)*($AN$7-$AL$7)*($AN$7-$AM$7))),$AM$7)</f>
        <v/>
      </c>
      <c r="AN259">
        <f>IFERROR(IF(AW259&lt;($AM$8-$AL$8)/($AN$8-$AL$8),$AL$8+SQRT(AW259*($AN$8-$AL$8)*($AM$8-$AL$8)),$AN$8-SQRT((1-AW259)*($AN$8-$AL$8)*($AN$8-$AM$8))),$AM$8)</f>
        <v/>
      </c>
      <c r="AO259">
        <f>IFERROR(IF(AX259&lt;($AM$9-$AL$9)/($AN$9-$AL$9),$AL$9+SQRT(AX259*($AN$9-$AL$9)*($AM$9-$AL$9)),$AN$9-SQRT((1-AX259)*($AN$9-$AL$9)*($AN$9-$AM$9))),$AM$9)</f>
        <v/>
      </c>
      <c r="AP259">
        <f>IFERROR(IF(AY259&lt;($AM$10-$AL$10)/($AN$10-$AL$10),$AL$10+SQRT(AY259*($AN$10-$AL$10)*($AM$10-$AL$10)),$AN$10-SQRT((1-AY259)*($AN$10-$AL$10)*($AN$10-$AM$10))),$AM$10)</f>
        <v/>
      </c>
      <c r="AQ259">
        <f>IFERROR(IF(AZ259&lt;($AM$11-$AL$11)/($AN$11-$AL$11),$AL$11+SQRT(AZ259*($AN$11-$AL$11)*($AM$11-$AL$11)),$AN$11-SQRT((1-AZ259)*($AN$11-$AL$11)*($AN$11-$AM$11))),$AM$11)</f>
        <v/>
      </c>
      <c r="AR259">
        <f>SUMPRODUCT((B24:B31&lt;=$B$6)*(C24:C31*AM259+D24:D31*AO259*$B$8*AQ259)/(1+AL259/100)^B24:B31)+C32*AM259*AP259/(1+AL259/100)^$B$6</f>
        <v/>
      </c>
      <c r="AS259">
        <f>SUMPRODUCT((K24:K26&lt;=$B$6)*(L24:L26*AN259+M24:M26*AO259*$B$8*AQ259)/(1+AL259/100)^K24:K26)+L27*AN259*AP259/(1+AL259/100)^$B$6</f>
        <v/>
      </c>
      <c r="AT259">
        <f>AS259-AR259</f>
        <v/>
      </c>
      <c r="AU259">
        <f>RAND()</f>
        <v/>
      </c>
      <c r="AV259">
        <f>RAND()</f>
        <v/>
      </c>
      <c r="AW259">
        <f>RAND()</f>
        <v/>
      </c>
      <c r="AX259">
        <f>RAND()</f>
        <v/>
      </c>
      <c r="AY259">
        <f>RAND()</f>
        <v/>
      </c>
      <c r="AZ259">
        <f>RAND()</f>
        <v/>
      </c>
    </row>
    <row r="260">
      <c r="AK260" t="n">
        <v>247</v>
      </c>
      <c r="AL260">
        <f>IFERROR(IF(AU260&lt;($AM$6-$AL$6)/($AN$6-$AL$6),$AL$6+SQRT(AU260*($AN$6-$AL$6)*($AM$6-$AL$6)),$AN$6-SQRT((1-AU260)*($AN$6-$AL$6)*($AN$6-$AM$6))),$AM$6)</f>
        <v/>
      </c>
      <c r="AM260">
        <f>IFERROR(IF(AV260&lt;($AM$7-$AL$7)/($AN$7-$AL$7),$AL$7+SQRT(AV260*($AN$7-$AL$7)*($AM$7-$AL$7)),$AN$7-SQRT((1-AV260)*($AN$7-$AL$7)*($AN$7-$AM$7))),$AM$7)</f>
        <v/>
      </c>
      <c r="AN260">
        <f>IFERROR(IF(AW260&lt;($AM$8-$AL$8)/($AN$8-$AL$8),$AL$8+SQRT(AW260*($AN$8-$AL$8)*($AM$8-$AL$8)),$AN$8-SQRT((1-AW260)*($AN$8-$AL$8)*($AN$8-$AM$8))),$AM$8)</f>
        <v/>
      </c>
      <c r="AO260">
        <f>IFERROR(IF(AX260&lt;($AM$9-$AL$9)/($AN$9-$AL$9),$AL$9+SQRT(AX260*($AN$9-$AL$9)*($AM$9-$AL$9)),$AN$9-SQRT((1-AX260)*($AN$9-$AL$9)*($AN$9-$AM$9))),$AM$9)</f>
        <v/>
      </c>
      <c r="AP260">
        <f>IFERROR(IF(AY260&lt;($AM$10-$AL$10)/($AN$10-$AL$10),$AL$10+SQRT(AY260*($AN$10-$AL$10)*($AM$10-$AL$10)),$AN$10-SQRT((1-AY260)*($AN$10-$AL$10)*($AN$10-$AM$10))),$AM$10)</f>
        <v/>
      </c>
      <c r="AQ260">
        <f>IFERROR(IF(AZ260&lt;($AM$11-$AL$11)/($AN$11-$AL$11),$AL$11+SQRT(AZ260*($AN$11-$AL$11)*($AM$11-$AL$11)),$AN$11-SQRT((1-AZ260)*($AN$11-$AL$11)*($AN$11-$AM$11))),$AM$11)</f>
        <v/>
      </c>
      <c r="AR260">
        <f>SUMPRODUCT((B24:B31&lt;=$B$6)*(C24:C31*AM260+D24:D31*AO260*$B$8*AQ260)/(1+AL260/100)^B24:B31)+C32*AM260*AP260/(1+AL260/100)^$B$6</f>
        <v/>
      </c>
      <c r="AS260">
        <f>SUMPRODUCT((K24:K26&lt;=$B$6)*(L24:L26*AN260+M24:M26*AO260*$B$8*AQ260)/(1+AL260/100)^K24:K26)+L27*AN260*AP260/(1+AL260/100)^$B$6</f>
        <v/>
      </c>
      <c r="AT260">
        <f>AS260-AR260</f>
        <v/>
      </c>
      <c r="AU260">
        <f>RAND()</f>
        <v/>
      </c>
      <c r="AV260">
        <f>RAND()</f>
        <v/>
      </c>
      <c r="AW260">
        <f>RAND()</f>
        <v/>
      </c>
      <c r="AX260">
        <f>RAND()</f>
        <v/>
      </c>
      <c r="AY260">
        <f>RAND()</f>
        <v/>
      </c>
      <c r="AZ260">
        <f>RAND()</f>
        <v/>
      </c>
    </row>
    <row r="261">
      <c r="AK261" t="n">
        <v>248</v>
      </c>
      <c r="AL261">
        <f>IFERROR(IF(AU261&lt;($AM$6-$AL$6)/($AN$6-$AL$6),$AL$6+SQRT(AU261*($AN$6-$AL$6)*($AM$6-$AL$6)),$AN$6-SQRT((1-AU261)*($AN$6-$AL$6)*($AN$6-$AM$6))),$AM$6)</f>
        <v/>
      </c>
      <c r="AM261">
        <f>IFERROR(IF(AV261&lt;($AM$7-$AL$7)/($AN$7-$AL$7),$AL$7+SQRT(AV261*($AN$7-$AL$7)*($AM$7-$AL$7)),$AN$7-SQRT((1-AV261)*($AN$7-$AL$7)*($AN$7-$AM$7))),$AM$7)</f>
        <v/>
      </c>
      <c r="AN261">
        <f>IFERROR(IF(AW261&lt;($AM$8-$AL$8)/($AN$8-$AL$8),$AL$8+SQRT(AW261*($AN$8-$AL$8)*($AM$8-$AL$8)),$AN$8-SQRT((1-AW261)*($AN$8-$AL$8)*($AN$8-$AM$8))),$AM$8)</f>
        <v/>
      </c>
      <c r="AO261">
        <f>IFERROR(IF(AX261&lt;($AM$9-$AL$9)/($AN$9-$AL$9),$AL$9+SQRT(AX261*($AN$9-$AL$9)*($AM$9-$AL$9)),$AN$9-SQRT((1-AX261)*($AN$9-$AL$9)*($AN$9-$AM$9))),$AM$9)</f>
        <v/>
      </c>
      <c r="AP261">
        <f>IFERROR(IF(AY261&lt;($AM$10-$AL$10)/($AN$10-$AL$10),$AL$10+SQRT(AY261*($AN$10-$AL$10)*($AM$10-$AL$10)),$AN$10-SQRT((1-AY261)*($AN$10-$AL$10)*($AN$10-$AM$10))),$AM$10)</f>
        <v/>
      </c>
      <c r="AQ261">
        <f>IFERROR(IF(AZ261&lt;($AM$11-$AL$11)/($AN$11-$AL$11),$AL$11+SQRT(AZ261*($AN$11-$AL$11)*($AM$11-$AL$11)),$AN$11-SQRT((1-AZ261)*($AN$11-$AL$11)*($AN$11-$AM$11))),$AM$11)</f>
        <v/>
      </c>
      <c r="AR261">
        <f>SUMPRODUCT((B24:B31&lt;=$B$6)*(C24:C31*AM261+D24:D31*AO261*$B$8*AQ261)/(1+AL261/100)^B24:B31)+C32*AM261*AP261/(1+AL261/100)^$B$6</f>
        <v/>
      </c>
      <c r="AS261">
        <f>SUMPRODUCT((K24:K26&lt;=$B$6)*(L24:L26*AN261+M24:M26*AO261*$B$8*AQ261)/(1+AL261/100)^K24:K26)+L27*AN261*AP261/(1+AL261/100)^$B$6</f>
        <v/>
      </c>
      <c r="AT261">
        <f>AS261-AR261</f>
        <v/>
      </c>
      <c r="AU261">
        <f>RAND()</f>
        <v/>
      </c>
      <c r="AV261">
        <f>RAND()</f>
        <v/>
      </c>
      <c r="AW261">
        <f>RAND()</f>
        <v/>
      </c>
      <c r="AX261">
        <f>RAND()</f>
        <v/>
      </c>
      <c r="AY261">
        <f>RAND()</f>
        <v/>
      </c>
      <c r="AZ261">
        <f>RAND()</f>
        <v/>
      </c>
    </row>
    <row r="262">
      <c r="AK262" t="n">
        <v>249</v>
      </c>
      <c r="AL262">
        <f>IFERROR(IF(AU262&lt;($AM$6-$AL$6)/($AN$6-$AL$6),$AL$6+SQRT(AU262*($AN$6-$AL$6)*($AM$6-$AL$6)),$AN$6-SQRT((1-AU262)*($AN$6-$AL$6)*($AN$6-$AM$6))),$AM$6)</f>
        <v/>
      </c>
      <c r="AM262">
        <f>IFERROR(IF(AV262&lt;($AM$7-$AL$7)/($AN$7-$AL$7),$AL$7+SQRT(AV262*($AN$7-$AL$7)*($AM$7-$AL$7)),$AN$7-SQRT((1-AV262)*($AN$7-$AL$7)*($AN$7-$AM$7))),$AM$7)</f>
        <v/>
      </c>
      <c r="AN262">
        <f>IFERROR(IF(AW262&lt;($AM$8-$AL$8)/($AN$8-$AL$8),$AL$8+SQRT(AW262*($AN$8-$AL$8)*($AM$8-$AL$8)),$AN$8-SQRT((1-AW262)*($AN$8-$AL$8)*($AN$8-$AM$8))),$AM$8)</f>
        <v/>
      </c>
      <c r="AO262">
        <f>IFERROR(IF(AX262&lt;($AM$9-$AL$9)/($AN$9-$AL$9),$AL$9+SQRT(AX262*($AN$9-$AL$9)*($AM$9-$AL$9)),$AN$9-SQRT((1-AX262)*($AN$9-$AL$9)*($AN$9-$AM$9))),$AM$9)</f>
        <v/>
      </c>
      <c r="AP262">
        <f>IFERROR(IF(AY262&lt;($AM$10-$AL$10)/($AN$10-$AL$10),$AL$10+SQRT(AY262*($AN$10-$AL$10)*($AM$10-$AL$10)),$AN$10-SQRT((1-AY262)*($AN$10-$AL$10)*($AN$10-$AM$10))),$AM$10)</f>
        <v/>
      </c>
      <c r="AQ262">
        <f>IFERROR(IF(AZ262&lt;($AM$11-$AL$11)/($AN$11-$AL$11),$AL$11+SQRT(AZ262*($AN$11-$AL$11)*($AM$11-$AL$11)),$AN$11-SQRT((1-AZ262)*($AN$11-$AL$11)*($AN$11-$AM$11))),$AM$11)</f>
        <v/>
      </c>
      <c r="AR262">
        <f>SUMPRODUCT((B24:B31&lt;=$B$6)*(C24:C31*AM262+D24:D31*AO262*$B$8*AQ262)/(1+AL262/100)^B24:B31)+C32*AM262*AP262/(1+AL262/100)^$B$6</f>
        <v/>
      </c>
      <c r="AS262">
        <f>SUMPRODUCT((K24:K26&lt;=$B$6)*(L24:L26*AN262+M24:M26*AO262*$B$8*AQ262)/(1+AL262/100)^K24:K26)+L27*AN262*AP262/(1+AL262/100)^$B$6</f>
        <v/>
      </c>
      <c r="AT262">
        <f>AS262-AR262</f>
        <v/>
      </c>
      <c r="AU262">
        <f>RAND()</f>
        <v/>
      </c>
      <c r="AV262">
        <f>RAND()</f>
        <v/>
      </c>
      <c r="AW262">
        <f>RAND()</f>
        <v/>
      </c>
      <c r="AX262">
        <f>RAND()</f>
        <v/>
      </c>
      <c r="AY262">
        <f>RAND()</f>
        <v/>
      </c>
      <c r="AZ262">
        <f>RAND()</f>
        <v/>
      </c>
    </row>
    <row r="263">
      <c r="AK263" t="n">
        <v>250</v>
      </c>
      <c r="AL263">
        <f>IFERROR(IF(AU263&lt;($AM$6-$AL$6)/($AN$6-$AL$6),$AL$6+SQRT(AU263*($AN$6-$AL$6)*($AM$6-$AL$6)),$AN$6-SQRT((1-AU263)*($AN$6-$AL$6)*($AN$6-$AM$6))),$AM$6)</f>
        <v/>
      </c>
      <c r="AM263">
        <f>IFERROR(IF(AV263&lt;($AM$7-$AL$7)/($AN$7-$AL$7),$AL$7+SQRT(AV263*($AN$7-$AL$7)*($AM$7-$AL$7)),$AN$7-SQRT((1-AV263)*($AN$7-$AL$7)*($AN$7-$AM$7))),$AM$7)</f>
        <v/>
      </c>
      <c r="AN263">
        <f>IFERROR(IF(AW263&lt;($AM$8-$AL$8)/($AN$8-$AL$8),$AL$8+SQRT(AW263*($AN$8-$AL$8)*($AM$8-$AL$8)),$AN$8-SQRT((1-AW263)*($AN$8-$AL$8)*($AN$8-$AM$8))),$AM$8)</f>
        <v/>
      </c>
      <c r="AO263">
        <f>IFERROR(IF(AX263&lt;($AM$9-$AL$9)/($AN$9-$AL$9),$AL$9+SQRT(AX263*($AN$9-$AL$9)*($AM$9-$AL$9)),$AN$9-SQRT((1-AX263)*($AN$9-$AL$9)*($AN$9-$AM$9))),$AM$9)</f>
        <v/>
      </c>
      <c r="AP263">
        <f>IFERROR(IF(AY263&lt;($AM$10-$AL$10)/($AN$10-$AL$10),$AL$10+SQRT(AY263*($AN$10-$AL$10)*($AM$10-$AL$10)),$AN$10-SQRT((1-AY263)*($AN$10-$AL$10)*($AN$10-$AM$10))),$AM$10)</f>
        <v/>
      </c>
      <c r="AQ263">
        <f>IFERROR(IF(AZ263&lt;($AM$11-$AL$11)/($AN$11-$AL$11),$AL$11+SQRT(AZ263*($AN$11-$AL$11)*($AM$11-$AL$11)),$AN$11-SQRT((1-AZ263)*($AN$11-$AL$11)*($AN$11-$AM$11))),$AM$11)</f>
        <v/>
      </c>
      <c r="AR263">
        <f>SUMPRODUCT((B24:B31&lt;=$B$6)*(C24:C31*AM263+D24:D31*AO263*$B$8*AQ263)/(1+AL263/100)^B24:B31)+C32*AM263*AP263/(1+AL263/100)^$B$6</f>
        <v/>
      </c>
      <c r="AS263">
        <f>SUMPRODUCT((K24:K26&lt;=$B$6)*(L24:L26*AN263+M24:M26*AO263*$B$8*AQ263)/(1+AL263/100)^K24:K26)+L27*AN263*AP263/(1+AL263/100)^$B$6</f>
        <v/>
      </c>
      <c r="AT263">
        <f>AS263-AR263</f>
        <v/>
      </c>
      <c r="AU263">
        <f>RAND()</f>
        <v/>
      </c>
      <c r="AV263">
        <f>RAND()</f>
        <v/>
      </c>
      <c r="AW263">
        <f>RAND()</f>
        <v/>
      </c>
      <c r="AX263">
        <f>RAND()</f>
        <v/>
      </c>
      <c r="AY263">
        <f>RAND()</f>
        <v/>
      </c>
      <c r="AZ263">
        <f>RAND()</f>
        <v/>
      </c>
    </row>
    <row r="264">
      <c r="AK264" t="n">
        <v>251</v>
      </c>
      <c r="AL264">
        <f>IFERROR(IF(AU264&lt;($AM$6-$AL$6)/($AN$6-$AL$6),$AL$6+SQRT(AU264*($AN$6-$AL$6)*($AM$6-$AL$6)),$AN$6-SQRT((1-AU264)*($AN$6-$AL$6)*($AN$6-$AM$6))),$AM$6)</f>
        <v/>
      </c>
      <c r="AM264">
        <f>IFERROR(IF(AV264&lt;($AM$7-$AL$7)/($AN$7-$AL$7),$AL$7+SQRT(AV264*($AN$7-$AL$7)*($AM$7-$AL$7)),$AN$7-SQRT((1-AV264)*($AN$7-$AL$7)*($AN$7-$AM$7))),$AM$7)</f>
        <v/>
      </c>
      <c r="AN264">
        <f>IFERROR(IF(AW264&lt;($AM$8-$AL$8)/($AN$8-$AL$8),$AL$8+SQRT(AW264*($AN$8-$AL$8)*($AM$8-$AL$8)),$AN$8-SQRT((1-AW264)*($AN$8-$AL$8)*($AN$8-$AM$8))),$AM$8)</f>
        <v/>
      </c>
      <c r="AO264">
        <f>IFERROR(IF(AX264&lt;($AM$9-$AL$9)/($AN$9-$AL$9),$AL$9+SQRT(AX264*($AN$9-$AL$9)*($AM$9-$AL$9)),$AN$9-SQRT((1-AX264)*($AN$9-$AL$9)*($AN$9-$AM$9))),$AM$9)</f>
        <v/>
      </c>
      <c r="AP264">
        <f>IFERROR(IF(AY264&lt;($AM$10-$AL$10)/($AN$10-$AL$10),$AL$10+SQRT(AY264*($AN$10-$AL$10)*($AM$10-$AL$10)),$AN$10-SQRT((1-AY264)*($AN$10-$AL$10)*($AN$10-$AM$10))),$AM$10)</f>
        <v/>
      </c>
      <c r="AQ264">
        <f>IFERROR(IF(AZ264&lt;($AM$11-$AL$11)/($AN$11-$AL$11),$AL$11+SQRT(AZ264*($AN$11-$AL$11)*($AM$11-$AL$11)),$AN$11-SQRT((1-AZ264)*($AN$11-$AL$11)*($AN$11-$AM$11))),$AM$11)</f>
        <v/>
      </c>
      <c r="AR264">
        <f>SUMPRODUCT((B24:B31&lt;=$B$6)*(C24:C31*AM264+D24:D31*AO264*$B$8*AQ264)/(1+AL264/100)^B24:B31)+C32*AM264*AP264/(1+AL264/100)^$B$6</f>
        <v/>
      </c>
      <c r="AS264">
        <f>SUMPRODUCT((K24:K26&lt;=$B$6)*(L24:L26*AN264+M24:M26*AO264*$B$8*AQ264)/(1+AL264/100)^K24:K26)+L27*AN264*AP264/(1+AL264/100)^$B$6</f>
        <v/>
      </c>
      <c r="AT264">
        <f>AS264-AR264</f>
        <v/>
      </c>
      <c r="AU264">
        <f>RAND()</f>
        <v/>
      </c>
      <c r="AV264">
        <f>RAND()</f>
        <v/>
      </c>
      <c r="AW264">
        <f>RAND()</f>
        <v/>
      </c>
      <c r="AX264">
        <f>RAND()</f>
        <v/>
      </c>
      <c r="AY264">
        <f>RAND()</f>
        <v/>
      </c>
      <c r="AZ264">
        <f>RAND()</f>
        <v/>
      </c>
    </row>
    <row r="265">
      <c r="AK265" t="n">
        <v>252</v>
      </c>
      <c r="AL265">
        <f>IFERROR(IF(AU265&lt;($AM$6-$AL$6)/($AN$6-$AL$6),$AL$6+SQRT(AU265*($AN$6-$AL$6)*($AM$6-$AL$6)),$AN$6-SQRT((1-AU265)*($AN$6-$AL$6)*($AN$6-$AM$6))),$AM$6)</f>
        <v/>
      </c>
      <c r="AM265">
        <f>IFERROR(IF(AV265&lt;($AM$7-$AL$7)/($AN$7-$AL$7),$AL$7+SQRT(AV265*($AN$7-$AL$7)*($AM$7-$AL$7)),$AN$7-SQRT((1-AV265)*($AN$7-$AL$7)*($AN$7-$AM$7))),$AM$7)</f>
        <v/>
      </c>
      <c r="AN265">
        <f>IFERROR(IF(AW265&lt;($AM$8-$AL$8)/($AN$8-$AL$8),$AL$8+SQRT(AW265*($AN$8-$AL$8)*($AM$8-$AL$8)),$AN$8-SQRT((1-AW265)*($AN$8-$AL$8)*($AN$8-$AM$8))),$AM$8)</f>
        <v/>
      </c>
      <c r="AO265">
        <f>IFERROR(IF(AX265&lt;($AM$9-$AL$9)/($AN$9-$AL$9),$AL$9+SQRT(AX265*($AN$9-$AL$9)*($AM$9-$AL$9)),$AN$9-SQRT((1-AX265)*($AN$9-$AL$9)*($AN$9-$AM$9))),$AM$9)</f>
        <v/>
      </c>
      <c r="AP265">
        <f>IFERROR(IF(AY265&lt;($AM$10-$AL$10)/($AN$10-$AL$10),$AL$10+SQRT(AY265*($AN$10-$AL$10)*($AM$10-$AL$10)),$AN$10-SQRT((1-AY265)*($AN$10-$AL$10)*($AN$10-$AM$10))),$AM$10)</f>
        <v/>
      </c>
      <c r="AQ265">
        <f>IFERROR(IF(AZ265&lt;($AM$11-$AL$11)/($AN$11-$AL$11),$AL$11+SQRT(AZ265*($AN$11-$AL$11)*($AM$11-$AL$11)),$AN$11-SQRT((1-AZ265)*($AN$11-$AL$11)*($AN$11-$AM$11))),$AM$11)</f>
        <v/>
      </c>
      <c r="AR265">
        <f>SUMPRODUCT((B24:B31&lt;=$B$6)*(C24:C31*AM265+D24:D31*AO265*$B$8*AQ265)/(1+AL265/100)^B24:B31)+C32*AM265*AP265/(1+AL265/100)^$B$6</f>
        <v/>
      </c>
      <c r="AS265">
        <f>SUMPRODUCT((K24:K26&lt;=$B$6)*(L24:L26*AN265+M24:M26*AO265*$B$8*AQ265)/(1+AL265/100)^K24:K26)+L27*AN265*AP265/(1+AL265/100)^$B$6</f>
        <v/>
      </c>
      <c r="AT265">
        <f>AS265-AR265</f>
        <v/>
      </c>
      <c r="AU265">
        <f>RAND()</f>
        <v/>
      </c>
      <c r="AV265">
        <f>RAND()</f>
        <v/>
      </c>
      <c r="AW265">
        <f>RAND()</f>
        <v/>
      </c>
      <c r="AX265">
        <f>RAND()</f>
        <v/>
      </c>
      <c r="AY265">
        <f>RAND()</f>
        <v/>
      </c>
      <c r="AZ265">
        <f>RAND()</f>
        <v/>
      </c>
    </row>
    <row r="266">
      <c r="AK266" t="n">
        <v>253</v>
      </c>
      <c r="AL266">
        <f>IFERROR(IF(AU266&lt;($AM$6-$AL$6)/($AN$6-$AL$6),$AL$6+SQRT(AU266*($AN$6-$AL$6)*($AM$6-$AL$6)),$AN$6-SQRT((1-AU266)*($AN$6-$AL$6)*($AN$6-$AM$6))),$AM$6)</f>
        <v/>
      </c>
      <c r="AM266">
        <f>IFERROR(IF(AV266&lt;($AM$7-$AL$7)/($AN$7-$AL$7),$AL$7+SQRT(AV266*($AN$7-$AL$7)*($AM$7-$AL$7)),$AN$7-SQRT((1-AV266)*($AN$7-$AL$7)*($AN$7-$AM$7))),$AM$7)</f>
        <v/>
      </c>
      <c r="AN266">
        <f>IFERROR(IF(AW266&lt;($AM$8-$AL$8)/($AN$8-$AL$8),$AL$8+SQRT(AW266*($AN$8-$AL$8)*($AM$8-$AL$8)),$AN$8-SQRT((1-AW266)*($AN$8-$AL$8)*($AN$8-$AM$8))),$AM$8)</f>
        <v/>
      </c>
      <c r="AO266">
        <f>IFERROR(IF(AX266&lt;($AM$9-$AL$9)/($AN$9-$AL$9),$AL$9+SQRT(AX266*($AN$9-$AL$9)*($AM$9-$AL$9)),$AN$9-SQRT((1-AX266)*($AN$9-$AL$9)*($AN$9-$AM$9))),$AM$9)</f>
        <v/>
      </c>
      <c r="AP266">
        <f>IFERROR(IF(AY266&lt;($AM$10-$AL$10)/($AN$10-$AL$10),$AL$10+SQRT(AY266*($AN$10-$AL$10)*($AM$10-$AL$10)),$AN$10-SQRT((1-AY266)*($AN$10-$AL$10)*($AN$10-$AM$10))),$AM$10)</f>
        <v/>
      </c>
      <c r="AQ266">
        <f>IFERROR(IF(AZ266&lt;($AM$11-$AL$11)/($AN$11-$AL$11),$AL$11+SQRT(AZ266*($AN$11-$AL$11)*($AM$11-$AL$11)),$AN$11-SQRT((1-AZ266)*($AN$11-$AL$11)*($AN$11-$AM$11))),$AM$11)</f>
        <v/>
      </c>
      <c r="AR266">
        <f>SUMPRODUCT((B24:B31&lt;=$B$6)*(C24:C31*AM266+D24:D31*AO266*$B$8*AQ266)/(1+AL266/100)^B24:B31)+C32*AM266*AP266/(1+AL266/100)^$B$6</f>
        <v/>
      </c>
      <c r="AS266">
        <f>SUMPRODUCT((K24:K26&lt;=$B$6)*(L24:L26*AN266+M24:M26*AO266*$B$8*AQ266)/(1+AL266/100)^K24:K26)+L27*AN266*AP266/(1+AL266/100)^$B$6</f>
        <v/>
      </c>
      <c r="AT266">
        <f>AS266-AR266</f>
        <v/>
      </c>
      <c r="AU266">
        <f>RAND()</f>
        <v/>
      </c>
      <c r="AV266">
        <f>RAND()</f>
        <v/>
      </c>
      <c r="AW266">
        <f>RAND()</f>
        <v/>
      </c>
      <c r="AX266">
        <f>RAND()</f>
        <v/>
      </c>
      <c r="AY266">
        <f>RAND()</f>
        <v/>
      </c>
      <c r="AZ266">
        <f>RAND()</f>
        <v/>
      </c>
    </row>
    <row r="267">
      <c r="AK267" t="n">
        <v>254</v>
      </c>
      <c r="AL267">
        <f>IFERROR(IF(AU267&lt;($AM$6-$AL$6)/($AN$6-$AL$6),$AL$6+SQRT(AU267*($AN$6-$AL$6)*($AM$6-$AL$6)),$AN$6-SQRT((1-AU267)*($AN$6-$AL$6)*($AN$6-$AM$6))),$AM$6)</f>
        <v/>
      </c>
      <c r="AM267">
        <f>IFERROR(IF(AV267&lt;($AM$7-$AL$7)/($AN$7-$AL$7),$AL$7+SQRT(AV267*($AN$7-$AL$7)*($AM$7-$AL$7)),$AN$7-SQRT((1-AV267)*($AN$7-$AL$7)*($AN$7-$AM$7))),$AM$7)</f>
        <v/>
      </c>
      <c r="AN267">
        <f>IFERROR(IF(AW267&lt;($AM$8-$AL$8)/($AN$8-$AL$8),$AL$8+SQRT(AW267*($AN$8-$AL$8)*($AM$8-$AL$8)),$AN$8-SQRT((1-AW267)*($AN$8-$AL$8)*($AN$8-$AM$8))),$AM$8)</f>
        <v/>
      </c>
      <c r="AO267">
        <f>IFERROR(IF(AX267&lt;($AM$9-$AL$9)/($AN$9-$AL$9),$AL$9+SQRT(AX267*($AN$9-$AL$9)*($AM$9-$AL$9)),$AN$9-SQRT((1-AX267)*($AN$9-$AL$9)*($AN$9-$AM$9))),$AM$9)</f>
        <v/>
      </c>
      <c r="AP267">
        <f>IFERROR(IF(AY267&lt;($AM$10-$AL$10)/($AN$10-$AL$10),$AL$10+SQRT(AY267*($AN$10-$AL$10)*($AM$10-$AL$10)),$AN$10-SQRT((1-AY267)*($AN$10-$AL$10)*($AN$10-$AM$10))),$AM$10)</f>
        <v/>
      </c>
      <c r="AQ267">
        <f>IFERROR(IF(AZ267&lt;($AM$11-$AL$11)/($AN$11-$AL$11),$AL$11+SQRT(AZ267*($AN$11-$AL$11)*($AM$11-$AL$11)),$AN$11-SQRT((1-AZ267)*($AN$11-$AL$11)*($AN$11-$AM$11))),$AM$11)</f>
        <v/>
      </c>
      <c r="AR267">
        <f>SUMPRODUCT((B24:B31&lt;=$B$6)*(C24:C31*AM267+D24:D31*AO267*$B$8*AQ267)/(1+AL267/100)^B24:B31)+C32*AM267*AP267/(1+AL267/100)^$B$6</f>
        <v/>
      </c>
      <c r="AS267">
        <f>SUMPRODUCT((K24:K26&lt;=$B$6)*(L24:L26*AN267+M24:M26*AO267*$B$8*AQ267)/(1+AL267/100)^K24:K26)+L27*AN267*AP267/(1+AL267/100)^$B$6</f>
        <v/>
      </c>
      <c r="AT267">
        <f>AS267-AR267</f>
        <v/>
      </c>
      <c r="AU267">
        <f>RAND()</f>
        <v/>
      </c>
      <c r="AV267">
        <f>RAND()</f>
        <v/>
      </c>
      <c r="AW267">
        <f>RAND()</f>
        <v/>
      </c>
      <c r="AX267">
        <f>RAND()</f>
        <v/>
      </c>
      <c r="AY267">
        <f>RAND()</f>
        <v/>
      </c>
      <c r="AZ267">
        <f>RAND()</f>
        <v/>
      </c>
    </row>
    <row r="268">
      <c r="AK268" t="n">
        <v>255</v>
      </c>
      <c r="AL268">
        <f>IFERROR(IF(AU268&lt;($AM$6-$AL$6)/($AN$6-$AL$6),$AL$6+SQRT(AU268*($AN$6-$AL$6)*($AM$6-$AL$6)),$AN$6-SQRT((1-AU268)*($AN$6-$AL$6)*($AN$6-$AM$6))),$AM$6)</f>
        <v/>
      </c>
      <c r="AM268">
        <f>IFERROR(IF(AV268&lt;($AM$7-$AL$7)/($AN$7-$AL$7),$AL$7+SQRT(AV268*($AN$7-$AL$7)*($AM$7-$AL$7)),$AN$7-SQRT((1-AV268)*($AN$7-$AL$7)*($AN$7-$AM$7))),$AM$7)</f>
        <v/>
      </c>
      <c r="AN268">
        <f>IFERROR(IF(AW268&lt;($AM$8-$AL$8)/($AN$8-$AL$8),$AL$8+SQRT(AW268*($AN$8-$AL$8)*($AM$8-$AL$8)),$AN$8-SQRT((1-AW268)*($AN$8-$AL$8)*($AN$8-$AM$8))),$AM$8)</f>
        <v/>
      </c>
      <c r="AO268">
        <f>IFERROR(IF(AX268&lt;($AM$9-$AL$9)/($AN$9-$AL$9),$AL$9+SQRT(AX268*($AN$9-$AL$9)*($AM$9-$AL$9)),$AN$9-SQRT((1-AX268)*($AN$9-$AL$9)*($AN$9-$AM$9))),$AM$9)</f>
        <v/>
      </c>
      <c r="AP268">
        <f>IFERROR(IF(AY268&lt;($AM$10-$AL$10)/($AN$10-$AL$10),$AL$10+SQRT(AY268*($AN$10-$AL$10)*($AM$10-$AL$10)),$AN$10-SQRT((1-AY268)*($AN$10-$AL$10)*($AN$10-$AM$10))),$AM$10)</f>
        <v/>
      </c>
      <c r="AQ268">
        <f>IFERROR(IF(AZ268&lt;($AM$11-$AL$11)/($AN$11-$AL$11),$AL$11+SQRT(AZ268*($AN$11-$AL$11)*($AM$11-$AL$11)),$AN$11-SQRT((1-AZ268)*($AN$11-$AL$11)*($AN$11-$AM$11))),$AM$11)</f>
        <v/>
      </c>
      <c r="AR268">
        <f>SUMPRODUCT((B24:B31&lt;=$B$6)*(C24:C31*AM268+D24:D31*AO268*$B$8*AQ268)/(1+AL268/100)^B24:B31)+C32*AM268*AP268/(1+AL268/100)^$B$6</f>
        <v/>
      </c>
      <c r="AS268">
        <f>SUMPRODUCT((K24:K26&lt;=$B$6)*(L24:L26*AN268+M24:M26*AO268*$B$8*AQ268)/(1+AL268/100)^K24:K26)+L27*AN268*AP268/(1+AL268/100)^$B$6</f>
        <v/>
      </c>
      <c r="AT268">
        <f>AS268-AR268</f>
        <v/>
      </c>
      <c r="AU268">
        <f>RAND()</f>
        <v/>
      </c>
      <c r="AV268">
        <f>RAND()</f>
        <v/>
      </c>
      <c r="AW268">
        <f>RAND()</f>
        <v/>
      </c>
      <c r="AX268">
        <f>RAND()</f>
        <v/>
      </c>
      <c r="AY268">
        <f>RAND()</f>
        <v/>
      </c>
      <c r="AZ268">
        <f>RAND()</f>
        <v/>
      </c>
    </row>
    <row r="269">
      <c r="AK269" t="n">
        <v>256</v>
      </c>
      <c r="AL269">
        <f>IFERROR(IF(AU269&lt;($AM$6-$AL$6)/($AN$6-$AL$6),$AL$6+SQRT(AU269*($AN$6-$AL$6)*($AM$6-$AL$6)),$AN$6-SQRT((1-AU269)*($AN$6-$AL$6)*($AN$6-$AM$6))),$AM$6)</f>
        <v/>
      </c>
      <c r="AM269">
        <f>IFERROR(IF(AV269&lt;($AM$7-$AL$7)/($AN$7-$AL$7),$AL$7+SQRT(AV269*($AN$7-$AL$7)*($AM$7-$AL$7)),$AN$7-SQRT((1-AV269)*($AN$7-$AL$7)*($AN$7-$AM$7))),$AM$7)</f>
        <v/>
      </c>
      <c r="AN269">
        <f>IFERROR(IF(AW269&lt;($AM$8-$AL$8)/($AN$8-$AL$8),$AL$8+SQRT(AW269*($AN$8-$AL$8)*($AM$8-$AL$8)),$AN$8-SQRT((1-AW269)*($AN$8-$AL$8)*($AN$8-$AM$8))),$AM$8)</f>
        <v/>
      </c>
      <c r="AO269">
        <f>IFERROR(IF(AX269&lt;($AM$9-$AL$9)/($AN$9-$AL$9),$AL$9+SQRT(AX269*($AN$9-$AL$9)*($AM$9-$AL$9)),$AN$9-SQRT((1-AX269)*($AN$9-$AL$9)*($AN$9-$AM$9))),$AM$9)</f>
        <v/>
      </c>
      <c r="AP269">
        <f>IFERROR(IF(AY269&lt;($AM$10-$AL$10)/($AN$10-$AL$10),$AL$10+SQRT(AY269*($AN$10-$AL$10)*($AM$10-$AL$10)),$AN$10-SQRT((1-AY269)*($AN$10-$AL$10)*($AN$10-$AM$10))),$AM$10)</f>
        <v/>
      </c>
      <c r="AQ269">
        <f>IFERROR(IF(AZ269&lt;($AM$11-$AL$11)/($AN$11-$AL$11),$AL$11+SQRT(AZ269*($AN$11-$AL$11)*($AM$11-$AL$11)),$AN$11-SQRT((1-AZ269)*($AN$11-$AL$11)*($AN$11-$AM$11))),$AM$11)</f>
        <v/>
      </c>
      <c r="AR269">
        <f>SUMPRODUCT((B24:B31&lt;=$B$6)*(C24:C31*AM269+D24:D31*AO269*$B$8*AQ269)/(1+AL269/100)^B24:B31)+C32*AM269*AP269/(1+AL269/100)^$B$6</f>
        <v/>
      </c>
      <c r="AS269">
        <f>SUMPRODUCT((K24:K26&lt;=$B$6)*(L24:L26*AN269+M24:M26*AO269*$B$8*AQ269)/(1+AL269/100)^K24:K26)+L27*AN269*AP269/(1+AL269/100)^$B$6</f>
        <v/>
      </c>
      <c r="AT269">
        <f>AS269-AR269</f>
        <v/>
      </c>
      <c r="AU269">
        <f>RAND()</f>
        <v/>
      </c>
      <c r="AV269">
        <f>RAND()</f>
        <v/>
      </c>
      <c r="AW269">
        <f>RAND()</f>
        <v/>
      </c>
      <c r="AX269">
        <f>RAND()</f>
        <v/>
      </c>
      <c r="AY269">
        <f>RAND()</f>
        <v/>
      </c>
      <c r="AZ269">
        <f>RAND()</f>
        <v/>
      </c>
    </row>
    <row r="270">
      <c r="AK270" t="n">
        <v>257</v>
      </c>
      <c r="AL270">
        <f>IFERROR(IF(AU270&lt;($AM$6-$AL$6)/($AN$6-$AL$6),$AL$6+SQRT(AU270*($AN$6-$AL$6)*($AM$6-$AL$6)),$AN$6-SQRT((1-AU270)*($AN$6-$AL$6)*($AN$6-$AM$6))),$AM$6)</f>
        <v/>
      </c>
      <c r="AM270">
        <f>IFERROR(IF(AV270&lt;($AM$7-$AL$7)/($AN$7-$AL$7),$AL$7+SQRT(AV270*($AN$7-$AL$7)*($AM$7-$AL$7)),$AN$7-SQRT((1-AV270)*($AN$7-$AL$7)*($AN$7-$AM$7))),$AM$7)</f>
        <v/>
      </c>
      <c r="AN270">
        <f>IFERROR(IF(AW270&lt;($AM$8-$AL$8)/($AN$8-$AL$8),$AL$8+SQRT(AW270*($AN$8-$AL$8)*($AM$8-$AL$8)),$AN$8-SQRT((1-AW270)*($AN$8-$AL$8)*($AN$8-$AM$8))),$AM$8)</f>
        <v/>
      </c>
      <c r="AO270">
        <f>IFERROR(IF(AX270&lt;($AM$9-$AL$9)/($AN$9-$AL$9),$AL$9+SQRT(AX270*($AN$9-$AL$9)*($AM$9-$AL$9)),$AN$9-SQRT((1-AX270)*($AN$9-$AL$9)*($AN$9-$AM$9))),$AM$9)</f>
        <v/>
      </c>
      <c r="AP270">
        <f>IFERROR(IF(AY270&lt;($AM$10-$AL$10)/($AN$10-$AL$10),$AL$10+SQRT(AY270*($AN$10-$AL$10)*($AM$10-$AL$10)),$AN$10-SQRT((1-AY270)*($AN$10-$AL$10)*($AN$10-$AM$10))),$AM$10)</f>
        <v/>
      </c>
      <c r="AQ270">
        <f>IFERROR(IF(AZ270&lt;($AM$11-$AL$11)/($AN$11-$AL$11),$AL$11+SQRT(AZ270*($AN$11-$AL$11)*($AM$11-$AL$11)),$AN$11-SQRT((1-AZ270)*($AN$11-$AL$11)*($AN$11-$AM$11))),$AM$11)</f>
        <v/>
      </c>
      <c r="AR270">
        <f>SUMPRODUCT((B24:B31&lt;=$B$6)*(C24:C31*AM270+D24:D31*AO270*$B$8*AQ270)/(1+AL270/100)^B24:B31)+C32*AM270*AP270/(1+AL270/100)^$B$6</f>
        <v/>
      </c>
      <c r="AS270">
        <f>SUMPRODUCT((K24:K26&lt;=$B$6)*(L24:L26*AN270+M24:M26*AO270*$B$8*AQ270)/(1+AL270/100)^K24:K26)+L27*AN270*AP270/(1+AL270/100)^$B$6</f>
        <v/>
      </c>
      <c r="AT270">
        <f>AS270-AR270</f>
        <v/>
      </c>
      <c r="AU270">
        <f>RAND()</f>
        <v/>
      </c>
      <c r="AV270">
        <f>RAND()</f>
        <v/>
      </c>
      <c r="AW270">
        <f>RAND()</f>
        <v/>
      </c>
      <c r="AX270">
        <f>RAND()</f>
        <v/>
      </c>
      <c r="AY270">
        <f>RAND()</f>
        <v/>
      </c>
      <c r="AZ270">
        <f>RAND()</f>
        <v/>
      </c>
    </row>
    <row r="271">
      <c r="AK271" t="n">
        <v>258</v>
      </c>
      <c r="AL271">
        <f>IFERROR(IF(AU271&lt;($AM$6-$AL$6)/($AN$6-$AL$6),$AL$6+SQRT(AU271*($AN$6-$AL$6)*($AM$6-$AL$6)),$AN$6-SQRT((1-AU271)*($AN$6-$AL$6)*($AN$6-$AM$6))),$AM$6)</f>
        <v/>
      </c>
      <c r="AM271">
        <f>IFERROR(IF(AV271&lt;($AM$7-$AL$7)/($AN$7-$AL$7),$AL$7+SQRT(AV271*($AN$7-$AL$7)*($AM$7-$AL$7)),$AN$7-SQRT((1-AV271)*($AN$7-$AL$7)*($AN$7-$AM$7))),$AM$7)</f>
        <v/>
      </c>
      <c r="AN271">
        <f>IFERROR(IF(AW271&lt;($AM$8-$AL$8)/($AN$8-$AL$8),$AL$8+SQRT(AW271*($AN$8-$AL$8)*($AM$8-$AL$8)),$AN$8-SQRT((1-AW271)*($AN$8-$AL$8)*($AN$8-$AM$8))),$AM$8)</f>
        <v/>
      </c>
      <c r="AO271">
        <f>IFERROR(IF(AX271&lt;($AM$9-$AL$9)/($AN$9-$AL$9),$AL$9+SQRT(AX271*($AN$9-$AL$9)*($AM$9-$AL$9)),$AN$9-SQRT((1-AX271)*($AN$9-$AL$9)*($AN$9-$AM$9))),$AM$9)</f>
        <v/>
      </c>
      <c r="AP271">
        <f>IFERROR(IF(AY271&lt;($AM$10-$AL$10)/($AN$10-$AL$10),$AL$10+SQRT(AY271*($AN$10-$AL$10)*($AM$10-$AL$10)),$AN$10-SQRT((1-AY271)*($AN$10-$AL$10)*($AN$10-$AM$10))),$AM$10)</f>
        <v/>
      </c>
      <c r="AQ271">
        <f>IFERROR(IF(AZ271&lt;($AM$11-$AL$11)/($AN$11-$AL$11),$AL$11+SQRT(AZ271*($AN$11-$AL$11)*($AM$11-$AL$11)),$AN$11-SQRT((1-AZ271)*($AN$11-$AL$11)*($AN$11-$AM$11))),$AM$11)</f>
        <v/>
      </c>
      <c r="AR271">
        <f>SUMPRODUCT((B24:B31&lt;=$B$6)*(C24:C31*AM271+D24:D31*AO271*$B$8*AQ271)/(1+AL271/100)^B24:B31)+C32*AM271*AP271/(1+AL271/100)^$B$6</f>
        <v/>
      </c>
      <c r="AS271">
        <f>SUMPRODUCT((K24:K26&lt;=$B$6)*(L24:L26*AN271+M24:M26*AO271*$B$8*AQ271)/(1+AL271/100)^K24:K26)+L27*AN271*AP271/(1+AL271/100)^$B$6</f>
        <v/>
      </c>
      <c r="AT271">
        <f>AS271-AR271</f>
        <v/>
      </c>
      <c r="AU271">
        <f>RAND()</f>
        <v/>
      </c>
      <c r="AV271">
        <f>RAND()</f>
        <v/>
      </c>
      <c r="AW271">
        <f>RAND()</f>
        <v/>
      </c>
      <c r="AX271">
        <f>RAND()</f>
        <v/>
      </c>
      <c r="AY271">
        <f>RAND()</f>
        <v/>
      </c>
      <c r="AZ271">
        <f>RAND()</f>
        <v/>
      </c>
    </row>
    <row r="272">
      <c r="AK272" t="n">
        <v>259</v>
      </c>
      <c r="AL272">
        <f>IFERROR(IF(AU272&lt;($AM$6-$AL$6)/($AN$6-$AL$6),$AL$6+SQRT(AU272*($AN$6-$AL$6)*($AM$6-$AL$6)),$AN$6-SQRT((1-AU272)*($AN$6-$AL$6)*($AN$6-$AM$6))),$AM$6)</f>
        <v/>
      </c>
      <c r="AM272">
        <f>IFERROR(IF(AV272&lt;($AM$7-$AL$7)/($AN$7-$AL$7),$AL$7+SQRT(AV272*($AN$7-$AL$7)*($AM$7-$AL$7)),$AN$7-SQRT((1-AV272)*($AN$7-$AL$7)*($AN$7-$AM$7))),$AM$7)</f>
        <v/>
      </c>
      <c r="AN272">
        <f>IFERROR(IF(AW272&lt;($AM$8-$AL$8)/($AN$8-$AL$8),$AL$8+SQRT(AW272*($AN$8-$AL$8)*($AM$8-$AL$8)),$AN$8-SQRT((1-AW272)*($AN$8-$AL$8)*($AN$8-$AM$8))),$AM$8)</f>
        <v/>
      </c>
      <c r="AO272">
        <f>IFERROR(IF(AX272&lt;($AM$9-$AL$9)/($AN$9-$AL$9),$AL$9+SQRT(AX272*($AN$9-$AL$9)*($AM$9-$AL$9)),$AN$9-SQRT((1-AX272)*($AN$9-$AL$9)*($AN$9-$AM$9))),$AM$9)</f>
        <v/>
      </c>
      <c r="AP272">
        <f>IFERROR(IF(AY272&lt;($AM$10-$AL$10)/($AN$10-$AL$10),$AL$10+SQRT(AY272*($AN$10-$AL$10)*($AM$10-$AL$10)),$AN$10-SQRT((1-AY272)*($AN$10-$AL$10)*($AN$10-$AM$10))),$AM$10)</f>
        <v/>
      </c>
      <c r="AQ272">
        <f>IFERROR(IF(AZ272&lt;($AM$11-$AL$11)/($AN$11-$AL$11),$AL$11+SQRT(AZ272*($AN$11-$AL$11)*($AM$11-$AL$11)),$AN$11-SQRT((1-AZ272)*($AN$11-$AL$11)*($AN$11-$AM$11))),$AM$11)</f>
        <v/>
      </c>
      <c r="AR272">
        <f>SUMPRODUCT((B24:B31&lt;=$B$6)*(C24:C31*AM272+D24:D31*AO272*$B$8*AQ272)/(1+AL272/100)^B24:B31)+C32*AM272*AP272/(1+AL272/100)^$B$6</f>
        <v/>
      </c>
      <c r="AS272">
        <f>SUMPRODUCT((K24:K26&lt;=$B$6)*(L24:L26*AN272+M24:M26*AO272*$B$8*AQ272)/(1+AL272/100)^K24:K26)+L27*AN272*AP272/(1+AL272/100)^$B$6</f>
        <v/>
      </c>
      <c r="AT272">
        <f>AS272-AR272</f>
        <v/>
      </c>
      <c r="AU272">
        <f>RAND()</f>
        <v/>
      </c>
      <c r="AV272">
        <f>RAND()</f>
        <v/>
      </c>
      <c r="AW272">
        <f>RAND()</f>
        <v/>
      </c>
      <c r="AX272">
        <f>RAND()</f>
        <v/>
      </c>
      <c r="AY272">
        <f>RAND()</f>
        <v/>
      </c>
      <c r="AZ272">
        <f>RAND()</f>
        <v/>
      </c>
    </row>
    <row r="273">
      <c r="AK273" t="n">
        <v>260</v>
      </c>
      <c r="AL273">
        <f>IFERROR(IF(AU273&lt;($AM$6-$AL$6)/($AN$6-$AL$6),$AL$6+SQRT(AU273*($AN$6-$AL$6)*($AM$6-$AL$6)),$AN$6-SQRT((1-AU273)*($AN$6-$AL$6)*($AN$6-$AM$6))),$AM$6)</f>
        <v/>
      </c>
      <c r="AM273">
        <f>IFERROR(IF(AV273&lt;($AM$7-$AL$7)/($AN$7-$AL$7),$AL$7+SQRT(AV273*($AN$7-$AL$7)*($AM$7-$AL$7)),$AN$7-SQRT((1-AV273)*($AN$7-$AL$7)*($AN$7-$AM$7))),$AM$7)</f>
        <v/>
      </c>
      <c r="AN273">
        <f>IFERROR(IF(AW273&lt;($AM$8-$AL$8)/($AN$8-$AL$8),$AL$8+SQRT(AW273*($AN$8-$AL$8)*($AM$8-$AL$8)),$AN$8-SQRT((1-AW273)*($AN$8-$AL$8)*($AN$8-$AM$8))),$AM$8)</f>
        <v/>
      </c>
      <c r="AO273">
        <f>IFERROR(IF(AX273&lt;($AM$9-$AL$9)/($AN$9-$AL$9),$AL$9+SQRT(AX273*($AN$9-$AL$9)*($AM$9-$AL$9)),$AN$9-SQRT((1-AX273)*($AN$9-$AL$9)*($AN$9-$AM$9))),$AM$9)</f>
        <v/>
      </c>
      <c r="AP273">
        <f>IFERROR(IF(AY273&lt;($AM$10-$AL$10)/($AN$10-$AL$10),$AL$10+SQRT(AY273*($AN$10-$AL$10)*($AM$10-$AL$10)),$AN$10-SQRT((1-AY273)*($AN$10-$AL$10)*($AN$10-$AM$10))),$AM$10)</f>
        <v/>
      </c>
      <c r="AQ273">
        <f>IFERROR(IF(AZ273&lt;($AM$11-$AL$11)/($AN$11-$AL$11),$AL$11+SQRT(AZ273*($AN$11-$AL$11)*($AM$11-$AL$11)),$AN$11-SQRT((1-AZ273)*($AN$11-$AL$11)*($AN$11-$AM$11))),$AM$11)</f>
        <v/>
      </c>
      <c r="AR273">
        <f>SUMPRODUCT((B24:B31&lt;=$B$6)*(C24:C31*AM273+D24:D31*AO273*$B$8*AQ273)/(1+AL273/100)^B24:B31)+C32*AM273*AP273/(1+AL273/100)^$B$6</f>
        <v/>
      </c>
      <c r="AS273">
        <f>SUMPRODUCT((K24:K26&lt;=$B$6)*(L24:L26*AN273+M24:M26*AO273*$B$8*AQ273)/(1+AL273/100)^K24:K26)+L27*AN273*AP273/(1+AL273/100)^$B$6</f>
        <v/>
      </c>
      <c r="AT273">
        <f>AS273-AR273</f>
        <v/>
      </c>
      <c r="AU273">
        <f>RAND()</f>
        <v/>
      </c>
      <c r="AV273">
        <f>RAND()</f>
        <v/>
      </c>
      <c r="AW273">
        <f>RAND()</f>
        <v/>
      </c>
      <c r="AX273">
        <f>RAND()</f>
        <v/>
      </c>
      <c r="AY273">
        <f>RAND()</f>
        <v/>
      </c>
      <c r="AZ273">
        <f>RAND()</f>
        <v/>
      </c>
    </row>
    <row r="274">
      <c r="AK274" t="n">
        <v>261</v>
      </c>
      <c r="AL274">
        <f>IFERROR(IF(AU274&lt;($AM$6-$AL$6)/($AN$6-$AL$6),$AL$6+SQRT(AU274*($AN$6-$AL$6)*($AM$6-$AL$6)),$AN$6-SQRT((1-AU274)*($AN$6-$AL$6)*($AN$6-$AM$6))),$AM$6)</f>
        <v/>
      </c>
      <c r="AM274">
        <f>IFERROR(IF(AV274&lt;($AM$7-$AL$7)/($AN$7-$AL$7),$AL$7+SQRT(AV274*($AN$7-$AL$7)*($AM$7-$AL$7)),$AN$7-SQRT((1-AV274)*($AN$7-$AL$7)*($AN$7-$AM$7))),$AM$7)</f>
        <v/>
      </c>
      <c r="AN274">
        <f>IFERROR(IF(AW274&lt;($AM$8-$AL$8)/($AN$8-$AL$8),$AL$8+SQRT(AW274*($AN$8-$AL$8)*($AM$8-$AL$8)),$AN$8-SQRT((1-AW274)*($AN$8-$AL$8)*($AN$8-$AM$8))),$AM$8)</f>
        <v/>
      </c>
      <c r="AO274">
        <f>IFERROR(IF(AX274&lt;($AM$9-$AL$9)/($AN$9-$AL$9),$AL$9+SQRT(AX274*($AN$9-$AL$9)*($AM$9-$AL$9)),$AN$9-SQRT((1-AX274)*($AN$9-$AL$9)*($AN$9-$AM$9))),$AM$9)</f>
        <v/>
      </c>
      <c r="AP274">
        <f>IFERROR(IF(AY274&lt;($AM$10-$AL$10)/($AN$10-$AL$10),$AL$10+SQRT(AY274*($AN$10-$AL$10)*($AM$10-$AL$10)),$AN$10-SQRT((1-AY274)*($AN$10-$AL$10)*($AN$10-$AM$10))),$AM$10)</f>
        <v/>
      </c>
      <c r="AQ274">
        <f>IFERROR(IF(AZ274&lt;($AM$11-$AL$11)/($AN$11-$AL$11),$AL$11+SQRT(AZ274*($AN$11-$AL$11)*($AM$11-$AL$11)),$AN$11-SQRT((1-AZ274)*($AN$11-$AL$11)*($AN$11-$AM$11))),$AM$11)</f>
        <v/>
      </c>
      <c r="AR274">
        <f>SUMPRODUCT((B24:B31&lt;=$B$6)*(C24:C31*AM274+D24:D31*AO274*$B$8*AQ274)/(1+AL274/100)^B24:B31)+C32*AM274*AP274/(1+AL274/100)^$B$6</f>
        <v/>
      </c>
      <c r="AS274">
        <f>SUMPRODUCT((K24:K26&lt;=$B$6)*(L24:L26*AN274+M24:M26*AO274*$B$8*AQ274)/(1+AL274/100)^K24:K26)+L27*AN274*AP274/(1+AL274/100)^$B$6</f>
        <v/>
      </c>
      <c r="AT274">
        <f>AS274-AR274</f>
        <v/>
      </c>
      <c r="AU274">
        <f>RAND()</f>
        <v/>
      </c>
      <c r="AV274">
        <f>RAND()</f>
        <v/>
      </c>
      <c r="AW274">
        <f>RAND()</f>
        <v/>
      </c>
      <c r="AX274">
        <f>RAND()</f>
        <v/>
      </c>
      <c r="AY274">
        <f>RAND()</f>
        <v/>
      </c>
      <c r="AZ274">
        <f>RAND()</f>
        <v/>
      </c>
    </row>
    <row r="275">
      <c r="AK275" t="n">
        <v>262</v>
      </c>
      <c r="AL275">
        <f>IFERROR(IF(AU275&lt;($AM$6-$AL$6)/($AN$6-$AL$6),$AL$6+SQRT(AU275*($AN$6-$AL$6)*($AM$6-$AL$6)),$AN$6-SQRT((1-AU275)*($AN$6-$AL$6)*($AN$6-$AM$6))),$AM$6)</f>
        <v/>
      </c>
      <c r="AM275">
        <f>IFERROR(IF(AV275&lt;($AM$7-$AL$7)/($AN$7-$AL$7),$AL$7+SQRT(AV275*($AN$7-$AL$7)*($AM$7-$AL$7)),$AN$7-SQRT((1-AV275)*($AN$7-$AL$7)*($AN$7-$AM$7))),$AM$7)</f>
        <v/>
      </c>
      <c r="AN275">
        <f>IFERROR(IF(AW275&lt;($AM$8-$AL$8)/($AN$8-$AL$8),$AL$8+SQRT(AW275*($AN$8-$AL$8)*($AM$8-$AL$8)),$AN$8-SQRT((1-AW275)*($AN$8-$AL$8)*($AN$8-$AM$8))),$AM$8)</f>
        <v/>
      </c>
      <c r="AO275">
        <f>IFERROR(IF(AX275&lt;($AM$9-$AL$9)/($AN$9-$AL$9),$AL$9+SQRT(AX275*($AN$9-$AL$9)*($AM$9-$AL$9)),$AN$9-SQRT((1-AX275)*($AN$9-$AL$9)*($AN$9-$AM$9))),$AM$9)</f>
        <v/>
      </c>
      <c r="AP275">
        <f>IFERROR(IF(AY275&lt;($AM$10-$AL$10)/($AN$10-$AL$10),$AL$10+SQRT(AY275*($AN$10-$AL$10)*($AM$10-$AL$10)),$AN$10-SQRT((1-AY275)*($AN$10-$AL$10)*($AN$10-$AM$10))),$AM$10)</f>
        <v/>
      </c>
      <c r="AQ275">
        <f>IFERROR(IF(AZ275&lt;($AM$11-$AL$11)/($AN$11-$AL$11),$AL$11+SQRT(AZ275*($AN$11-$AL$11)*($AM$11-$AL$11)),$AN$11-SQRT((1-AZ275)*($AN$11-$AL$11)*($AN$11-$AM$11))),$AM$11)</f>
        <v/>
      </c>
      <c r="AR275">
        <f>SUMPRODUCT((B24:B31&lt;=$B$6)*(C24:C31*AM275+D24:D31*AO275*$B$8*AQ275)/(1+AL275/100)^B24:B31)+C32*AM275*AP275/(1+AL275/100)^$B$6</f>
        <v/>
      </c>
      <c r="AS275">
        <f>SUMPRODUCT((K24:K26&lt;=$B$6)*(L24:L26*AN275+M24:M26*AO275*$B$8*AQ275)/(1+AL275/100)^K24:K26)+L27*AN275*AP275/(1+AL275/100)^$B$6</f>
        <v/>
      </c>
      <c r="AT275">
        <f>AS275-AR275</f>
        <v/>
      </c>
      <c r="AU275">
        <f>RAND()</f>
        <v/>
      </c>
      <c r="AV275">
        <f>RAND()</f>
        <v/>
      </c>
      <c r="AW275">
        <f>RAND()</f>
        <v/>
      </c>
      <c r="AX275">
        <f>RAND()</f>
        <v/>
      </c>
      <c r="AY275">
        <f>RAND()</f>
        <v/>
      </c>
      <c r="AZ275">
        <f>RAND()</f>
        <v/>
      </c>
    </row>
    <row r="276">
      <c r="AK276" t="n">
        <v>263</v>
      </c>
      <c r="AL276">
        <f>IFERROR(IF(AU276&lt;($AM$6-$AL$6)/($AN$6-$AL$6),$AL$6+SQRT(AU276*($AN$6-$AL$6)*($AM$6-$AL$6)),$AN$6-SQRT((1-AU276)*($AN$6-$AL$6)*($AN$6-$AM$6))),$AM$6)</f>
        <v/>
      </c>
      <c r="AM276">
        <f>IFERROR(IF(AV276&lt;($AM$7-$AL$7)/($AN$7-$AL$7),$AL$7+SQRT(AV276*($AN$7-$AL$7)*($AM$7-$AL$7)),$AN$7-SQRT((1-AV276)*($AN$7-$AL$7)*($AN$7-$AM$7))),$AM$7)</f>
        <v/>
      </c>
      <c r="AN276">
        <f>IFERROR(IF(AW276&lt;($AM$8-$AL$8)/($AN$8-$AL$8),$AL$8+SQRT(AW276*($AN$8-$AL$8)*($AM$8-$AL$8)),$AN$8-SQRT((1-AW276)*($AN$8-$AL$8)*($AN$8-$AM$8))),$AM$8)</f>
        <v/>
      </c>
      <c r="AO276">
        <f>IFERROR(IF(AX276&lt;($AM$9-$AL$9)/($AN$9-$AL$9),$AL$9+SQRT(AX276*($AN$9-$AL$9)*($AM$9-$AL$9)),$AN$9-SQRT((1-AX276)*($AN$9-$AL$9)*($AN$9-$AM$9))),$AM$9)</f>
        <v/>
      </c>
      <c r="AP276">
        <f>IFERROR(IF(AY276&lt;($AM$10-$AL$10)/($AN$10-$AL$10),$AL$10+SQRT(AY276*($AN$10-$AL$10)*($AM$10-$AL$10)),$AN$10-SQRT((1-AY276)*($AN$10-$AL$10)*($AN$10-$AM$10))),$AM$10)</f>
        <v/>
      </c>
      <c r="AQ276">
        <f>IFERROR(IF(AZ276&lt;($AM$11-$AL$11)/($AN$11-$AL$11),$AL$11+SQRT(AZ276*($AN$11-$AL$11)*($AM$11-$AL$11)),$AN$11-SQRT((1-AZ276)*($AN$11-$AL$11)*($AN$11-$AM$11))),$AM$11)</f>
        <v/>
      </c>
      <c r="AR276">
        <f>SUMPRODUCT((B24:B31&lt;=$B$6)*(C24:C31*AM276+D24:D31*AO276*$B$8*AQ276)/(1+AL276/100)^B24:B31)+C32*AM276*AP276/(1+AL276/100)^$B$6</f>
        <v/>
      </c>
      <c r="AS276">
        <f>SUMPRODUCT((K24:K26&lt;=$B$6)*(L24:L26*AN276+M24:M26*AO276*$B$8*AQ276)/(1+AL276/100)^K24:K26)+L27*AN276*AP276/(1+AL276/100)^$B$6</f>
        <v/>
      </c>
      <c r="AT276">
        <f>AS276-AR276</f>
        <v/>
      </c>
      <c r="AU276">
        <f>RAND()</f>
        <v/>
      </c>
      <c r="AV276">
        <f>RAND()</f>
        <v/>
      </c>
      <c r="AW276">
        <f>RAND()</f>
        <v/>
      </c>
      <c r="AX276">
        <f>RAND()</f>
        <v/>
      </c>
      <c r="AY276">
        <f>RAND()</f>
        <v/>
      </c>
      <c r="AZ276">
        <f>RAND()</f>
        <v/>
      </c>
    </row>
    <row r="277">
      <c r="AK277" t="n">
        <v>264</v>
      </c>
      <c r="AL277">
        <f>IFERROR(IF(AU277&lt;($AM$6-$AL$6)/($AN$6-$AL$6),$AL$6+SQRT(AU277*($AN$6-$AL$6)*($AM$6-$AL$6)),$AN$6-SQRT((1-AU277)*($AN$6-$AL$6)*($AN$6-$AM$6))),$AM$6)</f>
        <v/>
      </c>
      <c r="AM277">
        <f>IFERROR(IF(AV277&lt;($AM$7-$AL$7)/($AN$7-$AL$7),$AL$7+SQRT(AV277*($AN$7-$AL$7)*($AM$7-$AL$7)),$AN$7-SQRT((1-AV277)*($AN$7-$AL$7)*($AN$7-$AM$7))),$AM$7)</f>
        <v/>
      </c>
      <c r="AN277">
        <f>IFERROR(IF(AW277&lt;($AM$8-$AL$8)/($AN$8-$AL$8),$AL$8+SQRT(AW277*($AN$8-$AL$8)*($AM$8-$AL$8)),$AN$8-SQRT((1-AW277)*($AN$8-$AL$8)*($AN$8-$AM$8))),$AM$8)</f>
        <v/>
      </c>
      <c r="AO277">
        <f>IFERROR(IF(AX277&lt;($AM$9-$AL$9)/($AN$9-$AL$9),$AL$9+SQRT(AX277*($AN$9-$AL$9)*($AM$9-$AL$9)),$AN$9-SQRT((1-AX277)*($AN$9-$AL$9)*($AN$9-$AM$9))),$AM$9)</f>
        <v/>
      </c>
      <c r="AP277">
        <f>IFERROR(IF(AY277&lt;($AM$10-$AL$10)/($AN$10-$AL$10),$AL$10+SQRT(AY277*($AN$10-$AL$10)*($AM$10-$AL$10)),$AN$10-SQRT((1-AY277)*($AN$10-$AL$10)*($AN$10-$AM$10))),$AM$10)</f>
        <v/>
      </c>
      <c r="AQ277">
        <f>IFERROR(IF(AZ277&lt;($AM$11-$AL$11)/($AN$11-$AL$11),$AL$11+SQRT(AZ277*($AN$11-$AL$11)*($AM$11-$AL$11)),$AN$11-SQRT((1-AZ277)*($AN$11-$AL$11)*($AN$11-$AM$11))),$AM$11)</f>
        <v/>
      </c>
      <c r="AR277">
        <f>SUMPRODUCT((B24:B31&lt;=$B$6)*(C24:C31*AM277+D24:D31*AO277*$B$8*AQ277)/(1+AL277/100)^B24:B31)+C32*AM277*AP277/(1+AL277/100)^$B$6</f>
        <v/>
      </c>
      <c r="AS277">
        <f>SUMPRODUCT((K24:K26&lt;=$B$6)*(L24:L26*AN277+M24:M26*AO277*$B$8*AQ277)/(1+AL277/100)^K24:K26)+L27*AN277*AP277/(1+AL277/100)^$B$6</f>
        <v/>
      </c>
      <c r="AT277">
        <f>AS277-AR277</f>
        <v/>
      </c>
      <c r="AU277">
        <f>RAND()</f>
        <v/>
      </c>
      <c r="AV277">
        <f>RAND()</f>
        <v/>
      </c>
      <c r="AW277">
        <f>RAND()</f>
        <v/>
      </c>
      <c r="AX277">
        <f>RAND()</f>
        <v/>
      </c>
      <c r="AY277">
        <f>RAND()</f>
        <v/>
      </c>
      <c r="AZ277">
        <f>RAND()</f>
        <v/>
      </c>
    </row>
    <row r="278">
      <c r="AK278" t="n">
        <v>265</v>
      </c>
      <c r="AL278">
        <f>IFERROR(IF(AU278&lt;($AM$6-$AL$6)/($AN$6-$AL$6),$AL$6+SQRT(AU278*($AN$6-$AL$6)*($AM$6-$AL$6)),$AN$6-SQRT((1-AU278)*($AN$6-$AL$6)*($AN$6-$AM$6))),$AM$6)</f>
        <v/>
      </c>
      <c r="AM278">
        <f>IFERROR(IF(AV278&lt;($AM$7-$AL$7)/($AN$7-$AL$7),$AL$7+SQRT(AV278*($AN$7-$AL$7)*($AM$7-$AL$7)),$AN$7-SQRT((1-AV278)*($AN$7-$AL$7)*($AN$7-$AM$7))),$AM$7)</f>
        <v/>
      </c>
      <c r="AN278">
        <f>IFERROR(IF(AW278&lt;($AM$8-$AL$8)/($AN$8-$AL$8),$AL$8+SQRT(AW278*($AN$8-$AL$8)*($AM$8-$AL$8)),$AN$8-SQRT((1-AW278)*($AN$8-$AL$8)*($AN$8-$AM$8))),$AM$8)</f>
        <v/>
      </c>
      <c r="AO278">
        <f>IFERROR(IF(AX278&lt;($AM$9-$AL$9)/($AN$9-$AL$9),$AL$9+SQRT(AX278*($AN$9-$AL$9)*($AM$9-$AL$9)),$AN$9-SQRT((1-AX278)*($AN$9-$AL$9)*($AN$9-$AM$9))),$AM$9)</f>
        <v/>
      </c>
      <c r="AP278">
        <f>IFERROR(IF(AY278&lt;($AM$10-$AL$10)/($AN$10-$AL$10),$AL$10+SQRT(AY278*($AN$10-$AL$10)*($AM$10-$AL$10)),$AN$10-SQRT((1-AY278)*($AN$10-$AL$10)*($AN$10-$AM$10))),$AM$10)</f>
        <v/>
      </c>
      <c r="AQ278">
        <f>IFERROR(IF(AZ278&lt;($AM$11-$AL$11)/($AN$11-$AL$11),$AL$11+SQRT(AZ278*($AN$11-$AL$11)*($AM$11-$AL$11)),$AN$11-SQRT((1-AZ278)*($AN$11-$AL$11)*($AN$11-$AM$11))),$AM$11)</f>
        <v/>
      </c>
      <c r="AR278">
        <f>SUMPRODUCT((B24:B31&lt;=$B$6)*(C24:C31*AM278+D24:D31*AO278*$B$8*AQ278)/(1+AL278/100)^B24:B31)+C32*AM278*AP278/(1+AL278/100)^$B$6</f>
        <v/>
      </c>
      <c r="AS278">
        <f>SUMPRODUCT((K24:K26&lt;=$B$6)*(L24:L26*AN278+M24:M26*AO278*$B$8*AQ278)/(1+AL278/100)^K24:K26)+L27*AN278*AP278/(1+AL278/100)^$B$6</f>
        <v/>
      </c>
      <c r="AT278">
        <f>AS278-AR278</f>
        <v/>
      </c>
      <c r="AU278">
        <f>RAND()</f>
        <v/>
      </c>
      <c r="AV278">
        <f>RAND()</f>
        <v/>
      </c>
      <c r="AW278">
        <f>RAND()</f>
        <v/>
      </c>
      <c r="AX278">
        <f>RAND()</f>
        <v/>
      </c>
      <c r="AY278">
        <f>RAND()</f>
        <v/>
      </c>
      <c r="AZ278">
        <f>RAND()</f>
        <v/>
      </c>
    </row>
    <row r="279">
      <c r="AK279" t="n">
        <v>266</v>
      </c>
      <c r="AL279">
        <f>IFERROR(IF(AU279&lt;($AM$6-$AL$6)/($AN$6-$AL$6),$AL$6+SQRT(AU279*($AN$6-$AL$6)*($AM$6-$AL$6)),$AN$6-SQRT((1-AU279)*($AN$6-$AL$6)*($AN$6-$AM$6))),$AM$6)</f>
        <v/>
      </c>
      <c r="AM279">
        <f>IFERROR(IF(AV279&lt;($AM$7-$AL$7)/($AN$7-$AL$7),$AL$7+SQRT(AV279*($AN$7-$AL$7)*($AM$7-$AL$7)),$AN$7-SQRT((1-AV279)*($AN$7-$AL$7)*($AN$7-$AM$7))),$AM$7)</f>
        <v/>
      </c>
      <c r="AN279">
        <f>IFERROR(IF(AW279&lt;($AM$8-$AL$8)/($AN$8-$AL$8),$AL$8+SQRT(AW279*($AN$8-$AL$8)*($AM$8-$AL$8)),$AN$8-SQRT((1-AW279)*($AN$8-$AL$8)*($AN$8-$AM$8))),$AM$8)</f>
        <v/>
      </c>
      <c r="AO279">
        <f>IFERROR(IF(AX279&lt;($AM$9-$AL$9)/($AN$9-$AL$9),$AL$9+SQRT(AX279*($AN$9-$AL$9)*($AM$9-$AL$9)),$AN$9-SQRT((1-AX279)*($AN$9-$AL$9)*($AN$9-$AM$9))),$AM$9)</f>
        <v/>
      </c>
      <c r="AP279">
        <f>IFERROR(IF(AY279&lt;($AM$10-$AL$10)/($AN$10-$AL$10),$AL$10+SQRT(AY279*($AN$10-$AL$10)*($AM$10-$AL$10)),$AN$10-SQRT((1-AY279)*($AN$10-$AL$10)*($AN$10-$AM$10))),$AM$10)</f>
        <v/>
      </c>
      <c r="AQ279">
        <f>IFERROR(IF(AZ279&lt;($AM$11-$AL$11)/($AN$11-$AL$11),$AL$11+SQRT(AZ279*($AN$11-$AL$11)*($AM$11-$AL$11)),$AN$11-SQRT((1-AZ279)*($AN$11-$AL$11)*($AN$11-$AM$11))),$AM$11)</f>
        <v/>
      </c>
      <c r="AR279">
        <f>SUMPRODUCT((B24:B31&lt;=$B$6)*(C24:C31*AM279+D24:D31*AO279*$B$8*AQ279)/(1+AL279/100)^B24:B31)+C32*AM279*AP279/(1+AL279/100)^$B$6</f>
        <v/>
      </c>
      <c r="AS279">
        <f>SUMPRODUCT((K24:K26&lt;=$B$6)*(L24:L26*AN279+M24:M26*AO279*$B$8*AQ279)/(1+AL279/100)^K24:K26)+L27*AN279*AP279/(1+AL279/100)^$B$6</f>
        <v/>
      </c>
      <c r="AT279">
        <f>AS279-AR279</f>
        <v/>
      </c>
      <c r="AU279">
        <f>RAND()</f>
        <v/>
      </c>
      <c r="AV279">
        <f>RAND()</f>
        <v/>
      </c>
      <c r="AW279">
        <f>RAND()</f>
        <v/>
      </c>
      <c r="AX279">
        <f>RAND()</f>
        <v/>
      </c>
      <c r="AY279">
        <f>RAND()</f>
        <v/>
      </c>
      <c r="AZ279">
        <f>RAND()</f>
        <v/>
      </c>
    </row>
    <row r="280">
      <c r="AK280" t="n">
        <v>267</v>
      </c>
      <c r="AL280">
        <f>IFERROR(IF(AU280&lt;($AM$6-$AL$6)/($AN$6-$AL$6),$AL$6+SQRT(AU280*($AN$6-$AL$6)*($AM$6-$AL$6)),$AN$6-SQRT((1-AU280)*($AN$6-$AL$6)*($AN$6-$AM$6))),$AM$6)</f>
        <v/>
      </c>
      <c r="AM280">
        <f>IFERROR(IF(AV280&lt;($AM$7-$AL$7)/($AN$7-$AL$7),$AL$7+SQRT(AV280*($AN$7-$AL$7)*($AM$7-$AL$7)),$AN$7-SQRT((1-AV280)*($AN$7-$AL$7)*($AN$7-$AM$7))),$AM$7)</f>
        <v/>
      </c>
      <c r="AN280">
        <f>IFERROR(IF(AW280&lt;($AM$8-$AL$8)/($AN$8-$AL$8),$AL$8+SQRT(AW280*($AN$8-$AL$8)*($AM$8-$AL$8)),$AN$8-SQRT((1-AW280)*($AN$8-$AL$8)*($AN$8-$AM$8))),$AM$8)</f>
        <v/>
      </c>
      <c r="AO280">
        <f>IFERROR(IF(AX280&lt;($AM$9-$AL$9)/($AN$9-$AL$9),$AL$9+SQRT(AX280*($AN$9-$AL$9)*($AM$9-$AL$9)),$AN$9-SQRT((1-AX280)*($AN$9-$AL$9)*($AN$9-$AM$9))),$AM$9)</f>
        <v/>
      </c>
      <c r="AP280">
        <f>IFERROR(IF(AY280&lt;($AM$10-$AL$10)/($AN$10-$AL$10),$AL$10+SQRT(AY280*($AN$10-$AL$10)*($AM$10-$AL$10)),$AN$10-SQRT((1-AY280)*($AN$10-$AL$10)*($AN$10-$AM$10))),$AM$10)</f>
        <v/>
      </c>
      <c r="AQ280">
        <f>IFERROR(IF(AZ280&lt;($AM$11-$AL$11)/($AN$11-$AL$11),$AL$11+SQRT(AZ280*($AN$11-$AL$11)*($AM$11-$AL$11)),$AN$11-SQRT((1-AZ280)*($AN$11-$AL$11)*($AN$11-$AM$11))),$AM$11)</f>
        <v/>
      </c>
      <c r="AR280">
        <f>SUMPRODUCT((B24:B31&lt;=$B$6)*(C24:C31*AM280+D24:D31*AO280*$B$8*AQ280)/(1+AL280/100)^B24:B31)+C32*AM280*AP280/(1+AL280/100)^$B$6</f>
        <v/>
      </c>
      <c r="AS280">
        <f>SUMPRODUCT((K24:K26&lt;=$B$6)*(L24:L26*AN280+M24:M26*AO280*$B$8*AQ280)/(1+AL280/100)^K24:K26)+L27*AN280*AP280/(1+AL280/100)^$B$6</f>
        <v/>
      </c>
      <c r="AT280">
        <f>AS280-AR280</f>
        <v/>
      </c>
      <c r="AU280">
        <f>RAND()</f>
        <v/>
      </c>
      <c r="AV280">
        <f>RAND()</f>
        <v/>
      </c>
      <c r="AW280">
        <f>RAND()</f>
        <v/>
      </c>
      <c r="AX280">
        <f>RAND()</f>
        <v/>
      </c>
      <c r="AY280">
        <f>RAND()</f>
        <v/>
      </c>
      <c r="AZ280">
        <f>RAND()</f>
        <v/>
      </c>
    </row>
    <row r="281">
      <c r="AK281" t="n">
        <v>268</v>
      </c>
      <c r="AL281">
        <f>IFERROR(IF(AU281&lt;($AM$6-$AL$6)/($AN$6-$AL$6),$AL$6+SQRT(AU281*($AN$6-$AL$6)*($AM$6-$AL$6)),$AN$6-SQRT((1-AU281)*($AN$6-$AL$6)*($AN$6-$AM$6))),$AM$6)</f>
        <v/>
      </c>
      <c r="AM281">
        <f>IFERROR(IF(AV281&lt;($AM$7-$AL$7)/($AN$7-$AL$7),$AL$7+SQRT(AV281*($AN$7-$AL$7)*($AM$7-$AL$7)),$AN$7-SQRT((1-AV281)*($AN$7-$AL$7)*($AN$7-$AM$7))),$AM$7)</f>
        <v/>
      </c>
      <c r="AN281">
        <f>IFERROR(IF(AW281&lt;($AM$8-$AL$8)/($AN$8-$AL$8),$AL$8+SQRT(AW281*($AN$8-$AL$8)*($AM$8-$AL$8)),$AN$8-SQRT((1-AW281)*($AN$8-$AL$8)*($AN$8-$AM$8))),$AM$8)</f>
        <v/>
      </c>
      <c r="AO281">
        <f>IFERROR(IF(AX281&lt;($AM$9-$AL$9)/($AN$9-$AL$9),$AL$9+SQRT(AX281*($AN$9-$AL$9)*($AM$9-$AL$9)),$AN$9-SQRT((1-AX281)*($AN$9-$AL$9)*($AN$9-$AM$9))),$AM$9)</f>
        <v/>
      </c>
      <c r="AP281">
        <f>IFERROR(IF(AY281&lt;($AM$10-$AL$10)/($AN$10-$AL$10),$AL$10+SQRT(AY281*($AN$10-$AL$10)*($AM$10-$AL$10)),$AN$10-SQRT((1-AY281)*($AN$10-$AL$10)*($AN$10-$AM$10))),$AM$10)</f>
        <v/>
      </c>
      <c r="AQ281">
        <f>IFERROR(IF(AZ281&lt;($AM$11-$AL$11)/($AN$11-$AL$11),$AL$11+SQRT(AZ281*($AN$11-$AL$11)*($AM$11-$AL$11)),$AN$11-SQRT((1-AZ281)*($AN$11-$AL$11)*($AN$11-$AM$11))),$AM$11)</f>
        <v/>
      </c>
      <c r="AR281">
        <f>SUMPRODUCT((B24:B31&lt;=$B$6)*(C24:C31*AM281+D24:D31*AO281*$B$8*AQ281)/(1+AL281/100)^B24:B31)+C32*AM281*AP281/(1+AL281/100)^$B$6</f>
        <v/>
      </c>
      <c r="AS281">
        <f>SUMPRODUCT((K24:K26&lt;=$B$6)*(L24:L26*AN281+M24:M26*AO281*$B$8*AQ281)/(1+AL281/100)^K24:K26)+L27*AN281*AP281/(1+AL281/100)^$B$6</f>
        <v/>
      </c>
      <c r="AT281">
        <f>AS281-AR281</f>
        <v/>
      </c>
      <c r="AU281">
        <f>RAND()</f>
        <v/>
      </c>
      <c r="AV281">
        <f>RAND()</f>
        <v/>
      </c>
      <c r="AW281">
        <f>RAND()</f>
        <v/>
      </c>
      <c r="AX281">
        <f>RAND()</f>
        <v/>
      </c>
      <c r="AY281">
        <f>RAND()</f>
        <v/>
      </c>
      <c r="AZ281">
        <f>RAND()</f>
        <v/>
      </c>
    </row>
    <row r="282">
      <c r="AK282" t="n">
        <v>269</v>
      </c>
      <c r="AL282">
        <f>IFERROR(IF(AU282&lt;($AM$6-$AL$6)/($AN$6-$AL$6),$AL$6+SQRT(AU282*($AN$6-$AL$6)*($AM$6-$AL$6)),$AN$6-SQRT((1-AU282)*($AN$6-$AL$6)*($AN$6-$AM$6))),$AM$6)</f>
        <v/>
      </c>
      <c r="AM282">
        <f>IFERROR(IF(AV282&lt;($AM$7-$AL$7)/($AN$7-$AL$7),$AL$7+SQRT(AV282*($AN$7-$AL$7)*($AM$7-$AL$7)),$AN$7-SQRT((1-AV282)*($AN$7-$AL$7)*($AN$7-$AM$7))),$AM$7)</f>
        <v/>
      </c>
      <c r="AN282">
        <f>IFERROR(IF(AW282&lt;($AM$8-$AL$8)/($AN$8-$AL$8),$AL$8+SQRT(AW282*($AN$8-$AL$8)*($AM$8-$AL$8)),$AN$8-SQRT((1-AW282)*($AN$8-$AL$8)*($AN$8-$AM$8))),$AM$8)</f>
        <v/>
      </c>
      <c r="AO282">
        <f>IFERROR(IF(AX282&lt;($AM$9-$AL$9)/($AN$9-$AL$9),$AL$9+SQRT(AX282*($AN$9-$AL$9)*($AM$9-$AL$9)),$AN$9-SQRT((1-AX282)*($AN$9-$AL$9)*($AN$9-$AM$9))),$AM$9)</f>
        <v/>
      </c>
      <c r="AP282">
        <f>IFERROR(IF(AY282&lt;($AM$10-$AL$10)/($AN$10-$AL$10),$AL$10+SQRT(AY282*($AN$10-$AL$10)*($AM$10-$AL$10)),$AN$10-SQRT((1-AY282)*($AN$10-$AL$10)*($AN$10-$AM$10))),$AM$10)</f>
        <v/>
      </c>
      <c r="AQ282">
        <f>IFERROR(IF(AZ282&lt;($AM$11-$AL$11)/($AN$11-$AL$11),$AL$11+SQRT(AZ282*($AN$11-$AL$11)*($AM$11-$AL$11)),$AN$11-SQRT((1-AZ282)*($AN$11-$AL$11)*($AN$11-$AM$11))),$AM$11)</f>
        <v/>
      </c>
      <c r="AR282">
        <f>SUMPRODUCT((B24:B31&lt;=$B$6)*(C24:C31*AM282+D24:D31*AO282*$B$8*AQ282)/(1+AL282/100)^B24:B31)+C32*AM282*AP282/(1+AL282/100)^$B$6</f>
        <v/>
      </c>
      <c r="AS282">
        <f>SUMPRODUCT((K24:K26&lt;=$B$6)*(L24:L26*AN282+M24:M26*AO282*$B$8*AQ282)/(1+AL282/100)^K24:K26)+L27*AN282*AP282/(1+AL282/100)^$B$6</f>
        <v/>
      </c>
      <c r="AT282">
        <f>AS282-AR282</f>
        <v/>
      </c>
      <c r="AU282">
        <f>RAND()</f>
        <v/>
      </c>
      <c r="AV282">
        <f>RAND()</f>
        <v/>
      </c>
      <c r="AW282">
        <f>RAND()</f>
        <v/>
      </c>
      <c r="AX282">
        <f>RAND()</f>
        <v/>
      </c>
      <c r="AY282">
        <f>RAND()</f>
        <v/>
      </c>
      <c r="AZ282">
        <f>RAND()</f>
        <v/>
      </c>
    </row>
    <row r="283">
      <c r="AK283" t="n">
        <v>270</v>
      </c>
      <c r="AL283">
        <f>IFERROR(IF(AU283&lt;($AM$6-$AL$6)/($AN$6-$AL$6),$AL$6+SQRT(AU283*($AN$6-$AL$6)*($AM$6-$AL$6)),$AN$6-SQRT((1-AU283)*($AN$6-$AL$6)*($AN$6-$AM$6))),$AM$6)</f>
        <v/>
      </c>
      <c r="AM283">
        <f>IFERROR(IF(AV283&lt;($AM$7-$AL$7)/($AN$7-$AL$7),$AL$7+SQRT(AV283*($AN$7-$AL$7)*($AM$7-$AL$7)),$AN$7-SQRT((1-AV283)*($AN$7-$AL$7)*($AN$7-$AM$7))),$AM$7)</f>
        <v/>
      </c>
      <c r="AN283">
        <f>IFERROR(IF(AW283&lt;($AM$8-$AL$8)/($AN$8-$AL$8),$AL$8+SQRT(AW283*($AN$8-$AL$8)*($AM$8-$AL$8)),$AN$8-SQRT((1-AW283)*($AN$8-$AL$8)*($AN$8-$AM$8))),$AM$8)</f>
        <v/>
      </c>
      <c r="AO283">
        <f>IFERROR(IF(AX283&lt;($AM$9-$AL$9)/($AN$9-$AL$9),$AL$9+SQRT(AX283*($AN$9-$AL$9)*($AM$9-$AL$9)),$AN$9-SQRT((1-AX283)*($AN$9-$AL$9)*($AN$9-$AM$9))),$AM$9)</f>
        <v/>
      </c>
      <c r="AP283">
        <f>IFERROR(IF(AY283&lt;($AM$10-$AL$10)/($AN$10-$AL$10),$AL$10+SQRT(AY283*($AN$10-$AL$10)*($AM$10-$AL$10)),$AN$10-SQRT((1-AY283)*($AN$10-$AL$10)*($AN$10-$AM$10))),$AM$10)</f>
        <v/>
      </c>
      <c r="AQ283">
        <f>IFERROR(IF(AZ283&lt;($AM$11-$AL$11)/($AN$11-$AL$11),$AL$11+SQRT(AZ283*($AN$11-$AL$11)*($AM$11-$AL$11)),$AN$11-SQRT((1-AZ283)*($AN$11-$AL$11)*($AN$11-$AM$11))),$AM$11)</f>
        <v/>
      </c>
      <c r="AR283">
        <f>SUMPRODUCT((B24:B31&lt;=$B$6)*(C24:C31*AM283+D24:D31*AO283*$B$8*AQ283)/(1+AL283/100)^B24:B31)+C32*AM283*AP283/(1+AL283/100)^$B$6</f>
        <v/>
      </c>
      <c r="AS283">
        <f>SUMPRODUCT((K24:K26&lt;=$B$6)*(L24:L26*AN283+M24:M26*AO283*$B$8*AQ283)/(1+AL283/100)^K24:K26)+L27*AN283*AP283/(1+AL283/100)^$B$6</f>
        <v/>
      </c>
      <c r="AT283">
        <f>AS283-AR283</f>
        <v/>
      </c>
      <c r="AU283">
        <f>RAND()</f>
        <v/>
      </c>
      <c r="AV283">
        <f>RAND()</f>
        <v/>
      </c>
      <c r="AW283">
        <f>RAND()</f>
        <v/>
      </c>
      <c r="AX283">
        <f>RAND()</f>
        <v/>
      </c>
      <c r="AY283">
        <f>RAND()</f>
        <v/>
      </c>
      <c r="AZ283">
        <f>RAND()</f>
        <v/>
      </c>
    </row>
    <row r="284">
      <c r="AK284" t="n">
        <v>271</v>
      </c>
      <c r="AL284">
        <f>IFERROR(IF(AU284&lt;($AM$6-$AL$6)/($AN$6-$AL$6),$AL$6+SQRT(AU284*($AN$6-$AL$6)*($AM$6-$AL$6)),$AN$6-SQRT((1-AU284)*($AN$6-$AL$6)*($AN$6-$AM$6))),$AM$6)</f>
        <v/>
      </c>
      <c r="AM284">
        <f>IFERROR(IF(AV284&lt;($AM$7-$AL$7)/($AN$7-$AL$7),$AL$7+SQRT(AV284*($AN$7-$AL$7)*($AM$7-$AL$7)),$AN$7-SQRT((1-AV284)*($AN$7-$AL$7)*($AN$7-$AM$7))),$AM$7)</f>
        <v/>
      </c>
      <c r="AN284">
        <f>IFERROR(IF(AW284&lt;($AM$8-$AL$8)/($AN$8-$AL$8),$AL$8+SQRT(AW284*($AN$8-$AL$8)*($AM$8-$AL$8)),$AN$8-SQRT((1-AW284)*($AN$8-$AL$8)*($AN$8-$AM$8))),$AM$8)</f>
        <v/>
      </c>
      <c r="AO284">
        <f>IFERROR(IF(AX284&lt;($AM$9-$AL$9)/($AN$9-$AL$9),$AL$9+SQRT(AX284*($AN$9-$AL$9)*($AM$9-$AL$9)),$AN$9-SQRT((1-AX284)*($AN$9-$AL$9)*($AN$9-$AM$9))),$AM$9)</f>
        <v/>
      </c>
      <c r="AP284">
        <f>IFERROR(IF(AY284&lt;($AM$10-$AL$10)/($AN$10-$AL$10),$AL$10+SQRT(AY284*($AN$10-$AL$10)*($AM$10-$AL$10)),$AN$10-SQRT((1-AY284)*($AN$10-$AL$10)*($AN$10-$AM$10))),$AM$10)</f>
        <v/>
      </c>
      <c r="AQ284">
        <f>IFERROR(IF(AZ284&lt;($AM$11-$AL$11)/($AN$11-$AL$11),$AL$11+SQRT(AZ284*($AN$11-$AL$11)*($AM$11-$AL$11)),$AN$11-SQRT((1-AZ284)*($AN$11-$AL$11)*($AN$11-$AM$11))),$AM$11)</f>
        <v/>
      </c>
      <c r="AR284">
        <f>SUMPRODUCT((B24:B31&lt;=$B$6)*(C24:C31*AM284+D24:D31*AO284*$B$8*AQ284)/(1+AL284/100)^B24:B31)+C32*AM284*AP284/(1+AL284/100)^$B$6</f>
        <v/>
      </c>
      <c r="AS284">
        <f>SUMPRODUCT((K24:K26&lt;=$B$6)*(L24:L26*AN284+M24:M26*AO284*$B$8*AQ284)/(1+AL284/100)^K24:K26)+L27*AN284*AP284/(1+AL284/100)^$B$6</f>
        <v/>
      </c>
      <c r="AT284">
        <f>AS284-AR284</f>
        <v/>
      </c>
      <c r="AU284">
        <f>RAND()</f>
        <v/>
      </c>
      <c r="AV284">
        <f>RAND()</f>
        <v/>
      </c>
      <c r="AW284">
        <f>RAND()</f>
        <v/>
      </c>
      <c r="AX284">
        <f>RAND()</f>
        <v/>
      </c>
      <c r="AY284">
        <f>RAND()</f>
        <v/>
      </c>
      <c r="AZ284">
        <f>RAND()</f>
        <v/>
      </c>
    </row>
    <row r="285">
      <c r="AK285" t="n">
        <v>272</v>
      </c>
      <c r="AL285">
        <f>IFERROR(IF(AU285&lt;($AM$6-$AL$6)/($AN$6-$AL$6),$AL$6+SQRT(AU285*($AN$6-$AL$6)*($AM$6-$AL$6)),$AN$6-SQRT((1-AU285)*($AN$6-$AL$6)*($AN$6-$AM$6))),$AM$6)</f>
        <v/>
      </c>
      <c r="AM285">
        <f>IFERROR(IF(AV285&lt;($AM$7-$AL$7)/($AN$7-$AL$7),$AL$7+SQRT(AV285*($AN$7-$AL$7)*($AM$7-$AL$7)),$AN$7-SQRT((1-AV285)*($AN$7-$AL$7)*($AN$7-$AM$7))),$AM$7)</f>
        <v/>
      </c>
      <c r="AN285">
        <f>IFERROR(IF(AW285&lt;($AM$8-$AL$8)/($AN$8-$AL$8),$AL$8+SQRT(AW285*($AN$8-$AL$8)*($AM$8-$AL$8)),$AN$8-SQRT((1-AW285)*($AN$8-$AL$8)*($AN$8-$AM$8))),$AM$8)</f>
        <v/>
      </c>
      <c r="AO285">
        <f>IFERROR(IF(AX285&lt;($AM$9-$AL$9)/($AN$9-$AL$9),$AL$9+SQRT(AX285*($AN$9-$AL$9)*($AM$9-$AL$9)),$AN$9-SQRT((1-AX285)*($AN$9-$AL$9)*($AN$9-$AM$9))),$AM$9)</f>
        <v/>
      </c>
      <c r="AP285">
        <f>IFERROR(IF(AY285&lt;($AM$10-$AL$10)/($AN$10-$AL$10),$AL$10+SQRT(AY285*($AN$10-$AL$10)*($AM$10-$AL$10)),$AN$10-SQRT((1-AY285)*($AN$10-$AL$10)*($AN$10-$AM$10))),$AM$10)</f>
        <v/>
      </c>
      <c r="AQ285">
        <f>IFERROR(IF(AZ285&lt;($AM$11-$AL$11)/($AN$11-$AL$11),$AL$11+SQRT(AZ285*($AN$11-$AL$11)*($AM$11-$AL$11)),$AN$11-SQRT((1-AZ285)*($AN$11-$AL$11)*($AN$11-$AM$11))),$AM$11)</f>
        <v/>
      </c>
      <c r="AR285">
        <f>SUMPRODUCT((B24:B31&lt;=$B$6)*(C24:C31*AM285+D24:D31*AO285*$B$8*AQ285)/(1+AL285/100)^B24:B31)+C32*AM285*AP285/(1+AL285/100)^$B$6</f>
        <v/>
      </c>
      <c r="AS285">
        <f>SUMPRODUCT((K24:K26&lt;=$B$6)*(L24:L26*AN285+M24:M26*AO285*$B$8*AQ285)/(1+AL285/100)^K24:K26)+L27*AN285*AP285/(1+AL285/100)^$B$6</f>
        <v/>
      </c>
      <c r="AT285">
        <f>AS285-AR285</f>
        <v/>
      </c>
      <c r="AU285">
        <f>RAND()</f>
        <v/>
      </c>
      <c r="AV285">
        <f>RAND()</f>
        <v/>
      </c>
      <c r="AW285">
        <f>RAND()</f>
        <v/>
      </c>
      <c r="AX285">
        <f>RAND()</f>
        <v/>
      </c>
      <c r="AY285">
        <f>RAND()</f>
        <v/>
      </c>
      <c r="AZ285">
        <f>RAND()</f>
        <v/>
      </c>
    </row>
    <row r="286">
      <c r="AK286" t="n">
        <v>273</v>
      </c>
      <c r="AL286">
        <f>IFERROR(IF(AU286&lt;($AM$6-$AL$6)/($AN$6-$AL$6),$AL$6+SQRT(AU286*($AN$6-$AL$6)*($AM$6-$AL$6)),$AN$6-SQRT((1-AU286)*($AN$6-$AL$6)*($AN$6-$AM$6))),$AM$6)</f>
        <v/>
      </c>
      <c r="AM286">
        <f>IFERROR(IF(AV286&lt;($AM$7-$AL$7)/($AN$7-$AL$7),$AL$7+SQRT(AV286*($AN$7-$AL$7)*($AM$7-$AL$7)),$AN$7-SQRT((1-AV286)*($AN$7-$AL$7)*($AN$7-$AM$7))),$AM$7)</f>
        <v/>
      </c>
      <c r="AN286">
        <f>IFERROR(IF(AW286&lt;($AM$8-$AL$8)/($AN$8-$AL$8),$AL$8+SQRT(AW286*($AN$8-$AL$8)*($AM$8-$AL$8)),$AN$8-SQRT((1-AW286)*($AN$8-$AL$8)*($AN$8-$AM$8))),$AM$8)</f>
        <v/>
      </c>
      <c r="AO286">
        <f>IFERROR(IF(AX286&lt;($AM$9-$AL$9)/($AN$9-$AL$9),$AL$9+SQRT(AX286*($AN$9-$AL$9)*($AM$9-$AL$9)),$AN$9-SQRT((1-AX286)*($AN$9-$AL$9)*($AN$9-$AM$9))),$AM$9)</f>
        <v/>
      </c>
      <c r="AP286">
        <f>IFERROR(IF(AY286&lt;($AM$10-$AL$10)/($AN$10-$AL$10),$AL$10+SQRT(AY286*($AN$10-$AL$10)*($AM$10-$AL$10)),$AN$10-SQRT((1-AY286)*($AN$10-$AL$10)*($AN$10-$AM$10))),$AM$10)</f>
        <v/>
      </c>
      <c r="AQ286">
        <f>IFERROR(IF(AZ286&lt;($AM$11-$AL$11)/($AN$11-$AL$11),$AL$11+SQRT(AZ286*($AN$11-$AL$11)*($AM$11-$AL$11)),$AN$11-SQRT((1-AZ286)*($AN$11-$AL$11)*($AN$11-$AM$11))),$AM$11)</f>
        <v/>
      </c>
      <c r="AR286">
        <f>SUMPRODUCT((B24:B31&lt;=$B$6)*(C24:C31*AM286+D24:D31*AO286*$B$8*AQ286)/(1+AL286/100)^B24:B31)+C32*AM286*AP286/(1+AL286/100)^$B$6</f>
        <v/>
      </c>
      <c r="AS286">
        <f>SUMPRODUCT((K24:K26&lt;=$B$6)*(L24:L26*AN286+M24:M26*AO286*$B$8*AQ286)/(1+AL286/100)^K24:K26)+L27*AN286*AP286/(1+AL286/100)^$B$6</f>
        <v/>
      </c>
      <c r="AT286">
        <f>AS286-AR286</f>
        <v/>
      </c>
      <c r="AU286">
        <f>RAND()</f>
        <v/>
      </c>
      <c r="AV286">
        <f>RAND()</f>
        <v/>
      </c>
      <c r="AW286">
        <f>RAND()</f>
        <v/>
      </c>
      <c r="AX286">
        <f>RAND()</f>
        <v/>
      </c>
      <c r="AY286">
        <f>RAND()</f>
        <v/>
      </c>
      <c r="AZ286">
        <f>RAND()</f>
        <v/>
      </c>
    </row>
    <row r="287">
      <c r="AK287" t="n">
        <v>274</v>
      </c>
      <c r="AL287">
        <f>IFERROR(IF(AU287&lt;($AM$6-$AL$6)/($AN$6-$AL$6),$AL$6+SQRT(AU287*($AN$6-$AL$6)*($AM$6-$AL$6)),$AN$6-SQRT((1-AU287)*($AN$6-$AL$6)*($AN$6-$AM$6))),$AM$6)</f>
        <v/>
      </c>
      <c r="AM287">
        <f>IFERROR(IF(AV287&lt;($AM$7-$AL$7)/($AN$7-$AL$7),$AL$7+SQRT(AV287*($AN$7-$AL$7)*($AM$7-$AL$7)),$AN$7-SQRT((1-AV287)*($AN$7-$AL$7)*($AN$7-$AM$7))),$AM$7)</f>
        <v/>
      </c>
      <c r="AN287">
        <f>IFERROR(IF(AW287&lt;($AM$8-$AL$8)/($AN$8-$AL$8),$AL$8+SQRT(AW287*($AN$8-$AL$8)*($AM$8-$AL$8)),$AN$8-SQRT((1-AW287)*($AN$8-$AL$8)*($AN$8-$AM$8))),$AM$8)</f>
        <v/>
      </c>
      <c r="AO287">
        <f>IFERROR(IF(AX287&lt;($AM$9-$AL$9)/($AN$9-$AL$9),$AL$9+SQRT(AX287*($AN$9-$AL$9)*($AM$9-$AL$9)),$AN$9-SQRT((1-AX287)*($AN$9-$AL$9)*($AN$9-$AM$9))),$AM$9)</f>
        <v/>
      </c>
      <c r="AP287">
        <f>IFERROR(IF(AY287&lt;($AM$10-$AL$10)/($AN$10-$AL$10),$AL$10+SQRT(AY287*($AN$10-$AL$10)*($AM$10-$AL$10)),$AN$10-SQRT((1-AY287)*($AN$10-$AL$10)*($AN$10-$AM$10))),$AM$10)</f>
        <v/>
      </c>
      <c r="AQ287">
        <f>IFERROR(IF(AZ287&lt;($AM$11-$AL$11)/($AN$11-$AL$11),$AL$11+SQRT(AZ287*($AN$11-$AL$11)*($AM$11-$AL$11)),$AN$11-SQRT((1-AZ287)*($AN$11-$AL$11)*($AN$11-$AM$11))),$AM$11)</f>
        <v/>
      </c>
      <c r="AR287">
        <f>SUMPRODUCT((B24:B31&lt;=$B$6)*(C24:C31*AM287+D24:D31*AO287*$B$8*AQ287)/(1+AL287/100)^B24:B31)+C32*AM287*AP287/(1+AL287/100)^$B$6</f>
        <v/>
      </c>
      <c r="AS287">
        <f>SUMPRODUCT((K24:K26&lt;=$B$6)*(L24:L26*AN287+M24:M26*AO287*$B$8*AQ287)/(1+AL287/100)^K24:K26)+L27*AN287*AP287/(1+AL287/100)^$B$6</f>
        <v/>
      </c>
      <c r="AT287">
        <f>AS287-AR287</f>
        <v/>
      </c>
      <c r="AU287">
        <f>RAND()</f>
        <v/>
      </c>
      <c r="AV287">
        <f>RAND()</f>
        <v/>
      </c>
      <c r="AW287">
        <f>RAND()</f>
        <v/>
      </c>
      <c r="AX287">
        <f>RAND()</f>
        <v/>
      </c>
      <c r="AY287">
        <f>RAND()</f>
        <v/>
      </c>
      <c r="AZ287">
        <f>RAND()</f>
        <v/>
      </c>
    </row>
    <row r="288">
      <c r="AK288" t="n">
        <v>275</v>
      </c>
      <c r="AL288">
        <f>IFERROR(IF(AU288&lt;($AM$6-$AL$6)/($AN$6-$AL$6),$AL$6+SQRT(AU288*($AN$6-$AL$6)*($AM$6-$AL$6)),$AN$6-SQRT((1-AU288)*($AN$6-$AL$6)*($AN$6-$AM$6))),$AM$6)</f>
        <v/>
      </c>
      <c r="AM288">
        <f>IFERROR(IF(AV288&lt;($AM$7-$AL$7)/($AN$7-$AL$7),$AL$7+SQRT(AV288*($AN$7-$AL$7)*($AM$7-$AL$7)),$AN$7-SQRT((1-AV288)*($AN$7-$AL$7)*($AN$7-$AM$7))),$AM$7)</f>
        <v/>
      </c>
      <c r="AN288">
        <f>IFERROR(IF(AW288&lt;($AM$8-$AL$8)/($AN$8-$AL$8),$AL$8+SQRT(AW288*($AN$8-$AL$8)*($AM$8-$AL$8)),$AN$8-SQRT((1-AW288)*($AN$8-$AL$8)*($AN$8-$AM$8))),$AM$8)</f>
        <v/>
      </c>
      <c r="AO288">
        <f>IFERROR(IF(AX288&lt;($AM$9-$AL$9)/($AN$9-$AL$9),$AL$9+SQRT(AX288*($AN$9-$AL$9)*($AM$9-$AL$9)),$AN$9-SQRT((1-AX288)*($AN$9-$AL$9)*($AN$9-$AM$9))),$AM$9)</f>
        <v/>
      </c>
      <c r="AP288">
        <f>IFERROR(IF(AY288&lt;($AM$10-$AL$10)/($AN$10-$AL$10),$AL$10+SQRT(AY288*($AN$10-$AL$10)*($AM$10-$AL$10)),$AN$10-SQRT((1-AY288)*($AN$10-$AL$10)*($AN$10-$AM$10))),$AM$10)</f>
        <v/>
      </c>
      <c r="AQ288">
        <f>IFERROR(IF(AZ288&lt;($AM$11-$AL$11)/($AN$11-$AL$11),$AL$11+SQRT(AZ288*($AN$11-$AL$11)*($AM$11-$AL$11)),$AN$11-SQRT((1-AZ288)*($AN$11-$AL$11)*($AN$11-$AM$11))),$AM$11)</f>
        <v/>
      </c>
      <c r="AR288">
        <f>SUMPRODUCT((B24:B31&lt;=$B$6)*(C24:C31*AM288+D24:D31*AO288*$B$8*AQ288)/(1+AL288/100)^B24:B31)+C32*AM288*AP288/(1+AL288/100)^$B$6</f>
        <v/>
      </c>
      <c r="AS288">
        <f>SUMPRODUCT((K24:K26&lt;=$B$6)*(L24:L26*AN288+M24:M26*AO288*$B$8*AQ288)/(1+AL288/100)^K24:K26)+L27*AN288*AP288/(1+AL288/100)^$B$6</f>
        <v/>
      </c>
      <c r="AT288">
        <f>AS288-AR288</f>
        <v/>
      </c>
      <c r="AU288">
        <f>RAND()</f>
        <v/>
      </c>
      <c r="AV288">
        <f>RAND()</f>
        <v/>
      </c>
      <c r="AW288">
        <f>RAND()</f>
        <v/>
      </c>
      <c r="AX288">
        <f>RAND()</f>
        <v/>
      </c>
      <c r="AY288">
        <f>RAND()</f>
        <v/>
      </c>
      <c r="AZ288">
        <f>RAND()</f>
        <v/>
      </c>
    </row>
    <row r="289">
      <c r="AK289" t="n">
        <v>276</v>
      </c>
      <c r="AL289">
        <f>IFERROR(IF(AU289&lt;($AM$6-$AL$6)/($AN$6-$AL$6),$AL$6+SQRT(AU289*($AN$6-$AL$6)*($AM$6-$AL$6)),$AN$6-SQRT((1-AU289)*($AN$6-$AL$6)*($AN$6-$AM$6))),$AM$6)</f>
        <v/>
      </c>
      <c r="AM289">
        <f>IFERROR(IF(AV289&lt;($AM$7-$AL$7)/($AN$7-$AL$7),$AL$7+SQRT(AV289*($AN$7-$AL$7)*($AM$7-$AL$7)),$AN$7-SQRT((1-AV289)*($AN$7-$AL$7)*($AN$7-$AM$7))),$AM$7)</f>
        <v/>
      </c>
      <c r="AN289">
        <f>IFERROR(IF(AW289&lt;($AM$8-$AL$8)/($AN$8-$AL$8),$AL$8+SQRT(AW289*($AN$8-$AL$8)*($AM$8-$AL$8)),$AN$8-SQRT((1-AW289)*($AN$8-$AL$8)*($AN$8-$AM$8))),$AM$8)</f>
        <v/>
      </c>
      <c r="AO289">
        <f>IFERROR(IF(AX289&lt;($AM$9-$AL$9)/($AN$9-$AL$9),$AL$9+SQRT(AX289*($AN$9-$AL$9)*($AM$9-$AL$9)),$AN$9-SQRT((1-AX289)*($AN$9-$AL$9)*($AN$9-$AM$9))),$AM$9)</f>
        <v/>
      </c>
      <c r="AP289">
        <f>IFERROR(IF(AY289&lt;($AM$10-$AL$10)/($AN$10-$AL$10),$AL$10+SQRT(AY289*($AN$10-$AL$10)*($AM$10-$AL$10)),$AN$10-SQRT((1-AY289)*($AN$10-$AL$10)*($AN$10-$AM$10))),$AM$10)</f>
        <v/>
      </c>
      <c r="AQ289">
        <f>IFERROR(IF(AZ289&lt;($AM$11-$AL$11)/($AN$11-$AL$11),$AL$11+SQRT(AZ289*($AN$11-$AL$11)*($AM$11-$AL$11)),$AN$11-SQRT((1-AZ289)*($AN$11-$AL$11)*($AN$11-$AM$11))),$AM$11)</f>
        <v/>
      </c>
      <c r="AR289">
        <f>SUMPRODUCT((B24:B31&lt;=$B$6)*(C24:C31*AM289+D24:D31*AO289*$B$8*AQ289)/(1+AL289/100)^B24:B31)+C32*AM289*AP289/(1+AL289/100)^$B$6</f>
        <v/>
      </c>
      <c r="AS289">
        <f>SUMPRODUCT((K24:K26&lt;=$B$6)*(L24:L26*AN289+M24:M26*AO289*$B$8*AQ289)/(1+AL289/100)^K24:K26)+L27*AN289*AP289/(1+AL289/100)^$B$6</f>
        <v/>
      </c>
      <c r="AT289">
        <f>AS289-AR289</f>
        <v/>
      </c>
      <c r="AU289">
        <f>RAND()</f>
        <v/>
      </c>
      <c r="AV289">
        <f>RAND()</f>
        <v/>
      </c>
      <c r="AW289">
        <f>RAND()</f>
        <v/>
      </c>
      <c r="AX289">
        <f>RAND()</f>
        <v/>
      </c>
      <c r="AY289">
        <f>RAND()</f>
        <v/>
      </c>
      <c r="AZ289">
        <f>RAND()</f>
        <v/>
      </c>
    </row>
    <row r="290">
      <c r="AK290" t="n">
        <v>277</v>
      </c>
      <c r="AL290">
        <f>IFERROR(IF(AU290&lt;($AM$6-$AL$6)/($AN$6-$AL$6),$AL$6+SQRT(AU290*($AN$6-$AL$6)*($AM$6-$AL$6)),$AN$6-SQRT((1-AU290)*($AN$6-$AL$6)*($AN$6-$AM$6))),$AM$6)</f>
        <v/>
      </c>
      <c r="AM290">
        <f>IFERROR(IF(AV290&lt;($AM$7-$AL$7)/($AN$7-$AL$7),$AL$7+SQRT(AV290*($AN$7-$AL$7)*($AM$7-$AL$7)),$AN$7-SQRT((1-AV290)*($AN$7-$AL$7)*($AN$7-$AM$7))),$AM$7)</f>
        <v/>
      </c>
      <c r="AN290">
        <f>IFERROR(IF(AW290&lt;($AM$8-$AL$8)/($AN$8-$AL$8),$AL$8+SQRT(AW290*($AN$8-$AL$8)*($AM$8-$AL$8)),$AN$8-SQRT((1-AW290)*($AN$8-$AL$8)*($AN$8-$AM$8))),$AM$8)</f>
        <v/>
      </c>
      <c r="AO290">
        <f>IFERROR(IF(AX290&lt;($AM$9-$AL$9)/($AN$9-$AL$9),$AL$9+SQRT(AX290*($AN$9-$AL$9)*($AM$9-$AL$9)),$AN$9-SQRT((1-AX290)*($AN$9-$AL$9)*($AN$9-$AM$9))),$AM$9)</f>
        <v/>
      </c>
      <c r="AP290">
        <f>IFERROR(IF(AY290&lt;($AM$10-$AL$10)/($AN$10-$AL$10),$AL$10+SQRT(AY290*($AN$10-$AL$10)*($AM$10-$AL$10)),$AN$10-SQRT((1-AY290)*($AN$10-$AL$10)*($AN$10-$AM$10))),$AM$10)</f>
        <v/>
      </c>
      <c r="AQ290">
        <f>IFERROR(IF(AZ290&lt;($AM$11-$AL$11)/($AN$11-$AL$11),$AL$11+SQRT(AZ290*($AN$11-$AL$11)*($AM$11-$AL$11)),$AN$11-SQRT((1-AZ290)*($AN$11-$AL$11)*($AN$11-$AM$11))),$AM$11)</f>
        <v/>
      </c>
      <c r="AR290">
        <f>SUMPRODUCT((B24:B31&lt;=$B$6)*(C24:C31*AM290+D24:D31*AO290*$B$8*AQ290)/(1+AL290/100)^B24:B31)+C32*AM290*AP290/(1+AL290/100)^$B$6</f>
        <v/>
      </c>
      <c r="AS290">
        <f>SUMPRODUCT((K24:K26&lt;=$B$6)*(L24:L26*AN290+M24:M26*AO290*$B$8*AQ290)/(1+AL290/100)^K24:K26)+L27*AN290*AP290/(1+AL290/100)^$B$6</f>
        <v/>
      </c>
      <c r="AT290">
        <f>AS290-AR290</f>
        <v/>
      </c>
      <c r="AU290">
        <f>RAND()</f>
        <v/>
      </c>
      <c r="AV290">
        <f>RAND()</f>
        <v/>
      </c>
      <c r="AW290">
        <f>RAND()</f>
        <v/>
      </c>
      <c r="AX290">
        <f>RAND()</f>
        <v/>
      </c>
      <c r="AY290">
        <f>RAND()</f>
        <v/>
      </c>
      <c r="AZ290">
        <f>RAND()</f>
        <v/>
      </c>
    </row>
    <row r="291">
      <c r="AK291" t="n">
        <v>278</v>
      </c>
      <c r="AL291">
        <f>IFERROR(IF(AU291&lt;($AM$6-$AL$6)/($AN$6-$AL$6),$AL$6+SQRT(AU291*($AN$6-$AL$6)*($AM$6-$AL$6)),$AN$6-SQRT((1-AU291)*($AN$6-$AL$6)*($AN$6-$AM$6))),$AM$6)</f>
        <v/>
      </c>
      <c r="AM291">
        <f>IFERROR(IF(AV291&lt;($AM$7-$AL$7)/($AN$7-$AL$7),$AL$7+SQRT(AV291*($AN$7-$AL$7)*($AM$7-$AL$7)),$AN$7-SQRT((1-AV291)*($AN$7-$AL$7)*($AN$7-$AM$7))),$AM$7)</f>
        <v/>
      </c>
      <c r="AN291">
        <f>IFERROR(IF(AW291&lt;($AM$8-$AL$8)/($AN$8-$AL$8),$AL$8+SQRT(AW291*($AN$8-$AL$8)*($AM$8-$AL$8)),$AN$8-SQRT((1-AW291)*($AN$8-$AL$8)*($AN$8-$AM$8))),$AM$8)</f>
        <v/>
      </c>
      <c r="AO291">
        <f>IFERROR(IF(AX291&lt;($AM$9-$AL$9)/($AN$9-$AL$9),$AL$9+SQRT(AX291*($AN$9-$AL$9)*($AM$9-$AL$9)),$AN$9-SQRT((1-AX291)*($AN$9-$AL$9)*($AN$9-$AM$9))),$AM$9)</f>
        <v/>
      </c>
      <c r="AP291">
        <f>IFERROR(IF(AY291&lt;($AM$10-$AL$10)/($AN$10-$AL$10),$AL$10+SQRT(AY291*($AN$10-$AL$10)*($AM$10-$AL$10)),$AN$10-SQRT((1-AY291)*($AN$10-$AL$10)*($AN$10-$AM$10))),$AM$10)</f>
        <v/>
      </c>
      <c r="AQ291">
        <f>IFERROR(IF(AZ291&lt;($AM$11-$AL$11)/($AN$11-$AL$11),$AL$11+SQRT(AZ291*($AN$11-$AL$11)*($AM$11-$AL$11)),$AN$11-SQRT((1-AZ291)*($AN$11-$AL$11)*($AN$11-$AM$11))),$AM$11)</f>
        <v/>
      </c>
      <c r="AR291">
        <f>SUMPRODUCT((B24:B31&lt;=$B$6)*(C24:C31*AM291+D24:D31*AO291*$B$8*AQ291)/(1+AL291/100)^B24:B31)+C32*AM291*AP291/(1+AL291/100)^$B$6</f>
        <v/>
      </c>
      <c r="AS291">
        <f>SUMPRODUCT((K24:K26&lt;=$B$6)*(L24:L26*AN291+M24:M26*AO291*$B$8*AQ291)/(1+AL291/100)^K24:K26)+L27*AN291*AP291/(1+AL291/100)^$B$6</f>
        <v/>
      </c>
      <c r="AT291">
        <f>AS291-AR291</f>
        <v/>
      </c>
      <c r="AU291">
        <f>RAND()</f>
        <v/>
      </c>
      <c r="AV291">
        <f>RAND()</f>
        <v/>
      </c>
      <c r="AW291">
        <f>RAND()</f>
        <v/>
      </c>
      <c r="AX291">
        <f>RAND()</f>
        <v/>
      </c>
      <c r="AY291">
        <f>RAND()</f>
        <v/>
      </c>
      <c r="AZ291">
        <f>RAND()</f>
        <v/>
      </c>
    </row>
    <row r="292">
      <c r="AK292" t="n">
        <v>279</v>
      </c>
      <c r="AL292">
        <f>IFERROR(IF(AU292&lt;($AM$6-$AL$6)/($AN$6-$AL$6),$AL$6+SQRT(AU292*($AN$6-$AL$6)*($AM$6-$AL$6)),$AN$6-SQRT((1-AU292)*($AN$6-$AL$6)*($AN$6-$AM$6))),$AM$6)</f>
        <v/>
      </c>
      <c r="AM292">
        <f>IFERROR(IF(AV292&lt;($AM$7-$AL$7)/($AN$7-$AL$7),$AL$7+SQRT(AV292*($AN$7-$AL$7)*($AM$7-$AL$7)),$AN$7-SQRT((1-AV292)*($AN$7-$AL$7)*($AN$7-$AM$7))),$AM$7)</f>
        <v/>
      </c>
      <c r="AN292">
        <f>IFERROR(IF(AW292&lt;($AM$8-$AL$8)/($AN$8-$AL$8),$AL$8+SQRT(AW292*($AN$8-$AL$8)*($AM$8-$AL$8)),$AN$8-SQRT((1-AW292)*($AN$8-$AL$8)*($AN$8-$AM$8))),$AM$8)</f>
        <v/>
      </c>
      <c r="AO292">
        <f>IFERROR(IF(AX292&lt;($AM$9-$AL$9)/($AN$9-$AL$9),$AL$9+SQRT(AX292*($AN$9-$AL$9)*($AM$9-$AL$9)),$AN$9-SQRT((1-AX292)*($AN$9-$AL$9)*($AN$9-$AM$9))),$AM$9)</f>
        <v/>
      </c>
      <c r="AP292">
        <f>IFERROR(IF(AY292&lt;($AM$10-$AL$10)/($AN$10-$AL$10),$AL$10+SQRT(AY292*($AN$10-$AL$10)*($AM$10-$AL$10)),$AN$10-SQRT((1-AY292)*($AN$10-$AL$10)*($AN$10-$AM$10))),$AM$10)</f>
        <v/>
      </c>
      <c r="AQ292">
        <f>IFERROR(IF(AZ292&lt;($AM$11-$AL$11)/($AN$11-$AL$11),$AL$11+SQRT(AZ292*($AN$11-$AL$11)*($AM$11-$AL$11)),$AN$11-SQRT((1-AZ292)*($AN$11-$AL$11)*($AN$11-$AM$11))),$AM$11)</f>
        <v/>
      </c>
      <c r="AR292">
        <f>SUMPRODUCT((B24:B31&lt;=$B$6)*(C24:C31*AM292+D24:D31*AO292*$B$8*AQ292)/(1+AL292/100)^B24:B31)+C32*AM292*AP292/(1+AL292/100)^$B$6</f>
        <v/>
      </c>
      <c r="AS292">
        <f>SUMPRODUCT((K24:K26&lt;=$B$6)*(L24:L26*AN292+M24:M26*AO292*$B$8*AQ292)/(1+AL292/100)^K24:K26)+L27*AN292*AP292/(1+AL292/100)^$B$6</f>
        <v/>
      </c>
      <c r="AT292">
        <f>AS292-AR292</f>
        <v/>
      </c>
      <c r="AU292">
        <f>RAND()</f>
        <v/>
      </c>
      <c r="AV292">
        <f>RAND()</f>
        <v/>
      </c>
      <c r="AW292">
        <f>RAND()</f>
        <v/>
      </c>
      <c r="AX292">
        <f>RAND()</f>
        <v/>
      </c>
      <c r="AY292">
        <f>RAND()</f>
        <v/>
      </c>
      <c r="AZ292">
        <f>RAND()</f>
        <v/>
      </c>
    </row>
    <row r="293">
      <c r="AK293" t="n">
        <v>280</v>
      </c>
      <c r="AL293">
        <f>IFERROR(IF(AU293&lt;($AM$6-$AL$6)/($AN$6-$AL$6),$AL$6+SQRT(AU293*($AN$6-$AL$6)*($AM$6-$AL$6)),$AN$6-SQRT((1-AU293)*($AN$6-$AL$6)*($AN$6-$AM$6))),$AM$6)</f>
        <v/>
      </c>
      <c r="AM293">
        <f>IFERROR(IF(AV293&lt;($AM$7-$AL$7)/($AN$7-$AL$7),$AL$7+SQRT(AV293*($AN$7-$AL$7)*($AM$7-$AL$7)),$AN$7-SQRT((1-AV293)*($AN$7-$AL$7)*($AN$7-$AM$7))),$AM$7)</f>
        <v/>
      </c>
      <c r="AN293">
        <f>IFERROR(IF(AW293&lt;($AM$8-$AL$8)/($AN$8-$AL$8),$AL$8+SQRT(AW293*($AN$8-$AL$8)*($AM$8-$AL$8)),$AN$8-SQRT((1-AW293)*($AN$8-$AL$8)*($AN$8-$AM$8))),$AM$8)</f>
        <v/>
      </c>
      <c r="AO293">
        <f>IFERROR(IF(AX293&lt;($AM$9-$AL$9)/($AN$9-$AL$9),$AL$9+SQRT(AX293*($AN$9-$AL$9)*($AM$9-$AL$9)),$AN$9-SQRT((1-AX293)*($AN$9-$AL$9)*($AN$9-$AM$9))),$AM$9)</f>
        <v/>
      </c>
      <c r="AP293">
        <f>IFERROR(IF(AY293&lt;($AM$10-$AL$10)/($AN$10-$AL$10),$AL$10+SQRT(AY293*($AN$10-$AL$10)*($AM$10-$AL$10)),$AN$10-SQRT((1-AY293)*($AN$10-$AL$10)*($AN$10-$AM$10))),$AM$10)</f>
        <v/>
      </c>
      <c r="AQ293">
        <f>IFERROR(IF(AZ293&lt;($AM$11-$AL$11)/($AN$11-$AL$11),$AL$11+SQRT(AZ293*($AN$11-$AL$11)*($AM$11-$AL$11)),$AN$11-SQRT((1-AZ293)*($AN$11-$AL$11)*($AN$11-$AM$11))),$AM$11)</f>
        <v/>
      </c>
      <c r="AR293">
        <f>SUMPRODUCT((B24:B31&lt;=$B$6)*(C24:C31*AM293+D24:D31*AO293*$B$8*AQ293)/(1+AL293/100)^B24:B31)+C32*AM293*AP293/(1+AL293/100)^$B$6</f>
        <v/>
      </c>
      <c r="AS293">
        <f>SUMPRODUCT((K24:K26&lt;=$B$6)*(L24:L26*AN293+M24:M26*AO293*$B$8*AQ293)/(1+AL293/100)^K24:K26)+L27*AN293*AP293/(1+AL293/100)^$B$6</f>
        <v/>
      </c>
      <c r="AT293">
        <f>AS293-AR293</f>
        <v/>
      </c>
      <c r="AU293">
        <f>RAND()</f>
        <v/>
      </c>
      <c r="AV293">
        <f>RAND()</f>
        <v/>
      </c>
      <c r="AW293">
        <f>RAND()</f>
        <v/>
      </c>
      <c r="AX293">
        <f>RAND()</f>
        <v/>
      </c>
      <c r="AY293">
        <f>RAND()</f>
        <v/>
      </c>
      <c r="AZ293">
        <f>RAND()</f>
        <v/>
      </c>
    </row>
    <row r="294">
      <c r="AK294" t="n">
        <v>281</v>
      </c>
      <c r="AL294">
        <f>IFERROR(IF(AU294&lt;($AM$6-$AL$6)/($AN$6-$AL$6),$AL$6+SQRT(AU294*($AN$6-$AL$6)*($AM$6-$AL$6)),$AN$6-SQRT((1-AU294)*($AN$6-$AL$6)*($AN$6-$AM$6))),$AM$6)</f>
        <v/>
      </c>
      <c r="AM294">
        <f>IFERROR(IF(AV294&lt;($AM$7-$AL$7)/($AN$7-$AL$7),$AL$7+SQRT(AV294*($AN$7-$AL$7)*($AM$7-$AL$7)),$AN$7-SQRT((1-AV294)*($AN$7-$AL$7)*($AN$7-$AM$7))),$AM$7)</f>
        <v/>
      </c>
      <c r="AN294">
        <f>IFERROR(IF(AW294&lt;($AM$8-$AL$8)/($AN$8-$AL$8),$AL$8+SQRT(AW294*($AN$8-$AL$8)*($AM$8-$AL$8)),$AN$8-SQRT((1-AW294)*($AN$8-$AL$8)*($AN$8-$AM$8))),$AM$8)</f>
        <v/>
      </c>
      <c r="AO294">
        <f>IFERROR(IF(AX294&lt;($AM$9-$AL$9)/($AN$9-$AL$9),$AL$9+SQRT(AX294*($AN$9-$AL$9)*($AM$9-$AL$9)),$AN$9-SQRT((1-AX294)*($AN$9-$AL$9)*($AN$9-$AM$9))),$AM$9)</f>
        <v/>
      </c>
      <c r="AP294">
        <f>IFERROR(IF(AY294&lt;($AM$10-$AL$10)/($AN$10-$AL$10),$AL$10+SQRT(AY294*($AN$10-$AL$10)*($AM$10-$AL$10)),$AN$10-SQRT((1-AY294)*($AN$10-$AL$10)*($AN$10-$AM$10))),$AM$10)</f>
        <v/>
      </c>
      <c r="AQ294">
        <f>IFERROR(IF(AZ294&lt;($AM$11-$AL$11)/($AN$11-$AL$11),$AL$11+SQRT(AZ294*($AN$11-$AL$11)*($AM$11-$AL$11)),$AN$11-SQRT((1-AZ294)*($AN$11-$AL$11)*($AN$11-$AM$11))),$AM$11)</f>
        <v/>
      </c>
      <c r="AR294">
        <f>SUMPRODUCT((B24:B31&lt;=$B$6)*(C24:C31*AM294+D24:D31*AO294*$B$8*AQ294)/(1+AL294/100)^B24:B31)+C32*AM294*AP294/(1+AL294/100)^$B$6</f>
        <v/>
      </c>
      <c r="AS294">
        <f>SUMPRODUCT((K24:K26&lt;=$B$6)*(L24:L26*AN294+M24:M26*AO294*$B$8*AQ294)/(1+AL294/100)^K24:K26)+L27*AN294*AP294/(1+AL294/100)^$B$6</f>
        <v/>
      </c>
      <c r="AT294">
        <f>AS294-AR294</f>
        <v/>
      </c>
      <c r="AU294">
        <f>RAND()</f>
        <v/>
      </c>
      <c r="AV294">
        <f>RAND()</f>
        <v/>
      </c>
      <c r="AW294">
        <f>RAND()</f>
        <v/>
      </c>
      <c r="AX294">
        <f>RAND()</f>
        <v/>
      </c>
      <c r="AY294">
        <f>RAND()</f>
        <v/>
      </c>
      <c r="AZ294">
        <f>RAND()</f>
        <v/>
      </c>
    </row>
    <row r="295">
      <c r="AK295" t="n">
        <v>282</v>
      </c>
      <c r="AL295">
        <f>IFERROR(IF(AU295&lt;($AM$6-$AL$6)/($AN$6-$AL$6),$AL$6+SQRT(AU295*($AN$6-$AL$6)*($AM$6-$AL$6)),$AN$6-SQRT((1-AU295)*($AN$6-$AL$6)*($AN$6-$AM$6))),$AM$6)</f>
        <v/>
      </c>
      <c r="AM295">
        <f>IFERROR(IF(AV295&lt;($AM$7-$AL$7)/($AN$7-$AL$7),$AL$7+SQRT(AV295*($AN$7-$AL$7)*($AM$7-$AL$7)),$AN$7-SQRT((1-AV295)*($AN$7-$AL$7)*($AN$7-$AM$7))),$AM$7)</f>
        <v/>
      </c>
      <c r="AN295">
        <f>IFERROR(IF(AW295&lt;($AM$8-$AL$8)/($AN$8-$AL$8),$AL$8+SQRT(AW295*($AN$8-$AL$8)*($AM$8-$AL$8)),$AN$8-SQRT((1-AW295)*($AN$8-$AL$8)*($AN$8-$AM$8))),$AM$8)</f>
        <v/>
      </c>
      <c r="AO295">
        <f>IFERROR(IF(AX295&lt;($AM$9-$AL$9)/($AN$9-$AL$9),$AL$9+SQRT(AX295*($AN$9-$AL$9)*($AM$9-$AL$9)),$AN$9-SQRT((1-AX295)*($AN$9-$AL$9)*($AN$9-$AM$9))),$AM$9)</f>
        <v/>
      </c>
      <c r="AP295">
        <f>IFERROR(IF(AY295&lt;($AM$10-$AL$10)/($AN$10-$AL$10),$AL$10+SQRT(AY295*($AN$10-$AL$10)*($AM$10-$AL$10)),$AN$10-SQRT((1-AY295)*($AN$10-$AL$10)*($AN$10-$AM$10))),$AM$10)</f>
        <v/>
      </c>
      <c r="AQ295">
        <f>IFERROR(IF(AZ295&lt;($AM$11-$AL$11)/($AN$11-$AL$11),$AL$11+SQRT(AZ295*($AN$11-$AL$11)*($AM$11-$AL$11)),$AN$11-SQRT((1-AZ295)*($AN$11-$AL$11)*($AN$11-$AM$11))),$AM$11)</f>
        <v/>
      </c>
      <c r="AR295">
        <f>SUMPRODUCT((B24:B31&lt;=$B$6)*(C24:C31*AM295+D24:D31*AO295*$B$8*AQ295)/(1+AL295/100)^B24:B31)+C32*AM295*AP295/(1+AL295/100)^$B$6</f>
        <v/>
      </c>
      <c r="AS295">
        <f>SUMPRODUCT((K24:K26&lt;=$B$6)*(L24:L26*AN295+M24:M26*AO295*$B$8*AQ295)/(1+AL295/100)^K24:K26)+L27*AN295*AP295/(1+AL295/100)^$B$6</f>
        <v/>
      </c>
      <c r="AT295">
        <f>AS295-AR295</f>
        <v/>
      </c>
      <c r="AU295">
        <f>RAND()</f>
        <v/>
      </c>
      <c r="AV295">
        <f>RAND()</f>
        <v/>
      </c>
      <c r="AW295">
        <f>RAND()</f>
        <v/>
      </c>
      <c r="AX295">
        <f>RAND()</f>
        <v/>
      </c>
      <c r="AY295">
        <f>RAND()</f>
        <v/>
      </c>
      <c r="AZ295">
        <f>RAND()</f>
        <v/>
      </c>
    </row>
    <row r="296">
      <c r="AK296" t="n">
        <v>283</v>
      </c>
      <c r="AL296">
        <f>IFERROR(IF(AU296&lt;($AM$6-$AL$6)/($AN$6-$AL$6),$AL$6+SQRT(AU296*($AN$6-$AL$6)*($AM$6-$AL$6)),$AN$6-SQRT((1-AU296)*($AN$6-$AL$6)*($AN$6-$AM$6))),$AM$6)</f>
        <v/>
      </c>
      <c r="AM296">
        <f>IFERROR(IF(AV296&lt;($AM$7-$AL$7)/($AN$7-$AL$7),$AL$7+SQRT(AV296*($AN$7-$AL$7)*($AM$7-$AL$7)),$AN$7-SQRT((1-AV296)*($AN$7-$AL$7)*($AN$7-$AM$7))),$AM$7)</f>
        <v/>
      </c>
      <c r="AN296">
        <f>IFERROR(IF(AW296&lt;($AM$8-$AL$8)/($AN$8-$AL$8),$AL$8+SQRT(AW296*($AN$8-$AL$8)*($AM$8-$AL$8)),$AN$8-SQRT((1-AW296)*($AN$8-$AL$8)*($AN$8-$AM$8))),$AM$8)</f>
        <v/>
      </c>
      <c r="AO296">
        <f>IFERROR(IF(AX296&lt;($AM$9-$AL$9)/($AN$9-$AL$9),$AL$9+SQRT(AX296*($AN$9-$AL$9)*($AM$9-$AL$9)),$AN$9-SQRT((1-AX296)*($AN$9-$AL$9)*($AN$9-$AM$9))),$AM$9)</f>
        <v/>
      </c>
      <c r="AP296">
        <f>IFERROR(IF(AY296&lt;($AM$10-$AL$10)/($AN$10-$AL$10),$AL$10+SQRT(AY296*($AN$10-$AL$10)*($AM$10-$AL$10)),$AN$10-SQRT((1-AY296)*($AN$10-$AL$10)*($AN$10-$AM$10))),$AM$10)</f>
        <v/>
      </c>
      <c r="AQ296">
        <f>IFERROR(IF(AZ296&lt;($AM$11-$AL$11)/($AN$11-$AL$11),$AL$11+SQRT(AZ296*($AN$11-$AL$11)*($AM$11-$AL$11)),$AN$11-SQRT((1-AZ296)*($AN$11-$AL$11)*($AN$11-$AM$11))),$AM$11)</f>
        <v/>
      </c>
      <c r="AR296">
        <f>SUMPRODUCT((B24:B31&lt;=$B$6)*(C24:C31*AM296+D24:D31*AO296*$B$8*AQ296)/(1+AL296/100)^B24:B31)+C32*AM296*AP296/(1+AL296/100)^$B$6</f>
        <v/>
      </c>
      <c r="AS296">
        <f>SUMPRODUCT((K24:K26&lt;=$B$6)*(L24:L26*AN296+M24:M26*AO296*$B$8*AQ296)/(1+AL296/100)^K24:K26)+L27*AN296*AP296/(1+AL296/100)^$B$6</f>
        <v/>
      </c>
      <c r="AT296">
        <f>AS296-AR296</f>
        <v/>
      </c>
      <c r="AU296">
        <f>RAND()</f>
        <v/>
      </c>
      <c r="AV296">
        <f>RAND()</f>
        <v/>
      </c>
      <c r="AW296">
        <f>RAND()</f>
        <v/>
      </c>
      <c r="AX296">
        <f>RAND()</f>
        <v/>
      </c>
      <c r="AY296">
        <f>RAND()</f>
        <v/>
      </c>
      <c r="AZ296">
        <f>RAND()</f>
        <v/>
      </c>
    </row>
    <row r="297">
      <c r="AK297" t="n">
        <v>284</v>
      </c>
      <c r="AL297">
        <f>IFERROR(IF(AU297&lt;($AM$6-$AL$6)/($AN$6-$AL$6),$AL$6+SQRT(AU297*($AN$6-$AL$6)*($AM$6-$AL$6)),$AN$6-SQRT((1-AU297)*($AN$6-$AL$6)*($AN$6-$AM$6))),$AM$6)</f>
        <v/>
      </c>
      <c r="AM297">
        <f>IFERROR(IF(AV297&lt;($AM$7-$AL$7)/($AN$7-$AL$7),$AL$7+SQRT(AV297*($AN$7-$AL$7)*($AM$7-$AL$7)),$AN$7-SQRT((1-AV297)*($AN$7-$AL$7)*($AN$7-$AM$7))),$AM$7)</f>
        <v/>
      </c>
      <c r="AN297">
        <f>IFERROR(IF(AW297&lt;($AM$8-$AL$8)/($AN$8-$AL$8),$AL$8+SQRT(AW297*($AN$8-$AL$8)*($AM$8-$AL$8)),$AN$8-SQRT((1-AW297)*($AN$8-$AL$8)*($AN$8-$AM$8))),$AM$8)</f>
        <v/>
      </c>
      <c r="AO297">
        <f>IFERROR(IF(AX297&lt;($AM$9-$AL$9)/($AN$9-$AL$9),$AL$9+SQRT(AX297*($AN$9-$AL$9)*($AM$9-$AL$9)),$AN$9-SQRT((1-AX297)*($AN$9-$AL$9)*($AN$9-$AM$9))),$AM$9)</f>
        <v/>
      </c>
      <c r="AP297">
        <f>IFERROR(IF(AY297&lt;($AM$10-$AL$10)/($AN$10-$AL$10),$AL$10+SQRT(AY297*($AN$10-$AL$10)*($AM$10-$AL$10)),$AN$10-SQRT((1-AY297)*($AN$10-$AL$10)*($AN$10-$AM$10))),$AM$10)</f>
        <v/>
      </c>
      <c r="AQ297">
        <f>IFERROR(IF(AZ297&lt;($AM$11-$AL$11)/($AN$11-$AL$11),$AL$11+SQRT(AZ297*($AN$11-$AL$11)*($AM$11-$AL$11)),$AN$11-SQRT((1-AZ297)*($AN$11-$AL$11)*($AN$11-$AM$11))),$AM$11)</f>
        <v/>
      </c>
      <c r="AR297">
        <f>SUMPRODUCT((B24:B31&lt;=$B$6)*(C24:C31*AM297+D24:D31*AO297*$B$8*AQ297)/(1+AL297/100)^B24:B31)+C32*AM297*AP297/(1+AL297/100)^$B$6</f>
        <v/>
      </c>
      <c r="AS297">
        <f>SUMPRODUCT((K24:K26&lt;=$B$6)*(L24:L26*AN297+M24:M26*AO297*$B$8*AQ297)/(1+AL297/100)^K24:K26)+L27*AN297*AP297/(1+AL297/100)^$B$6</f>
        <v/>
      </c>
      <c r="AT297">
        <f>AS297-AR297</f>
        <v/>
      </c>
      <c r="AU297">
        <f>RAND()</f>
        <v/>
      </c>
      <c r="AV297">
        <f>RAND()</f>
        <v/>
      </c>
      <c r="AW297">
        <f>RAND()</f>
        <v/>
      </c>
      <c r="AX297">
        <f>RAND()</f>
        <v/>
      </c>
      <c r="AY297">
        <f>RAND()</f>
        <v/>
      </c>
      <c r="AZ297">
        <f>RAND()</f>
        <v/>
      </c>
    </row>
    <row r="298">
      <c r="AK298" t="n">
        <v>285</v>
      </c>
      <c r="AL298">
        <f>IFERROR(IF(AU298&lt;($AM$6-$AL$6)/($AN$6-$AL$6),$AL$6+SQRT(AU298*($AN$6-$AL$6)*($AM$6-$AL$6)),$AN$6-SQRT((1-AU298)*($AN$6-$AL$6)*($AN$6-$AM$6))),$AM$6)</f>
        <v/>
      </c>
      <c r="AM298">
        <f>IFERROR(IF(AV298&lt;($AM$7-$AL$7)/($AN$7-$AL$7),$AL$7+SQRT(AV298*($AN$7-$AL$7)*($AM$7-$AL$7)),$AN$7-SQRT((1-AV298)*($AN$7-$AL$7)*($AN$7-$AM$7))),$AM$7)</f>
        <v/>
      </c>
      <c r="AN298">
        <f>IFERROR(IF(AW298&lt;($AM$8-$AL$8)/($AN$8-$AL$8),$AL$8+SQRT(AW298*($AN$8-$AL$8)*($AM$8-$AL$8)),$AN$8-SQRT((1-AW298)*($AN$8-$AL$8)*($AN$8-$AM$8))),$AM$8)</f>
        <v/>
      </c>
      <c r="AO298">
        <f>IFERROR(IF(AX298&lt;($AM$9-$AL$9)/($AN$9-$AL$9),$AL$9+SQRT(AX298*($AN$9-$AL$9)*($AM$9-$AL$9)),$AN$9-SQRT((1-AX298)*($AN$9-$AL$9)*($AN$9-$AM$9))),$AM$9)</f>
        <v/>
      </c>
      <c r="AP298">
        <f>IFERROR(IF(AY298&lt;($AM$10-$AL$10)/($AN$10-$AL$10),$AL$10+SQRT(AY298*($AN$10-$AL$10)*($AM$10-$AL$10)),$AN$10-SQRT((1-AY298)*($AN$10-$AL$10)*($AN$10-$AM$10))),$AM$10)</f>
        <v/>
      </c>
      <c r="AQ298">
        <f>IFERROR(IF(AZ298&lt;($AM$11-$AL$11)/($AN$11-$AL$11),$AL$11+SQRT(AZ298*($AN$11-$AL$11)*($AM$11-$AL$11)),$AN$11-SQRT((1-AZ298)*($AN$11-$AL$11)*($AN$11-$AM$11))),$AM$11)</f>
        <v/>
      </c>
      <c r="AR298">
        <f>SUMPRODUCT((B24:B31&lt;=$B$6)*(C24:C31*AM298+D24:D31*AO298*$B$8*AQ298)/(1+AL298/100)^B24:B31)+C32*AM298*AP298/(1+AL298/100)^$B$6</f>
        <v/>
      </c>
      <c r="AS298">
        <f>SUMPRODUCT((K24:K26&lt;=$B$6)*(L24:L26*AN298+M24:M26*AO298*$B$8*AQ298)/(1+AL298/100)^K24:K26)+L27*AN298*AP298/(1+AL298/100)^$B$6</f>
        <v/>
      </c>
      <c r="AT298">
        <f>AS298-AR298</f>
        <v/>
      </c>
      <c r="AU298">
        <f>RAND()</f>
        <v/>
      </c>
      <c r="AV298">
        <f>RAND()</f>
        <v/>
      </c>
      <c r="AW298">
        <f>RAND()</f>
        <v/>
      </c>
      <c r="AX298">
        <f>RAND()</f>
        <v/>
      </c>
      <c r="AY298">
        <f>RAND()</f>
        <v/>
      </c>
      <c r="AZ298">
        <f>RAND()</f>
        <v/>
      </c>
    </row>
    <row r="299">
      <c r="AK299" t="n">
        <v>286</v>
      </c>
      <c r="AL299">
        <f>IFERROR(IF(AU299&lt;($AM$6-$AL$6)/($AN$6-$AL$6),$AL$6+SQRT(AU299*($AN$6-$AL$6)*($AM$6-$AL$6)),$AN$6-SQRT((1-AU299)*($AN$6-$AL$6)*($AN$6-$AM$6))),$AM$6)</f>
        <v/>
      </c>
      <c r="AM299">
        <f>IFERROR(IF(AV299&lt;($AM$7-$AL$7)/($AN$7-$AL$7),$AL$7+SQRT(AV299*($AN$7-$AL$7)*($AM$7-$AL$7)),$AN$7-SQRT((1-AV299)*($AN$7-$AL$7)*($AN$7-$AM$7))),$AM$7)</f>
        <v/>
      </c>
      <c r="AN299">
        <f>IFERROR(IF(AW299&lt;($AM$8-$AL$8)/($AN$8-$AL$8),$AL$8+SQRT(AW299*($AN$8-$AL$8)*($AM$8-$AL$8)),$AN$8-SQRT((1-AW299)*($AN$8-$AL$8)*($AN$8-$AM$8))),$AM$8)</f>
        <v/>
      </c>
      <c r="AO299">
        <f>IFERROR(IF(AX299&lt;($AM$9-$AL$9)/($AN$9-$AL$9),$AL$9+SQRT(AX299*($AN$9-$AL$9)*($AM$9-$AL$9)),$AN$9-SQRT((1-AX299)*($AN$9-$AL$9)*($AN$9-$AM$9))),$AM$9)</f>
        <v/>
      </c>
      <c r="AP299">
        <f>IFERROR(IF(AY299&lt;($AM$10-$AL$10)/($AN$10-$AL$10),$AL$10+SQRT(AY299*($AN$10-$AL$10)*($AM$10-$AL$10)),$AN$10-SQRT((1-AY299)*($AN$10-$AL$10)*($AN$10-$AM$10))),$AM$10)</f>
        <v/>
      </c>
      <c r="AQ299">
        <f>IFERROR(IF(AZ299&lt;($AM$11-$AL$11)/($AN$11-$AL$11),$AL$11+SQRT(AZ299*($AN$11-$AL$11)*($AM$11-$AL$11)),$AN$11-SQRT((1-AZ299)*($AN$11-$AL$11)*($AN$11-$AM$11))),$AM$11)</f>
        <v/>
      </c>
      <c r="AR299">
        <f>SUMPRODUCT((B24:B31&lt;=$B$6)*(C24:C31*AM299+D24:D31*AO299*$B$8*AQ299)/(1+AL299/100)^B24:B31)+C32*AM299*AP299/(1+AL299/100)^$B$6</f>
        <v/>
      </c>
      <c r="AS299">
        <f>SUMPRODUCT((K24:K26&lt;=$B$6)*(L24:L26*AN299+M24:M26*AO299*$B$8*AQ299)/(1+AL299/100)^K24:K26)+L27*AN299*AP299/(1+AL299/100)^$B$6</f>
        <v/>
      </c>
      <c r="AT299">
        <f>AS299-AR299</f>
        <v/>
      </c>
      <c r="AU299">
        <f>RAND()</f>
        <v/>
      </c>
      <c r="AV299">
        <f>RAND()</f>
        <v/>
      </c>
      <c r="AW299">
        <f>RAND()</f>
        <v/>
      </c>
      <c r="AX299">
        <f>RAND()</f>
        <v/>
      </c>
      <c r="AY299">
        <f>RAND()</f>
        <v/>
      </c>
      <c r="AZ299">
        <f>RAND()</f>
        <v/>
      </c>
    </row>
    <row r="300">
      <c r="AK300" t="n">
        <v>287</v>
      </c>
      <c r="AL300">
        <f>IFERROR(IF(AU300&lt;($AM$6-$AL$6)/($AN$6-$AL$6),$AL$6+SQRT(AU300*($AN$6-$AL$6)*($AM$6-$AL$6)),$AN$6-SQRT((1-AU300)*($AN$6-$AL$6)*($AN$6-$AM$6))),$AM$6)</f>
        <v/>
      </c>
      <c r="AM300">
        <f>IFERROR(IF(AV300&lt;($AM$7-$AL$7)/($AN$7-$AL$7),$AL$7+SQRT(AV300*($AN$7-$AL$7)*($AM$7-$AL$7)),$AN$7-SQRT((1-AV300)*($AN$7-$AL$7)*($AN$7-$AM$7))),$AM$7)</f>
        <v/>
      </c>
      <c r="AN300">
        <f>IFERROR(IF(AW300&lt;($AM$8-$AL$8)/($AN$8-$AL$8),$AL$8+SQRT(AW300*($AN$8-$AL$8)*($AM$8-$AL$8)),$AN$8-SQRT((1-AW300)*($AN$8-$AL$8)*($AN$8-$AM$8))),$AM$8)</f>
        <v/>
      </c>
      <c r="AO300">
        <f>IFERROR(IF(AX300&lt;($AM$9-$AL$9)/($AN$9-$AL$9),$AL$9+SQRT(AX300*($AN$9-$AL$9)*($AM$9-$AL$9)),$AN$9-SQRT((1-AX300)*($AN$9-$AL$9)*($AN$9-$AM$9))),$AM$9)</f>
        <v/>
      </c>
      <c r="AP300">
        <f>IFERROR(IF(AY300&lt;($AM$10-$AL$10)/($AN$10-$AL$10),$AL$10+SQRT(AY300*($AN$10-$AL$10)*($AM$10-$AL$10)),$AN$10-SQRT((1-AY300)*($AN$10-$AL$10)*($AN$10-$AM$10))),$AM$10)</f>
        <v/>
      </c>
      <c r="AQ300">
        <f>IFERROR(IF(AZ300&lt;($AM$11-$AL$11)/($AN$11-$AL$11),$AL$11+SQRT(AZ300*($AN$11-$AL$11)*($AM$11-$AL$11)),$AN$11-SQRT((1-AZ300)*($AN$11-$AL$11)*($AN$11-$AM$11))),$AM$11)</f>
        <v/>
      </c>
      <c r="AR300">
        <f>SUMPRODUCT((B24:B31&lt;=$B$6)*(C24:C31*AM300+D24:D31*AO300*$B$8*AQ300)/(1+AL300/100)^B24:B31)+C32*AM300*AP300/(1+AL300/100)^$B$6</f>
        <v/>
      </c>
      <c r="AS300">
        <f>SUMPRODUCT((K24:K26&lt;=$B$6)*(L24:L26*AN300+M24:M26*AO300*$B$8*AQ300)/(1+AL300/100)^K24:K26)+L27*AN300*AP300/(1+AL300/100)^$B$6</f>
        <v/>
      </c>
      <c r="AT300">
        <f>AS300-AR300</f>
        <v/>
      </c>
      <c r="AU300">
        <f>RAND()</f>
        <v/>
      </c>
      <c r="AV300">
        <f>RAND()</f>
        <v/>
      </c>
      <c r="AW300">
        <f>RAND()</f>
        <v/>
      </c>
      <c r="AX300">
        <f>RAND()</f>
        <v/>
      </c>
      <c r="AY300">
        <f>RAND()</f>
        <v/>
      </c>
      <c r="AZ300">
        <f>RAND()</f>
        <v/>
      </c>
    </row>
    <row r="301">
      <c r="AK301" t="n">
        <v>288</v>
      </c>
      <c r="AL301">
        <f>IFERROR(IF(AU301&lt;($AM$6-$AL$6)/($AN$6-$AL$6),$AL$6+SQRT(AU301*($AN$6-$AL$6)*($AM$6-$AL$6)),$AN$6-SQRT((1-AU301)*($AN$6-$AL$6)*($AN$6-$AM$6))),$AM$6)</f>
        <v/>
      </c>
      <c r="AM301">
        <f>IFERROR(IF(AV301&lt;($AM$7-$AL$7)/($AN$7-$AL$7),$AL$7+SQRT(AV301*($AN$7-$AL$7)*($AM$7-$AL$7)),$AN$7-SQRT((1-AV301)*($AN$7-$AL$7)*($AN$7-$AM$7))),$AM$7)</f>
        <v/>
      </c>
      <c r="AN301">
        <f>IFERROR(IF(AW301&lt;($AM$8-$AL$8)/($AN$8-$AL$8),$AL$8+SQRT(AW301*($AN$8-$AL$8)*($AM$8-$AL$8)),$AN$8-SQRT((1-AW301)*($AN$8-$AL$8)*($AN$8-$AM$8))),$AM$8)</f>
        <v/>
      </c>
      <c r="AO301">
        <f>IFERROR(IF(AX301&lt;($AM$9-$AL$9)/($AN$9-$AL$9),$AL$9+SQRT(AX301*($AN$9-$AL$9)*($AM$9-$AL$9)),$AN$9-SQRT((1-AX301)*($AN$9-$AL$9)*($AN$9-$AM$9))),$AM$9)</f>
        <v/>
      </c>
      <c r="AP301">
        <f>IFERROR(IF(AY301&lt;($AM$10-$AL$10)/($AN$10-$AL$10),$AL$10+SQRT(AY301*($AN$10-$AL$10)*($AM$10-$AL$10)),$AN$10-SQRT((1-AY301)*($AN$10-$AL$10)*($AN$10-$AM$10))),$AM$10)</f>
        <v/>
      </c>
      <c r="AQ301">
        <f>IFERROR(IF(AZ301&lt;($AM$11-$AL$11)/($AN$11-$AL$11),$AL$11+SQRT(AZ301*($AN$11-$AL$11)*($AM$11-$AL$11)),$AN$11-SQRT((1-AZ301)*($AN$11-$AL$11)*($AN$11-$AM$11))),$AM$11)</f>
        <v/>
      </c>
      <c r="AR301">
        <f>SUMPRODUCT((B24:B31&lt;=$B$6)*(C24:C31*AM301+D24:D31*AO301*$B$8*AQ301)/(1+AL301/100)^B24:B31)+C32*AM301*AP301/(1+AL301/100)^$B$6</f>
        <v/>
      </c>
      <c r="AS301">
        <f>SUMPRODUCT((K24:K26&lt;=$B$6)*(L24:L26*AN301+M24:M26*AO301*$B$8*AQ301)/(1+AL301/100)^K24:K26)+L27*AN301*AP301/(1+AL301/100)^$B$6</f>
        <v/>
      </c>
      <c r="AT301">
        <f>AS301-AR301</f>
        <v/>
      </c>
      <c r="AU301">
        <f>RAND()</f>
        <v/>
      </c>
      <c r="AV301">
        <f>RAND()</f>
        <v/>
      </c>
      <c r="AW301">
        <f>RAND()</f>
        <v/>
      </c>
      <c r="AX301">
        <f>RAND()</f>
        <v/>
      </c>
      <c r="AY301">
        <f>RAND()</f>
        <v/>
      </c>
      <c r="AZ301">
        <f>RAND()</f>
        <v/>
      </c>
    </row>
    <row r="302">
      <c r="AK302" t="n">
        <v>289</v>
      </c>
      <c r="AL302">
        <f>IFERROR(IF(AU302&lt;($AM$6-$AL$6)/($AN$6-$AL$6),$AL$6+SQRT(AU302*($AN$6-$AL$6)*($AM$6-$AL$6)),$AN$6-SQRT((1-AU302)*($AN$6-$AL$6)*($AN$6-$AM$6))),$AM$6)</f>
        <v/>
      </c>
      <c r="AM302">
        <f>IFERROR(IF(AV302&lt;($AM$7-$AL$7)/($AN$7-$AL$7),$AL$7+SQRT(AV302*($AN$7-$AL$7)*($AM$7-$AL$7)),$AN$7-SQRT((1-AV302)*($AN$7-$AL$7)*($AN$7-$AM$7))),$AM$7)</f>
        <v/>
      </c>
      <c r="AN302">
        <f>IFERROR(IF(AW302&lt;($AM$8-$AL$8)/($AN$8-$AL$8),$AL$8+SQRT(AW302*($AN$8-$AL$8)*($AM$8-$AL$8)),$AN$8-SQRT((1-AW302)*($AN$8-$AL$8)*($AN$8-$AM$8))),$AM$8)</f>
        <v/>
      </c>
      <c r="AO302">
        <f>IFERROR(IF(AX302&lt;($AM$9-$AL$9)/($AN$9-$AL$9),$AL$9+SQRT(AX302*($AN$9-$AL$9)*($AM$9-$AL$9)),$AN$9-SQRT((1-AX302)*($AN$9-$AL$9)*($AN$9-$AM$9))),$AM$9)</f>
        <v/>
      </c>
      <c r="AP302">
        <f>IFERROR(IF(AY302&lt;($AM$10-$AL$10)/($AN$10-$AL$10),$AL$10+SQRT(AY302*($AN$10-$AL$10)*($AM$10-$AL$10)),$AN$10-SQRT((1-AY302)*($AN$10-$AL$10)*($AN$10-$AM$10))),$AM$10)</f>
        <v/>
      </c>
      <c r="AQ302">
        <f>IFERROR(IF(AZ302&lt;($AM$11-$AL$11)/($AN$11-$AL$11),$AL$11+SQRT(AZ302*($AN$11-$AL$11)*($AM$11-$AL$11)),$AN$11-SQRT((1-AZ302)*($AN$11-$AL$11)*($AN$11-$AM$11))),$AM$11)</f>
        <v/>
      </c>
      <c r="AR302">
        <f>SUMPRODUCT((B24:B31&lt;=$B$6)*(C24:C31*AM302+D24:D31*AO302*$B$8*AQ302)/(1+AL302/100)^B24:B31)+C32*AM302*AP302/(1+AL302/100)^$B$6</f>
        <v/>
      </c>
      <c r="AS302">
        <f>SUMPRODUCT((K24:K26&lt;=$B$6)*(L24:L26*AN302+M24:M26*AO302*$B$8*AQ302)/(1+AL302/100)^K24:K26)+L27*AN302*AP302/(1+AL302/100)^$B$6</f>
        <v/>
      </c>
      <c r="AT302">
        <f>AS302-AR302</f>
        <v/>
      </c>
      <c r="AU302">
        <f>RAND()</f>
        <v/>
      </c>
      <c r="AV302">
        <f>RAND()</f>
        <v/>
      </c>
      <c r="AW302">
        <f>RAND()</f>
        <v/>
      </c>
      <c r="AX302">
        <f>RAND()</f>
        <v/>
      </c>
      <c r="AY302">
        <f>RAND()</f>
        <v/>
      </c>
      <c r="AZ302">
        <f>RAND()</f>
        <v/>
      </c>
    </row>
    <row r="303">
      <c r="AK303" t="n">
        <v>290</v>
      </c>
      <c r="AL303">
        <f>IFERROR(IF(AU303&lt;($AM$6-$AL$6)/($AN$6-$AL$6),$AL$6+SQRT(AU303*($AN$6-$AL$6)*($AM$6-$AL$6)),$AN$6-SQRT((1-AU303)*($AN$6-$AL$6)*($AN$6-$AM$6))),$AM$6)</f>
        <v/>
      </c>
      <c r="AM303">
        <f>IFERROR(IF(AV303&lt;($AM$7-$AL$7)/($AN$7-$AL$7),$AL$7+SQRT(AV303*($AN$7-$AL$7)*($AM$7-$AL$7)),$AN$7-SQRT((1-AV303)*($AN$7-$AL$7)*($AN$7-$AM$7))),$AM$7)</f>
        <v/>
      </c>
      <c r="AN303">
        <f>IFERROR(IF(AW303&lt;($AM$8-$AL$8)/($AN$8-$AL$8),$AL$8+SQRT(AW303*($AN$8-$AL$8)*($AM$8-$AL$8)),$AN$8-SQRT((1-AW303)*($AN$8-$AL$8)*($AN$8-$AM$8))),$AM$8)</f>
        <v/>
      </c>
      <c r="AO303">
        <f>IFERROR(IF(AX303&lt;($AM$9-$AL$9)/($AN$9-$AL$9),$AL$9+SQRT(AX303*($AN$9-$AL$9)*($AM$9-$AL$9)),$AN$9-SQRT((1-AX303)*($AN$9-$AL$9)*($AN$9-$AM$9))),$AM$9)</f>
        <v/>
      </c>
      <c r="AP303">
        <f>IFERROR(IF(AY303&lt;($AM$10-$AL$10)/($AN$10-$AL$10),$AL$10+SQRT(AY303*($AN$10-$AL$10)*($AM$10-$AL$10)),$AN$10-SQRT((1-AY303)*($AN$10-$AL$10)*($AN$10-$AM$10))),$AM$10)</f>
        <v/>
      </c>
      <c r="AQ303">
        <f>IFERROR(IF(AZ303&lt;($AM$11-$AL$11)/($AN$11-$AL$11),$AL$11+SQRT(AZ303*($AN$11-$AL$11)*($AM$11-$AL$11)),$AN$11-SQRT((1-AZ303)*($AN$11-$AL$11)*($AN$11-$AM$11))),$AM$11)</f>
        <v/>
      </c>
      <c r="AR303">
        <f>SUMPRODUCT((B24:B31&lt;=$B$6)*(C24:C31*AM303+D24:D31*AO303*$B$8*AQ303)/(1+AL303/100)^B24:B31)+C32*AM303*AP303/(1+AL303/100)^$B$6</f>
        <v/>
      </c>
      <c r="AS303">
        <f>SUMPRODUCT((K24:K26&lt;=$B$6)*(L24:L26*AN303+M24:M26*AO303*$B$8*AQ303)/(1+AL303/100)^K24:K26)+L27*AN303*AP303/(1+AL303/100)^$B$6</f>
        <v/>
      </c>
      <c r="AT303">
        <f>AS303-AR303</f>
        <v/>
      </c>
      <c r="AU303">
        <f>RAND()</f>
        <v/>
      </c>
      <c r="AV303">
        <f>RAND()</f>
        <v/>
      </c>
      <c r="AW303">
        <f>RAND()</f>
        <v/>
      </c>
      <c r="AX303">
        <f>RAND()</f>
        <v/>
      </c>
      <c r="AY303">
        <f>RAND()</f>
        <v/>
      </c>
      <c r="AZ303">
        <f>RAND()</f>
        <v/>
      </c>
    </row>
    <row r="304">
      <c r="AK304" t="n">
        <v>291</v>
      </c>
      <c r="AL304">
        <f>IFERROR(IF(AU304&lt;($AM$6-$AL$6)/($AN$6-$AL$6),$AL$6+SQRT(AU304*($AN$6-$AL$6)*($AM$6-$AL$6)),$AN$6-SQRT((1-AU304)*($AN$6-$AL$6)*($AN$6-$AM$6))),$AM$6)</f>
        <v/>
      </c>
      <c r="AM304">
        <f>IFERROR(IF(AV304&lt;($AM$7-$AL$7)/($AN$7-$AL$7),$AL$7+SQRT(AV304*($AN$7-$AL$7)*($AM$7-$AL$7)),$AN$7-SQRT((1-AV304)*($AN$7-$AL$7)*($AN$7-$AM$7))),$AM$7)</f>
        <v/>
      </c>
      <c r="AN304">
        <f>IFERROR(IF(AW304&lt;($AM$8-$AL$8)/($AN$8-$AL$8),$AL$8+SQRT(AW304*($AN$8-$AL$8)*($AM$8-$AL$8)),$AN$8-SQRT((1-AW304)*($AN$8-$AL$8)*($AN$8-$AM$8))),$AM$8)</f>
        <v/>
      </c>
      <c r="AO304">
        <f>IFERROR(IF(AX304&lt;($AM$9-$AL$9)/($AN$9-$AL$9),$AL$9+SQRT(AX304*($AN$9-$AL$9)*($AM$9-$AL$9)),$AN$9-SQRT((1-AX304)*($AN$9-$AL$9)*($AN$9-$AM$9))),$AM$9)</f>
        <v/>
      </c>
      <c r="AP304">
        <f>IFERROR(IF(AY304&lt;($AM$10-$AL$10)/($AN$10-$AL$10),$AL$10+SQRT(AY304*($AN$10-$AL$10)*($AM$10-$AL$10)),$AN$10-SQRT((1-AY304)*($AN$10-$AL$10)*($AN$10-$AM$10))),$AM$10)</f>
        <v/>
      </c>
      <c r="AQ304">
        <f>IFERROR(IF(AZ304&lt;($AM$11-$AL$11)/($AN$11-$AL$11),$AL$11+SQRT(AZ304*($AN$11-$AL$11)*($AM$11-$AL$11)),$AN$11-SQRT((1-AZ304)*($AN$11-$AL$11)*($AN$11-$AM$11))),$AM$11)</f>
        <v/>
      </c>
      <c r="AR304">
        <f>SUMPRODUCT((B24:B31&lt;=$B$6)*(C24:C31*AM304+D24:D31*AO304*$B$8*AQ304)/(1+AL304/100)^B24:B31)+C32*AM304*AP304/(1+AL304/100)^$B$6</f>
        <v/>
      </c>
      <c r="AS304">
        <f>SUMPRODUCT((K24:K26&lt;=$B$6)*(L24:L26*AN304+M24:M26*AO304*$B$8*AQ304)/(1+AL304/100)^K24:K26)+L27*AN304*AP304/(1+AL304/100)^$B$6</f>
        <v/>
      </c>
      <c r="AT304">
        <f>AS304-AR304</f>
        <v/>
      </c>
      <c r="AU304">
        <f>RAND()</f>
        <v/>
      </c>
      <c r="AV304">
        <f>RAND()</f>
        <v/>
      </c>
      <c r="AW304">
        <f>RAND()</f>
        <v/>
      </c>
      <c r="AX304">
        <f>RAND()</f>
        <v/>
      </c>
      <c r="AY304">
        <f>RAND()</f>
        <v/>
      </c>
      <c r="AZ304">
        <f>RAND()</f>
        <v/>
      </c>
    </row>
    <row r="305">
      <c r="AK305" t="n">
        <v>292</v>
      </c>
      <c r="AL305">
        <f>IFERROR(IF(AU305&lt;($AM$6-$AL$6)/($AN$6-$AL$6),$AL$6+SQRT(AU305*($AN$6-$AL$6)*($AM$6-$AL$6)),$AN$6-SQRT((1-AU305)*($AN$6-$AL$6)*($AN$6-$AM$6))),$AM$6)</f>
        <v/>
      </c>
      <c r="AM305">
        <f>IFERROR(IF(AV305&lt;($AM$7-$AL$7)/($AN$7-$AL$7),$AL$7+SQRT(AV305*($AN$7-$AL$7)*($AM$7-$AL$7)),$AN$7-SQRT((1-AV305)*($AN$7-$AL$7)*($AN$7-$AM$7))),$AM$7)</f>
        <v/>
      </c>
      <c r="AN305">
        <f>IFERROR(IF(AW305&lt;($AM$8-$AL$8)/($AN$8-$AL$8),$AL$8+SQRT(AW305*($AN$8-$AL$8)*($AM$8-$AL$8)),$AN$8-SQRT((1-AW305)*($AN$8-$AL$8)*($AN$8-$AM$8))),$AM$8)</f>
        <v/>
      </c>
      <c r="AO305">
        <f>IFERROR(IF(AX305&lt;($AM$9-$AL$9)/($AN$9-$AL$9),$AL$9+SQRT(AX305*($AN$9-$AL$9)*($AM$9-$AL$9)),$AN$9-SQRT((1-AX305)*($AN$9-$AL$9)*($AN$9-$AM$9))),$AM$9)</f>
        <v/>
      </c>
      <c r="AP305">
        <f>IFERROR(IF(AY305&lt;($AM$10-$AL$10)/($AN$10-$AL$10),$AL$10+SQRT(AY305*($AN$10-$AL$10)*($AM$10-$AL$10)),$AN$10-SQRT((1-AY305)*($AN$10-$AL$10)*($AN$10-$AM$10))),$AM$10)</f>
        <v/>
      </c>
      <c r="AQ305">
        <f>IFERROR(IF(AZ305&lt;($AM$11-$AL$11)/($AN$11-$AL$11),$AL$11+SQRT(AZ305*($AN$11-$AL$11)*($AM$11-$AL$11)),$AN$11-SQRT((1-AZ305)*($AN$11-$AL$11)*($AN$11-$AM$11))),$AM$11)</f>
        <v/>
      </c>
      <c r="AR305">
        <f>SUMPRODUCT((B24:B31&lt;=$B$6)*(C24:C31*AM305+D24:D31*AO305*$B$8*AQ305)/(1+AL305/100)^B24:B31)+C32*AM305*AP305/(1+AL305/100)^$B$6</f>
        <v/>
      </c>
      <c r="AS305">
        <f>SUMPRODUCT((K24:K26&lt;=$B$6)*(L24:L26*AN305+M24:M26*AO305*$B$8*AQ305)/(1+AL305/100)^K24:K26)+L27*AN305*AP305/(1+AL305/100)^$B$6</f>
        <v/>
      </c>
      <c r="AT305">
        <f>AS305-AR305</f>
        <v/>
      </c>
      <c r="AU305">
        <f>RAND()</f>
        <v/>
      </c>
      <c r="AV305">
        <f>RAND()</f>
        <v/>
      </c>
      <c r="AW305">
        <f>RAND()</f>
        <v/>
      </c>
      <c r="AX305">
        <f>RAND()</f>
        <v/>
      </c>
      <c r="AY305">
        <f>RAND()</f>
        <v/>
      </c>
      <c r="AZ305">
        <f>RAND()</f>
        <v/>
      </c>
    </row>
    <row r="306">
      <c r="AK306" t="n">
        <v>293</v>
      </c>
      <c r="AL306">
        <f>IFERROR(IF(AU306&lt;($AM$6-$AL$6)/($AN$6-$AL$6),$AL$6+SQRT(AU306*($AN$6-$AL$6)*($AM$6-$AL$6)),$AN$6-SQRT((1-AU306)*($AN$6-$AL$6)*($AN$6-$AM$6))),$AM$6)</f>
        <v/>
      </c>
      <c r="AM306">
        <f>IFERROR(IF(AV306&lt;($AM$7-$AL$7)/($AN$7-$AL$7),$AL$7+SQRT(AV306*($AN$7-$AL$7)*($AM$7-$AL$7)),$AN$7-SQRT((1-AV306)*($AN$7-$AL$7)*($AN$7-$AM$7))),$AM$7)</f>
        <v/>
      </c>
      <c r="AN306">
        <f>IFERROR(IF(AW306&lt;($AM$8-$AL$8)/($AN$8-$AL$8),$AL$8+SQRT(AW306*($AN$8-$AL$8)*($AM$8-$AL$8)),$AN$8-SQRT((1-AW306)*($AN$8-$AL$8)*($AN$8-$AM$8))),$AM$8)</f>
        <v/>
      </c>
      <c r="AO306">
        <f>IFERROR(IF(AX306&lt;($AM$9-$AL$9)/($AN$9-$AL$9),$AL$9+SQRT(AX306*($AN$9-$AL$9)*($AM$9-$AL$9)),$AN$9-SQRT((1-AX306)*($AN$9-$AL$9)*($AN$9-$AM$9))),$AM$9)</f>
        <v/>
      </c>
      <c r="AP306">
        <f>IFERROR(IF(AY306&lt;($AM$10-$AL$10)/($AN$10-$AL$10),$AL$10+SQRT(AY306*($AN$10-$AL$10)*($AM$10-$AL$10)),$AN$10-SQRT((1-AY306)*($AN$10-$AL$10)*($AN$10-$AM$10))),$AM$10)</f>
        <v/>
      </c>
      <c r="AQ306">
        <f>IFERROR(IF(AZ306&lt;($AM$11-$AL$11)/($AN$11-$AL$11),$AL$11+SQRT(AZ306*($AN$11-$AL$11)*($AM$11-$AL$11)),$AN$11-SQRT((1-AZ306)*($AN$11-$AL$11)*($AN$11-$AM$11))),$AM$11)</f>
        <v/>
      </c>
      <c r="AR306">
        <f>SUMPRODUCT((B24:B31&lt;=$B$6)*(C24:C31*AM306+D24:D31*AO306*$B$8*AQ306)/(1+AL306/100)^B24:B31)+C32*AM306*AP306/(1+AL306/100)^$B$6</f>
        <v/>
      </c>
      <c r="AS306">
        <f>SUMPRODUCT((K24:K26&lt;=$B$6)*(L24:L26*AN306+M24:M26*AO306*$B$8*AQ306)/(1+AL306/100)^K24:K26)+L27*AN306*AP306/(1+AL306/100)^$B$6</f>
        <v/>
      </c>
      <c r="AT306">
        <f>AS306-AR306</f>
        <v/>
      </c>
      <c r="AU306">
        <f>RAND()</f>
        <v/>
      </c>
      <c r="AV306">
        <f>RAND()</f>
        <v/>
      </c>
      <c r="AW306">
        <f>RAND()</f>
        <v/>
      </c>
      <c r="AX306">
        <f>RAND()</f>
        <v/>
      </c>
      <c r="AY306">
        <f>RAND()</f>
        <v/>
      </c>
      <c r="AZ306">
        <f>RAND()</f>
        <v/>
      </c>
    </row>
    <row r="307">
      <c r="AK307" t="n">
        <v>294</v>
      </c>
      <c r="AL307">
        <f>IFERROR(IF(AU307&lt;($AM$6-$AL$6)/($AN$6-$AL$6),$AL$6+SQRT(AU307*($AN$6-$AL$6)*($AM$6-$AL$6)),$AN$6-SQRT((1-AU307)*($AN$6-$AL$6)*($AN$6-$AM$6))),$AM$6)</f>
        <v/>
      </c>
      <c r="AM307">
        <f>IFERROR(IF(AV307&lt;($AM$7-$AL$7)/($AN$7-$AL$7),$AL$7+SQRT(AV307*($AN$7-$AL$7)*($AM$7-$AL$7)),$AN$7-SQRT((1-AV307)*($AN$7-$AL$7)*($AN$7-$AM$7))),$AM$7)</f>
        <v/>
      </c>
      <c r="AN307">
        <f>IFERROR(IF(AW307&lt;($AM$8-$AL$8)/($AN$8-$AL$8),$AL$8+SQRT(AW307*($AN$8-$AL$8)*($AM$8-$AL$8)),$AN$8-SQRT((1-AW307)*($AN$8-$AL$8)*($AN$8-$AM$8))),$AM$8)</f>
        <v/>
      </c>
      <c r="AO307">
        <f>IFERROR(IF(AX307&lt;($AM$9-$AL$9)/($AN$9-$AL$9),$AL$9+SQRT(AX307*($AN$9-$AL$9)*($AM$9-$AL$9)),$AN$9-SQRT((1-AX307)*($AN$9-$AL$9)*($AN$9-$AM$9))),$AM$9)</f>
        <v/>
      </c>
      <c r="AP307">
        <f>IFERROR(IF(AY307&lt;($AM$10-$AL$10)/($AN$10-$AL$10),$AL$10+SQRT(AY307*($AN$10-$AL$10)*($AM$10-$AL$10)),$AN$10-SQRT((1-AY307)*($AN$10-$AL$10)*($AN$10-$AM$10))),$AM$10)</f>
        <v/>
      </c>
      <c r="AQ307">
        <f>IFERROR(IF(AZ307&lt;($AM$11-$AL$11)/($AN$11-$AL$11),$AL$11+SQRT(AZ307*($AN$11-$AL$11)*($AM$11-$AL$11)),$AN$11-SQRT((1-AZ307)*($AN$11-$AL$11)*($AN$11-$AM$11))),$AM$11)</f>
        <v/>
      </c>
      <c r="AR307">
        <f>SUMPRODUCT((B24:B31&lt;=$B$6)*(C24:C31*AM307+D24:D31*AO307*$B$8*AQ307)/(1+AL307/100)^B24:B31)+C32*AM307*AP307/(1+AL307/100)^$B$6</f>
        <v/>
      </c>
      <c r="AS307">
        <f>SUMPRODUCT((K24:K26&lt;=$B$6)*(L24:L26*AN307+M24:M26*AO307*$B$8*AQ307)/(1+AL307/100)^K24:K26)+L27*AN307*AP307/(1+AL307/100)^$B$6</f>
        <v/>
      </c>
      <c r="AT307">
        <f>AS307-AR307</f>
        <v/>
      </c>
      <c r="AU307">
        <f>RAND()</f>
        <v/>
      </c>
      <c r="AV307">
        <f>RAND()</f>
        <v/>
      </c>
      <c r="AW307">
        <f>RAND()</f>
        <v/>
      </c>
      <c r="AX307">
        <f>RAND()</f>
        <v/>
      </c>
      <c r="AY307">
        <f>RAND()</f>
        <v/>
      </c>
      <c r="AZ307">
        <f>RAND()</f>
        <v/>
      </c>
    </row>
    <row r="308">
      <c r="AK308" t="n">
        <v>295</v>
      </c>
      <c r="AL308">
        <f>IFERROR(IF(AU308&lt;($AM$6-$AL$6)/($AN$6-$AL$6),$AL$6+SQRT(AU308*($AN$6-$AL$6)*($AM$6-$AL$6)),$AN$6-SQRT((1-AU308)*($AN$6-$AL$6)*($AN$6-$AM$6))),$AM$6)</f>
        <v/>
      </c>
      <c r="AM308">
        <f>IFERROR(IF(AV308&lt;($AM$7-$AL$7)/($AN$7-$AL$7),$AL$7+SQRT(AV308*($AN$7-$AL$7)*($AM$7-$AL$7)),$AN$7-SQRT((1-AV308)*($AN$7-$AL$7)*($AN$7-$AM$7))),$AM$7)</f>
        <v/>
      </c>
      <c r="AN308">
        <f>IFERROR(IF(AW308&lt;($AM$8-$AL$8)/($AN$8-$AL$8),$AL$8+SQRT(AW308*($AN$8-$AL$8)*($AM$8-$AL$8)),$AN$8-SQRT((1-AW308)*($AN$8-$AL$8)*($AN$8-$AM$8))),$AM$8)</f>
        <v/>
      </c>
      <c r="AO308">
        <f>IFERROR(IF(AX308&lt;($AM$9-$AL$9)/($AN$9-$AL$9),$AL$9+SQRT(AX308*($AN$9-$AL$9)*($AM$9-$AL$9)),$AN$9-SQRT((1-AX308)*($AN$9-$AL$9)*($AN$9-$AM$9))),$AM$9)</f>
        <v/>
      </c>
      <c r="AP308">
        <f>IFERROR(IF(AY308&lt;($AM$10-$AL$10)/($AN$10-$AL$10),$AL$10+SQRT(AY308*($AN$10-$AL$10)*($AM$10-$AL$10)),$AN$10-SQRT((1-AY308)*($AN$10-$AL$10)*($AN$10-$AM$10))),$AM$10)</f>
        <v/>
      </c>
      <c r="AQ308">
        <f>IFERROR(IF(AZ308&lt;($AM$11-$AL$11)/($AN$11-$AL$11),$AL$11+SQRT(AZ308*($AN$11-$AL$11)*($AM$11-$AL$11)),$AN$11-SQRT((1-AZ308)*($AN$11-$AL$11)*($AN$11-$AM$11))),$AM$11)</f>
        <v/>
      </c>
      <c r="AR308">
        <f>SUMPRODUCT((B24:B31&lt;=$B$6)*(C24:C31*AM308+D24:D31*AO308*$B$8*AQ308)/(1+AL308/100)^B24:B31)+C32*AM308*AP308/(1+AL308/100)^$B$6</f>
        <v/>
      </c>
      <c r="AS308">
        <f>SUMPRODUCT((K24:K26&lt;=$B$6)*(L24:L26*AN308+M24:M26*AO308*$B$8*AQ308)/(1+AL308/100)^K24:K26)+L27*AN308*AP308/(1+AL308/100)^$B$6</f>
        <v/>
      </c>
      <c r="AT308">
        <f>AS308-AR308</f>
        <v/>
      </c>
      <c r="AU308">
        <f>RAND()</f>
        <v/>
      </c>
      <c r="AV308">
        <f>RAND()</f>
        <v/>
      </c>
      <c r="AW308">
        <f>RAND()</f>
        <v/>
      </c>
      <c r="AX308">
        <f>RAND()</f>
        <v/>
      </c>
      <c r="AY308">
        <f>RAND()</f>
        <v/>
      </c>
      <c r="AZ308">
        <f>RAND()</f>
        <v/>
      </c>
    </row>
    <row r="309">
      <c r="AK309" t="n">
        <v>296</v>
      </c>
      <c r="AL309">
        <f>IFERROR(IF(AU309&lt;($AM$6-$AL$6)/($AN$6-$AL$6),$AL$6+SQRT(AU309*($AN$6-$AL$6)*($AM$6-$AL$6)),$AN$6-SQRT((1-AU309)*($AN$6-$AL$6)*($AN$6-$AM$6))),$AM$6)</f>
        <v/>
      </c>
      <c r="AM309">
        <f>IFERROR(IF(AV309&lt;($AM$7-$AL$7)/($AN$7-$AL$7),$AL$7+SQRT(AV309*($AN$7-$AL$7)*($AM$7-$AL$7)),$AN$7-SQRT((1-AV309)*($AN$7-$AL$7)*($AN$7-$AM$7))),$AM$7)</f>
        <v/>
      </c>
      <c r="AN309">
        <f>IFERROR(IF(AW309&lt;($AM$8-$AL$8)/($AN$8-$AL$8),$AL$8+SQRT(AW309*($AN$8-$AL$8)*($AM$8-$AL$8)),$AN$8-SQRT((1-AW309)*($AN$8-$AL$8)*($AN$8-$AM$8))),$AM$8)</f>
        <v/>
      </c>
      <c r="AO309">
        <f>IFERROR(IF(AX309&lt;($AM$9-$AL$9)/($AN$9-$AL$9),$AL$9+SQRT(AX309*($AN$9-$AL$9)*($AM$9-$AL$9)),$AN$9-SQRT((1-AX309)*($AN$9-$AL$9)*($AN$9-$AM$9))),$AM$9)</f>
        <v/>
      </c>
      <c r="AP309">
        <f>IFERROR(IF(AY309&lt;($AM$10-$AL$10)/($AN$10-$AL$10),$AL$10+SQRT(AY309*($AN$10-$AL$10)*($AM$10-$AL$10)),$AN$10-SQRT((1-AY309)*($AN$10-$AL$10)*($AN$10-$AM$10))),$AM$10)</f>
        <v/>
      </c>
      <c r="AQ309">
        <f>IFERROR(IF(AZ309&lt;($AM$11-$AL$11)/($AN$11-$AL$11),$AL$11+SQRT(AZ309*($AN$11-$AL$11)*($AM$11-$AL$11)),$AN$11-SQRT((1-AZ309)*($AN$11-$AL$11)*($AN$11-$AM$11))),$AM$11)</f>
        <v/>
      </c>
      <c r="AR309">
        <f>SUMPRODUCT((B24:B31&lt;=$B$6)*(C24:C31*AM309+D24:D31*AO309*$B$8*AQ309)/(1+AL309/100)^B24:B31)+C32*AM309*AP309/(1+AL309/100)^$B$6</f>
        <v/>
      </c>
      <c r="AS309">
        <f>SUMPRODUCT((K24:K26&lt;=$B$6)*(L24:L26*AN309+M24:M26*AO309*$B$8*AQ309)/(1+AL309/100)^K24:K26)+L27*AN309*AP309/(1+AL309/100)^$B$6</f>
        <v/>
      </c>
      <c r="AT309">
        <f>AS309-AR309</f>
        <v/>
      </c>
      <c r="AU309">
        <f>RAND()</f>
        <v/>
      </c>
      <c r="AV309">
        <f>RAND()</f>
        <v/>
      </c>
      <c r="AW309">
        <f>RAND()</f>
        <v/>
      </c>
      <c r="AX309">
        <f>RAND()</f>
        <v/>
      </c>
      <c r="AY309">
        <f>RAND()</f>
        <v/>
      </c>
      <c r="AZ309">
        <f>RAND()</f>
        <v/>
      </c>
    </row>
    <row r="310">
      <c r="AK310" t="n">
        <v>297</v>
      </c>
      <c r="AL310">
        <f>IFERROR(IF(AU310&lt;($AM$6-$AL$6)/($AN$6-$AL$6),$AL$6+SQRT(AU310*($AN$6-$AL$6)*($AM$6-$AL$6)),$AN$6-SQRT((1-AU310)*($AN$6-$AL$6)*($AN$6-$AM$6))),$AM$6)</f>
        <v/>
      </c>
      <c r="AM310">
        <f>IFERROR(IF(AV310&lt;($AM$7-$AL$7)/($AN$7-$AL$7),$AL$7+SQRT(AV310*($AN$7-$AL$7)*($AM$7-$AL$7)),$AN$7-SQRT((1-AV310)*($AN$7-$AL$7)*($AN$7-$AM$7))),$AM$7)</f>
        <v/>
      </c>
      <c r="AN310">
        <f>IFERROR(IF(AW310&lt;($AM$8-$AL$8)/($AN$8-$AL$8),$AL$8+SQRT(AW310*($AN$8-$AL$8)*($AM$8-$AL$8)),$AN$8-SQRT((1-AW310)*($AN$8-$AL$8)*($AN$8-$AM$8))),$AM$8)</f>
        <v/>
      </c>
      <c r="AO310">
        <f>IFERROR(IF(AX310&lt;($AM$9-$AL$9)/($AN$9-$AL$9),$AL$9+SQRT(AX310*($AN$9-$AL$9)*($AM$9-$AL$9)),$AN$9-SQRT((1-AX310)*($AN$9-$AL$9)*($AN$9-$AM$9))),$AM$9)</f>
        <v/>
      </c>
      <c r="AP310">
        <f>IFERROR(IF(AY310&lt;($AM$10-$AL$10)/($AN$10-$AL$10),$AL$10+SQRT(AY310*($AN$10-$AL$10)*($AM$10-$AL$10)),$AN$10-SQRT((1-AY310)*($AN$10-$AL$10)*($AN$10-$AM$10))),$AM$10)</f>
        <v/>
      </c>
      <c r="AQ310">
        <f>IFERROR(IF(AZ310&lt;($AM$11-$AL$11)/($AN$11-$AL$11),$AL$11+SQRT(AZ310*($AN$11-$AL$11)*($AM$11-$AL$11)),$AN$11-SQRT((1-AZ310)*($AN$11-$AL$11)*($AN$11-$AM$11))),$AM$11)</f>
        <v/>
      </c>
      <c r="AR310">
        <f>SUMPRODUCT((B24:B31&lt;=$B$6)*(C24:C31*AM310+D24:D31*AO310*$B$8*AQ310)/(1+AL310/100)^B24:B31)+C32*AM310*AP310/(1+AL310/100)^$B$6</f>
        <v/>
      </c>
      <c r="AS310">
        <f>SUMPRODUCT((K24:K26&lt;=$B$6)*(L24:L26*AN310+M24:M26*AO310*$B$8*AQ310)/(1+AL310/100)^K24:K26)+L27*AN310*AP310/(1+AL310/100)^$B$6</f>
        <v/>
      </c>
      <c r="AT310">
        <f>AS310-AR310</f>
        <v/>
      </c>
      <c r="AU310">
        <f>RAND()</f>
        <v/>
      </c>
      <c r="AV310">
        <f>RAND()</f>
        <v/>
      </c>
      <c r="AW310">
        <f>RAND()</f>
        <v/>
      </c>
      <c r="AX310">
        <f>RAND()</f>
        <v/>
      </c>
      <c r="AY310">
        <f>RAND()</f>
        <v/>
      </c>
      <c r="AZ310">
        <f>RAND()</f>
        <v/>
      </c>
    </row>
    <row r="311">
      <c r="AK311" t="n">
        <v>298</v>
      </c>
      <c r="AL311">
        <f>IFERROR(IF(AU311&lt;($AM$6-$AL$6)/($AN$6-$AL$6),$AL$6+SQRT(AU311*($AN$6-$AL$6)*($AM$6-$AL$6)),$AN$6-SQRT((1-AU311)*($AN$6-$AL$6)*($AN$6-$AM$6))),$AM$6)</f>
        <v/>
      </c>
      <c r="AM311">
        <f>IFERROR(IF(AV311&lt;($AM$7-$AL$7)/($AN$7-$AL$7),$AL$7+SQRT(AV311*($AN$7-$AL$7)*($AM$7-$AL$7)),$AN$7-SQRT((1-AV311)*($AN$7-$AL$7)*($AN$7-$AM$7))),$AM$7)</f>
        <v/>
      </c>
      <c r="AN311">
        <f>IFERROR(IF(AW311&lt;($AM$8-$AL$8)/($AN$8-$AL$8),$AL$8+SQRT(AW311*($AN$8-$AL$8)*($AM$8-$AL$8)),$AN$8-SQRT((1-AW311)*($AN$8-$AL$8)*($AN$8-$AM$8))),$AM$8)</f>
        <v/>
      </c>
      <c r="AO311">
        <f>IFERROR(IF(AX311&lt;($AM$9-$AL$9)/($AN$9-$AL$9),$AL$9+SQRT(AX311*($AN$9-$AL$9)*($AM$9-$AL$9)),$AN$9-SQRT((1-AX311)*($AN$9-$AL$9)*($AN$9-$AM$9))),$AM$9)</f>
        <v/>
      </c>
      <c r="AP311">
        <f>IFERROR(IF(AY311&lt;($AM$10-$AL$10)/($AN$10-$AL$10),$AL$10+SQRT(AY311*($AN$10-$AL$10)*($AM$10-$AL$10)),$AN$10-SQRT((1-AY311)*($AN$10-$AL$10)*($AN$10-$AM$10))),$AM$10)</f>
        <v/>
      </c>
      <c r="AQ311">
        <f>IFERROR(IF(AZ311&lt;($AM$11-$AL$11)/($AN$11-$AL$11),$AL$11+SQRT(AZ311*($AN$11-$AL$11)*($AM$11-$AL$11)),$AN$11-SQRT((1-AZ311)*($AN$11-$AL$11)*($AN$11-$AM$11))),$AM$11)</f>
        <v/>
      </c>
      <c r="AR311">
        <f>SUMPRODUCT((B24:B31&lt;=$B$6)*(C24:C31*AM311+D24:D31*AO311*$B$8*AQ311)/(1+AL311/100)^B24:B31)+C32*AM311*AP311/(1+AL311/100)^$B$6</f>
        <v/>
      </c>
      <c r="AS311">
        <f>SUMPRODUCT((K24:K26&lt;=$B$6)*(L24:L26*AN311+M24:M26*AO311*$B$8*AQ311)/(1+AL311/100)^K24:K26)+L27*AN311*AP311/(1+AL311/100)^$B$6</f>
        <v/>
      </c>
      <c r="AT311">
        <f>AS311-AR311</f>
        <v/>
      </c>
      <c r="AU311">
        <f>RAND()</f>
        <v/>
      </c>
      <c r="AV311">
        <f>RAND()</f>
        <v/>
      </c>
      <c r="AW311">
        <f>RAND()</f>
        <v/>
      </c>
      <c r="AX311">
        <f>RAND()</f>
        <v/>
      </c>
      <c r="AY311">
        <f>RAND()</f>
        <v/>
      </c>
      <c r="AZ311">
        <f>RAND()</f>
        <v/>
      </c>
    </row>
    <row r="312">
      <c r="AK312" t="n">
        <v>299</v>
      </c>
      <c r="AL312">
        <f>IFERROR(IF(AU312&lt;($AM$6-$AL$6)/($AN$6-$AL$6),$AL$6+SQRT(AU312*($AN$6-$AL$6)*($AM$6-$AL$6)),$AN$6-SQRT((1-AU312)*($AN$6-$AL$6)*($AN$6-$AM$6))),$AM$6)</f>
        <v/>
      </c>
      <c r="AM312">
        <f>IFERROR(IF(AV312&lt;($AM$7-$AL$7)/($AN$7-$AL$7),$AL$7+SQRT(AV312*($AN$7-$AL$7)*($AM$7-$AL$7)),$AN$7-SQRT((1-AV312)*($AN$7-$AL$7)*($AN$7-$AM$7))),$AM$7)</f>
        <v/>
      </c>
      <c r="AN312">
        <f>IFERROR(IF(AW312&lt;($AM$8-$AL$8)/($AN$8-$AL$8),$AL$8+SQRT(AW312*($AN$8-$AL$8)*($AM$8-$AL$8)),$AN$8-SQRT((1-AW312)*($AN$8-$AL$8)*($AN$8-$AM$8))),$AM$8)</f>
        <v/>
      </c>
      <c r="AO312">
        <f>IFERROR(IF(AX312&lt;($AM$9-$AL$9)/($AN$9-$AL$9),$AL$9+SQRT(AX312*($AN$9-$AL$9)*($AM$9-$AL$9)),$AN$9-SQRT((1-AX312)*($AN$9-$AL$9)*($AN$9-$AM$9))),$AM$9)</f>
        <v/>
      </c>
      <c r="AP312">
        <f>IFERROR(IF(AY312&lt;($AM$10-$AL$10)/($AN$10-$AL$10),$AL$10+SQRT(AY312*($AN$10-$AL$10)*($AM$10-$AL$10)),$AN$10-SQRT((1-AY312)*($AN$10-$AL$10)*($AN$10-$AM$10))),$AM$10)</f>
        <v/>
      </c>
      <c r="AQ312">
        <f>IFERROR(IF(AZ312&lt;($AM$11-$AL$11)/($AN$11-$AL$11),$AL$11+SQRT(AZ312*($AN$11-$AL$11)*($AM$11-$AL$11)),$AN$11-SQRT((1-AZ312)*($AN$11-$AL$11)*($AN$11-$AM$11))),$AM$11)</f>
        <v/>
      </c>
      <c r="AR312">
        <f>SUMPRODUCT((B24:B31&lt;=$B$6)*(C24:C31*AM312+D24:D31*AO312*$B$8*AQ312)/(1+AL312/100)^B24:B31)+C32*AM312*AP312/(1+AL312/100)^$B$6</f>
        <v/>
      </c>
      <c r="AS312">
        <f>SUMPRODUCT((K24:K26&lt;=$B$6)*(L24:L26*AN312+M24:M26*AO312*$B$8*AQ312)/(1+AL312/100)^K24:K26)+L27*AN312*AP312/(1+AL312/100)^$B$6</f>
        <v/>
      </c>
      <c r="AT312">
        <f>AS312-AR312</f>
        <v/>
      </c>
      <c r="AU312">
        <f>RAND()</f>
        <v/>
      </c>
      <c r="AV312">
        <f>RAND()</f>
        <v/>
      </c>
      <c r="AW312">
        <f>RAND()</f>
        <v/>
      </c>
      <c r="AX312">
        <f>RAND()</f>
        <v/>
      </c>
      <c r="AY312">
        <f>RAND()</f>
        <v/>
      </c>
      <c r="AZ312">
        <f>RAND()</f>
        <v/>
      </c>
    </row>
    <row r="313">
      <c r="AK313" t="n">
        <v>300</v>
      </c>
      <c r="AL313">
        <f>IFERROR(IF(AU313&lt;($AM$6-$AL$6)/($AN$6-$AL$6),$AL$6+SQRT(AU313*($AN$6-$AL$6)*($AM$6-$AL$6)),$AN$6-SQRT((1-AU313)*($AN$6-$AL$6)*($AN$6-$AM$6))),$AM$6)</f>
        <v/>
      </c>
      <c r="AM313">
        <f>IFERROR(IF(AV313&lt;($AM$7-$AL$7)/($AN$7-$AL$7),$AL$7+SQRT(AV313*($AN$7-$AL$7)*($AM$7-$AL$7)),$AN$7-SQRT((1-AV313)*($AN$7-$AL$7)*($AN$7-$AM$7))),$AM$7)</f>
        <v/>
      </c>
      <c r="AN313">
        <f>IFERROR(IF(AW313&lt;($AM$8-$AL$8)/($AN$8-$AL$8),$AL$8+SQRT(AW313*($AN$8-$AL$8)*($AM$8-$AL$8)),$AN$8-SQRT((1-AW313)*($AN$8-$AL$8)*($AN$8-$AM$8))),$AM$8)</f>
        <v/>
      </c>
      <c r="AO313">
        <f>IFERROR(IF(AX313&lt;($AM$9-$AL$9)/($AN$9-$AL$9),$AL$9+SQRT(AX313*($AN$9-$AL$9)*($AM$9-$AL$9)),$AN$9-SQRT((1-AX313)*($AN$9-$AL$9)*($AN$9-$AM$9))),$AM$9)</f>
        <v/>
      </c>
      <c r="AP313">
        <f>IFERROR(IF(AY313&lt;($AM$10-$AL$10)/($AN$10-$AL$10),$AL$10+SQRT(AY313*($AN$10-$AL$10)*($AM$10-$AL$10)),$AN$10-SQRT((1-AY313)*($AN$10-$AL$10)*($AN$10-$AM$10))),$AM$10)</f>
        <v/>
      </c>
      <c r="AQ313">
        <f>IFERROR(IF(AZ313&lt;($AM$11-$AL$11)/($AN$11-$AL$11),$AL$11+SQRT(AZ313*($AN$11-$AL$11)*($AM$11-$AL$11)),$AN$11-SQRT((1-AZ313)*($AN$11-$AL$11)*($AN$11-$AM$11))),$AM$11)</f>
        <v/>
      </c>
      <c r="AR313">
        <f>SUMPRODUCT((B24:B31&lt;=$B$6)*(C24:C31*AM313+D24:D31*AO313*$B$8*AQ313)/(1+AL313/100)^B24:B31)+C32*AM313*AP313/(1+AL313/100)^$B$6</f>
        <v/>
      </c>
      <c r="AS313">
        <f>SUMPRODUCT((K24:K26&lt;=$B$6)*(L24:L26*AN313+M24:M26*AO313*$B$8*AQ313)/(1+AL313/100)^K24:K26)+L27*AN313*AP313/(1+AL313/100)^$B$6</f>
        <v/>
      </c>
      <c r="AT313">
        <f>AS313-AR313</f>
        <v/>
      </c>
      <c r="AU313">
        <f>RAND()</f>
        <v/>
      </c>
      <c r="AV313">
        <f>RAND()</f>
        <v/>
      </c>
      <c r="AW313">
        <f>RAND()</f>
        <v/>
      </c>
      <c r="AX313">
        <f>RAND()</f>
        <v/>
      </c>
      <c r="AY313">
        <f>RAND()</f>
        <v/>
      </c>
      <c r="AZ313">
        <f>RAND()</f>
        <v/>
      </c>
    </row>
    <row r="314">
      <c r="AK314" t="n">
        <v>301</v>
      </c>
      <c r="AL314">
        <f>IFERROR(IF(AU314&lt;($AM$6-$AL$6)/($AN$6-$AL$6),$AL$6+SQRT(AU314*($AN$6-$AL$6)*($AM$6-$AL$6)),$AN$6-SQRT((1-AU314)*($AN$6-$AL$6)*($AN$6-$AM$6))),$AM$6)</f>
        <v/>
      </c>
      <c r="AM314">
        <f>IFERROR(IF(AV314&lt;($AM$7-$AL$7)/($AN$7-$AL$7),$AL$7+SQRT(AV314*($AN$7-$AL$7)*($AM$7-$AL$7)),$AN$7-SQRT((1-AV314)*($AN$7-$AL$7)*($AN$7-$AM$7))),$AM$7)</f>
        <v/>
      </c>
      <c r="AN314">
        <f>IFERROR(IF(AW314&lt;($AM$8-$AL$8)/($AN$8-$AL$8),$AL$8+SQRT(AW314*($AN$8-$AL$8)*($AM$8-$AL$8)),$AN$8-SQRT((1-AW314)*($AN$8-$AL$8)*($AN$8-$AM$8))),$AM$8)</f>
        <v/>
      </c>
      <c r="AO314">
        <f>IFERROR(IF(AX314&lt;($AM$9-$AL$9)/($AN$9-$AL$9),$AL$9+SQRT(AX314*($AN$9-$AL$9)*($AM$9-$AL$9)),$AN$9-SQRT((1-AX314)*($AN$9-$AL$9)*($AN$9-$AM$9))),$AM$9)</f>
        <v/>
      </c>
      <c r="AP314">
        <f>IFERROR(IF(AY314&lt;($AM$10-$AL$10)/($AN$10-$AL$10),$AL$10+SQRT(AY314*($AN$10-$AL$10)*($AM$10-$AL$10)),$AN$10-SQRT((1-AY314)*($AN$10-$AL$10)*($AN$10-$AM$10))),$AM$10)</f>
        <v/>
      </c>
      <c r="AQ314">
        <f>IFERROR(IF(AZ314&lt;($AM$11-$AL$11)/($AN$11-$AL$11),$AL$11+SQRT(AZ314*($AN$11-$AL$11)*($AM$11-$AL$11)),$AN$11-SQRT((1-AZ314)*($AN$11-$AL$11)*($AN$11-$AM$11))),$AM$11)</f>
        <v/>
      </c>
      <c r="AR314">
        <f>SUMPRODUCT((B24:B31&lt;=$B$6)*(C24:C31*AM314+D24:D31*AO314*$B$8*AQ314)/(1+AL314/100)^B24:B31)+C32*AM314*AP314/(1+AL314/100)^$B$6</f>
        <v/>
      </c>
      <c r="AS314">
        <f>SUMPRODUCT((K24:K26&lt;=$B$6)*(L24:L26*AN314+M24:M26*AO314*$B$8*AQ314)/(1+AL314/100)^K24:K26)+L27*AN314*AP314/(1+AL314/100)^$B$6</f>
        <v/>
      </c>
      <c r="AT314">
        <f>AS314-AR314</f>
        <v/>
      </c>
      <c r="AU314">
        <f>RAND()</f>
        <v/>
      </c>
      <c r="AV314">
        <f>RAND()</f>
        <v/>
      </c>
      <c r="AW314">
        <f>RAND()</f>
        <v/>
      </c>
      <c r="AX314">
        <f>RAND()</f>
        <v/>
      </c>
      <c r="AY314">
        <f>RAND()</f>
        <v/>
      </c>
      <c r="AZ314">
        <f>RAND()</f>
        <v/>
      </c>
    </row>
    <row r="315">
      <c r="AK315" t="n">
        <v>302</v>
      </c>
      <c r="AL315">
        <f>IFERROR(IF(AU315&lt;($AM$6-$AL$6)/($AN$6-$AL$6),$AL$6+SQRT(AU315*($AN$6-$AL$6)*($AM$6-$AL$6)),$AN$6-SQRT((1-AU315)*($AN$6-$AL$6)*($AN$6-$AM$6))),$AM$6)</f>
        <v/>
      </c>
      <c r="AM315">
        <f>IFERROR(IF(AV315&lt;($AM$7-$AL$7)/($AN$7-$AL$7),$AL$7+SQRT(AV315*($AN$7-$AL$7)*($AM$7-$AL$7)),$AN$7-SQRT((1-AV315)*($AN$7-$AL$7)*($AN$7-$AM$7))),$AM$7)</f>
        <v/>
      </c>
      <c r="AN315">
        <f>IFERROR(IF(AW315&lt;($AM$8-$AL$8)/($AN$8-$AL$8),$AL$8+SQRT(AW315*($AN$8-$AL$8)*($AM$8-$AL$8)),$AN$8-SQRT((1-AW315)*($AN$8-$AL$8)*($AN$8-$AM$8))),$AM$8)</f>
        <v/>
      </c>
      <c r="AO315">
        <f>IFERROR(IF(AX315&lt;($AM$9-$AL$9)/($AN$9-$AL$9),$AL$9+SQRT(AX315*($AN$9-$AL$9)*($AM$9-$AL$9)),$AN$9-SQRT((1-AX315)*($AN$9-$AL$9)*($AN$9-$AM$9))),$AM$9)</f>
        <v/>
      </c>
      <c r="AP315">
        <f>IFERROR(IF(AY315&lt;($AM$10-$AL$10)/($AN$10-$AL$10),$AL$10+SQRT(AY315*($AN$10-$AL$10)*($AM$10-$AL$10)),$AN$10-SQRT((1-AY315)*($AN$10-$AL$10)*($AN$10-$AM$10))),$AM$10)</f>
        <v/>
      </c>
      <c r="AQ315">
        <f>IFERROR(IF(AZ315&lt;($AM$11-$AL$11)/($AN$11-$AL$11),$AL$11+SQRT(AZ315*($AN$11-$AL$11)*($AM$11-$AL$11)),$AN$11-SQRT((1-AZ315)*($AN$11-$AL$11)*($AN$11-$AM$11))),$AM$11)</f>
        <v/>
      </c>
      <c r="AR315">
        <f>SUMPRODUCT((B24:B31&lt;=$B$6)*(C24:C31*AM315+D24:D31*AO315*$B$8*AQ315)/(1+AL315/100)^B24:B31)+C32*AM315*AP315/(1+AL315/100)^$B$6</f>
        <v/>
      </c>
      <c r="AS315">
        <f>SUMPRODUCT((K24:K26&lt;=$B$6)*(L24:L26*AN315+M24:M26*AO315*$B$8*AQ315)/(1+AL315/100)^K24:K26)+L27*AN315*AP315/(1+AL315/100)^$B$6</f>
        <v/>
      </c>
      <c r="AT315">
        <f>AS315-AR315</f>
        <v/>
      </c>
      <c r="AU315">
        <f>RAND()</f>
        <v/>
      </c>
      <c r="AV315">
        <f>RAND()</f>
        <v/>
      </c>
      <c r="AW315">
        <f>RAND()</f>
        <v/>
      </c>
      <c r="AX315">
        <f>RAND()</f>
        <v/>
      </c>
      <c r="AY315">
        <f>RAND()</f>
        <v/>
      </c>
      <c r="AZ315">
        <f>RAND()</f>
        <v/>
      </c>
    </row>
    <row r="316">
      <c r="AK316" t="n">
        <v>303</v>
      </c>
      <c r="AL316">
        <f>IFERROR(IF(AU316&lt;($AM$6-$AL$6)/($AN$6-$AL$6),$AL$6+SQRT(AU316*($AN$6-$AL$6)*($AM$6-$AL$6)),$AN$6-SQRT((1-AU316)*($AN$6-$AL$6)*($AN$6-$AM$6))),$AM$6)</f>
        <v/>
      </c>
      <c r="AM316">
        <f>IFERROR(IF(AV316&lt;($AM$7-$AL$7)/($AN$7-$AL$7),$AL$7+SQRT(AV316*($AN$7-$AL$7)*($AM$7-$AL$7)),$AN$7-SQRT((1-AV316)*($AN$7-$AL$7)*($AN$7-$AM$7))),$AM$7)</f>
        <v/>
      </c>
      <c r="AN316">
        <f>IFERROR(IF(AW316&lt;($AM$8-$AL$8)/($AN$8-$AL$8),$AL$8+SQRT(AW316*($AN$8-$AL$8)*($AM$8-$AL$8)),$AN$8-SQRT((1-AW316)*($AN$8-$AL$8)*($AN$8-$AM$8))),$AM$8)</f>
        <v/>
      </c>
      <c r="AO316">
        <f>IFERROR(IF(AX316&lt;($AM$9-$AL$9)/($AN$9-$AL$9),$AL$9+SQRT(AX316*($AN$9-$AL$9)*($AM$9-$AL$9)),$AN$9-SQRT((1-AX316)*($AN$9-$AL$9)*($AN$9-$AM$9))),$AM$9)</f>
        <v/>
      </c>
      <c r="AP316">
        <f>IFERROR(IF(AY316&lt;($AM$10-$AL$10)/($AN$10-$AL$10),$AL$10+SQRT(AY316*($AN$10-$AL$10)*($AM$10-$AL$10)),$AN$10-SQRT((1-AY316)*($AN$10-$AL$10)*($AN$10-$AM$10))),$AM$10)</f>
        <v/>
      </c>
      <c r="AQ316">
        <f>IFERROR(IF(AZ316&lt;($AM$11-$AL$11)/($AN$11-$AL$11),$AL$11+SQRT(AZ316*($AN$11-$AL$11)*($AM$11-$AL$11)),$AN$11-SQRT((1-AZ316)*($AN$11-$AL$11)*($AN$11-$AM$11))),$AM$11)</f>
        <v/>
      </c>
      <c r="AR316">
        <f>SUMPRODUCT((B24:B31&lt;=$B$6)*(C24:C31*AM316+D24:D31*AO316*$B$8*AQ316)/(1+AL316/100)^B24:B31)+C32*AM316*AP316/(1+AL316/100)^$B$6</f>
        <v/>
      </c>
      <c r="AS316">
        <f>SUMPRODUCT((K24:K26&lt;=$B$6)*(L24:L26*AN316+M24:M26*AO316*$B$8*AQ316)/(1+AL316/100)^K24:K26)+L27*AN316*AP316/(1+AL316/100)^$B$6</f>
        <v/>
      </c>
      <c r="AT316">
        <f>AS316-AR316</f>
        <v/>
      </c>
      <c r="AU316">
        <f>RAND()</f>
        <v/>
      </c>
      <c r="AV316">
        <f>RAND()</f>
        <v/>
      </c>
      <c r="AW316">
        <f>RAND()</f>
        <v/>
      </c>
      <c r="AX316">
        <f>RAND()</f>
        <v/>
      </c>
      <c r="AY316">
        <f>RAND()</f>
        <v/>
      </c>
      <c r="AZ316">
        <f>RAND()</f>
        <v/>
      </c>
    </row>
    <row r="317">
      <c r="AK317" t="n">
        <v>304</v>
      </c>
      <c r="AL317">
        <f>IFERROR(IF(AU317&lt;($AM$6-$AL$6)/($AN$6-$AL$6),$AL$6+SQRT(AU317*($AN$6-$AL$6)*($AM$6-$AL$6)),$AN$6-SQRT((1-AU317)*($AN$6-$AL$6)*($AN$6-$AM$6))),$AM$6)</f>
        <v/>
      </c>
      <c r="AM317">
        <f>IFERROR(IF(AV317&lt;($AM$7-$AL$7)/($AN$7-$AL$7),$AL$7+SQRT(AV317*($AN$7-$AL$7)*($AM$7-$AL$7)),$AN$7-SQRT((1-AV317)*($AN$7-$AL$7)*($AN$7-$AM$7))),$AM$7)</f>
        <v/>
      </c>
      <c r="AN317">
        <f>IFERROR(IF(AW317&lt;($AM$8-$AL$8)/($AN$8-$AL$8),$AL$8+SQRT(AW317*($AN$8-$AL$8)*($AM$8-$AL$8)),$AN$8-SQRT((1-AW317)*($AN$8-$AL$8)*($AN$8-$AM$8))),$AM$8)</f>
        <v/>
      </c>
      <c r="AO317">
        <f>IFERROR(IF(AX317&lt;($AM$9-$AL$9)/($AN$9-$AL$9),$AL$9+SQRT(AX317*($AN$9-$AL$9)*($AM$9-$AL$9)),$AN$9-SQRT((1-AX317)*($AN$9-$AL$9)*($AN$9-$AM$9))),$AM$9)</f>
        <v/>
      </c>
      <c r="AP317">
        <f>IFERROR(IF(AY317&lt;($AM$10-$AL$10)/($AN$10-$AL$10),$AL$10+SQRT(AY317*($AN$10-$AL$10)*($AM$10-$AL$10)),$AN$10-SQRT((1-AY317)*($AN$10-$AL$10)*($AN$10-$AM$10))),$AM$10)</f>
        <v/>
      </c>
      <c r="AQ317">
        <f>IFERROR(IF(AZ317&lt;($AM$11-$AL$11)/($AN$11-$AL$11),$AL$11+SQRT(AZ317*($AN$11-$AL$11)*($AM$11-$AL$11)),$AN$11-SQRT((1-AZ317)*($AN$11-$AL$11)*($AN$11-$AM$11))),$AM$11)</f>
        <v/>
      </c>
      <c r="AR317">
        <f>SUMPRODUCT((B24:B31&lt;=$B$6)*(C24:C31*AM317+D24:D31*AO317*$B$8*AQ317)/(1+AL317/100)^B24:B31)+C32*AM317*AP317/(1+AL317/100)^$B$6</f>
        <v/>
      </c>
      <c r="AS317">
        <f>SUMPRODUCT((K24:K26&lt;=$B$6)*(L24:L26*AN317+M24:M26*AO317*$B$8*AQ317)/(1+AL317/100)^K24:K26)+L27*AN317*AP317/(1+AL317/100)^$B$6</f>
        <v/>
      </c>
      <c r="AT317">
        <f>AS317-AR317</f>
        <v/>
      </c>
      <c r="AU317">
        <f>RAND()</f>
        <v/>
      </c>
      <c r="AV317">
        <f>RAND()</f>
        <v/>
      </c>
      <c r="AW317">
        <f>RAND()</f>
        <v/>
      </c>
      <c r="AX317">
        <f>RAND()</f>
        <v/>
      </c>
      <c r="AY317">
        <f>RAND()</f>
        <v/>
      </c>
      <c r="AZ317">
        <f>RAND()</f>
        <v/>
      </c>
    </row>
    <row r="318">
      <c r="AK318" t="n">
        <v>305</v>
      </c>
      <c r="AL318">
        <f>IFERROR(IF(AU318&lt;($AM$6-$AL$6)/($AN$6-$AL$6),$AL$6+SQRT(AU318*($AN$6-$AL$6)*($AM$6-$AL$6)),$AN$6-SQRT((1-AU318)*($AN$6-$AL$6)*($AN$6-$AM$6))),$AM$6)</f>
        <v/>
      </c>
      <c r="AM318">
        <f>IFERROR(IF(AV318&lt;($AM$7-$AL$7)/($AN$7-$AL$7),$AL$7+SQRT(AV318*($AN$7-$AL$7)*($AM$7-$AL$7)),$AN$7-SQRT((1-AV318)*($AN$7-$AL$7)*($AN$7-$AM$7))),$AM$7)</f>
        <v/>
      </c>
      <c r="AN318">
        <f>IFERROR(IF(AW318&lt;($AM$8-$AL$8)/($AN$8-$AL$8),$AL$8+SQRT(AW318*($AN$8-$AL$8)*($AM$8-$AL$8)),$AN$8-SQRT((1-AW318)*($AN$8-$AL$8)*($AN$8-$AM$8))),$AM$8)</f>
        <v/>
      </c>
      <c r="AO318">
        <f>IFERROR(IF(AX318&lt;($AM$9-$AL$9)/($AN$9-$AL$9),$AL$9+SQRT(AX318*($AN$9-$AL$9)*($AM$9-$AL$9)),$AN$9-SQRT((1-AX318)*($AN$9-$AL$9)*($AN$9-$AM$9))),$AM$9)</f>
        <v/>
      </c>
      <c r="AP318">
        <f>IFERROR(IF(AY318&lt;($AM$10-$AL$10)/($AN$10-$AL$10),$AL$10+SQRT(AY318*($AN$10-$AL$10)*($AM$10-$AL$10)),$AN$10-SQRT((1-AY318)*($AN$10-$AL$10)*($AN$10-$AM$10))),$AM$10)</f>
        <v/>
      </c>
      <c r="AQ318">
        <f>IFERROR(IF(AZ318&lt;($AM$11-$AL$11)/($AN$11-$AL$11),$AL$11+SQRT(AZ318*($AN$11-$AL$11)*($AM$11-$AL$11)),$AN$11-SQRT((1-AZ318)*($AN$11-$AL$11)*($AN$11-$AM$11))),$AM$11)</f>
        <v/>
      </c>
      <c r="AR318">
        <f>SUMPRODUCT((B24:B31&lt;=$B$6)*(C24:C31*AM318+D24:D31*AO318*$B$8*AQ318)/(1+AL318/100)^B24:B31)+C32*AM318*AP318/(1+AL318/100)^$B$6</f>
        <v/>
      </c>
      <c r="AS318">
        <f>SUMPRODUCT((K24:K26&lt;=$B$6)*(L24:L26*AN318+M24:M26*AO318*$B$8*AQ318)/(1+AL318/100)^K24:K26)+L27*AN318*AP318/(1+AL318/100)^$B$6</f>
        <v/>
      </c>
      <c r="AT318">
        <f>AS318-AR318</f>
        <v/>
      </c>
      <c r="AU318">
        <f>RAND()</f>
        <v/>
      </c>
      <c r="AV318">
        <f>RAND()</f>
        <v/>
      </c>
      <c r="AW318">
        <f>RAND()</f>
        <v/>
      </c>
      <c r="AX318">
        <f>RAND()</f>
        <v/>
      </c>
      <c r="AY318">
        <f>RAND()</f>
        <v/>
      </c>
      <c r="AZ318">
        <f>RAND()</f>
        <v/>
      </c>
    </row>
    <row r="319">
      <c r="AK319" t="n">
        <v>306</v>
      </c>
      <c r="AL319">
        <f>IFERROR(IF(AU319&lt;($AM$6-$AL$6)/($AN$6-$AL$6),$AL$6+SQRT(AU319*($AN$6-$AL$6)*($AM$6-$AL$6)),$AN$6-SQRT((1-AU319)*($AN$6-$AL$6)*($AN$6-$AM$6))),$AM$6)</f>
        <v/>
      </c>
      <c r="AM319">
        <f>IFERROR(IF(AV319&lt;($AM$7-$AL$7)/($AN$7-$AL$7),$AL$7+SQRT(AV319*($AN$7-$AL$7)*($AM$7-$AL$7)),$AN$7-SQRT((1-AV319)*($AN$7-$AL$7)*($AN$7-$AM$7))),$AM$7)</f>
        <v/>
      </c>
      <c r="AN319">
        <f>IFERROR(IF(AW319&lt;($AM$8-$AL$8)/($AN$8-$AL$8),$AL$8+SQRT(AW319*($AN$8-$AL$8)*($AM$8-$AL$8)),$AN$8-SQRT((1-AW319)*($AN$8-$AL$8)*($AN$8-$AM$8))),$AM$8)</f>
        <v/>
      </c>
      <c r="AO319">
        <f>IFERROR(IF(AX319&lt;($AM$9-$AL$9)/($AN$9-$AL$9),$AL$9+SQRT(AX319*($AN$9-$AL$9)*($AM$9-$AL$9)),$AN$9-SQRT((1-AX319)*($AN$9-$AL$9)*($AN$9-$AM$9))),$AM$9)</f>
        <v/>
      </c>
      <c r="AP319">
        <f>IFERROR(IF(AY319&lt;($AM$10-$AL$10)/($AN$10-$AL$10),$AL$10+SQRT(AY319*($AN$10-$AL$10)*($AM$10-$AL$10)),$AN$10-SQRT((1-AY319)*($AN$10-$AL$10)*($AN$10-$AM$10))),$AM$10)</f>
        <v/>
      </c>
      <c r="AQ319">
        <f>IFERROR(IF(AZ319&lt;($AM$11-$AL$11)/($AN$11-$AL$11),$AL$11+SQRT(AZ319*($AN$11-$AL$11)*($AM$11-$AL$11)),$AN$11-SQRT((1-AZ319)*($AN$11-$AL$11)*($AN$11-$AM$11))),$AM$11)</f>
        <v/>
      </c>
      <c r="AR319">
        <f>SUMPRODUCT((B24:B31&lt;=$B$6)*(C24:C31*AM319+D24:D31*AO319*$B$8*AQ319)/(1+AL319/100)^B24:B31)+C32*AM319*AP319/(1+AL319/100)^$B$6</f>
        <v/>
      </c>
      <c r="AS319">
        <f>SUMPRODUCT((K24:K26&lt;=$B$6)*(L24:L26*AN319+M24:M26*AO319*$B$8*AQ319)/(1+AL319/100)^K24:K26)+L27*AN319*AP319/(1+AL319/100)^$B$6</f>
        <v/>
      </c>
      <c r="AT319">
        <f>AS319-AR319</f>
        <v/>
      </c>
      <c r="AU319">
        <f>RAND()</f>
        <v/>
      </c>
      <c r="AV319">
        <f>RAND()</f>
        <v/>
      </c>
      <c r="AW319">
        <f>RAND()</f>
        <v/>
      </c>
      <c r="AX319">
        <f>RAND()</f>
        <v/>
      </c>
      <c r="AY319">
        <f>RAND()</f>
        <v/>
      </c>
      <c r="AZ319">
        <f>RAND()</f>
        <v/>
      </c>
    </row>
    <row r="320">
      <c r="AK320" t="n">
        <v>307</v>
      </c>
      <c r="AL320">
        <f>IFERROR(IF(AU320&lt;($AM$6-$AL$6)/($AN$6-$AL$6),$AL$6+SQRT(AU320*($AN$6-$AL$6)*($AM$6-$AL$6)),$AN$6-SQRT((1-AU320)*($AN$6-$AL$6)*($AN$6-$AM$6))),$AM$6)</f>
        <v/>
      </c>
      <c r="AM320">
        <f>IFERROR(IF(AV320&lt;($AM$7-$AL$7)/($AN$7-$AL$7),$AL$7+SQRT(AV320*($AN$7-$AL$7)*($AM$7-$AL$7)),$AN$7-SQRT((1-AV320)*($AN$7-$AL$7)*($AN$7-$AM$7))),$AM$7)</f>
        <v/>
      </c>
      <c r="AN320">
        <f>IFERROR(IF(AW320&lt;($AM$8-$AL$8)/($AN$8-$AL$8),$AL$8+SQRT(AW320*($AN$8-$AL$8)*($AM$8-$AL$8)),$AN$8-SQRT((1-AW320)*($AN$8-$AL$8)*($AN$8-$AM$8))),$AM$8)</f>
        <v/>
      </c>
      <c r="AO320">
        <f>IFERROR(IF(AX320&lt;($AM$9-$AL$9)/($AN$9-$AL$9),$AL$9+SQRT(AX320*($AN$9-$AL$9)*($AM$9-$AL$9)),$AN$9-SQRT((1-AX320)*($AN$9-$AL$9)*($AN$9-$AM$9))),$AM$9)</f>
        <v/>
      </c>
      <c r="AP320">
        <f>IFERROR(IF(AY320&lt;($AM$10-$AL$10)/($AN$10-$AL$10),$AL$10+SQRT(AY320*($AN$10-$AL$10)*($AM$10-$AL$10)),$AN$10-SQRT((1-AY320)*($AN$10-$AL$10)*($AN$10-$AM$10))),$AM$10)</f>
        <v/>
      </c>
      <c r="AQ320">
        <f>IFERROR(IF(AZ320&lt;($AM$11-$AL$11)/($AN$11-$AL$11),$AL$11+SQRT(AZ320*($AN$11-$AL$11)*($AM$11-$AL$11)),$AN$11-SQRT((1-AZ320)*($AN$11-$AL$11)*($AN$11-$AM$11))),$AM$11)</f>
        <v/>
      </c>
      <c r="AR320">
        <f>SUMPRODUCT((B24:B31&lt;=$B$6)*(C24:C31*AM320+D24:D31*AO320*$B$8*AQ320)/(1+AL320/100)^B24:B31)+C32*AM320*AP320/(1+AL320/100)^$B$6</f>
        <v/>
      </c>
      <c r="AS320">
        <f>SUMPRODUCT((K24:K26&lt;=$B$6)*(L24:L26*AN320+M24:M26*AO320*$B$8*AQ320)/(1+AL320/100)^K24:K26)+L27*AN320*AP320/(1+AL320/100)^$B$6</f>
        <v/>
      </c>
      <c r="AT320">
        <f>AS320-AR320</f>
        <v/>
      </c>
      <c r="AU320">
        <f>RAND()</f>
        <v/>
      </c>
      <c r="AV320">
        <f>RAND()</f>
        <v/>
      </c>
      <c r="AW320">
        <f>RAND()</f>
        <v/>
      </c>
      <c r="AX320">
        <f>RAND()</f>
        <v/>
      </c>
      <c r="AY320">
        <f>RAND()</f>
        <v/>
      </c>
      <c r="AZ320">
        <f>RAND()</f>
        <v/>
      </c>
    </row>
    <row r="321">
      <c r="AK321" t="n">
        <v>308</v>
      </c>
      <c r="AL321">
        <f>IFERROR(IF(AU321&lt;($AM$6-$AL$6)/($AN$6-$AL$6),$AL$6+SQRT(AU321*($AN$6-$AL$6)*($AM$6-$AL$6)),$AN$6-SQRT((1-AU321)*($AN$6-$AL$6)*($AN$6-$AM$6))),$AM$6)</f>
        <v/>
      </c>
      <c r="AM321">
        <f>IFERROR(IF(AV321&lt;($AM$7-$AL$7)/($AN$7-$AL$7),$AL$7+SQRT(AV321*($AN$7-$AL$7)*($AM$7-$AL$7)),$AN$7-SQRT((1-AV321)*($AN$7-$AL$7)*($AN$7-$AM$7))),$AM$7)</f>
        <v/>
      </c>
      <c r="AN321">
        <f>IFERROR(IF(AW321&lt;($AM$8-$AL$8)/($AN$8-$AL$8),$AL$8+SQRT(AW321*($AN$8-$AL$8)*($AM$8-$AL$8)),$AN$8-SQRT((1-AW321)*($AN$8-$AL$8)*($AN$8-$AM$8))),$AM$8)</f>
        <v/>
      </c>
      <c r="AO321">
        <f>IFERROR(IF(AX321&lt;($AM$9-$AL$9)/($AN$9-$AL$9),$AL$9+SQRT(AX321*($AN$9-$AL$9)*($AM$9-$AL$9)),$AN$9-SQRT((1-AX321)*($AN$9-$AL$9)*($AN$9-$AM$9))),$AM$9)</f>
        <v/>
      </c>
      <c r="AP321">
        <f>IFERROR(IF(AY321&lt;($AM$10-$AL$10)/($AN$10-$AL$10),$AL$10+SQRT(AY321*($AN$10-$AL$10)*($AM$10-$AL$10)),$AN$10-SQRT((1-AY321)*($AN$10-$AL$10)*($AN$10-$AM$10))),$AM$10)</f>
        <v/>
      </c>
      <c r="AQ321">
        <f>IFERROR(IF(AZ321&lt;($AM$11-$AL$11)/($AN$11-$AL$11),$AL$11+SQRT(AZ321*($AN$11-$AL$11)*($AM$11-$AL$11)),$AN$11-SQRT((1-AZ321)*($AN$11-$AL$11)*($AN$11-$AM$11))),$AM$11)</f>
        <v/>
      </c>
      <c r="AR321">
        <f>SUMPRODUCT((B24:B31&lt;=$B$6)*(C24:C31*AM321+D24:D31*AO321*$B$8*AQ321)/(1+AL321/100)^B24:B31)+C32*AM321*AP321/(1+AL321/100)^$B$6</f>
        <v/>
      </c>
      <c r="AS321">
        <f>SUMPRODUCT((K24:K26&lt;=$B$6)*(L24:L26*AN321+M24:M26*AO321*$B$8*AQ321)/(1+AL321/100)^K24:K26)+L27*AN321*AP321/(1+AL321/100)^$B$6</f>
        <v/>
      </c>
      <c r="AT321">
        <f>AS321-AR321</f>
        <v/>
      </c>
      <c r="AU321">
        <f>RAND()</f>
        <v/>
      </c>
      <c r="AV321">
        <f>RAND()</f>
        <v/>
      </c>
      <c r="AW321">
        <f>RAND()</f>
        <v/>
      </c>
      <c r="AX321">
        <f>RAND()</f>
        <v/>
      </c>
      <c r="AY321">
        <f>RAND()</f>
        <v/>
      </c>
      <c r="AZ321">
        <f>RAND()</f>
        <v/>
      </c>
    </row>
    <row r="322">
      <c r="AK322" t="n">
        <v>309</v>
      </c>
      <c r="AL322">
        <f>IFERROR(IF(AU322&lt;($AM$6-$AL$6)/($AN$6-$AL$6),$AL$6+SQRT(AU322*($AN$6-$AL$6)*($AM$6-$AL$6)),$AN$6-SQRT((1-AU322)*($AN$6-$AL$6)*($AN$6-$AM$6))),$AM$6)</f>
        <v/>
      </c>
      <c r="AM322">
        <f>IFERROR(IF(AV322&lt;($AM$7-$AL$7)/($AN$7-$AL$7),$AL$7+SQRT(AV322*($AN$7-$AL$7)*($AM$7-$AL$7)),$AN$7-SQRT((1-AV322)*($AN$7-$AL$7)*($AN$7-$AM$7))),$AM$7)</f>
        <v/>
      </c>
      <c r="AN322">
        <f>IFERROR(IF(AW322&lt;($AM$8-$AL$8)/($AN$8-$AL$8),$AL$8+SQRT(AW322*($AN$8-$AL$8)*($AM$8-$AL$8)),$AN$8-SQRT((1-AW322)*($AN$8-$AL$8)*($AN$8-$AM$8))),$AM$8)</f>
        <v/>
      </c>
      <c r="AO322">
        <f>IFERROR(IF(AX322&lt;($AM$9-$AL$9)/($AN$9-$AL$9),$AL$9+SQRT(AX322*($AN$9-$AL$9)*($AM$9-$AL$9)),$AN$9-SQRT((1-AX322)*($AN$9-$AL$9)*($AN$9-$AM$9))),$AM$9)</f>
        <v/>
      </c>
      <c r="AP322">
        <f>IFERROR(IF(AY322&lt;($AM$10-$AL$10)/($AN$10-$AL$10),$AL$10+SQRT(AY322*($AN$10-$AL$10)*($AM$10-$AL$10)),$AN$10-SQRT((1-AY322)*($AN$10-$AL$10)*($AN$10-$AM$10))),$AM$10)</f>
        <v/>
      </c>
      <c r="AQ322">
        <f>IFERROR(IF(AZ322&lt;($AM$11-$AL$11)/($AN$11-$AL$11),$AL$11+SQRT(AZ322*($AN$11-$AL$11)*($AM$11-$AL$11)),$AN$11-SQRT((1-AZ322)*($AN$11-$AL$11)*($AN$11-$AM$11))),$AM$11)</f>
        <v/>
      </c>
      <c r="AR322">
        <f>SUMPRODUCT((B24:B31&lt;=$B$6)*(C24:C31*AM322+D24:D31*AO322*$B$8*AQ322)/(1+AL322/100)^B24:B31)+C32*AM322*AP322/(1+AL322/100)^$B$6</f>
        <v/>
      </c>
      <c r="AS322">
        <f>SUMPRODUCT((K24:K26&lt;=$B$6)*(L24:L26*AN322+M24:M26*AO322*$B$8*AQ322)/(1+AL322/100)^K24:K26)+L27*AN322*AP322/(1+AL322/100)^$B$6</f>
        <v/>
      </c>
      <c r="AT322">
        <f>AS322-AR322</f>
        <v/>
      </c>
      <c r="AU322">
        <f>RAND()</f>
        <v/>
      </c>
      <c r="AV322">
        <f>RAND()</f>
        <v/>
      </c>
      <c r="AW322">
        <f>RAND()</f>
        <v/>
      </c>
      <c r="AX322">
        <f>RAND()</f>
        <v/>
      </c>
      <c r="AY322">
        <f>RAND()</f>
        <v/>
      </c>
      <c r="AZ322">
        <f>RAND()</f>
        <v/>
      </c>
    </row>
    <row r="323">
      <c r="AK323" t="n">
        <v>310</v>
      </c>
      <c r="AL323">
        <f>IFERROR(IF(AU323&lt;($AM$6-$AL$6)/($AN$6-$AL$6),$AL$6+SQRT(AU323*($AN$6-$AL$6)*($AM$6-$AL$6)),$AN$6-SQRT((1-AU323)*($AN$6-$AL$6)*($AN$6-$AM$6))),$AM$6)</f>
        <v/>
      </c>
      <c r="AM323">
        <f>IFERROR(IF(AV323&lt;($AM$7-$AL$7)/($AN$7-$AL$7),$AL$7+SQRT(AV323*($AN$7-$AL$7)*($AM$7-$AL$7)),$AN$7-SQRT((1-AV323)*($AN$7-$AL$7)*($AN$7-$AM$7))),$AM$7)</f>
        <v/>
      </c>
      <c r="AN323">
        <f>IFERROR(IF(AW323&lt;($AM$8-$AL$8)/($AN$8-$AL$8),$AL$8+SQRT(AW323*($AN$8-$AL$8)*($AM$8-$AL$8)),$AN$8-SQRT((1-AW323)*($AN$8-$AL$8)*($AN$8-$AM$8))),$AM$8)</f>
        <v/>
      </c>
      <c r="AO323">
        <f>IFERROR(IF(AX323&lt;($AM$9-$AL$9)/($AN$9-$AL$9),$AL$9+SQRT(AX323*($AN$9-$AL$9)*($AM$9-$AL$9)),$AN$9-SQRT((1-AX323)*($AN$9-$AL$9)*($AN$9-$AM$9))),$AM$9)</f>
        <v/>
      </c>
      <c r="AP323">
        <f>IFERROR(IF(AY323&lt;($AM$10-$AL$10)/($AN$10-$AL$10),$AL$10+SQRT(AY323*($AN$10-$AL$10)*($AM$10-$AL$10)),$AN$10-SQRT((1-AY323)*($AN$10-$AL$10)*($AN$10-$AM$10))),$AM$10)</f>
        <v/>
      </c>
      <c r="AQ323">
        <f>IFERROR(IF(AZ323&lt;($AM$11-$AL$11)/($AN$11-$AL$11),$AL$11+SQRT(AZ323*($AN$11-$AL$11)*($AM$11-$AL$11)),$AN$11-SQRT((1-AZ323)*($AN$11-$AL$11)*($AN$11-$AM$11))),$AM$11)</f>
        <v/>
      </c>
      <c r="AR323">
        <f>SUMPRODUCT((B24:B31&lt;=$B$6)*(C24:C31*AM323+D24:D31*AO323*$B$8*AQ323)/(1+AL323/100)^B24:B31)+C32*AM323*AP323/(1+AL323/100)^$B$6</f>
        <v/>
      </c>
      <c r="AS323">
        <f>SUMPRODUCT((K24:K26&lt;=$B$6)*(L24:L26*AN323+M24:M26*AO323*$B$8*AQ323)/(1+AL323/100)^K24:K26)+L27*AN323*AP323/(1+AL323/100)^$B$6</f>
        <v/>
      </c>
      <c r="AT323">
        <f>AS323-AR323</f>
        <v/>
      </c>
      <c r="AU323">
        <f>RAND()</f>
        <v/>
      </c>
      <c r="AV323">
        <f>RAND()</f>
        <v/>
      </c>
      <c r="AW323">
        <f>RAND()</f>
        <v/>
      </c>
      <c r="AX323">
        <f>RAND()</f>
        <v/>
      </c>
      <c r="AY323">
        <f>RAND()</f>
        <v/>
      </c>
      <c r="AZ323">
        <f>RAND()</f>
        <v/>
      </c>
    </row>
    <row r="324">
      <c r="AK324" t="n">
        <v>311</v>
      </c>
      <c r="AL324">
        <f>IFERROR(IF(AU324&lt;($AM$6-$AL$6)/($AN$6-$AL$6),$AL$6+SQRT(AU324*($AN$6-$AL$6)*($AM$6-$AL$6)),$AN$6-SQRT((1-AU324)*($AN$6-$AL$6)*($AN$6-$AM$6))),$AM$6)</f>
        <v/>
      </c>
      <c r="AM324">
        <f>IFERROR(IF(AV324&lt;($AM$7-$AL$7)/($AN$7-$AL$7),$AL$7+SQRT(AV324*($AN$7-$AL$7)*($AM$7-$AL$7)),$AN$7-SQRT((1-AV324)*($AN$7-$AL$7)*($AN$7-$AM$7))),$AM$7)</f>
        <v/>
      </c>
      <c r="AN324">
        <f>IFERROR(IF(AW324&lt;($AM$8-$AL$8)/($AN$8-$AL$8),$AL$8+SQRT(AW324*($AN$8-$AL$8)*($AM$8-$AL$8)),$AN$8-SQRT((1-AW324)*($AN$8-$AL$8)*($AN$8-$AM$8))),$AM$8)</f>
        <v/>
      </c>
      <c r="AO324">
        <f>IFERROR(IF(AX324&lt;($AM$9-$AL$9)/($AN$9-$AL$9),$AL$9+SQRT(AX324*($AN$9-$AL$9)*($AM$9-$AL$9)),$AN$9-SQRT((1-AX324)*($AN$9-$AL$9)*($AN$9-$AM$9))),$AM$9)</f>
        <v/>
      </c>
      <c r="AP324">
        <f>IFERROR(IF(AY324&lt;($AM$10-$AL$10)/($AN$10-$AL$10),$AL$10+SQRT(AY324*($AN$10-$AL$10)*($AM$10-$AL$10)),$AN$10-SQRT((1-AY324)*($AN$10-$AL$10)*($AN$10-$AM$10))),$AM$10)</f>
        <v/>
      </c>
      <c r="AQ324">
        <f>IFERROR(IF(AZ324&lt;($AM$11-$AL$11)/($AN$11-$AL$11),$AL$11+SQRT(AZ324*($AN$11-$AL$11)*($AM$11-$AL$11)),$AN$11-SQRT((1-AZ324)*($AN$11-$AL$11)*($AN$11-$AM$11))),$AM$11)</f>
        <v/>
      </c>
      <c r="AR324">
        <f>SUMPRODUCT((B24:B31&lt;=$B$6)*(C24:C31*AM324+D24:D31*AO324*$B$8*AQ324)/(1+AL324/100)^B24:B31)+C32*AM324*AP324/(1+AL324/100)^$B$6</f>
        <v/>
      </c>
      <c r="AS324">
        <f>SUMPRODUCT((K24:K26&lt;=$B$6)*(L24:L26*AN324+M24:M26*AO324*$B$8*AQ324)/(1+AL324/100)^K24:K26)+L27*AN324*AP324/(1+AL324/100)^$B$6</f>
        <v/>
      </c>
      <c r="AT324">
        <f>AS324-AR324</f>
        <v/>
      </c>
      <c r="AU324">
        <f>RAND()</f>
        <v/>
      </c>
      <c r="AV324">
        <f>RAND()</f>
        <v/>
      </c>
      <c r="AW324">
        <f>RAND()</f>
        <v/>
      </c>
      <c r="AX324">
        <f>RAND()</f>
        <v/>
      </c>
      <c r="AY324">
        <f>RAND()</f>
        <v/>
      </c>
      <c r="AZ324">
        <f>RAND()</f>
        <v/>
      </c>
    </row>
    <row r="325">
      <c r="AK325" t="n">
        <v>312</v>
      </c>
      <c r="AL325">
        <f>IFERROR(IF(AU325&lt;($AM$6-$AL$6)/($AN$6-$AL$6),$AL$6+SQRT(AU325*($AN$6-$AL$6)*($AM$6-$AL$6)),$AN$6-SQRT((1-AU325)*($AN$6-$AL$6)*($AN$6-$AM$6))),$AM$6)</f>
        <v/>
      </c>
      <c r="AM325">
        <f>IFERROR(IF(AV325&lt;($AM$7-$AL$7)/($AN$7-$AL$7),$AL$7+SQRT(AV325*($AN$7-$AL$7)*($AM$7-$AL$7)),$AN$7-SQRT((1-AV325)*($AN$7-$AL$7)*($AN$7-$AM$7))),$AM$7)</f>
        <v/>
      </c>
      <c r="AN325">
        <f>IFERROR(IF(AW325&lt;($AM$8-$AL$8)/($AN$8-$AL$8),$AL$8+SQRT(AW325*($AN$8-$AL$8)*($AM$8-$AL$8)),$AN$8-SQRT((1-AW325)*($AN$8-$AL$8)*($AN$8-$AM$8))),$AM$8)</f>
        <v/>
      </c>
      <c r="AO325">
        <f>IFERROR(IF(AX325&lt;($AM$9-$AL$9)/($AN$9-$AL$9),$AL$9+SQRT(AX325*($AN$9-$AL$9)*($AM$9-$AL$9)),$AN$9-SQRT((1-AX325)*($AN$9-$AL$9)*($AN$9-$AM$9))),$AM$9)</f>
        <v/>
      </c>
      <c r="AP325">
        <f>IFERROR(IF(AY325&lt;($AM$10-$AL$10)/($AN$10-$AL$10),$AL$10+SQRT(AY325*($AN$10-$AL$10)*($AM$10-$AL$10)),$AN$10-SQRT((1-AY325)*($AN$10-$AL$10)*($AN$10-$AM$10))),$AM$10)</f>
        <v/>
      </c>
      <c r="AQ325">
        <f>IFERROR(IF(AZ325&lt;($AM$11-$AL$11)/($AN$11-$AL$11),$AL$11+SQRT(AZ325*($AN$11-$AL$11)*($AM$11-$AL$11)),$AN$11-SQRT((1-AZ325)*($AN$11-$AL$11)*($AN$11-$AM$11))),$AM$11)</f>
        <v/>
      </c>
      <c r="AR325">
        <f>SUMPRODUCT((B24:B31&lt;=$B$6)*(C24:C31*AM325+D24:D31*AO325*$B$8*AQ325)/(1+AL325/100)^B24:B31)+C32*AM325*AP325/(1+AL325/100)^$B$6</f>
        <v/>
      </c>
      <c r="AS325">
        <f>SUMPRODUCT((K24:K26&lt;=$B$6)*(L24:L26*AN325+M24:M26*AO325*$B$8*AQ325)/(1+AL325/100)^K24:K26)+L27*AN325*AP325/(1+AL325/100)^$B$6</f>
        <v/>
      </c>
      <c r="AT325">
        <f>AS325-AR325</f>
        <v/>
      </c>
      <c r="AU325">
        <f>RAND()</f>
        <v/>
      </c>
      <c r="AV325">
        <f>RAND()</f>
        <v/>
      </c>
      <c r="AW325">
        <f>RAND()</f>
        <v/>
      </c>
      <c r="AX325">
        <f>RAND()</f>
        <v/>
      </c>
      <c r="AY325">
        <f>RAND()</f>
        <v/>
      </c>
      <c r="AZ325">
        <f>RAND()</f>
        <v/>
      </c>
    </row>
    <row r="326">
      <c r="AK326" t="n">
        <v>313</v>
      </c>
      <c r="AL326">
        <f>IFERROR(IF(AU326&lt;($AM$6-$AL$6)/($AN$6-$AL$6),$AL$6+SQRT(AU326*($AN$6-$AL$6)*($AM$6-$AL$6)),$AN$6-SQRT((1-AU326)*($AN$6-$AL$6)*($AN$6-$AM$6))),$AM$6)</f>
        <v/>
      </c>
      <c r="AM326">
        <f>IFERROR(IF(AV326&lt;($AM$7-$AL$7)/($AN$7-$AL$7),$AL$7+SQRT(AV326*($AN$7-$AL$7)*($AM$7-$AL$7)),$AN$7-SQRT((1-AV326)*($AN$7-$AL$7)*($AN$7-$AM$7))),$AM$7)</f>
        <v/>
      </c>
      <c r="AN326">
        <f>IFERROR(IF(AW326&lt;($AM$8-$AL$8)/($AN$8-$AL$8),$AL$8+SQRT(AW326*($AN$8-$AL$8)*($AM$8-$AL$8)),$AN$8-SQRT((1-AW326)*($AN$8-$AL$8)*($AN$8-$AM$8))),$AM$8)</f>
        <v/>
      </c>
      <c r="AO326">
        <f>IFERROR(IF(AX326&lt;($AM$9-$AL$9)/($AN$9-$AL$9),$AL$9+SQRT(AX326*($AN$9-$AL$9)*($AM$9-$AL$9)),$AN$9-SQRT((1-AX326)*($AN$9-$AL$9)*($AN$9-$AM$9))),$AM$9)</f>
        <v/>
      </c>
      <c r="AP326">
        <f>IFERROR(IF(AY326&lt;($AM$10-$AL$10)/($AN$10-$AL$10),$AL$10+SQRT(AY326*($AN$10-$AL$10)*($AM$10-$AL$10)),$AN$10-SQRT((1-AY326)*($AN$10-$AL$10)*($AN$10-$AM$10))),$AM$10)</f>
        <v/>
      </c>
      <c r="AQ326">
        <f>IFERROR(IF(AZ326&lt;($AM$11-$AL$11)/($AN$11-$AL$11),$AL$11+SQRT(AZ326*($AN$11-$AL$11)*($AM$11-$AL$11)),$AN$11-SQRT((1-AZ326)*($AN$11-$AL$11)*($AN$11-$AM$11))),$AM$11)</f>
        <v/>
      </c>
      <c r="AR326">
        <f>SUMPRODUCT((B24:B31&lt;=$B$6)*(C24:C31*AM326+D24:D31*AO326*$B$8*AQ326)/(1+AL326/100)^B24:B31)+C32*AM326*AP326/(1+AL326/100)^$B$6</f>
        <v/>
      </c>
      <c r="AS326">
        <f>SUMPRODUCT((K24:K26&lt;=$B$6)*(L24:L26*AN326+M24:M26*AO326*$B$8*AQ326)/(1+AL326/100)^K24:K26)+L27*AN326*AP326/(1+AL326/100)^$B$6</f>
        <v/>
      </c>
      <c r="AT326">
        <f>AS326-AR326</f>
        <v/>
      </c>
      <c r="AU326">
        <f>RAND()</f>
        <v/>
      </c>
      <c r="AV326">
        <f>RAND()</f>
        <v/>
      </c>
      <c r="AW326">
        <f>RAND()</f>
        <v/>
      </c>
      <c r="AX326">
        <f>RAND()</f>
        <v/>
      </c>
      <c r="AY326">
        <f>RAND()</f>
        <v/>
      </c>
      <c r="AZ326">
        <f>RAND()</f>
        <v/>
      </c>
    </row>
    <row r="327">
      <c r="AK327" t="n">
        <v>314</v>
      </c>
      <c r="AL327">
        <f>IFERROR(IF(AU327&lt;($AM$6-$AL$6)/($AN$6-$AL$6),$AL$6+SQRT(AU327*($AN$6-$AL$6)*($AM$6-$AL$6)),$AN$6-SQRT((1-AU327)*($AN$6-$AL$6)*($AN$6-$AM$6))),$AM$6)</f>
        <v/>
      </c>
      <c r="AM327">
        <f>IFERROR(IF(AV327&lt;($AM$7-$AL$7)/($AN$7-$AL$7),$AL$7+SQRT(AV327*($AN$7-$AL$7)*($AM$7-$AL$7)),$AN$7-SQRT((1-AV327)*($AN$7-$AL$7)*($AN$7-$AM$7))),$AM$7)</f>
        <v/>
      </c>
      <c r="AN327">
        <f>IFERROR(IF(AW327&lt;($AM$8-$AL$8)/($AN$8-$AL$8),$AL$8+SQRT(AW327*($AN$8-$AL$8)*($AM$8-$AL$8)),$AN$8-SQRT((1-AW327)*($AN$8-$AL$8)*($AN$8-$AM$8))),$AM$8)</f>
        <v/>
      </c>
      <c r="AO327">
        <f>IFERROR(IF(AX327&lt;($AM$9-$AL$9)/($AN$9-$AL$9),$AL$9+SQRT(AX327*($AN$9-$AL$9)*($AM$9-$AL$9)),$AN$9-SQRT((1-AX327)*($AN$9-$AL$9)*($AN$9-$AM$9))),$AM$9)</f>
        <v/>
      </c>
      <c r="AP327">
        <f>IFERROR(IF(AY327&lt;($AM$10-$AL$10)/($AN$10-$AL$10),$AL$10+SQRT(AY327*($AN$10-$AL$10)*($AM$10-$AL$10)),$AN$10-SQRT((1-AY327)*($AN$10-$AL$10)*($AN$10-$AM$10))),$AM$10)</f>
        <v/>
      </c>
      <c r="AQ327">
        <f>IFERROR(IF(AZ327&lt;($AM$11-$AL$11)/($AN$11-$AL$11),$AL$11+SQRT(AZ327*($AN$11-$AL$11)*($AM$11-$AL$11)),$AN$11-SQRT((1-AZ327)*($AN$11-$AL$11)*($AN$11-$AM$11))),$AM$11)</f>
        <v/>
      </c>
      <c r="AR327">
        <f>SUMPRODUCT((B24:B31&lt;=$B$6)*(C24:C31*AM327+D24:D31*AO327*$B$8*AQ327)/(1+AL327/100)^B24:B31)+C32*AM327*AP327/(1+AL327/100)^$B$6</f>
        <v/>
      </c>
      <c r="AS327">
        <f>SUMPRODUCT((K24:K26&lt;=$B$6)*(L24:L26*AN327+M24:M26*AO327*$B$8*AQ327)/(1+AL327/100)^K24:K26)+L27*AN327*AP327/(1+AL327/100)^$B$6</f>
        <v/>
      </c>
      <c r="AT327">
        <f>AS327-AR327</f>
        <v/>
      </c>
      <c r="AU327">
        <f>RAND()</f>
        <v/>
      </c>
      <c r="AV327">
        <f>RAND()</f>
        <v/>
      </c>
      <c r="AW327">
        <f>RAND()</f>
        <v/>
      </c>
      <c r="AX327">
        <f>RAND()</f>
        <v/>
      </c>
      <c r="AY327">
        <f>RAND()</f>
        <v/>
      </c>
      <c r="AZ327">
        <f>RAND()</f>
        <v/>
      </c>
    </row>
    <row r="328">
      <c r="AK328" t="n">
        <v>315</v>
      </c>
      <c r="AL328">
        <f>IFERROR(IF(AU328&lt;($AM$6-$AL$6)/($AN$6-$AL$6),$AL$6+SQRT(AU328*($AN$6-$AL$6)*($AM$6-$AL$6)),$AN$6-SQRT((1-AU328)*($AN$6-$AL$6)*($AN$6-$AM$6))),$AM$6)</f>
        <v/>
      </c>
      <c r="AM328">
        <f>IFERROR(IF(AV328&lt;($AM$7-$AL$7)/($AN$7-$AL$7),$AL$7+SQRT(AV328*($AN$7-$AL$7)*($AM$7-$AL$7)),$AN$7-SQRT((1-AV328)*($AN$7-$AL$7)*($AN$7-$AM$7))),$AM$7)</f>
        <v/>
      </c>
      <c r="AN328">
        <f>IFERROR(IF(AW328&lt;($AM$8-$AL$8)/($AN$8-$AL$8),$AL$8+SQRT(AW328*($AN$8-$AL$8)*($AM$8-$AL$8)),$AN$8-SQRT((1-AW328)*($AN$8-$AL$8)*($AN$8-$AM$8))),$AM$8)</f>
        <v/>
      </c>
      <c r="AO328">
        <f>IFERROR(IF(AX328&lt;($AM$9-$AL$9)/($AN$9-$AL$9),$AL$9+SQRT(AX328*($AN$9-$AL$9)*($AM$9-$AL$9)),$AN$9-SQRT((1-AX328)*($AN$9-$AL$9)*($AN$9-$AM$9))),$AM$9)</f>
        <v/>
      </c>
      <c r="AP328">
        <f>IFERROR(IF(AY328&lt;($AM$10-$AL$10)/($AN$10-$AL$10),$AL$10+SQRT(AY328*($AN$10-$AL$10)*($AM$10-$AL$10)),$AN$10-SQRT((1-AY328)*($AN$10-$AL$10)*($AN$10-$AM$10))),$AM$10)</f>
        <v/>
      </c>
      <c r="AQ328">
        <f>IFERROR(IF(AZ328&lt;($AM$11-$AL$11)/($AN$11-$AL$11),$AL$11+SQRT(AZ328*($AN$11-$AL$11)*($AM$11-$AL$11)),$AN$11-SQRT((1-AZ328)*($AN$11-$AL$11)*($AN$11-$AM$11))),$AM$11)</f>
        <v/>
      </c>
      <c r="AR328">
        <f>SUMPRODUCT((B24:B31&lt;=$B$6)*(C24:C31*AM328+D24:D31*AO328*$B$8*AQ328)/(1+AL328/100)^B24:B31)+C32*AM328*AP328/(1+AL328/100)^$B$6</f>
        <v/>
      </c>
      <c r="AS328">
        <f>SUMPRODUCT((K24:K26&lt;=$B$6)*(L24:L26*AN328+M24:M26*AO328*$B$8*AQ328)/(1+AL328/100)^K24:K26)+L27*AN328*AP328/(1+AL328/100)^$B$6</f>
        <v/>
      </c>
      <c r="AT328">
        <f>AS328-AR328</f>
        <v/>
      </c>
      <c r="AU328">
        <f>RAND()</f>
        <v/>
      </c>
      <c r="AV328">
        <f>RAND()</f>
        <v/>
      </c>
      <c r="AW328">
        <f>RAND()</f>
        <v/>
      </c>
      <c r="AX328">
        <f>RAND()</f>
        <v/>
      </c>
      <c r="AY328">
        <f>RAND()</f>
        <v/>
      </c>
      <c r="AZ328">
        <f>RAND()</f>
        <v/>
      </c>
    </row>
    <row r="329">
      <c r="AK329" t="n">
        <v>316</v>
      </c>
      <c r="AL329">
        <f>IFERROR(IF(AU329&lt;($AM$6-$AL$6)/($AN$6-$AL$6),$AL$6+SQRT(AU329*($AN$6-$AL$6)*($AM$6-$AL$6)),$AN$6-SQRT((1-AU329)*($AN$6-$AL$6)*($AN$6-$AM$6))),$AM$6)</f>
        <v/>
      </c>
      <c r="AM329">
        <f>IFERROR(IF(AV329&lt;($AM$7-$AL$7)/($AN$7-$AL$7),$AL$7+SQRT(AV329*($AN$7-$AL$7)*($AM$7-$AL$7)),$AN$7-SQRT((1-AV329)*($AN$7-$AL$7)*($AN$7-$AM$7))),$AM$7)</f>
        <v/>
      </c>
      <c r="AN329">
        <f>IFERROR(IF(AW329&lt;($AM$8-$AL$8)/($AN$8-$AL$8),$AL$8+SQRT(AW329*($AN$8-$AL$8)*($AM$8-$AL$8)),$AN$8-SQRT((1-AW329)*($AN$8-$AL$8)*($AN$8-$AM$8))),$AM$8)</f>
        <v/>
      </c>
      <c r="AO329">
        <f>IFERROR(IF(AX329&lt;($AM$9-$AL$9)/($AN$9-$AL$9),$AL$9+SQRT(AX329*($AN$9-$AL$9)*($AM$9-$AL$9)),$AN$9-SQRT((1-AX329)*($AN$9-$AL$9)*($AN$9-$AM$9))),$AM$9)</f>
        <v/>
      </c>
      <c r="AP329">
        <f>IFERROR(IF(AY329&lt;($AM$10-$AL$10)/($AN$10-$AL$10),$AL$10+SQRT(AY329*($AN$10-$AL$10)*($AM$10-$AL$10)),$AN$10-SQRT((1-AY329)*($AN$10-$AL$10)*($AN$10-$AM$10))),$AM$10)</f>
        <v/>
      </c>
      <c r="AQ329">
        <f>IFERROR(IF(AZ329&lt;($AM$11-$AL$11)/($AN$11-$AL$11),$AL$11+SQRT(AZ329*($AN$11-$AL$11)*($AM$11-$AL$11)),$AN$11-SQRT((1-AZ329)*($AN$11-$AL$11)*($AN$11-$AM$11))),$AM$11)</f>
        <v/>
      </c>
      <c r="AR329">
        <f>SUMPRODUCT((B24:B31&lt;=$B$6)*(C24:C31*AM329+D24:D31*AO329*$B$8*AQ329)/(1+AL329/100)^B24:B31)+C32*AM329*AP329/(1+AL329/100)^$B$6</f>
        <v/>
      </c>
      <c r="AS329">
        <f>SUMPRODUCT((K24:K26&lt;=$B$6)*(L24:L26*AN329+M24:M26*AO329*$B$8*AQ329)/(1+AL329/100)^K24:K26)+L27*AN329*AP329/(1+AL329/100)^$B$6</f>
        <v/>
      </c>
      <c r="AT329">
        <f>AS329-AR329</f>
        <v/>
      </c>
      <c r="AU329">
        <f>RAND()</f>
        <v/>
      </c>
      <c r="AV329">
        <f>RAND()</f>
        <v/>
      </c>
      <c r="AW329">
        <f>RAND()</f>
        <v/>
      </c>
      <c r="AX329">
        <f>RAND()</f>
        <v/>
      </c>
      <c r="AY329">
        <f>RAND()</f>
        <v/>
      </c>
      <c r="AZ329">
        <f>RAND()</f>
        <v/>
      </c>
    </row>
    <row r="330">
      <c r="AK330" t="n">
        <v>317</v>
      </c>
      <c r="AL330">
        <f>IFERROR(IF(AU330&lt;($AM$6-$AL$6)/($AN$6-$AL$6),$AL$6+SQRT(AU330*($AN$6-$AL$6)*($AM$6-$AL$6)),$AN$6-SQRT((1-AU330)*($AN$6-$AL$6)*($AN$6-$AM$6))),$AM$6)</f>
        <v/>
      </c>
      <c r="AM330">
        <f>IFERROR(IF(AV330&lt;($AM$7-$AL$7)/($AN$7-$AL$7),$AL$7+SQRT(AV330*($AN$7-$AL$7)*($AM$7-$AL$7)),$AN$7-SQRT((1-AV330)*($AN$7-$AL$7)*($AN$7-$AM$7))),$AM$7)</f>
        <v/>
      </c>
      <c r="AN330">
        <f>IFERROR(IF(AW330&lt;($AM$8-$AL$8)/($AN$8-$AL$8),$AL$8+SQRT(AW330*($AN$8-$AL$8)*($AM$8-$AL$8)),$AN$8-SQRT((1-AW330)*($AN$8-$AL$8)*($AN$8-$AM$8))),$AM$8)</f>
        <v/>
      </c>
      <c r="AO330">
        <f>IFERROR(IF(AX330&lt;($AM$9-$AL$9)/($AN$9-$AL$9),$AL$9+SQRT(AX330*($AN$9-$AL$9)*($AM$9-$AL$9)),$AN$9-SQRT((1-AX330)*($AN$9-$AL$9)*($AN$9-$AM$9))),$AM$9)</f>
        <v/>
      </c>
      <c r="AP330">
        <f>IFERROR(IF(AY330&lt;($AM$10-$AL$10)/($AN$10-$AL$10),$AL$10+SQRT(AY330*($AN$10-$AL$10)*($AM$10-$AL$10)),$AN$10-SQRT((1-AY330)*($AN$10-$AL$10)*($AN$10-$AM$10))),$AM$10)</f>
        <v/>
      </c>
      <c r="AQ330">
        <f>IFERROR(IF(AZ330&lt;($AM$11-$AL$11)/($AN$11-$AL$11),$AL$11+SQRT(AZ330*($AN$11-$AL$11)*($AM$11-$AL$11)),$AN$11-SQRT((1-AZ330)*($AN$11-$AL$11)*($AN$11-$AM$11))),$AM$11)</f>
        <v/>
      </c>
      <c r="AR330">
        <f>SUMPRODUCT((B24:B31&lt;=$B$6)*(C24:C31*AM330+D24:D31*AO330*$B$8*AQ330)/(1+AL330/100)^B24:B31)+C32*AM330*AP330/(1+AL330/100)^$B$6</f>
        <v/>
      </c>
      <c r="AS330">
        <f>SUMPRODUCT((K24:K26&lt;=$B$6)*(L24:L26*AN330+M24:M26*AO330*$B$8*AQ330)/(1+AL330/100)^K24:K26)+L27*AN330*AP330/(1+AL330/100)^$B$6</f>
        <v/>
      </c>
      <c r="AT330">
        <f>AS330-AR330</f>
        <v/>
      </c>
      <c r="AU330">
        <f>RAND()</f>
        <v/>
      </c>
      <c r="AV330">
        <f>RAND()</f>
        <v/>
      </c>
      <c r="AW330">
        <f>RAND()</f>
        <v/>
      </c>
      <c r="AX330">
        <f>RAND()</f>
        <v/>
      </c>
      <c r="AY330">
        <f>RAND()</f>
        <v/>
      </c>
      <c r="AZ330">
        <f>RAND()</f>
        <v/>
      </c>
    </row>
    <row r="331">
      <c r="AK331" t="n">
        <v>318</v>
      </c>
      <c r="AL331">
        <f>IFERROR(IF(AU331&lt;($AM$6-$AL$6)/($AN$6-$AL$6),$AL$6+SQRT(AU331*($AN$6-$AL$6)*($AM$6-$AL$6)),$AN$6-SQRT((1-AU331)*($AN$6-$AL$6)*($AN$6-$AM$6))),$AM$6)</f>
        <v/>
      </c>
      <c r="AM331">
        <f>IFERROR(IF(AV331&lt;($AM$7-$AL$7)/($AN$7-$AL$7),$AL$7+SQRT(AV331*($AN$7-$AL$7)*($AM$7-$AL$7)),$AN$7-SQRT((1-AV331)*($AN$7-$AL$7)*($AN$7-$AM$7))),$AM$7)</f>
        <v/>
      </c>
      <c r="AN331">
        <f>IFERROR(IF(AW331&lt;($AM$8-$AL$8)/($AN$8-$AL$8),$AL$8+SQRT(AW331*($AN$8-$AL$8)*($AM$8-$AL$8)),$AN$8-SQRT((1-AW331)*($AN$8-$AL$8)*($AN$8-$AM$8))),$AM$8)</f>
        <v/>
      </c>
      <c r="AO331">
        <f>IFERROR(IF(AX331&lt;($AM$9-$AL$9)/($AN$9-$AL$9),$AL$9+SQRT(AX331*($AN$9-$AL$9)*($AM$9-$AL$9)),$AN$9-SQRT((1-AX331)*($AN$9-$AL$9)*($AN$9-$AM$9))),$AM$9)</f>
        <v/>
      </c>
      <c r="AP331">
        <f>IFERROR(IF(AY331&lt;($AM$10-$AL$10)/($AN$10-$AL$10),$AL$10+SQRT(AY331*($AN$10-$AL$10)*($AM$10-$AL$10)),$AN$10-SQRT((1-AY331)*($AN$10-$AL$10)*($AN$10-$AM$10))),$AM$10)</f>
        <v/>
      </c>
      <c r="AQ331">
        <f>IFERROR(IF(AZ331&lt;($AM$11-$AL$11)/($AN$11-$AL$11),$AL$11+SQRT(AZ331*($AN$11-$AL$11)*($AM$11-$AL$11)),$AN$11-SQRT((1-AZ331)*($AN$11-$AL$11)*($AN$11-$AM$11))),$AM$11)</f>
        <v/>
      </c>
      <c r="AR331">
        <f>SUMPRODUCT((B24:B31&lt;=$B$6)*(C24:C31*AM331+D24:D31*AO331*$B$8*AQ331)/(1+AL331/100)^B24:B31)+C32*AM331*AP331/(1+AL331/100)^$B$6</f>
        <v/>
      </c>
      <c r="AS331">
        <f>SUMPRODUCT((K24:K26&lt;=$B$6)*(L24:L26*AN331+M24:M26*AO331*$B$8*AQ331)/(1+AL331/100)^K24:K26)+L27*AN331*AP331/(1+AL331/100)^$B$6</f>
        <v/>
      </c>
      <c r="AT331">
        <f>AS331-AR331</f>
        <v/>
      </c>
      <c r="AU331">
        <f>RAND()</f>
        <v/>
      </c>
      <c r="AV331">
        <f>RAND()</f>
        <v/>
      </c>
      <c r="AW331">
        <f>RAND()</f>
        <v/>
      </c>
      <c r="AX331">
        <f>RAND()</f>
        <v/>
      </c>
      <c r="AY331">
        <f>RAND()</f>
        <v/>
      </c>
      <c r="AZ331">
        <f>RAND()</f>
        <v/>
      </c>
    </row>
    <row r="332">
      <c r="AK332" t="n">
        <v>319</v>
      </c>
      <c r="AL332">
        <f>IFERROR(IF(AU332&lt;($AM$6-$AL$6)/($AN$6-$AL$6),$AL$6+SQRT(AU332*($AN$6-$AL$6)*($AM$6-$AL$6)),$AN$6-SQRT((1-AU332)*($AN$6-$AL$6)*($AN$6-$AM$6))),$AM$6)</f>
        <v/>
      </c>
      <c r="AM332">
        <f>IFERROR(IF(AV332&lt;($AM$7-$AL$7)/($AN$7-$AL$7),$AL$7+SQRT(AV332*($AN$7-$AL$7)*($AM$7-$AL$7)),$AN$7-SQRT((1-AV332)*($AN$7-$AL$7)*($AN$7-$AM$7))),$AM$7)</f>
        <v/>
      </c>
      <c r="AN332">
        <f>IFERROR(IF(AW332&lt;($AM$8-$AL$8)/($AN$8-$AL$8),$AL$8+SQRT(AW332*($AN$8-$AL$8)*($AM$8-$AL$8)),$AN$8-SQRT((1-AW332)*($AN$8-$AL$8)*($AN$8-$AM$8))),$AM$8)</f>
        <v/>
      </c>
      <c r="AO332">
        <f>IFERROR(IF(AX332&lt;($AM$9-$AL$9)/($AN$9-$AL$9),$AL$9+SQRT(AX332*($AN$9-$AL$9)*($AM$9-$AL$9)),$AN$9-SQRT((1-AX332)*($AN$9-$AL$9)*($AN$9-$AM$9))),$AM$9)</f>
        <v/>
      </c>
      <c r="AP332">
        <f>IFERROR(IF(AY332&lt;($AM$10-$AL$10)/($AN$10-$AL$10),$AL$10+SQRT(AY332*($AN$10-$AL$10)*($AM$10-$AL$10)),$AN$10-SQRT((1-AY332)*($AN$10-$AL$10)*($AN$10-$AM$10))),$AM$10)</f>
        <v/>
      </c>
      <c r="AQ332">
        <f>IFERROR(IF(AZ332&lt;($AM$11-$AL$11)/($AN$11-$AL$11),$AL$11+SQRT(AZ332*($AN$11-$AL$11)*($AM$11-$AL$11)),$AN$11-SQRT((1-AZ332)*($AN$11-$AL$11)*($AN$11-$AM$11))),$AM$11)</f>
        <v/>
      </c>
      <c r="AR332">
        <f>SUMPRODUCT((B24:B31&lt;=$B$6)*(C24:C31*AM332+D24:D31*AO332*$B$8*AQ332)/(1+AL332/100)^B24:B31)+C32*AM332*AP332/(1+AL332/100)^$B$6</f>
        <v/>
      </c>
      <c r="AS332">
        <f>SUMPRODUCT((K24:K26&lt;=$B$6)*(L24:L26*AN332+M24:M26*AO332*$B$8*AQ332)/(1+AL332/100)^K24:K26)+L27*AN332*AP332/(1+AL332/100)^$B$6</f>
        <v/>
      </c>
      <c r="AT332">
        <f>AS332-AR332</f>
        <v/>
      </c>
      <c r="AU332">
        <f>RAND()</f>
        <v/>
      </c>
      <c r="AV332">
        <f>RAND()</f>
        <v/>
      </c>
      <c r="AW332">
        <f>RAND()</f>
        <v/>
      </c>
      <c r="AX332">
        <f>RAND()</f>
        <v/>
      </c>
      <c r="AY332">
        <f>RAND()</f>
        <v/>
      </c>
      <c r="AZ332">
        <f>RAND()</f>
        <v/>
      </c>
    </row>
    <row r="333">
      <c r="AK333" t="n">
        <v>320</v>
      </c>
      <c r="AL333">
        <f>IFERROR(IF(AU333&lt;($AM$6-$AL$6)/($AN$6-$AL$6),$AL$6+SQRT(AU333*($AN$6-$AL$6)*($AM$6-$AL$6)),$AN$6-SQRT((1-AU333)*($AN$6-$AL$6)*($AN$6-$AM$6))),$AM$6)</f>
        <v/>
      </c>
      <c r="AM333">
        <f>IFERROR(IF(AV333&lt;($AM$7-$AL$7)/($AN$7-$AL$7),$AL$7+SQRT(AV333*($AN$7-$AL$7)*($AM$7-$AL$7)),$AN$7-SQRT((1-AV333)*($AN$7-$AL$7)*($AN$7-$AM$7))),$AM$7)</f>
        <v/>
      </c>
      <c r="AN333">
        <f>IFERROR(IF(AW333&lt;($AM$8-$AL$8)/($AN$8-$AL$8),$AL$8+SQRT(AW333*($AN$8-$AL$8)*($AM$8-$AL$8)),$AN$8-SQRT((1-AW333)*($AN$8-$AL$8)*($AN$8-$AM$8))),$AM$8)</f>
        <v/>
      </c>
      <c r="AO333">
        <f>IFERROR(IF(AX333&lt;($AM$9-$AL$9)/($AN$9-$AL$9),$AL$9+SQRT(AX333*($AN$9-$AL$9)*($AM$9-$AL$9)),$AN$9-SQRT((1-AX333)*($AN$9-$AL$9)*($AN$9-$AM$9))),$AM$9)</f>
        <v/>
      </c>
      <c r="AP333">
        <f>IFERROR(IF(AY333&lt;($AM$10-$AL$10)/($AN$10-$AL$10),$AL$10+SQRT(AY333*($AN$10-$AL$10)*($AM$10-$AL$10)),$AN$10-SQRT((1-AY333)*($AN$10-$AL$10)*($AN$10-$AM$10))),$AM$10)</f>
        <v/>
      </c>
      <c r="AQ333">
        <f>IFERROR(IF(AZ333&lt;($AM$11-$AL$11)/($AN$11-$AL$11),$AL$11+SQRT(AZ333*($AN$11-$AL$11)*($AM$11-$AL$11)),$AN$11-SQRT((1-AZ333)*($AN$11-$AL$11)*($AN$11-$AM$11))),$AM$11)</f>
        <v/>
      </c>
      <c r="AR333">
        <f>SUMPRODUCT((B24:B31&lt;=$B$6)*(C24:C31*AM333+D24:D31*AO333*$B$8*AQ333)/(1+AL333/100)^B24:B31)+C32*AM333*AP333/(1+AL333/100)^$B$6</f>
        <v/>
      </c>
      <c r="AS333">
        <f>SUMPRODUCT((K24:K26&lt;=$B$6)*(L24:L26*AN333+M24:M26*AO333*$B$8*AQ333)/(1+AL333/100)^K24:K26)+L27*AN333*AP333/(1+AL333/100)^$B$6</f>
        <v/>
      </c>
      <c r="AT333">
        <f>AS333-AR333</f>
        <v/>
      </c>
      <c r="AU333">
        <f>RAND()</f>
        <v/>
      </c>
      <c r="AV333">
        <f>RAND()</f>
        <v/>
      </c>
      <c r="AW333">
        <f>RAND()</f>
        <v/>
      </c>
      <c r="AX333">
        <f>RAND()</f>
        <v/>
      </c>
      <c r="AY333">
        <f>RAND()</f>
        <v/>
      </c>
      <c r="AZ333">
        <f>RAND()</f>
        <v/>
      </c>
    </row>
    <row r="334">
      <c r="AK334" t="n">
        <v>321</v>
      </c>
      <c r="AL334">
        <f>IFERROR(IF(AU334&lt;($AM$6-$AL$6)/($AN$6-$AL$6),$AL$6+SQRT(AU334*($AN$6-$AL$6)*($AM$6-$AL$6)),$AN$6-SQRT((1-AU334)*($AN$6-$AL$6)*($AN$6-$AM$6))),$AM$6)</f>
        <v/>
      </c>
      <c r="AM334">
        <f>IFERROR(IF(AV334&lt;($AM$7-$AL$7)/($AN$7-$AL$7),$AL$7+SQRT(AV334*($AN$7-$AL$7)*($AM$7-$AL$7)),$AN$7-SQRT((1-AV334)*($AN$7-$AL$7)*($AN$7-$AM$7))),$AM$7)</f>
        <v/>
      </c>
      <c r="AN334">
        <f>IFERROR(IF(AW334&lt;($AM$8-$AL$8)/($AN$8-$AL$8),$AL$8+SQRT(AW334*($AN$8-$AL$8)*($AM$8-$AL$8)),$AN$8-SQRT((1-AW334)*($AN$8-$AL$8)*($AN$8-$AM$8))),$AM$8)</f>
        <v/>
      </c>
      <c r="AO334">
        <f>IFERROR(IF(AX334&lt;($AM$9-$AL$9)/($AN$9-$AL$9),$AL$9+SQRT(AX334*($AN$9-$AL$9)*($AM$9-$AL$9)),$AN$9-SQRT((1-AX334)*($AN$9-$AL$9)*($AN$9-$AM$9))),$AM$9)</f>
        <v/>
      </c>
      <c r="AP334">
        <f>IFERROR(IF(AY334&lt;($AM$10-$AL$10)/($AN$10-$AL$10),$AL$10+SQRT(AY334*($AN$10-$AL$10)*($AM$10-$AL$10)),$AN$10-SQRT((1-AY334)*($AN$10-$AL$10)*($AN$10-$AM$10))),$AM$10)</f>
        <v/>
      </c>
      <c r="AQ334">
        <f>IFERROR(IF(AZ334&lt;($AM$11-$AL$11)/($AN$11-$AL$11),$AL$11+SQRT(AZ334*($AN$11-$AL$11)*($AM$11-$AL$11)),$AN$11-SQRT((1-AZ334)*($AN$11-$AL$11)*($AN$11-$AM$11))),$AM$11)</f>
        <v/>
      </c>
      <c r="AR334">
        <f>SUMPRODUCT((B24:B31&lt;=$B$6)*(C24:C31*AM334+D24:D31*AO334*$B$8*AQ334)/(1+AL334/100)^B24:B31)+C32*AM334*AP334/(1+AL334/100)^$B$6</f>
        <v/>
      </c>
      <c r="AS334">
        <f>SUMPRODUCT((K24:K26&lt;=$B$6)*(L24:L26*AN334+M24:M26*AO334*$B$8*AQ334)/(1+AL334/100)^K24:K26)+L27*AN334*AP334/(1+AL334/100)^$B$6</f>
        <v/>
      </c>
      <c r="AT334">
        <f>AS334-AR334</f>
        <v/>
      </c>
      <c r="AU334">
        <f>RAND()</f>
        <v/>
      </c>
      <c r="AV334">
        <f>RAND()</f>
        <v/>
      </c>
      <c r="AW334">
        <f>RAND()</f>
        <v/>
      </c>
      <c r="AX334">
        <f>RAND()</f>
        <v/>
      </c>
      <c r="AY334">
        <f>RAND()</f>
        <v/>
      </c>
      <c r="AZ334">
        <f>RAND()</f>
        <v/>
      </c>
    </row>
    <row r="335">
      <c r="AK335" t="n">
        <v>322</v>
      </c>
      <c r="AL335">
        <f>IFERROR(IF(AU335&lt;($AM$6-$AL$6)/($AN$6-$AL$6),$AL$6+SQRT(AU335*($AN$6-$AL$6)*($AM$6-$AL$6)),$AN$6-SQRT((1-AU335)*($AN$6-$AL$6)*($AN$6-$AM$6))),$AM$6)</f>
        <v/>
      </c>
      <c r="AM335">
        <f>IFERROR(IF(AV335&lt;($AM$7-$AL$7)/($AN$7-$AL$7),$AL$7+SQRT(AV335*($AN$7-$AL$7)*($AM$7-$AL$7)),$AN$7-SQRT((1-AV335)*($AN$7-$AL$7)*($AN$7-$AM$7))),$AM$7)</f>
        <v/>
      </c>
      <c r="AN335">
        <f>IFERROR(IF(AW335&lt;($AM$8-$AL$8)/($AN$8-$AL$8),$AL$8+SQRT(AW335*($AN$8-$AL$8)*($AM$8-$AL$8)),$AN$8-SQRT((1-AW335)*($AN$8-$AL$8)*($AN$8-$AM$8))),$AM$8)</f>
        <v/>
      </c>
      <c r="AO335">
        <f>IFERROR(IF(AX335&lt;($AM$9-$AL$9)/($AN$9-$AL$9),$AL$9+SQRT(AX335*($AN$9-$AL$9)*($AM$9-$AL$9)),$AN$9-SQRT((1-AX335)*($AN$9-$AL$9)*($AN$9-$AM$9))),$AM$9)</f>
        <v/>
      </c>
      <c r="AP335">
        <f>IFERROR(IF(AY335&lt;($AM$10-$AL$10)/($AN$10-$AL$10),$AL$10+SQRT(AY335*($AN$10-$AL$10)*($AM$10-$AL$10)),$AN$10-SQRT((1-AY335)*($AN$10-$AL$10)*($AN$10-$AM$10))),$AM$10)</f>
        <v/>
      </c>
      <c r="AQ335">
        <f>IFERROR(IF(AZ335&lt;($AM$11-$AL$11)/($AN$11-$AL$11),$AL$11+SQRT(AZ335*($AN$11-$AL$11)*($AM$11-$AL$11)),$AN$11-SQRT((1-AZ335)*($AN$11-$AL$11)*($AN$11-$AM$11))),$AM$11)</f>
        <v/>
      </c>
      <c r="AR335">
        <f>SUMPRODUCT((B24:B31&lt;=$B$6)*(C24:C31*AM335+D24:D31*AO335*$B$8*AQ335)/(1+AL335/100)^B24:B31)+C32*AM335*AP335/(1+AL335/100)^$B$6</f>
        <v/>
      </c>
      <c r="AS335">
        <f>SUMPRODUCT((K24:K26&lt;=$B$6)*(L24:L26*AN335+M24:M26*AO335*$B$8*AQ335)/(1+AL335/100)^K24:K26)+L27*AN335*AP335/(1+AL335/100)^$B$6</f>
        <v/>
      </c>
      <c r="AT335">
        <f>AS335-AR335</f>
        <v/>
      </c>
      <c r="AU335">
        <f>RAND()</f>
        <v/>
      </c>
      <c r="AV335">
        <f>RAND()</f>
        <v/>
      </c>
      <c r="AW335">
        <f>RAND()</f>
        <v/>
      </c>
      <c r="AX335">
        <f>RAND()</f>
        <v/>
      </c>
      <c r="AY335">
        <f>RAND()</f>
        <v/>
      </c>
      <c r="AZ335">
        <f>RAND()</f>
        <v/>
      </c>
    </row>
    <row r="336">
      <c r="AK336" t="n">
        <v>323</v>
      </c>
      <c r="AL336">
        <f>IFERROR(IF(AU336&lt;($AM$6-$AL$6)/($AN$6-$AL$6),$AL$6+SQRT(AU336*($AN$6-$AL$6)*($AM$6-$AL$6)),$AN$6-SQRT((1-AU336)*($AN$6-$AL$6)*($AN$6-$AM$6))),$AM$6)</f>
        <v/>
      </c>
      <c r="AM336">
        <f>IFERROR(IF(AV336&lt;($AM$7-$AL$7)/($AN$7-$AL$7),$AL$7+SQRT(AV336*($AN$7-$AL$7)*($AM$7-$AL$7)),$AN$7-SQRT((1-AV336)*($AN$7-$AL$7)*($AN$7-$AM$7))),$AM$7)</f>
        <v/>
      </c>
      <c r="AN336">
        <f>IFERROR(IF(AW336&lt;($AM$8-$AL$8)/($AN$8-$AL$8),$AL$8+SQRT(AW336*($AN$8-$AL$8)*($AM$8-$AL$8)),$AN$8-SQRT((1-AW336)*($AN$8-$AL$8)*($AN$8-$AM$8))),$AM$8)</f>
        <v/>
      </c>
      <c r="AO336">
        <f>IFERROR(IF(AX336&lt;($AM$9-$AL$9)/($AN$9-$AL$9),$AL$9+SQRT(AX336*($AN$9-$AL$9)*($AM$9-$AL$9)),$AN$9-SQRT((1-AX336)*($AN$9-$AL$9)*($AN$9-$AM$9))),$AM$9)</f>
        <v/>
      </c>
      <c r="AP336">
        <f>IFERROR(IF(AY336&lt;($AM$10-$AL$10)/($AN$10-$AL$10),$AL$10+SQRT(AY336*($AN$10-$AL$10)*($AM$10-$AL$10)),$AN$10-SQRT((1-AY336)*($AN$10-$AL$10)*($AN$10-$AM$10))),$AM$10)</f>
        <v/>
      </c>
      <c r="AQ336">
        <f>IFERROR(IF(AZ336&lt;($AM$11-$AL$11)/($AN$11-$AL$11),$AL$11+SQRT(AZ336*($AN$11-$AL$11)*($AM$11-$AL$11)),$AN$11-SQRT((1-AZ336)*($AN$11-$AL$11)*($AN$11-$AM$11))),$AM$11)</f>
        <v/>
      </c>
      <c r="AR336">
        <f>SUMPRODUCT((B24:B31&lt;=$B$6)*(C24:C31*AM336+D24:D31*AO336*$B$8*AQ336)/(1+AL336/100)^B24:B31)+C32*AM336*AP336/(1+AL336/100)^$B$6</f>
        <v/>
      </c>
      <c r="AS336">
        <f>SUMPRODUCT((K24:K26&lt;=$B$6)*(L24:L26*AN336+M24:M26*AO336*$B$8*AQ336)/(1+AL336/100)^K24:K26)+L27*AN336*AP336/(1+AL336/100)^$B$6</f>
        <v/>
      </c>
      <c r="AT336">
        <f>AS336-AR336</f>
        <v/>
      </c>
      <c r="AU336">
        <f>RAND()</f>
        <v/>
      </c>
      <c r="AV336">
        <f>RAND()</f>
        <v/>
      </c>
      <c r="AW336">
        <f>RAND()</f>
        <v/>
      </c>
      <c r="AX336">
        <f>RAND()</f>
        <v/>
      </c>
      <c r="AY336">
        <f>RAND()</f>
        <v/>
      </c>
      <c r="AZ336">
        <f>RAND()</f>
        <v/>
      </c>
    </row>
    <row r="337">
      <c r="AK337" t="n">
        <v>324</v>
      </c>
      <c r="AL337">
        <f>IFERROR(IF(AU337&lt;($AM$6-$AL$6)/($AN$6-$AL$6),$AL$6+SQRT(AU337*($AN$6-$AL$6)*($AM$6-$AL$6)),$AN$6-SQRT((1-AU337)*($AN$6-$AL$6)*($AN$6-$AM$6))),$AM$6)</f>
        <v/>
      </c>
      <c r="AM337">
        <f>IFERROR(IF(AV337&lt;($AM$7-$AL$7)/($AN$7-$AL$7),$AL$7+SQRT(AV337*($AN$7-$AL$7)*($AM$7-$AL$7)),$AN$7-SQRT((1-AV337)*($AN$7-$AL$7)*($AN$7-$AM$7))),$AM$7)</f>
        <v/>
      </c>
      <c r="AN337">
        <f>IFERROR(IF(AW337&lt;($AM$8-$AL$8)/($AN$8-$AL$8),$AL$8+SQRT(AW337*($AN$8-$AL$8)*($AM$8-$AL$8)),$AN$8-SQRT((1-AW337)*($AN$8-$AL$8)*($AN$8-$AM$8))),$AM$8)</f>
        <v/>
      </c>
      <c r="AO337">
        <f>IFERROR(IF(AX337&lt;($AM$9-$AL$9)/($AN$9-$AL$9),$AL$9+SQRT(AX337*($AN$9-$AL$9)*($AM$9-$AL$9)),$AN$9-SQRT((1-AX337)*($AN$9-$AL$9)*($AN$9-$AM$9))),$AM$9)</f>
        <v/>
      </c>
      <c r="AP337">
        <f>IFERROR(IF(AY337&lt;($AM$10-$AL$10)/($AN$10-$AL$10),$AL$10+SQRT(AY337*($AN$10-$AL$10)*($AM$10-$AL$10)),$AN$10-SQRT((1-AY337)*($AN$10-$AL$10)*($AN$10-$AM$10))),$AM$10)</f>
        <v/>
      </c>
      <c r="AQ337">
        <f>IFERROR(IF(AZ337&lt;($AM$11-$AL$11)/($AN$11-$AL$11),$AL$11+SQRT(AZ337*($AN$11-$AL$11)*($AM$11-$AL$11)),$AN$11-SQRT((1-AZ337)*($AN$11-$AL$11)*($AN$11-$AM$11))),$AM$11)</f>
        <v/>
      </c>
      <c r="AR337">
        <f>SUMPRODUCT((B24:B31&lt;=$B$6)*(C24:C31*AM337+D24:D31*AO337*$B$8*AQ337)/(1+AL337/100)^B24:B31)+C32*AM337*AP337/(1+AL337/100)^$B$6</f>
        <v/>
      </c>
      <c r="AS337">
        <f>SUMPRODUCT((K24:K26&lt;=$B$6)*(L24:L26*AN337+M24:M26*AO337*$B$8*AQ337)/(1+AL337/100)^K24:K26)+L27*AN337*AP337/(1+AL337/100)^$B$6</f>
        <v/>
      </c>
      <c r="AT337">
        <f>AS337-AR337</f>
        <v/>
      </c>
      <c r="AU337">
        <f>RAND()</f>
        <v/>
      </c>
      <c r="AV337">
        <f>RAND()</f>
        <v/>
      </c>
      <c r="AW337">
        <f>RAND()</f>
        <v/>
      </c>
      <c r="AX337">
        <f>RAND()</f>
        <v/>
      </c>
      <c r="AY337">
        <f>RAND()</f>
        <v/>
      </c>
      <c r="AZ337">
        <f>RAND()</f>
        <v/>
      </c>
    </row>
    <row r="338">
      <c r="AK338" t="n">
        <v>325</v>
      </c>
      <c r="AL338">
        <f>IFERROR(IF(AU338&lt;($AM$6-$AL$6)/($AN$6-$AL$6),$AL$6+SQRT(AU338*($AN$6-$AL$6)*($AM$6-$AL$6)),$AN$6-SQRT((1-AU338)*($AN$6-$AL$6)*($AN$6-$AM$6))),$AM$6)</f>
        <v/>
      </c>
      <c r="AM338">
        <f>IFERROR(IF(AV338&lt;($AM$7-$AL$7)/($AN$7-$AL$7),$AL$7+SQRT(AV338*($AN$7-$AL$7)*($AM$7-$AL$7)),$AN$7-SQRT((1-AV338)*($AN$7-$AL$7)*($AN$7-$AM$7))),$AM$7)</f>
        <v/>
      </c>
      <c r="AN338">
        <f>IFERROR(IF(AW338&lt;($AM$8-$AL$8)/($AN$8-$AL$8),$AL$8+SQRT(AW338*($AN$8-$AL$8)*($AM$8-$AL$8)),$AN$8-SQRT((1-AW338)*($AN$8-$AL$8)*($AN$8-$AM$8))),$AM$8)</f>
        <v/>
      </c>
      <c r="AO338">
        <f>IFERROR(IF(AX338&lt;($AM$9-$AL$9)/($AN$9-$AL$9),$AL$9+SQRT(AX338*($AN$9-$AL$9)*($AM$9-$AL$9)),$AN$9-SQRT((1-AX338)*($AN$9-$AL$9)*($AN$9-$AM$9))),$AM$9)</f>
        <v/>
      </c>
      <c r="AP338">
        <f>IFERROR(IF(AY338&lt;($AM$10-$AL$10)/($AN$10-$AL$10),$AL$10+SQRT(AY338*($AN$10-$AL$10)*($AM$10-$AL$10)),$AN$10-SQRT((1-AY338)*($AN$10-$AL$10)*($AN$10-$AM$10))),$AM$10)</f>
        <v/>
      </c>
      <c r="AQ338">
        <f>IFERROR(IF(AZ338&lt;($AM$11-$AL$11)/($AN$11-$AL$11),$AL$11+SQRT(AZ338*($AN$11-$AL$11)*($AM$11-$AL$11)),$AN$11-SQRT((1-AZ338)*($AN$11-$AL$11)*($AN$11-$AM$11))),$AM$11)</f>
        <v/>
      </c>
      <c r="AR338">
        <f>SUMPRODUCT((B24:B31&lt;=$B$6)*(C24:C31*AM338+D24:D31*AO338*$B$8*AQ338)/(1+AL338/100)^B24:B31)+C32*AM338*AP338/(1+AL338/100)^$B$6</f>
        <v/>
      </c>
      <c r="AS338">
        <f>SUMPRODUCT((K24:K26&lt;=$B$6)*(L24:L26*AN338+M24:M26*AO338*$B$8*AQ338)/(1+AL338/100)^K24:K26)+L27*AN338*AP338/(1+AL338/100)^$B$6</f>
        <v/>
      </c>
      <c r="AT338">
        <f>AS338-AR338</f>
        <v/>
      </c>
      <c r="AU338">
        <f>RAND()</f>
        <v/>
      </c>
      <c r="AV338">
        <f>RAND()</f>
        <v/>
      </c>
      <c r="AW338">
        <f>RAND()</f>
        <v/>
      </c>
      <c r="AX338">
        <f>RAND()</f>
        <v/>
      </c>
      <c r="AY338">
        <f>RAND()</f>
        <v/>
      </c>
      <c r="AZ338">
        <f>RAND()</f>
        <v/>
      </c>
    </row>
    <row r="339">
      <c r="AK339" t="n">
        <v>326</v>
      </c>
      <c r="AL339">
        <f>IFERROR(IF(AU339&lt;($AM$6-$AL$6)/($AN$6-$AL$6),$AL$6+SQRT(AU339*($AN$6-$AL$6)*($AM$6-$AL$6)),$AN$6-SQRT((1-AU339)*($AN$6-$AL$6)*($AN$6-$AM$6))),$AM$6)</f>
        <v/>
      </c>
      <c r="AM339">
        <f>IFERROR(IF(AV339&lt;($AM$7-$AL$7)/($AN$7-$AL$7),$AL$7+SQRT(AV339*($AN$7-$AL$7)*($AM$7-$AL$7)),$AN$7-SQRT((1-AV339)*($AN$7-$AL$7)*($AN$7-$AM$7))),$AM$7)</f>
        <v/>
      </c>
      <c r="AN339">
        <f>IFERROR(IF(AW339&lt;($AM$8-$AL$8)/($AN$8-$AL$8),$AL$8+SQRT(AW339*($AN$8-$AL$8)*($AM$8-$AL$8)),$AN$8-SQRT((1-AW339)*($AN$8-$AL$8)*($AN$8-$AM$8))),$AM$8)</f>
        <v/>
      </c>
      <c r="AO339">
        <f>IFERROR(IF(AX339&lt;($AM$9-$AL$9)/($AN$9-$AL$9),$AL$9+SQRT(AX339*($AN$9-$AL$9)*($AM$9-$AL$9)),$AN$9-SQRT((1-AX339)*($AN$9-$AL$9)*($AN$9-$AM$9))),$AM$9)</f>
        <v/>
      </c>
      <c r="AP339">
        <f>IFERROR(IF(AY339&lt;($AM$10-$AL$10)/($AN$10-$AL$10),$AL$10+SQRT(AY339*($AN$10-$AL$10)*($AM$10-$AL$10)),$AN$10-SQRT((1-AY339)*($AN$10-$AL$10)*($AN$10-$AM$10))),$AM$10)</f>
        <v/>
      </c>
      <c r="AQ339">
        <f>IFERROR(IF(AZ339&lt;($AM$11-$AL$11)/($AN$11-$AL$11),$AL$11+SQRT(AZ339*($AN$11-$AL$11)*($AM$11-$AL$11)),$AN$11-SQRT((1-AZ339)*($AN$11-$AL$11)*($AN$11-$AM$11))),$AM$11)</f>
        <v/>
      </c>
      <c r="AR339">
        <f>SUMPRODUCT((B24:B31&lt;=$B$6)*(C24:C31*AM339+D24:D31*AO339*$B$8*AQ339)/(1+AL339/100)^B24:B31)+C32*AM339*AP339/(1+AL339/100)^$B$6</f>
        <v/>
      </c>
      <c r="AS339">
        <f>SUMPRODUCT((K24:K26&lt;=$B$6)*(L24:L26*AN339+M24:M26*AO339*$B$8*AQ339)/(1+AL339/100)^K24:K26)+L27*AN339*AP339/(1+AL339/100)^$B$6</f>
        <v/>
      </c>
      <c r="AT339">
        <f>AS339-AR339</f>
        <v/>
      </c>
      <c r="AU339">
        <f>RAND()</f>
        <v/>
      </c>
      <c r="AV339">
        <f>RAND()</f>
        <v/>
      </c>
      <c r="AW339">
        <f>RAND()</f>
        <v/>
      </c>
      <c r="AX339">
        <f>RAND()</f>
        <v/>
      </c>
      <c r="AY339">
        <f>RAND()</f>
        <v/>
      </c>
      <c r="AZ339">
        <f>RAND()</f>
        <v/>
      </c>
    </row>
    <row r="340">
      <c r="AK340" t="n">
        <v>327</v>
      </c>
      <c r="AL340">
        <f>IFERROR(IF(AU340&lt;($AM$6-$AL$6)/($AN$6-$AL$6),$AL$6+SQRT(AU340*($AN$6-$AL$6)*($AM$6-$AL$6)),$AN$6-SQRT((1-AU340)*($AN$6-$AL$6)*($AN$6-$AM$6))),$AM$6)</f>
        <v/>
      </c>
      <c r="AM340">
        <f>IFERROR(IF(AV340&lt;($AM$7-$AL$7)/($AN$7-$AL$7),$AL$7+SQRT(AV340*($AN$7-$AL$7)*($AM$7-$AL$7)),$AN$7-SQRT((1-AV340)*($AN$7-$AL$7)*($AN$7-$AM$7))),$AM$7)</f>
        <v/>
      </c>
      <c r="AN340">
        <f>IFERROR(IF(AW340&lt;($AM$8-$AL$8)/($AN$8-$AL$8),$AL$8+SQRT(AW340*($AN$8-$AL$8)*($AM$8-$AL$8)),$AN$8-SQRT((1-AW340)*($AN$8-$AL$8)*($AN$8-$AM$8))),$AM$8)</f>
        <v/>
      </c>
      <c r="AO340">
        <f>IFERROR(IF(AX340&lt;($AM$9-$AL$9)/($AN$9-$AL$9),$AL$9+SQRT(AX340*($AN$9-$AL$9)*($AM$9-$AL$9)),$AN$9-SQRT((1-AX340)*($AN$9-$AL$9)*($AN$9-$AM$9))),$AM$9)</f>
        <v/>
      </c>
      <c r="AP340">
        <f>IFERROR(IF(AY340&lt;($AM$10-$AL$10)/($AN$10-$AL$10),$AL$10+SQRT(AY340*($AN$10-$AL$10)*($AM$10-$AL$10)),$AN$10-SQRT((1-AY340)*($AN$10-$AL$10)*($AN$10-$AM$10))),$AM$10)</f>
        <v/>
      </c>
      <c r="AQ340">
        <f>IFERROR(IF(AZ340&lt;($AM$11-$AL$11)/($AN$11-$AL$11),$AL$11+SQRT(AZ340*($AN$11-$AL$11)*($AM$11-$AL$11)),$AN$11-SQRT((1-AZ340)*($AN$11-$AL$11)*($AN$11-$AM$11))),$AM$11)</f>
        <v/>
      </c>
      <c r="AR340">
        <f>SUMPRODUCT((B24:B31&lt;=$B$6)*(C24:C31*AM340+D24:D31*AO340*$B$8*AQ340)/(1+AL340/100)^B24:B31)+C32*AM340*AP340/(1+AL340/100)^$B$6</f>
        <v/>
      </c>
      <c r="AS340">
        <f>SUMPRODUCT((K24:K26&lt;=$B$6)*(L24:L26*AN340+M24:M26*AO340*$B$8*AQ340)/(1+AL340/100)^K24:K26)+L27*AN340*AP340/(1+AL340/100)^$B$6</f>
        <v/>
      </c>
      <c r="AT340">
        <f>AS340-AR340</f>
        <v/>
      </c>
      <c r="AU340">
        <f>RAND()</f>
        <v/>
      </c>
      <c r="AV340">
        <f>RAND()</f>
        <v/>
      </c>
      <c r="AW340">
        <f>RAND()</f>
        <v/>
      </c>
      <c r="AX340">
        <f>RAND()</f>
        <v/>
      </c>
      <c r="AY340">
        <f>RAND()</f>
        <v/>
      </c>
      <c r="AZ340">
        <f>RAND()</f>
        <v/>
      </c>
    </row>
    <row r="341">
      <c r="AK341" t="n">
        <v>328</v>
      </c>
      <c r="AL341">
        <f>IFERROR(IF(AU341&lt;($AM$6-$AL$6)/($AN$6-$AL$6),$AL$6+SQRT(AU341*($AN$6-$AL$6)*($AM$6-$AL$6)),$AN$6-SQRT((1-AU341)*($AN$6-$AL$6)*($AN$6-$AM$6))),$AM$6)</f>
        <v/>
      </c>
      <c r="AM341">
        <f>IFERROR(IF(AV341&lt;($AM$7-$AL$7)/($AN$7-$AL$7),$AL$7+SQRT(AV341*($AN$7-$AL$7)*($AM$7-$AL$7)),$AN$7-SQRT((1-AV341)*($AN$7-$AL$7)*($AN$7-$AM$7))),$AM$7)</f>
        <v/>
      </c>
      <c r="AN341">
        <f>IFERROR(IF(AW341&lt;($AM$8-$AL$8)/($AN$8-$AL$8),$AL$8+SQRT(AW341*($AN$8-$AL$8)*($AM$8-$AL$8)),$AN$8-SQRT((1-AW341)*($AN$8-$AL$8)*($AN$8-$AM$8))),$AM$8)</f>
        <v/>
      </c>
      <c r="AO341">
        <f>IFERROR(IF(AX341&lt;($AM$9-$AL$9)/($AN$9-$AL$9),$AL$9+SQRT(AX341*($AN$9-$AL$9)*($AM$9-$AL$9)),$AN$9-SQRT((1-AX341)*($AN$9-$AL$9)*($AN$9-$AM$9))),$AM$9)</f>
        <v/>
      </c>
      <c r="AP341">
        <f>IFERROR(IF(AY341&lt;($AM$10-$AL$10)/($AN$10-$AL$10),$AL$10+SQRT(AY341*($AN$10-$AL$10)*($AM$10-$AL$10)),$AN$10-SQRT((1-AY341)*($AN$10-$AL$10)*($AN$10-$AM$10))),$AM$10)</f>
        <v/>
      </c>
      <c r="AQ341">
        <f>IFERROR(IF(AZ341&lt;($AM$11-$AL$11)/($AN$11-$AL$11),$AL$11+SQRT(AZ341*($AN$11-$AL$11)*($AM$11-$AL$11)),$AN$11-SQRT((1-AZ341)*($AN$11-$AL$11)*($AN$11-$AM$11))),$AM$11)</f>
        <v/>
      </c>
      <c r="AR341">
        <f>SUMPRODUCT((B24:B31&lt;=$B$6)*(C24:C31*AM341+D24:D31*AO341*$B$8*AQ341)/(1+AL341/100)^B24:B31)+C32*AM341*AP341/(1+AL341/100)^$B$6</f>
        <v/>
      </c>
      <c r="AS341">
        <f>SUMPRODUCT((K24:K26&lt;=$B$6)*(L24:L26*AN341+M24:M26*AO341*$B$8*AQ341)/(1+AL341/100)^K24:K26)+L27*AN341*AP341/(1+AL341/100)^$B$6</f>
        <v/>
      </c>
      <c r="AT341">
        <f>AS341-AR341</f>
        <v/>
      </c>
      <c r="AU341">
        <f>RAND()</f>
        <v/>
      </c>
      <c r="AV341">
        <f>RAND()</f>
        <v/>
      </c>
      <c r="AW341">
        <f>RAND()</f>
        <v/>
      </c>
      <c r="AX341">
        <f>RAND()</f>
        <v/>
      </c>
      <c r="AY341">
        <f>RAND()</f>
        <v/>
      </c>
      <c r="AZ341">
        <f>RAND()</f>
        <v/>
      </c>
    </row>
    <row r="342">
      <c r="AK342" t="n">
        <v>329</v>
      </c>
      <c r="AL342">
        <f>IFERROR(IF(AU342&lt;($AM$6-$AL$6)/($AN$6-$AL$6),$AL$6+SQRT(AU342*($AN$6-$AL$6)*($AM$6-$AL$6)),$AN$6-SQRT((1-AU342)*($AN$6-$AL$6)*($AN$6-$AM$6))),$AM$6)</f>
        <v/>
      </c>
      <c r="AM342">
        <f>IFERROR(IF(AV342&lt;($AM$7-$AL$7)/($AN$7-$AL$7),$AL$7+SQRT(AV342*($AN$7-$AL$7)*($AM$7-$AL$7)),$AN$7-SQRT((1-AV342)*($AN$7-$AL$7)*($AN$7-$AM$7))),$AM$7)</f>
        <v/>
      </c>
      <c r="AN342">
        <f>IFERROR(IF(AW342&lt;($AM$8-$AL$8)/($AN$8-$AL$8),$AL$8+SQRT(AW342*($AN$8-$AL$8)*($AM$8-$AL$8)),$AN$8-SQRT((1-AW342)*($AN$8-$AL$8)*($AN$8-$AM$8))),$AM$8)</f>
        <v/>
      </c>
      <c r="AO342">
        <f>IFERROR(IF(AX342&lt;($AM$9-$AL$9)/($AN$9-$AL$9),$AL$9+SQRT(AX342*($AN$9-$AL$9)*($AM$9-$AL$9)),$AN$9-SQRT((1-AX342)*($AN$9-$AL$9)*($AN$9-$AM$9))),$AM$9)</f>
        <v/>
      </c>
      <c r="AP342">
        <f>IFERROR(IF(AY342&lt;($AM$10-$AL$10)/($AN$10-$AL$10),$AL$10+SQRT(AY342*($AN$10-$AL$10)*($AM$10-$AL$10)),$AN$10-SQRT((1-AY342)*($AN$10-$AL$10)*($AN$10-$AM$10))),$AM$10)</f>
        <v/>
      </c>
      <c r="AQ342">
        <f>IFERROR(IF(AZ342&lt;($AM$11-$AL$11)/($AN$11-$AL$11),$AL$11+SQRT(AZ342*($AN$11-$AL$11)*($AM$11-$AL$11)),$AN$11-SQRT((1-AZ342)*($AN$11-$AL$11)*($AN$11-$AM$11))),$AM$11)</f>
        <v/>
      </c>
      <c r="AR342">
        <f>SUMPRODUCT((B24:B31&lt;=$B$6)*(C24:C31*AM342+D24:D31*AO342*$B$8*AQ342)/(1+AL342/100)^B24:B31)+C32*AM342*AP342/(1+AL342/100)^$B$6</f>
        <v/>
      </c>
      <c r="AS342">
        <f>SUMPRODUCT((K24:K26&lt;=$B$6)*(L24:L26*AN342+M24:M26*AO342*$B$8*AQ342)/(1+AL342/100)^K24:K26)+L27*AN342*AP342/(1+AL342/100)^$B$6</f>
        <v/>
      </c>
      <c r="AT342">
        <f>AS342-AR342</f>
        <v/>
      </c>
      <c r="AU342">
        <f>RAND()</f>
        <v/>
      </c>
      <c r="AV342">
        <f>RAND()</f>
        <v/>
      </c>
      <c r="AW342">
        <f>RAND()</f>
        <v/>
      </c>
      <c r="AX342">
        <f>RAND()</f>
        <v/>
      </c>
      <c r="AY342">
        <f>RAND()</f>
        <v/>
      </c>
      <c r="AZ342">
        <f>RAND()</f>
        <v/>
      </c>
    </row>
    <row r="343">
      <c r="AK343" t="n">
        <v>330</v>
      </c>
      <c r="AL343">
        <f>IFERROR(IF(AU343&lt;($AM$6-$AL$6)/($AN$6-$AL$6),$AL$6+SQRT(AU343*($AN$6-$AL$6)*($AM$6-$AL$6)),$AN$6-SQRT((1-AU343)*($AN$6-$AL$6)*($AN$6-$AM$6))),$AM$6)</f>
        <v/>
      </c>
      <c r="AM343">
        <f>IFERROR(IF(AV343&lt;($AM$7-$AL$7)/($AN$7-$AL$7),$AL$7+SQRT(AV343*($AN$7-$AL$7)*($AM$7-$AL$7)),$AN$7-SQRT((1-AV343)*($AN$7-$AL$7)*($AN$7-$AM$7))),$AM$7)</f>
        <v/>
      </c>
      <c r="AN343">
        <f>IFERROR(IF(AW343&lt;($AM$8-$AL$8)/($AN$8-$AL$8),$AL$8+SQRT(AW343*($AN$8-$AL$8)*($AM$8-$AL$8)),$AN$8-SQRT((1-AW343)*($AN$8-$AL$8)*($AN$8-$AM$8))),$AM$8)</f>
        <v/>
      </c>
      <c r="AO343">
        <f>IFERROR(IF(AX343&lt;($AM$9-$AL$9)/($AN$9-$AL$9),$AL$9+SQRT(AX343*($AN$9-$AL$9)*($AM$9-$AL$9)),$AN$9-SQRT((1-AX343)*($AN$9-$AL$9)*($AN$9-$AM$9))),$AM$9)</f>
        <v/>
      </c>
      <c r="AP343">
        <f>IFERROR(IF(AY343&lt;($AM$10-$AL$10)/($AN$10-$AL$10),$AL$10+SQRT(AY343*($AN$10-$AL$10)*($AM$10-$AL$10)),$AN$10-SQRT((1-AY343)*($AN$10-$AL$10)*($AN$10-$AM$10))),$AM$10)</f>
        <v/>
      </c>
      <c r="AQ343">
        <f>IFERROR(IF(AZ343&lt;($AM$11-$AL$11)/($AN$11-$AL$11),$AL$11+SQRT(AZ343*($AN$11-$AL$11)*($AM$11-$AL$11)),$AN$11-SQRT((1-AZ343)*($AN$11-$AL$11)*($AN$11-$AM$11))),$AM$11)</f>
        <v/>
      </c>
      <c r="AR343">
        <f>SUMPRODUCT((B24:B31&lt;=$B$6)*(C24:C31*AM343+D24:D31*AO343*$B$8*AQ343)/(1+AL343/100)^B24:B31)+C32*AM343*AP343/(1+AL343/100)^$B$6</f>
        <v/>
      </c>
      <c r="AS343">
        <f>SUMPRODUCT((K24:K26&lt;=$B$6)*(L24:L26*AN343+M24:M26*AO343*$B$8*AQ343)/(1+AL343/100)^K24:K26)+L27*AN343*AP343/(1+AL343/100)^$B$6</f>
        <v/>
      </c>
      <c r="AT343">
        <f>AS343-AR343</f>
        <v/>
      </c>
      <c r="AU343">
        <f>RAND()</f>
        <v/>
      </c>
      <c r="AV343">
        <f>RAND()</f>
        <v/>
      </c>
      <c r="AW343">
        <f>RAND()</f>
        <v/>
      </c>
      <c r="AX343">
        <f>RAND()</f>
        <v/>
      </c>
      <c r="AY343">
        <f>RAND()</f>
        <v/>
      </c>
      <c r="AZ343">
        <f>RAND()</f>
        <v/>
      </c>
    </row>
    <row r="344">
      <c r="AK344" t="n">
        <v>331</v>
      </c>
      <c r="AL344">
        <f>IFERROR(IF(AU344&lt;($AM$6-$AL$6)/($AN$6-$AL$6),$AL$6+SQRT(AU344*($AN$6-$AL$6)*($AM$6-$AL$6)),$AN$6-SQRT((1-AU344)*($AN$6-$AL$6)*($AN$6-$AM$6))),$AM$6)</f>
        <v/>
      </c>
      <c r="AM344">
        <f>IFERROR(IF(AV344&lt;($AM$7-$AL$7)/($AN$7-$AL$7),$AL$7+SQRT(AV344*($AN$7-$AL$7)*($AM$7-$AL$7)),$AN$7-SQRT((1-AV344)*($AN$7-$AL$7)*($AN$7-$AM$7))),$AM$7)</f>
        <v/>
      </c>
      <c r="AN344">
        <f>IFERROR(IF(AW344&lt;($AM$8-$AL$8)/($AN$8-$AL$8),$AL$8+SQRT(AW344*($AN$8-$AL$8)*($AM$8-$AL$8)),$AN$8-SQRT((1-AW344)*($AN$8-$AL$8)*($AN$8-$AM$8))),$AM$8)</f>
        <v/>
      </c>
      <c r="AO344">
        <f>IFERROR(IF(AX344&lt;($AM$9-$AL$9)/($AN$9-$AL$9),$AL$9+SQRT(AX344*($AN$9-$AL$9)*($AM$9-$AL$9)),$AN$9-SQRT((1-AX344)*($AN$9-$AL$9)*($AN$9-$AM$9))),$AM$9)</f>
        <v/>
      </c>
      <c r="AP344">
        <f>IFERROR(IF(AY344&lt;($AM$10-$AL$10)/($AN$10-$AL$10),$AL$10+SQRT(AY344*($AN$10-$AL$10)*($AM$10-$AL$10)),$AN$10-SQRT((1-AY344)*($AN$10-$AL$10)*($AN$10-$AM$10))),$AM$10)</f>
        <v/>
      </c>
      <c r="AQ344">
        <f>IFERROR(IF(AZ344&lt;($AM$11-$AL$11)/($AN$11-$AL$11),$AL$11+SQRT(AZ344*($AN$11-$AL$11)*($AM$11-$AL$11)),$AN$11-SQRT((1-AZ344)*($AN$11-$AL$11)*($AN$11-$AM$11))),$AM$11)</f>
        <v/>
      </c>
      <c r="AR344">
        <f>SUMPRODUCT((B24:B31&lt;=$B$6)*(C24:C31*AM344+D24:D31*AO344*$B$8*AQ344)/(1+AL344/100)^B24:B31)+C32*AM344*AP344/(1+AL344/100)^$B$6</f>
        <v/>
      </c>
      <c r="AS344">
        <f>SUMPRODUCT((K24:K26&lt;=$B$6)*(L24:L26*AN344+M24:M26*AO344*$B$8*AQ344)/(1+AL344/100)^K24:K26)+L27*AN344*AP344/(1+AL344/100)^$B$6</f>
        <v/>
      </c>
      <c r="AT344">
        <f>AS344-AR344</f>
        <v/>
      </c>
      <c r="AU344">
        <f>RAND()</f>
        <v/>
      </c>
      <c r="AV344">
        <f>RAND()</f>
        <v/>
      </c>
      <c r="AW344">
        <f>RAND()</f>
        <v/>
      </c>
      <c r="AX344">
        <f>RAND()</f>
        <v/>
      </c>
      <c r="AY344">
        <f>RAND()</f>
        <v/>
      </c>
      <c r="AZ344">
        <f>RAND()</f>
        <v/>
      </c>
    </row>
    <row r="345">
      <c r="AK345" t="n">
        <v>332</v>
      </c>
      <c r="AL345">
        <f>IFERROR(IF(AU345&lt;($AM$6-$AL$6)/($AN$6-$AL$6),$AL$6+SQRT(AU345*($AN$6-$AL$6)*($AM$6-$AL$6)),$AN$6-SQRT((1-AU345)*($AN$6-$AL$6)*($AN$6-$AM$6))),$AM$6)</f>
        <v/>
      </c>
      <c r="AM345">
        <f>IFERROR(IF(AV345&lt;($AM$7-$AL$7)/($AN$7-$AL$7),$AL$7+SQRT(AV345*($AN$7-$AL$7)*($AM$7-$AL$7)),$AN$7-SQRT((1-AV345)*($AN$7-$AL$7)*($AN$7-$AM$7))),$AM$7)</f>
        <v/>
      </c>
      <c r="AN345">
        <f>IFERROR(IF(AW345&lt;($AM$8-$AL$8)/($AN$8-$AL$8),$AL$8+SQRT(AW345*($AN$8-$AL$8)*($AM$8-$AL$8)),$AN$8-SQRT((1-AW345)*($AN$8-$AL$8)*($AN$8-$AM$8))),$AM$8)</f>
        <v/>
      </c>
      <c r="AO345">
        <f>IFERROR(IF(AX345&lt;($AM$9-$AL$9)/($AN$9-$AL$9),$AL$9+SQRT(AX345*($AN$9-$AL$9)*($AM$9-$AL$9)),$AN$9-SQRT((1-AX345)*($AN$9-$AL$9)*($AN$9-$AM$9))),$AM$9)</f>
        <v/>
      </c>
      <c r="AP345">
        <f>IFERROR(IF(AY345&lt;($AM$10-$AL$10)/($AN$10-$AL$10),$AL$10+SQRT(AY345*($AN$10-$AL$10)*($AM$10-$AL$10)),$AN$10-SQRT((1-AY345)*($AN$10-$AL$10)*($AN$10-$AM$10))),$AM$10)</f>
        <v/>
      </c>
      <c r="AQ345">
        <f>IFERROR(IF(AZ345&lt;($AM$11-$AL$11)/($AN$11-$AL$11),$AL$11+SQRT(AZ345*($AN$11-$AL$11)*($AM$11-$AL$11)),$AN$11-SQRT((1-AZ345)*($AN$11-$AL$11)*($AN$11-$AM$11))),$AM$11)</f>
        <v/>
      </c>
      <c r="AR345">
        <f>SUMPRODUCT((B24:B31&lt;=$B$6)*(C24:C31*AM345+D24:D31*AO345*$B$8*AQ345)/(1+AL345/100)^B24:B31)+C32*AM345*AP345/(1+AL345/100)^$B$6</f>
        <v/>
      </c>
      <c r="AS345">
        <f>SUMPRODUCT((K24:K26&lt;=$B$6)*(L24:L26*AN345+M24:M26*AO345*$B$8*AQ345)/(1+AL345/100)^K24:K26)+L27*AN345*AP345/(1+AL345/100)^$B$6</f>
        <v/>
      </c>
      <c r="AT345">
        <f>AS345-AR345</f>
        <v/>
      </c>
      <c r="AU345">
        <f>RAND()</f>
        <v/>
      </c>
      <c r="AV345">
        <f>RAND()</f>
        <v/>
      </c>
      <c r="AW345">
        <f>RAND()</f>
        <v/>
      </c>
      <c r="AX345">
        <f>RAND()</f>
        <v/>
      </c>
      <c r="AY345">
        <f>RAND()</f>
        <v/>
      </c>
      <c r="AZ345">
        <f>RAND()</f>
        <v/>
      </c>
    </row>
    <row r="346">
      <c r="AK346" t="n">
        <v>333</v>
      </c>
      <c r="AL346">
        <f>IFERROR(IF(AU346&lt;($AM$6-$AL$6)/($AN$6-$AL$6),$AL$6+SQRT(AU346*($AN$6-$AL$6)*($AM$6-$AL$6)),$AN$6-SQRT((1-AU346)*($AN$6-$AL$6)*($AN$6-$AM$6))),$AM$6)</f>
        <v/>
      </c>
      <c r="AM346">
        <f>IFERROR(IF(AV346&lt;($AM$7-$AL$7)/($AN$7-$AL$7),$AL$7+SQRT(AV346*($AN$7-$AL$7)*($AM$7-$AL$7)),$AN$7-SQRT((1-AV346)*($AN$7-$AL$7)*($AN$7-$AM$7))),$AM$7)</f>
        <v/>
      </c>
      <c r="AN346">
        <f>IFERROR(IF(AW346&lt;($AM$8-$AL$8)/($AN$8-$AL$8),$AL$8+SQRT(AW346*($AN$8-$AL$8)*($AM$8-$AL$8)),$AN$8-SQRT((1-AW346)*($AN$8-$AL$8)*($AN$8-$AM$8))),$AM$8)</f>
        <v/>
      </c>
      <c r="AO346">
        <f>IFERROR(IF(AX346&lt;($AM$9-$AL$9)/($AN$9-$AL$9),$AL$9+SQRT(AX346*($AN$9-$AL$9)*($AM$9-$AL$9)),$AN$9-SQRT((1-AX346)*($AN$9-$AL$9)*($AN$9-$AM$9))),$AM$9)</f>
        <v/>
      </c>
      <c r="AP346">
        <f>IFERROR(IF(AY346&lt;($AM$10-$AL$10)/($AN$10-$AL$10),$AL$10+SQRT(AY346*($AN$10-$AL$10)*($AM$10-$AL$10)),$AN$10-SQRT((1-AY346)*($AN$10-$AL$10)*($AN$10-$AM$10))),$AM$10)</f>
        <v/>
      </c>
      <c r="AQ346">
        <f>IFERROR(IF(AZ346&lt;($AM$11-$AL$11)/($AN$11-$AL$11),$AL$11+SQRT(AZ346*($AN$11-$AL$11)*($AM$11-$AL$11)),$AN$11-SQRT((1-AZ346)*($AN$11-$AL$11)*($AN$11-$AM$11))),$AM$11)</f>
        <v/>
      </c>
      <c r="AR346">
        <f>SUMPRODUCT((B24:B31&lt;=$B$6)*(C24:C31*AM346+D24:D31*AO346*$B$8*AQ346)/(1+AL346/100)^B24:B31)+C32*AM346*AP346/(1+AL346/100)^$B$6</f>
        <v/>
      </c>
      <c r="AS346">
        <f>SUMPRODUCT((K24:K26&lt;=$B$6)*(L24:L26*AN346+M24:M26*AO346*$B$8*AQ346)/(1+AL346/100)^K24:K26)+L27*AN346*AP346/(1+AL346/100)^$B$6</f>
        <v/>
      </c>
      <c r="AT346">
        <f>AS346-AR346</f>
        <v/>
      </c>
      <c r="AU346">
        <f>RAND()</f>
        <v/>
      </c>
      <c r="AV346">
        <f>RAND()</f>
        <v/>
      </c>
      <c r="AW346">
        <f>RAND()</f>
        <v/>
      </c>
      <c r="AX346">
        <f>RAND()</f>
        <v/>
      </c>
      <c r="AY346">
        <f>RAND()</f>
        <v/>
      </c>
      <c r="AZ346">
        <f>RAND()</f>
        <v/>
      </c>
    </row>
    <row r="347">
      <c r="AK347" t="n">
        <v>334</v>
      </c>
      <c r="AL347">
        <f>IFERROR(IF(AU347&lt;($AM$6-$AL$6)/($AN$6-$AL$6),$AL$6+SQRT(AU347*($AN$6-$AL$6)*($AM$6-$AL$6)),$AN$6-SQRT((1-AU347)*($AN$6-$AL$6)*($AN$6-$AM$6))),$AM$6)</f>
        <v/>
      </c>
      <c r="AM347">
        <f>IFERROR(IF(AV347&lt;($AM$7-$AL$7)/($AN$7-$AL$7),$AL$7+SQRT(AV347*($AN$7-$AL$7)*($AM$7-$AL$7)),$AN$7-SQRT((1-AV347)*($AN$7-$AL$7)*($AN$7-$AM$7))),$AM$7)</f>
        <v/>
      </c>
      <c r="AN347">
        <f>IFERROR(IF(AW347&lt;($AM$8-$AL$8)/($AN$8-$AL$8),$AL$8+SQRT(AW347*($AN$8-$AL$8)*($AM$8-$AL$8)),$AN$8-SQRT((1-AW347)*($AN$8-$AL$8)*($AN$8-$AM$8))),$AM$8)</f>
        <v/>
      </c>
      <c r="AO347">
        <f>IFERROR(IF(AX347&lt;($AM$9-$AL$9)/($AN$9-$AL$9),$AL$9+SQRT(AX347*($AN$9-$AL$9)*($AM$9-$AL$9)),$AN$9-SQRT((1-AX347)*($AN$9-$AL$9)*($AN$9-$AM$9))),$AM$9)</f>
        <v/>
      </c>
      <c r="AP347">
        <f>IFERROR(IF(AY347&lt;($AM$10-$AL$10)/($AN$10-$AL$10),$AL$10+SQRT(AY347*($AN$10-$AL$10)*($AM$10-$AL$10)),$AN$10-SQRT((1-AY347)*($AN$10-$AL$10)*($AN$10-$AM$10))),$AM$10)</f>
        <v/>
      </c>
      <c r="AQ347">
        <f>IFERROR(IF(AZ347&lt;($AM$11-$AL$11)/($AN$11-$AL$11),$AL$11+SQRT(AZ347*($AN$11-$AL$11)*($AM$11-$AL$11)),$AN$11-SQRT((1-AZ347)*($AN$11-$AL$11)*($AN$11-$AM$11))),$AM$11)</f>
        <v/>
      </c>
      <c r="AR347">
        <f>SUMPRODUCT((B24:B31&lt;=$B$6)*(C24:C31*AM347+D24:D31*AO347*$B$8*AQ347)/(1+AL347/100)^B24:B31)+C32*AM347*AP347/(1+AL347/100)^$B$6</f>
        <v/>
      </c>
      <c r="AS347">
        <f>SUMPRODUCT((K24:K26&lt;=$B$6)*(L24:L26*AN347+M24:M26*AO347*$B$8*AQ347)/(1+AL347/100)^K24:K26)+L27*AN347*AP347/(1+AL347/100)^$B$6</f>
        <v/>
      </c>
      <c r="AT347">
        <f>AS347-AR347</f>
        <v/>
      </c>
      <c r="AU347">
        <f>RAND()</f>
        <v/>
      </c>
      <c r="AV347">
        <f>RAND()</f>
        <v/>
      </c>
      <c r="AW347">
        <f>RAND()</f>
        <v/>
      </c>
      <c r="AX347">
        <f>RAND()</f>
        <v/>
      </c>
      <c r="AY347">
        <f>RAND()</f>
        <v/>
      </c>
      <c r="AZ347">
        <f>RAND()</f>
        <v/>
      </c>
    </row>
    <row r="348">
      <c r="AK348" t="n">
        <v>335</v>
      </c>
      <c r="AL348">
        <f>IFERROR(IF(AU348&lt;($AM$6-$AL$6)/($AN$6-$AL$6),$AL$6+SQRT(AU348*($AN$6-$AL$6)*($AM$6-$AL$6)),$AN$6-SQRT((1-AU348)*($AN$6-$AL$6)*($AN$6-$AM$6))),$AM$6)</f>
        <v/>
      </c>
      <c r="AM348">
        <f>IFERROR(IF(AV348&lt;($AM$7-$AL$7)/($AN$7-$AL$7),$AL$7+SQRT(AV348*($AN$7-$AL$7)*($AM$7-$AL$7)),$AN$7-SQRT((1-AV348)*($AN$7-$AL$7)*($AN$7-$AM$7))),$AM$7)</f>
        <v/>
      </c>
      <c r="AN348">
        <f>IFERROR(IF(AW348&lt;($AM$8-$AL$8)/($AN$8-$AL$8),$AL$8+SQRT(AW348*($AN$8-$AL$8)*($AM$8-$AL$8)),$AN$8-SQRT((1-AW348)*($AN$8-$AL$8)*($AN$8-$AM$8))),$AM$8)</f>
        <v/>
      </c>
      <c r="AO348">
        <f>IFERROR(IF(AX348&lt;($AM$9-$AL$9)/($AN$9-$AL$9),$AL$9+SQRT(AX348*($AN$9-$AL$9)*($AM$9-$AL$9)),$AN$9-SQRT((1-AX348)*($AN$9-$AL$9)*($AN$9-$AM$9))),$AM$9)</f>
        <v/>
      </c>
      <c r="AP348">
        <f>IFERROR(IF(AY348&lt;($AM$10-$AL$10)/($AN$10-$AL$10),$AL$10+SQRT(AY348*($AN$10-$AL$10)*($AM$10-$AL$10)),$AN$10-SQRT((1-AY348)*($AN$10-$AL$10)*($AN$10-$AM$10))),$AM$10)</f>
        <v/>
      </c>
      <c r="AQ348">
        <f>IFERROR(IF(AZ348&lt;($AM$11-$AL$11)/($AN$11-$AL$11),$AL$11+SQRT(AZ348*($AN$11-$AL$11)*($AM$11-$AL$11)),$AN$11-SQRT((1-AZ348)*($AN$11-$AL$11)*($AN$11-$AM$11))),$AM$11)</f>
        <v/>
      </c>
      <c r="AR348">
        <f>SUMPRODUCT((B24:B31&lt;=$B$6)*(C24:C31*AM348+D24:D31*AO348*$B$8*AQ348)/(1+AL348/100)^B24:B31)+C32*AM348*AP348/(1+AL348/100)^$B$6</f>
        <v/>
      </c>
      <c r="AS348">
        <f>SUMPRODUCT((K24:K26&lt;=$B$6)*(L24:L26*AN348+M24:M26*AO348*$B$8*AQ348)/(1+AL348/100)^K24:K26)+L27*AN348*AP348/(1+AL348/100)^$B$6</f>
        <v/>
      </c>
      <c r="AT348">
        <f>AS348-AR348</f>
        <v/>
      </c>
      <c r="AU348">
        <f>RAND()</f>
        <v/>
      </c>
      <c r="AV348">
        <f>RAND()</f>
        <v/>
      </c>
      <c r="AW348">
        <f>RAND()</f>
        <v/>
      </c>
      <c r="AX348">
        <f>RAND()</f>
        <v/>
      </c>
      <c r="AY348">
        <f>RAND()</f>
        <v/>
      </c>
      <c r="AZ348">
        <f>RAND()</f>
        <v/>
      </c>
    </row>
    <row r="349">
      <c r="AK349" t="n">
        <v>336</v>
      </c>
      <c r="AL349">
        <f>IFERROR(IF(AU349&lt;($AM$6-$AL$6)/($AN$6-$AL$6),$AL$6+SQRT(AU349*($AN$6-$AL$6)*($AM$6-$AL$6)),$AN$6-SQRT((1-AU349)*($AN$6-$AL$6)*($AN$6-$AM$6))),$AM$6)</f>
        <v/>
      </c>
      <c r="AM349">
        <f>IFERROR(IF(AV349&lt;($AM$7-$AL$7)/($AN$7-$AL$7),$AL$7+SQRT(AV349*($AN$7-$AL$7)*($AM$7-$AL$7)),$AN$7-SQRT((1-AV349)*($AN$7-$AL$7)*($AN$7-$AM$7))),$AM$7)</f>
        <v/>
      </c>
      <c r="AN349">
        <f>IFERROR(IF(AW349&lt;($AM$8-$AL$8)/($AN$8-$AL$8),$AL$8+SQRT(AW349*($AN$8-$AL$8)*($AM$8-$AL$8)),$AN$8-SQRT((1-AW349)*($AN$8-$AL$8)*($AN$8-$AM$8))),$AM$8)</f>
        <v/>
      </c>
      <c r="AO349">
        <f>IFERROR(IF(AX349&lt;($AM$9-$AL$9)/($AN$9-$AL$9),$AL$9+SQRT(AX349*($AN$9-$AL$9)*($AM$9-$AL$9)),$AN$9-SQRT((1-AX349)*($AN$9-$AL$9)*($AN$9-$AM$9))),$AM$9)</f>
        <v/>
      </c>
      <c r="AP349">
        <f>IFERROR(IF(AY349&lt;($AM$10-$AL$10)/($AN$10-$AL$10),$AL$10+SQRT(AY349*($AN$10-$AL$10)*($AM$10-$AL$10)),$AN$10-SQRT((1-AY349)*($AN$10-$AL$10)*($AN$10-$AM$10))),$AM$10)</f>
        <v/>
      </c>
      <c r="AQ349">
        <f>IFERROR(IF(AZ349&lt;($AM$11-$AL$11)/($AN$11-$AL$11),$AL$11+SQRT(AZ349*($AN$11-$AL$11)*($AM$11-$AL$11)),$AN$11-SQRT((1-AZ349)*($AN$11-$AL$11)*($AN$11-$AM$11))),$AM$11)</f>
        <v/>
      </c>
      <c r="AR349">
        <f>SUMPRODUCT((B24:B31&lt;=$B$6)*(C24:C31*AM349+D24:D31*AO349*$B$8*AQ349)/(1+AL349/100)^B24:B31)+C32*AM349*AP349/(1+AL349/100)^$B$6</f>
        <v/>
      </c>
      <c r="AS349">
        <f>SUMPRODUCT((K24:K26&lt;=$B$6)*(L24:L26*AN349+M24:M26*AO349*$B$8*AQ349)/(1+AL349/100)^K24:K26)+L27*AN349*AP349/(1+AL349/100)^$B$6</f>
        <v/>
      </c>
      <c r="AT349">
        <f>AS349-AR349</f>
        <v/>
      </c>
      <c r="AU349">
        <f>RAND()</f>
        <v/>
      </c>
      <c r="AV349">
        <f>RAND()</f>
        <v/>
      </c>
      <c r="AW349">
        <f>RAND()</f>
        <v/>
      </c>
      <c r="AX349">
        <f>RAND()</f>
        <v/>
      </c>
      <c r="AY349">
        <f>RAND()</f>
        <v/>
      </c>
      <c r="AZ349">
        <f>RAND()</f>
        <v/>
      </c>
    </row>
    <row r="350">
      <c r="AK350" t="n">
        <v>337</v>
      </c>
      <c r="AL350">
        <f>IFERROR(IF(AU350&lt;($AM$6-$AL$6)/($AN$6-$AL$6),$AL$6+SQRT(AU350*($AN$6-$AL$6)*($AM$6-$AL$6)),$AN$6-SQRT((1-AU350)*($AN$6-$AL$6)*($AN$6-$AM$6))),$AM$6)</f>
        <v/>
      </c>
      <c r="AM350">
        <f>IFERROR(IF(AV350&lt;($AM$7-$AL$7)/($AN$7-$AL$7),$AL$7+SQRT(AV350*($AN$7-$AL$7)*($AM$7-$AL$7)),$AN$7-SQRT((1-AV350)*($AN$7-$AL$7)*($AN$7-$AM$7))),$AM$7)</f>
        <v/>
      </c>
      <c r="AN350">
        <f>IFERROR(IF(AW350&lt;($AM$8-$AL$8)/($AN$8-$AL$8),$AL$8+SQRT(AW350*($AN$8-$AL$8)*($AM$8-$AL$8)),$AN$8-SQRT((1-AW350)*($AN$8-$AL$8)*($AN$8-$AM$8))),$AM$8)</f>
        <v/>
      </c>
      <c r="AO350">
        <f>IFERROR(IF(AX350&lt;($AM$9-$AL$9)/($AN$9-$AL$9),$AL$9+SQRT(AX350*($AN$9-$AL$9)*($AM$9-$AL$9)),$AN$9-SQRT((1-AX350)*($AN$9-$AL$9)*($AN$9-$AM$9))),$AM$9)</f>
        <v/>
      </c>
      <c r="AP350">
        <f>IFERROR(IF(AY350&lt;($AM$10-$AL$10)/($AN$10-$AL$10),$AL$10+SQRT(AY350*($AN$10-$AL$10)*($AM$10-$AL$10)),$AN$10-SQRT((1-AY350)*($AN$10-$AL$10)*($AN$10-$AM$10))),$AM$10)</f>
        <v/>
      </c>
      <c r="AQ350">
        <f>IFERROR(IF(AZ350&lt;($AM$11-$AL$11)/($AN$11-$AL$11),$AL$11+SQRT(AZ350*($AN$11-$AL$11)*($AM$11-$AL$11)),$AN$11-SQRT((1-AZ350)*($AN$11-$AL$11)*($AN$11-$AM$11))),$AM$11)</f>
        <v/>
      </c>
      <c r="AR350">
        <f>SUMPRODUCT((B24:B31&lt;=$B$6)*(C24:C31*AM350+D24:D31*AO350*$B$8*AQ350)/(1+AL350/100)^B24:B31)+C32*AM350*AP350/(1+AL350/100)^$B$6</f>
        <v/>
      </c>
      <c r="AS350">
        <f>SUMPRODUCT((K24:K26&lt;=$B$6)*(L24:L26*AN350+M24:M26*AO350*$B$8*AQ350)/(1+AL350/100)^K24:K26)+L27*AN350*AP350/(1+AL350/100)^$B$6</f>
        <v/>
      </c>
      <c r="AT350">
        <f>AS350-AR350</f>
        <v/>
      </c>
      <c r="AU350">
        <f>RAND()</f>
        <v/>
      </c>
      <c r="AV350">
        <f>RAND()</f>
        <v/>
      </c>
      <c r="AW350">
        <f>RAND()</f>
        <v/>
      </c>
      <c r="AX350">
        <f>RAND()</f>
        <v/>
      </c>
      <c r="AY350">
        <f>RAND()</f>
        <v/>
      </c>
      <c r="AZ350">
        <f>RAND()</f>
        <v/>
      </c>
    </row>
    <row r="351">
      <c r="AK351" t="n">
        <v>338</v>
      </c>
      <c r="AL351">
        <f>IFERROR(IF(AU351&lt;($AM$6-$AL$6)/($AN$6-$AL$6),$AL$6+SQRT(AU351*($AN$6-$AL$6)*($AM$6-$AL$6)),$AN$6-SQRT((1-AU351)*($AN$6-$AL$6)*($AN$6-$AM$6))),$AM$6)</f>
        <v/>
      </c>
      <c r="AM351">
        <f>IFERROR(IF(AV351&lt;($AM$7-$AL$7)/($AN$7-$AL$7),$AL$7+SQRT(AV351*($AN$7-$AL$7)*($AM$7-$AL$7)),$AN$7-SQRT((1-AV351)*($AN$7-$AL$7)*($AN$7-$AM$7))),$AM$7)</f>
        <v/>
      </c>
      <c r="AN351">
        <f>IFERROR(IF(AW351&lt;($AM$8-$AL$8)/($AN$8-$AL$8),$AL$8+SQRT(AW351*($AN$8-$AL$8)*($AM$8-$AL$8)),$AN$8-SQRT((1-AW351)*($AN$8-$AL$8)*($AN$8-$AM$8))),$AM$8)</f>
        <v/>
      </c>
      <c r="AO351">
        <f>IFERROR(IF(AX351&lt;($AM$9-$AL$9)/($AN$9-$AL$9),$AL$9+SQRT(AX351*($AN$9-$AL$9)*($AM$9-$AL$9)),$AN$9-SQRT((1-AX351)*($AN$9-$AL$9)*($AN$9-$AM$9))),$AM$9)</f>
        <v/>
      </c>
      <c r="AP351">
        <f>IFERROR(IF(AY351&lt;($AM$10-$AL$10)/($AN$10-$AL$10),$AL$10+SQRT(AY351*($AN$10-$AL$10)*($AM$10-$AL$10)),$AN$10-SQRT((1-AY351)*($AN$10-$AL$10)*($AN$10-$AM$10))),$AM$10)</f>
        <v/>
      </c>
      <c r="AQ351">
        <f>IFERROR(IF(AZ351&lt;($AM$11-$AL$11)/($AN$11-$AL$11),$AL$11+SQRT(AZ351*($AN$11-$AL$11)*($AM$11-$AL$11)),$AN$11-SQRT((1-AZ351)*($AN$11-$AL$11)*($AN$11-$AM$11))),$AM$11)</f>
        <v/>
      </c>
      <c r="AR351">
        <f>SUMPRODUCT((B24:B31&lt;=$B$6)*(C24:C31*AM351+D24:D31*AO351*$B$8*AQ351)/(1+AL351/100)^B24:B31)+C32*AM351*AP351/(1+AL351/100)^$B$6</f>
        <v/>
      </c>
      <c r="AS351">
        <f>SUMPRODUCT((K24:K26&lt;=$B$6)*(L24:L26*AN351+M24:M26*AO351*$B$8*AQ351)/(1+AL351/100)^K24:K26)+L27*AN351*AP351/(1+AL351/100)^$B$6</f>
        <v/>
      </c>
      <c r="AT351">
        <f>AS351-AR351</f>
        <v/>
      </c>
      <c r="AU351">
        <f>RAND()</f>
        <v/>
      </c>
      <c r="AV351">
        <f>RAND()</f>
        <v/>
      </c>
      <c r="AW351">
        <f>RAND()</f>
        <v/>
      </c>
      <c r="AX351">
        <f>RAND()</f>
        <v/>
      </c>
      <c r="AY351">
        <f>RAND()</f>
        <v/>
      </c>
      <c r="AZ351">
        <f>RAND()</f>
        <v/>
      </c>
    </row>
    <row r="352">
      <c r="AK352" t="n">
        <v>339</v>
      </c>
      <c r="AL352">
        <f>IFERROR(IF(AU352&lt;($AM$6-$AL$6)/($AN$6-$AL$6),$AL$6+SQRT(AU352*($AN$6-$AL$6)*($AM$6-$AL$6)),$AN$6-SQRT((1-AU352)*($AN$6-$AL$6)*($AN$6-$AM$6))),$AM$6)</f>
        <v/>
      </c>
      <c r="AM352">
        <f>IFERROR(IF(AV352&lt;($AM$7-$AL$7)/($AN$7-$AL$7),$AL$7+SQRT(AV352*($AN$7-$AL$7)*($AM$7-$AL$7)),$AN$7-SQRT((1-AV352)*($AN$7-$AL$7)*($AN$7-$AM$7))),$AM$7)</f>
        <v/>
      </c>
      <c r="AN352">
        <f>IFERROR(IF(AW352&lt;($AM$8-$AL$8)/($AN$8-$AL$8),$AL$8+SQRT(AW352*($AN$8-$AL$8)*($AM$8-$AL$8)),$AN$8-SQRT((1-AW352)*($AN$8-$AL$8)*($AN$8-$AM$8))),$AM$8)</f>
        <v/>
      </c>
      <c r="AO352">
        <f>IFERROR(IF(AX352&lt;($AM$9-$AL$9)/($AN$9-$AL$9),$AL$9+SQRT(AX352*($AN$9-$AL$9)*($AM$9-$AL$9)),$AN$9-SQRT((1-AX352)*($AN$9-$AL$9)*($AN$9-$AM$9))),$AM$9)</f>
        <v/>
      </c>
      <c r="AP352">
        <f>IFERROR(IF(AY352&lt;($AM$10-$AL$10)/($AN$10-$AL$10),$AL$10+SQRT(AY352*($AN$10-$AL$10)*($AM$10-$AL$10)),$AN$10-SQRT((1-AY352)*($AN$10-$AL$10)*($AN$10-$AM$10))),$AM$10)</f>
        <v/>
      </c>
      <c r="AQ352">
        <f>IFERROR(IF(AZ352&lt;($AM$11-$AL$11)/($AN$11-$AL$11),$AL$11+SQRT(AZ352*($AN$11-$AL$11)*($AM$11-$AL$11)),$AN$11-SQRT((1-AZ352)*($AN$11-$AL$11)*($AN$11-$AM$11))),$AM$11)</f>
        <v/>
      </c>
      <c r="AR352">
        <f>SUMPRODUCT((B24:B31&lt;=$B$6)*(C24:C31*AM352+D24:D31*AO352*$B$8*AQ352)/(1+AL352/100)^B24:B31)+C32*AM352*AP352/(1+AL352/100)^$B$6</f>
        <v/>
      </c>
      <c r="AS352">
        <f>SUMPRODUCT((K24:K26&lt;=$B$6)*(L24:L26*AN352+M24:M26*AO352*$B$8*AQ352)/(1+AL352/100)^K24:K26)+L27*AN352*AP352/(1+AL352/100)^$B$6</f>
        <v/>
      </c>
      <c r="AT352">
        <f>AS352-AR352</f>
        <v/>
      </c>
      <c r="AU352">
        <f>RAND()</f>
        <v/>
      </c>
      <c r="AV352">
        <f>RAND()</f>
        <v/>
      </c>
      <c r="AW352">
        <f>RAND()</f>
        <v/>
      </c>
      <c r="AX352">
        <f>RAND()</f>
        <v/>
      </c>
      <c r="AY352">
        <f>RAND()</f>
        <v/>
      </c>
      <c r="AZ352">
        <f>RAND()</f>
        <v/>
      </c>
    </row>
    <row r="353">
      <c r="AK353" t="n">
        <v>340</v>
      </c>
      <c r="AL353">
        <f>IFERROR(IF(AU353&lt;($AM$6-$AL$6)/($AN$6-$AL$6),$AL$6+SQRT(AU353*($AN$6-$AL$6)*($AM$6-$AL$6)),$AN$6-SQRT((1-AU353)*($AN$6-$AL$6)*($AN$6-$AM$6))),$AM$6)</f>
        <v/>
      </c>
      <c r="AM353">
        <f>IFERROR(IF(AV353&lt;($AM$7-$AL$7)/($AN$7-$AL$7),$AL$7+SQRT(AV353*($AN$7-$AL$7)*($AM$7-$AL$7)),$AN$7-SQRT((1-AV353)*($AN$7-$AL$7)*($AN$7-$AM$7))),$AM$7)</f>
        <v/>
      </c>
      <c r="AN353">
        <f>IFERROR(IF(AW353&lt;($AM$8-$AL$8)/($AN$8-$AL$8),$AL$8+SQRT(AW353*($AN$8-$AL$8)*($AM$8-$AL$8)),$AN$8-SQRT((1-AW353)*($AN$8-$AL$8)*($AN$8-$AM$8))),$AM$8)</f>
        <v/>
      </c>
      <c r="AO353">
        <f>IFERROR(IF(AX353&lt;($AM$9-$AL$9)/($AN$9-$AL$9),$AL$9+SQRT(AX353*($AN$9-$AL$9)*($AM$9-$AL$9)),$AN$9-SQRT((1-AX353)*($AN$9-$AL$9)*($AN$9-$AM$9))),$AM$9)</f>
        <v/>
      </c>
      <c r="AP353">
        <f>IFERROR(IF(AY353&lt;($AM$10-$AL$10)/($AN$10-$AL$10),$AL$10+SQRT(AY353*($AN$10-$AL$10)*($AM$10-$AL$10)),$AN$10-SQRT((1-AY353)*($AN$10-$AL$10)*($AN$10-$AM$10))),$AM$10)</f>
        <v/>
      </c>
      <c r="AQ353">
        <f>IFERROR(IF(AZ353&lt;($AM$11-$AL$11)/($AN$11-$AL$11),$AL$11+SQRT(AZ353*($AN$11-$AL$11)*($AM$11-$AL$11)),$AN$11-SQRT((1-AZ353)*($AN$11-$AL$11)*($AN$11-$AM$11))),$AM$11)</f>
        <v/>
      </c>
      <c r="AR353">
        <f>SUMPRODUCT((B24:B31&lt;=$B$6)*(C24:C31*AM353+D24:D31*AO353*$B$8*AQ353)/(1+AL353/100)^B24:B31)+C32*AM353*AP353/(1+AL353/100)^$B$6</f>
        <v/>
      </c>
      <c r="AS353">
        <f>SUMPRODUCT((K24:K26&lt;=$B$6)*(L24:L26*AN353+M24:M26*AO353*$B$8*AQ353)/(1+AL353/100)^K24:K26)+L27*AN353*AP353/(1+AL353/100)^$B$6</f>
        <v/>
      </c>
      <c r="AT353">
        <f>AS353-AR353</f>
        <v/>
      </c>
      <c r="AU353">
        <f>RAND()</f>
        <v/>
      </c>
      <c r="AV353">
        <f>RAND()</f>
        <v/>
      </c>
      <c r="AW353">
        <f>RAND()</f>
        <v/>
      </c>
      <c r="AX353">
        <f>RAND()</f>
        <v/>
      </c>
      <c r="AY353">
        <f>RAND()</f>
        <v/>
      </c>
      <c r="AZ353">
        <f>RAND()</f>
        <v/>
      </c>
    </row>
    <row r="354">
      <c r="AK354" t="n">
        <v>341</v>
      </c>
      <c r="AL354">
        <f>IFERROR(IF(AU354&lt;($AM$6-$AL$6)/($AN$6-$AL$6),$AL$6+SQRT(AU354*($AN$6-$AL$6)*($AM$6-$AL$6)),$AN$6-SQRT((1-AU354)*($AN$6-$AL$6)*($AN$6-$AM$6))),$AM$6)</f>
        <v/>
      </c>
      <c r="AM354">
        <f>IFERROR(IF(AV354&lt;($AM$7-$AL$7)/($AN$7-$AL$7),$AL$7+SQRT(AV354*($AN$7-$AL$7)*($AM$7-$AL$7)),$AN$7-SQRT((1-AV354)*($AN$7-$AL$7)*($AN$7-$AM$7))),$AM$7)</f>
        <v/>
      </c>
      <c r="AN354">
        <f>IFERROR(IF(AW354&lt;($AM$8-$AL$8)/($AN$8-$AL$8),$AL$8+SQRT(AW354*($AN$8-$AL$8)*($AM$8-$AL$8)),$AN$8-SQRT((1-AW354)*($AN$8-$AL$8)*($AN$8-$AM$8))),$AM$8)</f>
        <v/>
      </c>
      <c r="AO354">
        <f>IFERROR(IF(AX354&lt;($AM$9-$AL$9)/($AN$9-$AL$9),$AL$9+SQRT(AX354*($AN$9-$AL$9)*($AM$9-$AL$9)),$AN$9-SQRT((1-AX354)*($AN$9-$AL$9)*($AN$9-$AM$9))),$AM$9)</f>
        <v/>
      </c>
      <c r="AP354">
        <f>IFERROR(IF(AY354&lt;($AM$10-$AL$10)/($AN$10-$AL$10),$AL$10+SQRT(AY354*($AN$10-$AL$10)*($AM$10-$AL$10)),$AN$10-SQRT((1-AY354)*($AN$10-$AL$10)*($AN$10-$AM$10))),$AM$10)</f>
        <v/>
      </c>
      <c r="AQ354">
        <f>IFERROR(IF(AZ354&lt;($AM$11-$AL$11)/($AN$11-$AL$11),$AL$11+SQRT(AZ354*($AN$11-$AL$11)*($AM$11-$AL$11)),$AN$11-SQRT((1-AZ354)*($AN$11-$AL$11)*($AN$11-$AM$11))),$AM$11)</f>
        <v/>
      </c>
      <c r="AR354">
        <f>SUMPRODUCT((B24:B31&lt;=$B$6)*(C24:C31*AM354+D24:D31*AO354*$B$8*AQ354)/(1+AL354/100)^B24:B31)+C32*AM354*AP354/(1+AL354/100)^$B$6</f>
        <v/>
      </c>
      <c r="AS354">
        <f>SUMPRODUCT((K24:K26&lt;=$B$6)*(L24:L26*AN354+M24:M26*AO354*$B$8*AQ354)/(1+AL354/100)^K24:K26)+L27*AN354*AP354/(1+AL354/100)^$B$6</f>
        <v/>
      </c>
      <c r="AT354">
        <f>AS354-AR354</f>
        <v/>
      </c>
      <c r="AU354">
        <f>RAND()</f>
        <v/>
      </c>
      <c r="AV354">
        <f>RAND()</f>
        <v/>
      </c>
      <c r="AW354">
        <f>RAND()</f>
        <v/>
      </c>
      <c r="AX354">
        <f>RAND()</f>
        <v/>
      </c>
      <c r="AY354">
        <f>RAND()</f>
        <v/>
      </c>
      <c r="AZ354">
        <f>RAND()</f>
        <v/>
      </c>
    </row>
    <row r="355">
      <c r="AK355" t="n">
        <v>342</v>
      </c>
      <c r="AL355">
        <f>IFERROR(IF(AU355&lt;($AM$6-$AL$6)/($AN$6-$AL$6),$AL$6+SQRT(AU355*($AN$6-$AL$6)*($AM$6-$AL$6)),$AN$6-SQRT((1-AU355)*($AN$6-$AL$6)*($AN$6-$AM$6))),$AM$6)</f>
        <v/>
      </c>
      <c r="AM355">
        <f>IFERROR(IF(AV355&lt;($AM$7-$AL$7)/($AN$7-$AL$7),$AL$7+SQRT(AV355*($AN$7-$AL$7)*($AM$7-$AL$7)),$AN$7-SQRT((1-AV355)*($AN$7-$AL$7)*($AN$7-$AM$7))),$AM$7)</f>
        <v/>
      </c>
      <c r="AN355">
        <f>IFERROR(IF(AW355&lt;($AM$8-$AL$8)/($AN$8-$AL$8),$AL$8+SQRT(AW355*($AN$8-$AL$8)*($AM$8-$AL$8)),$AN$8-SQRT((1-AW355)*($AN$8-$AL$8)*($AN$8-$AM$8))),$AM$8)</f>
        <v/>
      </c>
      <c r="AO355">
        <f>IFERROR(IF(AX355&lt;($AM$9-$AL$9)/($AN$9-$AL$9),$AL$9+SQRT(AX355*($AN$9-$AL$9)*($AM$9-$AL$9)),$AN$9-SQRT((1-AX355)*($AN$9-$AL$9)*($AN$9-$AM$9))),$AM$9)</f>
        <v/>
      </c>
      <c r="AP355">
        <f>IFERROR(IF(AY355&lt;($AM$10-$AL$10)/($AN$10-$AL$10),$AL$10+SQRT(AY355*($AN$10-$AL$10)*($AM$10-$AL$10)),$AN$10-SQRT((1-AY355)*($AN$10-$AL$10)*($AN$10-$AM$10))),$AM$10)</f>
        <v/>
      </c>
      <c r="AQ355">
        <f>IFERROR(IF(AZ355&lt;($AM$11-$AL$11)/($AN$11-$AL$11),$AL$11+SQRT(AZ355*($AN$11-$AL$11)*($AM$11-$AL$11)),$AN$11-SQRT((1-AZ355)*($AN$11-$AL$11)*($AN$11-$AM$11))),$AM$11)</f>
        <v/>
      </c>
      <c r="AR355">
        <f>SUMPRODUCT((B24:B31&lt;=$B$6)*(C24:C31*AM355+D24:D31*AO355*$B$8*AQ355)/(1+AL355/100)^B24:B31)+C32*AM355*AP355/(1+AL355/100)^$B$6</f>
        <v/>
      </c>
      <c r="AS355">
        <f>SUMPRODUCT((K24:K26&lt;=$B$6)*(L24:L26*AN355+M24:M26*AO355*$B$8*AQ355)/(1+AL355/100)^K24:K26)+L27*AN355*AP355/(1+AL355/100)^$B$6</f>
        <v/>
      </c>
      <c r="AT355">
        <f>AS355-AR355</f>
        <v/>
      </c>
      <c r="AU355">
        <f>RAND()</f>
        <v/>
      </c>
      <c r="AV355">
        <f>RAND()</f>
        <v/>
      </c>
      <c r="AW355">
        <f>RAND()</f>
        <v/>
      </c>
      <c r="AX355">
        <f>RAND()</f>
        <v/>
      </c>
      <c r="AY355">
        <f>RAND()</f>
        <v/>
      </c>
      <c r="AZ355">
        <f>RAND()</f>
        <v/>
      </c>
    </row>
    <row r="356">
      <c r="AK356" t="n">
        <v>343</v>
      </c>
      <c r="AL356">
        <f>IFERROR(IF(AU356&lt;($AM$6-$AL$6)/($AN$6-$AL$6),$AL$6+SQRT(AU356*($AN$6-$AL$6)*($AM$6-$AL$6)),$AN$6-SQRT((1-AU356)*($AN$6-$AL$6)*($AN$6-$AM$6))),$AM$6)</f>
        <v/>
      </c>
      <c r="AM356">
        <f>IFERROR(IF(AV356&lt;($AM$7-$AL$7)/($AN$7-$AL$7),$AL$7+SQRT(AV356*($AN$7-$AL$7)*($AM$7-$AL$7)),$AN$7-SQRT((1-AV356)*($AN$7-$AL$7)*($AN$7-$AM$7))),$AM$7)</f>
        <v/>
      </c>
      <c r="AN356">
        <f>IFERROR(IF(AW356&lt;($AM$8-$AL$8)/($AN$8-$AL$8),$AL$8+SQRT(AW356*($AN$8-$AL$8)*($AM$8-$AL$8)),$AN$8-SQRT((1-AW356)*($AN$8-$AL$8)*($AN$8-$AM$8))),$AM$8)</f>
        <v/>
      </c>
      <c r="AO356">
        <f>IFERROR(IF(AX356&lt;($AM$9-$AL$9)/($AN$9-$AL$9),$AL$9+SQRT(AX356*($AN$9-$AL$9)*($AM$9-$AL$9)),$AN$9-SQRT((1-AX356)*($AN$9-$AL$9)*($AN$9-$AM$9))),$AM$9)</f>
        <v/>
      </c>
      <c r="AP356">
        <f>IFERROR(IF(AY356&lt;($AM$10-$AL$10)/($AN$10-$AL$10),$AL$10+SQRT(AY356*($AN$10-$AL$10)*($AM$10-$AL$10)),$AN$10-SQRT((1-AY356)*($AN$10-$AL$10)*($AN$10-$AM$10))),$AM$10)</f>
        <v/>
      </c>
      <c r="AQ356">
        <f>IFERROR(IF(AZ356&lt;($AM$11-$AL$11)/($AN$11-$AL$11),$AL$11+SQRT(AZ356*($AN$11-$AL$11)*($AM$11-$AL$11)),$AN$11-SQRT((1-AZ356)*($AN$11-$AL$11)*($AN$11-$AM$11))),$AM$11)</f>
        <v/>
      </c>
      <c r="AR356">
        <f>SUMPRODUCT((B24:B31&lt;=$B$6)*(C24:C31*AM356+D24:D31*AO356*$B$8*AQ356)/(1+AL356/100)^B24:B31)+C32*AM356*AP356/(1+AL356/100)^$B$6</f>
        <v/>
      </c>
      <c r="AS356">
        <f>SUMPRODUCT((K24:K26&lt;=$B$6)*(L24:L26*AN356+M24:M26*AO356*$B$8*AQ356)/(1+AL356/100)^K24:K26)+L27*AN356*AP356/(1+AL356/100)^$B$6</f>
        <v/>
      </c>
      <c r="AT356">
        <f>AS356-AR356</f>
        <v/>
      </c>
      <c r="AU356">
        <f>RAND()</f>
        <v/>
      </c>
      <c r="AV356">
        <f>RAND()</f>
        <v/>
      </c>
      <c r="AW356">
        <f>RAND()</f>
        <v/>
      </c>
      <c r="AX356">
        <f>RAND()</f>
        <v/>
      </c>
      <c r="AY356">
        <f>RAND()</f>
        <v/>
      </c>
      <c r="AZ356">
        <f>RAND()</f>
        <v/>
      </c>
    </row>
    <row r="357">
      <c r="AK357" t="n">
        <v>344</v>
      </c>
      <c r="AL357">
        <f>IFERROR(IF(AU357&lt;($AM$6-$AL$6)/($AN$6-$AL$6),$AL$6+SQRT(AU357*($AN$6-$AL$6)*($AM$6-$AL$6)),$AN$6-SQRT((1-AU357)*($AN$6-$AL$6)*($AN$6-$AM$6))),$AM$6)</f>
        <v/>
      </c>
      <c r="AM357">
        <f>IFERROR(IF(AV357&lt;($AM$7-$AL$7)/($AN$7-$AL$7),$AL$7+SQRT(AV357*($AN$7-$AL$7)*($AM$7-$AL$7)),$AN$7-SQRT((1-AV357)*($AN$7-$AL$7)*($AN$7-$AM$7))),$AM$7)</f>
        <v/>
      </c>
      <c r="AN357">
        <f>IFERROR(IF(AW357&lt;($AM$8-$AL$8)/($AN$8-$AL$8),$AL$8+SQRT(AW357*($AN$8-$AL$8)*($AM$8-$AL$8)),$AN$8-SQRT((1-AW357)*($AN$8-$AL$8)*($AN$8-$AM$8))),$AM$8)</f>
        <v/>
      </c>
      <c r="AO357">
        <f>IFERROR(IF(AX357&lt;($AM$9-$AL$9)/($AN$9-$AL$9),$AL$9+SQRT(AX357*($AN$9-$AL$9)*($AM$9-$AL$9)),$AN$9-SQRT((1-AX357)*($AN$9-$AL$9)*($AN$9-$AM$9))),$AM$9)</f>
        <v/>
      </c>
      <c r="AP357">
        <f>IFERROR(IF(AY357&lt;($AM$10-$AL$10)/($AN$10-$AL$10),$AL$10+SQRT(AY357*($AN$10-$AL$10)*($AM$10-$AL$10)),$AN$10-SQRT((1-AY357)*($AN$10-$AL$10)*($AN$10-$AM$10))),$AM$10)</f>
        <v/>
      </c>
      <c r="AQ357">
        <f>IFERROR(IF(AZ357&lt;($AM$11-$AL$11)/($AN$11-$AL$11),$AL$11+SQRT(AZ357*($AN$11-$AL$11)*($AM$11-$AL$11)),$AN$11-SQRT((1-AZ357)*($AN$11-$AL$11)*($AN$11-$AM$11))),$AM$11)</f>
        <v/>
      </c>
      <c r="AR357">
        <f>SUMPRODUCT((B24:B31&lt;=$B$6)*(C24:C31*AM357+D24:D31*AO357*$B$8*AQ357)/(1+AL357/100)^B24:B31)+C32*AM357*AP357/(1+AL357/100)^$B$6</f>
        <v/>
      </c>
      <c r="AS357">
        <f>SUMPRODUCT((K24:K26&lt;=$B$6)*(L24:L26*AN357+M24:M26*AO357*$B$8*AQ357)/(1+AL357/100)^K24:K26)+L27*AN357*AP357/(1+AL357/100)^$B$6</f>
        <v/>
      </c>
      <c r="AT357">
        <f>AS357-AR357</f>
        <v/>
      </c>
      <c r="AU357">
        <f>RAND()</f>
        <v/>
      </c>
      <c r="AV357">
        <f>RAND()</f>
        <v/>
      </c>
      <c r="AW357">
        <f>RAND()</f>
        <v/>
      </c>
      <c r="AX357">
        <f>RAND()</f>
        <v/>
      </c>
      <c r="AY357">
        <f>RAND()</f>
        <v/>
      </c>
      <c r="AZ357">
        <f>RAND()</f>
        <v/>
      </c>
    </row>
    <row r="358">
      <c r="AK358" t="n">
        <v>345</v>
      </c>
      <c r="AL358">
        <f>IFERROR(IF(AU358&lt;($AM$6-$AL$6)/($AN$6-$AL$6),$AL$6+SQRT(AU358*($AN$6-$AL$6)*($AM$6-$AL$6)),$AN$6-SQRT((1-AU358)*($AN$6-$AL$6)*($AN$6-$AM$6))),$AM$6)</f>
        <v/>
      </c>
      <c r="AM358">
        <f>IFERROR(IF(AV358&lt;($AM$7-$AL$7)/($AN$7-$AL$7),$AL$7+SQRT(AV358*($AN$7-$AL$7)*($AM$7-$AL$7)),$AN$7-SQRT((1-AV358)*($AN$7-$AL$7)*($AN$7-$AM$7))),$AM$7)</f>
        <v/>
      </c>
      <c r="AN358">
        <f>IFERROR(IF(AW358&lt;($AM$8-$AL$8)/($AN$8-$AL$8),$AL$8+SQRT(AW358*($AN$8-$AL$8)*($AM$8-$AL$8)),$AN$8-SQRT((1-AW358)*($AN$8-$AL$8)*($AN$8-$AM$8))),$AM$8)</f>
        <v/>
      </c>
      <c r="AO358">
        <f>IFERROR(IF(AX358&lt;($AM$9-$AL$9)/($AN$9-$AL$9),$AL$9+SQRT(AX358*($AN$9-$AL$9)*($AM$9-$AL$9)),$AN$9-SQRT((1-AX358)*($AN$9-$AL$9)*($AN$9-$AM$9))),$AM$9)</f>
        <v/>
      </c>
      <c r="AP358">
        <f>IFERROR(IF(AY358&lt;($AM$10-$AL$10)/($AN$10-$AL$10),$AL$10+SQRT(AY358*($AN$10-$AL$10)*($AM$10-$AL$10)),$AN$10-SQRT((1-AY358)*($AN$10-$AL$10)*($AN$10-$AM$10))),$AM$10)</f>
        <v/>
      </c>
      <c r="AQ358">
        <f>IFERROR(IF(AZ358&lt;($AM$11-$AL$11)/($AN$11-$AL$11),$AL$11+SQRT(AZ358*($AN$11-$AL$11)*($AM$11-$AL$11)),$AN$11-SQRT((1-AZ358)*($AN$11-$AL$11)*($AN$11-$AM$11))),$AM$11)</f>
        <v/>
      </c>
      <c r="AR358">
        <f>SUMPRODUCT((B24:B31&lt;=$B$6)*(C24:C31*AM358+D24:D31*AO358*$B$8*AQ358)/(1+AL358/100)^B24:B31)+C32*AM358*AP358/(1+AL358/100)^$B$6</f>
        <v/>
      </c>
      <c r="AS358">
        <f>SUMPRODUCT((K24:K26&lt;=$B$6)*(L24:L26*AN358+M24:M26*AO358*$B$8*AQ358)/(1+AL358/100)^K24:K26)+L27*AN358*AP358/(1+AL358/100)^$B$6</f>
        <v/>
      </c>
      <c r="AT358">
        <f>AS358-AR358</f>
        <v/>
      </c>
      <c r="AU358">
        <f>RAND()</f>
        <v/>
      </c>
      <c r="AV358">
        <f>RAND()</f>
        <v/>
      </c>
      <c r="AW358">
        <f>RAND()</f>
        <v/>
      </c>
      <c r="AX358">
        <f>RAND()</f>
        <v/>
      </c>
      <c r="AY358">
        <f>RAND()</f>
        <v/>
      </c>
      <c r="AZ358">
        <f>RAND()</f>
        <v/>
      </c>
    </row>
    <row r="359">
      <c r="AK359" t="n">
        <v>346</v>
      </c>
      <c r="AL359">
        <f>IFERROR(IF(AU359&lt;($AM$6-$AL$6)/($AN$6-$AL$6),$AL$6+SQRT(AU359*($AN$6-$AL$6)*($AM$6-$AL$6)),$AN$6-SQRT((1-AU359)*($AN$6-$AL$6)*($AN$6-$AM$6))),$AM$6)</f>
        <v/>
      </c>
      <c r="AM359">
        <f>IFERROR(IF(AV359&lt;($AM$7-$AL$7)/($AN$7-$AL$7),$AL$7+SQRT(AV359*($AN$7-$AL$7)*($AM$7-$AL$7)),$AN$7-SQRT((1-AV359)*($AN$7-$AL$7)*($AN$7-$AM$7))),$AM$7)</f>
        <v/>
      </c>
      <c r="AN359">
        <f>IFERROR(IF(AW359&lt;($AM$8-$AL$8)/($AN$8-$AL$8),$AL$8+SQRT(AW359*($AN$8-$AL$8)*($AM$8-$AL$8)),$AN$8-SQRT((1-AW359)*($AN$8-$AL$8)*($AN$8-$AM$8))),$AM$8)</f>
        <v/>
      </c>
      <c r="AO359">
        <f>IFERROR(IF(AX359&lt;($AM$9-$AL$9)/($AN$9-$AL$9),$AL$9+SQRT(AX359*($AN$9-$AL$9)*($AM$9-$AL$9)),$AN$9-SQRT((1-AX359)*($AN$9-$AL$9)*($AN$9-$AM$9))),$AM$9)</f>
        <v/>
      </c>
      <c r="AP359">
        <f>IFERROR(IF(AY359&lt;($AM$10-$AL$10)/($AN$10-$AL$10),$AL$10+SQRT(AY359*($AN$10-$AL$10)*($AM$10-$AL$10)),$AN$10-SQRT((1-AY359)*($AN$10-$AL$10)*($AN$10-$AM$10))),$AM$10)</f>
        <v/>
      </c>
      <c r="AQ359">
        <f>IFERROR(IF(AZ359&lt;($AM$11-$AL$11)/($AN$11-$AL$11),$AL$11+SQRT(AZ359*($AN$11-$AL$11)*($AM$11-$AL$11)),$AN$11-SQRT((1-AZ359)*($AN$11-$AL$11)*($AN$11-$AM$11))),$AM$11)</f>
        <v/>
      </c>
      <c r="AR359">
        <f>SUMPRODUCT((B24:B31&lt;=$B$6)*(C24:C31*AM359+D24:D31*AO359*$B$8*AQ359)/(1+AL359/100)^B24:B31)+C32*AM359*AP359/(1+AL359/100)^$B$6</f>
        <v/>
      </c>
      <c r="AS359">
        <f>SUMPRODUCT((K24:K26&lt;=$B$6)*(L24:L26*AN359+M24:M26*AO359*$B$8*AQ359)/(1+AL359/100)^K24:K26)+L27*AN359*AP359/(1+AL359/100)^$B$6</f>
        <v/>
      </c>
      <c r="AT359">
        <f>AS359-AR359</f>
        <v/>
      </c>
      <c r="AU359">
        <f>RAND()</f>
        <v/>
      </c>
      <c r="AV359">
        <f>RAND()</f>
        <v/>
      </c>
      <c r="AW359">
        <f>RAND()</f>
        <v/>
      </c>
      <c r="AX359">
        <f>RAND()</f>
        <v/>
      </c>
      <c r="AY359">
        <f>RAND()</f>
        <v/>
      </c>
      <c r="AZ359">
        <f>RAND()</f>
        <v/>
      </c>
    </row>
    <row r="360">
      <c r="AK360" t="n">
        <v>347</v>
      </c>
      <c r="AL360">
        <f>IFERROR(IF(AU360&lt;($AM$6-$AL$6)/($AN$6-$AL$6),$AL$6+SQRT(AU360*($AN$6-$AL$6)*($AM$6-$AL$6)),$AN$6-SQRT((1-AU360)*($AN$6-$AL$6)*($AN$6-$AM$6))),$AM$6)</f>
        <v/>
      </c>
      <c r="AM360">
        <f>IFERROR(IF(AV360&lt;($AM$7-$AL$7)/($AN$7-$AL$7),$AL$7+SQRT(AV360*($AN$7-$AL$7)*($AM$7-$AL$7)),$AN$7-SQRT((1-AV360)*($AN$7-$AL$7)*($AN$7-$AM$7))),$AM$7)</f>
        <v/>
      </c>
      <c r="AN360">
        <f>IFERROR(IF(AW360&lt;($AM$8-$AL$8)/($AN$8-$AL$8),$AL$8+SQRT(AW360*($AN$8-$AL$8)*($AM$8-$AL$8)),$AN$8-SQRT((1-AW360)*($AN$8-$AL$8)*($AN$8-$AM$8))),$AM$8)</f>
        <v/>
      </c>
      <c r="AO360">
        <f>IFERROR(IF(AX360&lt;($AM$9-$AL$9)/($AN$9-$AL$9),$AL$9+SQRT(AX360*($AN$9-$AL$9)*($AM$9-$AL$9)),$AN$9-SQRT((1-AX360)*($AN$9-$AL$9)*($AN$9-$AM$9))),$AM$9)</f>
        <v/>
      </c>
      <c r="AP360">
        <f>IFERROR(IF(AY360&lt;($AM$10-$AL$10)/($AN$10-$AL$10),$AL$10+SQRT(AY360*($AN$10-$AL$10)*($AM$10-$AL$10)),$AN$10-SQRT((1-AY360)*($AN$10-$AL$10)*($AN$10-$AM$10))),$AM$10)</f>
        <v/>
      </c>
      <c r="AQ360">
        <f>IFERROR(IF(AZ360&lt;($AM$11-$AL$11)/($AN$11-$AL$11),$AL$11+SQRT(AZ360*($AN$11-$AL$11)*($AM$11-$AL$11)),$AN$11-SQRT((1-AZ360)*($AN$11-$AL$11)*($AN$11-$AM$11))),$AM$11)</f>
        <v/>
      </c>
      <c r="AR360">
        <f>SUMPRODUCT((B24:B31&lt;=$B$6)*(C24:C31*AM360+D24:D31*AO360*$B$8*AQ360)/(1+AL360/100)^B24:B31)+C32*AM360*AP360/(1+AL360/100)^$B$6</f>
        <v/>
      </c>
      <c r="AS360">
        <f>SUMPRODUCT((K24:K26&lt;=$B$6)*(L24:L26*AN360+M24:M26*AO360*$B$8*AQ360)/(1+AL360/100)^K24:K26)+L27*AN360*AP360/(1+AL360/100)^$B$6</f>
        <v/>
      </c>
      <c r="AT360">
        <f>AS360-AR360</f>
        <v/>
      </c>
      <c r="AU360">
        <f>RAND()</f>
        <v/>
      </c>
      <c r="AV360">
        <f>RAND()</f>
        <v/>
      </c>
      <c r="AW360">
        <f>RAND()</f>
        <v/>
      </c>
      <c r="AX360">
        <f>RAND()</f>
        <v/>
      </c>
      <c r="AY360">
        <f>RAND()</f>
        <v/>
      </c>
      <c r="AZ360">
        <f>RAND()</f>
        <v/>
      </c>
    </row>
    <row r="361">
      <c r="AK361" t="n">
        <v>348</v>
      </c>
      <c r="AL361">
        <f>IFERROR(IF(AU361&lt;($AM$6-$AL$6)/($AN$6-$AL$6),$AL$6+SQRT(AU361*($AN$6-$AL$6)*($AM$6-$AL$6)),$AN$6-SQRT((1-AU361)*($AN$6-$AL$6)*($AN$6-$AM$6))),$AM$6)</f>
        <v/>
      </c>
      <c r="AM361">
        <f>IFERROR(IF(AV361&lt;($AM$7-$AL$7)/($AN$7-$AL$7),$AL$7+SQRT(AV361*($AN$7-$AL$7)*($AM$7-$AL$7)),$AN$7-SQRT((1-AV361)*($AN$7-$AL$7)*($AN$7-$AM$7))),$AM$7)</f>
        <v/>
      </c>
      <c r="AN361">
        <f>IFERROR(IF(AW361&lt;($AM$8-$AL$8)/($AN$8-$AL$8),$AL$8+SQRT(AW361*($AN$8-$AL$8)*($AM$8-$AL$8)),$AN$8-SQRT((1-AW361)*($AN$8-$AL$8)*($AN$8-$AM$8))),$AM$8)</f>
        <v/>
      </c>
      <c r="AO361">
        <f>IFERROR(IF(AX361&lt;($AM$9-$AL$9)/($AN$9-$AL$9),$AL$9+SQRT(AX361*($AN$9-$AL$9)*($AM$9-$AL$9)),$AN$9-SQRT((1-AX361)*($AN$9-$AL$9)*($AN$9-$AM$9))),$AM$9)</f>
        <v/>
      </c>
      <c r="AP361">
        <f>IFERROR(IF(AY361&lt;($AM$10-$AL$10)/($AN$10-$AL$10),$AL$10+SQRT(AY361*($AN$10-$AL$10)*($AM$10-$AL$10)),$AN$10-SQRT((1-AY361)*($AN$10-$AL$10)*($AN$10-$AM$10))),$AM$10)</f>
        <v/>
      </c>
      <c r="AQ361">
        <f>IFERROR(IF(AZ361&lt;($AM$11-$AL$11)/($AN$11-$AL$11),$AL$11+SQRT(AZ361*($AN$11-$AL$11)*($AM$11-$AL$11)),$AN$11-SQRT((1-AZ361)*($AN$11-$AL$11)*($AN$11-$AM$11))),$AM$11)</f>
        <v/>
      </c>
      <c r="AR361">
        <f>SUMPRODUCT((B24:B31&lt;=$B$6)*(C24:C31*AM361+D24:D31*AO361*$B$8*AQ361)/(1+AL361/100)^B24:B31)+C32*AM361*AP361/(1+AL361/100)^$B$6</f>
        <v/>
      </c>
      <c r="AS361">
        <f>SUMPRODUCT((K24:K26&lt;=$B$6)*(L24:L26*AN361+M24:M26*AO361*$B$8*AQ361)/(1+AL361/100)^K24:K26)+L27*AN361*AP361/(1+AL361/100)^$B$6</f>
        <v/>
      </c>
      <c r="AT361">
        <f>AS361-AR361</f>
        <v/>
      </c>
      <c r="AU361">
        <f>RAND()</f>
        <v/>
      </c>
      <c r="AV361">
        <f>RAND()</f>
        <v/>
      </c>
      <c r="AW361">
        <f>RAND()</f>
        <v/>
      </c>
      <c r="AX361">
        <f>RAND()</f>
        <v/>
      </c>
      <c r="AY361">
        <f>RAND()</f>
        <v/>
      </c>
      <c r="AZ361">
        <f>RAND()</f>
        <v/>
      </c>
    </row>
    <row r="362">
      <c r="AK362" t="n">
        <v>349</v>
      </c>
      <c r="AL362">
        <f>IFERROR(IF(AU362&lt;($AM$6-$AL$6)/($AN$6-$AL$6),$AL$6+SQRT(AU362*($AN$6-$AL$6)*($AM$6-$AL$6)),$AN$6-SQRT((1-AU362)*($AN$6-$AL$6)*($AN$6-$AM$6))),$AM$6)</f>
        <v/>
      </c>
      <c r="AM362">
        <f>IFERROR(IF(AV362&lt;($AM$7-$AL$7)/($AN$7-$AL$7),$AL$7+SQRT(AV362*($AN$7-$AL$7)*($AM$7-$AL$7)),$AN$7-SQRT((1-AV362)*($AN$7-$AL$7)*($AN$7-$AM$7))),$AM$7)</f>
        <v/>
      </c>
      <c r="AN362">
        <f>IFERROR(IF(AW362&lt;($AM$8-$AL$8)/($AN$8-$AL$8),$AL$8+SQRT(AW362*($AN$8-$AL$8)*($AM$8-$AL$8)),$AN$8-SQRT((1-AW362)*($AN$8-$AL$8)*($AN$8-$AM$8))),$AM$8)</f>
        <v/>
      </c>
      <c r="AO362">
        <f>IFERROR(IF(AX362&lt;($AM$9-$AL$9)/($AN$9-$AL$9),$AL$9+SQRT(AX362*($AN$9-$AL$9)*($AM$9-$AL$9)),$AN$9-SQRT((1-AX362)*($AN$9-$AL$9)*($AN$9-$AM$9))),$AM$9)</f>
        <v/>
      </c>
      <c r="AP362">
        <f>IFERROR(IF(AY362&lt;($AM$10-$AL$10)/($AN$10-$AL$10),$AL$10+SQRT(AY362*($AN$10-$AL$10)*($AM$10-$AL$10)),$AN$10-SQRT((1-AY362)*($AN$10-$AL$10)*($AN$10-$AM$10))),$AM$10)</f>
        <v/>
      </c>
      <c r="AQ362">
        <f>IFERROR(IF(AZ362&lt;($AM$11-$AL$11)/($AN$11-$AL$11),$AL$11+SQRT(AZ362*($AN$11-$AL$11)*($AM$11-$AL$11)),$AN$11-SQRT((1-AZ362)*($AN$11-$AL$11)*($AN$11-$AM$11))),$AM$11)</f>
        <v/>
      </c>
      <c r="AR362">
        <f>SUMPRODUCT((B24:B31&lt;=$B$6)*(C24:C31*AM362+D24:D31*AO362*$B$8*AQ362)/(1+AL362/100)^B24:B31)+C32*AM362*AP362/(1+AL362/100)^$B$6</f>
        <v/>
      </c>
      <c r="AS362">
        <f>SUMPRODUCT((K24:K26&lt;=$B$6)*(L24:L26*AN362+M24:M26*AO362*$B$8*AQ362)/(1+AL362/100)^K24:K26)+L27*AN362*AP362/(1+AL362/100)^$B$6</f>
        <v/>
      </c>
      <c r="AT362">
        <f>AS362-AR362</f>
        <v/>
      </c>
      <c r="AU362">
        <f>RAND()</f>
        <v/>
      </c>
      <c r="AV362">
        <f>RAND()</f>
        <v/>
      </c>
      <c r="AW362">
        <f>RAND()</f>
        <v/>
      </c>
      <c r="AX362">
        <f>RAND()</f>
        <v/>
      </c>
      <c r="AY362">
        <f>RAND()</f>
        <v/>
      </c>
      <c r="AZ362">
        <f>RAND()</f>
        <v/>
      </c>
    </row>
    <row r="363">
      <c r="AK363" t="n">
        <v>350</v>
      </c>
      <c r="AL363">
        <f>IFERROR(IF(AU363&lt;($AM$6-$AL$6)/($AN$6-$AL$6),$AL$6+SQRT(AU363*($AN$6-$AL$6)*($AM$6-$AL$6)),$AN$6-SQRT((1-AU363)*($AN$6-$AL$6)*($AN$6-$AM$6))),$AM$6)</f>
        <v/>
      </c>
      <c r="AM363">
        <f>IFERROR(IF(AV363&lt;($AM$7-$AL$7)/($AN$7-$AL$7),$AL$7+SQRT(AV363*($AN$7-$AL$7)*($AM$7-$AL$7)),$AN$7-SQRT((1-AV363)*($AN$7-$AL$7)*($AN$7-$AM$7))),$AM$7)</f>
        <v/>
      </c>
      <c r="AN363">
        <f>IFERROR(IF(AW363&lt;($AM$8-$AL$8)/($AN$8-$AL$8),$AL$8+SQRT(AW363*($AN$8-$AL$8)*($AM$8-$AL$8)),$AN$8-SQRT((1-AW363)*($AN$8-$AL$8)*($AN$8-$AM$8))),$AM$8)</f>
        <v/>
      </c>
      <c r="AO363">
        <f>IFERROR(IF(AX363&lt;($AM$9-$AL$9)/($AN$9-$AL$9),$AL$9+SQRT(AX363*($AN$9-$AL$9)*($AM$9-$AL$9)),$AN$9-SQRT((1-AX363)*($AN$9-$AL$9)*($AN$9-$AM$9))),$AM$9)</f>
        <v/>
      </c>
      <c r="AP363">
        <f>IFERROR(IF(AY363&lt;($AM$10-$AL$10)/($AN$10-$AL$10),$AL$10+SQRT(AY363*($AN$10-$AL$10)*($AM$10-$AL$10)),$AN$10-SQRT((1-AY363)*($AN$10-$AL$10)*($AN$10-$AM$10))),$AM$10)</f>
        <v/>
      </c>
      <c r="AQ363">
        <f>IFERROR(IF(AZ363&lt;($AM$11-$AL$11)/($AN$11-$AL$11),$AL$11+SQRT(AZ363*($AN$11-$AL$11)*($AM$11-$AL$11)),$AN$11-SQRT((1-AZ363)*($AN$11-$AL$11)*($AN$11-$AM$11))),$AM$11)</f>
        <v/>
      </c>
      <c r="AR363">
        <f>SUMPRODUCT((B24:B31&lt;=$B$6)*(C24:C31*AM363+D24:D31*AO363*$B$8*AQ363)/(1+AL363/100)^B24:B31)+C32*AM363*AP363/(1+AL363/100)^$B$6</f>
        <v/>
      </c>
      <c r="AS363">
        <f>SUMPRODUCT((K24:K26&lt;=$B$6)*(L24:L26*AN363+M24:M26*AO363*$B$8*AQ363)/(1+AL363/100)^K24:K26)+L27*AN363*AP363/(1+AL363/100)^$B$6</f>
        <v/>
      </c>
      <c r="AT363">
        <f>AS363-AR363</f>
        <v/>
      </c>
      <c r="AU363">
        <f>RAND()</f>
        <v/>
      </c>
      <c r="AV363">
        <f>RAND()</f>
        <v/>
      </c>
      <c r="AW363">
        <f>RAND()</f>
        <v/>
      </c>
      <c r="AX363">
        <f>RAND()</f>
        <v/>
      </c>
      <c r="AY363">
        <f>RAND()</f>
        <v/>
      </c>
      <c r="AZ363">
        <f>RAND()</f>
        <v/>
      </c>
    </row>
    <row r="364">
      <c r="AK364" t="n">
        <v>351</v>
      </c>
      <c r="AL364">
        <f>IFERROR(IF(AU364&lt;($AM$6-$AL$6)/($AN$6-$AL$6),$AL$6+SQRT(AU364*($AN$6-$AL$6)*($AM$6-$AL$6)),$AN$6-SQRT((1-AU364)*($AN$6-$AL$6)*($AN$6-$AM$6))),$AM$6)</f>
        <v/>
      </c>
      <c r="AM364">
        <f>IFERROR(IF(AV364&lt;($AM$7-$AL$7)/($AN$7-$AL$7),$AL$7+SQRT(AV364*($AN$7-$AL$7)*($AM$7-$AL$7)),$AN$7-SQRT((1-AV364)*($AN$7-$AL$7)*($AN$7-$AM$7))),$AM$7)</f>
        <v/>
      </c>
      <c r="AN364">
        <f>IFERROR(IF(AW364&lt;($AM$8-$AL$8)/($AN$8-$AL$8),$AL$8+SQRT(AW364*($AN$8-$AL$8)*($AM$8-$AL$8)),$AN$8-SQRT((1-AW364)*($AN$8-$AL$8)*($AN$8-$AM$8))),$AM$8)</f>
        <v/>
      </c>
      <c r="AO364">
        <f>IFERROR(IF(AX364&lt;($AM$9-$AL$9)/($AN$9-$AL$9),$AL$9+SQRT(AX364*($AN$9-$AL$9)*($AM$9-$AL$9)),$AN$9-SQRT((1-AX364)*($AN$9-$AL$9)*($AN$9-$AM$9))),$AM$9)</f>
        <v/>
      </c>
      <c r="AP364">
        <f>IFERROR(IF(AY364&lt;($AM$10-$AL$10)/($AN$10-$AL$10),$AL$10+SQRT(AY364*($AN$10-$AL$10)*($AM$10-$AL$10)),$AN$10-SQRT((1-AY364)*($AN$10-$AL$10)*($AN$10-$AM$10))),$AM$10)</f>
        <v/>
      </c>
      <c r="AQ364">
        <f>IFERROR(IF(AZ364&lt;($AM$11-$AL$11)/($AN$11-$AL$11),$AL$11+SQRT(AZ364*($AN$11-$AL$11)*($AM$11-$AL$11)),$AN$11-SQRT((1-AZ364)*($AN$11-$AL$11)*($AN$11-$AM$11))),$AM$11)</f>
        <v/>
      </c>
      <c r="AR364">
        <f>SUMPRODUCT((B24:B31&lt;=$B$6)*(C24:C31*AM364+D24:D31*AO364*$B$8*AQ364)/(1+AL364/100)^B24:B31)+C32*AM364*AP364/(1+AL364/100)^$B$6</f>
        <v/>
      </c>
      <c r="AS364">
        <f>SUMPRODUCT((K24:K26&lt;=$B$6)*(L24:L26*AN364+M24:M26*AO364*$B$8*AQ364)/(1+AL364/100)^K24:K26)+L27*AN364*AP364/(1+AL364/100)^$B$6</f>
        <v/>
      </c>
      <c r="AT364">
        <f>AS364-AR364</f>
        <v/>
      </c>
      <c r="AU364">
        <f>RAND()</f>
        <v/>
      </c>
      <c r="AV364">
        <f>RAND()</f>
        <v/>
      </c>
      <c r="AW364">
        <f>RAND()</f>
        <v/>
      </c>
      <c r="AX364">
        <f>RAND()</f>
        <v/>
      </c>
      <c r="AY364">
        <f>RAND()</f>
        <v/>
      </c>
      <c r="AZ364">
        <f>RAND()</f>
        <v/>
      </c>
    </row>
    <row r="365">
      <c r="AK365" t="n">
        <v>352</v>
      </c>
      <c r="AL365">
        <f>IFERROR(IF(AU365&lt;($AM$6-$AL$6)/($AN$6-$AL$6),$AL$6+SQRT(AU365*($AN$6-$AL$6)*($AM$6-$AL$6)),$AN$6-SQRT((1-AU365)*($AN$6-$AL$6)*($AN$6-$AM$6))),$AM$6)</f>
        <v/>
      </c>
      <c r="AM365">
        <f>IFERROR(IF(AV365&lt;($AM$7-$AL$7)/($AN$7-$AL$7),$AL$7+SQRT(AV365*($AN$7-$AL$7)*($AM$7-$AL$7)),$AN$7-SQRT((1-AV365)*($AN$7-$AL$7)*($AN$7-$AM$7))),$AM$7)</f>
        <v/>
      </c>
      <c r="AN365">
        <f>IFERROR(IF(AW365&lt;($AM$8-$AL$8)/($AN$8-$AL$8),$AL$8+SQRT(AW365*($AN$8-$AL$8)*($AM$8-$AL$8)),$AN$8-SQRT((1-AW365)*($AN$8-$AL$8)*($AN$8-$AM$8))),$AM$8)</f>
        <v/>
      </c>
      <c r="AO365">
        <f>IFERROR(IF(AX365&lt;($AM$9-$AL$9)/($AN$9-$AL$9),$AL$9+SQRT(AX365*($AN$9-$AL$9)*($AM$9-$AL$9)),$AN$9-SQRT((1-AX365)*($AN$9-$AL$9)*($AN$9-$AM$9))),$AM$9)</f>
        <v/>
      </c>
      <c r="AP365">
        <f>IFERROR(IF(AY365&lt;($AM$10-$AL$10)/($AN$10-$AL$10),$AL$10+SQRT(AY365*($AN$10-$AL$10)*($AM$10-$AL$10)),$AN$10-SQRT((1-AY365)*($AN$10-$AL$10)*($AN$10-$AM$10))),$AM$10)</f>
        <v/>
      </c>
      <c r="AQ365">
        <f>IFERROR(IF(AZ365&lt;($AM$11-$AL$11)/($AN$11-$AL$11),$AL$11+SQRT(AZ365*($AN$11-$AL$11)*($AM$11-$AL$11)),$AN$11-SQRT((1-AZ365)*($AN$11-$AL$11)*($AN$11-$AM$11))),$AM$11)</f>
        <v/>
      </c>
      <c r="AR365">
        <f>SUMPRODUCT((B24:B31&lt;=$B$6)*(C24:C31*AM365+D24:D31*AO365*$B$8*AQ365)/(1+AL365/100)^B24:B31)+C32*AM365*AP365/(1+AL365/100)^$B$6</f>
        <v/>
      </c>
      <c r="AS365">
        <f>SUMPRODUCT((K24:K26&lt;=$B$6)*(L24:L26*AN365+M24:M26*AO365*$B$8*AQ365)/(1+AL365/100)^K24:K26)+L27*AN365*AP365/(1+AL365/100)^$B$6</f>
        <v/>
      </c>
      <c r="AT365">
        <f>AS365-AR365</f>
        <v/>
      </c>
      <c r="AU365">
        <f>RAND()</f>
        <v/>
      </c>
      <c r="AV365">
        <f>RAND()</f>
        <v/>
      </c>
      <c r="AW365">
        <f>RAND()</f>
        <v/>
      </c>
      <c r="AX365">
        <f>RAND()</f>
        <v/>
      </c>
      <c r="AY365">
        <f>RAND()</f>
        <v/>
      </c>
      <c r="AZ365">
        <f>RAND()</f>
        <v/>
      </c>
    </row>
    <row r="366">
      <c r="AK366" t="n">
        <v>353</v>
      </c>
      <c r="AL366">
        <f>IFERROR(IF(AU366&lt;($AM$6-$AL$6)/($AN$6-$AL$6),$AL$6+SQRT(AU366*($AN$6-$AL$6)*($AM$6-$AL$6)),$AN$6-SQRT((1-AU366)*($AN$6-$AL$6)*($AN$6-$AM$6))),$AM$6)</f>
        <v/>
      </c>
      <c r="AM366">
        <f>IFERROR(IF(AV366&lt;($AM$7-$AL$7)/($AN$7-$AL$7),$AL$7+SQRT(AV366*($AN$7-$AL$7)*($AM$7-$AL$7)),$AN$7-SQRT((1-AV366)*($AN$7-$AL$7)*($AN$7-$AM$7))),$AM$7)</f>
        <v/>
      </c>
      <c r="AN366">
        <f>IFERROR(IF(AW366&lt;($AM$8-$AL$8)/($AN$8-$AL$8),$AL$8+SQRT(AW366*($AN$8-$AL$8)*($AM$8-$AL$8)),$AN$8-SQRT((1-AW366)*($AN$8-$AL$8)*($AN$8-$AM$8))),$AM$8)</f>
        <v/>
      </c>
      <c r="AO366">
        <f>IFERROR(IF(AX366&lt;($AM$9-$AL$9)/($AN$9-$AL$9),$AL$9+SQRT(AX366*($AN$9-$AL$9)*($AM$9-$AL$9)),$AN$9-SQRT((1-AX366)*($AN$9-$AL$9)*($AN$9-$AM$9))),$AM$9)</f>
        <v/>
      </c>
      <c r="AP366">
        <f>IFERROR(IF(AY366&lt;($AM$10-$AL$10)/($AN$10-$AL$10),$AL$10+SQRT(AY366*($AN$10-$AL$10)*($AM$10-$AL$10)),$AN$10-SQRT((1-AY366)*($AN$10-$AL$10)*($AN$10-$AM$10))),$AM$10)</f>
        <v/>
      </c>
      <c r="AQ366">
        <f>IFERROR(IF(AZ366&lt;($AM$11-$AL$11)/($AN$11-$AL$11),$AL$11+SQRT(AZ366*($AN$11-$AL$11)*($AM$11-$AL$11)),$AN$11-SQRT((1-AZ366)*($AN$11-$AL$11)*($AN$11-$AM$11))),$AM$11)</f>
        <v/>
      </c>
      <c r="AR366">
        <f>SUMPRODUCT((B24:B31&lt;=$B$6)*(C24:C31*AM366+D24:D31*AO366*$B$8*AQ366)/(1+AL366/100)^B24:B31)+C32*AM366*AP366/(1+AL366/100)^$B$6</f>
        <v/>
      </c>
      <c r="AS366">
        <f>SUMPRODUCT((K24:K26&lt;=$B$6)*(L24:L26*AN366+M24:M26*AO366*$B$8*AQ366)/(1+AL366/100)^K24:K26)+L27*AN366*AP366/(1+AL366/100)^$B$6</f>
        <v/>
      </c>
      <c r="AT366">
        <f>AS366-AR366</f>
        <v/>
      </c>
      <c r="AU366">
        <f>RAND()</f>
        <v/>
      </c>
      <c r="AV366">
        <f>RAND()</f>
        <v/>
      </c>
      <c r="AW366">
        <f>RAND()</f>
        <v/>
      </c>
      <c r="AX366">
        <f>RAND()</f>
        <v/>
      </c>
      <c r="AY366">
        <f>RAND()</f>
        <v/>
      </c>
      <c r="AZ366">
        <f>RAND()</f>
        <v/>
      </c>
    </row>
    <row r="367">
      <c r="AK367" t="n">
        <v>354</v>
      </c>
      <c r="AL367">
        <f>IFERROR(IF(AU367&lt;($AM$6-$AL$6)/($AN$6-$AL$6),$AL$6+SQRT(AU367*($AN$6-$AL$6)*($AM$6-$AL$6)),$AN$6-SQRT((1-AU367)*($AN$6-$AL$6)*($AN$6-$AM$6))),$AM$6)</f>
        <v/>
      </c>
      <c r="AM367">
        <f>IFERROR(IF(AV367&lt;($AM$7-$AL$7)/($AN$7-$AL$7),$AL$7+SQRT(AV367*($AN$7-$AL$7)*($AM$7-$AL$7)),$AN$7-SQRT((1-AV367)*($AN$7-$AL$7)*($AN$7-$AM$7))),$AM$7)</f>
        <v/>
      </c>
      <c r="AN367">
        <f>IFERROR(IF(AW367&lt;($AM$8-$AL$8)/($AN$8-$AL$8),$AL$8+SQRT(AW367*($AN$8-$AL$8)*($AM$8-$AL$8)),$AN$8-SQRT((1-AW367)*($AN$8-$AL$8)*($AN$8-$AM$8))),$AM$8)</f>
        <v/>
      </c>
      <c r="AO367">
        <f>IFERROR(IF(AX367&lt;($AM$9-$AL$9)/($AN$9-$AL$9),$AL$9+SQRT(AX367*($AN$9-$AL$9)*($AM$9-$AL$9)),$AN$9-SQRT((1-AX367)*($AN$9-$AL$9)*($AN$9-$AM$9))),$AM$9)</f>
        <v/>
      </c>
      <c r="AP367">
        <f>IFERROR(IF(AY367&lt;($AM$10-$AL$10)/($AN$10-$AL$10),$AL$10+SQRT(AY367*($AN$10-$AL$10)*($AM$10-$AL$10)),$AN$10-SQRT((1-AY367)*($AN$10-$AL$10)*($AN$10-$AM$10))),$AM$10)</f>
        <v/>
      </c>
      <c r="AQ367">
        <f>IFERROR(IF(AZ367&lt;($AM$11-$AL$11)/($AN$11-$AL$11),$AL$11+SQRT(AZ367*($AN$11-$AL$11)*($AM$11-$AL$11)),$AN$11-SQRT((1-AZ367)*($AN$11-$AL$11)*($AN$11-$AM$11))),$AM$11)</f>
        <v/>
      </c>
      <c r="AR367">
        <f>SUMPRODUCT((B24:B31&lt;=$B$6)*(C24:C31*AM367+D24:D31*AO367*$B$8*AQ367)/(1+AL367/100)^B24:B31)+C32*AM367*AP367/(1+AL367/100)^$B$6</f>
        <v/>
      </c>
      <c r="AS367">
        <f>SUMPRODUCT((K24:K26&lt;=$B$6)*(L24:L26*AN367+M24:M26*AO367*$B$8*AQ367)/(1+AL367/100)^K24:K26)+L27*AN367*AP367/(1+AL367/100)^$B$6</f>
        <v/>
      </c>
      <c r="AT367">
        <f>AS367-AR367</f>
        <v/>
      </c>
      <c r="AU367">
        <f>RAND()</f>
        <v/>
      </c>
      <c r="AV367">
        <f>RAND()</f>
        <v/>
      </c>
      <c r="AW367">
        <f>RAND()</f>
        <v/>
      </c>
      <c r="AX367">
        <f>RAND()</f>
        <v/>
      </c>
      <c r="AY367">
        <f>RAND()</f>
        <v/>
      </c>
      <c r="AZ367">
        <f>RAND()</f>
        <v/>
      </c>
    </row>
    <row r="368">
      <c r="AK368" t="n">
        <v>355</v>
      </c>
      <c r="AL368">
        <f>IFERROR(IF(AU368&lt;($AM$6-$AL$6)/($AN$6-$AL$6),$AL$6+SQRT(AU368*($AN$6-$AL$6)*($AM$6-$AL$6)),$AN$6-SQRT((1-AU368)*($AN$6-$AL$6)*($AN$6-$AM$6))),$AM$6)</f>
        <v/>
      </c>
      <c r="AM368">
        <f>IFERROR(IF(AV368&lt;($AM$7-$AL$7)/($AN$7-$AL$7),$AL$7+SQRT(AV368*($AN$7-$AL$7)*($AM$7-$AL$7)),$AN$7-SQRT((1-AV368)*($AN$7-$AL$7)*($AN$7-$AM$7))),$AM$7)</f>
        <v/>
      </c>
      <c r="AN368">
        <f>IFERROR(IF(AW368&lt;($AM$8-$AL$8)/($AN$8-$AL$8),$AL$8+SQRT(AW368*($AN$8-$AL$8)*($AM$8-$AL$8)),$AN$8-SQRT((1-AW368)*($AN$8-$AL$8)*($AN$8-$AM$8))),$AM$8)</f>
        <v/>
      </c>
      <c r="AO368">
        <f>IFERROR(IF(AX368&lt;($AM$9-$AL$9)/($AN$9-$AL$9),$AL$9+SQRT(AX368*($AN$9-$AL$9)*($AM$9-$AL$9)),$AN$9-SQRT((1-AX368)*($AN$9-$AL$9)*($AN$9-$AM$9))),$AM$9)</f>
        <v/>
      </c>
      <c r="AP368">
        <f>IFERROR(IF(AY368&lt;($AM$10-$AL$10)/($AN$10-$AL$10),$AL$10+SQRT(AY368*($AN$10-$AL$10)*($AM$10-$AL$10)),$AN$10-SQRT((1-AY368)*($AN$10-$AL$10)*($AN$10-$AM$10))),$AM$10)</f>
        <v/>
      </c>
      <c r="AQ368">
        <f>IFERROR(IF(AZ368&lt;($AM$11-$AL$11)/($AN$11-$AL$11),$AL$11+SQRT(AZ368*($AN$11-$AL$11)*($AM$11-$AL$11)),$AN$11-SQRT((1-AZ368)*($AN$11-$AL$11)*($AN$11-$AM$11))),$AM$11)</f>
        <v/>
      </c>
      <c r="AR368">
        <f>SUMPRODUCT((B24:B31&lt;=$B$6)*(C24:C31*AM368+D24:D31*AO368*$B$8*AQ368)/(1+AL368/100)^B24:B31)+C32*AM368*AP368/(1+AL368/100)^$B$6</f>
        <v/>
      </c>
      <c r="AS368">
        <f>SUMPRODUCT((K24:K26&lt;=$B$6)*(L24:L26*AN368+M24:M26*AO368*$B$8*AQ368)/(1+AL368/100)^K24:K26)+L27*AN368*AP368/(1+AL368/100)^$B$6</f>
        <v/>
      </c>
      <c r="AT368">
        <f>AS368-AR368</f>
        <v/>
      </c>
      <c r="AU368">
        <f>RAND()</f>
        <v/>
      </c>
      <c r="AV368">
        <f>RAND()</f>
        <v/>
      </c>
      <c r="AW368">
        <f>RAND()</f>
        <v/>
      </c>
      <c r="AX368">
        <f>RAND()</f>
        <v/>
      </c>
      <c r="AY368">
        <f>RAND()</f>
        <v/>
      </c>
      <c r="AZ368">
        <f>RAND()</f>
        <v/>
      </c>
    </row>
    <row r="369">
      <c r="AK369" t="n">
        <v>356</v>
      </c>
      <c r="AL369">
        <f>IFERROR(IF(AU369&lt;($AM$6-$AL$6)/($AN$6-$AL$6),$AL$6+SQRT(AU369*($AN$6-$AL$6)*($AM$6-$AL$6)),$AN$6-SQRT((1-AU369)*($AN$6-$AL$6)*($AN$6-$AM$6))),$AM$6)</f>
        <v/>
      </c>
      <c r="AM369">
        <f>IFERROR(IF(AV369&lt;($AM$7-$AL$7)/($AN$7-$AL$7),$AL$7+SQRT(AV369*($AN$7-$AL$7)*($AM$7-$AL$7)),$AN$7-SQRT((1-AV369)*($AN$7-$AL$7)*($AN$7-$AM$7))),$AM$7)</f>
        <v/>
      </c>
      <c r="AN369">
        <f>IFERROR(IF(AW369&lt;($AM$8-$AL$8)/($AN$8-$AL$8),$AL$8+SQRT(AW369*($AN$8-$AL$8)*($AM$8-$AL$8)),$AN$8-SQRT((1-AW369)*($AN$8-$AL$8)*($AN$8-$AM$8))),$AM$8)</f>
        <v/>
      </c>
      <c r="AO369">
        <f>IFERROR(IF(AX369&lt;($AM$9-$AL$9)/($AN$9-$AL$9),$AL$9+SQRT(AX369*($AN$9-$AL$9)*($AM$9-$AL$9)),$AN$9-SQRT((1-AX369)*($AN$9-$AL$9)*($AN$9-$AM$9))),$AM$9)</f>
        <v/>
      </c>
      <c r="AP369">
        <f>IFERROR(IF(AY369&lt;($AM$10-$AL$10)/($AN$10-$AL$10),$AL$10+SQRT(AY369*($AN$10-$AL$10)*($AM$10-$AL$10)),$AN$10-SQRT((1-AY369)*($AN$10-$AL$10)*($AN$10-$AM$10))),$AM$10)</f>
        <v/>
      </c>
      <c r="AQ369">
        <f>IFERROR(IF(AZ369&lt;($AM$11-$AL$11)/($AN$11-$AL$11),$AL$11+SQRT(AZ369*($AN$11-$AL$11)*($AM$11-$AL$11)),$AN$11-SQRT((1-AZ369)*($AN$11-$AL$11)*($AN$11-$AM$11))),$AM$11)</f>
        <v/>
      </c>
      <c r="AR369">
        <f>SUMPRODUCT((B24:B31&lt;=$B$6)*(C24:C31*AM369+D24:D31*AO369*$B$8*AQ369)/(1+AL369/100)^B24:B31)+C32*AM369*AP369/(1+AL369/100)^$B$6</f>
        <v/>
      </c>
      <c r="AS369">
        <f>SUMPRODUCT((K24:K26&lt;=$B$6)*(L24:L26*AN369+M24:M26*AO369*$B$8*AQ369)/(1+AL369/100)^K24:K26)+L27*AN369*AP369/(1+AL369/100)^$B$6</f>
        <v/>
      </c>
      <c r="AT369">
        <f>AS369-AR369</f>
        <v/>
      </c>
      <c r="AU369">
        <f>RAND()</f>
        <v/>
      </c>
      <c r="AV369">
        <f>RAND()</f>
        <v/>
      </c>
      <c r="AW369">
        <f>RAND()</f>
        <v/>
      </c>
      <c r="AX369">
        <f>RAND()</f>
        <v/>
      </c>
      <c r="AY369">
        <f>RAND()</f>
        <v/>
      </c>
      <c r="AZ369">
        <f>RAND()</f>
        <v/>
      </c>
    </row>
    <row r="370">
      <c r="AK370" t="n">
        <v>357</v>
      </c>
      <c r="AL370">
        <f>IFERROR(IF(AU370&lt;($AM$6-$AL$6)/($AN$6-$AL$6),$AL$6+SQRT(AU370*($AN$6-$AL$6)*($AM$6-$AL$6)),$AN$6-SQRT((1-AU370)*($AN$6-$AL$6)*($AN$6-$AM$6))),$AM$6)</f>
        <v/>
      </c>
      <c r="AM370">
        <f>IFERROR(IF(AV370&lt;($AM$7-$AL$7)/($AN$7-$AL$7),$AL$7+SQRT(AV370*($AN$7-$AL$7)*($AM$7-$AL$7)),$AN$7-SQRT((1-AV370)*($AN$7-$AL$7)*($AN$7-$AM$7))),$AM$7)</f>
        <v/>
      </c>
      <c r="AN370">
        <f>IFERROR(IF(AW370&lt;($AM$8-$AL$8)/($AN$8-$AL$8),$AL$8+SQRT(AW370*($AN$8-$AL$8)*($AM$8-$AL$8)),$AN$8-SQRT((1-AW370)*($AN$8-$AL$8)*($AN$8-$AM$8))),$AM$8)</f>
        <v/>
      </c>
      <c r="AO370">
        <f>IFERROR(IF(AX370&lt;($AM$9-$AL$9)/($AN$9-$AL$9),$AL$9+SQRT(AX370*($AN$9-$AL$9)*($AM$9-$AL$9)),$AN$9-SQRT((1-AX370)*($AN$9-$AL$9)*($AN$9-$AM$9))),$AM$9)</f>
        <v/>
      </c>
      <c r="AP370">
        <f>IFERROR(IF(AY370&lt;($AM$10-$AL$10)/($AN$10-$AL$10),$AL$10+SQRT(AY370*($AN$10-$AL$10)*($AM$10-$AL$10)),$AN$10-SQRT((1-AY370)*($AN$10-$AL$10)*($AN$10-$AM$10))),$AM$10)</f>
        <v/>
      </c>
      <c r="AQ370">
        <f>IFERROR(IF(AZ370&lt;($AM$11-$AL$11)/($AN$11-$AL$11),$AL$11+SQRT(AZ370*($AN$11-$AL$11)*($AM$11-$AL$11)),$AN$11-SQRT((1-AZ370)*($AN$11-$AL$11)*($AN$11-$AM$11))),$AM$11)</f>
        <v/>
      </c>
      <c r="AR370">
        <f>SUMPRODUCT((B24:B31&lt;=$B$6)*(C24:C31*AM370+D24:D31*AO370*$B$8*AQ370)/(1+AL370/100)^B24:B31)+C32*AM370*AP370/(1+AL370/100)^$B$6</f>
        <v/>
      </c>
      <c r="AS370">
        <f>SUMPRODUCT((K24:K26&lt;=$B$6)*(L24:L26*AN370+M24:M26*AO370*$B$8*AQ370)/(1+AL370/100)^K24:K26)+L27*AN370*AP370/(1+AL370/100)^$B$6</f>
        <v/>
      </c>
      <c r="AT370">
        <f>AS370-AR370</f>
        <v/>
      </c>
      <c r="AU370">
        <f>RAND()</f>
        <v/>
      </c>
      <c r="AV370">
        <f>RAND()</f>
        <v/>
      </c>
      <c r="AW370">
        <f>RAND()</f>
        <v/>
      </c>
      <c r="AX370">
        <f>RAND()</f>
        <v/>
      </c>
      <c r="AY370">
        <f>RAND()</f>
        <v/>
      </c>
      <c r="AZ370">
        <f>RAND()</f>
        <v/>
      </c>
    </row>
    <row r="371">
      <c r="AK371" t="n">
        <v>358</v>
      </c>
      <c r="AL371">
        <f>IFERROR(IF(AU371&lt;($AM$6-$AL$6)/($AN$6-$AL$6),$AL$6+SQRT(AU371*($AN$6-$AL$6)*($AM$6-$AL$6)),$AN$6-SQRT((1-AU371)*($AN$6-$AL$6)*($AN$6-$AM$6))),$AM$6)</f>
        <v/>
      </c>
      <c r="AM371">
        <f>IFERROR(IF(AV371&lt;($AM$7-$AL$7)/($AN$7-$AL$7),$AL$7+SQRT(AV371*($AN$7-$AL$7)*($AM$7-$AL$7)),$AN$7-SQRT((1-AV371)*($AN$7-$AL$7)*($AN$7-$AM$7))),$AM$7)</f>
        <v/>
      </c>
      <c r="AN371">
        <f>IFERROR(IF(AW371&lt;($AM$8-$AL$8)/($AN$8-$AL$8),$AL$8+SQRT(AW371*($AN$8-$AL$8)*($AM$8-$AL$8)),$AN$8-SQRT((1-AW371)*($AN$8-$AL$8)*($AN$8-$AM$8))),$AM$8)</f>
        <v/>
      </c>
      <c r="AO371">
        <f>IFERROR(IF(AX371&lt;($AM$9-$AL$9)/($AN$9-$AL$9),$AL$9+SQRT(AX371*($AN$9-$AL$9)*($AM$9-$AL$9)),$AN$9-SQRT((1-AX371)*($AN$9-$AL$9)*($AN$9-$AM$9))),$AM$9)</f>
        <v/>
      </c>
      <c r="AP371">
        <f>IFERROR(IF(AY371&lt;($AM$10-$AL$10)/($AN$10-$AL$10),$AL$10+SQRT(AY371*($AN$10-$AL$10)*($AM$10-$AL$10)),$AN$10-SQRT((1-AY371)*($AN$10-$AL$10)*($AN$10-$AM$10))),$AM$10)</f>
        <v/>
      </c>
      <c r="AQ371">
        <f>IFERROR(IF(AZ371&lt;($AM$11-$AL$11)/($AN$11-$AL$11),$AL$11+SQRT(AZ371*($AN$11-$AL$11)*($AM$11-$AL$11)),$AN$11-SQRT((1-AZ371)*($AN$11-$AL$11)*($AN$11-$AM$11))),$AM$11)</f>
        <v/>
      </c>
      <c r="AR371">
        <f>SUMPRODUCT((B24:B31&lt;=$B$6)*(C24:C31*AM371+D24:D31*AO371*$B$8*AQ371)/(1+AL371/100)^B24:B31)+C32*AM371*AP371/(1+AL371/100)^$B$6</f>
        <v/>
      </c>
      <c r="AS371">
        <f>SUMPRODUCT((K24:K26&lt;=$B$6)*(L24:L26*AN371+M24:M26*AO371*$B$8*AQ371)/(1+AL371/100)^K24:K26)+L27*AN371*AP371/(1+AL371/100)^$B$6</f>
        <v/>
      </c>
      <c r="AT371">
        <f>AS371-AR371</f>
        <v/>
      </c>
      <c r="AU371">
        <f>RAND()</f>
        <v/>
      </c>
      <c r="AV371">
        <f>RAND()</f>
        <v/>
      </c>
      <c r="AW371">
        <f>RAND()</f>
        <v/>
      </c>
      <c r="AX371">
        <f>RAND()</f>
        <v/>
      </c>
      <c r="AY371">
        <f>RAND()</f>
        <v/>
      </c>
      <c r="AZ371">
        <f>RAND()</f>
        <v/>
      </c>
    </row>
    <row r="372">
      <c r="AK372" t="n">
        <v>359</v>
      </c>
      <c r="AL372">
        <f>IFERROR(IF(AU372&lt;($AM$6-$AL$6)/($AN$6-$AL$6),$AL$6+SQRT(AU372*($AN$6-$AL$6)*($AM$6-$AL$6)),$AN$6-SQRT((1-AU372)*($AN$6-$AL$6)*($AN$6-$AM$6))),$AM$6)</f>
        <v/>
      </c>
      <c r="AM372">
        <f>IFERROR(IF(AV372&lt;($AM$7-$AL$7)/($AN$7-$AL$7),$AL$7+SQRT(AV372*($AN$7-$AL$7)*($AM$7-$AL$7)),$AN$7-SQRT((1-AV372)*($AN$7-$AL$7)*($AN$7-$AM$7))),$AM$7)</f>
        <v/>
      </c>
      <c r="AN372">
        <f>IFERROR(IF(AW372&lt;($AM$8-$AL$8)/($AN$8-$AL$8),$AL$8+SQRT(AW372*($AN$8-$AL$8)*($AM$8-$AL$8)),$AN$8-SQRT((1-AW372)*($AN$8-$AL$8)*($AN$8-$AM$8))),$AM$8)</f>
        <v/>
      </c>
      <c r="AO372">
        <f>IFERROR(IF(AX372&lt;($AM$9-$AL$9)/($AN$9-$AL$9),$AL$9+SQRT(AX372*($AN$9-$AL$9)*($AM$9-$AL$9)),$AN$9-SQRT((1-AX372)*($AN$9-$AL$9)*($AN$9-$AM$9))),$AM$9)</f>
        <v/>
      </c>
      <c r="AP372">
        <f>IFERROR(IF(AY372&lt;($AM$10-$AL$10)/($AN$10-$AL$10),$AL$10+SQRT(AY372*($AN$10-$AL$10)*($AM$10-$AL$10)),$AN$10-SQRT((1-AY372)*($AN$10-$AL$10)*($AN$10-$AM$10))),$AM$10)</f>
        <v/>
      </c>
      <c r="AQ372">
        <f>IFERROR(IF(AZ372&lt;($AM$11-$AL$11)/($AN$11-$AL$11),$AL$11+SQRT(AZ372*($AN$11-$AL$11)*($AM$11-$AL$11)),$AN$11-SQRT((1-AZ372)*($AN$11-$AL$11)*($AN$11-$AM$11))),$AM$11)</f>
        <v/>
      </c>
      <c r="AR372">
        <f>SUMPRODUCT((B24:B31&lt;=$B$6)*(C24:C31*AM372+D24:D31*AO372*$B$8*AQ372)/(1+AL372/100)^B24:B31)+C32*AM372*AP372/(1+AL372/100)^$B$6</f>
        <v/>
      </c>
      <c r="AS372">
        <f>SUMPRODUCT((K24:K26&lt;=$B$6)*(L24:L26*AN372+M24:M26*AO372*$B$8*AQ372)/(1+AL372/100)^K24:K26)+L27*AN372*AP372/(1+AL372/100)^$B$6</f>
        <v/>
      </c>
      <c r="AT372">
        <f>AS372-AR372</f>
        <v/>
      </c>
      <c r="AU372">
        <f>RAND()</f>
        <v/>
      </c>
      <c r="AV372">
        <f>RAND()</f>
        <v/>
      </c>
      <c r="AW372">
        <f>RAND()</f>
        <v/>
      </c>
      <c r="AX372">
        <f>RAND()</f>
        <v/>
      </c>
      <c r="AY372">
        <f>RAND()</f>
        <v/>
      </c>
      <c r="AZ372">
        <f>RAND()</f>
        <v/>
      </c>
    </row>
    <row r="373">
      <c r="AK373" t="n">
        <v>360</v>
      </c>
      <c r="AL373">
        <f>IFERROR(IF(AU373&lt;($AM$6-$AL$6)/($AN$6-$AL$6),$AL$6+SQRT(AU373*($AN$6-$AL$6)*($AM$6-$AL$6)),$AN$6-SQRT((1-AU373)*($AN$6-$AL$6)*($AN$6-$AM$6))),$AM$6)</f>
        <v/>
      </c>
      <c r="AM373">
        <f>IFERROR(IF(AV373&lt;($AM$7-$AL$7)/($AN$7-$AL$7),$AL$7+SQRT(AV373*($AN$7-$AL$7)*($AM$7-$AL$7)),$AN$7-SQRT((1-AV373)*($AN$7-$AL$7)*($AN$7-$AM$7))),$AM$7)</f>
        <v/>
      </c>
      <c r="AN373">
        <f>IFERROR(IF(AW373&lt;($AM$8-$AL$8)/($AN$8-$AL$8),$AL$8+SQRT(AW373*($AN$8-$AL$8)*($AM$8-$AL$8)),$AN$8-SQRT((1-AW373)*($AN$8-$AL$8)*($AN$8-$AM$8))),$AM$8)</f>
        <v/>
      </c>
      <c r="AO373">
        <f>IFERROR(IF(AX373&lt;($AM$9-$AL$9)/($AN$9-$AL$9),$AL$9+SQRT(AX373*($AN$9-$AL$9)*($AM$9-$AL$9)),$AN$9-SQRT((1-AX373)*($AN$9-$AL$9)*($AN$9-$AM$9))),$AM$9)</f>
        <v/>
      </c>
      <c r="AP373">
        <f>IFERROR(IF(AY373&lt;($AM$10-$AL$10)/($AN$10-$AL$10),$AL$10+SQRT(AY373*($AN$10-$AL$10)*($AM$10-$AL$10)),$AN$10-SQRT((1-AY373)*($AN$10-$AL$10)*($AN$10-$AM$10))),$AM$10)</f>
        <v/>
      </c>
      <c r="AQ373">
        <f>IFERROR(IF(AZ373&lt;($AM$11-$AL$11)/($AN$11-$AL$11),$AL$11+SQRT(AZ373*($AN$11-$AL$11)*($AM$11-$AL$11)),$AN$11-SQRT((1-AZ373)*($AN$11-$AL$11)*($AN$11-$AM$11))),$AM$11)</f>
        <v/>
      </c>
      <c r="AR373">
        <f>SUMPRODUCT((B24:B31&lt;=$B$6)*(C24:C31*AM373+D24:D31*AO373*$B$8*AQ373)/(1+AL373/100)^B24:B31)+C32*AM373*AP373/(1+AL373/100)^$B$6</f>
        <v/>
      </c>
      <c r="AS373">
        <f>SUMPRODUCT((K24:K26&lt;=$B$6)*(L24:L26*AN373+M24:M26*AO373*$B$8*AQ373)/(1+AL373/100)^K24:K26)+L27*AN373*AP373/(1+AL373/100)^$B$6</f>
        <v/>
      </c>
      <c r="AT373">
        <f>AS373-AR373</f>
        <v/>
      </c>
      <c r="AU373">
        <f>RAND()</f>
        <v/>
      </c>
      <c r="AV373">
        <f>RAND()</f>
        <v/>
      </c>
      <c r="AW373">
        <f>RAND()</f>
        <v/>
      </c>
      <c r="AX373">
        <f>RAND()</f>
        <v/>
      </c>
      <c r="AY373">
        <f>RAND()</f>
        <v/>
      </c>
      <c r="AZ373">
        <f>RAND()</f>
        <v/>
      </c>
    </row>
    <row r="374">
      <c r="AK374" t="n">
        <v>361</v>
      </c>
      <c r="AL374">
        <f>IFERROR(IF(AU374&lt;($AM$6-$AL$6)/($AN$6-$AL$6),$AL$6+SQRT(AU374*($AN$6-$AL$6)*($AM$6-$AL$6)),$AN$6-SQRT((1-AU374)*($AN$6-$AL$6)*($AN$6-$AM$6))),$AM$6)</f>
        <v/>
      </c>
      <c r="AM374">
        <f>IFERROR(IF(AV374&lt;($AM$7-$AL$7)/($AN$7-$AL$7),$AL$7+SQRT(AV374*($AN$7-$AL$7)*($AM$7-$AL$7)),$AN$7-SQRT((1-AV374)*($AN$7-$AL$7)*($AN$7-$AM$7))),$AM$7)</f>
        <v/>
      </c>
      <c r="AN374">
        <f>IFERROR(IF(AW374&lt;($AM$8-$AL$8)/($AN$8-$AL$8),$AL$8+SQRT(AW374*($AN$8-$AL$8)*($AM$8-$AL$8)),$AN$8-SQRT((1-AW374)*($AN$8-$AL$8)*($AN$8-$AM$8))),$AM$8)</f>
        <v/>
      </c>
      <c r="AO374">
        <f>IFERROR(IF(AX374&lt;($AM$9-$AL$9)/($AN$9-$AL$9),$AL$9+SQRT(AX374*($AN$9-$AL$9)*($AM$9-$AL$9)),$AN$9-SQRT((1-AX374)*($AN$9-$AL$9)*($AN$9-$AM$9))),$AM$9)</f>
        <v/>
      </c>
      <c r="AP374">
        <f>IFERROR(IF(AY374&lt;($AM$10-$AL$10)/($AN$10-$AL$10),$AL$10+SQRT(AY374*($AN$10-$AL$10)*($AM$10-$AL$10)),$AN$10-SQRT((1-AY374)*($AN$10-$AL$10)*($AN$10-$AM$10))),$AM$10)</f>
        <v/>
      </c>
      <c r="AQ374">
        <f>IFERROR(IF(AZ374&lt;($AM$11-$AL$11)/($AN$11-$AL$11),$AL$11+SQRT(AZ374*($AN$11-$AL$11)*($AM$11-$AL$11)),$AN$11-SQRT((1-AZ374)*($AN$11-$AL$11)*($AN$11-$AM$11))),$AM$11)</f>
        <v/>
      </c>
      <c r="AR374">
        <f>SUMPRODUCT((B24:B31&lt;=$B$6)*(C24:C31*AM374+D24:D31*AO374*$B$8*AQ374)/(1+AL374/100)^B24:B31)+C32*AM374*AP374/(1+AL374/100)^$B$6</f>
        <v/>
      </c>
      <c r="AS374">
        <f>SUMPRODUCT((K24:K26&lt;=$B$6)*(L24:L26*AN374+M24:M26*AO374*$B$8*AQ374)/(1+AL374/100)^K24:K26)+L27*AN374*AP374/(1+AL374/100)^$B$6</f>
        <v/>
      </c>
      <c r="AT374">
        <f>AS374-AR374</f>
        <v/>
      </c>
      <c r="AU374">
        <f>RAND()</f>
        <v/>
      </c>
      <c r="AV374">
        <f>RAND()</f>
        <v/>
      </c>
      <c r="AW374">
        <f>RAND()</f>
        <v/>
      </c>
      <c r="AX374">
        <f>RAND()</f>
        <v/>
      </c>
      <c r="AY374">
        <f>RAND()</f>
        <v/>
      </c>
      <c r="AZ374">
        <f>RAND()</f>
        <v/>
      </c>
    </row>
    <row r="375">
      <c r="AK375" t="n">
        <v>362</v>
      </c>
      <c r="AL375">
        <f>IFERROR(IF(AU375&lt;($AM$6-$AL$6)/($AN$6-$AL$6),$AL$6+SQRT(AU375*($AN$6-$AL$6)*($AM$6-$AL$6)),$AN$6-SQRT((1-AU375)*($AN$6-$AL$6)*($AN$6-$AM$6))),$AM$6)</f>
        <v/>
      </c>
      <c r="AM375">
        <f>IFERROR(IF(AV375&lt;($AM$7-$AL$7)/($AN$7-$AL$7),$AL$7+SQRT(AV375*($AN$7-$AL$7)*($AM$7-$AL$7)),$AN$7-SQRT((1-AV375)*($AN$7-$AL$7)*($AN$7-$AM$7))),$AM$7)</f>
        <v/>
      </c>
      <c r="AN375">
        <f>IFERROR(IF(AW375&lt;($AM$8-$AL$8)/($AN$8-$AL$8),$AL$8+SQRT(AW375*($AN$8-$AL$8)*($AM$8-$AL$8)),$AN$8-SQRT((1-AW375)*($AN$8-$AL$8)*($AN$8-$AM$8))),$AM$8)</f>
        <v/>
      </c>
      <c r="AO375">
        <f>IFERROR(IF(AX375&lt;($AM$9-$AL$9)/($AN$9-$AL$9),$AL$9+SQRT(AX375*($AN$9-$AL$9)*($AM$9-$AL$9)),$AN$9-SQRT((1-AX375)*($AN$9-$AL$9)*($AN$9-$AM$9))),$AM$9)</f>
        <v/>
      </c>
      <c r="AP375">
        <f>IFERROR(IF(AY375&lt;($AM$10-$AL$10)/($AN$10-$AL$10),$AL$10+SQRT(AY375*($AN$10-$AL$10)*($AM$10-$AL$10)),$AN$10-SQRT((1-AY375)*($AN$10-$AL$10)*($AN$10-$AM$10))),$AM$10)</f>
        <v/>
      </c>
      <c r="AQ375">
        <f>IFERROR(IF(AZ375&lt;($AM$11-$AL$11)/($AN$11-$AL$11),$AL$11+SQRT(AZ375*($AN$11-$AL$11)*($AM$11-$AL$11)),$AN$11-SQRT((1-AZ375)*($AN$11-$AL$11)*($AN$11-$AM$11))),$AM$11)</f>
        <v/>
      </c>
      <c r="AR375">
        <f>SUMPRODUCT((B24:B31&lt;=$B$6)*(C24:C31*AM375+D24:D31*AO375*$B$8*AQ375)/(1+AL375/100)^B24:B31)+C32*AM375*AP375/(1+AL375/100)^$B$6</f>
        <v/>
      </c>
      <c r="AS375">
        <f>SUMPRODUCT((K24:K26&lt;=$B$6)*(L24:L26*AN375+M24:M26*AO375*$B$8*AQ375)/(1+AL375/100)^K24:K26)+L27*AN375*AP375/(1+AL375/100)^$B$6</f>
        <v/>
      </c>
      <c r="AT375">
        <f>AS375-AR375</f>
        <v/>
      </c>
      <c r="AU375">
        <f>RAND()</f>
        <v/>
      </c>
      <c r="AV375">
        <f>RAND()</f>
        <v/>
      </c>
      <c r="AW375">
        <f>RAND()</f>
        <v/>
      </c>
      <c r="AX375">
        <f>RAND()</f>
        <v/>
      </c>
      <c r="AY375">
        <f>RAND()</f>
        <v/>
      </c>
      <c r="AZ375">
        <f>RAND()</f>
        <v/>
      </c>
    </row>
    <row r="376">
      <c r="AK376" t="n">
        <v>363</v>
      </c>
      <c r="AL376">
        <f>IFERROR(IF(AU376&lt;($AM$6-$AL$6)/($AN$6-$AL$6),$AL$6+SQRT(AU376*($AN$6-$AL$6)*($AM$6-$AL$6)),$AN$6-SQRT((1-AU376)*($AN$6-$AL$6)*($AN$6-$AM$6))),$AM$6)</f>
        <v/>
      </c>
      <c r="AM376">
        <f>IFERROR(IF(AV376&lt;($AM$7-$AL$7)/($AN$7-$AL$7),$AL$7+SQRT(AV376*($AN$7-$AL$7)*($AM$7-$AL$7)),$AN$7-SQRT((1-AV376)*($AN$7-$AL$7)*($AN$7-$AM$7))),$AM$7)</f>
        <v/>
      </c>
      <c r="AN376">
        <f>IFERROR(IF(AW376&lt;($AM$8-$AL$8)/($AN$8-$AL$8),$AL$8+SQRT(AW376*($AN$8-$AL$8)*($AM$8-$AL$8)),$AN$8-SQRT((1-AW376)*($AN$8-$AL$8)*($AN$8-$AM$8))),$AM$8)</f>
        <v/>
      </c>
      <c r="AO376">
        <f>IFERROR(IF(AX376&lt;($AM$9-$AL$9)/($AN$9-$AL$9),$AL$9+SQRT(AX376*($AN$9-$AL$9)*($AM$9-$AL$9)),$AN$9-SQRT((1-AX376)*($AN$9-$AL$9)*($AN$9-$AM$9))),$AM$9)</f>
        <v/>
      </c>
      <c r="AP376">
        <f>IFERROR(IF(AY376&lt;($AM$10-$AL$10)/($AN$10-$AL$10),$AL$10+SQRT(AY376*($AN$10-$AL$10)*($AM$10-$AL$10)),$AN$10-SQRT((1-AY376)*($AN$10-$AL$10)*($AN$10-$AM$10))),$AM$10)</f>
        <v/>
      </c>
      <c r="AQ376">
        <f>IFERROR(IF(AZ376&lt;($AM$11-$AL$11)/($AN$11-$AL$11),$AL$11+SQRT(AZ376*($AN$11-$AL$11)*($AM$11-$AL$11)),$AN$11-SQRT((1-AZ376)*($AN$11-$AL$11)*($AN$11-$AM$11))),$AM$11)</f>
        <v/>
      </c>
      <c r="AR376">
        <f>SUMPRODUCT((B24:B31&lt;=$B$6)*(C24:C31*AM376+D24:D31*AO376*$B$8*AQ376)/(1+AL376/100)^B24:B31)+C32*AM376*AP376/(1+AL376/100)^$B$6</f>
        <v/>
      </c>
      <c r="AS376">
        <f>SUMPRODUCT((K24:K26&lt;=$B$6)*(L24:L26*AN376+M24:M26*AO376*$B$8*AQ376)/(1+AL376/100)^K24:K26)+L27*AN376*AP376/(1+AL376/100)^$B$6</f>
        <v/>
      </c>
      <c r="AT376">
        <f>AS376-AR376</f>
        <v/>
      </c>
      <c r="AU376">
        <f>RAND()</f>
        <v/>
      </c>
      <c r="AV376">
        <f>RAND()</f>
        <v/>
      </c>
      <c r="AW376">
        <f>RAND()</f>
        <v/>
      </c>
      <c r="AX376">
        <f>RAND()</f>
        <v/>
      </c>
      <c r="AY376">
        <f>RAND()</f>
        <v/>
      </c>
      <c r="AZ376">
        <f>RAND()</f>
        <v/>
      </c>
    </row>
    <row r="377">
      <c r="AK377" t="n">
        <v>364</v>
      </c>
      <c r="AL377">
        <f>IFERROR(IF(AU377&lt;($AM$6-$AL$6)/($AN$6-$AL$6),$AL$6+SQRT(AU377*($AN$6-$AL$6)*($AM$6-$AL$6)),$AN$6-SQRT((1-AU377)*($AN$6-$AL$6)*($AN$6-$AM$6))),$AM$6)</f>
        <v/>
      </c>
      <c r="AM377">
        <f>IFERROR(IF(AV377&lt;($AM$7-$AL$7)/($AN$7-$AL$7),$AL$7+SQRT(AV377*($AN$7-$AL$7)*($AM$7-$AL$7)),$AN$7-SQRT((1-AV377)*($AN$7-$AL$7)*($AN$7-$AM$7))),$AM$7)</f>
        <v/>
      </c>
      <c r="AN377">
        <f>IFERROR(IF(AW377&lt;($AM$8-$AL$8)/($AN$8-$AL$8),$AL$8+SQRT(AW377*($AN$8-$AL$8)*($AM$8-$AL$8)),$AN$8-SQRT((1-AW377)*($AN$8-$AL$8)*($AN$8-$AM$8))),$AM$8)</f>
        <v/>
      </c>
      <c r="AO377">
        <f>IFERROR(IF(AX377&lt;($AM$9-$AL$9)/($AN$9-$AL$9),$AL$9+SQRT(AX377*($AN$9-$AL$9)*($AM$9-$AL$9)),$AN$9-SQRT((1-AX377)*($AN$9-$AL$9)*($AN$9-$AM$9))),$AM$9)</f>
        <v/>
      </c>
      <c r="AP377">
        <f>IFERROR(IF(AY377&lt;($AM$10-$AL$10)/($AN$10-$AL$10),$AL$10+SQRT(AY377*($AN$10-$AL$10)*($AM$10-$AL$10)),$AN$10-SQRT((1-AY377)*($AN$10-$AL$10)*($AN$10-$AM$10))),$AM$10)</f>
        <v/>
      </c>
      <c r="AQ377">
        <f>IFERROR(IF(AZ377&lt;($AM$11-$AL$11)/($AN$11-$AL$11),$AL$11+SQRT(AZ377*($AN$11-$AL$11)*($AM$11-$AL$11)),$AN$11-SQRT((1-AZ377)*($AN$11-$AL$11)*($AN$11-$AM$11))),$AM$11)</f>
        <v/>
      </c>
      <c r="AR377">
        <f>SUMPRODUCT((B24:B31&lt;=$B$6)*(C24:C31*AM377+D24:D31*AO377*$B$8*AQ377)/(1+AL377/100)^B24:B31)+C32*AM377*AP377/(1+AL377/100)^$B$6</f>
        <v/>
      </c>
      <c r="AS377">
        <f>SUMPRODUCT((K24:K26&lt;=$B$6)*(L24:L26*AN377+M24:M26*AO377*$B$8*AQ377)/(1+AL377/100)^K24:K26)+L27*AN377*AP377/(1+AL377/100)^$B$6</f>
        <v/>
      </c>
      <c r="AT377">
        <f>AS377-AR377</f>
        <v/>
      </c>
      <c r="AU377">
        <f>RAND()</f>
        <v/>
      </c>
      <c r="AV377">
        <f>RAND()</f>
        <v/>
      </c>
      <c r="AW377">
        <f>RAND()</f>
        <v/>
      </c>
      <c r="AX377">
        <f>RAND()</f>
        <v/>
      </c>
      <c r="AY377">
        <f>RAND()</f>
        <v/>
      </c>
      <c r="AZ377">
        <f>RAND()</f>
        <v/>
      </c>
    </row>
    <row r="378">
      <c r="AK378" t="n">
        <v>365</v>
      </c>
      <c r="AL378">
        <f>IFERROR(IF(AU378&lt;($AM$6-$AL$6)/($AN$6-$AL$6),$AL$6+SQRT(AU378*($AN$6-$AL$6)*($AM$6-$AL$6)),$AN$6-SQRT((1-AU378)*($AN$6-$AL$6)*($AN$6-$AM$6))),$AM$6)</f>
        <v/>
      </c>
      <c r="AM378">
        <f>IFERROR(IF(AV378&lt;($AM$7-$AL$7)/($AN$7-$AL$7),$AL$7+SQRT(AV378*($AN$7-$AL$7)*($AM$7-$AL$7)),$AN$7-SQRT((1-AV378)*($AN$7-$AL$7)*($AN$7-$AM$7))),$AM$7)</f>
        <v/>
      </c>
      <c r="AN378">
        <f>IFERROR(IF(AW378&lt;($AM$8-$AL$8)/($AN$8-$AL$8),$AL$8+SQRT(AW378*($AN$8-$AL$8)*($AM$8-$AL$8)),$AN$8-SQRT((1-AW378)*($AN$8-$AL$8)*($AN$8-$AM$8))),$AM$8)</f>
        <v/>
      </c>
      <c r="AO378">
        <f>IFERROR(IF(AX378&lt;($AM$9-$AL$9)/($AN$9-$AL$9),$AL$9+SQRT(AX378*($AN$9-$AL$9)*($AM$9-$AL$9)),$AN$9-SQRT((1-AX378)*($AN$9-$AL$9)*($AN$9-$AM$9))),$AM$9)</f>
        <v/>
      </c>
      <c r="AP378">
        <f>IFERROR(IF(AY378&lt;($AM$10-$AL$10)/($AN$10-$AL$10),$AL$10+SQRT(AY378*($AN$10-$AL$10)*($AM$10-$AL$10)),$AN$10-SQRT((1-AY378)*($AN$10-$AL$10)*($AN$10-$AM$10))),$AM$10)</f>
        <v/>
      </c>
      <c r="AQ378">
        <f>IFERROR(IF(AZ378&lt;($AM$11-$AL$11)/($AN$11-$AL$11),$AL$11+SQRT(AZ378*($AN$11-$AL$11)*($AM$11-$AL$11)),$AN$11-SQRT((1-AZ378)*($AN$11-$AL$11)*($AN$11-$AM$11))),$AM$11)</f>
        <v/>
      </c>
      <c r="AR378">
        <f>SUMPRODUCT((B24:B31&lt;=$B$6)*(C24:C31*AM378+D24:D31*AO378*$B$8*AQ378)/(1+AL378/100)^B24:B31)+C32*AM378*AP378/(1+AL378/100)^$B$6</f>
        <v/>
      </c>
      <c r="AS378">
        <f>SUMPRODUCT((K24:K26&lt;=$B$6)*(L24:L26*AN378+M24:M26*AO378*$B$8*AQ378)/(1+AL378/100)^K24:K26)+L27*AN378*AP378/(1+AL378/100)^$B$6</f>
        <v/>
      </c>
      <c r="AT378">
        <f>AS378-AR378</f>
        <v/>
      </c>
      <c r="AU378">
        <f>RAND()</f>
        <v/>
      </c>
      <c r="AV378">
        <f>RAND()</f>
        <v/>
      </c>
      <c r="AW378">
        <f>RAND()</f>
        <v/>
      </c>
      <c r="AX378">
        <f>RAND()</f>
        <v/>
      </c>
      <c r="AY378">
        <f>RAND()</f>
        <v/>
      </c>
      <c r="AZ378">
        <f>RAND()</f>
        <v/>
      </c>
    </row>
    <row r="379">
      <c r="AK379" t="n">
        <v>366</v>
      </c>
      <c r="AL379">
        <f>IFERROR(IF(AU379&lt;($AM$6-$AL$6)/($AN$6-$AL$6),$AL$6+SQRT(AU379*($AN$6-$AL$6)*($AM$6-$AL$6)),$AN$6-SQRT((1-AU379)*($AN$6-$AL$6)*($AN$6-$AM$6))),$AM$6)</f>
        <v/>
      </c>
      <c r="AM379">
        <f>IFERROR(IF(AV379&lt;($AM$7-$AL$7)/($AN$7-$AL$7),$AL$7+SQRT(AV379*($AN$7-$AL$7)*($AM$7-$AL$7)),$AN$7-SQRT((1-AV379)*($AN$7-$AL$7)*($AN$7-$AM$7))),$AM$7)</f>
        <v/>
      </c>
      <c r="AN379">
        <f>IFERROR(IF(AW379&lt;($AM$8-$AL$8)/($AN$8-$AL$8),$AL$8+SQRT(AW379*($AN$8-$AL$8)*($AM$8-$AL$8)),$AN$8-SQRT((1-AW379)*($AN$8-$AL$8)*($AN$8-$AM$8))),$AM$8)</f>
        <v/>
      </c>
      <c r="AO379">
        <f>IFERROR(IF(AX379&lt;($AM$9-$AL$9)/($AN$9-$AL$9),$AL$9+SQRT(AX379*($AN$9-$AL$9)*($AM$9-$AL$9)),$AN$9-SQRT((1-AX379)*($AN$9-$AL$9)*($AN$9-$AM$9))),$AM$9)</f>
        <v/>
      </c>
      <c r="AP379">
        <f>IFERROR(IF(AY379&lt;($AM$10-$AL$10)/($AN$10-$AL$10),$AL$10+SQRT(AY379*($AN$10-$AL$10)*($AM$10-$AL$10)),$AN$10-SQRT((1-AY379)*($AN$10-$AL$10)*($AN$10-$AM$10))),$AM$10)</f>
        <v/>
      </c>
      <c r="AQ379">
        <f>IFERROR(IF(AZ379&lt;($AM$11-$AL$11)/($AN$11-$AL$11),$AL$11+SQRT(AZ379*($AN$11-$AL$11)*($AM$11-$AL$11)),$AN$11-SQRT((1-AZ379)*($AN$11-$AL$11)*($AN$11-$AM$11))),$AM$11)</f>
        <v/>
      </c>
      <c r="AR379">
        <f>SUMPRODUCT((B24:B31&lt;=$B$6)*(C24:C31*AM379+D24:D31*AO379*$B$8*AQ379)/(1+AL379/100)^B24:B31)+C32*AM379*AP379/(1+AL379/100)^$B$6</f>
        <v/>
      </c>
      <c r="AS379">
        <f>SUMPRODUCT((K24:K26&lt;=$B$6)*(L24:L26*AN379+M24:M26*AO379*$B$8*AQ379)/(1+AL379/100)^K24:K26)+L27*AN379*AP379/(1+AL379/100)^$B$6</f>
        <v/>
      </c>
      <c r="AT379">
        <f>AS379-AR379</f>
        <v/>
      </c>
      <c r="AU379">
        <f>RAND()</f>
        <v/>
      </c>
      <c r="AV379">
        <f>RAND()</f>
        <v/>
      </c>
      <c r="AW379">
        <f>RAND()</f>
        <v/>
      </c>
      <c r="AX379">
        <f>RAND()</f>
        <v/>
      </c>
      <c r="AY379">
        <f>RAND()</f>
        <v/>
      </c>
      <c r="AZ379">
        <f>RAND()</f>
        <v/>
      </c>
    </row>
    <row r="380">
      <c r="AK380" t="n">
        <v>367</v>
      </c>
      <c r="AL380">
        <f>IFERROR(IF(AU380&lt;($AM$6-$AL$6)/($AN$6-$AL$6),$AL$6+SQRT(AU380*($AN$6-$AL$6)*($AM$6-$AL$6)),$AN$6-SQRT((1-AU380)*($AN$6-$AL$6)*($AN$6-$AM$6))),$AM$6)</f>
        <v/>
      </c>
      <c r="AM380">
        <f>IFERROR(IF(AV380&lt;($AM$7-$AL$7)/($AN$7-$AL$7),$AL$7+SQRT(AV380*($AN$7-$AL$7)*($AM$7-$AL$7)),$AN$7-SQRT((1-AV380)*($AN$7-$AL$7)*($AN$7-$AM$7))),$AM$7)</f>
        <v/>
      </c>
      <c r="AN380">
        <f>IFERROR(IF(AW380&lt;($AM$8-$AL$8)/($AN$8-$AL$8),$AL$8+SQRT(AW380*($AN$8-$AL$8)*($AM$8-$AL$8)),$AN$8-SQRT((1-AW380)*($AN$8-$AL$8)*($AN$8-$AM$8))),$AM$8)</f>
        <v/>
      </c>
      <c r="AO380">
        <f>IFERROR(IF(AX380&lt;($AM$9-$AL$9)/($AN$9-$AL$9),$AL$9+SQRT(AX380*($AN$9-$AL$9)*($AM$9-$AL$9)),$AN$9-SQRT((1-AX380)*($AN$9-$AL$9)*($AN$9-$AM$9))),$AM$9)</f>
        <v/>
      </c>
      <c r="AP380">
        <f>IFERROR(IF(AY380&lt;($AM$10-$AL$10)/($AN$10-$AL$10),$AL$10+SQRT(AY380*($AN$10-$AL$10)*($AM$10-$AL$10)),$AN$10-SQRT((1-AY380)*($AN$10-$AL$10)*($AN$10-$AM$10))),$AM$10)</f>
        <v/>
      </c>
      <c r="AQ380">
        <f>IFERROR(IF(AZ380&lt;($AM$11-$AL$11)/($AN$11-$AL$11),$AL$11+SQRT(AZ380*($AN$11-$AL$11)*($AM$11-$AL$11)),$AN$11-SQRT((1-AZ380)*($AN$11-$AL$11)*($AN$11-$AM$11))),$AM$11)</f>
        <v/>
      </c>
      <c r="AR380">
        <f>SUMPRODUCT((B24:B31&lt;=$B$6)*(C24:C31*AM380+D24:D31*AO380*$B$8*AQ380)/(1+AL380/100)^B24:B31)+C32*AM380*AP380/(1+AL380/100)^$B$6</f>
        <v/>
      </c>
      <c r="AS380">
        <f>SUMPRODUCT((K24:K26&lt;=$B$6)*(L24:L26*AN380+M24:M26*AO380*$B$8*AQ380)/(1+AL380/100)^K24:K26)+L27*AN380*AP380/(1+AL380/100)^$B$6</f>
        <v/>
      </c>
      <c r="AT380">
        <f>AS380-AR380</f>
        <v/>
      </c>
      <c r="AU380">
        <f>RAND()</f>
        <v/>
      </c>
      <c r="AV380">
        <f>RAND()</f>
        <v/>
      </c>
      <c r="AW380">
        <f>RAND()</f>
        <v/>
      </c>
      <c r="AX380">
        <f>RAND()</f>
        <v/>
      </c>
      <c r="AY380">
        <f>RAND()</f>
        <v/>
      </c>
      <c r="AZ380">
        <f>RAND()</f>
        <v/>
      </c>
    </row>
    <row r="381">
      <c r="AK381" t="n">
        <v>368</v>
      </c>
      <c r="AL381">
        <f>IFERROR(IF(AU381&lt;($AM$6-$AL$6)/($AN$6-$AL$6),$AL$6+SQRT(AU381*($AN$6-$AL$6)*($AM$6-$AL$6)),$AN$6-SQRT((1-AU381)*($AN$6-$AL$6)*($AN$6-$AM$6))),$AM$6)</f>
        <v/>
      </c>
      <c r="AM381">
        <f>IFERROR(IF(AV381&lt;($AM$7-$AL$7)/($AN$7-$AL$7),$AL$7+SQRT(AV381*($AN$7-$AL$7)*($AM$7-$AL$7)),$AN$7-SQRT((1-AV381)*($AN$7-$AL$7)*($AN$7-$AM$7))),$AM$7)</f>
        <v/>
      </c>
      <c r="AN381">
        <f>IFERROR(IF(AW381&lt;($AM$8-$AL$8)/($AN$8-$AL$8),$AL$8+SQRT(AW381*($AN$8-$AL$8)*($AM$8-$AL$8)),$AN$8-SQRT((1-AW381)*($AN$8-$AL$8)*($AN$8-$AM$8))),$AM$8)</f>
        <v/>
      </c>
      <c r="AO381">
        <f>IFERROR(IF(AX381&lt;($AM$9-$AL$9)/($AN$9-$AL$9),$AL$9+SQRT(AX381*($AN$9-$AL$9)*($AM$9-$AL$9)),$AN$9-SQRT((1-AX381)*($AN$9-$AL$9)*($AN$9-$AM$9))),$AM$9)</f>
        <v/>
      </c>
      <c r="AP381">
        <f>IFERROR(IF(AY381&lt;($AM$10-$AL$10)/($AN$10-$AL$10),$AL$10+SQRT(AY381*($AN$10-$AL$10)*($AM$10-$AL$10)),$AN$10-SQRT((1-AY381)*($AN$10-$AL$10)*($AN$10-$AM$10))),$AM$10)</f>
        <v/>
      </c>
      <c r="AQ381">
        <f>IFERROR(IF(AZ381&lt;($AM$11-$AL$11)/($AN$11-$AL$11),$AL$11+SQRT(AZ381*($AN$11-$AL$11)*($AM$11-$AL$11)),$AN$11-SQRT((1-AZ381)*($AN$11-$AL$11)*($AN$11-$AM$11))),$AM$11)</f>
        <v/>
      </c>
      <c r="AR381">
        <f>SUMPRODUCT((B24:B31&lt;=$B$6)*(C24:C31*AM381+D24:D31*AO381*$B$8*AQ381)/(1+AL381/100)^B24:B31)+C32*AM381*AP381/(1+AL381/100)^$B$6</f>
        <v/>
      </c>
      <c r="AS381">
        <f>SUMPRODUCT((K24:K26&lt;=$B$6)*(L24:L26*AN381+M24:M26*AO381*$B$8*AQ381)/(1+AL381/100)^K24:K26)+L27*AN381*AP381/(1+AL381/100)^$B$6</f>
        <v/>
      </c>
      <c r="AT381">
        <f>AS381-AR381</f>
        <v/>
      </c>
      <c r="AU381">
        <f>RAND()</f>
        <v/>
      </c>
      <c r="AV381">
        <f>RAND()</f>
        <v/>
      </c>
      <c r="AW381">
        <f>RAND()</f>
        <v/>
      </c>
      <c r="AX381">
        <f>RAND()</f>
        <v/>
      </c>
      <c r="AY381">
        <f>RAND()</f>
        <v/>
      </c>
      <c r="AZ381">
        <f>RAND()</f>
        <v/>
      </c>
    </row>
    <row r="382">
      <c r="AK382" t="n">
        <v>369</v>
      </c>
      <c r="AL382">
        <f>IFERROR(IF(AU382&lt;($AM$6-$AL$6)/($AN$6-$AL$6),$AL$6+SQRT(AU382*($AN$6-$AL$6)*($AM$6-$AL$6)),$AN$6-SQRT((1-AU382)*($AN$6-$AL$6)*($AN$6-$AM$6))),$AM$6)</f>
        <v/>
      </c>
      <c r="AM382">
        <f>IFERROR(IF(AV382&lt;($AM$7-$AL$7)/($AN$7-$AL$7),$AL$7+SQRT(AV382*($AN$7-$AL$7)*($AM$7-$AL$7)),$AN$7-SQRT((1-AV382)*($AN$7-$AL$7)*($AN$7-$AM$7))),$AM$7)</f>
        <v/>
      </c>
      <c r="AN382">
        <f>IFERROR(IF(AW382&lt;($AM$8-$AL$8)/($AN$8-$AL$8),$AL$8+SQRT(AW382*($AN$8-$AL$8)*($AM$8-$AL$8)),$AN$8-SQRT((1-AW382)*($AN$8-$AL$8)*($AN$8-$AM$8))),$AM$8)</f>
        <v/>
      </c>
      <c r="AO382">
        <f>IFERROR(IF(AX382&lt;($AM$9-$AL$9)/($AN$9-$AL$9),$AL$9+SQRT(AX382*($AN$9-$AL$9)*($AM$9-$AL$9)),$AN$9-SQRT((1-AX382)*($AN$9-$AL$9)*($AN$9-$AM$9))),$AM$9)</f>
        <v/>
      </c>
      <c r="AP382">
        <f>IFERROR(IF(AY382&lt;($AM$10-$AL$10)/($AN$10-$AL$10),$AL$10+SQRT(AY382*($AN$10-$AL$10)*($AM$10-$AL$10)),$AN$10-SQRT((1-AY382)*($AN$10-$AL$10)*($AN$10-$AM$10))),$AM$10)</f>
        <v/>
      </c>
      <c r="AQ382">
        <f>IFERROR(IF(AZ382&lt;($AM$11-$AL$11)/($AN$11-$AL$11),$AL$11+SQRT(AZ382*($AN$11-$AL$11)*($AM$11-$AL$11)),$AN$11-SQRT((1-AZ382)*($AN$11-$AL$11)*($AN$11-$AM$11))),$AM$11)</f>
        <v/>
      </c>
      <c r="AR382">
        <f>SUMPRODUCT((B24:B31&lt;=$B$6)*(C24:C31*AM382+D24:D31*AO382*$B$8*AQ382)/(1+AL382/100)^B24:B31)+C32*AM382*AP382/(1+AL382/100)^$B$6</f>
        <v/>
      </c>
      <c r="AS382">
        <f>SUMPRODUCT((K24:K26&lt;=$B$6)*(L24:L26*AN382+M24:M26*AO382*$B$8*AQ382)/(1+AL382/100)^K24:K26)+L27*AN382*AP382/(1+AL382/100)^$B$6</f>
        <v/>
      </c>
      <c r="AT382">
        <f>AS382-AR382</f>
        <v/>
      </c>
      <c r="AU382">
        <f>RAND()</f>
        <v/>
      </c>
      <c r="AV382">
        <f>RAND()</f>
        <v/>
      </c>
      <c r="AW382">
        <f>RAND()</f>
        <v/>
      </c>
      <c r="AX382">
        <f>RAND()</f>
        <v/>
      </c>
      <c r="AY382">
        <f>RAND()</f>
        <v/>
      </c>
      <c r="AZ382">
        <f>RAND()</f>
        <v/>
      </c>
    </row>
    <row r="383">
      <c r="AK383" t="n">
        <v>370</v>
      </c>
      <c r="AL383">
        <f>IFERROR(IF(AU383&lt;($AM$6-$AL$6)/($AN$6-$AL$6),$AL$6+SQRT(AU383*($AN$6-$AL$6)*($AM$6-$AL$6)),$AN$6-SQRT((1-AU383)*($AN$6-$AL$6)*($AN$6-$AM$6))),$AM$6)</f>
        <v/>
      </c>
      <c r="AM383">
        <f>IFERROR(IF(AV383&lt;($AM$7-$AL$7)/($AN$7-$AL$7),$AL$7+SQRT(AV383*($AN$7-$AL$7)*($AM$7-$AL$7)),$AN$7-SQRT((1-AV383)*($AN$7-$AL$7)*($AN$7-$AM$7))),$AM$7)</f>
        <v/>
      </c>
      <c r="AN383">
        <f>IFERROR(IF(AW383&lt;($AM$8-$AL$8)/($AN$8-$AL$8),$AL$8+SQRT(AW383*($AN$8-$AL$8)*($AM$8-$AL$8)),$AN$8-SQRT((1-AW383)*($AN$8-$AL$8)*($AN$8-$AM$8))),$AM$8)</f>
        <v/>
      </c>
      <c r="AO383">
        <f>IFERROR(IF(AX383&lt;($AM$9-$AL$9)/($AN$9-$AL$9),$AL$9+SQRT(AX383*($AN$9-$AL$9)*($AM$9-$AL$9)),$AN$9-SQRT((1-AX383)*($AN$9-$AL$9)*($AN$9-$AM$9))),$AM$9)</f>
        <v/>
      </c>
      <c r="AP383">
        <f>IFERROR(IF(AY383&lt;($AM$10-$AL$10)/($AN$10-$AL$10),$AL$10+SQRT(AY383*($AN$10-$AL$10)*($AM$10-$AL$10)),$AN$10-SQRT((1-AY383)*($AN$10-$AL$10)*($AN$10-$AM$10))),$AM$10)</f>
        <v/>
      </c>
      <c r="AQ383">
        <f>IFERROR(IF(AZ383&lt;($AM$11-$AL$11)/($AN$11-$AL$11),$AL$11+SQRT(AZ383*($AN$11-$AL$11)*($AM$11-$AL$11)),$AN$11-SQRT((1-AZ383)*($AN$11-$AL$11)*($AN$11-$AM$11))),$AM$11)</f>
        <v/>
      </c>
      <c r="AR383">
        <f>SUMPRODUCT((B24:B31&lt;=$B$6)*(C24:C31*AM383+D24:D31*AO383*$B$8*AQ383)/(1+AL383/100)^B24:B31)+C32*AM383*AP383/(1+AL383/100)^$B$6</f>
        <v/>
      </c>
      <c r="AS383">
        <f>SUMPRODUCT((K24:K26&lt;=$B$6)*(L24:L26*AN383+M24:M26*AO383*$B$8*AQ383)/(1+AL383/100)^K24:K26)+L27*AN383*AP383/(1+AL383/100)^$B$6</f>
        <v/>
      </c>
      <c r="AT383">
        <f>AS383-AR383</f>
        <v/>
      </c>
      <c r="AU383">
        <f>RAND()</f>
        <v/>
      </c>
      <c r="AV383">
        <f>RAND()</f>
        <v/>
      </c>
      <c r="AW383">
        <f>RAND()</f>
        <v/>
      </c>
      <c r="AX383">
        <f>RAND()</f>
        <v/>
      </c>
      <c r="AY383">
        <f>RAND()</f>
        <v/>
      </c>
      <c r="AZ383">
        <f>RAND()</f>
        <v/>
      </c>
    </row>
    <row r="384">
      <c r="AK384" t="n">
        <v>371</v>
      </c>
      <c r="AL384">
        <f>IFERROR(IF(AU384&lt;($AM$6-$AL$6)/($AN$6-$AL$6),$AL$6+SQRT(AU384*($AN$6-$AL$6)*($AM$6-$AL$6)),$AN$6-SQRT((1-AU384)*($AN$6-$AL$6)*($AN$6-$AM$6))),$AM$6)</f>
        <v/>
      </c>
      <c r="AM384">
        <f>IFERROR(IF(AV384&lt;($AM$7-$AL$7)/($AN$7-$AL$7),$AL$7+SQRT(AV384*($AN$7-$AL$7)*($AM$7-$AL$7)),$AN$7-SQRT((1-AV384)*($AN$7-$AL$7)*($AN$7-$AM$7))),$AM$7)</f>
        <v/>
      </c>
      <c r="AN384">
        <f>IFERROR(IF(AW384&lt;($AM$8-$AL$8)/($AN$8-$AL$8),$AL$8+SQRT(AW384*($AN$8-$AL$8)*($AM$8-$AL$8)),$AN$8-SQRT((1-AW384)*($AN$8-$AL$8)*($AN$8-$AM$8))),$AM$8)</f>
        <v/>
      </c>
      <c r="AO384">
        <f>IFERROR(IF(AX384&lt;($AM$9-$AL$9)/($AN$9-$AL$9),$AL$9+SQRT(AX384*($AN$9-$AL$9)*($AM$9-$AL$9)),$AN$9-SQRT((1-AX384)*($AN$9-$AL$9)*($AN$9-$AM$9))),$AM$9)</f>
        <v/>
      </c>
      <c r="AP384">
        <f>IFERROR(IF(AY384&lt;($AM$10-$AL$10)/($AN$10-$AL$10),$AL$10+SQRT(AY384*($AN$10-$AL$10)*($AM$10-$AL$10)),$AN$10-SQRT((1-AY384)*($AN$10-$AL$10)*($AN$10-$AM$10))),$AM$10)</f>
        <v/>
      </c>
      <c r="AQ384">
        <f>IFERROR(IF(AZ384&lt;($AM$11-$AL$11)/($AN$11-$AL$11),$AL$11+SQRT(AZ384*($AN$11-$AL$11)*($AM$11-$AL$11)),$AN$11-SQRT((1-AZ384)*($AN$11-$AL$11)*($AN$11-$AM$11))),$AM$11)</f>
        <v/>
      </c>
      <c r="AR384">
        <f>SUMPRODUCT((B24:B31&lt;=$B$6)*(C24:C31*AM384+D24:D31*AO384*$B$8*AQ384)/(1+AL384/100)^B24:B31)+C32*AM384*AP384/(1+AL384/100)^$B$6</f>
        <v/>
      </c>
      <c r="AS384">
        <f>SUMPRODUCT((K24:K26&lt;=$B$6)*(L24:L26*AN384+M24:M26*AO384*$B$8*AQ384)/(1+AL384/100)^K24:K26)+L27*AN384*AP384/(1+AL384/100)^$B$6</f>
        <v/>
      </c>
      <c r="AT384">
        <f>AS384-AR384</f>
        <v/>
      </c>
      <c r="AU384">
        <f>RAND()</f>
        <v/>
      </c>
      <c r="AV384">
        <f>RAND()</f>
        <v/>
      </c>
      <c r="AW384">
        <f>RAND()</f>
        <v/>
      </c>
      <c r="AX384">
        <f>RAND()</f>
        <v/>
      </c>
      <c r="AY384">
        <f>RAND()</f>
        <v/>
      </c>
      <c r="AZ384">
        <f>RAND()</f>
        <v/>
      </c>
    </row>
    <row r="385">
      <c r="AK385" t="n">
        <v>372</v>
      </c>
      <c r="AL385">
        <f>IFERROR(IF(AU385&lt;($AM$6-$AL$6)/($AN$6-$AL$6),$AL$6+SQRT(AU385*($AN$6-$AL$6)*($AM$6-$AL$6)),$AN$6-SQRT((1-AU385)*($AN$6-$AL$6)*($AN$6-$AM$6))),$AM$6)</f>
        <v/>
      </c>
      <c r="AM385">
        <f>IFERROR(IF(AV385&lt;($AM$7-$AL$7)/($AN$7-$AL$7),$AL$7+SQRT(AV385*($AN$7-$AL$7)*($AM$7-$AL$7)),$AN$7-SQRT((1-AV385)*($AN$7-$AL$7)*($AN$7-$AM$7))),$AM$7)</f>
        <v/>
      </c>
      <c r="AN385">
        <f>IFERROR(IF(AW385&lt;($AM$8-$AL$8)/($AN$8-$AL$8),$AL$8+SQRT(AW385*($AN$8-$AL$8)*($AM$8-$AL$8)),$AN$8-SQRT((1-AW385)*($AN$8-$AL$8)*($AN$8-$AM$8))),$AM$8)</f>
        <v/>
      </c>
      <c r="AO385">
        <f>IFERROR(IF(AX385&lt;($AM$9-$AL$9)/($AN$9-$AL$9),$AL$9+SQRT(AX385*($AN$9-$AL$9)*($AM$9-$AL$9)),$AN$9-SQRT((1-AX385)*($AN$9-$AL$9)*($AN$9-$AM$9))),$AM$9)</f>
        <v/>
      </c>
      <c r="AP385">
        <f>IFERROR(IF(AY385&lt;($AM$10-$AL$10)/($AN$10-$AL$10),$AL$10+SQRT(AY385*($AN$10-$AL$10)*($AM$10-$AL$10)),$AN$10-SQRT((1-AY385)*($AN$10-$AL$10)*($AN$10-$AM$10))),$AM$10)</f>
        <v/>
      </c>
      <c r="AQ385">
        <f>IFERROR(IF(AZ385&lt;($AM$11-$AL$11)/($AN$11-$AL$11),$AL$11+SQRT(AZ385*($AN$11-$AL$11)*($AM$11-$AL$11)),$AN$11-SQRT((1-AZ385)*($AN$11-$AL$11)*($AN$11-$AM$11))),$AM$11)</f>
        <v/>
      </c>
      <c r="AR385">
        <f>SUMPRODUCT((B24:B31&lt;=$B$6)*(C24:C31*AM385+D24:D31*AO385*$B$8*AQ385)/(1+AL385/100)^B24:B31)+C32*AM385*AP385/(1+AL385/100)^$B$6</f>
        <v/>
      </c>
      <c r="AS385">
        <f>SUMPRODUCT((K24:K26&lt;=$B$6)*(L24:L26*AN385+M24:M26*AO385*$B$8*AQ385)/(1+AL385/100)^K24:K26)+L27*AN385*AP385/(1+AL385/100)^$B$6</f>
        <v/>
      </c>
      <c r="AT385">
        <f>AS385-AR385</f>
        <v/>
      </c>
      <c r="AU385">
        <f>RAND()</f>
        <v/>
      </c>
      <c r="AV385">
        <f>RAND()</f>
        <v/>
      </c>
      <c r="AW385">
        <f>RAND()</f>
        <v/>
      </c>
      <c r="AX385">
        <f>RAND()</f>
        <v/>
      </c>
      <c r="AY385">
        <f>RAND()</f>
        <v/>
      </c>
      <c r="AZ385">
        <f>RAND()</f>
        <v/>
      </c>
    </row>
    <row r="386">
      <c r="AK386" t="n">
        <v>373</v>
      </c>
      <c r="AL386">
        <f>IFERROR(IF(AU386&lt;($AM$6-$AL$6)/($AN$6-$AL$6),$AL$6+SQRT(AU386*($AN$6-$AL$6)*($AM$6-$AL$6)),$AN$6-SQRT((1-AU386)*($AN$6-$AL$6)*($AN$6-$AM$6))),$AM$6)</f>
        <v/>
      </c>
      <c r="AM386">
        <f>IFERROR(IF(AV386&lt;($AM$7-$AL$7)/($AN$7-$AL$7),$AL$7+SQRT(AV386*($AN$7-$AL$7)*($AM$7-$AL$7)),$AN$7-SQRT((1-AV386)*($AN$7-$AL$7)*($AN$7-$AM$7))),$AM$7)</f>
        <v/>
      </c>
      <c r="AN386">
        <f>IFERROR(IF(AW386&lt;($AM$8-$AL$8)/($AN$8-$AL$8),$AL$8+SQRT(AW386*($AN$8-$AL$8)*($AM$8-$AL$8)),$AN$8-SQRT((1-AW386)*($AN$8-$AL$8)*($AN$8-$AM$8))),$AM$8)</f>
        <v/>
      </c>
      <c r="AO386">
        <f>IFERROR(IF(AX386&lt;($AM$9-$AL$9)/($AN$9-$AL$9),$AL$9+SQRT(AX386*($AN$9-$AL$9)*($AM$9-$AL$9)),$AN$9-SQRT((1-AX386)*($AN$9-$AL$9)*($AN$9-$AM$9))),$AM$9)</f>
        <v/>
      </c>
      <c r="AP386">
        <f>IFERROR(IF(AY386&lt;($AM$10-$AL$10)/($AN$10-$AL$10),$AL$10+SQRT(AY386*($AN$10-$AL$10)*($AM$10-$AL$10)),$AN$10-SQRT((1-AY386)*($AN$10-$AL$10)*($AN$10-$AM$10))),$AM$10)</f>
        <v/>
      </c>
      <c r="AQ386">
        <f>IFERROR(IF(AZ386&lt;($AM$11-$AL$11)/($AN$11-$AL$11),$AL$11+SQRT(AZ386*($AN$11-$AL$11)*($AM$11-$AL$11)),$AN$11-SQRT((1-AZ386)*($AN$11-$AL$11)*($AN$11-$AM$11))),$AM$11)</f>
        <v/>
      </c>
      <c r="AR386">
        <f>SUMPRODUCT((B24:B31&lt;=$B$6)*(C24:C31*AM386+D24:D31*AO386*$B$8*AQ386)/(1+AL386/100)^B24:B31)+C32*AM386*AP386/(1+AL386/100)^$B$6</f>
        <v/>
      </c>
      <c r="AS386">
        <f>SUMPRODUCT((K24:K26&lt;=$B$6)*(L24:L26*AN386+M24:M26*AO386*$B$8*AQ386)/(1+AL386/100)^K24:K26)+L27*AN386*AP386/(1+AL386/100)^$B$6</f>
        <v/>
      </c>
      <c r="AT386">
        <f>AS386-AR386</f>
        <v/>
      </c>
      <c r="AU386">
        <f>RAND()</f>
        <v/>
      </c>
      <c r="AV386">
        <f>RAND()</f>
        <v/>
      </c>
      <c r="AW386">
        <f>RAND()</f>
        <v/>
      </c>
      <c r="AX386">
        <f>RAND()</f>
        <v/>
      </c>
      <c r="AY386">
        <f>RAND()</f>
        <v/>
      </c>
      <c r="AZ386">
        <f>RAND()</f>
        <v/>
      </c>
    </row>
    <row r="387">
      <c r="AK387" t="n">
        <v>374</v>
      </c>
      <c r="AL387">
        <f>IFERROR(IF(AU387&lt;($AM$6-$AL$6)/($AN$6-$AL$6),$AL$6+SQRT(AU387*($AN$6-$AL$6)*($AM$6-$AL$6)),$AN$6-SQRT((1-AU387)*($AN$6-$AL$6)*($AN$6-$AM$6))),$AM$6)</f>
        <v/>
      </c>
      <c r="AM387">
        <f>IFERROR(IF(AV387&lt;($AM$7-$AL$7)/($AN$7-$AL$7),$AL$7+SQRT(AV387*($AN$7-$AL$7)*($AM$7-$AL$7)),$AN$7-SQRT((1-AV387)*($AN$7-$AL$7)*($AN$7-$AM$7))),$AM$7)</f>
        <v/>
      </c>
      <c r="AN387">
        <f>IFERROR(IF(AW387&lt;($AM$8-$AL$8)/($AN$8-$AL$8),$AL$8+SQRT(AW387*($AN$8-$AL$8)*($AM$8-$AL$8)),$AN$8-SQRT((1-AW387)*($AN$8-$AL$8)*($AN$8-$AM$8))),$AM$8)</f>
        <v/>
      </c>
      <c r="AO387">
        <f>IFERROR(IF(AX387&lt;($AM$9-$AL$9)/($AN$9-$AL$9),$AL$9+SQRT(AX387*($AN$9-$AL$9)*($AM$9-$AL$9)),$AN$9-SQRT((1-AX387)*($AN$9-$AL$9)*($AN$9-$AM$9))),$AM$9)</f>
        <v/>
      </c>
      <c r="AP387">
        <f>IFERROR(IF(AY387&lt;($AM$10-$AL$10)/($AN$10-$AL$10),$AL$10+SQRT(AY387*($AN$10-$AL$10)*($AM$10-$AL$10)),$AN$10-SQRT((1-AY387)*($AN$10-$AL$10)*($AN$10-$AM$10))),$AM$10)</f>
        <v/>
      </c>
      <c r="AQ387">
        <f>IFERROR(IF(AZ387&lt;($AM$11-$AL$11)/($AN$11-$AL$11),$AL$11+SQRT(AZ387*($AN$11-$AL$11)*($AM$11-$AL$11)),$AN$11-SQRT((1-AZ387)*($AN$11-$AL$11)*($AN$11-$AM$11))),$AM$11)</f>
        <v/>
      </c>
      <c r="AR387">
        <f>SUMPRODUCT((B24:B31&lt;=$B$6)*(C24:C31*AM387+D24:D31*AO387*$B$8*AQ387)/(1+AL387/100)^B24:B31)+C32*AM387*AP387/(1+AL387/100)^$B$6</f>
        <v/>
      </c>
      <c r="AS387">
        <f>SUMPRODUCT((K24:K26&lt;=$B$6)*(L24:L26*AN387+M24:M26*AO387*$B$8*AQ387)/(1+AL387/100)^K24:K26)+L27*AN387*AP387/(1+AL387/100)^$B$6</f>
        <v/>
      </c>
      <c r="AT387">
        <f>AS387-AR387</f>
        <v/>
      </c>
      <c r="AU387">
        <f>RAND()</f>
        <v/>
      </c>
      <c r="AV387">
        <f>RAND()</f>
        <v/>
      </c>
      <c r="AW387">
        <f>RAND()</f>
        <v/>
      </c>
      <c r="AX387">
        <f>RAND()</f>
        <v/>
      </c>
      <c r="AY387">
        <f>RAND()</f>
        <v/>
      </c>
      <c r="AZ387">
        <f>RAND()</f>
        <v/>
      </c>
    </row>
    <row r="388">
      <c r="AK388" t="n">
        <v>375</v>
      </c>
      <c r="AL388">
        <f>IFERROR(IF(AU388&lt;($AM$6-$AL$6)/($AN$6-$AL$6),$AL$6+SQRT(AU388*($AN$6-$AL$6)*($AM$6-$AL$6)),$AN$6-SQRT((1-AU388)*($AN$6-$AL$6)*($AN$6-$AM$6))),$AM$6)</f>
        <v/>
      </c>
      <c r="AM388">
        <f>IFERROR(IF(AV388&lt;($AM$7-$AL$7)/($AN$7-$AL$7),$AL$7+SQRT(AV388*($AN$7-$AL$7)*($AM$7-$AL$7)),$AN$7-SQRT((1-AV388)*($AN$7-$AL$7)*($AN$7-$AM$7))),$AM$7)</f>
        <v/>
      </c>
      <c r="AN388">
        <f>IFERROR(IF(AW388&lt;($AM$8-$AL$8)/($AN$8-$AL$8),$AL$8+SQRT(AW388*($AN$8-$AL$8)*($AM$8-$AL$8)),$AN$8-SQRT((1-AW388)*($AN$8-$AL$8)*($AN$8-$AM$8))),$AM$8)</f>
        <v/>
      </c>
      <c r="AO388">
        <f>IFERROR(IF(AX388&lt;($AM$9-$AL$9)/($AN$9-$AL$9),$AL$9+SQRT(AX388*($AN$9-$AL$9)*($AM$9-$AL$9)),$AN$9-SQRT((1-AX388)*($AN$9-$AL$9)*($AN$9-$AM$9))),$AM$9)</f>
        <v/>
      </c>
      <c r="AP388">
        <f>IFERROR(IF(AY388&lt;($AM$10-$AL$10)/($AN$10-$AL$10),$AL$10+SQRT(AY388*($AN$10-$AL$10)*($AM$10-$AL$10)),$AN$10-SQRT((1-AY388)*($AN$10-$AL$10)*($AN$10-$AM$10))),$AM$10)</f>
        <v/>
      </c>
      <c r="AQ388">
        <f>IFERROR(IF(AZ388&lt;($AM$11-$AL$11)/($AN$11-$AL$11),$AL$11+SQRT(AZ388*($AN$11-$AL$11)*($AM$11-$AL$11)),$AN$11-SQRT((1-AZ388)*($AN$11-$AL$11)*($AN$11-$AM$11))),$AM$11)</f>
        <v/>
      </c>
      <c r="AR388">
        <f>SUMPRODUCT((B24:B31&lt;=$B$6)*(C24:C31*AM388+D24:D31*AO388*$B$8*AQ388)/(1+AL388/100)^B24:B31)+C32*AM388*AP388/(1+AL388/100)^$B$6</f>
        <v/>
      </c>
      <c r="AS388">
        <f>SUMPRODUCT((K24:K26&lt;=$B$6)*(L24:L26*AN388+M24:M26*AO388*$B$8*AQ388)/(1+AL388/100)^K24:K26)+L27*AN388*AP388/(1+AL388/100)^$B$6</f>
        <v/>
      </c>
      <c r="AT388">
        <f>AS388-AR388</f>
        <v/>
      </c>
      <c r="AU388">
        <f>RAND()</f>
        <v/>
      </c>
      <c r="AV388">
        <f>RAND()</f>
        <v/>
      </c>
      <c r="AW388">
        <f>RAND()</f>
        <v/>
      </c>
      <c r="AX388">
        <f>RAND()</f>
        <v/>
      </c>
      <c r="AY388">
        <f>RAND()</f>
        <v/>
      </c>
      <c r="AZ388">
        <f>RAND()</f>
        <v/>
      </c>
    </row>
    <row r="389">
      <c r="AK389" t="n">
        <v>376</v>
      </c>
      <c r="AL389">
        <f>IFERROR(IF(AU389&lt;($AM$6-$AL$6)/($AN$6-$AL$6),$AL$6+SQRT(AU389*($AN$6-$AL$6)*($AM$6-$AL$6)),$AN$6-SQRT((1-AU389)*($AN$6-$AL$6)*($AN$6-$AM$6))),$AM$6)</f>
        <v/>
      </c>
      <c r="AM389">
        <f>IFERROR(IF(AV389&lt;($AM$7-$AL$7)/($AN$7-$AL$7),$AL$7+SQRT(AV389*($AN$7-$AL$7)*($AM$7-$AL$7)),$AN$7-SQRT((1-AV389)*($AN$7-$AL$7)*($AN$7-$AM$7))),$AM$7)</f>
        <v/>
      </c>
      <c r="AN389">
        <f>IFERROR(IF(AW389&lt;($AM$8-$AL$8)/($AN$8-$AL$8),$AL$8+SQRT(AW389*($AN$8-$AL$8)*($AM$8-$AL$8)),$AN$8-SQRT((1-AW389)*($AN$8-$AL$8)*($AN$8-$AM$8))),$AM$8)</f>
        <v/>
      </c>
      <c r="AO389">
        <f>IFERROR(IF(AX389&lt;($AM$9-$AL$9)/($AN$9-$AL$9),$AL$9+SQRT(AX389*($AN$9-$AL$9)*($AM$9-$AL$9)),$AN$9-SQRT((1-AX389)*($AN$9-$AL$9)*($AN$9-$AM$9))),$AM$9)</f>
        <v/>
      </c>
      <c r="AP389">
        <f>IFERROR(IF(AY389&lt;($AM$10-$AL$10)/($AN$10-$AL$10),$AL$10+SQRT(AY389*($AN$10-$AL$10)*($AM$10-$AL$10)),$AN$10-SQRT((1-AY389)*($AN$10-$AL$10)*($AN$10-$AM$10))),$AM$10)</f>
        <v/>
      </c>
      <c r="AQ389">
        <f>IFERROR(IF(AZ389&lt;($AM$11-$AL$11)/($AN$11-$AL$11),$AL$11+SQRT(AZ389*($AN$11-$AL$11)*($AM$11-$AL$11)),$AN$11-SQRT((1-AZ389)*($AN$11-$AL$11)*($AN$11-$AM$11))),$AM$11)</f>
        <v/>
      </c>
      <c r="AR389">
        <f>SUMPRODUCT((B24:B31&lt;=$B$6)*(C24:C31*AM389+D24:D31*AO389*$B$8*AQ389)/(1+AL389/100)^B24:B31)+C32*AM389*AP389/(1+AL389/100)^$B$6</f>
        <v/>
      </c>
      <c r="AS389">
        <f>SUMPRODUCT((K24:K26&lt;=$B$6)*(L24:L26*AN389+M24:M26*AO389*$B$8*AQ389)/(1+AL389/100)^K24:K26)+L27*AN389*AP389/(1+AL389/100)^$B$6</f>
        <v/>
      </c>
      <c r="AT389">
        <f>AS389-AR389</f>
        <v/>
      </c>
      <c r="AU389">
        <f>RAND()</f>
        <v/>
      </c>
      <c r="AV389">
        <f>RAND()</f>
        <v/>
      </c>
      <c r="AW389">
        <f>RAND()</f>
        <v/>
      </c>
      <c r="AX389">
        <f>RAND()</f>
        <v/>
      </c>
      <c r="AY389">
        <f>RAND()</f>
        <v/>
      </c>
      <c r="AZ389">
        <f>RAND()</f>
        <v/>
      </c>
    </row>
    <row r="390">
      <c r="AK390" t="n">
        <v>377</v>
      </c>
      <c r="AL390">
        <f>IFERROR(IF(AU390&lt;($AM$6-$AL$6)/($AN$6-$AL$6),$AL$6+SQRT(AU390*($AN$6-$AL$6)*($AM$6-$AL$6)),$AN$6-SQRT((1-AU390)*($AN$6-$AL$6)*($AN$6-$AM$6))),$AM$6)</f>
        <v/>
      </c>
      <c r="AM390">
        <f>IFERROR(IF(AV390&lt;($AM$7-$AL$7)/($AN$7-$AL$7),$AL$7+SQRT(AV390*($AN$7-$AL$7)*($AM$7-$AL$7)),$AN$7-SQRT((1-AV390)*($AN$7-$AL$7)*($AN$7-$AM$7))),$AM$7)</f>
        <v/>
      </c>
      <c r="AN390">
        <f>IFERROR(IF(AW390&lt;($AM$8-$AL$8)/($AN$8-$AL$8),$AL$8+SQRT(AW390*($AN$8-$AL$8)*($AM$8-$AL$8)),$AN$8-SQRT((1-AW390)*($AN$8-$AL$8)*($AN$8-$AM$8))),$AM$8)</f>
        <v/>
      </c>
      <c r="AO390">
        <f>IFERROR(IF(AX390&lt;($AM$9-$AL$9)/($AN$9-$AL$9),$AL$9+SQRT(AX390*($AN$9-$AL$9)*($AM$9-$AL$9)),$AN$9-SQRT((1-AX390)*($AN$9-$AL$9)*($AN$9-$AM$9))),$AM$9)</f>
        <v/>
      </c>
      <c r="AP390">
        <f>IFERROR(IF(AY390&lt;($AM$10-$AL$10)/($AN$10-$AL$10),$AL$10+SQRT(AY390*($AN$10-$AL$10)*($AM$10-$AL$10)),$AN$10-SQRT((1-AY390)*($AN$10-$AL$10)*($AN$10-$AM$10))),$AM$10)</f>
        <v/>
      </c>
      <c r="AQ390">
        <f>IFERROR(IF(AZ390&lt;($AM$11-$AL$11)/($AN$11-$AL$11),$AL$11+SQRT(AZ390*($AN$11-$AL$11)*($AM$11-$AL$11)),$AN$11-SQRT((1-AZ390)*($AN$11-$AL$11)*($AN$11-$AM$11))),$AM$11)</f>
        <v/>
      </c>
      <c r="AR390">
        <f>SUMPRODUCT((B24:B31&lt;=$B$6)*(C24:C31*AM390+D24:D31*AO390*$B$8*AQ390)/(1+AL390/100)^B24:B31)+C32*AM390*AP390/(1+AL390/100)^$B$6</f>
        <v/>
      </c>
      <c r="AS390">
        <f>SUMPRODUCT((K24:K26&lt;=$B$6)*(L24:L26*AN390+M24:M26*AO390*$B$8*AQ390)/(1+AL390/100)^K24:K26)+L27*AN390*AP390/(1+AL390/100)^$B$6</f>
        <v/>
      </c>
      <c r="AT390">
        <f>AS390-AR390</f>
        <v/>
      </c>
      <c r="AU390">
        <f>RAND()</f>
        <v/>
      </c>
      <c r="AV390">
        <f>RAND()</f>
        <v/>
      </c>
      <c r="AW390">
        <f>RAND()</f>
        <v/>
      </c>
      <c r="AX390">
        <f>RAND()</f>
        <v/>
      </c>
      <c r="AY390">
        <f>RAND()</f>
        <v/>
      </c>
      <c r="AZ390">
        <f>RAND()</f>
        <v/>
      </c>
    </row>
    <row r="391">
      <c r="AK391" t="n">
        <v>378</v>
      </c>
      <c r="AL391">
        <f>IFERROR(IF(AU391&lt;($AM$6-$AL$6)/($AN$6-$AL$6),$AL$6+SQRT(AU391*($AN$6-$AL$6)*($AM$6-$AL$6)),$AN$6-SQRT((1-AU391)*($AN$6-$AL$6)*($AN$6-$AM$6))),$AM$6)</f>
        <v/>
      </c>
      <c r="AM391">
        <f>IFERROR(IF(AV391&lt;($AM$7-$AL$7)/($AN$7-$AL$7),$AL$7+SQRT(AV391*($AN$7-$AL$7)*($AM$7-$AL$7)),$AN$7-SQRT((1-AV391)*($AN$7-$AL$7)*($AN$7-$AM$7))),$AM$7)</f>
        <v/>
      </c>
      <c r="AN391">
        <f>IFERROR(IF(AW391&lt;($AM$8-$AL$8)/($AN$8-$AL$8),$AL$8+SQRT(AW391*($AN$8-$AL$8)*($AM$8-$AL$8)),$AN$8-SQRT((1-AW391)*($AN$8-$AL$8)*($AN$8-$AM$8))),$AM$8)</f>
        <v/>
      </c>
      <c r="AO391">
        <f>IFERROR(IF(AX391&lt;($AM$9-$AL$9)/($AN$9-$AL$9),$AL$9+SQRT(AX391*($AN$9-$AL$9)*($AM$9-$AL$9)),$AN$9-SQRT((1-AX391)*($AN$9-$AL$9)*($AN$9-$AM$9))),$AM$9)</f>
        <v/>
      </c>
      <c r="AP391">
        <f>IFERROR(IF(AY391&lt;($AM$10-$AL$10)/($AN$10-$AL$10),$AL$10+SQRT(AY391*($AN$10-$AL$10)*($AM$10-$AL$10)),$AN$10-SQRT((1-AY391)*($AN$10-$AL$10)*($AN$10-$AM$10))),$AM$10)</f>
        <v/>
      </c>
      <c r="AQ391">
        <f>IFERROR(IF(AZ391&lt;($AM$11-$AL$11)/($AN$11-$AL$11),$AL$11+SQRT(AZ391*($AN$11-$AL$11)*($AM$11-$AL$11)),$AN$11-SQRT((1-AZ391)*($AN$11-$AL$11)*($AN$11-$AM$11))),$AM$11)</f>
        <v/>
      </c>
      <c r="AR391">
        <f>SUMPRODUCT((B24:B31&lt;=$B$6)*(C24:C31*AM391+D24:D31*AO391*$B$8*AQ391)/(1+AL391/100)^B24:B31)+C32*AM391*AP391/(1+AL391/100)^$B$6</f>
        <v/>
      </c>
      <c r="AS391">
        <f>SUMPRODUCT((K24:K26&lt;=$B$6)*(L24:L26*AN391+M24:M26*AO391*$B$8*AQ391)/(1+AL391/100)^K24:K26)+L27*AN391*AP391/(1+AL391/100)^$B$6</f>
        <v/>
      </c>
      <c r="AT391">
        <f>AS391-AR391</f>
        <v/>
      </c>
      <c r="AU391">
        <f>RAND()</f>
        <v/>
      </c>
      <c r="AV391">
        <f>RAND()</f>
        <v/>
      </c>
      <c r="AW391">
        <f>RAND()</f>
        <v/>
      </c>
      <c r="AX391">
        <f>RAND()</f>
        <v/>
      </c>
      <c r="AY391">
        <f>RAND()</f>
        <v/>
      </c>
      <c r="AZ391">
        <f>RAND()</f>
        <v/>
      </c>
    </row>
    <row r="392">
      <c r="AK392" t="n">
        <v>379</v>
      </c>
      <c r="AL392">
        <f>IFERROR(IF(AU392&lt;($AM$6-$AL$6)/($AN$6-$AL$6),$AL$6+SQRT(AU392*($AN$6-$AL$6)*($AM$6-$AL$6)),$AN$6-SQRT((1-AU392)*($AN$6-$AL$6)*($AN$6-$AM$6))),$AM$6)</f>
        <v/>
      </c>
      <c r="AM392">
        <f>IFERROR(IF(AV392&lt;($AM$7-$AL$7)/($AN$7-$AL$7),$AL$7+SQRT(AV392*($AN$7-$AL$7)*($AM$7-$AL$7)),$AN$7-SQRT((1-AV392)*($AN$7-$AL$7)*($AN$7-$AM$7))),$AM$7)</f>
        <v/>
      </c>
      <c r="AN392">
        <f>IFERROR(IF(AW392&lt;($AM$8-$AL$8)/($AN$8-$AL$8),$AL$8+SQRT(AW392*($AN$8-$AL$8)*($AM$8-$AL$8)),$AN$8-SQRT((1-AW392)*($AN$8-$AL$8)*($AN$8-$AM$8))),$AM$8)</f>
        <v/>
      </c>
      <c r="AO392">
        <f>IFERROR(IF(AX392&lt;($AM$9-$AL$9)/($AN$9-$AL$9),$AL$9+SQRT(AX392*($AN$9-$AL$9)*($AM$9-$AL$9)),$AN$9-SQRT((1-AX392)*($AN$9-$AL$9)*($AN$9-$AM$9))),$AM$9)</f>
        <v/>
      </c>
      <c r="AP392">
        <f>IFERROR(IF(AY392&lt;($AM$10-$AL$10)/($AN$10-$AL$10),$AL$10+SQRT(AY392*($AN$10-$AL$10)*($AM$10-$AL$10)),$AN$10-SQRT((1-AY392)*($AN$10-$AL$10)*($AN$10-$AM$10))),$AM$10)</f>
        <v/>
      </c>
      <c r="AQ392">
        <f>IFERROR(IF(AZ392&lt;($AM$11-$AL$11)/($AN$11-$AL$11),$AL$11+SQRT(AZ392*($AN$11-$AL$11)*($AM$11-$AL$11)),$AN$11-SQRT((1-AZ392)*($AN$11-$AL$11)*($AN$11-$AM$11))),$AM$11)</f>
        <v/>
      </c>
      <c r="AR392">
        <f>SUMPRODUCT((B24:B31&lt;=$B$6)*(C24:C31*AM392+D24:D31*AO392*$B$8*AQ392)/(1+AL392/100)^B24:B31)+C32*AM392*AP392/(1+AL392/100)^$B$6</f>
        <v/>
      </c>
      <c r="AS392">
        <f>SUMPRODUCT((K24:K26&lt;=$B$6)*(L24:L26*AN392+M24:M26*AO392*$B$8*AQ392)/(1+AL392/100)^K24:K26)+L27*AN392*AP392/(1+AL392/100)^$B$6</f>
        <v/>
      </c>
      <c r="AT392">
        <f>AS392-AR392</f>
        <v/>
      </c>
      <c r="AU392">
        <f>RAND()</f>
        <v/>
      </c>
      <c r="AV392">
        <f>RAND()</f>
        <v/>
      </c>
      <c r="AW392">
        <f>RAND()</f>
        <v/>
      </c>
      <c r="AX392">
        <f>RAND()</f>
        <v/>
      </c>
      <c r="AY392">
        <f>RAND()</f>
        <v/>
      </c>
      <c r="AZ392">
        <f>RAND()</f>
        <v/>
      </c>
    </row>
    <row r="393">
      <c r="AK393" t="n">
        <v>380</v>
      </c>
      <c r="AL393">
        <f>IFERROR(IF(AU393&lt;($AM$6-$AL$6)/($AN$6-$AL$6),$AL$6+SQRT(AU393*($AN$6-$AL$6)*($AM$6-$AL$6)),$AN$6-SQRT((1-AU393)*($AN$6-$AL$6)*($AN$6-$AM$6))),$AM$6)</f>
        <v/>
      </c>
      <c r="AM393">
        <f>IFERROR(IF(AV393&lt;($AM$7-$AL$7)/($AN$7-$AL$7),$AL$7+SQRT(AV393*($AN$7-$AL$7)*($AM$7-$AL$7)),$AN$7-SQRT((1-AV393)*($AN$7-$AL$7)*($AN$7-$AM$7))),$AM$7)</f>
        <v/>
      </c>
      <c r="AN393">
        <f>IFERROR(IF(AW393&lt;($AM$8-$AL$8)/($AN$8-$AL$8),$AL$8+SQRT(AW393*($AN$8-$AL$8)*($AM$8-$AL$8)),$AN$8-SQRT((1-AW393)*($AN$8-$AL$8)*($AN$8-$AM$8))),$AM$8)</f>
        <v/>
      </c>
      <c r="AO393">
        <f>IFERROR(IF(AX393&lt;($AM$9-$AL$9)/($AN$9-$AL$9),$AL$9+SQRT(AX393*($AN$9-$AL$9)*($AM$9-$AL$9)),$AN$9-SQRT((1-AX393)*($AN$9-$AL$9)*($AN$9-$AM$9))),$AM$9)</f>
        <v/>
      </c>
      <c r="AP393">
        <f>IFERROR(IF(AY393&lt;($AM$10-$AL$10)/($AN$10-$AL$10),$AL$10+SQRT(AY393*($AN$10-$AL$10)*($AM$10-$AL$10)),$AN$10-SQRT((1-AY393)*($AN$10-$AL$10)*($AN$10-$AM$10))),$AM$10)</f>
        <v/>
      </c>
      <c r="AQ393">
        <f>IFERROR(IF(AZ393&lt;($AM$11-$AL$11)/($AN$11-$AL$11),$AL$11+SQRT(AZ393*($AN$11-$AL$11)*($AM$11-$AL$11)),$AN$11-SQRT((1-AZ393)*($AN$11-$AL$11)*($AN$11-$AM$11))),$AM$11)</f>
        <v/>
      </c>
      <c r="AR393">
        <f>SUMPRODUCT((B24:B31&lt;=$B$6)*(C24:C31*AM393+D24:D31*AO393*$B$8*AQ393)/(1+AL393/100)^B24:B31)+C32*AM393*AP393/(1+AL393/100)^$B$6</f>
        <v/>
      </c>
      <c r="AS393">
        <f>SUMPRODUCT((K24:K26&lt;=$B$6)*(L24:L26*AN393+M24:M26*AO393*$B$8*AQ393)/(1+AL393/100)^K24:K26)+L27*AN393*AP393/(1+AL393/100)^$B$6</f>
        <v/>
      </c>
      <c r="AT393">
        <f>AS393-AR393</f>
        <v/>
      </c>
      <c r="AU393">
        <f>RAND()</f>
        <v/>
      </c>
      <c r="AV393">
        <f>RAND()</f>
        <v/>
      </c>
      <c r="AW393">
        <f>RAND()</f>
        <v/>
      </c>
      <c r="AX393">
        <f>RAND()</f>
        <v/>
      </c>
      <c r="AY393">
        <f>RAND()</f>
        <v/>
      </c>
      <c r="AZ393">
        <f>RAND()</f>
        <v/>
      </c>
    </row>
    <row r="394">
      <c r="AK394" t="n">
        <v>381</v>
      </c>
      <c r="AL394">
        <f>IFERROR(IF(AU394&lt;($AM$6-$AL$6)/($AN$6-$AL$6),$AL$6+SQRT(AU394*($AN$6-$AL$6)*($AM$6-$AL$6)),$AN$6-SQRT((1-AU394)*($AN$6-$AL$6)*($AN$6-$AM$6))),$AM$6)</f>
        <v/>
      </c>
      <c r="AM394">
        <f>IFERROR(IF(AV394&lt;($AM$7-$AL$7)/($AN$7-$AL$7),$AL$7+SQRT(AV394*($AN$7-$AL$7)*($AM$7-$AL$7)),$AN$7-SQRT((1-AV394)*($AN$7-$AL$7)*($AN$7-$AM$7))),$AM$7)</f>
        <v/>
      </c>
      <c r="AN394">
        <f>IFERROR(IF(AW394&lt;($AM$8-$AL$8)/($AN$8-$AL$8),$AL$8+SQRT(AW394*($AN$8-$AL$8)*($AM$8-$AL$8)),$AN$8-SQRT((1-AW394)*($AN$8-$AL$8)*($AN$8-$AM$8))),$AM$8)</f>
        <v/>
      </c>
      <c r="AO394">
        <f>IFERROR(IF(AX394&lt;($AM$9-$AL$9)/($AN$9-$AL$9),$AL$9+SQRT(AX394*($AN$9-$AL$9)*($AM$9-$AL$9)),$AN$9-SQRT((1-AX394)*($AN$9-$AL$9)*($AN$9-$AM$9))),$AM$9)</f>
        <v/>
      </c>
      <c r="AP394">
        <f>IFERROR(IF(AY394&lt;($AM$10-$AL$10)/($AN$10-$AL$10),$AL$10+SQRT(AY394*($AN$10-$AL$10)*($AM$10-$AL$10)),$AN$10-SQRT((1-AY394)*($AN$10-$AL$10)*($AN$10-$AM$10))),$AM$10)</f>
        <v/>
      </c>
      <c r="AQ394">
        <f>IFERROR(IF(AZ394&lt;($AM$11-$AL$11)/($AN$11-$AL$11),$AL$11+SQRT(AZ394*($AN$11-$AL$11)*($AM$11-$AL$11)),$AN$11-SQRT((1-AZ394)*($AN$11-$AL$11)*($AN$11-$AM$11))),$AM$11)</f>
        <v/>
      </c>
      <c r="AR394">
        <f>SUMPRODUCT((B24:B31&lt;=$B$6)*(C24:C31*AM394+D24:D31*AO394*$B$8*AQ394)/(1+AL394/100)^B24:B31)+C32*AM394*AP394/(1+AL394/100)^$B$6</f>
        <v/>
      </c>
      <c r="AS394">
        <f>SUMPRODUCT((K24:K26&lt;=$B$6)*(L24:L26*AN394+M24:M26*AO394*$B$8*AQ394)/(1+AL394/100)^K24:K26)+L27*AN394*AP394/(1+AL394/100)^$B$6</f>
        <v/>
      </c>
      <c r="AT394">
        <f>AS394-AR394</f>
        <v/>
      </c>
      <c r="AU394">
        <f>RAND()</f>
        <v/>
      </c>
      <c r="AV394">
        <f>RAND()</f>
        <v/>
      </c>
      <c r="AW394">
        <f>RAND()</f>
        <v/>
      </c>
      <c r="AX394">
        <f>RAND()</f>
        <v/>
      </c>
      <c r="AY394">
        <f>RAND()</f>
        <v/>
      </c>
      <c r="AZ394">
        <f>RAND()</f>
        <v/>
      </c>
    </row>
    <row r="395">
      <c r="AK395" t="n">
        <v>382</v>
      </c>
      <c r="AL395">
        <f>IFERROR(IF(AU395&lt;($AM$6-$AL$6)/($AN$6-$AL$6),$AL$6+SQRT(AU395*($AN$6-$AL$6)*($AM$6-$AL$6)),$AN$6-SQRT((1-AU395)*($AN$6-$AL$6)*($AN$6-$AM$6))),$AM$6)</f>
        <v/>
      </c>
      <c r="AM395">
        <f>IFERROR(IF(AV395&lt;($AM$7-$AL$7)/($AN$7-$AL$7),$AL$7+SQRT(AV395*($AN$7-$AL$7)*($AM$7-$AL$7)),$AN$7-SQRT((1-AV395)*($AN$7-$AL$7)*($AN$7-$AM$7))),$AM$7)</f>
        <v/>
      </c>
      <c r="AN395">
        <f>IFERROR(IF(AW395&lt;($AM$8-$AL$8)/($AN$8-$AL$8),$AL$8+SQRT(AW395*($AN$8-$AL$8)*($AM$8-$AL$8)),$AN$8-SQRT((1-AW395)*($AN$8-$AL$8)*($AN$8-$AM$8))),$AM$8)</f>
        <v/>
      </c>
      <c r="AO395">
        <f>IFERROR(IF(AX395&lt;($AM$9-$AL$9)/($AN$9-$AL$9),$AL$9+SQRT(AX395*($AN$9-$AL$9)*($AM$9-$AL$9)),$AN$9-SQRT((1-AX395)*($AN$9-$AL$9)*($AN$9-$AM$9))),$AM$9)</f>
        <v/>
      </c>
      <c r="AP395">
        <f>IFERROR(IF(AY395&lt;($AM$10-$AL$10)/($AN$10-$AL$10),$AL$10+SQRT(AY395*($AN$10-$AL$10)*($AM$10-$AL$10)),$AN$10-SQRT((1-AY395)*($AN$10-$AL$10)*($AN$10-$AM$10))),$AM$10)</f>
        <v/>
      </c>
      <c r="AQ395">
        <f>IFERROR(IF(AZ395&lt;($AM$11-$AL$11)/($AN$11-$AL$11),$AL$11+SQRT(AZ395*($AN$11-$AL$11)*($AM$11-$AL$11)),$AN$11-SQRT((1-AZ395)*($AN$11-$AL$11)*($AN$11-$AM$11))),$AM$11)</f>
        <v/>
      </c>
      <c r="AR395">
        <f>SUMPRODUCT((B24:B31&lt;=$B$6)*(C24:C31*AM395+D24:D31*AO395*$B$8*AQ395)/(1+AL395/100)^B24:B31)+C32*AM395*AP395/(1+AL395/100)^$B$6</f>
        <v/>
      </c>
      <c r="AS395">
        <f>SUMPRODUCT((K24:K26&lt;=$B$6)*(L24:L26*AN395+M24:M26*AO395*$B$8*AQ395)/(1+AL395/100)^K24:K26)+L27*AN395*AP395/(1+AL395/100)^$B$6</f>
        <v/>
      </c>
      <c r="AT395">
        <f>AS395-AR395</f>
        <v/>
      </c>
      <c r="AU395">
        <f>RAND()</f>
        <v/>
      </c>
      <c r="AV395">
        <f>RAND()</f>
        <v/>
      </c>
      <c r="AW395">
        <f>RAND()</f>
        <v/>
      </c>
      <c r="AX395">
        <f>RAND()</f>
        <v/>
      </c>
      <c r="AY395">
        <f>RAND()</f>
        <v/>
      </c>
      <c r="AZ395">
        <f>RAND()</f>
        <v/>
      </c>
    </row>
    <row r="396">
      <c r="AK396" t="n">
        <v>383</v>
      </c>
      <c r="AL396">
        <f>IFERROR(IF(AU396&lt;($AM$6-$AL$6)/($AN$6-$AL$6),$AL$6+SQRT(AU396*($AN$6-$AL$6)*($AM$6-$AL$6)),$AN$6-SQRT((1-AU396)*($AN$6-$AL$6)*($AN$6-$AM$6))),$AM$6)</f>
        <v/>
      </c>
      <c r="AM396">
        <f>IFERROR(IF(AV396&lt;($AM$7-$AL$7)/($AN$7-$AL$7),$AL$7+SQRT(AV396*($AN$7-$AL$7)*($AM$7-$AL$7)),$AN$7-SQRT((1-AV396)*($AN$7-$AL$7)*($AN$7-$AM$7))),$AM$7)</f>
        <v/>
      </c>
      <c r="AN396">
        <f>IFERROR(IF(AW396&lt;($AM$8-$AL$8)/($AN$8-$AL$8),$AL$8+SQRT(AW396*($AN$8-$AL$8)*($AM$8-$AL$8)),$AN$8-SQRT((1-AW396)*($AN$8-$AL$8)*($AN$8-$AM$8))),$AM$8)</f>
        <v/>
      </c>
      <c r="AO396">
        <f>IFERROR(IF(AX396&lt;($AM$9-$AL$9)/($AN$9-$AL$9),$AL$9+SQRT(AX396*($AN$9-$AL$9)*($AM$9-$AL$9)),$AN$9-SQRT((1-AX396)*($AN$9-$AL$9)*($AN$9-$AM$9))),$AM$9)</f>
        <v/>
      </c>
      <c r="AP396">
        <f>IFERROR(IF(AY396&lt;($AM$10-$AL$10)/($AN$10-$AL$10),$AL$10+SQRT(AY396*($AN$10-$AL$10)*($AM$10-$AL$10)),$AN$10-SQRT((1-AY396)*($AN$10-$AL$10)*($AN$10-$AM$10))),$AM$10)</f>
        <v/>
      </c>
      <c r="AQ396">
        <f>IFERROR(IF(AZ396&lt;($AM$11-$AL$11)/($AN$11-$AL$11),$AL$11+SQRT(AZ396*($AN$11-$AL$11)*($AM$11-$AL$11)),$AN$11-SQRT((1-AZ396)*($AN$11-$AL$11)*($AN$11-$AM$11))),$AM$11)</f>
        <v/>
      </c>
      <c r="AR396">
        <f>SUMPRODUCT((B24:B31&lt;=$B$6)*(C24:C31*AM396+D24:D31*AO396*$B$8*AQ396)/(1+AL396/100)^B24:B31)+C32*AM396*AP396/(1+AL396/100)^$B$6</f>
        <v/>
      </c>
      <c r="AS396">
        <f>SUMPRODUCT((K24:K26&lt;=$B$6)*(L24:L26*AN396+M24:M26*AO396*$B$8*AQ396)/(1+AL396/100)^K24:K26)+L27*AN396*AP396/(1+AL396/100)^$B$6</f>
        <v/>
      </c>
      <c r="AT396">
        <f>AS396-AR396</f>
        <v/>
      </c>
      <c r="AU396">
        <f>RAND()</f>
        <v/>
      </c>
      <c r="AV396">
        <f>RAND()</f>
        <v/>
      </c>
      <c r="AW396">
        <f>RAND()</f>
        <v/>
      </c>
      <c r="AX396">
        <f>RAND()</f>
        <v/>
      </c>
      <c r="AY396">
        <f>RAND()</f>
        <v/>
      </c>
      <c r="AZ396">
        <f>RAND()</f>
        <v/>
      </c>
    </row>
    <row r="397">
      <c r="AK397" t="n">
        <v>384</v>
      </c>
      <c r="AL397">
        <f>IFERROR(IF(AU397&lt;($AM$6-$AL$6)/($AN$6-$AL$6),$AL$6+SQRT(AU397*($AN$6-$AL$6)*($AM$6-$AL$6)),$AN$6-SQRT((1-AU397)*($AN$6-$AL$6)*($AN$6-$AM$6))),$AM$6)</f>
        <v/>
      </c>
      <c r="AM397">
        <f>IFERROR(IF(AV397&lt;($AM$7-$AL$7)/($AN$7-$AL$7),$AL$7+SQRT(AV397*($AN$7-$AL$7)*($AM$7-$AL$7)),$AN$7-SQRT((1-AV397)*($AN$7-$AL$7)*($AN$7-$AM$7))),$AM$7)</f>
        <v/>
      </c>
      <c r="AN397">
        <f>IFERROR(IF(AW397&lt;($AM$8-$AL$8)/($AN$8-$AL$8),$AL$8+SQRT(AW397*($AN$8-$AL$8)*($AM$8-$AL$8)),$AN$8-SQRT((1-AW397)*($AN$8-$AL$8)*($AN$8-$AM$8))),$AM$8)</f>
        <v/>
      </c>
      <c r="AO397">
        <f>IFERROR(IF(AX397&lt;($AM$9-$AL$9)/($AN$9-$AL$9),$AL$9+SQRT(AX397*($AN$9-$AL$9)*($AM$9-$AL$9)),$AN$9-SQRT((1-AX397)*($AN$9-$AL$9)*($AN$9-$AM$9))),$AM$9)</f>
        <v/>
      </c>
      <c r="AP397">
        <f>IFERROR(IF(AY397&lt;($AM$10-$AL$10)/($AN$10-$AL$10),$AL$10+SQRT(AY397*($AN$10-$AL$10)*($AM$10-$AL$10)),$AN$10-SQRT((1-AY397)*($AN$10-$AL$10)*($AN$10-$AM$10))),$AM$10)</f>
        <v/>
      </c>
      <c r="AQ397">
        <f>IFERROR(IF(AZ397&lt;($AM$11-$AL$11)/($AN$11-$AL$11),$AL$11+SQRT(AZ397*($AN$11-$AL$11)*($AM$11-$AL$11)),$AN$11-SQRT((1-AZ397)*($AN$11-$AL$11)*($AN$11-$AM$11))),$AM$11)</f>
        <v/>
      </c>
      <c r="AR397">
        <f>SUMPRODUCT((B24:B31&lt;=$B$6)*(C24:C31*AM397+D24:D31*AO397*$B$8*AQ397)/(1+AL397/100)^B24:B31)+C32*AM397*AP397/(1+AL397/100)^$B$6</f>
        <v/>
      </c>
      <c r="AS397">
        <f>SUMPRODUCT((K24:K26&lt;=$B$6)*(L24:L26*AN397+M24:M26*AO397*$B$8*AQ397)/(1+AL397/100)^K24:K26)+L27*AN397*AP397/(1+AL397/100)^$B$6</f>
        <v/>
      </c>
      <c r="AT397">
        <f>AS397-AR397</f>
        <v/>
      </c>
      <c r="AU397">
        <f>RAND()</f>
        <v/>
      </c>
      <c r="AV397">
        <f>RAND()</f>
        <v/>
      </c>
      <c r="AW397">
        <f>RAND()</f>
        <v/>
      </c>
      <c r="AX397">
        <f>RAND()</f>
        <v/>
      </c>
      <c r="AY397">
        <f>RAND()</f>
        <v/>
      </c>
      <c r="AZ397">
        <f>RAND()</f>
        <v/>
      </c>
    </row>
    <row r="398">
      <c r="AK398" t="n">
        <v>385</v>
      </c>
      <c r="AL398">
        <f>IFERROR(IF(AU398&lt;($AM$6-$AL$6)/($AN$6-$AL$6),$AL$6+SQRT(AU398*($AN$6-$AL$6)*($AM$6-$AL$6)),$AN$6-SQRT((1-AU398)*($AN$6-$AL$6)*($AN$6-$AM$6))),$AM$6)</f>
        <v/>
      </c>
      <c r="AM398">
        <f>IFERROR(IF(AV398&lt;($AM$7-$AL$7)/($AN$7-$AL$7),$AL$7+SQRT(AV398*($AN$7-$AL$7)*($AM$7-$AL$7)),$AN$7-SQRT((1-AV398)*($AN$7-$AL$7)*($AN$7-$AM$7))),$AM$7)</f>
        <v/>
      </c>
      <c r="AN398">
        <f>IFERROR(IF(AW398&lt;($AM$8-$AL$8)/($AN$8-$AL$8),$AL$8+SQRT(AW398*($AN$8-$AL$8)*($AM$8-$AL$8)),$AN$8-SQRT((1-AW398)*($AN$8-$AL$8)*($AN$8-$AM$8))),$AM$8)</f>
        <v/>
      </c>
      <c r="AO398">
        <f>IFERROR(IF(AX398&lt;($AM$9-$AL$9)/($AN$9-$AL$9),$AL$9+SQRT(AX398*($AN$9-$AL$9)*($AM$9-$AL$9)),$AN$9-SQRT((1-AX398)*($AN$9-$AL$9)*($AN$9-$AM$9))),$AM$9)</f>
        <v/>
      </c>
      <c r="AP398">
        <f>IFERROR(IF(AY398&lt;($AM$10-$AL$10)/($AN$10-$AL$10),$AL$10+SQRT(AY398*($AN$10-$AL$10)*($AM$10-$AL$10)),$AN$10-SQRT((1-AY398)*($AN$10-$AL$10)*($AN$10-$AM$10))),$AM$10)</f>
        <v/>
      </c>
      <c r="AQ398">
        <f>IFERROR(IF(AZ398&lt;($AM$11-$AL$11)/($AN$11-$AL$11),$AL$11+SQRT(AZ398*($AN$11-$AL$11)*($AM$11-$AL$11)),$AN$11-SQRT((1-AZ398)*($AN$11-$AL$11)*($AN$11-$AM$11))),$AM$11)</f>
        <v/>
      </c>
      <c r="AR398">
        <f>SUMPRODUCT((B24:B31&lt;=$B$6)*(C24:C31*AM398+D24:D31*AO398*$B$8*AQ398)/(1+AL398/100)^B24:B31)+C32*AM398*AP398/(1+AL398/100)^$B$6</f>
        <v/>
      </c>
      <c r="AS398">
        <f>SUMPRODUCT((K24:K26&lt;=$B$6)*(L24:L26*AN398+M24:M26*AO398*$B$8*AQ398)/(1+AL398/100)^K24:K26)+L27*AN398*AP398/(1+AL398/100)^$B$6</f>
        <v/>
      </c>
      <c r="AT398">
        <f>AS398-AR398</f>
        <v/>
      </c>
      <c r="AU398">
        <f>RAND()</f>
        <v/>
      </c>
      <c r="AV398">
        <f>RAND()</f>
        <v/>
      </c>
      <c r="AW398">
        <f>RAND()</f>
        <v/>
      </c>
      <c r="AX398">
        <f>RAND()</f>
        <v/>
      </c>
      <c r="AY398">
        <f>RAND()</f>
        <v/>
      </c>
      <c r="AZ398">
        <f>RAND()</f>
        <v/>
      </c>
    </row>
    <row r="399">
      <c r="AK399" t="n">
        <v>386</v>
      </c>
      <c r="AL399">
        <f>IFERROR(IF(AU399&lt;($AM$6-$AL$6)/($AN$6-$AL$6),$AL$6+SQRT(AU399*($AN$6-$AL$6)*($AM$6-$AL$6)),$AN$6-SQRT((1-AU399)*($AN$6-$AL$6)*($AN$6-$AM$6))),$AM$6)</f>
        <v/>
      </c>
      <c r="AM399">
        <f>IFERROR(IF(AV399&lt;($AM$7-$AL$7)/($AN$7-$AL$7),$AL$7+SQRT(AV399*($AN$7-$AL$7)*($AM$7-$AL$7)),$AN$7-SQRT((1-AV399)*($AN$7-$AL$7)*($AN$7-$AM$7))),$AM$7)</f>
        <v/>
      </c>
      <c r="AN399">
        <f>IFERROR(IF(AW399&lt;($AM$8-$AL$8)/($AN$8-$AL$8),$AL$8+SQRT(AW399*($AN$8-$AL$8)*($AM$8-$AL$8)),$AN$8-SQRT((1-AW399)*($AN$8-$AL$8)*($AN$8-$AM$8))),$AM$8)</f>
        <v/>
      </c>
      <c r="AO399">
        <f>IFERROR(IF(AX399&lt;($AM$9-$AL$9)/($AN$9-$AL$9),$AL$9+SQRT(AX399*($AN$9-$AL$9)*($AM$9-$AL$9)),$AN$9-SQRT((1-AX399)*($AN$9-$AL$9)*($AN$9-$AM$9))),$AM$9)</f>
        <v/>
      </c>
      <c r="AP399">
        <f>IFERROR(IF(AY399&lt;($AM$10-$AL$10)/($AN$10-$AL$10),$AL$10+SQRT(AY399*($AN$10-$AL$10)*($AM$10-$AL$10)),$AN$10-SQRT((1-AY399)*($AN$10-$AL$10)*($AN$10-$AM$10))),$AM$10)</f>
        <v/>
      </c>
      <c r="AQ399">
        <f>IFERROR(IF(AZ399&lt;($AM$11-$AL$11)/($AN$11-$AL$11),$AL$11+SQRT(AZ399*($AN$11-$AL$11)*($AM$11-$AL$11)),$AN$11-SQRT((1-AZ399)*($AN$11-$AL$11)*($AN$11-$AM$11))),$AM$11)</f>
        <v/>
      </c>
      <c r="AR399">
        <f>SUMPRODUCT((B24:B31&lt;=$B$6)*(C24:C31*AM399+D24:D31*AO399*$B$8*AQ399)/(1+AL399/100)^B24:B31)+C32*AM399*AP399/(1+AL399/100)^$B$6</f>
        <v/>
      </c>
      <c r="AS399">
        <f>SUMPRODUCT((K24:K26&lt;=$B$6)*(L24:L26*AN399+M24:M26*AO399*$B$8*AQ399)/(1+AL399/100)^K24:K26)+L27*AN399*AP399/(1+AL399/100)^$B$6</f>
        <v/>
      </c>
      <c r="AT399">
        <f>AS399-AR399</f>
        <v/>
      </c>
      <c r="AU399">
        <f>RAND()</f>
        <v/>
      </c>
      <c r="AV399">
        <f>RAND()</f>
        <v/>
      </c>
      <c r="AW399">
        <f>RAND()</f>
        <v/>
      </c>
      <c r="AX399">
        <f>RAND()</f>
        <v/>
      </c>
      <c r="AY399">
        <f>RAND()</f>
        <v/>
      </c>
      <c r="AZ399">
        <f>RAND()</f>
        <v/>
      </c>
    </row>
    <row r="400">
      <c r="AK400" t="n">
        <v>387</v>
      </c>
      <c r="AL400">
        <f>IFERROR(IF(AU400&lt;($AM$6-$AL$6)/($AN$6-$AL$6),$AL$6+SQRT(AU400*($AN$6-$AL$6)*($AM$6-$AL$6)),$AN$6-SQRT((1-AU400)*($AN$6-$AL$6)*($AN$6-$AM$6))),$AM$6)</f>
        <v/>
      </c>
      <c r="AM400">
        <f>IFERROR(IF(AV400&lt;($AM$7-$AL$7)/($AN$7-$AL$7),$AL$7+SQRT(AV400*($AN$7-$AL$7)*($AM$7-$AL$7)),$AN$7-SQRT((1-AV400)*($AN$7-$AL$7)*($AN$7-$AM$7))),$AM$7)</f>
        <v/>
      </c>
      <c r="AN400">
        <f>IFERROR(IF(AW400&lt;($AM$8-$AL$8)/($AN$8-$AL$8),$AL$8+SQRT(AW400*($AN$8-$AL$8)*($AM$8-$AL$8)),$AN$8-SQRT((1-AW400)*($AN$8-$AL$8)*($AN$8-$AM$8))),$AM$8)</f>
        <v/>
      </c>
      <c r="AO400">
        <f>IFERROR(IF(AX400&lt;($AM$9-$AL$9)/($AN$9-$AL$9),$AL$9+SQRT(AX400*($AN$9-$AL$9)*($AM$9-$AL$9)),$AN$9-SQRT((1-AX400)*($AN$9-$AL$9)*($AN$9-$AM$9))),$AM$9)</f>
        <v/>
      </c>
      <c r="AP400">
        <f>IFERROR(IF(AY400&lt;($AM$10-$AL$10)/($AN$10-$AL$10),$AL$10+SQRT(AY400*($AN$10-$AL$10)*($AM$10-$AL$10)),$AN$10-SQRT((1-AY400)*($AN$10-$AL$10)*($AN$10-$AM$10))),$AM$10)</f>
        <v/>
      </c>
      <c r="AQ400">
        <f>IFERROR(IF(AZ400&lt;($AM$11-$AL$11)/($AN$11-$AL$11),$AL$11+SQRT(AZ400*($AN$11-$AL$11)*($AM$11-$AL$11)),$AN$11-SQRT((1-AZ400)*($AN$11-$AL$11)*($AN$11-$AM$11))),$AM$11)</f>
        <v/>
      </c>
      <c r="AR400">
        <f>SUMPRODUCT((B24:B31&lt;=$B$6)*(C24:C31*AM400+D24:D31*AO400*$B$8*AQ400)/(1+AL400/100)^B24:B31)+C32*AM400*AP400/(1+AL400/100)^$B$6</f>
        <v/>
      </c>
      <c r="AS400">
        <f>SUMPRODUCT((K24:K26&lt;=$B$6)*(L24:L26*AN400+M24:M26*AO400*$B$8*AQ400)/(1+AL400/100)^K24:K26)+L27*AN400*AP400/(1+AL400/100)^$B$6</f>
        <v/>
      </c>
      <c r="AT400">
        <f>AS400-AR400</f>
        <v/>
      </c>
      <c r="AU400">
        <f>RAND()</f>
        <v/>
      </c>
      <c r="AV400">
        <f>RAND()</f>
        <v/>
      </c>
      <c r="AW400">
        <f>RAND()</f>
        <v/>
      </c>
      <c r="AX400">
        <f>RAND()</f>
        <v/>
      </c>
      <c r="AY400">
        <f>RAND()</f>
        <v/>
      </c>
      <c r="AZ400">
        <f>RAND()</f>
        <v/>
      </c>
    </row>
    <row r="401">
      <c r="AK401" t="n">
        <v>388</v>
      </c>
      <c r="AL401">
        <f>IFERROR(IF(AU401&lt;($AM$6-$AL$6)/($AN$6-$AL$6),$AL$6+SQRT(AU401*($AN$6-$AL$6)*($AM$6-$AL$6)),$AN$6-SQRT((1-AU401)*($AN$6-$AL$6)*($AN$6-$AM$6))),$AM$6)</f>
        <v/>
      </c>
      <c r="AM401">
        <f>IFERROR(IF(AV401&lt;($AM$7-$AL$7)/($AN$7-$AL$7),$AL$7+SQRT(AV401*($AN$7-$AL$7)*($AM$7-$AL$7)),$AN$7-SQRT((1-AV401)*($AN$7-$AL$7)*($AN$7-$AM$7))),$AM$7)</f>
        <v/>
      </c>
      <c r="AN401">
        <f>IFERROR(IF(AW401&lt;($AM$8-$AL$8)/($AN$8-$AL$8),$AL$8+SQRT(AW401*($AN$8-$AL$8)*($AM$8-$AL$8)),$AN$8-SQRT((1-AW401)*($AN$8-$AL$8)*($AN$8-$AM$8))),$AM$8)</f>
        <v/>
      </c>
      <c r="AO401">
        <f>IFERROR(IF(AX401&lt;($AM$9-$AL$9)/($AN$9-$AL$9),$AL$9+SQRT(AX401*($AN$9-$AL$9)*($AM$9-$AL$9)),$AN$9-SQRT((1-AX401)*($AN$9-$AL$9)*($AN$9-$AM$9))),$AM$9)</f>
        <v/>
      </c>
      <c r="AP401">
        <f>IFERROR(IF(AY401&lt;($AM$10-$AL$10)/($AN$10-$AL$10),$AL$10+SQRT(AY401*($AN$10-$AL$10)*($AM$10-$AL$10)),$AN$10-SQRT((1-AY401)*($AN$10-$AL$10)*($AN$10-$AM$10))),$AM$10)</f>
        <v/>
      </c>
      <c r="AQ401">
        <f>IFERROR(IF(AZ401&lt;($AM$11-$AL$11)/($AN$11-$AL$11),$AL$11+SQRT(AZ401*($AN$11-$AL$11)*($AM$11-$AL$11)),$AN$11-SQRT((1-AZ401)*($AN$11-$AL$11)*($AN$11-$AM$11))),$AM$11)</f>
        <v/>
      </c>
      <c r="AR401">
        <f>SUMPRODUCT((B24:B31&lt;=$B$6)*(C24:C31*AM401+D24:D31*AO401*$B$8*AQ401)/(1+AL401/100)^B24:B31)+C32*AM401*AP401/(1+AL401/100)^$B$6</f>
        <v/>
      </c>
      <c r="AS401">
        <f>SUMPRODUCT((K24:K26&lt;=$B$6)*(L24:L26*AN401+M24:M26*AO401*$B$8*AQ401)/(1+AL401/100)^K24:K26)+L27*AN401*AP401/(1+AL401/100)^$B$6</f>
        <v/>
      </c>
      <c r="AT401">
        <f>AS401-AR401</f>
        <v/>
      </c>
      <c r="AU401">
        <f>RAND()</f>
        <v/>
      </c>
      <c r="AV401">
        <f>RAND()</f>
        <v/>
      </c>
      <c r="AW401">
        <f>RAND()</f>
        <v/>
      </c>
      <c r="AX401">
        <f>RAND()</f>
        <v/>
      </c>
      <c r="AY401">
        <f>RAND()</f>
        <v/>
      </c>
      <c r="AZ401">
        <f>RAND()</f>
        <v/>
      </c>
    </row>
    <row r="402">
      <c r="AK402" t="n">
        <v>389</v>
      </c>
      <c r="AL402">
        <f>IFERROR(IF(AU402&lt;($AM$6-$AL$6)/($AN$6-$AL$6),$AL$6+SQRT(AU402*($AN$6-$AL$6)*($AM$6-$AL$6)),$AN$6-SQRT((1-AU402)*($AN$6-$AL$6)*($AN$6-$AM$6))),$AM$6)</f>
        <v/>
      </c>
      <c r="AM402">
        <f>IFERROR(IF(AV402&lt;($AM$7-$AL$7)/($AN$7-$AL$7),$AL$7+SQRT(AV402*($AN$7-$AL$7)*($AM$7-$AL$7)),$AN$7-SQRT((1-AV402)*($AN$7-$AL$7)*($AN$7-$AM$7))),$AM$7)</f>
        <v/>
      </c>
      <c r="AN402">
        <f>IFERROR(IF(AW402&lt;($AM$8-$AL$8)/($AN$8-$AL$8),$AL$8+SQRT(AW402*($AN$8-$AL$8)*($AM$8-$AL$8)),$AN$8-SQRT((1-AW402)*($AN$8-$AL$8)*($AN$8-$AM$8))),$AM$8)</f>
        <v/>
      </c>
      <c r="AO402">
        <f>IFERROR(IF(AX402&lt;($AM$9-$AL$9)/($AN$9-$AL$9),$AL$9+SQRT(AX402*($AN$9-$AL$9)*($AM$9-$AL$9)),$AN$9-SQRT((1-AX402)*($AN$9-$AL$9)*($AN$9-$AM$9))),$AM$9)</f>
        <v/>
      </c>
      <c r="AP402">
        <f>IFERROR(IF(AY402&lt;($AM$10-$AL$10)/($AN$10-$AL$10),$AL$10+SQRT(AY402*($AN$10-$AL$10)*($AM$10-$AL$10)),$AN$10-SQRT((1-AY402)*($AN$10-$AL$10)*($AN$10-$AM$10))),$AM$10)</f>
        <v/>
      </c>
      <c r="AQ402">
        <f>IFERROR(IF(AZ402&lt;($AM$11-$AL$11)/($AN$11-$AL$11),$AL$11+SQRT(AZ402*($AN$11-$AL$11)*($AM$11-$AL$11)),$AN$11-SQRT((1-AZ402)*($AN$11-$AL$11)*($AN$11-$AM$11))),$AM$11)</f>
        <v/>
      </c>
      <c r="AR402">
        <f>SUMPRODUCT((B24:B31&lt;=$B$6)*(C24:C31*AM402+D24:D31*AO402*$B$8*AQ402)/(1+AL402/100)^B24:B31)+C32*AM402*AP402/(1+AL402/100)^$B$6</f>
        <v/>
      </c>
      <c r="AS402">
        <f>SUMPRODUCT((K24:K26&lt;=$B$6)*(L24:L26*AN402+M24:M26*AO402*$B$8*AQ402)/(1+AL402/100)^K24:K26)+L27*AN402*AP402/(1+AL402/100)^$B$6</f>
        <v/>
      </c>
      <c r="AT402">
        <f>AS402-AR402</f>
        <v/>
      </c>
      <c r="AU402">
        <f>RAND()</f>
        <v/>
      </c>
      <c r="AV402">
        <f>RAND()</f>
        <v/>
      </c>
      <c r="AW402">
        <f>RAND()</f>
        <v/>
      </c>
      <c r="AX402">
        <f>RAND()</f>
        <v/>
      </c>
      <c r="AY402">
        <f>RAND()</f>
        <v/>
      </c>
      <c r="AZ402">
        <f>RAND()</f>
        <v/>
      </c>
    </row>
    <row r="403">
      <c r="AK403" t="n">
        <v>390</v>
      </c>
      <c r="AL403">
        <f>IFERROR(IF(AU403&lt;($AM$6-$AL$6)/($AN$6-$AL$6),$AL$6+SQRT(AU403*($AN$6-$AL$6)*($AM$6-$AL$6)),$AN$6-SQRT((1-AU403)*($AN$6-$AL$6)*($AN$6-$AM$6))),$AM$6)</f>
        <v/>
      </c>
      <c r="AM403">
        <f>IFERROR(IF(AV403&lt;($AM$7-$AL$7)/($AN$7-$AL$7),$AL$7+SQRT(AV403*($AN$7-$AL$7)*($AM$7-$AL$7)),$AN$7-SQRT((1-AV403)*($AN$7-$AL$7)*($AN$7-$AM$7))),$AM$7)</f>
        <v/>
      </c>
      <c r="AN403">
        <f>IFERROR(IF(AW403&lt;($AM$8-$AL$8)/($AN$8-$AL$8),$AL$8+SQRT(AW403*($AN$8-$AL$8)*($AM$8-$AL$8)),$AN$8-SQRT((1-AW403)*($AN$8-$AL$8)*($AN$8-$AM$8))),$AM$8)</f>
        <v/>
      </c>
      <c r="AO403">
        <f>IFERROR(IF(AX403&lt;($AM$9-$AL$9)/($AN$9-$AL$9),$AL$9+SQRT(AX403*($AN$9-$AL$9)*($AM$9-$AL$9)),$AN$9-SQRT((1-AX403)*($AN$9-$AL$9)*($AN$9-$AM$9))),$AM$9)</f>
        <v/>
      </c>
      <c r="AP403">
        <f>IFERROR(IF(AY403&lt;($AM$10-$AL$10)/($AN$10-$AL$10),$AL$10+SQRT(AY403*($AN$10-$AL$10)*($AM$10-$AL$10)),$AN$10-SQRT((1-AY403)*($AN$10-$AL$10)*($AN$10-$AM$10))),$AM$10)</f>
        <v/>
      </c>
      <c r="AQ403">
        <f>IFERROR(IF(AZ403&lt;($AM$11-$AL$11)/($AN$11-$AL$11),$AL$11+SQRT(AZ403*($AN$11-$AL$11)*($AM$11-$AL$11)),$AN$11-SQRT((1-AZ403)*($AN$11-$AL$11)*($AN$11-$AM$11))),$AM$11)</f>
        <v/>
      </c>
      <c r="AR403">
        <f>SUMPRODUCT((B24:B31&lt;=$B$6)*(C24:C31*AM403+D24:D31*AO403*$B$8*AQ403)/(1+AL403/100)^B24:B31)+C32*AM403*AP403/(1+AL403/100)^$B$6</f>
        <v/>
      </c>
      <c r="AS403">
        <f>SUMPRODUCT((K24:K26&lt;=$B$6)*(L24:L26*AN403+M24:M26*AO403*$B$8*AQ403)/(1+AL403/100)^K24:K26)+L27*AN403*AP403/(1+AL403/100)^$B$6</f>
        <v/>
      </c>
      <c r="AT403">
        <f>AS403-AR403</f>
        <v/>
      </c>
      <c r="AU403">
        <f>RAND()</f>
        <v/>
      </c>
      <c r="AV403">
        <f>RAND()</f>
        <v/>
      </c>
      <c r="AW403">
        <f>RAND()</f>
        <v/>
      </c>
      <c r="AX403">
        <f>RAND()</f>
        <v/>
      </c>
      <c r="AY403">
        <f>RAND()</f>
        <v/>
      </c>
      <c r="AZ403">
        <f>RAND()</f>
        <v/>
      </c>
    </row>
    <row r="404">
      <c r="AK404" t="n">
        <v>391</v>
      </c>
      <c r="AL404">
        <f>IFERROR(IF(AU404&lt;($AM$6-$AL$6)/($AN$6-$AL$6),$AL$6+SQRT(AU404*($AN$6-$AL$6)*($AM$6-$AL$6)),$AN$6-SQRT((1-AU404)*($AN$6-$AL$6)*($AN$6-$AM$6))),$AM$6)</f>
        <v/>
      </c>
      <c r="AM404">
        <f>IFERROR(IF(AV404&lt;($AM$7-$AL$7)/($AN$7-$AL$7),$AL$7+SQRT(AV404*($AN$7-$AL$7)*($AM$7-$AL$7)),$AN$7-SQRT((1-AV404)*($AN$7-$AL$7)*($AN$7-$AM$7))),$AM$7)</f>
        <v/>
      </c>
      <c r="AN404">
        <f>IFERROR(IF(AW404&lt;($AM$8-$AL$8)/($AN$8-$AL$8),$AL$8+SQRT(AW404*($AN$8-$AL$8)*($AM$8-$AL$8)),$AN$8-SQRT((1-AW404)*($AN$8-$AL$8)*($AN$8-$AM$8))),$AM$8)</f>
        <v/>
      </c>
      <c r="AO404">
        <f>IFERROR(IF(AX404&lt;($AM$9-$AL$9)/($AN$9-$AL$9),$AL$9+SQRT(AX404*($AN$9-$AL$9)*($AM$9-$AL$9)),$AN$9-SQRT((1-AX404)*($AN$9-$AL$9)*($AN$9-$AM$9))),$AM$9)</f>
        <v/>
      </c>
      <c r="AP404">
        <f>IFERROR(IF(AY404&lt;($AM$10-$AL$10)/($AN$10-$AL$10),$AL$10+SQRT(AY404*($AN$10-$AL$10)*($AM$10-$AL$10)),$AN$10-SQRT((1-AY404)*($AN$10-$AL$10)*($AN$10-$AM$10))),$AM$10)</f>
        <v/>
      </c>
      <c r="AQ404">
        <f>IFERROR(IF(AZ404&lt;($AM$11-$AL$11)/($AN$11-$AL$11),$AL$11+SQRT(AZ404*($AN$11-$AL$11)*($AM$11-$AL$11)),$AN$11-SQRT((1-AZ404)*($AN$11-$AL$11)*($AN$11-$AM$11))),$AM$11)</f>
        <v/>
      </c>
      <c r="AR404">
        <f>SUMPRODUCT((B24:B31&lt;=$B$6)*(C24:C31*AM404+D24:D31*AO404*$B$8*AQ404)/(1+AL404/100)^B24:B31)+C32*AM404*AP404/(1+AL404/100)^$B$6</f>
        <v/>
      </c>
      <c r="AS404">
        <f>SUMPRODUCT((K24:K26&lt;=$B$6)*(L24:L26*AN404+M24:M26*AO404*$B$8*AQ404)/(1+AL404/100)^K24:K26)+L27*AN404*AP404/(1+AL404/100)^$B$6</f>
        <v/>
      </c>
      <c r="AT404">
        <f>AS404-AR404</f>
        <v/>
      </c>
      <c r="AU404">
        <f>RAND()</f>
        <v/>
      </c>
      <c r="AV404">
        <f>RAND()</f>
        <v/>
      </c>
      <c r="AW404">
        <f>RAND()</f>
        <v/>
      </c>
      <c r="AX404">
        <f>RAND()</f>
        <v/>
      </c>
      <c r="AY404">
        <f>RAND()</f>
        <v/>
      </c>
      <c r="AZ404">
        <f>RAND()</f>
        <v/>
      </c>
    </row>
    <row r="405">
      <c r="AK405" t="n">
        <v>392</v>
      </c>
      <c r="AL405">
        <f>IFERROR(IF(AU405&lt;($AM$6-$AL$6)/($AN$6-$AL$6),$AL$6+SQRT(AU405*($AN$6-$AL$6)*($AM$6-$AL$6)),$AN$6-SQRT((1-AU405)*($AN$6-$AL$6)*($AN$6-$AM$6))),$AM$6)</f>
        <v/>
      </c>
      <c r="AM405">
        <f>IFERROR(IF(AV405&lt;($AM$7-$AL$7)/($AN$7-$AL$7),$AL$7+SQRT(AV405*($AN$7-$AL$7)*($AM$7-$AL$7)),$AN$7-SQRT((1-AV405)*($AN$7-$AL$7)*($AN$7-$AM$7))),$AM$7)</f>
        <v/>
      </c>
      <c r="AN405">
        <f>IFERROR(IF(AW405&lt;($AM$8-$AL$8)/($AN$8-$AL$8),$AL$8+SQRT(AW405*($AN$8-$AL$8)*($AM$8-$AL$8)),$AN$8-SQRT((1-AW405)*($AN$8-$AL$8)*($AN$8-$AM$8))),$AM$8)</f>
        <v/>
      </c>
      <c r="AO405">
        <f>IFERROR(IF(AX405&lt;($AM$9-$AL$9)/($AN$9-$AL$9),$AL$9+SQRT(AX405*($AN$9-$AL$9)*($AM$9-$AL$9)),$AN$9-SQRT((1-AX405)*($AN$9-$AL$9)*($AN$9-$AM$9))),$AM$9)</f>
        <v/>
      </c>
      <c r="AP405">
        <f>IFERROR(IF(AY405&lt;($AM$10-$AL$10)/($AN$10-$AL$10),$AL$10+SQRT(AY405*($AN$10-$AL$10)*($AM$10-$AL$10)),$AN$10-SQRT((1-AY405)*($AN$10-$AL$10)*($AN$10-$AM$10))),$AM$10)</f>
        <v/>
      </c>
      <c r="AQ405">
        <f>IFERROR(IF(AZ405&lt;($AM$11-$AL$11)/($AN$11-$AL$11),$AL$11+SQRT(AZ405*($AN$11-$AL$11)*($AM$11-$AL$11)),$AN$11-SQRT((1-AZ405)*($AN$11-$AL$11)*($AN$11-$AM$11))),$AM$11)</f>
        <v/>
      </c>
      <c r="AR405">
        <f>SUMPRODUCT((B24:B31&lt;=$B$6)*(C24:C31*AM405+D24:D31*AO405*$B$8*AQ405)/(1+AL405/100)^B24:B31)+C32*AM405*AP405/(1+AL405/100)^$B$6</f>
        <v/>
      </c>
      <c r="AS405">
        <f>SUMPRODUCT((K24:K26&lt;=$B$6)*(L24:L26*AN405+M24:M26*AO405*$B$8*AQ405)/(1+AL405/100)^K24:K26)+L27*AN405*AP405/(1+AL405/100)^$B$6</f>
        <v/>
      </c>
      <c r="AT405">
        <f>AS405-AR405</f>
        <v/>
      </c>
      <c r="AU405">
        <f>RAND()</f>
        <v/>
      </c>
      <c r="AV405">
        <f>RAND()</f>
        <v/>
      </c>
      <c r="AW405">
        <f>RAND()</f>
        <v/>
      </c>
      <c r="AX405">
        <f>RAND()</f>
        <v/>
      </c>
      <c r="AY405">
        <f>RAND()</f>
        <v/>
      </c>
      <c r="AZ405">
        <f>RAND()</f>
        <v/>
      </c>
    </row>
    <row r="406">
      <c r="AK406" t="n">
        <v>393</v>
      </c>
      <c r="AL406">
        <f>IFERROR(IF(AU406&lt;($AM$6-$AL$6)/($AN$6-$AL$6),$AL$6+SQRT(AU406*($AN$6-$AL$6)*($AM$6-$AL$6)),$AN$6-SQRT((1-AU406)*($AN$6-$AL$6)*($AN$6-$AM$6))),$AM$6)</f>
        <v/>
      </c>
      <c r="AM406">
        <f>IFERROR(IF(AV406&lt;($AM$7-$AL$7)/($AN$7-$AL$7),$AL$7+SQRT(AV406*($AN$7-$AL$7)*($AM$7-$AL$7)),$AN$7-SQRT((1-AV406)*($AN$7-$AL$7)*($AN$7-$AM$7))),$AM$7)</f>
        <v/>
      </c>
      <c r="AN406">
        <f>IFERROR(IF(AW406&lt;($AM$8-$AL$8)/($AN$8-$AL$8),$AL$8+SQRT(AW406*($AN$8-$AL$8)*($AM$8-$AL$8)),$AN$8-SQRT((1-AW406)*($AN$8-$AL$8)*($AN$8-$AM$8))),$AM$8)</f>
        <v/>
      </c>
      <c r="AO406">
        <f>IFERROR(IF(AX406&lt;($AM$9-$AL$9)/($AN$9-$AL$9),$AL$9+SQRT(AX406*($AN$9-$AL$9)*($AM$9-$AL$9)),$AN$9-SQRT((1-AX406)*($AN$9-$AL$9)*($AN$9-$AM$9))),$AM$9)</f>
        <v/>
      </c>
      <c r="AP406">
        <f>IFERROR(IF(AY406&lt;($AM$10-$AL$10)/($AN$10-$AL$10),$AL$10+SQRT(AY406*($AN$10-$AL$10)*($AM$10-$AL$10)),$AN$10-SQRT((1-AY406)*($AN$10-$AL$10)*($AN$10-$AM$10))),$AM$10)</f>
        <v/>
      </c>
      <c r="AQ406">
        <f>IFERROR(IF(AZ406&lt;($AM$11-$AL$11)/($AN$11-$AL$11),$AL$11+SQRT(AZ406*($AN$11-$AL$11)*($AM$11-$AL$11)),$AN$11-SQRT((1-AZ406)*($AN$11-$AL$11)*($AN$11-$AM$11))),$AM$11)</f>
        <v/>
      </c>
      <c r="AR406">
        <f>SUMPRODUCT((B24:B31&lt;=$B$6)*(C24:C31*AM406+D24:D31*AO406*$B$8*AQ406)/(1+AL406/100)^B24:B31)+C32*AM406*AP406/(1+AL406/100)^$B$6</f>
        <v/>
      </c>
      <c r="AS406">
        <f>SUMPRODUCT((K24:K26&lt;=$B$6)*(L24:L26*AN406+M24:M26*AO406*$B$8*AQ406)/(1+AL406/100)^K24:K26)+L27*AN406*AP406/(1+AL406/100)^$B$6</f>
        <v/>
      </c>
      <c r="AT406">
        <f>AS406-AR406</f>
        <v/>
      </c>
      <c r="AU406">
        <f>RAND()</f>
        <v/>
      </c>
      <c r="AV406">
        <f>RAND()</f>
        <v/>
      </c>
      <c r="AW406">
        <f>RAND()</f>
        <v/>
      </c>
      <c r="AX406">
        <f>RAND()</f>
        <v/>
      </c>
      <c r="AY406">
        <f>RAND()</f>
        <v/>
      </c>
      <c r="AZ406">
        <f>RAND()</f>
        <v/>
      </c>
    </row>
    <row r="407">
      <c r="AK407" t="n">
        <v>394</v>
      </c>
      <c r="AL407">
        <f>IFERROR(IF(AU407&lt;($AM$6-$AL$6)/($AN$6-$AL$6),$AL$6+SQRT(AU407*($AN$6-$AL$6)*($AM$6-$AL$6)),$AN$6-SQRT((1-AU407)*($AN$6-$AL$6)*($AN$6-$AM$6))),$AM$6)</f>
        <v/>
      </c>
      <c r="AM407">
        <f>IFERROR(IF(AV407&lt;($AM$7-$AL$7)/($AN$7-$AL$7),$AL$7+SQRT(AV407*($AN$7-$AL$7)*($AM$7-$AL$7)),$AN$7-SQRT((1-AV407)*($AN$7-$AL$7)*($AN$7-$AM$7))),$AM$7)</f>
        <v/>
      </c>
      <c r="AN407">
        <f>IFERROR(IF(AW407&lt;($AM$8-$AL$8)/($AN$8-$AL$8),$AL$8+SQRT(AW407*($AN$8-$AL$8)*($AM$8-$AL$8)),$AN$8-SQRT((1-AW407)*($AN$8-$AL$8)*($AN$8-$AM$8))),$AM$8)</f>
        <v/>
      </c>
      <c r="AO407">
        <f>IFERROR(IF(AX407&lt;($AM$9-$AL$9)/($AN$9-$AL$9),$AL$9+SQRT(AX407*($AN$9-$AL$9)*($AM$9-$AL$9)),$AN$9-SQRT((1-AX407)*($AN$9-$AL$9)*($AN$9-$AM$9))),$AM$9)</f>
        <v/>
      </c>
      <c r="AP407">
        <f>IFERROR(IF(AY407&lt;($AM$10-$AL$10)/($AN$10-$AL$10),$AL$10+SQRT(AY407*($AN$10-$AL$10)*($AM$10-$AL$10)),$AN$10-SQRT((1-AY407)*($AN$10-$AL$10)*($AN$10-$AM$10))),$AM$10)</f>
        <v/>
      </c>
      <c r="AQ407">
        <f>IFERROR(IF(AZ407&lt;($AM$11-$AL$11)/($AN$11-$AL$11),$AL$11+SQRT(AZ407*($AN$11-$AL$11)*($AM$11-$AL$11)),$AN$11-SQRT((1-AZ407)*($AN$11-$AL$11)*($AN$11-$AM$11))),$AM$11)</f>
        <v/>
      </c>
      <c r="AR407">
        <f>SUMPRODUCT((B24:B31&lt;=$B$6)*(C24:C31*AM407+D24:D31*AO407*$B$8*AQ407)/(1+AL407/100)^B24:B31)+C32*AM407*AP407/(1+AL407/100)^$B$6</f>
        <v/>
      </c>
      <c r="AS407">
        <f>SUMPRODUCT((K24:K26&lt;=$B$6)*(L24:L26*AN407+M24:M26*AO407*$B$8*AQ407)/(1+AL407/100)^K24:K26)+L27*AN407*AP407/(1+AL407/100)^$B$6</f>
        <v/>
      </c>
      <c r="AT407">
        <f>AS407-AR407</f>
        <v/>
      </c>
      <c r="AU407">
        <f>RAND()</f>
        <v/>
      </c>
      <c r="AV407">
        <f>RAND()</f>
        <v/>
      </c>
      <c r="AW407">
        <f>RAND()</f>
        <v/>
      </c>
      <c r="AX407">
        <f>RAND()</f>
        <v/>
      </c>
      <c r="AY407">
        <f>RAND()</f>
        <v/>
      </c>
      <c r="AZ407">
        <f>RAND()</f>
        <v/>
      </c>
    </row>
    <row r="408">
      <c r="AK408" t="n">
        <v>395</v>
      </c>
      <c r="AL408">
        <f>IFERROR(IF(AU408&lt;($AM$6-$AL$6)/($AN$6-$AL$6),$AL$6+SQRT(AU408*($AN$6-$AL$6)*($AM$6-$AL$6)),$AN$6-SQRT((1-AU408)*($AN$6-$AL$6)*($AN$6-$AM$6))),$AM$6)</f>
        <v/>
      </c>
      <c r="AM408">
        <f>IFERROR(IF(AV408&lt;($AM$7-$AL$7)/($AN$7-$AL$7),$AL$7+SQRT(AV408*($AN$7-$AL$7)*($AM$7-$AL$7)),$AN$7-SQRT((1-AV408)*($AN$7-$AL$7)*($AN$7-$AM$7))),$AM$7)</f>
        <v/>
      </c>
      <c r="AN408">
        <f>IFERROR(IF(AW408&lt;($AM$8-$AL$8)/($AN$8-$AL$8),$AL$8+SQRT(AW408*($AN$8-$AL$8)*($AM$8-$AL$8)),$AN$8-SQRT((1-AW408)*($AN$8-$AL$8)*($AN$8-$AM$8))),$AM$8)</f>
        <v/>
      </c>
      <c r="AO408">
        <f>IFERROR(IF(AX408&lt;($AM$9-$AL$9)/($AN$9-$AL$9),$AL$9+SQRT(AX408*($AN$9-$AL$9)*($AM$9-$AL$9)),$AN$9-SQRT((1-AX408)*($AN$9-$AL$9)*($AN$9-$AM$9))),$AM$9)</f>
        <v/>
      </c>
      <c r="AP408">
        <f>IFERROR(IF(AY408&lt;($AM$10-$AL$10)/($AN$10-$AL$10),$AL$10+SQRT(AY408*($AN$10-$AL$10)*($AM$10-$AL$10)),$AN$10-SQRT((1-AY408)*($AN$10-$AL$10)*($AN$10-$AM$10))),$AM$10)</f>
        <v/>
      </c>
      <c r="AQ408">
        <f>IFERROR(IF(AZ408&lt;($AM$11-$AL$11)/($AN$11-$AL$11),$AL$11+SQRT(AZ408*($AN$11-$AL$11)*($AM$11-$AL$11)),$AN$11-SQRT((1-AZ408)*($AN$11-$AL$11)*($AN$11-$AM$11))),$AM$11)</f>
        <v/>
      </c>
      <c r="AR408">
        <f>SUMPRODUCT((B24:B31&lt;=$B$6)*(C24:C31*AM408+D24:D31*AO408*$B$8*AQ408)/(1+AL408/100)^B24:B31)+C32*AM408*AP408/(1+AL408/100)^$B$6</f>
        <v/>
      </c>
      <c r="AS408">
        <f>SUMPRODUCT((K24:K26&lt;=$B$6)*(L24:L26*AN408+M24:M26*AO408*$B$8*AQ408)/(1+AL408/100)^K24:K26)+L27*AN408*AP408/(1+AL408/100)^$B$6</f>
        <v/>
      </c>
      <c r="AT408">
        <f>AS408-AR408</f>
        <v/>
      </c>
      <c r="AU408">
        <f>RAND()</f>
        <v/>
      </c>
      <c r="AV408">
        <f>RAND()</f>
        <v/>
      </c>
      <c r="AW408">
        <f>RAND()</f>
        <v/>
      </c>
      <c r="AX408">
        <f>RAND()</f>
        <v/>
      </c>
      <c r="AY408">
        <f>RAND()</f>
        <v/>
      </c>
      <c r="AZ408">
        <f>RAND()</f>
        <v/>
      </c>
    </row>
    <row r="409">
      <c r="AK409" t="n">
        <v>396</v>
      </c>
      <c r="AL409">
        <f>IFERROR(IF(AU409&lt;($AM$6-$AL$6)/($AN$6-$AL$6),$AL$6+SQRT(AU409*($AN$6-$AL$6)*($AM$6-$AL$6)),$AN$6-SQRT((1-AU409)*($AN$6-$AL$6)*($AN$6-$AM$6))),$AM$6)</f>
        <v/>
      </c>
      <c r="AM409">
        <f>IFERROR(IF(AV409&lt;($AM$7-$AL$7)/($AN$7-$AL$7),$AL$7+SQRT(AV409*($AN$7-$AL$7)*($AM$7-$AL$7)),$AN$7-SQRT((1-AV409)*($AN$7-$AL$7)*($AN$7-$AM$7))),$AM$7)</f>
        <v/>
      </c>
      <c r="AN409">
        <f>IFERROR(IF(AW409&lt;($AM$8-$AL$8)/($AN$8-$AL$8),$AL$8+SQRT(AW409*($AN$8-$AL$8)*($AM$8-$AL$8)),$AN$8-SQRT((1-AW409)*($AN$8-$AL$8)*($AN$8-$AM$8))),$AM$8)</f>
        <v/>
      </c>
      <c r="AO409">
        <f>IFERROR(IF(AX409&lt;($AM$9-$AL$9)/($AN$9-$AL$9),$AL$9+SQRT(AX409*($AN$9-$AL$9)*($AM$9-$AL$9)),$AN$9-SQRT((1-AX409)*($AN$9-$AL$9)*($AN$9-$AM$9))),$AM$9)</f>
        <v/>
      </c>
      <c r="AP409">
        <f>IFERROR(IF(AY409&lt;($AM$10-$AL$10)/($AN$10-$AL$10),$AL$10+SQRT(AY409*($AN$10-$AL$10)*($AM$10-$AL$10)),$AN$10-SQRT((1-AY409)*($AN$10-$AL$10)*($AN$10-$AM$10))),$AM$10)</f>
        <v/>
      </c>
      <c r="AQ409">
        <f>IFERROR(IF(AZ409&lt;($AM$11-$AL$11)/($AN$11-$AL$11),$AL$11+SQRT(AZ409*($AN$11-$AL$11)*($AM$11-$AL$11)),$AN$11-SQRT((1-AZ409)*($AN$11-$AL$11)*($AN$11-$AM$11))),$AM$11)</f>
        <v/>
      </c>
      <c r="AR409">
        <f>SUMPRODUCT((B24:B31&lt;=$B$6)*(C24:C31*AM409+D24:D31*AO409*$B$8*AQ409)/(1+AL409/100)^B24:B31)+C32*AM409*AP409/(1+AL409/100)^$B$6</f>
        <v/>
      </c>
      <c r="AS409">
        <f>SUMPRODUCT((K24:K26&lt;=$B$6)*(L24:L26*AN409+M24:M26*AO409*$B$8*AQ409)/(1+AL409/100)^K24:K26)+L27*AN409*AP409/(1+AL409/100)^$B$6</f>
        <v/>
      </c>
      <c r="AT409">
        <f>AS409-AR409</f>
        <v/>
      </c>
      <c r="AU409">
        <f>RAND()</f>
        <v/>
      </c>
      <c r="AV409">
        <f>RAND()</f>
        <v/>
      </c>
      <c r="AW409">
        <f>RAND()</f>
        <v/>
      </c>
      <c r="AX409">
        <f>RAND()</f>
        <v/>
      </c>
      <c r="AY409">
        <f>RAND()</f>
        <v/>
      </c>
      <c r="AZ409">
        <f>RAND()</f>
        <v/>
      </c>
    </row>
    <row r="410">
      <c r="AK410" t="n">
        <v>397</v>
      </c>
      <c r="AL410">
        <f>IFERROR(IF(AU410&lt;($AM$6-$AL$6)/($AN$6-$AL$6),$AL$6+SQRT(AU410*($AN$6-$AL$6)*($AM$6-$AL$6)),$AN$6-SQRT((1-AU410)*($AN$6-$AL$6)*($AN$6-$AM$6))),$AM$6)</f>
        <v/>
      </c>
      <c r="AM410">
        <f>IFERROR(IF(AV410&lt;($AM$7-$AL$7)/($AN$7-$AL$7),$AL$7+SQRT(AV410*($AN$7-$AL$7)*($AM$7-$AL$7)),$AN$7-SQRT((1-AV410)*($AN$7-$AL$7)*($AN$7-$AM$7))),$AM$7)</f>
        <v/>
      </c>
      <c r="AN410">
        <f>IFERROR(IF(AW410&lt;($AM$8-$AL$8)/($AN$8-$AL$8),$AL$8+SQRT(AW410*($AN$8-$AL$8)*($AM$8-$AL$8)),$AN$8-SQRT((1-AW410)*($AN$8-$AL$8)*($AN$8-$AM$8))),$AM$8)</f>
        <v/>
      </c>
      <c r="AO410">
        <f>IFERROR(IF(AX410&lt;($AM$9-$AL$9)/($AN$9-$AL$9),$AL$9+SQRT(AX410*($AN$9-$AL$9)*($AM$9-$AL$9)),$AN$9-SQRT((1-AX410)*($AN$9-$AL$9)*($AN$9-$AM$9))),$AM$9)</f>
        <v/>
      </c>
      <c r="AP410">
        <f>IFERROR(IF(AY410&lt;($AM$10-$AL$10)/($AN$10-$AL$10),$AL$10+SQRT(AY410*($AN$10-$AL$10)*($AM$10-$AL$10)),$AN$10-SQRT((1-AY410)*($AN$10-$AL$10)*($AN$10-$AM$10))),$AM$10)</f>
        <v/>
      </c>
      <c r="AQ410">
        <f>IFERROR(IF(AZ410&lt;($AM$11-$AL$11)/($AN$11-$AL$11),$AL$11+SQRT(AZ410*($AN$11-$AL$11)*($AM$11-$AL$11)),$AN$11-SQRT((1-AZ410)*($AN$11-$AL$11)*($AN$11-$AM$11))),$AM$11)</f>
        <v/>
      </c>
      <c r="AR410">
        <f>SUMPRODUCT((B24:B31&lt;=$B$6)*(C24:C31*AM410+D24:D31*AO410*$B$8*AQ410)/(1+AL410/100)^B24:B31)+C32*AM410*AP410/(1+AL410/100)^$B$6</f>
        <v/>
      </c>
      <c r="AS410">
        <f>SUMPRODUCT((K24:K26&lt;=$B$6)*(L24:L26*AN410+M24:M26*AO410*$B$8*AQ410)/(1+AL410/100)^K24:K26)+L27*AN410*AP410/(1+AL410/100)^$B$6</f>
        <v/>
      </c>
      <c r="AT410">
        <f>AS410-AR410</f>
        <v/>
      </c>
      <c r="AU410">
        <f>RAND()</f>
        <v/>
      </c>
      <c r="AV410">
        <f>RAND()</f>
        <v/>
      </c>
      <c r="AW410">
        <f>RAND()</f>
        <v/>
      </c>
      <c r="AX410">
        <f>RAND()</f>
        <v/>
      </c>
      <c r="AY410">
        <f>RAND()</f>
        <v/>
      </c>
      <c r="AZ410">
        <f>RAND()</f>
        <v/>
      </c>
    </row>
    <row r="411">
      <c r="AK411" t="n">
        <v>398</v>
      </c>
      <c r="AL411">
        <f>IFERROR(IF(AU411&lt;($AM$6-$AL$6)/($AN$6-$AL$6),$AL$6+SQRT(AU411*($AN$6-$AL$6)*($AM$6-$AL$6)),$AN$6-SQRT((1-AU411)*($AN$6-$AL$6)*($AN$6-$AM$6))),$AM$6)</f>
        <v/>
      </c>
      <c r="AM411">
        <f>IFERROR(IF(AV411&lt;($AM$7-$AL$7)/($AN$7-$AL$7),$AL$7+SQRT(AV411*($AN$7-$AL$7)*($AM$7-$AL$7)),$AN$7-SQRT((1-AV411)*($AN$7-$AL$7)*($AN$7-$AM$7))),$AM$7)</f>
        <v/>
      </c>
      <c r="AN411">
        <f>IFERROR(IF(AW411&lt;($AM$8-$AL$8)/($AN$8-$AL$8),$AL$8+SQRT(AW411*($AN$8-$AL$8)*($AM$8-$AL$8)),$AN$8-SQRT((1-AW411)*($AN$8-$AL$8)*($AN$8-$AM$8))),$AM$8)</f>
        <v/>
      </c>
      <c r="AO411">
        <f>IFERROR(IF(AX411&lt;($AM$9-$AL$9)/($AN$9-$AL$9),$AL$9+SQRT(AX411*($AN$9-$AL$9)*($AM$9-$AL$9)),$AN$9-SQRT((1-AX411)*($AN$9-$AL$9)*($AN$9-$AM$9))),$AM$9)</f>
        <v/>
      </c>
      <c r="AP411">
        <f>IFERROR(IF(AY411&lt;($AM$10-$AL$10)/($AN$10-$AL$10),$AL$10+SQRT(AY411*($AN$10-$AL$10)*($AM$10-$AL$10)),$AN$10-SQRT((1-AY411)*($AN$10-$AL$10)*($AN$10-$AM$10))),$AM$10)</f>
        <v/>
      </c>
      <c r="AQ411">
        <f>IFERROR(IF(AZ411&lt;($AM$11-$AL$11)/($AN$11-$AL$11),$AL$11+SQRT(AZ411*($AN$11-$AL$11)*($AM$11-$AL$11)),$AN$11-SQRT((1-AZ411)*($AN$11-$AL$11)*($AN$11-$AM$11))),$AM$11)</f>
        <v/>
      </c>
      <c r="AR411">
        <f>SUMPRODUCT((B24:B31&lt;=$B$6)*(C24:C31*AM411+D24:D31*AO411*$B$8*AQ411)/(1+AL411/100)^B24:B31)+C32*AM411*AP411/(1+AL411/100)^$B$6</f>
        <v/>
      </c>
      <c r="AS411">
        <f>SUMPRODUCT((K24:K26&lt;=$B$6)*(L24:L26*AN411+M24:M26*AO411*$B$8*AQ411)/(1+AL411/100)^K24:K26)+L27*AN411*AP411/(1+AL411/100)^$B$6</f>
        <v/>
      </c>
      <c r="AT411">
        <f>AS411-AR411</f>
        <v/>
      </c>
      <c r="AU411">
        <f>RAND()</f>
        <v/>
      </c>
      <c r="AV411">
        <f>RAND()</f>
        <v/>
      </c>
      <c r="AW411">
        <f>RAND()</f>
        <v/>
      </c>
      <c r="AX411">
        <f>RAND()</f>
        <v/>
      </c>
      <c r="AY411">
        <f>RAND()</f>
        <v/>
      </c>
      <c r="AZ411">
        <f>RAND()</f>
        <v/>
      </c>
    </row>
    <row r="412">
      <c r="AK412" t="n">
        <v>399</v>
      </c>
      <c r="AL412">
        <f>IFERROR(IF(AU412&lt;($AM$6-$AL$6)/($AN$6-$AL$6),$AL$6+SQRT(AU412*($AN$6-$AL$6)*($AM$6-$AL$6)),$AN$6-SQRT((1-AU412)*($AN$6-$AL$6)*($AN$6-$AM$6))),$AM$6)</f>
        <v/>
      </c>
      <c r="AM412">
        <f>IFERROR(IF(AV412&lt;($AM$7-$AL$7)/($AN$7-$AL$7),$AL$7+SQRT(AV412*($AN$7-$AL$7)*($AM$7-$AL$7)),$AN$7-SQRT((1-AV412)*($AN$7-$AL$7)*($AN$7-$AM$7))),$AM$7)</f>
        <v/>
      </c>
      <c r="AN412">
        <f>IFERROR(IF(AW412&lt;($AM$8-$AL$8)/($AN$8-$AL$8),$AL$8+SQRT(AW412*($AN$8-$AL$8)*($AM$8-$AL$8)),$AN$8-SQRT((1-AW412)*($AN$8-$AL$8)*($AN$8-$AM$8))),$AM$8)</f>
        <v/>
      </c>
      <c r="AO412">
        <f>IFERROR(IF(AX412&lt;($AM$9-$AL$9)/($AN$9-$AL$9),$AL$9+SQRT(AX412*($AN$9-$AL$9)*($AM$9-$AL$9)),$AN$9-SQRT((1-AX412)*($AN$9-$AL$9)*($AN$9-$AM$9))),$AM$9)</f>
        <v/>
      </c>
      <c r="AP412">
        <f>IFERROR(IF(AY412&lt;($AM$10-$AL$10)/($AN$10-$AL$10),$AL$10+SQRT(AY412*($AN$10-$AL$10)*($AM$10-$AL$10)),$AN$10-SQRT((1-AY412)*($AN$10-$AL$10)*($AN$10-$AM$10))),$AM$10)</f>
        <v/>
      </c>
      <c r="AQ412">
        <f>IFERROR(IF(AZ412&lt;($AM$11-$AL$11)/($AN$11-$AL$11),$AL$11+SQRT(AZ412*($AN$11-$AL$11)*($AM$11-$AL$11)),$AN$11-SQRT((1-AZ412)*($AN$11-$AL$11)*($AN$11-$AM$11))),$AM$11)</f>
        <v/>
      </c>
      <c r="AR412">
        <f>SUMPRODUCT((B24:B31&lt;=$B$6)*(C24:C31*AM412+D24:D31*AO412*$B$8*AQ412)/(1+AL412/100)^B24:B31)+C32*AM412*AP412/(1+AL412/100)^$B$6</f>
        <v/>
      </c>
      <c r="AS412">
        <f>SUMPRODUCT((K24:K26&lt;=$B$6)*(L24:L26*AN412+M24:M26*AO412*$B$8*AQ412)/(1+AL412/100)^K24:K26)+L27*AN412*AP412/(1+AL412/100)^$B$6</f>
        <v/>
      </c>
      <c r="AT412">
        <f>AS412-AR412</f>
        <v/>
      </c>
      <c r="AU412">
        <f>RAND()</f>
        <v/>
      </c>
      <c r="AV412">
        <f>RAND()</f>
        <v/>
      </c>
      <c r="AW412">
        <f>RAND()</f>
        <v/>
      </c>
      <c r="AX412">
        <f>RAND()</f>
        <v/>
      </c>
      <c r="AY412">
        <f>RAND()</f>
        <v/>
      </c>
      <c r="AZ412">
        <f>RAND()</f>
        <v/>
      </c>
    </row>
    <row r="413">
      <c r="AK413" t="n">
        <v>400</v>
      </c>
      <c r="AL413">
        <f>IFERROR(IF(AU413&lt;($AM$6-$AL$6)/($AN$6-$AL$6),$AL$6+SQRT(AU413*($AN$6-$AL$6)*($AM$6-$AL$6)),$AN$6-SQRT((1-AU413)*($AN$6-$AL$6)*($AN$6-$AM$6))),$AM$6)</f>
        <v/>
      </c>
      <c r="AM413">
        <f>IFERROR(IF(AV413&lt;($AM$7-$AL$7)/($AN$7-$AL$7),$AL$7+SQRT(AV413*($AN$7-$AL$7)*($AM$7-$AL$7)),$AN$7-SQRT((1-AV413)*($AN$7-$AL$7)*($AN$7-$AM$7))),$AM$7)</f>
        <v/>
      </c>
      <c r="AN413">
        <f>IFERROR(IF(AW413&lt;($AM$8-$AL$8)/($AN$8-$AL$8),$AL$8+SQRT(AW413*($AN$8-$AL$8)*($AM$8-$AL$8)),$AN$8-SQRT((1-AW413)*($AN$8-$AL$8)*($AN$8-$AM$8))),$AM$8)</f>
        <v/>
      </c>
      <c r="AO413">
        <f>IFERROR(IF(AX413&lt;($AM$9-$AL$9)/($AN$9-$AL$9),$AL$9+SQRT(AX413*($AN$9-$AL$9)*($AM$9-$AL$9)),$AN$9-SQRT((1-AX413)*($AN$9-$AL$9)*($AN$9-$AM$9))),$AM$9)</f>
        <v/>
      </c>
      <c r="AP413">
        <f>IFERROR(IF(AY413&lt;($AM$10-$AL$10)/($AN$10-$AL$10),$AL$10+SQRT(AY413*($AN$10-$AL$10)*($AM$10-$AL$10)),$AN$10-SQRT((1-AY413)*($AN$10-$AL$10)*($AN$10-$AM$10))),$AM$10)</f>
        <v/>
      </c>
      <c r="AQ413">
        <f>IFERROR(IF(AZ413&lt;($AM$11-$AL$11)/($AN$11-$AL$11),$AL$11+SQRT(AZ413*($AN$11-$AL$11)*($AM$11-$AL$11)),$AN$11-SQRT((1-AZ413)*($AN$11-$AL$11)*($AN$11-$AM$11))),$AM$11)</f>
        <v/>
      </c>
      <c r="AR413">
        <f>SUMPRODUCT((B24:B31&lt;=$B$6)*(C24:C31*AM413+D24:D31*AO413*$B$8*AQ413)/(1+AL413/100)^B24:B31)+C32*AM413*AP413/(1+AL413/100)^$B$6</f>
        <v/>
      </c>
      <c r="AS413">
        <f>SUMPRODUCT((K24:K26&lt;=$B$6)*(L24:L26*AN413+M24:M26*AO413*$B$8*AQ413)/(1+AL413/100)^K24:K26)+L27*AN413*AP413/(1+AL413/100)^$B$6</f>
        <v/>
      </c>
      <c r="AT413">
        <f>AS413-AR413</f>
        <v/>
      </c>
      <c r="AU413">
        <f>RAND()</f>
        <v/>
      </c>
      <c r="AV413">
        <f>RAND()</f>
        <v/>
      </c>
      <c r="AW413">
        <f>RAND()</f>
        <v/>
      </c>
      <c r="AX413">
        <f>RAND()</f>
        <v/>
      </c>
      <c r="AY413">
        <f>RAND()</f>
        <v/>
      </c>
      <c r="AZ413">
        <f>RAND()</f>
        <v/>
      </c>
    </row>
    <row r="414">
      <c r="AK414" t="n">
        <v>401</v>
      </c>
      <c r="AL414">
        <f>IFERROR(IF(AU414&lt;($AM$6-$AL$6)/($AN$6-$AL$6),$AL$6+SQRT(AU414*($AN$6-$AL$6)*($AM$6-$AL$6)),$AN$6-SQRT((1-AU414)*($AN$6-$AL$6)*($AN$6-$AM$6))),$AM$6)</f>
        <v/>
      </c>
      <c r="AM414">
        <f>IFERROR(IF(AV414&lt;($AM$7-$AL$7)/($AN$7-$AL$7),$AL$7+SQRT(AV414*($AN$7-$AL$7)*($AM$7-$AL$7)),$AN$7-SQRT((1-AV414)*($AN$7-$AL$7)*($AN$7-$AM$7))),$AM$7)</f>
        <v/>
      </c>
      <c r="AN414">
        <f>IFERROR(IF(AW414&lt;($AM$8-$AL$8)/($AN$8-$AL$8),$AL$8+SQRT(AW414*($AN$8-$AL$8)*($AM$8-$AL$8)),$AN$8-SQRT((1-AW414)*($AN$8-$AL$8)*($AN$8-$AM$8))),$AM$8)</f>
        <v/>
      </c>
      <c r="AO414">
        <f>IFERROR(IF(AX414&lt;($AM$9-$AL$9)/($AN$9-$AL$9),$AL$9+SQRT(AX414*($AN$9-$AL$9)*($AM$9-$AL$9)),$AN$9-SQRT((1-AX414)*($AN$9-$AL$9)*($AN$9-$AM$9))),$AM$9)</f>
        <v/>
      </c>
      <c r="AP414">
        <f>IFERROR(IF(AY414&lt;($AM$10-$AL$10)/($AN$10-$AL$10),$AL$10+SQRT(AY414*($AN$10-$AL$10)*($AM$10-$AL$10)),$AN$10-SQRT((1-AY414)*($AN$10-$AL$10)*($AN$10-$AM$10))),$AM$10)</f>
        <v/>
      </c>
      <c r="AQ414">
        <f>IFERROR(IF(AZ414&lt;($AM$11-$AL$11)/($AN$11-$AL$11),$AL$11+SQRT(AZ414*($AN$11-$AL$11)*($AM$11-$AL$11)),$AN$11-SQRT((1-AZ414)*($AN$11-$AL$11)*($AN$11-$AM$11))),$AM$11)</f>
        <v/>
      </c>
      <c r="AR414">
        <f>SUMPRODUCT((B24:B31&lt;=$B$6)*(C24:C31*AM414+D24:D31*AO414*$B$8*AQ414)/(1+AL414/100)^B24:B31)+C32*AM414*AP414/(1+AL414/100)^$B$6</f>
        <v/>
      </c>
      <c r="AS414">
        <f>SUMPRODUCT((K24:K26&lt;=$B$6)*(L24:L26*AN414+M24:M26*AO414*$B$8*AQ414)/(1+AL414/100)^K24:K26)+L27*AN414*AP414/(1+AL414/100)^$B$6</f>
        <v/>
      </c>
      <c r="AT414">
        <f>AS414-AR414</f>
        <v/>
      </c>
      <c r="AU414">
        <f>RAND()</f>
        <v/>
      </c>
      <c r="AV414">
        <f>RAND()</f>
        <v/>
      </c>
      <c r="AW414">
        <f>RAND()</f>
        <v/>
      </c>
      <c r="AX414">
        <f>RAND()</f>
        <v/>
      </c>
      <c r="AY414">
        <f>RAND()</f>
        <v/>
      </c>
      <c r="AZ414">
        <f>RAND()</f>
        <v/>
      </c>
    </row>
    <row r="415">
      <c r="AK415" t="n">
        <v>402</v>
      </c>
      <c r="AL415">
        <f>IFERROR(IF(AU415&lt;($AM$6-$AL$6)/($AN$6-$AL$6),$AL$6+SQRT(AU415*($AN$6-$AL$6)*($AM$6-$AL$6)),$AN$6-SQRT((1-AU415)*($AN$6-$AL$6)*($AN$6-$AM$6))),$AM$6)</f>
        <v/>
      </c>
      <c r="AM415">
        <f>IFERROR(IF(AV415&lt;($AM$7-$AL$7)/($AN$7-$AL$7),$AL$7+SQRT(AV415*($AN$7-$AL$7)*($AM$7-$AL$7)),$AN$7-SQRT((1-AV415)*($AN$7-$AL$7)*($AN$7-$AM$7))),$AM$7)</f>
        <v/>
      </c>
      <c r="AN415">
        <f>IFERROR(IF(AW415&lt;($AM$8-$AL$8)/($AN$8-$AL$8),$AL$8+SQRT(AW415*($AN$8-$AL$8)*($AM$8-$AL$8)),$AN$8-SQRT((1-AW415)*($AN$8-$AL$8)*($AN$8-$AM$8))),$AM$8)</f>
        <v/>
      </c>
      <c r="AO415">
        <f>IFERROR(IF(AX415&lt;($AM$9-$AL$9)/($AN$9-$AL$9),$AL$9+SQRT(AX415*($AN$9-$AL$9)*($AM$9-$AL$9)),$AN$9-SQRT((1-AX415)*($AN$9-$AL$9)*($AN$9-$AM$9))),$AM$9)</f>
        <v/>
      </c>
      <c r="AP415">
        <f>IFERROR(IF(AY415&lt;($AM$10-$AL$10)/($AN$10-$AL$10),$AL$10+SQRT(AY415*($AN$10-$AL$10)*($AM$10-$AL$10)),$AN$10-SQRT((1-AY415)*($AN$10-$AL$10)*($AN$10-$AM$10))),$AM$10)</f>
        <v/>
      </c>
      <c r="AQ415">
        <f>IFERROR(IF(AZ415&lt;($AM$11-$AL$11)/($AN$11-$AL$11),$AL$11+SQRT(AZ415*($AN$11-$AL$11)*($AM$11-$AL$11)),$AN$11-SQRT((1-AZ415)*($AN$11-$AL$11)*($AN$11-$AM$11))),$AM$11)</f>
        <v/>
      </c>
      <c r="AR415">
        <f>SUMPRODUCT((B24:B31&lt;=$B$6)*(C24:C31*AM415+D24:D31*AO415*$B$8*AQ415)/(1+AL415/100)^B24:B31)+C32*AM415*AP415/(1+AL415/100)^$B$6</f>
        <v/>
      </c>
      <c r="AS415">
        <f>SUMPRODUCT((K24:K26&lt;=$B$6)*(L24:L26*AN415+M24:M26*AO415*$B$8*AQ415)/(1+AL415/100)^K24:K26)+L27*AN415*AP415/(1+AL415/100)^$B$6</f>
        <v/>
      </c>
      <c r="AT415">
        <f>AS415-AR415</f>
        <v/>
      </c>
      <c r="AU415">
        <f>RAND()</f>
        <v/>
      </c>
      <c r="AV415">
        <f>RAND()</f>
        <v/>
      </c>
      <c r="AW415">
        <f>RAND()</f>
        <v/>
      </c>
      <c r="AX415">
        <f>RAND()</f>
        <v/>
      </c>
      <c r="AY415">
        <f>RAND()</f>
        <v/>
      </c>
      <c r="AZ415">
        <f>RAND()</f>
        <v/>
      </c>
    </row>
    <row r="416">
      <c r="AK416" t="n">
        <v>403</v>
      </c>
      <c r="AL416">
        <f>IFERROR(IF(AU416&lt;($AM$6-$AL$6)/($AN$6-$AL$6),$AL$6+SQRT(AU416*($AN$6-$AL$6)*($AM$6-$AL$6)),$AN$6-SQRT((1-AU416)*($AN$6-$AL$6)*($AN$6-$AM$6))),$AM$6)</f>
        <v/>
      </c>
      <c r="AM416">
        <f>IFERROR(IF(AV416&lt;($AM$7-$AL$7)/($AN$7-$AL$7),$AL$7+SQRT(AV416*($AN$7-$AL$7)*($AM$7-$AL$7)),$AN$7-SQRT((1-AV416)*($AN$7-$AL$7)*($AN$7-$AM$7))),$AM$7)</f>
        <v/>
      </c>
      <c r="AN416">
        <f>IFERROR(IF(AW416&lt;($AM$8-$AL$8)/($AN$8-$AL$8),$AL$8+SQRT(AW416*($AN$8-$AL$8)*($AM$8-$AL$8)),$AN$8-SQRT((1-AW416)*($AN$8-$AL$8)*($AN$8-$AM$8))),$AM$8)</f>
        <v/>
      </c>
      <c r="AO416">
        <f>IFERROR(IF(AX416&lt;($AM$9-$AL$9)/($AN$9-$AL$9),$AL$9+SQRT(AX416*($AN$9-$AL$9)*($AM$9-$AL$9)),$AN$9-SQRT((1-AX416)*($AN$9-$AL$9)*($AN$9-$AM$9))),$AM$9)</f>
        <v/>
      </c>
      <c r="AP416">
        <f>IFERROR(IF(AY416&lt;($AM$10-$AL$10)/($AN$10-$AL$10),$AL$10+SQRT(AY416*($AN$10-$AL$10)*($AM$10-$AL$10)),$AN$10-SQRT((1-AY416)*($AN$10-$AL$10)*($AN$10-$AM$10))),$AM$10)</f>
        <v/>
      </c>
      <c r="AQ416">
        <f>IFERROR(IF(AZ416&lt;($AM$11-$AL$11)/($AN$11-$AL$11),$AL$11+SQRT(AZ416*($AN$11-$AL$11)*($AM$11-$AL$11)),$AN$11-SQRT((1-AZ416)*($AN$11-$AL$11)*($AN$11-$AM$11))),$AM$11)</f>
        <v/>
      </c>
      <c r="AR416">
        <f>SUMPRODUCT((B24:B31&lt;=$B$6)*(C24:C31*AM416+D24:D31*AO416*$B$8*AQ416)/(1+AL416/100)^B24:B31)+C32*AM416*AP416/(1+AL416/100)^$B$6</f>
        <v/>
      </c>
      <c r="AS416">
        <f>SUMPRODUCT((K24:K26&lt;=$B$6)*(L24:L26*AN416+M24:M26*AO416*$B$8*AQ416)/(1+AL416/100)^K24:K26)+L27*AN416*AP416/(1+AL416/100)^$B$6</f>
        <v/>
      </c>
      <c r="AT416">
        <f>AS416-AR416</f>
        <v/>
      </c>
      <c r="AU416">
        <f>RAND()</f>
        <v/>
      </c>
      <c r="AV416">
        <f>RAND()</f>
        <v/>
      </c>
      <c r="AW416">
        <f>RAND()</f>
        <v/>
      </c>
      <c r="AX416">
        <f>RAND()</f>
        <v/>
      </c>
      <c r="AY416">
        <f>RAND()</f>
        <v/>
      </c>
      <c r="AZ416">
        <f>RAND()</f>
        <v/>
      </c>
    </row>
    <row r="417">
      <c r="AK417" t="n">
        <v>404</v>
      </c>
      <c r="AL417">
        <f>IFERROR(IF(AU417&lt;($AM$6-$AL$6)/($AN$6-$AL$6),$AL$6+SQRT(AU417*($AN$6-$AL$6)*($AM$6-$AL$6)),$AN$6-SQRT((1-AU417)*($AN$6-$AL$6)*($AN$6-$AM$6))),$AM$6)</f>
        <v/>
      </c>
      <c r="AM417">
        <f>IFERROR(IF(AV417&lt;($AM$7-$AL$7)/($AN$7-$AL$7),$AL$7+SQRT(AV417*($AN$7-$AL$7)*($AM$7-$AL$7)),$AN$7-SQRT((1-AV417)*($AN$7-$AL$7)*($AN$7-$AM$7))),$AM$7)</f>
        <v/>
      </c>
      <c r="AN417">
        <f>IFERROR(IF(AW417&lt;($AM$8-$AL$8)/($AN$8-$AL$8),$AL$8+SQRT(AW417*($AN$8-$AL$8)*($AM$8-$AL$8)),$AN$8-SQRT((1-AW417)*($AN$8-$AL$8)*($AN$8-$AM$8))),$AM$8)</f>
        <v/>
      </c>
      <c r="AO417">
        <f>IFERROR(IF(AX417&lt;($AM$9-$AL$9)/($AN$9-$AL$9),$AL$9+SQRT(AX417*($AN$9-$AL$9)*($AM$9-$AL$9)),$AN$9-SQRT((1-AX417)*($AN$9-$AL$9)*($AN$9-$AM$9))),$AM$9)</f>
        <v/>
      </c>
      <c r="AP417">
        <f>IFERROR(IF(AY417&lt;($AM$10-$AL$10)/($AN$10-$AL$10),$AL$10+SQRT(AY417*($AN$10-$AL$10)*($AM$10-$AL$10)),$AN$10-SQRT((1-AY417)*($AN$10-$AL$10)*($AN$10-$AM$10))),$AM$10)</f>
        <v/>
      </c>
      <c r="AQ417">
        <f>IFERROR(IF(AZ417&lt;($AM$11-$AL$11)/($AN$11-$AL$11),$AL$11+SQRT(AZ417*($AN$11-$AL$11)*($AM$11-$AL$11)),$AN$11-SQRT((1-AZ417)*($AN$11-$AL$11)*($AN$11-$AM$11))),$AM$11)</f>
        <v/>
      </c>
      <c r="AR417">
        <f>SUMPRODUCT((B24:B31&lt;=$B$6)*(C24:C31*AM417+D24:D31*AO417*$B$8*AQ417)/(1+AL417/100)^B24:B31)+C32*AM417*AP417/(1+AL417/100)^$B$6</f>
        <v/>
      </c>
      <c r="AS417">
        <f>SUMPRODUCT((K24:K26&lt;=$B$6)*(L24:L26*AN417+M24:M26*AO417*$B$8*AQ417)/(1+AL417/100)^K24:K26)+L27*AN417*AP417/(1+AL417/100)^$B$6</f>
        <v/>
      </c>
      <c r="AT417">
        <f>AS417-AR417</f>
        <v/>
      </c>
      <c r="AU417">
        <f>RAND()</f>
        <v/>
      </c>
      <c r="AV417">
        <f>RAND()</f>
        <v/>
      </c>
      <c r="AW417">
        <f>RAND()</f>
        <v/>
      </c>
      <c r="AX417">
        <f>RAND()</f>
        <v/>
      </c>
      <c r="AY417">
        <f>RAND()</f>
        <v/>
      </c>
      <c r="AZ417">
        <f>RAND()</f>
        <v/>
      </c>
    </row>
    <row r="418">
      <c r="AK418" t="n">
        <v>405</v>
      </c>
      <c r="AL418">
        <f>IFERROR(IF(AU418&lt;($AM$6-$AL$6)/($AN$6-$AL$6),$AL$6+SQRT(AU418*($AN$6-$AL$6)*($AM$6-$AL$6)),$AN$6-SQRT((1-AU418)*($AN$6-$AL$6)*($AN$6-$AM$6))),$AM$6)</f>
        <v/>
      </c>
      <c r="AM418">
        <f>IFERROR(IF(AV418&lt;($AM$7-$AL$7)/($AN$7-$AL$7),$AL$7+SQRT(AV418*($AN$7-$AL$7)*($AM$7-$AL$7)),$AN$7-SQRT((1-AV418)*($AN$7-$AL$7)*($AN$7-$AM$7))),$AM$7)</f>
        <v/>
      </c>
      <c r="AN418">
        <f>IFERROR(IF(AW418&lt;($AM$8-$AL$8)/($AN$8-$AL$8),$AL$8+SQRT(AW418*($AN$8-$AL$8)*($AM$8-$AL$8)),$AN$8-SQRT((1-AW418)*($AN$8-$AL$8)*($AN$8-$AM$8))),$AM$8)</f>
        <v/>
      </c>
      <c r="AO418">
        <f>IFERROR(IF(AX418&lt;($AM$9-$AL$9)/($AN$9-$AL$9),$AL$9+SQRT(AX418*($AN$9-$AL$9)*($AM$9-$AL$9)),$AN$9-SQRT((1-AX418)*($AN$9-$AL$9)*($AN$9-$AM$9))),$AM$9)</f>
        <v/>
      </c>
      <c r="AP418">
        <f>IFERROR(IF(AY418&lt;($AM$10-$AL$10)/($AN$10-$AL$10),$AL$10+SQRT(AY418*($AN$10-$AL$10)*($AM$10-$AL$10)),$AN$10-SQRT((1-AY418)*($AN$10-$AL$10)*($AN$10-$AM$10))),$AM$10)</f>
        <v/>
      </c>
      <c r="AQ418">
        <f>IFERROR(IF(AZ418&lt;($AM$11-$AL$11)/($AN$11-$AL$11),$AL$11+SQRT(AZ418*($AN$11-$AL$11)*($AM$11-$AL$11)),$AN$11-SQRT((1-AZ418)*($AN$11-$AL$11)*($AN$11-$AM$11))),$AM$11)</f>
        <v/>
      </c>
      <c r="AR418">
        <f>SUMPRODUCT((B24:B31&lt;=$B$6)*(C24:C31*AM418+D24:D31*AO418*$B$8*AQ418)/(1+AL418/100)^B24:B31)+C32*AM418*AP418/(1+AL418/100)^$B$6</f>
        <v/>
      </c>
      <c r="AS418">
        <f>SUMPRODUCT((K24:K26&lt;=$B$6)*(L24:L26*AN418+M24:M26*AO418*$B$8*AQ418)/(1+AL418/100)^K24:K26)+L27*AN418*AP418/(1+AL418/100)^$B$6</f>
        <v/>
      </c>
      <c r="AT418">
        <f>AS418-AR418</f>
        <v/>
      </c>
      <c r="AU418">
        <f>RAND()</f>
        <v/>
      </c>
      <c r="AV418">
        <f>RAND()</f>
        <v/>
      </c>
      <c r="AW418">
        <f>RAND()</f>
        <v/>
      </c>
      <c r="AX418">
        <f>RAND()</f>
        <v/>
      </c>
      <c r="AY418">
        <f>RAND()</f>
        <v/>
      </c>
      <c r="AZ418">
        <f>RAND()</f>
        <v/>
      </c>
    </row>
    <row r="419">
      <c r="AK419" t="n">
        <v>406</v>
      </c>
      <c r="AL419">
        <f>IFERROR(IF(AU419&lt;($AM$6-$AL$6)/($AN$6-$AL$6),$AL$6+SQRT(AU419*($AN$6-$AL$6)*($AM$6-$AL$6)),$AN$6-SQRT((1-AU419)*($AN$6-$AL$6)*($AN$6-$AM$6))),$AM$6)</f>
        <v/>
      </c>
      <c r="AM419">
        <f>IFERROR(IF(AV419&lt;($AM$7-$AL$7)/($AN$7-$AL$7),$AL$7+SQRT(AV419*($AN$7-$AL$7)*($AM$7-$AL$7)),$AN$7-SQRT((1-AV419)*($AN$7-$AL$7)*($AN$7-$AM$7))),$AM$7)</f>
        <v/>
      </c>
      <c r="AN419">
        <f>IFERROR(IF(AW419&lt;($AM$8-$AL$8)/($AN$8-$AL$8),$AL$8+SQRT(AW419*($AN$8-$AL$8)*($AM$8-$AL$8)),$AN$8-SQRT((1-AW419)*($AN$8-$AL$8)*($AN$8-$AM$8))),$AM$8)</f>
        <v/>
      </c>
      <c r="AO419">
        <f>IFERROR(IF(AX419&lt;($AM$9-$AL$9)/($AN$9-$AL$9),$AL$9+SQRT(AX419*($AN$9-$AL$9)*($AM$9-$AL$9)),$AN$9-SQRT((1-AX419)*($AN$9-$AL$9)*($AN$9-$AM$9))),$AM$9)</f>
        <v/>
      </c>
      <c r="AP419">
        <f>IFERROR(IF(AY419&lt;($AM$10-$AL$10)/($AN$10-$AL$10),$AL$10+SQRT(AY419*($AN$10-$AL$10)*($AM$10-$AL$10)),$AN$10-SQRT((1-AY419)*($AN$10-$AL$10)*($AN$10-$AM$10))),$AM$10)</f>
        <v/>
      </c>
      <c r="AQ419">
        <f>IFERROR(IF(AZ419&lt;($AM$11-$AL$11)/($AN$11-$AL$11),$AL$11+SQRT(AZ419*($AN$11-$AL$11)*($AM$11-$AL$11)),$AN$11-SQRT((1-AZ419)*($AN$11-$AL$11)*($AN$11-$AM$11))),$AM$11)</f>
        <v/>
      </c>
      <c r="AR419">
        <f>SUMPRODUCT((B24:B31&lt;=$B$6)*(C24:C31*AM419+D24:D31*AO419*$B$8*AQ419)/(1+AL419/100)^B24:B31)+C32*AM419*AP419/(1+AL419/100)^$B$6</f>
        <v/>
      </c>
      <c r="AS419">
        <f>SUMPRODUCT((K24:K26&lt;=$B$6)*(L24:L26*AN419+M24:M26*AO419*$B$8*AQ419)/(1+AL419/100)^K24:K26)+L27*AN419*AP419/(1+AL419/100)^$B$6</f>
        <v/>
      </c>
      <c r="AT419">
        <f>AS419-AR419</f>
        <v/>
      </c>
      <c r="AU419">
        <f>RAND()</f>
        <v/>
      </c>
      <c r="AV419">
        <f>RAND()</f>
        <v/>
      </c>
      <c r="AW419">
        <f>RAND()</f>
        <v/>
      </c>
      <c r="AX419">
        <f>RAND()</f>
        <v/>
      </c>
      <c r="AY419">
        <f>RAND()</f>
        <v/>
      </c>
      <c r="AZ419">
        <f>RAND()</f>
        <v/>
      </c>
    </row>
    <row r="420">
      <c r="AK420" t="n">
        <v>407</v>
      </c>
      <c r="AL420">
        <f>IFERROR(IF(AU420&lt;($AM$6-$AL$6)/($AN$6-$AL$6),$AL$6+SQRT(AU420*($AN$6-$AL$6)*($AM$6-$AL$6)),$AN$6-SQRT((1-AU420)*($AN$6-$AL$6)*($AN$6-$AM$6))),$AM$6)</f>
        <v/>
      </c>
      <c r="AM420">
        <f>IFERROR(IF(AV420&lt;($AM$7-$AL$7)/($AN$7-$AL$7),$AL$7+SQRT(AV420*($AN$7-$AL$7)*($AM$7-$AL$7)),$AN$7-SQRT((1-AV420)*($AN$7-$AL$7)*($AN$7-$AM$7))),$AM$7)</f>
        <v/>
      </c>
      <c r="AN420">
        <f>IFERROR(IF(AW420&lt;($AM$8-$AL$8)/($AN$8-$AL$8),$AL$8+SQRT(AW420*($AN$8-$AL$8)*($AM$8-$AL$8)),$AN$8-SQRT((1-AW420)*($AN$8-$AL$8)*($AN$8-$AM$8))),$AM$8)</f>
        <v/>
      </c>
      <c r="AO420">
        <f>IFERROR(IF(AX420&lt;($AM$9-$AL$9)/($AN$9-$AL$9),$AL$9+SQRT(AX420*($AN$9-$AL$9)*($AM$9-$AL$9)),$AN$9-SQRT((1-AX420)*($AN$9-$AL$9)*($AN$9-$AM$9))),$AM$9)</f>
        <v/>
      </c>
      <c r="AP420">
        <f>IFERROR(IF(AY420&lt;($AM$10-$AL$10)/($AN$10-$AL$10),$AL$10+SQRT(AY420*($AN$10-$AL$10)*($AM$10-$AL$10)),$AN$10-SQRT((1-AY420)*($AN$10-$AL$10)*($AN$10-$AM$10))),$AM$10)</f>
        <v/>
      </c>
      <c r="AQ420">
        <f>IFERROR(IF(AZ420&lt;($AM$11-$AL$11)/($AN$11-$AL$11),$AL$11+SQRT(AZ420*($AN$11-$AL$11)*($AM$11-$AL$11)),$AN$11-SQRT((1-AZ420)*($AN$11-$AL$11)*($AN$11-$AM$11))),$AM$11)</f>
        <v/>
      </c>
      <c r="AR420">
        <f>SUMPRODUCT((B24:B31&lt;=$B$6)*(C24:C31*AM420+D24:D31*AO420*$B$8*AQ420)/(1+AL420/100)^B24:B31)+C32*AM420*AP420/(1+AL420/100)^$B$6</f>
        <v/>
      </c>
      <c r="AS420">
        <f>SUMPRODUCT((K24:K26&lt;=$B$6)*(L24:L26*AN420+M24:M26*AO420*$B$8*AQ420)/(1+AL420/100)^K24:K26)+L27*AN420*AP420/(1+AL420/100)^$B$6</f>
        <v/>
      </c>
      <c r="AT420">
        <f>AS420-AR420</f>
        <v/>
      </c>
      <c r="AU420">
        <f>RAND()</f>
        <v/>
      </c>
      <c r="AV420">
        <f>RAND()</f>
        <v/>
      </c>
      <c r="AW420">
        <f>RAND()</f>
        <v/>
      </c>
      <c r="AX420">
        <f>RAND()</f>
        <v/>
      </c>
      <c r="AY420">
        <f>RAND()</f>
        <v/>
      </c>
      <c r="AZ420">
        <f>RAND()</f>
        <v/>
      </c>
    </row>
    <row r="421">
      <c r="AK421" t="n">
        <v>408</v>
      </c>
      <c r="AL421">
        <f>IFERROR(IF(AU421&lt;($AM$6-$AL$6)/($AN$6-$AL$6),$AL$6+SQRT(AU421*($AN$6-$AL$6)*($AM$6-$AL$6)),$AN$6-SQRT((1-AU421)*($AN$6-$AL$6)*($AN$6-$AM$6))),$AM$6)</f>
        <v/>
      </c>
      <c r="AM421">
        <f>IFERROR(IF(AV421&lt;($AM$7-$AL$7)/($AN$7-$AL$7),$AL$7+SQRT(AV421*($AN$7-$AL$7)*($AM$7-$AL$7)),$AN$7-SQRT((1-AV421)*($AN$7-$AL$7)*($AN$7-$AM$7))),$AM$7)</f>
        <v/>
      </c>
      <c r="AN421">
        <f>IFERROR(IF(AW421&lt;($AM$8-$AL$8)/($AN$8-$AL$8),$AL$8+SQRT(AW421*($AN$8-$AL$8)*($AM$8-$AL$8)),$AN$8-SQRT((1-AW421)*($AN$8-$AL$8)*($AN$8-$AM$8))),$AM$8)</f>
        <v/>
      </c>
      <c r="AO421">
        <f>IFERROR(IF(AX421&lt;($AM$9-$AL$9)/($AN$9-$AL$9),$AL$9+SQRT(AX421*($AN$9-$AL$9)*($AM$9-$AL$9)),$AN$9-SQRT((1-AX421)*($AN$9-$AL$9)*($AN$9-$AM$9))),$AM$9)</f>
        <v/>
      </c>
      <c r="AP421">
        <f>IFERROR(IF(AY421&lt;($AM$10-$AL$10)/($AN$10-$AL$10),$AL$10+SQRT(AY421*($AN$10-$AL$10)*($AM$10-$AL$10)),$AN$10-SQRT((1-AY421)*($AN$10-$AL$10)*($AN$10-$AM$10))),$AM$10)</f>
        <v/>
      </c>
      <c r="AQ421">
        <f>IFERROR(IF(AZ421&lt;($AM$11-$AL$11)/($AN$11-$AL$11),$AL$11+SQRT(AZ421*($AN$11-$AL$11)*($AM$11-$AL$11)),$AN$11-SQRT((1-AZ421)*($AN$11-$AL$11)*($AN$11-$AM$11))),$AM$11)</f>
        <v/>
      </c>
      <c r="AR421">
        <f>SUMPRODUCT((B24:B31&lt;=$B$6)*(C24:C31*AM421+D24:D31*AO421*$B$8*AQ421)/(1+AL421/100)^B24:B31)+C32*AM421*AP421/(1+AL421/100)^$B$6</f>
        <v/>
      </c>
      <c r="AS421">
        <f>SUMPRODUCT((K24:K26&lt;=$B$6)*(L24:L26*AN421+M24:M26*AO421*$B$8*AQ421)/(1+AL421/100)^K24:K26)+L27*AN421*AP421/(1+AL421/100)^$B$6</f>
        <v/>
      </c>
      <c r="AT421">
        <f>AS421-AR421</f>
        <v/>
      </c>
      <c r="AU421">
        <f>RAND()</f>
        <v/>
      </c>
      <c r="AV421">
        <f>RAND()</f>
        <v/>
      </c>
      <c r="AW421">
        <f>RAND()</f>
        <v/>
      </c>
      <c r="AX421">
        <f>RAND()</f>
        <v/>
      </c>
      <c r="AY421">
        <f>RAND()</f>
        <v/>
      </c>
      <c r="AZ421">
        <f>RAND()</f>
        <v/>
      </c>
    </row>
    <row r="422">
      <c r="AK422" t="n">
        <v>409</v>
      </c>
      <c r="AL422">
        <f>IFERROR(IF(AU422&lt;($AM$6-$AL$6)/($AN$6-$AL$6),$AL$6+SQRT(AU422*($AN$6-$AL$6)*($AM$6-$AL$6)),$AN$6-SQRT((1-AU422)*($AN$6-$AL$6)*($AN$6-$AM$6))),$AM$6)</f>
        <v/>
      </c>
      <c r="AM422">
        <f>IFERROR(IF(AV422&lt;($AM$7-$AL$7)/($AN$7-$AL$7),$AL$7+SQRT(AV422*($AN$7-$AL$7)*($AM$7-$AL$7)),$AN$7-SQRT((1-AV422)*($AN$7-$AL$7)*($AN$7-$AM$7))),$AM$7)</f>
        <v/>
      </c>
      <c r="AN422">
        <f>IFERROR(IF(AW422&lt;($AM$8-$AL$8)/($AN$8-$AL$8),$AL$8+SQRT(AW422*($AN$8-$AL$8)*($AM$8-$AL$8)),$AN$8-SQRT((1-AW422)*($AN$8-$AL$8)*($AN$8-$AM$8))),$AM$8)</f>
        <v/>
      </c>
      <c r="AO422">
        <f>IFERROR(IF(AX422&lt;($AM$9-$AL$9)/($AN$9-$AL$9),$AL$9+SQRT(AX422*($AN$9-$AL$9)*($AM$9-$AL$9)),$AN$9-SQRT((1-AX422)*($AN$9-$AL$9)*($AN$9-$AM$9))),$AM$9)</f>
        <v/>
      </c>
      <c r="AP422">
        <f>IFERROR(IF(AY422&lt;($AM$10-$AL$10)/($AN$10-$AL$10),$AL$10+SQRT(AY422*($AN$10-$AL$10)*($AM$10-$AL$10)),$AN$10-SQRT((1-AY422)*($AN$10-$AL$10)*($AN$10-$AM$10))),$AM$10)</f>
        <v/>
      </c>
      <c r="AQ422">
        <f>IFERROR(IF(AZ422&lt;($AM$11-$AL$11)/($AN$11-$AL$11),$AL$11+SQRT(AZ422*($AN$11-$AL$11)*($AM$11-$AL$11)),$AN$11-SQRT((1-AZ422)*($AN$11-$AL$11)*($AN$11-$AM$11))),$AM$11)</f>
        <v/>
      </c>
      <c r="AR422">
        <f>SUMPRODUCT((B24:B31&lt;=$B$6)*(C24:C31*AM422+D24:D31*AO422*$B$8*AQ422)/(1+AL422/100)^B24:B31)+C32*AM422*AP422/(1+AL422/100)^$B$6</f>
        <v/>
      </c>
      <c r="AS422">
        <f>SUMPRODUCT((K24:K26&lt;=$B$6)*(L24:L26*AN422+M24:M26*AO422*$B$8*AQ422)/(1+AL422/100)^K24:K26)+L27*AN422*AP422/(1+AL422/100)^$B$6</f>
        <v/>
      </c>
      <c r="AT422">
        <f>AS422-AR422</f>
        <v/>
      </c>
      <c r="AU422">
        <f>RAND()</f>
        <v/>
      </c>
      <c r="AV422">
        <f>RAND()</f>
        <v/>
      </c>
      <c r="AW422">
        <f>RAND()</f>
        <v/>
      </c>
      <c r="AX422">
        <f>RAND()</f>
        <v/>
      </c>
      <c r="AY422">
        <f>RAND()</f>
        <v/>
      </c>
      <c r="AZ422">
        <f>RAND()</f>
        <v/>
      </c>
    </row>
    <row r="423">
      <c r="AK423" t="n">
        <v>410</v>
      </c>
      <c r="AL423">
        <f>IFERROR(IF(AU423&lt;($AM$6-$AL$6)/($AN$6-$AL$6),$AL$6+SQRT(AU423*($AN$6-$AL$6)*($AM$6-$AL$6)),$AN$6-SQRT((1-AU423)*($AN$6-$AL$6)*($AN$6-$AM$6))),$AM$6)</f>
        <v/>
      </c>
      <c r="AM423">
        <f>IFERROR(IF(AV423&lt;($AM$7-$AL$7)/($AN$7-$AL$7),$AL$7+SQRT(AV423*($AN$7-$AL$7)*($AM$7-$AL$7)),$AN$7-SQRT((1-AV423)*($AN$7-$AL$7)*($AN$7-$AM$7))),$AM$7)</f>
        <v/>
      </c>
      <c r="AN423">
        <f>IFERROR(IF(AW423&lt;($AM$8-$AL$8)/($AN$8-$AL$8),$AL$8+SQRT(AW423*($AN$8-$AL$8)*($AM$8-$AL$8)),$AN$8-SQRT((1-AW423)*($AN$8-$AL$8)*($AN$8-$AM$8))),$AM$8)</f>
        <v/>
      </c>
      <c r="AO423">
        <f>IFERROR(IF(AX423&lt;($AM$9-$AL$9)/($AN$9-$AL$9),$AL$9+SQRT(AX423*($AN$9-$AL$9)*($AM$9-$AL$9)),$AN$9-SQRT((1-AX423)*($AN$9-$AL$9)*($AN$9-$AM$9))),$AM$9)</f>
        <v/>
      </c>
      <c r="AP423">
        <f>IFERROR(IF(AY423&lt;($AM$10-$AL$10)/($AN$10-$AL$10),$AL$10+SQRT(AY423*($AN$10-$AL$10)*($AM$10-$AL$10)),$AN$10-SQRT((1-AY423)*($AN$10-$AL$10)*($AN$10-$AM$10))),$AM$10)</f>
        <v/>
      </c>
      <c r="AQ423">
        <f>IFERROR(IF(AZ423&lt;($AM$11-$AL$11)/($AN$11-$AL$11),$AL$11+SQRT(AZ423*($AN$11-$AL$11)*($AM$11-$AL$11)),$AN$11-SQRT((1-AZ423)*($AN$11-$AL$11)*($AN$11-$AM$11))),$AM$11)</f>
        <v/>
      </c>
      <c r="AR423">
        <f>SUMPRODUCT((B24:B31&lt;=$B$6)*(C24:C31*AM423+D24:D31*AO423*$B$8*AQ423)/(1+AL423/100)^B24:B31)+C32*AM423*AP423/(1+AL423/100)^$B$6</f>
        <v/>
      </c>
      <c r="AS423">
        <f>SUMPRODUCT((K24:K26&lt;=$B$6)*(L24:L26*AN423+M24:M26*AO423*$B$8*AQ423)/(1+AL423/100)^K24:K26)+L27*AN423*AP423/(1+AL423/100)^$B$6</f>
        <v/>
      </c>
      <c r="AT423">
        <f>AS423-AR423</f>
        <v/>
      </c>
      <c r="AU423">
        <f>RAND()</f>
        <v/>
      </c>
      <c r="AV423">
        <f>RAND()</f>
        <v/>
      </c>
      <c r="AW423">
        <f>RAND()</f>
        <v/>
      </c>
      <c r="AX423">
        <f>RAND()</f>
        <v/>
      </c>
      <c r="AY423">
        <f>RAND()</f>
        <v/>
      </c>
      <c r="AZ423">
        <f>RAND()</f>
        <v/>
      </c>
    </row>
    <row r="424">
      <c r="AK424" t="n">
        <v>411</v>
      </c>
      <c r="AL424">
        <f>IFERROR(IF(AU424&lt;($AM$6-$AL$6)/($AN$6-$AL$6),$AL$6+SQRT(AU424*($AN$6-$AL$6)*($AM$6-$AL$6)),$AN$6-SQRT((1-AU424)*($AN$6-$AL$6)*($AN$6-$AM$6))),$AM$6)</f>
        <v/>
      </c>
      <c r="AM424">
        <f>IFERROR(IF(AV424&lt;($AM$7-$AL$7)/($AN$7-$AL$7),$AL$7+SQRT(AV424*($AN$7-$AL$7)*($AM$7-$AL$7)),$AN$7-SQRT((1-AV424)*($AN$7-$AL$7)*($AN$7-$AM$7))),$AM$7)</f>
        <v/>
      </c>
      <c r="AN424">
        <f>IFERROR(IF(AW424&lt;($AM$8-$AL$8)/($AN$8-$AL$8),$AL$8+SQRT(AW424*($AN$8-$AL$8)*($AM$8-$AL$8)),$AN$8-SQRT((1-AW424)*($AN$8-$AL$8)*($AN$8-$AM$8))),$AM$8)</f>
        <v/>
      </c>
      <c r="AO424">
        <f>IFERROR(IF(AX424&lt;($AM$9-$AL$9)/($AN$9-$AL$9),$AL$9+SQRT(AX424*($AN$9-$AL$9)*($AM$9-$AL$9)),$AN$9-SQRT((1-AX424)*($AN$9-$AL$9)*($AN$9-$AM$9))),$AM$9)</f>
        <v/>
      </c>
      <c r="AP424">
        <f>IFERROR(IF(AY424&lt;($AM$10-$AL$10)/($AN$10-$AL$10),$AL$10+SQRT(AY424*($AN$10-$AL$10)*($AM$10-$AL$10)),$AN$10-SQRT((1-AY424)*($AN$10-$AL$10)*($AN$10-$AM$10))),$AM$10)</f>
        <v/>
      </c>
      <c r="AQ424">
        <f>IFERROR(IF(AZ424&lt;($AM$11-$AL$11)/($AN$11-$AL$11),$AL$11+SQRT(AZ424*($AN$11-$AL$11)*($AM$11-$AL$11)),$AN$11-SQRT((1-AZ424)*($AN$11-$AL$11)*($AN$11-$AM$11))),$AM$11)</f>
        <v/>
      </c>
      <c r="AR424">
        <f>SUMPRODUCT((B24:B31&lt;=$B$6)*(C24:C31*AM424+D24:D31*AO424*$B$8*AQ424)/(1+AL424/100)^B24:B31)+C32*AM424*AP424/(1+AL424/100)^$B$6</f>
        <v/>
      </c>
      <c r="AS424">
        <f>SUMPRODUCT((K24:K26&lt;=$B$6)*(L24:L26*AN424+M24:M26*AO424*$B$8*AQ424)/(1+AL424/100)^K24:K26)+L27*AN424*AP424/(1+AL424/100)^$B$6</f>
        <v/>
      </c>
      <c r="AT424">
        <f>AS424-AR424</f>
        <v/>
      </c>
      <c r="AU424">
        <f>RAND()</f>
        <v/>
      </c>
      <c r="AV424">
        <f>RAND()</f>
        <v/>
      </c>
      <c r="AW424">
        <f>RAND()</f>
        <v/>
      </c>
      <c r="AX424">
        <f>RAND()</f>
        <v/>
      </c>
      <c r="AY424">
        <f>RAND()</f>
        <v/>
      </c>
      <c r="AZ424">
        <f>RAND()</f>
        <v/>
      </c>
    </row>
    <row r="425">
      <c r="AK425" t="n">
        <v>412</v>
      </c>
      <c r="AL425">
        <f>IFERROR(IF(AU425&lt;($AM$6-$AL$6)/($AN$6-$AL$6),$AL$6+SQRT(AU425*($AN$6-$AL$6)*($AM$6-$AL$6)),$AN$6-SQRT((1-AU425)*($AN$6-$AL$6)*($AN$6-$AM$6))),$AM$6)</f>
        <v/>
      </c>
      <c r="AM425">
        <f>IFERROR(IF(AV425&lt;($AM$7-$AL$7)/($AN$7-$AL$7),$AL$7+SQRT(AV425*($AN$7-$AL$7)*($AM$7-$AL$7)),$AN$7-SQRT((1-AV425)*($AN$7-$AL$7)*($AN$7-$AM$7))),$AM$7)</f>
        <v/>
      </c>
      <c r="AN425">
        <f>IFERROR(IF(AW425&lt;($AM$8-$AL$8)/($AN$8-$AL$8),$AL$8+SQRT(AW425*($AN$8-$AL$8)*($AM$8-$AL$8)),$AN$8-SQRT((1-AW425)*($AN$8-$AL$8)*($AN$8-$AM$8))),$AM$8)</f>
        <v/>
      </c>
      <c r="AO425">
        <f>IFERROR(IF(AX425&lt;($AM$9-$AL$9)/($AN$9-$AL$9),$AL$9+SQRT(AX425*($AN$9-$AL$9)*($AM$9-$AL$9)),$AN$9-SQRT((1-AX425)*($AN$9-$AL$9)*($AN$9-$AM$9))),$AM$9)</f>
        <v/>
      </c>
      <c r="AP425">
        <f>IFERROR(IF(AY425&lt;($AM$10-$AL$10)/($AN$10-$AL$10),$AL$10+SQRT(AY425*($AN$10-$AL$10)*($AM$10-$AL$10)),$AN$10-SQRT((1-AY425)*($AN$10-$AL$10)*($AN$10-$AM$10))),$AM$10)</f>
        <v/>
      </c>
      <c r="AQ425">
        <f>IFERROR(IF(AZ425&lt;($AM$11-$AL$11)/($AN$11-$AL$11),$AL$11+SQRT(AZ425*($AN$11-$AL$11)*($AM$11-$AL$11)),$AN$11-SQRT((1-AZ425)*($AN$11-$AL$11)*($AN$11-$AM$11))),$AM$11)</f>
        <v/>
      </c>
      <c r="AR425">
        <f>SUMPRODUCT((B24:B31&lt;=$B$6)*(C24:C31*AM425+D24:D31*AO425*$B$8*AQ425)/(1+AL425/100)^B24:B31)+C32*AM425*AP425/(1+AL425/100)^$B$6</f>
        <v/>
      </c>
      <c r="AS425">
        <f>SUMPRODUCT((K24:K26&lt;=$B$6)*(L24:L26*AN425+M24:M26*AO425*$B$8*AQ425)/(1+AL425/100)^K24:K26)+L27*AN425*AP425/(1+AL425/100)^$B$6</f>
        <v/>
      </c>
      <c r="AT425">
        <f>AS425-AR425</f>
        <v/>
      </c>
      <c r="AU425">
        <f>RAND()</f>
        <v/>
      </c>
      <c r="AV425">
        <f>RAND()</f>
        <v/>
      </c>
      <c r="AW425">
        <f>RAND()</f>
        <v/>
      </c>
      <c r="AX425">
        <f>RAND()</f>
        <v/>
      </c>
      <c r="AY425">
        <f>RAND()</f>
        <v/>
      </c>
      <c r="AZ425">
        <f>RAND()</f>
        <v/>
      </c>
    </row>
    <row r="426">
      <c r="AK426" t="n">
        <v>413</v>
      </c>
      <c r="AL426">
        <f>IFERROR(IF(AU426&lt;($AM$6-$AL$6)/($AN$6-$AL$6),$AL$6+SQRT(AU426*($AN$6-$AL$6)*($AM$6-$AL$6)),$AN$6-SQRT((1-AU426)*($AN$6-$AL$6)*($AN$6-$AM$6))),$AM$6)</f>
        <v/>
      </c>
      <c r="AM426">
        <f>IFERROR(IF(AV426&lt;($AM$7-$AL$7)/($AN$7-$AL$7),$AL$7+SQRT(AV426*($AN$7-$AL$7)*($AM$7-$AL$7)),$AN$7-SQRT((1-AV426)*($AN$7-$AL$7)*($AN$7-$AM$7))),$AM$7)</f>
        <v/>
      </c>
      <c r="AN426">
        <f>IFERROR(IF(AW426&lt;($AM$8-$AL$8)/($AN$8-$AL$8),$AL$8+SQRT(AW426*($AN$8-$AL$8)*($AM$8-$AL$8)),$AN$8-SQRT((1-AW426)*($AN$8-$AL$8)*($AN$8-$AM$8))),$AM$8)</f>
        <v/>
      </c>
      <c r="AO426">
        <f>IFERROR(IF(AX426&lt;($AM$9-$AL$9)/($AN$9-$AL$9),$AL$9+SQRT(AX426*($AN$9-$AL$9)*($AM$9-$AL$9)),$AN$9-SQRT((1-AX426)*($AN$9-$AL$9)*($AN$9-$AM$9))),$AM$9)</f>
        <v/>
      </c>
      <c r="AP426">
        <f>IFERROR(IF(AY426&lt;($AM$10-$AL$10)/($AN$10-$AL$10),$AL$10+SQRT(AY426*($AN$10-$AL$10)*($AM$10-$AL$10)),$AN$10-SQRT((1-AY426)*($AN$10-$AL$10)*($AN$10-$AM$10))),$AM$10)</f>
        <v/>
      </c>
      <c r="AQ426">
        <f>IFERROR(IF(AZ426&lt;($AM$11-$AL$11)/($AN$11-$AL$11),$AL$11+SQRT(AZ426*($AN$11-$AL$11)*($AM$11-$AL$11)),$AN$11-SQRT((1-AZ426)*($AN$11-$AL$11)*($AN$11-$AM$11))),$AM$11)</f>
        <v/>
      </c>
      <c r="AR426">
        <f>SUMPRODUCT((B24:B31&lt;=$B$6)*(C24:C31*AM426+D24:D31*AO426*$B$8*AQ426)/(1+AL426/100)^B24:B31)+C32*AM426*AP426/(1+AL426/100)^$B$6</f>
        <v/>
      </c>
      <c r="AS426">
        <f>SUMPRODUCT((K24:K26&lt;=$B$6)*(L24:L26*AN426+M24:M26*AO426*$B$8*AQ426)/(1+AL426/100)^K24:K26)+L27*AN426*AP426/(1+AL426/100)^$B$6</f>
        <v/>
      </c>
      <c r="AT426">
        <f>AS426-AR426</f>
        <v/>
      </c>
      <c r="AU426">
        <f>RAND()</f>
        <v/>
      </c>
      <c r="AV426">
        <f>RAND()</f>
        <v/>
      </c>
      <c r="AW426">
        <f>RAND()</f>
        <v/>
      </c>
      <c r="AX426">
        <f>RAND()</f>
        <v/>
      </c>
      <c r="AY426">
        <f>RAND()</f>
        <v/>
      </c>
      <c r="AZ426">
        <f>RAND()</f>
        <v/>
      </c>
    </row>
    <row r="427">
      <c r="AK427" t="n">
        <v>414</v>
      </c>
      <c r="AL427">
        <f>IFERROR(IF(AU427&lt;($AM$6-$AL$6)/($AN$6-$AL$6),$AL$6+SQRT(AU427*($AN$6-$AL$6)*($AM$6-$AL$6)),$AN$6-SQRT((1-AU427)*($AN$6-$AL$6)*($AN$6-$AM$6))),$AM$6)</f>
        <v/>
      </c>
      <c r="AM427">
        <f>IFERROR(IF(AV427&lt;($AM$7-$AL$7)/($AN$7-$AL$7),$AL$7+SQRT(AV427*($AN$7-$AL$7)*($AM$7-$AL$7)),$AN$7-SQRT((1-AV427)*($AN$7-$AL$7)*($AN$7-$AM$7))),$AM$7)</f>
        <v/>
      </c>
      <c r="AN427">
        <f>IFERROR(IF(AW427&lt;($AM$8-$AL$8)/($AN$8-$AL$8),$AL$8+SQRT(AW427*($AN$8-$AL$8)*($AM$8-$AL$8)),$AN$8-SQRT((1-AW427)*($AN$8-$AL$8)*($AN$8-$AM$8))),$AM$8)</f>
        <v/>
      </c>
      <c r="AO427">
        <f>IFERROR(IF(AX427&lt;($AM$9-$AL$9)/($AN$9-$AL$9),$AL$9+SQRT(AX427*($AN$9-$AL$9)*($AM$9-$AL$9)),$AN$9-SQRT((1-AX427)*($AN$9-$AL$9)*($AN$9-$AM$9))),$AM$9)</f>
        <v/>
      </c>
      <c r="AP427">
        <f>IFERROR(IF(AY427&lt;($AM$10-$AL$10)/($AN$10-$AL$10),$AL$10+SQRT(AY427*($AN$10-$AL$10)*($AM$10-$AL$10)),$AN$10-SQRT((1-AY427)*($AN$10-$AL$10)*($AN$10-$AM$10))),$AM$10)</f>
        <v/>
      </c>
      <c r="AQ427">
        <f>IFERROR(IF(AZ427&lt;($AM$11-$AL$11)/($AN$11-$AL$11),$AL$11+SQRT(AZ427*($AN$11-$AL$11)*($AM$11-$AL$11)),$AN$11-SQRT((1-AZ427)*($AN$11-$AL$11)*($AN$11-$AM$11))),$AM$11)</f>
        <v/>
      </c>
      <c r="AR427">
        <f>SUMPRODUCT((B24:B31&lt;=$B$6)*(C24:C31*AM427+D24:D31*AO427*$B$8*AQ427)/(1+AL427/100)^B24:B31)+C32*AM427*AP427/(1+AL427/100)^$B$6</f>
        <v/>
      </c>
      <c r="AS427">
        <f>SUMPRODUCT((K24:K26&lt;=$B$6)*(L24:L26*AN427+M24:M26*AO427*$B$8*AQ427)/(1+AL427/100)^K24:K26)+L27*AN427*AP427/(1+AL427/100)^$B$6</f>
        <v/>
      </c>
      <c r="AT427">
        <f>AS427-AR427</f>
        <v/>
      </c>
      <c r="AU427">
        <f>RAND()</f>
        <v/>
      </c>
      <c r="AV427">
        <f>RAND()</f>
        <v/>
      </c>
      <c r="AW427">
        <f>RAND()</f>
        <v/>
      </c>
      <c r="AX427">
        <f>RAND()</f>
        <v/>
      </c>
      <c r="AY427">
        <f>RAND()</f>
        <v/>
      </c>
      <c r="AZ427">
        <f>RAND()</f>
        <v/>
      </c>
    </row>
    <row r="428">
      <c r="AK428" t="n">
        <v>415</v>
      </c>
      <c r="AL428">
        <f>IFERROR(IF(AU428&lt;($AM$6-$AL$6)/($AN$6-$AL$6),$AL$6+SQRT(AU428*($AN$6-$AL$6)*($AM$6-$AL$6)),$AN$6-SQRT((1-AU428)*($AN$6-$AL$6)*($AN$6-$AM$6))),$AM$6)</f>
        <v/>
      </c>
      <c r="AM428">
        <f>IFERROR(IF(AV428&lt;($AM$7-$AL$7)/($AN$7-$AL$7),$AL$7+SQRT(AV428*($AN$7-$AL$7)*($AM$7-$AL$7)),$AN$7-SQRT((1-AV428)*($AN$7-$AL$7)*($AN$7-$AM$7))),$AM$7)</f>
        <v/>
      </c>
      <c r="AN428">
        <f>IFERROR(IF(AW428&lt;($AM$8-$AL$8)/($AN$8-$AL$8),$AL$8+SQRT(AW428*($AN$8-$AL$8)*($AM$8-$AL$8)),$AN$8-SQRT((1-AW428)*($AN$8-$AL$8)*($AN$8-$AM$8))),$AM$8)</f>
        <v/>
      </c>
      <c r="AO428">
        <f>IFERROR(IF(AX428&lt;($AM$9-$AL$9)/($AN$9-$AL$9),$AL$9+SQRT(AX428*($AN$9-$AL$9)*($AM$9-$AL$9)),$AN$9-SQRT((1-AX428)*($AN$9-$AL$9)*($AN$9-$AM$9))),$AM$9)</f>
        <v/>
      </c>
      <c r="AP428">
        <f>IFERROR(IF(AY428&lt;($AM$10-$AL$10)/($AN$10-$AL$10),$AL$10+SQRT(AY428*($AN$10-$AL$10)*($AM$10-$AL$10)),$AN$10-SQRT((1-AY428)*($AN$10-$AL$10)*($AN$10-$AM$10))),$AM$10)</f>
        <v/>
      </c>
      <c r="AQ428">
        <f>IFERROR(IF(AZ428&lt;($AM$11-$AL$11)/($AN$11-$AL$11),$AL$11+SQRT(AZ428*($AN$11-$AL$11)*($AM$11-$AL$11)),$AN$11-SQRT((1-AZ428)*($AN$11-$AL$11)*($AN$11-$AM$11))),$AM$11)</f>
        <v/>
      </c>
      <c r="AR428">
        <f>SUMPRODUCT((B24:B31&lt;=$B$6)*(C24:C31*AM428+D24:D31*AO428*$B$8*AQ428)/(1+AL428/100)^B24:B31)+C32*AM428*AP428/(1+AL428/100)^$B$6</f>
        <v/>
      </c>
      <c r="AS428">
        <f>SUMPRODUCT((K24:K26&lt;=$B$6)*(L24:L26*AN428+M24:M26*AO428*$B$8*AQ428)/(1+AL428/100)^K24:K26)+L27*AN428*AP428/(1+AL428/100)^$B$6</f>
        <v/>
      </c>
      <c r="AT428">
        <f>AS428-AR428</f>
        <v/>
      </c>
      <c r="AU428">
        <f>RAND()</f>
        <v/>
      </c>
      <c r="AV428">
        <f>RAND()</f>
        <v/>
      </c>
      <c r="AW428">
        <f>RAND()</f>
        <v/>
      </c>
      <c r="AX428">
        <f>RAND()</f>
        <v/>
      </c>
      <c r="AY428">
        <f>RAND()</f>
        <v/>
      </c>
      <c r="AZ428">
        <f>RAND()</f>
        <v/>
      </c>
    </row>
    <row r="429">
      <c r="AK429" t="n">
        <v>416</v>
      </c>
      <c r="AL429">
        <f>IFERROR(IF(AU429&lt;($AM$6-$AL$6)/($AN$6-$AL$6),$AL$6+SQRT(AU429*($AN$6-$AL$6)*($AM$6-$AL$6)),$AN$6-SQRT((1-AU429)*($AN$6-$AL$6)*($AN$6-$AM$6))),$AM$6)</f>
        <v/>
      </c>
      <c r="AM429">
        <f>IFERROR(IF(AV429&lt;($AM$7-$AL$7)/($AN$7-$AL$7),$AL$7+SQRT(AV429*($AN$7-$AL$7)*($AM$7-$AL$7)),$AN$7-SQRT((1-AV429)*($AN$7-$AL$7)*($AN$7-$AM$7))),$AM$7)</f>
        <v/>
      </c>
      <c r="AN429">
        <f>IFERROR(IF(AW429&lt;($AM$8-$AL$8)/($AN$8-$AL$8),$AL$8+SQRT(AW429*($AN$8-$AL$8)*($AM$8-$AL$8)),$AN$8-SQRT((1-AW429)*($AN$8-$AL$8)*($AN$8-$AM$8))),$AM$8)</f>
        <v/>
      </c>
      <c r="AO429">
        <f>IFERROR(IF(AX429&lt;($AM$9-$AL$9)/($AN$9-$AL$9),$AL$9+SQRT(AX429*($AN$9-$AL$9)*($AM$9-$AL$9)),$AN$9-SQRT((1-AX429)*($AN$9-$AL$9)*($AN$9-$AM$9))),$AM$9)</f>
        <v/>
      </c>
      <c r="AP429">
        <f>IFERROR(IF(AY429&lt;($AM$10-$AL$10)/($AN$10-$AL$10),$AL$10+SQRT(AY429*($AN$10-$AL$10)*($AM$10-$AL$10)),$AN$10-SQRT((1-AY429)*($AN$10-$AL$10)*($AN$10-$AM$10))),$AM$10)</f>
        <v/>
      </c>
      <c r="AQ429">
        <f>IFERROR(IF(AZ429&lt;($AM$11-$AL$11)/($AN$11-$AL$11),$AL$11+SQRT(AZ429*($AN$11-$AL$11)*($AM$11-$AL$11)),$AN$11-SQRT((1-AZ429)*($AN$11-$AL$11)*($AN$11-$AM$11))),$AM$11)</f>
        <v/>
      </c>
      <c r="AR429">
        <f>SUMPRODUCT((B24:B31&lt;=$B$6)*(C24:C31*AM429+D24:D31*AO429*$B$8*AQ429)/(1+AL429/100)^B24:B31)+C32*AM429*AP429/(1+AL429/100)^$B$6</f>
        <v/>
      </c>
      <c r="AS429">
        <f>SUMPRODUCT((K24:K26&lt;=$B$6)*(L24:L26*AN429+M24:M26*AO429*$B$8*AQ429)/(1+AL429/100)^K24:K26)+L27*AN429*AP429/(1+AL429/100)^$B$6</f>
        <v/>
      </c>
      <c r="AT429">
        <f>AS429-AR429</f>
        <v/>
      </c>
      <c r="AU429">
        <f>RAND()</f>
        <v/>
      </c>
      <c r="AV429">
        <f>RAND()</f>
        <v/>
      </c>
      <c r="AW429">
        <f>RAND()</f>
        <v/>
      </c>
      <c r="AX429">
        <f>RAND()</f>
        <v/>
      </c>
      <c r="AY429">
        <f>RAND()</f>
        <v/>
      </c>
      <c r="AZ429">
        <f>RAND()</f>
        <v/>
      </c>
    </row>
    <row r="430">
      <c r="AK430" t="n">
        <v>417</v>
      </c>
      <c r="AL430">
        <f>IFERROR(IF(AU430&lt;($AM$6-$AL$6)/($AN$6-$AL$6),$AL$6+SQRT(AU430*($AN$6-$AL$6)*($AM$6-$AL$6)),$AN$6-SQRT((1-AU430)*($AN$6-$AL$6)*($AN$6-$AM$6))),$AM$6)</f>
        <v/>
      </c>
      <c r="AM430">
        <f>IFERROR(IF(AV430&lt;($AM$7-$AL$7)/($AN$7-$AL$7),$AL$7+SQRT(AV430*($AN$7-$AL$7)*($AM$7-$AL$7)),$AN$7-SQRT((1-AV430)*($AN$7-$AL$7)*($AN$7-$AM$7))),$AM$7)</f>
        <v/>
      </c>
      <c r="AN430">
        <f>IFERROR(IF(AW430&lt;($AM$8-$AL$8)/($AN$8-$AL$8),$AL$8+SQRT(AW430*($AN$8-$AL$8)*($AM$8-$AL$8)),$AN$8-SQRT((1-AW430)*($AN$8-$AL$8)*($AN$8-$AM$8))),$AM$8)</f>
        <v/>
      </c>
      <c r="AO430">
        <f>IFERROR(IF(AX430&lt;($AM$9-$AL$9)/($AN$9-$AL$9),$AL$9+SQRT(AX430*($AN$9-$AL$9)*($AM$9-$AL$9)),$AN$9-SQRT((1-AX430)*($AN$9-$AL$9)*($AN$9-$AM$9))),$AM$9)</f>
        <v/>
      </c>
      <c r="AP430">
        <f>IFERROR(IF(AY430&lt;($AM$10-$AL$10)/($AN$10-$AL$10),$AL$10+SQRT(AY430*($AN$10-$AL$10)*($AM$10-$AL$10)),$AN$10-SQRT((1-AY430)*($AN$10-$AL$10)*($AN$10-$AM$10))),$AM$10)</f>
        <v/>
      </c>
      <c r="AQ430">
        <f>IFERROR(IF(AZ430&lt;($AM$11-$AL$11)/($AN$11-$AL$11),$AL$11+SQRT(AZ430*($AN$11-$AL$11)*($AM$11-$AL$11)),$AN$11-SQRT((1-AZ430)*($AN$11-$AL$11)*($AN$11-$AM$11))),$AM$11)</f>
        <v/>
      </c>
      <c r="AR430">
        <f>SUMPRODUCT((B24:B31&lt;=$B$6)*(C24:C31*AM430+D24:D31*AO430*$B$8*AQ430)/(1+AL430/100)^B24:B31)+C32*AM430*AP430/(1+AL430/100)^$B$6</f>
        <v/>
      </c>
      <c r="AS430">
        <f>SUMPRODUCT((K24:K26&lt;=$B$6)*(L24:L26*AN430+M24:M26*AO430*$B$8*AQ430)/(1+AL430/100)^K24:K26)+L27*AN430*AP430/(1+AL430/100)^$B$6</f>
        <v/>
      </c>
      <c r="AT430">
        <f>AS430-AR430</f>
        <v/>
      </c>
      <c r="AU430">
        <f>RAND()</f>
        <v/>
      </c>
      <c r="AV430">
        <f>RAND()</f>
        <v/>
      </c>
      <c r="AW430">
        <f>RAND()</f>
        <v/>
      </c>
      <c r="AX430">
        <f>RAND()</f>
        <v/>
      </c>
      <c r="AY430">
        <f>RAND()</f>
        <v/>
      </c>
      <c r="AZ430">
        <f>RAND()</f>
        <v/>
      </c>
    </row>
    <row r="431">
      <c r="AK431" t="n">
        <v>418</v>
      </c>
      <c r="AL431">
        <f>IFERROR(IF(AU431&lt;($AM$6-$AL$6)/($AN$6-$AL$6),$AL$6+SQRT(AU431*($AN$6-$AL$6)*($AM$6-$AL$6)),$AN$6-SQRT((1-AU431)*($AN$6-$AL$6)*($AN$6-$AM$6))),$AM$6)</f>
        <v/>
      </c>
      <c r="AM431">
        <f>IFERROR(IF(AV431&lt;($AM$7-$AL$7)/($AN$7-$AL$7),$AL$7+SQRT(AV431*($AN$7-$AL$7)*($AM$7-$AL$7)),$AN$7-SQRT((1-AV431)*($AN$7-$AL$7)*($AN$7-$AM$7))),$AM$7)</f>
        <v/>
      </c>
      <c r="AN431">
        <f>IFERROR(IF(AW431&lt;($AM$8-$AL$8)/($AN$8-$AL$8),$AL$8+SQRT(AW431*($AN$8-$AL$8)*($AM$8-$AL$8)),$AN$8-SQRT((1-AW431)*($AN$8-$AL$8)*($AN$8-$AM$8))),$AM$8)</f>
        <v/>
      </c>
      <c r="AO431">
        <f>IFERROR(IF(AX431&lt;($AM$9-$AL$9)/($AN$9-$AL$9),$AL$9+SQRT(AX431*($AN$9-$AL$9)*($AM$9-$AL$9)),$AN$9-SQRT((1-AX431)*($AN$9-$AL$9)*($AN$9-$AM$9))),$AM$9)</f>
        <v/>
      </c>
      <c r="AP431">
        <f>IFERROR(IF(AY431&lt;($AM$10-$AL$10)/($AN$10-$AL$10),$AL$10+SQRT(AY431*($AN$10-$AL$10)*($AM$10-$AL$10)),$AN$10-SQRT((1-AY431)*($AN$10-$AL$10)*($AN$10-$AM$10))),$AM$10)</f>
        <v/>
      </c>
      <c r="AQ431">
        <f>IFERROR(IF(AZ431&lt;($AM$11-$AL$11)/($AN$11-$AL$11),$AL$11+SQRT(AZ431*($AN$11-$AL$11)*($AM$11-$AL$11)),$AN$11-SQRT((1-AZ431)*($AN$11-$AL$11)*($AN$11-$AM$11))),$AM$11)</f>
        <v/>
      </c>
      <c r="AR431">
        <f>SUMPRODUCT((B24:B31&lt;=$B$6)*(C24:C31*AM431+D24:D31*AO431*$B$8*AQ431)/(1+AL431/100)^B24:B31)+C32*AM431*AP431/(1+AL431/100)^$B$6</f>
        <v/>
      </c>
      <c r="AS431">
        <f>SUMPRODUCT((K24:K26&lt;=$B$6)*(L24:L26*AN431+M24:M26*AO431*$B$8*AQ431)/(1+AL431/100)^K24:K26)+L27*AN431*AP431/(1+AL431/100)^$B$6</f>
        <v/>
      </c>
      <c r="AT431">
        <f>AS431-AR431</f>
        <v/>
      </c>
      <c r="AU431">
        <f>RAND()</f>
        <v/>
      </c>
      <c r="AV431">
        <f>RAND()</f>
        <v/>
      </c>
      <c r="AW431">
        <f>RAND()</f>
        <v/>
      </c>
      <c r="AX431">
        <f>RAND()</f>
        <v/>
      </c>
      <c r="AY431">
        <f>RAND()</f>
        <v/>
      </c>
      <c r="AZ431">
        <f>RAND()</f>
        <v/>
      </c>
    </row>
    <row r="432">
      <c r="AK432" t="n">
        <v>419</v>
      </c>
      <c r="AL432">
        <f>IFERROR(IF(AU432&lt;($AM$6-$AL$6)/($AN$6-$AL$6),$AL$6+SQRT(AU432*($AN$6-$AL$6)*($AM$6-$AL$6)),$AN$6-SQRT((1-AU432)*($AN$6-$AL$6)*($AN$6-$AM$6))),$AM$6)</f>
        <v/>
      </c>
      <c r="AM432">
        <f>IFERROR(IF(AV432&lt;($AM$7-$AL$7)/($AN$7-$AL$7),$AL$7+SQRT(AV432*($AN$7-$AL$7)*($AM$7-$AL$7)),$AN$7-SQRT((1-AV432)*($AN$7-$AL$7)*($AN$7-$AM$7))),$AM$7)</f>
        <v/>
      </c>
      <c r="AN432">
        <f>IFERROR(IF(AW432&lt;($AM$8-$AL$8)/($AN$8-$AL$8),$AL$8+SQRT(AW432*($AN$8-$AL$8)*($AM$8-$AL$8)),$AN$8-SQRT((1-AW432)*($AN$8-$AL$8)*($AN$8-$AM$8))),$AM$8)</f>
        <v/>
      </c>
      <c r="AO432">
        <f>IFERROR(IF(AX432&lt;($AM$9-$AL$9)/($AN$9-$AL$9),$AL$9+SQRT(AX432*($AN$9-$AL$9)*($AM$9-$AL$9)),$AN$9-SQRT((1-AX432)*($AN$9-$AL$9)*($AN$9-$AM$9))),$AM$9)</f>
        <v/>
      </c>
      <c r="AP432">
        <f>IFERROR(IF(AY432&lt;($AM$10-$AL$10)/($AN$10-$AL$10),$AL$10+SQRT(AY432*($AN$10-$AL$10)*($AM$10-$AL$10)),$AN$10-SQRT((1-AY432)*($AN$10-$AL$10)*($AN$10-$AM$10))),$AM$10)</f>
        <v/>
      </c>
      <c r="AQ432">
        <f>IFERROR(IF(AZ432&lt;($AM$11-$AL$11)/($AN$11-$AL$11),$AL$11+SQRT(AZ432*($AN$11-$AL$11)*($AM$11-$AL$11)),$AN$11-SQRT((1-AZ432)*($AN$11-$AL$11)*($AN$11-$AM$11))),$AM$11)</f>
        <v/>
      </c>
      <c r="AR432">
        <f>SUMPRODUCT((B24:B31&lt;=$B$6)*(C24:C31*AM432+D24:D31*AO432*$B$8*AQ432)/(1+AL432/100)^B24:B31)+C32*AM432*AP432/(1+AL432/100)^$B$6</f>
        <v/>
      </c>
      <c r="AS432">
        <f>SUMPRODUCT((K24:K26&lt;=$B$6)*(L24:L26*AN432+M24:M26*AO432*$B$8*AQ432)/(1+AL432/100)^K24:K26)+L27*AN432*AP432/(1+AL432/100)^$B$6</f>
        <v/>
      </c>
      <c r="AT432">
        <f>AS432-AR432</f>
        <v/>
      </c>
      <c r="AU432">
        <f>RAND()</f>
        <v/>
      </c>
      <c r="AV432">
        <f>RAND()</f>
        <v/>
      </c>
      <c r="AW432">
        <f>RAND()</f>
        <v/>
      </c>
      <c r="AX432">
        <f>RAND()</f>
        <v/>
      </c>
      <c r="AY432">
        <f>RAND()</f>
        <v/>
      </c>
      <c r="AZ432">
        <f>RAND()</f>
        <v/>
      </c>
    </row>
    <row r="433">
      <c r="AK433" t="n">
        <v>420</v>
      </c>
      <c r="AL433">
        <f>IFERROR(IF(AU433&lt;($AM$6-$AL$6)/($AN$6-$AL$6),$AL$6+SQRT(AU433*($AN$6-$AL$6)*($AM$6-$AL$6)),$AN$6-SQRT((1-AU433)*($AN$6-$AL$6)*($AN$6-$AM$6))),$AM$6)</f>
        <v/>
      </c>
      <c r="AM433">
        <f>IFERROR(IF(AV433&lt;($AM$7-$AL$7)/($AN$7-$AL$7),$AL$7+SQRT(AV433*($AN$7-$AL$7)*($AM$7-$AL$7)),$AN$7-SQRT((1-AV433)*($AN$7-$AL$7)*($AN$7-$AM$7))),$AM$7)</f>
        <v/>
      </c>
      <c r="AN433">
        <f>IFERROR(IF(AW433&lt;($AM$8-$AL$8)/($AN$8-$AL$8),$AL$8+SQRT(AW433*($AN$8-$AL$8)*($AM$8-$AL$8)),$AN$8-SQRT((1-AW433)*($AN$8-$AL$8)*($AN$8-$AM$8))),$AM$8)</f>
        <v/>
      </c>
      <c r="AO433">
        <f>IFERROR(IF(AX433&lt;($AM$9-$AL$9)/($AN$9-$AL$9),$AL$9+SQRT(AX433*($AN$9-$AL$9)*($AM$9-$AL$9)),$AN$9-SQRT((1-AX433)*($AN$9-$AL$9)*($AN$9-$AM$9))),$AM$9)</f>
        <v/>
      </c>
      <c r="AP433">
        <f>IFERROR(IF(AY433&lt;($AM$10-$AL$10)/($AN$10-$AL$10),$AL$10+SQRT(AY433*($AN$10-$AL$10)*($AM$10-$AL$10)),$AN$10-SQRT((1-AY433)*($AN$10-$AL$10)*($AN$10-$AM$10))),$AM$10)</f>
        <v/>
      </c>
      <c r="AQ433">
        <f>IFERROR(IF(AZ433&lt;($AM$11-$AL$11)/($AN$11-$AL$11),$AL$11+SQRT(AZ433*($AN$11-$AL$11)*($AM$11-$AL$11)),$AN$11-SQRT((1-AZ433)*($AN$11-$AL$11)*($AN$11-$AM$11))),$AM$11)</f>
        <v/>
      </c>
      <c r="AR433">
        <f>SUMPRODUCT((B24:B31&lt;=$B$6)*(C24:C31*AM433+D24:D31*AO433*$B$8*AQ433)/(1+AL433/100)^B24:B31)+C32*AM433*AP433/(1+AL433/100)^$B$6</f>
        <v/>
      </c>
      <c r="AS433">
        <f>SUMPRODUCT((K24:K26&lt;=$B$6)*(L24:L26*AN433+M24:M26*AO433*$B$8*AQ433)/(1+AL433/100)^K24:K26)+L27*AN433*AP433/(1+AL433/100)^$B$6</f>
        <v/>
      </c>
      <c r="AT433">
        <f>AS433-AR433</f>
        <v/>
      </c>
      <c r="AU433">
        <f>RAND()</f>
        <v/>
      </c>
      <c r="AV433">
        <f>RAND()</f>
        <v/>
      </c>
      <c r="AW433">
        <f>RAND()</f>
        <v/>
      </c>
      <c r="AX433">
        <f>RAND()</f>
        <v/>
      </c>
      <c r="AY433">
        <f>RAND()</f>
        <v/>
      </c>
      <c r="AZ433">
        <f>RAND()</f>
        <v/>
      </c>
    </row>
    <row r="434">
      <c r="AK434" t="n">
        <v>421</v>
      </c>
      <c r="AL434">
        <f>IFERROR(IF(AU434&lt;($AM$6-$AL$6)/($AN$6-$AL$6),$AL$6+SQRT(AU434*($AN$6-$AL$6)*($AM$6-$AL$6)),$AN$6-SQRT((1-AU434)*($AN$6-$AL$6)*($AN$6-$AM$6))),$AM$6)</f>
        <v/>
      </c>
      <c r="AM434">
        <f>IFERROR(IF(AV434&lt;($AM$7-$AL$7)/($AN$7-$AL$7),$AL$7+SQRT(AV434*($AN$7-$AL$7)*($AM$7-$AL$7)),$AN$7-SQRT((1-AV434)*($AN$7-$AL$7)*($AN$7-$AM$7))),$AM$7)</f>
        <v/>
      </c>
      <c r="AN434">
        <f>IFERROR(IF(AW434&lt;($AM$8-$AL$8)/($AN$8-$AL$8),$AL$8+SQRT(AW434*($AN$8-$AL$8)*($AM$8-$AL$8)),$AN$8-SQRT((1-AW434)*($AN$8-$AL$8)*($AN$8-$AM$8))),$AM$8)</f>
        <v/>
      </c>
      <c r="AO434">
        <f>IFERROR(IF(AX434&lt;($AM$9-$AL$9)/($AN$9-$AL$9),$AL$9+SQRT(AX434*($AN$9-$AL$9)*($AM$9-$AL$9)),$AN$9-SQRT((1-AX434)*($AN$9-$AL$9)*($AN$9-$AM$9))),$AM$9)</f>
        <v/>
      </c>
      <c r="AP434">
        <f>IFERROR(IF(AY434&lt;($AM$10-$AL$10)/($AN$10-$AL$10),$AL$10+SQRT(AY434*($AN$10-$AL$10)*($AM$10-$AL$10)),$AN$10-SQRT((1-AY434)*($AN$10-$AL$10)*($AN$10-$AM$10))),$AM$10)</f>
        <v/>
      </c>
      <c r="AQ434">
        <f>IFERROR(IF(AZ434&lt;($AM$11-$AL$11)/($AN$11-$AL$11),$AL$11+SQRT(AZ434*($AN$11-$AL$11)*($AM$11-$AL$11)),$AN$11-SQRT((1-AZ434)*($AN$11-$AL$11)*($AN$11-$AM$11))),$AM$11)</f>
        <v/>
      </c>
      <c r="AR434">
        <f>SUMPRODUCT((B24:B31&lt;=$B$6)*(C24:C31*AM434+D24:D31*AO434*$B$8*AQ434)/(1+AL434/100)^B24:B31)+C32*AM434*AP434/(1+AL434/100)^$B$6</f>
        <v/>
      </c>
      <c r="AS434">
        <f>SUMPRODUCT((K24:K26&lt;=$B$6)*(L24:L26*AN434+M24:M26*AO434*$B$8*AQ434)/(1+AL434/100)^K24:K26)+L27*AN434*AP434/(1+AL434/100)^$B$6</f>
        <v/>
      </c>
      <c r="AT434">
        <f>AS434-AR434</f>
        <v/>
      </c>
      <c r="AU434">
        <f>RAND()</f>
        <v/>
      </c>
      <c r="AV434">
        <f>RAND()</f>
        <v/>
      </c>
      <c r="AW434">
        <f>RAND()</f>
        <v/>
      </c>
      <c r="AX434">
        <f>RAND()</f>
        <v/>
      </c>
      <c r="AY434">
        <f>RAND()</f>
        <v/>
      </c>
      <c r="AZ434">
        <f>RAND()</f>
        <v/>
      </c>
    </row>
    <row r="435">
      <c r="AK435" t="n">
        <v>422</v>
      </c>
      <c r="AL435">
        <f>IFERROR(IF(AU435&lt;($AM$6-$AL$6)/($AN$6-$AL$6),$AL$6+SQRT(AU435*($AN$6-$AL$6)*($AM$6-$AL$6)),$AN$6-SQRT((1-AU435)*($AN$6-$AL$6)*($AN$6-$AM$6))),$AM$6)</f>
        <v/>
      </c>
      <c r="AM435">
        <f>IFERROR(IF(AV435&lt;($AM$7-$AL$7)/($AN$7-$AL$7),$AL$7+SQRT(AV435*($AN$7-$AL$7)*($AM$7-$AL$7)),$AN$7-SQRT((1-AV435)*($AN$7-$AL$7)*($AN$7-$AM$7))),$AM$7)</f>
        <v/>
      </c>
      <c r="AN435">
        <f>IFERROR(IF(AW435&lt;($AM$8-$AL$8)/($AN$8-$AL$8),$AL$8+SQRT(AW435*($AN$8-$AL$8)*($AM$8-$AL$8)),$AN$8-SQRT((1-AW435)*($AN$8-$AL$8)*($AN$8-$AM$8))),$AM$8)</f>
        <v/>
      </c>
      <c r="AO435">
        <f>IFERROR(IF(AX435&lt;($AM$9-$AL$9)/($AN$9-$AL$9),$AL$9+SQRT(AX435*($AN$9-$AL$9)*($AM$9-$AL$9)),$AN$9-SQRT((1-AX435)*($AN$9-$AL$9)*($AN$9-$AM$9))),$AM$9)</f>
        <v/>
      </c>
      <c r="AP435">
        <f>IFERROR(IF(AY435&lt;($AM$10-$AL$10)/($AN$10-$AL$10),$AL$10+SQRT(AY435*($AN$10-$AL$10)*($AM$10-$AL$10)),$AN$10-SQRT((1-AY435)*($AN$10-$AL$10)*($AN$10-$AM$10))),$AM$10)</f>
        <v/>
      </c>
      <c r="AQ435">
        <f>IFERROR(IF(AZ435&lt;($AM$11-$AL$11)/($AN$11-$AL$11),$AL$11+SQRT(AZ435*($AN$11-$AL$11)*($AM$11-$AL$11)),$AN$11-SQRT((1-AZ435)*($AN$11-$AL$11)*($AN$11-$AM$11))),$AM$11)</f>
        <v/>
      </c>
      <c r="AR435">
        <f>SUMPRODUCT((B24:B31&lt;=$B$6)*(C24:C31*AM435+D24:D31*AO435*$B$8*AQ435)/(1+AL435/100)^B24:B31)+C32*AM435*AP435/(1+AL435/100)^$B$6</f>
        <v/>
      </c>
      <c r="AS435">
        <f>SUMPRODUCT((K24:K26&lt;=$B$6)*(L24:L26*AN435+M24:M26*AO435*$B$8*AQ435)/(1+AL435/100)^K24:K26)+L27*AN435*AP435/(1+AL435/100)^$B$6</f>
        <v/>
      </c>
      <c r="AT435">
        <f>AS435-AR435</f>
        <v/>
      </c>
      <c r="AU435">
        <f>RAND()</f>
        <v/>
      </c>
      <c r="AV435">
        <f>RAND()</f>
        <v/>
      </c>
      <c r="AW435">
        <f>RAND()</f>
        <v/>
      </c>
      <c r="AX435">
        <f>RAND()</f>
        <v/>
      </c>
      <c r="AY435">
        <f>RAND()</f>
        <v/>
      </c>
      <c r="AZ435">
        <f>RAND()</f>
        <v/>
      </c>
    </row>
    <row r="436">
      <c r="AK436" t="n">
        <v>423</v>
      </c>
      <c r="AL436">
        <f>IFERROR(IF(AU436&lt;($AM$6-$AL$6)/($AN$6-$AL$6),$AL$6+SQRT(AU436*($AN$6-$AL$6)*($AM$6-$AL$6)),$AN$6-SQRT((1-AU436)*($AN$6-$AL$6)*($AN$6-$AM$6))),$AM$6)</f>
        <v/>
      </c>
      <c r="AM436">
        <f>IFERROR(IF(AV436&lt;($AM$7-$AL$7)/($AN$7-$AL$7),$AL$7+SQRT(AV436*($AN$7-$AL$7)*($AM$7-$AL$7)),$AN$7-SQRT((1-AV436)*($AN$7-$AL$7)*($AN$7-$AM$7))),$AM$7)</f>
        <v/>
      </c>
      <c r="AN436">
        <f>IFERROR(IF(AW436&lt;($AM$8-$AL$8)/($AN$8-$AL$8),$AL$8+SQRT(AW436*($AN$8-$AL$8)*($AM$8-$AL$8)),$AN$8-SQRT((1-AW436)*($AN$8-$AL$8)*($AN$8-$AM$8))),$AM$8)</f>
        <v/>
      </c>
      <c r="AO436">
        <f>IFERROR(IF(AX436&lt;($AM$9-$AL$9)/($AN$9-$AL$9),$AL$9+SQRT(AX436*($AN$9-$AL$9)*($AM$9-$AL$9)),$AN$9-SQRT((1-AX436)*($AN$9-$AL$9)*($AN$9-$AM$9))),$AM$9)</f>
        <v/>
      </c>
      <c r="AP436">
        <f>IFERROR(IF(AY436&lt;($AM$10-$AL$10)/($AN$10-$AL$10),$AL$10+SQRT(AY436*($AN$10-$AL$10)*($AM$10-$AL$10)),$AN$10-SQRT((1-AY436)*($AN$10-$AL$10)*($AN$10-$AM$10))),$AM$10)</f>
        <v/>
      </c>
      <c r="AQ436">
        <f>IFERROR(IF(AZ436&lt;($AM$11-$AL$11)/($AN$11-$AL$11),$AL$11+SQRT(AZ436*($AN$11-$AL$11)*($AM$11-$AL$11)),$AN$11-SQRT((1-AZ436)*($AN$11-$AL$11)*($AN$11-$AM$11))),$AM$11)</f>
        <v/>
      </c>
      <c r="AR436">
        <f>SUMPRODUCT((B24:B31&lt;=$B$6)*(C24:C31*AM436+D24:D31*AO436*$B$8*AQ436)/(1+AL436/100)^B24:B31)+C32*AM436*AP436/(1+AL436/100)^$B$6</f>
        <v/>
      </c>
      <c r="AS436">
        <f>SUMPRODUCT((K24:K26&lt;=$B$6)*(L24:L26*AN436+M24:M26*AO436*$B$8*AQ436)/(1+AL436/100)^K24:K26)+L27*AN436*AP436/(1+AL436/100)^$B$6</f>
        <v/>
      </c>
      <c r="AT436">
        <f>AS436-AR436</f>
        <v/>
      </c>
      <c r="AU436">
        <f>RAND()</f>
        <v/>
      </c>
      <c r="AV436">
        <f>RAND()</f>
        <v/>
      </c>
      <c r="AW436">
        <f>RAND()</f>
        <v/>
      </c>
      <c r="AX436">
        <f>RAND()</f>
        <v/>
      </c>
      <c r="AY436">
        <f>RAND()</f>
        <v/>
      </c>
      <c r="AZ436">
        <f>RAND()</f>
        <v/>
      </c>
    </row>
    <row r="437">
      <c r="AK437" t="n">
        <v>424</v>
      </c>
      <c r="AL437">
        <f>IFERROR(IF(AU437&lt;($AM$6-$AL$6)/($AN$6-$AL$6),$AL$6+SQRT(AU437*($AN$6-$AL$6)*($AM$6-$AL$6)),$AN$6-SQRT((1-AU437)*($AN$6-$AL$6)*($AN$6-$AM$6))),$AM$6)</f>
        <v/>
      </c>
      <c r="AM437">
        <f>IFERROR(IF(AV437&lt;($AM$7-$AL$7)/($AN$7-$AL$7),$AL$7+SQRT(AV437*($AN$7-$AL$7)*($AM$7-$AL$7)),$AN$7-SQRT((1-AV437)*($AN$7-$AL$7)*($AN$7-$AM$7))),$AM$7)</f>
        <v/>
      </c>
      <c r="AN437">
        <f>IFERROR(IF(AW437&lt;($AM$8-$AL$8)/($AN$8-$AL$8),$AL$8+SQRT(AW437*($AN$8-$AL$8)*($AM$8-$AL$8)),$AN$8-SQRT((1-AW437)*($AN$8-$AL$8)*($AN$8-$AM$8))),$AM$8)</f>
        <v/>
      </c>
      <c r="AO437">
        <f>IFERROR(IF(AX437&lt;($AM$9-$AL$9)/($AN$9-$AL$9),$AL$9+SQRT(AX437*($AN$9-$AL$9)*($AM$9-$AL$9)),$AN$9-SQRT((1-AX437)*($AN$9-$AL$9)*($AN$9-$AM$9))),$AM$9)</f>
        <v/>
      </c>
      <c r="AP437">
        <f>IFERROR(IF(AY437&lt;($AM$10-$AL$10)/($AN$10-$AL$10),$AL$10+SQRT(AY437*($AN$10-$AL$10)*($AM$10-$AL$10)),$AN$10-SQRT((1-AY437)*($AN$10-$AL$10)*($AN$10-$AM$10))),$AM$10)</f>
        <v/>
      </c>
      <c r="AQ437">
        <f>IFERROR(IF(AZ437&lt;($AM$11-$AL$11)/($AN$11-$AL$11),$AL$11+SQRT(AZ437*($AN$11-$AL$11)*($AM$11-$AL$11)),$AN$11-SQRT((1-AZ437)*($AN$11-$AL$11)*($AN$11-$AM$11))),$AM$11)</f>
        <v/>
      </c>
      <c r="AR437">
        <f>SUMPRODUCT((B24:B31&lt;=$B$6)*(C24:C31*AM437+D24:D31*AO437*$B$8*AQ437)/(1+AL437/100)^B24:B31)+C32*AM437*AP437/(1+AL437/100)^$B$6</f>
        <v/>
      </c>
      <c r="AS437">
        <f>SUMPRODUCT((K24:K26&lt;=$B$6)*(L24:L26*AN437+M24:M26*AO437*$B$8*AQ437)/(1+AL437/100)^K24:K26)+L27*AN437*AP437/(1+AL437/100)^$B$6</f>
        <v/>
      </c>
      <c r="AT437">
        <f>AS437-AR437</f>
        <v/>
      </c>
      <c r="AU437">
        <f>RAND()</f>
        <v/>
      </c>
      <c r="AV437">
        <f>RAND()</f>
        <v/>
      </c>
      <c r="AW437">
        <f>RAND()</f>
        <v/>
      </c>
      <c r="AX437">
        <f>RAND()</f>
        <v/>
      </c>
      <c r="AY437">
        <f>RAND()</f>
        <v/>
      </c>
      <c r="AZ437">
        <f>RAND()</f>
        <v/>
      </c>
    </row>
    <row r="438">
      <c r="AK438" t="n">
        <v>425</v>
      </c>
      <c r="AL438">
        <f>IFERROR(IF(AU438&lt;($AM$6-$AL$6)/($AN$6-$AL$6),$AL$6+SQRT(AU438*($AN$6-$AL$6)*($AM$6-$AL$6)),$AN$6-SQRT((1-AU438)*($AN$6-$AL$6)*($AN$6-$AM$6))),$AM$6)</f>
        <v/>
      </c>
      <c r="AM438">
        <f>IFERROR(IF(AV438&lt;($AM$7-$AL$7)/($AN$7-$AL$7),$AL$7+SQRT(AV438*($AN$7-$AL$7)*($AM$7-$AL$7)),$AN$7-SQRT((1-AV438)*($AN$7-$AL$7)*($AN$7-$AM$7))),$AM$7)</f>
        <v/>
      </c>
      <c r="AN438">
        <f>IFERROR(IF(AW438&lt;($AM$8-$AL$8)/($AN$8-$AL$8),$AL$8+SQRT(AW438*($AN$8-$AL$8)*($AM$8-$AL$8)),$AN$8-SQRT((1-AW438)*($AN$8-$AL$8)*($AN$8-$AM$8))),$AM$8)</f>
        <v/>
      </c>
      <c r="AO438">
        <f>IFERROR(IF(AX438&lt;($AM$9-$AL$9)/($AN$9-$AL$9),$AL$9+SQRT(AX438*($AN$9-$AL$9)*($AM$9-$AL$9)),$AN$9-SQRT((1-AX438)*($AN$9-$AL$9)*($AN$9-$AM$9))),$AM$9)</f>
        <v/>
      </c>
      <c r="AP438">
        <f>IFERROR(IF(AY438&lt;($AM$10-$AL$10)/($AN$10-$AL$10),$AL$10+SQRT(AY438*($AN$10-$AL$10)*($AM$10-$AL$10)),$AN$10-SQRT((1-AY438)*($AN$10-$AL$10)*($AN$10-$AM$10))),$AM$10)</f>
        <v/>
      </c>
      <c r="AQ438">
        <f>IFERROR(IF(AZ438&lt;($AM$11-$AL$11)/($AN$11-$AL$11),$AL$11+SQRT(AZ438*($AN$11-$AL$11)*($AM$11-$AL$11)),$AN$11-SQRT((1-AZ438)*($AN$11-$AL$11)*($AN$11-$AM$11))),$AM$11)</f>
        <v/>
      </c>
      <c r="AR438">
        <f>SUMPRODUCT((B24:B31&lt;=$B$6)*(C24:C31*AM438+D24:D31*AO438*$B$8*AQ438)/(1+AL438/100)^B24:B31)+C32*AM438*AP438/(1+AL438/100)^$B$6</f>
        <v/>
      </c>
      <c r="AS438">
        <f>SUMPRODUCT((K24:K26&lt;=$B$6)*(L24:L26*AN438+M24:M26*AO438*$B$8*AQ438)/(1+AL438/100)^K24:K26)+L27*AN438*AP438/(1+AL438/100)^$B$6</f>
        <v/>
      </c>
      <c r="AT438">
        <f>AS438-AR438</f>
        <v/>
      </c>
      <c r="AU438">
        <f>RAND()</f>
        <v/>
      </c>
      <c r="AV438">
        <f>RAND()</f>
        <v/>
      </c>
      <c r="AW438">
        <f>RAND()</f>
        <v/>
      </c>
      <c r="AX438">
        <f>RAND()</f>
        <v/>
      </c>
      <c r="AY438">
        <f>RAND()</f>
        <v/>
      </c>
      <c r="AZ438">
        <f>RAND()</f>
        <v/>
      </c>
    </row>
    <row r="439">
      <c r="AK439" t="n">
        <v>426</v>
      </c>
      <c r="AL439">
        <f>IFERROR(IF(AU439&lt;($AM$6-$AL$6)/($AN$6-$AL$6),$AL$6+SQRT(AU439*($AN$6-$AL$6)*($AM$6-$AL$6)),$AN$6-SQRT((1-AU439)*($AN$6-$AL$6)*($AN$6-$AM$6))),$AM$6)</f>
        <v/>
      </c>
      <c r="AM439">
        <f>IFERROR(IF(AV439&lt;($AM$7-$AL$7)/($AN$7-$AL$7),$AL$7+SQRT(AV439*($AN$7-$AL$7)*($AM$7-$AL$7)),$AN$7-SQRT((1-AV439)*($AN$7-$AL$7)*($AN$7-$AM$7))),$AM$7)</f>
        <v/>
      </c>
      <c r="AN439">
        <f>IFERROR(IF(AW439&lt;($AM$8-$AL$8)/($AN$8-$AL$8),$AL$8+SQRT(AW439*($AN$8-$AL$8)*($AM$8-$AL$8)),$AN$8-SQRT((1-AW439)*($AN$8-$AL$8)*($AN$8-$AM$8))),$AM$8)</f>
        <v/>
      </c>
      <c r="AO439">
        <f>IFERROR(IF(AX439&lt;($AM$9-$AL$9)/($AN$9-$AL$9),$AL$9+SQRT(AX439*($AN$9-$AL$9)*($AM$9-$AL$9)),$AN$9-SQRT((1-AX439)*($AN$9-$AL$9)*($AN$9-$AM$9))),$AM$9)</f>
        <v/>
      </c>
      <c r="AP439">
        <f>IFERROR(IF(AY439&lt;($AM$10-$AL$10)/($AN$10-$AL$10),$AL$10+SQRT(AY439*($AN$10-$AL$10)*($AM$10-$AL$10)),$AN$10-SQRT((1-AY439)*($AN$10-$AL$10)*($AN$10-$AM$10))),$AM$10)</f>
        <v/>
      </c>
      <c r="AQ439">
        <f>IFERROR(IF(AZ439&lt;($AM$11-$AL$11)/($AN$11-$AL$11),$AL$11+SQRT(AZ439*($AN$11-$AL$11)*($AM$11-$AL$11)),$AN$11-SQRT((1-AZ439)*($AN$11-$AL$11)*($AN$11-$AM$11))),$AM$11)</f>
        <v/>
      </c>
      <c r="AR439">
        <f>SUMPRODUCT((B24:B31&lt;=$B$6)*(C24:C31*AM439+D24:D31*AO439*$B$8*AQ439)/(1+AL439/100)^B24:B31)+C32*AM439*AP439/(1+AL439/100)^$B$6</f>
        <v/>
      </c>
      <c r="AS439">
        <f>SUMPRODUCT((K24:K26&lt;=$B$6)*(L24:L26*AN439+M24:M26*AO439*$B$8*AQ439)/(1+AL439/100)^K24:K26)+L27*AN439*AP439/(1+AL439/100)^$B$6</f>
        <v/>
      </c>
      <c r="AT439">
        <f>AS439-AR439</f>
        <v/>
      </c>
      <c r="AU439">
        <f>RAND()</f>
        <v/>
      </c>
      <c r="AV439">
        <f>RAND()</f>
        <v/>
      </c>
      <c r="AW439">
        <f>RAND()</f>
        <v/>
      </c>
      <c r="AX439">
        <f>RAND()</f>
        <v/>
      </c>
      <c r="AY439">
        <f>RAND()</f>
        <v/>
      </c>
      <c r="AZ439">
        <f>RAND()</f>
        <v/>
      </c>
    </row>
    <row r="440">
      <c r="AK440" t="n">
        <v>427</v>
      </c>
      <c r="AL440">
        <f>IFERROR(IF(AU440&lt;($AM$6-$AL$6)/($AN$6-$AL$6),$AL$6+SQRT(AU440*($AN$6-$AL$6)*($AM$6-$AL$6)),$AN$6-SQRT((1-AU440)*($AN$6-$AL$6)*($AN$6-$AM$6))),$AM$6)</f>
        <v/>
      </c>
      <c r="AM440">
        <f>IFERROR(IF(AV440&lt;($AM$7-$AL$7)/($AN$7-$AL$7),$AL$7+SQRT(AV440*($AN$7-$AL$7)*($AM$7-$AL$7)),$AN$7-SQRT((1-AV440)*($AN$7-$AL$7)*($AN$7-$AM$7))),$AM$7)</f>
        <v/>
      </c>
      <c r="AN440">
        <f>IFERROR(IF(AW440&lt;($AM$8-$AL$8)/($AN$8-$AL$8),$AL$8+SQRT(AW440*($AN$8-$AL$8)*($AM$8-$AL$8)),$AN$8-SQRT((1-AW440)*($AN$8-$AL$8)*($AN$8-$AM$8))),$AM$8)</f>
        <v/>
      </c>
      <c r="AO440">
        <f>IFERROR(IF(AX440&lt;($AM$9-$AL$9)/($AN$9-$AL$9),$AL$9+SQRT(AX440*($AN$9-$AL$9)*($AM$9-$AL$9)),$AN$9-SQRT((1-AX440)*($AN$9-$AL$9)*($AN$9-$AM$9))),$AM$9)</f>
        <v/>
      </c>
      <c r="AP440">
        <f>IFERROR(IF(AY440&lt;($AM$10-$AL$10)/($AN$10-$AL$10),$AL$10+SQRT(AY440*($AN$10-$AL$10)*($AM$10-$AL$10)),$AN$10-SQRT((1-AY440)*($AN$10-$AL$10)*($AN$10-$AM$10))),$AM$10)</f>
        <v/>
      </c>
      <c r="AQ440">
        <f>IFERROR(IF(AZ440&lt;($AM$11-$AL$11)/($AN$11-$AL$11),$AL$11+SQRT(AZ440*($AN$11-$AL$11)*($AM$11-$AL$11)),$AN$11-SQRT((1-AZ440)*($AN$11-$AL$11)*($AN$11-$AM$11))),$AM$11)</f>
        <v/>
      </c>
      <c r="AR440">
        <f>SUMPRODUCT((B24:B31&lt;=$B$6)*(C24:C31*AM440+D24:D31*AO440*$B$8*AQ440)/(1+AL440/100)^B24:B31)+C32*AM440*AP440/(1+AL440/100)^$B$6</f>
        <v/>
      </c>
      <c r="AS440">
        <f>SUMPRODUCT((K24:K26&lt;=$B$6)*(L24:L26*AN440+M24:M26*AO440*$B$8*AQ440)/(1+AL440/100)^K24:K26)+L27*AN440*AP440/(1+AL440/100)^$B$6</f>
        <v/>
      </c>
      <c r="AT440">
        <f>AS440-AR440</f>
        <v/>
      </c>
      <c r="AU440">
        <f>RAND()</f>
        <v/>
      </c>
      <c r="AV440">
        <f>RAND()</f>
        <v/>
      </c>
      <c r="AW440">
        <f>RAND()</f>
        <v/>
      </c>
      <c r="AX440">
        <f>RAND()</f>
        <v/>
      </c>
      <c r="AY440">
        <f>RAND()</f>
        <v/>
      </c>
      <c r="AZ440">
        <f>RAND()</f>
        <v/>
      </c>
    </row>
    <row r="441">
      <c r="AK441" t="n">
        <v>428</v>
      </c>
      <c r="AL441">
        <f>IFERROR(IF(AU441&lt;($AM$6-$AL$6)/($AN$6-$AL$6),$AL$6+SQRT(AU441*($AN$6-$AL$6)*($AM$6-$AL$6)),$AN$6-SQRT((1-AU441)*($AN$6-$AL$6)*($AN$6-$AM$6))),$AM$6)</f>
        <v/>
      </c>
      <c r="AM441">
        <f>IFERROR(IF(AV441&lt;($AM$7-$AL$7)/($AN$7-$AL$7),$AL$7+SQRT(AV441*($AN$7-$AL$7)*($AM$7-$AL$7)),$AN$7-SQRT((1-AV441)*($AN$7-$AL$7)*($AN$7-$AM$7))),$AM$7)</f>
        <v/>
      </c>
      <c r="AN441">
        <f>IFERROR(IF(AW441&lt;($AM$8-$AL$8)/($AN$8-$AL$8),$AL$8+SQRT(AW441*($AN$8-$AL$8)*($AM$8-$AL$8)),$AN$8-SQRT((1-AW441)*($AN$8-$AL$8)*($AN$8-$AM$8))),$AM$8)</f>
        <v/>
      </c>
      <c r="AO441">
        <f>IFERROR(IF(AX441&lt;($AM$9-$AL$9)/($AN$9-$AL$9),$AL$9+SQRT(AX441*($AN$9-$AL$9)*($AM$9-$AL$9)),$AN$9-SQRT((1-AX441)*($AN$9-$AL$9)*($AN$9-$AM$9))),$AM$9)</f>
        <v/>
      </c>
      <c r="AP441">
        <f>IFERROR(IF(AY441&lt;($AM$10-$AL$10)/($AN$10-$AL$10),$AL$10+SQRT(AY441*($AN$10-$AL$10)*($AM$10-$AL$10)),$AN$10-SQRT((1-AY441)*($AN$10-$AL$10)*($AN$10-$AM$10))),$AM$10)</f>
        <v/>
      </c>
      <c r="AQ441">
        <f>IFERROR(IF(AZ441&lt;($AM$11-$AL$11)/($AN$11-$AL$11),$AL$11+SQRT(AZ441*($AN$11-$AL$11)*($AM$11-$AL$11)),$AN$11-SQRT((1-AZ441)*($AN$11-$AL$11)*($AN$11-$AM$11))),$AM$11)</f>
        <v/>
      </c>
      <c r="AR441">
        <f>SUMPRODUCT((B24:B31&lt;=$B$6)*(C24:C31*AM441+D24:D31*AO441*$B$8*AQ441)/(1+AL441/100)^B24:B31)+C32*AM441*AP441/(1+AL441/100)^$B$6</f>
        <v/>
      </c>
      <c r="AS441">
        <f>SUMPRODUCT((K24:K26&lt;=$B$6)*(L24:L26*AN441+M24:M26*AO441*$B$8*AQ441)/(1+AL441/100)^K24:K26)+L27*AN441*AP441/(1+AL441/100)^$B$6</f>
        <v/>
      </c>
      <c r="AT441">
        <f>AS441-AR441</f>
        <v/>
      </c>
      <c r="AU441">
        <f>RAND()</f>
        <v/>
      </c>
      <c r="AV441">
        <f>RAND()</f>
        <v/>
      </c>
      <c r="AW441">
        <f>RAND()</f>
        <v/>
      </c>
      <c r="AX441">
        <f>RAND()</f>
        <v/>
      </c>
      <c r="AY441">
        <f>RAND()</f>
        <v/>
      </c>
      <c r="AZ441">
        <f>RAND()</f>
        <v/>
      </c>
    </row>
    <row r="442">
      <c r="AK442" t="n">
        <v>429</v>
      </c>
      <c r="AL442">
        <f>IFERROR(IF(AU442&lt;($AM$6-$AL$6)/($AN$6-$AL$6),$AL$6+SQRT(AU442*($AN$6-$AL$6)*($AM$6-$AL$6)),$AN$6-SQRT((1-AU442)*($AN$6-$AL$6)*($AN$6-$AM$6))),$AM$6)</f>
        <v/>
      </c>
      <c r="AM442">
        <f>IFERROR(IF(AV442&lt;($AM$7-$AL$7)/($AN$7-$AL$7),$AL$7+SQRT(AV442*($AN$7-$AL$7)*($AM$7-$AL$7)),$AN$7-SQRT((1-AV442)*($AN$7-$AL$7)*($AN$7-$AM$7))),$AM$7)</f>
        <v/>
      </c>
      <c r="AN442">
        <f>IFERROR(IF(AW442&lt;($AM$8-$AL$8)/($AN$8-$AL$8),$AL$8+SQRT(AW442*($AN$8-$AL$8)*($AM$8-$AL$8)),$AN$8-SQRT((1-AW442)*($AN$8-$AL$8)*($AN$8-$AM$8))),$AM$8)</f>
        <v/>
      </c>
      <c r="AO442">
        <f>IFERROR(IF(AX442&lt;($AM$9-$AL$9)/($AN$9-$AL$9),$AL$9+SQRT(AX442*($AN$9-$AL$9)*($AM$9-$AL$9)),$AN$9-SQRT((1-AX442)*($AN$9-$AL$9)*($AN$9-$AM$9))),$AM$9)</f>
        <v/>
      </c>
      <c r="AP442">
        <f>IFERROR(IF(AY442&lt;($AM$10-$AL$10)/($AN$10-$AL$10),$AL$10+SQRT(AY442*($AN$10-$AL$10)*($AM$10-$AL$10)),$AN$10-SQRT((1-AY442)*($AN$10-$AL$10)*($AN$10-$AM$10))),$AM$10)</f>
        <v/>
      </c>
      <c r="AQ442">
        <f>IFERROR(IF(AZ442&lt;($AM$11-$AL$11)/($AN$11-$AL$11),$AL$11+SQRT(AZ442*($AN$11-$AL$11)*($AM$11-$AL$11)),$AN$11-SQRT((1-AZ442)*($AN$11-$AL$11)*($AN$11-$AM$11))),$AM$11)</f>
        <v/>
      </c>
      <c r="AR442">
        <f>SUMPRODUCT((B24:B31&lt;=$B$6)*(C24:C31*AM442+D24:D31*AO442*$B$8*AQ442)/(1+AL442/100)^B24:B31)+C32*AM442*AP442/(1+AL442/100)^$B$6</f>
        <v/>
      </c>
      <c r="AS442">
        <f>SUMPRODUCT((K24:K26&lt;=$B$6)*(L24:L26*AN442+M24:M26*AO442*$B$8*AQ442)/(1+AL442/100)^K24:K26)+L27*AN442*AP442/(1+AL442/100)^$B$6</f>
        <v/>
      </c>
      <c r="AT442">
        <f>AS442-AR442</f>
        <v/>
      </c>
      <c r="AU442">
        <f>RAND()</f>
        <v/>
      </c>
      <c r="AV442">
        <f>RAND()</f>
        <v/>
      </c>
      <c r="AW442">
        <f>RAND()</f>
        <v/>
      </c>
      <c r="AX442">
        <f>RAND()</f>
        <v/>
      </c>
      <c r="AY442">
        <f>RAND()</f>
        <v/>
      </c>
      <c r="AZ442">
        <f>RAND()</f>
        <v/>
      </c>
    </row>
    <row r="443">
      <c r="AK443" t="n">
        <v>430</v>
      </c>
      <c r="AL443">
        <f>IFERROR(IF(AU443&lt;($AM$6-$AL$6)/($AN$6-$AL$6),$AL$6+SQRT(AU443*($AN$6-$AL$6)*($AM$6-$AL$6)),$AN$6-SQRT((1-AU443)*($AN$6-$AL$6)*($AN$6-$AM$6))),$AM$6)</f>
        <v/>
      </c>
      <c r="AM443">
        <f>IFERROR(IF(AV443&lt;($AM$7-$AL$7)/($AN$7-$AL$7),$AL$7+SQRT(AV443*($AN$7-$AL$7)*($AM$7-$AL$7)),$AN$7-SQRT((1-AV443)*($AN$7-$AL$7)*($AN$7-$AM$7))),$AM$7)</f>
        <v/>
      </c>
      <c r="AN443">
        <f>IFERROR(IF(AW443&lt;($AM$8-$AL$8)/($AN$8-$AL$8),$AL$8+SQRT(AW443*($AN$8-$AL$8)*($AM$8-$AL$8)),$AN$8-SQRT((1-AW443)*($AN$8-$AL$8)*($AN$8-$AM$8))),$AM$8)</f>
        <v/>
      </c>
      <c r="AO443">
        <f>IFERROR(IF(AX443&lt;($AM$9-$AL$9)/($AN$9-$AL$9),$AL$9+SQRT(AX443*($AN$9-$AL$9)*($AM$9-$AL$9)),$AN$9-SQRT((1-AX443)*($AN$9-$AL$9)*($AN$9-$AM$9))),$AM$9)</f>
        <v/>
      </c>
      <c r="AP443">
        <f>IFERROR(IF(AY443&lt;($AM$10-$AL$10)/($AN$10-$AL$10),$AL$10+SQRT(AY443*($AN$10-$AL$10)*($AM$10-$AL$10)),$AN$10-SQRT((1-AY443)*($AN$10-$AL$10)*($AN$10-$AM$10))),$AM$10)</f>
        <v/>
      </c>
      <c r="AQ443">
        <f>IFERROR(IF(AZ443&lt;($AM$11-$AL$11)/($AN$11-$AL$11),$AL$11+SQRT(AZ443*($AN$11-$AL$11)*($AM$11-$AL$11)),$AN$11-SQRT((1-AZ443)*($AN$11-$AL$11)*($AN$11-$AM$11))),$AM$11)</f>
        <v/>
      </c>
      <c r="AR443">
        <f>SUMPRODUCT((B24:B31&lt;=$B$6)*(C24:C31*AM443+D24:D31*AO443*$B$8*AQ443)/(1+AL443/100)^B24:B31)+C32*AM443*AP443/(1+AL443/100)^$B$6</f>
        <v/>
      </c>
      <c r="AS443">
        <f>SUMPRODUCT((K24:K26&lt;=$B$6)*(L24:L26*AN443+M24:M26*AO443*$B$8*AQ443)/(1+AL443/100)^K24:K26)+L27*AN443*AP443/(1+AL443/100)^$B$6</f>
        <v/>
      </c>
      <c r="AT443">
        <f>AS443-AR443</f>
        <v/>
      </c>
      <c r="AU443">
        <f>RAND()</f>
        <v/>
      </c>
      <c r="AV443">
        <f>RAND()</f>
        <v/>
      </c>
      <c r="AW443">
        <f>RAND()</f>
        <v/>
      </c>
      <c r="AX443">
        <f>RAND()</f>
        <v/>
      </c>
      <c r="AY443">
        <f>RAND()</f>
        <v/>
      </c>
      <c r="AZ443">
        <f>RAND()</f>
        <v/>
      </c>
    </row>
    <row r="444">
      <c r="AK444" t="n">
        <v>431</v>
      </c>
      <c r="AL444">
        <f>IFERROR(IF(AU444&lt;($AM$6-$AL$6)/($AN$6-$AL$6),$AL$6+SQRT(AU444*($AN$6-$AL$6)*($AM$6-$AL$6)),$AN$6-SQRT((1-AU444)*($AN$6-$AL$6)*($AN$6-$AM$6))),$AM$6)</f>
        <v/>
      </c>
      <c r="AM444">
        <f>IFERROR(IF(AV444&lt;($AM$7-$AL$7)/($AN$7-$AL$7),$AL$7+SQRT(AV444*($AN$7-$AL$7)*($AM$7-$AL$7)),$AN$7-SQRT((1-AV444)*($AN$7-$AL$7)*($AN$7-$AM$7))),$AM$7)</f>
        <v/>
      </c>
      <c r="AN444">
        <f>IFERROR(IF(AW444&lt;($AM$8-$AL$8)/($AN$8-$AL$8),$AL$8+SQRT(AW444*($AN$8-$AL$8)*($AM$8-$AL$8)),$AN$8-SQRT((1-AW444)*($AN$8-$AL$8)*($AN$8-$AM$8))),$AM$8)</f>
        <v/>
      </c>
      <c r="AO444">
        <f>IFERROR(IF(AX444&lt;($AM$9-$AL$9)/($AN$9-$AL$9),$AL$9+SQRT(AX444*($AN$9-$AL$9)*($AM$9-$AL$9)),$AN$9-SQRT((1-AX444)*($AN$9-$AL$9)*($AN$9-$AM$9))),$AM$9)</f>
        <v/>
      </c>
      <c r="AP444">
        <f>IFERROR(IF(AY444&lt;($AM$10-$AL$10)/($AN$10-$AL$10),$AL$10+SQRT(AY444*($AN$10-$AL$10)*($AM$10-$AL$10)),$AN$10-SQRT((1-AY444)*($AN$10-$AL$10)*($AN$10-$AM$10))),$AM$10)</f>
        <v/>
      </c>
      <c r="AQ444">
        <f>IFERROR(IF(AZ444&lt;($AM$11-$AL$11)/($AN$11-$AL$11),$AL$11+SQRT(AZ444*($AN$11-$AL$11)*($AM$11-$AL$11)),$AN$11-SQRT((1-AZ444)*($AN$11-$AL$11)*($AN$11-$AM$11))),$AM$11)</f>
        <v/>
      </c>
      <c r="AR444">
        <f>SUMPRODUCT((B24:B31&lt;=$B$6)*(C24:C31*AM444+D24:D31*AO444*$B$8*AQ444)/(1+AL444/100)^B24:B31)+C32*AM444*AP444/(1+AL444/100)^$B$6</f>
        <v/>
      </c>
      <c r="AS444">
        <f>SUMPRODUCT((K24:K26&lt;=$B$6)*(L24:L26*AN444+M24:M26*AO444*$B$8*AQ444)/(1+AL444/100)^K24:K26)+L27*AN444*AP444/(1+AL444/100)^$B$6</f>
        <v/>
      </c>
      <c r="AT444">
        <f>AS444-AR444</f>
        <v/>
      </c>
      <c r="AU444">
        <f>RAND()</f>
        <v/>
      </c>
      <c r="AV444">
        <f>RAND()</f>
        <v/>
      </c>
      <c r="AW444">
        <f>RAND()</f>
        <v/>
      </c>
      <c r="AX444">
        <f>RAND()</f>
        <v/>
      </c>
      <c r="AY444">
        <f>RAND()</f>
        <v/>
      </c>
      <c r="AZ444">
        <f>RAND()</f>
        <v/>
      </c>
    </row>
    <row r="445">
      <c r="AK445" t="n">
        <v>432</v>
      </c>
      <c r="AL445">
        <f>IFERROR(IF(AU445&lt;($AM$6-$AL$6)/($AN$6-$AL$6),$AL$6+SQRT(AU445*($AN$6-$AL$6)*($AM$6-$AL$6)),$AN$6-SQRT((1-AU445)*($AN$6-$AL$6)*($AN$6-$AM$6))),$AM$6)</f>
        <v/>
      </c>
      <c r="AM445">
        <f>IFERROR(IF(AV445&lt;($AM$7-$AL$7)/($AN$7-$AL$7),$AL$7+SQRT(AV445*($AN$7-$AL$7)*($AM$7-$AL$7)),$AN$7-SQRT((1-AV445)*($AN$7-$AL$7)*($AN$7-$AM$7))),$AM$7)</f>
        <v/>
      </c>
      <c r="AN445">
        <f>IFERROR(IF(AW445&lt;($AM$8-$AL$8)/($AN$8-$AL$8),$AL$8+SQRT(AW445*($AN$8-$AL$8)*($AM$8-$AL$8)),$AN$8-SQRT((1-AW445)*($AN$8-$AL$8)*($AN$8-$AM$8))),$AM$8)</f>
        <v/>
      </c>
      <c r="AO445">
        <f>IFERROR(IF(AX445&lt;($AM$9-$AL$9)/($AN$9-$AL$9),$AL$9+SQRT(AX445*($AN$9-$AL$9)*($AM$9-$AL$9)),$AN$9-SQRT((1-AX445)*($AN$9-$AL$9)*($AN$9-$AM$9))),$AM$9)</f>
        <v/>
      </c>
      <c r="AP445">
        <f>IFERROR(IF(AY445&lt;($AM$10-$AL$10)/($AN$10-$AL$10),$AL$10+SQRT(AY445*($AN$10-$AL$10)*($AM$10-$AL$10)),$AN$10-SQRT((1-AY445)*($AN$10-$AL$10)*($AN$10-$AM$10))),$AM$10)</f>
        <v/>
      </c>
      <c r="AQ445">
        <f>IFERROR(IF(AZ445&lt;($AM$11-$AL$11)/($AN$11-$AL$11),$AL$11+SQRT(AZ445*($AN$11-$AL$11)*($AM$11-$AL$11)),$AN$11-SQRT((1-AZ445)*($AN$11-$AL$11)*($AN$11-$AM$11))),$AM$11)</f>
        <v/>
      </c>
      <c r="AR445">
        <f>SUMPRODUCT((B24:B31&lt;=$B$6)*(C24:C31*AM445+D24:D31*AO445*$B$8*AQ445)/(1+AL445/100)^B24:B31)+C32*AM445*AP445/(1+AL445/100)^$B$6</f>
        <v/>
      </c>
      <c r="AS445">
        <f>SUMPRODUCT((K24:K26&lt;=$B$6)*(L24:L26*AN445+M24:M26*AO445*$B$8*AQ445)/(1+AL445/100)^K24:K26)+L27*AN445*AP445/(1+AL445/100)^$B$6</f>
        <v/>
      </c>
      <c r="AT445">
        <f>AS445-AR445</f>
        <v/>
      </c>
      <c r="AU445">
        <f>RAND()</f>
        <v/>
      </c>
      <c r="AV445">
        <f>RAND()</f>
        <v/>
      </c>
      <c r="AW445">
        <f>RAND()</f>
        <v/>
      </c>
      <c r="AX445">
        <f>RAND()</f>
        <v/>
      </c>
      <c r="AY445">
        <f>RAND()</f>
        <v/>
      </c>
      <c r="AZ445">
        <f>RAND()</f>
        <v/>
      </c>
    </row>
    <row r="446">
      <c r="AK446" t="n">
        <v>433</v>
      </c>
      <c r="AL446">
        <f>IFERROR(IF(AU446&lt;($AM$6-$AL$6)/($AN$6-$AL$6),$AL$6+SQRT(AU446*($AN$6-$AL$6)*($AM$6-$AL$6)),$AN$6-SQRT((1-AU446)*($AN$6-$AL$6)*($AN$6-$AM$6))),$AM$6)</f>
        <v/>
      </c>
      <c r="AM446">
        <f>IFERROR(IF(AV446&lt;($AM$7-$AL$7)/($AN$7-$AL$7),$AL$7+SQRT(AV446*($AN$7-$AL$7)*($AM$7-$AL$7)),$AN$7-SQRT((1-AV446)*($AN$7-$AL$7)*($AN$7-$AM$7))),$AM$7)</f>
        <v/>
      </c>
      <c r="AN446">
        <f>IFERROR(IF(AW446&lt;($AM$8-$AL$8)/($AN$8-$AL$8),$AL$8+SQRT(AW446*($AN$8-$AL$8)*($AM$8-$AL$8)),$AN$8-SQRT((1-AW446)*($AN$8-$AL$8)*($AN$8-$AM$8))),$AM$8)</f>
        <v/>
      </c>
      <c r="AO446">
        <f>IFERROR(IF(AX446&lt;($AM$9-$AL$9)/($AN$9-$AL$9),$AL$9+SQRT(AX446*($AN$9-$AL$9)*($AM$9-$AL$9)),$AN$9-SQRT((1-AX446)*($AN$9-$AL$9)*($AN$9-$AM$9))),$AM$9)</f>
        <v/>
      </c>
      <c r="AP446">
        <f>IFERROR(IF(AY446&lt;($AM$10-$AL$10)/($AN$10-$AL$10),$AL$10+SQRT(AY446*($AN$10-$AL$10)*($AM$10-$AL$10)),$AN$10-SQRT((1-AY446)*($AN$10-$AL$10)*($AN$10-$AM$10))),$AM$10)</f>
        <v/>
      </c>
      <c r="AQ446">
        <f>IFERROR(IF(AZ446&lt;($AM$11-$AL$11)/($AN$11-$AL$11),$AL$11+SQRT(AZ446*($AN$11-$AL$11)*($AM$11-$AL$11)),$AN$11-SQRT((1-AZ446)*($AN$11-$AL$11)*($AN$11-$AM$11))),$AM$11)</f>
        <v/>
      </c>
      <c r="AR446">
        <f>SUMPRODUCT((B24:B31&lt;=$B$6)*(C24:C31*AM446+D24:D31*AO446*$B$8*AQ446)/(1+AL446/100)^B24:B31)+C32*AM446*AP446/(1+AL446/100)^$B$6</f>
        <v/>
      </c>
      <c r="AS446">
        <f>SUMPRODUCT((K24:K26&lt;=$B$6)*(L24:L26*AN446+M24:M26*AO446*$B$8*AQ446)/(1+AL446/100)^K24:K26)+L27*AN446*AP446/(1+AL446/100)^$B$6</f>
        <v/>
      </c>
      <c r="AT446">
        <f>AS446-AR446</f>
        <v/>
      </c>
      <c r="AU446">
        <f>RAND()</f>
        <v/>
      </c>
      <c r="AV446">
        <f>RAND()</f>
        <v/>
      </c>
      <c r="AW446">
        <f>RAND()</f>
        <v/>
      </c>
      <c r="AX446">
        <f>RAND()</f>
        <v/>
      </c>
      <c r="AY446">
        <f>RAND()</f>
        <v/>
      </c>
      <c r="AZ446">
        <f>RAND()</f>
        <v/>
      </c>
    </row>
    <row r="447">
      <c r="AK447" t="n">
        <v>434</v>
      </c>
      <c r="AL447">
        <f>IFERROR(IF(AU447&lt;($AM$6-$AL$6)/($AN$6-$AL$6),$AL$6+SQRT(AU447*($AN$6-$AL$6)*($AM$6-$AL$6)),$AN$6-SQRT((1-AU447)*($AN$6-$AL$6)*($AN$6-$AM$6))),$AM$6)</f>
        <v/>
      </c>
      <c r="AM447">
        <f>IFERROR(IF(AV447&lt;($AM$7-$AL$7)/($AN$7-$AL$7),$AL$7+SQRT(AV447*($AN$7-$AL$7)*($AM$7-$AL$7)),$AN$7-SQRT((1-AV447)*($AN$7-$AL$7)*($AN$7-$AM$7))),$AM$7)</f>
        <v/>
      </c>
      <c r="AN447">
        <f>IFERROR(IF(AW447&lt;($AM$8-$AL$8)/($AN$8-$AL$8),$AL$8+SQRT(AW447*($AN$8-$AL$8)*($AM$8-$AL$8)),$AN$8-SQRT((1-AW447)*($AN$8-$AL$8)*($AN$8-$AM$8))),$AM$8)</f>
        <v/>
      </c>
      <c r="AO447">
        <f>IFERROR(IF(AX447&lt;($AM$9-$AL$9)/($AN$9-$AL$9),$AL$9+SQRT(AX447*($AN$9-$AL$9)*($AM$9-$AL$9)),$AN$9-SQRT((1-AX447)*($AN$9-$AL$9)*($AN$9-$AM$9))),$AM$9)</f>
        <v/>
      </c>
      <c r="AP447">
        <f>IFERROR(IF(AY447&lt;($AM$10-$AL$10)/($AN$10-$AL$10),$AL$10+SQRT(AY447*($AN$10-$AL$10)*($AM$10-$AL$10)),$AN$10-SQRT((1-AY447)*($AN$10-$AL$10)*($AN$10-$AM$10))),$AM$10)</f>
        <v/>
      </c>
      <c r="AQ447">
        <f>IFERROR(IF(AZ447&lt;($AM$11-$AL$11)/($AN$11-$AL$11),$AL$11+SQRT(AZ447*($AN$11-$AL$11)*($AM$11-$AL$11)),$AN$11-SQRT((1-AZ447)*($AN$11-$AL$11)*($AN$11-$AM$11))),$AM$11)</f>
        <v/>
      </c>
      <c r="AR447">
        <f>SUMPRODUCT((B24:B31&lt;=$B$6)*(C24:C31*AM447+D24:D31*AO447*$B$8*AQ447)/(1+AL447/100)^B24:B31)+C32*AM447*AP447/(1+AL447/100)^$B$6</f>
        <v/>
      </c>
      <c r="AS447">
        <f>SUMPRODUCT((K24:K26&lt;=$B$6)*(L24:L26*AN447+M24:M26*AO447*$B$8*AQ447)/(1+AL447/100)^K24:K26)+L27*AN447*AP447/(1+AL447/100)^$B$6</f>
        <v/>
      </c>
      <c r="AT447">
        <f>AS447-AR447</f>
        <v/>
      </c>
      <c r="AU447">
        <f>RAND()</f>
        <v/>
      </c>
      <c r="AV447">
        <f>RAND()</f>
        <v/>
      </c>
      <c r="AW447">
        <f>RAND()</f>
        <v/>
      </c>
      <c r="AX447">
        <f>RAND()</f>
        <v/>
      </c>
      <c r="AY447">
        <f>RAND()</f>
        <v/>
      </c>
      <c r="AZ447">
        <f>RAND()</f>
        <v/>
      </c>
    </row>
    <row r="448">
      <c r="AK448" t="n">
        <v>435</v>
      </c>
      <c r="AL448">
        <f>IFERROR(IF(AU448&lt;($AM$6-$AL$6)/($AN$6-$AL$6),$AL$6+SQRT(AU448*($AN$6-$AL$6)*($AM$6-$AL$6)),$AN$6-SQRT((1-AU448)*($AN$6-$AL$6)*($AN$6-$AM$6))),$AM$6)</f>
        <v/>
      </c>
      <c r="AM448">
        <f>IFERROR(IF(AV448&lt;($AM$7-$AL$7)/($AN$7-$AL$7),$AL$7+SQRT(AV448*($AN$7-$AL$7)*($AM$7-$AL$7)),$AN$7-SQRT((1-AV448)*($AN$7-$AL$7)*($AN$7-$AM$7))),$AM$7)</f>
        <v/>
      </c>
      <c r="AN448">
        <f>IFERROR(IF(AW448&lt;($AM$8-$AL$8)/($AN$8-$AL$8),$AL$8+SQRT(AW448*($AN$8-$AL$8)*($AM$8-$AL$8)),$AN$8-SQRT((1-AW448)*($AN$8-$AL$8)*($AN$8-$AM$8))),$AM$8)</f>
        <v/>
      </c>
      <c r="AO448">
        <f>IFERROR(IF(AX448&lt;($AM$9-$AL$9)/($AN$9-$AL$9),$AL$9+SQRT(AX448*($AN$9-$AL$9)*($AM$9-$AL$9)),$AN$9-SQRT((1-AX448)*($AN$9-$AL$9)*($AN$9-$AM$9))),$AM$9)</f>
        <v/>
      </c>
      <c r="AP448">
        <f>IFERROR(IF(AY448&lt;($AM$10-$AL$10)/($AN$10-$AL$10),$AL$10+SQRT(AY448*($AN$10-$AL$10)*($AM$10-$AL$10)),$AN$10-SQRT((1-AY448)*($AN$10-$AL$10)*($AN$10-$AM$10))),$AM$10)</f>
        <v/>
      </c>
      <c r="AQ448">
        <f>IFERROR(IF(AZ448&lt;($AM$11-$AL$11)/($AN$11-$AL$11),$AL$11+SQRT(AZ448*($AN$11-$AL$11)*($AM$11-$AL$11)),$AN$11-SQRT((1-AZ448)*($AN$11-$AL$11)*($AN$11-$AM$11))),$AM$11)</f>
        <v/>
      </c>
      <c r="AR448">
        <f>SUMPRODUCT((B24:B31&lt;=$B$6)*(C24:C31*AM448+D24:D31*AO448*$B$8*AQ448)/(1+AL448/100)^B24:B31)+C32*AM448*AP448/(1+AL448/100)^$B$6</f>
        <v/>
      </c>
      <c r="AS448">
        <f>SUMPRODUCT((K24:K26&lt;=$B$6)*(L24:L26*AN448+M24:M26*AO448*$B$8*AQ448)/(1+AL448/100)^K24:K26)+L27*AN448*AP448/(1+AL448/100)^$B$6</f>
        <v/>
      </c>
      <c r="AT448">
        <f>AS448-AR448</f>
        <v/>
      </c>
      <c r="AU448">
        <f>RAND()</f>
        <v/>
      </c>
      <c r="AV448">
        <f>RAND()</f>
        <v/>
      </c>
      <c r="AW448">
        <f>RAND()</f>
        <v/>
      </c>
      <c r="AX448">
        <f>RAND()</f>
        <v/>
      </c>
      <c r="AY448">
        <f>RAND()</f>
        <v/>
      </c>
      <c r="AZ448">
        <f>RAND()</f>
        <v/>
      </c>
    </row>
    <row r="449">
      <c r="AK449" t="n">
        <v>436</v>
      </c>
      <c r="AL449">
        <f>IFERROR(IF(AU449&lt;($AM$6-$AL$6)/($AN$6-$AL$6),$AL$6+SQRT(AU449*($AN$6-$AL$6)*($AM$6-$AL$6)),$AN$6-SQRT((1-AU449)*($AN$6-$AL$6)*($AN$6-$AM$6))),$AM$6)</f>
        <v/>
      </c>
      <c r="AM449">
        <f>IFERROR(IF(AV449&lt;($AM$7-$AL$7)/($AN$7-$AL$7),$AL$7+SQRT(AV449*($AN$7-$AL$7)*($AM$7-$AL$7)),$AN$7-SQRT((1-AV449)*($AN$7-$AL$7)*($AN$7-$AM$7))),$AM$7)</f>
        <v/>
      </c>
      <c r="AN449">
        <f>IFERROR(IF(AW449&lt;($AM$8-$AL$8)/($AN$8-$AL$8),$AL$8+SQRT(AW449*($AN$8-$AL$8)*($AM$8-$AL$8)),$AN$8-SQRT((1-AW449)*($AN$8-$AL$8)*($AN$8-$AM$8))),$AM$8)</f>
        <v/>
      </c>
      <c r="AO449">
        <f>IFERROR(IF(AX449&lt;($AM$9-$AL$9)/($AN$9-$AL$9),$AL$9+SQRT(AX449*($AN$9-$AL$9)*($AM$9-$AL$9)),$AN$9-SQRT((1-AX449)*($AN$9-$AL$9)*($AN$9-$AM$9))),$AM$9)</f>
        <v/>
      </c>
      <c r="AP449">
        <f>IFERROR(IF(AY449&lt;($AM$10-$AL$10)/($AN$10-$AL$10),$AL$10+SQRT(AY449*($AN$10-$AL$10)*($AM$10-$AL$10)),$AN$10-SQRT((1-AY449)*($AN$10-$AL$10)*($AN$10-$AM$10))),$AM$10)</f>
        <v/>
      </c>
      <c r="AQ449">
        <f>IFERROR(IF(AZ449&lt;($AM$11-$AL$11)/($AN$11-$AL$11),$AL$11+SQRT(AZ449*($AN$11-$AL$11)*($AM$11-$AL$11)),$AN$11-SQRT((1-AZ449)*($AN$11-$AL$11)*($AN$11-$AM$11))),$AM$11)</f>
        <v/>
      </c>
      <c r="AR449">
        <f>SUMPRODUCT((B24:B31&lt;=$B$6)*(C24:C31*AM449+D24:D31*AO449*$B$8*AQ449)/(1+AL449/100)^B24:B31)+C32*AM449*AP449/(1+AL449/100)^$B$6</f>
        <v/>
      </c>
      <c r="AS449">
        <f>SUMPRODUCT((K24:K26&lt;=$B$6)*(L24:L26*AN449+M24:M26*AO449*$B$8*AQ449)/(1+AL449/100)^K24:K26)+L27*AN449*AP449/(1+AL449/100)^$B$6</f>
        <v/>
      </c>
      <c r="AT449">
        <f>AS449-AR449</f>
        <v/>
      </c>
      <c r="AU449">
        <f>RAND()</f>
        <v/>
      </c>
      <c r="AV449">
        <f>RAND()</f>
        <v/>
      </c>
      <c r="AW449">
        <f>RAND()</f>
        <v/>
      </c>
      <c r="AX449">
        <f>RAND()</f>
        <v/>
      </c>
      <c r="AY449">
        <f>RAND()</f>
        <v/>
      </c>
      <c r="AZ449">
        <f>RAND()</f>
        <v/>
      </c>
    </row>
    <row r="450">
      <c r="AK450" t="n">
        <v>437</v>
      </c>
      <c r="AL450">
        <f>IFERROR(IF(AU450&lt;($AM$6-$AL$6)/($AN$6-$AL$6),$AL$6+SQRT(AU450*($AN$6-$AL$6)*($AM$6-$AL$6)),$AN$6-SQRT((1-AU450)*($AN$6-$AL$6)*($AN$6-$AM$6))),$AM$6)</f>
        <v/>
      </c>
      <c r="AM450">
        <f>IFERROR(IF(AV450&lt;($AM$7-$AL$7)/($AN$7-$AL$7),$AL$7+SQRT(AV450*($AN$7-$AL$7)*($AM$7-$AL$7)),$AN$7-SQRT((1-AV450)*($AN$7-$AL$7)*($AN$7-$AM$7))),$AM$7)</f>
        <v/>
      </c>
      <c r="AN450">
        <f>IFERROR(IF(AW450&lt;($AM$8-$AL$8)/($AN$8-$AL$8),$AL$8+SQRT(AW450*($AN$8-$AL$8)*($AM$8-$AL$8)),$AN$8-SQRT((1-AW450)*($AN$8-$AL$8)*($AN$8-$AM$8))),$AM$8)</f>
        <v/>
      </c>
      <c r="AO450">
        <f>IFERROR(IF(AX450&lt;($AM$9-$AL$9)/($AN$9-$AL$9),$AL$9+SQRT(AX450*($AN$9-$AL$9)*($AM$9-$AL$9)),$AN$9-SQRT((1-AX450)*($AN$9-$AL$9)*($AN$9-$AM$9))),$AM$9)</f>
        <v/>
      </c>
      <c r="AP450">
        <f>IFERROR(IF(AY450&lt;($AM$10-$AL$10)/($AN$10-$AL$10),$AL$10+SQRT(AY450*($AN$10-$AL$10)*($AM$10-$AL$10)),$AN$10-SQRT((1-AY450)*($AN$10-$AL$10)*($AN$10-$AM$10))),$AM$10)</f>
        <v/>
      </c>
      <c r="AQ450">
        <f>IFERROR(IF(AZ450&lt;($AM$11-$AL$11)/($AN$11-$AL$11),$AL$11+SQRT(AZ450*($AN$11-$AL$11)*($AM$11-$AL$11)),$AN$11-SQRT((1-AZ450)*($AN$11-$AL$11)*($AN$11-$AM$11))),$AM$11)</f>
        <v/>
      </c>
      <c r="AR450">
        <f>SUMPRODUCT((B24:B31&lt;=$B$6)*(C24:C31*AM450+D24:D31*AO450*$B$8*AQ450)/(1+AL450/100)^B24:B31)+C32*AM450*AP450/(1+AL450/100)^$B$6</f>
        <v/>
      </c>
      <c r="AS450">
        <f>SUMPRODUCT((K24:K26&lt;=$B$6)*(L24:L26*AN450+M24:M26*AO450*$B$8*AQ450)/(1+AL450/100)^K24:K26)+L27*AN450*AP450/(1+AL450/100)^$B$6</f>
        <v/>
      </c>
      <c r="AT450">
        <f>AS450-AR450</f>
        <v/>
      </c>
      <c r="AU450">
        <f>RAND()</f>
        <v/>
      </c>
      <c r="AV450">
        <f>RAND()</f>
        <v/>
      </c>
      <c r="AW450">
        <f>RAND()</f>
        <v/>
      </c>
      <c r="AX450">
        <f>RAND()</f>
        <v/>
      </c>
      <c r="AY450">
        <f>RAND()</f>
        <v/>
      </c>
      <c r="AZ450">
        <f>RAND()</f>
        <v/>
      </c>
    </row>
    <row r="451">
      <c r="AK451" t="n">
        <v>438</v>
      </c>
      <c r="AL451">
        <f>IFERROR(IF(AU451&lt;($AM$6-$AL$6)/($AN$6-$AL$6),$AL$6+SQRT(AU451*($AN$6-$AL$6)*($AM$6-$AL$6)),$AN$6-SQRT((1-AU451)*($AN$6-$AL$6)*($AN$6-$AM$6))),$AM$6)</f>
        <v/>
      </c>
      <c r="AM451">
        <f>IFERROR(IF(AV451&lt;($AM$7-$AL$7)/($AN$7-$AL$7),$AL$7+SQRT(AV451*($AN$7-$AL$7)*($AM$7-$AL$7)),$AN$7-SQRT((1-AV451)*($AN$7-$AL$7)*($AN$7-$AM$7))),$AM$7)</f>
        <v/>
      </c>
      <c r="AN451">
        <f>IFERROR(IF(AW451&lt;($AM$8-$AL$8)/($AN$8-$AL$8),$AL$8+SQRT(AW451*($AN$8-$AL$8)*($AM$8-$AL$8)),$AN$8-SQRT((1-AW451)*($AN$8-$AL$8)*($AN$8-$AM$8))),$AM$8)</f>
        <v/>
      </c>
      <c r="AO451">
        <f>IFERROR(IF(AX451&lt;($AM$9-$AL$9)/($AN$9-$AL$9),$AL$9+SQRT(AX451*($AN$9-$AL$9)*($AM$9-$AL$9)),$AN$9-SQRT((1-AX451)*($AN$9-$AL$9)*($AN$9-$AM$9))),$AM$9)</f>
        <v/>
      </c>
      <c r="AP451">
        <f>IFERROR(IF(AY451&lt;($AM$10-$AL$10)/($AN$10-$AL$10),$AL$10+SQRT(AY451*($AN$10-$AL$10)*($AM$10-$AL$10)),$AN$10-SQRT((1-AY451)*($AN$10-$AL$10)*($AN$10-$AM$10))),$AM$10)</f>
        <v/>
      </c>
      <c r="AQ451">
        <f>IFERROR(IF(AZ451&lt;($AM$11-$AL$11)/($AN$11-$AL$11),$AL$11+SQRT(AZ451*($AN$11-$AL$11)*($AM$11-$AL$11)),$AN$11-SQRT((1-AZ451)*($AN$11-$AL$11)*($AN$11-$AM$11))),$AM$11)</f>
        <v/>
      </c>
      <c r="AR451">
        <f>SUMPRODUCT((B24:B31&lt;=$B$6)*(C24:C31*AM451+D24:D31*AO451*$B$8*AQ451)/(1+AL451/100)^B24:B31)+C32*AM451*AP451/(1+AL451/100)^$B$6</f>
        <v/>
      </c>
      <c r="AS451">
        <f>SUMPRODUCT((K24:K26&lt;=$B$6)*(L24:L26*AN451+M24:M26*AO451*$B$8*AQ451)/(1+AL451/100)^K24:K26)+L27*AN451*AP451/(1+AL451/100)^$B$6</f>
        <v/>
      </c>
      <c r="AT451">
        <f>AS451-AR451</f>
        <v/>
      </c>
      <c r="AU451">
        <f>RAND()</f>
        <v/>
      </c>
      <c r="AV451">
        <f>RAND()</f>
        <v/>
      </c>
      <c r="AW451">
        <f>RAND()</f>
        <v/>
      </c>
      <c r="AX451">
        <f>RAND()</f>
        <v/>
      </c>
      <c r="AY451">
        <f>RAND()</f>
        <v/>
      </c>
      <c r="AZ451">
        <f>RAND()</f>
        <v/>
      </c>
    </row>
    <row r="452">
      <c r="AK452" t="n">
        <v>439</v>
      </c>
      <c r="AL452">
        <f>IFERROR(IF(AU452&lt;($AM$6-$AL$6)/($AN$6-$AL$6),$AL$6+SQRT(AU452*($AN$6-$AL$6)*($AM$6-$AL$6)),$AN$6-SQRT((1-AU452)*($AN$6-$AL$6)*($AN$6-$AM$6))),$AM$6)</f>
        <v/>
      </c>
      <c r="AM452">
        <f>IFERROR(IF(AV452&lt;($AM$7-$AL$7)/($AN$7-$AL$7),$AL$7+SQRT(AV452*($AN$7-$AL$7)*($AM$7-$AL$7)),$AN$7-SQRT((1-AV452)*($AN$7-$AL$7)*($AN$7-$AM$7))),$AM$7)</f>
        <v/>
      </c>
      <c r="AN452">
        <f>IFERROR(IF(AW452&lt;($AM$8-$AL$8)/($AN$8-$AL$8),$AL$8+SQRT(AW452*($AN$8-$AL$8)*($AM$8-$AL$8)),$AN$8-SQRT((1-AW452)*($AN$8-$AL$8)*($AN$8-$AM$8))),$AM$8)</f>
        <v/>
      </c>
      <c r="AO452">
        <f>IFERROR(IF(AX452&lt;($AM$9-$AL$9)/($AN$9-$AL$9),$AL$9+SQRT(AX452*($AN$9-$AL$9)*($AM$9-$AL$9)),$AN$9-SQRT((1-AX452)*($AN$9-$AL$9)*($AN$9-$AM$9))),$AM$9)</f>
        <v/>
      </c>
      <c r="AP452">
        <f>IFERROR(IF(AY452&lt;($AM$10-$AL$10)/($AN$10-$AL$10),$AL$10+SQRT(AY452*($AN$10-$AL$10)*($AM$10-$AL$10)),$AN$10-SQRT((1-AY452)*($AN$10-$AL$10)*($AN$10-$AM$10))),$AM$10)</f>
        <v/>
      </c>
      <c r="AQ452">
        <f>IFERROR(IF(AZ452&lt;($AM$11-$AL$11)/($AN$11-$AL$11),$AL$11+SQRT(AZ452*($AN$11-$AL$11)*($AM$11-$AL$11)),$AN$11-SQRT((1-AZ452)*($AN$11-$AL$11)*($AN$11-$AM$11))),$AM$11)</f>
        <v/>
      </c>
      <c r="AR452">
        <f>SUMPRODUCT((B24:B31&lt;=$B$6)*(C24:C31*AM452+D24:D31*AO452*$B$8*AQ452)/(1+AL452/100)^B24:B31)+C32*AM452*AP452/(1+AL452/100)^$B$6</f>
        <v/>
      </c>
      <c r="AS452">
        <f>SUMPRODUCT((K24:K26&lt;=$B$6)*(L24:L26*AN452+M24:M26*AO452*$B$8*AQ452)/(1+AL452/100)^K24:K26)+L27*AN452*AP452/(1+AL452/100)^$B$6</f>
        <v/>
      </c>
      <c r="AT452">
        <f>AS452-AR452</f>
        <v/>
      </c>
      <c r="AU452">
        <f>RAND()</f>
        <v/>
      </c>
      <c r="AV452">
        <f>RAND()</f>
        <v/>
      </c>
      <c r="AW452">
        <f>RAND()</f>
        <v/>
      </c>
      <c r="AX452">
        <f>RAND()</f>
        <v/>
      </c>
      <c r="AY452">
        <f>RAND()</f>
        <v/>
      </c>
      <c r="AZ452">
        <f>RAND()</f>
        <v/>
      </c>
    </row>
    <row r="453">
      <c r="AK453" t="n">
        <v>440</v>
      </c>
      <c r="AL453">
        <f>IFERROR(IF(AU453&lt;($AM$6-$AL$6)/($AN$6-$AL$6),$AL$6+SQRT(AU453*($AN$6-$AL$6)*($AM$6-$AL$6)),$AN$6-SQRT((1-AU453)*($AN$6-$AL$6)*($AN$6-$AM$6))),$AM$6)</f>
        <v/>
      </c>
      <c r="AM453">
        <f>IFERROR(IF(AV453&lt;($AM$7-$AL$7)/($AN$7-$AL$7),$AL$7+SQRT(AV453*($AN$7-$AL$7)*($AM$7-$AL$7)),$AN$7-SQRT((1-AV453)*($AN$7-$AL$7)*($AN$7-$AM$7))),$AM$7)</f>
        <v/>
      </c>
      <c r="AN453">
        <f>IFERROR(IF(AW453&lt;($AM$8-$AL$8)/($AN$8-$AL$8),$AL$8+SQRT(AW453*($AN$8-$AL$8)*($AM$8-$AL$8)),$AN$8-SQRT((1-AW453)*($AN$8-$AL$8)*($AN$8-$AM$8))),$AM$8)</f>
        <v/>
      </c>
      <c r="AO453">
        <f>IFERROR(IF(AX453&lt;($AM$9-$AL$9)/($AN$9-$AL$9),$AL$9+SQRT(AX453*($AN$9-$AL$9)*($AM$9-$AL$9)),$AN$9-SQRT((1-AX453)*($AN$9-$AL$9)*($AN$9-$AM$9))),$AM$9)</f>
        <v/>
      </c>
      <c r="AP453">
        <f>IFERROR(IF(AY453&lt;($AM$10-$AL$10)/($AN$10-$AL$10),$AL$10+SQRT(AY453*($AN$10-$AL$10)*($AM$10-$AL$10)),$AN$10-SQRT((1-AY453)*($AN$10-$AL$10)*($AN$10-$AM$10))),$AM$10)</f>
        <v/>
      </c>
      <c r="AQ453">
        <f>IFERROR(IF(AZ453&lt;($AM$11-$AL$11)/($AN$11-$AL$11),$AL$11+SQRT(AZ453*($AN$11-$AL$11)*($AM$11-$AL$11)),$AN$11-SQRT((1-AZ453)*($AN$11-$AL$11)*($AN$11-$AM$11))),$AM$11)</f>
        <v/>
      </c>
      <c r="AR453">
        <f>SUMPRODUCT((B24:B31&lt;=$B$6)*(C24:C31*AM453+D24:D31*AO453*$B$8*AQ453)/(1+AL453/100)^B24:B31)+C32*AM453*AP453/(1+AL453/100)^$B$6</f>
        <v/>
      </c>
      <c r="AS453">
        <f>SUMPRODUCT((K24:K26&lt;=$B$6)*(L24:L26*AN453+M24:M26*AO453*$B$8*AQ453)/(1+AL453/100)^K24:K26)+L27*AN453*AP453/(1+AL453/100)^$B$6</f>
        <v/>
      </c>
      <c r="AT453">
        <f>AS453-AR453</f>
        <v/>
      </c>
      <c r="AU453">
        <f>RAND()</f>
        <v/>
      </c>
      <c r="AV453">
        <f>RAND()</f>
        <v/>
      </c>
      <c r="AW453">
        <f>RAND()</f>
        <v/>
      </c>
      <c r="AX453">
        <f>RAND()</f>
        <v/>
      </c>
      <c r="AY453">
        <f>RAND()</f>
        <v/>
      </c>
      <c r="AZ453">
        <f>RAND()</f>
        <v/>
      </c>
    </row>
    <row r="454">
      <c r="AK454" t="n">
        <v>441</v>
      </c>
      <c r="AL454">
        <f>IFERROR(IF(AU454&lt;($AM$6-$AL$6)/($AN$6-$AL$6),$AL$6+SQRT(AU454*($AN$6-$AL$6)*($AM$6-$AL$6)),$AN$6-SQRT((1-AU454)*($AN$6-$AL$6)*($AN$6-$AM$6))),$AM$6)</f>
        <v/>
      </c>
      <c r="AM454">
        <f>IFERROR(IF(AV454&lt;($AM$7-$AL$7)/($AN$7-$AL$7),$AL$7+SQRT(AV454*($AN$7-$AL$7)*($AM$7-$AL$7)),$AN$7-SQRT((1-AV454)*($AN$7-$AL$7)*($AN$7-$AM$7))),$AM$7)</f>
        <v/>
      </c>
      <c r="AN454">
        <f>IFERROR(IF(AW454&lt;($AM$8-$AL$8)/($AN$8-$AL$8),$AL$8+SQRT(AW454*($AN$8-$AL$8)*($AM$8-$AL$8)),$AN$8-SQRT((1-AW454)*($AN$8-$AL$8)*($AN$8-$AM$8))),$AM$8)</f>
        <v/>
      </c>
      <c r="AO454">
        <f>IFERROR(IF(AX454&lt;($AM$9-$AL$9)/($AN$9-$AL$9),$AL$9+SQRT(AX454*($AN$9-$AL$9)*($AM$9-$AL$9)),$AN$9-SQRT((1-AX454)*($AN$9-$AL$9)*($AN$9-$AM$9))),$AM$9)</f>
        <v/>
      </c>
      <c r="AP454">
        <f>IFERROR(IF(AY454&lt;($AM$10-$AL$10)/($AN$10-$AL$10),$AL$10+SQRT(AY454*($AN$10-$AL$10)*($AM$10-$AL$10)),$AN$10-SQRT((1-AY454)*($AN$10-$AL$10)*($AN$10-$AM$10))),$AM$10)</f>
        <v/>
      </c>
      <c r="AQ454">
        <f>IFERROR(IF(AZ454&lt;($AM$11-$AL$11)/($AN$11-$AL$11),$AL$11+SQRT(AZ454*($AN$11-$AL$11)*($AM$11-$AL$11)),$AN$11-SQRT((1-AZ454)*($AN$11-$AL$11)*($AN$11-$AM$11))),$AM$11)</f>
        <v/>
      </c>
      <c r="AR454">
        <f>SUMPRODUCT((B24:B31&lt;=$B$6)*(C24:C31*AM454+D24:D31*AO454*$B$8*AQ454)/(1+AL454/100)^B24:B31)+C32*AM454*AP454/(1+AL454/100)^$B$6</f>
        <v/>
      </c>
      <c r="AS454">
        <f>SUMPRODUCT((K24:K26&lt;=$B$6)*(L24:L26*AN454+M24:M26*AO454*$B$8*AQ454)/(1+AL454/100)^K24:K26)+L27*AN454*AP454/(1+AL454/100)^$B$6</f>
        <v/>
      </c>
      <c r="AT454">
        <f>AS454-AR454</f>
        <v/>
      </c>
      <c r="AU454">
        <f>RAND()</f>
        <v/>
      </c>
      <c r="AV454">
        <f>RAND()</f>
        <v/>
      </c>
      <c r="AW454">
        <f>RAND()</f>
        <v/>
      </c>
      <c r="AX454">
        <f>RAND()</f>
        <v/>
      </c>
      <c r="AY454">
        <f>RAND()</f>
        <v/>
      </c>
      <c r="AZ454">
        <f>RAND()</f>
        <v/>
      </c>
    </row>
    <row r="455">
      <c r="AK455" t="n">
        <v>442</v>
      </c>
      <c r="AL455">
        <f>IFERROR(IF(AU455&lt;($AM$6-$AL$6)/($AN$6-$AL$6),$AL$6+SQRT(AU455*($AN$6-$AL$6)*($AM$6-$AL$6)),$AN$6-SQRT((1-AU455)*($AN$6-$AL$6)*($AN$6-$AM$6))),$AM$6)</f>
        <v/>
      </c>
      <c r="AM455">
        <f>IFERROR(IF(AV455&lt;($AM$7-$AL$7)/($AN$7-$AL$7),$AL$7+SQRT(AV455*($AN$7-$AL$7)*($AM$7-$AL$7)),$AN$7-SQRT((1-AV455)*($AN$7-$AL$7)*($AN$7-$AM$7))),$AM$7)</f>
        <v/>
      </c>
      <c r="AN455">
        <f>IFERROR(IF(AW455&lt;($AM$8-$AL$8)/($AN$8-$AL$8),$AL$8+SQRT(AW455*($AN$8-$AL$8)*($AM$8-$AL$8)),$AN$8-SQRT((1-AW455)*($AN$8-$AL$8)*($AN$8-$AM$8))),$AM$8)</f>
        <v/>
      </c>
      <c r="AO455">
        <f>IFERROR(IF(AX455&lt;($AM$9-$AL$9)/($AN$9-$AL$9),$AL$9+SQRT(AX455*($AN$9-$AL$9)*($AM$9-$AL$9)),$AN$9-SQRT((1-AX455)*($AN$9-$AL$9)*($AN$9-$AM$9))),$AM$9)</f>
        <v/>
      </c>
      <c r="AP455">
        <f>IFERROR(IF(AY455&lt;($AM$10-$AL$10)/($AN$10-$AL$10),$AL$10+SQRT(AY455*($AN$10-$AL$10)*($AM$10-$AL$10)),$AN$10-SQRT((1-AY455)*($AN$10-$AL$10)*($AN$10-$AM$10))),$AM$10)</f>
        <v/>
      </c>
      <c r="AQ455">
        <f>IFERROR(IF(AZ455&lt;($AM$11-$AL$11)/($AN$11-$AL$11),$AL$11+SQRT(AZ455*($AN$11-$AL$11)*($AM$11-$AL$11)),$AN$11-SQRT((1-AZ455)*($AN$11-$AL$11)*($AN$11-$AM$11))),$AM$11)</f>
        <v/>
      </c>
      <c r="AR455">
        <f>SUMPRODUCT((B24:B31&lt;=$B$6)*(C24:C31*AM455+D24:D31*AO455*$B$8*AQ455)/(1+AL455/100)^B24:B31)+C32*AM455*AP455/(1+AL455/100)^$B$6</f>
        <v/>
      </c>
      <c r="AS455">
        <f>SUMPRODUCT((K24:K26&lt;=$B$6)*(L24:L26*AN455+M24:M26*AO455*$B$8*AQ455)/(1+AL455/100)^K24:K26)+L27*AN455*AP455/(1+AL455/100)^$B$6</f>
        <v/>
      </c>
      <c r="AT455">
        <f>AS455-AR455</f>
        <v/>
      </c>
      <c r="AU455">
        <f>RAND()</f>
        <v/>
      </c>
      <c r="AV455">
        <f>RAND()</f>
        <v/>
      </c>
      <c r="AW455">
        <f>RAND()</f>
        <v/>
      </c>
      <c r="AX455">
        <f>RAND()</f>
        <v/>
      </c>
      <c r="AY455">
        <f>RAND()</f>
        <v/>
      </c>
      <c r="AZ455">
        <f>RAND()</f>
        <v/>
      </c>
    </row>
    <row r="456">
      <c r="AK456" t="n">
        <v>443</v>
      </c>
      <c r="AL456">
        <f>IFERROR(IF(AU456&lt;($AM$6-$AL$6)/($AN$6-$AL$6),$AL$6+SQRT(AU456*($AN$6-$AL$6)*($AM$6-$AL$6)),$AN$6-SQRT((1-AU456)*($AN$6-$AL$6)*($AN$6-$AM$6))),$AM$6)</f>
        <v/>
      </c>
      <c r="AM456">
        <f>IFERROR(IF(AV456&lt;($AM$7-$AL$7)/($AN$7-$AL$7),$AL$7+SQRT(AV456*($AN$7-$AL$7)*($AM$7-$AL$7)),$AN$7-SQRT((1-AV456)*($AN$7-$AL$7)*($AN$7-$AM$7))),$AM$7)</f>
        <v/>
      </c>
      <c r="AN456">
        <f>IFERROR(IF(AW456&lt;($AM$8-$AL$8)/($AN$8-$AL$8),$AL$8+SQRT(AW456*($AN$8-$AL$8)*($AM$8-$AL$8)),$AN$8-SQRT((1-AW456)*($AN$8-$AL$8)*($AN$8-$AM$8))),$AM$8)</f>
        <v/>
      </c>
      <c r="AO456">
        <f>IFERROR(IF(AX456&lt;($AM$9-$AL$9)/($AN$9-$AL$9),$AL$9+SQRT(AX456*($AN$9-$AL$9)*($AM$9-$AL$9)),$AN$9-SQRT((1-AX456)*($AN$9-$AL$9)*($AN$9-$AM$9))),$AM$9)</f>
        <v/>
      </c>
      <c r="AP456">
        <f>IFERROR(IF(AY456&lt;($AM$10-$AL$10)/($AN$10-$AL$10),$AL$10+SQRT(AY456*($AN$10-$AL$10)*($AM$10-$AL$10)),$AN$10-SQRT((1-AY456)*($AN$10-$AL$10)*($AN$10-$AM$10))),$AM$10)</f>
        <v/>
      </c>
      <c r="AQ456">
        <f>IFERROR(IF(AZ456&lt;($AM$11-$AL$11)/($AN$11-$AL$11),$AL$11+SQRT(AZ456*($AN$11-$AL$11)*($AM$11-$AL$11)),$AN$11-SQRT((1-AZ456)*($AN$11-$AL$11)*($AN$11-$AM$11))),$AM$11)</f>
        <v/>
      </c>
      <c r="AR456">
        <f>SUMPRODUCT((B24:B31&lt;=$B$6)*(C24:C31*AM456+D24:D31*AO456*$B$8*AQ456)/(1+AL456/100)^B24:B31)+C32*AM456*AP456/(1+AL456/100)^$B$6</f>
        <v/>
      </c>
      <c r="AS456">
        <f>SUMPRODUCT((K24:K26&lt;=$B$6)*(L24:L26*AN456+M24:M26*AO456*$B$8*AQ456)/(1+AL456/100)^K24:K26)+L27*AN456*AP456/(1+AL456/100)^$B$6</f>
        <v/>
      </c>
      <c r="AT456">
        <f>AS456-AR456</f>
        <v/>
      </c>
      <c r="AU456">
        <f>RAND()</f>
        <v/>
      </c>
      <c r="AV456">
        <f>RAND()</f>
        <v/>
      </c>
      <c r="AW456">
        <f>RAND()</f>
        <v/>
      </c>
      <c r="AX456">
        <f>RAND()</f>
        <v/>
      </c>
      <c r="AY456">
        <f>RAND()</f>
        <v/>
      </c>
      <c r="AZ456">
        <f>RAND()</f>
        <v/>
      </c>
    </row>
    <row r="457">
      <c r="AK457" t="n">
        <v>444</v>
      </c>
      <c r="AL457">
        <f>IFERROR(IF(AU457&lt;($AM$6-$AL$6)/($AN$6-$AL$6),$AL$6+SQRT(AU457*($AN$6-$AL$6)*($AM$6-$AL$6)),$AN$6-SQRT((1-AU457)*($AN$6-$AL$6)*($AN$6-$AM$6))),$AM$6)</f>
        <v/>
      </c>
      <c r="AM457">
        <f>IFERROR(IF(AV457&lt;($AM$7-$AL$7)/($AN$7-$AL$7),$AL$7+SQRT(AV457*($AN$7-$AL$7)*($AM$7-$AL$7)),$AN$7-SQRT((1-AV457)*($AN$7-$AL$7)*($AN$7-$AM$7))),$AM$7)</f>
        <v/>
      </c>
      <c r="AN457">
        <f>IFERROR(IF(AW457&lt;($AM$8-$AL$8)/($AN$8-$AL$8),$AL$8+SQRT(AW457*($AN$8-$AL$8)*($AM$8-$AL$8)),$AN$8-SQRT((1-AW457)*($AN$8-$AL$8)*($AN$8-$AM$8))),$AM$8)</f>
        <v/>
      </c>
      <c r="AO457">
        <f>IFERROR(IF(AX457&lt;($AM$9-$AL$9)/($AN$9-$AL$9),$AL$9+SQRT(AX457*($AN$9-$AL$9)*($AM$9-$AL$9)),$AN$9-SQRT((1-AX457)*($AN$9-$AL$9)*($AN$9-$AM$9))),$AM$9)</f>
        <v/>
      </c>
      <c r="AP457">
        <f>IFERROR(IF(AY457&lt;($AM$10-$AL$10)/($AN$10-$AL$10),$AL$10+SQRT(AY457*($AN$10-$AL$10)*($AM$10-$AL$10)),$AN$10-SQRT((1-AY457)*($AN$10-$AL$10)*($AN$10-$AM$10))),$AM$10)</f>
        <v/>
      </c>
      <c r="AQ457">
        <f>IFERROR(IF(AZ457&lt;($AM$11-$AL$11)/($AN$11-$AL$11),$AL$11+SQRT(AZ457*($AN$11-$AL$11)*($AM$11-$AL$11)),$AN$11-SQRT((1-AZ457)*($AN$11-$AL$11)*($AN$11-$AM$11))),$AM$11)</f>
        <v/>
      </c>
      <c r="AR457">
        <f>SUMPRODUCT((B24:B31&lt;=$B$6)*(C24:C31*AM457+D24:D31*AO457*$B$8*AQ457)/(1+AL457/100)^B24:B31)+C32*AM457*AP457/(1+AL457/100)^$B$6</f>
        <v/>
      </c>
      <c r="AS457">
        <f>SUMPRODUCT((K24:K26&lt;=$B$6)*(L24:L26*AN457+M24:M26*AO457*$B$8*AQ457)/(1+AL457/100)^K24:K26)+L27*AN457*AP457/(1+AL457/100)^$B$6</f>
        <v/>
      </c>
      <c r="AT457">
        <f>AS457-AR457</f>
        <v/>
      </c>
      <c r="AU457">
        <f>RAND()</f>
        <v/>
      </c>
      <c r="AV457">
        <f>RAND()</f>
        <v/>
      </c>
      <c r="AW457">
        <f>RAND()</f>
        <v/>
      </c>
      <c r="AX457">
        <f>RAND()</f>
        <v/>
      </c>
      <c r="AY457">
        <f>RAND()</f>
        <v/>
      </c>
      <c r="AZ457">
        <f>RAND()</f>
        <v/>
      </c>
    </row>
    <row r="458">
      <c r="AK458" t="n">
        <v>445</v>
      </c>
      <c r="AL458">
        <f>IFERROR(IF(AU458&lt;($AM$6-$AL$6)/($AN$6-$AL$6),$AL$6+SQRT(AU458*($AN$6-$AL$6)*($AM$6-$AL$6)),$AN$6-SQRT((1-AU458)*($AN$6-$AL$6)*($AN$6-$AM$6))),$AM$6)</f>
        <v/>
      </c>
      <c r="AM458">
        <f>IFERROR(IF(AV458&lt;($AM$7-$AL$7)/($AN$7-$AL$7),$AL$7+SQRT(AV458*($AN$7-$AL$7)*($AM$7-$AL$7)),$AN$7-SQRT((1-AV458)*($AN$7-$AL$7)*($AN$7-$AM$7))),$AM$7)</f>
        <v/>
      </c>
      <c r="AN458">
        <f>IFERROR(IF(AW458&lt;($AM$8-$AL$8)/($AN$8-$AL$8),$AL$8+SQRT(AW458*($AN$8-$AL$8)*($AM$8-$AL$8)),$AN$8-SQRT((1-AW458)*($AN$8-$AL$8)*($AN$8-$AM$8))),$AM$8)</f>
        <v/>
      </c>
      <c r="AO458">
        <f>IFERROR(IF(AX458&lt;($AM$9-$AL$9)/($AN$9-$AL$9),$AL$9+SQRT(AX458*($AN$9-$AL$9)*($AM$9-$AL$9)),$AN$9-SQRT((1-AX458)*($AN$9-$AL$9)*($AN$9-$AM$9))),$AM$9)</f>
        <v/>
      </c>
      <c r="AP458">
        <f>IFERROR(IF(AY458&lt;($AM$10-$AL$10)/($AN$10-$AL$10),$AL$10+SQRT(AY458*($AN$10-$AL$10)*($AM$10-$AL$10)),$AN$10-SQRT((1-AY458)*($AN$10-$AL$10)*($AN$10-$AM$10))),$AM$10)</f>
        <v/>
      </c>
      <c r="AQ458">
        <f>IFERROR(IF(AZ458&lt;($AM$11-$AL$11)/($AN$11-$AL$11),$AL$11+SQRT(AZ458*($AN$11-$AL$11)*($AM$11-$AL$11)),$AN$11-SQRT((1-AZ458)*($AN$11-$AL$11)*($AN$11-$AM$11))),$AM$11)</f>
        <v/>
      </c>
      <c r="AR458">
        <f>SUMPRODUCT((B24:B31&lt;=$B$6)*(C24:C31*AM458+D24:D31*AO458*$B$8*AQ458)/(1+AL458/100)^B24:B31)+C32*AM458*AP458/(1+AL458/100)^$B$6</f>
        <v/>
      </c>
      <c r="AS458">
        <f>SUMPRODUCT((K24:K26&lt;=$B$6)*(L24:L26*AN458+M24:M26*AO458*$B$8*AQ458)/(1+AL458/100)^K24:K26)+L27*AN458*AP458/(1+AL458/100)^$B$6</f>
        <v/>
      </c>
      <c r="AT458">
        <f>AS458-AR458</f>
        <v/>
      </c>
      <c r="AU458">
        <f>RAND()</f>
        <v/>
      </c>
      <c r="AV458">
        <f>RAND()</f>
        <v/>
      </c>
      <c r="AW458">
        <f>RAND()</f>
        <v/>
      </c>
      <c r="AX458">
        <f>RAND()</f>
        <v/>
      </c>
      <c r="AY458">
        <f>RAND()</f>
        <v/>
      </c>
      <c r="AZ458">
        <f>RAND()</f>
        <v/>
      </c>
    </row>
    <row r="459">
      <c r="AK459" t="n">
        <v>446</v>
      </c>
      <c r="AL459">
        <f>IFERROR(IF(AU459&lt;($AM$6-$AL$6)/($AN$6-$AL$6),$AL$6+SQRT(AU459*($AN$6-$AL$6)*($AM$6-$AL$6)),$AN$6-SQRT((1-AU459)*($AN$6-$AL$6)*($AN$6-$AM$6))),$AM$6)</f>
        <v/>
      </c>
      <c r="AM459">
        <f>IFERROR(IF(AV459&lt;($AM$7-$AL$7)/($AN$7-$AL$7),$AL$7+SQRT(AV459*($AN$7-$AL$7)*($AM$7-$AL$7)),$AN$7-SQRT((1-AV459)*($AN$7-$AL$7)*($AN$7-$AM$7))),$AM$7)</f>
        <v/>
      </c>
      <c r="AN459">
        <f>IFERROR(IF(AW459&lt;($AM$8-$AL$8)/($AN$8-$AL$8),$AL$8+SQRT(AW459*($AN$8-$AL$8)*($AM$8-$AL$8)),$AN$8-SQRT((1-AW459)*($AN$8-$AL$8)*($AN$8-$AM$8))),$AM$8)</f>
        <v/>
      </c>
      <c r="AO459">
        <f>IFERROR(IF(AX459&lt;($AM$9-$AL$9)/($AN$9-$AL$9),$AL$9+SQRT(AX459*($AN$9-$AL$9)*($AM$9-$AL$9)),$AN$9-SQRT((1-AX459)*($AN$9-$AL$9)*($AN$9-$AM$9))),$AM$9)</f>
        <v/>
      </c>
      <c r="AP459">
        <f>IFERROR(IF(AY459&lt;($AM$10-$AL$10)/($AN$10-$AL$10),$AL$10+SQRT(AY459*($AN$10-$AL$10)*($AM$10-$AL$10)),$AN$10-SQRT((1-AY459)*($AN$10-$AL$10)*($AN$10-$AM$10))),$AM$10)</f>
        <v/>
      </c>
      <c r="AQ459">
        <f>IFERROR(IF(AZ459&lt;($AM$11-$AL$11)/($AN$11-$AL$11),$AL$11+SQRT(AZ459*($AN$11-$AL$11)*($AM$11-$AL$11)),$AN$11-SQRT((1-AZ459)*($AN$11-$AL$11)*($AN$11-$AM$11))),$AM$11)</f>
        <v/>
      </c>
      <c r="AR459">
        <f>SUMPRODUCT((B24:B31&lt;=$B$6)*(C24:C31*AM459+D24:D31*AO459*$B$8*AQ459)/(1+AL459/100)^B24:B31)+C32*AM459*AP459/(1+AL459/100)^$B$6</f>
        <v/>
      </c>
      <c r="AS459">
        <f>SUMPRODUCT((K24:K26&lt;=$B$6)*(L24:L26*AN459+M24:M26*AO459*$B$8*AQ459)/(1+AL459/100)^K24:K26)+L27*AN459*AP459/(1+AL459/100)^$B$6</f>
        <v/>
      </c>
      <c r="AT459">
        <f>AS459-AR459</f>
        <v/>
      </c>
      <c r="AU459">
        <f>RAND()</f>
        <v/>
      </c>
      <c r="AV459">
        <f>RAND()</f>
        <v/>
      </c>
      <c r="AW459">
        <f>RAND()</f>
        <v/>
      </c>
      <c r="AX459">
        <f>RAND()</f>
        <v/>
      </c>
      <c r="AY459">
        <f>RAND()</f>
        <v/>
      </c>
      <c r="AZ459">
        <f>RAND()</f>
        <v/>
      </c>
    </row>
    <row r="460">
      <c r="AK460" t="n">
        <v>447</v>
      </c>
      <c r="AL460">
        <f>IFERROR(IF(AU460&lt;($AM$6-$AL$6)/($AN$6-$AL$6),$AL$6+SQRT(AU460*($AN$6-$AL$6)*($AM$6-$AL$6)),$AN$6-SQRT((1-AU460)*($AN$6-$AL$6)*($AN$6-$AM$6))),$AM$6)</f>
        <v/>
      </c>
      <c r="AM460">
        <f>IFERROR(IF(AV460&lt;($AM$7-$AL$7)/($AN$7-$AL$7),$AL$7+SQRT(AV460*($AN$7-$AL$7)*($AM$7-$AL$7)),$AN$7-SQRT((1-AV460)*($AN$7-$AL$7)*($AN$7-$AM$7))),$AM$7)</f>
        <v/>
      </c>
      <c r="AN460">
        <f>IFERROR(IF(AW460&lt;($AM$8-$AL$8)/($AN$8-$AL$8),$AL$8+SQRT(AW460*($AN$8-$AL$8)*($AM$8-$AL$8)),$AN$8-SQRT((1-AW460)*($AN$8-$AL$8)*($AN$8-$AM$8))),$AM$8)</f>
        <v/>
      </c>
      <c r="AO460">
        <f>IFERROR(IF(AX460&lt;($AM$9-$AL$9)/($AN$9-$AL$9),$AL$9+SQRT(AX460*($AN$9-$AL$9)*($AM$9-$AL$9)),$AN$9-SQRT((1-AX460)*($AN$9-$AL$9)*($AN$9-$AM$9))),$AM$9)</f>
        <v/>
      </c>
      <c r="AP460">
        <f>IFERROR(IF(AY460&lt;($AM$10-$AL$10)/($AN$10-$AL$10),$AL$10+SQRT(AY460*($AN$10-$AL$10)*($AM$10-$AL$10)),$AN$10-SQRT((1-AY460)*($AN$10-$AL$10)*($AN$10-$AM$10))),$AM$10)</f>
        <v/>
      </c>
      <c r="AQ460">
        <f>IFERROR(IF(AZ460&lt;($AM$11-$AL$11)/($AN$11-$AL$11),$AL$11+SQRT(AZ460*($AN$11-$AL$11)*($AM$11-$AL$11)),$AN$11-SQRT((1-AZ460)*($AN$11-$AL$11)*($AN$11-$AM$11))),$AM$11)</f>
        <v/>
      </c>
      <c r="AR460">
        <f>SUMPRODUCT((B24:B31&lt;=$B$6)*(C24:C31*AM460+D24:D31*AO460*$B$8*AQ460)/(1+AL460/100)^B24:B31)+C32*AM460*AP460/(1+AL460/100)^$B$6</f>
        <v/>
      </c>
      <c r="AS460">
        <f>SUMPRODUCT((K24:K26&lt;=$B$6)*(L24:L26*AN460+M24:M26*AO460*$B$8*AQ460)/(1+AL460/100)^K24:K26)+L27*AN460*AP460/(1+AL460/100)^$B$6</f>
        <v/>
      </c>
      <c r="AT460">
        <f>AS460-AR460</f>
        <v/>
      </c>
      <c r="AU460">
        <f>RAND()</f>
        <v/>
      </c>
      <c r="AV460">
        <f>RAND()</f>
        <v/>
      </c>
      <c r="AW460">
        <f>RAND()</f>
        <v/>
      </c>
      <c r="AX460">
        <f>RAND()</f>
        <v/>
      </c>
      <c r="AY460">
        <f>RAND()</f>
        <v/>
      </c>
      <c r="AZ460">
        <f>RAND()</f>
        <v/>
      </c>
    </row>
    <row r="461">
      <c r="AK461" t="n">
        <v>448</v>
      </c>
      <c r="AL461">
        <f>IFERROR(IF(AU461&lt;($AM$6-$AL$6)/($AN$6-$AL$6),$AL$6+SQRT(AU461*($AN$6-$AL$6)*($AM$6-$AL$6)),$AN$6-SQRT((1-AU461)*($AN$6-$AL$6)*($AN$6-$AM$6))),$AM$6)</f>
        <v/>
      </c>
      <c r="AM461">
        <f>IFERROR(IF(AV461&lt;($AM$7-$AL$7)/($AN$7-$AL$7),$AL$7+SQRT(AV461*($AN$7-$AL$7)*($AM$7-$AL$7)),$AN$7-SQRT((1-AV461)*($AN$7-$AL$7)*($AN$7-$AM$7))),$AM$7)</f>
        <v/>
      </c>
      <c r="AN461">
        <f>IFERROR(IF(AW461&lt;($AM$8-$AL$8)/($AN$8-$AL$8),$AL$8+SQRT(AW461*($AN$8-$AL$8)*($AM$8-$AL$8)),$AN$8-SQRT((1-AW461)*($AN$8-$AL$8)*($AN$8-$AM$8))),$AM$8)</f>
        <v/>
      </c>
      <c r="AO461">
        <f>IFERROR(IF(AX461&lt;($AM$9-$AL$9)/($AN$9-$AL$9),$AL$9+SQRT(AX461*($AN$9-$AL$9)*($AM$9-$AL$9)),$AN$9-SQRT((1-AX461)*($AN$9-$AL$9)*($AN$9-$AM$9))),$AM$9)</f>
        <v/>
      </c>
      <c r="AP461">
        <f>IFERROR(IF(AY461&lt;($AM$10-$AL$10)/($AN$10-$AL$10),$AL$10+SQRT(AY461*($AN$10-$AL$10)*($AM$10-$AL$10)),$AN$10-SQRT((1-AY461)*($AN$10-$AL$10)*($AN$10-$AM$10))),$AM$10)</f>
        <v/>
      </c>
      <c r="AQ461">
        <f>IFERROR(IF(AZ461&lt;($AM$11-$AL$11)/($AN$11-$AL$11),$AL$11+SQRT(AZ461*($AN$11-$AL$11)*($AM$11-$AL$11)),$AN$11-SQRT((1-AZ461)*($AN$11-$AL$11)*($AN$11-$AM$11))),$AM$11)</f>
        <v/>
      </c>
      <c r="AR461">
        <f>SUMPRODUCT((B24:B31&lt;=$B$6)*(C24:C31*AM461+D24:D31*AO461*$B$8*AQ461)/(1+AL461/100)^B24:B31)+C32*AM461*AP461/(1+AL461/100)^$B$6</f>
        <v/>
      </c>
      <c r="AS461">
        <f>SUMPRODUCT((K24:K26&lt;=$B$6)*(L24:L26*AN461+M24:M26*AO461*$B$8*AQ461)/(1+AL461/100)^K24:K26)+L27*AN461*AP461/(1+AL461/100)^$B$6</f>
        <v/>
      </c>
      <c r="AT461">
        <f>AS461-AR461</f>
        <v/>
      </c>
      <c r="AU461">
        <f>RAND()</f>
        <v/>
      </c>
      <c r="AV461">
        <f>RAND()</f>
        <v/>
      </c>
      <c r="AW461">
        <f>RAND()</f>
        <v/>
      </c>
      <c r="AX461">
        <f>RAND()</f>
        <v/>
      </c>
      <c r="AY461">
        <f>RAND()</f>
        <v/>
      </c>
      <c r="AZ461">
        <f>RAND()</f>
        <v/>
      </c>
    </row>
    <row r="462">
      <c r="AK462" t="n">
        <v>449</v>
      </c>
      <c r="AL462">
        <f>IFERROR(IF(AU462&lt;($AM$6-$AL$6)/($AN$6-$AL$6),$AL$6+SQRT(AU462*($AN$6-$AL$6)*($AM$6-$AL$6)),$AN$6-SQRT((1-AU462)*($AN$6-$AL$6)*($AN$6-$AM$6))),$AM$6)</f>
        <v/>
      </c>
      <c r="AM462">
        <f>IFERROR(IF(AV462&lt;($AM$7-$AL$7)/($AN$7-$AL$7),$AL$7+SQRT(AV462*($AN$7-$AL$7)*($AM$7-$AL$7)),$AN$7-SQRT((1-AV462)*($AN$7-$AL$7)*($AN$7-$AM$7))),$AM$7)</f>
        <v/>
      </c>
      <c r="AN462">
        <f>IFERROR(IF(AW462&lt;($AM$8-$AL$8)/($AN$8-$AL$8),$AL$8+SQRT(AW462*($AN$8-$AL$8)*($AM$8-$AL$8)),$AN$8-SQRT((1-AW462)*($AN$8-$AL$8)*($AN$8-$AM$8))),$AM$8)</f>
        <v/>
      </c>
      <c r="AO462">
        <f>IFERROR(IF(AX462&lt;($AM$9-$AL$9)/($AN$9-$AL$9),$AL$9+SQRT(AX462*($AN$9-$AL$9)*($AM$9-$AL$9)),$AN$9-SQRT((1-AX462)*($AN$9-$AL$9)*($AN$9-$AM$9))),$AM$9)</f>
        <v/>
      </c>
      <c r="AP462">
        <f>IFERROR(IF(AY462&lt;($AM$10-$AL$10)/($AN$10-$AL$10),$AL$10+SQRT(AY462*($AN$10-$AL$10)*($AM$10-$AL$10)),$AN$10-SQRT((1-AY462)*($AN$10-$AL$10)*($AN$10-$AM$10))),$AM$10)</f>
        <v/>
      </c>
      <c r="AQ462">
        <f>IFERROR(IF(AZ462&lt;($AM$11-$AL$11)/($AN$11-$AL$11),$AL$11+SQRT(AZ462*($AN$11-$AL$11)*($AM$11-$AL$11)),$AN$11-SQRT((1-AZ462)*($AN$11-$AL$11)*($AN$11-$AM$11))),$AM$11)</f>
        <v/>
      </c>
      <c r="AR462">
        <f>SUMPRODUCT((B24:B31&lt;=$B$6)*(C24:C31*AM462+D24:D31*AO462*$B$8*AQ462)/(1+AL462/100)^B24:B31)+C32*AM462*AP462/(1+AL462/100)^$B$6</f>
        <v/>
      </c>
      <c r="AS462">
        <f>SUMPRODUCT((K24:K26&lt;=$B$6)*(L24:L26*AN462+M24:M26*AO462*$B$8*AQ462)/(1+AL462/100)^K24:K26)+L27*AN462*AP462/(1+AL462/100)^$B$6</f>
        <v/>
      </c>
      <c r="AT462">
        <f>AS462-AR462</f>
        <v/>
      </c>
      <c r="AU462">
        <f>RAND()</f>
        <v/>
      </c>
      <c r="AV462">
        <f>RAND()</f>
        <v/>
      </c>
      <c r="AW462">
        <f>RAND()</f>
        <v/>
      </c>
      <c r="AX462">
        <f>RAND()</f>
        <v/>
      </c>
      <c r="AY462">
        <f>RAND()</f>
        <v/>
      </c>
      <c r="AZ462">
        <f>RAND()</f>
        <v/>
      </c>
    </row>
    <row r="463">
      <c r="AK463" t="n">
        <v>450</v>
      </c>
      <c r="AL463">
        <f>IFERROR(IF(AU463&lt;($AM$6-$AL$6)/($AN$6-$AL$6),$AL$6+SQRT(AU463*($AN$6-$AL$6)*($AM$6-$AL$6)),$AN$6-SQRT((1-AU463)*($AN$6-$AL$6)*($AN$6-$AM$6))),$AM$6)</f>
        <v/>
      </c>
      <c r="AM463">
        <f>IFERROR(IF(AV463&lt;($AM$7-$AL$7)/($AN$7-$AL$7),$AL$7+SQRT(AV463*($AN$7-$AL$7)*($AM$7-$AL$7)),$AN$7-SQRT((1-AV463)*($AN$7-$AL$7)*($AN$7-$AM$7))),$AM$7)</f>
        <v/>
      </c>
      <c r="AN463">
        <f>IFERROR(IF(AW463&lt;($AM$8-$AL$8)/($AN$8-$AL$8),$AL$8+SQRT(AW463*($AN$8-$AL$8)*($AM$8-$AL$8)),$AN$8-SQRT((1-AW463)*($AN$8-$AL$8)*($AN$8-$AM$8))),$AM$8)</f>
        <v/>
      </c>
      <c r="AO463">
        <f>IFERROR(IF(AX463&lt;($AM$9-$AL$9)/($AN$9-$AL$9),$AL$9+SQRT(AX463*($AN$9-$AL$9)*($AM$9-$AL$9)),$AN$9-SQRT((1-AX463)*($AN$9-$AL$9)*($AN$9-$AM$9))),$AM$9)</f>
        <v/>
      </c>
      <c r="AP463">
        <f>IFERROR(IF(AY463&lt;($AM$10-$AL$10)/($AN$10-$AL$10),$AL$10+SQRT(AY463*($AN$10-$AL$10)*($AM$10-$AL$10)),$AN$10-SQRT((1-AY463)*($AN$10-$AL$10)*($AN$10-$AM$10))),$AM$10)</f>
        <v/>
      </c>
      <c r="AQ463">
        <f>IFERROR(IF(AZ463&lt;($AM$11-$AL$11)/($AN$11-$AL$11),$AL$11+SQRT(AZ463*($AN$11-$AL$11)*($AM$11-$AL$11)),$AN$11-SQRT((1-AZ463)*($AN$11-$AL$11)*($AN$11-$AM$11))),$AM$11)</f>
        <v/>
      </c>
      <c r="AR463">
        <f>SUMPRODUCT((B24:B31&lt;=$B$6)*(C24:C31*AM463+D24:D31*AO463*$B$8*AQ463)/(1+AL463/100)^B24:B31)+C32*AM463*AP463/(1+AL463/100)^$B$6</f>
        <v/>
      </c>
      <c r="AS463">
        <f>SUMPRODUCT((K24:K26&lt;=$B$6)*(L24:L26*AN463+M24:M26*AO463*$B$8*AQ463)/(1+AL463/100)^K24:K26)+L27*AN463*AP463/(1+AL463/100)^$B$6</f>
        <v/>
      </c>
      <c r="AT463">
        <f>AS463-AR463</f>
        <v/>
      </c>
      <c r="AU463">
        <f>RAND()</f>
        <v/>
      </c>
      <c r="AV463">
        <f>RAND()</f>
        <v/>
      </c>
      <c r="AW463">
        <f>RAND()</f>
        <v/>
      </c>
      <c r="AX463">
        <f>RAND()</f>
        <v/>
      </c>
      <c r="AY463">
        <f>RAND()</f>
        <v/>
      </c>
      <c r="AZ463">
        <f>RAND()</f>
        <v/>
      </c>
    </row>
    <row r="464">
      <c r="AK464" t="n">
        <v>451</v>
      </c>
      <c r="AL464">
        <f>IFERROR(IF(AU464&lt;($AM$6-$AL$6)/($AN$6-$AL$6),$AL$6+SQRT(AU464*($AN$6-$AL$6)*($AM$6-$AL$6)),$AN$6-SQRT((1-AU464)*($AN$6-$AL$6)*($AN$6-$AM$6))),$AM$6)</f>
        <v/>
      </c>
      <c r="AM464">
        <f>IFERROR(IF(AV464&lt;($AM$7-$AL$7)/($AN$7-$AL$7),$AL$7+SQRT(AV464*($AN$7-$AL$7)*($AM$7-$AL$7)),$AN$7-SQRT((1-AV464)*($AN$7-$AL$7)*($AN$7-$AM$7))),$AM$7)</f>
        <v/>
      </c>
      <c r="AN464">
        <f>IFERROR(IF(AW464&lt;($AM$8-$AL$8)/($AN$8-$AL$8),$AL$8+SQRT(AW464*($AN$8-$AL$8)*($AM$8-$AL$8)),$AN$8-SQRT((1-AW464)*($AN$8-$AL$8)*($AN$8-$AM$8))),$AM$8)</f>
        <v/>
      </c>
      <c r="AO464">
        <f>IFERROR(IF(AX464&lt;($AM$9-$AL$9)/($AN$9-$AL$9),$AL$9+SQRT(AX464*($AN$9-$AL$9)*($AM$9-$AL$9)),$AN$9-SQRT((1-AX464)*($AN$9-$AL$9)*($AN$9-$AM$9))),$AM$9)</f>
        <v/>
      </c>
      <c r="AP464">
        <f>IFERROR(IF(AY464&lt;($AM$10-$AL$10)/($AN$10-$AL$10),$AL$10+SQRT(AY464*($AN$10-$AL$10)*($AM$10-$AL$10)),$AN$10-SQRT((1-AY464)*($AN$10-$AL$10)*($AN$10-$AM$10))),$AM$10)</f>
        <v/>
      </c>
      <c r="AQ464">
        <f>IFERROR(IF(AZ464&lt;($AM$11-$AL$11)/($AN$11-$AL$11),$AL$11+SQRT(AZ464*($AN$11-$AL$11)*($AM$11-$AL$11)),$AN$11-SQRT((1-AZ464)*($AN$11-$AL$11)*($AN$11-$AM$11))),$AM$11)</f>
        <v/>
      </c>
      <c r="AR464">
        <f>SUMPRODUCT((B24:B31&lt;=$B$6)*(C24:C31*AM464+D24:D31*AO464*$B$8*AQ464)/(1+AL464/100)^B24:B31)+C32*AM464*AP464/(1+AL464/100)^$B$6</f>
        <v/>
      </c>
      <c r="AS464">
        <f>SUMPRODUCT((K24:K26&lt;=$B$6)*(L24:L26*AN464+M24:M26*AO464*$B$8*AQ464)/(1+AL464/100)^K24:K26)+L27*AN464*AP464/(1+AL464/100)^$B$6</f>
        <v/>
      </c>
      <c r="AT464">
        <f>AS464-AR464</f>
        <v/>
      </c>
      <c r="AU464">
        <f>RAND()</f>
        <v/>
      </c>
      <c r="AV464">
        <f>RAND()</f>
        <v/>
      </c>
      <c r="AW464">
        <f>RAND()</f>
        <v/>
      </c>
      <c r="AX464">
        <f>RAND()</f>
        <v/>
      </c>
      <c r="AY464">
        <f>RAND()</f>
        <v/>
      </c>
      <c r="AZ464">
        <f>RAND()</f>
        <v/>
      </c>
    </row>
    <row r="465">
      <c r="AK465" t="n">
        <v>452</v>
      </c>
      <c r="AL465">
        <f>IFERROR(IF(AU465&lt;($AM$6-$AL$6)/($AN$6-$AL$6),$AL$6+SQRT(AU465*($AN$6-$AL$6)*($AM$6-$AL$6)),$AN$6-SQRT((1-AU465)*($AN$6-$AL$6)*($AN$6-$AM$6))),$AM$6)</f>
        <v/>
      </c>
      <c r="AM465">
        <f>IFERROR(IF(AV465&lt;($AM$7-$AL$7)/($AN$7-$AL$7),$AL$7+SQRT(AV465*($AN$7-$AL$7)*($AM$7-$AL$7)),$AN$7-SQRT((1-AV465)*($AN$7-$AL$7)*($AN$7-$AM$7))),$AM$7)</f>
        <v/>
      </c>
      <c r="AN465">
        <f>IFERROR(IF(AW465&lt;($AM$8-$AL$8)/($AN$8-$AL$8),$AL$8+SQRT(AW465*($AN$8-$AL$8)*($AM$8-$AL$8)),$AN$8-SQRT((1-AW465)*($AN$8-$AL$8)*($AN$8-$AM$8))),$AM$8)</f>
        <v/>
      </c>
      <c r="AO465">
        <f>IFERROR(IF(AX465&lt;($AM$9-$AL$9)/($AN$9-$AL$9),$AL$9+SQRT(AX465*($AN$9-$AL$9)*($AM$9-$AL$9)),$AN$9-SQRT((1-AX465)*($AN$9-$AL$9)*($AN$9-$AM$9))),$AM$9)</f>
        <v/>
      </c>
      <c r="AP465">
        <f>IFERROR(IF(AY465&lt;($AM$10-$AL$10)/($AN$10-$AL$10),$AL$10+SQRT(AY465*($AN$10-$AL$10)*($AM$10-$AL$10)),$AN$10-SQRT((1-AY465)*($AN$10-$AL$10)*($AN$10-$AM$10))),$AM$10)</f>
        <v/>
      </c>
      <c r="AQ465">
        <f>IFERROR(IF(AZ465&lt;($AM$11-$AL$11)/($AN$11-$AL$11),$AL$11+SQRT(AZ465*($AN$11-$AL$11)*($AM$11-$AL$11)),$AN$11-SQRT((1-AZ465)*($AN$11-$AL$11)*($AN$11-$AM$11))),$AM$11)</f>
        <v/>
      </c>
      <c r="AR465">
        <f>SUMPRODUCT((B24:B31&lt;=$B$6)*(C24:C31*AM465+D24:D31*AO465*$B$8*AQ465)/(1+AL465/100)^B24:B31)+C32*AM465*AP465/(1+AL465/100)^$B$6</f>
        <v/>
      </c>
      <c r="AS465">
        <f>SUMPRODUCT((K24:K26&lt;=$B$6)*(L24:L26*AN465+M24:M26*AO465*$B$8*AQ465)/(1+AL465/100)^K24:K26)+L27*AN465*AP465/(1+AL465/100)^$B$6</f>
        <v/>
      </c>
      <c r="AT465">
        <f>AS465-AR465</f>
        <v/>
      </c>
      <c r="AU465">
        <f>RAND()</f>
        <v/>
      </c>
      <c r="AV465">
        <f>RAND()</f>
        <v/>
      </c>
      <c r="AW465">
        <f>RAND()</f>
        <v/>
      </c>
      <c r="AX465">
        <f>RAND()</f>
        <v/>
      </c>
      <c r="AY465">
        <f>RAND()</f>
        <v/>
      </c>
      <c r="AZ465">
        <f>RAND()</f>
        <v/>
      </c>
    </row>
    <row r="466">
      <c r="AK466" t="n">
        <v>453</v>
      </c>
      <c r="AL466">
        <f>IFERROR(IF(AU466&lt;($AM$6-$AL$6)/($AN$6-$AL$6),$AL$6+SQRT(AU466*($AN$6-$AL$6)*($AM$6-$AL$6)),$AN$6-SQRT((1-AU466)*($AN$6-$AL$6)*($AN$6-$AM$6))),$AM$6)</f>
        <v/>
      </c>
      <c r="AM466">
        <f>IFERROR(IF(AV466&lt;($AM$7-$AL$7)/($AN$7-$AL$7),$AL$7+SQRT(AV466*($AN$7-$AL$7)*($AM$7-$AL$7)),$AN$7-SQRT((1-AV466)*($AN$7-$AL$7)*($AN$7-$AM$7))),$AM$7)</f>
        <v/>
      </c>
      <c r="AN466">
        <f>IFERROR(IF(AW466&lt;($AM$8-$AL$8)/($AN$8-$AL$8),$AL$8+SQRT(AW466*($AN$8-$AL$8)*($AM$8-$AL$8)),$AN$8-SQRT((1-AW466)*($AN$8-$AL$8)*($AN$8-$AM$8))),$AM$8)</f>
        <v/>
      </c>
      <c r="AO466">
        <f>IFERROR(IF(AX466&lt;($AM$9-$AL$9)/($AN$9-$AL$9),$AL$9+SQRT(AX466*($AN$9-$AL$9)*($AM$9-$AL$9)),$AN$9-SQRT((1-AX466)*($AN$9-$AL$9)*($AN$9-$AM$9))),$AM$9)</f>
        <v/>
      </c>
      <c r="AP466">
        <f>IFERROR(IF(AY466&lt;($AM$10-$AL$10)/($AN$10-$AL$10),$AL$10+SQRT(AY466*($AN$10-$AL$10)*($AM$10-$AL$10)),$AN$10-SQRT((1-AY466)*($AN$10-$AL$10)*($AN$10-$AM$10))),$AM$10)</f>
        <v/>
      </c>
      <c r="AQ466">
        <f>IFERROR(IF(AZ466&lt;($AM$11-$AL$11)/($AN$11-$AL$11),$AL$11+SQRT(AZ466*($AN$11-$AL$11)*($AM$11-$AL$11)),$AN$11-SQRT((1-AZ466)*($AN$11-$AL$11)*($AN$11-$AM$11))),$AM$11)</f>
        <v/>
      </c>
      <c r="AR466">
        <f>SUMPRODUCT((B24:B31&lt;=$B$6)*(C24:C31*AM466+D24:D31*AO466*$B$8*AQ466)/(1+AL466/100)^B24:B31)+C32*AM466*AP466/(1+AL466/100)^$B$6</f>
        <v/>
      </c>
      <c r="AS466">
        <f>SUMPRODUCT((K24:K26&lt;=$B$6)*(L24:L26*AN466+M24:M26*AO466*$B$8*AQ466)/(1+AL466/100)^K24:K26)+L27*AN466*AP466/(1+AL466/100)^$B$6</f>
        <v/>
      </c>
      <c r="AT466">
        <f>AS466-AR466</f>
        <v/>
      </c>
      <c r="AU466">
        <f>RAND()</f>
        <v/>
      </c>
      <c r="AV466">
        <f>RAND()</f>
        <v/>
      </c>
      <c r="AW466">
        <f>RAND()</f>
        <v/>
      </c>
      <c r="AX466">
        <f>RAND()</f>
        <v/>
      </c>
      <c r="AY466">
        <f>RAND()</f>
        <v/>
      </c>
      <c r="AZ466">
        <f>RAND()</f>
        <v/>
      </c>
    </row>
    <row r="467">
      <c r="AK467" t="n">
        <v>454</v>
      </c>
      <c r="AL467">
        <f>IFERROR(IF(AU467&lt;($AM$6-$AL$6)/($AN$6-$AL$6),$AL$6+SQRT(AU467*($AN$6-$AL$6)*($AM$6-$AL$6)),$AN$6-SQRT((1-AU467)*($AN$6-$AL$6)*($AN$6-$AM$6))),$AM$6)</f>
        <v/>
      </c>
      <c r="AM467">
        <f>IFERROR(IF(AV467&lt;($AM$7-$AL$7)/($AN$7-$AL$7),$AL$7+SQRT(AV467*($AN$7-$AL$7)*($AM$7-$AL$7)),$AN$7-SQRT((1-AV467)*($AN$7-$AL$7)*($AN$7-$AM$7))),$AM$7)</f>
        <v/>
      </c>
      <c r="AN467">
        <f>IFERROR(IF(AW467&lt;($AM$8-$AL$8)/($AN$8-$AL$8),$AL$8+SQRT(AW467*($AN$8-$AL$8)*($AM$8-$AL$8)),$AN$8-SQRT((1-AW467)*($AN$8-$AL$8)*($AN$8-$AM$8))),$AM$8)</f>
        <v/>
      </c>
      <c r="AO467">
        <f>IFERROR(IF(AX467&lt;($AM$9-$AL$9)/($AN$9-$AL$9),$AL$9+SQRT(AX467*($AN$9-$AL$9)*($AM$9-$AL$9)),$AN$9-SQRT((1-AX467)*($AN$9-$AL$9)*($AN$9-$AM$9))),$AM$9)</f>
        <v/>
      </c>
      <c r="AP467">
        <f>IFERROR(IF(AY467&lt;($AM$10-$AL$10)/($AN$10-$AL$10),$AL$10+SQRT(AY467*($AN$10-$AL$10)*($AM$10-$AL$10)),$AN$10-SQRT((1-AY467)*($AN$10-$AL$10)*($AN$10-$AM$10))),$AM$10)</f>
        <v/>
      </c>
      <c r="AQ467">
        <f>IFERROR(IF(AZ467&lt;($AM$11-$AL$11)/($AN$11-$AL$11),$AL$11+SQRT(AZ467*($AN$11-$AL$11)*($AM$11-$AL$11)),$AN$11-SQRT((1-AZ467)*($AN$11-$AL$11)*($AN$11-$AM$11))),$AM$11)</f>
        <v/>
      </c>
      <c r="AR467">
        <f>SUMPRODUCT((B24:B31&lt;=$B$6)*(C24:C31*AM467+D24:D31*AO467*$B$8*AQ467)/(1+AL467/100)^B24:B31)+C32*AM467*AP467/(1+AL467/100)^$B$6</f>
        <v/>
      </c>
      <c r="AS467">
        <f>SUMPRODUCT((K24:K26&lt;=$B$6)*(L24:L26*AN467+M24:M26*AO467*$B$8*AQ467)/(1+AL467/100)^K24:K26)+L27*AN467*AP467/(1+AL467/100)^$B$6</f>
        <v/>
      </c>
      <c r="AT467">
        <f>AS467-AR467</f>
        <v/>
      </c>
      <c r="AU467">
        <f>RAND()</f>
        <v/>
      </c>
      <c r="AV467">
        <f>RAND()</f>
        <v/>
      </c>
      <c r="AW467">
        <f>RAND()</f>
        <v/>
      </c>
      <c r="AX467">
        <f>RAND()</f>
        <v/>
      </c>
      <c r="AY467">
        <f>RAND()</f>
        <v/>
      </c>
      <c r="AZ467">
        <f>RAND()</f>
        <v/>
      </c>
    </row>
    <row r="468">
      <c r="AK468" t="n">
        <v>455</v>
      </c>
      <c r="AL468">
        <f>IFERROR(IF(AU468&lt;($AM$6-$AL$6)/($AN$6-$AL$6),$AL$6+SQRT(AU468*($AN$6-$AL$6)*($AM$6-$AL$6)),$AN$6-SQRT((1-AU468)*($AN$6-$AL$6)*($AN$6-$AM$6))),$AM$6)</f>
        <v/>
      </c>
      <c r="AM468">
        <f>IFERROR(IF(AV468&lt;($AM$7-$AL$7)/($AN$7-$AL$7),$AL$7+SQRT(AV468*($AN$7-$AL$7)*($AM$7-$AL$7)),$AN$7-SQRT((1-AV468)*($AN$7-$AL$7)*($AN$7-$AM$7))),$AM$7)</f>
        <v/>
      </c>
      <c r="AN468">
        <f>IFERROR(IF(AW468&lt;($AM$8-$AL$8)/($AN$8-$AL$8),$AL$8+SQRT(AW468*($AN$8-$AL$8)*($AM$8-$AL$8)),$AN$8-SQRT((1-AW468)*($AN$8-$AL$8)*($AN$8-$AM$8))),$AM$8)</f>
        <v/>
      </c>
      <c r="AO468">
        <f>IFERROR(IF(AX468&lt;($AM$9-$AL$9)/($AN$9-$AL$9),$AL$9+SQRT(AX468*($AN$9-$AL$9)*($AM$9-$AL$9)),$AN$9-SQRT((1-AX468)*($AN$9-$AL$9)*($AN$9-$AM$9))),$AM$9)</f>
        <v/>
      </c>
      <c r="AP468">
        <f>IFERROR(IF(AY468&lt;($AM$10-$AL$10)/($AN$10-$AL$10),$AL$10+SQRT(AY468*($AN$10-$AL$10)*($AM$10-$AL$10)),$AN$10-SQRT((1-AY468)*($AN$10-$AL$10)*($AN$10-$AM$10))),$AM$10)</f>
        <v/>
      </c>
      <c r="AQ468">
        <f>IFERROR(IF(AZ468&lt;($AM$11-$AL$11)/($AN$11-$AL$11),$AL$11+SQRT(AZ468*($AN$11-$AL$11)*($AM$11-$AL$11)),$AN$11-SQRT((1-AZ468)*($AN$11-$AL$11)*($AN$11-$AM$11))),$AM$11)</f>
        <v/>
      </c>
      <c r="AR468">
        <f>SUMPRODUCT((B24:B31&lt;=$B$6)*(C24:C31*AM468+D24:D31*AO468*$B$8*AQ468)/(1+AL468/100)^B24:B31)+C32*AM468*AP468/(1+AL468/100)^$B$6</f>
        <v/>
      </c>
      <c r="AS468">
        <f>SUMPRODUCT((K24:K26&lt;=$B$6)*(L24:L26*AN468+M24:M26*AO468*$B$8*AQ468)/(1+AL468/100)^K24:K26)+L27*AN468*AP468/(1+AL468/100)^$B$6</f>
        <v/>
      </c>
      <c r="AT468">
        <f>AS468-AR468</f>
        <v/>
      </c>
      <c r="AU468">
        <f>RAND()</f>
        <v/>
      </c>
      <c r="AV468">
        <f>RAND()</f>
        <v/>
      </c>
      <c r="AW468">
        <f>RAND()</f>
        <v/>
      </c>
      <c r="AX468">
        <f>RAND()</f>
        <v/>
      </c>
      <c r="AY468">
        <f>RAND()</f>
        <v/>
      </c>
      <c r="AZ468">
        <f>RAND()</f>
        <v/>
      </c>
    </row>
    <row r="469">
      <c r="AK469" t="n">
        <v>456</v>
      </c>
      <c r="AL469">
        <f>IFERROR(IF(AU469&lt;($AM$6-$AL$6)/($AN$6-$AL$6),$AL$6+SQRT(AU469*($AN$6-$AL$6)*($AM$6-$AL$6)),$AN$6-SQRT((1-AU469)*($AN$6-$AL$6)*($AN$6-$AM$6))),$AM$6)</f>
        <v/>
      </c>
      <c r="AM469">
        <f>IFERROR(IF(AV469&lt;($AM$7-$AL$7)/($AN$7-$AL$7),$AL$7+SQRT(AV469*($AN$7-$AL$7)*($AM$7-$AL$7)),$AN$7-SQRT((1-AV469)*($AN$7-$AL$7)*($AN$7-$AM$7))),$AM$7)</f>
        <v/>
      </c>
      <c r="AN469">
        <f>IFERROR(IF(AW469&lt;($AM$8-$AL$8)/($AN$8-$AL$8),$AL$8+SQRT(AW469*($AN$8-$AL$8)*($AM$8-$AL$8)),$AN$8-SQRT((1-AW469)*($AN$8-$AL$8)*($AN$8-$AM$8))),$AM$8)</f>
        <v/>
      </c>
      <c r="AO469">
        <f>IFERROR(IF(AX469&lt;($AM$9-$AL$9)/($AN$9-$AL$9),$AL$9+SQRT(AX469*($AN$9-$AL$9)*($AM$9-$AL$9)),$AN$9-SQRT((1-AX469)*($AN$9-$AL$9)*($AN$9-$AM$9))),$AM$9)</f>
        <v/>
      </c>
      <c r="AP469">
        <f>IFERROR(IF(AY469&lt;($AM$10-$AL$10)/($AN$10-$AL$10),$AL$10+SQRT(AY469*($AN$10-$AL$10)*($AM$10-$AL$10)),$AN$10-SQRT((1-AY469)*($AN$10-$AL$10)*($AN$10-$AM$10))),$AM$10)</f>
        <v/>
      </c>
      <c r="AQ469">
        <f>IFERROR(IF(AZ469&lt;($AM$11-$AL$11)/($AN$11-$AL$11),$AL$11+SQRT(AZ469*($AN$11-$AL$11)*($AM$11-$AL$11)),$AN$11-SQRT((1-AZ469)*($AN$11-$AL$11)*($AN$11-$AM$11))),$AM$11)</f>
        <v/>
      </c>
      <c r="AR469">
        <f>SUMPRODUCT((B24:B31&lt;=$B$6)*(C24:C31*AM469+D24:D31*AO469*$B$8*AQ469)/(1+AL469/100)^B24:B31)+C32*AM469*AP469/(1+AL469/100)^$B$6</f>
        <v/>
      </c>
      <c r="AS469">
        <f>SUMPRODUCT((K24:K26&lt;=$B$6)*(L24:L26*AN469+M24:M26*AO469*$B$8*AQ469)/(1+AL469/100)^K24:K26)+L27*AN469*AP469/(1+AL469/100)^$B$6</f>
        <v/>
      </c>
      <c r="AT469">
        <f>AS469-AR469</f>
        <v/>
      </c>
      <c r="AU469">
        <f>RAND()</f>
        <v/>
      </c>
      <c r="AV469">
        <f>RAND()</f>
        <v/>
      </c>
      <c r="AW469">
        <f>RAND()</f>
        <v/>
      </c>
      <c r="AX469">
        <f>RAND()</f>
        <v/>
      </c>
      <c r="AY469">
        <f>RAND()</f>
        <v/>
      </c>
      <c r="AZ469">
        <f>RAND()</f>
        <v/>
      </c>
    </row>
    <row r="470">
      <c r="AK470" t="n">
        <v>457</v>
      </c>
      <c r="AL470">
        <f>IFERROR(IF(AU470&lt;($AM$6-$AL$6)/($AN$6-$AL$6),$AL$6+SQRT(AU470*($AN$6-$AL$6)*($AM$6-$AL$6)),$AN$6-SQRT((1-AU470)*($AN$6-$AL$6)*($AN$6-$AM$6))),$AM$6)</f>
        <v/>
      </c>
      <c r="AM470">
        <f>IFERROR(IF(AV470&lt;($AM$7-$AL$7)/($AN$7-$AL$7),$AL$7+SQRT(AV470*($AN$7-$AL$7)*($AM$7-$AL$7)),$AN$7-SQRT((1-AV470)*($AN$7-$AL$7)*($AN$7-$AM$7))),$AM$7)</f>
        <v/>
      </c>
      <c r="AN470">
        <f>IFERROR(IF(AW470&lt;($AM$8-$AL$8)/($AN$8-$AL$8),$AL$8+SQRT(AW470*($AN$8-$AL$8)*($AM$8-$AL$8)),$AN$8-SQRT((1-AW470)*($AN$8-$AL$8)*($AN$8-$AM$8))),$AM$8)</f>
        <v/>
      </c>
      <c r="AO470">
        <f>IFERROR(IF(AX470&lt;($AM$9-$AL$9)/($AN$9-$AL$9),$AL$9+SQRT(AX470*($AN$9-$AL$9)*($AM$9-$AL$9)),$AN$9-SQRT((1-AX470)*($AN$9-$AL$9)*($AN$9-$AM$9))),$AM$9)</f>
        <v/>
      </c>
      <c r="AP470">
        <f>IFERROR(IF(AY470&lt;($AM$10-$AL$10)/($AN$10-$AL$10),$AL$10+SQRT(AY470*($AN$10-$AL$10)*($AM$10-$AL$10)),$AN$10-SQRT((1-AY470)*($AN$10-$AL$10)*($AN$10-$AM$10))),$AM$10)</f>
        <v/>
      </c>
      <c r="AQ470">
        <f>IFERROR(IF(AZ470&lt;($AM$11-$AL$11)/($AN$11-$AL$11),$AL$11+SQRT(AZ470*($AN$11-$AL$11)*($AM$11-$AL$11)),$AN$11-SQRT((1-AZ470)*($AN$11-$AL$11)*($AN$11-$AM$11))),$AM$11)</f>
        <v/>
      </c>
      <c r="AR470">
        <f>SUMPRODUCT((B24:B31&lt;=$B$6)*(C24:C31*AM470+D24:D31*AO470*$B$8*AQ470)/(1+AL470/100)^B24:B31)+C32*AM470*AP470/(1+AL470/100)^$B$6</f>
        <v/>
      </c>
      <c r="AS470">
        <f>SUMPRODUCT((K24:K26&lt;=$B$6)*(L24:L26*AN470+M24:M26*AO470*$B$8*AQ470)/(1+AL470/100)^K24:K26)+L27*AN470*AP470/(1+AL470/100)^$B$6</f>
        <v/>
      </c>
      <c r="AT470">
        <f>AS470-AR470</f>
        <v/>
      </c>
      <c r="AU470">
        <f>RAND()</f>
        <v/>
      </c>
      <c r="AV470">
        <f>RAND()</f>
        <v/>
      </c>
      <c r="AW470">
        <f>RAND()</f>
        <v/>
      </c>
      <c r="AX470">
        <f>RAND()</f>
        <v/>
      </c>
      <c r="AY470">
        <f>RAND()</f>
        <v/>
      </c>
      <c r="AZ470">
        <f>RAND()</f>
        <v/>
      </c>
    </row>
    <row r="471">
      <c r="AK471" t="n">
        <v>458</v>
      </c>
      <c r="AL471">
        <f>IFERROR(IF(AU471&lt;($AM$6-$AL$6)/($AN$6-$AL$6),$AL$6+SQRT(AU471*($AN$6-$AL$6)*($AM$6-$AL$6)),$AN$6-SQRT((1-AU471)*($AN$6-$AL$6)*($AN$6-$AM$6))),$AM$6)</f>
        <v/>
      </c>
      <c r="AM471">
        <f>IFERROR(IF(AV471&lt;($AM$7-$AL$7)/($AN$7-$AL$7),$AL$7+SQRT(AV471*($AN$7-$AL$7)*($AM$7-$AL$7)),$AN$7-SQRT((1-AV471)*($AN$7-$AL$7)*($AN$7-$AM$7))),$AM$7)</f>
        <v/>
      </c>
      <c r="AN471">
        <f>IFERROR(IF(AW471&lt;($AM$8-$AL$8)/($AN$8-$AL$8),$AL$8+SQRT(AW471*($AN$8-$AL$8)*($AM$8-$AL$8)),$AN$8-SQRT((1-AW471)*($AN$8-$AL$8)*($AN$8-$AM$8))),$AM$8)</f>
        <v/>
      </c>
      <c r="AO471">
        <f>IFERROR(IF(AX471&lt;($AM$9-$AL$9)/($AN$9-$AL$9),$AL$9+SQRT(AX471*($AN$9-$AL$9)*($AM$9-$AL$9)),$AN$9-SQRT((1-AX471)*($AN$9-$AL$9)*($AN$9-$AM$9))),$AM$9)</f>
        <v/>
      </c>
      <c r="AP471">
        <f>IFERROR(IF(AY471&lt;($AM$10-$AL$10)/($AN$10-$AL$10),$AL$10+SQRT(AY471*($AN$10-$AL$10)*($AM$10-$AL$10)),$AN$10-SQRT((1-AY471)*($AN$10-$AL$10)*($AN$10-$AM$10))),$AM$10)</f>
        <v/>
      </c>
      <c r="AQ471">
        <f>IFERROR(IF(AZ471&lt;($AM$11-$AL$11)/($AN$11-$AL$11),$AL$11+SQRT(AZ471*($AN$11-$AL$11)*($AM$11-$AL$11)),$AN$11-SQRT((1-AZ471)*($AN$11-$AL$11)*($AN$11-$AM$11))),$AM$11)</f>
        <v/>
      </c>
      <c r="AR471">
        <f>SUMPRODUCT((B24:B31&lt;=$B$6)*(C24:C31*AM471+D24:D31*AO471*$B$8*AQ471)/(1+AL471/100)^B24:B31)+C32*AM471*AP471/(1+AL471/100)^$B$6</f>
        <v/>
      </c>
      <c r="AS471">
        <f>SUMPRODUCT((K24:K26&lt;=$B$6)*(L24:L26*AN471+M24:M26*AO471*$B$8*AQ471)/(1+AL471/100)^K24:K26)+L27*AN471*AP471/(1+AL471/100)^$B$6</f>
        <v/>
      </c>
      <c r="AT471">
        <f>AS471-AR471</f>
        <v/>
      </c>
      <c r="AU471">
        <f>RAND()</f>
        <v/>
      </c>
      <c r="AV471">
        <f>RAND()</f>
        <v/>
      </c>
      <c r="AW471">
        <f>RAND()</f>
        <v/>
      </c>
      <c r="AX471">
        <f>RAND()</f>
        <v/>
      </c>
      <c r="AY471">
        <f>RAND()</f>
        <v/>
      </c>
      <c r="AZ471">
        <f>RAND()</f>
        <v/>
      </c>
    </row>
    <row r="472">
      <c r="AK472" t="n">
        <v>459</v>
      </c>
      <c r="AL472">
        <f>IFERROR(IF(AU472&lt;($AM$6-$AL$6)/($AN$6-$AL$6),$AL$6+SQRT(AU472*($AN$6-$AL$6)*($AM$6-$AL$6)),$AN$6-SQRT((1-AU472)*($AN$6-$AL$6)*($AN$6-$AM$6))),$AM$6)</f>
        <v/>
      </c>
      <c r="AM472">
        <f>IFERROR(IF(AV472&lt;($AM$7-$AL$7)/($AN$7-$AL$7),$AL$7+SQRT(AV472*($AN$7-$AL$7)*($AM$7-$AL$7)),$AN$7-SQRT((1-AV472)*($AN$7-$AL$7)*($AN$7-$AM$7))),$AM$7)</f>
        <v/>
      </c>
      <c r="AN472">
        <f>IFERROR(IF(AW472&lt;($AM$8-$AL$8)/($AN$8-$AL$8),$AL$8+SQRT(AW472*($AN$8-$AL$8)*($AM$8-$AL$8)),$AN$8-SQRT((1-AW472)*($AN$8-$AL$8)*($AN$8-$AM$8))),$AM$8)</f>
        <v/>
      </c>
      <c r="AO472">
        <f>IFERROR(IF(AX472&lt;($AM$9-$AL$9)/($AN$9-$AL$9),$AL$9+SQRT(AX472*($AN$9-$AL$9)*($AM$9-$AL$9)),$AN$9-SQRT((1-AX472)*($AN$9-$AL$9)*($AN$9-$AM$9))),$AM$9)</f>
        <v/>
      </c>
      <c r="AP472">
        <f>IFERROR(IF(AY472&lt;($AM$10-$AL$10)/($AN$10-$AL$10),$AL$10+SQRT(AY472*($AN$10-$AL$10)*($AM$10-$AL$10)),$AN$10-SQRT((1-AY472)*($AN$10-$AL$10)*($AN$10-$AM$10))),$AM$10)</f>
        <v/>
      </c>
      <c r="AQ472">
        <f>IFERROR(IF(AZ472&lt;($AM$11-$AL$11)/($AN$11-$AL$11),$AL$11+SQRT(AZ472*($AN$11-$AL$11)*($AM$11-$AL$11)),$AN$11-SQRT((1-AZ472)*($AN$11-$AL$11)*($AN$11-$AM$11))),$AM$11)</f>
        <v/>
      </c>
      <c r="AR472">
        <f>SUMPRODUCT((B24:B31&lt;=$B$6)*(C24:C31*AM472+D24:D31*AO472*$B$8*AQ472)/(1+AL472/100)^B24:B31)+C32*AM472*AP472/(1+AL472/100)^$B$6</f>
        <v/>
      </c>
      <c r="AS472">
        <f>SUMPRODUCT((K24:K26&lt;=$B$6)*(L24:L26*AN472+M24:M26*AO472*$B$8*AQ472)/(1+AL472/100)^K24:K26)+L27*AN472*AP472/(1+AL472/100)^$B$6</f>
        <v/>
      </c>
      <c r="AT472">
        <f>AS472-AR472</f>
        <v/>
      </c>
      <c r="AU472">
        <f>RAND()</f>
        <v/>
      </c>
      <c r="AV472">
        <f>RAND()</f>
        <v/>
      </c>
      <c r="AW472">
        <f>RAND()</f>
        <v/>
      </c>
      <c r="AX472">
        <f>RAND()</f>
        <v/>
      </c>
      <c r="AY472">
        <f>RAND()</f>
        <v/>
      </c>
      <c r="AZ472">
        <f>RAND()</f>
        <v/>
      </c>
    </row>
    <row r="473">
      <c r="AK473" t="n">
        <v>460</v>
      </c>
      <c r="AL473">
        <f>IFERROR(IF(AU473&lt;($AM$6-$AL$6)/($AN$6-$AL$6),$AL$6+SQRT(AU473*($AN$6-$AL$6)*($AM$6-$AL$6)),$AN$6-SQRT((1-AU473)*($AN$6-$AL$6)*($AN$6-$AM$6))),$AM$6)</f>
        <v/>
      </c>
      <c r="AM473">
        <f>IFERROR(IF(AV473&lt;($AM$7-$AL$7)/($AN$7-$AL$7),$AL$7+SQRT(AV473*($AN$7-$AL$7)*($AM$7-$AL$7)),$AN$7-SQRT((1-AV473)*($AN$7-$AL$7)*($AN$7-$AM$7))),$AM$7)</f>
        <v/>
      </c>
      <c r="AN473">
        <f>IFERROR(IF(AW473&lt;($AM$8-$AL$8)/($AN$8-$AL$8),$AL$8+SQRT(AW473*($AN$8-$AL$8)*($AM$8-$AL$8)),$AN$8-SQRT((1-AW473)*($AN$8-$AL$8)*($AN$8-$AM$8))),$AM$8)</f>
        <v/>
      </c>
      <c r="AO473">
        <f>IFERROR(IF(AX473&lt;($AM$9-$AL$9)/($AN$9-$AL$9),$AL$9+SQRT(AX473*($AN$9-$AL$9)*($AM$9-$AL$9)),$AN$9-SQRT((1-AX473)*($AN$9-$AL$9)*($AN$9-$AM$9))),$AM$9)</f>
        <v/>
      </c>
      <c r="AP473">
        <f>IFERROR(IF(AY473&lt;($AM$10-$AL$10)/($AN$10-$AL$10),$AL$10+SQRT(AY473*($AN$10-$AL$10)*($AM$10-$AL$10)),$AN$10-SQRT((1-AY473)*($AN$10-$AL$10)*($AN$10-$AM$10))),$AM$10)</f>
        <v/>
      </c>
      <c r="AQ473">
        <f>IFERROR(IF(AZ473&lt;($AM$11-$AL$11)/($AN$11-$AL$11),$AL$11+SQRT(AZ473*($AN$11-$AL$11)*($AM$11-$AL$11)),$AN$11-SQRT((1-AZ473)*($AN$11-$AL$11)*($AN$11-$AM$11))),$AM$11)</f>
        <v/>
      </c>
      <c r="AR473">
        <f>SUMPRODUCT((B24:B31&lt;=$B$6)*(C24:C31*AM473+D24:D31*AO473*$B$8*AQ473)/(1+AL473/100)^B24:B31)+C32*AM473*AP473/(1+AL473/100)^$B$6</f>
        <v/>
      </c>
      <c r="AS473">
        <f>SUMPRODUCT((K24:K26&lt;=$B$6)*(L24:L26*AN473+M24:M26*AO473*$B$8*AQ473)/(1+AL473/100)^K24:K26)+L27*AN473*AP473/(1+AL473/100)^$B$6</f>
        <v/>
      </c>
      <c r="AT473">
        <f>AS473-AR473</f>
        <v/>
      </c>
      <c r="AU473">
        <f>RAND()</f>
        <v/>
      </c>
      <c r="AV473">
        <f>RAND()</f>
        <v/>
      </c>
      <c r="AW473">
        <f>RAND()</f>
        <v/>
      </c>
      <c r="AX473">
        <f>RAND()</f>
        <v/>
      </c>
      <c r="AY473">
        <f>RAND()</f>
        <v/>
      </c>
      <c r="AZ473">
        <f>RAND()</f>
        <v/>
      </c>
    </row>
    <row r="474">
      <c r="AK474" t="n">
        <v>461</v>
      </c>
      <c r="AL474">
        <f>IFERROR(IF(AU474&lt;($AM$6-$AL$6)/($AN$6-$AL$6),$AL$6+SQRT(AU474*($AN$6-$AL$6)*($AM$6-$AL$6)),$AN$6-SQRT((1-AU474)*($AN$6-$AL$6)*($AN$6-$AM$6))),$AM$6)</f>
        <v/>
      </c>
      <c r="AM474">
        <f>IFERROR(IF(AV474&lt;($AM$7-$AL$7)/($AN$7-$AL$7),$AL$7+SQRT(AV474*($AN$7-$AL$7)*($AM$7-$AL$7)),$AN$7-SQRT((1-AV474)*($AN$7-$AL$7)*($AN$7-$AM$7))),$AM$7)</f>
        <v/>
      </c>
      <c r="AN474">
        <f>IFERROR(IF(AW474&lt;($AM$8-$AL$8)/($AN$8-$AL$8),$AL$8+SQRT(AW474*($AN$8-$AL$8)*($AM$8-$AL$8)),$AN$8-SQRT((1-AW474)*($AN$8-$AL$8)*($AN$8-$AM$8))),$AM$8)</f>
        <v/>
      </c>
      <c r="AO474">
        <f>IFERROR(IF(AX474&lt;($AM$9-$AL$9)/($AN$9-$AL$9),$AL$9+SQRT(AX474*($AN$9-$AL$9)*($AM$9-$AL$9)),$AN$9-SQRT((1-AX474)*($AN$9-$AL$9)*($AN$9-$AM$9))),$AM$9)</f>
        <v/>
      </c>
      <c r="AP474">
        <f>IFERROR(IF(AY474&lt;($AM$10-$AL$10)/($AN$10-$AL$10),$AL$10+SQRT(AY474*($AN$10-$AL$10)*($AM$10-$AL$10)),$AN$10-SQRT((1-AY474)*($AN$10-$AL$10)*($AN$10-$AM$10))),$AM$10)</f>
        <v/>
      </c>
      <c r="AQ474">
        <f>IFERROR(IF(AZ474&lt;($AM$11-$AL$11)/($AN$11-$AL$11),$AL$11+SQRT(AZ474*($AN$11-$AL$11)*($AM$11-$AL$11)),$AN$11-SQRT((1-AZ474)*($AN$11-$AL$11)*($AN$11-$AM$11))),$AM$11)</f>
        <v/>
      </c>
      <c r="AR474">
        <f>SUMPRODUCT((B24:B31&lt;=$B$6)*(C24:C31*AM474+D24:D31*AO474*$B$8*AQ474)/(1+AL474/100)^B24:B31)+C32*AM474*AP474/(1+AL474/100)^$B$6</f>
        <v/>
      </c>
      <c r="AS474">
        <f>SUMPRODUCT((K24:K26&lt;=$B$6)*(L24:L26*AN474+M24:M26*AO474*$B$8*AQ474)/(1+AL474/100)^K24:K26)+L27*AN474*AP474/(1+AL474/100)^$B$6</f>
        <v/>
      </c>
      <c r="AT474">
        <f>AS474-AR474</f>
        <v/>
      </c>
      <c r="AU474">
        <f>RAND()</f>
        <v/>
      </c>
      <c r="AV474">
        <f>RAND()</f>
        <v/>
      </c>
      <c r="AW474">
        <f>RAND()</f>
        <v/>
      </c>
      <c r="AX474">
        <f>RAND()</f>
        <v/>
      </c>
      <c r="AY474">
        <f>RAND()</f>
        <v/>
      </c>
      <c r="AZ474">
        <f>RAND()</f>
        <v/>
      </c>
    </row>
    <row r="475">
      <c r="AK475" t="n">
        <v>462</v>
      </c>
      <c r="AL475">
        <f>IFERROR(IF(AU475&lt;($AM$6-$AL$6)/($AN$6-$AL$6),$AL$6+SQRT(AU475*($AN$6-$AL$6)*($AM$6-$AL$6)),$AN$6-SQRT((1-AU475)*($AN$6-$AL$6)*($AN$6-$AM$6))),$AM$6)</f>
        <v/>
      </c>
      <c r="AM475">
        <f>IFERROR(IF(AV475&lt;($AM$7-$AL$7)/($AN$7-$AL$7),$AL$7+SQRT(AV475*($AN$7-$AL$7)*($AM$7-$AL$7)),$AN$7-SQRT((1-AV475)*($AN$7-$AL$7)*($AN$7-$AM$7))),$AM$7)</f>
        <v/>
      </c>
      <c r="AN475">
        <f>IFERROR(IF(AW475&lt;($AM$8-$AL$8)/($AN$8-$AL$8),$AL$8+SQRT(AW475*($AN$8-$AL$8)*($AM$8-$AL$8)),$AN$8-SQRT((1-AW475)*($AN$8-$AL$8)*($AN$8-$AM$8))),$AM$8)</f>
        <v/>
      </c>
      <c r="AO475">
        <f>IFERROR(IF(AX475&lt;($AM$9-$AL$9)/($AN$9-$AL$9),$AL$9+SQRT(AX475*($AN$9-$AL$9)*($AM$9-$AL$9)),$AN$9-SQRT((1-AX475)*($AN$9-$AL$9)*($AN$9-$AM$9))),$AM$9)</f>
        <v/>
      </c>
      <c r="AP475">
        <f>IFERROR(IF(AY475&lt;($AM$10-$AL$10)/($AN$10-$AL$10),$AL$10+SQRT(AY475*($AN$10-$AL$10)*($AM$10-$AL$10)),$AN$10-SQRT((1-AY475)*($AN$10-$AL$10)*($AN$10-$AM$10))),$AM$10)</f>
        <v/>
      </c>
      <c r="AQ475">
        <f>IFERROR(IF(AZ475&lt;($AM$11-$AL$11)/($AN$11-$AL$11),$AL$11+SQRT(AZ475*($AN$11-$AL$11)*($AM$11-$AL$11)),$AN$11-SQRT((1-AZ475)*($AN$11-$AL$11)*($AN$11-$AM$11))),$AM$11)</f>
        <v/>
      </c>
      <c r="AR475">
        <f>SUMPRODUCT((B24:B31&lt;=$B$6)*(C24:C31*AM475+D24:D31*AO475*$B$8*AQ475)/(1+AL475/100)^B24:B31)+C32*AM475*AP475/(1+AL475/100)^$B$6</f>
        <v/>
      </c>
      <c r="AS475">
        <f>SUMPRODUCT((K24:K26&lt;=$B$6)*(L24:L26*AN475+M24:M26*AO475*$B$8*AQ475)/(1+AL475/100)^K24:K26)+L27*AN475*AP475/(1+AL475/100)^$B$6</f>
        <v/>
      </c>
      <c r="AT475">
        <f>AS475-AR475</f>
        <v/>
      </c>
      <c r="AU475">
        <f>RAND()</f>
        <v/>
      </c>
      <c r="AV475">
        <f>RAND()</f>
        <v/>
      </c>
      <c r="AW475">
        <f>RAND()</f>
        <v/>
      </c>
      <c r="AX475">
        <f>RAND()</f>
        <v/>
      </c>
      <c r="AY475">
        <f>RAND()</f>
        <v/>
      </c>
      <c r="AZ475">
        <f>RAND()</f>
        <v/>
      </c>
    </row>
    <row r="476">
      <c r="AK476" t="n">
        <v>463</v>
      </c>
      <c r="AL476">
        <f>IFERROR(IF(AU476&lt;($AM$6-$AL$6)/($AN$6-$AL$6),$AL$6+SQRT(AU476*($AN$6-$AL$6)*($AM$6-$AL$6)),$AN$6-SQRT((1-AU476)*($AN$6-$AL$6)*($AN$6-$AM$6))),$AM$6)</f>
        <v/>
      </c>
      <c r="AM476">
        <f>IFERROR(IF(AV476&lt;($AM$7-$AL$7)/($AN$7-$AL$7),$AL$7+SQRT(AV476*($AN$7-$AL$7)*($AM$7-$AL$7)),$AN$7-SQRT((1-AV476)*($AN$7-$AL$7)*($AN$7-$AM$7))),$AM$7)</f>
        <v/>
      </c>
      <c r="AN476">
        <f>IFERROR(IF(AW476&lt;($AM$8-$AL$8)/($AN$8-$AL$8),$AL$8+SQRT(AW476*($AN$8-$AL$8)*($AM$8-$AL$8)),$AN$8-SQRT((1-AW476)*($AN$8-$AL$8)*($AN$8-$AM$8))),$AM$8)</f>
        <v/>
      </c>
      <c r="AO476">
        <f>IFERROR(IF(AX476&lt;($AM$9-$AL$9)/($AN$9-$AL$9),$AL$9+SQRT(AX476*($AN$9-$AL$9)*($AM$9-$AL$9)),$AN$9-SQRT((1-AX476)*($AN$9-$AL$9)*($AN$9-$AM$9))),$AM$9)</f>
        <v/>
      </c>
      <c r="AP476">
        <f>IFERROR(IF(AY476&lt;($AM$10-$AL$10)/($AN$10-$AL$10),$AL$10+SQRT(AY476*($AN$10-$AL$10)*($AM$10-$AL$10)),$AN$10-SQRT((1-AY476)*($AN$10-$AL$10)*($AN$10-$AM$10))),$AM$10)</f>
        <v/>
      </c>
      <c r="AQ476">
        <f>IFERROR(IF(AZ476&lt;($AM$11-$AL$11)/($AN$11-$AL$11),$AL$11+SQRT(AZ476*($AN$11-$AL$11)*($AM$11-$AL$11)),$AN$11-SQRT((1-AZ476)*($AN$11-$AL$11)*($AN$11-$AM$11))),$AM$11)</f>
        <v/>
      </c>
      <c r="AR476">
        <f>SUMPRODUCT((B24:B31&lt;=$B$6)*(C24:C31*AM476+D24:D31*AO476*$B$8*AQ476)/(1+AL476/100)^B24:B31)+C32*AM476*AP476/(1+AL476/100)^$B$6</f>
        <v/>
      </c>
      <c r="AS476">
        <f>SUMPRODUCT((K24:K26&lt;=$B$6)*(L24:L26*AN476+M24:M26*AO476*$B$8*AQ476)/(1+AL476/100)^K24:K26)+L27*AN476*AP476/(1+AL476/100)^$B$6</f>
        <v/>
      </c>
      <c r="AT476">
        <f>AS476-AR476</f>
        <v/>
      </c>
      <c r="AU476">
        <f>RAND()</f>
        <v/>
      </c>
      <c r="AV476">
        <f>RAND()</f>
        <v/>
      </c>
      <c r="AW476">
        <f>RAND()</f>
        <v/>
      </c>
      <c r="AX476">
        <f>RAND()</f>
        <v/>
      </c>
      <c r="AY476">
        <f>RAND()</f>
        <v/>
      </c>
      <c r="AZ476">
        <f>RAND()</f>
        <v/>
      </c>
    </row>
    <row r="477">
      <c r="AK477" t="n">
        <v>464</v>
      </c>
      <c r="AL477">
        <f>IFERROR(IF(AU477&lt;($AM$6-$AL$6)/($AN$6-$AL$6),$AL$6+SQRT(AU477*($AN$6-$AL$6)*($AM$6-$AL$6)),$AN$6-SQRT((1-AU477)*($AN$6-$AL$6)*($AN$6-$AM$6))),$AM$6)</f>
        <v/>
      </c>
      <c r="AM477">
        <f>IFERROR(IF(AV477&lt;($AM$7-$AL$7)/($AN$7-$AL$7),$AL$7+SQRT(AV477*($AN$7-$AL$7)*($AM$7-$AL$7)),$AN$7-SQRT((1-AV477)*($AN$7-$AL$7)*($AN$7-$AM$7))),$AM$7)</f>
        <v/>
      </c>
      <c r="AN477">
        <f>IFERROR(IF(AW477&lt;($AM$8-$AL$8)/($AN$8-$AL$8),$AL$8+SQRT(AW477*($AN$8-$AL$8)*($AM$8-$AL$8)),$AN$8-SQRT((1-AW477)*($AN$8-$AL$8)*($AN$8-$AM$8))),$AM$8)</f>
        <v/>
      </c>
      <c r="AO477">
        <f>IFERROR(IF(AX477&lt;($AM$9-$AL$9)/($AN$9-$AL$9),$AL$9+SQRT(AX477*($AN$9-$AL$9)*($AM$9-$AL$9)),$AN$9-SQRT((1-AX477)*($AN$9-$AL$9)*($AN$9-$AM$9))),$AM$9)</f>
        <v/>
      </c>
      <c r="AP477">
        <f>IFERROR(IF(AY477&lt;($AM$10-$AL$10)/($AN$10-$AL$10),$AL$10+SQRT(AY477*($AN$10-$AL$10)*($AM$10-$AL$10)),$AN$10-SQRT((1-AY477)*($AN$10-$AL$10)*($AN$10-$AM$10))),$AM$10)</f>
        <v/>
      </c>
      <c r="AQ477">
        <f>IFERROR(IF(AZ477&lt;($AM$11-$AL$11)/($AN$11-$AL$11),$AL$11+SQRT(AZ477*($AN$11-$AL$11)*($AM$11-$AL$11)),$AN$11-SQRT((1-AZ477)*($AN$11-$AL$11)*($AN$11-$AM$11))),$AM$11)</f>
        <v/>
      </c>
      <c r="AR477">
        <f>SUMPRODUCT((B24:B31&lt;=$B$6)*(C24:C31*AM477+D24:D31*AO477*$B$8*AQ477)/(1+AL477/100)^B24:B31)+C32*AM477*AP477/(1+AL477/100)^$B$6</f>
        <v/>
      </c>
      <c r="AS477">
        <f>SUMPRODUCT((K24:K26&lt;=$B$6)*(L24:L26*AN477+M24:M26*AO477*$B$8*AQ477)/(1+AL477/100)^K24:K26)+L27*AN477*AP477/(1+AL477/100)^$B$6</f>
        <v/>
      </c>
      <c r="AT477">
        <f>AS477-AR477</f>
        <v/>
      </c>
      <c r="AU477">
        <f>RAND()</f>
        <v/>
      </c>
      <c r="AV477">
        <f>RAND()</f>
        <v/>
      </c>
      <c r="AW477">
        <f>RAND()</f>
        <v/>
      </c>
      <c r="AX477">
        <f>RAND()</f>
        <v/>
      </c>
      <c r="AY477">
        <f>RAND()</f>
        <v/>
      </c>
      <c r="AZ477">
        <f>RAND()</f>
        <v/>
      </c>
    </row>
    <row r="478">
      <c r="AK478" t="n">
        <v>465</v>
      </c>
      <c r="AL478">
        <f>IFERROR(IF(AU478&lt;($AM$6-$AL$6)/($AN$6-$AL$6),$AL$6+SQRT(AU478*($AN$6-$AL$6)*($AM$6-$AL$6)),$AN$6-SQRT((1-AU478)*($AN$6-$AL$6)*($AN$6-$AM$6))),$AM$6)</f>
        <v/>
      </c>
      <c r="AM478">
        <f>IFERROR(IF(AV478&lt;($AM$7-$AL$7)/($AN$7-$AL$7),$AL$7+SQRT(AV478*($AN$7-$AL$7)*($AM$7-$AL$7)),$AN$7-SQRT((1-AV478)*($AN$7-$AL$7)*($AN$7-$AM$7))),$AM$7)</f>
        <v/>
      </c>
      <c r="AN478">
        <f>IFERROR(IF(AW478&lt;($AM$8-$AL$8)/($AN$8-$AL$8),$AL$8+SQRT(AW478*($AN$8-$AL$8)*($AM$8-$AL$8)),$AN$8-SQRT((1-AW478)*($AN$8-$AL$8)*($AN$8-$AM$8))),$AM$8)</f>
        <v/>
      </c>
      <c r="AO478">
        <f>IFERROR(IF(AX478&lt;($AM$9-$AL$9)/($AN$9-$AL$9),$AL$9+SQRT(AX478*($AN$9-$AL$9)*($AM$9-$AL$9)),$AN$9-SQRT((1-AX478)*($AN$9-$AL$9)*($AN$9-$AM$9))),$AM$9)</f>
        <v/>
      </c>
      <c r="AP478">
        <f>IFERROR(IF(AY478&lt;($AM$10-$AL$10)/($AN$10-$AL$10),$AL$10+SQRT(AY478*($AN$10-$AL$10)*($AM$10-$AL$10)),$AN$10-SQRT((1-AY478)*($AN$10-$AL$10)*($AN$10-$AM$10))),$AM$10)</f>
        <v/>
      </c>
      <c r="AQ478">
        <f>IFERROR(IF(AZ478&lt;($AM$11-$AL$11)/($AN$11-$AL$11),$AL$11+SQRT(AZ478*($AN$11-$AL$11)*($AM$11-$AL$11)),$AN$11-SQRT((1-AZ478)*($AN$11-$AL$11)*($AN$11-$AM$11))),$AM$11)</f>
        <v/>
      </c>
      <c r="AR478">
        <f>SUMPRODUCT((B24:B31&lt;=$B$6)*(C24:C31*AM478+D24:D31*AO478*$B$8*AQ478)/(1+AL478/100)^B24:B31)+C32*AM478*AP478/(1+AL478/100)^$B$6</f>
        <v/>
      </c>
      <c r="AS478">
        <f>SUMPRODUCT((K24:K26&lt;=$B$6)*(L24:L26*AN478+M24:M26*AO478*$B$8*AQ478)/(1+AL478/100)^K24:K26)+L27*AN478*AP478/(1+AL478/100)^$B$6</f>
        <v/>
      </c>
      <c r="AT478">
        <f>AS478-AR478</f>
        <v/>
      </c>
      <c r="AU478">
        <f>RAND()</f>
        <v/>
      </c>
      <c r="AV478">
        <f>RAND()</f>
        <v/>
      </c>
      <c r="AW478">
        <f>RAND()</f>
        <v/>
      </c>
      <c r="AX478">
        <f>RAND()</f>
        <v/>
      </c>
      <c r="AY478">
        <f>RAND()</f>
        <v/>
      </c>
      <c r="AZ478">
        <f>RAND()</f>
        <v/>
      </c>
    </row>
    <row r="479">
      <c r="AK479" t="n">
        <v>466</v>
      </c>
      <c r="AL479">
        <f>IFERROR(IF(AU479&lt;($AM$6-$AL$6)/($AN$6-$AL$6),$AL$6+SQRT(AU479*($AN$6-$AL$6)*($AM$6-$AL$6)),$AN$6-SQRT((1-AU479)*($AN$6-$AL$6)*($AN$6-$AM$6))),$AM$6)</f>
        <v/>
      </c>
      <c r="AM479">
        <f>IFERROR(IF(AV479&lt;($AM$7-$AL$7)/($AN$7-$AL$7),$AL$7+SQRT(AV479*($AN$7-$AL$7)*($AM$7-$AL$7)),$AN$7-SQRT((1-AV479)*($AN$7-$AL$7)*($AN$7-$AM$7))),$AM$7)</f>
        <v/>
      </c>
      <c r="AN479">
        <f>IFERROR(IF(AW479&lt;($AM$8-$AL$8)/($AN$8-$AL$8),$AL$8+SQRT(AW479*($AN$8-$AL$8)*($AM$8-$AL$8)),$AN$8-SQRT((1-AW479)*($AN$8-$AL$8)*($AN$8-$AM$8))),$AM$8)</f>
        <v/>
      </c>
      <c r="AO479">
        <f>IFERROR(IF(AX479&lt;($AM$9-$AL$9)/($AN$9-$AL$9),$AL$9+SQRT(AX479*($AN$9-$AL$9)*($AM$9-$AL$9)),$AN$9-SQRT((1-AX479)*($AN$9-$AL$9)*($AN$9-$AM$9))),$AM$9)</f>
        <v/>
      </c>
      <c r="AP479">
        <f>IFERROR(IF(AY479&lt;($AM$10-$AL$10)/($AN$10-$AL$10),$AL$10+SQRT(AY479*($AN$10-$AL$10)*($AM$10-$AL$10)),$AN$10-SQRT((1-AY479)*($AN$10-$AL$10)*($AN$10-$AM$10))),$AM$10)</f>
        <v/>
      </c>
      <c r="AQ479">
        <f>IFERROR(IF(AZ479&lt;($AM$11-$AL$11)/($AN$11-$AL$11),$AL$11+SQRT(AZ479*($AN$11-$AL$11)*($AM$11-$AL$11)),$AN$11-SQRT((1-AZ479)*($AN$11-$AL$11)*($AN$11-$AM$11))),$AM$11)</f>
        <v/>
      </c>
      <c r="AR479">
        <f>SUMPRODUCT((B24:B31&lt;=$B$6)*(C24:C31*AM479+D24:D31*AO479*$B$8*AQ479)/(1+AL479/100)^B24:B31)+C32*AM479*AP479/(1+AL479/100)^$B$6</f>
        <v/>
      </c>
      <c r="AS479">
        <f>SUMPRODUCT((K24:K26&lt;=$B$6)*(L24:L26*AN479+M24:M26*AO479*$B$8*AQ479)/(1+AL479/100)^K24:K26)+L27*AN479*AP479/(1+AL479/100)^$B$6</f>
        <v/>
      </c>
      <c r="AT479">
        <f>AS479-AR479</f>
        <v/>
      </c>
      <c r="AU479">
        <f>RAND()</f>
        <v/>
      </c>
      <c r="AV479">
        <f>RAND()</f>
        <v/>
      </c>
      <c r="AW479">
        <f>RAND()</f>
        <v/>
      </c>
      <c r="AX479">
        <f>RAND()</f>
        <v/>
      </c>
      <c r="AY479">
        <f>RAND()</f>
        <v/>
      </c>
      <c r="AZ479">
        <f>RAND()</f>
        <v/>
      </c>
    </row>
    <row r="480">
      <c r="AK480" t="n">
        <v>467</v>
      </c>
      <c r="AL480">
        <f>IFERROR(IF(AU480&lt;($AM$6-$AL$6)/($AN$6-$AL$6),$AL$6+SQRT(AU480*($AN$6-$AL$6)*($AM$6-$AL$6)),$AN$6-SQRT((1-AU480)*($AN$6-$AL$6)*($AN$6-$AM$6))),$AM$6)</f>
        <v/>
      </c>
      <c r="AM480">
        <f>IFERROR(IF(AV480&lt;($AM$7-$AL$7)/($AN$7-$AL$7),$AL$7+SQRT(AV480*($AN$7-$AL$7)*($AM$7-$AL$7)),$AN$7-SQRT((1-AV480)*($AN$7-$AL$7)*($AN$7-$AM$7))),$AM$7)</f>
        <v/>
      </c>
      <c r="AN480">
        <f>IFERROR(IF(AW480&lt;($AM$8-$AL$8)/($AN$8-$AL$8),$AL$8+SQRT(AW480*($AN$8-$AL$8)*($AM$8-$AL$8)),$AN$8-SQRT((1-AW480)*($AN$8-$AL$8)*($AN$8-$AM$8))),$AM$8)</f>
        <v/>
      </c>
      <c r="AO480">
        <f>IFERROR(IF(AX480&lt;($AM$9-$AL$9)/($AN$9-$AL$9),$AL$9+SQRT(AX480*($AN$9-$AL$9)*($AM$9-$AL$9)),$AN$9-SQRT((1-AX480)*($AN$9-$AL$9)*($AN$9-$AM$9))),$AM$9)</f>
        <v/>
      </c>
      <c r="AP480">
        <f>IFERROR(IF(AY480&lt;($AM$10-$AL$10)/($AN$10-$AL$10),$AL$10+SQRT(AY480*($AN$10-$AL$10)*($AM$10-$AL$10)),$AN$10-SQRT((1-AY480)*($AN$10-$AL$10)*($AN$10-$AM$10))),$AM$10)</f>
        <v/>
      </c>
      <c r="AQ480">
        <f>IFERROR(IF(AZ480&lt;($AM$11-$AL$11)/($AN$11-$AL$11),$AL$11+SQRT(AZ480*($AN$11-$AL$11)*($AM$11-$AL$11)),$AN$11-SQRT((1-AZ480)*($AN$11-$AL$11)*($AN$11-$AM$11))),$AM$11)</f>
        <v/>
      </c>
      <c r="AR480">
        <f>SUMPRODUCT((B24:B31&lt;=$B$6)*(C24:C31*AM480+D24:D31*AO480*$B$8*AQ480)/(1+AL480/100)^B24:B31)+C32*AM480*AP480/(1+AL480/100)^$B$6</f>
        <v/>
      </c>
      <c r="AS480">
        <f>SUMPRODUCT((K24:K26&lt;=$B$6)*(L24:L26*AN480+M24:M26*AO480*$B$8*AQ480)/(1+AL480/100)^K24:K26)+L27*AN480*AP480/(1+AL480/100)^$B$6</f>
        <v/>
      </c>
      <c r="AT480">
        <f>AS480-AR480</f>
        <v/>
      </c>
      <c r="AU480">
        <f>RAND()</f>
        <v/>
      </c>
      <c r="AV480">
        <f>RAND()</f>
        <v/>
      </c>
      <c r="AW480">
        <f>RAND()</f>
        <v/>
      </c>
      <c r="AX480">
        <f>RAND()</f>
        <v/>
      </c>
      <c r="AY480">
        <f>RAND()</f>
        <v/>
      </c>
      <c r="AZ480">
        <f>RAND()</f>
        <v/>
      </c>
    </row>
    <row r="481">
      <c r="AK481" t="n">
        <v>468</v>
      </c>
      <c r="AL481">
        <f>IFERROR(IF(AU481&lt;($AM$6-$AL$6)/($AN$6-$AL$6),$AL$6+SQRT(AU481*($AN$6-$AL$6)*($AM$6-$AL$6)),$AN$6-SQRT((1-AU481)*($AN$6-$AL$6)*($AN$6-$AM$6))),$AM$6)</f>
        <v/>
      </c>
      <c r="AM481">
        <f>IFERROR(IF(AV481&lt;($AM$7-$AL$7)/($AN$7-$AL$7),$AL$7+SQRT(AV481*($AN$7-$AL$7)*($AM$7-$AL$7)),$AN$7-SQRT((1-AV481)*($AN$7-$AL$7)*($AN$7-$AM$7))),$AM$7)</f>
        <v/>
      </c>
      <c r="AN481">
        <f>IFERROR(IF(AW481&lt;($AM$8-$AL$8)/($AN$8-$AL$8),$AL$8+SQRT(AW481*($AN$8-$AL$8)*($AM$8-$AL$8)),$AN$8-SQRT((1-AW481)*($AN$8-$AL$8)*($AN$8-$AM$8))),$AM$8)</f>
        <v/>
      </c>
      <c r="AO481">
        <f>IFERROR(IF(AX481&lt;($AM$9-$AL$9)/($AN$9-$AL$9),$AL$9+SQRT(AX481*($AN$9-$AL$9)*($AM$9-$AL$9)),$AN$9-SQRT((1-AX481)*($AN$9-$AL$9)*($AN$9-$AM$9))),$AM$9)</f>
        <v/>
      </c>
      <c r="AP481">
        <f>IFERROR(IF(AY481&lt;($AM$10-$AL$10)/($AN$10-$AL$10),$AL$10+SQRT(AY481*($AN$10-$AL$10)*($AM$10-$AL$10)),$AN$10-SQRT((1-AY481)*($AN$10-$AL$10)*($AN$10-$AM$10))),$AM$10)</f>
        <v/>
      </c>
      <c r="AQ481">
        <f>IFERROR(IF(AZ481&lt;($AM$11-$AL$11)/($AN$11-$AL$11),$AL$11+SQRT(AZ481*($AN$11-$AL$11)*($AM$11-$AL$11)),$AN$11-SQRT((1-AZ481)*($AN$11-$AL$11)*($AN$11-$AM$11))),$AM$11)</f>
        <v/>
      </c>
      <c r="AR481">
        <f>SUMPRODUCT((B24:B31&lt;=$B$6)*(C24:C31*AM481+D24:D31*AO481*$B$8*AQ481)/(1+AL481/100)^B24:B31)+C32*AM481*AP481/(1+AL481/100)^$B$6</f>
        <v/>
      </c>
      <c r="AS481">
        <f>SUMPRODUCT((K24:K26&lt;=$B$6)*(L24:L26*AN481+M24:M26*AO481*$B$8*AQ481)/(1+AL481/100)^K24:K26)+L27*AN481*AP481/(1+AL481/100)^$B$6</f>
        <v/>
      </c>
      <c r="AT481">
        <f>AS481-AR481</f>
        <v/>
      </c>
      <c r="AU481">
        <f>RAND()</f>
        <v/>
      </c>
      <c r="AV481">
        <f>RAND()</f>
        <v/>
      </c>
      <c r="AW481">
        <f>RAND()</f>
        <v/>
      </c>
      <c r="AX481">
        <f>RAND()</f>
        <v/>
      </c>
      <c r="AY481">
        <f>RAND()</f>
        <v/>
      </c>
      <c r="AZ481">
        <f>RAND()</f>
        <v/>
      </c>
    </row>
    <row r="482">
      <c r="AK482" t="n">
        <v>469</v>
      </c>
      <c r="AL482">
        <f>IFERROR(IF(AU482&lt;($AM$6-$AL$6)/($AN$6-$AL$6),$AL$6+SQRT(AU482*($AN$6-$AL$6)*($AM$6-$AL$6)),$AN$6-SQRT((1-AU482)*($AN$6-$AL$6)*($AN$6-$AM$6))),$AM$6)</f>
        <v/>
      </c>
      <c r="AM482">
        <f>IFERROR(IF(AV482&lt;($AM$7-$AL$7)/($AN$7-$AL$7),$AL$7+SQRT(AV482*($AN$7-$AL$7)*($AM$7-$AL$7)),$AN$7-SQRT((1-AV482)*($AN$7-$AL$7)*($AN$7-$AM$7))),$AM$7)</f>
        <v/>
      </c>
      <c r="AN482">
        <f>IFERROR(IF(AW482&lt;($AM$8-$AL$8)/($AN$8-$AL$8),$AL$8+SQRT(AW482*($AN$8-$AL$8)*($AM$8-$AL$8)),$AN$8-SQRT((1-AW482)*($AN$8-$AL$8)*($AN$8-$AM$8))),$AM$8)</f>
        <v/>
      </c>
      <c r="AO482">
        <f>IFERROR(IF(AX482&lt;($AM$9-$AL$9)/($AN$9-$AL$9),$AL$9+SQRT(AX482*($AN$9-$AL$9)*($AM$9-$AL$9)),$AN$9-SQRT((1-AX482)*($AN$9-$AL$9)*($AN$9-$AM$9))),$AM$9)</f>
        <v/>
      </c>
      <c r="AP482">
        <f>IFERROR(IF(AY482&lt;($AM$10-$AL$10)/($AN$10-$AL$10),$AL$10+SQRT(AY482*($AN$10-$AL$10)*($AM$10-$AL$10)),$AN$10-SQRT((1-AY482)*($AN$10-$AL$10)*($AN$10-$AM$10))),$AM$10)</f>
        <v/>
      </c>
      <c r="AQ482">
        <f>IFERROR(IF(AZ482&lt;($AM$11-$AL$11)/($AN$11-$AL$11),$AL$11+SQRT(AZ482*($AN$11-$AL$11)*($AM$11-$AL$11)),$AN$11-SQRT((1-AZ482)*($AN$11-$AL$11)*($AN$11-$AM$11))),$AM$11)</f>
        <v/>
      </c>
      <c r="AR482">
        <f>SUMPRODUCT((B24:B31&lt;=$B$6)*(C24:C31*AM482+D24:D31*AO482*$B$8*AQ482)/(1+AL482/100)^B24:B31)+C32*AM482*AP482/(1+AL482/100)^$B$6</f>
        <v/>
      </c>
      <c r="AS482">
        <f>SUMPRODUCT((K24:K26&lt;=$B$6)*(L24:L26*AN482+M24:M26*AO482*$B$8*AQ482)/(1+AL482/100)^K24:K26)+L27*AN482*AP482/(1+AL482/100)^$B$6</f>
        <v/>
      </c>
      <c r="AT482">
        <f>AS482-AR482</f>
        <v/>
      </c>
      <c r="AU482">
        <f>RAND()</f>
        <v/>
      </c>
      <c r="AV482">
        <f>RAND()</f>
        <v/>
      </c>
      <c r="AW482">
        <f>RAND()</f>
        <v/>
      </c>
      <c r="AX482">
        <f>RAND()</f>
        <v/>
      </c>
      <c r="AY482">
        <f>RAND()</f>
        <v/>
      </c>
      <c r="AZ482">
        <f>RAND()</f>
        <v/>
      </c>
    </row>
    <row r="483">
      <c r="AK483" t="n">
        <v>470</v>
      </c>
      <c r="AL483">
        <f>IFERROR(IF(AU483&lt;($AM$6-$AL$6)/($AN$6-$AL$6),$AL$6+SQRT(AU483*($AN$6-$AL$6)*($AM$6-$AL$6)),$AN$6-SQRT((1-AU483)*($AN$6-$AL$6)*($AN$6-$AM$6))),$AM$6)</f>
        <v/>
      </c>
      <c r="AM483">
        <f>IFERROR(IF(AV483&lt;($AM$7-$AL$7)/($AN$7-$AL$7),$AL$7+SQRT(AV483*($AN$7-$AL$7)*($AM$7-$AL$7)),$AN$7-SQRT((1-AV483)*($AN$7-$AL$7)*($AN$7-$AM$7))),$AM$7)</f>
        <v/>
      </c>
      <c r="AN483">
        <f>IFERROR(IF(AW483&lt;($AM$8-$AL$8)/($AN$8-$AL$8),$AL$8+SQRT(AW483*($AN$8-$AL$8)*($AM$8-$AL$8)),$AN$8-SQRT((1-AW483)*($AN$8-$AL$8)*($AN$8-$AM$8))),$AM$8)</f>
        <v/>
      </c>
      <c r="AO483">
        <f>IFERROR(IF(AX483&lt;($AM$9-$AL$9)/($AN$9-$AL$9),$AL$9+SQRT(AX483*($AN$9-$AL$9)*($AM$9-$AL$9)),$AN$9-SQRT((1-AX483)*($AN$9-$AL$9)*($AN$9-$AM$9))),$AM$9)</f>
        <v/>
      </c>
      <c r="AP483">
        <f>IFERROR(IF(AY483&lt;($AM$10-$AL$10)/($AN$10-$AL$10),$AL$10+SQRT(AY483*($AN$10-$AL$10)*($AM$10-$AL$10)),$AN$10-SQRT((1-AY483)*($AN$10-$AL$10)*($AN$10-$AM$10))),$AM$10)</f>
        <v/>
      </c>
      <c r="AQ483">
        <f>IFERROR(IF(AZ483&lt;($AM$11-$AL$11)/($AN$11-$AL$11),$AL$11+SQRT(AZ483*($AN$11-$AL$11)*($AM$11-$AL$11)),$AN$11-SQRT((1-AZ483)*($AN$11-$AL$11)*($AN$11-$AM$11))),$AM$11)</f>
        <v/>
      </c>
      <c r="AR483">
        <f>SUMPRODUCT((B24:B31&lt;=$B$6)*(C24:C31*AM483+D24:D31*AO483*$B$8*AQ483)/(1+AL483/100)^B24:B31)+C32*AM483*AP483/(1+AL483/100)^$B$6</f>
        <v/>
      </c>
      <c r="AS483">
        <f>SUMPRODUCT((K24:K26&lt;=$B$6)*(L24:L26*AN483+M24:M26*AO483*$B$8*AQ483)/(1+AL483/100)^K24:K26)+L27*AN483*AP483/(1+AL483/100)^$B$6</f>
        <v/>
      </c>
      <c r="AT483">
        <f>AS483-AR483</f>
        <v/>
      </c>
      <c r="AU483">
        <f>RAND()</f>
        <v/>
      </c>
      <c r="AV483">
        <f>RAND()</f>
        <v/>
      </c>
      <c r="AW483">
        <f>RAND()</f>
        <v/>
      </c>
      <c r="AX483">
        <f>RAND()</f>
        <v/>
      </c>
      <c r="AY483">
        <f>RAND()</f>
        <v/>
      </c>
      <c r="AZ483">
        <f>RAND()</f>
        <v/>
      </c>
    </row>
    <row r="484">
      <c r="AK484" t="n">
        <v>471</v>
      </c>
      <c r="AL484">
        <f>IFERROR(IF(AU484&lt;($AM$6-$AL$6)/($AN$6-$AL$6),$AL$6+SQRT(AU484*($AN$6-$AL$6)*($AM$6-$AL$6)),$AN$6-SQRT((1-AU484)*($AN$6-$AL$6)*($AN$6-$AM$6))),$AM$6)</f>
        <v/>
      </c>
      <c r="AM484">
        <f>IFERROR(IF(AV484&lt;($AM$7-$AL$7)/($AN$7-$AL$7),$AL$7+SQRT(AV484*($AN$7-$AL$7)*($AM$7-$AL$7)),$AN$7-SQRT((1-AV484)*($AN$7-$AL$7)*($AN$7-$AM$7))),$AM$7)</f>
        <v/>
      </c>
      <c r="AN484">
        <f>IFERROR(IF(AW484&lt;($AM$8-$AL$8)/($AN$8-$AL$8),$AL$8+SQRT(AW484*($AN$8-$AL$8)*($AM$8-$AL$8)),$AN$8-SQRT((1-AW484)*($AN$8-$AL$8)*($AN$8-$AM$8))),$AM$8)</f>
        <v/>
      </c>
      <c r="AO484">
        <f>IFERROR(IF(AX484&lt;($AM$9-$AL$9)/($AN$9-$AL$9),$AL$9+SQRT(AX484*($AN$9-$AL$9)*($AM$9-$AL$9)),$AN$9-SQRT((1-AX484)*($AN$9-$AL$9)*($AN$9-$AM$9))),$AM$9)</f>
        <v/>
      </c>
      <c r="AP484">
        <f>IFERROR(IF(AY484&lt;($AM$10-$AL$10)/($AN$10-$AL$10),$AL$10+SQRT(AY484*($AN$10-$AL$10)*($AM$10-$AL$10)),$AN$10-SQRT((1-AY484)*($AN$10-$AL$10)*($AN$10-$AM$10))),$AM$10)</f>
        <v/>
      </c>
      <c r="AQ484">
        <f>IFERROR(IF(AZ484&lt;($AM$11-$AL$11)/($AN$11-$AL$11),$AL$11+SQRT(AZ484*($AN$11-$AL$11)*($AM$11-$AL$11)),$AN$11-SQRT((1-AZ484)*($AN$11-$AL$11)*($AN$11-$AM$11))),$AM$11)</f>
        <v/>
      </c>
      <c r="AR484">
        <f>SUMPRODUCT((B24:B31&lt;=$B$6)*(C24:C31*AM484+D24:D31*AO484*$B$8*AQ484)/(1+AL484/100)^B24:B31)+C32*AM484*AP484/(1+AL484/100)^$B$6</f>
        <v/>
      </c>
      <c r="AS484">
        <f>SUMPRODUCT((K24:K26&lt;=$B$6)*(L24:L26*AN484+M24:M26*AO484*$B$8*AQ484)/(1+AL484/100)^K24:K26)+L27*AN484*AP484/(1+AL484/100)^$B$6</f>
        <v/>
      </c>
      <c r="AT484">
        <f>AS484-AR484</f>
        <v/>
      </c>
      <c r="AU484">
        <f>RAND()</f>
        <v/>
      </c>
      <c r="AV484">
        <f>RAND()</f>
        <v/>
      </c>
      <c r="AW484">
        <f>RAND()</f>
        <v/>
      </c>
      <c r="AX484">
        <f>RAND()</f>
        <v/>
      </c>
      <c r="AY484">
        <f>RAND()</f>
        <v/>
      </c>
      <c r="AZ484">
        <f>RAND()</f>
        <v/>
      </c>
    </row>
    <row r="485">
      <c r="AK485" t="n">
        <v>472</v>
      </c>
      <c r="AL485">
        <f>IFERROR(IF(AU485&lt;($AM$6-$AL$6)/($AN$6-$AL$6),$AL$6+SQRT(AU485*($AN$6-$AL$6)*($AM$6-$AL$6)),$AN$6-SQRT((1-AU485)*($AN$6-$AL$6)*($AN$6-$AM$6))),$AM$6)</f>
        <v/>
      </c>
      <c r="AM485">
        <f>IFERROR(IF(AV485&lt;($AM$7-$AL$7)/($AN$7-$AL$7),$AL$7+SQRT(AV485*($AN$7-$AL$7)*($AM$7-$AL$7)),$AN$7-SQRT((1-AV485)*($AN$7-$AL$7)*($AN$7-$AM$7))),$AM$7)</f>
        <v/>
      </c>
      <c r="AN485">
        <f>IFERROR(IF(AW485&lt;($AM$8-$AL$8)/($AN$8-$AL$8),$AL$8+SQRT(AW485*($AN$8-$AL$8)*($AM$8-$AL$8)),$AN$8-SQRT((1-AW485)*($AN$8-$AL$8)*($AN$8-$AM$8))),$AM$8)</f>
        <v/>
      </c>
      <c r="AO485">
        <f>IFERROR(IF(AX485&lt;($AM$9-$AL$9)/($AN$9-$AL$9),$AL$9+SQRT(AX485*($AN$9-$AL$9)*($AM$9-$AL$9)),$AN$9-SQRT((1-AX485)*($AN$9-$AL$9)*($AN$9-$AM$9))),$AM$9)</f>
        <v/>
      </c>
      <c r="AP485">
        <f>IFERROR(IF(AY485&lt;($AM$10-$AL$10)/($AN$10-$AL$10),$AL$10+SQRT(AY485*($AN$10-$AL$10)*($AM$10-$AL$10)),$AN$10-SQRT((1-AY485)*($AN$10-$AL$10)*($AN$10-$AM$10))),$AM$10)</f>
        <v/>
      </c>
      <c r="AQ485">
        <f>IFERROR(IF(AZ485&lt;($AM$11-$AL$11)/($AN$11-$AL$11),$AL$11+SQRT(AZ485*($AN$11-$AL$11)*($AM$11-$AL$11)),$AN$11-SQRT((1-AZ485)*($AN$11-$AL$11)*($AN$11-$AM$11))),$AM$11)</f>
        <v/>
      </c>
      <c r="AR485">
        <f>SUMPRODUCT((B24:B31&lt;=$B$6)*(C24:C31*AM485+D24:D31*AO485*$B$8*AQ485)/(1+AL485/100)^B24:B31)+C32*AM485*AP485/(1+AL485/100)^$B$6</f>
        <v/>
      </c>
      <c r="AS485">
        <f>SUMPRODUCT((K24:K26&lt;=$B$6)*(L24:L26*AN485+M24:M26*AO485*$B$8*AQ485)/(1+AL485/100)^K24:K26)+L27*AN485*AP485/(1+AL485/100)^$B$6</f>
        <v/>
      </c>
      <c r="AT485">
        <f>AS485-AR485</f>
        <v/>
      </c>
      <c r="AU485">
        <f>RAND()</f>
        <v/>
      </c>
      <c r="AV485">
        <f>RAND()</f>
        <v/>
      </c>
      <c r="AW485">
        <f>RAND()</f>
        <v/>
      </c>
      <c r="AX485">
        <f>RAND()</f>
        <v/>
      </c>
      <c r="AY485">
        <f>RAND()</f>
        <v/>
      </c>
      <c r="AZ485">
        <f>RAND()</f>
        <v/>
      </c>
    </row>
    <row r="486">
      <c r="AK486" t="n">
        <v>473</v>
      </c>
      <c r="AL486">
        <f>IFERROR(IF(AU486&lt;($AM$6-$AL$6)/($AN$6-$AL$6),$AL$6+SQRT(AU486*($AN$6-$AL$6)*($AM$6-$AL$6)),$AN$6-SQRT((1-AU486)*($AN$6-$AL$6)*($AN$6-$AM$6))),$AM$6)</f>
        <v/>
      </c>
      <c r="AM486">
        <f>IFERROR(IF(AV486&lt;($AM$7-$AL$7)/($AN$7-$AL$7),$AL$7+SQRT(AV486*($AN$7-$AL$7)*($AM$7-$AL$7)),$AN$7-SQRT((1-AV486)*($AN$7-$AL$7)*($AN$7-$AM$7))),$AM$7)</f>
        <v/>
      </c>
      <c r="AN486">
        <f>IFERROR(IF(AW486&lt;($AM$8-$AL$8)/($AN$8-$AL$8),$AL$8+SQRT(AW486*($AN$8-$AL$8)*($AM$8-$AL$8)),$AN$8-SQRT((1-AW486)*($AN$8-$AL$8)*($AN$8-$AM$8))),$AM$8)</f>
        <v/>
      </c>
      <c r="AO486">
        <f>IFERROR(IF(AX486&lt;($AM$9-$AL$9)/($AN$9-$AL$9),$AL$9+SQRT(AX486*($AN$9-$AL$9)*($AM$9-$AL$9)),$AN$9-SQRT((1-AX486)*($AN$9-$AL$9)*($AN$9-$AM$9))),$AM$9)</f>
        <v/>
      </c>
      <c r="AP486">
        <f>IFERROR(IF(AY486&lt;($AM$10-$AL$10)/($AN$10-$AL$10),$AL$10+SQRT(AY486*($AN$10-$AL$10)*($AM$10-$AL$10)),$AN$10-SQRT((1-AY486)*($AN$10-$AL$10)*($AN$10-$AM$10))),$AM$10)</f>
        <v/>
      </c>
      <c r="AQ486">
        <f>IFERROR(IF(AZ486&lt;($AM$11-$AL$11)/($AN$11-$AL$11),$AL$11+SQRT(AZ486*($AN$11-$AL$11)*($AM$11-$AL$11)),$AN$11-SQRT((1-AZ486)*($AN$11-$AL$11)*($AN$11-$AM$11))),$AM$11)</f>
        <v/>
      </c>
      <c r="AR486">
        <f>SUMPRODUCT((B24:B31&lt;=$B$6)*(C24:C31*AM486+D24:D31*AO486*$B$8*AQ486)/(1+AL486/100)^B24:B31)+C32*AM486*AP486/(1+AL486/100)^$B$6</f>
        <v/>
      </c>
      <c r="AS486">
        <f>SUMPRODUCT((K24:K26&lt;=$B$6)*(L24:L26*AN486+M24:M26*AO486*$B$8*AQ486)/(1+AL486/100)^K24:K26)+L27*AN486*AP486/(1+AL486/100)^$B$6</f>
        <v/>
      </c>
      <c r="AT486">
        <f>AS486-AR486</f>
        <v/>
      </c>
      <c r="AU486">
        <f>RAND()</f>
        <v/>
      </c>
      <c r="AV486">
        <f>RAND()</f>
        <v/>
      </c>
      <c r="AW486">
        <f>RAND()</f>
        <v/>
      </c>
      <c r="AX486">
        <f>RAND()</f>
        <v/>
      </c>
      <c r="AY486">
        <f>RAND()</f>
        <v/>
      </c>
      <c r="AZ486">
        <f>RAND()</f>
        <v/>
      </c>
    </row>
    <row r="487">
      <c r="AK487" t="n">
        <v>474</v>
      </c>
      <c r="AL487">
        <f>IFERROR(IF(AU487&lt;($AM$6-$AL$6)/($AN$6-$AL$6),$AL$6+SQRT(AU487*($AN$6-$AL$6)*($AM$6-$AL$6)),$AN$6-SQRT((1-AU487)*($AN$6-$AL$6)*($AN$6-$AM$6))),$AM$6)</f>
        <v/>
      </c>
      <c r="AM487">
        <f>IFERROR(IF(AV487&lt;($AM$7-$AL$7)/($AN$7-$AL$7),$AL$7+SQRT(AV487*($AN$7-$AL$7)*($AM$7-$AL$7)),$AN$7-SQRT((1-AV487)*($AN$7-$AL$7)*($AN$7-$AM$7))),$AM$7)</f>
        <v/>
      </c>
      <c r="AN487">
        <f>IFERROR(IF(AW487&lt;($AM$8-$AL$8)/($AN$8-$AL$8),$AL$8+SQRT(AW487*($AN$8-$AL$8)*($AM$8-$AL$8)),$AN$8-SQRT((1-AW487)*($AN$8-$AL$8)*($AN$8-$AM$8))),$AM$8)</f>
        <v/>
      </c>
      <c r="AO487">
        <f>IFERROR(IF(AX487&lt;($AM$9-$AL$9)/($AN$9-$AL$9),$AL$9+SQRT(AX487*($AN$9-$AL$9)*($AM$9-$AL$9)),$AN$9-SQRT((1-AX487)*($AN$9-$AL$9)*($AN$9-$AM$9))),$AM$9)</f>
        <v/>
      </c>
      <c r="AP487">
        <f>IFERROR(IF(AY487&lt;($AM$10-$AL$10)/($AN$10-$AL$10),$AL$10+SQRT(AY487*($AN$10-$AL$10)*($AM$10-$AL$10)),$AN$10-SQRT((1-AY487)*($AN$10-$AL$10)*($AN$10-$AM$10))),$AM$10)</f>
        <v/>
      </c>
      <c r="AQ487">
        <f>IFERROR(IF(AZ487&lt;($AM$11-$AL$11)/($AN$11-$AL$11),$AL$11+SQRT(AZ487*($AN$11-$AL$11)*($AM$11-$AL$11)),$AN$11-SQRT((1-AZ487)*($AN$11-$AL$11)*($AN$11-$AM$11))),$AM$11)</f>
        <v/>
      </c>
      <c r="AR487">
        <f>SUMPRODUCT((B24:B31&lt;=$B$6)*(C24:C31*AM487+D24:D31*AO487*$B$8*AQ487)/(1+AL487/100)^B24:B31)+C32*AM487*AP487/(1+AL487/100)^$B$6</f>
        <v/>
      </c>
      <c r="AS487">
        <f>SUMPRODUCT((K24:K26&lt;=$B$6)*(L24:L26*AN487+M24:M26*AO487*$B$8*AQ487)/(1+AL487/100)^K24:K26)+L27*AN487*AP487/(1+AL487/100)^$B$6</f>
        <v/>
      </c>
      <c r="AT487">
        <f>AS487-AR487</f>
        <v/>
      </c>
      <c r="AU487">
        <f>RAND()</f>
        <v/>
      </c>
      <c r="AV487">
        <f>RAND()</f>
        <v/>
      </c>
      <c r="AW487">
        <f>RAND()</f>
        <v/>
      </c>
      <c r="AX487">
        <f>RAND()</f>
        <v/>
      </c>
      <c r="AY487">
        <f>RAND()</f>
        <v/>
      </c>
      <c r="AZ487">
        <f>RAND()</f>
        <v/>
      </c>
    </row>
    <row r="488">
      <c r="AK488" t="n">
        <v>475</v>
      </c>
      <c r="AL488">
        <f>IFERROR(IF(AU488&lt;($AM$6-$AL$6)/($AN$6-$AL$6),$AL$6+SQRT(AU488*($AN$6-$AL$6)*($AM$6-$AL$6)),$AN$6-SQRT((1-AU488)*($AN$6-$AL$6)*($AN$6-$AM$6))),$AM$6)</f>
        <v/>
      </c>
      <c r="AM488">
        <f>IFERROR(IF(AV488&lt;($AM$7-$AL$7)/($AN$7-$AL$7),$AL$7+SQRT(AV488*($AN$7-$AL$7)*($AM$7-$AL$7)),$AN$7-SQRT((1-AV488)*($AN$7-$AL$7)*($AN$7-$AM$7))),$AM$7)</f>
        <v/>
      </c>
      <c r="AN488">
        <f>IFERROR(IF(AW488&lt;($AM$8-$AL$8)/($AN$8-$AL$8),$AL$8+SQRT(AW488*($AN$8-$AL$8)*($AM$8-$AL$8)),$AN$8-SQRT((1-AW488)*($AN$8-$AL$8)*($AN$8-$AM$8))),$AM$8)</f>
        <v/>
      </c>
      <c r="AO488">
        <f>IFERROR(IF(AX488&lt;($AM$9-$AL$9)/($AN$9-$AL$9),$AL$9+SQRT(AX488*($AN$9-$AL$9)*($AM$9-$AL$9)),$AN$9-SQRT((1-AX488)*($AN$9-$AL$9)*($AN$9-$AM$9))),$AM$9)</f>
        <v/>
      </c>
      <c r="AP488">
        <f>IFERROR(IF(AY488&lt;($AM$10-$AL$10)/($AN$10-$AL$10),$AL$10+SQRT(AY488*($AN$10-$AL$10)*($AM$10-$AL$10)),$AN$10-SQRT((1-AY488)*($AN$10-$AL$10)*($AN$10-$AM$10))),$AM$10)</f>
        <v/>
      </c>
      <c r="AQ488">
        <f>IFERROR(IF(AZ488&lt;($AM$11-$AL$11)/($AN$11-$AL$11),$AL$11+SQRT(AZ488*($AN$11-$AL$11)*($AM$11-$AL$11)),$AN$11-SQRT((1-AZ488)*($AN$11-$AL$11)*($AN$11-$AM$11))),$AM$11)</f>
        <v/>
      </c>
      <c r="AR488">
        <f>SUMPRODUCT((B24:B31&lt;=$B$6)*(C24:C31*AM488+D24:D31*AO488*$B$8*AQ488)/(1+AL488/100)^B24:B31)+C32*AM488*AP488/(1+AL488/100)^$B$6</f>
        <v/>
      </c>
      <c r="AS488">
        <f>SUMPRODUCT((K24:K26&lt;=$B$6)*(L24:L26*AN488+M24:M26*AO488*$B$8*AQ488)/(1+AL488/100)^K24:K26)+L27*AN488*AP488/(1+AL488/100)^$B$6</f>
        <v/>
      </c>
      <c r="AT488">
        <f>AS488-AR488</f>
        <v/>
      </c>
      <c r="AU488">
        <f>RAND()</f>
        <v/>
      </c>
      <c r="AV488">
        <f>RAND()</f>
        <v/>
      </c>
      <c r="AW488">
        <f>RAND()</f>
        <v/>
      </c>
      <c r="AX488">
        <f>RAND()</f>
        <v/>
      </c>
      <c r="AY488">
        <f>RAND()</f>
        <v/>
      </c>
      <c r="AZ488">
        <f>RAND()</f>
        <v/>
      </c>
    </row>
    <row r="489">
      <c r="AK489" t="n">
        <v>476</v>
      </c>
      <c r="AL489">
        <f>IFERROR(IF(AU489&lt;($AM$6-$AL$6)/($AN$6-$AL$6),$AL$6+SQRT(AU489*($AN$6-$AL$6)*($AM$6-$AL$6)),$AN$6-SQRT((1-AU489)*($AN$6-$AL$6)*($AN$6-$AM$6))),$AM$6)</f>
        <v/>
      </c>
      <c r="AM489">
        <f>IFERROR(IF(AV489&lt;($AM$7-$AL$7)/($AN$7-$AL$7),$AL$7+SQRT(AV489*($AN$7-$AL$7)*($AM$7-$AL$7)),$AN$7-SQRT((1-AV489)*($AN$7-$AL$7)*($AN$7-$AM$7))),$AM$7)</f>
        <v/>
      </c>
      <c r="AN489">
        <f>IFERROR(IF(AW489&lt;($AM$8-$AL$8)/($AN$8-$AL$8),$AL$8+SQRT(AW489*($AN$8-$AL$8)*($AM$8-$AL$8)),$AN$8-SQRT((1-AW489)*($AN$8-$AL$8)*($AN$8-$AM$8))),$AM$8)</f>
        <v/>
      </c>
      <c r="AO489">
        <f>IFERROR(IF(AX489&lt;($AM$9-$AL$9)/($AN$9-$AL$9),$AL$9+SQRT(AX489*($AN$9-$AL$9)*($AM$9-$AL$9)),$AN$9-SQRT((1-AX489)*($AN$9-$AL$9)*($AN$9-$AM$9))),$AM$9)</f>
        <v/>
      </c>
      <c r="AP489">
        <f>IFERROR(IF(AY489&lt;($AM$10-$AL$10)/($AN$10-$AL$10),$AL$10+SQRT(AY489*($AN$10-$AL$10)*($AM$10-$AL$10)),$AN$10-SQRT((1-AY489)*($AN$10-$AL$10)*($AN$10-$AM$10))),$AM$10)</f>
        <v/>
      </c>
      <c r="AQ489">
        <f>IFERROR(IF(AZ489&lt;($AM$11-$AL$11)/($AN$11-$AL$11),$AL$11+SQRT(AZ489*($AN$11-$AL$11)*($AM$11-$AL$11)),$AN$11-SQRT((1-AZ489)*($AN$11-$AL$11)*($AN$11-$AM$11))),$AM$11)</f>
        <v/>
      </c>
      <c r="AR489">
        <f>SUMPRODUCT((B24:B31&lt;=$B$6)*(C24:C31*AM489+D24:D31*AO489*$B$8*AQ489)/(1+AL489/100)^B24:B31)+C32*AM489*AP489/(1+AL489/100)^$B$6</f>
        <v/>
      </c>
      <c r="AS489">
        <f>SUMPRODUCT((K24:K26&lt;=$B$6)*(L24:L26*AN489+M24:M26*AO489*$B$8*AQ489)/(1+AL489/100)^K24:K26)+L27*AN489*AP489/(1+AL489/100)^$B$6</f>
        <v/>
      </c>
      <c r="AT489">
        <f>AS489-AR489</f>
        <v/>
      </c>
      <c r="AU489">
        <f>RAND()</f>
        <v/>
      </c>
      <c r="AV489">
        <f>RAND()</f>
        <v/>
      </c>
      <c r="AW489">
        <f>RAND()</f>
        <v/>
      </c>
      <c r="AX489">
        <f>RAND()</f>
        <v/>
      </c>
      <c r="AY489">
        <f>RAND()</f>
        <v/>
      </c>
      <c r="AZ489">
        <f>RAND()</f>
        <v/>
      </c>
    </row>
    <row r="490">
      <c r="AK490" t="n">
        <v>477</v>
      </c>
      <c r="AL490">
        <f>IFERROR(IF(AU490&lt;($AM$6-$AL$6)/($AN$6-$AL$6),$AL$6+SQRT(AU490*($AN$6-$AL$6)*($AM$6-$AL$6)),$AN$6-SQRT((1-AU490)*($AN$6-$AL$6)*($AN$6-$AM$6))),$AM$6)</f>
        <v/>
      </c>
      <c r="AM490">
        <f>IFERROR(IF(AV490&lt;($AM$7-$AL$7)/($AN$7-$AL$7),$AL$7+SQRT(AV490*($AN$7-$AL$7)*($AM$7-$AL$7)),$AN$7-SQRT((1-AV490)*($AN$7-$AL$7)*($AN$7-$AM$7))),$AM$7)</f>
        <v/>
      </c>
      <c r="AN490">
        <f>IFERROR(IF(AW490&lt;($AM$8-$AL$8)/($AN$8-$AL$8),$AL$8+SQRT(AW490*($AN$8-$AL$8)*($AM$8-$AL$8)),$AN$8-SQRT((1-AW490)*($AN$8-$AL$8)*($AN$8-$AM$8))),$AM$8)</f>
        <v/>
      </c>
      <c r="AO490">
        <f>IFERROR(IF(AX490&lt;($AM$9-$AL$9)/($AN$9-$AL$9),$AL$9+SQRT(AX490*($AN$9-$AL$9)*($AM$9-$AL$9)),$AN$9-SQRT((1-AX490)*($AN$9-$AL$9)*($AN$9-$AM$9))),$AM$9)</f>
        <v/>
      </c>
      <c r="AP490">
        <f>IFERROR(IF(AY490&lt;($AM$10-$AL$10)/($AN$10-$AL$10),$AL$10+SQRT(AY490*($AN$10-$AL$10)*($AM$10-$AL$10)),$AN$10-SQRT((1-AY490)*($AN$10-$AL$10)*($AN$10-$AM$10))),$AM$10)</f>
        <v/>
      </c>
      <c r="AQ490">
        <f>IFERROR(IF(AZ490&lt;($AM$11-$AL$11)/($AN$11-$AL$11),$AL$11+SQRT(AZ490*($AN$11-$AL$11)*($AM$11-$AL$11)),$AN$11-SQRT((1-AZ490)*($AN$11-$AL$11)*($AN$11-$AM$11))),$AM$11)</f>
        <v/>
      </c>
      <c r="AR490">
        <f>SUMPRODUCT((B24:B31&lt;=$B$6)*(C24:C31*AM490+D24:D31*AO490*$B$8*AQ490)/(1+AL490/100)^B24:B31)+C32*AM490*AP490/(1+AL490/100)^$B$6</f>
        <v/>
      </c>
      <c r="AS490">
        <f>SUMPRODUCT((K24:K26&lt;=$B$6)*(L24:L26*AN490+M24:M26*AO490*$B$8*AQ490)/(1+AL490/100)^K24:K26)+L27*AN490*AP490/(1+AL490/100)^$B$6</f>
        <v/>
      </c>
      <c r="AT490">
        <f>AS490-AR490</f>
        <v/>
      </c>
      <c r="AU490">
        <f>RAND()</f>
        <v/>
      </c>
      <c r="AV490">
        <f>RAND()</f>
        <v/>
      </c>
      <c r="AW490">
        <f>RAND()</f>
        <v/>
      </c>
      <c r="AX490">
        <f>RAND()</f>
        <v/>
      </c>
      <c r="AY490">
        <f>RAND()</f>
        <v/>
      </c>
      <c r="AZ490">
        <f>RAND()</f>
        <v/>
      </c>
    </row>
    <row r="491">
      <c r="AK491" t="n">
        <v>478</v>
      </c>
      <c r="AL491">
        <f>IFERROR(IF(AU491&lt;($AM$6-$AL$6)/($AN$6-$AL$6),$AL$6+SQRT(AU491*($AN$6-$AL$6)*($AM$6-$AL$6)),$AN$6-SQRT((1-AU491)*($AN$6-$AL$6)*($AN$6-$AM$6))),$AM$6)</f>
        <v/>
      </c>
      <c r="AM491">
        <f>IFERROR(IF(AV491&lt;($AM$7-$AL$7)/($AN$7-$AL$7),$AL$7+SQRT(AV491*($AN$7-$AL$7)*($AM$7-$AL$7)),$AN$7-SQRT((1-AV491)*($AN$7-$AL$7)*($AN$7-$AM$7))),$AM$7)</f>
        <v/>
      </c>
      <c r="AN491">
        <f>IFERROR(IF(AW491&lt;($AM$8-$AL$8)/($AN$8-$AL$8),$AL$8+SQRT(AW491*($AN$8-$AL$8)*($AM$8-$AL$8)),$AN$8-SQRT((1-AW491)*($AN$8-$AL$8)*($AN$8-$AM$8))),$AM$8)</f>
        <v/>
      </c>
      <c r="AO491">
        <f>IFERROR(IF(AX491&lt;($AM$9-$AL$9)/($AN$9-$AL$9),$AL$9+SQRT(AX491*($AN$9-$AL$9)*($AM$9-$AL$9)),$AN$9-SQRT((1-AX491)*($AN$9-$AL$9)*($AN$9-$AM$9))),$AM$9)</f>
        <v/>
      </c>
      <c r="AP491">
        <f>IFERROR(IF(AY491&lt;($AM$10-$AL$10)/($AN$10-$AL$10),$AL$10+SQRT(AY491*($AN$10-$AL$10)*($AM$10-$AL$10)),$AN$10-SQRT((1-AY491)*($AN$10-$AL$10)*($AN$10-$AM$10))),$AM$10)</f>
        <v/>
      </c>
      <c r="AQ491">
        <f>IFERROR(IF(AZ491&lt;($AM$11-$AL$11)/($AN$11-$AL$11),$AL$11+SQRT(AZ491*($AN$11-$AL$11)*($AM$11-$AL$11)),$AN$11-SQRT((1-AZ491)*($AN$11-$AL$11)*($AN$11-$AM$11))),$AM$11)</f>
        <v/>
      </c>
      <c r="AR491">
        <f>SUMPRODUCT((B24:B31&lt;=$B$6)*(C24:C31*AM491+D24:D31*AO491*$B$8*AQ491)/(1+AL491/100)^B24:B31)+C32*AM491*AP491/(1+AL491/100)^$B$6</f>
        <v/>
      </c>
      <c r="AS491">
        <f>SUMPRODUCT((K24:K26&lt;=$B$6)*(L24:L26*AN491+M24:M26*AO491*$B$8*AQ491)/(1+AL491/100)^K24:K26)+L27*AN491*AP491/(1+AL491/100)^$B$6</f>
        <v/>
      </c>
      <c r="AT491">
        <f>AS491-AR491</f>
        <v/>
      </c>
      <c r="AU491">
        <f>RAND()</f>
        <v/>
      </c>
      <c r="AV491">
        <f>RAND()</f>
        <v/>
      </c>
      <c r="AW491">
        <f>RAND()</f>
        <v/>
      </c>
      <c r="AX491">
        <f>RAND()</f>
        <v/>
      </c>
      <c r="AY491">
        <f>RAND()</f>
        <v/>
      </c>
      <c r="AZ491">
        <f>RAND()</f>
        <v/>
      </c>
    </row>
    <row r="492">
      <c r="AK492" t="n">
        <v>479</v>
      </c>
      <c r="AL492">
        <f>IFERROR(IF(AU492&lt;($AM$6-$AL$6)/($AN$6-$AL$6),$AL$6+SQRT(AU492*($AN$6-$AL$6)*($AM$6-$AL$6)),$AN$6-SQRT((1-AU492)*($AN$6-$AL$6)*($AN$6-$AM$6))),$AM$6)</f>
        <v/>
      </c>
      <c r="AM492">
        <f>IFERROR(IF(AV492&lt;($AM$7-$AL$7)/($AN$7-$AL$7),$AL$7+SQRT(AV492*($AN$7-$AL$7)*($AM$7-$AL$7)),$AN$7-SQRT((1-AV492)*($AN$7-$AL$7)*($AN$7-$AM$7))),$AM$7)</f>
        <v/>
      </c>
      <c r="AN492">
        <f>IFERROR(IF(AW492&lt;($AM$8-$AL$8)/($AN$8-$AL$8),$AL$8+SQRT(AW492*($AN$8-$AL$8)*($AM$8-$AL$8)),$AN$8-SQRT((1-AW492)*($AN$8-$AL$8)*($AN$8-$AM$8))),$AM$8)</f>
        <v/>
      </c>
      <c r="AO492">
        <f>IFERROR(IF(AX492&lt;($AM$9-$AL$9)/($AN$9-$AL$9),$AL$9+SQRT(AX492*($AN$9-$AL$9)*($AM$9-$AL$9)),$AN$9-SQRT((1-AX492)*($AN$9-$AL$9)*($AN$9-$AM$9))),$AM$9)</f>
        <v/>
      </c>
      <c r="AP492">
        <f>IFERROR(IF(AY492&lt;($AM$10-$AL$10)/($AN$10-$AL$10),$AL$10+SQRT(AY492*($AN$10-$AL$10)*($AM$10-$AL$10)),$AN$10-SQRT((1-AY492)*($AN$10-$AL$10)*($AN$10-$AM$10))),$AM$10)</f>
        <v/>
      </c>
      <c r="AQ492">
        <f>IFERROR(IF(AZ492&lt;($AM$11-$AL$11)/($AN$11-$AL$11),$AL$11+SQRT(AZ492*($AN$11-$AL$11)*($AM$11-$AL$11)),$AN$11-SQRT((1-AZ492)*($AN$11-$AL$11)*($AN$11-$AM$11))),$AM$11)</f>
        <v/>
      </c>
      <c r="AR492">
        <f>SUMPRODUCT((B24:B31&lt;=$B$6)*(C24:C31*AM492+D24:D31*AO492*$B$8*AQ492)/(1+AL492/100)^B24:B31)+C32*AM492*AP492/(1+AL492/100)^$B$6</f>
        <v/>
      </c>
      <c r="AS492">
        <f>SUMPRODUCT((K24:K26&lt;=$B$6)*(L24:L26*AN492+M24:M26*AO492*$B$8*AQ492)/(1+AL492/100)^K24:K26)+L27*AN492*AP492/(1+AL492/100)^$B$6</f>
        <v/>
      </c>
      <c r="AT492">
        <f>AS492-AR492</f>
        <v/>
      </c>
      <c r="AU492">
        <f>RAND()</f>
        <v/>
      </c>
      <c r="AV492">
        <f>RAND()</f>
        <v/>
      </c>
      <c r="AW492">
        <f>RAND()</f>
        <v/>
      </c>
      <c r="AX492">
        <f>RAND()</f>
        <v/>
      </c>
      <c r="AY492">
        <f>RAND()</f>
        <v/>
      </c>
      <c r="AZ492">
        <f>RAND()</f>
        <v/>
      </c>
    </row>
    <row r="493">
      <c r="AK493" t="n">
        <v>480</v>
      </c>
      <c r="AL493">
        <f>IFERROR(IF(AU493&lt;($AM$6-$AL$6)/($AN$6-$AL$6),$AL$6+SQRT(AU493*($AN$6-$AL$6)*($AM$6-$AL$6)),$AN$6-SQRT((1-AU493)*($AN$6-$AL$6)*($AN$6-$AM$6))),$AM$6)</f>
        <v/>
      </c>
      <c r="AM493">
        <f>IFERROR(IF(AV493&lt;($AM$7-$AL$7)/($AN$7-$AL$7),$AL$7+SQRT(AV493*($AN$7-$AL$7)*($AM$7-$AL$7)),$AN$7-SQRT((1-AV493)*($AN$7-$AL$7)*($AN$7-$AM$7))),$AM$7)</f>
        <v/>
      </c>
      <c r="AN493">
        <f>IFERROR(IF(AW493&lt;($AM$8-$AL$8)/($AN$8-$AL$8),$AL$8+SQRT(AW493*($AN$8-$AL$8)*($AM$8-$AL$8)),$AN$8-SQRT((1-AW493)*($AN$8-$AL$8)*($AN$8-$AM$8))),$AM$8)</f>
        <v/>
      </c>
      <c r="AO493">
        <f>IFERROR(IF(AX493&lt;($AM$9-$AL$9)/($AN$9-$AL$9),$AL$9+SQRT(AX493*($AN$9-$AL$9)*($AM$9-$AL$9)),$AN$9-SQRT((1-AX493)*($AN$9-$AL$9)*($AN$9-$AM$9))),$AM$9)</f>
        <v/>
      </c>
      <c r="AP493">
        <f>IFERROR(IF(AY493&lt;($AM$10-$AL$10)/($AN$10-$AL$10),$AL$10+SQRT(AY493*($AN$10-$AL$10)*($AM$10-$AL$10)),$AN$10-SQRT((1-AY493)*($AN$10-$AL$10)*($AN$10-$AM$10))),$AM$10)</f>
        <v/>
      </c>
      <c r="AQ493">
        <f>IFERROR(IF(AZ493&lt;($AM$11-$AL$11)/($AN$11-$AL$11),$AL$11+SQRT(AZ493*($AN$11-$AL$11)*($AM$11-$AL$11)),$AN$11-SQRT((1-AZ493)*($AN$11-$AL$11)*($AN$11-$AM$11))),$AM$11)</f>
        <v/>
      </c>
      <c r="AR493">
        <f>SUMPRODUCT((B24:B31&lt;=$B$6)*(C24:C31*AM493+D24:D31*AO493*$B$8*AQ493)/(1+AL493/100)^B24:B31)+C32*AM493*AP493/(1+AL493/100)^$B$6</f>
        <v/>
      </c>
      <c r="AS493">
        <f>SUMPRODUCT((K24:K26&lt;=$B$6)*(L24:L26*AN493+M24:M26*AO493*$B$8*AQ493)/(1+AL493/100)^K24:K26)+L27*AN493*AP493/(1+AL493/100)^$B$6</f>
        <v/>
      </c>
      <c r="AT493">
        <f>AS493-AR493</f>
        <v/>
      </c>
      <c r="AU493">
        <f>RAND()</f>
        <v/>
      </c>
      <c r="AV493">
        <f>RAND()</f>
        <v/>
      </c>
      <c r="AW493">
        <f>RAND()</f>
        <v/>
      </c>
      <c r="AX493">
        <f>RAND()</f>
        <v/>
      </c>
      <c r="AY493">
        <f>RAND()</f>
        <v/>
      </c>
      <c r="AZ493">
        <f>RAND()</f>
        <v/>
      </c>
    </row>
    <row r="494">
      <c r="AK494" t="n">
        <v>481</v>
      </c>
      <c r="AL494">
        <f>IFERROR(IF(AU494&lt;($AM$6-$AL$6)/($AN$6-$AL$6),$AL$6+SQRT(AU494*($AN$6-$AL$6)*($AM$6-$AL$6)),$AN$6-SQRT((1-AU494)*($AN$6-$AL$6)*($AN$6-$AM$6))),$AM$6)</f>
        <v/>
      </c>
      <c r="AM494">
        <f>IFERROR(IF(AV494&lt;($AM$7-$AL$7)/($AN$7-$AL$7),$AL$7+SQRT(AV494*($AN$7-$AL$7)*($AM$7-$AL$7)),$AN$7-SQRT((1-AV494)*($AN$7-$AL$7)*($AN$7-$AM$7))),$AM$7)</f>
        <v/>
      </c>
      <c r="AN494">
        <f>IFERROR(IF(AW494&lt;($AM$8-$AL$8)/($AN$8-$AL$8),$AL$8+SQRT(AW494*($AN$8-$AL$8)*($AM$8-$AL$8)),$AN$8-SQRT((1-AW494)*($AN$8-$AL$8)*($AN$8-$AM$8))),$AM$8)</f>
        <v/>
      </c>
      <c r="AO494">
        <f>IFERROR(IF(AX494&lt;($AM$9-$AL$9)/($AN$9-$AL$9),$AL$9+SQRT(AX494*($AN$9-$AL$9)*($AM$9-$AL$9)),$AN$9-SQRT((1-AX494)*($AN$9-$AL$9)*($AN$9-$AM$9))),$AM$9)</f>
        <v/>
      </c>
      <c r="AP494">
        <f>IFERROR(IF(AY494&lt;($AM$10-$AL$10)/($AN$10-$AL$10),$AL$10+SQRT(AY494*($AN$10-$AL$10)*($AM$10-$AL$10)),$AN$10-SQRT((1-AY494)*($AN$10-$AL$10)*($AN$10-$AM$10))),$AM$10)</f>
        <v/>
      </c>
      <c r="AQ494">
        <f>IFERROR(IF(AZ494&lt;($AM$11-$AL$11)/($AN$11-$AL$11),$AL$11+SQRT(AZ494*($AN$11-$AL$11)*($AM$11-$AL$11)),$AN$11-SQRT((1-AZ494)*($AN$11-$AL$11)*($AN$11-$AM$11))),$AM$11)</f>
        <v/>
      </c>
      <c r="AR494">
        <f>SUMPRODUCT((B24:B31&lt;=$B$6)*(C24:C31*AM494+D24:D31*AO494*$B$8*AQ494)/(1+AL494/100)^B24:B31)+C32*AM494*AP494/(1+AL494/100)^$B$6</f>
        <v/>
      </c>
      <c r="AS494">
        <f>SUMPRODUCT((K24:K26&lt;=$B$6)*(L24:L26*AN494+M24:M26*AO494*$B$8*AQ494)/(1+AL494/100)^K24:K26)+L27*AN494*AP494/(1+AL494/100)^$B$6</f>
        <v/>
      </c>
      <c r="AT494">
        <f>AS494-AR494</f>
        <v/>
      </c>
      <c r="AU494">
        <f>RAND()</f>
        <v/>
      </c>
      <c r="AV494">
        <f>RAND()</f>
        <v/>
      </c>
      <c r="AW494">
        <f>RAND()</f>
        <v/>
      </c>
      <c r="AX494">
        <f>RAND()</f>
        <v/>
      </c>
      <c r="AY494">
        <f>RAND()</f>
        <v/>
      </c>
      <c r="AZ494">
        <f>RAND()</f>
        <v/>
      </c>
    </row>
    <row r="495">
      <c r="AK495" t="n">
        <v>482</v>
      </c>
      <c r="AL495">
        <f>IFERROR(IF(AU495&lt;($AM$6-$AL$6)/($AN$6-$AL$6),$AL$6+SQRT(AU495*($AN$6-$AL$6)*($AM$6-$AL$6)),$AN$6-SQRT((1-AU495)*($AN$6-$AL$6)*($AN$6-$AM$6))),$AM$6)</f>
        <v/>
      </c>
      <c r="AM495">
        <f>IFERROR(IF(AV495&lt;($AM$7-$AL$7)/($AN$7-$AL$7),$AL$7+SQRT(AV495*($AN$7-$AL$7)*($AM$7-$AL$7)),$AN$7-SQRT((1-AV495)*($AN$7-$AL$7)*($AN$7-$AM$7))),$AM$7)</f>
        <v/>
      </c>
      <c r="AN495">
        <f>IFERROR(IF(AW495&lt;($AM$8-$AL$8)/($AN$8-$AL$8),$AL$8+SQRT(AW495*($AN$8-$AL$8)*($AM$8-$AL$8)),$AN$8-SQRT((1-AW495)*($AN$8-$AL$8)*($AN$8-$AM$8))),$AM$8)</f>
        <v/>
      </c>
      <c r="AO495">
        <f>IFERROR(IF(AX495&lt;($AM$9-$AL$9)/($AN$9-$AL$9),$AL$9+SQRT(AX495*($AN$9-$AL$9)*($AM$9-$AL$9)),$AN$9-SQRT((1-AX495)*($AN$9-$AL$9)*($AN$9-$AM$9))),$AM$9)</f>
        <v/>
      </c>
      <c r="AP495">
        <f>IFERROR(IF(AY495&lt;($AM$10-$AL$10)/($AN$10-$AL$10),$AL$10+SQRT(AY495*($AN$10-$AL$10)*($AM$10-$AL$10)),$AN$10-SQRT((1-AY495)*($AN$10-$AL$10)*($AN$10-$AM$10))),$AM$10)</f>
        <v/>
      </c>
      <c r="AQ495">
        <f>IFERROR(IF(AZ495&lt;($AM$11-$AL$11)/($AN$11-$AL$11),$AL$11+SQRT(AZ495*($AN$11-$AL$11)*($AM$11-$AL$11)),$AN$11-SQRT((1-AZ495)*($AN$11-$AL$11)*($AN$11-$AM$11))),$AM$11)</f>
        <v/>
      </c>
      <c r="AR495">
        <f>SUMPRODUCT((B24:B31&lt;=$B$6)*(C24:C31*AM495+D24:D31*AO495*$B$8*AQ495)/(1+AL495/100)^B24:B31)+C32*AM495*AP495/(1+AL495/100)^$B$6</f>
        <v/>
      </c>
      <c r="AS495">
        <f>SUMPRODUCT((K24:K26&lt;=$B$6)*(L24:L26*AN495+M24:M26*AO495*$B$8*AQ495)/(1+AL495/100)^K24:K26)+L27*AN495*AP495/(1+AL495/100)^$B$6</f>
        <v/>
      </c>
      <c r="AT495">
        <f>AS495-AR495</f>
        <v/>
      </c>
      <c r="AU495">
        <f>RAND()</f>
        <v/>
      </c>
      <c r="AV495">
        <f>RAND()</f>
        <v/>
      </c>
      <c r="AW495">
        <f>RAND()</f>
        <v/>
      </c>
      <c r="AX495">
        <f>RAND()</f>
        <v/>
      </c>
      <c r="AY495">
        <f>RAND()</f>
        <v/>
      </c>
      <c r="AZ495">
        <f>RAND()</f>
        <v/>
      </c>
    </row>
    <row r="496">
      <c r="AK496" t="n">
        <v>483</v>
      </c>
      <c r="AL496">
        <f>IFERROR(IF(AU496&lt;($AM$6-$AL$6)/($AN$6-$AL$6),$AL$6+SQRT(AU496*($AN$6-$AL$6)*($AM$6-$AL$6)),$AN$6-SQRT((1-AU496)*($AN$6-$AL$6)*($AN$6-$AM$6))),$AM$6)</f>
        <v/>
      </c>
      <c r="AM496">
        <f>IFERROR(IF(AV496&lt;($AM$7-$AL$7)/($AN$7-$AL$7),$AL$7+SQRT(AV496*($AN$7-$AL$7)*($AM$7-$AL$7)),$AN$7-SQRT((1-AV496)*($AN$7-$AL$7)*($AN$7-$AM$7))),$AM$7)</f>
        <v/>
      </c>
      <c r="AN496">
        <f>IFERROR(IF(AW496&lt;($AM$8-$AL$8)/($AN$8-$AL$8),$AL$8+SQRT(AW496*($AN$8-$AL$8)*($AM$8-$AL$8)),$AN$8-SQRT((1-AW496)*($AN$8-$AL$8)*($AN$8-$AM$8))),$AM$8)</f>
        <v/>
      </c>
      <c r="AO496">
        <f>IFERROR(IF(AX496&lt;($AM$9-$AL$9)/($AN$9-$AL$9),$AL$9+SQRT(AX496*($AN$9-$AL$9)*($AM$9-$AL$9)),$AN$9-SQRT((1-AX496)*($AN$9-$AL$9)*($AN$9-$AM$9))),$AM$9)</f>
        <v/>
      </c>
      <c r="AP496">
        <f>IFERROR(IF(AY496&lt;($AM$10-$AL$10)/($AN$10-$AL$10),$AL$10+SQRT(AY496*($AN$10-$AL$10)*($AM$10-$AL$10)),$AN$10-SQRT((1-AY496)*($AN$10-$AL$10)*($AN$10-$AM$10))),$AM$10)</f>
        <v/>
      </c>
      <c r="AQ496">
        <f>IFERROR(IF(AZ496&lt;($AM$11-$AL$11)/($AN$11-$AL$11),$AL$11+SQRT(AZ496*($AN$11-$AL$11)*($AM$11-$AL$11)),$AN$11-SQRT((1-AZ496)*($AN$11-$AL$11)*($AN$11-$AM$11))),$AM$11)</f>
        <v/>
      </c>
      <c r="AR496">
        <f>SUMPRODUCT((B24:B31&lt;=$B$6)*(C24:C31*AM496+D24:D31*AO496*$B$8*AQ496)/(1+AL496/100)^B24:B31)+C32*AM496*AP496/(1+AL496/100)^$B$6</f>
        <v/>
      </c>
      <c r="AS496">
        <f>SUMPRODUCT((K24:K26&lt;=$B$6)*(L24:L26*AN496+M24:M26*AO496*$B$8*AQ496)/(1+AL496/100)^K24:K26)+L27*AN496*AP496/(1+AL496/100)^$B$6</f>
        <v/>
      </c>
      <c r="AT496">
        <f>AS496-AR496</f>
        <v/>
      </c>
      <c r="AU496">
        <f>RAND()</f>
        <v/>
      </c>
      <c r="AV496">
        <f>RAND()</f>
        <v/>
      </c>
      <c r="AW496">
        <f>RAND()</f>
        <v/>
      </c>
      <c r="AX496">
        <f>RAND()</f>
        <v/>
      </c>
      <c r="AY496">
        <f>RAND()</f>
        <v/>
      </c>
      <c r="AZ496">
        <f>RAND()</f>
        <v/>
      </c>
    </row>
    <row r="497">
      <c r="AK497" t="n">
        <v>484</v>
      </c>
      <c r="AL497">
        <f>IFERROR(IF(AU497&lt;($AM$6-$AL$6)/($AN$6-$AL$6),$AL$6+SQRT(AU497*($AN$6-$AL$6)*($AM$6-$AL$6)),$AN$6-SQRT((1-AU497)*($AN$6-$AL$6)*($AN$6-$AM$6))),$AM$6)</f>
        <v/>
      </c>
      <c r="AM497">
        <f>IFERROR(IF(AV497&lt;($AM$7-$AL$7)/($AN$7-$AL$7),$AL$7+SQRT(AV497*($AN$7-$AL$7)*($AM$7-$AL$7)),$AN$7-SQRT((1-AV497)*($AN$7-$AL$7)*($AN$7-$AM$7))),$AM$7)</f>
        <v/>
      </c>
      <c r="AN497">
        <f>IFERROR(IF(AW497&lt;($AM$8-$AL$8)/($AN$8-$AL$8),$AL$8+SQRT(AW497*($AN$8-$AL$8)*($AM$8-$AL$8)),$AN$8-SQRT((1-AW497)*($AN$8-$AL$8)*($AN$8-$AM$8))),$AM$8)</f>
        <v/>
      </c>
      <c r="AO497">
        <f>IFERROR(IF(AX497&lt;($AM$9-$AL$9)/($AN$9-$AL$9),$AL$9+SQRT(AX497*($AN$9-$AL$9)*($AM$9-$AL$9)),$AN$9-SQRT((1-AX497)*($AN$9-$AL$9)*($AN$9-$AM$9))),$AM$9)</f>
        <v/>
      </c>
      <c r="AP497">
        <f>IFERROR(IF(AY497&lt;($AM$10-$AL$10)/($AN$10-$AL$10),$AL$10+SQRT(AY497*($AN$10-$AL$10)*($AM$10-$AL$10)),$AN$10-SQRT((1-AY497)*($AN$10-$AL$10)*($AN$10-$AM$10))),$AM$10)</f>
        <v/>
      </c>
      <c r="AQ497">
        <f>IFERROR(IF(AZ497&lt;($AM$11-$AL$11)/($AN$11-$AL$11),$AL$11+SQRT(AZ497*($AN$11-$AL$11)*($AM$11-$AL$11)),$AN$11-SQRT((1-AZ497)*($AN$11-$AL$11)*($AN$11-$AM$11))),$AM$11)</f>
        <v/>
      </c>
      <c r="AR497">
        <f>SUMPRODUCT((B24:B31&lt;=$B$6)*(C24:C31*AM497+D24:D31*AO497*$B$8*AQ497)/(1+AL497/100)^B24:B31)+C32*AM497*AP497/(1+AL497/100)^$B$6</f>
        <v/>
      </c>
      <c r="AS497">
        <f>SUMPRODUCT((K24:K26&lt;=$B$6)*(L24:L26*AN497+M24:M26*AO497*$B$8*AQ497)/(1+AL497/100)^K24:K26)+L27*AN497*AP497/(1+AL497/100)^$B$6</f>
        <v/>
      </c>
      <c r="AT497">
        <f>AS497-AR497</f>
        <v/>
      </c>
      <c r="AU497">
        <f>RAND()</f>
        <v/>
      </c>
      <c r="AV497">
        <f>RAND()</f>
        <v/>
      </c>
      <c r="AW497">
        <f>RAND()</f>
        <v/>
      </c>
      <c r="AX497">
        <f>RAND()</f>
        <v/>
      </c>
      <c r="AY497">
        <f>RAND()</f>
        <v/>
      </c>
      <c r="AZ497">
        <f>RAND()</f>
        <v/>
      </c>
    </row>
    <row r="498">
      <c r="AK498" t="n">
        <v>485</v>
      </c>
      <c r="AL498">
        <f>IFERROR(IF(AU498&lt;($AM$6-$AL$6)/($AN$6-$AL$6),$AL$6+SQRT(AU498*($AN$6-$AL$6)*($AM$6-$AL$6)),$AN$6-SQRT((1-AU498)*($AN$6-$AL$6)*($AN$6-$AM$6))),$AM$6)</f>
        <v/>
      </c>
      <c r="AM498">
        <f>IFERROR(IF(AV498&lt;($AM$7-$AL$7)/($AN$7-$AL$7),$AL$7+SQRT(AV498*($AN$7-$AL$7)*($AM$7-$AL$7)),$AN$7-SQRT((1-AV498)*($AN$7-$AL$7)*($AN$7-$AM$7))),$AM$7)</f>
        <v/>
      </c>
      <c r="AN498">
        <f>IFERROR(IF(AW498&lt;($AM$8-$AL$8)/($AN$8-$AL$8),$AL$8+SQRT(AW498*($AN$8-$AL$8)*($AM$8-$AL$8)),$AN$8-SQRT((1-AW498)*($AN$8-$AL$8)*($AN$8-$AM$8))),$AM$8)</f>
        <v/>
      </c>
      <c r="AO498">
        <f>IFERROR(IF(AX498&lt;($AM$9-$AL$9)/($AN$9-$AL$9),$AL$9+SQRT(AX498*($AN$9-$AL$9)*($AM$9-$AL$9)),$AN$9-SQRT((1-AX498)*($AN$9-$AL$9)*($AN$9-$AM$9))),$AM$9)</f>
        <v/>
      </c>
      <c r="AP498">
        <f>IFERROR(IF(AY498&lt;($AM$10-$AL$10)/($AN$10-$AL$10),$AL$10+SQRT(AY498*($AN$10-$AL$10)*($AM$10-$AL$10)),$AN$10-SQRT((1-AY498)*($AN$10-$AL$10)*($AN$10-$AM$10))),$AM$10)</f>
        <v/>
      </c>
      <c r="AQ498">
        <f>IFERROR(IF(AZ498&lt;($AM$11-$AL$11)/($AN$11-$AL$11),$AL$11+SQRT(AZ498*($AN$11-$AL$11)*($AM$11-$AL$11)),$AN$11-SQRT((1-AZ498)*($AN$11-$AL$11)*($AN$11-$AM$11))),$AM$11)</f>
        <v/>
      </c>
      <c r="AR498">
        <f>SUMPRODUCT((B24:B31&lt;=$B$6)*(C24:C31*AM498+D24:D31*AO498*$B$8*AQ498)/(1+AL498/100)^B24:B31)+C32*AM498*AP498/(1+AL498/100)^$B$6</f>
        <v/>
      </c>
      <c r="AS498">
        <f>SUMPRODUCT((K24:K26&lt;=$B$6)*(L24:L26*AN498+M24:M26*AO498*$B$8*AQ498)/(1+AL498/100)^K24:K26)+L27*AN498*AP498/(1+AL498/100)^$B$6</f>
        <v/>
      </c>
      <c r="AT498">
        <f>AS498-AR498</f>
        <v/>
      </c>
      <c r="AU498">
        <f>RAND()</f>
        <v/>
      </c>
      <c r="AV498">
        <f>RAND()</f>
        <v/>
      </c>
      <c r="AW498">
        <f>RAND()</f>
        <v/>
      </c>
      <c r="AX498">
        <f>RAND()</f>
        <v/>
      </c>
      <c r="AY498">
        <f>RAND()</f>
        <v/>
      </c>
      <c r="AZ498">
        <f>RAND()</f>
        <v/>
      </c>
    </row>
    <row r="499">
      <c r="AK499" t="n">
        <v>486</v>
      </c>
      <c r="AL499">
        <f>IFERROR(IF(AU499&lt;($AM$6-$AL$6)/($AN$6-$AL$6),$AL$6+SQRT(AU499*($AN$6-$AL$6)*($AM$6-$AL$6)),$AN$6-SQRT((1-AU499)*($AN$6-$AL$6)*($AN$6-$AM$6))),$AM$6)</f>
        <v/>
      </c>
      <c r="AM499">
        <f>IFERROR(IF(AV499&lt;($AM$7-$AL$7)/($AN$7-$AL$7),$AL$7+SQRT(AV499*($AN$7-$AL$7)*($AM$7-$AL$7)),$AN$7-SQRT((1-AV499)*($AN$7-$AL$7)*($AN$7-$AM$7))),$AM$7)</f>
        <v/>
      </c>
      <c r="AN499">
        <f>IFERROR(IF(AW499&lt;($AM$8-$AL$8)/($AN$8-$AL$8),$AL$8+SQRT(AW499*($AN$8-$AL$8)*($AM$8-$AL$8)),$AN$8-SQRT((1-AW499)*($AN$8-$AL$8)*($AN$8-$AM$8))),$AM$8)</f>
        <v/>
      </c>
      <c r="AO499">
        <f>IFERROR(IF(AX499&lt;($AM$9-$AL$9)/($AN$9-$AL$9),$AL$9+SQRT(AX499*($AN$9-$AL$9)*($AM$9-$AL$9)),$AN$9-SQRT((1-AX499)*($AN$9-$AL$9)*($AN$9-$AM$9))),$AM$9)</f>
        <v/>
      </c>
      <c r="AP499">
        <f>IFERROR(IF(AY499&lt;($AM$10-$AL$10)/($AN$10-$AL$10),$AL$10+SQRT(AY499*($AN$10-$AL$10)*($AM$10-$AL$10)),$AN$10-SQRT((1-AY499)*($AN$10-$AL$10)*($AN$10-$AM$10))),$AM$10)</f>
        <v/>
      </c>
      <c r="AQ499">
        <f>IFERROR(IF(AZ499&lt;($AM$11-$AL$11)/($AN$11-$AL$11),$AL$11+SQRT(AZ499*($AN$11-$AL$11)*($AM$11-$AL$11)),$AN$11-SQRT((1-AZ499)*($AN$11-$AL$11)*($AN$11-$AM$11))),$AM$11)</f>
        <v/>
      </c>
      <c r="AR499">
        <f>SUMPRODUCT((B24:B31&lt;=$B$6)*(C24:C31*AM499+D24:D31*AO499*$B$8*AQ499)/(1+AL499/100)^B24:B31)+C32*AM499*AP499/(1+AL499/100)^$B$6</f>
        <v/>
      </c>
      <c r="AS499">
        <f>SUMPRODUCT((K24:K26&lt;=$B$6)*(L24:L26*AN499+M24:M26*AO499*$B$8*AQ499)/(1+AL499/100)^K24:K26)+L27*AN499*AP499/(1+AL499/100)^$B$6</f>
        <v/>
      </c>
      <c r="AT499">
        <f>AS499-AR499</f>
        <v/>
      </c>
      <c r="AU499">
        <f>RAND()</f>
        <v/>
      </c>
      <c r="AV499">
        <f>RAND()</f>
        <v/>
      </c>
      <c r="AW499">
        <f>RAND()</f>
        <v/>
      </c>
      <c r="AX499">
        <f>RAND()</f>
        <v/>
      </c>
      <c r="AY499">
        <f>RAND()</f>
        <v/>
      </c>
      <c r="AZ499">
        <f>RAND()</f>
        <v/>
      </c>
    </row>
    <row r="500">
      <c r="AK500" t="n">
        <v>487</v>
      </c>
      <c r="AL500">
        <f>IFERROR(IF(AU500&lt;($AM$6-$AL$6)/($AN$6-$AL$6),$AL$6+SQRT(AU500*($AN$6-$AL$6)*($AM$6-$AL$6)),$AN$6-SQRT((1-AU500)*($AN$6-$AL$6)*($AN$6-$AM$6))),$AM$6)</f>
        <v/>
      </c>
      <c r="AM500">
        <f>IFERROR(IF(AV500&lt;($AM$7-$AL$7)/($AN$7-$AL$7),$AL$7+SQRT(AV500*($AN$7-$AL$7)*($AM$7-$AL$7)),$AN$7-SQRT((1-AV500)*($AN$7-$AL$7)*($AN$7-$AM$7))),$AM$7)</f>
        <v/>
      </c>
      <c r="AN500">
        <f>IFERROR(IF(AW500&lt;($AM$8-$AL$8)/($AN$8-$AL$8),$AL$8+SQRT(AW500*($AN$8-$AL$8)*($AM$8-$AL$8)),$AN$8-SQRT((1-AW500)*($AN$8-$AL$8)*($AN$8-$AM$8))),$AM$8)</f>
        <v/>
      </c>
      <c r="AO500">
        <f>IFERROR(IF(AX500&lt;($AM$9-$AL$9)/($AN$9-$AL$9),$AL$9+SQRT(AX500*($AN$9-$AL$9)*($AM$9-$AL$9)),$AN$9-SQRT((1-AX500)*($AN$9-$AL$9)*($AN$9-$AM$9))),$AM$9)</f>
        <v/>
      </c>
      <c r="AP500">
        <f>IFERROR(IF(AY500&lt;($AM$10-$AL$10)/($AN$10-$AL$10),$AL$10+SQRT(AY500*($AN$10-$AL$10)*($AM$10-$AL$10)),$AN$10-SQRT((1-AY500)*($AN$10-$AL$10)*($AN$10-$AM$10))),$AM$10)</f>
        <v/>
      </c>
      <c r="AQ500">
        <f>IFERROR(IF(AZ500&lt;($AM$11-$AL$11)/($AN$11-$AL$11),$AL$11+SQRT(AZ500*($AN$11-$AL$11)*($AM$11-$AL$11)),$AN$11-SQRT((1-AZ500)*($AN$11-$AL$11)*($AN$11-$AM$11))),$AM$11)</f>
        <v/>
      </c>
      <c r="AR500">
        <f>SUMPRODUCT((B24:B31&lt;=$B$6)*(C24:C31*AM500+D24:D31*AO500*$B$8*AQ500)/(1+AL500/100)^B24:B31)+C32*AM500*AP500/(1+AL500/100)^$B$6</f>
        <v/>
      </c>
      <c r="AS500">
        <f>SUMPRODUCT((K24:K26&lt;=$B$6)*(L24:L26*AN500+M24:M26*AO500*$B$8*AQ500)/(1+AL500/100)^K24:K26)+L27*AN500*AP500/(1+AL500/100)^$B$6</f>
        <v/>
      </c>
      <c r="AT500">
        <f>AS500-AR500</f>
        <v/>
      </c>
      <c r="AU500">
        <f>RAND()</f>
        <v/>
      </c>
      <c r="AV500">
        <f>RAND()</f>
        <v/>
      </c>
      <c r="AW500">
        <f>RAND()</f>
        <v/>
      </c>
      <c r="AX500">
        <f>RAND()</f>
        <v/>
      </c>
      <c r="AY500">
        <f>RAND()</f>
        <v/>
      </c>
      <c r="AZ500">
        <f>RAND()</f>
        <v/>
      </c>
    </row>
    <row r="501">
      <c r="AK501" t="n">
        <v>488</v>
      </c>
      <c r="AL501">
        <f>IFERROR(IF(AU501&lt;($AM$6-$AL$6)/($AN$6-$AL$6),$AL$6+SQRT(AU501*($AN$6-$AL$6)*($AM$6-$AL$6)),$AN$6-SQRT((1-AU501)*($AN$6-$AL$6)*($AN$6-$AM$6))),$AM$6)</f>
        <v/>
      </c>
      <c r="AM501">
        <f>IFERROR(IF(AV501&lt;($AM$7-$AL$7)/($AN$7-$AL$7),$AL$7+SQRT(AV501*($AN$7-$AL$7)*($AM$7-$AL$7)),$AN$7-SQRT((1-AV501)*($AN$7-$AL$7)*($AN$7-$AM$7))),$AM$7)</f>
        <v/>
      </c>
      <c r="AN501">
        <f>IFERROR(IF(AW501&lt;($AM$8-$AL$8)/($AN$8-$AL$8),$AL$8+SQRT(AW501*($AN$8-$AL$8)*($AM$8-$AL$8)),$AN$8-SQRT((1-AW501)*($AN$8-$AL$8)*($AN$8-$AM$8))),$AM$8)</f>
        <v/>
      </c>
      <c r="AO501">
        <f>IFERROR(IF(AX501&lt;($AM$9-$AL$9)/($AN$9-$AL$9),$AL$9+SQRT(AX501*($AN$9-$AL$9)*($AM$9-$AL$9)),$AN$9-SQRT((1-AX501)*($AN$9-$AL$9)*($AN$9-$AM$9))),$AM$9)</f>
        <v/>
      </c>
      <c r="AP501">
        <f>IFERROR(IF(AY501&lt;($AM$10-$AL$10)/($AN$10-$AL$10),$AL$10+SQRT(AY501*($AN$10-$AL$10)*($AM$10-$AL$10)),$AN$10-SQRT((1-AY501)*($AN$10-$AL$10)*($AN$10-$AM$10))),$AM$10)</f>
        <v/>
      </c>
      <c r="AQ501">
        <f>IFERROR(IF(AZ501&lt;($AM$11-$AL$11)/($AN$11-$AL$11),$AL$11+SQRT(AZ501*($AN$11-$AL$11)*($AM$11-$AL$11)),$AN$11-SQRT((1-AZ501)*($AN$11-$AL$11)*($AN$11-$AM$11))),$AM$11)</f>
        <v/>
      </c>
      <c r="AR501">
        <f>SUMPRODUCT((B24:B31&lt;=$B$6)*(C24:C31*AM501+D24:D31*AO501*$B$8*AQ501)/(1+AL501/100)^B24:B31)+C32*AM501*AP501/(1+AL501/100)^$B$6</f>
        <v/>
      </c>
      <c r="AS501">
        <f>SUMPRODUCT((K24:K26&lt;=$B$6)*(L24:L26*AN501+M24:M26*AO501*$B$8*AQ501)/(1+AL501/100)^K24:K26)+L27*AN501*AP501/(1+AL501/100)^$B$6</f>
        <v/>
      </c>
      <c r="AT501">
        <f>AS501-AR501</f>
        <v/>
      </c>
      <c r="AU501">
        <f>RAND()</f>
        <v/>
      </c>
      <c r="AV501">
        <f>RAND()</f>
        <v/>
      </c>
      <c r="AW501">
        <f>RAND()</f>
        <v/>
      </c>
      <c r="AX501">
        <f>RAND()</f>
        <v/>
      </c>
      <c r="AY501">
        <f>RAND()</f>
        <v/>
      </c>
      <c r="AZ501">
        <f>RAND()</f>
        <v/>
      </c>
    </row>
    <row r="502">
      <c r="AK502" t="n">
        <v>489</v>
      </c>
      <c r="AL502">
        <f>IFERROR(IF(AU502&lt;($AM$6-$AL$6)/($AN$6-$AL$6),$AL$6+SQRT(AU502*($AN$6-$AL$6)*($AM$6-$AL$6)),$AN$6-SQRT((1-AU502)*($AN$6-$AL$6)*($AN$6-$AM$6))),$AM$6)</f>
        <v/>
      </c>
      <c r="AM502">
        <f>IFERROR(IF(AV502&lt;($AM$7-$AL$7)/($AN$7-$AL$7),$AL$7+SQRT(AV502*($AN$7-$AL$7)*($AM$7-$AL$7)),$AN$7-SQRT((1-AV502)*($AN$7-$AL$7)*($AN$7-$AM$7))),$AM$7)</f>
        <v/>
      </c>
      <c r="AN502">
        <f>IFERROR(IF(AW502&lt;($AM$8-$AL$8)/($AN$8-$AL$8),$AL$8+SQRT(AW502*($AN$8-$AL$8)*($AM$8-$AL$8)),$AN$8-SQRT((1-AW502)*($AN$8-$AL$8)*($AN$8-$AM$8))),$AM$8)</f>
        <v/>
      </c>
      <c r="AO502">
        <f>IFERROR(IF(AX502&lt;($AM$9-$AL$9)/($AN$9-$AL$9),$AL$9+SQRT(AX502*($AN$9-$AL$9)*($AM$9-$AL$9)),$AN$9-SQRT((1-AX502)*($AN$9-$AL$9)*($AN$9-$AM$9))),$AM$9)</f>
        <v/>
      </c>
      <c r="AP502">
        <f>IFERROR(IF(AY502&lt;($AM$10-$AL$10)/($AN$10-$AL$10),$AL$10+SQRT(AY502*($AN$10-$AL$10)*($AM$10-$AL$10)),$AN$10-SQRT((1-AY502)*($AN$10-$AL$10)*($AN$10-$AM$10))),$AM$10)</f>
        <v/>
      </c>
      <c r="AQ502">
        <f>IFERROR(IF(AZ502&lt;($AM$11-$AL$11)/($AN$11-$AL$11),$AL$11+SQRT(AZ502*($AN$11-$AL$11)*($AM$11-$AL$11)),$AN$11-SQRT((1-AZ502)*($AN$11-$AL$11)*($AN$11-$AM$11))),$AM$11)</f>
        <v/>
      </c>
      <c r="AR502">
        <f>SUMPRODUCT((B24:B31&lt;=$B$6)*(C24:C31*AM502+D24:D31*AO502*$B$8*AQ502)/(1+AL502/100)^B24:B31)+C32*AM502*AP502/(1+AL502/100)^$B$6</f>
        <v/>
      </c>
      <c r="AS502">
        <f>SUMPRODUCT((K24:K26&lt;=$B$6)*(L24:L26*AN502+M24:M26*AO502*$B$8*AQ502)/(1+AL502/100)^K24:K26)+L27*AN502*AP502/(1+AL502/100)^$B$6</f>
        <v/>
      </c>
      <c r="AT502">
        <f>AS502-AR502</f>
        <v/>
      </c>
      <c r="AU502">
        <f>RAND()</f>
        <v/>
      </c>
      <c r="AV502">
        <f>RAND()</f>
        <v/>
      </c>
      <c r="AW502">
        <f>RAND()</f>
        <v/>
      </c>
      <c r="AX502">
        <f>RAND()</f>
        <v/>
      </c>
      <c r="AY502">
        <f>RAND()</f>
        <v/>
      </c>
      <c r="AZ502">
        <f>RAND()</f>
        <v/>
      </c>
    </row>
    <row r="503">
      <c r="AK503" t="n">
        <v>490</v>
      </c>
      <c r="AL503">
        <f>IFERROR(IF(AU503&lt;($AM$6-$AL$6)/($AN$6-$AL$6),$AL$6+SQRT(AU503*($AN$6-$AL$6)*($AM$6-$AL$6)),$AN$6-SQRT((1-AU503)*($AN$6-$AL$6)*($AN$6-$AM$6))),$AM$6)</f>
        <v/>
      </c>
      <c r="AM503">
        <f>IFERROR(IF(AV503&lt;($AM$7-$AL$7)/($AN$7-$AL$7),$AL$7+SQRT(AV503*($AN$7-$AL$7)*($AM$7-$AL$7)),$AN$7-SQRT((1-AV503)*($AN$7-$AL$7)*($AN$7-$AM$7))),$AM$7)</f>
        <v/>
      </c>
      <c r="AN503">
        <f>IFERROR(IF(AW503&lt;($AM$8-$AL$8)/($AN$8-$AL$8),$AL$8+SQRT(AW503*($AN$8-$AL$8)*($AM$8-$AL$8)),$AN$8-SQRT((1-AW503)*($AN$8-$AL$8)*($AN$8-$AM$8))),$AM$8)</f>
        <v/>
      </c>
      <c r="AO503">
        <f>IFERROR(IF(AX503&lt;($AM$9-$AL$9)/($AN$9-$AL$9),$AL$9+SQRT(AX503*($AN$9-$AL$9)*($AM$9-$AL$9)),$AN$9-SQRT((1-AX503)*($AN$9-$AL$9)*($AN$9-$AM$9))),$AM$9)</f>
        <v/>
      </c>
      <c r="AP503">
        <f>IFERROR(IF(AY503&lt;($AM$10-$AL$10)/($AN$10-$AL$10),$AL$10+SQRT(AY503*($AN$10-$AL$10)*($AM$10-$AL$10)),$AN$10-SQRT((1-AY503)*($AN$10-$AL$10)*($AN$10-$AM$10))),$AM$10)</f>
        <v/>
      </c>
      <c r="AQ503">
        <f>IFERROR(IF(AZ503&lt;($AM$11-$AL$11)/($AN$11-$AL$11),$AL$11+SQRT(AZ503*($AN$11-$AL$11)*($AM$11-$AL$11)),$AN$11-SQRT((1-AZ503)*($AN$11-$AL$11)*($AN$11-$AM$11))),$AM$11)</f>
        <v/>
      </c>
      <c r="AR503">
        <f>SUMPRODUCT((B24:B31&lt;=$B$6)*(C24:C31*AM503+D24:D31*AO503*$B$8*AQ503)/(1+AL503/100)^B24:B31)+C32*AM503*AP503/(1+AL503/100)^$B$6</f>
        <v/>
      </c>
      <c r="AS503">
        <f>SUMPRODUCT((K24:K26&lt;=$B$6)*(L24:L26*AN503+M24:M26*AO503*$B$8*AQ503)/(1+AL503/100)^K24:K26)+L27*AN503*AP503/(1+AL503/100)^$B$6</f>
        <v/>
      </c>
      <c r="AT503">
        <f>AS503-AR503</f>
        <v/>
      </c>
      <c r="AU503">
        <f>RAND()</f>
        <v/>
      </c>
      <c r="AV503">
        <f>RAND()</f>
        <v/>
      </c>
      <c r="AW503">
        <f>RAND()</f>
        <v/>
      </c>
      <c r="AX503">
        <f>RAND()</f>
        <v/>
      </c>
      <c r="AY503">
        <f>RAND()</f>
        <v/>
      </c>
      <c r="AZ503">
        <f>RAND()</f>
        <v/>
      </c>
    </row>
    <row r="504">
      <c r="AK504" t="n">
        <v>491</v>
      </c>
      <c r="AL504">
        <f>IFERROR(IF(AU504&lt;($AM$6-$AL$6)/($AN$6-$AL$6),$AL$6+SQRT(AU504*($AN$6-$AL$6)*($AM$6-$AL$6)),$AN$6-SQRT((1-AU504)*($AN$6-$AL$6)*($AN$6-$AM$6))),$AM$6)</f>
        <v/>
      </c>
      <c r="AM504">
        <f>IFERROR(IF(AV504&lt;($AM$7-$AL$7)/($AN$7-$AL$7),$AL$7+SQRT(AV504*($AN$7-$AL$7)*($AM$7-$AL$7)),$AN$7-SQRT((1-AV504)*($AN$7-$AL$7)*($AN$7-$AM$7))),$AM$7)</f>
        <v/>
      </c>
      <c r="AN504">
        <f>IFERROR(IF(AW504&lt;($AM$8-$AL$8)/($AN$8-$AL$8),$AL$8+SQRT(AW504*($AN$8-$AL$8)*($AM$8-$AL$8)),$AN$8-SQRT((1-AW504)*($AN$8-$AL$8)*($AN$8-$AM$8))),$AM$8)</f>
        <v/>
      </c>
      <c r="AO504">
        <f>IFERROR(IF(AX504&lt;($AM$9-$AL$9)/($AN$9-$AL$9),$AL$9+SQRT(AX504*($AN$9-$AL$9)*($AM$9-$AL$9)),$AN$9-SQRT((1-AX504)*($AN$9-$AL$9)*($AN$9-$AM$9))),$AM$9)</f>
        <v/>
      </c>
      <c r="AP504">
        <f>IFERROR(IF(AY504&lt;($AM$10-$AL$10)/($AN$10-$AL$10),$AL$10+SQRT(AY504*($AN$10-$AL$10)*($AM$10-$AL$10)),$AN$10-SQRT((1-AY504)*($AN$10-$AL$10)*($AN$10-$AM$10))),$AM$10)</f>
        <v/>
      </c>
      <c r="AQ504">
        <f>IFERROR(IF(AZ504&lt;($AM$11-$AL$11)/($AN$11-$AL$11),$AL$11+SQRT(AZ504*($AN$11-$AL$11)*($AM$11-$AL$11)),$AN$11-SQRT((1-AZ504)*($AN$11-$AL$11)*($AN$11-$AM$11))),$AM$11)</f>
        <v/>
      </c>
      <c r="AR504">
        <f>SUMPRODUCT((B24:B31&lt;=$B$6)*(C24:C31*AM504+D24:D31*AO504*$B$8*AQ504)/(1+AL504/100)^B24:B31)+C32*AM504*AP504/(1+AL504/100)^$B$6</f>
        <v/>
      </c>
      <c r="AS504">
        <f>SUMPRODUCT((K24:K26&lt;=$B$6)*(L24:L26*AN504+M24:M26*AO504*$B$8*AQ504)/(1+AL504/100)^K24:K26)+L27*AN504*AP504/(1+AL504/100)^$B$6</f>
        <v/>
      </c>
      <c r="AT504">
        <f>AS504-AR504</f>
        <v/>
      </c>
      <c r="AU504">
        <f>RAND()</f>
        <v/>
      </c>
      <c r="AV504">
        <f>RAND()</f>
        <v/>
      </c>
      <c r="AW504">
        <f>RAND()</f>
        <v/>
      </c>
      <c r="AX504">
        <f>RAND()</f>
        <v/>
      </c>
      <c r="AY504">
        <f>RAND()</f>
        <v/>
      </c>
      <c r="AZ504">
        <f>RAND()</f>
        <v/>
      </c>
    </row>
    <row r="505">
      <c r="AK505" t="n">
        <v>492</v>
      </c>
      <c r="AL505">
        <f>IFERROR(IF(AU505&lt;($AM$6-$AL$6)/($AN$6-$AL$6),$AL$6+SQRT(AU505*($AN$6-$AL$6)*($AM$6-$AL$6)),$AN$6-SQRT((1-AU505)*($AN$6-$AL$6)*($AN$6-$AM$6))),$AM$6)</f>
        <v/>
      </c>
      <c r="AM505">
        <f>IFERROR(IF(AV505&lt;($AM$7-$AL$7)/($AN$7-$AL$7),$AL$7+SQRT(AV505*($AN$7-$AL$7)*($AM$7-$AL$7)),$AN$7-SQRT((1-AV505)*($AN$7-$AL$7)*($AN$7-$AM$7))),$AM$7)</f>
        <v/>
      </c>
      <c r="AN505">
        <f>IFERROR(IF(AW505&lt;($AM$8-$AL$8)/($AN$8-$AL$8),$AL$8+SQRT(AW505*($AN$8-$AL$8)*($AM$8-$AL$8)),$AN$8-SQRT((1-AW505)*($AN$8-$AL$8)*($AN$8-$AM$8))),$AM$8)</f>
        <v/>
      </c>
      <c r="AO505">
        <f>IFERROR(IF(AX505&lt;($AM$9-$AL$9)/($AN$9-$AL$9),$AL$9+SQRT(AX505*($AN$9-$AL$9)*($AM$9-$AL$9)),$AN$9-SQRT((1-AX505)*($AN$9-$AL$9)*($AN$9-$AM$9))),$AM$9)</f>
        <v/>
      </c>
      <c r="AP505">
        <f>IFERROR(IF(AY505&lt;($AM$10-$AL$10)/($AN$10-$AL$10),$AL$10+SQRT(AY505*($AN$10-$AL$10)*($AM$10-$AL$10)),$AN$10-SQRT((1-AY505)*($AN$10-$AL$10)*($AN$10-$AM$10))),$AM$10)</f>
        <v/>
      </c>
      <c r="AQ505">
        <f>IFERROR(IF(AZ505&lt;($AM$11-$AL$11)/($AN$11-$AL$11),$AL$11+SQRT(AZ505*($AN$11-$AL$11)*($AM$11-$AL$11)),$AN$11-SQRT((1-AZ505)*($AN$11-$AL$11)*($AN$11-$AM$11))),$AM$11)</f>
        <v/>
      </c>
      <c r="AR505">
        <f>SUMPRODUCT((B24:B31&lt;=$B$6)*(C24:C31*AM505+D24:D31*AO505*$B$8*AQ505)/(1+AL505/100)^B24:B31)+C32*AM505*AP505/(1+AL505/100)^$B$6</f>
        <v/>
      </c>
      <c r="AS505">
        <f>SUMPRODUCT((K24:K26&lt;=$B$6)*(L24:L26*AN505+M24:M26*AO505*$B$8*AQ505)/(1+AL505/100)^K24:K26)+L27*AN505*AP505/(1+AL505/100)^$B$6</f>
        <v/>
      </c>
      <c r="AT505">
        <f>AS505-AR505</f>
        <v/>
      </c>
      <c r="AU505">
        <f>RAND()</f>
        <v/>
      </c>
      <c r="AV505">
        <f>RAND()</f>
        <v/>
      </c>
      <c r="AW505">
        <f>RAND()</f>
        <v/>
      </c>
      <c r="AX505">
        <f>RAND()</f>
        <v/>
      </c>
      <c r="AY505">
        <f>RAND()</f>
        <v/>
      </c>
      <c r="AZ505">
        <f>RAND()</f>
        <v/>
      </c>
    </row>
    <row r="506">
      <c r="AK506" t="n">
        <v>493</v>
      </c>
      <c r="AL506">
        <f>IFERROR(IF(AU506&lt;($AM$6-$AL$6)/($AN$6-$AL$6),$AL$6+SQRT(AU506*($AN$6-$AL$6)*($AM$6-$AL$6)),$AN$6-SQRT((1-AU506)*($AN$6-$AL$6)*($AN$6-$AM$6))),$AM$6)</f>
        <v/>
      </c>
      <c r="AM506">
        <f>IFERROR(IF(AV506&lt;($AM$7-$AL$7)/($AN$7-$AL$7),$AL$7+SQRT(AV506*($AN$7-$AL$7)*($AM$7-$AL$7)),$AN$7-SQRT((1-AV506)*($AN$7-$AL$7)*($AN$7-$AM$7))),$AM$7)</f>
        <v/>
      </c>
      <c r="AN506">
        <f>IFERROR(IF(AW506&lt;($AM$8-$AL$8)/($AN$8-$AL$8),$AL$8+SQRT(AW506*($AN$8-$AL$8)*($AM$8-$AL$8)),$AN$8-SQRT((1-AW506)*($AN$8-$AL$8)*($AN$8-$AM$8))),$AM$8)</f>
        <v/>
      </c>
      <c r="AO506">
        <f>IFERROR(IF(AX506&lt;($AM$9-$AL$9)/($AN$9-$AL$9),$AL$9+SQRT(AX506*($AN$9-$AL$9)*($AM$9-$AL$9)),$AN$9-SQRT((1-AX506)*($AN$9-$AL$9)*($AN$9-$AM$9))),$AM$9)</f>
        <v/>
      </c>
      <c r="AP506">
        <f>IFERROR(IF(AY506&lt;($AM$10-$AL$10)/($AN$10-$AL$10),$AL$10+SQRT(AY506*($AN$10-$AL$10)*($AM$10-$AL$10)),$AN$10-SQRT((1-AY506)*($AN$10-$AL$10)*($AN$10-$AM$10))),$AM$10)</f>
        <v/>
      </c>
      <c r="AQ506">
        <f>IFERROR(IF(AZ506&lt;($AM$11-$AL$11)/($AN$11-$AL$11),$AL$11+SQRT(AZ506*($AN$11-$AL$11)*($AM$11-$AL$11)),$AN$11-SQRT((1-AZ506)*($AN$11-$AL$11)*($AN$11-$AM$11))),$AM$11)</f>
        <v/>
      </c>
      <c r="AR506">
        <f>SUMPRODUCT((B24:B31&lt;=$B$6)*(C24:C31*AM506+D24:D31*AO506*$B$8*AQ506)/(1+AL506/100)^B24:B31)+C32*AM506*AP506/(1+AL506/100)^$B$6</f>
        <v/>
      </c>
      <c r="AS506">
        <f>SUMPRODUCT((K24:K26&lt;=$B$6)*(L24:L26*AN506+M24:M26*AO506*$B$8*AQ506)/(1+AL506/100)^K24:K26)+L27*AN506*AP506/(1+AL506/100)^$B$6</f>
        <v/>
      </c>
      <c r="AT506">
        <f>AS506-AR506</f>
        <v/>
      </c>
      <c r="AU506">
        <f>RAND()</f>
        <v/>
      </c>
      <c r="AV506">
        <f>RAND()</f>
        <v/>
      </c>
      <c r="AW506">
        <f>RAND()</f>
        <v/>
      </c>
      <c r="AX506">
        <f>RAND()</f>
        <v/>
      </c>
      <c r="AY506">
        <f>RAND()</f>
        <v/>
      </c>
      <c r="AZ506">
        <f>RAND()</f>
        <v/>
      </c>
    </row>
    <row r="507">
      <c r="AK507" t="n">
        <v>494</v>
      </c>
      <c r="AL507">
        <f>IFERROR(IF(AU507&lt;($AM$6-$AL$6)/($AN$6-$AL$6),$AL$6+SQRT(AU507*($AN$6-$AL$6)*($AM$6-$AL$6)),$AN$6-SQRT((1-AU507)*($AN$6-$AL$6)*($AN$6-$AM$6))),$AM$6)</f>
        <v/>
      </c>
      <c r="AM507">
        <f>IFERROR(IF(AV507&lt;($AM$7-$AL$7)/($AN$7-$AL$7),$AL$7+SQRT(AV507*($AN$7-$AL$7)*($AM$7-$AL$7)),$AN$7-SQRT((1-AV507)*($AN$7-$AL$7)*($AN$7-$AM$7))),$AM$7)</f>
        <v/>
      </c>
      <c r="AN507">
        <f>IFERROR(IF(AW507&lt;($AM$8-$AL$8)/($AN$8-$AL$8),$AL$8+SQRT(AW507*($AN$8-$AL$8)*($AM$8-$AL$8)),$AN$8-SQRT((1-AW507)*($AN$8-$AL$8)*($AN$8-$AM$8))),$AM$8)</f>
        <v/>
      </c>
      <c r="AO507">
        <f>IFERROR(IF(AX507&lt;($AM$9-$AL$9)/($AN$9-$AL$9),$AL$9+SQRT(AX507*($AN$9-$AL$9)*($AM$9-$AL$9)),$AN$9-SQRT((1-AX507)*($AN$9-$AL$9)*($AN$9-$AM$9))),$AM$9)</f>
        <v/>
      </c>
      <c r="AP507">
        <f>IFERROR(IF(AY507&lt;($AM$10-$AL$10)/($AN$10-$AL$10),$AL$10+SQRT(AY507*($AN$10-$AL$10)*($AM$10-$AL$10)),$AN$10-SQRT((1-AY507)*($AN$10-$AL$10)*($AN$10-$AM$10))),$AM$10)</f>
        <v/>
      </c>
      <c r="AQ507">
        <f>IFERROR(IF(AZ507&lt;($AM$11-$AL$11)/($AN$11-$AL$11),$AL$11+SQRT(AZ507*($AN$11-$AL$11)*($AM$11-$AL$11)),$AN$11-SQRT((1-AZ507)*($AN$11-$AL$11)*($AN$11-$AM$11))),$AM$11)</f>
        <v/>
      </c>
      <c r="AR507">
        <f>SUMPRODUCT((B24:B31&lt;=$B$6)*(C24:C31*AM507+D24:D31*AO507*$B$8*AQ507)/(1+AL507/100)^B24:B31)+C32*AM507*AP507/(1+AL507/100)^$B$6</f>
        <v/>
      </c>
      <c r="AS507">
        <f>SUMPRODUCT((K24:K26&lt;=$B$6)*(L24:L26*AN507+M24:M26*AO507*$B$8*AQ507)/(1+AL507/100)^K24:K26)+L27*AN507*AP507/(1+AL507/100)^$B$6</f>
        <v/>
      </c>
      <c r="AT507">
        <f>AS507-AR507</f>
        <v/>
      </c>
      <c r="AU507">
        <f>RAND()</f>
        <v/>
      </c>
      <c r="AV507">
        <f>RAND()</f>
        <v/>
      </c>
      <c r="AW507">
        <f>RAND()</f>
        <v/>
      </c>
      <c r="AX507">
        <f>RAND()</f>
        <v/>
      </c>
      <c r="AY507">
        <f>RAND()</f>
        <v/>
      </c>
      <c r="AZ507">
        <f>RAND()</f>
        <v/>
      </c>
    </row>
    <row r="508">
      <c r="AK508" t="n">
        <v>495</v>
      </c>
      <c r="AL508">
        <f>IFERROR(IF(AU508&lt;($AM$6-$AL$6)/($AN$6-$AL$6),$AL$6+SQRT(AU508*($AN$6-$AL$6)*($AM$6-$AL$6)),$AN$6-SQRT((1-AU508)*($AN$6-$AL$6)*($AN$6-$AM$6))),$AM$6)</f>
        <v/>
      </c>
      <c r="AM508">
        <f>IFERROR(IF(AV508&lt;($AM$7-$AL$7)/($AN$7-$AL$7),$AL$7+SQRT(AV508*($AN$7-$AL$7)*($AM$7-$AL$7)),$AN$7-SQRT((1-AV508)*($AN$7-$AL$7)*($AN$7-$AM$7))),$AM$7)</f>
        <v/>
      </c>
      <c r="AN508">
        <f>IFERROR(IF(AW508&lt;($AM$8-$AL$8)/($AN$8-$AL$8),$AL$8+SQRT(AW508*($AN$8-$AL$8)*($AM$8-$AL$8)),$AN$8-SQRT((1-AW508)*($AN$8-$AL$8)*($AN$8-$AM$8))),$AM$8)</f>
        <v/>
      </c>
      <c r="AO508">
        <f>IFERROR(IF(AX508&lt;($AM$9-$AL$9)/($AN$9-$AL$9),$AL$9+SQRT(AX508*($AN$9-$AL$9)*($AM$9-$AL$9)),$AN$9-SQRT((1-AX508)*($AN$9-$AL$9)*($AN$9-$AM$9))),$AM$9)</f>
        <v/>
      </c>
      <c r="AP508">
        <f>IFERROR(IF(AY508&lt;($AM$10-$AL$10)/($AN$10-$AL$10),$AL$10+SQRT(AY508*($AN$10-$AL$10)*($AM$10-$AL$10)),$AN$10-SQRT((1-AY508)*($AN$10-$AL$10)*($AN$10-$AM$10))),$AM$10)</f>
        <v/>
      </c>
      <c r="AQ508">
        <f>IFERROR(IF(AZ508&lt;($AM$11-$AL$11)/($AN$11-$AL$11),$AL$11+SQRT(AZ508*($AN$11-$AL$11)*($AM$11-$AL$11)),$AN$11-SQRT((1-AZ508)*($AN$11-$AL$11)*($AN$11-$AM$11))),$AM$11)</f>
        <v/>
      </c>
      <c r="AR508">
        <f>SUMPRODUCT((B24:B31&lt;=$B$6)*(C24:C31*AM508+D24:D31*AO508*$B$8*AQ508)/(1+AL508/100)^B24:B31)+C32*AM508*AP508/(1+AL508/100)^$B$6</f>
        <v/>
      </c>
      <c r="AS508">
        <f>SUMPRODUCT((K24:K26&lt;=$B$6)*(L24:L26*AN508+M24:M26*AO508*$B$8*AQ508)/(1+AL508/100)^K24:K26)+L27*AN508*AP508/(1+AL508/100)^$B$6</f>
        <v/>
      </c>
      <c r="AT508">
        <f>AS508-AR508</f>
        <v/>
      </c>
      <c r="AU508">
        <f>RAND()</f>
        <v/>
      </c>
      <c r="AV508">
        <f>RAND()</f>
        <v/>
      </c>
      <c r="AW508">
        <f>RAND()</f>
        <v/>
      </c>
      <c r="AX508">
        <f>RAND()</f>
        <v/>
      </c>
      <c r="AY508">
        <f>RAND()</f>
        <v/>
      </c>
      <c r="AZ508">
        <f>RAND()</f>
        <v/>
      </c>
    </row>
    <row r="509">
      <c r="AK509" t="n">
        <v>496</v>
      </c>
      <c r="AL509">
        <f>IFERROR(IF(AU509&lt;($AM$6-$AL$6)/($AN$6-$AL$6),$AL$6+SQRT(AU509*($AN$6-$AL$6)*($AM$6-$AL$6)),$AN$6-SQRT((1-AU509)*($AN$6-$AL$6)*($AN$6-$AM$6))),$AM$6)</f>
        <v/>
      </c>
      <c r="AM509">
        <f>IFERROR(IF(AV509&lt;($AM$7-$AL$7)/($AN$7-$AL$7),$AL$7+SQRT(AV509*($AN$7-$AL$7)*($AM$7-$AL$7)),$AN$7-SQRT((1-AV509)*($AN$7-$AL$7)*($AN$7-$AM$7))),$AM$7)</f>
        <v/>
      </c>
      <c r="AN509">
        <f>IFERROR(IF(AW509&lt;($AM$8-$AL$8)/($AN$8-$AL$8),$AL$8+SQRT(AW509*($AN$8-$AL$8)*($AM$8-$AL$8)),$AN$8-SQRT((1-AW509)*($AN$8-$AL$8)*($AN$8-$AM$8))),$AM$8)</f>
        <v/>
      </c>
      <c r="AO509">
        <f>IFERROR(IF(AX509&lt;($AM$9-$AL$9)/($AN$9-$AL$9),$AL$9+SQRT(AX509*($AN$9-$AL$9)*($AM$9-$AL$9)),$AN$9-SQRT((1-AX509)*($AN$9-$AL$9)*($AN$9-$AM$9))),$AM$9)</f>
        <v/>
      </c>
      <c r="AP509">
        <f>IFERROR(IF(AY509&lt;($AM$10-$AL$10)/($AN$10-$AL$10),$AL$10+SQRT(AY509*($AN$10-$AL$10)*($AM$10-$AL$10)),$AN$10-SQRT((1-AY509)*($AN$10-$AL$10)*($AN$10-$AM$10))),$AM$10)</f>
        <v/>
      </c>
      <c r="AQ509">
        <f>IFERROR(IF(AZ509&lt;($AM$11-$AL$11)/($AN$11-$AL$11),$AL$11+SQRT(AZ509*($AN$11-$AL$11)*($AM$11-$AL$11)),$AN$11-SQRT((1-AZ509)*($AN$11-$AL$11)*($AN$11-$AM$11))),$AM$11)</f>
        <v/>
      </c>
      <c r="AR509">
        <f>SUMPRODUCT((B24:B31&lt;=$B$6)*(C24:C31*AM509+D24:D31*AO509*$B$8*AQ509)/(1+AL509/100)^B24:B31)+C32*AM509*AP509/(1+AL509/100)^$B$6</f>
        <v/>
      </c>
      <c r="AS509">
        <f>SUMPRODUCT((K24:K26&lt;=$B$6)*(L24:L26*AN509+M24:M26*AO509*$B$8*AQ509)/(1+AL509/100)^K24:K26)+L27*AN509*AP509/(1+AL509/100)^$B$6</f>
        <v/>
      </c>
      <c r="AT509">
        <f>AS509-AR509</f>
        <v/>
      </c>
      <c r="AU509">
        <f>RAND()</f>
        <v/>
      </c>
      <c r="AV509">
        <f>RAND()</f>
        <v/>
      </c>
      <c r="AW509">
        <f>RAND()</f>
        <v/>
      </c>
      <c r="AX509">
        <f>RAND()</f>
        <v/>
      </c>
      <c r="AY509">
        <f>RAND()</f>
        <v/>
      </c>
      <c r="AZ509">
        <f>RAND()</f>
        <v/>
      </c>
    </row>
    <row r="510">
      <c r="AK510" t="n">
        <v>497</v>
      </c>
      <c r="AL510">
        <f>IFERROR(IF(AU510&lt;($AM$6-$AL$6)/($AN$6-$AL$6),$AL$6+SQRT(AU510*($AN$6-$AL$6)*($AM$6-$AL$6)),$AN$6-SQRT((1-AU510)*($AN$6-$AL$6)*($AN$6-$AM$6))),$AM$6)</f>
        <v/>
      </c>
      <c r="AM510">
        <f>IFERROR(IF(AV510&lt;($AM$7-$AL$7)/($AN$7-$AL$7),$AL$7+SQRT(AV510*($AN$7-$AL$7)*($AM$7-$AL$7)),$AN$7-SQRT((1-AV510)*($AN$7-$AL$7)*($AN$7-$AM$7))),$AM$7)</f>
        <v/>
      </c>
      <c r="AN510">
        <f>IFERROR(IF(AW510&lt;($AM$8-$AL$8)/($AN$8-$AL$8),$AL$8+SQRT(AW510*($AN$8-$AL$8)*($AM$8-$AL$8)),$AN$8-SQRT((1-AW510)*($AN$8-$AL$8)*($AN$8-$AM$8))),$AM$8)</f>
        <v/>
      </c>
      <c r="AO510">
        <f>IFERROR(IF(AX510&lt;($AM$9-$AL$9)/($AN$9-$AL$9),$AL$9+SQRT(AX510*($AN$9-$AL$9)*($AM$9-$AL$9)),$AN$9-SQRT((1-AX510)*($AN$9-$AL$9)*($AN$9-$AM$9))),$AM$9)</f>
        <v/>
      </c>
      <c r="AP510">
        <f>IFERROR(IF(AY510&lt;($AM$10-$AL$10)/($AN$10-$AL$10),$AL$10+SQRT(AY510*($AN$10-$AL$10)*($AM$10-$AL$10)),$AN$10-SQRT((1-AY510)*($AN$10-$AL$10)*($AN$10-$AM$10))),$AM$10)</f>
        <v/>
      </c>
      <c r="AQ510">
        <f>IFERROR(IF(AZ510&lt;($AM$11-$AL$11)/($AN$11-$AL$11),$AL$11+SQRT(AZ510*($AN$11-$AL$11)*($AM$11-$AL$11)),$AN$11-SQRT((1-AZ510)*($AN$11-$AL$11)*($AN$11-$AM$11))),$AM$11)</f>
        <v/>
      </c>
      <c r="AR510">
        <f>SUMPRODUCT((B24:B31&lt;=$B$6)*(C24:C31*AM510+D24:D31*AO510*$B$8*AQ510)/(1+AL510/100)^B24:B31)+C32*AM510*AP510/(1+AL510/100)^$B$6</f>
        <v/>
      </c>
      <c r="AS510">
        <f>SUMPRODUCT((K24:K26&lt;=$B$6)*(L24:L26*AN510+M24:M26*AO510*$B$8*AQ510)/(1+AL510/100)^K24:K26)+L27*AN510*AP510/(1+AL510/100)^$B$6</f>
        <v/>
      </c>
      <c r="AT510">
        <f>AS510-AR510</f>
        <v/>
      </c>
      <c r="AU510">
        <f>RAND()</f>
        <v/>
      </c>
      <c r="AV510">
        <f>RAND()</f>
        <v/>
      </c>
      <c r="AW510">
        <f>RAND()</f>
        <v/>
      </c>
      <c r="AX510">
        <f>RAND()</f>
        <v/>
      </c>
      <c r="AY510">
        <f>RAND()</f>
        <v/>
      </c>
      <c r="AZ510">
        <f>RAND()</f>
        <v/>
      </c>
    </row>
    <row r="511">
      <c r="AK511" t="n">
        <v>498</v>
      </c>
      <c r="AL511">
        <f>IFERROR(IF(AU511&lt;($AM$6-$AL$6)/($AN$6-$AL$6),$AL$6+SQRT(AU511*($AN$6-$AL$6)*($AM$6-$AL$6)),$AN$6-SQRT((1-AU511)*($AN$6-$AL$6)*($AN$6-$AM$6))),$AM$6)</f>
        <v/>
      </c>
      <c r="AM511">
        <f>IFERROR(IF(AV511&lt;($AM$7-$AL$7)/($AN$7-$AL$7),$AL$7+SQRT(AV511*($AN$7-$AL$7)*($AM$7-$AL$7)),$AN$7-SQRT((1-AV511)*($AN$7-$AL$7)*($AN$7-$AM$7))),$AM$7)</f>
        <v/>
      </c>
      <c r="AN511">
        <f>IFERROR(IF(AW511&lt;($AM$8-$AL$8)/($AN$8-$AL$8),$AL$8+SQRT(AW511*($AN$8-$AL$8)*($AM$8-$AL$8)),$AN$8-SQRT((1-AW511)*($AN$8-$AL$8)*($AN$8-$AM$8))),$AM$8)</f>
        <v/>
      </c>
      <c r="AO511">
        <f>IFERROR(IF(AX511&lt;($AM$9-$AL$9)/($AN$9-$AL$9),$AL$9+SQRT(AX511*($AN$9-$AL$9)*($AM$9-$AL$9)),$AN$9-SQRT((1-AX511)*($AN$9-$AL$9)*($AN$9-$AM$9))),$AM$9)</f>
        <v/>
      </c>
      <c r="AP511">
        <f>IFERROR(IF(AY511&lt;($AM$10-$AL$10)/($AN$10-$AL$10),$AL$10+SQRT(AY511*($AN$10-$AL$10)*($AM$10-$AL$10)),$AN$10-SQRT((1-AY511)*($AN$10-$AL$10)*($AN$10-$AM$10))),$AM$10)</f>
        <v/>
      </c>
      <c r="AQ511">
        <f>IFERROR(IF(AZ511&lt;($AM$11-$AL$11)/($AN$11-$AL$11),$AL$11+SQRT(AZ511*($AN$11-$AL$11)*($AM$11-$AL$11)),$AN$11-SQRT((1-AZ511)*($AN$11-$AL$11)*($AN$11-$AM$11))),$AM$11)</f>
        <v/>
      </c>
      <c r="AR511">
        <f>SUMPRODUCT((B24:B31&lt;=$B$6)*(C24:C31*AM511+D24:D31*AO511*$B$8*AQ511)/(1+AL511/100)^B24:B31)+C32*AM511*AP511/(1+AL511/100)^$B$6</f>
        <v/>
      </c>
      <c r="AS511">
        <f>SUMPRODUCT((K24:K26&lt;=$B$6)*(L24:L26*AN511+M24:M26*AO511*$B$8*AQ511)/(1+AL511/100)^K24:K26)+L27*AN511*AP511/(1+AL511/100)^$B$6</f>
        <v/>
      </c>
      <c r="AT511">
        <f>AS511-AR511</f>
        <v/>
      </c>
      <c r="AU511">
        <f>RAND()</f>
        <v/>
      </c>
      <c r="AV511">
        <f>RAND()</f>
        <v/>
      </c>
      <c r="AW511">
        <f>RAND()</f>
        <v/>
      </c>
      <c r="AX511">
        <f>RAND()</f>
        <v/>
      </c>
      <c r="AY511">
        <f>RAND()</f>
        <v/>
      </c>
      <c r="AZ511">
        <f>RAND()</f>
        <v/>
      </c>
    </row>
    <row r="512">
      <c r="AK512" t="n">
        <v>499</v>
      </c>
      <c r="AL512">
        <f>IFERROR(IF(AU512&lt;($AM$6-$AL$6)/($AN$6-$AL$6),$AL$6+SQRT(AU512*($AN$6-$AL$6)*($AM$6-$AL$6)),$AN$6-SQRT((1-AU512)*($AN$6-$AL$6)*($AN$6-$AM$6))),$AM$6)</f>
        <v/>
      </c>
      <c r="AM512">
        <f>IFERROR(IF(AV512&lt;($AM$7-$AL$7)/($AN$7-$AL$7),$AL$7+SQRT(AV512*($AN$7-$AL$7)*($AM$7-$AL$7)),$AN$7-SQRT((1-AV512)*($AN$7-$AL$7)*($AN$7-$AM$7))),$AM$7)</f>
        <v/>
      </c>
      <c r="AN512">
        <f>IFERROR(IF(AW512&lt;($AM$8-$AL$8)/($AN$8-$AL$8),$AL$8+SQRT(AW512*($AN$8-$AL$8)*($AM$8-$AL$8)),$AN$8-SQRT((1-AW512)*($AN$8-$AL$8)*($AN$8-$AM$8))),$AM$8)</f>
        <v/>
      </c>
      <c r="AO512">
        <f>IFERROR(IF(AX512&lt;($AM$9-$AL$9)/($AN$9-$AL$9),$AL$9+SQRT(AX512*($AN$9-$AL$9)*($AM$9-$AL$9)),$AN$9-SQRT((1-AX512)*($AN$9-$AL$9)*($AN$9-$AM$9))),$AM$9)</f>
        <v/>
      </c>
      <c r="AP512">
        <f>IFERROR(IF(AY512&lt;($AM$10-$AL$10)/($AN$10-$AL$10),$AL$10+SQRT(AY512*($AN$10-$AL$10)*($AM$10-$AL$10)),$AN$10-SQRT((1-AY512)*($AN$10-$AL$10)*($AN$10-$AM$10))),$AM$10)</f>
        <v/>
      </c>
      <c r="AQ512">
        <f>IFERROR(IF(AZ512&lt;($AM$11-$AL$11)/($AN$11-$AL$11),$AL$11+SQRT(AZ512*($AN$11-$AL$11)*($AM$11-$AL$11)),$AN$11-SQRT((1-AZ512)*($AN$11-$AL$11)*($AN$11-$AM$11))),$AM$11)</f>
        <v/>
      </c>
      <c r="AR512">
        <f>SUMPRODUCT((B24:B31&lt;=$B$6)*(C24:C31*AM512+D24:D31*AO512*$B$8*AQ512)/(1+AL512/100)^B24:B31)+C32*AM512*AP512/(1+AL512/100)^$B$6</f>
        <v/>
      </c>
      <c r="AS512">
        <f>SUMPRODUCT((K24:K26&lt;=$B$6)*(L24:L26*AN512+M24:M26*AO512*$B$8*AQ512)/(1+AL512/100)^K24:K26)+L27*AN512*AP512/(1+AL512/100)^$B$6</f>
        <v/>
      </c>
      <c r="AT512">
        <f>AS512-AR512</f>
        <v/>
      </c>
      <c r="AU512">
        <f>RAND()</f>
        <v/>
      </c>
      <c r="AV512">
        <f>RAND()</f>
        <v/>
      </c>
      <c r="AW512">
        <f>RAND()</f>
        <v/>
      </c>
      <c r="AX512">
        <f>RAND()</f>
        <v/>
      </c>
      <c r="AY512">
        <f>RAND()</f>
        <v/>
      </c>
      <c r="AZ512">
        <f>RAND()</f>
        <v/>
      </c>
    </row>
    <row r="513">
      <c r="AK513" t="n">
        <v>500</v>
      </c>
      <c r="AL513">
        <f>IFERROR(IF(AU513&lt;($AM$6-$AL$6)/($AN$6-$AL$6),$AL$6+SQRT(AU513*($AN$6-$AL$6)*($AM$6-$AL$6)),$AN$6-SQRT((1-AU513)*($AN$6-$AL$6)*($AN$6-$AM$6))),$AM$6)</f>
        <v/>
      </c>
      <c r="AM513">
        <f>IFERROR(IF(AV513&lt;($AM$7-$AL$7)/($AN$7-$AL$7),$AL$7+SQRT(AV513*($AN$7-$AL$7)*($AM$7-$AL$7)),$AN$7-SQRT((1-AV513)*($AN$7-$AL$7)*($AN$7-$AM$7))),$AM$7)</f>
        <v/>
      </c>
      <c r="AN513">
        <f>IFERROR(IF(AW513&lt;($AM$8-$AL$8)/($AN$8-$AL$8),$AL$8+SQRT(AW513*($AN$8-$AL$8)*($AM$8-$AL$8)),$AN$8-SQRT((1-AW513)*($AN$8-$AL$8)*($AN$8-$AM$8))),$AM$8)</f>
        <v/>
      </c>
      <c r="AO513">
        <f>IFERROR(IF(AX513&lt;($AM$9-$AL$9)/($AN$9-$AL$9),$AL$9+SQRT(AX513*($AN$9-$AL$9)*($AM$9-$AL$9)),$AN$9-SQRT((1-AX513)*($AN$9-$AL$9)*($AN$9-$AM$9))),$AM$9)</f>
        <v/>
      </c>
      <c r="AP513">
        <f>IFERROR(IF(AY513&lt;($AM$10-$AL$10)/($AN$10-$AL$10),$AL$10+SQRT(AY513*($AN$10-$AL$10)*($AM$10-$AL$10)),$AN$10-SQRT((1-AY513)*($AN$10-$AL$10)*($AN$10-$AM$10))),$AM$10)</f>
        <v/>
      </c>
      <c r="AQ513">
        <f>IFERROR(IF(AZ513&lt;($AM$11-$AL$11)/($AN$11-$AL$11),$AL$11+SQRT(AZ513*($AN$11-$AL$11)*($AM$11-$AL$11)),$AN$11-SQRT((1-AZ513)*($AN$11-$AL$11)*($AN$11-$AM$11))),$AM$11)</f>
        <v/>
      </c>
      <c r="AR513">
        <f>SUMPRODUCT((B24:B31&lt;=$B$6)*(C24:C31*AM513+D24:D31*AO513*$B$8*AQ513)/(1+AL513/100)^B24:B31)+C32*AM513*AP513/(1+AL513/100)^$B$6</f>
        <v/>
      </c>
      <c r="AS513">
        <f>SUMPRODUCT((K24:K26&lt;=$B$6)*(L24:L26*AN513+M24:M26*AO513*$B$8*AQ513)/(1+AL513/100)^K24:K26)+L27*AN513*AP513/(1+AL513/100)^$B$6</f>
        <v/>
      </c>
      <c r="AT513">
        <f>AS513-AR513</f>
        <v/>
      </c>
      <c r="AU513">
        <f>RAND()</f>
        <v/>
      </c>
      <c r="AV513">
        <f>RAND()</f>
        <v/>
      </c>
      <c r="AW513">
        <f>RAND()</f>
        <v/>
      </c>
      <c r="AX513">
        <f>RAND()</f>
        <v/>
      </c>
      <c r="AY513">
        <f>RAND()</f>
        <v/>
      </c>
      <c r="AZ513">
        <f>RAND()</f>
        <v/>
      </c>
    </row>
    <row r="514">
      <c r="AK514" t="n">
        <v>501</v>
      </c>
      <c r="AL514">
        <f>IFERROR(IF(AU514&lt;($AM$6-$AL$6)/($AN$6-$AL$6),$AL$6+SQRT(AU514*($AN$6-$AL$6)*($AM$6-$AL$6)),$AN$6-SQRT((1-AU514)*($AN$6-$AL$6)*($AN$6-$AM$6))),$AM$6)</f>
        <v/>
      </c>
      <c r="AM514">
        <f>IFERROR(IF(AV514&lt;($AM$7-$AL$7)/($AN$7-$AL$7),$AL$7+SQRT(AV514*($AN$7-$AL$7)*($AM$7-$AL$7)),$AN$7-SQRT((1-AV514)*($AN$7-$AL$7)*($AN$7-$AM$7))),$AM$7)</f>
        <v/>
      </c>
      <c r="AN514">
        <f>IFERROR(IF(AW514&lt;($AM$8-$AL$8)/($AN$8-$AL$8),$AL$8+SQRT(AW514*($AN$8-$AL$8)*($AM$8-$AL$8)),$AN$8-SQRT((1-AW514)*($AN$8-$AL$8)*($AN$8-$AM$8))),$AM$8)</f>
        <v/>
      </c>
      <c r="AO514">
        <f>IFERROR(IF(AX514&lt;($AM$9-$AL$9)/($AN$9-$AL$9),$AL$9+SQRT(AX514*($AN$9-$AL$9)*($AM$9-$AL$9)),$AN$9-SQRT((1-AX514)*($AN$9-$AL$9)*($AN$9-$AM$9))),$AM$9)</f>
        <v/>
      </c>
      <c r="AP514">
        <f>IFERROR(IF(AY514&lt;($AM$10-$AL$10)/($AN$10-$AL$10),$AL$10+SQRT(AY514*($AN$10-$AL$10)*($AM$10-$AL$10)),$AN$10-SQRT((1-AY514)*($AN$10-$AL$10)*($AN$10-$AM$10))),$AM$10)</f>
        <v/>
      </c>
      <c r="AQ514">
        <f>IFERROR(IF(AZ514&lt;($AM$11-$AL$11)/($AN$11-$AL$11),$AL$11+SQRT(AZ514*($AN$11-$AL$11)*($AM$11-$AL$11)),$AN$11-SQRT((1-AZ514)*($AN$11-$AL$11)*($AN$11-$AM$11))),$AM$11)</f>
        <v/>
      </c>
      <c r="AR514">
        <f>SUMPRODUCT((B24:B31&lt;=$B$6)*(C24:C31*AM514+D24:D31*AO514*$B$8*AQ514)/(1+AL514/100)^B24:B31)+C32*AM514*AP514/(1+AL514/100)^$B$6</f>
        <v/>
      </c>
      <c r="AS514">
        <f>SUMPRODUCT((K24:K26&lt;=$B$6)*(L24:L26*AN514+M24:M26*AO514*$B$8*AQ514)/(1+AL514/100)^K24:K26)+L27*AN514*AP514/(1+AL514/100)^$B$6</f>
        <v/>
      </c>
      <c r="AT514">
        <f>AS514-AR514</f>
        <v/>
      </c>
      <c r="AU514">
        <f>RAND()</f>
        <v/>
      </c>
      <c r="AV514">
        <f>RAND()</f>
        <v/>
      </c>
      <c r="AW514">
        <f>RAND()</f>
        <v/>
      </c>
      <c r="AX514">
        <f>RAND()</f>
        <v/>
      </c>
      <c r="AY514">
        <f>RAND()</f>
        <v/>
      </c>
      <c r="AZ514">
        <f>RAND()</f>
        <v/>
      </c>
    </row>
    <row r="515">
      <c r="AK515" t="n">
        <v>502</v>
      </c>
      <c r="AL515">
        <f>IFERROR(IF(AU515&lt;($AM$6-$AL$6)/($AN$6-$AL$6),$AL$6+SQRT(AU515*($AN$6-$AL$6)*($AM$6-$AL$6)),$AN$6-SQRT((1-AU515)*($AN$6-$AL$6)*($AN$6-$AM$6))),$AM$6)</f>
        <v/>
      </c>
      <c r="AM515">
        <f>IFERROR(IF(AV515&lt;($AM$7-$AL$7)/($AN$7-$AL$7),$AL$7+SQRT(AV515*($AN$7-$AL$7)*($AM$7-$AL$7)),$AN$7-SQRT((1-AV515)*($AN$7-$AL$7)*($AN$7-$AM$7))),$AM$7)</f>
        <v/>
      </c>
      <c r="AN515">
        <f>IFERROR(IF(AW515&lt;($AM$8-$AL$8)/($AN$8-$AL$8),$AL$8+SQRT(AW515*($AN$8-$AL$8)*($AM$8-$AL$8)),$AN$8-SQRT((1-AW515)*($AN$8-$AL$8)*($AN$8-$AM$8))),$AM$8)</f>
        <v/>
      </c>
      <c r="AO515">
        <f>IFERROR(IF(AX515&lt;($AM$9-$AL$9)/($AN$9-$AL$9),$AL$9+SQRT(AX515*($AN$9-$AL$9)*($AM$9-$AL$9)),$AN$9-SQRT((1-AX515)*($AN$9-$AL$9)*($AN$9-$AM$9))),$AM$9)</f>
        <v/>
      </c>
      <c r="AP515">
        <f>IFERROR(IF(AY515&lt;($AM$10-$AL$10)/($AN$10-$AL$10),$AL$10+SQRT(AY515*($AN$10-$AL$10)*($AM$10-$AL$10)),$AN$10-SQRT((1-AY515)*($AN$10-$AL$10)*($AN$10-$AM$10))),$AM$10)</f>
        <v/>
      </c>
      <c r="AQ515">
        <f>IFERROR(IF(AZ515&lt;($AM$11-$AL$11)/($AN$11-$AL$11),$AL$11+SQRT(AZ515*($AN$11-$AL$11)*($AM$11-$AL$11)),$AN$11-SQRT((1-AZ515)*($AN$11-$AL$11)*($AN$11-$AM$11))),$AM$11)</f>
        <v/>
      </c>
      <c r="AR515">
        <f>SUMPRODUCT((B24:B31&lt;=$B$6)*(C24:C31*AM515+D24:D31*AO515*$B$8*AQ515)/(1+AL515/100)^B24:B31)+C32*AM515*AP515/(1+AL515/100)^$B$6</f>
        <v/>
      </c>
      <c r="AS515">
        <f>SUMPRODUCT((K24:K26&lt;=$B$6)*(L24:L26*AN515+M24:M26*AO515*$B$8*AQ515)/(1+AL515/100)^K24:K26)+L27*AN515*AP515/(1+AL515/100)^$B$6</f>
        <v/>
      </c>
      <c r="AT515">
        <f>AS515-AR515</f>
        <v/>
      </c>
      <c r="AU515">
        <f>RAND()</f>
        <v/>
      </c>
      <c r="AV515">
        <f>RAND()</f>
        <v/>
      </c>
      <c r="AW515">
        <f>RAND()</f>
        <v/>
      </c>
      <c r="AX515">
        <f>RAND()</f>
        <v/>
      </c>
      <c r="AY515">
        <f>RAND()</f>
        <v/>
      </c>
      <c r="AZ515">
        <f>RAND()</f>
        <v/>
      </c>
    </row>
    <row r="516">
      <c r="AK516" t="n">
        <v>503</v>
      </c>
      <c r="AL516">
        <f>IFERROR(IF(AU516&lt;($AM$6-$AL$6)/($AN$6-$AL$6),$AL$6+SQRT(AU516*($AN$6-$AL$6)*($AM$6-$AL$6)),$AN$6-SQRT((1-AU516)*($AN$6-$AL$6)*($AN$6-$AM$6))),$AM$6)</f>
        <v/>
      </c>
      <c r="AM516">
        <f>IFERROR(IF(AV516&lt;($AM$7-$AL$7)/($AN$7-$AL$7),$AL$7+SQRT(AV516*($AN$7-$AL$7)*($AM$7-$AL$7)),$AN$7-SQRT((1-AV516)*($AN$7-$AL$7)*($AN$7-$AM$7))),$AM$7)</f>
        <v/>
      </c>
      <c r="AN516">
        <f>IFERROR(IF(AW516&lt;($AM$8-$AL$8)/($AN$8-$AL$8),$AL$8+SQRT(AW516*($AN$8-$AL$8)*($AM$8-$AL$8)),$AN$8-SQRT((1-AW516)*($AN$8-$AL$8)*($AN$8-$AM$8))),$AM$8)</f>
        <v/>
      </c>
      <c r="AO516">
        <f>IFERROR(IF(AX516&lt;($AM$9-$AL$9)/($AN$9-$AL$9),$AL$9+SQRT(AX516*($AN$9-$AL$9)*($AM$9-$AL$9)),$AN$9-SQRT((1-AX516)*($AN$9-$AL$9)*($AN$9-$AM$9))),$AM$9)</f>
        <v/>
      </c>
      <c r="AP516">
        <f>IFERROR(IF(AY516&lt;($AM$10-$AL$10)/($AN$10-$AL$10),$AL$10+SQRT(AY516*($AN$10-$AL$10)*($AM$10-$AL$10)),$AN$10-SQRT((1-AY516)*($AN$10-$AL$10)*($AN$10-$AM$10))),$AM$10)</f>
        <v/>
      </c>
      <c r="AQ516">
        <f>IFERROR(IF(AZ516&lt;($AM$11-$AL$11)/($AN$11-$AL$11),$AL$11+SQRT(AZ516*($AN$11-$AL$11)*($AM$11-$AL$11)),$AN$11-SQRT((1-AZ516)*($AN$11-$AL$11)*($AN$11-$AM$11))),$AM$11)</f>
        <v/>
      </c>
      <c r="AR516">
        <f>SUMPRODUCT((B24:B31&lt;=$B$6)*(C24:C31*AM516+D24:D31*AO516*$B$8*AQ516)/(1+AL516/100)^B24:B31)+C32*AM516*AP516/(1+AL516/100)^$B$6</f>
        <v/>
      </c>
      <c r="AS516">
        <f>SUMPRODUCT((K24:K26&lt;=$B$6)*(L24:L26*AN516+M24:M26*AO516*$B$8*AQ516)/(1+AL516/100)^K24:K26)+L27*AN516*AP516/(1+AL516/100)^$B$6</f>
        <v/>
      </c>
      <c r="AT516">
        <f>AS516-AR516</f>
        <v/>
      </c>
      <c r="AU516">
        <f>RAND()</f>
        <v/>
      </c>
      <c r="AV516">
        <f>RAND()</f>
        <v/>
      </c>
      <c r="AW516">
        <f>RAND()</f>
        <v/>
      </c>
      <c r="AX516">
        <f>RAND()</f>
        <v/>
      </c>
      <c r="AY516">
        <f>RAND()</f>
        <v/>
      </c>
      <c r="AZ516">
        <f>RAND()</f>
        <v/>
      </c>
    </row>
    <row r="517">
      <c r="AK517" t="n">
        <v>504</v>
      </c>
      <c r="AL517">
        <f>IFERROR(IF(AU517&lt;($AM$6-$AL$6)/($AN$6-$AL$6),$AL$6+SQRT(AU517*($AN$6-$AL$6)*($AM$6-$AL$6)),$AN$6-SQRT((1-AU517)*($AN$6-$AL$6)*($AN$6-$AM$6))),$AM$6)</f>
        <v/>
      </c>
      <c r="AM517">
        <f>IFERROR(IF(AV517&lt;($AM$7-$AL$7)/($AN$7-$AL$7),$AL$7+SQRT(AV517*($AN$7-$AL$7)*($AM$7-$AL$7)),$AN$7-SQRT((1-AV517)*($AN$7-$AL$7)*($AN$7-$AM$7))),$AM$7)</f>
        <v/>
      </c>
      <c r="AN517">
        <f>IFERROR(IF(AW517&lt;($AM$8-$AL$8)/($AN$8-$AL$8),$AL$8+SQRT(AW517*($AN$8-$AL$8)*($AM$8-$AL$8)),$AN$8-SQRT((1-AW517)*($AN$8-$AL$8)*($AN$8-$AM$8))),$AM$8)</f>
        <v/>
      </c>
      <c r="AO517">
        <f>IFERROR(IF(AX517&lt;($AM$9-$AL$9)/($AN$9-$AL$9),$AL$9+SQRT(AX517*($AN$9-$AL$9)*($AM$9-$AL$9)),$AN$9-SQRT((1-AX517)*($AN$9-$AL$9)*($AN$9-$AM$9))),$AM$9)</f>
        <v/>
      </c>
      <c r="AP517">
        <f>IFERROR(IF(AY517&lt;($AM$10-$AL$10)/($AN$10-$AL$10),$AL$10+SQRT(AY517*($AN$10-$AL$10)*($AM$10-$AL$10)),$AN$10-SQRT((1-AY517)*($AN$10-$AL$10)*($AN$10-$AM$10))),$AM$10)</f>
        <v/>
      </c>
      <c r="AQ517">
        <f>IFERROR(IF(AZ517&lt;($AM$11-$AL$11)/($AN$11-$AL$11),$AL$11+SQRT(AZ517*($AN$11-$AL$11)*($AM$11-$AL$11)),$AN$11-SQRT((1-AZ517)*($AN$11-$AL$11)*($AN$11-$AM$11))),$AM$11)</f>
        <v/>
      </c>
      <c r="AR517">
        <f>SUMPRODUCT((B24:B31&lt;=$B$6)*(C24:C31*AM517+D24:D31*AO517*$B$8*AQ517)/(1+AL517/100)^B24:B31)+C32*AM517*AP517/(1+AL517/100)^$B$6</f>
        <v/>
      </c>
      <c r="AS517">
        <f>SUMPRODUCT((K24:K26&lt;=$B$6)*(L24:L26*AN517+M24:M26*AO517*$B$8*AQ517)/(1+AL517/100)^K24:K26)+L27*AN517*AP517/(1+AL517/100)^$B$6</f>
        <v/>
      </c>
      <c r="AT517">
        <f>AS517-AR517</f>
        <v/>
      </c>
      <c r="AU517">
        <f>RAND()</f>
        <v/>
      </c>
      <c r="AV517">
        <f>RAND()</f>
        <v/>
      </c>
      <c r="AW517">
        <f>RAND()</f>
        <v/>
      </c>
      <c r="AX517">
        <f>RAND()</f>
        <v/>
      </c>
      <c r="AY517">
        <f>RAND()</f>
        <v/>
      </c>
      <c r="AZ517">
        <f>RAND()</f>
        <v/>
      </c>
    </row>
    <row r="518">
      <c r="AK518" t="n">
        <v>505</v>
      </c>
      <c r="AL518">
        <f>IFERROR(IF(AU518&lt;($AM$6-$AL$6)/($AN$6-$AL$6),$AL$6+SQRT(AU518*($AN$6-$AL$6)*($AM$6-$AL$6)),$AN$6-SQRT((1-AU518)*($AN$6-$AL$6)*($AN$6-$AM$6))),$AM$6)</f>
        <v/>
      </c>
      <c r="AM518">
        <f>IFERROR(IF(AV518&lt;($AM$7-$AL$7)/($AN$7-$AL$7),$AL$7+SQRT(AV518*($AN$7-$AL$7)*($AM$7-$AL$7)),$AN$7-SQRT((1-AV518)*($AN$7-$AL$7)*($AN$7-$AM$7))),$AM$7)</f>
        <v/>
      </c>
      <c r="AN518">
        <f>IFERROR(IF(AW518&lt;($AM$8-$AL$8)/($AN$8-$AL$8),$AL$8+SQRT(AW518*($AN$8-$AL$8)*($AM$8-$AL$8)),$AN$8-SQRT((1-AW518)*($AN$8-$AL$8)*($AN$8-$AM$8))),$AM$8)</f>
        <v/>
      </c>
      <c r="AO518">
        <f>IFERROR(IF(AX518&lt;($AM$9-$AL$9)/($AN$9-$AL$9),$AL$9+SQRT(AX518*($AN$9-$AL$9)*($AM$9-$AL$9)),$AN$9-SQRT((1-AX518)*($AN$9-$AL$9)*($AN$9-$AM$9))),$AM$9)</f>
        <v/>
      </c>
      <c r="AP518">
        <f>IFERROR(IF(AY518&lt;($AM$10-$AL$10)/($AN$10-$AL$10),$AL$10+SQRT(AY518*($AN$10-$AL$10)*($AM$10-$AL$10)),$AN$10-SQRT((1-AY518)*($AN$10-$AL$10)*($AN$10-$AM$10))),$AM$10)</f>
        <v/>
      </c>
      <c r="AQ518">
        <f>IFERROR(IF(AZ518&lt;($AM$11-$AL$11)/($AN$11-$AL$11),$AL$11+SQRT(AZ518*($AN$11-$AL$11)*($AM$11-$AL$11)),$AN$11-SQRT((1-AZ518)*($AN$11-$AL$11)*($AN$11-$AM$11))),$AM$11)</f>
        <v/>
      </c>
      <c r="AR518">
        <f>SUMPRODUCT((B24:B31&lt;=$B$6)*(C24:C31*AM518+D24:D31*AO518*$B$8*AQ518)/(1+AL518/100)^B24:B31)+C32*AM518*AP518/(1+AL518/100)^$B$6</f>
        <v/>
      </c>
      <c r="AS518">
        <f>SUMPRODUCT((K24:K26&lt;=$B$6)*(L24:L26*AN518+M24:M26*AO518*$B$8*AQ518)/(1+AL518/100)^K24:K26)+L27*AN518*AP518/(1+AL518/100)^$B$6</f>
        <v/>
      </c>
      <c r="AT518">
        <f>AS518-AR518</f>
        <v/>
      </c>
      <c r="AU518">
        <f>RAND()</f>
        <v/>
      </c>
      <c r="AV518">
        <f>RAND()</f>
        <v/>
      </c>
      <c r="AW518">
        <f>RAND()</f>
        <v/>
      </c>
      <c r="AX518">
        <f>RAND()</f>
        <v/>
      </c>
      <c r="AY518">
        <f>RAND()</f>
        <v/>
      </c>
      <c r="AZ518">
        <f>RAND()</f>
        <v/>
      </c>
    </row>
    <row r="519">
      <c r="AK519" t="n">
        <v>506</v>
      </c>
      <c r="AL519">
        <f>IFERROR(IF(AU519&lt;($AM$6-$AL$6)/($AN$6-$AL$6),$AL$6+SQRT(AU519*($AN$6-$AL$6)*($AM$6-$AL$6)),$AN$6-SQRT((1-AU519)*($AN$6-$AL$6)*($AN$6-$AM$6))),$AM$6)</f>
        <v/>
      </c>
      <c r="AM519">
        <f>IFERROR(IF(AV519&lt;($AM$7-$AL$7)/($AN$7-$AL$7),$AL$7+SQRT(AV519*($AN$7-$AL$7)*($AM$7-$AL$7)),$AN$7-SQRT((1-AV519)*($AN$7-$AL$7)*($AN$7-$AM$7))),$AM$7)</f>
        <v/>
      </c>
      <c r="AN519">
        <f>IFERROR(IF(AW519&lt;($AM$8-$AL$8)/($AN$8-$AL$8),$AL$8+SQRT(AW519*($AN$8-$AL$8)*($AM$8-$AL$8)),$AN$8-SQRT((1-AW519)*($AN$8-$AL$8)*($AN$8-$AM$8))),$AM$8)</f>
        <v/>
      </c>
      <c r="AO519">
        <f>IFERROR(IF(AX519&lt;($AM$9-$AL$9)/($AN$9-$AL$9),$AL$9+SQRT(AX519*($AN$9-$AL$9)*($AM$9-$AL$9)),$AN$9-SQRT((1-AX519)*($AN$9-$AL$9)*($AN$9-$AM$9))),$AM$9)</f>
        <v/>
      </c>
      <c r="AP519">
        <f>IFERROR(IF(AY519&lt;($AM$10-$AL$10)/($AN$10-$AL$10),$AL$10+SQRT(AY519*($AN$10-$AL$10)*($AM$10-$AL$10)),$AN$10-SQRT((1-AY519)*($AN$10-$AL$10)*($AN$10-$AM$10))),$AM$10)</f>
        <v/>
      </c>
      <c r="AQ519">
        <f>IFERROR(IF(AZ519&lt;($AM$11-$AL$11)/($AN$11-$AL$11),$AL$11+SQRT(AZ519*($AN$11-$AL$11)*($AM$11-$AL$11)),$AN$11-SQRT((1-AZ519)*($AN$11-$AL$11)*($AN$11-$AM$11))),$AM$11)</f>
        <v/>
      </c>
      <c r="AR519">
        <f>SUMPRODUCT((B24:B31&lt;=$B$6)*(C24:C31*AM519+D24:D31*AO519*$B$8*AQ519)/(1+AL519/100)^B24:B31)+C32*AM519*AP519/(1+AL519/100)^$B$6</f>
        <v/>
      </c>
      <c r="AS519">
        <f>SUMPRODUCT((K24:K26&lt;=$B$6)*(L24:L26*AN519+M24:M26*AO519*$B$8*AQ519)/(1+AL519/100)^K24:K26)+L27*AN519*AP519/(1+AL519/100)^$B$6</f>
        <v/>
      </c>
      <c r="AT519">
        <f>AS519-AR519</f>
        <v/>
      </c>
      <c r="AU519">
        <f>RAND()</f>
        <v/>
      </c>
      <c r="AV519">
        <f>RAND()</f>
        <v/>
      </c>
      <c r="AW519">
        <f>RAND()</f>
        <v/>
      </c>
      <c r="AX519">
        <f>RAND()</f>
        <v/>
      </c>
      <c r="AY519">
        <f>RAND()</f>
        <v/>
      </c>
      <c r="AZ519">
        <f>RAND()</f>
        <v/>
      </c>
    </row>
    <row r="520">
      <c r="AK520" t="n">
        <v>507</v>
      </c>
      <c r="AL520">
        <f>IFERROR(IF(AU520&lt;($AM$6-$AL$6)/($AN$6-$AL$6),$AL$6+SQRT(AU520*($AN$6-$AL$6)*($AM$6-$AL$6)),$AN$6-SQRT((1-AU520)*($AN$6-$AL$6)*($AN$6-$AM$6))),$AM$6)</f>
        <v/>
      </c>
      <c r="AM520">
        <f>IFERROR(IF(AV520&lt;($AM$7-$AL$7)/($AN$7-$AL$7),$AL$7+SQRT(AV520*($AN$7-$AL$7)*($AM$7-$AL$7)),$AN$7-SQRT((1-AV520)*($AN$7-$AL$7)*($AN$7-$AM$7))),$AM$7)</f>
        <v/>
      </c>
      <c r="AN520">
        <f>IFERROR(IF(AW520&lt;($AM$8-$AL$8)/($AN$8-$AL$8),$AL$8+SQRT(AW520*($AN$8-$AL$8)*($AM$8-$AL$8)),$AN$8-SQRT((1-AW520)*($AN$8-$AL$8)*($AN$8-$AM$8))),$AM$8)</f>
        <v/>
      </c>
      <c r="AO520">
        <f>IFERROR(IF(AX520&lt;($AM$9-$AL$9)/($AN$9-$AL$9),$AL$9+SQRT(AX520*($AN$9-$AL$9)*($AM$9-$AL$9)),$AN$9-SQRT((1-AX520)*($AN$9-$AL$9)*($AN$9-$AM$9))),$AM$9)</f>
        <v/>
      </c>
      <c r="AP520">
        <f>IFERROR(IF(AY520&lt;($AM$10-$AL$10)/($AN$10-$AL$10),$AL$10+SQRT(AY520*($AN$10-$AL$10)*($AM$10-$AL$10)),$AN$10-SQRT((1-AY520)*($AN$10-$AL$10)*($AN$10-$AM$10))),$AM$10)</f>
        <v/>
      </c>
      <c r="AQ520">
        <f>IFERROR(IF(AZ520&lt;($AM$11-$AL$11)/($AN$11-$AL$11),$AL$11+SQRT(AZ520*($AN$11-$AL$11)*($AM$11-$AL$11)),$AN$11-SQRT((1-AZ520)*($AN$11-$AL$11)*($AN$11-$AM$11))),$AM$11)</f>
        <v/>
      </c>
      <c r="AR520">
        <f>SUMPRODUCT((B24:B31&lt;=$B$6)*(C24:C31*AM520+D24:D31*AO520*$B$8*AQ520)/(1+AL520/100)^B24:B31)+C32*AM520*AP520/(1+AL520/100)^$B$6</f>
        <v/>
      </c>
      <c r="AS520">
        <f>SUMPRODUCT((K24:K26&lt;=$B$6)*(L24:L26*AN520+M24:M26*AO520*$B$8*AQ520)/(1+AL520/100)^K24:K26)+L27*AN520*AP520/(1+AL520/100)^$B$6</f>
        <v/>
      </c>
      <c r="AT520">
        <f>AS520-AR520</f>
        <v/>
      </c>
      <c r="AU520">
        <f>RAND()</f>
        <v/>
      </c>
      <c r="AV520">
        <f>RAND()</f>
        <v/>
      </c>
      <c r="AW520">
        <f>RAND()</f>
        <v/>
      </c>
      <c r="AX520">
        <f>RAND()</f>
        <v/>
      </c>
      <c r="AY520">
        <f>RAND()</f>
        <v/>
      </c>
      <c r="AZ520">
        <f>RAND()</f>
        <v/>
      </c>
    </row>
    <row r="521">
      <c r="AK521" t="n">
        <v>508</v>
      </c>
      <c r="AL521">
        <f>IFERROR(IF(AU521&lt;($AM$6-$AL$6)/($AN$6-$AL$6),$AL$6+SQRT(AU521*($AN$6-$AL$6)*($AM$6-$AL$6)),$AN$6-SQRT((1-AU521)*($AN$6-$AL$6)*($AN$6-$AM$6))),$AM$6)</f>
        <v/>
      </c>
      <c r="AM521">
        <f>IFERROR(IF(AV521&lt;($AM$7-$AL$7)/($AN$7-$AL$7),$AL$7+SQRT(AV521*($AN$7-$AL$7)*($AM$7-$AL$7)),$AN$7-SQRT((1-AV521)*($AN$7-$AL$7)*($AN$7-$AM$7))),$AM$7)</f>
        <v/>
      </c>
      <c r="AN521">
        <f>IFERROR(IF(AW521&lt;($AM$8-$AL$8)/($AN$8-$AL$8),$AL$8+SQRT(AW521*($AN$8-$AL$8)*($AM$8-$AL$8)),$AN$8-SQRT((1-AW521)*($AN$8-$AL$8)*($AN$8-$AM$8))),$AM$8)</f>
        <v/>
      </c>
      <c r="AO521">
        <f>IFERROR(IF(AX521&lt;($AM$9-$AL$9)/($AN$9-$AL$9),$AL$9+SQRT(AX521*($AN$9-$AL$9)*($AM$9-$AL$9)),$AN$9-SQRT((1-AX521)*($AN$9-$AL$9)*($AN$9-$AM$9))),$AM$9)</f>
        <v/>
      </c>
      <c r="AP521">
        <f>IFERROR(IF(AY521&lt;($AM$10-$AL$10)/($AN$10-$AL$10),$AL$10+SQRT(AY521*($AN$10-$AL$10)*($AM$10-$AL$10)),$AN$10-SQRT((1-AY521)*($AN$10-$AL$10)*($AN$10-$AM$10))),$AM$10)</f>
        <v/>
      </c>
      <c r="AQ521">
        <f>IFERROR(IF(AZ521&lt;($AM$11-$AL$11)/($AN$11-$AL$11),$AL$11+SQRT(AZ521*($AN$11-$AL$11)*($AM$11-$AL$11)),$AN$11-SQRT((1-AZ521)*($AN$11-$AL$11)*($AN$11-$AM$11))),$AM$11)</f>
        <v/>
      </c>
      <c r="AR521">
        <f>SUMPRODUCT((B24:B31&lt;=$B$6)*(C24:C31*AM521+D24:D31*AO521*$B$8*AQ521)/(1+AL521/100)^B24:B31)+C32*AM521*AP521/(1+AL521/100)^$B$6</f>
        <v/>
      </c>
      <c r="AS521">
        <f>SUMPRODUCT((K24:K26&lt;=$B$6)*(L24:L26*AN521+M24:M26*AO521*$B$8*AQ521)/(1+AL521/100)^K24:K26)+L27*AN521*AP521/(1+AL521/100)^$B$6</f>
        <v/>
      </c>
      <c r="AT521">
        <f>AS521-AR521</f>
        <v/>
      </c>
      <c r="AU521">
        <f>RAND()</f>
        <v/>
      </c>
      <c r="AV521">
        <f>RAND()</f>
        <v/>
      </c>
      <c r="AW521">
        <f>RAND()</f>
        <v/>
      </c>
      <c r="AX521">
        <f>RAND()</f>
        <v/>
      </c>
      <c r="AY521">
        <f>RAND()</f>
        <v/>
      </c>
      <c r="AZ521">
        <f>RAND()</f>
        <v/>
      </c>
    </row>
    <row r="522">
      <c r="AK522" t="n">
        <v>509</v>
      </c>
      <c r="AL522">
        <f>IFERROR(IF(AU522&lt;($AM$6-$AL$6)/($AN$6-$AL$6),$AL$6+SQRT(AU522*($AN$6-$AL$6)*($AM$6-$AL$6)),$AN$6-SQRT((1-AU522)*($AN$6-$AL$6)*($AN$6-$AM$6))),$AM$6)</f>
        <v/>
      </c>
      <c r="AM522">
        <f>IFERROR(IF(AV522&lt;($AM$7-$AL$7)/($AN$7-$AL$7),$AL$7+SQRT(AV522*($AN$7-$AL$7)*($AM$7-$AL$7)),$AN$7-SQRT((1-AV522)*($AN$7-$AL$7)*($AN$7-$AM$7))),$AM$7)</f>
        <v/>
      </c>
      <c r="AN522">
        <f>IFERROR(IF(AW522&lt;($AM$8-$AL$8)/($AN$8-$AL$8),$AL$8+SQRT(AW522*($AN$8-$AL$8)*($AM$8-$AL$8)),$AN$8-SQRT((1-AW522)*($AN$8-$AL$8)*($AN$8-$AM$8))),$AM$8)</f>
        <v/>
      </c>
      <c r="AO522">
        <f>IFERROR(IF(AX522&lt;($AM$9-$AL$9)/($AN$9-$AL$9),$AL$9+SQRT(AX522*($AN$9-$AL$9)*($AM$9-$AL$9)),$AN$9-SQRT((1-AX522)*($AN$9-$AL$9)*($AN$9-$AM$9))),$AM$9)</f>
        <v/>
      </c>
      <c r="AP522">
        <f>IFERROR(IF(AY522&lt;($AM$10-$AL$10)/($AN$10-$AL$10),$AL$10+SQRT(AY522*($AN$10-$AL$10)*($AM$10-$AL$10)),$AN$10-SQRT((1-AY522)*($AN$10-$AL$10)*($AN$10-$AM$10))),$AM$10)</f>
        <v/>
      </c>
      <c r="AQ522">
        <f>IFERROR(IF(AZ522&lt;($AM$11-$AL$11)/($AN$11-$AL$11),$AL$11+SQRT(AZ522*($AN$11-$AL$11)*($AM$11-$AL$11)),$AN$11-SQRT((1-AZ522)*($AN$11-$AL$11)*($AN$11-$AM$11))),$AM$11)</f>
        <v/>
      </c>
      <c r="AR522">
        <f>SUMPRODUCT((B24:B31&lt;=$B$6)*(C24:C31*AM522+D24:D31*AO522*$B$8*AQ522)/(1+AL522/100)^B24:B31)+C32*AM522*AP522/(1+AL522/100)^$B$6</f>
        <v/>
      </c>
      <c r="AS522">
        <f>SUMPRODUCT((K24:K26&lt;=$B$6)*(L24:L26*AN522+M24:M26*AO522*$B$8*AQ522)/(1+AL522/100)^K24:K26)+L27*AN522*AP522/(1+AL522/100)^$B$6</f>
        <v/>
      </c>
      <c r="AT522">
        <f>AS522-AR522</f>
        <v/>
      </c>
      <c r="AU522">
        <f>RAND()</f>
        <v/>
      </c>
      <c r="AV522">
        <f>RAND()</f>
        <v/>
      </c>
      <c r="AW522">
        <f>RAND()</f>
        <v/>
      </c>
      <c r="AX522">
        <f>RAND()</f>
        <v/>
      </c>
      <c r="AY522">
        <f>RAND()</f>
        <v/>
      </c>
      <c r="AZ522">
        <f>RAND()</f>
        <v/>
      </c>
    </row>
    <row r="523">
      <c r="AK523" t="n">
        <v>510</v>
      </c>
      <c r="AL523">
        <f>IFERROR(IF(AU523&lt;($AM$6-$AL$6)/($AN$6-$AL$6),$AL$6+SQRT(AU523*($AN$6-$AL$6)*($AM$6-$AL$6)),$AN$6-SQRT((1-AU523)*($AN$6-$AL$6)*($AN$6-$AM$6))),$AM$6)</f>
        <v/>
      </c>
      <c r="AM523">
        <f>IFERROR(IF(AV523&lt;($AM$7-$AL$7)/($AN$7-$AL$7),$AL$7+SQRT(AV523*($AN$7-$AL$7)*($AM$7-$AL$7)),$AN$7-SQRT((1-AV523)*($AN$7-$AL$7)*($AN$7-$AM$7))),$AM$7)</f>
        <v/>
      </c>
      <c r="AN523">
        <f>IFERROR(IF(AW523&lt;($AM$8-$AL$8)/($AN$8-$AL$8),$AL$8+SQRT(AW523*($AN$8-$AL$8)*($AM$8-$AL$8)),$AN$8-SQRT((1-AW523)*($AN$8-$AL$8)*($AN$8-$AM$8))),$AM$8)</f>
        <v/>
      </c>
      <c r="AO523">
        <f>IFERROR(IF(AX523&lt;($AM$9-$AL$9)/($AN$9-$AL$9),$AL$9+SQRT(AX523*($AN$9-$AL$9)*($AM$9-$AL$9)),$AN$9-SQRT((1-AX523)*($AN$9-$AL$9)*($AN$9-$AM$9))),$AM$9)</f>
        <v/>
      </c>
      <c r="AP523">
        <f>IFERROR(IF(AY523&lt;($AM$10-$AL$10)/($AN$10-$AL$10),$AL$10+SQRT(AY523*($AN$10-$AL$10)*($AM$10-$AL$10)),$AN$10-SQRT((1-AY523)*($AN$10-$AL$10)*($AN$10-$AM$10))),$AM$10)</f>
        <v/>
      </c>
      <c r="AQ523">
        <f>IFERROR(IF(AZ523&lt;($AM$11-$AL$11)/($AN$11-$AL$11),$AL$11+SQRT(AZ523*($AN$11-$AL$11)*($AM$11-$AL$11)),$AN$11-SQRT((1-AZ523)*($AN$11-$AL$11)*($AN$11-$AM$11))),$AM$11)</f>
        <v/>
      </c>
      <c r="AR523">
        <f>SUMPRODUCT((B24:B31&lt;=$B$6)*(C24:C31*AM523+D24:D31*AO523*$B$8*AQ523)/(1+AL523/100)^B24:B31)+C32*AM523*AP523/(1+AL523/100)^$B$6</f>
        <v/>
      </c>
      <c r="AS523">
        <f>SUMPRODUCT((K24:K26&lt;=$B$6)*(L24:L26*AN523+M24:M26*AO523*$B$8*AQ523)/(1+AL523/100)^K24:K26)+L27*AN523*AP523/(1+AL523/100)^$B$6</f>
        <v/>
      </c>
      <c r="AT523">
        <f>AS523-AR523</f>
        <v/>
      </c>
      <c r="AU523">
        <f>RAND()</f>
        <v/>
      </c>
      <c r="AV523">
        <f>RAND()</f>
        <v/>
      </c>
      <c r="AW523">
        <f>RAND()</f>
        <v/>
      </c>
      <c r="AX523">
        <f>RAND()</f>
        <v/>
      </c>
      <c r="AY523">
        <f>RAND()</f>
        <v/>
      </c>
      <c r="AZ523">
        <f>RAND()</f>
        <v/>
      </c>
    </row>
    <row r="524">
      <c r="AK524" t="n">
        <v>511</v>
      </c>
      <c r="AL524">
        <f>IFERROR(IF(AU524&lt;($AM$6-$AL$6)/($AN$6-$AL$6),$AL$6+SQRT(AU524*($AN$6-$AL$6)*($AM$6-$AL$6)),$AN$6-SQRT((1-AU524)*($AN$6-$AL$6)*($AN$6-$AM$6))),$AM$6)</f>
        <v/>
      </c>
      <c r="AM524">
        <f>IFERROR(IF(AV524&lt;($AM$7-$AL$7)/($AN$7-$AL$7),$AL$7+SQRT(AV524*($AN$7-$AL$7)*($AM$7-$AL$7)),$AN$7-SQRT((1-AV524)*($AN$7-$AL$7)*($AN$7-$AM$7))),$AM$7)</f>
        <v/>
      </c>
      <c r="AN524">
        <f>IFERROR(IF(AW524&lt;($AM$8-$AL$8)/($AN$8-$AL$8),$AL$8+SQRT(AW524*($AN$8-$AL$8)*($AM$8-$AL$8)),$AN$8-SQRT((1-AW524)*($AN$8-$AL$8)*($AN$8-$AM$8))),$AM$8)</f>
        <v/>
      </c>
      <c r="AO524">
        <f>IFERROR(IF(AX524&lt;($AM$9-$AL$9)/($AN$9-$AL$9),$AL$9+SQRT(AX524*($AN$9-$AL$9)*($AM$9-$AL$9)),$AN$9-SQRT((1-AX524)*($AN$9-$AL$9)*($AN$9-$AM$9))),$AM$9)</f>
        <v/>
      </c>
      <c r="AP524">
        <f>IFERROR(IF(AY524&lt;($AM$10-$AL$10)/($AN$10-$AL$10),$AL$10+SQRT(AY524*($AN$10-$AL$10)*($AM$10-$AL$10)),$AN$10-SQRT((1-AY524)*($AN$10-$AL$10)*($AN$10-$AM$10))),$AM$10)</f>
        <v/>
      </c>
      <c r="AQ524">
        <f>IFERROR(IF(AZ524&lt;($AM$11-$AL$11)/($AN$11-$AL$11),$AL$11+SQRT(AZ524*($AN$11-$AL$11)*($AM$11-$AL$11)),$AN$11-SQRT((1-AZ524)*($AN$11-$AL$11)*($AN$11-$AM$11))),$AM$11)</f>
        <v/>
      </c>
      <c r="AR524">
        <f>SUMPRODUCT((B24:B31&lt;=$B$6)*(C24:C31*AM524+D24:D31*AO524*$B$8*AQ524)/(1+AL524/100)^B24:B31)+C32*AM524*AP524/(1+AL524/100)^$B$6</f>
        <v/>
      </c>
      <c r="AS524">
        <f>SUMPRODUCT((K24:K26&lt;=$B$6)*(L24:L26*AN524+M24:M26*AO524*$B$8*AQ524)/(1+AL524/100)^K24:K26)+L27*AN524*AP524/(1+AL524/100)^$B$6</f>
        <v/>
      </c>
      <c r="AT524">
        <f>AS524-AR524</f>
        <v/>
      </c>
      <c r="AU524">
        <f>RAND()</f>
        <v/>
      </c>
      <c r="AV524">
        <f>RAND()</f>
        <v/>
      </c>
      <c r="AW524">
        <f>RAND()</f>
        <v/>
      </c>
      <c r="AX524">
        <f>RAND()</f>
        <v/>
      </c>
      <c r="AY524">
        <f>RAND()</f>
        <v/>
      </c>
      <c r="AZ524">
        <f>RAND()</f>
        <v/>
      </c>
    </row>
    <row r="525">
      <c r="AK525" t="n">
        <v>512</v>
      </c>
      <c r="AL525">
        <f>IFERROR(IF(AU525&lt;($AM$6-$AL$6)/($AN$6-$AL$6),$AL$6+SQRT(AU525*($AN$6-$AL$6)*($AM$6-$AL$6)),$AN$6-SQRT((1-AU525)*($AN$6-$AL$6)*($AN$6-$AM$6))),$AM$6)</f>
        <v/>
      </c>
      <c r="AM525">
        <f>IFERROR(IF(AV525&lt;($AM$7-$AL$7)/($AN$7-$AL$7),$AL$7+SQRT(AV525*($AN$7-$AL$7)*($AM$7-$AL$7)),$AN$7-SQRT((1-AV525)*($AN$7-$AL$7)*($AN$7-$AM$7))),$AM$7)</f>
        <v/>
      </c>
      <c r="AN525">
        <f>IFERROR(IF(AW525&lt;($AM$8-$AL$8)/($AN$8-$AL$8),$AL$8+SQRT(AW525*($AN$8-$AL$8)*($AM$8-$AL$8)),$AN$8-SQRT((1-AW525)*($AN$8-$AL$8)*($AN$8-$AM$8))),$AM$8)</f>
        <v/>
      </c>
      <c r="AO525">
        <f>IFERROR(IF(AX525&lt;($AM$9-$AL$9)/($AN$9-$AL$9),$AL$9+SQRT(AX525*($AN$9-$AL$9)*($AM$9-$AL$9)),$AN$9-SQRT((1-AX525)*($AN$9-$AL$9)*($AN$9-$AM$9))),$AM$9)</f>
        <v/>
      </c>
      <c r="AP525">
        <f>IFERROR(IF(AY525&lt;($AM$10-$AL$10)/($AN$10-$AL$10),$AL$10+SQRT(AY525*($AN$10-$AL$10)*($AM$10-$AL$10)),$AN$10-SQRT((1-AY525)*($AN$10-$AL$10)*($AN$10-$AM$10))),$AM$10)</f>
        <v/>
      </c>
      <c r="AQ525">
        <f>IFERROR(IF(AZ525&lt;($AM$11-$AL$11)/($AN$11-$AL$11),$AL$11+SQRT(AZ525*($AN$11-$AL$11)*($AM$11-$AL$11)),$AN$11-SQRT((1-AZ525)*($AN$11-$AL$11)*($AN$11-$AM$11))),$AM$11)</f>
        <v/>
      </c>
      <c r="AR525">
        <f>SUMPRODUCT((B24:B31&lt;=$B$6)*(C24:C31*AM525+D24:D31*AO525*$B$8*AQ525)/(1+AL525/100)^B24:B31)+C32*AM525*AP525/(1+AL525/100)^$B$6</f>
        <v/>
      </c>
      <c r="AS525">
        <f>SUMPRODUCT((K24:K26&lt;=$B$6)*(L24:L26*AN525+M24:M26*AO525*$B$8*AQ525)/(1+AL525/100)^K24:K26)+L27*AN525*AP525/(1+AL525/100)^$B$6</f>
        <v/>
      </c>
      <c r="AT525">
        <f>AS525-AR525</f>
        <v/>
      </c>
      <c r="AU525">
        <f>RAND()</f>
        <v/>
      </c>
      <c r="AV525">
        <f>RAND()</f>
        <v/>
      </c>
      <c r="AW525">
        <f>RAND()</f>
        <v/>
      </c>
      <c r="AX525">
        <f>RAND()</f>
        <v/>
      </c>
      <c r="AY525">
        <f>RAND()</f>
        <v/>
      </c>
      <c r="AZ525">
        <f>RAND()</f>
        <v/>
      </c>
    </row>
    <row r="526">
      <c r="AK526" t="n">
        <v>513</v>
      </c>
      <c r="AL526">
        <f>IFERROR(IF(AU526&lt;($AM$6-$AL$6)/($AN$6-$AL$6),$AL$6+SQRT(AU526*($AN$6-$AL$6)*($AM$6-$AL$6)),$AN$6-SQRT((1-AU526)*($AN$6-$AL$6)*($AN$6-$AM$6))),$AM$6)</f>
        <v/>
      </c>
      <c r="AM526">
        <f>IFERROR(IF(AV526&lt;($AM$7-$AL$7)/($AN$7-$AL$7),$AL$7+SQRT(AV526*($AN$7-$AL$7)*($AM$7-$AL$7)),$AN$7-SQRT((1-AV526)*($AN$7-$AL$7)*($AN$7-$AM$7))),$AM$7)</f>
        <v/>
      </c>
      <c r="AN526">
        <f>IFERROR(IF(AW526&lt;($AM$8-$AL$8)/($AN$8-$AL$8),$AL$8+SQRT(AW526*($AN$8-$AL$8)*($AM$8-$AL$8)),$AN$8-SQRT((1-AW526)*($AN$8-$AL$8)*($AN$8-$AM$8))),$AM$8)</f>
        <v/>
      </c>
      <c r="AO526">
        <f>IFERROR(IF(AX526&lt;($AM$9-$AL$9)/($AN$9-$AL$9),$AL$9+SQRT(AX526*($AN$9-$AL$9)*($AM$9-$AL$9)),$AN$9-SQRT((1-AX526)*($AN$9-$AL$9)*($AN$9-$AM$9))),$AM$9)</f>
        <v/>
      </c>
      <c r="AP526">
        <f>IFERROR(IF(AY526&lt;($AM$10-$AL$10)/($AN$10-$AL$10),$AL$10+SQRT(AY526*($AN$10-$AL$10)*($AM$10-$AL$10)),$AN$10-SQRT((1-AY526)*($AN$10-$AL$10)*($AN$10-$AM$10))),$AM$10)</f>
        <v/>
      </c>
      <c r="AQ526">
        <f>IFERROR(IF(AZ526&lt;($AM$11-$AL$11)/($AN$11-$AL$11),$AL$11+SQRT(AZ526*($AN$11-$AL$11)*($AM$11-$AL$11)),$AN$11-SQRT((1-AZ526)*($AN$11-$AL$11)*($AN$11-$AM$11))),$AM$11)</f>
        <v/>
      </c>
      <c r="AR526">
        <f>SUMPRODUCT((B24:B31&lt;=$B$6)*(C24:C31*AM526+D24:D31*AO526*$B$8*AQ526)/(1+AL526/100)^B24:B31)+C32*AM526*AP526/(1+AL526/100)^$B$6</f>
        <v/>
      </c>
      <c r="AS526">
        <f>SUMPRODUCT((K24:K26&lt;=$B$6)*(L24:L26*AN526+M24:M26*AO526*$B$8*AQ526)/(1+AL526/100)^K24:K26)+L27*AN526*AP526/(1+AL526/100)^$B$6</f>
        <v/>
      </c>
      <c r="AT526">
        <f>AS526-AR526</f>
        <v/>
      </c>
      <c r="AU526">
        <f>RAND()</f>
        <v/>
      </c>
      <c r="AV526">
        <f>RAND()</f>
        <v/>
      </c>
      <c r="AW526">
        <f>RAND()</f>
        <v/>
      </c>
      <c r="AX526">
        <f>RAND()</f>
        <v/>
      </c>
      <c r="AY526">
        <f>RAND()</f>
        <v/>
      </c>
      <c r="AZ526">
        <f>RAND()</f>
        <v/>
      </c>
    </row>
    <row r="527">
      <c r="AK527" t="n">
        <v>514</v>
      </c>
      <c r="AL527">
        <f>IFERROR(IF(AU527&lt;($AM$6-$AL$6)/($AN$6-$AL$6),$AL$6+SQRT(AU527*($AN$6-$AL$6)*($AM$6-$AL$6)),$AN$6-SQRT((1-AU527)*($AN$6-$AL$6)*($AN$6-$AM$6))),$AM$6)</f>
        <v/>
      </c>
      <c r="AM527">
        <f>IFERROR(IF(AV527&lt;($AM$7-$AL$7)/($AN$7-$AL$7),$AL$7+SQRT(AV527*($AN$7-$AL$7)*($AM$7-$AL$7)),$AN$7-SQRT((1-AV527)*($AN$7-$AL$7)*($AN$7-$AM$7))),$AM$7)</f>
        <v/>
      </c>
      <c r="AN527">
        <f>IFERROR(IF(AW527&lt;($AM$8-$AL$8)/($AN$8-$AL$8),$AL$8+SQRT(AW527*($AN$8-$AL$8)*($AM$8-$AL$8)),$AN$8-SQRT((1-AW527)*($AN$8-$AL$8)*($AN$8-$AM$8))),$AM$8)</f>
        <v/>
      </c>
      <c r="AO527">
        <f>IFERROR(IF(AX527&lt;($AM$9-$AL$9)/($AN$9-$AL$9),$AL$9+SQRT(AX527*($AN$9-$AL$9)*($AM$9-$AL$9)),$AN$9-SQRT((1-AX527)*($AN$9-$AL$9)*($AN$9-$AM$9))),$AM$9)</f>
        <v/>
      </c>
      <c r="AP527">
        <f>IFERROR(IF(AY527&lt;($AM$10-$AL$10)/($AN$10-$AL$10),$AL$10+SQRT(AY527*($AN$10-$AL$10)*($AM$10-$AL$10)),$AN$10-SQRT((1-AY527)*($AN$10-$AL$10)*($AN$10-$AM$10))),$AM$10)</f>
        <v/>
      </c>
      <c r="AQ527">
        <f>IFERROR(IF(AZ527&lt;($AM$11-$AL$11)/($AN$11-$AL$11),$AL$11+SQRT(AZ527*($AN$11-$AL$11)*($AM$11-$AL$11)),$AN$11-SQRT((1-AZ527)*($AN$11-$AL$11)*($AN$11-$AM$11))),$AM$11)</f>
        <v/>
      </c>
      <c r="AR527">
        <f>SUMPRODUCT((B24:B31&lt;=$B$6)*(C24:C31*AM527+D24:D31*AO527*$B$8*AQ527)/(1+AL527/100)^B24:B31)+C32*AM527*AP527/(1+AL527/100)^$B$6</f>
        <v/>
      </c>
      <c r="AS527">
        <f>SUMPRODUCT((K24:K26&lt;=$B$6)*(L24:L26*AN527+M24:M26*AO527*$B$8*AQ527)/(1+AL527/100)^K24:K26)+L27*AN527*AP527/(1+AL527/100)^$B$6</f>
        <v/>
      </c>
      <c r="AT527">
        <f>AS527-AR527</f>
        <v/>
      </c>
      <c r="AU527">
        <f>RAND()</f>
        <v/>
      </c>
      <c r="AV527">
        <f>RAND()</f>
        <v/>
      </c>
      <c r="AW527">
        <f>RAND()</f>
        <v/>
      </c>
      <c r="AX527">
        <f>RAND()</f>
        <v/>
      </c>
      <c r="AY527">
        <f>RAND()</f>
        <v/>
      </c>
      <c r="AZ527">
        <f>RAND()</f>
        <v/>
      </c>
    </row>
    <row r="528">
      <c r="AK528" t="n">
        <v>515</v>
      </c>
      <c r="AL528">
        <f>IFERROR(IF(AU528&lt;($AM$6-$AL$6)/($AN$6-$AL$6),$AL$6+SQRT(AU528*($AN$6-$AL$6)*($AM$6-$AL$6)),$AN$6-SQRT((1-AU528)*($AN$6-$AL$6)*($AN$6-$AM$6))),$AM$6)</f>
        <v/>
      </c>
      <c r="AM528">
        <f>IFERROR(IF(AV528&lt;($AM$7-$AL$7)/($AN$7-$AL$7),$AL$7+SQRT(AV528*($AN$7-$AL$7)*($AM$7-$AL$7)),$AN$7-SQRT((1-AV528)*($AN$7-$AL$7)*($AN$7-$AM$7))),$AM$7)</f>
        <v/>
      </c>
      <c r="AN528">
        <f>IFERROR(IF(AW528&lt;($AM$8-$AL$8)/($AN$8-$AL$8),$AL$8+SQRT(AW528*($AN$8-$AL$8)*($AM$8-$AL$8)),$AN$8-SQRT((1-AW528)*($AN$8-$AL$8)*($AN$8-$AM$8))),$AM$8)</f>
        <v/>
      </c>
      <c r="AO528">
        <f>IFERROR(IF(AX528&lt;($AM$9-$AL$9)/($AN$9-$AL$9),$AL$9+SQRT(AX528*($AN$9-$AL$9)*($AM$9-$AL$9)),$AN$9-SQRT((1-AX528)*($AN$9-$AL$9)*($AN$9-$AM$9))),$AM$9)</f>
        <v/>
      </c>
      <c r="AP528">
        <f>IFERROR(IF(AY528&lt;($AM$10-$AL$10)/($AN$10-$AL$10),$AL$10+SQRT(AY528*($AN$10-$AL$10)*($AM$10-$AL$10)),$AN$10-SQRT((1-AY528)*($AN$10-$AL$10)*($AN$10-$AM$10))),$AM$10)</f>
        <v/>
      </c>
      <c r="AQ528">
        <f>IFERROR(IF(AZ528&lt;($AM$11-$AL$11)/($AN$11-$AL$11),$AL$11+SQRT(AZ528*($AN$11-$AL$11)*($AM$11-$AL$11)),$AN$11-SQRT((1-AZ528)*($AN$11-$AL$11)*($AN$11-$AM$11))),$AM$11)</f>
        <v/>
      </c>
      <c r="AR528">
        <f>SUMPRODUCT((B24:B31&lt;=$B$6)*(C24:C31*AM528+D24:D31*AO528*$B$8*AQ528)/(1+AL528/100)^B24:B31)+C32*AM528*AP528/(1+AL528/100)^$B$6</f>
        <v/>
      </c>
      <c r="AS528">
        <f>SUMPRODUCT((K24:K26&lt;=$B$6)*(L24:L26*AN528+M24:M26*AO528*$B$8*AQ528)/(1+AL528/100)^K24:K26)+L27*AN528*AP528/(1+AL528/100)^$B$6</f>
        <v/>
      </c>
      <c r="AT528">
        <f>AS528-AR528</f>
        <v/>
      </c>
      <c r="AU528">
        <f>RAND()</f>
        <v/>
      </c>
      <c r="AV528">
        <f>RAND()</f>
        <v/>
      </c>
      <c r="AW528">
        <f>RAND()</f>
        <v/>
      </c>
      <c r="AX528">
        <f>RAND()</f>
        <v/>
      </c>
      <c r="AY528">
        <f>RAND()</f>
        <v/>
      </c>
      <c r="AZ528">
        <f>RAND()</f>
        <v/>
      </c>
    </row>
    <row r="529">
      <c r="AK529" t="n">
        <v>516</v>
      </c>
      <c r="AL529">
        <f>IFERROR(IF(AU529&lt;($AM$6-$AL$6)/($AN$6-$AL$6),$AL$6+SQRT(AU529*($AN$6-$AL$6)*($AM$6-$AL$6)),$AN$6-SQRT((1-AU529)*($AN$6-$AL$6)*($AN$6-$AM$6))),$AM$6)</f>
        <v/>
      </c>
      <c r="AM529">
        <f>IFERROR(IF(AV529&lt;($AM$7-$AL$7)/($AN$7-$AL$7),$AL$7+SQRT(AV529*($AN$7-$AL$7)*($AM$7-$AL$7)),$AN$7-SQRT((1-AV529)*($AN$7-$AL$7)*($AN$7-$AM$7))),$AM$7)</f>
        <v/>
      </c>
      <c r="AN529">
        <f>IFERROR(IF(AW529&lt;($AM$8-$AL$8)/($AN$8-$AL$8),$AL$8+SQRT(AW529*($AN$8-$AL$8)*($AM$8-$AL$8)),$AN$8-SQRT((1-AW529)*($AN$8-$AL$8)*($AN$8-$AM$8))),$AM$8)</f>
        <v/>
      </c>
      <c r="AO529">
        <f>IFERROR(IF(AX529&lt;($AM$9-$AL$9)/($AN$9-$AL$9),$AL$9+SQRT(AX529*($AN$9-$AL$9)*($AM$9-$AL$9)),$AN$9-SQRT((1-AX529)*($AN$9-$AL$9)*($AN$9-$AM$9))),$AM$9)</f>
        <v/>
      </c>
      <c r="AP529">
        <f>IFERROR(IF(AY529&lt;($AM$10-$AL$10)/($AN$10-$AL$10),$AL$10+SQRT(AY529*($AN$10-$AL$10)*($AM$10-$AL$10)),$AN$10-SQRT((1-AY529)*($AN$10-$AL$10)*($AN$10-$AM$10))),$AM$10)</f>
        <v/>
      </c>
      <c r="AQ529">
        <f>IFERROR(IF(AZ529&lt;($AM$11-$AL$11)/($AN$11-$AL$11),$AL$11+SQRT(AZ529*($AN$11-$AL$11)*($AM$11-$AL$11)),$AN$11-SQRT((1-AZ529)*($AN$11-$AL$11)*($AN$11-$AM$11))),$AM$11)</f>
        <v/>
      </c>
      <c r="AR529">
        <f>SUMPRODUCT((B24:B31&lt;=$B$6)*(C24:C31*AM529+D24:D31*AO529*$B$8*AQ529)/(1+AL529/100)^B24:B31)+C32*AM529*AP529/(1+AL529/100)^$B$6</f>
        <v/>
      </c>
      <c r="AS529">
        <f>SUMPRODUCT((K24:K26&lt;=$B$6)*(L24:L26*AN529+M24:M26*AO529*$B$8*AQ529)/(1+AL529/100)^K24:K26)+L27*AN529*AP529/(1+AL529/100)^$B$6</f>
        <v/>
      </c>
      <c r="AT529">
        <f>AS529-AR529</f>
        <v/>
      </c>
      <c r="AU529">
        <f>RAND()</f>
        <v/>
      </c>
      <c r="AV529">
        <f>RAND()</f>
        <v/>
      </c>
      <c r="AW529">
        <f>RAND()</f>
        <v/>
      </c>
      <c r="AX529">
        <f>RAND()</f>
        <v/>
      </c>
      <c r="AY529">
        <f>RAND()</f>
        <v/>
      </c>
      <c r="AZ529">
        <f>RAND()</f>
        <v/>
      </c>
    </row>
    <row r="530">
      <c r="AK530" t="n">
        <v>517</v>
      </c>
      <c r="AL530">
        <f>IFERROR(IF(AU530&lt;($AM$6-$AL$6)/($AN$6-$AL$6),$AL$6+SQRT(AU530*($AN$6-$AL$6)*($AM$6-$AL$6)),$AN$6-SQRT((1-AU530)*($AN$6-$AL$6)*($AN$6-$AM$6))),$AM$6)</f>
        <v/>
      </c>
      <c r="AM530">
        <f>IFERROR(IF(AV530&lt;($AM$7-$AL$7)/($AN$7-$AL$7),$AL$7+SQRT(AV530*($AN$7-$AL$7)*($AM$7-$AL$7)),$AN$7-SQRT((1-AV530)*($AN$7-$AL$7)*($AN$7-$AM$7))),$AM$7)</f>
        <v/>
      </c>
      <c r="AN530">
        <f>IFERROR(IF(AW530&lt;($AM$8-$AL$8)/($AN$8-$AL$8),$AL$8+SQRT(AW530*($AN$8-$AL$8)*($AM$8-$AL$8)),$AN$8-SQRT((1-AW530)*($AN$8-$AL$8)*($AN$8-$AM$8))),$AM$8)</f>
        <v/>
      </c>
      <c r="AO530">
        <f>IFERROR(IF(AX530&lt;($AM$9-$AL$9)/($AN$9-$AL$9),$AL$9+SQRT(AX530*($AN$9-$AL$9)*($AM$9-$AL$9)),$AN$9-SQRT((1-AX530)*($AN$9-$AL$9)*($AN$9-$AM$9))),$AM$9)</f>
        <v/>
      </c>
      <c r="AP530">
        <f>IFERROR(IF(AY530&lt;($AM$10-$AL$10)/($AN$10-$AL$10),$AL$10+SQRT(AY530*($AN$10-$AL$10)*($AM$10-$AL$10)),$AN$10-SQRT((1-AY530)*($AN$10-$AL$10)*($AN$10-$AM$10))),$AM$10)</f>
        <v/>
      </c>
      <c r="AQ530">
        <f>IFERROR(IF(AZ530&lt;($AM$11-$AL$11)/($AN$11-$AL$11),$AL$11+SQRT(AZ530*($AN$11-$AL$11)*($AM$11-$AL$11)),$AN$11-SQRT((1-AZ530)*($AN$11-$AL$11)*($AN$11-$AM$11))),$AM$11)</f>
        <v/>
      </c>
      <c r="AR530">
        <f>SUMPRODUCT((B24:B31&lt;=$B$6)*(C24:C31*AM530+D24:D31*AO530*$B$8*AQ530)/(1+AL530/100)^B24:B31)+C32*AM530*AP530/(1+AL530/100)^$B$6</f>
        <v/>
      </c>
      <c r="AS530">
        <f>SUMPRODUCT((K24:K26&lt;=$B$6)*(L24:L26*AN530+M24:M26*AO530*$B$8*AQ530)/(1+AL530/100)^K24:K26)+L27*AN530*AP530/(1+AL530/100)^$B$6</f>
        <v/>
      </c>
      <c r="AT530">
        <f>AS530-AR530</f>
        <v/>
      </c>
      <c r="AU530">
        <f>RAND()</f>
        <v/>
      </c>
      <c r="AV530">
        <f>RAND()</f>
        <v/>
      </c>
      <c r="AW530">
        <f>RAND()</f>
        <v/>
      </c>
      <c r="AX530">
        <f>RAND()</f>
        <v/>
      </c>
      <c r="AY530">
        <f>RAND()</f>
        <v/>
      </c>
      <c r="AZ530">
        <f>RAND()</f>
        <v/>
      </c>
    </row>
    <row r="531">
      <c r="AK531" t="n">
        <v>518</v>
      </c>
      <c r="AL531">
        <f>IFERROR(IF(AU531&lt;($AM$6-$AL$6)/($AN$6-$AL$6),$AL$6+SQRT(AU531*($AN$6-$AL$6)*($AM$6-$AL$6)),$AN$6-SQRT((1-AU531)*($AN$6-$AL$6)*($AN$6-$AM$6))),$AM$6)</f>
        <v/>
      </c>
      <c r="AM531">
        <f>IFERROR(IF(AV531&lt;($AM$7-$AL$7)/($AN$7-$AL$7),$AL$7+SQRT(AV531*($AN$7-$AL$7)*($AM$7-$AL$7)),$AN$7-SQRT((1-AV531)*($AN$7-$AL$7)*($AN$7-$AM$7))),$AM$7)</f>
        <v/>
      </c>
      <c r="AN531">
        <f>IFERROR(IF(AW531&lt;($AM$8-$AL$8)/($AN$8-$AL$8),$AL$8+SQRT(AW531*($AN$8-$AL$8)*($AM$8-$AL$8)),$AN$8-SQRT((1-AW531)*($AN$8-$AL$8)*($AN$8-$AM$8))),$AM$8)</f>
        <v/>
      </c>
      <c r="AO531">
        <f>IFERROR(IF(AX531&lt;($AM$9-$AL$9)/($AN$9-$AL$9),$AL$9+SQRT(AX531*($AN$9-$AL$9)*($AM$9-$AL$9)),$AN$9-SQRT((1-AX531)*($AN$9-$AL$9)*($AN$9-$AM$9))),$AM$9)</f>
        <v/>
      </c>
      <c r="AP531">
        <f>IFERROR(IF(AY531&lt;($AM$10-$AL$10)/($AN$10-$AL$10),$AL$10+SQRT(AY531*($AN$10-$AL$10)*($AM$10-$AL$10)),$AN$10-SQRT((1-AY531)*($AN$10-$AL$10)*($AN$10-$AM$10))),$AM$10)</f>
        <v/>
      </c>
      <c r="AQ531">
        <f>IFERROR(IF(AZ531&lt;($AM$11-$AL$11)/($AN$11-$AL$11),$AL$11+SQRT(AZ531*($AN$11-$AL$11)*($AM$11-$AL$11)),$AN$11-SQRT((1-AZ531)*($AN$11-$AL$11)*($AN$11-$AM$11))),$AM$11)</f>
        <v/>
      </c>
      <c r="AR531">
        <f>SUMPRODUCT((B24:B31&lt;=$B$6)*(C24:C31*AM531+D24:D31*AO531*$B$8*AQ531)/(1+AL531/100)^B24:B31)+C32*AM531*AP531/(1+AL531/100)^$B$6</f>
        <v/>
      </c>
      <c r="AS531">
        <f>SUMPRODUCT((K24:K26&lt;=$B$6)*(L24:L26*AN531+M24:M26*AO531*$B$8*AQ531)/(1+AL531/100)^K24:K26)+L27*AN531*AP531/(1+AL531/100)^$B$6</f>
        <v/>
      </c>
      <c r="AT531">
        <f>AS531-AR531</f>
        <v/>
      </c>
      <c r="AU531">
        <f>RAND()</f>
        <v/>
      </c>
      <c r="AV531">
        <f>RAND()</f>
        <v/>
      </c>
      <c r="AW531">
        <f>RAND()</f>
        <v/>
      </c>
      <c r="AX531">
        <f>RAND()</f>
        <v/>
      </c>
      <c r="AY531">
        <f>RAND()</f>
        <v/>
      </c>
      <c r="AZ531">
        <f>RAND()</f>
        <v/>
      </c>
    </row>
    <row r="532">
      <c r="AK532" t="n">
        <v>519</v>
      </c>
      <c r="AL532">
        <f>IFERROR(IF(AU532&lt;($AM$6-$AL$6)/($AN$6-$AL$6),$AL$6+SQRT(AU532*($AN$6-$AL$6)*($AM$6-$AL$6)),$AN$6-SQRT((1-AU532)*($AN$6-$AL$6)*($AN$6-$AM$6))),$AM$6)</f>
        <v/>
      </c>
      <c r="AM532">
        <f>IFERROR(IF(AV532&lt;($AM$7-$AL$7)/($AN$7-$AL$7),$AL$7+SQRT(AV532*($AN$7-$AL$7)*($AM$7-$AL$7)),$AN$7-SQRT((1-AV532)*($AN$7-$AL$7)*($AN$7-$AM$7))),$AM$7)</f>
        <v/>
      </c>
      <c r="AN532">
        <f>IFERROR(IF(AW532&lt;($AM$8-$AL$8)/($AN$8-$AL$8),$AL$8+SQRT(AW532*($AN$8-$AL$8)*($AM$8-$AL$8)),$AN$8-SQRT((1-AW532)*($AN$8-$AL$8)*($AN$8-$AM$8))),$AM$8)</f>
        <v/>
      </c>
      <c r="AO532">
        <f>IFERROR(IF(AX532&lt;($AM$9-$AL$9)/($AN$9-$AL$9),$AL$9+SQRT(AX532*($AN$9-$AL$9)*($AM$9-$AL$9)),$AN$9-SQRT((1-AX532)*($AN$9-$AL$9)*($AN$9-$AM$9))),$AM$9)</f>
        <v/>
      </c>
      <c r="AP532">
        <f>IFERROR(IF(AY532&lt;($AM$10-$AL$10)/($AN$10-$AL$10),$AL$10+SQRT(AY532*($AN$10-$AL$10)*($AM$10-$AL$10)),$AN$10-SQRT((1-AY532)*($AN$10-$AL$10)*($AN$10-$AM$10))),$AM$10)</f>
        <v/>
      </c>
      <c r="AQ532">
        <f>IFERROR(IF(AZ532&lt;($AM$11-$AL$11)/($AN$11-$AL$11),$AL$11+SQRT(AZ532*($AN$11-$AL$11)*($AM$11-$AL$11)),$AN$11-SQRT((1-AZ532)*($AN$11-$AL$11)*($AN$11-$AM$11))),$AM$11)</f>
        <v/>
      </c>
      <c r="AR532">
        <f>SUMPRODUCT((B24:B31&lt;=$B$6)*(C24:C31*AM532+D24:D31*AO532*$B$8*AQ532)/(1+AL532/100)^B24:B31)+C32*AM532*AP532/(1+AL532/100)^$B$6</f>
        <v/>
      </c>
      <c r="AS532">
        <f>SUMPRODUCT((K24:K26&lt;=$B$6)*(L24:L26*AN532+M24:M26*AO532*$B$8*AQ532)/(1+AL532/100)^K24:K26)+L27*AN532*AP532/(1+AL532/100)^$B$6</f>
        <v/>
      </c>
      <c r="AT532">
        <f>AS532-AR532</f>
        <v/>
      </c>
      <c r="AU532">
        <f>RAND()</f>
        <v/>
      </c>
      <c r="AV532">
        <f>RAND()</f>
        <v/>
      </c>
      <c r="AW532">
        <f>RAND()</f>
        <v/>
      </c>
      <c r="AX532">
        <f>RAND()</f>
        <v/>
      </c>
      <c r="AY532">
        <f>RAND()</f>
        <v/>
      </c>
      <c r="AZ532">
        <f>RAND()</f>
        <v/>
      </c>
    </row>
    <row r="533">
      <c r="AK533" t="n">
        <v>520</v>
      </c>
      <c r="AL533">
        <f>IFERROR(IF(AU533&lt;($AM$6-$AL$6)/($AN$6-$AL$6),$AL$6+SQRT(AU533*($AN$6-$AL$6)*($AM$6-$AL$6)),$AN$6-SQRT((1-AU533)*($AN$6-$AL$6)*($AN$6-$AM$6))),$AM$6)</f>
        <v/>
      </c>
      <c r="AM533">
        <f>IFERROR(IF(AV533&lt;($AM$7-$AL$7)/($AN$7-$AL$7),$AL$7+SQRT(AV533*($AN$7-$AL$7)*($AM$7-$AL$7)),$AN$7-SQRT((1-AV533)*($AN$7-$AL$7)*($AN$7-$AM$7))),$AM$7)</f>
        <v/>
      </c>
      <c r="AN533">
        <f>IFERROR(IF(AW533&lt;($AM$8-$AL$8)/($AN$8-$AL$8),$AL$8+SQRT(AW533*($AN$8-$AL$8)*($AM$8-$AL$8)),$AN$8-SQRT((1-AW533)*($AN$8-$AL$8)*($AN$8-$AM$8))),$AM$8)</f>
        <v/>
      </c>
      <c r="AO533">
        <f>IFERROR(IF(AX533&lt;($AM$9-$AL$9)/($AN$9-$AL$9),$AL$9+SQRT(AX533*($AN$9-$AL$9)*($AM$9-$AL$9)),$AN$9-SQRT((1-AX533)*($AN$9-$AL$9)*($AN$9-$AM$9))),$AM$9)</f>
        <v/>
      </c>
      <c r="AP533">
        <f>IFERROR(IF(AY533&lt;($AM$10-$AL$10)/($AN$10-$AL$10),$AL$10+SQRT(AY533*($AN$10-$AL$10)*($AM$10-$AL$10)),$AN$10-SQRT((1-AY533)*($AN$10-$AL$10)*($AN$10-$AM$10))),$AM$10)</f>
        <v/>
      </c>
      <c r="AQ533">
        <f>IFERROR(IF(AZ533&lt;($AM$11-$AL$11)/($AN$11-$AL$11),$AL$11+SQRT(AZ533*($AN$11-$AL$11)*($AM$11-$AL$11)),$AN$11-SQRT((1-AZ533)*($AN$11-$AL$11)*($AN$11-$AM$11))),$AM$11)</f>
        <v/>
      </c>
      <c r="AR533">
        <f>SUMPRODUCT((B24:B31&lt;=$B$6)*(C24:C31*AM533+D24:D31*AO533*$B$8*AQ533)/(1+AL533/100)^B24:B31)+C32*AM533*AP533/(1+AL533/100)^$B$6</f>
        <v/>
      </c>
      <c r="AS533">
        <f>SUMPRODUCT((K24:K26&lt;=$B$6)*(L24:L26*AN533+M24:M26*AO533*$B$8*AQ533)/(1+AL533/100)^K24:K26)+L27*AN533*AP533/(1+AL533/100)^$B$6</f>
        <v/>
      </c>
      <c r="AT533">
        <f>AS533-AR533</f>
        <v/>
      </c>
      <c r="AU533">
        <f>RAND()</f>
        <v/>
      </c>
      <c r="AV533">
        <f>RAND()</f>
        <v/>
      </c>
      <c r="AW533">
        <f>RAND()</f>
        <v/>
      </c>
      <c r="AX533">
        <f>RAND()</f>
        <v/>
      </c>
      <c r="AY533">
        <f>RAND()</f>
        <v/>
      </c>
      <c r="AZ533">
        <f>RAND()</f>
        <v/>
      </c>
    </row>
    <row r="534">
      <c r="AK534" t="n">
        <v>521</v>
      </c>
      <c r="AL534">
        <f>IFERROR(IF(AU534&lt;($AM$6-$AL$6)/($AN$6-$AL$6),$AL$6+SQRT(AU534*($AN$6-$AL$6)*($AM$6-$AL$6)),$AN$6-SQRT((1-AU534)*($AN$6-$AL$6)*($AN$6-$AM$6))),$AM$6)</f>
        <v/>
      </c>
      <c r="AM534">
        <f>IFERROR(IF(AV534&lt;($AM$7-$AL$7)/($AN$7-$AL$7),$AL$7+SQRT(AV534*($AN$7-$AL$7)*($AM$7-$AL$7)),$AN$7-SQRT((1-AV534)*($AN$7-$AL$7)*($AN$7-$AM$7))),$AM$7)</f>
        <v/>
      </c>
      <c r="AN534">
        <f>IFERROR(IF(AW534&lt;($AM$8-$AL$8)/($AN$8-$AL$8),$AL$8+SQRT(AW534*($AN$8-$AL$8)*($AM$8-$AL$8)),$AN$8-SQRT((1-AW534)*($AN$8-$AL$8)*($AN$8-$AM$8))),$AM$8)</f>
        <v/>
      </c>
      <c r="AO534">
        <f>IFERROR(IF(AX534&lt;($AM$9-$AL$9)/($AN$9-$AL$9),$AL$9+SQRT(AX534*($AN$9-$AL$9)*($AM$9-$AL$9)),$AN$9-SQRT((1-AX534)*($AN$9-$AL$9)*($AN$9-$AM$9))),$AM$9)</f>
        <v/>
      </c>
      <c r="AP534">
        <f>IFERROR(IF(AY534&lt;($AM$10-$AL$10)/($AN$10-$AL$10),$AL$10+SQRT(AY534*($AN$10-$AL$10)*($AM$10-$AL$10)),$AN$10-SQRT((1-AY534)*($AN$10-$AL$10)*($AN$10-$AM$10))),$AM$10)</f>
        <v/>
      </c>
      <c r="AQ534">
        <f>IFERROR(IF(AZ534&lt;($AM$11-$AL$11)/($AN$11-$AL$11),$AL$11+SQRT(AZ534*($AN$11-$AL$11)*($AM$11-$AL$11)),$AN$11-SQRT((1-AZ534)*($AN$11-$AL$11)*($AN$11-$AM$11))),$AM$11)</f>
        <v/>
      </c>
      <c r="AR534">
        <f>SUMPRODUCT((B24:B31&lt;=$B$6)*(C24:C31*AM534+D24:D31*AO534*$B$8*AQ534)/(1+AL534/100)^B24:B31)+C32*AM534*AP534/(1+AL534/100)^$B$6</f>
        <v/>
      </c>
      <c r="AS534">
        <f>SUMPRODUCT((K24:K26&lt;=$B$6)*(L24:L26*AN534+M24:M26*AO534*$B$8*AQ534)/(1+AL534/100)^K24:K26)+L27*AN534*AP534/(1+AL534/100)^$B$6</f>
        <v/>
      </c>
      <c r="AT534">
        <f>AS534-AR534</f>
        <v/>
      </c>
      <c r="AU534">
        <f>RAND()</f>
        <v/>
      </c>
      <c r="AV534">
        <f>RAND()</f>
        <v/>
      </c>
      <c r="AW534">
        <f>RAND()</f>
        <v/>
      </c>
      <c r="AX534">
        <f>RAND()</f>
        <v/>
      </c>
      <c r="AY534">
        <f>RAND()</f>
        <v/>
      </c>
      <c r="AZ534">
        <f>RAND()</f>
        <v/>
      </c>
    </row>
    <row r="535">
      <c r="AK535" t="n">
        <v>522</v>
      </c>
      <c r="AL535">
        <f>IFERROR(IF(AU535&lt;($AM$6-$AL$6)/($AN$6-$AL$6),$AL$6+SQRT(AU535*($AN$6-$AL$6)*($AM$6-$AL$6)),$AN$6-SQRT((1-AU535)*($AN$6-$AL$6)*($AN$6-$AM$6))),$AM$6)</f>
        <v/>
      </c>
      <c r="AM535">
        <f>IFERROR(IF(AV535&lt;($AM$7-$AL$7)/($AN$7-$AL$7),$AL$7+SQRT(AV535*($AN$7-$AL$7)*($AM$7-$AL$7)),$AN$7-SQRT((1-AV535)*($AN$7-$AL$7)*($AN$7-$AM$7))),$AM$7)</f>
        <v/>
      </c>
      <c r="AN535">
        <f>IFERROR(IF(AW535&lt;($AM$8-$AL$8)/($AN$8-$AL$8),$AL$8+SQRT(AW535*($AN$8-$AL$8)*($AM$8-$AL$8)),$AN$8-SQRT((1-AW535)*($AN$8-$AL$8)*($AN$8-$AM$8))),$AM$8)</f>
        <v/>
      </c>
      <c r="AO535">
        <f>IFERROR(IF(AX535&lt;($AM$9-$AL$9)/($AN$9-$AL$9),$AL$9+SQRT(AX535*($AN$9-$AL$9)*($AM$9-$AL$9)),$AN$9-SQRT((1-AX535)*($AN$9-$AL$9)*($AN$9-$AM$9))),$AM$9)</f>
        <v/>
      </c>
      <c r="AP535">
        <f>IFERROR(IF(AY535&lt;($AM$10-$AL$10)/($AN$10-$AL$10),$AL$10+SQRT(AY535*($AN$10-$AL$10)*($AM$10-$AL$10)),$AN$10-SQRT((1-AY535)*($AN$10-$AL$10)*($AN$10-$AM$10))),$AM$10)</f>
        <v/>
      </c>
      <c r="AQ535">
        <f>IFERROR(IF(AZ535&lt;($AM$11-$AL$11)/($AN$11-$AL$11),$AL$11+SQRT(AZ535*($AN$11-$AL$11)*($AM$11-$AL$11)),$AN$11-SQRT((1-AZ535)*($AN$11-$AL$11)*($AN$11-$AM$11))),$AM$11)</f>
        <v/>
      </c>
      <c r="AR535">
        <f>SUMPRODUCT((B24:B31&lt;=$B$6)*(C24:C31*AM535+D24:D31*AO535*$B$8*AQ535)/(1+AL535/100)^B24:B31)+C32*AM535*AP535/(1+AL535/100)^$B$6</f>
        <v/>
      </c>
      <c r="AS535">
        <f>SUMPRODUCT((K24:K26&lt;=$B$6)*(L24:L26*AN535+M24:M26*AO535*$B$8*AQ535)/(1+AL535/100)^K24:K26)+L27*AN535*AP535/(1+AL535/100)^$B$6</f>
        <v/>
      </c>
      <c r="AT535">
        <f>AS535-AR535</f>
        <v/>
      </c>
      <c r="AU535">
        <f>RAND()</f>
        <v/>
      </c>
      <c r="AV535">
        <f>RAND()</f>
        <v/>
      </c>
      <c r="AW535">
        <f>RAND()</f>
        <v/>
      </c>
      <c r="AX535">
        <f>RAND()</f>
        <v/>
      </c>
      <c r="AY535">
        <f>RAND()</f>
        <v/>
      </c>
      <c r="AZ535">
        <f>RAND()</f>
        <v/>
      </c>
    </row>
    <row r="536">
      <c r="AK536" t="n">
        <v>523</v>
      </c>
      <c r="AL536">
        <f>IFERROR(IF(AU536&lt;($AM$6-$AL$6)/($AN$6-$AL$6),$AL$6+SQRT(AU536*($AN$6-$AL$6)*($AM$6-$AL$6)),$AN$6-SQRT((1-AU536)*($AN$6-$AL$6)*($AN$6-$AM$6))),$AM$6)</f>
        <v/>
      </c>
      <c r="AM536">
        <f>IFERROR(IF(AV536&lt;($AM$7-$AL$7)/($AN$7-$AL$7),$AL$7+SQRT(AV536*($AN$7-$AL$7)*($AM$7-$AL$7)),$AN$7-SQRT((1-AV536)*($AN$7-$AL$7)*($AN$7-$AM$7))),$AM$7)</f>
        <v/>
      </c>
      <c r="AN536">
        <f>IFERROR(IF(AW536&lt;($AM$8-$AL$8)/($AN$8-$AL$8),$AL$8+SQRT(AW536*($AN$8-$AL$8)*($AM$8-$AL$8)),$AN$8-SQRT((1-AW536)*($AN$8-$AL$8)*($AN$8-$AM$8))),$AM$8)</f>
        <v/>
      </c>
      <c r="AO536">
        <f>IFERROR(IF(AX536&lt;($AM$9-$AL$9)/($AN$9-$AL$9),$AL$9+SQRT(AX536*($AN$9-$AL$9)*($AM$9-$AL$9)),$AN$9-SQRT((1-AX536)*($AN$9-$AL$9)*($AN$9-$AM$9))),$AM$9)</f>
        <v/>
      </c>
      <c r="AP536">
        <f>IFERROR(IF(AY536&lt;($AM$10-$AL$10)/($AN$10-$AL$10),$AL$10+SQRT(AY536*($AN$10-$AL$10)*($AM$10-$AL$10)),$AN$10-SQRT((1-AY536)*($AN$10-$AL$10)*($AN$10-$AM$10))),$AM$10)</f>
        <v/>
      </c>
      <c r="AQ536">
        <f>IFERROR(IF(AZ536&lt;($AM$11-$AL$11)/($AN$11-$AL$11),$AL$11+SQRT(AZ536*($AN$11-$AL$11)*($AM$11-$AL$11)),$AN$11-SQRT((1-AZ536)*($AN$11-$AL$11)*($AN$11-$AM$11))),$AM$11)</f>
        <v/>
      </c>
      <c r="AR536">
        <f>SUMPRODUCT((B24:B31&lt;=$B$6)*(C24:C31*AM536+D24:D31*AO536*$B$8*AQ536)/(1+AL536/100)^B24:B31)+C32*AM536*AP536/(1+AL536/100)^$B$6</f>
        <v/>
      </c>
      <c r="AS536">
        <f>SUMPRODUCT((K24:K26&lt;=$B$6)*(L24:L26*AN536+M24:M26*AO536*$B$8*AQ536)/(1+AL536/100)^K24:K26)+L27*AN536*AP536/(1+AL536/100)^$B$6</f>
        <v/>
      </c>
      <c r="AT536">
        <f>AS536-AR536</f>
        <v/>
      </c>
      <c r="AU536">
        <f>RAND()</f>
        <v/>
      </c>
      <c r="AV536">
        <f>RAND()</f>
        <v/>
      </c>
      <c r="AW536">
        <f>RAND()</f>
        <v/>
      </c>
      <c r="AX536">
        <f>RAND()</f>
        <v/>
      </c>
      <c r="AY536">
        <f>RAND()</f>
        <v/>
      </c>
      <c r="AZ536">
        <f>RAND()</f>
        <v/>
      </c>
    </row>
    <row r="537">
      <c r="AK537" t="n">
        <v>524</v>
      </c>
      <c r="AL537">
        <f>IFERROR(IF(AU537&lt;($AM$6-$AL$6)/($AN$6-$AL$6),$AL$6+SQRT(AU537*($AN$6-$AL$6)*($AM$6-$AL$6)),$AN$6-SQRT((1-AU537)*($AN$6-$AL$6)*($AN$6-$AM$6))),$AM$6)</f>
        <v/>
      </c>
      <c r="AM537">
        <f>IFERROR(IF(AV537&lt;($AM$7-$AL$7)/($AN$7-$AL$7),$AL$7+SQRT(AV537*($AN$7-$AL$7)*($AM$7-$AL$7)),$AN$7-SQRT((1-AV537)*($AN$7-$AL$7)*($AN$7-$AM$7))),$AM$7)</f>
        <v/>
      </c>
      <c r="AN537">
        <f>IFERROR(IF(AW537&lt;($AM$8-$AL$8)/($AN$8-$AL$8),$AL$8+SQRT(AW537*($AN$8-$AL$8)*($AM$8-$AL$8)),$AN$8-SQRT((1-AW537)*($AN$8-$AL$8)*($AN$8-$AM$8))),$AM$8)</f>
        <v/>
      </c>
      <c r="AO537">
        <f>IFERROR(IF(AX537&lt;($AM$9-$AL$9)/($AN$9-$AL$9),$AL$9+SQRT(AX537*($AN$9-$AL$9)*($AM$9-$AL$9)),$AN$9-SQRT((1-AX537)*($AN$9-$AL$9)*($AN$9-$AM$9))),$AM$9)</f>
        <v/>
      </c>
      <c r="AP537">
        <f>IFERROR(IF(AY537&lt;($AM$10-$AL$10)/($AN$10-$AL$10),$AL$10+SQRT(AY537*($AN$10-$AL$10)*($AM$10-$AL$10)),$AN$10-SQRT((1-AY537)*($AN$10-$AL$10)*($AN$10-$AM$10))),$AM$10)</f>
        <v/>
      </c>
      <c r="AQ537">
        <f>IFERROR(IF(AZ537&lt;($AM$11-$AL$11)/($AN$11-$AL$11),$AL$11+SQRT(AZ537*($AN$11-$AL$11)*($AM$11-$AL$11)),$AN$11-SQRT((1-AZ537)*($AN$11-$AL$11)*($AN$11-$AM$11))),$AM$11)</f>
        <v/>
      </c>
      <c r="AR537">
        <f>SUMPRODUCT((B24:B31&lt;=$B$6)*(C24:C31*AM537+D24:D31*AO537*$B$8*AQ537)/(1+AL537/100)^B24:B31)+C32*AM537*AP537/(1+AL537/100)^$B$6</f>
        <v/>
      </c>
      <c r="AS537">
        <f>SUMPRODUCT((K24:K26&lt;=$B$6)*(L24:L26*AN537+M24:M26*AO537*$B$8*AQ537)/(1+AL537/100)^K24:K26)+L27*AN537*AP537/(1+AL537/100)^$B$6</f>
        <v/>
      </c>
      <c r="AT537">
        <f>AS537-AR537</f>
        <v/>
      </c>
      <c r="AU537">
        <f>RAND()</f>
        <v/>
      </c>
      <c r="AV537">
        <f>RAND()</f>
        <v/>
      </c>
      <c r="AW537">
        <f>RAND()</f>
        <v/>
      </c>
      <c r="AX537">
        <f>RAND()</f>
        <v/>
      </c>
      <c r="AY537">
        <f>RAND()</f>
        <v/>
      </c>
      <c r="AZ537">
        <f>RAND()</f>
        <v/>
      </c>
    </row>
    <row r="538">
      <c r="AK538" t="n">
        <v>525</v>
      </c>
      <c r="AL538">
        <f>IFERROR(IF(AU538&lt;($AM$6-$AL$6)/($AN$6-$AL$6),$AL$6+SQRT(AU538*($AN$6-$AL$6)*($AM$6-$AL$6)),$AN$6-SQRT((1-AU538)*($AN$6-$AL$6)*($AN$6-$AM$6))),$AM$6)</f>
        <v/>
      </c>
      <c r="AM538">
        <f>IFERROR(IF(AV538&lt;($AM$7-$AL$7)/($AN$7-$AL$7),$AL$7+SQRT(AV538*($AN$7-$AL$7)*($AM$7-$AL$7)),$AN$7-SQRT((1-AV538)*($AN$7-$AL$7)*($AN$7-$AM$7))),$AM$7)</f>
        <v/>
      </c>
      <c r="AN538">
        <f>IFERROR(IF(AW538&lt;($AM$8-$AL$8)/($AN$8-$AL$8),$AL$8+SQRT(AW538*($AN$8-$AL$8)*($AM$8-$AL$8)),$AN$8-SQRT((1-AW538)*($AN$8-$AL$8)*($AN$8-$AM$8))),$AM$8)</f>
        <v/>
      </c>
      <c r="AO538">
        <f>IFERROR(IF(AX538&lt;($AM$9-$AL$9)/($AN$9-$AL$9),$AL$9+SQRT(AX538*($AN$9-$AL$9)*($AM$9-$AL$9)),$AN$9-SQRT((1-AX538)*($AN$9-$AL$9)*($AN$9-$AM$9))),$AM$9)</f>
        <v/>
      </c>
      <c r="AP538">
        <f>IFERROR(IF(AY538&lt;($AM$10-$AL$10)/($AN$10-$AL$10),$AL$10+SQRT(AY538*($AN$10-$AL$10)*($AM$10-$AL$10)),$AN$10-SQRT((1-AY538)*($AN$10-$AL$10)*($AN$10-$AM$10))),$AM$10)</f>
        <v/>
      </c>
      <c r="AQ538">
        <f>IFERROR(IF(AZ538&lt;($AM$11-$AL$11)/($AN$11-$AL$11),$AL$11+SQRT(AZ538*($AN$11-$AL$11)*($AM$11-$AL$11)),$AN$11-SQRT((1-AZ538)*($AN$11-$AL$11)*($AN$11-$AM$11))),$AM$11)</f>
        <v/>
      </c>
      <c r="AR538">
        <f>SUMPRODUCT((B24:B31&lt;=$B$6)*(C24:C31*AM538+D24:D31*AO538*$B$8*AQ538)/(1+AL538/100)^B24:B31)+C32*AM538*AP538/(1+AL538/100)^$B$6</f>
        <v/>
      </c>
      <c r="AS538">
        <f>SUMPRODUCT((K24:K26&lt;=$B$6)*(L24:L26*AN538+M24:M26*AO538*$B$8*AQ538)/(1+AL538/100)^K24:K26)+L27*AN538*AP538/(1+AL538/100)^$B$6</f>
        <v/>
      </c>
      <c r="AT538">
        <f>AS538-AR538</f>
        <v/>
      </c>
      <c r="AU538">
        <f>RAND()</f>
        <v/>
      </c>
      <c r="AV538">
        <f>RAND()</f>
        <v/>
      </c>
      <c r="AW538">
        <f>RAND()</f>
        <v/>
      </c>
      <c r="AX538">
        <f>RAND()</f>
        <v/>
      </c>
      <c r="AY538">
        <f>RAND()</f>
        <v/>
      </c>
      <c r="AZ538">
        <f>RAND()</f>
        <v/>
      </c>
    </row>
    <row r="539">
      <c r="AK539" t="n">
        <v>526</v>
      </c>
      <c r="AL539">
        <f>IFERROR(IF(AU539&lt;($AM$6-$AL$6)/($AN$6-$AL$6),$AL$6+SQRT(AU539*($AN$6-$AL$6)*($AM$6-$AL$6)),$AN$6-SQRT((1-AU539)*($AN$6-$AL$6)*($AN$6-$AM$6))),$AM$6)</f>
        <v/>
      </c>
      <c r="AM539">
        <f>IFERROR(IF(AV539&lt;($AM$7-$AL$7)/($AN$7-$AL$7),$AL$7+SQRT(AV539*($AN$7-$AL$7)*($AM$7-$AL$7)),$AN$7-SQRT((1-AV539)*($AN$7-$AL$7)*($AN$7-$AM$7))),$AM$7)</f>
        <v/>
      </c>
      <c r="AN539">
        <f>IFERROR(IF(AW539&lt;($AM$8-$AL$8)/($AN$8-$AL$8),$AL$8+SQRT(AW539*($AN$8-$AL$8)*($AM$8-$AL$8)),$AN$8-SQRT((1-AW539)*($AN$8-$AL$8)*($AN$8-$AM$8))),$AM$8)</f>
        <v/>
      </c>
      <c r="AO539">
        <f>IFERROR(IF(AX539&lt;($AM$9-$AL$9)/($AN$9-$AL$9),$AL$9+SQRT(AX539*($AN$9-$AL$9)*($AM$9-$AL$9)),$AN$9-SQRT((1-AX539)*($AN$9-$AL$9)*($AN$9-$AM$9))),$AM$9)</f>
        <v/>
      </c>
      <c r="AP539">
        <f>IFERROR(IF(AY539&lt;($AM$10-$AL$10)/($AN$10-$AL$10),$AL$10+SQRT(AY539*($AN$10-$AL$10)*($AM$10-$AL$10)),$AN$10-SQRT((1-AY539)*($AN$10-$AL$10)*($AN$10-$AM$10))),$AM$10)</f>
        <v/>
      </c>
      <c r="AQ539">
        <f>IFERROR(IF(AZ539&lt;($AM$11-$AL$11)/($AN$11-$AL$11),$AL$11+SQRT(AZ539*($AN$11-$AL$11)*($AM$11-$AL$11)),$AN$11-SQRT((1-AZ539)*($AN$11-$AL$11)*($AN$11-$AM$11))),$AM$11)</f>
        <v/>
      </c>
      <c r="AR539">
        <f>SUMPRODUCT((B24:B31&lt;=$B$6)*(C24:C31*AM539+D24:D31*AO539*$B$8*AQ539)/(1+AL539/100)^B24:B31)+C32*AM539*AP539/(1+AL539/100)^$B$6</f>
        <v/>
      </c>
      <c r="AS539">
        <f>SUMPRODUCT((K24:K26&lt;=$B$6)*(L24:L26*AN539+M24:M26*AO539*$B$8*AQ539)/(1+AL539/100)^K24:K26)+L27*AN539*AP539/(1+AL539/100)^$B$6</f>
        <v/>
      </c>
      <c r="AT539">
        <f>AS539-AR539</f>
        <v/>
      </c>
      <c r="AU539">
        <f>RAND()</f>
        <v/>
      </c>
      <c r="AV539">
        <f>RAND()</f>
        <v/>
      </c>
      <c r="AW539">
        <f>RAND()</f>
        <v/>
      </c>
      <c r="AX539">
        <f>RAND()</f>
        <v/>
      </c>
      <c r="AY539">
        <f>RAND()</f>
        <v/>
      </c>
      <c r="AZ539">
        <f>RAND()</f>
        <v/>
      </c>
    </row>
    <row r="540">
      <c r="AK540" t="n">
        <v>527</v>
      </c>
      <c r="AL540">
        <f>IFERROR(IF(AU540&lt;($AM$6-$AL$6)/($AN$6-$AL$6),$AL$6+SQRT(AU540*($AN$6-$AL$6)*($AM$6-$AL$6)),$AN$6-SQRT((1-AU540)*($AN$6-$AL$6)*($AN$6-$AM$6))),$AM$6)</f>
        <v/>
      </c>
      <c r="AM540">
        <f>IFERROR(IF(AV540&lt;($AM$7-$AL$7)/($AN$7-$AL$7),$AL$7+SQRT(AV540*($AN$7-$AL$7)*($AM$7-$AL$7)),$AN$7-SQRT((1-AV540)*($AN$7-$AL$7)*($AN$7-$AM$7))),$AM$7)</f>
        <v/>
      </c>
      <c r="AN540">
        <f>IFERROR(IF(AW540&lt;($AM$8-$AL$8)/($AN$8-$AL$8),$AL$8+SQRT(AW540*($AN$8-$AL$8)*($AM$8-$AL$8)),$AN$8-SQRT((1-AW540)*($AN$8-$AL$8)*($AN$8-$AM$8))),$AM$8)</f>
        <v/>
      </c>
      <c r="AO540">
        <f>IFERROR(IF(AX540&lt;($AM$9-$AL$9)/($AN$9-$AL$9),$AL$9+SQRT(AX540*($AN$9-$AL$9)*($AM$9-$AL$9)),$AN$9-SQRT((1-AX540)*($AN$9-$AL$9)*($AN$9-$AM$9))),$AM$9)</f>
        <v/>
      </c>
      <c r="AP540">
        <f>IFERROR(IF(AY540&lt;($AM$10-$AL$10)/($AN$10-$AL$10),$AL$10+SQRT(AY540*($AN$10-$AL$10)*($AM$10-$AL$10)),$AN$10-SQRT((1-AY540)*($AN$10-$AL$10)*($AN$10-$AM$10))),$AM$10)</f>
        <v/>
      </c>
      <c r="AQ540">
        <f>IFERROR(IF(AZ540&lt;($AM$11-$AL$11)/($AN$11-$AL$11),$AL$11+SQRT(AZ540*($AN$11-$AL$11)*($AM$11-$AL$11)),$AN$11-SQRT((1-AZ540)*($AN$11-$AL$11)*($AN$11-$AM$11))),$AM$11)</f>
        <v/>
      </c>
      <c r="AR540">
        <f>SUMPRODUCT((B24:B31&lt;=$B$6)*(C24:C31*AM540+D24:D31*AO540*$B$8*AQ540)/(1+AL540/100)^B24:B31)+C32*AM540*AP540/(1+AL540/100)^$B$6</f>
        <v/>
      </c>
      <c r="AS540">
        <f>SUMPRODUCT((K24:K26&lt;=$B$6)*(L24:L26*AN540+M24:M26*AO540*$B$8*AQ540)/(1+AL540/100)^K24:K26)+L27*AN540*AP540/(1+AL540/100)^$B$6</f>
        <v/>
      </c>
      <c r="AT540">
        <f>AS540-AR540</f>
        <v/>
      </c>
      <c r="AU540">
        <f>RAND()</f>
        <v/>
      </c>
      <c r="AV540">
        <f>RAND()</f>
        <v/>
      </c>
      <c r="AW540">
        <f>RAND()</f>
        <v/>
      </c>
      <c r="AX540">
        <f>RAND()</f>
        <v/>
      </c>
      <c r="AY540">
        <f>RAND()</f>
        <v/>
      </c>
      <c r="AZ540">
        <f>RAND()</f>
        <v/>
      </c>
    </row>
    <row r="541">
      <c r="AK541" t="n">
        <v>528</v>
      </c>
      <c r="AL541">
        <f>IFERROR(IF(AU541&lt;($AM$6-$AL$6)/($AN$6-$AL$6),$AL$6+SQRT(AU541*($AN$6-$AL$6)*($AM$6-$AL$6)),$AN$6-SQRT((1-AU541)*($AN$6-$AL$6)*($AN$6-$AM$6))),$AM$6)</f>
        <v/>
      </c>
      <c r="AM541">
        <f>IFERROR(IF(AV541&lt;($AM$7-$AL$7)/($AN$7-$AL$7),$AL$7+SQRT(AV541*($AN$7-$AL$7)*($AM$7-$AL$7)),$AN$7-SQRT((1-AV541)*($AN$7-$AL$7)*($AN$7-$AM$7))),$AM$7)</f>
        <v/>
      </c>
      <c r="AN541">
        <f>IFERROR(IF(AW541&lt;($AM$8-$AL$8)/($AN$8-$AL$8),$AL$8+SQRT(AW541*($AN$8-$AL$8)*($AM$8-$AL$8)),$AN$8-SQRT((1-AW541)*($AN$8-$AL$8)*($AN$8-$AM$8))),$AM$8)</f>
        <v/>
      </c>
      <c r="AO541">
        <f>IFERROR(IF(AX541&lt;($AM$9-$AL$9)/($AN$9-$AL$9),$AL$9+SQRT(AX541*($AN$9-$AL$9)*($AM$9-$AL$9)),$AN$9-SQRT((1-AX541)*($AN$9-$AL$9)*($AN$9-$AM$9))),$AM$9)</f>
        <v/>
      </c>
      <c r="AP541">
        <f>IFERROR(IF(AY541&lt;($AM$10-$AL$10)/($AN$10-$AL$10),$AL$10+SQRT(AY541*($AN$10-$AL$10)*($AM$10-$AL$10)),$AN$10-SQRT((1-AY541)*($AN$10-$AL$10)*($AN$10-$AM$10))),$AM$10)</f>
        <v/>
      </c>
      <c r="AQ541">
        <f>IFERROR(IF(AZ541&lt;($AM$11-$AL$11)/($AN$11-$AL$11),$AL$11+SQRT(AZ541*($AN$11-$AL$11)*($AM$11-$AL$11)),$AN$11-SQRT((1-AZ541)*($AN$11-$AL$11)*($AN$11-$AM$11))),$AM$11)</f>
        <v/>
      </c>
      <c r="AR541">
        <f>SUMPRODUCT((B24:B31&lt;=$B$6)*(C24:C31*AM541+D24:D31*AO541*$B$8*AQ541)/(1+AL541/100)^B24:B31)+C32*AM541*AP541/(1+AL541/100)^$B$6</f>
        <v/>
      </c>
      <c r="AS541">
        <f>SUMPRODUCT((K24:K26&lt;=$B$6)*(L24:L26*AN541+M24:M26*AO541*$B$8*AQ541)/(1+AL541/100)^K24:K26)+L27*AN541*AP541/(1+AL541/100)^$B$6</f>
        <v/>
      </c>
      <c r="AT541">
        <f>AS541-AR541</f>
        <v/>
      </c>
      <c r="AU541">
        <f>RAND()</f>
        <v/>
      </c>
      <c r="AV541">
        <f>RAND()</f>
        <v/>
      </c>
      <c r="AW541">
        <f>RAND()</f>
        <v/>
      </c>
      <c r="AX541">
        <f>RAND()</f>
        <v/>
      </c>
      <c r="AY541">
        <f>RAND()</f>
        <v/>
      </c>
      <c r="AZ541">
        <f>RAND()</f>
        <v/>
      </c>
    </row>
    <row r="542">
      <c r="AK542" t="n">
        <v>529</v>
      </c>
      <c r="AL542">
        <f>IFERROR(IF(AU542&lt;($AM$6-$AL$6)/($AN$6-$AL$6),$AL$6+SQRT(AU542*($AN$6-$AL$6)*($AM$6-$AL$6)),$AN$6-SQRT((1-AU542)*($AN$6-$AL$6)*($AN$6-$AM$6))),$AM$6)</f>
        <v/>
      </c>
      <c r="AM542">
        <f>IFERROR(IF(AV542&lt;($AM$7-$AL$7)/($AN$7-$AL$7),$AL$7+SQRT(AV542*($AN$7-$AL$7)*($AM$7-$AL$7)),$AN$7-SQRT((1-AV542)*($AN$7-$AL$7)*($AN$7-$AM$7))),$AM$7)</f>
        <v/>
      </c>
      <c r="AN542">
        <f>IFERROR(IF(AW542&lt;($AM$8-$AL$8)/($AN$8-$AL$8),$AL$8+SQRT(AW542*($AN$8-$AL$8)*($AM$8-$AL$8)),$AN$8-SQRT((1-AW542)*($AN$8-$AL$8)*($AN$8-$AM$8))),$AM$8)</f>
        <v/>
      </c>
      <c r="AO542">
        <f>IFERROR(IF(AX542&lt;($AM$9-$AL$9)/($AN$9-$AL$9),$AL$9+SQRT(AX542*($AN$9-$AL$9)*($AM$9-$AL$9)),$AN$9-SQRT((1-AX542)*($AN$9-$AL$9)*($AN$9-$AM$9))),$AM$9)</f>
        <v/>
      </c>
      <c r="AP542">
        <f>IFERROR(IF(AY542&lt;($AM$10-$AL$10)/($AN$10-$AL$10),$AL$10+SQRT(AY542*($AN$10-$AL$10)*($AM$10-$AL$10)),$AN$10-SQRT((1-AY542)*($AN$10-$AL$10)*($AN$10-$AM$10))),$AM$10)</f>
        <v/>
      </c>
      <c r="AQ542">
        <f>IFERROR(IF(AZ542&lt;($AM$11-$AL$11)/($AN$11-$AL$11),$AL$11+SQRT(AZ542*($AN$11-$AL$11)*($AM$11-$AL$11)),$AN$11-SQRT((1-AZ542)*($AN$11-$AL$11)*($AN$11-$AM$11))),$AM$11)</f>
        <v/>
      </c>
      <c r="AR542">
        <f>SUMPRODUCT((B24:B31&lt;=$B$6)*(C24:C31*AM542+D24:D31*AO542*$B$8*AQ542)/(1+AL542/100)^B24:B31)+C32*AM542*AP542/(1+AL542/100)^$B$6</f>
        <v/>
      </c>
      <c r="AS542">
        <f>SUMPRODUCT((K24:K26&lt;=$B$6)*(L24:L26*AN542+M24:M26*AO542*$B$8*AQ542)/(1+AL542/100)^K24:K26)+L27*AN542*AP542/(1+AL542/100)^$B$6</f>
        <v/>
      </c>
      <c r="AT542">
        <f>AS542-AR542</f>
        <v/>
      </c>
      <c r="AU542">
        <f>RAND()</f>
        <v/>
      </c>
      <c r="AV542">
        <f>RAND()</f>
        <v/>
      </c>
      <c r="AW542">
        <f>RAND()</f>
        <v/>
      </c>
      <c r="AX542">
        <f>RAND()</f>
        <v/>
      </c>
      <c r="AY542">
        <f>RAND()</f>
        <v/>
      </c>
      <c r="AZ542">
        <f>RAND()</f>
        <v/>
      </c>
    </row>
    <row r="543">
      <c r="AK543" t="n">
        <v>530</v>
      </c>
      <c r="AL543">
        <f>IFERROR(IF(AU543&lt;($AM$6-$AL$6)/($AN$6-$AL$6),$AL$6+SQRT(AU543*($AN$6-$AL$6)*($AM$6-$AL$6)),$AN$6-SQRT((1-AU543)*($AN$6-$AL$6)*($AN$6-$AM$6))),$AM$6)</f>
        <v/>
      </c>
      <c r="AM543">
        <f>IFERROR(IF(AV543&lt;($AM$7-$AL$7)/($AN$7-$AL$7),$AL$7+SQRT(AV543*($AN$7-$AL$7)*($AM$7-$AL$7)),$AN$7-SQRT((1-AV543)*($AN$7-$AL$7)*($AN$7-$AM$7))),$AM$7)</f>
        <v/>
      </c>
      <c r="AN543">
        <f>IFERROR(IF(AW543&lt;($AM$8-$AL$8)/($AN$8-$AL$8),$AL$8+SQRT(AW543*($AN$8-$AL$8)*($AM$8-$AL$8)),$AN$8-SQRT((1-AW543)*($AN$8-$AL$8)*($AN$8-$AM$8))),$AM$8)</f>
        <v/>
      </c>
      <c r="AO543">
        <f>IFERROR(IF(AX543&lt;($AM$9-$AL$9)/($AN$9-$AL$9),$AL$9+SQRT(AX543*($AN$9-$AL$9)*($AM$9-$AL$9)),$AN$9-SQRT((1-AX543)*($AN$9-$AL$9)*($AN$9-$AM$9))),$AM$9)</f>
        <v/>
      </c>
      <c r="AP543">
        <f>IFERROR(IF(AY543&lt;($AM$10-$AL$10)/($AN$10-$AL$10),$AL$10+SQRT(AY543*($AN$10-$AL$10)*($AM$10-$AL$10)),$AN$10-SQRT((1-AY543)*($AN$10-$AL$10)*($AN$10-$AM$10))),$AM$10)</f>
        <v/>
      </c>
      <c r="AQ543">
        <f>IFERROR(IF(AZ543&lt;($AM$11-$AL$11)/($AN$11-$AL$11),$AL$11+SQRT(AZ543*($AN$11-$AL$11)*($AM$11-$AL$11)),$AN$11-SQRT((1-AZ543)*($AN$11-$AL$11)*($AN$11-$AM$11))),$AM$11)</f>
        <v/>
      </c>
      <c r="AR543">
        <f>SUMPRODUCT((B24:B31&lt;=$B$6)*(C24:C31*AM543+D24:D31*AO543*$B$8*AQ543)/(1+AL543/100)^B24:B31)+C32*AM543*AP543/(1+AL543/100)^$B$6</f>
        <v/>
      </c>
      <c r="AS543">
        <f>SUMPRODUCT((K24:K26&lt;=$B$6)*(L24:L26*AN543+M24:M26*AO543*$B$8*AQ543)/(1+AL543/100)^K24:K26)+L27*AN543*AP543/(1+AL543/100)^$B$6</f>
        <v/>
      </c>
      <c r="AT543">
        <f>AS543-AR543</f>
        <v/>
      </c>
      <c r="AU543">
        <f>RAND()</f>
        <v/>
      </c>
      <c r="AV543">
        <f>RAND()</f>
        <v/>
      </c>
      <c r="AW543">
        <f>RAND()</f>
        <v/>
      </c>
      <c r="AX543">
        <f>RAND()</f>
        <v/>
      </c>
      <c r="AY543">
        <f>RAND()</f>
        <v/>
      </c>
      <c r="AZ543">
        <f>RAND()</f>
        <v/>
      </c>
    </row>
    <row r="544">
      <c r="AK544" t="n">
        <v>531</v>
      </c>
      <c r="AL544">
        <f>IFERROR(IF(AU544&lt;($AM$6-$AL$6)/($AN$6-$AL$6),$AL$6+SQRT(AU544*($AN$6-$AL$6)*($AM$6-$AL$6)),$AN$6-SQRT((1-AU544)*($AN$6-$AL$6)*($AN$6-$AM$6))),$AM$6)</f>
        <v/>
      </c>
      <c r="AM544">
        <f>IFERROR(IF(AV544&lt;($AM$7-$AL$7)/($AN$7-$AL$7),$AL$7+SQRT(AV544*($AN$7-$AL$7)*($AM$7-$AL$7)),$AN$7-SQRT((1-AV544)*($AN$7-$AL$7)*($AN$7-$AM$7))),$AM$7)</f>
        <v/>
      </c>
      <c r="AN544">
        <f>IFERROR(IF(AW544&lt;($AM$8-$AL$8)/($AN$8-$AL$8),$AL$8+SQRT(AW544*($AN$8-$AL$8)*($AM$8-$AL$8)),$AN$8-SQRT((1-AW544)*($AN$8-$AL$8)*($AN$8-$AM$8))),$AM$8)</f>
        <v/>
      </c>
      <c r="AO544">
        <f>IFERROR(IF(AX544&lt;($AM$9-$AL$9)/($AN$9-$AL$9),$AL$9+SQRT(AX544*($AN$9-$AL$9)*($AM$9-$AL$9)),$AN$9-SQRT((1-AX544)*($AN$9-$AL$9)*($AN$9-$AM$9))),$AM$9)</f>
        <v/>
      </c>
      <c r="AP544">
        <f>IFERROR(IF(AY544&lt;($AM$10-$AL$10)/($AN$10-$AL$10),$AL$10+SQRT(AY544*($AN$10-$AL$10)*($AM$10-$AL$10)),$AN$10-SQRT((1-AY544)*($AN$10-$AL$10)*($AN$10-$AM$10))),$AM$10)</f>
        <v/>
      </c>
      <c r="AQ544">
        <f>IFERROR(IF(AZ544&lt;($AM$11-$AL$11)/($AN$11-$AL$11),$AL$11+SQRT(AZ544*($AN$11-$AL$11)*($AM$11-$AL$11)),$AN$11-SQRT((1-AZ544)*($AN$11-$AL$11)*($AN$11-$AM$11))),$AM$11)</f>
        <v/>
      </c>
      <c r="AR544">
        <f>SUMPRODUCT((B24:B31&lt;=$B$6)*(C24:C31*AM544+D24:D31*AO544*$B$8*AQ544)/(1+AL544/100)^B24:B31)+C32*AM544*AP544/(1+AL544/100)^$B$6</f>
        <v/>
      </c>
      <c r="AS544">
        <f>SUMPRODUCT((K24:K26&lt;=$B$6)*(L24:L26*AN544+M24:M26*AO544*$B$8*AQ544)/(1+AL544/100)^K24:K26)+L27*AN544*AP544/(1+AL544/100)^$B$6</f>
        <v/>
      </c>
      <c r="AT544">
        <f>AS544-AR544</f>
        <v/>
      </c>
      <c r="AU544">
        <f>RAND()</f>
        <v/>
      </c>
      <c r="AV544">
        <f>RAND()</f>
        <v/>
      </c>
      <c r="AW544">
        <f>RAND()</f>
        <v/>
      </c>
      <c r="AX544">
        <f>RAND()</f>
        <v/>
      </c>
      <c r="AY544">
        <f>RAND()</f>
        <v/>
      </c>
      <c r="AZ544">
        <f>RAND()</f>
        <v/>
      </c>
    </row>
    <row r="545">
      <c r="AK545" t="n">
        <v>532</v>
      </c>
      <c r="AL545">
        <f>IFERROR(IF(AU545&lt;($AM$6-$AL$6)/($AN$6-$AL$6),$AL$6+SQRT(AU545*($AN$6-$AL$6)*($AM$6-$AL$6)),$AN$6-SQRT((1-AU545)*($AN$6-$AL$6)*($AN$6-$AM$6))),$AM$6)</f>
        <v/>
      </c>
      <c r="AM545">
        <f>IFERROR(IF(AV545&lt;($AM$7-$AL$7)/($AN$7-$AL$7),$AL$7+SQRT(AV545*($AN$7-$AL$7)*($AM$7-$AL$7)),$AN$7-SQRT((1-AV545)*($AN$7-$AL$7)*($AN$7-$AM$7))),$AM$7)</f>
        <v/>
      </c>
      <c r="AN545">
        <f>IFERROR(IF(AW545&lt;($AM$8-$AL$8)/($AN$8-$AL$8),$AL$8+SQRT(AW545*($AN$8-$AL$8)*($AM$8-$AL$8)),$AN$8-SQRT((1-AW545)*($AN$8-$AL$8)*($AN$8-$AM$8))),$AM$8)</f>
        <v/>
      </c>
      <c r="AO545">
        <f>IFERROR(IF(AX545&lt;($AM$9-$AL$9)/($AN$9-$AL$9),$AL$9+SQRT(AX545*($AN$9-$AL$9)*($AM$9-$AL$9)),$AN$9-SQRT((1-AX545)*($AN$9-$AL$9)*($AN$9-$AM$9))),$AM$9)</f>
        <v/>
      </c>
      <c r="AP545">
        <f>IFERROR(IF(AY545&lt;($AM$10-$AL$10)/($AN$10-$AL$10),$AL$10+SQRT(AY545*($AN$10-$AL$10)*($AM$10-$AL$10)),$AN$10-SQRT((1-AY545)*($AN$10-$AL$10)*($AN$10-$AM$10))),$AM$10)</f>
        <v/>
      </c>
      <c r="AQ545">
        <f>IFERROR(IF(AZ545&lt;($AM$11-$AL$11)/($AN$11-$AL$11),$AL$11+SQRT(AZ545*($AN$11-$AL$11)*($AM$11-$AL$11)),$AN$11-SQRT((1-AZ545)*($AN$11-$AL$11)*($AN$11-$AM$11))),$AM$11)</f>
        <v/>
      </c>
      <c r="AR545">
        <f>SUMPRODUCT((B24:B31&lt;=$B$6)*(C24:C31*AM545+D24:D31*AO545*$B$8*AQ545)/(1+AL545/100)^B24:B31)+C32*AM545*AP545/(1+AL545/100)^$B$6</f>
        <v/>
      </c>
      <c r="AS545">
        <f>SUMPRODUCT((K24:K26&lt;=$B$6)*(L24:L26*AN545+M24:M26*AO545*$B$8*AQ545)/(1+AL545/100)^K24:K26)+L27*AN545*AP545/(1+AL545/100)^$B$6</f>
        <v/>
      </c>
      <c r="AT545">
        <f>AS545-AR545</f>
        <v/>
      </c>
      <c r="AU545">
        <f>RAND()</f>
        <v/>
      </c>
      <c r="AV545">
        <f>RAND()</f>
        <v/>
      </c>
      <c r="AW545">
        <f>RAND()</f>
        <v/>
      </c>
      <c r="AX545">
        <f>RAND()</f>
        <v/>
      </c>
      <c r="AY545">
        <f>RAND()</f>
        <v/>
      </c>
      <c r="AZ545">
        <f>RAND()</f>
        <v/>
      </c>
    </row>
    <row r="546">
      <c r="AK546" t="n">
        <v>533</v>
      </c>
      <c r="AL546">
        <f>IFERROR(IF(AU546&lt;($AM$6-$AL$6)/($AN$6-$AL$6),$AL$6+SQRT(AU546*($AN$6-$AL$6)*($AM$6-$AL$6)),$AN$6-SQRT((1-AU546)*($AN$6-$AL$6)*($AN$6-$AM$6))),$AM$6)</f>
        <v/>
      </c>
      <c r="AM546">
        <f>IFERROR(IF(AV546&lt;($AM$7-$AL$7)/($AN$7-$AL$7),$AL$7+SQRT(AV546*($AN$7-$AL$7)*($AM$7-$AL$7)),$AN$7-SQRT((1-AV546)*($AN$7-$AL$7)*($AN$7-$AM$7))),$AM$7)</f>
        <v/>
      </c>
      <c r="AN546">
        <f>IFERROR(IF(AW546&lt;($AM$8-$AL$8)/($AN$8-$AL$8),$AL$8+SQRT(AW546*($AN$8-$AL$8)*($AM$8-$AL$8)),$AN$8-SQRT((1-AW546)*($AN$8-$AL$8)*($AN$8-$AM$8))),$AM$8)</f>
        <v/>
      </c>
      <c r="AO546">
        <f>IFERROR(IF(AX546&lt;($AM$9-$AL$9)/($AN$9-$AL$9),$AL$9+SQRT(AX546*($AN$9-$AL$9)*($AM$9-$AL$9)),$AN$9-SQRT((1-AX546)*($AN$9-$AL$9)*($AN$9-$AM$9))),$AM$9)</f>
        <v/>
      </c>
      <c r="AP546">
        <f>IFERROR(IF(AY546&lt;($AM$10-$AL$10)/($AN$10-$AL$10),$AL$10+SQRT(AY546*($AN$10-$AL$10)*($AM$10-$AL$10)),$AN$10-SQRT((1-AY546)*($AN$10-$AL$10)*($AN$10-$AM$10))),$AM$10)</f>
        <v/>
      </c>
      <c r="AQ546">
        <f>IFERROR(IF(AZ546&lt;($AM$11-$AL$11)/($AN$11-$AL$11),$AL$11+SQRT(AZ546*($AN$11-$AL$11)*($AM$11-$AL$11)),$AN$11-SQRT((1-AZ546)*($AN$11-$AL$11)*($AN$11-$AM$11))),$AM$11)</f>
        <v/>
      </c>
      <c r="AR546">
        <f>SUMPRODUCT((B24:B31&lt;=$B$6)*(C24:C31*AM546+D24:D31*AO546*$B$8*AQ546)/(1+AL546/100)^B24:B31)+C32*AM546*AP546/(1+AL546/100)^$B$6</f>
        <v/>
      </c>
      <c r="AS546">
        <f>SUMPRODUCT((K24:K26&lt;=$B$6)*(L24:L26*AN546+M24:M26*AO546*$B$8*AQ546)/(1+AL546/100)^K24:K26)+L27*AN546*AP546/(1+AL546/100)^$B$6</f>
        <v/>
      </c>
      <c r="AT546">
        <f>AS546-AR546</f>
        <v/>
      </c>
      <c r="AU546">
        <f>RAND()</f>
        <v/>
      </c>
      <c r="AV546">
        <f>RAND()</f>
        <v/>
      </c>
      <c r="AW546">
        <f>RAND()</f>
        <v/>
      </c>
      <c r="AX546">
        <f>RAND()</f>
        <v/>
      </c>
      <c r="AY546">
        <f>RAND()</f>
        <v/>
      </c>
      <c r="AZ546">
        <f>RAND()</f>
        <v/>
      </c>
    </row>
    <row r="547">
      <c r="AK547" t="n">
        <v>534</v>
      </c>
      <c r="AL547">
        <f>IFERROR(IF(AU547&lt;($AM$6-$AL$6)/($AN$6-$AL$6),$AL$6+SQRT(AU547*($AN$6-$AL$6)*($AM$6-$AL$6)),$AN$6-SQRT((1-AU547)*($AN$6-$AL$6)*($AN$6-$AM$6))),$AM$6)</f>
        <v/>
      </c>
      <c r="AM547">
        <f>IFERROR(IF(AV547&lt;($AM$7-$AL$7)/($AN$7-$AL$7),$AL$7+SQRT(AV547*($AN$7-$AL$7)*($AM$7-$AL$7)),$AN$7-SQRT((1-AV547)*($AN$7-$AL$7)*($AN$7-$AM$7))),$AM$7)</f>
        <v/>
      </c>
      <c r="AN547">
        <f>IFERROR(IF(AW547&lt;($AM$8-$AL$8)/($AN$8-$AL$8),$AL$8+SQRT(AW547*($AN$8-$AL$8)*($AM$8-$AL$8)),$AN$8-SQRT((1-AW547)*($AN$8-$AL$8)*($AN$8-$AM$8))),$AM$8)</f>
        <v/>
      </c>
      <c r="AO547">
        <f>IFERROR(IF(AX547&lt;($AM$9-$AL$9)/($AN$9-$AL$9),$AL$9+SQRT(AX547*($AN$9-$AL$9)*($AM$9-$AL$9)),$AN$9-SQRT((1-AX547)*($AN$9-$AL$9)*($AN$9-$AM$9))),$AM$9)</f>
        <v/>
      </c>
      <c r="AP547">
        <f>IFERROR(IF(AY547&lt;($AM$10-$AL$10)/($AN$10-$AL$10),$AL$10+SQRT(AY547*($AN$10-$AL$10)*($AM$10-$AL$10)),$AN$10-SQRT((1-AY547)*($AN$10-$AL$10)*($AN$10-$AM$10))),$AM$10)</f>
        <v/>
      </c>
      <c r="AQ547">
        <f>IFERROR(IF(AZ547&lt;($AM$11-$AL$11)/($AN$11-$AL$11),$AL$11+SQRT(AZ547*($AN$11-$AL$11)*($AM$11-$AL$11)),$AN$11-SQRT((1-AZ547)*($AN$11-$AL$11)*($AN$11-$AM$11))),$AM$11)</f>
        <v/>
      </c>
      <c r="AR547">
        <f>SUMPRODUCT((B24:B31&lt;=$B$6)*(C24:C31*AM547+D24:D31*AO547*$B$8*AQ547)/(1+AL547/100)^B24:B31)+C32*AM547*AP547/(1+AL547/100)^$B$6</f>
        <v/>
      </c>
      <c r="AS547">
        <f>SUMPRODUCT((K24:K26&lt;=$B$6)*(L24:L26*AN547+M24:M26*AO547*$B$8*AQ547)/(1+AL547/100)^K24:K26)+L27*AN547*AP547/(1+AL547/100)^$B$6</f>
        <v/>
      </c>
      <c r="AT547">
        <f>AS547-AR547</f>
        <v/>
      </c>
      <c r="AU547">
        <f>RAND()</f>
        <v/>
      </c>
      <c r="AV547">
        <f>RAND()</f>
        <v/>
      </c>
      <c r="AW547">
        <f>RAND()</f>
        <v/>
      </c>
      <c r="AX547">
        <f>RAND()</f>
        <v/>
      </c>
      <c r="AY547">
        <f>RAND()</f>
        <v/>
      </c>
      <c r="AZ547">
        <f>RAND()</f>
        <v/>
      </c>
    </row>
    <row r="548">
      <c r="AK548" t="n">
        <v>535</v>
      </c>
      <c r="AL548">
        <f>IFERROR(IF(AU548&lt;($AM$6-$AL$6)/($AN$6-$AL$6),$AL$6+SQRT(AU548*($AN$6-$AL$6)*($AM$6-$AL$6)),$AN$6-SQRT((1-AU548)*($AN$6-$AL$6)*($AN$6-$AM$6))),$AM$6)</f>
        <v/>
      </c>
      <c r="AM548">
        <f>IFERROR(IF(AV548&lt;($AM$7-$AL$7)/($AN$7-$AL$7),$AL$7+SQRT(AV548*($AN$7-$AL$7)*($AM$7-$AL$7)),$AN$7-SQRT((1-AV548)*($AN$7-$AL$7)*($AN$7-$AM$7))),$AM$7)</f>
        <v/>
      </c>
      <c r="AN548">
        <f>IFERROR(IF(AW548&lt;($AM$8-$AL$8)/($AN$8-$AL$8),$AL$8+SQRT(AW548*($AN$8-$AL$8)*($AM$8-$AL$8)),$AN$8-SQRT((1-AW548)*($AN$8-$AL$8)*($AN$8-$AM$8))),$AM$8)</f>
        <v/>
      </c>
      <c r="AO548">
        <f>IFERROR(IF(AX548&lt;($AM$9-$AL$9)/($AN$9-$AL$9),$AL$9+SQRT(AX548*($AN$9-$AL$9)*($AM$9-$AL$9)),$AN$9-SQRT((1-AX548)*($AN$9-$AL$9)*($AN$9-$AM$9))),$AM$9)</f>
        <v/>
      </c>
      <c r="AP548">
        <f>IFERROR(IF(AY548&lt;($AM$10-$AL$10)/($AN$10-$AL$10),$AL$10+SQRT(AY548*($AN$10-$AL$10)*($AM$10-$AL$10)),$AN$10-SQRT((1-AY548)*($AN$10-$AL$10)*($AN$10-$AM$10))),$AM$10)</f>
        <v/>
      </c>
      <c r="AQ548">
        <f>IFERROR(IF(AZ548&lt;($AM$11-$AL$11)/($AN$11-$AL$11),$AL$11+SQRT(AZ548*($AN$11-$AL$11)*($AM$11-$AL$11)),$AN$11-SQRT((1-AZ548)*($AN$11-$AL$11)*($AN$11-$AM$11))),$AM$11)</f>
        <v/>
      </c>
      <c r="AR548">
        <f>SUMPRODUCT((B24:B31&lt;=$B$6)*(C24:C31*AM548+D24:D31*AO548*$B$8*AQ548)/(1+AL548/100)^B24:B31)+C32*AM548*AP548/(1+AL548/100)^$B$6</f>
        <v/>
      </c>
      <c r="AS548">
        <f>SUMPRODUCT((K24:K26&lt;=$B$6)*(L24:L26*AN548+M24:M26*AO548*$B$8*AQ548)/(1+AL548/100)^K24:K26)+L27*AN548*AP548/(1+AL548/100)^$B$6</f>
        <v/>
      </c>
      <c r="AT548">
        <f>AS548-AR548</f>
        <v/>
      </c>
      <c r="AU548">
        <f>RAND()</f>
        <v/>
      </c>
      <c r="AV548">
        <f>RAND()</f>
        <v/>
      </c>
      <c r="AW548">
        <f>RAND()</f>
        <v/>
      </c>
      <c r="AX548">
        <f>RAND()</f>
        <v/>
      </c>
      <c r="AY548">
        <f>RAND()</f>
        <v/>
      </c>
      <c r="AZ548">
        <f>RAND()</f>
        <v/>
      </c>
    </row>
    <row r="549">
      <c r="AK549" t="n">
        <v>536</v>
      </c>
      <c r="AL549">
        <f>IFERROR(IF(AU549&lt;($AM$6-$AL$6)/($AN$6-$AL$6),$AL$6+SQRT(AU549*($AN$6-$AL$6)*($AM$6-$AL$6)),$AN$6-SQRT((1-AU549)*($AN$6-$AL$6)*($AN$6-$AM$6))),$AM$6)</f>
        <v/>
      </c>
      <c r="AM549">
        <f>IFERROR(IF(AV549&lt;($AM$7-$AL$7)/($AN$7-$AL$7),$AL$7+SQRT(AV549*($AN$7-$AL$7)*($AM$7-$AL$7)),$AN$7-SQRT((1-AV549)*($AN$7-$AL$7)*($AN$7-$AM$7))),$AM$7)</f>
        <v/>
      </c>
      <c r="AN549">
        <f>IFERROR(IF(AW549&lt;($AM$8-$AL$8)/($AN$8-$AL$8),$AL$8+SQRT(AW549*($AN$8-$AL$8)*($AM$8-$AL$8)),$AN$8-SQRT((1-AW549)*($AN$8-$AL$8)*($AN$8-$AM$8))),$AM$8)</f>
        <v/>
      </c>
      <c r="AO549">
        <f>IFERROR(IF(AX549&lt;($AM$9-$AL$9)/($AN$9-$AL$9),$AL$9+SQRT(AX549*($AN$9-$AL$9)*($AM$9-$AL$9)),$AN$9-SQRT((1-AX549)*($AN$9-$AL$9)*($AN$9-$AM$9))),$AM$9)</f>
        <v/>
      </c>
      <c r="AP549">
        <f>IFERROR(IF(AY549&lt;($AM$10-$AL$10)/($AN$10-$AL$10),$AL$10+SQRT(AY549*($AN$10-$AL$10)*($AM$10-$AL$10)),$AN$10-SQRT((1-AY549)*($AN$10-$AL$10)*($AN$10-$AM$10))),$AM$10)</f>
        <v/>
      </c>
      <c r="AQ549">
        <f>IFERROR(IF(AZ549&lt;($AM$11-$AL$11)/($AN$11-$AL$11),$AL$11+SQRT(AZ549*($AN$11-$AL$11)*($AM$11-$AL$11)),$AN$11-SQRT((1-AZ549)*($AN$11-$AL$11)*($AN$11-$AM$11))),$AM$11)</f>
        <v/>
      </c>
      <c r="AR549">
        <f>SUMPRODUCT((B24:B31&lt;=$B$6)*(C24:C31*AM549+D24:D31*AO549*$B$8*AQ549)/(1+AL549/100)^B24:B31)+C32*AM549*AP549/(1+AL549/100)^$B$6</f>
        <v/>
      </c>
      <c r="AS549">
        <f>SUMPRODUCT((K24:K26&lt;=$B$6)*(L24:L26*AN549+M24:M26*AO549*$B$8*AQ549)/(1+AL549/100)^K24:K26)+L27*AN549*AP549/(1+AL549/100)^$B$6</f>
        <v/>
      </c>
      <c r="AT549">
        <f>AS549-AR549</f>
        <v/>
      </c>
      <c r="AU549">
        <f>RAND()</f>
        <v/>
      </c>
      <c r="AV549">
        <f>RAND()</f>
        <v/>
      </c>
      <c r="AW549">
        <f>RAND()</f>
        <v/>
      </c>
      <c r="AX549">
        <f>RAND()</f>
        <v/>
      </c>
      <c r="AY549">
        <f>RAND()</f>
        <v/>
      </c>
      <c r="AZ549">
        <f>RAND()</f>
        <v/>
      </c>
    </row>
    <row r="550">
      <c r="AK550" t="n">
        <v>537</v>
      </c>
      <c r="AL550">
        <f>IFERROR(IF(AU550&lt;($AM$6-$AL$6)/($AN$6-$AL$6),$AL$6+SQRT(AU550*($AN$6-$AL$6)*($AM$6-$AL$6)),$AN$6-SQRT((1-AU550)*($AN$6-$AL$6)*($AN$6-$AM$6))),$AM$6)</f>
        <v/>
      </c>
      <c r="AM550">
        <f>IFERROR(IF(AV550&lt;($AM$7-$AL$7)/($AN$7-$AL$7),$AL$7+SQRT(AV550*($AN$7-$AL$7)*($AM$7-$AL$7)),$AN$7-SQRT((1-AV550)*($AN$7-$AL$7)*($AN$7-$AM$7))),$AM$7)</f>
        <v/>
      </c>
      <c r="AN550">
        <f>IFERROR(IF(AW550&lt;($AM$8-$AL$8)/($AN$8-$AL$8),$AL$8+SQRT(AW550*($AN$8-$AL$8)*($AM$8-$AL$8)),$AN$8-SQRT((1-AW550)*($AN$8-$AL$8)*($AN$8-$AM$8))),$AM$8)</f>
        <v/>
      </c>
      <c r="AO550">
        <f>IFERROR(IF(AX550&lt;($AM$9-$AL$9)/($AN$9-$AL$9),$AL$9+SQRT(AX550*($AN$9-$AL$9)*($AM$9-$AL$9)),$AN$9-SQRT((1-AX550)*($AN$9-$AL$9)*($AN$9-$AM$9))),$AM$9)</f>
        <v/>
      </c>
      <c r="AP550">
        <f>IFERROR(IF(AY550&lt;($AM$10-$AL$10)/($AN$10-$AL$10),$AL$10+SQRT(AY550*($AN$10-$AL$10)*($AM$10-$AL$10)),$AN$10-SQRT((1-AY550)*($AN$10-$AL$10)*($AN$10-$AM$10))),$AM$10)</f>
        <v/>
      </c>
      <c r="AQ550">
        <f>IFERROR(IF(AZ550&lt;($AM$11-$AL$11)/($AN$11-$AL$11),$AL$11+SQRT(AZ550*($AN$11-$AL$11)*($AM$11-$AL$11)),$AN$11-SQRT((1-AZ550)*($AN$11-$AL$11)*($AN$11-$AM$11))),$AM$11)</f>
        <v/>
      </c>
      <c r="AR550">
        <f>SUMPRODUCT((B24:B31&lt;=$B$6)*(C24:C31*AM550+D24:D31*AO550*$B$8*AQ550)/(1+AL550/100)^B24:B31)+C32*AM550*AP550/(1+AL550/100)^$B$6</f>
        <v/>
      </c>
      <c r="AS550">
        <f>SUMPRODUCT((K24:K26&lt;=$B$6)*(L24:L26*AN550+M24:M26*AO550*$B$8*AQ550)/(1+AL550/100)^K24:K26)+L27*AN550*AP550/(1+AL550/100)^$B$6</f>
        <v/>
      </c>
      <c r="AT550">
        <f>AS550-AR550</f>
        <v/>
      </c>
      <c r="AU550">
        <f>RAND()</f>
        <v/>
      </c>
      <c r="AV550">
        <f>RAND()</f>
        <v/>
      </c>
      <c r="AW550">
        <f>RAND()</f>
        <v/>
      </c>
      <c r="AX550">
        <f>RAND()</f>
        <v/>
      </c>
      <c r="AY550">
        <f>RAND()</f>
        <v/>
      </c>
      <c r="AZ550">
        <f>RAND()</f>
        <v/>
      </c>
    </row>
    <row r="551">
      <c r="AK551" t="n">
        <v>538</v>
      </c>
      <c r="AL551">
        <f>IFERROR(IF(AU551&lt;($AM$6-$AL$6)/($AN$6-$AL$6),$AL$6+SQRT(AU551*($AN$6-$AL$6)*($AM$6-$AL$6)),$AN$6-SQRT((1-AU551)*($AN$6-$AL$6)*($AN$6-$AM$6))),$AM$6)</f>
        <v/>
      </c>
      <c r="AM551">
        <f>IFERROR(IF(AV551&lt;($AM$7-$AL$7)/($AN$7-$AL$7),$AL$7+SQRT(AV551*($AN$7-$AL$7)*($AM$7-$AL$7)),$AN$7-SQRT((1-AV551)*($AN$7-$AL$7)*($AN$7-$AM$7))),$AM$7)</f>
        <v/>
      </c>
      <c r="AN551">
        <f>IFERROR(IF(AW551&lt;($AM$8-$AL$8)/($AN$8-$AL$8),$AL$8+SQRT(AW551*($AN$8-$AL$8)*($AM$8-$AL$8)),$AN$8-SQRT((1-AW551)*($AN$8-$AL$8)*($AN$8-$AM$8))),$AM$8)</f>
        <v/>
      </c>
      <c r="AO551">
        <f>IFERROR(IF(AX551&lt;($AM$9-$AL$9)/($AN$9-$AL$9),$AL$9+SQRT(AX551*($AN$9-$AL$9)*($AM$9-$AL$9)),$AN$9-SQRT((1-AX551)*($AN$9-$AL$9)*($AN$9-$AM$9))),$AM$9)</f>
        <v/>
      </c>
      <c r="AP551">
        <f>IFERROR(IF(AY551&lt;($AM$10-$AL$10)/($AN$10-$AL$10),$AL$10+SQRT(AY551*($AN$10-$AL$10)*($AM$10-$AL$10)),$AN$10-SQRT((1-AY551)*($AN$10-$AL$10)*($AN$10-$AM$10))),$AM$10)</f>
        <v/>
      </c>
      <c r="AQ551">
        <f>IFERROR(IF(AZ551&lt;($AM$11-$AL$11)/($AN$11-$AL$11),$AL$11+SQRT(AZ551*($AN$11-$AL$11)*($AM$11-$AL$11)),$AN$11-SQRT((1-AZ551)*($AN$11-$AL$11)*($AN$11-$AM$11))),$AM$11)</f>
        <v/>
      </c>
      <c r="AR551">
        <f>SUMPRODUCT((B24:B31&lt;=$B$6)*(C24:C31*AM551+D24:D31*AO551*$B$8*AQ551)/(1+AL551/100)^B24:B31)+C32*AM551*AP551/(1+AL551/100)^$B$6</f>
        <v/>
      </c>
      <c r="AS551">
        <f>SUMPRODUCT((K24:K26&lt;=$B$6)*(L24:L26*AN551+M24:M26*AO551*$B$8*AQ551)/(1+AL551/100)^K24:K26)+L27*AN551*AP551/(1+AL551/100)^$B$6</f>
        <v/>
      </c>
      <c r="AT551">
        <f>AS551-AR551</f>
        <v/>
      </c>
      <c r="AU551">
        <f>RAND()</f>
        <v/>
      </c>
      <c r="AV551">
        <f>RAND()</f>
        <v/>
      </c>
      <c r="AW551">
        <f>RAND()</f>
        <v/>
      </c>
      <c r="AX551">
        <f>RAND()</f>
        <v/>
      </c>
      <c r="AY551">
        <f>RAND()</f>
        <v/>
      </c>
      <c r="AZ551">
        <f>RAND()</f>
        <v/>
      </c>
    </row>
    <row r="552">
      <c r="AK552" t="n">
        <v>539</v>
      </c>
      <c r="AL552">
        <f>IFERROR(IF(AU552&lt;($AM$6-$AL$6)/($AN$6-$AL$6),$AL$6+SQRT(AU552*($AN$6-$AL$6)*($AM$6-$AL$6)),$AN$6-SQRT((1-AU552)*($AN$6-$AL$6)*($AN$6-$AM$6))),$AM$6)</f>
        <v/>
      </c>
      <c r="AM552">
        <f>IFERROR(IF(AV552&lt;($AM$7-$AL$7)/($AN$7-$AL$7),$AL$7+SQRT(AV552*($AN$7-$AL$7)*($AM$7-$AL$7)),$AN$7-SQRT((1-AV552)*($AN$7-$AL$7)*($AN$7-$AM$7))),$AM$7)</f>
        <v/>
      </c>
      <c r="AN552">
        <f>IFERROR(IF(AW552&lt;($AM$8-$AL$8)/($AN$8-$AL$8),$AL$8+SQRT(AW552*($AN$8-$AL$8)*($AM$8-$AL$8)),$AN$8-SQRT((1-AW552)*($AN$8-$AL$8)*($AN$8-$AM$8))),$AM$8)</f>
        <v/>
      </c>
      <c r="AO552">
        <f>IFERROR(IF(AX552&lt;($AM$9-$AL$9)/($AN$9-$AL$9),$AL$9+SQRT(AX552*($AN$9-$AL$9)*($AM$9-$AL$9)),$AN$9-SQRT((1-AX552)*($AN$9-$AL$9)*($AN$9-$AM$9))),$AM$9)</f>
        <v/>
      </c>
      <c r="AP552">
        <f>IFERROR(IF(AY552&lt;($AM$10-$AL$10)/($AN$10-$AL$10),$AL$10+SQRT(AY552*($AN$10-$AL$10)*($AM$10-$AL$10)),$AN$10-SQRT((1-AY552)*($AN$10-$AL$10)*($AN$10-$AM$10))),$AM$10)</f>
        <v/>
      </c>
      <c r="AQ552">
        <f>IFERROR(IF(AZ552&lt;($AM$11-$AL$11)/($AN$11-$AL$11),$AL$11+SQRT(AZ552*($AN$11-$AL$11)*($AM$11-$AL$11)),$AN$11-SQRT((1-AZ552)*($AN$11-$AL$11)*($AN$11-$AM$11))),$AM$11)</f>
        <v/>
      </c>
      <c r="AR552">
        <f>SUMPRODUCT((B24:B31&lt;=$B$6)*(C24:C31*AM552+D24:D31*AO552*$B$8*AQ552)/(1+AL552/100)^B24:B31)+C32*AM552*AP552/(1+AL552/100)^$B$6</f>
        <v/>
      </c>
      <c r="AS552">
        <f>SUMPRODUCT((K24:K26&lt;=$B$6)*(L24:L26*AN552+M24:M26*AO552*$B$8*AQ552)/(1+AL552/100)^K24:K26)+L27*AN552*AP552/(1+AL552/100)^$B$6</f>
        <v/>
      </c>
      <c r="AT552">
        <f>AS552-AR552</f>
        <v/>
      </c>
      <c r="AU552">
        <f>RAND()</f>
        <v/>
      </c>
      <c r="AV552">
        <f>RAND()</f>
        <v/>
      </c>
      <c r="AW552">
        <f>RAND()</f>
        <v/>
      </c>
      <c r="AX552">
        <f>RAND()</f>
        <v/>
      </c>
      <c r="AY552">
        <f>RAND()</f>
        <v/>
      </c>
      <c r="AZ552">
        <f>RAND()</f>
        <v/>
      </c>
    </row>
    <row r="553">
      <c r="AK553" t="n">
        <v>540</v>
      </c>
      <c r="AL553">
        <f>IFERROR(IF(AU553&lt;($AM$6-$AL$6)/($AN$6-$AL$6),$AL$6+SQRT(AU553*($AN$6-$AL$6)*($AM$6-$AL$6)),$AN$6-SQRT((1-AU553)*($AN$6-$AL$6)*($AN$6-$AM$6))),$AM$6)</f>
        <v/>
      </c>
      <c r="AM553">
        <f>IFERROR(IF(AV553&lt;($AM$7-$AL$7)/($AN$7-$AL$7),$AL$7+SQRT(AV553*($AN$7-$AL$7)*($AM$7-$AL$7)),$AN$7-SQRT((1-AV553)*($AN$7-$AL$7)*($AN$7-$AM$7))),$AM$7)</f>
        <v/>
      </c>
      <c r="AN553">
        <f>IFERROR(IF(AW553&lt;($AM$8-$AL$8)/($AN$8-$AL$8),$AL$8+SQRT(AW553*($AN$8-$AL$8)*($AM$8-$AL$8)),$AN$8-SQRT((1-AW553)*($AN$8-$AL$8)*($AN$8-$AM$8))),$AM$8)</f>
        <v/>
      </c>
      <c r="AO553">
        <f>IFERROR(IF(AX553&lt;($AM$9-$AL$9)/($AN$9-$AL$9),$AL$9+SQRT(AX553*($AN$9-$AL$9)*($AM$9-$AL$9)),$AN$9-SQRT((1-AX553)*($AN$9-$AL$9)*($AN$9-$AM$9))),$AM$9)</f>
        <v/>
      </c>
      <c r="AP553">
        <f>IFERROR(IF(AY553&lt;($AM$10-$AL$10)/($AN$10-$AL$10),$AL$10+SQRT(AY553*($AN$10-$AL$10)*($AM$10-$AL$10)),$AN$10-SQRT((1-AY553)*($AN$10-$AL$10)*($AN$10-$AM$10))),$AM$10)</f>
        <v/>
      </c>
      <c r="AQ553">
        <f>IFERROR(IF(AZ553&lt;($AM$11-$AL$11)/($AN$11-$AL$11),$AL$11+SQRT(AZ553*($AN$11-$AL$11)*($AM$11-$AL$11)),$AN$11-SQRT((1-AZ553)*($AN$11-$AL$11)*($AN$11-$AM$11))),$AM$11)</f>
        <v/>
      </c>
      <c r="AR553">
        <f>SUMPRODUCT((B24:B31&lt;=$B$6)*(C24:C31*AM553+D24:D31*AO553*$B$8*AQ553)/(1+AL553/100)^B24:B31)+C32*AM553*AP553/(1+AL553/100)^$B$6</f>
        <v/>
      </c>
      <c r="AS553">
        <f>SUMPRODUCT((K24:K26&lt;=$B$6)*(L24:L26*AN553+M24:M26*AO553*$B$8*AQ553)/(1+AL553/100)^K24:K26)+L27*AN553*AP553/(1+AL553/100)^$B$6</f>
        <v/>
      </c>
      <c r="AT553">
        <f>AS553-AR553</f>
        <v/>
      </c>
      <c r="AU553">
        <f>RAND()</f>
        <v/>
      </c>
      <c r="AV553">
        <f>RAND()</f>
        <v/>
      </c>
      <c r="AW553">
        <f>RAND()</f>
        <v/>
      </c>
      <c r="AX553">
        <f>RAND()</f>
        <v/>
      </c>
      <c r="AY553">
        <f>RAND()</f>
        <v/>
      </c>
      <c r="AZ553">
        <f>RAND()</f>
        <v/>
      </c>
    </row>
    <row r="554">
      <c r="AK554" t="n">
        <v>541</v>
      </c>
      <c r="AL554">
        <f>IFERROR(IF(AU554&lt;($AM$6-$AL$6)/($AN$6-$AL$6),$AL$6+SQRT(AU554*($AN$6-$AL$6)*($AM$6-$AL$6)),$AN$6-SQRT((1-AU554)*($AN$6-$AL$6)*($AN$6-$AM$6))),$AM$6)</f>
        <v/>
      </c>
      <c r="AM554">
        <f>IFERROR(IF(AV554&lt;($AM$7-$AL$7)/($AN$7-$AL$7),$AL$7+SQRT(AV554*($AN$7-$AL$7)*($AM$7-$AL$7)),$AN$7-SQRT((1-AV554)*($AN$7-$AL$7)*($AN$7-$AM$7))),$AM$7)</f>
        <v/>
      </c>
      <c r="AN554">
        <f>IFERROR(IF(AW554&lt;($AM$8-$AL$8)/($AN$8-$AL$8),$AL$8+SQRT(AW554*($AN$8-$AL$8)*($AM$8-$AL$8)),$AN$8-SQRT((1-AW554)*($AN$8-$AL$8)*($AN$8-$AM$8))),$AM$8)</f>
        <v/>
      </c>
      <c r="AO554">
        <f>IFERROR(IF(AX554&lt;($AM$9-$AL$9)/($AN$9-$AL$9),$AL$9+SQRT(AX554*($AN$9-$AL$9)*($AM$9-$AL$9)),$AN$9-SQRT((1-AX554)*($AN$9-$AL$9)*($AN$9-$AM$9))),$AM$9)</f>
        <v/>
      </c>
      <c r="AP554">
        <f>IFERROR(IF(AY554&lt;($AM$10-$AL$10)/($AN$10-$AL$10),$AL$10+SQRT(AY554*($AN$10-$AL$10)*($AM$10-$AL$10)),$AN$10-SQRT((1-AY554)*($AN$10-$AL$10)*($AN$10-$AM$10))),$AM$10)</f>
        <v/>
      </c>
      <c r="AQ554">
        <f>IFERROR(IF(AZ554&lt;($AM$11-$AL$11)/($AN$11-$AL$11),$AL$11+SQRT(AZ554*($AN$11-$AL$11)*($AM$11-$AL$11)),$AN$11-SQRT((1-AZ554)*($AN$11-$AL$11)*($AN$11-$AM$11))),$AM$11)</f>
        <v/>
      </c>
      <c r="AR554">
        <f>SUMPRODUCT((B24:B31&lt;=$B$6)*(C24:C31*AM554+D24:D31*AO554*$B$8*AQ554)/(1+AL554/100)^B24:B31)+C32*AM554*AP554/(1+AL554/100)^$B$6</f>
        <v/>
      </c>
      <c r="AS554">
        <f>SUMPRODUCT((K24:K26&lt;=$B$6)*(L24:L26*AN554+M24:M26*AO554*$B$8*AQ554)/(1+AL554/100)^K24:K26)+L27*AN554*AP554/(1+AL554/100)^$B$6</f>
        <v/>
      </c>
      <c r="AT554">
        <f>AS554-AR554</f>
        <v/>
      </c>
      <c r="AU554">
        <f>RAND()</f>
        <v/>
      </c>
      <c r="AV554">
        <f>RAND()</f>
        <v/>
      </c>
      <c r="AW554">
        <f>RAND()</f>
        <v/>
      </c>
      <c r="AX554">
        <f>RAND()</f>
        <v/>
      </c>
      <c r="AY554">
        <f>RAND()</f>
        <v/>
      </c>
      <c r="AZ554">
        <f>RAND()</f>
        <v/>
      </c>
    </row>
    <row r="555">
      <c r="AK555" t="n">
        <v>542</v>
      </c>
      <c r="AL555">
        <f>IFERROR(IF(AU555&lt;($AM$6-$AL$6)/($AN$6-$AL$6),$AL$6+SQRT(AU555*($AN$6-$AL$6)*($AM$6-$AL$6)),$AN$6-SQRT((1-AU555)*($AN$6-$AL$6)*($AN$6-$AM$6))),$AM$6)</f>
        <v/>
      </c>
      <c r="AM555">
        <f>IFERROR(IF(AV555&lt;($AM$7-$AL$7)/($AN$7-$AL$7),$AL$7+SQRT(AV555*($AN$7-$AL$7)*($AM$7-$AL$7)),$AN$7-SQRT((1-AV555)*($AN$7-$AL$7)*($AN$7-$AM$7))),$AM$7)</f>
        <v/>
      </c>
      <c r="AN555">
        <f>IFERROR(IF(AW555&lt;($AM$8-$AL$8)/($AN$8-$AL$8),$AL$8+SQRT(AW555*($AN$8-$AL$8)*($AM$8-$AL$8)),$AN$8-SQRT((1-AW555)*($AN$8-$AL$8)*($AN$8-$AM$8))),$AM$8)</f>
        <v/>
      </c>
      <c r="AO555">
        <f>IFERROR(IF(AX555&lt;($AM$9-$AL$9)/($AN$9-$AL$9),$AL$9+SQRT(AX555*($AN$9-$AL$9)*($AM$9-$AL$9)),$AN$9-SQRT((1-AX555)*($AN$9-$AL$9)*($AN$9-$AM$9))),$AM$9)</f>
        <v/>
      </c>
      <c r="AP555">
        <f>IFERROR(IF(AY555&lt;($AM$10-$AL$10)/($AN$10-$AL$10),$AL$10+SQRT(AY555*($AN$10-$AL$10)*($AM$10-$AL$10)),$AN$10-SQRT((1-AY555)*($AN$10-$AL$10)*($AN$10-$AM$10))),$AM$10)</f>
        <v/>
      </c>
      <c r="AQ555">
        <f>IFERROR(IF(AZ555&lt;($AM$11-$AL$11)/($AN$11-$AL$11),$AL$11+SQRT(AZ555*($AN$11-$AL$11)*($AM$11-$AL$11)),$AN$11-SQRT((1-AZ555)*($AN$11-$AL$11)*($AN$11-$AM$11))),$AM$11)</f>
        <v/>
      </c>
      <c r="AR555">
        <f>SUMPRODUCT((B24:B31&lt;=$B$6)*(C24:C31*AM555+D24:D31*AO555*$B$8*AQ555)/(1+AL555/100)^B24:B31)+C32*AM555*AP555/(1+AL555/100)^$B$6</f>
        <v/>
      </c>
      <c r="AS555">
        <f>SUMPRODUCT((K24:K26&lt;=$B$6)*(L24:L26*AN555+M24:M26*AO555*$B$8*AQ555)/(1+AL555/100)^K24:K26)+L27*AN555*AP555/(1+AL555/100)^$B$6</f>
        <v/>
      </c>
      <c r="AT555">
        <f>AS555-AR555</f>
        <v/>
      </c>
      <c r="AU555">
        <f>RAND()</f>
        <v/>
      </c>
      <c r="AV555">
        <f>RAND()</f>
        <v/>
      </c>
      <c r="AW555">
        <f>RAND()</f>
        <v/>
      </c>
      <c r="AX555">
        <f>RAND()</f>
        <v/>
      </c>
      <c r="AY555">
        <f>RAND()</f>
        <v/>
      </c>
      <c r="AZ555">
        <f>RAND()</f>
        <v/>
      </c>
    </row>
    <row r="556">
      <c r="AK556" t="n">
        <v>543</v>
      </c>
      <c r="AL556">
        <f>IFERROR(IF(AU556&lt;($AM$6-$AL$6)/($AN$6-$AL$6),$AL$6+SQRT(AU556*($AN$6-$AL$6)*($AM$6-$AL$6)),$AN$6-SQRT((1-AU556)*($AN$6-$AL$6)*($AN$6-$AM$6))),$AM$6)</f>
        <v/>
      </c>
      <c r="AM556">
        <f>IFERROR(IF(AV556&lt;($AM$7-$AL$7)/($AN$7-$AL$7),$AL$7+SQRT(AV556*($AN$7-$AL$7)*($AM$7-$AL$7)),$AN$7-SQRT((1-AV556)*($AN$7-$AL$7)*($AN$7-$AM$7))),$AM$7)</f>
        <v/>
      </c>
      <c r="AN556">
        <f>IFERROR(IF(AW556&lt;($AM$8-$AL$8)/($AN$8-$AL$8),$AL$8+SQRT(AW556*($AN$8-$AL$8)*($AM$8-$AL$8)),$AN$8-SQRT((1-AW556)*($AN$8-$AL$8)*($AN$8-$AM$8))),$AM$8)</f>
        <v/>
      </c>
      <c r="AO556">
        <f>IFERROR(IF(AX556&lt;($AM$9-$AL$9)/($AN$9-$AL$9),$AL$9+SQRT(AX556*($AN$9-$AL$9)*($AM$9-$AL$9)),$AN$9-SQRT((1-AX556)*($AN$9-$AL$9)*($AN$9-$AM$9))),$AM$9)</f>
        <v/>
      </c>
      <c r="AP556">
        <f>IFERROR(IF(AY556&lt;($AM$10-$AL$10)/($AN$10-$AL$10),$AL$10+SQRT(AY556*($AN$10-$AL$10)*($AM$10-$AL$10)),$AN$10-SQRT((1-AY556)*($AN$10-$AL$10)*($AN$10-$AM$10))),$AM$10)</f>
        <v/>
      </c>
      <c r="AQ556">
        <f>IFERROR(IF(AZ556&lt;($AM$11-$AL$11)/($AN$11-$AL$11),$AL$11+SQRT(AZ556*($AN$11-$AL$11)*($AM$11-$AL$11)),$AN$11-SQRT((1-AZ556)*($AN$11-$AL$11)*($AN$11-$AM$11))),$AM$11)</f>
        <v/>
      </c>
      <c r="AR556">
        <f>SUMPRODUCT((B24:B31&lt;=$B$6)*(C24:C31*AM556+D24:D31*AO556*$B$8*AQ556)/(1+AL556/100)^B24:B31)+C32*AM556*AP556/(1+AL556/100)^$B$6</f>
        <v/>
      </c>
      <c r="AS556">
        <f>SUMPRODUCT((K24:K26&lt;=$B$6)*(L24:L26*AN556+M24:M26*AO556*$B$8*AQ556)/(1+AL556/100)^K24:K26)+L27*AN556*AP556/(1+AL556/100)^$B$6</f>
        <v/>
      </c>
      <c r="AT556">
        <f>AS556-AR556</f>
        <v/>
      </c>
      <c r="AU556">
        <f>RAND()</f>
        <v/>
      </c>
      <c r="AV556">
        <f>RAND()</f>
        <v/>
      </c>
      <c r="AW556">
        <f>RAND()</f>
        <v/>
      </c>
      <c r="AX556">
        <f>RAND()</f>
        <v/>
      </c>
      <c r="AY556">
        <f>RAND()</f>
        <v/>
      </c>
      <c r="AZ556">
        <f>RAND()</f>
        <v/>
      </c>
    </row>
    <row r="557">
      <c r="AK557" t="n">
        <v>544</v>
      </c>
      <c r="AL557">
        <f>IFERROR(IF(AU557&lt;($AM$6-$AL$6)/($AN$6-$AL$6),$AL$6+SQRT(AU557*($AN$6-$AL$6)*($AM$6-$AL$6)),$AN$6-SQRT((1-AU557)*($AN$6-$AL$6)*($AN$6-$AM$6))),$AM$6)</f>
        <v/>
      </c>
      <c r="AM557">
        <f>IFERROR(IF(AV557&lt;($AM$7-$AL$7)/($AN$7-$AL$7),$AL$7+SQRT(AV557*($AN$7-$AL$7)*($AM$7-$AL$7)),$AN$7-SQRT((1-AV557)*($AN$7-$AL$7)*($AN$7-$AM$7))),$AM$7)</f>
        <v/>
      </c>
      <c r="AN557">
        <f>IFERROR(IF(AW557&lt;($AM$8-$AL$8)/($AN$8-$AL$8),$AL$8+SQRT(AW557*($AN$8-$AL$8)*($AM$8-$AL$8)),$AN$8-SQRT((1-AW557)*($AN$8-$AL$8)*($AN$8-$AM$8))),$AM$8)</f>
        <v/>
      </c>
      <c r="AO557">
        <f>IFERROR(IF(AX557&lt;($AM$9-$AL$9)/($AN$9-$AL$9),$AL$9+SQRT(AX557*($AN$9-$AL$9)*($AM$9-$AL$9)),$AN$9-SQRT((1-AX557)*($AN$9-$AL$9)*($AN$9-$AM$9))),$AM$9)</f>
        <v/>
      </c>
      <c r="AP557">
        <f>IFERROR(IF(AY557&lt;($AM$10-$AL$10)/($AN$10-$AL$10),$AL$10+SQRT(AY557*($AN$10-$AL$10)*($AM$10-$AL$10)),$AN$10-SQRT((1-AY557)*($AN$10-$AL$10)*($AN$10-$AM$10))),$AM$10)</f>
        <v/>
      </c>
      <c r="AQ557">
        <f>IFERROR(IF(AZ557&lt;($AM$11-$AL$11)/($AN$11-$AL$11),$AL$11+SQRT(AZ557*($AN$11-$AL$11)*($AM$11-$AL$11)),$AN$11-SQRT((1-AZ557)*($AN$11-$AL$11)*($AN$11-$AM$11))),$AM$11)</f>
        <v/>
      </c>
      <c r="AR557">
        <f>SUMPRODUCT((B24:B31&lt;=$B$6)*(C24:C31*AM557+D24:D31*AO557*$B$8*AQ557)/(1+AL557/100)^B24:B31)+C32*AM557*AP557/(1+AL557/100)^$B$6</f>
        <v/>
      </c>
      <c r="AS557">
        <f>SUMPRODUCT((K24:K26&lt;=$B$6)*(L24:L26*AN557+M24:M26*AO557*$B$8*AQ557)/(1+AL557/100)^K24:K26)+L27*AN557*AP557/(1+AL557/100)^$B$6</f>
        <v/>
      </c>
      <c r="AT557">
        <f>AS557-AR557</f>
        <v/>
      </c>
      <c r="AU557">
        <f>RAND()</f>
        <v/>
      </c>
      <c r="AV557">
        <f>RAND()</f>
        <v/>
      </c>
      <c r="AW557">
        <f>RAND()</f>
        <v/>
      </c>
      <c r="AX557">
        <f>RAND()</f>
        <v/>
      </c>
      <c r="AY557">
        <f>RAND()</f>
        <v/>
      </c>
      <c r="AZ557">
        <f>RAND()</f>
        <v/>
      </c>
    </row>
    <row r="558">
      <c r="AK558" t="n">
        <v>545</v>
      </c>
      <c r="AL558">
        <f>IFERROR(IF(AU558&lt;($AM$6-$AL$6)/($AN$6-$AL$6),$AL$6+SQRT(AU558*($AN$6-$AL$6)*($AM$6-$AL$6)),$AN$6-SQRT((1-AU558)*($AN$6-$AL$6)*($AN$6-$AM$6))),$AM$6)</f>
        <v/>
      </c>
      <c r="AM558">
        <f>IFERROR(IF(AV558&lt;($AM$7-$AL$7)/($AN$7-$AL$7),$AL$7+SQRT(AV558*($AN$7-$AL$7)*($AM$7-$AL$7)),$AN$7-SQRT((1-AV558)*($AN$7-$AL$7)*($AN$7-$AM$7))),$AM$7)</f>
        <v/>
      </c>
      <c r="AN558">
        <f>IFERROR(IF(AW558&lt;($AM$8-$AL$8)/($AN$8-$AL$8),$AL$8+SQRT(AW558*($AN$8-$AL$8)*($AM$8-$AL$8)),$AN$8-SQRT((1-AW558)*($AN$8-$AL$8)*($AN$8-$AM$8))),$AM$8)</f>
        <v/>
      </c>
      <c r="AO558">
        <f>IFERROR(IF(AX558&lt;($AM$9-$AL$9)/($AN$9-$AL$9),$AL$9+SQRT(AX558*($AN$9-$AL$9)*($AM$9-$AL$9)),$AN$9-SQRT((1-AX558)*($AN$9-$AL$9)*($AN$9-$AM$9))),$AM$9)</f>
        <v/>
      </c>
      <c r="AP558">
        <f>IFERROR(IF(AY558&lt;($AM$10-$AL$10)/($AN$10-$AL$10),$AL$10+SQRT(AY558*($AN$10-$AL$10)*($AM$10-$AL$10)),$AN$10-SQRT((1-AY558)*($AN$10-$AL$10)*($AN$10-$AM$10))),$AM$10)</f>
        <v/>
      </c>
      <c r="AQ558">
        <f>IFERROR(IF(AZ558&lt;($AM$11-$AL$11)/($AN$11-$AL$11),$AL$11+SQRT(AZ558*($AN$11-$AL$11)*($AM$11-$AL$11)),$AN$11-SQRT((1-AZ558)*($AN$11-$AL$11)*($AN$11-$AM$11))),$AM$11)</f>
        <v/>
      </c>
      <c r="AR558">
        <f>SUMPRODUCT((B24:B31&lt;=$B$6)*(C24:C31*AM558+D24:D31*AO558*$B$8*AQ558)/(1+AL558/100)^B24:B31)+C32*AM558*AP558/(1+AL558/100)^$B$6</f>
        <v/>
      </c>
      <c r="AS558">
        <f>SUMPRODUCT((K24:K26&lt;=$B$6)*(L24:L26*AN558+M24:M26*AO558*$B$8*AQ558)/(1+AL558/100)^K24:K26)+L27*AN558*AP558/(1+AL558/100)^$B$6</f>
        <v/>
      </c>
      <c r="AT558">
        <f>AS558-AR558</f>
        <v/>
      </c>
      <c r="AU558">
        <f>RAND()</f>
        <v/>
      </c>
      <c r="AV558">
        <f>RAND()</f>
        <v/>
      </c>
      <c r="AW558">
        <f>RAND()</f>
        <v/>
      </c>
      <c r="AX558">
        <f>RAND()</f>
        <v/>
      </c>
      <c r="AY558">
        <f>RAND()</f>
        <v/>
      </c>
      <c r="AZ558">
        <f>RAND()</f>
        <v/>
      </c>
    </row>
    <row r="559">
      <c r="AK559" t="n">
        <v>546</v>
      </c>
      <c r="AL559">
        <f>IFERROR(IF(AU559&lt;($AM$6-$AL$6)/($AN$6-$AL$6),$AL$6+SQRT(AU559*($AN$6-$AL$6)*($AM$6-$AL$6)),$AN$6-SQRT((1-AU559)*($AN$6-$AL$6)*($AN$6-$AM$6))),$AM$6)</f>
        <v/>
      </c>
      <c r="AM559">
        <f>IFERROR(IF(AV559&lt;($AM$7-$AL$7)/($AN$7-$AL$7),$AL$7+SQRT(AV559*($AN$7-$AL$7)*($AM$7-$AL$7)),$AN$7-SQRT((1-AV559)*($AN$7-$AL$7)*($AN$7-$AM$7))),$AM$7)</f>
        <v/>
      </c>
      <c r="AN559">
        <f>IFERROR(IF(AW559&lt;($AM$8-$AL$8)/($AN$8-$AL$8),$AL$8+SQRT(AW559*($AN$8-$AL$8)*($AM$8-$AL$8)),$AN$8-SQRT((1-AW559)*($AN$8-$AL$8)*($AN$8-$AM$8))),$AM$8)</f>
        <v/>
      </c>
      <c r="AO559">
        <f>IFERROR(IF(AX559&lt;($AM$9-$AL$9)/($AN$9-$AL$9),$AL$9+SQRT(AX559*($AN$9-$AL$9)*($AM$9-$AL$9)),$AN$9-SQRT((1-AX559)*($AN$9-$AL$9)*($AN$9-$AM$9))),$AM$9)</f>
        <v/>
      </c>
      <c r="AP559">
        <f>IFERROR(IF(AY559&lt;($AM$10-$AL$10)/($AN$10-$AL$10),$AL$10+SQRT(AY559*($AN$10-$AL$10)*($AM$10-$AL$10)),$AN$10-SQRT((1-AY559)*($AN$10-$AL$10)*($AN$10-$AM$10))),$AM$10)</f>
        <v/>
      </c>
      <c r="AQ559">
        <f>IFERROR(IF(AZ559&lt;($AM$11-$AL$11)/($AN$11-$AL$11),$AL$11+SQRT(AZ559*($AN$11-$AL$11)*($AM$11-$AL$11)),$AN$11-SQRT((1-AZ559)*($AN$11-$AL$11)*($AN$11-$AM$11))),$AM$11)</f>
        <v/>
      </c>
      <c r="AR559">
        <f>SUMPRODUCT((B24:B31&lt;=$B$6)*(C24:C31*AM559+D24:D31*AO559*$B$8*AQ559)/(1+AL559/100)^B24:B31)+C32*AM559*AP559/(1+AL559/100)^$B$6</f>
        <v/>
      </c>
      <c r="AS559">
        <f>SUMPRODUCT((K24:K26&lt;=$B$6)*(L24:L26*AN559+M24:M26*AO559*$B$8*AQ559)/(1+AL559/100)^K24:K26)+L27*AN559*AP559/(1+AL559/100)^$B$6</f>
        <v/>
      </c>
      <c r="AT559">
        <f>AS559-AR559</f>
        <v/>
      </c>
      <c r="AU559">
        <f>RAND()</f>
        <v/>
      </c>
      <c r="AV559">
        <f>RAND()</f>
        <v/>
      </c>
      <c r="AW559">
        <f>RAND()</f>
        <v/>
      </c>
      <c r="AX559">
        <f>RAND()</f>
        <v/>
      </c>
      <c r="AY559">
        <f>RAND()</f>
        <v/>
      </c>
      <c r="AZ559">
        <f>RAND()</f>
        <v/>
      </c>
    </row>
    <row r="560">
      <c r="AK560" t="n">
        <v>547</v>
      </c>
      <c r="AL560">
        <f>IFERROR(IF(AU560&lt;($AM$6-$AL$6)/($AN$6-$AL$6),$AL$6+SQRT(AU560*($AN$6-$AL$6)*($AM$6-$AL$6)),$AN$6-SQRT((1-AU560)*($AN$6-$AL$6)*($AN$6-$AM$6))),$AM$6)</f>
        <v/>
      </c>
      <c r="AM560">
        <f>IFERROR(IF(AV560&lt;($AM$7-$AL$7)/($AN$7-$AL$7),$AL$7+SQRT(AV560*($AN$7-$AL$7)*($AM$7-$AL$7)),$AN$7-SQRT((1-AV560)*($AN$7-$AL$7)*($AN$7-$AM$7))),$AM$7)</f>
        <v/>
      </c>
      <c r="AN560">
        <f>IFERROR(IF(AW560&lt;($AM$8-$AL$8)/($AN$8-$AL$8),$AL$8+SQRT(AW560*($AN$8-$AL$8)*($AM$8-$AL$8)),$AN$8-SQRT((1-AW560)*($AN$8-$AL$8)*($AN$8-$AM$8))),$AM$8)</f>
        <v/>
      </c>
      <c r="AO560">
        <f>IFERROR(IF(AX560&lt;($AM$9-$AL$9)/($AN$9-$AL$9),$AL$9+SQRT(AX560*($AN$9-$AL$9)*($AM$9-$AL$9)),$AN$9-SQRT((1-AX560)*($AN$9-$AL$9)*($AN$9-$AM$9))),$AM$9)</f>
        <v/>
      </c>
      <c r="AP560">
        <f>IFERROR(IF(AY560&lt;($AM$10-$AL$10)/($AN$10-$AL$10),$AL$10+SQRT(AY560*($AN$10-$AL$10)*($AM$10-$AL$10)),$AN$10-SQRT((1-AY560)*($AN$10-$AL$10)*($AN$10-$AM$10))),$AM$10)</f>
        <v/>
      </c>
      <c r="AQ560">
        <f>IFERROR(IF(AZ560&lt;($AM$11-$AL$11)/($AN$11-$AL$11),$AL$11+SQRT(AZ560*($AN$11-$AL$11)*($AM$11-$AL$11)),$AN$11-SQRT((1-AZ560)*($AN$11-$AL$11)*($AN$11-$AM$11))),$AM$11)</f>
        <v/>
      </c>
      <c r="AR560">
        <f>SUMPRODUCT((B24:B31&lt;=$B$6)*(C24:C31*AM560+D24:D31*AO560*$B$8*AQ560)/(1+AL560/100)^B24:B31)+C32*AM560*AP560/(1+AL560/100)^$B$6</f>
        <v/>
      </c>
      <c r="AS560">
        <f>SUMPRODUCT((K24:K26&lt;=$B$6)*(L24:L26*AN560+M24:M26*AO560*$B$8*AQ560)/(1+AL560/100)^K24:K26)+L27*AN560*AP560/(1+AL560/100)^$B$6</f>
        <v/>
      </c>
      <c r="AT560">
        <f>AS560-AR560</f>
        <v/>
      </c>
      <c r="AU560">
        <f>RAND()</f>
        <v/>
      </c>
      <c r="AV560">
        <f>RAND()</f>
        <v/>
      </c>
      <c r="AW560">
        <f>RAND()</f>
        <v/>
      </c>
      <c r="AX560">
        <f>RAND()</f>
        <v/>
      </c>
      <c r="AY560">
        <f>RAND()</f>
        <v/>
      </c>
      <c r="AZ560">
        <f>RAND()</f>
        <v/>
      </c>
    </row>
    <row r="561">
      <c r="AK561" t="n">
        <v>548</v>
      </c>
      <c r="AL561">
        <f>IFERROR(IF(AU561&lt;($AM$6-$AL$6)/($AN$6-$AL$6),$AL$6+SQRT(AU561*($AN$6-$AL$6)*($AM$6-$AL$6)),$AN$6-SQRT((1-AU561)*($AN$6-$AL$6)*($AN$6-$AM$6))),$AM$6)</f>
        <v/>
      </c>
      <c r="AM561">
        <f>IFERROR(IF(AV561&lt;($AM$7-$AL$7)/($AN$7-$AL$7),$AL$7+SQRT(AV561*($AN$7-$AL$7)*($AM$7-$AL$7)),$AN$7-SQRT((1-AV561)*($AN$7-$AL$7)*($AN$7-$AM$7))),$AM$7)</f>
        <v/>
      </c>
      <c r="AN561">
        <f>IFERROR(IF(AW561&lt;($AM$8-$AL$8)/($AN$8-$AL$8),$AL$8+SQRT(AW561*($AN$8-$AL$8)*($AM$8-$AL$8)),$AN$8-SQRT((1-AW561)*($AN$8-$AL$8)*($AN$8-$AM$8))),$AM$8)</f>
        <v/>
      </c>
      <c r="AO561">
        <f>IFERROR(IF(AX561&lt;($AM$9-$AL$9)/($AN$9-$AL$9),$AL$9+SQRT(AX561*($AN$9-$AL$9)*($AM$9-$AL$9)),$AN$9-SQRT((1-AX561)*($AN$9-$AL$9)*($AN$9-$AM$9))),$AM$9)</f>
        <v/>
      </c>
      <c r="AP561">
        <f>IFERROR(IF(AY561&lt;($AM$10-$AL$10)/($AN$10-$AL$10),$AL$10+SQRT(AY561*($AN$10-$AL$10)*($AM$10-$AL$10)),$AN$10-SQRT((1-AY561)*($AN$10-$AL$10)*($AN$10-$AM$10))),$AM$10)</f>
        <v/>
      </c>
      <c r="AQ561">
        <f>IFERROR(IF(AZ561&lt;($AM$11-$AL$11)/($AN$11-$AL$11),$AL$11+SQRT(AZ561*($AN$11-$AL$11)*($AM$11-$AL$11)),$AN$11-SQRT((1-AZ561)*($AN$11-$AL$11)*($AN$11-$AM$11))),$AM$11)</f>
        <v/>
      </c>
      <c r="AR561">
        <f>SUMPRODUCT((B24:B31&lt;=$B$6)*(C24:C31*AM561+D24:D31*AO561*$B$8*AQ561)/(1+AL561/100)^B24:B31)+C32*AM561*AP561/(1+AL561/100)^$B$6</f>
        <v/>
      </c>
      <c r="AS561">
        <f>SUMPRODUCT((K24:K26&lt;=$B$6)*(L24:L26*AN561+M24:M26*AO561*$B$8*AQ561)/(1+AL561/100)^K24:K26)+L27*AN561*AP561/(1+AL561/100)^$B$6</f>
        <v/>
      </c>
      <c r="AT561">
        <f>AS561-AR561</f>
        <v/>
      </c>
      <c r="AU561">
        <f>RAND()</f>
        <v/>
      </c>
      <c r="AV561">
        <f>RAND()</f>
        <v/>
      </c>
      <c r="AW561">
        <f>RAND()</f>
        <v/>
      </c>
      <c r="AX561">
        <f>RAND()</f>
        <v/>
      </c>
      <c r="AY561">
        <f>RAND()</f>
        <v/>
      </c>
      <c r="AZ561">
        <f>RAND()</f>
        <v/>
      </c>
    </row>
    <row r="562">
      <c r="AK562" t="n">
        <v>549</v>
      </c>
      <c r="AL562">
        <f>IFERROR(IF(AU562&lt;($AM$6-$AL$6)/($AN$6-$AL$6),$AL$6+SQRT(AU562*($AN$6-$AL$6)*($AM$6-$AL$6)),$AN$6-SQRT((1-AU562)*($AN$6-$AL$6)*($AN$6-$AM$6))),$AM$6)</f>
        <v/>
      </c>
      <c r="AM562">
        <f>IFERROR(IF(AV562&lt;($AM$7-$AL$7)/($AN$7-$AL$7),$AL$7+SQRT(AV562*($AN$7-$AL$7)*($AM$7-$AL$7)),$AN$7-SQRT((1-AV562)*($AN$7-$AL$7)*($AN$7-$AM$7))),$AM$7)</f>
        <v/>
      </c>
      <c r="AN562">
        <f>IFERROR(IF(AW562&lt;($AM$8-$AL$8)/($AN$8-$AL$8),$AL$8+SQRT(AW562*($AN$8-$AL$8)*($AM$8-$AL$8)),$AN$8-SQRT((1-AW562)*($AN$8-$AL$8)*($AN$8-$AM$8))),$AM$8)</f>
        <v/>
      </c>
      <c r="AO562">
        <f>IFERROR(IF(AX562&lt;($AM$9-$AL$9)/($AN$9-$AL$9),$AL$9+SQRT(AX562*($AN$9-$AL$9)*($AM$9-$AL$9)),$AN$9-SQRT((1-AX562)*($AN$9-$AL$9)*($AN$9-$AM$9))),$AM$9)</f>
        <v/>
      </c>
      <c r="AP562">
        <f>IFERROR(IF(AY562&lt;($AM$10-$AL$10)/($AN$10-$AL$10),$AL$10+SQRT(AY562*($AN$10-$AL$10)*($AM$10-$AL$10)),$AN$10-SQRT((1-AY562)*($AN$10-$AL$10)*($AN$10-$AM$10))),$AM$10)</f>
        <v/>
      </c>
      <c r="AQ562">
        <f>IFERROR(IF(AZ562&lt;($AM$11-$AL$11)/($AN$11-$AL$11),$AL$11+SQRT(AZ562*($AN$11-$AL$11)*($AM$11-$AL$11)),$AN$11-SQRT((1-AZ562)*($AN$11-$AL$11)*($AN$11-$AM$11))),$AM$11)</f>
        <v/>
      </c>
      <c r="AR562">
        <f>SUMPRODUCT((B24:B31&lt;=$B$6)*(C24:C31*AM562+D24:D31*AO562*$B$8*AQ562)/(1+AL562/100)^B24:B31)+C32*AM562*AP562/(1+AL562/100)^$B$6</f>
        <v/>
      </c>
      <c r="AS562">
        <f>SUMPRODUCT((K24:K26&lt;=$B$6)*(L24:L26*AN562+M24:M26*AO562*$B$8*AQ562)/(1+AL562/100)^K24:K26)+L27*AN562*AP562/(1+AL562/100)^$B$6</f>
        <v/>
      </c>
      <c r="AT562">
        <f>AS562-AR562</f>
        <v/>
      </c>
      <c r="AU562">
        <f>RAND()</f>
        <v/>
      </c>
      <c r="AV562">
        <f>RAND()</f>
        <v/>
      </c>
      <c r="AW562">
        <f>RAND()</f>
        <v/>
      </c>
      <c r="AX562">
        <f>RAND()</f>
        <v/>
      </c>
      <c r="AY562">
        <f>RAND()</f>
        <v/>
      </c>
      <c r="AZ562">
        <f>RAND()</f>
        <v/>
      </c>
    </row>
    <row r="563">
      <c r="AK563" t="n">
        <v>550</v>
      </c>
      <c r="AL563">
        <f>IFERROR(IF(AU563&lt;($AM$6-$AL$6)/($AN$6-$AL$6),$AL$6+SQRT(AU563*($AN$6-$AL$6)*($AM$6-$AL$6)),$AN$6-SQRT((1-AU563)*($AN$6-$AL$6)*($AN$6-$AM$6))),$AM$6)</f>
        <v/>
      </c>
      <c r="AM563">
        <f>IFERROR(IF(AV563&lt;($AM$7-$AL$7)/($AN$7-$AL$7),$AL$7+SQRT(AV563*($AN$7-$AL$7)*($AM$7-$AL$7)),$AN$7-SQRT((1-AV563)*($AN$7-$AL$7)*($AN$7-$AM$7))),$AM$7)</f>
        <v/>
      </c>
      <c r="AN563">
        <f>IFERROR(IF(AW563&lt;($AM$8-$AL$8)/($AN$8-$AL$8),$AL$8+SQRT(AW563*($AN$8-$AL$8)*($AM$8-$AL$8)),$AN$8-SQRT((1-AW563)*($AN$8-$AL$8)*($AN$8-$AM$8))),$AM$8)</f>
        <v/>
      </c>
      <c r="AO563">
        <f>IFERROR(IF(AX563&lt;($AM$9-$AL$9)/($AN$9-$AL$9),$AL$9+SQRT(AX563*($AN$9-$AL$9)*($AM$9-$AL$9)),$AN$9-SQRT((1-AX563)*($AN$9-$AL$9)*($AN$9-$AM$9))),$AM$9)</f>
        <v/>
      </c>
      <c r="AP563">
        <f>IFERROR(IF(AY563&lt;($AM$10-$AL$10)/($AN$10-$AL$10),$AL$10+SQRT(AY563*($AN$10-$AL$10)*($AM$10-$AL$10)),$AN$10-SQRT((1-AY563)*($AN$10-$AL$10)*($AN$10-$AM$10))),$AM$10)</f>
        <v/>
      </c>
      <c r="AQ563">
        <f>IFERROR(IF(AZ563&lt;($AM$11-$AL$11)/($AN$11-$AL$11),$AL$11+SQRT(AZ563*($AN$11-$AL$11)*($AM$11-$AL$11)),$AN$11-SQRT((1-AZ563)*($AN$11-$AL$11)*($AN$11-$AM$11))),$AM$11)</f>
        <v/>
      </c>
      <c r="AR563">
        <f>SUMPRODUCT((B24:B31&lt;=$B$6)*(C24:C31*AM563+D24:D31*AO563*$B$8*AQ563)/(1+AL563/100)^B24:B31)+C32*AM563*AP563/(1+AL563/100)^$B$6</f>
        <v/>
      </c>
      <c r="AS563">
        <f>SUMPRODUCT((K24:K26&lt;=$B$6)*(L24:L26*AN563+M24:M26*AO563*$B$8*AQ563)/(1+AL563/100)^K24:K26)+L27*AN563*AP563/(1+AL563/100)^$B$6</f>
        <v/>
      </c>
      <c r="AT563">
        <f>AS563-AR563</f>
        <v/>
      </c>
      <c r="AU563">
        <f>RAND()</f>
        <v/>
      </c>
      <c r="AV563">
        <f>RAND()</f>
        <v/>
      </c>
      <c r="AW563">
        <f>RAND()</f>
        <v/>
      </c>
      <c r="AX563">
        <f>RAND()</f>
        <v/>
      </c>
      <c r="AY563">
        <f>RAND()</f>
        <v/>
      </c>
      <c r="AZ563">
        <f>RAND()</f>
        <v/>
      </c>
    </row>
    <row r="564">
      <c r="AK564" t="n">
        <v>551</v>
      </c>
      <c r="AL564">
        <f>IFERROR(IF(AU564&lt;($AM$6-$AL$6)/($AN$6-$AL$6),$AL$6+SQRT(AU564*($AN$6-$AL$6)*($AM$6-$AL$6)),$AN$6-SQRT((1-AU564)*($AN$6-$AL$6)*($AN$6-$AM$6))),$AM$6)</f>
        <v/>
      </c>
      <c r="AM564">
        <f>IFERROR(IF(AV564&lt;($AM$7-$AL$7)/($AN$7-$AL$7),$AL$7+SQRT(AV564*($AN$7-$AL$7)*($AM$7-$AL$7)),$AN$7-SQRT((1-AV564)*($AN$7-$AL$7)*($AN$7-$AM$7))),$AM$7)</f>
        <v/>
      </c>
      <c r="AN564">
        <f>IFERROR(IF(AW564&lt;($AM$8-$AL$8)/($AN$8-$AL$8),$AL$8+SQRT(AW564*($AN$8-$AL$8)*($AM$8-$AL$8)),$AN$8-SQRT((1-AW564)*($AN$8-$AL$8)*($AN$8-$AM$8))),$AM$8)</f>
        <v/>
      </c>
      <c r="AO564">
        <f>IFERROR(IF(AX564&lt;($AM$9-$AL$9)/($AN$9-$AL$9),$AL$9+SQRT(AX564*($AN$9-$AL$9)*($AM$9-$AL$9)),$AN$9-SQRT((1-AX564)*($AN$9-$AL$9)*($AN$9-$AM$9))),$AM$9)</f>
        <v/>
      </c>
      <c r="AP564">
        <f>IFERROR(IF(AY564&lt;($AM$10-$AL$10)/($AN$10-$AL$10),$AL$10+SQRT(AY564*($AN$10-$AL$10)*($AM$10-$AL$10)),$AN$10-SQRT((1-AY564)*($AN$10-$AL$10)*($AN$10-$AM$10))),$AM$10)</f>
        <v/>
      </c>
      <c r="AQ564">
        <f>IFERROR(IF(AZ564&lt;($AM$11-$AL$11)/($AN$11-$AL$11),$AL$11+SQRT(AZ564*($AN$11-$AL$11)*($AM$11-$AL$11)),$AN$11-SQRT((1-AZ564)*($AN$11-$AL$11)*($AN$11-$AM$11))),$AM$11)</f>
        <v/>
      </c>
      <c r="AR564">
        <f>SUMPRODUCT((B24:B31&lt;=$B$6)*(C24:C31*AM564+D24:D31*AO564*$B$8*AQ564)/(1+AL564/100)^B24:B31)+C32*AM564*AP564/(1+AL564/100)^$B$6</f>
        <v/>
      </c>
      <c r="AS564">
        <f>SUMPRODUCT((K24:K26&lt;=$B$6)*(L24:L26*AN564+M24:M26*AO564*$B$8*AQ564)/(1+AL564/100)^K24:K26)+L27*AN564*AP564/(1+AL564/100)^$B$6</f>
        <v/>
      </c>
      <c r="AT564">
        <f>AS564-AR564</f>
        <v/>
      </c>
      <c r="AU564">
        <f>RAND()</f>
        <v/>
      </c>
      <c r="AV564">
        <f>RAND()</f>
        <v/>
      </c>
      <c r="AW564">
        <f>RAND()</f>
        <v/>
      </c>
      <c r="AX564">
        <f>RAND()</f>
        <v/>
      </c>
      <c r="AY564">
        <f>RAND()</f>
        <v/>
      </c>
      <c r="AZ564">
        <f>RAND()</f>
        <v/>
      </c>
    </row>
    <row r="565">
      <c r="AK565" t="n">
        <v>552</v>
      </c>
      <c r="AL565">
        <f>IFERROR(IF(AU565&lt;($AM$6-$AL$6)/($AN$6-$AL$6),$AL$6+SQRT(AU565*($AN$6-$AL$6)*($AM$6-$AL$6)),$AN$6-SQRT((1-AU565)*($AN$6-$AL$6)*($AN$6-$AM$6))),$AM$6)</f>
        <v/>
      </c>
      <c r="AM565">
        <f>IFERROR(IF(AV565&lt;($AM$7-$AL$7)/($AN$7-$AL$7),$AL$7+SQRT(AV565*($AN$7-$AL$7)*($AM$7-$AL$7)),$AN$7-SQRT((1-AV565)*($AN$7-$AL$7)*($AN$7-$AM$7))),$AM$7)</f>
        <v/>
      </c>
      <c r="AN565">
        <f>IFERROR(IF(AW565&lt;($AM$8-$AL$8)/($AN$8-$AL$8),$AL$8+SQRT(AW565*($AN$8-$AL$8)*($AM$8-$AL$8)),$AN$8-SQRT((1-AW565)*($AN$8-$AL$8)*($AN$8-$AM$8))),$AM$8)</f>
        <v/>
      </c>
      <c r="AO565">
        <f>IFERROR(IF(AX565&lt;($AM$9-$AL$9)/($AN$9-$AL$9),$AL$9+SQRT(AX565*($AN$9-$AL$9)*($AM$9-$AL$9)),$AN$9-SQRT((1-AX565)*($AN$9-$AL$9)*($AN$9-$AM$9))),$AM$9)</f>
        <v/>
      </c>
      <c r="AP565">
        <f>IFERROR(IF(AY565&lt;($AM$10-$AL$10)/($AN$10-$AL$10),$AL$10+SQRT(AY565*($AN$10-$AL$10)*($AM$10-$AL$10)),$AN$10-SQRT((1-AY565)*($AN$10-$AL$10)*($AN$10-$AM$10))),$AM$10)</f>
        <v/>
      </c>
      <c r="AQ565">
        <f>IFERROR(IF(AZ565&lt;($AM$11-$AL$11)/($AN$11-$AL$11),$AL$11+SQRT(AZ565*($AN$11-$AL$11)*($AM$11-$AL$11)),$AN$11-SQRT((1-AZ565)*($AN$11-$AL$11)*($AN$11-$AM$11))),$AM$11)</f>
        <v/>
      </c>
      <c r="AR565">
        <f>SUMPRODUCT((B24:B31&lt;=$B$6)*(C24:C31*AM565+D24:D31*AO565*$B$8*AQ565)/(1+AL565/100)^B24:B31)+C32*AM565*AP565/(1+AL565/100)^$B$6</f>
        <v/>
      </c>
      <c r="AS565">
        <f>SUMPRODUCT((K24:K26&lt;=$B$6)*(L24:L26*AN565+M24:M26*AO565*$B$8*AQ565)/(1+AL565/100)^K24:K26)+L27*AN565*AP565/(1+AL565/100)^$B$6</f>
        <v/>
      </c>
      <c r="AT565">
        <f>AS565-AR565</f>
        <v/>
      </c>
      <c r="AU565">
        <f>RAND()</f>
        <v/>
      </c>
      <c r="AV565">
        <f>RAND()</f>
        <v/>
      </c>
      <c r="AW565">
        <f>RAND()</f>
        <v/>
      </c>
      <c r="AX565">
        <f>RAND()</f>
        <v/>
      </c>
      <c r="AY565">
        <f>RAND()</f>
        <v/>
      </c>
      <c r="AZ565">
        <f>RAND()</f>
        <v/>
      </c>
    </row>
    <row r="566">
      <c r="AK566" t="n">
        <v>553</v>
      </c>
      <c r="AL566">
        <f>IFERROR(IF(AU566&lt;($AM$6-$AL$6)/($AN$6-$AL$6),$AL$6+SQRT(AU566*($AN$6-$AL$6)*($AM$6-$AL$6)),$AN$6-SQRT((1-AU566)*($AN$6-$AL$6)*($AN$6-$AM$6))),$AM$6)</f>
        <v/>
      </c>
      <c r="AM566">
        <f>IFERROR(IF(AV566&lt;($AM$7-$AL$7)/($AN$7-$AL$7),$AL$7+SQRT(AV566*($AN$7-$AL$7)*($AM$7-$AL$7)),$AN$7-SQRT((1-AV566)*($AN$7-$AL$7)*($AN$7-$AM$7))),$AM$7)</f>
        <v/>
      </c>
      <c r="AN566">
        <f>IFERROR(IF(AW566&lt;($AM$8-$AL$8)/($AN$8-$AL$8),$AL$8+SQRT(AW566*($AN$8-$AL$8)*($AM$8-$AL$8)),$AN$8-SQRT((1-AW566)*($AN$8-$AL$8)*($AN$8-$AM$8))),$AM$8)</f>
        <v/>
      </c>
      <c r="AO566">
        <f>IFERROR(IF(AX566&lt;($AM$9-$AL$9)/($AN$9-$AL$9),$AL$9+SQRT(AX566*($AN$9-$AL$9)*($AM$9-$AL$9)),$AN$9-SQRT((1-AX566)*($AN$9-$AL$9)*($AN$9-$AM$9))),$AM$9)</f>
        <v/>
      </c>
      <c r="AP566">
        <f>IFERROR(IF(AY566&lt;($AM$10-$AL$10)/($AN$10-$AL$10),$AL$10+SQRT(AY566*($AN$10-$AL$10)*($AM$10-$AL$10)),$AN$10-SQRT((1-AY566)*($AN$10-$AL$10)*($AN$10-$AM$10))),$AM$10)</f>
        <v/>
      </c>
      <c r="AQ566">
        <f>IFERROR(IF(AZ566&lt;($AM$11-$AL$11)/($AN$11-$AL$11),$AL$11+SQRT(AZ566*($AN$11-$AL$11)*($AM$11-$AL$11)),$AN$11-SQRT((1-AZ566)*($AN$11-$AL$11)*($AN$11-$AM$11))),$AM$11)</f>
        <v/>
      </c>
      <c r="AR566">
        <f>SUMPRODUCT((B24:B31&lt;=$B$6)*(C24:C31*AM566+D24:D31*AO566*$B$8*AQ566)/(1+AL566/100)^B24:B31)+C32*AM566*AP566/(1+AL566/100)^$B$6</f>
        <v/>
      </c>
      <c r="AS566">
        <f>SUMPRODUCT((K24:K26&lt;=$B$6)*(L24:L26*AN566+M24:M26*AO566*$B$8*AQ566)/(1+AL566/100)^K24:K26)+L27*AN566*AP566/(1+AL566/100)^$B$6</f>
        <v/>
      </c>
      <c r="AT566">
        <f>AS566-AR566</f>
        <v/>
      </c>
      <c r="AU566">
        <f>RAND()</f>
        <v/>
      </c>
      <c r="AV566">
        <f>RAND()</f>
        <v/>
      </c>
      <c r="AW566">
        <f>RAND()</f>
        <v/>
      </c>
      <c r="AX566">
        <f>RAND()</f>
        <v/>
      </c>
      <c r="AY566">
        <f>RAND()</f>
        <v/>
      </c>
      <c r="AZ566">
        <f>RAND()</f>
        <v/>
      </c>
    </row>
    <row r="567">
      <c r="AK567" t="n">
        <v>554</v>
      </c>
      <c r="AL567">
        <f>IFERROR(IF(AU567&lt;($AM$6-$AL$6)/($AN$6-$AL$6),$AL$6+SQRT(AU567*($AN$6-$AL$6)*($AM$6-$AL$6)),$AN$6-SQRT((1-AU567)*($AN$6-$AL$6)*($AN$6-$AM$6))),$AM$6)</f>
        <v/>
      </c>
      <c r="AM567">
        <f>IFERROR(IF(AV567&lt;($AM$7-$AL$7)/($AN$7-$AL$7),$AL$7+SQRT(AV567*($AN$7-$AL$7)*($AM$7-$AL$7)),$AN$7-SQRT((1-AV567)*($AN$7-$AL$7)*($AN$7-$AM$7))),$AM$7)</f>
        <v/>
      </c>
      <c r="AN567">
        <f>IFERROR(IF(AW567&lt;($AM$8-$AL$8)/($AN$8-$AL$8),$AL$8+SQRT(AW567*($AN$8-$AL$8)*($AM$8-$AL$8)),$AN$8-SQRT((1-AW567)*($AN$8-$AL$8)*($AN$8-$AM$8))),$AM$8)</f>
        <v/>
      </c>
      <c r="AO567">
        <f>IFERROR(IF(AX567&lt;($AM$9-$AL$9)/($AN$9-$AL$9),$AL$9+SQRT(AX567*($AN$9-$AL$9)*($AM$9-$AL$9)),$AN$9-SQRT((1-AX567)*($AN$9-$AL$9)*($AN$9-$AM$9))),$AM$9)</f>
        <v/>
      </c>
      <c r="AP567">
        <f>IFERROR(IF(AY567&lt;($AM$10-$AL$10)/($AN$10-$AL$10),$AL$10+SQRT(AY567*($AN$10-$AL$10)*($AM$10-$AL$10)),$AN$10-SQRT((1-AY567)*($AN$10-$AL$10)*($AN$10-$AM$10))),$AM$10)</f>
        <v/>
      </c>
      <c r="AQ567">
        <f>IFERROR(IF(AZ567&lt;($AM$11-$AL$11)/($AN$11-$AL$11),$AL$11+SQRT(AZ567*($AN$11-$AL$11)*($AM$11-$AL$11)),$AN$11-SQRT((1-AZ567)*($AN$11-$AL$11)*($AN$11-$AM$11))),$AM$11)</f>
        <v/>
      </c>
      <c r="AR567">
        <f>SUMPRODUCT((B24:B31&lt;=$B$6)*(C24:C31*AM567+D24:D31*AO567*$B$8*AQ567)/(1+AL567/100)^B24:B31)+C32*AM567*AP567/(1+AL567/100)^$B$6</f>
        <v/>
      </c>
      <c r="AS567">
        <f>SUMPRODUCT((K24:K26&lt;=$B$6)*(L24:L26*AN567+M24:M26*AO567*$B$8*AQ567)/(1+AL567/100)^K24:K26)+L27*AN567*AP567/(1+AL567/100)^$B$6</f>
        <v/>
      </c>
      <c r="AT567">
        <f>AS567-AR567</f>
        <v/>
      </c>
      <c r="AU567">
        <f>RAND()</f>
        <v/>
      </c>
      <c r="AV567">
        <f>RAND()</f>
        <v/>
      </c>
      <c r="AW567">
        <f>RAND()</f>
        <v/>
      </c>
      <c r="AX567">
        <f>RAND()</f>
        <v/>
      </c>
      <c r="AY567">
        <f>RAND()</f>
        <v/>
      </c>
      <c r="AZ567">
        <f>RAND()</f>
        <v/>
      </c>
    </row>
    <row r="568">
      <c r="AK568" t="n">
        <v>555</v>
      </c>
      <c r="AL568">
        <f>IFERROR(IF(AU568&lt;($AM$6-$AL$6)/($AN$6-$AL$6),$AL$6+SQRT(AU568*($AN$6-$AL$6)*($AM$6-$AL$6)),$AN$6-SQRT((1-AU568)*($AN$6-$AL$6)*($AN$6-$AM$6))),$AM$6)</f>
        <v/>
      </c>
      <c r="AM568">
        <f>IFERROR(IF(AV568&lt;($AM$7-$AL$7)/($AN$7-$AL$7),$AL$7+SQRT(AV568*($AN$7-$AL$7)*($AM$7-$AL$7)),$AN$7-SQRT((1-AV568)*($AN$7-$AL$7)*($AN$7-$AM$7))),$AM$7)</f>
        <v/>
      </c>
      <c r="AN568">
        <f>IFERROR(IF(AW568&lt;($AM$8-$AL$8)/($AN$8-$AL$8),$AL$8+SQRT(AW568*($AN$8-$AL$8)*($AM$8-$AL$8)),$AN$8-SQRT((1-AW568)*($AN$8-$AL$8)*($AN$8-$AM$8))),$AM$8)</f>
        <v/>
      </c>
      <c r="AO568">
        <f>IFERROR(IF(AX568&lt;($AM$9-$AL$9)/($AN$9-$AL$9),$AL$9+SQRT(AX568*($AN$9-$AL$9)*($AM$9-$AL$9)),$AN$9-SQRT((1-AX568)*($AN$9-$AL$9)*($AN$9-$AM$9))),$AM$9)</f>
        <v/>
      </c>
      <c r="AP568">
        <f>IFERROR(IF(AY568&lt;($AM$10-$AL$10)/($AN$10-$AL$10),$AL$10+SQRT(AY568*($AN$10-$AL$10)*($AM$10-$AL$10)),$AN$10-SQRT((1-AY568)*($AN$10-$AL$10)*($AN$10-$AM$10))),$AM$10)</f>
        <v/>
      </c>
      <c r="AQ568">
        <f>IFERROR(IF(AZ568&lt;($AM$11-$AL$11)/($AN$11-$AL$11),$AL$11+SQRT(AZ568*($AN$11-$AL$11)*($AM$11-$AL$11)),$AN$11-SQRT((1-AZ568)*($AN$11-$AL$11)*($AN$11-$AM$11))),$AM$11)</f>
        <v/>
      </c>
      <c r="AR568">
        <f>SUMPRODUCT((B24:B31&lt;=$B$6)*(C24:C31*AM568+D24:D31*AO568*$B$8*AQ568)/(1+AL568/100)^B24:B31)+C32*AM568*AP568/(1+AL568/100)^$B$6</f>
        <v/>
      </c>
      <c r="AS568">
        <f>SUMPRODUCT((K24:K26&lt;=$B$6)*(L24:L26*AN568+M24:M26*AO568*$B$8*AQ568)/(1+AL568/100)^K24:K26)+L27*AN568*AP568/(1+AL568/100)^$B$6</f>
        <v/>
      </c>
      <c r="AT568">
        <f>AS568-AR568</f>
        <v/>
      </c>
      <c r="AU568">
        <f>RAND()</f>
        <v/>
      </c>
      <c r="AV568">
        <f>RAND()</f>
        <v/>
      </c>
      <c r="AW568">
        <f>RAND()</f>
        <v/>
      </c>
      <c r="AX568">
        <f>RAND()</f>
        <v/>
      </c>
      <c r="AY568">
        <f>RAND()</f>
        <v/>
      </c>
      <c r="AZ568">
        <f>RAND()</f>
        <v/>
      </c>
    </row>
    <row r="569">
      <c r="AK569" t="n">
        <v>556</v>
      </c>
      <c r="AL569">
        <f>IFERROR(IF(AU569&lt;($AM$6-$AL$6)/($AN$6-$AL$6),$AL$6+SQRT(AU569*($AN$6-$AL$6)*($AM$6-$AL$6)),$AN$6-SQRT((1-AU569)*($AN$6-$AL$6)*($AN$6-$AM$6))),$AM$6)</f>
        <v/>
      </c>
      <c r="AM569">
        <f>IFERROR(IF(AV569&lt;($AM$7-$AL$7)/($AN$7-$AL$7),$AL$7+SQRT(AV569*($AN$7-$AL$7)*($AM$7-$AL$7)),$AN$7-SQRT((1-AV569)*($AN$7-$AL$7)*($AN$7-$AM$7))),$AM$7)</f>
        <v/>
      </c>
      <c r="AN569">
        <f>IFERROR(IF(AW569&lt;($AM$8-$AL$8)/($AN$8-$AL$8),$AL$8+SQRT(AW569*($AN$8-$AL$8)*($AM$8-$AL$8)),$AN$8-SQRT((1-AW569)*($AN$8-$AL$8)*($AN$8-$AM$8))),$AM$8)</f>
        <v/>
      </c>
      <c r="AO569">
        <f>IFERROR(IF(AX569&lt;($AM$9-$AL$9)/($AN$9-$AL$9),$AL$9+SQRT(AX569*($AN$9-$AL$9)*($AM$9-$AL$9)),$AN$9-SQRT((1-AX569)*($AN$9-$AL$9)*($AN$9-$AM$9))),$AM$9)</f>
        <v/>
      </c>
      <c r="AP569">
        <f>IFERROR(IF(AY569&lt;($AM$10-$AL$10)/($AN$10-$AL$10),$AL$10+SQRT(AY569*($AN$10-$AL$10)*($AM$10-$AL$10)),$AN$10-SQRT((1-AY569)*($AN$10-$AL$10)*($AN$10-$AM$10))),$AM$10)</f>
        <v/>
      </c>
      <c r="AQ569">
        <f>IFERROR(IF(AZ569&lt;($AM$11-$AL$11)/($AN$11-$AL$11),$AL$11+SQRT(AZ569*($AN$11-$AL$11)*($AM$11-$AL$11)),$AN$11-SQRT((1-AZ569)*($AN$11-$AL$11)*($AN$11-$AM$11))),$AM$11)</f>
        <v/>
      </c>
      <c r="AR569">
        <f>SUMPRODUCT((B24:B31&lt;=$B$6)*(C24:C31*AM569+D24:D31*AO569*$B$8*AQ569)/(1+AL569/100)^B24:B31)+C32*AM569*AP569/(1+AL569/100)^$B$6</f>
        <v/>
      </c>
      <c r="AS569">
        <f>SUMPRODUCT((K24:K26&lt;=$B$6)*(L24:L26*AN569+M24:M26*AO569*$B$8*AQ569)/(1+AL569/100)^K24:K26)+L27*AN569*AP569/(1+AL569/100)^$B$6</f>
        <v/>
      </c>
      <c r="AT569">
        <f>AS569-AR569</f>
        <v/>
      </c>
      <c r="AU569">
        <f>RAND()</f>
        <v/>
      </c>
      <c r="AV569">
        <f>RAND()</f>
        <v/>
      </c>
      <c r="AW569">
        <f>RAND()</f>
        <v/>
      </c>
      <c r="AX569">
        <f>RAND()</f>
        <v/>
      </c>
      <c r="AY569">
        <f>RAND()</f>
        <v/>
      </c>
      <c r="AZ569">
        <f>RAND()</f>
        <v/>
      </c>
    </row>
    <row r="570">
      <c r="AK570" t="n">
        <v>557</v>
      </c>
      <c r="AL570">
        <f>IFERROR(IF(AU570&lt;($AM$6-$AL$6)/($AN$6-$AL$6),$AL$6+SQRT(AU570*($AN$6-$AL$6)*($AM$6-$AL$6)),$AN$6-SQRT((1-AU570)*($AN$6-$AL$6)*($AN$6-$AM$6))),$AM$6)</f>
        <v/>
      </c>
      <c r="AM570">
        <f>IFERROR(IF(AV570&lt;($AM$7-$AL$7)/($AN$7-$AL$7),$AL$7+SQRT(AV570*($AN$7-$AL$7)*($AM$7-$AL$7)),$AN$7-SQRT((1-AV570)*($AN$7-$AL$7)*($AN$7-$AM$7))),$AM$7)</f>
        <v/>
      </c>
      <c r="AN570">
        <f>IFERROR(IF(AW570&lt;($AM$8-$AL$8)/($AN$8-$AL$8),$AL$8+SQRT(AW570*($AN$8-$AL$8)*($AM$8-$AL$8)),$AN$8-SQRT((1-AW570)*($AN$8-$AL$8)*($AN$8-$AM$8))),$AM$8)</f>
        <v/>
      </c>
      <c r="AO570">
        <f>IFERROR(IF(AX570&lt;($AM$9-$AL$9)/($AN$9-$AL$9),$AL$9+SQRT(AX570*($AN$9-$AL$9)*($AM$9-$AL$9)),$AN$9-SQRT((1-AX570)*($AN$9-$AL$9)*($AN$9-$AM$9))),$AM$9)</f>
        <v/>
      </c>
      <c r="AP570">
        <f>IFERROR(IF(AY570&lt;($AM$10-$AL$10)/($AN$10-$AL$10),$AL$10+SQRT(AY570*($AN$10-$AL$10)*($AM$10-$AL$10)),$AN$10-SQRT((1-AY570)*($AN$10-$AL$10)*($AN$10-$AM$10))),$AM$10)</f>
        <v/>
      </c>
      <c r="AQ570">
        <f>IFERROR(IF(AZ570&lt;($AM$11-$AL$11)/($AN$11-$AL$11),$AL$11+SQRT(AZ570*($AN$11-$AL$11)*($AM$11-$AL$11)),$AN$11-SQRT((1-AZ570)*($AN$11-$AL$11)*($AN$11-$AM$11))),$AM$11)</f>
        <v/>
      </c>
      <c r="AR570">
        <f>SUMPRODUCT((B24:B31&lt;=$B$6)*(C24:C31*AM570+D24:D31*AO570*$B$8*AQ570)/(1+AL570/100)^B24:B31)+C32*AM570*AP570/(1+AL570/100)^$B$6</f>
        <v/>
      </c>
      <c r="AS570">
        <f>SUMPRODUCT((K24:K26&lt;=$B$6)*(L24:L26*AN570+M24:M26*AO570*$B$8*AQ570)/(1+AL570/100)^K24:K26)+L27*AN570*AP570/(1+AL570/100)^$B$6</f>
        <v/>
      </c>
      <c r="AT570">
        <f>AS570-AR570</f>
        <v/>
      </c>
      <c r="AU570">
        <f>RAND()</f>
        <v/>
      </c>
      <c r="AV570">
        <f>RAND()</f>
        <v/>
      </c>
      <c r="AW570">
        <f>RAND()</f>
        <v/>
      </c>
      <c r="AX570">
        <f>RAND()</f>
        <v/>
      </c>
      <c r="AY570">
        <f>RAND()</f>
        <v/>
      </c>
      <c r="AZ570">
        <f>RAND()</f>
        <v/>
      </c>
    </row>
    <row r="571">
      <c r="AK571" t="n">
        <v>558</v>
      </c>
      <c r="AL571">
        <f>IFERROR(IF(AU571&lt;($AM$6-$AL$6)/($AN$6-$AL$6),$AL$6+SQRT(AU571*($AN$6-$AL$6)*($AM$6-$AL$6)),$AN$6-SQRT((1-AU571)*($AN$6-$AL$6)*($AN$6-$AM$6))),$AM$6)</f>
        <v/>
      </c>
      <c r="AM571">
        <f>IFERROR(IF(AV571&lt;($AM$7-$AL$7)/($AN$7-$AL$7),$AL$7+SQRT(AV571*($AN$7-$AL$7)*($AM$7-$AL$7)),$AN$7-SQRT((1-AV571)*($AN$7-$AL$7)*($AN$7-$AM$7))),$AM$7)</f>
        <v/>
      </c>
      <c r="AN571">
        <f>IFERROR(IF(AW571&lt;($AM$8-$AL$8)/($AN$8-$AL$8),$AL$8+SQRT(AW571*($AN$8-$AL$8)*($AM$8-$AL$8)),$AN$8-SQRT((1-AW571)*($AN$8-$AL$8)*($AN$8-$AM$8))),$AM$8)</f>
        <v/>
      </c>
      <c r="AO571">
        <f>IFERROR(IF(AX571&lt;($AM$9-$AL$9)/($AN$9-$AL$9),$AL$9+SQRT(AX571*($AN$9-$AL$9)*($AM$9-$AL$9)),$AN$9-SQRT((1-AX571)*($AN$9-$AL$9)*($AN$9-$AM$9))),$AM$9)</f>
        <v/>
      </c>
      <c r="AP571">
        <f>IFERROR(IF(AY571&lt;($AM$10-$AL$10)/($AN$10-$AL$10),$AL$10+SQRT(AY571*($AN$10-$AL$10)*($AM$10-$AL$10)),$AN$10-SQRT((1-AY571)*($AN$10-$AL$10)*($AN$10-$AM$10))),$AM$10)</f>
        <v/>
      </c>
      <c r="AQ571">
        <f>IFERROR(IF(AZ571&lt;($AM$11-$AL$11)/($AN$11-$AL$11),$AL$11+SQRT(AZ571*($AN$11-$AL$11)*($AM$11-$AL$11)),$AN$11-SQRT((1-AZ571)*($AN$11-$AL$11)*($AN$11-$AM$11))),$AM$11)</f>
        <v/>
      </c>
      <c r="AR571">
        <f>SUMPRODUCT((B24:B31&lt;=$B$6)*(C24:C31*AM571+D24:D31*AO571*$B$8*AQ571)/(1+AL571/100)^B24:B31)+C32*AM571*AP571/(1+AL571/100)^$B$6</f>
        <v/>
      </c>
      <c r="AS571">
        <f>SUMPRODUCT((K24:K26&lt;=$B$6)*(L24:L26*AN571+M24:M26*AO571*$B$8*AQ571)/(1+AL571/100)^K24:K26)+L27*AN571*AP571/(1+AL571/100)^$B$6</f>
        <v/>
      </c>
      <c r="AT571">
        <f>AS571-AR571</f>
        <v/>
      </c>
      <c r="AU571">
        <f>RAND()</f>
        <v/>
      </c>
      <c r="AV571">
        <f>RAND()</f>
        <v/>
      </c>
      <c r="AW571">
        <f>RAND()</f>
        <v/>
      </c>
      <c r="AX571">
        <f>RAND()</f>
        <v/>
      </c>
      <c r="AY571">
        <f>RAND()</f>
        <v/>
      </c>
      <c r="AZ571">
        <f>RAND()</f>
        <v/>
      </c>
    </row>
    <row r="572">
      <c r="AK572" t="n">
        <v>559</v>
      </c>
      <c r="AL572">
        <f>IFERROR(IF(AU572&lt;($AM$6-$AL$6)/($AN$6-$AL$6),$AL$6+SQRT(AU572*($AN$6-$AL$6)*($AM$6-$AL$6)),$AN$6-SQRT((1-AU572)*($AN$6-$AL$6)*($AN$6-$AM$6))),$AM$6)</f>
        <v/>
      </c>
      <c r="AM572">
        <f>IFERROR(IF(AV572&lt;($AM$7-$AL$7)/($AN$7-$AL$7),$AL$7+SQRT(AV572*($AN$7-$AL$7)*($AM$7-$AL$7)),$AN$7-SQRT((1-AV572)*($AN$7-$AL$7)*($AN$7-$AM$7))),$AM$7)</f>
        <v/>
      </c>
      <c r="AN572">
        <f>IFERROR(IF(AW572&lt;($AM$8-$AL$8)/($AN$8-$AL$8),$AL$8+SQRT(AW572*($AN$8-$AL$8)*($AM$8-$AL$8)),$AN$8-SQRT((1-AW572)*($AN$8-$AL$8)*($AN$8-$AM$8))),$AM$8)</f>
        <v/>
      </c>
      <c r="AO572">
        <f>IFERROR(IF(AX572&lt;($AM$9-$AL$9)/($AN$9-$AL$9),$AL$9+SQRT(AX572*($AN$9-$AL$9)*($AM$9-$AL$9)),$AN$9-SQRT((1-AX572)*($AN$9-$AL$9)*($AN$9-$AM$9))),$AM$9)</f>
        <v/>
      </c>
      <c r="AP572">
        <f>IFERROR(IF(AY572&lt;($AM$10-$AL$10)/($AN$10-$AL$10),$AL$10+SQRT(AY572*($AN$10-$AL$10)*($AM$10-$AL$10)),$AN$10-SQRT((1-AY572)*($AN$10-$AL$10)*($AN$10-$AM$10))),$AM$10)</f>
        <v/>
      </c>
      <c r="AQ572">
        <f>IFERROR(IF(AZ572&lt;($AM$11-$AL$11)/($AN$11-$AL$11),$AL$11+SQRT(AZ572*($AN$11-$AL$11)*($AM$11-$AL$11)),$AN$11-SQRT((1-AZ572)*($AN$11-$AL$11)*($AN$11-$AM$11))),$AM$11)</f>
        <v/>
      </c>
      <c r="AR572">
        <f>SUMPRODUCT((B24:B31&lt;=$B$6)*(C24:C31*AM572+D24:D31*AO572*$B$8*AQ572)/(1+AL572/100)^B24:B31)+C32*AM572*AP572/(1+AL572/100)^$B$6</f>
        <v/>
      </c>
      <c r="AS572">
        <f>SUMPRODUCT((K24:K26&lt;=$B$6)*(L24:L26*AN572+M24:M26*AO572*$B$8*AQ572)/(1+AL572/100)^K24:K26)+L27*AN572*AP572/(1+AL572/100)^$B$6</f>
        <v/>
      </c>
      <c r="AT572">
        <f>AS572-AR572</f>
        <v/>
      </c>
      <c r="AU572">
        <f>RAND()</f>
        <v/>
      </c>
      <c r="AV572">
        <f>RAND()</f>
        <v/>
      </c>
      <c r="AW572">
        <f>RAND()</f>
        <v/>
      </c>
      <c r="AX572">
        <f>RAND()</f>
        <v/>
      </c>
      <c r="AY572">
        <f>RAND()</f>
        <v/>
      </c>
      <c r="AZ572">
        <f>RAND()</f>
        <v/>
      </c>
    </row>
    <row r="573">
      <c r="AK573" t="n">
        <v>560</v>
      </c>
      <c r="AL573">
        <f>IFERROR(IF(AU573&lt;($AM$6-$AL$6)/($AN$6-$AL$6),$AL$6+SQRT(AU573*($AN$6-$AL$6)*($AM$6-$AL$6)),$AN$6-SQRT((1-AU573)*($AN$6-$AL$6)*($AN$6-$AM$6))),$AM$6)</f>
        <v/>
      </c>
      <c r="AM573">
        <f>IFERROR(IF(AV573&lt;($AM$7-$AL$7)/($AN$7-$AL$7),$AL$7+SQRT(AV573*($AN$7-$AL$7)*($AM$7-$AL$7)),$AN$7-SQRT((1-AV573)*($AN$7-$AL$7)*($AN$7-$AM$7))),$AM$7)</f>
        <v/>
      </c>
      <c r="AN573">
        <f>IFERROR(IF(AW573&lt;($AM$8-$AL$8)/($AN$8-$AL$8),$AL$8+SQRT(AW573*($AN$8-$AL$8)*($AM$8-$AL$8)),$AN$8-SQRT((1-AW573)*($AN$8-$AL$8)*($AN$8-$AM$8))),$AM$8)</f>
        <v/>
      </c>
      <c r="AO573">
        <f>IFERROR(IF(AX573&lt;($AM$9-$AL$9)/($AN$9-$AL$9),$AL$9+SQRT(AX573*($AN$9-$AL$9)*($AM$9-$AL$9)),$AN$9-SQRT((1-AX573)*($AN$9-$AL$9)*($AN$9-$AM$9))),$AM$9)</f>
        <v/>
      </c>
      <c r="AP573">
        <f>IFERROR(IF(AY573&lt;($AM$10-$AL$10)/($AN$10-$AL$10),$AL$10+SQRT(AY573*($AN$10-$AL$10)*($AM$10-$AL$10)),$AN$10-SQRT((1-AY573)*($AN$10-$AL$10)*($AN$10-$AM$10))),$AM$10)</f>
        <v/>
      </c>
      <c r="AQ573">
        <f>IFERROR(IF(AZ573&lt;($AM$11-$AL$11)/($AN$11-$AL$11),$AL$11+SQRT(AZ573*($AN$11-$AL$11)*($AM$11-$AL$11)),$AN$11-SQRT((1-AZ573)*($AN$11-$AL$11)*($AN$11-$AM$11))),$AM$11)</f>
        <v/>
      </c>
      <c r="AR573">
        <f>SUMPRODUCT((B24:B31&lt;=$B$6)*(C24:C31*AM573+D24:D31*AO573*$B$8*AQ573)/(1+AL573/100)^B24:B31)+C32*AM573*AP573/(1+AL573/100)^$B$6</f>
        <v/>
      </c>
      <c r="AS573">
        <f>SUMPRODUCT((K24:K26&lt;=$B$6)*(L24:L26*AN573+M24:M26*AO573*$B$8*AQ573)/(1+AL573/100)^K24:K26)+L27*AN573*AP573/(1+AL573/100)^$B$6</f>
        <v/>
      </c>
      <c r="AT573">
        <f>AS573-AR573</f>
        <v/>
      </c>
      <c r="AU573">
        <f>RAND()</f>
        <v/>
      </c>
      <c r="AV573">
        <f>RAND()</f>
        <v/>
      </c>
      <c r="AW573">
        <f>RAND()</f>
        <v/>
      </c>
      <c r="AX573">
        <f>RAND()</f>
        <v/>
      </c>
      <c r="AY573">
        <f>RAND()</f>
        <v/>
      </c>
      <c r="AZ573">
        <f>RAND()</f>
        <v/>
      </c>
    </row>
    <row r="574">
      <c r="AK574" t="n">
        <v>561</v>
      </c>
      <c r="AL574">
        <f>IFERROR(IF(AU574&lt;($AM$6-$AL$6)/($AN$6-$AL$6),$AL$6+SQRT(AU574*($AN$6-$AL$6)*($AM$6-$AL$6)),$AN$6-SQRT((1-AU574)*($AN$6-$AL$6)*($AN$6-$AM$6))),$AM$6)</f>
        <v/>
      </c>
      <c r="AM574">
        <f>IFERROR(IF(AV574&lt;($AM$7-$AL$7)/($AN$7-$AL$7),$AL$7+SQRT(AV574*($AN$7-$AL$7)*($AM$7-$AL$7)),$AN$7-SQRT((1-AV574)*($AN$7-$AL$7)*($AN$7-$AM$7))),$AM$7)</f>
        <v/>
      </c>
      <c r="AN574">
        <f>IFERROR(IF(AW574&lt;($AM$8-$AL$8)/($AN$8-$AL$8),$AL$8+SQRT(AW574*($AN$8-$AL$8)*($AM$8-$AL$8)),$AN$8-SQRT((1-AW574)*($AN$8-$AL$8)*($AN$8-$AM$8))),$AM$8)</f>
        <v/>
      </c>
      <c r="AO574">
        <f>IFERROR(IF(AX574&lt;($AM$9-$AL$9)/($AN$9-$AL$9),$AL$9+SQRT(AX574*($AN$9-$AL$9)*($AM$9-$AL$9)),$AN$9-SQRT((1-AX574)*($AN$9-$AL$9)*($AN$9-$AM$9))),$AM$9)</f>
        <v/>
      </c>
      <c r="AP574">
        <f>IFERROR(IF(AY574&lt;($AM$10-$AL$10)/($AN$10-$AL$10),$AL$10+SQRT(AY574*($AN$10-$AL$10)*($AM$10-$AL$10)),$AN$10-SQRT((1-AY574)*($AN$10-$AL$10)*($AN$10-$AM$10))),$AM$10)</f>
        <v/>
      </c>
      <c r="AQ574">
        <f>IFERROR(IF(AZ574&lt;($AM$11-$AL$11)/($AN$11-$AL$11),$AL$11+SQRT(AZ574*($AN$11-$AL$11)*($AM$11-$AL$11)),$AN$11-SQRT((1-AZ574)*($AN$11-$AL$11)*($AN$11-$AM$11))),$AM$11)</f>
        <v/>
      </c>
      <c r="AR574">
        <f>SUMPRODUCT((B24:B31&lt;=$B$6)*(C24:C31*AM574+D24:D31*AO574*$B$8*AQ574)/(1+AL574/100)^B24:B31)+C32*AM574*AP574/(1+AL574/100)^$B$6</f>
        <v/>
      </c>
      <c r="AS574">
        <f>SUMPRODUCT((K24:K26&lt;=$B$6)*(L24:L26*AN574+M24:M26*AO574*$B$8*AQ574)/(1+AL574/100)^K24:K26)+L27*AN574*AP574/(1+AL574/100)^$B$6</f>
        <v/>
      </c>
      <c r="AT574">
        <f>AS574-AR574</f>
        <v/>
      </c>
      <c r="AU574">
        <f>RAND()</f>
        <v/>
      </c>
      <c r="AV574">
        <f>RAND()</f>
        <v/>
      </c>
      <c r="AW574">
        <f>RAND()</f>
        <v/>
      </c>
      <c r="AX574">
        <f>RAND()</f>
        <v/>
      </c>
      <c r="AY574">
        <f>RAND()</f>
        <v/>
      </c>
      <c r="AZ574">
        <f>RAND()</f>
        <v/>
      </c>
    </row>
    <row r="575">
      <c r="AK575" t="n">
        <v>562</v>
      </c>
      <c r="AL575">
        <f>IFERROR(IF(AU575&lt;($AM$6-$AL$6)/($AN$6-$AL$6),$AL$6+SQRT(AU575*($AN$6-$AL$6)*($AM$6-$AL$6)),$AN$6-SQRT((1-AU575)*($AN$6-$AL$6)*($AN$6-$AM$6))),$AM$6)</f>
        <v/>
      </c>
      <c r="AM575">
        <f>IFERROR(IF(AV575&lt;($AM$7-$AL$7)/($AN$7-$AL$7),$AL$7+SQRT(AV575*($AN$7-$AL$7)*($AM$7-$AL$7)),$AN$7-SQRT((1-AV575)*($AN$7-$AL$7)*($AN$7-$AM$7))),$AM$7)</f>
        <v/>
      </c>
      <c r="AN575">
        <f>IFERROR(IF(AW575&lt;($AM$8-$AL$8)/($AN$8-$AL$8),$AL$8+SQRT(AW575*($AN$8-$AL$8)*($AM$8-$AL$8)),$AN$8-SQRT((1-AW575)*($AN$8-$AL$8)*($AN$8-$AM$8))),$AM$8)</f>
        <v/>
      </c>
      <c r="AO575">
        <f>IFERROR(IF(AX575&lt;($AM$9-$AL$9)/($AN$9-$AL$9),$AL$9+SQRT(AX575*($AN$9-$AL$9)*($AM$9-$AL$9)),$AN$9-SQRT((1-AX575)*($AN$9-$AL$9)*($AN$9-$AM$9))),$AM$9)</f>
        <v/>
      </c>
      <c r="AP575">
        <f>IFERROR(IF(AY575&lt;($AM$10-$AL$10)/($AN$10-$AL$10),$AL$10+SQRT(AY575*($AN$10-$AL$10)*($AM$10-$AL$10)),$AN$10-SQRT((1-AY575)*($AN$10-$AL$10)*($AN$10-$AM$10))),$AM$10)</f>
        <v/>
      </c>
      <c r="AQ575">
        <f>IFERROR(IF(AZ575&lt;($AM$11-$AL$11)/($AN$11-$AL$11),$AL$11+SQRT(AZ575*($AN$11-$AL$11)*($AM$11-$AL$11)),$AN$11-SQRT((1-AZ575)*($AN$11-$AL$11)*($AN$11-$AM$11))),$AM$11)</f>
        <v/>
      </c>
      <c r="AR575">
        <f>SUMPRODUCT((B24:B31&lt;=$B$6)*(C24:C31*AM575+D24:D31*AO575*$B$8*AQ575)/(1+AL575/100)^B24:B31)+C32*AM575*AP575/(1+AL575/100)^$B$6</f>
        <v/>
      </c>
      <c r="AS575">
        <f>SUMPRODUCT((K24:K26&lt;=$B$6)*(L24:L26*AN575+M24:M26*AO575*$B$8*AQ575)/(1+AL575/100)^K24:K26)+L27*AN575*AP575/(1+AL575/100)^$B$6</f>
        <v/>
      </c>
      <c r="AT575">
        <f>AS575-AR575</f>
        <v/>
      </c>
      <c r="AU575">
        <f>RAND()</f>
        <v/>
      </c>
      <c r="AV575">
        <f>RAND()</f>
        <v/>
      </c>
      <c r="AW575">
        <f>RAND()</f>
        <v/>
      </c>
      <c r="AX575">
        <f>RAND()</f>
        <v/>
      </c>
      <c r="AY575">
        <f>RAND()</f>
        <v/>
      </c>
      <c r="AZ575">
        <f>RAND()</f>
        <v/>
      </c>
    </row>
    <row r="576">
      <c r="AK576" t="n">
        <v>563</v>
      </c>
      <c r="AL576">
        <f>IFERROR(IF(AU576&lt;($AM$6-$AL$6)/($AN$6-$AL$6),$AL$6+SQRT(AU576*($AN$6-$AL$6)*($AM$6-$AL$6)),$AN$6-SQRT((1-AU576)*($AN$6-$AL$6)*($AN$6-$AM$6))),$AM$6)</f>
        <v/>
      </c>
      <c r="AM576">
        <f>IFERROR(IF(AV576&lt;($AM$7-$AL$7)/($AN$7-$AL$7),$AL$7+SQRT(AV576*($AN$7-$AL$7)*($AM$7-$AL$7)),$AN$7-SQRT((1-AV576)*($AN$7-$AL$7)*($AN$7-$AM$7))),$AM$7)</f>
        <v/>
      </c>
      <c r="AN576">
        <f>IFERROR(IF(AW576&lt;($AM$8-$AL$8)/($AN$8-$AL$8),$AL$8+SQRT(AW576*($AN$8-$AL$8)*($AM$8-$AL$8)),$AN$8-SQRT((1-AW576)*($AN$8-$AL$8)*($AN$8-$AM$8))),$AM$8)</f>
        <v/>
      </c>
      <c r="AO576">
        <f>IFERROR(IF(AX576&lt;($AM$9-$AL$9)/($AN$9-$AL$9),$AL$9+SQRT(AX576*($AN$9-$AL$9)*($AM$9-$AL$9)),$AN$9-SQRT((1-AX576)*($AN$9-$AL$9)*($AN$9-$AM$9))),$AM$9)</f>
        <v/>
      </c>
      <c r="AP576">
        <f>IFERROR(IF(AY576&lt;($AM$10-$AL$10)/($AN$10-$AL$10),$AL$10+SQRT(AY576*($AN$10-$AL$10)*($AM$10-$AL$10)),$AN$10-SQRT((1-AY576)*($AN$10-$AL$10)*($AN$10-$AM$10))),$AM$10)</f>
        <v/>
      </c>
      <c r="AQ576">
        <f>IFERROR(IF(AZ576&lt;($AM$11-$AL$11)/($AN$11-$AL$11),$AL$11+SQRT(AZ576*($AN$11-$AL$11)*($AM$11-$AL$11)),$AN$11-SQRT((1-AZ576)*($AN$11-$AL$11)*($AN$11-$AM$11))),$AM$11)</f>
        <v/>
      </c>
      <c r="AR576">
        <f>SUMPRODUCT((B24:B31&lt;=$B$6)*(C24:C31*AM576+D24:D31*AO576*$B$8*AQ576)/(1+AL576/100)^B24:B31)+C32*AM576*AP576/(1+AL576/100)^$B$6</f>
        <v/>
      </c>
      <c r="AS576">
        <f>SUMPRODUCT((K24:K26&lt;=$B$6)*(L24:L26*AN576+M24:M26*AO576*$B$8*AQ576)/(1+AL576/100)^K24:K26)+L27*AN576*AP576/(1+AL576/100)^$B$6</f>
        <v/>
      </c>
      <c r="AT576">
        <f>AS576-AR576</f>
        <v/>
      </c>
      <c r="AU576">
        <f>RAND()</f>
        <v/>
      </c>
      <c r="AV576">
        <f>RAND()</f>
        <v/>
      </c>
      <c r="AW576">
        <f>RAND()</f>
        <v/>
      </c>
      <c r="AX576">
        <f>RAND()</f>
        <v/>
      </c>
      <c r="AY576">
        <f>RAND()</f>
        <v/>
      </c>
      <c r="AZ576">
        <f>RAND()</f>
        <v/>
      </c>
    </row>
    <row r="577">
      <c r="AK577" t="n">
        <v>564</v>
      </c>
      <c r="AL577">
        <f>IFERROR(IF(AU577&lt;($AM$6-$AL$6)/($AN$6-$AL$6),$AL$6+SQRT(AU577*($AN$6-$AL$6)*($AM$6-$AL$6)),$AN$6-SQRT((1-AU577)*($AN$6-$AL$6)*($AN$6-$AM$6))),$AM$6)</f>
        <v/>
      </c>
      <c r="AM577">
        <f>IFERROR(IF(AV577&lt;($AM$7-$AL$7)/($AN$7-$AL$7),$AL$7+SQRT(AV577*($AN$7-$AL$7)*($AM$7-$AL$7)),$AN$7-SQRT((1-AV577)*($AN$7-$AL$7)*($AN$7-$AM$7))),$AM$7)</f>
        <v/>
      </c>
      <c r="AN577">
        <f>IFERROR(IF(AW577&lt;($AM$8-$AL$8)/($AN$8-$AL$8),$AL$8+SQRT(AW577*($AN$8-$AL$8)*($AM$8-$AL$8)),$AN$8-SQRT((1-AW577)*($AN$8-$AL$8)*($AN$8-$AM$8))),$AM$8)</f>
        <v/>
      </c>
      <c r="AO577">
        <f>IFERROR(IF(AX577&lt;($AM$9-$AL$9)/($AN$9-$AL$9),$AL$9+SQRT(AX577*($AN$9-$AL$9)*($AM$9-$AL$9)),$AN$9-SQRT((1-AX577)*($AN$9-$AL$9)*($AN$9-$AM$9))),$AM$9)</f>
        <v/>
      </c>
      <c r="AP577">
        <f>IFERROR(IF(AY577&lt;($AM$10-$AL$10)/($AN$10-$AL$10),$AL$10+SQRT(AY577*($AN$10-$AL$10)*($AM$10-$AL$10)),$AN$10-SQRT((1-AY577)*($AN$10-$AL$10)*($AN$10-$AM$10))),$AM$10)</f>
        <v/>
      </c>
      <c r="AQ577">
        <f>IFERROR(IF(AZ577&lt;($AM$11-$AL$11)/($AN$11-$AL$11),$AL$11+SQRT(AZ577*($AN$11-$AL$11)*($AM$11-$AL$11)),$AN$11-SQRT((1-AZ577)*($AN$11-$AL$11)*($AN$11-$AM$11))),$AM$11)</f>
        <v/>
      </c>
      <c r="AR577">
        <f>SUMPRODUCT((B24:B31&lt;=$B$6)*(C24:C31*AM577+D24:D31*AO577*$B$8*AQ577)/(1+AL577/100)^B24:B31)+C32*AM577*AP577/(1+AL577/100)^$B$6</f>
        <v/>
      </c>
      <c r="AS577">
        <f>SUMPRODUCT((K24:K26&lt;=$B$6)*(L24:L26*AN577+M24:M26*AO577*$B$8*AQ577)/(1+AL577/100)^K24:K26)+L27*AN577*AP577/(1+AL577/100)^$B$6</f>
        <v/>
      </c>
      <c r="AT577">
        <f>AS577-AR577</f>
        <v/>
      </c>
      <c r="AU577">
        <f>RAND()</f>
        <v/>
      </c>
      <c r="AV577">
        <f>RAND()</f>
        <v/>
      </c>
      <c r="AW577">
        <f>RAND()</f>
        <v/>
      </c>
      <c r="AX577">
        <f>RAND()</f>
        <v/>
      </c>
      <c r="AY577">
        <f>RAND()</f>
        <v/>
      </c>
      <c r="AZ577">
        <f>RAND()</f>
        <v/>
      </c>
    </row>
    <row r="578">
      <c r="AK578" t="n">
        <v>565</v>
      </c>
      <c r="AL578">
        <f>IFERROR(IF(AU578&lt;($AM$6-$AL$6)/($AN$6-$AL$6),$AL$6+SQRT(AU578*($AN$6-$AL$6)*($AM$6-$AL$6)),$AN$6-SQRT((1-AU578)*($AN$6-$AL$6)*($AN$6-$AM$6))),$AM$6)</f>
        <v/>
      </c>
      <c r="AM578">
        <f>IFERROR(IF(AV578&lt;($AM$7-$AL$7)/($AN$7-$AL$7),$AL$7+SQRT(AV578*($AN$7-$AL$7)*($AM$7-$AL$7)),$AN$7-SQRT((1-AV578)*($AN$7-$AL$7)*($AN$7-$AM$7))),$AM$7)</f>
        <v/>
      </c>
      <c r="AN578">
        <f>IFERROR(IF(AW578&lt;($AM$8-$AL$8)/($AN$8-$AL$8),$AL$8+SQRT(AW578*($AN$8-$AL$8)*($AM$8-$AL$8)),$AN$8-SQRT((1-AW578)*($AN$8-$AL$8)*($AN$8-$AM$8))),$AM$8)</f>
        <v/>
      </c>
      <c r="AO578">
        <f>IFERROR(IF(AX578&lt;($AM$9-$AL$9)/($AN$9-$AL$9),$AL$9+SQRT(AX578*($AN$9-$AL$9)*($AM$9-$AL$9)),$AN$9-SQRT((1-AX578)*($AN$9-$AL$9)*($AN$9-$AM$9))),$AM$9)</f>
        <v/>
      </c>
      <c r="AP578">
        <f>IFERROR(IF(AY578&lt;($AM$10-$AL$10)/($AN$10-$AL$10),$AL$10+SQRT(AY578*($AN$10-$AL$10)*($AM$10-$AL$10)),$AN$10-SQRT((1-AY578)*($AN$10-$AL$10)*($AN$10-$AM$10))),$AM$10)</f>
        <v/>
      </c>
      <c r="AQ578">
        <f>IFERROR(IF(AZ578&lt;($AM$11-$AL$11)/($AN$11-$AL$11),$AL$11+SQRT(AZ578*($AN$11-$AL$11)*($AM$11-$AL$11)),$AN$11-SQRT((1-AZ578)*($AN$11-$AL$11)*($AN$11-$AM$11))),$AM$11)</f>
        <v/>
      </c>
      <c r="AR578">
        <f>SUMPRODUCT((B24:B31&lt;=$B$6)*(C24:C31*AM578+D24:D31*AO578*$B$8*AQ578)/(1+AL578/100)^B24:B31)+C32*AM578*AP578/(1+AL578/100)^$B$6</f>
        <v/>
      </c>
      <c r="AS578">
        <f>SUMPRODUCT((K24:K26&lt;=$B$6)*(L24:L26*AN578+M24:M26*AO578*$B$8*AQ578)/(1+AL578/100)^K24:K26)+L27*AN578*AP578/(1+AL578/100)^$B$6</f>
        <v/>
      </c>
      <c r="AT578">
        <f>AS578-AR578</f>
        <v/>
      </c>
      <c r="AU578">
        <f>RAND()</f>
        <v/>
      </c>
      <c r="AV578">
        <f>RAND()</f>
        <v/>
      </c>
      <c r="AW578">
        <f>RAND()</f>
        <v/>
      </c>
      <c r="AX578">
        <f>RAND()</f>
        <v/>
      </c>
      <c r="AY578">
        <f>RAND()</f>
        <v/>
      </c>
      <c r="AZ578">
        <f>RAND()</f>
        <v/>
      </c>
    </row>
    <row r="579">
      <c r="AK579" t="n">
        <v>566</v>
      </c>
      <c r="AL579">
        <f>IFERROR(IF(AU579&lt;($AM$6-$AL$6)/($AN$6-$AL$6),$AL$6+SQRT(AU579*($AN$6-$AL$6)*($AM$6-$AL$6)),$AN$6-SQRT((1-AU579)*($AN$6-$AL$6)*($AN$6-$AM$6))),$AM$6)</f>
        <v/>
      </c>
      <c r="AM579">
        <f>IFERROR(IF(AV579&lt;($AM$7-$AL$7)/($AN$7-$AL$7),$AL$7+SQRT(AV579*($AN$7-$AL$7)*($AM$7-$AL$7)),$AN$7-SQRT((1-AV579)*($AN$7-$AL$7)*($AN$7-$AM$7))),$AM$7)</f>
        <v/>
      </c>
      <c r="AN579">
        <f>IFERROR(IF(AW579&lt;($AM$8-$AL$8)/($AN$8-$AL$8),$AL$8+SQRT(AW579*($AN$8-$AL$8)*($AM$8-$AL$8)),$AN$8-SQRT((1-AW579)*($AN$8-$AL$8)*($AN$8-$AM$8))),$AM$8)</f>
        <v/>
      </c>
      <c r="AO579">
        <f>IFERROR(IF(AX579&lt;($AM$9-$AL$9)/($AN$9-$AL$9),$AL$9+SQRT(AX579*($AN$9-$AL$9)*($AM$9-$AL$9)),$AN$9-SQRT((1-AX579)*($AN$9-$AL$9)*($AN$9-$AM$9))),$AM$9)</f>
        <v/>
      </c>
      <c r="AP579">
        <f>IFERROR(IF(AY579&lt;($AM$10-$AL$10)/($AN$10-$AL$10),$AL$10+SQRT(AY579*($AN$10-$AL$10)*($AM$10-$AL$10)),$AN$10-SQRT((1-AY579)*($AN$10-$AL$10)*($AN$10-$AM$10))),$AM$10)</f>
        <v/>
      </c>
      <c r="AQ579">
        <f>IFERROR(IF(AZ579&lt;($AM$11-$AL$11)/($AN$11-$AL$11),$AL$11+SQRT(AZ579*($AN$11-$AL$11)*($AM$11-$AL$11)),$AN$11-SQRT((1-AZ579)*($AN$11-$AL$11)*($AN$11-$AM$11))),$AM$11)</f>
        <v/>
      </c>
      <c r="AR579">
        <f>SUMPRODUCT((B24:B31&lt;=$B$6)*(C24:C31*AM579+D24:D31*AO579*$B$8*AQ579)/(1+AL579/100)^B24:B31)+C32*AM579*AP579/(1+AL579/100)^$B$6</f>
        <v/>
      </c>
      <c r="AS579">
        <f>SUMPRODUCT((K24:K26&lt;=$B$6)*(L24:L26*AN579+M24:M26*AO579*$B$8*AQ579)/(1+AL579/100)^K24:K26)+L27*AN579*AP579/(1+AL579/100)^$B$6</f>
        <v/>
      </c>
      <c r="AT579">
        <f>AS579-AR579</f>
        <v/>
      </c>
      <c r="AU579">
        <f>RAND()</f>
        <v/>
      </c>
      <c r="AV579">
        <f>RAND()</f>
        <v/>
      </c>
      <c r="AW579">
        <f>RAND()</f>
        <v/>
      </c>
      <c r="AX579">
        <f>RAND()</f>
        <v/>
      </c>
      <c r="AY579">
        <f>RAND()</f>
        <v/>
      </c>
      <c r="AZ579">
        <f>RAND()</f>
        <v/>
      </c>
    </row>
    <row r="580">
      <c r="AK580" t="n">
        <v>567</v>
      </c>
      <c r="AL580">
        <f>IFERROR(IF(AU580&lt;($AM$6-$AL$6)/($AN$6-$AL$6),$AL$6+SQRT(AU580*($AN$6-$AL$6)*($AM$6-$AL$6)),$AN$6-SQRT((1-AU580)*($AN$6-$AL$6)*($AN$6-$AM$6))),$AM$6)</f>
        <v/>
      </c>
      <c r="AM580">
        <f>IFERROR(IF(AV580&lt;($AM$7-$AL$7)/($AN$7-$AL$7),$AL$7+SQRT(AV580*($AN$7-$AL$7)*($AM$7-$AL$7)),$AN$7-SQRT((1-AV580)*($AN$7-$AL$7)*($AN$7-$AM$7))),$AM$7)</f>
        <v/>
      </c>
      <c r="AN580">
        <f>IFERROR(IF(AW580&lt;($AM$8-$AL$8)/($AN$8-$AL$8),$AL$8+SQRT(AW580*($AN$8-$AL$8)*($AM$8-$AL$8)),$AN$8-SQRT((1-AW580)*($AN$8-$AL$8)*($AN$8-$AM$8))),$AM$8)</f>
        <v/>
      </c>
      <c r="AO580">
        <f>IFERROR(IF(AX580&lt;($AM$9-$AL$9)/($AN$9-$AL$9),$AL$9+SQRT(AX580*($AN$9-$AL$9)*($AM$9-$AL$9)),$AN$9-SQRT((1-AX580)*($AN$9-$AL$9)*($AN$9-$AM$9))),$AM$9)</f>
        <v/>
      </c>
      <c r="AP580">
        <f>IFERROR(IF(AY580&lt;($AM$10-$AL$10)/($AN$10-$AL$10),$AL$10+SQRT(AY580*($AN$10-$AL$10)*($AM$10-$AL$10)),$AN$10-SQRT((1-AY580)*($AN$10-$AL$10)*($AN$10-$AM$10))),$AM$10)</f>
        <v/>
      </c>
      <c r="AQ580">
        <f>IFERROR(IF(AZ580&lt;($AM$11-$AL$11)/($AN$11-$AL$11),$AL$11+SQRT(AZ580*($AN$11-$AL$11)*($AM$11-$AL$11)),$AN$11-SQRT((1-AZ580)*($AN$11-$AL$11)*($AN$11-$AM$11))),$AM$11)</f>
        <v/>
      </c>
      <c r="AR580">
        <f>SUMPRODUCT((B24:B31&lt;=$B$6)*(C24:C31*AM580+D24:D31*AO580*$B$8*AQ580)/(1+AL580/100)^B24:B31)+C32*AM580*AP580/(1+AL580/100)^$B$6</f>
        <v/>
      </c>
      <c r="AS580">
        <f>SUMPRODUCT((K24:K26&lt;=$B$6)*(L24:L26*AN580+M24:M26*AO580*$B$8*AQ580)/(1+AL580/100)^K24:K26)+L27*AN580*AP580/(1+AL580/100)^$B$6</f>
        <v/>
      </c>
      <c r="AT580">
        <f>AS580-AR580</f>
        <v/>
      </c>
      <c r="AU580">
        <f>RAND()</f>
        <v/>
      </c>
      <c r="AV580">
        <f>RAND()</f>
        <v/>
      </c>
      <c r="AW580">
        <f>RAND()</f>
        <v/>
      </c>
      <c r="AX580">
        <f>RAND()</f>
        <v/>
      </c>
      <c r="AY580">
        <f>RAND()</f>
        <v/>
      </c>
      <c r="AZ580">
        <f>RAND()</f>
        <v/>
      </c>
    </row>
    <row r="581">
      <c r="AK581" t="n">
        <v>568</v>
      </c>
      <c r="AL581">
        <f>IFERROR(IF(AU581&lt;($AM$6-$AL$6)/($AN$6-$AL$6),$AL$6+SQRT(AU581*($AN$6-$AL$6)*($AM$6-$AL$6)),$AN$6-SQRT((1-AU581)*($AN$6-$AL$6)*($AN$6-$AM$6))),$AM$6)</f>
        <v/>
      </c>
      <c r="AM581">
        <f>IFERROR(IF(AV581&lt;($AM$7-$AL$7)/($AN$7-$AL$7),$AL$7+SQRT(AV581*($AN$7-$AL$7)*($AM$7-$AL$7)),$AN$7-SQRT((1-AV581)*($AN$7-$AL$7)*($AN$7-$AM$7))),$AM$7)</f>
        <v/>
      </c>
      <c r="AN581">
        <f>IFERROR(IF(AW581&lt;($AM$8-$AL$8)/($AN$8-$AL$8),$AL$8+SQRT(AW581*($AN$8-$AL$8)*($AM$8-$AL$8)),$AN$8-SQRT((1-AW581)*($AN$8-$AL$8)*($AN$8-$AM$8))),$AM$8)</f>
        <v/>
      </c>
      <c r="AO581">
        <f>IFERROR(IF(AX581&lt;($AM$9-$AL$9)/($AN$9-$AL$9),$AL$9+SQRT(AX581*($AN$9-$AL$9)*($AM$9-$AL$9)),$AN$9-SQRT((1-AX581)*($AN$9-$AL$9)*($AN$9-$AM$9))),$AM$9)</f>
        <v/>
      </c>
      <c r="AP581">
        <f>IFERROR(IF(AY581&lt;($AM$10-$AL$10)/($AN$10-$AL$10),$AL$10+SQRT(AY581*($AN$10-$AL$10)*($AM$10-$AL$10)),$AN$10-SQRT((1-AY581)*($AN$10-$AL$10)*($AN$10-$AM$10))),$AM$10)</f>
        <v/>
      </c>
      <c r="AQ581">
        <f>IFERROR(IF(AZ581&lt;($AM$11-$AL$11)/($AN$11-$AL$11),$AL$11+SQRT(AZ581*($AN$11-$AL$11)*($AM$11-$AL$11)),$AN$11-SQRT((1-AZ581)*($AN$11-$AL$11)*($AN$11-$AM$11))),$AM$11)</f>
        <v/>
      </c>
      <c r="AR581">
        <f>SUMPRODUCT((B24:B31&lt;=$B$6)*(C24:C31*AM581+D24:D31*AO581*$B$8*AQ581)/(1+AL581/100)^B24:B31)+C32*AM581*AP581/(1+AL581/100)^$B$6</f>
        <v/>
      </c>
      <c r="AS581">
        <f>SUMPRODUCT((K24:K26&lt;=$B$6)*(L24:L26*AN581+M24:M26*AO581*$B$8*AQ581)/(1+AL581/100)^K24:K26)+L27*AN581*AP581/(1+AL581/100)^$B$6</f>
        <v/>
      </c>
      <c r="AT581">
        <f>AS581-AR581</f>
        <v/>
      </c>
      <c r="AU581">
        <f>RAND()</f>
        <v/>
      </c>
      <c r="AV581">
        <f>RAND()</f>
        <v/>
      </c>
      <c r="AW581">
        <f>RAND()</f>
        <v/>
      </c>
      <c r="AX581">
        <f>RAND()</f>
        <v/>
      </c>
      <c r="AY581">
        <f>RAND()</f>
        <v/>
      </c>
      <c r="AZ581">
        <f>RAND()</f>
        <v/>
      </c>
    </row>
    <row r="582">
      <c r="AK582" t="n">
        <v>569</v>
      </c>
      <c r="AL582">
        <f>IFERROR(IF(AU582&lt;($AM$6-$AL$6)/($AN$6-$AL$6),$AL$6+SQRT(AU582*($AN$6-$AL$6)*($AM$6-$AL$6)),$AN$6-SQRT((1-AU582)*($AN$6-$AL$6)*($AN$6-$AM$6))),$AM$6)</f>
        <v/>
      </c>
      <c r="AM582">
        <f>IFERROR(IF(AV582&lt;($AM$7-$AL$7)/($AN$7-$AL$7),$AL$7+SQRT(AV582*($AN$7-$AL$7)*($AM$7-$AL$7)),$AN$7-SQRT((1-AV582)*($AN$7-$AL$7)*($AN$7-$AM$7))),$AM$7)</f>
        <v/>
      </c>
      <c r="AN582">
        <f>IFERROR(IF(AW582&lt;($AM$8-$AL$8)/($AN$8-$AL$8),$AL$8+SQRT(AW582*($AN$8-$AL$8)*($AM$8-$AL$8)),$AN$8-SQRT((1-AW582)*($AN$8-$AL$8)*($AN$8-$AM$8))),$AM$8)</f>
        <v/>
      </c>
      <c r="AO582">
        <f>IFERROR(IF(AX582&lt;($AM$9-$AL$9)/($AN$9-$AL$9),$AL$9+SQRT(AX582*($AN$9-$AL$9)*($AM$9-$AL$9)),$AN$9-SQRT((1-AX582)*($AN$9-$AL$9)*($AN$9-$AM$9))),$AM$9)</f>
        <v/>
      </c>
      <c r="AP582">
        <f>IFERROR(IF(AY582&lt;($AM$10-$AL$10)/($AN$10-$AL$10),$AL$10+SQRT(AY582*($AN$10-$AL$10)*($AM$10-$AL$10)),$AN$10-SQRT((1-AY582)*($AN$10-$AL$10)*($AN$10-$AM$10))),$AM$10)</f>
        <v/>
      </c>
      <c r="AQ582">
        <f>IFERROR(IF(AZ582&lt;($AM$11-$AL$11)/($AN$11-$AL$11),$AL$11+SQRT(AZ582*($AN$11-$AL$11)*($AM$11-$AL$11)),$AN$11-SQRT((1-AZ582)*($AN$11-$AL$11)*($AN$11-$AM$11))),$AM$11)</f>
        <v/>
      </c>
      <c r="AR582">
        <f>SUMPRODUCT((B24:B31&lt;=$B$6)*(C24:C31*AM582+D24:D31*AO582*$B$8*AQ582)/(1+AL582/100)^B24:B31)+C32*AM582*AP582/(1+AL582/100)^$B$6</f>
        <v/>
      </c>
      <c r="AS582">
        <f>SUMPRODUCT((K24:K26&lt;=$B$6)*(L24:L26*AN582+M24:M26*AO582*$B$8*AQ582)/(1+AL582/100)^K24:K26)+L27*AN582*AP582/(1+AL582/100)^$B$6</f>
        <v/>
      </c>
      <c r="AT582">
        <f>AS582-AR582</f>
        <v/>
      </c>
      <c r="AU582">
        <f>RAND()</f>
        <v/>
      </c>
      <c r="AV582">
        <f>RAND()</f>
        <v/>
      </c>
      <c r="AW582">
        <f>RAND()</f>
        <v/>
      </c>
      <c r="AX582">
        <f>RAND()</f>
        <v/>
      </c>
      <c r="AY582">
        <f>RAND()</f>
        <v/>
      </c>
      <c r="AZ582">
        <f>RAND()</f>
        <v/>
      </c>
    </row>
    <row r="583">
      <c r="AK583" t="n">
        <v>570</v>
      </c>
      <c r="AL583">
        <f>IFERROR(IF(AU583&lt;($AM$6-$AL$6)/($AN$6-$AL$6),$AL$6+SQRT(AU583*($AN$6-$AL$6)*($AM$6-$AL$6)),$AN$6-SQRT((1-AU583)*($AN$6-$AL$6)*($AN$6-$AM$6))),$AM$6)</f>
        <v/>
      </c>
      <c r="AM583">
        <f>IFERROR(IF(AV583&lt;($AM$7-$AL$7)/($AN$7-$AL$7),$AL$7+SQRT(AV583*($AN$7-$AL$7)*($AM$7-$AL$7)),$AN$7-SQRT((1-AV583)*($AN$7-$AL$7)*($AN$7-$AM$7))),$AM$7)</f>
        <v/>
      </c>
      <c r="AN583">
        <f>IFERROR(IF(AW583&lt;($AM$8-$AL$8)/($AN$8-$AL$8),$AL$8+SQRT(AW583*($AN$8-$AL$8)*($AM$8-$AL$8)),$AN$8-SQRT((1-AW583)*($AN$8-$AL$8)*($AN$8-$AM$8))),$AM$8)</f>
        <v/>
      </c>
      <c r="AO583">
        <f>IFERROR(IF(AX583&lt;($AM$9-$AL$9)/($AN$9-$AL$9),$AL$9+SQRT(AX583*($AN$9-$AL$9)*($AM$9-$AL$9)),$AN$9-SQRT((1-AX583)*($AN$9-$AL$9)*($AN$9-$AM$9))),$AM$9)</f>
        <v/>
      </c>
      <c r="AP583">
        <f>IFERROR(IF(AY583&lt;($AM$10-$AL$10)/($AN$10-$AL$10),$AL$10+SQRT(AY583*($AN$10-$AL$10)*($AM$10-$AL$10)),$AN$10-SQRT((1-AY583)*($AN$10-$AL$10)*($AN$10-$AM$10))),$AM$10)</f>
        <v/>
      </c>
      <c r="AQ583">
        <f>IFERROR(IF(AZ583&lt;($AM$11-$AL$11)/($AN$11-$AL$11),$AL$11+SQRT(AZ583*($AN$11-$AL$11)*($AM$11-$AL$11)),$AN$11-SQRT((1-AZ583)*($AN$11-$AL$11)*($AN$11-$AM$11))),$AM$11)</f>
        <v/>
      </c>
      <c r="AR583">
        <f>SUMPRODUCT((B24:B31&lt;=$B$6)*(C24:C31*AM583+D24:D31*AO583*$B$8*AQ583)/(1+AL583/100)^B24:B31)+C32*AM583*AP583/(1+AL583/100)^$B$6</f>
        <v/>
      </c>
      <c r="AS583">
        <f>SUMPRODUCT((K24:K26&lt;=$B$6)*(L24:L26*AN583+M24:M26*AO583*$B$8*AQ583)/(1+AL583/100)^K24:K26)+L27*AN583*AP583/(1+AL583/100)^$B$6</f>
        <v/>
      </c>
      <c r="AT583">
        <f>AS583-AR583</f>
        <v/>
      </c>
      <c r="AU583">
        <f>RAND()</f>
        <v/>
      </c>
      <c r="AV583">
        <f>RAND()</f>
        <v/>
      </c>
      <c r="AW583">
        <f>RAND()</f>
        <v/>
      </c>
      <c r="AX583">
        <f>RAND()</f>
        <v/>
      </c>
      <c r="AY583">
        <f>RAND()</f>
        <v/>
      </c>
      <c r="AZ583">
        <f>RAND()</f>
        <v/>
      </c>
    </row>
    <row r="584">
      <c r="AK584" t="n">
        <v>571</v>
      </c>
      <c r="AL584">
        <f>IFERROR(IF(AU584&lt;($AM$6-$AL$6)/($AN$6-$AL$6),$AL$6+SQRT(AU584*($AN$6-$AL$6)*($AM$6-$AL$6)),$AN$6-SQRT((1-AU584)*($AN$6-$AL$6)*($AN$6-$AM$6))),$AM$6)</f>
        <v/>
      </c>
      <c r="AM584">
        <f>IFERROR(IF(AV584&lt;($AM$7-$AL$7)/($AN$7-$AL$7),$AL$7+SQRT(AV584*($AN$7-$AL$7)*($AM$7-$AL$7)),$AN$7-SQRT((1-AV584)*($AN$7-$AL$7)*($AN$7-$AM$7))),$AM$7)</f>
        <v/>
      </c>
      <c r="AN584">
        <f>IFERROR(IF(AW584&lt;($AM$8-$AL$8)/($AN$8-$AL$8),$AL$8+SQRT(AW584*($AN$8-$AL$8)*($AM$8-$AL$8)),$AN$8-SQRT((1-AW584)*($AN$8-$AL$8)*($AN$8-$AM$8))),$AM$8)</f>
        <v/>
      </c>
      <c r="AO584">
        <f>IFERROR(IF(AX584&lt;($AM$9-$AL$9)/($AN$9-$AL$9),$AL$9+SQRT(AX584*($AN$9-$AL$9)*($AM$9-$AL$9)),$AN$9-SQRT((1-AX584)*($AN$9-$AL$9)*($AN$9-$AM$9))),$AM$9)</f>
        <v/>
      </c>
      <c r="AP584">
        <f>IFERROR(IF(AY584&lt;($AM$10-$AL$10)/($AN$10-$AL$10),$AL$10+SQRT(AY584*($AN$10-$AL$10)*($AM$10-$AL$10)),$AN$10-SQRT((1-AY584)*($AN$10-$AL$10)*($AN$10-$AM$10))),$AM$10)</f>
        <v/>
      </c>
      <c r="AQ584">
        <f>IFERROR(IF(AZ584&lt;($AM$11-$AL$11)/($AN$11-$AL$11),$AL$11+SQRT(AZ584*($AN$11-$AL$11)*($AM$11-$AL$11)),$AN$11-SQRT((1-AZ584)*($AN$11-$AL$11)*($AN$11-$AM$11))),$AM$11)</f>
        <v/>
      </c>
      <c r="AR584">
        <f>SUMPRODUCT((B24:B31&lt;=$B$6)*(C24:C31*AM584+D24:D31*AO584*$B$8*AQ584)/(1+AL584/100)^B24:B31)+C32*AM584*AP584/(1+AL584/100)^$B$6</f>
        <v/>
      </c>
      <c r="AS584">
        <f>SUMPRODUCT((K24:K26&lt;=$B$6)*(L24:L26*AN584+M24:M26*AO584*$B$8*AQ584)/(1+AL584/100)^K24:K26)+L27*AN584*AP584/(1+AL584/100)^$B$6</f>
        <v/>
      </c>
      <c r="AT584">
        <f>AS584-AR584</f>
        <v/>
      </c>
      <c r="AU584">
        <f>RAND()</f>
        <v/>
      </c>
      <c r="AV584">
        <f>RAND()</f>
        <v/>
      </c>
      <c r="AW584">
        <f>RAND()</f>
        <v/>
      </c>
      <c r="AX584">
        <f>RAND()</f>
        <v/>
      </c>
      <c r="AY584">
        <f>RAND()</f>
        <v/>
      </c>
      <c r="AZ584">
        <f>RAND()</f>
        <v/>
      </c>
    </row>
    <row r="585">
      <c r="AK585" t="n">
        <v>572</v>
      </c>
      <c r="AL585">
        <f>IFERROR(IF(AU585&lt;($AM$6-$AL$6)/($AN$6-$AL$6),$AL$6+SQRT(AU585*($AN$6-$AL$6)*($AM$6-$AL$6)),$AN$6-SQRT((1-AU585)*($AN$6-$AL$6)*($AN$6-$AM$6))),$AM$6)</f>
        <v/>
      </c>
      <c r="AM585">
        <f>IFERROR(IF(AV585&lt;($AM$7-$AL$7)/($AN$7-$AL$7),$AL$7+SQRT(AV585*($AN$7-$AL$7)*($AM$7-$AL$7)),$AN$7-SQRT((1-AV585)*($AN$7-$AL$7)*($AN$7-$AM$7))),$AM$7)</f>
        <v/>
      </c>
      <c r="AN585">
        <f>IFERROR(IF(AW585&lt;($AM$8-$AL$8)/($AN$8-$AL$8),$AL$8+SQRT(AW585*($AN$8-$AL$8)*($AM$8-$AL$8)),$AN$8-SQRT((1-AW585)*($AN$8-$AL$8)*($AN$8-$AM$8))),$AM$8)</f>
        <v/>
      </c>
      <c r="AO585">
        <f>IFERROR(IF(AX585&lt;($AM$9-$AL$9)/($AN$9-$AL$9),$AL$9+SQRT(AX585*($AN$9-$AL$9)*($AM$9-$AL$9)),$AN$9-SQRT((1-AX585)*($AN$9-$AL$9)*($AN$9-$AM$9))),$AM$9)</f>
        <v/>
      </c>
      <c r="AP585">
        <f>IFERROR(IF(AY585&lt;($AM$10-$AL$10)/($AN$10-$AL$10),$AL$10+SQRT(AY585*($AN$10-$AL$10)*($AM$10-$AL$10)),$AN$10-SQRT((1-AY585)*($AN$10-$AL$10)*($AN$10-$AM$10))),$AM$10)</f>
        <v/>
      </c>
      <c r="AQ585">
        <f>IFERROR(IF(AZ585&lt;($AM$11-$AL$11)/($AN$11-$AL$11),$AL$11+SQRT(AZ585*($AN$11-$AL$11)*($AM$11-$AL$11)),$AN$11-SQRT((1-AZ585)*($AN$11-$AL$11)*($AN$11-$AM$11))),$AM$11)</f>
        <v/>
      </c>
      <c r="AR585">
        <f>SUMPRODUCT((B24:B31&lt;=$B$6)*(C24:C31*AM585+D24:D31*AO585*$B$8*AQ585)/(1+AL585/100)^B24:B31)+C32*AM585*AP585/(1+AL585/100)^$B$6</f>
        <v/>
      </c>
      <c r="AS585">
        <f>SUMPRODUCT((K24:K26&lt;=$B$6)*(L24:L26*AN585+M24:M26*AO585*$B$8*AQ585)/(1+AL585/100)^K24:K26)+L27*AN585*AP585/(1+AL585/100)^$B$6</f>
        <v/>
      </c>
      <c r="AT585">
        <f>AS585-AR585</f>
        <v/>
      </c>
      <c r="AU585">
        <f>RAND()</f>
        <v/>
      </c>
      <c r="AV585">
        <f>RAND()</f>
        <v/>
      </c>
      <c r="AW585">
        <f>RAND()</f>
        <v/>
      </c>
      <c r="AX585">
        <f>RAND()</f>
        <v/>
      </c>
      <c r="AY585">
        <f>RAND()</f>
        <v/>
      </c>
      <c r="AZ585">
        <f>RAND()</f>
        <v/>
      </c>
    </row>
    <row r="586">
      <c r="AK586" t="n">
        <v>573</v>
      </c>
      <c r="AL586">
        <f>IFERROR(IF(AU586&lt;($AM$6-$AL$6)/($AN$6-$AL$6),$AL$6+SQRT(AU586*($AN$6-$AL$6)*($AM$6-$AL$6)),$AN$6-SQRT((1-AU586)*($AN$6-$AL$6)*($AN$6-$AM$6))),$AM$6)</f>
        <v/>
      </c>
      <c r="AM586">
        <f>IFERROR(IF(AV586&lt;($AM$7-$AL$7)/($AN$7-$AL$7),$AL$7+SQRT(AV586*($AN$7-$AL$7)*($AM$7-$AL$7)),$AN$7-SQRT((1-AV586)*($AN$7-$AL$7)*($AN$7-$AM$7))),$AM$7)</f>
        <v/>
      </c>
      <c r="AN586">
        <f>IFERROR(IF(AW586&lt;($AM$8-$AL$8)/($AN$8-$AL$8),$AL$8+SQRT(AW586*($AN$8-$AL$8)*($AM$8-$AL$8)),$AN$8-SQRT((1-AW586)*($AN$8-$AL$8)*($AN$8-$AM$8))),$AM$8)</f>
        <v/>
      </c>
      <c r="AO586">
        <f>IFERROR(IF(AX586&lt;($AM$9-$AL$9)/($AN$9-$AL$9),$AL$9+SQRT(AX586*($AN$9-$AL$9)*($AM$9-$AL$9)),$AN$9-SQRT((1-AX586)*($AN$9-$AL$9)*($AN$9-$AM$9))),$AM$9)</f>
        <v/>
      </c>
      <c r="AP586">
        <f>IFERROR(IF(AY586&lt;($AM$10-$AL$10)/($AN$10-$AL$10),$AL$10+SQRT(AY586*($AN$10-$AL$10)*($AM$10-$AL$10)),$AN$10-SQRT((1-AY586)*($AN$10-$AL$10)*($AN$10-$AM$10))),$AM$10)</f>
        <v/>
      </c>
      <c r="AQ586">
        <f>IFERROR(IF(AZ586&lt;($AM$11-$AL$11)/($AN$11-$AL$11),$AL$11+SQRT(AZ586*($AN$11-$AL$11)*($AM$11-$AL$11)),$AN$11-SQRT((1-AZ586)*($AN$11-$AL$11)*($AN$11-$AM$11))),$AM$11)</f>
        <v/>
      </c>
      <c r="AR586">
        <f>SUMPRODUCT((B24:B31&lt;=$B$6)*(C24:C31*AM586+D24:D31*AO586*$B$8*AQ586)/(1+AL586/100)^B24:B31)+C32*AM586*AP586/(1+AL586/100)^$B$6</f>
        <v/>
      </c>
      <c r="AS586">
        <f>SUMPRODUCT((K24:K26&lt;=$B$6)*(L24:L26*AN586+M24:M26*AO586*$B$8*AQ586)/(1+AL586/100)^K24:K26)+L27*AN586*AP586/(1+AL586/100)^$B$6</f>
        <v/>
      </c>
      <c r="AT586">
        <f>AS586-AR586</f>
        <v/>
      </c>
      <c r="AU586">
        <f>RAND()</f>
        <v/>
      </c>
      <c r="AV586">
        <f>RAND()</f>
        <v/>
      </c>
      <c r="AW586">
        <f>RAND()</f>
        <v/>
      </c>
      <c r="AX586">
        <f>RAND()</f>
        <v/>
      </c>
      <c r="AY586">
        <f>RAND()</f>
        <v/>
      </c>
      <c r="AZ586">
        <f>RAND()</f>
        <v/>
      </c>
    </row>
    <row r="587">
      <c r="AK587" t="n">
        <v>574</v>
      </c>
      <c r="AL587">
        <f>IFERROR(IF(AU587&lt;($AM$6-$AL$6)/($AN$6-$AL$6),$AL$6+SQRT(AU587*($AN$6-$AL$6)*($AM$6-$AL$6)),$AN$6-SQRT((1-AU587)*($AN$6-$AL$6)*($AN$6-$AM$6))),$AM$6)</f>
        <v/>
      </c>
      <c r="AM587">
        <f>IFERROR(IF(AV587&lt;($AM$7-$AL$7)/($AN$7-$AL$7),$AL$7+SQRT(AV587*($AN$7-$AL$7)*($AM$7-$AL$7)),$AN$7-SQRT((1-AV587)*($AN$7-$AL$7)*($AN$7-$AM$7))),$AM$7)</f>
        <v/>
      </c>
      <c r="AN587">
        <f>IFERROR(IF(AW587&lt;($AM$8-$AL$8)/($AN$8-$AL$8),$AL$8+SQRT(AW587*($AN$8-$AL$8)*($AM$8-$AL$8)),$AN$8-SQRT((1-AW587)*($AN$8-$AL$8)*($AN$8-$AM$8))),$AM$8)</f>
        <v/>
      </c>
      <c r="AO587">
        <f>IFERROR(IF(AX587&lt;($AM$9-$AL$9)/($AN$9-$AL$9),$AL$9+SQRT(AX587*($AN$9-$AL$9)*($AM$9-$AL$9)),$AN$9-SQRT((1-AX587)*($AN$9-$AL$9)*($AN$9-$AM$9))),$AM$9)</f>
        <v/>
      </c>
      <c r="AP587">
        <f>IFERROR(IF(AY587&lt;($AM$10-$AL$10)/($AN$10-$AL$10),$AL$10+SQRT(AY587*($AN$10-$AL$10)*($AM$10-$AL$10)),$AN$10-SQRT((1-AY587)*($AN$10-$AL$10)*($AN$10-$AM$10))),$AM$10)</f>
        <v/>
      </c>
      <c r="AQ587">
        <f>IFERROR(IF(AZ587&lt;($AM$11-$AL$11)/($AN$11-$AL$11),$AL$11+SQRT(AZ587*($AN$11-$AL$11)*($AM$11-$AL$11)),$AN$11-SQRT((1-AZ587)*($AN$11-$AL$11)*($AN$11-$AM$11))),$AM$11)</f>
        <v/>
      </c>
      <c r="AR587">
        <f>SUMPRODUCT((B24:B31&lt;=$B$6)*(C24:C31*AM587+D24:D31*AO587*$B$8*AQ587)/(1+AL587/100)^B24:B31)+C32*AM587*AP587/(1+AL587/100)^$B$6</f>
        <v/>
      </c>
      <c r="AS587">
        <f>SUMPRODUCT((K24:K26&lt;=$B$6)*(L24:L26*AN587+M24:M26*AO587*$B$8*AQ587)/(1+AL587/100)^K24:K26)+L27*AN587*AP587/(1+AL587/100)^$B$6</f>
        <v/>
      </c>
      <c r="AT587">
        <f>AS587-AR587</f>
        <v/>
      </c>
      <c r="AU587">
        <f>RAND()</f>
        <v/>
      </c>
      <c r="AV587">
        <f>RAND()</f>
        <v/>
      </c>
      <c r="AW587">
        <f>RAND()</f>
        <v/>
      </c>
      <c r="AX587">
        <f>RAND()</f>
        <v/>
      </c>
      <c r="AY587">
        <f>RAND()</f>
        <v/>
      </c>
      <c r="AZ587">
        <f>RAND()</f>
        <v/>
      </c>
    </row>
    <row r="588">
      <c r="AK588" t="n">
        <v>575</v>
      </c>
      <c r="AL588">
        <f>IFERROR(IF(AU588&lt;($AM$6-$AL$6)/($AN$6-$AL$6),$AL$6+SQRT(AU588*($AN$6-$AL$6)*($AM$6-$AL$6)),$AN$6-SQRT((1-AU588)*($AN$6-$AL$6)*($AN$6-$AM$6))),$AM$6)</f>
        <v/>
      </c>
      <c r="AM588">
        <f>IFERROR(IF(AV588&lt;($AM$7-$AL$7)/($AN$7-$AL$7),$AL$7+SQRT(AV588*($AN$7-$AL$7)*($AM$7-$AL$7)),$AN$7-SQRT((1-AV588)*($AN$7-$AL$7)*($AN$7-$AM$7))),$AM$7)</f>
        <v/>
      </c>
      <c r="AN588">
        <f>IFERROR(IF(AW588&lt;($AM$8-$AL$8)/($AN$8-$AL$8),$AL$8+SQRT(AW588*($AN$8-$AL$8)*($AM$8-$AL$8)),$AN$8-SQRT((1-AW588)*($AN$8-$AL$8)*($AN$8-$AM$8))),$AM$8)</f>
        <v/>
      </c>
      <c r="AO588">
        <f>IFERROR(IF(AX588&lt;($AM$9-$AL$9)/($AN$9-$AL$9),$AL$9+SQRT(AX588*($AN$9-$AL$9)*($AM$9-$AL$9)),$AN$9-SQRT((1-AX588)*($AN$9-$AL$9)*($AN$9-$AM$9))),$AM$9)</f>
        <v/>
      </c>
      <c r="AP588">
        <f>IFERROR(IF(AY588&lt;($AM$10-$AL$10)/($AN$10-$AL$10),$AL$10+SQRT(AY588*($AN$10-$AL$10)*($AM$10-$AL$10)),$AN$10-SQRT((1-AY588)*($AN$10-$AL$10)*($AN$10-$AM$10))),$AM$10)</f>
        <v/>
      </c>
      <c r="AQ588">
        <f>IFERROR(IF(AZ588&lt;($AM$11-$AL$11)/($AN$11-$AL$11),$AL$11+SQRT(AZ588*($AN$11-$AL$11)*($AM$11-$AL$11)),$AN$11-SQRT((1-AZ588)*($AN$11-$AL$11)*($AN$11-$AM$11))),$AM$11)</f>
        <v/>
      </c>
      <c r="AR588">
        <f>SUMPRODUCT((B24:B31&lt;=$B$6)*(C24:C31*AM588+D24:D31*AO588*$B$8*AQ588)/(1+AL588/100)^B24:B31)+C32*AM588*AP588/(1+AL588/100)^$B$6</f>
        <v/>
      </c>
      <c r="AS588">
        <f>SUMPRODUCT((K24:K26&lt;=$B$6)*(L24:L26*AN588+M24:M26*AO588*$B$8*AQ588)/(1+AL588/100)^K24:K26)+L27*AN588*AP588/(1+AL588/100)^$B$6</f>
        <v/>
      </c>
      <c r="AT588">
        <f>AS588-AR588</f>
        <v/>
      </c>
      <c r="AU588">
        <f>RAND()</f>
        <v/>
      </c>
      <c r="AV588">
        <f>RAND()</f>
        <v/>
      </c>
      <c r="AW588">
        <f>RAND()</f>
        <v/>
      </c>
      <c r="AX588">
        <f>RAND()</f>
        <v/>
      </c>
      <c r="AY588">
        <f>RAND()</f>
        <v/>
      </c>
      <c r="AZ588">
        <f>RAND()</f>
        <v/>
      </c>
    </row>
    <row r="589">
      <c r="AK589" t="n">
        <v>576</v>
      </c>
      <c r="AL589">
        <f>IFERROR(IF(AU589&lt;($AM$6-$AL$6)/($AN$6-$AL$6),$AL$6+SQRT(AU589*($AN$6-$AL$6)*($AM$6-$AL$6)),$AN$6-SQRT((1-AU589)*($AN$6-$AL$6)*($AN$6-$AM$6))),$AM$6)</f>
        <v/>
      </c>
      <c r="AM589">
        <f>IFERROR(IF(AV589&lt;($AM$7-$AL$7)/($AN$7-$AL$7),$AL$7+SQRT(AV589*($AN$7-$AL$7)*($AM$7-$AL$7)),$AN$7-SQRT((1-AV589)*($AN$7-$AL$7)*($AN$7-$AM$7))),$AM$7)</f>
        <v/>
      </c>
      <c r="AN589">
        <f>IFERROR(IF(AW589&lt;($AM$8-$AL$8)/($AN$8-$AL$8),$AL$8+SQRT(AW589*($AN$8-$AL$8)*($AM$8-$AL$8)),$AN$8-SQRT((1-AW589)*($AN$8-$AL$8)*($AN$8-$AM$8))),$AM$8)</f>
        <v/>
      </c>
      <c r="AO589">
        <f>IFERROR(IF(AX589&lt;($AM$9-$AL$9)/($AN$9-$AL$9),$AL$9+SQRT(AX589*($AN$9-$AL$9)*($AM$9-$AL$9)),$AN$9-SQRT((1-AX589)*($AN$9-$AL$9)*($AN$9-$AM$9))),$AM$9)</f>
        <v/>
      </c>
      <c r="AP589">
        <f>IFERROR(IF(AY589&lt;($AM$10-$AL$10)/($AN$10-$AL$10),$AL$10+SQRT(AY589*($AN$10-$AL$10)*($AM$10-$AL$10)),$AN$10-SQRT((1-AY589)*($AN$10-$AL$10)*($AN$10-$AM$10))),$AM$10)</f>
        <v/>
      </c>
      <c r="AQ589">
        <f>IFERROR(IF(AZ589&lt;($AM$11-$AL$11)/($AN$11-$AL$11),$AL$11+SQRT(AZ589*($AN$11-$AL$11)*($AM$11-$AL$11)),$AN$11-SQRT((1-AZ589)*($AN$11-$AL$11)*($AN$11-$AM$11))),$AM$11)</f>
        <v/>
      </c>
      <c r="AR589">
        <f>SUMPRODUCT((B24:B31&lt;=$B$6)*(C24:C31*AM589+D24:D31*AO589*$B$8*AQ589)/(1+AL589/100)^B24:B31)+C32*AM589*AP589/(1+AL589/100)^$B$6</f>
        <v/>
      </c>
      <c r="AS589">
        <f>SUMPRODUCT((K24:K26&lt;=$B$6)*(L24:L26*AN589+M24:M26*AO589*$B$8*AQ589)/(1+AL589/100)^K24:K26)+L27*AN589*AP589/(1+AL589/100)^$B$6</f>
        <v/>
      </c>
      <c r="AT589">
        <f>AS589-AR589</f>
        <v/>
      </c>
      <c r="AU589">
        <f>RAND()</f>
        <v/>
      </c>
      <c r="AV589">
        <f>RAND()</f>
        <v/>
      </c>
      <c r="AW589">
        <f>RAND()</f>
        <v/>
      </c>
      <c r="AX589">
        <f>RAND()</f>
        <v/>
      </c>
      <c r="AY589">
        <f>RAND()</f>
        <v/>
      </c>
      <c r="AZ589">
        <f>RAND()</f>
        <v/>
      </c>
    </row>
    <row r="590">
      <c r="AK590" t="n">
        <v>577</v>
      </c>
      <c r="AL590">
        <f>IFERROR(IF(AU590&lt;($AM$6-$AL$6)/($AN$6-$AL$6),$AL$6+SQRT(AU590*($AN$6-$AL$6)*($AM$6-$AL$6)),$AN$6-SQRT((1-AU590)*($AN$6-$AL$6)*($AN$6-$AM$6))),$AM$6)</f>
        <v/>
      </c>
      <c r="AM590">
        <f>IFERROR(IF(AV590&lt;($AM$7-$AL$7)/($AN$7-$AL$7),$AL$7+SQRT(AV590*($AN$7-$AL$7)*($AM$7-$AL$7)),$AN$7-SQRT((1-AV590)*($AN$7-$AL$7)*($AN$7-$AM$7))),$AM$7)</f>
        <v/>
      </c>
      <c r="AN590">
        <f>IFERROR(IF(AW590&lt;($AM$8-$AL$8)/($AN$8-$AL$8),$AL$8+SQRT(AW590*($AN$8-$AL$8)*($AM$8-$AL$8)),$AN$8-SQRT((1-AW590)*($AN$8-$AL$8)*($AN$8-$AM$8))),$AM$8)</f>
        <v/>
      </c>
      <c r="AO590">
        <f>IFERROR(IF(AX590&lt;($AM$9-$AL$9)/($AN$9-$AL$9),$AL$9+SQRT(AX590*($AN$9-$AL$9)*($AM$9-$AL$9)),$AN$9-SQRT((1-AX590)*($AN$9-$AL$9)*($AN$9-$AM$9))),$AM$9)</f>
        <v/>
      </c>
      <c r="AP590">
        <f>IFERROR(IF(AY590&lt;($AM$10-$AL$10)/($AN$10-$AL$10),$AL$10+SQRT(AY590*($AN$10-$AL$10)*($AM$10-$AL$10)),$AN$10-SQRT((1-AY590)*($AN$10-$AL$10)*($AN$10-$AM$10))),$AM$10)</f>
        <v/>
      </c>
      <c r="AQ590">
        <f>IFERROR(IF(AZ590&lt;($AM$11-$AL$11)/($AN$11-$AL$11),$AL$11+SQRT(AZ590*($AN$11-$AL$11)*($AM$11-$AL$11)),$AN$11-SQRT((1-AZ590)*($AN$11-$AL$11)*($AN$11-$AM$11))),$AM$11)</f>
        <v/>
      </c>
      <c r="AR590">
        <f>SUMPRODUCT((B24:B31&lt;=$B$6)*(C24:C31*AM590+D24:D31*AO590*$B$8*AQ590)/(1+AL590/100)^B24:B31)+C32*AM590*AP590/(1+AL590/100)^$B$6</f>
        <v/>
      </c>
      <c r="AS590">
        <f>SUMPRODUCT((K24:K26&lt;=$B$6)*(L24:L26*AN590+M24:M26*AO590*$B$8*AQ590)/(1+AL590/100)^K24:K26)+L27*AN590*AP590/(1+AL590/100)^$B$6</f>
        <v/>
      </c>
      <c r="AT590">
        <f>AS590-AR590</f>
        <v/>
      </c>
      <c r="AU590">
        <f>RAND()</f>
        <v/>
      </c>
      <c r="AV590">
        <f>RAND()</f>
        <v/>
      </c>
      <c r="AW590">
        <f>RAND()</f>
        <v/>
      </c>
      <c r="AX590">
        <f>RAND()</f>
        <v/>
      </c>
      <c r="AY590">
        <f>RAND()</f>
        <v/>
      </c>
      <c r="AZ590">
        <f>RAND()</f>
        <v/>
      </c>
    </row>
    <row r="591">
      <c r="AK591" t="n">
        <v>578</v>
      </c>
      <c r="AL591">
        <f>IFERROR(IF(AU591&lt;($AM$6-$AL$6)/($AN$6-$AL$6),$AL$6+SQRT(AU591*($AN$6-$AL$6)*($AM$6-$AL$6)),$AN$6-SQRT((1-AU591)*($AN$6-$AL$6)*($AN$6-$AM$6))),$AM$6)</f>
        <v/>
      </c>
      <c r="AM591">
        <f>IFERROR(IF(AV591&lt;($AM$7-$AL$7)/($AN$7-$AL$7),$AL$7+SQRT(AV591*($AN$7-$AL$7)*($AM$7-$AL$7)),$AN$7-SQRT((1-AV591)*($AN$7-$AL$7)*($AN$7-$AM$7))),$AM$7)</f>
        <v/>
      </c>
      <c r="AN591">
        <f>IFERROR(IF(AW591&lt;($AM$8-$AL$8)/($AN$8-$AL$8),$AL$8+SQRT(AW591*($AN$8-$AL$8)*($AM$8-$AL$8)),$AN$8-SQRT((1-AW591)*($AN$8-$AL$8)*($AN$8-$AM$8))),$AM$8)</f>
        <v/>
      </c>
      <c r="AO591">
        <f>IFERROR(IF(AX591&lt;($AM$9-$AL$9)/($AN$9-$AL$9),$AL$9+SQRT(AX591*($AN$9-$AL$9)*($AM$9-$AL$9)),$AN$9-SQRT((1-AX591)*($AN$9-$AL$9)*($AN$9-$AM$9))),$AM$9)</f>
        <v/>
      </c>
      <c r="AP591">
        <f>IFERROR(IF(AY591&lt;($AM$10-$AL$10)/($AN$10-$AL$10),$AL$10+SQRT(AY591*($AN$10-$AL$10)*($AM$10-$AL$10)),$AN$10-SQRT((1-AY591)*($AN$10-$AL$10)*($AN$10-$AM$10))),$AM$10)</f>
        <v/>
      </c>
      <c r="AQ591">
        <f>IFERROR(IF(AZ591&lt;($AM$11-$AL$11)/($AN$11-$AL$11),$AL$11+SQRT(AZ591*($AN$11-$AL$11)*($AM$11-$AL$11)),$AN$11-SQRT((1-AZ591)*($AN$11-$AL$11)*($AN$11-$AM$11))),$AM$11)</f>
        <v/>
      </c>
      <c r="AR591">
        <f>SUMPRODUCT((B24:B31&lt;=$B$6)*(C24:C31*AM591+D24:D31*AO591*$B$8*AQ591)/(1+AL591/100)^B24:B31)+C32*AM591*AP591/(1+AL591/100)^$B$6</f>
        <v/>
      </c>
      <c r="AS591">
        <f>SUMPRODUCT((K24:K26&lt;=$B$6)*(L24:L26*AN591+M24:M26*AO591*$B$8*AQ591)/(1+AL591/100)^K24:K26)+L27*AN591*AP591/(1+AL591/100)^$B$6</f>
        <v/>
      </c>
      <c r="AT591">
        <f>AS591-AR591</f>
        <v/>
      </c>
      <c r="AU591">
        <f>RAND()</f>
        <v/>
      </c>
      <c r="AV591">
        <f>RAND()</f>
        <v/>
      </c>
      <c r="AW591">
        <f>RAND()</f>
        <v/>
      </c>
      <c r="AX591">
        <f>RAND()</f>
        <v/>
      </c>
      <c r="AY591">
        <f>RAND()</f>
        <v/>
      </c>
      <c r="AZ591">
        <f>RAND()</f>
        <v/>
      </c>
    </row>
    <row r="592">
      <c r="AK592" t="n">
        <v>579</v>
      </c>
      <c r="AL592">
        <f>IFERROR(IF(AU592&lt;($AM$6-$AL$6)/($AN$6-$AL$6),$AL$6+SQRT(AU592*($AN$6-$AL$6)*($AM$6-$AL$6)),$AN$6-SQRT((1-AU592)*($AN$6-$AL$6)*($AN$6-$AM$6))),$AM$6)</f>
        <v/>
      </c>
      <c r="AM592">
        <f>IFERROR(IF(AV592&lt;($AM$7-$AL$7)/($AN$7-$AL$7),$AL$7+SQRT(AV592*($AN$7-$AL$7)*($AM$7-$AL$7)),$AN$7-SQRT((1-AV592)*($AN$7-$AL$7)*($AN$7-$AM$7))),$AM$7)</f>
        <v/>
      </c>
      <c r="AN592">
        <f>IFERROR(IF(AW592&lt;($AM$8-$AL$8)/($AN$8-$AL$8),$AL$8+SQRT(AW592*($AN$8-$AL$8)*($AM$8-$AL$8)),$AN$8-SQRT((1-AW592)*($AN$8-$AL$8)*($AN$8-$AM$8))),$AM$8)</f>
        <v/>
      </c>
      <c r="AO592">
        <f>IFERROR(IF(AX592&lt;($AM$9-$AL$9)/($AN$9-$AL$9),$AL$9+SQRT(AX592*($AN$9-$AL$9)*($AM$9-$AL$9)),$AN$9-SQRT((1-AX592)*($AN$9-$AL$9)*($AN$9-$AM$9))),$AM$9)</f>
        <v/>
      </c>
      <c r="AP592">
        <f>IFERROR(IF(AY592&lt;($AM$10-$AL$10)/($AN$10-$AL$10),$AL$10+SQRT(AY592*($AN$10-$AL$10)*($AM$10-$AL$10)),$AN$10-SQRT((1-AY592)*($AN$10-$AL$10)*($AN$10-$AM$10))),$AM$10)</f>
        <v/>
      </c>
      <c r="AQ592">
        <f>IFERROR(IF(AZ592&lt;($AM$11-$AL$11)/($AN$11-$AL$11),$AL$11+SQRT(AZ592*($AN$11-$AL$11)*($AM$11-$AL$11)),$AN$11-SQRT((1-AZ592)*($AN$11-$AL$11)*($AN$11-$AM$11))),$AM$11)</f>
        <v/>
      </c>
      <c r="AR592">
        <f>SUMPRODUCT((B24:B31&lt;=$B$6)*(C24:C31*AM592+D24:D31*AO592*$B$8*AQ592)/(1+AL592/100)^B24:B31)+C32*AM592*AP592/(1+AL592/100)^$B$6</f>
        <v/>
      </c>
      <c r="AS592">
        <f>SUMPRODUCT((K24:K26&lt;=$B$6)*(L24:L26*AN592+M24:M26*AO592*$B$8*AQ592)/(1+AL592/100)^K24:K26)+L27*AN592*AP592/(1+AL592/100)^$B$6</f>
        <v/>
      </c>
      <c r="AT592">
        <f>AS592-AR592</f>
        <v/>
      </c>
      <c r="AU592">
        <f>RAND()</f>
        <v/>
      </c>
      <c r="AV592">
        <f>RAND()</f>
        <v/>
      </c>
      <c r="AW592">
        <f>RAND()</f>
        <v/>
      </c>
      <c r="AX592">
        <f>RAND()</f>
        <v/>
      </c>
      <c r="AY592">
        <f>RAND()</f>
        <v/>
      </c>
      <c r="AZ592">
        <f>RAND()</f>
        <v/>
      </c>
    </row>
    <row r="593">
      <c r="AK593" t="n">
        <v>580</v>
      </c>
      <c r="AL593">
        <f>IFERROR(IF(AU593&lt;($AM$6-$AL$6)/($AN$6-$AL$6),$AL$6+SQRT(AU593*($AN$6-$AL$6)*($AM$6-$AL$6)),$AN$6-SQRT((1-AU593)*($AN$6-$AL$6)*($AN$6-$AM$6))),$AM$6)</f>
        <v/>
      </c>
      <c r="AM593">
        <f>IFERROR(IF(AV593&lt;($AM$7-$AL$7)/($AN$7-$AL$7),$AL$7+SQRT(AV593*($AN$7-$AL$7)*($AM$7-$AL$7)),$AN$7-SQRT((1-AV593)*($AN$7-$AL$7)*($AN$7-$AM$7))),$AM$7)</f>
        <v/>
      </c>
      <c r="AN593">
        <f>IFERROR(IF(AW593&lt;($AM$8-$AL$8)/($AN$8-$AL$8),$AL$8+SQRT(AW593*($AN$8-$AL$8)*($AM$8-$AL$8)),$AN$8-SQRT((1-AW593)*($AN$8-$AL$8)*($AN$8-$AM$8))),$AM$8)</f>
        <v/>
      </c>
      <c r="AO593">
        <f>IFERROR(IF(AX593&lt;($AM$9-$AL$9)/($AN$9-$AL$9),$AL$9+SQRT(AX593*($AN$9-$AL$9)*($AM$9-$AL$9)),$AN$9-SQRT((1-AX593)*($AN$9-$AL$9)*($AN$9-$AM$9))),$AM$9)</f>
        <v/>
      </c>
      <c r="AP593">
        <f>IFERROR(IF(AY593&lt;($AM$10-$AL$10)/($AN$10-$AL$10),$AL$10+SQRT(AY593*($AN$10-$AL$10)*($AM$10-$AL$10)),$AN$10-SQRT((1-AY593)*($AN$10-$AL$10)*($AN$10-$AM$10))),$AM$10)</f>
        <v/>
      </c>
      <c r="AQ593">
        <f>IFERROR(IF(AZ593&lt;($AM$11-$AL$11)/($AN$11-$AL$11),$AL$11+SQRT(AZ593*($AN$11-$AL$11)*($AM$11-$AL$11)),$AN$11-SQRT((1-AZ593)*($AN$11-$AL$11)*($AN$11-$AM$11))),$AM$11)</f>
        <v/>
      </c>
      <c r="AR593">
        <f>SUMPRODUCT((B24:B31&lt;=$B$6)*(C24:C31*AM593+D24:D31*AO593*$B$8*AQ593)/(1+AL593/100)^B24:B31)+C32*AM593*AP593/(1+AL593/100)^$B$6</f>
        <v/>
      </c>
      <c r="AS593">
        <f>SUMPRODUCT((K24:K26&lt;=$B$6)*(L24:L26*AN593+M24:M26*AO593*$B$8*AQ593)/(1+AL593/100)^K24:K26)+L27*AN593*AP593/(1+AL593/100)^$B$6</f>
        <v/>
      </c>
      <c r="AT593">
        <f>AS593-AR593</f>
        <v/>
      </c>
      <c r="AU593">
        <f>RAND()</f>
        <v/>
      </c>
      <c r="AV593">
        <f>RAND()</f>
        <v/>
      </c>
      <c r="AW593">
        <f>RAND()</f>
        <v/>
      </c>
      <c r="AX593">
        <f>RAND()</f>
        <v/>
      </c>
      <c r="AY593">
        <f>RAND()</f>
        <v/>
      </c>
      <c r="AZ593">
        <f>RAND()</f>
        <v/>
      </c>
    </row>
    <row r="594">
      <c r="AK594" t="n">
        <v>581</v>
      </c>
      <c r="AL594">
        <f>IFERROR(IF(AU594&lt;($AM$6-$AL$6)/($AN$6-$AL$6),$AL$6+SQRT(AU594*($AN$6-$AL$6)*($AM$6-$AL$6)),$AN$6-SQRT((1-AU594)*($AN$6-$AL$6)*($AN$6-$AM$6))),$AM$6)</f>
        <v/>
      </c>
      <c r="AM594">
        <f>IFERROR(IF(AV594&lt;($AM$7-$AL$7)/($AN$7-$AL$7),$AL$7+SQRT(AV594*($AN$7-$AL$7)*($AM$7-$AL$7)),$AN$7-SQRT((1-AV594)*($AN$7-$AL$7)*($AN$7-$AM$7))),$AM$7)</f>
        <v/>
      </c>
      <c r="AN594">
        <f>IFERROR(IF(AW594&lt;($AM$8-$AL$8)/($AN$8-$AL$8),$AL$8+SQRT(AW594*($AN$8-$AL$8)*($AM$8-$AL$8)),$AN$8-SQRT((1-AW594)*($AN$8-$AL$8)*($AN$8-$AM$8))),$AM$8)</f>
        <v/>
      </c>
      <c r="AO594">
        <f>IFERROR(IF(AX594&lt;($AM$9-$AL$9)/($AN$9-$AL$9),$AL$9+SQRT(AX594*($AN$9-$AL$9)*($AM$9-$AL$9)),$AN$9-SQRT((1-AX594)*($AN$9-$AL$9)*($AN$9-$AM$9))),$AM$9)</f>
        <v/>
      </c>
      <c r="AP594">
        <f>IFERROR(IF(AY594&lt;($AM$10-$AL$10)/($AN$10-$AL$10),$AL$10+SQRT(AY594*($AN$10-$AL$10)*($AM$10-$AL$10)),$AN$10-SQRT((1-AY594)*($AN$10-$AL$10)*($AN$10-$AM$10))),$AM$10)</f>
        <v/>
      </c>
      <c r="AQ594">
        <f>IFERROR(IF(AZ594&lt;($AM$11-$AL$11)/($AN$11-$AL$11),$AL$11+SQRT(AZ594*($AN$11-$AL$11)*($AM$11-$AL$11)),$AN$11-SQRT((1-AZ594)*($AN$11-$AL$11)*($AN$11-$AM$11))),$AM$11)</f>
        <v/>
      </c>
      <c r="AR594">
        <f>SUMPRODUCT((B24:B31&lt;=$B$6)*(C24:C31*AM594+D24:D31*AO594*$B$8*AQ594)/(1+AL594/100)^B24:B31)+C32*AM594*AP594/(1+AL594/100)^$B$6</f>
        <v/>
      </c>
      <c r="AS594">
        <f>SUMPRODUCT((K24:K26&lt;=$B$6)*(L24:L26*AN594+M24:M26*AO594*$B$8*AQ594)/(1+AL594/100)^K24:K26)+L27*AN594*AP594/(1+AL594/100)^$B$6</f>
        <v/>
      </c>
      <c r="AT594">
        <f>AS594-AR594</f>
        <v/>
      </c>
      <c r="AU594">
        <f>RAND()</f>
        <v/>
      </c>
      <c r="AV594">
        <f>RAND()</f>
        <v/>
      </c>
      <c r="AW594">
        <f>RAND()</f>
        <v/>
      </c>
      <c r="AX594">
        <f>RAND()</f>
        <v/>
      </c>
      <c r="AY594">
        <f>RAND()</f>
        <v/>
      </c>
      <c r="AZ594">
        <f>RAND()</f>
        <v/>
      </c>
    </row>
    <row r="595">
      <c r="AK595" t="n">
        <v>582</v>
      </c>
      <c r="AL595">
        <f>IFERROR(IF(AU595&lt;($AM$6-$AL$6)/($AN$6-$AL$6),$AL$6+SQRT(AU595*($AN$6-$AL$6)*($AM$6-$AL$6)),$AN$6-SQRT((1-AU595)*($AN$6-$AL$6)*($AN$6-$AM$6))),$AM$6)</f>
        <v/>
      </c>
      <c r="AM595">
        <f>IFERROR(IF(AV595&lt;($AM$7-$AL$7)/($AN$7-$AL$7),$AL$7+SQRT(AV595*($AN$7-$AL$7)*($AM$7-$AL$7)),$AN$7-SQRT((1-AV595)*($AN$7-$AL$7)*($AN$7-$AM$7))),$AM$7)</f>
        <v/>
      </c>
      <c r="AN595">
        <f>IFERROR(IF(AW595&lt;($AM$8-$AL$8)/($AN$8-$AL$8),$AL$8+SQRT(AW595*($AN$8-$AL$8)*($AM$8-$AL$8)),$AN$8-SQRT((1-AW595)*($AN$8-$AL$8)*($AN$8-$AM$8))),$AM$8)</f>
        <v/>
      </c>
      <c r="AO595">
        <f>IFERROR(IF(AX595&lt;($AM$9-$AL$9)/($AN$9-$AL$9),$AL$9+SQRT(AX595*($AN$9-$AL$9)*($AM$9-$AL$9)),$AN$9-SQRT((1-AX595)*($AN$9-$AL$9)*($AN$9-$AM$9))),$AM$9)</f>
        <v/>
      </c>
      <c r="AP595">
        <f>IFERROR(IF(AY595&lt;($AM$10-$AL$10)/($AN$10-$AL$10),$AL$10+SQRT(AY595*($AN$10-$AL$10)*($AM$10-$AL$10)),$AN$10-SQRT((1-AY595)*($AN$10-$AL$10)*($AN$10-$AM$10))),$AM$10)</f>
        <v/>
      </c>
      <c r="AQ595">
        <f>IFERROR(IF(AZ595&lt;($AM$11-$AL$11)/($AN$11-$AL$11),$AL$11+SQRT(AZ595*($AN$11-$AL$11)*($AM$11-$AL$11)),$AN$11-SQRT((1-AZ595)*($AN$11-$AL$11)*($AN$11-$AM$11))),$AM$11)</f>
        <v/>
      </c>
      <c r="AR595">
        <f>SUMPRODUCT((B24:B31&lt;=$B$6)*(C24:C31*AM595+D24:D31*AO595*$B$8*AQ595)/(1+AL595/100)^B24:B31)+C32*AM595*AP595/(1+AL595/100)^$B$6</f>
        <v/>
      </c>
      <c r="AS595">
        <f>SUMPRODUCT((K24:K26&lt;=$B$6)*(L24:L26*AN595+M24:M26*AO595*$B$8*AQ595)/(1+AL595/100)^K24:K26)+L27*AN595*AP595/(1+AL595/100)^$B$6</f>
        <v/>
      </c>
      <c r="AT595">
        <f>AS595-AR595</f>
        <v/>
      </c>
      <c r="AU595">
        <f>RAND()</f>
        <v/>
      </c>
      <c r="AV595">
        <f>RAND()</f>
        <v/>
      </c>
      <c r="AW595">
        <f>RAND()</f>
        <v/>
      </c>
      <c r="AX595">
        <f>RAND()</f>
        <v/>
      </c>
      <c r="AY595">
        <f>RAND()</f>
        <v/>
      </c>
      <c r="AZ595">
        <f>RAND()</f>
        <v/>
      </c>
    </row>
    <row r="596">
      <c r="AK596" t="n">
        <v>583</v>
      </c>
      <c r="AL596">
        <f>IFERROR(IF(AU596&lt;($AM$6-$AL$6)/($AN$6-$AL$6),$AL$6+SQRT(AU596*($AN$6-$AL$6)*($AM$6-$AL$6)),$AN$6-SQRT((1-AU596)*($AN$6-$AL$6)*($AN$6-$AM$6))),$AM$6)</f>
        <v/>
      </c>
      <c r="AM596">
        <f>IFERROR(IF(AV596&lt;($AM$7-$AL$7)/($AN$7-$AL$7),$AL$7+SQRT(AV596*($AN$7-$AL$7)*($AM$7-$AL$7)),$AN$7-SQRT((1-AV596)*($AN$7-$AL$7)*($AN$7-$AM$7))),$AM$7)</f>
        <v/>
      </c>
      <c r="AN596">
        <f>IFERROR(IF(AW596&lt;($AM$8-$AL$8)/($AN$8-$AL$8),$AL$8+SQRT(AW596*($AN$8-$AL$8)*($AM$8-$AL$8)),$AN$8-SQRT((1-AW596)*($AN$8-$AL$8)*($AN$8-$AM$8))),$AM$8)</f>
        <v/>
      </c>
      <c r="AO596">
        <f>IFERROR(IF(AX596&lt;($AM$9-$AL$9)/($AN$9-$AL$9),$AL$9+SQRT(AX596*($AN$9-$AL$9)*($AM$9-$AL$9)),$AN$9-SQRT((1-AX596)*($AN$9-$AL$9)*($AN$9-$AM$9))),$AM$9)</f>
        <v/>
      </c>
      <c r="AP596">
        <f>IFERROR(IF(AY596&lt;($AM$10-$AL$10)/($AN$10-$AL$10),$AL$10+SQRT(AY596*($AN$10-$AL$10)*($AM$10-$AL$10)),$AN$10-SQRT((1-AY596)*($AN$10-$AL$10)*($AN$10-$AM$10))),$AM$10)</f>
        <v/>
      </c>
      <c r="AQ596">
        <f>IFERROR(IF(AZ596&lt;($AM$11-$AL$11)/($AN$11-$AL$11),$AL$11+SQRT(AZ596*($AN$11-$AL$11)*($AM$11-$AL$11)),$AN$11-SQRT((1-AZ596)*($AN$11-$AL$11)*($AN$11-$AM$11))),$AM$11)</f>
        <v/>
      </c>
      <c r="AR596">
        <f>SUMPRODUCT((B24:B31&lt;=$B$6)*(C24:C31*AM596+D24:D31*AO596*$B$8*AQ596)/(1+AL596/100)^B24:B31)+C32*AM596*AP596/(1+AL596/100)^$B$6</f>
        <v/>
      </c>
      <c r="AS596">
        <f>SUMPRODUCT((K24:K26&lt;=$B$6)*(L24:L26*AN596+M24:M26*AO596*$B$8*AQ596)/(1+AL596/100)^K24:K26)+L27*AN596*AP596/(1+AL596/100)^$B$6</f>
        <v/>
      </c>
      <c r="AT596">
        <f>AS596-AR596</f>
        <v/>
      </c>
      <c r="AU596">
        <f>RAND()</f>
        <v/>
      </c>
      <c r="AV596">
        <f>RAND()</f>
        <v/>
      </c>
      <c r="AW596">
        <f>RAND()</f>
        <v/>
      </c>
      <c r="AX596">
        <f>RAND()</f>
        <v/>
      </c>
      <c r="AY596">
        <f>RAND()</f>
        <v/>
      </c>
      <c r="AZ596">
        <f>RAND()</f>
        <v/>
      </c>
    </row>
    <row r="597">
      <c r="AK597" t="n">
        <v>584</v>
      </c>
      <c r="AL597">
        <f>IFERROR(IF(AU597&lt;($AM$6-$AL$6)/($AN$6-$AL$6),$AL$6+SQRT(AU597*($AN$6-$AL$6)*($AM$6-$AL$6)),$AN$6-SQRT((1-AU597)*($AN$6-$AL$6)*($AN$6-$AM$6))),$AM$6)</f>
        <v/>
      </c>
      <c r="AM597">
        <f>IFERROR(IF(AV597&lt;($AM$7-$AL$7)/($AN$7-$AL$7),$AL$7+SQRT(AV597*($AN$7-$AL$7)*($AM$7-$AL$7)),$AN$7-SQRT((1-AV597)*($AN$7-$AL$7)*($AN$7-$AM$7))),$AM$7)</f>
        <v/>
      </c>
      <c r="AN597">
        <f>IFERROR(IF(AW597&lt;($AM$8-$AL$8)/($AN$8-$AL$8),$AL$8+SQRT(AW597*($AN$8-$AL$8)*($AM$8-$AL$8)),$AN$8-SQRT((1-AW597)*($AN$8-$AL$8)*($AN$8-$AM$8))),$AM$8)</f>
        <v/>
      </c>
      <c r="AO597">
        <f>IFERROR(IF(AX597&lt;($AM$9-$AL$9)/($AN$9-$AL$9),$AL$9+SQRT(AX597*($AN$9-$AL$9)*($AM$9-$AL$9)),$AN$9-SQRT((1-AX597)*($AN$9-$AL$9)*($AN$9-$AM$9))),$AM$9)</f>
        <v/>
      </c>
      <c r="AP597">
        <f>IFERROR(IF(AY597&lt;($AM$10-$AL$10)/($AN$10-$AL$10),$AL$10+SQRT(AY597*($AN$10-$AL$10)*($AM$10-$AL$10)),$AN$10-SQRT((1-AY597)*($AN$10-$AL$10)*($AN$10-$AM$10))),$AM$10)</f>
        <v/>
      </c>
      <c r="AQ597">
        <f>IFERROR(IF(AZ597&lt;($AM$11-$AL$11)/($AN$11-$AL$11),$AL$11+SQRT(AZ597*($AN$11-$AL$11)*($AM$11-$AL$11)),$AN$11-SQRT((1-AZ597)*($AN$11-$AL$11)*($AN$11-$AM$11))),$AM$11)</f>
        <v/>
      </c>
      <c r="AR597">
        <f>SUMPRODUCT((B24:B31&lt;=$B$6)*(C24:C31*AM597+D24:D31*AO597*$B$8*AQ597)/(1+AL597/100)^B24:B31)+C32*AM597*AP597/(1+AL597/100)^$B$6</f>
        <v/>
      </c>
      <c r="AS597">
        <f>SUMPRODUCT((K24:K26&lt;=$B$6)*(L24:L26*AN597+M24:M26*AO597*$B$8*AQ597)/(1+AL597/100)^K24:K26)+L27*AN597*AP597/(1+AL597/100)^$B$6</f>
        <v/>
      </c>
      <c r="AT597">
        <f>AS597-AR597</f>
        <v/>
      </c>
      <c r="AU597">
        <f>RAND()</f>
        <v/>
      </c>
      <c r="AV597">
        <f>RAND()</f>
        <v/>
      </c>
      <c r="AW597">
        <f>RAND()</f>
        <v/>
      </c>
      <c r="AX597">
        <f>RAND()</f>
        <v/>
      </c>
      <c r="AY597">
        <f>RAND()</f>
        <v/>
      </c>
      <c r="AZ597">
        <f>RAND()</f>
        <v/>
      </c>
    </row>
    <row r="598">
      <c r="AK598" t="n">
        <v>585</v>
      </c>
      <c r="AL598">
        <f>IFERROR(IF(AU598&lt;($AM$6-$AL$6)/($AN$6-$AL$6),$AL$6+SQRT(AU598*($AN$6-$AL$6)*($AM$6-$AL$6)),$AN$6-SQRT((1-AU598)*($AN$6-$AL$6)*($AN$6-$AM$6))),$AM$6)</f>
        <v/>
      </c>
      <c r="AM598">
        <f>IFERROR(IF(AV598&lt;($AM$7-$AL$7)/($AN$7-$AL$7),$AL$7+SQRT(AV598*($AN$7-$AL$7)*($AM$7-$AL$7)),$AN$7-SQRT((1-AV598)*($AN$7-$AL$7)*($AN$7-$AM$7))),$AM$7)</f>
        <v/>
      </c>
      <c r="AN598">
        <f>IFERROR(IF(AW598&lt;($AM$8-$AL$8)/($AN$8-$AL$8),$AL$8+SQRT(AW598*($AN$8-$AL$8)*($AM$8-$AL$8)),$AN$8-SQRT((1-AW598)*($AN$8-$AL$8)*($AN$8-$AM$8))),$AM$8)</f>
        <v/>
      </c>
      <c r="AO598">
        <f>IFERROR(IF(AX598&lt;($AM$9-$AL$9)/($AN$9-$AL$9),$AL$9+SQRT(AX598*($AN$9-$AL$9)*($AM$9-$AL$9)),$AN$9-SQRT((1-AX598)*($AN$9-$AL$9)*($AN$9-$AM$9))),$AM$9)</f>
        <v/>
      </c>
      <c r="AP598">
        <f>IFERROR(IF(AY598&lt;($AM$10-$AL$10)/($AN$10-$AL$10),$AL$10+SQRT(AY598*($AN$10-$AL$10)*($AM$10-$AL$10)),$AN$10-SQRT((1-AY598)*($AN$10-$AL$10)*($AN$10-$AM$10))),$AM$10)</f>
        <v/>
      </c>
      <c r="AQ598">
        <f>IFERROR(IF(AZ598&lt;($AM$11-$AL$11)/($AN$11-$AL$11),$AL$11+SQRT(AZ598*($AN$11-$AL$11)*($AM$11-$AL$11)),$AN$11-SQRT((1-AZ598)*($AN$11-$AL$11)*($AN$11-$AM$11))),$AM$11)</f>
        <v/>
      </c>
      <c r="AR598">
        <f>SUMPRODUCT((B24:B31&lt;=$B$6)*(C24:C31*AM598+D24:D31*AO598*$B$8*AQ598)/(1+AL598/100)^B24:B31)+C32*AM598*AP598/(1+AL598/100)^$B$6</f>
        <v/>
      </c>
      <c r="AS598">
        <f>SUMPRODUCT((K24:K26&lt;=$B$6)*(L24:L26*AN598+M24:M26*AO598*$B$8*AQ598)/(1+AL598/100)^K24:K26)+L27*AN598*AP598/(1+AL598/100)^$B$6</f>
        <v/>
      </c>
      <c r="AT598">
        <f>AS598-AR598</f>
        <v/>
      </c>
      <c r="AU598">
        <f>RAND()</f>
        <v/>
      </c>
      <c r="AV598">
        <f>RAND()</f>
        <v/>
      </c>
      <c r="AW598">
        <f>RAND()</f>
        <v/>
      </c>
      <c r="AX598">
        <f>RAND()</f>
        <v/>
      </c>
      <c r="AY598">
        <f>RAND()</f>
        <v/>
      </c>
      <c r="AZ598">
        <f>RAND()</f>
        <v/>
      </c>
    </row>
    <row r="599">
      <c r="AK599" t="n">
        <v>586</v>
      </c>
      <c r="AL599">
        <f>IFERROR(IF(AU599&lt;($AM$6-$AL$6)/($AN$6-$AL$6),$AL$6+SQRT(AU599*($AN$6-$AL$6)*($AM$6-$AL$6)),$AN$6-SQRT((1-AU599)*($AN$6-$AL$6)*($AN$6-$AM$6))),$AM$6)</f>
        <v/>
      </c>
      <c r="AM599">
        <f>IFERROR(IF(AV599&lt;($AM$7-$AL$7)/($AN$7-$AL$7),$AL$7+SQRT(AV599*($AN$7-$AL$7)*($AM$7-$AL$7)),$AN$7-SQRT((1-AV599)*($AN$7-$AL$7)*($AN$7-$AM$7))),$AM$7)</f>
        <v/>
      </c>
      <c r="AN599">
        <f>IFERROR(IF(AW599&lt;($AM$8-$AL$8)/($AN$8-$AL$8),$AL$8+SQRT(AW599*($AN$8-$AL$8)*($AM$8-$AL$8)),$AN$8-SQRT((1-AW599)*($AN$8-$AL$8)*($AN$8-$AM$8))),$AM$8)</f>
        <v/>
      </c>
      <c r="AO599">
        <f>IFERROR(IF(AX599&lt;($AM$9-$AL$9)/($AN$9-$AL$9),$AL$9+SQRT(AX599*($AN$9-$AL$9)*($AM$9-$AL$9)),$AN$9-SQRT((1-AX599)*($AN$9-$AL$9)*($AN$9-$AM$9))),$AM$9)</f>
        <v/>
      </c>
      <c r="AP599">
        <f>IFERROR(IF(AY599&lt;($AM$10-$AL$10)/($AN$10-$AL$10),$AL$10+SQRT(AY599*($AN$10-$AL$10)*($AM$10-$AL$10)),$AN$10-SQRT((1-AY599)*($AN$10-$AL$10)*($AN$10-$AM$10))),$AM$10)</f>
        <v/>
      </c>
      <c r="AQ599">
        <f>IFERROR(IF(AZ599&lt;($AM$11-$AL$11)/($AN$11-$AL$11),$AL$11+SQRT(AZ599*($AN$11-$AL$11)*($AM$11-$AL$11)),$AN$11-SQRT((1-AZ599)*($AN$11-$AL$11)*($AN$11-$AM$11))),$AM$11)</f>
        <v/>
      </c>
      <c r="AR599">
        <f>SUMPRODUCT((B24:B31&lt;=$B$6)*(C24:C31*AM599+D24:D31*AO599*$B$8*AQ599)/(1+AL599/100)^B24:B31)+C32*AM599*AP599/(1+AL599/100)^$B$6</f>
        <v/>
      </c>
      <c r="AS599">
        <f>SUMPRODUCT((K24:K26&lt;=$B$6)*(L24:L26*AN599+M24:M26*AO599*$B$8*AQ599)/(1+AL599/100)^K24:K26)+L27*AN599*AP599/(1+AL599/100)^$B$6</f>
        <v/>
      </c>
      <c r="AT599">
        <f>AS599-AR599</f>
        <v/>
      </c>
      <c r="AU599">
        <f>RAND()</f>
        <v/>
      </c>
      <c r="AV599">
        <f>RAND()</f>
        <v/>
      </c>
      <c r="AW599">
        <f>RAND()</f>
        <v/>
      </c>
      <c r="AX599">
        <f>RAND()</f>
        <v/>
      </c>
      <c r="AY599">
        <f>RAND()</f>
        <v/>
      </c>
      <c r="AZ599">
        <f>RAND()</f>
        <v/>
      </c>
    </row>
    <row r="600">
      <c r="AK600" t="n">
        <v>587</v>
      </c>
      <c r="AL600">
        <f>IFERROR(IF(AU600&lt;($AM$6-$AL$6)/($AN$6-$AL$6),$AL$6+SQRT(AU600*($AN$6-$AL$6)*($AM$6-$AL$6)),$AN$6-SQRT((1-AU600)*($AN$6-$AL$6)*($AN$6-$AM$6))),$AM$6)</f>
        <v/>
      </c>
      <c r="AM600">
        <f>IFERROR(IF(AV600&lt;($AM$7-$AL$7)/($AN$7-$AL$7),$AL$7+SQRT(AV600*($AN$7-$AL$7)*($AM$7-$AL$7)),$AN$7-SQRT((1-AV600)*($AN$7-$AL$7)*($AN$7-$AM$7))),$AM$7)</f>
        <v/>
      </c>
      <c r="AN600">
        <f>IFERROR(IF(AW600&lt;($AM$8-$AL$8)/($AN$8-$AL$8),$AL$8+SQRT(AW600*($AN$8-$AL$8)*($AM$8-$AL$8)),$AN$8-SQRT((1-AW600)*($AN$8-$AL$8)*($AN$8-$AM$8))),$AM$8)</f>
        <v/>
      </c>
      <c r="AO600">
        <f>IFERROR(IF(AX600&lt;($AM$9-$AL$9)/($AN$9-$AL$9),$AL$9+SQRT(AX600*($AN$9-$AL$9)*($AM$9-$AL$9)),$AN$9-SQRT((1-AX600)*($AN$9-$AL$9)*($AN$9-$AM$9))),$AM$9)</f>
        <v/>
      </c>
      <c r="AP600">
        <f>IFERROR(IF(AY600&lt;($AM$10-$AL$10)/($AN$10-$AL$10),$AL$10+SQRT(AY600*($AN$10-$AL$10)*($AM$10-$AL$10)),$AN$10-SQRT((1-AY600)*($AN$10-$AL$10)*($AN$10-$AM$10))),$AM$10)</f>
        <v/>
      </c>
      <c r="AQ600">
        <f>IFERROR(IF(AZ600&lt;($AM$11-$AL$11)/($AN$11-$AL$11),$AL$11+SQRT(AZ600*($AN$11-$AL$11)*($AM$11-$AL$11)),$AN$11-SQRT((1-AZ600)*($AN$11-$AL$11)*($AN$11-$AM$11))),$AM$11)</f>
        <v/>
      </c>
      <c r="AR600">
        <f>SUMPRODUCT((B24:B31&lt;=$B$6)*(C24:C31*AM600+D24:D31*AO600*$B$8*AQ600)/(1+AL600/100)^B24:B31)+C32*AM600*AP600/(1+AL600/100)^$B$6</f>
        <v/>
      </c>
      <c r="AS600">
        <f>SUMPRODUCT((K24:K26&lt;=$B$6)*(L24:L26*AN600+M24:M26*AO600*$B$8*AQ600)/(1+AL600/100)^K24:K26)+L27*AN600*AP600/(1+AL600/100)^$B$6</f>
        <v/>
      </c>
      <c r="AT600">
        <f>AS600-AR600</f>
        <v/>
      </c>
      <c r="AU600">
        <f>RAND()</f>
        <v/>
      </c>
      <c r="AV600">
        <f>RAND()</f>
        <v/>
      </c>
      <c r="AW600">
        <f>RAND()</f>
        <v/>
      </c>
      <c r="AX600">
        <f>RAND()</f>
        <v/>
      </c>
      <c r="AY600">
        <f>RAND()</f>
        <v/>
      </c>
      <c r="AZ600">
        <f>RAND()</f>
        <v/>
      </c>
    </row>
    <row r="601">
      <c r="AK601" t="n">
        <v>588</v>
      </c>
      <c r="AL601">
        <f>IFERROR(IF(AU601&lt;($AM$6-$AL$6)/($AN$6-$AL$6),$AL$6+SQRT(AU601*($AN$6-$AL$6)*($AM$6-$AL$6)),$AN$6-SQRT((1-AU601)*($AN$6-$AL$6)*($AN$6-$AM$6))),$AM$6)</f>
        <v/>
      </c>
      <c r="AM601">
        <f>IFERROR(IF(AV601&lt;($AM$7-$AL$7)/($AN$7-$AL$7),$AL$7+SQRT(AV601*($AN$7-$AL$7)*($AM$7-$AL$7)),$AN$7-SQRT((1-AV601)*($AN$7-$AL$7)*($AN$7-$AM$7))),$AM$7)</f>
        <v/>
      </c>
      <c r="AN601">
        <f>IFERROR(IF(AW601&lt;($AM$8-$AL$8)/($AN$8-$AL$8),$AL$8+SQRT(AW601*($AN$8-$AL$8)*($AM$8-$AL$8)),$AN$8-SQRT((1-AW601)*($AN$8-$AL$8)*($AN$8-$AM$8))),$AM$8)</f>
        <v/>
      </c>
      <c r="AO601">
        <f>IFERROR(IF(AX601&lt;($AM$9-$AL$9)/($AN$9-$AL$9),$AL$9+SQRT(AX601*($AN$9-$AL$9)*($AM$9-$AL$9)),$AN$9-SQRT((1-AX601)*($AN$9-$AL$9)*($AN$9-$AM$9))),$AM$9)</f>
        <v/>
      </c>
      <c r="AP601">
        <f>IFERROR(IF(AY601&lt;($AM$10-$AL$10)/($AN$10-$AL$10),$AL$10+SQRT(AY601*($AN$10-$AL$10)*($AM$10-$AL$10)),$AN$10-SQRT((1-AY601)*($AN$10-$AL$10)*($AN$10-$AM$10))),$AM$10)</f>
        <v/>
      </c>
      <c r="AQ601">
        <f>IFERROR(IF(AZ601&lt;($AM$11-$AL$11)/($AN$11-$AL$11),$AL$11+SQRT(AZ601*($AN$11-$AL$11)*($AM$11-$AL$11)),$AN$11-SQRT((1-AZ601)*($AN$11-$AL$11)*($AN$11-$AM$11))),$AM$11)</f>
        <v/>
      </c>
      <c r="AR601">
        <f>SUMPRODUCT((B24:B31&lt;=$B$6)*(C24:C31*AM601+D24:D31*AO601*$B$8*AQ601)/(1+AL601/100)^B24:B31)+C32*AM601*AP601/(1+AL601/100)^$B$6</f>
        <v/>
      </c>
      <c r="AS601">
        <f>SUMPRODUCT((K24:K26&lt;=$B$6)*(L24:L26*AN601+M24:M26*AO601*$B$8*AQ601)/(1+AL601/100)^K24:K26)+L27*AN601*AP601/(1+AL601/100)^$B$6</f>
        <v/>
      </c>
      <c r="AT601">
        <f>AS601-AR601</f>
        <v/>
      </c>
      <c r="AU601">
        <f>RAND()</f>
        <v/>
      </c>
      <c r="AV601">
        <f>RAND()</f>
        <v/>
      </c>
      <c r="AW601">
        <f>RAND()</f>
        <v/>
      </c>
      <c r="AX601">
        <f>RAND()</f>
        <v/>
      </c>
      <c r="AY601">
        <f>RAND()</f>
        <v/>
      </c>
      <c r="AZ601">
        <f>RAND()</f>
        <v/>
      </c>
    </row>
    <row r="602">
      <c r="AK602" t="n">
        <v>589</v>
      </c>
      <c r="AL602">
        <f>IFERROR(IF(AU602&lt;($AM$6-$AL$6)/($AN$6-$AL$6),$AL$6+SQRT(AU602*($AN$6-$AL$6)*($AM$6-$AL$6)),$AN$6-SQRT((1-AU602)*($AN$6-$AL$6)*($AN$6-$AM$6))),$AM$6)</f>
        <v/>
      </c>
      <c r="AM602">
        <f>IFERROR(IF(AV602&lt;($AM$7-$AL$7)/($AN$7-$AL$7),$AL$7+SQRT(AV602*($AN$7-$AL$7)*($AM$7-$AL$7)),$AN$7-SQRT((1-AV602)*($AN$7-$AL$7)*($AN$7-$AM$7))),$AM$7)</f>
        <v/>
      </c>
      <c r="AN602">
        <f>IFERROR(IF(AW602&lt;($AM$8-$AL$8)/($AN$8-$AL$8),$AL$8+SQRT(AW602*($AN$8-$AL$8)*($AM$8-$AL$8)),$AN$8-SQRT((1-AW602)*($AN$8-$AL$8)*($AN$8-$AM$8))),$AM$8)</f>
        <v/>
      </c>
      <c r="AO602">
        <f>IFERROR(IF(AX602&lt;($AM$9-$AL$9)/($AN$9-$AL$9),$AL$9+SQRT(AX602*($AN$9-$AL$9)*($AM$9-$AL$9)),$AN$9-SQRT((1-AX602)*($AN$9-$AL$9)*($AN$9-$AM$9))),$AM$9)</f>
        <v/>
      </c>
      <c r="AP602">
        <f>IFERROR(IF(AY602&lt;($AM$10-$AL$10)/($AN$10-$AL$10),$AL$10+SQRT(AY602*($AN$10-$AL$10)*($AM$10-$AL$10)),$AN$10-SQRT((1-AY602)*($AN$10-$AL$10)*($AN$10-$AM$10))),$AM$10)</f>
        <v/>
      </c>
      <c r="AQ602">
        <f>IFERROR(IF(AZ602&lt;($AM$11-$AL$11)/($AN$11-$AL$11),$AL$11+SQRT(AZ602*($AN$11-$AL$11)*($AM$11-$AL$11)),$AN$11-SQRT((1-AZ602)*($AN$11-$AL$11)*($AN$11-$AM$11))),$AM$11)</f>
        <v/>
      </c>
      <c r="AR602">
        <f>SUMPRODUCT((B24:B31&lt;=$B$6)*(C24:C31*AM602+D24:D31*AO602*$B$8*AQ602)/(1+AL602/100)^B24:B31)+C32*AM602*AP602/(1+AL602/100)^$B$6</f>
        <v/>
      </c>
      <c r="AS602">
        <f>SUMPRODUCT((K24:K26&lt;=$B$6)*(L24:L26*AN602+M24:M26*AO602*$B$8*AQ602)/(1+AL602/100)^K24:K26)+L27*AN602*AP602/(1+AL602/100)^$B$6</f>
        <v/>
      </c>
      <c r="AT602">
        <f>AS602-AR602</f>
        <v/>
      </c>
      <c r="AU602">
        <f>RAND()</f>
        <v/>
      </c>
      <c r="AV602">
        <f>RAND()</f>
        <v/>
      </c>
      <c r="AW602">
        <f>RAND()</f>
        <v/>
      </c>
      <c r="AX602">
        <f>RAND()</f>
        <v/>
      </c>
      <c r="AY602">
        <f>RAND()</f>
        <v/>
      </c>
      <c r="AZ602">
        <f>RAND()</f>
        <v/>
      </c>
    </row>
    <row r="603">
      <c r="AK603" t="n">
        <v>590</v>
      </c>
      <c r="AL603">
        <f>IFERROR(IF(AU603&lt;($AM$6-$AL$6)/($AN$6-$AL$6),$AL$6+SQRT(AU603*($AN$6-$AL$6)*($AM$6-$AL$6)),$AN$6-SQRT((1-AU603)*($AN$6-$AL$6)*($AN$6-$AM$6))),$AM$6)</f>
        <v/>
      </c>
      <c r="AM603">
        <f>IFERROR(IF(AV603&lt;($AM$7-$AL$7)/($AN$7-$AL$7),$AL$7+SQRT(AV603*($AN$7-$AL$7)*($AM$7-$AL$7)),$AN$7-SQRT((1-AV603)*($AN$7-$AL$7)*($AN$7-$AM$7))),$AM$7)</f>
        <v/>
      </c>
      <c r="AN603">
        <f>IFERROR(IF(AW603&lt;($AM$8-$AL$8)/($AN$8-$AL$8),$AL$8+SQRT(AW603*($AN$8-$AL$8)*($AM$8-$AL$8)),$AN$8-SQRT((1-AW603)*($AN$8-$AL$8)*($AN$8-$AM$8))),$AM$8)</f>
        <v/>
      </c>
      <c r="AO603">
        <f>IFERROR(IF(AX603&lt;($AM$9-$AL$9)/($AN$9-$AL$9),$AL$9+SQRT(AX603*($AN$9-$AL$9)*($AM$9-$AL$9)),$AN$9-SQRT((1-AX603)*($AN$9-$AL$9)*($AN$9-$AM$9))),$AM$9)</f>
        <v/>
      </c>
      <c r="AP603">
        <f>IFERROR(IF(AY603&lt;($AM$10-$AL$10)/($AN$10-$AL$10),$AL$10+SQRT(AY603*($AN$10-$AL$10)*($AM$10-$AL$10)),$AN$10-SQRT((1-AY603)*($AN$10-$AL$10)*($AN$10-$AM$10))),$AM$10)</f>
        <v/>
      </c>
      <c r="AQ603">
        <f>IFERROR(IF(AZ603&lt;($AM$11-$AL$11)/($AN$11-$AL$11),$AL$11+SQRT(AZ603*($AN$11-$AL$11)*($AM$11-$AL$11)),$AN$11-SQRT((1-AZ603)*($AN$11-$AL$11)*($AN$11-$AM$11))),$AM$11)</f>
        <v/>
      </c>
      <c r="AR603">
        <f>SUMPRODUCT((B24:B31&lt;=$B$6)*(C24:C31*AM603+D24:D31*AO603*$B$8*AQ603)/(1+AL603/100)^B24:B31)+C32*AM603*AP603/(1+AL603/100)^$B$6</f>
        <v/>
      </c>
      <c r="AS603">
        <f>SUMPRODUCT((K24:K26&lt;=$B$6)*(L24:L26*AN603+M24:M26*AO603*$B$8*AQ603)/(1+AL603/100)^K24:K26)+L27*AN603*AP603/(1+AL603/100)^$B$6</f>
        <v/>
      </c>
      <c r="AT603">
        <f>AS603-AR603</f>
        <v/>
      </c>
      <c r="AU603">
        <f>RAND()</f>
        <v/>
      </c>
      <c r="AV603">
        <f>RAND()</f>
        <v/>
      </c>
      <c r="AW603">
        <f>RAND()</f>
        <v/>
      </c>
      <c r="AX603">
        <f>RAND()</f>
        <v/>
      </c>
      <c r="AY603">
        <f>RAND()</f>
        <v/>
      </c>
      <c r="AZ603">
        <f>RAND()</f>
        <v/>
      </c>
    </row>
    <row r="604">
      <c r="AK604" t="n">
        <v>591</v>
      </c>
      <c r="AL604">
        <f>IFERROR(IF(AU604&lt;($AM$6-$AL$6)/($AN$6-$AL$6),$AL$6+SQRT(AU604*($AN$6-$AL$6)*($AM$6-$AL$6)),$AN$6-SQRT((1-AU604)*($AN$6-$AL$6)*($AN$6-$AM$6))),$AM$6)</f>
        <v/>
      </c>
      <c r="AM604">
        <f>IFERROR(IF(AV604&lt;($AM$7-$AL$7)/($AN$7-$AL$7),$AL$7+SQRT(AV604*($AN$7-$AL$7)*($AM$7-$AL$7)),$AN$7-SQRT((1-AV604)*($AN$7-$AL$7)*($AN$7-$AM$7))),$AM$7)</f>
        <v/>
      </c>
      <c r="AN604">
        <f>IFERROR(IF(AW604&lt;($AM$8-$AL$8)/($AN$8-$AL$8),$AL$8+SQRT(AW604*($AN$8-$AL$8)*($AM$8-$AL$8)),$AN$8-SQRT((1-AW604)*($AN$8-$AL$8)*($AN$8-$AM$8))),$AM$8)</f>
        <v/>
      </c>
      <c r="AO604">
        <f>IFERROR(IF(AX604&lt;($AM$9-$AL$9)/($AN$9-$AL$9),$AL$9+SQRT(AX604*($AN$9-$AL$9)*($AM$9-$AL$9)),$AN$9-SQRT((1-AX604)*($AN$9-$AL$9)*($AN$9-$AM$9))),$AM$9)</f>
        <v/>
      </c>
      <c r="AP604">
        <f>IFERROR(IF(AY604&lt;($AM$10-$AL$10)/($AN$10-$AL$10),$AL$10+SQRT(AY604*($AN$10-$AL$10)*($AM$10-$AL$10)),$AN$10-SQRT((1-AY604)*($AN$10-$AL$10)*($AN$10-$AM$10))),$AM$10)</f>
        <v/>
      </c>
      <c r="AQ604">
        <f>IFERROR(IF(AZ604&lt;($AM$11-$AL$11)/($AN$11-$AL$11),$AL$11+SQRT(AZ604*($AN$11-$AL$11)*($AM$11-$AL$11)),$AN$11-SQRT((1-AZ604)*($AN$11-$AL$11)*($AN$11-$AM$11))),$AM$11)</f>
        <v/>
      </c>
      <c r="AR604">
        <f>SUMPRODUCT((B24:B31&lt;=$B$6)*(C24:C31*AM604+D24:D31*AO604*$B$8*AQ604)/(1+AL604/100)^B24:B31)+C32*AM604*AP604/(1+AL604/100)^$B$6</f>
        <v/>
      </c>
      <c r="AS604">
        <f>SUMPRODUCT((K24:K26&lt;=$B$6)*(L24:L26*AN604+M24:M26*AO604*$B$8*AQ604)/(1+AL604/100)^K24:K26)+L27*AN604*AP604/(1+AL604/100)^$B$6</f>
        <v/>
      </c>
      <c r="AT604">
        <f>AS604-AR604</f>
        <v/>
      </c>
      <c r="AU604">
        <f>RAND()</f>
        <v/>
      </c>
      <c r="AV604">
        <f>RAND()</f>
        <v/>
      </c>
      <c r="AW604">
        <f>RAND()</f>
        <v/>
      </c>
      <c r="AX604">
        <f>RAND()</f>
        <v/>
      </c>
      <c r="AY604">
        <f>RAND()</f>
        <v/>
      </c>
      <c r="AZ604">
        <f>RAND()</f>
        <v/>
      </c>
    </row>
    <row r="605">
      <c r="AK605" t="n">
        <v>592</v>
      </c>
      <c r="AL605">
        <f>IFERROR(IF(AU605&lt;($AM$6-$AL$6)/($AN$6-$AL$6),$AL$6+SQRT(AU605*($AN$6-$AL$6)*($AM$6-$AL$6)),$AN$6-SQRT((1-AU605)*($AN$6-$AL$6)*($AN$6-$AM$6))),$AM$6)</f>
        <v/>
      </c>
      <c r="AM605">
        <f>IFERROR(IF(AV605&lt;($AM$7-$AL$7)/($AN$7-$AL$7),$AL$7+SQRT(AV605*($AN$7-$AL$7)*($AM$7-$AL$7)),$AN$7-SQRT((1-AV605)*($AN$7-$AL$7)*($AN$7-$AM$7))),$AM$7)</f>
        <v/>
      </c>
      <c r="AN605">
        <f>IFERROR(IF(AW605&lt;($AM$8-$AL$8)/($AN$8-$AL$8),$AL$8+SQRT(AW605*($AN$8-$AL$8)*($AM$8-$AL$8)),$AN$8-SQRT((1-AW605)*($AN$8-$AL$8)*($AN$8-$AM$8))),$AM$8)</f>
        <v/>
      </c>
      <c r="AO605">
        <f>IFERROR(IF(AX605&lt;($AM$9-$AL$9)/($AN$9-$AL$9),$AL$9+SQRT(AX605*($AN$9-$AL$9)*($AM$9-$AL$9)),$AN$9-SQRT((1-AX605)*($AN$9-$AL$9)*($AN$9-$AM$9))),$AM$9)</f>
        <v/>
      </c>
      <c r="AP605">
        <f>IFERROR(IF(AY605&lt;($AM$10-$AL$10)/($AN$10-$AL$10),$AL$10+SQRT(AY605*($AN$10-$AL$10)*($AM$10-$AL$10)),$AN$10-SQRT((1-AY605)*($AN$10-$AL$10)*($AN$10-$AM$10))),$AM$10)</f>
        <v/>
      </c>
      <c r="AQ605">
        <f>IFERROR(IF(AZ605&lt;($AM$11-$AL$11)/($AN$11-$AL$11),$AL$11+SQRT(AZ605*($AN$11-$AL$11)*($AM$11-$AL$11)),$AN$11-SQRT((1-AZ605)*($AN$11-$AL$11)*($AN$11-$AM$11))),$AM$11)</f>
        <v/>
      </c>
      <c r="AR605">
        <f>SUMPRODUCT((B24:B31&lt;=$B$6)*(C24:C31*AM605+D24:D31*AO605*$B$8*AQ605)/(1+AL605/100)^B24:B31)+C32*AM605*AP605/(1+AL605/100)^$B$6</f>
        <v/>
      </c>
      <c r="AS605">
        <f>SUMPRODUCT((K24:K26&lt;=$B$6)*(L24:L26*AN605+M24:M26*AO605*$B$8*AQ605)/(1+AL605/100)^K24:K26)+L27*AN605*AP605/(1+AL605/100)^$B$6</f>
        <v/>
      </c>
      <c r="AT605">
        <f>AS605-AR605</f>
        <v/>
      </c>
      <c r="AU605">
        <f>RAND()</f>
        <v/>
      </c>
      <c r="AV605">
        <f>RAND()</f>
        <v/>
      </c>
      <c r="AW605">
        <f>RAND()</f>
        <v/>
      </c>
      <c r="AX605">
        <f>RAND()</f>
        <v/>
      </c>
      <c r="AY605">
        <f>RAND()</f>
        <v/>
      </c>
      <c r="AZ605">
        <f>RAND()</f>
        <v/>
      </c>
    </row>
    <row r="606">
      <c r="AK606" t="n">
        <v>593</v>
      </c>
      <c r="AL606">
        <f>IFERROR(IF(AU606&lt;($AM$6-$AL$6)/($AN$6-$AL$6),$AL$6+SQRT(AU606*($AN$6-$AL$6)*($AM$6-$AL$6)),$AN$6-SQRT((1-AU606)*($AN$6-$AL$6)*($AN$6-$AM$6))),$AM$6)</f>
        <v/>
      </c>
      <c r="AM606">
        <f>IFERROR(IF(AV606&lt;($AM$7-$AL$7)/($AN$7-$AL$7),$AL$7+SQRT(AV606*($AN$7-$AL$7)*($AM$7-$AL$7)),$AN$7-SQRT((1-AV606)*($AN$7-$AL$7)*($AN$7-$AM$7))),$AM$7)</f>
        <v/>
      </c>
      <c r="AN606">
        <f>IFERROR(IF(AW606&lt;($AM$8-$AL$8)/($AN$8-$AL$8),$AL$8+SQRT(AW606*($AN$8-$AL$8)*($AM$8-$AL$8)),$AN$8-SQRT((1-AW606)*($AN$8-$AL$8)*($AN$8-$AM$8))),$AM$8)</f>
        <v/>
      </c>
      <c r="AO606">
        <f>IFERROR(IF(AX606&lt;($AM$9-$AL$9)/($AN$9-$AL$9),$AL$9+SQRT(AX606*($AN$9-$AL$9)*($AM$9-$AL$9)),$AN$9-SQRT((1-AX606)*($AN$9-$AL$9)*($AN$9-$AM$9))),$AM$9)</f>
        <v/>
      </c>
      <c r="AP606">
        <f>IFERROR(IF(AY606&lt;($AM$10-$AL$10)/($AN$10-$AL$10),$AL$10+SQRT(AY606*($AN$10-$AL$10)*($AM$10-$AL$10)),$AN$10-SQRT((1-AY606)*($AN$10-$AL$10)*($AN$10-$AM$10))),$AM$10)</f>
        <v/>
      </c>
      <c r="AQ606">
        <f>IFERROR(IF(AZ606&lt;($AM$11-$AL$11)/($AN$11-$AL$11),$AL$11+SQRT(AZ606*($AN$11-$AL$11)*($AM$11-$AL$11)),$AN$11-SQRT((1-AZ606)*($AN$11-$AL$11)*($AN$11-$AM$11))),$AM$11)</f>
        <v/>
      </c>
      <c r="AR606">
        <f>SUMPRODUCT((B24:B31&lt;=$B$6)*(C24:C31*AM606+D24:D31*AO606*$B$8*AQ606)/(1+AL606/100)^B24:B31)+C32*AM606*AP606/(1+AL606/100)^$B$6</f>
        <v/>
      </c>
      <c r="AS606">
        <f>SUMPRODUCT((K24:K26&lt;=$B$6)*(L24:L26*AN606+M24:M26*AO606*$B$8*AQ606)/(1+AL606/100)^K24:K26)+L27*AN606*AP606/(1+AL606/100)^$B$6</f>
        <v/>
      </c>
      <c r="AT606">
        <f>AS606-AR606</f>
        <v/>
      </c>
      <c r="AU606">
        <f>RAND()</f>
        <v/>
      </c>
      <c r="AV606">
        <f>RAND()</f>
        <v/>
      </c>
      <c r="AW606">
        <f>RAND()</f>
        <v/>
      </c>
      <c r="AX606">
        <f>RAND()</f>
        <v/>
      </c>
      <c r="AY606">
        <f>RAND()</f>
        <v/>
      </c>
      <c r="AZ606">
        <f>RAND()</f>
        <v/>
      </c>
    </row>
    <row r="607">
      <c r="AK607" t="n">
        <v>594</v>
      </c>
      <c r="AL607">
        <f>IFERROR(IF(AU607&lt;($AM$6-$AL$6)/($AN$6-$AL$6),$AL$6+SQRT(AU607*($AN$6-$AL$6)*($AM$6-$AL$6)),$AN$6-SQRT((1-AU607)*($AN$6-$AL$6)*($AN$6-$AM$6))),$AM$6)</f>
        <v/>
      </c>
      <c r="AM607">
        <f>IFERROR(IF(AV607&lt;($AM$7-$AL$7)/($AN$7-$AL$7),$AL$7+SQRT(AV607*($AN$7-$AL$7)*($AM$7-$AL$7)),$AN$7-SQRT((1-AV607)*($AN$7-$AL$7)*($AN$7-$AM$7))),$AM$7)</f>
        <v/>
      </c>
      <c r="AN607">
        <f>IFERROR(IF(AW607&lt;($AM$8-$AL$8)/($AN$8-$AL$8),$AL$8+SQRT(AW607*($AN$8-$AL$8)*($AM$8-$AL$8)),$AN$8-SQRT((1-AW607)*($AN$8-$AL$8)*($AN$8-$AM$8))),$AM$8)</f>
        <v/>
      </c>
      <c r="AO607">
        <f>IFERROR(IF(AX607&lt;($AM$9-$AL$9)/($AN$9-$AL$9),$AL$9+SQRT(AX607*($AN$9-$AL$9)*($AM$9-$AL$9)),$AN$9-SQRT((1-AX607)*($AN$9-$AL$9)*($AN$9-$AM$9))),$AM$9)</f>
        <v/>
      </c>
      <c r="AP607">
        <f>IFERROR(IF(AY607&lt;($AM$10-$AL$10)/($AN$10-$AL$10),$AL$10+SQRT(AY607*($AN$10-$AL$10)*($AM$10-$AL$10)),$AN$10-SQRT((1-AY607)*($AN$10-$AL$10)*($AN$10-$AM$10))),$AM$10)</f>
        <v/>
      </c>
      <c r="AQ607">
        <f>IFERROR(IF(AZ607&lt;($AM$11-$AL$11)/($AN$11-$AL$11),$AL$11+SQRT(AZ607*($AN$11-$AL$11)*($AM$11-$AL$11)),$AN$11-SQRT((1-AZ607)*($AN$11-$AL$11)*($AN$11-$AM$11))),$AM$11)</f>
        <v/>
      </c>
      <c r="AR607">
        <f>SUMPRODUCT((B24:B31&lt;=$B$6)*(C24:C31*AM607+D24:D31*AO607*$B$8*AQ607)/(1+AL607/100)^B24:B31)+C32*AM607*AP607/(1+AL607/100)^$B$6</f>
        <v/>
      </c>
      <c r="AS607">
        <f>SUMPRODUCT((K24:K26&lt;=$B$6)*(L24:L26*AN607+M24:M26*AO607*$B$8*AQ607)/(1+AL607/100)^K24:K26)+L27*AN607*AP607/(1+AL607/100)^$B$6</f>
        <v/>
      </c>
      <c r="AT607">
        <f>AS607-AR607</f>
        <v/>
      </c>
      <c r="AU607">
        <f>RAND()</f>
        <v/>
      </c>
      <c r="AV607">
        <f>RAND()</f>
        <v/>
      </c>
      <c r="AW607">
        <f>RAND()</f>
        <v/>
      </c>
      <c r="AX607">
        <f>RAND()</f>
        <v/>
      </c>
      <c r="AY607">
        <f>RAND()</f>
        <v/>
      </c>
      <c r="AZ607">
        <f>RAND()</f>
        <v/>
      </c>
    </row>
    <row r="608">
      <c r="AK608" t="n">
        <v>595</v>
      </c>
      <c r="AL608">
        <f>IFERROR(IF(AU608&lt;($AM$6-$AL$6)/($AN$6-$AL$6),$AL$6+SQRT(AU608*($AN$6-$AL$6)*($AM$6-$AL$6)),$AN$6-SQRT((1-AU608)*($AN$6-$AL$6)*($AN$6-$AM$6))),$AM$6)</f>
        <v/>
      </c>
      <c r="AM608">
        <f>IFERROR(IF(AV608&lt;($AM$7-$AL$7)/($AN$7-$AL$7),$AL$7+SQRT(AV608*($AN$7-$AL$7)*($AM$7-$AL$7)),$AN$7-SQRT((1-AV608)*($AN$7-$AL$7)*($AN$7-$AM$7))),$AM$7)</f>
        <v/>
      </c>
      <c r="AN608">
        <f>IFERROR(IF(AW608&lt;($AM$8-$AL$8)/($AN$8-$AL$8),$AL$8+SQRT(AW608*($AN$8-$AL$8)*($AM$8-$AL$8)),$AN$8-SQRT((1-AW608)*($AN$8-$AL$8)*($AN$8-$AM$8))),$AM$8)</f>
        <v/>
      </c>
      <c r="AO608">
        <f>IFERROR(IF(AX608&lt;($AM$9-$AL$9)/($AN$9-$AL$9),$AL$9+SQRT(AX608*($AN$9-$AL$9)*($AM$9-$AL$9)),$AN$9-SQRT((1-AX608)*($AN$9-$AL$9)*($AN$9-$AM$9))),$AM$9)</f>
        <v/>
      </c>
      <c r="AP608">
        <f>IFERROR(IF(AY608&lt;($AM$10-$AL$10)/($AN$10-$AL$10),$AL$10+SQRT(AY608*($AN$10-$AL$10)*($AM$10-$AL$10)),$AN$10-SQRT((1-AY608)*($AN$10-$AL$10)*($AN$10-$AM$10))),$AM$10)</f>
        <v/>
      </c>
      <c r="AQ608">
        <f>IFERROR(IF(AZ608&lt;($AM$11-$AL$11)/($AN$11-$AL$11),$AL$11+SQRT(AZ608*($AN$11-$AL$11)*($AM$11-$AL$11)),$AN$11-SQRT((1-AZ608)*($AN$11-$AL$11)*($AN$11-$AM$11))),$AM$11)</f>
        <v/>
      </c>
      <c r="AR608">
        <f>SUMPRODUCT((B24:B31&lt;=$B$6)*(C24:C31*AM608+D24:D31*AO608*$B$8*AQ608)/(1+AL608/100)^B24:B31)+C32*AM608*AP608/(1+AL608/100)^$B$6</f>
        <v/>
      </c>
      <c r="AS608">
        <f>SUMPRODUCT((K24:K26&lt;=$B$6)*(L24:L26*AN608+M24:M26*AO608*$B$8*AQ608)/(1+AL608/100)^K24:K26)+L27*AN608*AP608/(1+AL608/100)^$B$6</f>
        <v/>
      </c>
      <c r="AT608">
        <f>AS608-AR608</f>
        <v/>
      </c>
      <c r="AU608">
        <f>RAND()</f>
        <v/>
      </c>
      <c r="AV608">
        <f>RAND()</f>
        <v/>
      </c>
      <c r="AW608">
        <f>RAND()</f>
        <v/>
      </c>
      <c r="AX608">
        <f>RAND()</f>
        <v/>
      </c>
      <c r="AY608">
        <f>RAND()</f>
        <v/>
      </c>
      <c r="AZ608">
        <f>RAND()</f>
        <v/>
      </c>
    </row>
    <row r="609">
      <c r="AK609" t="n">
        <v>596</v>
      </c>
      <c r="AL609">
        <f>IFERROR(IF(AU609&lt;($AM$6-$AL$6)/($AN$6-$AL$6),$AL$6+SQRT(AU609*($AN$6-$AL$6)*($AM$6-$AL$6)),$AN$6-SQRT((1-AU609)*($AN$6-$AL$6)*($AN$6-$AM$6))),$AM$6)</f>
        <v/>
      </c>
      <c r="AM609">
        <f>IFERROR(IF(AV609&lt;($AM$7-$AL$7)/($AN$7-$AL$7),$AL$7+SQRT(AV609*($AN$7-$AL$7)*($AM$7-$AL$7)),$AN$7-SQRT((1-AV609)*($AN$7-$AL$7)*($AN$7-$AM$7))),$AM$7)</f>
        <v/>
      </c>
      <c r="AN609">
        <f>IFERROR(IF(AW609&lt;($AM$8-$AL$8)/($AN$8-$AL$8),$AL$8+SQRT(AW609*($AN$8-$AL$8)*($AM$8-$AL$8)),$AN$8-SQRT((1-AW609)*($AN$8-$AL$8)*($AN$8-$AM$8))),$AM$8)</f>
        <v/>
      </c>
      <c r="AO609">
        <f>IFERROR(IF(AX609&lt;($AM$9-$AL$9)/($AN$9-$AL$9),$AL$9+SQRT(AX609*($AN$9-$AL$9)*($AM$9-$AL$9)),$AN$9-SQRT((1-AX609)*($AN$9-$AL$9)*($AN$9-$AM$9))),$AM$9)</f>
        <v/>
      </c>
      <c r="AP609">
        <f>IFERROR(IF(AY609&lt;($AM$10-$AL$10)/($AN$10-$AL$10),$AL$10+SQRT(AY609*($AN$10-$AL$10)*($AM$10-$AL$10)),$AN$10-SQRT((1-AY609)*($AN$10-$AL$10)*($AN$10-$AM$10))),$AM$10)</f>
        <v/>
      </c>
      <c r="AQ609">
        <f>IFERROR(IF(AZ609&lt;($AM$11-$AL$11)/($AN$11-$AL$11),$AL$11+SQRT(AZ609*($AN$11-$AL$11)*($AM$11-$AL$11)),$AN$11-SQRT((1-AZ609)*($AN$11-$AL$11)*($AN$11-$AM$11))),$AM$11)</f>
        <v/>
      </c>
      <c r="AR609">
        <f>SUMPRODUCT((B24:B31&lt;=$B$6)*(C24:C31*AM609+D24:D31*AO609*$B$8*AQ609)/(1+AL609/100)^B24:B31)+C32*AM609*AP609/(1+AL609/100)^$B$6</f>
        <v/>
      </c>
      <c r="AS609">
        <f>SUMPRODUCT((K24:K26&lt;=$B$6)*(L24:L26*AN609+M24:M26*AO609*$B$8*AQ609)/(1+AL609/100)^K24:K26)+L27*AN609*AP609/(1+AL609/100)^$B$6</f>
        <v/>
      </c>
      <c r="AT609">
        <f>AS609-AR609</f>
        <v/>
      </c>
      <c r="AU609">
        <f>RAND()</f>
        <v/>
      </c>
      <c r="AV609">
        <f>RAND()</f>
        <v/>
      </c>
      <c r="AW609">
        <f>RAND()</f>
        <v/>
      </c>
      <c r="AX609">
        <f>RAND()</f>
        <v/>
      </c>
      <c r="AY609">
        <f>RAND()</f>
        <v/>
      </c>
      <c r="AZ609">
        <f>RAND()</f>
        <v/>
      </c>
    </row>
    <row r="610">
      <c r="AK610" t="n">
        <v>597</v>
      </c>
      <c r="AL610">
        <f>IFERROR(IF(AU610&lt;($AM$6-$AL$6)/($AN$6-$AL$6),$AL$6+SQRT(AU610*($AN$6-$AL$6)*($AM$6-$AL$6)),$AN$6-SQRT((1-AU610)*($AN$6-$AL$6)*($AN$6-$AM$6))),$AM$6)</f>
        <v/>
      </c>
      <c r="AM610">
        <f>IFERROR(IF(AV610&lt;($AM$7-$AL$7)/($AN$7-$AL$7),$AL$7+SQRT(AV610*($AN$7-$AL$7)*($AM$7-$AL$7)),$AN$7-SQRT((1-AV610)*($AN$7-$AL$7)*($AN$7-$AM$7))),$AM$7)</f>
        <v/>
      </c>
      <c r="AN610">
        <f>IFERROR(IF(AW610&lt;($AM$8-$AL$8)/($AN$8-$AL$8),$AL$8+SQRT(AW610*($AN$8-$AL$8)*($AM$8-$AL$8)),$AN$8-SQRT((1-AW610)*($AN$8-$AL$8)*($AN$8-$AM$8))),$AM$8)</f>
        <v/>
      </c>
      <c r="AO610">
        <f>IFERROR(IF(AX610&lt;($AM$9-$AL$9)/($AN$9-$AL$9),$AL$9+SQRT(AX610*($AN$9-$AL$9)*($AM$9-$AL$9)),$AN$9-SQRT((1-AX610)*($AN$9-$AL$9)*($AN$9-$AM$9))),$AM$9)</f>
        <v/>
      </c>
      <c r="AP610">
        <f>IFERROR(IF(AY610&lt;($AM$10-$AL$10)/($AN$10-$AL$10),$AL$10+SQRT(AY610*($AN$10-$AL$10)*($AM$10-$AL$10)),$AN$10-SQRT((1-AY610)*($AN$10-$AL$10)*($AN$10-$AM$10))),$AM$10)</f>
        <v/>
      </c>
      <c r="AQ610">
        <f>IFERROR(IF(AZ610&lt;($AM$11-$AL$11)/($AN$11-$AL$11),$AL$11+SQRT(AZ610*($AN$11-$AL$11)*($AM$11-$AL$11)),$AN$11-SQRT((1-AZ610)*($AN$11-$AL$11)*($AN$11-$AM$11))),$AM$11)</f>
        <v/>
      </c>
      <c r="AR610">
        <f>SUMPRODUCT((B24:B31&lt;=$B$6)*(C24:C31*AM610+D24:D31*AO610*$B$8*AQ610)/(1+AL610/100)^B24:B31)+C32*AM610*AP610/(1+AL610/100)^$B$6</f>
        <v/>
      </c>
      <c r="AS610">
        <f>SUMPRODUCT((K24:K26&lt;=$B$6)*(L24:L26*AN610+M24:M26*AO610*$B$8*AQ610)/(1+AL610/100)^K24:K26)+L27*AN610*AP610/(1+AL610/100)^$B$6</f>
        <v/>
      </c>
      <c r="AT610">
        <f>AS610-AR610</f>
        <v/>
      </c>
      <c r="AU610">
        <f>RAND()</f>
        <v/>
      </c>
      <c r="AV610">
        <f>RAND()</f>
        <v/>
      </c>
      <c r="AW610">
        <f>RAND()</f>
        <v/>
      </c>
      <c r="AX610">
        <f>RAND()</f>
        <v/>
      </c>
      <c r="AY610">
        <f>RAND()</f>
        <v/>
      </c>
      <c r="AZ610">
        <f>RAND()</f>
        <v/>
      </c>
    </row>
    <row r="611">
      <c r="AK611" t="n">
        <v>598</v>
      </c>
      <c r="AL611">
        <f>IFERROR(IF(AU611&lt;($AM$6-$AL$6)/($AN$6-$AL$6),$AL$6+SQRT(AU611*($AN$6-$AL$6)*($AM$6-$AL$6)),$AN$6-SQRT((1-AU611)*($AN$6-$AL$6)*($AN$6-$AM$6))),$AM$6)</f>
        <v/>
      </c>
      <c r="AM611">
        <f>IFERROR(IF(AV611&lt;($AM$7-$AL$7)/($AN$7-$AL$7),$AL$7+SQRT(AV611*($AN$7-$AL$7)*($AM$7-$AL$7)),$AN$7-SQRT((1-AV611)*($AN$7-$AL$7)*($AN$7-$AM$7))),$AM$7)</f>
        <v/>
      </c>
      <c r="AN611">
        <f>IFERROR(IF(AW611&lt;($AM$8-$AL$8)/($AN$8-$AL$8),$AL$8+SQRT(AW611*($AN$8-$AL$8)*($AM$8-$AL$8)),$AN$8-SQRT((1-AW611)*($AN$8-$AL$8)*($AN$8-$AM$8))),$AM$8)</f>
        <v/>
      </c>
      <c r="AO611">
        <f>IFERROR(IF(AX611&lt;($AM$9-$AL$9)/($AN$9-$AL$9),$AL$9+SQRT(AX611*($AN$9-$AL$9)*($AM$9-$AL$9)),$AN$9-SQRT((1-AX611)*($AN$9-$AL$9)*($AN$9-$AM$9))),$AM$9)</f>
        <v/>
      </c>
      <c r="AP611">
        <f>IFERROR(IF(AY611&lt;($AM$10-$AL$10)/($AN$10-$AL$10),$AL$10+SQRT(AY611*($AN$10-$AL$10)*($AM$10-$AL$10)),$AN$10-SQRT((1-AY611)*($AN$10-$AL$10)*($AN$10-$AM$10))),$AM$10)</f>
        <v/>
      </c>
      <c r="AQ611">
        <f>IFERROR(IF(AZ611&lt;($AM$11-$AL$11)/($AN$11-$AL$11),$AL$11+SQRT(AZ611*($AN$11-$AL$11)*($AM$11-$AL$11)),$AN$11-SQRT((1-AZ611)*($AN$11-$AL$11)*($AN$11-$AM$11))),$AM$11)</f>
        <v/>
      </c>
      <c r="AR611">
        <f>SUMPRODUCT((B24:B31&lt;=$B$6)*(C24:C31*AM611+D24:D31*AO611*$B$8*AQ611)/(1+AL611/100)^B24:B31)+C32*AM611*AP611/(1+AL611/100)^$B$6</f>
        <v/>
      </c>
      <c r="AS611">
        <f>SUMPRODUCT((K24:K26&lt;=$B$6)*(L24:L26*AN611+M24:M26*AO611*$B$8*AQ611)/(1+AL611/100)^K24:K26)+L27*AN611*AP611/(1+AL611/100)^$B$6</f>
        <v/>
      </c>
      <c r="AT611">
        <f>AS611-AR611</f>
        <v/>
      </c>
      <c r="AU611">
        <f>RAND()</f>
        <v/>
      </c>
      <c r="AV611">
        <f>RAND()</f>
        <v/>
      </c>
      <c r="AW611">
        <f>RAND()</f>
        <v/>
      </c>
      <c r="AX611">
        <f>RAND()</f>
        <v/>
      </c>
      <c r="AY611">
        <f>RAND()</f>
        <v/>
      </c>
      <c r="AZ611">
        <f>RAND()</f>
        <v/>
      </c>
    </row>
    <row r="612">
      <c r="AK612" t="n">
        <v>599</v>
      </c>
      <c r="AL612">
        <f>IFERROR(IF(AU612&lt;($AM$6-$AL$6)/($AN$6-$AL$6),$AL$6+SQRT(AU612*($AN$6-$AL$6)*($AM$6-$AL$6)),$AN$6-SQRT((1-AU612)*($AN$6-$AL$6)*($AN$6-$AM$6))),$AM$6)</f>
        <v/>
      </c>
      <c r="AM612">
        <f>IFERROR(IF(AV612&lt;($AM$7-$AL$7)/($AN$7-$AL$7),$AL$7+SQRT(AV612*($AN$7-$AL$7)*($AM$7-$AL$7)),$AN$7-SQRT((1-AV612)*($AN$7-$AL$7)*($AN$7-$AM$7))),$AM$7)</f>
        <v/>
      </c>
      <c r="AN612">
        <f>IFERROR(IF(AW612&lt;($AM$8-$AL$8)/($AN$8-$AL$8),$AL$8+SQRT(AW612*($AN$8-$AL$8)*($AM$8-$AL$8)),$AN$8-SQRT((1-AW612)*($AN$8-$AL$8)*($AN$8-$AM$8))),$AM$8)</f>
        <v/>
      </c>
      <c r="AO612">
        <f>IFERROR(IF(AX612&lt;($AM$9-$AL$9)/($AN$9-$AL$9),$AL$9+SQRT(AX612*($AN$9-$AL$9)*($AM$9-$AL$9)),$AN$9-SQRT((1-AX612)*($AN$9-$AL$9)*($AN$9-$AM$9))),$AM$9)</f>
        <v/>
      </c>
      <c r="AP612">
        <f>IFERROR(IF(AY612&lt;($AM$10-$AL$10)/($AN$10-$AL$10),$AL$10+SQRT(AY612*($AN$10-$AL$10)*($AM$10-$AL$10)),$AN$10-SQRT((1-AY612)*($AN$10-$AL$10)*($AN$10-$AM$10))),$AM$10)</f>
        <v/>
      </c>
      <c r="AQ612">
        <f>IFERROR(IF(AZ612&lt;($AM$11-$AL$11)/($AN$11-$AL$11),$AL$11+SQRT(AZ612*($AN$11-$AL$11)*($AM$11-$AL$11)),$AN$11-SQRT((1-AZ612)*($AN$11-$AL$11)*($AN$11-$AM$11))),$AM$11)</f>
        <v/>
      </c>
      <c r="AR612">
        <f>SUMPRODUCT((B24:B31&lt;=$B$6)*(C24:C31*AM612+D24:D31*AO612*$B$8*AQ612)/(1+AL612/100)^B24:B31)+C32*AM612*AP612/(1+AL612/100)^$B$6</f>
        <v/>
      </c>
      <c r="AS612">
        <f>SUMPRODUCT((K24:K26&lt;=$B$6)*(L24:L26*AN612+M24:M26*AO612*$B$8*AQ612)/(1+AL612/100)^K24:K26)+L27*AN612*AP612/(1+AL612/100)^$B$6</f>
        <v/>
      </c>
      <c r="AT612">
        <f>AS612-AR612</f>
        <v/>
      </c>
      <c r="AU612">
        <f>RAND()</f>
        <v/>
      </c>
      <c r="AV612">
        <f>RAND()</f>
        <v/>
      </c>
      <c r="AW612">
        <f>RAND()</f>
        <v/>
      </c>
      <c r="AX612">
        <f>RAND()</f>
        <v/>
      </c>
      <c r="AY612">
        <f>RAND()</f>
        <v/>
      </c>
      <c r="AZ612">
        <f>RAND()</f>
        <v/>
      </c>
    </row>
    <row r="613">
      <c r="AK613" t="n">
        <v>600</v>
      </c>
      <c r="AL613">
        <f>IFERROR(IF(AU613&lt;($AM$6-$AL$6)/($AN$6-$AL$6),$AL$6+SQRT(AU613*($AN$6-$AL$6)*($AM$6-$AL$6)),$AN$6-SQRT((1-AU613)*($AN$6-$AL$6)*($AN$6-$AM$6))),$AM$6)</f>
        <v/>
      </c>
      <c r="AM613">
        <f>IFERROR(IF(AV613&lt;($AM$7-$AL$7)/($AN$7-$AL$7),$AL$7+SQRT(AV613*($AN$7-$AL$7)*($AM$7-$AL$7)),$AN$7-SQRT((1-AV613)*($AN$7-$AL$7)*($AN$7-$AM$7))),$AM$7)</f>
        <v/>
      </c>
      <c r="AN613">
        <f>IFERROR(IF(AW613&lt;($AM$8-$AL$8)/($AN$8-$AL$8),$AL$8+SQRT(AW613*($AN$8-$AL$8)*($AM$8-$AL$8)),$AN$8-SQRT((1-AW613)*($AN$8-$AL$8)*($AN$8-$AM$8))),$AM$8)</f>
        <v/>
      </c>
      <c r="AO613">
        <f>IFERROR(IF(AX613&lt;($AM$9-$AL$9)/($AN$9-$AL$9),$AL$9+SQRT(AX613*($AN$9-$AL$9)*($AM$9-$AL$9)),$AN$9-SQRT((1-AX613)*($AN$9-$AL$9)*($AN$9-$AM$9))),$AM$9)</f>
        <v/>
      </c>
      <c r="AP613">
        <f>IFERROR(IF(AY613&lt;($AM$10-$AL$10)/($AN$10-$AL$10),$AL$10+SQRT(AY613*($AN$10-$AL$10)*($AM$10-$AL$10)),$AN$10-SQRT((1-AY613)*($AN$10-$AL$10)*($AN$10-$AM$10))),$AM$10)</f>
        <v/>
      </c>
      <c r="AQ613">
        <f>IFERROR(IF(AZ613&lt;($AM$11-$AL$11)/($AN$11-$AL$11),$AL$11+SQRT(AZ613*($AN$11-$AL$11)*($AM$11-$AL$11)),$AN$11-SQRT((1-AZ613)*($AN$11-$AL$11)*($AN$11-$AM$11))),$AM$11)</f>
        <v/>
      </c>
      <c r="AR613">
        <f>SUMPRODUCT((B24:B31&lt;=$B$6)*(C24:C31*AM613+D24:D31*AO613*$B$8*AQ613)/(1+AL613/100)^B24:B31)+C32*AM613*AP613/(1+AL613/100)^$B$6</f>
        <v/>
      </c>
      <c r="AS613">
        <f>SUMPRODUCT((K24:K26&lt;=$B$6)*(L24:L26*AN613+M24:M26*AO613*$B$8*AQ613)/(1+AL613/100)^K24:K26)+L27*AN613*AP613/(1+AL613/100)^$B$6</f>
        <v/>
      </c>
      <c r="AT613">
        <f>AS613-AR613</f>
        <v/>
      </c>
      <c r="AU613">
        <f>RAND()</f>
        <v/>
      </c>
      <c r="AV613">
        <f>RAND()</f>
        <v/>
      </c>
      <c r="AW613">
        <f>RAND()</f>
        <v/>
      </c>
      <c r="AX613">
        <f>RAND()</f>
        <v/>
      </c>
      <c r="AY613">
        <f>RAND()</f>
        <v/>
      </c>
      <c r="AZ613">
        <f>RAND()</f>
        <v/>
      </c>
    </row>
    <row r="614">
      <c r="AK614" t="n">
        <v>601</v>
      </c>
      <c r="AL614">
        <f>IFERROR(IF(AU614&lt;($AM$6-$AL$6)/($AN$6-$AL$6),$AL$6+SQRT(AU614*($AN$6-$AL$6)*($AM$6-$AL$6)),$AN$6-SQRT((1-AU614)*($AN$6-$AL$6)*($AN$6-$AM$6))),$AM$6)</f>
        <v/>
      </c>
      <c r="AM614">
        <f>IFERROR(IF(AV614&lt;($AM$7-$AL$7)/($AN$7-$AL$7),$AL$7+SQRT(AV614*($AN$7-$AL$7)*($AM$7-$AL$7)),$AN$7-SQRT((1-AV614)*($AN$7-$AL$7)*($AN$7-$AM$7))),$AM$7)</f>
        <v/>
      </c>
      <c r="AN614">
        <f>IFERROR(IF(AW614&lt;($AM$8-$AL$8)/($AN$8-$AL$8),$AL$8+SQRT(AW614*($AN$8-$AL$8)*($AM$8-$AL$8)),$AN$8-SQRT((1-AW614)*($AN$8-$AL$8)*($AN$8-$AM$8))),$AM$8)</f>
        <v/>
      </c>
      <c r="AO614">
        <f>IFERROR(IF(AX614&lt;($AM$9-$AL$9)/($AN$9-$AL$9),$AL$9+SQRT(AX614*($AN$9-$AL$9)*($AM$9-$AL$9)),$AN$9-SQRT((1-AX614)*($AN$9-$AL$9)*($AN$9-$AM$9))),$AM$9)</f>
        <v/>
      </c>
      <c r="AP614">
        <f>IFERROR(IF(AY614&lt;($AM$10-$AL$10)/($AN$10-$AL$10),$AL$10+SQRT(AY614*($AN$10-$AL$10)*($AM$10-$AL$10)),$AN$10-SQRT((1-AY614)*($AN$10-$AL$10)*($AN$10-$AM$10))),$AM$10)</f>
        <v/>
      </c>
      <c r="AQ614">
        <f>IFERROR(IF(AZ614&lt;($AM$11-$AL$11)/($AN$11-$AL$11),$AL$11+SQRT(AZ614*($AN$11-$AL$11)*($AM$11-$AL$11)),$AN$11-SQRT((1-AZ614)*($AN$11-$AL$11)*($AN$11-$AM$11))),$AM$11)</f>
        <v/>
      </c>
      <c r="AR614">
        <f>SUMPRODUCT((B24:B31&lt;=$B$6)*(C24:C31*AM614+D24:D31*AO614*$B$8*AQ614)/(1+AL614/100)^B24:B31)+C32*AM614*AP614/(1+AL614/100)^$B$6</f>
        <v/>
      </c>
      <c r="AS614">
        <f>SUMPRODUCT((K24:K26&lt;=$B$6)*(L24:L26*AN614+M24:M26*AO614*$B$8*AQ614)/(1+AL614/100)^K24:K26)+L27*AN614*AP614/(1+AL614/100)^$B$6</f>
        <v/>
      </c>
      <c r="AT614">
        <f>AS614-AR614</f>
        <v/>
      </c>
      <c r="AU614">
        <f>RAND()</f>
        <v/>
      </c>
      <c r="AV614">
        <f>RAND()</f>
        <v/>
      </c>
      <c r="AW614">
        <f>RAND()</f>
        <v/>
      </c>
      <c r="AX614">
        <f>RAND()</f>
        <v/>
      </c>
      <c r="AY614">
        <f>RAND()</f>
        <v/>
      </c>
      <c r="AZ614">
        <f>RAND()</f>
        <v/>
      </c>
    </row>
    <row r="615">
      <c r="AK615" t="n">
        <v>602</v>
      </c>
      <c r="AL615">
        <f>IFERROR(IF(AU615&lt;($AM$6-$AL$6)/($AN$6-$AL$6),$AL$6+SQRT(AU615*($AN$6-$AL$6)*($AM$6-$AL$6)),$AN$6-SQRT((1-AU615)*($AN$6-$AL$6)*($AN$6-$AM$6))),$AM$6)</f>
        <v/>
      </c>
      <c r="AM615">
        <f>IFERROR(IF(AV615&lt;($AM$7-$AL$7)/($AN$7-$AL$7),$AL$7+SQRT(AV615*($AN$7-$AL$7)*($AM$7-$AL$7)),$AN$7-SQRT((1-AV615)*($AN$7-$AL$7)*($AN$7-$AM$7))),$AM$7)</f>
        <v/>
      </c>
      <c r="AN615">
        <f>IFERROR(IF(AW615&lt;($AM$8-$AL$8)/($AN$8-$AL$8),$AL$8+SQRT(AW615*($AN$8-$AL$8)*($AM$8-$AL$8)),$AN$8-SQRT((1-AW615)*($AN$8-$AL$8)*($AN$8-$AM$8))),$AM$8)</f>
        <v/>
      </c>
      <c r="AO615">
        <f>IFERROR(IF(AX615&lt;($AM$9-$AL$9)/($AN$9-$AL$9),$AL$9+SQRT(AX615*($AN$9-$AL$9)*($AM$9-$AL$9)),$AN$9-SQRT((1-AX615)*($AN$9-$AL$9)*($AN$9-$AM$9))),$AM$9)</f>
        <v/>
      </c>
      <c r="AP615">
        <f>IFERROR(IF(AY615&lt;($AM$10-$AL$10)/($AN$10-$AL$10),$AL$10+SQRT(AY615*($AN$10-$AL$10)*($AM$10-$AL$10)),$AN$10-SQRT((1-AY615)*($AN$10-$AL$10)*($AN$10-$AM$10))),$AM$10)</f>
        <v/>
      </c>
      <c r="AQ615">
        <f>IFERROR(IF(AZ615&lt;($AM$11-$AL$11)/($AN$11-$AL$11),$AL$11+SQRT(AZ615*($AN$11-$AL$11)*($AM$11-$AL$11)),$AN$11-SQRT((1-AZ615)*($AN$11-$AL$11)*($AN$11-$AM$11))),$AM$11)</f>
        <v/>
      </c>
      <c r="AR615">
        <f>SUMPRODUCT((B24:B31&lt;=$B$6)*(C24:C31*AM615+D24:D31*AO615*$B$8*AQ615)/(1+AL615/100)^B24:B31)+C32*AM615*AP615/(1+AL615/100)^$B$6</f>
        <v/>
      </c>
      <c r="AS615">
        <f>SUMPRODUCT((K24:K26&lt;=$B$6)*(L24:L26*AN615+M24:M26*AO615*$B$8*AQ615)/(1+AL615/100)^K24:K26)+L27*AN615*AP615/(1+AL615/100)^$B$6</f>
        <v/>
      </c>
      <c r="AT615">
        <f>AS615-AR615</f>
        <v/>
      </c>
      <c r="AU615">
        <f>RAND()</f>
        <v/>
      </c>
      <c r="AV615">
        <f>RAND()</f>
        <v/>
      </c>
      <c r="AW615">
        <f>RAND()</f>
        <v/>
      </c>
      <c r="AX615">
        <f>RAND()</f>
        <v/>
      </c>
      <c r="AY615">
        <f>RAND()</f>
        <v/>
      </c>
      <c r="AZ615">
        <f>RAND()</f>
        <v/>
      </c>
    </row>
    <row r="616">
      <c r="AK616" t="n">
        <v>603</v>
      </c>
      <c r="AL616">
        <f>IFERROR(IF(AU616&lt;($AM$6-$AL$6)/($AN$6-$AL$6),$AL$6+SQRT(AU616*($AN$6-$AL$6)*($AM$6-$AL$6)),$AN$6-SQRT((1-AU616)*($AN$6-$AL$6)*($AN$6-$AM$6))),$AM$6)</f>
        <v/>
      </c>
      <c r="AM616">
        <f>IFERROR(IF(AV616&lt;($AM$7-$AL$7)/($AN$7-$AL$7),$AL$7+SQRT(AV616*($AN$7-$AL$7)*($AM$7-$AL$7)),$AN$7-SQRT((1-AV616)*($AN$7-$AL$7)*($AN$7-$AM$7))),$AM$7)</f>
        <v/>
      </c>
      <c r="AN616">
        <f>IFERROR(IF(AW616&lt;($AM$8-$AL$8)/($AN$8-$AL$8),$AL$8+SQRT(AW616*($AN$8-$AL$8)*($AM$8-$AL$8)),$AN$8-SQRT((1-AW616)*($AN$8-$AL$8)*($AN$8-$AM$8))),$AM$8)</f>
        <v/>
      </c>
      <c r="AO616">
        <f>IFERROR(IF(AX616&lt;($AM$9-$AL$9)/($AN$9-$AL$9),$AL$9+SQRT(AX616*($AN$9-$AL$9)*($AM$9-$AL$9)),$AN$9-SQRT((1-AX616)*($AN$9-$AL$9)*($AN$9-$AM$9))),$AM$9)</f>
        <v/>
      </c>
      <c r="AP616">
        <f>IFERROR(IF(AY616&lt;($AM$10-$AL$10)/($AN$10-$AL$10),$AL$10+SQRT(AY616*($AN$10-$AL$10)*($AM$10-$AL$10)),$AN$10-SQRT((1-AY616)*($AN$10-$AL$10)*($AN$10-$AM$10))),$AM$10)</f>
        <v/>
      </c>
      <c r="AQ616">
        <f>IFERROR(IF(AZ616&lt;($AM$11-$AL$11)/($AN$11-$AL$11),$AL$11+SQRT(AZ616*($AN$11-$AL$11)*($AM$11-$AL$11)),$AN$11-SQRT((1-AZ616)*($AN$11-$AL$11)*($AN$11-$AM$11))),$AM$11)</f>
        <v/>
      </c>
      <c r="AR616">
        <f>SUMPRODUCT((B24:B31&lt;=$B$6)*(C24:C31*AM616+D24:D31*AO616*$B$8*AQ616)/(1+AL616/100)^B24:B31)+C32*AM616*AP616/(1+AL616/100)^$B$6</f>
        <v/>
      </c>
      <c r="AS616">
        <f>SUMPRODUCT((K24:K26&lt;=$B$6)*(L24:L26*AN616+M24:M26*AO616*$B$8*AQ616)/(1+AL616/100)^K24:K26)+L27*AN616*AP616/(1+AL616/100)^$B$6</f>
        <v/>
      </c>
      <c r="AT616">
        <f>AS616-AR616</f>
        <v/>
      </c>
      <c r="AU616">
        <f>RAND()</f>
        <v/>
      </c>
      <c r="AV616">
        <f>RAND()</f>
        <v/>
      </c>
      <c r="AW616">
        <f>RAND()</f>
        <v/>
      </c>
      <c r="AX616">
        <f>RAND()</f>
        <v/>
      </c>
      <c r="AY616">
        <f>RAND()</f>
        <v/>
      </c>
      <c r="AZ616">
        <f>RAND()</f>
        <v/>
      </c>
    </row>
    <row r="617">
      <c r="AK617" t="n">
        <v>604</v>
      </c>
      <c r="AL617">
        <f>IFERROR(IF(AU617&lt;($AM$6-$AL$6)/($AN$6-$AL$6),$AL$6+SQRT(AU617*($AN$6-$AL$6)*($AM$6-$AL$6)),$AN$6-SQRT((1-AU617)*($AN$6-$AL$6)*($AN$6-$AM$6))),$AM$6)</f>
        <v/>
      </c>
      <c r="AM617">
        <f>IFERROR(IF(AV617&lt;($AM$7-$AL$7)/($AN$7-$AL$7),$AL$7+SQRT(AV617*($AN$7-$AL$7)*($AM$7-$AL$7)),$AN$7-SQRT((1-AV617)*($AN$7-$AL$7)*($AN$7-$AM$7))),$AM$7)</f>
        <v/>
      </c>
      <c r="AN617">
        <f>IFERROR(IF(AW617&lt;($AM$8-$AL$8)/($AN$8-$AL$8),$AL$8+SQRT(AW617*($AN$8-$AL$8)*($AM$8-$AL$8)),$AN$8-SQRT((1-AW617)*($AN$8-$AL$8)*($AN$8-$AM$8))),$AM$8)</f>
        <v/>
      </c>
      <c r="AO617">
        <f>IFERROR(IF(AX617&lt;($AM$9-$AL$9)/($AN$9-$AL$9),$AL$9+SQRT(AX617*($AN$9-$AL$9)*($AM$9-$AL$9)),$AN$9-SQRT((1-AX617)*($AN$9-$AL$9)*($AN$9-$AM$9))),$AM$9)</f>
        <v/>
      </c>
      <c r="AP617">
        <f>IFERROR(IF(AY617&lt;($AM$10-$AL$10)/($AN$10-$AL$10),$AL$10+SQRT(AY617*($AN$10-$AL$10)*($AM$10-$AL$10)),$AN$10-SQRT((1-AY617)*($AN$10-$AL$10)*($AN$10-$AM$10))),$AM$10)</f>
        <v/>
      </c>
      <c r="AQ617">
        <f>IFERROR(IF(AZ617&lt;($AM$11-$AL$11)/($AN$11-$AL$11),$AL$11+SQRT(AZ617*($AN$11-$AL$11)*($AM$11-$AL$11)),$AN$11-SQRT((1-AZ617)*($AN$11-$AL$11)*($AN$11-$AM$11))),$AM$11)</f>
        <v/>
      </c>
      <c r="AR617">
        <f>SUMPRODUCT((B24:B31&lt;=$B$6)*(C24:C31*AM617+D24:D31*AO617*$B$8*AQ617)/(1+AL617/100)^B24:B31)+C32*AM617*AP617/(1+AL617/100)^$B$6</f>
        <v/>
      </c>
      <c r="AS617">
        <f>SUMPRODUCT((K24:K26&lt;=$B$6)*(L24:L26*AN617+M24:M26*AO617*$B$8*AQ617)/(1+AL617/100)^K24:K26)+L27*AN617*AP617/(1+AL617/100)^$B$6</f>
        <v/>
      </c>
      <c r="AT617">
        <f>AS617-AR617</f>
        <v/>
      </c>
      <c r="AU617">
        <f>RAND()</f>
        <v/>
      </c>
      <c r="AV617">
        <f>RAND()</f>
        <v/>
      </c>
      <c r="AW617">
        <f>RAND()</f>
        <v/>
      </c>
      <c r="AX617">
        <f>RAND()</f>
        <v/>
      </c>
      <c r="AY617">
        <f>RAND()</f>
        <v/>
      </c>
      <c r="AZ617">
        <f>RAND()</f>
        <v/>
      </c>
    </row>
    <row r="618">
      <c r="AK618" t="n">
        <v>605</v>
      </c>
      <c r="AL618">
        <f>IFERROR(IF(AU618&lt;($AM$6-$AL$6)/($AN$6-$AL$6),$AL$6+SQRT(AU618*($AN$6-$AL$6)*($AM$6-$AL$6)),$AN$6-SQRT((1-AU618)*($AN$6-$AL$6)*($AN$6-$AM$6))),$AM$6)</f>
        <v/>
      </c>
      <c r="AM618">
        <f>IFERROR(IF(AV618&lt;($AM$7-$AL$7)/($AN$7-$AL$7),$AL$7+SQRT(AV618*($AN$7-$AL$7)*($AM$7-$AL$7)),$AN$7-SQRT((1-AV618)*($AN$7-$AL$7)*($AN$7-$AM$7))),$AM$7)</f>
        <v/>
      </c>
      <c r="AN618">
        <f>IFERROR(IF(AW618&lt;($AM$8-$AL$8)/($AN$8-$AL$8),$AL$8+SQRT(AW618*($AN$8-$AL$8)*($AM$8-$AL$8)),$AN$8-SQRT((1-AW618)*($AN$8-$AL$8)*($AN$8-$AM$8))),$AM$8)</f>
        <v/>
      </c>
      <c r="AO618">
        <f>IFERROR(IF(AX618&lt;($AM$9-$AL$9)/($AN$9-$AL$9),$AL$9+SQRT(AX618*($AN$9-$AL$9)*($AM$9-$AL$9)),$AN$9-SQRT((1-AX618)*($AN$9-$AL$9)*($AN$9-$AM$9))),$AM$9)</f>
        <v/>
      </c>
      <c r="AP618">
        <f>IFERROR(IF(AY618&lt;($AM$10-$AL$10)/($AN$10-$AL$10),$AL$10+SQRT(AY618*($AN$10-$AL$10)*($AM$10-$AL$10)),$AN$10-SQRT((1-AY618)*($AN$10-$AL$10)*($AN$10-$AM$10))),$AM$10)</f>
        <v/>
      </c>
      <c r="AQ618">
        <f>IFERROR(IF(AZ618&lt;($AM$11-$AL$11)/($AN$11-$AL$11),$AL$11+SQRT(AZ618*($AN$11-$AL$11)*($AM$11-$AL$11)),$AN$11-SQRT((1-AZ618)*($AN$11-$AL$11)*($AN$11-$AM$11))),$AM$11)</f>
        <v/>
      </c>
      <c r="AR618">
        <f>SUMPRODUCT((B24:B31&lt;=$B$6)*(C24:C31*AM618+D24:D31*AO618*$B$8*AQ618)/(1+AL618/100)^B24:B31)+C32*AM618*AP618/(1+AL618/100)^$B$6</f>
        <v/>
      </c>
      <c r="AS618">
        <f>SUMPRODUCT((K24:K26&lt;=$B$6)*(L24:L26*AN618+M24:M26*AO618*$B$8*AQ618)/(1+AL618/100)^K24:K26)+L27*AN618*AP618/(1+AL618/100)^$B$6</f>
        <v/>
      </c>
      <c r="AT618">
        <f>AS618-AR618</f>
        <v/>
      </c>
      <c r="AU618">
        <f>RAND()</f>
        <v/>
      </c>
      <c r="AV618">
        <f>RAND()</f>
        <v/>
      </c>
      <c r="AW618">
        <f>RAND()</f>
        <v/>
      </c>
      <c r="AX618">
        <f>RAND()</f>
        <v/>
      </c>
      <c r="AY618">
        <f>RAND()</f>
        <v/>
      </c>
      <c r="AZ618">
        <f>RAND()</f>
        <v/>
      </c>
    </row>
    <row r="619">
      <c r="AK619" t="n">
        <v>606</v>
      </c>
      <c r="AL619">
        <f>IFERROR(IF(AU619&lt;($AM$6-$AL$6)/($AN$6-$AL$6),$AL$6+SQRT(AU619*($AN$6-$AL$6)*($AM$6-$AL$6)),$AN$6-SQRT((1-AU619)*($AN$6-$AL$6)*($AN$6-$AM$6))),$AM$6)</f>
        <v/>
      </c>
      <c r="AM619">
        <f>IFERROR(IF(AV619&lt;($AM$7-$AL$7)/($AN$7-$AL$7),$AL$7+SQRT(AV619*($AN$7-$AL$7)*($AM$7-$AL$7)),$AN$7-SQRT((1-AV619)*($AN$7-$AL$7)*($AN$7-$AM$7))),$AM$7)</f>
        <v/>
      </c>
      <c r="AN619">
        <f>IFERROR(IF(AW619&lt;($AM$8-$AL$8)/($AN$8-$AL$8),$AL$8+SQRT(AW619*($AN$8-$AL$8)*($AM$8-$AL$8)),$AN$8-SQRT((1-AW619)*($AN$8-$AL$8)*($AN$8-$AM$8))),$AM$8)</f>
        <v/>
      </c>
      <c r="AO619">
        <f>IFERROR(IF(AX619&lt;($AM$9-$AL$9)/($AN$9-$AL$9),$AL$9+SQRT(AX619*($AN$9-$AL$9)*($AM$9-$AL$9)),$AN$9-SQRT((1-AX619)*($AN$9-$AL$9)*($AN$9-$AM$9))),$AM$9)</f>
        <v/>
      </c>
      <c r="AP619">
        <f>IFERROR(IF(AY619&lt;($AM$10-$AL$10)/($AN$10-$AL$10),$AL$10+SQRT(AY619*($AN$10-$AL$10)*($AM$10-$AL$10)),$AN$10-SQRT((1-AY619)*($AN$10-$AL$10)*($AN$10-$AM$10))),$AM$10)</f>
        <v/>
      </c>
      <c r="AQ619">
        <f>IFERROR(IF(AZ619&lt;($AM$11-$AL$11)/($AN$11-$AL$11),$AL$11+SQRT(AZ619*($AN$11-$AL$11)*($AM$11-$AL$11)),$AN$11-SQRT((1-AZ619)*($AN$11-$AL$11)*($AN$11-$AM$11))),$AM$11)</f>
        <v/>
      </c>
      <c r="AR619">
        <f>SUMPRODUCT((B24:B31&lt;=$B$6)*(C24:C31*AM619+D24:D31*AO619*$B$8*AQ619)/(1+AL619/100)^B24:B31)+C32*AM619*AP619/(1+AL619/100)^$B$6</f>
        <v/>
      </c>
      <c r="AS619">
        <f>SUMPRODUCT((K24:K26&lt;=$B$6)*(L24:L26*AN619+M24:M26*AO619*$B$8*AQ619)/(1+AL619/100)^K24:K26)+L27*AN619*AP619/(1+AL619/100)^$B$6</f>
        <v/>
      </c>
      <c r="AT619">
        <f>AS619-AR619</f>
        <v/>
      </c>
      <c r="AU619">
        <f>RAND()</f>
        <v/>
      </c>
      <c r="AV619">
        <f>RAND()</f>
        <v/>
      </c>
      <c r="AW619">
        <f>RAND()</f>
        <v/>
      </c>
      <c r="AX619">
        <f>RAND()</f>
        <v/>
      </c>
      <c r="AY619">
        <f>RAND()</f>
        <v/>
      </c>
      <c r="AZ619">
        <f>RAND()</f>
        <v/>
      </c>
    </row>
    <row r="620">
      <c r="AK620" t="n">
        <v>607</v>
      </c>
      <c r="AL620">
        <f>IFERROR(IF(AU620&lt;($AM$6-$AL$6)/($AN$6-$AL$6),$AL$6+SQRT(AU620*($AN$6-$AL$6)*($AM$6-$AL$6)),$AN$6-SQRT((1-AU620)*($AN$6-$AL$6)*($AN$6-$AM$6))),$AM$6)</f>
        <v/>
      </c>
      <c r="AM620">
        <f>IFERROR(IF(AV620&lt;($AM$7-$AL$7)/($AN$7-$AL$7),$AL$7+SQRT(AV620*($AN$7-$AL$7)*($AM$7-$AL$7)),$AN$7-SQRT((1-AV620)*($AN$7-$AL$7)*($AN$7-$AM$7))),$AM$7)</f>
        <v/>
      </c>
      <c r="AN620">
        <f>IFERROR(IF(AW620&lt;($AM$8-$AL$8)/($AN$8-$AL$8),$AL$8+SQRT(AW620*($AN$8-$AL$8)*($AM$8-$AL$8)),$AN$8-SQRT((1-AW620)*($AN$8-$AL$8)*($AN$8-$AM$8))),$AM$8)</f>
        <v/>
      </c>
      <c r="AO620">
        <f>IFERROR(IF(AX620&lt;($AM$9-$AL$9)/($AN$9-$AL$9),$AL$9+SQRT(AX620*($AN$9-$AL$9)*($AM$9-$AL$9)),$AN$9-SQRT((1-AX620)*($AN$9-$AL$9)*($AN$9-$AM$9))),$AM$9)</f>
        <v/>
      </c>
      <c r="AP620">
        <f>IFERROR(IF(AY620&lt;($AM$10-$AL$10)/($AN$10-$AL$10),$AL$10+SQRT(AY620*($AN$10-$AL$10)*($AM$10-$AL$10)),$AN$10-SQRT((1-AY620)*($AN$10-$AL$10)*($AN$10-$AM$10))),$AM$10)</f>
        <v/>
      </c>
      <c r="AQ620">
        <f>IFERROR(IF(AZ620&lt;($AM$11-$AL$11)/($AN$11-$AL$11),$AL$11+SQRT(AZ620*($AN$11-$AL$11)*($AM$11-$AL$11)),$AN$11-SQRT((1-AZ620)*($AN$11-$AL$11)*($AN$11-$AM$11))),$AM$11)</f>
        <v/>
      </c>
      <c r="AR620">
        <f>SUMPRODUCT((B24:B31&lt;=$B$6)*(C24:C31*AM620+D24:D31*AO620*$B$8*AQ620)/(1+AL620/100)^B24:B31)+C32*AM620*AP620/(1+AL620/100)^$B$6</f>
        <v/>
      </c>
      <c r="AS620">
        <f>SUMPRODUCT((K24:K26&lt;=$B$6)*(L24:L26*AN620+M24:M26*AO620*$B$8*AQ620)/(1+AL620/100)^K24:K26)+L27*AN620*AP620/(1+AL620/100)^$B$6</f>
        <v/>
      </c>
      <c r="AT620">
        <f>AS620-AR620</f>
        <v/>
      </c>
      <c r="AU620">
        <f>RAND()</f>
        <v/>
      </c>
      <c r="AV620">
        <f>RAND()</f>
        <v/>
      </c>
      <c r="AW620">
        <f>RAND()</f>
        <v/>
      </c>
      <c r="AX620">
        <f>RAND()</f>
        <v/>
      </c>
      <c r="AY620">
        <f>RAND()</f>
        <v/>
      </c>
      <c r="AZ620">
        <f>RAND()</f>
        <v/>
      </c>
    </row>
    <row r="621">
      <c r="AK621" t="n">
        <v>608</v>
      </c>
      <c r="AL621">
        <f>IFERROR(IF(AU621&lt;($AM$6-$AL$6)/($AN$6-$AL$6),$AL$6+SQRT(AU621*($AN$6-$AL$6)*($AM$6-$AL$6)),$AN$6-SQRT((1-AU621)*($AN$6-$AL$6)*($AN$6-$AM$6))),$AM$6)</f>
        <v/>
      </c>
      <c r="AM621">
        <f>IFERROR(IF(AV621&lt;($AM$7-$AL$7)/($AN$7-$AL$7),$AL$7+SQRT(AV621*($AN$7-$AL$7)*($AM$7-$AL$7)),$AN$7-SQRT((1-AV621)*($AN$7-$AL$7)*($AN$7-$AM$7))),$AM$7)</f>
        <v/>
      </c>
      <c r="AN621">
        <f>IFERROR(IF(AW621&lt;($AM$8-$AL$8)/($AN$8-$AL$8),$AL$8+SQRT(AW621*($AN$8-$AL$8)*($AM$8-$AL$8)),$AN$8-SQRT((1-AW621)*($AN$8-$AL$8)*($AN$8-$AM$8))),$AM$8)</f>
        <v/>
      </c>
      <c r="AO621">
        <f>IFERROR(IF(AX621&lt;($AM$9-$AL$9)/($AN$9-$AL$9),$AL$9+SQRT(AX621*($AN$9-$AL$9)*($AM$9-$AL$9)),$AN$9-SQRT((1-AX621)*($AN$9-$AL$9)*($AN$9-$AM$9))),$AM$9)</f>
        <v/>
      </c>
      <c r="AP621">
        <f>IFERROR(IF(AY621&lt;($AM$10-$AL$10)/($AN$10-$AL$10),$AL$10+SQRT(AY621*($AN$10-$AL$10)*($AM$10-$AL$10)),$AN$10-SQRT((1-AY621)*($AN$10-$AL$10)*($AN$10-$AM$10))),$AM$10)</f>
        <v/>
      </c>
      <c r="AQ621">
        <f>IFERROR(IF(AZ621&lt;($AM$11-$AL$11)/($AN$11-$AL$11),$AL$11+SQRT(AZ621*($AN$11-$AL$11)*($AM$11-$AL$11)),$AN$11-SQRT((1-AZ621)*($AN$11-$AL$11)*($AN$11-$AM$11))),$AM$11)</f>
        <v/>
      </c>
      <c r="AR621">
        <f>SUMPRODUCT((B24:B31&lt;=$B$6)*(C24:C31*AM621+D24:D31*AO621*$B$8*AQ621)/(1+AL621/100)^B24:B31)+C32*AM621*AP621/(1+AL621/100)^$B$6</f>
        <v/>
      </c>
      <c r="AS621">
        <f>SUMPRODUCT((K24:K26&lt;=$B$6)*(L24:L26*AN621+M24:M26*AO621*$B$8*AQ621)/(1+AL621/100)^K24:K26)+L27*AN621*AP621/(1+AL621/100)^$B$6</f>
        <v/>
      </c>
      <c r="AT621">
        <f>AS621-AR621</f>
        <v/>
      </c>
      <c r="AU621">
        <f>RAND()</f>
        <v/>
      </c>
      <c r="AV621">
        <f>RAND()</f>
        <v/>
      </c>
      <c r="AW621">
        <f>RAND()</f>
        <v/>
      </c>
      <c r="AX621">
        <f>RAND()</f>
        <v/>
      </c>
      <c r="AY621">
        <f>RAND()</f>
        <v/>
      </c>
      <c r="AZ621">
        <f>RAND()</f>
        <v/>
      </c>
    </row>
    <row r="622">
      <c r="AK622" t="n">
        <v>609</v>
      </c>
      <c r="AL622">
        <f>IFERROR(IF(AU622&lt;($AM$6-$AL$6)/($AN$6-$AL$6),$AL$6+SQRT(AU622*($AN$6-$AL$6)*($AM$6-$AL$6)),$AN$6-SQRT((1-AU622)*($AN$6-$AL$6)*($AN$6-$AM$6))),$AM$6)</f>
        <v/>
      </c>
      <c r="AM622">
        <f>IFERROR(IF(AV622&lt;($AM$7-$AL$7)/($AN$7-$AL$7),$AL$7+SQRT(AV622*($AN$7-$AL$7)*($AM$7-$AL$7)),$AN$7-SQRT((1-AV622)*($AN$7-$AL$7)*($AN$7-$AM$7))),$AM$7)</f>
        <v/>
      </c>
      <c r="AN622">
        <f>IFERROR(IF(AW622&lt;($AM$8-$AL$8)/($AN$8-$AL$8),$AL$8+SQRT(AW622*($AN$8-$AL$8)*($AM$8-$AL$8)),$AN$8-SQRT((1-AW622)*($AN$8-$AL$8)*($AN$8-$AM$8))),$AM$8)</f>
        <v/>
      </c>
      <c r="AO622">
        <f>IFERROR(IF(AX622&lt;($AM$9-$AL$9)/($AN$9-$AL$9),$AL$9+SQRT(AX622*($AN$9-$AL$9)*($AM$9-$AL$9)),$AN$9-SQRT((1-AX622)*($AN$9-$AL$9)*($AN$9-$AM$9))),$AM$9)</f>
        <v/>
      </c>
      <c r="AP622">
        <f>IFERROR(IF(AY622&lt;($AM$10-$AL$10)/($AN$10-$AL$10),$AL$10+SQRT(AY622*($AN$10-$AL$10)*($AM$10-$AL$10)),$AN$10-SQRT((1-AY622)*($AN$10-$AL$10)*($AN$10-$AM$10))),$AM$10)</f>
        <v/>
      </c>
      <c r="AQ622">
        <f>IFERROR(IF(AZ622&lt;($AM$11-$AL$11)/($AN$11-$AL$11),$AL$11+SQRT(AZ622*($AN$11-$AL$11)*($AM$11-$AL$11)),$AN$11-SQRT((1-AZ622)*($AN$11-$AL$11)*($AN$11-$AM$11))),$AM$11)</f>
        <v/>
      </c>
      <c r="AR622">
        <f>SUMPRODUCT((B24:B31&lt;=$B$6)*(C24:C31*AM622+D24:D31*AO622*$B$8*AQ622)/(1+AL622/100)^B24:B31)+C32*AM622*AP622/(1+AL622/100)^$B$6</f>
        <v/>
      </c>
      <c r="AS622">
        <f>SUMPRODUCT((K24:K26&lt;=$B$6)*(L24:L26*AN622+M24:M26*AO622*$B$8*AQ622)/(1+AL622/100)^K24:K26)+L27*AN622*AP622/(1+AL622/100)^$B$6</f>
        <v/>
      </c>
      <c r="AT622">
        <f>AS622-AR622</f>
        <v/>
      </c>
      <c r="AU622">
        <f>RAND()</f>
        <v/>
      </c>
      <c r="AV622">
        <f>RAND()</f>
        <v/>
      </c>
      <c r="AW622">
        <f>RAND()</f>
        <v/>
      </c>
      <c r="AX622">
        <f>RAND()</f>
        <v/>
      </c>
      <c r="AY622">
        <f>RAND()</f>
        <v/>
      </c>
      <c r="AZ622">
        <f>RAND()</f>
        <v/>
      </c>
    </row>
    <row r="623">
      <c r="AK623" t="n">
        <v>610</v>
      </c>
      <c r="AL623">
        <f>IFERROR(IF(AU623&lt;($AM$6-$AL$6)/($AN$6-$AL$6),$AL$6+SQRT(AU623*($AN$6-$AL$6)*($AM$6-$AL$6)),$AN$6-SQRT((1-AU623)*($AN$6-$AL$6)*($AN$6-$AM$6))),$AM$6)</f>
        <v/>
      </c>
      <c r="AM623">
        <f>IFERROR(IF(AV623&lt;($AM$7-$AL$7)/($AN$7-$AL$7),$AL$7+SQRT(AV623*($AN$7-$AL$7)*($AM$7-$AL$7)),$AN$7-SQRT((1-AV623)*($AN$7-$AL$7)*($AN$7-$AM$7))),$AM$7)</f>
        <v/>
      </c>
      <c r="AN623">
        <f>IFERROR(IF(AW623&lt;($AM$8-$AL$8)/($AN$8-$AL$8),$AL$8+SQRT(AW623*($AN$8-$AL$8)*($AM$8-$AL$8)),$AN$8-SQRT((1-AW623)*($AN$8-$AL$8)*($AN$8-$AM$8))),$AM$8)</f>
        <v/>
      </c>
      <c r="AO623">
        <f>IFERROR(IF(AX623&lt;($AM$9-$AL$9)/($AN$9-$AL$9),$AL$9+SQRT(AX623*($AN$9-$AL$9)*($AM$9-$AL$9)),$AN$9-SQRT((1-AX623)*($AN$9-$AL$9)*($AN$9-$AM$9))),$AM$9)</f>
        <v/>
      </c>
      <c r="AP623">
        <f>IFERROR(IF(AY623&lt;($AM$10-$AL$10)/($AN$10-$AL$10),$AL$10+SQRT(AY623*($AN$10-$AL$10)*($AM$10-$AL$10)),$AN$10-SQRT((1-AY623)*($AN$10-$AL$10)*($AN$10-$AM$10))),$AM$10)</f>
        <v/>
      </c>
      <c r="AQ623">
        <f>IFERROR(IF(AZ623&lt;($AM$11-$AL$11)/($AN$11-$AL$11),$AL$11+SQRT(AZ623*($AN$11-$AL$11)*($AM$11-$AL$11)),$AN$11-SQRT((1-AZ623)*($AN$11-$AL$11)*($AN$11-$AM$11))),$AM$11)</f>
        <v/>
      </c>
      <c r="AR623">
        <f>SUMPRODUCT((B24:B31&lt;=$B$6)*(C24:C31*AM623+D24:D31*AO623*$B$8*AQ623)/(1+AL623/100)^B24:B31)+C32*AM623*AP623/(1+AL623/100)^$B$6</f>
        <v/>
      </c>
      <c r="AS623">
        <f>SUMPRODUCT((K24:K26&lt;=$B$6)*(L24:L26*AN623+M24:M26*AO623*$B$8*AQ623)/(1+AL623/100)^K24:K26)+L27*AN623*AP623/(1+AL623/100)^$B$6</f>
        <v/>
      </c>
      <c r="AT623">
        <f>AS623-AR623</f>
        <v/>
      </c>
      <c r="AU623">
        <f>RAND()</f>
        <v/>
      </c>
      <c r="AV623">
        <f>RAND()</f>
        <v/>
      </c>
      <c r="AW623">
        <f>RAND()</f>
        <v/>
      </c>
      <c r="AX623">
        <f>RAND()</f>
        <v/>
      </c>
      <c r="AY623">
        <f>RAND()</f>
        <v/>
      </c>
      <c r="AZ623">
        <f>RAND()</f>
        <v/>
      </c>
    </row>
    <row r="624">
      <c r="AK624" t="n">
        <v>611</v>
      </c>
      <c r="AL624">
        <f>IFERROR(IF(AU624&lt;($AM$6-$AL$6)/($AN$6-$AL$6),$AL$6+SQRT(AU624*($AN$6-$AL$6)*($AM$6-$AL$6)),$AN$6-SQRT((1-AU624)*($AN$6-$AL$6)*($AN$6-$AM$6))),$AM$6)</f>
        <v/>
      </c>
      <c r="AM624">
        <f>IFERROR(IF(AV624&lt;($AM$7-$AL$7)/($AN$7-$AL$7),$AL$7+SQRT(AV624*($AN$7-$AL$7)*($AM$7-$AL$7)),$AN$7-SQRT((1-AV624)*($AN$7-$AL$7)*($AN$7-$AM$7))),$AM$7)</f>
        <v/>
      </c>
      <c r="AN624">
        <f>IFERROR(IF(AW624&lt;($AM$8-$AL$8)/($AN$8-$AL$8),$AL$8+SQRT(AW624*($AN$8-$AL$8)*($AM$8-$AL$8)),$AN$8-SQRT((1-AW624)*($AN$8-$AL$8)*($AN$8-$AM$8))),$AM$8)</f>
        <v/>
      </c>
      <c r="AO624">
        <f>IFERROR(IF(AX624&lt;($AM$9-$AL$9)/($AN$9-$AL$9),$AL$9+SQRT(AX624*($AN$9-$AL$9)*($AM$9-$AL$9)),$AN$9-SQRT((1-AX624)*($AN$9-$AL$9)*($AN$9-$AM$9))),$AM$9)</f>
        <v/>
      </c>
      <c r="AP624">
        <f>IFERROR(IF(AY624&lt;($AM$10-$AL$10)/($AN$10-$AL$10),$AL$10+SQRT(AY624*($AN$10-$AL$10)*($AM$10-$AL$10)),$AN$10-SQRT((1-AY624)*($AN$10-$AL$10)*($AN$10-$AM$10))),$AM$10)</f>
        <v/>
      </c>
      <c r="AQ624">
        <f>IFERROR(IF(AZ624&lt;($AM$11-$AL$11)/($AN$11-$AL$11),$AL$11+SQRT(AZ624*($AN$11-$AL$11)*($AM$11-$AL$11)),$AN$11-SQRT((1-AZ624)*($AN$11-$AL$11)*($AN$11-$AM$11))),$AM$11)</f>
        <v/>
      </c>
      <c r="AR624">
        <f>SUMPRODUCT((B24:B31&lt;=$B$6)*(C24:C31*AM624+D24:D31*AO624*$B$8*AQ624)/(1+AL624/100)^B24:B31)+C32*AM624*AP624/(1+AL624/100)^$B$6</f>
        <v/>
      </c>
      <c r="AS624">
        <f>SUMPRODUCT((K24:K26&lt;=$B$6)*(L24:L26*AN624+M24:M26*AO624*$B$8*AQ624)/(1+AL624/100)^K24:K26)+L27*AN624*AP624/(1+AL624/100)^$B$6</f>
        <v/>
      </c>
      <c r="AT624">
        <f>AS624-AR624</f>
        <v/>
      </c>
      <c r="AU624">
        <f>RAND()</f>
        <v/>
      </c>
      <c r="AV624">
        <f>RAND()</f>
        <v/>
      </c>
      <c r="AW624">
        <f>RAND()</f>
        <v/>
      </c>
      <c r="AX624">
        <f>RAND()</f>
        <v/>
      </c>
      <c r="AY624">
        <f>RAND()</f>
        <v/>
      </c>
      <c r="AZ624">
        <f>RAND()</f>
        <v/>
      </c>
    </row>
    <row r="625">
      <c r="AK625" t="n">
        <v>612</v>
      </c>
      <c r="AL625">
        <f>IFERROR(IF(AU625&lt;($AM$6-$AL$6)/($AN$6-$AL$6),$AL$6+SQRT(AU625*($AN$6-$AL$6)*($AM$6-$AL$6)),$AN$6-SQRT((1-AU625)*($AN$6-$AL$6)*($AN$6-$AM$6))),$AM$6)</f>
        <v/>
      </c>
      <c r="AM625">
        <f>IFERROR(IF(AV625&lt;($AM$7-$AL$7)/($AN$7-$AL$7),$AL$7+SQRT(AV625*($AN$7-$AL$7)*($AM$7-$AL$7)),$AN$7-SQRT((1-AV625)*($AN$7-$AL$7)*($AN$7-$AM$7))),$AM$7)</f>
        <v/>
      </c>
      <c r="AN625">
        <f>IFERROR(IF(AW625&lt;($AM$8-$AL$8)/($AN$8-$AL$8),$AL$8+SQRT(AW625*($AN$8-$AL$8)*($AM$8-$AL$8)),$AN$8-SQRT((1-AW625)*($AN$8-$AL$8)*($AN$8-$AM$8))),$AM$8)</f>
        <v/>
      </c>
      <c r="AO625">
        <f>IFERROR(IF(AX625&lt;($AM$9-$AL$9)/($AN$9-$AL$9),$AL$9+SQRT(AX625*($AN$9-$AL$9)*($AM$9-$AL$9)),$AN$9-SQRT((1-AX625)*($AN$9-$AL$9)*($AN$9-$AM$9))),$AM$9)</f>
        <v/>
      </c>
      <c r="AP625">
        <f>IFERROR(IF(AY625&lt;($AM$10-$AL$10)/($AN$10-$AL$10),$AL$10+SQRT(AY625*($AN$10-$AL$10)*($AM$10-$AL$10)),$AN$10-SQRT((1-AY625)*($AN$10-$AL$10)*($AN$10-$AM$10))),$AM$10)</f>
        <v/>
      </c>
      <c r="AQ625">
        <f>IFERROR(IF(AZ625&lt;($AM$11-$AL$11)/($AN$11-$AL$11),$AL$11+SQRT(AZ625*($AN$11-$AL$11)*($AM$11-$AL$11)),$AN$11-SQRT((1-AZ625)*($AN$11-$AL$11)*($AN$11-$AM$11))),$AM$11)</f>
        <v/>
      </c>
      <c r="AR625">
        <f>SUMPRODUCT((B24:B31&lt;=$B$6)*(C24:C31*AM625+D24:D31*AO625*$B$8*AQ625)/(1+AL625/100)^B24:B31)+C32*AM625*AP625/(1+AL625/100)^$B$6</f>
        <v/>
      </c>
      <c r="AS625">
        <f>SUMPRODUCT((K24:K26&lt;=$B$6)*(L24:L26*AN625+M24:M26*AO625*$B$8*AQ625)/(1+AL625/100)^K24:K26)+L27*AN625*AP625/(1+AL625/100)^$B$6</f>
        <v/>
      </c>
      <c r="AT625">
        <f>AS625-AR625</f>
        <v/>
      </c>
      <c r="AU625">
        <f>RAND()</f>
        <v/>
      </c>
      <c r="AV625">
        <f>RAND()</f>
        <v/>
      </c>
      <c r="AW625">
        <f>RAND()</f>
        <v/>
      </c>
      <c r="AX625">
        <f>RAND()</f>
        <v/>
      </c>
      <c r="AY625">
        <f>RAND()</f>
        <v/>
      </c>
      <c r="AZ625">
        <f>RAND()</f>
        <v/>
      </c>
    </row>
    <row r="626">
      <c r="AK626" t="n">
        <v>613</v>
      </c>
      <c r="AL626">
        <f>IFERROR(IF(AU626&lt;($AM$6-$AL$6)/($AN$6-$AL$6),$AL$6+SQRT(AU626*($AN$6-$AL$6)*($AM$6-$AL$6)),$AN$6-SQRT((1-AU626)*($AN$6-$AL$6)*($AN$6-$AM$6))),$AM$6)</f>
        <v/>
      </c>
      <c r="AM626">
        <f>IFERROR(IF(AV626&lt;($AM$7-$AL$7)/($AN$7-$AL$7),$AL$7+SQRT(AV626*($AN$7-$AL$7)*($AM$7-$AL$7)),$AN$7-SQRT((1-AV626)*($AN$7-$AL$7)*($AN$7-$AM$7))),$AM$7)</f>
        <v/>
      </c>
      <c r="AN626">
        <f>IFERROR(IF(AW626&lt;($AM$8-$AL$8)/($AN$8-$AL$8),$AL$8+SQRT(AW626*($AN$8-$AL$8)*($AM$8-$AL$8)),$AN$8-SQRT((1-AW626)*($AN$8-$AL$8)*($AN$8-$AM$8))),$AM$8)</f>
        <v/>
      </c>
      <c r="AO626">
        <f>IFERROR(IF(AX626&lt;($AM$9-$AL$9)/($AN$9-$AL$9),$AL$9+SQRT(AX626*($AN$9-$AL$9)*($AM$9-$AL$9)),$AN$9-SQRT((1-AX626)*($AN$9-$AL$9)*($AN$9-$AM$9))),$AM$9)</f>
        <v/>
      </c>
      <c r="AP626">
        <f>IFERROR(IF(AY626&lt;($AM$10-$AL$10)/($AN$10-$AL$10),$AL$10+SQRT(AY626*($AN$10-$AL$10)*($AM$10-$AL$10)),$AN$10-SQRT((1-AY626)*($AN$10-$AL$10)*($AN$10-$AM$10))),$AM$10)</f>
        <v/>
      </c>
      <c r="AQ626">
        <f>IFERROR(IF(AZ626&lt;($AM$11-$AL$11)/($AN$11-$AL$11),$AL$11+SQRT(AZ626*($AN$11-$AL$11)*($AM$11-$AL$11)),$AN$11-SQRT((1-AZ626)*($AN$11-$AL$11)*($AN$11-$AM$11))),$AM$11)</f>
        <v/>
      </c>
      <c r="AR626">
        <f>SUMPRODUCT((B24:B31&lt;=$B$6)*(C24:C31*AM626+D24:D31*AO626*$B$8*AQ626)/(1+AL626/100)^B24:B31)+C32*AM626*AP626/(1+AL626/100)^$B$6</f>
        <v/>
      </c>
      <c r="AS626">
        <f>SUMPRODUCT((K24:K26&lt;=$B$6)*(L24:L26*AN626+M24:M26*AO626*$B$8*AQ626)/(1+AL626/100)^K24:K26)+L27*AN626*AP626/(1+AL626/100)^$B$6</f>
        <v/>
      </c>
      <c r="AT626">
        <f>AS626-AR626</f>
        <v/>
      </c>
      <c r="AU626">
        <f>RAND()</f>
        <v/>
      </c>
      <c r="AV626">
        <f>RAND()</f>
        <v/>
      </c>
      <c r="AW626">
        <f>RAND()</f>
        <v/>
      </c>
      <c r="AX626">
        <f>RAND()</f>
        <v/>
      </c>
      <c r="AY626">
        <f>RAND()</f>
        <v/>
      </c>
      <c r="AZ626">
        <f>RAND()</f>
        <v/>
      </c>
    </row>
    <row r="627">
      <c r="AK627" t="n">
        <v>614</v>
      </c>
      <c r="AL627">
        <f>IFERROR(IF(AU627&lt;($AM$6-$AL$6)/($AN$6-$AL$6),$AL$6+SQRT(AU627*($AN$6-$AL$6)*($AM$6-$AL$6)),$AN$6-SQRT((1-AU627)*($AN$6-$AL$6)*($AN$6-$AM$6))),$AM$6)</f>
        <v/>
      </c>
      <c r="AM627">
        <f>IFERROR(IF(AV627&lt;($AM$7-$AL$7)/($AN$7-$AL$7),$AL$7+SQRT(AV627*($AN$7-$AL$7)*($AM$7-$AL$7)),$AN$7-SQRT((1-AV627)*($AN$7-$AL$7)*($AN$7-$AM$7))),$AM$7)</f>
        <v/>
      </c>
      <c r="AN627">
        <f>IFERROR(IF(AW627&lt;($AM$8-$AL$8)/($AN$8-$AL$8),$AL$8+SQRT(AW627*($AN$8-$AL$8)*($AM$8-$AL$8)),$AN$8-SQRT((1-AW627)*($AN$8-$AL$8)*($AN$8-$AM$8))),$AM$8)</f>
        <v/>
      </c>
      <c r="AO627">
        <f>IFERROR(IF(AX627&lt;($AM$9-$AL$9)/($AN$9-$AL$9),$AL$9+SQRT(AX627*($AN$9-$AL$9)*($AM$9-$AL$9)),$AN$9-SQRT((1-AX627)*($AN$9-$AL$9)*($AN$9-$AM$9))),$AM$9)</f>
        <v/>
      </c>
      <c r="AP627">
        <f>IFERROR(IF(AY627&lt;($AM$10-$AL$10)/($AN$10-$AL$10),$AL$10+SQRT(AY627*($AN$10-$AL$10)*($AM$10-$AL$10)),$AN$10-SQRT((1-AY627)*($AN$10-$AL$10)*($AN$10-$AM$10))),$AM$10)</f>
        <v/>
      </c>
      <c r="AQ627">
        <f>IFERROR(IF(AZ627&lt;($AM$11-$AL$11)/($AN$11-$AL$11),$AL$11+SQRT(AZ627*($AN$11-$AL$11)*($AM$11-$AL$11)),$AN$11-SQRT((1-AZ627)*($AN$11-$AL$11)*($AN$11-$AM$11))),$AM$11)</f>
        <v/>
      </c>
      <c r="AR627">
        <f>SUMPRODUCT((B24:B31&lt;=$B$6)*(C24:C31*AM627+D24:D31*AO627*$B$8*AQ627)/(1+AL627/100)^B24:B31)+C32*AM627*AP627/(1+AL627/100)^$B$6</f>
        <v/>
      </c>
      <c r="AS627">
        <f>SUMPRODUCT((K24:K26&lt;=$B$6)*(L24:L26*AN627+M24:M26*AO627*$B$8*AQ627)/(1+AL627/100)^K24:K26)+L27*AN627*AP627/(1+AL627/100)^$B$6</f>
        <v/>
      </c>
      <c r="AT627">
        <f>AS627-AR627</f>
        <v/>
      </c>
      <c r="AU627">
        <f>RAND()</f>
        <v/>
      </c>
      <c r="AV627">
        <f>RAND()</f>
        <v/>
      </c>
      <c r="AW627">
        <f>RAND()</f>
        <v/>
      </c>
      <c r="AX627">
        <f>RAND()</f>
        <v/>
      </c>
      <c r="AY627">
        <f>RAND()</f>
        <v/>
      </c>
      <c r="AZ627">
        <f>RAND()</f>
        <v/>
      </c>
    </row>
    <row r="628">
      <c r="AK628" t="n">
        <v>615</v>
      </c>
      <c r="AL628">
        <f>IFERROR(IF(AU628&lt;($AM$6-$AL$6)/($AN$6-$AL$6),$AL$6+SQRT(AU628*($AN$6-$AL$6)*($AM$6-$AL$6)),$AN$6-SQRT((1-AU628)*($AN$6-$AL$6)*($AN$6-$AM$6))),$AM$6)</f>
        <v/>
      </c>
      <c r="AM628">
        <f>IFERROR(IF(AV628&lt;($AM$7-$AL$7)/($AN$7-$AL$7),$AL$7+SQRT(AV628*($AN$7-$AL$7)*($AM$7-$AL$7)),$AN$7-SQRT((1-AV628)*($AN$7-$AL$7)*($AN$7-$AM$7))),$AM$7)</f>
        <v/>
      </c>
      <c r="AN628">
        <f>IFERROR(IF(AW628&lt;($AM$8-$AL$8)/($AN$8-$AL$8),$AL$8+SQRT(AW628*($AN$8-$AL$8)*($AM$8-$AL$8)),$AN$8-SQRT((1-AW628)*($AN$8-$AL$8)*($AN$8-$AM$8))),$AM$8)</f>
        <v/>
      </c>
      <c r="AO628">
        <f>IFERROR(IF(AX628&lt;($AM$9-$AL$9)/($AN$9-$AL$9),$AL$9+SQRT(AX628*($AN$9-$AL$9)*($AM$9-$AL$9)),$AN$9-SQRT((1-AX628)*($AN$9-$AL$9)*($AN$9-$AM$9))),$AM$9)</f>
        <v/>
      </c>
      <c r="AP628">
        <f>IFERROR(IF(AY628&lt;($AM$10-$AL$10)/($AN$10-$AL$10),$AL$10+SQRT(AY628*($AN$10-$AL$10)*($AM$10-$AL$10)),$AN$10-SQRT((1-AY628)*($AN$10-$AL$10)*($AN$10-$AM$10))),$AM$10)</f>
        <v/>
      </c>
      <c r="AQ628">
        <f>IFERROR(IF(AZ628&lt;($AM$11-$AL$11)/($AN$11-$AL$11),$AL$11+SQRT(AZ628*($AN$11-$AL$11)*($AM$11-$AL$11)),$AN$11-SQRT((1-AZ628)*($AN$11-$AL$11)*($AN$11-$AM$11))),$AM$11)</f>
        <v/>
      </c>
      <c r="AR628">
        <f>SUMPRODUCT((B24:B31&lt;=$B$6)*(C24:C31*AM628+D24:D31*AO628*$B$8*AQ628)/(1+AL628/100)^B24:B31)+C32*AM628*AP628/(1+AL628/100)^$B$6</f>
        <v/>
      </c>
      <c r="AS628">
        <f>SUMPRODUCT((K24:K26&lt;=$B$6)*(L24:L26*AN628+M24:M26*AO628*$B$8*AQ628)/(1+AL628/100)^K24:K26)+L27*AN628*AP628/(1+AL628/100)^$B$6</f>
        <v/>
      </c>
      <c r="AT628">
        <f>AS628-AR628</f>
        <v/>
      </c>
      <c r="AU628">
        <f>RAND()</f>
        <v/>
      </c>
      <c r="AV628">
        <f>RAND()</f>
        <v/>
      </c>
      <c r="AW628">
        <f>RAND()</f>
        <v/>
      </c>
      <c r="AX628">
        <f>RAND()</f>
        <v/>
      </c>
      <c r="AY628">
        <f>RAND()</f>
        <v/>
      </c>
      <c r="AZ628">
        <f>RAND()</f>
        <v/>
      </c>
    </row>
    <row r="629">
      <c r="AK629" t="n">
        <v>616</v>
      </c>
      <c r="AL629">
        <f>IFERROR(IF(AU629&lt;($AM$6-$AL$6)/($AN$6-$AL$6),$AL$6+SQRT(AU629*($AN$6-$AL$6)*($AM$6-$AL$6)),$AN$6-SQRT((1-AU629)*($AN$6-$AL$6)*($AN$6-$AM$6))),$AM$6)</f>
        <v/>
      </c>
      <c r="AM629">
        <f>IFERROR(IF(AV629&lt;($AM$7-$AL$7)/($AN$7-$AL$7),$AL$7+SQRT(AV629*($AN$7-$AL$7)*($AM$7-$AL$7)),$AN$7-SQRT((1-AV629)*($AN$7-$AL$7)*($AN$7-$AM$7))),$AM$7)</f>
        <v/>
      </c>
      <c r="AN629">
        <f>IFERROR(IF(AW629&lt;($AM$8-$AL$8)/($AN$8-$AL$8),$AL$8+SQRT(AW629*($AN$8-$AL$8)*($AM$8-$AL$8)),$AN$8-SQRT((1-AW629)*($AN$8-$AL$8)*($AN$8-$AM$8))),$AM$8)</f>
        <v/>
      </c>
      <c r="AO629">
        <f>IFERROR(IF(AX629&lt;($AM$9-$AL$9)/($AN$9-$AL$9),$AL$9+SQRT(AX629*($AN$9-$AL$9)*($AM$9-$AL$9)),$AN$9-SQRT((1-AX629)*($AN$9-$AL$9)*($AN$9-$AM$9))),$AM$9)</f>
        <v/>
      </c>
      <c r="AP629">
        <f>IFERROR(IF(AY629&lt;($AM$10-$AL$10)/($AN$10-$AL$10),$AL$10+SQRT(AY629*($AN$10-$AL$10)*($AM$10-$AL$10)),$AN$10-SQRT((1-AY629)*($AN$10-$AL$10)*($AN$10-$AM$10))),$AM$10)</f>
        <v/>
      </c>
      <c r="AQ629">
        <f>IFERROR(IF(AZ629&lt;($AM$11-$AL$11)/($AN$11-$AL$11),$AL$11+SQRT(AZ629*($AN$11-$AL$11)*($AM$11-$AL$11)),$AN$11-SQRT((1-AZ629)*($AN$11-$AL$11)*($AN$11-$AM$11))),$AM$11)</f>
        <v/>
      </c>
      <c r="AR629">
        <f>SUMPRODUCT((B24:B31&lt;=$B$6)*(C24:C31*AM629+D24:D31*AO629*$B$8*AQ629)/(1+AL629/100)^B24:B31)+C32*AM629*AP629/(1+AL629/100)^$B$6</f>
        <v/>
      </c>
      <c r="AS629">
        <f>SUMPRODUCT((K24:K26&lt;=$B$6)*(L24:L26*AN629+M24:M26*AO629*$B$8*AQ629)/(1+AL629/100)^K24:K26)+L27*AN629*AP629/(1+AL629/100)^$B$6</f>
        <v/>
      </c>
      <c r="AT629">
        <f>AS629-AR629</f>
        <v/>
      </c>
      <c r="AU629">
        <f>RAND()</f>
        <v/>
      </c>
      <c r="AV629">
        <f>RAND()</f>
        <v/>
      </c>
      <c r="AW629">
        <f>RAND()</f>
        <v/>
      </c>
      <c r="AX629">
        <f>RAND()</f>
        <v/>
      </c>
      <c r="AY629">
        <f>RAND()</f>
        <v/>
      </c>
      <c r="AZ629">
        <f>RAND()</f>
        <v/>
      </c>
    </row>
    <row r="630">
      <c r="AK630" t="n">
        <v>617</v>
      </c>
      <c r="AL630">
        <f>IFERROR(IF(AU630&lt;($AM$6-$AL$6)/($AN$6-$AL$6),$AL$6+SQRT(AU630*($AN$6-$AL$6)*($AM$6-$AL$6)),$AN$6-SQRT((1-AU630)*($AN$6-$AL$6)*($AN$6-$AM$6))),$AM$6)</f>
        <v/>
      </c>
      <c r="AM630">
        <f>IFERROR(IF(AV630&lt;($AM$7-$AL$7)/($AN$7-$AL$7),$AL$7+SQRT(AV630*($AN$7-$AL$7)*($AM$7-$AL$7)),$AN$7-SQRT((1-AV630)*($AN$7-$AL$7)*($AN$7-$AM$7))),$AM$7)</f>
        <v/>
      </c>
      <c r="AN630">
        <f>IFERROR(IF(AW630&lt;($AM$8-$AL$8)/($AN$8-$AL$8),$AL$8+SQRT(AW630*($AN$8-$AL$8)*($AM$8-$AL$8)),$AN$8-SQRT((1-AW630)*($AN$8-$AL$8)*($AN$8-$AM$8))),$AM$8)</f>
        <v/>
      </c>
      <c r="AO630">
        <f>IFERROR(IF(AX630&lt;($AM$9-$AL$9)/($AN$9-$AL$9),$AL$9+SQRT(AX630*($AN$9-$AL$9)*($AM$9-$AL$9)),$AN$9-SQRT((1-AX630)*($AN$9-$AL$9)*($AN$9-$AM$9))),$AM$9)</f>
        <v/>
      </c>
      <c r="AP630">
        <f>IFERROR(IF(AY630&lt;($AM$10-$AL$10)/($AN$10-$AL$10),$AL$10+SQRT(AY630*($AN$10-$AL$10)*($AM$10-$AL$10)),$AN$10-SQRT((1-AY630)*($AN$10-$AL$10)*($AN$10-$AM$10))),$AM$10)</f>
        <v/>
      </c>
      <c r="AQ630">
        <f>IFERROR(IF(AZ630&lt;($AM$11-$AL$11)/($AN$11-$AL$11),$AL$11+SQRT(AZ630*($AN$11-$AL$11)*($AM$11-$AL$11)),$AN$11-SQRT((1-AZ630)*($AN$11-$AL$11)*($AN$11-$AM$11))),$AM$11)</f>
        <v/>
      </c>
      <c r="AR630">
        <f>SUMPRODUCT((B24:B31&lt;=$B$6)*(C24:C31*AM630+D24:D31*AO630*$B$8*AQ630)/(1+AL630/100)^B24:B31)+C32*AM630*AP630/(1+AL630/100)^$B$6</f>
        <v/>
      </c>
      <c r="AS630">
        <f>SUMPRODUCT((K24:K26&lt;=$B$6)*(L24:L26*AN630+M24:M26*AO630*$B$8*AQ630)/(1+AL630/100)^K24:K26)+L27*AN630*AP630/(1+AL630/100)^$B$6</f>
        <v/>
      </c>
      <c r="AT630">
        <f>AS630-AR630</f>
        <v/>
      </c>
      <c r="AU630">
        <f>RAND()</f>
        <v/>
      </c>
      <c r="AV630">
        <f>RAND()</f>
        <v/>
      </c>
      <c r="AW630">
        <f>RAND()</f>
        <v/>
      </c>
      <c r="AX630">
        <f>RAND()</f>
        <v/>
      </c>
      <c r="AY630">
        <f>RAND()</f>
        <v/>
      </c>
      <c r="AZ630">
        <f>RAND()</f>
        <v/>
      </c>
    </row>
    <row r="631">
      <c r="AK631" t="n">
        <v>618</v>
      </c>
      <c r="AL631">
        <f>IFERROR(IF(AU631&lt;($AM$6-$AL$6)/($AN$6-$AL$6),$AL$6+SQRT(AU631*($AN$6-$AL$6)*($AM$6-$AL$6)),$AN$6-SQRT((1-AU631)*($AN$6-$AL$6)*($AN$6-$AM$6))),$AM$6)</f>
        <v/>
      </c>
      <c r="AM631">
        <f>IFERROR(IF(AV631&lt;($AM$7-$AL$7)/($AN$7-$AL$7),$AL$7+SQRT(AV631*($AN$7-$AL$7)*($AM$7-$AL$7)),$AN$7-SQRT((1-AV631)*($AN$7-$AL$7)*($AN$7-$AM$7))),$AM$7)</f>
        <v/>
      </c>
      <c r="AN631">
        <f>IFERROR(IF(AW631&lt;($AM$8-$AL$8)/($AN$8-$AL$8),$AL$8+SQRT(AW631*($AN$8-$AL$8)*($AM$8-$AL$8)),$AN$8-SQRT((1-AW631)*($AN$8-$AL$8)*($AN$8-$AM$8))),$AM$8)</f>
        <v/>
      </c>
      <c r="AO631">
        <f>IFERROR(IF(AX631&lt;($AM$9-$AL$9)/($AN$9-$AL$9),$AL$9+SQRT(AX631*($AN$9-$AL$9)*($AM$9-$AL$9)),$AN$9-SQRT((1-AX631)*($AN$9-$AL$9)*($AN$9-$AM$9))),$AM$9)</f>
        <v/>
      </c>
      <c r="AP631">
        <f>IFERROR(IF(AY631&lt;($AM$10-$AL$10)/($AN$10-$AL$10),$AL$10+SQRT(AY631*($AN$10-$AL$10)*($AM$10-$AL$10)),$AN$10-SQRT((1-AY631)*($AN$10-$AL$10)*($AN$10-$AM$10))),$AM$10)</f>
        <v/>
      </c>
      <c r="AQ631">
        <f>IFERROR(IF(AZ631&lt;($AM$11-$AL$11)/($AN$11-$AL$11),$AL$11+SQRT(AZ631*($AN$11-$AL$11)*($AM$11-$AL$11)),$AN$11-SQRT((1-AZ631)*($AN$11-$AL$11)*($AN$11-$AM$11))),$AM$11)</f>
        <v/>
      </c>
      <c r="AR631">
        <f>SUMPRODUCT((B24:B31&lt;=$B$6)*(C24:C31*AM631+D24:D31*AO631*$B$8*AQ631)/(1+AL631/100)^B24:B31)+C32*AM631*AP631/(1+AL631/100)^$B$6</f>
        <v/>
      </c>
      <c r="AS631">
        <f>SUMPRODUCT((K24:K26&lt;=$B$6)*(L24:L26*AN631+M24:M26*AO631*$B$8*AQ631)/(1+AL631/100)^K24:K26)+L27*AN631*AP631/(1+AL631/100)^$B$6</f>
        <v/>
      </c>
      <c r="AT631">
        <f>AS631-AR631</f>
        <v/>
      </c>
      <c r="AU631">
        <f>RAND()</f>
        <v/>
      </c>
      <c r="AV631">
        <f>RAND()</f>
        <v/>
      </c>
      <c r="AW631">
        <f>RAND()</f>
        <v/>
      </c>
      <c r="AX631">
        <f>RAND()</f>
        <v/>
      </c>
      <c r="AY631">
        <f>RAND()</f>
        <v/>
      </c>
      <c r="AZ631">
        <f>RAND()</f>
        <v/>
      </c>
    </row>
    <row r="632">
      <c r="AK632" t="n">
        <v>619</v>
      </c>
      <c r="AL632">
        <f>IFERROR(IF(AU632&lt;($AM$6-$AL$6)/($AN$6-$AL$6),$AL$6+SQRT(AU632*($AN$6-$AL$6)*($AM$6-$AL$6)),$AN$6-SQRT((1-AU632)*($AN$6-$AL$6)*($AN$6-$AM$6))),$AM$6)</f>
        <v/>
      </c>
      <c r="AM632">
        <f>IFERROR(IF(AV632&lt;($AM$7-$AL$7)/($AN$7-$AL$7),$AL$7+SQRT(AV632*($AN$7-$AL$7)*($AM$7-$AL$7)),$AN$7-SQRT((1-AV632)*($AN$7-$AL$7)*($AN$7-$AM$7))),$AM$7)</f>
        <v/>
      </c>
      <c r="AN632">
        <f>IFERROR(IF(AW632&lt;($AM$8-$AL$8)/($AN$8-$AL$8),$AL$8+SQRT(AW632*($AN$8-$AL$8)*($AM$8-$AL$8)),$AN$8-SQRT((1-AW632)*($AN$8-$AL$8)*($AN$8-$AM$8))),$AM$8)</f>
        <v/>
      </c>
      <c r="AO632">
        <f>IFERROR(IF(AX632&lt;($AM$9-$AL$9)/($AN$9-$AL$9),$AL$9+SQRT(AX632*($AN$9-$AL$9)*($AM$9-$AL$9)),$AN$9-SQRT((1-AX632)*($AN$9-$AL$9)*($AN$9-$AM$9))),$AM$9)</f>
        <v/>
      </c>
      <c r="AP632">
        <f>IFERROR(IF(AY632&lt;($AM$10-$AL$10)/($AN$10-$AL$10),$AL$10+SQRT(AY632*($AN$10-$AL$10)*($AM$10-$AL$10)),$AN$10-SQRT((1-AY632)*($AN$10-$AL$10)*($AN$10-$AM$10))),$AM$10)</f>
        <v/>
      </c>
      <c r="AQ632">
        <f>IFERROR(IF(AZ632&lt;($AM$11-$AL$11)/($AN$11-$AL$11),$AL$11+SQRT(AZ632*($AN$11-$AL$11)*($AM$11-$AL$11)),$AN$11-SQRT((1-AZ632)*($AN$11-$AL$11)*($AN$11-$AM$11))),$AM$11)</f>
        <v/>
      </c>
      <c r="AR632">
        <f>SUMPRODUCT((B24:B31&lt;=$B$6)*(C24:C31*AM632+D24:D31*AO632*$B$8*AQ632)/(1+AL632/100)^B24:B31)+C32*AM632*AP632/(1+AL632/100)^$B$6</f>
        <v/>
      </c>
      <c r="AS632">
        <f>SUMPRODUCT((K24:K26&lt;=$B$6)*(L24:L26*AN632+M24:M26*AO632*$B$8*AQ632)/(1+AL632/100)^K24:K26)+L27*AN632*AP632/(1+AL632/100)^$B$6</f>
        <v/>
      </c>
      <c r="AT632">
        <f>AS632-AR632</f>
        <v/>
      </c>
      <c r="AU632">
        <f>RAND()</f>
        <v/>
      </c>
      <c r="AV632">
        <f>RAND()</f>
        <v/>
      </c>
      <c r="AW632">
        <f>RAND()</f>
        <v/>
      </c>
      <c r="AX632">
        <f>RAND()</f>
        <v/>
      </c>
      <c r="AY632">
        <f>RAND()</f>
        <v/>
      </c>
      <c r="AZ632">
        <f>RAND()</f>
        <v/>
      </c>
    </row>
    <row r="633">
      <c r="AK633" t="n">
        <v>620</v>
      </c>
      <c r="AL633">
        <f>IFERROR(IF(AU633&lt;($AM$6-$AL$6)/($AN$6-$AL$6),$AL$6+SQRT(AU633*($AN$6-$AL$6)*($AM$6-$AL$6)),$AN$6-SQRT((1-AU633)*($AN$6-$AL$6)*($AN$6-$AM$6))),$AM$6)</f>
        <v/>
      </c>
      <c r="AM633">
        <f>IFERROR(IF(AV633&lt;($AM$7-$AL$7)/($AN$7-$AL$7),$AL$7+SQRT(AV633*($AN$7-$AL$7)*($AM$7-$AL$7)),$AN$7-SQRT((1-AV633)*($AN$7-$AL$7)*($AN$7-$AM$7))),$AM$7)</f>
        <v/>
      </c>
      <c r="AN633">
        <f>IFERROR(IF(AW633&lt;($AM$8-$AL$8)/($AN$8-$AL$8),$AL$8+SQRT(AW633*($AN$8-$AL$8)*($AM$8-$AL$8)),$AN$8-SQRT((1-AW633)*($AN$8-$AL$8)*($AN$8-$AM$8))),$AM$8)</f>
        <v/>
      </c>
      <c r="AO633">
        <f>IFERROR(IF(AX633&lt;($AM$9-$AL$9)/($AN$9-$AL$9),$AL$9+SQRT(AX633*($AN$9-$AL$9)*($AM$9-$AL$9)),$AN$9-SQRT((1-AX633)*($AN$9-$AL$9)*($AN$9-$AM$9))),$AM$9)</f>
        <v/>
      </c>
      <c r="AP633">
        <f>IFERROR(IF(AY633&lt;($AM$10-$AL$10)/($AN$10-$AL$10),$AL$10+SQRT(AY633*($AN$10-$AL$10)*($AM$10-$AL$10)),$AN$10-SQRT((1-AY633)*($AN$10-$AL$10)*($AN$10-$AM$10))),$AM$10)</f>
        <v/>
      </c>
      <c r="AQ633">
        <f>IFERROR(IF(AZ633&lt;($AM$11-$AL$11)/($AN$11-$AL$11),$AL$11+SQRT(AZ633*($AN$11-$AL$11)*($AM$11-$AL$11)),$AN$11-SQRT((1-AZ633)*($AN$11-$AL$11)*($AN$11-$AM$11))),$AM$11)</f>
        <v/>
      </c>
      <c r="AR633">
        <f>SUMPRODUCT((B24:B31&lt;=$B$6)*(C24:C31*AM633+D24:D31*AO633*$B$8*AQ633)/(1+AL633/100)^B24:B31)+C32*AM633*AP633/(1+AL633/100)^$B$6</f>
        <v/>
      </c>
      <c r="AS633">
        <f>SUMPRODUCT((K24:K26&lt;=$B$6)*(L24:L26*AN633+M24:M26*AO633*$B$8*AQ633)/(1+AL633/100)^K24:K26)+L27*AN633*AP633/(1+AL633/100)^$B$6</f>
        <v/>
      </c>
      <c r="AT633">
        <f>AS633-AR633</f>
        <v/>
      </c>
      <c r="AU633">
        <f>RAND()</f>
        <v/>
      </c>
      <c r="AV633">
        <f>RAND()</f>
        <v/>
      </c>
      <c r="AW633">
        <f>RAND()</f>
        <v/>
      </c>
      <c r="AX633">
        <f>RAND()</f>
        <v/>
      </c>
      <c r="AY633">
        <f>RAND()</f>
        <v/>
      </c>
      <c r="AZ633">
        <f>RAND()</f>
        <v/>
      </c>
    </row>
    <row r="634">
      <c r="AK634" t="n">
        <v>621</v>
      </c>
      <c r="AL634">
        <f>IFERROR(IF(AU634&lt;($AM$6-$AL$6)/($AN$6-$AL$6),$AL$6+SQRT(AU634*($AN$6-$AL$6)*($AM$6-$AL$6)),$AN$6-SQRT((1-AU634)*($AN$6-$AL$6)*($AN$6-$AM$6))),$AM$6)</f>
        <v/>
      </c>
      <c r="AM634">
        <f>IFERROR(IF(AV634&lt;($AM$7-$AL$7)/($AN$7-$AL$7),$AL$7+SQRT(AV634*($AN$7-$AL$7)*($AM$7-$AL$7)),$AN$7-SQRT((1-AV634)*($AN$7-$AL$7)*($AN$7-$AM$7))),$AM$7)</f>
        <v/>
      </c>
      <c r="AN634">
        <f>IFERROR(IF(AW634&lt;($AM$8-$AL$8)/($AN$8-$AL$8),$AL$8+SQRT(AW634*($AN$8-$AL$8)*($AM$8-$AL$8)),$AN$8-SQRT((1-AW634)*($AN$8-$AL$8)*($AN$8-$AM$8))),$AM$8)</f>
        <v/>
      </c>
      <c r="AO634">
        <f>IFERROR(IF(AX634&lt;($AM$9-$AL$9)/($AN$9-$AL$9),$AL$9+SQRT(AX634*($AN$9-$AL$9)*($AM$9-$AL$9)),$AN$9-SQRT((1-AX634)*($AN$9-$AL$9)*($AN$9-$AM$9))),$AM$9)</f>
        <v/>
      </c>
      <c r="AP634">
        <f>IFERROR(IF(AY634&lt;($AM$10-$AL$10)/($AN$10-$AL$10),$AL$10+SQRT(AY634*($AN$10-$AL$10)*($AM$10-$AL$10)),$AN$10-SQRT((1-AY634)*($AN$10-$AL$10)*($AN$10-$AM$10))),$AM$10)</f>
        <v/>
      </c>
      <c r="AQ634">
        <f>IFERROR(IF(AZ634&lt;($AM$11-$AL$11)/($AN$11-$AL$11),$AL$11+SQRT(AZ634*($AN$11-$AL$11)*($AM$11-$AL$11)),$AN$11-SQRT((1-AZ634)*($AN$11-$AL$11)*($AN$11-$AM$11))),$AM$11)</f>
        <v/>
      </c>
      <c r="AR634">
        <f>SUMPRODUCT((B24:B31&lt;=$B$6)*(C24:C31*AM634+D24:D31*AO634*$B$8*AQ634)/(1+AL634/100)^B24:B31)+C32*AM634*AP634/(1+AL634/100)^$B$6</f>
        <v/>
      </c>
      <c r="AS634">
        <f>SUMPRODUCT((K24:K26&lt;=$B$6)*(L24:L26*AN634+M24:M26*AO634*$B$8*AQ634)/(1+AL634/100)^K24:K26)+L27*AN634*AP634/(1+AL634/100)^$B$6</f>
        <v/>
      </c>
      <c r="AT634">
        <f>AS634-AR634</f>
        <v/>
      </c>
      <c r="AU634">
        <f>RAND()</f>
        <v/>
      </c>
      <c r="AV634">
        <f>RAND()</f>
        <v/>
      </c>
      <c r="AW634">
        <f>RAND()</f>
        <v/>
      </c>
      <c r="AX634">
        <f>RAND()</f>
        <v/>
      </c>
      <c r="AY634">
        <f>RAND()</f>
        <v/>
      </c>
      <c r="AZ634">
        <f>RAND()</f>
        <v/>
      </c>
    </row>
    <row r="635">
      <c r="AK635" t="n">
        <v>622</v>
      </c>
      <c r="AL635">
        <f>IFERROR(IF(AU635&lt;($AM$6-$AL$6)/($AN$6-$AL$6),$AL$6+SQRT(AU635*($AN$6-$AL$6)*($AM$6-$AL$6)),$AN$6-SQRT((1-AU635)*($AN$6-$AL$6)*($AN$6-$AM$6))),$AM$6)</f>
        <v/>
      </c>
      <c r="AM635">
        <f>IFERROR(IF(AV635&lt;($AM$7-$AL$7)/($AN$7-$AL$7),$AL$7+SQRT(AV635*($AN$7-$AL$7)*($AM$7-$AL$7)),$AN$7-SQRT((1-AV635)*($AN$7-$AL$7)*($AN$7-$AM$7))),$AM$7)</f>
        <v/>
      </c>
      <c r="AN635">
        <f>IFERROR(IF(AW635&lt;($AM$8-$AL$8)/($AN$8-$AL$8),$AL$8+SQRT(AW635*($AN$8-$AL$8)*($AM$8-$AL$8)),$AN$8-SQRT((1-AW635)*($AN$8-$AL$8)*($AN$8-$AM$8))),$AM$8)</f>
        <v/>
      </c>
      <c r="AO635">
        <f>IFERROR(IF(AX635&lt;($AM$9-$AL$9)/($AN$9-$AL$9),$AL$9+SQRT(AX635*($AN$9-$AL$9)*($AM$9-$AL$9)),$AN$9-SQRT((1-AX635)*($AN$9-$AL$9)*($AN$9-$AM$9))),$AM$9)</f>
        <v/>
      </c>
      <c r="AP635">
        <f>IFERROR(IF(AY635&lt;($AM$10-$AL$10)/($AN$10-$AL$10),$AL$10+SQRT(AY635*($AN$10-$AL$10)*($AM$10-$AL$10)),$AN$10-SQRT((1-AY635)*($AN$10-$AL$10)*($AN$10-$AM$10))),$AM$10)</f>
        <v/>
      </c>
      <c r="AQ635">
        <f>IFERROR(IF(AZ635&lt;($AM$11-$AL$11)/($AN$11-$AL$11),$AL$11+SQRT(AZ635*($AN$11-$AL$11)*($AM$11-$AL$11)),$AN$11-SQRT((1-AZ635)*($AN$11-$AL$11)*($AN$11-$AM$11))),$AM$11)</f>
        <v/>
      </c>
      <c r="AR635">
        <f>SUMPRODUCT((B24:B31&lt;=$B$6)*(C24:C31*AM635+D24:D31*AO635*$B$8*AQ635)/(1+AL635/100)^B24:B31)+C32*AM635*AP635/(1+AL635/100)^$B$6</f>
        <v/>
      </c>
      <c r="AS635">
        <f>SUMPRODUCT((K24:K26&lt;=$B$6)*(L24:L26*AN635+M24:M26*AO635*$B$8*AQ635)/(1+AL635/100)^K24:K26)+L27*AN635*AP635/(1+AL635/100)^$B$6</f>
        <v/>
      </c>
      <c r="AT635">
        <f>AS635-AR635</f>
        <v/>
      </c>
      <c r="AU635">
        <f>RAND()</f>
        <v/>
      </c>
      <c r="AV635">
        <f>RAND()</f>
        <v/>
      </c>
      <c r="AW635">
        <f>RAND()</f>
        <v/>
      </c>
      <c r="AX635">
        <f>RAND()</f>
        <v/>
      </c>
      <c r="AY635">
        <f>RAND()</f>
        <v/>
      </c>
      <c r="AZ635">
        <f>RAND()</f>
        <v/>
      </c>
    </row>
    <row r="636">
      <c r="AK636" t="n">
        <v>623</v>
      </c>
      <c r="AL636">
        <f>IFERROR(IF(AU636&lt;($AM$6-$AL$6)/($AN$6-$AL$6),$AL$6+SQRT(AU636*($AN$6-$AL$6)*($AM$6-$AL$6)),$AN$6-SQRT((1-AU636)*($AN$6-$AL$6)*($AN$6-$AM$6))),$AM$6)</f>
        <v/>
      </c>
      <c r="AM636">
        <f>IFERROR(IF(AV636&lt;($AM$7-$AL$7)/($AN$7-$AL$7),$AL$7+SQRT(AV636*($AN$7-$AL$7)*($AM$7-$AL$7)),$AN$7-SQRT((1-AV636)*($AN$7-$AL$7)*($AN$7-$AM$7))),$AM$7)</f>
        <v/>
      </c>
      <c r="AN636">
        <f>IFERROR(IF(AW636&lt;($AM$8-$AL$8)/($AN$8-$AL$8),$AL$8+SQRT(AW636*($AN$8-$AL$8)*($AM$8-$AL$8)),$AN$8-SQRT((1-AW636)*($AN$8-$AL$8)*($AN$8-$AM$8))),$AM$8)</f>
        <v/>
      </c>
      <c r="AO636">
        <f>IFERROR(IF(AX636&lt;($AM$9-$AL$9)/($AN$9-$AL$9),$AL$9+SQRT(AX636*($AN$9-$AL$9)*($AM$9-$AL$9)),$AN$9-SQRT((1-AX636)*($AN$9-$AL$9)*($AN$9-$AM$9))),$AM$9)</f>
        <v/>
      </c>
      <c r="AP636">
        <f>IFERROR(IF(AY636&lt;($AM$10-$AL$10)/($AN$10-$AL$10),$AL$10+SQRT(AY636*($AN$10-$AL$10)*($AM$10-$AL$10)),$AN$10-SQRT((1-AY636)*($AN$10-$AL$10)*($AN$10-$AM$10))),$AM$10)</f>
        <v/>
      </c>
      <c r="AQ636">
        <f>IFERROR(IF(AZ636&lt;($AM$11-$AL$11)/($AN$11-$AL$11),$AL$11+SQRT(AZ636*($AN$11-$AL$11)*($AM$11-$AL$11)),$AN$11-SQRT((1-AZ636)*($AN$11-$AL$11)*($AN$11-$AM$11))),$AM$11)</f>
        <v/>
      </c>
      <c r="AR636">
        <f>SUMPRODUCT((B24:B31&lt;=$B$6)*(C24:C31*AM636+D24:D31*AO636*$B$8*AQ636)/(1+AL636/100)^B24:B31)+C32*AM636*AP636/(1+AL636/100)^$B$6</f>
        <v/>
      </c>
      <c r="AS636">
        <f>SUMPRODUCT((K24:K26&lt;=$B$6)*(L24:L26*AN636+M24:M26*AO636*$B$8*AQ636)/(1+AL636/100)^K24:K26)+L27*AN636*AP636/(1+AL636/100)^$B$6</f>
        <v/>
      </c>
      <c r="AT636">
        <f>AS636-AR636</f>
        <v/>
      </c>
      <c r="AU636">
        <f>RAND()</f>
        <v/>
      </c>
      <c r="AV636">
        <f>RAND()</f>
        <v/>
      </c>
      <c r="AW636">
        <f>RAND()</f>
        <v/>
      </c>
      <c r="AX636">
        <f>RAND()</f>
        <v/>
      </c>
      <c r="AY636">
        <f>RAND()</f>
        <v/>
      </c>
      <c r="AZ636">
        <f>RAND()</f>
        <v/>
      </c>
    </row>
    <row r="637">
      <c r="AK637" t="n">
        <v>624</v>
      </c>
      <c r="AL637">
        <f>IFERROR(IF(AU637&lt;($AM$6-$AL$6)/($AN$6-$AL$6),$AL$6+SQRT(AU637*($AN$6-$AL$6)*($AM$6-$AL$6)),$AN$6-SQRT((1-AU637)*($AN$6-$AL$6)*($AN$6-$AM$6))),$AM$6)</f>
        <v/>
      </c>
      <c r="AM637">
        <f>IFERROR(IF(AV637&lt;($AM$7-$AL$7)/($AN$7-$AL$7),$AL$7+SQRT(AV637*($AN$7-$AL$7)*($AM$7-$AL$7)),$AN$7-SQRT((1-AV637)*($AN$7-$AL$7)*($AN$7-$AM$7))),$AM$7)</f>
        <v/>
      </c>
      <c r="AN637">
        <f>IFERROR(IF(AW637&lt;($AM$8-$AL$8)/($AN$8-$AL$8),$AL$8+SQRT(AW637*($AN$8-$AL$8)*($AM$8-$AL$8)),$AN$8-SQRT((1-AW637)*($AN$8-$AL$8)*($AN$8-$AM$8))),$AM$8)</f>
        <v/>
      </c>
      <c r="AO637">
        <f>IFERROR(IF(AX637&lt;($AM$9-$AL$9)/($AN$9-$AL$9),$AL$9+SQRT(AX637*($AN$9-$AL$9)*($AM$9-$AL$9)),$AN$9-SQRT((1-AX637)*($AN$9-$AL$9)*($AN$9-$AM$9))),$AM$9)</f>
        <v/>
      </c>
      <c r="AP637">
        <f>IFERROR(IF(AY637&lt;($AM$10-$AL$10)/($AN$10-$AL$10),$AL$10+SQRT(AY637*($AN$10-$AL$10)*($AM$10-$AL$10)),$AN$10-SQRT((1-AY637)*($AN$10-$AL$10)*($AN$10-$AM$10))),$AM$10)</f>
        <v/>
      </c>
      <c r="AQ637">
        <f>IFERROR(IF(AZ637&lt;($AM$11-$AL$11)/($AN$11-$AL$11),$AL$11+SQRT(AZ637*($AN$11-$AL$11)*($AM$11-$AL$11)),$AN$11-SQRT((1-AZ637)*($AN$11-$AL$11)*($AN$11-$AM$11))),$AM$11)</f>
        <v/>
      </c>
      <c r="AR637">
        <f>SUMPRODUCT((B24:B31&lt;=$B$6)*(C24:C31*AM637+D24:D31*AO637*$B$8*AQ637)/(1+AL637/100)^B24:B31)+C32*AM637*AP637/(1+AL637/100)^$B$6</f>
        <v/>
      </c>
      <c r="AS637">
        <f>SUMPRODUCT((K24:K26&lt;=$B$6)*(L24:L26*AN637+M24:M26*AO637*$B$8*AQ637)/(1+AL637/100)^K24:K26)+L27*AN637*AP637/(1+AL637/100)^$B$6</f>
        <v/>
      </c>
      <c r="AT637">
        <f>AS637-AR637</f>
        <v/>
      </c>
      <c r="AU637">
        <f>RAND()</f>
        <v/>
      </c>
      <c r="AV637">
        <f>RAND()</f>
        <v/>
      </c>
      <c r="AW637">
        <f>RAND()</f>
        <v/>
      </c>
      <c r="AX637">
        <f>RAND()</f>
        <v/>
      </c>
      <c r="AY637">
        <f>RAND()</f>
        <v/>
      </c>
      <c r="AZ637">
        <f>RAND()</f>
        <v/>
      </c>
    </row>
    <row r="638">
      <c r="AK638" t="n">
        <v>625</v>
      </c>
      <c r="AL638">
        <f>IFERROR(IF(AU638&lt;($AM$6-$AL$6)/($AN$6-$AL$6),$AL$6+SQRT(AU638*($AN$6-$AL$6)*($AM$6-$AL$6)),$AN$6-SQRT((1-AU638)*($AN$6-$AL$6)*($AN$6-$AM$6))),$AM$6)</f>
        <v/>
      </c>
      <c r="AM638">
        <f>IFERROR(IF(AV638&lt;($AM$7-$AL$7)/($AN$7-$AL$7),$AL$7+SQRT(AV638*($AN$7-$AL$7)*($AM$7-$AL$7)),$AN$7-SQRT((1-AV638)*($AN$7-$AL$7)*($AN$7-$AM$7))),$AM$7)</f>
        <v/>
      </c>
      <c r="AN638">
        <f>IFERROR(IF(AW638&lt;($AM$8-$AL$8)/($AN$8-$AL$8),$AL$8+SQRT(AW638*($AN$8-$AL$8)*($AM$8-$AL$8)),$AN$8-SQRT((1-AW638)*($AN$8-$AL$8)*($AN$8-$AM$8))),$AM$8)</f>
        <v/>
      </c>
      <c r="AO638">
        <f>IFERROR(IF(AX638&lt;($AM$9-$AL$9)/($AN$9-$AL$9),$AL$9+SQRT(AX638*($AN$9-$AL$9)*($AM$9-$AL$9)),$AN$9-SQRT((1-AX638)*($AN$9-$AL$9)*($AN$9-$AM$9))),$AM$9)</f>
        <v/>
      </c>
      <c r="AP638">
        <f>IFERROR(IF(AY638&lt;($AM$10-$AL$10)/($AN$10-$AL$10),$AL$10+SQRT(AY638*($AN$10-$AL$10)*($AM$10-$AL$10)),$AN$10-SQRT((1-AY638)*($AN$10-$AL$10)*($AN$10-$AM$10))),$AM$10)</f>
        <v/>
      </c>
      <c r="AQ638">
        <f>IFERROR(IF(AZ638&lt;($AM$11-$AL$11)/($AN$11-$AL$11),$AL$11+SQRT(AZ638*($AN$11-$AL$11)*($AM$11-$AL$11)),$AN$11-SQRT((1-AZ638)*($AN$11-$AL$11)*($AN$11-$AM$11))),$AM$11)</f>
        <v/>
      </c>
      <c r="AR638">
        <f>SUMPRODUCT((B24:B31&lt;=$B$6)*(C24:C31*AM638+D24:D31*AO638*$B$8*AQ638)/(1+AL638/100)^B24:B31)+C32*AM638*AP638/(1+AL638/100)^$B$6</f>
        <v/>
      </c>
      <c r="AS638">
        <f>SUMPRODUCT((K24:K26&lt;=$B$6)*(L24:L26*AN638+M24:M26*AO638*$B$8*AQ638)/(1+AL638/100)^K24:K26)+L27*AN638*AP638/(1+AL638/100)^$B$6</f>
        <v/>
      </c>
      <c r="AT638">
        <f>AS638-AR638</f>
        <v/>
      </c>
      <c r="AU638">
        <f>RAND()</f>
        <v/>
      </c>
      <c r="AV638">
        <f>RAND()</f>
        <v/>
      </c>
      <c r="AW638">
        <f>RAND()</f>
        <v/>
      </c>
      <c r="AX638">
        <f>RAND()</f>
        <v/>
      </c>
      <c r="AY638">
        <f>RAND()</f>
        <v/>
      </c>
      <c r="AZ638">
        <f>RAND()</f>
        <v/>
      </c>
    </row>
    <row r="639">
      <c r="AK639" t="n">
        <v>626</v>
      </c>
      <c r="AL639">
        <f>IFERROR(IF(AU639&lt;($AM$6-$AL$6)/($AN$6-$AL$6),$AL$6+SQRT(AU639*($AN$6-$AL$6)*($AM$6-$AL$6)),$AN$6-SQRT((1-AU639)*($AN$6-$AL$6)*($AN$6-$AM$6))),$AM$6)</f>
        <v/>
      </c>
      <c r="AM639">
        <f>IFERROR(IF(AV639&lt;($AM$7-$AL$7)/($AN$7-$AL$7),$AL$7+SQRT(AV639*($AN$7-$AL$7)*($AM$7-$AL$7)),$AN$7-SQRT((1-AV639)*($AN$7-$AL$7)*($AN$7-$AM$7))),$AM$7)</f>
        <v/>
      </c>
      <c r="AN639">
        <f>IFERROR(IF(AW639&lt;($AM$8-$AL$8)/($AN$8-$AL$8),$AL$8+SQRT(AW639*($AN$8-$AL$8)*($AM$8-$AL$8)),$AN$8-SQRT((1-AW639)*($AN$8-$AL$8)*($AN$8-$AM$8))),$AM$8)</f>
        <v/>
      </c>
      <c r="AO639">
        <f>IFERROR(IF(AX639&lt;($AM$9-$AL$9)/($AN$9-$AL$9),$AL$9+SQRT(AX639*($AN$9-$AL$9)*($AM$9-$AL$9)),$AN$9-SQRT((1-AX639)*($AN$9-$AL$9)*($AN$9-$AM$9))),$AM$9)</f>
        <v/>
      </c>
      <c r="AP639">
        <f>IFERROR(IF(AY639&lt;($AM$10-$AL$10)/($AN$10-$AL$10),$AL$10+SQRT(AY639*($AN$10-$AL$10)*($AM$10-$AL$10)),$AN$10-SQRT((1-AY639)*($AN$10-$AL$10)*($AN$10-$AM$10))),$AM$10)</f>
        <v/>
      </c>
      <c r="AQ639">
        <f>IFERROR(IF(AZ639&lt;($AM$11-$AL$11)/($AN$11-$AL$11),$AL$11+SQRT(AZ639*($AN$11-$AL$11)*($AM$11-$AL$11)),$AN$11-SQRT((1-AZ639)*($AN$11-$AL$11)*($AN$11-$AM$11))),$AM$11)</f>
        <v/>
      </c>
      <c r="AR639">
        <f>SUMPRODUCT((B24:B31&lt;=$B$6)*(C24:C31*AM639+D24:D31*AO639*$B$8*AQ639)/(1+AL639/100)^B24:B31)+C32*AM639*AP639/(1+AL639/100)^$B$6</f>
        <v/>
      </c>
      <c r="AS639">
        <f>SUMPRODUCT((K24:K26&lt;=$B$6)*(L24:L26*AN639+M24:M26*AO639*$B$8*AQ639)/(1+AL639/100)^K24:K26)+L27*AN639*AP639/(1+AL639/100)^$B$6</f>
        <v/>
      </c>
      <c r="AT639">
        <f>AS639-AR639</f>
        <v/>
      </c>
      <c r="AU639">
        <f>RAND()</f>
        <v/>
      </c>
      <c r="AV639">
        <f>RAND()</f>
        <v/>
      </c>
      <c r="AW639">
        <f>RAND()</f>
        <v/>
      </c>
      <c r="AX639">
        <f>RAND()</f>
        <v/>
      </c>
      <c r="AY639">
        <f>RAND()</f>
        <v/>
      </c>
      <c r="AZ639">
        <f>RAND()</f>
        <v/>
      </c>
    </row>
    <row r="640">
      <c r="AK640" t="n">
        <v>627</v>
      </c>
      <c r="AL640">
        <f>IFERROR(IF(AU640&lt;($AM$6-$AL$6)/($AN$6-$AL$6),$AL$6+SQRT(AU640*($AN$6-$AL$6)*($AM$6-$AL$6)),$AN$6-SQRT((1-AU640)*($AN$6-$AL$6)*($AN$6-$AM$6))),$AM$6)</f>
        <v/>
      </c>
      <c r="AM640">
        <f>IFERROR(IF(AV640&lt;($AM$7-$AL$7)/($AN$7-$AL$7),$AL$7+SQRT(AV640*($AN$7-$AL$7)*($AM$7-$AL$7)),$AN$7-SQRT((1-AV640)*($AN$7-$AL$7)*($AN$7-$AM$7))),$AM$7)</f>
        <v/>
      </c>
      <c r="AN640">
        <f>IFERROR(IF(AW640&lt;($AM$8-$AL$8)/($AN$8-$AL$8),$AL$8+SQRT(AW640*($AN$8-$AL$8)*($AM$8-$AL$8)),$AN$8-SQRT((1-AW640)*($AN$8-$AL$8)*($AN$8-$AM$8))),$AM$8)</f>
        <v/>
      </c>
      <c r="AO640">
        <f>IFERROR(IF(AX640&lt;($AM$9-$AL$9)/($AN$9-$AL$9),$AL$9+SQRT(AX640*($AN$9-$AL$9)*($AM$9-$AL$9)),$AN$9-SQRT((1-AX640)*($AN$9-$AL$9)*($AN$9-$AM$9))),$AM$9)</f>
        <v/>
      </c>
      <c r="AP640">
        <f>IFERROR(IF(AY640&lt;($AM$10-$AL$10)/($AN$10-$AL$10),$AL$10+SQRT(AY640*($AN$10-$AL$10)*($AM$10-$AL$10)),$AN$10-SQRT((1-AY640)*($AN$10-$AL$10)*($AN$10-$AM$10))),$AM$10)</f>
        <v/>
      </c>
      <c r="AQ640">
        <f>IFERROR(IF(AZ640&lt;($AM$11-$AL$11)/($AN$11-$AL$11),$AL$11+SQRT(AZ640*($AN$11-$AL$11)*($AM$11-$AL$11)),$AN$11-SQRT((1-AZ640)*($AN$11-$AL$11)*($AN$11-$AM$11))),$AM$11)</f>
        <v/>
      </c>
      <c r="AR640">
        <f>SUMPRODUCT((B24:B31&lt;=$B$6)*(C24:C31*AM640+D24:D31*AO640*$B$8*AQ640)/(1+AL640/100)^B24:B31)+C32*AM640*AP640/(1+AL640/100)^$B$6</f>
        <v/>
      </c>
      <c r="AS640">
        <f>SUMPRODUCT((K24:K26&lt;=$B$6)*(L24:L26*AN640+M24:M26*AO640*$B$8*AQ640)/(1+AL640/100)^K24:K26)+L27*AN640*AP640/(1+AL640/100)^$B$6</f>
        <v/>
      </c>
      <c r="AT640">
        <f>AS640-AR640</f>
        <v/>
      </c>
      <c r="AU640">
        <f>RAND()</f>
        <v/>
      </c>
      <c r="AV640">
        <f>RAND()</f>
        <v/>
      </c>
      <c r="AW640">
        <f>RAND()</f>
        <v/>
      </c>
      <c r="AX640">
        <f>RAND()</f>
        <v/>
      </c>
      <c r="AY640">
        <f>RAND()</f>
        <v/>
      </c>
      <c r="AZ640">
        <f>RAND()</f>
        <v/>
      </c>
    </row>
    <row r="641">
      <c r="AK641" t="n">
        <v>628</v>
      </c>
      <c r="AL641">
        <f>IFERROR(IF(AU641&lt;($AM$6-$AL$6)/($AN$6-$AL$6),$AL$6+SQRT(AU641*($AN$6-$AL$6)*($AM$6-$AL$6)),$AN$6-SQRT((1-AU641)*($AN$6-$AL$6)*($AN$6-$AM$6))),$AM$6)</f>
        <v/>
      </c>
      <c r="AM641">
        <f>IFERROR(IF(AV641&lt;($AM$7-$AL$7)/($AN$7-$AL$7),$AL$7+SQRT(AV641*($AN$7-$AL$7)*($AM$7-$AL$7)),$AN$7-SQRT((1-AV641)*($AN$7-$AL$7)*($AN$7-$AM$7))),$AM$7)</f>
        <v/>
      </c>
      <c r="AN641">
        <f>IFERROR(IF(AW641&lt;($AM$8-$AL$8)/($AN$8-$AL$8),$AL$8+SQRT(AW641*($AN$8-$AL$8)*($AM$8-$AL$8)),$AN$8-SQRT((1-AW641)*($AN$8-$AL$8)*($AN$8-$AM$8))),$AM$8)</f>
        <v/>
      </c>
      <c r="AO641">
        <f>IFERROR(IF(AX641&lt;($AM$9-$AL$9)/($AN$9-$AL$9),$AL$9+SQRT(AX641*($AN$9-$AL$9)*($AM$9-$AL$9)),$AN$9-SQRT((1-AX641)*($AN$9-$AL$9)*($AN$9-$AM$9))),$AM$9)</f>
        <v/>
      </c>
      <c r="AP641">
        <f>IFERROR(IF(AY641&lt;($AM$10-$AL$10)/($AN$10-$AL$10),$AL$10+SQRT(AY641*($AN$10-$AL$10)*($AM$10-$AL$10)),$AN$10-SQRT((1-AY641)*($AN$10-$AL$10)*($AN$10-$AM$10))),$AM$10)</f>
        <v/>
      </c>
      <c r="AQ641">
        <f>IFERROR(IF(AZ641&lt;($AM$11-$AL$11)/($AN$11-$AL$11),$AL$11+SQRT(AZ641*($AN$11-$AL$11)*($AM$11-$AL$11)),$AN$11-SQRT((1-AZ641)*($AN$11-$AL$11)*($AN$11-$AM$11))),$AM$11)</f>
        <v/>
      </c>
      <c r="AR641">
        <f>SUMPRODUCT((B24:B31&lt;=$B$6)*(C24:C31*AM641+D24:D31*AO641*$B$8*AQ641)/(1+AL641/100)^B24:B31)+C32*AM641*AP641/(1+AL641/100)^$B$6</f>
        <v/>
      </c>
      <c r="AS641">
        <f>SUMPRODUCT((K24:K26&lt;=$B$6)*(L24:L26*AN641+M24:M26*AO641*$B$8*AQ641)/(1+AL641/100)^K24:K26)+L27*AN641*AP641/(1+AL641/100)^$B$6</f>
        <v/>
      </c>
      <c r="AT641">
        <f>AS641-AR641</f>
        <v/>
      </c>
      <c r="AU641">
        <f>RAND()</f>
        <v/>
      </c>
      <c r="AV641">
        <f>RAND()</f>
        <v/>
      </c>
      <c r="AW641">
        <f>RAND()</f>
        <v/>
      </c>
      <c r="AX641">
        <f>RAND()</f>
        <v/>
      </c>
      <c r="AY641">
        <f>RAND()</f>
        <v/>
      </c>
      <c r="AZ641">
        <f>RAND()</f>
        <v/>
      </c>
    </row>
    <row r="642">
      <c r="AK642" t="n">
        <v>629</v>
      </c>
      <c r="AL642">
        <f>IFERROR(IF(AU642&lt;($AM$6-$AL$6)/($AN$6-$AL$6),$AL$6+SQRT(AU642*($AN$6-$AL$6)*($AM$6-$AL$6)),$AN$6-SQRT((1-AU642)*($AN$6-$AL$6)*($AN$6-$AM$6))),$AM$6)</f>
        <v/>
      </c>
      <c r="AM642">
        <f>IFERROR(IF(AV642&lt;($AM$7-$AL$7)/($AN$7-$AL$7),$AL$7+SQRT(AV642*($AN$7-$AL$7)*($AM$7-$AL$7)),$AN$7-SQRT((1-AV642)*($AN$7-$AL$7)*($AN$7-$AM$7))),$AM$7)</f>
        <v/>
      </c>
      <c r="AN642">
        <f>IFERROR(IF(AW642&lt;($AM$8-$AL$8)/($AN$8-$AL$8),$AL$8+SQRT(AW642*($AN$8-$AL$8)*($AM$8-$AL$8)),$AN$8-SQRT((1-AW642)*($AN$8-$AL$8)*($AN$8-$AM$8))),$AM$8)</f>
        <v/>
      </c>
      <c r="AO642">
        <f>IFERROR(IF(AX642&lt;($AM$9-$AL$9)/($AN$9-$AL$9),$AL$9+SQRT(AX642*($AN$9-$AL$9)*($AM$9-$AL$9)),$AN$9-SQRT((1-AX642)*($AN$9-$AL$9)*($AN$9-$AM$9))),$AM$9)</f>
        <v/>
      </c>
      <c r="AP642">
        <f>IFERROR(IF(AY642&lt;($AM$10-$AL$10)/($AN$10-$AL$10),$AL$10+SQRT(AY642*($AN$10-$AL$10)*($AM$10-$AL$10)),$AN$10-SQRT((1-AY642)*($AN$10-$AL$10)*($AN$10-$AM$10))),$AM$10)</f>
        <v/>
      </c>
      <c r="AQ642">
        <f>IFERROR(IF(AZ642&lt;($AM$11-$AL$11)/($AN$11-$AL$11),$AL$11+SQRT(AZ642*($AN$11-$AL$11)*($AM$11-$AL$11)),$AN$11-SQRT((1-AZ642)*($AN$11-$AL$11)*($AN$11-$AM$11))),$AM$11)</f>
        <v/>
      </c>
      <c r="AR642">
        <f>SUMPRODUCT((B24:B31&lt;=$B$6)*(C24:C31*AM642+D24:D31*AO642*$B$8*AQ642)/(1+AL642/100)^B24:B31)+C32*AM642*AP642/(1+AL642/100)^$B$6</f>
        <v/>
      </c>
      <c r="AS642">
        <f>SUMPRODUCT((K24:K26&lt;=$B$6)*(L24:L26*AN642+M24:M26*AO642*$B$8*AQ642)/(1+AL642/100)^K24:K26)+L27*AN642*AP642/(1+AL642/100)^$B$6</f>
        <v/>
      </c>
      <c r="AT642">
        <f>AS642-AR642</f>
        <v/>
      </c>
      <c r="AU642">
        <f>RAND()</f>
        <v/>
      </c>
      <c r="AV642">
        <f>RAND()</f>
        <v/>
      </c>
      <c r="AW642">
        <f>RAND()</f>
        <v/>
      </c>
      <c r="AX642">
        <f>RAND()</f>
        <v/>
      </c>
      <c r="AY642">
        <f>RAND()</f>
        <v/>
      </c>
      <c r="AZ642">
        <f>RAND()</f>
        <v/>
      </c>
    </row>
    <row r="643">
      <c r="AK643" t="n">
        <v>630</v>
      </c>
      <c r="AL643">
        <f>IFERROR(IF(AU643&lt;($AM$6-$AL$6)/($AN$6-$AL$6),$AL$6+SQRT(AU643*($AN$6-$AL$6)*($AM$6-$AL$6)),$AN$6-SQRT((1-AU643)*($AN$6-$AL$6)*($AN$6-$AM$6))),$AM$6)</f>
        <v/>
      </c>
      <c r="AM643">
        <f>IFERROR(IF(AV643&lt;($AM$7-$AL$7)/($AN$7-$AL$7),$AL$7+SQRT(AV643*($AN$7-$AL$7)*($AM$7-$AL$7)),$AN$7-SQRT((1-AV643)*($AN$7-$AL$7)*($AN$7-$AM$7))),$AM$7)</f>
        <v/>
      </c>
      <c r="AN643">
        <f>IFERROR(IF(AW643&lt;($AM$8-$AL$8)/($AN$8-$AL$8),$AL$8+SQRT(AW643*($AN$8-$AL$8)*($AM$8-$AL$8)),$AN$8-SQRT((1-AW643)*($AN$8-$AL$8)*($AN$8-$AM$8))),$AM$8)</f>
        <v/>
      </c>
      <c r="AO643">
        <f>IFERROR(IF(AX643&lt;($AM$9-$AL$9)/($AN$9-$AL$9),$AL$9+SQRT(AX643*($AN$9-$AL$9)*($AM$9-$AL$9)),$AN$9-SQRT((1-AX643)*($AN$9-$AL$9)*($AN$9-$AM$9))),$AM$9)</f>
        <v/>
      </c>
      <c r="AP643">
        <f>IFERROR(IF(AY643&lt;($AM$10-$AL$10)/($AN$10-$AL$10),$AL$10+SQRT(AY643*($AN$10-$AL$10)*($AM$10-$AL$10)),$AN$10-SQRT((1-AY643)*($AN$10-$AL$10)*($AN$10-$AM$10))),$AM$10)</f>
        <v/>
      </c>
      <c r="AQ643">
        <f>IFERROR(IF(AZ643&lt;($AM$11-$AL$11)/($AN$11-$AL$11),$AL$11+SQRT(AZ643*($AN$11-$AL$11)*($AM$11-$AL$11)),$AN$11-SQRT((1-AZ643)*($AN$11-$AL$11)*($AN$11-$AM$11))),$AM$11)</f>
        <v/>
      </c>
      <c r="AR643">
        <f>SUMPRODUCT((B24:B31&lt;=$B$6)*(C24:C31*AM643+D24:D31*AO643*$B$8*AQ643)/(1+AL643/100)^B24:B31)+C32*AM643*AP643/(1+AL643/100)^$B$6</f>
        <v/>
      </c>
      <c r="AS643">
        <f>SUMPRODUCT((K24:K26&lt;=$B$6)*(L24:L26*AN643+M24:M26*AO643*$B$8*AQ643)/(1+AL643/100)^K24:K26)+L27*AN643*AP643/(1+AL643/100)^$B$6</f>
        <v/>
      </c>
      <c r="AT643">
        <f>AS643-AR643</f>
        <v/>
      </c>
      <c r="AU643">
        <f>RAND()</f>
        <v/>
      </c>
      <c r="AV643">
        <f>RAND()</f>
        <v/>
      </c>
      <c r="AW643">
        <f>RAND()</f>
        <v/>
      </c>
      <c r="AX643">
        <f>RAND()</f>
        <v/>
      </c>
      <c r="AY643">
        <f>RAND()</f>
        <v/>
      </c>
      <c r="AZ643">
        <f>RAND()</f>
        <v/>
      </c>
    </row>
    <row r="644">
      <c r="AK644" t="n">
        <v>631</v>
      </c>
      <c r="AL644">
        <f>IFERROR(IF(AU644&lt;($AM$6-$AL$6)/($AN$6-$AL$6),$AL$6+SQRT(AU644*($AN$6-$AL$6)*($AM$6-$AL$6)),$AN$6-SQRT((1-AU644)*($AN$6-$AL$6)*($AN$6-$AM$6))),$AM$6)</f>
        <v/>
      </c>
      <c r="AM644">
        <f>IFERROR(IF(AV644&lt;($AM$7-$AL$7)/($AN$7-$AL$7),$AL$7+SQRT(AV644*($AN$7-$AL$7)*($AM$7-$AL$7)),$AN$7-SQRT((1-AV644)*($AN$7-$AL$7)*($AN$7-$AM$7))),$AM$7)</f>
        <v/>
      </c>
      <c r="AN644">
        <f>IFERROR(IF(AW644&lt;($AM$8-$AL$8)/($AN$8-$AL$8),$AL$8+SQRT(AW644*($AN$8-$AL$8)*($AM$8-$AL$8)),$AN$8-SQRT((1-AW644)*($AN$8-$AL$8)*($AN$8-$AM$8))),$AM$8)</f>
        <v/>
      </c>
      <c r="AO644">
        <f>IFERROR(IF(AX644&lt;($AM$9-$AL$9)/($AN$9-$AL$9),$AL$9+SQRT(AX644*($AN$9-$AL$9)*($AM$9-$AL$9)),$AN$9-SQRT((1-AX644)*($AN$9-$AL$9)*($AN$9-$AM$9))),$AM$9)</f>
        <v/>
      </c>
      <c r="AP644">
        <f>IFERROR(IF(AY644&lt;($AM$10-$AL$10)/($AN$10-$AL$10),$AL$10+SQRT(AY644*($AN$10-$AL$10)*($AM$10-$AL$10)),$AN$10-SQRT((1-AY644)*($AN$10-$AL$10)*($AN$10-$AM$10))),$AM$10)</f>
        <v/>
      </c>
      <c r="AQ644">
        <f>IFERROR(IF(AZ644&lt;($AM$11-$AL$11)/($AN$11-$AL$11),$AL$11+SQRT(AZ644*($AN$11-$AL$11)*($AM$11-$AL$11)),$AN$11-SQRT((1-AZ644)*($AN$11-$AL$11)*($AN$11-$AM$11))),$AM$11)</f>
        <v/>
      </c>
      <c r="AR644">
        <f>SUMPRODUCT((B24:B31&lt;=$B$6)*(C24:C31*AM644+D24:D31*AO644*$B$8*AQ644)/(1+AL644/100)^B24:B31)+C32*AM644*AP644/(1+AL644/100)^$B$6</f>
        <v/>
      </c>
      <c r="AS644">
        <f>SUMPRODUCT((K24:K26&lt;=$B$6)*(L24:L26*AN644+M24:M26*AO644*$B$8*AQ644)/(1+AL644/100)^K24:K26)+L27*AN644*AP644/(1+AL644/100)^$B$6</f>
        <v/>
      </c>
      <c r="AT644">
        <f>AS644-AR644</f>
        <v/>
      </c>
      <c r="AU644">
        <f>RAND()</f>
        <v/>
      </c>
      <c r="AV644">
        <f>RAND()</f>
        <v/>
      </c>
      <c r="AW644">
        <f>RAND()</f>
        <v/>
      </c>
      <c r="AX644">
        <f>RAND()</f>
        <v/>
      </c>
      <c r="AY644">
        <f>RAND()</f>
        <v/>
      </c>
      <c r="AZ644">
        <f>RAND()</f>
        <v/>
      </c>
    </row>
    <row r="645">
      <c r="AK645" t="n">
        <v>632</v>
      </c>
      <c r="AL645">
        <f>IFERROR(IF(AU645&lt;($AM$6-$AL$6)/($AN$6-$AL$6),$AL$6+SQRT(AU645*($AN$6-$AL$6)*($AM$6-$AL$6)),$AN$6-SQRT((1-AU645)*($AN$6-$AL$6)*($AN$6-$AM$6))),$AM$6)</f>
        <v/>
      </c>
      <c r="AM645">
        <f>IFERROR(IF(AV645&lt;($AM$7-$AL$7)/($AN$7-$AL$7),$AL$7+SQRT(AV645*($AN$7-$AL$7)*($AM$7-$AL$7)),$AN$7-SQRT((1-AV645)*($AN$7-$AL$7)*($AN$7-$AM$7))),$AM$7)</f>
        <v/>
      </c>
      <c r="AN645">
        <f>IFERROR(IF(AW645&lt;($AM$8-$AL$8)/($AN$8-$AL$8),$AL$8+SQRT(AW645*($AN$8-$AL$8)*($AM$8-$AL$8)),$AN$8-SQRT((1-AW645)*($AN$8-$AL$8)*($AN$8-$AM$8))),$AM$8)</f>
        <v/>
      </c>
      <c r="AO645">
        <f>IFERROR(IF(AX645&lt;($AM$9-$AL$9)/($AN$9-$AL$9),$AL$9+SQRT(AX645*($AN$9-$AL$9)*($AM$9-$AL$9)),$AN$9-SQRT((1-AX645)*($AN$9-$AL$9)*($AN$9-$AM$9))),$AM$9)</f>
        <v/>
      </c>
      <c r="AP645">
        <f>IFERROR(IF(AY645&lt;($AM$10-$AL$10)/($AN$10-$AL$10),$AL$10+SQRT(AY645*($AN$10-$AL$10)*($AM$10-$AL$10)),$AN$10-SQRT((1-AY645)*($AN$10-$AL$10)*($AN$10-$AM$10))),$AM$10)</f>
        <v/>
      </c>
      <c r="AQ645">
        <f>IFERROR(IF(AZ645&lt;($AM$11-$AL$11)/($AN$11-$AL$11),$AL$11+SQRT(AZ645*($AN$11-$AL$11)*($AM$11-$AL$11)),$AN$11-SQRT((1-AZ645)*($AN$11-$AL$11)*($AN$11-$AM$11))),$AM$11)</f>
        <v/>
      </c>
      <c r="AR645">
        <f>SUMPRODUCT((B24:B31&lt;=$B$6)*(C24:C31*AM645+D24:D31*AO645*$B$8*AQ645)/(1+AL645/100)^B24:B31)+C32*AM645*AP645/(1+AL645/100)^$B$6</f>
        <v/>
      </c>
      <c r="AS645">
        <f>SUMPRODUCT((K24:K26&lt;=$B$6)*(L24:L26*AN645+M24:M26*AO645*$B$8*AQ645)/(1+AL645/100)^K24:K26)+L27*AN645*AP645/(1+AL645/100)^$B$6</f>
        <v/>
      </c>
      <c r="AT645">
        <f>AS645-AR645</f>
        <v/>
      </c>
      <c r="AU645">
        <f>RAND()</f>
        <v/>
      </c>
      <c r="AV645">
        <f>RAND()</f>
        <v/>
      </c>
      <c r="AW645">
        <f>RAND()</f>
        <v/>
      </c>
      <c r="AX645">
        <f>RAND()</f>
        <v/>
      </c>
      <c r="AY645">
        <f>RAND()</f>
        <v/>
      </c>
      <c r="AZ645">
        <f>RAND()</f>
        <v/>
      </c>
    </row>
    <row r="646">
      <c r="AK646" t="n">
        <v>633</v>
      </c>
      <c r="AL646">
        <f>IFERROR(IF(AU646&lt;($AM$6-$AL$6)/($AN$6-$AL$6),$AL$6+SQRT(AU646*($AN$6-$AL$6)*($AM$6-$AL$6)),$AN$6-SQRT((1-AU646)*($AN$6-$AL$6)*($AN$6-$AM$6))),$AM$6)</f>
        <v/>
      </c>
      <c r="AM646">
        <f>IFERROR(IF(AV646&lt;($AM$7-$AL$7)/($AN$7-$AL$7),$AL$7+SQRT(AV646*($AN$7-$AL$7)*($AM$7-$AL$7)),$AN$7-SQRT((1-AV646)*($AN$7-$AL$7)*($AN$7-$AM$7))),$AM$7)</f>
        <v/>
      </c>
      <c r="AN646">
        <f>IFERROR(IF(AW646&lt;($AM$8-$AL$8)/($AN$8-$AL$8),$AL$8+SQRT(AW646*($AN$8-$AL$8)*($AM$8-$AL$8)),$AN$8-SQRT((1-AW646)*($AN$8-$AL$8)*($AN$8-$AM$8))),$AM$8)</f>
        <v/>
      </c>
      <c r="AO646">
        <f>IFERROR(IF(AX646&lt;($AM$9-$AL$9)/($AN$9-$AL$9),$AL$9+SQRT(AX646*($AN$9-$AL$9)*($AM$9-$AL$9)),$AN$9-SQRT((1-AX646)*($AN$9-$AL$9)*($AN$9-$AM$9))),$AM$9)</f>
        <v/>
      </c>
      <c r="AP646">
        <f>IFERROR(IF(AY646&lt;($AM$10-$AL$10)/($AN$10-$AL$10),$AL$10+SQRT(AY646*($AN$10-$AL$10)*($AM$10-$AL$10)),$AN$10-SQRT((1-AY646)*($AN$10-$AL$10)*($AN$10-$AM$10))),$AM$10)</f>
        <v/>
      </c>
      <c r="AQ646">
        <f>IFERROR(IF(AZ646&lt;($AM$11-$AL$11)/($AN$11-$AL$11),$AL$11+SQRT(AZ646*($AN$11-$AL$11)*($AM$11-$AL$11)),$AN$11-SQRT((1-AZ646)*($AN$11-$AL$11)*($AN$11-$AM$11))),$AM$11)</f>
        <v/>
      </c>
      <c r="AR646">
        <f>SUMPRODUCT((B24:B31&lt;=$B$6)*(C24:C31*AM646+D24:D31*AO646*$B$8*AQ646)/(1+AL646/100)^B24:B31)+C32*AM646*AP646/(1+AL646/100)^$B$6</f>
        <v/>
      </c>
      <c r="AS646">
        <f>SUMPRODUCT((K24:K26&lt;=$B$6)*(L24:L26*AN646+M24:M26*AO646*$B$8*AQ646)/(1+AL646/100)^K24:K26)+L27*AN646*AP646/(1+AL646/100)^$B$6</f>
        <v/>
      </c>
      <c r="AT646">
        <f>AS646-AR646</f>
        <v/>
      </c>
      <c r="AU646">
        <f>RAND()</f>
        <v/>
      </c>
      <c r="AV646">
        <f>RAND()</f>
        <v/>
      </c>
      <c r="AW646">
        <f>RAND()</f>
        <v/>
      </c>
      <c r="AX646">
        <f>RAND()</f>
        <v/>
      </c>
      <c r="AY646">
        <f>RAND()</f>
        <v/>
      </c>
      <c r="AZ646">
        <f>RAND()</f>
        <v/>
      </c>
    </row>
    <row r="647">
      <c r="AK647" t="n">
        <v>634</v>
      </c>
      <c r="AL647">
        <f>IFERROR(IF(AU647&lt;($AM$6-$AL$6)/($AN$6-$AL$6),$AL$6+SQRT(AU647*($AN$6-$AL$6)*($AM$6-$AL$6)),$AN$6-SQRT((1-AU647)*($AN$6-$AL$6)*($AN$6-$AM$6))),$AM$6)</f>
        <v/>
      </c>
      <c r="AM647">
        <f>IFERROR(IF(AV647&lt;($AM$7-$AL$7)/($AN$7-$AL$7),$AL$7+SQRT(AV647*($AN$7-$AL$7)*($AM$7-$AL$7)),$AN$7-SQRT((1-AV647)*($AN$7-$AL$7)*($AN$7-$AM$7))),$AM$7)</f>
        <v/>
      </c>
      <c r="AN647">
        <f>IFERROR(IF(AW647&lt;($AM$8-$AL$8)/($AN$8-$AL$8),$AL$8+SQRT(AW647*($AN$8-$AL$8)*($AM$8-$AL$8)),$AN$8-SQRT((1-AW647)*($AN$8-$AL$8)*($AN$8-$AM$8))),$AM$8)</f>
        <v/>
      </c>
      <c r="AO647">
        <f>IFERROR(IF(AX647&lt;($AM$9-$AL$9)/($AN$9-$AL$9),$AL$9+SQRT(AX647*($AN$9-$AL$9)*($AM$9-$AL$9)),$AN$9-SQRT((1-AX647)*($AN$9-$AL$9)*($AN$9-$AM$9))),$AM$9)</f>
        <v/>
      </c>
      <c r="AP647">
        <f>IFERROR(IF(AY647&lt;($AM$10-$AL$10)/($AN$10-$AL$10),$AL$10+SQRT(AY647*($AN$10-$AL$10)*($AM$10-$AL$10)),$AN$10-SQRT((1-AY647)*($AN$10-$AL$10)*($AN$10-$AM$10))),$AM$10)</f>
        <v/>
      </c>
      <c r="AQ647">
        <f>IFERROR(IF(AZ647&lt;($AM$11-$AL$11)/($AN$11-$AL$11),$AL$11+SQRT(AZ647*($AN$11-$AL$11)*($AM$11-$AL$11)),$AN$11-SQRT((1-AZ647)*($AN$11-$AL$11)*($AN$11-$AM$11))),$AM$11)</f>
        <v/>
      </c>
      <c r="AR647">
        <f>SUMPRODUCT((B24:B31&lt;=$B$6)*(C24:C31*AM647+D24:D31*AO647*$B$8*AQ647)/(1+AL647/100)^B24:B31)+C32*AM647*AP647/(1+AL647/100)^$B$6</f>
        <v/>
      </c>
      <c r="AS647">
        <f>SUMPRODUCT((K24:K26&lt;=$B$6)*(L24:L26*AN647+M24:M26*AO647*$B$8*AQ647)/(1+AL647/100)^K24:K26)+L27*AN647*AP647/(1+AL647/100)^$B$6</f>
        <v/>
      </c>
      <c r="AT647">
        <f>AS647-AR647</f>
        <v/>
      </c>
      <c r="AU647">
        <f>RAND()</f>
        <v/>
      </c>
      <c r="AV647">
        <f>RAND()</f>
        <v/>
      </c>
      <c r="AW647">
        <f>RAND()</f>
        <v/>
      </c>
      <c r="AX647">
        <f>RAND()</f>
        <v/>
      </c>
      <c r="AY647">
        <f>RAND()</f>
        <v/>
      </c>
      <c r="AZ647">
        <f>RAND()</f>
        <v/>
      </c>
    </row>
    <row r="648">
      <c r="AK648" t="n">
        <v>635</v>
      </c>
      <c r="AL648">
        <f>IFERROR(IF(AU648&lt;($AM$6-$AL$6)/($AN$6-$AL$6),$AL$6+SQRT(AU648*($AN$6-$AL$6)*($AM$6-$AL$6)),$AN$6-SQRT((1-AU648)*($AN$6-$AL$6)*($AN$6-$AM$6))),$AM$6)</f>
        <v/>
      </c>
      <c r="AM648">
        <f>IFERROR(IF(AV648&lt;($AM$7-$AL$7)/($AN$7-$AL$7),$AL$7+SQRT(AV648*($AN$7-$AL$7)*($AM$7-$AL$7)),$AN$7-SQRT((1-AV648)*($AN$7-$AL$7)*($AN$7-$AM$7))),$AM$7)</f>
        <v/>
      </c>
      <c r="AN648">
        <f>IFERROR(IF(AW648&lt;($AM$8-$AL$8)/($AN$8-$AL$8),$AL$8+SQRT(AW648*($AN$8-$AL$8)*($AM$8-$AL$8)),$AN$8-SQRT((1-AW648)*($AN$8-$AL$8)*($AN$8-$AM$8))),$AM$8)</f>
        <v/>
      </c>
      <c r="AO648">
        <f>IFERROR(IF(AX648&lt;($AM$9-$AL$9)/($AN$9-$AL$9),$AL$9+SQRT(AX648*($AN$9-$AL$9)*($AM$9-$AL$9)),$AN$9-SQRT((1-AX648)*($AN$9-$AL$9)*($AN$9-$AM$9))),$AM$9)</f>
        <v/>
      </c>
      <c r="AP648">
        <f>IFERROR(IF(AY648&lt;($AM$10-$AL$10)/($AN$10-$AL$10),$AL$10+SQRT(AY648*($AN$10-$AL$10)*($AM$10-$AL$10)),$AN$10-SQRT((1-AY648)*($AN$10-$AL$10)*($AN$10-$AM$10))),$AM$10)</f>
        <v/>
      </c>
      <c r="AQ648">
        <f>IFERROR(IF(AZ648&lt;($AM$11-$AL$11)/($AN$11-$AL$11),$AL$11+SQRT(AZ648*($AN$11-$AL$11)*($AM$11-$AL$11)),$AN$11-SQRT((1-AZ648)*($AN$11-$AL$11)*($AN$11-$AM$11))),$AM$11)</f>
        <v/>
      </c>
      <c r="AR648">
        <f>SUMPRODUCT((B24:B31&lt;=$B$6)*(C24:C31*AM648+D24:D31*AO648*$B$8*AQ648)/(1+AL648/100)^B24:B31)+C32*AM648*AP648/(1+AL648/100)^$B$6</f>
        <v/>
      </c>
      <c r="AS648">
        <f>SUMPRODUCT((K24:K26&lt;=$B$6)*(L24:L26*AN648+M24:M26*AO648*$B$8*AQ648)/(1+AL648/100)^K24:K26)+L27*AN648*AP648/(1+AL648/100)^$B$6</f>
        <v/>
      </c>
      <c r="AT648">
        <f>AS648-AR648</f>
        <v/>
      </c>
      <c r="AU648">
        <f>RAND()</f>
        <v/>
      </c>
      <c r="AV648">
        <f>RAND()</f>
        <v/>
      </c>
      <c r="AW648">
        <f>RAND()</f>
        <v/>
      </c>
      <c r="AX648">
        <f>RAND()</f>
        <v/>
      </c>
      <c r="AY648">
        <f>RAND()</f>
        <v/>
      </c>
      <c r="AZ648">
        <f>RAND()</f>
        <v/>
      </c>
    </row>
    <row r="649">
      <c r="AK649" t="n">
        <v>636</v>
      </c>
      <c r="AL649">
        <f>IFERROR(IF(AU649&lt;($AM$6-$AL$6)/($AN$6-$AL$6),$AL$6+SQRT(AU649*($AN$6-$AL$6)*($AM$6-$AL$6)),$AN$6-SQRT((1-AU649)*($AN$6-$AL$6)*($AN$6-$AM$6))),$AM$6)</f>
        <v/>
      </c>
      <c r="AM649">
        <f>IFERROR(IF(AV649&lt;($AM$7-$AL$7)/($AN$7-$AL$7),$AL$7+SQRT(AV649*($AN$7-$AL$7)*($AM$7-$AL$7)),$AN$7-SQRT((1-AV649)*($AN$7-$AL$7)*($AN$7-$AM$7))),$AM$7)</f>
        <v/>
      </c>
      <c r="AN649">
        <f>IFERROR(IF(AW649&lt;($AM$8-$AL$8)/($AN$8-$AL$8),$AL$8+SQRT(AW649*($AN$8-$AL$8)*($AM$8-$AL$8)),$AN$8-SQRT((1-AW649)*($AN$8-$AL$8)*($AN$8-$AM$8))),$AM$8)</f>
        <v/>
      </c>
      <c r="AO649">
        <f>IFERROR(IF(AX649&lt;($AM$9-$AL$9)/($AN$9-$AL$9),$AL$9+SQRT(AX649*($AN$9-$AL$9)*($AM$9-$AL$9)),$AN$9-SQRT((1-AX649)*($AN$9-$AL$9)*($AN$9-$AM$9))),$AM$9)</f>
        <v/>
      </c>
      <c r="AP649">
        <f>IFERROR(IF(AY649&lt;($AM$10-$AL$10)/($AN$10-$AL$10),$AL$10+SQRT(AY649*($AN$10-$AL$10)*($AM$10-$AL$10)),$AN$10-SQRT((1-AY649)*($AN$10-$AL$10)*($AN$10-$AM$10))),$AM$10)</f>
        <v/>
      </c>
      <c r="AQ649">
        <f>IFERROR(IF(AZ649&lt;($AM$11-$AL$11)/($AN$11-$AL$11),$AL$11+SQRT(AZ649*($AN$11-$AL$11)*($AM$11-$AL$11)),$AN$11-SQRT((1-AZ649)*($AN$11-$AL$11)*($AN$11-$AM$11))),$AM$11)</f>
        <v/>
      </c>
      <c r="AR649">
        <f>SUMPRODUCT((B24:B31&lt;=$B$6)*(C24:C31*AM649+D24:D31*AO649*$B$8*AQ649)/(1+AL649/100)^B24:B31)+C32*AM649*AP649/(1+AL649/100)^$B$6</f>
        <v/>
      </c>
      <c r="AS649">
        <f>SUMPRODUCT((K24:K26&lt;=$B$6)*(L24:L26*AN649+M24:M26*AO649*$B$8*AQ649)/(1+AL649/100)^K24:K26)+L27*AN649*AP649/(1+AL649/100)^$B$6</f>
        <v/>
      </c>
      <c r="AT649">
        <f>AS649-AR649</f>
        <v/>
      </c>
      <c r="AU649">
        <f>RAND()</f>
        <v/>
      </c>
      <c r="AV649">
        <f>RAND()</f>
        <v/>
      </c>
      <c r="AW649">
        <f>RAND()</f>
        <v/>
      </c>
      <c r="AX649">
        <f>RAND()</f>
        <v/>
      </c>
      <c r="AY649">
        <f>RAND()</f>
        <v/>
      </c>
      <c r="AZ649">
        <f>RAND()</f>
        <v/>
      </c>
    </row>
    <row r="650">
      <c r="AK650" t="n">
        <v>637</v>
      </c>
      <c r="AL650">
        <f>IFERROR(IF(AU650&lt;($AM$6-$AL$6)/($AN$6-$AL$6),$AL$6+SQRT(AU650*($AN$6-$AL$6)*($AM$6-$AL$6)),$AN$6-SQRT((1-AU650)*($AN$6-$AL$6)*($AN$6-$AM$6))),$AM$6)</f>
        <v/>
      </c>
      <c r="AM650">
        <f>IFERROR(IF(AV650&lt;($AM$7-$AL$7)/($AN$7-$AL$7),$AL$7+SQRT(AV650*($AN$7-$AL$7)*($AM$7-$AL$7)),$AN$7-SQRT((1-AV650)*($AN$7-$AL$7)*($AN$7-$AM$7))),$AM$7)</f>
        <v/>
      </c>
      <c r="AN650">
        <f>IFERROR(IF(AW650&lt;($AM$8-$AL$8)/($AN$8-$AL$8),$AL$8+SQRT(AW650*($AN$8-$AL$8)*($AM$8-$AL$8)),$AN$8-SQRT((1-AW650)*($AN$8-$AL$8)*($AN$8-$AM$8))),$AM$8)</f>
        <v/>
      </c>
      <c r="AO650">
        <f>IFERROR(IF(AX650&lt;($AM$9-$AL$9)/($AN$9-$AL$9),$AL$9+SQRT(AX650*($AN$9-$AL$9)*($AM$9-$AL$9)),$AN$9-SQRT((1-AX650)*($AN$9-$AL$9)*($AN$9-$AM$9))),$AM$9)</f>
        <v/>
      </c>
      <c r="AP650">
        <f>IFERROR(IF(AY650&lt;($AM$10-$AL$10)/($AN$10-$AL$10),$AL$10+SQRT(AY650*($AN$10-$AL$10)*($AM$10-$AL$10)),$AN$10-SQRT((1-AY650)*($AN$10-$AL$10)*($AN$10-$AM$10))),$AM$10)</f>
        <v/>
      </c>
      <c r="AQ650">
        <f>IFERROR(IF(AZ650&lt;($AM$11-$AL$11)/($AN$11-$AL$11),$AL$11+SQRT(AZ650*($AN$11-$AL$11)*($AM$11-$AL$11)),$AN$11-SQRT((1-AZ650)*($AN$11-$AL$11)*($AN$11-$AM$11))),$AM$11)</f>
        <v/>
      </c>
      <c r="AR650">
        <f>SUMPRODUCT((B24:B31&lt;=$B$6)*(C24:C31*AM650+D24:D31*AO650*$B$8*AQ650)/(1+AL650/100)^B24:B31)+C32*AM650*AP650/(1+AL650/100)^$B$6</f>
        <v/>
      </c>
      <c r="AS650">
        <f>SUMPRODUCT((K24:K26&lt;=$B$6)*(L24:L26*AN650+M24:M26*AO650*$B$8*AQ650)/(1+AL650/100)^K24:K26)+L27*AN650*AP650/(1+AL650/100)^$B$6</f>
        <v/>
      </c>
      <c r="AT650">
        <f>AS650-AR650</f>
        <v/>
      </c>
      <c r="AU650">
        <f>RAND()</f>
        <v/>
      </c>
      <c r="AV650">
        <f>RAND()</f>
        <v/>
      </c>
      <c r="AW650">
        <f>RAND()</f>
        <v/>
      </c>
      <c r="AX650">
        <f>RAND()</f>
        <v/>
      </c>
      <c r="AY650">
        <f>RAND()</f>
        <v/>
      </c>
      <c r="AZ650">
        <f>RAND()</f>
        <v/>
      </c>
    </row>
    <row r="651">
      <c r="AK651" t="n">
        <v>638</v>
      </c>
      <c r="AL651">
        <f>IFERROR(IF(AU651&lt;($AM$6-$AL$6)/($AN$6-$AL$6),$AL$6+SQRT(AU651*($AN$6-$AL$6)*($AM$6-$AL$6)),$AN$6-SQRT((1-AU651)*($AN$6-$AL$6)*($AN$6-$AM$6))),$AM$6)</f>
        <v/>
      </c>
      <c r="AM651">
        <f>IFERROR(IF(AV651&lt;($AM$7-$AL$7)/($AN$7-$AL$7),$AL$7+SQRT(AV651*($AN$7-$AL$7)*($AM$7-$AL$7)),$AN$7-SQRT((1-AV651)*($AN$7-$AL$7)*($AN$7-$AM$7))),$AM$7)</f>
        <v/>
      </c>
      <c r="AN651">
        <f>IFERROR(IF(AW651&lt;($AM$8-$AL$8)/($AN$8-$AL$8),$AL$8+SQRT(AW651*($AN$8-$AL$8)*($AM$8-$AL$8)),$AN$8-SQRT((1-AW651)*($AN$8-$AL$8)*($AN$8-$AM$8))),$AM$8)</f>
        <v/>
      </c>
      <c r="AO651">
        <f>IFERROR(IF(AX651&lt;($AM$9-$AL$9)/($AN$9-$AL$9),$AL$9+SQRT(AX651*($AN$9-$AL$9)*($AM$9-$AL$9)),$AN$9-SQRT((1-AX651)*($AN$9-$AL$9)*($AN$9-$AM$9))),$AM$9)</f>
        <v/>
      </c>
      <c r="AP651">
        <f>IFERROR(IF(AY651&lt;($AM$10-$AL$10)/($AN$10-$AL$10),$AL$10+SQRT(AY651*($AN$10-$AL$10)*($AM$10-$AL$10)),$AN$10-SQRT((1-AY651)*($AN$10-$AL$10)*($AN$10-$AM$10))),$AM$10)</f>
        <v/>
      </c>
      <c r="AQ651">
        <f>IFERROR(IF(AZ651&lt;($AM$11-$AL$11)/($AN$11-$AL$11),$AL$11+SQRT(AZ651*($AN$11-$AL$11)*($AM$11-$AL$11)),$AN$11-SQRT((1-AZ651)*($AN$11-$AL$11)*($AN$11-$AM$11))),$AM$11)</f>
        <v/>
      </c>
      <c r="AR651">
        <f>SUMPRODUCT((B24:B31&lt;=$B$6)*(C24:C31*AM651+D24:D31*AO651*$B$8*AQ651)/(1+AL651/100)^B24:B31)+C32*AM651*AP651/(1+AL651/100)^$B$6</f>
        <v/>
      </c>
      <c r="AS651">
        <f>SUMPRODUCT((K24:K26&lt;=$B$6)*(L24:L26*AN651+M24:M26*AO651*$B$8*AQ651)/(1+AL651/100)^K24:K26)+L27*AN651*AP651/(1+AL651/100)^$B$6</f>
        <v/>
      </c>
      <c r="AT651">
        <f>AS651-AR651</f>
        <v/>
      </c>
      <c r="AU651">
        <f>RAND()</f>
        <v/>
      </c>
      <c r="AV651">
        <f>RAND()</f>
        <v/>
      </c>
      <c r="AW651">
        <f>RAND()</f>
        <v/>
      </c>
      <c r="AX651">
        <f>RAND()</f>
        <v/>
      </c>
      <c r="AY651">
        <f>RAND()</f>
        <v/>
      </c>
      <c r="AZ651">
        <f>RAND()</f>
        <v/>
      </c>
    </row>
    <row r="652">
      <c r="AK652" t="n">
        <v>639</v>
      </c>
      <c r="AL652">
        <f>IFERROR(IF(AU652&lt;($AM$6-$AL$6)/($AN$6-$AL$6),$AL$6+SQRT(AU652*($AN$6-$AL$6)*($AM$6-$AL$6)),$AN$6-SQRT((1-AU652)*($AN$6-$AL$6)*($AN$6-$AM$6))),$AM$6)</f>
        <v/>
      </c>
      <c r="AM652">
        <f>IFERROR(IF(AV652&lt;($AM$7-$AL$7)/($AN$7-$AL$7),$AL$7+SQRT(AV652*($AN$7-$AL$7)*($AM$7-$AL$7)),$AN$7-SQRT((1-AV652)*($AN$7-$AL$7)*($AN$7-$AM$7))),$AM$7)</f>
        <v/>
      </c>
      <c r="AN652">
        <f>IFERROR(IF(AW652&lt;($AM$8-$AL$8)/($AN$8-$AL$8),$AL$8+SQRT(AW652*($AN$8-$AL$8)*($AM$8-$AL$8)),$AN$8-SQRT((1-AW652)*($AN$8-$AL$8)*($AN$8-$AM$8))),$AM$8)</f>
        <v/>
      </c>
      <c r="AO652">
        <f>IFERROR(IF(AX652&lt;($AM$9-$AL$9)/($AN$9-$AL$9),$AL$9+SQRT(AX652*($AN$9-$AL$9)*($AM$9-$AL$9)),$AN$9-SQRT((1-AX652)*($AN$9-$AL$9)*($AN$9-$AM$9))),$AM$9)</f>
        <v/>
      </c>
      <c r="AP652">
        <f>IFERROR(IF(AY652&lt;($AM$10-$AL$10)/($AN$10-$AL$10),$AL$10+SQRT(AY652*($AN$10-$AL$10)*($AM$10-$AL$10)),$AN$10-SQRT((1-AY652)*($AN$10-$AL$10)*($AN$10-$AM$10))),$AM$10)</f>
        <v/>
      </c>
      <c r="AQ652">
        <f>IFERROR(IF(AZ652&lt;($AM$11-$AL$11)/($AN$11-$AL$11),$AL$11+SQRT(AZ652*($AN$11-$AL$11)*($AM$11-$AL$11)),$AN$11-SQRT((1-AZ652)*($AN$11-$AL$11)*($AN$11-$AM$11))),$AM$11)</f>
        <v/>
      </c>
      <c r="AR652">
        <f>SUMPRODUCT((B24:B31&lt;=$B$6)*(C24:C31*AM652+D24:D31*AO652*$B$8*AQ652)/(1+AL652/100)^B24:B31)+C32*AM652*AP652/(1+AL652/100)^$B$6</f>
        <v/>
      </c>
      <c r="AS652">
        <f>SUMPRODUCT((K24:K26&lt;=$B$6)*(L24:L26*AN652+M24:M26*AO652*$B$8*AQ652)/(1+AL652/100)^K24:K26)+L27*AN652*AP652/(1+AL652/100)^$B$6</f>
        <v/>
      </c>
      <c r="AT652">
        <f>AS652-AR652</f>
        <v/>
      </c>
      <c r="AU652">
        <f>RAND()</f>
        <v/>
      </c>
      <c r="AV652">
        <f>RAND()</f>
        <v/>
      </c>
      <c r="AW652">
        <f>RAND()</f>
        <v/>
      </c>
      <c r="AX652">
        <f>RAND()</f>
        <v/>
      </c>
      <c r="AY652">
        <f>RAND()</f>
        <v/>
      </c>
      <c r="AZ652">
        <f>RAND()</f>
        <v/>
      </c>
    </row>
    <row r="653">
      <c r="AK653" t="n">
        <v>640</v>
      </c>
      <c r="AL653">
        <f>IFERROR(IF(AU653&lt;($AM$6-$AL$6)/($AN$6-$AL$6),$AL$6+SQRT(AU653*($AN$6-$AL$6)*($AM$6-$AL$6)),$AN$6-SQRT((1-AU653)*($AN$6-$AL$6)*($AN$6-$AM$6))),$AM$6)</f>
        <v/>
      </c>
      <c r="AM653">
        <f>IFERROR(IF(AV653&lt;($AM$7-$AL$7)/($AN$7-$AL$7),$AL$7+SQRT(AV653*($AN$7-$AL$7)*($AM$7-$AL$7)),$AN$7-SQRT((1-AV653)*($AN$7-$AL$7)*($AN$7-$AM$7))),$AM$7)</f>
        <v/>
      </c>
      <c r="AN653">
        <f>IFERROR(IF(AW653&lt;($AM$8-$AL$8)/($AN$8-$AL$8),$AL$8+SQRT(AW653*($AN$8-$AL$8)*($AM$8-$AL$8)),$AN$8-SQRT((1-AW653)*($AN$8-$AL$8)*($AN$8-$AM$8))),$AM$8)</f>
        <v/>
      </c>
      <c r="AO653">
        <f>IFERROR(IF(AX653&lt;($AM$9-$AL$9)/($AN$9-$AL$9),$AL$9+SQRT(AX653*($AN$9-$AL$9)*($AM$9-$AL$9)),$AN$9-SQRT((1-AX653)*($AN$9-$AL$9)*($AN$9-$AM$9))),$AM$9)</f>
        <v/>
      </c>
      <c r="AP653">
        <f>IFERROR(IF(AY653&lt;($AM$10-$AL$10)/($AN$10-$AL$10),$AL$10+SQRT(AY653*($AN$10-$AL$10)*($AM$10-$AL$10)),$AN$10-SQRT((1-AY653)*($AN$10-$AL$10)*($AN$10-$AM$10))),$AM$10)</f>
        <v/>
      </c>
      <c r="AQ653">
        <f>IFERROR(IF(AZ653&lt;($AM$11-$AL$11)/($AN$11-$AL$11),$AL$11+SQRT(AZ653*($AN$11-$AL$11)*($AM$11-$AL$11)),$AN$11-SQRT((1-AZ653)*($AN$11-$AL$11)*($AN$11-$AM$11))),$AM$11)</f>
        <v/>
      </c>
      <c r="AR653">
        <f>SUMPRODUCT((B24:B31&lt;=$B$6)*(C24:C31*AM653+D24:D31*AO653*$B$8*AQ653)/(1+AL653/100)^B24:B31)+C32*AM653*AP653/(1+AL653/100)^$B$6</f>
        <v/>
      </c>
      <c r="AS653">
        <f>SUMPRODUCT((K24:K26&lt;=$B$6)*(L24:L26*AN653+M24:M26*AO653*$B$8*AQ653)/(1+AL653/100)^K24:K26)+L27*AN653*AP653/(1+AL653/100)^$B$6</f>
        <v/>
      </c>
      <c r="AT653">
        <f>AS653-AR653</f>
        <v/>
      </c>
      <c r="AU653">
        <f>RAND()</f>
        <v/>
      </c>
      <c r="AV653">
        <f>RAND()</f>
        <v/>
      </c>
      <c r="AW653">
        <f>RAND()</f>
        <v/>
      </c>
      <c r="AX653">
        <f>RAND()</f>
        <v/>
      </c>
      <c r="AY653">
        <f>RAND()</f>
        <v/>
      </c>
      <c r="AZ653">
        <f>RAND()</f>
        <v/>
      </c>
    </row>
    <row r="654">
      <c r="AK654" t="n">
        <v>641</v>
      </c>
      <c r="AL654">
        <f>IFERROR(IF(AU654&lt;($AM$6-$AL$6)/($AN$6-$AL$6),$AL$6+SQRT(AU654*($AN$6-$AL$6)*($AM$6-$AL$6)),$AN$6-SQRT((1-AU654)*($AN$6-$AL$6)*($AN$6-$AM$6))),$AM$6)</f>
        <v/>
      </c>
      <c r="AM654">
        <f>IFERROR(IF(AV654&lt;($AM$7-$AL$7)/($AN$7-$AL$7),$AL$7+SQRT(AV654*($AN$7-$AL$7)*($AM$7-$AL$7)),$AN$7-SQRT((1-AV654)*($AN$7-$AL$7)*($AN$7-$AM$7))),$AM$7)</f>
        <v/>
      </c>
      <c r="AN654">
        <f>IFERROR(IF(AW654&lt;($AM$8-$AL$8)/($AN$8-$AL$8),$AL$8+SQRT(AW654*($AN$8-$AL$8)*($AM$8-$AL$8)),$AN$8-SQRT((1-AW654)*($AN$8-$AL$8)*($AN$8-$AM$8))),$AM$8)</f>
        <v/>
      </c>
      <c r="AO654">
        <f>IFERROR(IF(AX654&lt;($AM$9-$AL$9)/($AN$9-$AL$9),$AL$9+SQRT(AX654*($AN$9-$AL$9)*($AM$9-$AL$9)),$AN$9-SQRT((1-AX654)*($AN$9-$AL$9)*($AN$9-$AM$9))),$AM$9)</f>
        <v/>
      </c>
      <c r="AP654">
        <f>IFERROR(IF(AY654&lt;($AM$10-$AL$10)/($AN$10-$AL$10),$AL$10+SQRT(AY654*($AN$10-$AL$10)*($AM$10-$AL$10)),$AN$10-SQRT((1-AY654)*($AN$10-$AL$10)*($AN$10-$AM$10))),$AM$10)</f>
        <v/>
      </c>
      <c r="AQ654">
        <f>IFERROR(IF(AZ654&lt;($AM$11-$AL$11)/($AN$11-$AL$11),$AL$11+SQRT(AZ654*($AN$11-$AL$11)*($AM$11-$AL$11)),$AN$11-SQRT((1-AZ654)*($AN$11-$AL$11)*($AN$11-$AM$11))),$AM$11)</f>
        <v/>
      </c>
      <c r="AR654">
        <f>SUMPRODUCT((B24:B31&lt;=$B$6)*(C24:C31*AM654+D24:D31*AO654*$B$8*AQ654)/(1+AL654/100)^B24:B31)+C32*AM654*AP654/(1+AL654/100)^$B$6</f>
        <v/>
      </c>
      <c r="AS654">
        <f>SUMPRODUCT((K24:K26&lt;=$B$6)*(L24:L26*AN654+M24:M26*AO654*$B$8*AQ654)/(1+AL654/100)^K24:K26)+L27*AN654*AP654/(1+AL654/100)^$B$6</f>
        <v/>
      </c>
      <c r="AT654">
        <f>AS654-AR654</f>
        <v/>
      </c>
      <c r="AU654">
        <f>RAND()</f>
        <v/>
      </c>
      <c r="AV654">
        <f>RAND()</f>
        <v/>
      </c>
      <c r="AW654">
        <f>RAND()</f>
        <v/>
      </c>
      <c r="AX654">
        <f>RAND()</f>
        <v/>
      </c>
      <c r="AY654">
        <f>RAND()</f>
        <v/>
      </c>
      <c r="AZ654">
        <f>RAND()</f>
        <v/>
      </c>
    </row>
    <row r="655">
      <c r="AK655" t="n">
        <v>642</v>
      </c>
      <c r="AL655">
        <f>IFERROR(IF(AU655&lt;($AM$6-$AL$6)/($AN$6-$AL$6),$AL$6+SQRT(AU655*($AN$6-$AL$6)*($AM$6-$AL$6)),$AN$6-SQRT((1-AU655)*($AN$6-$AL$6)*($AN$6-$AM$6))),$AM$6)</f>
        <v/>
      </c>
      <c r="AM655">
        <f>IFERROR(IF(AV655&lt;($AM$7-$AL$7)/($AN$7-$AL$7),$AL$7+SQRT(AV655*($AN$7-$AL$7)*($AM$7-$AL$7)),$AN$7-SQRT((1-AV655)*($AN$7-$AL$7)*($AN$7-$AM$7))),$AM$7)</f>
        <v/>
      </c>
      <c r="AN655">
        <f>IFERROR(IF(AW655&lt;($AM$8-$AL$8)/($AN$8-$AL$8),$AL$8+SQRT(AW655*($AN$8-$AL$8)*($AM$8-$AL$8)),$AN$8-SQRT((1-AW655)*($AN$8-$AL$8)*($AN$8-$AM$8))),$AM$8)</f>
        <v/>
      </c>
      <c r="AO655">
        <f>IFERROR(IF(AX655&lt;($AM$9-$AL$9)/($AN$9-$AL$9),$AL$9+SQRT(AX655*($AN$9-$AL$9)*($AM$9-$AL$9)),$AN$9-SQRT((1-AX655)*($AN$9-$AL$9)*($AN$9-$AM$9))),$AM$9)</f>
        <v/>
      </c>
      <c r="AP655">
        <f>IFERROR(IF(AY655&lt;($AM$10-$AL$10)/($AN$10-$AL$10),$AL$10+SQRT(AY655*($AN$10-$AL$10)*($AM$10-$AL$10)),$AN$10-SQRT((1-AY655)*($AN$10-$AL$10)*($AN$10-$AM$10))),$AM$10)</f>
        <v/>
      </c>
      <c r="AQ655">
        <f>IFERROR(IF(AZ655&lt;($AM$11-$AL$11)/($AN$11-$AL$11),$AL$11+SQRT(AZ655*($AN$11-$AL$11)*($AM$11-$AL$11)),$AN$11-SQRT((1-AZ655)*($AN$11-$AL$11)*($AN$11-$AM$11))),$AM$11)</f>
        <v/>
      </c>
      <c r="AR655">
        <f>SUMPRODUCT((B24:B31&lt;=$B$6)*(C24:C31*AM655+D24:D31*AO655*$B$8*AQ655)/(1+AL655/100)^B24:B31)+C32*AM655*AP655/(1+AL655/100)^$B$6</f>
        <v/>
      </c>
      <c r="AS655">
        <f>SUMPRODUCT((K24:K26&lt;=$B$6)*(L24:L26*AN655+M24:M26*AO655*$B$8*AQ655)/(1+AL655/100)^K24:K26)+L27*AN655*AP655/(1+AL655/100)^$B$6</f>
        <v/>
      </c>
      <c r="AT655">
        <f>AS655-AR655</f>
        <v/>
      </c>
      <c r="AU655">
        <f>RAND()</f>
        <v/>
      </c>
      <c r="AV655">
        <f>RAND()</f>
        <v/>
      </c>
      <c r="AW655">
        <f>RAND()</f>
        <v/>
      </c>
      <c r="AX655">
        <f>RAND()</f>
        <v/>
      </c>
      <c r="AY655">
        <f>RAND()</f>
        <v/>
      </c>
      <c r="AZ655">
        <f>RAND()</f>
        <v/>
      </c>
    </row>
    <row r="656">
      <c r="AK656" t="n">
        <v>643</v>
      </c>
      <c r="AL656">
        <f>IFERROR(IF(AU656&lt;($AM$6-$AL$6)/($AN$6-$AL$6),$AL$6+SQRT(AU656*($AN$6-$AL$6)*($AM$6-$AL$6)),$AN$6-SQRT((1-AU656)*($AN$6-$AL$6)*($AN$6-$AM$6))),$AM$6)</f>
        <v/>
      </c>
      <c r="AM656">
        <f>IFERROR(IF(AV656&lt;($AM$7-$AL$7)/($AN$7-$AL$7),$AL$7+SQRT(AV656*($AN$7-$AL$7)*($AM$7-$AL$7)),$AN$7-SQRT((1-AV656)*($AN$7-$AL$7)*($AN$7-$AM$7))),$AM$7)</f>
        <v/>
      </c>
      <c r="AN656">
        <f>IFERROR(IF(AW656&lt;($AM$8-$AL$8)/($AN$8-$AL$8),$AL$8+SQRT(AW656*($AN$8-$AL$8)*($AM$8-$AL$8)),$AN$8-SQRT((1-AW656)*($AN$8-$AL$8)*($AN$8-$AM$8))),$AM$8)</f>
        <v/>
      </c>
      <c r="AO656">
        <f>IFERROR(IF(AX656&lt;($AM$9-$AL$9)/($AN$9-$AL$9),$AL$9+SQRT(AX656*($AN$9-$AL$9)*($AM$9-$AL$9)),$AN$9-SQRT((1-AX656)*($AN$9-$AL$9)*($AN$9-$AM$9))),$AM$9)</f>
        <v/>
      </c>
      <c r="AP656">
        <f>IFERROR(IF(AY656&lt;($AM$10-$AL$10)/($AN$10-$AL$10),$AL$10+SQRT(AY656*($AN$10-$AL$10)*($AM$10-$AL$10)),$AN$10-SQRT((1-AY656)*($AN$10-$AL$10)*($AN$10-$AM$10))),$AM$10)</f>
        <v/>
      </c>
      <c r="AQ656">
        <f>IFERROR(IF(AZ656&lt;($AM$11-$AL$11)/($AN$11-$AL$11),$AL$11+SQRT(AZ656*($AN$11-$AL$11)*($AM$11-$AL$11)),$AN$11-SQRT((1-AZ656)*($AN$11-$AL$11)*($AN$11-$AM$11))),$AM$11)</f>
        <v/>
      </c>
      <c r="AR656">
        <f>SUMPRODUCT((B24:B31&lt;=$B$6)*(C24:C31*AM656+D24:D31*AO656*$B$8*AQ656)/(1+AL656/100)^B24:B31)+C32*AM656*AP656/(1+AL656/100)^$B$6</f>
        <v/>
      </c>
      <c r="AS656">
        <f>SUMPRODUCT((K24:K26&lt;=$B$6)*(L24:L26*AN656+M24:M26*AO656*$B$8*AQ656)/(1+AL656/100)^K24:K26)+L27*AN656*AP656/(1+AL656/100)^$B$6</f>
        <v/>
      </c>
      <c r="AT656">
        <f>AS656-AR656</f>
        <v/>
      </c>
      <c r="AU656">
        <f>RAND()</f>
        <v/>
      </c>
      <c r="AV656">
        <f>RAND()</f>
        <v/>
      </c>
      <c r="AW656">
        <f>RAND()</f>
        <v/>
      </c>
      <c r="AX656">
        <f>RAND()</f>
        <v/>
      </c>
      <c r="AY656">
        <f>RAND()</f>
        <v/>
      </c>
      <c r="AZ656">
        <f>RAND()</f>
        <v/>
      </c>
    </row>
    <row r="657">
      <c r="AK657" t="n">
        <v>644</v>
      </c>
      <c r="AL657">
        <f>IFERROR(IF(AU657&lt;($AM$6-$AL$6)/($AN$6-$AL$6),$AL$6+SQRT(AU657*($AN$6-$AL$6)*($AM$6-$AL$6)),$AN$6-SQRT((1-AU657)*($AN$6-$AL$6)*($AN$6-$AM$6))),$AM$6)</f>
        <v/>
      </c>
      <c r="AM657">
        <f>IFERROR(IF(AV657&lt;($AM$7-$AL$7)/($AN$7-$AL$7),$AL$7+SQRT(AV657*($AN$7-$AL$7)*($AM$7-$AL$7)),$AN$7-SQRT((1-AV657)*($AN$7-$AL$7)*($AN$7-$AM$7))),$AM$7)</f>
        <v/>
      </c>
      <c r="AN657">
        <f>IFERROR(IF(AW657&lt;($AM$8-$AL$8)/($AN$8-$AL$8),$AL$8+SQRT(AW657*($AN$8-$AL$8)*($AM$8-$AL$8)),$AN$8-SQRT((1-AW657)*($AN$8-$AL$8)*($AN$8-$AM$8))),$AM$8)</f>
        <v/>
      </c>
      <c r="AO657">
        <f>IFERROR(IF(AX657&lt;($AM$9-$AL$9)/($AN$9-$AL$9),$AL$9+SQRT(AX657*($AN$9-$AL$9)*($AM$9-$AL$9)),$AN$9-SQRT((1-AX657)*($AN$9-$AL$9)*($AN$9-$AM$9))),$AM$9)</f>
        <v/>
      </c>
      <c r="AP657">
        <f>IFERROR(IF(AY657&lt;($AM$10-$AL$10)/($AN$10-$AL$10),$AL$10+SQRT(AY657*($AN$10-$AL$10)*($AM$10-$AL$10)),$AN$10-SQRT((1-AY657)*($AN$10-$AL$10)*($AN$10-$AM$10))),$AM$10)</f>
        <v/>
      </c>
      <c r="AQ657">
        <f>IFERROR(IF(AZ657&lt;($AM$11-$AL$11)/($AN$11-$AL$11),$AL$11+SQRT(AZ657*($AN$11-$AL$11)*($AM$11-$AL$11)),$AN$11-SQRT((1-AZ657)*($AN$11-$AL$11)*($AN$11-$AM$11))),$AM$11)</f>
        <v/>
      </c>
      <c r="AR657">
        <f>SUMPRODUCT((B24:B31&lt;=$B$6)*(C24:C31*AM657+D24:D31*AO657*$B$8*AQ657)/(1+AL657/100)^B24:B31)+C32*AM657*AP657/(1+AL657/100)^$B$6</f>
        <v/>
      </c>
      <c r="AS657">
        <f>SUMPRODUCT((K24:K26&lt;=$B$6)*(L24:L26*AN657+M24:M26*AO657*$B$8*AQ657)/(1+AL657/100)^K24:K26)+L27*AN657*AP657/(1+AL657/100)^$B$6</f>
        <v/>
      </c>
      <c r="AT657">
        <f>AS657-AR657</f>
        <v/>
      </c>
      <c r="AU657">
        <f>RAND()</f>
        <v/>
      </c>
      <c r="AV657">
        <f>RAND()</f>
        <v/>
      </c>
      <c r="AW657">
        <f>RAND()</f>
        <v/>
      </c>
      <c r="AX657">
        <f>RAND()</f>
        <v/>
      </c>
      <c r="AY657">
        <f>RAND()</f>
        <v/>
      </c>
      <c r="AZ657">
        <f>RAND()</f>
        <v/>
      </c>
    </row>
    <row r="658">
      <c r="AK658" t="n">
        <v>645</v>
      </c>
      <c r="AL658">
        <f>IFERROR(IF(AU658&lt;($AM$6-$AL$6)/($AN$6-$AL$6),$AL$6+SQRT(AU658*($AN$6-$AL$6)*($AM$6-$AL$6)),$AN$6-SQRT((1-AU658)*($AN$6-$AL$6)*($AN$6-$AM$6))),$AM$6)</f>
        <v/>
      </c>
      <c r="AM658">
        <f>IFERROR(IF(AV658&lt;($AM$7-$AL$7)/($AN$7-$AL$7),$AL$7+SQRT(AV658*($AN$7-$AL$7)*($AM$7-$AL$7)),$AN$7-SQRT((1-AV658)*($AN$7-$AL$7)*($AN$7-$AM$7))),$AM$7)</f>
        <v/>
      </c>
      <c r="AN658">
        <f>IFERROR(IF(AW658&lt;($AM$8-$AL$8)/($AN$8-$AL$8),$AL$8+SQRT(AW658*($AN$8-$AL$8)*($AM$8-$AL$8)),$AN$8-SQRT((1-AW658)*($AN$8-$AL$8)*($AN$8-$AM$8))),$AM$8)</f>
        <v/>
      </c>
      <c r="AO658">
        <f>IFERROR(IF(AX658&lt;($AM$9-$AL$9)/($AN$9-$AL$9),$AL$9+SQRT(AX658*($AN$9-$AL$9)*($AM$9-$AL$9)),$AN$9-SQRT((1-AX658)*($AN$9-$AL$9)*($AN$9-$AM$9))),$AM$9)</f>
        <v/>
      </c>
      <c r="AP658">
        <f>IFERROR(IF(AY658&lt;($AM$10-$AL$10)/($AN$10-$AL$10),$AL$10+SQRT(AY658*($AN$10-$AL$10)*($AM$10-$AL$10)),$AN$10-SQRT((1-AY658)*($AN$10-$AL$10)*($AN$10-$AM$10))),$AM$10)</f>
        <v/>
      </c>
      <c r="AQ658">
        <f>IFERROR(IF(AZ658&lt;($AM$11-$AL$11)/($AN$11-$AL$11),$AL$11+SQRT(AZ658*($AN$11-$AL$11)*($AM$11-$AL$11)),$AN$11-SQRT((1-AZ658)*($AN$11-$AL$11)*($AN$11-$AM$11))),$AM$11)</f>
        <v/>
      </c>
      <c r="AR658">
        <f>SUMPRODUCT((B24:B31&lt;=$B$6)*(C24:C31*AM658+D24:D31*AO658*$B$8*AQ658)/(1+AL658/100)^B24:B31)+C32*AM658*AP658/(1+AL658/100)^$B$6</f>
        <v/>
      </c>
      <c r="AS658">
        <f>SUMPRODUCT((K24:K26&lt;=$B$6)*(L24:L26*AN658+M24:M26*AO658*$B$8*AQ658)/(1+AL658/100)^K24:K26)+L27*AN658*AP658/(1+AL658/100)^$B$6</f>
        <v/>
      </c>
      <c r="AT658">
        <f>AS658-AR658</f>
        <v/>
      </c>
      <c r="AU658">
        <f>RAND()</f>
        <v/>
      </c>
      <c r="AV658">
        <f>RAND()</f>
        <v/>
      </c>
      <c r="AW658">
        <f>RAND()</f>
        <v/>
      </c>
      <c r="AX658">
        <f>RAND()</f>
        <v/>
      </c>
      <c r="AY658">
        <f>RAND()</f>
        <v/>
      </c>
      <c r="AZ658">
        <f>RAND()</f>
        <v/>
      </c>
    </row>
    <row r="659">
      <c r="AK659" t="n">
        <v>646</v>
      </c>
      <c r="AL659">
        <f>IFERROR(IF(AU659&lt;($AM$6-$AL$6)/($AN$6-$AL$6),$AL$6+SQRT(AU659*($AN$6-$AL$6)*($AM$6-$AL$6)),$AN$6-SQRT((1-AU659)*($AN$6-$AL$6)*($AN$6-$AM$6))),$AM$6)</f>
        <v/>
      </c>
      <c r="AM659">
        <f>IFERROR(IF(AV659&lt;($AM$7-$AL$7)/($AN$7-$AL$7),$AL$7+SQRT(AV659*($AN$7-$AL$7)*($AM$7-$AL$7)),$AN$7-SQRT((1-AV659)*($AN$7-$AL$7)*($AN$7-$AM$7))),$AM$7)</f>
        <v/>
      </c>
      <c r="AN659">
        <f>IFERROR(IF(AW659&lt;($AM$8-$AL$8)/($AN$8-$AL$8),$AL$8+SQRT(AW659*($AN$8-$AL$8)*($AM$8-$AL$8)),$AN$8-SQRT((1-AW659)*($AN$8-$AL$8)*($AN$8-$AM$8))),$AM$8)</f>
        <v/>
      </c>
      <c r="AO659">
        <f>IFERROR(IF(AX659&lt;($AM$9-$AL$9)/($AN$9-$AL$9),$AL$9+SQRT(AX659*($AN$9-$AL$9)*($AM$9-$AL$9)),$AN$9-SQRT((1-AX659)*($AN$9-$AL$9)*($AN$9-$AM$9))),$AM$9)</f>
        <v/>
      </c>
      <c r="AP659">
        <f>IFERROR(IF(AY659&lt;($AM$10-$AL$10)/($AN$10-$AL$10),$AL$10+SQRT(AY659*($AN$10-$AL$10)*($AM$10-$AL$10)),$AN$10-SQRT((1-AY659)*($AN$10-$AL$10)*($AN$10-$AM$10))),$AM$10)</f>
        <v/>
      </c>
      <c r="AQ659">
        <f>IFERROR(IF(AZ659&lt;($AM$11-$AL$11)/($AN$11-$AL$11),$AL$11+SQRT(AZ659*($AN$11-$AL$11)*($AM$11-$AL$11)),$AN$11-SQRT((1-AZ659)*($AN$11-$AL$11)*($AN$11-$AM$11))),$AM$11)</f>
        <v/>
      </c>
      <c r="AR659">
        <f>SUMPRODUCT((B24:B31&lt;=$B$6)*(C24:C31*AM659+D24:D31*AO659*$B$8*AQ659)/(1+AL659/100)^B24:B31)+C32*AM659*AP659/(1+AL659/100)^$B$6</f>
        <v/>
      </c>
      <c r="AS659">
        <f>SUMPRODUCT((K24:K26&lt;=$B$6)*(L24:L26*AN659+M24:M26*AO659*$B$8*AQ659)/(1+AL659/100)^K24:K26)+L27*AN659*AP659/(1+AL659/100)^$B$6</f>
        <v/>
      </c>
      <c r="AT659">
        <f>AS659-AR659</f>
        <v/>
      </c>
      <c r="AU659">
        <f>RAND()</f>
        <v/>
      </c>
      <c r="AV659">
        <f>RAND()</f>
        <v/>
      </c>
      <c r="AW659">
        <f>RAND()</f>
        <v/>
      </c>
      <c r="AX659">
        <f>RAND()</f>
        <v/>
      </c>
      <c r="AY659">
        <f>RAND()</f>
        <v/>
      </c>
      <c r="AZ659">
        <f>RAND()</f>
        <v/>
      </c>
    </row>
    <row r="660">
      <c r="AK660" t="n">
        <v>647</v>
      </c>
      <c r="AL660">
        <f>IFERROR(IF(AU660&lt;($AM$6-$AL$6)/($AN$6-$AL$6),$AL$6+SQRT(AU660*($AN$6-$AL$6)*($AM$6-$AL$6)),$AN$6-SQRT((1-AU660)*($AN$6-$AL$6)*($AN$6-$AM$6))),$AM$6)</f>
        <v/>
      </c>
      <c r="AM660">
        <f>IFERROR(IF(AV660&lt;($AM$7-$AL$7)/($AN$7-$AL$7),$AL$7+SQRT(AV660*($AN$7-$AL$7)*($AM$7-$AL$7)),$AN$7-SQRT((1-AV660)*($AN$7-$AL$7)*($AN$7-$AM$7))),$AM$7)</f>
        <v/>
      </c>
      <c r="AN660">
        <f>IFERROR(IF(AW660&lt;($AM$8-$AL$8)/($AN$8-$AL$8),$AL$8+SQRT(AW660*($AN$8-$AL$8)*($AM$8-$AL$8)),$AN$8-SQRT((1-AW660)*($AN$8-$AL$8)*($AN$8-$AM$8))),$AM$8)</f>
        <v/>
      </c>
      <c r="AO660">
        <f>IFERROR(IF(AX660&lt;($AM$9-$AL$9)/($AN$9-$AL$9),$AL$9+SQRT(AX660*($AN$9-$AL$9)*($AM$9-$AL$9)),$AN$9-SQRT((1-AX660)*($AN$9-$AL$9)*($AN$9-$AM$9))),$AM$9)</f>
        <v/>
      </c>
      <c r="AP660">
        <f>IFERROR(IF(AY660&lt;($AM$10-$AL$10)/($AN$10-$AL$10),$AL$10+SQRT(AY660*($AN$10-$AL$10)*($AM$10-$AL$10)),$AN$10-SQRT((1-AY660)*($AN$10-$AL$10)*($AN$10-$AM$10))),$AM$10)</f>
        <v/>
      </c>
      <c r="AQ660">
        <f>IFERROR(IF(AZ660&lt;($AM$11-$AL$11)/($AN$11-$AL$11),$AL$11+SQRT(AZ660*($AN$11-$AL$11)*($AM$11-$AL$11)),$AN$11-SQRT((1-AZ660)*($AN$11-$AL$11)*($AN$11-$AM$11))),$AM$11)</f>
        <v/>
      </c>
      <c r="AR660">
        <f>SUMPRODUCT((B24:B31&lt;=$B$6)*(C24:C31*AM660+D24:D31*AO660*$B$8*AQ660)/(1+AL660/100)^B24:B31)+C32*AM660*AP660/(1+AL660/100)^$B$6</f>
        <v/>
      </c>
      <c r="AS660">
        <f>SUMPRODUCT((K24:K26&lt;=$B$6)*(L24:L26*AN660+M24:M26*AO660*$B$8*AQ660)/(1+AL660/100)^K24:K26)+L27*AN660*AP660/(1+AL660/100)^$B$6</f>
        <v/>
      </c>
      <c r="AT660">
        <f>AS660-AR660</f>
        <v/>
      </c>
      <c r="AU660">
        <f>RAND()</f>
        <v/>
      </c>
      <c r="AV660">
        <f>RAND()</f>
        <v/>
      </c>
      <c r="AW660">
        <f>RAND()</f>
        <v/>
      </c>
      <c r="AX660">
        <f>RAND()</f>
        <v/>
      </c>
      <c r="AY660">
        <f>RAND()</f>
        <v/>
      </c>
      <c r="AZ660">
        <f>RAND()</f>
        <v/>
      </c>
    </row>
    <row r="661">
      <c r="AK661" t="n">
        <v>648</v>
      </c>
      <c r="AL661">
        <f>IFERROR(IF(AU661&lt;($AM$6-$AL$6)/($AN$6-$AL$6),$AL$6+SQRT(AU661*($AN$6-$AL$6)*($AM$6-$AL$6)),$AN$6-SQRT((1-AU661)*($AN$6-$AL$6)*($AN$6-$AM$6))),$AM$6)</f>
        <v/>
      </c>
      <c r="AM661">
        <f>IFERROR(IF(AV661&lt;($AM$7-$AL$7)/($AN$7-$AL$7),$AL$7+SQRT(AV661*($AN$7-$AL$7)*($AM$7-$AL$7)),$AN$7-SQRT((1-AV661)*($AN$7-$AL$7)*($AN$7-$AM$7))),$AM$7)</f>
        <v/>
      </c>
      <c r="AN661">
        <f>IFERROR(IF(AW661&lt;($AM$8-$AL$8)/($AN$8-$AL$8),$AL$8+SQRT(AW661*($AN$8-$AL$8)*($AM$8-$AL$8)),$AN$8-SQRT((1-AW661)*($AN$8-$AL$8)*($AN$8-$AM$8))),$AM$8)</f>
        <v/>
      </c>
      <c r="AO661">
        <f>IFERROR(IF(AX661&lt;($AM$9-$AL$9)/($AN$9-$AL$9),$AL$9+SQRT(AX661*($AN$9-$AL$9)*($AM$9-$AL$9)),$AN$9-SQRT((1-AX661)*($AN$9-$AL$9)*($AN$9-$AM$9))),$AM$9)</f>
        <v/>
      </c>
      <c r="AP661">
        <f>IFERROR(IF(AY661&lt;($AM$10-$AL$10)/($AN$10-$AL$10),$AL$10+SQRT(AY661*($AN$10-$AL$10)*($AM$10-$AL$10)),$AN$10-SQRT((1-AY661)*($AN$10-$AL$10)*($AN$10-$AM$10))),$AM$10)</f>
        <v/>
      </c>
      <c r="AQ661">
        <f>IFERROR(IF(AZ661&lt;($AM$11-$AL$11)/($AN$11-$AL$11),$AL$11+SQRT(AZ661*($AN$11-$AL$11)*($AM$11-$AL$11)),$AN$11-SQRT((1-AZ661)*($AN$11-$AL$11)*($AN$11-$AM$11))),$AM$11)</f>
        <v/>
      </c>
      <c r="AR661">
        <f>SUMPRODUCT((B24:B31&lt;=$B$6)*(C24:C31*AM661+D24:D31*AO661*$B$8*AQ661)/(1+AL661/100)^B24:B31)+C32*AM661*AP661/(1+AL661/100)^$B$6</f>
        <v/>
      </c>
      <c r="AS661">
        <f>SUMPRODUCT((K24:K26&lt;=$B$6)*(L24:L26*AN661+M24:M26*AO661*$B$8*AQ661)/(1+AL661/100)^K24:K26)+L27*AN661*AP661/(1+AL661/100)^$B$6</f>
        <v/>
      </c>
      <c r="AT661">
        <f>AS661-AR661</f>
        <v/>
      </c>
      <c r="AU661">
        <f>RAND()</f>
        <v/>
      </c>
      <c r="AV661">
        <f>RAND()</f>
        <v/>
      </c>
      <c r="AW661">
        <f>RAND()</f>
        <v/>
      </c>
      <c r="AX661">
        <f>RAND()</f>
        <v/>
      </c>
      <c r="AY661">
        <f>RAND()</f>
        <v/>
      </c>
      <c r="AZ661">
        <f>RAND()</f>
        <v/>
      </c>
    </row>
    <row r="662">
      <c r="AK662" t="n">
        <v>649</v>
      </c>
      <c r="AL662">
        <f>IFERROR(IF(AU662&lt;($AM$6-$AL$6)/($AN$6-$AL$6),$AL$6+SQRT(AU662*($AN$6-$AL$6)*($AM$6-$AL$6)),$AN$6-SQRT((1-AU662)*($AN$6-$AL$6)*($AN$6-$AM$6))),$AM$6)</f>
        <v/>
      </c>
      <c r="AM662">
        <f>IFERROR(IF(AV662&lt;($AM$7-$AL$7)/($AN$7-$AL$7),$AL$7+SQRT(AV662*($AN$7-$AL$7)*($AM$7-$AL$7)),$AN$7-SQRT((1-AV662)*($AN$7-$AL$7)*($AN$7-$AM$7))),$AM$7)</f>
        <v/>
      </c>
      <c r="AN662">
        <f>IFERROR(IF(AW662&lt;($AM$8-$AL$8)/($AN$8-$AL$8),$AL$8+SQRT(AW662*($AN$8-$AL$8)*($AM$8-$AL$8)),$AN$8-SQRT((1-AW662)*($AN$8-$AL$8)*($AN$8-$AM$8))),$AM$8)</f>
        <v/>
      </c>
      <c r="AO662">
        <f>IFERROR(IF(AX662&lt;($AM$9-$AL$9)/($AN$9-$AL$9),$AL$9+SQRT(AX662*($AN$9-$AL$9)*($AM$9-$AL$9)),$AN$9-SQRT((1-AX662)*($AN$9-$AL$9)*($AN$9-$AM$9))),$AM$9)</f>
        <v/>
      </c>
      <c r="AP662">
        <f>IFERROR(IF(AY662&lt;($AM$10-$AL$10)/($AN$10-$AL$10),$AL$10+SQRT(AY662*($AN$10-$AL$10)*($AM$10-$AL$10)),$AN$10-SQRT((1-AY662)*($AN$10-$AL$10)*($AN$10-$AM$10))),$AM$10)</f>
        <v/>
      </c>
      <c r="AQ662">
        <f>IFERROR(IF(AZ662&lt;($AM$11-$AL$11)/($AN$11-$AL$11),$AL$11+SQRT(AZ662*($AN$11-$AL$11)*($AM$11-$AL$11)),$AN$11-SQRT((1-AZ662)*($AN$11-$AL$11)*($AN$11-$AM$11))),$AM$11)</f>
        <v/>
      </c>
      <c r="AR662">
        <f>SUMPRODUCT((B24:B31&lt;=$B$6)*(C24:C31*AM662+D24:D31*AO662*$B$8*AQ662)/(1+AL662/100)^B24:B31)+C32*AM662*AP662/(1+AL662/100)^$B$6</f>
        <v/>
      </c>
      <c r="AS662">
        <f>SUMPRODUCT((K24:K26&lt;=$B$6)*(L24:L26*AN662+M24:M26*AO662*$B$8*AQ662)/(1+AL662/100)^K24:K26)+L27*AN662*AP662/(1+AL662/100)^$B$6</f>
        <v/>
      </c>
      <c r="AT662">
        <f>AS662-AR662</f>
        <v/>
      </c>
      <c r="AU662">
        <f>RAND()</f>
        <v/>
      </c>
      <c r="AV662">
        <f>RAND()</f>
        <v/>
      </c>
      <c r="AW662">
        <f>RAND()</f>
        <v/>
      </c>
      <c r="AX662">
        <f>RAND()</f>
        <v/>
      </c>
      <c r="AY662">
        <f>RAND()</f>
        <v/>
      </c>
      <c r="AZ662">
        <f>RAND()</f>
        <v/>
      </c>
    </row>
    <row r="663">
      <c r="AK663" t="n">
        <v>650</v>
      </c>
      <c r="AL663">
        <f>IFERROR(IF(AU663&lt;($AM$6-$AL$6)/($AN$6-$AL$6),$AL$6+SQRT(AU663*($AN$6-$AL$6)*($AM$6-$AL$6)),$AN$6-SQRT((1-AU663)*($AN$6-$AL$6)*($AN$6-$AM$6))),$AM$6)</f>
        <v/>
      </c>
      <c r="AM663">
        <f>IFERROR(IF(AV663&lt;($AM$7-$AL$7)/($AN$7-$AL$7),$AL$7+SQRT(AV663*($AN$7-$AL$7)*($AM$7-$AL$7)),$AN$7-SQRT((1-AV663)*($AN$7-$AL$7)*($AN$7-$AM$7))),$AM$7)</f>
        <v/>
      </c>
      <c r="AN663">
        <f>IFERROR(IF(AW663&lt;($AM$8-$AL$8)/($AN$8-$AL$8),$AL$8+SQRT(AW663*($AN$8-$AL$8)*($AM$8-$AL$8)),$AN$8-SQRT((1-AW663)*($AN$8-$AL$8)*($AN$8-$AM$8))),$AM$8)</f>
        <v/>
      </c>
      <c r="AO663">
        <f>IFERROR(IF(AX663&lt;($AM$9-$AL$9)/($AN$9-$AL$9),$AL$9+SQRT(AX663*($AN$9-$AL$9)*($AM$9-$AL$9)),$AN$9-SQRT((1-AX663)*($AN$9-$AL$9)*($AN$9-$AM$9))),$AM$9)</f>
        <v/>
      </c>
      <c r="AP663">
        <f>IFERROR(IF(AY663&lt;($AM$10-$AL$10)/($AN$10-$AL$10),$AL$10+SQRT(AY663*($AN$10-$AL$10)*($AM$10-$AL$10)),$AN$10-SQRT((1-AY663)*($AN$10-$AL$10)*($AN$10-$AM$10))),$AM$10)</f>
        <v/>
      </c>
      <c r="AQ663">
        <f>IFERROR(IF(AZ663&lt;($AM$11-$AL$11)/($AN$11-$AL$11),$AL$11+SQRT(AZ663*($AN$11-$AL$11)*($AM$11-$AL$11)),$AN$11-SQRT((1-AZ663)*($AN$11-$AL$11)*($AN$11-$AM$11))),$AM$11)</f>
        <v/>
      </c>
      <c r="AR663">
        <f>SUMPRODUCT((B24:B31&lt;=$B$6)*(C24:C31*AM663+D24:D31*AO663*$B$8*AQ663)/(1+AL663/100)^B24:B31)+C32*AM663*AP663/(1+AL663/100)^$B$6</f>
        <v/>
      </c>
      <c r="AS663">
        <f>SUMPRODUCT((K24:K26&lt;=$B$6)*(L24:L26*AN663+M24:M26*AO663*$B$8*AQ663)/(1+AL663/100)^K24:K26)+L27*AN663*AP663/(1+AL663/100)^$B$6</f>
        <v/>
      </c>
      <c r="AT663">
        <f>AS663-AR663</f>
        <v/>
      </c>
      <c r="AU663">
        <f>RAND()</f>
        <v/>
      </c>
      <c r="AV663">
        <f>RAND()</f>
        <v/>
      </c>
      <c r="AW663">
        <f>RAND()</f>
        <v/>
      </c>
      <c r="AX663">
        <f>RAND()</f>
        <v/>
      </c>
      <c r="AY663">
        <f>RAND()</f>
        <v/>
      </c>
      <c r="AZ663">
        <f>RAND()</f>
        <v/>
      </c>
    </row>
    <row r="664">
      <c r="AK664" t="n">
        <v>651</v>
      </c>
      <c r="AL664">
        <f>IFERROR(IF(AU664&lt;($AM$6-$AL$6)/($AN$6-$AL$6),$AL$6+SQRT(AU664*($AN$6-$AL$6)*($AM$6-$AL$6)),$AN$6-SQRT((1-AU664)*($AN$6-$AL$6)*($AN$6-$AM$6))),$AM$6)</f>
        <v/>
      </c>
      <c r="AM664">
        <f>IFERROR(IF(AV664&lt;($AM$7-$AL$7)/($AN$7-$AL$7),$AL$7+SQRT(AV664*($AN$7-$AL$7)*($AM$7-$AL$7)),$AN$7-SQRT((1-AV664)*($AN$7-$AL$7)*($AN$7-$AM$7))),$AM$7)</f>
        <v/>
      </c>
      <c r="AN664">
        <f>IFERROR(IF(AW664&lt;($AM$8-$AL$8)/($AN$8-$AL$8),$AL$8+SQRT(AW664*($AN$8-$AL$8)*($AM$8-$AL$8)),$AN$8-SQRT((1-AW664)*($AN$8-$AL$8)*($AN$8-$AM$8))),$AM$8)</f>
        <v/>
      </c>
      <c r="AO664">
        <f>IFERROR(IF(AX664&lt;($AM$9-$AL$9)/($AN$9-$AL$9),$AL$9+SQRT(AX664*($AN$9-$AL$9)*($AM$9-$AL$9)),$AN$9-SQRT((1-AX664)*($AN$9-$AL$9)*($AN$9-$AM$9))),$AM$9)</f>
        <v/>
      </c>
      <c r="AP664">
        <f>IFERROR(IF(AY664&lt;($AM$10-$AL$10)/($AN$10-$AL$10),$AL$10+SQRT(AY664*($AN$10-$AL$10)*($AM$10-$AL$10)),$AN$10-SQRT((1-AY664)*($AN$10-$AL$10)*($AN$10-$AM$10))),$AM$10)</f>
        <v/>
      </c>
      <c r="AQ664">
        <f>IFERROR(IF(AZ664&lt;($AM$11-$AL$11)/($AN$11-$AL$11),$AL$11+SQRT(AZ664*($AN$11-$AL$11)*($AM$11-$AL$11)),$AN$11-SQRT((1-AZ664)*($AN$11-$AL$11)*($AN$11-$AM$11))),$AM$11)</f>
        <v/>
      </c>
      <c r="AR664">
        <f>SUMPRODUCT((B24:B31&lt;=$B$6)*(C24:C31*AM664+D24:D31*AO664*$B$8*AQ664)/(1+AL664/100)^B24:B31)+C32*AM664*AP664/(1+AL664/100)^$B$6</f>
        <v/>
      </c>
      <c r="AS664">
        <f>SUMPRODUCT((K24:K26&lt;=$B$6)*(L24:L26*AN664+M24:M26*AO664*$B$8*AQ664)/(1+AL664/100)^K24:K26)+L27*AN664*AP664/(1+AL664/100)^$B$6</f>
        <v/>
      </c>
      <c r="AT664">
        <f>AS664-AR664</f>
        <v/>
      </c>
      <c r="AU664">
        <f>RAND()</f>
        <v/>
      </c>
      <c r="AV664">
        <f>RAND()</f>
        <v/>
      </c>
      <c r="AW664">
        <f>RAND()</f>
        <v/>
      </c>
      <c r="AX664">
        <f>RAND()</f>
        <v/>
      </c>
      <c r="AY664">
        <f>RAND()</f>
        <v/>
      </c>
      <c r="AZ664">
        <f>RAND()</f>
        <v/>
      </c>
    </row>
    <row r="665">
      <c r="AK665" t="n">
        <v>652</v>
      </c>
      <c r="AL665">
        <f>IFERROR(IF(AU665&lt;($AM$6-$AL$6)/($AN$6-$AL$6),$AL$6+SQRT(AU665*($AN$6-$AL$6)*($AM$6-$AL$6)),$AN$6-SQRT((1-AU665)*($AN$6-$AL$6)*($AN$6-$AM$6))),$AM$6)</f>
        <v/>
      </c>
      <c r="AM665">
        <f>IFERROR(IF(AV665&lt;($AM$7-$AL$7)/($AN$7-$AL$7),$AL$7+SQRT(AV665*($AN$7-$AL$7)*($AM$7-$AL$7)),$AN$7-SQRT((1-AV665)*($AN$7-$AL$7)*($AN$7-$AM$7))),$AM$7)</f>
        <v/>
      </c>
      <c r="AN665">
        <f>IFERROR(IF(AW665&lt;($AM$8-$AL$8)/($AN$8-$AL$8),$AL$8+SQRT(AW665*($AN$8-$AL$8)*($AM$8-$AL$8)),$AN$8-SQRT((1-AW665)*($AN$8-$AL$8)*($AN$8-$AM$8))),$AM$8)</f>
        <v/>
      </c>
      <c r="AO665">
        <f>IFERROR(IF(AX665&lt;($AM$9-$AL$9)/($AN$9-$AL$9),$AL$9+SQRT(AX665*($AN$9-$AL$9)*($AM$9-$AL$9)),$AN$9-SQRT((1-AX665)*($AN$9-$AL$9)*($AN$9-$AM$9))),$AM$9)</f>
        <v/>
      </c>
      <c r="AP665">
        <f>IFERROR(IF(AY665&lt;($AM$10-$AL$10)/($AN$10-$AL$10),$AL$10+SQRT(AY665*($AN$10-$AL$10)*($AM$10-$AL$10)),$AN$10-SQRT((1-AY665)*($AN$10-$AL$10)*($AN$10-$AM$10))),$AM$10)</f>
        <v/>
      </c>
      <c r="AQ665">
        <f>IFERROR(IF(AZ665&lt;($AM$11-$AL$11)/($AN$11-$AL$11),$AL$11+SQRT(AZ665*($AN$11-$AL$11)*($AM$11-$AL$11)),$AN$11-SQRT((1-AZ665)*($AN$11-$AL$11)*($AN$11-$AM$11))),$AM$11)</f>
        <v/>
      </c>
      <c r="AR665">
        <f>SUMPRODUCT((B24:B31&lt;=$B$6)*(C24:C31*AM665+D24:D31*AO665*$B$8*AQ665)/(1+AL665/100)^B24:B31)+C32*AM665*AP665/(1+AL665/100)^$B$6</f>
        <v/>
      </c>
      <c r="AS665">
        <f>SUMPRODUCT((K24:K26&lt;=$B$6)*(L24:L26*AN665+M24:M26*AO665*$B$8*AQ665)/(1+AL665/100)^K24:K26)+L27*AN665*AP665/(1+AL665/100)^$B$6</f>
        <v/>
      </c>
      <c r="AT665">
        <f>AS665-AR665</f>
        <v/>
      </c>
      <c r="AU665">
        <f>RAND()</f>
        <v/>
      </c>
      <c r="AV665">
        <f>RAND()</f>
        <v/>
      </c>
      <c r="AW665">
        <f>RAND()</f>
        <v/>
      </c>
      <c r="AX665">
        <f>RAND()</f>
        <v/>
      </c>
      <c r="AY665">
        <f>RAND()</f>
        <v/>
      </c>
      <c r="AZ665">
        <f>RAND()</f>
        <v/>
      </c>
    </row>
    <row r="666">
      <c r="AK666" t="n">
        <v>653</v>
      </c>
      <c r="AL666">
        <f>IFERROR(IF(AU666&lt;($AM$6-$AL$6)/($AN$6-$AL$6),$AL$6+SQRT(AU666*($AN$6-$AL$6)*($AM$6-$AL$6)),$AN$6-SQRT((1-AU666)*($AN$6-$AL$6)*($AN$6-$AM$6))),$AM$6)</f>
        <v/>
      </c>
      <c r="AM666">
        <f>IFERROR(IF(AV666&lt;($AM$7-$AL$7)/($AN$7-$AL$7),$AL$7+SQRT(AV666*($AN$7-$AL$7)*($AM$7-$AL$7)),$AN$7-SQRT((1-AV666)*($AN$7-$AL$7)*($AN$7-$AM$7))),$AM$7)</f>
        <v/>
      </c>
      <c r="AN666">
        <f>IFERROR(IF(AW666&lt;($AM$8-$AL$8)/($AN$8-$AL$8),$AL$8+SQRT(AW666*($AN$8-$AL$8)*($AM$8-$AL$8)),$AN$8-SQRT((1-AW666)*($AN$8-$AL$8)*($AN$8-$AM$8))),$AM$8)</f>
        <v/>
      </c>
      <c r="AO666">
        <f>IFERROR(IF(AX666&lt;($AM$9-$AL$9)/($AN$9-$AL$9),$AL$9+SQRT(AX666*($AN$9-$AL$9)*($AM$9-$AL$9)),$AN$9-SQRT((1-AX666)*($AN$9-$AL$9)*($AN$9-$AM$9))),$AM$9)</f>
        <v/>
      </c>
      <c r="AP666">
        <f>IFERROR(IF(AY666&lt;($AM$10-$AL$10)/($AN$10-$AL$10),$AL$10+SQRT(AY666*($AN$10-$AL$10)*($AM$10-$AL$10)),$AN$10-SQRT((1-AY666)*($AN$10-$AL$10)*($AN$10-$AM$10))),$AM$10)</f>
        <v/>
      </c>
      <c r="AQ666">
        <f>IFERROR(IF(AZ666&lt;($AM$11-$AL$11)/($AN$11-$AL$11),$AL$11+SQRT(AZ666*($AN$11-$AL$11)*($AM$11-$AL$11)),$AN$11-SQRT((1-AZ666)*($AN$11-$AL$11)*($AN$11-$AM$11))),$AM$11)</f>
        <v/>
      </c>
      <c r="AR666">
        <f>SUMPRODUCT((B24:B31&lt;=$B$6)*(C24:C31*AM666+D24:D31*AO666*$B$8*AQ666)/(1+AL666/100)^B24:B31)+C32*AM666*AP666/(1+AL666/100)^$B$6</f>
        <v/>
      </c>
      <c r="AS666">
        <f>SUMPRODUCT((K24:K26&lt;=$B$6)*(L24:L26*AN666+M24:M26*AO666*$B$8*AQ666)/(1+AL666/100)^K24:K26)+L27*AN666*AP666/(1+AL666/100)^$B$6</f>
        <v/>
      </c>
      <c r="AT666">
        <f>AS666-AR666</f>
        <v/>
      </c>
      <c r="AU666">
        <f>RAND()</f>
        <v/>
      </c>
      <c r="AV666">
        <f>RAND()</f>
        <v/>
      </c>
      <c r="AW666">
        <f>RAND()</f>
        <v/>
      </c>
      <c r="AX666">
        <f>RAND()</f>
        <v/>
      </c>
      <c r="AY666">
        <f>RAND()</f>
        <v/>
      </c>
      <c r="AZ666">
        <f>RAND()</f>
        <v/>
      </c>
    </row>
    <row r="667">
      <c r="AK667" t="n">
        <v>654</v>
      </c>
      <c r="AL667">
        <f>IFERROR(IF(AU667&lt;($AM$6-$AL$6)/($AN$6-$AL$6),$AL$6+SQRT(AU667*($AN$6-$AL$6)*($AM$6-$AL$6)),$AN$6-SQRT((1-AU667)*($AN$6-$AL$6)*($AN$6-$AM$6))),$AM$6)</f>
        <v/>
      </c>
      <c r="AM667">
        <f>IFERROR(IF(AV667&lt;($AM$7-$AL$7)/($AN$7-$AL$7),$AL$7+SQRT(AV667*($AN$7-$AL$7)*($AM$7-$AL$7)),$AN$7-SQRT((1-AV667)*($AN$7-$AL$7)*($AN$7-$AM$7))),$AM$7)</f>
        <v/>
      </c>
      <c r="AN667">
        <f>IFERROR(IF(AW667&lt;($AM$8-$AL$8)/($AN$8-$AL$8),$AL$8+SQRT(AW667*($AN$8-$AL$8)*($AM$8-$AL$8)),$AN$8-SQRT((1-AW667)*($AN$8-$AL$8)*($AN$8-$AM$8))),$AM$8)</f>
        <v/>
      </c>
      <c r="AO667">
        <f>IFERROR(IF(AX667&lt;($AM$9-$AL$9)/($AN$9-$AL$9),$AL$9+SQRT(AX667*($AN$9-$AL$9)*($AM$9-$AL$9)),$AN$9-SQRT((1-AX667)*($AN$9-$AL$9)*($AN$9-$AM$9))),$AM$9)</f>
        <v/>
      </c>
      <c r="AP667">
        <f>IFERROR(IF(AY667&lt;($AM$10-$AL$10)/($AN$10-$AL$10),$AL$10+SQRT(AY667*($AN$10-$AL$10)*($AM$10-$AL$10)),$AN$10-SQRT((1-AY667)*($AN$10-$AL$10)*($AN$10-$AM$10))),$AM$10)</f>
        <v/>
      </c>
      <c r="AQ667">
        <f>IFERROR(IF(AZ667&lt;($AM$11-$AL$11)/($AN$11-$AL$11),$AL$11+SQRT(AZ667*($AN$11-$AL$11)*($AM$11-$AL$11)),$AN$11-SQRT((1-AZ667)*($AN$11-$AL$11)*($AN$11-$AM$11))),$AM$11)</f>
        <v/>
      </c>
      <c r="AR667">
        <f>SUMPRODUCT((B24:B31&lt;=$B$6)*(C24:C31*AM667+D24:D31*AO667*$B$8*AQ667)/(1+AL667/100)^B24:B31)+C32*AM667*AP667/(1+AL667/100)^$B$6</f>
        <v/>
      </c>
      <c r="AS667">
        <f>SUMPRODUCT((K24:K26&lt;=$B$6)*(L24:L26*AN667+M24:M26*AO667*$B$8*AQ667)/(1+AL667/100)^K24:K26)+L27*AN667*AP667/(1+AL667/100)^$B$6</f>
        <v/>
      </c>
      <c r="AT667">
        <f>AS667-AR667</f>
        <v/>
      </c>
      <c r="AU667">
        <f>RAND()</f>
        <v/>
      </c>
      <c r="AV667">
        <f>RAND()</f>
        <v/>
      </c>
      <c r="AW667">
        <f>RAND()</f>
        <v/>
      </c>
      <c r="AX667">
        <f>RAND()</f>
        <v/>
      </c>
      <c r="AY667">
        <f>RAND()</f>
        <v/>
      </c>
      <c r="AZ667">
        <f>RAND()</f>
        <v/>
      </c>
    </row>
    <row r="668">
      <c r="AK668" t="n">
        <v>655</v>
      </c>
      <c r="AL668">
        <f>IFERROR(IF(AU668&lt;($AM$6-$AL$6)/($AN$6-$AL$6),$AL$6+SQRT(AU668*($AN$6-$AL$6)*($AM$6-$AL$6)),$AN$6-SQRT((1-AU668)*($AN$6-$AL$6)*($AN$6-$AM$6))),$AM$6)</f>
        <v/>
      </c>
      <c r="AM668">
        <f>IFERROR(IF(AV668&lt;($AM$7-$AL$7)/($AN$7-$AL$7),$AL$7+SQRT(AV668*($AN$7-$AL$7)*($AM$7-$AL$7)),$AN$7-SQRT((1-AV668)*($AN$7-$AL$7)*($AN$7-$AM$7))),$AM$7)</f>
        <v/>
      </c>
      <c r="AN668">
        <f>IFERROR(IF(AW668&lt;($AM$8-$AL$8)/($AN$8-$AL$8),$AL$8+SQRT(AW668*($AN$8-$AL$8)*($AM$8-$AL$8)),$AN$8-SQRT((1-AW668)*($AN$8-$AL$8)*($AN$8-$AM$8))),$AM$8)</f>
        <v/>
      </c>
      <c r="AO668">
        <f>IFERROR(IF(AX668&lt;($AM$9-$AL$9)/($AN$9-$AL$9),$AL$9+SQRT(AX668*($AN$9-$AL$9)*($AM$9-$AL$9)),$AN$9-SQRT((1-AX668)*($AN$9-$AL$9)*($AN$9-$AM$9))),$AM$9)</f>
        <v/>
      </c>
      <c r="AP668">
        <f>IFERROR(IF(AY668&lt;($AM$10-$AL$10)/($AN$10-$AL$10),$AL$10+SQRT(AY668*($AN$10-$AL$10)*($AM$10-$AL$10)),$AN$10-SQRT((1-AY668)*($AN$10-$AL$10)*($AN$10-$AM$10))),$AM$10)</f>
        <v/>
      </c>
      <c r="AQ668">
        <f>IFERROR(IF(AZ668&lt;($AM$11-$AL$11)/($AN$11-$AL$11),$AL$11+SQRT(AZ668*($AN$11-$AL$11)*($AM$11-$AL$11)),$AN$11-SQRT((1-AZ668)*($AN$11-$AL$11)*($AN$11-$AM$11))),$AM$11)</f>
        <v/>
      </c>
      <c r="AR668">
        <f>SUMPRODUCT((B24:B31&lt;=$B$6)*(C24:C31*AM668+D24:D31*AO668*$B$8*AQ668)/(1+AL668/100)^B24:B31)+C32*AM668*AP668/(1+AL668/100)^$B$6</f>
        <v/>
      </c>
      <c r="AS668">
        <f>SUMPRODUCT((K24:K26&lt;=$B$6)*(L24:L26*AN668+M24:M26*AO668*$B$8*AQ668)/(1+AL668/100)^K24:K26)+L27*AN668*AP668/(1+AL668/100)^$B$6</f>
        <v/>
      </c>
      <c r="AT668">
        <f>AS668-AR668</f>
        <v/>
      </c>
      <c r="AU668">
        <f>RAND()</f>
        <v/>
      </c>
      <c r="AV668">
        <f>RAND()</f>
        <v/>
      </c>
      <c r="AW668">
        <f>RAND()</f>
        <v/>
      </c>
      <c r="AX668">
        <f>RAND()</f>
        <v/>
      </c>
      <c r="AY668">
        <f>RAND()</f>
        <v/>
      </c>
      <c r="AZ668">
        <f>RAND()</f>
        <v/>
      </c>
    </row>
    <row r="669">
      <c r="AK669" t="n">
        <v>656</v>
      </c>
      <c r="AL669">
        <f>IFERROR(IF(AU669&lt;($AM$6-$AL$6)/($AN$6-$AL$6),$AL$6+SQRT(AU669*($AN$6-$AL$6)*($AM$6-$AL$6)),$AN$6-SQRT((1-AU669)*($AN$6-$AL$6)*($AN$6-$AM$6))),$AM$6)</f>
        <v/>
      </c>
      <c r="AM669">
        <f>IFERROR(IF(AV669&lt;($AM$7-$AL$7)/($AN$7-$AL$7),$AL$7+SQRT(AV669*($AN$7-$AL$7)*($AM$7-$AL$7)),$AN$7-SQRT((1-AV669)*($AN$7-$AL$7)*($AN$7-$AM$7))),$AM$7)</f>
        <v/>
      </c>
      <c r="AN669">
        <f>IFERROR(IF(AW669&lt;($AM$8-$AL$8)/($AN$8-$AL$8),$AL$8+SQRT(AW669*($AN$8-$AL$8)*($AM$8-$AL$8)),$AN$8-SQRT((1-AW669)*($AN$8-$AL$8)*($AN$8-$AM$8))),$AM$8)</f>
        <v/>
      </c>
      <c r="AO669">
        <f>IFERROR(IF(AX669&lt;($AM$9-$AL$9)/($AN$9-$AL$9),$AL$9+SQRT(AX669*($AN$9-$AL$9)*($AM$9-$AL$9)),$AN$9-SQRT((1-AX669)*($AN$9-$AL$9)*($AN$9-$AM$9))),$AM$9)</f>
        <v/>
      </c>
      <c r="AP669">
        <f>IFERROR(IF(AY669&lt;($AM$10-$AL$10)/($AN$10-$AL$10),$AL$10+SQRT(AY669*($AN$10-$AL$10)*($AM$10-$AL$10)),$AN$10-SQRT((1-AY669)*($AN$10-$AL$10)*($AN$10-$AM$10))),$AM$10)</f>
        <v/>
      </c>
      <c r="AQ669">
        <f>IFERROR(IF(AZ669&lt;($AM$11-$AL$11)/($AN$11-$AL$11),$AL$11+SQRT(AZ669*($AN$11-$AL$11)*($AM$11-$AL$11)),$AN$11-SQRT((1-AZ669)*($AN$11-$AL$11)*($AN$11-$AM$11))),$AM$11)</f>
        <v/>
      </c>
      <c r="AR669">
        <f>SUMPRODUCT((B24:B31&lt;=$B$6)*(C24:C31*AM669+D24:D31*AO669*$B$8*AQ669)/(1+AL669/100)^B24:B31)+C32*AM669*AP669/(1+AL669/100)^$B$6</f>
        <v/>
      </c>
      <c r="AS669">
        <f>SUMPRODUCT((K24:K26&lt;=$B$6)*(L24:L26*AN669+M24:M26*AO669*$B$8*AQ669)/(1+AL669/100)^K24:K26)+L27*AN669*AP669/(1+AL669/100)^$B$6</f>
        <v/>
      </c>
      <c r="AT669">
        <f>AS669-AR669</f>
        <v/>
      </c>
      <c r="AU669">
        <f>RAND()</f>
        <v/>
      </c>
      <c r="AV669">
        <f>RAND()</f>
        <v/>
      </c>
      <c r="AW669">
        <f>RAND()</f>
        <v/>
      </c>
      <c r="AX669">
        <f>RAND()</f>
        <v/>
      </c>
      <c r="AY669">
        <f>RAND()</f>
        <v/>
      </c>
      <c r="AZ669">
        <f>RAND()</f>
        <v/>
      </c>
    </row>
    <row r="670">
      <c r="AK670" t="n">
        <v>657</v>
      </c>
      <c r="AL670">
        <f>IFERROR(IF(AU670&lt;($AM$6-$AL$6)/($AN$6-$AL$6),$AL$6+SQRT(AU670*($AN$6-$AL$6)*($AM$6-$AL$6)),$AN$6-SQRT((1-AU670)*($AN$6-$AL$6)*($AN$6-$AM$6))),$AM$6)</f>
        <v/>
      </c>
      <c r="AM670">
        <f>IFERROR(IF(AV670&lt;($AM$7-$AL$7)/($AN$7-$AL$7),$AL$7+SQRT(AV670*($AN$7-$AL$7)*($AM$7-$AL$7)),$AN$7-SQRT((1-AV670)*($AN$7-$AL$7)*($AN$7-$AM$7))),$AM$7)</f>
        <v/>
      </c>
      <c r="AN670">
        <f>IFERROR(IF(AW670&lt;($AM$8-$AL$8)/($AN$8-$AL$8),$AL$8+SQRT(AW670*($AN$8-$AL$8)*($AM$8-$AL$8)),$AN$8-SQRT((1-AW670)*($AN$8-$AL$8)*($AN$8-$AM$8))),$AM$8)</f>
        <v/>
      </c>
      <c r="AO670">
        <f>IFERROR(IF(AX670&lt;($AM$9-$AL$9)/($AN$9-$AL$9),$AL$9+SQRT(AX670*($AN$9-$AL$9)*($AM$9-$AL$9)),$AN$9-SQRT((1-AX670)*($AN$9-$AL$9)*($AN$9-$AM$9))),$AM$9)</f>
        <v/>
      </c>
      <c r="AP670">
        <f>IFERROR(IF(AY670&lt;($AM$10-$AL$10)/($AN$10-$AL$10),$AL$10+SQRT(AY670*($AN$10-$AL$10)*($AM$10-$AL$10)),$AN$10-SQRT((1-AY670)*($AN$10-$AL$10)*($AN$10-$AM$10))),$AM$10)</f>
        <v/>
      </c>
      <c r="AQ670">
        <f>IFERROR(IF(AZ670&lt;($AM$11-$AL$11)/($AN$11-$AL$11),$AL$11+SQRT(AZ670*($AN$11-$AL$11)*($AM$11-$AL$11)),$AN$11-SQRT((1-AZ670)*($AN$11-$AL$11)*($AN$11-$AM$11))),$AM$11)</f>
        <v/>
      </c>
      <c r="AR670">
        <f>SUMPRODUCT((B24:B31&lt;=$B$6)*(C24:C31*AM670+D24:D31*AO670*$B$8*AQ670)/(1+AL670/100)^B24:B31)+C32*AM670*AP670/(1+AL670/100)^$B$6</f>
        <v/>
      </c>
      <c r="AS670">
        <f>SUMPRODUCT((K24:K26&lt;=$B$6)*(L24:L26*AN670+M24:M26*AO670*$B$8*AQ670)/(1+AL670/100)^K24:K26)+L27*AN670*AP670/(1+AL670/100)^$B$6</f>
        <v/>
      </c>
      <c r="AT670">
        <f>AS670-AR670</f>
        <v/>
      </c>
      <c r="AU670">
        <f>RAND()</f>
        <v/>
      </c>
      <c r="AV670">
        <f>RAND()</f>
        <v/>
      </c>
      <c r="AW670">
        <f>RAND()</f>
        <v/>
      </c>
      <c r="AX670">
        <f>RAND()</f>
        <v/>
      </c>
      <c r="AY670">
        <f>RAND()</f>
        <v/>
      </c>
      <c r="AZ670">
        <f>RAND()</f>
        <v/>
      </c>
    </row>
    <row r="671">
      <c r="AK671" t="n">
        <v>658</v>
      </c>
      <c r="AL671">
        <f>IFERROR(IF(AU671&lt;($AM$6-$AL$6)/($AN$6-$AL$6),$AL$6+SQRT(AU671*($AN$6-$AL$6)*($AM$6-$AL$6)),$AN$6-SQRT((1-AU671)*($AN$6-$AL$6)*($AN$6-$AM$6))),$AM$6)</f>
        <v/>
      </c>
      <c r="AM671">
        <f>IFERROR(IF(AV671&lt;($AM$7-$AL$7)/($AN$7-$AL$7),$AL$7+SQRT(AV671*($AN$7-$AL$7)*($AM$7-$AL$7)),$AN$7-SQRT((1-AV671)*($AN$7-$AL$7)*($AN$7-$AM$7))),$AM$7)</f>
        <v/>
      </c>
      <c r="AN671">
        <f>IFERROR(IF(AW671&lt;($AM$8-$AL$8)/($AN$8-$AL$8),$AL$8+SQRT(AW671*($AN$8-$AL$8)*($AM$8-$AL$8)),$AN$8-SQRT((1-AW671)*($AN$8-$AL$8)*($AN$8-$AM$8))),$AM$8)</f>
        <v/>
      </c>
      <c r="AO671">
        <f>IFERROR(IF(AX671&lt;($AM$9-$AL$9)/($AN$9-$AL$9),$AL$9+SQRT(AX671*($AN$9-$AL$9)*($AM$9-$AL$9)),$AN$9-SQRT((1-AX671)*($AN$9-$AL$9)*($AN$9-$AM$9))),$AM$9)</f>
        <v/>
      </c>
      <c r="AP671">
        <f>IFERROR(IF(AY671&lt;($AM$10-$AL$10)/($AN$10-$AL$10),$AL$10+SQRT(AY671*($AN$10-$AL$10)*($AM$10-$AL$10)),$AN$10-SQRT((1-AY671)*($AN$10-$AL$10)*($AN$10-$AM$10))),$AM$10)</f>
        <v/>
      </c>
      <c r="AQ671">
        <f>IFERROR(IF(AZ671&lt;($AM$11-$AL$11)/($AN$11-$AL$11),$AL$11+SQRT(AZ671*($AN$11-$AL$11)*($AM$11-$AL$11)),$AN$11-SQRT((1-AZ671)*($AN$11-$AL$11)*($AN$11-$AM$11))),$AM$11)</f>
        <v/>
      </c>
      <c r="AR671">
        <f>SUMPRODUCT((B24:B31&lt;=$B$6)*(C24:C31*AM671+D24:D31*AO671*$B$8*AQ671)/(1+AL671/100)^B24:B31)+C32*AM671*AP671/(1+AL671/100)^$B$6</f>
        <v/>
      </c>
      <c r="AS671">
        <f>SUMPRODUCT((K24:K26&lt;=$B$6)*(L24:L26*AN671+M24:M26*AO671*$B$8*AQ671)/(1+AL671/100)^K24:K26)+L27*AN671*AP671/(1+AL671/100)^$B$6</f>
        <v/>
      </c>
      <c r="AT671">
        <f>AS671-AR671</f>
        <v/>
      </c>
      <c r="AU671">
        <f>RAND()</f>
        <v/>
      </c>
      <c r="AV671">
        <f>RAND()</f>
        <v/>
      </c>
      <c r="AW671">
        <f>RAND()</f>
        <v/>
      </c>
      <c r="AX671">
        <f>RAND()</f>
        <v/>
      </c>
      <c r="AY671">
        <f>RAND()</f>
        <v/>
      </c>
      <c r="AZ671">
        <f>RAND()</f>
        <v/>
      </c>
    </row>
    <row r="672">
      <c r="AK672" t="n">
        <v>659</v>
      </c>
      <c r="AL672">
        <f>IFERROR(IF(AU672&lt;($AM$6-$AL$6)/($AN$6-$AL$6),$AL$6+SQRT(AU672*($AN$6-$AL$6)*($AM$6-$AL$6)),$AN$6-SQRT((1-AU672)*($AN$6-$AL$6)*($AN$6-$AM$6))),$AM$6)</f>
        <v/>
      </c>
      <c r="AM672">
        <f>IFERROR(IF(AV672&lt;($AM$7-$AL$7)/($AN$7-$AL$7),$AL$7+SQRT(AV672*($AN$7-$AL$7)*($AM$7-$AL$7)),$AN$7-SQRT((1-AV672)*($AN$7-$AL$7)*($AN$7-$AM$7))),$AM$7)</f>
        <v/>
      </c>
      <c r="AN672">
        <f>IFERROR(IF(AW672&lt;($AM$8-$AL$8)/($AN$8-$AL$8),$AL$8+SQRT(AW672*($AN$8-$AL$8)*($AM$8-$AL$8)),$AN$8-SQRT((1-AW672)*($AN$8-$AL$8)*($AN$8-$AM$8))),$AM$8)</f>
        <v/>
      </c>
      <c r="AO672">
        <f>IFERROR(IF(AX672&lt;($AM$9-$AL$9)/($AN$9-$AL$9),$AL$9+SQRT(AX672*($AN$9-$AL$9)*($AM$9-$AL$9)),$AN$9-SQRT((1-AX672)*($AN$9-$AL$9)*($AN$9-$AM$9))),$AM$9)</f>
        <v/>
      </c>
      <c r="AP672">
        <f>IFERROR(IF(AY672&lt;($AM$10-$AL$10)/($AN$10-$AL$10),$AL$10+SQRT(AY672*($AN$10-$AL$10)*($AM$10-$AL$10)),$AN$10-SQRT((1-AY672)*($AN$10-$AL$10)*($AN$10-$AM$10))),$AM$10)</f>
        <v/>
      </c>
      <c r="AQ672">
        <f>IFERROR(IF(AZ672&lt;($AM$11-$AL$11)/($AN$11-$AL$11),$AL$11+SQRT(AZ672*($AN$11-$AL$11)*($AM$11-$AL$11)),$AN$11-SQRT((1-AZ672)*($AN$11-$AL$11)*($AN$11-$AM$11))),$AM$11)</f>
        <v/>
      </c>
      <c r="AR672">
        <f>SUMPRODUCT((B24:B31&lt;=$B$6)*(C24:C31*AM672+D24:D31*AO672*$B$8*AQ672)/(1+AL672/100)^B24:B31)+C32*AM672*AP672/(1+AL672/100)^$B$6</f>
        <v/>
      </c>
      <c r="AS672">
        <f>SUMPRODUCT((K24:K26&lt;=$B$6)*(L24:L26*AN672+M24:M26*AO672*$B$8*AQ672)/(1+AL672/100)^K24:K26)+L27*AN672*AP672/(1+AL672/100)^$B$6</f>
        <v/>
      </c>
      <c r="AT672">
        <f>AS672-AR672</f>
        <v/>
      </c>
      <c r="AU672">
        <f>RAND()</f>
        <v/>
      </c>
      <c r="AV672">
        <f>RAND()</f>
        <v/>
      </c>
      <c r="AW672">
        <f>RAND()</f>
        <v/>
      </c>
      <c r="AX672">
        <f>RAND()</f>
        <v/>
      </c>
      <c r="AY672">
        <f>RAND()</f>
        <v/>
      </c>
      <c r="AZ672">
        <f>RAND()</f>
        <v/>
      </c>
    </row>
    <row r="673">
      <c r="AK673" t="n">
        <v>660</v>
      </c>
      <c r="AL673">
        <f>IFERROR(IF(AU673&lt;($AM$6-$AL$6)/($AN$6-$AL$6),$AL$6+SQRT(AU673*($AN$6-$AL$6)*($AM$6-$AL$6)),$AN$6-SQRT((1-AU673)*($AN$6-$AL$6)*($AN$6-$AM$6))),$AM$6)</f>
        <v/>
      </c>
      <c r="AM673">
        <f>IFERROR(IF(AV673&lt;($AM$7-$AL$7)/($AN$7-$AL$7),$AL$7+SQRT(AV673*($AN$7-$AL$7)*($AM$7-$AL$7)),$AN$7-SQRT((1-AV673)*($AN$7-$AL$7)*($AN$7-$AM$7))),$AM$7)</f>
        <v/>
      </c>
      <c r="AN673">
        <f>IFERROR(IF(AW673&lt;($AM$8-$AL$8)/($AN$8-$AL$8),$AL$8+SQRT(AW673*($AN$8-$AL$8)*($AM$8-$AL$8)),$AN$8-SQRT((1-AW673)*($AN$8-$AL$8)*($AN$8-$AM$8))),$AM$8)</f>
        <v/>
      </c>
      <c r="AO673">
        <f>IFERROR(IF(AX673&lt;($AM$9-$AL$9)/($AN$9-$AL$9),$AL$9+SQRT(AX673*($AN$9-$AL$9)*($AM$9-$AL$9)),$AN$9-SQRT((1-AX673)*($AN$9-$AL$9)*($AN$9-$AM$9))),$AM$9)</f>
        <v/>
      </c>
      <c r="AP673">
        <f>IFERROR(IF(AY673&lt;($AM$10-$AL$10)/($AN$10-$AL$10),$AL$10+SQRT(AY673*($AN$10-$AL$10)*($AM$10-$AL$10)),$AN$10-SQRT((1-AY673)*($AN$10-$AL$10)*($AN$10-$AM$10))),$AM$10)</f>
        <v/>
      </c>
      <c r="AQ673">
        <f>IFERROR(IF(AZ673&lt;($AM$11-$AL$11)/($AN$11-$AL$11),$AL$11+SQRT(AZ673*($AN$11-$AL$11)*($AM$11-$AL$11)),$AN$11-SQRT((1-AZ673)*($AN$11-$AL$11)*($AN$11-$AM$11))),$AM$11)</f>
        <v/>
      </c>
      <c r="AR673">
        <f>SUMPRODUCT((B24:B31&lt;=$B$6)*(C24:C31*AM673+D24:D31*AO673*$B$8*AQ673)/(1+AL673/100)^B24:B31)+C32*AM673*AP673/(1+AL673/100)^$B$6</f>
        <v/>
      </c>
      <c r="AS673">
        <f>SUMPRODUCT((K24:K26&lt;=$B$6)*(L24:L26*AN673+M24:M26*AO673*$B$8*AQ673)/(1+AL673/100)^K24:K26)+L27*AN673*AP673/(1+AL673/100)^$B$6</f>
        <v/>
      </c>
      <c r="AT673">
        <f>AS673-AR673</f>
        <v/>
      </c>
      <c r="AU673">
        <f>RAND()</f>
        <v/>
      </c>
      <c r="AV673">
        <f>RAND()</f>
        <v/>
      </c>
      <c r="AW673">
        <f>RAND()</f>
        <v/>
      </c>
      <c r="AX673">
        <f>RAND()</f>
        <v/>
      </c>
      <c r="AY673">
        <f>RAND()</f>
        <v/>
      </c>
      <c r="AZ673">
        <f>RAND()</f>
        <v/>
      </c>
    </row>
    <row r="674">
      <c r="AK674" t="n">
        <v>661</v>
      </c>
      <c r="AL674">
        <f>IFERROR(IF(AU674&lt;($AM$6-$AL$6)/($AN$6-$AL$6),$AL$6+SQRT(AU674*($AN$6-$AL$6)*($AM$6-$AL$6)),$AN$6-SQRT((1-AU674)*($AN$6-$AL$6)*($AN$6-$AM$6))),$AM$6)</f>
        <v/>
      </c>
      <c r="AM674">
        <f>IFERROR(IF(AV674&lt;($AM$7-$AL$7)/($AN$7-$AL$7),$AL$7+SQRT(AV674*($AN$7-$AL$7)*($AM$7-$AL$7)),$AN$7-SQRT((1-AV674)*($AN$7-$AL$7)*($AN$7-$AM$7))),$AM$7)</f>
        <v/>
      </c>
      <c r="AN674">
        <f>IFERROR(IF(AW674&lt;($AM$8-$AL$8)/($AN$8-$AL$8),$AL$8+SQRT(AW674*($AN$8-$AL$8)*($AM$8-$AL$8)),$AN$8-SQRT((1-AW674)*($AN$8-$AL$8)*($AN$8-$AM$8))),$AM$8)</f>
        <v/>
      </c>
      <c r="AO674">
        <f>IFERROR(IF(AX674&lt;($AM$9-$AL$9)/($AN$9-$AL$9),$AL$9+SQRT(AX674*($AN$9-$AL$9)*($AM$9-$AL$9)),$AN$9-SQRT((1-AX674)*($AN$9-$AL$9)*($AN$9-$AM$9))),$AM$9)</f>
        <v/>
      </c>
      <c r="AP674">
        <f>IFERROR(IF(AY674&lt;($AM$10-$AL$10)/($AN$10-$AL$10),$AL$10+SQRT(AY674*($AN$10-$AL$10)*($AM$10-$AL$10)),$AN$10-SQRT((1-AY674)*($AN$10-$AL$10)*($AN$10-$AM$10))),$AM$10)</f>
        <v/>
      </c>
      <c r="AQ674">
        <f>IFERROR(IF(AZ674&lt;($AM$11-$AL$11)/($AN$11-$AL$11),$AL$11+SQRT(AZ674*($AN$11-$AL$11)*($AM$11-$AL$11)),$AN$11-SQRT((1-AZ674)*($AN$11-$AL$11)*($AN$11-$AM$11))),$AM$11)</f>
        <v/>
      </c>
      <c r="AR674">
        <f>SUMPRODUCT((B24:B31&lt;=$B$6)*(C24:C31*AM674+D24:D31*AO674*$B$8*AQ674)/(1+AL674/100)^B24:B31)+C32*AM674*AP674/(1+AL674/100)^$B$6</f>
        <v/>
      </c>
      <c r="AS674">
        <f>SUMPRODUCT((K24:K26&lt;=$B$6)*(L24:L26*AN674+M24:M26*AO674*$B$8*AQ674)/(1+AL674/100)^K24:K26)+L27*AN674*AP674/(1+AL674/100)^$B$6</f>
        <v/>
      </c>
      <c r="AT674">
        <f>AS674-AR674</f>
        <v/>
      </c>
      <c r="AU674">
        <f>RAND()</f>
        <v/>
      </c>
      <c r="AV674">
        <f>RAND()</f>
        <v/>
      </c>
      <c r="AW674">
        <f>RAND()</f>
        <v/>
      </c>
      <c r="AX674">
        <f>RAND()</f>
        <v/>
      </c>
      <c r="AY674">
        <f>RAND()</f>
        <v/>
      </c>
      <c r="AZ674">
        <f>RAND()</f>
        <v/>
      </c>
    </row>
    <row r="675">
      <c r="AK675" t="n">
        <v>662</v>
      </c>
      <c r="AL675">
        <f>IFERROR(IF(AU675&lt;($AM$6-$AL$6)/($AN$6-$AL$6),$AL$6+SQRT(AU675*($AN$6-$AL$6)*($AM$6-$AL$6)),$AN$6-SQRT((1-AU675)*($AN$6-$AL$6)*($AN$6-$AM$6))),$AM$6)</f>
        <v/>
      </c>
      <c r="AM675">
        <f>IFERROR(IF(AV675&lt;($AM$7-$AL$7)/($AN$7-$AL$7),$AL$7+SQRT(AV675*($AN$7-$AL$7)*($AM$7-$AL$7)),$AN$7-SQRT((1-AV675)*($AN$7-$AL$7)*($AN$7-$AM$7))),$AM$7)</f>
        <v/>
      </c>
      <c r="AN675">
        <f>IFERROR(IF(AW675&lt;($AM$8-$AL$8)/($AN$8-$AL$8),$AL$8+SQRT(AW675*($AN$8-$AL$8)*($AM$8-$AL$8)),$AN$8-SQRT((1-AW675)*($AN$8-$AL$8)*($AN$8-$AM$8))),$AM$8)</f>
        <v/>
      </c>
      <c r="AO675">
        <f>IFERROR(IF(AX675&lt;($AM$9-$AL$9)/($AN$9-$AL$9),$AL$9+SQRT(AX675*($AN$9-$AL$9)*($AM$9-$AL$9)),$AN$9-SQRT((1-AX675)*($AN$9-$AL$9)*($AN$9-$AM$9))),$AM$9)</f>
        <v/>
      </c>
      <c r="AP675">
        <f>IFERROR(IF(AY675&lt;($AM$10-$AL$10)/($AN$10-$AL$10),$AL$10+SQRT(AY675*($AN$10-$AL$10)*($AM$10-$AL$10)),$AN$10-SQRT((1-AY675)*($AN$10-$AL$10)*($AN$10-$AM$10))),$AM$10)</f>
        <v/>
      </c>
      <c r="AQ675">
        <f>IFERROR(IF(AZ675&lt;($AM$11-$AL$11)/($AN$11-$AL$11),$AL$11+SQRT(AZ675*($AN$11-$AL$11)*($AM$11-$AL$11)),$AN$11-SQRT((1-AZ675)*($AN$11-$AL$11)*($AN$11-$AM$11))),$AM$11)</f>
        <v/>
      </c>
      <c r="AR675">
        <f>SUMPRODUCT((B24:B31&lt;=$B$6)*(C24:C31*AM675+D24:D31*AO675*$B$8*AQ675)/(1+AL675/100)^B24:B31)+C32*AM675*AP675/(1+AL675/100)^$B$6</f>
        <v/>
      </c>
      <c r="AS675">
        <f>SUMPRODUCT((K24:K26&lt;=$B$6)*(L24:L26*AN675+M24:M26*AO675*$B$8*AQ675)/(1+AL675/100)^K24:K26)+L27*AN675*AP675/(1+AL675/100)^$B$6</f>
        <v/>
      </c>
      <c r="AT675">
        <f>AS675-AR675</f>
        <v/>
      </c>
      <c r="AU675">
        <f>RAND()</f>
        <v/>
      </c>
      <c r="AV675">
        <f>RAND()</f>
        <v/>
      </c>
      <c r="AW675">
        <f>RAND()</f>
        <v/>
      </c>
      <c r="AX675">
        <f>RAND()</f>
        <v/>
      </c>
      <c r="AY675">
        <f>RAND()</f>
        <v/>
      </c>
      <c r="AZ675">
        <f>RAND()</f>
        <v/>
      </c>
    </row>
    <row r="676">
      <c r="AK676" t="n">
        <v>663</v>
      </c>
      <c r="AL676">
        <f>IFERROR(IF(AU676&lt;($AM$6-$AL$6)/($AN$6-$AL$6),$AL$6+SQRT(AU676*($AN$6-$AL$6)*($AM$6-$AL$6)),$AN$6-SQRT((1-AU676)*($AN$6-$AL$6)*($AN$6-$AM$6))),$AM$6)</f>
        <v/>
      </c>
      <c r="AM676">
        <f>IFERROR(IF(AV676&lt;($AM$7-$AL$7)/($AN$7-$AL$7),$AL$7+SQRT(AV676*($AN$7-$AL$7)*($AM$7-$AL$7)),$AN$7-SQRT((1-AV676)*($AN$7-$AL$7)*($AN$7-$AM$7))),$AM$7)</f>
        <v/>
      </c>
      <c r="AN676">
        <f>IFERROR(IF(AW676&lt;($AM$8-$AL$8)/($AN$8-$AL$8),$AL$8+SQRT(AW676*($AN$8-$AL$8)*($AM$8-$AL$8)),$AN$8-SQRT((1-AW676)*($AN$8-$AL$8)*($AN$8-$AM$8))),$AM$8)</f>
        <v/>
      </c>
      <c r="AO676">
        <f>IFERROR(IF(AX676&lt;($AM$9-$AL$9)/($AN$9-$AL$9),$AL$9+SQRT(AX676*($AN$9-$AL$9)*($AM$9-$AL$9)),$AN$9-SQRT((1-AX676)*($AN$9-$AL$9)*($AN$9-$AM$9))),$AM$9)</f>
        <v/>
      </c>
      <c r="AP676">
        <f>IFERROR(IF(AY676&lt;($AM$10-$AL$10)/($AN$10-$AL$10),$AL$10+SQRT(AY676*($AN$10-$AL$10)*($AM$10-$AL$10)),$AN$10-SQRT((1-AY676)*($AN$10-$AL$10)*($AN$10-$AM$10))),$AM$10)</f>
        <v/>
      </c>
      <c r="AQ676">
        <f>IFERROR(IF(AZ676&lt;($AM$11-$AL$11)/($AN$11-$AL$11),$AL$11+SQRT(AZ676*($AN$11-$AL$11)*($AM$11-$AL$11)),$AN$11-SQRT((1-AZ676)*($AN$11-$AL$11)*($AN$11-$AM$11))),$AM$11)</f>
        <v/>
      </c>
      <c r="AR676">
        <f>SUMPRODUCT((B24:B31&lt;=$B$6)*(C24:C31*AM676+D24:D31*AO676*$B$8*AQ676)/(1+AL676/100)^B24:B31)+C32*AM676*AP676/(1+AL676/100)^$B$6</f>
        <v/>
      </c>
      <c r="AS676">
        <f>SUMPRODUCT((K24:K26&lt;=$B$6)*(L24:L26*AN676+M24:M26*AO676*$B$8*AQ676)/(1+AL676/100)^K24:K26)+L27*AN676*AP676/(1+AL676/100)^$B$6</f>
        <v/>
      </c>
      <c r="AT676">
        <f>AS676-AR676</f>
        <v/>
      </c>
      <c r="AU676">
        <f>RAND()</f>
        <v/>
      </c>
      <c r="AV676">
        <f>RAND()</f>
        <v/>
      </c>
      <c r="AW676">
        <f>RAND()</f>
        <v/>
      </c>
      <c r="AX676">
        <f>RAND()</f>
        <v/>
      </c>
      <c r="AY676">
        <f>RAND()</f>
        <v/>
      </c>
      <c r="AZ676">
        <f>RAND()</f>
        <v/>
      </c>
    </row>
    <row r="677">
      <c r="AK677" t="n">
        <v>664</v>
      </c>
      <c r="AL677">
        <f>IFERROR(IF(AU677&lt;($AM$6-$AL$6)/($AN$6-$AL$6),$AL$6+SQRT(AU677*($AN$6-$AL$6)*($AM$6-$AL$6)),$AN$6-SQRT((1-AU677)*($AN$6-$AL$6)*($AN$6-$AM$6))),$AM$6)</f>
        <v/>
      </c>
      <c r="AM677">
        <f>IFERROR(IF(AV677&lt;($AM$7-$AL$7)/($AN$7-$AL$7),$AL$7+SQRT(AV677*($AN$7-$AL$7)*($AM$7-$AL$7)),$AN$7-SQRT((1-AV677)*($AN$7-$AL$7)*($AN$7-$AM$7))),$AM$7)</f>
        <v/>
      </c>
      <c r="AN677">
        <f>IFERROR(IF(AW677&lt;($AM$8-$AL$8)/($AN$8-$AL$8),$AL$8+SQRT(AW677*($AN$8-$AL$8)*($AM$8-$AL$8)),$AN$8-SQRT((1-AW677)*($AN$8-$AL$8)*($AN$8-$AM$8))),$AM$8)</f>
        <v/>
      </c>
      <c r="AO677">
        <f>IFERROR(IF(AX677&lt;($AM$9-$AL$9)/($AN$9-$AL$9),$AL$9+SQRT(AX677*($AN$9-$AL$9)*($AM$9-$AL$9)),$AN$9-SQRT((1-AX677)*($AN$9-$AL$9)*($AN$9-$AM$9))),$AM$9)</f>
        <v/>
      </c>
      <c r="AP677">
        <f>IFERROR(IF(AY677&lt;($AM$10-$AL$10)/($AN$10-$AL$10),$AL$10+SQRT(AY677*($AN$10-$AL$10)*($AM$10-$AL$10)),$AN$10-SQRT((1-AY677)*($AN$10-$AL$10)*($AN$10-$AM$10))),$AM$10)</f>
        <v/>
      </c>
      <c r="AQ677">
        <f>IFERROR(IF(AZ677&lt;($AM$11-$AL$11)/($AN$11-$AL$11),$AL$11+SQRT(AZ677*($AN$11-$AL$11)*($AM$11-$AL$11)),$AN$11-SQRT((1-AZ677)*($AN$11-$AL$11)*($AN$11-$AM$11))),$AM$11)</f>
        <v/>
      </c>
      <c r="AR677">
        <f>SUMPRODUCT((B24:B31&lt;=$B$6)*(C24:C31*AM677+D24:D31*AO677*$B$8*AQ677)/(1+AL677/100)^B24:B31)+C32*AM677*AP677/(1+AL677/100)^$B$6</f>
        <v/>
      </c>
      <c r="AS677">
        <f>SUMPRODUCT((K24:K26&lt;=$B$6)*(L24:L26*AN677+M24:M26*AO677*$B$8*AQ677)/(1+AL677/100)^K24:K26)+L27*AN677*AP677/(1+AL677/100)^$B$6</f>
        <v/>
      </c>
      <c r="AT677">
        <f>AS677-AR677</f>
        <v/>
      </c>
      <c r="AU677">
        <f>RAND()</f>
        <v/>
      </c>
      <c r="AV677">
        <f>RAND()</f>
        <v/>
      </c>
      <c r="AW677">
        <f>RAND()</f>
        <v/>
      </c>
      <c r="AX677">
        <f>RAND()</f>
        <v/>
      </c>
      <c r="AY677">
        <f>RAND()</f>
        <v/>
      </c>
      <c r="AZ677">
        <f>RAND()</f>
        <v/>
      </c>
    </row>
    <row r="678">
      <c r="AK678" t="n">
        <v>665</v>
      </c>
      <c r="AL678">
        <f>IFERROR(IF(AU678&lt;($AM$6-$AL$6)/($AN$6-$AL$6),$AL$6+SQRT(AU678*($AN$6-$AL$6)*($AM$6-$AL$6)),$AN$6-SQRT((1-AU678)*($AN$6-$AL$6)*($AN$6-$AM$6))),$AM$6)</f>
        <v/>
      </c>
      <c r="AM678">
        <f>IFERROR(IF(AV678&lt;($AM$7-$AL$7)/($AN$7-$AL$7),$AL$7+SQRT(AV678*($AN$7-$AL$7)*($AM$7-$AL$7)),$AN$7-SQRT((1-AV678)*($AN$7-$AL$7)*($AN$7-$AM$7))),$AM$7)</f>
        <v/>
      </c>
      <c r="AN678">
        <f>IFERROR(IF(AW678&lt;($AM$8-$AL$8)/($AN$8-$AL$8),$AL$8+SQRT(AW678*($AN$8-$AL$8)*($AM$8-$AL$8)),$AN$8-SQRT((1-AW678)*($AN$8-$AL$8)*($AN$8-$AM$8))),$AM$8)</f>
        <v/>
      </c>
      <c r="AO678">
        <f>IFERROR(IF(AX678&lt;($AM$9-$AL$9)/($AN$9-$AL$9),$AL$9+SQRT(AX678*($AN$9-$AL$9)*($AM$9-$AL$9)),$AN$9-SQRT((1-AX678)*($AN$9-$AL$9)*($AN$9-$AM$9))),$AM$9)</f>
        <v/>
      </c>
      <c r="AP678">
        <f>IFERROR(IF(AY678&lt;($AM$10-$AL$10)/($AN$10-$AL$10),$AL$10+SQRT(AY678*($AN$10-$AL$10)*($AM$10-$AL$10)),$AN$10-SQRT((1-AY678)*($AN$10-$AL$10)*($AN$10-$AM$10))),$AM$10)</f>
        <v/>
      </c>
      <c r="AQ678">
        <f>IFERROR(IF(AZ678&lt;($AM$11-$AL$11)/($AN$11-$AL$11),$AL$11+SQRT(AZ678*($AN$11-$AL$11)*($AM$11-$AL$11)),$AN$11-SQRT((1-AZ678)*($AN$11-$AL$11)*($AN$11-$AM$11))),$AM$11)</f>
        <v/>
      </c>
      <c r="AR678">
        <f>SUMPRODUCT((B24:B31&lt;=$B$6)*(C24:C31*AM678+D24:D31*AO678*$B$8*AQ678)/(1+AL678/100)^B24:B31)+C32*AM678*AP678/(1+AL678/100)^$B$6</f>
        <v/>
      </c>
      <c r="AS678">
        <f>SUMPRODUCT((K24:K26&lt;=$B$6)*(L24:L26*AN678+M24:M26*AO678*$B$8*AQ678)/(1+AL678/100)^K24:K26)+L27*AN678*AP678/(1+AL678/100)^$B$6</f>
        <v/>
      </c>
      <c r="AT678">
        <f>AS678-AR678</f>
        <v/>
      </c>
      <c r="AU678">
        <f>RAND()</f>
        <v/>
      </c>
      <c r="AV678">
        <f>RAND()</f>
        <v/>
      </c>
      <c r="AW678">
        <f>RAND()</f>
        <v/>
      </c>
      <c r="AX678">
        <f>RAND()</f>
        <v/>
      </c>
      <c r="AY678">
        <f>RAND()</f>
        <v/>
      </c>
      <c r="AZ678">
        <f>RAND()</f>
        <v/>
      </c>
    </row>
    <row r="679">
      <c r="AK679" t="n">
        <v>666</v>
      </c>
      <c r="AL679">
        <f>IFERROR(IF(AU679&lt;($AM$6-$AL$6)/($AN$6-$AL$6),$AL$6+SQRT(AU679*($AN$6-$AL$6)*($AM$6-$AL$6)),$AN$6-SQRT((1-AU679)*($AN$6-$AL$6)*($AN$6-$AM$6))),$AM$6)</f>
        <v/>
      </c>
      <c r="AM679">
        <f>IFERROR(IF(AV679&lt;($AM$7-$AL$7)/($AN$7-$AL$7),$AL$7+SQRT(AV679*($AN$7-$AL$7)*($AM$7-$AL$7)),$AN$7-SQRT((1-AV679)*($AN$7-$AL$7)*($AN$7-$AM$7))),$AM$7)</f>
        <v/>
      </c>
      <c r="AN679">
        <f>IFERROR(IF(AW679&lt;($AM$8-$AL$8)/($AN$8-$AL$8),$AL$8+SQRT(AW679*($AN$8-$AL$8)*($AM$8-$AL$8)),$AN$8-SQRT((1-AW679)*($AN$8-$AL$8)*($AN$8-$AM$8))),$AM$8)</f>
        <v/>
      </c>
      <c r="AO679">
        <f>IFERROR(IF(AX679&lt;($AM$9-$AL$9)/($AN$9-$AL$9),$AL$9+SQRT(AX679*($AN$9-$AL$9)*($AM$9-$AL$9)),$AN$9-SQRT((1-AX679)*($AN$9-$AL$9)*($AN$9-$AM$9))),$AM$9)</f>
        <v/>
      </c>
      <c r="AP679">
        <f>IFERROR(IF(AY679&lt;($AM$10-$AL$10)/($AN$10-$AL$10),$AL$10+SQRT(AY679*($AN$10-$AL$10)*($AM$10-$AL$10)),$AN$10-SQRT((1-AY679)*($AN$10-$AL$10)*($AN$10-$AM$10))),$AM$10)</f>
        <v/>
      </c>
      <c r="AQ679">
        <f>IFERROR(IF(AZ679&lt;($AM$11-$AL$11)/($AN$11-$AL$11),$AL$11+SQRT(AZ679*($AN$11-$AL$11)*($AM$11-$AL$11)),$AN$11-SQRT((1-AZ679)*($AN$11-$AL$11)*($AN$11-$AM$11))),$AM$11)</f>
        <v/>
      </c>
      <c r="AR679">
        <f>SUMPRODUCT((B24:B31&lt;=$B$6)*(C24:C31*AM679+D24:D31*AO679*$B$8*AQ679)/(1+AL679/100)^B24:B31)+C32*AM679*AP679/(1+AL679/100)^$B$6</f>
        <v/>
      </c>
      <c r="AS679">
        <f>SUMPRODUCT((K24:K26&lt;=$B$6)*(L24:L26*AN679+M24:M26*AO679*$B$8*AQ679)/(1+AL679/100)^K24:K26)+L27*AN679*AP679/(1+AL679/100)^$B$6</f>
        <v/>
      </c>
      <c r="AT679">
        <f>AS679-AR679</f>
        <v/>
      </c>
      <c r="AU679">
        <f>RAND()</f>
        <v/>
      </c>
      <c r="AV679">
        <f>RAND()</f>
        <v/>
      </c>
      <c r="AW679">
        <f>RAND()</f>
        <v/>
      </c>
      <c r="AX679">
        <f>RAND()</f>
        <v/>
      </c>
      <c r="AY679">
        <f>RAND()</f>
        <v/>
      </c>
      <c r="AZ679">
        <f>RAND()</f>
        <v/>
      </c>
    </row>
    <row r="680">
      <c r="AK680" t="n">
        <v>667</v>
      </c>
      <c r="AL680">
        <f>IFERROR(IF(AU680&lt;($AM$6-$AL$6)/($AN$6-$AL$6),$AL$6+SQRT(AU680*($AN$6-$AL$6)*($AM$6-$AL$6)),$AN$6-SQRT((1-AU680)*($AN$6-$AL$6)*($AN$6-$AM$6))),$AM$6)</f>
        <v/>
      </c>
      <c r="AM680">
        <f>IFERROR(IF(AV680&lt;($AM$7-$AL$7)/($AN$7-$AL$7),$AL$7+SQRT(AV680*($AN$7-$AL$7)*($AM$7-$AL$7)),$AN$7-SQRT((1-AV680)*($AN$7-$AL$7)*($AN$7-$AM$7))),$AM$7)</f>
        <v/>
      </c>
      <c r="AN680">
        <f>IFERROR(IF(AW680&lt;($AM$8-$AL$8)/($AN$8-$AL$8),$AL$8+SQRT(AW680*($AN$8-$AL$8)*($AM$8-$AL$8)),$AN$8-SQRT((1-AW680)*($AN$8-$AL$8)*($AN$8-$AM$8))),$AM$8)</f>
        <v/>
      </c>
      <c r="AO680">
        <f>IFERROR(IF(AX680&lt;($AM$9-$AL$9)/($AN$9-$AL$9),$AL$9+SQRT(AX680*($AN$9-$AL$9)*($AM$9-$AL$9)),$AN$9-SQRT((1-AX680)*($AN$9-$AL$9)*($AN$9-$AM$9))),$AM$9)</f>
        <v/>
      </c>
      <c r="AP680">
        <f>IFERROR(IF(AY680&lt;($AM$10-$AL$10)/($AN$10-$AL$10),$AL$10+SQRT(AY680*($AN$10-$AL$10)*($AM$10-$AL$10)),$AN$10-SQRT((1-AY680)*($AN$10-$AL$10)*($AN$10-$AM$10))),$AM$10)</f>
        <v/>
      </c>
      <c r="AQ680">
        <f>IFERROR(IF(AZ680&lt;($AM$11-$AL$11)/($AN$11-$AL$11),$AL$11+SQRT(AZ680*($AN$11-$AL$11)*($AM$11-$AL$11)),$AN$11-SQRT((1-AZ680)*($AN$11-$AL$11)*($AN$11-$AM$11))),$AM$11)</f>
        <v/>
      </c>
      <c r="AR680">
        <f>SUMPRODUCT((B24:B31&lt;=$B$6)*(C24:C31*AM680+D24:D31*AO680*$B$8*AQ680)/(1+AL680/100)^B24:B31)+C32*AM680*AP680/(1+AL680/100)^$B$6</f>
        <v/>
      </c>
      <c r="AS680">
        <f>SUMPRODUCT((K24:K26&lt;=$B$6)*(L24:L26*AN680+M24:M26*AO680*$B$8*AQ680)/(1+AL680/100)^K24:K26)+L27*AN680*AP680/(1+AL680/100)^$B$6</f>
        <v/>
      </c>
      <c r="AT680">
        <f>AS680-AR680</f>
        <v/>
      </c>
      <c r="AU680">
        <f>RAND()</f>
        <v/>
      </c>
      <c r="AV680">
        <f>RAND()</f>
        <v/>
      </c>
      <c r="AW680">
        <f>RAND()</f>
        <v/>
      </c>
      <c r="AX680">
        <f>RAND()</f>
        <v/>
      </c>
      <c r="AY680">
        <f>RAND()</f>
        <v/>
      </c>
      <c r="AZ680">
        <f>RAND()</f>
        <v/>
      </c>
    </row>
    <row r="681">
      <c r="AK681" t="n">
        <v>668</v>
      </c>
      <c r="AL681">
        <f>IFERROR(IF(AU681&lt;($AM$6-$AL$6)/($AN$6-$AL$6),$AL$6+SQRT(AU681*($AN$6-$AL$6)*($AM$6-$AL$6)),$AN$6-SQRT((1-AU681)*($AN$6-$AL$6)*($AN$6-$AM$6))),$AM$6)</f>
        <v/>
      </c>
      <c r="AM681">
        <f>IFERROR(IF(AV681&lt;($AM$7-$AL$7)/($AN$7-$AL$7),$AL$7+SQRT(AV681*($AN$7-$AL$7)*($AM$7-$AL$7)),$AN$7-SQRT((1-AV681)*($AN$7-$AL$7)*($AN$7-$AM$7))),$AM$7)</f>
        <v/>
      </c>
      <c r="AN681">
        <f>IFERROR(IF(AW681&lt;($AM$8-$AL$8)/($AN$8-$AL$8),$AL$8+SQRT(AW681*($AN$8-$AL$8)*($AM$8-$AL$8)),$AN$8-SQRT((1-AW681)*($AN$8-$AL$8)*($AN$8-$AM$8))),$AM$8)</f>
        <v/>
      </c>
      <c r="AO681">
        <f>IFERROR(IF(AX681&lt;($AM$9-$AL$9)/($AN$9-$AL$9),$AL$9+SQRT(AX681*($AN$9-$AL$9)*($AM$9-$AL$9)),$AN$9-SQRT((1-AX681)*($AN$9-$AL$9)*($AN$9-$AM$9))),$AM$9)</f>
        <v/>
      </c>
      <c r="AP681">
        <f>IFERROR(IF(AY681&lt;($AM$10-$AL$10)/($AN$10-$AL$10),$AL$10+SQRT(AY681*($AN$10-$AL$10)*($AM$10-$AL$10)),$AN$10-SQRT((1-AY681)*($AN$10-$AL$10)*($AN$10-$AM$10))),$AM$10)</f>
        <v/>
      </c>
      <c r="AQ681">
        <f>IFERROR(IF(AZ681&lt;($AM$11-$AL$11)/($AN$11-$AL$11),$AL$11+SQRT(AZ681*($AN$11-$AL$11)*($AM$11-$AL$11)),$AN$11-SQRT((1-AZ681)*($AN$11-$AL$11)*($AN$11-$AM$11))),$AM$11)</f>
        <v/>
      </c>
      <c r="AR681">
        <f>SUMPRODUCT((B24:B31&lt;=$B$6)*(C24:C31*AM681+D24:D31*AO681*$B$8*AQ681)/(1+AL681/100)^B24:B31)+C32*AM681*AP681/(1+AL681/100)^$B$6</f>
        <v/>
      </c>
      <c r="AS681">
        <f>SUMPRODUCT((K24:K26&lt;=$B$6)*(L24:L26*AN681+M24:M26*AO681*$B$8*AQ681)/(1+AL681/100)^K24:K26)+L27*AN681*AP681/(1+AL681/100)^$B$6</f>
        <v/>
      </c>
      <c r="AT681">
        <f>AS681-AR681</f>
        <v/>
      </c>
      <c r="AU681">
        <f>RAND()</f>
        <v/>
      </c>
      <c r="AV681">
        <f>RAND()</f>
        <v/>
      </c>
      <c r="AW681">
        <f>RAND()</f>
        <v/>
      </c>
      <c r="AX681">
        <f>RAND()</f>
        <v/>
      </c>
      <c r="AY681">
        <f>RAND()</f>
        <v/>
      </c>
      <c r="AZ681">
        <f>RAND()</f>
        <v/>
      </c>
    </row>
    <row r="682">
      <c r="AK682" t="n">
        <v>669</v>
      </c>
      <c r="AL682">
        <f>IFERROR(IF(AU682&lt;($AM$6-$AL$6)/($AN$6-$AL$6),$AL$6+SQRT(AU682*($AN$6-$AL$6)*($AM$6-$AL$6)),$AN$6-SQRT((1-AU682)*($AN$6-$AL$6)*($AN$6-$AM$6))),$AM$6)</f>
        <v/>
      </c>
      <c r="AM682">
        <f>IFERROR(IF(AV682&lt;($AM$7-$AL$7)/($AN$7-$AL$7),$AL$7+SQRT(AV682*($AN$7-$AL$7)*($AM$7-$AL$7)),$AN$7-SQRT((1-AV682)*($AN$7-$AL$7)*($AN$7-$AM$7))),$AM$7)</f>
        <v/>
      </c>
      <c r="AN682">
        <f>IFERROR(IF(AW682&lt;($AM$8-$AL$8)/($AN$8-$AL$8),$AL$8+SQRT(AW682*($AN$8-$AL$8)*($AM$8-$AL$8)),$AN$8-SQRT((1-AW682)*($AN$8-$AL$8)*($AN$8-$AM$8))),$AM$8)</f>
        <v/>
      </c>
      <c r="AO682">
        <f>IFERROR(IF(AX682&lt;($AM$9-$AL$9)/($AN$9-$AL$9),$AL$9+SQRT(AX682*($AN$9-$AL$9)*($AM$9-$AL$9)),$AN$9-SQRT((1-AX682)*($AN$9-$AL$9)*($AN$9-$AM$9))),$AM$9)</f>
        <v/>
      </c>
      <c r="AP682">
        <f>IFERROR(IF(AY682&lt;($AM$10-$AL$10)/($AN$10-$AL$10),$AL$10+SQRT(AY682*($AN$10-$AL$10)*($AM$10-$AL$10)),$AN$10-SQRT((1-AY682)*($AN$10-$AL$10)*($AN$10-$AM$10))),$AM$10)</f>
        <v/>
      </c>
      <c r="AQ682">
        <f>IFERROR(IF(AZ682&lt;($AM$11-$AL$11)/($AN$11-$AL$11),$AL$11+SQRT(AZ682*($AN$11-$AL$11)*($AM$11-$AL$11)),$AN$11-SQRT((1-AZ682)*($AN$11-$AL$11)*($AN$11-$AM$11))),$AM$11)</f>
        <v/>
      </c>
      <c r="AR682">
        <f>SUMPRODUCT((B24:B31&lt;=$B$6)*(C24:C31*AM682+D24:D31*AO682*$B$8*AQ682)/(1+AL682/100)^B24:B31)+C32*AM682*AP682/(1+AL682/100)^$B$6</f>
        <v/>
      </c>
      <c r="AS682">
        <f>SUMPRODUCT((K24:K26&lt;=$B$6)*(L24:L26*AN682+M24:M26*AO682*$B$8*AQ682)/(1+AL682/100)^K24:K26)+L27*AN682*AP682/(1+AL682/100)^$B$6</f>
        <v/>
      </c>
      <c r="AT682">
        <f>AS682-AR682</f>
        <v/>
      </c>
      <c r="AU682">
        <f>RAND()</f>
        <v/>
      </c>
      <c r="AV682">
        <f>RAND()</f>
        <v/>
      </c>
      <c r="AW682">
        <f>RAND()</f>
        <v/>
      </c>
      <c r="AX682">
        <f>RAND()</f>
        <v/>
      </c>
      <c r="AY682">
        <f>RAND()</f>
        <v/>
      </c>
      <c r="AZ682">
        <f>RAND()</f>
        <v/>
      </c>
    </row>
    <row r="683">
      <c r="AK683" t="n">
        <v>670</v>
      </c>
      <c r="AL683">
        <f>IFERROR(IF(AU683&lt;($AM$6-$AL$6)/($AN$6-$AL$6),$AL$6+SQRT(AU683*($AN$6-$AL$6)*($AM$6-$AL$6)),$AN$6-SQRT((1-AU683)*($AN$6-$AL$6)*($AN$6-$AM$6))),$AM$6)</f>
        <v/>
      </c>
      <c r="AM683">
        <f>IFERROR(IF(AV683&lt;($AM$7-$AL$7)/($AN$7-$AL$7),$AL$7+SQRT(AV683*($AN$7-$AL$7)*($AM$7-$AL$7)),$AN$7-SQRT((1-AV683)*($AN$7-$AL$7)*($AN$7-$AM$7))),$AM$7)</f>
        <v/>
      </c>
      <c r="AN683">
        <f>IFERROR(IF(AW683&lt;($AM$8-$AL$8)/($AN$8-$AL$8),$AL$8+SQRT(AW683*($AN$8-$AL$8)*($AM$8-$AL$8)),$AN$8-SQRT((1-AW683)*($AN$8-$AL$8)*($AN$8-$AM$8))),$AM$8)</f>
        <v/>
      </c>
      <c r="AO683">
        <f>IFERROR(IF(AX683&lt;($AM$9-$AL$9)/($AN$9-$AL$9),$AL$9+SQRT(AX683*($AN$9-$AL$9)*($AM$9-$AL$9)),$AN$9-SQRT((1-AX683)*($AN$9-$AL$9)*($AN$9-$AM$9))),$AM$9)</f>
        <v/>
      </c>
      <c r="AP683">
        <f>IFERROR(IF(AY683&lt;($AM$10-$AL$10)/($AN$10-$AL$10),$AL$10+SQRT(AY683*($AN$10-$AL$10)*($AM$10-$AL$10)),$AN$10-SQRT((1-AY683)*($AN$10-$AL$10)*($AN$10-$AM$10))),$AM$10)</f>
        <v/>
      </c>
      <c r="AQ683">
        <f>IFERROR(IF(AZ683&lt;($AM$11-$AL$11)/($AN$11-$AL$11),$AL$11+SQRT(AZ683*($AN$11-$AL$11)*($AM$11-$AL$11)),$AN$11-SQRT((1-AZ683)*($AN$11-$AL$11)*($AN$11-$AM$11))),$AM$11)</f>
        <v/>
      </c>
      <c r="AR683">
        <f>SUMPRODUCT((B24:B31&lt;=$B$6)*(C24:C31*AM683+D24:D31*AO683*$B$8*AQ683)/(1+AL683/100)^B24:B31)+C32*AM683*AP683/(1+AL683/100)^$B$6</f>
        <v/>
      </c>
      <c r="AS683">
        <f>SUMPRODUCT((K24:K26&lt;=$B$6)*(L24:L26*AN683+M24:M26*AO683*$B$8*AQ683)/(1+AL683/100)^K24:K26)+L27*AN683*AP683/(1+AL683/100)^$B$6</f>
        <v/>
      </c>
      <c r="AT683">
        <f>AS683-AR683</f>
        <v/>
      </c>
      <c r="AU683">
        <f>RAND()</f>
        <v/>
      </c>
      <c r="AV683">
        <f>RAND()</f>
        <v/>
      </c>
      <c r="AW683">
        <f>RAND()</f>
        <v/>
      </c>
      <c r="AX683">
        <f>RAND()</f>
        <v/>
      </c>
      <c r="AY683">
        <f>RAND()</f>
        <v/>
      </c>
      <c r="AZ683">
        <f>RAND()</f>
        <v/>
      </c>
    </row>
    <row r="684">
      <c r="AK684" t="n">
        <v>671</v>
      </c>
      <c r="AL684">
        <f>IFERROR(IF(AU684&lt;($AM$6-$AL$6)/($AN$6-$AL$6),$AL$6+SQRT(AU684*($AN$6-$AL$6)*($AM$6-$AL$6)),$AN$6-SQRT((1-AU684)*($AN$6-$AL$6)*($AN$6-$AM$6))),$AM$6)</f>
        <v/>
      </c>
      <c r="AM684">
        <f>IFERROR(IF(AV684&lt;($AM$7-$AL$7)/($AN$7-$AL$7),$AL$7+SQRT(AV684*($AN$7-$AL$7)*($AM$7-$AL$7)),$AN$7-SQRT((1-AV684)*($AN$7-$AL$7)*($AN$7-$AM$7))),$AM$7)</f>
        <v/>
      </c>
      <c r="AN684">
        <f>IFERROR(IF(AW684&lt;($AM$8-$AL$8)/($AN$8-$AL$8),$AL$8+SQRT(AW684*($AN$8-$AL$8)*($AM$8-$AL$8)),$AN$8-SQRT((1-AW684)*($AN$8-$AL$8)*($AN$8-$AM$8))),$AM$8)</f>
        <v/>
      </c>
      <c r="AO684">
        <f>IFERROR(IF(AX684&lt;($AM$9-$AL$9)/($AN$9-$AL$9),$AL$9+SQRT(AX684*($AN$9-$AL$9)*($AM$9-$AL$9)),$AN$9-SQRT((1-AX684)*($AN$9-$AL$9)*($AN$9-$AM$9))),$AM$9)</f>
        <v/>
      </c>
      <c r="AP684">
        <f>IFERROR(IF(AY684&lt;($AM$10-$AL$10)/($AN$10-$AL$10),$AL$10+SQRT(AY684*($AN$10-$AL$10)*($AM$10-$AL$10)),$AN$10-SQRT((1-AY684)*($AN$10-$AL$10)*($AN$10-$AM$10))),$AM$10)</f>
        <v/>
      </c>
      <c r="AQ684">
        <f>IFERROR(IF(AZ684&lt;($AM$11-$AL$11)/($AN$11-$AL$11),$AL$11+SQRT(AZ684*($AN$11-$AL$11)*($AM$11-$AL$11)),$AN$11-SQRT((1-AZ684)*($AN$11-$AL$11)*($AN$11-$AM$11))),$AM$11)</f>
        <v/>
      </c>
      <c r="AR684">
        <f>SUMPRODUCT((B24:B31&lt;=$B$6)*(C24:C31*AM684+D24:D31*AO684*$B$8*AQ684)/(1+AL684/100)^B24:B31)+C32*AM684*AP684/(1+AL684/100)^$B$6</f>
        <v/>
      </c>
      <c r="AS684">
        <f>SUMPRODUCT((K24:K26&lt;=$B$6)*(L24:L26*AN684+M24:M26*AO684*$B$8*AQ684)/(1+AL684/100)^K24:K26)+L27*AN684*AP684/(1+AL684/100)^$B$6</f>
        <v/>
      </c>
      <c r="AT684">
        <f>AS684-AR684</f>
        <v/>
      </c>
      <c r="AU684">
        <f>RAND()</f>
        <v/>
      </c>
      <c r="AV684">
        <f>RAND()</f>
        <v/>
      </c>
      <c r="AW684">
        <f>RAND()</f>
        <v/>
      </c>
      <c r="AX684">
        <f>RAND()</f>
        <v/>
      </c>
      <c r="AY684">
        <f>RAND()</f>
        <v/>
      </c>
      <c r="AZ684">
        <f>RAND()</f>
        <v/>
      </c>
    </row>
    <row r="685">
      <c r="AK685" t="n">
        <v>672</v>
      </c>
      <c r="AL685">
        <f>IFERROR(IF(AU685&lt;($AM$6-$AL$6)/($AN$6-$AL$6),$AL$6+SQRT(AU685*($AN$6-$AL$6)*($AM$6-$AL$6)),$AN$6-SQRT((1-AU685)*($AN$6-$AL$6)*($AN$6-$AM$6))),$AM$6)</f>
        <v/>
      </c>
      <c r="AM685">
        <f>IFERROR(IF(AV685&lt;($AM$7-$AL$7)/($AN$7-$AL$7),$AL$7+SQRT(AV685*($AN$7-$AL$7)*($AM$7-$AL$7)),$AN$7-SQRT((1-AV685)*($AN$7-$AL$7)*($AN$7-$AM$7))),$AM$7)</f>
        <v/>
      </c>
      <c r="AN685">
        <f>IFERROR(IF(AW685&lt;($AM$8-$AL$8)/($AN$8-$AL$8),$AL$8+SQRT(AW685*($AN$8-$AL$8)*($AM$8-$AL$8)),$AN$8-SQRT((1-AW685)*($AN$8-$AL$8)*($AN$8-$AM$8))),$AM$8)</f>
        <v/>
      </c>
      <c r="AO685">
        <f>IFERROR(IF(AX685&lt;($AM$9-$AL$9)/($AN$9-$AL$9),$AL$9+SQRT(AX685*($AN$9-$AL$9)*($AM$9-$AL$9)),$AN$9-SQRT((1-AX685)*($AN$9-$AL$9)*($AN$9-$AM$9))),$AM$9)</f>
        <v/>
      </c>
      <c r="AP685">
        <f>IFERROR(IF(AY685&lt;($AM$10-$AL$10)/($AN$10-$AL$10),$AL$10+SQRT(AY685*($AN$10-$AL$10)*($AM$10-$AL$10)),$AN$10-SQRT((1-AY685)*($AN$10-$AL$10)*($AN$10-$AM$10))),$AM$10)</f>
        <v/>
      </c>
      <c r="AQ685">
        <f>IFERROR(IF(AZ685&lt;($AM$11-$AL$11)/($AN$11-$AL$11),$AL$11+SQRT(AZ685*($AN$11-$AL$11)*($AM$11-$AL$11)),$AN$11-SQRT((1-AZ685)*($AN$11-$AL$11)*($AN$11-$AM$11))),$AM$11)</f>
        <v/>
      </c>
      <c r="AR685">
        <f>SUMPRODUCT((B24:B31&lt;=$B$6)*(C24:C31*AM685+D24:D31*AO685*$B$8*AQ685)/(1+AL685/100)^B24:B31)+C32*AM685*AP685/(1+AL685/100)^$B$6</f>
        <v/>
      </c>
      <c r="AS685">
        <f>SUMPRODUCT((K24:K26&lt;=$B$6)*(L24:L26*AN685+M24:M26*AO685*$B$8*AQ685)/(1+AL685/100)^K24:K26)+L27*AN685*AP685/(1+AL685/100)^$B$6</f>
        <v/>
      </c>
      <c r="AT685">
        <f>AS685-AR685</f>
        <v/>
      </c>
      <c r="AU685">
        <f>RAND()</f>
        <v/>
      </c>
      <c r="AV685">
        <f>RAND()</f>
        <v/>
      </c>
      <c r="AW685">
        <f>RAND()</f>
        <v/>
      </c>
      <c r="AX685">
        <f>RAND()</f>
        <v/>
      </c>
      <c r="AY685">
        <f>RAND()</f>
        <v/>
      </c>
      <c r="AZ685">
        <f>RAND()</f>
        <v/>
      </c>
    </row>
    <row r="686">
      <c r="AK686" t="n">
        <v>673</v>
      </c>
      <c r="AL686">
        <f>IFERROR(IF(AU686&lt;($AM$6-$AL$6)/($AN$6-$AL$6),$AL$6+SQRT(AU686*($AN$6-$AL$6)*($AM$6-$AL$6)),$AN$6-SQRT((1-AU686)*($AN$6-$AL$6)*($AN$6-$AM$6))),$AM$6)</f>
        <v/>
      </c>
      <c r="AM686">
        <f>IFERROR(IF(AV686&lt;($AM$7-$AL$7)/($AN$7-$AL$7),$AL$7+SQRT(AV686*($AN$7-$AL$7)*($AM$7-$AL$7)),$AN$7-SQRT((1-AV686)*($AN$7-$AL$7)*($AN$7-$AM$7))),$AM$7)</f>
        <v/>
      </c>
      <c r="AN686">
        <f>IFERROR(IF(AW686&lt;($AM$8-$AL$8)/($AN$8-$AL$8),$AL$8+SQRT(AW686*($AN$8-$AL$8)*($AM$8-$AL$8)),$AN$8-SQRT((1-AW686)*($AN$8-$AL$8)*($AN$8-$AM$8))),$AM$8)</f>
        <v/>
      </c>
      <c r="AO686">
        <f>IFERROR(IF(AX686&lt;($AM$9-$AL$9)/($AN$9-$AL$9),$AL$9+SQRT(AX686*($AN$9-$AL$9)*($AM$9-$AL$9)),$AN$9-SQRT((1-AX686)*($AN$9-$AL$9)*($AN$9-$AM$9))),$AM$9)</f>
        <v/>
      </c>
      <c r="AP686">
        <f>IFERROR(IF(AY686&lt;($AM$10-$AL$10)/($AN$10-$AL$10),$AL$10+SQRT(AY686*($AN$10-$AL$10)*($AM$10-$AL$10)),$AN$10-SQRT((1-AY686)*($AN$10-$AL$10)*($AN$10-$AM$10))),$AM$10)</f>
        <v/>
      </c>
      <c r="AQ686">
        <f>IFERROR(IF(AZ686&lt;($AM$11-$AL$11)/($AN$11-$AL$11),$AL$11+SQRT(AZ686*($AN$11-$AL$11)*($AM$11-$AL$11)),$AN$11-SQRT((1-AZ686)*($AN$11-$AL$11)*($AN$11-$AM$11))),$AM$11)</f>
        <v/>
      </c>
      <c r="AR686">
        <f>SUMPRODUCT((B24:B31&lt;=$B$6)*(C24:C31*AM686+D24:D31*AO686*$B$8*AQ686)/(1+AL686/100)^B24:B31)+C32*AM686*AP686/(1+AL686/100)^$B$6</f>
        <v/>
      </c>
      <c r="AS686">
        <f>SUMPRODUCT((K24:K26&lt;=$B$6)*(L24:L26*AN686+M24:M26*AO686*$B$8*AQ686)/(1+AL686/100)^K24:K26)+L27*AN686*AP686/(1+AL686/100)^$B$6</f>
        <v/>
      </c>
      <c r="AT686">
        <f>AS686-AR686</f>
        <v/>
      </c>
      <c r="AU686">
        <f>RAND()</f>
        <v/>
      </c>
      <c r="AV686">
        <f>RAND()</f>
        <v/>
      </c>
      <c r="AW686">
        <f>RAND()</f>
        <v/>
      </c>
      <c r="AX686">
        <f>RAND()</f>
        <v/>
      </c>
      <c r="AY686">
        <f>RAND()</f>
        <v/>
      </c>
      <c r="AZ686">
        <f>RAND()</f>
        <v/>
      </c>
    </row>
    <row r="687">
      <c r="AK687" t="n">
        <v>674</v>
      </c>
      <c r="AL687">
        <f>IFERROR(IF(AU687&lt;($AM$6-$AL$6)/($AN$6-$AL$6),$AL$6+SQRT(AU687*($AN$6-$AL$6)*($AM$6-$AL$6)),$AN$6-SQRT((1-AU687)*($AN$6-$AL$6)*($AN$6-$AM$6))),$AM$6)</f>
        <v/>
      </c>
      <c r="AM687">
        <f>IFERROR(IF(AV687&lt;($AM$7-$AL$7)/($AN$7-$AL$7),$AL$7+SQRT(AV687*($AN$7-$AL$7)*($AM$7-$AL$7)),$AN$7-SQRT((1-AV687)*($AN$7-$AL$7)*($AN$7-$AM$7))),$AM$7)</f>
        <v/>
      </c>
      <c r="AN687">
        <f>IFERROR(IF(AW687&lt;($AM$8-$AL$8)/($AN$8-$AL$8),$AL$8+SQRT(AW687*($AN$8-$AL$8)*($AM$8-$AL$8)),$AN$8-SQRT((1-AW687)*($AN$8-$AL$8)*($AN$8-$AM$8))),$AM$8)</f>
        <v/>
      </c>
      <c r="AO687">
        <f>IFERROR(IF(AX687&lt;($AM$9-$AL$9)/($AN$9-$AL$9),$AL$9+SQRT(AX687*($AN$9-$AL$9)*($AM$9-$AL$9)),$AN$9-SQRT((1-AX687)*($AN$9-$AL$9)*($AN$9-$AM$9))),$AM$9)</f>
        <v/>
      </c>
      <c r="AP687">
        <f>IFERROR(IF(AY687&lt;($AM$10-$AL$10)/($AN$10-$AL$10),$AL$10+SQRT(AY687*($AN$10-$AL$10)*($AM$10-$AL$10)),$AN$10-SQRT((1-AY687)*($AN$10-$AL$10)*($AN$10-$AM$10))),$AM$10)</f>
        <v/>
      </c>
      <c r="AQ687">
        <f>IFERROR(IF(AZ687&lt;($AM$11-$AL$11)/($AN$11-$AL$11),$AL$11+SQRT(AZ687*($AN$11-$AL$11)*($AM$11-$AL$11)),$AN$11-SQRT((1-AZ687)*($AN$11-$AL$11)*($AN$11-$AM$11))),$AM$11)</f>
        <v/>
      </c>
      <c r="AR687">
        <f>SUMPRODUCT((B24:B31&lt;=$B$6)*(C24:C31*AM687+D24:D31*AO687*$B$8*AQ687)/(1+AL687/100)^B24:B31)+C32*AM687*AP687/(1+AL687/100)^$B$6</f>
        <v/>
      </c>
      <c r="AS687">
        <f>SUMPRODUCT((K24:K26&lt;=$B$6)*(L24:L26*AN687+M24:M26*AO687*$B$8*AQ687)/(1+AL687/100)^K24:K26)+L27*AN687*AP687/(1+AL687/100)^$B$6</f>
        <v/>
      </c>
      <c r="AT687">
        <f>AS687-AR687</f>
        <v/>
      </c>
      <c r="AU687">
        <f>RAND()</f>
        <v/>
      </c>
      <c r="AV687">
        <f>RAND()</f>
        <v/>
      </c>
      <c r="AW687">
        <f>RAND()</f>
        <v/>
      </c>
      <c r="AX687">
        <f>RAND()</f>
        <v/>
      </c>
      <c r="AY687">
        <f>RAND()</f>
        <v/>
      </c>
      <c r="AZ687">
        <f>RAND()</f>
        <v/>
      </c>
    </row>
    <row r="688">
      <c r="AK688" t="n">
        <v>675</v>
      </c>
      <c r="AL688">
        <f>IFERROR(IF(AU688&lt;($AM$6-$AL$6)/($AN$6-$AL$6),$AL$6+SQRT(AU688*($AN$6-$AL$6)*($AM$6-$AL$6)),$AN$6-SQRT((1-AU688)*($AN$6-$AL$6)*($AN$6-$AM$6))),$AM$6)</f>
        <v/>
      </c>
      <c r="AM688">
        <f>IFERROR(IF(AV688&lt;($AM$7-$AL$7)/($AN$7-$AL$7),$AL$7+SQRT(AV688*($AN$7-$AL$7)*($AM$7-$AL$7)),$AN$7-SQRT((1-AV688)*($AN$7-$AL$7)*($AN$7-$AM$7))),$AM$7)</f>
        <v/>
      </c>
      <c r="AN688">
        <f>IFERROR(IF(AW688&lt;($AM$8-$AL$8)/($AN$8-$AL$8),$AL$8+SQRT(AW688*($AN$8-$AL$8)*($AM$8-$AL$8)),$AN$8-SQRT((1-AW688)*($AN$8-$AL$8)*($AN$8-$AM$8))),$AM$8)</f>
        <v/>
      </c>
      <c r="AO688">
        <f>IFERROR(IF(AX688&lt;($AM$9-$AL$9)/($AN$9-$AL$9),$AL$9+SQRT(AX688*($AN$9-$AL$9)*($AM$9-$AL$9)),$AN$9-SQRT((1-AX688)*($AN$9-$AL$9)*($AN$9-$AM$9))),$AM$9)</f>
        <v/>
      </c>
      <c r="AP688">
        <f>IFERROR(IF(AY688&lt;($AM$10-$AL$10)/($AN$10-$AL$10),$AL$10+SQRT(AY688*($AN$10-$AL$10)*($AM$10-$AL$10)),$AN$10-SQRT((1-AY688)*($AN$10-$AL$10)*($AN$10-$AM$10))),$AM$10)</f>
        <v/>
      </c>
      <c r="AQ688">
        <f>IFERROR(IF(AZ688&lt;($AM$11-$AL$11)/($AN$11-$AL$11),$AL$11+SQRT(AZ688*($AN$11-$AL$11)*($AM$11-$AL$11)),$AN$11-SQRT((1-AZ688)*($AN$11-$AL$11)*($AN$11-$AM$11))),$AM$11)</f>
        <v/>
      </c>
      <c r="AR688">
        <f>SUMPRODUCT((B24:B31&lt;=$B$6)*(C24:C31*AM688+D24:D31*AO688*$B$8*AQ688)/(1+AL688/100)^B24:B31)+C32*AM688*AP688/(1+AL688/100)^$B$6</f>
        <v/>
      </c>
      <c r="AS688">
        <f>SUMPRODUCT((K24:K26&lt;=$B$6)*(L24:L26*AN688+M24:M26*AO688*$B$8*AQ688)/(1+AL688/100)^K24:K26)+L27*AN688*AP688/(1+AL688/100)^$B$6</f>
        <v/>
      </c>
      <c r="AT688">
        <f>AS688-AR688</f>
        <v/>
      </c>
      <c r="AU688">
        <f>RAND()</f>
        <v/>
      </c>
      <c r="AV688">
        <f>RAND()</f>
        <v/>
      </c>
      <c r="AW688">
        <f>RAND()</f>
        <v/>
      </c>
      <c r="AX688">
        <f>RAND()</f>
        <v/>
      </c>
      <c r="AY688">
        <f>RAND()</f>
        <v/>
      </c>
      <c r="AZ688">
        <f>RAND()</f>
        <v/>
      </c>
    </row>
    <row r="689">
      <c r="AK689" t="n">
        <v>676</v>
      </c>
      <c r="AL689">
        <f>IFERROR(IF(AU689&lt;($AM$6-$AL$6)/($AN$6-$AL$6),$AL$6+SQRT(AU689*($AN$6-$AL$6)*($AM$6-$AL$6)),$AN$6-SQRT((1-AU689)*($AN$6-$AL$6)*($AN$6-$AM$6))),$AM$6)</f>
        <v/>
      </c>
      <c r="AM689">
        <f>IFERROR(IF(AV689&lt;($AM$7-$AL$7)/($AN$7-$AL$7),$AL$7+SQRT(AV689*($AN$7-$AL$7)*($AM$7-$AL$7)),$AN$7-SQRT((1-AV689)*($AN$7-$AL$7)*($AN$7-$AM$7))),$AM$7)</f>
        <v/>
      </c>
      <c r="AN689">
        <f>IFERROR(IF(AW689&lt;($AM$8-$AL$8)/($AN$8-$AL$8),$AL$8+SQRT(AW689*($AN$8-$AL$8)*($AM$8-$AL$8)),$AN$8-SQRT((1-AW689)*($AN$8-$AL$8)*($AN$8-$AM$8))),$AM$8)</f>
        <v/>
      </c>
      <c r="AO689">
        <f>IFERROR(IF(AX689&lt;($AM$9-$AL$9)/($AN$9-$AL$9),$AL$9+SQRT(AX689*($AN$9-$AL$9)*($AM$9-$AL$9)),$AN$9-SQRT((1-AX689)*($AN$9-$AL$9)*($AN$9-$AM$9))),$AM$9)</f>
        <v/>
      </c>
      <c r="AP689">
        <f>IFERROR(IF(AY689&lt;($AM$10-$AL$10)/($AN$10-$AL$10),$AL$10+SQRT(AY689*($AN$10-$AL$10)*($AM$10-$AL$10)),$AN$10-SQRT((1-AY689)*($AN$10-$AL$10)*($AN$10-$AM$10))),$AM$10)</f>
        <v/>
      </c>
      <c r="AQ689">
        <f>IFERROR(IF(AZ689&lt;($AM$11-$AL$11)/($AN$11-$AL$11),$AL$11+SQRT(AZ689*($AN$11-$AL$11)*($AM$11-$AL$11)),$AN$11-SQRT((1-AZ689)*($AN$11-$AL$11)*($AN$11-$AM$11))),$AM$11)</f>
        <v/>
      </c>
      <c r="AR689">
        <f>SUMPRODUCT((B24:B31&lt;=$B$6)*(C24:C31*AM689+D24:D31*AO689*$B$8*AQ689)/(1+AL689/100)^B24:B31)+C32*AM689*AP689/(1+AL689/100)^$B$6</f>
        <v/>
      </c>
      <c r="AS689">
        <f>SUMPRODUCT((K24:K26&lt;=$B$6)*(L24:L26*AN689+M24:M26*AO689*$B$8*AQ689)/(1+AL689/100)^K24:K26)+L27*AN689*AP689/(1+AL689/100)^$B$6</f>
        <v/>
      </c>
      <c r="AT689">
        <f>AS689-AR689</f>
        <v/>
      </c>
      <c r="AU689">
        <f>RAND()</f>
        <v/>
      </c>
      <c r="AV689">
        <f>RAND()</f>
        <v/>
      </c>
      <c r="AW689">
        <f>RAND()</f>
        <v/>
      </c>
      <c r="AX689">
        <f>RAND()</f>
        <v/>
      </c>
      <c r="AY689">
        <f>RAND()</f>
        <v/>
      </c>
      <c r="AZ689">
        <f>RAND()</f>
        <v/>
      </c>
    </row>
    <row r="690">
      <c r="AK690" t="n">
        <v>677</v>
      </c>
      <c r="AL690">
        <f>IFERROR(IF(AU690&lt;($AM$6-$AL$6)/($AN$6-$AL$6),$AL$6+SQRT(AU690*($AN$6-$AL$6)*($AM$6-$AL$6)),$AN$6-SQRT((1-AU690)*($AN$6-$AL$6)*($AN$6-$AM$6))),$AM$6)</f>
        <v/>
      </c>
      <c r="AM690">
        <f>IFERROR(IF(AV690&lt;($AM$7-$AL$7)/($AN$7-$AL$7),$AL$7+SQRT(AV690*($AN$7-$AL$7)*($AM$7-$AL$7)),$AN$7-SQRT((1-AV690)*($AN$7-$AL$7)*($AN$7-$AM$7))),$AM$7)</f>
        <v/>
      </c>
      <c r="AN690">
        <f>IFERROR(IF(AW690&lt;($AM$8-$AL$8)/($AN$8-$AL$8),$AL$8+SQRT(AW690*($AN$8-$AL$8)*($AM$8-$AL$8)),$AN$8-SQRT((1-AW690)*($AN$8-$AL$8)*($AN$8-$AM$8))),$AM$8)</f>
        <v/>
      </c>
      <c r="AO690">
        <f>IFERROR(IF(AX690&lt;($AM$9-$AL$9)/($AN$9-$AL$9),$AL$9+SQRT(AX690*($AN$9-$AL$9)*($AM$9-$AL$9)),$AN$9-SQRT((1-AX690)*($AN$9-$AL$9)*($AN$9-$AM$9))),$AM$9)</f>
        <v/>
      </c>
      <c r="AP690">
        <f>IFERROR(IF(AY690&lt;($AM$10-$AL$10)/($AN$10-$AL$10),$AL$10+SQRT(AY690*($AN$10-$AL$10)*($AM$10-$AL$10)),$AN$10-SQRT((1-AY690)*($AN$10-$AL$10)*($AN$10-$AM$10))),$AM$10)</f>
        <v/>
      </c>
      <c r="AQ690">
        <f>IFERROR(IF(AZ690&lt;($AM$11-$AL$11)/($AN$11-$AL$11),$AL$11+SQRT(AZ690*($AN$11-$AL$11)*($AM$11-$AL$11)),$AN$11-SQRT((1-AZ690)*($AN$11-$AL$11)*($AN$11-$AM$11))),$AM$11)</f>
        <v/>
      </c>
      <c r="AR690">
        <f>SUMPRODUCT((B24:B31&lt;=$B$6)*(C24:C31*AM690+D24:D31*AO690*$B$8*AQ690)/(1+AL690/100)^B24:B31)+C32*AM690*AP690/(1+AL690/100)^$B$6</f>
        <v/>
      </c>
      <c r="AS690">
        <f>SUMPRODUCT((K24:K26&lt;=$B$6)*(L24:L26*AN690+M24:M26*AO690*$B$8*AQ690)/(1+AL690/100)^K24:K26)+L27*AN690*AP690/(1+AL690/100)^$B$6</f>
        <v/>
      </c>
      <c r="AT690">
        <f>AS690-AR690</f>
        <v/>
      </c>
      <c r="AU690">
        <f>RAND()</f>
        <v/>
      </c>
      <c r="AV690">
        <f>RAND()</f>
        <v/>
      </c>
      <c r="AW690">
        <f>RAND()</f>
        <v/>
      </c>
      <c r="AX690">
        <f>RAND()</f>
        <v/>
      </c>
      <c r="AY690">
        <f>RAND()</f>
        <v/>
      </c>
      <c r="AZ690">
        <f>RAND()</f>
        <v/>
      </c>
    </row>
    <row r="691">
      <c r="AK691" t="n">
        <v>678</v>
      </c>
      <c r="AL691">
        <f>IFERROR(IF(AU691&lt;($AM$6-$AL$6)/($AN$6-$AL$6),$AL$6+SQRT(AU691*($AN$6-$AL$6)*($AM$6-$AL$6)),$AN$6-SQRT((1-AU691)*($AN$6-$AL$6)*($AN$6-$AM$6))),$AM$6)</f>
        <v/>
      </c>
      <c r="AM691">
        <f>IFERROR(IF(AV691&lt;($AM$7-$AL$7)/($AN$7-$AL$7),$AL$7+SQRT(AV691*($AN$7-$AL$7)*($AM$7-$AL$7)),$AN$7-SQRT((1-AV691)*($AN$7-$AL$7)*($AN$7-$AM$7))),$AM$7)</f>
        <v/>
      </c>
      <c r="AN691">
        <f>IFERROR(IF(AW691&lt;($AM$8-$AL$8)/($AN$8-$AL$8),$AL$8+SQRT(AW691*($AN$8-$AL$8)*($AM$8-$AL$8)),$AN$8-SQRT((1-AW691)*($AN$8-$AL$8)*($AN$8-$AM$8))),$AM$8)</f>
        <v/>
      </c>
      <c r="AO691">
        <f>IFERROR(IF(AX691&lt;($AM$9-$AL$9)/($AN$9-$AL$9),$AL$9+SQRT(AX691*($AN$9-$AL$9)*($AM$9-$AL$9)),$AN$9-SQRT((1-AX691)*($AN$9-$AL$9)*($AN$9-$AM$9))),$AM$9)</f>
        <v/>
      </c>
      <c r="AP691">
        <f>IFERROR(IF(AY691&lt;($AM$10-$AL$10)/($AN$10-$AL$10),$AL$10+SQRT(AY691*($AN$10-$AL$10)*($AM$10-$AL$10)),$AN$10-SQRT((1-AY691)*($AN$10-$AL$10)*($AN$10-$AM$10))),$AM$10)</f>
        <v/>
      </c>
      <c r="AQ691">
        <f>IFERROR(IF(AZ691&lt;($AM$11-$AL$11)/($AN$11-$AL$11),$AL$11+SQRT(AZ691*($AN$11-$AL$11)*($AM$11-$AL$11)),$AN$11-SQRT((1-AZ691)*($AN$11-$AL$11)*($AN$11-$AM$11))),$AM$11)</f>
        <v/>
      </c>
      <c r="AR691">
        <f>SUMPRODUCT((B24:B31&lt;=$B$6)*(C24:C31*AM691+D24:D31*AO691*$B$8*AQ691)/(1+AL691/100)^B24:B31)+C32*AM691*AP691/(1+AL691/100)^$B$6</f>
        <v/>
      </c>
      <c r="AS691">
        <f>SUMPRODUCT((K24:K26&lt;=$B$6)*(L24:L26*AN691+M24:M26*AO691*$B$8*AQ691)/(1+AL691/100)^K24:K26)+L27*AN691*AP691/(1+AL691/100)^$B$6</f>
        <v/>
      </c>
      <c r="AT691">
        <f>AS691-AR691</f>
        <v/>
      </c>
      <c r="AU691">
        <f>RAND()</f>
        <v/>
      </c>
      <c r="AV691">
        <f>RAND()</f>
        <v/>
      </c>
      <c r="AW691">
        <f>RAND()</f>
        <v/>
      </c>
      <c r="AX691">
        <f>RAND()</f>
        <v/>
      </c>
      <c r="AY691">
        <f>RAND()</f>
        <v/>
      </c>
      <c r="AZ691">
        <f>RAND()</f>
        <v/>
      </c>
    </row>
    <row r="692">
      <c r="AK692" t="n">
        <v>679</v>
      </c>
      <c r="AL692">
        <f>IFERROR(IF(AU692&lt;($AM$6-$AL$6)/($AN$6-$AL$6),$AL$6+SQRT(AU692*($AN$6-$AL$6)*($AM$6-$AL$6)),$AN$6-SQRT((1-AU692)*($AN$6-$AL$6)*($AN$6-$AM$6))),$AM$6)</f>
        <v/>
      </c>
      <c r="AM692">
        <f>IFERROR(IF(AV692&lt;($AM$7-$AL$7)/($AN$7-$AL$7),$AL$7+SQRT(AV692*($AN$7-$AL$7)*($AM$7-$AL$7)),$AN$7-SQRT((1-AV692)*($AN$7-$AL$7)*($AN$7-$AM$7))),$AM$7)</f>
        <v/>
      </c>
      <c r="AN692">
        <f>IFERROR(IF(AW692&lt;($AM$8-$AL$8)/($AN$8-$AL$8),$AL$8+SQRT(AW692*($AN$8-$AL$8)*($AM$8-$AL$8)),$AN$8-SQRT((1-AW692)*($AN$8-$AL$8)*($AN$8-$AM$8))),$AM$8)</f>
        <v/>
      </c>
      <c r="AO692">
        <f>IFERROR(IF(AX692&lt;($AM$9-$AL$9)/($AN$9-$AL$9),$AL$9+SQRT(AX692*($AN$9-$AL$9)*($AM$9-$AL$9)),$AN$9-SQRT((1-AX692)*($AN$9-$AL$9)*($AN$9-$AM$9))),$AM$9)</f>
        <v/>
      </c>
      <c r="AP692">
        <f>IFERROR(IF(AY692&lt;($AM$10-$AL$10)/($AN$10-$AL$10),$AL$10+SQRT(AY692*($AN$10-$AL$10)*($AM$10-$AL$10)),$AN$10-SQRT((1-AY692)*($AN$10-$AL$10)*($AN$10-$AM$10))),$AM$10)</f>
        <v/>
      </c>
      <c r="AQ692">
        <f>IFERROR(IF(AZ692&lt;($AM$11-$AL$11)/($AN$11-$AL$11),$AL$11+SQRT(AZ692*($AN$11-$AL$11)*($AM$11-$AL$11)),$AN$11-SQRT((1-AZ692)*($AN$11-$AL$11)*($AN$11-$AM$11))),$AM$11)</f>
        <v/>
      </c>
      <c r="AR692">
        <f>SUMPRODUCT((B24:B31&lt;=$B$6)*(C24:C31*AM692+D24:D31*AO692*$B$8*AQ692)/(1+AL692/100)^B24:B31)+C32*AM692*AP692/(1+AL692/100)^$B$6</f>
        <v/>
      </c>
      <c r="AS692">
        <f>SUMPRODUCT((K24:K26&lt;=$B$6)*(L24:L26*AN692+M24:M26*AO692*$B$8*AQ692)/(1+AL692/100)^K24:K26)+L27*AN692*AP692/(1+AL692/100)^$B$6</f>
        <v/>
      </c>
      <c r="AT692">
        <f>AS692-AR692</f>
        <v/>
      </c>
      <c r="AU692">
        <f>RAND()</f>
        <v/>
      </c>
      <c r="AV692">
        <f>RAND()</f>
        <v/>
      </c>
      <c r="AW692">
        <f>RAND()</f>
        <v/>
      </c>
      <c r="AX692">
        <f>RAND()</f>
        <v/>
      </c>
      <c r="AY692">
        <f>RAND()</f>
        <v/>
      </c>
      <c r="AZ692">
        <f>RAND()</f>
        <v/>
      </c>
    </row>
    <row r="693">
      <c r="AK693" t="n">
        <v>680</v>
      </c>
      <c r="AL693">
        <f>IFERROR(IF(AU693&lt;($AM$6-$AL$6)/($AN$6-$AL$6),$AL$6+SQRT(AU693*($AN$6-$AL$6)*($AM$6-$AL$6)),$AN$6-SQRT((1-AU693)*($AN$6-$AL$6)*($AN$6-$AM$6))),$AM$6)</f>
        <v/>
      </c>
      <c r="AM693">
        <f>IFERROR(IF(AV693&lt;($AM$7-$AL$7)/($AN$7-$AL$7),$AL$7+SQRT(AV693*($AN$7-$AL$7)*($AM$7-$AL$7)),$AN$7-SQRT((1-AV693)*($AN$7-$AL$7)*($AN$7-$AM$7))),$AM$7)</f>
        <v/>
      </c>
      <c r="AN693">
        <f>IFERROR(IF(AW693&lt;($AM$8-$AL$8)/($AN$8-$AL$8),$AL$8+SQRT(AW693*($AN$8-$AL$8)*($AM$8-$AL$8)),$AN$8-SQRT((1-AW693)*($AN$8-$AL$8)*($AN$8-$AM$8))),$AM$8)</f>
        <v/>
      </c>
      <c r="AO693">
        <f>IFERROR(IF(AX693&lt;($AM$9-$AL$9)/($AN$9-$AL$9),$AL$9+SQRT(AX693*($AN$9-$AL$9)*($AM$9-$AL$9)),$AN$9-SQRT((1-AX693)*($AN$9-$AL$9)*($AN$9-$AM$9))),$AM$9)</f>
        <v/>
      </c>
      <c r="AP693">
        <f>IFERROR(IF(AY693&lt;($AM$10-$AL$10)/($AN$10-$AL$10),$AL$10+SQRT(AY693*($AN$10-$AL$10)*($AM$10-$AL$10)),$AN$10-SQRT((1-AY693)*($AN$10-$AL$10)*($AN$10-$AM$10))),$AM$10)</f>
        <v/>
      </c>
      <c r="AQ693">
        <f>IFERROR(IF(AZ693&lt;($AM$11-$AL$11)/($AN$11-$AL$11),$AL$11+SQRT(AZ693*($AN$11-$AL$11)*($AM$11-$AL$11)),$AN$11-SQRT((1-AZ693)*($AN$11-$AL$11)*($AN$11-$AM$11))),$AM$11)</f>
        <v/>
      </c>
      <c r="AR693">
        <f>SUMPRODUCT((B24:B31&lt;=$B$6)*(C24:C31*AM693+D24:D31*AO693*$B$8*AQ693)/(1+AL693/100)^B24:B31)+C32*AM693*AP693/(1+AL693/100)^$B$6</f>
        <v/>
      </c>
      <c r="AS693">
        <f>SUMPRODUCT((K24:K26&lt;=$B$6)*(L24:L26*AN693+M24:M26*AO693*$B$8*AQ693)/(1+AL693/100)^K24:K26)+L27*AN693*AP693/(1+AL693/100)^$B$6</f>
        <v/>
      </c>
      <c r="AT693">
        <f>AS693-AR693</f>
        <v/>
      </c>
      <c r="AU693">
        <f>RAND()</f>
        <v/>
      </c>
      <c r="AV693">
        <f>RAND()</f>
        <v/>
      </c>
      <c r="AW693">
        <f>RAND()</f>
        <v/>
      </c>
      <c r="AX693">
        <f>RAND()</f>
        <v/>
      </c>
      <c r="AY693">
        <f>RAND()</f>
        <v/>
      </c>
      <c r="AZ693">
        <f>RAND()</f>
        <v/>
      </c>
    </row>
    <row r="694">
      <c r="AK694" t="n">
        <v>681</v>
      </c>
      <c r="AL694">
        <f>IFERROR(IF(AU694&lt;($AM$6-$AL$6)/($AN$6-$AL$6),$AL$6+SQRT(AU694*($AN$6-$AL$6)*($AM$6-$AL$6)),$AN$6-SQRT((1-AU694)*($AN$6-$AL$6)*($AN$6-$AM$6))),$AM$6)</f>
        <v/>
      </c>
      <c r="AM694">
        <f>IFERROR(IF(AV694&lt;($AM$7-$AL$7)/($AN$7-$AL$7),$AL$7+SQRT(AV694*($AN$7-$AL$7)*($AM$7-$AL$7)),$AN$7-SQRT((1-AV694)*($AN$7-$AL$7)*($AN$7-$AM$7))),$AM$7)</f>
        <v/>
      </c>
      <c r="AN694">
        <f>IFERROR(IF(AW694&lt;($AM$8-$AL$8)/($AN$8-$AL$8),$AL$8+SQRT(AW694*($AN$8-$AL$8)*($AM$8-$AL$8)),$AN$8-SQRT((1-AW694)*($AN$8-$AL$8)*($AN$8-$AM$8))),$AM$8)</f>
        <v/>
      </c>
      <c r="AO694">
        <f>IFERROR(IF(AX694&lt;($AM$9-$AL$9)/($AN$9-$AL$9),$AL$9+SQRT(AX694*($AN$9-$AL$9)*($AM$9-$AL$9)),$AN$9-SQRT((1-AX694)*($AN$9-$AL$9)*($AN$9-$AM$9))),$AM$9)</f>
        <v/>
      </c>
      <c r="AP694">
        <f>IFERROR(IF(AY694&lt;($AM$10-$AL$10)/($AN$10-$AL$10),$AL$10+SQRT(AY694*($AN$10-$AL$10)*($AM$10-$AL$10)),$AN$10-SQRT((1-AY694)*($AN$10-$AL$10)*($AN$10-$AM$10))),$AM$10)</f>
        <v/>
      </c>
      <c r="AQ694">
        <f>IFERROR(IF(AZ694&lt;($AM$11-$AL$11)/($AN$11-$AL$11),$AL$11+SQRT(AZ694*($AN$11-$AL$11)*($AM$11-$AL$11)),$AN$11-SQRT((1-AZ694)*($AN$11-$AL$11)*($AN$11-$AM$11))),$AM$11)</f>
        <v/>
      </c>
      <c r="AR694">
        <f>SUMPRODUCT((B24:B31&lt;=$B$6)*(C24:C31*AM694+D24:D31*AO694*$B$8*AQ694)/(1+AL694/100)^B24:B31)+C32*AM694*AP694/(1+AL694/100)^$B$6</f>
        <v/>
      </c>
      <c r="AS694">
        <f>SUMPRODUCT((K24:K26&lt;=$B$6)*(L24:L26*AN694+M24:M26*AO694*$B$8*AQ694)/(1+AL694/100)^K24:K26)+L27*AN694*AP694/(1+AL694/100)^$B$6</f>
        <v/>
      </c>
      <c r="AT694">
        <f>AS694-AR694</f>
        <v/>
      </c>
      <c r="AU694">
        <f>RAND()</f>
        <v/>
      </c>
      <c r="AV694">
        <f>RAND()</f>
        <v/>
      </c>
      <c r="AW694">
        <f>RAND()</f>
        <v/>
      </c>
      <c r="AX694">
        <f>RAND()</f>
        <v/>
      </c>
      <c r="AY694">
        <f>RAND()</f>
        <v/>
      </c>
      <c r="AZ694">
        <f>RAND()</f>
        <v/>
      </c>
    </row>
    <row r="695">
      <c r="AK695" t="n">
        <v>682</v>
      </c>
      <c r="AL695">
        <f>IFERROR(IF(AU695&lt;($AM$6-$AL$6)/($AN$6-$AL$6),$AL$6+SQRT(AU695*($AN$6-$AL$6)*($AM$6-$AL$6)),$AN$6-SQRT((1-AU695)*($AN$6-$AL$6)*($AN$6-$AM$6))),$AM$6)</f>
        <v/>
      </c>
      <c r="AM695">
        <f>IFERROR(IF(AV695&lt;($AM$7-$AL$7)/($AN$7-$AL$7),$AL$7+SQRT(AV695*($AN$7-$AL$7)*($AM$7-$AL$7)),$AN$7-SQRT((1-AV695)*($AN$7-$AL$7)*($AN$7-$AM$7))),$AM$7)</f>
        <v/>
      </c>
      <c r="AN695">
        <f>IFERROR(IF(AW695&lt;($AM$8-$AL$8)/($AN$8-$AL$8),$AL$8+SQRT(AW695*($AN$8-$AL$8)*($AM$8-$AL$8)),$AN$8-SQRT((1-AW695)*($AN$8-$AL$8)*($AN$8-$AM$8))),$AM$8)</f>
        <v/>
      </c>
      <c r="AO695">
        <f>IFERROR(IF(AX695&lt;($AM$9-$AL$9)/($AN$9-$AL$9),$AL$9+SQRT(AX695*($AN$9-$AL$9)*($AM$9-$AL$9)),$AN$9-SQRT((1-AX695)*($AN$9-$AL$9)*($AN$9-$AM$9))),$AM$9)</f>
        <v/>
      </c>
      <c r="AP695">
        <f>IFERROR(IF(AY695&lt;($AM$10-$AL$10)/($AN$10-$AL$10),$AL$10+SQRT(AY695*($AN$10-$AL$10)*($AM$10-$AL$10)),$AN$10-SQRT((1-AY695)*($AN$10-$AL$10)*($AN$10-$AM$10))),$AM$10)</f>
        <v/>
      </c>
      <c r="AQ695">
        <f>IFERROR(IF(AZ695&lt;($AM$11-$AL$11)/($AN$11-$AL$11),$AL$11+SQRT(AZ695*($AN$11-$AL$11)*($AM$11-$AL$11)),$AN$11-SQRT((1-AZ695)*($AN$11-$AL$11)*($AN$11-$AM$11))),$AM$11)</f>
        <v/>
      </c>
      <c r="AR695">
        <f>SUMPRODUCT((B24:B31&lt;=$B$6)*(C24:C31*AM695+D24:D31*AO695*$B$8*AQ695)/(1+AL695/100)^B24:B31)+C32*AM695*AP695/(1+AL695/100)^$B$6</f>
        <v/>
      </c>
      <c r="AS695">
        <f>SUMPRODUCT((K24:K26&lt;=$B$6)*(L24:L26*AN695+M24:M26*AO695*$B$8*AQ695)/(1+AL695/100)^K24:K26)+L27*AN695*AP695/(1+AL695/100)^$B$6</f>
        <v/>
      </c>
      <c r="AT695">
        <f>AS695-AR695</f>
        <v/>
      </c>
      <c r="AU695">
        <f>RAND()</f>
        <v/>
      </c>
      <c r="AV695">
        <f>RAND()</f>
        <v/>
      </c>
      <c r="AW695">
        <f>RAND()</f>
        <v/>
      </c>
      <c r="AX695">
        <f>RAND()</f>
        <v/>
      </c>
      <c r="AY695">
        <f>RAND()</f>
        <v/>
      </c>
      <c r="AZ695">
        <f>RAND()</f>
        <v/>
      </c>
    </row>
    <row r="696">
      <c r="AK696" t="n">
        <v>683</v>
      </c>
      <c r="AL696">
        <f>IFERROR(IF(AU696&lt;($AM$6-$AL$6)/($AN$6-$AL$6),$AL$6+SQRT(AU696*($AN$6-$AL$6)*($AM$6-$AL$6)),$AN$6-SQRT((1-AU696)*($AN$6-$AL$6)*($AN$6-$AM$6))),$AM$6)</f>
        <v/>
      </c>
      <c r="AM696">
        <f>IFERROR(IF(AV696&lt;($AM$7-$AL$7)/($AN$7-$AL$7),$AL$7+SQRT(AV696*($AN$7-$AL$7)*($AM$7-$AL$7)),$AN$7-SQRT((1-AV696)*($AN$7-$AL$7)*($AN$7-$AM$7))),$AM$7)</f>
        <v/>
      </c>
      <c r="AN696">
        <f>IFERROR(IF(AW696&lt;($AM$8-$AL$8)/($AN$8-$AL$8),$AL$8+SQRT(AW696*($AN$8-$AL$8)*($AM$8-$AL$8)),$AN$8-SQRT((1-AW696)*($AN$8-$AL$8)*($AN$8-$AM$8))),$AM$8)</f>
        <v/>
      </c>
      <c r="AO696">
        <f>IFERROR(IF(AX696&lt;($AM$9-$AL$9)/($AN$9-$AL$9),$AL$9+SQRT(AX696*($AN$9-$AL$9)*($AM$9-$AL$9)),$AN$9-SQRT((1-AX696)*($AN$9-$AL$9)*($AN$9-$AM$9))),$AM$9)</f>
        <v/>
      </c>
      <c r="AP696">
        <f>IFERROR(IF(AY696&lt;($AM$10-$AL$10)/($AN$10-$AL$10),$AL$10+SQRT(AY696*($AN$10-$AL$10)*($AM$10-$AL$10)),$AN$10-SQRT((1-AY696)*($AN$10-$AL$10)*($AN$10-$AM$10))),$AM$10)</f>
        <v/>
      </c>
      <c r="AQ696">
        <f>IFERROR(IF(AZ696&lt;($AM$11-$AL$11)/($AN$11-$AL$11),$AL$11+SQRT(AZ696*($AN$11-$AL$11)*($AM$11-$AL$11)),$AN$11-SQRT((1-AZ696)*($AN$11-$AL$11)*($AN$11-$AM$11))),$AM$11)</f>
        <v/>
      </c>
      <c r="AR696">
        <f>SUMPRODUCT((B24:B31&lt;=$B$6)*(C24:C31*AM696+D24:D31*AO696*$B$8*AQ696)/(1+AL696/100)^B24:B31)+C32*AM696*AP696/(1+AL696/100)^$B$6</f>
        <v/>
      </c>
      <c r="AS696">
        <f>SUMPRODUCT((K24:K26&lt;=$B$6)*(L24:L26*AN696+M24:M26*AO696*$B$8*AQ696)/(1+AL696/100)^K24:K26)+L27*AN696*AP696/(1+AL696/100)^$B$6</f>
        <v/>
      </c>
      <c r="AT696">
        <f>AS696-AR696</f>
        <v/>
      </c>
      <c r="AU696">
        <f>RAND()</f>
        <v/>
      </c>
      <c r="AV696">
        <f>RAND()</f>
        <v/>
      </c>
      <c r="AW696">
        <f>RAND()</f>
        <v/>
      </c>
      <c r="AX696">
        <f>RAND()</f>
        <v/>
      </c>
      <c r="AY696">
        <f>RAND()</f>
        <v/>
      </c>
      <c r="AZ696">
        <f>RAND()</f>
        <v/>
      </c>
    </row>
    <row r="697">
      <c r="AK697" t="n">
        <v>684</v>
      </c>
      <c r="AL697">
        <f>IFERROR(IF(AU697&lt;($AM$6-$AL$6)/($AN$6-$AL$6),$AL$6+SQRT(AU697*($AN$6-$AL$6)*($AM$6-$AL$6)),$AN$6-SQRT((1-AU697)*($AN$6-$AL$6)*($AN$6-$AM$6))),$AM$6)</f>
        <v/>
      </c>
      <c r="AM697">
        <f>IFERROR(IF(AV697&lt;($AM$7-$AL$7)/($AN$7-$AL$7),$AL$7+SQRT(AV697*($AN$7-$AL$7)*($AM$7-$AL$7)),$AN$7-SQRT((1-AV697)*($AN$7-$AL$7)*($AN$7-$AM$7))),$AM$7)</f>
        <v/>
      </c>
      <c r="AN697">
        <f>IFERROR(IF(AW697&lt;($AM$8-$AL$8)/($AN$8-$AL$8),$AL$8+SQRT(AW697*($AN$8-$AL$8)*($AM$8-$AL$8)),$AN$8-SQRT((1-AW697)*($AN$8-$AL$8)*($AN$8-$AM$8))),$AM$8)</f>
        <v/>
      </c>
      <c r="AO697">
        <f>IFERROR(IF(AX697&lt;($AM$9-$AL$9)/($AN$9-$AL$9),$AL$9+SQRT(AX697*($AN$9-$AL$9)*($AM$9-$AL$9)),$AN$9-SQRT((1-AX697)*($AN$9-$AL$9)*($AN$9-$AM$9))),$AM$9)</f>
        <v/>
      </c>
      <c r="AP697">
        <f>IFERROR(IF(AY697&lt;($AM$10-$AL$10)/($AN$10-$AL$10),$AL$10+SQRT(AY697*($AN$10-$AL$10)*($AM$10-$AL$10)),$AN$10-SQRT((1-AY697)*($AN$10-$AL$10)*($AN$10-$AM$10))),$AM$10)</f>
        <v/>
      </c>
      <c r="AQ697">
        <f>IFERROR(IF(AZ697&lt;($AM$11-$AL$11)/($AN$11-$AL$11),$AL$11+SQRT(AZ697*($AN$11-$AL$11)*($AM$11-$AL$11)),$AN$11-SQRT((1-AZ697)*($AN$11-$AL$11)*($AN$11-$AM$11))),$AM$11)</f>
        <v/>
      </c>
      <c r="AR697">
        <f>SUMPRODUCT((B24:B31&lt;=$B$6)*(C24:C31*AM697+D24:D31*AO697*$B$8*AQ697)/(1+AL697/100)^B24:B31)+C32*AM697*AP697/(1+AL697/100)^$B$6</f>
        <v/>
      </c>
      <c r="AS697">
        <f>SUMPRODUCT((K24:K26&lt;=$B$6)*(L24:L26*AN697+M24:M26*AO697*$B$8*AQ697)/(1+AL697/100)^K24:K26)+L27*AN697*AP697/(1+AL697/100)^$B$6</f>
        <v/>
      </c>
      <c r="AT697">
        <f>AS697-AR697</f>
        <v/>
      </c>
      <c r="AU697">
        <f>RAND()</f>
        <v/>
      </c>
      <c r="AV697">
        <f>RAND()</f>
        <v/>
      </c>
      <c r="AW697">
        <f>RAND()</f>
        <v/>
      </c>
      <c r="AX697">
        <f>RAND()</f>
        <v/>
      </c>
      <c r="AY697">
        <f>RAND()</f>
        <v/>
      </c>
      <c r="AZ697">
        <f>RAND()</f>
        <v/>
      </c>
    </row>
    <row r="698">
      <c r="AK698" t="n">
        <v>685</v>
      </c>
      <c r="AL698">
        <f>IFERROR(IF(AU698&lt;($AM$6-$AL$6)/($AN$6-$AL$6),$AL$6+SQRT(AU698*($AN$6-$AL$6)*($AM$6-$AL$6)),$AN$6-SQRT((1-AU698)*($AN$6-$AL$6)*($AN$6-$AM$6))),$AM$6)</f>
        <v/>
      </c>
      <c r="AM698">
        <f>IFERROR(IF(AV698&lt;($AM$7-$AL$7)/($AN$7-$AL$7),$AL$7+SQRT(AV698*($AN$7-$AL$7)*($AM$7-$AL$7)),$AN$7-SQRT((1-AV698)*($AN$7-$AL$7)*($AN$7-$AM$7))),$AM$7)</f>
        <v/>
      </c>
      <c r="AN698">
        <f>IFERROR(IF(AW698&lt;($AM$8-$AL$8)/($AN$8-$AL$8),$AL$8+SQRT(AW698*($AN$8-$AL$8)*($AM$8-$AL$8)),$AN$8-SQRT((1-AW698)*($AN$8-$AL$8)*($AN$8-$AM$8))),$AM$8)</f>
        <v/>
      </c>
      <c r="AO698">
        <f>IFERROR(IF(AX698&lt;($AM$9-$AL$9)/($AN$9-$AL$9),$AL$9+SQRT(AX698*($AN$9-$AL$9)*($AM$9-$AL$9)),$AN$9-SQRT((1-AX698)*($AN$9-$AL$9)*($AN$9-$AM$9))),$AM$9)</f>
        <v/>
      </c>
      <c r="AP698">
        <f>IFERROR(IF(AY698&lt;($AM$10-$AL$10)/($AN$10-$AL$10),$AL$10+SQRT(AY698*($AN$10-$AL$10)*($AM$10-$AL$10)),$AN$10-SQRT((1-AY698)*($AN$10-$AL$10)*($AN$10-$AM$10))),$AM$10)</f>
        <v/>
      </c>
      <c r="AQ698">
        <f>IFERROR(IF(AZ698&lt;($AM$11-$AL$11)/($AN$11-$AL$11),$AL$11+SQRT(AZ698*($AN$11-$AL$11)*($AM$11-$AL$11)),$AN$11-SQRT((1-AZ698)*($AN$11-$AL$11)*($AN$11-$AM$11))),$AM$11)</f>
        <v/>
      </c>
      <c r="AR698">
        <f>SUMPRODUCT((B24:B31&lt;=$B$6)*(C24:C31*AM698+D24:D31*AO698*$B$8*AQ698)/(1+AL698/100)^B24:B31)+C32*AM698*AP698/(1+AL698/100)^$B$6</f>
        <v/>
      </c>
      <c r="AS698">
        <f>SUMPRODUCT((K24:K26&lt;=$B$6)*(L24:L26*AN698+M24:M26*AO698*$B$8*AQ698)/(1+AL698/100)^K24:K26)+L27*AN698*AP698/(1+AL698/100)^$B$6</f>
        <v/>
      </c>
      <c r="AT698">
        <f>AS698-AR698</f>
        <v/>
      </c>
      <c r="AU698">
        <f>RAND()</f>
        <v/>
      </c>
      <c r="AV698">
        <f>RAND()</f>
        <v/>
      </c>
      <c r="AW698">
        <f>RAND()</f>
        <v/>
      </c>
      <c r="AX698">
        <f>RAND()</f>
        <v/>
      </c>
      <c r="AY698">
        <f>RAND()</f>
        <v/>
      </c>
      <c r="AZ698">
        <f>RAND()</f>
        <v/>
      </c>
    </row>
    <row r="699">
      <c r="AK699" t="n">
        <v>686</v>
      </c>
      <c r="AL699">
        <f>IFERROR(IF(AU699&lt;($AM$6-$AL$6)/($AN$6-$AL$6),$AL$6+SQRT(AU699*($AN$6-$AL$6)*($AM$6-$AL$6)),$AN$6-SQRT((1-AU699)*($AN$6-$AL$6)*($AN$6-$AM$6))),$AM$6)</f>
        <v/>
      </c>
      <c r="AM699">
        <f>IFERROR(IF(AV699&lt;($AM$7-$AL$7)/($AN$7-$AL$7),$AL$7+SQRT(AV699*($AN$7-$AL$7)*($AM$7-$AL$7)),$AN$7-SQRT((1-AV699)*($AN$7-$AL$7)*($AN$7-$AM$7))),$AM$7)</f>
        <v/>
      </c>
      <c r="AN699">
        <f>IFERROR(IF(AW699&lt;($AM$8-$AL$8)/($AN$8-$AL$8),$AL$8+SQRT(AW699*($AN$8-$AL$8)*($AM$8-$AL$8)),$AN$8-SQRT((1-AW699)*($AN$8-$AL$8)*($AN$8-$AM$8))),$AM$8)</f>
        <v/>
      </c>
      <c r="AO699">
        <f>IFERROR(IF(AX699&lt;($AM$9-$AL$9)/($AN$9-$AL$9),$AL$9+SQRT(AX699*($AN$9-$AL$9)*($AM$9-$AL$9)),$AN$9-SQRT((1-AX699)*($AN$9-$AL$9)*($AN$9-$AM$9))),$AM$9)</f>
        <v/>
      </c>
      <c r="AP699">
        <f>IFERROR(IF(AY699&lt;($AM$10-$AL$10)/($AN$10-$AL$10),$AL$10+SQRT(AY699*($AN$10-$AL$10)*($AM$10-$AL$10)),$AN$10-SQRT((1-AY699)*($AN$10-$AL$10)*($AN$10-$AM$10))),$AM$10)</f>
        <v/>
      </c>
      <c r="AQ699">
        <f>IFERROR(IF(AZ699&lt;($AM$11-$AL$11)/($AN$11-$AL$11),$AL$11+SQRT(AZ699*($AN$11-$AL$11)*($AM$11-$AL$11)),$AN$11-SQRT((1-AZ699)*($AN$11-$AL$11)*($AN$11-$AM$11))),$AM$11)</f>
        <v/>
      </c>
      <c r="AR699">
        <f>SUMPRODUCT((B24:B31&lt;=$B$6)*(C24:C31*AM699+D24:D31*AO699*$B$8*AQ699)/(1+AL699/100)^B24:B31)+C32*AM699*AP699/(1+AL699/100)^$B$6</f>
        <v/>
      </c>
      <c r="AS699">
        <f>SUMPRODUCT((K24:K26&lt;=$B$6)*(L24:L26*AN699+M24:M26*AO699*$B$8*AQ699)/(1+AL699/100)^K24:K26)+L27*AN699*AP699/(1+AL699/100)^$B$6</f>
        <v/>
      </c>
      <c r="AT699">
        <f>AS699-AR699</f>
        <v/>
      </c>
      <c r="AU699">
        <f>RAND()</f>
        <v/>
      </c>
      <c r="AV699">
        <f>RAND()</f>
        <v/>
      </c>
      <c r="AW699">
        <f>RAND()</f>
        <v/>
      </c>
      <c r="AX699">
        <f>RAND()</f>
        <v/>
      </c>
      <c r="AY699">
        <f>RAND()</f>
        <v/>
      </c>
      <c r="AZ699">
        <f>RAND()</f>
        <v/>
      </c>
    </row>
    <row r="700">
      <c r="AK700" t="n">
        <v>687</v>
      </c>
      <c r="AL700">
        <f>IFERROR(IF(AU700&lt;($AM$6-$AL$6)/($AN$6-$AL$6),$AL$6+SQRT(AU700*($AN$6-$AL$6)*($AM$6-$AL$6)),$AN$6-SQRT((1-AU700)*($AN$6-$AL$6)*($AN$6-$AM$6))),$AM$6)</f>
        <v/>
      </c>
      <c r="AM700">
        <f>IFERROR(IF(AV700&lt;($AM$7-$AL$7)/($AN$7-$AL$7),$AL$7+SQRT(AV700*($AN$7-$AL$7)*($AM$7-$AL$7)),$AN$7-SQRT((1-AV700)*($AN$7-$AL$7)*($AN$7-$AM$7))),$AM$7)</f>
        <v/>
      </c>
      <c r="AN700">
        <f>IFERROR(IF(AW700&lt;($AM$8-$AL$8)/($AN$8-$AL$8),$AL$8+SQRT(AW700*($AN$8-$AL$8)*($AM$8-$AL$8)),$AN$8-SQRT((1-AW700)*($AN$8-$AL$8)*($AN$8-$AM$8))),$AM$8)</f>
        <v/>
      </c>
      <c r="AO700">
        <f>IFERROR(IF(AX700&lt;($AM$9-$AL$9)/($AN$9-$AL$9),$AL$9+SQRT(AX700*($AN$9-$AL$9)*($AM$9-$AL$9)),$AN$9-SQRT((1-AX700)*($AN$9-$AL$9)*($AN$9-$AM$9))),$AM$9)</f>
        <v/>
      </c>
      <c r="AP700">
        <f>IFERROR(IF(AY700&lt;($AM$10-$AL$10)/($AN$10-$AL$10),$AL$10+SQRT(AY700*($AN$10-$AL$10)*($AM$10-$AL$10)),$AN$10-SQRT((1-AY700)*($AN$10-$AL$10)*($AN$10-$AM$10))),$AM$10)</f>
        <v/>
      </c>
      <c r="AQ700">
        <f>IFERROR(IF(AZ700&lt;($AM$11-$AL$11)/($AN$11-$AL$11),$AL$11+SQRT(AZ700*($AN$11-$AL$11)*($AM$11-$AL$11)),$AN$11-SQRT((1-AZ700)*($AN$11-$AL$11)*($AN$11-$AM$11))),$AM$11)</f>
        <v/>
      </c>
      <c r="AR700">
        <f>SUMPRODUCT((B24:B31&lt;=$B$6)*(C24:C31*AM700+D24:D31*AO700*$B$8*AQ700)/(1+AL700/100)^B24:B31)+C32*AM700*AP700/(1+AL700/100)^$B$6</f>
        <v/>
      </c>
      <c r="AS700">
        <f>SUMPRODUCT((K24:K26&lt;=$B$6)*(L24:L26*AN700+M24:M26*AO700*$B$8*AQ700)/(1+AL700/100)^K24:K26)+L27*AN700*AP700/(1+AL700/100)^$B$6</f>
        <v/>
      </c>
      <c r="AT700">
        <f>AS700-AR700</f>
        <v/>
      </c>
      <c r="AU700">
        <f>RAND()</f>
        <v/>
      </c>
      <c r="AV700">
        <f>RAND()</f>
        <v/>
      </c>
      <c r="AW700">
        <f>RAND()</f>
        <v/>
      </c>
      <c r="AX700">
        <f>RAND()</f>
        <v/>
      </c>
      <c r="AY700">
        <f>RAND()</f>
        <v/>
      </c>
      <c r="AZ700">
        <f>RAND()</f>
        <v/>
      </c>
    </row>
    <row r="701">
      <c r="AK701" t="n">
        <v>688</v>
      </c>
      <c r="AL701">
        <f>IFERROR(IF(AU701&lt;($AM$6-$AL$6)/($AN$6-$AL$6),$AL$6+SQRT(AU701*($AN$6-$AL$6)*($AM$6-$AL$6)),$AN$6-SQRT((1-AU701)*($AN$6-$AL$6)*($AN$6-$AM$6))),$AM$6)</f>
        <v/>
      </c>
      <c r="AM701">
        <f>IFERROR(IF(AV701&lt;($AM$7-$AL$7)/($AN$7-$AL$7),$AL$7+SQRT(AV701*($AN$7-$AL$7)*($AM$7-$AL$7)),$AN$7-SQRT((1-AV701)*($AN$7-$AL$7)*($AN$7-$AM$7))),$AM$7)</f>
        <v/>
      </c>
      <c r="AN701">
        <f>IFERROR(IF(AW701&lt;($AM$8-$AL$8)/($AN$8-$AL$8),$AL$8+SQRT(AW701*($AN$8-$AL$8)*($AM$8-$AL$8)),$AN$8-SQRT((1-AW701)*($AN$8-$AL$8)*($AN$8-$AM$8))),$AM$8)</f>
        <v/>
      </c>
      <c r="AO701">
        <f>IFERROR(IF(AX701&lt;($AM$9-$AL$9)/($AN$9-$AL$9),$AL$9+SQRT(AX701*($AN$9-$AL$9)*($AM$9-$AL$9)),$AN$9-SQRT((1-AX701)*($AN$9-$AL$9)*($AN$9-$AM$9))),$AM$9)</f>
        <v/>
      </c>
      <c r="AP701">
        <f>IFERROR(IF(AY701&lt;($AM$10-$AL$10)/($AN$10-$AL$10),$AL$10+SQRT(AY701*($AN$10-$AL$10)*($AM$10-$AL$10)),$AN$10-SQRT((1-AY701)*($AN$10-$AL$10)*($AN$10-$AM$10))),$AM$10)</f>
        <v/>
      </c>
      <c r="AQ701">
        <f>IFERROR(IF(AZ701&lt;($AM$11-$AL$11)/($AN$11-$AL$11),$AL$11+SQRT(AZ701*($AN$11-$AL$11)*($AM$11-$AL$11)),$AN$11-SQRT((1-AZ701)*($AN$11-$AL$11)*($AN$11-$AM$11))),$AM$11)</f>
        <v/>
      </c>
      <c r="AR701">
        <f>SUMPRODUCT((B24:B31&lt;=$B$6)*(C24:C31*AM701+D24:D31*AO701*$B$8*AQ701)/(1+AL701/100)^B24:B31)+C32*AM701*AP701/(1+AL701/100)^$B$6</f>
        <v/>
      </c>
      <c r="AS701">
        <f>SUMPRODUCT((K24:K26&lt;=$B$6)*(L24:L26*AN701+M24:M26*AO701*$B$8*AQ701)/(1+AL701/100)^K24:K26)+L27*AN701*AP701/(1+AL701/100)^$B$6</f>
        <v/>
      </c>
      <c r="AT701">
        <f>AS701-AR701</f>
        <v/>
      </c>
      <c r="AU701">
        <f>RAND()</f>
        <v/>
      </c>
      <c r="AV701">
        <f>RAND()</f>
        <v/>
      </c>
      <c r="AW701">
        <f>RAND()</f>
        <v/>
      </c>
      <c r="AX701">
        <f>RAND()</f>
        <v/>
      </c>
      <c r="AY701">
        <f>RAND()</f>
        <v/>
      </c>
      <c r="AZ701">
        <f>RAND()</f>
        <v/>
      </c>
    </row>
    <row r="702">
      <c r="AK702" t="n">
        <v>689</v>
      </c>
      <c r="AL702">
        <f>IFERROR(IF(AU702&lt;($AM$6-$AL$6)/($AN$6-$AL$6),$AL$6+SQRT(AU702*($AN$6-$AL$6)*($AM$6-$AL$6)),$AN$6-SQRT((1-AU702)*($AN$6-$AL$6)*($AN$6-$AM$6))),$AM$6)</f>
        <v/>
      </c>
      <c r="AM702">
        <f>IFERROR(IF(AV702&lt;($AM$7-$AL$7)/($AN$7-$AL$7),$AL$7+SQRT(AV702*($AN$7-$AL$7)*($AM$7-$AL$7)),$AN$7-SQRT((1-AV702)*($AN$7-$AL$7)*($AN$7-$AM$7))),$AM$7)</f>
        <v/>
      </c>
      <c r="AN702">
        <f>IFERROR(IF(AW702&lt;($AM$8-$AL$8)/($AN$8-$AL$8),$AL$8+SQRT(AW702*($AN$8-$AL$8)*($AM$8-$AL$8)),$AN$8-SQRT((1-AW702)*($AN$8-$AL$8)*($AN$8-$AM$8))),$AM$8)</f>
        <v/>
      </c>
      <c r="AO702">
        <f>IFERROR(IF(AX702&lt;($AM$9-$AL$9)/($AN$9-$AL$9),$AL$9+SQRT(AX702*($AN$9-$AL$9)*($AM$9-$AL$9)),$AN$9-SQRT((1-AX702)*($AN$9-$AL$9)*($AN$9-$AM$9))),$AM$9)</f>
        <v/>
      </c>
      <c r="AP702">
        <f>IFERROR(IF(AY702&lt;($AM$10-$AL$10)/($AN$10-$AL$10),$AL$10+SQRT(AY702*($AN$10-$AL$10)*($AM$10-$AL$10)),$AN$10-SQRT((1-AY702)*($AN$10-$AL$10)*($AN$10-$AM$10))),$AM$10)</f>
        <v/>
      </c>
      <c r="AQ702">
        <f>IFERROR(IF(AZ702&lt;($AM$11-$AL$11)/($AN$11-$AL$11),$AL$11+SQRT(AZ702*($AN$11-$AL$11)*($AM$11-$AL$11)),$AN$11-SQRT((1-AZ702)*($AN$11-$AL$11)*($AN$11-$AM$11))),$AM$11)</f>
        <v/>
      </c>
      <c r="AR702">
        <f>SUMPRODUCT((B24:B31&lt;=$B$6)*(C24:C31*AM702+D24:D31*AO702*$B$8*AQ702)/(1+AL702/100)^B24:B31)+C32*AM702*AP702/(1+AL702/100)^$B$6</f>
        <v/>
      </c>
      <c r="AS702">
        <f>SUMPRODUCT((K24:K26&lt;=$B$6)*(L24:L26*AN702+M24:M26*AO702*$B$8*AQ702)/(1+AL702/100)^K24:K26)+L27*AN702*AP702/(1+AL702/100)^$B$6</f>
        <v/>
      </c>
      <c r="AT702">
        <f>AS702-AR702</f>
        <v/>
      </c>
      <c r="AU702">
        <f>RAND()</f>
        <v/>
      </c>
      <c r="AV702">
        <f>RAND()</f>
        <v/>
      </c>
      <c r="AW702">
        <f>RAND()</f>
        <v/>
      </c>
      <c r="AX702">
        <f>RAND()</f>
        <v/>
      </c>
      <c r="AY702">
        <f>RAND()</f>
        <v/>
      </c>
      <c r="AZ702">
        <f>RAND()</f>
        <v/>
      </c>
    </row>
    <row r="703">
      <c r="AK703" t="n">
        <v>690</v>
      </c>
      <c r="AL703">
        <f>IFERROR(IF(AU703&lt;($AM$6-$AL$6)/($AN$6-$AL$6),$AL$6+SQRT(AU703*($AN$6-$AL$6)*($AM$6-$AL$6)),$AN$6-SQRT((1-AU703)*($AN$6-$AL$6)*($AN$6-$AM$6))),$AM$6)</f>
        <v/>
      </c>
      <c r="AM703">
        <f>IFERROR(IF(AV703&lt;($AM$7-$AL$7)/($AN$7-$AL$7),$AL$7+SQRT(AV703*($AN$7-$AL$7)*($AM$7-$AL$7)),$AN$7-SQRT((1-AV703)*($AN$7-$AL$7)*($AN$7-$AM$7))),$AM$7)</f>
        <v/>
      </c>
      <c r="AN703">
        <f>IFERROR(IF(AW703&lt;($AM$8-$AL$8)/($AN$8-$AL$8),$AL$8+SQRT(AW703*($AN$8-$AL$8)*($AM$8-$AL$8)),$AN$8-SQRT((1-AW703)*($AN$8-$AL$8)*($AN$8-$AM$8))),$AM$8)</f>
        <v/>
      </c>
      <c r="AO703">
        <f>IFERROR(IF(AX703&lt;($AM$9-$AL$9)/($AN$9-$AL$9),$AL$9+SQRT(AX703*($AN$9-$AL$9)*($AM$9-$AL$9)),$AN$9-SQRT((1-AX703)*($AN$9-$AL$9)*($AN$9-$AM$9))),$AM$9)</f>
        <v/>
      </c>
      <c r="AP703">
        <f>IFERROR(IF(AY703&lt;($AM$10-$AL$10)/($AN$10-$AL$10),$AL$10+SQRT(AY703*($AN$10-$AL$10)*($AM$10-$AL$10)),$AN$10-SQRT((1-AY703)*($AN$10-$AL$10)*($AN$10-$AM$10))),$AM$10)</f>
        <v/>
      </c>
      <c r="AQ703">
        <f>IFERROR(IF(AZ703&lt;($AM$11-$AL$11)/($AN$11-$AL$11),$AL$11+SQRT(AZ703*($AN$11-$AL$11)*($AM$11-$AL$11)),$AN$11-SQRT((1-AZ703)*($AN$11-$AL$11)*($AN$11-$AM$11))),$AM$11)</f>
        <v/>
      </c>
      <c r="AR703">
        <f>SUMPRODUCT((B24:B31&lt;=$B$6)*(C24:C31*AM703+D24:D31*AO703*$B$8*AQ703)/(1+AL703/100)^B24:B31)+C32*AM703*AP703/(1+AL703/100)^$B$6</f>
        <v/>
      </c>
      <c r="AS703">
        <f>SUMPRODUCT((K24:K26&lt;=$B$6)*(L24:L26*AN703+M24:M26*AO703*$B$8*AQ703)/(1+AL703/100)^K24:K26)+L27*AN703*AP703/(1+AL703/100)^$B$6</f>
        <v/>
      </c>
      <c r="AT703">
        <f>AS703-AR703</f>
        <v/>
      </c>
      <c r="AU703">
        <f>RAND()</f>
        <v/>
      </c>
      <c r="AV703">
        <f>RAND()</f>
        <v/>
      </c>
      <c r="AW703">
        <f>RAND()</f>
        <v/>
      </c>
      <c r="AX703">
        <f>RAND()</f>
        <v/>
      </c>
      <c r="AY703">
        <f>RAND()</f>
        <v/>
      </c>
      <c r="AZ703">
        <f>RAND()</f>
        <v/>
      </c>
    </row>
    <row r="704">
      <c r="AK704" t="n">
        <v>691</v>
      </c>
      <c r="AL704">
        <f>IFERROR(IF(AU704&lt;($AM$6-$AL$6)/($AN$6-$AL$6),$AL$6+SQRT(AU704*($AN$6-$AL$6)*($AM$6-$AL$6)),$AN$6-SQRT((1-AU704)*($AN$6-$AL$6)*($AN$6-$AM$6))),$AM$6)</f>
        <v/>
      </c>
      <c r="AM704">
        <f>IFERROR(IF(AV704&lt;($AM$7-$AL$7)/($AN$7-$AL$7),$AL$7+SQRT(AV704*($AN$7-$AL$7)*($AM$7-$AL$7)),$AN$7-SQRT((1-AV704)*($AN$7-$AL$7)*($AN$7-$AM$7))),$AM$7)</f>
        <v/>
      </c>
      <c r="AN704">
        <f>IFERROR(IF(AW704&lt;($AM$8-$AL$8)/($AN$8-$AL$8),$AL$8+SQRT(AW704*($AN$8-$AL$8)*($AM$8-$AL$8)),$AN$8-SQRT((1-AW704)*($AN$8-$AL$8)*($AN$8-$AM$8))),$AM$8)</f>
        <v/>
      </c>
      <c r="AO704">
        <f>IFERROR(IF(AX704&lt;($AM$9-$AL$9)/($AN$9-$AL$9),$AL$9+SQRT(AX704*($AN$9-$AL$9)*($AM$9-$AL$9)),$AN$9-SQRT((1-AX704)*($AN$9-$AL$9)*($AN$9-$AM$9))),$AM$9)</f>
        <v/>
      </c>
      <c r="AP704">
        <f>IFERROR(IF(AY704&lt;($AM$10-$AL$10)/($AN$10-$AL$10),$AL$10+SQRT(AY704*($AN$10-$AL$10)*($AM$10-$AL$10)),$AN$10-SQRT((1-AY704)*($AN$10-$AL$10)*($AN$10-$AM$10))),$AM$10)</f>
        <v/>
      </c>
      <c r="AQ704">
        <f>IFERROR(IF(AZ704&lt;($AM$11-$AL$11)/($AN$11-$AL$11),$AL$11+SQRT(AZ704*($AN$11-$AL$11)*($AM$11-$AL$11)),$AN$11-SQRT((1-AZ704)*($AN$11-$AL$11)*($AN$11-$AM$11))),$AM$11)</f>
        <v/>
      </c>
      <c r="AR704">
        <f>SUMPRODUCT((B24:B31&lt;=$B$6)*(C24:C31*AM704+D24:D31*AO704*$B$8*AQ704)/(1+AL704/100)^B24:B31)+C32*AM704*AP704/(1+AL704/100)^$B$6</f>
        <v/>
      </c>
      <c r="AS704">
        <f>SUMPRODUCT((K24:K26&lt;=$B$6)*(L24:L26*AN704+M24:M26*AO704*$B$8*AQ704)/(1+AL704/100)^K24:K26)+L27*AN704*AP704/(1+AL704/100)^$B$6</f>
        <v/>
      </c>
      <c r="AT704">
        <f>AS704-AR704</f>
        <v/>
      </c>
      <c r="AU704">
        <f>RAND()</f>
        <v/>
      </c>
      <c r="AV704">
        <f>RAND()</f>
        <v/>
      </c>
      <c r="AW704">
        <f>RAND()</f>
        <v/>
      </c>
      <c r="AX704">
        <f>RAND()</f>
        <v/>
      </c>
      <c r="AY704">
        <f>RAND()</f>
        <v/>
      </c>
      <c r="AZ704">
        <f>RAND()</f>
        <v/>
      </c>
    </row>
    <row r="705">
      <c r="AK705" t="n">
        <v>692</v>
      </c>
      <c r="AL705">
        <f>IFERROR(IF(AU705&lt;($AM$6-$AL$6)/($AN$6-$AL$6),$AL$6+SQRT(AU705*($AN$6-$AL$6)*($AM$6-$AL$6)),$AN$6-SQRT((1-AU705)*($AN$6-$AL$6)*($AN$6-$AM$6))),$AM$6)</f>
        <v/>
      </c>
      <c r="AM705">
        <f>IFERROR(IF(AV705&lt;($AM$7-$AL$7)/($AN$7-$AL$7),$AL$7+SQRT(AV705*($AN$7-$AL$7)*($AM$7-$AL$7)),$AN$7-SQRT((1-AV705)*($AN$7-$AL$7)*($AN$7-$AM$7))),$AM$7)</f>
        <v/>
      </c>
      <c r="AN705">
        <f>IFERROR(IF(AW705&lt;($AM$8-$AL$8)/($AN$8-$AL$8),$AL$8+SQRT(AW705*($AN$8-$AL$8)*($AM$8-$AL$8)),$AN$8-SQRT((1-AW705)*($AN$8-$AL$8)*($AN$8-$AM$8))),$AM$8)</f>
        <v/>
      </c>
      <c r="AO705">
        <f>IFERROR(IF(AX705&lt;($AM$9-$AL$9)/($AN$9-$AL$9),$AL$9+SQRT(AX705*($AN$9-$AL$9)*($AM$9-$AL$9)),$AN$9-SQRT((1-AX705)*($AN$9-$AL$9)*($AN$9-$AM$9))),$AM$9)</f>
        <v/>
      </c>
      <c r="AP705">
        <f>IFERROR(IF(AY705&lt;($AM$10-$AL$10)/($AN$10-$AL$10),$AL$10+SQRT(AY705*($AN$10-$AL$10)*($AM$10-$AL$10)),$AN$10-SQRT((1-AY705)*($AN$10-$AL$10)*($AN$10-$AM$10))),$AM$10)</f>
        <v/>
      </c>
      <c r="AQ705">
        <f>IFERROR(IF(AZ705&lt;($AM$11-$AL$11)/($AN$11-$AL$11),$AL$11+SQRT(AZ705*($AN$11-$AL$11)*($AM$11-$AL$11)),$AN$11-SQRT((1-AZ705)*($AN$11-$AL$11)*($AN$11-$AM$11))),$AM$11)</f>
        <v/>
      </c>
      <c r="AR705">
        <f>SUMPRODUCT((B24:B31&lt;=$B$6)*(C24:C31*AM705+D24:D31*AO705*$B$8*AQ705)/(1+AL705/100)^B24:B31)+C32*AM705*AP705/(1+AL705/100)^$B$6</f>
        <v/>
      </c>
      <c r="AS705">
        <f>SUMPRODUCT((K24:K26&lt;=$B$6)*(L24:L26*AN705+M24:M26*AO705*$B$8*AQ705)/(1+AL705/100)^K24:K26)+L27*AN705*AP705/(1+AL705/100)^$B$6</f>
        <v/>
      </c>
      <c r="AT705">
        <f>AS705-AR705</f>
        <v/>
      </c>
      <c r="AU705">
        <f>RAND()</f>
        <v/>
      </c>
      <c r="AV705">
        <f>RAND()</f>
        <v/>
      </c>
      <c r="AW705">
        <f>RAND()</f>
        <v/>
      </c>
      <c r="AX705">
        <f>RAND()</f>
        <v/>
      </c>
      <c r="AY705">
        <f>RAND()</f>
        <v/>
      </c>
      <c r="AZ705">
        <f>RAND()</f>
        <v/>
      </c>
    </row>
    <row r="706">
      <c r="AK706" t="n">
        <v>693</v>
      </c>
      <c r="AL706">
        <f>IFERROR(IF(AU706&lt;($AM$6-$AL$6)/($AN$6-$AL$6),$AL$6+SQRT(AU706*($AN$6-$AL$6)*($AM$6-$AL$6)),$AN$6-SQRT((1-AU706)*($AN$6-$AL$6)*($AN$6-$AM$6))),$AM$6)</f>
        <v/>
      </c>
      <c r="AM706">
        <f>IFERROR(IF(AV706&lt;($AM$7-$AL$7)/($AN$7-$AL$7),$AL$7+SQRT(AV706*($AN$7-$AL$7)*($AM$7-$AL$7)),$AN$7-SQRT((1-AV706)*($AN$7-$AL$7)*($AN$7-$AM$7))),$AM$7)</f>
        <v/>
      </c>
      <c r="AN706">
        <f>IFERROR(IF(AW706&lt;($AM$8-$AL$8)/($AN$8-$AL$8),$AL$8+SQRT(AW706*($AN$8-$AL$8)*($AM$8-$AL$8)),$AN$8-SQRT((1-AW706)*($AN$8-$AL$8)*($AN$8-$AM$8))),$AM$8)</f>
        <v/>
      </c>
      <c r="AO706">
        <f>IFERROR(IF(AX706&lt;($AM$9-$AL$9)/($AN$9-$AL$9),$AL$9+SQRT(AX706*($AN$9-$AL$9)*($AM$9-$AL$9)),$AN$9-SQRT((1-AX706)*($AN$9-$AL$9)*($AN$9-$AM$9))),$AM$9)</f>
        <v/>
      </c>
      <c r="AP706">
        <f>IFERROR(IF(AY706&lt;($AM$10-$AL$10)/($AN$10-$AL$10),$AL$10+SQRT(AY706*($AN$10-$AL$10)*($AM$10-$AL$10)),$AN$10-SQRT((1-AY706)*($AN$10-$AL$10)*($AN$10-$AM$10))),$AM$10)</f>
        <v/>
      </c>
      <c r="AQ706">
        <f>IFERROR(IF(AZ706&lt;($AM$11-$AL$11)/($AN$11-$AL$11),$AL$11+SQRT(AZ706*($AN$11-$AL$11)*($AM$11-$AL$11)),$AN$11-SQRT((1-AZ706)*($AN$11-$AL$11)*($AN$11-$AM$11))),$AM$11)</f>
        <v/>
      </c>
      <c r="AR706">
        <f>SUMPRODUCT((B24:B31&lt;=$B$6)*(C24:C31*AM706+D24:D31*AO706*$B$8*AQ706)/(1+AL706/100)^B24:B31)+C32*AM706*AP706/(1+AL706/100)^$B$6</f>
        <v/>
      </c>
      <c r="AS706">
        <f>SUMPRODUCT((K24:K26&lt;=$B$6)*(L24:L26*AN706+M24:M26*AO706*$B$8*AQ706)/(1+AL706/100)^K24:K26)+L27*AN706*AP706/(1+AL706/100)^$B$6</f>
        <v/>
      </c>
      <c r="AT706">
        <f>AS706-AR706</f>
        <v/>
      </c>
      <c r="AU706">
        <f>RAND()</f>
        <v/>
      </c>
      <c r="AV706">
        <f>RAND()</f>
        <v/>
      </c>
      <c r="AW706">
        <f>RAND()</f>
        <v/>
      </c>
      <c r="AX706">
        <f>RAND()</f>
        <v/>
      </c>
      <c r="AY706">
        <f>RAND()</f>
        <v/>
      </c>
      <c r="AZ706">
        <f>RAND()</f>
        <v/>
      </c>
    </row>
    <row r="707">
      <c r="AK707" t="n">
        <v>694</v>
      </c>
      <c r="AL707">
        <f>IFERROR(IF(AU707&lt;($AM$6-$AL$6)/($AN$6-$AL$6),$AL$6+SQRT(AU707*($AN$6-$AL$6)*($AM$6-$AL$6)),$AN$6-SQRT((1-AU707)*($AN$6-$AL$6)*($AN$6-$AM$6))),$AM$6)</f>
        <v/>
      </c>
      <c r="AM707">
        <f>IFERROR(IF(AV707&lt;($AM$7-$AL$7)/($AN$7-$AL$7),$AL$7+SQRT(AV707*($AN$7-$AL$7)*($AM$7-$AL$7)),$AN$7-SQRT((1-AV707)*($AN$7-$AL$7)*($AN$7-$AM$7))),$AM$7)</f>
        <v/>
      </c>
      <c r="AN707">
        <f>IFERROR(IF(AW707&lt;($AM$8-$AL$8)/($AN$8-$AL$8),$AL$8+SQRT(AW707*($AN$8-$AL$8)*($AM$8-$AL$8)),$AN$8-SQRT((1-AW707)*($AN$8-$AL$8)*($AN$8-$AM$8))),$AM$8)</f>
        <v/>
      </c>
      <c r="AO707">
        <f>IFERROR(IF(AX707&lt;($AM$9-$AL$9)/($AN$9-$AL$9),$AL$9+SQRT(AX707*($AN$9-$AL$9)*($AM$9-$AL$9)),$AN$9-SQRT((1-AX707)*($AN$9-$AL$9)*($AN$9-$AM$9))),$AM$9)</f>
        <v/>
      </c>
      <c r="AP707">
        <f>IFERROR(IF(AY707&lt;($AM$10-$AL$10)/($AN$10-$AL$10),$AL$10+SQRT(AY707*($AN$10-$AL$10)*($AM$10-$AL$10)),$AN$10-SQRT((1-AY707)*($AN$10-$AL$10)*($AN$10-$AM$10))),$AM$10)</f>
        <v/>
      </c>
      <c r="AQ707">
        <f>IFERROR(IF(AZ707&lt;($AM$11-$AL$11)/($AN$11-$AL$11),$AL$11+SQRT(AZ707*($AN$11-$AL$11)*($AM$11-$AL$11)),$AN$11-SQRT((1-AZ707)*($AN$11-$AL$11)*($AN$11-$AM$11))),$AM$11)</f>
        <v/>
      </c>
      <c r="AR707">
        <f>SUMPRODUCT((B24:B31&lt;=$B$6)*(C24:C31*AM707+D24:D31*AO707*$B$8*AQ707)/(1+AL707/100)^B24:B31)+C32*AM707*AP707/(1+AL707/100)^$B$6</f>
        <v/>
      </c>
      <c r="AS707">
        <f>SUMPRODUCT((K24:K26&lt;=$B$6)*(L24:L26*AN707+M24:M26*AO707*$B$8*AQ707)/(1+AL707/100)^K24:K26)+L27*AN707*AP707/(1+AL707/100)^$B$6</f>
        <v/>
      </c>
      <c r="AT707">
        <f>AS707-AR707</f>
        <v/>
      </c>
      <c r="AU707">
        <f>RAND()</f>
        <v/>
      </c>
      <c r="AV707">
        <f>RAND()</f>
        <v/>
      </c>
      <c r="AW707">
        <f>RAND()</f>
        <v/>
      </c>
      <c r="AX707">
        <f>RAND()</f>
        <v/>
      </c>
      <c r="AY707">
        <f>RAND()</f>
        <v/>
      </c>
      <c r="AZ707">
        <f>RAND()</f>
        <v/>
      </c>
    </row>
    <row r="708">
      <c r="AK708" t="n">
        <v>695</v>
      </c>
      <c r="AL708">
        <f>IFERROR(IF(AU708&lt;($AM$6-$AL$6)/($AN$6-$AL$6),$AL$6+SQRT(AU708*($AN$6-$AL$6)*($AM$6-$AL$6)),$AN$6-SQRT((1-AU708)*($AN$6-$AL$6)*($AN$6-$AM$6))),$AM$6)</f>
        <v/>
      </c>
      <c r="AM708">
        <f>IFERROR(IF(AV708&lt;($AM$7-$AL$7)/($AN$7-$AL$7),$AL$7+SQRT(AV708*($AN$7-$AL$7)*($AM$7-$AL$7)),$AN$7-SQRT((1-AV708)*($AN$7-$AL$7)*($AN$7-$AM$7))),$AM$7)</f>
        <v/>
      </c>
      <c r="AN708">
        <f>IFERROR(IF(AW708&lt;($AM$8-$AL$8)/($AN$8-$AL$8),$AL$8+SQRT(AW708*($AN$8-$AL$8)*($AM$8-$AL$8)),$AN$8-SQRT((1-AW708)*($AN$8-$AL$8)*($AN$8-$AM$8))),$AM$8)</f>
        <v/>
      </c>
      <c r="AO708">
        <f>IFERROR(IF(AX708&lt;($AM$9-$AL$9)/($AN$9-$AL$9),$AL$9+SQRT(AX708*($AN$9-$AL$9)*($AM$9-$AL$9)),$AN$9-SQRT((1-AX708)*($AN$9-$AL$9)*($AN$9-$AM$9))),$AM$9)</f>
        <v/>
      </c>
      <c r="AP708">
        <f>IFERROR(IF(AY708&lt;($AM$10-$AL$10)/($AN$10-$AL$10),$AL$10+SQRT(AY708*($AN$10-$AL$10)*($AM$10-$AL$10)),$AN$10-SQRT((1-AY708)*($AN$10-$AL$10)*($AN$10-$AM$10))),$AM$10)</f>
        <v/>
      </c>
      <c r="AQ708">
        <f>IFERROR(IF(AZ708&lt;($AM$11-$AL$11)/($AN$11-$AL$11),$AL$11+SQRT(AZ708*($AN$11-$AL$11)*($AM$11-$AL$11)),$AN$11-SQRT((1-AZ708)*($AN$11-$AL$11)*($AN$11-$AM$11))),$AM$11)</f>
        <v/>
      </c>
      <c r="AR708">
        <f>SUMPRODUCT((B24:B31&lt;=$B$6)*(C24:C31*AM708+D24:D31*AO708*$B$8*AQ708)/(1+AL708/100)^B24:B31)+C32*AM708*AP708/(1+AL708/100)^$B$6</f>
        <v/>
      </c>
      <c r="AS708">
        <f>SUMPRODUCT((K24:K26&lt;=$B$6)*(L24:L26*AN708+M24:M26*AO708*$B$8*AQ708)/(1+AL708/100)^K24:K26)+L27*AN708*AP708/(1+AL708/100)^$B$6</f>
        <v/>
      </c>
      <c r="AT708">
        <f>AS708-AR708</f>
        <v/>
      </c>
      <c r="AU708">
        <f>RAND()</f>
        <v/>
      </c>
      <c r="AV708">
        <f>RAND()</f>
        <v/>
      </c>
      <c r="AW708">
        <f>RAND()</f>
        <v/>
      </c>
      <c r="AX708">
        <f>RAND()</f>
        <v/>
      </c>
      <c r="AY708">
        <f>RAND()</f>
        <v/>
      </c>
      <c r="AZ708">
        <f>RAND()</f>
        <v/>
      </c>
    </row>
    <row r="709">
      <c r="AK709" t="n">
        <v>696</v>
      </c>
      <c r="AL709">
        <f>IFERROR(IF(AU709&lt;($AM$6-$AL$6)/($AN$6-$AL$6),$AL$6+SQRT(AU709*($AN$6-$AL$6)*($AM$6-$AL$6)),$AN$6-SQRT((1-AU709)*($AN$6-$AL$6)*($AN$6-$AM$6))),$AM$6)</f>
        <v/>
      </c>
      <c r="AM709">
        <f>IFERROR(IF(AV709&lt;($AM$7-$AL$7)/($AN$7-$AL$7),$AL$7+SQRT(AV709*($AN$7-$AL$7)*($AM$7-$AL$7)),$AN$7-SQRT((1-AV709)*($AN$7-$AL$7)*($AN$7-$AM$7))),$AM$7)</f>
        <v/>
      </c>
      <c r="AN709">
        <f>IFERROR(IF(AW709&lt;($AM$8-$AL$8)/($AN$8-$AL$8),$AL$8+SQRT(AW709*($AN$8-$AL$8)*($AM$8-$AL$8)),$AN$8-SQRT((1-AW709)*($AN$8-$AL$8)*($AN$8-$AM$8))),$AM$8)</f>
        <v/>
      </c>
      <c r="AO709">
        <f>IFERROR(IF(AX709&lt;($AM$9-$AL$9)/($AN$9-$AL$9),$AL$9+SQRT(AX709*($AN$9-$AL$9)*($AM$9-$AL$9)),$AN$9-SQRT((1-AX709)*($AN$9-$AL$9)*($AN$9-$AM$9))),$AM$9)</f>
        <v/>
      </c>
      <c r="AP709">
        <f>IFERROR(IF(AY709&lt;($AM$10-$AL$10)/($AN$10-$AL$10),$AL$10+SQRT(AY709*($AN$10-$AL$10)*($AM$10-$AL$10)),$AN$10-SQRT((1-AY709)*($AN$10-$AL$10)*($AN$10-$AM$10))),$AM$10)</f>
        <v/>
      </c>
      <c r="AQ709">
        <f>IFERROR(IF(AZ709&lt;($AM$11-$AL$11)/($AN$11-$AL$11),$AL$11+SQRT(AZ709*($AN$11-$AL$11)*($AM$11-$AL$11)),$AN$11-SQRT((1-AZ709)*($AN$11-$AL$11)*($AN$11-$AM$11))),$AM$11)</f>
        <v/>
      </c>
      <c r="AR709">
        <f>SUMPRODUCT((B24:B31&lt;=$B$6)*(C24:C31*AM709+D24:D31*AO709*$B$8*AQ709)/(1+AL709/100)^B24:B31)+C32*AM709*AP709/(1+AL709/100)^$B$6</f>
        <v/>
      </c>
      <c r="AS709">
        <f>SUMPRODUCT((K24:K26&lt;=$B$6)*(L24:L26*AN709+M24:M26*AO709*$B$8*AQ709)/(1+AL709/100)^K24:K26)+L27*AN709*AP709/(1+AL709/100)^$B$6</f>
        <v/>
      </c>
      <c r="AT709">
        <f>AS709-AR709</f>
        <v/>
      </c>
      <c r="AU709">
        <f>RAND()</f>
        <v/>
      </c>
      <c r="AV709">
        <f>RAND()</f>
        <v/>
      </c>
      <c r="AW709">
        <f>RAND()</f>
        <v/>
      </c>
      <c r="AX709">
        <f>RAND()</f>
        <v/>
      </c>
      <c r="AY709">
        <f>RAND()</f>
        <v/>
      </c>
      <c r="AZ709">
        <f>RAND()</f>
        <v/>
      </c>
    </row>
    <row r="710">
      <c r="AK710" t="n">
        <v>697</v>
      </c>
      <c r="AL710">
        <f>IFERROR(IF(AU710&lt;($AM$6-$AL$6)/($AN$6-$AL$6),$AL$6+SQRT(AU710*($AN$6-$AL$6)*($AM$6-$AL$6)),$AN$6-SQRT((1-AU710)*($AN$6-$AL$6)*($AN$6-$AM$6))),$AM$6)</f>
        <v/>
      </c>
      <c r="AM710">
        <f>IFERROR(IF(AV710&lt;($AM$7-$AL$7)/($AN$7-$AL$7),$AL$7+SQRT(AV710*($AN$7-$AL$7)*($AM$7-$AL$7)),$AN$7-SQRT((1-AV710)*($AN$7-$AL$7)*($AN$7-$AM$7))),$AM$7)</f>
        <v/>
      </c>
      <c r="AN710">
        <f>IFERROR(IF(AW710&lt;($AM$8-$AL$8)/($AN$8-$AL$8),$AL$8+SQRT(AW710*($AN$8-$AL$8)*($AM$8-$AL$8)),$AN$8-SQRT((1-AW710)*($AN$8-$AL$8)*($AN$8-$AM$8))),$AM$8)</f>
        <v/>
      </c>
      <c r="AO710">
        <f>IFERROR(IF(AX710&lt;($AM$9-$AL$9)/($AN$9-$AL$9),$AL$9+SQRT(AX710*($AN$9-$AL$9)*($AM$9-$AL$9)),$AN$9-SQRT((1-AX710)*($AN$9-$AL$9)*($AN$9-$AM$9))),$AM$9)</f>
        <v/>
      </c>
      <c r="AP710">
        <f>IFERROR(IF(AY710&lt;($AM$10-$AL$10)/($AN$10-$AL$10),$AL$10+SQRT(AY710*($AN$10-$AL$10)*($AM$10-$AL$10)),$AN$10-SQRT((1-AY710)*($AN$10-$AL$10)*($AN$10-$AM$10))),$AM$10)</f>
        <v/>
      </c>
      <c r="AQ710">
        <f>IFERROR(IF(AZ710&lt;($AM$11-$AL$11)/($AN$11-$AL$11),$AL$11+SQRT(AZ710*($AN$11-$AL$11)*($AM$11-$AL$11)),$AN$11-SQRT((1-AZ710)*($AN$11-$AL$11)*($AN$11-$AM$11))),$AM$11)</f>
        <v/>
      </c>
      <c r="AR710">
        <f>SUMPRODUCT((B24:B31&lt;=$B$6)*(C24:C31*AM710+D24:D31*AO710*$B$8*AQ710)/(1+AL710/100)^B24:B31)+C32*AM710*AP710/(1+AL710/100)^$B$6</f>
        <v/>
      </c>
      <c r="AS710">
        <f>SUMPRODUCT((K24:K26&lt;=$B$6)*(L24:L26*AN710+M24:M26*AO710*$B$8*AQ710)/(1+AL710/100)^K24:K26)+L27*AN710*AP710/(1+AL710/100)^$B$6</f>
        <v/>
      </c>
      <c r="AT710">
        <f>AS710-AR710</f>
        <v/>
      </c>
      <c r="AU710">
        <f>RAND()</f>
        <v/>
      </c>
      <c r="AV710">
        <f>RAND()</f>
        <v/>
      </c>
      <c r="AW710">
        <f>RAND()</f>
        <v/>
      </c>
      <c r="AX710">
        <f>RAND()</f>
        <v/>
      </c>
      <c r="AY710">
        <f>RAND()</f>
        <v/>
      </c>
      <c r="AZ710">
        <f>RAND()</f>
        <v/>
      </c>
    </row>
    <row r="711">
      <c r="AK711" t="n">
        <v>698</v>
      </c>
      <c r="AL711">
        <f>IFERROR(IF(AU711&lt;($AM$6-$AL$6)/($AN$6-$AL$6),$AL$6+SQRT(AU711*($AN$6-$AL$6)*($AM$6-$AL$6)),$AN$6-SQRT((1-AU711)*($AN$6-$AL$6)*($AN$6-$AM$6))),$AM$6)</f>
        <v/>
      </c>
      <c r="AM711">
        <f>IFERROR(IF(AV711&lt;($AM$7-$AL$7)/($AN$7-$AL$7),$AL$7+SQRT(AV711*($AN$7-$AL$7)*($AM$7-$AL$7)),$AN$7-SQRT((1-AV711)*($AN$7-$AL$7)*($AN$7-$AM$7))),$AM$7)</f>
        <v/>
      </c>
      <c r="AN711">
        <f>IFERROR(IF(AW711&lt;($AM$8-$AL$8)/($AN$8-$AL$8),$AL$8+SQRT(AW711*($AN$8-$AL$8)*($AM$8-$AL$8)),$AN$8-SQRT((1-AW711)*($AN$8-$AL$8)*($AN$8-$AM$8))),$AM$8)</f>
        <v/>
      </c>
      <c r="AO711">
        <f>IFERROR(IF(AX711&lt;($AM$9-$AL$9)/($AN$9-$AL$9),$AL$9+SQRT(AX711*($AN$9-$AL$9)*($AM$9-$AL$9)),$AN$9-SQRT((1-AX711)*($AN$9-$AL$9)*($AN$9-$AM$9))),$AM$9)</f>
        <v/>
      </c>
      <c r="AP711">
        <f>IFERROR(IF(AY711&lt;($AM$10-$AL$10)/($AN$10-$AL$10),$AL$10+SQRT(AY711*($AN$10-$AL$10)*($AM$10-$AL$10)),$AN$10-SQRT((1-AY711)*($AN$10-$AL$10)*($AN$10-$AM$10))),$AM$10)</f>
        <v/>
      </c>
      <c r="AQ711">
        <f>IFERROR(IF(AZ711&lt;($AM$11-$AL$11)/($AN$11-$AL$11),$AL$11+SQRT(AZ711*($AN$11-$AL$11)*($AM$11-$AL$11)),$AN$11-SQRT((1-AZ711)*($AN$11-$AL$11)*($AN$11-$AM$11))),$AM$11)</f>
        <v/>
      </c>
      <c r="AR711">
        <f>SUMPRODUCT((B24:B31&lt;=$B$6)*(C24:C31*AM711+D24:D31*AO711*$B$8*AQ711)/(1+AL711/100)^B24:B31)+C32*AM711*AP711/(1+AL711/100)^$B$6</f>
        <v/>
      </c>
      <c r="AS711">
        <f>SUMPRODUCT((K24:K26&lt;=$B$6)*(L24:L26*AN711+M24:M26*AO711*$B$8*AQ711)/(1+AL711/100)^K24:K26)+L27*AN711*AP711/(1+AL711/100)^$B$6</f>
        <v/>
      </c>
      <c r="AT711">
        <f>AS711-AR711</f>
        <v/>
      </c>
      <c r="AU711">
        <f>RAND()</f>
        <v/>
      </c>
      <c r="AV711">
        <f>RAND()</f>
        <v/>
      </c>
      <c r="AW711">
        <f>RAND()</f>
        <v/>
      </c>
      <c r="AX711">
        <f>RAND()</f>
        <v/>
      </c>
      <c r="AY711">
        <f>RAND()</f>
        <v/>
      </c>
      <c r="AZ711">
        <f>RAND()</f>
        <v/>
      </c>
    </row>
    <row r="712">
      <c r="AK712" t="n">
        <v>699</v>
      </c>
      <c r="AL712">
        <f>IFERROR(IF(AU712&lt;($AM$6-$AL$6)/($AN$6-$AL$6),$AL$6+SQRT(AU712*($AN$6-$AL$6)*($AM$6-$AL$6)),$AN$6-SQRT((1-AU712)*($AN$6-$AL$6)*($AN$6-$AM$6))),$AM$6)</f>
        <v/>
      </c>
      <c r="AM712">
        <f>IFERROR(IF(AV712&lt;($AM$7-$AL$7)/($AN$7-$AL$7),$AL$7+SQRT(AV712*($AN$7-$AL$7)*($AM$7-$AL$7)),$AN$7-SQRT((1-AV712)*($AN$7-$AL$7)*($AN$7-$AM$7))),$AM$7)</f>
        <v/>
      </c>
      <c r="AN712">
        <f>IFERROR(IF(AW712&lt;($AM$8-$AL$8)/($AN$8-$AL$8),$AL$8+SQRT(AW712*($AN$8-$AL$8)*($AM$8-$AL$8)),$AN$8-SQRT((1-AW712)*($AN$8-$AL$8)*($AN$8-$AM$8))),$AM$8)</f>
        <v/>
      </c>
      <c r="AO712">
        <f>IFERROR(IF(AX712&lt;($AM$9-$AL$9)/($AN$9-$AL$9),$AL$9+SQRT(AX712*($AN$9-$AL$9)*($AM$9-$AL$9)),$AN$9-SQRT((1-AX712)*($AN$9-$AL$9)*($AN$9-$AM$9))),$AM$9)</f>
        <v/>
      </c>
      <c r="AP712">
        <f>IFERROR(IF(AY712&lt;($AM$10-$AL$10)/($AN$10-$AL$10),$AL$10+SQRT(AY712*($AN$10-$AL$10)*($AM$10-$AL$10)),$AN$10-SQRT((1-AY712)*($AN$10-$AL$10)*($AN$10-$AM$10))),$AM$10)</f>
        <v/>
      </c>
      <c r="AQ712">
        <f>IFERROR(IF(AZ712&lt;($AM$11-$AL$11)/($AN$11-$AL$11),$AL$11+SQRT(AZ712*($AN$11-$AL$11)*($AM$11-$AL$11)),$AN$11-SQRT((1-AZ712)*($AN$11-$AL$11)*($AN$11-$AM$11))),$AM$11)</f>
        <v/>
      </c>
      <c r="AR712">
        <f>SUMPRODUCT((B24:B31&lt;=$B$6)*(C24:C31*AM712+D24:D31*AO712*$B$8*AQ712)/(1+AL712/100)^B24:B31)+C32*AM712*AP712/(1+AL712/100)^$B$6</f>
        <v/>
      </c>
      <c r="AS712">
        <f>SUMPRODUCT((K24:K26&lt;=$B$6)*(L24:L26*AN712+M24:M26*AO712*$B$8*AQ712)/(1+AL712/100)^K24:K26)+L27*AN712*AP712/(1+AL712/100)^$B$6</f>
        <v/>
      </c>
      <c r="AT712">
        <f>AS712-AR712</f>
        <v/>
      </c>
      <c r="AU712">
        <f>RAND()</f>
        <v/>
      </c>
      <c r="AV712">
        <f>RAND()</f>
        <v/>
      </c>
      <c r="AW712">
        <f>RAND()</f>
        <v/>
      </c>
      <c r="AX712">
        <f>RAND()</f>
        <v/>
      </c>
      <c r="AY712">
        <f>RAND()</f>
        <v/>
      </c>
      <c r="AZ712">
        <f>RAND()</f>
        <v/>
      </c>
    </row>
    <row r="713">
      <c r="AK713" t="n">
        <v>700</v>
      </c>
      <c r="AL713">
        <f>IFERROR(IF(AU713&lt;($AM$6-$AL$6)/($AN$6-$AL$6),$AL$6+SQRT(AU713*($AN$6-$AL$6)*($AM$6-$AL$6)),$AN$6-SQRT((1-AU713)*($AN$6-$AL$6)*($AN$6-$AM$6))),$AM$6)</f>
        <v/>
      </c>
      <c r="AM713">
        <f>IFERROR(IF(AV713&lt;($AM$7-$AL$7)/($AN$7-$AL$7),$AL$7+SQRT(AV713*($AN$7-$AL$7)*($AM$7-$AL$7)),$AN$7-SQRT((1-AV713)*($AN$7-$AL$7)*($AN$7-$AM$7))),$AM$7)</f>
        <v/>
      </c>
      <c r="AN713">
        <f>IFERROR(IF(AW713&lt;($AM$8-$AL$8)/($AN$8-$AL$8),$AL$8+SQRT(AW713*($AN$8-$AL$8)*($AM$8-$AL$8)),$AN$8-SQRT((1-AW713)*($AN$8-$AL$8)*($AN$8-$AM$8))),$AM$8)</f>
        <v/>
      </c>
      <c r="AO713">
        <f>IFERROR(IF(AX713&lt;($AM$9-$AL$9)/($AN$9-$AL$9),$AL$9+SQRT(AX713*($AN$9-$AL$9)*($AM$9-$AL$9)),$AN$9-SQRT((1-AX713)*($AN$9-$AL$9)*($AN$9-$AM$9))),$AM$9)</f>
        <v/>
      </c>
      <c r="AP713">
        <f>IFERROR(IF(AY713&lt;($AM$10-$AL$10)/($AN$10-$AL$10),$AL$10+SQRT(AY713*($AN$10-$AL$10)*($AM$10-$AL$10)),$AN$10-SQRT((1-AY713)*($AN$10-$AL$10)*($AN$10-$AM$10))),$AM$10)</f>
        <v/>
      </c>
      <c r="AQ713">
        <f>IFERROR(IF(AZ713&lt;($AM$11-$AL$11)/($AN$11-$AL$11),$AL$11+SQRT(AZ713*($AN$11-$AL$11)*($AM$11-$AL$11)),$AN$11-SQRT((1-AZ713)*($AN$11-$AL$11)*($AN$11-$AM$11))),$AM$11)</f>
        <v/>
      </c>
      <c r="AR713">
        <f>SUMPRODUCT((B24:B31&lt;=$B$6)*(C24:C31*AM713+D24:D31*AO713*$B$8*AQ713)/(1+AL713/100)^B24:B31)+C32*AM713*AP713/(1+AL713/100)^$B$6</f>
        <v/>
      </c>
      <c r="AS713">
        <f>SUMPRODUCT((K24:K26&lt;=$B$6)*(L24:L26*AN713+M24:M26*AO713*$B$8*AQ713)/(1+AL713/100)^K24:K26)+L27*AN713*AP713/(1+AL713/100)^$B$6</f>
        <v/>
      </c>
      <c r="AT713">
        <f>AS713-AR713</f>
        <v/>
      </c>
      <c r="AU713">
        <f>RAND()</f>
        <v/>
      </c>
      <c r="AV713">
        <f>RAND()</f>
        <v/>
      </c>
      <c r="AW713">
        <f>RAND()</f>
        <v/>
      </c>
      <c r="AX713">
        <f>RAND()</f>
        <v/>
      </c>
      <c r="AY713">
        <f>RAND()</f>
        <v/>
      </c>
      <c r="AZ713">
        <f>RAND()</f>
        <v/>
      </c>
    </row>
    <row r="714">
      <c r="AK714" t="n">
        <v>701</v>
      </c>
      <c r="AL714">
        <f>IFERROR(IF(AU714&lt;($AM$6-$AL$6)/($AN$6-$AL$6),$AL$6+SQRT(AU714*($AN$6-$AL$6)*($AM$6-$AL$6)),$AN$6-SQRT((1-AU714)*($AN$6-$AL$6)*($AN$6-$AM$6))),$AM$6)</f>
        <v/>
      </c>
      <c r="AM714">
        <f>IFERROR(IF(AV714&lt;($AM$7-$AL$7)/($AN$7-$AL$7),$AL$7+SQRT(AV714*($AN$7-$AL$7)*($AM$7-$AL$7)),$AN$7-SQRT((1-AV714)*($AN$7-$AL$7)*($AN$7-$AM$7))),$AM$7)</f>
        <v/>
      </c>
      <c r="AN714">
        <f>IFERROR(IF(AW714&lt;($AM$8-$AL$8)/($AN$8-$AL$8),$AL$8+SQRT(AW714*($AN$8-$AL$8)*($AM$8-$AL$8)),$AN$8-SQRT((1-AW714)*($AN$8-$AL$8)*($AN$8-$AM$8))),$AM$8)</f>
        <v/>
      </c>
      <c r="AO714">
        <f>IFERROR(IF(AX714&lt;($AM$9-$AL$9)/($AN$9-$AL$9),$AL$9+SQRT(AX714*($AN$9-$AL$9)*($AM$9-$AL$9)),$AN$9-SQRT((1-AX714)*($AN$9-$AL$9)*($AN$9-$AM$9))),$AM$9)</f>
        <v/>
      </c>
      <c r="AP714">
        <f>IFERROR(IF(AY714&lt;($AM$10-$AL$10)/($AN$10-$AL$10),$AL$10+SQRT(AY714*($AN$10-$AL$10)*($AM$10-$AL$10)),$AN$10-SQRT((1-AY714)*($AN$10-$AL$10)*($AN$10-$AM$10))),$AM$10)</f>
        <v/>
      </c>
      <c r="AQ714">
        <f>IFERROR(IF(AZ714&lt;($AM$11-$AL$11)/($AN$11-$AL$11),$AL$11+SQRT(AZ714*($AN$11-$AL$11)*($AM$11-$AL$11)),$AN$11-SQRT((1-AZ714)*($AN$11-$AL$11)*($AN$11-$AM$11))),$AM$11)</f>
        <v/>
      </c>
      <c r="AR714">
        <f>SUMPRODUCT((B24:B31&lt;=$B$6)*(C24:C31*AM714+D24:D31*AO714*$B$8*AQ714)/(1+AL714/100)^B24:B31)+C32*AM714*AP714/(1+AL714/100)^$B$6</f>
        <v/>
      </c>
      <c r="AS714">
        <f>SUMPRODUCT((K24:K26&lt;=$B$6)*(L24:L26*AN714+M24:M26*AO714*$B$8*AQ714)/(1+AL714/100)^K24:K26)+L27*AN714*AP714/(1+AL714/100)^$B$6</f>
        <v/>
      </c>
      <c r="AT714">
        <f>AS714-AR714</f>
        <v/>
      </c>
      <c r="AU714">
        <f>RAND()</f>
        <v/>
      </c>
      <c r="AV714">
        <f>RAND()</f>
        <v/>
      </c>
      <c r="AW714">
        <f>RAND()</f>
        <v/>
      </c>
      <c r="AX714">
        <f>RAND()</f>
        <v/>
      </c>
      <c r="AY714">
        <f>RAND()</f>
        <v/>
      </c>
      <c r="AZ714">
        <f>RAND()</f>
        <v/>
      </c>
    </row>
    <row r="715">
      <c r="AK715" t="n">
        <v>702</v>
      </c>
      <c r="AL715">
        <f>IFERROR(IF(AU715&lt;($AM$6-$AL$6)/($AN$6-$AL$6),$AL$6+SQRT(AU715*($AN$6-$AL$6)*($AM$6-$AL$6)),$AN$6-SQRT((1-AU715)*($AN$6-$AL$6)*($AN$6-$AM$6))),$AM$6)</f>
        <v/>
      </c>
      <c r="AM715">
        <f>IFERROR(IF(AV715&lt;($AM$7-$AL$7)/($AN$7-$AL$7),$AL$7+SQRT(AV715*($AN$7-$AL$7)*($AM$7-$AL$7)),$AN$7-SQRT((1-AV715)*($AN$7-$AL$7)*($AN$7-$AM$7))),$AM$7)</f>
        <v/>
      </c>
      <c r="AN715">
        <f>IFERROR(IF(AW715&lt;($AM$8-$AL$8)/($AN$8-$AL$8),$AL$8+SQRT(AW715*($AN$8-$AL$8)*($AM$8-$AL$8)),$AN$8-SQRT((1-AW715)*($AN$8-$AL$8)*($AN$8-$AM$8))),$AM$8)</f>
        <v/>
      </c>
      <c r="AO715">
        <f>IFERROR(IF(AX715&lt;($AM$9-$AL$9)/($AN$9-$AL$9),$AL$9+SQRT(AX715*($AN$9-$AL$9)*($AM$9-$AL$9)),$AN$9-SQRT((1-AX715)*($AN$9-$AL$9)*($AN$9-$AM$9))),$AM$9)</f>
        <v/>
      </c>
      <c r="AP715">
        <f>IFERROR(IF(AY715&lt;($AM$10-$AL$10)/($AN$10-$AL$10),$AL$10+SQRT(AY715*($AN$10-$AL$10)*($AM$10-$AL$10)),$AN$10-SQRT((1-AY715)*($AN$10-$AL$10)*($AN$10-$AM$10))),$AM$10)</f>
        <v/>
      </c>
      <c r="AQ715">
        <f>IFERROR(IF(AZ715&lt;($AM$11-$AL$11)/($AN$11-$AL$11),$AL$11+SQRT(AZ715*($AN$11-$AL$11)*($AM$11-$AL$11)),$AN$11-SQRT((1-AZ715)*($AN$11-$AL$11)*($AN$11-$AM$11))),$AM$11)</f>
        <v/>
      </c>
      <c r="AR715">
        <f>SUMPRODUCT((B24:B31&lt;=$B$6)*(C24:C31*AM715+D24:D31*AO715*$B$8*AQ715)/(1+AL715/100)^B24:B31)+C32*AM715*AP715/(1+AL715/100)^$B$6</f>
        <v/>
      </c>
      <c r="AS715">
        <f>SUMPRODUCT((K24:K26&lt;=$B$6)*(L24:L26*AN715+M24:M26*AO715*$B$8*AQ715)/(1+AL715/100)^K24:K26)+L27*AN715*AP715/(1+AL715/100)^$B$6</f>
        <v/>
      </c>
      <c r="AT715">
        <f>AS715-AR715</f>
        <v/>
      </c>
      <c r="AU715">
        <f>RAND()</f>
        <v/>
      </c>
      <c r="AV715">
        <f>RAND()</f>
        <v/>
      </c>
      <c r="AW715">
        <f>RAND()</f>
        <v/>
      </c>
      <c r="AX715">
        <f>RAND()</f>
        <v/>
      </c>
      <c r="AY715">
        <f>RAND()</f>
        <v/>
      </c>
      <c r="AZ715">
        <f>RAND()</f>
        <v/>
      </c>
    </row>
    <row r="716">
      <c r="AK716" t="n">
        <v>703</v>
      </c>
      <c r="AL716">
        <f>IFERROR(IF(AU716&lt;($AM$6-$AL$6)/($AN$6-$AL$6),$AL$6+SQRT(AU716*($AN$6-$AL$6)*($AM$6-$AL$6)),$AN$6-SQRT((1-AU716)*($AN$6-$AL$6)*($AN$6-$AM$6))),$AM$6)</f>
        <v/>
      </c>
      <c r="AM716">
        <f>IFERROR(IF(AV716&lt;($AM$7-$AL$7)/($AN$7-$AL$7),$AL$7+SQRT(AV716*($AN$7-$AL$7)*($AM$7-$AL$7)),$AN$7-SQRT((1-AV716)*($AN$7-$AL$7)*($AN$7-$AM$7))),$AM$7)</f>
        <v/>
      </c>
      <c r="AN716">
        <f>IFERROR(IF(AW716&lt;($AM$8-$AL$8)/($AN$8-$AL$8),$AL$8+SQRT(AW716*($AN$8-$AL$8)*($AM$8-$AL$8)),$AN$8-SQRT((1-AW716)*($AN$8-$AL$8)*($AN$8-$AM$8))),$AM$8)</f>
        <v/>
      </c>
      <c r="AO716">
        <f>IFERROR(IF(AX716&lt;($AM$9-$AL$9)/($AN$9-$AL$9),$AL$9+SQRT(AX716*($AN$9-$AL$9)*($AM$9-$AL$9)),$AN$9-SQRT((1-AX716)*($AN$9-$AL$9)*($AN$9-$AM$9))),$AM$9)</f>
        <v/>
      </c>
      <c r="AP716">
        <f>IFERROR(IF(AY716&lt;($AM$10-$AL$10)/($AN$10-$AL$10),$AL$10+SQRT(AY716*($AN$10-$AL$10)*($AM$10-$AL$10)),$AN$10-SQRT((1-AY716)*($AN$10-$AL$10)*($AN$10-$AM$10))),$AM$10)</f>
        <v/>
      </c>
      <c r="AQ716">
        <f>IFERROR(IF(AZ716&lt;($AM$11-$AL$11)/($AN$11-$AL$11),$AL$11+SQRT(AZ716*($AN$11-$AL$11)*($AM$11-$AL$11)),$AN$11-SQRT((1-AZ716)*($AN$11-$AL$11)*($AN$11-$AM$11))),$AM$11)</f>
        <v/>
      </c>
      <c r="AR716">
        <f>SUMPRODUCT((B24:B31&lt;=$B$6)*(C24:C31*AM716+D24:D31*AO716*$B$8*AQ716)/(1+AL716/100)^B24:B31)+C32*AM716*AP716/(1+AL716/100)^$B$6</f>
        <v/>
      </c>
      <c r="AS716">
        <f>SUMPRODUCT((K24:K26&lt;=$B$6)*(L24:L26*AN716+M24:M26*AO716*$B$8*AQ716)/(1+AL716/100)^K24:K26)+L27*AN716*AP716/(1+AL716/100)^$B$6</f>
        <v/>
      </c>
      <c r="AT716">
        <f>AS716-AR716</f>
        <v/>
      </c>
      <c r="AU716">
        <f>RAND()</f>
        <v/>
      </c>
      <c r="AV716">
        <f>RAND()</f>
        <v/>
      </c>
      <c r="AW716">
        <f>RAND()</f>
        <v/>
      </c>
      <c r="AX716">
        <f>RAND()</f>
        <v/>
      </c>
      <c r="AY716">
        <f>RAND()</f>
        <v/>
      </c>
      <c r="AZ716">
        <f>RAND()</f>
        <v/>
      </c>
    </row>
    <row r="717">
      <c r="AK717" t="n">
        <v>704</v>
      </c>
      <c r="AL717">
        <f>IFERROR(IF(AU717&lt;($AM$6-$AL$6)/($AN$6-$AL$6),$AL$6+SQRT(AU717*($AN$6-$AL$6)*($AM$6-$AL$6)),$AN$6-SQRT((1-AU717)*($AN$6-$AL$6)*($AN$6-$AM$6))),$AM$6)</f>
        <v/>
      </c>
      <c r="AM717">
        <f>IFERROR(IF(AV717&lt;($AM$7-$AL$7)/($AN$7-$AL$7),$AL$7+SQRT(AV717*($AN$7-$AL$7)*($AM$7-$AL$7)),$AN$7-SQRT((1-AV717)*($AN$7-$AL$7)*($AN$7-$AM$7))),$AM$7)</f>
        <v/>
      </c>
      <c r="AN717">
        <f>IFERROR(IF(AW717&lt;($AM$8-$AL$8)/($AN$8-$AL$8),$AL$8+SQRT(AW717*($AN$8-$AL$8)*($AM$8-$AL$8)),$AN$8-SQRT((1-AW717)*($AN$8-$AL$8)*($AN$8-$AM$8))),$AM$8)</f>
        <v/>
      </c>
      <c r="AO717">
        <f>IFERROR(IF(AX717&lt;($AM$9-$AL$9)/($AN$9-$AL$9),$AL$9+SQRT(AX717*($AN$9-$AL$9)*($AM$9-$AL$9)),$AN$9-SQRT((1-AX717)*($AN$9-$AL$9)*($AN$9-$AM$9))),$AM$9)</f>
        <v/>
      </c>
      <c r="AP717">
        <f>IFERROR(IF(AY717&lt;($AM$10-$AL$10)/($AN$10-$AL$10),$AL$10+SQRT(AY717*($AN$10-$AL$10)*($AM$10-$AL$10)),$AN$10-SQRT((1-AY717)*($AN$10-$AL$10)*($AN$10-$AM$10))),$AM$10)</f>
        <v/>
      </c>
      <c r="AQ717">
        <f>IFERROR(IF(AZ717&lt;($AM$11-$AL$11)/($AN$11-$AL$11),$AL$11+SQRT(AZ717*($AN$11-$AL$11)*($AM$11-$AL$11)),$AN$11-SQRT((1-AZ717)*($AN$11-$AL$11)*($AN$11-$AM$11))),$AM$11)</f>
        <v/>
      </c>
      <c r="AR717">
        <f>SUMPRODUCT((B24:B31&lt;=$B$6)*(C24:C31*AM717+D24:D31*AO717*$B$8*AQ717)/(1+AL717/100)^B24:B31)+C32*AM717*AP717/(1+AL717/100)^$B$6</f>
        <v/>
      </c>
      <c r="AS717">
        <f>SUMPRODUCT((K24:K26&lt;=$B$6)*(L24:L26*AN717+M24:M26*AO717*$B$8*AQ717)/(1+AL717/100)^K24:K26)+L27*AN717*AP717/(1+AL717/100)^$B$6</f>
        <v/>
      </c>
      <c r="AT717">
        <f>AS717-AR717</f>
        <v/>
      </c>
      <c r="AU717">
        <f>RAND()</f>
        <v/>
      </c>
      <c r="AV717">
        <f>RAND()</f>
        <v/>
      </c>
      <c r="AW717">
        <f>RAND()</f>
        <v/>
      </c>
      <c r="AX717">
        <f>RAND()</f>
        <v/>
      </c>
      <c r="AY717">
        <f>RAND()</f>
        <v/>
      </c>
      <c r="AZ717">
        <f>RAND()</f>
        <v/>
      </c>
    </row>
    <row r="718">
      <c r="AK718" t="n">
        <v>705</v>
      </c>
      <c r="AL718">
        <f>IFERROR(IF(AU718&lt;($AM$6-$AL$6)/($AN$6-$AL$6),$AL$6+SQRT(AU718*($AN$6-$AL$6)*($AM$6-$AL$6)),$AN$6-SQRT((1-AU718)*($AN$6-$AL$6)*($AN$6-$AM$6))),$AM$6)</f>
        <v/>
      </c>
      <c r="AM718">
        <f>IFERROR(IF(AV718&lt;($AM$7-$AL$7)/($AN$7-$AL$7),$AL$7+SQRT(AV718*($AN$7-$AL$7)*($AM$7-$AL$7)),$AN$7-SQRT((1-AV718)*($AN$7-$AL$7)*($AN$7-$AM$7))),$AM$7)</f>
        <v/>
      </c>
      <c r="AN718">
        <f>IFERROR(IF(AW718&lt;($AM$8-$AL$8)/($AN$8-$AL$8),$AL$8+SQRT(AW718*($AN$8-$AL$8)*($AM$8-$AL$8)),$AN$8-SQRT((1-AW718)*($AN$8-$AL$8)*($AN$8-$AM$8))),$AM$8)</f>
        <v/>
      </c>
      <c r="AO718">
        <f>IFERROR(IF(AX718&lt;($AM$9-$AL$9)/($AN$9-$AL$9),$AL$9+SQRT(AX718*($AN$9-$AL$9)*($AM$9-$AL$9)),$AN$9-SQRT((1-AX718)*($AN$9-$AL$9)*($AN$9-$AM$9))),$AM$9)</f>
        <v/>
      </c>
      <c r="AP718">
        <f>IFERROR(IF(AY718&lt;($AM$10-$AL$10)/($AN$10-$AL$10),$AL$10+SQRT(AY718*($AN$10-$AL$10)*($AM$10-$AL$10)),$AN$10-SQRT((1-AY718)*($AN$10-$AL$10)*($AN$10-$AM$10))),$AM$10)</f>
        <v/>
      </c>
      <c r="AQ718">
        <f>IFERROR(IF(AZ718&lt;($AM$11-$AL$11)/($AN$11-$AL$11),$AL$11+SQRT(AZ718*($AN$11-$AL$11)*($AM$11-$AL$11)),$AN$11-SQRT((1-AZ718)*($AN$11-$AL$11)*($AN$11-$AM$11))),$AM$11)</f>
        <v/>
      </c>
      <c r="AR718">
        <f>SUMPRODUCT((B24:B31&lt;=$B$6)*(C24:C31*AM718+D24:D31*AO718*$B$8*AQ718)/(1+AL718/100)^B24:B31)+C32*AM718*AP718/(1+AL718/100)^$B$6</f>
        <v/>
      </c>
      <c r="AS718">
        <f>SUMPRODUCT((K24:K26&lt;=$B$6)*(L24:L26*AN718+M24:M26*AO718*$B$8*AQ718)/(1+AL718/100)^K24:K26)+L27*AN718*AP718/(1+AL718/100)^$B$6</f>
        <v/>
      </c>
      <c r="AT718">
        <f>AS718-AR718</f>
        <v/>
      </c>
      <c r="AU718">
        <f>RAND()</f>
        <v/>
      </c>
      <c r="AV718">
        <f>RAND()</f>
        <v/>
      </c>
      <c r="AW718">
        <f>RAND()</f>
        <v/>
      </c>
      <c r="AX718">
        <f>RAND()</f>
        <v/>
      </c>
      <c r="AY718">
        <f>RAND()</f>
        <v/>
      </c>
      <c r="AZ718">
        <f>RAND()</f>
        <v/>
      </c>
    </row>
    <row r="719">
      <c r="AK719" t="n">
        <v>706</v>
      </c>
      <c r="AL719">
        <f>IFERROR(IF(AU719&lt;($AM$6-$AL$6)/($AN$6-$AL$6),$AL$6+SQRT(AU719*($AN$6-$AL$6)*($AM$6-$AL$6)),$AN$6-SQRT((1-AU719)*($AN$6-$AL$6)*($AN$6-$AM$6))),$AM$6)</f>
        <v/>
      </c>
      <c r="AM719">
        <f>IFERROR(IF(AV719&lt;($AM$7-$AL$7)/($AN$7-$AL$7),$AL$7+SQRT(AV719*($AN$7-$AL$7)*($AM$7-$AL$7)),$AN$7-SQRT((1-AV719)*($AN$7-$AL$7)*($AN$7-$AM$7))),$AM$7)</f>
        <v/>
      </c>
      <c r="AN719">
        <f>IFERROR(IF(AW719&lt;($AM$8-$AL$8)/($AN$8-$AL$8),$AL$8+SQRT(AW719*($AN$8-$AL$8)*($AM$8-$AL$8)),$AN$8-SQRT((1-AW719)*($AN$8-$AL$8)*($AN$8-$AM$8))),$AM$8)</f>
        <v/>
      </c>
      <c r="AO719">
        <f>IFERROR(IF(AX719&lt;($AM$9-$AL$9)/($AN$9-$AL$9),$AL$9+SQRT(AX719*($AN$9-$AL$9)*($AM$9-$AL$9)),$AN$9-SQRT((1-AX719)*($AN$9-$AL$9)*($AN$9-$AM$9))),$AM$9)</f>
        <v/>
      </c>
      <c r="AP719">
        <f>IFERROR(IF(AY719&lt;($AM$10-$AL$10)/($AN$10-$AL$10),$AL$10+SQRT(AY719*($AN$10-$AL$10)*($AM$10-$AL$10)),$AN$10-SQRT((1-AY719)*($AN$10-$AL$10)*($AN$10-$AM$10))),$AM$10)</f>
        <v/>
      </c>
      <c r="AQ719">
        <f>IFERROR(IF(AZ719&lt;($AM$11-$AL$11)/($AN$11-$AL$11),$AL$11+SQRT(AZ719*($AN$11-$AL$11)*($AM$11-$AL$11)),$AN$11-SQRT((1-AZ719)*($AN$11-$AL$11)*($AN$11-$AM$11))),$AM$11)</f>
        <v/>
      </c>
      <c r="AR719">
        <f>SUMPRODUCT((B24:B31&lt;=$B$6)*(C24:C31*AM719+D24:D31*AO719*$B$8*AQ719)/(1+AL719/100)^B24:B31)+C32*AM719*AP719/(1+AL719/100)^$B$6</f>
        <v/>
      </c>
      <c r="AS719">
        <f>SUMPRODUCT((K24:K26&lt;=$B$6)*(L24:L26*AN719+M24:M26*AO719*$B$8*AQ719)/(1+AL719/100)^K24:K26)+L27*AN719*AP719/(1+AL719/100)^$B$6</f>
        <v/>
      </c>
      <c r="AT719">
        <f>AS719-AR719</f>
        <v/>
      </c>
      <c r="AU719">
        <f>RAND()</f>
        <v/>
      </c>
      <c r="AV719">
        <f>RAND()</f>
        <v/>
      </c>
      <c r="AW719">
        <f>RAND()</f>
        <v/>
      </c>
      <c r="AX719">
        <f>RAND()</f>
        <v/>
      </c>
      <c r="AY719">
        <f>RAND()</f>
        <v/>
      </c>
      <c r="AZ719">
        <f>RAND()</f>
        <v/>
      </c>
    </row>
    <row r="720">
      <c r="AK720" t="n">
        <v>707</v>
      </c>
      <c r="AL720">
        <f>IFERROR(IF(AU720&lt;($AM$6-$AL$6)/($AN$6-$AL$6),$AL$6+SQRT(AU720*($AN$6-$AL$6)*($AM$6-$AL$6)),$AN$6-SQRT((1-AU720)*($AN$6-$AL$6)*($AN$6-$AM$6))),$AM$6)</f>
        <v/>
      </c>
      <c r="AM720">
        <f>IFERROR(IF(AV720&lt;($AM$7-$AL$7)/($AN$7-$AL$7),$AL$7+SQRT(AV720*($AN$7-$AL$7)*($AM$7-$AL$7)),$AN$7-SQRT((1-AV720)*($AN$7-$AL$7)*($AN$7-$AM$7))),$AM$7)</f>
        <v/>
      </c>
      <c r="AN720">
        <f>IFERROR(IF(AW720&lt;($AM$8-$AL$8)/($AN$8-$AL$8),$AL$8+SQRT(AW720*($AN$8-$AL$8)*($AM$8-$AL$8)),$AN$8-SQRT((1-AW720)*($AN$8-$AL$8)*($AN$8-$AM$8))),$AM$8)</f>
        <v/>
      </c>
      <c r="AO720">
        <f>IFERROR(IF(AX720&lt;($AM$9-$AL$9)/($AN$9-$AL$9),$AL$9+SQRT(AX720*($AN$9-$AL$9)*($AM$9-$AL$9)),$AN$9-SQRT((1-AX720)*($AN$9-$AL$9)*($AN$9-$AM$9))),$AM$9)</f>
        <v/>
      </c>
      <c r="AP720">
        <f>IFERROR(IF(AY720&lt;($AM$10-$AL$10)/($AN$10-$AL$10),$AL$10+SQRT(AY720*($AN$10-$AL$10)*($AM$10-$AL$10)),$AN$10-SQRT((1-AY720)*($AN$10-$AL$10)*($AN$10-$AM$10))),$AM$10)</f>
        <v/>
      </c>
      <c r="AQ720">
        <f>IFERROR(IF(AZ720&lt;($AM$11-$AL$11)/($AN$11-$AL$11),$AL$11+SQRT(AZ720*($AN$11-$AL$11)*($AM$11-$AL$11)),$AN$11-SQRT((1-AZ720)*($AN$11-$AL$11)*($AN$11-$AM$11))),$AM$11)</f>
        <v/>
      </c>
      <c r="AR720">
        <f>SUMPRODUCT((B24:B31&lt;=$B$6)*(C24:C31*AM720+D24:D31*AO720*$B$8*AQ720)/(1+AL720/100)^B24:B31)+C32*AM720*AP720/(1+AL720/100)^$B$6</f>
        <v/>
      </c>
      <c r="AS720">
        <f>SUMPRODUCT((K24:K26&lt;=$B$6)*(L24:L26*AN720+M24:M26*AO720*$B$8*AQ720)/(1+AL720/100)^K24:K26)+L27*AN720*AP720/(1+AL720/100)^$B$6</f>
        <v/>
      </c>
      <c r="AT720">
        <f>AS720-AR720</f>
        <v/>
      </c>
      <c r="AU720">
        <f>RAND()</f>
        <v/>
      </c>
      <c r="AV720">
        <f>RAND()</f>
        <v/>
      </c>
      <c r="AW720">
        <f>RAND()</f>
        <v/>
      </c>
      <c r="AX720">
        <f>RAND()</f>
        <v/>
      </c>
      <c r="AY720">
        <f>RAND()</f>
        <v/>
      </c>
      <c r="AZ720">
        <f>RAND()</f>
        <v/>
      </c>
    </row>
    <row r="721">
      <c r="AK721" t="n">
        <v>708</v>
      </c>
      <c r="AL721">
        <f>IFERROR(IF(AU721&lt;($AM$6-$AL$6)/($AN$6-$AL$6),$AL$6+SQRT(AU721*($AN$6-$AL$6)*($AM$6-$AL$6)),$AN$6-SQRT((1-AU721)*($AN$6-$AL$6)*($AN$6-$AM$6))),$AM$6)</f>
        <v/>
      </c>
      <c r="AM721">
        <f>IFERROR(IF(AV721&lt;($AM$7-$AL$7)/($AN$7-$AL$7),$AL$7+SQRT(AV721*($AN$7-$AL$7)*($AM$7-$AL$7)),$AN$7-SQRT((1-AV721)*($AN$7-$AL$7)*($AN$7-$AM$7))),$AM$7)</f>
        <v/>
      </c>
      <c r="AN721">
        <f>IFERROR(IF(AW721&lt;($AM$8-$AL$8)/($AN$8-$AL$8),$AL$8+SQRT(AW721*($AN$8-$AL$8)*($AM$8-$AL$8)),$AN$8-SQRT((1-AW721)*($AN$8-$AL$8)*($AN$8-$AM$8))),$AM$8)</f>
        <v/>
      </c>
      <c r="AO721">
        <f>IFERROR(IF(AX721&lt;($AM$9-$AL$9)/($AN$9-$AL$9),$AL$9+SQRT(AX721*($AN$9-$AL$9)*($AM$9-$AL$9)),$AN$9-SQRT((1-AX721)*($AN$9-$AL$9)*($AN$9-$AM$9))),$AM$9)</f>
        <v/>
      </c>
      <c r="AP721">
        <f>IFERROR(IF(AY721&lt;($AM$10-$AL$10)/($AN$10-$AL$10),$AL$10+SQRT(AY721*($AN$10-$AL$10)*($AM$10-$AL$10)),$AN$10-SQRT((1-AY721)*($AN$10-$AL$10)*($AN$10-$AM$10))),$AM$10)</f>
        <v/>
      </c>
      <c r="AQ721">
        <f>IFERROR(IF(AZ721&lt;($AM$11-$AL$11)/($AN$11-$AL$11),$AL$11+SQRT(AZ721*($AN$11-$AL$11)*($AM$11-$AL$11)),$AN$11-SQRT((1-AZ721)*($AN$11-$AL$11)*($AN$11-$AM$11))),$AM$11)</f>
        <v/>
      </c>
      <c r="AR721">
        <f>SUMPRODUCT((B24:B31&lt;=$B$6)*(C24:C31*AM721+D24:D31*AO721*$B$8*AQ721)/(1+AL721/100)^B24:B31)+C32*AM721*AP721/(1+AL721/100)^$B$6</f>
        <v/>
      </c>
      <c r="AS721">
        <f>SUMPRODUCT((K24:K26&lt;=$B$6)*(L24:L26*AN721+M24:M26*AO721*$B$8*AQ721)/(1+AL721/100)^K24:K26)+L27*AN721*AP721/(1+AL721/100)^$B$6</f>
        <v/>
      </c>
      <c r="AT721">
        <f>AS721-AR721</f>
        <v/>
      </c>
      <c r="AU721">
        <f>RAND()</f>
        <v/>
      </c>
      <c r="AV721">
        <f>RAND()</f>
        <v/>
      </c>
      <c r="AW721">
        <f>RAND()</f>
        <v/>
      </c>
      <c r="AX721">
        <f>RAND()</f>
        <v/>
      </c>
      <c r="AY721">
        <f>RAND()</f>
        <v/>
      </c>
      <c r="AZ721">
        <f>RAND()</f>
        <v/>
      </c>
    </row>
    <row r="722">
      <c r="AK722" t="n">
        <v>709</v>
      </c>
      <c r="AL722">
        <f>IFERROR(IF(AU722&lt;($AM$6-$AL$6)/($AN$6-$AL$6),$AL$6+SQRT(AU722*($AN$6-$AL$6)*($AM$6-$AL$6)),$AN$6-SQRT((1-AU722)*($AN$6-$AL$6)*($AN$6-$AM$6))),$AM$6)</f>
        <v/>
      </c>
      <c r="AM722">
        <f>IFERROR(IF(AV722&lt;($AM$7-$AL$7)/($AN$7-$AL$7),$AL$7+SQRT(AV722*($AN$7-$AL$7)*($AM$7-$AL$7)),$AN$7-SQRT((1-AV722)*($AN$7-$AL$7)*($AN$7-$AM$7))),$AM$7)</f>
        <v/>
      </c>
      <c r="AN722">
        <f>IFERROR(IF(AW722&lt;($AM$8-$AL$8)/($AN$8-$AL$8),$AL$8+SQRT(AW722*($AN$8-$AL$8)*($AM$8-$AL$8)),$AN$8-SQRT((1-AW722)*($AN$8-$AL$8)*($AN$8-$AM$8))),$AM$8)</f>
        <v/>
      </c>
      <c r="AO722">
        <f>IFERROR(IF(AX722&lt;($AM$9-$AL$9)/($AN$9-$AL$9),$AL$9+SQRT(AX722*($AN$9-$AL$9)*($AM$9-$AL$9)),$AN$9-SQRT((1-AX722)*($AN$9-$AL$9)*($AN$9-$AM$9))),$AM$9)</f>
        <v/>
      </c>
      <c r="AP722">
        <f>IFERROR(IF(AY722&lt;($AM$10-$AL$10)/($AN$10-$AL$10),$AL$10+SQRT(AY722*($AN$10-$AL$10)*($AM$10-$AL$10)),$AN$10-SQRT((1-AY722)*($AN$10-$AL$10)*($AN$10-$AM$10))),$AM$10)</f>
        <v/>
      </c>
      <c r="AQ722">
        <f>IFERROR(IF(AZ722&lt;($AM$11-$AL$11)/($AN$11-$AL$11),$AL$11+SQRT(AZ722*($AN$11-$AL$11)*($AM$11-$AL$11)),$AN$11-SQRT((1-AZ722)*($AN$11-$AL$11)*($AN$11-$AM$11))),$AM$11)</f>
        <v/>
      </c>
      <c r="AR722">
        <f>SUMPRODUCT((B24:B31&lt;=$B$6)*(C24:C31*AM722+D24:D31*AO722*$B$8*AQ722)/(1+AL722/100)^B24:B31)+C32*AM722*AP722/(1+AL722/100)^$B$6</f>
        <v/>
      </c>
      <c r="AS722">
        <f>SUMPRODUCT((K24:K26&lt;=$B$6)*(L24:L26*AN722+M24:M26*AO722*$B$8*AQ722)/(1+AL722/100)^K24:K26)+L27*AN722*AP722/(1+AL722/100)^$B$6</f>
        <v/>
      </c>
      <c r="AT722">
        <f>AS722-AR722</f>
        <v/>
      </c>
      <c r="AU722">
        <f>RAND()</f>
        <v/>
      </c>
      <c r="AV722">
        <f>RAND()</f>
        <v/>
      </c>
      <c r="AW722">
        <f>RAND()</f>
        <v/>
      </c>
      <c r="AX722">
        <f>RAND()</f>
        <v/>
      </c>
      <c r="AY722">
        <f>RAND()</f>
        <v/>
      </c>
      <c r="AZ722">
        <f>RAND()</f>
        <v/>
      </c>
    </row>
    <row r="723">
      <c r="AK723" t="n">
        <v>710</v>
      </c>
      <c r="AL723">
        <f>IFERROR(IF(AU723&lt;($AM$6-$AL$6)/($AN$6-$AL$6),$AL$6+SQRT(AU723*($AN$6-$AL$6)*($AM$6-$AL$6)),$AN$6-SQRT((1-AU723)*($AN$6-$AL$6)*($AN$6-$AM$6))),$AM$6)</f>
        <v/>
      </c>
      <c r="AM723">
        <f>IFERROR(IF(AV723&lt;($AM$7-$AL$7)/($AN$7-$AL$7),$AL$7+SQRT(AV723*($AN$7-$AL$7)*($AM$7-$AL$7)),$AN$7-SQRT((1-AV723)*($AN$7-$AL$7)*($AN$7-$AM$7))),$AM$7)</f>
        <v/>
      </c>
      <c r="AN723">
        <f>IFERROR(IF(AW723&lt;($AM$8-$AL$8)/($AN$8-$AL$8),$AL$8+SQRT(AW723*($AN$8-$AL$8)*($AM$8-$AL$8)),$AN$8-SQRT((1-AW723)*($AN$8-$AL$8)*($AN$8-$AM$8))),$AM$8)</f>
        <v/>
      </c>
      <c r="AO723">
        <f>IFERROR(IF(AX723&lt;($AM$9-$AL$9)/($AN$9-$AL$9),$AL$9+SQRT(AX723*($AN$9-$AL$9)*($AM$9-$AL$9)),$AN$9-SQRT((1-AX723)*($AN$9-$AL$9)*($AN$9-$AM$9))),$AM$9)</f>
        <v/>
      </c>
      <c r="AP723">
        <f>IFERROR(IF(AY723&lt;($AM$10-$AL$10)/($AN$10-$AL$10),$AL$10+SQRT(AY723*($AN$10-$AL$10)*($AM$10-$AL$10)),$AN$10-SQRT((1-AY723)*($AN$10-$AL$10)*($AN$10-$AM$10))),$AM$10)</f>
        <v/>
      </c>
      <c r="AQ723">
        <f>IFERROR(IF(AZ723&lt;($AM$11-$AL$11)/($AN$11-$AL$11),$AL$11+SQRT(AZ723*($AN$11-$AL$11)*($AM$11-$AL$11)),$AN$11-SQRT((1-AZ723)*($AN$11-$AL$11)*($AN$11-$AM$11))),$AM$11)</f>
        <v/>
      </c>
      <c r="AR723">
        <f>SUMPRODUCT((B24:B31&lt;=$B$6)*(C24:C31*AM723+D24:D31*AO723*$B$8*AQ723)/(1+AL723/100)^B24:B31)+C32*AM723*AP723/(1+AL723/100)^$B$6</f>
        <v/>
      </c>
      <c r="AS723">
        <f>SUMPRODUCT((K24:K26&lt;=$B$6)*(L24:L26*AN723+M24:M26*AO723*$B$8*AQ723)/(1+AL723/100)^K24:K26)+L27*AN723*AP723/(1+AL723/100)^$B$6</f>
        <v/>
      </c>
      <c r="AT723">
        <f>AS723-AR723</f>
        <v/>
      </c>
      <c r="AU723">
        <f>RAND()</f>
        <v/>
      </c>
      <c r="AV723">
        <f>RAND()</f>
        <v/>
      </c>
      <c r="AW723">
        <f>RAND()</f>
        <v/>
      </c>
      <c r="AX723">
        <f>RAND()</f>
        <v/>
      </c>
      <c r="AY723">
        <f>RAND()</f>
        <v/>
      </c>
      <c r="AZ723">
        <f>RAND()</f>
        <v/>
      </c>
    </row>
    <row r="724">
      <c r="AK724" t="n">
        <v>711</v>
      </c>
      <c r="AL724">
        <f>IFERROR(IF(AU724&lt;($AM$6-$AL$6)/($AN$6-$AL$6),$AL$6+SQRT(AU724*($AN$6-$AL$6)*($AM$6-$AL$6)),$AN$6-SQRT((1-AU724)*($AN$6-$AL$6)*($AN$6-$AM$6))),$AM$6)</f>
        <v/>
      </c>
      <c r="AM724">
        <f>IFERROR(IF(AV724&lt;($AM$7-$AL$7)/($AN$7-$AL$7),$AL$7+SQRT(AV724*($AN$7-$AL$7)*($AM$7-$AL$7)),$AN$7-SQRT((1-AV724)*($AN$7-$AL$7)*($AN$7-$AM$7))),$AM$7)</f>
        <v/>
      </c>
      <c r="AN724">
        <f>IFERROR(IF(AW724&lt;($AM$8-$AL$8)/($AN$8-$AL$8),$AL$8+SQRT(AW724*($AN$8-$AL$8)*($AM$8-$AL$8)),$AN$8-SQRT((1-AW724)*($AN$8-$AL$8)*($AN$8-$AM$8))),$AM$8)</f>
        <v/>
      </c>
      <c r="AO724">
        <f>IFERROR(IF(AX724&lt;($AM$9-$AL$9)/($AN$9-$AL$9),$AL$9+SQRT(AX724*($AN$9-$AL$9)*($AM$9-$AL$9)),$AN$9-SQRT((1-AX724)*($AN$9-$AL$9)*($AN$9-$AM$9))),$AM$9)</f>
        <v/>
      </c>
      <c r="AP724">
        <f>IFERROR(IF(AY724&lt;($AM$10-$AL$10)/($AN$10-$AL$10),$AL$10+SQRT(AY724*($AN$10-$AL$10)*($AM$10-$AL$10)),$AN$10-SQRT((1-AY724)*($AN$10-$AL$10)*($AN$10-$AM$10))),$AM$10)</f>
        <v/>
      </c>
      <c r="AQ724">
        <f>IFERROR(IF(AZ724&lt;($AM$11-$AL$11)/($AN$11-$AL$11),$AL$11+SQRT(AZ724*($AN$11-$AL$11)*($AM$11-$AL$11)),$AN$11-SQRT((1-AZ724)*($AN$11-$AL$11)*($AN$11-$AM$11))),$AM$11)</f>
        <v/>
      </c>
      <c r="AR724">
        <f>SUMPRODUCT((B24:B31&lt;=$B$6)*(C24:C31*AM724+D24:D31*AO724*$B$8*AQ724)/(1+AL724/100)^B24:B31)+C32*AM724*AP724/(1+AL724/100)^$B$6</f>
        <v/>
      </c>
      <c r="AS724">
        <f>SUMPRODUCT((K24:K26&lt;=$B$6)*(L24:L26*AN724+M24:M26*AO724*$B$8*AQ724)/(1+AL724/100)^K24:K26)+L27*AN724*AP724/(1+AL724/100)^$B$6</f>
        <v/>
      </c>
      <c r="AT724">
        <f>AS724-AR724</f>
        <v/>
      </c>
      <c r="AU724">
        <f>RAND()</f>
        <v/>
      </c>
      <c r="AV724">
        <f>RAND()</f>
        <v/>
      </c>
      <c r="AW724">
        <f>RAND()</f>
        <v/>
      </c>
      <c r="AX724">
        <f>RAND()</f>
        <v/>
      </c>
      <c r="AY724">
        <f>RAND()</f>
        <v/>
      </c>
      <c r="AZ724">
        <f>RAND()</f>
        <v/>
      </c>
    </row>
    <row r="725">
      <c r="AK725" t="n">
        <v>712</v>
      </c>
      <c r="AL725">
        <f>IFERROR(IF(AU725&lt;($AM$6-$AL$6)/($AN$6-$AL$6),$AL$6+SQRT(AU725*($AN$6-$AL$6)*($AM$6-$AL$6)),$AN$6-SQRT((1-AU725)*($AN$6-$AL$6)*($AN$6-$AM$6))),$AM$6)</f>
        <v/>
      </c>
      <c r="AM725">
        <f>IFERROR(IF(AV725&lt;($AM$7-$AL$7)/($AN$7-$AL$7),$AL$7+SQRT(AV725*($AN$7-$AL$7)*($AM$7-$AL$7)),$AN$7-SQRT((1-AV725)*($AN$7-$AL$7)*($AN$7-$AM$7))),$AM$7)</f>
        <v/>
      </c>
      <c r="AN725">
        <f>IFERROR(IF(AW725&lt;($AM$8-$AL$8)/($AN$8-$AL$8),$AL$8+SQRT(AW725*($AN$8-$AL$8)*($AM$8-$AL$8)),$AN$8-SQRT((1-AW725)*($AN$8-$AL$8)*($AN$8-$AM$8))),$AM$8)</f>
        <v/>
      </c>
      <c r="AO725">
        <f>IFERROR(IF(AX725&lt;($AM$9-$AL$9)/($AN$9-$AL$9),$AL$9+SQRT(AX725*($AN$9-$AL$9)*($AM$9-$AL$9)),$AN$9-SQRT((1-AX725)*($AN$9-$AL$9)*($AN$9-$AM$9))),$AM$9)</f>
        <v/>
      </c>
      <c r="AP725">
        <f>IFERROR(IF(AY725&lt;($AM$10-$AL$10)/($AN$10-$AL$10),$AL$10+SQRT(AY725*($AN$10-$AL$10)*($AM$10-$AL$10)),$AN$10-SQRT((1-AY725)*($AN$10-$AL$10)*($AN$10-$AM$10))),$AM$10)</f>
        <v/>
      </c>
      <c r="AQ725">
        <f>IFERROR(IF(AZ725&lt;($AM$11-$AL$11)/($AN$11-$AL$11),$AL$11+SQRT(AZ725*($AN$11-$AL$11)*($AM$11-$AL$11)),$AN$11-SQRT((1-AZ725)*($AN$11-$AL$11)*($AN$11-$AM$11))),$AM$11)</f>
        <v/>
      </c>
      <c r="AR725">
        <f>SUMPRODUCT((B24:B31&lt;=$B$6)*(C24:C31*AM725+D24:D31*AO725*$B$8*AQ725)/(1+AL725/100)^B24:B31)+C32*AM725*AP725/(1+AL725/100)^$B$6</f>
        <v/>
      </c>
      <c r="AS725">
        <f>SUMPRODUCT((K24:K26&lt;=$B$6)*(L24:L26*AN725+M24:M26*AO725*$B$8*AQ725)/(1+AL725/100)^K24:K26)+L27*AN725*AP725/(1+AL725/100)^$B$6</f>
        <v/>
      </c>
      <c r="AT725">
        <f>AS725-AR725</f>
        <v/>
      </c>
      <c r="AU725">
        <f>RAND()</f>
        <v/>
      </c>
      <c r="AV725">
        <f>RAND()</f>
        <v/>
      </c>
      <c r="AW725">
        <f>RAND()</f>
        <v/>
      </c>
      <c r="AX725">
        <f>RAND()</f>
        <v/>
      </c>
      <c r="AY725">
        <f>RAND()</f>
        <v/>
      </c>
      <c r="AZ725">
        <f>RAND()</f>
        <v/>
      </c>
    </row>
    <row r="726">
      <c r="AK726" t="n">
        <v>713</v>
      </c>
      <c r="AL726">
        <f>IFERROR(IF(AU726&lt;($AM$6-$AL$6)/($AN$6-$AL$6),$AL$6+SQRT(AU726*($AN$6-$AL$6)*($AM$6-$AL$6)),$AN$6-SQRT((1-AU726)*($AN$6-$AL$6)*($AN$6-$AM$6))),$AM$6)</f>
        <v/>
      </c>
      <c r="AM726">
        <f>IFERROR(IF(AV726&lt;($AM$7-$AL$7)/($AN$7-$AL$7),$AL$7+SQRT(AV726*($AN$7-$AL$7)*($AM$7-$AL$7)),$AN$7-SQRT((1-AV726)*($AN$7-$AL$7)*($AN$7-$AM$7))),$AM$7)</f>
        <v/>
      </c>
      <c r="AN726">
        <f>IFERROR(IF(AW726&lt;($AM$8-$AL$8)/($AN$8-$AL$8),$AL$8+SQRT(AW726*($AN$8-$AL$8)*($AM$8-$AL$8)),$AN$8-SQRT((1-AW726)*($AN$8-$AL$8)*($AN$8-$AM$8))),$AM$8)</f>
        <v/>
      </c>
      <c r="AO726">
        <f>IFERROR(IF(AX726&lt;($AM$9-$AL$9)/($AN$9-$AL$9),$AL$9+SQRT(AX726*($AN$9-$AL$9)*($AM$9-$AL$9)),$AN$9-SQRT((1-AX726)*($AN$9-$AL$9)*($AN$9-$AM$9))),$AM$9)</f>
        <v/>
      </c>
      <c r="AP726">
        <f>IFERROR(IF(AY726&lt;($AM$10-$AL$10)/($AN$10-$AL$10),$AL$10+SQRT(AY726*($AN$10-$AL$10)*($AM$10-$AL$10)),$AN$10-SQRT((1-AY726)*($AN$10-$AL$10)*($AN$10-$AM$10))),$AM$10)</f>
        <v/>
      </c>
      <c r="AQ726">
        <f>IFERROR(IF(AZ726&lt;($AM$11-$AL$11)/($AN$11-$AL$11),$AL$11+SQRT(AZ726*($AN$11-$AL$11)*($AM$11-$AL$11)),$AN$11-SQRT((1-AZ726)*($AN$11-$AL$11)*($AN$11-$AM$11))),$AM$11)</f>
        <v/>
      </c>
      <c r="AR726">
        <f>SUMPRODUCT((B24:B31&lt;=$B$6)*(C24:C31*AM726+D24:D31*AO726*$B$8*AQ726)/(1+AL726/100)^B24:B31)+C32*AM726*AP726/(1+AL726/100)^$B$6</f>
        <v/>
      </c>
      <c r="AS726">
        <f>SUMPRODUCT((K24:K26&lt;=$B$6)*(L24:L26*AN726+M24:M26*AO726*$B$8*AQ726)/(1+AL726/100)^K24:K26)+L27*AN726*AP726/(1+AL726/100)^$B$6</f>
        <v/>
      </c>
      <c r="AT726">
        <f>AS726-AR726</f>
        <v/>
      </c>
      <c r="AU726">
        <f>RAND()</f>
        <v/>
      </c>
      <c r="AV726">
        <f>RAND()</f>
        <v/>
      </c>
      <c r="AW726">
        <f>RAND()</f>
        <v/>
      </c>
      <c r="AX726">
        <f>RAND()</f>
        <v/>
      </c>
      <c r="AY726">
        <f>RAND()</f>
        <v/>
      </c>
      <c r="AZ726">
        <f>RAND()</f>
        <v/>
      </c>
    </row>
    <row r="727">
      <c r="AK727" t="n">
        <v>714</v>
      </c>
      <c r="AL727">
        <f>IFERROR(IF(AU727&lt;($AM$6-$AL$6)/($AN$6-$AL$6),$AL$6+SQRT(AU727*($AN$6-$AL$6)*($AM$6-$AL$6)),$AN$6-SQRT((1-AU727)*($AN$6-$AL$6)*($AN$6-$AM$6))),$AM$6)</f>
        <v/>
      </c>
      <c r="AM727">
        <f>IFERROR(IF(AV727&lt;($AM$7-$AL$7)/($AN$7-$AL$7),$AL$7+SQRT(AV727*($AN$7-$AL$7)*($AM$7-$AL$7)),$AN$7-SQRT((1-AV727)*($AN$7-$AL$7)*($AN$7-$AM$7))),$AM$7)</f>
        <v/>
      </c>
      <c r="AN727">
        <f>IFERROR(IF(AW727&lt;($AM$8-$AL$8)/($AN$8-$AL$8),$AL$8+SQRT(AW727*($AN$8-$AL$8)*($AM$8-$AL$8)),$AN$8-SQRT((1-AW727)*($AN$8-$AL$8)*($AN$8-$AM$8))),$AM$8)</f>
        <v/>
      </c>
      <c r="AO727">
        <f>IFERROR(IF(AX727&lt;($AM$9-$AL$9)/($AN$9-$AL$9),$AL$9+SQRT(AX727*($AN$9-$AL$9)*($AM$9-$AL$9)),$AN$9-SQRT((1-AX727)*($AN$9-$AL$9)*($AN$9-$AM$9))),$AM$9)</f>
        <v/>
      </c>
      <c r="AP727">
        <f>IFERROR(IF(AY727&lt;($AM$10-$AL$10)/($AN$10-$AL$10),$AL$10+SQRT(AY727*($AN$10-$AL$10)*($AM$10-$AL$10)),$AN$10-SQRT((1-AY727)*($AN$10-$AL$10)*($AN$10-$AM$10))),$AM$10)</f>
        <v/>
      </c>
      <c r="AQ727">
        <f>IFERROR(IF(AZ727&lt;($AM$11-$AL$11)/($AN$11-$AL$11),$AL$11+SQRT(AZ727*($AN$11-$AL$11)*($AM$11-$AL$11)),$AN$11-SQRT((1-AZ727)*($AN$11-$AL$11)*($AN$11-$AM$11))),$AM$11)</f>
        <v/>
      </c>
      <c r="AR727">
        <f>SUMPRODUCT((B24:B31&lt;=$B$6)*(C24:C31*AM727+D24:D31*AO727*$B$8*AQ727)/(1+AL727/100)^B24:B31)+C32*AM727*AP727/(1+AL727/100)^$B$6</f>
        <v/>
      </c>
      <c r="AS727">
        <f>SUMPRODUCT((K24:K26&lt;=$B$6)*(L24:L26*AN727+M24:M26*AO727*$B$8*AQ727)/(1+AL727/100)^K24:K26)+L27*AN727*AP727/(1+AL727/100)^$B$6</f>
        <v/>
      </c>
      <c r="AT727">
        <f>AS727-AR727</f>
        <v/>
      </c>
      <c r="AU727">
        <f>RAND()</f>
        <v/>
      </c>
      <c r="AV727">
        <f>RAND()</f>
        <v/>
      </c>
      <c r="AW727">
        <f>RAND()</f>
        <v/>
      </c>
      <c r="AX727">
        <f>RAND()</f>
        <v/>
      </c>
      <c r="AY727">
        <f>RAND()</f>
        <v/>
      </c>
      <c r="AZ727">
        <f>RAND()</f>
        <v/>
      </c>
    </row>
    <row r="728">
      <c r="AK728" t="n">
        <v>715</v>
      </c>
      <c r="AL728">
        <f>IFERROR(IF(AU728&lt;($AM$6-$AL$6)/($AN$6-$AL$6),$AL$6+SQRT(AU728*($AN$6-$AL$6)*($AM$6-$AL$6)),$AN$6-SQRT((1-AU728)*($AN$6-$AL$6)*($AN$6-$AM$6))),$AM$6)</f>
        <v/>
      </c>
      <c r="AM728">
        <f>IFERROR(IF(AV728&lt;($AM$7-$AL$7)/($AN$7-$AL$7),$AL$7+SQRT(AV728*($AN$7-$AL$7)*($AM$7-$AL$7)),$AN$7-SQRT((1-AV728)*($AN$7-$AL$7)*($AN$7-$AM$7))),$AM$7)</f>
        <v/>
      </c>
      <c r="AN728">
        <f>IFERROR(IF(AW728&lt;($AM$8-$AL$8)/($AN$8-$AL$8),$AL$8+SQRT(AW728*($AN$8-$AL$8)*($AM$8-$AL$8)),$AN$8-SQRT((1-AW728)*($AN$8-$AL$8)*($AN$8-$AM$8))),$AM$8)</f>
        <v/>
      </c>
      <c r="AO728">
        <f>IFERROR(IF(AX728&lt;($AM$9-$AL$9)/($AN$9-$AL$9),$AL$9+SQRT(AX728*($AN$9-$AL$9)*($AM$9-$AL$9)),$AN$9-SQRT((1-AX728)*($AN$9-$AL$9)*($AN$9-$AM$9))),$AM$9)</f>
        <v/>
      </c>
      <c r="AP728">
        <f>IFERROR(IF(AY728&lt;($AM$10-$AL$10)/($AN$10-$AL$10),$AL$10+SQRT(AY728*($AN$10-$AL$10)*($AM$10-$AL$10)),$AN$10-SQRT((1-AY728)*($AN$10-$AL$10)*($AN$10-$AM$10))),$AM$10)</f>
        <v/>
      </c>
      <c r="AQ728">
        <f>IFERROR(IF(AZ728&lt;($AM$11-$AL$11)/($AN$11-$AL$11),$AL$11+SQRT(AZ728*($AN$11-$AL$11)*($AM$11-$AL$11)),$AN$11-SQRT((1-AZ728)*($AN$11-$AL$11)*($AN$11-$AM$11))),$AM$11)</f>
        <v/>
      </c>
      <c r="AR728">
        <f>SUMPRODUCT((B24:B31&lt;=$B$6)*(C24:C31*AM728+D24:D31*AO728*$B$8*AQ728)/(1+AL728/100)^B24:B31)+C32*AM728*AP728/(1+AL728/100)^$B$6</f>
        <v/>
      </c>
      <c r="AS728">
        <f>SUMPRODUCT((K24:K26&lt;=$B$6)*(L24:L26*AN728+M24:M26*AO728*$B$8*AQ728)/(1+AL728/100)^K24:K26)+L27*AN728*AP728/(1+AL728/100)^$B$6</f>
        <v/>
      </c>
      <c r="AT728">
        <f>AS728-AR728</f>
        <v/>
      </c>
      <c r="AU728">
        <f>RAND()</f>
        <v/>
      </c>
      <c r="AV728">
        <f>RAND()</f>
        <v/>
      </c>
      <c r="AW728">
        <f>RAND()</f>
        <v/>
      </c>
      <c r="AX728">
        <f>RAND()</f>
        <v/>
      </c>
      <c r="AY728">
        <f>RAND()</f>
        <v/>
      </c>
      <c r="AZ728">
        <f>RAND()</f>
        <v/>
      </c>
    </row>
    <row r="729">
      <c r="AK729" t="n">
        <v>716</v>
      </c>
      <c r="AL729">
        <f>IFERROR(IF(AU729&lt;($AM$6-$AL$6)/($AN$6-$AL$6),$AL$6+SQRT(AU729*($AN$6-$AL$6)*($AM$6-$AL$6)),$AN$6-SQRT((1-AU729)*($AN$6-$AL$6)*($AN$6-$AM$6))),$AM$6)</f>
        <v/>
      </c>
      <c r="AM729">
        <f>IFERROR(IF(AV729&lt;($AM$7-$AL$7)/($AN$7-$AL$7),$AL$7+SQRT(AV729*($AN$7-$AL$7)*($AM$7-$AL$7)),$AN$7-SQRT((1-AV729)*($AN$7-$AL$7)*($AN$7-$AM$7))),$AM$7)</f>
        <v/>
      </c>
      <c r="AN729">
        <f>IFERROR(IF(AW729&lt;($AM$8-$AL$8)/($AN$8-$AL$8),$AL$8+SQRT(AW729*($AN$8-$AL$8)*($AM$8-$AL$8)),$AN$8-SQRT((1-AW729)*($AN$8-$AL$8)*($AN$8-$AM$8))),$AM$8)</f>
        <v/>
      </c>
      <c r="AO729">
        <f>IFERROR(IF(AX729&lt;($AM$9-$AL$9)/($AN$9-$AL$9),$AL$9+SQRT(AX729*($AN$9-$AL$9)*($AM$9-$AL$9)),$AN$9-SQRT((1-AX729)*($AN$9-$AL$9)*($AN$9-$AM$9))),$AM$9)</f>
        <v/>
      </c>
      <c r="AP729">
        <f>IFERROR(IF(AY729&lt;($AM$10-$AL$10)/($AN$10-$AL$10),$AL$10+SQRT(AY729*($AN$10-$AL$10)*($AM$10-$AL$10)),$AN$10-SQRT((1-AY729)*($AN$10-$AL$10)*($AN$10-$AM$10))),$AM$10)</f>
        <v/>
      </c>
      <c r="AQ729">
        <f>IFERROR(IF(AZ729&lt;($AM$11-$AL$11)/($AN$11-$AL$11),$AL$11+SQRT(AZ729*($AN$11-$AL$11)*($AM$11-$AL$11)),$AN$11-SQRT((1-AZ729)*($AN$11-$AL$11)*($AN$11-$AM$11))),$AM$11)</f>
        <v/>
      </c>
      <c r="AR729">
        <f>SUMPRODUCT((B24:B31&lt;=$B$6)*(C24:C31*AM729+D24:D31*AO729*$B$8*AQ729)/(1+AL729/100)^B24:B31)+C32*AM729*AP729/(1+AL729/100)^$B$6</f>
        <v/>
      </c>
      <c r="AS729">
        <f>SUMPRODUCT((K24:K26&lt;=$B$6)*(L24:L26*AN729+M24:M26*AO729*$B$8*AQ729)/(1+AL729/100)^K24:K26)+L27*AN729*AP729/(1+AL729/100)^$B$6</f>
        <v/>
      </c>
      <c r="AT729">
        <f>AS729-AR729</f>
        <v/>
      </c>
      <c r="AU729">
        <f>RAND()</f>
        <v/>
      </c>
      <c r="AV729">
        <f>RAND()</f>
        <v/>
      </c>
      <c r="AW729">
        <f>RAND()</f>
        <v/>
      </c>
      <c r="AX729">
        <f>RAND()</f>
        <v/>
      </c>
      <c r="AY729">
        <f>RAND()</f>
        <v/>
      </c>
      <c r="AZ729">
        <f>RAND()</f>
        <v/>
      </c>
    </row>
    <row r="730">
      <c r="AK730" t="n">
        <v>717</v>
      </c>
      <c r="AL730">
        <f>IFERROR(IF(AU730&lt;($AM$6-$AL$6)/($AN$6-$AL$6),$AL$6+SQRT(AU730*($AN$6-$AL$6)*($AM$6-$AL$6)),$AN$6-SQRT((1-AU730)*($AN$6-$AL$6)*($AN$6-$AM$6))),$AM$6)</f>
        <v/>
      </c>
      <c r="AM730">
        <f>IFERROR(IF(AV730&lt;($AM$7-$AL$7)/($AN$7-$AL$7),$AL$7+SQRT(AV730*($AN$7-$AL$7)*($AM$7-$AL$7)),$AN$7-SQRT((1-AV730)*($AN$7-$AL$7)*($AN$7-$AM$7))),$AM$7)</f>
        <v/>
      </c>
      <c r="AN730">
        <f>IFERROR(IF(AW730&lt;($AM$8-$AL$8)/($AN$8-$AL$8),$AL$8+SQRT(AW730*($AN$8-$AL$8)*($AM$8-$AL$8)),$AN$8-SQRT((1-AW730)*($AN$8-$AL$8)*($AN$8-$AM$8))),$AM$8)</f>
        <v/>
      </c>
      <c r="AO730">
        <f>IFERROR(IF(AX730&lt;($AM$9-$AL$9)/($AN$9-$AL$9),$AL$9+SQRT(AX730*($AN$9-$AL$9)*($AM$9-$AL$9)),$AN$9-SQRT((1-AX730)*($AN$9-$AL$9)*($AN$9-$AM$9))),$AM$9)</f>
        <v/>
      </c>
      <c r="AP730">
        <f>IFERROR(IF(AY730&lt;($AM$10-$AL$10)/($AN$10-$AL$10),$AL$10+SQRT(AY730*($AN$10-$AL$10)*($AM$10-$AL$10)),$AN$10-SQRT((1-AY730)*($AN$10-$AL$10)*($AN$10-$AM$10))),$AM$10)</f>
        <v/>
      </c>
      <c r="AQ730">
        <f>IFERROR(IF(AZ730&lt;($AM$11-$AL$11)/($AN$11-$AL$11),$AL$11+SQRT(AZ730*($AN$11-$AL$11)*($AM$11-$AL$11)),$AN$11-SQRT((1-AZ730)*($AN$11-$AL$11)*($AN$11-$AM$11))),$AM$11)</f>
        <v/>
      </c>
      <c r="AR730">
        <f>SUMPRODUCT((B24:B31&lt;=$B$6)*(C24:C31*AM730+D24:D31*AO730*$B$8*AQ730)/(1+AL730/100)^B24:B31)+C32*AM730*AP730/(1+AL730/100)^$B$6</f>
        <v/>
      </c>
      <c r="AS730">
        <f>SUMPRODUCT((K24:K26&lt;=$B$6)*(L24:L26*AN730+M24:M26*AO730*$B$8*AQ730)/(1+AL730/100)^K24:K26)+L27*AN730*AP730/(1+AL730/100)^$B$6</f>
        <v/>
      </c>
      <c r="AT730">
        <f>AS730-AR730</f>
        <v/>
      </c>
      <c r="AU730">
        <f>RAND()</f>
        <v/>
      </c>
      <c r="AV730">
        <f>RAND()</f>
        <v/>
      </c>
      <c r="AW730">
        <f>RAND()</f>
        <v/>
      </c>
      <c r="AX730">
        <f>RAND()</f>
        <v/>
      </c>
      <c r="AY730">
        <f>RAND()</f>
        <v/>
      </c>
      <c r="AZ730">
        <f>RAND()</f>
        <v/>
      </c>
    </row>
    <row r="731">
      <c r="AK731" t="n">
        <v>718</v>
      </c>
      <c r="AL731">
        <f>IFERROR(IF(AU731&lt;($AM$6-$AL$6)/($AN$6-$AL$6),$AL$6+SQRT(AU731*($AN$6-$AL$6)*($AM$6-$AL$6)),$AN$6-SQRT((1-AU731)*($AN$6-$AL$6)*($AN$6-$AM$6))),$AM$6)</f>
        <v/>
      </c>
      <c r="AM731">
        <f>IFERROR(IF(AV731&lt;($AM$7-$AL$7)/($AN$7-$AL$7),$AL$7+SQRT(AV731*($AN$7-$AL$7)*($AM$7-$AL$7)),$AN$7-SQRT((1-AV731)*($AN$7-$AL$7)*($AN$7-$AM$7))),$AM$7)</f>
        <v/>
      </c>
      <c r="AN731">
        <f>IFERROR(IF(AW731&lt;($AM$8-$AL$8)/($AN$8-$AL$8),$AL$8+SQRT(AW731*($AN$8-$AL$8)*($AM$8-$AL$8)),$AN$8-SQRT((1-AW731)*($AN$8-$AL$8)*($AN$8-$AM$8))),$AM$8)</f>
        <v/>
      </c>
      <c r="AO731">
        <f>IFERROR(IF(AX731&lt;($AM$9-$AL$9)/($AN$9-$AL$9),$AL$9+SQRT(AX731*($AN$9-$AL$9)*($AM$9-$AL$9)),$AN$9-SQRT((1-AX731)*($AN$9-$AL$9)*($AN$9-$AM$9))),$AM$9)</f>
        <v/>
      </c>
      <c r="AP731">
        <f>IFERROR(IF(AY731&lt;($AM$10-$AL$10)/($AN$10-$AL$10),$AL$10+SQRT(AY731*($AN$10-$AL$10)*($AM$10-$AL$10)),$AN$10-SQRT((1-AY731)*($AN$10-$AL$10)*($AN$10-$AM$10))),$AM$10)</f>
        <v/>
      </c>
      <c r="AQ731">
        <f>IFERROR(IF(AZ731&lt;($AM$11-$AL$11)/($AN$11-$AL$11),$AL$11+SQRT(AZ731*($AN$11-$AL$11)*($AM$11-$AL$11)),$AN$11-SQRT((1-AZ731)*($AN$11-$AL$11)*($AN$11-$AM$11))),$AM$11)</f>
        <v/>
      </c>
      <c r="AR731">
        <f>SUMPRODUCT((B24:B31&lt;=$B$6)*(C24:C31*AM731+D24:D31*AO731*$B$8*AQ731)/(1+AL731/100)^B24:B31)+C32*AM731*AP731/(1+AL731/100)^$B$6</f>
        <v/>
      </c>
      <c r="AS731">
        <f>SUMPRODUCT((K24:K26&lt;=$B$6)*(L24:L26*AN731+M24:M26*AO731*$B$8*AQ731)/(1+AL731/100)^K24:K26)+L27*AN731*AP731/(1+AL731/100)^$B$6</f>
        <v/>
      </c>
      <c r="AT731">
        <f>AS731-AR731</f>
        <v/>
      </c>
      <c r="AU731">
        <f>RAND()</f>
        <v/>
      </c>
      <c r="AV731">
        <f>RAND()</f>
        <v/>
      </c>
      <c r="AW731">
        <f>RAND()</f>
        <v/>
      </c>
      <c r="AX731">
        <f>RAND()</f>
        <v/>
      </c>
      <c r="AY731">
        <f>RAND()</f>
        <v/>
      </c>
      <c r="AZ731">
        <f>RAND()</f>
        <v/>
      </c>
    </row>
    <row r="732">
      <c r="AK732" t="n">
        <v>719</v>
      </c>
      <c r="AL732">
        <f>IFERROR(IF(AU732&lt;($AM$6-$AL$6)/($AN$6-$AL$6),$AL$6+SQRT(AU732*($AN$6-$AL$6)*($AM$6-$AL$6)),$AN$6-SQRT((1-AU732)*($AN$6-$AL$6)*($AN$6-$AM$6))),$AM$6)</f>
        <v/>
      </c>
      <c r="AM732">
        <f>IFERROR(IF(AV732&lt;($AM$7-$AL$7)/($AN$7-$AL$7),$AL$7+SQRT(AV732*($AN$7-$AL$7)*($AM$7-$AL$7)),$AN$7-SQRT((1-AV732)*($AN$7-$AL$7)*($AN$7-$AM$7))),$AM$7)</f>
        <v/>
      </c>
      <c r="AN732">
        <f>IFERROR(IF(AW732&lt;($AM$8-$AL$8)/($AN$8-$AL$8),$AL$8+SQRT(AW732*($AN$8-$AL$8)*($AM$8-$AL$8)),$AN$8-SQRT((1-AW732)*($AN$8-$AL$8)*($AN$8-$AM$8))),$AM$8)</f>
        <v/>
      </c>
      <c r="AO732">
        <f>IFERROR(IF(AX732&lt;($AM$9-$AL$9)/($AN$9-$AL$9),$AL$9+SQRT(AX732*($AN$9-$AL$9)*($AM$9-$AL$9)),$AN$9-SQRT((1-AX732)*($AN$9-$AL$9)*($AN$9-$AM$9))),$AM$9)</f>
        <v/>
      </c>
      <c r="AP732">
        <f>IFERROR(IF(AY732&lt;($AM$10-$AL$10)/($AN$10-$AL$10),$AL$10+SQRT(AY732*($AN$10-$AL$10)*($AM$10-$AL$10)),$AN$10-SQRT((1-AY732)*($AN$10-$AL$10)*($AN$10-$AM$10))),$AM$10)</f>
        <v/>
      </c>
      <c r="AQ732">
        <f>IFERROR(IF(AZ732&lt;($AM$11-$AL$11)/($AN$11-$AL$11),$AL$11+SQRT(AZ732*($AN$11-$AL$11)*($AM$11-$AL$11)),$AN$11-SQRT((1-AZ732)*($AN$11-$AL$11)*($AN$11-$AM$11))),$AM$11)</f>
        <v/>
      </c>
      <c r="AR732">
        <f>SUMPRODUCT((B24:B31&lt;=$B$6)*(C24:C31*AM732+D24:D31*AO732*$B$8*AQ732)/(1+AL732/100)^B24:B31)+C32*AM732*AP732/(1+AL732/100)^$B$6</f>
        <v/>
      </c>
      <c r="AS732">
        <f>SUMPRODUCT((K24:K26&lt;=$B$6)*(L24:L26*AN732+M24:M26*AO732*$B$8*AQ732)/(1+AL732/100)^K24:K26)+L27*AN732*AP732/(1+AL732/100)^$B$6</f>
        <v/>
      </c>
      <c r="AT732">
        <f>AS732-AR732</f>
        <v/>
      </c>
      <c r="AU732">
        <f>RAND()</f>
        <v/>
      </c>
      <c r="AV732">
        <f>RAND()</f>
        <v/>
      </c>
      <c r="AW732">
        <f>RAND()</f>
        <v/>
      </c>
      <c r="AX732">
        <f>RAND()</f>
        <v/>
      </c>
      <c r="AY732">
        <f>RAND()</f>
        <v/>
      </c>
      <c r="AZ732">
        <f>RAND()</f>
        <v/>
      </c>
    </row>
    <row r="733">
      <c r="AK733" t="n">
        <v>720</v>
      </c>
      <c r="AL733">
        <f>IFERROR(IF(AU733&lt;($AM$6-$AL$6)/($AN$6-$AL$6),$AL$6+SQRT(AU733*($AN$6-$AL$6)*($AM$6-$AL$6)),$AN$6-SQRT((1-AU733)*($AN$6-$AL$6)*($AN$6-$AM$6))),$AM$6)</f>
        <v/>
      </c>
      <c r="AM733">
        <f>IFERROR(IF(AV733&lt;($AM$7-$AL$7)/($AN$7-$AL$7),$AL$7+SQRT(AV733*($AN$7-$AL$7)*($AM$7-$AL$7)),$AN$7-SQRT((1-AV733)*($AN$7-$AL$7)*($AN$7-$AM$7))),$AM$7)</f>
        <v/>
      </c>
      <c r="AN733">
        <f>IFERROR(IF(AW733&lt;($AM$8-$AL$8)/($AN$8-$AL$8),$AL$8+SQRT(AW733*($AN$8-$AL$8)*($AM$8-$AL$8)),$AN$8-SQRT((1-AW733)*($AN$8-$AL$8)*($AN$8-$AM$8))),$AM$8)</f>
        <v/>
      </c>
      <c r="AO733">
        <f>IFERROR(IF(AX733&lt;($AM$9-$AL$9)/($AN$9-$AL$9),$AL$9+SQRT(AX733*($AN$9-$AL$9)*($AM$9-$AL$9)),$AN$9-SQRT((1-AX733)*($AN$9-$AL$9)*($AN$9-$AM$9))),$AM$9)</f>
        <v/>
      </c>
      <c r="AP733">
        <f>IFERROR(IF(AY733&lt;($AM$10-$AL$10)/($AN$10-$AL$10),$AL$10+SQRT(AY733*($AN$10-$AL$10)*($AM$10-$AL$10)),$AN$10-SQRT((1-AY733)*($AN$10-$AL$10)*($AN$10-$AM$10))),$AM$10)</f>
        <v/>
      </c>
      <c r="AQ733">
        <f>IFERROR(IF(AZ733&lt;($AM$11-$AL$11)/($AN$11-$AL$11),$AL$11+SQRT(AZ733*($AN$11-$AL$11)*($AM$11-$AL$11)),$AN$11-SQRT((1-AZ733)*($AN$11-$AL$11)*($AN$11-$AM$11))),$AM$11)</f>
        <v/>
      </c>
      <c r="AR733">
        <f>SUMPRODUCT((B24:B31&lt;=$B$6)*(C24:C31*AM733+D24:D31*AO733*$B$8*AQ733)/(1+AL733/100)^B24:B31)+C32*AM733*AP733/(1+AL733/100)^$B$6</f>
        <v/>
      </c>
      <c r="AS733">
        <f>SUMPRODUCT((K24:K26&lt;=$B$6)*(L24:L26*AN733+M24:M26*AO733*$B$8*AQ733)/(1+AL733/100)^K24:K26)+L27*AN733*AP733/(1+AL733/100)^$B$6</f>
        <v/>
      </c>
      <c r="AT733">
        <f>AS733-AR733</f>
        <v/>
      </c>
      <c r="AU733">
        <f>RAND()</f>
        <v/>
      </c>
      <c r="AV733">
        <f>RAND()</f>
        <v/>
      </c>
      <c r="AW733">
        <f>RAND()</f>
        <v/>
      </c>
      <c r="AX733">
        <f>RAND()</f>
        <v/>
      </c>
      <c r="AY733">
        <f>RAND()</f>
        <v/>
      </c>
      <c r="AZ733">
        <f>RAND()</f>
        <v/>
      </c>
    </row>
    <row r="734">
      <c r="AK734" t="n">
        <v>721</v>
      </c>
      <c r="AL734">
        <f>IFERROR(IF(AU734&lt;($AM$6-$AL$6)/($AN$6-$AL$6),$AL$6+SQRT(AU734*($AN$6-$AL$6)*($AM$6-$AL$6)),$AN$6-SQRT((1-AU734)*($AN$6-$AL$6)*($AN$6-$AM$6))),$AM$6)</f>
        <v/>
      </c>
      <c r="AM734">
        <f>IFERROR(IF(AV734&lt;($AM$7-$AL$7)/($AN$7-$AL$7),$AL$7+SQRT(AV734*($AN$7-$AL$7)*($AM$7-$AL$7)),$AN$7-SQRT((1-AV734)*($AN$7-$AL$7)*($AN$7-$AM$7))),$AM$7)</f>
        <v/>
      </c>
      <c r="AN734">
        <f>IFERROR(IF(AW734&lt;($AM$8-$AL$8)/($AN$8-$AL$8),$AL$8+SQRT(AW734*($AN$8-$AL$8)*($AM$8-$AL$8)),$AN$8-SQRT((1-AW734)*($AN$8-$AL$8)*($AN$8-$AM$8))),$AM$8)</f>
        <v/>
      </c>
      <c r="AO734">
        <f>IFERROR(IF(AX734&lt;($AM$9-$AL$9)/($AN$9-$AL$9),$AL$9+SQRT(AX734*($AN$9-$AL$9)*($AM$9-$AL$9)),$AN$9-SQRT((1-AX734)*($AN$9-$AL$9)*($AN$9-$AM$9))),$AM$9)</f>
        <v/>
      </c>
      <c r="AP734">
        <f>IFERROR(IF(AY734&lt;($AM$10-$AL$10)/($AN$10-$AL$10),$AL$10+SQRT(AY734*($AN$10-$AL$10)*($AM$10-$AL$10)),$AN$10-SQRT((1-AY734)*($AN$10-$AL$10)*($AN$10-$AM$10))),$AM$10)</f>
        <v/>
      </c>
      <c r="AQ734">
        <f>IFERROR(IF(AZ734&lt;($AM$11-$AL$11)/($AN$11-$AL$11),$AL$11+SQRT(AZ734*($AN$11-$AL$11)*($AM$11-$AL$11)),$AN$11-SQRT((1-AZ734)*($AN$11-$AL$11)*($AN$11-$AM$11))),$AM$11)</f>
        <v/>
      </c>
      <c r="AR734">
        <f>SUMPRODUCT((B24:B31&lt;=$B$6)*(C24:C31*AM734+D24:D31*AO734*$B$8*AQ734)/(1+AL734/100)^B24:B31)+C32*AM734*AP734/(1+AL734/100)^$B$6</f>
        <v/>
      </c>
      <c r="AS734">
        <f>SUMPRODUCT((K24:K26&lt;=$B$6)*(L24:L26*AN734+M24:M26*AO734*$B$8*AQ734)/(1+AL734/100)^K24:K26)+L27*AN734*AP734/(1+AL734/100)^$B$6</f>
        <v/>
      </c>
      <c r="AT734">
        <f>AS734-AR734</f>
        <v/>
      </c>
      <c r="AU734">
        <f>RAND()</f>
        <v/>
      </c>
      <c r="AV734">
        <f>RAND()</f>
        <v/>
      </c>
      <c r="AW734">
        <f>RAND()</f>
        <v/>
      </c>
      <c r="AX734">
        <f>RAND()</f>
        <v/>
      </c>
      <c r="AY734">
        <f>RAND()</f>
        <v/>
      </c>
      <c r="AZ734">
        <f>RAND()</f>
        <v/>
      </c>
    </row>
    <row r="735">
      <c r="AK735" t="n">
        <v>722</v>
      </c>
      <c r="AL735">
        <f>IFERROR(IF(AU735&lt;($AM$6-$AL$6)/($AN$6-$AL$6),$AL$6+SQRT(AU735*($AN$6-$AL$6)*($AM$6-$AL$6)),$AN$6-SQRT((1-AU735)*($AN$6-$AL$6)*($AN$6-$AM$6))),$AM$6)</f>
        <v/>
      </c>
      <c r="AM735">
        <f>IFERROR(IF(AV735&lt;($AM$7-$AL$7)/($AN$7-$AL$7),$AL$7+SQRT(AV735*($AN$7-$AL$7)*($AM$7-$AL$7)),$AN$7-SQRT((1-AV735)*($AN$7-$AL$7)*($AN$7-$AM$7))),$AM$7)</f>
        <v/>
      </c>
      <c r="AN735">
        <f>IFERROR(IF(AW735&lt;($AM$8-$AL$8)/($AN$8-$AL$8),$AL$8+SQRT(AW735*($AN$8-$AL$8)*($AM$8-$AL$8)),$AN$8-SQRT((1-AW735)*($AN$8-$AL$8)*($AN$8-$AM$8))),$AM$8)</f>
        <v/>
      </c>
      <c r="AO735">
        <f>IFERROR(IF(AX735&lt;($AM$9-$AL$9)/($AN$9-$AL$9),$AL$9+SQRT(AX735*($AN$9-$AL$9)*($AM$9-$AL$9)),$AN$9-SQRT((1-AX735)*($AN$9-$AL$9)*($AN$9-$AM$9))),$AM$9)</f>
        <v/>
      </c>
      <c r="AP735">
        <f>IFERROR(IF(AY735&lt;($AM$10-$AL$10)/($AN$10-$AL$10),$AL$10+SQRT(AY735*($AN$10-$AL$10)*($AM$10-$AL$10)),$AN$10-SQRT((1-AY735)*($AN$10-$AL$10)*($AN$10-$AM$10))),$AM$10)</f>
        <v/>
      </c>
      <c r="AQ735">
        <f>IFERROR(IF(AZ735&lt;($AM$11-$AL$11)/($AN$11-$AL$11),$AL$11+SQRT(AZ735*($AN$11-$AL$11)*($AM$11-$AL$11)),$AN$11-SQRT((1-AZ735)*($AN$11-$AL$11)*($AN$11-$AM$11))),$AM$11)</f>
        <v/>
      </c>
      <c r="AR735">
        <f>SUMPRODUCT((B24:B31&lt;=$B$6)*(C24:C31*AM735+D24:D31*AO735*$B$8*AQ735)/(1+AL735/100)^B24:B31)+C32*AM735*AP735/(1+AL735/100)^$B$6</f>
        <v/>
      </c>
      <c r="AS735">
        <f>SUMPRODUCT((K24:K26&lt;=$B$6)*(L24:L26*AN735+M24:M26*AO735*$B$8*AQ735)/(1+AL735/100)^K24:K26)+L27*AN735*AP735/(1+AL735/100)^$B$6</f>
        <v/>
      </c>
      <c r="AT735">
        <f>AS735-AR735</f>
        <v/>
      </c>
      <c r="AU735">
        <f>RAND()</f>
        <v/>
      </c>
      <c r="AV735">
        <f>RAND()</f>
        <v/>
      </c>
      <c r="AW735">
        <f>RAND()</f>
        <v/>
      </c>
      <c r="AX735">
        <f>RAND()</f>
        <v/>
      </c>
      <c r="AY735">
        <f>RAND()</f>
        <v/>
      </c>
      <c r="AZ735">
        <f>RAND()</f>
        <v/>
      </c>
    </row>
    <row r="736">
      <c r="AK736" t="n">
        <v>723</v>
      </c>
      <c r="AL736">
        <f>IFERROR(IF(AU736&lt;($AM$6-$AL$6)/($AN$6-$AL$6),$AL$6+SQRT(AU736*($AN$6-$AL$6)*($AM$6-$AL$6)),$AN$6-SQRT((1-AU736)*($AN$6-$AL$6)*($AN$6-$AM$6))),$AM$6)</f>
        <v/>
      </c>
      <c r="AM736">
        <f>IFERROR(IF(AV736&lt;($AM$7-$AL$7)/($AN$7-$AL$7),$AL$7+SQRT(AV736*($AN$7-$AL$7)*($AM$7-$AL$7)),$AN$7-SQRT((1-AV736)*($AN$7-$AL$7)*($AN$7-$AM$7))),$AM$7)</f>
        <v/>
      </c>
      <c r="AN736">
        <f>IFERROR(IF(AW736&lt;($AM$8-$AL$8)/($AN$8-$AL$8),$AL$8+SQRT(AW736*($AN$8-$AL$8)*($AM$8-$AL$8)),$AN$8-SQRT((1-AW736)*($AN$8-$AL$8)*($AN$8-$AM$8))),$AM$8)</f>
        <v/>
      </c>
      <c r="AO736">
        <f>IFERROR(IF(AX736&lt;($AM$9-$AL$9)/($AN$9-$AL$9),$AL$9+SQRT(AX736*($AN$9-$AL$9)*($AM$9-$AL$9)),$AN$9-SQRT((1-AX736)*($AN$9-$AL$9)*($AN$9-$AM$9))),$AM$9)</f>
        <v/>
      </c>
      <c r="AP736">
        <f>IFERROR(IF(AY736&lt;($AM$10-$AL$10)/($AN$10-$AL$10),$AL$10+SQRT(AY736*($AN$10-$AL$10)*($AM$10-$AL$10)),$AN$10-SQRT((1-AY736)*($AN$10-$AL$10)*($AN$10-$AM$10))),$AM$10)</f>
        <v/>
      </c>
      <c r="AQ736">
        <f>IFERROR(IF(AZ736&lt;($AM$11-$AL$11)/($AN$11-$AL$11),$AL$11+SQRT(AZ736*($AN$11-$AL$11)*($AM$11-$AL$11)),$AN$11-SQRT((1-AZ736)*($AN$11-$AL$11)*($AN$11-$AM$11))),$AM$11)</f>
        <v/>
      </c>
      <c r="AR736">
        <f>SUMPRODUCT((B24:B31&lt;=$B$6)*(C24:C31*AM736+D24:D31*AO736*$B$8*AQ736)/(1+AL736/100)^B24:B31)+C32*AM736*AP736/(1+AL736/100)^$B$6</f>
        <v/>
      </c>
      <c r="AS736">
        <f>SUMPRODUCT((K24:K26&lt;=$B$6)*(L24:L26*AN736+M24:M26*AO736*$B$8*AQ736)/(1+AL736/100)^K24:K26)+L27*AN736*AP736/(1+AL736/100)^$B$6</f>
        <v/>
      </c>
      <c r="AT736">
        <f>AS736-AR736</f>
        <v/>
      </c>
      <c r="AU736">
        <f>RAND()</f>
        <v/>
      </c>
      <c r="AV736">
        <f>RAND()</f>
        <v/>
      </c>
      <c r="AW736">
        <f>RAND()</f>
        <v/>
      </c>
      <c r="AX736">
        <f>RAND()</f>
        <v/>
      </c>
      <c r="AY736">
        <f>RAND()</f>
        <v/>
      </c>
      <c r="AZ736">
        <f>RAND()</f>
        <v/>
      </c>
    </row>
    <row r="737">
      <c r="AK737" t="n">
        <v>724</v>
      </c>
      <c r="AL737">
        <f>IFERROR(IF(AU737&lt;($AM$6-$AL$6)/($AN$6-$AL$6),$AL$6+SQRT(AU737*($AN$6-$AL$6)*($AM$6-$AL$6)),$AN$6-SQRT((1-AU737)*($AN$6-$AL$6)*($AN$6-$AM$6))),$AM$6)</f>
        <v/>
      </c>
      <c r="AM737">
        <f>IFERROR(IF(AV737&lt;($AM$7-$AL$7)/($AN$7-$AL$7),$AL$7+SQRT(AV737*($AN$7-$AL$7)*($AM$7-$AL$7)),$AN$7-SQRT((1-AV737)*($AN$7-$AL$7)*($AN$7-$AM$7))),$AM$7)</f>
        <v/>
      </c>
      <c r="AN737">
        <f>IFERROR(IF(AW737&lt;($AM$8-$AL$8)/($AN$8-$AL$8),$AL$8+SQRT(AW737*($AN$8-$AL$8)*($AM$8-$AL$8)),$AN$8-SQRT((1-AW737)*($AN$8-$AL$8)*($AN$8-$AM$8))),$AM$8)</f>
        <v/>
      </c>
      <c r="AO737">
        <f>IFERROR(IF(AX737&lt;($AM$9-$AL$9)/($AN$9-$AL$9),$AL$9+SQRT(AX737*($AN$9-$AL$9)*($AM$9-$AL$9)),$AN$9-SQRT((1-AX737)*($AN$9-$AL$9)*($AN$9-$AM$9))),$AM$9)</f>
        <v/>
      </c>
      <c r="AP737">
        <f>IFERROR(IF(AY737&lt;($AM$10-$AL$10)/($AN$10-$AL$10),$AL$10+SQRT(AY737*($AN$10-$AL$10)*($AM$10-$AL$10)),$AN$10-SQRT((1-AY737)*($AN$10-$AL$10)*($AN$10-$AM$10))),$AM$10)</f>
        <v/>
      </c>
      <c r="AQ737">
        <f>IFERROR(IF(AZ737&lt;($AM$11-$AL$11)/($AN$11-$AL$11),$AL$11+SQRT(AZ737*($AN$11-$AL$11)*($AM$11-$AL$11)),$AN$11-SQRT((1-AZ737)*($AN$11-$AL$11)*($AN$11-$AM$11))),$AM$11)</f>
        <v/>
      </c>
      <c r="AR737">
        <f>SUMPRODUCT((B24:B31&lt;=$B$6)*(C24:C31*AM737+D24:D31*AO737*$B$8*AQ737)/(1+AL737/100)^B24:B31)+C32*AM737*AP737/(1+AL737/100)^$B$6</f>
        <v/>
      </c>
      <c r="AS737">
        <f>SUMPRODUCT((K24:K26&lt;=$B$6)*(L24:L26*AN737+M24:M26*AO737*$B$8*AQ737)/(1+AL737/100)^K24:K26)+L27*AN737*AP737/(1+AL737/100)^$B$6</f>
        <v/>
      </c>
      <c r="AT737">
        <f>AS737-AR737</f>
        <v/>
      </c>
      <c r="AU737">
        <f>RAND()</f>
        <v/>
      </c>
      <c r="AV737">
        <f>RAND()</f>
        <v/>
      </c>
      <c r="AW737">
        <f>RAND()</f>
        <v/>
      </c>
      <c r="AX737">
        <f>RAND()</f>
        <v/>
      </c>
      <c r="AY737">
        <f>RAND()</f>
        <v/>
      </c>
      <c r="AZ737">
        <f>RAND()</f>
        <v/>
      </c>
    </row>
    <row r="738">
      <c r="AK738" t="n">
        <v>725</v>
      </c>
      <c r="AL738">
        <f>IFERROR(IF(AU738&lt;($AM$6-$AL$6)/($AN$6-$AL$6),$AL$6+SQRT(AU738*($AN$6-$AL$6)*($AM$6-$AL$6)),$AN$6-SQRT((1-AU738)*($AN$6-$AL$6)*($AN$6-$AM$6))),$AM$6)</f>
        <v/>
      </c>
      <c r="AM738">
        <f>IFERROR(IF(AV738&lt;($AM$7-$AL$7)/($AN$7-$AL$7),$AL$7+SQRT(AV738*($AN$7-$AL$7)*($AM$7-$AL$7)),$AN$7-SQRT((1-AV738)*($AN$7-$AL$7)*($AN$7-$AM$7))),$AM$7)</f>
        <v/>
      </c>
      <c r="AN738">
        <f>IFERROR(IF(AW738&lt;($AM$8-$AL$8)/($AN$8-$AL$8),$AL$8+SQRT(AW738*($AN$8-$AL$8)*($AM$8-$AL$8)),$AN$8-SQRT((1-AW738)*($AN$8-$AL$8)*($AN$8-$AM$8))),$AM$8)</f>
        <v/>
      </c>
      <c r="AO738">
        <f>IFERROR(IF(AX738&lt;($AM$9-$AL$9)/($AN$9-$AL$9),$AL$9+SQRT(AX738*($AN$9-$AL$9)*($AM$9-$AL$9)),$AN$9-SQRT((1-AX738)*($AN$9-$AL$9)*($AN$9-$AM$9))),$AM$9)</f>
        <v/>
      </c>
      <c r="AP738">
        <f>IFERROR(IF(AY738&lt;($AM$10-$AL$10)/($AN$10-$AL$10),$AL$10+SQRT(AY738*($AN$10-$AL$10)*($AM$10-$AL$10)),$AN$10-SQRT((1-AY738)*($AN$10-$AL$10)*($AN$10-$AM$10))),$AM$10)</f>
        <v/>
      </c>
      <c r="AQ738">
        <f>IFERROR(IF(AZ738&lt;($AM$11-$AL$11)/($AN$11-$AL$11),$AL$11+SQRT(AZ738*($AN$11-$AL$11)*($AM$11-$AL$11)),$AN$11-SQRT((1-AZ738)*($AN$11-$AL$11)*($AN$11-$AM$11))),$AM$11)</f>
        <v/>
      </c>
      <c r="AR738">
        <f>SUMPRODUCT((B24:B31&lt;=$B$6)*(C24:C31*AM738+D24:D31*AO738*$B$8*AQ738)/(1+AL738/100)^B24:B31)+C32*AM738*AP738/(1+AL738/100)^$B$6</f>
        <v/>
      </c>
      <c r="AS738">
        <f>SUMPRODUCT((K24:K26&lt;=$B$6)*(L24:L26*AN738+M24:M26*AO738*$B$8*AQ738)/(1+AL738/100)^K24:K26)+L27*AN738*AP738/(1+AL738/100)^$B$6</f>
        <v/>
      </c>
      <c r="AT738">
        <f>AS738-AR738</f>
        <v/>
      </c>
      <c r="AU738">
        <f>RAND()</f>
        <v/>
      </c>
      <c r="AV738">
        <f>RAND()</f>
        <v/>
      </c>
      <c r="AW738">
        <f>RAND()</f>
        <v/>
      </c>
      <c r="AX738">
        <f>RAND()</f>
        <v/>
      </c>
      <c r="AY738">
        <f>RAND()</f>
        <v/>
      </c>
      <c r="AZ738">
        <f>RAND()</f>
        <v/>
      </c>
    </row>
    <row r="739">
      <c r="AK739" t="n">
        <v>726</v>
      </c>
      <c r="AL739">
        <f>IFERROR(IF(AU739&lt;($AM$6-$AL$6)/($AN$6-$AL$6),$AL$6+SQRT(AU739*($AN$6-$AL$6)*($AM$6-$AL$6)),$AN$6-SQRT((1-AU739)*($AN$6-$AL$6)*($AN$6-$AM$6))),$AM$6)</f>
        <v/>
      </c>
      <c r="AM739">
        <f>IFERROR(IF(AV739&lt;($AM$7-$AL$7)/($AN$7-$AL$7),$AL$7+SQRT(AV739*($AN$7-$AL$7)*($AM$7-$AL$7)),$AN$7-SQRT((1-AV739)*($AN$7-$AL$7)*($AN$7-$AM$7))),$AM$7)</f>
        <v/>
      </c>
      <c r="AN739">
        <f>IFERROR(IF(AW739&lt;($AM$8-$AL$8)/($AN$8-$AL$8),$AL$8+SQRT(AW739*($AN$8-$AL$8)*($AM$8-$AL$8)),$AN$8-SQRT((1-AW739)*($AN$8-$AL$8)*($AN$8-$AM$8))),$AM$8)</f>
        <v/>
      </c>
      <c r="AO739">
        <f>IFERROR(IF(AX739&lt;($AM$9-$AL$9)/($AN$9-$AL$9),$AL$9+SQRT(AX739*($AN$9-$AL$9)*($AM$9-$AL$9)),$AN$9-SQRT((1-AX739)*($AN$9-$AL$9)*($AN$9-$AM$9))),$AM$9)</f>
        <v/>
      </c>
      <c r="AP739">
        <f>IFERROR(IF(AY739&lt;($AM$10-$AL$10)/($AN$10-$AL$10),$AL$10+SQRT(AY739*($AN$10-$AL$10)*($AM$10-$AL$10)),$AN$10-SQRT((1-AY739)*($AN$10-$AL$10)*($AN$10-$AM$10))),$AM$10)</f>
        <v/>
      </c>
      <c r="AQ739">
        <f>IFERROR(IF(AZ739&lt;($AM$11-$AL$11)/($AN$11-$AL$11),$AL$11+SQRT(AZ739*($AN$11-$AL$11)*($AM$11-$AL$11)),$AN$11-SQRT((1-AZ739)*($AN$11-$AL$11)*($AN$11-$AM$11))),$AM$11)</f>
        <v/>
      </c>
      <c r="AR739">
        <f>SUMPRODUCT((B24:B31&lt;=$B$6)*(C24:C31*AM739+D24:D31*AO739*$B$8*AQ739)/(1+AL739/100)^B24:B31)+C32*AM739*AP739/(1+AL739/100)^$B$6</f>
        <v/>
      </c>
      <c r="AS739">
        <f>SUMPRODUCT((K24:K26&lt;=$B$6)*(L24:L26*AN739+M24:M26*AO739*$B$8*AQ739)/(1+AL739/100)^K24:K26)+L27*AN739*AP739/(1+AL739/100)^$B$6</f>
        <v/>
      </c>
      <c r="AT739">
        <f>AS739-AR739</f>
        <v/>
      </c>
      <c r="AU739">
        <f>RAND()</f>
        <v/>
      </c>
      <c r="AV739">
        <f>RAND()</f>
        <v/>
      </c>
      <c r="AW739">
        <f>RAND()</f>
        <v/>
      </c>
      <c r="AX739">
        <f>RAND()</f>
        <v/>
      </c>
      <c r="AY739">
        <f>RAND()</f>
        <v/>
      </c>
      <c r="AZ739">
        <f>RAND()</f>
        <v/>
      </c>
    </row>
    <row r="740">
      <c r="AK740" t="n">
        <v>727</v>
      </c>
      <c r="AL740">
        <f>IFERROR(IF(AU740&lt;($AM$6-$AL$6)/($AN$6-$AL$6),$AL$6+SQRT(AU740*($AN$6-$AL$6)*($AM$6-$AL$6)),$AN$6-SQRT((1-AU740)*($AN$6-$AL$6)*($AN$6-$AM$6))),$AM$6)</f>
        <v/>
      </c>
      <c r="AM740">
        <f>IFERROR(IF(AV740&lt;($AM$7-$AL$7)/($AN$7-$AL$7),$AL$7+SQRT(AV740*($AN$7-$AL$7)*($AM$7-$AL$7)),$AN$7-SQRT((1-AV740)*($AN$7-$AL$7)*($AN$7-$AM$7))),$AM$7)</f>
        <v/>
      </c>
      <c r="AN740">
        <f>IFERROR(IF(AW740&lt;($AM$8-$AL$8)/($AN$8-$AL$8),$AL$8+SQRT(AW740*($AN$8-$AL$8)*($AM$8-$AL$8)),$AN$8-SQRT((1-AW740)*($AN$8-$AL$8)*($AN$8-$AM$8))),$AM$8)</f>
        <v/>
      </c>
      <c r="AO740">
        <f>IFERROR(IF(AX740&lt;($AM$9-$AL$9)/($AN$9-$AL$9),$AL$9+SQRT(AX740*($AN$9-$AL$9)*($AM$9-$AL$9)),$AN$9-SQRT((1-AX740)*($AN$9-$AL$9)*($AN$9-$AM$9))),$AM$9)</f>
        <v/>
      </c>
      <c r="AP740">
        <f>IFERROR(IF(AY740&lt;($AM$10-$AL$10)/($AN$10-$AL$10),$AL$10+SQRT(AY740*($AN$10-$AL$10)*($AM$10-$AL$10)),$AN$10-SQRT((1-AY740)*($AN$10-$AL$10)*($AN$10-$AM$10))),$AM$10)</f>
        <v/>
      </c>
      <c r="AQ740">
        <f>IFERROR(IF(AZ740&lt;($AM$11-$AL$11)/($AN$11-$AL$11),$AL$11+SQRT(AZ740*($AN$11-$AL$11)*($AM$11-$AL$11)),$AN$11-SQRT((1-AZ740)*($AN$11-$AL$11)*($AN$11-$AM$11))),$AM$11)</f>
        <v/>
      </c>
      <c r="AR740">
        <f>SUMPRODUCT((B24:B31&lt;=$B$6)*(C24:C31*AM740+D24:D31*AO740*$B$8*AQ740)/(1+AL740/100)^B24:B31)+C32*AM740*AP740/(1+AL740/100)^$B$6</f>
        <v/>
      </c>
      <c r="AS740">
        <f>SUMPRODUCT((K24:K26&lt;=$B$6)*(L24:L26*AN740+M24:M26*AO740*$B$8*AQ740)/(1+AL740/100)^K24:K26)+L27*AN740*AP740/(1+AL740/100)^$B$6</f>
        <v/>
      </c>
      <c r="AT740">
        <f>AS740-AR740</f>
        <v/>
      </c>
      <c r="AU740">
        <f>RAND()</f>
        <v/>
      </c>
      <c r="AV740">
        <f>RAND()</f>
        <v/>
      </c>
      <c r="AW740">
        <f>RAND()</f>
        <v/>
      </c>
      <c r="AX740">
        <f>RAND()</f>
        <v/>
      </c>
      <c r="AY740">
        <f>RAND()</f>
        <v/>
      </c>
      <c r="AZ740">
        <f>RAND()</f>
        <v/>
      </c>
    </row>
    <row r="741">
      <c r="AK741" t="n">
        <v>728</v>
      </c>
      <c r="AL741">
        <f>IFERROR(IF(AU741&lt;($AM$6-$AL$6)/($AN$6-$AL$6),$AL$6+SQRT(AU741*($AN$6-$AL$6)*($AM$6-$AL$6)),$AN$6-SQRT((1-AU741)*($AN$6-$AL$6)*($AN$6-$AM$6))),$AM$6)</f>
        <v/>
      </c>
      <c r="AM741">
        <f>IFERROR(IF(AV741&lt;($AM$7-$AL$7)/($AN$7-$AL$7),$AL$7+SQRT(AV741*($AN$7-$AL$7)*($AM$7-$AL$7)),$AN$7-SQRT((1-AV741)*($AN$7-$AL$7)*($AN$7-$AM$7))),$AM$7)</f>
        <v/>
      </c>
      <c r="AN741">
        <f>IFERROR(IF(AW741&lt;($AM$8-$AL$8)/($AN$8-$AL$8),$AL$8+SQRT(AW741*($AN$8-$AL$8)*($AM$8-$AL$8)),$AN$8-SQRT((1-AW741)*($AN$8-$AL$8)*($AN$8-$AM$8))),$AM$8)</f>
        <v/>
      </c>
      <c r="AO741">
        <f>IFERROR(IF(AX741&lt;($AM$9-$AL$9)/($AN$9-$AL$9),$AL$9+SQRT(AX741*($AN$9-$AL$9)*($AM$9-$AL$9)),$AN$9-SQRT((1-AX741)*($AN$9-$AL$9)*($AN$9-$AM$9))),$AM$9)</f>
        <v/>
      </c>
      <c r="AP741">
        <f>IFERROR(IF(AY741&lt;($AM$10-$AL$10)/($AN$10-$AL$10),$AL$10+SQRT(AY741*($AN$10-$AL$10)*($AM$10-$AL$10)),$AN$10-SQRT((1-AY741)*($AN$10-$AL$10)*($AN$10-$AM$10))),$AM$10)</f>
        <v/>
      </c>
      <c r="AQ741">
        <f>IFERROR(IF(AZ741&lt;($AM$11-$AL$11)/($AN$11-$AL$11),$AL$11+SQRT(AZ741*($AN$11-$AL$11)*($AM$11-$AL$11)),$AN$11-SQRT((1-AZ741)*($AN$11-$AL$11)*($AN$11-$AM$11))),$AM$11)</f>
        <v/>
      </c>
      <c r="AR741">
        <f>SUMPRODUCT((B24:B31&lt;=$B$6)*(C24:C31*AM741+D24:D31*AO741*$B$8*AQ741)/(1+AL741/100)^B24:B31)+C32*AM741*AP741/(1+AL741/100)^$B$6</f>
        <v/>
      </c>
      <c r="AS741">
        <f>SUMPRODUCT((K24:K26&lt;=$B$6)*(L24:L26*AN741+M24:M26*AO741*$B$8*AQ741)/(1+AL741/100)^K24:K26)+L27*AN741*AP741/(1+AL741/100)^$B$6</f>
        <v/>
      </c>
      <c r="AT741">
        <f>AS741-AR741</f>
        <v/>
      </c>
      <c r="AU741">
        <f>RAND()</f>
        <v/>
      </c>
      <c r="AV741">
        <f>RAND()</f>
        <v/>
      </c>
      <c r="AW741">
        <f>RAND()</f>
        <v/>
      </c>
      <c r="AX741">
        <f>RAND()</f>
        <v/>
      </c>
      <c r="AY741">
        <f>RAND()</f>
        <v/>
      </c>
      <c r="AZ741">
        <f>RAND()</f>
        <v/>
      </c>
    </row>
    <row r="742">
      <c r="AK742" t="n">
        <v>729</v>
      </c>
      <c r="AL742">
        <f>IFERROR(IF(AU742&lt;($AM$6-$AL$6)/($AN$6-$AL$6),$AL$6+SQRT(AU742*($AN$6-$AL$6)*($AM$6-$AL$6)),$AN$6-SQRT((1-AU742)*($AN$6-$AL$6)*($AN$6-$AM$6))),$AM$6)</f>
        <v/>
      </c>
      <c r="AM742">
        <f>IFERROR(IF(AV742&lt;($AM$7-$AL$7)/($AN$7-$AL$7),$AL$7+SQRT(AV742*($AN$7-$AL$7)*($AM$7-$AL$7)),$AN$7-SQRT((1-AV742)*($AN$7-$AL$7)*($AN$7-$AM$7))),$AM$7)</f>
        <v/>
      </c>
      <c r="AN742">
        <f>IFERROR(IF(AW742&lt;($AM$8-$AL$8)/($AN$8-$AL$8),$AL$8+SQRT(AW742*($AN$8-$AL$8)*($AM$8-$AL$8)),$AN$8-SQRT((1-AW742)*($AN$8-$AL$8)*($AN$8-$AM$8))),$AM$8)</f>
        <v/>
      </c>
      <c r="AO742">
        <f>IFERROR(IF(AX742&lt;($AM$9-$AL$9)/($AN$9-$AL$9),$AL$9+SQRT(AX742*($AN$9-$AL$9)*($AM$9-$AL$9)),$AN$9-SQRT((1-AX742)*($AN$9-$AL$9)*($AN$9-$AM$9))),$AM$9)</f>
        <v/>
      </c>
      <c r="AP742">
        <f>IFERROR(IF(AY742&lt;($AM$10-$AL$10)/($AN$10-$AL$10),$AL$10+SQRT(AY742*($AN$10-$AL$10)*($AM$10-$AL$10)),$AN$10-SQRT((1-AY742)*($AN$10-$AL$10)*($AN$10-$AM$10))),$AM$10)</f>
        <v/>
      </c>
      <c r="AQ742">
        <f>IFERROR(IF(AZ742&lt;($AM$11-$AL$11)/($AN$11-$AL$11),$AL$11+SQRT(AZ742*($AN$11-$AL$11)*($AM$11-$AL$11)),$AN$11-SQRT((1-AZ742)*($AN$11-$AL$11)*($AN$11-$AM$11))),$AM$11)</f>
        <v/>
      </c>
      <c r="AR742">
        <f>SUMPRODUCT((B24:B31&lt;=$B$6)*(C24:C31*AM742+D24:D31*AO742*$B$8*AQ742)/(1+AL742/100)^B24:B31)+C32*AM742*AP742/(1+AL742/100)^$B$6</f>
        <v/>
      </c>
      <c r="AS742">
        <f>SUMPRODUCT((K24:K26&lt;=$B$6)*(L24:L26*AN742+M24:M26*AO742*$B$8*AQ742)/(1+AL742/100)^K24:K26)+L27*AN742*AP742/(1+AL742/100)^$B$6</f>
        <v/>
      </c>
      <c r="AT742">
        <f>AS742-AR742</f>
        <v/>
      </c>
      <c r="AU742">
        <f>RAND()</f>
        <v/>
      </c>
      <c r="AV742">
        <f>RAND()</f>
        <v/>
      </c>
      <c r="AW742">
        <f>RAND()</f>
        <v/>
      </c>
      <c r="AX742">
        <f>RAND()</f>
        <v/>
      </c>
      <c r="AY742">
        <f>RAND()</f>
        <v/>
      </c>
      <c r="AZ742">
        <f>RAND()</f>
        <v/>
      </c>
    </row>
    <row r="743">
      <c r="AK743" t="n">
        <v>730</v>
      </c>
      <c r="AL743">
        <f>IFERROR(IF(AU743&lt;($AM$6-$AL$6)/($AN$6-$AL$6),$AL$6+SQRT(AU743*($AN$6-$AL$6)*($AM$6-$AL$6)),$AN$6-SQRT((1-AU743)*($AN$6-$AL$6)*($AN$6-$AM$6))),$AM$6)</f>
        <v/>
      </c>
      <c r="AM743">
        <f>IFERROR(IF(AV743&lt;($AM$7-$AL$7)/($AN$7-$AL$7),$AL$7+SQRT(AV743*($AN$7-$AL$7)*($AM$7-$AL$7)),$AN$7-SQRT((1-AV743)*($AN$7-$AL$7)*($AN$7-$AM$7))),$AM$7)</f>
        <v/>
      </c>
      <c r="AN743">
        <f>IFERROR(IF(AW743&lt;($AM$8-$AL$8)/($AN$8-$AL$8),$AL$8+SQRT(AW743*($AN$8-$AL$8)*($AM$8-$AL$8)),$AN$8-SQRT((1-AW743)*($AN$8-$AL$8)*($AN$8-$AM$8))),$AM$8)</f>
        <v/>
      </c>
      <c r="AO743">
        <f>IFERROR(IF(AX743&lt;($AM$9-$AL$9)/($AN$9-$AL$9),$AL$9+SQRT(AX743*($AN$9-$AL$9)*($AM$9-$AL$9)),$AN$9-SQRT((1-AX743)*($AN$9-$AL$9)*($AN$9-$AM$9))),$AM$9)</f>
        <v/>
      </c>
      <c r="AP743">
        <f>IFERROR(IF(AY743&lt;($AM$10-$AL$10)/($AN$10-$AL$10),$AL$10+SQRT(AY743*($AN$10-$AL$10)*($AM$10-$AL$10)),$AN$10-SQRT((1-AY743)*($AN$10-$AL$10)*($AN$10-$AM$10))),$AM$10)</f>
        <v/>
      </c>
      <c r="AQ743">
        <f>IFERROR(IF(AZ743&lt;($AM$11-$AL$11)/($AN$11-$AL$11),$AL$11+SQRT(AZ743*($AN$11-$AL$11)*($AM$11-$AL$11)),$AN$11-SQRT((1-AZ743)*($AN$11-$AL$11)*($AN$11-$AM$11))),$AM$11)</f>
        <v/>
      </c>
      <c r="AR743">
        <f>SUMPRODUCT((B24:B31&lt;=$B$6)*(C24:C31*AM743+D24:D31*AO743*$B$8*AQ743)/(1+AL743/100)^B24:B31)+C32*AM743*AP743/(1+AL743/100)^$B$6</f>
        <v/>
      </c>
      <c r="AS743">
        <f>SUMPRODUCT((K24:K26&lt;=$B$6)*(L24:L26*AN743+M24:M26*AO743*$B$8*AQ743)/(1+AL743/100)^K24:K26)+L27*AN743*AP743/(1+AL743/100)^$B$6</f>
        <v/>
      </c>
      <c r="AT743">
        <f>AS743-AR743</f>
        <v/>
      </c>
      <c r="AU743">
        <f>RAND()</f>
        <v/>
      </c>
      <c r="AV743">
        <f>RAND()</f>
        <v/>
      </c>
      <c r="AW743">
        <f>RAND()</f>
        <v/>
      </c>
      <c r="AX743">
        <f>RAND()</f>
        <v/>
      </c>
      <c r="AY743">
        <f>RAND()</f>
        <v/>
      </c>
      <c r="AZ743">
        <f>RAND()</f>
        <v/>
      </c>
    </row>
    <row r="744">
      <c r="AK744" t="n">
        <v>731</v>
      </c>
      <c r="AL744">
        <f>IFERROR(IF(AU744&lt;($AM$6-$AL$6)/($AN$6-$AL$6),$AL$6+SQRT(AU744*($AN$6-$AL$6)*($AM$6-$AL$6)),$AN$6-SQRT((1-AU744)*($AN$6-$AL$6)*($AN$6-$AM$6))),$AM$6)</f>
        <v/>
      </c>
      <c r="AM744">
        <f>IFERROR(IF(AV744&lt;($AM$7-$AL$7)/($AN$7-$AL$7),$AL$7+SQRT(AV744*($AN$7-$AL$7)*($AM$7-$AL$7)),$AN$7-SQRT((1-AV744)*($AN$7-$AL$7)*($AN$7-$AM$7))),$AM$7)</f>
        <v/>
      </c>
      <c r="AN744">
        <f>IFERROR(IF(AW744&lt;($AM$8-$AL$8)/($AN$8-$AL$8),$AL$8+SQRT(AW744*($AN$8-$AL$8)*($AM$8-$AL$8)),$AN$8-SQRT((1-AW744)*($AN$8-$AL$8)*($AN$8-$AM$8))),$AM$8)</f>
        <v/>
      </c>
      <c r="AO744">
        <f>IFERROR(IF(AX744&lt;($AM$9-$AL$9)/($AN$9-$AL$9),$AL$9+SQRT(AX744*($AN$9-$AL$9)*($AM$9-$AL$9)),$AN$9-SQRT((1-AX744)*($AN$9-$AL$9)*($AN$9-$AM$9))),$AM$9)</f>
        <v/>
      </c>
      <c r="AP744">
        <f>IFERROR(IF(AY744&lt;($AM$10-$AL$10)/($AN$10-$AL$10),$AL$10+SQRT(AY744*($AN$10-$AL$10)*($AM$10-$AL$10)),$AN$10-SQRT((1-AY744)*($AN$10-$AL$10)*($AN$10-$AM$10))),$AM$10)</f>
        <v/>
      </c>
      <c r="AQ744">
        <f>IFERROR(IF(AZ744&lt;($AM$11-$AL$11)/($AN$11-$AL$11),$AL$11+SQRT(AZ744*($AN$11-$AL$11)*($AM$11-$AL$11)),$AN$11-SQRT((1-AZ744)*($AN$11-$AL$11)*($AN$11-$AM$11))),$AM$11)</f>
        <v/>
      </c>
      <c r="AR744">
        <f>SUMPRODUCT((B24:B31&lt;=$B$6)*(C24:C31*AM744+D24:D31*AO744*$B$8*AQ744)/(1+AL744/100)^B24:B31)+C32*AM744*AP744/(1+AL744/100)^$B$6</f>
        <v/>
      </c>
      <c r="AS744">
        <f>SUMPRODUCT((K24:K26&lt;=$B$6)*(L24:L26*AN744+M24:M26*AO744*$B$8*AQ744)/(1+AL744/100)^K24:K26)+L27*AN744*AP744/(1+AL744/100)^$B$6</f>
        <v/>
      </c>
      <c r="AT744">
        <f>AS744-AR744</f>
        <v/>
      </c>
      <c r="AU744">
        <f>RAND()</f>
        <v/>
      </c>
      <c r="AV744">
        <f>RAND()</f>
        <v/>
      </c>
      <c r="AW744">
        <f>RAND()</f>
        <v/>
      </c>
      <c r="AX744">
        <f>RAND()</f>
        <v/>
      </c>
      <c r="AY744">
        <f>RAND()</f>
        <v/>
      </c>
      <c r="AZ744">
        <f>RAND()</f>
        <v/>
      </c>
    </row>
    <row r="745">
      <c r="AK745" t="n">
        <v>732</v>
      </c>
      <c r="AL745">
        <f>IFERROR(IF(AU745&lt;($AM$6-$AL$6)/($AN$6-$AL$6),$AL$6+SQRT(AU745*($AN$6-$AL$6)*($AM$6-$AL$6)),$AN$6-SQRT((1-AU745)*($AN$6-$AL$6)*($AN$6-$AM$6))),$AM$6)</f>
        <v/>
      </c>
      <c r="AM745">
        <f>IFERROR(IF(AV745&lt;($AM$7-$AL$7)/($AN$7-$AL$7),$AL$7+SQRT(AV745*($AN$7-$AL$7)*($AM$7-$AL$7)),$AN$7-SQRT((1-AV745)*($AN$7-$AL$7)*($AN$7-$AM$7))),$AM$7)</f>
        <v/>
      </c>
      <c r="AN745">
        <f>IFERROR(IF(AW745&lt;($AM$8-$AL$8)/($AN$8-$AL$8),$AL$8+SQRT(AW745*($AN$8-$AL$8)*($AM$8-$AL$8)),$AN$8-SQRT((1-AW745)*($AN$8-$AL$8)*($AN$8-$AM$8))),$AM$8)</f>
        <v/>
      </c>
      <c r="AO745">
        <f>IFERROR(IF(AX745&lt;($AM$9-$AL$9)/($AN$9-$AL$9),$AL$9+SQRT(AX745*($AN$9-$AL$9)*($AM$9-$AL$9)),$AN$9-SQRT((1-AX745)*($AN$9-$AL$9)*($AN$9-$AM$9))),$AM$9)</f>
        <v/>
      </c>
      <c r="AP745">
        <f>IFERROR(IF(AY745&lt;($AM$10-$AL$10)/($AN$10-$AL$10),$AL$10+SQRT(AY745*($AN$10-$AL$10)*($AM$10-$AL$10)),$AN$10-SQRT((1-AY745)*($AN$10-$AL$10)*($AN$10-$AM$10))),$AM$10)</f>
        <v/>
      </c>
      <c r="AQ745">
        <f>IFERROR(IF(AZ745&lt;($AM$11-$AL$11)/($AN$11-$AL$11),$AL$11+SQRT(AZ745*($AN$11-$AL$11)*($AM$11-$AL$11)),$AN$11-SQRT((1-AZ745)*($AN$11-$AL$11)*($AN$11-$AM$11))),$AM$11)</f>
        <v/>
      </c>
      <c r="AR745">
        <f>SUMPRODUCT((B24:B31&lt;=$B$6)*(C24:C31*AM745+D24:D31*AO745*$B$8*AQ745)/(1+AL745/100)^B24:B31)+C32*AM745*AP745/(1+AL745/100)^$B$6</f>
        <v/>
      </c>
      <c r="AS745">
        <f>SUMPRODUCT((K24:K26&lt;=$B$6)*(L24:L26*AN745+M24:M26*AO745*$B$8*AQ745)/(1+AL745/100)^K24:K26)+L27*AN745*AP745/(1+AL745/100)^$B$6</f>
        <v/>
      </c>
      <c r="AT745">
        <f>AS745-AR745</f>
        <v/>
      </c>
      <c r="AU745">
        <f>RAND()</f>
        <v/>
      </c>
      <c r="AV745">
        <f>RAND()</f>
        <v/>
      </c>
      <c r="AW745">
        <f>RAND()</f>
        <v/>
      </c>
      <c r="AX745">
        <f>RAND()</f>
        <v/>
      </c>
      <c r="AY745">
        <f>RAND()</f>
        <v/>
      </c>
      <c r="AZ745">
        <f>RAND()</f>
        <v/>
      </c>
    </row>
    <row r="746">
      <c r="AK746" t="n">
        <v>733</v>
      </c>
      <c r="AL746">
        <f>IFERROR(IF(AU746&lt;($AM$6-$AL$6)/($AN$6-$AL$6),$AL$6+SQRT(AU746*($AN$6-$AL$6)*($AM$6-$AL$6)),$AN$6-SQRT((1-AU746)*($AN$6-$AL$6)*($AN$6-$AM$6))),$AM$6)</f>
        <v/>
      </c>
      <c r="AM746">
        <f>IFERROR(IF(AV746&lt;($AM$7-$AL$7)/($AN$7-$AL$7),$AL$7+SQRT(AV746*($AN$7-$AL$7)*($AM$7-$AL$7)),$AN$7-SQRT((1-AV746)*($AN$7-$AL$7)*($AN$7-$AM$7))),$AM$7)</f>
        <v/>
      </c>
      <c r="AN746">
        <f>IFERROR(IF(AW746&lt;($AM$8-$AL$8)/($AN$8-$AL$8),$AL$8+SQRT(AW746*($AN$8-$AL$8)*($AM$8-$AL$8)),$AN$8-SQRT((1-AW746)*($AN$8-$AL$8)*($AN$8-$AM$8))),$AM$8)</f>
        <v/>
      </c>
      <c r="AO746">
        <f>IFERROR(IF(AX746&lt;($AM$9-$AL$9)/($AN$9-$AL$9),$AL$9+SQRT(AX746*($AN$9-$AL$9)*($AM$9-$AL$9)),$AN$9-SQRT((1-AX746)*($AN$9-$AL$9)*($AN$9-$AM$9))),$AM$9)</f>
        <v/>
      </c>
      <c r="AP746">
        <f>IFERROR(IF(AY746&lt;($AM$10-$AL$10)/($AN$10-$AL$10),$AL$10+SQRT(AY746*($AN$10-$AL$10)*($AM$10-$AL$10)),$AN$10-SQRT((1-AY746)*($AN$10-$AL$10)*($AN$10-$AM$10))),$AM$10)</f>
        <v/>
      </c>
      <c r="AQ746">
        <f>IFERROR(IF(AZ746&lt;($AM$11-$AL$11)/($AN$11-$AL$11),$AL$11+SQRT(AZ746*($AN$11-$AL$11)*($AM$11-$AL$11)),$AN$11-SQRT((1-AZ746)*($AN$11-$AL$11)*($AN$11-$AM$11))),$AM$11)</f>
        <v/>
      </c>
      <c r="AR746">
        <f>SUMPRODUCT((B24:B31&lt;=$B$6)*(C24:C31*AM746+D24:D31*AO746*$B$8*AQ746)/(1+AL746/100)^B24:B31)+C32*AM746*AP746/(1+AL746/100)^$B$6</f>
        <v/>
      </c>
      <c r="AS746">
        <f>SUMPRODUCT((K24:K26&lt;=$B$6)*(L24:L26*AN746+M24:M26*AO746*$B$8*AQ746)/(1+AL746/100)^K24:K26)+L27*AN746*AP746/(1+AL746/100)^$B$6</f>
        <v/>
      </c>
      <c r="AT746">
        <f>AS746-AR746</f>
        <v/>
      </c>
      <c r="AU746">
        <f>RAND()</f>
        <v/>
      </c>
      <c r="AV746">
        <f>RAND()</f>
        <v/>
      </c>
      <c r="AW746">
        <f>RAND()</f>
        <v/>
      </c>
      <c r="AX746">
        <f>RAND()</f>
        <v/>
      </c>
      <c r="AY746">
        <f>RAND()</f>
        <v/>
      </c>
      <c r="AZ746">
        <f>RAND()</f>
        <v/>
      </c>
    </row>
    <row r="747">
      <c r="AK747" t="n">
        <v>734</v>
      </c>
      <c r="AL747">
        <f>IFERROR(IF(AU747&lt;($AM$6-$AL$6)/($AN$6-$AL$6),$AL$6+SQRT(AU747*($AN$6-$AL$6)*($AM$6-$AL$6)),$AN$6-SQRT((1-AU747)*($AN$6-$AL$6)*($AN$6-$AM$6))),$AM$6)</f>
        <v/>
      </c>
      <c r="AM747">
        <f>IFERROR(IF(AV747&lt;($AM$7-$AL$7)/($AN$7-$AL$7),$AL$7+SQRT(AV747*($AN$7-$AL$7)*($AM$7-$AL$7)),$AN$7-SQRT((1-AV747)*($AN$7-$AL$7)*($AN$7-$AM$7))),$AM$7)</f>
        <v/>
      </c>
      <c r="AN747">
        <f>IFERROR(IF(AW747&lt;($AM$8-$AL$8)/($AN$8-$AL$8),$AL$8+SQRT(AW747*($AN$8-$AL$8)*($AM$8-$AL$8)),$AN$8-SQRT((1-AW747)*($AN$8-$AL$8)*($AN$8-$AM$8))),$AM$8)</f>
        <v/>
      </c>
      <c r="AO747">
        <f>IFERROR(IF(AX747&lt;($AM$9-$AL$9)/($AN$9-$AL$9),$AL$9+SQRT(AX747*($AN$9-$AL$9)*($AM$9-$AL$9)),$AN$9-SQRT((1-AX747)*($AN$9-$AL$9)*($AN$9-$AM$9))),$AM$9)</f>
        <v/>
      </c>
      <c r="AP747">
        <f>IFERROR(IF(AY747&lt;($AM$10-$AL$10)/($AN$10-$AL$10),$AL$10+SQRT(AY747*($AN$10-$AL$10)*($AM$10-$AL$10)),$AN$10-SQRT((1-AY747)*($AN$10-$AL$10)*($AN$10-$AM$10))),$AM$10)</f>
        <v/>
      </c>
      <c r="AQ747">
        <f>IFERROR(IF(AZ747&lt;($AM$11-$AL$11)/($AN$11-$AL$11),$AL$11+SQRT(AZ747*($AN$11-$AL$11)*($AM$11-$AL$11)),$AN$11-SQRT((1-AZ747)*($AN$11-$AL$11)*($AN$11-$AM$11))),$AM$11)</f>
        <v/>
      </c>
      <c r="AR747">
        <f>SUMPRODUCT((B24:B31&lt;=$B$6)*(C24:C31*AM747+D24:D31*AO747*$B$8*AQ747)/(1+AL747/100)^B24:B31)+C32*AM747*AP747/(1+AL747/100)^$B$6</f>
        <v/>
      </c>
      <c r="AS747">
        <f>SUMPRODUCT((K24:K26&lt;=$B$6)*(L24:L26*AN747+M24:M26*AO747*$B$8*AQ747)/(1+AL747/100)^K24:K26)+L27*AN747*AP747/(1+AL747/100)^$B$6</f>
        <v/>
      </c>
      <c r="AT747">
        <f>AS747-AR747</f>
        <v/>
      </c>
      <c r="AU747">
        <f>RAND()</f>
        <v/>
      </c>
      <c r="AV747">
        <f>RAND()</f>
        <v/>
      </c>
      <c r="AW747">
        <f>RAND()</f>
        <v/>
      </c>
      <c r="AX747">
        <f>RAND()</f>
        <v/>
      </c>
      <c r="AY747">
        <f>RAND()</f>
        <v/>
      </c>
      <c r="AZ747">
        <f>RAND()</f>
        <v/>
      </c>
    </row>
    <row r="748">
      <c r="AK748" t="n">
        <v>735</v>
      </c>
      <c r="AL748">
        <f>IFERROR(IF(AU748&lt;($AM$6-$AL$6)/($AN$6-$AL$6),$AL$6+SQRT(AU748*($AN$6-$AL$6)*($AM$6-$AL$6)),$AN$6-SQRT((1-AU748)*($AN$6-$AL$6)*($AN$6-$AM$6))),$AM$6)</f>
        <v/>
      </c>
      <c r="AM748">
        <f>IFERROR(IF(AV748&lt;($AM$7-$AL$7)/($AN$7-$AL$7),$AL$7+SQRT(AV748*($AN$7-$AL$7)*($AM$7-$AL$7)),$AN$7-SQRT((1-AV748)*($AN$7-$AL$7)*($AN$7-$AM$7))),$AM$7)</f>
        <v/>
      </c>
      <c r="AN748">
        <f>IFERROR(IF(AW748&lt;($AM$8-$AL$8)/($AN$8-$AL$8),$AL$8+SQRT(AW748*($AN$8-$AL$8)*($AM$8-$AL$8)),$AN$8-SQRT((1-AW748)*($AN$8-$AL$8)*($AN$8-$AM$8))),$AM$8)</f>
        <v/>
      </c>
      <c r="AO748">
        <f>IFERROR(IF(AX748&lt;($AM$9-$AL$9)/($AN$9-$AL$9),$AL$9+SQRT(AX748*($AN$9-$AL$9)*($AM$9-$AL$9)),$AN$9-SQRT((1-AX748)*($AN$9-$AL$9)*($AN$9-$AM$9))),$AM$9)</f>
        <v/>
      </c>
      <c r="AP748">
        <f>IFERROR(IF(AY748&lt;($AM$10-$AL$10)/($AN$10-$AL$10),$AL$10+SQRT(AY748*($AN$10-$AL$10)*($AM$10-$AL$10)),$AN$10-SQRT((1-AY748)*($AN$10-$AL$10)*($AN$10-$AM$10))),$AM$10)</f>
        <v/>
      </c>
      <c r="AQ748">
        <f>IFERROR(IF(AZ748&lt;($AM$11-$AL$11)/($AN$11-$AL$11),$AL$11+SQRT(AZ748*($AN$11-$AL$11)*($AM$11-$AL$11)),$AN$11-SQRT((1-AZ748)*($AN$11-$AL$11)*($AN$11-$AM$11))),$AM$11)</f>
        <v/>
      </c>
      <c r="AR748">
        <f>SUMPRODUCT((B24:B31&lt;=$B$6)*(C24:C31*AM748+D24:D31*AO748*$B$8*AQ748)/(1+AL748/100)^B24:B31)+C32*AM748*AP748/(1+AL748/100)^$B$6</f>
        <v/>
      </c>
      <c r="AS748">
        <f>SUMPRODUCT((K24:K26&lt;=$B$6)*(L24:L26*AN748+M24:M26*AO748*$B$8*AQ748)/(1+AL748/100)^K24:K26)+L27*AN748*AP748/(1+AL748/100)^$B$6</f>
        <v/>
      </c>
      <c r="AT748">
        <f>AS748-AR748</f>
        <v/>
      </c>
      <c r="AU748">
        <f>RAND()</f>
        <v/>
      </c>
      <c r="AV748">
        <f>RAND()</f>
        <v/>
      </c>
      <c r="AW748">
        <f>RAND()</f>
        <v/>
      </c>
      <c r="AX748">
        <f>RAND()</f>
        <v/>
      </c>
      <c r="AY748">
        <f>RAND()</f>
        <v/>
      </c>
      <c r="AZ748">
        <f>RAND()</f>
        <v/>
      </c>
    </row>
    <row r="749">
      <c r="AK749" t="n">
        <v>736</v>
      </c>
      <c r="AL749">
        <f>IFERROR(IF(AU749&lt;($AM$6-$AL$6)/($AN$6-$AL$6),$AL$6+SQRT(AU749*($AN$6-$AL$6)*($AM$6-$AL$6)),$AN$6-SQRT((1-AU749)*($AN$6-$AL$6)*($AN$6-$AM$6))),$AM$6)</f>
        <v/>
      </c>
      <c r="AM749">
        <f>IFERROR(IF(AV749&lt;($AM$7-$AL$7)/($AN$7-$AL$7),$AL$7+SQRT(AV749*($AN$7-$AL$7)*($AM$7-$AL$7)),$AN$7-SQRT((1-AV749)*($AN$7-$AL$7)*($AN$7-$AM$7))),$AM$7)</f>
        <v/>
      </c>
      <c r="AN749">
        <f>IFERROR(IF(AW749&lt;($AM$8-$AL$8)/($AN$8-$AL$8),$AL$8+SQRT(AW749*($AN$8-$AL$8)*($AM$8-$AL$8)),$AN$8-SQRT((1-AW749)*($AN$8-$AL$8)*($AN$8-$AM$8))),$AM$8)</f>
        <v/>
      </c>
      <c r="AO749">
        <f>IFERROR(IF(AX749&lt;($AM$9-$AL$9)/($AN$9-$AL$9),$AL$9+SQRT(AX749*($AN$9-$AL$9)*($AM$9-$AL$9)),$AN$9-SQRT((1-AX749)*($AN$9-$AL$9)*($AN$9-$AM$9))),$AM$9)</f>
        <v/>
      </c>
      <c r="AP749">
        <f>IFERROR(IF(AY749&lt;($AM$10-$AL$10)/($AN$10-$AL$10),$AL$10+SQRT(AY749*($AN$10-$AL$10)*($AM$10-$AL$10)),$AN$10-SQRT((1-AY749)*($AN$10-$AL$10)*($AN$10-$AM$10))),$AM$10)</f>
        <v/>
      </c>
      <c r="AQ749">
        <f>IFERROR(IF(AZ749&lt;($AM$11-$AL$11)/($AN$11-$AL$11),$AL$11+SQRT(AZ749*($AN$11-$AL$11)*($AM$11-$AL$11)),$AN$11-SQRT((1-AZ749)*($AN$11-$AL$11)*($AN$11-$AM$11))),$AM$11)</f>
        <v/>
      </c>
      <c r="AR749">
        <f>SUMPRODUCT((B24:B31&lt;=$B$6)*(C24:C31*AM749+D24:D31*AO749*$B$8*AQ749)/(1+AL749/100)^B24:B31)+C32*AM749*AP749/(1+AL749/100)^$B$6</f>
        <v/>
      </c>
      <c r="AS749">
        <f>SUMPRODUCT((K24:K26&lt;=$B$6)*(L24:L26*AN749+M24:M26*AO749*$B$8*AQ749)/(1+AL749/100)^K24:K26)+L27*AN749*AP749/(1+AL749/100)^$B$6</f>
        <v/>
      </c>
      <c r="AT749">
        <f>AS749-AR749</f>
        <v/>
      </c>
      <c r="AU749">
        <f>RAND()</f>
        <v/>
      </c>
      <c r="AV749">
        <f>RAND()</f>
        <v/>
      </c>
      <c r="AW749">
        <f>RAND()</f>
        <v/>
      </c>
      <c r="AX749">
        <f>RAND()</f>
        <v/>
      </c>
      <c r="AY749">
        <f>RAND()</f>
        <v/>
      </c>
      <c r="AZ749">
        <f>RAND()</f>
        <v/>
      </c>
    </row>
    <row r="750">
      <c r="AK750" t="n">
        <v>737</v>
      </c>
      <c r="AL750">
        <f>IFERROR(IF(AU750&lt;($AM$6-$AL$6)/($AN$6-$AL$6),$AL$6+SQRT(AU750*($AN$6-$AL$6)*($AM$6-$AL$6)),$AN$6-SQRT((1-AU750)*($AN$6-$AL$6)*($AN$6-$AM$6))),$AM$6)</f>
        <v/>
      </c>
      <c r="AM750">
        <f>IFERROR(IF(AV750&lt;($AM$7-$AL$7)/($AN$7-$AL$7),$AL$7+SQRT(AV750*($AN$7-$AL$7)*($AM$7-$AL$7)),$AN$7-SQRT((1-AV750)*($AN$7-$AL$7)*($AN$7-$AM$7))),$AM$7)</f>
        <v/>
      </c>
      <c r="AN750">
        <f>IFERROR(IF(AW750&lt;($AM$8-$AL$8)/($AN$8-$AL$8),$AL$8+SQRT(AW750*($AN$8-$AL$8)*($AM$8-$AL$8)),$AN$8-SQRT((1-AW750)*($AN$8-$AL$8)*($AN$8-$AM$8))),$AM$8)</f>
        <v/>
      </c>
      <c r="AO750">
        <f>IFERROR(IF(AX750&lt;($AM$9-$AL$9)/($AN$9-$AL$9),$AL$9+SQRT(AX750*($AN$9-$AL$9)*($AM$9-$AL$9)),$AN$9-SQRT((1-AX750)*($AN$9-$AL$9)*($AN$9-$AM$9))),$AM$9)</f>
        <v/>
      </c>
      <c r="AP750">
        <f>IFERROR(IF(AY750&lt;($AM$10-$AL$10)/($AN$10-$AL$10),$AL$10+SQRT(AY750*($AN$10-$AL$10)*($AM$10-$AL$10)),$AN$10-SQRT((1-AY750)*($AN$10-$AL$10)*($AN$10-$AM$10))),$AM$10)</f>
        <v/>
      </c>
      <c r="AQ750">
        <f>IFERROR(IF(AZ750&lt;($AM$11-$AL$11)/($AN$11-$AL$11),$AL$11+SQRT(AZ750*($AN$11-$AL$11)*($AM$11-$AL$11)),$AN$11-SQRT((1-AZ750)*($AN$11-$AL$11)*($AN$11-$AM$11))),$AM$11)</f>
        <v/>
      </c>
      <c r="AR750">
        <f>SUMPRODUCT((B24:B31&lt;=$B$6)*(C24:C31*AM750+D24:D31*AO750*$B$8*AQ750)/(1+AL750/100)^B24:B31)+C32*AM750*AP750/(1+AL750/100)^$B$6</f>
        <v/>
      </c>
      <c r="AS750">
        <f>SUMPRODUCT((K24:K26&lt;=$B$6)*(L24:L26*AN750+M24:M26*AO750*$B$8*AQ750)/(1+AL750/100)^K24:K26)+L27*AN750*AP750/(1+AL750/100)^$B$6</f>
        <v/>
      </c>
      <c r="AT750">
        <f>AS750-AR750</f>
        <v/>
      </c>
      <c r="AU750">
        <f>RAND()</f>
        <v/>
      </c>
      <c r="AV750">
        <f>RAND()</f>
        <v/>
      </c>
      <c r="AW750">
        <f>RAND()</f>
        <v/>
      </c>
      <c r="AX750">
        <f>RAND()</f>
        <v/>
      </c>
      <c r="AY750">
        <f>RAND()</f>
        <v/>
      </c>
      <c r="AZ750">
        <f>RAND()</f>
        <v/>
      </c>
    </row>
    <row r="751">
      <c r="AK751" t="n">
        <v>738</v>
      </c>
      <c r="AL751">
        <f>IFERROR(IF(AU751&lt;($AM$6-$AL$6)/($AN$6-$AL$6),$AL$6+SQRT(AU751*($AN$6-$AL$6)*($AM$6-$AL$6)),$AN$6-SQRT((1-AU751)*($AN$6-$AL$6)*($AN$6-$AM$6))),$AM$6)</f>
        <v/>
      </c>
      <c r="AM751">
        <f>IFERROR(IF(AV751&lt;($AM$7-$AL$7)/($AN$7-$AL$7),$AL$7+SQRT(AV751*($AN$7-$AL$7)*($AM$7-$AL$7)),$AN$7-SQRT((1-AV751)*($AN$7-$AL$7)*($AN$7-$AM$7))),$AM$7)</f>
        <v/>
      </c>
      <c r="AN751">
        <f>IFERROR(IF(AW751&lt;($AM$8-$AL$8)/($AN$8-$AL$8),$AL$8+SQRT(AW751*($AN$8-$AL$8)*($AM$8-$AL$8)),$AN$8-SQRT((1-AW751)*($AN$8-$AL$8)*($AN$8-$AM$8))),$AM$8)</f>
        <v/>
      </c>
      <c r="AO751">
        <f>IFERROR(IF(AX751&lt;($AM$9-$AL$9)/($AN$9-$AL$9),$AL$9+SQRT(AX751*($AN$9-$AL$9)*($AM$9-$AL$9)),$AN$9-SQRT((1-AX751)*($AN$9-$AL$9)*($AN$9-$AM$9))),$AM$9)</f>
        <v/>
      </c>
      <c r="AP751">
        <f>IFERROR(IF(AY751&lt;($AM$10-$AL$10)/($AN$10-$AL$10),$AL$10+SQRT(AY751*($AN$10-$AL$10)*($AM$10-$AL$10)),$AN$10-SQRT((1-AY751)*($AN$10-$AL$10)*($AN$10-$AM$10))),$AM$10)</f>
        <v/>
      </c>
      <c r="AQ751">
        <f>IFERROR(IF(AZ751&lt;($AM$11-$AL$11)/($AN$11-$AL$11),$AL$11+SQRT(AZ751*($AN$11-$AL$11)*($AM$11-$AL$11)),$AN$11-SQRT((1-AZ751)*($AN$11-$AL$11)*($AN$11-$AM$11))),$AM$11)</f>
        <v/>
      </c>
      <c r="AR751">
        <f>SUMPRODUCT((B24:B31&lt;=$B$6)*(C24:C31*AM751+D24:D31*AO751*$B$8*AQ751)/(1+AL751/100)^B24:B31)+C32*AM751*AP751/(1+AL751/100)^$B$6</f>
        <v/>
      </c>
      <c r="AS751">
        <f>SUMPRODUCT((K24:K26&lt;=$B$6)*(L24:L26*AN751+M24:M26*AO751*$B$8*AQ751)/(1+AL751/100)^K24:K26)+L27*AN751*AP751/(1+AL751/100)^$B$6</f>
        <v/>
      </c>
      <c r="AT751">
        <f>AS751-AR751</f>
        <v/>
      </c>
      <c r="AU751">
        <f>RAND()</f>
        <v/>
      </c>
      <c r="AV751">
        <f>RAND()</f>
        <v/>
      </c>
      <c r="AW751">
        <f>RAND()</f>
        <v/>
      </c>
      <c r="AX751">
        <f>RAND()</f>
        <v/>
      </c>
      <c r="AY751">
        <f>RAND()</f>
        <v/>
      </c>
      <c r="AZ751">
        <f>RAND()</f>
        <v/>
      </c>
    </row>
    <row r="752">
      <c r="AK752" t="n">
        <v>739</v>
      </c>
      <c r="AL752">
        <f>IFERROR(IF(AU752&lt;($AM$6-$AL$6)/($AN$6-$AL$6),$AL$6+SQRT(AU752*($AN$6-$AL$6)*($AM$6-$AL$6)),$AN$6-SQRT((1-AU752)*($AN$6-$AL$6)*($AN$6-$AM$6))),$AM$6)</f>
        <v/>
      </c>
      <c r="AM752">
        <f>IFERROR(IF(AV752&lt;($AM$7-$AL$7)/($AN$7-$AL$7),$AL$7+SQRT(AV752*($AN$7-$AL$7)*($AM$7-$AL$7)),$AN$7-SQRT((1-AV752)*($AN$7-$AL$7)*($AN$7-$AM$7))),$AM$7)</f>
        <v/>
      </c>
      <c r="AN752">
        <f>IFERROR(IF(AW752&lt;($AM$8-$AL$8)/($AN$8-$AL$8),$AL$8+SQRT(AW752*($AN$8-$AL$8)*($AM$8-$AL$8)),$AN$8-SQRT((1-AW752)*($AN$8-$AL$8)*($AN$8-$AM$8))),$AM$8)</f>
        <v/>
      </c>
      <c r="AO752">
        <f>IFERROR(IF(AX752&lt;($AM$9-$AL$9)/($AN$9-$AL$9),$AL$9+SQRT(AX752*($AN$9-$AL$9)*($AM$9-$AL$9)),$AN$9-SQRT((1-AX752)*($AN$9-$AL$9)*($AN$9-$AM$9))),$AM$9)</f>
        <v/>
      </c>
      <c r="AP752">
        <f>IFERROR(IF(AY752&lt;($AM$10-$AL$10)/($AN$10-$AL$10),$AL$10+SQRT(AY752*($AN$10-$AL$10)*($AM$10-$AL$10)),$AN$10-SQRT((1-AY752)*($AN$10-$AL$10)*($AN$10-$AM$10))),$AM$10)</f>
        <v/>
      </c>
      <c r="AQ752">
        <f>IFERROR(IF(AZ752&lt;($AM$11-$AL$11)/($AN$11-$AL$11),$AL$11+SQRT(AZ752*($AN$11-$AL$11)*($AM$11-$AL$11)),$AN$11-SQRT((1-AZ752)*($AN$11-$AL$11)*($AN$11-$AM$11))),$AM$11)</f>
        <v/>
      </c>
      <c r="AR752">
        <f>SUMPRODUCT((B24:B31&lt;=$B$6)*(C24:C31*AM752+D24:D31*AO752*$B$8*AQ752)/(1+AL752/100)^B24:B31)+C32*AM752*AP752/(1+AL752/100)^$B$6</f>
        <v/>
      </c>
      <c r="AS752">
        <f>SUMPRODUCT((K24:K26&lt;=$B$6)*(L24:L26*AN752+M24:M26*AO752*$B$8*AQ752)/(1+AL752/100)^K24:K26)+L27*AN752*AP752/(1+AL752/100)^$B$6</f>
        <v/>
      </c>
      <c r="AT752">
        <f>AS752-AR752</f>
        <v/>
      </c>
      <c r="AU752">
        <f>RAND()</f>
        <v/>
      </c>
      <c r="AV752">
        <f>RAND()</f>
        <v/>
      </c>
      <c r="AW752">
        <f>RAND()</f>
        <v/>
      </c>
      <c r="AX752">
        <f>RAND()</f>
        <v/>
      </c>
      <c r="AY752">
        <f>RAND()</f>
        <v/>
      </c>
      <c r="AZ752">
        <f>RAND()</f>
        <v/>
      </c>
    </row>
    <row r="753">
      <c r="AK753" t="n">
        <v>740</v>
      </c>
      <c r="AL753">
        <f>IFERROR(IF(AU753&lt;($AM$6-$AL$6)/($AN$6-$AL$6),$AL$6+SQRT(AU753*($AN$6-$AL$6)*($AM$6-$AL$6)),$AN$6-SQRT((1-AU753)*($AN$6-$AL$6)*($AN$6-$AM$6))),$AM$6)</f>
        <v/>
      </c>
      <c r="AM753">
        <f>IFERROR(IF(AV753&lt;($AM$7-$AL$7)/($AN$7-$AL$7),$AL$7+SQRT(AV753*($AN$7-$AL$7)*($AM$7-$AL$7)),$AN$7-SQRT((1-AV753)*($AN$7-$AL$7)*($AN$7-$AM$7))),$AM$7)</f>
        <v/>
      </c>
      <c r="AN753">
        <f>IFERROR(IF(AW753&lt;($AM$8-$AL$8)/($AN$8-$AL$8),$AL$8+SQRT(AW753*($AN$8-$AL$8)*($AM$8-$AL$8)),$AN$8-SQRT((1-AW753)*($AN$8-$AL$8)*($AN$8-$AM$8))),$AM$8)</f>
        <v/>
      </c>
      <c r="AO753">
        <f>IFERROR(IF(AX753&lt;($AM$9-$AL$9)/($AN$9-$AL$9),$AL$9+SQRT(AX753*($AN$9-$AL$9)*($AM$9-$AL$9)),$AN$9-SQRT((1-AX753)*($AN$9-$AL$9)*($AN$9-$AM$9))),$AM$9)</f>
        <v/>
      </c>
      <c r="AP753">
        <f>IFERROR(IF(AY753&lt;($AM$10-$AL$10)/($AN$10-$AL$10),$AL$10+SQRT(AY753*($AN$10-$AL$10)*($AM$10-$AL$10)),$AN$10-SQRT((1-AY753)*($AN$10-$AL$10)*($AN$10-$AM$10))),$AM$10)</f>
        <v/>
      </c>
      <c r="AQ753">
        <f>IFERROR(IF(AZ753&lt;($AM$11-$AL$11)/($AN$11-$AL$11),$AL$11+SQRT(AZ753*($AN$11-$AL$11)*($AM$11-$AL$11)),$AN$11-SQRT((1-AZ753)*($AN$11-$AL$11)*($AN$11-$AM$11))),$AM$11)</f>
        <v/>
      </c>
      <c r="AR753">
        <f>SUMPRODUCT((B24:B31&lt;=$B$6)*(C24:C31*AM753+D24:D31*AO753*$B$8*AQ753)/(1+AL753/100)^B24:B31)+C32*AM753*AP753/(1+AL753/100)^$B$6</f>
        <v/>
      </c>
      <c r="AS753">
        <f>SUMPRODUCT((K24:K26&lt;=$B$6)*(L24:L26*AN753+M24:M26*AO753*$B$8*AQ753)/(1+AL753/100)^K24:K26)+L27*AN753*AP753/(1+AL753/100)^$B$6</f>
        <v/>
      </c>
      <c r="AT753">
        <f>AS753-AR753</f>
        <v/>
      </c>
      <c r="AU753">
        <f>RAND()</f>
        <v/>
      </c>
      <c r="AV753">
        <f>RAND()</f>
        <v/>
      </c>
      <c r="AW753">
        <f>RAND()</f>
        <v/>
      </c>
      <c r="AX753">
        <f>RAND()</f>
        <v/>
      </c>
      <c r="AY753">
        <f>RAND()</f>
        <v/>
      </c>
      <c r="AZ753">
        <f>RAND()</f>
        <v/>
      </c>
    </row>
    <row r="754">
      <c r="AK754" t="n">
        <v>741</v>
      </c>
      <c r="AL754">
        <f>IFERROR(IF(AU754&lt;($AM$6-$AL$6)/($AN$6-$AL$6),$AL$6+SQRT(AU754*($AN$6-$AL$6)*($AM$6-$AL$6)),$AN$6-SQRT((1-AU754)*($AN$6-$AL$6)*($AN$6-$AM$6))),$AM$6)</f>
        <v/>
      </c>
      <c r="AM754">
        <f>IFERROR(IF(AV754&lt;($AM$7-$AL$7)/($AN$7-$AL$7),$AL$7+SQRT(AV754*($AN$7-$AL$7)*($AM$7-$AL$7)),$AN$7-SQRT((1-AV754)*($AN$7-$AL$7)*($AN$7-$AM$7))),$AM$7)</f>
        <v/>
      </c>
      <c r="AN754">
        <f>IFERROR(IF(AW754&lt;($AM$8-$AL$8)/($AN$8-$AL$8),$AL$8+SQRT(AW754*($AN$8-$AL$8)*($AM$8-$AL$8)),$AN$8-SQRT((1-AW754)*($AN$8-$AL$8)*($AN$8-$AM$8))),$AM$8)</f>
        <v/>
      </c>
      <c r="AO754">
        <f>IFERROR(IF(AX754&lt;($AM$9-$AL$9)/($AN$9-$AL$9),$AL$9+SQRT(AX754*($AN$9-$AL$9)*($AM$9-$AL$9)),$AN$9-SQRT((1-AX754)*($AN$9-$AL$9)*($AN$9-$AM$9))),$AM$9)</f>
        <v/>
      </c>
      <c r="AP754">
        <f>IFERROR(IF(AY754&lt;($AM$10-$AL$10)/($AN$10-$AL$10),$AL$10+SQRT(AY754*($AN$10-$AL$10)*($AM$10-$AL$10)),$AN$10-SQRT((1-AY754)*($AN$10-$AL$10)*($AN$10-$AM$10))),$AM$10)</f>
        <v/>
      </c>
      <c r="AQ754">
        <f>IFERROR(IF(AZ754&lt;($AM$11-$AL$11)/($AN$11-$AL$11),$AL$11+SQRT(AZ754*($AN$11-$AL$11)*($AM$11-$AL$11)),$AN$11-SQRT((1-AZ754)*($AN$11-$AL$11)*($AN$11-$AM$11))),$AM$11)</f>
        <v/>
      </c>
      <c r="AR754">
        <f>SUMPRODUCT((B24:B31&lt;=$B$6)*(C24:C31*AM754+D24:D31*AO754*$B$8*AQ754)/(1+AL754/100)^B24:B31)+C32*AM754*AP754/(1+AL754/100)^$B$6</f>
        <v/>
      </c>
      <c r="AS754">
        <f>SUMPRODUCT((K24:K26&lt;=$B$6)*(L24:L26*AN754+M24:M26*AO754*$B$8*AQ754)/(1+AL754/100)^K24:K26)+L27*AN754*AP754/(1+AL754/100)^$B$6</f>
        <v/>
      </c>
      <c r="AT754">
        <f>AS754-AR754</f>
        <v/>
      </c>
      <c r="AU754">
        <f>RAND()</f>
        <v/>
      </c>
      <c r="AV754">
        <f>RAND()</f>
        <v/>
      </c>
      <c r="AW754">
        <f>RAND()</f>
        <v/>
      </c>
      <c r="AX754">
        <f>RAND()</f>
        <v/>
      </c>
      <c r="AY754">
        <f>RAND()</f>
        <v/>
      </c>
      <c r="AZ754">
        <f>RAND()</f>
        <v/>
      </c>
    </row>
    <row r="755">
      <c r="AK755" t="n">
        <v>742</v>
      </c>
      <c r="AL755">
        <f>IFERROR(IF(AU755&lt;($AM$6-$AL$6)/($AN$6-$AL$6),$AL$6+SQRT(AU755*($AN$6-$AL$6)*($AM$6-$AL$6)),$AN$6-SQRT((1-AU755)*($AN$6-$AL$6)*($AN$6-$AM$6))),$AM$6)</f>
        <v/>
      </c>
      <c r="AM755">
        <f>IFERROR(IF(AV755&lt;($AM$7-$AL$7)/($AN$7-$AL$7),$AL$7+SQRT(AV755*($AN$7-$AL$7)*($AM$7-$AL$7)),$AN$7-SQRT((1-AV755)*($AN$7-$AL$7)*($AN$7-$AM$7))),$AM$7)</f>
        <v/>
      </c>
      <c r="AN755">
        <f>IFERROR(IF(AW755&lt;($AM$8-$AL$8)/($AN$8-$AL$8),$AL$8+SQRT(AW755*($AN$8-$AL$8)*($AM$8-$AL$8)),$AN$8-SQRT((1-AW755)*($AN$8-$AL$8)*($AN$8-$AM$8))),$AM$8)</f>
        <v/>
      </c>
      <c r="AO755">
        <f>IFERROR(IF(AX755&lt;($AM$9-$AL$9)/($AN$9-$AL$9),$AL$9+SQRT(AX755*($AN$9-$AL$9)*($AM$9-$AL$9)),$AN$9-SQRT((1-AX755)*($AN$9-$AL$9)*($AN$9-$AM$9))),$AM$9)</f>
        <v/>
      </c>
      <c r="AP755">
        <f>IFERROR(IF(AY755&lt;($AM$10-$AL$10)/($AN$10-$AL$10),$AL$10+SQRT(AY755*($AN$10-$AL$10)*($AM$10-$AL$10)),$AN$10-SQRT((1-AY755)*($AN$10-$AL$10)*($AN$10-$AM$10))),$AM$10)</f>
        <v/>
      </c>
      <c r="AQ755">
        <f>IFERROR(IF(AZ755&lt;($AM$11-$AL$11)/($AN$11-$AL$11),$AL$11+SQRT(AZ755*($AN$11-$AL$11)*($AM$11-$AL$11)),$AN$11-SQRT((1-AZ755)*($AN$11-$AL$11)*($AN$11-$AM$11))),$AM$11)</f>
        <v/>
      </c>
      <c r="AR755">
        <f>SUMPRODUCT((B24:B31&lt;=$B$6)*(C24:C31*AM755+D24:D31*AO755*$B$8*AQ755)/(1+AL755/100)^B24:B31)+C32*AM755*AP755/(1+AL755/100)^$B$6</f>
        <v/>
      </c>
      <c r="AS755">
        <f>SUMPRODUCT((K24:K26&lt;=$B$6)*(L24:L26*AN755+M24:M26*AO755*$B$8*AQ755)/(1+AL755/100)^K24:K26)+L27*AN755*AP755/(1+AL755/100)^$B$6</f>
        <v/>
      </c>
      <c r="AT755">
        <f>AS755-AR755</f>
        <v/>
      </c>
      <c r="AU755">
        <f>RAND()</f>
        <v/>
      </c>
      <c r="AV755">
        <f>RAND()</f>
        <v/>
      </c>
      <c r="AW755">
        <f>RAND()</f>
        <v/>
      </c>
      <c r="AX755">
        <f>RAND()</f>
        <v/>
      </c>
      <c r="AY755">
        <f>RAND()</f>
        <v/>
      </c>
      <c r="AZ755">
        <f>RAND()</f>
        <v/>
      </c>
    </row>
    <row r="756">
      <c r="AK756" t="n">
        <v>743</v>
      </c>
      <c r="AL756">
        <f>IFERROR(IF(AU756&lt;($AM$6-$AL$6)/($AN$6-$AL$6),$AL$6+SQRT(AU756*($AN$6-$AL$6)*($AM$6-$AL$6)),$AN$6-SQRT((1-AU756)*($AN$6-$AL$6)*($AN$6-$AM$6))),$AM$6)</f>
        <v/>
      </c>
      <c r="AM756">
        <f>IFERROR(IF(AV756&lt;($AM$7-$AL$7)/($AN$7-$AL$7),$AL$7+SQRT(AV756*($AN$7-$AL$7)*($AM$7-$AL$7)),$AN$7-SQRT((1-AV756)*($AN$7-$AL$7)*($AN$7-$AM$7))),$AM$7)</f>
        <v/>
      </c>
      <c r="AN756">
        <f>IFERROR(IF(AW756&lt;($AM$8-$AL$8)/($AN$8-$AL$8),$AL$8+SQRT(AW756*($AN$8-$AL$8)*($AM$8-$AL$8)),$AN$8-SQRT((1-AW756)*($AN$8-$AL$8)*($AN$8-$AM$8))),$AM$8)</f>
        <v/>
      </c>
      <c r="AO756">
        <f>IFERROR(IF(AX756&lt;($AM$9-$AL$9)/($AN$9-$AL$9),$AL$9+SQRT(AX756*($AN$9-$AL$9)*($AM$9-$AL$9)),$AN$9-SQRT((1-AX756)*($AN$9-$AL$9)*($AN$9-$AM$9))),$AM$9)</f>
        <v/>
      </c>
      <c r="AP756">
        <f>IFERROR(IF(AY756&lt;($AM$10-$AL$10)/($AN$10-$AL$10),$AL$10+SQRT(AY756*($AN$10-$AL$10)*($AM$10-$AL$10)),$AN$10-SQRT((1-AY756)*($AN$10-$AL$10)*($AN$10-$AM$10))),$AM$10)</f>
        <v/>
      </c>
      <c r="AQ756">
        <f>IFERROR(IF(AZ756&lt;($AM$11-$AL$11)/($AN$11-$AL$11),$AL$11+SQRT(AZ756*($AN$11-$AL$11)*($AM$11-$AL$11)),$AN$11-SQRT((1-AZ756)*($AN$11-$AL$11)*($AN$11-$AM$11))),$AM$11)</f>
        <v/>
      </c>
      <c r="AR756">
        <f>SUMPRODUCT((B24:B31&lt;=$B$6)*(C24:C31*AM756+D24:D31*AO756*$B$8*AQ756)/(1+AL756/100)^B24:B31)+C32*AM756*AP756/(1+AL756/100)^$B$6</f>
        <v/>
      </c>
      <c r="AS756">
        <f>SUMPRODUCT((K24:K26&lt;=$B$6)*(L24:L26*AN756+M24:M26*AO756*$B$8*AQ756)/(1+AL756/100)^K24:K26)+L27*AN756*AP756/(1+AL756/100)^$B$6</f>
        <v/>
      </c>
      <c r="AT756">
        <f>AS756-AR756</f>
        <v/>
      </c>
      <c r="AU756">
        <f>RAND()</f>
        <v/>
      </c>
      <c r="AV756">
        <f>RAND()</f>
        <v/>
      </c>
      <c r="AW756">
        <f>RAND()</f>
        <v/>
      </c>
      <c r="AX756">
        <f>RAND()</f>
        <v/>
      </c>
      <c r="AY756">
        <f>RAND()</f>
        <v/>
      </c>
      <c r="AZ756">
        <f>RAND()</f>
        <v/>
      </c>
    </row>
    <row r="757">
      <c r="AK757" t="n">
        <v>744</v>
      </c>
      <c r="AL757">
        <f>IFERROR(IF(AU757&lt;($AM$6-$AL$6)/($AN$6-$AL$6),$AL$6+SQRT(AU757*($AN$6-$AL$6)*($AM$6-$AL$6)),$AN$6-SQRT((1-AU757)*($AN$6-$AL$6)*($AN$6-$AM$6))),$AM$6)</f>
        <v/>
      </c>
      <c r="AM757">
        <f>IFERROR(IF(AV757&lt;($AM$7-$AL$7)/($AN$7-$AL$7),$AL$7+SQRT(AV757*($AN$7-$AL$7)*($AM$7-$AL$7)),$AN$7-SQRT((1-AV757)*($AN$7-$AL$7)*($AN$7-$AM$7))),$AM$7)</f>
        <v/>
      </c>
      <c r="AN757">
        <f>IFERROR(IF(AW757&lt;($AM$8-$AL$8)/($AN$8-$AL$8),$AL$8+SQRT(AW757*($AN$8-$AL$8)*($AM$8-$AL$8)),$AN$8-SQRT((1-AW757)*($AN$8-$AL$8)*($AN$8-$AM$8))),$AM$8)</f>
        <v/>
      </c>
      <c r="AO757">
        <f>IFERROR(IF(AX757&lt;($AM$9-$AL$9)/($AN$9-$AL$9),$AL$9+SQRT(AX757*($AN$9-$AL$9)*($AM$9-$AL$9)),$AN$9-SQRT((1-AX757)*($AN$9-$AL$9)*($AN$9-$AM$9))),$AM$9)</f>
        <v/>
      </c>
      <c r="AP757">
        <f>IFERROR(IF(AY757&lt;($AM$10-$AL$10)/($AN$10-$AL$10),$AL$10+SQRT(AY757*($AN$10-$AL$10)*($AM$10-$AL$10)),$AN$10-SQRT((1-AY757)*($AN$10-$AL$10)*($AN$10-$AM$10))),$AM$10)</f>
        <v/>
      </c>
      <c r="AQ757">
        <f>IFERROR(IF(AZ757&lt;($AM$11-$AL$11)/($AN$11-$AL$11),$AL$11+SQRT(AZ757*($AN$11-$AL$11)*($AM$11-$AL$11)),$AN$11-SQRT((1-AZ757)*($AN$11-$AL$11)*($AN$11-$AM$11))),$AM$11)</f>
        <v/>
      </c>
      <c r="AR757">
        <f>SUMPRODUCT((B24:B31&lt;=$B$6)*(C24:C31*AM757+D24:D31*AO757*$B$8*AQ757)/(1+AL757/100)^B24:B31)+C32*AM757*AP757/(1+AL757/100)^$B$6</f>
        <v/>
      </c>
      <c r="AS757">
        <f>SUMPRODUCT((K24:K26&lt;=$B$6)*(L24:L26*AN757+M24:M26*AO757*$B$8*AQ757)/(1+AL757/100)^K24:K26)+L27*AN757*AP757/(1+AL757/100)^$B$6</f>
        <v/>
      </c>
      <c r="AT757">
        <f>AS757-AR757</f>
        <v/>
      </c>
      <c r="AU757">
        <f>RAND()</f>
        <v/>
      </c>
      <c r="AV757">
        <f>RAND()</f>
        <v/>
      </c>
      <c r="AW757">
        <f>RAND()</f>
        <v/>
      </c>
      <c r="AX757">
        <f>RAND()</f>
        <v/>
      </c>
      <c r="AY757">
        <f>RAND()</f>
        <v/>
      </c>
      <c r="AZ757">
        <f>RAND()</f>
        <v/>
      </c>
    </row>
    <row r="758">
      <c r="AK758" t="n">
        <v>745</v>
      </c>
      <c r="AL758">
        <f>IFERROR(IF(AU758&lt;($AM$6-$AL$6)/($AN$6-$AL$6),$AL$6+SQRT(AU758*($AN$6-$AL$6)*($AM$6-$AL$6)),$AN$6-SQRT((1-AU758)*($AN$6-$AL$6)*($AN$6-$AM$6))),$AM$6)</f>
        <v/>
      </c>
      <c r="AM758">
        <f>IFERROR(IF(AV758&lt;($AM$7-$AL$7)/($AN$7-$AL$7),$AL$7+SQRT(AV758*($AN$7-$AL$7)*($AM$7-$AL$7)),$AN$7-SQRT((1-AV758)*($AN$7-$AL$7)*($AN$7-$AM$7))),$AM$7)</f>
        <v/>
      </c>
      <c r="AN758">
        <f>IFERROR(IF(AW758&lt;($AM$8-$AL$8)/($AN$8-$AL$8),$AL$8+SQRT(AW758*($AN$8-$AL$8)*($AM$8-$AL$8)),$AN$8-SQRT((1-AW758)*($AN$8-$AL$8)*($AN$8-$AM$8))),$AM$8)</f>
        <v/>
      </c>
      <c r="AO758">
        <f>IFERROR(IF(AX758&lt;($AM$9-$AL$9)/($AN$9-$AL$9),$AL$9+SQRT(AX758*($AN$9-$AL$9)*($AM$9-$AL$9)),$AN$9-SQRT((1-AX758)*($AN$9-$AL$9)*($AN$9-$AM$9))),$AM$9)</f>
        <v/>
      </c>
      <c r="AP758">
        <f>IFERROR(IF(AY758&lt;($AM$10-$AL$10)/($AN$10-$AL$10),$AL$10+SQRT(AY758*($AN$10-$AL$10)*($AM$10-$AL$10)),$AN$10-SQRT((1-AY758)*($AN$10-$AL$10)*($AN$10-$AM$10))),$AM$10)</f>
        <v/>
      </c>
      <c r="AQ758">
        <f>IFERROR(IF(AZ758&lt;($AM$11-$AL$11)/($AN$11-$AL$11),$AL$11+SQRT(AZ758*($AN$11-$AL$11)*($AM$11-$AL$11)),$AN$11-SQRT((1-AZ758)*($AN$11-$AL$11)*($AN$11-$AM$11))),$AM$11)</f>
        <v/>
      </c>
      <c r="AR758">
        <f>SUMPRODUCT((B24:B31&lt;=$B$6)*(C24:C31*AM758+D24:D31*AO758*$B$8*AQ758)/(1+AL758/100)^B24:B31)+C32*AM758*AP758/(1+AL758/100)^$B$6</f>
        <v/>
      </c>
      <c r="AS758">
        <f>SUMPRODUCT((K24:K26&lt;=$B$6)*(L24:L26*AN758+M24:M26*AO758*$B$8*AQ758)/(1+AL758/100)^K24:K26)+L27*AN758*AP758/(1+AL758/100)^$B$6</f>
        <v/>
      </c>
      <c r="AT758">
        <f>AS758-AR758</f>
        <v/>
      </c>
      <c r="AU758">
        <f>RAND()</f>
        <v/>
      </c>
      <c r="AV758">
        <f>RAND()</f>
        <v/>
      </c>
      <c r="AW758">
        <f>RAND()</f>
        <v/>
      </c>
      <c r="AX758">
        <f>RAND()</f>
        <v/>
      </c>
      <c r="AY758">
        <f>RAND()</f>
        <v/>
      </c>
      <c r="AZ758">
        <f>RAND()</f>
        <v/>
      </c>
    </row>
    <row r="759">
      <c r="AK759" t="n">
        <v>746</v>
      </c>
      <c r="AL759">
        <f>IFERROR(IF(AU759&lt;($AM$6-$AL$6)/($AN$6-$AL$6),$AL$6+SQRT(AU759*($AN$6-$AL$6)*($AM$6-$AL$6)),$AN$6-SQRT((1-AU759)*($AN$6-$AL$6)*($AN$6-$AM$6))),$AM$6)</f>
        <v/>
      </c>
      <c r="AM759">
        <f>IFERROR(IF(AV759&lt;($AM$7-$AL$7)/($AN$7-$AL$7),$AL$7+SQRT(AV759*($AN$7-$AL$7)*($AM$7-$AL$7)),$AN$7-SQRT((1-AV759)*($AN$7-$AL$7)*($AN$7-$AM$7))),$AM$7)</f>
        <v/>
      </c>
      <c r="AN759">
        <f>IFERROR(IF(AW759&lt;($AM$8-$AL$8)/($AN$8-$AL$8),$AL$8+SQRT(AW759*($AN$8-$AL$8)*($AM$8-$AL$8)),$AN$8-SQRT((1-AW759)*($AN$8-$AL$8)*($AN$8-$AM$8))),$AM$8)</f>
        <v/>
      </c>
      <c r="AO759">
        <f>IFERROR(IF(AX759&lt;($AM$9-$AL$9)/($AN$9-$AL$9),$AL$9+SQRT(AX759*($AN$9-$AL$9)*($AM$9-$AL$9)),$AN$9-SQRT((1-AX759)*($AN$9-$AL$9)*($AN$9-$AM$9))),$AM$9)</f>
        <v/>
      </c>
      <c r="AP759">
        <f>IFERROR(IF(AY759&lt;($AM$10-$AL$10)/($AN$10-$AL$10),$AL$10+SQRT(AY759*($AN$10-$AL$10)*($AM$10-$AL$10)),$AN$10-SQRT((1-AY759)*($AN$10-$AL$10)*($AN$10-$AM$10))),$AM$10)</f>
        <v/>
      </c>
      <c r="AQ759">
        <f>IFERROR(IF(AZ759&lt;($AM$11-$AL$11)/($AN$11-$AL$11),$AL$11+SQRT(AZ759*($AN$11-$AL$11)*($AM$11-$AL$11)),$AN$11-SQRT((1-AZ759)*($AN$11-$AL$11)*($AN$11-$AM$11))),$AM$11)</f>
        <v/>
      </c>
      <c r="AR759">
        <f>SUMPRODUCT((B24:B31&lt;=$B$6)*(C24:C31*AM759+D24:D31*AO759*$B$8*AQ759)/(1+AL759/100)^B24:B31)+C32*AM759*AP759/(1+AL759/100)^$B$6</f>
        <v/>
      </c>
      <c r="AS759">
        <f>SUMPRODUCT((K24:K26&lt;=$B$6)*(L24:L26*AN759+M24:M26*AO759*$B$8*AQ759)/(1+AL759/100)^K24:K26)+L27*AN759*AP759/(1+AL759/100)^$B$6</f>
        <v/>
      </c>
      <c r="AT759">
        <f>AS759-AR759</f>
        <v/>
      </c>
      <c r="AU759">
        <f>RAND()</f>
        <v/>
      </c>
      <c r="AV759">
        <f>RAND()</f>
        <v/>
      </c>
      <c r="AW759">
        <f>RAND()</f>
        <v/>
      </c>
      <c r="AX759">
        <f>RAND()</f>
        <v/>
      </c>
      <c r="AY759">
        <f>RAND()</f>
        <v/>
      </c>
      <c r="AZ759">
        <f>RAND()</f>
        <v/>
      </c>
    </row>
    <row r="760">
      <c r="AK760" t="n">
        <v>747</v>
      </c>
      <c r="AL760">
        <f>IFERROR(IF(AU760&lt;($AM$6-$AL$6)/($AN$6-$AL$6),$AL$6+SQRT(AU760*($AN$6-$AL$6)*($AM$6-$AL$6)),$AN$6-SQRT((1-AU760)*($AN$6-$AL$6)*($AN$6-$AM$6))),$AM$6)</f>
        <v/>
      </c>
      <c r="AM760">
        <f>IFERROR(IF(AV760&lt;($AM$7-$AL$7)/($AN$7-$AL$7),$AL$7+SQRT(AV760*($AN$7-$AL$7)*($AM$7-$AL$7)),$AN$7-SQRT((1-AV760)*($AN$7-$AL$7)*($AN$7-$AM$7))),$AM$7)</f>
        <v/>
      </c>
      <c r="AN760">
        <f>IFERROR(IF(AW760&lt;($AM$8-$AL$8)/($AN$8-$AL$8),$AL$8+SQRT(AW760*($AN$8-$AL$8)*($AM$8-$AL$8)),$AN$8-SQRT((1-AW760)*($AN$8-$AL$8)*($AN$8-$AM$8))),$AM$8)</f>
        <v/>
      </c>
      <c r="AO760">
        <f>IFERROR(IF(AX760&lt;($AM$9-$AL$9)/($AN$9-$AL$9),$AL$9+SQRT(AX760*($AN$9-$AL$9)*($AM$9-$AL$9)),$AN$9-SQRT((1-AX760)*($AN$9-$AL$9)*($AN$9-$AM$9))),$AM$9)</f>
        <v/>
      </c>
      <c r="AP760">
        <f>IFERROR(IF(AY760&lt;($AM$10-$AL$10)/($AN$10-$AL$10),$AL$10+SQRT(AY760*($AN$10-$AL$10)*($AM$10-$AL$10)),$AN$10-SQRT((1-AY760)*($AN$10-$AL$10)*($AN$10-$AM$10))),$AM$10)</f>
        <v/>
      </c>
      <c r="AQ760">
        <f>IFERROR(IF(AZ760&lt;($AM$11-$AL$11)/($AN$11-$AL$11),$AL$11+SQRT(AZ760*($AN$11-$AL$11)*($AM$11-$AL$11)),$AN$11-SQRT((1-AZ760)*($AN$11-$AL$11)*($AN$11-$AM$11))),$AM$11)</f>
        <v/>
      </c>
      <c r="AR760">
        <f>SUMPRODUCT((B24:B31&lt;=$B$6)*(C24:C31*AM760+D24:D31*AO760*$B$8*AQ760)/(1+AL760/100)^B24:B31)+C32*AM760*AP760/(1+AL760/100)^$B$6</f>
        <v/>
      </c>
      <c r="AS760">
        <f>SUMPRODUCT((K24:K26&lt;=$B$6)*(L24:L26*AN760+M24:M26*AO760*$B$8*AQ760)/(1+AL760/100)^K24:K26)+L27*AN760*AP760/(1+AL760/100)^$B$6</f>
        <v/>
      </c>
      <c r="AT760">
        <f>AS760-AR760</f>
        <v/>
      </c>
      <c r="AU760">
        <f>RAND()</f>
        <v/>
      </c>
      <c r="AV760">
        <f>RAND()</f>
        <v/>
      </c>
      <c r="AW760">
        <f>RAND()</f>
        <v/>
      </c>
      <c r="AX760">
        <f>RAND()</f>
        <v/>
      </c>
      <c r="AY760">
        <f>RAND()</f>
        <v/>
      </c>
      <c r="AZ760">
        <f>RAND()</f>
        <v/>
      </c>
    </row>
    <row r="761">
      <c r="AK761" t="n">
        <v>748</v>
      </c>
      <c r="AL761">
        <f>IFERROR(IF(AU761&lt;($AM$6-$AL$6)/($AN$6-$AL$6),$AL$6+SQRT(AU761*($AN$6-$AL$6)*($AM$6-$AL$6)),$AN$6-SQRT((1-AU761)*($AN$6-$AL$6)*($AN$6-$AM$6))),$AM$6)</f>
        <v/>
      </c>
      <c r="AM761">
        <f>IFERROR(IF(AV761&lt;($AM$7-$AL$7)/($AN$7-$AL$7),$AL$7+SQRT(AV761*($AN$7-$AL$7)*($AM$7-$AL$7)),$AN$7-SQRT((1-AV761)*($AN$7-$AL$7)*($AN$7-$AM$7))),$AM$7)</f>
        <v/>
      </c>
      <c r="AN761">
        <f>IFERROR(IF(AW761&lt;($AM$8-$AL$8)/($AN$8-$AL$8),$AL$8+SQRT(AW761*($AN$8-$AL$8)*($AM$8-$AL$8)),$AN$8-SQRT((1-AW761)*($AN$8-$AL$8)*($AN$8-$AM$8))),$AM$8)</f>
        <v/>
      </c>
      <c r="AO761">
        <f>IFERROR(IF(AX761&lt;($AM$9-$AL$9)/($AN$9-$AL$9),$AL$9+SQRT(AX761*($AN$9-$AL$9)*($AM$9-$AL$9)),$AN$9-SQRT((1-AX761)*($AN$9-$AL$9)*($AN$9-$AM$9))),$AM$9)</f>
        <v/>
      </c>
      <c r="AP761">
        <f>IFERROR(IF(AY761&lt;($AM$10-$AL$10)/($AN$10-$AL$10),$AL$10+SQRT(AY761*($AN$10-$AL$10)*($AM$10-$AL$10)),$AN$10-SQRT((1-AY761)*($AN$10-$AL$10)*($AN$10-$AM$10))),$AM$10)</f>
        <v/>
      </c>
      <c r="AQ761">
        <f>IFERROR(IF(AZ761&lt;($AM$11-$AL$11)/($AN$11-$AL$11),$AL$11+SQRT(AZ761*($AN$11-$AL$11)*($AM$11-$AL$11)),$AN$11-SQRT((1-AZ761)*($AN$11-$AL$11)*($AN$11-$AM$11))),$AM$11)</f>
        <v/>
      </c>
      <c r="AR761">
        <f>SUMPRODUCT((B24:B31&lt;=$B$6)*(C24:C31*AM761+D24:D31*AO761*$B$8*AQ761)/(1+AL761/100)^B24:B31)+C32*AM761*AP761/(1+AL761/100)^$B$6</f>
        <v/>
      </c>
      <c r="AS761">
        <f>SUMPRODUCT((K24:K26&lt;=$B$6)*(L24:L26*AN761+M24:M26*AO761*$B$8*AQ761)/(1+AL761/100)^K24:K26)+L27*AN761*AP761/(1+AL761/100)^$B$6</f>
        <v/>
      </c>
      <c r="AT761">
        <f>AS761-AR761</f>
        <v/>
      </c>
      <c r="AU761">
        <f>RAND()</f>
        <v/>
      </c>
      <c r="AV761">
        <f>RAND()</f>
        <v/>
      </c>
      <c r="AW761">
        <f>RAND()</f>
        <v/>
      </c>
      <c r="AX761">
        <f>RAND()</f>
        <v/>
      </c>
      <c r="AY761">
        <f>RAND()</f>
        <v/>
      </c>
      <c r="AZ761">
        <f>RAND()</f>
        <v/>
      </c>
    </row>
    <row r="762">
      <c r="AK762" t="n">
        <v>749</v>
      </c>
      <c r="AL762">
        <f>IFERROR(IF(AU762&lt;($AM$6-$AL$6)/($AN$6-$AL$6),$AL$6+SQRT(AU762*($AN$6-$AL$6)*($AM$6-$AL$6)),$AN$6-SQRT((1-AU762)*($AN$6-$AL$6)*($AN$6-$AM$6))),$AM$6)</f>
        <v/>
      </c>
      <c r="AM762">
        <f>IFERROR(IF(AV762&lt;($AM$7-$AL$7)/($AN$7-$AL$7),$AL$7+SQRT(AV762*($AN$7-$AL$7)*($AM$7-$AL$7)),$AN$7-SQRT((1-AV762)*($AN$7-$AL$7)*($AN$7-$AM$7))),$AM$7)</f>
        <v/>
      </c>
      <c r="AN762">
        <f>IFERROR(IF(AW762&lt;($AM$8-$AL$8)/($AN$8-$AL$8),$AL$8+SQRT(AW762*($AN$8-$AL$8)*($AM$8-$AL$8)),$AN$8-SQRT((1-AW762)*($AN$8-$AL$8)*($AN$8-$AM$8))),$AM$8)</f>
        <v/>
      </c>
      <c r="AO762">
        <f>IFERROR(IF(AX762&lt;($AM$9-$AL$9)/($AN$9-$AL$9),$AL$9+SQRT(AX762*($AN$9-$AL$9)*($AM$9-$AL$9)),$AN$9-SQRT((1-AX762)*($AN$9-$AL$9)*($AN$9-$AM$9))),$AM$9)</f>
        <v/>
      </c>
      <c r="AP762">
        <f>IFERROR(IF(AY762&lt;($AM$10-$AL$10)/($AN$10-$AL$10),$AL$10+SQRT(AY762*($AN$10-$AL$10)*($AM$10-$AL$10)),$AN$10-SQRT((1-AY762)*($AN$10-$AL$10)*($AN$10-$AM$10))),$AM$10)</f>
        <v/>
      </c>
      <c r="AQ762">
        <f>IFERROR(IF(AZ762&lt;($AM$11-$AL$11)/($AN$11-$AL$11),$AL$11+SQRT(AZ762*($AN$11-$AL$11)*($AM$11-$AL$11)),$AN$11-SQRT((1-AZ762)*($AN$11-$AL$11)*($AN$11-$AM$11))),$AM$11)</f>
        <v/>
      </c>
      <c r="AR762">
        <f>SUMPRODUCT((B24:B31&lt;=$B$6)*(C24:C31*AM762+D24:D31*AO762*$B$8*AQ762)/(1+AL762/100)^B24:B31)+C32*AM762*AP762/(1+AL762/100)^$B$6</f>
        <v/>
      </c>
      <c r="AS762">
        <f>SUMPRODUCT((K24:K26&lt;=$B$6)*(L24:L26*AN762+M24:M26*AO762*$B$8*AQ762)/(1+AL762/100)^K24:K26)+L27*AN762*AP762/(1+AL762/100)^$B$6</f>
        <v/>
      </c>
      <c r="AT762">
        <f>AS762-AR762</f>
        <v/>
      </c>
      <c r="AU762">
        <f>RAND()</f>
        <v/>
      </c>
      <c r="AV762">
        <f>RAND()</f>
        <v/>
      </c>
      <c r="AW762">
        <f>RAND()</f>
        <v/>
      </c>
      <c r="AX762">
        <f>RAND()</f>
        <v/>
      </c>
      <c r="AY762">
        <f>RAND()</f>
        <v/>
      </c>
      <c r="AZ762">
        <f>RAND()</f>
        <v/>
      </c>
    </row>
    <row r="763">
      <c r="AK763" t="n">
        <v>750</v>
      </c>
      <c r="AL763">
        <f>IFERROR(IF(AU763&lt;($AM$6-$AL$6)/($AN$6-$AL$6),$AL$6+SQRT(AU763*($AN$6-$AL$6)*($AM$6-$AL$6)),$AN$6-SQRT((1-AU763)*($AN$6-$AL$6)*($AN$6-$AM$6))),$AM$6)</f>
        <v/>
      </c>
      <c r="AM763">
        <f>IFERROR(IF(AV763&lt;($AM$7-$AL$7)/($AN$7-$AL$7),$AL$7+SQRT(AV763*($AN$7-$AL$7)*($AM$7-$AL$7)),$AN$7-SQRT((1-AV763)*($AN$7-$AL$7)*($AN$7-$AM$7))),$AM$7)</f>
        <v/>
      </c>
      <c r="AN763">
        <f>IFERROR(IF(AW763&lt;($AM$8-$AL$8)/($AN$8-$AL$8),$AL$8+SQRT(AW763*($AN$8-$AL$8)*($AM$8-$AL$8)),$AN$8-SQRT((1-AW763)*($AN$8-$AL$8)*($AN$8-$AM$8))),$AM$8)</f>
        <v/>
      </c>
      <c r="AO763">
        <f>IFERROR(IF(AX763&lt;($AM$9-$AL$9)/($AN$9-$AL$9),$AL$9+SQRT(AX763*($AN$9-$AL$9)*($AM$9-$AL$9)),$AN$9-SQRT((1-AX763)*($AN$9-$AL$9)*($AN$9-$AM$9))),$AM$9)</f>
        <v/>
      </c>
      <c r="AP763">
        <f>IFERROR(IF(AY763&lt;($AM$10-$AL$10)/($AN$10-$AL$10),$AL$10+SQRT(AY763*($AN$10-$AL$10)*($AM$10-$AL$10)),$AN$10-SQRT((1-AY763)*($AN$10-$AL$10)*($AN$10-$AM$10))),$AM$10)</f>
        <v/>
      </c>
      <c r="AQ763">
        <f>IFERROR(IF(AZ763&lt;($AM$11-$AL$11)/($AN$11-$AL$11),$AL$11+SQRT(AZ763*($AN$11-$AL$11)*($AM$11-$AL$11)),$AN$11-SQRT((1-AZ763)*($AN$11-$AL$11)*($AN$11-$AM$11))),$AM$11)</f>
        <v/>
      </c>
      <c r="AR763">
        <f>SUMPRODUCT((B24:B31&lt;=$B$6)*(C24:C31*AM763+D24:D31*AO763*$B$8*AQ763)/(1+AL763/100)^B24:B31)+C32*AM763*AP763/(1+AL763/100)^$B$6</f>
        <v/>
      </c>
      <c r="AS763">
        <f>SUMPRODUCT((K24:K26&lt;=$B$6)*(L24:L26*AN763+M24:M26*AO763*$B$8*AQ763)/(1+AL763/100)^K24:K26)+L27*AN763*AP763/(1+AL763/100)^$B$6</f>
        <v/>
      </c>
      <c r="AT763">
        <f>AS763-AR763</f>
        <v/>
      </c>
      <c r="AU763">
        <f>RAND()</f>
        <v/>
      </c>
      <c r="AV763">
        <f>RAND()</f>
        <v/>
      </c>
      <c r="AW763">
        <f>RAND()</f>
        <v/>
      </c>
      <c r="AX763">
        <f>RAND()</f>
        <v/>
      </c>
      <c r="AY763">
        <f>RAND()</f>
        <v/>
      </c>
      <c r="AZ763">
        <f>RAND()</f>
        <v/>
      </c>
    </row>
    <row r="764">
      <c r="AK764" t="n">
        <v>751</v>
      </c>
      <c r="AL764">
        <f>IFERROR(IF(AU764&lt;($AM$6-$AL$6)/($AN$6-$AL$6),$AL$6+SQRT(AU764*($AN$6-$AL$6)*($AM$6-$AL$6)),$AN$6-SQRT((1-AU764)*($AN$6-$AL$6)*($AN$6-$AM$6))),$AM$6)</f>
        <v/>
      </c>
      <c r="AM764">
        <f>IFERROR(IF(AV764&lt;($AM$7-$AL$7)/($AN$7-$AL$7),$AL$7+SQRT(AV764*($AN$7-$AL$7)*($AM$7-$AL$7)),$AN$7-SQRT((1-AV764)*($AN$7-$AL$7)*($AN$7-$AM$7))),$AM$7)</f>
        <v/>
      </c>
      <c r="AN764">
        <f>IFERROR(IF(AW764&lt;($AM$8-$AL$8)/($AN$8-$AL$8),$AL$8+SQRT(AW764*($AN$8-$AL$8)*($AM$8-$AL$8)),$AN$8-SQRT((1-AW764)*($AN$8-$AL$8)*($AN$8-$AM$8))),$AM$8)</f>
        <v/>
      </c>
      <c r="AO764">
        <f>IFERROR(IF(AX764&lt;($AM$9-$AL$9)/($AN$9-$AL$9),$AL$9+SQRT(AX764*($AN$9-$AL$9)*($AM$9-$AL$9)),$AN$9-SQRT((1-AX764)*($AN$9-$AL$9)*($AN$9-$AM$9))),$AM$9)</f>
        <v/>
      </c>
      <c r="AP764">
        <f>IFERROR(IF(AY764&lt;($AM$10-$AL$10)/($AN$10-$AL$10),$AL$10+SQRT(AY764*($AN$10-$AL$10)*($AM$10-$AL$10)),$AN$10-SQRT((1-AY764)*($AN$10-$AL$10)*($AN$10-$AM$10))),$AM$10)</f>
        <v/>
      </c>
      <c r="AQ764">
        <f>IFERROR(IF(AZ764&lt;($AM$11-$AL$11)/($AN$11-$AL$11),$AL$11+SQRT(AZ764*($AN$11-$AL$11)*($AM$11-$AL$11)),$AN$11-SQRT((1-AZ764)*($AN$11-$AL$11)*($AN$11-$AM$11))),$AM$11)</f>
        <v/>
      </c>
      <c r="AR764">
        <f>SUMPRODUCT((B24:B31&lt;=$B$6)*(C24:C31*AM764+D24:D31*AO764*$B$8*AQ764)/(1+AL764/100)^B24:B31)+C32*AM764*AP764/(1+AL764/100)^$B$6</f>
        <v/>
      </c>
      <c r="AS764">
        <f>SUMPRODUCT((K24:K26&lt;=$B$6)*(L24:L26*AN764+M24:M26*AO764*$B$8*AQ764)/(1+AL764/100)^K24:K26)+L27*AN764*AP764/(1+AL764/100)^$B$6</f>
        <v/>
      </c>
      <c r="AT764">
        <f>AS764-AR764</f>
        <v/>
      </c>
      <c r="AU764">
        <f>RAND()</f>
        <v/>
      </c>
      <c r="AV764">
        <f>RAND()</f>
        <v/>
      </c>
      <c r="AW764">
        <f>RAND()</f>
        <v/>
      </c>
      <c r="AX764">
        <f>RAND()</f>
        <v/>
      </c>
      <c r="AY764">
        <f>RAND()</f>
        <v/>
      </c>
      <c r="AZ764">
        <f>RAND()</f>
        <v/>
      </c>
    </row>
    <row r="765">
      <c r="AK765" t="n">
        <v>752</v>
      </c>
      <c r="AL765">
        <f>IFERROR(IF(AU765&lt;($AM$6-$AL$6)/($AN$6-$AL$6),$AL$6+SQRT(AU765*($AN$6-$AL$6)*($AM$6-$AL$6)),$AN$6-SQRT((1-AU765)*($AN$6-$AL$6)*($AN$6-$AM$6))),$AM$6)</f>
        <v/>
      </c>
      <c r="AM765">
        <f>IFERROR(IF(AV765&lt;($AM$7-$AL$7)/($AN$7-$AL$7),$AL$7+SQRT(AV765*($AN$7-$AL$7)*($AM$7-$AL$7)),$AN$7-SQRT((1-AV765)*($AN$7-$AL$7)*($AN$7-$AM$7))),$AM$7)</f>
        <v/>
      </c>
      <c r="AN765">
        <f>IFERROR(IF(AW765&lt;($AM$8-$AL$8)/($AN$8-$AL$8),$AL$8+SQRT(AW765*($AN$8-$AL$8)*($AM$8-$AL$8)),$AN$8-SQRT((1-AW765)*($AN$8-$AL$8)*($AN$8-$AM$8))),$AM$8)</f>
        <v/>
      </c>
      <c r="AO765">
        <f>IFERROR(IF(AX765&lt;($AM$9-$AL$9)/($AN$9-$AL$9),$AL$9+SQRT(AX765*($AN$9-$AL$9)*($AM$9-$AL$9)),$AN$9-SQRT((1-AX765)*($AN$9-$AL$9)*($AN$9-$AM$9))),$AM$9)</f>
        <v/>
      </c>
      <c r="AP765">
        <f>IFERROR(IF(AY765&lt;($AM$10-$AL$10)/($AN$10-$AL$10),$AL$10+SQRT(AY765*($AN$10-$AL$10)*($AM$10-$AL$10)),$AN$10-SQRT((1-AY765)*($AN$10-$AL$10)*($AN$10-$AM$10))),$AM$10)</f>
        <v/>
      </c>
      <c r="AQ765">
        <f>IFERROR(IF(AZ765&lt;($AM$11-$AL$11)/($AN$11-$AL$11),$AL$11+SQRT(AZ765*($AN$11-$AL$11)*($AM$11-$AL$11)),$AN$11-SQRT((1-AZ765)*($AN$11-$AL$11)*($AN$11-$AM$11))),$AM$11)</f>
        <v/>
      </c>
      <c r="AR765">
        <f>SUMPRODUCT((B24:B31&lt;=$B$6)*(C24:C31*AM765+D24:D31*AO765*$B$8*AQ765)/(1+AL765/100)^B24:B31)+C32*AM765*AP765/(1+AL765/100)^$B$6</f>
        <v/>
      </c>
      <c r="AS765">
        <f>SUMPRODUCT((K24:K26&lt;=$B$6)*(L24:L26*AN765+M24:M26*AO765*$B$8*AQ765)/(1+AL765/100)^K24:K26)+L27*AN765*AP765/(1+AL765/100)^$B$6</f>
        <v/>
      </c>
      <c r="AT765">
        <f>AS765-AR765</f>
        <v/>
      </c>
      <c r="AU765">
        <f>RAND()</f>
        <v/>
      </c>
      <c r="AV765">
        <f>RAND()</f>
        <v/>
      </c>
      <c r="AW765">
        <f>RAND()</f>
        <v/>
      </c>
      <c r="AX765">
        <f>RAND()</f>
        <v/>
      </c>
      <c r="AY765">
        <f>RAND()</f>
        <v/>
      </c>
      <c r="AZ765">
        <f>RAND()</f>
        <v/>
      </c>
    </row>
    <row r="766">
      <c r="AK766" t="n">
        <v>753</v>
      </c>
      <c r="AL766">
        <f>IFERROR(IF(AU766&lt;($AM$6-$AL$6)/($AN$6-$AL$6),$AL$6+SQRT(AU766*($AN$6-$AL$6)*($AM$6-$AL$6)),$AN$6-SQRT((1-AU766)*($AN$6-$AL$6)*($AN$6-$AM$6))),$AM$6)</f>
        <v/>
      </c>
      <c r="AM766">
        <f>IFERROR(IF(AV766&lt;($AM$7-$AL$7)/($AN$7-$AL$7),$AL$7+SQRT(AV766*($AN$7-$AL$7)*($AM$7-$AL$7)),$AN$7-SQRT((1-AV766)*($AN$7-$AL$7)*($AN$7-$AM$7))),$AM$7)</f>
        <v/>
      </c>
      <c r="AN766">
        <f>IFERROR(IF(AW766&lt;($AM$8-$AL$8)/($AN$8-$AL$8),$AL$8+SQRT(AW766*($AN$8-$AL$8)*($AM$8-$AL$8)),$AN$8-SQRT((1-AW766)*($AN$8-$AL$8)*($AN$8-$AM$8))),$AM$8)</f>
        <v/>
      </c>
      <c r="AO766">
        <f>IFERROR(IF(AX766&lt;($AM$9-$AL$9)/($AN$9-$AL$9),$AL$9+SQRT(AX766*($AN$9-$AL$9)*($AM$9-$AL$9)),$AN$9-SQRT((1-AX766)*($AN$9-$AL$9)*($AN$9-$AM$9))),$AM$9)</f>
        <v/>
      </c>
      <c r="AP766">
        <f>IFERROR(IF(AY766&lt;($AM$10-$AL$10)/($AN$10-$AL$10),$AL$10+SQRT(AY766*($AN$10-$AL$10)*($AM$10-$AL$10)),$AN$10-SQRT((1-AY766)*($AN$10-$AL$10)*($AN$10-$AM$10))),$AM$10)</f>
        <v/>
      </c>
      <c r="AQ766">
        <f>IFERROR(IF(AZ766&lt;($AM$11-$AL$11)/($AN$11-$AL$11),$AL$11+SQRT(AZ766*($AN$11-$AL$11)*($AM$11-$AL$11)),$AN$11-SQRT((1-AZ766)*($AN$11-$AL$11)*($AN$11-$AM$11))),$AM$11)</f>
        <v/>
      </c>
      <c r="AR766">
        <f>SUMPRODUCT((B24:B31&lt;=$B$6)*(C24:C31*AM766+D24:D31*AO766*$B$8*AQ766)/(1+AL766/100)^B24:B31)+C32*AM766*AP766/(1+AL766/100)^$B$6</f>
        <v/>
      </c>
      <c r="AS766">
        <f>SUMPRODUCT((K24:K26&lt;=$B$6)*(L24:L26*AN766+M24:M26*AO766*$B$8*AQ766)/(1+AL766/100)^K24:K26)+L27*AN766*AP766/(1+AL766/100)^$B$6</f>
        <v/>
      </c>
      <c r="AT766">
        <f>AS766-AR766</f>
        <v/>
      </c>
      <c r="AU766">
        <f>RAND()</f>
        <v/>
      </c>
      <c r="AV766">
        <f>RAND()</f>
        <v/>
      </c>
      <c r="AW766">
        <f>RAND()</f>
        <v/>
      </c>
      <c r="AX766">
        <f>RAND()</f>
        <v/>
      </c>
      <c r="AY766">
        <f>RAND()</f>
        <v/>
      </c>
      <c r="AZ766">
        <f>RAND()</f>
        <v/>
      </c>
    </row>
    <row r="767">
      <c r="AK767" t="n">
        <v>754</v>
      </c>
      <c r="AL767">
        <f>IFERROR(IF(AU767&lt;($AM$6-$AL$6)/($AN$6-$AL$6),$AL$6+SQRT(AU767*($AN$6-$AL$6)*($AM$6-$AL$6)),$AN$6-SQRT((1-AU767)*($AN$6-$AL$6)*($AN$6-$AM$6))),$AM$6)</f>
        <v/>
      </c>
      <c r="AM767">
        <f>IFERROR(IF(AV767&lt;($AM$7-$AL$7)/($AN$7-$AL$7),$AL$7+SQRT(AV767*($AN$7-$AL$7)*($AM$7-$AL$7)),$AN$7-SQRT((1-AV767)*($AN$7-$AL$7)*($AN$7-$AM$7))),$AM$7)</f>
        <v/>
      </c>
      <c r="AN767">
        <f>IFERROR(IF(AW767&lt;($AM$8-$AL$8)/($AN$8-$AL$8),$AL$8+SQRT(AW767*($AN$8-$AL$8)*($AM$8-$AL$8)),$AN$8-SQRT((1-AW767)*($AN$8-$AL$8)*($AN$8-$AM$8))),$AM$8)</f>
        <v/>
      </c>
      <c r="AO767">
        <f>IFERROR(IF(AX767&lt;($AM$9-$AL$9)/($AN$9-$AL$9),$AL$9+SQRT(AX767*($AN$9-$AL$9)*($AM$9-$AL$9)),$AN$9-SQRT((1-AX767)*($AN$9-$AL$9)*($AN$9-$AM$9))),$AM$9)</f>
        <v/>
      </c>
      <c r="AP767">
        <f>IFERROR(IF(AY767&lt;($AM$10-$AL$10)/($AN$10-$AL$10),$AL$10+SQRT(AY767*($AN$10-$AL$10)*($AM$10-$AL$10)),$AN$10-SQRT((1-AY767)*($AN$10-$AL$10)*($AN$10-$AM$10))),$AM$10)</f>
        <v/>
      </c>
      <c r="AQ767">
        <f>IFERROR(IF(AZ767&lt;($AM$11-$AL$11)/($AN$11-$AL$11),$AL$11+SQRT(AZ767*($AN$11-$AL$11)*($AM$11-$AL$11)),$AN$11-SQRT((1-AZ767)*($AN$11-$AL$11)*($AN$11-$AM$11))),$AM$11)</f>
        <v/>
      </c>
      <c r="AR767">
        <f>SUMPRODUCT((B24:B31&lt;=$B$6)*(C24:C31*AM767+D24:D31*AO767*$B$8*AQ767)/(1+AL767/100)^B24:B31)+C32*AM767*AP767/(1+AL767/100)^$B$6</f>
        <v/>
      </c>
      <c r="AS767">
        <f>SUMPRODUCT((K24:K26&lt;=$B$6)*(L24:L26*AN767+M24:M26*AO767*$B$8*AQ767)/(1+AL767/100)^K24:K26)+L27*AN767*AP767/(1+AL767/100)^$B$6</f>
        <v/>
      </c>
      <c r="AT767">
        <f>AS767-AR767</f>
        <v/>
      </c>
      <c r="AU767">
        <f>RAND()</f>
        <v/>
      </c>
      <c r="AV767">
        <f>RAND()</f>
        <v/>
      </c>
      <c r="AW767">
        <f>RAND()</f>
        <v/>
      </c>
      <c r="AX767">
        <f>RAND()</f>
        <v/>
      </c>
      <c r="AY767">
        <f>RAND()</f>
        <v/>
      </c>
      <c r="AZ767">
        <f>RAND()</f>
        <v/>
      </c>
    </row>
    <row r="768">
      <c r="AK768" t="n">
        <v>755</v>
      </c>
      <c r="AL768">
        <f>IFERROR(IF(AU768&lt;($AM$6-$AL$6)/($AN$6-$AL$6),$AL$6+SQRT(AU768*($AN$6-$AL$6)*($AM$6-$AL$6)),$AN$6-SQRT((1-AU768)*($AN$6-$AL$6)*($AN$6-$AM$6))),$AM$6)</f>
        <v/>
      </c>
      <c r="AM768">
        <f>IFERROR(IF(AV768&lt;($AM$7-$AL$7)/($AN$7-$AL$7),$AL$7+SQRT(AV768*($AN$7-$AL$7)*($AM$7-$AL$7)),$AN$7-SQRT((1-AV768)*($AN$7-$AL$7)*($AN$7-$AM$7))),$AM$7)</f>
        <v/>
      </c>
      <c r="AN768">
        <f>IFERROR(IF(AW768&lt;($AM$8-$AL$8)/($AN$8-$AL$8),$AL$8+SQRT(AW768*($AN$8-$AL$8)*($AM$8-$AL$8)),$AN$8-SQRT((1-AW768)*($AN$8-$AL$8)*($AN$8-$AM$8))),$AM$8)</f>
        <v/>
      </c>
      <c r="AO768">
        <f>IFERROR(IF(AX768&lt;($AM$9-$AL$9)/($AN$9-$AL$9),$AL$9+SQRT(AX768*($AN$9-$AL$9)*($AM$9-$AL$9)),$AN$9-SQRT((1-AX768)*($AN$9-$AL$9)*($AN$9-$AM$9))),$AM$9)</f>
        <v/>
      </c>
      <c r="AP768">
        <f>IFERROR(IF(AY768&lt;($AM$10-$AL$10)/($AN$10-$AL$10),$AL$10+SQRT(AY768*($AN$10-$AL$10)*($AM$10-$AL$10)),$AN$10-SQRT((1-AY768)*($AN$10-$AL$10)*($AN$10-$AM$10))),$AM$10)</f>
        <v/>
      </c>
      <c r="AQ768">
        <f>IFERROR(IF(AZ768&lt;($AM$11-$AL$11)/($AN$11-$AL$11),$AL$11+SQRT(AZ768*($AN$11-$AL$11)*($AM$11-$AL$11)),$AN$11-SQRT((1-AZ768)*($AN$11-$AL$11)*($AN$11-$AM$11))),$AM$11)</f>
        <v/>
      </c>
      <c r="AR768">
        <f>SUMPRODUCT((B24:B31&lt;=$B$6)*(C24:C31*AM768+D24:D31*AO768*$B$8*AQ768)/(1+AL768/100)^B24:B31)+C32*AM768*AP768/(1+AL768/100)^$B$6</f>
        <v/>
      </c>
      <c r="AS768">
        <f>SUMPRODUCT((K24:K26&lt;=$B$6)*(L24:L26*AN768+M24:M26*AO768*$B$8*AQ768)/(1+AL768/100)^K24:K26)+L27*AN768*AP768/(1+AL768/100)^$B$6</f>
        <v/>
      </c>
      <c r="AT768">
        <f>AS768-AR768</f>
        <v/>
      </c>
      <c r="AU768">
        <f>RAND()</f>
        <v/>
      </c>
      <c r="AV768">
        <f>RAND()</f>
        <v/>
      </c>
      <c r="AW768">
        <f>RAND()</f>
        <v/>
      </c>
      <c r="AX768">
        <f>RAND()</f>
        <v/>
      </c>
      <c r="AY768">
        <f>RAND()</f>
        <v/>
      </c>
      <c r="AZ768">
        <f>RAND()</f>
        <v/>
      </c>
    </row>
    <row r="769">
      <c r="AK769" t="n">
        <v>756</v>
      </c>
      <c r="AL769">
        <f>IFERROR(IF(AU769&lt;($AM$6-$AL$6)/($AN$6-$AL$6),$AL$6+SQRT(AU769*($AN$6-$AL$6)*($AM$6-$AL$6)),$AN$6-SQRT((1-AU769)*($AN$6-$AL$6)*($AN$6-$AM$6))),$AM$6)</f>
        <v/>
      </c>
      <c r="AM769">
        <f>IFERROR(IF(AV769&lt;($AM$7-$AL$7)/($AN$7-$AL$7),$AL$7+SQRT(AV769*($AN$7-$AL$7)*($AM$7-$AL$7)),$AN$7-SQRT((1-AV769)*($AN$7-$AL$7)*($AN$7-$AM$7))),$AM$7)</f>
        <v/>
      </c>
      <c r="AN769">
        <f>IFERROR(IF(AW769&lt;($AM$8-$AL$8)/($AN$8-$AL$8),$AL$8+SQRT(AW769*($AN$8-$AL$8)*($AM$8-$AL$8)),$AN$8-SQRT((1-AW769)*($AN$8-$AL$8)*($AN$8-$AM$8))),$AM$8)</f>
        <v/>
      </c>
      <c r="AO769">
        <f>IFERROR(IF(AX769&lt;($AM$9-$AL$9)/($AN$9-$AL$9),$AL$9+SQRT(AX769*($AN$9-$AL$9)*($AM$9-$AL$9)),$AN$9-SQRT((1-AX769)*($AN$9-$AL$9)*($AN$9-$AM$9))),$AM$9)</f>
        <v/>
      </c>
      <c r="AP769">
        <f>IFERROR(IF(AY769&lt;($AM$10-$AL$10)/($AN$10-$AL$10),$AL$10+SQRT(AY769*($AN$10-$AL$10)*($AM$10-$AL$10)),$AN$10-SQRT((1-AY769)*($AN$10-$AL$10)*($AN$10-$AM$10))),$AM$10)</f>
        <v/>
      </c>
      <c r="AQ769">
        <f>IFERROR(IF(AZ769&lt;($AM$11-$AL$11)/($AN$11-$AL$11),$AL$11+SQRT(AZ769*($AN$11-$AL$11)*($AM$11-$AL$11)),$AN$11-SQRT((1-AZ769)*($AN$11-$AL$11)*($AN$11-$AM$11))),$AM$11)</f>
        <v/>
      </c>
      <c r="AR769">
        <f>SUMPRODUCT((B24:B31&lt;=$B$6)*(C24:C31*AM769+D24:D31*AO769*$B$8*AQ769)/(1+AL769/100)^B24:B31)+C32*AM769*AP769/(1+AL769/100)^$B$6</f>
        <v/>
      </c>
      <c r="AS769">
        <f>SUMPRODUCT((K24:K26&lt;=$B$6)*(L24:L26*AN769+M24:M26*AO769*$B$8*AQ769)/(1+AL769/100)^K24:K26)+L27*AN769*AP769/(1+AL769/100)^$B$6</f>
        <v/>
      </c>
      <c r="AT769">
        <f>AS769-AR769</f>
        <v/>
      </c>
      <c r="AU769">
        <f>RAND()</f>
        <v/>
      </c>
      <c r="AV769">
        <f>RAND()</f>
        <v/>
      </c>
      <c r="AW769">
        <f>RAND()</f>
        <v/>
      </c>
      <c r="AX769">
        <f>RAND()</f>
        <v/>
      </c>
      <c r="AY769">
        <f>RAND()</f>
        <v/>
      </c>
      <c r="AZ769">
        <f>RAND()</f>
        <v/>
      </c>
    </row>
    <row r="770">
      <c r="AK770" t="n">
        <v>757</v>
      </c>
      <c r="AL770">
        <f>IFERROR(IF(AU770&lt;($AM$6-$AL$6)/($AN$6-$AL$6),$AL$6+SQRT(AU770*($AN$6-$AL$6)*($AM$6-$AL$6)),$AN$6-SQRT((1-AU770)*($AN$6-$AL$6)*($AN$6-$AM$6))),$AM$6)</f>
        <v/>
      </c>
      <c r="AM770">
        <f>IFERROR(IF(AV770&lt;($AM$7-$AL$7)/($AN$7-$AL$7),$AL$7+SQRT(AV770*($AN$7-$AL$7)*($AM$7-$AL$7)),$AN$7-SQRT((1-AV770)*($AN$7-$AL$7)*($AN$7-$AM$7))),$AM$7)</f>
        <v/>
      </c>
      <c r="AN770">
        <f>IFERROR(IF(AW770&lt;($AM$8-$AL$8)/($AN$8-$AL$8),$AL$8+SQRT(AW770*($AN$8-$AL$8)*($AM$8-$AL$8)),$AN$8-SQRT((1-AW770)*($AN$8-$AL$8)*($AN$8-$AM$8))),$AM$8)</f>
        <v/>
      </c>
      <c r="AO770">
        <f>IFERROR(IF(AX770&lt;($AM$9-$AL$9)/($AN$9-$AL$9),$AL$9+SQRT(AX770*($AN$9-$AL$9)*($AM$9-$AL$9)),$AN$9-SQRT((1-AX770)*($AN$9-$AL$9)*($AN$9-$AM$9))),$AM$9)</f>
        <v/>
      </c>
      <c r="AP770">
        <f>IFERROR(IF(AY770&lt;($AM$10-$AL$10)/($AN$10-$AL$10),$AL$10+SQRT(AY770*($AN$10-$AL$10)*($AM$10-$AL$10)),$AN$10-SQRT((1-AY770)*($AN$10-$AL$10)*($AN$10-$AM$10))),$AM$10)</f>
        <v/>
      </c>
      <c r="AQ770">
        <f>IFERROR(IF(AZ770&lt;($AM$11-$AL$11)/($AN$11-$AL$11),$AL$11+SQRT(AZ770*($AN$11-$AL$11)*($AM$11-$AL$11)),$AN$11-SQRT((1-AZ770)*($AN$11-$AL$11)*($AN$11-$AM$11))),$AM$11)</f>
        <v/>
      </c>
      <c r="AR770">
        <f>SUMPRODUCT((B24:B31&lt;=$B$6)*(C24:C31*AM770+D24:D31*AO770*$B$8*AQ770)/(1+AL770/100)^B24:B31)+C32*AM770*AP770/(1+AL770/100)^$B$6</f>
        <v/>
      </c>
      <c r="AS770">
        <f>SUMPRODUCT((K24:K26&lt;=$B$6)*(L24:L26*AN770+M24:M26*AO770*$B$8*AQ770)/(1+AL770/100)^K24:K26)+L27*AN770*AP770/(1+AL770/100)^$B$6</f>
        <v/>
      </c>
      <c r="AT770">
        <f>AS770-AR770</f>
        <v/>
      </c>
      <c r="AU770">
        <f>RAND()</f>
        <v/>
      </c>
      <c r="AV770">
        <f>RAND()</f>
        <v/>
      </c>
      <c r="AW770">
        <f>RAND()</f>
        <v/>
      </c>
      <c r="AX770">
        <f>RAND()</f>
        <v/>
      </c>
      <c r="AY770">
        <f>RAND()</f>
        <v/>
      </c>
      <c r="AZ770">
        <f>RAND()</f>
        <v/>
      </c>
    </row>
    <row r="771">
      <c r="AK771" t="n">
        <v>758</v>
      </c>
      <c r="AL771">
        <f>IFERROR(IF(AU771&lt;($AM$6-$AL$6)/($AN$6-$AL$6),$AL$6+SQRT(AU771*($AN$6-$AL$6)*($AM$6-$AL$6)),$AN$6-SQRT((1-AU771)*($AN$6-$AL$6)*($AN$6-$AM$6))),$AM$6)</f>
        <v/>
      </c>
      <c r="AM771">
        <f>IFERROR(IF(AV771&lt;($AM$7-$AL$7)/($AN$7-$AL$7),$AL$7+SQRT(AV771*($AN$7-$AL$7)*($AM$7-$AL$7)),$AN$7-SQRT((1-AV771)*($AN$7-$AL$7)*($AN$7-$AM$7))),$AM$7)</f>
        <v/>
      </c>
      <c r="AN771">
        <f>IFERROR(IF(AW771&lt;($AM$8-$AL$8)/($AN$8-$AL$8),$AL$8+SQRT(AW771*($AN$8-$AL$8)*($AM$8-$AL$8)),$AN$8-SQRT((1-AW771)*($AN$8-$AL$8)*($AN$8-$AM$8))),$AM$8)</f>
        <v/>
      </c>
      <c r="AO771">
        <f>IFERROR(IF(AX771&lt;($AM$9-$AL$9)/($AN$9-$AL$9),$AL$9+SQRT(AX771*($AN$9-$AL$9)*($AM$9-$AL$9)),$AN$9-SQRT((1-AX771)*($AN$9-$AL$9)*($AN$9-$AM$9))),$AM$9)</f>
        <v/>
      </c>
      <c r="AP771">
        <f>IFERROR(IF(AY771&lt;($AM$10-$AL$10)/($AN$10-$AL$10),$AL$10+SQRT(AY771*($AN$10-$AL$10)*($AM$10-$AL$10)),$AN$10-SQRT((1-AY771)*($AN$10-$AL$10)*($AN$10-$AM$10))),$AM$10)</f>
        <v/>
      </c>
      <c r="AQ771">
        <f>IFERROR(IF(AZ771&lt;($AM$11-$AL$11)/($AN$11-$AL$11),$AL$11+SQRT(AZ771*($AN$11-$AL$11)*($AM$11-$AL$11)),$AN$11-SQRT((1-AZ771)*($AN$11-$AL$11)*($AN$11-$AM$11))),$AM$11)</f>
        <v/>
      </c>
      <c r="AR771">
        <f>SUMPRODUCT((B24:B31&lt;=$B$6)*(C24:C31*AM771+D24:D31*AO771*$B$8*AQ771)/(1+AL771/100)^B24:B31)+C32*AM771*AP771/(1+AL771/100)^$B$6</f>
        <v/>
      </c>
      <c r="AS771">
        <f>SUMPRODUCT((K24:K26&lt;=$B$6)*(L24:L26*AN771+M24:M26*AO771*$B$8*AQ771)/(1+AL771/100)^K24:K26)+L27*AN771*AP771/(1+AL771/100)^$B$6</f>
        <v/>
      </c>
      <c r="AT771">
        <f>AS771-AR771</f>
        <v/>
      </c>
      <c r="AU771">
        <f>RAND()</f>
        <v/>
      </c>
      <c r="AV771">
        <f>RAND()</f>
        <v/>
      </c>
      <c r="AW771">
        <f>RAND()</f>
        <v/>
      </c>
      <c r="AX771">
        <f>RAND()</f>
        <v/>
      </c>
      <c r="AY771">
        <f>RAND()</f>
        <v/>
      </c>
      <c r="AZ771">
        <f>RAND()</f>
        <v/>
      </c>
    </row>
    <row r="772">
      <c r="AK772" t="n">
        <v>759</v>
      </c>
      <c r="AL772">
        <f>IFERROR(IF(AU772&lt;($AM$6-$AL$6)/($AN$6-$AL$6),$AL$6+SQRT(AU772*($AN$6-$AL$6)*($AM$6-$AL$6)),$AN$6-SQRT((1-AU772)*($AN$6-$AL$6)*($AN$6-$AM$6))),$AM$6)</f>
        <v/>
      </c>
      <c r="AM772">
        <f>IFERROR(IF(AV772&lt;($AM$7-$AL$7)/($AN$7-$AL$7),$AL$7+SQRT(AV772*($AN$7-$AL$7)*($AM$7-$AL$7)),$AN$7-SQRT((1-AV772)*($AN$7-$AL$7)*($AN$7-$AM$7))),$AM$7)</f>
        <v/>
      </c>
      <c r="AN772">
        <f>IFERROR(IF(AW772&lt;($AM$8-$AL$8)/($AN$8-$AL$8),$AL$8+SQRT(AW772*($AN$8-$AL$8)*($AM$8-$AL$8)),$AN$8-SQRT((1-AW772)*($AN$8-$AL$8)*($AN$8-$AM$8))),$AM$8)</f>
        <v/>
      </c>
      <c r="AO772">
        <f>IFERROR(IF(AX772&lt;($AM$9-$AL$9)/($AN$9-$AL$9),$AL$9+SQRT(AX772*($AN$9-$AL$9)*($AM$9-$AL$9)),$AN$9-SQRT((1-AX772)*($AN$9-$AL$9)*($AN$9-$AM$9))),$AM$9)</f>
        <v/>
      </c>
      <c r="AP772">
        <f>IFERROR(IF(AY772&lt;($AM$10-$AL$10)/($AN$10-$AL$10),$AL$10+SQRT(AY772*($AN$10-$AL$10)*($AM$10-$AL$10)),$AN$10-SQRT((1-AY772)*($AN$10-$AL$10)*($AN$10-$AM$10))),$AM$10)</f>
        <v/>
      </c>
      <c r="AQ772">
        <f>IFERROR(IF(AZ772&lt;($AM$11-$AL$11)/($AN$11-$AL$11),$AL$11+SQRT(AZ772*($AN$11-$AL$11)*($AM$11-$AL$11)),$AN$11-SQRT((1-AZ772)*($AN$11-$AL$11)*($AN$11-$AM$11))),$AM$11)</f>
        <v/>
      </c>
      <c r="AR772">
        <f>SUMPRODUCT((B24:B31&lt;=$B$6)*(C24:C31*AM772+D24:D31*AO772*$B$8*AQ772)/(1+AL772/100)^B24:B31)+C32*AM772*AP772/(1+AL772/100)^$B$6</f>
        <v/>
      </c>
      <c r="AS772">
        <f>SUMPRODUCT((K24:K26&lt;=$B$6)*(L24:L26*AN772+M24:M26*AO772*$B$8*AQ772)/(1+AL772/100)^K24:K26)+L27*AN772*AP772/(1+AL772/100)^$B$6</f>
        <v/>
      </c>
      <c r="AT772">
        <f>AS772-AR772</f>
        <v/>
      </c>
      <c r="AU772">
        <f>RAND()</f>
        <v/>
      </c>
      <c r="AV772">
        <f>RAND()</f>
        <v/>
      </c>
      <c r="AW772">
        <f>RAND()</f>
        <v/>
      </c>
      <c r="AX772">
        <f>RAND()</f>
        <v/>
      </c>
      <c r="AY772">
        <f>RAND()</f>
        <v/>
      </c>
      <c r="AZ772">
        <f>RAND()</f>
        <v/>
      </c>
    </row>
    <row r="773">
      <c r="AK773" t="n">
        <v>760</v>
      </c>
      <c r="AL773">
        <f>IFERROR(IF(AU773&lt;($AM$6-$AL$6)/($AN$6-$AL$6),$AL$6+SQRT(AU773*($AN$6-$AL$6)*($AM$6-$AL$6)),$AN$6-SQRT((1-AU773)*($AN$6-$AL$6)*($AN$6-$AM$6))),$AM$6)</f>
        <v/>
      </c>
      <c r="AM773">
        <f>IFERROR(IF(AV773&lt;($AM$7-$AL$7)/($AN$7-$AL$7),$AL$7+SQRT(AV773*($AN$7-$AL$7)*($AM$7-$AL$7)),$AN$7-SQRT((1-AV773)*($AN$7-$AL$7)*($AN$7-$AM$7))),$AM$7)</f>
        <v/>
      </c>
      <c r="AN773">
        <f>IFERROR(IF(AW773&lt;($AM$8-$AL$8)/($AN$8-$AL$8),$AL$8+SQRT(AW773*($AN$8-$AL$8)*($AM$8-$AL$8)),$AN$8-SQRT((1-AW773)*($AN$8-$AL$8)*($AN$8-$AM$8))),$AM$8)</f>
        <v/>
      </c>
      <c r="AO773">
        <f>IFERROR(IF(AX773&lt;($AM$9-$AL$9)/($AN$9-$AL$9),$AL$9+SQRT(AX773*($AN$9-$AL$9)*($AM$9-$AL$9)),$AN$9-SQRT((1-AX773)*($AN$9-$AL$9)*($AN$9-$AM$9))),$AM$9)</f>
        <v/>
      </c>
      <c r="AP773">
        <f>IFERROR(IF(AY773&lt;($AM$10-$AL$10)/($AN$10-$AL$10),$AL$10+SQRT(AY773*($AN$10-$AL$10)*($AM$10-$AL$10)),$AN$10-SQRT((1-AY773)*($AN$10-$AL$10)*($AN$10-$AM$10))),$AM$10)</f>
        <v/>
      </c>
      <c r="AQ773">
        <f>IFERROR(IF(AZ773&lt;($AM$11-$AL$11)/($AN$11-$AL$11),$AL$11+SQRT(AZ773*($AN$11-$AL$11)*($AM$11-$AL$11)),$AN$11-SQRT((1-AZ773)*($AN$11-$AL$11)*($AN$11-$AM$11))),$AM$11)</f>
        <v/>
      </c>
      <c r="AR773">
        <f>SUMPRODUCT((B24:B31&lt;=$B$6)*(C24:C31*AM773+D24:D31*AO773*$B$8*AQ773)/(1+AL773/100)^B24:B31)+C32*AM773*AP773/(1+AL773/100)^$B$6</f>
        <v/>
      </c>
      <c r="AS773">
        <f>SUMPRODUCT((K24:K26&lt;=$B$6)*(L24:L26*AN773+M24:M26*AO773*$B$8*AQ773)/(1+AL773/100)^K24:K26)+L27*AN773*AP773/(1+AL773/100)^$B$6</f>
        <v/>
      </c>
      <c r="AT773">
        <f>AS773-AR773</f>
        <v/>
      </c>
      <c r="AU773">
        <f>RAND()</f>
        <v/>
      </c>
      <c r="AV773">
        <f>RAND()</f>
        <v/>
      </c>
      <c r="AW773">
        <f>RAND()</f>
        <v/>
      </c>
      <c r="AX773">
        <f>RAND()</f>
        <v/>
      </c>
      <c r="AY773">
        <f>RAND()</f>
        <v/>
      </c>
      <c r="AZ773">
        <f>RAND()</f>
        <v/>
      </c>
    </row>
    <row r="774">
      <c r="AK774" t="n">
        <v>761</v>
      </c>
      <c r="AL774">
        <f>IFERROR(IF(AU774&lt;($AM$6-$AL$6)/($AN$6-$AL$6),$AL$6+SQRT(AU774*($AN$6-$AL$6)*($AM$6-$AL$6)),$AN$6-SQRT((1-AU774)*($AN$6-$AL$6)*($AN$6-$AM$6))),$AM$6)</f>
        <v/>
      </c>
      <c r="AM774">
        <f>IFERROR(IF(AV774&lt;($AM$7-$AL$7)/($AN$7-$AL$7),$AL$7+SQRT(AV774*($AN$7-$AL$7)*($AM$7-$AL$7)),$AN$7-SQRT((1-AV774)*($AN$7-$AL$7)*($AN$7-$AM$7))),$AM$7)</f>
        <v/>
      </c>
      <c r="AN774">
        <f>IFERROR(IF(AW774&lt;($AM$8-$AL$8)/($AN$8-$AL$8),$AL$8+SQRT(AW774*($AN$8-$AL$8)*($AM$8-$AL$8)),$AN$8-SQRT((1-AW774)*($AN$8-$AL$8)*($AN$8-$AM$8))),$AM$8)</f>
        <v/>
      </c>
      <c r="AO774">
        <f>IFERROR(IF(AX774&lt;($AM$9-$AL$9)/($AN$9-$AL$9),$AL$9+SQRT(AX774*($AN$9-$AL$9)*($AM$9-$AL$9)),$AN$9-SQRT((1-AX774)*($AN$9-$AL$9)*($AN$9-$AM$9))),$AM$9)</f>
        <v/>
      </c>
      <c r="AP774">
        <f>IFERROR(IF(AY774&lt;($AM$10-$AL$10)/($AN$10-$AL$10),$AL$10+SQRT(AY774*($AN$10-$AL$10)*($AM$10-$AL$10)),$AN$10-SQRT((1-AY774)*($AN$10-$AL$10)*($AN$10-$AM$10))),$AM$10)</f>
        <v/>
      </c>
      <c r="AQ774">
        <f>IFERROR(IF(AZ774&lt;($AM$11-$AL$11)/($AN$11-$AL$11),$AL$11+SQRT(AZ774*($AN$11-$AL$11)*($AM$11-$AL$11)),$AN$11-SQRT((1-AZ774)*($AN$11-$AL$11)*($AN$11-$AM$11))),$AM$11)</f>
        <v/>
      </c>
      <c r="AR774">
        <f>SUMPRODUCT((B24:B31&lt;=$B$6)*(C24:C31*AM774+D24:D31*AO774*$B$8*AQ774)/(1+AL774/100)^B24:B31)+C32*AM774*AP774/(1+AL774/100)^$B$6</f>
        <v/>
      </c>
      <c r="AS774">
        <f>SUMPRODUCT((K24:K26&lt;=$B$6)*(L24:L26*AN774+M24:M26*AO774*$B$8*AQ774)/(1+AL774/100)^K24:K26)+L27*AN774*AP774/(1+AL774/100)^$B$6</f>
        <v/>
      </c>
      <c r="AT774">
        <f>AS774-AR774</f>
        <v/>
      </c>
      <c r="AU774">
        <f>RAND()</f>
        <v/>
      </c>
      <c r="AV774">
        <f>RAND()</f>
        <v/>
      </c>
      <c r="AW774">
        <f>RAND()</f>
        <v/>
      </c>
      <c r="AX774">
        <f>RAND()</f>
        <v/>
      </c>
      <c r="AY774">
        <f>RAND()</f>
        <v/>
      </c>
      <c r="AZ774">
        <f>RAND()</f>
        <v/>
      </c>
    </row>
    <row r="775">
      <c r="AK775" t="n">
        <v>762</v>
      </c>
      <c r="AL775">
        <f>IFERROR(IF(AU775&lt;($AM$6-$AL$6)/($AN$6-$AL$6),$AL$6+SQRT(AU775*($AN$6-$AL$6)*($AM$6-$AL$6)),$AN$6-SQRT((1-AU775)*($AN$6-$AL$6)*($AN$6-$AM$6))),$AM$6)</f>
        <v/>
      </c>
      <c r="AM775">
        <f>IFERROR(IF(AV775&lt;($AM$7-$AL$7)/($AN$7-$AL$7),$AL$7+SQRT(AV775*($AN$7-$AL$7)*($AM$7-$AL$7)),$AN$7-SQRT((1-AV775)*($AN$7-$AL$7)*($AN$7-$AM$7))),$AM$7)</f>
        <v/>
      </c>
      <c r="AN775">
        <f>IFERROR(IF(AW775&lt;($AM$8-$AL$8)/($AN$8-$AL$8),$AL$8+SQRT(AW775*($AN$8-$AL$8)*($AM$8-$AL$8)),$AN$8-SQRT((1-AW775)*($AN$8-$AL$8)*($AN$8-$AM$8))),$AM$8)</f>
        <v/>
      </c>
      <c r="AO775">
        <f>IFERROR(IF(AX775&lt;($AM$9-$AL$9)/($AN$9-$AL$9),$AL$9+SQRT(AX775*($AN$9-$AL$9)*($AM$9-$AL$9)),$AN$9-SQRT((1-AX775)*($AN$9-$AL$9)*($AN$9-$AM$9))),$AM$9)</f>
        <v/>
      </c>
      <c r="AP775">
        <f>IFERROR(IF(AY775&lt;($AM$10-$AL$10)/($AN$10-$AL$10),$AL$10+SQRT(AY775*($AN$10-$AL$10)*($AM$10-$AL$10)),$AN$10-SQRT((1-AY775)*($AN$10-$AL$10)*($AN$10-$AM$10))),$AM$10)</f>
        <v/>
      </c>
      <c r="AQ775">
        <f>IFERROR(IF(AZ775&lt;($AM$11-$AL$11)/($AN$11-$AL$11),$AL$11+SQRT(AZ775*($AN$11-$AL$11)*($AM$11-$AL$11)),$AN$11-SQRT((1-AZ775)*($AN$11-$AL$11)*($AN$11-$AM$11))),$AM$11)</f>
        <v/>
      </c>
      <c r="AR775">
        <f>SUMPRODUCT((B24:B31&lt;=$B$6)*(C24:C31*AM775+D24:D31*AO775*$B$8*AQ775)/(1+AL775/100)^B24:B31)+C32*AM775*AP775/(1+AL775/100)^$B$6</f>
        <v/>
      </c>
      <c r="AS775">
        <f>SUMPRODUCT((K24:K26&lt;=$B$6)*(L24:L26*AN775+M24:M26*AO775*$B$8*AQ775)/(1+AL775/100)^K24:K26)+L27*AN775*AP775/(1+AL775/100)^$B$6</f>
        <v/>
      </c>
      <c r="AT775">
        <f>AS775-AR775</f>
        <v/>
      </c>
      <c r="AU775">
        <f>RAND()</f>
        <v/>
      </c>
      <c r="AV775">
        <f>RAND()</f>
        <v/>
      </c>
      <c r="AW775">
        <f>RAND()</f>
        <v/>
      </c>
      <c r="AX775">
        <f>RAND()</f>
        <v/>
      </c>
      <c r="AY775">
        <f>RAND()</f>
        <v/>
      </c>
      <c r="AZ775">
        <f>RAND()</f>
        <v/>
      </c>
    </row>
    <row r="776">
      <c r="AK776" t="n">
        <v>763</v>
      </c>
      <c r="AL776">
        <f>IFERROR(IF(AU776&lt;($AM$6-$AL$6)/($AN$6-$AL$6),$AL$6+SQRT(AU776*($AN$6-$AL$6)*($AM$6-$AL$6)),$AN$6-SQRT((1-AU776)*($AN$6-$AL$6)*($AN$6-$AM$6))),$AM$6)</f>
        <v/>
      </c>
      <c r="AM776">
        <f>IFERROR(IF(AV776&lt;($AM$7-$AL$7)/($AN$7-$AL$7),$AL$7+SQRT(AV776*($AN$7-$AL$7)*($AM$7-$AL$7)),$AN$7-SQRT((1-AV776)*($AN$7-$AL$7)*($AN$7-$AM$7))),$AM$7)</f>
        <v/>
      </c>
      <c r="AN776">
        <f>IFERROR(IF(AW776&lt;($AM$8-$AL$8)/($AN$8-$AL$8),$AL$8+SQRT(AW776*($AN$8-$AL$8)*($AM$8-$AL$8)),$AN$8-SQRT((1-AW776)*($AN$8-$AL$8)*($AN$8-$AM$8))),$AM$8)</f>
        <v/>
      </c>
      <c r="AO776">
        <f>IFERROR(IF(AX776&lt;($AM$9-$AL$9)/($AN$9-$AL$9),$AL$9+SQRT(AX776*($AN$9-$AL$9)*($AM$9-$AL$9)),$AN$9-SQRT((1-AX776)*($AN$9-$AL$9)*($AN$9-$AM$9))),$AM$9)</f>
        <v/>
      </c>
      <c r="AP776">
        <f>IFERROR(IF(AY776&lt;($AM$10-$AL$10)/($AN$10-$AL$10),$AL$10+SQRT(AY776*($AN$10-$AL$10)*($AM$10-$AL$10)),$AN$10-SQRT((1-AY776)*($AN$10-$AL$10)*($AN$10-$AM$10))),$AM$10)</f>
        <v/>
      </c>
      <c r="AQ776">
        <f>IFERROR(IF(AZ776&lt;($AM$11-$AL$11)/($AN$11-$AL$11),$AL$11+SQRT(AZ776*($AN$11-$AL$11)*($AM$11-$AL$11)),$AN$11-SQRT((1-AZ776)*($AN$11-$AL$11)*($AN$11-$AM$11))),$AM$11)</f>
        <v/>
      </c>
      <c r="AR776">
        <f>SUMPRODUCT((B24:B31&lt;=$B$6)*(C24:C31*AM776+D24:D31*AO776*$B$8*AQ776)/(1+AL776/100)^B24:B31)+C32*AM776*AP776/(1+AL776/100)^$B$6</f>
        <v/>
      </c>
      <c r="AS776">
        <f>SUMPRODUCT((K24:K26&lt;=$B$6)*(L24:L26*AN776+M24:M26*AO776*$B$8*AQ776)/(1+AL776/100)^K24:K26)+L27*AN776*AP776/(1+AL776/100)^$B$6</f>
        <v/>
      </c>
      <c r="AT776">
        <f>AS776-AR776</f>
        <v/>
      </c>
      <c r="AU776">
        <f>RAND()</f>
        <v/>
      </c>
      <c r="AV776">
        <f>RAND()</f>
        <v/>
      </c>
      <c r="AW776">
        <f>RAND()</f>
        <v/>
      </c>
      <c r="AX776">
        <f>RAND()</f>
        <v/>
      </c>
      <c r="AY776">
        <f>RAND()</f>
        <v/>
      </c>
      <c r="AZ776">
        <f>RAND()</f>
        <v/>
      </c>
    </row>
    <row r="777">
      <c r="AK777" t="n">
        <v>764</v>
      </c>
      <c r="AL777">
        <f>IFERROR(IF(AU777&lt;($AM$6-$AL$6)/($AN$6-$AL$6),$AL$6+SQRT(AU777*($AN$6-$AL$6)*($AM$6-$AL$6)),$AN$6-SQRT((1-AU777)*($AN$6-$AL$6)*($AN$6-$AM$6))),$AM$6)</f>
        <v/>
      </c>
      <c r="AM777">
        <f>IFERROR(IF(AV777&lt;($AM$7-$AL$7)/($AN$7-$AL$7),$AL$7+SQRT(AV777*($AN$7-$AL$7)*($AM$7-$AL$7)),$AN$7-SQRT((1-AV777)*($AN$7-$AL$7)*($AN$7-$AM$7))),$AM$7)</f>
        <v/>
      </c>
      <c r="AN777">
        <f>IFERROR(IF(AW777&lt;($AM$8-$AL$8)/($AN$8-$AL$8),$AL$8+SQRT(AW777*($AN$8-$AL$8)*($AM$8-$AL$8)),$AN$8-SQRT((1-AW777)*($AN$8-$AL$8)*($AN$8-$AM$8))),$AM$8)</f>
        <v/>
      </c>
      <c r="AO777">
        <f>IFERROR(IF(AX777&lt;($AM$9-$AL$9)/($AN$9-$AL$9),$AL$9+SQRT(AX777*($AN$9-$AL$9)*($AM$9-$AL$9)),$AN$9-SQRT((1-AX777)*($AN$9-$AL$9)*($AN$9-$AM$9))),$AM$9)</f>
        <v/>
      </c>
      <c r="AP777">
        <f>IFERROR(IF(AY777&lt;($AM$10-$AL$10)/($AN$10-$AL$10),$AL$10+SQRT(AY777*($AN$10-$AL$10)*($AM$10-$AL$10)),$AN$10-SQRT((1-AY777)*($AN$10-$AL$10)*($AN$10-$AM$10))),$AM$10)</f>
        <v/>
      </c>
      <c r="AQ777">
        <f>IFERROR(IF(AZ777&lt;($AM$11-$AL$11)/($AN$11-$AL$11),$AL$11+SQRT(AZ777*($AN$11-$AL$11)*($AM$11-$AL$11)),$AN$11-SQRT((1-AZ777)*($AN$11-$AL$11)*($AN$11-$AM$11))),$AM$11)</f>
        <v/>
      </c>
      <c r="AR777">
        <f>SUMPRODUCT((B24:B31&lt;=$B$6)*(C24:C31*AM777+D24:D31*AO777*$B$8*AQ777)/(1+AL777/100)^B24:B31)+C32*AM777*AP777/(1+AL777/100)^$B$6</f>
        <v/>
      </c>
      <c r="AS777">
        <f>SUMPRODUCT((K24:K26&lt;=$B$6)*(L24:L26*AN777+M24:M26*AO777*$B$8*AQ777)/(1+AL777/100)^K24:K26)+L27*AN777*AP777/(1+AL777/100)^$B$6</f>
        <v/>
      </c>
      <c r="AT777">
        <f>AS777-AR777</f>
        <v/>
      </c>
      <c r="AU777">
        <f>RAND()</f>
        <v/>
      </c>
      <c r="AV777">
        <f>RAND()</f>
        <v/>
      </c>
      <c r="AW777">
        <f>RAND()</f>
        <v/>
      </c>
      <c r="AX777">
        <f>RAND()</f>
        <v/>
      </c>
      <c r="AY777">
        <f>RAND()</f>
        <v/>
      </c>
      <c r="AZ777">
        <f>RAND()</f>
        <v/>
      </c>
    </row>
    <row r="778">
      <c r="AK778" t="n">
        <v>765</v>
      </c>
      <c r="AL778">
        <f>IFERROR(IF(AU778&lt;($AM$6-$AL$6)/($AN$6-$AL$6),$AL$6+SQRT(AU778*($AN$6-$AL$6)*($AM$6-$AL$6)),$AN$6-SQRT((1-AU778)*($AN$6-$AL$6)*($AN$6-$AM$6))),$AM$6)</f>
        <v/>
      </c>
      <c r="AM778">
        <f>IFERROR(IF(AV778&lt;($AM$7-$AL$7)/($AN$7-$AL$7),$AL$7+SQRT(AV778*($AN$7-$AL$7)*($AM$7-$AL$7)),$AN$7-SQRT((1-AV778)*($AN$7-$AL$7)*($AN$7-$AM$7))),$AM$7)</f>
        <v/>
      </c>
      <c r="AN778">
        <f>IFERROR(IF(AW778&lt;($AM$8-$AL$8)/($AN$8-$AL$8),$AL$8+SQRT(AW778*($AN$8-$AL$8)*($AM$8-$AL$8)),$AN$8-SQRT((1-AW778)*($AN$8-$AL$8)*($AN$8-$AM$8))),$AM$8)</f>
        <v/>
      </c>
      <c r="AO778">
        <f>IFERROR(IF(AX778&lt;($AM$9-$AL$9)/($AN$9-$AL$9),$AL$9+SQRT(AX778*($AN$9-$AL$9)*($AM$9-$AL$9)),$AN$9-SQRT((1-AX778)*($AN$9-$AL$9)*($AN$9-$AM$9))),$AM$9)</f>
        <v/>
      </c>
      <c r="AP778">
        <f>IFERROR(IF(AY778&lt;($AM$10-$AL$10)/($AN$10-$AL$10),$AL$10+SQRT(AY778*($AN$10-$AL$10)*($AM$10-$AL$10)),$AN$10-SQRT((1-AY778)*($AN$10-$AL$10)*($AN$10-$AM$10))),$AM$10)</f>
        <v/>
      </c>
      <c r="AQ778">
        <f>IFERROR(IF(AZ778&lt;($AM$11-$AL$11)/($AN$11-$AL$11),$AL$11+SQRT(AZ778*($AN$11-$AL$11)*($AM$11-$AL$11)),$AN$11-SQRT((1-AZ778)*($AN$11-$AL$11)*($AN$11-$AM$11))),$AM$11)</f>
        <v/>
      </c>
      <c r="AR778">
        <f>SUMPRODUCT((B24:B31&lt;=$B$6)*(C24:C31*AM778+D24:D31*AO778*$B$8*AQ778)/(1+AL778/100)^B24:B31)+C32*AM778*AP778/(1+AL778/100)^$B$6</f>
        <v/>
      </c>
      <c r="AS778">
        <f>SUMPRODUCT((K24:K26&lt;=$B$6)*(L24:L26*AN778+M24:M26*AO778*$B$8*AQ778)/(1+AL778/100)^K24:K26)+L27*AN778*AP778/(1+AL778/100)^$B$6</f>
        <v/>
      </c>
      <c r="AT778">
        <f>AS778-AR778</f>
        <v/>
      </c>
      <c r="AU778">
        <f>RAND()</f>
        <v/>
      </c>
      <c r="AV778">
        <f>RAND()</f>
        <v/>
      </c>
      <c r="AW778">
        <f>RAND()</f>
        <v/>
      </c>
      <c r="AX778">
        <f>RAND()</f>
        <v/>
      </c>
      <c r="AY778">
        <f>RAND()</f>
        <v/>
      </c>
      <c r="AZ778">
        <f>RAND()</f>
        <v/>
      </c>
    </row>
    <row r="779">
      <c r="AK779" t="n">
        <v>766</v>
      </c>
      <c r="AL779">
        <f>IFERROR(IF(AU779&lt;($AM$6-$AL$6)/($AN$6-$AL$6),$AL$6+SQRT(AU779*($AN$6-$AL$6)*($AM$6-$AL$6)),$AN$6-SQRT((1-AU779)*($AN$6-$AL$6)*($AN$6-$AM$6))),$AM$6)</f>
        <v/>
      </c>
      <c r="AM779">
        <f>IFERROR(IF(AV779&lt;($AM$7-$AL$7)/($AN$7-$AL$7),$AL$7+SQRT(AV779*($AN$7-$AL$7)*($AM$7-$AL$7)),$AN$7-SQRT((1-AV779)*($AN$7-$AL$7)*($AN$7-$AM$7))),$AM$7)</f>
        <v/>
      </c>
      <c r="AN779">
        <f>IFERROR(IF(AW779&lt;($AM$8-$AL$8)/($AN$8-$AL$8),$AL$8+SQRT(AW779*($AN$8-$AL$8)*($AM$8-$AL$8)),$AN$8-SQRT((1-AW779)*($AN$8-$AL$8)*($AN$8-$AM$8))),$AM$8)</f>
        <v/>
      </c>
      <c r="AO779">
        <f>IFERROR(IF(AX779&lt;($AM$9-$AL$9)/($AN$9-$AL$9),$AL$9+SQRT(AX779*($AN$9-$AL$9)*($AM$9-$AL$9)),$AN$9-SQRT((1-AX779)*($AN$9-$AL$9)*($AN$9-$AM$9))),$AM$9)</f>
        <v/>
      </c>
      <c r="AP779">
        <f>IFERROR(IF(AY779&lt;($AM$10-$AL$10)/($AN$10-$AL$10),$AL$10+SQRT(AY779*($AN$10-$AL$10)*($AM$10-$AL$10)),$AN$10-SQRT((1-AY779)*($AN$10-$AL$10)*($AN$10-$AM$10))),$AM$10)</f>
        <v/>
      </c>
      <c r="AQ779">
        <f>IFERROR(IF(AZ779&lt;($AM$11-$AL$11)/($AN$11-$AL$11),$AL$11+SQRT(AZ779*($AN$11-$AL$11)*($AM$11-$AL$11)),$AN$11-SQRT((1-AZ779)*($AN$11-$AL$11)*($AN$11-$AM$11))),$AM$11)</f>
        <v/>
      </c>
      <c r="AR779">
        <f>SUMPRODUCT((B24:B31&lt;=$B$6)*(C24:C31*AM779+D24:D31*AO779*$B$8*AQ779)/(1+AL779/100)^B24:B31)+C32*AM779*AP779/(1+AL779/100)^$B$6</f>
        <v/>
      </c>
      <c r="AS779">
        <f>SUMPRODUCT((K24:K26&lt;=$B$6)*(L24:L26*AN779+M24:M26*AO779*$B$8*AQ779)/(1+AL779/100)^K24:K26)+L27*AN779*AP779/(1+AL779/100)^$B$6</f>
        <v/>
      </c>
      <c r="AT779">
        <f>AS779-AR779</f>
        <v/>
      </c>
      <c r="AU779">
        <f>RAND()</f>
        <v/>
      </c>
      <c r="AV779">
        <f>RAND()</f>
        <v/>
      </c>
      <c r="AW779">
        <f>RAND()</f>
        <v/>
      </c>
      <c r="AX779">
        <f>RAND()</f>
        <v/>
      </c>
      <c r="AY779">
        <f>RAND()</f>
        <v/>
      </c>
      <c r="AZ779">
        <f>RAND()</f>
        <v/>
      </c>
    </row>
    <row r="780">
      <c r="AK780" t="n">
        <v>767</v>
      </c>
      <c r="AL780">
        <f>IFERROR(IF(AU780&lt;($AM$6-$AL$6)/($AN$6-$AL$6),$AL$6+SQRT(AU780*($AN$6-$AL$6)*($AM$6-$AL$6)),$AN$6-SQRT((1-AU780)*($AN$6-$AL$6)*($AN$6-$AM$6))),$AM$6)</f>
        <v/>
      </c>
      <c r="AM780">
        <f>IFERROR(IF(AV780&lt;($AM$7-$AL$7)/($AN$7-$AL$7),$AL$7+SQRT(AV780*($AN$7-$AL$7)*($AM$7-$AL$7)),$AN$7-SQRT((1-AV780)*($AN$7-$AL$7)*($AN$7-$AM$7))),$AM$7)</f>
        <v/>
      </c>
      <c r="AN780">
        <f>IFERROR(IF(AW780&lt;($AM$8-$AL$8)/($AN$8-$AL$8),$AL$8+SQRT(AW780*($AN$8-$AL$8)*($AM$8-$AL$8)),$AN$8-SQRT((1-AW780)*($AN$8-$AL$8)*($AN$8-$AM$8))),$AM$8)</f>
        <v/>
      </c>
      <c r="AO780">
        <f>IFERROR(IF(AX780&lt;($AM$9-$AL$9)/($AN$9-$AL$9),$AL$9+SQRT(AX780*($AN$9-$AL$9)*($AM$9-$AL$9)),$AN$9-SQRT((1-AX780)*($AN$9-$AL$9)*($AN$9-$AM$9))),$AM$9)</f>
        <v/>
      </c>
      <c r="AP780">
        <f>IFERROR(IF(AY780&lt;($AM$10-$AL$10)/($AN$10-$AL$10),$AL$10+SQRT(AY780*($AN$10-$AL$10)*($AM$10-$AL$10)),$AN$10-SQRT((1-AY780)*($AN$10-$AL$10)*($AN$10-$AM$10))),$AM$10)</f>
        <v/>
      </c>
      <c r="AQ780">
        <f>IFERROR(IF(AZ780&lt;($AM$11-$AL$11)/($AN$11-$AL$11),$AL$11+SQRT(AZ780*($AN$11-$AL$11)*($AM$11-$AL$11)),$AN$11-SQRT((1-AZ780)*($AN$11-$AL$11)*($AN$11-$AM$11))),$AM$11)</f>
        <v/>
      </c>
      <c r="AR780">
        <f>SUMPRODUCT((B24:B31&lt;=$B$6)*(C24:C31*AM780+D24:D31*AO780*$B$8*AQ780)/(1+AL780/100)^B24:B31)+C32*AM780*AP780/(1+AL780/100)^$B$6</f>
        <v/>
      </c>
      <c r="AS780">
        <f>SUMPRODUCT((K24:K26&lt;=$B$6)*(L24:L26*AN780+M24:M26*AO780*$B$8*AQ780)/(1+AL780/100)^K24:K26)+L27*AN780*AP780/(1+AL780/100)^$B$6</f>
        <v/>
      </c>
      <c r="AT780">
        <f>AS780-AR780</f>
        <v/>
      </c>
      <c r="AU780">
        <f>RAND()</f>
        <v/>
      </c>
      <c r="AV780">
        <f>RAND()</f>
        <v/>
      </c>
      <c r="AW780">
        <f>RAND()</f>
        <v/>
      </c>
      <c r="AX780">
        <f>RAND()</f>
        <v/>
      </c>
      <c r="AY780">
        <f>RAND()</f>
        <v/>
      </c>
      <c r="AZ780">
        <f>RAND()</f>
        <v/>
      </c>
    </row>
    <row r="781">
      <c r="AK781" t="n">
        <v>768</v>
      </c>
      <c r="AL781">
        <f>IFERROR(IF(AU781&lt;($AM$6-$AL$6)/($AN$6-$AL$6),$AL$6+SQRT(AU781*($AN$6-$AL$6)*($AM$6-$AL$6)),$AN$6-SQRT((1-AU781)*($AN$6-$AL$6)*($AN$6-$AM$6))),$AM$6)</f>
        <v/>
      </c>
      <c r="AM781">
        <f>IFERROR(IF(AV781&lt;($AM$7-$AL$7)/($AN$7-$AL$7),$AL$7+SQRT(AV781*($AN$7-$AL$7)*($AM$7-$AL$7)),$AN$7-SQRT((1-AV781)*($AN$7-$AL$7)*($AN$7-$AM$7))),$AM$7)</f>
        <v/>
      </c>
      <c r="AN781">
        <f>IFERROR(IF(AW781&lt;($AM$8-$AL$8)/($AN$8-$AL$8),$AL$8+SQRT(AW781*($AN$8-$AL$8)*($AM$8-$AL$8)),$AN$8-SQRT((1-AW781)*($AN$8-$AL$8)*($AN$8-$AM$8))),$AM$8)</f>
        <v/>
      </c>
      <c r="AO781">
        <f>IFERROR(IF(AX781&lt;($AM$9-$AL$9)/($AN$9-$AL$9),$AL$9+SQRT(AX781*($AN$9-$AL$9)*($AM$9-$AL$9)),$AN$9-SQRT((1-AX781)*($AN$9-$AL$9)*($AN$9-$AM$9))),$AM$9)</f>
        <v/>
      </c>
      <c r="AP781">
        <f>IFERROR(IF(AY781&lt;($AM$10-$AL$10)/($AN$10-$AL$10),$AL$10+SQRT(AY781*($AN$10-$AL$10)*($AM$10-$AL$10)),$AN$10-SQRT((1-AY781)*($AN$10-$AL$10)*($AN$10-$AM$10))),$AM$10)</f>
        <v/>
      </c>
      <c r="AQ781">
        <f>IFERROR(IF(AZ781&lt;($AM$11-$AL$11)/($AN$11-$AL$11),$AL$11+SQRT(AZ781*($AN$11-$AL$11)*($AM$11-$AL$11)),$AN$11-SQRT((1-AZ781)*($AN$11-$AL$11)*($AN$11-$AM$11))),$AM$11)</f>
        <v/>
      </c>
      <c r="AR781">
        <f>SUMPRODUCT((B24:B31&lt;=$B$6)*(C24:C31*AM781+D24:D31*AO781*$B$8*AQ781)/(1+AL781/100)^B24:B31)+C32*AM781*AP781/(1+AL781/100)^$B$6</f>
        <v/>
      </c>
      <c r="AS781">
        <f>SUMPRODUCT((K24:K26&lt;=$B$6)*(L24:L26*AN781+M24:M26*AO781*$B$8*AQ781)/(1+AL781/100)^K24:K26)+L27*AN781*AP781/(1+AL781/100)^$B$6</f>
        <v/>
      </c>
      <c r="AT781">
        <f>AS781-AR781</f>
        <v/>
      </c>
      <c r="AU781">
        <f>RAND()</f>
        <v/>
      </c>
      <c r="AV781">
        <f>RAND()</f>
        <v/>
      </c>
      <c r="AW781">
        <f>RAND()</f>
        <v/>
      </c>
      <c r="AX781">
        <f>RAND()</f>
        <v/>
      </c>
      <c r="AY781">
        <f>RAND()</f>
        <v/>
      </c>
      <c r="AZ781">
        <f>RAND()</f>
        <v/>
      </c>
    </row>
    <row r="782">
      <c r="AK782" t="n">
        <v>769</v>
      </c>
      <c r="AL782">
        <f>IFERROR(IF(AU782&lt;($AM$6-$AL$6)/($AN$6-$AL$6),$AL$6+SQRT(AU782*($AN$6-$AL$6)*($AM$6-$AL$6)),$AN$6-SQRT((1-AU782)*($AN$6-$AL$6)*($AN$6-$AM$6))),$AM$6)</f>
        <v/>
      </c>
      <c r="AM782">
        <f>IFERROR(IF(AV782&lt;($AM$7-$AL$7)/($AN$7-$AL$7),$AL$7+SQRT(AV782*($AN$7-$AL$7)*($AM$7-$AL$7)),$AN$7-SQRT((1-AV782)*($AN$7-$AL$7)*($AN$7-$AM$7))),$AM$7)</f>
        <v/>
      </c>
      <c r="AN782">
        <f>IFERROR(IF(AW782&lt;($AM$8-$AL$8)/($AN$8-$AL$8),$AL$8+SQRT(AW782*($AN$8-$AL$8)*($AM$8-$AL$8)),$AN$8-SQRT((1-AW782)*($AN$8-$AL$8)*($AN$8-$AM$8))),$AM$8)</f>
        <v/>
      </c>
      <c r="AO782">
        <f>IFERROR(IF(AX782&lt;($AM$9-$AL$9)/($AN$9-$AL$9),$AL$9+SQRT(AX782*($AN$9-$AL$9)*($AM$9-$AL$9)),$AN$9-SQRT((1-AX782)*($AN$9-$AL$9)*($AN$9-$AM$9))),$AM$9)</f>
        <v/>
      </c>
      <c r="AP782">
        <f>IFERROR(IF(AY782&lt;($AM$10-$AL$10)/($AN$10-$AL$10),$AL$10+SQRT(AY782*($AN$10-$AL$10)*($AM$10-$AL$10)),$AN$10-SQRT((1-AY782)*($AN$10-$AL$10)*($AN$10-$AM$10))),$AM$10)</f>
        <v/>
      </c>
      <c r="AQ782">
        <f>IFERROR(IF(AZ782&lt;($AM$11-$AL$11)/($AN$11-$AL$11),$AL$11+SQRT(AZ782*($AN$11-$AL$11)*($AM$11-$AL$11)),$AN$11-SQRT((1-AZ782)*($AN$11-$AL$11)*($AN$11-$AM$11))),$AM$11)</f>
        <v/>
      </c>
      <c r="AR782">
        <f>SUMPRODUCT((B24:B31&lt;=$B$6)*(C24:C31*AM782+D24:D31*AO782*$B$8*AQ782)/(1+AL782/100)^B24:B31)+C32*AM782*AP782/(1+AL782/100)^$B$6</f>
        <v/>
      </c>
      <c r="AS782">
        <f>SUMPRODUCT((K24:K26&lt;=$B$6)*(L24:L26*AN782+M24:M26*AO782*$B$8*AQ782)/(1+AL782/100)^K24:K26)+L27*AN782*AP782/(1+AL782/100)^$B$6</f>
        <v/>
      </c>
      <c r="AT782">
        <f>AS782-AR782</f>
        <v/>
      </c>
      <c r="AU782">
        <f>RAND()</f>
        <v/>
      </c>
      <c r="AV782">
        <f>RAND()</f>
        <v/>
      </c>
      <c r="AW782">
        <f>RAND()</f>
        <v/>
      </c>
      <c r="AX782">
        <f>RAND()</f>
        <v/>
      </c>
      <c r="AY782">
        <f>RAND()</f>
        <v/>
      </c>
      <c r="AZ782">
        <f>RAND()</f>
        <v/>
      </c>
    </row>
    <row r="783">
      <c r="AK783" t="n">
        <v>770</v>
      </c>
      <c r="AL783">
        <f>IFERROR(IF(AU783&lt;($AM$6-$AL$6)/($AN$6-$AL$6),$AL$6+SQRT(AU783*($AN$6-$AL$6)*($AM$6-$AL$6)),$AN$6-SQRT((1-AU783)*($AN$6-$AL$6)*($AN$6-$AM$6))),$AM$6)</f>
        <v/>
      </c>
      <c r="AM783">
        <f>IFERROR(IF(AV783&lt;($AM$7-$AL$7)/($AN$7-$AL$7),$AL$7+SQRT(AV783*($AN$7-$AL$7)*($AM$7-$AL$7)),$AN$7-SQRT((1-AV783)*($AN$7-$AL$7)*($AN$7-$AM$7))),$AM$7)</f>
        <v/>
      </c>
      <c r="AN783">
        <f>IFERROR(IF(AW783&lt;($AM$8-$AL$8)/($AN$8-$AL$8),$AL$8+SQRT(AW783*($AN$8-$AL$8)*($AM$8-$AL$8)),$AN$8-SQRT((1-AW783)*($AN$8-$AL$8)*($AN$8-$AM$8))),$AM$8)</f>
        <v/>
      </c>
      <c r="AO783">
        <f>IFERROR(IF(AX783&lt;($AM$9-$AL$9)/($AN$9-$AL$9),$AL$9+SQRT(AX783*($AN$9-$AL$9)*($AM$9-$AL$9)),$AN$9-SQRT((1-AX783)*($AN$9-$AL$9)*($AN$9-$AM$9))),$AM$9)</f>
        <v/>
      </c>
      <c r="AP783">
        <f>IFERROR(IF(AY783&lt;($AM$10-$AL$10)/($AN$10-$AL$10),$AL$10+SQRT(AY783*($AN$10-$AL$10)*($AM$10-$AL$10)),$AN$10-SQRT((1-AY783)*($AN$10-$AL$10)*($AN$10-$AM$10))),$AM$10)</f>
        <v/>
      </c>
      <c r="AQ783">
        <f>IFERROR(IF(AZ783&lt;($AM$11-$AL$11)/($AN$11-$AL$11),$AL$11+SQRT(AZ783*($AN$11-$AL$11)*($AM$11-$AL$11)),$AN$11-SQRT((1-AZ783)*($AN$11-$AL$11)*($AN$11-$AM$11))),$AM$11)</f>
        <v/>
      </c>
      <c r="AR783">
        <f>SUMPRODUCT((B24:B31&lt;=$B$6)*(C24:C31*AM783+D24:D31*AO783*$B$8*AQ783)/(1+AL783/100)^B24:B31)+C32*AM783*AP783/(1+AL783/100)^$B$6</f>
        <v/>
      </c>
      <c r="AS783">
        <f>SUMPRODUCT((K24:K26&lt;=$B$6)*(L24:L26*AN783+M24:M26*AO783*$B$8*AQ783)/(1+AL783/100)^K24:K26)+L27*AN783*AP783/(1+AL783/100)^$B$6</f>
        <v/>
      </c>
      <c r="AT783">
        <f>AS783-AR783</f>
        <v/>
      </c>
      <c r="AU783">
        <f>RAND()</f>
        <v/>
      </c>
      <c r="AV783">
        <f>RAND()</f>
        <v/>
      </c>
      <c r="AW783">
        <f>RAND()</f>
        <v/>
      </c>
      <c r="AX783">
        <f>RAND()</f>
        <v/>
      </c>
      <c r="AY783">
        <f>RAND()</f>
        <v/>
      </c>
      <c r="AZ783">
        <f>RAND()</f>
        <v/>
      </c>
    </row>
    <row r="784">
      <c r="AK784" t="n">
        <v>771</v>
      </c>
      <c r="AL784">
        <f>IFERROR(IF(AU784&lt;($AM$6-$AL$6)/($AN$6-$AL$6),$AL$6+SQRT(AU784*($AN$6-$AL$6)*($AM$6-$AL$6)),$AN$6-SQRT((1-AU784)*($AN$6-$AL$6)*($AN$6-$AM$6))),$AM$6)</f>
        <v/>
      </c>
      <c r="AM784">
        <f>IFERROR(IF(AV784&lt;($AM$7-$AL$7)/($AN$7-$AL$7),$AL$7+SQRT(AV784*($AN$7-$AL$7)*($AM$7-$AL$7)),$AN$7-SQRT((1-AV784)*($AN$7-$AL$7)*($AN$7-$AM$7))),$AM$7)</f>
        <v/>
      </c>
      <c r="AN784">
        <f>IFERROR(IF(AW784&lt;($AM$8-$AL$8)/($AN$8-$AL$8),$AL$8+SQRT(AW784*($AN$8-$AL$8)*($AM$8-$AL$8)),$AN$8-SQRT((1-AW784)*($AN$8-$AL$8)*($AN$8-$AM$8))),$AM$8)</f>
        <v/>
      </c>
      <c r="AO784">
        <f>IFERROR(IF(AX784&lt;($AM$9-$AL$9)/($AN$9-$AL$9),$AL$9+SQRT(AX784*($AN$9-$AL$9)*($AM$9-$AL$9)),$AN$9-SQRT((1-AX784)*($AN$9-$AL$9)*($AN$9-$AM$9))),$AM$9)</f>
        <v/>
      </c>
      <c r="AP784">
        <f>IFERROR(IF(AY784&lt;($AM$10-$AL$10)/($AN$10-$AL$10),$AL$10+SQRT(AY784*($AN$10-$AL$10)*($AM$10-$AL$10)),$AN$10-SQRT((1-AY784)*($AN$10-$AL$10)*($AN$10-$AM$10))),$AM$10)</f>
        <v/>
      </c>
      <c r="AQ784">
        <f>IFERROR(IF(AZ784&lt;($AM$11-$AL$11)/($AN$11-$AL$11),$AL$11+SQRT(AZ784*($AN$11-$AL$11)*($AM$11-$AL$11)),$AN$11-SQRT((1-AZ784)*($AN$11-$AL$11)*($AN$11-$AM$11))),$AM$11)</f>
        <v/>
      </c>
      <c r="AR784">
        <f>SUMPRODUCT((B24:B31&lt;=$B$6)*(C24:C31*AM784+D24:D31*AO784*$B$8*AQ784)/(1+AL784/100)^B24:B31)+C32*AM784*AP784/(1+AL784/100)^$B$6</f>
        <v/>
      </c>
      <c r="AS784">
        <f>SUMPRODUCT((K24:K26&lt;=$B$6)*(L24:L26*AN784+M24:M26*AO784*$B$8*AQ784)/(1+AL784/100)^K24:K26)+L27*AN784*AP784/(1+AL784/100)^$B$6</f>
        <v/>
      </c>
      <c r="AT784">
        <f>AS784-AR784</f>
        <v/>
      </c>
      <c r="AU784">
        <f>RAND()</f>
        <v/>
      </c>
      <c r="AV784">
        <f>RAND()</f>
        <v/>
      </c>
      <c r="AW784">
        <f>RAND()</f>
        <v/>
      </c>
      <c r="AX784">
        <f>RAND()</f>
        <v/>
      </c>
      <c r="AY784">
        <f>RAND()</f>
        <v/>
      </c>
      <c r="AZ784">
        <f>RAND()</f>
        <v/>
      </c>
    </row>
    <row r="785">
      <c r="AK785" t="n">
        <v>772</v>
      </c>
      <c r="AL785">
        <f>IFERROR(IF(AU785&lt;($AM$6-$AL$6)/($AN$6-$AL$6),$AL$6+SQRT(AU785*($AN$6-$AL$6)*($AM$6-$AL$6)),$AN$6-SQRT((1-AU785)*($AN$6-$AL$6)*($AN$6-$AM$6))),$AM$6)</f>
        <v/>
      </c>
      <c r="AM785">
        <f>IFERROR(IF(AV785&lt;($AM$7-$AL$7)/($AN$7-$AL$7),$AL$7+SQRT(AV785*($AN$7-$AL$7)*($AM$7-$AL$7)),$AN$7-SQRT((1-AV785)*($AN$7-$AL$7)*($AN$7-$AM$7))),$AM$7)</f>
        <v/>
      </c>
      <c r="AN785">
        <f>IFERROR(IF(AW785&lt;($AM$8-$AL$8)/($AN$8-$AL$8),$AL$8+SQRT(AW785*($AN$8-$AL$8)*($AM$8-$AL$8)),$AN$8-SQRT((1-AW785)*($AN$8-$AL$8)*($AN$8-$AM$8))),$AM$8)</f>
        <v/>
      </c>
      <c r="AO785">
        <f>IFERROR(IF(AX785&lt;($AM$9-$AL$9)/($AN$9-$AL$9),$AL$9+SQRT(AX785*($AN$9-$AL$9)*($AM$9-$AL$9)),$AN$9-SQRT((1-AX785)*($AN$9-$AL$9)*($AN$9-$AM$9))),$AM$9)</f>
        <v/>
      </c>
      <c r="AP785">
        <f>IFERROR(IF(AY785&lt;($AM$10-$AL$10)/($AN$10-$AL$10),$AL$10+SQRT(AY785*($AN$10-$AL$10)*($AM$10-$AL$10)),$AN$10-SQRT((1-AY785)*($AN$10-$AL$10)*($AN$10-$AM$10))),$AM$10)</f>
        <v/>
      </c>
      <c r="AQ785">
        <f>IFERROR(IF(AZ785&lt;($AM$11-$AL$11)/($AN$11-$AL$11),$AL$11+SQRT(AZ785*($AN$11-$AL$11)*($AM$11-$AL$11)),$AN$11-SQRT((1-AZ785)*($AN$11-$AL$11)*($AN$11-$AM$11))),$AM$11)</f>
        <v/>
      </c>
      <c r="AR785">
        <f>SUMPRODUCT((B24:B31&lt;=$B$6)*(C24:C31*AM785+D24:D31*AO785*$B$8*AQ785)/(1+AL785/100)^B24:B31)+C32*AM785*AP785/(1+AL785/100)^$B$6</f>
        <v/>
      </c>
      <c r="AS785">
        <f>SUMPRODUCT((K24:K26&lt;=$B$6)*(L24:L26*AN785+M24:M26*AO785*$B$8*AQ785)/(1+AL785/100)^K24:K26)+L27*AN785*AP785/(1+AL785/100)^$B$6</f>
        <v/>
      </c>
      <c r="AT785">
        <f>AS785-AR785</f>
        <v/>
      </c>
      <c r="AU785">
        <f>RAND()</f>
        <v/>
      </c>
      <c r="AV785">
        <f>RAND()</f>
        <v/>
      </c>
      <c r="AW785">
        <f>RAND()</f>
        <v/>
      </c>
      <c r="AX785">
        <f>RAND()</f>
        <v/>
      </c>
      <c r="AY785">
        <f>RAND()</f>
        <v/>
      </c>
      <c r="AZ785">
        <f>RAND()</f>
        <v/>
      </c>
    </row>
    <row r="786">
      <c r="AK786" t="n">
        <v>773</v>
      </c>
      <c r="AL786">
        <f>IFERROR(IF(AU786&lt;($AM$6-$AL$6)/($AN$6-$AL$6),$AL$6+SQRT(AU786*($AN$6-$AL$6)*($AM$6-$AL$6)),$AN$6-SQRT((1-AU786)*($AN$6-$AL$6)*($AN$6-$AM$6))),$AM$6)</f>
        <v/>
      </c>
      <c r="AM786">
        <f>IFERROR(IF(AV786&lt;($AM$7-$AL$7)/($AN$7-$AL$7),$AL$7+SQRT(AV786*($AN$7-$AL$7)*($AM$7-$AL$7)),$AN$7-SQRT((1-AV786)*($AN$7-$AL$7)*($AN$7-$AM$7))),$AM$7)</f>
        <v/>
      </c>
      <c r="AN786">
        <f>IFERROR(IF(AW786&lt;($AM$8-$AL$8)/($AN$8-$AL$8),$AL$8+SQRT(AW786*($AN$8-$AL$8)*($AM$8-$AL$8)),$AN$8-SQRT((1-AW786)*($AN$8-$AL$8)*($AN$8-$AM$8))),$AM$8)</f>
        <v/>
      </c>
      <c r="AO786">
        <f>IFERROR(IF(AX786&lt;($AM$9-$AL$9)/($AN$9-$AL$9),$AL$9+SQRT(AX786*($AN$9-$AL$9)*($AM$9-$AL$9)),$AN$9-SQRT((1-AX786)*($AN$9-$AL$9)*($AN$9-$AM$9))),$AM$9)</f>
        <v/>
      </c>
      <c r="AP786">
        <f>IFERROR(IF(AY786&lt;($AM$10-$AL$10)/($AN$10-$AL$10),$AL$10+SQRT(AY786*($AN$10-$AL$10)*($AM$10-$AL$10)),$AN$10-SQRT((1-AY786)*($AN$10-$AL$10)*($AN$10-$AM$10))),$AM$10)</f>
        <v/>
      </c>
      <c r="AQ786">
        <f>IFERROR(IF(AZ786&lt;($AM$11-$AL$11)/($AN$11-$AL$11),$AL$11+SQRT(AZ786*($AN$11-$AL$11)*($AM$11-$AL$11)),$AN$11-SQRT((1-AZ786)*($AN$11-$AL$11)*($AN$11-$AM$11))),$AM$11)</f>
        <v/>
      </c>
      <c r="AR786">
        <f>SUMPRODUCT((B24:B31&lt;=$B$6)*(C24:C31*AM786+D24:D31*AO786*$B$8*AQ786)/(1+AL786/100)^B24:B31)+C32*AM786*AP786/(1+AL786/100)^$B$6</f>
        <v/>
      </c>
      <c r="AS786">
        <f>SUMPRODUCT((K24:K26&lt;=$B$6)*(L24:L26*AN786+M24:M26*AO786*$B$8*AQ786)/(1+AL786/100)^K24:K26)+L27*AN786*AP786/(1+AL786/100)^$B$6</f>
        <v/>
      </c>
      <c r="AT786">
        <f>AS786-AR786</f>
        <v/>
      </c>
      <c r="AU786">
        <f>RAND()</f>
        <v/>
      </c>
      <c r="AV786">
        <f>RAND()</f>
        <v/>
      </c>
      <c r="AW786">
        <f>RAND()</f>
        <v/>
      </c>
      <c r="AX786">
        <f>RAND()</f>
        <v/>
      </c>
      <c r="AY786">
        <f>RAND()</f>
        <v/>
      </c>
      <c r="AZ786">
        <f>RAND()</f>
        <v/>
      </c>
    </row>
    <row r="787">
      <c r="AK787" t="n">
        <v>774</v>
      </c>
      <c r="AL787">
        <f>IFERROR(IF(AU787&lt;($AM$6-$AL$6)/($AN$6-$AL$6),$AL$6+SQRT(AU787*($AN$6-$AL$6)*($AM$6-$AL$6)),$AN$6-SQRT((1-AU787)*($AN$6-$AL$6)*($AN$6-$AM$6))),$AM$6)</f>
        <v/>
      </c>
      <c r="AM787">
        <f>IFERROR(IF(AV787&lt;($AM$7-$AL$7)/($AN$7-$AL$7),$AL$7+SQRT(AV787*($AN$7-$AL$7)*($AM$7-$AL$7)),$AN$7-SQRT((1-AV787)*($AN$7-$AL$7)*($AN$7-$AM$7))),$AM$7)</f>
        <v/>
      </c>
      <c r="AN787">
        <f>IFERROR(IF(AW787&lt;($AM$8-$AL$8)/($AN$8-$AL$8),$AL$8+SQRT(AW787*($AN$8-$AL$8)*($AM$8-$AL$8)),$AN$8-SQRT((1-AW787)*($AN$8-$AL$8)*($AN$8-$AM$8))),$AM$8)</f>
        <v/>
      </c>
      <c r="AO787">
        <f>IFERROR(IF(AX787&lt;($AM$9-$AL$9)/($AN$9-$AL$9),$AL$9+SQRT(AX787*($AN$9-$AL$9)*($AM$9-$AL$9)),$AN$9-SQRT((1-AX787)*($AN$9-$AL$9)*($AN$9-$AM$9))),$AM$9)</f>
        <v/>
      </c>
      <c r="AP787">
        <f>IFERROR(IF(AY787&lt;($AM$10-$AL$10)/($AN$10-$AL$10),$AL$10+SQRT(AY787*($AN$10-$AL$10)*($AM$10-$AL$10)),$AN$10-SQRT((1-AY787)*($AN$10-$AL$10)*($AN$10-$AM$10))),$AM$10)</f>
        <v/>
      </c>
      <c r="AQ787">
        <f>IFERROR(IF(AZ787&lt;($AM$11-$AL$11)/($AN$11-$AL$11),$AL$11+SQRT(AZ787*($AN$11-$AL$11)*($AM$11-$AL$11)),$AN$11-SQRT((1-AZ787)*($AN$11-$AL$11)*($AN$11-$AM$11))),$AM$11)</f>
        <v/>
      </c>
      <c r="AR787">
        <f>SUMPRODUCT((B24:B31&lt;=$B$6)*(C24:C31*AM787+D24:D31*AO787*$B$8*AQ787)/(1+AL787/100)^B24:B31)+C32*AM787*AP787/(1+AL787/100)^$B$6</f>
        <v/>
      </c>
      <c r="AS787">
        <f>SUMPRODUCT((K24:K26&lt;=$B$6)*(L24:L26*AN787+M24:M26*AO787*$B$8*AQ787)/(1+AL787/100)^K24:K26)+L27*AN787*AP787/(1+AL787/100)^$B$6</f>
        <v/>
      </c>
      <c r="AT787">
        <f>AS787-AR787</f>
        <v/>
      </c>
      <c r="AU787">
        <f>RAND()</f>
        <v/>
      </c>
      <c r="AV787">
        <f>RAND()</f>
        <v/>
      </c>
      <c r="AW787">
        <f>RAND()</f>
        <v/>
      </c>
      <c r="AX787">
        <f>RAND()</f>
        <v/>
      </c>
      <c r="AY787">
        <f>RAND()</f>
        <v/>
      </c>
      <c r="AZ787">
        <f>RAND()</f>
        <v/>
      </c>
    </row>
    <row r="788">
      <c r="AK788" t="n">
        <v>775</v>
      </c>
      <c r="AL788">
        <f>IFERROR(IF(AU788&lt;($AM$6-$AL$6)/($AN$6-$AL$6),$AL$6+SQRT(AU788*($AN$6-$AL$6)*($AM$6-$AL$6)),$AN$6-SQRT((1-AU788)*($AN$6-$AL$6)*($AN$6-$AM$6))),$AM$6)</f>
        <v/>
      </c>
      <c r="AM788">
        <f>IFERROR(IF(AV788&lt;($AM$7-$AL$7)/($AN$7-$AL$7),$AL$7+SQRT(AV788*($AN$7-$AL$7)*($AM$7-$AL$7)),$AN$7-SQRT((1-AV788)*($AN$7-$AL$7)*($AN$7-$AM$7))),$AM$7)</f>
        <v/>
      </c>
      <c r="AN788">
        <f>IFERROR(IF(AW788&lt;($AM$8-$AL$8)/($AN$8-$AL$8),$AL$8+SQRT(AW788*($AN$8-$AL$8)*($AM$8-$AL$8)),$AN$8-SQRT((1-AW788)*($AN$8-$AL$8)*($AN$8-$AM$8))),$AM$8)</f>
        <v/>
      </c>
      <c r="AO788">
        <f>IFERROR(IF(AX788&lt;($AM$9-$AL$9)/($AN$9-$AL$9),$AL$9+SQRT(AX788*($AN$9-$AL$9)*($AM$9-$AL$9)),$AN$9-SQRT((1-AX788)*($AN$9-$AL$9)*($AN$9-$AM$9))),$AM$9)</f>
        <v/>
      </c>
      <c r="AP788">
        <f>IFERROR(IF(AY788&lt;($AM$10-$AL$10)/($AN$10-$AL$10),$AL$10+SQRT(AY788*($AN$10-$AL$10)*($AM$10-$AL$10)),$AN$10-SQRT((1-AY788)*($AN$10-$AL$10)*($AN$10-$AM$10))),$AM$10)</f>
        <v/>
      </c>
      <c r="AQ788">
        <f>IFERROR(IF(AZ788&lt;($AM$11-$AL$11)/($AN$11-$AL$11),$AL$11+SQRT(AZ788*($AN$11-$AL$11)*($AM$11-$AL$11)),$AN$11-SQRT((1-AZ788)*($AN$11-$AL$11)*($AN$11-$AM$11))),$AM$11)</f>
        <v/>
      </c>
      <c r="AR788">
        <f>SUMPRODUCT((B24:B31&lt;=$B$6)*(C24:C31*AM788+D24:D31*AO788*$B$8*AQ788)/(1+AL788/100)^B24:B31)+C32*AM788*AP788/(1+AL788/100)^$B$6</f>
        <v/>
      </c>
      <c r="AS788">
        <f>SUMPRODUCT((K24:K26&lt;=$B$6)*(L24:L26*AN788+M24:M26*AO788*$B$8*AQ788)/(1+AL788/100)^K24:K26)+L27*AN788*AP788/(1+AL788/100)^$B$6</f>
        <v/>
      </c>
      <c r="AT788">
        <f>AS788-AR788</f>
        <v/>
      </c>
      <c r="AU788">
        <f>RAND()</f>
        <v/>
      </c>
      <c r="AV788">
        <f>RAND()</f>
        <v/>
      </c>
      <c r="AW788">
        <f>RAND()</f>
        <v/>
      </c>
      <c r="AX788">
        <f>RAND()</f>
        <v/>
      </c>
      <c r="AY788">
        <f>RAND()</f>
        <v/>
      </c>
      <c r="AZ788">
        <f>RAND()</f>
        <v/>
      </c>
    </row>
    <row r="789">
      <c r="AK789" t="n">
        <v>776</v>
      </c>
      <c r="AL789">
        <f>IFERROR(IF(AU789&lt;($AM$6-$AL$6)/($AN$6-$AL$6),$AL$6+SQRT(AU789*($AN$6-$AL$6)*($AM$6-$AL$6)),$AN$6-SQRT((1-AU789)*($AN$6-$AL$6)*($AN$6-$AM$6))),$AM$6)</f>
        <v/>
      </c>
      <c r="AM789">
        <f>IFERROR(IF(AV789&lt;($AM$7-$AL$7)/($AN$7-$AL$7),$AL$7+SQRT(AV789*($AN$7-$AL$7)*($AM$7-$AL$7)),$AN$7-SQRT((1-AV789)*($AN$7-$AL$7)*($AN$7-$AM$7))),$AM$7)</f>
        <v/>
      </c>
      <c r="AN789">
        <f>IFERROR(IF(AW789&lt;($AM$8-$AL$8)/($AN$8-$AL$8),$AL$8+SQRT(AW789*($AN$8-$AL$8)*($AM$8-$AL$8)),$AN$8-SQRT((1-AW789)*($AN$8-$AL$8)*($AN$8-$AM$8))),$AM$8)</f>
        <v/>
      </c>
      <c r="AO789">
        <f>IFERROR(IF(AX789&lt;($AM$9-$AL$9)/($AN$9-$AL$9),$AL$9+SQRT(AX789*($AN$9-$AL$9)*($AM$9-$AL$9)),$AN$9-SQRT((1-AX789)*($AN$9-$AL$9)*($AN$9-$AM$9))),$AM$9)</f>
        <v/>
      </c>
      <c r="AP789">
        <f>IFERROR(IF(AY789&lt;($AM$10-$AL$10)/($AN$10-$AL$10),$AL$10+SQRT(AY789*($AN$10-$AL$10)*($AM$10-$AL$10)),$AN$10-SQRT((1-AY789)*($AN$10-$AL$10)*($AN$10-$AM$10))),$AM$10)</f>
        <v/>
      </c>
      <c r="AQ789">
        <f>IFERROR(IF(AZ789&lt;($AM$11-$AL$11)/($AN$11-$AL$11),$AL$11+SQRT(AZ789*($AN$11-$AL$11)*($AM$11-$AL$11)),$AN$11-SQRT((1-AZ789)*($AN$11-$AL$11)*($AN$11-$AM$11))),$AM$11)</f>
        <v/>
      </c>
      <c r="AR789">
        <f>SUMPRODUCT((B24:B31&lt;=$B$6)*(C24:C31*AM789+D24:D31*AO789*$B$8*AQ789)/(1+AL789/100)^B24:B31)+C32*AM789*AP789/(1+AL789/100)^$B$6</f>
        <v/>
      </c>
      <c r="AS789">
        <f>SUMPRODUCT((K24:K26&lt;=$B$6)*(L24:L26*AN789+M24:M26*AO789*$B$8*AQ789)/(1+AL789/100)^K24:K26)+L27*AN789*AP789/(1+AL789/100)^$B$6</f>
        <v/>
      </c>
      <c r="AT789">
        <f>AS789-AR789</f>
        <v/>
      </c>
      <c r="AU789">
        <f>RAND()</f>
        <v/>
      </c>
      <c r="AV789">
        <f>RAND()</f>
        <v/>
      </c>
      <c r="AW789">
        <f>RAND()</f>
        <v/>
      </c>
      <c r="AX789">
        <f>RAND()</f>
        <v/>
      </c>
      <c r="AY789">
        <f>RAND()</f>
        <v/>
      </c>
      <c r="AZ789">
        <f>RAND()</f>
        <v/>
      </c>
    </row>
    <row r="790">
      <c r="AK790" t="n">
        <v>777</v>
      </c>
      <c r="AL790">
        <f>IFERROR(IF(AU790&lt;($AM$6-$AL$6)/($AN$6-$AL$6),$AL$6+SQRT(AU790*($AN$6-$AL$6)*($AM$6-$AL$6)),$AN$6-SQRT((1-AU790)*($AN$6-$AL$6)*($AN$6-$AM$6))),$AM$6)</f>
        <v/>
      </c>
      <c r="AM790">
        <f>IFERROR(IF(AV790&lt;($AM$7-$AL$7)/($AN$7-$AL$7),$AL$7+SQRT(AV790*($AN$7-$AL$7)*($AM$7-$AL$7)),$AN$7-SQRT((1-AV790)*($AN$7-$AL$7)*($AN$7-$AM$7))),$AM$7)</f>
        <v/>
      </c>
      <c r="AN790">
        <f>IFERROR(IF(AW790&lt;($AM$8-$AL$8)/($AN$8-$AL$8),$AL$8+SQRT(AW790*($AN$8-$AL$8)*($AM$8-$AL$8)),$AN$8-SQRT((1-AW790)*($AN$8-$AL$8)*($AN$8-$AM$8))),$AM$8)</f>
        <v/>
      </c>
      <c r="AO790">
        <f>IFERROR(IF(AX790&lt;($AM$9-$AL$9)/($AN$9-$AL$9),$AL$9+SQRT(AX790*($AN$9-$AL$9)*($AM$9-$AL$9)),$AN$9-SQRT((1-AX790)*($AN$9-$AL$9)*($AN$9-$AM$9))),$AM$9)</f>
        <v/>
      </c>
      <c r="AP790">
        <f>IFERROR(IF(AY790&lt;($AM$10-$AL$10)/($AN$10-$AL$10),$AL$10+SQRT(AY790*($AN$10-$AL$10)*($AM$10-$AL$10)),$AN$10-SQRT((1-AY790)*($AN$10-$AL$10)*($AN$10-$AM$10))),$AM$10)</f>
        <v/>
      </c>
      <c r="AQ790">
        <f>IFERROR(IF(AZ790&lt;($AM$11-$AL$11)/($AN$11-$AL$11),$AL$11+SQRT(AZ790*($AN$11-$AL$11)*($AM$11-$AL$11)),$AN$11-SQRT((1-AZ790)*($AN$11-$AL$11)*($AN$11-$AM$11))),$AM$11)</f>
        <v/>
      </c>
      <c r="AR790">
        <f>SUMPRODUCT((B24:B31&lt;=$B$6)*(C24:C31*AM790+D24:D31*AO790*$B$8*AQ790)/(1+AL790/100)^B24:B31)+C32*AM790*AP790/(1+AL790/100)^$B$6</f>
        <v/>
      </c>
      <c r="AS790">
        <f>SUMPRODUCT((K24:K26&lt;=$B$6)*(L24:L26*AN790+M24:M26*AO790*$B$8*AQ790)/(1+AL790/100)^K24:K26)+L27*AN790*AP790/(1+AL790/100)^$B$6</f>
        <v/>
      </c>
      <c r="AT790">
        <f>AS790-AR790</f>
        <v/>
      </c>
      <c r="AU790">
        <f>RAND()</f>
        <v/>
      </c>
      <c r="AV790">
        <f>RAND()</f>
        <v/>
      </c>
      <c r="AW790">
        <f>RAND()</f>
        <v/>
      </c>
      <c r="AX790">
        <f>RAND()</f>
        <v/>
      </c>
      <c r="AY790">
        <f>RAND()</f>
        <v/>
      </c>
      <c r="AZ790">
        <f>RAND()</f>
        <v/>
      </c>
    </row>
    <row r="791">
      <c r="AK791" t="n">
        <v>778</v>
      </c>
      <c r="AL791">
        <f>IFERROR(IF(AU791&lt;($AM$6-$AL$6)/($AN$6-$AL$6),$AL$6+SQRT(AU791*($AN$6-$AL$6)*($AM$6-$AL$6)),$AN$6-SQRT((1-AU791)*($AN$6-$AL$6)*($AN$6-$AM$6))),$AM$6)</f>
        <v/>
      </c>
      <c r="AM791">
        <f>IFERROR(IF(AV791&lt;($AM$7-$AL$7)/($AN$7-$AL$7),$AL$7+SQRT(AV791*($AN$7-$AL$7)*($AM$7-$AL$7)),$AN$7-SQRT((1-AV791)*($AN$7-$AL$7)*($AN$7-$AM$7))),$AM$7)</f>
        <v/>
      </c>
      <c r="AN791">
        <f>IFERROR(IF(AW791&lt;($AM$8-$AL$8)/($AN$8-$AL$8),$AL$8+SQRT(AW791*($AN$8-$AL$8)*($AM$8-$AL$8)),$AN$8-SQRT((1-AW791)*($AN$8-$AL$8)*($AN$8-$AM$8))),$AM$8)</f>
        <v/>
      </c>
      <c r="AO791">
        <f>IFERROR(IF(AX791&lt;($AM$9-$AL$9)/($AN$9-$AL$9),$AL$9+SQRT(AX791*($AN$9-$AL$9)*($AM$9-$AL$9)),$AN$9-SQRT((1-AX791)*($AN$9-$AL$9)*($AN$9-$AM$9))),$AM$9)</f>
        <v/>
      </c>
      <c r="AP791">
        <f>IFERROR(IF(AY791&lt;($AM$10-$AL$10)/($AN$10-$AL$10),$AL$10+SQRT(AY791*($AN$10-$AL$10)*($AM$10-$AL$10)),$AN$10-SQRT((1-AY791)*($AN$10-$AL$10)*($AN$10-$AM$10))),$AM$10)</f>
        <v/>
      </c>
      <c r="AQ791">
        <f>IFERROR(IF(AZ791&lt;($AM$11-$AL$11)/($AN$11-$AL$11),$AL$11+SQRT(AZ791*($AN$11-$AL$11)*($AM$11-$AL$11)),$AN$11-SQRT((1-AZ791)*($AN$11-$AL$11)*($AN$11-$AM$11))),$AM$11)</f>
        <v/>
      </c>
      <c r="AR791">
        <f>SUMPRODUCT((B24:B31&lt;=$B$6)*(C24:C31*AM791+D24:D31*AO791*$B$8*AQ791)/(1+AL791/100)^B24:B31)+C32*AM791*AP791/(1+AL791/100)^$B$6</f>
        <v/>
      </c>
      <c r="AS791">
        <f>SUMPRODUCT((K24:K26&lt;=$B$6)*(L24:L26*AN791+M24:M26*AO791*$B$8*AQ791)/(1+AL791/100)^K24:K26)+L27*AN791*AP791/(1+AL791/100)^$B$6</f>
        <v/>
      </c>
      <c r="AT791">
        <f>AS791-AR791</f>
        <v/>
      </c>
      <c r="AU791">
        <f>RAND()</f>
        <v/>
      </c>
      <c r="AV791">
        <f>RAND()</f>
        <v/>
      </c>
      <c r="AW791">
        <f>RAND()</f>
        <v/>
      </c>
      <c r="AX791">
        <f>RAND()</f>
        <v/>
      </c>
      <c r="AY791">
        <f>RAND()</f>
        <v/>
      </c>
      <c r="AZ791">
        <f>RAND()</f>
        <v/>
      </c>
    </row>
    <row r="792">
      <c r="AK792" t="n">
        <v>779</v>
      </c>
      <c r="AL792">
        <f>IFERROR(IF(AU792&lt;($AM$6-$AL$6)/($AN$6-$AL$6),$AL$6+SQRT(AU792*($AN$6-$AL$6)*($AM$6-$AL$6)),$AN$6-SQRT((1-AU792)*($AN$6-$AL$6)*($AN$6-$AM$6))),$AM$6)</f>
        <v/>
      </c>
      <c r="AM792">
        <f>IFERROR(IF(AV792&lt;($AM$7-$AL$7)/($AN$7-$AL$7),$AL$7+SQRT(AV792*($AN$7-$AL$7)*($AM$7-$AL$7)),$AN$7-SQRT((1-AV792)*($AN$7-$AL$7)*($AN$7-$AM$7))),$AM$7)</f>
        <v/>
      </c>
      <c r="AN792">
        <f>IFERROR(IF(AW792&lt;($AM$8-$AL$8)/($AN$8-$AL$8),$AL$8+SQRT(AW792*($AN$8-$AL$8)*($AM$8-$AL$8)),$AN$8-SQRT((1-AW792)*($AN$8-$AL$8)*($AN$8-$AM$8))),$AM$8)</f>
        <v/>
      </c>
      <c r="AO792">
        <f>IFERROR(IF(AX792&lt;($AM$9-$AL$9)/($AN$9-$AL$9),$AL$9+SQRT(AX792*($AN$9-$AL$9)*($AM$9-$AL$9)),$AN$9-SQRT((1-AX792)*($AN$9-$AL$9)*($AN$9-$AM$9))),$AM$9)</f>
        <v/>
      </c>
      <c r="AP792">
        <f>IFERROR(IF(AY792&lt;($AM$10-$AL$10)/($AN$10-$AL$10),$AL$10+SQRT(AY792*($AN$10-$AL$10)*($AM$10-$AL$10)),$AN$10-SQRT((1-AY792)*($AN$10-$AL$10)*($AN$10-$AM$10))),$AM$10)</f>
        <v/>
      </c>
      <c r="AQ792">
        <f>IFERROR(IF(AZ792&lt;($AM$11-$AL$11)/($AN$11-$AL$11),$AL$11+SQRT(AZ792*($AN$11-$AL$11)*($AM$11-$AL$11)),$AN$11-SQRT((1-AZ792)*($AN$11-$AL$11)*($AN$11-$AM$11))),$AM$11)</f>
        <v/>
      </c>
      <c r="AR792">
        <f>SUMPRODUCT((B24:B31&lt;=$B$6)*(C24:C31*AM792+D24:D31*AO792*$B$8*AQ792)/(1+AL792/100)^B24:B31)+C32*AM792*AP792/(1+AL792/100)^$B$6</f>
        <v/>
      </c>
      <c r="AS792">
        <f>SUMPRODUCT((K24:K26&lt;=$B$6)*(L24:L26*AN792+M24:M26*AO792*$B$8*AQ792)/(1+AL792/100)^K24:K26)+L27*AN792*AP792/(1+AL792/100)^$B$6</f>
        <v/>
      </c>
      <c r="AT792">
        <f>AS792-AR792</f>
        <v/>
      </c>
      <c r="AU792">
        <f>RAND()</f>
        <v/>
      </c>
      <c r="AV792">
        <f>RAND()</f>
        <v/>
      </c>
      <c r="AW792">
        <f>RAND()</f>
        <v/>
      </c>
      <c r="AX792">
        <f>RAND()</f>
        <v/>
      </c>
      <c r="AY792">
        <f>RAND()</f>
        <v/>
      </c>
      <c r="AZ792">
        <f>RAND()</f>
        <v/>
      </c>
    </row>
    <row r="793">
      <c r="AK793" t="n">
        <v>780</v>
      </c>
      <c r="AL793">
        <f>IFERROR(IF(AU793&lt;($AM$6-$AL$6)/($AN$6-$AL$6),$AL$6+SQRT(AU793*($AN$6-$AL$6)*($AM$6-$AL$6)),$AN$6-SQRT((1-AU793)*($AN$6-$AL$6)*($AN$6-$AM$6))),$AM$6)</f>
        <v/>
      </c>
      <c r="AM793">
        <f>IFERROR(IF(AV793&lt;($AM$7-$AL$7)/($AN$7-$AL$7),$AL$7+SQRT(AV793*($AN$7-$AL$7)*($AM$7-$AL$7)),$AN$7-SQRT((1-AV793)*($AN$7-$AL$7)*($AN$7-$AM$7))),$AM$7)</f>
        <v/>
      </c>
      <c r="AN793">
        <f>IFERROR(IF(AW793&lt;($AM$8-$AL$8)/($AN$8-$AL$8),$AL$8+SQRT(AW793*($AN$8-$AL$8)*($AM$8-$AL$8)),$AN$8-SQRT((1-AW793)*($AN$8-$AL$8)*($AN$8-$AM$8))),$AM$8)</f>
        <v/>
      </c>
      <c r="AO793">
        <f>IFERROR(IF(AX793&lt;($AM$9-$AL$9)/($AN$9-$AL$9),$AL$9+SQRT(AX793*($AN$9-$AL$9)*($AM$9-$AL$9)),$AN$9-SQRT((1-AX793)*($AN$9-$AL$9)*($AN$9-$AM$9))),$AM$9)</f>
        <v/>
      </c>
      <c r="AP793">
        <f>IFERROR(IF(AY793&lt;($AM$10-$AL$10)/($AN$10-$AL$10),$AL$10+SQRT(AY793*($AN$10-$AL$10)*($AM$10-$AL$10)),$AN$10-SQRT((1-AY793)*($AN$10-$AL$10)*($AN$10-$AM$10))),$AM$10)</f>
        <v/>
      </c>
      <c r="AQ793">
        <f>IFERROR(IF(AZ793&lt;($AM$11-$AL$11)/($AN$11-$AL$11),$AL$11+SQRT(AZ793*($AN$11-$AL$11)*($AM$11-$AL$11)),$AN$11-SQRT((1-AZ793)*($AN$11-$AL$11)*($AN$11-$AM$11))),$AM$11)</f>
        <v/>
      </c>
      <c r="AR793">
        <f>SUMPRODUCT((B24:B31&lt;=$B$6)*(C24:C31*AM793+D24:D31*AO793*$B$8*AQ793)/(1+AL793/100)^B24:B31)+C32*AM793*AP793/(1+AL793/100)^$B$6</f>
        <v/>
      </c>
      <c r="AS793">
        <f>SUMPRODUCT((K24:K26&lt;=$B$6)*(L24:L26*AN793+M24:M26*AO793*$B$8*AQ793)/(1+AL793/100)^K24:K26)+L27*AN793*AP793/(1+AL793/100)^$B$6</f>
        <v/>
      </c>
      <c r="AT793">
        <f>AS793-AR793</f>
        <v/>
      </c>
      <c r="AU793">
        <f>RAND()</f>
        <v/>
      </c>
      <c r="AV793">
        <f>RAND()</f>
        <v/>
      </c>
      <c r="AW793">
        <f>RAND()</f>
        <v/>
      </c>
      <c r="AX793">
        <f>RAND()</f>
        <v/>
      </c>
      <c r="AY793">
        <f>RAND()</f>
        <v/>
      </c>
      <c r="AZ793">
        <f>RAND()</f>
        <v/>
      </c>
    </row>
    <row r="794">
      <c r="AK794" t="n">
        <v>781</v>
      </c>
      <c r="AL794">
        <f>IFERROR(IF(AU794&lt;($AM$6-$AL$6)/($AN$6-$AL$6),$AL$6+SQRT(AU794*($AN$6-$AL$6)*($AM$6-$AL$6)),$AN$6-SQRT((1-AU794)*($AN$6-$AL$6)*($AN$6-$AM$6))),$AM$6)</f>
        <v/>
      </c>
      <c r="AM794">
        <f>IFERROR(IF(AV794&lt;($AM$7-$AL$7)/($AN$7-$AL$7),$AL$7+SQRT(AV794*($AN$7-$AL$7)*($AM$7-$AL$7)),$AN$7-SQRT((1-AV794)*($AN$7-$AL$7)*($AN$7-$AM$7))),$AM$7)</f>
        <v/>
      </c>
      <c r="AN794">
        <f>IFERROR(IF(AW794&lt;($AM$8-$AL$8)/($AN$8-$AL$8),$AL$8+SQRT(AW794*($AN$8-$AL$8)*($AM$8-$AL$8)),$AN$8-SQRT((1-AW794)*($AN$8-$AL$8)*($AN$8-$AM$8))),$AM$8)</f>
        <v/>
      </c>
      <c r="AO794">
        <f>IFERROR(IF(AX794&lt;($AM$9-$AL$9)/($AN$9-$AL$9),$AL$9+SQRT(AX794*($AN$9-$AL$9)*($AM$9-$AL$9)),$AN$9-SQRT((1-AX794)*($AN$9-$AL$9)*($AN$9-$AM$9))),$AM$9)</f>
        <v/>
      </c>
      <c r="AP794">
        <f>IFERROR(IF(AY794&lt;($AM$10-$AL$10)/($AN$10-$AL$10),$AL$10+SQRT(AY794*($AN$10-$AL$10)*($AM$10-$AL$10)),$AN$10-SQRT((1-AY794)*($AN$10-$AL$10)*($AN$10-$AM$10))),$AM$10)</f>
        <v/>
      </c>
      <c r="AQ794">
        <f>IFERROR(IF(AZ794&lt;($AM$11-$AL$11)/($AN$11-$AL$11),$AL$11+SQRT(AZ794*($AN$11-$AL$11)*($AM$11-$AL$11)),$AN$11-SQRT((1-AZ794)*($AN$11-$AL$11)*($AN$11-$AM$11))),$AM$11)</f>
        <v/>
      </c>
      <c r="AR794">
        <f>SUMPRODUCT((B24:B31&lt;=$B$6)*(C24:C31*AM794+D24:D31*AO794*$B$8*AQ794)/(1+AL794/100)^B24:B31)+C32*AM794*AP794/(1+AL794/100)^$B$6</f>
        <v/>
      </c>
      <c r="AS794">
        <f>SUMPRODUCT((K24:K26&lt;=$B$6)*(L24:L26*AN794+M24:M26*AO794*$B$8*AQ794)/(1+AL794/100)^K24:K26)+L27*AN794*AP794/(1+AL794/100)^$B$6</f>
        <v/>
      </c>
      <c r="AT794">
        <f>AS794-AR794</f>
        <v/>
      </c>
      <c r="AU794">
        <f>RAND()</f>
        <v/>
      </c>
      <c r="AV794">
        <f>RAND()</f>
        <v/>
      </c>
      <c r="AW794">
        <f>RAND()</f>
        <v/>
      </c>
      <c r="AX794">
        <f>RAND()</f>
        <v/>
      </c>
      <c r="AY794">
        <f>RAND()</f>
        <v/>
      </c>
      <c r="AZ794">
        <f>RAND()</f>
        <v/>
      </c>
    </row>
    <row r="795">
      <c r="AK795" t="n">
        <v>782</v>
      </c>
      <c r="AL795">
        <f>IFERROR(IF(AU795&lt;($AM$6-$AL$6)/($AN$6-$AL$6),$AL$6+SQRT(AU795*($AN$6-$AL$6)*($AM$6-$AL$6)),$AN$6-SQRT((1-AU795)*($AN$6-$AL$6)*($AN$6-$AM$6))),$AM$6)</f>
        <v/>
      </c>
      <c r="AM795">
        <f>IFERROR(IF(AV795&lt;($AM$7-$AL$7)/($AN$7-$AL$7),$AL$7+SQRT(AV795*($AN$7-$AL$7)*($AM$7-$AL$7)),$AN$7-SQRT((1-AV795)*($AN$7-$AL$7)*($AN$7-$AM$7))),$AM$7)</f>
        <v/>
      </c>
      <c r="AN795">
        <f>IFERROR(IF(AW795&lt;($AM$8-$AL$8)/($AN$8-$AL$8),$AL$8+SQRT(AW795*($AN$8-$AL$8)*($AM$8-$AL$8)),$AN$8-SQRT((1-AW795)*($AN$8-$AL$8)*($AN$8-$AM$8))),$AM$8)</f>
        <v/>
      </c>
      <c r="AO795">
        <f>IFERROR(IF(AX795&lt;($AM$9-$AL$9)/($AN$9-$AL$9),$AL$9+SQRT(AX795*($AN$9-$AL$9)*($AM$9-$AL$9)),$AN$9-SQRT((1-AX795)*($AN$9-$AL$9)*($AN$9-$AM$9))),$AM$9)</f>
        <v/>
      </c>
      <c r="AP795">
        <f>IFERROR(IF(AY795&lt;($AM$10-$AL$10)/($AN$10-$AL$10),$AL$10+SQRT(AY795*($AN$10-$AL$10)*($AM$10-$AL$10)),$AN$10-SQRT((1-AY795)*($AN$10-$AL$10)*($AN$10-$AM$10))),$AM$10)</f>
        <v/>
      </c>
      <c r="AQ795">
        <f>IFERROR(IF(AZ795&lt;($AM$11-$AL$11)/($AN$11-$AL$11),$AL$11+SQRT(AZ795*($AN$11-$AL$11)*($AM$11-$AL$11)),$AN$11-SQRT((1-AZ795)*($AN$11-$AL$11)*($AN$11-$AM$11))),$AM$11)</f>
        <v/>
      </c>
      <c r="AR795">
        <f>SUMPRODUCT((B24:B31&lt;=$B$6)*(C24:C31*AM795+D24:D31*AO795*$B$8*AQ795)/(1+AL795/100)^B24:B31)+C32*AM795*AP795/(1+AL795/100)^$B$6</f>
        <v/>
      </c>
      <c r="AS795">
        <f>SUMPRODUCT((K24:K26&lt;=$B$6)*(L24:L26*AN795+M24:M26*AO795*$B$8*AQ795)/(1+AL795/100)^K24:K26)+L27*AN795*AP795/(1+AL795/100)^$B$6</f>
        <v/>
      </c>
      <c r="AT795">
        <f>AS795-AR795</f>
        <v/>
      </c>
      <c r="AU795">
        <f>RAND()</f>
        <v/>
      </c>
      <c r="AV795">
        <f>RAND()</f>
        <v/>
      </c>
      <c r="AW795">
        <f>RAND()</f>
        <v/>
      </c>
      <c r="AX795">
        <f>RAND()</f>
        <v/>
      </c>
      <c r="AY795">
        <f>RAND()</f>
        <v/>
      </c>
      <c r="AZ795">
        <f>RAND()</f>
        <v/>
      </c>
    </row>
    <row r="796">
      <c r="AK796" t="n">
        <v>783</v>
      </c>
      <c r="AL796">
        <f>IFERROR(IF(AU796&lt;($AM$6-$AL$6)/($AN$6-$AL$6),$AL$6+SQRT(AU796*($AN$6-$AL$6)*($AM$6-$AL$6)),$AN$6-SQRT((1-AU796)*($AN$6-$AL$6)*($AN$6-$AM$6))),$AM$6)</f>
        <v/>
      </c>
      <c r="AM796">
        <f>IFERROR(IF(AV796&lt;($AM$7-$AL$7)/($AN$7-$AL$7),$AL$7+SQRT(AV796*($AN$7-$AL$7)*($AM$7-$AL$7)),$AN$7-SQRT((1-AV796)*($AN$7-$AL$7)*($AN$7-$AM$7))),$AM$7)</f>
        <v/>
      </c>
      <c r="AN796">
        <f>IFERROR(IF(AW796&lt;($AM$8-$AL$8)/($AN$8-$AL$8),$AL$8+SQRT(AW796*($AN$8-$AL$8)*($AM$8-$AL$8)),$AN$8-SQRT((1-AW796)*($AN$8-$AL$8)*($AN$8-$AM$8))),$AM$8)</f>
        <v/>
      </c>
      <c r="AO796">
        <f>IFERROR(IF(AX796&lt;($AM$9-$AL$9)/($AN$9-$AL$9),$AL$9+SQRT(AX796*($AN$9-$AL$9)*($AM$9-$AL$9)),$AN$9-SQRT((1-AX796)*($AN$9-$AL$9)*($AN$9-$AM$9))),$AM$9)</f>
        <v/>
      </c>
      <c r="AP796">
        <f>IFERROR(IF(AY796&lt;($AM$10-$AL$10)/($AN$10-$AL$10),$AL$10+SQRT(AY796*($AN$10-$AL$10)*($AM$10-$AL$10)),$AN$10-SQRT((1-AY796)*($AN$10-$AL$10)*($AN$10-$AM$10))),$AM$10)</f>
        <v/>
      </c>
      <c r="AQ796">
        <f>IFERROR(IF(AZ796&lt;($AM$11-$AL$11)/($AN$11-$AL$11),$AL$11+SQRT(AZ796*($AN$11-$AL$11)*($AM$11-$AL$11)),$AN$11-SQRT((1-AZ796)*($AN$11-$AL$11)*($AN$11-$AM$11))),$AM$11)</f>
        <v/>
      </c>
      <c r="AR796">
        <f>SUMPRODUCT((B24:B31&lt;=$B$6)*(C24:C31*AM796+D24:D31*AO796*$B$8*AQ796)/(1+AL796/100)^B24:B31)+C32*AM796*AP796/(1+AL796/100)^$B$6</f>
        <v/>
      </c>
      <c r="AS796">
        <f>SUMPRODUCT((K24:K26&lt;=$B$6)*(L24:L26*AN796+M24:M26*AO796*$B$8*AQ796)/(1+AL796/100)^K24:K26)+L27*AN796*AP796/(1+AL796/100)^$B$6</f>
        <v/>
      </c>
      <c r="AT796">
        <f>AS796-AR796</f>
        <v/>
      </c>
      <c r="AU796">
        <f>RAND()</f>
        <v/>
      </c>
      <c r="AV796">
        <f>RAND()</f>
        <v/>
      </c>
      <c r="AW796">
        <f>RAND()</f>
        <v/>
      </c>
      <c r="AX796">
        <f>RAND()</f>
        <v/>
      </c>
      <c r="AY796">
        <f>RAND()</f>
        <v/>
      </c>
      <c r="AZ796">
        <f>RAND()</f>
        <v/>
      </c>
    </row>
    <row r="797">
      <c r="AK797" t="n">
        <v>784</v>
      </c>
      <c r="AL797">
        <f>IFERROR(IF(AU797&lt;($AM$6-$AL$6)/($AN$6-$AL$6),$AL$6+SQRT(AU797*($AN$6-$AL$6)*($AM$6-$AL$6)),$AN$6-SQRT((1-AU797)*($AN$6-$AL$6)*($AN$6-$AM$6))),$AM$6)</f>
        <v/>
      </c>
      <c r="AM797">
        <f>IFERROR(IF(AV797&lt;($AM$7-$AL$7)/($AN$7-$AL$7),$AL$7+SQRT(AV797*($AN$7-$AL$7)*($AM$7-$AL$7)),$AN$7-SQRT((1-AV797)*($AN$7-$AL$7)*($AN$7-$AM$7))),$AM$7)</f>
        <v/>
      </c>
      <c r="AN797">
        <f>IFERROR(IF(AW797&lt;($AM$8-$AL$8)/($AN$8-$AL$8),$AL$8+SQRT(AW797*($AN$8-$AL$8)*($AM$8-$AL$8)),$AN$8-SQRT((1-AW797)*($AN$8-$AL$8)*($AN$8-$AM$8))),$AM$8)</f>
        <v/>
      </c>
      <c r="AO797">
        <f>IFERROR(IF(AX797&lt;($AM$9-$AL$9)/($AN$9-$AL$9),$AL$9+SQRT(AX797*($AN$9-$AL$9)*($AM$9-$AL$9)),$AN$9-SQRT((1-AX797)*($AN$9-$AL$9)*($AN$9-$AM$9))),$AM$9)</f>
        <v/>
      </c>
      <c r="AP797">
        <f>IFERROR(IF(AY797&lt;($AM$10-$AL$10)/($AN$10-$AL$10),$AL$10+SQRT(AY797*($AN$10-$AL$10)*($AM$10-$AL$10)),$AN$10-SQRT((1-AY797)*($AN$10-$AL$10)*($AN$10-$AM$10))),$AM$10)</f>
        <v/>
      </c>
      <c r="AQ797">
        <f>IFERROR(IF(AZ797&lt;($AM$11-$AL$11)/($AN$11-$AL$11),$AL$11+SQRT(AZ797*($AN$11-$AL$11)*($AM$11-$AL$11)),$AN$11-SQRT((1-AZ797)*($AN$11-$AL$11)*($AN$11-$AM$11))),$AM$11)</f>
        <v/>
      </c>
      <c r="AR797">
        <f>SUMPRODUCT((B24:B31&lt;=$B$6)*(C24:C31*AM797+D24:D31*AO797*$B$8*AQ797)/(1+AL797/100)^B24:B31)+C32*AM797*AP797/(1+AL797/100)^$B$6</f>
        <v/>
      </c>
      <c r="AS797">
        <f>SUMPRODUCT((K24:K26&lt;=$B$6)*(L24:L26*AN797+M24:M26*AO797*$B$8*AQ797)/(1+AL797/100)^K24:K26)+L27*AN797*AP797/(1+AL797/100)^$B$6</f>
        <v/>
      </c>
      <c r="AT797">
        <f>AS797-AR797</f>
        <v/>
      </c>
      <c r="AU797">
        <f>RAND()</f>
        <v/>
      </c>
      <c r="AV797">
        <f>RAND()</f>
        <v/>
      </c>
      <c r="AW797">
        <f>RAND()</f>
        <v/>
      </c>
      <c r="AX797">
        <f>RAND()</f>
        <v/>
      </c>
      <c r="AY797">
        <f>RAND()</f>
        <v/>
      </c>
      <c r="AZ797">
        <f>RAND()</f>
        <v/>
      </c>
    </row>
    <row r="798">
      <c r="AK798" t="n">
        <v>785</v>
      </c>
      <c r="AL798">
        <f>IFERROR(IF(AU798&lt;($AM$6-$AL$6)/($AN$6-$AL$6),$AL$6+SQRT(AU798*($AN$6-$AL$6)*($AM$6-$AL$6)),$AN$6-SQRT((1-AU798)*($AN$6-$AL$6)*($AN$6-$AM$6))),$AM$6)</f>
        <v/>
      </c>
      <c r="AM798">
        <f>IFERROR(IF(AV798&lt;($AM$7-$AL$7)/($AN$7-$AL$7),$AL$7+SQRT(AV798*($AN$7-$AL$7)*($AM$7-$AL$7)),$AN$7-SQRT((1-AV798)*($AN$7-$AL$7)*($AN$7-$AM$7))),$AM$7)</f>
        <v/>
      </c>
      <c r="AN798">
        <f>IFERROR(IF(AW798&lt;($AM$8-$AL$8)/($AN$8-$AL$8),$AL$8+SQRT(AW798*($AN$8-$AL$8)*($AM$8-$AL$8)),$AN$8-SQRT((1-AW798)*($AN$8-$AL$8)*($AN$8-$AM$8))),$AM$8)</f>
        <v/>
      </c>
      <c r="AO798">
        <f>IFERROR(IF(AX798&lt;($AM$9-$AL$9)/($AN$9-$AL$9),$AL$9+SQRT(AX798*($AN$9-$AL$9)*($AM$9-$AL$9)),$AN$9-SQRT((1-AX798)*($AN$9-$AL$9)*($AN$9-$AM$9))),$AM$9)</f>
        <v/>
      </c>
      <c r="AP798">
        <f>IFERROR(IF(AY798&lt;($AM$10-$AL$10)/($AN$10-$AL$10),$AL$10+SQRT(AY798*($AN$10-$AL$10)*($AM$10-$AL$10)),$AN$10-SQRT((1-AY798)*($AN$10-$AL$10)*($AN$10-$AM$10))),$AM$10)</f>
        <v/>
      </c>
      <c r="AQ798">
        <f>IFERROR(IF(AZ798&lt;($AM$11-$AL$11)/($AN$11-$AL$11),$AL$11+SQRT(AZ798*($AN$11-$AL$11)*($AM$11-$AL$11)),$AN$11-SQRT((1-AZ798)*($AN$11-$AL$11)*($AN$11-$AM$11))),$AM$11)</f>
        <v/>
      </c>
      <c r="AR798">
        <f>SUMPRODUCT((B24:B31&lt;=$B$6)*(C24:C31*AM798+D24:D31*AO798*$B$8*AQ798)/(1+AL798/100)^B24:B31)+C32*AM798*AP798/(1+AL798/100)^$B$6</f>
        <v/>
      </c>
      <c r="AS798">
        <f>SUMPRODUCT((K24:K26&lt;=$B$6)*(L24:L26*AN798+M24:M26*AO798*$B$8*AQ798)/(1+AL798/100)^K24:K26)+L27*AN798*AP798/(1+AL798/100)^$B$6</f>
        <v/>
      </c>
      <c r="AT798">
        <f>AS798-AR798</f>
        <v/>
      </c>
      <c r="AU798">
        <f>RAND()</f>
        <v/>
      </c>
      <c r="AV798">
        <f>RAND()</f>
        <v/>
      </c>
      <c r="AW798">
        <f>RAND()</f>
        <v/>
      </c>
      <c r="AX798">
        <f>RAND()</f>
        <v/>
      </c>
      <c r="AY798">
        <f>RAND()</f>
        <v/>
      </c>
      <c r="AZ798">
        <f>RAND()</f>
        <v/>
      </c>
    </row>
    <row r="799">
      <c r="AK799" t="n">
        <v>786</v>
      </c>
      <c r="AL799">
        <f>IFERROR(IF(AU799&lt;($AM$6-$AL$6)/($AN$6-$AL$6),$AL$6+SQRT(AU799*($AN$6-$AL$6)*($AM$6-$AL$6)),$AN$6-SQRT((1-AU799)*($AN$6-$AL$6)*($AN$6-$AM$6))),$AM$6)</f>
        <v/>
      </c>
      <c r="AM799">
        <f>IFERROR(IF(AV799&lt;($AM$7-$AL$7)/($AN$7-$AL$7),$AL$7+SQRT(AV799*($AN$7-$AL$7)*($AM$7-$AL$7)),$AN$7-SQRT((1-AV799)*($AN$7-$AL$7)*($AN$7-$AM$7))),$AM$7)</f>
        <v/>
      </c>
      <c r="AN799">
        <f>IFERROR(IF(AW799&lt;($AM$8-$AL$8)/($AN$8-$AL$8),$AL$8+SQRT(AW799*($AN$8-$AL$8)*($AM$8-$AL$8)),$AN$8-SQRT((1-AW799)*($AN$8-$AL$8)*($AN$8-$AM$8))),$AM$8)</f>
        <v/>
      </c>
      <c r="AO799">
        <f>IFERROR(IF(AX799&lt;($AM$9-$AL$9)/($AN$9-$AL$9),$AL$9+SQRT(AX799*($AN$9-$AL$9)*($AM$9-$AL$9)),$AN$9-SQRT((1-AX799)*($AN$9-$AL$9)*($AN$9-$AM$9))),$AM$9)</f>
        <v/>
      </c>
      <c r="AP799">
        <f>IFERROR(IF(AY799&lt;($AM$10-$AL$10)/($AN$10-$AL$10),$AL$10+SQRT(AY799*($AN$10-$AL$10)*($AM$10-$AL$10)),$AN$10-SQRT((1-AY799)*($AN$10-$AL$10)*($AN$10-$AM$10))),$AM$10)</f>
        <v/>
      </c>
      <c r="AQ799">
        <f>IFERROR(IF(AZ799&lt;($AM$11-$AL$11)/($AN$11-$AL$11),$AL$11+SQRT(AZ799*($AN$11-$AL$11)*($AM$11-$AL$11)),$AN$11-SQRT((1-AZ799)*($AN$11-$AL$11)*($AN$11-$AM$11))),$AM$11)</f>
        <v/>
      </c>
      <c r="AR799">
        <f>SUMPRODUCT((B24:B31&lt;=$B$6)*(C24:C31*AM799+D24:D31*AO799*$B$8*AQ799)/(1+AL799/100)^B24:B31)+C32*AM799*AP799/(1+AL799/100)^$B$6</f>
        <v/>
      </c>
      <c r="AS799">
        <f>SUMPRODUCT((K24:K26&lt;=$B$6)*(L24:L26*AN799+M24:M26*AO799*$B$8*AQ799)/(1+AL799/100)^K24:K26)+L27*AN799*AP799/(1+AL799/100)^$B$6</f>
        <v/>
      </c>
      <c r="AT799">
        <f>AS799-AR799</f>
        <v/>
      </c>
      <c r="AU799">
        <f>RAND()</f>
        <v/>
      </c>
      <c r="AV799">
        <f>RAND()</f>
        <v/>
      </c>
      <c r="AW799">
        <f>RAND()</f>
        <v/>
      </c>
      <c r="AX799">
        <f>RAND()</f>
        <v/>
      </c>
      <c r="AY799">
        <f>RAND()</f>
        <v/>
      </c>
      <c r="AZ799">
        <f>RAND()</f>
        <v/>
      </c>
    </row>
    <row r="800">
      <c r="AK800" t="n">
        <v>787</v>
      </c>
      <c r="AL800">
        <f>IFERROR(IF(AU800&lt;($AM$6-$AL$6)/($AN$6-$AL$6),$AL$6+SQRT(AU800*($AN$6-$AL$6)*($AM$6-$AL$6)),$AN$6-SQRT((1-AU800)*($AN$6-$AL$6)*($AN$6-$AM$6))),$AM$6)</f>
        <v/>
      </c>
      <c r="AM800">
        <f>IFERROR(IF(AV800&lt;($AM$7-$AL$7)/($AN$7-$AL$7),$AL$7+SQRT(AV800*($AN$7-$AL$7)*($AM$7-$AL$7)),$AN$7-SQRT((1-AV800)*($AN$7-$AL$7)*($AN$7-$AM$7))),$AM$7)</f>
        <v/>
      </c>
      <c r="AN800">
        <f>IFERROR(IF(AW800&lt;($AM$8-$AL$8)/($AN$8-$AL$8),$AL$8+SQRT(AW800*($AN$8-$AL$8)*($AM$8-$AL$8)),$AN$8-SQRT((1-AW800)*($AN$8-$AL$8)*($AN$8-$AM$8))),$AM$8)</f>
        <v/>
      </c>
      <c r="AO800">
        <f>IFERROR(IF(AX800&lt;($AM$9-$AL$9)/($AN$9-$AL$9),$AL$9+SQRT(AX800*($AN$9-$AL$9)*($AM$9-$AL$9)),$AN$9-SQRT((1-AX800)*($AN$9-$AL$9)*($AN$9-$AM$9))),$AM$9)</f>
        <v/>
      </c>
      <c r="AP800">
        <f>IFERROR(IF(AY800&lt;($AM$10-$AL$10)/($AN$10-$AL$10),$AL$10+SQRT(AY800*($AN$10-$AL$10)*($AM$10-$AL$10)),$AN$10-SQRT((1-AY800)*($AN$10-$AL$10)*($AN$10-$AM$10))),$AM$10)</f>
        <v/>
      </c>
      <c r="AQ800">
        <f>IFERROR(IF(AZ800&lt;($AM$11-$AL$11)/($AN$11-$AL$11),$AL$11+SQRT(AZ800*($AN$11-$AL$11)*($AM$11-$AL$11)),$AN$11-SQRT((1-AZ800)*($AN$11-$AL$11)*($AN$11-$AM$11))),$AM$11)</f>
        <v/>
      </c>
      <c r="AR800">
        <f>SUMPRODUCT((B24:B31&lt;=$B$6)*(C24:C31*AM800+D24:D31*AO800*$B$8*AQ800)/(1+AL800/100)^B24:B31)+C32*AM800*AP800/(1+AL800/100)^$B$6</f>
        <v/>
      </c>
      <c r="AS800">
        <f>SUMPRODUCT((K24:K26&lt;=$B$6)*(L24:L26*AN800+M24:M26*AO800*$B$8*AQ800)/(1+AL800/100)^K24:K26)+L27*AN800*AP800/(1+AL800/100)^$B$6</f>
        <v/>
      </c>
      <c r="AT800">
        <f>AS800-AR800</f>
        <v/>
      </c>
      <c r="AU800">
        <f>RAND()</f>
        <v/>
      </c>
      <c r="AV800">
        <f>RAND()</f>
        <v/>
      </c>
      <c r="AW800">
        <f>RAND()</f>
        <v/>
      </c>
      <c r="AX800">
        <f>RAND()</f>
        <v/>
      </c>
      <c r="AY800">
        <f>RAND()</f>
        <v/>
      </c>
      <c r="AZ800">
        <f>RAND()</f>
        <v/>
      </c>
    </row>
    <row r="801">
      <c r="AK801" t="n">
        <v>788</v>
      </c>
      <c r="AL801">
        <f>IFERROR(IF(AU801&lt;($AM$6-$AL$6)/($AN$6-$AL$6),$AL$6+SQRT(AU801*($AN$6-$AL$6)*($AM$6-$AL$6)),$AN$6-SQRT((1-AU801)*($AN$6-$AL$6)*($AN$6-$AM$6))),$AM$6)</f>
        <v/>
      </c>
      <c r="AM801">
        <f>IFERROR(IF(AV801&lt;($AM$7-$AL$7)/($AN$7-$AL$7),$AL$7+SQRT(AV801*($AN$7-$AL$7)*($AM$7-$AL$7)),$AN$7-SQRT((1-AV801)*($AN$7-$AL$7)*($AN$7-$AM$7))),$AM$7)</f>
        <v/>
      </c>
      <c r="AN801">
        <f>IFERROR(IF(AW801&lt;($AM$8-$AL$8)/($AN$8-$AL$8),$AL$8+SQRT(AW801*($AN$8-$AL$8)*($AM$8-$AL$8)),$AN$8-SQRT((1-AW801)*($AN$8-$AL$8)*($AN$8-$AM$8))),$AM$8)</f>
        <v/>
      </c>
      <c r="AO801">
        <f>IFERROR(IF(AX801&lt;($AM$9-$AL$9)/($AN$9-$AL$9),$AL$9+SQRT(AX801*($AN$9-$AL$9)*($AM$9-$AL$9)),$AN$9-SQRT((1-AX801)*($AN$9-$AL$9)*($AN$9-$AM$9))),$AM$9)</f>
        <v/>
      </c>
      <c r="AP801">
        <f>IFERROR(IF(AY801&lt;($AM$10-$AL$10)/($AN$10-$AL$10),$AL$10+SQRT(AY801*($AN$10-$AL$10)*($AM$10-$AL$10)),$AN$10-SQRT((1-AY801)*($AN$10-$AL$10)*($AN$10-$AM$10))),$AM$10)</f>
        <v/>
      </c>
      <c r="AQ801">
        <f>IFERROR(IF(AZ801&lt;($AM$11-$AL$11)/($AN$11-$AL$11),$AL$11+SQRT(AZ801*($AN$11-$AL$11)*($AM$11-$AL$11)),$AN$11-SQRT((1-AZ801)*($AN$11-$AL$11)*($AN$11-$AM$11))),$AM$11)</f>
        <v/>
      </c>
      <c r="AR801">
        <f>SUMPRODUCT((B24:B31&lt;=$B$6)*(C24:C31*AM801+D24:D31*AO801*$B$8*AQ801)/(1+AL801/100)^B24:B31)+C32*AM801*AP801/(1+AL801/100)^$B$6</f>
        <v/>
      </c>
      <c r="AS801">
        <f>SUMPRODUCT((K24:K26&lt;=$B$6)*(L24:L26*AN801+M24:M26*AO801*$B$8*AQ801)/(1+AL801/100)^K24:K26)+L27*AN801*AP801/(1+AL801/100)^$B$6</f>
        <v/>
      </c>
      <c r="AT801">
        <f>AS801-AR801</f>
        <v/>
      </c>
      <c r="AU801">
        <f>RAND()</f>
        <v/>
      </c>
      <c r="AV801">
        <f>RAND()</f>
        <v/>
      </c>
      <c r="AW801">
        <f>RAND()</f>
        <v/>
      </c>
      <c r="AX801">
        <f>RAND()</f>
        <v/>
      </c>
      <c r="AY801">
        <f>RAND()</f>
        <v/>
      </c>
      <c r="AZ801">
        <f>RAND()</f>
        <v/>
      </c>
    </row>
    <row r="802">
      <c r="AK802" t="n">
        <v>789</v>
      </c>
      <c r="AL802">
        <f>IFERROR(IF(AU802&lt;($AM$6-$AL$6)/($AN$6-$AL$6),$AL$6+SQRT(AU802*($AN$6-$AL$6)*($AM$6-$AL$6)),$AN$6-SQRT((1-AU802)*($AN$6-$AL$6)*($AN$6-$AM$6))),$AM$6)</f>
        <v/>
      </c>
      <c r="AM802">
        <f>IFERROR(IF(AV802&lt;($AM$7-$AL$7)/($AN$7-$AL$7),$AL$7+SQRT(AV802*($AN$7-$AL$7)*($AM$7-$AL$7)),$AN$7-SQRT((1-AV802)*($AN$7-$AL$7)*($AN$7-$AM$7))),$AM$7)</f>
        <v/>
      </c>
      <c r="AN802">
        <f>IFERROR(IF(AW802&lt;($AM$8-$AL$8)/($AN$8-$AL$8),$AL$8+SQRT(AW802*($AN$8-$AL$8)*($AM$8-$AL$8)),$AN$8-SQRT((1-AW802)*($AN$8-$AL$8)*($AN$8-$AM$8))),$AM$8)</f>
        <v/>
      </c>
      <c r="AO802">
        <f>IFERROR(IF(AX802&lt;($AM$9-$AL$9)/($AN$9-$AL$9),$AL$9+SQRT(AX802*($AN$9-$AL$9)*($AM$9-$AL$9)),$AN$9-SQRT((1-AX802)*($AN$9-$AL$9)*($AN$9-$AM$9))),$AM$9)</f>
        <v/>
      </c>
      <c r="AP802">
        <f>IFERROR(IF(AY802&lt;($AM$10-$AL$10)/($AN$10-$AL$10),$AL$10+SQRT(AY802*($AN$10-$AL$10)*($AM$10-$AL$10)),$AN$10-SQRT((1-AY802)*($AN$10-$AL$10)*($AN$10-$AM$10))),$AM$10)</f>
        <v/>
      </c>
      <c r="AQ802">
        <f>IFERROR(IF(AZ802&lt;($AM$11-$AL$11)/($AN$11-$AL$11),$AL$11+SQRT(AZ802*($AN$11-$AL$11)*($AM$11-$AL$11)),$AN$11-SQRT((1-AZ802)*($AN$11-$AL$11)*($AN$11-$AM$11))),$AM$11)</f>
        <v/>
      </c>
      <c r="AR802">
        <f>SUMPRODUCT((B24:B31&lt;=$B$6)*(C24:C31*AM802+D24:D31*AO802*$B$8*AQ802)/(1+AL802/100)^B24:B31)+C32*AM802*AP802/(1+AL802/100)^$B$6</f>
        <v/>
      </c>
      <c r="AS802">
        <f>SUMPRODUCT((K24:K26&lt;=$B$6)*(L24:L26*AN802+M24:M26*AO802*$B$8*AQ802)/(1+AL802/100)^K24:K26)+L27*AN802*AP802/(1+AL802/100)^$B$6</f>
        <v/>
      </c>
      <c r="AT802">
        <f>AS802-AR802</f>
        <v/>
      </c>
      <c r="AU802">
        <f>RAND()</f>
        <v/>
      </c>
      <c r="AV802">
        <f>RAND()</f>
        <v/>
      </c>
      <c r="AW802">
        <f>RAND()</f>
        <v/>
      </c>
      <c r="AX802">
        <f>RAND()</f>
        <v/>
      </c>
      <c r="AY802">
        <f>RAND()</f>
        <v/>
      </c>
      <c r="AZ802">
        <f>RAND()</f>
        <v/>
      </c>
    </row>
    <row r="803">
      <c r="AK803" t="n">
        <v>790</v>
      </c>
      <c r="AL803">
        <f>IFERROR(IF(AU803&lt;($AM$6-$AL$6)/($AN$6-$AL$6),$AL$6+SQRT(AU803*($AN$6-$AL$6)*($AM$6-$AL$6)),$AN$6-SQRT((1-AU803)*($AN$6-$AL$6)*($AN$6-$AM$6))),$AM$6)</f>
        <v/>
      </c>
      <c r="AM803">
        <f>IFERROR(IF(AV803&lt;($AM$7-$AL$7)/($AN$7-$AL$7),$AL$7+SQRT(AV803*($AN$7-$AL$7)*($AM$7-$AL$7)),$AN$7-SQRT((1-AV803)*($AN$7-$AL$7)*($AN$7-$AM$7))),$AM$7)</f>
        <v/>
      </c>
      <c r="AN803">
        <f>IFERROR(IF(AW803&lt;($AM$8-$AL$8)/($AN$8-$AL$8),$AL$8+SQRT(AW803*($AN$8-$AL$8)*($AM$8-$AL$8)),$AN$8-SQRT((1-AW803)*($AN$8-$AL$8)*($AN$8-$AM$8))),$AM$8)</f>
        <v/>
      </c>
      <c r="AO803">
        <f>IFERROR(IF(AX803&lt;($AM$9-$AL$9)/($AN$9-$AL$9),$AL$9+SQRT(AX803*($AN$9-$AL$9)*($AM$9-$AL$9)),$AN$9-SQRT((1-AX803)*($AN$9-$AL$9)*($AN$9-$AM$9))),$AM$9)</f>
        <v/>
      </c>
      <c r="AP803">
        <f>IFERROR(IF(AY803&lt;($AM$10-$AL$10)/($AN$10-$AL$10),$AL$10+SQRT(AY803*($AN$10-$AL$10)*($AM$10-$AL$10)),$AN$10-SQRT((1-AY803)*($AN$10-$AL$10)*($AN$10-$AM$10))),$AM$10)</f>
        <v/>
      </c>
      <c r="AQ803">
        <f>IFERROR(IF(AZ803&lt;($AM$11-$AL$11)/($AN$11-$AL$11),$AL$11+SQRT(AZ803*($AN$11-$AL$11)*($AM$11-$AL$11)),$AN$11-SQRT((1-AZ803)*($AN$11-$AL$11)*($AN$11-$AM$11))),$AM$11)</f>
        <v/>
      </c>
      <c r="AR803">
        <f>SUMPRODUCT((B24:B31&lt;=$B$6)*(C24:C31*AM803+D24:D31*AO803*$B$8*AQ803)/(1+AL803/100)^B24:B31)+C32*AM803*AP803/(1+AL803/100)^$B$6</f>
        <v/>
      </c>
      <c r="AS803">
        <f>SUMPRODUCT((K24:K26&lt;=$B$6)*(L24:L26*AN803+M24:M26*AO803*$B$8*AQ803)/(1+AL803/100)^K24:K26)+L27*AN803*AP803/(1+AL803/100)^$B$6</f>
        <v/>
      </c>
      <c r="AT803">
        <f>AS803-AR803</f>
        <v/>
      </c>
      <c r="AU803">
        <f>RAND()</f>
        <v/>
      </c>
      <c r="AV803">
        <f>RAND()</f>
        <v/>
      </c>
      <c r="AW803">
        <f>RAND()</f>
        <v/>
      </c>
      <c r="AX803">
        <f>RAND()</f>
        <v/>
      </c>
      <c r="AY803">
        <f>RAND()</f>
        <v/>
      </c>
      <c r="AZ803">
        <f>RAND()</f>
        <v/>
      </c>
    </row>
    <row r="804">
      <c r="AK804" t="n">
        <v>791</v>
      </c>
      <c r="AL804">
        <f>IFERROR(IF(AU804&lt;($AM$6-$AL$6)/($AN$6-$AL$6),$AL$6+SQRT(AU804*($AN$6-$AL$6)*($AM$6-$AL$6)),$AN$6-SQRT((1-AU804)*($AN$6-$AL$6)*($AN$6-$AM$6))),$AM$6)</f>
        <v/>
      </c>
      <c r="AM804">
        <f>IFERROR(IF(AV804&lt;($AM$7-$AL$7)/($AN$7-$AL$7),$AL$7+SQRT(AV804*($AN$7-$AL$7)*($AM$7-$AL$7)),$AN$7-SQRT((1-AV804)*($AN$7-$AL$7)*($AN$7-$AM$7))),$AM$7)</f>
        <v/>
      </c>
      <c r="AN804">
        <f>IFERROR(IF(AW804&lt;($AM$8-$AL$8)/($AN$8-$AL$8),$AL$8+SQRT(AW804*($AN$8-$AL$8)*($AM$8-$AL$8)),$AN$8-SQRT((1-AW804)*($AN$8-$AL$8)*($AN$8-$AM$8))),$AM$8)</f>
        <v/>
      </c>
      <c r="AO804">
        <f>IFERROR(IF(AX804&lt;($AM$9-$AL$9)/($AN$9-$AL$9),$AL$9+SQRT(AX804*($AN$9-$AL$9)*($AM$9-$AL$9)),$AN$9-SQRT((1-AX804)*($AN$9-$AL$9)*($AN$9-$AM$9))),$AM$9)</f>
        <v/>
      </c>
      <c r="AP804">
        <f>IFERROR(IF(AY804&lt;($AM$10-$AL$10)/($AN$10-$AL$10),$AL$10+SQRT(AY804*($AN$10-$AL$10)*($AM$10-$AL$10)),$AN$10-SQRT((1-AY804)*($AN$10-$AL$10)*($AN$10-$AM$10))),$AM$10)</f>
        <v/>
      </c>
      <c r="AQ804">
        <f>IFERROR(IF(AZ804&lt;($AM$11-$AL$11)/($AN$11-$AL$11),$AL$11+SQRT(AZ804*($AN$11-$AL$11)*($AM$11-$AL$11)),$AN$11-SQRT((1-AZ804)*($AN$11-$AL$11)*($AN$11-$AM$11))),$AM$11)</f>
        <v/>
      </c>
      <c r="AR804">
        <f>SUMPRODUCT((B24:B31&lt;=$B$6)*(C24:C31*AM804+D24:D31*AO804*$B$8*AQ804)/(1+AL804/100)^B24:B31)+C32*AM804*AP804/(1+AL804/100)^$B$6</f>
        <v/>
      </c>
      <c r="AS804">
        <f>SUMPRODUCT((K24:K26&lt;=$B$6)*(L24:L26*AN804+M24:M26*AO804*$B$8*AQ804)/(1+AL804/100)^K24:K26)+L27*AN804*AP804/(1+AL804/100)^$B$6</f>
        <v/>
      </c>
      <c r="AT804">
        <f>AS804-AR804</f>
        <v/>
      </c>
      <c r="AU804">
        <f>RAND()</f>
        <v/>
      </c>
      <c r="AV804">
        <f>RAND()</f>
        <v/>
      </c>
      <c r="AW804">
        <f>RAND()</f>
        <v/>
      </c>
      <c r="AX804">
        <f>RAND()</f>
        <v/>
      </c>
      <c r="AY804">
        <f>RAND()</f>
        <v/>
      </c>
      <c r="AZ804">
        <f>RAND()</f>
        <v/>
      </c>
    </row>
    <row r="805">
      <c r="AK805" t="n">
        <v>792</v>
      </c>
      <c r="AL805">
        <f>IFERROR(IF(AU805&lt;($AM$6-$AL$6)/($AN$6-$AL$6),$AL$6+SQRT(AU805*($AN$6-$AL$6)*($AM$6-$AL$6)),$AN$6-SQRT((1-AU805)*($AN$6-$AL$6)*($AN$6-$AM$6))),$AM$6)</f>
        <v/>
      </c>
      <c r="AM805">
        <f>IFERROR(IF(AV805&lt;($AM$7-$AL$7)/($AN$7-$AL$7),$AL$7+SQRT(AV805*($AN$7-$AL$7)*($AM$7-$AL$7)),$AN$7-SQRT((1-AV805)*($AN$7-$AL$7)*($AN$7-$AM$7))),$AM$7)</f>
        <v/>
      </c>
      <c r="AN805">
        <f>IFERROR(IF(AW805&lt;($AM$8-$AL$8)/($AN$8-$AL$8),$AL$8+SQRT(AW805*($AN$8-$AL$8)*($AM$8-$AL$8)),$AN$8-SQRT((1-AW805)*($AN$8-$AL$8)*($AN$8-$AM$8))),$AM$8)</f>
        <v/>
      </c>
      <c r="AO805">
        <f>IFERROR(IF(AX805&lt;($AM$9-$AL$9)/($AN$9-$AL$9),$AL$9+SQRT(AX805*($AN$9-$AL$9)*($AM$9-$AL$9)),$AN$9-SQRT((1-AX805)*($AN$9-$AL$9)*($AN$9-$AM$9))),$AM$9)</f>
        <v/>
      </c>
      <c r="AP805">
        <f>IFERROR(IF(AY805&lt;($AM$10-$AL$10)/($AN$10-$AL$10),$AL$10+SQRT(AY805*($AN$10-$AL$10)*($AM$10-$AL$10)),$AN$10-SQRT((1-AY805)*($AN$10-$AL$10)*($AN$10-$AM$10))),$AM$10)</f>
        <v/>
      </c>
      <c r="AQ805">
        <f>IFERROR(IF(AZ805&lt;($AM$11-$AL$11)/($AN$11-$AL$11),$AL$11+SQRT(AZ805*($AN$11-$AL$11)*($AM$11-$AL$11)),$AN$11-SQRT((1-AZ805)*($AN$11-$AL$11)*($AN$11-$AM$11))),$AM$11)</f>
        <v/>
      </c>
      <c r="AR805">
        <f>SUMPRODUCT((B24:B31&lt;=$B$6)*(C24:C31*AM805+D24:D31*AO805*$B$8*AQ805)/(1+AL805/100)^B24:B31)+C32*AM805*AP805/(1+AL805/100)^$B$6</f>
        <v/>
      </c>
      <c r="AS805">
        <f>SUMPRODUCT((K24:K26&lt;=$B$6)*(L24:L26*AN805+M24:M26*AO805*$B$8*AQ805)/(1+AL805/100)^K24:K26)+L27*AN805*AP805/(1+AL805/100)^$B$6</f>
        <v/>
      </c>
      <c r="AT805">
        <f>AS805-AR805</f>
        <v/>
      </c>
      <c r="AU805">
        <f>RAND()</f>
        <v/>
      </c>
      <c r="AV805">
        <f>RAND()</f>
        <v/>
      </c>
      <c r="AW805">
        <f>RAND()</f>
        <v/>
      </c>
      <c r="AX805">
        <f>RAND()</f>
        <v/>
      </c>
      <c r="AY805">
        <f>RAND()</f>
        <v/>
      </c>
      <c r="AZ805">
        <f>RAND()</f>
        <v/>
      </c>
    </row>
    <row r="806">
      <c r="AK806" t="n">
        <v>793</v>
      </c>
      <c r="AL806">
        <f>IFERROR(IF(AU806&lt;($AM$6-$AL$6)/($AN$6-$AL$6),$AL$6+SQRT(AU806*($AN$6-$AL$6)*($AM$6-$AL$6)),$AN$6-SQRT((1-AU806)*($AN$6-$AL$6)*($AN$6-$AM$6))),$AM$6)</f>
        <v/>
      </c>
      <c r="AM806">
        <f>IFERROR(IF(AV806&lt;($AM$7-$AL$7)/($AN$7-$AL$7),$AL$7+SQRT(AV806*($AN$7-$AL$7)*($AM$7-$AL$7)),$AN$7-SQRT((1-AV806)*($AN$7-$AL$7)*($AN$7-$AM$7))),$AM$7)</f>
        <v/>
      </c>
      <c r="AN806">
        <f>IFERROR(IF(AW806&lt;($AM$8-$AL$8)/($AN$8-$AL$8),$AL$8+SQRT(AW806*($AN$8-$AL$8)*($AM$8-$AL$8)),$AN$8-SQRT((1-AW806)*($AN$8-$AL$8)*($AN$8-$AM$8))),$AM$8)</f>
        <v/>
      </c>
      <c r="AO806">
        <f>IFERROR(IF(AX806&lt;($AM$9-$AL$9)/($AN$9-$AL$9),$AL$9+SQRT(AX806*($AN$9-$AL$9)*($AM$9-$AL$9)),$AN$9-SQRT((1-AX806)*($AN$9-$AL$9)*($AN$9-$AM$9))),$AM$9)</f>
        <v/>
      </c>
      <c r="AP806">
        <f>IFERROR(IF(AY806&lt;($AM$10-$AL$10)/($AN$10-$AL$10),$AL$10+SQRT(AY806*($AN$10-$AL$10)*($AM$10-$AL$10)),$AN$10-SQRT((1-AY806)*($AN$10-$AL$10)*($AN$10-$AM$10))),$AM$10)</f>
        <v/>
      </c>
      <c r="AQ806">
        <f>IFERROR(IF(AZ806&lt;($AM$11-$AL$11)/($AN$11-$AL$11),$AL$11+SQRT(AZ806*($AN$11-$AL$11)*($AM$11-$AL$11)),$AN$11-SQRT((1-AZ806)*($AN$11-$AL$11)*($AN$11-$AM$11))),$AM$11)</f>
        <v/>
      </c>
      <c r="AR806">
        <f>SUMPRODUCT((B24:B31&lt;=$B$6)*(C24:C31*AM806+D24:D31*AO806*$B$8*AQ806)/(1+AL806/100)^B24:B31)+C32*AM806*AP806/(1+AL806/100)^$B$6</f>
        <v/>
      </c>
      <c r="AS806">
        <f>SUMPRODUCT((K24:K26&lt;=$B$6)*(L24:L26*AN806+M24:M26*AO806*$B$8*AQ806)/(1+AL806/100)^K24:K26)+L27*AN806*AP806/(1+AL806/100)^$B$6</f>
        <v/>
      </c>
      <c r="AT806">
        <f>AS806-AR806</f>
        <v/>
      </c>
      <c r="AU806">
        <f>RAND()</f>
        <v/>
      </c>
      <c r="AV806">
        <f>RAND()</f>
        <v/>
      </c>
      <c r="AW806">
        <f>RAND()</f>
        <v/>
      </c>
      <c r="AX806">
        <f>RAND()</f>
        <v/>
      </c>
      <c r="AY806">
        <f>RAND()</f>
        <v/>
      </c>
      <c r="AZ806">
        <f>RAND()</f>
        <v/>
      </c>
    </row>
    <row r="807">
      <c r="AK807" t="n">
        <v>794</v>
      </c>
      <c r="AL807">
        <f>IFERROR(IF(AU807&lt;($AM$6-$AL$6)/($AN$6-$AL$6),$AL$6+SQRT(AU807*($AN$6-$AL$6)*($AM$6-$AL$6)),$AN$6-SQRT((1-AU807)*($AN$6-$AL$6)*($AN$6-$AM$6))),$AM$6)</f>
        <v/>
      </c>
      <c r="AM807">
        <f>IFERROR(IF(AV807&lt;($AM$7-$AL$7)/($AN$7-$AL$7),$AL$7+SQRT(AV807*($AN$7-$AL$7)*($AM$7-$AL$7)),$AN$7-SQRT((1-AV807)*($AN$7-$AL$7)*($AN$7-$AM$7))),$AM$7)</f>
        <v/>
      </c>
      <c r="AN807">
        <f>IFERROR(IF(AW807&lt;($AM$8-$AL$8)/($AN$8-$AL$8),$AL$8+SQRT(AW807*($AN$8-$AL$8)*($AM$8-$AL$8)),$AN$8-SQRT((1-AW807)*($AN$8-$AL$8)*($AN$8-$AM$8))),$AM$8)</f>
        <v/>
      </c>
      <c r="AO807">
        <f>IFERROR(IF(AX807&lt;($AM$9-$AL$9)/($AN$9-$AL$9),$AL$9+SQRT(AX807*($AN$9-$AL$9)*($AM$9-$AL$9)),$AN$9-SQRT((1-AX807)*($AN$9-$AL$9)*($AN$9-$AM$9))),$AM$9)</f>
        <v/>
      </c>
      <c r="AP807">
        <f>IFERROR(IF(AY807&lt;($AM$10-$AL$10)/($AN$10-$AL$10),$AL$10+SQRT(AY807*($AN$10-$AL$10)*($AM$10-$AL$10)),$AN$10-SQRT((1-AY807)*($AN$10-$AL$10)*($AN$10-$AM$10))),$AM$10)</f>
        <v/>
      </c>
      <c r="AQ807">
        <f>IFERROR(IF(AZ807&lt;($AM$11-$AL$11)/($AN$11-$AL$11),$AL$11+SQRT(AZ807*($AN$11-$AL$11)*($AM$11-$AL$11)),$AN$11-SQRT((1-AZ807)*($AN$11-$AL$11)*($AN$11-$AM$11))),$AM$11)</f>
        <v/>
      </c>
      <c r="AR807">
        <f>SUMPRODUCT((B24:B31&lt;=$B$6)*(C24:C31*AM807+D24:D31*AO807*$B$8*AQ807)/(1+AL807/100)^B24:B31)+C32*AM807*AP807/(1+AL807/100)^$B$6</f>
        <v/>
      </c>
      <c r="AS807">
        <f>SUMPRODUCT((K24:K26&lt;=$B$6)*(L24:L26*AN807+M24:M26*AO807*$B$8*AQ807)/(1+AL807/100)^K24:K26)+L27*AN807*AP807/(1+AL807/100)^$B$6</f>
        <v/>
      </c>
      <c r="AT807">
        <f>AS807-AR807</f>
        <v/>
      </c>
      <c r="AU807">
        <f>RAND()</f>
        <v/>
      </c>
      <c r="AV807">
        <f>RAND()</f>
        <v/>
      </c>
      <c r="AW807">
        <f>RAND()</f>
        <v/>
      </c>
      <c r="AX807">
        <f>RAND()</f>
        <v/>
      </c>
      <c r="AY807">
        <f>RAND()</f>
        <v/>
      </c>
      <c r="AZ807">
        <f>RAND()</f>
        <v/>
      </c>
    </row>
    <row r="808">
      <c r="AK808" t="n">
        <v>795</v>
      </c>
      <c r="AL808">
        <f>IFERROR(IF(AU808&lt;($AM$6-$AL$6)/($AN$6-$AL$6),$AL$6+SQRT(AU808*($AN$6-$AL$6)*($AM$6-$AL$6)),$AN$6-SQRT((1-AU808)*($AN$6-$AL$6)*($AN$6-$AM$6))),$AM$6)</f>
        <v/>
      </c>
      <c r="AM808">
        <f>IFERROR(IF(AV808&lt;($AM$7-$AL$7)/($AN$7-$AL$7),$AL$7+SQRT(AV808*($AN$7-$AL$7)*($AM$7-$AL$7)),$AN$7-SQRT((1-AV808)*($AN$7-$AL$7)*($AN$7-$AM$7))),$AM$7)</f>
        <v/>
      </c>
      <c r="AN808">
        <f>IFERROR(IF(AW808&lt;($AM$8-$AL$8)/($AN$8-$AL$8),$AL$8+SQRT(AW808*($AN$8-$AL$8)*($AM$8-$AL$8)),$AN$8-SQRT((1-AW808)*($AN$8-$AL$8)*($AN$8-$AM$8))),$AM$8)</f>
        <v/>
      </c>
      <c r="AO808">
        <f>IFERROR(IF(AX808&lt;($AM$9-$AL$9)/($AN$9-$AL$9),$AL$9+SQRT(AX808*($AN$9-$AL$9)*($AM$9-$AL$9)),$AN$9-SQRT((1-AX808)*($AN$9-$AL$9)*($AN$9-$AM$9))),$AM$9)</f>
        <v/>
      </c>
      <c r="AP808">
        <f>IFERROR(IF(AY808&lt;($AM$10-$AL$10)/($AN$10-$AL$10),$AL$10+SQRT(AY808*($AN$10-$AL$10)*($AM$10-$AL$10)),$AN$10-SQRT((1-AY808)*($AN$10-$AL$10)*($AN$10-$AM$10))),$AM$10)</f>
        <v/>
      </c>
      <c r="AQ808">
        <f>IFERROR(IF(AZ808&lt;($AM$11-$AL$11)/($AN$11-$AL$11),$AL$11+SQRT(AZ808*($AN$11-$AL$11)*($AM$11-$AL$11)),$AN$11-SQRT((1-AZ808)*($AN$11-$AL$11)*($AN$11-$AM$11))),$AM$11)</f>
        <v/>
      </c>
      <c r="AR808">
        <f>SUMPRODUCT((B24:B31&lt;=$B$6)*(C24:C31*AM808+D24:D31*AO808*$B$8*AQ808)/(1+AL808/100)^B24:B31)+C32*AM808*AP808/(1+AL808/100)^$B$6</f>
        <v/>
      </c>
      <c r="AS808">
        <f>SUMPRODUCT((K24:K26&lt;=$B$6)*(L24:L26*AN808+M24:M26*AO808*$B$8*AQ808)/(1+AL808/100)^K24:K26)+L27*AN808*AP808/(1+AL808/100)^$B$6</f>
        <v/>
      </c>
      <c r="AT808">
        <f>AS808-AR808</f>
        <v/>
      </c>
      <c r="AU808">
        <f>RAND()</f>
        <v/>
      </c>
      <c r="AV808">
        <f>RAND()</f>
        <v/>
      </c>
      <c r="AW808">
        <f>RAND()</f>
        <v/>
      </c>
      <c r="AX808">
        <f>RAND()</f>
        <v/>
      </c>
      <c r="AY808">
        <f>RAND()</f>
        <v/>
      </c>
      <c r="AZ808">
        <f>RAND()</f>
        <v/>
      </c>
    </row>
    <row r="809">
      <c r="AK809" t="n">
        <v>796</v>
      </c>
      <c r="AL809">
        <f>IFERROR(IF(AU809&lt;($AM$6-$AL$6)/($AN$6-$AL$6),$AL$6+SQRT(AU809*($AN$6-$AL$6)*($AM$6-$AL$6)),$AN$6-SQRT((1-AU809)*($AN$6-$AL$6)*($AN$6-$AM$6))),$AM$6)</f>
        <v/>
      </c>
      <c r="AM809">
        <f>IFERROR(IF(AV809&lt;($AM$7-$AL$7)/($AN$7-$AL$7),$AL$7+SQRT(AV809*($AN$7-$AL$7)*($AM$7-$AL$7)),$AN$7-SQRT((1-AV809)*($AN$7-$AL$7)*($AN$7-$AM$7))),$AM$7)</f>
        <v/>
      </c>
      <c r="AN809">
        <f>IFERROR(IF(AW809&lt;($AM$8-$AL$8)/($AN$8-$AL$8),$AL$8+SQRT(AW809*($AN$8-$AL$8)*($AM$8-$AL$8)),$AN$8-SQRT((1-AW809)*($AN$8-$AL$8)*($AN$8-$AM$8))),$AM$8)</f>
        <v/>
      </c>
      <c r="AO809">
        <f>IFERROR(IF(AX809&lt;($AM$9-$AL$9)/($AN$9-$AL$9),$AL$9+SQRT(AX809*($AN$9-$AL$9)*($AM$9-$AL$9)),$AN$9-SQRT((1-AX809)*($AN$9-$AL$9)*($AN$9-$AM$9))),$AM$9)</f>
        <v/>
      </c>
      <c r="AP809">
        <f>IFERROR(IF(AY809&lt;($AM$10-$AL$10)/($AN$10-$AL$10),$AL$10+SQRT(AY809*($AN$10-$AL$10)*($AM$10-$AL$10)),$AN$10-SQRT((1-AY809)*($AN$10-$AL$10)*($AN$10-$AM$10))),$AM$10)</f>
        <v/>
      </c>
      <c r="AQ809">
        <f>IFERROR(IF(AZ809&lt;($AM$11-$AL$11)/($AN$11-$AL$11),$AL$11+SQRT(AZ809*($AN$11-$AL$11)*($AM$11-$AL$11)),$AN$11-SQRT((1-AZ809)*($AN$11-$AL$11)*($AN$11-$AM$11))),$AM$11)</f>
        <v/>
      </c>
      <c r="AR809">
        <f>SUMPRODUCT((B24:B31&lt;=$B$6)*(C24:C31*AM809+D24:D31*AO809*$B$8*AQ809)/(1+AL809/100)^B24:B31)+C32*AM809*AP809/(1+AL809/100)^$B$6</f>
        <v/>
      </c>
      <c r="AS809">
        <f>SUMPRODUCT((K24:K26&lt;=$B$6)*(L24:L26*AN809+M24:M26*AO809*$B$8*AQ809)/(1+AL809/100)^K24:K26)+L27*AN809*AP809/(1+AL809/100)^$B$6</f>
        <v/>
      </c>
      <c r="AT809">
        <f>AS809-AR809</f>
        <v/>
      </c>
      <c r="AU809">
        <f>RAND()</f>
        <v/>
      </c>
      <c r="AV809">
        <f>RAND()</f>
        <v/>
      </c>
      <c r="AW809">
        <f>RAND()</f>
        <v/>
      </c>
      <c r="AX809">
        <f>RAND()</f>
        <v/>
      </c>
      <c r="AY809">
        <f>RAND()</f>
        <v/>
      </c>
      <c r="AZ809">
        <f>RAND()</f>
        <v/>
      </c>
    </row>
    <row r="810">
      <c r="AK810" t="n">
        <v>797</v>
      </c>
      <c r="AL810">
        <f>IFERROR(IF(AU810&lt;($AM$6-$AL$6)/($AN$6-$AL$6),$AL$6+SQRT(AU810*($AN$6-$AL$6)*($AM$6-$AL$6)),$AN$6-SQRT((1-AU810)*($AN$6-$AL$6)*($AN$6-$AM$6))),$AM$6)</f>
        <v/>
      </c>
      <c r="AM810">
        <f>IFERROR(IF(AV810&lt;($AM$7-$AL$7)/($AN$7-$AL$7),$AL$7+SQRT(AV810*($AN$7-$AL$7)*($AM$7-$AL$7)),$AN$7-SQRT((1-AV810)*($AN$7-$AL$7)*($AN$7-$AM$7))),$AM$7)</f>
        <v/>
      </c>
      <c r="AN810">
        <f>IFERROR(IF(AW810&lt;($AM$8-$AL$8)/($AN$8-$AL$8),$AL$8+SQRT(AW810*($AN$8-$AL$8)*($AM$8-$AL$8)),$AN$8-SQRT((1-AW810)*($AN$8-$AL$8)*($AN$8-$AM$8))),$AM$8)</f>
        <v/>
      </c>
      <c r="AO810">
        <f>IFERROR(IF(AX810&lt;($AM$9-$AL$9)/($AN$9-$AL$9),$AL$9+SQRT(AX810*($AN$9-$AL$9)*($AM$9-$AL$9)),$AN$9-SQRT((1-AX810)*($AN$9-$AL$9)*($AN$9-$AM$9))),$AM$9)</f>
        <v/>
      </c>
      <c r="AP810">
        <f>IFERROR(IF(AY810&lt;($AM$10-$AL$10)/($AN$10-$AL$10),$AL$10+SQRT(AY810*($AN$10-$AL$10)*($AM$10-$AL$10)),$AN$10-SQRT((1-AY810)*($AN$10-$AL$10)*($AN$10-$AM$10))),$AM$10)</f>
        <v/>
      </c>
      <c r="AQ810">
        <f>IFERROR(IF(AZ810&lt;($AM$11-$AL$11)/($AN$11-$AL$11),$AL$11+SQRT(AZ810*($AN$11-$AL$11)*($AM$11-$AL$11)),$AN$11-SQRT((1-AZ810)*($AN$11-$AL$11)*($AN$11-$AM$11))),$AM$11)</f>
        <v/>
      </c>
      <c r="AR810">
        <f>SUMPRODUCT((B24:B31&lt;=$B$6)*(C24:C31*AM810+D24:D31*AO810*$B$8*AQ810)/(1+AL810/100)^B24:B31)+C32*AM810*AP810/(1+AL810/100)^$B$6</f>
        <v/>
      </c>
      <c r="AS810">
        <f>SUMPRODUCT((K24:K26&lt;=$B$6)*(L24:L26*AN810+M24:M26*AO810*$B$8*AQ810)/(1+AL810/100)^K24:K26)+L27*AN810*AP810/(1+AL810/100)^$B$6</f>
        <v/>
      </c>
      <c r="AT810">
        <f>AS810-AR810</f>
        <v/>
      </c>
      <c r="AU810">
        <f>RAND()</f>
        <v/>
      </c>
      <c r="AV810">
        <f>RAND()</f>
        <v/>
      </c>
      <c r="AW810">
        <f>RAND()</f>
        <v/>
      </c>
      <c r="AX810">
        <f>RAND()</f>
        <v/>
      </c>
      <c r="AY810">
        <f>RAND()</f>
        <v/>
      </c>
      <c r="AZ810">
        <f>RAND()</f>
        <v/>
      </c>
    </row>
    <row r="811">
      <c r="AK811" t="n">
        <v>798</v>
      </c>
      <c r="AL811">
        <f>IFERROR(IF(AU811&lt;($AM$6-$AL$6)/($AN$6-$AL$6),$AL$6+SQRT(AU811*($AN$6-$AL$6)*($AM$6-$AL$6)),$AN$6-SQRT((1-AU811)*($AN$6-$AL$6)*($AN$6-$AM$6))),$AM$6)</f>
        <v/>
      </c>
      <c r="AM811">
        <f>IFERROR(IF(AV811&lt;($AM$7-$AL$7)/($AN$7-$AL$7),$AL$7+SQRT(AV811*($AN$7-$AL$7)*($AM$7-$AL$7)),$AN$7-SQRT((1-AV811)*($AN$7-$AL$7)*($AN$7-$AM$7))),$AM$7)</f>
        <v/>
      </c>
      <c r="AN811">
        <f>IFERROR(IF(AW811&lt;($AM$8-$AL$8)/($AN$8-$AL$8),$AL$8+SQRT(AW811*($AN$8-$AL$8)*($AM$8-$AL$8)),$AN$8-SQRT((1-AW811)*($AN$8-$AL$8)*($AN$8-$AM$8))),$AM$8)</f>
        <v/>
      </c>
      <c r="AO811">
        <f>IFERROR(IF(AX811&lt;($AM$9-$AL$9)/($AN$9-$AL$9),$AL$9+SQRT(AX811*($AN$9-$AL$9)*($AM$9-$AL$9)),$AN$9-SQRT((1-AX811)*($AN$9-$AL$9)*($AN$9-$AM$9))),$AM$9)</f>
        <v/>
      </c>
      <c r="AP811">
        <f>IFERROR(IF(AY811&lt;($AM$10-$AL$10)/($AN$10-$AL$10),$AL$10+SQRT(AY811*($AN$10-$AL$10)*($AM$10-$AL$10)),$AN$10-SQRT((1-AY811)*($AN$10-$AL$10)*($AN$10-$AM$10))),$AM$10)</f>
        <v/>
      </c>
      <c r="AQ811">
        <f>IFERROR(IF(AZ811&lt;($AM$11-$AL$11)/($AN$11-$AL$11),$AL$11+SQRT(AZ811*($AN$11-$AL$11)*($AM$11-$AL$11)),$AN$11-SQRT((1-AZ811)*($AN$11-$AL$11)*($AN$11-$AM$11))),$AM$11)</f>
        <v/>
      </c>
      <c r="AR811">
        <f>SUMPRODUCT((B24:B31&lt;=$B$6)*(C24:C31*AM811+D24:D31*AO811*$B$8*AQ811)/(1+AL811/100)^B24:B31)+C32*AM811*AP811/(1+AL811/100)^$B$6</f>
        <v/>
      </c>
      <c r="AS811">
        <f>SUMPRODUCT((K24:K26&lt;=$B$6)*(L24:L26*AN811+M24:M26*AO811*$B$8*AQ811)/(1+AL811/100)^K24:K26)+L27*AN811*AP811/(1+AL811/100)^$B$6</f>
        <v/>
      </c>
      <c r="AT811">
        <f>AS811-AR811</f>
        <v/>
      </c>
      <c r="AU811">
        <f>RAND()</f>
        <v/>
      </c>
      <c r="AV811">
        <f>RAND()</f>
        <v/>
      </c>
      <c r="AW811">
        <f>RAND()</f>
        <v/>
      </c>
      <c r="AX811">
        <f>RAND()</f>
        <v/>
      </c>
      <c r="AY811">
        <f>RAND()</f>
        <v/>
      </c>
      <c r="AZ811">
        <f>RAND()</f>
        <v/>
      </c>
    </row>
    <row r="812">
      <c r="AK812" t="n">
        <v>799</v>
      </c>
      <c r="AL812">
        <f>IFERROR(IF(AU812&lt;($AM$6-$AL$6)/($AN$6-$AL$6),$AL$6+SQRT(AU812*($AN$6-$AL$6)*($AM$6-$AL$6)),$AN$6-SQRT((1-AU812)*($AN$6-$AL$6)*($AN$6-$AM$6))),$AM$6)</f>
        <v/>
      </c>
      <c r="AM812">
        <f>IFERROR(IF(AV812&lt;($AM$7-$AL$7)/($AN$7-$AL$7),$AL$7+SQRT(AV812*($AN$7-$AL$7)*($AM$7-$AL$7)),$AN$7-SQRT((1-AV812)*($AN$7-$AL$7)*($AN$7-$AM$7))),$AM$7)</f>
        <v/>
      </c>
      <c r="AN812">
        <f>IFERROR(IF(AW812&lt;($AM$8-$AL$8)/($AN$8-$AL$8),$AL$8+SQRT(AW812*($AN$8-$AL$8)*($AM$8-$AL$8)),$AN$8-SQRT((1-AW812)*($AN$8-$AL$8)*($AN$8-$AM$8))),$AM$8)</f>
        <v/>
      </c>
      <c r="AO812">
        <f>IFERROR(IF(AX812&lt;($AM$9-$AL$9)/($AN$9-$AL$9),$AL$9+SQRT(AX812*($AN$9-$AL$9)*($AM$9-$AL$9)),$AN$9-SQRT((1-AX812)*($AN$9-$AL$9)*($AN$9-$AM$9))),$AM$9)</f>
        <v/>
      </c>
      <c r="AP812">
        <f>IFERROR(IF(AY812&lt;($AM$10-$AL$10)/($AN$10-$AL$10),$AL$10+SQRT(AY812*($AN$10-$AL$10)*($AM$10-$AL$10)),$AN$10-SQRT((1-AY812)*($AN$10-$AL$10)*($AN$10-$AM$10))),$AM$10)</f>
        <v/>
      </c>
      <c r="AQ812">
        <f>IFERROR(IF(AZ812&lt;($AM$11-$AL$11)/($AN$11-$AL$11),$AL$11+SQRT(AZ812*($AN$11-$AL$11)*($AM$11-$AL$11)),$AN$11-SQRT((1-AZ812)*($AN$11-$AL$11)*($AN$11-$AM$11))),$AM$11)</f>
        <v/>
      </c>
      <c r="AR812">
        <f>SUMPRODUCT((B24:B31&lt;=$B$6)*(C24:C31*AM812+D24:D31*AO812*$B$8*AQ812)/(1+AL812/100)^B24:B31)+C32*AM812*AP812/(1+AL812/100)^$B$6</f>
        <v/>
      </c>
      <c r="AS812">
        <f>SUMPRODUCT((K24:K26&lt;=$B$6)*(L24:L26*AN812+M24:M26*AO812*$B$8*AQ812)/(1+AL812/100)^K24:K26)+L27*AN812*AP812/(1+AL812/100)^$B$6</f>
        <v/>
      </c>
      <c r="AT812">
        <f>AS812-AR812</f>
        <v/>
      </c>
      <c r="AU812">
        <f>RAND()</f>
        <v/>
      </c>
      <c r="AV812">
        <f>RAND()</f>
        <v/>
      </c>
      <c r="AW812">
        <f>RAND()</f>
        <v/>
      </c>
      <c r="AX812">
        <f>RAND()</f>
        <v/>
      </c>
      <c r="AY812">
        <f>RAND()</f>
        <v/>
      </c>
      <c r="AZ812">
        <f>RAND()</f>
        <v/>
      </c>
    </row>
    <row r="813">
      <c r="AK813" t="n">
        <v>800</v>
      </c>
      <c r="AL813">
        <f>IFERROR(IF(AU813&lt;($AM$6-$AL$6)/($AN$6-$AL$6),$AL$6+SQRT(AU813*($AN$6-$AL$6)*($AM$6-$AL$6)),$AN$6-SQRT((1-AU813)*($AN$6-$AL$6)*($AN$6-$AM$6))),$AM$6)</f>
        <v/>
      </c>
      <c r="AM813">
        <f>IFERROR(IF(AV813&lt;($AM$7-$AL$7)/($AN$7-$AL$7),$AL$7+SQRT(AV813*($AN$7-$AL$7)*($AM$7-$AL$7)),$AN$7-SQRT((1-AV813)*($AN$7-$AL$7)*($AN$7-$AM$7))),$AM$7)</f>
        <v/>
      </c>
      <c r="AN813">
        <f>IFERROR(IF(AW813&lt;($AM$8-$AL$8)/($AN$8-$AL$8),$AL$8+SQRT(AW813*($AN$8-$AL$8)*($AM$8-$AL$8)),$AN$8-SQRT((1-AW813)*($AN$8-$AL$8)*($AN$8-$AM$8))),$AM$8)</f>
        <v/>
      </c>
      <c r="AO813">
        <f>IFERROR(IF(AX813&lt;($AM$9-$AL$9)/($AN$9-$AL$9),$AL$9+SQRT(AX813*($AN$9-$AL$9)*($AM$9-$AL$9)),$AN$9-SQRT((1-AX813)*($AN$9-$AL$9)*($AN$9-$AM$9))),$AM$9)</f>
        <v/>
      </c>
      <c r="AP813">
        <f>IFERROR(IF(AY813&lt;($AM$10-$AL$10)/($AN$10-$AL$10),$AL$10+SQRT(AY813*($AN$10-$AL$10)*($AM$10-$AL$10)),$AN$10-SQRT((1-AY813)*($AN$10-$AL$10)*($AN$10-$AM$10))),$AM$10)</f>
        <v/>
      </c>
      <c r="AQ813">
        <f>IFERROR(IF(AZ813&lt;($AM$11-$AL$11)/($AN$11-$AL$11),$AL$11+SQRT(AZ813*($AN$11-$AL$11)*($AM$11-$AL$11)),$AN$11-SQRT((1-AZ813)*($AN$11-$AL$11)*($AN$11-$AM$11))),$AM$11)</f>
        <v/>
      </c>
      <c r="AR813">
        <f>SUMPRODUCT((B24:B31&lt;=$B$6)*(C24:C31*AM813+D24:D31*AO813*$B$8*AQ813)/(1+AL813/100)^B24:B31)+C32*AM813*AP813/(1+AL813/100)^$B$6</f>
        <v/>
      </c>
      <c r="AS813">
        <f>SUMPRODUCT((K24:K26&lt;=$B$6)*(L24:L26*AN813+M24:M26*AO813*$B$8*AQ813)/(1+AL813/100)^K24:K26)+L27*AN813*AP813/(1+AL813/100)^$B$6</f>
        <v/>
      </c>
      <c r="AT813">
        <f>AS813-AR813</f>
        <v/>
      </c>
      <c r="AU813">
        <f>RAND()</f>
        <v/>
      </c>
      <c r="AV813">
        <f>RAND()</f>
        <v/>
      </c>
      <c r="AW813">
        <f>RAND()</f>
        <v/>
      </c>
      <c r="AX813">
        <f>RAND()</f>
        <v/>
      </c>
      <c r="AY813">
        <f>RAND()</f>
        <v/>
      </c>
      <c r="AZ813">
        <f>RAND()</f>
        <v/>
      </c>
    </row>
    <row r="814">
      <c r="AK814" t="n">
        <v>801</v>
      </c>
      <c r="AL814">
        <f>IFERROR(IF(AU814&lt;($AM$6-$AL$6)/($AN$6-$AL$6),$AL$6+SQRT(AU814*($AN$6-$AL$6)*($AM$6-$AL$6)),$AN$6-SQRT((1-AU814)*($AN$6-$AL$6)*($AN$6-$AM$6))),$AM$6)</f>
        <v/>
      </c>
      <c r="AM814">
        <f>IFERROR(IF(AV814&lt;($AM$7-$AL$7)/($AN$7-$AL$7),$AL$7+SQRT(AV814*($AN$7-$AL$7)*($AM$7-$AL$7)),$AN$7-SQRT((1-AV814)*($AN$7-$AL$7)*($AN$7-$AM$7))),$AM$7)</f>
        <v/>
      </c>
      <c r="AN814">
        <f>IFERROR(IF(AW814&lt;($AM$8-$AL$8)/($AN$8-$AL$8),$AL$8+SQRT(AW814*($AN$8-$AL$8)*($AM$8-$AL$8)),$AN$8-SQRT((1-AW814)*($AN$8-$AL$8)*($AN$8-$AM$8))),$AM$8)</f>
        <v/>
      </c>
      <c r="AO814">
        <f>IFERROR(IF(AX814&lt;($AM$9-$AL$9)/($AN$9-$AL$9),$AL$9+SQRT(AX814*($AN$9-$AL$9)*($AM$9-$AL$9)),$AN$9-SQRT((1-AX814)*($AN$9-$AL$9)*($AN$9-$AM$9))),$AM$9)</f>
        <v/>
      </c>
      <c r="AP814">
        <f>IFERROR(IF(AY814&lt;($AM$10-$AL$10)/($AN$10-$AL$10),$AL$10+SQRT(AY814*($AN$10-$AL$10)*($AM$10-$AL$10)),$AN$10-SQRT((1-AY814)*($AN$10-$AL$10)*($AN$10-$AM$10))),$AM$10)</f>
        <v/>
      </c>
      <c r="AQ814">
        <f>IFERROR(IF(AZ814&lt;($AM$11-$AL$11)/($AN$11-$AL$11),$AL$11+SQRT(AZ814*($AN$11-$AL$11)*($AM$11-$AL$11)),$AN$11-SQRT((1-AZ814)*($AN$11-$AL$11)*($AN$11-$AM$11))),$AM$11)</f>
        <v/>
      </c>
      <c r="AR814">
        <f>SUMPRODUCT((B24:B31&lt;=$B$6)*(C24:C31*AM814+D24:D31*AO814*$B$8*AQ814)/(1+AL814/100)^B24:B31)+C32*AM814*AP814/(1+AL814/100)^$B$6</f>
        <v/>
      </c>
      <c r="AS814">
        <f>SUMPRODUCT((K24:K26&lt;=$B$6)*(L24:L26*AN814+M24:M26*AO814*$B$8*AQ814)/(1+AL814/100)^K24:K26)+L27*AN814*AP814/(1+AL814/100)^$B$6</f>
        <v/>
      </c>
      <c r="AT814">
        <f>AS814-AR814</f>
        <v/>
      </c>
      <c r="AU814">
        <f>RAND()</f>
        <v/>
      </c>
      <c r="AV814">
        <f>RAND()</f>
        <v/>
      </c>
      <c r="AW814">
        <f>RAND()</f>
        <v/>
      </c>
      <c r="AX814">
        <f>RAND()</f>
        <v/>
      </c>
      <c r="AY814">
        <f>RAND()</f>
        <v/>
      </c>
      <c r="AZ814">
        <f>RAND()</f>
        <v/>
      </c>
    </row>
    <row r="815">
      <c r="AK815" t="n">
        <v>802</v>
      </c>
      <c r="AL815">
        <f>IFERROR(IF(AU815&lt;($AM$6-$AL$6)/($AN$6-$AL$6),$AL$6+SQRT(AU815*($AN$6-$AL$6)*($AM$6-$AL$6)),$AN$6-SQRT((1-AU815)*($AN$6-$AL$6)*($AN$6-$AM$6))),$AM$6)</f>
        <v/>
      </c>
      <c r="AM815">
        <f>IFERROR(IF(AV815&lt;($AM$7-$AL$7)/($AN$7-$AL$7),$AL$7+SQRT(AV815*($AN$7-$AL$7)*($AM$7-$AL$7)),$AN$7-SQRT((1-AV815)*($AN$7-$AL$7)*($AN$7-$AM$7))),$AM$7)</f>
        <v/>
      </c>
      <c r="AN815">
        <f>IFERROR(IF(AW815&lt;($AM$8-$AL$8)/($AN$8-$AL$8),$AL$8+SQRT(AW815*($AN$8-$AL$8)*($AM$8-$AL$8)),$AN$8-SQRT((1-AW815)*($AN$8-$AL$8)*($AN$8-$AM$8))),$AM$8)</f>
        <v/>
      </c>
      <c r="AO815">
        <f>IFERROR(IF(AX815&lt;($AM$9-$AL$9)/($AN$9-$AL$9),$AL$9+SQRT(AX815*($AN$9-$AL$9)*($AM$9-$AL$9)),$AN$9-SQRT((1-AX815)*($AN$9-$AL$9)*($AN$9-$AM$9))),$AM$9)</f>
        <v/>
      </c>
      <c r="AP815">
        <f>IFERROR(IF(AY815&lt;($AM$10-$AL$10)/($AN$10-$AL$10),$AL$10+SQRT(AY815*($AN$10-$AL$10)*($AM$10-$AL$10)),$AN$10-SQRT((1-AY815)*($AN$10-$AL$10)*($AN$10-$AM$10))),$AM$10)</f>
        <v/>
      </c>
      <c r="AQ815">
        <f>IFERROR(IF(AZ815&lt;($AM$11-$AL$11)/($AN$11-$AL$11),$AL$11+SQRT(AZ815*($AN$11-$AL$11)*($AM$11-$AL$11)),$AN$11-SQRT((1-AZ815)*($AN$11-$AL$11)*($AN$11-$AM$11))),$AM$11)</f>
        <v/>
      </c>
      <c r="AR815">
        <f>SUMPRODUCT((B24:B31&lt;=$B$6)*(C24:C31*AM815+D24:D31*AO815*$B$8*AQ815)/(1+AL815/100)^B24:B31)+C32*AM815*AP815/(1+AL815/100)^$B$6</f>
        <v/>
      </c>
      <c r="AS815">
        <f>SUMPRODUCT((K24:K26&lt;=$B$6)*(L24:L26*AN815+M24:M26*AO815*$B$8*AQ815)/(1+AL815/100)^K24:K26)+L27*AN815*AP815/(1+AL815/100)^$B$6</f>
        <v/>
      </c>
      <c r="AT815">
        <f>AS815-AR815</f>
        <v/>
      </c>
      <c r="AU815">
        <f>RAND()</f>
        <v/>
      </c>
      <c r="AV815">
        <f>RAND()</f>
        <v/>
      </c>
      <c r="AW815">
        <f>RAND()</f>
        <v/>
      </c>
      <c r="AX815">
        <f>RAND()</f>
        <v/>
      </c>
      <c r="AY815">
        <f>RAND()</f>
        <v/>
      </c>
      <c r="AZ815">
        <f>RAND()</f>
        <v/>
      </c>
    </row>
    <row r="816">
      <c r="AK816" t="n">
        <v>803</v>
      </c>
      <c r="AL816">
        <f>IFERROR(IF(AU816&lt;($AM$6-$AL$6)/($AN$6-$AL$6),$AL$6+SQRT(AU816*($AN$6-$AL$6)*($AM$6-$AL$6)),$AN$6-SQRT((1-AU816)*($AN$6-$AL$6)*($AN$6-$AM$6))),$AM$6)</f>
        <v/>
      </c>
      <c r="AM816">
        <f>IFERROR(IF(AV816&lt;($AM$7-$AL$7)/($AN$7-$AL$7),$AL$7+SQRT(AV816*($AN$7-$AL$7)*($AM$7-$AL$7)),$AN$7-SQRT((1-AV816)*($AN$7-$AL$7)*($AN$7-$AM$7))),$AM$7)</f>
        <v/>
      </c>
      <c r="AN816">
        <f>IFERROR(IF(AW816&lt;($AM$8-$AL$8)/($AN$8-$AL$8),$AL$8+SQRT(AW816*($AN$8-$AL$8)*($AM$8-$AL$8)),$AN$8-SQRT((1-AW816)*($AN$8-$AL$8)*($AN$8-$AM$8))),$AM$8)</f>
        <v/>
      </c>
      <c r="AO816">
        <f>IFERROR(IF(AX816&lt;($AM$9-$AL$9)/($AN$9-$AL$9),$AL$9+SQRT(AX816*($AN$9-$AL$9)*($AM$9-$AL$9)),$AN$9-SQRT((1-AX816)*($AN$9-$AL$9)*($AN$9-$AM$9))),$AM$9)</f>
        <v/>
      </c>
      <c r="AP816">
        <f>IFERROR(IF(AY816&lt;($AM$10-$AL$10)/($AN$10-$AL$10),$AL$10+SQRT(AY816*($AN$10-$AL$10)*($AM$10-$AL$10)),$AN$10-SQRT((1-AY816)*($AN$10-$AL$10)*($AN$10-$AM$10))),$AM$10)</f>
        <v/>
      </c>
      <c r="AQ816">
        <f>IFERROR(IF(AZ816&lt;($AM$11-$AL$11)/($AN$11-$AL$11),$AL$11+SQRT(AZ816*($AN$11-$AL$11)*($AM$11-$AL$11)),$AN$11-SQRT((1-AZ816)*($AN$11-$AL$11)*($AN$11-$AM$11))),$AM$11)</f>
        <v/>
      </c>
      <c r="AR816">
        <f>SUMPRODUCT((B24:B31&lt;=$B$6)*(C24:C31*AM816+D24:D31*AO816*$B$8*AQ816)/(1+AL816/100)^B24:B31)+C32*AM816*AP816/(1+AL816/100)^$B$6</f>
        <v/>
      </c>
      <c r="AS816">
        <f>SUMPRODUCT((K24:K26&lt;=$B$6)*(L24:L26*AN816+M24:M26*AO816*$B$8*AQ816)/(1+AL816/100)^K24:K26)+L27*AN816*AP816/(1+AL816/100)^$B$6</f>
        <v/>
      </c>
      <c r="AT816">
        <f>AS816-AR816</f>
        <v/>
      </c>
      <c r="AU816">
        <f>RAND()</f>
        <v/>
      </c>
      <c r="AV816">
        <f>RAND()</f>
        <v/>
      </c>
      <c r="AW816">
        <f>RAND()</f>
        <v/>
      </c>
      <c r="AX816">
        <f>RAND()</f>
        <v/>
      </c>
      <c r="AY816">
        <f>RAND()</f>
        <v/>
      </c>
      <c r="AZ816">
        <f>RAND()</f>
        <v/>
      </c>
    </row>
    <row r="817">
      <c r="AK817" t="n">
        <v>804</v>
      </c>
      <c r="AL817">
        <f>IFERROR(IF(AU817&lt;($AM$6-$AL$6)/($AN$6-$AL$6),$AL$6+SQRT(AU817*($AN$6-$AL$6)*($AM$6-$AL$6)),$AN$6-SQRT((1-AU817)*($AN$6-$AL$6)*($AN$6-$AM$6))),$AM$6)</f>
        <v/>
      </c>
      <c r="AM817">
        <f>IFERROR(IF(AV817&lt;($AM$7-$AL$7)/($AN$7-$AL$7),$AL$7+SQRT(AV817*($AN$7-$AL$7)*($AM$7-$AL$7)),$AN$7-SQRT((1-AV817)*($AN$7-$AL$7)*($AN$7-$AM$7))),$AM$7)</f>
        <v/>
      </c>
      <c r="AN817">
        <f>IFERROR(IF(AW817&lt;($AM$8-$AL$8)/($AN$8-$AL$8),$AL$8+SQRT(AW817*($AN$8-$AL$8)*($AM$8-$AL$8)),$AN$8-SQRT((1-AW817)*($AN$8-$AL$8)*($AN$8-$AM$8))),$AM$8)</f>
        <v/>
      </c>
      <c r="AO817">
        <f>IFERROR(IF(AX817&lt;($AM$9-$AL$9)/($AN$9-$AL$9),$AL$9+SQRT(AX817*($AN$9-$AL$9)*($AM$9-$AL$9)),$AN$9-SQRT((1-AX817)*($AN$9-$AL$9)*($AN$9-$AM$9))),$AM$9)</f>
        <v/>
      </c>
      <c r="AP817">
        <f>IFERROR(IF(AY817&lt;($AM$10-$AL$10)/($AN$10-$AL$10),$AL$10+SQRT(AY817*($AN$10-$AL$10)*($AM$10-$AL$10)),$AN$10-SQRT((1-AY817)*($AN$10-$AL$10)*($AN$10-$AM$10))),$AM$10)</f>
        <v/>
      </c>
      <c r="AQ817">
        <f>IFERROR(IF(AZ817&lt;($AM$11-$AL$11)/($AN$11-$AL$11),$AL$11+SQRT(AZ817*($AN$11-$AL$11)*($AM$11-$AL$11)),$AN$11-SQRT((1-AZ817)*($AN$11-$AL$11)*($AN$11-$AM$11))),$AM$11)</f>
        <v/>
      </c>
      <c r="AR817">
        <f>SUMPRODUCT((B24:B31&lt;=$B$6)*(C24:C31*AM817+D24:D31*AO817*$B$8*AQ817)/(1+AL817/100)^B24:B31)+C32*AM817*AP817/(1+AL817/100)^$B$6</f>
        <v/>
      </c>
      <c r="AS817">
        <f>SUMPRODUCT((K24:K26&lt;=$B$6)*(L24:L26*AN817+M24:M26*AO817*$B$8*AQ817)/(1+AL817/100)^K24:K26)+L27*AN817*AP817/(1+AL817/100)^$B$6</f>
        <v/>
      </c>
      <c r="AT817">
        <f>AS817-AR817</f>
        <v/>
      </c>
      <c r="AU817">
        <f>RAND()</f>
        <v/>
      </c>
      <c r="AV817">
        <f>RAND()</f>
        <v/>
      </c>
      <c r="AW817">
        <f>RAND()</f>
        <v/>
      </c>
      <c r="AX817">
        <f>RAND()</f>
        <v/>
      </c>
      <c r="AY817">
        <f>RAND()</f>
        <v/>
      </c>
      <c r="AZ817">
        <f>RAND()</f>
        <v/>
      </c>
    </row>
    <row r="818">
      <c r="AK818" t="n">
        <v>805</v>
      </c>
      <c r="AL818">
        <f>IFERROR(IF(AU818&lt;($AM$6-$AL$6)/($AN$6-$AL$6),$AL$6+SQRT(AU818*($AN$6-$AL$6)*($AM$6-$AL$6)),$AN$6-SQRT((1-AU818)*($AN$6-$AL$6)*($AN$6-$AM$6))),$AM$6)</f>
        <v/>
      </c>
      <c r="AM818">
        <f>IFERROR(IF(AV818&lt;($AM$7-$AL$7)/($AN$7-$AL$7),$AL$7+SQRT(AV818*($AN$7-$AL$7)*($AM$7-$AL$7)),$AN$7-SQRT((1-AV818)*($AN$7-$AL$7)*($AN$7-$AM$7))),$AM$7)</f>
        <v/>
      </c>
      <c r="AN818">
        <f>IFERROR(IF(AW818&lt;($AM$8-$AL$8)/($AN$8-$AL$8),$AL$8+SQRT(AW818*($AN$8-$AL$8)*($AM$8-$AL$8)),$AN$8-SQRT((1-AW818)*($AN$8-$AL$8)*($AN$8-$AM$8))),$AM$8)</f>
        <v/>
      </c>
      <c r="AO818">
        <f>IFERROR(IF(AX818&lt;($AM$9-$AL$9)/($AN$9-$AL$9),$AL$9+SQRT(AX818*($AN$9-$AL$9)*($AM$9-$AL$9)),$AN$9-SQRT((1-AX818)*($AN$9-$AL$9)*($AN$9-$AM$9))),$AM$9)</f>
        <v/>
      </c>
      <c r="AP818">
        <f>IFERROR(IF(AY818&lt;($AM$10-$AL$10)/($AN$10-$AL$10),$AL$10+SQRT(AY818*($AN$10-$AL$10)*($AM$10-$AL$10)),$AN$10-SQRT((1-AY818)*($AN$10-$AL$10)*($AN$10-$AM$10))),$AM$10)</f>
        <v/>
      </c>
      <c r="AQ818">
        <f>IFERROR(IF(AZ818&lt;($AM$11-$AL$11)/($AN$11-$AL$11),$AL$11+SQRT(AZ818*($AN$11-$AL$11)*($AM$11-$AL$11)),$AN$11-SQRT((1-AZ818)*($AN$11-$AL$11)*($AN$11-$AM$11))),$AM$11)</f>
        <v/>
      </c>
      <c r="AR818">
        <f>SUMPRODUCT((B24:B31&lt;=$B$6)*(C24:C31*AM818+D24:D31*AO818*$B$8*AQ818)/(1+AL818/100)^B24:B31)+C32*AM818*AP818/(1+AL818/100)^$B$6</f>
        <v/>
      </c>
      <c r="AS818">
        <f>SUMPRODUCT((K24:K26&lt;=$B$6)*(L24:L26*AN818+M24:M26*AO818*$B$8*AQ818)/(1+AL818/100)^K24:K26)+L27*AN818*AP818/(1+AL818/100)^$B$6</f>
        <v/>
      </c>
      <c r="AT818">
        <f>AS818-AR818</f>
        <v/>
      </c>
      <c r="AU818">
        <f>RAND()</f>
        <v/>
      </c>
      <c r="AV818">
        <f>RAND()</f>
        <v/>
      </c>
      <c r="AW818">
        <f>RAND()</f>
        <v/>
      </c>
      <c r="AX818">
        <f>RAND()</f>
        <v/>
      </c>
      <c r="AY818">
        <f>RAND()</f>
        <v/>
      </c>
      <c r="AZ818">
        <f>RAND()</f>
        <v/>
      </c>
    </row>
    <row r="819">
      <c r="AK819" t="n">
        <v>806</v>
      </c>
      <c r="AL819">
        <f>IFERROR(IF(AU819&lt;($AM$6-$AL$6)/($AN$6-$AL$6),$AL$6+SQRT(AU819*($AN$6-$AL$6)*($AM$6-$AL$6)),$AN$6-SQRT((1-AU819)*($AN$6-$AL$6)*($AN$6-$AM$6))),$AM$6)</f>
        <v/>
      </c>
      <c r="AM819">
        <f>IFERROR(IF(AV819&lt;($AM$7-$AL$7)/($AN$7-$AL$7),$AL$7+SQRT(AV819*($AN$7-$AL$7)*($AM$7-$AL$7)),$AN$7-SQRT((1-AV819)*($AN$7-$AL$7)*($AN$7-$AM$7))),$AM$7)</f>
        <v/>
      </c>
      <c r="AN819">
        <f>IFERROR(IF(AW819&lt;($AM$8-$AL$8)/($AN$8-$AL$8),$AL$8+SQRT(AW819*($AN$8-$AL$8)*($AM$8-$AL$8)),$AN$8-SQRT((1-AW819)*($AN$8-$AL$8)*($AN$8-$AM$8))),$AM$8)</f>
        <v/>
      </c>
      <c r="AO819">
        <f>IFERROR(IF(AX819&lt;($AM$9-$AL$9)/($AN$9-$AL$9),$AL$9+SQRT(AX819*($AN$9-$AL$9)*($AM$9-$AL$9)),$AN$9-SQRT((1-AX819)*($AN$9-$AL$9)*($AN$9-$AM$9))),$AM$9)</f>
        <v/>
      </c>
      <c r="AP819">
        <f>IFERROR(IF(AY819&lt;($AM$10-$AL$10)/($AN$10-$AL$10),$AL$10+SQRT(AY819*($AN$10-$AL$10)*($AM$10-$AL$10)),$AN$10-SQRT((1-AY819)*($AN$10-$AL$10)*($AN$10-$AM$10))),$AM$10)</f>
        <v/>
      </c>
      <c r="AQ819">
        <f>IFERROR(IF(AZ819&lt;($AM$11-$AL$11)/($AN$11-$AL$11),$AL$11+SQRT(AZ819*($AN$11-$AL$11)*($AM$11-$AL$11)),$AN$11-SQRT((1-AZ819)*($AN$11-$AL$11)*($AN$11-$AM$11))),$AM$11)</f>
        <v/>
      </c>
      <c r="AR819">
        <f>SUMPRODUCT((B24:B31&lt;=$B$6)*(C24:C31*AM819+D24:D31*AO819*$B$8*AQ819)/(1+AL819/100)^B24:B31)+C32*AM819*AP819/(1+AL819/100)^$B$6</f>
        <v/>
      </c>
      <c r="AS819">
        <f>SUMPRODUCT((K24:K26&lt;=$B$6)*(L24:L26*AN819+M24:M26*AO819*$B$8*AQ819)/(1+AL819/100)^K24:K26)+L27*AN819*AP819/(1+AL819/100)^$B$6</f>
        <v/>
      </c>
      <c r="AT819">
        <f>AS819-AR819</f>
        <v/>
      </c>
      <c r="AU819">
        <f>RAND()</f>
        <v/>
      </c>
      <c r="AV819">
        <f>RAND()</f>
        <v/>
      </c>
      <c r="AW819">
        <f>RAND()</f>
        <v/>
      </c>
      <c r="AX819">
        <f>RAND()</f>
        <v/>
      </c>
      <c r="AY819">
        <f>RAND()</f>
        <v/>
      </c>
      <c r="AZ819">
        <f>RAND()</f>
        <v/>
      </c>
    </row>
    <row r="820">
      <c r="AK820" t="n">
        <v>807</v>
      </c>
      <c r="AL820">
        <f>IFERROR(IF(AU820&lt;($AM$6-$AL$6)/($AN$6-$AL$6),$AL$6+SQRT(AU820*($AN$6-$AL$6)*($AM$6-$AL$6)),$AN$6-SQRT((1-AU820)*($AN$6-$AL$6)*($AN$6-$AM$6))),$AM$6)</f>
        <v/>
      </c>
      <c r="AM820">
        <f>IFERROR(IF(AV820&lt;($AM$7-$AL$7)/($AN$7-$AL$7),$AL$7+SQRT(AV820*($AN$7-$AL$7)*($AM$7-$AL$7)),$AN$7-SQRT((1-AV820)*($AN$7-$AL$7)*($AN$7-$AM$7))),$AM$7)</f>
        <v/>
      </c>
      <c r="AN820">
        <f>IFERROR(IF(AW820&lt;($AM$8-$AL$8)/($AN$8-$AL$8),$AL$8+SQRT(AW820*($AN$8-$AL$8)*($AM$8-$AL$8)),$AN$8-SQRT((1-AW820)*($AN$8-$AL$8)*($AN$8-$AM$8))),$AM$8)</f>
        <v/>
      </c>
      <c r="AO820">
        <f>IFERROR(IF(AX820&lt;($AM$9-$AL$9)/($AN$9-$AL$9),$AL$9+SQRT(AX820*($AN$9-$AL$9)*($AM$9-$AL$9)),$AN$9-SQRT((1-AX820)*($AN$9-$AL$9)*($AN$9-$AM$9))),$AM$9)</f>
        <v/>
      </c>
      <c r="AP820">
        <f>IFERROR(IF(AY820&lt;($AM$10-$AL$10)/($AN$10-$AL$10),$AL$10+SQRT(AY820*($AN$10-$AL$10)*($AM$10-$AL$10)),$AN$10-SQRT((1-AY820)*($AN$10-$AL$10)*($AN$10-$AM$10))),$AM$10)</f>
        <v/>
      </c>
      <c r="AQ820">
        <f>IFERROR(IF(AZ820&lt;($AM$11-$AL$11)/($AN$11-$AL$11),$AL$11+SQRT(AZ820*($AN$11-$AL$11)*($AM$11-$AL$11)),$AN$11-SQRT((1-AZ820)*($AN$11-$AL$11)*($AN$11-$AM$11))),$AM$11)</f>
        <v/>
      </c>
      <c r="AR820">
        <f>SUMPRODUCT((B24:B31&lt;=$B$6)*(C24:C31*AM820+D24:D31*AO820*$B$8*AQ820)/(1+AL820/100)^B24:B31)+C32*AM820*AP820/(1+AL820/100)^$B$6</f>
        <v/>
      </c>
      <c r="AS820">
        <f>SUMPRODUCT((K24:K26&lt;=$B$6)*(L24:L26*AN820+M24:M26*AO820*$B$8*AQ820)/(1+AL820/100)^K24:K26)+L27*AN820*AP820/(1+AL820/100)^$B$6</f>
        <v/>
      </c>
      <c r="AT820">
        <f>AS820-AR820</f>
        <v/>
      </c>
      <c r="AU820">
        <f>RAND()</f>
        <v/>
      </c>
      <c r="AV820">
        <f>RAND()</f>
        <v/>
      </c>
      <c r="AW820">
        <f>RAND()</f>
        <v/>
      </c>
      <c r="AX820">
        <f>RAND()</f>
        <v/>
      </c>
      <c r="AY820">
        <f>RAND()</f>
        <v/>
      </c>
      <c r="AZ820">
        <f>RAND()</f>
        <v/>
      </c>
    </row>
    <row r="821">
      <c r="AK821" t="n">
        <v>808</v>
      </c>
      <c r="AL821">
        <f>IFERROR(IF(AU821&lt;($AM$6-$AL$6)/($AN$6-$AL$6),$AL$6+SQRT(AU821*($AN$6-$AL$6)*($AM$6-$AL$6)),$AN$6-SQRT((1-AU821)*($AN$6-$AL$6)*($AN$6-$AM$6))),$AM$6)</f>
        <v/>
      </c>
      <c r="AM821">
        <f>IFERROR(IF(AV821&lt;($AM$7-$AL$7)/($AN$7-$AL$7),$AL$7+SQRT(AV821*($AN$7-$AL$7)*($AM$7-$AL$7)),$AN$7-SQRT((1-AV821)*($AN$7-$AL$7)*($AN$7-$AM$7))),$AM$7)</f>
        <v/>
      </c>
      <c r="AN821">
        <f>IFERROR(IF(AW821&lt;($AM$8-$AL$8)/($AN$8-$AL$8),$AL$8+SQRT(AW821*($AN$8-$AL$8)*($AM$8-$AL$8)),$AN$8-SQRT((1-AW821)*($AN$8-$AL$8)*($AN$8-$AM$8))),$AM$8)</f>
        <v/>
      </c>
      <c r="AO821">
        <f>IFERROR(IF(AX821&lt;($AM$9-$AL$9)/($AN$9-$AL$9),$AL$9+SQRT(AX821*($AN$9-$AL$9)*($AM$9-$AL$9)),$AN$9-SQRT((1-AX821)*($AN$9-$AL$9)*($AN$9-$AM$9))),$AM$9)</f>
        <v/>
      </c>
      <c r="AP821">
        <f>IFERROR(IF(AY821&lt;($AM$10-$AL$10)/($AN$10-$AL$10),$AL$10+SQRT(AY821*($AN$10-$AL$10)*($AM$10-$AL$10)),$AN$10-SQRT((1-AY821)*($AN$10-$AL$10)*($AN$10-$AM$10))),$AM$10)</f>
        <v/>
      </c>
      <c r="AQ821">
        <f>IFERROR(IF(AZ821&lt;($AM$11-$AL$11)/($AN$11-$AL$11),$AL$11+SQRT(AZ821*($AN$11-$AL$11)*($AM$11-$AL$11)),$AN$11-SQRT((1-AZ821)*($AN$11-$AL$11)*($AN$11-$AM$11))),$AM$11)</f>
        <v/>
      </c>
      <c r="AR821">
        <f>SUMPRODUCT((B24:B31&lt;=$B$6)*(C24:C31*AM821+D24:D31*AO821*$B$8*AQ821)/(1+AL821/100)^B24:B31)+C32*AM821*AP821/(1+AL821/100)^$B$6</f>
        <v/>
      </c>
      <c r="AS821">
        <f>SUMPRODUCT((K24:K26&lt;=$B$6)*(L24:L26*AN821+M24:M26*AO821*$B$8*AQ821)/(1+AL821/100)^K24:K26)+L27*AN821*AP821/(1+AL821/100)^$B$6</f>
        <v/>
      </c>
      <c r="AT821">
        <f>AS821-AR821</f>
        <v/>
      </c>
      <c r="AU821">
        <f>RAND()</f>
        <v/>
      </c>
      <c r="AV821">
        <f>RAND()</f>
        <v/>
      </c>
      <c r="AW821">
        <f>RAND()</f>
        <v/>
      </c>
      <c r="AX821">
        <f>RAND()</f>
        <v/>
      </c>
      <c r="AY821">
        <f>RAND()</f>
        <v/>
      </c>
      <c r="AZ821">
        <f>RAND()</f>
        <v/>
      </c>
    </row>
    <row r="822">
      <c r="AK822" t="n">
        <v>809</v>
      </c>
      <c r="AL822">
        <f>IFERROR(IF(AU822&lt;($AM$6-$AL$6)/($AN$6-$AL$6),$AL$6+SQRT(AU822*($AN$6-$AL$6)*($AM$6-$AL$6)),$AN$6-SQRT((1-AU822)*($AN$6-$AL$6)*($AN$6-$AM$6))),$AM$6)</f>
        <v/>
      </c>
      <c r="AM822">
        <f>IFERROR(IF(AV822&lt;($AM$7-$AL$7)/($AN$7-$AL$7),$AL$7+SQRT(AV822*($AN$7-$AL$7)*($AM$7-$AL$7)),$AN$7-SQRT((1-AV822)*($AN$7-$AL$7)*($AN$7-$AM$7))),$AM$7)</f>
        <v/>
      </c>
      <c r="AN822">
        <f>IFERROR(IF(AW822&lt;($AM$8-$AL$8)/($AN$8-$AL$8),$AL$8+SQRT(AW822*($AN$8-$AL$8)*($AM$8-$AL$8)),$AN$8-SQRT((1-AW822)*($AN$8-$AL$8)*($AN$8-$AM$8))),$AM$8)</f>
        <v/>
      </c>
      <c r="AO822">
        <f>IFERROR(IF(AX822&lt;($AM$9-$AL$9)/($AN$9-$AL$9),$AL$9+SQRT(AX822*($AN$9-$AL$9)*($AM$9-$AL$9)),$AN$9-SQRT((1-AX822)*($AN$9-$AL$9)*($AN$9-$AM$9))),$AM$9)</f>
        <v/>
      </c>
      <c r="AP822">
        <f>IFERROR(IF(AY822&lt;($AM$10-$AL$10)/($AN$10-$AL$10),$AL$10+SQRT(AY822*($AN$10-$AL$10)*($AM$10-$AL$10)),$AN$10-SQRT((1-AY822)*($AN$10-$AL$10)*($AN$10-$AM$10))),$AM$10)</f>
        <v/>
      </c>
      <c r="AQ822">
        <f>IFERROR(IF(AZ822&lt;($AM$11-$AL$11)/($AN$11-$AL$11),$AL$11+SQRT(AZ822*($AN$11-$AL$11)*($AM$11-$AL$11)),$AN$11-SQRT((1-AZ822)*($AN$11-$AL$11)*($AN$11-$AM$11))),$AM$11)</f>
        <v/>
      </c>
      <c r="AR822">
        <f>SUMPRODUCT((B24:B31&lt;=$B$6)*(C24:C31*AM822+D24:D31*AO822*$B$8*AQ822)/(1+AL822/100)^B24:B31)+C32*AM822*AP822/(1+AL822/100)^$B$6</f>
        <v/>
      </c>
      <c r="AS822">
        <f>SUMPRODUCT((K24:K26&lt;=$B$6)*(L24:L26*AN822+M24:M26*AO822*$B$8*AQ822)/(1+AL822/100)^K24:K26)+L27*AN822*AP822/(1+AL822/100)^$B$6</f>
        <v/>
      </c>
      <c r="AT822">
        <f>AS822-AR822</f>
        <v/>
      </c>
      <c r="AU822">
        <f>RAND()</f>
        <v/>
      </c>
      <c r="AV822">
        <f>RAND()</f>
        <v/>
      </c>
      <c r="AW822">
        <f>RAND()</f>
        <v/>
      </c>
      <c r="AX822">
        <f>RAND()</f>
        <v/>
      </c>
      <c r="AY822">
        <f>RAND()</f>
        <v/>
      </c>
      <c r="AZ822">
        <f>RAND()</f>
        <v/>
      </c>
    </row>
    <row r="823">
      <c r="AK823" t="n">
        <v>810</v>
      </c>
      <c r="AL823">
        <f>IFERROR(IF(AU823&lt;($AM$6-$AL$6)/($AN$6-$AL$6),$AL$6+SQRT(AU823*($AN$6-$AL$6)*($AM$6-$AL$6)),$AN$6-SQRT((1-AU823)*($AN$6-$AL$6)*($AN$6-$AM$6))),$AM$6)</f>
        <v/>
      </c>
      <c r="AM823">
        <f>IFERROR(IF(AV823&lt;($AM$7-$AL$7)/($AN$7-$AL$7),$AL$7+SQRT(AV823*($AN$7-$AL$7)*($AM$7-$AL$7)),$AN$7-SQRT((1-AV823)*($AN$7-$AL$7)*($AN$7-$AM$7))),$AM$7)</f>
        <v/>
      </c>
      <c r="AN823">
        <f>IFERROR(IF(AW823&lt;($AM$8-$AL$8)/($AN$8-$AL$8),$AL$8+SQRT(AW823*($AN$8-$AL$8)*($AM$8-$AL$8)),$AN$8-SQRT((1-AW823)*($AN$8-$AL$8)*($AN$8-$AM$8))),$AM$8)</f>
        <v/>
      </c>
      <c r="AO823">
        <f>IFERROR(IF(AX823&lt;($AM$9-$AL$9)/($AN$9-$AL$9),$AL$9+SQRT(AX823*($AN$9-$AL$9)*($AM$9-$AL$9)),$AN$9-SQRT((1-AX823)*($AN$9-$AL$9)*($AN$9-$AM$9))),$AM$9)</f>
        <v/>
      </c>
      <c r="AP823">
        <f>IFERROR(IF(AY823&lt;($AM$10-$AL$10)/($AN$10-$AL$10),$AL$10+SQRT(AY823*($AN$10-$AL$10)*($AM$10-$AL$10)),$AN$10-SQRT((1-AY823)*($AN$10-$AL$10)*($AN$10-$AM$10))),$AM$10)</f>
        <v/>
      </c>
      <c r="AQ823">
        <f>IFERROR(IF(AZ823&lt;($AM$11-$AL$11)/($AN$11-$AL$11),$AL$11+SQRT(AZ823*($AN$11-$AL$11)*($AM$11-$AL$11)),$AN$11-SQRT((1-AZ823)*($AN$11-$AL$11)*($AN$11-$AM$11))),$AM$11)</f>
        <v/>
      </c>
      <c r="AR823">
        <f>SUMPRODUCT((B24:B31&lt;=$B$6)*(C24:C31*AM823+D24:D31*AO823*$B$8*AQ823)/(1+AL823/100)^B24:B31)+C32*AM823*AP823/(1+AL823/100)^$B$6</f>
        <v/>
      </c>
      <c r="AS823">
        <f>SUMPRODUCT((K24:K26&lt;=$B$6)*(L24:L26*AN823+M24:M26*AO823*$B$8*AQ823)/(1+AL823/100)^K24:K26)+L27*AN823*AP823/(1+AL823/100)^$B$6</f>
        <v/>
      </c>
      <c r="AT823">
        <f>AS823-AR823</f>
        <v/>
      </c>
      <c r="AU823">
        <f>RAND()</f>
        <v/>
      </c>
      <c r="AV823">
        <f>RAND()</f>
        <v/>
      </c>
      <c r="AW823">
        <f>RAND()</f>
        <v/>
      </c>
      <c r="AX823">
        <f>RAND()</f>
        <v/>
      </c>
      <c r="AY823">
        <f>RAND()</f>
        <v/>
      </c>
      <c r="AZ823">
        <f>RAND()</f>
        <v/>
      </c>
    </row>
    <row r="824">
      <c r="AK824" t="n">
        <v>811</v>
      </c>
      <c r="AL824">
        <f>IFERROR(IF(AU824&lt;($AM$6-$AL$6)/($AN$6-$AL$6),$AL$6+SQRT(AU824*($AN$6-$AL$6)*($AM$6-$AL$6)),$AN$6-SQRT((1-AU824)*($AN$6-$AL$6)*($AN$6-$AM$6))),$AM$6)</f>
        <v/>
      </c>
      <c r="AM824">
        <f>IFERROR(IF(AV824&lt;($AM$7-$AL$7)/($AN$7-$AL$7),$AL$7+SQRT(AV824*($AN$7-$AL$7)*($AM$7-$AL$7)),$AN$7-SQRT((1-AV824)*($AN$7-$AL$7)*($AN$7-$AM$7))),$AM$7)</f>
        <v/>
      </c>
      <c r="AN824">
        <f>IFERROR(IF(AW824&lt;($AM$8-$AL$8)/($AN$8-$AL$8),$AL$8+SQRT(AW824*($AN$8-$AL$8)*($AM$8-$AL$8)),$AN$8-SQRT((1-AW824)*($AN$8-$AL$8)*($AN$8-$AM$8))),$AM$8)</f>
        <v/>
      </c>
      <c r="AO824">
        <f>IFERROR(IF(AX824&lt;($AM$9-$AL$9)/($AN$9-$AL$9),$AL$9+SQRT(AX824*($AN$9-$AL$9)*($AM$9-$AL$9)),$AN$9-SQRT((1-AX824)*($AN$9-$AL$9)*($AN$9-$AM$9))),$AM$9)</f>
        <v/>
      </c>
      <c r="AP824">
        <f>IFERROR(IF(AY824&lt;($AM$10-$AL$10)/($AN$10-$AL$10),$AL$10+SQRT(AY824*($AN$10-$AL$10)*($AM$10-$AL$10)),$AN$10-SQRT((1-AY824)*($AN$10-$AL$10)*($AN$10-$AM$10))),$AM$10)</f>
        <v/>
      </c>
      <c r="AQ824">
        <f>IFERROR(IF(AZ824&lt;($AM$11-$AL$11)/($AN$11-$AL$11),$AL$11+SQRT(AZ824*($AN$11-$AL$11)*($AM$11-$AL$11)),$AN$11-SQRT((1-AZ824)*($AN$11-$AL$11)*($AN$11-$AM$11))),$AM$11)</f>
        <v/>
      </c>
      <c r="AR824">
        <f>SUMPRODUCT((B24:B31&lt;=$B$6)*(C24:C31*AM824+D24:D31*AO824*$B$8*AQ824)/(1+AL824/100)^B24:B31)+C32*AM824*AP824/(1+AL824/100)^$B$6</f>
        <v/>
      </c>
      <c r="AS824">
        <f>SUMPRODUCT((K24:K26&lt;=$B$6)*(L24:L26*AN824+M24:M26*AO824*$B$8*AQ824)/(1+AL824/100)^K24:K26)+L27*AN824*AP824/(1+AL824/100)^$B$6</f>
        <v/>
      </c>
      <c r="AT824">
        <f>AS824-AR824</f>
        <v/>
      </c>
      <c r="AU824">
        <f>RAND()</f>
        <v/>
      </c>
      <c r="AV824">
        <f>RAND()</f>
        <v/>
      </c>
      <c r="AW824">
        <f>RAND()</f>
        <v/>
      </c>
      <c r="AX824">
        <f>RAND()</f>
        <v/>
      </c>
      <c r="AY824">
        <f>RAND()</f>
        <v/>
      </c>
      <c r="AZ824">
        <f>RAND()</f>
        <v/>
      </c>
    </row>
    <row r="825">
      <c r="AK825" t="n">
        <v>812</v>
      </c>
      <c r="AL825">
        <f>IFERROR(IF(AU825&lt;($AM$6-$AL$6)/($AN$6-$AL$6),$AL$6+SQRT(AU825*($AN$6-$AL$6)*($AM$6-$AL$6)),$AN$6-SQRT((1-AU825)*($AN$6-$AL$6)*($AN$6-$AM$6))),$AM$6)</f>
        <v/>
      </c>
      <c r="AM825">
        <f>IFERROR(IF(AV825&lt;($AM$7-$AL$7)/($AN$7-$AL$7),$AL$7+SQRT(AV825*($AN$7-$AL$7)*($AM$7-$AL$7)),$AN$7-SQRT((1-AV825)*($AN$7-$AL$7)*($AN$7-$AM$7))),$AM$7)</f>
        <v/>
      </c>
      <c r="AN825">
        <f>IFERROR(IF(AW825&lt;($AM$8-$AL$8)/($AN$8-$AL$8),$AL$8+SQRT(AW825*($AN$8-$AL$8)*($AM$8-$AL$8)),$AN$8-SQRT((1-AW825)*($AN$8-$AL$8)*($AN$8-$AM$8))),$AM$8)</f>
        <v/>
      </c>
      <c r="AO825">
        <f>IFERROR(IF(AX825&lt;($AM$9-$AL$9)/($AN$9-$AL$9),$AL$9+SQRT(AX825*($AN$9-$AL$9)*($AM$9-$AL$9)),$AN$9-SQRT((1-AX825)*($AN$9-$AL$9)*($AN$9-$AM$9))),$AM$9)</f>
        <v/>
      </c>
      <c r="AP825">
        <f>IFERROR(IF(AY825&lt;($AM$10-$AL$10)/($AN$10-$AL$10),$AL$10+SQRT(AY825*($AN$10-$AL$10)*($AM$10-$AL$10)),$AN$10-SQRT((1-AY825)*($AN$10-$AL$10)*($AN$10-$AM$10))),$AM$10)</f>
        <v/>
      </c>
      <c r="AQ825">
        <f>IFERROR(IF(AZ825&lt;($AM$11-$AL$11)/($AN$11-$AL$11),$AL$11+SQRT(AZ825*($AN$11-$AL$11)*($AM$11-$AL$11)),$AN$11-SQRT((1-AZ825)*($AN$11-$AL$11)*($AN$11-$AM$11))),$AM$11)</f>
        <v/>
      </c>
      <c r="AR825">
        <f>SUMPRODUCT((B24:B31&lt;=$B$6)*(C24:C31*AM825+D24:D31*AO825*$B$8*AQ825)/(1+AL825/100)^B24:B31)+C32*AM825*AP825/(1+AL825/100)^$B$6</f>
        <v/>
      </c>
      <c r="AS825">
        <f>SUMPRODUCT((K24:K26&lt;=$B$6)*(L24:L26*AN825+M24:M26*AO825*$B$8*AQ825)/(1+AL825/100)^K24:K26)+L27*AN825*AP825/(1+AL825/100)^$B$6</f>
        <v/>
      </c>
      <c r="AT825">
        <f>AS825-AR825</f>
        <v/>
      </c>
      <c r="AU825">
        <f>RAND()</f>
        <v/>
      </c>
      <c r="AV825">
        <f>RAND()</f>
        <v/>
      </c>
      <c r="AW825">
        <f>RAND()</f>
        <v/>
      </c>
      <c r="AX825">
        <f>RAND()</f>
        <v/>
      </c>
      <c r="AY825">
        <f>RAND()</f>
        <v/>
      </c>
      <c r="AZ825">
        <f>RAND()</f>
        <v/>
      </c>
    </row>
    <row r="826">
      <c r="AK826" t="n">
        <v>813</v>
      </c>
      <c r="AL826">
        <f>IFERROR(IF(AU826&lt;($AM$6-$AL$6)/($AN$6-$AL$6),$AL$6+SQRT(AU826*($AN$6-$AL$6)*($AM$6-$AL$6)),$AN$6-SQRT((1-AU826)*($AN$6-$AL$6)*($AN$6-$AM$6))),$AM$6)</f>
        <v/>
      </c>
      <c r="AM826">
        <f>IFERROR(IF(AV826&lt;($AM$7-$AL$7)/($AN$7-$AL$7),$AL$7+SQRT(AV826*($AN$7-$AL$7)*($AM$7-$AL$7)),$AN$7-SQRT((1-AV826)*($AN$7-$AL$7)*($AN$7-$AM$7))),$AM$7)</f>
        <v/>
      </c>
      <c r="AN826">
        <f>IFERROR(IF(AW826&lt;($AM$8-$AL$8)/($AN$8-$AL$8),$AL$8+SQRT(AW826*($AN$8-$AL$8)*($AM$8-$AL$8)),$AN$8-SQRT((1-AW826)*($AN$8-$AL$8)*($AN$8-$AM$8))),$AM$8)</f>
        <v/>
      </c>
      <c r="AO826">
        <f>IFERROR(IF(AX826&lt;($AM$9-$AL$9)/($AN$9-$AL$9),$AL$9+SQRT(AX826*($AN$9-$AL$9)*($AM$9-$AL$9)),$AN$9-SQRT((1-AX826)*($AN$9-$AL$9)*($AN$9-$AM$9))),$AM$9)</f>
        <v/>
      </c>
      <c r="AP826">
        <f>IFERROR(IF(AY826&lt;($AM$10-$AL$10)/($AN$10-$AL$10),$AL$10+SQRT(AY826*($AN$10-$AL$10)*($AM$10-$AL$10)),$AN$10-SQRT((1-AY826)*($AN$10-$AL$10)*($AN$10-$AM$10))),$AM$10)</f>
        <v/>
      </c>
      <c r="AQ826">
        <f>IFERROR(IF(AZ826&lt;($AM$11-$AL$11)/($AN$11-$AL$11),$AL$11+SQRT(AZ826*($AN$11-$AL$11)*($AM$11-$AL$11)),$AN$11-SQRT((1-AZ826)*($AN$11-$AL$11)*($AN$11-$AM$11))),$AM$11)</f>
        <v/>
      </c>
      <c r="AR826">
        <f>SUMPRODUCT((B24:B31&lt;=$B$6)*(C24:C31*AM826+D24:D31*AO826*$B$8*AQ826)/(1+AL826/100)^B24:B31)+C32*AM826*AP826/(1+AL826/100)^$B$6</f>
        <v/>
      </c>
      <c r="AS826">
        <f>SUMPRODUCT((K24:K26&lt;=$B$6)*(L24:L26*AN826+M24:M26*AO826*$B$8*AQ826)/(1+AL826/100)^K24:K26)+L27*AN826*AP826/(1+AL826/100)^$B$6</f>
        <v/>
      </c>
      <c r="AT826">
        <f>AS826-AR826</f>
        <v/>
      </c>
      <c r="AU826">
        <f>RAND()</f>
        <v/>
      </c>
      <c r="AV826">
        <f>RAND()</f>
        <v/>
      </c>
      <c r="AW826">
        <f>RAND()</f>
        <v/>
      </c>
      <c r="AX826">
        <f>RAND()</f>
        <v/>
      </c>
      <c r="AY826">
        <f>RAND()</f>
        <v/>
      </c>
      <c r="AZ826">
        <f>RAND()</f>
        <v/>
      </c>
    </row>
    <row r="827">
      <c r="AK827" t="n">
        <v>814</v>
      </c>
      <c r="AL827">
        <f>IFERROR(IF(AU827&lt;($AM$6-$AL$6)/($AN$6-$AL$6),$AL$6+SQRT(AU827*($AN$6-$AL$6)*($AM$6-$AL$6)),$AN$6-SQRT((1-AU827)*($AN$6-$AL$6)*($AN$6-$AM$6))),$AM$6)</f>
        <v/>
      </c>
      <c r="AM827">
        <f>IFERROR(IF(AV827&lt;($AM$7-$AL$7)/($AN$7-$AL$7),$AL$7+SQRT(AV827*($AN$7-$AL$7)*($AM$7-$AL$7)),$AN$7-SQRT((1-AV827)*($AN$7-$AL$7)*($AN$7-$AM$7))),$AM$7)</f>
        <v/>
      </c>
      <c r="AN827">
        <f>IFERROR(IF(AW827&lt;($AM$8-$AL$8)/($AN$8-$AL$8),$AL$8+SQRT(AW827*($AN$8-$AL$8)*($AM$8-$AL$8)),$AN$8-SQRT((1-AW827)*($AN$8-$AL$8)*($AN$8-$AM$8))),$AM$8)</f>
        <v/>
      </c>
      <c r="AO827">
        <f>IFERROR(IF(AX827&lt;($AM$9-$AL$9)/($AN$9-$AL$9),$AL$9+SQRT(AX827*($AN$9-$AL$9)*($AM$9-$AL$9)),$AN$9-SQRT((1-AX827)*($AN$9-$AL$9)*($AN$9-$AM$9))),$AM$9)</f>
        <v/>
      </c>
      <c r="AP827">
        <f>IFERROR(IF(AY827&lt;($AM$10-$AL$10)/($AN$10-$AL$10),$AL$10+SQRT(AY827*($AN$10-$AL$10)*($AM$10-$AL$10)),$AN$10-SQRT((1-AY827)*($AN$10-$AL$10)*($AN$10-$AM$10))),$AM$10)</f>
        <v/>
      </c>
      <c r="AQ827">
        <f>IFERROR(IF(AZ827&lt;($AM$11-$AL$11)/($AN$11-$AL$11),$AL$11+SQRT(AZ827*($AN$11-$AL$11)*($AM$11-$AL$11)),$AN$11-SQRT((1-AZ827)*($AN$11-$AL$11)*($AN$11-$AM$11))),$AM$11)</f>
        <v/>
      </c>
      <c r="AR827">
        <f>SUMPRODUCT((B24:B31&lt;=$B$6)*(C24:C31*AM827+D24:D31*AO827*$B$8*AQ827)/(1+AL827/100)^B24:B31)+C32*AM827*AP827/(1+AL827/100)^$B$6</f>
        <v/>
      </c>
      <c r="AS827">
        <f>SUMPRODUCT((K24:K26&lt;=$B$6)*(L24:L26*AN827+M24:M26*AO827*$B$8*AQ827)/(1+AL827/100)^K24:K26)+L27*AN827*AP827/(1+AL827/100)^$B$6</f>
        <v/>
      </c>
      <c r="AT827">
        <f>AS827-AR827</f>
        <v/>
      </c>
      <c r="AU827">
        <f>RAND()</f>
        <v/>
      </c>
      <c r="AV827">
        <f>RAND()</f>
        <v/>
      </c>
      <c r="AW827">
        <f>RAND()</f>
        <v/>
      </c>
      <c r="AX827">
        <f>RAND()</f>
        <v/>
      </c>
      <c r="AY827">
        <f>RAND()</f>
        <v/>
      </c>
      <c r="AZ827">
        <f>RAND()</f>
        <v/>
      </c>
    </row>
    <row r="828">
      <c r="AK828" t="n">
        <v>815</v>
      </c>
      <c r="AL828">
        <f>IFERROR(IF(AU828&lt;($AM$6-$AL$6)/($AN$6-$AL$6),$AL$6+SQRT(AU828*($AN$6-$AL$6)*($AM$6-$AL$6)),$AN$6-SQRT((1-AU828)*($AN$6-$AL$6)*($AN$6-$AM$6))),$AM$6)</f>
        <v/>
      </c>
      <c r="AM828">
        <f>IFERROR(IF(AV828&lt;($AM$7-$AL$7)/($AN$7-$AL$7),$AL$7+SQRT(AV828*($AN$7-$AL$7)*($AM$7-$AL$7)),$AN$7-SQRT((1-AV828)*($AN$7-$AL$7)*($AN$7-$AM$7))),$AM$7)</f>
        <v/>
      </c>
      <c r="AN828">
        <f>IFERROR(IF(AW828&lt;($AM$8-$AL$8)/($AN$8-$AL$8),$AL$8+SQRT(AW828*($AN$8-$AL$8)*($AM$8-$AL$8)),$AN$8-SQRT((1-AW828)*($AN$8-$AL$8)*($AN$8-$AM$8))),$AM$8)</f>
        <v/>
      </c>
      <c r="AO828">
        <f>IFERROR(IF(AX828&lt;($AM$9-$AL$9)/($AN$9-$AL$9),$AL$9+SQRT(AX828*($AN$9-$AL$9)*($AM$9-$AL$9)),$AN$9-SQRT((1-AX828)*($AN$9-$AL$9)*($AN$9-$AM$9))),$AM$9)</f>
        <v/>
      </c>
      <c r="AP828">
        <f>IFERROR(IF(AY828&lt;($AM$10-$AL$10)/($AN$10-$AL$10),$AL$10+SQRT(AY828*($AN$10-$AL$10)*($AM$10-$AL$10)),$AN$10-SQRT((1-AY828)*($AN$10-$AL$10)*($AN$10-$AM$10))),$AM$10)</f>
        <v/>
      </c>
      <c r="AQ828">
        <f>IFERROR(IF(AZ828&lt;($AM$11-$AL$11)/($AN$11-$AL$11),$AL$11+SQRT(AZ828*($AN$11-$AL$11)*($AM$11-$AL$11)),$AN$11-SQRT((1-AZ828)*($AN$11-$AL$11)*($AN$11-$AM$11))),$AM$11)</f>
        <v/>
      </c>
      <c r="AR828">
        <f>SUMPRODUCT((B24:B31&lt;=$B$6)*(C24:C31*AM828+D24:D31*AO828*$B$8*AQ828)/(1+AL828/100)^B24:B31)+C32*AM828*AP828/(1+AL828/100)^$B$6</f>
        <v/>
      </c>
      <c r="AS828">
        <f>SUMPRODUCT((K24:K26&lt;=$B$6)*(L24:L26*AN828+M24:M26*AO828*$B$8*AQ828)/(1+AL828/100)^K24:K26)+L27*AN828*AP828/(1+AL828/100)^$B$6</f>
        <v/>
      </c>
      <c r="AT828">
        <f>AS828-AR828</f>
        <v/>
      </c>
      <c r="AU828">
        <f>RAND()</f>
        <v/>
      </c>
      <c r="AV828">
        <f>RAND()</f>
        <v/>
      </c>
      <c r="AW828">
        <f>RAND()</f>
        <v/>
      </c>
      <c r="AX828">
        <f>RAND()</f>
        <v/>
      </c>
      <c r="AY828">
        <f>RAND()</f>
        <v/>
      </c>
      <c r="AZ828">
        <f>RAND()</f>
        <v/>
      </c>
    </row>
    <row r="829">
      <c r="AK829" t="n">
        <v>816</v>
      </c>
      <c r="AL829">
        <f>IFERROR(IF(AU829&lt;($AM$6-$AL$6)/($AN$6-$AL$6),$AL$6+SQRT(AU829*($AN$6-$AL$6)*($AM$6-$AL$6)),$AN$6-SQRT((1-AU829)*($AN$6-$AL$6)*($AN$6-$AM$6))),$AM$6)</f>
        <v/>
      </c>
      <c r="AM829">
        <f>IFERROR(IF(AV829&lt;($AM$7-$AL$7)/($AN$7-$AL$7),$AL$7+SQRT(AV829*($AN$7-$AL$7)*($AM$7-$AL$7)),$AN$7-SQRT((1-AV829)*($AN$7-$AL$7)*($AN$7-$AM$7))),$AM$7)</f>
        <v/>
      </c>
      <c r="AN829">
        <f>IFERROR(IF(AW829&lt;($AM$8-$AL$8)/($AN$8-$AL$8),$AL$8+SQRT(AW829*($AN$8-$AL$8)*($AM$8-$AL$8)),$AN$8-SQRT((1-AW829)*($AN$8-$AL$8)*($AN$8-$AM$8))),$AM$8)</f>
        <v/>
      </c>
      <c r="AO829">
        <f>IFERROR(IF(AX829&lt;($AM$9-$AL$9)/($AN$9-$AL$9),$AL$9+SQRT(AX829*($AN$9-$AL$9)*($AM$9-$AL$9)),$AN$9-SQRT((1-AX829)*($AN$9-$AL$9)*($AN$9-$AM$9))),$AM$9)</f>
        <v/>
      </c>
      <c r="AP829">
        <f>IFERROR(IF(AY829&lt;($AM$10-$AL$10)/($AN$10-$AL$10),$AL$10+SQRT(AY829*($AN$10-$AL$10)*($AM$10-$AL$10)),$AN$10-SQRT((1-AY829)*($AN$10-$AL$10)*($AN$10-$AM$10))),$AM$10)</f>
        <v/>
      </c>
      <c r="AQ829">
        <f>IFERROR(IF(AZ829&lt;($AM$11-$AL$11)/($AN$11-$AL$11),$AL$11+SQRT(AZ829*($AN$11-$AL$11)*($AM$11-$AL$11)),$AN$11-SQRT((1-AZ829)*($AN$11-$AL$11)*($AN$11-$AM$11))),$AM$11)</f>
        <v/>
      </c>
      <c r="AR829">
        <f>SUMPRODUCT((B24:B31&lt;=$B$6)*(C24:C31*AM829+D24:D31*AO829*$B$8*AQ829)/(1+AL829/100)^B24:B31)+C32*AM829*AP829/(1+AL829/100)^$B$6</f>
        <v/>
      </c>
      <c r="AS829">
        <f>SUMPRODUCT((K24:K26&lt;=$B$6)*(L24:L26*AN829+M24:M26*AO829*$B$8*AQ829)/(1+AL829/100)^K24:K26)+L27*AN829*AP829/(1+AL829/100)^$B$6</f>
        <v/>
      </c>
      <c r="AT829">
        <f>AS829-AR829</f>
        <v/>
      </c>
      <c r="AU829">
        <f>RAND()</f>
        <v/>
      </c>
      <c r="AV829">
        <f>RAND()</f>
        <v/>
      </c>
      <c r="AW829">
        <f>RAND()</f>
        <v/>
      </c>
      <c r="AX829">
        <f>RAND()</f>
        <v/>
      </c>
      <c r="AY829">
        <f>RAND()</f>
        <v/>
      </c>
      <c r="AZ829">
        <f>RAND()</f>
        <v/>
      </c>
    </row>
    <row r="830">
      <c r="AK830" t="n">
        <v>817</v>
      </c>
      <c r="AL830">
        <f>IFERROR(IF(AU830&lt;($AM$6-$AL$6)/($AN$6-$AL$6),$AL$6+SQRT(AU830*($AN$6-$AL$6)*($AM$6-$AL$6)),$AN$6-SQRT((1-AU830)*($AN$6-$AL$6)*($AN$6-$AM$6))),$AM$6)</f>
        <v/>
      </c>
      <c r="AM830">
        <f>IFERROR(IF(AV830&lt;($AM$7-$AL$7)/($AN$7-$AL$7),$AL$7+SQRT(AV830*($AN$7-$AL$7)*($AM$7-$AL$7)),$AN$7-SQRT((1-AV830)*($AN$7-$AL$7)*($AN$7-$AM$7))),$AM$7)</f>
        <v/>
      </c>
      <c r="AN830">
        <f>IFERROR(IF(AW830&lt;($AM$8-$AL$8)/($AN$8-$AL$8),$AL$8+SQRT(AW830*($AN$8-$AL$8)*($AM$8-$AL$8)),$AN$8-SQRT((1-AW830)*($AN$8-$AL$8)*($AN$8-$AM$8))),$AM$8)</f>
        <v/>
      </c>
      <c r="AO830">
        <f>IFERROR(IF(AX830&lt;($AM$9-$AL$9)/($AN$9-$AL$9),$AL$9+SQRT(AX830*($AN$9-$AL$9)*($AM$9-$AL$9)),$AN$9-SQRT((1-AX830)*($AN$9-$AL$9)*($AN$9-$AM$9))),$AM$9)</f>
        <v/>
      </c>
      <c r="AP830">
        <f>IFERROR(IF(AY830&lt;($AM$10-$AL$10)/($AN$10-$AL$10),$AL$10+SQRT(AY830*($AN$10-$AL$10)*($AM$10-$AL$10)),$AN$10-SQRT((1-AY830)*($AN$10-$AL$10)*($AN$10-$AM$10))),$AM$10)</f>
        <v/>
      </c>
      <c r="AQ830">
        <f>IFERROR(IF(AZ830&lt;($AM$11-$AL$11)/($AN$11-$AL$11),$AL$11+SQRT(AZ830*($AN$11-$AL$11)*($AM$11-$AL$11)),$AN$11-SQRT((1-AZ830)*($AN$11-$AL$11)*($AN$11-$AM$11))),$AM$11)</f>
        <v/>
      </c>
      <c r="AR830">
        <f>SUMPRODUCT((B24:B31&lt;=$B$6)*(C24:C31*AM830+D24:D31*AO830*$B$8*AQ830)/(1+AL830/100)^B24:B31)+C32*AM830*AP830/(1+AL830/100)^$B$6</f>
        <v/>
      </c>
      <c r="AS830">
        <f>SUMPRODUCT((K24:K26&lt;=$B$6)*(L24:L26*AN830+M24:M26*AO830*$B$8*AQ830)/(1+AL830/100)^K24:K26)+L27*AN830*AP830/(1+AL830/100)^$B$6</f>
        <v/>
      </c>
      <c r="AT830">
        <f>AS830-AR830</f>
        <v/>
      </c>
      <c r="AU830">
        <f>RAND()</f>
        <v/>
      </c>
      <c r="AV830">
        <f>RAND()</f>
        <v/>
      </c>
      <c r="AW830">
        <f>RAND()</f>
        <v/>
      </c>
      <c r="AX830">
        <f>RAND()</f>
        <v/>
      </c>
      <c r="AY830">
        <f>RAND()</f>
        <v/>
      </c>
      <c r="AZ830">
        <f>RAND()</f>
        <v/>
      </c>
    </row>
    <row r="831">
      <c r="AK831" t="n">
        <v>818</v>
      </c>
      <c r="AL831">
        <f>IFERROR(IF(AU831&lt;($AM$6-$AL$6)/($AN$6-$AL$6),$AL$6+SQRT(AU831*($AN$6-$AL$6)*($AM$6-$AL$6)),$AN$6-SQRT((1-AU831)*($AN$6-$AL$6)*($AN$6-$AM$6))),$AM$6)</f>
        <v/>
      </c>
      <c r="AM831">
        <f>IFERROR(IF(AV831&lt;($AM$7-$AL$7)/($AN$7-$AL$7),$AL$7+SQRT(AV831*($AN$7-$AL$7)*($AM$7-$AL$7)),$AN$7-SQRT((1-AV831)*($AN$7-$AL$7)*($AN$7-$AM$7))),$AM$7)</f>
        <v/>
      </c>
      <c r="AN831">
        <f>IFERROR(IF(AW831&lt;($AM$8-$AL$8)/($AN$8-$AL$8),$AL$8+SQRT(AW831*($AN$8-$AL$8)*($AM$8-$AL$8)),$AN$8-SQRT((1-AW831)*($AN$8-$AL$8)*($AN$8-$AM$8))),$AM$8)</f>
        <v/>
      </c>
      <c r="AO831">
        <f>IFERROR(IF(AX831&lt;($AM$9-$AL$9)/($AN$9-$AL$9),$AL$9+SQRT(AX831*($AN$9-$AL$9)*($AM$9-$AL$9)),$AN$9-SQRT((1-AX831)*($AN$9-$AL$9)*($AN$9-$AM$9))),$AM$9)</f>
        <v/>
      </c>
      <c r="AP831">
        <f>IFERROR(IF(AY831&lt;($AM$10-$AL$10)/($AN$10-$AL$10),$AL$10+SQRT(AY831*($AN$10-$AL$10)*($AM$10-$AL$10)),$AN$10-SQRT((1-AY831)*($AN$10-$AL$10)*($AN$10-$AM$10))),$AM$10)</f>
        <v/>
      </c>
      <c r="AQ831">
        <f>IFERROR(IF(AZ831&lt;($AM$11-$AL$11)/($AN$11-$AL$11),$AL$11+SQRT(AZ831*($AN$11-$AL$11)*($AM$11-$AL$11)),$AN$11-SQRT((1-AZ831)*($AN$11-$AL$11)*($AN$11-$AM$11))),$AM$11)</f>
        <v/>
      </c>
      <c r="AR831">
        <f>SUMPRODUCT((B24:B31&lt;=$B$6)*(C24:C31*AM831+D24:D31*AO831*$B$8*AQ831)/(1+AL831/100)^B24:B31)+C32*AM831*AP831/(1+AL831/100)^$B$6</f>
        <v/>
      </c>
      <c r="AS831">
        <f>SUMPRODUCT((K24:K26&lt;=$B$6)*(L24:L26*AN831+M24:M26*AO831*$B$8*AQ831)/(1+AL831/100)^K24:K26)+L27*AN831*AP831/(1+AL831/100)^$B$6</f>
        <v/>
      </c>
      <c r="AT831">
        <f>AS831-AR831</f>
        <v/>
      </c>
      <c r="AU831">
        <f>RAND()</f>
        <v/>
      </c>
      <c r="AV831">
        <f>RAND()</f>
        <v/>
      </c>
      <c r="AW831">
        <f>RAND()</f>
        <v/>
      </c>
      <c r="AX831">
        <f>RAND()</f>
        <v/>
      </c>
      <c r="AY831">
        <f>RAND()</f>
        <v/>
      </c>
      <c r="AZ831">
        <f>RAND()</f>
        <v/>
      </c>
    </row>
    <row r="832">
      <c r="AK832" t="n">
        <v>819</v>
      </c>
      <c r="AL832">
        <f>IFERROR(IF(AU832&lt;($AM$6-$AL$6)/($AN$6-$AL$6),$AL$6+SQRT(AU832*($AN$6-$AL$6)*($AM$6-$AL$6)),$AN$6-SQRT((1-AU832)*($AN$6-$AL$6)*($AN$6-$AM$6))),$AM$6)</f>
        <v/>
      </c>
      <c r="AM832">
        <f>IFERROR(IF(AV832&lt;($AM$7-$AL$7)/($AN$7-$AL$7),$AL$7+SQRT(AV832*($AN$7-$AL$7)*($AM$7-$AL$7)),$AN$7-SQRT((1-AV832)*($AN$7-$AL$7)*($AN$7-$AM$7))),$AM$7)</f>
        <v/>
      </c>
      <c r="AN832">
        <f>IFERROR(IF(AW832&lt;($AM$8-$AL$8)/($AN$8-$AL$8),$AL$8+SQRT(AW832*($AN$8-$AL$8)*($AM$8-$AL$8)),$AN$8-SQRT((1-AW832)*($AN$8-$AL$8)*($AN$8-$AM$8))),$AM$8)</f>
        <v/>
      </c>
      <c r="AO832">
        <f>IFERROR(IF(AX832&lt;($AM$9-$AL$9)/($AN$9-$AL$9),$AL$9+SQRT(AX832*($AN$9-$AL$9)*($AM$9-$AL$9)),$AN$9-SQRT((1-AX832)*($AN$9-$AL$9)*($AN$9-$AM$9))),$AM$9)</f>
        <v/>
      </c>
      <c r="AP832">
        <f>IFERROR(IF(AY832&lt;($AM$10-$AL$10)/($AN$10-$AL$10),$AL$10+SQRT(AY832*($AN$10-$AL$10)*($AM$10-$AL$10)),$AN$10-SQRT((1-AY832)*($AN$10-$AL$10)*($AN$10-$AM$10))),$AM$10)</f>
        <v/>
      </c>
      <c r="AQ832">
        <f>IFERROR(IF(AZ832&lt;($AM$11-$AL$11)/($AN$11-$AL$11),$AL$11+SQRT(AZ832*($AN$11-$AL$11)*($AM$11-$AL$11)),$AN$11-SQRT((1-AZ832)*($AN$11-$AL$11)*($AN$11-$AM$11))),$AM$11)</f>
        <v/>
      </c>
      <c r="AR832">
        <f>SUMPRODUCT((B24:B31&lt;=$B$6)*(C24:C31*AM832+D24:D31*AO832*$B$8*AQ832)/(1+AL832/100)^B24:B31)+C32*AM832*AP832/(1+AL832/100)^$B$6</f>
        <v/>
      </c>
      <c r="AS832">
        <f>SUMPRODUCT((K24:K26&lt;=$B$6)*(L24:L26*AN832+M24:M26*AO832*$B$8*AQ832)/(1+AL832/100)^K24:K26)+L27*AN832*AP832/(1+AL832/100)^$B$6</f>
        <v/>
      </c>
      <c r="AT832">
        <f>AS832-AR832</f>
        <v/>
      </c>
      <c r="AU832">
        <f>RAND()</f>
        <v/>
      </c>
      <c r="AV832">
        <f>RAND()</f>
        <v/>
      </c>
      <c r="AW832">
        <f>RAND()</f>
        <v/>
      </c>
      <c r="AX832">
        <f>RAND()</f>
        <v/>
      </c>
      <c r="AY832">
        <f>RAND()</f>
        <v/>
      </c>
      <c r="AZ832">
        <f>RAND()</f>
        <v/>
      </c>
    </row>
    <row r="833">
      <c r="AK833" t="n">
        <v>820</v>
      </c>
      <c r="AL833">
        <f>IFERROR(IF(AU833&lt;($AM$6-$AL$6)/($AN$6-$AL$6),$AL$6+SQRT(AU833*($AN$6-$AL$6)*($AM$6-$AL$6)),$AN$6-SQRT((1-AU833)*($AN$6-$AL$6)*($AN$6-$AM$6))),$AM$6)</f>
        <v/>
      </c>
      <c r="AM833">
        <f>IFERROR(IF(AV833&lt;($AM$7-$AL$7)/($AN$7-$AL$7),$AL$7+SQRT(AV833*($AN$7-$AL$7)*($AM$7-$AL$7)),$AN$7-SQRT((1-AV833)*($AN$7-$AL$7)*($AN$7-$AM$7))),$AM$7)</f>
        <v/>
      </c>
      <c r="AN833">
        <f>IFERROR(IF(AW833&lt;($AM$8-$AL$8)/($AN$8-$AL$8),$AL$8+SQRT(AW833*($AN$8-$AL$8)*($AM$8-$AL$8)),$AN$8-SQRT((1-AW833)*($AN$8-$AL$8)*($AN$8-$AM$8))),$AM$8)</f>
        <v/>
      </c>
      <c r="AO833">
        <f>IFERROR(IF(AX833&lt;($AM$9-$AL$9)/($AN$9-$AL$9),$AL$9+SQRT(AX833*($AN$9-$AL$9)*($AM$9-$AL$9)),$AN$9-SQRT((1-AX833)*($AN$9-$AL$9)*($AN$9-$AM$9))),$AM$9)</f>
        <v/>
      </c>
      <c r="AP833">
        <f>IFERROR(IF(AY833&lt;($AM$10-$AL$10)/($AN$10-$AL$10),$AL$10+SQRT(AY833*($AN$10-$AL$10)*($AM$10-$AL$10)),$AN$10-SQRT((1-AY833)*($AN$10-$AL$10)*($AN$10-$AM$10))),$AM$10)</f>
        <v/>
      </c>
      <c r="AQ833">
        <f>IFERROR(IF(AZ833&lt;($AM$11-$AL$11)/($AN$11-$AL$11),$AL$11+SQRT(AZ833*($AN$11-$AL$11)*($AM$11-$AL$11)),$AN$11-SQRT((1-AZ833)*($AN$11-$AL$11)*($AN$11-$AM$11))),$AM$11)</f>
        <v/>
      </c>
      <c r="AR833">
        <f>SUMPRODUCT((B24:B31&lt;=$B$6)*(C24:C31*AM833+D24:D31*AO833*$B$8*AQ833)/(1+AL833/100)^B24:B31)+C32*AM833*AP833/(1+AL833/100)^$B$6</f>
        <v/>
      </c>
      <c r="AS833">
        <f>SUMPRODUCT((K24:K26&lt;=$B$6)*(L24:L26*AN833+M24:M26*AO833*$B$8*AQ833)/(1+AL833/100)^K24:K26)+L27*AN833*AP833/(1+AL833/100)^$B$6</f>
        <v/>
      </c>
      <c r="AT833">
        <f>AS833-AR833</f>
        <v/>
      </c>
      <c r="AU833">
        <f>RAND()</f>
        <v/>
      </c>
      <c r="AV833">
        <f>RAND()</f>
        <v/>
      </c>
      <c r="AW833">
        <f>RAND()</f>
        <v/>
      </c>
      <c r="AX833">
        <f>RAND()</f>
        <v/>
      </c>
      <c r="AY833">
        <f>RAND()</f>
        <v/>
      </c>
      <c r="AZ833">
        <f>RAND()</f>
        <v/>
      </c>
    </row>
    <row r="834">
      <c r="AK834" t="n">
        <v>821</v>
      </c>
      <c r="AL834">
        <f>IFERROR(IF(AU834&lt;($AM$6-$AL$6)/($AN$6-$AL$6),$AL$6+SQRT(AU834*($AN$6-$AL$6)*($AM$6-$AL$6)),$AN$6-SQRT((1-AU834)*($AN$6-$AL$6)*($AN$6-$AM$6))),$AM$6)</f>
        <v/>
      </c>
      <c r="AM834">
        <f>IFERROR(IF(AV834&lt;($AM$7-$AL$7)/($AN$7-$AL$7),$AL$7+SQRT(AV834*($AN$7-$AL$7)*($AM$7-$AL$7)),$AN$7-SQRT((1-AV834)*($AN$7-$AL$7)*($AN$7-$AM$7))),$AM$7)</f>
        <v/>
      </c>
      <c r="AN834">
        <f>IFERROR(IF(AW834&lt;($AM$8-$AL$8)/($AN$8-$AL$8),$AL$8+SQRT(AW834*($AN$8-$AL$8)*($AM$8-$AL$8)),$AN$8-SQRT((1-AW834)*($AN$8-$AL$8)*($AN$8-$AM$8))),$AM$8)</f>
        <v/>
      </c>
      <c r="AO834">
        <f>IFERROR(IF(AX834&lt;($AM$9-$AL$9)/($AN$9-$AL$9),$AL$9+SQRT(AX834*($AN$9-$AL$9)*($AM$9-$AL$9)),$AN$9-SQRT((1-AX834)*($AN$9-$AL$9)*($AN$9-$AM$9))),$AM$9)</f>
        <v/>
      </c>
      <c r="AP834">
        <f>IFERROR(IF(AY834&lt;($AM$10-$AL$10)/($AN$10-$AL$10),$AL$10+SQRT(AY834*($AN$10-$AL$10)*($AM$10-$AL$10)),$AN$10-SQRT((1-AY834)*($AN$10-$AL$10)*($AN$10-$AM$10))),$AM$10)</f>
        <v/>
      </c>
      <c r="AQ834">
        <f>IFERROR(IF(AZ834&lt;($AM$11-$AL$11)/($AN$11-$AL$11),$AL$11+SQRT(AZ834*($AN$11-$AL$11)*($AM$11-$AL$11)),$AN$11-SQRT((1-AZ834)*($AN$11-$AL$11)*($AN$11-$AM$11))),$AM$11)</f>
        <v/>
      </c>
      <c r="AR834">
        <f>SUMPRODUCT((B24:B31&lt;=$B$6)*(C24:C31*AM834+D24:D31*AO834*$B$8*AQ834)/(1+AL834/100)^B24:B31)+C32*AM834*AP834/(1+AL834/100)^$B$6</f>
        <v/>
      </c>
      <c r="AS834">
        <f>SUMPRODUCT((K24:K26&lt;=$B$6)*(L24:L26*AN834+M24:M26*AO834*$B$8*AQ834)/(1+AL834/100)^K24:K26)+L27*AN834*AP834/(1+AL834/100)^$B$6</f>
        <v/>
      </c>
      <c r="AT834">
        <f>AS834-AR834</f>
        <v/>
      </c>
      <c r="AU834">
        <f>RAND()</f>
        <v/>
      </c>
      <c r="AV834">
        <f>RAND()</f>
        <v/>
      </c>
      <c r="AW834">
        <f>RAND()</f>
        <v/>
      </c>
      <c r="AX834">
        <f>RAND()</f>
        <v/>
      </c>
      <c r="AY834">
        <f>RAND()</f>
        <v/>
      </c>
      <c r="AZ834">
        <f>RAND()</f>
        <v/>
      </c>
    </row>
    <row r="835">
      <c r="AK835" t="n">
        <v>822</v>
      </c>
      <c r="AL835">
        <f>IFERROR(IF(AU835&lt;($AM$6-$AL$6)/($AN$6-$AL$6),$AL$6+SQRT(AU835*($AN$6-$AL$6)*($AM$6-$AL$6)),$AN$6-SQRT((1-AU835)*($AN$6-$AL$6)*($AN$6-$AM$6))),$AM$6)</f>
        <v/>
      </c>
      <c r="AM835">
        <f>IFERROR(IF(AV835&lt;($AM$7-$AL$7)/($AN$7-$AL$7),$AL$7+SQRT(AV835*($AN$7-$AL$7)*($AM$7-$AL$7)),$AN$7-SQRT((1-AV835)*($AN$7-$AL$7)*($AN$7-$AM$7))),$AM$7)</f>
        <v/>
      </c>
      <c r="AN835">
        <f>IFERROR(IF(AW835&lt;($AM$8-$AL$8)/($AN$8-$AL$8),$AL$8+SQRT(AW835*($AN$8-$AL$8)*($AM$8-$AL$8)),$AN$8-SQRT((1-AW835)*($AN$8-$AL$8)*($AN$8-$AM$8))),$AM$8)</f>
        <v/>
      </c>
      <c r="AO835">
        <f>IFERROR(IF(AX835&lt;($AM$9-$AL$9)/($AN$9-$AL$9),$AL$9+SQRT(AX835*($AN$9-$AL$9)*($AM$9-$AL$9)),$AN$9-SQRT((1-AX835)*($AN$9-$AL$9)*($AN$9-$AM$9))),$AM$9)</f>
        <v/>
      </c>
      <c r="AP835">
        <f>IFERROR(IF(AY835&lt;($AM$10-$AL$10)/($AN$10-$AL$10),$AL$10+SQRT(AY835*($AN$10-$AL$10)*($AM$10-$AL$10)),$AN$10-SQRT((1-AY835)*($AN$10-$AL$10)*($AN$10-$AM$10))),$AM$10)</f>
        <v/>
      </c>
      <c r="AQ835">
        <f>IFERROR(IF(AZ835&lt;($AM$11-$AL$11)/($AN$11-$AL$11),$AL$11+SQRT(AZ835*($AN$11-$AL$11)*($AM$11-$AL$11)),$AN$11-SQRT((1-AZ835)*($AN$11-$AL$11)*($AN$11-$AM$11))),$AM$11)</f>
        <v/>
      </c>
      <c r="AR835">
        <f>SUMPRODUCT((B24:B31&lt;=$B$6)*(C24:C31*AM835+D24:D31*AO835*$B$8*AQ835)/(1+AL835/100)^B24:B31)+C32*AM835*AP835/(1+AL835/100)^$B$6</f>
        <v/>
      </c>
      <c r="AS835">
        <f>SUMPRODUCT((K24:K26&lt;=$B$6)*(L24:L26*AN835+M24:M26*AO835*$B$8*AQ835)/(1+AL835/100)^K24:K26)+L27*AN835*AP835/(1+AL835/100)^$B$6</f>
        <v/>
      </c>
      <c r="AT835">
        <f>AS835-AR835</f>
        <v/>
      </c>
      <c r="AU835">
        <f>RAND()</f>
        <v/>
      </c>
      <c r="AV835">
        <f>RAND()</f>
        <v/>
      </c>
      <c r="AW835">
        <f>RAND()</f>
        <v/>
      </c>
      <c r="AX835">
        <f>RAND()</f>
        <v/>
      </c>
      <c r="AY835">
        <f>RAND()</f>
        <v/>
      </c>
      <c r="AZ835">
        <f>RAND()</f>
        <v/>
      </c>
    </row>
    <row r="836">
      <c r="AK836" t="n">
        <v>823</v>
      </c>
      <c r="AL836">
        <f>IFERROR(IF(AU836&lt;($AM$6-$AL$6)/($AN$6-$AL$6),$AL$6+SQRT(AU836*($AN$6-$AL$6)*($AM$6-$AL$6)),$AN$6-SQRT((1-AU836)*($AN$6-$AL$6)*($AN$6-$AM$6))),$AM$6)</f>
        <v/>
      </c>
      <c r="AM836">
        <f>IFERROR(IF(AV836&lt;($AM$7-$AL$7)/($AN$7-$AL$7),$AL$7+SQRT(AV836*($AN$7-$AL$7)*($AM$7-$AL$7)),$AN$7-SQRT((1-AV836)*($AN$7-$AL$7)*($AN$7-$AM$7))),$AM$7)</f>
        <v/>
      </c>
      <c r="AN836">
        <f>IFERROR(IF(AW836&lt;($AM$8-$AL$8)/($AN$8-$AL$8),$AL$8+SQRT(AW836*($AN$8-$AL$8)*($AM$8-$AL$8)),$AN$8-SQRT((1-AW836)*($AN$8-$AL$8)*($AN$8-$AM$8))),$AM$8)</f>
        <v/>
      </c>
      <c r="AO836">
        <f>IFERROR(IF(AX836&lt;($AM$9-$AL$9)/($AN$9-$AL$9),$AL$9+SQRT(AX836*($AN$9-$AL$9)*($AM$9-$AL$9)),$AN$9-SQRT((1-AX836)*($AN$9-$AL$9)*($AN$9-$AM$9))),$AM$9)</f>
        <v/>
      </c>
      <c r="AP836">
        <f>IFERROR(IF(AY836&lt;($AM$10-$AL$10)/($AN$10-$AL$10),$AL$10+SQRT(AY836*($AN$10-$AL$10)*($AM$10-$AL$10)),$AN$10-SQRT((1-AY836)*($AN$10-$AL$10)*($AN$10-$AM$10))),$AM$10)</f>
        <v/>
      </c>
      <c r="AQ836">
        <f>IFERROR(IF(AZ836&lt;($AM$11-$AL$11)/($AN$11-$AL$11),$AL$11+SQRT(AZ836*($AN$11-$AL$11)*($AM$11-$AL$11)),$AN$11-SQRT((1-AZ836)*($AN$11-$AL$11)*($AN$11-$AM$11))),$AM$11)</f>
        <v/>
      </c>
      <c r="AR836">
        <f>SUMPRODUCT((B24:B31&lt;=$B$6)*(C24:C31*AM836+D24:D31*AO836*$B$8*AQ836)/(1+AL836/100)^B24:B31)+C32*AM836*AP836/(1+AL836/100)^$B$6</f>
        <v/>
      </c>
      <c r="AS836">
        <f>SUMPRODUCT((K24:K26&lt;=$B$6)*(L24:L26*AN836+M24:M26*AO836*$B$8*AQ836)/(1+AL836/100)^K24:K26)+L27*AN836*AP836/(1+AL836/100)^$B$6</f>
        <v/>
      </c>
      <c r="AT836">
        <f>AS836-AR836</f>
        <v/>
      </c>
      <c r="AU836">
        <f>RAND()</f>
        <v/>
      </c>
      <c r="AV836">
        <f>RAND()</f>
        <v/>
      </c>
      <c r="AW836">
        <f>RAND()</f>
        <v/>
      </c>
      <c r="AX836">
        <f>RAND()</f>
        <v/>
      </c>
      <c r="AY836">
        <f>RAND()</f>
        <v/>
      </c>
      <c r="AZ836">
        <f>RAND()</f>
        <v/>
      </c>
    </row>
    <row r="837">
      <c r="AK837" t="n">
        <v>824</v>
      </c>
      <c r="AL837">
        <f>IFERROR(IF(AU837&lt;($AM$6-$AL$6)/($AN$6-$AL$6),$AL$6+SQRT(AU837*($AN$6-$AL$6)*($AM$6-$AL$6)),$AN$6-SQRT((1-AU837)*($AN$6-$AL$6)*($AN$6-$AM$6))),$AM$6)</f>
        <v/>
      </c>
      <c r="AM837">
        <f>IFERROR(IF(AV837&lt;($AM$7-$AL$7)/($AN$7-$AL$7),$AL$7+SQRT(AV837*($AN$7-$AL$7)*($AM$7-$AL$7)),$AN$7-SQRT((1-AV837)*($AN$7-$AL$7)*($AN$7-$AM$7))),$AM$7)</f>
        <v/>
      </c>
      <c r="AN837">
        <f>IFERROR(IF(AW837&lt;($AM$8-$AL$8)/($AN$8-$AL$8),$AL$8+SQRT(AW837*($AN$8-$AL$8)*($AM$8-$AL$8)),$AN$8-SQRT((1-AW837)*($AN$8-$AL$8)*($AN$8-$AM$8))),$AM$8)</f>
        <v/>
      </c>
      <c r="AO837">
        <f>IFERROR(IF(AX837&lt;($AM$9-$AL$9)/($AN$9-$AL$9),$AL$9+SQRT(AX837*($AN$9-$AL$9)*($AM$9-$AL$9)),$AN$9-SQRT((1-AX837)*($AN$9-$AL$9)*($AN$9-$AM$9))),$AM$9)</f>
        <v/>
      </c>
      <c r="AP837">
        <f>IFERROR(IF(AY837&lt;($AM$10-$AL$10)/($AN$10-$AL$10),$AL$10+SQRT(AY837*($AN$10-$AL$10)*($AM$10-$AL$10)),$AN$10-SQRT((1-AY837)*($AN$10-$AL$10)*($AN$10-$AM$10))),$AM$10)</f>
        <v/>
      </c>
      <c r="AQ837">
        <f>IFERROR(IF(AZ837&lt;($AM$11-$AL$11)/($AN$11-$AL$11),$AL$11+SQRT(AZ837*($AN$11-$AL$11)*($AM$11-$AL$11)),$AN$11-SQRT((1-AZ837)*($AN$11-$AL$11)*($AN$11-$AM$11))),$AM$11)</f>
        <v/>
      </c>
      <c r="AR837">
        <f>SUMPRODUCT((B24:B31&lt;=$B$6)*(C24:C31*AM837+D24:D31*AO837*$B$8*AQ837)/(1+AL837/100)^B24:B31)+C32*AM837*AP837/(1+AL837/100)^$B$6</f>
        <v/>
      </c>
      <c r="AS837">
        <f>SUMPRODUCT((K24:K26&lt;=$B$6)*(L24:L26*AN837+M24:M26*AO837*$B$8*AQ837)/(1+AL837/100)^K24:K26)+L27*AN837*AP837/(1+AL837/100)^$B$6</f>
        <v/>
      </c>
      <c r="AT837">
        <f>AS837-AR837</f>
        <v/>
      </c>
      <c r="AU837">
        <f>RAND()</f>
        <v/>
      </c>
      <c r="AV837">
        <f>RAND()</f>
        <v/>
      </c>
      <c r="AW837">
        <f>RAND()</f>
        <v/>
      </c>
      <c r="AX837">
        <f>RAND()</f>
        <v/>
      </c>
      <c r="AY837">
        <f>RAND()</f>
        <v/>
      </c>
      <c r="AZ837">
        <f>RAND()</f>
        <v/>
      </c>
    </row>
    <row r="838">
      <c r="AK838" t="n">
        <v>825</v>
      </c>
      <c r="AL838">
        <f>IFERROR(IF(AU838&lt;($AM$6-$AL$6)/($AN$6-$AL$6),$AL$6+SQRT(AU838*($AN$6-$AL$6)*($AM$6-$AL$6)),$AN$6-SQRT((1-AU838)*($AN$6-$AL$6)*($AN$6-$AM$6))),$AM$6)</f>
        <v/>
      </c>
      <c r="AM838">
        <f>IFERROR(IF(AV838&lt;($AM$7-$AL$7)/($AN$7-$AL$7),$AL$7+SQRT(AV838*($AN$7-$AL$7)*($AM$7-$AL$7)),$AN$7-SQRT((1-AV838)*($AN$7-$AL$7)*($AN$7-$AM$7))),$AM$7)</f>
        <v/>
      </c>
      <c r="AN838">
        <f>IFERROR(IF(AW838&lt;($AM$8-$AL$8)/($AN$8-$AL$8),$AL$8+SQRT(AW838*($AN$8-$AL$8)*($AM$8-$AL$8)),$AN$8-SQRT((1-AW838)*($AN$8-$AL$8)*($AN$8-$AM$8))),$AM$8)</f>
        <v/>
      </c>
      <c r="AO838">
        <f>IFERROR(IF(AX838&lt;($AM$9-$AL$9)/($AN$9-$AL$9),$AL$9+SQRT(AX838*($AN$9-$AL$9)*($AM$9-$AL$9)),$AN$9-SQRT((1-AX838)*($AN$9-$AL$9)*($AN$9-$AM$9))),$AM$9)</f>
        <v/>
      </c>
      <c r="AP838">
        <f>IFERROR(IF(AY838&lt;($AM$10-$AL$10)/($AN$10-$AL$10),$AL$10+SQRT(AY838*($AN$10-$AL$10)*($AM$10-$AL$10)),$AN$10-SQRT((1-AY838)*($AN$10-$AL$10)*($AN$10-$AM$10))),$AM$10)</f>
        <v/>
      </c>
      <c r="AQ838">
        <f>IFERROR(IF(AZ838&lt;($AM$11-$AL$11)/($AN$11-$AL$11),$AL$11+SQRT(AZ838*($AN$11-$AL$11)*($AM$11-$AL$11)),$AN$11-SQRT((1-AZ838)*($AN$11-$AL$11)*($AN$11-$AM$11))),$AM$11)</f>
        <v/>
      </c>
      <c r="AR838">
        <f>SUMPRODUCT((B24:B31&lt;=$B$6)*(C24:C31*AM838+D24:D31*AO838*$B$8*AQ838)/(1+AL838/100)^B24:B31)+C32*AM838*AP838/(1+AL838/100)^$B$6</f>
        <v/>
      </c>
      <c r="AS838">
        <f>SUMPRODUCT((K24:K26&lt;=$B$6)*(L24:L26*AN838+M24:M26*AO838*$B$8*AQ838)/(1+AL838/100)^K24:K26)+L27*AN838*AP838/(1+AL838/100)^$B$6</f>
        <v/>
      </c>
      <c r="AT838">
        <f>AS838-AR838</f>
        <v/>
      </c>
      <c r="AU838">
        <f>RAND()</f>
        <v/>
      </c>
      <c r="AV838">
        <f>RAND()</f>
        <v/>
      </c>
      <c r="AW838">
        <f>RAND()</f>
        <v/>
      </c>
      <c r="AX838">
        <f>RAND()</f>
        <v/>
      </c>
      <c r="AY838">
        <f>RAND()</f>
        <v/>
      </c>
      <c r="AZ838">
        <f>RAND()</f>
        <v/>
      </c>
    </row>
    <row r="839">
      <c r="AK839" t="n">
        <v>826</v>
      </c>
      <c r="AL839">
        <f>IFERROR(IF(AU839&lt;($AM$6-$AL$6)/($AN$6-$AL$6),$AL$6+SQRT(AU839*($AN$6-$AL$6)*($AM$6-$AL$6)),$AN$6-SQRT((1-AU839)*($AN$6-$AL$6)*($AN$6-$AM$6))),$AM$6)</f>
        <v/>
      </c>
      <c r="AM839">
        <f>IFERROR(IF(AV839&lt;($AM$7-$AL$7)/($AN$7-$AL$7),$AL$7+SQRT(AV839*($AN$7-$AL$7)*($AM$7-$AL$7)),$AN$7-SQRT((1-AV839)*($AN$7-$AL$7)*($AN$7-$AM$7))),$AM$7)</f>
        <v/>
      </c>
      <c r="AN839">
        <f>IFERROR(IF(AW839&lt;($AM$8-$AL$8)/($AN$8-$AL$8),$AL$8+SQRT(AW839*($AN$8-$AL$8)*($AM$8-$AL$8)),$AN$8-SQRT((1-AW839)*($AN$8-$AL$8)*($AN$8-$AM$8))),$AM$8)</f>
        <v/>
      </c>
      <c r="AO839">
        <f>IFERROR(IF(AX839&lt;($AM$9-$AL$9)/($AN$9-$AL$9),$AL$9+SQRT(AX839*($AN$9-$AL$9)*($AM$9-$AL$9)),$AN$9-SQRT((1-AX839)*($AN$9-$AL$9)*($AN$9-$AM$9))),$AM$9)</f>
        <v/>
      </c>
      <c r="AP839">
        <f>IFERROR(IF(AY839&lt;($AM$10-$AL$10)/($AN$10-$AL$10),$AL$10+SQRT(AY839*($AN$10-$AL$10)*($AM$10-$AL$10)),$AN$10-SQRT((1-AY839)*($AN$10-$AL$10)*($AN$10-$AM$10))),$AM$10)</f>
        <v/>
      </c>
      <c r="AQ839">
        <f>IFERROR(IF(AZ839&lt;($AM$11-$AL$11)/($AN$11-$AL$11),$AL$11+SQRT(AZ839*($AN$11-$AL$11)*($AM$11-$AL$11)),$AN$11-SQRT((1-AZ839)*($AN$11-$AL$11)*($AN$11-$AM$11))),$AM$11)</f>
        <v/>
      </c>
      <c r="AR839">
        <f>SUMPRODUCT((B24:B31&lt;=$B$6)*(C24:C31*AM839+D24:D31*AO839*$B$8*AQ839)/(1+AL839/100)^B24:B31)+C32*AM839*AP839/(1+AL839/100)^$B$6</f>
        <v/>
      </c>
      <c r="AS839">
        <f>SUMPRODUCT((K24:K26&lt;=$B$6)*(L24:L26*AN839+M24:M26*AO839*$B$8*AQ839)/(1+AL839/100)^K24:K26)+L27*AN839*AP839/(1+AL839/100)^$B$6</f>
        <v/>
      </c>
      <c r="AT839">
        <f>AS839-AR839</f>
        <v/>
      </c>
      <c r="AU839">
        <f>RAND()</f>
        <v/>
      </c>
      <c r="AV839">
        <f>RAND()</f>
        <v/>
      </c>
      <c r="AW839">
        <f>RAND()</f>
        <v/>
      </c>
      <c r="AX839">
        <f>RAND()</f>
        <v/>
      </c>
      <c r="AY839">
        <f>RAND()</f>
        <v/>
      </c>
      <c r="AZ839">
        <f>RAND()</f>
        <v/>
      </c>
    </row>
    <row r="840">
      <c r="AK840" t="n">
        <v>827</v>
      </c>
      <c r="AL840">
        <f>IFERROR(IF(AU840&lt;($AM$6-$AL$6)/($AN$6-$AL$6),$AL$6+SQRT(AU840*($AN$6-$AL$6)*($AM$6-$AL$6)),$AN$6-SQRT((1-AU840)*($AN$6-$AL$6)*($AN$6-$AM$6))),$AM$6)</f>
        <v/>
      </c>
      <c r="AM840">
        <f>IFERROR(IF(AV840&lt;($AM$7-$AL$7)/($AN$7-$AL$7),$AL$7+SQRT(AV840*($AN$7-$AL$7)*($AM$7-$AL$7)),$AN$7-SQRT((1-AV840)*($AN$7-$AL$7)*($AN$7-$AM$7))),$AM$7)</f>
        <v/>
      </c>
      <c r="AN840">
        <f>IFERROR(IF(AW840&lt;($AM$8-$AL$8)/($AN$8-$AL$8),$AL$8+SQRT(AW840*($AN$8-$AL$8)*($AM$8-$AL$8)),$AN$8-SQRT((1-AW840)*($AN$8-$AL$8)*($AN$8-$AM$8))),$AM$8)</f>
        <v/>
      </c>
      <c r="AO840">
        <f>IFERROR(IF(AX840&lt;($AM$9-$AL$9)/($AN$9-$AL$9),$AL$9+SQRT(AX840*($AN$9-$AL$9)*($AM$9-$AL$9)),$AN$9-SQRT((1-AX840)*($AN$9-$AL$9)*($AN$9-$AM$9))),$AM$9)</f>
        <v/>
      </c>
      <c r="AP840">
        <f>IFERROR(IF(AY840&lt;($AM$10-$AL$10)/($AN$10-$AL$10),$AL$10+SQRT(AY840*($AN$10-$AL$10)*($AM$10-$AL$10)),$AN$10-SQRT((1-AY840)*($AN$10-$AL$10)*($AN$10-$AM$10))),$AM$10)</f>
        <v/>
      </c>
      <c r="AQ840">
        <f>IFERROR(IF(AZ840&lt;($AM$11-$AL$11)/($AN$11-$AL$11),$AL$11+SQRT(AZ840*($AN$11-$AL$11)*($AM$11-$AL$11)),$AN$11-SQRT((1-AZ840)*($AN$11-$AL$11)*($AN$11-$AM$11))),$AM$11)</f>
        <v/>
      </c>
      <c r="AR840">
        <f>SUMPRODUCT((B24:B31&lt;=$B$6)*(C24:C31*AM840+D24:D31*AO840*$B$8*AQ840)/(1+AL840/100)^B24:B31)+C32*AM840*AP840/(1+AL840/100)^$B$6</f>
        <v/>
      </c>
      <c r="AS840">
        <f>SUMPRODUCT((K24:K26&lt;=$B$6)*(L24:L26*AN840+M24:M26*AO840*$B$8*AQ840)/(1+AL840/100)^K24:K26)+L27*AN840*AP840/(1+AL840/100)^$B$6</f>
        <v/>
      </c>
      <c r="AT840">
        <f>AS840-AR840</f>
        <v/>
      </c>
      <c r="AU840">
        <f>RAND()</f>
        <v/>
      </c>
      <c r="AV840">
        <f>RAND()</f>
        <v/>
      </c>
      <c r="AW840">
        <f>RAND()</f>
        <v/>
      </c>
      <c r="AX840">
        <f>RAND()</f>
        <v/>
      </c>
      <c r="AY840">
        <f>RAND()</f>
        <v/>
      </c>
      <c r="AZ840">
        <f>RAND()</f>
        <v/>
      </c>
    </row>
    <row r="841">
      <c r="AK841" t="n">
        <v>828</v>
      </c>
      <c r="AL841">
        <f>IFERROR(IF(AU841&lt;($AM$6-$AL$6)/($AN$6-$AL$6),$AL$6+SQRT(AU841*($AN$6-$AL$6)*($AM$6-$AL$6)),$AN$6-SQRT((1-AU841)*($AN$6-$AL$6)*($AN$6-$AM$6))),$AM$6)</f>
        <v/>
      </c>
      <c r="AM841">
        <f>IFERROR(IF(AV841&lt;($AM$7-$AL$7)/($AN$7-$AL$7),$AL$7+SQRT(AV841*($AN$7-$AL$7)*($AM$7-$AL$7)),$AN$7-SQRT((1-AV841)*($AN$7-$AL$7)*($AN$7-$AM$7))),$AM$7)</f>
        <v/>
      </c>
      <c r="AN841">
        <f>IFERROR(IF(AW841&lt;($AM$8-$AL$8)/($AN$8-$AL$8),$AL$8+SQRT(AW841*($AN$8-$AL$8)*($AM$8-$AL$8)),$AN$8-SQRT((1-AW841)*($AN$8-$AL$8)*($AN$8-$AM$8))),$AM$8)</f>
        <v/>
      </c>
      <c r="AO841">
        <f>IFERROR(IF(AX841&lt;($AM$9-$AL$9)/($AN$9-$AL$9),$AL$9+SQRT(AX841*($AN$9-$AL$9)*($AM$9-$AL$9)),$AN$9-SQRT((1-AX841)*($AN$9-$AL$9)*($AN$9-$AM$9))),$AM$9)</f>
        <v/>
      </c>
      <c r="AP841">
        <f>IFERROR(IF(AY841&lt;($AM$10-$AL$10)/($AN$10-$AL$10),$AL$10+SQRT(AY841*($AN$10-$AL$10)*($AM$10-$AL$10)),$AN$10-SQRT((1-AY841)*($AN$10-$AL$10)*($AN$10-$AM$10))),$AM$10)</f>
        <v/>
      </c>
      <c r="AQ841">
        <f>IFERROR(IF(AZ841&lt;($AM$11-$AL$11)/($AN$11-$AL$11),$AL$11+SQRT(AZ841*($AN$11-$AL$11)*($AM$11-$AL$11)),$AN$11-SQRT((1-AZ841)*($AN$11-$AL$11)*($AN$11-$AM$11))),$AM$11)</f>
        <v/>
      </c>
      <c r="AR841">
        <f>SUMPRODUCT((B24:B31&lt;=$B$6)*(C24:C31*AM841+D24:D31*AO841*$B$8*AQ841)/(1+AL841/100)^B24:B31)+C32*AM841*AP841/(1+AL841/100)^$B$6</f>
        <v/>
      </c>
      <c r="AS841">
        <f>SUMPRODUCT((K24:K26&lt;=$B$6)*(L24:L26*AN841+M24:M26*AO841*$B$8*AQ841)/(1+AL841/100)^K24:K26)+L27*AN841*AP841/(1+AL841/100)^$B$6</f>
        <v/>
      </c>
      <c r="AT841">
        <f>AS841-AR841</f>
        <v/>
      </c>
      <c r="AU841">
        <f>RAND()</f>
        <v/>
      </c>
      <c r="AV841">
        <f>RAND()</f>
        <v/>
      </c>
      <c r="AW841">
        <f>RAND()</f>
        <v/>
      </c>
      <c r="AX841">
        <f>RAND()</f>
        <v/>
      </c>
      <c r="AY841">
        <f>RAND()</f>
        <v/>
      </c>
      <c r="AZ841">
        <f>RAND()</f>
        <v/>
      </c>
    </row>
    <row r="842">
      <c r="AK842" t="n">
        <v>829</v>
      </c>
      <c r="AL842">
        <f>IFERROR(IF(AU842&lt;($AM$6-$AL$6)/($AN$6-$AL$6),$AL$6+SQRT(AU842*($AN$6-$AL$6)*($AM$6-$AL$6)),$AN$6-SQRT((1-AU842)*($AN$6-$AL$6)*($AN$6-$AM$6))),$AM$6)</f>
        <v/>
      </c>
      <c r="AM842">
        <f>IFERROR(IF(AV842&lt;($AM$7-$AL$7)/($AN$7-$AL$7),$AL$7+SQRT(AV842*($AN$7-$AL$7)*($AM$7-$AL$7)),$AN$7-SQRT((1-AV842)*($AN$7-$AL$7)*($AN$7-$AM$7))),$AM$7)</f>
        <v/>
      </c>
      <c r="AN842">
        <f>IFERROR(IF(AW842&lt;($AM$8-$AL$8)/($AN$8-$AL$8),$AL$8+SQRT(AW842*($AN$8-$AL$8)*($AM$8-$AL$8)),$AN$8-SQRT((1-AW842)*($AN$8-$AL$8)*($AN$8-$AM$8))),$AM$8)</f>
        <v/>
      </c>
      <c r="AO842">
        <f>IFERROR(IF(AX842&lt;($AM$9-$AL$9)/($AN$9-$AL$9),$AL$9+SQRT(AX842*($AN$9-$AL$9)*($AM$9-$AL$9)),$AN$9-SQRT((1-AX842)*($AN$9-$AL$9)*($AN$9-$AM$9))),$AM$9)</f>
        <v/>
      </c>
      <c r="AP842">
        <f>IFERROR(IF(AY842&lt;($AM$10-$AL$10)/($AN$10-$AL$10),$AL$10+SQRT(AY842*($AN$10-$AL$10)*($AM$10-$AL$10)),$AN$10-SQRT((1-AY842)*($AN$10-$AL$10)*($AN$10-$AM$10))),$AM$10)</f>
        <v/>
      </c>
      <c r="AQ842">
        <f>IFERROR(IF(AZ842&lt;($AM$11-$AL$11)/($AN$11-$AL$11),$AL$11+SQRT(AZ842*($AN$11-$AL$11)*($AM$11-$AL$11)),$AN$11-SQRT((1-AZ842)*($AN$11-$AL$11)*($AN$11-$AM$11))),$AM$11)</f>
        <v/>
      </c>
      <c r="AR842">
        <f>SUMPRODUCT((B24:B31&lt;=$B$6)*(C24:C31*AM842+D24:D31*AO842*$B$8*AQ842)/(1+AL842/100)^B24:B31)+C32*AM842*AP842/(1+AL842/100)^$B$6</f>
        <v/>
      </c>
      <c r="AS842">
        <f>SUMPRODUCT((K24:K26&lt;=$B$6)*(L24:L26*AN842+M24:M26*AO842*$B$8*AQ842)/(1+AL842/100)^K24:K26)+L27*AN842*AP842/(1+AL842/100)^$B$6</f>
        <v/>
      </c>
      <c r="AT842">
        <f>AS842-AR842</f>
        <v/>
      </c>
      <c r="AU842">
        <f>RAND()</f>
        <v/>
      </c>
      <c r="AV842">
        <f>RAND()</f>
        <v/>
      </c>
      <c r="AW842">
        <f>RAND()</f>
        <v/>
      </c>
      <c r="AX842">
        <f>RAND()</f>
        <v/>
      </c>
      <c r="AY842">
        <f>RAND()</f>
        <v/>
      </c>
      <c r="AZ842">
        <f>RAND()</f>
        <v/>
      </c>
    </row>
    <row r="843">
      <c r="AK843" t="n">
        <v>830</v>
      </c>
      <c r="AL843">
        <f>IFERROR(IF(AU843&lt;($AM$6-$AL$6)/($AN$6-$AL$6),$AL$6+SQRT(AU843*($AN$6-$AL$6)*($AM$6-$AL$6)),$AN$6-SQRT((1-AU843)*($AN$6-$AL$6)*($AN$6-$AM$6))),$AM$6)</f>
        <v/>
      </c>
      <c r="AM843">
        <f>IFERROR(IF(AV843&lt;($AM$7-$AL$7)/($AN$7-$AL$7),$AL$7+SQRT(AV843*($AN$7-$AL$7)*($AM$7-$AL$7)),$AN$7-SQRT((1-AV843)*($AN$7-$AL$7)*($AN$7-$AM$7))),$AM$7)</f>
        <v/>
      </c>
      <c r="AN843">
        <f>IFERROR(IF(AW843&lt;($AM$8-$AL$8)/($AN$8-$AL$8),$AL$8+SQRT(AW843*($AN$8-$AL$8)*($AM$8-$AL$8)),$AN$8-SQRT((1-AW843)*($AN$8-$AL$8)*($AN$8-$AM$8))),$AM$8)</f>
        <v/>
      </c>
      <c r="AO843">
        <f>IFERROR(IF(AX843&lt;($AM$9-$AL$9)/($AN$9-$AL$9),$AL$9+SQRT(AX843*($AN$9-$AL$9)*($AM$9-$AL$9)),$AN$9-SQRT((1-AX843)*($AN$9-$AL$9)*($AN$9-$AM$9))),$AM$9)</f>
        <v/>
      </c>
      <c r="AP843">
        <f>IFERROR(IF(AY843&lt;($AM$10-$AL$10)/($AN$10-$AL$10),$AL$10+SQRT(AY843*($AN$10-$AL$10)*($AM$10-$AL$10)),$AN$10-SQRT((1-AY843)*($AN$10-$AL$10)*($AN$10-$AM$10))),$AM$10)</f>
        <v/>
      </c>
      <c r="AQ843">
        <f>IFERROR(IF(AZ843&lt;($AM$11-$AL$11)/($AN$11-$AL$11),$AL$11+SQRT(AZ843*($AN$11-$AL$11)*($AM$11-$AL$11)),$AN$11-SQRT((1-AZ843)*($AN$11-$AL$11)*($AN$11-$AM$11))),$AM$11)</f>
        <v/>
      </c>
      <c r="AR843">
        <f>SUMPRODUCT((B24:B31&lt;=$B$6)*(C24:C31*AM843+D24:D31*AO843*$B$8*AQ843)/(1+AL843/100)^B24:B31)+C32*AM843*AP843/(1+AL843/100)^$B$6</f>
        <v/>
      </c>
      <c r="AS843">
        <f>SUMPRODUCT((K24:K26&lt;=$B$6)*(L24:L26*AN843+M24:M26*AO843*$B$8*AQ843)/(1+AL843/100)^K24:K26)+L27*AN843*AP843/(1+AL843/100)^$B$6</f>
        <v/>
      </c>
      <c r="AT843">
        <f>AS843-AR843</f>
        <v/>
      </c>
      <c r="AU843">
        <f>RAND()</f>
        <v/>
      </c>
      <c r="AV843">
        <f>RAND()</f>
        <v/>
      </c>
      <c r="AW843">
        <f>RAND()</f>
        <v/>
      </c>
      <c r="AX843">
        <f>RAND()</f>
        <v/>
      </c>
      <c r="AY843">
        <f>RAND()</f>
        <v/>
      </c>
      <c r="AZ843">
        <f>RAND()</f>
        <v/>
      </c>
    </row>
    <row r="844">
      <c r="AK844" t="n">
        <v>831</v>
      </c>
      <c r="AL844">
        <f>IFERROR(IF(AU844&lt;($AM$6-$AL$6)/($AN$6-$AL$6),$AL$6+SQRT(AU844*($AN$6-$AL$6)*($AM$6-$AL$6)),$AN$6-SQRT((1-AU844)*($AN$6-$AL$6)*($AN$6-$AM$6))),$AM$6)</f>
        <v/>
      </c>
      <c r="AM844">
        <f>IFERROR(IF(AV844&lt;($AM$7-$AL$7)/($AN$7-$AL$7),$AL$7+SQRT(AV844*($AN$7-$AL$7)*($AM$7-$AL$7)),$AN$7-SQRT((1-AV844)*($AN$7-$AL$7)*($AN$7-$AM$7))),$AM$7)</f>
        <v/>
      </c>
      <c r="AN844">
        <f>IFERROR(IF(AW844&lt;($AM$8-$AL$8)/($AN$8-$AL$8),$AL$8+SQRT(AW844*($AN$8-$AL$8)*($AM$8-$AL$8)),$AN$8-SQRT((1-AW844)*($AN$8-$AL$8)*($AN$8-$AM$8))),$AM$8)</f>
        <v/>
      </c>
      <c r="AO844">
        <f>IFERROR(IF(AX844&lt;($AM$9-$AL$9)/($AN$9-$AL$9),$AL$9+SQRT(AX844*($AN$9-$AL$9)*($AM$9-$AL$9)),$AN$9-SQRT((1-AX844)*($AN$9-$AL$9)*($AN$9-$AM$9))),$AM$9)</f>
        <v/>
      </c>
      <c r="AP844">
        <f>IFERROR(IF(AY844&lt;($AM$10-$AL$10)/($AN$10-$AL$10),$AL$10+SQRT(AY844*($AN$10-$AL$10)*($AM$10-$AL$10)),$AN$10-SQRT((1-AY844)*($AN$10-$AL$10)*($AN$10-$AM$10))),$AM$10)</f>
        <v/>
      </c>
      <c r="AQ844">
        <f>IFERROR(IF(AZ844&lt;($AM$11-$AL$11)/($AN$11-$AL$11),$AL$11+SQRT(AZ844*($AN$11-$AL$11)*($AM$11-$AL$11)),$AN$11-SQRT((1-AZ844)*($AN$11-$AL$11)*($AN$11-$AM$11))),$AM$11)</f>
        <v/>
      </c>
      <c r="AR844">
        <f>SUMPRODUCT((B24:B31&lt;=$B$6)*(C24:C31*AM844+D24:D31*AO844*$B$8*AQ844)/(1+AL844/100)^B24:B31)+C32*AM844*AP844/(1+AL844/100)^$B$6</f>
        <v/>
      </c>
      <c r="AS844">
        <f>SUMPRODUCT((K24:K26&lt;=$B$6)*(L24:L26*AN844+M24:M26*AO844*$B$8*AQ844)/(1+AL844/100)^K24:K26)+L27*AN844*AP844/(1+AL844/100)^$B$6</f>
        <v/>
      </c>
      <c r="AT844">
        <f>AS844-AR844</f>
        <v/>
      </c>
      <c r="AU844">
        <f>RAND()</f>
        <v/>
      </c>
      <c r="AV844">
        <f>RAND()</f>
        <v/>
      </c>
      <c r="AW844">
        <f>RAND()</f>
        <v/>
      </c>
      <c r="AX844">
        <f>RAND()</f>
        <v/>
      </c>
      <c r="AY844">
        <f>RAND()</f>
        <v/>
      </c>
      <c r="AZ844">
        <f>RAND()</f>
        <v/>
      </c>
    </row>
    <row r="845">
      <c r="AK845" t="n">
        <v>832</v>
      </c>
      <c r="AL845">
        <f>IFERROR(IF(AU845&lt;($AM$6-$AL$6)/($AN$6-$AL$6),$AL$6+SQRT(AU845*($AN$6-$AL$6)*($AM$6-$AL$6)),$AN$6-SQRT((1-AU845)*($AN$6-$AL$6)*($AN$6-$AM$6))),$AM$6)</f>
        <v/>
      </c>
      <c r="AM845">
        <f>IFERROR(IF(AV845&lt;($AM$7-$AL$7)/($AN$7-$AL$7),$AL$7+SQRT(AV845*($AN$7-$AL$7)*($AM$7-$AL$7)),$AN$7-SQRT((1-AV845)*($AN$7-$AL$7)*($AN$7-$AM$7))),$AM$7)</f>
        <v/>
      </c>
      <c r="AN845">
        <f>IFERROR(IF(AW845&lt;($AM$8-$AL$8)/($AN$8-$AL$8),$AL$8+SQRT(AW845*($AN$8-$AL$8)*($AM$8-$AL$8)),$AN$8-SQRT((1-AW845)*($AN$8-$AL$8)*($AN$8-$AM$8))),$AM$8)</f>
        <v/>
      </c>
      <c r="AO845">
        <f>IFERROR(IF(AX845&lt;($AM$9-$AL$9)/($AN$9-$AL$9),$AL$9+SQRT(AX845*($AN$9-$AL$9)*($AM$9-$AL$9)),$AN$9-SQRT((1-AX845)*($AN$9-$AL$9)*($AN$9-$AM$9))),$AM$9)</f>
        <v/>
      </c>
      <c r="AP845">
        <f>IFERROR(IF(AY845&lt;($AM$10-$AL$10)/($AN$10-$AL$10),$AL$10+SQRT(AY845*($AN$10-$AL$10)*($AM$10-$AL$10)),$AN$10-SQRT((1-AY845)*($AN$10-$AL$10)*($AN$10-$AM$10))),$AM$10)</f>
        <v/>
      </c>
      <c r="AQ845">
        <f>IFERROR(IF(AZ845&lt;($AM$11-$AL$11)/($AN$11-$AL$11),$AL$11+SQRT(AZ845*($AN$11-$AL$11)*($AM$11-$AL$11)),$AN$11-SQRT((1-AZ845)*($AN$11-$AL$11)*($AN$11-$AM$11))),$AM$11)</f>
        <v/>
      </c>
      <c r="AR845">
        <f>SUMPRODUCT((B24:B31&lt;=$B$6)*(C24:C31*AM845+D24:D31*AO845*$B$8*AQ845)/(1+AL845/100)^B24:B31)+C32*AM845*AP845/(1+AL845/100)^$B$6</f>
        <v/>
      </c>
      <c r="AS845">
        <f>SUMPRODUCT((K24:K26&lt;=$B$6)*(L24:L26*AN845+M24:M26*AO845*$B$8*AQ845)/(1+AL845/100)^K24:K26)+L27*AN845*AP845/(1+AL845/100)^$B$6</f>
        <v/>
      </c>
      <c r="AT845">
        <f>AS845-AR845</f>
        <v/>
      </c>
      <c r="AU845">
        <f>RAND()</f>
        <v/>
      </c>
      <c r="AV845">
        <f>RAND()</f>
        <v/>
      </c>
      <c r="AW845">
        <f>RAND()</f>
        <v/>
      </c>
      <c r="AX845">
        <f>RAND()</f>
        <v/>
      </c>
      <c r="AY845">
        <f>RAND()</f>
        <v/>
      </c>
      <c r="AZ845">
        <f>RAND()</f>
        <v/>
      </c>
    </row>
    <row r="846">
      <c r="AK846" t="n">
        <v>833</v>
      </c>
      <c r="AL846">
        <f>IFERROR(IF(AU846&lt;($AM$6-$AL$6)/($AN$6-$AL$6),$AL$6+SQRT(AU846*($AN$6-$AL$6)*($AM$6-$AL$6)),$AN$6-SQRT((1-AU846)*($AN$6-$AL$6)*($AN$6-$AM$6))),$AM$6)</f>
        <v/>
      </c>
      <c r="AM846">
        <f>IFERROR(IF(AV846&lt;($AM$7-$AL$7)/($AN$7-$AL$7),$AL$7+SQRT(AV846*($AN$7-$AL$7)*($AM$7-$AL$7)),$AN$7-SQRT((1-AV846)*($AN$7-$AL$7)*($AN$7-$AM$7))),$AM$7)</f>
        <v/>
      </c>
      <c r="AN846">
        <f>IFERROR(IF(AW846&lt;($AM$8-$AL$8)/($AN$8-$AL$8),$AL$8+SQRT(AW846*($AN$8-$AL$8)*($AM$8-$AL$8)),$AN$8-SQRT((1-AW846)*($AN$8-$AL$8)*($AN$8-$AM$8))),$AM$8)</f>
        <v/>
      </c>
      <c r="AO846">
        <f>IFERROR(IF(AX846&lt;($AM$9-$AL$9)/($AN$9-$AL$9),$AL$9+SQRT(AX846*($AN$9-$AL$9)*($AM$9-$AL$9)),$AN$9-SQRT((1-AX846)*($AN$9-$AL$9)*($AN$9-$AM$9))),$AM$9)</f>
        <v/>
      </c>
      <c r="AP846">
        <f>IFERROR(IF(AY846&lt;($AM$10-$AL$10)/($AN$10-$AL$10),$AL$10+SQRT(AY846*($AN$10-$AL$10)*($AM$10-$AL$10)),$AN$10-SQRT((1-AY846)*($AN$10-$AL$10)*($AN$10-$AM$10))),$AM$10)</f>
        <v/>
      </c>
      <c r="AQ846">
        <f>IFERROR(IF(AZ846&lt;($AM$11-$AL$11)/($AN$11-$AL$11),$AL$11+SQRT(AZ846*($AN$11-$AL$11)*($AM$11-$AL$11)),$AN$11-SQRT((1-AZ846)*($AN$11-$AL$11)*($AN$11-$AM$11))),$AM$11)</f>
        <v/>
      </c>
      <c r="AR846">
        <f>SUMPRODUCT((B24:B31&lt;=$B$6)*(C24:C31*AM846+D24:D31*AO846*$B$8*AQ846)/(1+AL846/100)^B24:B31)+C32*AM846*AP846/(1+AL846/100)^$B$6</f>
        <v/>
      </c>
      <c r="AS846">
        <f>SUMPRODUCT((K24:K26&lt;=$B$6)*(L24:L26*AN846+M24:M26*AO846*$B$8*AQ846)/(1+AL846/100)^K24:K26)+L27*AN846*AP846/(1+AL846/100)^$B$6</f>
        <v/>
      </c>
      <c r="AT846">
        <f>AS846-AR846</f>
        <v/>
      </c>
      <c r="AU846">
        <f>RAND()</f>
        <v/>
      </c>
      <c r="AV846">
        <f>RAND()</f>
        <v/>
      </c>
      <c r="AW846">
        <f>RAND()</f>
        <v/>
      </c>
      <c r="AX846">
        <f>RAND()</f>
        <v/>
      </c>
      <c r="AY846">
        <f>RAND()</f>
        <v/>
      </c>
      <c r="AZ846">
        <f>RAND()</f>
        <v/>
      </c>
    </row>
    <row r="847">
      <c r="AK847" t="n">
        <v>834</v>
      </c>
      <c r="AL847">
        <f>IFERROR(IF(AU847&lt;($AM$6-$AL$6)/($AN$6-$AL$6),$AL$6+SQRT(AU847*($AN$6-$AL$6)*($AM$6-$AL$6)),$AN$6-SQRT((1-AU847)*($AN$6-$AL$6)*($AN$6-$AM$6))),$AM$6)</f>
        <v/>
      </c>
      <c r="AM847">
        <f>IFERROR(IF(AV847&lt;($AM$7-$AL$7)/($AN$7-$AL$7),$AL$7+SQRT(AV847*($AN$7-$AL$7)*($AM$7-$AL$7)),$AN$7-SQRT((1-AV847)*($AN$7-$AL$7)*($AN$7-$AM$7))),$AM$7)</f>
        <v/>
      </c>
      <c r="AN847">
        <f>IFERROR(IF(AW847&lt;($AM$8-$AL$8)/($AN$8-$AL$8),$AL$8+SQRT(AW847*($AN$8-$AL$8)*($AM$8-$AL$8)),$AN$8-SQRT((1-AW847)*($AN$8-$AL$8)*($AN$8-$AM$8))),$AM$8)</f>
        <v/>
      </c>
      <c r="AO847">
        <f>IFERROR(IF(AX847&lt;($AM$9-$AL$9)/($AN$9-$AL$9),$AL$9+SQRT(AX847*($AN$9-$AL$9)*($AM$9-$AL$9)),$AN$9-SQRT((1-AX847)*($AN$9-$AL$9)*($AN$9-$AM$9))),$AM$9)</f>
        <v/>
      </c>
      <c r="AP847">
        <f>IFERROR(IF(AY847&lt;($AM$10-$AL$10)/($AN$10-$AL$10),$AL$10+SQRT(AY847*($AN$10-$AL$10)*($AM$10-$AL$10)),$AN$10-SQRT((1-AY847)*($AN$10-$AL$10)*($AN$10-$AM$10))),$AM$10)</f>
        <v/>
      </c>
      <c r="AQ847">
        <f>IFERROR(IF(AZ847&lt;($AM$11-$AL$11)/($AN$11-$AL$11),$AL$11+SQRT(AZ847*($AN$11-$AL$11)*($AM$11-$AL$11)),$AN$11-SQRT((1-AZ847)*($AN$11-$AL$11)*($AN$11-$AM$11))),$AM$11)</f>
        <v/>
      </c>
      <c r="AR847">
        <f>SUMPRODUCT((B24:B31&lt;=$B$6)*(C24:C31*AM847+D24:D31*AO847*$B$8*AQ847)/(1+AL847/100)^B24:B31)+C32*AM847*AP847/(1+AL847/100)^$B$6</f>
        <v/>
      </c>
      <c r="AS847">
        <f>SUMPRODUCT((K24:K26&lt;=$B$6)*(L24:L26*AN847+M24:M26*AO847*$B$8*AQ847)/(1+AL847/100)^K24:K26)+L27*AN847*AP847/(1+AL847/100)^$B$6</f>
        <v/>
      </c>
      <c r="AT847">
        <f>AS847-AR847</f>
        <v/>
      </c>
      <c r="AU847">
        <f>RAND()</f>
        <v/>
      </c>
      <c r="AV847">
        <f>RAND()</f>
        <v/>
      </c>
      <c r="AW847">
        <f>RAND()</f>
        <v/>
      </c>
      <c r="AX847">
        <f>RAND()</f>
        <v/>
      </c>
      <c r="AY847">
        <f>RAND()</f>
        <v/>
      </c>
      <c r="AZ847">
        <f>RAND()</f>
        <v/>
      </c>
    </row>
    <row r="848">
      <c r="AK848" t="n">
        <v>835</v>
      </c>
      <c r="AL848">
        <f>IFERROR(IF(AU848&lt;($AM$6-$AL$6)/($AN$6-$AL$6),$AL$6+SQRT(AU848*($AN$6-$AL$6)*($AM$6-$AL$6)),$AN$6-SQRT((1-AU848)*($AN$6-$AL$6)*($AN$6-$AM$6))),$AM$6)</f>
        <v/>
      </c>
      <c r="AM848">
        <f>IFERROR(IF(AV848&lt;($AM$7-$AL$7)/($AN$7-$AL$7),$AL$7+SQRT(AV848*($AN$7-$AL$7)*($AM$7-$AL$7)),$AN$7-SQRT((1-AV848)*($AN$7-$AL$7)*($AN$7-$AM$7))),$AM$7)</f>
        <v/>
      </c>
      <c r="AN848">
        <f>IFERROR(IF(AW848&lt;($AM$8-$AL$8)/($AN$8-$AL$8),$AL$8+SQRT(AW848*($AN$8-$AL$8)*($AM$8-$AL$8)),$AN$8-SQRT((1-AW848)*($AN$8-$AL$8)*($AN$8-$AM$8))),$AM$8)</f>
        <v/>
      </c>
      <c r="AO848">
        <f>IFERROR(IF(AX848&lt;($AM$9-$AL$9)/($AN$9-$AL$9),$AL$9+SQRT(AX848*($AN$9-$AL$9)*($AM$9-$AL$9)),$AN$9-SQRT((1-AX848)*($AN$9-$AL$9)*($AN$9-$AM$9))),$AM$9)</f>
        <v/>
      </c>
      <c r="AP848">
        <f>IFERROR(IF(AY848&lt;($AM$10-$AL$10)/($AN$10-$AL$10),$AL$10+SQRT(AY848*($AN$10-$AL$10)*($AM$10-$AL$10)),$AN$10-SQRT((1-AY848)*($AN$10-$AL$10)*($AN$10-$AM$10))),$AM$10)</f>
        <v/>
      </c>
      <c r="AQ848">
        <f>IFERROR(IF(AZ848&lt;($AM$11-$AL$11)/($AN$11-$AL$11),$AL$11+SQRT(AZ848*($AN$11-$AL$11)*($AM$11-$AL$11)),$AN$11-SQRT((1-AZ848)*($AN$11-$AL$11)*($AN$11-$AM$11))),$AM$11)</f>
        <v/>
      </c>
      <c r="AR848">
        <f>SUMPRODUCT((B24:B31&lt;=$B$6)*(C24:C31*AM848+D24:D31*AO848*$B$8*AQ848)/(1+AL848/100)^B24:B31)+C32*AM848*AP848/(1+AL848/100)^$B$6</f>
        <v/>
      </c>
      <c r="AS848">
        <f>SUMPRODUCT((K24:K26&lt;=$B$6)*(L24:L26*AN848+M24:M26*AO848*$B$8*AQ848)/(1+AL848/100)^K24:K26)+L27*AN848*AP848/(1+AL848/100)^$B$6</f>
        <v/>
      </c>
      <c r="AT848">
        <f>AS848-AR848</f>
        <v/>
      </c>
      <c r="AU848">
        <f>RAND()</f>
        <v/>
      </c>
      <c r="AV848">
        <f>RAND()</f>
        <v/>
      </c>
      <c r="AW848">
        <f>RAND()</f>
        <v/>
      </c>
      <c r="AX848">
        <f>RAND()</f>
        <v/>
      </c>
      <c r="AY848">
        <f>RAND()</f>
        <v/>
      </c>
      <c r="AZ848">
        <f>RAND()</f>
        <v/>
      </c>
    </row>
    <row r="849">
      <c r="AK849" t="n">
        <v>836</v>
      </c>
      <c r="AL849">
        <f>IFERROR(IF(AU849&lt;($AM$6-$AL$6)/($AN$6-$AL$6),$AL$6+SQRT(AU849*($AN$6-$AL$6)*($AM$6-$AL$6)),$AN$6-SQRT((1-AU849)*($AN$6-$AL$6)*($AN$6-$AM$6))),$AM$6)</f>
        <v/>
      </c>
      <c r="AM849">
        <f>IFERROR(IF(AV849&lt;($AM$7-$AL$7)/($AN$7-$AL$7),$AL$7+SQRT(AV849*($AN$7-$AL$7)*($AM$7-$AL$7)),$AN$7-SQRT((1-AV849)*($AN$7-$AL$7)*($AN$7-$AM$7))),$AM$7)</f>
        <v/>
      </c>
      <c r="AN849">
        <f>IFERROR(IF(AW849&lt;($AM$8-$AL$8)/($AN$8-$AL$8),$AL$8+SQRT(AW849*($AN$8-$AL$8)*($AM$8-$AL$8)),$AN$8-SQRT((1-AW849)*($AN$8-$AL$8)*($AN$8-$AM$8))),$AM$8)</f>
        <v/>
      </c>
      <c r="AO849">
        <f>IFERROR(IF(AX849&lt;($AM$9-$AL$9)/($AN$9-$AL$9),$AL$9+SQRT(AX849*($AN$9-$AL$9)*($AM$9-$AL$9)),$AN$9-SQRT((1-AX849)*($AN$9-$AL$9)*($AN$9-$AM$9))),$AM$9)</f>
        <v/>
      </c>
      <c r="AP849">
        <f>IFERROR(IF(AY849&lt;($AM$10-$AL$10)/($AN$10-$AL$10),$AL$10+SQRT(AY849*($AN$10-$AL$10)*($AM$10-$AL$10)),$AN$10-SQRT((1-AY849)*($AN$10-$AL$10)*($AN$10-$AM$10))),$AM$10)</f>
        <v/>
      </c>
      <c r="AQ849">
        <f>IFERROR(IF(AZ849&lt;($AM$11-$AL$11)/($AN$11-$AL$11),$AL$11+SQRT(AZ849*($AN$11-$AL$11)*($AM$11-$AL$11)),$AN$11-SQRT((1-AZ849)*($AN$11-$AL$11)*($AN$11-$AM$11))),$AM$11)</f>
        <v/>
      </c>
      <c r="AR849">
        <f>SUMPRODUCT((B24:B31&lt;=$B$6)*(C24:C31*AM849+D24:D31*AO849*$B$8*AQ849)/(1+AL849/100)^B24:B31)+C32*AM849*AP849/(1+AL849/100)^$B$6</f>
        <v/>
      </c>
      <c r="AS849">
        <f>SUMPRODUCT((K24:K26&lt;=$B$6)*(L24:L26*AN849+M24:M26*AO849*$B$8*AQ849)/(1+AL849/100)^K24:K26)+L27*AN849*AP849/(1+AL849/100)^$B$6</f>
        <v/>
      </c>
      <c r="AT849">
        <f>AS849-AR849</f>
        <v/>
      </c>
      <c r="AU849">
        <f>RAND()</f>
        <v/>
      </c>
      <c r="AV849">
        <f>RAND()</f>
        <v/>
      </c>
      <c r="AW849">
        <f>RAND()</f>
        <v/>
      </c>
      <c r="AX849">
        <f>RAND()</f>
        <v/>
      </c>
      <c r="AY849">
        <f>RAND()</f>
        <v/>
      </c>
      <c r="AZ849">
        <f>RAND()</f>
        <v/>
      </c>
    </row>
    <row r="850">
      <c r="AK850" t="n">
        <v>837</v>
      </c>
      <c r="AL850">
        <f>IFERROR(IF(AU850&lt;($AM$6-$AL$6)/($AN$6-$AL$6),$AL$6+SQRT(AU850*($AN$6-$AL$6)*($AM$6-$AL$6)),$AN$6-SQRT((1-AU850)*($AN$6-$AL$6)*($AN$6-$AM$6))),$AM$6)</f>
        <v/>
      </c>
      <c r="AM850">
        <f>IFERROR(IF(AV850&lt;($AM$7-$AL$7)/($AN$7-$AL$7),$AL$7+SQRT(AV850*($AN$7-$AL$7)*($AM$7-$AL$7)),$AN$7-SQRT((1-AV850)*($AN$7-$AL$7)*($AN$7-$AM$7))),$AM$7)</f>
        <v/>
      </c>
      <c r="AN850">
        <f>IFERROR(IF(AW850&lt;($AM$8-$AL$8)/($AN$8-$AL$8),$AL$8+SQRT(AW850*($AN$8-$AL$8)*($AM$8-$AL$8)),$AN$8-SQRT((1-AW850)*($AN$8-$AL$8)*($AN$8-$AM$8))),$AM$8)</f>
        <v/>
      </c>
      <c r="AO850">
        <f>IFERROR(IF(AX850&lt;($AM$9-$AL$9)/($AN$9-$AL$9),$AL$9+SQRT(AX850*($AN$9-$AL$9)*($AM$9-$AL$9)),$AN$9-SQRT((1-AX850)*($AN$9-$AL$9)*($AN$9-$AM$9))),$AM$9)</f>
        <v/>
      </c>
      <c r="AP850">
        <f>IFERROR(IF(AY850&lt;($AM$10-$AL$10)/($AN$10-$AL$10),$AL$10+SQRT(AY850*($AN$10-$AL$10)*($AM$10-$AL$10)),$AN$10-SQRT((1-AY850)*($AN$10-$AL$10)*($AN$10-$AM$10))),$AM$10)</f>
        <v/>
      </c>
      <c r="AQ850">
        <f>IFERROR(IF(AZ850&lt;($AM$11-$AL$11)/($AN$11-$AL$11),$AL$11+SQRT(AZ850*($AN$11-$AL$11)*($AM$11-$AL$11)),$AN$11-SQRT((1-AZ850)*($AN$11-$AL$11)*($AN$11-$AM$11))),$AM$11)</f>
        <v/>
      </c>
      <c r="AR850">
        <f>SUMPRODUCT((B24:B31&lt;=$B$6)*(C24:C31*AM850+D24:D31*AO850*$B$8*AQ850)/(1+AL850/100)^B24:B31)+C32*AM850*AP850/(1+AL850/100)^$B$6</f>
        <v/>
      </c>
      <c r="AS850">
        <f>SUMPRODUCT((K24:K26&lt;=$B$6)*(L24:L26*AN850+M24:M26*AO850*$B$8*AQ850)/(1+AL850/100)^K24:K26)+L27*AN850*AP850/(1+AL850/100)^$B$6</f>
        <v/>
      </c>
      <c r="AT850">
        <f>AS850-AR850</f>
        <v/>
      </c>
      <c r="AU850">
        <f>RAND()</f>
        <v/>
      </c>
      <c r="AV850">
        <f>RAND()</f>
        <v/>
      </c>
      <c r="AW850">
        <f>RAND()</f>
        <v/>
      </c>
      <c r="AX850">
        <f>RAND()</f>
        <v/>
      </c>
      <c r="AY850">
        <f>RAND()</f>
        <v/>
      </c>
      <c r="AZ850">
        <f>RAND()</f>
        <v/>
      </c>
    </row>
    <row r="851">
      <c r="AK851" t="n">
        <v>838</v>
      </c>
      <c r="AL851">
        <f>IFERROR(IF(AU851&lt;($AM$6-$AL$6)/($AN$6-$AL$6),$AL$6+SQRT(AU851*($AN$6-$AL$6)*($AM$6-$AL$6)),$AN$6-SQRT((1-AU851)*($AN$6-$AL$6)*($AN$6-$AM$6))),$AM$6)</f>
        <v/>
      </c>
      <c r="AM851">
        <f>IFERROR(IF(AV851&lt;($AM$7-$AL$7)/($AN$7-$AL$7),$AL$7+SQRT(AV851*($AN$7-$AL$7)*($AM$7-$AL$7)),$AN$7-SQRT((1-AV851)*($AN$7-$AL$7)*($AN$7-$AM$7))),$AM$7)</f>
        <v/>
      </c>
      <c r="AN851">
        <f>IFERROR(IF(AW851&lt;($AM$8-$AL$8)/($AN$8-$AL$8),$AL$8+SQRT(AW851*($AN$8-$AL$8)*($AM$8-$AL$8)),$AN$8-SQRT((1-AW851)*($AN$8-$AL$8)*($AN$8-$AM$8))),$AM$8)</f>
        <v/>
      </c>
      <c r="AO851">
        <f>IFERROR(IF(AX851&lt;($AM$9-$AL$9)/($AN$9-$AL$9),$AL$9+SQRT(AX851*($AN$9-$AL$9)*($AM$9-$AL$9)),$AN$9-SQRT((1-AX851)*($AN$9-$AL$9)*($AN$9-$AM$9))),$AM$9)</f>
        <v/>
      </c>
      <c r="AP851">
        <f>IFERROR(IF(AY851&lt;($AM$10-$AL$10)/($AN$10-$AL$10),$AL$10+SQRT(AY851*($AN$10-$AL$10)*($AM$10-$AL$10)),$AN$10-SQRT((1-AY851)*($AN$10-$AL$10)*($AN$10-$AM$10))),$AM$10)</f>
        <v/>
      </c>
      <c r="AQ851">
        <f>IFERROR(IF(AZ851&lt;($AM$11-$AL$11)/($AN$11-$AL$11),$AL$11+SQRT(AZ851*($AN$11-$AL$11)*($AM$11-$AL$11)),$AN$11-SQRT((1-AZ851)*($AN$11-$AL$11)*($AN$11-$AM$11))),$AM$11)</f>
        <v/>
      </c>
      <c r="AR851">
        <f>SUMPRODUCT((B24:B31&lt;=$B$6)*(C24:C31*AM851+D24:D31*AO851*$B$8*AQ851)/(1+AL851/100)^B24:B31)+C32*AM851*AP851/(1+AL851/100)^$B$6</f>
        <v/>
      </c>
      <c r="AS851">
        <f>SUMPRODUCT((K24:K26&lt;=$B$6)*(L24:L26*AN851+M24:M26*AO851*$B$8*AQ851)/(1+AL851/100)^K24:K26)+L27*AN851*AP851/(1+AL851/100)^$B$6</f>
        <v/>
      </c>
      <c r="AT851">
        <f>AS851-AR851</f>
        <v/>
      </c>
      <c r="AU851">
        <f>RAND()</f>
        <v/>
      </c>
      <c r="AV851">
        <f>RAND()</f>
        <v/>
      </c>
      <c r="AW851">
        <f>RAND()</f>
        <v/>
      </c>
      <c r="AX851">
        <f>RAND()</f>
        <v/>
      </c>
      <c r="AY851">
        <f>RAND()</f>
        <v/>
      </c>
      <c r="AZ851">
        <f>RAND()</f>
        <v/>
      </c>
    </row>
    <row r="852">
      <c r="AK852" t="n">
        <v>839</v>
      </c>
      <c r="AL852">
        <f>IFERROR(IF(AU852&lt;($AM$6-$AL$6)/($AN$6-$AL$6),$AL$6+SQRT(AU852*($AN$6-$AL$6)*($AM$6-$AL$6)),$AN$6-SQRT((1-AU852)*($AN$6-$AL$6)*($AN$6-$AM$6))),$AM$6)</f>
        <v/>
      </c>
      <c r="AM852">
        <f>IFERROR(IF(AV852&lt;($AM$7-$AL$7)/($AN$7-$AL$7),$AL$7+SQRT(AV852*($AN$7-$AL$7)*($AM$7-$AL$7)),$AN$7-SQRT((1-AV852)*($AN$7-$AL$7)*($AN$7-$AM$7))),$AM$7)</f>
        <v/>
      </c>
      <c r="AN852">
        <f>IFERROR(IF(AW852&lt;($AM$8-$AL$8)/($AN$8-$AL$8),$AL$8+SQRT(AW852*($AN$8-$AL$8)*($AM$8-$AL$8)),$AN$8-SQRT((1-AW852)*($AN$8-$AL$8)*($AN$8-$AM$8))),$AM$8)</f>
        <v/>
      </c>
      <c r="AO852">
        <f>IFERROR(IF(AX852&lt;($AM$9-$AL$9)/($AN$9-$AL$9),$AL$9+SQRT(AX852*($AN$9-$AL$9)*($AM$9-$AL$9)),$AN$9-SQRT((1-AX852)*($AN$9-$AL$9)*($AN$9-$AM$9))),$AM$9)</f>
        <v/>
      </c>
      <c r="AP852">
        <f>IFERROR(IF(AY852&lt;($AM$10-$AL$10)/($AN$10-$AL$10),$AL$10+SQRT(AY852*($AN$10-$AL$10)*($AM$10-$AL$10)),$AN$10-SQRT((1-AY852)*($AN$10-$AL$10)*($AN$10-$AM$10))),$AM$10)</f>
        <v/>
      </c>
      <c r="AQ852">
        <f>IFERROR(IF(AZ852&lt;($AM$11-$AL$11)/($AN$11-$AL$11),$AL$11+SQRT(AZ852*($AN$11-$AL$11)*($AM$11-$AL$11)),$AN$11-SQRT((1-AZ852)*($AN$11-$AL$11)*($AN$11-$AM$11))),$AM$11)</f>
        <v/>
      </c>
      <c r="AR852">
        <f>SUMPRODUCT((B24:B31&lt;=$B$6)*(C24:C31*AM852+D24:D31*AO852*$B$8*AQ852)/(1+AL852/100)^B24:B31)+C32*AM852*AP852/(1+AL852/100)^$B$6</f>
        <v/>
      </c>
      <c r="AS852">
        <f>SUMPRODUCT((K24:K26&lt;=$B$6)*(L24:L26*AN852+M24:M26*AO852*$B$8*AQ852)/(1+AL852/100)^K24:K26)+L27*AN852*AP852/(1+AL852/100)^$B$6</f>
        <v/>
      </c>
      <c r="AT852">
        <f>AS852-AR852</f>
        <v/>
      </c>
      <c r="AU852">
        <f>RAND()</f>
        <v/>
      </c>
      <c r="AV852">
        <f>RAND()</f>
        <v/>
      </c>
      <c r="AW852">
        <f>RAND()</f>
        <v/>
      </c>
      <c r="AX852">
        <f>RAND()</f>
        <v/>
      </c>
      <c r="AY852">
        <f>RAND()</f>
        <v/>
      </c>
      <c r="AZ852">
        <f>RAND()</f>
        <v/>
      </c>
    </row>
    <row r="853">
      <c r="AK853" t="n">
        <v>840</v>
      </c>
      <c r="AL853">
        <f>IFERROR(IF(AU853&lt;($AM$6-$AL$6)/($AN$6-$AL$6),$AL$6+SQRT(AU853*($AN$6-$AL$6)*($AM$6-$AL$6)),$AN$6-SQRT((1-AU853)*($AN$6-$AL$6)*($AN$6-$AM$6))),$AM$6)</f>
        <v/>
      </c>
      <c r="AM853">
        <f>IFERROR(IF(AV853&lt;($AM$7-$AL$7)/($AN$7-$AL$7),$AL$7+SQRT(AV853*($AN$7-$AL$7)*($AM$7-$AL$7)),$AN$7-SQRT((1-AV853)*($AN$7-$AL$7)*($AN$7-$AM$7))),$AM$7)</f>
        <v/>
      </c>
      <c r="AN853">
        <f>IFERROR(IF(AW853&lt;($AM$8-$AL$8)/($AN$8-$AL$8),$AL$8+SQRT(AW853*($AN$8-$AL$8)*($AM$8-$AL$8)),$AN$8-SQRT((1-AW853)*($AN$8-$AL$8)*($AN$8-$AM$8))),$AM$8)</f>
        <v/>
      </c>
      <c r="AO853">
        <f>IFERROR(IF(AX853&lt;($AM$9-$AL$9)/($AN$9-$AL$9),$AL$9+SQRT(AX853*($AN$9-$AL$9)*($AM$9-$AL$9)),$AN$9-SQRT((1-AX853)*($AN$9-$AL$9)*($AN$9-$AM$9))),$AM$9)</f>
        <v/>
      </c>
      <c r="AP853">
        <f>IFERROR(IF(AY853&lt;($AM$10-$AL$10)/($AN$10-$AL$10),$AL$10+SQRT(AY853*($AN$10-$AL$10)*($AM$10-$AL$10)),$AN$10-SQRT((1-AY853)*($AN$10-$AL$10)*($AN$10-$AM$10))),$AM$10)</f>
        <v/>
      </c>
      <c r="AQ853">
        <f>IFERROR(IF(AZ853&lt;($AM$11-$AL$11)/($AN$11-$AL$11),$AL$11+SQRT(AZ853*($AN$11-$AL$11)*($AM$11-$AL$11)),$AN$11-SQRT((1-AZ853)*($AN$11-$AL$11)*($AN$11-$AM$11))),$AM$11)</f>
        <v/>
      </c>
      <c r="AR853">
        <f>SUMPRODUCT((B24:B31&lt;=$B$6)*(C24:C31*AM853+D24:D31*AO853*$B$8*AQ853)/(1+AL853/100)^B24:B31)+C32*AM853*AP853/(1+AL853/100)^$B$6</f>
        <v/>
      </c>
      <c r="AS853">
        <f>SUMPRODUCT((K24:K26&lt;=$B$6)*(L24:L26*AN853+M24:M26*AO853*$B$8*AQ853)/(1+AL853/100)^K24:K26)+L27*AN853*AP853/(1+AL853/100)^$B$6</f>
        <v/>
      </c>
      <c r="AT853">
        <f>AS853-AR853</f>
        <v/>
      </c>
      <c r="AU853">
        <f>RAND()</f>
        <v/>
      </c>
      <c r="AV853">
        <f>RAND()</f>
        <v/>
      </c>
      <c r="AW853">
        <f>RAND()</f>
        <v/>
      </c>
      <c r="AX853">
        <f>RAND()</f>
        <v/>
      </c>
      <c r="AY853">
        <f>RAND()</f>
        <v/>
      </c>
      <c r="AZ853">
        <f>RAND()</f>
        <v/>
      </c>
    </row>
    <row r="854">
      <c r="AK854" t="n">
        <v>841</v>
      </c>
      <c r="AL854">
        <f>IFERROR(IF(AU854&lt;($AM$6-$AL$6)/($AN$6-$AL$6),$AL$6+SQRT(AU854*($AN$6-$AL$6)*($AM$6-$AL$6)),$AN$6-SQRT((1-AU854)*($AN$6-$AL$6)*($AN$6-$AM$6))),$AM$6)</f>
        <v/>
      </c>
      <c r="AM854">
        <f>IFERROR(IF(AV854&lt;($AM$7-$AL$7)/($AN$7-$AL$7),$AL$7+SQRT(AV854*($AN$7-$AL$7)*($AM$7-$AL$7)),$AN$7-SQRT((1-AV854)*($AN$7-$AL$7)*($AN$7-$AM$7))),$AM$7)</f>
        <v/>
      </c>
      <c r="AN854">
        <f>IFERROR(IF(AW854&lt;($AM$8-$AL$8)/($AN$8-$AL$8),$AL$8+SQRT(AW854*($AN$8-$AL$8)*($AM$8-$AL$8)),$AN$8-SQRT((1-AW854)*($AN$8-$AL$8)*($AN$8-$AM$8))),$AM$8)</f>
        <v/>
      </c>
      <c r="AO854">
        <f>IFERROR(IF(AX854&lt;($AM$9-$AL$9)/($AN$9-$AL$9),$AL$9+SQRT(AX854*($AN$9-$AL$9)*($AM$9-$AL$9)),$AN$9-SQRT((1-AX854)*($AN$9-$AL$9)*($AN$9-$AM$9))),$AM$9)</f>
        <v/>
      </c>
      <c r="AP854">
        <f>IFERROR(IF(AY854&lt;($AM$10-$AL$10)/($AN$10-$AL$10),$AL$10+SQRT(AY854*($AN$10-$AL$10)*($AM$10-$AL$10)),$AN$10-SQRT((1-AY854)*($AN$10-$AL$10)*($AN$10-$AM$10))),$AM$10)</f>
        <v/>
      </c>
      <c r="AQ854">
        <f>IFERROR(IF(AZ854&lt;($AM$11-$AL$11)/($AN$11-$AL$11),$AL$11+SQRT(AZ854*($AN$11-$AL$11)*($AM$11-$AL$11)),$AN$11-SQRT((1-AZ854)*($AN$11-$AL$11)*($AN$11-$AM$11))),$AM$11)</f>
        <v/>
      </c>
      <c r="AR854">
        <f>SUMPRODUCT((B24:B31&lt;=$B$6)*(C24:C31*AM854+D24:D31*AO854*$B$8*AQ854)/(1+AL854/100)^B24:B31)+C32*AM854*AP854/(1+AL854/100)^$B$6</f>
        <v/>
      </c>
      <c r="AS854">
        <f>SUMPRODUCT((K24:K26&lt;=$B$6)*(L24:L26*AN854+M24:M26*AO854*$B$8*AQ854)/(1+AL854/100)^K24:K26)+L27*AN854*AP854/(1+AL854/100)^$B$6</f>
        <v/>
      </c>
      <c r="AT854">
        <f>AS854-AR854</f>
        <v/>
      </c>
      <c r="AU854">
        <f>RAND()</f>
        <v/>
      </c>
      <c r="AV854">
        <f>RAND()</f>
        <v/>
      </c>
      <c r="AW854">
        <f>RAND()</f>
        <v/>
      </c>
      <c r="AX854">
        <f>RAND()</f>
        <v/>
      </c>
      <c r="AY854">
        <f>RAND()</f>
        <v/>
      </c>
      <c r="AZ854">
        <f>RAND()</f>
        <v/>
      </c>
    </row>
    <row r="855">
      <c r="AK855" t="n">
        <v>842</v>
      </c>
      <c r="AL855">
        <f>IFERROR(IF(AU855&lt;($AM$6-$AL$6)/($AN$6-$AL$6),$AL$6+SQRT(AU855*($AN$6-$AL$6)*($AM$6-$AL$6)),$AN$6-SQRT((1-AU855)*($AN$6-$AL$6)*($AN$6-$AM$6))),$AM$6)</f>
        <v/>
      </c>
      <c r="AM855">
        <f>IFERROR(IF(AV855&lt;($AM$7-$AL$7)/($AN$7-$AL$7),$AL$7+SQRT(AV855*($AN$7-$AL$7)*($AM$7-$AL$7)),$AN$7-SQRT((1-AV855)*($AN$7-$AL$7)*($AN$7-$AM$7))),$AM$7)</f>
        <v/>
      </c>
      <c r="AN855">
        <f>IFERROR(IF(AW855&lt;($AM$8-$AL$8)/($AN$8-$AL$8),$AL$8+SQRT(AW855*($AN$8-$AL$8)*($AM$8-$AL$8)),$AN$8-SQRT((1-AW855)*($AN$8-$AL$8)*($AN$8-$AM$8))),$AM$8)</f>
        <v/>
      </c>
      <c r="AO855">
        <f>IFERROR(IF(AX855&lt;($AM$9-$AL$9)/($AN$9-$AL$9),$AL$9+SQRT(AX855*($AN$9-$AL$9)*($AM$9-$AL$9)),$AN$9-SQRT((1-AX855)*($AN$9-$AL$9)*($AN$9-$AM$9))),$AM$9)</f>
        <v/>
      </c>
      <c r="AP855">
        <f>IFERROR(IF(AY855&lt;($AM$10-$AL$10)/($AN$10-$AL$10),$AL$10+SQRT(AY855*($AN$10-$AL$10)*($AM$10-$AL$10)),$AN$10-SQRT((1-AY855)*($AN$10-$AL$10)*($AN$10-$AM$10))),$AM$10)</f>
        <v/>
      </c>
      <c r="AQ855">
        <f>IFERROR(IF(AZ855&lt;($AM$11-$AL$11)/($AN$11-$AL$11),$AL$11+SQRT(AZ855*($AN$11-$AL$11)*($AM$11-$AL$11)),$AN$11-SQRT((1-AZ855)*($AN$11-$AL$11)*($AN$11-$AM$11))),$AM$11)</f>
        <v/>
      </c>
      <c r="AR855">
        <f>SUMPRODUCT((B24:B31&lt;=$B$6)*(C24:C31*AM855+D24:D31*AO855*$B$8*AQ855)/(1+AL855/100)^B24:B31)+C32*AM855*AP855/(1+AL855/100)^$B$6</f>
        <v/>
      </c>
      <c r="AS855">
        <f>SUMPRODUCT((K24:K26&lt;=$B$6)*(L24:L26*AN855+M24:M26*AO855*$B$8*AQ855)/(1+AL855/100)^K24:K26)+L27*AN855*AP855/(1+AL855/100)^$B$6</f>
        <v/>
      </c>
      <c r="AT855">
        <f>AS855-AR855</f>
        <v/>
      </c>
      <c r="AU855">
        <f>RAND()</f>
        <v/>
      </c>
      <c r="AV855">
        <f>RAND()</f>
        <v/>
      </c>
      <c r="AW855">
        <f>RAND()</f>
        <v/>
      </c>
      <c r="AX855">
        <f>RAND()</f>
        <v/>
      </c>
      <c r="AY855">
        <f>RAND()</f>
        <v/>
      </c>
      <c r="AZ855">
        <f>RAND()</f>
        <v/>
      </c>
    </row>
    <row r="856">
      <c r="AK856" t="n">
        <v>843</v>
      </c>
      <c r="AL856">
        <f>IFERROR(IF(AU856&lt;($AM$6-$AL$6)/($AN$6-$AL$6),$AL$6+SQRT(AU856*($AN$6-$AL$6)*($AM$6-$AL$6)),$AN$6-SQRT((1-AU856)*($AN$6-$AL$6)*($AN$6-$AM$6))),$AM$6)</f>
        <v/>
      </c>
      <c r="AM856">
        <f>IFERROR(IF(AV856&lt;($AM$7-$AL$7)/($AN$7-$AL$7),$AL$7+SQRT(AV856*($AN$7-$AL$7)*($AM$7-$AL$7)),$AN$7-SQRT((1-AV856)*($AN$7-$AL$7)*($AN$7-$AM$7))),$AM$7)</f>
        <v/>
      </c>
      <c r="AN856">
        <f>IFERROR(IF(AW856&lt;($AM$8-$AL$8)/($AN$8-$AL$8),$AL$8+SQRT(AW856*($AN$8-$AL$8)*($AM$8-$AL$8)),$AN$8-SQRT((1-AW856)*($AN$8-$AL$8)*($AN$8-$AM$8))),$AM$8)</f>
        <v/>
      </c>
      <c r="AO856">
        <f>IFERROR(IF(AX856&lt;($AM$9-$AL$9)/($AN$9-$AL$9),$AL$9+SQRT(AX856*($AN$9-$AL$9)*($AM$9-$AL$9)),$AN$9-SQRT((1-AX856)*($AN$9-$AL$9)*($AN$9-$AM$9))),$AM$9)</f>
        <v/>
      </c>
      <c r="AP856">
        <f>IFERROR(IF(AY856&lt;($AM$10-$AL$10)/($AN$10-$AL$10),$AL$10+SQRT(AY856*($AN$10-$AL$10)*($AM$10-$AL$10)),$AN$10-SQRT((1-AY856)*($AN$10-$AL$10)*($AN$10-$AM$10))),$AM$10)</f>
        <v/>
      </c>
      <c r="AQ856">
        <f>IFERROR(IF(AZ856&lt;($AM$11-$AL$11)/($AN$11-$AL$11),$AL$11+SQRT(AZ856*($AN$11-$AL$11)*($AM$11-$AL$11)),$AN$11-SQRT((1-AZ856)*($AN$11-$AL$11)*($AN$11-$AM$11))),$AM$11)</f>
        <v/>
      </c>
      <c r="AR856">
        <f>SUMPRODUCT((B24:B31&lt;=$B$6)*(C24:C31*AM856+D24:D31*AO856*$B$8*AQ856)/(1+AL856/100)^B24:B31)+C32*AM856*AP856/(1+AL856/100)^$B$6</f>
        <v/>
      </c>
      <c r="AS856">
        <f>SUMPRODUCT((K24:K26&lt;=$B$6)*(L24:L26*AN856+M24:M26*AO856*$B$8*AQ856)/(1+AL856/100)^K24:K26)+L27*AN856*AP856/(1+AL856/100)^$B$6</f>
        <v/>
      </c>
      <c r="AT856">
        <f>AS856-AR856</f>
        <v/>
      </c>
      <c r="AU856">
        <f>RAND()</f>
        <v/>
      </c>
      <c r="AV856">
        <f>RAND()</f>
        <v/>
      </c>
      <c r="AW856">
        <f>RAND()</f>
        <v/>
      </c>
      <c r="AX856">
        <f>RAND()</f>
        <v/>
      </c>
      <c r="AY856">
        <f>RAND()</f>
        <v/>
      </c>
      <c r="AZ856">
        <f>RAND()</f>
        <v/>
      </c>
    </row>
    <row r="857">
      <c r="AK857" t="n">
        <v>844</v>
      </c>
      <c r="AL857">
        <f>IFERROR(IF(AU857&lt;($AM$6-$AL$6)/($AN$6-$AL$6),$AL$6+SQRT(AU857*($AN$6-$AL$6)*($AM$6-$AL$6)),$AN$6-SQRT((1-AU857)*($AN$6-$AL$6)*($AN$6-$AM$6))),$AM$6)</f>
        <v/>
      </c>
      <c r="AM857">
        <f>IFERROR(IF(AV857&lt;($AM$7-$AL$7)/($AN$7-$AL$7),$AL$7+SQRT(AV857*($AN$7-$AL$7)*($AM$7-$AL$7)),$AN$7-SQRT((1-AV857)*($AN$7-$AL$7)*($AN$7-$AM$7))),$AM$7)</f>
        <v/>
      </c>
      <c r="AN857">
        <f>IFERROR(IF(AW857&lt;($AM$8-$AL$8)/($AN$8-$AL$8),$AL$8+SQRT(AW857*($AN$8-$AL$8)*($AM$8-$AL$8)),$AN$8-SQRT((1-AW857)*($AN$8-$AL$8)*($AN$8-$AM$8))),$AM$8)</f>
        <v/>
      </c>
      <c r="AO857">
        <f>IFERROR(IF(AX857&lt;($AM$9-$AL$9)/($AN$9-$AL$9),$AL$9+SQRT(AX857*($AN$9-$AL$9)*($AM$9-$AL$9)),$AN$9-SQRT((1-AX857)*($AN$9-$AL$9)*($AN$9-$AM$9))),$AM$9)</f>
        <v/>
      </c>
      <c r="AP857">
        <f>IFERROR(IF(AY857&lt;($AM$10-$AL$10)/($AN$10-$AL$10),$AL$10+SQRT(AY857*($AN$10-$AL$10)*($AM$10-$AL$10)),$AN$10-SQRT((1-AY857)*($AN$10-$AL$10)*($AN$10-$AM$10))),$AM$10)</f>
        <v/>
      </c>
      <c r="AQ857">
        <f>IFERROR(IF(AZ857&lt;($AM$11-$AL$11)/($AN$11-$AL$11),$AL$11+SQRT(AZ857*($AN$11-$AL$11)*($AM$11-$AL$11)),$AN$11-SQRT((1-AZ857)*($AN$11-$AL$11)*($AN$11-$AM$11))),$AM$11)</f>
        <v/>
      </c>
      <c r="AR857">
        <f>SUMPRODUCT((B24:B31&lt;=$B$6)*(C24:C31*AM857+D24:D31*AO857*$B$8*AQ857)/(1+AL857/100)^B24:B31)+C32*AM857*AP857/(1+AL857/100)^$B$6</f>
        <v/>
      </c>
      <c r="AS857">
        <f>SUMPRODUCT((K24:K26&lt;=$B$6)*(L24:L26*AN857+M24:M26*AO857*$B$8*AQ857)/(1+AL857/100)^K24:K26)+L27*AN857*AP857/(1+AL857/100)^$B$6</f>
        <v/>
      </c>
      <c r="AT857">
        <f>AS857-AR857</f>
        <v/>
      </c>
      <c r="AU857">
        <f>RAND()</f>
        <v/>
      </c>
      <c r="AV857">
        <f>RAND()</f>
        <v/>
      </c>
      <c r="AW857">
        <f>RAND()</f>
        <v/>
      </c>
      <c r="AX857">
        <f>RAND()</f>
        <v/>
      </c>
      <c r="AY857">
        <f>RAND()</f>
        <v/>
      </c>
      <c r="AZ857">
        <f>RAND()</f>
        <v/>
      </c>
    </row>
    <row r="858">
      <c r="AK858" t="n">
        <v>845</v>
      </c>
      <c r="AL858">
        <f>IFERROR(IF(AU858&lt;($AM$6-$AL$6)/($AN$6-$AL$6),$AL$6+SQRT(AU858*($AN$6-$AL$6)*($AM$6-$AL$6)),$AN$6-SQRT((1-AU858)*($AN$6-$AL$6)*($AN$6-$AM$6))),$AM$6)</f>
        <v/>
      </c>
      <c r="AM858">
        <f>IFERROR(IF(AV858&lt;($AM$7-$AL$7)/($AN$7-$AL$7),$AL$7+SQRT(AV858*($AN$7-$AL$7)*($AM$7-$AL$7)),$AN$7-SQRT((1-AV858)*($AN$7-$AL$7)*($AN$7-$AM$7))),$AM$7)</f>
        <v/>
      </c>
      <c r="AN858">
        <f>IFERROR(IF(AW858&lt;($AM$8-$AL$8)/($AN$8-$AL$8),$AL$8+SQRT(AW858*($AN$8-$AL$8)*($AM$8-$AL$8)),$AN$8-SQRT((1-AW858)*($AN$8-$AL$8)*($AN$8-$AM$8))),$AM$8)</f>
        <v/>
      </c>
      <c r="AO858">
        <f>IFERROR(IF(AX858&lt;($AM$9-$AL$9)/($AN$9-$AL$9),$AL$9+SQRT(AX858*($AN$9-$AL$9)*($AM$9-$AL$9)),$AN$9-SQRT((1-AX858)*($AN$9-$AL$9)*($AN$9-$AM$9))),$AM$9)</f>
        <v/>
      </c>
      <c r="AP858">
        <f>IFERROR(IF(AY858&lt;($AM$10-$AL$10)/($AN$10-$AL$10),$AL$10+SQRT(AY858*($AN$10-$AL$10)*($AM$10-$AL$10)),$AN$10-SQRT((1-AY858)*($AN$10-$AL$10)*($AN$10-$AM$10))),$AM$10)</f>
        <v/>
      </c>
      <c r="AQ858">
        <f>IFERROR(IF(AZ858&lt;($AM$11-$AL$11)/($AN$11-$AL$11),$AL$11+SQRT(AZ858*($AN$11-$AL$11)*($AM$11-$AL$11)),$AN$11-SQRT((1-AZ858)*($AN$11-$AL$11)*($AN$11-$AM$11))),$AM$11)</f>
        <v/>
      </c>
      <c r="AR858">
        <f>SUMPRODUCT((B24:B31&lt;=$B$6)*(C24:C31*AM858+D24:D31*AO858*$B$8*AQ858)/(1+AL858/100)^B24:B31)+C32*AM858*AP858/(1+AL858/100)^$B$6</f>
        <v/>
      </c>
      <c r="AS858">
        <f>SUMPRODUCT((K24:K26&lt;=$B$6)*(L24:L26*AN858+M24:M26*AO858*$B$8*AQ858)/(1+AL858/100)^K24:K26)+L27*AN858*AP858/(1+AL858/100)^$B$6</f>
        <v/>
      </c>
      <c r="AT858">
        <f>AS858-AR858</f>
        <v/>
      </c>
      <c r="AU858">
        <f>RAND()</f>
        <v/>
      </c>
      <c r="AV858">
        <f>RAND()</f>
        <v/>
      </c>
      <c r="AW858">
        <f>RAND()</f>
        <v/>
      </c>
      <c r="AX858">
        <f>RAND()</f>
        <v/>
      </c>
      <c r="AY858">
        <f>RAND()</f>
        <v/>
      </c>
      <c r="AZ858">
        <f>RAND()</f>
        <v/>
      </c>
    </row>
    <row r="859">
      <c r="AK859" t="n">
        <v>846</v>
      </c>
      <c r="AL859">
        <f>IFERROR(IF(AU859&lt;($AM$6-$AL$6)/($AN$6-$AL$6),$AL$6+SQRT(AU859*($AN$6-$AL$6)*($AM$6-$AL$6)),$AN$6-SQRT((1-AU859)*($AN$6-$AL$6)*($AN$6-$AM$6))),$AM$6)</f>
        <v/>
      </c>
      <c r="AM859">
        <f>IFERROR(IF(AV859&lt;($AM$7-$AL$7)/($AN$7-$AL$7),$AL$7+SQRT(AV859*($AN$7-$AL$7)*($AM$7-$AL$7)),$AN$7-SQRT((1-AV859)*($AN$7-$AL$7)*($AN$7-$AM$7))),$AM$7)</f>
        <v/>
      </c>
      <c r="AN859">
        <f>IFERROR(IF(AW859&lt;($AM$8-$AL$8)/($AN$8-$AL$8),$AL$8+SQRT(AW859*($AN$8-$AL$8)*($AM$8-$AL$8)),$AN$8-SQRT((1-AW859)*($AN$8-$AL$8)*($AN$8-$AM$8))),$AM$8)</f>
        <v/>
      </c>
      <c r="AO859">
        <f>IFERROR(IF(AX859&lt;($AM$9-$AL$9)/($AN$9-$AL$9),$AL$9+SQRT(AX859*($AN$9-$AL$9)*($AM$9-$AL$9)),$AN$9-SQRT((1-AX859)*($AN$9-$AL$9)*($AN$9-$AM$9))),$AM$9)</f>
        <v/>
      </c>
      <c r="AP859">
        <f>IFERROR(IF(AY859&lt;($AM$10-$AL$10)/($AN$10-$AL$10),$AL$10+SQRT(AY859*($AN$10-$AL$10)*($AM$10-$AL$10)),$AN$10-SQRT((1-AY859)*($AN$10-$AL$10)*($AN$10-$AM$10))),$AM$10)</f>
        <v/>
      </c>
      <c r="AQ859">
        <f>IFERROR(IF(AZ859&lt;($AM$11-$AL$11)/($AN$11-$AL$11),$AL$11+SQRT(AZ859*($AN$11-$AL$11)*($AM$11-$AL$11)),$AN$11-SQRT((1-AZ859)*($AN$11-$AL$11)*($AN$11-$AM$11))),$AM$11)</f>
        <v/>
      </c>
      <c r="AR859">
        <f>SUMPRODUCT((B24:B31&lt;=$B$6)*(C24:C31*AM859+D24:D31*AO859*$B$8*AQ859)/(1+AL859/100)^B24:B31)+C32*AM859*AP859/(1+AL859/100)^$B$6</f>
        <v/>
      </c>
      <c r="AS859">
        <f>SUMPRODUCT((K24:K26&lt;=$B$6)*(L24:L26*AN859+M24:M26*AO859*$B$8*AQ859)/(1+AL859/100)^K24:K26)+L27*AN859*AP859/(1+AL859/100)^$B$6</f>
        <v/>
      </c>
      <c r="AT859">
        <f>AS859-AR859</f>
        <v/>
      </c>
      <c r="AU859">
        <f>RAND()</f>
        <v/>
      </c>
      <c r="AV859">
        <f>RAND()</f>
        <v/>
      </c>
      <c r="AW859">
        <f>RAND()</f>
        <v/>
      </c>
      <c r="AX859">
        <f>RAND()</f>
        <v/>
      </c>
      <c r="AY859">
        <f>RAND()</f>
        <v/>
      </c>
      <c r="AZ859">
        <f>RAND()</f>
        <v/>
      </c>
    </row>
    <row r="860">
      <c r="AK860" t="n">
        <v>847</v>
      </c>
      <c r="AL860">
        <f>IFERROR(IF(AU860&lt;($AM$6-$AL$6)/($AN$6-$AL$6),$AL$6+SQRT(AU860*($AN$6-$AL$6)*($AM$6-$AL$6)),$AN$6-SQRT((1-AU860)*($AN$6-$AL$6)*($AN$6-$AM$6))),$AM$6)</f>
        <v/>
      </c>
      <c r="AM860">
        <f>IFERROR(IF(AV860&lt;($AM$7-$AL$7)/($AN$7-$AL$7),$AL$7+SQRT(AV860*($AN$7-$AL$7)*($AM$7-$AL$7)),$AN$7-SQRT((1-AV860)*($AN$7-$AL$7)*($AN$7-$AM$7))),$AM$7)</f>
        <v/>
      </c>
      <c r="AN860">
        <f>IFERROR(IF(AW860&lt;($AM$8-$AL$8)/($AN$8-$AL$8),$AL$8+SQRT(AW860*($AN$8-$AL$8)*($AM$8-$AL$8)),$AN$8-SQRT((1-AW860)*($AN$8-$AL$8)*($AN$8-$AM$8))),$AM$8)</f>
        <v/>
      </c>
      <c r="AO860">
        <f>IFERROR(IF(AX860&lt;($AM$9-$AL$9)/($AN$9-$AL$9),$AL$9+SQRT(AX860*($AN$9-$AL$9)*($AM$9-$AL$9)),$AN$9-SQRT((1-AX860)*($AN$9-$AL$9)*($AN$9-$AM$9))),$AM$9)</f>
        <v/>
      </c>
      <c r="AP860">
        <f>IFERROR(IF(AY860&lt;($AM$10-$AL$10)/($AN$10-$AL$10),$AL$10+SQRT(AY860*($AN$10-$AL$10)*($AM$10-$AL$10)),$AN$10-SQRT((1-AY860)*($AN$10-$AL$10)*($AN$10-$AM$10))),$AM$10)</f>
        <v/>
      </c>
      <c r="AQ860">
        <f>IFERROR(IF(AZ860&lt;($AM$11-$AL$11)/($AN$11-$AL$11),$AL$11+SQRT(AZ860*($AN$11-$AL$11)*($AM$11-$AL$11)),$AN$11-SQRT((1-AZ860)*($AN$11-$AL$11)*($AN$11-$AM$11))),$AM$11)</f>
        <v/>
      </c>
      <c r="AR860">
        <f>SUMPRODUCT((B24:B31&lt;=$B$6)*(C24:C31*AM860+D24:D31*AO860*$B$8*AQ860)/(1+AL860/100)^B24:B31)+C32*AM860*AP860/(1+AL860/100)^$B$6</f>
        <v/>
      </c>
      <c r="AS860">
        <f>SUMPRODUCT((K24:K26&lt;=$B$6)*(L24:L26*AN860+M24:M26*AO860*$B$8*AQ860)/(1+AL860/100)^K24:K26)+L27*AN860*AP860/(1+AL860/100)^$B$6</f>
        <v/>
      </c>
      <c r="AT860">
        <f>AS860-AR860</f>
        <v/>
      </c>
      <c r="AU860">
        <f>RAND()</f>
        <v/>
      </c>
      <c r="AV860">
        <f>RAND()</f>
        <v/>
      </c>
      <c r="AW860">
        <f>RAND()</f>
        <v/>
      </c>
      <c r="AX860">
        <f>RAND()</f>
        <v/>
      </c>
      <c r="AY860">
        <f>RAND()</f>
        <v/>
      </c>
      <c r="AZ860">
        <f>RAND()</f>
        <v/>
      </c>
    </row>
    <row r="861">
      <c r="AK861" t="n">
        <v>848</v>
      </c>
      <c r="AL861">
        <f>IFERROR(IF(AU861&lt;($AM$6-$AL$6)/($AN$6-$AL$6),$AL$6+SQRT(AU861*($AN$6-$AL$6)*($AM$6-$AL$6)),$AN$6-SQRT((1-AU861)*($AN$6-$AL$6)*($AN$6-$AM$6))),$AM$6)</f>
        <v/>
      </c>
      <c r="AM861">
        <f>IFERROR(IF(AV861&lt;($AM$7-$AL$7)/($AN$7-$AL$7),$AL$7+SQRT(AV861*($AN$7-$AL$7)*($AM$7-$AL$7)),$AN$7-SQRT((1-AV861)*($AN$7-$AL$7)*($AN$7-$AM$7))),$AM$7)</f>
        <v/>
      </c>
      <c r="AN861">
        <f>IFERROR(IF(AW861&lt;($AM$8-$AL$8)/($AN$8-$AL$8),$AL$8+SQRT(AW861*($AN$8-$AL$8)*($AM$8-$AL$8)),$AN$8-SQRT((1-AW861)*($AN$8-$AL$8)*($AN$8-$AM$8))),$AM$8)</f>
        <v/>
      </c>
      <c r="AO861">
        <f>IFERROR(IF(AX861&lt;($AM$9-$AL$9)/($AN$9-$AL$9),$AL$9+SQRT(AX861*($AN$9-$AL$9)*($AM$9-$AL$9)),$AN$9-SQRT((1-AX861)*($AN$9-$AL$9)*($AN$9-$AM$9))),$AM$9)</f>
        <v/>
      </c>
      <c r="AP861">
        <f>IFERROR(IF(AY861&lt;($AM$10-$AL$10)/($AN$10-$AL$10),$AL$10+SQRT(AY861*($AN$10-$AL$10)*($AM$10-$AL$10)),$AN$10-SQRT((1-AY861)*($AN$10-$AL$10)*($AN$10-$AM$10))),$AM$10)</f>
        <v/>
      </c>
      <c r="AQ861">
        <f>IFERROR(IF(AZ861&lt;($AM$11-$AL$11)/($AN$11-$AL$11),$AL$11+SQRT(AZ861*($AN$11-$AL$11)*($AM$11-$AL$11)),$AN$11-SQRT((1-AZ861)*($AN$11-$AL$11)*($AN$11-$AM$11))),$AM$11)</f>
        <v/>
      </c>
      <c r="AR861">
        <f>SUMPRODUCT((B24:B31&lt;=$B$6)*(C24:C31*AM861+D24:D31*AO861*$B$8*AQ861)/(1+AL861/100)^B24:B31)+C32*AM861*AP861/(1+AL861/100)^$B$6</f>
        <v/>
      </c>
      <c r="AS861">
        <f>SUMPRODUCT((K24:K26&lt;=$B$6)*(L24:L26*AN861+M24:M26*AO861*$B$8*AQ861)/(1+AL861/100)^K24:K26)+L27*AN861*AP861/(1+AL861/100)^$B$6</f>
        <v/>
      </c>
      <c r="AT861">
        <f>AS861-AR861</f>
        <v/>
      </c>
      <c r="AU861">
        <f>RAND()</f>
        <v/>
      </c>
      <c r="AV861">
        <f>RAND()</f>
        <v/>
      </c>
      <c r="AW861">
        <f>RAND()</f>
        <v/>
      </c>
      <c r="AX861">
        <f>RAND()</f>
        <v/>
      </c>
      <c r="AY861">
        <f>RAND()</f>
        <v/>
      </c>
      <c r="AZ861">
        <f>RAND()</f>
        <v/>
      </c>
    </row>
    <row r="862">
      <c r="AK862" t="n">
        <v>849</v>
      </c>
      <c r="AL862">
        <f>IFERROR(IF(AU862&lt;($AM$6-$AL$6)/($AN$6-$AL$6),$AL$6+SQRT(AU862*($AN$6-$AL$6)*($AM$6-$AL$6)),$AN$6-SQRT((1-AU862)*($AN$6-$AL$6)*($AN$6-$AM$6))),$AM$6)</f>
        <v/>
      </c>
      <c r="AM862">
        <f>IFERROR(IF(AV862&lt;($AM$7-$AL$7)/($AN$7-$AL$7),$AL$7+SQRT(AV862*($AN$7-$AL$7)*($AM$7-$AL$7)),$AN$7-SQRT((1-AV862)*($AN$7-$AL$7)*($AN$7-$AM$7))),$AM$7)</f>
        <v/>
      </c>
      <c r="AN862">
        <f>IFERROR(IF(AW862&lt;($AM$8-$AL$8)/($AN$8-$AL$8),$AL$8+SQRT(AW862*($AN$8-$AL$8)*($AM$8-$AL$8)),$AN$8-SQRT((1-AW862)*($AN$8-$AL$8)*($AN$8-$AM$8))),$AM$8)</f>
        <v/>
      </c>
      <c r="AO862">
        <f>IFERROR(IF(AX862&lt;($AM$9-$AL$9)/($AN$9-$AL$9),$AL$9+SQRT(AX862*($AN$9-$AL$9)*($AM$9-$AL$9)),$AN$9-SQRT((1-AX862)*($AN$9-$AL$9)*($AN$9-$AM$9))),$AM$9)</f>
        <v/>
      </c>
      <c r="AP862">
        <f>IFERROR(IF(AY862&lt;($AM$10-$AL$10)/($AN$10-$AL$10),$AL$10+SQRT(AY862*($AN$10-$AL$10)*($AM$10-$AL$10)),$AN$10-SQRT((1-AY862)*($AN$10-$AL$10)*($AN$10-$AM$10))),$AM$10)</f>
        <v/>
      </c>
      <c r="AQ862">
        <f>IFERROR(IF(AZ862&lt;($AM$11-$AL$11)/($AN$11-$AL$11),$AL$11+SQRT(AZ862*($AN$11-$AL$11)*($AM$11-$AL$11)),$AN$11-SQRT((1-AZ862)*($AN$11-$AL$11)*($AN$11-$AM$11))),$AM$11)</f>
        <v/>
      </c>
      <c r="AR862">
        <f>SUMPRODUCT((B24:B31&lt;=$B$6)*(C24:C31*AM862+D24:D31*AO862*$B$8*AQ862)/(1+AL862/100)^B24:B31)+C32*AM862*AP862/(1+AL862/100)^$B$6</f>
        <v/>
      </c>
      <c r="AS862">
        <f>SUMPRODUCT((K24:K26&lt;=$B$6)*(L24:L26*AN862+M24:M26*AO862*$B$8*AQ862)/(1+AL862/100)^K24:K26)+L27*AN862*AP862/(1+AL862/100)^$B$6</f>
        <v/>
      </c>
      <c r="AT862">
        <f>AS862-AR862</f>
        <v/>
      </c>
      <c r="AU862">
        <f>RAND()</f>
        <v/>
      </c>
      <c r="AV862">
        <f>RAND()</f>
        <v/>
      </c>
      <c r="AW862">
        <f>RAND()</f>
        <v/>
      </c>
      <c r="AX862">
        <f>RAND()</f>
        <v/>
      </c>
      <c r="AY862">
        <f>RAND()</f>
        <v/>
      </c>
      <c r="AZ862">
        <f>RAND()</f>
        <v/>
      </c>
    </row>
    <row r="863">
      <c r="AK863" t="n">
        <v>850</v>
      </c>
      <c r="AL863">
        <f>IFERROR(IF(AU863&lt;($AM$6-$AL$6)/($AN$6-$AL$6),$AL$6+SQRT(AU863*($AN$6-$AL$6)*($AM$6-$AL$6)),$AN$6-SQRT((1-AU863)*($AN$6-$AL$6)*($AN$6-$AM$6))),$AM$6)</f>
        <v/>
      </c>
      <c r="AM863">
        <f>IFERROR(IF(AV863&lt;($AM$7-$AL$7)/($AN$7-$AL$7),$AL$7+SQRT(AV863*($AN$7-$AL$7)*($AM$7-$AL$7)),$AN$7-SQRT((1-AV863)*($AN$7-$AL$7)*($AN$7-$AM$7))),$AM$7)</f>
        <v/>
      </c>
      <c r="AN863">
        <f>IFERROR(IF(AW863&lt;($AM$8-$AL$8)/($AN$8-$AL$8),$AL$8+SQRT(AW863*($AN$8-$AL$8)*($AM$8-$AL$8)),$AN$8-SQRT((1-AW863)*($AN$8-$AL$8)*($AN$8-$AM$8))),$AM$8)</f>
        <v/>
      </c>
      <c r="AO863">
        <f>IFERROR(IF(AX863&lt;($AM$9-$AL$9)/($AN$9-$AL$9),$AL$9+SQRT(AX863*($AN$9-$AL$9)*($AM$9-$AL$9)),$AN$9-SQRT((1-AX863)*($AN$9-$AL$9)*($AN$9-$AM$9))),$AM$9)</f>
        <v/>
      </c>
      <c r="AP863">
        <f>IFERROR(IF(AY863&lt;($AM$10-$AL$10)/($AN$10-$AL$10),$AL$10+SQRT(AY863*($AN$10-$AL$10)*($AM$10-$AL$10)),$AN$10-SQRT((1-AY863)*($AN$10-$AL$10)*($AN$10-$AM$10))),$AM$10)</f>
        <v/>
      </c>
      <c r="AQ863">
        <f>IFERROR(IF(AZ863&lt;($AM$11-$AL$11)/($AN$11-$AL$11),$AL$11+SQRT(AZ863*($AN$11-$AL$11)*($AM$11-$AL$11)),$AN$11-SQRT((1-AZ863)*($AN$11-$AL$11)*($AN$11-$AM$11))),$AM$11)</f>
        <v/>
      </c>
      <c r="AR863">
        <f>SUMPRODUCT((B24:B31&lt;=$B$6)*(C24:C31*AM863+D24:D31*AO863*$B$8*AQ863)/(1+AL863/100)^B24:B31)+C32*AM863*AP863/(1+AL863/100)^$B$6</f>
        <v/>
      </c>
      <c r="AS863">
        <f>SUMPRODUCT((K24:K26&lt;=$B$6)*(L24:L26*AN863+M24:M26*AO863*$B$8*AQ863)/(1+AL863/100)^K24:K26)+L27*AN863*AP863/(1+AL863/100)^$B$6</f>
        <v/>
      </c>
      <c r="AT863">
        <f>AS863-AR863</f>
        <v/>
      </c>
      <c r="AU863">
        <f>RAND()</f>
        <v/>
      </c>
      <c r="AV863">
        <f>RAND()</f>
        <v/>
      </c>
      <c r="AW863">
        <f>RAND()</f>
        <v/>
      </c>
      <c r="AX863">
        <f>RAND()</f>
        <v/>
      </c>
      <c r="AY863">
        <f>RAND()</f>
        <v/>
      </c>
      <c r="AZ863">
        <f>RAND()</f>
        <v/>
      </c>
    </row>
    <row r="864">
      <c r="AK864" t="n">
        <v>851</v>
      </c>
      <c r="AL864">
        <f>IFERROR(IF(AU864&lt;($AM$6-$AL$6)/($AN$6-$AL$6),$AL$6+SQRT(AU864*($AN$6-$AL$6)*($AM$6-$AL$6)),$AN$6-SQRT((1-AU864)*($AN$6-$AL$6)*($AN$6-$AM$6))),$AM$6)</f>
        <v/>
      </c>
      <c r="AM864">
        <f>IFERROR(IF(AV864&lt;($AM$7-$AL$7)/($AN$7-$AL$7),$AL$7+SQRT(AV864*($AN$7-$AL$7)*($AM$7-$AL$7)),$AN$7-SQRT((1-AV864)*($AN$7-$AL$7)*($AN$7-$AM$7))),$AM$7)</f>
        <v/>
      </c>
      <c r="AN864">
        <f>IFERROR(IF(AW864&lt;($AM$8-$AL$8)/($AN$8-$AL$8),$AL$8+SQRT(AW864*($AN$8-$AL$8)*($AM$8-$AL$8)),$AN$8-SQRT((1-AW864)*($AN$8-$AL$8)*($AN$8-$AM$8))),$AM$8)</f>
        <v/>
      </c>
      <c r="AO864">
        <f>IFERROR(IF(AX864&lt;($AM$9-$AL$9)/($AN$9-$AL$9),$AL$9+SQRT(AX864*($AN$9-$AL$9)*($AM$9-$AL$9)),$AN$9-SQRT((1-AX864)*($AN$9-$AL$9)*($AN$9-$AM$9))),$AM$9)</f>
        <v/>
      </c>
      <c r="AP864">
        <f>IFERROR(IF(AY864&lt;($AM$10-$AL$10)/($AN$10-$AL$10),$AL$10+SQRT(AY864*($AN$10-$AL$10)*($AM$10-$AL$10)),$AN$10-SQRT((1-AY864)*($AN$10-$AL$10)*($AN$10-$AM$10))),$AM$10)</f>
        <v/>
      </c>
      <c r="AQ864">
        <f>IFERROR(IF(AZ864&lt;($AM$11-$AL$11)/($AN$11-$AL$11),$AL$11+SQRT(AZ864*($AN$11-$AL$11)*($AM$11-$AL$11)),$AN$11-SQRT((1-AZ864)*($AN$11-$AL$11)*($AN$11-$AM$11))),$AM$11)</f>
        <v/>
      </c>
      <c r="AR864">
        <f>SUMPRODUCT((B24:B31&lt;=$B$6)*(C24:C31*AM864+D24:D31*AO864*$B$8*AQ864)/(1+AL864/100)^B24:B31)+C32*AM864*AP864/(1+AL864/100)^$B$6</f>
        <v/>
      </c>
      <c r="AS864">
        <f>SUMPRODUCT((K24:K26&lt;=$B$6)*(L24:L26*AN864+M24:M26*AO864*$B$8*AQ864)/(1+AL864/100)^K24:K26)+L27*AN864*AP864/(1+AL864/100)^$B$6</f>
        <v/>
      </c>
      <c r="AT864">
        <f>AS864-AR864</f>
        <v/>
      </c>
      <c r="AU864">
        <f>RAND()</f>
        <v/>
      </c>
      <c r="AV864">
        <f>RAND()</f>
        <v/>
      </c>
      <c r="AW864">
        <f>RAND()</f>
        <v/>
      </c>
      <c r="AX864">
        <f>RAND()</f>
        <v/>
      </c>
      <c r="AY864">
        <f>RAND()</f>
        <v/>
      </c>
      <c r="AZ864">
        <f>RAND()</f>
        <v/>
      </c>
    </row>
    <row r="865">
      <c r="AK865" t="n">
        <v>852</v>
      </c>
      <c r="AL865">
        <f>IFERROR(IF(AU865&lt;($AM$6-$AL$6)/($AN$6-$AL$6),$AL$6+SQRT(AU865*($AN$6-$AL$6)*($AM$6-$AL$6)),$AN$6-SQRT((1-AU865)*($AN$6-$AL$6)*($AN$6-$AM$6))),$AM$6)</f>
        <v/>
      </c>
      <c r="AM865">
        <f>IFERROR(IF(AV865&lt;($AM$7-$AL$7)/($AN$7-$AL$7),$AL$7+SQRT(AV865*($AN$7-$AL$7)*($AM$7-$AL$7)),$AN$7-SQRT((1-AV865)*($AN$7-$AL$7)*($AN$7-$AM$7))),$AM$7)</f>
        <v/>
      </c>
      <c r="AN865">
        <f>IFERROR(IF(AW865&lt;($AM$8-$AL$8)/($AN$8-$AL$8),$AL$8+SQRT(AW865*($AN$8-$AL$8)*($AM$8-$AL$8)),$AN$8-SQRT((1-AW865)*($AN$8-$AL$8)*($AN$8-$AM$8))),$AM$8)</f>
        <v/>
      </c>
      <c r="AO865">
        <f>IFERROR(IF(AX865&lt;($AM$9-$AL$9)/($AN$9-$AL$9),$AL$9+SQRT(AX865*($AN$9-$AL$9)*($AM$9-$AL$9)),$AN$9-SQRT((1-AX865)*($AN$9-$AL$9)*($AN$9-$AM$9))),$AM$9)</f>
        <v/>
      </c>
      <c r="AP865">
        <f>IFERROR(IF(AY865&lt;($AM$10-$AL$10)/($AN$10-$AL$10),$AL$10+SQRT(AY865*($AN$10-$AL$10)*($AM$10-$AL$10)),$AN$10-SQRT((1-AY865)*($AN$10-$AL$10)*($AN$10-$AM$10))),$AM$10)</f>
        <v/>
      </c>
      <c r="AQ865">
        <f>IFERROR(IF(AZ865&lt;($AM$11-$AL$11)/($AN$11-$AL$11),$AL$11+SQRT(AZ865*($AN$11-$AL$11)*($AM$11-$AL$11)),$AN$11-SQRT((1-AZ865)*($AN$11-$AL$11)*($AN$11-$AM$11))),$AM$11)</f>
        <v/>
      </c>
      <c r="AR865">
        <f>SUMPRODUCT((B24:B31&lt;=$B$6)*(C24:C31*AM865+D24:D31*AO865*$B$8*AQ865)/(1+AL865/100)^B24:B31)+C32*AM865*AP865/(1+AL865/100)^$B$6</f>
        <v/>
      </c>
      <c r="AS865">
        <f>SUMPRODUCT((K24:K26&lt;=$B$6)*(L24:L26*AN865+M24:M26*AO865*$B$8*AQ865)/(1+AL865/100)^K24:K26)+L27*AN865*AP865/(1+AL865/100)^$B$6</f>
        <v/>
      </c>
      <c r="AT865">
        <f>AS865-AR865</f>
        <v/>
      </c>
      <c r="AU865">
        <f>RAND()</f>
        <v/>
      </c>
      <c r="AV865">
        <f>RAND()</f>
        <v/>
      </c>
      <c r="AW865">
        <f>RAND()</f>
        <v/>
      </c>
      <c r="AX865">
        <f>RAND()</f>
        <v/>
      </c>
      <c r="AY865">
        <f>RAND()</f>
        <v/>
      </c>
      <c r="AZ865">
        <f>RAND()</f>
        <v/>
      </c>
    </row>
    <row r="866">
      <c r="AK866" t="n">
        <v>853</v>
      </c>
      <c r="AL866">
        <f>IFERROR(IF(AU866&lt;($AM$6-$AL$6)/($AN$6-$AL$6),$AL$6+SQRT(AU866*($AN$6-$AL$6)*($AM$6-$AL$6)),$AN$6-SQRT((1-AU866)*($AN$6-$AL$6)*($AN$6-$AM$6))),$AM$6)</f>
        <v/>
      </c>
      <c r="AM866">
        <f>IFERROR(IF(AV866&lt;($AM$7-$AL$7)/($AN$7-$AL$7),$AL$7+SQRT(AV866*($AN$7-$AL$7)*($AM$7-$AL$7)),$AN$7-SQRT((1-AV866)*($AN$7-$AL$7)*($AN$7-$AM$7))),$AM$7)</f>
        <v/>
      </c>
      <c r="AN866">
        <f>IFERROR(IF(AW866&lt;($AM$8-$AL$8)/($AN$8-$AL$8),$AL$8+SQRT(AW866*($AN$8-$AL$8)*($AM$8-$AL$8)),$AN$8-SQRT((1-AW866)*($AN$8-$AL$8)*($AN$8-$AM$8))),$AM$8)</f>
        <v/>
      </c>
      <c r="AO866">
        <f>IFERROR(IF(AX866&lt;($AM$9-$AL$9)/($AN$9-$AL$9),$AL$9+SQRT(AX866*($AN$9-$AL$9)*($AM$9-$AL$9)),$AN$9-SQRT((1-AX866)*($AN$9-$AL$9)*($AN$9-$AM$9))),$AM$9)</f>
        <v/>
      </c>
      <c r="AP866">
        <f>IFERROR(IF(AY866&lt;($AM$10-$AL$10)/($AN$10-$AL$10),$AL$10+SQRT(AY866*($AN$10-$AL$10)*($AM$10-$AL$10)),$AN$10-SQRT((1-AY866)*($AN$10-$AL$10)*($AN$10-$AM$10))),$AM$10)</f>
        <v/>
      </c>
      <c r="AQ866">
        <f>IFERROR(IF(AZ866&lt;($AM$11-$AL$11)/($AN$11-$AL$11),$AL$11+SQRT(AZ866*($AN$11-$AL$11)*($AM$11-$AL$11)),$AN$11-SQRT((1-AZ866)*($AN$11-$AL$11)*($AN$11-$AM$11))),$AM$11)</f>
        <v/>
      </c>
      <c r="AR866">
        <f>SUMPRODUCT((B24:B31&lt;=$B$6)*(C24:C31*AM866+D24:D31*AO866*$B$8*AQ866)/(1+AL866/100)^B24:B31)+C32*AM866*AP866/(1+AL866/100)^$B$6</f>
        <v/>
      </c>
      <c r="AS866">
        <f>SUMPRODUCT((K24:K26&lt;=$B$6)*(L24:L26*AN866+M24:M26*AO866*$B$8*AQ866)/(1+AL866/100)^K24:K26)+L27*AN866*AP866/(1+AL866/100)^$B$6</f>
        <v/>
      </c>
      <c r="AT866">
        <f>AS866-AR866</f>
        <v/>
      </c>
      <c r="AU866">
        <f>RAND()</f>
        <v/>
      </c>
      <c r="AV866">
        <f>RAND()</f>
        <v/>
      </c>
      <c r="AW866">
        <f>RAND()</f>
        <v/>
      </c>
      <c r="AX866">
        <f>RAND()</f>
        <v/>
      </c>
      <c r="AY866">
        <f>RAND()</f>
        <v/>
      </c>
      <c r="AZ866">
        <f>RAND()</f>
        <v/>
      </c>
    </row>
    <row r="867">
      <c r="AK867" t="n">
        <v>854</v>
      </c>
      <c r="AL867">
        <f>IFERROR(IF(AU867&lt;($AM$6-$AL$6)/($AN$6-$AL$6),$AL$6+SQRT(AU867*($AN$6-$AL$6)*($AM$6-$AL$6)),$AN$6-SQRT((1-AU867)*($AN$6-$AL$6)*($AN$6-$AM$6))),$AM$6)</f>
        <v/>
      </c>
      <c r="AM867">
        <f>IFERROR(IF(AV867&lt;($AM$7-$AL$7)/($AN$7-$AL$7),$AL$7+SQRT(AV867*($AN$7-$AL$7)*($AM$7-$AL$7)),$AN$7-SQRT((1-AV867)*($AN$7-$AL$7)*($AN$7-$AM$7))),$AM$7)</f>
        <v/>
      </c>
      <c r="AN867">
        <f>IFERROR(IF(AW867&lt;($AM$8-$AL$8)/($AN$8-$AL$8),$AL$8+SQRT(AW867*($AN$8-$AL$8)*($AM$8-$AL$8)),$AN$8-SQRT((1-AW867)*($AN$8-$AL$8)*($AN$8-$AM$8))),$AM$8)</f>
        <v/>
      </c>
      <c r="AO867">
        <f>IFERROR(IF(AX867&lt;($AM$9-$AL$9)/($AN$9-$AL$9),$AL$9+SQRT(AX867*($AN$9-$AL$9)*($AM$9-$AL$9)),$AN$9-SQRT((1-AX867)*($AN$9-$AL$9)*($AN$9-$AM$9))),$AM$9)</f>
        <v/>
      </c>
      <c r="AP867">
        <f>IFERROR(IF(AY867&lt;($AM$10-$AL$10)/($AN$10-$AL$10),$AL$10+SQRT(AY867*($AN$10-$AL$10)*($AM$10-$AL$10)),$AN$10-SQRT((1-AY867)*($AN$10-$AL$10)*($AN$10-$AM$10))),$AM$10)</f>
        <v/>
      </c>
      <c r="AQ867">
        <f>IFERROR(IF(AZ867&lt;($AM$11-$AL$11)/($AN$11-$AL$11),$AL$11+SQRT(AZ867*($AN$11-$AL$11)*($AM$11-$AL$11)),$AN$11-SQRT((1-AZ867)*($AN$11-$AL$11)*($AN$11-$AM$11))),$AM$11)</f>
        <v/>
      </c>
      <c r="AR867">
        <f>SUMPRODUCT((B24:B31&lt;=$B$6)*(C24:C31*AM867+D24:D31*AO867*$B$8*AQ867)/(1+AL867/100)^B24:B31)+C32*AM867*AP867/(1+AL867/100)^$B$6</f>
        <v/>
      </c>
      <c r="AS867">
        <f>SUMPRODUCT((K24:K26&lt;=$B$6)*(L24:L26*AN867+M24:M26*AO867*$B$8*AQ867)/(1+AL867/100)^K24:K26)+L27*AN867*AP867/(1+AL867/100)^$B$6</f>
        <v/>
      </c>
      <c r="AT867">
        <f>AS867-AR867</f>
        <v/>
      </c>
      <c r="AU867">
        <f>RAND()</f>
        <v/>
      </c>
      <c r="AV867">
        <f>RAND()</f>
        <v/>
      </c>
      <c r="AW867">
        <f>RAND()</f>
        <v/>
      </c>
      <c r="AX867">
        <f>RAND()</f>
        <v/>
      </c>
      <c r="AY867">
        <f>RAND()</f>
        <v/>
      </c>
      <c r="AZ867">
        <f>RAND()</f>
        <v/>
      </c>
    </row>
    <row r="868">
      <c r="AK868" t="n">
        <v>855</v>
      </c>
      <c r="AL868">
        <f>IFERROR(IF(AU868&lt;($AM$6-$AL$6)/($AN$6-$AL$6),$AL$6+SQRT(AU868*($AN$6-$AL$6)*($AM$6-$AL$6)),$AN$6-SQRT((1-AU868)*($AN$6-$AL$6)*($AN$6-$AM$6))),$AM$6)</f>
        <v/>
      </c>
      <c r="AM868">
        <f>IFERROR(IF(AV868&lt;($AM$7-$AL$7)/($AN$7-$AL$7),$AL$7+SQRT(AV868*($AN$7-$AL$7)*($AM$7-$AL$7)),$AN$7-SQRT((1-AV868)*($AN$7-$AL$7)*($AN$7-$AM$7))),$AM$7)</f>
        <v/>
      </c>
      <c r="AN868">
        <f>IFERROR(IF(AW868&lt;($AM$8-$AL$8)/($AN$8-$AL$8),$AL$8+SQRT(AW868*($AN$8-$AL$8)*($AM$8-$AL$8)),$AN$8-SQRT((1-AW868)*($AN$8-$AL$8)*($AN$8-$AM$8))),$AM$8)</f>
        <v/>
      </c>
      <c r="AO868">
        <f>IFERROR(IF(AX868&lt;($AM$9-$AL$9)/($AN$9-$AL$9),$AL$9+SQRT(AX868*($AN$9-$AL$9)*($AM$9-$AL$9)),$AN$9-SQRT((1-AX868)*($AN$9-$AL$9)*($AN$9-$AM$9))),$AM$9)</f>
        <v/>
      </c>
      <c r="AP868">
        <f>IFERROR(IF(AY868&lt;($AM$10-$AL$10)/($AN$10-$AL$10),$AL$10+SQRT(AY868*($AN$10-$AL$10)*($AM$10-$AL$10)),$AN$10-SQRT((1-AY868)*($AN$10-$AL$10)*($AN$10-$AM$10))),$AM$10)</f>
        <v/>
      </c>
      <c r="AQ868">
        <f>IFERROR(IF(AZ868&lt;($AM$11-$AL$11)/($AN$11-$AL$11),$AL$11+SQRT(AZ868*($AN$11-$AL$11)*($AM$11-$AL$11)),$AN$11-SQRT((1-AZ868)*($AN$11-$AL$11)*($AN$11-$AM$11))),$AM$11)</f>
        <v/>
      </c>
      <c r="AR868">
        <f>SUMPRODUCT((B24:B31&lt;=$B$6)*(C24:C31*AM868+D24:D31*AO868*$B$8*AQ868)/(1+AL868/100)^B24:B31)+C32*AM868*AP868/(1+AL868/100)^$B$6</f>
        <v/>
      </c>
      <c r="AS868">
        <f>SUMPRODUCT((K24:K26&lt;=$B$6)*(L24:L26*AN868+M24:M26*AO868*$B$8*AQ868)/(1+AL868/100)^K24:K26)+L27*AN868*AP868/(1+AL868/100)^$B$6</f>
        <v/>
      </c>
      <c r="AT868">
        <f>AS868-AR868</f>
        <v/>
      </c>
      <c r="AU868">
        <f>RAND()</f>
        <v/>
      </c>
      <c r="AV868">
        <f>RAND()</f>
        <v/>
      </c>
      <c r="AW868">
        <f>RAND()</f>
        <v/>
      </c>
      <c r="AX868">
        <f>RAND()</f>
        <v/>
      </c>
      <c r="AY868">
        <f>RAND()</f>
        <v/>
      </c>
      <c r="AZ868">
        <f>RAND()</f>
        <v/>
      </c>
    </row>
    <row r="869">
      <c r="AK869" t="n">
        <v>856</v>
      </c>
      <c r="AL869">
        <f>IFERROR(IF(AU869&lt;($AM$6-$AL$6)/($AN$6-$AL$6),$AL$6+SQRT(AU869*($AN$6-$AL$6)*($AM$6-$AL$6)),$AN$6-SQRT((1-AU869)*($AN$6-$AL$6)*($AN$6-$AM$6))),$AM$6)</f>
        <v/>
      </c>
      <c r="AM869">
        <f>IFERROR(IF(AV869&lt;($AM$7-$AL$7)/($AN$7-$AL$7),$AL$7+SQRT(AV869*($AN$7-$AL$7)*($AM$7-$AL$7)),$AN$7-SQRT((1-AV869)*($AN$7-$AL$7)*($AN$7-$AM$7))),$AM$7)</f>
        <v/>
      </c>
      <c r="AN869">
        <f>IFERROR(IF(AW869&lt;($AM$8-$AL$8)/($AN$8-$AL$8),$AL$8+SQRT(AW869*($AN$8-$AL$8)*($AM$8-$AL$8)),$AN$8-SQRT((1-AW869)*($AN$8-$AL$8)*($AN$8-$AM$8))),$AM$8)</f>
        <v/>
      </c>
      <c r="AO869">
        <f>IFERROR(IF(AX869&lt;($AM$9-$AL$9)/($AN$9-$AL$9),$AL$9+SQRT(AX869*($AN$9-$AL$9)*($AM$9-$AL$9)),$AN$9-SQRT((1-AX869)*($AN$9-$AL$9)*($AN$9-$AM$9))),$AM$9)</f>
        <v/>
      </c>
      <c r="AP869">
        <f>IFERROR(IF(AY869&lt;($AM$10-$AL$10)/($AN$10-$AL$10),$AL$10+SQRT(AY869*($AN$10-$AL$10)*($AM$10-$AL$10)),$AN$10-SQRT((1-AY869)*($AN$10-$AL$10)*($AN$10-$AM$10))),$AM$10)</f>
        <v/>
      </c>
      <c r="AQ869">
        <f>IFERROR(IF(AZ869&lt;($AM$11-$AL$11)/($AN$11-$AL$11),$AL$11+SQRT(AZ869*($AN$11-$AL$11)*($AM$11-$AL$11)),$AN$11-SQRT((1-AZ869)*($AN$11-$AL$11)*($AN$11-$AM$11))),$AM$11)</f>
        <v/>
      </c>
      <c r="AR869">
        <f>SUMPRODUCT((B24:B31&lt;=$B$6)*(C24:C31*AM869+D24:D31*AO869*$B$8*AQ869)/(1+AL869/100)^B24:B31)+C32*AM869*AP869/(1+AL869/100)^$B$6</f>
        <v/>
      </c>
      <c r="AS869">
        <f>SUMPRODUCT((K24:K26&lt;=$B$6)*(L24:L26*AN869+M24:M26*AO869*$B$8*AQ869)/(1+AL869/100)^K24:K26)+L27*AN869*AP869/(1+AL869/100)^$B$6</f>
        <v/>
      </c>
      <c r="AT869">
        <f>AS869-AR869</f>
        <v/>
      </c>
      <c r="AU869">
        <f>RAND()</f>
        <v/>
      </c>
      <c r="AV869">
        <f>RAND()</f>
        <v/>
      </c>
      <c r="AW869">
        <f>RAND()</f>
        <v/>
      </c>
      <c r="AX869">
        <f>RAND()</f>
        <v/>
      </c>
      <c r="AY869">
        <f>RAND()</f>
        <v/>
      </c>
      <c r="AZ869">
        <f>RAND()</f>
        <v/>
      </c>
    </row>
    <row r="870">
      <c r="AK870" t="n">
        <v>857</v>
      </c>
      <c r="AL870">
        <f>IFERROR(IF(AU870&lt;($AM$6-$AL$6)/($AN$6-$AL$6),$AL$6+SQRT(AU870*($AN$6-$AL$6)*($AM$6-$AL$6)),$AN$6-SQRT((1-AU870)*($AN$6-$AL$6)*($AN$6-$AM$6))),$AM$6)</f>
        <v/>
      </c>
      <c r="AM870">
        <f>IFERROR(IF(AV870&lt;($AM$7-$AL$7)/($AN$7-$AL$7),$AL$7+SQRT(AV870*($AN$7-$AL$7)*($AM$7-$AL$7)),$AN$7-SQRT((1-AV870)*($AN$7-$AL$7)*($AN$7-$AM$7))),$AM$7)</f>
        <v/>
      </c>
      <c r="AN870">
        <f>IFERROR(IF(AW870&lt;($AM$8-$AL$8)/($AN$8-$AL$8),$AL$8+SQRT(AW870*($AN$8-$AL$8)*($AM$8-$AL$8)),$AN$8-SQRT((1-AW870)*($AN$8-$AL$8)*($AN$8-$AM$8))),$AM$8)</f>
        <v/>
      </c>
      <c r="AO870">
        <f>IFERROR(IF(AX870&lt;($AM$9-$AL$9)/($AN$9-$AL$9),$AL$9+SQRT(AX870*($AN$9-$AL$9)*($AM$9-$AL$9)),$AN$9-SQRT((1-AX870)*($AN$9-$AL$9)*($AN$9-$AM$9))),$AM$9)</f>
        <v/>
      </c>
      <c r="AP870">
        <f>IFERROR(IF(AY870&lt;($AM$10-$AL$10)/($AN$10-$AL$10),$AL$10+SQRT(AY870*($AN$10-$AL$10)*($AM$10-$AL$10)),$AN$10-SQRT((1-AY870)*($AN$10-$AL$10)*($AN$10-$AM$10))),$AM$10)</f>
        <v/>
      </c>
      <c r="AQ870">
        <f>IFERROR(IF(AZ870&lt;($AM$11-$AL$11)/($AN$11-$AL$11),$AL$11+SQRT(AZ870*($AN$11-$AL$11)*($AM$11-$AL$11)),$AN$11-SQRT((1-AZ870)*($AN$11-$AL$11)*($AN$11-$AM$11))),$AM$11)</f>
        <v/>
      </c>
      <c r="AR870">
        <f>SUMPRODUCT((B24:B31&lt;=$B$6)*(C24:C31*AM870+D24:D31*AO870*$B$8*AQ870)/(1+AL870/100)^B24:B31)+C32*AM870*AP870/(1+AL870/100)^$B$6</f>
        <v/>
      </c>
      <c r="AS870">
        <f>SUMPRODUCT((K24:K26&lt;=$B$6)*(L24:L26*AN870+M24:M26*AO870*$B$8*AQ870)/(1+AL870/100)^K24:K26)+L27*AN870*AP870/(1+AL870/100)^$B$6</f>
        <v/>
      </c>
      <c r="AT870">
        <f>AS870-AR870</f>
        <v/>
      </c>
      <c r="AU870">
        <f>RAND()</f>
        <v/>
      </c>
      <c r="AV870">
        <f>RAND()</f>
        <v/>
      </c>
      <c r="AW870">
        <f>RAND()</f>
        <v/>
      </c>
      <c r="AX870">
        <f>RAND()</f>
        <v/>
      </c>
      <c r="AY870">
        <f>RAND()</f>
        <v/>
      </c>
      <c r="AZ870">
        <f>RAND()</f>
        <v/>
      </c>
    </row>
    <row r="871">
      <c r="AK871" t="n">
        <v>858</v>
      </c>
      <c r="AL871">
        <f>IFERROR(IF(AU871&lt;($AM$6-$AL$6)/($AN$6-$AL$6),$AL$6+SQRT(AU871*($AN$6-$AL$6)*($AM$6-$AL$6)),$AN$6-SQRT((1-AU871)*($AN$6-$AL$6)*($AN$6-$AM$6))),$AM$6)</f>
        <v/>
      </c>
      <c r="AM871">
        <f>IFERROR(IF(AV871&lt;($AM$7-$AL$7)/($AN$7-$AL$7),$AL$7+SQRT(AV871*($AN$7-$AL$7)*($AM$7-$AL$7)),$AN$7-SQRT((1-AV871)*($AN$7-$AL$7)*($AN$7-$AM$7))),$AM$7)</f>
        <v/>
      </c>
      <c r="AN871">
        <f>IFERROR(IF(AW871&lt;($AM$8-$AL$8)/($AN$8-$AL$8),$AL$8+SQRT(AW871*($AN$8-$AL$8)*($AM$8-$AL$8)),$AN$8-SQRT((1-AW871)*($AN$8-$AL$8)*($AN$8-$AM$8))),$AM$8)</f>
        <v/>
      </c>
      <c r="AO871">
        <f>IFERROR(IF(AX871&lt;($AM$9-$AL$9)/($AN$9-$AL$9),$AL$9+SQRT(AX871*($AN$9-$AL$9)*($AM$9-$AL$9)),$AN$9-SQRT((1-AX871)*($AN$9-$AL$9)*($AN$9-$AM$9))),$AM$9)</f>
        <v/>
      </c>
      <c r="AP871">
        <f>IFERROR(IF(AY871&lt;($AM$10-$AL$10)/($AN$10-$AL$10),$AL$10+SQRT(AY871*($AN$10-$AL$10)*($AM$10-$AL$10)),$AN$10-SQRT((1-AY871)*($AN$10-$AL$10)*($AN$10-$AM$10))),$AM$10)</f>
        <v/>
      </c>
      <c r="AQ871">
        <f>IFERROR(IF(AZ871&lt;($AM$11-$AL$11)/($AN$11-$AL$11),$AL$11+SQRT(AZ871*($AN$11-$AL$11)*($AM$11-$AL$11)),$AN$11-SQRT((1-AZ871)*($AN$11-$AL$11)*($AN$11-$AM$11))),$AM$11)</f>
        <v/>
      </c>
      <c r="AR871">
        <f>SUMPRODUCT((B24:B31&lt;=$B$6)*(C24:C31*AM871+D24:D31*AO871*$B$8*AQ871)/(1+AL871/100)^B24:B31)+C32*AM871*AP871/(1+AL871/100)^$B$6</f>
        <v/>
      </c>
      <c r="AS871">
        <f>SUMPRODUCT((K24:K26&lt;=$B$6)*(L24:L26*AN871+M24:M26*AO871*$B$8*AQ871)/(1+AL871/100)^K24:K26)+L27*AN871*AP871/(1+AL871/100)^$B$6</f>
        <v/>
      </c>
      <c r="AT871">
        <f>AS871-AR871</f>
        <v/>
      </c>
      <c r="AU871">
        <f>RAND()</f>
        <v/>
      </c>
      <c r="AV871">
        <f>RAND()</f>
        <v/>
      </c>
      <c r="AW871">
        <f>RAND()</f>
        <v/>
      </c>
      <c r="AX871">
        <f>RAND()</f>
        <v/>
      </c>
      <c r="AY871">
        <f>RAND()</f>
        <v/>
      </c>
      <c r="AZ871">
        <f>RAND()</f>
        <v/>
      </c>
    </row>
    <row r="872">
      <c r="AK872" t="n">
        <v>859</v>
      </c>
      <c r="AL872">
        <f>IFERROR(IF(AU872&lt;($AM$6-$AL$6)/($AN$6-$AL$6),$AL$6+SQRT(AU872*($AN$6-$AL$6)*($AM$6-$AL$6)),$AN$6-SQRT((1-AU872)*($AN$6-$AL$6)*($AN$6-$AM$6))),$AM$6)</f>
        <v/>
      </c>
      <c r="AM872">
        <f>IFERROR(IF(AV872&lt;($AM$7-$AL$7)/($AN$7-$AL$7),$AL$7+SQRT(AV872*($AN$7-$AL$7)*($AM$7-$AL$7)),$AN$7-SQRT((1-AV872)*($AN$7-$AL$7)*($AN$7-$AM$7))),$AM$7)</f>
        <v/>
      </c>
      <c r="AN872">
        <f>IFERROR(IF(AW872&lt;($AM$8-$AL$8)/($AN$8-$AL$8),$AL$8+SQRT(AW872*($AN$8-$AL$8)*($AM$8-$AL$8)),$AN$8-SQRT((1-AW872)*($AN$8-$AL$8)*($AN$8-$AM$8))),$AM$8)</f>
        <v/>
      </c>
      <c r="AO872">
        <f>IFERROR(IF(AX872&lt;($AM$9-$AL$9)/($AN$9-$AL$9),$AL$9+SQRT(AX872*($AN$9-$AL$9)*($AM$9-$AL$9)),$AN$9-SQRT((1-AX872)*($AN$9-$AL$9)*($AN$9-$AM$9))),$AM$9)</f>
        <v/>
      </c>
      <c r="AP872">
        <f>IFERROR(IF(AY872&lt;($AM$10-$AL$10)/($AN$10-$AL$10),$AL$10+SQRT(AY872*($AN$10-$AL$10)*($AM$10-$AL$10)),$AN$10-SQRT((1-AY872)*($AN$10-$AL$10)*($AN$10-$AM$10))),$AM$10)</f>
        <v/>
      </c>
      <c r="AQ872">
        <f>IFERROR(IF(AZ872&lt;($AM$11-$AL$11)/($AN$11-$AL$11),$AL$11+SQRT(AZ872*($AN$11-$AL$11)*($AM$11-$AL$11)),$AN$11-SQRT((1-AZ872)*($AN$11-$AL$11)*($AN$11-$AM$11))),$AM$11)</f>
        <v/>
      </c>
      <c r="AR872">
        <f>SUMPRODUCT((B24:B31&lt;=$B$6)*(C24:C31*AM872+D24:D31*AO872*$B$8*AQ872)/(1+AL872/100)^B24:B31)+C32*AM872*AP872/(1+AL872/100)^$B$6</f>
        <v/>
      </c>
      <c r="AS872">
        <f>SUMPRODUCT((K24:K26&lt;=$B$6)*(L24:L26*AN872+M24:M26*AO872*$B$8*AQ872)/(1+AL872/100)^K24:K26)+L27*AN872*AP872/(1+AL872/100)^$B$6</f>
        <v/>
      </c>
      <c r="AT872">
        <f>AS872-AR872</f>
        <v/>
      </c>
      <c r="AU872">
        <f>RAND()</f>
        <v/>
      </c>
      <c r="AV872">
        <f>RAND()</f>
        <v/>
      </c>
      <c r="AW872">
        <f>RAND()</f>
        <v/>
      </c>
      <c r="AX872">
        <f>RAND()</f>
        <v/>
      </c>
      <c r="AY872">
        <f>RAND()</f>
        <v/>
      </c>
      <c r="AZ872">
        <f>RAND()</f>
        <v/>
      </c>
    </row>
    <row r="873">
      <c r="AK873" t="n">
        <v>860</v>
      </c>
      <c r="AL873">
        <f>IFERROR(IF(AU873&lt;($AM$6-$AL$6)/($AN$6-$AL$6),$AL$6+SQRT(AU873*($AN$6-$AL$6)*($AM$6-$AL$6)),$AN$6-SQRT((1-AU873)*($AN$6-$AL$6)*($AN$6-$AM$6))),$AM$6)</f>
        <v/>
      </c>
      <c r="AM873">
        <f>IFERROR(IF(AV873&lt;($AM$7-$AL$7)/($AN$7-$AL$7),$AL$7+SQRT(AV873*($AN$7-$AL$7)*($AM$7-$AL$7)),$AN$7-SQRT((1-AV873)*($AN$7-$AL$7)*($AN$7-$AM$7))),$AM$7)</f>
        <v/>
      </c>
      <c r="AN873">
        <f>IFERROR(IF(AW873&lt;($AM$8-$AL$8)/($AN$8-$AL$8),$AL$8+SQRT(AW873*($AN$8-$AL$8)*($AM$8-$AL$8)),$AN$8-SQRT((1-AW873)*($AN$8-$AL$8)*($AN$8-$AM$8))),$AM$8)</f>
        <v/>
      </c>
      <c r="AO873">
        <f>IFERROR(IF(AX873&lt;($AM$9-$AL$9)/($AN$9-$AL$9),$AL$9+SQRT(AX873*($AN$9-$AL$9)*($AM$9-$AL$9)),$AN$9-SQRT((1-AX873)*($AN$9-$AL$9)*($AN$9-$AM$9))),$AM$9)</f>
        <v/>
      </c>
      <c r="AP873">
        <f>IFERROR(IF(AY873&lt;($AM$10-$AL$10)/($AN$10-$AL$10),$AL$10+SQRT(AY873*($AN$10-$AL$10)*($AM$10-$AL$10)),$AN$10-SQRT((1-AY873)*($AN$10-$AL$10)*($AN$10-$AM$10))),$AM$10)</f>
        <v/>
      </c>
      <c r="AQ873">
        <f>IFERROR(IF(AZ873&lt;($AM$11-$AL$11)/($AN$11-$AL$11),$AL$11+SQRT(AZ873*($AN$11-$AL$11)*($AM$11-$AL$11)),$AN$11-SQRT((1-AZ873)*($AN$11-$AL$11)*($AN$11-$AM$11))),$AM$11)</f>
        <v/>
      </c>
      <c r="AR873">
        <f>SUMPRODUCT((B24:B31&lt;=$B$6)*(C24:C31*AM873+D24:D31*AO873*$B$8*AQ873)/(1+AL873/100)^B24:B31)+C32*AM873*AP873/(1+AL873/100)^$B$6</f>
        <v/>
      </c>
      <c r="AS873">
        <f>SUMPRODUCT((K24:K26&lt;=$B$6)*(L24:L26*AN873+M24:M26*AO873*$B$8*AQ873)/(1+AL873/100)^K24:K26)+L27*AN873*AP873/(1+AL873/100)^$B$6</f>
        <v/>
      </c>
      <c r="AT873">
        <f>AS873-AR873</f>
        <v/>
      </c>
      <c r="AU873">
        <f>RAND()</f>
        <v/>
      </c>
      <c r="AV873">
        <f>RAND()</f>
        <v/>
      </c>
      <c r="AW873">
        <f>RAND()</f>
        <v/>
      </c>
      <c r="AX873">
        <f>RAND()</f>
        <v/>
      </c>
      <c r="AY873">
        <f>RAND()</f>
        <v/>
      </c>
      <c r="AZ873">
        <f>RAND()</f>
        <v/>
      </c>
    </row>
    <row r="874">
      <c r="AK874" t="n">
        <v>861</v>
      </c>
      <c r="AL874">
        <f>IFERROR(IF(AU874&lt;($AM$6-$AL$6)/($AN$6-$AL$6),$AL$6+SQRT(AU874*($AN$6-$AL$6)*($AM$6-$AL$6)),$AN$6-SQRT((1-AU874)*($AN$6-$AL$6)*($AN$6-$AM$6))),$AM$6)</f>
        <v/>
      </c>
      <c r="AM874">
        <f>IFERROR(IF(AV874&lt;($AM$7-$AL$7)/($AN$7-$AL$7),$AL$7+SQRT(AV874*($AN$7-$AL$7)*($AM$7-$AL$7)),$AN$7-SQRT((1-AV874)*($AN$7-$AL$7)*($AN$7-$AM$7))),$AM$7)</f>
        <v/>
      </c>
      <c r="AN874">
        <f>IFERROR(IF(AW874&lt;($AM$8-$AL$8)/($AN$8-$AL$8),$AL$8+SQRT(AW874*($AN$8-$AL$8)*($AM$8-$AL$8)),$AN$8-SQRT((1-AW874)*($AN$8-$AL$8)*($AN$8-$AM$8))),$AM$8)</f>
        <v/>
      </c>
      <c r="AO874">
        <f>IFERROR(IF(AX874&lt;($AM$9-$AL$9)/($AN$9-$AL$9),$AL$9+SQRT(AX874*($AN$9-$AL$9)*($AM$9-$AL$9)),$AN$9-SQRT((1-AX874)*($AN$9-$AL$9)*($AN$9-$AM$9))),$AM$9)</f>
        <v/>
      </c>
      <c r="AP874">
        <f>IFERROR(IF(AY874&lt;($AM$10-$AL$10)/($AN$10-$AL$10),$AL$10+SQRT(AY874*($AN$10-$AL$10)*($AM$10-$AL$10)),$AN$10-SQRT((1-AY874)*($AN$10-$AL$10)*($AN$10-$AM$10))),$AM$10)</f>
        <v/>
      </c>
      <c r="AQ874">
        <f>IFERROR(IF(AZ874&lt;($AM$11-$AL$11)/($AN$11-$AL$11),$AL$11+SQRT(AZ874*($AN$11-$AL$11)*($AM$11-$AL$11)),$AN$11-SQRT((1-AZ874)*($AN$11-$AL$11)*($AN$11-$AM$11))),$AM$11)</f>
        <v/>
      </c>
      <c r="AR874">
        <f>SUMPRODUCT((B24:B31&lt;=$B$6)*(C24:C31*AM874+D24:D31*AO874*$B$8*AQ874)/(1+AL874/100)^B24:B31)+C32*AM874*AP874/(1+AL874/100)^$B$6</f>
        <v/>
      </c>
      <c r="AS874">
        <f>SUMPRODUCT((K24:K26&lt;=$B$6)*(L24:L26*AN874+M24:M26*AO874*$B$8*AQ874)/(1+AL874/100)^K24:K26)+L27*AN874*AP874/(1+AL874/100)^$B$6</f>
        <v/>
      </c>
      <c r="AT874">
        <f>AS874-AR874</f>
        <v/>
      </c>
      <c r="AU874">
        <f>RAND()</f>
        <v/>
      </c>
      <c r="AV874">
        <f>RAND()</f>
        <v/>
      </c>
      <c r="AW874">
        <f>RAND()</f>
        <v/>
      </c>
      <c r="AX874">
        <f>RAND()</f>
        <v/>
      </c>
      <c r="AY874">
        <f>RAND()</f>
        <v/>
      </c>
      <c r="AZ874">
        <f>RAND()</f>
        <v/>
      </c>
    </row>
    <row r="875">
      <c r="AK875" t="n">
        <v>862</v>
      </c>
      <c r="AL875">
        <f>IFERROR(IF(AU875&lt;($AM$6-$AL$6)/($AN$6-$AL$6),$AL$6+SQRT(AU875*($AN$6-$AL$6)*($AM$6-$AL$6)),$AN$6-SQRT((1-AU875)*($AN$6-$AL$6)*($AN$6-$AM$6))),$AM$6)</f>
        <v/>
      </c>
      <c r="AM875">
        <f>IFERROR(IF(AV875&lt;($AM$7-$AL$7)/($AN$7-$AL$7),$AL$7+SQRT(AV875*($AN$7-$AL$7)*($AM$7-$AL$7)),$AN$7-SQRT((1-AV875)*($AN$7-$AL$7)*($AN$7-$AM$7))),$AM$7)</f>
        <v/>
      </c>
      <c r="AN875">
        <f>IFERROR(IF(AW875&lt;($AM$8-$AL$8)/($AN$8-$AL$8),$AL$8+SQRT(AW875*($AN$8-$AL$8)*($AM$8-$AL$8)),$AN$8-SQRT((1-AW875)*($AN$8-$AL$8)*($AN$8-$AM$8))),$AM$8)</f>
        <v/>
      </c>
      <c r="AO875">
        <f>IFERROR(IF(AX875&lt;($AM$9-$AL$9)/($AN$9-$AL$9),$AL$9+SQRT(AX875*($AN$9-$AL$9)*($AM$9-$AL$9)),$AN$9-SQRT((1-AX875)*($AN$9-$AL$9)*($AN$9-$AM$9))),$AM$9)</f>
        <v/>
      </c>
      <c r="AP875">
        <f>IFERROR(IF(AY875&lt;($AM$10-$AL$10)/($AN$10-$AL$10),$AL$10+SQRT(AY875*($AN$10-$AL$10)*($AM$10-$AL$10)),$AN$10-SQRT((1-AY875)*($AN$10-$AL$10)*($AN$10-$AM$10))),$AM$10)</f>
        <v/>
      </c>
      <c r="AQ875">
        <f>IFERROR(IF(AZ875&lt;($AM$11-$AL$11)/($AN$11-$AL$11),$AL$11+SQRT(AZ875*($AN$11-$AL$11)*($AM$11-$AL$11)),$AN$11-SQRT((1-AZ875)*($AN$11-$AL$11)*($AN$11-$AM$11))),$AM$11)</f>
        <v/>
      </c>
      <c r="AR875">
        <f>SUMPRODUCT((B24:B31&lt;=$B$6)*(C24:C31*AM875+D24:D31*AO875*$B$8*AQ875)/(1+AL875/100)^B24:B31)+C32*AM875*AP875/(1+AL875/100)^$B$6</f>
        <v/>
      </c>
      <c r="AS875">
        <f>SUMPRODUCT((K24:K26&lt;=$B$6)*(L24:L26*AN875+M24:M26*AO875*$B$8*AQ875)/(1+AL875/100)^K24:K26)+L27*AN875*AP875/(1+AL875/100)^$B$6</f>
        <v/>
      </c>
      <c r="AT875">
        <f>AS875-AR875</f>
        <v/>
      </c>
      <c r="AU875">
        <f>RAND()</f>
        <v/>
      </c>
      <c r="AV875">
        <f>RAND()</f>
        <v/>
      </c>
      <c r="AW875">
        <f>RAND()</f>
        <v/>
      </c>
      <c r="AX875">
        <f>RAND()</f>
        <v/>
      </c>
      <c r="AY875">
        <f>RAND()</f>
        <v/>
      </c>
      <c r="AZ875">
        <f>RAND()</f>
        <v/>
      </c>
    </row>
    <row r="876">
      <c r="AK876" t="n">
        <v>863</v>
      </c>
      <c r="AL876">
        <f>IFERROR(IF(AU876&lt;($AM$6-$AL$6)/($AN$6-$AL$6),$AL$6+SQRT(AU876*($AN$6-$AL$6)*($AM$6-$AL$6)),$AN$6-SQRT((1-AU876)*($AN$6-$AL$6)*($AN$6-$AM$6))),$AM$6)</f>
        <v/>
      </c>
      <c r="AM876">
        <f>IFERROR(IF(AV876&lt;($AM$7-$AL$7)/($AN$7-$AL$7),$AL$7+SQRT(AV876*($AN$7-$AL$7)*($AM$7-$AL$7)),$AN$7-SQRT((1-AV876)*($AN$7-$AL$7)*($AN$7-$AM$7))),$AM$7)</f>
        <v/>
      </c>
      <c r="AN876">
        <f>IFERROR(IF(AW876&lt;($AM$8-$AL$8)/($AN$8-$AL$8),$AL$8+SQRT(AW876*($AN$8-$AL$8)*($AM$8-$AL$8)),$AN$8-SQRT((1-AW876)*($AN$8-$AL$8)*($AN$8-$AM$8))),$AM$8)</f>
        <v/>
      </c>
      <c r="AO876">
        <f>IFERROR(IF(AX876&lt;($AM$9-$AL$9)/($AN$9-$AL$9),$AL$9+SQRT(AX876*($AN$9-$AL$9)*($AM$9-$AL$9)),$AN$9-SQRT((1-AX876)*($AN$9-$AL$9)*($AN$9-$AM$9))),$AM$9)</f>
        <v/>
      </c>
      <c r="AP876">
        <f>IFERROR(IF(AY876&lt;($AM$10-$AL$10)/($AN$10-$AL$10),$AL$10+SQRT(AY876*($AN$10-$AL$10)*($AM$10-$AL$10)),$AN$10-SQRT((1-AY876)*($AN$10-$AL$10)*($AN$10-$AM$10))),$AM$10)</f>
        <v/>
      </c>
      <c r="AQ876">
        <f>IFERROR(IF(AZ876&lt;($AM$11-$AL$11)/($AN$11-$AL$11),$AL$11+SQRT(AZ876*($AN$11-$AL$11)*($AM$11-$AL$11)),$AN$11-SQRT((1-AZ876)*($AN$11-$AL$11)*($AN$11-$AM$11))),$AM$11)</f>
        <v/>
      </c>
      <c r="AR876">
        <f>SUMPRODUCT((B24:B31&lt;=$B$6)*(C24:C31*AM876+D24:D31*AO876*$B$8*AQ876)/(1+AL876/100)^B24:B31)+C32*AM876*AP876/(1+AL876/100)^$B$6</f>
        <v/>
      </c>
      <c r="AS876">
        <f>SUMPRODUCT((K24:K26&lt;=$B$6)*(L24:L26*AN876+M24:M26*AO876*$B$8*AQ876)/(1+AL876/100)^K24:K26)+L27*AN876*AP876/(1+AL876/100)^$B$6</f>
        <v/>
      </c>
      <c r="AT876">
        <f>AS876-AR876</f>
        <v/>
      </c>
      <c r="AU876">
        <f>RAND()</f>
        <v/>
      </c>
      <c r="AV876">
        <f>RAND()</f>
        <v/>
      </c>
      <c r="AW876">
        <f>RAND()</f>
        <v/>
      </c>
      <c r="AX876">
        <f>RAND()</f>
        <v/>
      </c>
      <c r="AY876">
        <f>RAND()</f>
        <v/>
      </c>
      <c r="AZ876">
        <f>RAND()</f>
        <v/>
      </c>
    </row>
    <row r="877">
      <c r="AK877" t="n">
        <v>864</v>
      </c>
      <c r="AL877">
        <f>IFERROR(IF(AU877&lt;($AM$6-$AL$6)/($AN$6-$AL$6),$AL$6+SQRT(AU877*($AN$6-$AL$6)*($AM$6-$AL$6)),$AN$6-SQRT((1-AU877)*($AN$6-$AL$6)*($AN$6-$AM$6))),$AM$6)</f>
        <v/>
      </c>
      <c r="AM877">
        <f>IFERROR(IF(AV877&lt;($AM$7-$AL$7)/($AN$7-$AL$7),$AL$7+SQRT(AV877*($AN$7-$AL$7)*($AM$7-$AL$7)),$AN$7-SQRT((1-AV877)*($AN$7-$AL$7)*($AN$7-$AM$7))),$AM$7)</f>
        <v/>
      </c>
      <c r="AN877">
        <f>IFERROR(IF(AW877&lt;($AM$8-$AL$8)/($AN$8-$AL$8),$AL$8+SQRT(AW877*($AN$8-$AL$8)*($AM$8-$AL$8)),$AN$8-SQRT((1-AW877)*($AN$8-$AL$8)*($AN$8-$AM$8))),$AM$8)</f>
        <v/>
      </c>
      <c r="AO877">
        <f>IFERROR(IF(AX877&lt;($AM$9-$AL$9)/($AN$9-$AL$9),$AL$9+SQRT(AX877*($AN$9-$AL$9)*($AM$9-$AL$9)),$AN$9-SQRT((1-AX877)*($AN$9-$AL$9)*($AN$9-$AM$9))),$AM$9)</f>
        <v/>
      </c>
      <c r="AP877">
        <f>IFERROR(IF(AY877&lt;($AM$10-$AL$10)/($AN$10-$AL$10),$AL$10+SQRT(AY877*($AN$10-$AL$10)*($AM$10-$AL$10)),$AN$10-SQRT((1-AY877)*($AN$10-$AL$10)*($AN$10-$AM$10))),$AM$10)</f>
        <v/>
      </c>
      <c r="AQ877">
        <f>IFERROR(IF(AZ877&lt;($AM$11-$AL$11)/($AN$11-$AL$11),$AL$11+SQRT(AZ877*($AN$11-$AL$11)*($AM$11-$AL$11)),$AN$11-SQRT((1-AZ877)*($AN$11-$AL$11)*($AN$11-$AM$11))),$AM$11)</f>
        <v/>
      </c>
      <c r="AR877">
        <f>SUMPRODUCT((B24:B31&lt;=$B$6)*(C24:C31*AM877+D24:D31*AO877*$B$8*AQ877)/(1+AL877/100)^B24:B31)+C32*AM877*AP877/(1+AL877/100)^$B$6</f>
        <v/>
      </c>
      <c r="AS877">
        <f>SUMPRODUCT((K24:K26&lt;=$B$6)*(L24:L26*AN877+M24:M26*AO877*$B$8*AQ877)/(1+AL877/100)^K24:K26)+L27*AN877*AP877/(1+AL877/100)^$B$6</f>
        <v/>
      </c>
      <c r="AT877">
        <f>AS877-AR877</f>
        <v/>
      </c>
      <c r="AU877">
        <f>RAND()</f>
        <v/>
      </c>
      <c r="AV877">
        <f>RAND()</f>
        <v/>
      </c>
      <c r="AW877">
        <f>RAND()</f>
        <v/>
      </c>
      <c r="AX877">
        <f>RAND()</f>
        <v/>
      </c>
      <c r="AY877">
        <f>RAND()</f>
        <v/>
      </c>
      <c r="AZ877">
        <f>RAND()</f>
        <v/>
      </c>
    </row>
    <row r="878">
      <c r="AK878" t="n">
        <v>865</v>
      </c>
      <c r="AL878">
        <f>IFERROR(IF(AU878&lt;($AM$6-$AL$6)/($AN$6-$AL$6),$AL$6+SQRT(AU878*($AN$6-$AL$6)*($AM$6-$AL$6)),$AN$6-SQRT((1-AU878)*($AN$6-$AL$6)*($AN$6-$AM$6))),$AM$6)</f>
        <v/>
      </c>
      <c r="AM878">
        <f>IFERROR(IF(AV878&lt;($AM$7-$AL$7)/($AN$7-$AL$7),$AL$7+SQRT(AV878*($AN$7-$AL$7)*($AM$7-$AL$7)),$AN$7-SQRT((1-AV878)*($AN$7-$AL$7)*($AN$7-$AM$7))),$AM$7)</f>
        <v/>
      </c>
      <c r="AN878">
        <f>IFERROR(IF(AW878&lt;($AM$8-$AL$8)/($AN$8-$AL$8),$AL$8+SQRT(AW878*($AN$8-$AL$8)*($AM$8-$AL$8)),$AN$8-SQRT((1-AW878)*($AN$8-$AL$8)*($AN$8-$AM$8))),$AM$8)</f>
        <v/>
      </c>
      <c r="AO878">
        <f>IFERROR(IF(AX878&lt;($AM$9-$AL$9)/($AN$9-$AL$9),$AL$9+SQRT(AX878*($AN$9-$AL$9)*($AM$9-$AL$9)),$AN$9-SQRT((1-AX878)*($AN$9-$AL$9)*($AN$9-$AM$9))),$AM$9)</f>
        <v/>
      </c>
      <c r="AP878">
        <f>IFERROR(IF(AY878&lt;($AM$10-$AL$10)/($AN$10-$AL$10),$AL$10+SQRT(AY878*($AN$10-$AL$10)*($AM$10-$AL$10)),$AN$10-SQRT((1-AY878)*($AN$10-$AL$10)*($AN$10-$AM$10))),$AM$10)</f>
        <v/>
      </c>
      <c r="AQ878">
        <f>IFERROR(IF(AZ878&lt;($AM$11-$AL$11)/($AN$11-$AL$11),$AL$11+SQRT(AZ878*($AN$11-$AL$11)*($AM$11-$AL$11)),$AN$11-SQRT((1-AZ878)*($AN$11-$AL$11)*($AN$11-$AM$11))),$AM$11)</f>
        <v/>
      </c>
      <c r="AR878">
        <f>SUMPRODUCT((B24:B31&lt;=$B$6)*(C24:C31*AM878+D24:D31*AO878*$B$8*AQ878)/(1+AL878/100)^B24:B31)+C32*AM878*AP878/(1+AL878/100)^$B$6</f>
        <v/>
      </c>
      <c r="AS878">
        <f>SUMPRODUCT((K24:K26&lt;=$B$6)*(L24:L26*AN878+M24:M26*AO878*$B$8*AQ878)/(1+AL878/100)^K24:K26)+L27*AN878*AP878/(1+AL878/100)^$B$6</f>
        <v/>
      </c>
      <c r="AT878">
        <f>AS878-AR878</f>
        <v/>
      </c>
      <c r="AU878">
        <f>RAND()</f>
        <v/>
      </c>
      <c r="AV878">
        <f>RAND()</f>
        <v/>
      </c>
      <c r="AW878">
        <f>RAND()</f>
        <v/>
      </c>
      <c r="AX878">
        <f>RAND()</f>
        <v/>
      </c>
      <c r="AY878">
        <f>RAND()</f>
        <v/>
      </c>
      <c r="AZ878">
        <f>RAND()</f>
        <v/>
      </c>
    </row>
    <row r="879">
      <c r="AK879" t="n">
        <v>866</v>
      </c>
      <c r="AL879">
        <f>IFERROR(IF(AU879&lt;($AM$6-$AL$6)/($AN$6-$AL$6),$AL$6+SQRT(AU879*($AN$6-$AL$6)*($AM$6-$AL$6)),$AN$6-SQRT((1-AU879)*($AN$6-$AL$6)*($AN$6-$AM$6))),$AM$6)</f>
        <v/>
      </c>
      <c r="AM879">
        <f>IFERROR(IF(AV879&lt;($AM$7-$AL$7)/($AN$7-$AL$7),$AL$7+SQRT(AV879*($AN$7-$AL$7)*($AM$7-$AL$7)),$AN$7-SQRT((1-AV879)*($AN$7-$AL$7)*($AN$7-$AM$7))),$AM$7)</f>
        <v/>
      </c>
      <c r="AN879">
        <f>IFERROR(IF(AW879&lt;($AM$8-$AL$8)/($AN$8-$AL$8),$AL$8+SQRT(AW879*($AN$8-$AL$8)*($AM$8-$AL$8)),$AN$8-SQRT((1-AW879)*($AN$8-$AL$8)*($AN$8-$AM$8))),$AM$8)</f>
        <v/>
      </c>
      <c r="AO879">
        <f>IFERROR(IF(AX879&lt;($AM$9-$AL$9)/($AN$9-$AL$9),$AL$9+SQRT(AX879*($AN$9-$AL$9)*($AM$9-$AL$9)),$AN$9-SQRT((1-AX879)*($AN$9-$AL$9)*($AN$9-$AM$9))),$AM$9)</f>
        <v/>
      </c>
      <c r="AP879">
        <f>IFERROR(IF(AY879&lt;($AM$10-$AL$10)/($AN$10-$AL$10),$AL$10+SQRT(AY879*($AN$10-$AL$10)*($AM$10-$AL$10)),$AN$10-SQRT((1-AY879)*($AN$10-$AL$10)*($AN$10-$AM$10))),$AM$10)</f>
        <v/>
      </c>
      <c r="AQ879">
        <f>IFERROR(IF(AZ879&lt;($AM$11-$AL$11)/($AN$11-$AL$11),$AL$11+SQRT(AZ879*($AN$11-$AL$11)*($AM$11-$AL$11)),$AN$11-SQRT((1-AZ879)*($AN$11-$AL$11)*($AN$11-$AM$11))),$AM$11)</f>
        <v/>
      </c>
      <c r="AR879">
        <f>SUMPRODUCT((B24:B31&lt;=$B$6)*(C24:C31*AM879+D24:D31*AO879*$B$8*AQ879)/(1+AL879/100)^B24:B31)+C32*AM879*AP879/(1+AL879/100)^$B$6</f>
        <v/>
      </c>
      <c r="AS879">
        <f>SUMPRODUCT((K24:K26&lt;=$B$6)*(L24:L26*AN879+M24:M26*AO879*$B$8*AQ879)/(1+AL879/100)^K24:K26)+L27*AN879*AP879/(1+AL879/100)^$B$6</f>
        <v/>
      </c>
      <c r="AT879">
        <f>AS879-AR879</f>
        <v/>
      </c>
      <c r="AU879">
        <f>RAND()</f>
        <v/>
      </c>
      <c r="AV879">
        <f>RAND()</f>
        <v/>
      </c>
      <c r="AW879">
        <f>RAND()</f>
        <v/>
      </c>
      <c r="AX879">
        <f>RAND()</f>
        <v/>
      </c>
      <c r="AY879">
        <f>RAND()</f>
        <v/>
      </c>
      <c r="AZ879">
        <f>RAND()</f>
        <v/>
      </c>
    </row>
    <row r="880">
      <c r="AK880" t="n">
        <v>867</v>
      </c>
      <c r="AL880">
        <f>IFERROR(IF(AU880&lt;($AM$6-$AL$6)/($AN$6-$AL$6),$AL$6+SQRT(AU880*($AN$6-$AL$6)*($AM$6-$AL$6)),$AN$6-SQRT((1-AU880)*($AN$6-$AL$6)*($AN$6-$AM$6))),$AM$6)</f>
        <v/>
      </c>
      <c r="AM880">
        <f>IFERROR(IF(AV880&lt;($AM$7-$AL$7)/($AN$7-$AL$7),$AL$7+SQRT(AV880*($AN$7-$AL$7)*($AM$7-$AL$7)),$AN$7-SQRT((1-AV880)*($AN$7-$AL$7)*($AN$7-$AM$7))),$AM$7)</f>
        <v/>
      </c>
      <c r="AN880">
        <f>IFERROR(IF(AW880&lt;($AM$8-$AL$8)/($AN$8-$AL$8),$AL$8+SQRT(AW880*($AN$8-$AL$8)*($AM$8-$AL$8)),$AN$8-SQRT((1-AW880)*($AN$8-$AL$8)*($AN$8-$AM$8))),$AM$8)</f>
        <v/>
      </c>
      <c r="AO880">
        <f>IFERROR(IF(AX880&lt;($AM$9-$AL$9)/($AN$9-$AL$9),$AL$9+SQRT(AX880*($AN$9-$AL$9)*($AM$9-$AL$9)),$AN$9-SQRT((1-AX880)*($AN$9-$AL$9)*($AN$9-$AM$9))),$AM$9)</f>
        <v/>
      </c>
      <c r="AP880">
        <f>IFERROR(IF(AY880&lt;($AM$10-$AL$10)/($AN$10-$AL$10),$AL$10+SQRT(AY880*($AN$10-$AL$10)*($AM$10-$AL$10)),$AN$10-SQRT((1-AY880)*($AN$10-$AL$10)*($AN$10-$AM$10))),$AM$10)</f>
        <v/>
      </c>
      <c r="AQ880">
        <f>IFERROR(IF(AZ880&lt;($AM$11-$AL$11)/($AN$11-$AL$11),$AL$11+SQRT(AZ880*($AN$11-$AL$11)*($AM$11-$AL$11)),$AN$11-SQRT((1-AZ880)*($AN$11-$AL$11)*($AN$11-$AM$11))),$AM$11)</f>
        <v/>
      </c>
      <c r="AR880">
        <f>SUMPRODUCT((B24:B31&lt;=$B$6)*(C24:C31*AM880+D24:D31*AO880*$B$8*AQ880)/(1+AL880/100)^B24:B31)+C32*AM880*AP880/(1+AL880/100)^$B$6</f>
        <v/>
      </c>
      <c r="AS880">
        <f>SUMPRODUCT((K24:K26&lt;=$B$6)*(L24:L26*AN880+M24:M26*AO880*$B$8*AQ880)/(1+AL880/100)^K24:K26)+L27*AN880*AP880/(1+AL880/100)^$B$6</f>
        <v/>
      </c>
      <c r="AT880">
        <f>AS880-AR880</f>
        <v/>
      </c>
      <c r="AU880">
        <f>RAND()</f>
        <v/>
      </c>
      <c r="AV880">
        <f>RAND()</f>
        <v/>
      </c>
      <c r="AW880">
        <f>RAND()</f>
        <v/>
      </c>
      <c r="AX880">
        <f>RAND()</f>
        <v/>
      </c>
      <c r="AY880">
        <f>RAND()</f>
        <v/>
      </c>
      <c r="AZ880">
        <f>RAND()</f>
        <v/>
      </c>
    </row>
    <row r="881">
      <c r="AK881" t="n">
        <v>868</v>
      </c>
      <c r="AL881">
        <f>IFERROR(IF(AU881&lt;($AM$6-$AL$6)/($AN$6-$AL$6),$AL$6+SQRT(AU881*($AN$6-$AL$6)*($AM$6-$AL$6)),$AN$6-SQRT((1-AU881)*($AN$6-$AL$6)*($AN$6-$AM$6))),$AM$6)</f>
        <v/>
      </c>
      <c r="AM881">
        <f>IFERROR(IF(AV881&lt;($AM$7-$AL$7)/($AN$7-$AL$7),$AL$7+SQRT(AV881*($AN$7-$AL$7)*($AM$7-$AL$7)),$AN$7-SQRT((1-AV881)*($AN$7-$AL$7)*($AN$7-$AM$7))),$AM$7)</f>
        <v/>
      </c>
      <c r="AN881">
        <f>IFERROR(IF(AW881&lt;($AM$8-$AL$8)/($AN$8-$AL$8),$AL$8+SQRT(AW881*($AN$8-$AL$8)*($AM$8-$AL$8)),$AN$8-SQRT((1-AW881)*($AN$8-$AL$8)*($AN$8-$AM$8))),$AM$8)</f>
        <v/>
      </c>
      <c r="AO881">
        <f>IFERROR(IF(AX881&lt;($AM$9-$AL$9)/($AN$9-$AL$9),$AL$9+SQRT(AX881*($AN$9-$AL$9)*($AM$9-$AL$9)),$AN$9-SQRT((1-AX881)*($AN$9-$AL$9)*($AN$9-$AM$9))),$AM$9)</f>
        <v/>
      </c>
      <c r="AP881">
        <f>IFERROR(IF(AY881&lt;($AM$10-$AL$10)/($AN$10-$AL$10),$AL$10+SQRT(AY881*($AN$10-$AL$10)*($AM$10-$AL$10)),$AN$10-SQRT((1-AY881)*($AN$10-$AL$10)*($AN$10-$AM$10))),$AM$10)</f>
        <v/>
      </c>
      <c r="AQ881">
        <f>IFERROR(IF(AZ881&lt;($AM$11-$AL$11)/($AN$11-$AL$11),$AL$11+SQRT(AZ881*($AN$11-$AL$11)*($AM$11-$AL$11)),$AN$11-SQRT((1-AZ881)*($AN$11-$AL$11)*($AN$11-$AM$11))),$AM$11)</f>
        <v/>
      </c>
      <c r="AR881">
        <f>SUMPRODUCT((B24:B31&lt;=$B$6)*(C24:C31*AM881+D24:D31*AO881*$B$8*AQ881)/(1+AL881/100)^B24:B31)+C32*AM881*AP881/(1+AL881/100)^$B$6</f>
        <v/>
      </c>
      <c r="AS881">
        <f>SUMPRODUCT((K24:K26&lt;=$B$6)*(L24:L26*AN881+M24:M26*AO881*$B$8*AQ881)/(1+AL881/100)^K24:K26)+L27*AN881*AP881/(1+AL881/100)^$B$6</f>
        <v/>
      </c>
      <c r="AT881">
        <f>AS881-AR881</f>
        <v/>
      </c>
      <c r="AU881">
        <f>RAND()</f>
        <v/>
      </c>
      <c r="AV881">
        <f>RAND()</f>
        <v/>
      </c>
      <c r="AW881">
        <f>RAND()</f>
        <v/>
      </c>
      <c r="AX881">
        <f>RAND()</f>
        <v/>
      </c>
      <c r="AY881">
        <f>RAND()</f>
        <v/>
      </c>
      <c r="AZ881">
        <f>RAND()</f>
        <v/>
      </c>
    </row>
    <row r="882">
      <c r="AK882" t="n">
        <v>869</v>
      </c>
      <c r="AL882">
        <f>IFERROR(IF(AU882&lt;($AM$6-$AL$6)/($AN$6-$AL$6),$AL$6+SQRT(AU882*($AN$6-$AL$6)*($AM$6-$AL$6)),$AN$6-SQRT((1-AU882)*($AN$6-$AL$6)*($AN$6-$AM$6))),$AM$6)</f>
        <v/>
      </c>
      <c r="AM882">
        <f>IFERROR(IF(AV882&lt;($AM$7-$AL$7)/($AN$7-$AL$7),$AL$7+SQRT(AV882*($AN$7-$AL$7)*($AM$7-$AL$7)),$AN$7-SQRT((1-AV882)*($AN$7-$AL$7)*($AN$7-$AM$7))),$AM$7)</f>
        <v/>
      </c>
      <c r="AN882">
        <f>IFERROR(IF(AW882&lt;($AM$8-$AL$8)/($AN$8-$AL$8),$AL$8+SQRT(AW882*($AN$8-$AL$8)*($AM$8-$AL$8)),$AN$8-SQRT((1-AW882)*($AN$8-$AL$8)*($AN$8-$AM$8))),$AM$8)</f>
        <v/>
      </c>
      <c r="AO882">
        <f>IFERROR(IF(AX882&lt;($AM$9-$AL$9)/($AN$9-$AL$9),$AL$9+SQRT(AX882*($AN$9-$AL$9)*($AM$9-$AL$9)),$AN$9-SQRT((1-AX882)*($AN$9-$AL$9)*($AN$9-$AM$9))),$AM$9)</f>
        <v/>
      </c>
      <c r="AP882">
        <f>IFERROR(IF(AY882&lt;($AM$10-$AL$10)/($AN$10-$AL$10),$AL$10+SQRT(AY882*($AN$10-$AL$10)*($AM$10-$AL$10)),$AN$10-SQRT((1-AY882)*($AN$10-$AL$10)*($AN$10-$AM$10))),$AM$10)</f>
        <v/>
      </c>
      <c r="AQ882">
        <f>IFERROR(IF(AZ882&lt;($AM$11-$AL$11)/($AN$11-$AL$11),$AL$11+SQRT(AZ882*($AN$11-$AL$11)*($AM$11-$AL$11)),$AN$11-SQRT((1-AZ882)*($AN$11-$AL$11)*($AN$11-$AM$11))),$AM$11)</f>
        <v/>
      </c>
      <c r="AR882">
        <f>SUMPRODUCT((B24:B31&lt;=$B$6)*(C24:C31*AM882+D24:D31*AO882*$B$8*AQ882)/(1+AL882/100)^B24:B31)+C32*AM882*AP882/(1+AL882/100)^$B$6</f>
        <v/>
      </c>
      <c r="AS882">
        <f>SUMPRODUCT((K24:K26&lt;=$B$6)*(L24:L26*AN882+M24:M26*AO882*$B$8*AQ882)/(1+AL882/100)^K24:K26)+L27*AN882*AP882/(1+AL882/100)^$B$6</f>
        <v/>
      </c>
      <c r="AT882">
        <f>AS882-AR882</f>
        <v/>
      </c>
      <c r="AU882">
        <f>RAND()</f>
        <v/>
      </c>
      <c r="AV882">
        <f>RAND()</f>
        <v/>
      </c>
      <c r="AW882">
        <f>RAND()</f>
        <v/>
      </c>
      <c r="AX882">
        <f>RAND()</f>
        <v/>
      </c>
      <c r="AY882">
        <f>RAND()</f>
        <v/>
      </c>
      <c r="AZ882">
        <f>RAND()</f>
        <v/>
      </c>
    </row>
    <row r="883">
      <c r="AK883" t="n">
        <v>870</v>
      </c>
      <c r="AL883">
        <f>IFERROR(IF(AU883&lt;($AM$6-$AL$6)/($AN$6-$AL$6),$AL$6+SQRT(AU883*($AN$6-$AL$6)*($AM$6-$AL$6)),$AN$6-SQRT((1-AU883)*($AN$6-$AL$6)*($AN$6-$AM$6))),$AM$6)</f>
        <v/>
      </c>
      <c r="AM883">
        <f>IFERROR(IF(AV883&lt;($AM$7-$AL$7)/($AN$7-$AL$7),$AL$7+SQRT(AV883*($AN$7-$AL$7)*($AM$7-$AL$7)),$AN$7-SQRT((1-AV883)*($AN$7-$AL$7)*($AN$7-$AM$7))),$AM$7)</f>
        <v/>
      </c>
      <c r="AN883">
        <f>IFERROR(IF(AW883&lt;($AM$8-$AL$8)/($AN$8-$AL$8),$AL$8+SQRT(AW883*($AN$8-$AL$8)*($AM$8-$AL$8)),$AN$8-SQRT((1-AW883)*($AN$8-$AL$8)*($AN$8-$AM$8))),$AM$8)</f>
        <v/>
      </c>
      <c r="AO883">
        <f>IFERROR(IF(AX883&lt;($AM$9-$AL$9)/($AN$9-$AL$9),$AL$9+SQRT(AX883*($AN$9-$AL$9)*($AM$9-$AL$9)),$AN$9-SQRT((1-AX883)*($AN$9-$AL$9)*($AN$9-$AM$9))),$AM$9)</f>
        <v/>
      </c>
      <c r="AP883">
        <f>IFERROR(IF(AY883&lt;($AM$10-$AL$10)/($AN$10-$AL$10),$AL$10+SQRT(AY883*($AN$10-$AL$10)*($AM$10-$AL$10)),$AN$10-SQRT((1-AY883)*($AN$10-$AL$10)*($AN$10-$AM$10))),$AM$10)</f>
        <v/>
      </c>
      <c r="AQ883">
        <f>IFERROR(IF(AZ883&lt;($AM$11-$AL$11)/($AN$11-$AL$11),$AL$11+SQRT(AZ883*($AN$11-$AL$11)*($AM$11-$AL$11)),$AN$11-SQRT((1-AZ883)*($AN$11-$AL$11)*($AN$11-$AM$11))),$AM$11)</f>
        <v/>
      </c>
      <c r="AR883">
        <f>SUMPRODUCT((B24:B31&lt;=$B$6)*(C24:C31*AM883+D24:D31*AO883*$B$8*AQ883)/(1+AL883/100)^B24:B31)+C32*AM883*AP883/(1+AL883/100)^$B$6</f>
        <v/>
      </c>
      <c r="AS883">
        <f>SUMPRODUCT((K24:K26&lt;=$B$6)*(L24:L26*AN883+M24:M26*AO883*$B$8*AQ883)/(1+AL883/100)^K24:K26)+L27*AN883*AP883/(1+AL883/100)^$B$6</f>
        <v/>
      </c>
      <c r="AT883">
        <f>AS883-AR883</f>
        <v/>
      </c>
      <c r="AU883">
        <f>RAND()</f>
        <v/>
      </c>
      <c r="AV883">
        <f>RAND()</f>
        <v/>
      </c>
      <c r="AW883">
        <f>RAND()</f>
        <v/>
      </c>
      <c r="AX883">
        <f>RAND()</f>
        <v/>
      </c>
      <c r="AY883">
        <f>RAND()</f>
        <v/>
      </c>
      <c r="AZ883">
        <f>RAND()</f>
        <v/>
      </c>
    </row>
    <row r="884">
      <c r="AK884" t="n">
        <v>871</v>
      </c>
      <c r="AL884">
        <f>IFERROR(IF(AU884&lt;($AM$6-$AL$6)/($AN$6-$AL$6),$AL$6+SQRT(AU884*($AN$6-$AL$6)*($AM$6-$AL$6)),$AN$6-SQRT((1-AU884)*($AN$6-$AL$6)*($AN$6-$AM$6))),$AM$6)</f>
        <v/>
      </c>
      <c r="AM884">
        <f>IFERROR(IF(AV884&lt;($AM$7-$AL$7)/($AN$7-$AL$7),$AL$7+SQRT(AV884*($AN$7-$AL$7)*($AM$7-$AL$7)),$AN$7-SQRT((1-AV884)*($AN$7-$AL$7)*($AN$7-$AM$7))),$AM$7)</f>
        <v/>
      </c>
      <c r="AN884">
        <f>IFERROR(IF(AW884&lt;($AM$8-$AL$8)/($AN$8-$AL$8),$AL$8+SQRT(AW884*($AN$8-$AL$8)*($AM$8-$AL$8)),$AN$8-SQRT((1-AW884)*($AN$8-$AL$8)*($AN$8-$AM$8))),$AM$8)</f>
        <v/>
      </c>
      <c r="AO884">
        <f>IFERROR(IF(AX884&lt;($AM$9-$AL$9)/($AN$9-$AL$9),$AL$9+SQRT(AX884*($AN$9-$AL$9)*($AM$9-$AL$9)),$AN$9-SQRT((1-AX884)*($AN$9-$AL$9)*($AN$9-$AM$9))),$AM$9)</f>
        <v/>
      </c>
      <c r="AP884">
        <f>IFERROR(IF(AY884&lt;($AM$10-$AL$10)/($AN$10-$AL$10),$AL$10+SQRT(AY884*($AN$10-$AL$10)*($AM$10-$AL$10)),$AN$10-SQRT((1-AY884)*($AN$10-$AL$10)*($AN$10-$AM$10))),$AM$10)</f>
        <v/>
      </c>
      <c r="AQ884">
        <f>IFERROR(IF(AZ884&lt;($AM$11-$AL$11)/($AN$11-$AL$11),$AL$11+SQRT(AZ884*($AN$11-$AL$11)*($AM$11-$AL$11)),$AN$11-SQRT((1-AZ884)*($AN$11-$AL$11)*($AN$11-$AM$11))),$AM$11)</f>
        <v/>
      </c>
      <c r="AR884">
        <f>SUMPRODUCT((B24:B31&lt;=$B$6)*(C24:C31*AM884+D24:D31*AO884*$B$8*AQ884)/(1+AL884/100)^B24:B31)+C32*AM884*AP884/(1+AL884/100)^$B$6</f>
        <v/>
      </c>
      <c r="AS884">
        <f>SUMPRODUCT((K24:K26&lt;=$B$6)*(L24:L26*AN884+M24:M26*AO884*$B$8*AQ884)/(1+AL884/100)^K24:K26)+L27*AN884*AP884/(1+AL884/100)^$B$6</f>
        <v/>
      </c>
      <c r="AT884">
        <f>AS884-AR884</f>
        <v/>
      </c>
      <c r="AU884">
        <f>RAND()</f>
        <v/>
      </c>
      <c r="AV884">
        <f>RAND()</f>
        <v/>
      </c>
      <c r="AW884">
        <f>RAND()</f>
        <v/>
      </c>
      <c r="AX884">
        <f>RAND()</f>
        <v/>
      </c>
      <c r="AY884">
        <f>RAND()</f>
        <v/>
      </c>
      <c r="AZ884">
        <f>RAND()</f>
        <v/>
      </c>
    </row>
    <row r="885">
      <c r="AK885" t="n">
        <v>872</v>
      </c>
      <c r="AL885">
        <f>IFERROR(IF(AU885&lt;($AM$6-$AL$6)/($AN$6-$AL$6),$AL$6+SQRT(AU885*($AN$6-$AL$6)*($AM$6-$AL$6)),$AN$6-SQRT((1-AU885)*($AN$6-$AL$6)*($AN$6-$AM$6))),$AM$6)</f>
        <v/>
      </c>
      <c r="AM885">
        <f>IFERROR(IF(AV885&lt;($AM$7-$AL$7)/($AN$7-$AL$7),$AL$7+SQRT(AV885*($AN$7-$AL$7)*($AM$7-$AL$7)),$AN$7-SQRT((1-AV885)*($AN$7-$AL$7)*($AN$7-$AM$7))),$AM$7)</f>
        <v/>
      </c>
      <c r="AN885">
        <f>IFERROR(IF(AW885&lt;($AM$8-$AL$8)/($AN$8-$AL$8),$AL$8+SQRT(AW885*($AN$8-$AL$8)*($AM$8-$AL$8)),$AN$8-SQRT((1-AW885)*($AN$8-$AL$8)*($AN$8-$AM$8))),$AM$8)</f>
        <v/>
      </c>
      <c r="AO885">
        <f>IFERROR(IF(AX885&lt;($AM$9-$AL$9)/($AN$9-$AL$9),$AL$9+SQRT(AX885*($AN$9-$AL$9)*($AM$9-$AL$9)),$AN$9-SQRT((1-AX885)*($AN$9-$AL$9)*($AN$9-$AM$9))),$AM$9)</f>
        <v/>
      </c>
      <c r="AP885">
        <f>IFERROR(IF(AY885&lt;($AM$10-$AL$10)/($AN$10-$AL$10),$AL$10+SQRT(AY885*($AN$10-$AL$10)*($AM$10-$AL$10)),$AN$10-SQRT((1-AY885)*($AN$10-$AL$10)*($AN$10-$AM$10))),$AM$10)</f>
        <v/>
      </c>
      <c r="AQ885">
        <f>IFERROR(IF(AZ885&lt;($AM$11-$AL$11)/($AN$11-$AL$11),$AL$11+SQRT(AZ885*($AN$11-$AL$11)*($AM$11-$AL$11)),$AN$11-SQRT((1-AZ885)*($AN$11-$AL$11)*($AN$11-$AM$11))),$AM$11)</f>
        <v/>
      </c>
      <c r="AR885">
        <f>SUMPRODUCT((B24:B31&lt;=$B$6)*(C24:C31*AM885+D24:D31*AO885*$B$8*AQ885)/(1+AL885/100)^B24:B31)+C32*AM885*AP885/(1+AL885/100)^$B$6</f>
        <v/>
      </c>
      <c r="AS885">
        <f>SUMPRODUCT((K24:K26&lt;=$B$6)*(L24:L26*AN885+M24:M26*AO885*$B$8*AQ885)/(1+AL885/100)^K24:K26)+L27*AN885*AP885/(1+AL885/100)^$B$6</f>
        <v/>
      </c>
      <c r="AT885">
        <f>AS885-AR885</f>
        <v/>
      </c>
      <c r="AU885">
        <f>RAND()</f>
        <v/>
      </c>
      <c r="AV885">
        <f>RAND()</f>
        <v/>
      </c>
      <c r="AW885">
        <f>RAND()</f>
        <v/>
      </c>
      <c r="AX885">
        <f>RAND()</f>
        <v/>
      </c>
      <c r="AY885">
        <f>RAND()</f>
        <v/>
      </c>
      <c r="AZ885">
        <f>RAND()</f>
        <v/>
      </c>
    </row>
    <row r="886">
      <c r="AK886" t="n">
        <v>873</v>
      </c>
      <c r="AL886">
        <f>IFERROR(IF(AU886&lt;($AM$6-$AL$6)/($AN$6-$AL$6),$AL$6+SQRT(AU886*($AN$6-$AL$6)*($AM$6-$AL$6)),$AN$6-SQRT((1-AU886)*($AN$6-$AL$6)*($AN$6-$AM$6))),$AM$6)</f>
        <v/>
      </c>
      <c r="AM886">
        <f>IFERROR(IF(AV886&lt;($AM$7-$AL$7)/($AN$7-$AL$7),$AL$7+SQRT(AV886*($AN$7-$AL$7)*($AM$7-$AL$7)),$AN$7-SQRT((1-AV886)*($AN$7-$AL$7)*($AN$7-$AM$7))),$AM$7)</f>
        <v/>
      </c>
      <c r="AN886">
        <f>IFERROR(IF(AW886&lt;($AM$8-$AL$8)/($AN$8-$AL$8),$AL$8+SQRT(AW886*($AN$8-$AL$8)*($AM$8-$AL$8)),$AN$8-SQRT((1-AW886)*($AN$8-$AL$8)*($AN$8-$AM$8))),$AM$8)</f>
        <v/>
      </c>
      <c r="AO886">
        <f>IFERROR(IF(AX886&lt;($AM$9-$AL$9)/($AN$9-$AL$9),$AL$9+SQRT(AX886*($AN$9-$AL$9)*($AM$9-$AL$9)),$AN$9-SQRT((1-AX886)*($AN$9-$AL$9)*($AN$9-$AM$9))),$AM$9)</f>
        <v/>
      </c>
      <c r="AP886">
        <f>IFERROR(IF(AY886&lt;($AM$10-$AL$10)/($AN$10-$AL$10),$AL$10+SQRT(AY886*($AN$10-$AL$10)*($AM$10-$AL$10)),$AN$10-SQRT((1-AY886)*($AN$10-$AL$10)*($AN$10-$AM$10))),$AM$10)</f>
        <v/>
      </c>
      <c r="AQ886">
        <f>IFERROR(IF(AZ886&lt;($AM$11-$AL$11)/($AN$11-$AL$11),$AL$11+SQRT(AZ886*($AN$11-$AL$11)*($AM$11-$AL$11)),$AN$11-SQRT((1-AZ886)*($AN$11-$AL$11)*($AN$11-$AM$11))),$AM$11)</f>
        <v/>
      </c>
      <c r="AR886">
        <f>SUMPRODUCT((B24:B31&lt;=$B$6)*(C24:C31*AM886+D24:D31*AO886*$B$8*AQ886)/(1+AL886/100)^B24:B31)+C32*AM886*AP886/(1+AL886/100)^$B$6</f>
        <v/>
      </c>
      <c r="AS886">
        <f>SUMPRODUCT((K24:K26&lt;=$B$6)*(L24:L26*AN886+M24:M26*AO886*$B$8*AQ886)/(1+AL886/100)^K24:K26)+L27*AN886*AP886/(1+AL886/100)^$B$6</f>
        <v/>
      </c>
      <c r="AT886">
        <f>AS886-AR886</f>
        <v/>
      </c>
      <c r="AU886">
        <f>RAND()</f>
        <v/>
      </c>
      <c r="AV886">
        <f>RAND()</f>
        <v/>
      </c>
      <c r="AW886">
        <f>RAND()</f>
        <v/>
      </c>
      <c r="AX886">
        <f>RAND()</f>
        <v/>
      </c>
      <c r="AY886">
        <f>RAND()</f>
        <v/>
      </c>
      <c r="AZ886">
        <f>RAND()</f>
        <v/>
      </c>
    </row>
    <row r="887">
      <c r="AK887" t="n">
        <v>874</v>
      </c>
      <c r="AL887">
        <f>IFERROR(IF(AU887&lt;($AM$6-$AL$6)/($AN$6-$AL$6),$AL$6+SQRT(AU887*($AN$6-$AL$6)*($AM$6-$AL$6)),$AN$6-SQRT((1-AU887)*($AN$6-$AL$6)*($AN$6-$AM$6))),$AM$6)</f>
        <v/>
      </c>
      <c r="AM887">
        <f>IFERROR(IF(AV887&lt;($AM$7-$AL$7)/($AN$7-$AL$7),$AL$7+SQRT(AV887*($AN$7-$AL$7)*($AM$7-$AL$7)),$AN$7-SQRT((1-AV887)*($AN$7-$AL$7)*($AN$7-$AM$7))),$AM$7)</f>
        <v/>
      </c>
      <c r="AN887">
        <f>IFERROR(IF(AW887&lt;($AM$8-$AL$8)/($AN$8-$AL$8),$AL$8+SQRT(AW887*($AN$8-$AL$8)*($AM$8-$AL$8)),$AN$8-SQRT((1-AW887)*($AN$8-$AL$8)*($AN$8-$AM$8))),$AM$8)</f>
        <v/>
      </c>
      <c r="AO887">
        <f>IFERROR(IF(AX887&lt;($AM$9-$AL$9)/($AN$9-$AL$9),$AL$9+SQRT(AX887*($AN$9-$AL$9)*($AM$9-$AL$9)),$AN$9-SQRT((1-AX887)*($AN$9-$AL$9)*($AN$9-$AM$9))),$AM$9)</f>
        <v/>
      </c>
      <c r="AP887">
        <f>IFERROR(IF(AY887&lt;($AM$10-$AL$10)/($AN$10-$AL$10),$AL$10+SQRT(AY887*($AN$10-$AL$10)*($AM$10-$AL$10)),$AN$10-SQRT((1-AY887)*($AN$10-$AL$10)*($AN$10-$AM$10))),$AM$10)</f>
        <v/>
      </c>
      <c r="AQ887">
        <f>IFERROR(IF(AZ887&lt;($AM$11-$AL$11)/($AN$11-$AL$11),$AL$11+SQRT(AZ887*($AN$11-$AL$11)*($AM$11-$AL$11)),$AN$11-SQRT((1-AZ887)*($AN$11-$AL$11)*($AN$11-$AM$11))),$AM$11)</f>
        <v/>
      </c>
      <c r="AR887">
        <f>SUMPRODUCT((B24:B31&lt;=$B$6)*(C24:C31*AM887+D24:D31*AO887*$B$8*AQ887)/(1+AL887/100)^B24:B31)+C32*AM887*AP887/(1+AL887/100)^$B$6</f>
        <v/>
      </c>
      <c r="AS887">
        <f>SUMPRODUCT((K24:K26&lt;=$B$6)*(L24:L26*AN887+M24:M26*AO887*$B$8*AQ887)/(1+AL887/100)^K24:K26)+L27*AN887*AP887/(1+AL887/100)^$B$6</f>
        <v/>
      </c>
      <c r="AT887">
        <f>AS887-AR887</f>
        <v/>
      </c>
      <c r="AU887">
        <f>RAND()</f>
        <v/>
      </c>
      <c r="AV887">
        <f>RAND()</f>
        <v/>
      </c>
      <c r="AW887">
        <f>RAND()</f>
        <v/>
      </c>
      <c r="AX887">
        <f>RAND()</f>
        <v/>
      </c>
      <c r="AY887">
        <f>RAND()</f>
        <v/>
      </c>
      <c r="AZ887">
        <f>RAND()</f>
        <v/>
      </c>
    </row>
    <row r="888">
      <c r="AK888" t="n">
        <v>875</v>
      </c>
      <c r="AL888">
        <f>IFERROR(IF(AU888&lt;($AM$6-$AL$6)/($AN$6-$AL$6),$AL$6+SQRT(AU888*($AN$6-$AL$6)*($AM$6-$AL$6)),$AN$6-SQRT((1-AU888)*($AN$6-$AL$6)*($AN$6-$AM$6))),$AM$6)</f>
        <v/>
      </c>
      <c r="AM888">
        <f>IFERROR(IF(AV888&lt;($AM$7-$AL$7)/($AN$7-$AL$7),$AL$7+SQRT(AV888*($AN$7-$AL$7)*($AM$7-$AL$7)),$AN$7-SQRT((1-AV888)*($AN$7-$AL$7)*($AN$7-$AM$7))),$AM$7)</f>
        <v/>
      </c>
      <c r="AN888">
        <f>IFERROR(IF(AW888&lt;($AM$8-$AL$8)/($AN$8-$AL$8),$AL$8+SQRT(AW888*($AN$8-$AL$8)*($AM$8-$AL$8)),$AN$8-SQRT((1-AW888)*($AN$8-$AL$8)*($AN$8-$AM$8))),$AM$8)</f>
        <v/>
      </c>
      <c r="AO888">
        <f>IFERROR(IF(AX888&lt;($AM$9-$AL$9)/($AN$9-$AL$9),$AL$9+SQRT(AX888*($AN$9-$AL$9)*($AM$9-$AL$9)),$AN$9-SQRT((1-AX888)*($AN$9-$AL$9)*($AN$9-$AM$9))),$AM$9)</f>
        <v/>
      </c>
      <c r="AP888">
        <f>IFERROR(IF(AY888&lt;($AM$10-$AL$10)/($AN$10-$AL$10),$AL$10+SQRT(AY888*($AN$10-$AL$10)*($AM$10-$AL$10)),$AN$10-SQRT((1-AY888)*($AN$10-$AL$10)*($AN$10-$AM$10))),$AM$10)</f>
        <v/>
      </c>
      <c r="AQ888">
        <f>IFERROR(IF(AZ888&lt;($AM$11-$AL$11)/($AN$11-$AL$11),$AL$11+SQRT(AZ888*($AN$11-$AL$11)*($AM$11-$AL$11)),$AN$11-SQRT((1-AZ888)*($AN$11-$AL$11)*($AN$11-$AM$11))),$AM$11)</f>
        <v/>
      </c>
      <c r="AR888">
        <f>SUMPRODUCT((B24:B31&lt;=$B$6)*(C24:C31*AM888+D24:D31*AO888*$B$8*AQ888)/(1+AL888/100)^B24:B31)+C32*AM888*AP888/(1+AL888/100)^$B$6</f>
        <v/>
      </c>
      <c r="AS888">
        <f>SUMPRODUCT((K24:K26&lt;=$B$6)*(L24:L26*AN888+M24:M26*AO888*$B$8*AQ888)/(1+AL888/100)^K24:K26)+L27*AN888*AP888/(1+AL888/100)^$B$6</f>
        <v/>
      </c>
      <c r="AT888">
        <f>AS888-AR888</f>
        <v/>
      </c>
      <c r="AU888">
        <f>RAND()</f>
        <v/>
      </c>
      <c r="AV888">
        <f>RAND()</f>
        <v/>
      </c>
      <c r="AW888">
        <f>RAND()</f>
        <v/>
      </c>
      <c r="AX888">
        <f>RAND()</f>
        <v/>
      </c>
      <c r="AY888">
        <f>RAND()</f>
        <v/>
      </c>
      <c r="AZ888">
        <f>RAND()</f>
        <v/>
      </c>
    </row>
    <row r="889">
      <c r="AK889" t="n">
        <v>876</v>
      </c>
      <c r="AL889">
        <f>IFERROR(IF(AU889&lt;($AM$6-$AL$6)/($AN$6-$AL$6),$AL$6+SQRT(AU889*($AN$6-$AL$6)*($AM$6-$AL$6)),$AN$6-SQRT((1-AU889)*($AN$6-$AL$6)*($AN$6-$AM$6))),$AM$6)</f>
        <v/>
      </c>
      <c r="AM889">
        <f>IFERROR(IF(AV889&lt;($AM$7-$AL$7)/($AN$7-$AL$7),$AL$7+SQRT(AV889*($AN$7-$AL$7)*($AM$7-$AL$7)),$AN$7-SQRT((1-AV889)*($AN$7-$AL$7)*($AN$7-$AM$7))),$AM$7)</f>
        <v/>
      </c>
      <c r="AN889">
        <f>IFERROR(IF(AW889&lt;($AM$8-$AL$8)/($AN$8-$AL$8),$AL$8+SQRT(AW889*($AN$8-$AL$8)*($AM$8-$AL$8)),$AN$8-SQRT((1-AW889)*($AN$8-$AL$8)*($AN$8-$AM$8))),$AM$8)</f>
        <v/>
      </c>
      <c r="AO889">
        <f>IFERROR(IF(AX889&lt;($AM$9-$AL$9)/($AN$9-$AL$9),$AL$9+SQRT(AX889*($AN$9-$AL$9)*($AM$9-$AL$9)),$AN$9-SQRT((1-AX889)*($AN$9-$AL$9)*($AN$9-$AM$9))),$AM$9)</f>
        <v/>
      </c>
      <c r="AP889">
        <f>IFERROR(IF(AY889&lt;($AM$10-$AL$10)/($AN$10-$AL$10),$AL$10+SQRT(AY889*($AN$10-$AL$10)*($AM$10-$AL$10)),$AN$10-SQRT((1-AY889)*($AN$10-$AL$10)*($AN$10-$AM$10))),$AM$10)</f>
        <v/>
      </c>
      <c r="AQ889">
        <f>IFERROR(IF(AZ889&lt;($AM$11-$AL$11)/($AN$11-$AL$11),$AL$11+SQRT(AZ889*($AN$11-$AL$11)*($AM$11-$AL$11)),$AN$11-SQRT((1-AZ889)*($AN$11-$AL$11)*($AN$11-$AM$11))),$AM$11)</f>
        <v/>
      </c>
      <c r="AR889">
        <f>SUMPRODUCT((B24:B31&lt;=$B$6)*(C24:C31*AM889+D24:D31*AO889*$B$8*AQ889)/(1+AL889/100)^B24:B31)+C32*AM889*AP889/(1+AL889/100)^$B$6</f>
        <v/>
      </c>
      <c r="AS889">
        <f>SUMPRODUCT((K24:K26&lt;=$B$6)*(L24:L26*AN889+M24:M26*AO889*$B$8*AQ889)/(1+AL889/100)^K24:K26)+L27*AN889*AP889/(1+AL889/100)^$B$6</f>
        <v/>
      </c>
      <c r="AT889">
        <f>AS889-AR889</f>
        <v/>
      </c>
      <c r="AU889">
        <f>RAND()</f>
        <v/>
      </c>
      <c r="AV889">
        <f>RAND()</f>
        <v/>
      </c>
      <c r="AW889">
        <f>RAND()</f>
        <v/>
      </c>
      <c r="AX889">
        <f>RAND()</f>
        <v/>
      </c>
      <c r="AY889">
        <f>RAND()</f>
        <v/>
      </c>
      <c r="AZ889">
        <f>RAND()</f>
        <v/>
      </c>
    </row>
    <row r="890">
      <c r="AK890" t="n">
        <v>877</v>
      </c>
      <c r="AL890">
        <f>IFERROR(IF(AU890&lt;($AM$6-$AL$6)/($AN$6-$AL$6),$AL$6+SQRT(AU890*($AN$6-$AL$6)*($AM$6-$AL$6)),$AN$6-SQRT((1-AU890)*($AN$6-$AL$6)*($AN$6-$AM$6))),$AM$6)</f>
        <v/>
      </c>
      <c r="AM890">
        <f>IFERROR(IF(AV890&lt;($AM$7-$AL$7)/($AN$7-$AL$7),$AL$7+SQRT(AV890*($AN$7-$AL$7)*($AM$7-$AL$7)),$AN$7-SQRT((1-AV890)*($AN$7-$AL$7)*($AN$7-$AM$7))),$AM$7)</f>
        <v/>
      </c>
      <c r="AN890">
        <f>IFERROR(IF(AW890&lt;($AM$8-$AL$8)/($AN$8-$AL$8),$AL$8+SQRT(AW890*($AN$8-$AL$8)*($AM$8-$AL$8)),$AN$8-SQRT((1-AW890)*($AN$8-$AL$8)*($AN$8-$AM$8))),$AM$8)</f>
        <v/>
      </c>
      <c r="AO890">
        <f>IFERROR(IF(AX890&lt;($AM$9-$AL$9)/($AN$9-$AL$9),$AL$9+SQRT(AX890*($AN$9-$AL$9)*($AM$9-$AL$9)),$AN$9-SQRT((1-AX890)*($AN$9-$AL$9)*($AN$9-$AM$9))),$AM$9)</f>
        <v/>
      </c>
      <c r="AP890">
        <f>IFERROR(IF(AY890&lt;($AM$10-$AL$10)/($AN$10-$AL$10),$AL$10+SQRT(AY890*($AN$10-$AL$10)*($AM$10-$AL$10)),$AN$10-SQRT((1-AY890)*($AN$10-$AL$10)*($AN$10-$AM$10))),$AM$10)</f>
        <v/>
      </c>
      <c r="AQ890">
        <f>IFERROR(IF(AZ890&lt;($AM$11-$AL$11)/($AN$11-$AL$11),$AL$11+SQRT(AZ890*($AN$11-$AL$11)*($AM$11-$AL$11)),$AN$11-SQRT((1-AZ890)*($AN$11-$AL$11)*($AN$11-$AM$11))),$AM$11)</f>
        <v/>
      </c>
      <c r="AR890">
        <f>SUMPRODUCT((B24:B31&lt;=$B$6)*(C24:C31*AM890+D24:D31*AO890*$B$8*AQ890)/(1+AL890/100)^B24:B31)+C32*AM890*AP890/(1+AL890/100)^$B$6</f>
        <v/>
      </c>
      <c r="AS890">
        <f>SUMPRODUCT((K24:K26&lt;=$B$6)*(L24:L26*AN890+M24:M26*AO890*$B$8*AQ890)/(1+AL890/100)^K24:K26)+L27*AN890*AP890/(1+AL890/100)^$B$6</f>
        <v/>
      </c>
      <c r="AT890">
        <f>AS890-AR890</f>
        <v/>
      </c>
      <c r="AU890">
        <f>RAND()</f>
        <v/>
      </c>
      <c r="AV890">
        <f>RAND()</f>
        <v/>
      </c>
      <c r="AW890">
        <f>RAND()</f>
        <v/>
      </c>
      <c r="AX890">
        <f>RAND()</f>
        <v/>
      </c>
      <c r="AY890">
        <f>RAND()</f>
        <v/>
      </c>
      <c r="AZ890">
        <f>RAND()</f>
        <v/>
      </c>
    </row>
    <row r="891">
      <c r="AK891" t="n">
        <v>878</v>
      </c>
      <c r="AL891">
        <f>IFERROR(IF(AU891&lt;($AM$6-$AL$6)/($AN$6-$AL$6),$AL$6+SQRT(AU891*($AN$6-$AL$6)*($AM$6-$AL$6)),$AN$6-SQRT((1-AU891)*($AN$6-$AL$6)*($AN$6-$AM$6))),$AM$6)</f>
        <v/>
      </c>
      <c r="AM891">
        <f>IFERROR(IF(AV891&lt;($AM$7-$AL$7)/($AN$7-$AL$7),$AL$7+SQRT(AV891*($AN$7-$AL$7)*($AM$7-$AL$7)),$AN$7-SQRT((1-AV891)*($AN$7-$AL$7)*($AN$7-$AM$7))),$AM$7)</f>
        <v/>
      </c>
      <c r="AN891">
        <f>IFERROR(IF(AW891&lt;($AM$8-$AL$8)/($AN$8-$AL$8),$AL$8+SQRT(AW891*($AN$8-$AL$8)*($AM$8-$AL$8)),$AN$8-SQRT((1-AW891)*($AN$8-$AL$8)*($AN$8-$AM$8))),$AM$8)</f>
        <v/>
      </c>
      <c r="AO891">
        <f>IFERROR(IF(AX891&lt;($AM$9-$AL$9)/($AN$9-$AL$9),$AL$9+SQRT(AX891*($AN$9-$AL$9)*($AM$9-$AL$9)),$AN$9-SQRT((1-AX891)*($AN$9-$AL$9)*($AN$9-$AM$9))),$AM$9)</f>
        <v/>
      </c>
      <c r="AP891">
        <f>IFERROR(IF(AY891&lt;($AM$10-$AL$10)/($AN$10-$AL$10),$AL$10+SQRT(AY891*($AN$10-$AL$10)*($AM$10-$AL$10)),$AN$10-SQRT((1-AY891)*($AN$10-$AL$10)*($AN$10-$AM$10))),$AM$10)</f>
        <v/>
      </c>
      <c r="AQ891">
        <f>IFERROR(IF(AZ891&lt;($AM$11-$AL$11)/($AN$11-$AL$11),$AL$11+SQRT(AZ891*($AN$11-$AL$11)*($AM$11-$AL$11)),$AN$11-SQRT((1-AZ891)*($AN$11-$AL$11)*($AN$11-$AM$11))),$AM$11)</f>
        <v/>
      </c>
      <c r="AR891">
        <f>SUMPRODUCT((B24:B31&lt;=$B$6)*(C24:C31*AM891+D24:D31*AO891*$B$8*AQ891)/(1+AL891/100)^B24:B31)+C32*AM891*AP891/(1+AL891/100)^$B$6</f>
        <v/>
      </c>
      <c r="AS891">
        <f>SUMPRODUCT((K24:K26&lt;=$B$6)*(L24:L26*AN891+M24:M26*AO891*$B$8*AQ891)/(1+AL891/100)^K24:K26)+L27*AN891*AP891/(1+AL891/100)^$B$6</f>
        <v/>
      </c>
      <c r="AT891">
        <f>AS891-AR891</f>
        <v/>
      </c>
      <c r="AU891">
        <f>RAND()</f>
        <v/>
      </c>
      <c r="AV891">
        <f>RAND()</f>
        <v/>
      </c>
      <c r="AW891">
        <f>RAND()</f>
        <v/>
      </c>
      <c r="AX891">
        <f>RAND()</f>
        <v/>
      </c>
      <c r="AY891">
        <f>RAND()</f>
        <v/>
      </c>
      <c r="AZ891">
        <f>RAND()</f>
        <v/>
      </c>
    </row>
    <row r="892">
      <c r="AK892" t="n">
        <v>879</v>
      </c>
      <c r="AL892">
        <f>IFERROR(IF(AU892&lt;($AM$6-$AL$6)/($AN$6-$AL$6),$AL$6+SQRT(AU892*($AN$6-$AL$6)*($AM$6-$AL$6)),$AN$6-SQRT((1-AU892)*($AN$6-$AL$6)*($AN$6-$AM$6))),$AM$6)</f>
        <v/>
      </c>
      <c r="AM892">
        <f>IFERROR(IF(AV892&lt;($AM$7-$AL$7)/($AN$7-$AL$7),$AL$7+SQRT(AV892*($AN$7-$AL$7)*($AM$7-$AL$7)),$AN$7-SQRT((1-AV892)*($AN$7-$AL$7)*($AN$7-$AM$7))),$AM$7)</f>
        <v/>
      </c>
      <c r="AN892">
        <f>IFERROR(IF(AW892&lt;($AM$8-$AL$8)/($AN$8-$AL$8),$AL$8+SQRT(AW892*($AN$8-$AL$8)*($AM$8-$AL$8)),$AN$8-SQRT((1-AW892)*($AN$8-$AL$8)*($AN$8-$AM$8))),$AM$8)</f>
        <v/>
      </c>
      <c r="AO892">
        <f>IFERROR(IF(AX892&lt;($AM$9-$AL$9)/($AN$9-$AL$9),$AL$9+SQRT(AX892*($AN$9-$AL$9)*($AM$9-$AL$9)),$AN$9-SQRT((1-AX892)*($AN$9-$AL$9)*($AN$9-$AM$9))),$AM$9)</f>
        <v/>
      </c>
      <c r="AP892">
        <f>IFERROR(IF(AY892&lt;($AM$10-$AL$10)/($AN$10-$AL$10),$AL$10+SQRT(AY892*($AN$10-$AL$10)*($AM$10-$AL$10)),$AN$10-SQRT((1-AY892)*($AN$10-$AL$10)*($AN$10-$AM$10))),$AM$10)</f>
        <v/>
      </c>
      <c r="AQ892">
        <f>IFERROR(IF(AZ892&lt;($AM$11-$AL$11)/($AN$11-$AL$11),$AL$11+SQRT(AZ892*($AN$11-$AL$11)*($AM$11-$AL$11)),$AN$11-SQRT((1-AZ892)*($AN$11-$AL$11)*($AN$11-$AM$11))),$AM$11)</f>
        <v/>
      </c>
      <c r="AR892">
        <f>SUMPRODUCT((B24:B31&lt;=$B$6)*(C24:C31*AM892+D24:D31*AO892*$B$8*AQ892)/(1+AL892/100)^B24:B31)+C32*AM892*AP892/(1+AL892/100)^$B$6</f>
        <v/>
      </c>
      <c r="AS892">
        <f>SUMPRODUCT((K24:K26&lt;=$B$6)*(L24:L26*AN892+M24:M26*AO892*$B$8*AQ892)/(1+AL892/100)^K24:K26)+L27*AN892*AP892/(1+AL892/100)^$B$6</f>
        <v/>
      </c>
      <c r="AT892">
        <f>AS892-AR892</f>
        <v/>
      </c>
      <c r="AU892">
        <f>RAND()</f>
        <v/>
      </c>
      <c r="AV892">
        <f>RAND()</f>
        <v/>
      </c>
      <c r="AW892">
        <f>RAND()</f>
        <v/>
      </c>
      <c r="AX892">
        <f>RAND()</f>
        <v/>
      </c>
      <c r="AY892">
        <f>RAND()</f>
        <v/>
      </c>
      <c r="AZ892">
        <f>RAND()</f>
        <v/>
      </c>
    </row>
    <row r="893">
      <c r="AK893" t="n">
        <v>880</v>
      </c>
      <c r="AL893">
        <f>IFERROR(IF(AU893&lt;($AM$6-$AL$6)/($AN$6-$AL$6),$AL$6+SQRT(AU893*($AN$6-$AL$6)*($AM$6-$AL$6)),$AN$6-SQRT((1-AU893)*($AN$6-$AL$6)*($AN$6-$AM$6))),$AM$6)</f>
        <v/>
      </c>
      <c r="AM893">
        <f>IFERROR(IF(AV893&lt;($AM$7-$AL$7)/($AN$7-$AL$7),$AL$7+SQRT(AV893*($AN$7-$AL$7)*($AM$7-$AL$7)),$AN$7-SQRT((1-AV893)*($AN$7-$AL$7)*($AN$7-$AM$7))),$AM$7)</f>
        <v/>
      </c>
      <c r="AN893">
        <f>IFERROR(IF(AW893&lt;($AM$8-$AL$8)/($AN$8-$AL$8),$AL$8+SQRT(AW893*($AN$8-$AL$8)*($AM$8-$AL$8)),$AN$8-SQRT((1-AW893)*($AN$8-$AL$8)*($AN$8-$AM$8))),$AM$8)</f>
        <v/>
      </c>
      <c r="AO893">
        <f>IFERROR(IF(AX893&lt;($AM$9-$AL$9)/($AN$9-$AL$9),$AL$9+SQRT(AX893*($AN$9-$AL$9)*($AM$9-$AL$9)),$AN$9-SQRT((1-AX893)*($AN$9-$AL$9)*($AN$9-$AM$9))),$AM$9)</f>
        <v/>
      </c>
      <c r="AP893">
        <f>IFERROR(IF(AY893&lt;($AM$10-$AL$10)/($AN$10-$AL$10),$AL$10+SQRT(AY893*($AN$10-$AL$10)*($AM$10-$AL$10)),$AN$10-SQRT((1-AY893)*($AN$10-$AL$10)*($AN$10-$AM$10))),$AM$10)</f>
        <v/>
      </c>
      <c r="AQ893">
        <f>IFERROR(IF(AZ893&lt;($AM$11-$AL$11)/($AN$11-$AL$11),$AL$11+SQRT(AZ893*($AN$11-$AL$11)*($AM$11-$AL$11)),$AN$11-SQRT((1-AZ893)*($AN$11-$AL$11)*($AN$11-$AM$11))),$AM$11)</f>
        <v/>
      </c>
      <c r="AR893">
        <f>SUMPRODUCT((B24:B31&lt;=$B$6)*(C24:C31*AM893+D24:D31*AO893*$B$8*AQ893)/(1+AL893/100)^B24:B31)+C32*AM893*AP893/(1+AL893/100)^$B$6</f>
        <v/>
      </c>
      <c r="AS893">
        <f>SUMPRODUCT((K24:K26&lt;=$B$6)*(L24:L26*AN893+M24:M26*AO893*$B$8*AQ893)/(1+AL893/100)^K24:K26)+L27*AN893*AP893/(1+AL893/100)^$B$6</f>
        <v/>
      </c>
      <c r="AT893">
        <f>AS893-AR893</f>
        <v/>
      </c>
      <c r="AU893">
        <f>RAND()</f>
        <v/>
      </c>
      <c r="AV893">
        <f>RAND()</f>
        <v/>
      </c>
      <c r="AW893">
        <f>RAND()</f>
        <v/>
      </c>
      <c r="AX893">
        <f>RAND()</f>
        <v/>
      </c>
      <c r="AY893">
        <f>RAND()</f>
        <v/>
      </c>
      <c r="AZ893">
        <f>RAND()</f>
        <v/>
      </c>
    </row>
    <row r="894">
      <c r="AK894" t="n">
        <v>881</v>
      </c>
      <c r="AL894">
        <f>IFERROR(IF(AU894&lt;($AM$6-$AL$6)/($AN$6-$AL$6),$AL$6+SQRT(AU894*($AN$6-$AL$6)*($AM$6-$AL$6)),$AN$6-SQRT((1-AU894)*($AN$6-$AL$6)*($AN$6-$AM$6))),$AM$6)</f>
        <v/>
      </c>
      <c r="AM894">
        <f>IFERROR(IF(AV894&lt;($AM$7-$AL$7)/($AN$7-$AL$7),$AL$7+SQRT(AV894*($AN$7-$AL$7)*($AM$7-$AL$7)),$AN$7-SQRT((1-AV894)*($AN$7-$AL$7)*($AN$7-$AM$7))),$AM$7)</f>
        <v/>
      </c>
      <c r="AN894">
        <f>IFERROR(IF(AW894&lt;($AM$8-$AL$8)/($AN$8-$AL$8),$AL$8+SQRT(AW894*($AN$8-$AL$8)*($AM$8-$AL$8)),$AN$8-SQRT((1-AW894)*($AN$8-$AL$8)*($AN$8-$AM$8))),$AM$8)</f>
        <v/>
      </c>
      <c r="AO894">
        <f>IFERROR(IF(AX894&lt;($AM$9-$AL$9)/($AN$9-$AL$9),$AL$9+SQRT(AX894*($AN$9-$AL$9)*($AM$9-$AL$9)),$AN$9-SQRT((1-AX894)*($AN$9-$AL$9)*($AN$9-$AM$9))),$AM$9)</f>
        <v/>
      </c>
      <c r="AP894">
        <f>IFERROR(IF(AY894&lt;($AM$10-$AL$10)/($AN$10-$AL$10),$AL$10+SQRT(AY894*($AN$10-$AL$10)*($AM$10-$AL$10)),$AN$10-SQRT((1-AY894)*($AN$10-$AL$10)*($AN$10-$AM$10))),$AM$10)</f>
        <v/>
      </c>
      <c r="AQ894">
        <f>IFERROR(IF(AZ894&lt;($AM$11-$AL$11)/($AN$11-$AL$11),$AL$11+SQRT(AZ894*($AN$11-$AL$11)*($AM$11-$AL$11)),$AN$11-SQRT((1-AZ894)*($AN$11-$AL$11)*($AN$11-$AM$11))),$AM$11)</f>
        <v/>
      </c>
      <c r="AR894">
        <f>SUMPRODUCT((B24:B31&lt;=$B$6)*(C24:C31*AM894+D24:D31*AO894*$B$8*AQ894)/(1+AL894/100)^B24:B31)+C32*AM894*AP894/(1+AL894/100)^$B$6</f>
        <v/>
      </c>
      <c r="AS894">
        <f>SUMPRODUCT((K24:K26&lt;=$B$6)*(L24:L26*AN894+M24:M26*AO894*$B$8*AQ894)/(1+AL894/100)^K24:K26)+L27*AN894*AP894/(1+AL894/100)^$B$6</f>
        <v/>
      </c>
      <c r="AT894">
        <f>AS894-AR894</f>
        <v/>
      </c>
      <c r="AU894">
        <f>RAND()</f>
        <v/>
      </c>
      <c r="AV894">
        <f>RAND()</f>
        <v/>
      </c>
      <c r="AW894">
        <f>RAND()</f>
        <v/>
      </c>
      <c r="AX894">
        <f>RAND()</f>
        <v/>
      </c>
      <c r="AY894">
        <f>RAND()</f>
        <v/>
      </c>
      <c r="AZ894">
        <f>RAND()</f>
        <v/>
      </c>
    </row>
    <row r="895">
      <c r="AK895" t="n">
        <v>882</v>
      </c>
      <c r="AL895">
        <f>IFERROR(IF(AU895&lt;($AM$6-$AL$6)/($AN$6-$AL$6),$AL$6+SQRT(AU895*($AN$6-$AL$6)*($AM$6-$AL$6)),$AN$6-SQRT((1-AU895)*($AN$6-$AL$6)*($AN$6-$AM$6))),$AM$6)</f>
        <v/>
      </c>
      <c r="AM895">
        <f>IFERROR(IF(AV895&lt;($AM$7-$AL$7)/($AN$7-$AL$7),$AL$7+SQRT(AV895*($AN$7-$AL$7)*($AM$7-$AL$7)),$AN$7-SQRT((1-AV895)*($AN$7-$AL$7)*($AN$7-$AM$7))),$AM$7)</f>
        <v/>
      </c>
      <c r="AN895">
        <f>IFERROR(IF(AW895&lt;($AM$8-$AL$8)/($AN$8-$AL$8),$AL$8+SQRT(AW895*($AN$8-$AL$8)*($AM$8-$AL$8)),$AN$8-SQRT((1-AW895)*($AN$8-$AL$8)*($AN$8-$AM$8))),$AM$8)</f>
        <v/>
      </c>
      <c r="AO895">
        <f>IFERROR(IF(AX895&lt;($AM$9-$AL$9)/($AN$9-$AL$9),$AL$9+SQRT(AX895*($AN$9-$AL$9)*($AM$9-$AL$9)),$AN$9-SQRT((1-AX895)*($AN$9-$AL$9)*($AN$9-$AM$9))),$AM$9)</f>
        <v/>
      </c>
      <c r="AP895">
        <f>IFERROR(IF(AY895&lt;($AM$10-$AL$10)/($AN$10-$AL$10),$AL$10+SQRT(AY895*($AN$10-$AL$10)*($AM$10-$AL$10)),$AN$10-SQRT((1-AY895)*($AN$10-$AL$10)*($AN$10-$AM$10))),$AM$10)</f>
        <v/>
      </c>
      <c r="AQ895">
        <f>IFERROR(IF(AZ895&lt;($AM$11-$AL$11)/($AN$11-$AL$11),$AL$11+SQRT(AZ895*($AN$11-$AL$11)*($AM$11-$AL$11)),$AN$11-SQRT((1-AZ895)*($AN$11-$AL$11)*($AN$11-$AM$11))),$AM$11)</f>
        <v/>
      </c>
      <c r="AR895">
        <f>SUMPRODUCT((B24:B31&lt;=$B$6)*(C24:C31*AM895+D24:D31*AO895*$B$8*AQ895)/(1+AL895/100)^B24:B31)+C32*AM895*AP895/(1+AL895/100)^$B$6</f>
        <v/>
      </c>
      <c r="AS895">
        <f>SUMPRODUCT((K24:K26&lt;=$B$6)*(L24:L26*AN895+M24:M26*AO895*$B$8*AQ895)/(1+AL895/100)^K24:K26)+L27*AN895*AP895/(1+AL895/100)^$B$6</f>
        <v/>
      </c>
      <c r="AT895">
        <f>AS895-AR895</f>
        <v/>
      </c>
      <c r="AU895">
        <f>RAND()</f>
        <v/>
      </c>
      <c r="AV895">
        <f>RAND()</f>
        <v/>
      </c>
      <c r="AW895">
        <f>RAND()</f>
        <v/>
      </c>
      <c r="AX895">
        <f>RAND()</f>
        <v/>
      </c>
      <c r="AY895">
        <f>RAND()</f>
        <v/>
      </c>
      <c r="AZ895">
        <f>RAND()</f>
        <v/>
      </c>
    </row>
    <row r="896">
      <c r="AK896" t="n">
        <v>883</v>
      </c>
      <c r="AL896">
        <f>IFERROR(IF(AU896&lt;($AM$6-$AL$6)/($AN$6-$AL$6),$AL$6+SQRT(AU896*($AN$6-$AL$6)*($AM$6-$AL$6)),$AN$6-SQRT((1-AU896)*($AN$6-$AL$6)*($AN$6-$AM$6))),$AM$6)</f>
        <v/>
      </c>
      <c r="AM896">
        <f>IFERROR(IF(AV896&lt;($AM$7-$AL$7)/($AN$7-$AL$7),$AL$7+SQRT(AV896*($AN$7-$AL$7)*($AM$7-$AL$7)),$AN$7-SQRT((1-AV896)*($AN$7-$AL$7)*($AN$7-$AM$7))),$AM$7)</f>
        <v/>
      </c>
      <c r="AN896">
        <f>IFERROR(IF(AW896&lt;($AM$8-$AL$8)/($AN$8-$AL$8),$AL$8+SQRT(AW896*($AN$8-$AL$8)*($AM$8-$AL$8)),$AN$8-SQRT((1-AW896)*($AN$8-$AL$8)*($AN$8-$AM$8))),$AM$8)</f>
        <v/>
      </c>
      <c r="AO896">
        <f>IFERROR(IF(AX896&lt;($AM$9-$AL$9)/($AN$9-$AL$9),$AL$9+SQRT(AX896*($AN$9-$AL$9)*($AM$9-$AL$9)),$AN$9-SQRT((1-AX896)*($AN$9-$AL$9)*($AN$9-$AM$9))),$AM$9)</f>
        <v/>
      </c>
      <c r="AP896">
        <f>IFERROR(IF(AY896&lt;($AM$10-$AL$10)/($AN$10-$AL$10),$AL$10+SQRT(AY896*($AN$10-$AL$10)*($AM$10-$AL$10)),$AN$10-SQRT((1-AY896)*($AN$10-$AL$10)*($AN$10-$AM$10))),$AM$10)</f>
        <v/>
      </c>
      <c r="AQ896">
        <f>IFERROR(IF(AZ896&lt;($AM$11-$AL$11)/($AN$11-$AL$11),$AL$11+SQRT(AZ896*($AN$11-$AL$11)*($AM$11-$AL$11)),$AN$11-SQRT((1-AZ896)*($AN$11-$AL$11)*($AN$11-$AM$11))),$AM$11)</f>
        <v/>
      </c>
      <c r="AR896">
        <f>SUMPRODUCT((B24:B31&lt;=$B$6)*(C24:C31*AM896+D24:D31*AO896*$B$8*AQ896)/(1+AL896/100)^B24:B31)+C32*AM896*AP896/(1+AL896/100)^$B$6</f>
        <v/>
      </c>
      <c r="AS896">
        <f>SUMPRODUCT((K24:K26&lt;=$B$6)*(L24:L26*AN896+M24:M26*AO896*$B$8*AQ896)/(1+AL896/100)^K24:K26)+L27*AN896*AP896/(1+AL896/100)^$B$6</f>
        <v/>
      </c>
      <c r="AT896">
        <f>AS896-AR896</f>
        <v/>
      </c>
      <c r="AU896">
        <f>RAND()</f>
        <v/>
      </c>
      <c r="AV896">
        <f>RAND()</f>
        <v/>
      </c>
      <c r="AW896">
        <f>RAND()</f>
        <v/>
      </c>
      <c r="AX896">
        <f>RAND()</f>
        <v/>
      </c>
      <c r="AY896">
        <f>RAND()</f>
        <v/>
      </c>
      <c r="AZ896">
        <f>RAND()</f>
        <v/>
      </c>
    </row>
    <row r="897">
      <c r="AK897" t="n">
        <v>884</v>
      </c>
      <c r="AL897">
        <f>IFERROR(IF(AU897&lt;($AM$6-$AL$6)/($AN$6-$AL$6),$AL$6+SQRT(AU897*($AN$6-$AL$6)*($AM$6-$AL$6)),$AN$6-SQRT((1-AU897)*($AN$6-$AL$6)*($AN$6-$AM$6))),$AM$6)</f>
        <v/>
      </c>
      <c r="AM897">
        <f>IFERROR(IF(AV897&lt;($AM$7-$AL$7)/($AN$7-$AL$7),$AL$7+SQRT(AV897*($AN$7-$AL$7)*($AM$7-$AL$7)),$AN$7-SQRT((1-AV897)*($AN$7-$AL$7)*($AN$7-$AM$7))),$AM$7)</f>
        <v/>
      </c>
      <c r="AN897">
        <f>IFERROR(IF(AW897&lt;($AM$8-$AL$8)/($AN$8-$AL$8),$AL$8+SQRT(AW897*($AN$8-$AL$8)*($AM$8-$AL$8)),$AN$8-SQRT((1-AW897)*($AN$8-$AL$8)*($AN$8-$AM$8))),$AM$8)</f>
        <v/>
      </c>
      <c r="AO897">
        <f>IFERROR(IF(AX897&lt;($AM$9-$AL$9)/($AN$9-$AL$9),$AL$9+SQRT(AX897*($AN$9-$AL$9)*($AM$9-$AL$9)),$AN$9-SQRT((1-AX897)*($AN$9-$AL$9)*($AN$9-$AM$9))),$AM$9)</f>
        <v/>
      </c>
      <c r="AP897">
        <f>IFERROR(IF(AY897&lt;($AM$10-$AL$10)/($AN$10-$AL$10),$AL$10+SQRT(AY897*($AN$10-$AL$10)*($AM$10-$AL$10)),$AN$10-SQRT((1-AY897)*($AN$10-$AL$10)*($AN$10-$AM$10))),$AM$10)</f>
        <v/>
      </c>
      <c r="AQ897">
        <f>IFERROR(IF(AZ897&lt;($AM$11-$AL$11)/($AN$11-$AL$11),$AL$11+SQRT(AZ897*($AN$11-$AL$11)*($AM$11-$AL$11)),$AN$11-SQRT((1-AZ897)*($AN$11-$AL$11)*($AN$11-$AM$11))),$AM$11)</f>
        <v/>
      </c>
      <c r="AR897">
        <f>SUMPRODUCT((B24:B31&lt;=$B$6)*(C24:C31*AM897+D24:D31*AO897*$B$8*AQ897)/(1+AL897/100)^B24:B31)+C32*AM897*AP897/(1+AL897/100)^$B$6</f>
        <v/>
      </c>
      <c r="AS897">
        <f>SUMPRODUCT((K24:K26&lt;=$B$6)*(L24:L26*AN897+M24:M26*AO897*$B$8*AQ897)/(1+AL897/100)^K24:K26)+L27*AN897*AP897/(1+AL897/100)^$B$6</f>
        <v/>
      </c>
      <c r="AT897">
        <f>AS897-AR897</f>
        <v/>
      </c>
      <c r="AU897">
        <f>RAND()</f>
        <v/>
      </c>
      <c r="AV897">
        <f>RAND()</f>
        <v/>
      </c>
      <c r="AW897">
        <f>RAND()</f>
        <v/>
      </c>
      <c r="AX897">
        <f>RAND()</f>
        <v/>
      </c>
      <c r="AY897">
        <f>RAND()</f>
        <v/>
      </c>
      <c r="AZ897">
        <f>RAND()</f>
        <v/>
      </c>
    </row>
    <row r="898">
      <c r="AK898" t="n">
        <v>885</v>
      </c>
      <c r="AL898">
        <f>IFERROR(IF(AU898&lt;($AM$6-$AL$6)/($AN$6-$AL$6),$AL$6+SQRT(AU898*($AN$6-$AL$6)*($AM$6-$AL$6)),$AN$6-SQRT((1-AU898)*($AN$6-$AL$6)*($AN$6-$AM$6))),$AM$6)</f>
        <v/>
      </c>
      <c r="AM898">
        <f>IFERROR(IF(AV898&lt;($AM$7-$AL$7)/($AN$7-$AL$7),$AL$7+SQRT(AV898*($AN$7-$AL$7)*($AM$7-$AL$7)),$AN$7-SQRT((1-AV898)*($AN$7-$AL$7)*($AN$7-$AM$7))),$AM$7)</f>
        <v/>
      </c>
      <c r="AN898">
        <f>IFERROR(IF(AW898&lt;($AM$8-$AL$8)/($AN$8-$AL$8),$AL$8+SQRT(AW898*($AN$8-$AL$8)*($AM$8-$AL$8)),$AN$8-SQRT((1-AW898)*($AN$8-$AL$8)*($AN$8-$AM$8))),$AM$8)</f>
        <v/>
      </c>
      <c r="AO898">
        <f>IFERROR(IF(AX898&lt;($AM$9-$AL$9)/($AN$9-$AL$9),$AL$9+SQRT(AX898*($AN$9-$AL$9)*($AM$9-$AL$9)),$AN$9-SQRT((1-AX898)*($AN$9-$AL$9)*($AN$9-$AM$9))),$AM$9)</f>
        <v/>
      </c>
      <c r="AP898">
        <f>IFERROR(IF(AY898&lt;($AM$10-$AL$10)/($AN$10-$AL$10),$AL$10+SQRT(AY898*($AN$10-$AL$10)*($AM$10-$AL$10)),$AN$10-SQRT((1-AY898)*($AN$10-$AL$10)*($AN$10-$AM$10))),$AM$10)</f>
        <v/>
      </c>
      <c r="AQ898">
        <f>IFERROR(IF(AZ898&lt;($AM$11-$AL$11)/($AN$11-$AL$11),$AL$11+SQRT(AZ898*($AN$11-$AL$11)*($AM$11-$AL$11)),$AN$11-SQRT((1-AZ898)*($AN$11-$AL$11)*($AN$11-$AM$11))),$AM$11)</f>
        <v/>
      </c>
      <c r="AR898">
        <f>SUMPRODUCT((B24:B31&lt;=$B$6)*(C24:C31*AM898+D24:D31*AO898*$B$8*AQ898)/(1+AL898/100)^B24:B31)+C32*AM898*AP898/(1+AL898/100)^$B$6</f>
        <v/>
      </c>
      <c r="AS898">
        <f>SUMPRODUCT((K24:K26&lt;=$B$6)*(L24:L26*AN898+M24:M26*AO898*$B$8*AQ898)/(1+AL898/100)^K24:K26)+L27*AN898*AP898/(1+AL898/100)^$B$6</f>
        <v/>
      </c>
      <c r="AT898">
        <f>AS898-AR898</f>
        <v/>
      </c>
      <c r="AU898">
        <f>RAND()</f>
        <v/>
      </c>
      <c r="AV898">
        <f>RAND()</f>
        <v/>
      </c>
      <c r="AW898">
        <f>RAND()</f>
        <v/>
      </c>
      <c r="AX898">
        <f>RAND()</f>
        <v/>
      </c>
      <c r="AY898">
        <f>RAND()</f>
        <v/>
      </c>
      <c r="AZ898">
        <f>RAND()</f>
        <v/>
      </c>
    </row>
    <row r="899">
      <c r="AK899" t="n">
        <v>886</v>
      </c>
      <c r="AL899">
        <f>IFERROR(IF(AU899&lt;($AM$6-$AL$6)/($AN$6-$AL$6),$AL$6+SQRT(AU899*($AN$6-$AL$6)*($AM$6-$AL$6)),$AN$6-SQRT((1-AU899)*($AN$6-$AL$6)*($AN$6-$AM$6))),$AM$6)</f>
        <v/>
      </c>
      <c r="AM899">
        <f>IFERROR(IF(AV899&lt;($AM$7-$AL$7)/($AN$7-$AL$7),$AL$7+SQRT(AV899*($AN$7-$AL$7)*($AM$7-$AL$7)),$AN$7-SQRT((1-AV899)*($AN$7-$AL$7)*($AN$7-$AM$7))),$AM$7)</f>
        <v/>
      </c>
      <c r="AN899">
        <f>IFERROR(IF(AW899&lt;($AM$8-$AL$8)/($AN$8-$AL$8),$AL$8+SQRT(AW899*($AN$8-$AL$8)*($AM$8-$AL$8)),$AN$8-SQRT((1-AW899)*($AN$8-$AL$8)*($AN$8-$AM$8))),$AM$8)</f>
        <v/>
      </c>
      <c r="AO899">
        <f>IFERROR(IF(AX899&lt;($AM$9-$AL$9)/($AN$9-$AL$9),$AL$9+SQRT(AX899*($AN$9-$AL$9)*($AM$9-$AL$9)),$AN$9-SQRT((1-AX899)*($AN$9-$AL$9)*($AN$9-$AM$9))),$AM$9)</f>
        <v/>
      </c>
      <c r="AP899">
        <f>IFERROR(IF(AY899&lt;($AM$10-$AL$10)/($AN$10-$AL$10),$AL$10+SQRT(AY899*($AN$10-$AL$10)*($AM$10-$AL$10)),$AN$10-SQRT((1-AY899)*($AN$10-$AL$10)*($AN$10-$AM$10))),$AM$10)</f>
        <v/>
      </c>
      <c r="AQ899">
        <f>IFERROR(IF(AZ899&lt;($AM$11-$AL$11)/($AN$11-$AL$11),$AL$11+SQRT(AZ899*($AN$11-$AL$11)*($AM$11-$AL$11)),$AN$11-SQRT((1-AZ899)*($AN$11-$AL$11)*($AN$11-$AM$11))),$AM$11)</f>
        <v/>
      </c>
      <c r="AR899">
        <f>SUMPRODUCT((B24:B31&lt;=$B$6)*(C24:C31*AM899+D24:D31*AO899*$B$8*AQ899)/(1+AL899/100)^B24:B31)+C32*AM899*AP899/(1+AL899/100)^$B$6</f>
        <v/>
      </c>
      <c r="AS899">
        <f>SUMPRODUCT((K24:K26&lt;=$B$6)*(L24:L26*AN899+M24:M26*AO899*$B$8*AQ899)/(1+AL899/100)^K24:K26)+L27*AN899*AP899/(1+AL899/100)^$B$6</f>
        <v/>
      </c>
      <c r="AT899">
        <f>AS899-AR899</f>
        <v/>
      </c>
      <c r="AU899">
        <f>RAND()</f>
        <v/>
      </c>
      <c r="AV899">
        <f>RAND()</f>
        <v/>
      </c>
      <c r="AW899">
        <f>RAND()</f>
        <v/>
      </c>
      <c r="AX899">
        <f>RAND()</f>
        <v/>
      </c>
      <c r="AY899">
        <f>RAND()</f>
        <v/>
      </c>
      <c r="AZ899">
        <f>RAND()</f>
        <v/>
      </c>
    </row>
    <row r="900">
      <c r="AK900" t="n">
        <v>887</v>
      </c>
      <c r="AL900">
        <f>IFERROR(IF(AU900&lt;($AM$6-$AL$6)/($AN$6-$AL$6),$AL$6+SQRT(AU900*($AN$6-$AL$6)*($AM$6-$AL$6)),$AN$6-SQRT((1-AU900)*($AN$6-$AL$6)*($AN$6-$AM$6))),$AM$6)</f>
        <v/>
      </c>
      <c r="AM900">
        <f>IFERROR(IF(AV900&lt;($AM$7-$AL$7)/($AN$7-$AL$7),$AL$7+SQRT(AV900*($AN$7-$AL$7)*($AM$7-$AL$7)),$AN$7-SQRT((1-AV900)*($AN$7-$AL$7)*($AN$7-$AM$7))),$AM$7)</f>
        <v/>
      </c>
      <c r="AN900">
        <f>IFERROR(IF(AW900&lt;($AM$8-$AL$8)/($AN$8-$AL$8),$AL$8+SQRT(AW900*($AN$8-$AL$8)*($AM$8-$AL$8)),$AN$8-SQRT((1-AW900)*($AN$8-$AL$8)*($AN$8-$AM$8))),$AM$8)</f>
        <v/>
      </c>
      <c r="AO900">
        <f>IFERROR(IF(AX900&lt;($AM$9-$AL$9)/($AN$9-$AL$9),$AL$9+SQRT(AX900*($AN$9-$AL$9)*($AM$9-$AL$9)),$AN$9-SQRT((1-AX900)*($AN$9-$AL$9)*($AN$9-$AM$9))),$AM$9)</f>
        <v/>
      </c>
      <c r="AP900">
        <f>IFERROR(IF(AY900&lt;($AM$10-$AL$10)/($AN$10-$AL$10),$AL$10+SQRT(AY900*($AN$10-$AL$10)*($AM$10-$AL$10)),$AN$10-SQRT((1-AY900)*($AN$10-$AL$10)*($AN$10-$AM$10))),$AM$10)</f>
        <v/>
      </c>
      <c r="AQ900">
        <f>IFERROR(IF(AZ900&lt;($AM$11-$AL$11)/($AN$11-$AL$11),$AL$11+SQRT(AZ900*($AN$11-$AL$11)*($AM$11-$AL$11)),$AN$11-SQRT((1-AZ900)*($AN$11-$AL$11)*($AN$11-$AM$11))),$AM$11)</f>
        <v/>
      </c>
      <c r="AR900">
        <f>SUMPRODUCT((B24:B31&lt;=$B$6)*(C24:C31*AM900+D24:D31*AO900*$B$8*AQ900)/(1+AL900/100)^B24:B31)+C32*AM900*AP900/(1+AL900/100)^$B$6</f>
        <v/>
      </c>
      <c r="AS900">
        <f>SUMPRODUCT((K24:K26&lt;=$B$6)*(L24:L26*AN900+M24:M26*AO900*$B$8*AQ900)/(1+AL900/100)^K24:K26)+L27*AN900*AP900/(1+AL900/100)^$B$6</f>
        <v/>
      </c>
      <c r="AT900">
        <f>AS900-AR900</f>
        <v/>
      </c>
      <c r="AU900">
        <f>RAND()</f>
        <v/>
      </c>
      <c r="AV900">
        <f>RAND()</f>
        <v/>
      </c>
      <c r="AW900">
        <f>RAND()</f>
        <v/>
      </c>
      <c r="AX900">
        <f>RAND()</f>
        <v/>
      </c>
      <c r="AY900">
        <f>RAND()</f>
        <v/>
      </c>
      <c r="AZ900">
        <f>RAND()</f>
        <v/>
      </c>
    </row>
    <row r="901">
      <c r="AK901" t="n">
        <v>888</v>
      </c>
      <c r="AL901">
        <f>IFERROR(IF(AU901&lt;($AM$6-$AL$6)/($AN$6-$AL$6),$AL$6+SQRT(AU901*($AN$6-$AL$6)*($AM$6-$AL$6)),$AN$6-SQRT((1-AU901)*($AN$6-$AL$6)*($AN$6-$AM$6))),$AM$6)</f>
        <v/>
      </c>
      <c r="AM901">
        <f>IFERROR(IF(AV901&lt;($AM$7-$AL$7)/($AN$7-$AL$7),$AL$7+SQRT(AV901*($AN$7-$AL$7)*($AM$7-$AL$7)),$AN$7-SQRT((1-AV901)*($AN$7-$AL$7)*($AN$7-$AM$7))),$AM$7)</f>
        <v/>
      </c>
      <c r="AN901">
        <f>IFERROR(IF(AW901&lt;($AM$8-$AL$8)/($AN$8-$AL$8),$AL$8+SQRT(AW901*($AN$8-$AL$8)*($AM$8-$AL$8)),$AN$8-SQRT((1-AW901)*($AN$8-$AL$8)*($AN$8-$AM$8))),$AM$8)</f>
        <v/>
      </c>
      <c r="AO901">
        <f>IFERROR(IF(AX901&lt;($AM$9-$AL$9)/($AN$9-$AL$9),$AL$9+SQRT(AX901*($AN$9-$AL$9)*($AM$9-$AL$9)),$AN$9-SQRT((1-AX901)*($AN$9-$AL$9)*($AN$9-$AM$9))),$AM$9)</f>
        <v/>
      </c>
      <c r="AP901">
        <f>IFERROR(IF(AY901&lt;($AM$10-$AL$10)/($AN$10-$AL$10),$AL$10+SQRT(AY901*($AN$10-$AL$10)*($AM$10-$AL$10)),$AN$10-SQRT((1-AY901)*($AN$10-$AL$10)*($AN$10-$AM$10))),$AM$10)</f>
        <v/>
      </c>
      <c r="AQ901">
        <f>IFERROR(IF(AZ901&lt;($AM$11-$AL$11)/($AN$11-$AL$11),$AL$11+SQRT(AZ901*($AN$11-$AL$11)*($AM$11-$AL$11)),$AN$11-SQRT((1-AZ901)*($AN$11-$AL$11)*($AN$11-$AM$11))),$AM$11)</f>
        <v/>
      </c>
      <c r="AR901">
        <f>SUMPRODUCT((B24:B31&lt;=$B$6)*(C24:C31*AM901+D24:D31*AO901*$B$8*AQ901)/(1+AL901/100)^B24:B31)+C32*AM901*AP901/(1+AL901/100)^$B$6</f>
        <v/>
      </c>
      <c r="AS901">
        <f>SUMPRODUCT((K24:K26&lt;=$B$6)*(L24:L26*AN901+M24:M26*AO901*$B$8*AQ901)/(1+AL901/100)^K24:K26)+L27*AN901*AP901/(1+AL901/100)^$B$6</f>
        <v/>
      </c>
      <c r="AT901">
        <f>AS901-AR901</f>
        <v/>
      </c>
      <c r="AU901">
        <f>RAND()</f>
        <v/>
      </c>
      <c r="AV901">
        <f>RAND()</f>
        <v/>
      </c>
      <c r="AW901">
        <f>RAND()</f>
        <v/>
      </c>
      <c r="AX901">
        <f>RAND()</f>
        <v/>
      </c>
      <c r="AY901">
        <f>RAND()</f>
        <v/>
      </c>
      <c r="AZ901">
        <f>RAND()</f>
        <v/>
      </c>
    </row>
    <row r="902">
      <c r="AK902" t="n">
        <v>889</v>
      </c>
      <c r="AL902">
        <f>IFERROR(IF(AU902&lt;($AM$6-$AL$6)/($AN$6-$AL$6),$AL$6+SQRT(AU902*($AN$6-$AL$6)*($AM$6-$AL$6)),$AN$6-SQRT((1-AU902)*($AN$6-$AL$6)*($AN$6-$AM$6))),$AM$6)</f>
        <v/>
      </c>
      <c r="AM902">
        <f>IFERROR(IF(AV902&lt;($AM$7-$AL$7)/($AN$7-$AL$7),$AL$7+SQRT(AV902*($AN$7-$AL$7)*($AM$7-$AL$7)),$AN$7-SQRT((1-AV902)*($AN$7-$AL$7)*($AN$7-$AM$7))),$AM$7)</f>
        <v/>
      </c>
      <c r="AN902">
        <f>IFERROR(IF(AW902&lt;($AM$8-$AL$8)/($AN$8-$AL$8),$AL$8+SQRT(AW902*($AN$8-$AL$8)*($AM$8-$AL$8)),$AN$8-SQRT((1-AW902)*($AN$8-$AL$8)*($AN$8-$AM$8))),$AM$8)</f>
        <v/>
      </c>
      <c r="AO902">
        <f>IFERROR(IF(AX902&lt;($AM$9-$AL$9)/($AN$9-$AL$9),$AL$9+SQRT(AX902*($AN$9-$AL$9)*($AM$9-$AL$9)),$AN$9-SQRT((1-AX902)*($AN$9-$AL$9)*($AN$9-$AM$9))),$AM$9)</f>
        <v/>
      </c>
      <c r="AP902">
        <f>IFERROR(IF(AY902&lt;($AM$10-$AL$10)/($AN$10-$AL$10),$AL$10+SQRT(AY902*($AN$10-$AL$10)*($AM$10-$AL$10)),$AN$10-SQRT((1-AY902)*($AN$10-$AL$10)*($AN$10-$AM$10))),$AM$10)</f>
        <v/>
      </c>
      <c r="AQ902">
        <f>IFERROR(IF(AZ902&lt;($AM$11-$AL$11)/($AN$11-$AL$11),$AL$11+SQRT(AZ902*($AN$11-$AL$11)*($AM$11-$AL$11)),$AN$11-SQRT((1-AZ902)*($AN$11-$AL$11)*($AN$11-$AM$11))),$AM$11)</f>
        <v/>
      </c>
      <c r="AR902">
        <f>SUMPRODUCT((B24:B31&lt;=$B$6)*(C24:C31*AM902+D24:D31*AO902*$B$8*AQ902)/(1+AL902/100)^B24:B31)+C32*AM902*AP902/(1+AL902/100)^$B$6</f>
        <v/>
      </c>
      <c r="AS902">
        <f>SUMPRODUCT((K24:K26&lt;=$B$6)*(L24:L26*AN902+M24:M26*AO902*$B$8*AQ902)/(1+AL902/100)^K24:K26)+L27*AN902*AP902/(1+AL902/100)^$B$6</f>
        <v/>
      </c>
      <c r="AT902">
        <f>AS902-AR902</f>
        <v/>
      </c>
      <c r="AU902">
        <f>RAND()</f>
        <v/>
      </c>
      <c r="AV902">
        <f>RAND()</f>
        <v/>
      </c>
      <c r="AW902">
        <f>RAND()</f>
        <v/>
      </c>
      <c r="AX902">
        <f>RAND()</f>
        <v/>
      </c>
      <c r="AY902">
        <f>RAND()</f>
        <v/>
      </c>
      <c r="AZ902">
        <f>RAND()</f>
        <v/>
      </c>
    </row>
    <row r="903">
      <c r="AK903" t="n">
        <v>890</v>
      </c>
      <c r="AL903">
        <f>IFERROR(IF(AU903&lt;($AM$6-$AL$6)/($AN$6-$AL$6),$AL$6+SQRT(AU903*($AN$6-$AL$6)*($AM$6-$AL$6)),$AN$6-SQRT((1-AU903)*($AN$6-$AL$6)*($AN$6-$AM$6))),$AM$6)</f>
        <v/>
      </c>
      <c r="AM903">
        <f>IFERROR(IF(AV903&lt;($AM$7-$AL$7)/($AN$7-$AL$7),$AL$7+SQRT(AV903*($AN$7-$AL$7)*($AM$7-$AL$7)),$AN$7-SQRT((1-AV903)*($AN$7-$AL$7)*($AN$7-$AM$7))),$AM$7)</f>
        <v/>
      </c>
      <c r="AN903">
        <f>IFERROR(IF(AW903&lt;($AM$8-$AL$8)/($AN$8-$AL$8),$AL$8+SQRT(AW903*($AN$8-$AL$8)*($AM$8-$AL$8)),$AN$8-SQRT((1-AW903)*($AN$8-$AL$8)*($AN$8-$AM$8))),$AM$8)</f>
        <v/>
      </c>
      <c r="AO903">
        <f>IFERROR(IF(AX903&lt;($AM$9-$AL$9)/($AN$9-$AL$9),$AL$9+SQRT(AX903*($AN$9-$AL$9)*($AM$9-$AL$9)),$AN$9-SQRT((1-AX903)*($AN$9-$AL$9)*($AN$9-$AM$9))),$AM$9)</f>
        <v/>
      </c>
      <c r="AP903">
        <f>IFERROR(IF(AY903&lt;($AM$10-$AL$10)/($AN$10-$AL$10),$AL$10+SQRT(AY903*($AN$10-$AL$10)*($AM$10-$AL$10)),$AN$10-SQRT((1-AY903)*($AN$10-$AL$10)*($AN$10-$AM$10))),$AM$10)</f>
        <v/>
      </c>
      <c r="AQ903">
        <f>IFERROR(IF(AZ903&lt;($AM$11-$AL$11)/($AN$11-$AL$11),$AL$11+SQRT(AZ903*($AN$11-$AL$11)*($AM$11-$AL$11)),$AN$11-SQRT((1-AZ903)*($AN$11-$AL$11)*($AN$11-$AM$11))),$AM$11)</f>
        <v/>
      </c>
      <c r="AR903">
        <f>SUMPRODUCT((B24:B31&lt;=$B$6)*(C24:C31*AM903+D24:D31*AO903*$B$8*AQ903)/(1+AL903/100)^B24:B31)+C32*AM903*AP903/(1+AL903/100)^$B$6</f>
        <v/>
      </c>
      <c r="AS903">
        <f>SUMPRODUCT((K24:K26&lt;=$B$6)*(L24:L26*AN903+M24:M26*AO903*$B$8*AQ903)/(1+AL903/100)^K24:K26)+L27*AN903*AP903/(1+AL903/100)^$B$6</f>
        <v/>
      </c>
      <c r="AT903">
        <f>AS903-AR903</f>
        <v/>
      </c>
      <c r="AU903">
        <f>RAND()</f>
        <v/>
      </c>
      <c r="AV903">
        <f>RAND()</f>
        <v/>
      </c>
      <c r="AW903">
        <f>RAND()</f>
        <v/>
      </c>
      <c r="AX903">
        <f>RAND()</f>
        <v/>
      </c>
      <c r="AY903">
        <f>RAND()</f>
        <v/>
      </c>
      <c r="AZ903">
        <f>RAND()</f>
        <v/>
      </c>
    </row>
    <row r="904">
      <c r="AK904" t="n">
        <v>891</v>
      </c>
      <c r="AL904">
        <f>IFERROR(IF(AU904&lt;($AM$6-$AL$6)/($AN$6-$AL$6),$AL$6+SQRT(AU904*($AN$6-$AL$6)*($AM$6-$AL$6)),$AN$6-SQRT((1-AU904)*($AN$6-$AL$6)*($AN$6-$AM$6))),$AM$6)</f>
        <v/>
      </c>
      <c r="AM904">
        <f>IFERROR(IF(AV904&lt;($AM$7-$AL$7)/($AN$7-$AL$7),$AL$7+SQRT(AV904*($AN$7-$AL$7)*($AM$7-$AL$7)),$AN$7-SQRT((1-AV904)*($AN$7-$AL$7)*($AN$7-$AM$7))),$AM$7)</f>
        <v/>
      </c>
      <c r="AN904">
        <f>IFERROR(IF(AW904&lt;($AM$8-$AL$8)/($AN$8-$AL$8),$AL$8+SQRT(AW904*($AN$8-$AL$8)*($AM$8-$AL$8)),$AN$8-SQRT((1-AW904)*($AN$8-$AL$8)*($AN$8-$AM$8))),$AM$8)</f>
        <v/>
      </c>
      <c r="AO904">
        <f>IFERROR(IF(AX904&lt;($AM$9-$AL$9)/($AN$9-$AL$9),$AL$9+SQRT(AX904*($AN$9-$AL$9)*($AM$9-$AL$9)),$AN$9-SQRT((1-AX904)*($AN$9-$AL$9)*($AN$9-$AM$9))),$AM$9)</f>
        <v/>
      </c>
      <c r="AP904">
        <f>IFERROR(IF(AY904&lt;($AM$10-$AL$10)/($AN$10-$AL$10),$AL$10+SQRT(AY904*($AN$10-$AL$10)*($AM$10-$AL$10)),$AN$10-SQRT((1-AY904)*($AN$10-$AL$10)*($AN$10-$AM$10))),$AM$10)</f>
        <v/>
      </c>
      <c r="AQ904">
        <f>IFERROR(IF(AZ904&lt;($AM$11-$AL$11)/($AN$11-$AL$11),$AL$11+SQRT(AZ904*($AN$11-$AL$11)*($AM$11-$AL$11)),$AN$11-SQRT((1-AZ904)*($AN$11-$AL$11)*($AN$11-$AM$11))),$AM$11)</f>
        <v/>
      </c>
      <c r="AR904">
        <f>SUMPRODUCT((B24:B31&lt;=$B$6)*(C24:C31*AM904+D24:D31*AO904*$B$8*AQ904)/(1+AL904/100)^B24:B31)+C32*AM904*AP904/(1+AL904/100)^$B$6</f>
        <v/>
      </c>
      <c r="AS904">
        <f>SUMPRODUCT((K24:K26&lt;=$B$6)*(L24:L26*AN904+M24:M26*AO904*$B$8*AQ904)/(1+AL904/100)^K24:K26)+L27*AN904*AP904/(1+AL904/100)^$B$6</f>
        <v/>
      </c>
      <c r="AT904">
        <f>AS904-AR904</f>
        <v/>
      </c>
      <c r="AU904">
        <f>RAND()</f>
        <v/>
      </c>
      <c r="AV904">
        <f>RAND()</f>
        <v/>
      </c>
      <c r="AW904">
        <f>RAND()</f>
        <v/>
      </c>
      <c r="AX904">
        <f>RAND()</f>
        <v/>
      </c>
      <c r="AY904">
        <f>RAND()</f>
        <v/>
      </c>
      <c r="AZ904">
        <f>RAND()</f>
        <v/>
      </c>
    </row>
    <row r="905">
      <c r="AK905" t="n">
        <v>892</v>
      </c>
      <c r="AL905">
        <f>IFERROR(IF(AU905&lt;($AM$6-$AL$6)/($AN$6-$AL$6),$AL$6+SQRT(AU905*($AN$6-$AL$6)*($AM$6-$AL$6)),$AN$6-SQRT((1-AU905)*($AN$6-$AL$6)*($AN$6-$AM$6))),$AM$6)</f>
        <v/>
      </c>
      <c r="AM905">
        <f>IFERROR(IF(AV905&lt;($AM$7-$AL$7)/($AN$7-$AL$7),$AL$7+SQRT(AV905*($AN$7-$AL$7)*($AM$7-$AL$7)),$AN$7-SQRT((1-AV905)*($AN$7-$AL$7)*($AN$7-$AM$7))),$AM$7)</f>
        <v/>
      </c>
      <c r="AN905">
        <f>IFERROR(IF(AW905&lt;($AM$8-$AL$8)/($AN$8-$AL$8),$AL$8+SQRT(AW905*($AN$8-$AL$8)*($AM$8-$AL$8)),$AN$8-SQRT((1-AW905)*($AN$8-$AL$8)*($AN$8-$AM$8))),$AM$8)</f>
        <v/>
      </c>
      <c r="AO905">
        <f>IFERROR(IF(AX905&lt;($AM$9-$AL$9)/($AN$9-$AL$9),$AL$9+SQRT(AX905*($AN$9-$AL$9)*($AM$9-$AL$9)),$AN$9-SQRT((1-AX905)*($AN$9-$AL$9)*($AN$9-$AM$9))),$AM$9)</f>
        <v/>
      </c>
      <c r="AP905">
        <f>IFERROR(IF(AY905&lt;($AM$10-$AL$10)/($AN$10-$AL$10),$AL$10+SQRT(AY905*($AN$10-$AL$10)*($AM$10-$AL$10)),$AN$10-SQRT((1-AY905)*($AN$10-$AL$10)*($AN$10-$AM$10))),$AM$10)</f>
        <v/>
      </c>
      <c r="AQ905">
        <f>IFERROR(IF(AZ905&lt;($AM$11-$AL$11)/($AN$11-$AL$11),$AL$11+SQRT(AZ905*($AN$11-$AL$11)*($AM$11-$AL$11)),$AN$11-SQRT((1-AZ905)*($AN$11-$AL$11)*($AN$11-$AM$11))),$AM$11)</f>
        <v/>
      </c>
      <c r="AR905">
        <f>SUMPRODUCT((B24:B31&lt;=$B$6)*(C24:C31*AM905+D24:D31*AO905*$B$8*AQ905)/(1+AL905/100)^B24:B31)+C32*AM905*AP905/(1+AL905/100)^$B$6</f>
        <v/>
      </c>
      <c r="AS905">
        <f>SUMPRODUCT((K24:K26&lt;=$B$6)*(L24:L26*AN905+M24:M26*AO905*$B$8*AQ905)/(1+AL905/100)^K24:K26)+L27*AN905*AP905/(1+AL905/100)^$B$6</f>
        <v/>
      </c>
      <c r="AT905">
        <f>AS905-AR905</f>
        <v/>
      </c>
      <c r="AU905">
        <f>RAND()</f>
        <v/>
      </c>
      <c r="AV905">
        <f>RAND()</f>
        <v/>
      </c>
      <c r="AW905">
        <f>RAND()</f>
        <v/>
      </c>
      <c r="AX905">
        <f>RAND()</f>
        <v/>
      </c>
      <c r="AY905">
        <f>RAND()</f>
        <v/>
      </c>
      <c r="AZ905">
        <f>RAND()</f>
        <v/>
      </c>
    </row>
    <row r="906">
      <c r="AK906" t="n">
        <v>893</v>
      </c>
      <c r="AL906">
        <f>IFERROR(IF(AU906&lt;($AM$6-$AL$6)/($AN$6-$AL$6),$AL$6+SQRT(AU906*($AN$6-$AL$6)*($AM$6-$AL$6)),$AN$6-SQRT((1-AU906)*($AN$6-$AL$6)*($AN$6-$AM$6))),$AM$6)</f>
        <v/>
      </c>
      <c r="AM906">
        <f>IFERROR(IF(AV906&lt;($AM$7-$AL$7)/($AN$7-$AL$7),$AL$7+SQRT(AV906*($AN$7-$AL$7)*($AM$7-$AL$7)),$AN$7-SQRT((1-AV906)*($AN$7-$AL$7)*($AN$7-$AM$7))),$AM$7)</f>
        <v/>
      </c>
      <c r="AN906">
        <f>IFERROR(IF(AW906&lt;($AM$8-$AL$8)/($AN$8-$AL$8),$AL$8+SQRT(AW906*($AN$8-$AL$8)*($AM$8-$AL$8)),$AN$8-SQRT((1-AW906)*($AN$8-$AL$8)*($AN$8-$AM$8))),$AM$8)</f>
        <v/>
      </c>
      <c r="AO906">
        <f>IFERROR(IF(AX906&lt;($AM$9-$AL$9)/($AN$9-$AL$9),$AL$9+SQRT(AX906*($AN$9-$AL$9)*($AM$9-$AL$9)),$AN$9-SQRT((1-AX906)*($AN$9-$AL$9)*($AN$9-$AM$9))),$AM$9)</f>
        <v/>
      </c>
      <c r="AP906">
        <f>IFERROR(IF(AY906&lt;($AM$10-$AL$10)/($AN$10-$AL$10),$AL$10+SQRT(AY906*($AN$10-$AL$10)*($AM$10-$AL$10)),$AN$10-SQRT((1-AY906)*($AN$10-$AL$10)*($AN$10-$AM$10))),$AM$10)</f>
        <v/>
      </c>
      <c r="AQ906">
        <f>IFERROR(IF(AZ906&lt;($AM$11-$AL$11)/($AN$11-$AL$11),$AL$11+SQRT(AZ906*($AN$11-$AL$11)*($AM$11-$AL$11)),$AN$11-SQRT((1-AZ906)*($AN$11-$AL$11)*($AN$11-$AM$11))),$AM$11)</f>
        <v/>
      </c>
      <c r="AR906">
        <f>SUMPRODUCT((B24:B31&lt;=$B$6)*(C24:C31*AM906+D24:D31*AO906*$B$8*AQ906)/(1+AL906/100)^B24:B31)+C32*AM906*AP906/(1+AL906/100)^$B$6</f>
        <v/>
      </c>
      <c r="AS906">
        <f>SUMPRODUCT((K24:K26&lt;=$B$6)*(L24:L26*AN906+M24:M26*AO906*$B$8*AQ906)/(1+AL906/100)^K24:K26)+L27*AN906*AP906/(1+AL906/100)^$B$6</f>
        <v/>
      </c>
      <c r="AT906">
        <f>AS906-AR906</f>
        <v/>
      </c>
      <c r="AU906">
        <f>RAND()</f>
        <v/>
      </c>
      <c r="AV906">
        <f>RAND()</f>
        <v/>
      </c>
      <c r="AW906">
        <f>RAND()</f>
        <v/>
      </c>
      <c r="AX906">
        <f>RAND()</f>
        <v/>
      </c>
      <c r="AY906">
        <f>RAND()</f>
        <v/>
      </c>
      <c r="AZ906">
        <f>RAND()</f>
        <v/>
      </c>
    </row>
    <row r="907">
      <c r="AK907" t="n">
        <v>894</v>
      </c>
      <c r="AL907">
        <f>IFERROR(IF(AU907&lt;($AM$6-$AL$6)/($AN$6-$AL$6),$AL$6+SQRT(AU907*($AN$6-$AL$6)*($AM$6-$AL$6)),$AN$6-SQRT((1-AU907)*($AN$6-$AL$6)*($AN$6-$AM$6))),$AM$6)</f>
        <v/>
      </c>
      <c r="AM907">
        <f>IFERROR(IF(AV907&lt;($AM$7-$AL$7)/($AN$7-$AL$7),$AL$7+SQRT(AV907*($AN$7-$AL$7)*($AM$7-$AL$7)),$AN$7-SQRT((1-AV907)*($AN$7-$AL$7)*($AN$7-$AM$7))),$AM$7)</f>
        <v/>
      </c>
      <c r="AN907">
        <f>IFERROR(IF(AW907&lt;($AM$8-$AL$8)/($AN$8-$AL$8),$AL$8+SQRT(AW907*($AN$8-$AL$8)*($AM$8-$AL$8)),$AN$8-SQRT((1-AW907)*($AN$8-$AL$8)*($AN$8-$AM$8))),$AM$8)</f>
        <v/>
      </c>
      <c r="AO907">
        <f>IFERROR(IF(AX907&lt;($AM$9-$AL$9)/($AN$9-$AL$9),$AL$9+SQRT(AX907*($AN$9-$AL$9)*($AM$9-$AL$9)),$AN$9-SQRT((1-AX907)*($AN$9-$AL$9)*($AN$9-$AM$9))),$AM$9)</f>
        <v/>
      </c>
      <c r="AP907">
        <f>IFERROR(IF(AY907&lt;($AM$10-$AL$10)/($AN$10-$AL$10),$AL$10+SQRT(AY907*($AN$10-$AL$10)*($AM$10-$AL$10)),$AN$10-SQRT((1-AY907)*($AN$10-$AL$10)*($AN$10-$AM$10))),$AM$10)</f>
        <v/>
      </c>
      <c r="AQ907">
        <f>IFERROR(IF(AZ907&lt;($AM$11-$AL$11)/($AN$11-$AL$11),$AL$11+SQRT(AZ907*($AN$11-$AL$11)*($AM$11-$AL$11)),$AN$11-SQRT((1-AZ907)*($AN$11-$AL$11)*($AN$11-$AM$11))),$AM$11)</f>
        <v/>
      </c>
      <c r="AR907">
        <f>SUMPRODUCT((B24:B31&lt;=$B$6)*(C24:C31*AM907+D24:D31*AO907*$B$8*AQ907)/(1+AL907/100)^B24:B31)+C32*AM907*AP907/(1+AL907/100)^$B$6</f>
        <v/>
      </c>
      <c r="AS907">
        <f>SUMPRODUCT((K24:K26&lt;=$B$6)*(L24:L26*AN907+M24:M26*AO907*$B$8*AQ907)/(1+AL907/100)^K24:K26)+L27*AN907*AP907/(1+AL907/100)^$B$6</f>
        <v/>
      </c>
      <c r="AT907">
        <f>AS907-AR907</f>
        <v/>
      </c>
      <c r="AU907">
        <f>RAND()</f>
        <v/>
      </c>
      <c r="AV907">
        <f>RAND()</f>
        <v/>
      </c>
      <c r="AW907">
        <f>RAND()</f>
        <v/>
      </c>
      <c r="AX907">
        <f>RAND()</f>
        <v/>
      </c>
      <c r="AY907">
        <f>RAND()</f>
        <v/>
      </c>
      <c r="AZ907">
        <f>RAND()</f>
        <v/>
      </c>
    </row>
    <row r="908">
      <c r="AK908" t="n">
        <v>895</v>
      </c>
      <c r="AL908">
        <f>IFERROR(IF(AU908&lt;($AM$6-$AL$6)/($AN$6-$AL$6),$AL$6+SQRT(AU908*($AN$6-$AL$6)*($AM$6-$AL$6)),$AN$6-SQRT((1-AU908)*($AN$6-$AL$6)*($AN$6-$AM$6))),$AM$6)</f>
        <v/>
      </c>
      <c r="AM908">
        <f>IFERROR(IF(AV908&lt;($AM$7-$AL$7)/($AN$7-$AL$7),$AL$7+SQRT(AV908*($AN$7-$AL$7)*($AM$7-$AL$7)),$AN$7-SQRT((1-AV908)*($AN$7-$AL$7)*($AN$7-$AM$7))),$AM$7)</f>
        <v/>
      </c>
      <c r="AN908">
        <f>IFERROR(IF(AW908&lt;($AM$8-$AL$8)/($AN$8-$AL$8),$AL$8+SQRT(AW908*($AN$8-$AL$8)*($AM$8-$AL$8)),$AN$8-SQRT((1-AW908)*($AN$8-$AL$8)*($AN$8-$AM$8))),$AM$8)</f>
        <v/>
      </c>
      <c r="AO908">
        <f>IFERROR(IF(AX908&lt;($AM$9-$AL$9)/($AN$9-$AL$9),$AL$9+SQRT(AX908*($AN$9-$AL$9)*($AM$9-$AL$9)),$AN$9-SQRT((1-AX908)*($AN$9-$AL$9)*($AN$9-$AM$9))),$AM$9)</f>
        <v/>
      </c>
      <c r="AP908">
        <f>IFERROR(IF(AY908&lt;($AM$10-$AL$10)/($AN$10-$AL$10),$AL$10+SQRT(AY908*($AN$10-$AL$10)*($AM$10-$AL$10)),$AN$10-SQRT((1-AY908)*($AN$10-$AL$10)*($AN$10-$AM$10))),$AM$10)</f>
        <v/>
      </c>
      <c r="AQ908">
        <f>IFERROR(IF(AZ908&lt;($AM$11-$AL$11)/($AN$11-$AL$11),$AL$11+SQRT(AZ908*($AN$11-$AL$11)*($AM$11-$AL$11)),$AN$11-SQRT((1-AZ908)*($AN$11-$AL$11)*($AN$11-$AM$11))),$AM$11)</f>
        <v/>
      </c>
      <c r="AR908">
        <f>SUMPRODUCT((B24:B31&lt;=$B$6)*(C24:C31*AM908+D24:D31*AO908*$B$8*AQ908)/(1+AL908/100)^B24:B31)+C32*AM908*AP908/(1+AL908/100)^$B$6</f>
        <v/>
      </c>
      <c r="AS908">
        <f>SUMPRODUCT((K24:K26&lt;=$B$6)*(L24:L26*AN908+M24:M26*AO908*$B$8*AQ908)/(1+AL908/100)^K24:K26)+L27*AN908*AP908/(1+AL908/100)^$B$6</f>
        <v/>
      </c>
      <c r="AT908">
        <f>AS908-AR908</f>
        <v/>
      </c>
      <c r="AU908">
        <f>RAND()</f>
        <v/>
      </c>
      <c r="AV908">
        <f>RAND()</f>
        <v/>
      </c>
      <c r="AW908">
        <f>RAND()</f>
        <v/>
      </c>
      <c r="AX908">
        <f>RAND()</f>
        <v/>
      </c>
      <c r="AY908">
        <f>RAND()</f>
        <v/>
      </c>
      <c r="AZ908">
        <f>RAND()</f>
        <v/>
      </c>
    </row>
    <row r="909">
      <c r="AK909" t="n">
        <v>896</v>
      </c>
      <c r="AL909">
        <f>IFERROR(IF(AU909&lt;($AM$6-$AL$6)/($AN$6-$AL$6),$AL$6+SQRT(AU909*($AN$6-$AL$6)*($AM$6-$AL$6)),$AN$6-SQRT((1-AU909)*($AN$6-$AL$6)*($AN$6-$AM$6))),$AM$6)</f>
        <v/>
      </c>
      <c r="AM909">
        <f>IFERROR(IF(AV909&lt;($AM$7-$AL$7)/($AN$7-$AL$7),$AL$7+SQRT(AV909*($AN$7-$AL$7)*($AM$7-$AL$7)),$AN$7-SQRT((1-AV909)*($AN$7-$AL$7)*($AN$7-$AM$7))),$AM$7)</f>
        <v/>
      </c>
      <c r="AN909">
        <f>IFERROR(IF(AW909&lt;($AM$8-$AL$8)/($AN$8-$AL$8),$AL$8+SQRT(AW909*($AN$8-$AL$8)*($AM$8-$AL$8)),$AN$8-SQRT((1-AW909)*($AN$8-$AL$8)*($AN$8-$AM$8))),$AM$8)</f>
        <v/>
      </c>
      <c r="AO909">
        <f>IFERROR(IF(AX909&lt;($AM$9-$AL$9)/($AN$9-$AL$9),$AL$9+SQRT(AX909*($AN$9-$AL$9)*($AM$9-$AL$9)),$AN$9-SQRT((1-AX909)*($AN$9-$AL$9)*($AN$9-$AM$9))),$AM$9)</f>
        <v/>
      </c>
      <c r="AP909">
        <f>IFERROR(IF(AY909&lt;($AM$10-$AL$10)/($AN$10-$AL$10),$AL$10+SQRT(AY909*($AN$10-$AL$10)*($AM$10-$AL$10)),$AN$10-SQRT((1-AY909)*($AN$10-$AL$10)*($AN$10-$AM$10))),$AM$10)</f>
        <v/>
      </c>
      <c r="AQ909">
        <f>IFERROR(IF(AZ909&lt;($AM$11-$AL$11)/($AN$11-$AL$11),$AL$11+SQRT(AZ909*($AN$11-$AL$11)*($AM$11-$AL$11)),$AN$11-SQRT((1-AZ909)*($AN$11-$AL$11)*($AN$11-$AM$11))),$AM$11)</f>
        <v/>
      </c>
      <c r="AR909">
        <f>SUMPRODUCT((B24:B31&lt;=$B$6)*(C24:C31*AM909+D24:D31*AO909*$B$8*AQ909)/(1+AL909/100)^B24:B31)+C32*AM909*AP909/(1+AL909/100)^$B$6</f>
        <v/>
      </c>
      <c r="AS909">
        <f>SUMPRODUCT((K24:K26&lt;=$B$6)*(L24:L26*AN909+M24:M26*AO909*$B$8*AQ909)/(1+AL909/100)^K24:K26)+L27*AN909*AP909/(1+AL909/100)^$B$6</f>
        <v/>
      </c>
      <c r="AT909">
        <f>AS909-AR909</f>
        <v/>
      </c>
      <c r="AU909">
        <f>RAND()</f>
        <v/>
      </c>
      <c r="AV909">
        <f>RAND()</f>
        <v/>
      </c>
      <c r="AW909">
        <f>RAND()</f>
        <v/>
      </c>
      <c r="AX909">
        <f>RAND()</f>
        <v/>
      </c>
      <c r="AY909">
        <f>RAND()</f>
        <v/>
      </c>
      <c r="AZ909">
        <f>RAND()</f>
        <v/>
      </c>
    </row>
    <row r="910">
      <c r="AK910" t="n">
        <v>897</v>
      </c>
      <c r="AL910">
        <f>IFERROR(IF(AU910&lt;($AM$6-$AL$6)/($AN$6-$AL$6),$AL$6+SQRT(AU910*($AN$6-$AL$6)*($AM$6-$AL$6)),$AN$6-SQRT((1-AU910)*($AN$6-$AL$6)*($AN$6-$AM$6))),$AM$6)</f>
        <v/>
      </c>
      <c r="AM910">
        <f>IFERROR(IF(AV910&lt;($AM$7-$AL$7)/($AN$7-$AL$7),$AL$7+SQRT(AV910*($AN$7-$AL$7)*($AM$7-$AL$7)),$AN$7-SQRT((1-AV910)*($AN$7-$AL$7)*($AN$7-$AM$7))),$AM$7)</f>
        <v/>
      </c>
      <c r="AN910">
        <f>IFERROR(IF(AW910&lt;($AM$8-$AL$8)/($AN$8-$AL$8),$AL$8+SQRT(AW910*($AN$8-$AL$8)*($AM$8-$AL$8)),$AN$8-SQRT((1-AW910)*($AN$8-$AL$8)*($AN$8-$AM$8))),$AM$8)</f>
        <v/>
      </c>
      <c r="AO910">
        <f>IFERROR(IF(AX910&lt;($AM$9-$AL$9)/($AN$9-$AL$9),$AL$9+SQRT(AX910*($AN$9-$AL$9)*($AM$9-$AL$9)),$AN$9-SQRT((1-AX910)*($AN$9-$AL$9)*($AN$9-$AM$9))),$AM$9)</f>
        <v/>
      </c>
      <c r="AP910">
        <f>IFERROR(IF(AY910&lt;($AM$10-$AL$10)/($AN$10-$AL$10),$AL$10+SQRT(AY910*($AN$10-$AL$10)*($AM$10-$AL$10)),$AN$10-SQRT((1-AY910)*($AN$10-$AL$10)*($AN$10-$AM$10))),$AM$10)</f>
        <v/>
      </c>
      <c r="AQ910">
        <f>IFERROR(IF(AZ910&lt;($AM$11-$AL$11)/($AN$11-$AL$11),$AL$11+SQRT(AZ910*($AN$11-$AL$11)*($AM$11-$AL$11)),$AN$11-SQRT((1-AZ910)*($AN$11-$AL$11)*($AN$11-$AM$11))),$AM$11)</f>
        <v/>
      </c>
      <c r="AR910">
        <f>SUMPRODUCT((B24:B31&lt;=$B$6)*(C24:C31*AM910+D24:D31*AO910*$B$8*AQ910)/(1+AL910/100)^B24:B31)+C32*AM910*AP910/(1+AL910/100)^$B$6</f>
        <v/>
      </c>
      <c r="AS910">
        <f>SUMPRODUCT((K24:K26&lt;=$B$6)*(L24:L26*AN910+M24:M26*AO910*$B$8*AQ910)/(1+AL910/100)^K24:K26)+L27*AN910*AP910/(1+AL910/100)^$B$6</f>
        <v/>
      </c>
      <c r="AT910">
        <f>AS910-AR910</f>
        <v/>
      </c>
      <c r="AU910">
        <f>RAND()</f>
        <v/>
      </c>
      <c r="AV910">
        <f>RAND()</f>
        <v/>
      </c>
      <c r="AW910">
        <f>RAND()</f>
        <v/>
      </c>
      <c r="AX910">
        <f>RAND()</f>
        <v/>
      </c>
      <c r="AY910">
        <f>RAND()</f>
        <v/>
      </c>
      <c r="AZ910">
        <f>RAND()</f>
        <v/>
      </c>
    </row>
    <row r="911">
      <c r="AK911" t="n">
        <v>898</v>
      </c>
      <c r="AL911">
        <f>IFERROR(IF(AU911&lt;($AM$6-$AL$6)/($AN$6-$AL$6),$AL$6+SQRT(AU911*($AN$6-$AL$6)*($AM$6-$AL$6)),$AN$6-SQRT((1-AU911)*($AN$6-$AL$6)*($AN$6-$AM$6))),$AM$6)</f>
        <v/>
      </c>
      <c r="AM911">
        <f>IFERROR(IF(AV911&lt;($AM$7-$AL$7)/($AN$7-$AL$7),$AL$7+SQRT(AV911*($AN$7-$AL$7)*($AM$7-$AL$7)),$AN$7-SQRT((1-AV911)*($AN$7-$AL$7)*($AN$7-$AM$7))),$AM$7)</f>
        <v/>
      </c>
      <c r="AN911">
        <f>IFERROR(IF(AW911&lt;($AM$8-$AL$8)/($AN$8-$AL$8),$AL$8+SQRT(AW911*($AN$8-$AL$8)*($AM$8-$AL$8)),$AN$8-SQRT((1-AW911)*($AN$8-$AL$8)*($AN$8-$AM$8))),$AM$8)</f>
        <v/>
      </c>
      <c r="AO911">
        <f>IFERROR(IF(AX911&lt;($AM$9-$AL$9)/($AN$9-$AL$9),$AL$9+SQRT(AX911*($AN$9-$AL$9)*($AM$9-$AL$9)),$AN$9-SQRT((1-AX911)*($AN$9-$AL$9)*($AN$9-$AM$9))),$AM$9)</f>
        <v/>
      </c>
      <c r="AP911">
        <f>IFERROR(IF(AY911&lt;($AM$10-$AL$10)/($AN$10-$AL$10),$AL$10+SQRT(AY911*($AN$10-$AL$10)*($AM$10-$AL$10)),$AN$10-SQRT((1-AY911)*($AN$10-$AL$10)*($AN$10-$AM$10))),$AM$10)</f>
        <v/>
      </c>
      <c r="AQ911">
        <f>IFERROR(IF(AZ911&lt;($AM$11-$AL$11)/($AN$11-$AL$11),$AL$11+SQRT(AZ911*($AN$11-$AL$11)*($AM$11-$AL$11)),$AN$11-SQRT((1-AZ911)*($AN$11-$AL$11)*($AN$11-$AM$11))),$AM$11)</f>
        <v/>
      </c>
      <c r="AR911">
        <f>SUMPRODUCT((B24:B31&lt;=$B$6)*(C24:C31*AM911+D24:D31*AO911*$B$8*AQ911)/(1+AL911/100)^B24:B31)+C32*AM911*AP911/(1+AL911/100)^$B$6</f>
        <v/>
      </c>
      <c r="AS911">
        <f>SUMPRODUCT((K24:K26&lt;=$B$6)*(L24:L26*AN911+M24:M26*AO911*$B$8*AQ911)/(1+AL911/100)^K24:K26)+L27*AN911*AP911/(1+AL911/100)^$B$6</f>
        <v/>
      </c>
      <c r="AT911">
        <f>AS911-AR911</f>
        <v/>
      </c>
      <c r="AU911">
        <f>RAND()</f>
        <v/>
      </c>
      <c r="AV911">
        <f>RAND()</f>
        <v/>
      </c>
      <c r="AW911">
        <f>RAND()</f>
        <v/>
      </c>
      <c r="AX911">
        <f>RAND()</f>
        <v/>
      </c>
      <c r="AY911">
        <f>RAND()</f>
        <v/>
      </c>
      <c r="AZ911">
        <f>RAND()</f>
        <v/>
      </c>
    </row>
    <row r="912">
      <c r="AK912" t="n">
        <v>899</v>
      </c>
      <c r="AL912">
        <f>IFERROR(IF(AU912&lt;($AM$6-$AL$6)/($AN$6-$AL$6),$AL$6+SQRT(AU912*($AN$6-$AL$6)*($AM$6-$AL$6)),$AN$6-SQRT((1-AU912)*($AN$6-$AL$6)*($AN$6-$AM$6))),$AM$6)</f>
        <v/>
      </c>
      <c r="AM912">
        <f>IFERROR(IF(AV912&lt;($AM$7-$AL$7)/($AN$7-$AL$7),$AL$7+SQRT(AV912*($AN$7-$AL$7)*($AM$7-$AL$7)),$AN$7-SQRT((1-AV912)*($AN$7-$AL$7)*($AN$7-$AM$7))),$AM$7)</f>
        <v/>
      </c>
      <c r="AN912">
        <f>IFERROR(IF(AW912&lt;($AM$8-$AL$8)/($AN$8-$AL$8),$AL$8+SQRT(AW912*($AN$8-$AL$8)*($AM$8-$AL$8)),$AN$8-SQRT((1-AW912)*($AN$8-$AL$8)*($AN$8-$AM$8))),$AM$8)</f>
        <v/>
      </c>
      <c r="AO912">
        <f>IFERROR(IF(AX912&lt;($AM$9-$AL$9)/($AN$9-$AL$9),$AL$9+SQRT(AX912*($AN$9-$AL$9)*($AM$9-$AL$9)),$AN$9-SQRT((1-AX912)*($AN$9-$AL$9)*($AN$9-$AM$9))),$AM$9)</f>
        <v/>
      </c>
      <c r="AP912">
        <f>IFERROR(IF(AY912&lt;($AM$10-$AL$10)/($AN$10-$AL$10),$AL$10+SQRT(AY912*($AN$10-$AL$10)*($AM$10-$AL$10)),$AN$10-SQRT((1-AY912)*($AN$10-$AL$10)*($AN$10-$AM$10))),$AM$10)</f>
        <v/>
      </c>
      <c r="AQ912">
        <f>IFERROR(IF(AZ912&lt;($AM$11-$AL$11)/($AN$11-$AL$11),$AL$11+SQRT(AZ912*($AN$11-$AL$11)*($AM$11-$AL$11)),$AN$11-SQRT((1-AZ912)*($AN$11-$AL$11)*($AN$11-$AM$11))),$AM$11)</f>
        <v/>
      </c>
      <c r="AR912">
        <f>SUMPRODUCT((B24:B31&lt;=$B$6)*(C24:C31*AM912+D24:D31*AO912*$B$8*AQ912)/(1+AL912/100)^B24:B31)+C32*AM912*AP912/(1+AL912/100)^$B$6</f>
        <v/>
      </c>
      <c r="AS912">
        <f>SUMPRODUCT((K24:K26&lt;=$B$6)*(L24:L26*AN912+M24:M26*AO912*$B$8*AQ912)/(1+AL912/100)^K24:K26)+L27*AN912*AP912/(1+AL912/100)^$B$6</f>
        <v/>
      </c>
      <c r="AT912">
        <f>AS912-AR912</f>
        <v/>
      </c>
      <c r="AU912">
        <f>RAND()</f>
        <v/>
      </c>
      <c r="AV912">
        <f>RAND()</f>
        <v/>
      </c>
      <c r="AW912">
        <f>RAND()</f>
        <v/>
      </c>
      <c r="AX912">
        <f>RAND()</f>
        <v/>
      </c>
      <c r="AY912">
        <f>RAND()</f>
        <v/>
      </c>
      <c r="AZ912">
        <f>RAND()</f>
        <v/>
      </c>
    </row>
    <row r="913">
      <c r="AK913" t="n">
        <v>900</v>
      </c>
      <c r="AL913">
        <f>IFERROR(IF(AU913&lt;($AM$6-$AL$6)/($AN$6-$AL$6),$AL$6+SQRT(AU913*($AN$6-$AL$6)*($AM$6-$AL$6)),$AN$6-SQRT((1-AU913)*($AN$6-$AL$6)*($AN$6-$AM$6))),$AM$6)</f>
        <v/>
      </c>
      <c r="AM913">
        <f>IFERROR(IF(AV913&lt;($AM$7-$AL$7)/($AN$7-$AL$7),$AL$7+SQRT(AV913*($AN$7-$AL$7)*($AM$7-$AL$7)),$AN$7-SQRT((1-AV913)*($AN$7-$AL$7)*($AN$7-$AM$7))),$AM$7)</f>
        <v/>
      </c>
      <c r="AN913">
        <f>IFERROR(IF(AW913&lt;($AM$8-$AL$8)/($AN$8-$AL$8),$AL$8+SQRT(AW913*($AN$8-$AL$8)*($AM$8-$AL$8)),$AN$8-SQRT((1-AW913)*($AN$8-$AL$8)*($AN$8-$AM$8))),$AM$8)</f>
        <v/>
      </c>
      <c r="AO913">
        <f>IFERROR(IF(AX913&lt;($AM$9-$AL$9)/($AN$9-$AL$9),$AL$9+SQRT(AX913*($AN$9-$AL$9)*($AM$9-$AL$9)),$AN$9-SQRT((1-AX913)*($AN$9-$AL$9)*($AN$9-$AM$9))),$AM$9)</f>
        <v/>
      </c>
      <c r="AP913">
        <f>IFERROR(IF(AY913&lt;($AM$10-$AL$10)/($AN$10-$AL$10),$AL$10+SQRT(AY913*($AN$10-$AL$10)*($AM$10-$AL$10)),$AN$10-SQRT((1-AY913)*($AN$10-$AL$10)*($AN$10-$AM$10))),$AM$10)</f>
        <v/>
      </c>
      <c r="AQ913">
        <f>IFERROR(IF(AZ913&lt;($AM$11-$AL$11)/($AN$11-$AL$11),$AL$11+SQRT(AZ913*($AN$11-$AL$11)*($AM$11-$AL$11)),$AN$11-SQRT((1-AZ913)*($AN$11-$AL$11)*($AN$11-$AM$11))),$AM$11)</f>
        <v/>
      </c>
      <c r="AR913">
        <f>SUMPRODUCT((B24:B31&lt;=$B$6)*(C24:C31*AM913+D24:D31*AO913*$B$8*AQ913)/(1+AL913/100)^B24:B31)+C32*AM913*AP913/(1+AL913/100)^$B$6</f>
        <v/>
      </c>
      <c r="AS913">
        <f>SUMPRODUCT((K24:K26&lt;=$B$6)*(L24:L26*AN913+M24:M26*AO913*$B$8*AQ913)/(1+AL913/100)^K24:K26)+L27*AN913*AP913/(1+AL913/100)^$B$6</f>
        <v/>
      </c>
      <c r="AT913">
        <f>AS913-AR913</f>
        <v/>
      </c>
      <c r="AU913">
        <f>RAND()</f>
        <v/>
      </c>
      <c r="AV913">
        <f>RAND()</f>
        <v/>
      </c>
      <c r="AW913">
        <f>RAND()</f>
        <v/>
      </c>
      <c r="AX913">
        <f>RAND()</f>
        <v/>
      </c>
      <c r="AY913">
        <f>RAND()</f>
        <v/>
      </c>
      <c r="AZ913">
        <f>RAND()</f>
        <v/>
      </c>
    </row>
    <row r="914">
      <c r="AK914" t="n">
        <v>901</v>
      </c>
      <c r="AL914">
        <f>IFERROR(IF(AU914&lt;($AM$6-$AL$6)/($AN$6-$AL$6),$AL$6+SQRT(AU914*($AN$6-$AL$6)*($AM$6-$AL$6)),$AN$6-SQRT((1-AU914)*($AN$6-$AL$6)*($AN$6-$AM$6))),$AM$6)</f>
        <v/>
      </c>
      <c r="AM914">
        <f>IFERROR(IF(AV914&lt;($AM$7-$AL$7)/($AN$7-$AL$7),$AL$7+SQRT(AV914*($AN$7-$AL$7)*($AM$7-$AL$7)),$AN$7-SQRT((1-AV914)*($AN$7-$AL$7)*($AN$7-$AM$7))),$AM$7)</f>
        <v/>
      </c>
      <c r="AN914">
        <f>IFERROR(IF(AW914&lt;($AM$8-$AL$8)/($AN$8-$AL$8),$AL$8+SQRT(AW914*($AN$8-$AL$8)*($AM$8-$AL$8)),$AN$8-SQRT((1-AW914)*($AN$8-$AL$8)*($AN$8-$AM$8))),$AM$8)</f>
        <v/>
      </c>
      <c r="AO914">
        <f>IFERROR(IF(AX914&lt;($AM$9-$AL$9)/($AN$9-$AL$9),$AL$9+SQRT(AX914*($AN$9-$AL$9)*($AM$9-$AL$9)),$AN$9-SQRT((1-AX914)*($AN$9-$AL$9)*($AN$9-$AM$9))),$AM$9)</f>
        <v/>
      </c>
      <c r="AP914">
        <f>IFERROR(IF(AY914&lt;($AM$10-$AL$10)/($AN$10-$AL$10),$AL$10+SQRT(AY914*($AN$10-$AL$10)*($AM$10-$AL$10)),$AN$10-SQRT((1-AY914)*($AN$10-$AL$10)*($AN$10-$AM$10))),$AM$10)</f>
        <v/>
      </c>
      <c r="AQ914">
        <f>IFERROR(IF(AZ914&lt;($AM$11-$AL$11)/($AN$11-$AL$11),$AL$11+SQRT(AZ914*($AN$11-$AL$11)*($AM$11-$AL$11)),$AN$11-SQRT((1-AZ914)*($AN$11-$AL$11)*($AN$11-$AM$11))),$AM$11)</f>
        <v/>
      </c>
      <c r="AR914">
        <f>SUMPRODUCT((B24:B31&lt;=$B$6)*(C24:C31*AM914+D24:D31*AO914*$B$8*AQ914)/(1+AL914/100)^B24:B31)+C32*AM914*AP914/(1+AL914/100)^$B$6</f>
        <v/>
      </c>
      <c r="AS914">
        <f>SUMPRODUCT((K24:K26&lt;=$B$6)*(L24:L26*AN914+M24:M26*AO914*$B$8*AQ914)/(1+AL914/100)^K24:K26)+L27*AN914*AP914/(1+AL914/100)^$B$6</f>
        <v/>
      </c>
      <c r="AT914">
        <f>AS914-AR914</f>
        <v/>
      </c>
      <c r="AU914">
        <f>RAND()</f>
        <v/>
      </c>
      <c r="AV914">
        <f>RAND()</f>
        <v/>
      </c>
      <c r="AW914">
        <f>RAND()</f>
        <v/>
      </c>
      <c r="AX914">
        <f>RAND()</f>
        <v/>
      </c>
      <c r="AY914">
        <f>RAND()</f>
        <v/>
      </c>
      <c r="AZ914">
        <f>RAND()</f>
        <v/>
      </c>
    </row>
    <row r="915">
      <c r="AK915" t="n">
        <v>902</v>
      </c>
      <c r="AL915">
        <f>IFERROR(IF(AU915&lt;($AM$6-$AL$6)/($AN$6-$AL$6),$AL$6+SQRT(AU915*($AN$6-$AL$6)*($AM$6-$AL$6)),$AN$6-SQRT((1-AU915)*($AN$6-$AL$6)*($AN$6-$AM$6))),$AM$6)</f>
        <v/>
      </c>
      <c r="AM915">
        <f>IFERROR(IF(AV915&lt;($AM$7-$AL$7)/($AN$7-$AL$7),$AL$7+SQRT(AV915*($AN$7-$AL$7)*($AM$7-$AL$7)),$AN$7-SQRT((1-AV915)*($AN$7-$AL$7)*($AN$7-$AM$7))),$AM$7)</f>
        <v/>
      </c>
      <c r="AN915">
        <f>IFERROR(IF(AW915&lt;($AM$8-$AL$8)/($AN$8-$AL$8),$AL$8+SQRT(AW915*($AN$8-$AL$8)*($AM$8-$AL$8)),$AN$8-SQRT((1-AW915)*($AN$8-$AL$8)*($AN$8-$AM$8))),$AM$8)</f>
        <v/>
      </c>
      <c r="AO915">
        <f>IFERROR(IF(AX915&lt;($AM$9-$AL$9)/($AN$9-$AL$9),$AL$9+SQRT(AX915*($AN$9-$AL$9)*($AM$9-$AL$9)),$AN$9-SQRT((1-AX915)*($AN$9-$AL$9)*($AN$9-$AM$9))),$AM$9)</f>
        <v/>
      </c>
      <c r="AP915">
        <f>IFERROR(IF(AY915&lt;($AM$10-$AL$10)/($AN$10-$AL$10),$AL$10+SQRT(AY915*($AN$10-$AL$10)*($AM$10-$AL$10)),$AN$10-SQRT((1-AY915)*($AN$10-$AL$10)*($AN$10-$AM$10))),$AM$10)</f>
        <v/>
      </c>
      <c r="AQ915">
        <f>IFERROR(IF(AZ915&lt;($AM$11-$AL$11)/($AN$11-$AL$11),$AL$11+SQRT(AZ915*($AN$11-$AL$11)*($AM$11-$AL$11)),$AN$11-SQRT((1-AZ915)*($AN$11-$AL$11)*($AN$11-$AM$11))),$AM$11)</f>
        <v/>
      </c>
      <c r="AR915">
        <f>SUMPRODUCT((B24:B31&lt;=$B$6)*(C24:C31*AM915+D24:D31*AO915*$B$8*AQ915)/(1+AL915/100)^B24:B31)+C32*AM915*AP915/(1+AL915/100)^$B$6</f>
        <v/>
      </c>
      <c r="AS915">
        <f>SUMPRODUCT((K24:K26&lt;=$B$6)*(L24:L26*AN915+M24:M26*AO915*$B$8*AQ915)/(1+AL915/100)^K24:K26)+L27*AN915*AP915/(1+AL915/100)^$B$6</f>
        <v/>
      </c>
      <c r="AT915">
        <f>AS915-AR915</f>
        <v/>
      </c>
      <c r="AU915">
        <f>RAND()</f>
        <v/>
      </c>
      <c r="AV915">
        <f>RAND()</f>
        <v/>
      </c>
      <c r="AW915">
        <f>RAND()</f>
        <v/>
      </c>
      <c r="AX915">
        <f>RAND()</f>
        <v/>
      </c>
      <c r="AY915">
        <f>RAND()</f>
        <v/>
      </c>
      <c r="AZ915">
        <f>RAND()</f>
        <v/>
      </c>
    </row>
    <row r="916">
      <c r="AK916" t="n">
        <v>903</v>
      </c>
      <c r="AL916">
        <f>IFERROR(IF(AU916&lt;($AM$6-$AL$6)/($AN$6-$AL$6),$AL$6+SQRT(AU916*($AN$6-$AL$6)*($AM$6-$AL$6)),$AN$6-SQRT((1-AU916)*($AN$6-$AL$6)*($AN$6-$AM$6))),$AM$6)</f>
        <v/>
      </c>
      <c r="AM916">
        <f>IFERROR(IF(AV916&lt;($AM$7-$AL$7)/($AN$7-$AL$7),$AL$7+SQRT(AV916*($AN$7-$AL$7)*($AM$7-$AL$7)),$AN$7-SQRT((1-AV916)*($AN$7-$AL$7)*($AN$7-$AM$7))),$AM$7)</f>
        <v/>
      </c>
      <c r="AN916">
        <f>IFERROR(IF(AW916&lt;($AM$8-$AL$8)/($AN$8-$AL$8),$AL$8+SQRT(AW916*($AN$8-$AL$8)*($AM$8-$AL$8)),$AN$8-SQRT((1-AW916)*($AN$8-$AL$8)*($AN$8-$AM$8))),$AM$8)</f>
        <v/>
      </c>
      <c r="AO916">
        <f>IFERROR(IF(AX916&lt;($AM$9-$AL$9)/($AN$9-$AL$9),$AL$9+SQRT(AX916*($AN$9-$AL$9)*($AM$9-$AL$9)),$AN$9-SQRT((1-AX916)*($AN$9-$AL$9)*($AN$9-$AM$9))),$AM$9)</f>
        <v/>
      </c>
      <c r="AP916">
        <f>IFERROR(IF(AY916&lt;($AM$10-$AL$10)/($AN$10-$AL$10),$AL$10+SQRT(AY916*($AN$10-$AL$10)*($AM$10-$AL$10)),$AN$10-SQRT((1-AY916)*($AN$10-$AL$10)*($AN$10-$AM$10))),$AM$10)</f>
        <v/>
      </c>
      <c r="AQ916">
        <f>IFERROR(IF(AZ916&lt;($AM$11-$AL$11)/($AN$11-$AL$11),$AL$11+SQRT(AZ916*($AN$11-$AL$11)*($AM$11-$AL$11)),$AN$11-SQRT((1-AZ916)*($AN$11-$AL$11)*($AN$11-$AM$11))),$AM$11)</f>
        <v/>
      </c>
      <c r="AR916">
        <f>SUMPRODUCT((B24:B31&lt;=$B$6)*(C24:C31*AM916+D24:D31*AO916*$B$8*AQ916)/(1+AL916/100)^B24:B31)+C32*AM916*AP916/(1+AL916/100)^$B$6</f>
        <v/>
      </c>
      <c r="AS916">
        <f>SUMPRODUCT((K24:K26&lt;=$B$6)*(L24:L26*AN916+M24:M26*AO916*$B$8*AQ916)/(1+AL916/100)^K24:K26)+L27*AN916*AP916/(1+AL916/100)^$B$6</f>
        <v/>
      </c>
      <c r="AT916">
        <f>AS916-AR916</f>
        <v/>
      </c>
      <c r="AU916">
        <f>RAND()</f>
        <v/>
      </c>
      <c r="AV916">
        <f>RAND()</f>
        <v/>
      </c>
      <c r="AW916">
        <f>RAND()</f>
        <v/>
      </c>
      <c r="AX916">
        <f>RAND()</f>
        <v/>
      </c>
      <c r="AY916">
        <f>RAND()</f>
        <v/>
      </c>
      <c r="AZ916">
        <f>RAND()</f>
        <v/>
      </c>
    </row>
    <row r="917">
      <c r="AK917" t="n">
        <v>904</v>
      </c>
      <c r="AL917">
        <f>IFERROR(IF(AU917&lt;($AM$6-$AL$6)/($AN$6-$AL$6),$AL$6+SQRT(AU917*($AN$6-$AL$6)*($AM$6-$AL$6)),$AN$6-SQRT((1-AU917)*($AN$6-$AL$6)*($AN$6-$AM$6))),$AM$6)</f>
        <v/>
      </c>
      <c r="AM917">
        <f>IFERROR(IF(AV917&lt;($AM$7-$AL$7)/($AN$7-$AL$7),$AL$7+SQRT(AV917*($AN$7-$AL$7)*($AM$7-$AL$7)),$AN$7-SQRT((1-AV917)*($AN$7-$AL$7)*($AN$7-$AM$7))),$AM$7)</f>
        <v/>
      </c>
      <c r="AN917">
        <f>IFERROR(IF(AW917&lt;($AM$8-$AL$8)/($AN$8-$AL$8),$AL$8+SQRT(AW917*($AN$8-$AL$8)*($AM$8-$AL$8)),$AN$8-SQRT((1-AW917)*($AN$8-$AL$8)*($AN$8-$AM$8))),$AM$8)</f>
        <v/>
      </c>
      <c r="AO917">
        <f>IFERROR(IF(AX917&lt;($AM$9-$AL$9)/($AN$9-$AL$9),$AL$9+SQRT(AX917*($AN$9-$AL$9)*($AM$9-$AL$9)),$AN$9-SQRT((1-AX917)*($AN$9-$AL$9)*($AN$9-$AM$9))),$AM$9)</f>
        <v/>
      </c>
      <c r="AP917">
        <f>IFERROR(IF(AY917&lt;($AM$10-$AL$10)/($AN$10-$AL$10),$AL$10+SQRT(AY917*($AN$10-$AL$10)*($AM$10-$AL$10)),$AN$10-SQRT((1-AY917)*($AN$10-$AL$10)*($AN$10-$AM$10))),$AM$10)</f>
        <v/>
      </c>
      <c r="AQ917">
        <f>IFERROR(IF(AZ917&lt;($AM$11-$AL$11)/($AN$11-$AL$11),$AL$11+SQRT(AZ917*($AN$11-$AL$11)*($AM$11-$AL$11)),$AN$11-SQRT((1-AZ917)*($AN$11-$AL$11)*($AN$11-$AM$11))),$AM$11)</f>
        <v/>
      </c>
      <c r="AR917">
        <f>SUMPRODUCT((B24:B31&lt;=$B$6)*(C24:C31*AM917+D24:D31*AO917*$B$8*AQ917)/(1+AL917/100)^B24:B31)+C32*AM917*AP917/(1+AL917/100)^$B$6</f>
        <v/>
      </c>
      <c r="AS917">
        <f>SUMPRODUCT((K24:K26&lt;=$B$6)*(L24:L26*AN917+M24:M26*AO917*$B$8*AQ917)/(1+AL917/100)^K24:K26)+L27*AN917*AP917/(1+AL917/100)^$B$6</f>
        <v/>
      </c>
      <c r="AT917">
        <f>AS917-AR917</f>
        <v/>
      </c>
      <c r="AU917">
        <f>RAND()</f>
        <v/>
      </c>
      <c r="AV917">
        <f>RAND()</f>
        <v/>
      </c>
      <c r="AW917">
        <f>RAND()</f>
        <v/>
      </c>
      <c r="AX917">
        <f>RAND()</f>
        <v/>
      </c>
      <c r="AY917">
        <f>RAND()</f>
        <v/>
      </c>
      <c r="AZ917">
        <f>RAND()</f>
        <v/>
      </c>
    </row>
    <row r="918">
      <c r="AK918" t="n">
        <v>905</v>
      </c>
      <c r="AL918">
        <f>IFERROR(IF(AU918&lt;($AM$6-$AL$6)/($AN$6-$AL$6),$AL$6+SQRT(AU918*($AN$6-$AL$6)*($AM$6-$AL$6)),$AN$6-SQRT((1-AU918)*($AN$6-$AL$6)*($AN$6-$AM$6))),$AM$6)</f>
        <v/>
      </c>
      <c r="AM918">
        <f>IFERROR(IF(AV918&lt;($AM$7-$AL$7)/($AN$7-$AL$7),$AL$7+SQRT(AV918*($AN$7-$AL$7)*($AM$7-$AL$7)),$AN$7-SQRT((1-AV918)*($AN$7-$AL$7)*($AN$7-$AM$7))),$AM$7)</f>
        <v/>
      </c>
      <c r="AN918">
        <f>IFERROR(IF(AW918&lt;($AM$8-$AL$8)/($AN$8-$AL$8),$AL$8+SQRT(AW918*($AN$8-$AL$8)*($AM$8-$AL$8)),$AN$8-SQRT((1-AW918)*($AN$8-$AL$8)*($AN$8-$AM$8))),$AM$8)</f>
        <v/>
      </c>
      <c r="AO918">
        <f>IFERROR(IF(AX918&lt;($AM$9-$AL$9)/($AN$9-$AL$9),$AL$9+SQRT(AX918*($AN$9-$AL$9)*($AM$9-$AL$9)),$AN$9-SQRT((1-AX918)*($AN$9-$AL$9)*($AN$9-$AM$9))),$AM$9)</f>
        <v/>
      </c>
      <c r="AP918">
        <f>IFERROR(IF(AY918&lt;($AM$10-$AL$10)/($AN$10-$AL$10),$AL$10+SQRT(AY918*($AN$10-$AL$10)*($AM$10-$AL$10)),$AN$10-SQRT((1-AY918)*($AN$10-$AL$10)*($AN$10-$AM$10))),$AM$10)</f>
        <v/>
      </c>
      <c r="AQ918">
        <f>IFERROR(IF(AZ918&lt;($AM$11-$AL$11)/($AN$11-$AL$11),$AL$11+SQRT(AZ918*($AN$11-$AL$11)*($AM$11-$AL$11)),$AN$11-SQRT((1-AZ918)*($AN$11-$AL$11)*($AN$11-$AM$11))),$AM$11)</f>
        <v/>
      </c>
      <c r="AR918">
        <f>SUMPRODUCT((B24:B31&lt;=$B$6)*(C24:C31*AM918+D24:D31*AO918*$B$8*AQ918)/(1+AL918/100)^B24:B31)+C32*AM918*AP918/(1+AL918/100)^$B$6</f>
        <v/>
      </c>
      <c r="AS918">
        <f>SUMPRODUCT((K24:K26&lt;=$B$6)*(L24:L26*AN918+M24:M26*AO918*$B$8*AQ918)/(1+AL918/100)^K24:K26)+L27*AN918*AP918/(1+AL918/100)^$B$6</f>
        <v/>
      </c>
      <c r="AT918">
        <f>AS918-AR918</f>
        <v/>
      </c>
      <c r="AU918">
        <f>RAND()</f>
        <v/>
      </c>
      <c r="AV918">
        <f>RAND()</f>
        <v/>
      </c>
      <c r="AW918">
        <f>RAND()</f>
        <v/>
      </c>
      <c r="AX918">
        <f>RAND()</f>
        <v/>
      </c>
      <c r="AY918">
        <f>RAND()</f>
        <v/>
      </c>
      <c r="AZ918">
        <f>RAND()</f>
        <v/>
      </c>
    </row>
    <row r="919">
      <c r="AK919" t="n">
        <v>906</v>
      </c>
      <c r="AL919">
        <f>IFERROR(IF(AU919&lt;($AM$6-$AL$6)/($AN$6-$AL$6),$AL$6+SQRT(AU919*($AN$6-$AL$6)*($AM$6-$AL$6)),$AN$6-SQRT((1-AU919)*($AN$6-$AL$6)*($AN$6-$AM$6))),$AM$6)</f>
        <v/>
      </c>
      <c r="AM919">
        <f>IFERROR(IF(AV919&lt;($AM$7-$AL$7)/($AN$7-$AL$7),$AL$7+SQRT(AV919*($AN$7-$AL$7)*($AM$7-$AL$7)),$AN$7-SQRT((1-AV919)*($AN$7-$AL$7)*($AN$7-$AM$7))),$AM$7)</f>
        <v/>
      </c>
      <c r="AN919">
        <f>IFERROR(IF(AW919&lt;($AM$8-$AL$8)/($AN$8-$AL$8),$AL$8+SQRT(AW919*($AN$8-$AL$8)*($AM$8-$AL$8)),$AN$8-SQRT((1-AW919)*($AN$8-$AL$8)*($AN$8-$AM$8))),$AM$8)</f>
        <v/>
      </c>
      <c r="AO919">
        <f>IFERROR(IF(AX919&lt;($AM$9-$AL$9)/($AN$9-$AL$9),$AL$9+SQRT(AX919*($AN$9-$AL$9)*($AM$9-$AL$9)),$AN$9-SQRT((1-AX919)*($AN$9-$AL$9)*($AN$9-$AM$9))),$AM$9)</f>
        <v/>
      </c>
      <c r="AP919">
        <f>IFERROR(IF(AY919&lt;($AM$10-$AL$10)/($AN$10-$AL$10),$AL$10+SQRT(AY919*($AN$10-$AL$10)*($AM$10-$AL$10)),$AN$10-SQRT((1-AY919)*($AN$10-$AL$10)*($AN$10-$AM$10))),$AM$10)</f>
        <v/>
      </c>
      <c r="AQ919">
        <f>IFERROR(IF(AZ919&lt;($AM$11-$AL$11)/($AN$11-$AL$11),$AL$11+SQRT(AZ919*($AN$11-$AL$11)*($AM$11-$AL$11)),$AN$11-SQRT((1-AZ919)*($AN$11-$AL$11)*($AN$11-$AM$11))),$AM$11)</f>
        <v/>
      </c>
      <c r="AR919">
        <f>SUMPRODUCT((B24:B31&lt;=$B$6)*(C24:C31*AM919+D24:D31*AO919*$B$8*AQ919)/(1+AL919/100)^B24:B31)+C32*AM919*AP919/(1+AL919/100)^$B$6</f>
        <v/>
      </c>
      <c r="AS919">
        <f>SUMPRODUCT((K24:K26&lt;=$B$6)*(L24:L26*AN919+M24:M26*AO919*$B$8*AQ919)/(1+AL919/100)^K24:K26)+L27*AN919*AP919/(1+AL919/100)^$B$6</f>
        <v/>
      </c>
      <c r="AT919">
        <f>AS919-AR919</f>
        <v/>
      </c>
      <c r="AU919">
        <f>RAND()</f>
        <v/>
      </c>
      <c r="AV919">
        <f>RAND()</f>
        <v/>
      </c>
      <c r="AW919">
        <f>RAND()</f>
        <v/>
      </c>
      <c r="AX919">
        <f>RAND()</f>
        <v/>
      </c>
      <c r="AY919">
        <f>RAND()</f>
        <v/>
      </c>
      <c r="AZ919">
        <f>RAND()</f>
        <v/>
      </c>
    </row>
    <row r="920">
      <c r="AK920" t="n">
        <v>907</v>
      </c>
      <c r="AL920">
        <f>IFERROR(IF(AU920&lt;($AM$6-$AL$6)/($AN$6-$AL$6),$AL$6+SQRT(AU920*($AN$6-$AL$6)*($AM$6-$AL$6)),$AN$6-SQRT((1-AU920)*($AN$6-$AL$6)*($AN$6-$AM$6))),$AM$6)</f>
        <v/>
      </c>
      <c r="AM920">
        <f>IFERROR(IF(AV920&lt;($AM$7-$AL$7)/($AN$7-$AL$7),$AL$7+SQRT(AV920*($AN$7-$AL$7)*($AM$7-$AL$7)),$AN$7-SQRT((1-AV920)*($AN$7-$AL$7)*($AN$7-$AM$7))),$AM$7)</f>
        <v/>
      </c>
      <c r="AN920">
        <f>IFERROR(IF(AW920&lt;($AM$8-$AL$8)/($AN$8-$AL$8),$AL$8+SQRT(AW920*($AN$8-$AL$8)*($AM$8-$AL$8)),$AN$8-SQRT((1-AW920)*($AN$8-$AL$8)*($AN$8-$AM$8))),$AM$8)</f>
        <v/>
      </c>
      <c r="AO920">
        <f>IFERROR(IF(AX920&lt;($AM$9-$AL$9)/($AN$9-$AL$9),$AL$9+SQRT(AX920*($AN$9-$AL$9)*($AM$9-$AL$9)),$AN$9-SQRT((1-AX920)*($AN$9-$AL$9)*($AN$9-$AM$9))),$AM$9)</f>
        <v/>
      </c>
      <c r="AP920">
        <f>IFERROR(IF(AY920&lt;($AM$10-$AL$10)/($AN$10-$AL$10),$AL$10+SQRT(AY920*($AN$10-$AL$10)*($AM$10-$AL$10)),$AN$10-SQRT((1-AY920)*($AN$10-$AL$10)*($AN$10-$AM$10))),$AM$10)</f>
        <v/>
      </c>
      <c r="AQ920">
        <f>IFERROR(IF(AZ920&lt;($AM$11-$AL$11)/($AN$11-$AL$11),$AL$11+SQRT(AZ920*($AN$11-$AL$11)*($AM$11-$AL$11)),$AN$11-SQRT((1-AZ920)*($AN$11-$AL$11)*($AN$11-$AM$11))),$AM$11)</f>
        <v/>
      </c>
      <c r="AR920">
        <f>SUMPRODUCT((B24:B31&lt;=$B$6)*(C24:C31*AM920+D24:D31*AO920*$B$8*AQ920)/(1+AL920/100)^B24:B31)+C32*AM920*AP920/(1+AL920/100)^$B$6</f>
        <v/>
      </c>
      <c r="AS920">
        <f>SUMPRODUCT((K24:K26&lt;=$B$6)*(L24:L26*AN920+M24:M26*AO920*$B$8*AQ920)/(1+AL920/100)^K24:K26)+L27*AN920*AP920/(1+AL920/100)^$B$6</f>
        <v/>
      </c>
      <c r="AT920">
        <f>AS920-AR920</f>
        <v/>
      </c>
      <c r="AU920">
        <f>RAND()</f>
        <v/>
      </c>
      <c r="AV920">
        <f>RAND()</f>
        <v/>
      </c>
      <c r="AW920">
        <f>RAND()</f>
        <v/>
      </c>
      <c r="AX920">
        <f>RAND()</f>
        <v/>
      </c>
      <c r="AY920">
        <f>RAND()</f>
        <v/>
      </c>
      <c r="AZ920">
        <f>RAND()</f>
        <v/>
      </c>
    </row>
    <row r="921">
      <c r="AK921" t="n">
        <v>908</v>
      </c>
      <c r="AL921">
        <f>IFERROR(IF(AU921&lt;($AM$6-$AL$6)/($AN$6-$AL$6),$AL$6+SQRT(AU921*($AN$6-$AL$6)*($AM$6-$AL$6)),$AN$6-SQRT((1-AU921)*($AN$6-$AL$6)*($AN$6-$AM$6))),$AM$6)</f>
        <v/>
      </c>
      <c r="AM921">
        <f>IFERROR(IF(AV921&lt;($AM$7-$AL$7)/($AN$7-$AL$7),$AL$7+SQRT(AV921*($AN$7-$AL$7)*($AM$7-$AL$7)),$AN$7-SQRT((1-AV921)*($AN$7-$AL$7)*($AN$7-$AM$7))),$AM$7)</f>
        <v/>
      </c>
      <c r="AN921">
        <f>IFERROR(IF(AW921&lt;($AM$8-$AL$8)/($AN$8-$AL$8),$AL$8+SQRT(AW921*($AN$8-$AL$8)*($AM$8-$AL$8)),$AN$8-SQRT((1-AW921)*($AN$8-$AL$8)*($AN$8-$AM$8))),$AM$8)</f>
        <v/>
      </c>
      <c r="AO921">
        <f>IFERROR(IF(AX921&lt;($AM$9-$AL$9)/($AN$9-$AL$9),$AL$9+SQRT(AX921*($AN$9-$AL$9)*($AM$9-$AL$9)),$AN$9-SQRT((1-AX921)*($AN$9-$AL$9)*($AN$9-$AM$9))),$AM$9)</f>
        <v/>
      </c>
      <c r="AP921">
        <f>IFERROR(IF(AY921&lt;($AM$10-$AL$10)/($AN$10-$AL$10),$AL$10+SQRT(AY921*($AN$10-$AL$10)*($AM$10-$AL$10)),$AN$10-SQRT((1-AY921)*($AN$10-$AL$10)*($AN$10-$AM$10))),$AM$10)</f>
        <v/>
      </c>
      <c r="AQ921">
        <f>IFERROR(IF(AZ921&lt;($AM$11-$AL$11)/($AN$11-$AL$11),$AL$11+SQRT(AZ921*($AN$11-$AL$11)*($AM$11-$AL$11)),$AN$11-SQRT((1-AZ921)*($AN$11-$AL$11)*($AN$11-$AM$11))),$AM$11)</f>
        <v/>
      </c>
      <c r="AR921">
        <f>SUMPRODUCT((B24:B31&lt;=$B$6)*(C24:C31*AM921+D24:D31*AO921*$B$8*AQ921)/(1+AL921/100)^B24:B31)+C32*AM921*AP921/(1+AL921/100)^$B$6</f>
        <v/>
      </c>
      <c r="AS921">
        <f>SUMPRODUCT((K24:K26&lt;=$B$6)*(L24:L26*AN921+M24:M26*AO921*$B$8*AQ921)/(1+AL921/100)^K24:K26)+L27*AN921*AP921/(1+AL921/100)^$B$6</f>
        <v/>
      </c>
      <c r="AT921">
        <f>AS921-AR921</f>
        <v/>
      </c>
      <c r="AU921">
        <f>RAND()</f>
        <v/>
      </c>
      <c r="AV921">
        <f>RAND()</f>
        <v/>
      </c>
      <c r="AW921">
        <f>RAND()</f>
        <v/>
      </c>
      <c r="AX921">
        <f>RAND()</f>
        <v/>
      </c>
      <c r="AY921">
        <f>RAND()</f>
        <v/>
      </c>
      <c r="AZ921">
        <f>RAND()</f>
        <v/>
      </c>
    </row>
    <row r="922">
      <c r="AK922" t="n">
        <v>909</v>
      </c>
      <c r="AL922">
        <f>IFERROR(IF(AU922&lt;($AM$6-$AL$6)/($AN$6-$AL$6),$AL$6+SQRT(AU922*($AN$6-$AL$6)*($AM$6-$AL$6)),$AN$6-SQRT((1-AU922)*($AN$6-$AL$6)*($AN$6-$AM$6))),$AM$6)</f>
        <v/>
      </c>
      <c r="AM922">
        <f>IFERROR(IF(AV922&lt;($AM$7-$AL$7)/($AN$7-$AL$7),$AL$7+SQRT(AV922*($AN$7-$AL$7)*($AM$7-$AL$7)),$AN$7-SQRT((1-AV922)*($AN$7-$AL$7)*($AN$7-$AM$7))),$AM$7)</f>
        <v/>
      </c>
      <c r="AN922">
        <f>IFERROR(IF(AW922&lt;($AM$8-$AL$8)/($AN$8-$AL$8),$AL$8+SQRT(AW922*($AN$8-$AL$8)*($AM$8-$AL$8)),$AN$8-SQRT((1-AW922)*($AN$8-$AL$8)*($AN$8-$AM$8))),$AM$8)</f>
        <v/>
      </c>
      <c r="AO922">
        <f>IFERROR(IF(AX922&lt;($AM$9-$AL$9)/($AN$9-$AL$9),$AL$9+SQRT(AX922*($AN$9-$AL$9)*($AM$9-$AL$9)),$AN$9-SQRT((1-AX922)*($AN$9-$AL$9)*($AN$9-$AM$9))),$AM$9)</f>
        <v/>
      </c>
      <c r="AP922">
        <f>IFERROR(IF(AY922&lt;($AM$10-$AL$10)/($AN$10-$AL$10),$AL$10+SQRT(AY922*($AN$10-$AL$10)*($AM$10-$AL$10)),$AN$10-SQRT((1-AY922)*($AN$10-$AL$10)*($AN$10-$AM$10))),$AM$10)</f>
        <v/>
      </c>
      <c r="AQ922">
        <f>IFERROR(IF(AZ922&lt;($AM$11-$AL$11)/($AN$11-$AL$11),$AL$11+SQRT(AZ922*($AN$11-$AL$11)*($AM$11-$AL$11)),$AN$11-SQRT((1-AZ922)*($AN$11-$AL$11)*($AN$11-$AM$11))),$AM$11)</f>
        <v/>
      </c>
      <c r="AR922">
        <f>SUMPRODUCT((B24:B31&lt;=$B$6)*(C24:C31*AM922+D24:D31*AO922*$B$8*AQ922)/(1+AL922/100)^B24:B31)+C32*AM922*AP922/(1+AL922/100)^$B$6</f>
        <v/>
      </c>
      <c r="AS922">
        <f>SUMPRODUCT((K24:K26&lt;=$B$6)*(L24:L26*AN922+M24:M26*AO922*$B$8*AQ922)/(1+AL922/100)^K24:K26)+L27*AN922*AP922/(1+AL922/100)^$B$6</f>
        <v/>
      </c>
      <c r="AT922">
        <f>AS922-AR922</f>
        <v/>
      </c>
      <c r="AU922">
        <f>RAND()</f>
        <v/>
      </c>
      <c r="AV922">
        <f>RAND()</f>
        <v/>
      </c>
      <c r="AW922">
        <f>RAND()</f>
        <v/>
      </c>
      <c r="AX922">
        <f>RAND()</f>
        <v/>
      </c>
      <c r="AY922">
        <f>RAND()</f>
        <v/>
      </c>
      <c r="AZ922">
        <f>RAND()</f>
        <v/>
      </c>
    </row>
    <row r="923">
      <c r="AK923" t="n">
        <v>910</v>
      </c>
      <c r="AL923">
        <f>IFERROR(IF(AU923&lt;($AM$6-$AL$6)/($AN$6-$AL$6),$AL$6+SQRT(AU923*($AN$6-$AL$6)*($AM$6-$AL$6)),$AN$6-SQRT((1-AU923)*($AN$6-$AL$6)*($AN$6-$AM$6))),$AM$6)</f>
        <v/>
      </c>
      <c r="AM923">
        <f>IFERROR(IF(AV923&lt;($AM$7-$AL$7)/($AN$7-$AL$7),$AL$7+SQRT(AV923*($AN$7-$AL$7)*($AM$7-$AL$7)),$AN$7-SQRT((1-AV923)*($AN$7-$AL$7)*($AN$7-$AM$7))),$AM$7)</f>
        <v/>
      </c>
      <c r="AN923">
        <f>IFERROR(IF(AW923&lt;($AM$8-$AL$8)/($AN$8-$AL$8),$AL$8+SQRT(AW923*($AN$8-$AL$8)*($AM$8-$AL$8)),$AN$8-SQRT((1-AW923)*($AN$8-$AL$8)*($AN$8-$AM$8))),$AM$8)</f>
        <v/>
      </c>
      <c r="AO923">
        <f>IFERROR(IF(AX923&lt;($AM$9-$AL$9)/($AN$9-$AL$9),$AL$9+SQRT(AX923*($AN$9-$AL$9)*($AM$9-$AL$9)),$AN$9-SQRT((1-AX923)*($AN$9-$AL$9)*($AN$9-$AM$9))),$AM$9)</f>
        <v/>
      </c>
      <c r="AP923">
        <f>IFERROR(IF(AY923&lt;($AM$10-$AL$10)/($AN$10-$AL$10),$AL$10+SQRT(AY923*($AN$10-$AL$10)*($AM$10-$AL$10)),$AN$10-SQRT((1-AY923)*($AN$10-$AL$10)*($AN$10-$AM$10))),$AM$10)</f>
        <v/>
      </c>
      <c r="AQ923">
        <f>IFERROR(IF(AZ923&lt;($AM$11-$AL$11)/($AN$11-$AL$11),$AL$11+SQRT(AZ923*($AN$11-$AL$11)*($AM$11-$AL$11)),$AN$11-SQRT((1-AZ923)*($AN$11-$AL$11)*($AN$11-$AM$11))),$AM$11)</f>
        <v/>
      </c>
      <c r="AR923">
        <f>SUMPRODUCT((B24:B31&lt;=$B$6)*(C24:C31*AM923+D24:D31*AO923*$B$8*AQ923)/(1+AL923/100)^B24:B31)+C32*AM923*AP923/(1+AL923/100)^$B$6</f>
        <v/>
      </c>
      <c r="AS923">
        <f>SUMPRODUCT((K24:K26&lt;=$B$6)*(L24:L26*AN923+M24:M26*AO923*$B$8*AQ923)/(1+AL923/100)^K24:K26)+L27*AN923*AP923/(1+AL923/100)^$B$6</f>
        <v/>
      </c>
      <c r="AT923">
        <f>AS923-AR923</f>
        <v/>
      </c>
      <c r="AU923">
        <f>RAND()</f>
        <v/>
      </c>
      <c r="AV923">
        <f>RAND()</f>
        <v/>
      </c>
      <c r="AW923">
        <f>RAND()</f>
        <v/>
      </c>
      <c r="AX923">
        <f>RAND()</f>
        <v/>
      </c>
      <c r="AY923">
        <f>RAND()</f>
        <v/>
      </c>
      <c r="AZ923">
        <f>RAND()</f>
        <v/>
      </c>
    </row>
    <row r="924">
      <c r="AK924" t="n">
        <v>911</v>
      </c>
      <c r="AL924">
        <f>IFERROR(IF(AU924&lt;($AM$6-$AL$6)/($AN$6-$AL$6),$AL$6+SQRT(AU924*($AN$6-$AL$6)*($AM$6-$AL$6)),$AN$6-SQRT((1-AU924)*($AN$6-$AL$6)*($AN$6-$AM$6))),$AM$6)</f>
        <v/>
      </c>
      <c r="AM924">
        <f>IFERROR(IF(AV924&lt;($AM$7-$AL$7)/($AN$7-$AL$7),$AL$7+SQRT(AV924*($AN$7-$AL$7)*($AM$7-$AL$7)),$AN$7-SQRT((1-AV924)*($AN$7-$AL$7)*($AN$7-$AM$7))),$AM$7)</f>
        <v/>
      </c>
      <c r="AN924">
        <f>IFERROR(IF(AW924&lt;($AM$8-$AL$8)/($AN$8-$AL$8),$AL$8+SQRT(AW924*($AN$8-$AL$8)*($AM$8-$AL$8)),$AN$8-SQRT((1-AW924)*($AN$8-$AL$8)*($AN$8-$AM$8))),$AM$8)</f>
        <v/>
      </c>
      <c r="AO924">
        <f>IFERROR(IF(AX924&lt;($AM$9-$AL$9)/($AN$9-$AL$9),$AL$9+SQRT(AX924*($AN$9-$AL$9)*($AM$9-$AL$9)),$AN$9-SQRT((1-AX924)*($AN$9-$AL$9)*($AN$9-$AM$9))),$AM$9)</f>
        <v/>
      </c>
      <c r="AP924">
        <f>IFERROR(IF(AY924&lt;($AM$10-$AL$10)/($AN$10-$AL$10),$AL$10+SQRT(AY924*($AN$10-$AL$10)*($AM$10-$AL$10)),$AN$10-SQRT((1-AY924)*($AN$10-$AL$10)*($AN$10-$AM$10))),$AM$10)</f>
        <v/>
      </c>
      <c r="AQ924">
        <f>IFERROR(IF(AZ924&lt;($AM$11-$AL$11)/($AN$11-$AL$11),$AL$11+SQRT(AZ924*($AN$11-$AL$11)*($AM$11-$AL$11)),$AN$11-SQRT((1-AZ924)*($AN$11-$AL$11)*($AN$11-$AM$11))),$AM$11)</f>
        <v/>
      </c>
      <c r="AR924">
        <f>SUMPRODUCT((B24:B31&lt;=$B$6)*(C24:C31*AM924+D24:D31*AO924*$B$8*AQ924)/(1+AL924/100)^B24:B31)+C32*AM924*AP924/(1+AL924/100)^$B$6</f>
        <v/>
      </c>
      <c r="AS924">
        <f>SUMPRODUCT((K24:K26&lt;=$B$6)*(L24:L26*AN924+M24:M26*AO924*$B$8*AQ924)/(1+AL924/100)^K24:K26)+L27*AN924*AP924/(1+AL924/100)^$B$6</f>
        <v/>
      </c>
      <c r="AT924">
        <f>AS924-AR924</f>
        <v/>
      </c>
      <c r="AU924">
        <f>RAND()</f>
        <v/>
      </c>
      <c r="AV924">
        <f>RAND()</f>
        <v/>
      </c>
      <c r="AW924">
        <f>RAND()</f>
        <v/>
      </c>
      <c r="AX924">
        <f>RAND()</f>
        <v/>
      </c>
      <c r="AY924">
        <f>RAND()</f>
        <v/>
      </c>
      <c r="AZ924">
        <f>RAND()</f>
        <v/>
      </c>
    </row>
    <row r="925">
      <c r="AK925" t="n">
        <v>912</v>
      </c>
      <c r="AL925">
        <f>IFERROR(IF(AU925&lt;($AM$6-$AL$6)/($AN$6-$AL$6),$AL$6+SQRT(AU925*($AN$6-$AL$6)*($AM$6-$AL$6)),$AN$6-SQRT((1-AU925)*($AN$6-$AL$6)*($AN$6-$AM$6))),$AM$6)</f>
        <v/>
      </c>
      <c r="AM925">
        <f>IFERROR(IF(AV925&lt;($AM$7-$AL$7)/($AN$7-$AL$7),$AL$7+SQRT(AV925*($AN$7-$AL$7)*($AM$7-$AL$7)),$AN$7-SQRT((1-AV925)*($AN$7-$AL$7)*($AN$7-$AM$7))),$AM$7)</f>
        <v/>
      </c>
      <c r="AN925">
        <f>IFERROR(IF(AW925&lt;($AM$8-$AL$8)/($AN$8-$AL$8),$AL$8+SQRT(AW925*($AN$8-$AL$8)*($AM$8-$AL$8)),$AN$8-SQRT((1-AW925)*($AN$8-$AL$8)*($AN$8-$AM$8))),$AM$8)</f>
        <v/>
      </c>
      <c r="AO925">
        <f>IFERROR(IF(AX925&lt;($AM$9-$AL$9)/($AN$9-$AL$9),$AL$9+SQRT(AX925*($AN$9-$AL$9)*($AM$9-$AL$9)),$AN$9-SQRT((1-AX925)*($AN$9-$AL$9)*($AN$9-$AM$9))),$AM$9)</f>
        <v/>
      </c>
      <c r="AP925">
        <f>IFERROR(IF(AY925&lt;($AM$10-$AL$10)/($AN$10-$AL$10),$AL$10+SQRT(AY925*($AN$10-$AL$10)*($AM$10-$AL$10)),$AN$10-SQRT((1-AY925)*($AN$10-$AL$10)*($AN$10-$AM$10))),$AM$10)</f>
        <v/>
      </c>
      <c r="AQ925">
        <f>IFERROR(IF(AZ925&lt;($AM$11-$AL$11)/($AN$11-$AL$11),$AL$11+SQRT(AZ925*($AN$11-$AL$11)*($AM$11-$AL$11)),$AN$11-SQRT((1-AZ925)*($AN$11-$AL$11)*($AN$11-$AM$11))),$AM$11)</f>
        <v/>
      </c>
      <c r="AR925">
        <f>SUMPRODUCT((B24:B31&lt;=$B$6)*(C24:C31*AM925+D24:D31*AO925*$B$8*AQ925)/(1+AL925/100)^B24:B31)+C32*AM925*AP925/(1+AL925/100)^$B$6</f>
        <v/>
      </c>
      <c r="AS925">
        <f>SUMPRODUCT((K24:K26&lt;=$B$6)*(L24:L26*AN925+M24:M26*AO925*$B$8*AQ925)/(1+AL925/100)^K24:K26)+L27*AN925*AP925/(1+AL925/100)^$B$6</f>
        <v/>
      </c>
      <c r="AT925">
        <f>AS925-AR925</f>
        <v/>
      </c>
      <c r="AU925">
        <f>RAND()</f>
        <v/>
      </c>
      <c r="AV925">
        <f>RAND()</f>
        <v/>
      </c>
      <c r="AW925">
        <f>RAND()</f>
        <v/>
      </c>
      <c r="AX925">
        <f>RAND()</f>
        <v/>
      </c>
      <c r="AY925">
        <f>RAND()</f>
        <v/>
      </c>
      <c r="AZ925">
        <f>RAND()</f>
        <v/>
      </c>
    </row>
    <row r="926">
      <c r="AK926" t="n">
        <v>913</v>
      </c>
      <c r="AL926">
        <f>IFERROR(IF(AU926&lt;($AM$6-$AL$6)/($AN$6-$AL$6),$AL$6+SQRT(AU926*($AN$6-$AL$6)*($AM$6-$AL$6)),$AN$6-SQRT((1-AU926)*($AN$6-$AL$6)*($AN$6-$AM$6))),$AM$6)</f>
        <v/>
      </c>
      <c r="AM926">
        <f>IFERROR(IF(AV926&lt;($AM$7-$AL$7)/($AN$7-$AL$7),$AL$7+SQRT(AV926*($AN$7-$AL$7)*($AM$7-$AL$7)),$AN$7-SQRT((1-AV926)*($AN$7-$AL$7)*($AN$7-$AM$7))),$AM$7)</f>
        <v/>
      </c>
      <c r="AN926">
        <f>IFERROR(IF(AW926&lt;($AM$8-$AL$8)/($AN$8-$AL$8),$AL$8+SQRT(AW926*($AN$8-$AL$8)*($AM$8-$AL$8)),$AN$8-SQRT((1-AW926)*($AN$8-$AL$8)*($AN$8-$AM$8))),$AM$8)</f>
        <v/>
      </c>
      <c r="AO926">
        <f>IFERROR(IF(AX926&lt;($AM$9-$AL$9)/($AN$9-$AL$9),$AL$9+SQRT(AX926*($AN$9-$AL$9)*($AM$9-$AL$9)),$AN$9-SQRT((1-AX926)*($AN$9-$AL$9)*($AN$9-$AM$9))),$AM$9)</f>
        <v/>
      </c>
      <c r="AP926">
        <f>IFERROR(IF(AY926&lt;($AM$10-$AL$10)/($AN$10-$AL$10),$AL$10+SQRT(AY926*($AN$10-$AL$10)*($AM$10-$AL$10)),$AN$10-SQRT((1-AY926)*($AN$10-$AL$10)*($AN$10-$AM$10))),$AM$10)</f>
        <v/>
      </c>
      <c r="AQ926">
        <f>IFERROR(IF(AZ926&lt;($AM$11-$AL$11)/($AN$11-$AL$11),$AL$11+SQRT(AZ926*($AN$11-$AL$11)*($AM$11-$AL$11)),$AN$11-SQRT((1-AZ926)*($AN$11-$AL$11)*($AN$11-$AM$11))),$AM$11)</f>
        <v/>
      </c>
      <c r="AR926">
        <f>SUMPRODUCT((B24:B31&lt;=$B$6)*(C24:C31*AM926+D24:D31*AO926*$B$8*AQ926)/(1+AL926/100)^B24:B31)+C32*AM926*AP926/(1+AL926/100)^$B$6</f>
        <v/>
      </c>
      <c r="AS926">
        <f>SUMPRODUCT((K24:K26&lt;=$B$6)*(L24:L26*AN926+M24:M26*AO926*$B$8*AQ926)/(1+AL926/100)^K24:K26)+L27*AN926*AP926/(1+AL926/100)^$B$6</f>
        <v/>
      </c>
      <c r="AT926">
        <f>AS926-AR926</f>
        <v/>
      </c>
      <c r="AU926">
        <f>RAND()</f>
        <v/>
      </c>
      <c r="AV926">
        <f>RAND()</f>
        <v/>
      </c>
      <c r="AW926">
        <f>RAND()</f>
        <v/>
      </c>
      <c r="AX926">
        <f>RAND()</f>
        <v/>
      </c>
      <c r="AY926">
        <f>RAND()</f>
        <v/>
      </c>
      <c r="AZ926">
        <f>RAND()</f>
        <v/>
      </c>
    </row>
    <row r="927">
      <c r="AK927" t="n">
        <v>914</v>
      </c>
      <c r="AL927">
        <f>IFERROR(IF(AU927&lt;($AM$6-$AL$6)/($AN$6-$AL$6),$AL$6+SQRT(AU927*($AN$6-$AL$6)*($AM$6-$AL$6)),$AN$6-SQRT((1-AU927)*($AN$6-$AL$6)*($AN$6-$AM$6))),$AM$6)</f>
        <v/>
      </c>
      <c r="AM927">
        <f>IFERROR(IF(AV927&lt;($AM$7-$AL$7)/($AN$7-$AL$7),$AL$7+SQRT(AV927*($AN$7-$AL$7)*($AM$7-$AL$7)),$AN$7-SQRT((1-AV927)*($AN$7-$AL$7)*($AN$7-$AM$7))),$AM$7)</f>
        <v/>
      </c>
      <c r="AN927">
        <f>IFERROR(IF(AW927&lt;($AM$8-$AL$8)/($AN$8-$AL$8),$AL$8+SQRT(AW927*($AN$8-$AL$8)*($AM$8-$AL$8)),$AN$8-SQRT((1-AW927)*($AN$8-$AL$8)*($AN$8-$AM$8))),$AM$8)</f>
        <v/>
      </c>
      <c r="AO927">
        <f>IFERROR(IF(AX927&lt;($AM$9-$AL$9)/($AN$9-$AL$9),$AL$9+SQRT(AX927*($AN$9-$AL$9)*($AM$9-$AL$9)),$AN$9-SQRT((1-AX927)*($AN$9-$AL$9)*($AN$9-$AM$9))),$AM$9)</f>
        <v/>
      </c>
      <c r="AP927">
        <f>IFERROR(IF(AY927&lt;($AM$10-$AL$10)/($AN$10-$AL$10),$AL$10+SQRT(AY927*($AN$10-$AL$10)*($AM$10-$AL$10)),$AN$10-SQRT((1-AY927)*($AN$10-$AL$10)*($AN$10-$AM$10))),$AM$10)</f>
        <v/>
      </c>
      <c r="AQ927">
        <f>IFERROR(IF(AZ927&lt;($AM$11-$AL$11)/($AN$11-$AL$11),$AL$11+SQRT(AZ927*($AN$11-$AL$11)*($AM$11-$AL$11)),$AN$11-SQRT((1-AZ927)*($AN$11-$AL$11)*($AN$11-$AM$11))),$AM$11)</f>
        <v/>
      </c>
      <c r="AR927">
        <f>SUMPRODUCT((B24:B31&lt;=$B$6)*(C24:C31*AM927+D24:D31*AO927*$B$8*AQ927)/(1+AL927/100)^B24:B31)+C32*AM927*AP927/(1+AL927/100)^$B$6</f>
        <v/>
      </c>
      <c r="AS927">
        <f>SUMPRODUCT((K24:K26&lt;=$B$6)*(L24:L26*AN927+M24:M26*AO927*$B$8*AQ927)/(1+AL927/100)^K24:K26)+L27*AN927*AP927/(1+AL927/100)^$B$6</f>
        <v/>
      </c>
      <c r="AT927">
        <f>AS927-AR927</f>
        <v/>
      </c>
      <c r="AU927">
        <f>RAND()</f>
        <v/>
      </c>
      <c r="AV927">
        <f>RAND()</f>
        <v/>
      </c>
      <c r="AW927">
        <f>RAND()</f>
        <v/>
      </c>
      <c r="AX927">
        <f>RAND()</f>
        <v/>
      </c>
      <c r="AY927">
        <f>RAND()</f>
        <v/>
      </c>
      <c r="AZ927">
        <f>RAND()</f>
        <v/>
      </c>
    </row>
    <row r="928">
      <c r="AK928" t="n">
        <v>915</v>
      </c>
      <c r="AL928">
        <f>IFERROR(IF(AU928&lt;($AM$6-$AL$6)/($AN$6-$AL$6),$AL$6+SQRT(AU928*($AN$6-$AL$6)*($AM$6-$AL$6)),$AN$6-SQRT((1-AU928)*($AN$6-$AL$6)*($AN$6-$AM$6))),$AM$6)</f>
        <v/>
      </c>
      <c r="AM928">
        <f>IFERROR(IF(AV928&lt;($AM$7-$AL$7)/($AN$7-$AL$7),$AL$7+SQRT(AV928*($AN$7-$AL$7)*($AM$7-$AL$7)),$AN$7-SQRT((1-AV928)*($AN$7-$AL$7)*($AN$7-$AM$7))),$AM$7)</f>
        <v/>
      </c>
      <c r="AN928">
        <f>IFERROR(IF(AW928&lt;($AM$8-$AL$8)/($AN$8-$AL$8),$AL$8+SQRT(AW928*($AN$8-$AL$8)*($AM$8-$AL$8)),$AN$8-SQRT((1-AW928)*($AN$8-$AL$8)*($AN$8-$AM$8))),$AM$8)</f>
        <v/>
      </c>
      <c r="AO928">
        <f>IFERROR(IF(AX928&lt;($AM$9-$AL$9)/($AN$9-$AL$9),$AL$9+SQRT(AX928*($AN$9-$AL$9)*($AM$9-$AL$9)),$AN$9-SQRT((1-AX928)*($AN$9-$AL$9)*($AN$9-$AM$9))),$AM$9)</f>
        <v/>
      </c>
      <c r="AP928">
        <f>IFERROR(IF(AY928&lt;($AM$10-$AL$10)/($AN$10-$AL$10),$AL$10+SQRT(AY928*($AN$10-$AL$10)*($AM$10-$AL$10)),$AN$10-SQRT((1-AY928)*($AN$10-$AL$10)*($AN$10-$AM$10))),$AM$10)</f>
        <v/>
      </c>
      <c r="AQ928">
        <f>IFERROR(IF(AZ928&lt;($AM$11-$AL$11)/($AN$11-$AL$11),$AL$11+SQRT(AZ928*($AN$11-$AL$11)*($AM$11-$AL$11)),$AN$11-SQRT((1-AZ928)*($AN$11-$AL$11)*($AN$11-$AM$11))),$AM$11)</f>
        <v/>
      </c>
      <c r="AR928">
        <f>SUMPRODUCT((B24:B31&lt;=$B$6)*(C24:C31*AM928+D24:D31*AO928*$B$8*AQ928)/(1+AL928/100)^B24:B31)+C32*AM928*AP928/(1+AL928/100)^$B$6</f>
        <v/>
      </c>
      <c r="AS928">
        <f>SUMPRODUCT((K24:K26&lt;=$B$6)*(L24:L26*AN928+M24:M26*AO928*$B$8*AQ928)/(1+AL928/100)^K24:K26)+L27*AN928*AP928/(1+AL928/100)^$B$6</f>
        <v/>
      </c>
      <c r="AT928">
        <f>AS928-AR928</f>
        <v/>
      </c>
      <c r="AU928">
        <f>RAND()</f>
        <v/>
      </c>
      <c r="AV928">
        <f>RAND()</f>
        <v/>
      </c>
      <c r="AW928">
        <f>RAND()</f>
        <v/>
      </c>
      <c r="AX928">
        <f>RAND()</f>
        <v/>
      </c>
      <c r="AY928">
        <f>RAND()</f>
        <v/>
      </c>
      <c r="AZ928">
        <f>RAND()</f>
        <v/>
      </c>
    </row>
    <row r="929">
      <c r="AK929" t="n">
        <v>916</v>
      </c>
      <c r="AL929">
        <f>IFERROR(IF(AU929&lt;($AM$6-$AL$6)/($AN$6-$AL$6),$AL$6+SQRT(AU929*($AN$6-$AL$6)*($AM$6-$AL$6)),$AN$6-SQRT((1-AU929)*($AN$6-$AL$6)*($AN$6-$AM$6))),$AM$6)</f>
        <v/>
      </c>
      <c r="AM929">
        <f>IFERROR(IF(AV929&lt;($AM$7-$AL$7)/($AN$7-$AL$7),$AL$7+SQRT(AV929*($AN$7-$AL$7)*($AM$7-$AL$7)),$AN$7-SQRT((1-AV929)*($AN$7-$AL$7)*($AN$7-$AM$7))),$AM$7)</f>
        <v/>
      </c>
      <c r="AN929">
        <f>IFERROR(IF(AW929&lt;($AM$8-$AL$8)/($AN$8-$AL$8),$AL$8+SQRT(AW929*($AN$8-$AL$8)*($AM$8-$AL$8)),$AN$8-SQRT((1-AW929)*($AN$8-$AL$8)*($AN$8-$AM$8))),$AM$8)</f>
        <v/>
      </c>
      <c r="AO929">
        <f>IFERROR(IF(AX929&lt;($AM$9-$AL$9)/($AN$9-$AL$9),$AL$9+SQRT(AX929*($AN$9-$AL$9)*($AM$9-$AL$9)),$AN$9-SQRT((1-AX929)*($AN$9-$AL$9)*($AN$9-$AM$9))),$AM$9)</f>
        <v/>
      </c>
      <c r="AP929">
        <f>IFERROR(IF(AY929&lt;($AM$10-$AL$10)/($AN$10-$AL$10),$AL$10+SQRT(AY929*($AN$10-$AL$10)*($AM$10-$AL$10)),$AN$10-SQRT((1-AY929)*($AN$10-$AL$10)*($AN$10-$AM$10))),$AM$10)</f>
        <v/>
      </c>
      <c r="AQ929">
        <f>IFERROR(IF(AZ929&lt;($AM$11-$AL$11)/($AN$11-$AL$11),$AL$11+SQRT(AZ929*($AN$11-$AL$11)*($AM$11-$AL$11)),$AN$11-SQRT((1-AZ929)*($AN$11-$AL$11)*($AN$11-$AM$11))),$AM$11)</f>
        <v/>
      </c>
      <c r="AR929">
        <f>SUMPRODUCT((B24:B31&lt;=$B$6)*(C24:C31*AM929+D24:D31*AO929*$B$8*AQ929)/(1+AL929/100)^B24:B31)+C32*AM929*AP929/(1+AL929/100)^$B$6</f>
        <v/>
      </c>
      <c r="AS929">
        <f>SUMPRODUCT((K24:K26&lt;=$B$6)*(L24:L26*AN929+M24:M26*AO929*$B$8*AQ929)/(1+AL929/100)^K24:K26)+L27*AN929*AP929/(1+AL929/100)^$B$6</f>
        <v/>
      </c>
      <c r="AT929">
        <f>AS929-AR929</f>
        <v/>
      </c>
      <c r="AU929">
        <f>RAND()</f>
        <v/>
      </c>
      <c r="AV929">
        <f>RAND()</f>
        <v/>
      </c>
      <c r="AW929">
        <f>RAND()</f>
        <v/>
      </c>
      <c r="AX929">
        <f>RAND()</f>
        <v/>
      </c>
      <c r="AY929">
        <f>RAND()</f>
        <v/>
      </c>
      <c r="AZ929">
        <f>RAND()</f>
        <v/>
      </c>
    </row>
    <row r="930">
      <c r="AK930" t="n">
        <v>917</v>
      </c>
      <c r="AL930">
        <f>IFERROR(IF(AU930&lt;($AM$6-$AL$6)/($AN$6-$AL$6),$AL$6+SQRT(AU930*($AN$6-$AL$6)*($AM$6-$AL$6)),$AN$6-SQRT((1-AU930)*($AN$6-$AL$6)*($AN$6-$AM$6))),$AM$6)</f>
        <v/>
      </c>
      <c r="AM930">
        <f>IFERROR(IF(AV930&lt;($AM$7-$AL$7)/($AN$7-$AL$7),$AL$7+SQRT(AV930*($AN$7-$AL$7)*($AM$7-$AL$7)),$AN$7-SQRT((1-AV930)*($AN$7-$AL$7)*($AN$7-$AM$7))),$AM$7)</f>
        <v/>
      </c>
      <c r="AN930">
        <f>IFERROR(IF(AW930&lt;($AM$8-$AL$8)/($AN$8-$AL$8),$AL$8+SQRT(AW930*($AN$8-$AL$8)*($AM$8-$AL$8)),$AN$8-SQRT((1-AW930)*($AN$8-$AL$8)*($AN$8-$AM$8))),$AM$8)</f>
        <v/>
      </c>
      <c r="AO930">
        <f>IFERROR(IF(AX930&lt;($AM$9-$AL$9)/($AN$9-$AL$9),$AL$9+SQRT(AX930*($AN$9-$AL$9)*($AM$9-$AL$9)),$AN$9-SQRT((1-AX930)*($AN$9-$AL$9)*($AN$9-$AM$9))),$AM$9)</f>
        <v/>
      </c>
      <c r="AP930">
        <f>IFERROR(IF(AY930&lt;($AM$10-$AL$10)/($AN$10-$AL$10),$AL$10+SQRT(AY930*($AN$10-$AL$10)*($AM$10-$AL$10)),$AN$10-SQRT((1-AY930)*($AN$10-$AL$10)*($AN$10-$AM$10))),$AM$10)</f>
        <v/>
      </c>
      <c r="AQ930">
        <f>IFERROR(IF(AZ930&lt;($AM$11-$AL$11)/($AN$11-$AL$11),$AL$11+SQRT(AZ930*($AN$11-$AL$11)*($AM$11-$AL$11)),$AN$11-SQRT((1-AZ930)*($AN$11-$AL$11)*($AN$11-$AM$11))),$AM$11)</f>
        <v/>
      </c>
      <c r="AR930">
        <f>SUMPRODUCT((B24:B31&lt;=$B$6)*(C24:C31*AM930+D24:D31*AO930*$B$8*AQ930)/(1+AL930/100)^B24:B31)+C32*AM930*AP930/(1+AL930/100)^$B$6</f>
        <v/>
      </c>
      <c r="AS930">
        <f>SUMPRODUCT((K24:K26&lt;=$B$6)*(L24:L26*AN930+M24:M26*AO930*$B$8*AQ930)/(1+AL930/100)^K24:K26)+L27*AN930*AP930/(1+AL930/100)^$B$6</f>
        <v/>
      </c>
      <c r="AT930">
        <f>AS930-AR930</f>
        <v/>
      </c>
      <c r="AU930">
        <f>RAND()</f>
        <v/>
      </c>
      <c r="AV930">
        <f>RAND()</f>
        <v/>
      </c>
      <c r="AW930">
        <f>RAND()</f>
        <v/>
      </c>
      <c r="AX930">
        <f>RAND()</f>
        <v/>
      </c>
      <c r="AY930">
        <f>RAND()</f>
        <v/>
      </c>
      <c r="AZ930">
        <f>RAND()</f>
        <v/>
      </c>
    </row>
    <row r="931">
      <c r="AK931" t="n">
        <v>918</v>
      </c>
      <c r="AL931">
        <f>IFERROR(IF(AU931&lt;($AM$6-$AL$6)/($AN$6-$AL$6),$AL$6+SQRT(AU931*($AN$6-$AL$6)*($AM$6-$AL$6)),$AN$6-SQRT((1-AU931)*($AN$6-$AL$6)*($AN$6-$AM$6))),$AM$6)</f>
        <v/>
      </c>
      <c r="AM931">
        <f>IFERROR(IF(AV931&lt;($AM$7-$AL$7)/($AN$7-$AL$7),$AL$7+SQRT(AV931*($AN$7-$AL$7)*($AM$7-$AL$7)),$AN$7-SQRT((1-AV931)*($AN$7-$AL$7)*($AN$7-$AM$7))),$AM$7)</f>
        <v/>
      </c>
      <c r="AN931">
        <f>IFERROR(IF(AW931&lt;($AM$8-$AL$8)/($AN$8-$AL$8),$AL$8+SQRT(AW931*($AN$8-$AL$8)*($AM$8-$AL$8)),$AN$8-SQRT((1-AW931)*($AN$8-$AL$8)*($AN$8-$AM$8))),$AM$8)</f>
        <v/>
      </c>
      <c r="AO931">
        <f>IFERROR(IF(AX931&lt;($AM$9-$AL$9)/($AN$9-$AL$9),$AL$9+SQRT(AX931*($AN$9-$AL$9)*($AM$9-$AL$9)),$AN$9-SQRT((1-AX931)*($AN$9-$AL$9)*($AN$9-$AM$9))),$AM$9)</f>
        <v/>
      </c>
      <c r="AP931">
        <f>IFERROR(IF(AY931&lt;($AM$10-$AL$10)/($AN$10-$AL$10),$AL$10+SQRT(AY931*($AN$10-$AL$10)*($AM$10-$AL$10)),$AN$10-SQRT((1-AY931)*($AN$10-$AL$10)*($AN$10-$AM$10))),$AM$10)</f>
        <v/>
      </c>
      <c r="AQ931">
        <f>IFERROR(IF(AZ931&lt;($AM$11-$AL$11)/($AN$11-$AL$11),$AL$11+SQRT(AZ931*($AN$11-$AL$11)*($AM$11-$AL$11)),$AN$11-SQRT((1-AZ931)*($AN$11-$AL$11)*($AN$11-$AM$11))),$AM$11)</f>
        <v/>
      </c>
      <c r="AR931">
        <f>SUMPRODUCT((B24:B31&lt;=$B$6)*(C24:C31*AM931+D24:D31*AO931*$B$8*AQ931)/(1+AL931/100)^B24:B31)+C32*AM931*AP931/(1+AL931/100)^$B$6</f>
        <v/>
      </c>
      <c r="AS931">
        <f>SUMPRODUCT((K24:K26&lt;=$B$6)*(L24:L26*AN931+M24:M26*AO931*$B$8*AQ931)/(1+AL931/100)^K24:K26)+L27*AN931*AP931/(1+AL931/100)^$B$6</f>
        <v/>
      </c>
      <c r="AT931">
        <f>AS931-AR931</f>
        <v/>
      </c>
      <c r="AU931">
        <f>RAND()</f>
        <v/>
      </c>
      <c r="AV931">
        <f>RAND()</f>
        <v/>
      </c>
      <c r="AW931">
        <f>RAND()</f>
        <v/>
      </c>
      <c r="AX931">
        <f>RAND()</f>
        <v/>
      </c>
      <c r="AY931">
        <f>RAND()</f>
        <v/>
      </c>
      <c r="AZ931">
        <f>RAND()</f>
        <v/>
      </c>
    </row>
    <row r="932">
      <c r="AK932" t="n">
        <v>919</v>
      </c>
      <c r="AL932">
        <f>IFERROR(IF(AU932&lt;($AM$6-$AL$6)/($AN$6-$AL$6),$AL$6+SQRT(AU932*($AN$6-$AL$6)*($AM$6-$AL$6)),$AN$6-SQRT((1-AU932)*($AN$6-$AL$6)*($AN$6-$AM$6))),$AM$6)</f>
        <v/>
      </c>
      <c r="AM932">
        <f>IFERROR(IF(AV932&lt;($AM$7-$AL$7)/($AN$7-$AL$7),$AL$7+SQRT(AV932*($AN$7-$AL$7)*($AM$7-$AL$7)),$AN$7-SQRT((1-AV932)*($AN$7-$AL$7)*($AN$7-$AM$7))),$AM$7)</f>
        <v/>
      </c>
      <c r="AN932">
        <f>IFERROR(IF(AW932&lt;($AM$8-$AL$8)/($AN$8-$AL$8),$AL$8+SQRT(AW932*($AN$8-$AL$8)*($AM$8-$AL$8)),$AN$8-SQRT((1-AW932)*($AN$8-$AL$8)*($AN$8-$AM$8))),$AM$8)</f>
        <v/>
      </c>
      <c r="AO932">
        <f>IFERROR(IF(AX932&lt;($AM$9-$AL$9)/($AN$9-$AL$9),$AL$9+SQRT(AX932*($AN$9-$AL$9)*($AM$9-$AL$9)),$AN$9-SQRT((1-AX932)*($AN$9-$AL$9)*($AN$9-$AM$9))),$AM$9)</f>
        <v/>
      </c>
      <c r="AP932">
        <f>IFERROR(IF(AY932&lt;($AM$10-$AL$10)/($AN$10-$AL$10),$AL$10+SQRT(AY932*($AN$10-$AL$10)*($AM$10-$AL$10)),$AN$10-SQRT((1-AY932)*($AN$10-$AL$10)*($AN$10-$AM$10))),$AM$10)</f>
        <v/>
      </c>
      <c r="AQ932">
        <f>IFERROR(IF(AZ932&lt;($AM$11-$AL$11)/($AN$11-$AL$11),$AL$11+SQRT(AZ932*($AN$11-$AL$11)*($AM$11-$AL$11)),$AN$11-SQRT((1-AZ932)*($AN$11-$AL$11)*($AN$11-$AM$11))),$AM$11)</f>
        <v/>
      </c>
      <c r="AR932">
        <f>SUMPRODUCT((B24:B31&lt;=$B$6)*(C24:C31*AM932+D24:D31*AO932*$B$8*AQ932)/(1+AL932/100)^B24:B31)+C32*AM932*AP932/(1+AL932/100)^$B$6</f>
        <v/>
      </c>
      <c r="AS932">
        <f>SUMPRODUCT((K24:K26&lt;=$B$6)*(L24:L26*AN932+M24:M26*AO932*$B$8*AQ932)/(1+AL932/100)^K24:K26)+L27*AN932*AP932/(1+AL932/100)^$B$6</f>
        <v/>
      </c>
      <c r="AT932">
        <f>AS932-AR932</f>
        <v/>
      </c>
      <c r="AU932">
        <f>RAND()</f>
        <v/>
      </c>
      <c r="AV932">
        <f>RAND()</f>
        <v/>
      </c>
      <c r="AW932">
        <f>RAND()</f>
        <v/>
      </c>
      <c r="AX932">
        <f>RAND()</f>
        <v/>
      </c>
      <c r="AY932">
        <f>RAND()</f>
        <v/>
      </c>
      <c r="AZ932">
        <f>RAND()</f>
        <v/>
      </c>
    </row>
    <row r="933">
      <c r="AK933" t="n">
        <v>920</v>
      </c>
      <c r="AL933">
        <f>IFERROR(IF(AU933&lt;($AM$6-$AL$6)/($AN$6-$AL$6),$AL$6+SQRT(AU933*($AN$6-$AL$6)*($AM$6-$AL$6)),$AN$6-SQRT((1-AU933)*($AN$6-$AL$6)*($AN$6-$AM$6))),$AM$6)</f>
        <v/>
      </c>
      <c r="AM933">
        <f>IFERROR(IF(AV933&lt;($AM$7-$AL$7)/($AN$7-$AL$7),$AL$7+SQRT(AV933*($AN$7-$AL$7)*($AM$7-$AL$7)),$AN$7-SQRT((1-AV933)*($AN$7-$AL$7)*($AN$7-$AM$7))),$AM$7)</f>
        <v/>
      </c>
      <c r="AN933">
        <f>IFERROR(IF(AW933&lt;($AM$8-$AL$8)/($AN$8-$AL$8),$AL$8+SQRT(AW933*($AN$8-$AL$8)*($AM$8-$AL$8)),$AN$8-SQRT((1-AW933)*($AN$8-$AL$8)*($AN$8-$AM$8))),$AM$8)</f>
        <v/>
      </c>
      <c r="AO933">
        <f>IFERROR(IF(AX933&lt;($AM$9-$AL$9)/($AN$9-$AL$9),$AL$9+SQRT(AX933*($AN$9-$AL$9)*($AM$9-$AL$9)),$AN$9-SQRT((1-AX933)*($AN$9-$AL$9)*($AN$9-$AM$9))),$AM$9)</f>
        <v/>
      </c>
      <c r="AP933">
        <f>IFERROR(IF(AY933&lt;($AM$10-$AL$10)/($AN$10-$AL$10),$AL$10+SQRT(AY933*($AN$10-$AL$10)*($AM$10-$AL$10)),$AN$10-SQRT((1-AY933)*($AN$10-$AL$10)*($AN$10-$AM$10))),$AM$10)</f>
        <v/>
      </c>
      <c r="AQ933">
        <f>IFERROR(IF(AZ933&lt;($AM$11-$AL$11)/($AN$11-$AL$11),$AL$11+SQRT(AZ933*($AN$11-$AL$11)*($AM$11-$AL$11)),$AN$11-SQRT((1-AZ933)*($AN$11-$AL$11)*($AN$11-$AM$11))),$AM$11)</f>
        <v/>
      </c>
      <c r="AR933">
        <f>SUMPRODUCT((B24:B31&lt;=$B$6)*(C24:C31*AM933+D24:D31*AO933*$B$8*AQ933)/(1+AL933/100)^B24:B31)+C32*AM933*AP933/(1+AL933/100)^$B$6</f>
        <v/>
      </c>
      <c r="AS933">
        <f>SUMPRODUCT((K24:K26&lt;=$B$6)*(L24:L26*AN933+M24:M26*AO933*$B$8*AQ933)/(1+AL933/100)^K24:K26)+L27*AN933*AP933/(1+AL933/100)^$B$6</f>
        <v/>
      </c>
      <c r="AT933">
        <f>AS933-AR933</f>
        <v/>
      </c>
      <c r="AU933">
        <f>RAND()</f>
        <v/>
      </c>
      <c r="AV933">
        <f>RAND()</f>
        <v/>
      </c>
      <c r="AW933">
        <f>RAND()</f>
        <v/>
      </c>
      <c r="AX933">
        <f>RAND()</f>
        <v/>
      </c>
      <c r="AY933">
        <f>RAND()</f>
        <v/>
      </c>
      <c r="AZ933">
        <f>RAND()</f>
        <v/>
      </c>
    </row>
    <row r="934">
      <c r="AK934" t="n">
        <v>921</v>
      </c>
      <c r="AL934">
        <f>IFERROR(IF(AU934&lt;($AM$6-$AL$6)/($AN$6-$AL$6),$AL$6+SQRT(AU934*($AN$6-$AL$6)*($AM$6-$AL$6)),$AN$6-SQRT((1-AU934)*($AN$6-$AL$6)*($AN$6-$AM$6))),$AM$6)</f>
        <v/>
      </c>
      <c r="AM934">
        <f>IFERROR(IF(AV934&lt;($AM$7-$AL$7)/($AN$7-$AL$7),$AL$7+SQRT(AV934*($AN$7-$AL$7)*($AM$7-$AL$7)),$AN$7-SQRT((1-AV934)*($AN$7-$AL$7)*($AN$7-$AM$7))),$AM$7)</f>
        <v/>
      </c>
      <c r="AN934">
        <f>IFERROR(IF(AW934&lt;($AM$8-$AL$8)/($AN$8-$AL$8),$AL$8+SQRT(AW934*($AN$8-$AL$8)*($AM$8-$AL$8)),$AN$8-SQRT((1-AW934)*($AN$8-$AL$8)*($AN$8-$AM$8))),$AM$8)</f>
        <v/>
      </c>
      <c r="AO934">
        <f>IFERROR(IF(AX934&lt;($AM$9-$AL$9)/($AN$9-$AL$9),$AL$9+SQRT(AX934*($AN$9-$AL$9)*($AM$9-$AL$9)),$AN$9-SQRT((1-AX934)*($AN$9-$AL$9)*($AN$9-$AM$9))),$AM$9)</f>
        <v/>
      </c>
      <c r="AP934">
        <f>IFERROR(IF(AY934&lt;($AM$10-$AL$10)/($AN$10-$AL$10),$AL$10+SQRT(AY934*($AN$10-$AL$10)*($AM$10-$AL$10)),$AN$10-SQRT((1-AY934)*($AN$10-$AL$10)*($AN$10-$AM$10))),$AM$10)</f>
        <v/>
      </c>
      <c r="AQ934">
        <f>IFERROR(IF(AZ934&lt;($AM$11-$AL$11)/($AN$11-$AL$11),$AL$11+SQRT(AZ934*($AN$11-$AL$11)*($AM$11-$AL$11)),$AN$11-SQRT((1-AZ934)*($AN$11-$AL$11)*($AN$11-$AM$11))),$AM$11)</f>
        <v/>
      </c>
      <c r="AR934">
        <f>SUMPRODUCT((B24:B31&lt;=$B$6)*(C24:C31*AM934+D24:D31*AO934*$B$8*AQ934)/(1+AL934/100)^B24:B31)+C32*AM934*AP934/(1+AL934/100)^$B$6</f>
        <v/>
      </c>
      <c r="AS934">
        <f>SUMPRODUCT((K24:K26&lt;=$B$6)*(L24:L26*AN934+M24:M26*AO934*$B$8*AQ934)/(1+AL934/100)^K24:K26)+L27*AN934*AP934/(1+AL934/100)^$B$6</f>
        <v/>
      </c>
      <c r="AT934">
        <f>AS934-AR934</f>
        <v/>
      </c>
      <c r="AU934">
        <f>RAND()</f>
        <v/>
      </c>
      <c r="AV934">
        <f>RAND()</f>
        <v/>
      </c>
      <c r="AW934">
        <f>RAND()</f>
        <v/>
      </c>
      <c r="AX934">
        <f>RAND()</f>
        <v/>
      </c>
      <c r="AY934">
        <f>RAND()</f>
        <v/>
      </c>
      <c r="AZ934">
        <f>RAND()</f>
        <v/>
      </c>
    </row>
    <row r="935">
      <c r="AK935" t="n">
        <v>922</v>
      </c>
      <c r="AL935">
        <f>IFERROR(IF(AU935&lt;($AM$6-$AL$6)/($AN$6-$AL$6),$AL$6+SQRT(AU935*($AN$6-$AL$6)*($AM$6-$AL$6)),$AN$6-SQRT((1-AU935)*($AN$6-$AL$6)*($AN$6-$AM$6))),$AM$6)</f>
        <v/>
      </c>
      <c r="AM935">
        <f>IFERROR(IF(AV935&lt;($AM$7-$AL$7)/($AN$7-$AL$7),$AL$7+SQRT(AV935*($AN$7-$AL$7)*($AM$7-$AL$7)),$AN$7-SQRT((1-AV935)*($AN$7-$AL$7)*($AN$7-$AM$7))),$AM$7)</f>
        <v/>
      </c>
      <c r="AN935">
        <f>IFERROR(IF(AW935&lt;($AM$8-$AL$8)/($AN$8-$AL$8),$AL$8+SQRT(AW935*($AN$8-$AL$8)*($AM$8-$AL$8)),$AN$8-SQRT((1-AW935)*($AN$8-$AL$8)*($AN$8-$AM$8))),$AM$8)</f>
        <v/>
      </c>
      <c r="AO935">
        <f>IFERROR(IF(AX935&lt;($AM$9-$AL$9)/($AN$9-$AL$9),$AL$9+SQRT(AX935*($AN$9-$AL$9)*($AM$9-$AL$9)),$AN$9-SQRT((1-AX935)*($AN$9-$AL$9)*($AN$9-$AM$9))),$AM$9)</f>
        <v/>
      </c>
      <c r="AP935">
        <f>IFERROR(IF(AY935&lt;($AM$10-$AL$10)/($AN$10-$AL$10),$AL$10+SQRT(AY935*($AN$10-$AL$10)*($AM$10-$AL$10)),$AN$10-SQRT((1-AY935)*($AN$10-$AL$10)*($AN$10-$AM$10))),$AM$10)</f>
        <v/>
      </c>
      <c r="AQ935">
        <f>IFERROR(IF(AZ935&lt;($AM$11-$AL$11)/($AN$11-$AL$11),$AL$11+SQRT(AZ935*($AN$11-$AL$11)*($AM$11-$AL$11)),$AN$11-SQRT((1-AZ935)*($AN$11-$AL$11)*($AN$11-$AM$11))),$AM$11)</f>
        <v/>
      </c>
      <c r="AR935">
        <f>SUMPRODUCT((B24:B31&lt;=$B$6)*(C24:C31*AM935+D24:D31*AO935*$B$8*AQ935)/(1+AL935/100)^B24:B31)+C32*AM935*AP935/(1+AL935/100)^$B$6</f>
        <v/>
      </c>
      <c r="AS935">
        <f>SUMPRODUCT((K24:K26&lt;=$B$6)*(L24:L26*AN935+M24:M26*AO935*$B$8*AQ935)/(1+AL935/100)^K24:K26)+L27*AN935*AP935/(1+AL935/100)^$B$6</f>
        <v/>
      </c>
      <c r="AT935">
        <f>AS935-AR935</f>
        <v/>
      </c>
      <c r="AU935">
        <f>RAND()</f>
        <v/>
      </c>
      <c r="AV935">
        <f>RAND()</f>
        <v/>
      </c>
      <c r="AW935">
        <f>RAND()</f>
        <v/>
      </c>
      <c r="AX935">
        <f>RAND()</f>
        <v/>
      </c>
      <c r="AY935">
        <f>RAND()</f>
        <v/>
      </c>
      <c r="AZ935">
        <f>RAND()</f>
        <v/>
      </c>
    </row>
    <row r="936">
      <c r="AK936" t="n">
        <v>923</v>
      </c>
      <c r="AL936">
        <f>IFERROR(IF(AU936&lt;($AM$6-$AL$6)/($AN$6-$AL$6),$AL$6+SQRT(AU936*($AN$6-$AL$6)*($AM$6-$AL$6)),$AN$6-SQRT((1-AU936)*($AN$6-$AL$6)*($AN$6-$AM$6))),$AM$6)</f>
        <v/>
      </c>
      <c r="AM936">
        <f>IFERROR(IF(AV936&lt;($AM$7-$AL$7)/($AN$7-$AL$7),$AL$7+SQRT(AV936*($AN$7-$AL$7)*($AM$7-$AL$7)),$AN$7-SQRT((1-AV936)*($AN$7-$AL$7)*($AN$7-$AM$7))),$AM$7)</f>
        <v/>
      </c>
      <c r="AN936">
        <f>IFERROR(IF(AW936&lt;($AM$8-$AL$8)/($AN$8-$AL$8),$AL$8+SQRT(AW936*($AN$8-$AL$8)*($AM$8-$AL$8)),$AN$8-SQRT((1-AW936)*($AN$8-$AL$8)*($AN$8-$AM$8))),$AM$8)</f>
        <v/>
      </c>
      <c r="AO936">
        <f>IFERROR(IF(AX936&lt;($AM$9-$AL$9)/($AN$9-$AL$9),$AL$9+SQRT(AX936*($AN$9-$AL$9)*($AM$9-$AL$9)),$AN$9-SQRT((1-AX936)*($AN$9-$AL$9)*($AN$9-$AM$9))),$AM$9)</f>
        <v/>
      </c>
      <c r="AP936">
        <f>IFERROR(IF(AY936&lt;($AM$10-$AL$10)/($AN$10-$AL$10),$AL$10+SQRT(AY936*($AN$10-$AL$10)*($AM$10-$AL$10)),$AN$10-SQRT((1-AY936)*($AN$10-$AL$10)*($AN$10-$AM$10))),$AM$10)</f>
        <v/>
      </c>
      <c r="AQ936">
        <f>IFERROR(IF(AZ936&lt;($AM$11-$AL$11)/($AN$11-$AL$11),$AL$11+SQRT(AZ936*($AN$11-$AL$11)*($AM$11-$AL$11)),$AN$11-SQRT((1-AZ936)*($AN$11-$AL$11)*($AN$11-$AM$11))),$AM$11)</f>
        <v/>
      </c>
      <c r="AR936">
        <f>SUMPRODUCT((B24:B31&lt;=$B$6)*(C24:C31*AM936+D24:D31*AO936*$B$8*AQ936)/(1+AL936/100)^B24:B31)+C32*AM936*AP936/(1+AL936/100)^$B$6</f>
        <v/>
      </c>
      <c r="AS936">
        <f>SUMPRODUCT((K24:K26&lt;=$B$6)*(L24:L26*AN936+M24:M26*AO936*$B$8*AQ936)/(1+AL936/100)^K24:K26)+L27*AN936*AP936/(1+AL936/100)^$B$6</f>
        <v/>
      </c>
      <c r="AT936">
        <f>AS936-AR936</f>
        <v/>
      </c>
      <c r="AU936">
        <f>RAND()</f>
        <v/>
      </c>
      <c r="AV936">
        <f>RAND()</f>
        <v/>
      </c>
      <c r="AW936">
        <f>RAND()</f>
        <v/>
      </c>
      <c r="AX936">
        <f>RAND()</f>
        <v/>
      </c>
      <c r="AY936">
        <f>RAND()</f>
        <v/>
      </c>
      <c r="AZ936">
        <f>RAND()</f>
        <v/>
      </c>
    </row>
    <row r="937">
      <c r="AK937" t="n">
        <v>924</v>
      </c>
      <c r="AL937">
        <f>IFERROR(IF(AU937&lt;($AM$6-$AL$6)/($AN$6-$AL$6),$AL$6+SQRT(AU937*($AN$6-$AL$6)*($AM$6-$AL$6)),$AN$6-SQRT((1-AU937)*($AN$6-$AL$6)*($AN$6-$AM$6))),$AM$6)</f>
        <v/>
      </c>
      <c r="AM937">
        <f>IFERROR(IF(AV937&lt;($AM$7-$AL$7)/($AN$7-$AL$7),$AL$7+SQRT(AV937*($AN$7-$AL$7)*($AM$7-$AL$7)),$AN$7-SQRT((1-AV937)*($AN$7-$AL$7)*($AN$7-$AM$7))),$AM$7)</f>
        <v/>
      </c>
      <c r="AN937">
        <f>IFERROR(IF(AW937&lt;($AM$8-$AL$8)/($AN$8-$AL$8),$AL$8+SQRT(AW937*($AN$8-$AL$8)*($AM$8-$AL$8)),$AN$8-SQRT((1-AW937)*($AN$8-$AL$8)*($AN$8-$AM$8))),$AM$8)</f>
        <v/>
      </c>
      <c r="AO937">
        <f>IFERROR(IF(AX937&lt;($AM$9-$AL$9)/($AN$9-$AL$9),$AL$9+SQRT(AX937*($AN$9-$AL$9)*($AM$9-$AL$9)),$AN$9-SQRT((1-AX937)*($AN$9-$AL$9)*($AN$9-$AM$9))),$AM$9)</f>
        <v/>
      </c>
      <c r="AP937">
        <f>IFERROR(IF(AY937&lt;($AM$10-$AL$10)/($AN$10-$AL$10),$AL$10+SQRT(AY937*($AN$10-$AL$10)*($AM$10-$AL$10)),$AN$10-SQRT((1-AY937)*($AN$10-$AL$10)*($AN$10-$AM$10))),$AM$10)</f>
        <v/>
      </c>
      <c r="AQ937">
        <f>IFERROR(IF(AZ937&lt;($AM$11-$AL$11)/($AN$11-$AL$11),$AL$11+SQRT(AZ937*($AN$11-$AL$11)*($AM$11-$AL$11)),$AN$11-SQRT((1-AZ937)*($AN$11-$AL$11)*($AN$11-$AM$11))),$AM$11)</f>
        <v/>
      </c>
      <c r="AR937">
        <f>SUMPRODUCT((B24:B31&lt;=$B$6)*(C24:C31*AM937+D24:D31*AO937*$B$8*AQ937)/(1+AL937/100)^B24:B31)+C32*AM937*AP937/(1+AL937/100)^$B$6</f>
        <v/>
      </c>
      <c r="AS937">
        <f>SUMPRODUCT((K24:K26&lt;=$B$6)*(L24:L26*AN937+M24:M26*AO937*$B$8*AQ937)/(1+AL937/100)^K24:K26)+L27*AN937*AP937/(1+AL937/100)^$B$6</f>
        <v/>
      </c>
      <c r="AT937">
        <f>AS937-AR937</f>
        <v/>
      </c>
      <c r="AU937">
        <f>RAND()</f>
        <v/>
      </c>
      <c r="AV937">
        <f>RAND()</f>
        <v/>
      </c>
      <c r="AW937">
        <f>RAND()</f>
        <v/>
      </c>
      <c r="AX937">
        <f>RAND()</f>
        <v/>
      </c>
      <c r="AY937">
        <f>RAND()</f>
        <v/>
      </c>
      <c r="AZ937">
        <f>RAND()</f>
        <v/>
      </c>
    </row>
    <row r="938">
      <c r="AK938" t="n">
        <v>925</v>
      </c>
      <c r="AL938">
        <f>IFERROR(IF(AU938&lt;($AM$6-$AL$6)/($AN$6-$AL$6),$AL$6+SQRT(AU938*($AN$6-$AL$6)*($AM$6-$AL$6)),$AN$6-SQRT((1-AU938)*($AN$6-$AL$6)*($AN$6-$AM$6))),$AM$6)</f>
        <v/>
      </c>
      <c r="AM938">
        <f>IFERROR(IF(AV938&lt;($AM$7-$AL$7)/($AN$7-$AL$7),$AL$7+SQRT(AV938*($AN$7-$AL$7)*($AM$7-$AL$7)),$AN$7-SQRT((1-AV938)*($AN$7-$AL$7)*($AN$7-$AM$7))),$AM$7)</f>
        <v/>
      </c>
      <c r="AN938">
        <f>IFERROR(IF(AW938&lt;($AM$8-$AL$8)/($AN$8-$AL$8),$AL$8+SQRT(AW938*($AN$8-$AL$8)*($AM$8-$AL$8)),$AN$8-SQRT((1-AW938)*($AN$8-$AL$8)*($AN$8-$AM$8))),$AM$8)</f>
        <v/>
      </c>
      <c r="AO938">
        <f>IFERROR(IF(AX938&lt;($AM$9-$AL$9)/($AN$9-$AL$9),$AL$9+SQRT(AX938*($AN$9-$AL$9)*($AM$9-$AL$9)),$AN$9-SQRT((1-AX938)*($AN$9-$AL$9)*($AN$9-$AM$9))),$AM$9)</f>
        <v/>
      </c>
      <c r="AP938">
        <f>IFERROR(IF(AY938&lt;($AM$10-$AL$10)/($AN$10-$AL$10),$AL$10+SQRT(AY938*($AN$10-$AL$10)*($AM$10-$AL$10)),$AN$10-SQRT((1-AY938)*($AN$10-$AL$10)*($AN$10-$AM$10))),$AM$10)</f>
        <v/>
      </c>
      <c r="AQ938">
        <f>IFERROR(IF(AZ938&lt;($AM$11-$AL$11)/($AN$11-$AL$11),$AL$11+SQRT(AZ938*($AN$11-$AL$11)*($AM$11-$AL$11)),$AN$11-SQRT((1-AZ938)*($AN$11-$AL$11)*($AN$11-$AM$11))),$AM$11)</f>
        <v/>
      </c>
      <c r="AR938">
        <f>SUMPRODUCT((B24:B31&lt;=$B$6)*(C24:C31*AM938+D24:D31*AO938*$B$8*AQ938)/(1+AL938/100)^B24:B31)+C32*AM938*AP938/(1+AL938/100)^$B$6</f>
        <v/>
      </c>
      <c r="AS938">
        <f>SUMPRODUCT((K24:K26&lt;=$B$6)*(L24:L26*AN938+M24:M26*AO938*$B$8*AQ938)/(1+AL938/100)^K24:K26)+L27*AN938*AP938/(1+AL938/100)^$B$6</f>
        <v/>
      </c>
      <c r="AT938">
        <f>AS938-AR938</f>
        <v/>
      </c>
      <c r="AU938">
        <f>RAND()</f>
        <v/>
      </c>
      <c r="AV938">
        <f>RAND()</f>
        <v/>
      </c>
      <c r="AW938">
        <f>RAND()</f>
        <v/>
      </c>
      <c r="AX938">
        <f>RAND()</f>
        <v/>
      </c>
      <c r="AY938">
        <f>RAND()</f>
        <v/>
      </c>
      <c r="AZ938">
        <f>RAND()</f>
        <v/>
      </c>
    </row>
    <row r="939">
      <c r="AK939" t="n">
        <v>926</v>
      </c>
      <c r="AL939">
        <f>IFERROR(IF(AU939&lt;($AM$6-$AL$6)/($AN$6-$AL$6),$AL$6+SQRT(AU939*($AN$6-$AL$6)*($AM$6-$AL$6)),$AN$6-SQRT((1-AU939)*($AN$6-$AL$6)*($AN$6-$AM$6))),$AM$6)</f>
        <v/>
      </c>
      <c r="AM939">
        <f>IFERROR(IF(AV939&lt;($AM$7-$AL$7)/($AN$7-$AL$7),$AL$7+SQRT(AV939*($AN$7-$AL$7)*($AM$7-$AL$7)),$AN$7-SQRT((1-AV939)*($AN$7-$AL$7)*($AN$7-$AM$7))),$AM$7)</f>
        <v/>
      </c>
      <c r="AN939">
        <f>IFERROR(IF(AW939&lt;($AM$8-$AL$8)/($AN$8-$AL$8),$AL$8+SQRT(AW939*($AN$8-$AL$8)*($AM$8-$AL$8)),$AN$8-SQRT((1-AW939)*($AN$8-$AL$8)*($AN$8-$AM$8))),$AM$8)</f>
        <v/>
      </c>
      <c r="AO939">
        <f>IFERROR(IF(AX939&lt;($AM$9-$AL$9)/($AN$9-$AL$9),$AL$9+SQRT(AX939*($AN$9-$AL$9)*($AM$9-$AL$9)),$AN$9-SQRT((1-AX939)*($AN$9-$AL$9)*($AN$9-$AM$9))),$AM$9)</f>
        <v/>
      </c>
      <c r="AP939">
        <f>IFERROR(IF(AY939&lt;($AM$10-$AL$10)/($AN$10-$AL$10),$AL$10+SQRT(AY939*($AN$10-$AL$10)*($AM$10-$AL$10)),$AN$10-SQRT((1-AY939)*($AN$10-$AL$10)*($AN$10-$AM$10))),$AM$10)</f>
        <v/>
      </c>
      <c r="AQ939">
        <f>IFERROR(IF(AZ939&lt;($AM$11-$AL$11)/($AN$11-$AL$11),$AL$11+SQRT(AZ939*($AN$11-$AL$11)*($AM$11-$AL$11)),$AN$11-SQRT((1-AZ939)*($AN$11-$AL$11)*($AN$11-$AM$11))),$AM$11)</f>
        <v/>
      </c>
      <c r="AR939">
        <f>SUMPRODUCT((B24:B31&lt;=$B$6)*(C24:C31*AM939+D24:D31*AO939*$B$8*AQ939)/(1+AL939/100)^B24:B31)+C32*AM939*AP939/(1+AL939/100)^$B$6</f>
        <v/>
      </c>
      <c r="AS939">
        <f>SUMPRODUCT((K24:K26&lt;=$B$6)*(L24:L26*AN939+M24:M26*AO939*$B$8*AQ939)/(1+AL939/100)^K24:K26)+L27*AN939*AP939/(1+AL939/100)^$B$6</f>
        <v/>
      </c>
      <c r="AT939">
        <f>AS939-AR939</f>
        <v/>
      </c>
      <c r="AU939">
        <f>RAND()</f>
        <v/>
      </c>
      <c r="AV939">
        <f>RAND()</f>
        <v/>
      </c>
      <c r="AW939">
        <f>RAND()</f>
        <v/>
      </c>
      <c r="AX939">
        <f>RAND()</f>
        <v/>
      </c>
      <c r="AY939">
        <f>RAND()</f>
        <v/>
      </c>
      <c r="AZ939">
        <f>RAND()</f>
        <v/>
      </c>
    </row>
    <row r="940">
      <c r="AK940" t="n">
        <v>927</v>
      </c>
      <c r="AL940">
        <f>IFERROR(IF(AU940&lt;($AM$6-$AL$6)/($AN$6-$AL$6),$AL$6+SQRT(AU940*($AN$6-$AL$6)*($AM$6-$AL$6)),$AN$6-SQRT((1-AU940)*($AN$6-$AL$6)*($AN$6-$AM$6))),$AM$6)</f>
        <v/>
      </c>
      <c r="AM940">
        <f>IFERROR(IF(AV940&lt;($AM$7-$AL$7)/($AN$7-$AL$7),$AL$7+SQRT(AV940*($AN$7-$AL$7)*($AM$7-$AL$7)),$AN$7-SQRT((1-AV940)*($AN$7-$AL$7)*($AN$7-$AM$7))),$AM$7)</f>
        <v/>
      </c>
      <c r="AN940">
        <f>IFERROR(IF(AW940&lt;($AM$8-$AL$8)/($AN$8-$AL$8),$AL$8+SQRT(AW940*($AN$8-$AL$8)*($AM$8-$AL$8)),$AN$8-SQRT((1-AW940)*($AN$8-$AL$8)*($AN$8-$AM$8))),$AM$8)</f>
        <v/>
      </c>
      <c r="AO940">
        <f>IFERROR(IF(AX940&lt;($AM$9-$AL$9)/($AN$9-$AL$9),$AL$9+SQRT(AX940*($AN$9-$AL$9)*($AM$9-$AL$9)),$AN$9-SQRT((1-AX940)*($AN$9-$AL$9)*($AN$9-$AM$9))),$AM$9)</f>
        <v/>
      </c>
      <c r="AP940">
        <f>IFERROR(IF(AY940&lt;($AM$10-$AL$10)/($AN$10-$AL$10),$AL$10+SQRT(AY940*($AN$10-$AL$10)*($AM$10-$AL$10)),$AN$10-SQRT((1-AY940)*($AN$10-$AL$10)*($AN$10-$AM$10))),$AM$10)</f>
        <v/>
      </c>
      <c r="AQ940">
        <f>IFERROR(IF(AZ940&lt;($AM$11-$AL$11)/($AN$11-$AL$11),$AL$11+SQRT(AZ940*($AN$11-$AL$11)*($AM$11-$AL$11)),$AN$11-SQRT((1-AZ940)*($AN$11-$AL$11)*($AN$11-$AM$11))),$AM$11)</f>
        <v/>
      </c>
      <c r="AR940">
        <f>SUMPRODUCT((B24:B31&lt;=$B$6)*(C24:C31*AM940+D24:D31*AO940*$B$8*AQ940)/(1+AL940/100)^B24:B31)+C32*AM940*AP940/(1+AL940/100)^$B$6</f>
        <v/>
      </c>
      <c r="AS940">
        <f>SUMPRODUCT((K24:K26&lt;=$B$6)*(L24:L26*AN940+M24:M26*AO940*$B$8*AQ940)/(1+AL940/100)^K24:K26)+L27*AN940*AP940/(1+AL940/100)^$B$6</f>
        <v/>
      </c>
      <c r="AT940">
        <f>AS940-AR940</f>
        <v/>
      </c>
      <c r="AU940">
        <f>RAND()</f>
        <v/>
      </c>
      <c r="AV940">
        <f>RAND()</f>
        <v/>
      </c>
      <c r="AW940">
        <f>RAND()</f>
        <v/>
      </c>
      <c r="AX940">
        <f>RAND()</f>
        <v/>
      </c>
      <c r="AY940">
        <f>RAND()</f>
        <v/>
      </c>
      <c r="AZ940">
        <f>RAND()</f>
        <v/>
      </c>
    </row>
    <row r="941">
      <c r="AK941" t="n">
        <v>928</v>
      </c>
      <c r="AL941">
        <f>IFERROR(IF(AU941&lt;($AM$6-$AL$6)/($AN$6-$AL$6),$AL$6+SQRT(AU941*($AN$6-$AL$6)*($AM$6-$AL$6)),$AN$6-SQRT((1-AU941)*($AN$6-$AL$6)*($AN$6-$AM$6))),$AM$6)</f>
        <v/>
      </c>
      <c r="AM941">
        <f>IFERROR(IF(AV941&lt;($AM$7-$AL$7)/($AN$7-$AL$7),$AL$7+SQRT(AV941*($AN$7-$AL$7)*($AM$7-$AL$7)),$AN$7-SQRT((1-AV941)*($AN$7-$AL$7)*($AN$7-$AM$7))),$AM$7)</f>
        <v/>
      </c>
      <c r="AN941">
        <f>IFERROR(IF(AW941&lt;($AM$8-$AL$8)/($AN$8-$AL$8),$AL$8+SQRT(AW941*($AN$8-$AL$8)*($AM$8-$AL$8)),$AN$8-SQRT((1-AW941)*($AN$8-$AL$8)*($AN$8-$AM$8))),$AM$8)</f>
        <v/>
      </c>
      <c r="AO941">
        <f>IFERROR(IF(AX941&lt;($AM$9-$AL$9)/($AN$9-$AL$9),$AL$9+SQRT(AX941*($AN$9-$AL$9)*($AM$9-$AL$9)),$AN$9-SQRT((1-AX941)*($AN$9-$AL$9)*($AN$9-$AM$9))),$AM$9)</f>
        <v/>
      </c>
      <c r="AP941">
        <f>IFERROR(IF(AY941&lt;($AM$10-$AL$10)/($AN$10-$AL$10),$AL$10+SQRT(AY941*($AN$10-$AL$10)*($AM$10-$AL$10)),$AN$10-SQRT((1-AY941)*($AN$10-$AL$10)*($AN$10-$AM$10))),$AM$10)</f>
        <v/>
      </c>
      <c r="AQ941">
        <f>IFERROR(IF(AZ941&lt;($AM$11-$AL$11)/($AN$11-$AL$11),$AL$11+SQRT(AZ941*($AN$11-$AL$11)*($AM$11-$AL$11)),$AN$11-SQRT((1-AZ941)*($AN$11-$AL$11)*($AN$11-$AM$11))),$AM$11)</f>
        <v/>
      </c>
      <c r="AR941">
        <f>SUMPRODUCT((B24:B31&lt;=$B$6)*(C24:C31*AM941+D24:D31*AO941*$B$8*AQ941)/(1+AL941/100)^B24:B31)+C32*AM941*AP941/(1+AL941/100)^$B$6</f>
        <v/>
      </c>
      <c r="AS941">
        <f>SUMPRODUCT((K24:K26&lt;=$B$6)*(L24:L26*AN941+M24:M26*AO941*$B$8*AQ941)/(1+AL941/100)^K24:K26)+L27*AN941*AP941/(1+AL941/100)^$B$6</f>
        <v/>
      </c>
      <c r="AT941">
        <f>AS941-AR941</f>
        <v/>
      </c>
      <c r="AU941">
        <f>RAND()</f>
        <v/>
      </c>
      <c r="AV941">
        <f>RAND()</f>
        <v/>
      </c>
      <c r="AW941">
        <f>RAND()</f>
        <v/>
      </c>
      <c r="AX941">
        <f>RAND()</f>
        <v/>
      </c>
      <c r="AY941">
        <f>RAND()</f>
        <v/>
      </c>
      <c r="AZ941">
        <f>RAND()</f>
        <v/>
      </c>
    </row>
    <row r="942">
      <c r="AK942" t="n">
        <v>929</v>
      </c>
      <c r="AL942">
        <f>IFERROR(IF(AU942&lt;($AM$6-$AL$6)/($AN$6-$AL$6),$AL$6+SQRT(AU942*($AN$6-$AL$6)*($AM$6-$AL$6)),$AN$6-SQRT((1-AU942)*($AN$6-$AL$6)*($AN$6-$AM$6))),$AM$6)</f>
        <v/>
      </c>
      <c r="AM942">
        <f>IFERROR(IF(AV942&lt;($AM$7-$AL$7)/($AN$7-$AL$7),$AL$7+SQRT(AV942*($AN$7-$AL$7)*($AM$7-$AL$7)),$AN$7-SQRT((1-AV942)*($AN$7-$AL$7)*($AN$7-$AM$7))),$AM$7)</f>
        <v/>
      </c>
      <c r="AN942">
        <f>IFERROR(IF(AW942&lt;($AM$8-$AL$8)/($AN$8-$AL$8),$AL$8+SQRT(AW942*($AN$8-$AL$8)*($AM$8-$AL$8)),$AN$8-SQRT((1-AW942)*($AN$8-$AL$8)*($AN$8-$AM$8))),$AM$8)</f>
        <v/>
      </c>
      <c r="AO942">
        <f>IFERROR(IF(AX942&lt;($AM$9-$AL$9)/($AN$9-$AL$9),$AL$9+SQRT(AX942*($AN$9-$AL$9)*($AM$9-$AL$9)),$AN$9-SQRT((1-AX942)*($AN$9-$AL$9)*($AN$9-$AM$9))),$AM$9)</f>
        <v/>
      </c>
      <c r="AP942">
        <f>IFERROR(IF(AY942&lt;($AM$10-$AL$10)/($AN$10-$AL$10),$AL$10+SQRT(AY942*($AN$10-$AL$10)*($AM$10-$AL$10)),$AN$10-SQRT((1-AY942)*($AN$10-$AL$10)*($AN$10-$AM$10))),$AM$10)</f>
        <v/>
      </c>
      <c r="AQ942">
        <f>IFERROR(IF(AZ942&lt;($AM$11-$AL$11)/($AN$11-$AL$11),$AL$11+SQRT(AZ942*($AN$11-$AL$11)*($AM$11-$AL$11)),$AN$11-SQRT((1-AZ942)*($AN$11-$AL$11)*($AN$11-$AM$11))),$AM$11)</f>
        <v/>
      </c>
      <c r="AR942">
        <f>SUMPRODUCT((B24:B31&lt;=$B$6)*(C24:C31*AM942+D24:D31*AO942*$B$8*AQ942)/(1+AL942/100)^B24:B31)+C32*AM942*AP942/(1+AL942/100)^$B$6</f>
        <v/>
      </c>
      <c r="AS942">
        <f>SUMPRODUCT((K24:K26&lt;=$B$6)*(L24:L26*AN942+M24:M26*AO942*$B$8*AQ942)/(1+AL942/100)^K24:K26)+L27*AN942*AP942/(1+AL942/100)^$B$6</f>
        <v/>
      </c>
      <c r="AT942">
        <f>AS942-AR942</f>
        <v/>
      </c>
      <c r="AU942">
        <f>RAND()</f>
        <v/>
      </c>
      <c r="AV942">
        <f>RAND()</f>
        <v/>
      </c>
      <c r="AW942">
        <f>RAND()</f>
        <v/>
      </c>
      <c r="AX942">
        <f>RAND()</f>
        <v/>
      </c>
      <c r="AY942">
        <f>RAND()</f>
        <v/>
      </c>
      <c r="AZ942">
        <f>RAND()</f>
        <v/>
      </c>
    </row>
    <row r="943">
      <c r="AK943" t="n">
        <v>930</v>
      </c>
      <c r="AL943">
        <f>IFERROR(IF(AU943&lt;($AM$6-$AL$6)/($AN$6-$AL$6),$AL$6+SQRT(AU943*($AN$6-$AL$6)*($AM$6-$AL$6)),$AN$6-SQRT((1-AU943)*($AN$6-$AL$6)*($AN$6-$AM$6))),$AM$6)</f>
        <v/>
      </c>
      <c r="AM943">
        <f>IFERROR(IF(AV943&lt;($AM$7-$AL$7)/($AN$7-$AL$7),$AL$7+SQRT(AV943*($AN$7-$AL$7)*($AM$7-$AL$7)),$AN$7-SQRT((1-AV943)*($AN$7-$AL$7)*($AN$7-$AM$7))),$AM$7)</f>
        <v/>
      </c>
      <c r="AN943">
        <f>IFERROR(IF(AW943&lt;($AM$8-$AL$8)/($AN$8-$AL$8),$AL$8+SQRT(AW943*($AN$8-$AL$8)*($AM$8-$AL$8)),$AN$8-SQRT((1-AW943)*($AN$8-$AL$8)*($AN$8-$AM$8))),$AM$8)</f>
        <v/>
      </c>
      <c r="AO943">
        <f>IFERROR(IF(AX943&lt;($AM$9-$AL$9)/($AN$9-$AL$9),$AL$9+SQRT(AX943*($AN$9-$AL$9)*($AM$9-$AL$9)),$AN$9-SQRT((1-AX943)*($AN$9-$AL$9)*($AN$9-$AM$9))),$AM$9)</f>
        <v/>
      </c>
      <c r="AP943">
        <f>IFERROR(IF(AY943&lt;($AM$10-$AL$10)/($AN$10-$AL$10),$AL$10+SQRT(AY943*($AN$10-$AL$10)*($AM$10-$AL$10)),$AN$10-SQRT((1-AY943)*($AN$10-$AL$10)*($AN$10-$AM$10))),$AM$10)</f>
        <v/>
      </c>
      <c r="AQ943">
        <f>IFERROR(IF(AZ943&lt;($AM$11-$AL$11)/($AN$11-$AL$11),$AL$11+SQRT(AZ943*($AN$11-$AL$11)*($AM$11-$AL$11)),$AN$11-SQRT((1-AZ943)*($AN$11-$AL$11)*($AN$11-$AM$11))),$AM$11)</f>
        <v/>
      </c>
      <c r="AR943">
        <f>SUMPRODUCT((B24:B31&lt;=$B$6)*(C24:C31*AM943+D24:D31*AO943*$B$8*AQ943)/(1+AL943/100)^B24:B31)+C32*AM943*AP943/(1+AL943/100)^$B$6</f>
        <v/>
      </c>
      <c r="AS943">
        <f>SUMPRODUCT((K24:K26&lt;=$B$6)*(L24:L26*AN943+M24:M26*AO943*$B$8*AQ943)/(1+AL943/100)^K24:K26)+L27*AN943*AP943/(1+AL943/100)^$B$6</f>
        <v/>
      </c>
      <c r="AT943">
        <f>AS943-AR943</f>
        <v/>
      </c>
      <c r="AU943">
        <f>RAND()</f>
        <v/>
      </c>
      <c r="AV943">
        <f>RAND()</f>
        <v/>
      </c>
      <c r="AW943">
        <f>RAND()</f>
        <v/>
      </c>
      <c r="AX943">
        <f>RAND()</f>
        <v/>
      </c>
      <c r="AY943">
        <f>RAND()</f>
        <v/>
      </c>
      <c r="AZ943">
        <f>RAND()</f>
        <v/>
      </c>
    </row>
    <row r="944">
      <c r="AK944" t="n">
        <v>931</v>
      </c>
      <c r="AL944">
        <f>IFERROR(IF(AU944&lt;($AM$6-$AL$6)/($AN$6-$AL$6),$AL$6+SQRT(AU944*($AN$6-$AL$6)*($AM$6-$AL$6)),$AN$6-SQRT((1-AU944)*($AN$6-$AL$6)*($AN$6-$AM$6))),$AM$6)</f>
        <v/>
      </c>
      <c r="AM944">
        <f>IFERROR(IF(AV944&lt;($AM$7-$AL$7)/($AN$7-$AL$7),$AL$7+SQRT(AV944*($AN$7-$AL$7)*($AM$7-$AL$7)),$AN$7-SQRT((1-AV944)*($AN$7-$AL$7)*($AN$7-$AM$7))),$AM$7)</f>
        <v/>
      </c>
      <c r="AN944">
        <f>IFERROR(IF(AW944&lt;($AM$8-$AL$8)/($AN$8-$AL$8),$AL$8+SQRT(AW944*($AN$8-$AL$8)*($AM$8-$AL$8)),$AN$8-SQRT((1-AW944)*($AN$8-$AL$8)*($AN$8-$AM$8))),$AM$8)</f>
        <v/>
      </c>
      <c r="AO944">
        <f>IFERROR(IF(AX944&lt;($AM$9-$AL$9)/($AN$9-$AL$9),$AL$9+SQRT(AX944*($AN$9-$AL$9)*($AM$9-$AL$9)),$AN$9-SQRT((1-AX944)*($AN$9-$AL$9)*($AN$9-$AM$9))),$AM$9)</f>
        <v/>
      </c>
      <c r="AP944">
        <f>IFERROR(IF(AY944&lt;($AM$10-$AL$10)/($AN$10-$AL$10),$AL$10+SQRT(AY944*($AN$10-$AL$10)*($AM$10-$AL$10)),$AN$10-SQRT((1-AY944)*($AN$10-$AL$10)*($AN$10-$AM$10))),$AM$10)</f>
        <v/>
      </c>
      <c r="AQ944">
        <f>IFERROR(IF(AZ944&lt;($AM$11-$AL$11)/($AN$11-$AL$11),$AL$11+SQRT(AZ944*($AN$11-$AL$11)*($AM$11-$AL$11)),$AN$11-SQRT((1-AZ944)*($AN$11-$AL$11)*($AN$11-$AM$11))),$AM$11)</f>
        <v/>
      </c>
      <c r="AR944">
        <f>SUMPRODUCT((B24:B31&lt;=$B$6)*(C24:C31*AM944+D24:D31*AO944*$B$8*AQ944)/(1+AL944/100)^B24:B31)+C32*AM944*AP944/(1+AL944/100)^$B$6</f>
        <v/>
      </c>
      <c r="AS944">
        <f>SUMPRODUCT((K24:K26&lt;=$B$6)*(L24:L26*AN944+M24:M26*AO944*$B$8*AQ944)/(1+AL944/100)^K24:K26)+L27*AN944*AP944/(1+AL944/100)^$B$6</f>
        <v/>
      </c>
      <c r="AT944">
        <f>AS944-AR944</f>
        <v/>
      </c>
      <c r="AU944">
        <f>RAND()</f>
        <v/>
      </c>
      <c r="AV944">
        <f>RAND()</f>
        <v/>
      </c>
      <c r="AW944">
        <f>RAND()</f>
        <v/>
      </c>
      <c r="AX944">
        <f>RAND()</f>
        <v/>
      </c>
      <c r="AY944">
        <f>RAND()</f>
        <v/>
      </c>
      <c r="AZ944">
        <f>RAND()</f>
        <v/>
      </c>
    </row>
    <row r="945">
      <c r="AK945" t="n">
        <v>932</v>
      </c>
      <c r="AL945">
        <f>IFERROR(IF(AU945&lt;($AM$6-$AL$6)/($AN$6-$AL$6),$AL$6+SQRT(AU945*($AN$6-$AL$6)*($AM$6-$AL$6)),$AN$6-SQRT((1-AU945)*($AN$6-$AL$6)*($AN$6-$AM$6))),$AM$6)</f>
        <v/>
      </c>
      <c r="AM945">
        <f>IFERROR(IF(AV945&lt;($AM$7-$AL$7)/($AN$7-$AL$7),$AL$7+SQRT(AV945*($AN$7-$AL$7)*($AM$7-$AL$7)),$AN$7-SQRT((1-AV945)*($AN$7-$AL$7)*($AN$7-$AM$7))),$AM$7)</f>
        <v/>
      </c>
      <c r="AN945">
        <f>IFERROR(IF(AW945&lt;($AM$8-$AL$8)/($AN$8-$AL$8),$AL$8+SQRT(AW945*($AN$8-$AL$8)*($AM$8-$AL$8)),$AN$8-SQRT((1-AW945)*($AN$8-$AL$8)*($AN$8-$AM$8))),$AM$8)</f>
        <v/>
      </c>
      <c r="AO945">
        <f>IFERROR(IF(AX945&lt;($AM$9-$AL$9)/($AN$9-$AL$9),$AL$9+SQRT(AX945*($AN$9-$AL$9)*($AM$9-$AL$9)),$AN$9-SQRT((1-AX945)*($AN$9-$AL$9)*($AN$9-$AM$9))),$AM$9)</f>
        <v/>
      </c>
      <c r="AP945">
        <f>IFERROR(IF(AY945&lt;($AM$10-$AL$10)/($AN$10-$AL$10),$AL$10+SQRT(AY945*($AN$10-$AL$10)*($AM$10-$AL$10)),$AN$10-SQRT((1-AY945)*($AN$10-$AL$10)*($AN$10-$AM$10))),$AM$10)</f>
        <v/>
      </c>
      <c r="AQ945">
        <f>IFERROR(IF(AZ945&lt;($AM$11-$AL$11)/($AN$11-$AL$11),$AL$11+SQRT(AZ945*($AN$11-$AL$11)*($AM$11-$AL$11)),$AN$11-SQRT((1-AZ945)*($AN$11-$AL$11)*($AN$11-$AM$11))),$AM$11)</f>
        <v/>
      </c>
      <c r="AR945">
        <f>SUMPRODUCT((B24:B31&lt;=$B$6)*(C24:C31*AM945+D24:D31*AO945*$B$8*AQ945)/(1+AL945/100)^B24:B31)+C32*AM945*AP945/(1+AL945/100)^$B$6</f>
        <v/>
      </c>
      <c r="AS945">
        <f>SUMPRODUCT((K24:K26&lt;=$B$6)*(L24:L26*AN945+M24:M26*AO945*$B$8*AQ945)/(1+AL945/100)^K24:K26)+L27*AN945*AP945/(1+AL945/100)^$B$6</f>
        <v/>
      </c>
      <c r="AT945">
        <f>AS945-AR945</f>
        <v/>
      </c>
      <c r="AU945">
        <f>RAND()</f>
        <v/>
      </c>
      <c r="AV945">
        <f>RAND()</f>
        <v/>
      </c>
      <c r="AW945">
        <f>RAND()</f>
        <v/>
      </c>
      <c r="AX945">
        <f>RAND()</f>
        <v/>
      </c>
      <c r="AY945">
        <f>RAND()</f>
        <v/>
      </c>
      <c r="AZ945">
        <f>RAND()</f>
        <v/>
      </c>
    </row>
    <row r="946">
      <c r="AK946" t="n">
        <v>933</v>
      </c>
      <c r="AL946">
        <f>IFERROR(IF(AU946&lt;($AM$6-$AL$6)/($AN$6-$AL$6),$AL$6+SQRT(AU946*($AN$6-$AL$6)*($AM$6-$AL$6)),$AN$6-SQRT((1-AU946)*($AN$6-$AL$6)*($AN$6-$AM$6))),$AM$6)</f>
        <v/>
      </c>
      <c r="AM946">
        <f>IFERROR(IF(AV946&lt;($AM$7-$AL$7)/($AN$7-$AL$7),$AL$7+SQRT(AV946*($AN$7-$AL$7)*($AM$7-$AL$7)),$AN$7-SQRT((1-AV946)*($AN$7-$AL$7)*($AN$7-$AM$7))),$AM$7)</f>
        <v/>
      </c>
      <c r="AN946">
        <f>IFERROR(IF(AW946&lt;($AM$8-$AL$8)/($AN$8-$AL$8),$AL$8+SQRT(AW946*($AN$8-$AL$8)*($AM$8-$AL$8)),$AN$8-SQRT((1-AW946)*($AN$8-$AL$8)*($AN$8-$AM$8))),$AM$8)</f>
        <v/>
      </c>
      <c r="AO946">
        <f>IFERROR(IF(AX946&lt;($AM$9-$AL$9)/($AN$9-$AL$9),$AL$9+SQRT(AX946*($AN$9-$AL$9)*($AM$9-$AL$9)),$AN$9-SQRT((1-AX946)*($AN$9-$AL$9)*($AN$9-$AM$9))),$AM$9)</f>
        <v/>
      </c>
      <c r="AP946">
        <f>IFERROR(IF(AY946&lt;($AM$10-$AL$10)/($AN$10-$AL$10),$AL$10+SQRT(AY946*($AN$10-$AL$10)*($AM$10-$AL$10)),$AN$10-SQRT((1-AY946)*($AN$10-$AL$10)*($AN$10-$AM$10))),$AM$10)</f>
        <v/>
      </c>
      <c r="AQ946">
        <f>IFERROR(IF(AZ946&lt;($AM$11-$AL$11)/($AN$11-$AL$11),$AL$11+SQRT(AZ946*($AN$11-$AL$11)*($AM$11-$AL$11)),$AN$11-SQRT((1-AZ946)*($AN$11-$AL$11)*($AN$11-$AM$11))),$AM$11)</f>
        <v/>
      </c>
      <c r="AR946">
        <f>SUMPRODUCT((B24:B31&lt;=$B$6)*(C24:C31*AM946+D24:D31*AO946*$B$8*AQ946)/(1+AL946/100)^B24:B31)+C32*AM946*AP946/(1+AL946/100)^$B$6</f>
        <v/>
      </c>
      <c r="AS946">
        <f>SUMPRODUCT((K24:K26&lt;=$B$6)*(L24:L26*AN946+M24:M26*AO946*$B$8*AQ946)/(1+AL946/100)^K24:K26)+L27*AN946*AP946/(1+AL946/100)^$B$6</f>
        <v/>
      </c>
      <c r="AT946">
        <f>AS946-AR946</f>
        <v/>
      </c>
      <c r="AU946">
        <f>RAND()</f>
        <v/>
      </c>
      <c r="AV946">
        <f>RAND()</f>
        <v/>
      </c>
      <c r="AW946">
        <f>RAND()</f>
        <v/>
      </c>
      <c r="AX946">
        <f>RAND()</f>
        <v/>
      </c>
      <c r="AY946">
        <f>RAND()</f>
        <v/>
      </c>
      <c r="AZ946">
        <f>RAND()</f>
        <v/>
      </c>
    </row>
    <row r="947">
      <c r="AK947" t="n">
        <v>934</v>
      </c>
      <c r="AL947">
        <f>IFERROR(IF(AU947&lt;($AM$6-$AL$6)/($AN$6-$AL$6),$AL$6+SQRT(AU947*($AN$6-$AL$6)*($AM$6-$AL$6)),$AN$6-SQRT((1-AU947)*($AN$6-$AL$6)*($AN$6-$AM$6))),$AM$6)</f>
        <v/>
      </c>
      <c r="AM947">
        <f>IFERROR(IF(AV947&lt;($AM$7-$AL$7)/($AN$7-$AL$7),$AL$7+SQRT(AV947*($AN$7-$AL$7)*($AM$7-$AL$7)),$AN$7-SQRT((1-AV947)*($AN$7-$AL$7)*($AN$7-$AM$7))),$AM$7)</f>
        <v/>
      </c>
      <c r="AN947">
        <f>IFERROR(IF(AW947&lt;($AM$8-$AL$8)/($AN$8-$AL$8),$AL$8+SQRT(AW947*($AN$8-$AL$8)*($AM$8-$AL$8)),$AN$8-SQRT((1-AW947)*($AN$8-$AL$8)*($AN$8-$AM$8))),$AM$8)</f>
        <v/>
      </c>
      <c r="AO947">
        <f>IFERROR(IF(AX947&lt;($AM$9-$AL$9)/($AN$9-$AL$9),$AL$9+SQRT(AX947*($AN$9-$AL$9)*($AM$9-$AL$9)),$AN$9-SQRT((1-AX947)*($AN$9-$AL$9)*($AN$9-$AM$9))),$AM$9)</f>
        <v/>
      </c>
      <c r="AP947">
        <f>IFERROR(IF(AY947&lt;($AM$10-$AL$10)/($AN$10-$AL$10),$AL$10+SQRT(AY947*($AN$10-$AL$10)*($AM$10-$AL$10)),$AN$10-SQRT((1-AY947)*($AN$10-$AL$10)*($AN$10-$AM$10))),$AM$10)</f>
        <v/>
      </c>
      <c r="AQ947">
        <f>IFERROR(IF(AZ947&lt;($AM$11-$AL$11)/($AN$11-$AL$11),$AL$11+SQRT(AZ947*($AN$11-$AL$11)*($AM$11-$AL$11)),$AN$11-SQRT((1-AZ947)*($AN$11-$AL$11)*($AN$11-$AM$11))),$AM$11)</f>
        <v/>
      </c>
      <c r="AR947">
        <f>SUMPRODUCT((B24:B31&lt;=$B$6)*(C24:C31*AM947+D24:D31*AO947*$B$8*AQ947)/(1+AL947/100)^B24:B31)+C32*AM947*AP947/(1+AL947/100)^$B$6</f>
        <v/>
      </c>
      <c r="AS947">
        <f>SUMPRODUCT((K24:K26&lt;=$B$6)*(L24:L26*AN947+M24:M26*AO947*$B$8*AQ947)/(1+AL947/100)^K24:K26)+L27*AN947*AP947/(1+AL947/100)^$B$6</f>
        <v/>
      </c>
      <c r="AT947">
        <f>AS947-AR947</f>
        <v/>
      </c>
      <c r="AU947">
        <f>RAND()</f>
        <v/>
      </c>
      <c r="AV947">
        <f>RAND()</f>
        <v/>
      </c>
      <c r="AW947">
        <f>RAND()</f>
        <v/>
      </c>
      <c r="AX947">
        <f>RAND()</f>
        <v/>
      </c>
      <c r="AY947">
        <f>RAND()</f>
        <v/>
      </c>
      <c r="AZ947">
        <f>RAND()</f>
        <v/>
      </c>
    </row>
    <row r="948">
      <c r="AK948" t="n">
        <v>935</v>
      </c>
      <c r="AL948">
        <f>IFERROR(IF(AU948&lt;($AM$6-$AL$6)/($AN$6-$AL$6),$AL$6+SQRT(AU948*($AN$6-$AL$6)*($AM$6-$AL$6)),$AN$6-SQRT((1-AU948)*($AN$6-$AL$6)*($AN$6-$AM$6))),$AM$6)</f>
        <v/>
      </c>
      <c r="AM948">
        <f>IFERROR(IF(AV948&lt;($AM$7-$AL$7)/($AN$7-$AL$7),$AL$7+SQRT(AV948*($AN$7-$AL$7)*($AM$7-$AL$7)),$AN$7-SQRT((1-AV948)*($AN$7-$AL$7)*($AN$7-$AM$7))),$AM$7)</f>
        <v/>
      </c>
      <c r="AN948">
        <f>IFERROR(IF(AW948&lt;($AM$8-$AL$8)/($AN$8-$AL$8),$AL$8+SQRT(AW948*($AN$8-$AL$8)*($AM$8-$AL$8)),$AN$8-SQRT((1-AW948)*($AN$8-$AL$8)*($AN$8-$AM$8))),$AM$8)</f>
        <v/>
      </c>
      <c r="AO948">
        <f>IFERROR(IF(AX948&lt;($AM$9-$AL$9)/($AN$9-$AL$9),$AL$9+SQRT(AX948*($AN$9-$AL$9)*($AM$9-$AL$9)),$AN$9-SQRT((1-AX948)*($AN$9-$AL$9)*($AN$9-$AM$9))),$AM$9)</f>
        <v/>
      </c>
      <c r="AP948">
        <f>IFERROR(IF(AY948&lt;($AM$10-$AL$10)/($AN$10-$AL$10),$AL$10+SQRT(AY948*($AN$10-$AL$10)*($AM$10-$AL$10)),$AN$10-SQRT((1-AY948)*($AN$10-$AL$10)*($AN$10-$AM$10))),$AM$10)</f>
        <v/>
      </c>
      <c r="AQ948">
        <f>IFERROR(IF(AZ948&lt;($AM$11-$AL$11)/($AN$11-$AL$11),$AL$11+SQRT(AZ948*($AN$11-$AL$11)*($AM$11-$AL$11)),$AN$11-SQRT((1-AZ948)*($AN$11-$AL$11)*($AN$11-$AM$11))),$AM$11)</f>
        <v/>
      </c>
      <c r="AR948">
        <f>SUMPRODUCT((B24:B31&lt;=$B$6)*(C24:C31*AM948+D24:D31*AO948*$B$8*AQ948)/(1+AL948/100)^B24:B31)+C32*AM948*AP948/(1+AL948/100)^$B$6</f>
        <v/>
      </c>
      <c r="AS948">
        <f>SUMPRODUCT((K24:K26&lt;=$B$6)*(L24:L26*AN948+M24:M26*AO948*$B$8*AQ948)/(1+AL948/100)^K24:K26)+L27*AN948*AP948/(1+AL948/100)^$B$6</f>
        <v/>
      </c>
      <c r="AT948">
        <f>AS948-AR948</f>
        <v/>
      </c>
      <c r="AU948">
        <f>RAND()</f>
        <v/>
      </c>
      <c r="AV948">
        <f>RAND()</f>
        <v/>
      </c>
      <c r="AW948">
        <f>RAND()</f>
        <v/>
      </c>
      <c r="AX948">
        <f>RAND()</f>
        <v/>
      </c>
      <c r="AY948">
        <f>RAND()</f>
        <v/>
      </c>
      <c r="AZ948">
        <f>RAND()</f>
        <v/>
      </c>
    </row>
    <row r="949">
      <c r="AK949" t="n">
        <v>936</v>
      </c>
      <c r="AL949">
        <f>IFERROR(IF(AU949&lt;($AM$6-$AL$6)/($AN$6-$AL$6),$AL$6+SQRT(AU949*($AN$6-$AL$6)*($AM$6-$AL$6)),$AN$6-SQRT((1-AU949)*($AN$6-$AL$6)*($AN$6-$AM$6))),$AM$6)</f>
        <v/>
      </c>
      <c r="AM949">
        <f>IFERROR(IF(AV949&lt;($AM$7-$AL$7)/($AN$7-$AL$7),$AL$7+SQRT(AV949*($AN$7-$AL$7)*($AM$7-$AL$7)),$AN$7-SQRT((1-AV949)*($AN$7-$AL$7)*($AN$7-$AM$7))),$AM$7)</f>
        <v/>
      </c>
      <c r="AN949">
        <f>IFERROR(IF(AW949&lt;($AM$8-$AL$8)/($AN$8-$AL$8),$AL$8+SQRT(AW949*($AN$8-$AL$8)*($AM$8-$AL$8)),$AN$8-SQRT((1-AW949)*($AN$8-$AL$8)*($AN$8-$AM$8))),$AM$8)</f>
        <v/>
      </c>
      <c r="AO949">
        <f>IFERROR(IF(AX949&lt;($AM$9-$AL$9)/($AN$9-$AL$9),$AL$9+SQRT(AX949*($AN$9-$AL$9)*($AM$9-$AL$9)),$AN$9-SQRT((1-AX949)*($AN$9-$AL$9)*($AN$9-$AM$9))),$AM$9)</f>
        <v/>
      </c>
      <c r="AP949">
        <f>IFERROR(IF(AY949&lt;($AM$10-$AL$10)/($AN$10-$AL$10),$AL$10+SQRT(AY949*($AN$10-$AL$10)*($AM$10-$AL$10)),$AN$10-SQRT((1-AY949)*($AN$10-$AL$10)*($AN$10-$AM$10))),$AM$10)</f>
        <v/>
      </c>
      <c r="AQ949">
        <f>IFERROR(IF(AZ949&lt;($AM$11-$AL$11)/($AN$11-$AL$11),$AL$11+SQRT(AZ949*($AN$11-$AL$11)*($AM$11-$AL$11)),$AN$11-SQRT((1-AZ949)*($AN$11-$AL$11)*($AN$11-$AM$11))),$AM$11)</f>
        <v/>
      </c>
      <c r="AR949">
        <f>SUMPRODUCT((B24:B31&lt;=$B$6)*(C24:C31*AM949+D24:D31*AO949*$B$8*AQ949)/(1+AL949/100)^B24:B31)+C32*AM949*AP949/(1+AL949/100)^$B$6</f>
        <v/>
      </c>
      <c r="AS949">
        <f>SUMPRODUCT((K24:K26&lt;=$B$6)*(L24:L26*AN949+M24:M26*AO949*$B$8*AQ949)/(1+AL949/100)^K24:K26)+L27*AN949*AP949/(1+AL949/100)^$B$6</f>
        <v/>
      </c>
      <c r="AT949">
        <f>AS949-AR949</f>
        <v/>
      </c>
      <c r="AU949">
        <f>RAND()</f>
        <v/>
      </c>
      <c r="AV949">
        <f>RAND()</f>
        <v/>
      </c>
      <c r="AW949">
        <f>RAND()</f>
        <v/>
      </c>
      <c r="AX949">
        <f>RAND()</f>
        <v/>
      </c>
      <c r="AY949">
        <f>RAND()</f>
        <v/>
      </c>
      <c r="AZ949">
        <f>RAND()</f>
        <v/>
      </c>
    </row>
    <row r="950">
      <c r="AK950" t="n">
        <v>937</v>
      </c>
      <c r="AL950">
        <f>IFERROR(IF(AU950&lt;($AM$6-$AL$6)/($AN$6-$AL$6),$AL$6+SQRT(AU950*($AN$6-$AL$6)*($AM$6-$AL$6)),$AN$6-SQRT((1-AU950)*($AN$6-$AL$6)*($AN$6-$AM$6))),$AM$6)</f>
        <v/>
      </c>
      <c r="AM950">
        <f>IFERROR(IF(AV950&lt;($AM$7-$AL$7)/($AN$7-$AL$7),$AL$7+SQRT(AV950*($AN$7-$AL$7)*($AM$7-$AL$7)),$AN$7-SQRT((1-AV950)*($AN$7-$AL$7)*($AN$7-$AM$7))),$AM$7)</f>
        <v/>
      </c>
      <c r="AN950">
        <f>IFERROR(IF(AW950&lt;($AM$8-$AL$8)/($AN$8-$AL$8),$AL$8+SQRT(AW950*($AN$8-$AL$8)*($AM$8-$AL$8)),$AN$8-SQRT((1-AW950)*($AN$8-$AL$8)*($AN$8-$AM$8))),$AM$8)</f>
        <v/>
      </c>
      <c r="AO950">
        <f>IFERROR(IF(AX950&lt;($AM$9-$AL$9)/($AN$9-$AL$9),$AL$9+SQRT(AX950*($AN$9-$AL$9)*($AM$9-$AL$9)),$AN$9-SQRT((1-AX950)*($AN$9-$AL$9)*($AN$9-$AM$9))),$AM$9)</f>
        <v/>
      </c>
      <c r="AP950">
        <f>IFERROR(IF(AY950&lt;($AM$10-$AL$10)/($AN$10-$AL$10),$AL$10+SQRT(AY950*($AN$10-$AL$10)*($AM$10-$AL$10)),$AN$10-SQRT((1-AY950)*($AN$10-$AL$10)*($AN$10-$AM$10))),$AM$10)</f>
        <v/>
      </c>
      <c r="AQ950">
        <f>IFERROR(IF(AZ950&lt;($AM$11-$AL$11)/($AN$11-$AL$11),$AL$11+SQRT(AZ950*($AN$11-$AL$11)*($AM$11-$AL$11)),$AN$11-SQRT((1-AZ950)*($AN$11-$AL$11)*($AN$11-$AM$11))),$AM$11)</f>
        <v/>
      </c>
      <c r="AR950">
        <f>SUMPRODUCT((B24:B31&lt;=$B$6)*(C24:C31*AM950+D24:D31*AO950*$B$8*AQ950)/(1+AL950/100)^B24:B31)+C32*AM950*AP950/(1+AL950/100)^$B$6</f>
        <v/>
      </c>
      <c r="AS950">
        <f>SUMPRODUCT((K24:K26&lt;=$B$6)*(L24:L26*AN950+M24:M26*AO950*$B$8*AQ950)/(1+AL950/100)^K24:K26)+L27*AN950*AP950/(1+AL950/100)^$B$6</f>
        <v/>
      </c>
      <c r="AT950">
        <f>AS950-AR950</f>
        <v/>
      </c>
      <c r="AU950">
        <f>RAND()</f>
        <v/>
      </c>
      <c r="AV950">
        <f>RAND()</f>
        <v/>
      </c>
      <c r="AW950">
        <f>RAND()</f>
        <v/>
      </c>
      <c r="AX950">
        <f>RAND()</f>
        <v/>
      </c>
      <c r="AY950">
        <f>RAND()</f>
        <v/>
      </c>
      <c r="AZ950">
        <f>RAND()</f>
        <v/>
      </c>
    </row>
    <row r="951">
      <c r="AK951" t="n">
        <v>938</v>
      </c>
      <c r="AL951">
        <f>IFERROR(IF(AU951&lt;($AM$6-$AL$6)/($AN$6-$AL$6),$AL$6+SQRT(AU951*($AN$6-$AL$6)*($AM$6-$AL$6)),$AN$6-SQRT((1-AU951)*($AN$6-$AL$6)*($AN$6-$AM$6))),$AM$6)</f>
        <v/>
      </c>
      <c r="AM951">
        <f>IFERROR(IF(AV951&lt;($AM$7-$AL$7)/($AN$7-$AL$7),$AL$7+SQRT(AV951*($AN$7-$AL$7)*($AM$7-$AL$7)),$AN$7-SQRT((1-AV951)*($AN$7-$AL$7)*($AN$7-$AM$7))),$AM$7)</f>
        <v/>
      </c>
      <c r="AN951">
        <f>IFERROR(IF(AW951&lt;($AM$8-$AL$8)/($AN$8-$AL$8),$AL$8+SQRT(AW951*($AN$8-$AL$8)*($AM$8-$AL$8)),$AN$8-SQRT((1-AW951)*($AN$8-$AL$8)*($AN$8-$AM$8))),$AM$8)</f>
        <v/>
      </c>
      <c r="AO951">
        <f>IFERROR(IF(AX951&lt;($AM$9-$AL$9)/($AN$9-$AL$9),$AL$9+SQRT(AX951*($AN$9-$AL$9)*($AM$9-$AL$9)),$AN$9-SQRT((1-AX951)*($AN$9-$AL$9)*($AN$9-$AM$9))),$AM$9)</f>
        <v/>
      </c>
      <c r="AP951">
        <f>IFERROR(IF(AY951&lt;($AM$10-$AL$10)/($AN$10-$AL$10),$AL$10+SQRT(AY951*($AN$10-$AL$10)*($AM$10-$AL$10)),$AN$10-SQRT((1-AY951)*($AN$10-$AL$10)*($AN$10-$AM$10))),$AM$10)</f>
        <v/>
      </c>
      <c r="AQ951">
        <f>IFERROR(IF(AZ951&lt;($AM$11-$AL$11)/($AN$11-$AL$11),$AL$11+SQRT(AZ951*($AN$11-$AL$11)*($AM$11-$AL$11)),$AN$11-SQRT((1-AZ951)*($AN$11-$AL$11)*($AN$11-$AM$11))),$AM$11)</f>
        <v/>
      </c>
      <c r="AR951">
        <f>SUMPRODUCT((B24:B31&lt;=$B$6)*(C24:C31*AM951+D24:D31*AO951*$B$8*AQ951)/(1+AL951/100)^B24:B31)+C32*AM951*AP951/(1+AL951/100)^$B$6</f>
        <v/>
      </c>
      <c r="AS951">
        <f>SUMPRODUCT((K24:K26&lt;=$B$6)*(L24:L26*AN951+M24:M26*AO951*$B$8*AQ951)/(1+AL951/100)^K24:K26)+L27*AN951*AP951/(1+AL951/100)^$B$6</f>
        <v/>
      </c>
      <c r="AT951">
        <f>AS951-AR951</f>
        <v/>
      </c>
      <c r="AU951">
        <f>RAND()</f>
        <v/>
      </c>
      <c r="AV951">
        <f>RAND()</f>
        <v/>
      </c>
      <c r="AW951">
        <f>RAND()</f>
        <v/>
      </c>
      <c r="AX951">
        <f>RAND()</f>
        <v/>
      </c>
      <c r="AY951">
        <f>RAND()</f>
        <v/>
      </c>
      <c r="AZ951">
        <f>RAND()</f>
        <v/>
      </c>
    </row>
    <row r="952">
      <c r="AK952" t="n">
        <v>939</v>
      </c>
      <c r="AL952">
        <f>IFERROR(IF(AU952&lt;($AM$6-$AL$6)/($AN$6-$AL$6),$AL$6+SQRT(AU952*($AN$6-$AL$6)*($AM$6-$AL$6)),$AN$6-SQRT((1-AU952)*($AN$6-$AL$6)*($AN$6-$AM$6))),$AM$6)</f>
        <v/>
      </c>
      <c r="AM952">
        <f>IFERROR(IF(AV952&lt;($AM$7-$AL$7)/($AN$7-$AL$7),$AL$7+SQRT(AV952*($AN$7-$AL$7)*($AM$7-$AL$7)),$AN$7-SQRT((1-AV952)*($AN$7-$AL$7)*($AN$7-$AM$7))),$AM$7)</f>
        <v/>
      </c>
      <c r="AN952">
        <f>IFERROR(IF(AW952&lt;($AM$8-$AL$8)/($AN$8-$AL$8),$AL$8+SQRT(AW952*($AN$8-$AL$8)*($AM$8-$AL$8)),$AN$8-SQRT((1-AW952)*($AN$8-$AL$8)*($AN$8-$AM$8))),$AM$8)</f>
        <v/>
      </c>
      <c r="AO952">
        <f>IFERROR(IF(AX952&lt;($AM$9-$AL$9)/($AN$9-$AL$9),$AL$9+SQRT(AX952*($AN$9-$AL$9)*($AM$9-$AL$9)),$AN$9-SQRT((1-AX952)*($AN$9-$AL$9)*($AN$9-$AM$9))),$AM$9)</f>
        <v/>
      </c>
      <c r="AP952">
        <f>IFERROR(IF(AY952&lt;($AM$10-$AL$10)/($AN$10-$AL$10),$AL$10+SQRT(AY952*($AN$10-$AL$10)*($AM$10-$AL$10)),$AN$10-SQRT((1-AY952)*($AN$10-$AL$10)*($AN$10-$AM$10))),$AM$10)</f>
        <v/>
      </c>
      <c r="AQ952">
        <f>IFERROR(IF(AZ952&lt;($AM$11-$AL$11)/($AN$11-$AL$11),$AL$11+SQRT(AZ952*($AN$11-$AL$11)*($AM$11-$AL$11)),$AN$11-SQRT((1-AZ952)*($AN$11-$AL$11)*($AN$11-$AM$11))),$AM$11)</f>
        <v/>
      </c>
      <c r="AR952">
        <f>SUMPRODUCT((B24:B31&lt;=$B$6)*(C24:C31*AM952+D24:D31*AO952*$B$8*AQ952)/(1+AL952/100)^B24:B31)+C32*AM952*AP952/(1+AL952/100)^$B$6</f>
        <v/>
      </c>
      <c r="AS952">
        <f>SUMPRODUCT((K24:K26&lt;=$B$6)*(L24:L26*AN952+M24:M26*AO952*$B$8*AQ952)/(1+AL952/100)^K24:K26)+L27*AN952*AP952/(1+AL952/100)^$B$6</f>
        <v/>
      </c>
      <c r="AT952">
        <f>AS952-AR952</f>
        <v/>
      </c>
      <c r="AU952">
        <f>RAND()</f>
        <v/>
      </c>
      <c r="AV952">
        <f>RAND()</f>
        <v/>
      </c>
      <c r="AW952">
        <f>RAND()</f>
        <v/>
      </c>
      <c r="AX952">
        <f>RAND()</f>
        <v/>
      </c>
      <c r="AY952">
        <f>RAND()</f>
        <v/>
      </c>
      <c r="AZ952">
        <f>RAND()</f>
        <v/>
      </c>
    </row>
    <row r="953">
      <c r="AK953" t="n">
        <v>940</v>
      </c>
      <c r="AL953">
        <f>IFERROR(IF(AU953&lt;($AM$6-$AL$6)/($AN$6-$AL$6),$AL$6+SQRT(AU953*($AN$6-$AL$6)*($AM$6-$AL$6)),$AN$6-SQRT((1-AU953)*($AN$6-$AL$6)*($AN$6-$AM$6))),$AM$6)</f>
        <v/>
      </c>
      <c r="AM953">
        <f>IFERROR(IF(AV953&lt;($AM$7-$AL$7)/($AN$7-$AL$7),$AL$7+SQRT(AV953*($AN$7-$AL$7)*($AM$7-$AL$7)),$AN$7-SQRT((1-AV953)*($AN$7-$AL$7)*($AN$7-$AM$7))),$AM$7)</f>
        <v/>
      </c>
      <c r="AN953">
        <f>IFERROR(IF(AW953&lt;($AM$8-$AL$8)/($AN$8-$AL$8),$AL$8+SQRT(AW953*($AN$8-$AL$8)*($AM$8-$AL$8)),$AN$8-SQRT((1-AW953)*($AN$8-$AL$8)*($AN$8-$AM$8))),$AM$8)</f>
        <v/>
      </c>
      <c r="AO953">
        <f>IFERROR(IF(AX953&lt;($AM$9-$AL$9)/($AN$9-$AL$9),$AL$9+SQRT(AX953*($AN$9-$AL$9)*($AM$9-$AL$9)),$AN$9-SQRT((1-AX953)*($AN$9-$AL$9)*($AN$9-$AM$9))),$AM$9)</f>
        <v/>
      </c>
      <c r="AP953">
        <f>IFERROR(IF(AY953&lt;($AM$10-$AL$10)/($AN$10-$AL$10),$AL$10+SQRT(AY953*($AN$10-$AL$10)*($AM$10-$AL$10)),$AN$10-SQRT((1-AY953)*($AN$10-$AL$10)*($AN$10-$AM$10))),$AM$10)</f>
        <v/>
      </c>
      <c r="AQ953">
        <f>IFERROR(IF(AZ953&lt;($AM$11-$AL$11)/($AN$11-$AL$11),$AL$11+SQRT(AZ953*($AN$11-$AL$11)*($AM$11-$AL$11)),$AN$11-SQRT((1-AZ953)*($AN$11-$AL$11)*($AN$11-$AM$11))),$AM$11)</f>
        <v/>
      </c>
      <c r="AR953">
        <f>SUMPRODUCT((B24:B31&lt;=$B$6)*(C24:C31*AM953+D24:D31*AO953*$B$8*AQ953)/(1+AL953/100)^B24:B31)+C32*AM953*AP953/(1+AL953/100)^$B$6</f>
        <v/>
      </c>
      <c r="AS953">
        <f>SUMPRODUCT((K24:K26&lt;=$B$6)*(L24:L26*AN953+M24:M26*AO953*$B$8*AQ953)/(1+AL953/100)^K24:K26)+L27*AN953*AP953/(1+AL953/100)^$B$6</f>
        <v/>
      </c>
      <c r="AT953">
        <f>AS953-AR953</f>
        <v/>
      </c>
      <c r="AU953">
        <f>RAND()</f>
        <v/>
      </c>
      <c r="AV953">
        <f>RAND()</f>
        <v/>
      </c>
      <c r="AW953">
        <f>RAND()</f>
        <v/>
      </c>
      <c r="AX953">
        <f>RAND()</f>
        <v/>
      </c>
      <c r="AY953">
        <f>RAND()</f>
        <v/>
      </c>
      <c r="AZ953">
        <f>RAND()</f>
        <v/>
      </c>
    </row>
    <row r="954">
      <c r="AK954" t="n">
        <v>941</v>
      </c>
      <c r="AL954">
        <f>IFERROR(IF(AU954&lt;($AM$6-$AL$6)/($AN$6-$AL$6),$AL$6+SQRT(AU954*($AN$6-$AL$6)*($AM$6-$AL$6)),$AN$6-SQRT((1-AU954)*($AN$6-$AL$6)*($AN$6-$AM$6))),$AM$6)</f>
        <v/>
      </c>
      <c r="AM954">
        <f>IFERROR(IF(AV954&lt;($AM$7-$AL$7)/($AN$7-$AL$7),$AL$7+SQRT(AV954*($AN$7-$AL$7)*($AM$7-$AL$7)),$AN$7-SQRT((1-AV954)*($AN$7-$AL$7)*($AN$7-$AM$7))),$AM$7)</f>
        <v/>
      </c>
      <c r="AN954">
        <f>IFERROR(IF(AW954&lt;($AM$8-$AL$8)/($AN$8-$AL$8),$AL$8+SQRT(AW954*($AN$8-$AL$8)*($AM$8-$AL$8)),$AN$8-SQRT((1-AW954)*($AN$8-$AL$8)*($AN$8-$AM$8))),$AM$8)</f>
        <v/>
      </c>
      <c r="AO954">
        <f>IFERROR(IF(AX954&lt;($AM$9-$AL$9)/($AN$9-$AL$9),$AL$9+SQRT(AX954*($AN$9-$AL$9)*($AM$9-$AL$9)),$AN$9-SQRT((1-AX954)*($AN$9-$AL$9)*($AN$9-$AM$9))),$AM$9)</f>
        <v/>
      </c>
      <c r="AP954">
        <f>IFERROR(IF(AY954&lt;($AM$10-$AL$10)/($AN$10-$AL$10),$AL$10+SQRT(AY954*($AN$10-$AL$10)*($AM$10-$AL$10)),$AN$10-SQRT((1-AY954)*($AN$10-$AL$10)*($AN$10-$AM$10))),$AM$10)</f>
        <v/>
      </c>
      <c r="AQ954">
        <f>IFERROR(IF(AZ954&lt;($AM$11-$AL$11)/($AN$11-$AL$11),$AL$11+SQRT(AZ954*($AN$11-$AL$11)*($AM$11-$AL$11)),$AN$11-SQRT((1-AZ954)*($AN$11-$AL$11)*($AN$11-$AM$11))),$AM$11)</f>
        <v/>
      </c>
      <c r="AR954">
        <f>SUMPRODUCT((B24:B31&lt;=$B$6)*(C24:C31*AM954+D24:D31*AO954*$B$8*AQ954)/(1+AL954/100)^B24:B31)+C32*AM954*AP954/(1+AL954/100)^$B$6</f>
        <v/>
      </c>
      <c r="AS954">
        <f>SUMPRODUCT((K24:K26&lt;=$B$6)*(L24:L26*AN954+M24:M26*AO954*$B$8*AQ954)/(1+AL954/100)^K24:K26)+L27*AN954*AP954/(1+AL954/100)^$B$6</f>
        <v/>
      </c>
      <c r="AT954">
        <f>AS954-AR954</f>
        <v/>
      </c>
      <c r="AU954">
        <f>RAND()</f>
        <v/>
      </c>
      <c r="AV954">
        <f>RAND()</f>
        <v/>
      </c>
      <c r="AW954">
        <f>RAND()</f>
        <v/>
      </c>
      <c r="AX954">
        <f>RAND()</f>
        <v/>
      </c>
      <c r="AY954">
        <f>RAND()</f>
        <v/>
      </c>
      <c r="AZ954">
        <f>RAND()</f>
        <v/>
      </c>
    </row>
    <row r="955">
      <c r="AK955" t="n">
        <v>942</v>
      </c>
      <c r="AL955">
        <f>IFERROR(IF(AU955&lt;($AM$6-$AL$6)/($AN$6-$AL$6),$AL$6+SQRT(AU955*($AN$6-$AL$6)*($AM$6-$AL$6)),$AN$6-SQRT((1-AU955)*($AN$6-$AL$6)*($AN$6-$AM$6))),$AM$6)</f>
        <v/>
      </c>
      <c r="AM955">
        <f>IFERROR(IF(AV955&lt;($AM$7-$AL$7)/($AN$7-$AL$7),$AL$7+SQRT(AV955*($AN$7-$AL$7)*($AM$7-$AL$7)),$AN$7-SQRT((1-AV955)*($AN$7-$AL$7)*($AN$7-$AM$7))),$AM$7)</f>
        <v/>
      </c>
      <c r="AN955">
        <f>IFERROR(IF(AW955&lt;($AM$8-$AL$8)/($AN$8-$AL$8),$AL$8+SQRT(AW955*($AN$8-$AL$8)*($AM$8-$AL$8)),$AN$8-SQRT((1-AW955)*($AN$8-$AL$8)*($AN$8-$AM$8))),$AM$8)</f>
        <v/>
      </c>
      <c r="AO955">
        <f>IFERROR(IF(AX955&lt;($AM$9-$AL$9)/($AN$9-$AL$9),$AL$9+SQRT(AX955*($AN$9-$AL$9)*($AM$9-$AL$9)),$AN$9-SQRT((1-AX955)*($AN$9-$AL$9)*($AN$9-$AM$9))),$AM$9)</f>
        <v/>
      </c>
      <c r="AP955">
        <f>IFERROR(IF(AY955&lt;($AM$10-$AL$10)/($AN$10-$AL$10),$AL$10+SQRT(AY955*($AN$10-$AL$10)*($AM$10-$AL$10)),$AN$10-SQRT((1-AY955)*($AN$10-$AL$10)*($AN$10-$AM$10))),$AM$10)</f>
        <v/>
      </c>
      <c r="AQ955">
        <f>IFERROR(IF(AZ955&lt;($AM$11-$AL$11)/($AN$11-$AL$11),$AL$11+SQRT(AZ955*($AN$11-$AL$11)*($AM$11-$AL$11)),$AN$11-SQRT((1-AZ955)*($AN$11-$AL$11)*($AN$11-$AM$11))),$AM$11)</f>
        <v/>
      </c>
      <c r="AR955">
        <f>SUMPRODUCT((B24:B31&lt;=$B$6)*(C24:C31*AM955+D24:D31*AO955*$B$8*AQ955)/(1+AL955/100)^B24:B31)+C32*AM955*AP955/(1+AL955/100)^$B$6</f>
        <v/>
      </c>
      <c r="AS955">
        <f>SUMPRODUCT((K24:K26&lt;=$B$6)*(L24:L26*AN955+M24:M26*AO955*$B$8*AQ955)/(1+AL955/100)^K24:K26)+L27*AN955*AP955/(1+AL955/100)^$B$6</f>
        <v/>
      </c>
      <c r="AT955">
        <f>AS955-AR955</f>
        <v/>
      </c>
      <c r="AU955">
        <f>RAND()</f>
        <v/>
      </c>
      <c r="AV955">
        <f>RAND()</f>
        <v/>
      </c>
      <c r="AW955">
        <f>RAND()</f>
        <v/>
      </c>
      <c r="AX955">
        <f>RAND()</f>
        <v/>
      </c>
      <c r="AY955">
        <f>RAND()</f>
        <v/>
      </c>
      <c r="AZ955">
        <f>RAND()</f>
        <v/>
      </c>
    </row>
    <row r="956">
      <c r="AK956" t="n">
        <v>943</v>
      </c>
      <c r="AL956">
        <f>IFERROR(IF(AU956&lt;($AM$6-$AL$6)/($AN$6-$AL$6),$AL$6+SQRT(AU956*($AN$6-$AL$6)*($AM$6-$AL$6)),$AN$6-SQRT((1-AU956)*($AN$6-$AL$6)*($AN$6-$AM$6))),$AM$6)</f>
        <v/>
      </c>
      <c r="AM956">
        <f>IFERROR(IF(AV956&lt;($AM$7-$AL$7)/($AN$7-$AL$7),$AL$7+SQRT(AV956*($AN$7-$AL$7)*($AM$7-$AL$7)),$AN$7-SQRT((1-AV956)*($AN$7-$AL$7)*($AN$7-$AM$7))),$AM$7)</f>
        <v/>
      </c>
      <c r="AN956">
        <f>IFERROR(IF(AW956&lt;($AM$8-$AL$8)/($AN$8-$AL$8),$AL$8+SQRT(AW956*($AN$8-$AL$8)*($AM$8-$AL$8)),$AN$8-SQRT((1-AW956)*($AN$8-$AL$8)*($AN$8-$AM$8))),$AM$8)</f>
        <v/>
      </c>
      <c r="AO956">
        <f>IFERROR(IF(AX956&lt;($AM$9-$AL$9)/($AN$9-$AL$9),$AL$9+SQRT(AX956*($AN$9-$AL$9)*($AM$9-$AL$9)),$AN$9-SQRT((1-AX956)*($AN$9-$AL$9)*($AN$9-$AM$9))),$AM$9)</f>
        <v/>
      </c>
      <c r="AP956">
        <f>IFERROR(IF(AY956&lt;($AM$10-$AL$10)/($AN$10-$AL$10),$AL$10+SQRT(AY956*($AN$10-$AL$10)*($AM$10-$AL$10)),$AN$10-SQRT((1-AY956)*($AN$10-$AL$10)*($AN$10-$AM$10))),$AM$10)</f>
        <v/>
      </c>
      <c r="AQ956">
        <f>IFERROR(IF(AZ956&lt;($AM$11-$AL$11)/($AN$11-$AL$11),$AL$11+SQRT(AZ956*($AN$11-$AL$11)*($AM$11-$AL$11)),$AN$11-SQRT((1-AZ956)*($AN$11-$AL$11)*($AN$11-$AM$11))),$AM$11)</f>
        <v/>
      </c>
      <c r="AR956">
        <f>SUMPRODUCT((B24:B31&lt;=$B$6)*(C24:C31*AM956+D24:D31*AO956*$B$8*AQ956)/(1+AL956/100)^B24:B31)+C32*AM956*AP956/(1+AL956/100)^$B$6</f>
        <v/>
      </c>
      <c r="AS956">
        <f>SUMPRODUCT((K24:K26&lt;=$B$6)*(L24:L26*AN956+M24:M26*AO956*$B$8*AQ956)/(1+AL956/100)^K24:K26)+L27*AN956*AP956/(1+AL956/100)^$B$6</f>
        <v/>
      </c>
      <c r="AT956">
        <f>AS956-AR956</f>
        <v/>
      </c>
      <c r="AU956">
        <f>RAND()</f>
        <v/>
      </c>
      <c r="AV956">
        <f>RAND()</f>
        <v/>
      </c>
      <c r="AW956">
        <f>RAND()</f>
        <v/>
      </c>
      <c r="AX956">
        <f>RAND()</f>
        <v/>
      </c>
      <c r="AY956">
        <f>RAND()</f>
        <v/>
      </c>
      <c r="AZ956">
        <f>RAND()</f>
        <v/>
      </c>
    </row>
    <row r="957">
      <c r="AK957" t="n">
        <v>944</v>
      </c>
      <c r="AL957">
        <f>IFERROR(IF(AU957&lt;($AM$6-$AL$6)/($AN$6-$AL$6),$AL$6+SQRT(AU957*($AN$6-$AL$6)*($AM$6-$AL$6)),$AN$6-SQRT((1-AU957)*($AN$6-$AL$6)*($AN$6-$AM$6))),$AM$6)</f>
        <v/>
      </c>
      <c r="AM957">
        <f>IFERROR(IF(AV957&lt;($AM$7-$AL$7)/($AN$7-$AL$7),$AL$7+SQRT(AV957*($AN$7-$AL$7)*($AM$7-$AL$7)),$AN$7-SQRT((1-AV957)*($AN$7-$AL$7)*($AN$7-$AM$7))),$AM$7)</f>
        <v/>
      </c>
      <c r="AN957">
        <f>IFERROR(IF(AW957&lt;($AM$8-$AL$8)/($AN$8-$AL$8),$AL$8+SQRT(AW957*($AN$8-$AL$8)*($AM$8-$AL$8)),$AN$8-SQRT((1-AW957)*($AN$8-$AL$8)*($AN$8-$AM$8))),$AM$8)</f>
        <v/>
      </c>
      <c r="AO957">
        <f>IFERROR(IF(AX957&lt;($AM$9-$AL$9)/($AN$9-$AL$9),$AL$9+SQRT(AX957*($AN$9-$AL$9)*($AM$9-$AL$9)),$AN$9-SQRT((1-AX957)*($AN$9-$AL$9)*($AN$9-$AM$9))),$AM$9)</f>
        <v/>
      </c>
      <c r="AP957">
        <f>IFERROR(IF(AY957&lt;($AM$10-$AL$10)/($AN$10-$AL$10),$AL$10+SQRT(AY957*($AN$10-$AL$10)*($AM$10-$AL$10)),$AN$10-SQRT((1-AY957)*($AN$10-$AL$10)*($AN$10-$AM$10))),$AM$10)</f>
        <v/>
      </c>
      <c r="AQ957">
        <f>IFERROR(IF(AZ957&lt;($AM$11-$AL$11)/($AN$11-$AL$11),$AL$11+SQRT(AZ957*($AN$11-$AL$11)*($AM$11-$AL$11)),$AN$11-SQRT((1-AZ957)*($AN$11-$AL$11)*($AN$11-$AM$11))),$AM$11)</f>
        <v/>
      </c>
      <c r="AR957">
        <f>SUMPRODUCT((B24:B31&lt;=$B$6)*(C24:C31*AM957+D24:D31*AO957*$B$8*AQ957)/(1+AL957/100)^B24:B31)+C32*AM957*AP957/(1+AL957/100)^$B$6</f>
        <v/>
      </c>
      <c r="AS957">
        <f>SUMPRODUCT((K24:K26&lt;=$B$6)*(L24:L26*AN957+M24:M26*AO957*$B$8*AQ957)/(1+AL957/100)^K24:K26)+L27*AN957*AP957/(1+AL957/100)^$B$6</f>
        <v/>
      </c>
      <c r="AT957">
        <f>AS957-AR957</f>
        <v/>
      </c>
      <c r="AU957">
        <f>RAND()</f>
        <v/>
      </c>
      <c r="AV957">
        <f>RAND()</f>
        <v/>
      </c>
      <c r="AW957">
        <f>RAND()</f>
        <v/>
      </c>
      <c r="AX957">
        <f>RAND()</f>
        <v/>
      </c>
      <c r="AY957">
        <f>RAND()</f>
        <v/>
      </c>
      <c r="AZ957">
        <f>RAND()</f>
        <v/>
      </c>
    </row>
    <row r="958">
      <c r="AK958" t="n">
        <v>945</v>
      </c>
      <c r="AL958">
        <f>IFERROR(IF(AU958&lt;($AM$6-$AL$6)/($AN$6-$AL$6),$AL$6+SQRT(AU958*($AN$6-$AL$6)*($AM$6-$AL$6)),$AN$6-SQRT((1-AU958)*($AN$6-$AL$6)*($AN$6-$AM$6))),$AM$6)</f>
        <v/>
      </c>
      <c r="AM958">
        <f>IFERROR(IF(AV958&lt;($AM$7-$AL$7)/($AN$7-$AL$7),$AL$7+SQRT(AV958*($AN$7-$AL$7)*($AM$7-$AL$7)),$AN$7-SQRT((1-AV958)*($AN$7-$AL$7)*($AN$7-$AM$7))),$AM$7)</f>
        <v/>
      </c>
      <c r="AN958">
        <f>IFERROR(IF(AW958&lt;($AM$8-$AL$8)/($AN$8-$AL$8),$AL$8+SQRT(AW958*($AN$8-$AL$8)*($AM$8-$AL$8)),$AN$8-SQRT((1-AW958)*($AN$8-$AL$8)*($AN$8-$AM$8))),$AM$8)</f>
        <v/>
      </c>
      <c r="AO958">
        <f>IFERROR(IF(AX958&lt;($AM$9-$AL$9)/($AN$9-$AL$9),$AL$9+SQRT(AX958*($AN$9-$AL$9)*($AM$9-$AL$9)),$AN$9-SQRT((1-AX958)*($AN$9-$AL$9)*($AN$9-$AM$9))),$AM$9)</f>
        <v/>
      </c>
      <c r="AP958">
        <f>IFERROR(IF(AY958&lt;($AM$10-$AL$10)/($AN$10-$AL$10),$AL$10+SQRT(AY958*($AN$10-$AL$10)*($AM$10-$AL$10)),$AN$10-SQRT((1-AY958)*($AN$10-$AL$10)*($AN$10-$AM$10))),$AM$10)</f>
        <v/>
      </c>
      <c r="AQ958">
        <f>IFERROR(IF(AZ958&lt;($AM$11-$AL$11)/($AN$11-$AL$11),$AL$11+SQRT(AZ958*($AN$11-$AL$11)*($AM$11-$AL$11)),$AN$11-SQRT((1-AZ958)*($AN$11-$AL$11)*($AN$11-$AM$11))),$AM$11)</f>
        <v/>
      </c>
      <c r="AR958">
        <f>SUMPRODUCT((B24:B31&lt;=$B$6)*(C24:C31*AM958+D24:D31*AO958*$B$8*AQ958)/(1+AL958/100)^B24:B31)+C32*AM958*AP958/(1+AL958/100)^$B$6</f>
        <v/>
      </c>
      <c r="AS958">
        <f>SUMPRODUCT((K24:K26&lt;=$B$6)*(L24:L26*AN958+M24:M26*AO958*$B$8*AQ958)/(1+AL958/100)^K24:K26)+L27*AN958*AP958/(1+AL958/100)^$B$6</f>
        <v/>
      </c>
      <c r="AT958">
        <f>AS958-AR958</f>
        <v/>
      </c>
      <c r="AU958">
        <f>RAND()</f>
        <v/>
      </c>
      <c r="AV958">
        <f>RAND()</f>
        <v/>
      </c>
      <c r="AW958">
        <f>RAND()</f>
        <v/>
      </c>
      <c r="AX958">
        <f>RAND()</f>
        <v/>
      </c>
      <c r="AY958">
        <f>RAND()</f>
        <v/>
      </c>
      <c r="AZ958">
        <f>RAND()</f>
        <v/>
      </c>
    </row>
    <row r="959">
      <c r="AK959" t="n">
        <v>946</v>
      </c>
      <c r="AL959">
        <f>IFERROR(IF(AU959&lt;($AM$6-$AL$6)/($AN$6-$AL$6),$AL$6+SQRT(AU959*($AN$6-$AL$6)*($AM$6-$AL$6)),$AN$6-SQRT((1-AU959)*($AN$6-$AL$6)*($AN$6-$AM$6))),$AM$6)</f>
        <v/>
      </c>
      <c r="AM959">
        <f>IFERROR(IF(AV959&lt;($AM$7-$AL$7)/($AN$7-$AL$7),$AL$7+SQRT(AV959*($AN$7-$AL$7)*($AM$7-$AL$7)),$AN$7-SQRT((1-AV959)*($AN$7-$AL$7)*($AN$7-$AM$7))),$AM$7)</f>
        <v/>
      </c>
      <c r="AN959">
        <f>IFERROR(IF(AW959&lt;($AM$8-$AL$8)/($AN$8-$AL$8),$AL$8+SQRT(AW959*($AN$8-$AL$8)*($AM$8-$AL$8)),$AN$8-SQRT((1-AW959)*($AN$8-$AL$8)*($AN$8-$AM$8))),$AM$8)</f>
        <v/>
      </c>
      <c r="AO959">
        <f>IFERROR(IF(AX959&lt;($AM$9-$AL$9)/($AN$9-$AL$9),$AL$9+SQRT(AX959*($AN$9-$AL$9)*($AM$9-$AL$9)),$AN$9-SQRT((1-AX959)*($AN$9-$AL$9)*($AN$9-$AM$9))),$AM$9)</f>
        <v/>
      </c>
      <c r="AP959">
        <f>IFERROR(IF(AY959&lt;($AM$10-$AL$10)/($AN$10-$AL$10),$AL$10+SQRT(AY959*($AN$10-$AL$10)*($AM$10-$AL$10)),$AN$10-SQRT((1-AY959)*($AN$10-$AL$10)*($AN$10-$AM$10))),$AM$10)</f>
        <v/>
      </c>
      <c r="AQ959">
        <f>IFERROR(IF(AZ959&lt;($AM$11-$AL$11)/($AN$11-$AL$11),$AL$11+SQRT(AZ959*($AN$11-$AL$11)*($AM$11-$AL$11)),$AN$11-SQRT((1-AZ959)*($AN$11-$AL$11)*($AN$11-$AM$11))),$AM$11)</f>
        <v/>
      </c>
      <c r="AR959">
        <f>SUMPRODUCT((B24:B31&lt;=$B$6)*(C24:C31*AM959+D24:D31*AO959*$B$8*AQ959)/(1+AL959/100)^B24:B31)+C32*AM959*AP959/(1+AL959/100)^$B$6</f>
        <v/>
      </c>
      <c r="AS959">
        <f>SUMPRODUCT((K24:K26&lt;=$B$6)*(L24:L26*AN959+M24:M26*AO959*$B$8*AQ959)/(1+AL959/100)^K24:K26)+L27*AN959*AP959/(1+AL959/100)^$B$6</f>
        <v/>
      </c>
      <c r="AT959">
        <f>AS959-AR959</f>
        <v/>
      </c>
      <c r="AU959">
        <f>RAND()</f>
        <v/>
      </c>
      <c r="AV959">
        <f>RAND()</f>
        <v/>
      </c>
      <c r="AW959">
        <f>RAND()</f>
        <v/>
      </c>
      <c r="AX959">
        <f>RAND()</f>
        <v/>
      </c>
      <c r="AY959">
        <f>RAND()</f>
        <v/>
      </c>
      <c r="AZ959">
        <f>RAND()</f>
        <v/>
      </c>
    </row>
    <row r="960">
      <c r="AK960" t="n">
        <v>947</v>
      </c>
      <c r="AL960">
        <f>IFERROR(IF(AU960&lt;($AM$6-$AL$6)/($AN$6-$AL$6),$AL$6+SQRT(AU960*($AN$6-$AL$6)*($AM$6-$AL$6)),$AN$6-SQRT((1-AU960)*($AN$6-$AL$6)*($AN$6-$AM$6))),$AM$6)</f>
        <v/>
      </c>
      <c r="AM960">
        <f>IFERROR(IF(AV960&lt;($AM$7-$AL$7)/($AN$7-$AL$7),$AL$7+SQRT(AV960*($AN$7-$AL$7)*($AM$7-$AL$7)),$AN$7-SQRT((1-AV960)*($AN$7-$AL$7)*($AN$7-$AM$7))),$AM$7)</f>
        <v/>
      </c>
      <c r="AN960">
        <f>IFERROR(IF(AW960&lt;($AM$8-$AL$8)/($AN$8-$AL$8),$AL$8+SQRT(AW960*($AN$8-$AL$8)*($AM$8-$AL$8)),$AN$8-SQRT((1-AW960)*($AN$8-$AL$8)*($AN$8-$AM$8))),$AM$8)</f>
        <v/>
      </c>
      <c r="AO960">
        <f>IFERROR(IF(AX960&lt;($AM$9-$AL$9)/($AN$9-$AL$9),$AL$9+SQRT(AX960*($AN$9-$AL$9)*($AM$9-$AL$9)),$AN$9-SQRT((1-AX960)*($AN$9-$AL$9)*($AN$9-$AM$9))),$AM$9)</f>
        <v/>
      </c>
      <c r="AP960">
        <f>IFERROR(IF(AY960&lt;($AM$10-$AL$10)/($AN$10-$AL$10),$AL$10+SQRT(AY960*($AN$10-$AL$10)*($AM$10-$AL$10)),$AN$10-SQRT((1-AY960)*($AN$10-$AL$10)*($AN$10-$AM$10))),$AM$10)</f>
        <v/>
      </c>
      <c r="AQ960">
        <f>IFERROR(IF(AZ960&lt;($AM$11-$AL$11)/($AN$11-$AL$11),$AL$11+SQRT(AZ960*($AN$11-$AL$11)*($AM$11-$AL$11)),$AN$11-SQRT((1-AZ960)*($AN$11-$AL$11)*($AN$11-$AM$11))),$AM$11)</f>
        <v/>
      </c>
      <c r="AR960">
        <f>SUMPRODUCT((B24:B31&lt;=$B$6)*(C24:C31*AM960+D24:D31*AO960*$B$8*AQ960)/(1+AL960/100)^B24:B31)+C32*AM960*AP960/(1+AL960/100)^$B$6</f>
        <v/>
      </c>
      <c r="AS960">
        <f>SUMPRODUCT((K24:K26&lt;=$B$6)*(L24:L26*AN960+M24:M26*AO960*$B$8*AQ960)/(1+AL960/100)^K24:K26)+L27*AN960*AP960/(1+AL960/100)^$B$6</f>
        <v/>
      </c>
      <c r="AT960">
        <f>AS960-AR960</f>
        <v/>
      </c>
      <c r="AU960">
        <f>RAND()</f>
        <v/>
      </c>
      <c r="AV960">
        <f>RAND()</f>
        <v/>
      </c>
      <c r="AW960">
        <f>RAND()</f>
        <v/>
      </c>
      <c r="AX960">
        <f>RAND()</f>
        <v/>
      </c>
      <c r="AY960">
        <f>RAND()</f>
        <v/>
      </c>
      <c r="AZ960">
        <f>RAND()</f>
        <v/>
      </c>
    </row>
    <row r="961">
      <c r="AK961" t="n">
        <v>948</v>
      </c>
      <c r="AL961">
        <f>IFERROR(IF(AU961&lt;($AM$6-$AL$6)/($AN$6-$AL$6),$AL$6+SQRT(AU961*($AN$6-$AL$6)*($AM$6-$AL$6)),$AN$6-SQRT((1-AU961)*($AN$6-$AL$6)*($AN$6-$AM$6))),$AM$6)</f>
        <v/>
      </c>
      <c r="AM961">
        <f>IFERROR(IF(AV961&lt;($AM$7-$AL$7)/($AN$7-$AL$7),$AL$7+SQRT(AV961*($AN$7-$AL$7)*($AM$7-$AL$7)),$AN$7-SQRT((1-AV961)*($AN$7-$AL$7)*($AN$7-$AM$7))),$AM$7)</f>
        <v/>
      </c>
      <c r="AN961">
        <f>IFERROR(IF(AW961&lt;($AM$8-$AL$8)/($AN$8-$AL$8),$AL$8+SQRT(AW961*($AN$8-$AL$8)*($AM$8-$AL$8)),$AN$8-SQRT((1-AW961)*($AN$8-$AL$8)*($AN$8-$AM$8))),$AM$8)</f>
        <v/>
      </c>
      <c r="AO961">
        <f>IFERROR(IF(AX961&lt;($AM$9-$AL$9)/($AN$9-$AL$9),$AL$9+SQRT(AX961*($AN$9-$AL$9)*($AM$9-$AL$9)),$AN$9-SQRT((1-AX961)*($AN$9-$AL$9)*($AN$9-$AM$9))),$AM$9)</f>
        <v/>
      </c>
      <c r="AP961">
        <f>IFERROR(IF(AY961&lt;($AM$10-$AL$10)/($AN$10-$AL$10),$AL$10+SQRT(AY961*($AN$10-$AL$10)*($AM$10-$AL$10)),$AN$10-SQRT((1-AY961)*($AN$10-$AL$10)*($AN$10-$AM$10))),$AM$10)</f>
        <v/>
      </c>
      <c r="AQ961">
        <f>IFERROR(IF(AZ961&lt;($AM$11-$AL$11)/($AN$11-$AL$11),$AL$11+SQRT(AZ961*($AN$11-$AL$11)*($AM$11-$AL$11)),$AN$11-SQRT((1-AZ961)*($AN$11-$AL$11)*($AN$11-$AM$11))),$AM$11)</f>
        <v/>
      </c>
      <c r="AR961">
        <f>SUMPRODUCT((B24:B31&lt;=$B$6)*(C24:C31*AM961+D24:D31*AO961*$B$8*AQ961)/(1+AL961/100)^B24:B31)+C32*AM961*AP961/(1+AL961/100)^$B$6</f>
        <v/>
      </c>
      <c r="AS961">
        <f>SUMPRODUCT((K24:K26&lt;=$B$6)*(L24:L26*AN961+M24:M26*AO961*$B$8*AQ961)/(1+AL961/100)^K24:K26)+L27*AN961*AP961/(1+AL961/100)^$B$6</f>
        <v/>
      </c>
      <c r="AT961">
        <f>AS961-AR961</f>
        <v/>
      </c>
      <c r="AU961">
        <f>RAND()</f>
        <v/>
      </c>
      <c r="AV961">
        <f>RAND()</f>
        <v/>
      </c>
      <c r="AW961">
        <f>RAND()</f>
        <v/>
      </c>
      <c r="AX961">
        <f>RAND()</f>
        <v/>
      </c>
      <c r="AY961">
        <f>RAND()</f>
        <v/>
      </c>
      <c r="AZ961">
        <f>RAND()</f>
        <v/>
      </c>
    </row>
    <row r="962">
      <c r="AK962" t="n">
        <v>949</v>
      </c>
      <c r="AL962">
        <f>IFERROR(IF(AU962&lt;($AM$6-$AL$6)/($AN$6-$AL$6),$AL$6+SQRT(AU962*($AN$6-$AL$6)*($AM$6-$AL$6)),$AN$6-SQRT((1-AU962)*($AN$6-$AL$6)*($AN$6-$AM$6))),$AM$6)</f>
        <v/>
      </c>
      <c r="AM962">
        <f>IFERROR(IF(AV962&lt;($AM$7-$AL$7)/($AN$7-$AL$7),$AL$7+SQRT(AV962*($AN$7-$AL$7)*($AM$7-$AL$7)),$AN$7-SQRT((1-AV962)*($AN$7-$AL$7)*($AN$7-$AM$7))),$AM$7)</f>
        <v/>
      </c>
      <c r="AN962">
        <f>IFERROR(IF(AW962&lt;($AM$8-$AL$8)/($AN$8-$AL$8),$AL$8+SQRT(AW962*($AN$8-$AL$8)*($AM$8-$AL$8)),$AN$8-SQRT((1-AW962)*($AN$8-$AL$8)*($AN$8-$AM$8))),$AM$8)</f>
        <v/>
      </c>
      <c r="AO962">
        <f>IFERROR(IF(AX962&lt;($AM$9-$AL$9)/($AN$9-$AL$9),$AL$9+SQRT(AX962*($AN$9-$AL$9)*($AM$9-$AL$9)),$AN$9-SQRT((1-AX962)*($AN$9-$AL$9)*($AN$9-$AM$9))),$AM$9)</f>
        <v/>
      </c>
      <c r="AP962">
        <f>IFERROR(IF(AY962&lt;($AM$10-$AL$10)/($AN$10-$AL$10),$AL$10+SQRT(AY962*($AN$10-$AL$10)*($AM$10-$AL$10)),$AN$10-SQRT((1-AY962)*($AN$10-$AL$10)*($AN$10-$AM$10))),$AM$10)</f>
        <v/>
      </c>
      <c r="AQ962">
        <f>IFERROR(IF(AZ962&lt;($AM$11-$AL$11)/($AN$11-$AL$11),$AL$11+SQRT(AZ962*($AN$11-$AL$11)*($AM$11-$AL$11)),$AN$11-SQRT((1-AZ962)*($AN$11-$AL$11)*($AN$11-$AM$11))),$AM$11)</f>
        <v/>
      </c>
      <c r="AR962">
        <f>SUMPRODUCT((B24:B31&lt;=$B$6)*(C24:C31*AM962+D24:D31*AO962*$B$8*AQ962)/(1+AL962/100)^B24:B31)+C32*AM962*AP962/(1+AL962/100)^$B$6</f>
        <v/>
      </c>
      <c r="AS962">
        <f>SUMPRODUCT((K24:K26&lt;=$B$6)*(L24:L26*AN962+M24:M26*AO962*$B$8*AQ962)/(1+AL962/100)^K24:K26)+L27*AN962*AP962/(1+AL962/100)^$B$6</f>
        <v/>
      </c>
      <c r="AT962">
        <f>AS962-AR962</f>
        <v/>
      </c>
      <c r="AU962">
        <f>RAND()</f>
        <v/>
      </c>
      <c r="AV962">
        <f>RAND()</f>
        <v/>
      </c>
      <c r="AW962">
        <f>RAND()</f>
        <v/>
      </c>
      <c r="AX962">
        <f>RAND()</f>
        <v/>
      </c>
      <c r="AY962">
        <f>RAND()</f>
        <v/>
      </c>
      <c r="AZ962">
        <f>RAND()</f>
        <v/>
      </c>
    </row>
    <row r="963">
      <c r="AK963" t="n">
        <v>950</v>
      </c>
      <c r="AL963">
        <f>IFERROR(IF(AU963&lt;($AM$6-$AL$6)/($AN$6-$AL$6),$AL$6+SQRT(AU963*($AN$6-$AL$6)*($AM$6-$AL$6)),$AN$6-SQRT((1-AU963)*($AN$6-$AL$6)*($AN$6-$AM$6))),$AM$6)</f>
        <v/>
      </c>
      <c r="AM963">
        <f>IFERROR(IF(AV963&lt;($AM$7-$AL$7)/($AN$7-$AL$7),$AL$7+SQRT(AV963*($AN$7-$AL$7)*($AM$7-$AL$7)),$AN$7-SQRT((1-AV963)*($AN$7-$AL$7)*($AN$7-$AM$7))),$AM$7)</f>
        <v/>
      </c>
      <c r="AN963">
        <f>IFERROR(IF(AW963&lt;($AM$8-$AL$8)/($AN$8-$AL$8),$AL$8+SQRT(AW963*($AN$8-$AL$8)*($AM$8-$AL$8)),$AN$8-SQRT((1-AW963)*($AN$8-$AL$8)*($AN$8-$AM$8))),$AM$8)</f>
        <v/>
      </c>
      <c r="AO963">
        <f>IFERROR(IF(AX963&lt;($AM$9-$AL$9)/($AN$9-$AL$9),$AL$9+SQRT(AX963*($AN$9-$AL$9)*($AM$9-$AL$9)),$AN$9-SQRT((1-AX963)*($AN$9-$AL$9)*($AN$9-$AM$9))),$AM$9)</f>
        <v/>
      </c>
      <c r="AP963">
        <f>IFERROR(IF(AY963&lt;($AM$10-$AL$10)/($AN$10-$AL$10),$AL$10+SQRT(AY963*($AN$10-$AL$10)*($AM$10-$AL$10)),$AN$10-SQRT((1-AY963)*($AN$10-$AL$10)*($AN$10-$AM$10))),$AM$10)</f>
        <v/>
      </c>
      <c r="AQ963">
        <f>IFERROR(IF(AZ963&lt;($AM$11-$AL$11)/($AN$11-$AL$11),$AL$11+SQRT(AZ963*($AN$11-$AL$11)*($AM$11-$AL$11)),$AN$11-SQRT((1-AZ963)*($AN$11-$AL$11)*($AN$11-$AM$11))),$AM$11)</f>
        <v/>
      </c>
      <c r="AR963">
        <f>SUMPRODUCT((B24:B31&lt;=$B$6)*(C24:C31*AM963+D24:D31*AO963*$B$8*AQ963)/(1+AL963/100)^B24:B31)+C32*AM963*AP963/(1+AL963/100)^$B$6</f>
        <v/>
      </c>
      <c r="AS963">
        <f>SUMPRODUCT((K24:K26&lt;=$B$6)*(L24:L26*AN963+M24:M26*AO963*$B$8*AQ963)/(1+AL963/100)^K24:K26)+L27*AN963*AP963/(1+AL963/100)^$B$6</f>
        <v/>
      </c>
      <c r="AT963">
        <f>AS963-AR963</f>
        <v/>
      </c>
      <c r="AU963">
        <f>RAND()</f>
        <v/>
      </c>
      <c r="AV963">
        <f>RAND()</f>
        <v/>
      </c>
      <c r="AW963">
        <f>RAND()</f>
        <v/>
      </c>
      <c r="AX963">
        <f>RAND()</f>
        <v/>
      </c>
      <c r="AY963">
        <f>RAND()</f>
        <v/>
      </c>
      <c r="AZ963">
        <f>RAND()</f>
        <v/>
      </c>
    </row>
    <row r="964">
      <c r="AK964" t="n">
        <v>951</v>
      </c>
      <c r="AL964">
        <f>IFERROR(IF(AU964&lt;($AM$6-$AL$6)/($AN$6-$AL$6),$AL$6+SQRT(AU964*($AN$6-$AL$6)*($AM$6-$AL$6)),$AN$6-SQRT((1-AU964)*($AN$6-$AL$6)*($AN$6-$AM$6))),$AM$6)</f>
        <v/>
      </c>
      <c r="AM964">
        <f>IFERROR(IF(AV964&lt;($AM$7-$AL$7)/($AN$7-$AL$7),$AL$7+SQRT(AV964*($AN$7-$AL$7)*($AM$7-$AL$7)),$AN$7-SQRT((1-AV964)*($AN$7-$AL$7)*($AN$7-$AM$7))),$AM$7)</f>
        <v/>
      </c>
      <c r="AN964">
        <f>IFERROR(IF(AW964&lt;($AM$8-$AL$8)/($AN$8-$AL$8),$AL$8+SQRT(AW964*($AN$8-$AL$8)*($AM$8-$AL$8)),$AN$8-SQRT((1-AW964)*($AN$8-$AL$8)*($AN$8-$AM$8))),$AM$8)</f>
        <v/>
      </c>
      <c r="AO964">
        <f>IFERROR(IF(AX964&lt;($AM$9-$AL$9)/($AN$9-$AL$9),$AL$9+SQRT(AX964*($AN$9-$AL$9)*($AM$9-$AL$9)),$AN$9-SQRT((1-AX964)*($AN$9-$AL$9)*($AN$9-$AM$9))),$AM$9)</f>
        <v/>
      </c>
      <c r="AP964">
        <f>IFERROR(IF(AY964&lt;($AM$10-$AL$10)/($AN$10-$AL$10),$AL$10+SQRT(AY964*($AN$10-$AL$10)*($AM$10-$AL$10)),$AN$10-SQRT((1-AY964)*($AN$10-$AL$10)*($AN$10-$AM$10))),$AM$10)</f>
        <v/>
      </c>
      <c r="AQ964">
        <f>IFERROR(IF(AZ964&lt;($AM$11-$AL$11)/($AN$11-$AL$11),$AL$11+SQRT(AZ964*($AN$11-$AL$11)*($AM$11-$AL$11)),$AN$11-SQRT((1-AZ964)*($AN$11-$AL$11)*($AN$11-$AM$11))),$AM$11)</f>
        <v/>
      </c>
      <c r="AR964">
        <f>SUMPRODUCT((B24:B31&lt;=$B$6)*(C24:C31*AM964+D24:D31*AO964*$B$8*AQ964)/(1+AL964/100)^B24:B31)+C32*AM964*AP964/(1+AL964/100)^$B$6</f>
        <v/>
      </c>
      <c r="AS964">
        <f>SUMPRODUCT((K24:K26&lt;=$B$6)*(L24:L26*AN964+M24:M26*AO964*$B$8*AQ964)/(1+AL964/100)^K24:K26)+L27*AN964*AP964/(1+AL964/100)^$B$6</f>
        <v/>
      </c>
      <c r="AT964">
        <f>AS964-AR964</f>
        <v/>
      </c>
      <c r="AU964">
        <f>RAND()</f>
        <v/>
      </c>
      <c r="AV964">
        <f>RAND()</f>
        <v/>
      </c>
      <c r="AW964">
        <f>RAND()</f>
        <v/>
      </c>
      <c r="AX964">
        <f>RAND()</f>
        <v/>
      </c>
      <c r="AY964">
        <f>RAND()</f>
        <v/>
      </c>
      <c r="AZ964">
        <f>RAND()</f>
        <v/>
      </c>
    </row>
    <row r="965">
      <c r="AK965" t="n">
        <v>952</v>
      </c>
      <c r="AL965">
        <f>IFERROR(IF(AU965&lt;($AM$6-$AL$6)/($AN$6-$AL$6),$AL$6+SQRT(AU965*($AN$6-$AL$6)*($AM$6-$AL$6)),$AN$6-SQRT((1-AU965)*($AN$6-$AL$6)*($AN$6-$AM$6))),$AM$6)</f>
        <v/>
      </c>
      <c r="AM965">
        <f>IFERROR(IF(AV965&lt;($AM$7-$AL$7)/($AN$7-$AL$7),$AL$7+SQRT(AV965*($AN$7-$AL$7)*($AM$7-$AL$7)),$AN$7-SQRT((1-AV965)*($AN$7-$AL$7)*($AN$7-$AM$7))),$AM$7)</f>
        <v/>
      </c>
      <c r="AN965">
        <f>IFERROR(IF(AW965&lt;($AM$8-$AL$8)/($AN$8-$AL$8),$AL$8+SQRT(AW965*($AN$8-$AL$8)*($AM$8-$AL$8)),$AN$8-SQRT((1-AW965)*($AN$8-$AL$8)*($AN$8-$AM$8))),$AM$8)</f>
        <v/>
      </c>
      <c r="AO965">
        <f>IFERROR(IF(AX965&lt;($AM$9-$AL$9)/($AN$9-$AL$9),$AL$9+SQRT(AX965*($AN$9-$AL$9)*($AM$9-$AL$9)),$AN$9-SQRT((1-AX965)*($AN$9-$AL$9)*($AN$9-$AM$9))),$AM$9)</f>
        <v/>
      </c>
      <c r="AP965">
        <f>IFERROR(IF(AY965&lt;($AM$10-$AL$10)/($AN$10-$AL$10),$AL$10+SQRT(AY965*($AN$10-$AL$10)*($AM$10-$AL$10)),$AN$10-SQRT((1-AY965)*($AN$10-$AL$10)*($AN$10-$AM$10))),$AM$10)</f>
        <v/>
      </c>
      <c r="AQ965">
        <f>IFERROR(IF(AZ965&lt;($AM$11-$AL$11)/($AN$11-$AL$11),$AL$11+SQRT(AZ965*($AN$11-$AL$11)*($AM$11-$AL$11)),$AN$11-SQRT((1-AZ965)*($AN$11-$AL$11)*($AN$11-$AM$11))),$AM$11)</f>
        <v/>
      </c>
      <c r="AR965">
        <f>SUMPRODUCT((B24:B31&lt;=$B$6)*(C24:C31*AM965+D24:D31*AO965*$B$8*AQ965)/(1+AL965/100)^B24:B31)+C32*AM965*AP965/(1+AL965/100)^$B$6</f>
        <v/>
      </c>
      <c r="AS965">
        <f>SUMPRODUCT((K24:K26&lt;=$B$6)*(L24:L26*AN965+M24:M26*AO965*$B$8*AQ965)/(1+AL965/100)^K24:K26)+L27*AN965*AP965/(1+AL965/100)^$B$6</f>
        <v/>
      </c>
      <c r="AT965">
        <f>AS965-AR965</f>
        <v/>
      </c>
      <c r="AU965">
        <f>RAND()</f>
        <v/>
      </c>
      <c r="AV965">
        <f>RAND()</f>
        <v/>
      </c>
      <c r="AW965">
        <f>RAND()</f>
        <v/>
      </c>
      <c r="AX965">
        <f>RAND()</f>
        <v/>
      </c>
      <c r="AY965">
        <f>RAND()</f>
        <v/>
      </c>
      <c r="AZ965">
        <f>RAND()</f>
        <v/>
      </c>
    </row>
    <row r="966">
      <c r="AK966" t="n">
        <v>953</v>
      </c>
      <c r="AL966">
        <f>IFERROR(IF(AU966&lt;($AM$6-$AL$6)/($AN$6-$AL$6),$AL$6+SQRT(AU966*($AN$6-$AL$6)*($AM$6-$AL$6)),$AN$6-SQRT((1-AU966)*($AN$6-$AL$6)*($AN$6-$AM$6))),$AM$6)</f>
        <v/>
      </c>
      <c r="AM966">
        <f>IFERROR(IF(AV966&lt;($AM$7-$AL$7)/($AN$7-$AL$7),$AL$7+SQRT(AV966*($AN$7-$AL$7)*($AM$7-$AL$7)),$AN$7-SQRT((1-AV966)*($AN$7-$AL$7)*($AN$7-$AM$7))),$AM$7)</f>
        <v/>
      </c>
      <c r="AN966">
        <f>IFERROR(IF(AW966&lt;($AM$8-$AL$8)/($AN$8-$AL$8),$AL$8+SQRT(AW966*($AN$8-$AL$8)*($AM$8-$AL$8)),$AN$8-SQRT((1-AW966)*($AN$8-$AL$8)*($AN$8-$AM$8))),$AM$8)</f>
        <v/>
      </c>
      <c r="AO966">
        <f>IFERROR(IF(AX966&lt;($AM$9-$AL$9)/($AN$9-$AL$9),$AL$9+SQRT(AX966*($AN$9-$AL$9)*($AM$9-$AL$9)),$AN$9-SQRT((1-AX966)*($AN$9-$AL$9)*($AN$9-$AM$9))),$AM$9)</f>
        <v/>
      </c>
      <c r="AP966">
        <f>IFERROR(IF(AY966&lt;($AM$10-$AL$10)/($AN$10-$AL$10),$AL$10+SQRT(AY966*($AN$10-$AL$10)*($AM$10-$AL$10)),$AN$10-SQRT((1-AY966)*($AN$10-$AL$10)*($AN$10-$AM$10))),$AM$10)</f>
        <v/>
      </c>
      <c r="AQ966">
        <f>IFERROR(IF(AZ966&lt;($AM$11-$AL$11)/($AN$11-$AL$11),$AL$11+SQRT(AZ966*($AN$11-$AL$11)*($AM$11-$AL$11)),$AN$11-SQRT((1-AZ966)*($AN$11-$AL$11)*($AN$11-$AM$11))),$AM$11)</f>
        <v/>
      </c>
      <c r="AR966">
        <f>SUMPRODUCT((B24:B31&lt;=$B$6)*(C24:C31*AM966+D24:D31*AO966*$B$8*AQ966)/(1+AL966/100)^B24:B31)+C32*AM966*AP966/(1+AL966/100)^$B$6</f>
        <v/>
      </c>
      <c r="AS966">
        <f>SUMPRODUCT((K24:K26&lt;=$B$6)*(L24:L26*AN966+M24:M26*AO966*$B$8*AQ966)/(1+AL966/100)^K24:K26)+L27*AN966*AP966/(1+AL966/100)^$B$6</f>
        <v/>
      </c>
      <c r="AT966">
        <f>AS966-AR966</f>
        <v/>
      </c>
      <c r="AU966">
        <f>RAND()</f>
        <v/>
      </c>
      <c r="AV966">
        <f>RAND()</f>
        <v/>
      </c>
      <c r="AW966">
        <f>RAND()</f>
        <v/>
      </c>
      <c r="AX966">
        <f>RAND()</f>
        <v/>
      </c>
      <c r="AY966">
        <f>RAND()</f>
        <v/>
      </c>
      <c r="AZ966">
        <f>RAND()</f>
        <v/>
      </c>
    </row>
    <row r="967">
      <c r="AK967" t="n">
        <v>954</v>
      </c>
      <c r="AL967">
        <f>IFERROR(IF(AU967&lt;($AM$6-$AL$6)/($AN$6-$AL$6),$AL$6+SQRT(AU967*($AN$6-$AL$6)*($AM$6-$AL$6)),$AN$6-SQRT((1-AU967)*($AN$6-$AL$6)*($AN$6-$AM$6))),$AM$6)</f>
        <v/>
      </c>
      <c r="AM967">
        <f>IFERROR(IF(AV967&lt;($AM$7-$AL$7)/($AN$7-$AL$7),$AL$7+SQRT(AV967*($AN$7-$AL$7)*($AM$7-$AL$7)),$AN$7-SQRT((1-AV967)*($AN$7-$AL$7)*($AN$7-$AM$7))),$AM$7)</f>
        <v/>
      </c>
      <c r="AN967">
        <f>IFERROR(IF(AW967&lt;($AM$8-$AL$8)/($AN$8-$AL$8),$AL$8+SQRT(AW967*($AN$8-$AL$8)*($AM$8-$AL$8)),$AN$8-SQRT((1-AW967)*($AN$8-$AL$8)*($AN$8-$AM$8))),$AM$8)</f>
        <v/>
      </c>
      <c r="AO967">
        <f>IFERROR(IF(AX967&lt;($AM$9-$AL$9)/($AN$9-$AL$9),$AL$9+SQRT(AX967*($AN$9-$AL$9)*($AM$9-$AL$9)),$AN$9-SQRT((1-AX967)*($AN$9-$AL$9)*($AN$9-$AM$9))),$AM$9)</f>
        <v/>
      </c>
      <c r="AP967">
        <f>IFERROR(IF(AY967&lt;($AM$10-$AL$10)/($AN$10-$AL$10),$AL$10+SQRT(AY967*($AN$10-$AL$10)*($AM$10-$AL$10)),$AN$10-SQRT((1-AY967)*($AN$10-$AL$10)*($AN$10-$AM$10))),$AM$10)</f>
        <v/>
      </c>
      <c r="AQ967">
        <f>IFERROR(IF(AZ967&lt;($AM$11-$AL$11)/($AN$11-$AL$11),$AL$11+SQRT(AZ967*($AN$11-$AL$11)*($AM$11-$AL$11)),$AN$11-SQRT((1-AZ967)*($AN$11-$AL$11)*($AN$11-$AM$11))),$AM$11)</f>
        <v/>
      </c>
      <c r="AR967">
        <f>SUMPRODUCT((B24:B31&lt;=$B$6)*(C24:C31*AM967+D24:D31*AO967*$B$8*AQ967)/(1+AL967/100)^B24:B31)+C32*AM967*AP967/(1+AL967/100)^$B$6</f>
        <v/>
      </c>
      <c r="AS967">
        <f>SUMPRODUCT((K24:K26&lt;=$B$6)*(L24:L26*AN967+M24:M26*AO967*$B$8*AQ967)/(1+AL967/100)^K24:K26)+L27*AN967*AP967/(1+AL967/100)^$B$6</f>
        <v/>
      </c>
      <c r="AT967">
        <f>AS967-AR967</f>
        <v/>
      </c>
      <c r="AU967">
        <f>RAND()</f>
        <v/>
      </c>
      <c r="AV967">
        <f>RAND()</f>
        <v/>
      </c>
      <c r="AW967">
        <f>RAND()</f>
        <v/>
      </c>
      <c r="AX967">
        <f>RAND()</f>
        <v/>
      </c>
      <c r="AY967">
        <f>RAND()</f>
        <v/>
      </c>
      <c r="AZ967">
        <f>RAND()</f>
        <v/>
      </c>
    </row>
    <row r="968">
      <c r="AK968" t="n">
        <v>955</v>
      </c>
      <c r="AL968">
        <f>IFERROR(IF(AU968&lt;($AM$6-$AL$6)/($AN$6-$AL$6),$AL$6+SQRT(AU968*($AN$6-$AL$6)*($AM$6-$AL$6)),$AN$6-SQRT((1-AU968)*($AN$6-$AL$6)*($AN$6-$AM$6))),$AM$6)</f>
        <v/>
      </c>
      <c r="AM968">
        <f>IFERROR(IF(AV968&lt;($AM$7-$AL$7)/($AN$7-$AL$7),$AL$7+SQRT(AV968*($AN$7-$AL$7)*($AM$7-$AL$7)),$AN$7-SQRT((1-AV968)*($AN$7-$AL$7)*($AN$7-$AM$7))),$AM$7)</f>
        <v/>
      </c>
      <c r="AN968">
        <f>IFERROR(IF(AW968&lt;($AM$8-$AL$8)/($AN$8-$AL$8),$AL$8+SQRT(AW968*($AN$8-$AL$8)*($AM$8-$AL$8)),$AN$8-SQRT((1-AW968)*($AN$8-$AL$8)*($AN$8-$AM$8))),$AM$8)</f>
        <v/>
      </c>
      <c r="AO968">
        <f>IFERROR(IF(AX968&lt;($AM$9-$AL$9)/($AN$9-$AL$9),$AL$9+SQRT(AX968*($AN$9-$AL$9)*($AM$9-$AL$9)),$AN$9-SQRT((1-AX968)*($AN$9-$AL$9)*($AN$9-$AM$9))),$AM$9)</f>
        <v/>
      </c>
      <c r="AP968">
        <f>IFERROR(IF(AY968&lt;($AM$10-$AL$10)/($AN$10-$AL$10),$AL$10+SQRT(AY968*($AN$10-$AL$10)*($AM$10-$AL$10)),$AN$10-SQRT((1-AY968)*($AN$10-$AL$10)*($AN$10-$AM$10))),$AM$10)</f>
        <v/>
      </c>
      <c r="AQ968">
        <f>IFERROR(IF(AZ968&lt;($AM$11-$AL$11)/($AN$11-$AL$11),$AL$11+SQRT(AZ968*($AN$11-$AL$11)*($AM$11-$AL$11)),$AN$11-SQRT((1-AZ968)*($AN$11-$AL$11)*($AN$11-$AM$11))),$AM$11)</f>
        <v/>
      </c>
      <c r="AR968">
        <f>SUMPRODUCT((B24:B31&lt;=$B$6)*(C24:C31*AM968+D24:D31*AO968*$B$8*AQ968)/(1+AL968/100)^B24:B31)+C32*AM968*AP968/(1+AL968/100)^$B$6</f>
        <v/>
      </c>
      <c r="AS968">
        <f>SUMPRODUCT((K24:K26&lt;=$B$6)*(L24:L26*AN968+M24:M26*AO968*$B$8*AQ968)/(1+AL968/100)^K24:K26)+L27*AN968*AP968/(1+AL968/100)^$B$6</f>
        <v/>
      </c>
      <c r="AT968">
        <f>AS968-AR968</f>
        <v/>
      </c>
      <c r="AU968">
        <f>RAND()</f>
        <v/>
      </c>
      <c r="AV968">
        <f>RAND()</f>
        <v/>
      </c>
      <c r="AW968">
        <f>RAND()</f>
        <v/>
      </c>
      <c r="AX968">
        <f>RAND()</f>
        <v/>
      </c>
      <c r="AY968">
        <f>RAND()</f>
        <v/>
      </c>
      <c r="AZ968">
        <f>RAND()</f>
        <v/>
      </c>
    </row>
    <row r="969">
      <c r="AK969" t="n">
        <v>956</v>
      </c>
      <c r="AL969">
        <f>IFERROR(IF(AU969&lt;($AM$6-$AL$6)/($AN$6-$AL$6),$AL$6+SQRT(AU969*($AN$6-$AL$6)*($AM$6-$AL$6)),$AN$6-SQRT((1-AU969)*($AN$6-$AL$6)*($AN$6-$AM$6))),$AM$6)</f>
        <v/>
      </c>
      <c r="AM969">
        <f>IFERROR(IF(AV969&lt;($AM$7-$AL$7)/($AN$7-$AL$7),$AL$7+SQRT(AV969*($AN$7-$AL$7)*($AM$7-$AL$7)),$AN$7-SQRT((1-AV969)*($AN$7-$AL$7)*($AN$7-$AM$7))),$AM$7)</f>
        <v/>
      </c>
      <c r="AN969">
        <f>IFERROR(IF(AW969&lt;($AM$8-$AL$8)/($AN$8-$AL$8),$AL$8+SQRT(AW969*($AN$8-$AL$8)*($AM$8-$AL$8)),$AN$8-SQRT((1-AW969)*($AN$8-$AL$8)*($AN$8-$AM$8))),$AM$8)</f>
        <v/>
      </c>
      <c r="AO969">
        <f>IFERROR(IF(AX969&lt;($AM$9-$AL$9)/($AN$9-$AL$9),$AL$9+SQRT(AX969*($AN$9-$AL$9)*($AM$9-$AL$9)),$AN$9-SQRT((1-AX969)*($AN$9-$AL$9)*($AN$9-$AM$9))),$AM$9)</f>
        <v/>
      </c>
      <c r="AP969">
        <f>IFERROR(IF(AY969&lt;($AM$10-$AL$10)/($AN$10-$AL$10),$AL$10+SQRT(AY969*($AN$10-$AL$10)*($AM$10-$AL$10)),$AN$10-SQRT((1-AY969)*($AN$10-$AL$10)*($AN$10-$AM$10))),$AM$10)</f>
        <v/>
      </c>
      <c r="AQ969">
        <f>IFERROR(IF(AZ969&lt;($AM$11-$AL$11)/($AN$11-$AL$11),$AL$11+SQRT(AZ969*($AN$11-$AL$11)*($AM$11-$AL$11)),$AN$11-SQRT((1-AZ969)*($AN$11-$AL$11)*($AN$11-$AM$11))),$AM$11)</f>
        <v/>
      </c>
      <c r="AR969">
        <f>SUMPRODUCT((B24:B31&lt;=$B$6)*(C24:C31*AM969+D24:D31*AO969*$B$8*AQ969)/(1+AL969/100)^B24:B31)+C32*AM969*AP969/(1+AL969/100)^$B$6</f>
        <v/>
      </c>
      <c r="AS969">
        <f>SUMPRODUCT((K24:K26&lt;=$B$6)*(L24:L26*AN969+M24:M26*AO969*$B$8*AQ969)/(1+AL969/100)^K24:K26)+L27*AN969*AP969/(1+AL969/100)^$B$6</f>
        <v/>
      </c>
      <c r="AT969">
        <f>AS969-AR969</f>
        <v/>
      </c>
      <c r="AU969">
        <f>RAND()</f>
        <v/>
      </c>
      <c r="AV969">
        <f>RAND()</f>
        <v/>
      </c>
      <c r="AW969">
        <f>RAND()</f>
        <v/>
      </c>
      <c r="AX969">
        <f>RAND()</f>
        <v/>
      </c>
      <c r="AY969">
        <f>RAND()</f>
        <v/>
      </c>
      <c r="AZ969">
        <f>RAND()</f>
        <v/>
      </c>
    </row>
    <row r="970">
      <c r="AK970" t="n">
        <v>957</v>
      </c>
      <c r="AL970">
        <f>IFERROR(IF(AU970&lt;($AM$6-$AL$6)/($AN$6-$AL$6),$AL$6+SQRT(AU970*($AN$6-$AL$6)*($AM$6-$AL$6)),$AN$6-SQRT((1-AU970)*($AN$6-$AL$6)*($AN$6-$AM$6))),$AM$6)</f>
        <v/>
      </c>
      <c r="AM970">
        <f>IFERROR(IF(AV970&lt;($AM$7-$AL$7)/($AN$7-$AL$7),$AL$7+SQRT(AV970*($AN$7-$AL$7)*($AM$7-$AL$7)),$AN$7-SQRT((1-AV970)*($AN$7-$AL$7)*($AN$7-$AM$7))),$AM$7)</f>
        <v/>
      </c>
      <c r="AN970">
        <f>IFERROR(IF(AW970&lt;($AM$8-$AL$8)/($AN$8-$AL$8),$AL$8+SQRT(AW970*($AN$8-$AL$8)*($AM$8-$AL$8)),$AN$8-SQRT((1-AW970)*($AN$8-$AL$8)*($AN$8-$AM$8))),$AM$8)</f>
        <v/>
      </c>
      <c r="AO970">
        <f>IFERROR(IF(AX970&lt;($AM$9-$AL$9)/($AN$9-$AL$9),$AL$9+SQRT(AX970*($AN$9-$AL$9)*($AM$9-$AL$9)),$AN$9-SQRT((1-AX970)*($AN$9-$AL$9)*($AN$9-$AM$9))),$AM$9)</f>
        <v/>
      </c>
      <c r="AP970">
        <f>IFERROR(IF(AY970&lt;($AM$10-$AL$10)/($AN$10-$AL$10),$AL$10+SQRT(AY970*($AN$10-$AL$10)*($AM$10-$AL$10)),$AN$10-SQRT((1-AY970)*($AN$10-$AL$10)*($AN$10-$AM$10))),$AM$10)</f>
        <v/>
      </c>
      <c r="AQ970">
        <f>IFERROR(IF(AZ970&lt;($AM$11-$AL$11)/($AN$11-$AL$11),$AL$11+SQRT(AZ970*($AN$11-$AL$11)*($AM$11-$AL$11)),$AN$11-SQRT((1-AZ970)*($AN$11-$AL$11)*($AN$11-$AM$11))),$AM$11)</f>
        <v/>
      </c>
      <c r="AR970">
        <f>SUMPRODUCT((B24:B31&lt;=$B$6)*(C24:C31*AM970+D24:D31*AO970*$B$8*AQ970)/(1+AL970/100)^B24:B31)+C32*AM970*AP970/(1+AL970/100)^$B$6</f>
        <v/>
      </c>
      <c r="AS970">
        <f>SUMPRODUCT((K24:K26&lt;=$B$6)*(L24:L26*AN970+M24:M26*AO970*$B$8*AQ970)/(1+AL970/100)^K24:K26)+L27*AN970*AP970/(1+AL970/100)^$B$6</f>
        <v/>
      </c>
      <c r="AT970">
        <f>AS970-AR970</f>
        <v/>
      </c>
      <c r="AU970">
        <f>RAND()</f>
        <v/>
      </c>
      <c r="AV970">
        <f>RAND()</f>
        <v/>
      </c>
      <c r="AW970">
        <f>RAND()</f>
        <v/>
      </c>
      <c r="AX970">
        <f>RAND()</f>
        <v/>
      </c>
      <c r="AY970">
        <f>RAND()</f>
        <v/>
      </c>
      <c r="AZ970">
        <f>RAND()</f>
        <v/>
      </c>
    </row>
    <row r="971">
      <c r="AK971" t="n">
        <v>958</v>
      </c>
      <c r="AL971">
        <f>IFERROR(IF(AU971&lt;($AM$6-$AL$6)/($AN$6-$AL$6),$AL$6+SQRT(AU971*($AN$6-$AL$6)*($AM$6-$AL$6)),$AN$6-SQRT((1-AU971)*($AN$6-$AL$6)*($AN$6-$AM$6))),$AM$6)</f>
        <v/>
      </c>
      <c r="AM971">
        <f>IFERROR(IF(AV971&lt;($AM$7-$AL$7)/($AN$7-$AL$7),$AL$7+SQRT(AV971*($AN$7-$AL$7)*($AM$7-$AL$7)),$AN$7-SQRT((1-AV971)*($AN$7-$AL$7)*($AN$7-$AM$7))),$AM$7)</f>
        <v/>
      </c>
      <c r="AN971">
        <f>IFERROR(IF(AW971&lt;($AM$8-$AL$8)/($AN$8-$AL$8),$AL$8+SQRT(AW971*($AN$8-$AL$8)*($AM$8-$AL$8)),$AN$8-SQRT((1-AW971)*($AN$8-$AL$8)*($AN$8-$AM$8))),$AM$8)</f>
        <v/>
      </c>
      <c r="AO971">
        <f>IFERROR(IF(AX971&lt;($AM$9-$AL$9)/($AN$9-$AL$9),$AL$9+SQRT(AX971*($AN$9-$AL$9)*($AM$9-$AL$9)),$AN$9-SQRT((1-AX971)*($AN$9-$AL$9)*($AN$9-$AM$9))),$AM$9)</f>
        <v/>
      </c>
      <c r="AP971">
        <f>IFERROR(IF(AY971&lt;($AM$10-$AL$10)/($AN$10-$AL$10),$AL$10+SQRT(AY971*($AN$10-$AL$10)*($AM$10-$AL$10)),$AN$10-SQRT((1-AY971)*($AN$10-$AL$10)*($AN$10-$AM$10))),$AM$10)</f>
        <v/>
      </c>
      <c r="AQ971">
        <f>IFERROR(IF(AZ971&lt;($AM$11-$AL$11)/($AN$11-$AL$11),$AL$11+SQRT(AZ971*($AN$11-$AL$11)*($AM$11-$AL$11)),$AN$11-SQRT((1-AZ971)*($AN$11-$AL$11)*($AN$11-$AM$11))),$AM$11)</f>
        <v/>
      </c>
      <c r="AR971">
        <f>SUMPRODUCT((B24:B31&lt;=$B$6)*(C24:C31*AM971+D24:D31*AO971*$B$8*AQ971)/(1+AL971/100)^B24:B31)+C32*AM971*AP971/(1+AL971/100)^$B$6</f>
        <v/>
      </c>
      <c r="AS971">
        <f>SUMPRODUCT((K24:K26&lt;=$B$6)*(L24:L26*AN971+M24:M26*AO971*$B$8*AQ971)/(1+AL971/100)^K24:K26)+L27*AN971*AP971/(1+AL971/100)^$B$6</f>
        <v/>
      </c>
      <c r="AT971">
        <f>AS971-AR971</f>
        <v/>
      </c>
      <c r="AU971">
        <f>RAND()</f>
        <v/>
      </c>
      <c r="AV971">
        <f>RAND()</f>
        <v/>
      </c>
      <c r="AW971">
        <f>RAND()</f>
        <v/>
      </c>
      <c r="AX971">
        <f>RAND()</f>
        <v/>
      </c>
      <c r="AY971">
        <f>RAND()</f>
        <v/>
      </c>
      <c r="AZ971">
        <f>RAND()</f>
        <v/>
      </c>
    </row>
    <row r="972">
      <c r="AK972" t="n">
        <v>959</v>
      </c>
      <c r="AL972">
        <f>IFERROR(IF(AU972&lt;($AM$6-$AL$6)/($AN$6-$AL$6),$AL$6+SQRT(AU972*($AN$6-$AL$6)*($AM$6-$AL$6)),$AN$6-SQRT((1-AU972)*($AN$6-$AL$6)*($AN$6-$AM$6))),$AM$6)</f>
        <v/>
      </c>
      <c r="AM972">
        <f>IFERROR(IF(AV972&lt;($AM$7-$AL$7)/($AN$7-$AL$7),$AL$7+SQRT(AV972*($AN$7-$AL$7)*($AM$7-$AL$7)),$AN$7-SQRT((1-AV972)*($AN$7-$AL$7)*($AN$7-$AM$7))),$AM$7)</f>
        <v/>
      </c>
      <c r="AN972">
        <f>IFERROR(IF(AW972&lt;($AM$8-$AL$8)/($AN$8-$AL$8),$AL$8+SQRT(AW972*($AN$8-$AL$8)*($AM$8-$AL$8)),$AN$8-SQRT((1-AW972)*($AN$8-$AL$8)*($AN$8-$AM$8))),$AM$8)</f>
        <v/>
      </c>
      <c r="AO972">
        <f>IFERROR(IF(AX972&lt;($AM$9-$AL$9)/($AN$9-$AL$9),$AL$9+SQRT(AX972*($AN$9-$AL$9)*($AM$9-$AL$9)),$AN$9-SQRT((1-AX972)*($AN$9-$AL$9)*($AN$9-$AM$9))),$AM$9)</f>
        <v/>
      </c>
      <c r="AP972">
        <f>IFERROR(IF(AY972&lt;($AM$10-$AL$10)/($AN$10-$AL$10),$AL$10+SQRT(AY972*($AN$10-$AL$10)*($AM$10-$AL$10)),$AN$10-SQRT((1-AY972)*($AN$10-$AL$10)*($AN$10-$AM$10))),$AM$10)</f>
        <v/>
      </c>
      <c r="AQ972">
        <f>IFERROR(IF(AZ972&lt;($AM$11-$AL$11)/($AN$11-$AL$11),$AL$11+SQRT(AZ972*($AN$11-$AL$11)*($AM$11-$AL$11)),$AN$11-SQRT((1-AZ972)*($AN$11-$AL$11)*($AN$11-$AM$11))),$AM$11)</f>
        <v/>
      </c>
      <c r="AR972">
        <f>SUMPRODUCT((B24:B31&lt;=$B$6)*(C24:C31*AM972+D24:D31*AO972*$B$8*AQ972)/(1+AL972/100)^B24:B31)+C32*AM972*AP972/(1+AL972/100)^$B$6</f>
        <v/>
      </c>
      <c r="AS972">
        <f>SUMPRODUCT((K24:K26&lt;=$B$6)*(L24:L26*AN972+M24:M26*AO972*$B$8*AQ972)/(1+AL972/100)^K24:K26)+L27*AN972*AP972/(1+AL972/100)^$B$6</f>
        <v/>
      </c>
      <c r="AT972">
        <f>AS972-AR972</f>
        <v/>
      </c>
      <c r="AU972">
        <f>RAND()</f>
        <v/>
      </c>
      <c r="AV972">
        <f>RAND()</f>
        <v/>
      </c>
      <c r="AW972">
        <f>RAND()</f>
        <v/>
      </c>
      <c r="AX972">
        <f>RAND()</f>
        <v/>
      </c>
      <c r="AY972">
        <f>RAND()</f>
        <v/>
      </c>
      <c r="AZ972">
        <f>RAND()</f>
        <v/>
      </c>
    </row>
    <row r="973">
      <c r="AK973" t="n">
        <v>960</v>
      </c>
      <c r="AL973">
        <f>IFERROR(IF(AU973&lt;($AM$6-$AL$6)/($AN$6-$AL$6),$AL$6+SQRT(AU973*($AN$6-$AL$6)*($AM$6-$AL$6)),$AN$6-SQRT((1-AU973)*($AN$6-$AL$6)*($AN$6-$AM$6))),$AM$6)</f>
        <v/>
      </c>
      <c r="AM973">
        <f>IFERROR(IF(AV973&lt;($AM$7-$AL$7)/($AN$7-$AL$7),$AL$7+SQRT(AV973*($AN$7-$AL$7)*($AM$7-$AL$7)),$AN$7-SQRT((1-AV973)*($AN$7-$AL$7)*($AN$7-$AM$7))),$AM$7)</f>
        <v/>
      </c>
      <c r="AN973">
        <f>IFERROR(IF(AW973&lt;($AM$8-$AL$8)/($AN$8-$AL$8),$AL$8+SQRT(AW973*($AN$8-$AL$8)*($AM$8-$AL$8)),$AN$8-SQRT((1-AW973)*($AN$8-$AL$8)*($AN$8-$AM$8))),$AM$8)</f>
        <v/>
      </c>
      <c r="AO973">
        <f>IFERROR(IF(AX973&lt;($AM$9-$AL$9)/($AN$9-$AL$9),$AL$9+SQRT(AX973*($AN$9-$AL$9)*($AM$9-$AL$9)),$AN$9-SQRT((1-AX973)*($AN$9-$AL$9)*($AN$9-$AM$9))),$AM$9)</f>
        <v/>
      </c>
      <c r="AP973">
        <f>IFERROR(IF(AY973&lt;($AM$10-$AL$10)/($AN$10-$AL$10),$AL$10+SQRT(AY973*($AN$10-$AL$10)*($AM$10-$AL$10)),$AN$10-SQRT((1-AY973)*($AN$10-$AL$10)*($AN$10-$AM$10))),$AM$10)</f>
        <v/>
      </c>
      <c r="AQ973">
        <f>IFERROR(IF(AZ973&lt;($AM$11-$AL$11)/($AN$11-$AL$11),$AL$11+SQRT(AZ973*($AN$11-$AL$11)*($AM$11-$AL$11)),$AN$11-SQRT((1-AZ973)*($AN$11-$AL$11)*($AN$11-$AM$11))),$AM$11)</f>
        <v/>
      </c>
      <c r="AR973">
        <f>SUMPRODUCT((B24:B31&lt;=$B$6)*(C24:C31*AM973+D24:D31*AO973*$B$8*AQ973)/(1+AL973/100)^B24:B31)+C32*AM973*AP973/(1+AL973/100)^$B$6</f>
        <v/>
      </c>
      <c r="AS973">
        <f>SUMPRODUCT((K24:K26&lt;=$B$6)*(L24:L26*AN973+M24:M26*AO973*$B$8*AQ973)/(1+AL973/100)^K24:K26)+L27*AN973*AP973/(1+AL973/100)^$B$6</f>
        <v/>
      </c>
      <c r="AT973">
        <f>AS973-AR973</f>
        <v/>
      </c>
      <c r="AU973">
        <f>RAND()</f>
        <v/>
      </c>
      <c r="AV973">
        <f>RAND()</f>
        <v/>
      </c>
      <c r="AW973">
        <f>RAND()</f>
        <v/>
      </c>
      <c r="AX973">
        <f>RAND()</f>
        <v/>
      </c>
      <c r="AY973">
        <f>RAND()</f>
        <v/>
      </c>
      <c r="AZ973">
        <f>RAND()</f>
        <v/>
      </c>
    </row>
    <row r="974">
      <c r="AK974" t="n">
        <v>961</v>
      </c>
      <c r="AL974">
        <f>IFERROR(IF(AU974&lt;($AM$6-$AL$6)/($AN$6-$AL$6),$AL$6+SQRT(AU974*($AN$6-$AL$6)*($AM$6-$AL$6)),$AN$6-SQRT((1-AU974)*($AN$6-$AL$6)*($AN$6-$AM$6))),$AM$6)</f>
        <v/>
      </c>
      <c r="AM974">
        <f>IFERROR(IF(AV974&lt;($AM$7-$AL$7)/($AN$7-$AL$7),$AL$7+SQRT(AV974*($AN$7-$AL$7)*($AM$7-$AL$7)),$AN$7-SQRT((1-AV974)*($AN$7-$AL$7)*($AN$7-$AM$7))),$AM$7)</f>
        <v/>
      </c>
      <c r="AN974">
        <f>IFERROR(IF(AW974&lt;($AM$8-$AL$8)/($AN$8-$AL$8),$AL$8+SQRT(AW974*($AN$8-$AL$8)*($AM$8-$AL$8)),$AN$8-SQRT((1-AW974)*($AN$8-$AL$8)*($AN$8-$AM$8))),$AM$8)</f>
        <v/>
      </c>
      <c r="AO974">
        <f>IFERROR(IF(AX974&lt;($AM$9-$AL$9)/($AN$9-$AL$9),$AL$9+SQRT(AX974*($AN$9-$AL$9)*($AM$9-$AL$9)),$AN$9-SQRT((1-AX974)*($AN$9-$AL$9)*($AN$9-$AM$9))),$AM$9)</f>
        <v/>
      </c>
      <c r="AP974">
        <f>IFERROR(IF(AY974&lt;($AM$10-$AL$10)/($AN$10-$AL$10),$AL$10+SQRT(AY974*($AN$10-$AL$10)*($AM$10-$AL$10)),$AN$10-SQRT((1-AY974)*($AN$10-$AL$10)*($AN$10-$AM$10))),$AM$10)</f>
        <v/>
      </c>
      <c r="AQ974">
        <f>IFERROR(IF(AZ974&lt;($AM$11-$AL$11)/($AN$11-$AL$11),$AL$11+SQRT(AZ974*($AN$11-$AL$11)*($AM$11-$AL$11)),$AN$11-SQRT((1-AZ974)*($AN$11-$AL$11)*($AN$11-$AM$11))),$AM$11)</f>
        <v/>
      </c>
      <c r="AR974">
        <f>SUMPRODUCT((B24:B31&lt;=$B$6)*(C24:C31*AM974+D24:D31*AO974*$B$8*AQ974)/(1+AL974/100)^B24:B31)+C32*AM974*AP974/(1+AL974/100)^$B$6</f>
        <v/>
      </c>
      <c r="AS974">
        <f>SUMPRODUCT((K24:K26&lt;=$B$6)*(L24:L26*AN974+M24:M26*AO974*$B$8*AQ974)/(1+AL974/100)^K24:K26)+L27*AN974*AP974/(1+AL974/100)^$B$6</f>
        <v/>
      </c>
      <c r="AT974">
        <f>AS974-AR974</f>
        <v/>
      </c>
      <c r="AU974">
        <f>RAND()</f>
        <v/>
      </c>
      <c r="AV974">
        <f>RAND()</f>
        <v/>
      </c>
      <c r="AW974">
        <f>RAND()</f>
        <v/>
      </c>
      <c r="AX974">
        <f>RAND()</f>
        <v/>
      </c>
      <c r="AY974">
        <f>RAND()</f>
        <v/>
      </c>
      <c r="AZ974">
        <f>RAND()</f>
        <v/>
      </c>
    </row>
    <row r="975">
      <c r="AK975" t="n">
        <v>962</v>
      </c>
      <c r="AL975">
        <f>IFERROR(IF(AU975&lt;($AM$6-$AL$6)/($AN$6-$AL$6),$AL$6+SQRT(AU975*($AN$6-$AL$6)*($AM$6-$AL$6)),$AN$6-SQRT((1-AU975)*($AN$6-$AL$6)*($AN$6-$AM$6))),$AM$6)</f>
        <v/>
      </c>
      <c r="AM975">
        <f>IFERROR(IF(AV975&lt;($AM$7-$AL$7)/($AN$7-$AL$7),$AL$7+SQRT(AV975*($AN$7-$AL$7)*($AM$7-$AL$7)),$AN$7-SQRT((1-AV975)*($AN$7-$AL$7)*($AN$7-$AM$7))),$AM$7)</f>
        <v/>
      </c>
      <c r="AN975">
        <f>IFERROR(IF(AW975&lt;($AM$8-$AL$8)/($AN$8-$AL$8),$AL$8+SQRT(AW975*($AN$8-$AL$8)*($AM$8-$AL$8)),$AN$8-SQRT((1-AW975)*($AN$8-$AL$8)*($AN$8-$AM$8))),$AM$8)</f>
        <v/>
      </c>
      <c r="AO975">
        <f>IFERROR(IF(AX975&lt;($AM$9-$AL$9)/($AN$9-$AL$9),$AL$9+SQRT(AX975*($AN$9-$AL$9)*($AM$9-$AL$9)),$AN$9-SQRT((1-AX975)*($AN$9-$AL$9)*($AN$9-$AM$9))),$AM$9)</f>
        <v/>
      </c>
      <c r="AP975">
        <f>IFERROR(IF(AY975&lt;($AM$10-$AL$10)/($AN$10-$AL$10),$AL$10+SQRT(AY975*($AN$10-$AL$10)*($AM$10-$AL$10)),$AN$10-SQRT((1-AY975)*($AN$10-$AL$10)*($AN$10-$AM$10))),$AM$10)</f>
        <v/>
      </c>
      <c r="AQ975">
        <f>IFERROR(IF(AZ975&lt;($AM$11-$AL$11)/($AN$11-$AL$11),$AL$11+SQRT(AZ975*($AN$11-$AL$11)*($AM$11-$AL$11)),$AN$11-SQRT((1-AZ975)*($AN$11-$AL$11)*($AN$11-$AM$11))),$AM$11)</f>
        <v/>
      </c>
      <c r="AR975">
        <f>SUMPRODUCT((B24:B31&lt;=$B$6)*(C24:C31*AM975+D24:D31*AO975*$B$8*AQ975)/(1+AL975/100)^B24:B31)+C32*AM975*AP975/(1+AL975/100)^$B$6</f>
        <v/>
      </c>
      <c r="AS975">
        <f>SUMPRODUCT((K24:K26&lt;=$B$6)*(L24:L26*AN975+M24:M26*AO975*$B$8*AQ975)/(1+AL975/100)^K24:K26)+L27*AN975*AP975/(1+AL975/100)^$B$6</f>
        <v/>
      </c>
      <c r="AT975">
        <f>AS975-AR975</f>
        <v/>
      </c>
      <c r="AU975">
        <f>RAND()</f>
        <v/>
      </c>
      <c r="AV975">
        <f>RAND()</f>
        <v/>
      </c>
      <c r="AW975">
        <f>RAND()</f>
        <v/>
      </c>
      <c r="AX975">
        <f>RAND()</f>
        <v/>
      </c>
      <c r="AY975">
        <f>RAND()</f>
        <v/>
      </c>
      <c r="AZ975">
        <f>RAND()</f>
        <v/>
      </c>
    </row>
    <row r="976">
      <c r="AK976" t="n">
        <v>963</v>
      </c>
      <c r="AL976">
        <f>IFERROR(IF(AU976&lt;($AM$6-$AL$6)/($AN$6-$AL$6),$AL$6+SQRT(AU976*($AN$6-$AL$6)*($AM$6-$AL$6)),$AN$6-SQRT((1-AU976)*($AN$6-$AL$6)*($AN$6-$AM$6))),$AM$6)</f>
        <v/>
      </c>
      <c r="AM976">
        <f>IFERROR(IF(AV976&lt;($AM$7-$AL$7)/($AN$7-$AL$7),$AL$7+SQRT(AV976*($AN$7-$AL$7)*($AM$7-$AL$7)),$AN$7-SQRT((1-AV976)*($AN$7-$AL$7)*($AN$7-$AM$7))),$AM$7)</f>
        <v/>
      </c>
      <c r="AN976">
        <f>IFERROR(IF(AW976&lt;($AM$8-$AL$8)/($AN$8-$AL$8),$AL$8+SQRT(AW976*($AN$8-$AL$8)*($AM$8-$AL$8)),$AN$8-SQRT((1-AW976)*($AN$8-$AL$8)*($AN$8-$AM$8))),$AM$8)</f>
        <v/>
      </c>
      <c r="AO976">
        <f>IFERROR(IF(AX976&lt;($AM$9-$AL$9)/($AN$9-$AL$9),$AL$9+SQRT(AX976*($AN$9-$AL$9)*($AM$9-$AL$9)),$AN$9-SQRT((1-AX976)*($AN$9-$AL$9)*($AN$9-$AM$9))),$AM$9)</f>
        <v/>
      </c>
      <c r="AP976">
        <f>IFERROR(IF(AY976&lt;($AM$10-$AL$10)/($AN$10-$AL$10),$AL$10+SQRT(AY976*($AN$10-$AL$10)*($AM$10-$AL$10)),$AN$10-SQRT((1-AY976)*($AN$10-$AL$10)*($AN$10-$AM$10))),$AM$10)</f>
        <v/>
      </c>
      <c r="AQ976">
        <f>IFERROR(IF(AZ976&lt;($AM$11-$AL$11)/($AN$11-$AL$11),$AL$11+SQRT(AZ976*($AN$11-$AL$11)*($AM$11-$AL$11)),$AN$11-SQRT((1-AZ976)*($AN$11-$AL$11)*($AN$11-$AM$11))),$AM$11)</f>
        <v/>
      </c>
      <c r="AR976">
        <f>SUMPRODUCT((B24:B31&lt;=$B$6)*(C24:C31*AM976+D24:D31*AO976*$B$8*AQ976)/(1+AL976/100)^B24:B31)+C32*AM976*AP976/(1+AL976/100)^$B$6</f>
        <v/>
      </c>
      <c r="AS976">
        <f>SUMPRODUCT((K24:K26&lt;=$B$6)*(L24:L26*AN976+M24:M26*AO976*$B$8*AQ976)/(1+AL976/100)^K24:K26)+L27*AN976*AP976/(1+AL976/100)^$B$6</f>
        <v/>
      </c>
      <c r="AT976">
        <f>AS976-AR976</f>
        <v/>
      </c>
      <c r="AU976">
        <f>RAND()</f>
        <v/>
      </c>
      <c r="AV976">
        <f>RAND()</f>
        <v/>
      </c>
      <c r="AW976">
        <f>RAND()</f>
        <v/>
      </c>
      <c r="AX976">
        <f>RAND()</f>
        <v/>
      </c>
      <c r="AY976">
        <f>RAND()</f>
        <v/>
      </c>
      <c r="AZ976">
        <f>RAND()</f>
        <v/>
      </c>
    </row>
    <row r="977">
      <c r="AK977" t="n">
        <v>964</v>
      </c>
      <c r="AL977">
        <f>IFERROR(IF(AU977&lt;($AM$6-$AL$6)/($AN$6-$AL$6),$AL$6+SQRT(AU977*($AN$6-$AL$6)*($AM$6-$AL$6)),$AN$6-SQRT((1-AU977)*($AN$6-$AL$6)*($AN$6-$AM$6))),$AM$6)</f>
        <v/>
      </c>
      <c r="AM977">
        <f>IFERROR(IF(AV977&lt;($AM$7-$AL$7)/($AN$7-$AL$7),$AL$7+SQRT(AV977*($AN$7-$AL$7)*($AM$7-$AL$7)),$AN$7-SQRT((1-AV977)*($AN$7-$AL$7)*($AN$7-$AM$7))),$AM$7)</f>
        <v/>
      </c>
      <c r="AN977">
        <f>IFERROR(IF(AW977&lt;($AM$8-$AL$8)/($AN$8-$AL$8),$AL$8+SQRT(AW977*($AN$8-$AL$8)*($AM$8-$AL$8)),$AN$8-SQRT((1-AW977)*($AN$8-$AL$8)*($AN$8-$AM$8))),$AM$8)</f>
        <v/>
      </c>
      <c r="AO977">
        <f>IFERROR(IF(AX977&lt;($AM$9-$AL$9)/($AN$9-$AL$9),$AL$9+SQRT(AX977*($AN$9-$AL$9)*($AM$9-$AL$9)),$AN$9-SQRT((1-AX977)*($AN$9-$AL$9)*($AN$9-$AM$9))),$AM$9)</f>
        <v/>
      </c>
      <c r="AP977">
        <f>IFERROR(IF(AY977&lt;($AM$10-$AL$10)/($AN$10-$AL$10),$AL$10+SQRT(AY977*($AN$10-$AL$10)*($AM$10-$AL$10)),$AN$10-SQRT((1-AY977)*($AN$10-$AL$10)*($AN$10-$AM$10))),$AM$10)</f>
        <v/>
      </c>
      <c r="AQ977">
        <f>IFERROR(IF(AZ977&lt;($AM$11-$AL$11)/($AN$11-$AL$11),$AL$11+SQRT(AZ977*($AN$11-$AL$11)*($AM$11-$AL$11)),$AN$11-SQRT((1-AZ977)*($AN$11-$AL$11)*($AN$11-$AM$11))),$AM$11)</f>
        <v/>
      </c>
      <c r="AR977">
        <f>SUMPRODUCT((B24:B31&lt;=$B$6)*(C24:C31*AM977+D24:D31*AO977*$B$8*AQ977)/(1+AL977/100)^B24:B31)+C32*AM977*AP977/(1+AL977/100)^$B$6</f>
        <v/>
      </c>
      <c r="AS977">
        <f>SUMPRODUCT((K24:K26&lt;=$B$6)*(L24:L26*AN977+M24:M26*AO977*$B$8*AQ977)/(1+AL977/100)^K24:K26)+L27*AN977*AP977/(1+AL977/100)^$B$6</f>
        <v/>
      </c>
      <c r="AT977">
        <f>AS977-AR977</f>
        <v/>
      </c>
      <c r="AU977">
        <f>RAND()</f>
        <v/>
      </c>
      <c r="AV977">
        <f>RAND()</f>
        <v/>
      </c>
      <c r="AW977">
        <f>RAND()</f>
        <v/>
      </c>
      <c r="AX977">
        <f>RAND()</f>
        <v/>
      </c>
      <c r="AY977">
        <f>RAND()</f>
        <v/>
      </c>
      <c r="AZ977">
        <f>RAND()</f>
        <v/>
      </c>
    </row>
    <row r="978">
      <c r="AK978" t="n">
        <v>965</v>
      </c>
      <c r="AL978">
        <f>IFERROR(IF(AU978&lt;($AM$6-$AL$6)/($AN$6-$AL$6),$AL$6+SQRT(AU978*($AN$6-$AL$6)*($AM$6-$AL$6)),$AN$6-SQRT((1-AU978)*($AN$6-$AL$6)*($AN$6-$AM$6))),$AM$6)</f>
        <v/>
      </c>
      <c r="AM978">
        <f>IFERROR(IF(AV978&lt;($AM$7-$AL$7)/($AN$7-$AL$7),$AL$7+SQRT(AV978*($AN$7-$AL$7)*($AM$7-$AL$7)),$AN$7-SQRT((1-AV978)*($AN$7-$AL$7)*($AN$7-$AM$7))),$AM$7)</f>
        <v/>
      </c>
      <c r="AN978">
        <f>IFERROR(IF(AW978&lt;($AM$8-$AL$8)/($AN$8-$AL$8),$AL$8+SQRT(AW978*($AN$8-$AL$8)*($AM$8-$AL$8)),$AN$8-SQRT((1-AW978)*($AN$8-$AL$8)*($AN$8-$AM$8))),$AM$8)</f>
        <v/>
      </c>
      <c r="AO978">
        <f>IFERROR(IF(AX978&lt;($AM$9-$AL$9)/($AN$9-$AL$9),$AL$9+SQRT(AX978*($AN$9-$AL$9)*($AM$9-$AL$9)),$AN$9-SQRT((1-AX978)*($AN$9-$AL$9)*($AN$9-$AM$9))),$AM$9)</f>
        <v/>
      </c>
      <c r="AP978">
        <f>IFERROR(IF(AY978&lt;($AM$10-$AL$10)/($AN$10-$AL$10),$AL$10+SQRT(AY978*($AN$10-$AL$10)*($AM$10-$AL$10)),$AN$10-SQRT((1-AY978)*($AN$10-$AL$10)*($AN$10-$AM$10))),$AM$10)</f>
        <v/>
      </c>
      <c r="AQ978">
        <f>IFERROR(IF(AZ978&lt;($AM$11-$AL$11)/($AN$11-$AL$11),$AL$11+SQRT(AZ978*($AN$11-$AL$11)*($AM$11-$AL$11)),$AN$11-SQRT((1-AZ978)*($AN$11-$AL$11)*($AN$11-$AM$11))),$AM$11)</f>
        <v/>
      </c>
      <c r="AR978">
        <f>SUMPRODUCT((B24:B31&lt;=$B$6)*(C24:C31*AM978+D24:D31*AO978*$B$8*AQ978)/(1+AL978/100)^B24:B31)+C32*AM978*AP978/(1+AL978/100)^$B$6</f>
        <v/>
      </c>
      <c r="AS978">
        <f>SUMPRODUCT((K24:K26&lt;=$B$6)*(L24:L26*AN978+M24:M26*AO978*$B$8*AQ978)/(1+AL978/100)^K24:K26)+L27*AN978*AP978/(1+AL978/100)^$B$6</f>
        <v/>
      </c>
      <c r="AT978">
        <f>AS978-AR978</f>
        <v/>
      </c>
      <c r="AU978">
        <f>RAND()</f>
        <v/>
      </c>
      <c r="AV978">
        <f>RAND()</f>
        <v/>
      </c>
      <c r="AW978">
        <f>RAND()</f>
        <v/>
      </c>
      <c r="AX978">
        <f>RAND()</f>
        <v/>
      </c>
      <c r="AY978">
        <f>RAND()</f>
        <v/>
      </c>
      <c r="AZ978">
        <f>RAND()</f>
        <v/>
      </c>
    </row>
    <row r="979">
      <c r="AK979" t="n">
        <v>966</v>
      </c>
      <c r="AL979">
        <f>IFERROR(IF(AU979&lt;($AM$6-$AL$6)/($AN$6-$AL$6),$AL$6+SQRT(AU979*($AN$6-$AL$6)*($AM$6-$AL$6)),$AN$6-SQRT((1-AU979)*($AN$6-$AL$6)*($AN$6-$AM$6))),$AM$6)</f>
        <v/>
      </c>
      <c r="AM979">
        <f>IFERROR(IF(AV979&lt;($AM$7-$AL$7)/($AN$7-$AL$7),$AL$7+SQRT(AV979*($AN$7-$AL$7)*($AM$7-$AL$7)),$AN$7-SQRT((1-AV979)*($AN$7-$AL$7)*($AN$7-$AM$7))),$AM$7)</f>
        <v/>
      </c>
      <c r="AN979">
        <f>IFERROR(IF(AW979&lt;($AM$8-$AL$8)/($AN$8-$AL$8),$AL$8+SQRT(AW979*($AN$8-$AL$8)*($AM$8-$AL$8)),$AN$8-SQRT((1-AW979)*($AN$8-$AL$8)*($AN$8-$AM$8))),$AM$8)</f>
        <v/>
      </c>
      <c r="AO979">
        <f>IFERROR(IF(AX979&lt;($AM$9-$AL$9)/($AN$9-$AL$9),$AL$9+SQRT(AX979*($AN$9-$AL$9)*($AM$9-$AL$9)),$AN$9-SQRT((1-AX979)*($AN$9-$AL$9)*($AN$9-$AM$9))),$AM$9)</f>
        <v/>
      </c>
      <c r="AP979">
        <f>IFERROR(IF(AY979&lt;($AM$10-$AL$10)/($AN$10-$AL$10),$AL$10+SQRT(AY979*($AN$10-$AL$10)*($AM$10-$AL$10)),$AN$10-SQRT((1-AY979)*($AN$10-$AL$10)*($AN$10-$AM$10))),$AM$10)</f>
        <v/>
      </c>
      <c r="AQ979">
        <f>IFERROR(IF(AZ979&lt;($AM$11-$AL$11)/($AN$11-$AL$11),$AL$11+SQRT(AZ979*($AN$11-$AL$11)*($AM$11-$AL$11)),$AN$11-SQRT((1-AZ979)*($AN$11-$AL$11)*($AN$11-$AM$11))),$AM$11)</f>
        <v/>
      </c>
      <c r="AR979">
        <f>SUMPRODUCT((B24:B31&lt;=$B$6)*(C24:C31*AM979+D24:D31*AO979*$B$8*AQ979)/(1+AL979/100)^B24:B31)+C32*AM979*AP979/(1+AL979/100)^$B$6</f>
        <v/>
      </c>
      <c r="AS979">
        <f>SUMPRODUCT((K24:K26&lt;=$B$6)*(L24:L26*AN979+M24:M26*AO979*$B$8*AQ979)/(1+AL979/100)^K24:K26)+L27*AN979*AP979/(1+AL979/100)^$B$6</f>
        <v/>
      </c>
      <c r="AT979">
        <f>AS979-AR979</f>
        <v/>
      </c>
      <c r="AU979">
        <f>RAND()</f>
        <v/>
      </c>
      <c r="AV979">
        <f>RAND()</f>
        <v/>
      </c>
      <c r="AW979">
        <f>RAND()</f>
        <v/>
      </c>
      <c r="AX979">
        <f>RAND()</f>
        <v/>
      </c>
      <c r="AY979">
        <f>RAND()</f>
        <v/>
      </c>
      <c r="AZ979">
        <f>RAND()</f>
        <v/>
      </c>
    </row>
    <row r="980">
      <c r="AK980" t="n">
        <v>967</v>
      </c>
      <c r="AL980">
        <f>IFERROR(IF(AU980&lt;($AM$6-$AL$6)/($AN$6-$AL$6),$AL$6+SQRT(AU980*($AN$6-$AL$6)*($AM$6-$AL$6)),$AN$6-SQRT((1-AU980)*($AN$6-$AL$6)*($AN$6-$AM$6))),$AM$6)</f>
        <v/>
      </c>
      <c r="AM980">
        <f>IFERROR(IF(AV980&lt;($AM$7-$AL$7)/($AN$7-$AL$7),$AL$7+SQRT(AV980*($AN$7-$AL$7)*($AM$7-$AL$7)),$AN$7-SQRT((1-AV980)*($AN$7-$AL$7)*($AN$7-$AM$7))),$AM$7)</f>
        <v/>
      </c>
      <c r="AN980">
        <f>IFERROR(IF(AW980&lt;($AM$8-$AL$8)/($AN$8-$AL$8),$AL$8+SQRT(AW980*($AN$8-$AL$8)*($AM$8-$AL$8)),$AN$8-SQRT((1-AW980)*($AN$8-$AL$8)*($AN$8-$AM$8))),$AM$8)</f>
        <v/>
      </c>
      <c r="AO980">
        <f>IFERROR(IF(AX980&lt;($AM$9-$AL$9)/($AN$9-$AL$9),$AL$9+SQRT(AX980*($AN$9-$AL$9)*($AM$9-$AL$9)),$AN$9-SQRT((1-AX980)*($AN$9-$AL$9)*($AN$9-$AM$9))),$AM$9)</f>
        <v/>
      </c>
      <c r="AP980">
        <f>IFERROR(IF(AY980&lt;($AM$10-$AL$10)/($AN$10-$AL$10),$AL$10+SQRT(AY980*($AN$10-$AL$10)*($AM$10-$AL$10)),$AN$10-SQRT((1-AY980)*($AN$10-$AL$10)*($AN$10-$AM$10))),$AM$10)</f>
        <v/>
      </c>
      <c r="AQ980">
        <f>IFERROR(IF(AZ980&lt;($AM$11-$AL$11)/($AN$11-$AL$11),$AL$11+SQRT(AZ980*($AN$11-$AL$11)*($AM$11-$AL$11)),$AN$11-SQRT((1-AZ980)*($AN$11-$AL$11)*($AN$11-$AM$11))),$AM$11)</f>
        <v/>
      </c>
      <c r="AR980">
        <f>SUMPRODUCT((B24:B31&lt;=$B$6)*(C24:C31*AM980+D24:D31*AO980*$B$8*AQ980)/(1+AL980/100)^B24:B31)+C32*AM980*AP980/(1+AL980/100)^$B$6</f>
        <v/>
      </c>
      <c r="AS980">
        <f>SUMPRODUCT((K24:K26&lt;=$B$6)*(L24:L26*AN980+M24:M26*AO980*$B$8*AQ980)/(1+AL980/100)^K24:K26)+L27*AN980*AP980/(1+AL980/100)^$B$6</f>
        <v/>
      </c>
      <c r="AT980">
        <f>AS980-AR980</f>
        <v/>
      </c>
      <c r="AU980">
        <f>RAND()</f>
        <v/>
      </c>
      <c r="AV980">
        <f>RAND()</f>
        <v/>
      </c>
      <c r="AW980">
        <f>RAND()</f>
        <v/>
      </c>
      <c r="AX980">
        <f>RAND()</f>
        <v/>
      </c>
      <c r="AY980">
        <f>RAND()</f>
        <v/>
      </c>
      <c r="AZ980">
        <f>RAND()</f>
        <v/>
      </c>
    </row>
    <row r="981">
      <c r="AK981" t="n">
        <v>968</v>
      </c>
      <c r="AL981">
        <f>IFERROR(IF(AU981&lt;($AM$6-$AL$6)/($AN$6-$AL$6),$AL$6+SQRT(AU981*($AN$6-$AL$6)*($AM$6-$AL$6)),$AN$6-SQRT((1-AU981)*($AN$6-$AL$6)*($AN$6-$AM$6))),$AM$6)</f>
        <v/>
      </c>
      <c r="AM981">
        <f>IFERROR(IF(AV981&lt;($AM$7-$AL$7)/($AN$7-$AL$7),$AL$7+SQRT(AV981*($AN$7-$AL$7)*($AM$7-$AL$7)),$AN$7-SQRT((1-AV981)*($AN$7-$AL$7)*($AN$7-$AM$7))),$AM$7)</f>
        <v/>
      </c>
      <c r="AN981">
        <f>IFERROR(IF(AW981&lt;($AM$8-$AL$8)/($AN$8-$AL$8),$AL$8+SQRT(AW981*($AN$8-$AL$8)*($AM$8-$AL$8)),$AN$8-SQRT((1-AW981)*($AN$8-$AL$8)*($AN$8-$AM$8))),$AM$8)</f>
        <v/>
      </c>
      <c r="AO981">
        <f>IFERROR(IF(AX981&lt;($AM$9-$AL$9)/($AN$9-$AL$9),$AL$9+SQRT(AX981*($AN$9-$AL$9)*($AM$9-$AL$9)),$AN$9-SQRT((1-AX981)*($AN$9-$AL$9)*($AN$9-$AM$9))),$AM$9)</f>
        <v/>
      </c>
      <c r="AP981">
        <f>IFERROR(IF(AY981&lt;($AM$10-$AL$10)/($AN$10-$AL$10),$AL$10+SQRT(AY981*($AN$10-$AL$10)*($AM$10-$AL$10)),$AN$10-SQRT((1-AY981)*($AN$10-$AL$10)*($AN$10-$AM$10))),$AM$10)</f>
        <v/>
      </c>
      <c r="AQ981">
        <f>IFERROR(IF(AZ981&lt;($AM$11-$AL$11)/($AN$11-$AL$11),$AL$11+SQRT(AZ981*($AN$11-$AL$11)*($AM$11-$AL$11)),$AN$11-SQRT((1-AZ981)*($AN$11-$AL$11)*($AN$11-$AM$11))),$AM$11)</f>
        <v/>
      </c>
      <c r="AR981">
        <f>SUMPRODUCT((B24:B31&lt;=$B$6)*(C24:C31*AM981+D24:D31*AO981*$B$8*AQ981)/(1+AL981/100)^B24:B31)+C32*AM981*AP981/(1+AL981/100)^$B$6</f>
        <v/>
      </c>
      <c r="AS981">
        <f>SUMPRODUCT((K24:K26&lt;=$B$6)*(L24:L26*AN981+M24:M26*AO981*$B$8*AQ981)/(1+AL981/100)^K24:K26)+L27*AN981*AP981/(1+AL981/100)^$B$6</f>
        <v/>
      </c>
      <c r="AT981">
        <f>AS981-AR981</f>
        <v/>
      </c>
      <c r="AU981">
        <f>RAND()</f>
        <v/>
      </c>
      <c r="AV981">
        <f>RAND()</f>
        <v/>
      </c>
      <c r="AW981">
        <f>RAND()</f>
        <v/>
      </c>
      <c r="AX981">
        <f>RAND()</f>
        <v/>
      </c>
      <c r="AY981">
        <f>RAND()</f>
        <v/>
      </c>
      <c r="AZ981">
        <f>RAND()</f>
        <v/>
      </c>
    </row>
    <row r="982">
      <c r="AK982" t="n">
        <v>969</v>
      </c>
      <c r="AL982">
        <f>IFERROR(IF(AU982&lt;($AM$6-$AL$6)/($AN$6-$AL$6),$AL$6+SQRT(AU982*($AN$6-$AL$6)*($AM$6-$AL$6)),$AN$6-SQRT((1-AU982)*($AN$6-$AL$6)*($AN$6-$AM$6))),$AM$6)</f>
        <v/>
      </c>
      <c r="AM982">
        <f>IFERROR(IF(AV982&lt;($AM$7-$AL$7)/($AN$7-$AL$7),$AL$7+SQRT(AV982*($AN$7-$AL$7)*($AM$7-$AL$7)),$AN$7-SQRT((1-AV982)*($AN$7-$AL$7)*($AN$7-$AM$7))),$AM$7)</f>
        <v/>
      </c>
      <c r="AN982">
        <f>IFERROR(IF(AW982&lt;($AM$8-$AL$8)/($AN$8-$AL$8),$AL$8+SQRT(AW982*($AN$8-$AL$8)*($AM$8-$AL$8)),$AN$8-SQRT((1-AW982)*($AN$8-$AL$8)*($AN$8-$AM$8))),$AM$8)</f>
        <v/>
      </c>
      <c r="AO982">
        <f>IFERROR(IF(AX982&lt;($AM$9-$AL$9)/($AN$9-$AL$9),$AL$9+SQRT(AX982*($AN$9-$AL$9)*($AM$9-$AL$9)),$AN$9-SQRT((1-AX982)*($AN$9-$AL$9)*($AN$9-$AM$9))),$AM$9)</f>
        <v/>
      </c>
      <c r="AP982">
        <f>IFERROR(IF(AY982&lt;($AM$10-$AL$10)/($AN$10-$AL$10),$AL$10+SQRT(AY982*($AN$10-$AL$10)*($AM$10-$AL$10)),$AN$10-SQRT((1-AY982)*($AN$10-$AL$10)*($AN$10-$AM$10))),$AM$10)</f>
        <v/>
      </c>
      <c r="AQ982">
        <f>IFERROR(IF(AZ982&lt;($AM$11-$AL$11)/($AN$11-$AL$11),$AL$11+SQRT(AZ982*($AN$11-$AL$11)*($AM$11-$AL$11)),$AN$11-SQRT((1-AZ982)*($AN$11-$AL$11)*($AN$11-$AM$11))),$AM$11)</f>
        <v/>
      </c>
      <c r="AR982">
        <f>SUMPRODUCT((B24:B31&lt;=$B$6)*(C24:C31*AM982+D24:D31*AO982*$B$8*AQ982)/(1+AL982/100)^B24:B31)+C32*AM982*AP982/(1+AL982/100)^$B$6</f>
        <v/>
      </c>
      <c r="AS982">
        <f>SUMPRODUCT((K24:K26&lt;=$B$6)*(L24:L26*AN982+M24:M26*AO982*$B$8*AQ982)/(1+AL982/100)^K24:K26)+L27*AN982*AP982/(1+AL982/100)^$B$6</f>
        <v/>
      </c>
      <c r="AT982">
        <f>AS982-AR982</f>
        <v/>
      </c>
      <c r="AU982">
        <f>RAND()</f>
        <v/>
      </c>
      <c r="AV982">
        <f>RAND()</f>
        <v/>
      </c>
      <c r="AW982">
        <f>RAND()</f>
        <v/>
      </c>
      <c r="AX982">
        <f>RAND()</f>
        <v/>
      </c>
      <c r="AY982">
        <f>RAND()</f>
        <v/>
      </c>
      <c r="AZ982">
        <f>RAND()</f>
        <v/>
      </c>
    </row>
    <row r="983">
      <c r="AK983" t="n">
        <v>970</v>
      </c>
      <c r="AL983">
        <f>IFERROR(IF(AU983&lt;($AM$6-$AL$6)/($AN$6-$AL$6),$AL$6+SQRT(AU983*($AN$6-$AL$6)*($AM$6-$AL$6)),$AN$6-SQRT((1-AU983)*($AN$6-$AL$6)*($AN$6-$AM$6))),$AM$6)</f>
        <v/>
      </c>
      <c r="AM983">
        <f>IFERROR(IF(AV983&lt;($AM$7-$AL$7)/($AN$7-$AL$7),$AL$7+SQRT(AV983*($AN$7-$AL$7)*($AM$7-$AL$7)),$AN$7-SQRT((1-AV983)*($AN$7-$AL$7)*($AN$7-$AM$7))),$AM$7)</f>
        <v/>
      </c>
      <c r="AN983">
        <f>IFERROR(IF(AW983&lt;($AM$8-$AL$8)/($AN$8-$AL$8),$AL$8+SQRT(AW983*($AN$8-$AL$8)*($AM$8-$AL$8)),$AN$8-SQRT((1-AW983)*($AN$8-$AL$8)*($AN$8-$AM$8))),$AM$8)</f>
        <v/>
      </c>
      <c r="AO983">
        <f>IFERROR(IF(AX983&lt;($AM$9-$AL$9)/($AN$9-$AL$9),$AL$9+SQRT(AX983*($AN$9-$AL$9)*($AM$9-$AL$9)),$AN$9-SQRT((1-AX983)*($AN$9-$AL$9)*($AN$9-$AM$9))),$AM$9)</f>
        <v/>
      </c>
      <c r="AP983">
        <f>IFERROR(IF(AY983&lt;($AM$10-$AL$10)/($AN$10-$AL$10),$AL$10+SQRT(AY983*($AN$10-$AL$10)*($AM$10-$AL$10)),$AN$10-SQRT((1-AY983)*($AN$10-$AL$10)*($AN$10-$AM$10))),$AM$10)</f>
        <v/>
      </c>
      <c r="AQ983">
        <f>IFERROR(IF(AZ983&lt;($AM$11-$AL$11)/($AN$11-$AL$11),$AL$11+SQRT(AZ983*($AN$11-$AL$11)*($AM$11-$AL$11)),$AN$11-SQRT((1-AZ983)*($AN$11-$AL$11)*($AN$11-$AM$11))),$AM$11)</f>
        <v/>
      </c>
      <c r="AR983">
        <f>SUMPRODUCT((B24:B31&lt;=$B$6)*(C24:C31*AM983+D24:D31*AO983*$B$8*AQ983)/(1+AL983/100)^B24:B31)+C32*AM983*AP983/(1+AL983/100)^$B$6</f>
        <v/>
      </c>
      <c r="AS983">
        <f>SUMPRODUCT((K24:K26&lt;=$B$6)*(L24:L26*AN983+M24:M26*AO983*$B$8*AQ983)/(1+AL983/100)^K24:K26)+L27*AN983*AP983/(1+AL983/100)^$B$6</f>
        <v/>
      </c>
      <c r="AT983">
        <f>AS983-AR983</f>
        <v/>
      </c>
      <c r="AU983">
        <f>RAND()</f>
        <v/>
      </c>
      <c r="AV983">
        <f>RAND()</f>
        <v/>
      </c>
      <c r="AW983">
        <f>RAND()</f>
        <v/>
      </c>
      <c r="AX983">
        <f>RAND()</f>
        <v/>
      </c>
      <c r="AY983">
        <f>RAND()</f>
        <v/>
      </c>
      <c r="AZ983">
        <f>RAND()</f>
        <v/>
      </c>
    </row>
    <row r="984">
      <c r="AK984" t="n">
        <v>971</v>
      </c>
      <c r="AL984">
        <f>IFERROR(IF(AU984&lt;($AM$6-$AL$6)/($AN$6-$AL$6),$AL$6+SQRT(AU984*($AN$6-$AL$6)*($AM$6-$AL$6)),$AN$6-SQRT((1-AU984)*($AN$6-$AL$6)*($AN$6-$AM$6))),$AM$6)</f>
        <v/>
      </c>
      <c r="AM984">
        <f>IFERROR(IF(AV984&lt;($AM$7-$AL$7)/($AN$7-$AL$7),$AL$7+SQRT(AV984*($AN$7-$AL$7)*($AM$7-$AL$7)),$AN$7-SQRT((1-AV984)*($AN$7-$AL$7)*($AN$7-$AM$7))),$AM$7)</f>
        <v/>
      </c>
      <c r="AN984">
        <f>IFERROR(IF(AW984&lt;($AM$8-$AL$8)/($AN$8-$AL$8),$AL$8+SQRT(AW984*($AN$8-$AL$8)*($AM$8-$AL$8)),$AN$8-SQRT((1-AW984)*($AN$8-$AL$8)*($AN$8-$AM$8))),$AM$8)</f>
        <v/>
      </c>
      <c r="AO984">
        <f>IFERROR(IF(AX984&lt;($AM$9-$AL$9)/($AN$9-$AL$9),$AL$9+SQRT(AX984*($AN$9-$AL$9)*($AM$9-$AL$9)),$AN$9-SQRT((1-AX984)*($AN$9-$AL$9)*($AN$9-$AM$9))),$AM$9)</f>
        <v/>
      </c>
      <c r="AP984">
        <f>IFERROR(IF(AY984&lt;($AM$10-$AL$10)/($AN$10-$AL$10),$AL$10+SQRT(AY984*($AN$10-$AL$10)*($AM$10-$AL$10)),$AN$10-SQRT((1-AY984)*($AN$10-$AL$10)*($AN$10-$AM$10))),$AM$10)</f>
        <v/>
      </c>
      <c r="AQ984">
        <f>IFERROR(IF(AZ984&lt;($AM$11-$AL$11)/($AN$11-$AL$11),$AL$11+SQRT(AZ984*($AN$11-$AL$11)*($AM$11-$AL$11)),$AN$11-SQRT((1-AZ984)*($AN$11-$AL$11)*($AN$11-$AM$11))),$AM$11)</f>
        <v/>
      </c>
      <c r="AR984">
        <f>SUMPRODUCT((B24:B31&lt;=$B$6)*(C24:C31*AM984+D24:D31*AO984*$B$8*AQ984)/(1+AL984/100)^B24:B31)+C32*AM984*AP984/(1+AL984/100)^$B$6</f>
        <v/>
      </c>
      <c r="AS984">
        <f>SUMPRODUCT((K24:K26&lt;=$B$6)*(L24:L26*AN984+M24:M26*AO984*$B$8*AQ984)/(1+AL984/100)^K24:K26)+L27*AN984*AP984/(1+AL984/100)^$B$6</f>
        <v/>
      </c>
      <c r="AT984">
        <f>AS984-AR984</f>
        <v/>
      </c>
      <c r="AU984">
        <f>RAND()</f>
        <v/>
      </c>
      <c r="AV984">
        <f>RAND()</f>
        <v/>
      </c>
      <c r="AW984">
        <f>RAND()</f>
        <v/>
      </c>
      <c r="AX984">
        <f>RAND()</f>
        <v/>
      </c>
      <c r="AY984">
        <f>RAND()</f>
        <v/>
      </c>
      <c r="AZ984">
        <f>RAND()</f>
        <v/>
      </c>
    </row>
    <row r="985">
      <c r="AK985" t="n">
        <v>972</v>
      </c>
      <c r="AL985">
        <f>IFERROR(IF(AU985&lt;($AM$6-$AL$6)/($AN$6-$AL$6),$AL$6+SQRT(AU985*($AN$6-$AL$6)*($AM$6-$AL$6)),$AN$6-SQRT((1-AU985)*($AN$6-$AL$6)*($AN$6-$AM$6))),$AM$6)</f>
        <v/>
      </c>
      <c r="AM985">
        <f>IFERROR(IF(AV985&lt;($AM$7-$AL$7)/($AN$7-$AL$7),$AL$7+SQRT(AV985*($AN$7-$AL$7)*($AM$7-$AL$7)),$AN$7-SQRT((1-AV985)*($AN$7-$AL$7)*($AN$7-$AM$7))),$AM$7)</f>
        <v/>
      </c>
      <c r="AN985">
        <f>IFERROR(IF(AW985&lt;($AM$8-$AL$8)/($AN$8-$AL$8),$AL$8+SQRT(AW985*($AN$8-$AL$8)*($AM$8-$AL$8)),$AN$8-SQRT((1-AW985)*($AN$8-$AL$8)*($AN$8-$AM$8))),$AM$8)</f>
        <v/>
      </c>
      <c r="AO985">
        <f>IFERROR(IF(AX985&lt;($AM$9-$AL$9)/($AN$9-$AL$9),$AL$9+SQRT(AX985*($AN$9-$AL$9)*($AM$9-$AL$9)),$AN$9-SQRT((1-AX985)*($AN$9-$AL$9)*($AN$9-$AM$9))),$AM$9)</f>
        <v/>
      </c>
      <c r="AP985">
        <f>IFERROR(IF(AY985&lt;($AM$10-$AL$10)/($AN$10-$AL$10),$AL$10+SQRT(AY985*($AN$10-$AL$10)*($AM$10-$AL$10)),$AN$10-SQRT((1-AY985)*($AN$10-$AL$10)*($AN$10-$AM$10))),$AM$10)</f>
        <v/>
      </c>
      <c r="AQ985">
        <f>IFERROR(IF(AZ985&lt;($AM$11-$AL$11)/($AN$11-$AL$11),$AL$11+SQRT(AZ985*($AN$11-$AL$11)*($AM$11-$AL$11)),$AN$11-SQRT((1-AZ985)*($AN$11-$AL$11)*($AN$11-$AM$11))),$AM$11)</f>
        <v/>
      </c>
      <c r="AR985">
        <f>SUMPRODUCT((B24:B31&lt;=$B$6)*(C24:C31*AM985+D24:D31*AO985*$B$8*AQ985)/(1+AL985/100)^B24:B31)+C32*AM985*AP985/(1+AL985/100)^$B$6</f>
        <v/>
      </c>
      <c r="AS985">
        <f>SUMPRODUCT((K24:K26&lt;=$B$6)*(L24:L26*AN985+M24:M26*AO985*$B$8*AQ985)/(1+AL985/100)^K24:K26)+L27*AN985*AP985/(1+AL985/100)^$B$6</f>
        <v/>
      </c>
      <c r="AT985">
        <f>AS985-AR985</f>
        <v/>
      </c>
      <c r="AU985">
        <f>RAND()</f>
        <v/>
      </c>
      <c r="AV985">
        <f>RAND()</f>
        <v/>
      </c>
      <c r="AW985">
        <f>RAND()</f>
        <v/>
      </c>
      <c r="AX985">
        <f>RAND()</f>
        <v/>
      </c>
      <c r="AY985">
        <f>RAND()</f>
        <v/>
      </c>
      <c r="AZ985">
        <f>RAND()</f>
        <v/>
      </c>
    </row>
    <row r="986">
      <c r="AK986" t="n">
        <v>973</v>
      </c>
      <c r="AL986">
        <f>IFERROR(IF(AU986&lt;($AM$6-$AL$6)/($AN$6-$AL$6),$AL$6+SQRT(AU986*($AN$6-$AL$6)*($AM$6-$AL$6)),$AN$6-SQRT((1-AU986)*($AN$6-$AL$6)*($AN$6-$AM$6))),$AM$6)</f>
        <v/>
      </c>
      <c r="AM986">
        <f>IFERROR(IF(AV986&lt;($AM$7-$AL$7)/($AN$7-$AL$7),$AL$7+SQRT(AV986*($AN$7-$AL$7)*($AM$7-$AL$7)),$AN$7-SQRT((1-AV986)*($AN$7-$AL$7)*($AN$7-$AM$7))),$AM$7)</f>
        <v/>
      </c>
      <c r="AN986">
        <f>IFERROR(IF(AW986&lt;($AM$8-$AL$8)/($AN$8-$AL$8),$AL$8+SQRT(AW986*($AN$8-$AL$8)*($AM$8-$AL$8)),$AN$8-SQRT((1-AW986)*($AN$8-$AL$8)*($AN$8-$AM$8))),$AM$8)</f>
        <v/>
      </c>
      <c r="AO986">
        <f>IFERROR(IF(AX986&lt;($AM$9-$AL$9)/($AN$9-$AL$9),$AL$9+SQRT(AX986*($AN$9-$AL$9)*($AM$9-$AL$9)),$AN$9-SQRT((1-AX986)*($AN$9-$AL$9)*($AN$9-$AM$9))),$AM$9)</f>
        <v/>
      </c>
      <c r="AP986">
        <f>IFERROR(IF(AY986&lt;($AM$10-$AL$10)/($AN$10-$AL$10),$AL$10+SQRT(AY986*($AN$10-$AL$10)*($AM$10-$AL$10)),$AN$10-SQRT((1-AY986)*($AN$10-$AL$10)*($AN$10-$AM$10))),$AM$10)</f>
        <v/>
      </c>
      <c r="AQ986">
        <f>IFERROR(IF(AZ986&lt;($AM$11-$AL$11)/($AN$11-$AL$11),$AL$11+SQRT(AZ986*($AN$11-$AL$11)*($AM$11-$AL$11)),$AN$11-SQRT((1-AZ986)*($AN$11-$AL$11)*($AN$11-$AM$11))),$AM$11)</f>
        <v/>
      </c>
      <c r="AR986">
        <f>SUMPRODUCT((B24:B31&lt;=$B$6)*(C24:C31*AM986+D24:D31*AO986*$B$8*AQ986)/(1+AL986/100)^B24:B31)+C32*AM986*AP986/(1+AL986/100)^$B$6</f>
        <v/>
      </c>
      <c r="AS986">
        <f>SUMPRODUCT((K24:K26&lt;=$B$6)*(L24:L26*AN986+M24:M26*AO986*$B$8*AQ986)/(1+AL986/100)^K24:K26)+L27*AN986*AP986/(1+AL986/100)^$B$6</f>
        <v/>
      </c>
      <c r="AT986">
        <f>AS986-AR986</f>
        <v/>
      </c>
      <c r="AU986">
        <f>RAND()</f>
        <v/>
      </c>
      <c r="AV986">
        <f>RAND()</f>
        <v/>
      </c>
      <c r="AW986">
        <f>RAND()</f>
        <v/>
      </c>
      <c r="AX986">
        <f>RAND()</f>
        <v/>
      </c>
      <c r="AY986">
        <f>RAND()</f>
        <v/>
      </c>
      <c r="AZ986">
        <f>RAND()</f>
        <v/>
      </c>
    </row>
    <row r="987">
      <c r="AK987" t="n">
        <v>974</v>
      </c>
      <c r="AL987">
        <f>IFERROR(IF(AU987&lt;($AM$6-$AL$6)/($AN$6-$AL$6),$AL$6+SQRT(AU987*($AN$6-$AL$6)*($AM$6-$AL$6)),$AN$6-SQRT((1-AU987)*($AN$6-$AL$6)*($AN$6-$AM$6))),$AM$6)</f>
        <v/>
      </c>
      <c r="AM987">
        <f>IFERROR(IF(AV987&lt;($AM$7-$AL$7)/($AN$7-$AL$7),$AL$7+SQRT(AV987*($AN$7-$AL$7)*($AM$7-$AL$7)),$AN$7-SQRT((1-AV987)*($AN$7-$AL$7)*($AN$7-$AM$7))),$AM$7)</f>
        <v/>
      </c>
      <c r="AN987">
        <f>IFERROR(IF(AW987&lt;($AM$8-$AL$8)/($AN$8-$AL$8),$AL$8+SQRT(AW987*($AN$8-$AL$8)*($AM$8-$AL$8)),$AN$8-SQRT((1-AW987)*($AN$8-$AL$8)*($AN$8-$AM$8))),$AM$8)</f>
        <v/>
      </c>
      <c r="AO987">
        <f>IFERROR(IF(AX987&lt;($AM$9-$AL$9)/($AN$9-$AL$9),$AL$9+SQRT(AX987*($AN$9-$AL$9)*($AM$9-$AL$9)),$AN$9-SQRT((1-AX987)*($AN$9-$AL$9)*($AN$9-$AM$9))),$AM$9)</f>
        <v/>
      </c>
      <c r="AP987">
        <f>IFERROR(IF(AY987&lt;($AM$10-$AL$10)/($AN$10-$AL$10),$AL$10+SQRT(AY987*($AN$10-$AL$10)*($AM$10-$AL$10)),$AN$10-SQRT((1-AY987)*($AN$10-$AL$10)*($AN$10-$AM$10))),$AM$10)</f>
        <v/>
      </c>
      <c r="AQ987">
        <f>IFERROR(IF(AZ987&lt;($AM$11-$AL$11)/($AN$11-$AL$11),$AL$11+SQRT(AZ987*($AN$11-$AL$11)*($AM$11-$AL$11)),$AN$11-SQRT((1-AZ987)*($AN$11-$AL$11)*($AN$11-$AM$11))),$AM$11)</f>
        <v/>
      </c>
      <c r="AR987">
        <f>SUMPRODUCT((B24:B31&lt;=$B$6)*(C24:C31*AM987+D24:D31*AO987*$B$8*AQ987)/(1+AL987/100)^B24:B31)+C32*AM987*AP987/(1+AL987/100)^$B$6</f>
        <v/>
      </c>
      <c r="AS987">
        <f>SUMPRODUCT((K24:K26&lt;=$B$6)*(L24:L26*AN987+M24:M26*AO987*$B$8*AQ987)/(1+AL987/100)^K24:K26)+L27*AN987*AP987/(1+AL987/100)^$B$6</f>
        <v/>
      </c>
      <c r="AT987">
        <f>AS987-AR987</f>
        <v/>
      </c>
      <c r="AU987">
        <f>RAND()</f>
        <v/>
      </c>
      <c r="AV987">
        <f>RAND()</f>
        <v/>
      </c>
      <c r="AW987">
        <f>RAND()</f>
        <v/>
      </c>
      <c r="AX987">
        <f>RAND()</f>
        <v/>
      </c>
      <c r="AY987">
        <f>RAND()</f>
        <v/>
      </c>
      <c r="AZ987">
        <f>RAND()</f>
        <v/>
      </c>
    </row>
    <row r="988">
      <c r="AK988" t="n">
        <v>975</v>
      </c>
      <c r="AL988">
        <f>IFERROR(IF(AU988&lt;($AM$6-$AL$6)/($AN$6-$AL$6),$AL$6+SQRT(AU988*($AN$6-$AL$6)*($AM$6-$AL$6)),$AN$6-SQRT((1-AU988)*($AN$6-$AL$6)*($AN$6-$AM$6))),$AM$6)</f>
        <v/>
      </c>
      <c r="AM988">
        <f>IFERROR(IF(AV988&lt;($AM$7-$AL$7)/($AN$7-$AL$7),$AL$7+SQRT(AV988*($AN$7-$AL$7)*($AM$7-$AL$7)),$AN$7-SQRT((1-AV988)*($AN$7-$AL$7)*($AN$7-$AM$7))),$AM$7)</f>
        <v/>
      </c>
      <c r="AN988">
        <f>IFERROR(IF(AW988&lt;($AM$8-$AL$8)/($AN$8-$AL$8),$AL$8+SQRT(AW988*($AN$8-$AL$8)*($AM$8-$AL$8)),$AN$8-SQRT((1-AW988)*($AN$8-$AL$8)*($AN$8-$AM$8))),$AM$8)</f>
        <v/>
      </c>
      <c r="AO988">
        <f>IFERROR(IF(AX988&lt;($AM$9-$AL$9)/($AN$9-$AL$9),$AL$9+SQRT(AX988*($AN$9-$AL$9)*($AM$9-$AL$9)),$AN$9-SQRT((1-AX988)*($AN$9-$AL$9)*($AN$9-$AM$9))),$AM$9)</f>
        <v/>
      </c>
      <c r="AP988">
        <f>IFERROR(IF(AY988&lt;($AM$10-$AL$10)/($AN$10-$AL$10),$AL$10+SQRT(AY988*($AN$10-$AL$10)*($AM$10-$AL$10)),$AN$10-SQRT((1-AY988)*($AN$10-$AL$10)*($AN$10-$AM$10))),$AM$10)</f>
        <v/>
      </c>
      <c r="AQ988">
        <f>IFERROR(IF(AZ988&lt;($AM$11-$AL$11)/($AN$11-$AL$11),$AL$11+SQRT(AZ988*($AN$11-$AL$11)*($AM$11-$AL$11)),$AN$11-SQRT((1-AZ988)*($AN$11-$AL$11)*($AN$11-$AM$11))),$AM$11)</f>
        <v/>
      </c>
      <c r="AR988">
        <f>SUMPRODUCT((B24:B31&lt;=$B$6)*(C24:C31*AM988+D24:D31*AO988*$B$8*AQ988)/(1+AL988/100)^B24:B31)+C32*AM988*AP988/(1+AL988/100)^$B$6</f>
        <v/>
      </c>
      <c r="AS988">
        <f>SUMPRODUCT((K24:K26&lt;=$B$6)*(L24:L26*AN988+M24:M26*AO988*$B$8*AQ988)/(1+AL988/100)^K24:K26)+L27*AN988*AP988/(1+AL988/100)^$B$6</f>
        <v/>
      </c>
      <c r="AT988">
        <f>AS988-AR988</f>
        <v/>
      </c>
      <c r="AU988">
        <f>RAND()</f>
        <v/>
      </c>
      <c r="AV988">
        <f>RAND()</f>
        <v/>
      </c>
      <c r="AW988">
        <f>RAND()</f>
        <v/>
      </c>
      <c r="AX988">
        <f>RAND()</f>
        <v/>
      </c>
      <c r="AY988">
        <f>RAND()</f>
        <v/>
      </c>
      <c r="AZ988">
        <f>RAND()</f>
        <v/>
      </c>
    </row>
    <row r="989">
      <c r="AK989" t="n">
        <v>976</v>
      </c>
      <c r="AL989">
        <f>IFERROR(IF(AU989&lt;($AM$6-$AL$6)/($AN$6-$AL$6),$AL$6+SQRT(AU989*($AN$6-$AL$6)*($AM$6-$AL$6)),$AN$6-SQRT((1-AU989)*($AN$6-$AL$6)*($AN$6-$AM$6))),$AM$6)</f>
        <v/>
      </c>
      <c r="AM989">
        <f>IFERROR(IF(AV989&lt;($AM$7-$AL$7)/($AN$7-$AL$7),$AL$7+SQRT(AV989*($AN$7-$AL$7)*($AM$7-$AL$7)),$AN$7-SQRT((1-AV989)*($AN$7-$AL$7)*($AN$7-$AM$7))),$AM$7)</f>
        <v/>
      </c>
      <c r="AN989">
        <f>IFERROR(IF(AW989&lt;($AM$8-$AL$8)/($AN$8-$AL$8),$AL$8+SQRT(AW989*($AN$8-$AL$8)*($AM$8-$AL$8)),$AN$8-SQRT((1-AW989)*($AN$8-$AL$8)*($AN$8-$AM$8))),$AM$8)</f>
        <v/>
      </c>
      <c r="AO989">
        <f>IFERROR(IF(AX989&lt;($AM$9-$AL$9)/($AN$9-$AL$9),$AL$9+SQRT(AX989*($AN$9-$AL$9)*($AM$9-$AL$9)),$AN$9-SQRT((1-AX989)*($AN$9-$AL$9)*($AN$9-$AM$9))),$AM$9)</f>
        <v/>
      </c>
      <c r="AP989">
        <f>IFERROR(IF(AY989&lt;($AM$10-$AL$10)/($AN$10-$AL$10),$AL$10+SQRT(AY989*($AN$10-$AL$10)*($AM$10-$AL$10)),$AN$10-SQRT((1-AY989)*($AN$10-$AL$10)*($AN$10-$AM$10))),$AM$10)</f>
        <v/>
      </c>
      <c r="AQ989">
        <f>IFERROR(IF(AZ989&lt;($AM$11-$AL$11)/($AN$11-$AL$11),$AL$11+SQRT(AZ989*($AN$11-$AL$11)*($AM$11-$AL$11)),$AN$11-SQRT((1-AZ989)*($AN$11-$AL$11)*($AN$11-$AM$11))),$AM$11)</f>
        <v/>
      </c>
      <c r="AR989">
        <f>SUMPRODUCT((B24:B31&lt;=$B$6)*(C24:C31*AM989+D24:D31*AO989*$B$8*AQ989)/(1+AL989/100)^B24:B31)+C32*AM989*AP989/(1+AL989/100)^$B$6</f>
        <v/>
      </c>
      <c r="AS989">
        <f>SUMPRODUCT((K24:K26&lt;=$B$6)*(L24:L26*AN989+M24:M26*AO989*$B$8*AQ989)/(1+AL989/100)^K24:K26)+L27*AN989*AP989/(1+AL989/100)^$B$6</f>
        <v/>
      </c>
      <c r="AT989">
        <f>AS989-AR989</f>
        <v/>
      </c>
      <c r="AU989">
        <f>RAND()</f>
        <v/>
      </c>
      <c r="AV989">
        <f>RAND()</f>
        <v/>
      </c>
      <c r="AW989">
        <f>RAND()</f>
        <v/>
      </c>
      <c r="AX989">
        <f>RAND()</f>
        <v/>
      </c>
      <c r="AY989">
        <f>RAND()</f>
        <v/>
      </c>
      <c r="AZ989">
        <f>RAND()</f>
        <v/>
      </c>
    </row>
    <row r="990">
      <c r="AK990" t="n">
        <v>977</v>
      </c>
      <c r="AL990">
        <f>IFERROR(IF(AU990&lt;($AM$6-$AL$6)/($AN$6-$AL$6),$AL$6+SQRT(AU990*($AN$6-$AL$6)*($AM$6-$AL$6)),$AN$6-SQRT((1-AU990)*($AN$6-$AL$6)*($AN$6-$AM$6))),$AM$6)</f>
        <v/>
      </c>
      <c r="AM990">
        <f>IFERROR(IF(AV990&lt;($AM$7-$AL$7)/($AN$7-$AL$7),$AL$7+SQRT(AV990*($AN$7-$AL$7)*($AM$7-$AL$7)),$AN$7-SQRT((1-AV990)*($AN$7-$AL$7)*($AN$7-$AM$7))),$AM$7)</f>
        <v/>
      </c>
      <c r="AN990">
        <f>IFERROR(IF(AW990&lt;($AM$8-$AL$8)/($AN$8-$AL$8),$AL$8+SQRT(AW990*($AN$8-$AL$8)*($AM$8-$AL$8)),$AN$8-SQRT((1-AW990)*($AN$8-$AL$8)*($AN$8-$AM$8))),$AM$8)</f>
        <v/>
      </c>
      <c r="AO990">
        <f>IFERROR(IF(AX990&lt;($AM$9-$AL$9)/($AN$9-$AL$9),$AL$9+SQRT(AX990*($AN$9-$AL$9)*($AM$9-$AL$9)),$AN$9-SQRT((1-AX990)*($AN$9-$AL$9)*($AN$9-$AM$9))),$AM$9)</f>
        <v/>
      </c>
      <c r="AP990">
        <f>IFERROR(IF(AY990&lt;($AM$10-$AL$10)/($AN$10-$AL$10),$AL$10+SQRT(AY990*($AN$10-$AL$10)*($AM$10-$AL$10)),$AN$10-SQRT((1-AY990)*($AN$10-$AL$10)*($AN$10-$AM$10))),$AM$10)</f>
        <v/>
      </c>
      <c r="AQ990">
        <f>IFERROR(IF(AZ990&lt;($AM$11-$AL$11)/($AN$11-$AL$11),$AL$11+SQRT(AZ990*($AN$11-$AL$11)*($AM$11-$AL$11)),$AN$11-SQRT((1-AZ990)*($AN$11-$AL$11)*($AN$11-$AM$11))),$AM$11)</f>
        <v/>
      </c>
      <c r="AR990">
        <f>SUMPRODUCT((B24:B31&lt;=$B$6)*(C24:C31*AM990+D24:D31*AO990*$B$8*AQ990)/(1+AL990/100)^B24:B31)+C32*AM990*AP990/(1+AL990/100)^$B$6</f>
        <v/>
      </c>
      <c r="AS990">
        <f>SUMPRODUCT((K24:K26&lt;=$B$6)*(L24:L26*AN990+M24:M26*AO990*$B$8*AQ990)/(1+AL990/100)^K24:K26)+L27*AN990*AP990/(1+AL990/100)^$B$6</f>
        <v/>
      </c>
      <c r="AT990">
        <f>AS990-AR990</f>
        <v/>
      </c>
      <c r="AU990">
        <f>RAND()</f>
        <v/>
      </c>
      <c r="AV990">
        <f>RAND()</f>
        <v/>
      </c>
      <c r="AW990">
        <f>RAND()</f>
        <v/>
      </c>
      <c r="AX990">
        <f>RAND()</f>
        <v/>
      </c>
      <c r="AY990">
        <f>RAND()</f>
        <v/>
      </c>
      <c r="AZ990">
        <f>RAND()</f>
        <v/>
      </c>
    </row>
    <row r="991">
      <c r="AK991" t="n">
        <v>978</v>
      </c>
      <c r="AL991">
        <f>IFERROR(IF(AU991&lt;($AM$6-$AL$6)/($AN$6-$AL$6),$AL$6+SQRT(AU991*($AN$6-$AL$6)*($AM$6-$AL$6)),$AN$6-SQRT((1-AU991)*($AN$6-$AL$6)*($AN$6-$AM$6))),$AM$6)</f>
        <v/>
      </c>
      <c r="AM991">
        <f>IFERROR(IF(AV991&lt;($AM$7-$AL$7)/($AN$7-$AL$7),$AL$7+SQRT(AV991*($AN$7-$AL$7)*($AM$7-$AL$7)),$AN$7-SQRT((1-AV991)*($AN$7-$AL$7)*($AN$7-$AM$7))),$AM$7)</f>
        <v/>
      </c>
      <c r="AN991">
        <f>IFERROR(IF(AW991&lt;($AM$8-$AL$8)/($AN$8-$AL$8),$AL$8+SQRT(AW991*($AN$8-$AL$8)*($AM$8-$AL$8)),$AN$8-SQRT((1-AW991)*($AN$8-$AL$8)*($AN$8-$AM$8))),$AM$8)</f>
        <v/>
      </c>
      <c r="AO991">
        <f>IFERROR(IF(AX991&lt;($AM$9-$AL$9)/($AN$9-$AL$9),$AL$9+SQRT(AX991*($AN$9-$AL$9)*($AM$9-$AL$9)),$AN$9-SQRT((1-AX991)*($AN$9-$AL$9)*($AN$9-$AM$9))),$AM$9)</f>
        <v/>
      </c>
      <c r="AP991">
        <f>IFERROR(IF(AY991&lt;($AM$10-$AL$10)/($AN$10-$AL$10),$AL$10+SQRT(AY991*($AN$10-$AL$10)*($AM$10-$AL$10)),$AN$10-SQRT((1-AY991)*($AN$10-$AL$10)*($AN$10-$AM$10))),$AM$10)</f>
        <v/>
      </c>
      <c r="AQ991">
        <f>IFERROR(IF(AZ991&lt;($AM$11-$AL$11)/($AN$11-$AL$11),$AL$11+SQRT(AZ991*($AN$11-$AL$11)*($AM$11-$AL$11)),$AN$11-SQRT((1-AZ991)*($AN$11-$AL$11)*($AN$11-$AM$11))),$AM$11)</f>
        <v/>
      </c>
      <c r="AR991">
        <f>SUMPRODUCT((B24:B31&lt;=$B$6)*(C24:C31*AM991+D24:D31*AO991*$B$8*AQ991)/(1+AL991/100)^B24:B31)+C32*AM991*AP991/(1+AL991/100)^$B$6</f>
        <v/>
      </c>
      <c r="AS991">
        <f>SUMPRODUCT((K24:K26&lt;=$B$6)*(L24:L26*AN991+M24:M26*AO991*$B$8*AQ991)/(1+AL991/100)^K24:K26)+L27*AN991*AP991/(1+AL991/100)^$B$6</f>
        <v/>
      </c>
      <c r="AT991">
        <f>AS991-AR991</f>
        <v/>
      </c>
      <c r="AU991">
        <f>RAND()</f>
        <v/>
      </c>
      <c r="AV991">
        <f>RAND()</f>
        <v/>
      </c>
      <c r="AW991">
        <f>RAND()</f>
        <v/>
      </c>
      <c r="AX991">
        <f>RAND()</f>
        <v/>
      </c>
      <c r="AY991">
        <f>RAND()</f>
        <v/>
      </c>
      <c r="AZ991">
        <f>RAND()</f>
        <v/>
      </c>
    </row>
    <row r="992">
      <c r="AK992" t="n">
        <v>979</v>
      </c>
      <c r="AL992">
        <f>IFERROR(IF(AU992&lt;($AM$6-$AL$6)/($AN$6-$AL$6),$AL$6+SQRT(AU992*($AN$6-$AL$6)*($AM$6-$AL$6)),$AN$6-SQRT((1-AU992)*($AN$6-$AL$6)*($AN$6-$AM$6))),$AM$6)</f>
        <v/>
      </c>
      <c r="AM992">
        <f>IFERROR(IF(AV992&lt;($AM$7-$AL$7)/($AN$7-$AL$7),$AL$7+SQRT(AV992*($AN$7-$AL$7)*($AM$7-$AL$7)),$AN$7-SQRT((1-AV992)*($AN$7-$AL$7)*($AN$7-$AM$7))),$AM$7)</f>
        <v/>
      </c>
      <c r="AN992">
        <f>IFERROR(IF(AW992&lt;($AM$8-$AL$8)/($AN$8-$AL$8),$AL$8+SQRT(AW992*($AN$8-$AL$8)*($AM$8-$AL$8)),$AN$8-SQRT((1-AW992)*($AN$8-$AL$8)*($AN$8-$AM$8))),$AM$8)</f>
        <v/>
      </c>
      <c r="AO992">
        <f>IFERROR(IF(AX992&lt;($AM$9-$AL$9)/($AN$9-$AL$9),$AL$9+SQRT(AX992*($AN$9-$AL$9)*($AM$9-$AL$9)),$AN$9-SQRT((1-AX992)*($AN$9-$AL$9)*($AN$9-$AM$9))),$AM$9)</f>
        <v/>
      </c>
      <c r="AP992">
        <f>IFERROR(IF(AY992&lt;($AM$10-$AL$10)/($AN$10-$AL$10),$AL$10+SQRT(AY992*($AN$10-$AL$10)*($AM$10-$AL$10)),$AN$10-SQRT((1-AY992)*($AN$10-$AL$10)*($AN$10-$AM$10))),$AM$10)</f>
        <v/>
      </c>
      <c r="AQ992">
        <f>IFERROR(IF(AZ992&lt;($AM$11-$AL$11)/($AN$11-$AL$11),$AL$11+SQRT(AZ992*($AN$11-$AL$11)*($AM$11-$AL$11)),$AN$11-SQRT((1-AZ992)*($AN$11-$AL$11)*($AN$11-$AM$11))),$AM$11)</f>
        <v/>
      </c>
      <c r="AR992">
        <f>SUMPRODUCT((B24:B31&lt;=$B$6)*(C24:C31*AM992+D24:D31*AO992*$B$8*AQ992)/(1+AL992/100)^B24:B31)+C32*AM992*AP992/(1+AL992/100)^$B$6</f>
        <v/>
      </c>
      <c r="AS992">
        <f>SUMPRODUCT((K24:K26&lt;=$B$6)*(L24:L26*AN992+M24:M26*AO992*$B$8*AQ992)/(1+AL992/100)^K24:K26)+L27*AN992*AP992/(1+AL992/100)^$B$6</f>
        <v/>
      </c>
      <c r="AT992">
        <f>AS992-AR992</f>
        <v/>
      </c>
      <c r="AU992">
        <f>RAND()</f>
        <v/>
      </c>
      <c r="AV992">
        <f>RAND()</f>
        <v/>
      </c>
      <c r="AW992">
        <f>RAND()</f>
        <v/>
      </c>
      <c r="AX992">
        <f>RAND()</f>
        <v/>
      </c>
      <c r="AY992">
        <f>RAND()</f>
        <v/>
      </c>
      <c r="AZ992">
        <f>RAND()</f>
        <v/>
      </c>
    </row>
    <row r="993">
      <c r="AK993" t="n">
        <v>980</v>
      </c>
      <c r="AL993">
        <f>IFERROR(IF(AU993&lt;($AM$6-$AL$6)/($AN$6-$AL$6),$AL$6+SQRT(AU993*($AN$6-$AL$6)*($AM$6-$AL$6)),$AN$6-SQRT((1-AU993)*($AN$6-$AL$6)*($AN$6-$AM$6))),$AM$6)</f>
        <v/>
      </c>
      <c r="AM993">
        <f>IFERROR(IF(AV993&lt;($AM$7-$AL$7)/($AN$7-$AL$7),$AL$7+SQRT(AV993*($AN$7-$AL$7)*($AM$7-$AL$7)),$AN$7-SQRT((1-AV993)*($AN$7-$AL$7)*($AN$7-$AM$7))),$AM$7)</f>
        <v/>
      </c>
      <c r="AN993">
        <f>IFERROR(IF(AW993&lt;($AM$8-$AL$8)/($AN$8-$AL$8),$AL$8+SQRT(AW993*($AN$8-$AL$8)*($AM$8-$AL$8)),$AN$8-SQRT((1-AW993)*($AN$8-$AL$8)*($AN$8-$AM$8))),$AM$8)</f>
        <v/>
      </c>
      <c r="AO993">
        <f>IFERROR(IF(AX993&lt;($AM$9-$AL$9)/($AN$9-$AL$9),$AL$9+SQRT(AX993*($AN$9-$AL$9)*($AM$9-$AL$9)),$AN$9-SQRT((1-AX993)*($AN$9-$AL$9)*($AN$9-$AM$9))),$AM$9)</f>
        <v/>
      </c>
      <c r="AP993">
        <f>IFERROR(IF(AY993&lt;($AM$10-$AL$10)/($AN$10-$AL$10),$AL$10+SQRT(AY993*($AN$10-$AL$10)*($AM$10-$AL$10)),$AN$10-SQRT((1-AY993)*($AN$10-$AL$10)*($AN$10-$AM$10))),$AM$10)</f>
        <v/>
      </c>
      <c r="AQ993">
        <f>IFERROR(IF(AZ993&lt;($AM$11-$AL$11)/($AN$11-$AL$11),$AL$11+SQRT(AZ993*($AN$11-$AL$11)*($AM$11-$AL$11)),$AN$11-SQRT((1-AZ993)*($AN$11-$AL$11)*($AN$11-$AM$11))),$AM$11)</f>
        <v/>
      </c>
      <c r="AR993">
        <f>SUMPRODUCT((B24:B31&lt;=$B$6)*(C24:C31*AM993+D24:D31*AO993*$B$8*AQ993)/(1+AL993/100)^B24:B31)+C32*AM993*AP993/(1+AL993/100)^$B$6</f>
        <v/>
      </c>
      <c r="AS993">
        <f>SUMPRODUCT((K24:K26&lt;=$B$6)*(L24:L26*AN993+M24:M26*AO993*$B$8*AQ993)/(1+AL993/100)^K24:K26)+L27*AN993*AP993/(1+AL993/100)^$B$6</f>
        <v/>
      </c>
      <c r="AT993">
        <f>AS993-AR993</f>
        <v/>
      </c>
      <c r="AU993">
        <f>RAND()</f>
        <v/>
      </c>
      <c r="AV993">
        <f>RAND()</f>
        <v/>
      </c>
      <c r="AW993">
        <f>RAND()</f>
        <v/>
      </c>
      <c r="AX993">
        <f>RAND()</f>
        <v/>
      </c>
      <c r="AY993">
        <f>RAND()</f>
        <v/>
      </c>
      <c r="AZ993">
        <f>RAND()</f>
        <v/>
      </c>
    </row>
    <row r="994">
      <c r="AK994" t="n">
        <v>981</v>
      </c>
      <c r="AL994">
        <f>IFERROR(IF(AU994&lt;($AM$6-$AL$6)/($AN$6-$AL$6),$AL$6+SQRT(AU994*($AN$6-$AL$6)*($AM$6-$AL$6)),$AN$6-SQRT((1-AU994)*($AN$6-$AL$6)*($AN$6-$AM$6))),$AM$6)</f>
        <v/>
      </c>
      <c r="AM994">
        <f>IFERROR(IF(AV994&lt;($AM$7-$AL$7)/($AN$7-$AL$7),$AL$7+SQRT(AV994*($AN$7-$AL$7)*($AM$7-$AL$7)),$AN$7-SQRT((1-AV994)*($AN$7-$AL$7)*($AN$7-$AM$7))),$AM$7)</f>
        <v/>
      </c>
      <c r="AN994">
        <f>IFERROR(IF(AW994&lt;($AM$8-$AL$8)/($AN$8-$AL$8),$AL$8+SQRT(AW994*($AN$8-$AL$8)*($AM$8-$AL$8)),$AN$8-SQRT((1-AW994)*($AN$8-$AL$8)*($AN$8-$AM$8))),$AM$8)</f>
        <v/>
      </c>
      <c r="AO994">
        <f>IFERROR(IF(AX994&lt;($AM$9-$AL$9)/($AN$9-$AL$9),$AL$9+SQRT(AX994*($AN$9-$AL$9)*($AM$9-$AL$9)),$AN$9-SQRT((1-AX994)*($AN$9-$AL$9)*($AN$9-$AM$9))),$AM$9)</f>
        <v/>
      </c>
      <c r="AP994">
        <f>IFERROR(IF(AY994&lt;($AM$10-$AL$10)/($AN$10-$AL$10),$AL$10+SQRT(AY994*($AN$10-$AL$10)*($AM$10-$AL$10)),$AN$10-SQRT((1-AY994)*($AN$10-$AL$10)*($AN$10-$AM$10))),$AM$10)</f>
        <v/>
      </c>
      <c r="AQ994">
        <f>IFERROR(IF(AZ994&lt;($AM$11-$AL$11)/($AN$11-$AL$11),$AL$11+SQRT(AZ994*($AN$11-$AL$11)*($AM$11-$AL$11)),$AN$11-SQRT((1-AZ994)*($AN$11-$AL$11)*($AN$11-$AM$11))),$AM$11)</f>
        <v/>
      </c>
      <c r="AR994">
        <f>SUMPRODUCT((B24:B31&lt;=$B$6)*(C24:C31*AM994+D24:D31*AO994*$B$8*AQ994)/(1+AL994/100)^B24:B31)+C32*AM994*AP994/(1+AL994/100)^$B$6</f>
        <v/>
      </c>
      <c r="AS994">
        <f>SUMPRODUCT((K24:K26&lt;=$B$6)*(L24:L26*AN994+M24:M26*AO994*$B$8*AQ994)/(1+AL994/100)^K24:K26)+L27*AN994*AP994/(1+AL994/100)^$B$6</f>
        <v/>
      </c>
      <c r="AT994">
        <f>AS994-AR994</f>
        <v/>
      </c>
      <c r="AU994">
        <f>RAND()</f>
        <v/>
      </c>
      <c r="AV994">
        <f>RAND()</f>
        <v/>
      </c>
      <c r="AW994">
        <f>RAND()</f>
        <v/>
      </c>
      <c r="AX994">
        <f>RAND()</f>
        <v/>
      </c>
      <c r="AY994">
        <f>RAND()</f>
        <v/>
      </c>
      <c r="AZ994">
        <f>RAND()</f>
        <v/>
      </c>
    </row>
    <row r="995">
      <c r="AK995" t="n">
        <v>982</v>
      </c>
      <c r="AL995">
        <f>IFERROR(IF(AU995&lt;($AM$6-$AL$6)/($AN$6-$AL$6),$AL$6+SQRT(AU995*($AN$6-$AL$6)*($AM$6-$AL$6)),$AN$6-SQRT((1-AU995)*($AN$6-$AL$6)*($AN$6-$AM$6))),$AM$6)</f>
        <v/>
      </c>
      <c r="AM995">
        <f>IFERROR(IF(AV995&lt;($AM$7-$AL$7)/($AN$7-$AL$7),$AL$7+SQRT(AV995*($AN$7-$AL$7)*($AM$7-$AL$7)),$AN$7-SQRT((1-AV995)*($AN$7-$AL$7)*($AN$7-$AM$7))),$AM$7)</f>
        <v/>
      </c>
      <c r="AN995">
        <f>IFERROR(IF(AW995&lt;($AM$8-$AL$8)/($AN$8-$AL$8),$AL$8+SQRT(AW995*($AN$8-$AL$8)*($AM$8-$AL$8)),$AN$8-SQRT((1-AW995)*($AN$8-$AL$8)*($AN$8-$AM$8))),$AM$8)</f>
        <v/>
      </c>
      <c r="AO995">
        <f>IFERROR(IF(AX995&lt;($AM$9-$AL$9)/($AN$9-$AL$9),$AL$9+SQRT(AX995*($AN$9-$AL$9)*($AM$9-$AL$9)),$AN$9-SQRT((1-AX995)*($AN$9-$AL$9)*($AN$9-$AM$9))),$AM$9)</f>
        <v/>
      </c>
      <c r="AP995">
        <f>IFERROR(IF(AY995&lt;($AM$10-$AL$10)/($AN$10-$AL$10),$AL$10+SQRT(AY995*($AN$10-$AL$10)*($AM$10-$AL$10)),$AN$10-SQRT((1-AY995)*($AN$10-$AL$10)*($AN$10-$AM$10))),$AM$10)</f>
        <v/>
      </c>
      <c r="AQ995">
        <f>IFERROR(IF(AZ995&lt;($AM$11-$AL$11)/($AN$11-$AL$11),$AL$11+SQRT(AZ995*($AN$11-$AL$11)*($AM$11-$AL$11)),$AN$11-SQRT((1-AZ995)*($AN$11-$AL$11)*($AN$11-$AM$11))),$AM$11)</f>
        <v/>
      </c>
      <c r="AR995">
        <f>SUMPRODUCT((B24:B31&lt;=$B$6)*(C24:C31*AM995+D24:D31*AO995*$B$8*AQ995)/(1+AL995/100)^B24:B31)+C32*AM995*AP995/(1+AL995/100)^$B$6</f>
        <v/>
      </c>
      <c r="AS995">
        <f>SUMPRODUCT((K24:K26&lt;=$B$6)*(L24:L26*AN995+M24:M26*AO995*$B$8*AQ995)/(1+AL995/100)^K24:K26)+L27*AN995*AP995/(1+AL995/100)^$B$6</f>
        <v/>
      </c>
      <c r="AT995">
        <f>AS995-AR995</f>
        <v/>
      </c>
      <c r="AU995">
        <f>RAND()</f>
        <v/>
      </c>
      <c r="AV995">
        <f>RAND()</f>
        <v/>
      </c>
      <c r="AW995">
        <f>RAND()</f>
        <v/>
      </c>
      <c r="AX995">
        <f>RAND()</f>
        <v/>
      </c>
      <c r="AY995">
        <f>RAND()</f>
        <v/>
      </c>
      <c r="AZ995">
        <f>RAND()</f>
        <v/>
      </c>
    </row>
    <row r="996">
      <c r="AK996" t="n">
        <v>983</v>
      </c>
      <c r="AL996">
        <f>IFERROR(IF(AU996&lt;($AM$6-$AL$6)/($AN$6-$AL$6),$AL$6+SQRT(AU996*($AN$6-$AL$6)*($AM$6-$AL$6)),$AN$6-SQRT((1-AU996)*($AN$6-$AL$6)*($AN$6-$AM$6))),$AM$6)</f>
        <v/>
      </c>
      <c r="AM996">
        <f>IFERROR(IF(AV996&lt;($AM$7-$AL$7)/($AN$7-$AL$7),$AL$7+SQRT(AV996*($AN$7-$AL$7)*($AM$7-$AL$7)),$AN$7-SQRT((1-AV996)*($AN$7-$AL$7)*($AN$7-$AM$7))),$AM$7)</f>
        <v/>
      </c>
      <c r="AN996">
        <f>IFERROR(IF(AW996&lt;($AM$8-$AL$8)/($AN$8-$AL$8),$AL$8+SQRT(AW996*($AN$8-$AL$8)*($AM$8-$AL$8)),$AN$8-SQRT((1-AW996)*($AN$8-$AL$8)*($AN$8-$AM$8))),$AM$8)</f>
        <v/>
      </c>
      <c r="AO996">
        <f>IFERROR(IF(AX996&lt;($AM$9-$AL$9)/($AN$9-$AL$9),$AL$9+SQRT(AX996*($AN$9-$AL$9)*($AM$9-$AL$9)),$AN$9-SQRT((1-AX996)*($AN$9-$AL$9)*($AN$9-$AM$9))),$AM$9)</f>
        <v/>
      </c>
      <c r="AP996">
        <f>IFERROR(IF(AY996&lt;($AM$10-$AL$10)/($AN$10-$AL$10),$AL$10+SQRT(AY996*($AN$10-$AL$10)*($AM$10-$AL$10)),$AN$10-SQRT((1-AY996)*($AN$10-$AL$10)*($AN$10-$AM$10))),$AM$10)</f>
        <v/>
      </c>
      <c r="AQ996">
        <f>IFERROR(IF(AZ996&lt;($AM$11-$AL$11)/($AN$11-$AL$11),$AL$11+SQRT(AZ996*($AN$11-$AL$11)*($AM$11-$AL$11)),$AN$11-SQRT((1-AZ996)*($AN$11-$AL$11)*($AN$11-$AM$11))),$AM$11)</f>
        <v/>
      </c>
      <c r="AR996">
        <f>SUMPRODUCT((B24:B31&lt;=$B$6)*(C24:C31*AM996+D24:D31*AO996*$B$8*AQ996)/(1+AL996/100)^B24:B31)+C32*AM996*AP996/(1+AL996/100)^$B$6</f>
        <v/>
      </c>
      <c r="AS996">
        <f>SUMPRODUCT((K24:K26&lt;=$B$6)*(L24:L26*AN996+M24:M26*AO996*$B$8*AQ996)/(1+AL996/100)^K24:K26)+L27*AN996*AP996/(1+AL996/100)^$B$6</f>
        <v/>
      </c>
      <c r="AT996">
        <f>AS996-AR996</f>
        <v/>
      </c>
      <c r="AU996">
        <f>RAND()</f>
        <v/>
      </c>
      <c r="AV996">
        <f>RAND()</f>
        <v/>
      </c>
      <c r="AW996">
        <f>RAND()</f>
        <v/>
      </c>
      <c r="AX996">
        <f>RAND()</f>
        <v/>
      </c>
      <c r="AY996">
        <f>RAND()</f>
        <v/>
      </c>
      <c r="AZ996">
        <f>RAND()</f>
        <v/>
      </c>
    </row>
    <row r="997">
      <c r="AK997" t="n">
        <v>984</v>
      </c>
      <c r="AL997">
        <f>IFERROR(IF(AU997&lt;($AM$6-$AL$6)/($AN$6-$AL$6),$AL$6+SQRT(AU997*($AN$6-$AL$6)*($AM$6-$AL$6)),$AN$6-SQRT((1-AU997)*($AN$6-$AL$6)*($AN$6-$AM$6))),$AM$6)</f>
        <v/>
      </c>
      <c r="AM997">
        <f>IFERROR(IF(AV997&lt;($AM$7-$AL$7)/($AN$7-$AL$7),$AL$7+SQRT(AV997*($AN$7-$AL$7)*($AM$7-$AL$7)),$AN$7-SQRT((1-AV997)*($AN$7-$AL$7)*($AN$7-$AM$7))),$AM$7)</f>
        <v/>
      </c>
      <c r="AN997">
        <f>IFERROR(IF(AW997&lt;($AM$8-$AL$8)/($AN$8-$AL$8),$AL$8+SQRT(AW997*($AN$8-$AL$8)*($AM$8-$AL$8)),$AN$8-SQRT((1-AW997)*($AN$8-$AL$8)*($AN$8-$AM$8))),$AM$8)</f>
        <v/>
      </c>
      <c r="AO997">
        <f>IFERROR(IF(AX997&lt;($AM$9-$AL$9)/($AN$9-$AL$9),$AL$9+SQRT(AX997*($AN$9-$AL$9)*($AM$9-$AL$9)),$AN$9-SQRT((1-AX997)*($AN$9-$AL$9)*($AN$9-$AM$9))),$AM$9)</f>
        <v/>
      </c>
      <c r="AP997">
        <f>IFERROR(IF(AY997&lt;($AM$10-$AL$10)/($AN$10-$AL$10),$AL$10+SQRT(AY997*($AN$10-$AL$10)*($AM$10-$AL$10)),$AN$10-SQRT((1-AY997)*($AN$10-$AL$10)*($AN$10-$AM$10))),$AM$10)</f>
        <v/>
      </c>
      <c r="AQ997">
        <f>IFERROR(IF(AZ997&lt;($AM$11-$AL$11)/($AN$11-$AL$11),$AL$11+SQRT(AZ997*($AN$11-$AL$11)*($AM$11-$AL$11)),$AN$11-SQRT((1-AZ997)*($AN$11-$AL$11)*($AN$11-$AM$11))),$AM$11)</f>
        <v/>
      </c>
      <c r="AR997">
        <f>SUMPRODUCT((B24:B31&lt;=$B$6)*(C24:C31*AM997+D24:D31*AO997*$B$8*AQ997)/(1+AL997/100)^B24:B31)+C32*AM997*AP997/(1+AL997/100)^$B$6</f>
        <v/>
      </c>
      <c r="AS997">
        <f>SUMPRODUCT((K24:K26&lt;=$B$6)*(L24:L26*AN997+M24:M26*AO997*$B$8*AQ997)/(1+AL997/100)^K24:K26)+L27*AN997*AP997/(1+AL997/100)^$B$6</f>
        <v/>
      </c>
      <c r="AT997">
        <f>AS997-AR997</f>
        <v/>
      </c>
      <c r="AU997">
        <f>RAND()</f>
        <v/>
      </c>
      <c r="AV997">
        <f>RAND()</f>
        <v/>
      </c>
      <c r="AW997">
        <f>RAND()</f>
        <v/>
      </c>
      <c r="AX997">
        <f>RAND()</f>
        <v/>
      </c>
      <c r="AY997">
        <f>RAND()</f>
        <v/>
      </c>
      <c r="AZ997">
        <f>RAND()</f>
        <v/>
      </c>
    </row>
    <row r="998">
      <c r="AK998" t="n">
        <v>985</v>
      </c>
      <c r="AL998">
        <f>IFERROR(IF(AU998&lt;($AM$6-$AL$6)/($AN$6-$AL$6),$AL$6+SQRT(AU998*($AN$6-$AL$6)*($AM$6-$AL$6)),$AN$6-SQRT((1-AU998)*($AN$6-$AL$6)*($AN$6-$AM$6))),$AM$6)</f>
        <v/>
      </c>
      <c r="AM998">
        <f>IFERROR(IF(AV998&lt;($AM$7-$AL$7)/($AN$7-$AL$7),$AL$7+SQRT(AV998*($AN$7-$AL$7)*($AM$7-$AL$7)),$AN$7-SQRT((1-AV998)*($AN$7-$AL$7)*($AN$7-$AM$7))),$AM$7)</f>
        <v/>
      </c>
      <c r="AN998">
        <f>IFERROR(IF(AW998&lt;($AM$8-$AL$8)/($AN$8-$AL$8),$AL$8+SQRT(AW998*($AN$8-$AL$8)*($AM$8-$AL$8)),$AN$8-SQRT((1-AW998)*($AN$8-$AL$8)*($AN$8-$AM$8))),$AM$8)</f>
        <v/>
      </c>
      <c r="AO998">
        <f>IFERROR(IF(AX998&lt;($AM$9-$AL$9)/($AN$9-$AL$9),$AL$9+SQRT(AX998*($AN$9-$AL$9)*($AM$9-$AL$9)),$AN$9-SQRT((1-AX998)*($AN$9-$AL$9)*($AN$9-$AM$9))),$AM$9)</f>
        <v/>
      </c>
      <c r="AP998">
        <f>IFERROR(IF(AY998&lt;($AM$10-$AL$10)/($AN$10-$AL$10),$AL$10+SQRT(AY998*($AN$10-$AL$10)*($AM$10-$AL$10)),$AN$10-SQRT((1-AY998)*($AN$10-$AL$10)*($AN$10-$AM$10))),$AM$10)</f>
        <v/>
      </c>
      <c r="AQ998">
        <f>IFERROR(IF(AZ998&lt;($AM$11-$AL$11)/($AN$11-$AL$11),$AL$11+SQRT(AZ998*($AN$11-$AL$11)*($AM$11-$AL$11)),$AN$11-SQRT((1-AZ998)*($AN$11-$AL$11)*($AN$11-$AM$11))),$AM$11)</f>
        <v/>
      </c>
      <c r="AR998">
        <f>SUMPRODUCT((B24:B31&lt;=$B$6)*(C24:C31*AM998+D24:D31*AO998*$B$8*AQ998)/(1+AL998/100)^B24:B31)+C32*AM998*AP998/(1+AL998/100)^$B$6</f>
        <v/>
      </c>
      <c r="AS998">
        <f>SUMPRODUCT((K24:K26&lt;=$B$6)*(L24:L26*AN998+M24:M26*AO998*$B$8*AQ998)/(1+AL998/100)^K24:K26)+L27*AN998*AP998/(1+AL998/100)^$B$6</f>
        <v/>
      </c>
      <c r="AT998">
        <f>AS998-AR998</f>
        <v/>
      </c>
      <c r="AU998">
        <f>RAND()</f>
        <v/>
      </c>
      <c r="AV998">
        <f>RAND()</f>
        <v/>
      </c>
      <c r="AW998">
        <f>RAND()</f>
        <v/>
      </c>
      <c r="AX998">
        <f>RAND()</f>
        <v/>
      </c>
      <c r="AY998">
        <f>RAND()</f>
        <v/>
      </c>
      <c r="AZ998">
        <f>RAND()</f>
        <v/>
      </c>
    </row>
    <row r="999">
      <c r="AK999" t="n">
        <v>986</v>
      </c>
      <c r="AL999">
        <f>IFERROR(IF(AU999&lt;($AM$6-$AL$6)/($AN$6-$AL$6),$AL$6+SQRT(AU999*($AN$6-$AL$6)*($AM$6-$AL$6)),$AN$6-SQRT((1-AU999)*($AN$6-$AL$6)*($AN$6-$AM$6))),$AM$6)</f>
        <v/>
      </c>
      <c r="AM999">
        <f>IFERROR(IF(AV999&lt;($AM$7-$AL$7)/($AN$7-$AL$7),$AL$7+SQRT(AV999*($AN$7-$AL$7)*($AM$7-$AL$7)),$AN$7-SQRT((1-AV999)*($AN$7-$AL$7)*($AN$7-$AM$7))),$AM$7)</f>
        <v/>
      </c>
      <c r="AN999">
        <f>IFERROR(IF(AW999&lt;($AM$8-$AL$8)/($AN$8-$AL$8),$AL$8+SQRT(AW999*($AN$8-$AL$8)*($AM$8-$AL$8)),$AN$8-SQRT((1-AW999)*($AN$8-$AL$8)*($AN$8-$AM$8))),$AM$8)</f>
        <v/>
      </c>
      <c r="AO999">
        <f>IFERROR(IF(AX999&lt;($AM$9-$AL$9)/($AN$9-$AL$9),$AL$9+SQRT(AX999*($AN$9-$AL$9)*($AM$9-$AL$9)),$AN$9-SQRT((1-AX999)*($AN$9-$AL$9)*($AN$9-$AM$9))),$AM$9)</f>
        <v/>
      </c>
      <c r="AP999">
        <f>IFERROR(IF(AY999&lt;($AM$10-$AL$10)/($AN$10-$AL$10),$AL$10+SQRT(AY999*($AN$10-$AL$10)*($AM$10-$AL$10)),$AN$10-SQRT((1-AY999)*($AN$10-$AL$10)*($AN$10-$AM$10))),$AM$10)</f>
        <v/>
      </c>
      <c r="AQ999">
        <f>IFERROR(IF(AZ999&lt;($AM$11-$AL$11)/($AN$11-$AL$11),$AL$11+SQRT(AZ999*($AN$11-$AL$11)*($AM$11-$AL$11)),$AN$11-SQRT((1-AZ999)*($AN$11-$AL$11)*($AN$11-$AM$11))),$AM$11)</f>
        <v/>
      </c>
      <c r="AR999">
        <f>SUMPRODUCT((B24:B31&lt;=$B$6)*(C24:C31*AM999+D24:D31*AO999*$B$8*AQ999)/(1+AL999/100)^B24:B31)+C32*AM999*AP999/(1+AL999/100)^$B$6</f>
        <v/>
      </c>
      <c r="AS999">
        <f>SUMPRODUCT((K24:K26&lt;=$B$6)*(L24:L26*AN999+M24:M26*AO999*$B$8*AQ999)/(1+AL999/100)^K24:K26)+L27*AN999*AP999/(1+AL999/100)^$B$6</f>
        <v/>
      </c>
      <c r="AT999">
        <f>AS999-AR999</f>
        <v/>
      </c>
      <c r="AU999">
        <f>RAND()</f>
        <v/>
      </c>
      <c r="AV999">
        <f>RAND()</f>
        <v/>
      </c>
      <c r="AW999">
        <f>RAND()</f>
        <v/>
      </c>
      <c r="AX999">
        <f>RAND()</f>
        <v/>
      </c>
      <c r="AY999">
        <f>RAND()</f>
        <v/>
      </c>
      <c r="AZ999">
        <f>RAND()</f>
        <v/>
      </c>
    </row>
    <row r="1000">
      <c r="AK1000" t="n">
        <v>987</v>
      </c>
      <c r="AL1000">
        <f>IFERROR(IF(AU1000&lt;($AM$6-$AL$6)/($AN$6-$AL$6),$AL$6+SQRT(AU1000*($AN$6-$AL$6)*($AM$6-$AL$6)),$AN$6-SQRT((1-AU1000)*($AN$6-$AL$6)*($AN$6-$AM$6))),$AM$6)</f>
        <v/>
      </c>
      <c r="AM1000">
        <f>IFERROR(IF(AV1000&lt;($AM$7-$AL$7)/($AN$7-$AL$7),$AL$7+SQRT(AV1000*($AN$7-$AL$7)*($AM$7-$AL$7)),$AN$7-SQRT((1-AV1000)*($AN$7-$AL$7)*($AN$7-$AM$7))),$AM$7)</f>
        <v/>
      </c>
      <c r="AN1000">
        <f>IFERROR(IF(AW1000&lt;($AM$8-$AL$8)/($AN$8-$AL$8),$AL$8+SQRT(AW1000*($AN$8-$AL$8)*($AM$8-$AL$8)),$AN$8-SQRT((1-AW1000)*($AN$8-$AL$8)*($AN$8-$AM$8))),$AM$8)</f>
        <v/>
      </c>
      <c r="AO1000">
        <f>IFERROR(IF(AX1000&lt;($AM$9-$AL$9)/($AN$9-$AL$9),$AL$9+SQRT(AX1000*($AN$9-$AL$9)*($AM$9-$AL$9)),$AN$9-SQRT((1-AX1000)*($AN$9-$AL$9)*($AN$9-$AM$9))),$AM$9)</f>
        <v/>
      </c>
      <c r="AP1000">
        <f>IFERROR(IF(AY1000&lt;($AM$10-$AL$10)/($AN$10-$AL$10),$AL$10+SQRT(AY1000*($AN$10-$AL$10)*($AM$10-$AL$10)),$AN$10-SQRT((1-AY1000)*($AN$10-$AL$10)*($AN$10-$AM$10))),$AM$10)</f>
        <v/>
      </c>
      <c r="AQ1000">
        <f>IFERROR(IF(AZ1000&lt;($AM$11-$AL$11)/($AN$11-$AL$11),$AL$11+SQRT(AZ1000*($AN$11-$AL$11)*($AM$11-$AL$11)),$AN$11-SQRT((1-AZ1000)*($AN$11-$AL$11)*($AN$11-$AM$11))),$AM$11)</f>
        <v/>
      </c>
      <c r="AR1000">
        <f>SUMPRODUCT((B24:B31&lt;=$B$6)*(C24:C31*AM1000+D24:D31*AO1000*$B$8*AQ1000)/(1+AL1000/100)^B24:B31)+C32*AM1000*AP1000/(1+AL1000/100)^$B$6</f>
        <v/>
      </c>
      <c r="AS1000">
        <f>SUMPRODUCT((K24:K26&lt;=$B$6)*(L24:L26*AN1000+M24:M26*AO1000*$B$8*AQ1000)/(1+AL1000/100)^K24:K26)+L27*AN1000*AP1000/(1+AL1000/100)^$B$6</f>
        <v/>
      </c>
      <c r="AT1000">
        <f>AS1000-AR1000</f>
        <v/>
      </c>
      <c r="AU1000">
        <f>RAND()</f>
        <v/>
      </c>
      <c r="AV1000">
        <f>RAND()</f>
        <v/>
      </c>
      <c r="AW1000">
        <f>RAND()</f>
        <v/>
      </c>
      <c r="AX1000">
        <f>RAND()</f>
        <v/>
      </c>
      <c r="AY1000">
        <f>RAND()</f>
        <v/>
      </c>
      <c r="AZ1000">
        <f>RAND()</f>
        <v/>
      </c>
    </row>
    <row r="1001">
      <c r="AK1001" t="n">
        <v>988</v>
      </c>
      <c r="AL1001">
        <f>IFERROR(IF(AU1001&lt;($AM$6-$AL$6)/($AN$6-$AL$6),$AL$6+SQRT(AU1001*($AN$6-$AL$6)*($AM$6-$AL$6)),$AN$6-SQRT((1-AU1001)*($AN$6-$AL$6)*($AN$6-$AM$6))),$AM$6)</f>
        <v/>
      </c>
      <c r="AM1001">
        <f>IFERROR(IF(AV1001&lt;($AM$7-$AL$7)/($AN$7-$AL$7),$AL$7+SQRT(AV1001*($AN$7-$AL$7)*($AM$7-$AL$7)),$AN$7-SQRT((1-AV1001)*($AN$7-$AL$7)*($AN$7-$AM$7))),$AM$7)</f>
        <v/>
      </c>
      <c r="AN1001">
        <f>IFERROR(IF(AW1001&lt;($AM$8-$AL$8)/($AN$8-$AL$8),$AL$8+SQRT(AW1001*($AN$8-$AL$8)*($AM$8-$AL$8)),$AN$8-SQRT((1-AW1001)*($AN$8-$AL$8)*($AN$8-$AM$8))),$AM$8)</f>
        <v/>
      </c>
      <c r="AO1001">
        <f>IFERROR(IF(AX1001&lt;($AM$9-$AL$9)/($AN$9-$AL$9),$AL$9+SQRT(AX1001*($AN$9-$AL$9)*($AM$9-$AL$9)),$AN$9-SQRT((1-AX1001)*($AN$9-$AL$9)*($AN$9-$AM$9))),$AM$9)</f>
        <v/>
      </c>
      <c r="AP1001">
        <f>IFERROR(IF(AY1001&lt;($AM$10-$AL$10)/($AN$10-$AL$10),$AL$10+SQRT(AY1001*($AN$10-$AL$10)*($AM$10-$AL$10)),$AN$10-SQRT((1-AY1001)*($AN$10-$AL$10)*($AN$10-$AM$10))),$AM$10)</f>
        <v/>
      </c>
      <c r="AQ1001">
        <f>IFERROR(IF(AZ1001&lt;($AM$11-$AL$11)/($AN$11-$AL$11),$AL$11+SQRT(AZ1001*($AN$11-$AL$11)*($AM$11-$AL$11)),$AN$11-SQRT((1-AZ1001)*($AN$11-$AL$11)*($AN$11-$AM$11))),$AM$11)</f>
        <v/>
      </c>
      <c r="AR1001">
        <f>SUMPRODUCT((B24:B31&lt;=$B$6)*(C24:C31*AM1001+D24:D31*AO1001*$B$8*AQ1001)/(1+AL1001/100)^B24:B31)+C32*AM1001*AP1001/(1+AL1001/100)^$B$6</f>
        <v/>
      </c>
      <c r="AS1001">
        <f>SUMPRODUCT((K24:K26&lt;=$B$6)*(L24:L26*AN1001+M24:M26*AO1001*$B$8*AQ1001)/(1+AL1001/100)^K24:K26)+L27*AN1001*AP1001/(1+AL1001/100)^$B$6</f>
        <v/>
      </c>
      <c r="AT1001">
        <f>AS1001-AR1001</f>
        <v/>
      </c>
      <c r="AU1001">
        <f>RAND()</f>
        <v/>
      </c>
      <c r="AV1001">
        <f>RAND()</f>
        <v/>
      </c>
      <c r="AW1001">
        <f>RAND()</f>
        <v/>
      </c>
      <c r="AX1001">
        <f>RAND()</f>
        <v/>
      </c>
      <c r="AY1001">
        <f>RAND()</f>
        <v/>
      </c>
      <c r="AZ1001">
        <f>RAND()</f>
        <v/>
      </c>
    </row>
    <row r="1002">
      <c r="AK1002" t="n">
        <v>989</v>
      </c>
      <c r="AL1002">
        <f>IFERROR(IF(AU1002&lt;($AM$6-$AL$6)/($AN$6-$AL$6),$AL$6+SQRT(AU1002*($AN$6-$AL$6)*($AM$6-$AL$6)),$AN$6-SQRT((1-AU1002)*($AN$6-$AL$6)*($AN$6-$AM$6))),$AM$6)</f>
        <v/>
      </c>
      <c r="AM1002">
        <f>IFERROR(IF(AV1002&lt;($AM$7-$AL$7)/($AN$7-$AL$7),$AL$7+SQRT(AV1002*($AN$7-$AL$7)*($AM$7-$AL$7)),$AN$7-SQRT((1-AV1002)*($AN$7-$AL$7)*($AN$7-$AM$7))),$AM$7)</f>
        <v/>
      </c>
      <c r="AN1002">
        <f>IFERROR(IF(AW1002&lt;($AM$8-$AL$8)/($AN$8-$AL$8),$AL$8+SQRT(AW1002*($AN$8-$AL$8)*($AM$8-$AL$8)),$AN$8-SQRT((1-AW1002)*($AN$8-$AL$8)*($AN$8-$AM$8))),$AM$8)</f>
        <v/>
      </c>
      <c r="AO1002">
        <f>IFERROR(IF(AX1002&lt;($AM$9-$AL$9)/($AN$9-$AL$9),$AL$9+SQRT(AX1002*($AN$9-$AL$9)*($AM$9-$AL$9)),$AN$9-SQRT((1-AX1002)*($AN$9-$AL$9)*($AN$9-$AM$9))),$AM$9)</f>
        <v/>
      </c>
      <c r="AP1002">
        <f>IFERROR(IF(AY1002&lt;($AM$10-$AL$10)/($AN$10-$AL$10),$AL$10+SQRT(AY1002*($AN$10-$AL$10)*($AM$10-$AL$10)),$AN$10-SQRT((1-AY1002)*($AN$10-$AL$10)*($AN$10-$AM$10))),$AM$10)</f>
        <v/>
      </c>
      <c r="AQ1002">
        <f>IFERROR(IF(AZ1002&lt;($AM$11-$AL$11)/($AN$11-$AL$11),$AL$11+SQRT(AZ1002*($AN$11-$AL$11)*($AM$11-$AL$11)),$AN$11-SQRT((1-AZ1002)*($AN$11-$AL$11)*($AN$11-$AM$11))),$AM$11)</f>
        <v/>
      </c>
      <c r="AR1002">
        <f>SUMPRODUCT((B24:B31&lt;=$B$6)*(C24:C31*AM1002+D24:D31*AO1002*$B$8*AQ1002)/(1+AL1002/100)^B24:B31)+C32*AM1002*AP1002/(1+AL1002/100)^$B$6</f>
        <v/>
      </c>
      <c r="AS1002">
        <f>SUMPRODUCT((K24:K26&lt;=$B$6)*(L24:L26*AN1002+M24:M26*AO1002*$B$8*AQ1002)/(1+AL1002/100)^K24:K26)+L27*AN1002*AP1002/(1+AL1002/100)^$B$6</f>
        <v/>
      </c>
      <c r="AT1002">
        <f>AS1002-AR1002</f>
        <v/>
      </c>
      <c r="AU1002">
        <f>RAND()</f>
        <v/>
      </c>
      <c r="AV1002">
        <f>RAND()</f>
        <v/>
      </c>
      <c r="AW1002">
        <f>RAND()</f>
        <v/>
      </c>
      <c r="AX1002">
        <f>RAND()</f>
        <v/>
      </c>
      <c r="AY1002">
        <f>RAND()</f>
        <v/>
      </c>
      <c r="AZ1002">
        <f>RAND()</f>
        <v/>
      </c>
    </row>
    <row r="1003">
      <c r="AK1003" t="n">
        <v>990</v>
      </c>
      <c r="AL1003">
        <f>IFERROR(IF(AU1003&lt;($AM$6-$AL$6)/($AN$6-$AL$6),$AL$6+SQRT(AU1003*($AN$6-$AL$6)*($AM$6-$AL$6)),$AN$6-SQRT((1-AU1003)*($AN$6-$AL$6)*($AN$6-$AM$6))),$AM$6)</f>
        <v/>
      </c>
      <c r="AM1003">
        <f>IFERROR(IF(AV1003&lt;($AM$7-$AL$7)/($AN$7-$AL$7),$AL$7+SQRT(AV1003*($AN$7-$AL$7)*($AM$7-$AL$7)),$AN$7-SQRT((1-AV1003)*($AN$7-$AL$7)*($AN$7-$AM$7))),$AM$7)</f>
        <v/>
      </c>
      <c r="AN1003">
        <f>IFERROR(IF(AW1003&lt;($AM$8-$AL$8)/($AN$8-$AL$8),$AL$8+SQRT(AW1003*($AN$8-$AL$8)*($AM$8-$AL$8)),$AN$8-SQRT((1-AW1003)*($AN$8-$AL$8)*($AN$8-$AM$8))),$AM$8)</f>
        <v/>
      </c>
      <c r="AO1003">
        <f>IFERROR(IF(AX1003&lt;($AM$9-$AL$9)/($AN$9-$AL$9),$AL$9+SQRT(AX1003*($AN$9-$AL$9)*($AM$9-$AL$9)),$AN$9-SQRT((1-AX1003)*($AN$9-$AL$9)*($AN$9-$AM$9))),$AM$9)</f>
        <v/>
      </c>
      <c r="AP1003">
        <f>IFERROR(IF(AY1003&lt;($AM$10-$AL$10)/($AN$10-$AL$10),$AL$10+SQRT(AY1003*($AN$10-$AL$10)*($AM$10-$AL$10)),$AN$10-SQRT((1-AY1003)*($AN$10-$AL$10)*($AN$10-$AM$10))),$AM$10)</f>
        <v/>
      </c>
      <c r="AQ1003">
        <f>IFERROR(IF(AZ1003&lt;($AM$11-$AL$11)/($AN$11-$AL$11),$AL$11+SQRT(AZ1003*($AN$11-$AL$11)*($AM$11-$AL$11)),$AN$11-SQRT((1-AZ1003)*($AN$11-$AL$11)*($AN$11-$AM$11))),$AM$11)</f>
        <v/>
      </c>
      <c r="AR1003">
        <f>SUMPRODUCT((B24:B31&lt;=$B$6)*(C24:C31*AM1003+D24:D31*AO1003*$B$8*AQ1003)/(1+AL1003/100)^B24:B31)+C32*AM1003*AP1003/(1+AL1003/100)^$B$6</f>
        <v/>
      </c>
      <c r="AS1003">
        <f>SUMPRODUCT((K24:K26&lt;=$B$6)*(L24:L26*AN1003+M24:M26*AO1003*$B$8*AQ1003)/(1+AL1003/100)^K24:K26)+L27*AN1003*AP1003/(1+AL1003/100)^$B$6</f>
        <v/>
      </c>
      <c r="AT1003">
        <f>AS1003-AR1003</f>
        <v/>
      </c>
      <c r="AU1003">
        <f>RAND()</f>
        <v/>
      </c>
      <c r="AV1003">
        <f>RAND()</f>
        <v/>
      </c>
      <c r="AW1003">
        <f>RAND()</f>
        <v/>
      </c>
      <c r="AX1003">
        <f>RAND()</f>
        <v/>
      </c>
      <c r="AY1003">
        <f>RAND()</f>
        <v/>
      </c>
      <c r="AZ1003">
        <f>RAND()</f>
        <v/>
      </c>
    </row>
    <row r="1004">
      <c r="AK1004" t="n">
        <v>991</v>
      </c>
      <c r="AL1004">
        <f>IFERROR(IF(AU1004&lt;($AM$6-$AL$6)/($AN$6-$AL$6),$AL$6+SQRT(AU1004*($AN$6-$AL$6)*($AM$6-$AL$6)),$AN$6-SQRT((1-AU1004)*($AN$6-$AL$6)*($AN$6-$AM$6))),$AM$6)</f>
        <v/>
      </c>
      <c r="AM1004">
        <f>IFERROR(IF(AV1004&lt;($AM$7-$AL$7)/($AN$7-$AL$7),$AL$7+SQRT(AV1004*($AN$7-$AL$7)*($AM$7-$AL$7)),$AN$7-SQRT((1-AV1004)*($AN$7-$AL$7)*($AN$7-$AM$7))),$AM$7)</f>
        <v/>
      </c>
      <c r="AN1004">
        <f>IFERROR(IF(AW1004&lt;($AM$8-$AL$8)/($AN$8-$AL$8),$AL$8+SQRT(AW1004*($AN$8-$AL$8)*($AM$8-$AL$8)),$AN$8-SQRT((1-AW1004)*($AN$8-$AL$8)*($AN$8-$AM$8))),$AM$8)</f>
        <v/>
      </c>
      <c r="AO1004">
        <f>IFERROR(IF(AX1004&lt;($AM$9-$AL$9)/($AN$9-$AL$9),$AL$9+SQRT(AX1004*($AN$9-$AL$9)*($AM$9-$AL$9)),$AN$9-SQRT((1-AX1004)*($AN$9-$AL$9)*($AN$9-$AM$9))),$AM$9)</f>
        <v/>
      </c>
      <c r="AP1004">
        <f>IFERROR(IF(AY1004&lt;($AM$10-$AL$10)/($AN$10-$AL$10),$AL$10+SQRT(AY1004*($AN$10-$AL$10)*($AM$10-$AL$10)),$AN$10-SQRT((1-AY1004)*($AN$10-$AL$10)*($AN$10-$AM$10))),$AM$10)</f>
        <v/>
      </c>
      <c r="AQ1004">
        <f>IFERROR(IF(AZ1004&lt;($AM$11-$AL$11)/($AN$11-$AL$11),$AL$11+SQRT(AZ1004*($AN$11-$AL$11)*($AM$11-$AL$11)),$AN$11-SQRT((1-AZ1004)*($AN$11-$AL$11)*($AN$11-$AM$11))),$AM$11)</f>
        <v/>
      </c>
      <c r="AR1004">
        <f>SUMPRODUCT((B24:B31&lt;=$B$6)*(C24:C31*AM1004+D24:D31*AO1004*$B$8*AQ1004)/(1+AL1004/100)^B24:B31)+C32*AM1004*AP1004/(1+AL1004/100)^$B$6</f>
        <v/>
      </c>
      <c r="AS1004">
        <f>SUMPRODUCT((K24:K26&lt;=$B$6)*(L24:L26*AN1004+M24:M26*AO1004*$B$8*AQ1004)/(1+AL1004/100)^K24:K26)+L27*AN1004*AP1004/(1+AL1004/100)^$B$6</f>
        <v/>
      </c>
      <c r="AT1004">
        <f>AS1004-AR1004</f>
        <v/>
      </c>
      <c r="AU1004">
        <f>RAND()</f>
        <v/>
      </c>
      <c r="AV1004">
        <f>RAND()</f>
        <v/>
      </c>
      <c r="AW1004">
        <f>RAND()</f>
        <v/>
      </c>
      <c r="AX1004">
        <f>RAND()</f>
        <v/>
      </c>
      <c r="AY1004">
        <f>RAND()</f>
        <v/>
      </c>
      <c r="AZ1004">
        <f>RAND()</f>
        <v/>
      </c>
    </row>
    <row r="1005">
      <c r="AK1005" t="n">
        <v>992</v>
      </c>
      <c r="AL1005">
        <f>IFERROR(IF(AU1005&lt;($AM$6-$AL$6)/($AN$6-$AL$6),$AL$6+SQRT(AU1005*($AN$6-$AL$6)*($AM$6-$AL$6)),$AN$6-SQRT((1-AU1005)*($AN$6-$AL$6)*($AN$6-$AM$6))),$AM$6)</f>
        <v/>
      </c>
      <c r="AM1005">
        <f>IFERROR(IF(AV1005&lt;($AM$7-$AL$7)/($AN$7-$AL$7),$AL$7+SQRT(AV1005*($AN$7-$AL$7)*($AM$7-$AL$7)),$AN$7-SQRT((1-AV1005)*($AN$7-$AL$7)*($AN$7-$AM$7))),$AM$7)</f>
        <v/>
      </c>
      <c r="AN1005">
        <f>IFERROR(IF(AW1005&lt;($AM$8-$AL$8)/($AN$8-$AL$8),$AL$8+SQRT(AW1005*($AN$8-$AL$8)*($AM$8-$AL$8)),$AN$8-SQRT((1-AW1005)*($AN$8-$AL$8)*($AN$8-$AM$8))),$AM$8)</f>
        <v/>
      </c>
      <c r="AO1005">
        <f>IFERROR(IF(AX1005&lt;($AM$9-$AL$9)/($AN$9-$AL$9),$AL$9+SQRT(AX1005*($AN$9-$AL$9)*($AM$9-$AL$9)),$AN$9-SQRT((1-AX1005)*($AN$9-$AL$9)*($AN$9-$AM$9))),$AM$9)</f>
        <v/>
      </c>
      <c r="AP1005">
        <f>IFERROR(IF(AY1005&lt;($AM$10-$AL$10)/($AN$10-$AL$10),$AL$10+SQRT(AY1005*($AN$10-$AL$10)*($AM$10-$AL$10)),$AN$10-SQRT((1-AY1005)*($AN$10-$AL$10)*($AN$10-$AM$10))),$AM$10)</f>
        <v/>
      </c>
      <c r="AQ1005">
        <f>IFERROR(IF(AZ1005&lt;($AM$11-$AL$11)/($AN$11-$AL$11),$AL$11+SQRT(AZ1005*($AN$11-$AL$11)*($AM$11-$AL$11)),$AN$11-SQRT((1-AZ1005)*($AN$11-$AL$11)*($AN$11-$AM$11))),$AM$11)</f>
        <v/>
      </c>
      <c r="AR1005">
        <f>SUMPRODUCT((B24:B31&lt;=$B$6)*(C24:C31*AM1005+D24:D31*AO1005*$B$8*AQ1005)/(1+AL1005/100)^B24:B31)+C32*AM1005*AP1005/(1+AL1005/100)^$B$6</f>
        <v/>
      </c>
      <c r="AS1005">
        <f>SUMPRODUCT((K24:K26&lt;=$B$6)*(L24:L26*AN1005+M24:M26*AO1005*$B$8*AQ1005)/(1+AL1005/100)^K24:K26)+L27*AN1005*AP1005/(1+AL1005/100)^$B$6</f>
        <v/>
      </c>
      <c r="AT1005">
        <f>AS1005-AR1005</f>
        <v/>
      </c>
      <c r="AU1005">
        <f>RAND()</f>
        <v/>
      </c>
      <c r="AV1005">
        <f>RAND()</f>
        <v/>
      </c>
      <c r="AW1005">
        <f>RAND()</f>
        <v/>
      </c>
      <c r="AX1005">
        <f>RAND()</f>
        <v/>
      </c>
      <c r="AY1005">
        <f>RAND()</f>
        <v/>
      </c>
      <c r="AZ1005">
        <f>RAND()</f>
        <v/>
      </c>
    </row>
    <row r="1006">
      <c r="AK1006" t="n">
        <v>993</v>
      </c>
      <c r="AL1006">
        <f>IFERROR(IF(AU1006&lt;($AM$6-$AL$6)/($AN$6-$AL$6),$AL$6+SQRT(AU1006*($AN$6-$AL$6)*($AM$6-$AL$6)),$AN$6-SQRT((1-AU1006)*($AN$6-$AL$6)*($AN$6-$AM$6))),$AM$6)</f>
        <v/>
      </c>
      <c r="AM1006">
        <f>IFERROR(IF(AV1006&lt;($AM$7-$AL$7)/($AN$7-$AL$7),$AL$7+SQRT(AV1006*($AN$7-$AL$7)*($AM$7-$AL$7)),$AN$7-SQRT((1-AV1006)*($AN$7-$AL$7)*($AN$7-$AM$7))),$AM$7)</f>
        <v/>
      </c>
      <c r="AN1006">
        <f>IFERROR(IF(AW1006&lt;($AM$8-$AL$8)/($AN$8-$AL$8),$AL$8+SQRT(AW1006*($AN$8-$AL$8)*($AM$8-$AL$8)),$AN$8-SQRT((1-AW1006)*($AN$8-$AL$8)*($AN$8-$AM$8))),$AM$8)</f>
        <v/>
      </c>
      <c r="AO1006">
        <f>IFERROR(IF(AX1006&lt;($AM$9-$AL$9)/($AN$9-$AL$9),$AL$9+SQRT(AX1006*($AN$9-$AL$9)*($AM$9-$AL$9)),$AN$9-SQRT((1-AX1006)*($AN$9-$AL$9)*($AN$9-$AM$9))),$AM$9)</f>
        <v/>
      </c>
      <c r="AP1006">
        <f>IFERROR(IF(AY1006&lt;($AM$10-$AL$10)/($AN$10-$AL$10),$AL$10+SQRT(AY1006*($AN$10-$AL$10)*($AM$10-$AL$10)),$AN$10-SQRT((1-AY1006)*($AN$10-$AL$10)*($AN$10-$AM$10))),$AM$10)</f>
        <v/>
      </c>
      <c r="AQ1006">
        <f>IFERROR(IF(AZ1006&lt;($AM$11-$AL$11)/($AN$11-$AL$11),$AL$11+SQRT(AZ1006*($AN$11-$AL$11)*($AM$11-$AL$11)),$AN$11-SQRT((1-AZ1006)*($AN$11-$AL$11)*($AN$11-$AM$11))),$AM$11)</f>
        <v/>
      </c>
      <c r="AR1006">
        <f>SUMPRODUCT((B24:B31&lt;=$B$6)*(C24:C31*AM1006+D24:D31*AO1006*$B$8*AQ1006)/(1+AL1006/100)^B24:B31)+C32*AM1006*AP1006/(1+AL1006/100)^$B$6</f>
        <v/>
      </c>
      <c r="AS1006">
        <f>SUMPRODUCT((K24:K26&lt;=$B$6)*(L24:L26*AN1006+M24:M26*AO1006*$B$8*AQ1006)/(1+AL1006/100)^K24:K26)+L27*AN1006*AP1006/(1+AL1006/100)^$B$6</f>
        <v/>
      </c>
      <c r="AT1006">
        <f>AS1006-AR1006</f>
        <v/>
      </c>
      <c r="AU1006">
        <f>RAND()</f>
        <v/>
      </c>
      <c r="AV1006">
        <f>RAND()</f>
        <v/>
      </c>
      <c r="AW1006">
        <f>RAND()</f>
        <v/>
      </c>
      <c r="AX1006">
        <f>RAND()</f>
        <v/>
      </c>
      <c r="AY1006">
        <f>RAND()</f>
        <v/>
      </c>
      <c r="AZ1006">
        <f>RAND()</f>
        <v/>
      </c>
    </row>
    <row r="1007">
      <c r="AK1007" t="n">
        <v>994</v>
      </c>
      <c r="AL1007">
        <f>IFERROR(IF(AU1007&lt;($AM$6-$AL$6)/($AN$6-$AL$6),$AL$6+SQRT(AU1007*($AN$6-$AL$6)*($AM$6-$AL$6)),$AN$6-SQRT((1-AU1007)*($AN$6-$AL$6)*($AN$6-$AM$6))),$AM$6)</f>
        <v/>
      </c>
      <c r="AM1007">
        <f>IFERROR(IF(AV1007&lt;($AM$7-$AL$7)/($AN$7-$AL$7),$AL$7+SQRT(AV1007*($AN$7-$AL$7)*($AM$7-$AL$7)),$AN$7-SQRT((1-AV1007)*($AN$7-$AL$7)*($AN$7-$AM$7))),$AM$7)</f>
        <v/>
      </c>
      <c r="AN1007">
        <f>IFERROR(IF(AW1007&lt;($AM$8-$AL$8)/($AN$8-$AL$8),$AL$8+SQRT(AW1007*($AN$8-$AL$8)*($AM$8-$AL$8)),$AN$8-SQRT((1-AW1007)*($AN$8-$AL$8)*($AN$8-$AM$8))),$AM$8)</f>
        <v/>
      </c>
      <c r="AO1007">
        <f>IFERROR(IF(AX1007&lt;($AM$9-$AL$9)/($AN$9-$AL$9),$AL$9+SQRT(AX1007*($AN$9-$AL$9)*($AM$9-$AL$9)),$AN$9-SQRT((1-AX1007)*($AN$9-$AL$9)*($AN$9-$AM$9))),$AM$9)</f>
        <v/>
      </c>
      <c r="AP1007">
        <f>IFERROR(IF(AY1007&lt;($AM$10-$AL$10)/($AN$10-$AL$10),$AL$10+SQRT(AY1007*($AN$10-$AL$10)*($AM$10-$AL$10)),$AN$10-SQRT((1-AY1007)*($AN$10-$AL$10)*($AN$10-$AM$10))),$AM$10)</f>
        <v/>
      </c>
      <c r="AQ1007">
        <f>IFERROR(IF(AZ1007&lt;($AM$11-$AL$11)/($AN$11-$AL$11),$AL$11+SQRT(AZ1007*($AN$11-$AL$11)*($AM$11-$AL$11)),$AN$11-SQRT((1-AZ1007)*($AN$11-$AL$11)*($AN$11-$AM$11))),$AM$11)</f>
        <v/>
      </c>
      <c r="AR1007">
        <f>SUMPRODUCT((B24:B31&lt;=$B$6)*(C24:C31*AM1007+D24:D31*AO1007*$B$8*AQ1007)/(1+AL1007/100)^B24:B31)+C32*AM1007*AP1007/(1+AL1007/100)^$B$6</f>
        <v/>
      </c>
      <c r="AS1007">
        <f>SUMPRODUCT((K24:K26&lt;=$B$6)*(L24:L26*AN1007+M24:M26*AO1007*$B$8*AQ1007)/(1+AL1007/100)^K24:K26)+L27*AN1007*AP1007/(1+AL1007/100)^$B$6</f>
        <v/>
      </c>
      <c r="AT1007">
        <f>AS1007-AR1007</f>
        <v/>
      </c>
      <c r="AU1007">
        <f>RAND()</f>
        <v/>
      </c>
      <c r="AV1007">
        <f>RAND()</f>
        <v/>
      </c>
      <c r="AW1007">
        <f>RAND()</f>
        <v/>
      </c>
      <c r="AX1007">
        <f>RAND()</f>
        <v/>
      </c>
      <c r="AY1007">
        <f>RAND()</f>
        <v/>
      </c>
      <c r="AZ1007">
        <f>RAND()</f>
        <v/>
      </c>
    </row>
    <row r="1008">
      <c r="AK1008" t="n">
        <v>995</v>
      </c>
      <c r="AL1008">
        <f>IFERROR(IF(AU1008&lt;($AM$6-$AL$6)/($AN$6-$AL$6),$AL$6+SQRT(AU1008*($AN$6-$AL$6)*($AM$6-$AL$6)),$AN$6-SQRT((1-AU1008)*($AN$6-$AL$6)*($AN$6-$AM$6))),$AM$6)</f>
        <v/>
      </c>
      <c r="AM1008">
        <f>IFERROR(IF(AV1008&lt;($AM$7-$AL$7)/($AN$7-$AL$7),$AL$7+SQRT(AV1008*($AN$7-$AL$7)*($AM$7-$AL$7)),$AN$7-SQRT((1-AV1008)*($AN$7-$AL$7)*($AN$7-$AM$7))),$AM$7)</f>
        <v/>
      </c>
      <c r="AN1008">
        <f>IFERROR(IF(AW1008&lt;($AM$8-$AL$8)/($AN$8-$AL$8),$AL$8+SQRT(AW1008*($AN$8-$AL$8)*($AM$8-$AL$8)),$AN$8-SQRT((1-AW1008)*($AN$8-$AL$8)*($AN$8-$AM$8))),$AM$8)</f>
        <v/>
      </c>
      <c r="AO1008">
        <f>IFERROR(IF(AX1008&lt;($AM$9-$AL$9)/($AN$9-$AL$9),$AL$9+SQRT(AX1008*($AN$9-$AL$9)*($AM$9-$AL$9)),$AN$9-SQRT((1-AX1008)*($AN$9-$AL$9)*($AN$9-$AM$9))),$AM$9)</f>
        <v/>
      </c>
      <c r="AP1008">
        <f>IFERROR(IF(AY1008&lt;($AM$10-$AL$10)/($AN$10-$AL$10),$AL$10+SQRT(AY1008*($AN$10-$AL$10)*($AM$10-$AL$10)),$AN$10-SQRT((1-AY1008)*($AN$10-$AL$10)*($AN$10-$AM$10))),$AM$10)</f>
        <v/>
      </c>
      <c r="AQ1008">
        <f>IFERROR(IF(AZ1008&lt;($AM$11-$AL$11)/($AN$11-$AL$11),$AL$11+SQRT(AZ1008*($AN$11-$AL$11)*($AM$11-$AL$11)),$AN$11-SQRT((1-AZ1008)*($AN$11-$AL$11)*($AN$11-$AM$11))),$AM$11)</f>
        <v/>
      </c>
      <c r="AR1008">
        <f>SUMPRODUCT((B24:B31&lt;=$B$6)*(C24:C31*AM1008+D24:D31*AO1008*$B$8*AQ1008)/(1+AL1008/100)^B24:B31)+C32*AM1008*AP1008/(1+AL1008/100)^$B$6</f>
        <v/>
      </c>
      <c r="AS1008">
        <f>SUMPRODUCT((K24:K26&lt;=$B$6)*(L24:L26*AN1008+M24:M26*AO1008*$B$8*AQ1008)/(1+AL1008/100)^K24:K26)+L27*AN1008*AP1008/(1+AL1008/100)^$B$6</f>
        <v/>
      </c>
      <c r="AT1008">
        <f>AS1008-AR1008</f>
        <v/>
      </c>
      <c r="AU1008">
        <f>RAND()</f>
        <v/>
      </c>
      <c r="AV1008">
        <f>RAND()</f>
        <v/>
      </c>
      <c r="AW1008">
        <f>RAND()</f>
        <v/>
      </c>
      <c r="AX1008">
        <f>RAND()</f>
        <v/>
      </c>
      <c r="AY1008">
        <f>RAND()</f>
        <v/>
      </c>
      <c r="AZ1008">
        <f>RAND()</f>
        <v/>
      </c>
    </row>
    <row r="1009">
      <c r="AK1009" t="n">
        <v>996</v>
      </c>
      <c r="AL1009">
        <f>IFERROR(IF(AU1009&lt;($AM$6-$AL$6)/($AN$6-$AL$6),$AL$6+SQRT(AU1009*($AN$6-$AL$6)*($AM$6-$AL$6)),$AN$6-SQRT((1-AU1009)*($AN$6-$AL$6)*($AN$6-$AM$6))),$AM$6)</f>
        <v/>
      </c>
      <c r="AM1009">
        <f>IFERROR(IF(AV1009&lt;($AM$7-$AL$7)/($AN$7-$AL$7),$AL$7+SQRT(AV1009*($AN$7-$AL$7)*($AM$7-$AL$7)),$AN$7-SQRT((1-AV1009)*($AN$7-$AL$7)*($AN$7-$AM$7))),$AM$7)</f>
        <v/>
      </c>
      <c r="AN1009">
        <f>IFERROR(IF(AW1009&lt;($AM$8-$AL$8)/($AN$8-$AL$8),$AL$8+SQRT(AW1009*($AN$8-$AL$8)*($AM$8-$AL$8)),$AN$8-SQRT((1-AW1009)*($AN$8-$AL$8)*($AN$8-$AM$8))),$AM$8)</f>
        <v/>
      </c>
      <c r="AO1009">
        <f>IFERROR(IF(AX1009&lt;($AM$9-$AL$9)/($AN$9-$AL$9),$AL$9+SQRT(AX1009*($AN$9-$AL$9)*($AM$9-$AL$9)),$AN$9-SQRT((1-AX1009)*($AN$9-$AL$9)*($AN$9-$AM$9))),$AM$9)</f>
        <v/>
      </c>
      <c r="AP1009">
        <f>IFERROR(IF(AY1009&lt;($AM$10-$AL$10)/($AN$10-$AL$10),$AL$10+SQRT(AY1009*($AN$10-$AL$10)*($AM$10-$AL$10)),$AN$10-SQRT((1-AY1009)*($AN$10-$AL$10)*($AN$10-$AM$10))),$AM$10)</f>
        <v/>
      </c>
      <c r="AQ1009">
        <f>IFERROR(IF(AZ1009&lt;($AM$11-$AL$11)/($AN$11-$AL$11),$AL$11+SQRT(AZ1009*($AN$11-$AL$11)*($AM$11-$AL$11)),$AN$11-SQRT((1-AZ1009)*($AN$11-$AL$11)*($AN$11-$AM$11))),$AM$11)</f>
        <v/>
      </c>
      <c r="AR1009">
        <f>SUMPRODUCT((B24:B31&lt;=$B$6)*(C24:C31*AM1009+D24:D31*AO1009*$B$8*AQ1009)/(1+AL1009/100)^B24:B31)+C32*AM1009*AP1009/(1+AL1009/100)^$B$6</f>
        <v/>
      </c>
      <c r="AS1009">
        <f>SUMPRODUCT((K24:K26&lt;=$B$6)*(L24:L26*AN1009+M24:M26*AO1009*$B$8*AQ1009)/(1+AL1009/100)^K24:K26)+L27*AN1009*AP1009/(1+AL1009/100)^$B$6</f>
        <v/>
      </c>
      <c r="AT1009">
        <f>AS1009-AR1009</f>
        <v/>
      </c>
      <c r="AU1009">
        <f>RAND()</f>
        <v/>
      </c>
      <c r="AV1009">
        <f>RAND()</f>
        <v/>
      </c>
      <c r="AW1009">
        <f>RAND()</f>
        <v/>
      </c>
      <c r="AX1009">
        <f>RAND()</f>
        <v/>
      </c>
      <c r="AY1009">
        <f>RAND()</f>
        <v/>
      </c>
      <c r="AZ1009">
        <f>RAND()</f>
        <v/>
      </c>
    </row>
    <row r="1010">
      <c r="AK1010" t="n">
        <v>997</v>
      </c>
      <c r="AL1010">
        <f>IFERROR(IF(AU1010&lt;($AM$6-$AL$6)/($AN$6-$AL$6),$AL$6+SQRT(AU1010*($AN$6-$AL$6)*($AM$6-$AL$6)),$AN$6-SQRT((1-AU1010)*($AN$6-$AL$6)*($AN$6-$AM$6))),$AM$6)</f>
        <v/>
      </c>
      <c r="AM1010">
        <f>IFERROR(IF(AV1010&lt;($AM$7-$AL$7)/($AN$7-$AL$7),$AL$7+SQRT(AV1010*($AN$7-$AL$7)*($AM$7-$AL$7)),$AN$7-SQRT((1-AV1010)*($AN$7-$AL$7)*($AN$7-$AM$7))),$AM$7)</f>
        <v/>
      </c>
      <c r="AN1010">
        <f>IFERROR(IF(AW1010&lt;($AM$8-$AL$8)/($AN$8-$AL$8),$AL$8+SQRT(AW1010*($AN$8-$AL$8)*($AM$8-$AL$8)),$AN$8-SQRT((1-AW1010)*($AN$8-$AL$8)*($AN$8-$AM$8))),$AM$8)</f>
        <v/>
      </c>
      <c r="AO1010">
        <f>IFERROR(IF(AX1010&lt;($AM$9-$AL$9)/($AN$9-$AL$9),$AL$9+SQRT(AX1010*($AN$9-$AL$9)*($AM$9-$AL$9)),$AN$9-SQRT((1-AX1010)*($AN$9-$AL$9)*($AN$9-$AM$9))),$AM$9)</f>
        <v/>
      </c>
      <c r="AP1010">
        <f>IFERROR(IF(AY1010&lt;($AM$10-$AL$10)/($AN$10-$AL$10),$AL$10+SQRT(AY1010*($AN$10-$AL$10)*($AM$10-$AL$10)),$AN$10-SQRT((1-AY1010)*($AN$10-$AL$10)*($AN$10-$AM$10))),$AM$10)</f>
        <v/>
      </c>
      <c r="AQ1010">
        <f>IFERROR(IF(AZ1010&lt;($AM$11-$AL$11)/($AN$11-$AL$11),$AL$11+SQRT(AZ1010*($AN$11-$AL$11)*($AM$11-$AL$11)),$AN$11-SQRT((1-AZ1010)*($AN$11-$AL$11)*($AN$11-$AM$11))),$AM$11)</f>
        <v/>
      </c>
      <c r="AR1010">
        <f>SUMPRODUCT((B24:B31&lt;=$B$6)*(C24:C31*AM1010+D24:D31*AO1010*$B$8*AQ1010)/(1+AL1010/100)^B24:B31)+C32*AM1010*AP1010/(1+AL1010/100)^$B$6</f>
        <v/>
      </c>
      <c r="AS1010">
        <f>SUMPRODUCT((K24:K26&lt;=$B$6)*(L24:L26*AN1010+M24:M26*AO1010*$B$8*AQ1010)/(1+AL1010/100)^K24:K26)+L27*AN1010*AP1010/(1+AL1010/100)^$B$6</f>
        <v/>
      </c>
      <c r="AT1010">
        <f>AS1010-AR1010</f>
        <v/>
      </c>
      <c r="AU1010">
        <f>RAND()</f>
        <v/>
      </c>
      <c r="AV1010">
        <f>RAND()</f>
        <v/>
      </c>
      <c r="AW1010">
        <f>RAND()</f>
        <v/>
      </c>
      <c r="AX1010">
        <f>RAND()</f>
        <v/>
      </c>
      <c r="AY1010">
        <f>RAND()</f>
        <v/>
      </c>
      <c r="AZ1010">
        <f>RAND()</f>
        <v/>
      </c>
    </row>
    <row r="1011">
      <c r="AK1011" t="n">
        <v>998</v>
      </c>
      <c r="AL1011">
        <f>IFERROR(IF(AU1011&lt;($AM$6-$AL$6)/($AN$6-$AL$6),$AL$6+SQRT(AU1011*($AN$6-$AL$6)*($AM$6-$AL$6)),$AN$6-SQRT((1-AU1011)*($AN$6-$AL$6)*($AN$6-$AM$6))),$AM$6)</f>
        <v/>
      </c>
      <c r="AM1011">
        <f>IFERROR(IF(AV1011&lt;($AM$7-$AL$7)/($AN$7-$AL$7),$AL$7+SQRT(AV1011*($AN$7-$AL$7)*($AM$7-$AL$7)),$AN$7-SQRT((1-AV1011)*($AN$7-$AL$7)*($AN$7-$AM$7))),$AM$7)</f>
        <v/>
      </c>
      <c r="AN1011">
        <f>IFERROR(IF(AW1011&lt;($AM$8-$AL$8)/($AN$8-$AL$8),$AL$8+SQRT(AW1011*($AN$8-$AL$8)*($AM$8-$AL$8)),$AN$8-SQRT((1-AW1011)*($AN$8-$AL$8)*($AN$8-$AM$8))),$AM$8)</f>
        <v/>
      </c>
      <c r="AO1011">
        <f>IFERROR(IF(AX1011&lt;($AM$9-$AL$9)/($AN$9-$AL$9),$AL$9+SQRT(AX1011*($AN$9-$AL$9)*($AM$9-$AL$9)),$AN$9-SQRT((1-AX1011)*($AN$9-$AL$9)*($AN$9-$AM$9))),$AM$9)</f>
        <v/>
      </c>
      <c r="AP1011">
        <f>IFERROR(IF(AY1011&lt;($AM$10-$AL$10)/($AN$10-$AL$10),$AL$10+SQRT(AY1011*($AN$10-$AL$10)*($AM$10-$AL$10)),$AN$10-SQRT((1-AY1011)*($AN$10-$AL$10)*($AN$10-$AM$10))),$AM$10)</f>
        <v/>
      </c>
      <c r="AQ1011">
        <f>IFERROR(IF(AZ1011&lt;($AM$11-$AL$11)/($AN$11-$AL$11),$AL$11+SQRT(AZ1011*($AN$11-$AL$11)*($AM$11-$AL$11)),$AN$11-SQRT((1-AZ1011)*($AN$11-$AL$11)*($AN$11-$AM$11))),$AM$11)</f>
        <v/>
      </c>
      <c r="AR1011">
        <f>SUMPRODUCT((B24:B31&lt;=$B$6)*(C24:C31*AM1011+D24:D31*AO1011*$B$8*AQ1011)/(1+AL1011/100)^B24:B31)+C32*AM1011*AP1011/(1+AL1011/100)^$B$6</f>
        <v/>
      </c>
      <c r="AS1011">
        <f>SUMPRODUCT((K24:K26&lt;=$B$6)*(L24:L26*AN1011+M24:M26*AO1011*$B$8*AQ1011)/(1+AL1011/100)^K24:K26)+L27*AN1011*AP1011/(1+AL1011/100)^$B$6</f>
        <v/>
      </c>
      <c r="AT1011">
        <f>AS1011-AR1011</f>
        <v/>
      </c>
      <c r="AU1011">
        <f>RAND()</f>
        <v/>
      </c>
      <c r="AV1011">
        <f>RAND()</f>
        <v/>
      </c>
      <c r="AW1011">
        <f>RAND()</f>
        <v/>
      </c>
      <c r="AX1011">
        <f>RAND()</f>
        <v/>
      </c>
      <c r="AY1011">
        <f>RAND()</f>
        <v/>
      </c>
      <c r="AZ1011">
        <f>RAND()</f>
        <v/>
      </c>
    </row>
    <row r="1012">
      <c r="AK1012" t="n">
        <v>999</v>
      </c>
      <c r="AL1012">
        <f>IFERROR(IF(AU1012&lt;($AM$6-$AL$6)/($AN$6-$AL$6),$AL$6+SQRT(AU1012*($AN$6-$AL$6)*($AM$6-$AL$6)),$AN$6-SQRT((1-AU1012)*($AN$6-$AL$6)*($AN$6-$AM$6))),$AM$6)</f>
        <v/>
      </c>
      <c r="AM1012">
        <f>IFERROR(IF(AV1012&lt;($AM$7-$AL$7)/($AN$7-$AL$7),$AL$7+SQRT(AV1012*($AN$7-$AL$7)*($AM$7-$AL$7)),$AN$7-SQRT((1-AV1012)*($AN$7-$AL$7)*($AN$7-$AM$7))),$AM$7)</f>
        <v/>
      </c>
      <c r="AN1012">
        <f>IFERROR(IF(AW1012&lt;($AM$8-$AL$8)/($AN$8-$AL$8),$AL$8+SQRT(AW1012*($AN$8-$AL$8)*($AM$8-$AL$8)),$AN$8-SQRT((1-AW1012)*($AN$8-$AL$8)*($AN$8-$AM$8))),$AM$8)</f>
        <v/>
      </c>
      <c r="AO1012">
        <f>IFERROR(IF(AX1012&lt;($AM$9-$AL$9)/($AN$9-$AL$9),$AL$9+SQRT(AX1012*($AN$9-$AL$9)*($AM$9-$AL$9)),$AN$9-SQRT((1-AX1012)*($AN$9-$AL$9)*($AN$9-$AM$9))),$AM$9)</f>
        <v/>
      </c>
      <c r="AP1012">
        <f>IFERROR(IF(AY1012&lt;($AM$10-$AL$10)/($AN$10-$AL$10),$AL$10+SQRT(AY1012*($AN$10-$AL$10)*($AM$10-$AL$10)),$AN$10-SQRT((1-AY1012)*($AN$10-$AL$10)*($AN$10-$AM$10))),$AM$10)</f>
        <v/>
      </c>
      <c r="AQ1012">
        <f>IFERROR(IF(AZ1012&lt;($AM$11-$AL$11)/($AN$11-$AL$11),$AL$11+SQRT(AZ1012*($AN$11-$AL$11)*($AM$11-$AL$11)),$AN$11-SQRT((1-AZ1012)*($AN$11-$AL$11)*($AN$11-$AM$11))),$AM$11)</f>
        <v/>
      </c>
      <c r="AR1012">
        <f>SUMPRODUCT((B24:B31&lt;=$B$6)*(C24:C31*AM1012+D24:D31*AO1012*$B$8*AQ1012)/(1+AL1012/100)^B24:B31)+C32*AM1012*AP1012/(1+AL1012/100)^$B$6</f>
        <v/>
      </c>
      <c r="AS1012">
        <f>SUMPRODUCT((K24:K26&lt;=$B$6)*(L24:L26*AN1012+M24:M26*AO1012*$B$8*AQ1012)/(1+AL1012/100)^K24:K26)+L27*AN1012*AP1012/(1+AL1012/100)^$B$6</f>
        <v/>
      </c>
      <c r="AT1012">
        <f>AS1012-AR1012</f>
        <v/>
      </c>
      <c r="AU1012">
        <f>RAND()</f>
        <v/>
      </c>
      <c r="AV1012">
        <f>RAND()</f>
        <v/>
      </c>
      <c r="AW1012">
        <f>RAND()</f>
        <v/>
      </c>
      <c r="AX1012">
        <f>RAND()</f>
        <v/>
      </c>
      <c r="AY1012">
        <f>RAND()</f>
        <v/>
      </c>
      <c r="AZ1012">
        <f>RAND()</f>
        <v/>
      </c>
    </row>
    <row r="1013">
      <c r="AK1013" t="n">
        <v>1000</v>
      </c>
      <c r="AL1013">
        <f>IFERROR(IF(AU1013&lt;($AM$6-$AL$6)/($AN$6-$AL$6),$AL$6+SQRT(AU1013*($AN$6-$AL$6)*($AM$6-$AL$6)),$AN$6-SQRT((1-AU1013)*($AN$6-$AL$6)*($AN$6-$AM$6))),$AM$6)</f>
        <v/>
      </c>
      <c r="AM1013">
        <f>IFERROR(IF(AV1013&lt;($AM$7-$AL$7)/($AN$7-$AL$7),$AL$7+SQRT(AV1013*($AN$7-$AL$7)*($AM$7-$AL$7)),$AN$7-SQRT((1-AV1013)*($AN$7-$AL$7)*($AN$7-$AM$7))),$AM$7)</f>
        <v/>
      </c>
      <c r="AN1013">
        <f>IFERROR(IF(AW1013&lt;($AM$8-$AL$8)/($AN$8-$AL$8),$AL$8+SQRT(AW1013*($AN$8-$AL$8)*($AM$8-$AL$8)),$AN$8-SQRT((1-AW1013)*($AN$8-$AL$8)*($AN$8-$AM$8))),$AM$8)</f>
        <v/>
      </c>
      <c r="AO1013">
        <f>IFERROR(IF(AX1013&lt;($AM$9-$AL$9)/($AN$9-$AL$9),$AL$9+SQRT(AX1013*($AN$9-$AL$9)*($AM$9-$AL$9)),$AN$9-SQRT((1-AX1013)*($AN$9-$AL$9)*($AN$9-$AM$9))),$AM$9)</f>
        <v/>
      </c>
      <c r="AP1013">
        <f>IFERROR(IF(AY1013&lt;($AM$10-$AL$10)/($AN$10-$AL$10),$AL$10+SQRT(AY1013*($AN$10-$AL$10)*($AM$10-$AL$10)),$AN$10-SQRT((1-AY1013)*($AN$10-$AL$10)*($AN$10-$AM$10))),$AM$10)</f>
        <v/>
      </c>
      <c r="AQ1013">
        <f>IFERROR(IF(AZ1013&lt;($AM$11-$AL$11)/($AN$11-$AL$11),$AL$11+SQRT(AZ1013*($AN$11-$AL$11)*($AM$11-$AL$11)),$AN$11-SQRT((1-AZ1013)*($AN$11-$AL$11)*($AN$11-$AM$11))),$AM$11)</f>
        <v/>
      </c>
      <c r="AR1013">
        <f>SUMPRODUCT((B24:B31&lt;=$B$6)*(C24:C31*AM1013+D24:D31*AO1013*$B$8*AQ1013)/(1+AL1013/100)^B24:B31)+C32*AM1013*AP1013/(1+AL1013/100)^$B$6</f>
        <v/>
      </c>
      <c r="AS1013">
        <f>SUMPRODUCT((K24:K26&lt;=$B$6)*(L24:L26*AN1013+M24:M26*AO1013*$B$8*AQ1013)/(1+AL1013/100)^K24:K26)+L27*AN1013*AP1013/(1+AL1013/100)^$B$6</f>
        <v/>
      </c>
      <c r="AT1013">
        <f>AS1013-AR1013</f>
        <v/>
      </c>
      <c r="AU1013">
        <f>RAND()</f>
        <v/>
      </c>
      <c r="AV1013">
        <f>RAND()</f>
        <v/>
      </c>
      <c r="AW1013">
        <f>RAND()</f>
        <v/>
      </c>
      <c r="AX1013">
        <f>RAND()</f>
        <v/>
      </c>
      <c r="AY1013">
        <f>RAND()</f>
        <v/>
      </c>
      <c r="AZ1013">
        <f>RAND()</f>
        <v/>
      </c>
    </row>
  </sheetData>
  <conditionalFormatting sqref="D65:D89">
    <cfRule type="colorScale" priority="1">
      <colorScale>
        <cfvo type="min"/>
        <cfvo type="num" val="0"/>
        <cfvo type="max"/>
        <color rgb="00F8CDB9"/>
        <color rgb="00FFFFFF"/>
        <color rgb="00B7D3F6"/>
      </colorScale>
    </cfRule>
  </conditionalFormatting>
  <conditionalFormatting sqref="G130:G137">
    <cfRule type="cellIs" priority="2" operator="equal" dxfId="0">
      <formula>"YES"</formula>
    </cfRule>
  </conditionalFormatting>
  <conditionalFormatting sqref="K143:K154">
    <cfRule type="colorScale" priority="3">
      <colorScale>
        <cfvo type="min"/>
        <cfvo type="num" val="0"/>
        <cfvo type="max"/>
        <color rgb="00F8CDB9"/>
        <color rgb="00FFFFFF"/>
        <color rgb="00B7D3F6"/>
      </colorScale>
    </cfRule>
  </conditionalFormatting>
  <conditionalFormatting sqref="B160:H164">
    <cfRule type="colorScale" priority="4">
      <colorScale>
        <cfvo type="min"/>
        <cfvo type="num" val="0"/>
        <cfvo type="max"/>
        <color rgb="00F39C7A"/>
        <color rgb="00FFFFFF"/>
        <color rgb="006DA7EC"/>
      </colorScale>
    </cfRule>
  </conditionalFormatting>
  <dataValidations count="1">
    <dataValidation sqref="B16 B18" showDropDown="0" showInputMessage="0" showErrorMessage="0" allowBlank="0" type="list">
      <formula1>"Initial,Rehabilitation"</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2026-09-11T19:31:37Z</dcterms:created>
  <dcterms:modified xmlns:dcterms="http://purl.org/dc/terms/" xmlns:xsi="http://www.w3.org/2001/XMLSchema-instance" xsi:type="dcterms:W3CDTF">2026-09-11T19:31:38Z</dcterms:modified>
</cp:coreProperties>
</file>
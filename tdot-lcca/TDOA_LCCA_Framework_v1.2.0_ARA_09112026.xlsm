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worksheets/sheet15.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 name="Typical Values" sheetId="37" r:id="rId24"/>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Summary!$A$1:$U$112</definedName>
    <definedName name="_xlnm.Print_Area" localSheetId="3">'General Information'!$A$1:$J$48</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<sst xmlns="http://schemas.openxmlformats.org/spreadsheetml/2006/main" count="1480" uniqueCount="637">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</sst>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s>
  <fonts count="34"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color rgb="007F7F7F"/>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595959"/>
      <sz val="9"/>
    </font>
    <font>
      <b/>
      <sz val="10"/>
      <color rgb="FFFFFFFF"/>
      <name val="Arial"/>
      <family val="2"/>
    </font>
    <font>
      <sz val="9"/>
      <color rgb="FF1D2733"/>
      <name val="Arial"/>
      <family val="2"/>
    </font>
    <font>
      <b/>
      <sz val="10"/>
      <color rgb="FF1D2733"/>
      <name val="Arial"/>
      <family val="2"/>
    </font>
    <font>
      <b/>
      <sz val="10"/>
      <color rgb="FF1D2733"/>
      <name val="Arial"/>
      <family val="2"/>
    </font>
    <font>
      <i/>
      <sz val="9"/>
      <color rgb="FF595959"/>
      <name val="Arial"/>
      <family val="2"/>
    </font>
  </fonts>
  <fills count="25">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EAF2FB"/>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patternType="solid">
        <fgColor rgb="FF1D2733"/>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s>
  <borders count="42">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style="thin">
        <color rgb="FF2A78D6"/>
      </bottom>
      <diagonal/>
    </border>
    <border>
      <left/>
      <right/>
      <top/>
      <bottom style="thin">
        <color rgb="FF2A78D6"/>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157">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9" fillId="9" borderId="36" pivotButton="0" quotePrefix="0" xfId="0"/>
    <xf numFmtId="0" fontId="17" fillId="13" borderId="37" applyAlignment="1" pivotButton="0" quotePrefix="0" xfId="0">
      <alignment vertical="center" wrapText="1"/>
    </xf>
    <xf numFmtId="0" fontId="20" fillId="9" borderId="37" pivotButton="0" quotePrefix="0" xfId="0"/>
    <xf numFmtId="168" fontId="20" fillId="9" borderId="37" pivotButton="0" quotePrefix="0" xfId="0"/>
    <xf numFmtId="10" fontId="20" fillId="9" borderId="37" pivotButton="0" quotePrefix="0" xfId="0"/>
    <xf numFmtId="0" fontId="21" fillId="9" borderId="36" pivotButton="0" quotePrefix="0" xfId="0"/>
    <xf numFmtId="168" fontId="21" fillId="9" borderId="36" pivotButton="0" quotePrefix="0" xfId="0"/>
    <xf numFmtId="0" fontId="17" fillId="14" borderId="36" pivotButton="0" quotePrefix="0" xfId="0"/>
    <xf numFmtId="0" fontId="15" fillId="14" borderId="36" pivotButton="0" quotePrefix="0" xfId="0"/>
    <xf numFmtId="169" fontId="21" fillId="9" borderId="36" pivotButton="0" quotePrefix="0" xfId="0"/>
    <xf numFmtId="170" fontId="20" fillId="9" borderId="37" pivotButton="0" quotePrefix="0" xfId="0"/>
    <xf numFmtId="1" fontId="21" fillId="9" borderId="36" pivotButton="0" quotePrefix="0" xfId="0"/>
    <xf numFmtId="2" fontId="21" fillId="9" borderId="36" pivotButton="0" quotePrefix="0" xfId="0"/>
    <xf numFmtId="1" fontId="20" fillId="13" borderId="37" pivotButton="0" quotePrefix="0" xfId="0"/>
    <xf numFmtId="2" fontId="20" fillId="9" borderId="37" pivotButton="0" quotePrefix="0" xfId="0"/>
    <xf numFmtId="0" fontId="22" fillId="15" borderId="38" pivotButton="0" quotePrefix="0" xfId="0"/>
    <xf numFmtId="0" fontId="23" fillId="17" borderId="39" applyAlignment="1" pivotButton="0" quotePrefix="0" xfId="0">
      <alignment horizontal="center" vertical="center"/>
    </xf>
    <xf numFmtId="0" fontId="23" fillId="18" borderId="39" applyAlignment="1" pivotButton="0" quotePrefix="0" xfId="0">
      <alignment horizontal="center" vertical="center"/>
    </xf>
    <xf numFmtId="0" fontId="24" fillId="15" borderId="38" pivotButton="0" quotePrefix="0" xfId="0"/>
    <xf numFmtId="0" fontId="25" fillId="15" borderId="38" pivotButton="0" quotePrefix="0" xfId="0"/>
    <xf numFmtId="0" fontId="24" fillId="15" borderId="38" applyAlignment="1" pivotButton="0" quotePrefix="0" xfId="0">
      <alignment vertical="top" wrapText="1"/>
    </xf>
    <xf numFmtId="0" fontId="26" fillId="19" borderId="38" pivotButton="0" quotePrefix="0" xfId="0"/>
    <xf numFmtId="0" fontId="22" fillId="19" borderId="38" pivotButton="0" quotePrefix="0" xfId="0"/>
    <xf numFmtId="0" fontId="26" fillId="20" borderId="39" applyAlignment="1" pivotButton="0" quotePrefix="0" xfId="0">
      <alignment vertical="center" wrapText="1"/>
    </xf>
    <xf numFmtId="0" fontId="27" fillId="15" borderId="39" applyAlignment="1" pivotButton="0" quotePrefix="0" xfId="0">
      <alignment vertical="top" wrapText="1"/>
    </xf>
    <xf numFmtId="3" fontId="27" fillId="15" borderId="39" applyAlignment="1" pivotButton="0" quotePrefix="0" xfId="0">
      <alignment vertical="top" wrapText="1"/>
    </xf>
    <xf numFmtId="1" fontId="27" fillId="15" borderId="39" applyAlignment="1" pivotButton="0" quotePrefix="0" xfId="0">
      <alignment vertical="top" wrapText="1"/>
    </xf>
    <xf numFmtId="0" fontId="28" fillId="15" borderId="39" applyAlignment="1" pivotButton="0" quotePrefix="0" xfId="0">
      <alignment vertical="top" wrapText="1"/>
    </xf>
    <xf numFmtId="4" fontId="27" fillId="15" borderId="39" applyAlignment="1" pivotButton="0" quotePrefix="0" xfId="0">
      <alignment vertical="top" wrapText="1"/>
    </xf>
    <xf numFmtId="0" xfId="0" fontId="29" applyFont="1" fillId="21" applyFill="1" applyAlignment="1">
      <alignment horizontal="left" vertical="center" indent="1"/>
    </xf>
    <xf numFmtId="0" xfId="0" fontId="30" applyFont="1" fillId="22" applyFill="1" applyAlignment="1">
      <alignment horizontal="left" vertical="top" wrapText="1" indent="1"/>
    </xf>
    <xf numFmtId="0" xfId="0" fontId="31" applyFont="1" fillId="23" applyFill="1" borderId="40" applyBorder="1" applyAlignment="1">
      <alignment horizontal="left" vertical="center" wrapText="1" indent="1"/>
    </xf>
    <xf numFmtId="0" xfId="0" fontId="32" applyFont="1" fillId="24" applyFill="1" borderId="41" applyBorder="1" applyAlignment="1">
      <alignment horizontal="left" vertical="center"/>
    </xf>
    <xf numFmtId="0" xfId="0" fontId="33" applyFont="1" applyAlignment="1">
      <alignment horizontal="left" vertical="center"/>
    </xf>
  </cellXfs>
  <cellStyles count="3">
    <cellStyle name="Currency" xfId="2" builtinId="4"/>
    <cellStyle name="Hyperlink" xfId="1" builtinId="8"/>
    <cellStyle name="Normal" xfId="0" builtinId="0"/>
  </cellStyles>
  <dxfs count="30">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1"/>
        <color rgb="FF1F3864"/>
      </font>
      <fill>
        <patternFill>
          <bgColor rgb="FFDDEBF7"/>
        </patternFill>
      </fill>
    </dxf>
    <dxf>
      <font>
        <color rgb="FF186A3B"/>
      </font>
      <fill>
        <patternFill>
          <bgColor rgb="FFE8F6EC"/>
        </patternFill>
      </fill>
    </dxf>
    <dxf>
      <font>
        <color rgb="FF7F6000"/>
      </font>
      <fill>
        <patternFill>
          <bgColor rgb="FFFFF3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4" Type="http://schemas.openxmlformats.org/officeDocument/2006/relationships/worksheet" Target="worksheets/sheet1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a:pPr>
            <a:r>
              <a:t>1. Present worth by category (salvage below zero)</a:t>
            </a:r>
          </a:p>
        </rich>
      </tx>
    </title>
    <plotArea>
      <barChart>
        <barDir val="col"/>
        <grouping val="stacked"/>
        <ser>
          <idx val="0"/>
          <order val="0"/>
          <tx>
            <strRef>
              <f>'Summary'!W5</f>
            </strRef>
          </tx>
          <spPr>
            <a:solidFill xmlns:a="http://schemas.openxmlformats.org/drawingml/2006/main">
              <a:srgbClr val="4A4A4A"/>
            </a:solidFill>
            <a:ln xmlns:a="http://schemas.openxmlformats.org/drawingml/2006/main">
              <a:solidFill>
                <a:srgbClr val="4A4A4A"/>
              </a:solidFill>
              <a:prstDash val="solid"/>
            </a:ln>
          </spPr>
          <cat>
            <numRef>
              <f>'Summary'!$X$4:$AA$4</f>
            </numRef>
          </cat>
          <val>
            <numRef>
              <f>'Summary'!$X$5:$AA$5</f>
            </numRef>
          </val>
        </ser>
        <ser>
          <idx val="1"/>
          <order val="1"/>
          <tx>
            <strRef>
              <f>'Summary'!W6</f>
            </strRef>
          </tx>
          <spPr>
            <a:solidFill xmlns:a="http://schemas.openxmlformats.org/drawingml/2006/main">
              <a:srgbClr val="8C8C8C"/>
            </a:solidFill>
            <a:ln xmlns:a="http://schemas.openxmlformats.org/drawingml/2006/main">
              <a:solidFill>
                <a:srgbClr val="8C8C8C"/>
              </a:solidFill>
              <a:prstDash val="solid"/>
            </a:ln>
          </spPr>
          <cat>
            <numRef>
              <f>'Summary'!$X$4:$AA$4</f>
            </numRef>
          </cat>
          <val>
            <numRef>
              <f>'Summary'!$X$6:$AA$6</f>
            </numRef>
          </val>
        </ser>
        <ser>
          <idx val="2"/>
          <order val="2"/>
          <tx>
            <strRef>
              <f>'Summary'!W7</f>
            </strRef>
          </tx>
          <spPr>
            <a:solidFill xmlns:a="http://schemas.openxmlformats.org/drawingml/2006/main">
              <a:srgbClr val="646464"/>
            </a:solidFill>
            <a:ln xmlns:a="http://schemas.openxmlformats.org/drawingml/2006/main">
              <a:solidFill>
                <a:srgbClr val="646464"/>
              </a:solidFill>
              <a:prstDash val="solid"/>
            </a:ln>
          </spPr>
          <cat>
            <numRef>
              <f>'Summary'!$X$4:$AA$4</f>
            </numRef>
          </cat>
          <val>
            <numRef>
              <f>'Summary'!$X$7:$AA$7</f>
            </numRef>
          </val>
        </ser>
        <ser>
          <idx val="3"/>
          <order val="3"/>
          <tx>
            <strRef>
              <f>'Summary'!W8</f>
            </strRef>
          </tx>
          <spPr>
            <a:solidFill xmlns:a="http://schemas.openxmlformats.org/drawingml/2006/main">
              <a:srgbClr val="B8B6AE"/>
            </a:solidFill>
            <a:ln xmlns:a="http://schemas.openxmlformats.org/drawingml/2006/main">
              <a:solidFill>
                <a:srgbClr val="B8B6AE"/>
              </a:solidFill>
              <a:prstDash val="solid"/>
            </a:ln>
          </spPr>
          <cat>
            <numRef>
              <f>'Summary'!$X$4:$AA$4</f>
            </numRef>
          </cat>
          <val>
            <numRef>
              <f>'Summary'!$X$8:$AA$8</f>
            </numRef>
          </val>
        </ser>
        <ser>
          <idx val="4"/>
          <order val="4"/>
          <tx>
            <strRef>
              <f>'Summary'!W9</f>
            </strRef>
          </tx>
          <spPr>
            <a:solidFill xmlns:a="http://schemas.openxmlformats.org/drawingml/2006/main">
              <a:srgbClr val="DCDCDC"/>
            </a:solidFill>
            <a:ln xmlns:a="http://schemas.openxmlformats.org/drawingml/2006/main">
              <a:solidFill>
                <a:srgbClr val="DCDCDC"/>
              </a:solidFill>
              <a:prstDash val="solid"/>
            </a:ln>
          </spPr>
          <cat>
            <numRef>
              <f>'Summary'!$X$4:$AA$4</f>
            </numRef>
          </cat>
          <val>
            <numRef>
              <f>'Summary'!$X$9:$AA$9</f>
            </numRef>
          </val>
        </ser>
        <gapWidth val="60"/>
        <overlap val="100"/>
        <axId val="10"/>
        <axId val="100"/>
      </barChart>
      <catAx>
        <axId val="10"/>
        <scaling>
          <orientation val="minMax"/>
        </scaling>
        <delete val="0"/>
        <axPos val="l"/>
        <majorTickMark val="none"/>
        <minorTickMark val="none"/>
        <tickLblPos val="low"/>
        <crossAx val="100"/>
        <lblOffset val="100"/>
      </catAx>
      <valAx>
        <axId val="100"/>
        <scaling>
          <orientation val="minMax"/>
        </scaling>
        <delete val="0"/>
        <axPos val="l"/>
        <numFmt formatCode="$#,##0,,&quot;M&quot;" sourceLinked="0"/>
        <majorTickMark val="none"/>
        <minorTickMark val="none"/>
        <crossAx val="10"/>
      </valAx>
    </plotArea>
    <legend>
      <legendPos val="b"/>
    </legend>
    <plotVisOnly val="1"/>
    <dispBlanksAs val="gap"/>
  </chart>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a:pPr>
            <a:r>
              <a:t>2. Net present worth vs. discount rate (TDOT 3%, FAA 2%, pre-2022 rule 7%)</a:t>
            </a:r>
          </a:p>
        </rich>
      </tx>
    </title>
    <plotArea>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numFmt formatCode="0.00&quot;%&quot;" sourceLinked="0"/>
        <majorTickMark val="none"/>
        <minorTickMark val="none"/>
        <crossAx val="100"/>
        <lblOffset val="100"/>
        <tickLblSkip val="4"/>
      </catAx>
      <valAx>
        <axId val="100"/>
        <scaling>
          <orientation val="minMax"/>
        </scaling>
        <delete val="0"/>
        <axPos val="l"/>
        <numFmt formatCode="$#,##0,,&quot;M&quot;" sourceLinked="0"/>
        <majorTickMark val="none"/>
        <minorTickMark val="none"/>
        <crossAx val="10"/>
      </valAx>
    </plotArea>
    <legend>
      <legendPos val="b"/>
    </legend>
    <plotVisOnly val="1"/>
    <dispBlanksAs val="gap"/>
  </chart>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a:pPr>
            <a:r>
              <a:t>3. Expenditure stream by calendar year (undiscounted)</a:t>
            </a:r>
          </a:p>
        </rich>
      </tx>
    </title>
    <plotArea>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majorTickMark val="none"/>
        <minorTickMark val="none"/>
        <tickLblPos val="low"/>
        <crossAx val="100"/>
        <lblOffset val="100"/>
        <tickLblSkip val="5"/>
      </catAx>
      <valAx>
        <axId val="100"/>
        <scaling>
          <orientation val="minMax"/>
        </scaling>
        <delete val="0"/>
        <axPos val="l"/>
        <numFmt formatCode="$#,##0,,&quot;M&quot;" sourceLinked="0"/>
        <majorTickMark val="none"/>
        <minorTickMark val="none"/>
        <crossAx val="10"/>
      </valAx>
    </plotArea>
    <legend>
      <legendPos val="b"/>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a:pPr>
            <a:r>
              <a:t>4. Cumulative discounted cost</a:t>
            </a:r>
          </a:p>
        </rich>
      </tx>
    </title>
    <plotArea>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majorTickMark val="none"/>
        <minorTickMark val="none"/>
        <crossAx val="100"/>
        <lblOffset val="100"/>
        <tickLblSkip val="5"/>
      </catAx>
      <valAx>
        <axId val="100"/>
        <scaling>
          <orientation val="minMax"/>
        </scaling>
        <delete val="0"/>
        <axPos val="l"/>
        <numFmt formatCode="$#,##0,,&quot;M&quot;" sourceLinked="0"/>
        <majorTickMark val="none"/>
        <minorTickMark val="none"/>
        <crossAx val="10"/>
      </valAx>
    </plotArea>
    <legend>
      <legendPos val="b"/>
    </legend>
    <plotVisOnly val="1"/>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a:pPr>
            <a:r>
              <a:t>5. Runway closure days by calendar year</a:t>
            </a:r>
          </a:p>
        </rich>
      </tx>
    </title>
    <plotArea>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majorTickMark val="none"/>
        <minorTickMark val="none"/>
        <crossAx val="100"/>
        <lblOffset val="100"/>
        <tickLblSkip val="5"/>
      </catAx>
      <valAx>
        <axId val="100"/>
        <scaling>
          <orientation val="minMax"/>
        </scaling>
        <delete val="0"/>
        <axPos val="l"/>
        <numFmt formatCode="0" sourceLinked="0"/>
        <majorTickMark val="none"/>
        <minorTickMark val="none"/>
        <crossAx val="10"/>
      </valAx>
    </plotArea>
    <legend>
      <legendPos val="b"/>
    </legend>
    <plotVisOnly val="1"/>
    <dispBlanksAs val="gap"/>
  </chart>
</chartSpace>
</file>

<file path=xl/charts/chart12.xml><?xml version="1.0" encoding="utf-8"?>
<chartSpace xmlns="http://schemas.openxmlformats.org/drawingml/2006/chart">
  <chart>
    <title>
      <tx>
        <rich>
          <a:bodyPr xmlns:a="http://schemas.openxmlformats.org/drawingml/2006/main"/>
          <a:p xmlns:a="http://schemas.openxmlformats.org/drawingml/2006/main">
            <a:pPr>
              <a:defRPr/>
            </a:pPr>
            <a:r>
              <a:t>6. Pavement section, mainline (inches, surface on top)</a:t>
            </a:r>
          </a:p>
        </rich>
      </tx>
    </title>
    <plotArea>
      <barChart>
        <barDir val="col"/>
        <grouping val="stacked"/>
        <ser>
          <idx val="0"/>
          <order val="0"/>
          <tx>
            <strRef>
              <f>'Summary'!W76</f>
            </strRef>
          </tx>
          <spPr>
            <a:solidFill xmlns:a="http://schemas.openxmlformats.org/drawingml/2006/main">
              <a:srgbClr val="DCCBA0"/>
            </a:solidFill>
            <a:ln xmlns:a="http://schemas.openxmlformats.org/drawingml/2006/main">
              <a:solidFill>
                <a:srgbClr val="DCCBA0"/>
              </a:solidFill>
              <a:prstDash val="solid"/>
            </a:ln>
          </spPr>
          <cat>
            <numRef>
              <f>'Summary'!$X$75:$AA$75</f>
            </numRef>
          </cat>
          <val>
            <numRef>
              <f>'Summary'!$X$76:$AA$76</f>
            </numRef>
          </val>
        </ser>
        <ser>
          <idx val="1"/>
          <order val="1"/>
          <tx>
            <strRef>
              <f>'Summary'!W77</f>
            </strRef>
          </tx>
          <spPr>
            <a:solidFill xmlns:a="http://schemas.openxmlformats.org/drawingml/2006/main">
              <a:srgbClr val="C8A96E"/>
            </a:solidFill>
            <a:ln xmlns:a="http://schemas.openxmlformats.org/drawingml/2006/main">
              <a:solidFill>
                <a:srgbClr val="C8A96E"/>
              </a:solidFill>
              <a:prstDash val="solid"/>
            </a:ln>
          </spPr>
          <cat>
            <numRef>
              <f>'Summary'!$X$75:$AA$75</f>
            </numRef>
          </cat>
          <val>
            <numRef>
              <f>'Summary'!$X$77:$AA$77</f>
            </numRef>
          </val>
        </ser>
        <ser>
          <idx val="2"/>
          <order val="2"/>
          <tx>
            <strRef>
              <f>'Summary'!W78</f>
            </strRef>
          </tx>
          <spPr>
            <a:solidFill xmlns:a="http://schemas.openxmlformats.org/drawingml/2006/main">
              <a:srgbClr val="3A3A3A"/>
            </a:solidFill>
            <a:ln xmlns:a="http://schemas.openxmlformats.org/drawingml/2006/main">
              <a:solidFill>
                <a:srgbClr val="3A3A3A"/>
              </a:solidFill>
              <a:prstDash val="solid"/>
            </a:ln>
          </spPr>
          <cat>
            <numRef>
              <f>'Summary'!$X$75:$AA$75</f>
            </numRef>
          </cat>
          <val>
            <numRef>
              <f>'Summary'!$X$78:$AA$78</f>
            </numRef>
          </val>
        </ser>
        <ser>
          <idx val="3"/>
          <order val="3"/>
          <tx>
            <strRef>
              <f>'Summary'!W79</f>
            </strRef>
          </tx>
          <spPr>
            <a:solidFill xmlns:a="http://schemas.openxmlformats.org/drawingml/2006/main">
              <a:srgbClr val="C6CBD0"/>
            </a:solidFill>
            <a:ln xmlns:a="http://schemas.openxmlformats.org/drawingml/2006/main">
              <a:solidFill>
                <a:srgbClr val="C6CBD0"/>
              </a:solidFill>
              <a:prstDash val="solid"/>
            </a:ln>
          </spPr>
          <cat>
            <numRef>
              <f>'Summary'!$X$75:$AA$75</f>
            </numRef>
          </cat>
          <val>
            <numRef>
              <f>'Summary'!$X$79:$AA$79</f>
            </numRef>
          </val>
        </ser>
        <gapWidth val="80"/>
        <overlap val="100"/>
        <axId val="10"/>
        <axId val="100"/>
      </barChart>
      <catAx>
        <axId val="10"/>
        <scaling>
          <orientation val="minMax"/>
        </scaling>
        <delete val="0"/>
        <axPos val="l"/>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inches</a:t>
                </a:r>
              </a:p>
            </rich>
          </tx>
        </title>
        <numFmt formatCode="0" sourceLinked="0"/>
        <majorTickMark val="none"/>
        <minorTickMark val="none"/>
        <crossAx val="10"/>
      </valAx>
    </plotArea>
    <legend>
      <legendPos val="b"/>
    </legend>
    <plotVisOnly val="1"/>
    <dispBlanksAs val="gap"/>
  </chart>
</chartSpace>
</file>

<file path=xl/charts/chart13.xml><?xml version="1.0" encoding="utf-8"?>
<chartSpace xmlns="http://schemas.openxmlformats.org/drawingml/2006/chart">
  <chart>
    <title>
      <tx>
        <rich>
          <a:bodyPr xmlns:a="http://schemas.openxmlformats.org/drawingml/2006/main"/>
          <a:p xmlns:a="http://schemas.openxmlformats.org/drawingml/2006/main">
            <a:pPr>
              <a:defRPr/>
            </a:pPr>
            <a:r>
              <a:t>7. Pavement section with the shoulder (empty unless a shoulder area is entered)</a:t>
            </a:r>
          </a:p>
        </rich>
      </tx>
    </title>
    <plotArea>
      <barChart>
        <barDir val="col"/>
        <grouping val="stacked"/>
        <ser>
          <idx val="0"/>
          <order val="0"/>
          <tx>
            <strRef>
              <f>'Summary'!W83</f>
            </strRef>
          </tx>
          <spPr>
            <a:solidFill xmlns:a="http://schemas.openxmlformats.org/drawingml/2006/main">
              <a:srgbClr val="DCCBA0"/>
            </a:solidFill>
            <a:ln xmlns:a="http://schemas.openxmlformats.org/drawingml/2006/main">
              <a:solidFill>
                <a:srgbClr val="DCCBA0"/>
              </a:solidFill>
              <a:prstDash val="solid"/>
            </a:ln>
          </spPr>
          <cat>
            <numRef>
              <f>'Summary'!$X$82:$AA$82</f>
            </numRef>
          </cat>
          <val>
            <numRef>
              <f>'Summary'!$X$83:$AA$83</f>
            </numRef>
          </val>
        </ser>
        <ser>
          <idx val="1"/>
          <order val="1"/>
          <tx>
            <strRef>
              <f>'Summary'!W84</f>
            </strRef>
          </tx>
          <spPr>
            <a:solidFill xmlns:a="http://schemas.openxmlformats.org/drawingml/2006/main">
              <a:srgbClr val="C8A96E"/>
            </a:solidFill>
            <a:ln xmlns:a="http://schemas.openxmlformats.org/drawingml/2006/main">
              <a:solidFill>
                <a:srgbClr val="C8A96E"/>
              </a:solidFill>
              <a:prstDash val="solid"/>
            </a:ln>
          </spPr>
          <cat>
            <numRef>
              <f>'Summary'!$X$82:$AA$82</f>
            </numRef>
          </cat>
          <val>
            <numRef>
              <f>'Summary'!$X$84:$AA$84</f>
            </numRef>
          </val>
        </ser>
        <ser>
          <idx val="2"/>
          <order val="2"/>
          <tx>
            <strRef>
              <f>'Summary'!W85</f>
            </strRef>
          </tx>
          <spPr>
            <a:solidFill xmlns:a="http://schemas.openxmlformats.org/drawingml/2006/main">
              <a:srgbClr val="3A3A3A"/>
            </a:solidFill>
            <a:ln xmlns:a="http://schemas.openxmlformats.org/drawingml/2006/main">
              <a:solidFill>
                <a:srgbClr val="3A3A3A"/>
              </a:solidFill>
              <a:prstDash val="solid"/>
            </a:ln>
          </spPr>
          <cat>
            <numRef>
              <f>'Summary'!$X$82:$AA$82</f>
            </numRef>
          </cat>
          <val>
            <numRef>
              <f>'Summary'!$X$85:$AA$85</f>
            </numRef>
          </val>
        </ser>
        <ser>
          <idx val="3"/>
          <order val="3"/>
          <tx>
            <strRef>
              <f>'Summary'!W86</f>
            </strRef>
          </tx>
          <spPr>
            <a:solidFill xmlns:a="http://schemas.openxmlformats.org/drawingml/2006/main">
              <a:srgbClr val="C6CBD0"/>
            </a:solidFill>
            <a:ln xmlns:a="http://schemas.openxmlformats.org/drawingml/2006/main">
              <a:solidFill>
                <a:srgbClr val="C6CBD0"/>
              </a:solidFill>
              <a:prstDash val="solid"/>
            </a:ln>
          </spPr>
          <cat>
            <numRef>
              <f>'Summary'!$X$82:$AA$82</f>
            </numRef>
          </cat>
          <val>
            <numRef>
              <f>'Summary'!$X$86:$AA$86</f>
            </numRef>
          </val>
        </ser>
        <gapWidth val="80"/>
        <overlap val="100"/>
        <axId val="10"/>
        <axId val="100"/>
      </barChart>
      <catAx>
        <axId val="10"/>
        <scaling>
          <orientation val="minMax"/>
        </scaling>
        <delete val="0"/>
        <axPos val="l"/>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inches</a:t>
                </a:r>
              </a:p>
            </rich>
          </tx>
        </title>
        <numFmt formatCode="0" sourceLinked="0"/>
        <majorTickMark val="none"/>
        <minorTickMark val="none"/>
        <crossAx val="10"/>
      </valAx>
    </plotArea>
    <legend>
      <legendPos val="b"/>
    </legend>
    <plotVisOnly val="1"/>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 Id="rId7" Type="http://schemas.openxmlformats.org/officeDocument/2006/relationships/chart" Target="../charts/chart12.xml"/><Relationship Id="rId8" Type="http://schemas.openxmlformats.org/officeDocument/2006/relationships/chart" Target="../charts/chart1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6350</xdr:colOff>
      <xdr:row>1</xdr:row>
      <xdr:rowOff>6350</xdr:rowOff>
    </xdr:from>
    <xdr:to>
      <xdr:col>4</xdr:col>
      <xdr:colOff>2540</xdr:colOff>
      <xdr:row>6</xdr:row>
      <xdr:rowOff>8255</xdr:rowOff>
    </xdr:to>
    <xdr:pic>
      <xdr:nvPicPr>
        <xdr:cNvPr id="2" name="Picture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710" y="173990"/>
          <a:ext cx="1779270" cy="838200"/>
        </a:xfrm>
        <a:prstGeom prst="rect">
          <a:avLst/>
        </a:prstGeom>
        <a:solidFill>
          <a:schemeClr val="bg1"/>
        </a:solidFill>
        <a:ln>
          <a:noFill/>
        </a:ln>
      </xdr:spPr>
    </xdr:pic>
    <xdr:clientData/>
  </xdr:twoCellAnchor>
  <xdr:twoCellAnchor>
    <xdr:from>
      <xdr:col>1</xdr:col>
      <xdr:colOff>6350</xdr:colOff>
      <xdr:row>9</xdr:row>
      <xdr:rowOff>12699</xdr:rowOff>
    </xdr:from>
    <xdr:to>
      <xdr:col>13</xdr:col>
      <xdr:colOff>6350</xdr:colOff>
      <xdr:row>49</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Adminimstration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associeted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6350</xdr:colOff>
      <xdr:row>1</xdr:row>
      <xdr:rowOff>6350</xdr:rowOff>
    </xdr:from>
    <xdr:to>
      <xdr:col>4</xdr:col>
      <xdr:colOff>2540</xdr:colOff>
      <xdr:row>6</xdr:row>
      <xdr:rowOff>6350</xdr:rowOff>
    </xdr:to>
    <xdr:pic>
      <xdr:nvPicPr>
        <xdr:cNvPr id="2" name="Picture 1">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710" y="173990"/>
          <a:ext cx="1779270" cy="838200"/>
        </a:xfrm>
        <a:prstGeom prst="rect">
          <a:avLst/>
        </a:prstGeom>
        <a:solidFill>
          <a:schemeClr val="bg1"/>
        </a:solidFill>
        <a:ln>
          <a:noFill/>
        </a:ln>
      </xdr:spPr>
    </xdr:pic>
    <xdr:clientData/>
  </xdr:twoCellAnchor>
  <xdr:twoCellAnchor>
    <xdr:from>
      <xdr:col>1</xdr:col>
      <xdr:colOff>0</xdr:colOff>
      <xdr:row>9</xdr:row>
      <xdr:rowOff>0</xdr:rowOff>
    </xdr:from>
    <xdr:to>
      <xdr:col>13</xdr:col>
      <xdr:colOff>361950</xdr:colOff>
      <xdr:row>76</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0</xdr:colOff>
      <xdr:row>1</xdr:row>
      <xdr:rowOff>0</xdr:rowOff>
    </xdr:from>
    <xdr:to>
      <xdr:col>2</xdr:col>
      <xdr:colOff>1171575</xdr:colOff>
      <xdr:row>6</xdr:row>
      <xdr:rowOff>0</xdr:rowOff>
    </xdr:to>
    <xdr:pic>
      <xdr:nvPicPr>
        <xdr:cNvPr id="2" name="Picture 1">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171450"/>
          <a:ext cx="1765935" cy="857250"/>
        </a:xfrm>
        <a:prstGeom prst="rect">
          <a:avLst/>
        </a:prstGeom>
        <a:solidFill>
          <a:schemeClr val="bg1"/>
        </a:solid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1765935</xdr:colOff>
      <xdr:row>6</xdr:row>
      <xdr:rowOff>0</xdr:rowOff>
    </xdr:to>
    <xdr:pic>
      <xdr:nvPicPr>
        <xdr:cNvPr id="2" name="Picture 1">
          <a:extLst>
            <a:ext uri="{FF2B5EF4-FFF2-40B4-BE49-F238E27FC236}">
              <a16:creationId xmlns:a16="http://schemas.microsoft.com/office/drawing/2014/main" id="{00000000-0008-0000-05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171450"/>
          <a:ext cx="1765935" cy="857250"/>
        </a:xfrm>
        <a:prstGeom prst="rect">
          <a:avLst/>
        </a:prstGeom>
        <a:solidFill>
          <a:schemeClr val="bg1"/>
        </a:solidFill>
        <a:ln>
          <a:noFill/>
        </a:ln>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13</xdr:col>
      <xdr:colOff>0</xdr:colOff>
      <xdr:row>57</xdr:row>
      <xdr:rowOff>0</xdr:rowOff>
    </xdr:from>
    <xdr:to>
      <xdr:col>20</xdr:col>
      <xdr:colOff>0</xdr:colOff>
      <xdr:row>74</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21</xdr:row>
      <xdr:rowOff>0</xdr:rowOff>
    </xdr:from>
    <xdr:ext cx="5580000" cy="2880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13</xdr:col>
      <xdr:colOff>0</xdr:colOff>
      <xdr:row>21</xdr:row>
      <xdr:rowOff>0</xdr:rowOff>
    </xdr:from>
    <xdr:ext cx="5580000" cy="2880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39</xdr:row>
      <xdr:rowOff>0</xdr:rowOff>
    </xdr:from>
    <xdr:ext cx="5580000" cy="28800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13</xdr:col>
      <xdr:colOff>0</xdr:colOff>
      <xdr:row>39</xdr:row>
      <xdr:rowOff>0</xdr:rowOff>
    </xdr:from>
    <xdr:ext cx="5580000" cy="28800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6</xdr:col>
      <xdr:colOff>0</xdr:colOff>
      <xdr:row>57</xdr:row>
      <xdr:rowOff>0</xdr:rowOff>
    </xdr:from>
    <xdr:ext cx="5580000" cy="28800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6</xdr:col>
      <xdr:colOff>0</xdr:colOff>
      <xdr:row>89</xdr:row>
      <xdr:rowOff>0</xdr:rowOff>
    </xdr:from>
    <xdr:ext cx="5580000" cy="2880000"/>
    <xdr:graphicFrame>
      <xdr:nvGraphicFramePr>
        <xdr:cNvPr id="106" name="Summary Chart 6"/>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13</xdr:col>
      <xdr:colOff>0</xdr:colOff>
      <xdr:row>89</xdr:row>
      <xdr:rowOff>0</xdr:rowOff>
    </xdr:from>
    <xdr:ext cx="5580000" cy="2880000"/>
    <xdr:graphicFrame>
      <xdr:nvGraphicFramePr>
        <xdr:cNvPr id="107" name="Summary Chart 7"/>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xdr:graphicFrame>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rgb="FF8EA9DB"/>
  </sheetPr>
  <dimension ref="A1:X68"/>
  <sheetViews>
    <sheetView zoomScale="80" zoomScaleNormal="80" workbookViewId="0">
      <selection activeCell="B42" sqref="B42"/>
    </sheetView>
  </sheetViews>
  <sheetFormatPr defaultRowHeight="15" x14ac:dyDescent="0.25"/>
  <cols>
    <col min="2" max="2" width="19.7109375" customWidth="1"/>
    <col min="3" max="3" width="41.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spans="1:24" x14ac:dyDescent="0.25" ht="21" customHeight="1">
      <c r="A1" s="119" t="str">
        <f>HYPERLINK("#'General Information'!D9","◄ General Information")</f>
        <v>◄ General Information</v>
      </c>
      <c r="B1" s="119"/>
      <c r="C1" s="120" t="str">
        <f>HYPERLINK("#Summary!G1","Summary")</f>
        <v>Summary</v>
      </c>
      <c r="D1" s="156" t="inlineStr">
        <is>
          <t xml:space="preserve">  Grey cells are yours: C4 to C7 project data (filled from General Information), F4 and F5 closure days, C13 to C22 pay items and E13 to E22 quantities. Everything else calculates.</t>
        </is>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c r="E3" s="97"/>
      <c r="F3" s="98"/>
    </row>
    <row r="4" spans="1:24" x14ac:dyDescent="0.25">
      <c r="A4" t="s">
        <v>263</v>
      </c>
      <c r="C4" s="45" t="s">
        <v>487</v>
      </c>
      <c r="E4" s="97" t="s">
        <v>600</v>
      </c>
      <c r="F4" s="112">
        <f>ROUNDUP(C5*550/(50*100/9)/10000,0)+ROUNDUP(C5*'Maintenance Policies'!D38/10000,0)+ROUNDUP(C5*'Maintenance Policies'!D39/5000,0)+ROUNDUP(C5*'Maintenance Policies'!D40/5000,0)</f>
        <v>0</v>
      </c>
    </row>
    <row r="5" spans="1:24" x14ac:dyDescent="0.25">
      <c r="A5" t="s">
        <v>346</v>
      </c>
      <c r="C5">
        <f>'General Information'!D26</f>
        <v>0</v>
      </c>
      <c r="D5" t="s">
        <v>6</v>
      </c>
      <c r="E5" s="99" t="s">
        <v>604</v>
      </c>
      <c r="F5" s="113">
        <f>ROUNDUP(C5*550/(50*100/9)/10000,0)+ROUNDUP(C5*'Maintenance Policies'!D44/10000,0)+ROUNDUP(C5*'Maintenance Policies'!D43/5000,0)+ROUNDUP(C5*'Maintenance Policies'!D42/5000,0)+ROUNDUP(C5*'Maintenance Policies'!D41/1000,0)+7</f>
        <v>0</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row>
    <row r="12" spans="1:24" x14ac:dyDescent="0.25">
      <c r="A12" t="s">
        <v>344</v>
      </c>
      <c r="B12" t="s">
        <v>264</v>
      </c>
      <c r="C12" t="s">
        <v>265</v>
      </c>
      <c r="D12" t="s">
        <v>319</v>
      </c>
      <c r="E12" t="s">
        <v>322</v>
      </c>
      <c r="F12" t="s">
        <v>320</v>
      </c>
      <c r="G12"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IF(C13="",0,VLOOKUP(C13,CHOOSE({1,2},Table2[Pay Item Description],Table2[Pay Item No.]),2,0))</f>
        <v>0</v>
      </c>
      <c r="C13" s="70" t="s">
        <v>481</v>
      </c>
      <c r="D13" s="3" t="str">
        <f>IF(C13="","N/A",VLOOKUP(C13,CHOOSE({1,2},Table2[Pay Item Description],Table2[Units]),2,0))</f>
        <v>N/A</v>
      </c>
      <c r="E13" s="77"/>
      <c r="F13" s="75" t="str">
        <f>IF(C13="","N/A",VLOOKUP(C13,CHOOSE({1,2},Table2[Pay Item Description],Table2[Unit Cost]),2,0))</f>
        <v>N/A</v>
      </c>
      <c r="G13" s="72">
        <f t="shared" ref="G13:G17" si="0">IF(B13&lt;&gt;0,F13*E13,0)</f>
        <v>0</v>
      </c>
      <c r="I13" t="str">
        <f>Pay_Items!D55</f>
        <v>Joint Clean and Reseal, Concrete</v>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IF(L13="","N/A",VLOOKUP(L13,CHOOSE({1,2},Table2[Pay Item Description],Table2[Unit Cost]),2,0))</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IF(T13="","N/A",VLOOKUP(T13,CHOOSE({1,2},Table2[Pay Item Description],Table2[Unit Cost]),2,0))</f>
        <v>100</v>
      </c>
      <c r="X13" s="46">
        <f>W13*V13</f>
        <v>0</v>
      </c>
    </row>
    <row r="14" spans="1:24" ht="19.5" customHeight="1" x14ac:dyDescent="0.25">
      <c r="A14">
        <v>2</v>
      </c>
      <c r="B14" s="71">
        <f>IF(C14="",0,VLOOKUP(C14,CHOOSE({1,2},Table2[Pay Item Description],Table2[Pay Item No.]),2,0))</f>
        <v>0</v>
      </c>
      <c r="C14" s="70"/>
      <c r="D14" s="3" t="str">
        <f>IF(C14="","N/A",VLOOKUP(C14,CHOOSE({1,2},Table2[Pay Item Description],Table2[Units]),2,0))</f>
        <v>N/A</v>
      </c>
      <c r="E14" s="77"/>
      <c r="F14" s="75" t="str">
        <f>IF(C14="","N/A",VLOOKUP(C14,CHOOSE({1,2},Table2[Pay Item Description],Table2[Unit Cost]),2,0))</f>
        <v>N/A</v>
      </c>
      <c r="G14" s="72">
        <f t="shared" si="0"/>
        <v>0</v>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IF(L14="","N/A",VLOOKUP(L14,CHOOSE({1,2},Table2[Pay Item Description],Table2[Unit Cost]),2,0))</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IF(T14="","N/A",VLOOKUP(T14,CHOOSE({1,2},Table2[Pay Item Description],Table2[Unit Cost]),2,0))</f>
        <v>120</v>
      </c>
      <c r="X14" s="46">
        <f>W14*V14</f>
        <v>0</v>
      </c>
    </row>
    <row r="15" spans="1:24" ht="19.5" customHeight="1" x14ac:dyDescent="0.25">
      <c r="A15">
        <v>3</v>
      </c>
      <c r="B15" s="71">
        <f>IF(C15="",0,VLOOKUP(C15,CHOOSE({1,2},Table2[Pay Item Description],Table2[Pay Item No.]),2,0))</f>
        <v>0</v>
      </c>
      <c r="C15" s="70"/>
      <c r="D15" s="3" t="str">
        <f>IF(C15="","N/A",VLOOKUP(C15,CHOOSE({1,2},Table2[Pay Item Description],Table2[Units]),2,0))</f>
        <v>N/A</v>
      </c>
      <c r="E15" s="77"/>
      <c r="F15" s="75" t="str">
        <f>IF(C15="","N/A",VLOOKUP(C15,CHOOSE({1,2},Table2[Pay Item Description],Table2[Unit Cost]),2,0))</f>
        <v>N/A</v>
      </c>
      <c r="G15" s="72">
        <f t="shared" si="0"/>
        <v>0</v>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IF(L15="","N/A",VLOOKUP(L15,CHOOSE({1,2},Table2[Pay Item Description],Table2[Unit Cost]),2,0))</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IF(T15="","N/A",VLOOKUP(T15,CHOOSE({1,2},Table2[Pay Item Description],Table2[Unit Cost]),2,0))</f>
        <v>60</v>
      </c>
      <c r="X15" s="46">
        <f>W15*V15</f>
        <v>0</v>
      </c>
    </row>
    <row r="16" spans="1:24" ht="19.5" customHeight="1" x14ac:dyDescent="0.25">
      <c r="A16">
        <v>4</v>
      </c>
      <c r="B16" s="71">
        <f>IF(C16="",0,VLOOKUP(C16,CHOOSE({1,2},Table2[Pay Item Description],Table2[Pay Item No.]),2,0))</f>
        <v>0</v>
      </c>
      <c r="C16" s="70"/>
      <c r="D16" s="3" t="str">
        <f>IF(C16="","N/A",VLOOKUP(C16,CHOOSE({1,2},Table2[Pay Item Description],Table2[Units]),2,0))</f>
        <v>N/A</v>
      </c>
      <c r="E16" s="77"/>
      <c r="F16" s="75" t="str">
        <f>IF(C16="","N/A",VLOOKUP(C16,CHOOSE({1,2},Table2[Pay Item Description],Table2[Unit Cost]),2,0))</f>
        <v>N/A</v>
      </c>
      <c r="G16" s="72">
        <f t="shared" si="0"/>
        <v>0</v>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IF(L16="","N/A",VLOOKUP(L16,CHOOSE({1,2},Table2[Pay Item Description],Table2[Unit Cost]),2,0))</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IF(T16="","N/A",VLOOKUP(T16,CHOOSE({1,2},Table2[Pay Item Description],Table2[Unit Cost]),2,0))</f>
        <v>8</v>
      </c>
      <c r="X16" s="46">
        <f>W16*V16</f>
        <v>0</v>
      </c>
    </row>
    <row r="17" spans="1:24" ht="19.5" customHeight="1" x14ac:dyDescent="0.25">
      <c r="A17">
        <v>5</v>
      </c>
      <c r="B17" s="71">
        <f>IF(C17="",0,VLOOKUP(C17,CHOOSE({1,2},Table2[Pay Item Description],Table2[Pay Item No.]),2,0))</f>
        <v>0</v>
      </c>
      <c r="C17" s="70"/>
      <c r="D17" s="3" t="str">
        <f>IF(C17="","N/A",VLOOKUP(C17,CHOOSE({1,2},Table2[Pay Item Description],Table2[Units]),2,0))</f>
        <v>N/A</v>
      </c>
      <c r="E17" s="77"/>
      <c r="F17" s="75" t="str">
        <f>IF(C17="","N/A",VLOOKUP(C17,CHOOSE({1,2},Table2[Pay Item Description],Table2[Unit Cost]),2,0))</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IF(T17="","N/A",VLOOKUP(T17,CHOOSE({1,2},Table2[Pay Item Description],Table2[Unit Cost]),2,0))</f>
        <v>7</v>
      </c>
      <c r="X17" s="46">
        <f>W17*V17</f>
        <v>0</v>
      </c>
    </row>
    <row r="18" spans="1:24" ht="19.5" customHeight="1" x14ac:dyDescent="0.25">
      <c r="A18">
        <v>6</v>
      </c>
      <c r="B18" s="71">
        <f>IF(C18="",0,VLOOKUP(C18,CHOOSE({1,2},Table2[Pay Item Description],Table2[Pay Item No.]),2,0))</f>
        <v>0</v>
      </c>
      <c r="C18" s="70"/>
      <c r="D18" s="3" t="str">
        <f>IF(C18="","N/A",VLOOKUP(C18,CHOOSE({1,2},Table2[Pay Item Description],Table2[Units]),2,0))</f>
        <v>N/A</v>
      </c>
      <c r="E18" s="77"/>
      <c r="F18" s="75" t="str">
        <f>IF(C18="","N/A",VLOOKUP(C18,CHOOSE({1,2},Table2[Pay Item Description],Table2[Unit Cost]),2,0))</f>
        <v>N/A</v>
      </c>
      <c r="G18" s="72">
        <f>IF(B18&lt;&gt;0,F18*E18,0)</f>
        <v>0</v>
      </c>
      <c r="L18" s="109" t="s">
        <v>9</v>
      </c>
      <c r="P18" s="63">
        <f>('General Information'!$D$36/100)*P17</f>
        <v>0</v>
      </c>
      <c r="W18" t="s">
        <v>348</v>
      </c>
      <c r="X18" s="46">
        <f>SUM(X13:X17)</f>
        <v>0</v>
      </c>
    </row>
    <row r="19" spans="1:24" ht="19.5" customHeight="1" x14ac:dyDescent="0.25">
      <c r="A19">
        <v>7</v>
      </c>
      <c r="B19" s="71">
        <f>IF(C19="",0,VLOOKUP(C19,CHOOSE({1,2},Table2[Pay Item Description],Table2[Pay Item No.]),2,0))</f>
        <v>0</v>
      </c>
      <c r="C19" s="70"/>
      <c r="D19" s="3" t="str">
        <f>IF(C19="","N/A",VLOOKUP(C19,CHOOSE({1,2},Table2[Pay Item Description],Table2[Units]),2,0))</f>
        <v>N/A</v>
      </c>
      <c r="E19" s="77"/>
      <c r="F19" s="75" t="str">
        <f>IF(C19="","N/A",VLOOKUP(C19,CHOOSE({1,2},Table2[Pay Item Description],Table2[Unit Cost]),2,0))</f>
        <v>N/A</v>
      </c>
      <c r="G19" s="72">
        <f t="shared" ref="G19:G22" si="1">IF(B19&lt;&gt;0,F19*E19,0)</f>
        <v>0</v>
      </c>
      <c r="L19" s="109" t="s">
        <v>323</v>
      </c>
      <c r="P19" s="63">
        <f>('General Information'!$D$37/100)*P17</f>
        <v>0</v>
      </c>
      <c r="T19" t="s">
        <v>9</v>
      </c>
      <c r="X19" s="46">
        <f>('General Information'!$D$36/100)*X18</f>
        <v>0</v>
      </c>
    </row>
    <row r="20" spans="1:24" ht="19.5" customHeight="1" x14ac:dyDescent="0.25">
      <c r="A20">
        <v>8</v>
      </c>
      <c r="B20" s="71">
        <f>IF(C20="",0,VLOOKUP(C20,CHOOSE({1,2},Table2[Pay Item Description],Table2[Pay Item No.]),2,0))</f>
        <v>0</v>
      </c>
      <c r="C20" s="70"/>
      <c r="D20" s="3" t="str">
        <f>IF(C20="","N/A",VLOOKUP(C20,CHOOSE({1,2},Table2[Pay Item Description],Table2[Units]),2,0))</f>
        <v>N/A</v>
      </c>
      <c r="E20" s="77"/>
      <c r="F20" s="75" t="str">
        <f>IF(C20="","N/A",VLOOKUP(C20,CHOOSE({1,2},Table2[Pay Item Description],Table2[Unit Cost]),2,0))</f>
        <v>N/A</v>
      </c>
      <c r="G20" s="72">
        <f t="shared" si="1"/>
        <v>0</v>
      </c>
      <c r="O20" s="61" t="s">
        <v>349</v>
      </c>
      <c r="P20" s="63">
        <f>SUM(P17:P19)</f>
        <v>0</v>
      </c>
      <c r="T20" t="s">
        <v>323</v>
      </c>
      <c r="X20" s="46">
        <f>('General Information'!$D$37/100)*X18</f>
        <v>0</v>
      </c>
    </row>
    <row r="21" spans="1:24" ht="19.5" customHeight="1" x14ac:dyDescent="0.25">
      <c r="A21">
        <v>9</v>
      </c>
      <c r="B21" s="71">
        <f>IF(C21="",0,VLOOKUP(C21,CHOOSE({1,2},Table2[Pay Item Description],Table2[Pay Item No.]),2,0))</f>
        <v>0</v>
      </c>
      <c r="C21" s="70"/>
      <c r="D21" s="3" t="str">
        <f>IF(C21="","N/A",VLOOKUP(C21,CHOOSE({1,2},Table2[Pay Item Description],Table2[Units]),2,0))</f>
        <v>N/A</v>
      </c>
      <c r="E21" s="77"/>
      <c r="F21" s="75" t="str">
        <f>IF(C21="","N/A",VLOOKUP(C21,CHOOSE({1,2},Table2[Pay Item Description],Table2[Unit Cost]),2,0))</f>
        <v>N/A</v>
      </c>
      <c r="G21" s="72">
        <f t="shared" si="1"/>
        <v>0</v>
      </c>
      <c r="W21" t="s">
        <v>349</v>
      </c>
      <c r="X21" s="46">
        <f>SUM(X18:X20)</f>
        <v>0</v>
      </c>
    </row>
    <row r="22" spans="1:24" ht="19.5" customHeight="1" x14ac:dyDescent="0.25">
      <c r="A22">
        <v>10</v>
      </c>
      <c r="B22" s="71">
        <f>IF(C22="",0,VLOOKUP(C22,CHOOSE({1,2},Table2[Pay Item Description],Table2[Pay Item No.]),2,0))</f>
        <v>0</v>
      </c>
      <c r="C22" s="70"/>
      <c r="D22" s="3" t="str">
        <f>IF(C22="","N/A",VLOOKUP(C22,CHOOSE({1,2},Table2[Pay Item Description],Table2[Units]),2,0))</f>
        <v>N/A</v>
      </c>
      <c r="E22" s="77"/>
      <c r="F22" s="75" t="str">
        <f>IF(C22="","N/A",VLOOKUP(C22,CHOOSE({1,2},Table2[Pay Item Description],Table2[Unit Cost]),2,0))</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110"/>
      <c r="M27" s="62"/>
      <c r="N27" s="62"/>
      <c r="O27" s="62"/>
      <c r="P27" s="62"/>
    </row>
    <row r="33" spans="1:14" x14ac:dyDescent="0.25">
      <c r="A33" s="4" t="s">
        <v>328</v>
      </c>
    </row>
    <row r="34" spans="1:14" x14ac:dyDescent="0.25">
      <c r="A34" s="4" t="s">
        <v>506</v>
      </c>
      <c r="I34" t="s">
        <v>248</v>
      </c>
    </row>
    <row r="35" spans="1:14" ht="15.75" thickBot="1" x14ac:dyDescent="0.3"/>
    <row r="36" spans="1:14" ht="27" thickTop="1" thickBot="1" x14ac:dyDescent="0.3">
      <c r="B36" s="53" t="s">
        <v>326</v>
      </c>
      <c r="C36" s="54" t="s">
        <v>259</v>
      </c>
      <c r="D36" s="54" t="s">
        <v>327</v>
      </c>
      <c r="E36" s="55"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48"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48" t="s">
        <v>77</v>
      </c>
      <c r="C40" s="57">
        <f>'Maintenance Policies'!E41</f>
        <v>27</v>
      </c>
      <c r="D40" s="58">
        <f>X21</f>
        <v>0</v>
      </c>
      <c r="E40" s="47">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48"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48" t="s">
        <v>85</v>
      </c>
      <c r="C42" s="57">
        <f>'General Information'!D33</f>
        <v>10</v>
      </c>
      <c r="D42" s="58">
        <f>-'Maintenance Policies'!D46*G27</f>
        <v>0</v>
      </c>
      <c r="E42" s="47">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ht="15.75" thickBot="1" x14ac:dyDescent="0.3">
      <c r="B43" s="49" t="s">
        <v>328</v>
      </c>
      <c r="C43" s="50"/>
      <c r="D43" s="50"/>
      <c r="E43" s="60"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mergeCells count="1">
    <mergeCell ref="A1:B1"/>
  </mergeCell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9525</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19050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595959"/>
  </sheetPr>
  <dimension ref="B2:E28"/>
  <sheetViews>
    <sheetView topLeftCell="A16" workbookViewId="0">
      <selection activeCell="J7" sqref="J7"/>
    </sheetView>
  </sheetViews>
  <sheetFormatPr defaultColWidth="8.7109375" defaultRowHeight="12.75" x14ac:dyDescent="0.2"/>
  <cols>
    <col min="1" max="16384" width="8.7109375" style="5"/>
  </cols>
  <sheetData>
    <row r="2" spans="2:5" x14ac:dyDescent="0.2">
      <c r="E2" s="5" t="s">
        <v>360</v>
      </c>
    </row>
    <row r="3" spans="2:5" x14ac:dyDescent="0.2">
      <c r="E3" s="5" t="s">
        <v>361</v>
      </c>
    </row>
    <row r="4" spans="2:5" x14ac:dyDescent="0.2">
      <c r="E4" s="5" t="s">
        <v>362</v>
      </c>
    </row>
    <row r="5" spans="2:5" x14ac:dyDescent="0.2">
      <c r="E5" s="5" t="s">
        <v>363</v>
      </c>
    </row>
    <row r="6" spans="2:5" x14ac:dyDescent="0.2">
      <c r="E6" s="5" t="s">
        <v>364</v>
      </c>
    </row>
    <row r="7" spans="2:5" ht="15" x14ac:dyDescent="0.25">
      <c r="E7" s="94" t="s">
        <v>365</v>
      </c>
    </row>
    <row r="9" spans="2:5" x14ac:dyDescent="0.2">
      <c r="B9" s="6" t="s">
        <v>109</v>
      </c>
    </row>
    <row r="28" spans="2:2" x14ac:dyDescent="0.2">
      <c r="B28" s="6"/>
    </row>
  </sheetData>
  <hyperlinks>
    <hyperlink ref="E7" r:id="rId1" xr:uid="{42931B7E-9F18-4423-8A96-98F5B7FB2656}"/>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595959"/>
  </sheetPr>
  <dimension ref="B2:E9"/>
  <sheetViews>
    <sheetView topLeftCell="A22" workbookViewId="0">
      <selection activeCell="R38" sqref="R38"/>
    </sheetView>
  </sheetViews>
  <sheetFormatPr defaultColWidth="8.7109375" defaultRowHeight="12.75" x14ac:dyDescent="0.2"/>
  <cols>
    <col min="1" max="16384" width="8.7109375" style="5"/>
  </cols>
  <sheetData>
    <row r="2" spans="2:5" x14ac:dyDescent="0.2">
      <c r="E2" s="5" t="s">
        <v>360</v>
      </c>
    </row>
    <row r="3" spans="2:5" x14ac:dyDescent="0.2">
      <c r="E3" s="5" t="s">
        <v>361</v>
      </c>
    </row>
    <row r="4" spans="2:5" x14ac:dyDescent="0.2">
      <c r="E4" s="5" t="s">
        <v>362</v>
      </c>
    </row>
    <row r="5" spans="2:5" x14ac:dyDescent="0.2">
      <c r="E5" s="5" t="s">
        <v>363</v>
      </c>
    </row>
    <row r="6" spans="2:5" x14ac:dyDescent="0.2">
      <c r="E6" s="5" t="s">
        <v>364</v>
      </c>
    </row>
    <row r="7" spans="2:5" x14ac:dyDescent="0.2">
      <c r="E7" s="5" t="s">
        <v>365</v>
      </c>
    </row>
    <row r="9" spans="2:5" x14ac:dyDescent="0.2">
      <c r="B9" s="6" t="s">
        <v>347</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rgb="FF1D2733"/>
    <pageSetUpPr fitToPage="1"/>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10" width="8.7109375" style="5"/>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2">
      <c r="F2" s="152" t="inlineStr">
        <is>
          <t>HOW TO USE THIS WORKBOOK</t>
        </is>
      </c>
    </row>
    <row r="3" ht="15" customHeight="1">
      <c r="F3" s="153" t="inlineStr">
        <is>
          <t xml:space="preserve">1.   Fill in the grey cells below (D9 to D39).
2.   Click Alternative Setup and add your alternatives.
3.   Click View Summary to compare them.
Grey cells are yours to fill in; white cells calculate themselves.
Typical Values lists the usual range for each input.</t>
        </is>
      </c>
    </row>
    <row r="4" ht="15" customHeight="1"/>
    <row r="5" ht="15" customHeight="1"/>
    <row r="6" ht="15" customHeight="1"/>
    <row r="7" spans="2:19" x14ac:dyDescent="0.2" ht="15" customHeight="1">
      <c r="K7" s="5" t="s">
        <v>248</v>
      </c>
    </row>
    <row r="8" spans="2:19" x14ac:dyDescent="0.2">
      <c r="B8" s="155" t="s">
        <v>93</v>
      </c>
      <c r="C8" s="155"/>
      <c r="D8" s="155"/>
      <c r="E8" s="155"/>
      <c r="L8" s="7" t="s">
        <v>246</v>
      </c>
      <c r="M8" s="7" t="s">
        <v>245</v>
      </c>
      <c r="N8" s="7" t="s">
        <v>509</v>
      </c>
      <c r="O8" s="7" t="s">
        <v>510</v>
      </c>
      <c r="P8" s="7" t="s">
        <v>247</v>
      </c>
      <c r="Q8" s="7" t="s">
        <v>250</v>
      </c>
      <c r="S8" s="5" t="s">
        <v>455</v>
      </c>
    </row>
    <row r="9" spans="2:19" x14ac:dyDescent="0.2" ht="28" customHeight="1">
      <c r="C9" s="5" t="s">
        <v>87</v>
      </c>
      <c r="D9" s="73"/>
      <c r="F9" s="154" t="str">
        <f>IF(LEN(IF(D9="","Airport Name, ","")&amp;IF(D25="","Construction Year, ","")&amp;IF(D26="","Mainline Area, ","")&amp;IF(D28="","Markings Area, ","")&amp;IF(D33="","Analysis Period, ","")&amp;IF(D34="","Discount Rate, ",""))=0,"All required inputs are filled. Next: click Alternative Setup.","Still needed: "&amp;LEFT(IF(D9="","Airport Name, ","")&amp;IF(D25="","Construction Year, ","")&amp;IF(D26="","Mainline Area, ","")&amp;IF(D28="","Markings Area, ","")&amp;IF(D33="","Analysis Period, ","")&amp;IF(D34="","Discount Rate, ",""),LEN(IF(D9="","Airport Name, ","")&amp;IF(D25="","Construction Year, ","")&amp;IF(D26="","Mainline Area, ","")&amp;IF(D28="","Markings Area, ","")&amp;IF(D33="","Analysis Period, ","")&amp;IF(D34="","Discount Rate, ",""))-2))</f>
        <v>Still needed: Airport Name, Construction Year, Mainline Area, Markings Area</v>
      </c>
      <c r="L9" s="7"/>
      <c r="M9" s="7"/>
      <c r="N9" s="7" t="s">
        <v>453</v>
      </c>
      <c r="O9" s="7" t="s">
        <v>453</v>
      </c>
      <c r="P9" s="7"/>
      <c r="Q9" s="3"/>
    </row>
    <row r="10" spans="2:19" x14ac:dyDescent="0.2">
      <c r="C10" s="5" t="s">
        <v>249</v>
      </c>
      <c r="D10" s="92" t="str">
        <f>IF(D9="","N/A",VLOOKUP(Airport_Name,Table17[],2))</f>
        <v>N/A</v>
      </c>
      <c r="L10" s="5" t="s">
        <v>166</v>
      </c>
      <c r="M10" s="5" t="s">
        <v>165</v>
      </c>
      <c r="N10" s="5" t="s">
        <v>423</v>
      </c>
      <c r="O10" s="5" t="s">
        <v>511</v>
      </c>
      <c r="P10" s="5" t="s">
        <v>64</v>
      </c>
      <c r="S10" s="5" t="s">
        <v>456</v>
      </c>
    </row>
    <row r="11" spans="2:19" x14ac:dyDescent="0.2">
      <c r="C11" s="5" t="s">
        <v>586</v>
      </c>
      <c r="D11" s="92" t="str">
        <f>IF(D9="","N/A",VLOOKUP(Airport_Name,Table17[],3))</f>
        <v>N/A</v>
      </c>
      <c r="L11" s="5" t="s">
        <v>184</v>
      </c>
      <c r="M11" s="5" t="s">
        <v>183</v>
      </c>
      <c r="N11" s="5" t="s">
        <v>390</v>
      </c>
      <c r="O11" s="5" t="s">
        <v>512</v>
      </c>
      <c r="P11" s="5" t="s">
        <v>65</v>
      </c>
      <c r="S11" s="5" t="s">
        <v>457</v>
      </c>
    </row>
    <row r="12" spans="2:19" x14ac:dyDescent="0.2">
      <c r="C12" s="5" t="s">
        <v>88</v>
      </c>
      <c r="D12" s="92" t="str">
        <f>IF(D9="","N/A",VLOOKUP(Airport_Name,Table17[],6))</f>
        <v>N/A</v>
      </c>
      <c r="L12" s="5" t="s">
        <v>212</v>
      </c>
      <c r="M12" s="5" t="s">
        <v>211</v>
      </c>
      <c r="N12" s="5" t="s">
        <v>405</v>
      </c>
      <c r="O12" s="5" t="s">
        <v>513</v>
      </c>
      <c r="P12" s="5" t="s">
        <v>65</v>
      </c>
      <c r="S12" s="5" t="s">
        <v>458</v>
      </c>
    </row>
    <row r="13" spans="2:19" x14ac:dyDescent="0.2">
      <c r="C13" s="5" t="s">
        <v>451</v>
      </c>
      <c r="D13" s="92" t="str">
        <f>IF(D9="","N/A",VLOOKUP(Airport_Name,Table17[],5))</f>
        <v>N/A</v>
      </c>
      <c r="L13" s="5" t="s">
        <v>117</v>
      </c>
      <c r="M13" s="5" t="s">
        <v>116</v>
      </c>
      <c r="N13" s="5" t="s">
        <v>370</v>
      </c>
      <c r="O13" s="5" t="s">
        <v>514</v>
      </c>
      <c r="P13" s="5" t="s">
        <v>65</v>
      </c>
    </row>
    <row r="14" spans="2:19" x14ac:dyDescent="0.2">
      <c r="C14" s="5" t="s">
        <v>90</v>
      </c>
      <c r="D14" s="73"/>
      <c r="L14" s="5" t="s">
        <v>228</v>
      </c>
      <c r="M14" s="5" t="s">
        <v>227</v>
      </c>
      <c r="N14" s="5" t="s">
        <v>430</v>
      </c>
      <c r="O14" s="5" t="s">
        <v>515</v>
      </c>
      <c r="P14" s="5" t="s">
        <v>64</v>
      </c>
    </row>
    <row r="15" spans="2:19" x14ac:dyDescent="0.2">
      <c r="C15" s="5" t="s">
        <v>91</v>
      </c>
      <c r="D15" s="73"/>
      <c r="L15" s="5" t="s">
        <v>168</v>
      </c>
      <c r="M15" s="5" t="s">
        <v>167</v>
      </c>
      <c r="N15" s="5" t="s">
        <v>393</v>
      </c>
      <c r="O15" s="5" t="s">
        <v>516</v>
      </c>
      <c r="P15" s="5" t="s">
        <v>65</v>
      </c>
      <c r="S15" s="5" t="s">
        <v>460</v>
      </c>
    </row>
    <row r="16" spans="2:19" x14ac:dyDescent="0.2">
      <c r="C16" s="5" t="s">
        <v>92</v>
      </c>
      <c r="D16" s="73"/>
      <c r="L16" s="5" t="s">
        <v>162</v>
      </c>
      <c r="M16" s="5" t="s">
        <v>161</v>
      </c>
      <c r="N16" s="5" t="s">
        <v>371</v>
      </c>
      <c r="O16" s="5" t="s">
        <v>517</v>
      </c>
      <c r="P16" s="5" t="s">
        <v>64</v>
      </c>
    </row>
    <row r="17" spans="2:19" x14ac:dyDescent="0.2">
      <c r="C17" s="5" t="s">
        <v>89</v>
      </c>
      <c r="D17" s="74"/>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c r="B20" s="155" t="s">
        <v>94</v>
      </c>
      <c r="C20" s="155"/>
      <c r="D20" s="155"/>
      <c r="E20" s="155"/>
      <c r="L20" s="5" t="s">
        <v>154</v>
      </c>
      <c r="M20" s="5" t="s">
        <v>153</v>
      </c>
      <c r="N20" s="5" t="s">
        <v>377</v>
      </c>
      <c r="O20" s="5" t="s">
        <v>523</v>
      </c>
      <c r="P20" s="5" t="s">
        <v>66</v>
      </c>
    </row>
    <row r="21" spans="2:19" x14ac:dyDescent="0.2">
      <c r="C21" s="5" t="s">
        <v>251</v>
      </c>
      <c r="D21" s="73"/>
      <c r="L21" s="5" t="s">
        <v>450</v>
      </c>
      <c r="M21" s="5" t="s">
        <v>169</v>
      </c>
      <c r="N21" s="5" t="s">
        <v>394</v>
      </c>
      <c r="O21" s="5" t="s">
        <v>524</v>
      </c>
      <c r="P21" s="5" t="s">
        <v>66</v>
      </c>
      <c r="S21" s="5" t="s">
        <v>485</v>
      </c>
    </row>
    <row r="22" spans="2:19" x14ac:dyDescent="0.2">
      <c r="C22" s="5" t="s">
        <v>260</v>
      </c>
      <c r="D22" s="73"/>
      <c r="L22" s="5" t="s">
        <v>177</v>
      </c>
      <c r="M22" s="5" t="s">
        <v>176</v>
      </c>
      <c r="N22" s="5" t="s">
        <v>380</v>
      </c>
      <c r="O22" s="5" t="s">
        <v>525</v>
      </c>
      <c r="P22" s="5" t="s">
        <v>65</v>
      </c>
    </row>
    <row r="23" spans="2:19" x14ac:dyDescent="0.2">
      <c r="C23" s="5" t="s">
        <v>261</v>
      </c>
      <c r="D23" s="73"/>
      <c r="L23" s="5" t="s">
        <v>149</v>
      </c>
      <c r="M23" s="5" t="s">
        <v>148</v>
      </c>
      <c r="N23" s="5" t="s">
        <v>381</v>
      </c>
      <c r="O23" s="5" t="s">
        <v>526</v>
      </c>
      <c r="P23" s="5" t="s">
        <v>66</v>
      </c>
      <c r="S23" s="5" t="s">
        <v>484</v>
      </c>
    </row>
    <row r="24" spans="2:19" x14ac:dyDescent="0.2">
      <c r="C24" s="5" t="s">
        <v>256</v>
      </c>
      <c r="D24" s="73"/>
      <c r="L24" s="5" t="s">
        <v>244</v>
      </c>
      <c r="M24" s="5" t="s">
        <v>243</v>
      </c>
      <c r="N24" s="5" t="s">
        <v>372</v>
      </c>
      <c r="O24" s="5" t="s">
        <v>523</v>
      </c>
      <c r="P24" s="5" t="s">
        <v>66</v>
      </c>
      <c r="S24" s="5" t="s">
        <v>483</v>
      </c>
    </row>
    <row r="25" spans="2:19" x14ac:dyDescent="0.2">
      <c r="C25" s="5" t="s">
        <v>255</v>
      </c>
      <c r="D25" s="73"/>
      <c r="F25" s="141" t="inlineStr">
        <is>
          <t xml:space="preserve">Construction year; the analysis period starts here.</t>
        </is>
      </c>
      <c r="L25" s="5" t="s">
        <v>175</v>
      </c>
      <c r="M25" s="5" t="s">
        <v>174</v>
      </c>
      <c r="N25" s="5" t="s">
        <v>383</v>
      </c>
      <c r="O25" s="5" t="s">
        <v>383</v>
      </c>
      <c r="P25" s="5" t="s">
        <v>64</v>
      </c>
      <c r="S25" s="5" t="s">
        <v>482</v>
      </c>
    </row>
    <row r="26" spans="2:19" x14ac:dyDescent="0.2">
      <c r="C26" s="5" t="s">
        <v>268</v>
      </c>
      <c r="D26" s="73"/>
      <c r="F26" s="141" t="inlineStr">
        <is>
          <t xml:space="preserve">Length x width / 9. TN GA: 4,000-6,000 ft x 75-100 ft wide.</t>
        </is>
      </c>
      <c r="L26" s="5" t="s">
        <v>152</v>
      </c>
      <c r="M26" s="5" t="s">
        <v>151</v>
      </c>
      <c r="N26" s="5" t="s">
        <v>384</v>
      </c>
      <c r="O26" s="5" t="s">
        <v>527</v>
      </c>
      <c r="P26" s="5" t="s">
        <v>65</v>
      </c>
    </row>
    <row r="27" spans="2:19" x14ac:dyDescent="0.2">
      <c r="C27" s="5" t="s">
        <v>269</v>
      </c>
      <c r="D27" s="73"/>
      <c r="F27" s="141" t="inlineStr">
        <is>
          <t xml:space="preserve">Paved shoulders only; usually 0 at TN GA airports.</t>
        </is>
      </c>
      <c r="L27" s="5" t="s">
        <v>113</v>
      </c>
      <c r="M27" s="5" t="s">
        <v>112</v>
      </c>
      <c r="N27" s="5" t="s">
        <v>385</v>
      </c>
      <c r="O27" s="5" t="s">
        <v>528</v>
      </c>
      <c r="P27" s="5" t="s">
        <v>66</v>
      </c>
    </row>
    <row r="28" spans="2:19" x14ac:dyDescent="0.2">
      <c r="C28" s="5" t="s">
        <v>270</v>
      </c>
      <c r="D28" s="73"/>
      <c r="F28" s="141" t="inlineStr">
        <is>
          <t xml:space="preserve">About 2,000-3,000 SF per 1,000 ft of runway.</t>
        </is>
      </c>
      <c r="L28" s="5" t="s">
        <v>171</v>
      </c>
      <c r="M28" s="5" t="s">
        <v>170</v>
      </c>
      <c r="N28" s="5" t="s">
        <v>404</v>
      </c>
      <c r="O28" s="5" t="s">
        <v>529</v>
      </c>
      <c r="P28" s="5" t="s">
        <v>64</v>
      </c>
    </row>
    <row r="29" spans="2:19" x14ac:dyDescent="0.2">
      <c r="C29" s="5"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c r="B32" s="155" t="s">
        <v>252</v>
      </c>
      <c r="C32" s="155"/>
      <c r="D32" s="155"/>
      <c r="E32" s="155"/>
      <c r="L32" s="5" t="s">
        <v>238</v>
      </c>
      <c r="M32" s="5" t="s">
        <v>237</v>
      </c>
      <c r="N32" s="5" t="s">
        <v>429</v>
      </c>
      <c r="O32" s="5" t="s">
        <v>533</v>
      </c>
      <c r="P32" s="5" t="s">
        <v>64</v>
      </c>
    </row>
    <row r="33" spans="2:16" x14ac:dyDescent="0.2">
      <c r="C33" s="5" t="s">
        <v>253</v>
      </c>
      <c r="D33" s="88">
        <v>30</v>
      </c>
      <c r="F33" s="141" t="inlineStr">
        <is>
          <t xml:space="preserve">TDOT policy 30 years; FAA leaves the period to the engineer.</t>
        </is>
      </c>
      <c r="L33" s="5" t="s">
        <v>164</v>
      </c>
      <c r="M33" s="5" t="s">
        <v>163</v>
      </c>
      <c r="N33" s="5" t="s">
        <v>428</v>
      </c>
      <c r="O33" s="5" t="s">
        <v>534</v>
      </c>
      <c r="P33" s="5" t="s">
        <v>66</v>
      </c>
    </row>
    <row r="34" spans="2:16" x14ac:dyDescent="0.2">
      <c r="C34" s="5" t="s">
        <v>271</v>
      </c>
      <c r="D34" s="88">
        <v>3</v>
      </c>
      <c r="F34" s="141" t="inlineStr">
        <is>
          <t xml:space="preserve">TDOT 3%. FAA uses the OMB A-94 real rate, 2.0% in 2026.</t>
        </is>
      </c>
      <c r="L34" s="5" t="s">
        <v>173</v>
      </c>
      <c r="M34" s="5" t="s">
        <v>172</v>
      </c>
      <c r="N34" s="5" t="s">
        <v>411</v>
      </c>
      <c r="O34" s="5" t="s">
        <v>518</v>
      </c>
      <c r="P34" s="5" t="s">
        <v>65</v>
      </c>
    </row>
    <row r="35" spans="2:16" x14ac:dyDescent="0.2">
      <c r="C35" s="5" t="s">
        <v>254</v>
      </c>
      <c r="D35" s="156" t="inlineStr">
        <is>
          <t>Remaining service life at end of analysis period (as percent of cost)</t>
        </is>
      </c>
      <c r="L35" s="5" t="s">
        <v>232</v>
      </c>
      <c r="M35" s="5" t="s">
        <v>231</v>
      </c>
      <c r="N35" s="5" t="s">
        <v>438</v>
      </c>
      <c r="O35" s="5" t="s">
        <v>535</v>
      </c>
      <c r="P35" s="5" t="s">
        <v>65</v>
      </c>
    </row>
    <row r="36" spans="2:16" x14ac:dyDescent="0.2">
      <c r="C36" s="5" t="s">
        <v>257</v>
      </c>
      <c r="D36" s="88">
        <v>10</v>
      </c>
      <c r="F36" s="141" t="inlineStr">
        <is>
          <t xml:space="preserve">Percent of pay items; workbook default 10.</t>
        </is>
      </c>
      <c r="L36" s="5" t="s">
        <v>160</v>
      </c>
      <c r="M36" s="5" t="s">
        <v>159</v>
      </c>
      <c r="N36" s="5" t="s">
        <v>389</v>
      </c>
      <c r="O36" s="5" t="s">
        <v>536</v>
      </c>
      <c r="P36" s="5" t="s">
        <v>66</v>
      </c>
    </row>
    <row r="37" spans="2:16" x14ac:dyDescent="0.2">
      <c r="C37" s="5" t="s">
        <v>258</v>
      </c>
      <c r="D37" s="88">
        <v>5</v>
      </c>
      <c r="F37" s="141" t="inlineStr">
        <is>
          <t xml:space="preserve">Percent of pay items; now applied to initial construction too.</t>
        </is>
      </c>
      <c r="L37" s="5" t="s">
        <v>182</v>
      </c>
      <c r="M37" s="5" t="s">
        <v>181</v>
      </c>
      <c r="N37" s="5" t="s">
        <v>376</v>
      </c>
      <c r="O37" s="5" t="s">
        <v>537</v>
      </c>
      <c r="P37" s="5" t="s">
        <v>64</v>
      </c>
    </row>
    <row r="38" spans="2:16" x14ac:dyDescent="0.2">
      <c r="C38" s="5" t="s">
        <v>613</v>
      </c>
      <c r="D38" s="100" t="s">
        <v>632</v>
      </c>
      <c r="F38" s="141" t="inlineStr">
        <is>
          <t xml:space="preserve">Yes counts lost revenue during closures (17 airports have data).</t>
        </is>
      </c>
      <c r="L38" s="5" t="s">
        <v>218</v>
      </c>
      <c r="M38" s="5" t="s">
        <v>217</v>
      </c>
      <c r="N38" s="5" t="s">
        <v>425</v>
      </c>
      <c r="O38" s="5" t="s">
        <v>538</v>
      </c>
      <c r="P38" s="5" t="s">
        <v>66</v>
      </c>
    </row>
    <row r="39" spans="2:16" x14ac:dyDescent="0.2">
      <c r="C39" s="5"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c r="B41" s="6" t="s">
        <v>479</v>
      </c>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c r="L43" s="5" t="s">
        <v>123</v>
      </c>
      <c r="M43" s="5" t="s">
        <v>122</v>
      </c>
      <c r="N43" s="5" t="s">
        <v>387</v>
      </c>
      <c r="O43" s="5" t="s">
        <v>395</v>
      </c>
      <c r="P43" s="5" t="s">
        <v>64</v>
      </c>
    </row>
    <row r="44" ht="21" customHeight="1" spans="2:16" x14ac:dyDescent="0.2">
      <c r="B44" s="6" t="inlineStr">
        <is>
          <t>LCCA Summary:</t>
        </is>
      </c>
      <c r="D44" s="119" t="str">
        <f>HYPERLINK("#Summary!G1","View Summary  ►")</f>
        <v>View Summary  ►</v>
      </c>
      <c r="L44" s="5" t="s">
        <v>449</v>
      </c>
      <c r="M44" s="5" t="s">
        <v>180</v>
      </c>
      <c r="N44" s="5" t="s">
        <v>406</v>
      </c>
      <c r="O44" s="5" t="s">
        <v>542</v>
      </c>
      <c r="P44" s="5" t="s">
        <v>64</v>
      </c>
    </row>
    <row r="45" spans="2:16" x14ac:dyDescent="0.2">
      <c r="L45" s="5" t="s">
        <v>129</v>
      </c>
      <c r="M45" s="5" t="s">
        <v>128</v>
      </c>
      <c r="N45" s="5" t="s">
        <v>396</v>
      </c>
      <c r="O45" s="5" t="s">
        <v>543</v>
      </c>
      <c r="P45" s="5" t="s">
        <v>64</v>
      </c>
    </row>
    <row r="46" ht="21" customHeight="1" spans="2:16" x14ac:dyDescent="0.2">
      <c r="B46" s="6" t="inlineStr">
        <is>
          <t>Typical input values:</t>
        </is>
      </c>
      <c r="D46" s="119" t="str">
        <f>HYPERLINK("#'Typical Values'!A1","Typical Values  ►")</f>
        <v>Typical Values  ►</v>
      </c>
      <c r="L46" s="5" t="s">
        <v>115</v>
      </c>
      <c r="M46" s="5" t="s">
        <v>114</v>
      </c>
      <c r="N46" s="5" t="s">
        <v>391</v>
      </c>
      <c r="O46" s="5" t="s">
        <v>544</v>
      </c>
      <c r="P46" s="5" t="s">
        <v>64</v>
      </c>
    </row>
    <row r="47" spans="2:16" x14ac:dyDescent="0.2">
      <c r="L47" s="5" t="s">
        <v>448</v>
      </c>
      <c r="M47" s="5" t="s">
        <v>418</v>
      </c>
      <c r="N47" s="5" t="s">
        <v>417</v>
      </c>
      <c r="O47" s="5" t="s">
        <v>545</v>
      </c>
      <c r="P47" s="5" t="s">
        <v>64</v>
      </c>
    </row>
    <row r="48" spans="2:16" x14ac:dyDescent="0.2">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mergeCells count="3">
    <mergeCell ref="F2:J2"/>
    <mergeCell ref="F3:J7"/>
    <mergeCell ref="F9:J9"/>
  </mergeCells>
  <conditionalFormatting sqref="F9:J9">
    <cfRule type="expression" dxfId="28" priority="1">
      <formula>LEFT($F$9,3)="All"</formula>
    </cfRule>
    <cfRule type="expression" dxfId="29" priority="2">
      <formula>LEFT($F$9,3)&lt;&gt;"All"</formula>
    </cfRule>
  </conditionalFormatting>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pageSetup orientation="landscape" fitToWidth="1" fitToHeight="0"/>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39</xdr:row>
                <xdr:rowOff>104775</xdr:rowOff>
              </from>
              <to>
                <xdr:col>3</xdr:col>
                <xdr:colOff>1238250</xdr:colOff>
                <xdr:row>41</xdr:row>
                <xdr:rowOff>142875</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BFBFBF"/>
  </sheetPr>
  <dimension ref="A1:J59"/>
  <sheetViews>
    <sheetView topLeftCell="B1" workbookViewId="0">
      <selection activeCell="D7" sqref="D7"/>
    </sheetView>
  </sheetViews>
  <sheetFormatPr defaultColWidth="8.7109375" defaultRowHeight="12.75" x14ac:dyDescent="0.2"/>
  <cols>
    <col min="1" max="1" width="29.28515625" style="5" bestFit="1" customWidth="1"/>
    <col min="2" max="2" width="19.5703125" style="5" bestFit="1" customWidth="1"/>
    <col min="3" max="3" width="18.5703125" style="5" customWidth="1"/>
    <col min="4" max="4" width="65.7109375" style="5" customWidth="1"/>
    <col min="5" max="5" width="8.7109375" style="5"/>
    <col min="6" max="6" width="10.7109375" style="5" customWidth="1"/>
    <col min="7" max="16384" width="8.7109375" style="5"/>
  </cols>
  <sheetData>
    <row r="1" spans="1:10" x14ac:dyDescent="0.2">
      <c r="G1" s="115" t="s">
        <v>267</v>
      </c>
      <c r="H1" s="115"/>
      <c r="I1" s="115"/>
    </row>
    <row r="2" spans="1:10" x14ac:dyDescent="0.2">
      <c r="A2" s="6" t="s">
        <v>51</v>
      </c>
      <c r="B2" s="5" t="s">
        <v>505</v>
      </c>
      <c r="C2" s="6" t="s">
        <v>52</v>
      </c>
      <c r="D2" s="6" t="s">
        <v>53</v>
      </c>
      <c r="E2" s="6" t="s">
        <v>266</v>
      </c>
      <c r="F2" s="6" t="s">
        <v>320</v>
      </c>
      <c r="G2" s="7" t="s">
        <v>64</v>
      </c>
      <c r="H2" s="7" t="s">
        <v>65</v>
      </c>
      <c r="I2" s="7" t="s">
        <v>66</v>
      </c>
    </row>
    <row r="3" spans="1:10" x14ac:dyDescent="0.2">
      <c r="A3" s="6"/>
      <c r="B3" s="5" t="s">
        <v>454</v>
      </c>
      <c r="C3" s="6"/>
      <c r="D3" s="6"/>
      <c r="E3" s="6" t="s">
        <v>453</v>
      </c>
      <c r="F3" s="6" t="s">
        <v>453</v>
      </c>
      <c r="G3" s="7"/>
      <c r="H3" s="7"/>
      <c r="I3" s="7"/>
    </row>
    <row r="4" spans="1:10" x14ac:dyDescent="0.2">
      <c r="A4" s="6" t="s">
        <v>10</v>
      </c>
      <c r="B4" s="5" t="s">
        <v>54</v>
      </c>
      <c r="C4" s="1" t="s">
        <v>317</v>
      </c>
      <c r="D4" s="2" t="s">
        <v>63</v>
      </c>
      <c r="E4" s="3" t="s">
        <v>6</v>
      </c>
      <c r="F4" s="67">
        <v>4.2</v>
      </c>
      <c r="J4" s="5" t="s">
        <v>590</v>
      </c>
    </row>
    <row r="5" spans="1:10" x14ac:dyDescent="0.2">
      <c r="B5" s="5" t="s">
        <v>54</v>
      </c>
      <c r="C5" s="1" t="s">
        <v>318</v>
      </c>
      <c r="D5" s="2" t="s">
        <v>62</v>
      </c>
      <c r="E5" s="3" t="s">
        <v>6</v>
      </c>
      <c r="F5" s="67"/>
      <c r="J5" s="5" t="s">
        <v>590</v>
      </c>
    </row>
    <row r="6" spans="1:10" x14ac:dyDescent="0.2">
      <c r="B6" s="5" t="s">
        <v>54</v>
      </c>
      <c r="C6" s="1" t="s">
        <v>329</v>
      </c>
      <c r="D6" s="2" t="s">
        <v>331</v>
      </c>
      <c r="E6" s="3" t="s">
        <v>7</v>
      </c>
      <c r="F6" s="67">
        <v>4</v>
      </c>
    </row>
    <row r="7" spans="1:10" x14ac:dyDescent="0.2">
      <c r="B7" s="5" t="s">
        <v>54</v>
      </c>
      <c r="C7" s="1" t="s">
        <v>330</v>
      </c>
      <c r="D7" s="2" t="s">
        <v>332</v>
      </c>
      <c r="E7" s="3" t="s">
        <v>7</v>
      </c>
      <c r="F7" s="67">
        <v>6.5</v>
      </c>
    </row>
    <row r="8" spans="1:10" x14ac:dyDescent="0.2">
      <c r="B8" s="5" t="s">
        <v>54</v>
      </c>
      <c r="C8" s="1" t="s">
        <v>333</v>
      </c>
      <c r="D8" s="2" t="s">
        <v>335</v>
      </c>
      <c r="E8" s="3" t="s">
        <v>7</v>
      </c>
      <c r="F8" s="67">
        <v>8</v>
      </c>
    </row>
    <row r="9" spans="1:10" x14ac:dyDescent="0.2">
      <c r="B9" s="5" t="s">
        <v>54</v>
      </c>
      <c r="C9" s="1" t="s">
        <v>334</v>
      </c>
      <c r="D9" s="2" t="s">
        <v>336</v>
      </c>
      <c r="E9" s="3" t="s">
        <v>7</v>
      </c>
      <c r="F9" s="67">
        <v>8.5</v>
      </c>
    </row>
    <row r="10" spans="1:10" x14ac:dyDescent="0.2">
      <c r="B10" s="5" t="s">
        <v>54</v>
      </c>
      <c r="C10" s="1" t="s">
        <v>11</v>
      </c>
      <c r="D10" s="2" t="s">
        <v>359</v>
      </c>
      <c r="E10" s="3" t="s">
        <v>12</v>
      </c>
      <c r="F10" s="67">
        <f>7/9</f>
        <v>0.77777777777777779</v>
      </c>
    </row>
    <row r="11" spans="1:10" x14ac:dyDescent="0.2">
      <c r="B11" s="5" t="s">
        <v>54</v>
      </c>
      <c r="C11" s="1" t="s">
        <v>488</v>
      </c>
      <c r="D11" s="2" t="s">
        <v>337</v>
      </c>
      <c r="E11" s="3" t="s">
        <v>12</v>
      </c>
      <c r="F11" s="67">
        <v>8.5</v>
      </c>
      <c r="J11" s="5" t="s">
        <v>590</v>
      </c>
    </row>
    <row r="12" spans="1:10" x14ac:dyDescent="0.2">
      <c r="B12" s="5" t="s">
        <v>54</v>
      </c>
      <c r="C12" s="1" t="s">
        <v>489</v>
      </c>
      <c r="D12" s="2" t="s">
        <v>490</v>
      </c>
      <c r="E12" s="3" t="s">
        <v>12</v>
      </c>
      <c r="F12" s="67"/>
      <c r="J12" s="5" t="s">
        <v>593</v>
      </c>
    </row>
    <row r="13" spans="1:10" x14ac:dyDescent="0.2">
      <c r="B13" s="5" t="s">
        <v>54</v>
      </c>
      <c r="C13" s="1" t="s">
        <v>341</v>
      </c>
      <c r="D13" s="2" t="s">
        <v>338</v>
      </c>
      <c r="E13" s="3" t="s">
        <v>12</v>
      </c>
      <c r="F13" s="67">
        <v>60</v>
      </c>
      <c r="J13" s="5" t="s">
        <v>590</v>
      </c>
    </row>
    <row r="14" spans="1:10" x14ac:dyDescent="0.2">
      <c r="B14" s="5" t="s">
        <v>54</v>
      </c>
      <c r="C14" s="1" t="s">
        <v>342</v>
      </c>
      <c r="D14" s="2" t="s">
        <v>339</v>
      </c>
      <c r="E14" s="3" t="s">
        <v>6</v>
      </c>
      <c r="F14" s="67">
        <v>120</v>
      </c>
      <c r="J14" s="5" t="s">
        <v>590</v>
      </c>
    </row>
    <row r="15" spans="1:10" x14ac:dyDescent="0.2">
      <c r="B15" s="5" t="s">
        <v>54</v>
      </c>
      <c r="C15" s="1" t="s">
        <v>343</v>
      </c>
      <c r="D15" s="2" t="s">
        <v>340</v>
      </c>
      <c r="E15" s="3" t="s">
        <v>6</v>
      </c>
      <c r="F15" s="67">
        <v>100</v>
      </c>
    </row>
    <row r="16" spans="1:10" x14ac:dyDescent="0.2">
      <c r="B16" s="5" t="s">
        <v>54</v>
      </c>
      <c r="C16" s="1" t="s">
        <v>1</v>
      </c>
      <c r="D16" s="2" t="s">
        <v>13</v>
      </c>
      <c r="E16" s="3" t="s">
        <v>6</v>
      </c>
      <c r="F16" s="67">
        <f>10/2</f>
        <v>5</v>
      </c>
      <c r="J16" s="5" t="s">
        <v>590</v>
      </c>
    </row>
    <row r="17" spans="1:10" x14ac:dyDescent="0.2">
      <c r="B17" s="5" t="s">
        <v>54</v>
      </c>
      <c r="C17" s="1" t="s">
        <v>14</v>
      </c>
      <c r="D17" s="2" t="s">
        <v>316</v>
      </c>
      <c r="E17" s="3" t="s">
        <v>8</v>
      </c>
      <c r="F17" s="67"/>
    </row>
    <row r="18" spans="1:10" x14ac:dyDescent="0.2">
      <c r="B18" s="5" t="s">
        <v>54</v>
      </c>
      <c r="C18" s="1" t="s">
        <v>15</v>
      </c>
      <c r="D18" s="2" t="s">
        <v>315</v>
      </c>
      <c r="E18" s="3" t="s">
        <v>8</v>
      </c>
      <c r="F18" s="67"/>
    </row>
    <row r="19" spans="1:10" x14ac:dyDescent="0.2">
      <c r="B19" s="5" t="s">
        <v>54</v>
      </c>
      <c r="C19" s="1" t="s">
        <v>16</v>
      </c>
      <c r="D19" s="2" t="s">
        <v>17</v>
      </c>
      <c r="E19" s="3" t="s">
        <v>8</v>
      </c>
      <c r="F19" s="67">
        <v>55</v>
      </c>
    </row>
    <row r="20" spans="1:10" x14ac:dyDescent="0.2">
      <c r="B20" s="5" t="s">
        <v>54</v>
      </c>
      <c r="C20" s="1" t="s">
        <v>18</v>
      </c>
      <c r="D20" s="2" t="s">
        <v>633</v>
      </c>
      <c r="E20" s="3" t="s">
        <v>6</v>
      </c>
      <c r="F20" s="67"/>
    </row>
    <row r="21" spans="1:10" x14ac:dyDescent="0.2">
      <c r="B21" s="5" t="s">
        <v>54</v>
      </c>
      <c r="C21" s="1" t="s">
        <v>20</v>
      </c>
      <c r="D21" s="2" t="s">
        <v>21</v>
      </c>
      <c r="E21" s="3" t="s">
        <v>6</v>
      </c>
      <c r="F21" s="67">
        <v>10</v>
      </c>
      <c r="J21" s="5" t="s">
        <v>590</v>
      </c>
    </row>
    <row r="22" spans="1:10" x14ac:dyDescent="0.2">
      <c r="B22" s="5" t="s">
        <v>54</v>
      </c>
      <c r="C22" s="1" t="s">
        <v>22</v>
      </c>
      <c r="D22" s="2" t="s">
        <v>309</v>
      </c>
      <c r="E22" s="3" t="s">
        <v>6</v>
      </c>
      <c r="F22" s="67"/>
      <c r="J22" s="5" t="s">
        <v>590</v>
      </c>
    </row>
    <row r="23" spans="1:10" x14ac:dyDescent="0.2">
      <c r="B23" s="5" t="s">
        <v>54</v>
      </c>
      <c r="C23" s="1" t="s">
        <v>310</v>
      </c>
      <c r="D23" s="2" t="s">
        <v>312</v>
      </c>
      <c r="E23" s="3" t="s">
        <v>6</v>
      </c>
      <c r="F23" s="67"/>
      <c r="J23" s="5" t="s">
        <v>590</v>
      </c>
    </row>
    <row r="24" spans="1:10" x14ac:dyDescent="0.2">
      <c r="B24" s="5" t="s">
        <v>54</v>
      </c>
      <c r="C24" s="1" t="s">
        <v>311</v>
      </c>
      <c r="D24" s="2" t="s">
        <v>313</v>
      </c>
      <c r="E24" s="3" t="s">
        <v>6</v>
      </c>
      <c r="F24" s="67"/>
      <c r="J24" s="5" t="s">
        <v>590</v>
      </c>
    </row>
    <row r="25" spans="1:10" x14ac:dyDescent="0.2">
      <c r="B25" s="5" t="s">
        <v>54</v>
      </c>
      <c r="C25" s="1" t="s">
        <v>23</v>
      </c>
      <c r="D25" s="2" t="s">
        <v>314</v>
      </c>
      <c r="E25" s="3" t="s">
        <v>6</v>
      </c>
      <c r="F25" s="67"/>
      <c r="J25" s="5" t="s">
        <v>590</v>
      </c>
    </row>
    <row r="26" spans="1:10" ht="12.6" customHeight="1" x14ac:dyDescent="0.2">
      <c r="A26" s="6" t="s">
        <v>24</v>
      </c>
      <c r="B26" s="5" t="s">
        <v>289</v>
      </c>
      <c r="C26" s="1" t="s">
        <v>2</v>
      </c>
      <c r="D26" s="2" t="s">
        <v>288</v>
      </c>
      <c r="E26" s="3" t="s">
        <v>6</v>
      </c>
      <c r="F26" s="67"/>
      <c r="J26" s="5" t="s">
        <v>590</v>
      </c>
    </row>
    <row r="27" spans="1:10" x14ac:dyDescent="0.2">
      <c r="B27" s="5" t="s">
        <v>289</v>
      </c>
      <c r="C27" s="1" t="s">
        <v>25</v>
      </c>
      <c r="D27" s="2" t="s">
        <v>26</v>
      </c>
      <c r="E27" s="3" t="s">
        <v>8</v>
      </c>
      <c r="F27" s="67"/>
    </row>
    <row r="28" spans="1:10" x14ac:dyDescent="0.2">
      <c r="B28" s="5" t="s">
        <v>289</v>
      </c>
      <c r="C28" s="1" t="s">
        <v>27</v>
      </c>
      <c r="D28" s="2" t="s">
        <v>634</v>
      </c>
      <c r="E28" s="3" t="s">
        <v>6</v>
      </c>
      <c r="F28" s="67"/>
    </row>
    <row r="29" spans="1:10" x14ac:dyDescent="0.2">
      <c r="B29" s="5" t="s">
        <v>289</v>
      </c>
      <c r="C29" s="1" t="s">
        <v>0</v>
      </c>
      <c r="D29" s="2" t="s">
        <v>29</v>
      </c>
      <c r="E29" s="3" t="s">
        <v>8</v>
      </c>
      <c r="F29" s="67">
        <v>65</v>
      </c>
    </row>
    <row r="30" spans="1:10" x14ac:dyDescent="0.2">
      <c r="B30" s="5" t="s">
        <v>289</v>
      </c>
      <c r="C30" s="1" t="s">
        <v>30</v>
      </c>
      <c r="D30" s="2" t="s">
        <v>635</v>
      </c>
      <c r="E30" s="3" t="s">
        <v>6</v>
      </c>
      <c r="F30" s="67"/>
    </row>
    <row r="31" spans="1:10" x14ac:dyDescent="0.2">
      <c r="B31" s="5" t="s">
        <v>289</v>
      </c>
      <c r="C31" s="1" t="s">
        <v>31</v>
      </c>
      <c r="D31" s="2" t="s">
        <v>32</v>
      </c>
      <c r="E31" s="3" t="s">
        <v>8</v>
      </c>
      <c r="F31" s="67"/>
    </row>
    <row r="32" spans="1:10" x14ac:dyDescent="0.2">
      <c r="B32" s="5" t="s">
        <v>289</v>
      </c>
      <c r="C32" s="1" t="s">
        <v>33</v>
      </c>
      <c r="D32" s="2" t="s">
        <v>636</v>
      </c>
      <c r="E32" s="3" t="s">
        <v>6</v>
      </c>
      <c r="F32" s="67"/>
    </row>
    <row r="33" spans="1:10" x14ac:dyDescent="0.2">
      <c r="B33" s="5" t="s">
        <v>289</v>
      </c>
      <c r="C33" s="1" t="s">
        <v>34</v>
      </c>
      <c r="D33" s="2" t="s">
        <v>291</v>
      </c>
      <c r="E33" s="3" t="s">
        <v>6</v>
      </c>
      <c r="F33" s="67"/>
      <c r="J33" s="5" t="s">
        <v>590</v>
      </c>
    </row>
    <row r="34" spans="1:10" x14ac:dyDescent="0.2">
      <c r="A34" s="6" t="s">
        <v>35</v>
      </c>
      <c r="B34" s="5" t="s">
        <v>290</v>
      </c>
      <c r="C34" s="1" t="s">
        <v>36</v>
      </c>
      <c r="D34" s="2" t="s">
        <v>292</v>
      </c>
      <c r="E34" s="3" t="s">
        <v>8</v>
      </c>
      <c r="F34" s="67"/>
      <c r="J34" s="5" t="s">
        <v>592</v>
      </c>
    </row>
    <row r="35" spans="1:10" x14ac:dyDescent="0.2">
      <c r="B35" s="5" t="s">
        <v>290</v>
      </c>
      <c r="C35" s="1" t="s">
        <v>37</v>
      </c>
      <c r="D35" s="2" t="s">
        <v>293</v>
      </c>
      <c r="E35" s="3" t="s">
        <v>8</v>
      </c>
      <c r="F35" s="67"/>
      <c r="J35" s="5" t="s">
        <v>592</v>
      </c>
    </row>
    <row r="36" spans="1:10" x14ac:dyDescent="0.2">
      <c r="B36" s="5" t="s">
        <v>290</v>
      </c>
      <c r="C36" s="1" t="s">
        <v>38</v>
      </c>
      <c r="D36" s="2" t="s">
        <v>294</v>
      </c>
      <c r="E36" s="3" t="s">
        <v>8</v>
      </c>
      <c r="F36" s="67"/>
      <c r="J36" s="5" t="s">
        <v>592</v>
      </c>
    </row>
    <row r="37" spans="1:10" x14ac:dyDescent="0.2">
      <c r="A37" s="6" t="s">
        <v>39</v>
      </c>
      <c r="B37" s="5" t="s">
        <v>307</v>
      </c>
      <c r="C37" s="1" t="s">
        <v>301</v>
      </c>
      <c r="D37" s="2" t="s">
        <v>304</v>
      </c>
      <c r="E37" s="3" t="s">
        <v>5</v>
      </c>
      <c r="F37" s="67">
        <v>130</v>
      </c>
    </row>
    <row r="38" spans="1:10" x14ac:dyDescent="0.2">
      <c r="B38" s="5" t="s">
        <v>307</v>
      </c>
      <c r="C38" s="1" t="s">
        <v>302</v>
      </c>
      <c r="D38" s="2" t="s">
        <v>305</v>
      </c>
      <c r="E38" s="3" t="s">
        <v>5</v>
      </c>
      <c r="F38" s="67">
        <v>120</v>
      </c>
    </row>
    <row r="39" spans="1:10" x14ac:dyDescent="0.2">
      <c r="B39" s="5" t="s">
        <v>307</v>
      </c>
      <c r="C39" s="1" t="s">
        <v>303</v>
      </c>
      <c r="D39" s="2" t="s">
        <v>306</v>
      </c>
      <c r="E39" s="3" t="s">
        <v>5</v>
      </c>
      <c r="F39" s="67">
        <v>110</v>
      </c>
    </row>
    <row r="40" spans="1:10" x14ac:dyDescent="0.2">
      <c r="B40" s="5" t="s">
        <v>307</v>
      </c>
      <c r="C40" s="1" t="s">
        <v>295</v>
      </c>
      <c r="D40" s="2" t="s">
        <v>298</v>
      </c>
      <c r="E40" s="3" t="s">
        <v>5</v>
      </c>
      <c r="F40" s="67"/>
    </row>
    <row r="41" spans="1:10" x14ac:dyDescent="0.2">
      <c r="B41" s="5" t="s">
        <v>307</v>
      </c>
      <c r="C41" s="1" t="s">
        <v>296</v>
      </c>
      <c r="D41" s="2" t="s">
        <v>299</v>
      </c>
      <c r="E41" s="3" t="s">
        <v>5</v>
      </c>
      <c r="F41" s="67"/>
    </row>
    <row r="42" spans="1:10" x14ac:dyDescent="0.2">
      <c r="B42" s="5" t="s">
        <v>307</v>
      </c>
      <c r="C42" s="1" t="s">
        <v>297</v>
      </c>
      <c r="D42" s="2" t="s">
        <v>300</v>
      </c>
      <c r="E42" s="3" t="s">
        <v>5</v>
      </c>
      <c r="F42" s="67"/>
    </row>
    <row r="43" spans="1:10" x14ac:dyDescent="0.2">
      <c r="B43" s="5" t="s">
        <v>307</v>
      </c>
      <c r="C43" s="1" t="s">
        <v>50</v>
      </c>
      <c r="D43" s="2" t="s">
        <v>308</v>
      </c>
      <c r="E43" s="3" t="s">
        <v>5</v>
      </c>
      <c r="F43" s="67"/>
    </row>
    <row r="44" spans="1:10" x14ac:dyDescent="0.2">
      <c r="A44" s="6" t="s">
        <v>40</v>
      </c>
      <c r="B44" s="5" t="s">
        <v>55</v>
      </c>
      <c r="C44" s="1" t="s">
        <v>464</v>
      </c>
      <c r="D44" s="2" t="s">
        <v>463</v>
      </c>
      <c r="E44" s="3" t="s">
        <v>6</v>
      </c>
      <c r="F44" s="67">
        <v>79</v>
      </c>
      <c r="J44" s="5" t="s">
        <v>590</v>
      </c>
    </row>
    <row r="45" spans="1:10" x14ac:dyDescent="0.2">
      <c r="A45" s="6"/>
      <c r="B45" s="5" t="s">
        <v>55</v>
      </c>
      <c r="C45" s="1" t="s">
        <v>465</v>
      </c>
      <c r="D45" s="2" t="s">
        <v>468</v>
      </c>
      <c r="E45" s="3" t="s">
        <v>6</v>
      </c>
      <c r="F45" s="67">
        <v>82</v>
      </c>
      <c r="J45" s="5" t="s">
        <v>590</v>
      </c>
    </row>
    <row r="46" spans="1:10" x14ac:dyDescent="0.2">
      <c r="A46" s="6"/>
      <c r="B46" s="5" t="s">
        <v>55</v>
      </c>
      <c r="C46" s="1" t="s">
        <v>466</v>
      </c>
      <c r="D46" s="2" t="s">
        <v>469</v>
      </c>
      <c r="E46" s="3" t="s">
        <v>6</v>
      </c>
      <c r="F46" s="67">
        <v>85</v>
      </c>
      <c r="J46" s="5" t="s">
        <v>590</v>
      </c>
    </row>
    <row r="47" spans="1:10" x14ac:dyDescent="0.2">
      <c r="A47" s="6"/>
      <c r="B47" s="5" t="s">
        <v>55</v>
      </c>
      <c r="C47" s="1" t="s">
        <v>467</v>
      </c>
      <c r="D47" s="2" t="s">
        <v>470</v>
      </c>
      <c r="E47" s="3" t="s">
        <v>6</v>
      </c>
      <c r="F47" s="67">
        <v>91</v>
      </c>
      <c r="J47" s="5" t="s">
        <v>590</v>
      </c>
    </row>
    <row r="48" spans="1:10" x14ac:dyDescent="0.2">
      <c r="A48" s="6" t="s">
        <v>41</v>
      </c>
      <c r="B48" s="5" t="s">
        <v>280</v>
      </c>
      <c r="C48" s="1" t="s">
        <v>42</v>
      </c>
      <c r="D48" s="2" t="s">
        <v>276</v>
      </c>
      <c r="E48" s="3" t="s">
        <v>6</v>
      </c>
      <c r="F48" s="67">
        <v>4</v>
      </c>
    </row>
    <row r="49" spans="1:10" x14ac:dyDescent="0.2">
      <c r="B49" s="5" t="s">
        <v>280</v>
      </c>
      <c r="C49" s="1" t="s">
        <v>43</v>
      </c>
      <c r="D49" s="2" t="s">
        <v>277</v>
      </c>
      <c r="E49" s="3" t="s">
        <v>6</v>
      </c>
      <c r="F49" s="67">
        <v>5</v>
      </c>
    </row>
    <row r="50" spans="1:10" x14ac:dyDescent="0.2">
      <c r="B50" s="5" t="s">
        <v>280</v>
      </c>
      <c r="C50" s="1" t="s">
        <v>44</v>
      </c>
      <c r="D50" s="2" t="s">
        <v>278</v>
      </c>
      <c r="E50" s="3" t="s">
        <v>6</v>
      </c>
      <c r="F50" s="67">
        <v>7</v>
      </c>
    </row>
    <row r="51" spans="1:10" x14ac:dyDescent="0.2">
      <c r="B51" s="5" t="s">
        <v>280</v>
      </c>
      <c r="C51" s="1" t="s">
        <v>45</v>
      </c>
      <c r="D51" s="2" t="s">
        <v>279</v>
      </c>
      <c r="E51" s="3" t="s">
        <v>6</v>
      </c>
      <c r="F51" s="67"/>
    </row>
    <row r="52" spans="1:10" ht="12.6" customHeight="1" x14ac:dyDescent="0.2">
      <c r="B52" s="5" t="s">
        <v>280</v>
      </c>
      <c r="C52" s="1" t="s">
        <v>282</v>
      </c>
      <c r="D52" s="2" t="s">
        <v>281</v>
      </c>
      <c r="E52" s="3" t="s">
        <v>6</v>
      </c>
      <c r="F52" s="67"/>
    </row>
    <row r="53" spans="1:10" ht="12.6" customHeight="1" x14ac:dyDescent="0.2">
      <c r="B53" s="5" t="s">
        <v>280</v>
      </c>
      <c r="C53" s="1" t="s">
        <v>283</v>
      </c>
      <c r="D53" s="2" t="s">
        <v>284</v>
      </c>
      <c r="E53" s="3" t="s">
        <v>6</v>
      </c>
      <c r="F53" s="67"/>
    </row>
    <row r="54" spans="1:10" x14ac:dyDescent="0.2">
      <c r="A54" s="6" t="s">
        <v>46</v>
      </c>
      <c r="B54" s="5" t="s">
        <v>61</v>
      </c>
      <c r="C54" s="1" t="s">
        <v>3</v>
      </c>
      <c r="D54" s="2" t="s">
        <v>4</v>
      </c>
      <c r="E54" s="3" t="s">
        <v>274</v>
      </c>
      <c r="F54" s="67">
        <v>4.5</v>
      </c>
      <c r="J54" s="5" t="s">
        <v>591</v>
      </c>
    </row>
    <row r="55" spans="1:10" x14ac:dyDescent="0.2">
      <c r="B55" s="5" t="s">
        <v>285</v>
      </c>
      <c r="C55" s="1" t="s">
        <v>275</v>
      </c>
      <c r="D55" s="2" t="s">
        <v>286</v>
      </c>
      <c r="E55" s="3" t="s">
        <v>7</v>
      </c>
      <c r="F55" s="67">
        <v>7</v>
      </c>
      <c r="J55" s="5" t="s">
        <v>287</v>
      </c>
    </row>
    <row r="56" spans="1:10" x14ac:dyDescent="0.2">
      <c r="B56" s="5" t="s">
        <v>48</v>
      </c>
      <c r="C56" s="1" t="s">
        <v>47</v>
      </c>
      <c r="D56" s="2" t="s">
        <v>60</v>
      </c>
      <c r="E56" s="3" t="s">
        <v>12</v>
      </c>
      <c r="F56" s="67">
        <f>6/9</f>
        <v>0.66666666666666663</v>
      </c>
    </row>
    <row r="57" spans="1:10" x14ac:dyDescent="0.2">
      <c r="B57" s="5" t="s">
        <v>48</v>
      </c>
      <c r="C57" s="1" t="s">
        <v>272</v>
      </c>
      <c r="D57" s="2" t="s">
        <v>273</v>
      </c>
      <c r="E57" s="3" t="s">
        <v>12</v>
      </c>
      <c r="F57" s="67"/>
    </row>
    <row r="58" spans="1:10" x14ac:dyDescent="0.2">
      <c r="B58" s="5" t="s">
        <v>49</v>
      </c>
      <c r="C58" s="1" t="s">
        <v>58</v>
      </c>
      <c r="D58" s="2" t="s">
        <v>56</v>
      </c>
      <c r="E58" s="3" t="s">
        <v>6</v>
      </c>
      <c r="F58" s="67"/>
    </row>
    <row r="59" spans="1:10" x14ac:dyDescent="0.2">
      <c r="B59" s="5" t="s">
        <v>49</v>
      </c>
      <c r="C59" s="1" t="s">
        <v>59</v>
      </c>
      <c r="D59" s="2" t="s">
        <v>57</v>
      </c>
      <c r="E59" s="3" t="s">
        <v>6</v>
      </c>
      <c r="F59" s="67"/>
    </row>
  </sheetData>
  <mergeCells count="1">
    <mergeCell ref="G1:I1"/>
  </mergeCells>
  <phoneticPr fontId="6"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BFBFBF"/>
  </sheetPr>
  <dimension ref="B8:E86"/>
  <sheetViews>
    <sheetView topLeftCell="A51" workbookViewId="0">
      <selection activeCell="G27" sqref="G27"/>
    </sheetView>
  </sheetViews>
  <sheetFormatPr defaultColWidth="8.7109375" defaultRowHeight="12.75" x14ac:dyDescent="0.2"/>
  <cols>
    <col min="1" max="1" width="8.7109375" style="5"/>
    <col min="2" max="2" width="29.42578125" style="5" customWidth="1"/>
    <col min="3" max="3" width="54" style="5" customWidth="1"/>
    <col min="4" max="4" width="13.7109375" style="5" customWidth="1"/>
    <col min="5" max="16384" width="8.7109375" style="5"/>
  </cols>
  <sheetData>
    <row r="8" spans="2:5" ht="13.5" thickBot="1" x14ac:dyDescent="0.25">
      <c r="B8" s="6" t="s">
        <v>494</v>
      </c>
    </row>
    <row r="9" spans="2:5" ht="27" thickTop="1" thickBot="1" x14ac:dyDescent="0.25">
      <c r="B9" s="11" t="s">
        <v>96</v>
      </c>
      <c r="C9" s="12" t="s">
        <v>95</v>
      </c>
      <c r="D9" s="12" t="s">
        <v>106</v>
      </c>
      <c r="E9" s="12" t="s">
        <v>259</v>
      </c>
    </row>
    <row r="10" spans="2:5" ht="13.15" customHeight="1" thickTop="1" x14ac:dyDescent="0.2">
      <c r="B10" s="13" t="s">
        <v>67</v>
      </c>
      <c r="C10" s="14" t="s">
        <v>107</v>
      </c>
      <c r="D10" s="38">
        <v>1</v>
      </c>
      <c r="E10" s="34">
        <v>4</v>
      </c>
    </row>
    <row r="11" spans="2:5" ht="13.15" customHeight="1" thickBot="1" x14ac:dyDescent="0.25">
      <c r="B11" s="15"/>
      <c r="C11" s="16" t="s">
        <v>108</v>
      </c>
      <c r="D11" s="39">
        <v>1</v>
      </c>
      <c r="E11" s="35"/>
    </row>
    <row r="12" spans="2:5" ht="12.6" customHeight="1" x14ac:dyDescent="0.2">
      <c r="B12" s="17" t="s">
        <v>70</v>
      </c>
      <c r="C12" s="14" t="s">
        <v>107</v>
      </c>
      <c r="D12" s="38">
        <v>1</v>
      </c>
      <c r="E12" s="36">
        <v>8</v>
      </c>
    </row>
    <row r="13" spans="2:5" ht="13.15" customHeight="1" thickBot="1" x14ac:dyDescent="0.25">
      <c r="B13" s="15"/>
      <c r="C13" s="16" t="s">
        <v>108</v>
      </c>
      <c r="D13" s="39">
        <v>1</v>
      </c>
      <c r="E13" s="35"/>
    </row>
    <row r="14" spans="2:5" ht="12.6" customHeight="1" x14ac:dyDescent="0.2">
      <c r="B14" s="17" t="s">
        <v>71</v>
      </c>
      <c r="C14" s="14" t="s">
        <v>72</v>
      </c>
      <c r="D14" s="38">
        <v>7.4999999999999997E-3</v>
      </c>
      <c r="E14" s="36">
        <v>12</v>
      </c>
    </row>
    <row r="15" spans="2:5" ht="12.6" customHeight="1" x14ac:dyDescent="0.2">
      <c r="B15" s="18"/>
      <c r="C15" s="14" t="s">
        <v>73</v>
      </c>
      <c r="D15" s="38">
        <v>3.2500000000000001E-2</v>
      </c>
      <c r="E15" s="37"/>
    </row>
    <row r="16" spans="2:5" ht="12.6" customHeight="1" x14ac:dyDescent="0.2">
      <c r="B16" s="18"/>
      <c r="C16" s="14" t="s">
        <v>68</v>
      </c>
      <c r="D16" s="38">
        <v>1</v>
      </c>
      <c r="E16" s="37"/>
    </row>
    <row r="17" spans="2:5" ht="13.15" customHeight="1" thickBot="1" x14ac:dyDescent="0.25">
      <c r="B17" s="15"/>
      <c r="C17" s="16" t="s">
        <v>69</v>
      </c>
      <c r="D17" s="39">
        <v>1</v>
      </c>
      <c r="E17" s="35"/>
    </row>
    <row r="18" spans="2:5" ht="12.6" customHeight="1" x14ac:dyDescent="0.2">
      <c r="B18" s="17" t="s">
        <v>74</v>
      </c>
      <c r="C18" s="14" t="s">
        <v>75</v>
      </c>
      <c r="D18" s="38">
        <v>0.01</v>
      </c>
      <c r="E18" s="36">
        <v>16</v>
      </c>
    </row>
    <row r="19" spans="2:5" ht="12.6" customHeight="1" x14ac:dyDescent="0.2">
      <c r="B19" s="18"/>
      <c r="C19" s="14" t="s">
        <v>76</v>
      </c>
      <c r="D19" s="38">
        <v>3.5000000000000003E-2</v>
      </c>
      <c r="E19" s="37"/>
    </row>
    <row r="20" spans="2:5" ht="12.6" customHeight="1" x14ac:dyDescent="0.2">
      <c r="B20" s="18"/>
      <c r="C20" s="14" t="s">
        <v>68</v>
      </c>
      <c r="D20" s="38">
        <v>1</v>
      </c>
      <c r="E20" s="37"/>
    </row>
    <row r="21" spans="2:5" ht="13.15" customHeight="1" thickBot="1" x14ac:dyDescent="0.25">
      <c r="B21" s="15"/>
      <c r="C21" s="16" t="s">
        <v>69</v>
      </c>
      <c r="D21" s="39">
        <v>1</v>
      </c>
      <c r="E21" s="35"/>
    </row>
    <row r="22" spans="2:5" ht="12.6" customHeight="1" x14ac:dyDescent="0.2">
      <c r="B22" s="17" t="s">
        <v>77</v>
      </c>
      <c r="C22" s="14" t="s">
        <v>78</v>
      </c>
      <c r="D22" s="38">
        <v>1</v>
      </c>
      <c r="E22" s="36">
        <v>20</v>
      </c>
    </row>
    <row r="23" spans="2:5" ht="12.6" customHeight="1" x14ac:dyDescent="0.2">
      <c r="B23" s="18"/>
      <c r="C23" s="14" t="s">
        <v>79</v>
      </c>
      <c r="D23" s="38">
        <v>1.4999999999999999E-2</v>
      </c>
      <c r="E23" s="37"/>
    </row>
    <row r="24" spans="2:5" ht="12.6" customHeight="1" x14ac:dyDescent="0.2">
      <c r="B24" s="18"/>
      <c r="C24" s="14" t="s">
        <v>80</v>
      </c>
      <c r="D24" s="38">
        <v>5.0000000000000001E-3</v>
      </c>
      <c r="E24" s="37"/>
    </row>
    <row r="25" spans="2:5" ht="13.15" customHeight="1" thickBot="1" x14ac:dyDescent="0.25">
      <c r="B25" s="15"/>
      <c r="C25" s="16" t="s">
        <v>69</v>
      </c>
      <c r="D25" s="39">
        <v>1</v>
      </c>
      <c r="E25" s="35"/>
    </row>
    <row r="26" spans="2:5" ht="12.6" customHeight="1" x14ac:dyDescent="0.2">
      <c r="B26" s="17" t="s">
        <v>81</v>
      </c>
      <c r="C26" s="14" t="s">
        <v>68</v>
      </c>
      <c r="D26" s="38">
        <v>1</v>
      </c>
      <c r="E26" s="36">
        <v>24</v>
      </c>
    </row>
    <row r="27" spans="2:5" ht="13.15" customHeight="1" thickBot="1" x14ac:dyDescent="0.25">
      <c r="B27" s="15"/>
      <c r="C27" s="16" t="s">
        <v>69</v>
      </c>
      <c r="D27" s="39">
        <v>1</v>
      </c>
      <c r="E27" s="35"/>
    </row>
    <row r="28" spans="2:5" ht="12.6" customHeight="1" x14ac:dyDescent="0.2">
      <c r="B28" s="17" t="s">
        <v>82</v>
      </c>
      <c r="C28" s="14" t="s">
        <v>83</v>
      </c>
      <c r="D28" s="38">
        <v>1.2500000000000001E-2</v>
      </c>
      <c r="E28" s="36">
        <v>28</v>
      </c>
    </row>
    <row r="29" spans="2:5" ht="12.6" customHeight="1" x14ac:dyDescent="0.2">
      <c r="B29" s="18"/>
      <c r="C29" s="14" t="s">
        <v>84</v>
      </c>
      <c r="D29" s="38">
        <v>0.04</v>
      </c>
      <c r="E29" s="37"/>
    </row>
    <row r="30" spans="2:5" ht="12.6" customHeight="1" x14ac:dyDescent="0.2">
      <c r="B30" s="18"/>
      <c r="C30" s="14" t="s">
        <v>68</v>
      </c>
      <c r="D30" s="38">
        <v>1</v>
      </c>
      <c r="E30" s="37"/>
    </row>
    <row r="31" spans="2:5" ht="13.15" customHeight="1" thickBot="1" x14ac:dyDescent="0.25">
      <c r="B31" s="15"/>
      <c r="C31" s="16" t="s">
        <v>69</v>
      </c>
      <c r="D31" s="39">
        <v>1</v>
      </c>
      <c r="E31" s="35"/>
    </row>
    <row r="32" spans="2:5" ht="13.5" thickBot="1" x14ac:dyDescent="0.25">
      <c r="B32" s="19" t="s">
        <v>85</v>
      </c>
      <c r="C32" s="20" t="s">
        <v>86</v>
      </c>
      <c r="D32" s="40">
        <v>0.125</v>
      </c>
      <c r="E32" s="21">
        <v>30</v>
      </c>
    </row>
    <row r="33" spans="2:5" ht="13.5" thickTop="1" x14ac:dyDescent="0.2"/>
    <row r="35" spans="2:5" ht="13.5" thickBot="1" x14ac:dyDescent="0.25">
      <c r="B35" s="6" t="s">
        <v>495</v>
      </c>
    </row>
    <row r="36" spans="2:5" ht="27" thickTop="1" thickBot="1" x14ac:dyDescent="0.25">
      <c r="B36" s="28" t="s">
        <v>105</v>
      </c>
      <c r="C36" s="29" t="s">
        <v>95</v>
      </c>
      <c r="D36" s="29" t="s">
        <v>106</v>
      </c>
      <c r="E36" s="29" t="s">
        <v>259</v>
      </c>
    </row>
    <row r="37" spans="2:5" ht="13.15" customHeight="1" thickTop="1" x14ac:dyDescent="0.2">
      <c r="B37" s="22" t="s">
        <v>67</v>
      </c>
      <c r="C37" s="23" t="s">
        <v>97</v>
      </c>
      <c r="D37" s="41">
        <v>1</v>
      </c>
      <c r="E37" s="30">
        <v>19</v>
      </c>
    </row>
    <row r="38" spans="2:5" ht="12.6" customHeight="1" x14ac:dyDescent="0.2">
      <c r="B38" s="24"/>
      <c r="C38" s="23" t="s">
        <v>98</v>
      </c>
      <c r="D38" s="41">
        <v>2.5000000000000001E-3</v>
      </c>
      <c r="E38" s="31"/>
    </row>
    <row r="39" spans="2:5" ht="12.6" customHeight="1" x14ac:dyDescent="0.2">
      <c r="B39" s="24"/>
      <c r="C39" s="23" t="s">
        <v>99</v>
      </c>
      <c r="D39" s="41">
        <v>1.2999999999999999E-3</v>
      </c>
      <c r="E39" s="31"/>
    </row>
    <row r="40" spans="2:5" ht="13.15" customHeight="1" thickBot="1" x14ac:dyDescent="0.25">
      <c r="B40" s="25"/>
      <c r="C40" s="26" t="s">
        <v>100</v>
      </c>
      <c r="D40" s="42">
        <v>3.0000000000000001E-3</v>
      </c>
      <c r="E40" s="32"/>
    </row>
    <row r="41" spans="2:5" ht="12.6" customHeight="1" x14ac:dyDescent="0.2">
      <c r="B41" s="27" t="s">
        <v>77</v>
      </c>
      <c r="C41" s="23" t="s">
        <v>101</v>
      </c>
      <c r="D41" s="41">
        <v>0.02</v>
      </c>
      <c r="E41" s="33">
        <v>27</v>
      </c>
    </row>
    <row r="42" spans="2:5" ht="12.6" customHeight="1" x14ac:dyDescent="0.2">
      <c r="B42" s="24"/>
      <c r="C42" s="23" t="s">
        <v>100</v>
      </c>
      <c r="D42" s="41">
        <v>3.0000000000000001E-3</v>
      </c>
      <c r="E42" s="31"/>
    </row>
    <row r="43" spans="2:5" ht="12.6" customHeight="1" x14ac:dyDescent="0.2">
      <c r="B43" s="24"/>
      <c r="C43" s="23" t="s">
        <v>99</v>
      </c>
      <c r="D43" s="41">
        <v>1.2999999999999999E-3</v>
      </c>
      <c r="E43" s="31"/>
    </row>
    <row r="44" spans="2:5" ht="12.6" customHeight="1" x14ac:dyDescent="0.2">
      <c r="B44" s="24"/>
      <c r="C44" s="23" t="s">
        <v>102</v>
      </c>
      <c r="D44" s="41">
        <v>3.0000000000000001E-3</v>
      </c>
      <c r="E44" s="31"/>
    </row>
    <row r="45" spans="2:5" ht="13.15" customHeight="1" thickBot="1" x14ac:dyDescent="0.25">
      <c r="B45" s="25"/>
      <c r="C45" s="26" t="s">
        <v>103</v>
      </c>
      <c r="D45" s="42">
        <v>1</v>
      </c>
      <c r="E45" s="32"/>
    </row>
    <row r="46" spans="2:5" ht="13.5" thickBot="1" x14ac:dyDescent="0.25">
      <c r="B46" s="8" t="s">
        <v>85</v>
      </c>
      <c r="C46" s="9" t="s">
        <v>104</v>
      </c>
      <c r="D46" s="43">
        <v>0.25</v>
      </c>
      <c r="E46" s="10">
        <v>30</v>
      </c>
    </row>
    <row r="47" spans="2:5" ht="13.5" thickTop="1" x14ac:dyDescent="0.2"/>
    <row r="49" spans="2:5" ht="13.5" thickBot="1" x14ac:dyDescent="0.25">
      <c r="B49" s="6" t="s">
        <v>496</v>
      </c>
    </row>
    <row r="50" spans="2:5" ht="27" thickTop="1" thickBot="1" x14ac:dyDescent="0.25">
      <c r="B50" s="11" t="s">
        <v>96</v>
      </c>
      <c r="C50" s="12" t="s">
        <v>95</v>
      </c>
      <c r="D50" s="12" t="s">
        <v>106</v>
      </c>
      <c r="E50" s="12" t="s">
        <v>259</v>
      </c>
    </row>
    <row r="51" spans="2:5" ht="13.5" thickTop="1" x14ac:dyDescent="0.2">
      <c r="B51" s="17" t="s">
        <v>67</v>
      </c>
      <c r="C51" s="14" t="s">
        <v>68</v>
      </c>
      <c r="D51" s="38">
        <v>1</v>
      </c>
      <c r="E51" s="36">
        <v>4</v>
      </c>
    </row>
    <row r="52" spans="2:5" ht="13.5" thickBot="1" x14ac:dyDescent="0.25">
      <c r="B52" s="15"/>
      <c r="C52" s="16" t="s">
        <v>69</v>
      </c>
      <c r="D52" s="39">
        <v>1</v>
      </c>
      <c r="E52" s="35"/>
    </row>
    <row r="53" spans="2:5" x14ac:dyDescent="0.2">
      <c r="B53" s="17" t="s">
        <v>70</v>
      </c>
      <c r="C53" s="14" t="s">
        <v>83</v>
      </c>
      <c r="D53" s="38">
        <v>1.2500000000000001E-2</v>
      </c>
      <c r="E53" s="36">
        <v>8</v>
      </c>
    </row>
    <row r="54" spans="2:5" x14ac:dyDescent="0.2">
      <c r="B54" s="18"/>
      <c r="C54" s="14" t="s">
        <v>84</v>
      </c>
      <c r="D54" s="38">
        <v>0.04</v>
      </c>
      <c r="E54" s="37"/>
    </row>
    <row r="55" spans="2:5" x14ac:dyDescent="0.2">
      <c r="B55" s="18"/>
      <c r="C55" s="14" t="s">
        <v>68</v>
      </c>
      <c r="D55" s="38">
        <v>1</v>
      </c>
      <c r="E55" s="37"/>
    </row>
    <row r="56" spans="2:5" ht="13.5" thickBot="1" x14ac:dyDescent="0.25">
      <c r="B56" s="15"/>
      <c r="C56" s="16" t="s">
        <v>69</v>
      </c>
      <c r="D56" s="39">
        <v>1</v>
      </c>
      <c r="E56" s="35"/>
    </row>
    <row r="57" spans="2:5" x14ac:dyDescent="0.2">
      <c r="B57" s="17" t="s">
        <v>71</v>
      </c>
      <c r="C57" s="14" t="s">
        <v>107</v>
      </c>
      <c r="D57" s="38">
        <v>1</v>
      </c>
      <c r="E57" s="90">
        <v>12</v>
      </c>
    </row>
    <row r="58" spans="2:5" ht="13.5" thickBot="1" x14ac:dyDescent="0.25">
      <c r="B58" s="15"/>
      <c r="C58" s="16" t="s">
        <v>108</v>
      </c>
      <c r="D58" s="39">
        <v>1</v>
      </c>
      <c r="E58" s="35"/>
    </row>
    <row r="59" spans="2:5" ht="25.5" x14ac:dyDescent="0.2">
      <c r="B59" s="17" t="s">
        <v>491</v>
      </c>
      <c r="C59" s="14" t="s">
        <v>78</v>
      </c>
      <c r="D59" s="38">
        <v>1</v>
      </c>
      <c r="E59" s="36">
        <v>16</v>
      </c>
    </row>
    <row r="60" spans="2:5" x14ac:dyDescent="0.2">
      <c r="B60" s="18"/>
      <c r="C60" s="14" t="s">
        <v>492</v>
      </c>
      <c r="D60" s="38">
        <v>1.4999999999999999E-2</v>
      </c>
      <c r="E60" s="37"/>
    </row>
    <row r="61" spans="2:5" x14ac:dyDescent="0.2">
      <c r="B61" s="18"/>
      <c r="C61" s="14" t="s">
        <v>493</v>
      </c>
      <c r="D61" s="38">
        <v>5.0000000000000001E-3</v>
      </c>
      <c r="E61" s="37"/>
    </row>
    <row r="62" spans="2:5" ht="13.5" thickBot="1" x14ac:dyDescent="0.25">
      <c r="B62" s="15"/>
      <c r="C62" s="16" t="s">
        <v>69</v>
      </c>
      <c r="D62" s="39">
        <v>1</v>
      </c>
      <c r="E62" s="35"/>
    </row>
    <row r="63" spans="2:5" x14ac:dyDescent="0.2">
      <c r="B63" s="17" t="s">
        <v>74</v>
      </c>
      <c r="C63" s="14" t="s">
        <v>68</v>
      </c>
      <c r="D63" s="38">
        <v>1</v>
      </c>
      <c r="E63" s="36">
        <v>20</v>
      </c>
    </row>
    <row r="64" spans="2:5" ht="13.5" thickBot="1" x14ac:dyDescent="0.25">
      <c r="B64" s="15"/>
      <c r="C64" s="16" t="s">
        <v>69</v>
      </c>
      <c r="D64" s="39">
        <v>1</v>
      </c>
      <c r="E64" s="35"/>
    </row>
    <row r="65" spans="2:5" x14ac:dyDescent="0.2">
      <c r="B65" s="17" t="s">
        <v>81</v>
      </c>
      <c r="C65" s="14" t="s">
        <v>83</v>
      </c>
      <c r="D65" s="38">
        <v>1.2500000000000001E-2</v>
      </c>
      <c r="E65" s="36">
        <v>24</v>
      </c>
    </row>
    <row r="66" spans="2:5" x14ac:dyDescent="0.2">
      <c r="B66" s="18"/>
      <c r="C66" s="14" t="s">
        <v>84</v>
      </c>
      <c r="D66" s="38">
        <v>0.04</v>
      </c>
      <c r="E66" s="37"/>
    </row>
    <row r="67" spans="2:5" x14ac:dyDescent="0.2">
      <c r="B67" s="18"/>
      <c r="C67" s="14" t="s">
        <v>68</v>
      </c>
      <c r="D67" s="38">
        <v>1</v>
      </c>
      <c r="E67" s="37"/>
    </row>
    <row r="68" spans="2:5" ht="13.5" thickBot="1" x14ac:dyDescent="0.25">
      <c r="B68" s="15"/>
      <c r="C68" s="16" t="s">
        <v>69</v>
      </c>
      <c r="D68" s="39">
        <v>1</v>
      </c>
      <c r="E68" s="35"/>
    </row>
    <row r="69" spans="2:5" x14ac:dyDescent="0.2">
      <c r="B69" s="17" t="s">
        <v>82</v>
      </c>
      <c r="C69" s="14" t="s">
        <v>68</v>
      </c>
      <c r="D69" s="38">
        <v>1</v>
      </c>
      <c r="E69" s="36">
        <v>28</v>
      </c>
    </row>
    <row r="70" spans="2:5" ht="13.5" thickBot="1" x14ac:dyDescent="0.25">
      <c r="B70" s="15"/>
      <c r="C70" s="16" t="s">
        <v>69</v>
      </c>
      <c r="D70" s="39">
        <v>1</v>
      </c>
      <c r="E70" s="35"/>
    </row>
    <row r="71" spans="2:5" ht="13.5" thickBot="1" x14ac:dyDescent="0.25">
      <c r="B71" s="19" t="s">
        <v>85</v>
      </c>
      <c r="C71" s="20" t="s">
        <v>498</v>
      </c>
      <c r="D71" s="40">
        <v>0</v>
      </c>
      <c r="E71" s="21">
        <v>30</v>
      </c>
    </row>
    <row r="72" spans="2:5" ht="13.5" thickTop="1" x14ac:dyDescent="0.2"/>
    <row r="74" spans="2:5" ht="13.5" thickBot="1" x14ac:dyDescent="0.25">
      <c r="B74" s="6" t="s">
        <v>497</v>
      </c>
    </row>
    <row r="75" spans="2:5" ht="27" thickTop="1" thickBot="1" x14ac:dyDescent="0.25">
      <c r="B75" s="28" t="s">
        <v>105</v>
      </c>
      <c r="C75" s="29" t="s">
        <v>95</v>
      </c>
      <c r="D75" s="29" t="s">
        <v>106</v>
      </c>
      <c r="E75" s="29" t="s">
        <v>259</v>
      </c>
    </row>
    <row r="76" spans="2:5" ht="13.5" thickTop="1" x14ac:dyDescent="0.2">
      <c r="B76" s="22" t="s">
        <v>67</v>
      </c>
      <c r="C76" s="23" t="s">
        <v>97</v>
      </c>
      <c r="D76" s="41">
        <v>1</v>
      </c>
      <c r="E76" s="30">
        <v>15</v>
      </c>
    </row>
    <row r="77" spans="2:5" x14ac:dyDescent="0.2">
      <c r="B77" s="24"/>
      <c r="C77" s="23" t="s">
        <v>501</v>
      </c>
      <c r="D77" s="41">
        <v>3.5000000000000001E-3</v>
      </c>
      <c r="E77" s="31"/>
    </row>
    <row r="78" spans="2:5" x14ac:dyDescent="0.2">
      <c r="B78" s="24"/>
      <c r="C78" s="23" t="s">
        <v>502</v>
      </c>
      <c r="D78" s="41">
        <v>2E-3</v>
      </c>
      <c r="E78" s="31"/>
    </row>
    <row r="79" spans="2:5" ht="13.5" thickBot="1" x14ac:dyDescent="0.25">
      <c r="B79" s="25"/>
      <c r="C79" s="26" t="s">
        <v>100</v>
      </c>
      <c r="D79" s="42">
        <v>3.0000000000000001E-3</v>
      </c>
      <c r="E79" s="32"/>
    </row>
    <row r="80" spans="2:5" x14ac:dyDescent="0.2">
      <c r="B80" s="27" t="s">
        <v>77</v>
      </c>
      <c r="C80" s="23" t="s">
        <v>500</v>
      </c>
      <c r="D80" s="41">
        <v>0.05</v>
      </c>
      <c r="E80" s="33">
        <v>25</v>
      </c>
    </row>
    <row r="81" spans="2:5" x14ac:dyDescent="0.2">
      <c r="B81" s="24"/>
      <c r="C81" s="23" t="s">
        <v>100</v>
      </c>
      <c r="D81" s="41">
        <v>3.0000000000000001E-3</v>
      </c>
      <c r="E81" s="31"/>
    </row>
    <row r="82" spans="2:5" x14ac:dyDescent="0.2">
      <c r="B82" s="24"/>
      <c r="C82" s="23" t="s">
        <v>503</v>
      </c>
      <c r="D82" s="41">
        <v>1.5E-3</v>
      </c>
      <c r="E82" s="31"/>
    </row>
    <row r="83" spans="2:5" x14ac:dyDescent="0.2">
      <c r="B83" s="24"/>
      <c r="C83" s="23" t="s">
        <v>102</v>
      </c>
      <c r="D83" s="41">
        <v>3.0000000000000001E-3</v>
      </c>
      <c r="E83" s="31"/>
    </row>
    <row r="84" spans="2:5" ht="13.5" thickBot="1" x14ac:dyDescent="0.25">
      <c r="B84" s="25"/>
      <c r="C84" s="26" t="s">
        <v>103</v>
      </c>
      <c r="D84" s="42">
        <v>1</v>
      </c>
      <c r="E84" s="32"/>
    </row>
    <row r="85" spans="2:5" ht="13.5" thickBot="1" x14ac:dyDescent="0.25">
      <c r="B85" s="8" t="s">
        <v>85</v>
      </c>
      <c r="C85" s="9" t="s">
        <v>498</v>
      </c>
      <c r="D85" s="43">
        <v>0</v>
      </c>
      <c r="E85" s="10">
        <v>30</v>
      </c>
    </row>
    <row r="86" spans="2:5" ht="13.5" thickTop="1" x14ac:dyDescent="0.2"/>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rgb="FF8EA9DB"/>
  </sheetPr>
  <dimension ref="A1:BL67"/>
  <sheetViews>
    <sheetView zoomScale="80" zoomScaleNormal="80" workbookViewId="0">
      <selection activeCell="A32" sqref="A32"/>
    </sheetView>
  </sheetViews>
  <sheetFormatPr defaultRowHeight="15" x14ac:dyDescent="0.25"/>
  <cols>
    <col min="1" max="1" width="33.42578125" bestFit="1" customWidth="1"/>
    <col min="2" max="2" width="32.85546875" customWidth="1"/>
    <col min="3" max="3" width="41.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spans="1:64" x14ac:dyDescent="0.25" ht="21" customHeight="1">
      <c r="A1" s="119" t="str">
        <f>HYPERLINK("#'General Information'!D9","◄ General Information")</f>
        <v>◄ General Information</v>
      </c>
      <c r="B1" s="119"/>
      <c r="C1" s="120" t="str">
        <f>HYPERLINK("#Summary!G1","Summary")</f>
        <v>Summary</v>
      </c>
      <c r="D1" s="156" t="inlineStr">
        <is>
          <t xml:space="preserve">  Grey cells are yours: C4 to C8 project data (filled from General Information), F4 to F10 closure days, C13 to C22 pay items and E13 to E22 quantities. Everything else calculates.</t>
        </is>
      </c>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c r="E3" s="97"/>
      <c r="F3" s="98"/>
    </row>
    <row r="4" spans="1:64" x14ac:dyDescent="0.25">
      <c r="A4" t="s">
        <v>263</v>
      </c>
      <c r="C4" s="45" t="s">
        <v>486</v>
      </c>
      <c r="E4" s="97" t="s">
        <v>600</v>
      </c>
      <c r="F4" s="112">
        <f>ROUNDUP((C5/15000),0)+ROUNDUP((C8/20000),0)+ROUNDUP((C8/50000),0)</f>
        <v>0</v>
      </c>
    </row>
    <row r="5" spans="1:64" x14ac:dyDescent="0.25">
      <c r="A5" t="s">
        <v>346</v>
      </c>
      <c r="C5">
        <f>'General Information'!D26</f>
        <v>0</v>
      </c>
      <c r="D5" t="s">
        <v>6</v>
      </c>
      <c r="E5" s="97" t="s">
        <v>601</v>
      </c>
      <c r="F5" s="112">
        <f>ROUNDUP((C5/15000),0)+ROUNDUP((C8/20000),0)+ROUNDUP((C8/50000),0)</f>
        <v>0</v>
      </c>
    </row>
    <row r="6" spans="1:64" x14ac:dyDescent="0.25">
      <c r="A6" t="s">
        <v>262</v>
      </c>
      <c r="C6">
        <f>'General Information'!D25</f>
        <v>0</v>
      </c>
      <c r="E6" s="97" t="s">
        <v>602</v>
      </c>
      <c r="F6" s="112">
        <f>ROUNDUP((C5/15000),0)+ROUNDUP((C8/20000),0)+ROUNDUP((C8/50000),0)+ROUNDUP((C5*'Maintenance Policies'!D15/10000),0)+ROUNDUP((C5*'Maintenance Policies'!D14/5000),0)</f>
        <v>0</v>
      </c>
      <c r="AP6" s="61" t="s">
        <v>355</v>
      </c>
      <c r="AQ6" s="61">
        <v>2</v>
      </c>
      <c r="AR6" s="61" t="s">
        <v>356</v>
      </c>
    </row>
    <row r="7" spans="1:64" x14ac:dyDescent="0.25">
      <c r="A7" t="s">
        <v>324</v>
      </c>
      <c r="C7" s="91" t="s">
        <v>276</v>
      </c>
      <c r="D7"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t="s">
        <v>345</v>
      </c>
      <c r="C8">
        <f>'General Information'!D28</f>
        <v>0</v>
      </c>
      <c r="D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IF(L13="","N/A",VLOOKUP(L13,CHOOSE({1,2},Table2[Pay Item Description],Table2[Unit Cost]),2,0))</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IF(T13="","N/A",VLOOKUP(T13,CHOOSE({1,2},Table2[Pay Item Description],Table2[Unit Cost]),2,0))</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IF(AB13="","N/A",VLOOKUP(AB13,CHOOSE({1,2},Table2[Pay Item Description],Table2[Unit Cost]),2,0))</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IF(AJ13="","N/A",VLOOKUP(AJ13,CHOOSE({1,2},Table2[Pay Item Description],Table2[Unit Cost]),2,0))</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IF(AR13="","N/A",VLOOKUP(AR13,CHOOSE({1,2},Table2[Pay Item Description],Table2[Unit Cost]),2,0))</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IF(AZ13="","N/A",VLOOKUP(AZ13,CHOOSE({1,2},Table2[Pay Item Description],Table2[Unit Cost]),2,0))</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IF(BH13="","N/A",VLOOKUP(BH13,CHOOSE({1,2},Table2[Pay Item Description],Table2[Unit Cost]),2,0))</f>
        <v>8.5</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c r="F14" s="75" t="str">
        <f>IF(C14="","N/A",VLOOKUP(C14,CHOOSE({1,2},Table2[Pay Item Description],Table2[Unit Cost]),2,0))</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IF(L14="","N/A",VLOOKUP(L14,CHOOSE({1,2},Table2[Pay Item Description],Table2[Unit Cost]),2,0))</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IF(T14="","N/A",VLOOKUP(T14,CHOOSE({1,2},Table2[Pay Item Description],Table2[Unit Cost]),2,0))</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IF(AB14="","N/A",VLOOKUP(AB14,CHOOSE({1,2},Table2[Pay Item Description],Table2[Unit Cost]),2,0))</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IF(AJ14="","N/A",VLOOKUP(AJ14,CHOOSE({1,2},Table2[Pay Item Description],Table2[Unit Cost]),2,0))</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IF(AR14="","N/A",VLOOKUP(AR14,CHOOSE({1,2},Table2[Pay Item Description],Table2[Unit Cost]),2,0))</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IF(AZ14="","N/A",VLOOKUP(AZ14,CHOOSE({1,2},Table2[Pay Item Description],Table2[Unit Cost]),2,0))</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IF(BH14="","N/A",VLOOKUP(BH14,CHOOSE({1,2},Table2[Pay Item Description],Table2[Unit Cost]),2,0))</f>
        <v>4</v>
      </c>
      <c r="BL14" s="63">
        <f>BK14*BJ14</f>
        <v>0</v>
      </c>
    </row>
    <row r="15" spans="1:64" ht="19.5" customHeight="1" x14ac:dyDescent="0.25">
      <c r="A15">
        <v>3</v>
      </c>
      <c r="B15" s="71">
        <f>IF(C15="",0,VLOOKUP(C15,CHOOSE({1,2},Table2[Pay Item Description],Table2[Pay Item No.]),2,0))</f>
        <v>0</v>
      </c>
      <c r="C15" s="70"/>
      <c r="D15" s="3" t="str">
        <f>IF(C15="","N/A",VLOOKUP(C15,CHOOSE({1,2},Table2[Pay Item Description],Table2[Units]),2,0))</f>
        <v>N/A</v>
      </c>
      <c r="E15" s="76"/>
      <c r="F15" s="75" t="str">
        <f>IF(C15="","N/A",VLOOKUP(C15,CHOOSE({1,2},Table2[Pay Item Description],Table2[Unit Cost]),2,0))</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IF(L15="","N/A",VLOOKUP(L15,CHOOSE({1,2},Table2[Pay Item Description],Table2[Unit Cost]),2,0))</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IF(T15="","N/A",VLOOKUP(T15,CHOOSE({1,2},Table2[Pay Item Description],Table2[Unit Cost]),2,0))</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IF(AB15="","N/A",VLOOKUP(AB15,CHOOSE({1,2},Table2[Pay Item Description],Table2[Unit Cost]),2,0))</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IF(AJ15="","N/A",VLOOKUP(AJ15,CHOOSE({1,2},Table2[Pay Item Description],Table2[Unit Cost]),2,0))</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IF(AR15="","N/A",VLOOKUP(AR15,CHOOSE({1,2},Table2[Pay Item Description],Table2[Unit Cost]),2,0))</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IF(AZ15="","N/A",VLOOKUP(AZ15,CHOOSE({1,2},Table2[Pay Item Description],Table2[Unit Cost]),2,0))</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IF(BH15="","N/A",VLOOKUP(BH15,CHOOSE({1,2},Table2[Pay Item Description],Table2[Unit Cost]),2,0))</f>
        <v>4</v>
      </c>
      <c r="BL15" s="63">
        <f>BK15*BJ15</f>
        <v>0</v>
      </c>
    </row>
    <row r="16" spans="1:64" ht="19.5" customHeight="1" x14ac:dyDescent="0.25">
      <c r="A16">
        <v>4</v>
      </c>
      <c r="B16" s="71">
        <f>IF(C16="",0,VLOOKUP(C16,CHOOSE({1,2},Table2[Pay Item Description],Table2[Pay Item No.]),2,0))</f>
        <v>0</v>
      </c>
      <c r="C16" s="70"/>
      <c r="D16" s="3" t="str">
        <f>IF(C16="","N/A",VLOOKUP(C16,CHOOSE({1,2},Table2[Pay Item Description],Table2[Units]),2,0))</f>
        <v>N/A</v>
      </c>
      <c r="E16" s="76"/>
      <c r="F16" s="75" t="str">
        <f>IF(C16="","N/A",VLOOKUP(C16,CHOOSE({1,2},Table2[Pay Item Description],Table2[Unit Cost]),2,0))</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IF(AB16="","N/A",VLOOKUP(AB16,CHOOSE({1,2},Table2[Pay Item Description],Table2[Unit Cost]),2,0))</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IF(AJ16="","N/A",VLOOKUP(AJ16,CHOOSE({1,2},Table2[Pay Item Description],Table2[Unit Cost]),2,0))</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IF(AR16="","N/A",VLOOKUP(AR16,CHOOSE({1,2},Table2[Pay Item Description],Table2[Unit Cost]),2,0))</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IF(BH16="","N/A",VLOOKUP(BH16,CHOOSE({1,2},Table2[Pay Item Description],Table2[Unit Cost]),2,0))</f>
        <v>0.77777777777777779</v>
      </c>
      <c r="BL16" s="63">
        <f>BK16*BJ16</f>
        <v>0</v>
      </c>
    </row>
    <row r="17" spans="1:64" ht="19.5" customHeight="1" x14ac:dyDescent="0.25">
      <c r="A17">
        <v>5</v>
      </c>
      <c r="B17" s="71">
        <f>IF(C17="",0,VLOOKUP(C17,CHOOSE({1,2},Table2[Pay Item Description],Table2[Pay Item No.]),2,0))</f>
        <v>0</v>
      </c>
      <c r="C17" s="70"/>
      <c r="D17" s="3" t="str">
        <f>IF(C17="","N/A",VLOOKUP(C17,CHOOSE({1,2},Table2[Pay Item Description],Table2[Units]),2,0))</f>
        <v>N/A</v>
      </c>
      <c r="E17" s="76"/>
      <c r="F17" s="75" t="str">
        <f>IF(C17="","N/A",VLOOKUP(C17,CHOOSE({1,2},Table2[Pay Item Description],Table2[Unit Cost]),2,0))</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IF(AB17="","N/A",VLOOKUP(AB17,CHOOSE({1,2},Table2[Pay Item Description],Table2[Unit Cost]),2,0))</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IF(AJ17="","N/A",VLOOKUP(AJ17,CHOOSE({1,2},Table2[Pay Item Description],Table2[Unit Cost]),2,0))</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IF(AR17="","N/A",VLOOKUP(AR17,CHOOSE({1,2},Table2[Pay Item Description],Table2[Unit Cost]),2,0))</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IF(BH17="","N/A",VLOOKUP(BH17,CHOOSE({1,2},Table2[Pay Item Description],Table2[Unit Cost]),2,0))</f>
        <v>0.66666666666666663</v>
      </c>
      <c r="BL17" s="63">
        <f>BK17*BJ17</f>
        <v>0</v>
      </c>
    </row>
    <row r="18" spans="1:64" ht="19.5" customHeight="1" x14ac:dyDescent="0.25">
      <c r="A18">
        <v>6</v>
      </c>
      <c r="B18" s="71">
        <f>IF(C18="",0,VLOOKUP(C18,CHOOSE({1,2},Table2[Pay Item Description],Table2[Pay Item No.]),2,0))</f>
        <v>0</v>
      </c>
      <c r="C18" s="70"/>
      <c r="D18" s="3" t="str">
        <f>IF(C18="","N/A",VLOOKUP(C18,CHOOSE({1,2},Table2[Pay Item Description],Table2[Units]),2,0))</f>
        <v>N/A</v>
      </c>
      <c r="E18" s="76"/>
      <c r="F18" s="75" t="str">
        <f>IF(C18="","N/A",VLOOKUP(C18,CHOOSE({1,2},Table2[Pay Item Description],Table2[Unit Cost]),2,0))</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IF(AR18="","N/A",VLOOKUP(AR18,CHOOSE({1,2},Table2[Pay Item Description],Table2[Unit Cost]),2,0))</f>
        <v>0.66666666666666663</v>
      </c>
      <c r="AV18" s="63">
        <f t="shared" si="1"/>
        <v>0</v>
      </c>
      <c r="AZ18" t="s">
        <v>323</v>
      </c>
      <c r="BD18" s="46">
        <f>('General Information'!$D$37/100)*BD16</f>
        <v>0</v>
      </c>
      <c r="BK18" s="61" t="s">
        <v>348</v>
      </c>
      <c r="BL18" s="63">
        <f>SUM(BL13:BL17)</f>
        <v>0</v>
      </c>
    </row>
    <row r="19" spans="1:64" ht="19.5" customHeight="1" x14ac:dyDescent="0.25">
      <c r="A19">
        <v>7</v>
      </c>
      <c r="B19" s="71">
        <f>IF(C19="",0,VLOOKUP(C19,CHOOSE({1,2},Table2[Pay Item Description],Table2[Pay Item No.]),2,0))</f>
        <v>0</v>
      </c>
      <c r="C19" s="70"/>
      <c r="D19" s="3" t="str">
        <f>IF(C19="","N/A",VLOOKUP(C19,CHOOSE({1,2},Table2[Pay Item Description],Table2[Units]),2,0))</f>
        <v>N/A</v>
      </c>
      <c r="E19" s="76"/>
      <c r="F19" s="75" t="str">
        <f>IF(C19="","N/A",VLOOKUP(C19,CHOOSE({1,2},Table2[Pay Item Description],Table2[Unit Cost]),2,0))</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IF(C20="",0,VLOOKUP(C20,CHOOSE({1,2},Table2[Pay Item Description],Table2[Pay Item No.]),2,0))</f>
        <v>0</v>
      </c>
      <c r="C20" s="70"/>
      <c r="D20" s="3" t="str">
        <f>IF(C20="","N/A",VLOOKUP(C20,CHOOSE({1,2},Table2[Pay Item Description],Table2[Units]),2,0))</f>
        <v>N/A</v>
      </c>
      <c r="E20" s="76"/>
      <c r="F20" s="75" t="str">
        <f>IF(C20="","N/A",VLOOKUP(C20,CHOOSE({1,2},Table2[Pay Item Description],Table2[Unit Cost]),2,0))</f>
        <v>N/A</v>
      </c>
      <c r="G20" s="72">
        <f t="shared" si="0"/>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IF(C21="",0,VLOOKUP(C21,CHOOSE({1,2},Table2[Pay Item Description],Table2[Pay Item No.]),2,0))</f>
        <v>0</v>
      </c>
      <c r="C21" s="70"/>
      <c r="D21" s="3" t="str">
        <f>IF(C21="","N/A",VLOOKUP(C21,CHOOSE({1,2},Table2[Pay Item Description],Table2[Units]),2,0))</f>
        <v>N/A</v>
      </c>
      <c r="E21" s="76"/>
      <c r="F21" s="75" t="str">
        <f>IF(C21="","N/A",VLOOKUP(C21,CHOOSE({1,2},Table2[Pay Item Description],Table2[Unit Cost]),2,0))</f>
        <v>N/A</v>
      </c>
      <c r="G21" s="72">
        <f t="shared" si="0"/>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IF(C22="",0,VLOOKUP(C22,CHOOSE({1,2},Table2[Pay Item Description],Table2[Pay Item No.]),2,0))</f>
        <v>0</v>
      </c>
      <c r="C22" s="70"/>
      <c r="D22" s="3" t="str">
        <f>IF(C22="","N/A",VLOOKUP(C22,CHOOSE({1,2},Table2[Pay Item Description],Table2[Units]),2,0))</f>
        <v>N/A</v>
      </c>
      <c r="E22" s="76"/>
      <c r="F22" s="75" t="str">
        <f>IF(C22="","N/A",VLOOKUP(C22,CHOOSE({1,2},Table2[Pay Item Description],Table2[Unit Cost]),2,0))</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4" x14ac:dyDescent="0.25">
      <c r="A33" s="4" t="s">
        <v>508</v>
      </c>
      <c r="I33" t="s">
        <v>248</v>
      </c>
    </row>
    <row r="34" spans="1:14" ht="15.75" thickBot="1" x14ac:dyDescent="0.3"/>
    <row r="35" spans="1:14" ht="16.5" thickTop="1" thickBot="1" x14ac:dyDescent="0.3">
      <c r="B35" s="53" t="s">
        <v>326</v>
      </c>
      <c r="C35" s="54" t="s">
        <v>259</v>
      </c>
      <c r="D35" s="54" t="s">
        <v>327</v>
      </c>
      <c r="E35" s="55"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48"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48"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48"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48"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48" t="s">
        <v>77</v>
      </c>
      <c r="C45" s="57">
        <f>'Maintenance Policies'!E22</f>
        <v>20</v>
      </c>
      <c r="D45" s="58">
        <f>AV22</f>
        <v>0</v>
      </c>
      <c r="E45" s="47">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48"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48"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48"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48" t="s">
        <v>85</v>
      </c>
      <c r="C51" s="57">
        <f>'General Information'!D33</f>
        <v>10</v>
      </c>
      <c r="D51" s="58">
        <f>-'Maintenance Policies'!D32*AV22</f>
        <v>0</v>
      </c>
      <c r="E51" s="47">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ht="15.75" thickBot="1" x14ac:dyDescent="0.3">
      <c r="B52" s="49" t="s">
        <v>328</v>
      </c>
      <c r="C52" s="50"/>
      <c r="D52" s="50"/>
      <c r="E52" s="60"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mergeCells count="1">
    <mergeCell ref="A1:B1"/>
  </mergeCell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2</xdr:col>
                <xdr:colOff>2771775</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2</xdr:col>
                <xdr:colOff>2771775</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rgb="FF8EA9DB"/>
  </sheetPr>
  <dimension ref="A1:BL67"/>
  <sheetViews>
    <sheetView zoomScale="80" zoomScaleNormal="80" workbookViewId="0">
      <selection activeCell="BQ20" sqref="BQ20"/>
    </sheetView>
  </sheetViews>
  <sheetFormatPr defaultRowHeight="15" x14ac:dyDescent="0.25"/>
  <cols>
    <col min="1" max="1" width="12.28515625" customWidth="1"/>
    <col min="2" max="2" width="19.7109375" customWidth="1"/>
    <col min="3" max="3" width="41.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spans="1:64" x14ac:dyDescent="0.25" ht="21" customHeight="1">
      <c r="A1" s="119" t="str">
        <f>HYPERLINK("#'General Information'!D9","◄ General Information")</f>
        <v>◄ General Information</v>
      </c>
      <c r="B1" s="119"/>
      <c r="C1" s="120" t="str">
        <f>HYPERLINK("#Summary!G1","Summary")</f>
        <v>Summary</v>
      </c>
      <c r="D1" s="156" t="inlineStr">
        <is>
          <t xml:space="preserve">  Grey cells are yours: C4 to C8 project data (filled from General Information), F4 to F10 closure days, C13 to C22 pay items and E13 to E22 quantities. Everything else calculates.</t>
        </is>
      </c>
      <c r="I1" t="s">
        <v>248</v>
      </c>
    </row>
    <row r="2" spans="1:64" x14ac:dyDescent="0.25">
      <c r="A2" s="4" t="s">
        <v>504</v>
      </c>
      <c r="J2" s="62" t="s">
        <v>67</v>
      </c>
      <c r="R2" s="4" t="s">
        <v>70</v>
      </c>
      <c r="Z2" s="62" t="s">
        <v>71</v>
      </c>
      <c r="AH2" s="4" t="s">
        <v>74</v>
      </c>
      <c r="AP2" s="62" t="s">
        <v>77</v>
      </c>
      <c r="AX2" s="4" t="s">
        <v>81</v>
      </c>
      <c r="BF2" s="62" t="s">
        <v>82</v>
      </c>
    </row>
    <row r="4" spans="1:64" x14ac:dyDescent="0.25">
      <c r="A4" t="s">
        <v>263</v>
      </c>
      <c r="C4" s="45" t="s">
        <v>486</v>
      </c>
    </row>
    <row r="5" spans="1:64" x14ac:dyDescent="0.25">
      <c r="A5" t="s">
        <v>346</v>
      </c>
      <c r="C5">
        <f>'General Information'!D26</f>
        <v>0</v>
      </c>
      <c r="D5" t="s">
        <v>6</v>
      </c>
    </row>
    <row r="6" spans="1:64" x14ac:dyDescent="0.25">
      <c r="A6" t="s">
        <v>262</v>
      </c>
      <c r="C6">
        <f>'General Information'!D25</f>
        <v>0</v>
      </c>
      <c r="AP6" s="61" t="s">
        <v>355</v>
      </c>
      <c r="AQ6" s="61">
        <v>2</v>
      </c>
      <c r="AR6" s="61" t="s">
        <v>356</v>
      </c>
    </row>
    <row r="7" spans="1:64" x14ac:dyDescent="0.25">
      <c r="A7" t="s">
        <v>324</v>
      </c>
      <c r="C7" s="91" t="s">
        <v>276</v>
      </c>
      <c r="D7" t="s">
        <v>476</v>
      </c>
      <c r="AP7" s="61" t="s">
        <v>357</v>
      </c>
      <c r="AQ7" s="61">
        <v>120</v>
      </c>
      <c r="AR7" s="61" t="s">
        <v>358</v>
      </c>
    </row>
    <row r="8" spans="1:64" x14ac:dyDescent="0.25">
      <c r="A8" t="s">
        <v>345</v>
      </c>
      <c r="C8">
        <f>'General Information'!D28</f>
        <v>0</v>
      </c>
      <c r="D8" t="s">
        <v>12</v>
      </c>
    </row>
    <row r="9" spans="1:64" x14ac:dyDescent="0.25">
      <c r="C9" s="45"/>
      <c r="AP9" s="61" t="s">
        <v>353</v>
      </c>
      <c r="AQ9" s="61">
        <v>0.1</v>
      </c>
      <c r="AR9" s="61" t="s">
        <v>354</v>
      </c>
    </row>
    <row r="10" spans="1:64" x14ac:dyDescent="0.25">
      <c r="D10" s="44"/>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IF(L13="","N/A",VLOOKUP(L13,CHOOSE({1,2},Table2[Pay Item Description],Table2[Unit Cost]),2,0))</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IF(T13="","N/A",VLOOKUP(T13,CHOOSE({1,2},Table2[Pay Item Description],Table2[Unit Cost]),2,0))</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IF(AB13="","N/A",VLOOKUP(AB13,CHOOSE({1,2},Table2[Pay Item Description],Table2[Unit Cost]),2,0))</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IF(AJ13="","N/A",VLOOKUP(AJ13,CHOOSE({1,2},Table2[Pay Item Description],Table2[Unit Cost]),2,0))</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IF(AR13="","N/A",VLOOKUP(AR13,CHOOSE({1,2},Table2[Pay Item Description],Table2[Unit Cost]),2,0))</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IF(AZ13="","N/A",VLOOKUP(AZ13,CHOOSE({1,2},Table2[Pay Item Description],Table2[Unit Cost]),2,0))</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IF(BH13="","N/A",VLOOKUP(BH13,CHOOSE({1,2},Table2[Pay Item Description],Table2[Unit Cost]),2,0))</f>
        <v>8.5</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c r="F14" s="75" t="str">
        <f>IF(C14="","N/A",VLOOKUP(C14,CHOOSE({1,2},Table2[Pay Item Description],Table2[Unit Cost]),2,0))</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IF(L14="","N/A",VLOOKUP(L14,CHOOSE({1,2},Table2[Pay Item Description],Table2[Unit Cost]),2,0))</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IF(T14="","N/A",VLOOKUP(T14,CHOOSE({1,2},Table2[Pay Item Description],Table2[Unit Cost]),2,0))</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IF(AB14="","N/A",VLOOKUP(AB14,CHOOSE({1,2},Table2[Pay Item Description],Table2[Unit Cost]),2,0))</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IF(AJ14="","N/A",VLOOKUP(AJ14,CHOOSE({1,2},Table2[Pay Item Description],Table2[Unit Cost]),2,0))</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IF(AR14="","N/A",VLOOKUP(AR14,CHOOSE({1,2},Table2[Pay Item Description],Table2[Unit Cost]),2,0))</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IF(AZ14="","N/A",VLOOKUP(AZ14,CHOOSE({1,2},Table2[Pay Item Description],Table2[Unit Cost]),2,0))</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IF(BH14="","N/A",VLOOKUP(BH14,CHOOSE({1,2},Table2[Pay Item Description],Table2[Unit Cost]),2,0))</f>
        <v>4</v>
      </c>
      <c r="BL14" s="63">
        <f>BK14*BJ14</f>
        <v>0</v>
      </c>
    </row>
    <row r="15" spans="1:64" ht="19.5" customHeight="1" x14ac:dyDescent="0.25">
      <c r="A15">
        <v>3</v>
      </c>
      <c r="B15" s="71">
        <f>IF(C15="",0,VLOOKUP(C15,CHOOSE({1,2},Table2[Pay Item Description],Table2[Pay Item No.]),2,0))</f>
        <v>0</v>
      </c>
      <c r="C15" s="70"/>
      <c r="D15" s="3" t="str">
        <f>IF(C15="","N/A",VLOOKUP(C15,CHOOSE({1,2},Table2[Pay Item Description],Table2[Units]),2,0))</f>
        <v>N/A</v>
      </c>
      <c r="E15" s="76"/>
      <c r="F15" s="75" t="str">
        <f>IF(C15="","N/A",VLOOKUP(C15,CHOOSE({1,2},Table2[Pay Item Description],Table2[Unit Cost]),2,0))</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IF(L15="","N/A",VLOOKUP(L15,CHOOSE({1,2},Table2[Pay Item Description],Table2[Unit Cost]),2,0))</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IF(T15="","N/A",VLOOKUP(T15,CHOOSE({1,2},Table2[Pay Item Description],Table2[Unit Cost]),2,0))</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IF(AB15="","N/A",VLOOKUP(AB15,CHOOSE({1,2},Table2[Pay Item Description],Table2[Unit Cost]),2,0))</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IF(AJ15="","N/A",VLOOKUP(AJ15,CHOOSE({1,2},Table2[Pay Item Description],Table2[Unit Cost]),2,0))</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IF(AR15="","N/A",VLOOKUP(AR15,CHOOSE({1,2},Table2[Pay Item Description],Table2[Unit Cost]),2,0))</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IF(AZ15="","N/A",VLOOKUP(AZ15,CHOOSE({1,2},Table2[Pay Item Description],Table2[Unit Cost]),2,0))</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IF(BH15="","N/A",VLOOKUP(BH15,CHOOSE({1,2},Table2[Pay Item Description],Table2[Unit Cost]),2,0))</f>
        <v>4</v>
      </c>
      <c r="BL15" s="63">
        <f>BK15*BJ15</f>
        <v>0</v>
      </c>
    </row>
    <row r="16" spans="1:64" ht="19.5" customHeight="1" x14ac:dyDescent="0.25">
      <c r="A16">
        <v>4</v>
      </c>
      <c r="B16" s="71">
        <f>IF(C16="",0,VLOOKUP(C16,CHOOSE({1,2},Table2[Pay Item Description],Table2[Pay Item No.]),2,0))</f>
        <v>0</v>
      </c>
      <c r="C16" s="70"/>
      <c r="D16" s="3" t="str">
        <f>IF(C16="","N/A",VLOOKUP(C16,CHOOSE({1,2},Table2[Pay Item Description],Table2[Units]),2,0))</f>
        <v>N/A</v>
      </c>
      <c r="E16" s="76"/>
      <c r="F16" s="75" t="str">
        <f>IF(C16="","N/A",VLOOKUP(C16,CHOOSE({1,2},Table2[Pay Item Description],Table2[Unit Cost]),2,0))</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IF(AB16="","N/A",VLOOKUP(AB16,CHOOSE({1,2},Table2[Pay Item Description],Table2[Unit Cost]),2,0))</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IF(AJ16="","N/A",VLOOKUP(AJ16,CHOOSE({1,2},Table2[Pay Item Description],Table2[Unit Cost]),2,0))</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IF(AR16="","N/A",VLOOKUP(AR16,CHOOSE({1,2},Table2[Pay Item Description],Table2[Unit Cost]),2,0))</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IF(BH16="","N/A",VLOOKUP(BH16,CHOOSE({1,2},Table2[Pay Item Description],Table2[Unit Cost]),2,0))</f>
        <v>0.77777777777777779</v>
      </c>
      <c r="BL16" s="63">
        <f>BK16*BJ16</f>
        <v>0</v>
      </c>
    </row>
    <row r="17" spans="1:64" ht="19.5" customHeight="1" x14ac:dyDescent="0.25">
      <c r="A17">
        <v>5</v>
      </c>
      <c r="B17" s="71">
        <f>IF(C17="",0,VLOOKUP(C17,CHOOSE({1,2},Table2[Pay Item Description],Table2[Pay Item No.]),2,0))</f>
        <v>0</v>
      </c>
      <c r="C17" s="70"/>
      <c r="D17" s="3" t="str">
        <f>IF(C17="","N/A",VLOOKUP(C17,CHOOSE({1,2},Table2[Pay Item Description],Table2[Units]),2,0))</f>
        <v>N/A</v>
      </c>
      <c r="E17" s="76"/>
      <c r="F17" s="75" t="str">
        <f>IF(C17="","N/A",VLOOKUP(C17,CHOOSE({1,2},Table2[Pay Item Description],Table2[Unit Cost]),2,0))</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IF(AB17="","N/A",VLOOKUP(AB17,CHOOSE({1,2},Table2[Pay Item Description],Table2[Unit Cost]),2,0))</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IF(AJ17="","N/A",VLOOKUP(AJ17,CHOOSE({1,2},Table2[Pay Item Description],Table2[Unit Cost]),2,0))</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IF(AR17="","N/A",VLOOKUP(AR17,CHOOSE({1,2},Table2[Pay Item Description],Table2[Unit Cost]),2,0))</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IF(BH17="","N/A",VLOOKUP(BH17,CHOOSE({1,2},Table2[Pay Item Description],Table2[Unit Cost]),2,0))</f>
        <v>0.66666666666666663</v>
      </c>
      <c r="BL17" s="63">
        <f>BK17*BJ17</f>
        <v>0</v>
      </c>
    </row>
    <row r="18" spans="1:64" ht="19.5" customHeight="1" x14ac:dyDescent="0.25">
      <c r="A18">
        <v>6</v>
      </c>
      <c r="B18" s="71">
        <f>IF(C18="",0,VLOOKUP(C18,CHOOSE({1,2},Table2[Pay Item Description],Table2[Pay Item No.]),2,0))</f>
        <v>0</v>
      </c>
      <c r="C18" s="70"/>
      <c r="D18" s="3" t="str">
        <f>IF(C18="","N/A",VLOOKUP(C18,CHOOSE({1,2},Table2[Pay Item Description],Table2[Units]),2,0))</f>
        <v>N/A</v>
      </c>
      <c r="E18" s="76"/>
      <c r="F18" s="75" t="str">
        <f>IF(C18="","N/A",VLOOKUP(C18,CHOOSE({1,2},Table2[Pay Item Description],Table2[Unit Cost]),2,0))</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IF(AR18="","N/A",VLOOKUP(AR18,CHOOSE({1,2},Table2[Pay Item Description],Table2[Unit Cost]),2,0))</f>
        <v>0.66666666666666663</v>
      </c>
      <c r="AV18" s="63">
        <f t="shared" si="1"/>
        <v>0</v>
      </c>
      <c r="AZ18" t="s">
        <v>323</v>
      </c>
      <c r="BD18" s="46">
        <f>('General Information'!$D$37/100)*BD16</f>
        <v>0</v>
      </c>
      <c r="BK18" s="61" t="s">
        <v>348</v>
      </c>
      <c r="BL18" s="63">
        <f>SUM(BL13:BL17)</f>
        <v>0</v>
      </c>
    </row>
    <row r="19" spans="1:64" ht="19.5" customHeight="1" x14ac:dyDescent="0.25">
      <c r="A19">
        <v>7</v>
      </c>
      <c r="B19" s="71">
        <f>IF(C19="",0,VLOOKUP(C19,CHOOSE({1,2},Table2[Pay Item Description],Table2[Pay Item No.]),2,0))</f>
        <v>0</v>
      </c>
      <c r="C19" s="70"/>
      <c r="D19" s="3" t="str">
        <f>IF(C19="","N/A",VLOOKUP(C19,CHOOSE({1,2},Table2[Pay Item Description],Table2[Units]),2,0))</f>
        <v>N/A</v>
      </c>
      <c r="E19" s="76"/>
      <c r="F19" s="75" t="str">
        <f>IF(C19="","N/A",VLOOKUP(C19,CHOOSE({1,2},Table2[Pay Item Description],Table2[Unit Cost]),2,0))</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IF(C20="",0,VLOOKUP(C20,CHOOSE({1,2},Table2[Pay Item Description],Table2[Pay Item No.]),2,0))</f>
        <v>0</v>
      </c>
      <c r="C20" s="70"/>
      <c r="D20" s="3" t="str">
        <f>IF(C20="","N/A",VLOOKUP(C20,CHOOSE({1,2},Table2[Pay Item Description],Table2[Units]),2,0))</f>
        <v>N/A</v>
      </c>
      <c r="E20" s="76"/>
      <c r="F20" s="75" t="str">
        <f>IF(C20="","N/A",VLOOKUP(C20,CHOOSE({1,2},Table2[Pay Item Description],Table2[Unit Cost]),2,0))</f>
        <v>N/A</v>
      </c>
      <c r="G20" s="72">
        <f t="shared" ref="G20:G21" si="2">IF(B20&lt;&gt;0,F20*E20,0)</f>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IF(C21="",0,VLOOKUP(C21,CHOOSE({1,2},Table2[Pay Item Description],Table2[Pay Item No.]),2,0))</f>
        <v>0</v>
      </c>
      <c r="C21" s="70"/>
      <c r="D21" s="3" t="str">
        <f>IF(C21="","N/A",VLOOKUP(C21,CHOOSE({1,2},Table2[Pay Item Description],Table2[Units]),2,0))</f>
        <v>N/A</v>
      </c>
      <c r="E21" s="76"/>
      <c r="F21" s="75" t="str">
        <f>IF(C21="","N/A",VLOOKUP(C21,CHOOSE({1,2},Table2[Pay Item Description],Table2[Unit Cost]),2,0))</f>
        <v>N/A</v>
      </c>
      <c r="G21" s="72">
        <f t="shared" si="2"/>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IF(C22="",0,VLOOKUP(C22,CHOOSE({1,2},Table2[Pay Item Description],Table2[Pay Item No.]),2,0))</f>
        <v>0</v>
      </c>
      <c r="C22" s="70"/>
      <c r="D22" s="3" t="str">
        <f>IF(C22="","N/A",VLOOKUP(C22,CHOOSE({1,2},Table2[Pay Item Description],Table2[Units]),2,0))</f>
        <v>N/A</v>
      </c>
      <c r="E22" s="76"/>
      <c r="F22" s="75" t="str">
        <f>IF(C22="","N/A",VLOOKUP(C22,CHOOSE({1,2},Table2[Pay Item Description],Table2[Unit Cost]),2,0))</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3" x14ac:dyDescent="0.25">
      <c r="A33" s="4" t="s">
        <v>508</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77</v>
      </c>
      <c r="C41" s="57">
        <f>'Maintenance Policies'!E22</f>
        <v>20</v>
      </c>
      <c r="D41" s="58">
        <f>AV22</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Policies'!D32*AV22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1">
    <mergeCell ref="A1:B1"/>
  </mergeCells>
  <dataValidations count="1">
    <dataValidation allowBlank="1" showInputMessage="1" showErrorMessage="1" promptTitle="Qty" prompt="Enter quantity" sqref="E13" xr:uid="{60E3F3D1-DCAA-49C2-B270-FF9B34BE2F49}"/>
  </dataValidation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2</xdr:col>
                <xdr:colOff>2771775</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2</xdr:col>
                <xdr:colOff>2771775</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2</xdr:col>
                <xdr:colOff>2781300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2</xdr:col>
                <xdr:colOff>2781300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2</xdr:col>
                <xdr:colOff>2781300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2</xdr:col>
                <xdr:colOff>2781300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2</xdr:col>
                <xdr:colOff>2781300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2</xdr:col>
                <xdr:colOff>2781300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2</xdr:col>
                <xdr:colOff>2781300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2</xdr:col>
                <xdr:colOff>2781300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rgb="FF8EA9DB"/>
  </sheetPr>
  <dimension ref="A1:X68"/>
  <sheetViews>
    <sheetView zoomScale="80" zoomScaleNormal="80" workbookViewId="0">
      <selection activeCell="H44" sqref="H44"/>
    </sheetView>
  </sheetViews>
  <sheetFormatPr defaultRowHeight="15" x14ac:dyDescent="0.25"/>
  <cols>
    <col min="2" max="2" width="19.7109375" customWidth="1"/>
    <col min="3" max="3" width="41.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spans="1:24" x14ac:dyDescent="0.25" ht="21" customHeight="1">
      <c r="A1" s="119" t="str">
        <f>HYPERLINK("#'General Information'!D9","◄ General Information")</f>
        <v>◄ General Information</v>
      </c>
      <c r="B1" s="119"/>
      <c r="C1" s="120" t="str">
        <f>HYPERLINK("#Summary!G1","Summary")</f>
        <v>Summary</v>
      </c>
      <c r="D1" s="156" t="inlineStr">
        <is>
          <t xml:space="preserve">  Grey cells are yours: C4 to C7 project data (filled from General Information), F4 and F5 closure days, C13 to C22 pay items and E13 to E22 quantities. Everything else calculates.</t>
        </is>
      </c>
      <c r="I1" t="s">
        <v>248</v>
      </c>
    </row>
    <row r="2" spans="1:24" x14ac:dyDescent="0.25">
      <c r="A2" s="4" t="s">
        <v>504</v>
      </c>
      <c r="J2" s="62" t="s">
        <v>67</v>
      </c>
      <c r="R2" s="4" t="s">
        <v>77</v>
      </c>
    </row>
    <row r="4" spans="1:24" x14ac:dyDescent="0.25">
      <c r="A4" t="s">
        <v>263</v>
      </c>
      <c r="C4" s="45" t="s">
        <v>487</v>
      </c>
    </row>
    <row r="5" spans="1:24" x14ac:dyDescent="0.25">
      <c r="A5" t="s">
        <v>346</v>
      </c>
      <c r="C5">
        <f>'General Information'!D26</f>
        <v>0</v>
      </c>
      <c r="D5" t="s">
        <v>6</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row>
    <row r="12" spans="1:2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IF(C13="",0,VLOOKUP(C13,CHOOSE({1,2},Table2[Pay Item Description],Table2[Pay Item No.]),2,0))</f>
        <v>0</v>
      </c>
      <c r="C13" s="70" t="s">
        <v>481</v>
      </c>
      <c r="D13" s="3" t="str">
        <f>IF(C13="","N/A",VLOOKUP(C13,CHOOSE({1,2},Table2[Pay Item Description],Table2[Units]),2,0))</f>
        <v>N/A</v>
      </c>
      <c r="E13" s="77"/>
      <c r="F13" s="75" t="str">
        <f>IF(C13="","N/A",VLOOKUP(C13,CHOOSE({1,2},Table2[Pay Item Description],Table2[Unit Cost]),2,0))</f>
        <v>N/A</v>
      </c>
      <c r="G13" s="72">
        <f t="shared" ref="G13:G17" si="0">IF(B13&lt;&gt;0,F13*E13,0)</f>
        <v>0</v>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IF(L13="","N/A",VLOOKUP(L13,CHOOSE({1,2},Table2[Pay Item Description],Table2[Unit Cost]),2,0))</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IF(T13="","N/A",VLOOKUP(T13,CHOOSE({1,2},Table2[Pay Item Description],Table2[Unit Cost]),2,0))</f>
        <v>100</v>
      </c>
      <c r="X13" s="46">
        <f>W13*V13</f>
        <v>0</v>
      </c>
    </row>
    <row r="14" spans="1:24" ht="19.5" customHeight="1" x14ac:dyDescent="0.25">
      <c r="A14">
        <v>2</v>
      </c>
      <c r="B14" s="71">
        <f>IF(C14="",0,VLOOKUP(C14,CHOOSE({1,2},Table2[Pay Item Description],Table2[Pay Item No.]),2,0))</f>
        <v>0</v>
      </c>
      <c r="C14" s="70"/>
      <c r="D14" s="3" t="str">
        <f>IF(C14="","N/A",VLOOKUP(C14,CHOOSE({1,2},Table2[Pay Item Description],Table2[Units]),2,0))</f>
        <v>N/A</v>
      </c>
      <c r="E14" s="77"/>
      <c r="F14" s="75" t="str">
        <f>IF(C14="","N/A",VLOOKUP(C14,CHOOSE({1,2},Table2[Pay Item Description],Table2[Unit Cost]),2,0))</f>
        <v>N/A</v>
      </c>
      <c r="G14" s="72">
        <f t="shared" si="0"/>
        <v>0</v>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IF(L14="","N/A",VLOOKUP(L14,CHOOSE({1,2},Table2[Pay Item Description],Table2[Unit Cost]),2,0))</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IF(T14="","N/A",VLOOKUP(T14,CHOOSE({1,2},Table2[Pay Item Description],Table2[Unit Cost]),2,0))</f>
        <v>120</v>
      </c>
      <c r="X14" s="46">
        <f>W14*V14</f>
        <v>0</v>
      </c>
    </row>
    <row r="15" spans="1:24" ht="19.5" customHeight="1" x14ac:dyDescent="0.25">
      <c r="A15">
        <v>3</v>
      </c>
      <c r="B15" s="71">
        <f>IF(C15="",0,VLOOKUP(C15,CHOOSE({1,2},Table2[Pay Item Description],Table2[Pay Item No.]),2,0))</f>
        <v>0</v>
      </c>
      <c r="C15" s="70"/>
      <c r="D15" s="3" t="str">
        <f>IF(C15="","N/A",VLOOKUP(C15,CHOOSE({1,2},Table2[Pay Item Description],Table2[Units]),2,0))</f>
        <v>N/A</v>
      </c>
      <c r="E15" s="77"/>
      <c r="F15" s="75" t="str">
        <f>IF(C15="","N/A",VLOOKUP(C15,CHOOSE({1,2},Table2[Pay Item Description],Table2[Unit Cost]),2,0))</f>
        <v>N/A</v>
      </c>
      <c r="G15" s="72">
        <f t="shared" si="0"/>
        <v>0</v>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IF(L15="","N/A",VLOOKUP(L15,CHOOSE({1,2},Table2[Pay Item Description],Table2[Unit Cost]),2,0))</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IF(T15="","N/A",VLOOKUP(T15,CHOOSE({1,2},Table2[Pay Item Description],Table2[Unit Cost]),2,0))</f>
        <v>60</v>
      </c>
      <c r="X15" s="46">
        <f>W15*V15</f>
        <v>0</v>
      </c>
    </row>
    <row r="16" spans="1:24" ht="19.5" customHeight="1" x14ac:dyDescent="0.25">
      <c r="A16">
        <v>4</v>
      </c>
      <c r="B16" s="71">
        <f>IF(C16="",0,VLOOKUP(C16,CHOOSE({1,2},Table2[Pay Item Description],Table2[Pay Item No.]),2,0))</f>
        <v>0</v>
      </c>
      <c r="C16" s="70"/>
      <c r="D16" s="3" t="str">
        <f>IF(C16="","N/A",VLOOKUP(C16,CHOOSE({1,2},Table2[Pay Item Description],Table2[Units]),2,0))</f>
        <v>N/A</v>
      </c>
      <c r="E16" s="77"/>
      <c r="F16" s="75" t="str">
        <f>IF(C16="","N/A",VLOOKUP(C16,CHOOSE({1,2},Table2[Pay Item Description],Table2[Unit Cost]),2,0))</f>
        <v>N/A</v>
      </c>
      <c r="G16" s="72">
        <f t="shared" si="0"/>
        <v>0</v>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IF(L16="","N/A",VLOOKUP(L16,CHOOSE({1,2},Table2[Pay Item Description],Table2[Unit Cost]),2,0))</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IF(T16="","N/A",VLOOKUP(T16,CHOOSE({1,2},Table2[Pay Item Description],Table2[Unit Cost]),2,0))</f>
        <v>8</v>
      </c>
      <c r="X16" s="46">
        <f>W16*V16</f>
        <v>0</v>
      </c>
    </row>
    <row r="17" spans="1:24" ht="19.5" customHeight="1" x14ac:dyDescent="0.25">
      <c r="A17">
        <v>5</v>
      </c>
      <c r="B17" s="71">
        <f>IF(C17="",0,VLOOKUP(C17,CHOOSE({1,2},Table2[Pay Item Description],Table2[Pay Item No.]),2,0))</f>
        <v>0</v>
      </c>
      <c r="C17" s="70"/>
      <c r="D17" s="3" t="str">
        <f>IF(C17="","N/A",VLOOKUP(C17,CHOOSE({1,2},Table2[Pay Item Description],Table2[Units]),2,0))</f>
        <v>N/A</v>
      </c>
      <c r="E17" s="77"/>
      <c r="F17" s="75" t="str">
        <f>IF(C17="","N/A",VLOOKUP(C17,CHOOSE({1,2},Table2[Pay Item Description],Table2[Unit Cost]),2,0))</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IF(T17="","N/A",VLOOKUP(T17,CHOOSE({1,2},Table2[Pay Item Description],Table2[Unit Cost]),2,0))</f>
        <v>7</v>
      </c>
      <c r="X17" s="46">
        <f>W17*V17</f>
        <v>0</v>
      </c>
    </row>
    <row r="18" spans="1:24" ht="19.5" customHeight="1" x14ac:dyDescent="0.25">
      <c r="A18">
        <v>6</v>
      </c>
      <c r="B18" s="71">
        <f>IF(C18="",0,VLOOKUP(C18,CHOOSE({1,2},Table2[Pay Item Description],Table2[Pay Item No.]),2,0))</f>
        <v>0</v>
      </c>
      <c r="C18" s="70"/>
      <c r="D18" s="3" t="str">
        <f>IF(C18="","N/A",VLOOKUP(C18,CHOOSE({1,2},Table2[Pay Item Description],Table2[Units]),2,0))</f>
        <v>N/A</v>
      </c>
      <c r="E18" s="77"/>
      <c r="F18" s="75" t="str">
        <f>IF(C18="","N/A",VLOOKUP(C18,CHOOSE({1,2},Table2[Pay Item Description],Table2[Unit Cost]),2,0))</f>
        <v>N/A</v>
      </c>
      <c r="G18" s="72">
        <f>IF(B18&lt;&gt;0,F18*E18,0)</f>
        <v>0</v>
      </c>
      <c r="L18" s="61" t="s">
        <v>9</v>
      </c>
      <c r="P18" s="63">
        <f>('General Information'!$D$36/100)*P17</f>
        <v>0</v>
      </c>
      <c r="W18" t="s">
        <v>348</v>
      </c>
      <c r="X18" s="46">
        <f>SUM(X13:X17)</f>
        <v>0</v>
      </c>
    </row>
    <row r="19" spans="1:24" ht="19.5" customHeight="1" x14ac:dyDescent="0.25">
      <c r="A19">
        <v>7</v>
      </c>
      <c r="B19" s="71">
        <f>IF(C19="",0,VLOOKUP(C19,CHOOSE({1,2},Table2[Pay Item Description],Table2[Pay Item No.]),2,0))</f>
        <v>0</v>
      </c>
      <c r="C19" s="70"/>
      <c r="D19" s="3" t="str">
        <f>IF(C19="","N/A",VLOOKUP(C19,CHOOSE({1,2},Table2[Pay Item Description],Table2[Units]),2,0))</f>
        <v>N/A</v>
      </c>
      <c r="E19" s="77"/>
      <c r="F19" s="75" t="str">
        <f>IF(C19="","N/A",VLOOKUP(C19,CHOOSE({1,2},Table2[Pay Item Description],Table2[Unit Cost]),2,0))</f>
        <v>N/A</v>
      </c>
      <c r="G19" s="72">
        <f t="shared" ref="G19:G22" si="1">IF(B19&lt;&gt;0,F19*E19,0)</f>
        <v>0</v>
      </c>
      <c r="L19" s="61" t="s">
        <v>323</v>
      </c>
      <c r="P19" s="63">
        <f>('General Information'!$D$37/100)*P17</f>
        <v>0</v>
      </c>
      <c r="T19" t="s">
        <v>9</v>
      </c>
      <c r="X19" s="46">
        <f>('General Information'!$D$36/100)*X18</f>
        <v>0</v>
      </c>
    </row>
    <row r="20" spans="1:24" ht="19.5" customHeight="1" x14ac:dyDescent="0.25">
      <c r="A20">
        <v>8</v>
      </c>
      <c r="B20" s="71">
        <f>IF(C20="",0,VLOOKUP(C20,CHOOSE({1,2},Table2[Pay Item Description],Table2[Pay Item No.]),2,0))</f>
        <v>0</v>
      </c>
      <c r="C20" s="70"/>
      <c r="D20" s="3" t="str">
        <f>IF(C20="","N/A",VLOOKUP(C20,CHOOSE({1,2},Table2[Pay Item Description],Table2[Units]),2,0))</f>
        <v>N/A</v>
      </c>
      <c r="E20" s="77"/>
      <c r="F20" s="75" t="str">
        <f>IF(C20="","N/A",VLOOKUP(C20,CHOOSE({1,2},Table2[Pay Item Description],Table2[Unit Cost]),2,0))</f>
        <v>N/A</v>
      </c>
      <c r="G20" s="72">
        <f t="shared" ref="G20:G21" si="2">IF(B20&lt;&gt;0,F20*E20,0)</f>
        <v>0</v>
      </c>
      <c r="O20" s="61" t="s">
        <v>349</v>
      </c>
      <c r="P20" s="63">
        <f>SUM(P17:P19)</f>
        <v>0</v>
      </c>
      <c r="T20" t="s">
        <v>323</v>
      </c>
      <c r="X20" s="46">
        <f>('General Information'!$D$37/100)*X18</f>
        <v>0</v>
      </c>
    </row>
    <row r="21" spans="1:24" ht="19.5" customHeight="1" x14ac:dyDescent="0.25">
      <c r="A21">
        <v>9</v>
      </c>
      <c r="B21" s="71">
        <f>IF(C21="",0,VLOOKUP(C21,CHOOSE({1,2},Table2[Pay Item Description],Table2[Pay Item No.]),2,0))</f>
        <v>0</v>
      </c>
      <c r="C21" s="70"/>
      <c r="D21" s="3" t="str">
        <f>IF(C21="","N/A",VLOOKUP(C21,CHOOSE({1,2},Table2[Pay Item Description],Table2[Units]),2,0))</f>
        <v>N/A</v>
      </c>
      <c r="E21" s="77"/>
      <c r="F21" s="75" t="str">
        <f>IF(C21="","N/A",VLOOKUP(C21,CHOOSE({1,2},Table2[Pay Item Description],Table2[Unit Cost]),2,0))</f>
        <v>N/A</v>
      </c>
      <c r="G21" s="72">
        <f t="shared" si="2"/>
        <v>0</v>
      </c>
      <c r="W21" t="s">
        <v>349</v>
      </c>
      <c r="X21" s="46">
        <f>SUM(X18:X20)</f>
        <v>0</v>
      </c>
    </row>
    <row r="22" spans="1:24" ht="19.5" customHeight="1" x14ac:dyDescent="0.25">
      <c r="A22">
        <v>10</v>
      </c>
      <c r="B22" s="71">
        <f>IF(C22="",0,VLOOKUP(C22,CHOOSE({1,2},Table2[Pay Item Description],Table2[Pay Item No.]),2,0))</f>
        <v>0</v>
      </c>
      <c r="C22" s="70"/>
      <c r="D22" s="3" t="str">
        <f>IF(C22="","N/A",VLOOKUP(C22,CHOOSE({1,2},Table2[Pay Item Description],Table2[Units]),2,0))</f>
        <v>N/A</v>
      </c>
      <c r="E22" s="77"/>
      <c r="F22" s="75" t="str">
        <f>IF(C22="","N/A",VLOOKUP(C22,CHOOSE({1,2},Table2[Pay Item Description],Table2[Unit Cost]),2,0))</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62"/>
      <c r="M27" s="62"/>
      <c r="N27" s="62"/>
      <c r="O27" s="62"/>
      <c r="P27" s="62"/>
    </row>
    <row r="33" spans="1:13" x14ac:dyDescent="0.25">
      <c r="A33" s="4" t="s">
        <v>328</v>
      </c>
    </row>
    <row r="34" spans="1:13" x14ac:dyDescent="0.25">
      <c r="A34" s="4" t="s">
        <v>506</v>
      </c>
      <c r="I34" t="s">
        <v>248</v>
      </c>
    </row>
    <row r="35" spans="1:13" ht="15.75" thickBot="1" x14ac:dyDescent="0.3"/>
    <row r="36" spans="1:13" ht="27" thickTop="1" thickBot="1" x14ac:dyDescent="0.3">
      <c r="B36" s="53" t="s">
        <v>326</v>
      </c>
      <c r="C36" s="54" t="s">
        <v>259</v>
      </c>
      <c r="D36" s="54" t="s">
        <v>327</v>
      </c>
      <c r="E36" s="55"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48" t="s">
        <v>77</v>
      </c>
      <c r="C39" s="57">
        <f>'Maintenance Policies'!E41</f>
        <v>27</v>
      </c>
      <c r="D39" s="58">
        <f>X21</f>
        <v>0</v>
      </c>
      <c r="E39" s="47">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48" t="s">
        <v>85</v>
      </c>
      <c r="C40" s="57">
        <f>'General Information'!D33</f>
        <v>10</v>
      </c>
      <c r="D40" s="58">
        <f>-'Maintenance Policies'!D46*G27</f>
        <v>0</v>
      </c>
      <c r="E40" s="47">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ht="15.75" thickBot="1" x14ac:dyDescent="0.3">
      <c r="B41" s="49" t="s">
        <v>328</v>
      </c>
      <c r="C41" s="50"/>
      <c r="D41" s="50"/>
      <c r="E41" s="60">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mergeCells count="1">
    <mergeCell ref="A1:B1"/>
  </mergeCell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19050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9525</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2</xdr:col>
                <xdr:colOff>2781300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2</xdr:col>
                <xdr:colOff>2781300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2</xdr:col>
                <xdr:colOff>2781300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2</xdr:col>
                <xdr:colOff>2781300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2</xdr:col>
                <xdr:colOff>2781300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2</xdr:col>
                <xdr:colOff>2781300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2</xdr:col>
                <xdr:colOff>2781300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2</xdr:col>
                <xdr:colOff>2781300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rgb="FF8EA9DB"/>
  </sheetPr>
  <dimension ref="A1:BL67"/>
  <sheetViews>
    <sheetView zoomScale="80" zoomScaleNormal="80" workbookViewId="0"/>
  </sheetViews>
  <sheetFormatPr defaultRowHeight="15" x14ac:dyDescent="0.25"/>
  <cols>
    <col min="1" max="1" width="12.28515625" customWidth="1"/>
    <col min="2" max="2" width="19.7109375" customWidth="1"/>
    <col min="3" max="3" width="41.7109375" customWidth="1"/>
    <col min="5" max="5" width="12.7109375" customWidth="1"/>
    <col min="6" max="7" width="10.5703125" customWidth="1"/>
    <col min="10" max="10" width="13.28515625" style="61" bestFit="1" customWidth="1"/>
    <col min="11" max="11" width="13.28515625" style="61" customWidth="1"/>
    <col min="12" max="12" width="41.5703125" style="61" customWidth="1"/>
    <col min="13" max="13" width="13.28515625" style="61" customWidth="1"/>
    <col min="14" max="16" width="13.28515625" style="61" bestFit="1" customWidth="1"/>
    <col min="17" max="17" width="3.5703125" customWidth="1"/>
    <col min="18" max="19" width="13.28515625" customWidth="1"/>
    <col min="20" max="20" width="41.140625" customWidth="1"/>
    <col min="21" max="24" width="13.28515625" customWidth="1"/>
    <col min="25" max="25" width="3.5703125" customWidth="1"/>
    <col min="26" max="26" width="13.28515625" style="61" bestFit="1" customWidth="1"/>
    <col min="27" max="27" width="13.28515625" style="61" customWidth="1"/>
    <col min="28" max="28" width="40.5703125" style="61" customWidth="1"/>
    <col min="29" max="29" width="13.28515625" style="61" customWidth="1"/>
    <col min="30" max="32" width="13.28515625" style="61" bestFit="1" customWidth="1"/>
    <col min="33" max="33" width="3.5703125" customWidth="1"/>
    <col min="34" max="34" width="13.28515625" bestFit="1" customWidth="1"/>
    <col min="35" max="35" width="13.28515625" customWidth="1"/>
    <col min="36" max="36" width="40.7109375" customWidth="1"/>
    <col min="37" max="37" width="13.28515625" customWidth="1"/>
    <col min="38" max="40" width="13.28515625" bestFit="1" customWidth="1"/>
    <col min="41" max="41" width="3.5703125" customWidth="1"/>
    <col min="42" max="42" width="13.28515625" style="61" bestFit="1" customWidth="1"/>
    <col min="43" max="43" width="13.28515625" style="61" customWidth="1"/>
    <col min="44" max="44" width="40.5703125" style="61" customWidth="1"/>
    <col min="45" max="45" width="13.28515625" style="61" customWidth="1"/>
    <col min="46" max="48" width="13.28515625" style="61" bestFit="1" customWidth="1"/>
    <col min="49" max="49" width="3.5703125" customWidth="1"/>
    <col min="50" max="50" width="13.28515625" bestFit="1" customWidth="1"/>
    <col min="51" max="51" width="13.28515625" customWidth="1"/>
    <col min="52" max="52" width="40.5703125" customWidth="1"/>
    <col min="53" max="53" width="13.28515625" customWidth="1"/>
    <col min="54" max="56" width="13.28515625" bestFit="1" customWidth="1"/>
    <col min="57" max="57" width="3.5703125" customWidth="1"/>
    <col min="58" max="58" width="13.28515625" style="61" bestFit="1" customWidth="1"/>
    <col min="59" max="59" width="13.28515625" style="61" customWidth="1"/>
    <col min="60" max="60" width="40.5703125" style="61" customWidth="1"/>
    <col min="61" max="61" width="13.28515625" style="61" customWidth="1"/>
    <col min="62" max="64" width="13.28515625" style="61" bestFit="1" customWidth="1"/>
    <col min="65" max="65" width="3.5703125" customWidth="1"/>
  </cols>
  <sheetData>
    <row r="1" spans="1:64" x14ac:dyDescent="0.25" ht="21" customHeight="1">
      <c r="A1" s="119" t="str">
        <f>HYPERLINK("#'General Information'!D9","◄ General Information")</f>
        <v>◄ General Information</v>
      </c>
      <c r="B1" s="119"/>
      <c r="C1" s="120" t="str">
        <f>HYPERLINK("#Summary!G1","Summary")</f>
        <v>Summary</v>
      </c>
      <c r="D1" s="156" t="inlineStr">
        <is>
          <t xml:space="preserve">  Grey cells are yours: C4 to C8 project data (filled from General Information), F4 to F10 closure days, C13 to C22 pay items and E13 to E22 quantities. Everything else calculates.</t>
        </is>
      </c>
      <c r="I1" t="s">
        <v>248</v>
      </c>
    </row>
    <row r="2" spans="1:64" x14ac:dyDescent="0.25">
      <c r="A2" s="4" t="s">
        <v>504</v>
      </c>
      <c r="J2" s="62" t="s">
        <v>67</v>
      </c>
      <c r="R2" s="4" t="s">
        <v>70</v>
      </c>
      <c r="Z2" s="62" t="s">
        <v>71</v>
      </c>
      <c r="AH2" s="4" t="s">
        <v>77</v>
      </c>
      <c r="AP2" s="62" t="s">
        <v>74</v>
      </c>
      <c r="AX2" s="4" t="s">
        <v>81</v>
      </c>
      <c r="BF2" s="62" t="s">
        <v>82</v>
      </c>
    </row>
    <row r="4" spans="1:64" x14ac:dyDescent="0.25">
      <c r="A4" t="s">
        <v>263</v>
      </c>
      <c r="C4" s="45" t="s">
        <v>499</v>
      </c>
    </row>
    <row r="5" spans="1:64" x14ac:dyDescent="0.25">
      <c r="A5" t="s">
        <v>346</v>
      </c>
      <c r="C5">
        <f>'General Information'!D26</f>
        <v>0</v>
      </c>
      <c r="D5" t="s">
        <v>6</v>
      </c>
    </row>
    <row r="6" spans="1:64" x14ac:dyDescent="0.25">
      <c r="A6" t="s">
        <v>262</v>
      </c>
      <c r="C6">
        <f>'General Information'!D25</f>
        <v>0</v>
      </c>
      <c r="AH6" t="s">
        <v>355</v>
      </c>
      <c r="AI6">
        <v>2</v>
      </c>
      <c r="AJ6" t="s">
        <v>356</v>
      </c>
    </row>
    <row r="7" spans="1:64" x14ac:dyDescent="0.25">
      <c r="A7" t="s">
        <v>324</v>
      </c>
      <c r="C7" s="91" t="s">
        <v>276</v>
      </c>
      <c r="D7" t="s">
        <v>476</v>
      </c>
      <c r="AH7" t="s">
        <v>357</v>
      </c>
      <c r="AI7">
        <v>120</v>
      </c>
      <c r="AJ7" t="s">
        <v>358</v>
      </c>
    </row>
    <row r="8" spans="1:64" x14ac:dyDescent="0.25">
      <c r="A8" t="s">
        <v>345</v>
      </c>
      <c r="C8">
        <f>'General Information'!D28</f>
        <v>0</v>
      </c>
      <c r="D8" t="s">
        <v>12</v>
      </c>
    </row>
    <row r="9" spans="1:64" x14ac:dyDescent="0.25">
      <c r="C9" s="45"/>
      <c r="AH9" t="s">
        <v>353</v>
      </c>
      <c r="AI9">
        <v>7.0000000000000007E-2</v>
      </c>
      <c r="AJ9" t="s">
        <v>354</v>
      </c>
    </row>
    <row r="10" spans="1:64" x14ac:dyDescent="0.25">
      <c r="D10" s="44"/>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v>0</v>
      </c>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IF(L13="","N/A",VLOOKUP(L13,CHOOSE({1,2},Table2[Pay Item Description],Table2[Unit Cost]),2,0))</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IF(T13="","N/A",VLOOKUP(T13,CHOOSE({1,2},Table2[Pay Item Description],Table2[Unit Cost]),2,0))</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IF(AB13="","N/A",VLOOKUP(AB13,CHOOSE({1,2},Table2[Pay Item Description],Table2[Unit Cost]),2,0))</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IF(AJ13="","N/A",VLOOKUP(AJ13,CHOOSE({1,2},Table2[Pay Item Description],Table2[Unit Cost]),2,0))</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IF(AR13="","N/A",VLOOKUP(AR13,CHOOSE({1,2},Table2[Pay Item Description],Table2[Unit Cost]),2,0))</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IF(AZ13="","N/A",VLOOKUP(AZ13,CHOOSE({1,2},Table2[Pay Item Description],Table2[Unit Cost]),2,0))</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IF(BH13="","N/A",VLOOKUP(BH13,CHOOSE({1,2},Table2[Pay Item Description],Table2[Unit Cost]),2,0))</f>
        <v>4</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v>0</v>
      </c>
      <c r="F14" s="75" t="str">
        <f>IF(C14="","N/A",VLOOKUP(C14,CHOOSE({1,2},Table2[Pay Item Description],Table2[Unit Cost]),2,0))</f>
        <v>N/A</v>
      </c>
      <c r="G14" s="72">
        <f t="shared" si="0"/>
        <v>0</v>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IF(L14="","N/A",VLOOKUP(L14,CHOOSE({1,2},Table2[Pay Item Description],Table2[Unit Cost]),2,0))</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IF(T14="","N/A",VLOOKUP(T14,CHOOSE({1,2},Table2[Pay Item Description],Table2[Unit Cost]),2,0))</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IF(AB14="","N/A",VLOOKUP(AB14,CHOOSE({1,2},Table2[Pay Item Description],Table2[Unit Cost]),2,0))</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IF(AJ14="","N/A",VLOOKUP(AJ14,CHOOSE({1,2},Table2[Pay Item Description],Table2[Unit Cost]),2,0))</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IF(AR14="","N/A",VLOOKUP(AR14,CHOOSE({1,2},Table2[Pay Item Description],Table2[Unit Cost]),2,0))</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IF(AZ14="","N/A",VLOOKUP(AZ14,CHOOSE({1,2},Table2[Pay Item Description],Table2[Unit Cost]),2,0))</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IF(BH14="","N/A",VLOOKUP(BH14,CHOOSE({1,2},Table2[Pay Item Description],Table2[Unit Cost]),2,0))</f>
        <v>0.77777777777777779</v>
      </c>
      <c r="BL14" s="63">
        <f>BK14*BJ14</f>
        <v>0</v>
      </c>
    </row>
    <row r="15" spans="1:64" ht="19.5" customHeight="1" x14ac:dyDescent="0.25">
      <c r="A15">
        <v>3</v>
      </c>
      <c r="B15" s="71">
        <f>IF(C15="",0,VLOOKUP(C15,CHOOSE({1,2},Table2[Pay Item Description],Table2[Pay Item No.]),2,0))</f>
        <v>0</v>
      </c>
      <c r="C15" s="70" t="s">
        <v>481</v>
      </c>
      <c r="D15" s="3" t="str">
        <f>IF(C15="","N/A",VLOOKUP(C15,CHOOSE({1,2},Table2[Pay Item Description],Table2[Units]),2,0))</f>
        <v>N/A</v>
      </c>
      <c r="E15" s="76">
        <v>0</v>
      </c>
      <c r="F15" s="75" t="str">
        <f>IF(C15="","N/A",VLOOKUP(C15,CHOOSE({1,2},Table2[Pay Item Description],Table2[Unit Cost]),2,0))</f>
        <v>N/A</v>
      </c>
      <c r="G15" s="72">
        <f t="shared" si="0"/>
        <v>0</v>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IF(L15="","N/A",VLOOKUP(L15,CHOOSE({1,2},Table2[Pay Item Description],Table2[Unit Cost]),2,0))</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IF(T15="","N/A",VLOOKUP(T15,CHOOSE({1,2},Table2[Pay Item Description],Table2[Unit Cost]),2,0))</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IF(AB15="","N/A",VLOOKUP(AB15,CHOOSE({1,2},Table2[Pay Item Description],Table2[Unit Cost]),2,0))</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IF(AJ15="","N/A",VLOOKUP(AJ15,CHOOSE({1,2},Table2[Pay Item Description],Table2[Unit Cost]),2,0))</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IF(AR15="","N/A",VLOOKUP(AR15,CHOOSE({1,2},Table2[Pay Item Description],Table2[Unit Cost]),2,0))</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IF(AZ15="","N/A",VLOOKUP(AZ15,CHOOSE({1,2},Table2[Pay Item Description],Table2[Unit Cost]),2,0))</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IF(BH15="","N/A",VLOOKUP(BH15,CHOOSE({1,2},Table2[Pay Item Description],Table2[Unit Cost]),2,0))</f>
        <v>0.66666666666666663</v>
      </c>
      <c r="BL15" s="63">
        <f>BK15*BJ15</f>
        <v>0</v>
      </c>
    </row>
    <row r="16" spans="1:64" ht="19.5" customHeight="1" x14ac:dyDescent="0.25">
      <c r="A16">
        <v>4</v>
      </c>
      <c r="B16" s="71">
        <f>IF(C16="",0,VLOOKUP(C16,CHOOSE({1,2},Table2[Pay Item Description],Table2[Pay Item No.]),2,0))</f>
        <v>0</v>
      </c>
      <c r="C16" s="70" t="s">
        <v>481</v>
      </c>
      <c r="D16" s="3" t="str">
        <f>IF(C16="","N/A",VLOOKUP(C16,CHOOSE({1,2},Table2[Pay Item Description],Table2[Units]),2,0))</f>
        <v>N/A</v>
      </c>
      <c r="E16" s="76">
        <v>0</v>
      </c>
      <c r="F16" s="75" t="str">
        <f>IF(C16="","N/A",VLOOKUP(C16,CHOOSE({1,2},Table2[Pay Item Description],Table2[Unit Cost]),2,0))</f>
        <v>N/A</v>
      </c>
      <c r="G16" s="72">
        <f t="shared" si="0"/>
        <v>0</v>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IF(T16="","N/A",VLOOKUP(T16,CHOOSE({1,2},Table2[Pay Item Description],Table2[Unit Cost]),2,0))</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IF(AJ16="","N/A",VLOOKUP(AJ16,CHOOSE({1,2},Table2[Pay Item Description],Table2[Unit Cost]),2,0))</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IF(AZ16="","N/A",VLOOKUP(AZ16,CHOOSE({1,2},Table2[Pay Item Description],Table2[Unit Cost]),2,0))</f>
        <v>0.77777777777777779</v>
      </c>
      <c r="BD16" s="46">
        <f>BC16*BB16</f>
        <v>0</v>
      </c>
      <c r="BK16" s="61" t="s">
        <v>348</v>
      </c>
      <c r="BL16" s="63">
        <f>SUM(BL13:BL15)</f>
        <v>0</v>
      </c>
    </row>
    <row r="17" spans="1:64" ht="19.5" customHeight="1" x14ac:dyDescent="0.25">
      <c r="A17">
        <v>5</v>
      </c>
      <c r="B17" s="71">
        <f>IF(C17="",0,VLOOKUP(C17,CHOOSE({1,2},Table2[Pay Item Description],Table2[Pay Item No.]),2,0))</f>
        <v>0</v>
      </c>
      <c r="C17" s="70" t="s">
        <v>481</v>
      </c>
      <c r="D17" s="3" t="str">
        <f>IF(C17="","N/A",VLOOKUP(C17,CHOOSE({1,2},Table2[Pay Item Description],Table2[Units]),2,0))</f>
        <v>N/A</v>
      </c>
      <c r="E17" s="76">
        <v>0</v>
      </c>
      <c r="F17" s="75" t="str">
        <f>IF(C17="","N/A",VLOOKUP(C17,CHOOSE({1,2},Table2[Pay Item Description],Table2[Unit Cost]),2,0))</f>
        <v>N/A</v>
      </c>
      <c r="G17" s="72">
        <f t="shared" si="0"/>
        <v>0</v>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IF(T17="","N/A",VLOOKUP(T17,CHOOSE({1,2},Table2[Pay Item Description],Table2[Unit Cost]),2,0))</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IF(AJ17="","N/A",VLOOKUP(AJ17,CHOOSE({1,2},Table2[Pay Item Description],Table2[Unit Cost]),2,0))</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IF(AZ17="","N/A",VLOOKUP(AZ17,CHOOSE({1,2},Table2[Pay Item Description],Table2[Unit Cost]),2,0))</f>
        <v>0.66666666666666663</v>
      </c>
      <c r="BD17" s="46">
        <f>BC17*BB17</f>
        <v>0</v>
      </c>
      <c r="BH17" s="61" t="s">
        <v>9</v>
      </c>
      <c r="BL17" s="63">
        <f>('General Information'!$D$36/100)*BL16</f>
        <v>0</v>
      </c>
    </row>
    <row r="18" spans="1:64" ht="19.5" customHeight="1" x14ac:dyDescent="0.25">
      <c r="A18">
        <v>6</v>
      </c>
      <c r="B18" s="71">
        <f>IF(C18="",0,VLOOKUP(C18,CHOOSE({1,2},Table2[Pay Item Description],Table2[Pay Item No.]),2,0))</f>
        <v>0</v>
      </c>
      <c r="C18" s="70" t="s">
        <v>481</v>
      </c>
      <c r="D18" s="3" t="str">
        <f>IF(C18="","N/A",VLOOKUP(C18,CHOOSE({1,2},Table2[Pay Item Description],Table2[Units]),2,0))</f>
        <v>N/A</v>
      </c>
      <c r="E18" s="76">
        <v>0</v>
      </c>
      <c r="F18" s="75" t="str">
        <f>IF(C18="","N/A",VLOOKUP(C18,CHOOSE({1,2},Table2[Pay Item Description],Table2[Unit Cost]),2,0))</f>
        <v>N/A</v>
      </c>
      <c r="G18" s="72">
        <f t="shared" si="0"/>
        <v>0</v>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IF(AJ18="","N/A",VLOOKUP(AJ18,CHOOSE({1,2},Table2[Pay Item Description],Table2[Unit Cost]),2,0))</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IF(C19="",0,VLOOKUP(C19,CHOOSE({1,2},Table2[Pay Item Description],Table2[Pay Item No.]),2,0))</f>
        <v>0</v>
      </c>
      <c r="C19" s="70" t="s">
        <v>481</v>
      </c>
      <c r="D19" s="3" t="str">
        <f>IF(C19="","N/A",VLOOKUP(C19,CHOOSE({1,2},Table2[Pay Item Description],Table2[Units]),2,0))</f>
        <v>N/A</v>
      </c>
      <c r="E19" s="76">
        <v>0</v>
      </c>
      <c r="F19" s="75" t="str">
        <f>IF(C19="","N/A",VLOOKUP(C19,CHOOSE({1,2},Table2[Pay Item Description],Table2[Unit Cost]),2,0))</f>
        <v>N/A</v>
      </c>
      <c r="G19" s="72">
        <f t="shared" si="0"/>
        <v>0</v>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IF(C20="",0,VLOOKUP(C20,CHOOSE({1,2},Table2[Pay Item Description],Table2[Pay Item No.]),2,0))</f>
        <v>0</v>
      </c>
      <c r="C20" s="70" t="s">
        <v>481</v>
      </c>
      <c r="D20" s="3" t="str">
        <f>IF(C20="","N/A",VLOOKUP(C20,CHOOSE({1,2},Table2[Pay Item Description],Table2[Units]),2,0))</f>
        <v>N/A</v>
      </c>
      <c r="E20" s="76">
        <v>0</v>
      </c>
      <c r="F20" s="75" t="str">
        <f>IF(C20="","N/A",VLOOKUP(C20,CHOOSE({1,2},Table2[Pay Item Description],Table2[Unit Cost]),2,0))</f>
        <v>N/A</v>
      </c>
      <c r="G20" s="72">
        <f t="shared" si="0"/>
        <v>0</v>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IF(C21="",0,VLOOKUP(C21,CHOOSE({1,2},Table2[Pay Item Description],Table2[Pay Item No.]),2,0))</f>
        <v>0</v>
      </c>
      <c r="C21" s="70" t="s">
        <v>481</v>
      </c>
      <c r="D21" s="3" t="str">
        <f>IF(C21="","N/A",VLOOKUP(C21,CHOOSE({1,2},Table2[Pay Item Description],Table2[Units]),2,0))</f>
        <v>N/A</v>
      </c>
      <c r="E21" s="76">
        <v>0</v>
      </c>
      <c r="F21" s="75" t="str">
        <f>IF(C21="","N/A",VLOOKUP(C21,CHOOSE({1,2},Table2[Pay Item Description],Table2[Unit Cost]),2,0))</f>
        <v>N/A</v>
      </c>
      <c r="G21" s="72">
        <f t="shared" si="0"/>
        <v>0</v>
      </c>
      <c r="W21" t="s">
        <v>349</v>
      </c>
      <c r="X21" s="46">
        <f>SUM(X18:X20)</f>
        <v>0</v>
      </c>
      <c r="AJ21" t="s">
        <v>323</v>
      </c>
      <c r="AN21" s="46">
        <f>('General Information'!$D$37/100)*AN19</f>
        <v>0</v>
      </c>
      <c r="BC21" t="s">
        <v>349</v>
      </c>
      <c r="BD21" s="46">
        <f>SUM(BD18:BD20)</f>
        <v>0</v>
      </c>
    </row>
    <row r="22" spans="1:64" ht="19.5" customHeight="1" x14ac:dyDescent="0.25">
      <c r="A22">
        <v>10</v>
      </c>
      <c r="B22" s="71">
        <f>IF(C22="",0,VLOOKUP(C22,CHOOSE({1,2},Table2[Pay Item Description],Table2[Pay Item No.]),2,0))</f>
        <v>0</v>
      </c>
      <c r="C22" s="70" t="s">
        <v>481</v>
      </c>
      <c r="D22" s="3" t="str">
        <f>IF(C22="","N/A",VLOOKUP(C22,CHOOSE({1,2},Table2[Pay Item Description],Table2[Units]),2,0))</f>
        <v>N/A</v>
      </c>
      <c r="E22" s="76">
        <v>0</v>
      </c>
      <c r="F22" s="75" t="str">
        <f>IF(C22="","N/A",VLOOKUP(C22,CHOOSE({1,2},Table2[Pay Item Description],Table2[Unit Cost]),2,0))</f>
        <v>N/A</v>
      </c>
      <c r="G22" s="72">
        <f t="shared" si="0"/>
        <v>0</v>
      </c>
      <c r="AM22" t="s">
        <v>349</v>
      </c>
      <c r="AN22" s="46">
        <f>SUM(AN19:AN21)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s="4" customFormat="1" x14ac:dyDescent="0.25">
      <c r="A27" s="4" t="s">
        <v>349</v>
      </c>
      <c r="G27" s="89">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c r="A33" s="4" t="s">
        <v>507</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77</v>
      </c>
      <c r="C40" s="57">
        <f>'Maintenance Policies'!E59</f>
        <v>16</v>
      </c>
      <c r="D40" s="58">
        <f>AN22</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Policies'!D71*AN22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1">
    <mergeCell ref="A1:B1"/>
  </mergeCells>
  <pageMargins left="0.7" right="0.7" top="0.75" bottom="0.75" header="0.3" footer="0.3"/>
  <pageSetup orientation="portrait" horizontalDpi="4294967293" verticalDpi="0"/>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9525</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9525</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9525</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9525</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9525</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9525</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9525</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9525</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9525</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9525</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topLeftCell="A8" workbookViewId="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2A78D6"/>
    <pageSetUpPr fitToPage="1"/>
  </sheetPr>
  <dimension ref="A1:AJ108"/>
  <sheetViews>
    <sheetView workbookViewId="0">
      <pane ySplit="3" topLeftCell="A4" activePane="bottomLeft" state="frozen"/>
      <selection pane="bottomLeft" activeCell="A1" sqref="A1"/>
    </sheetView>
  </sheetViews>
  <sheetFormatPr baseColWidth="8" defaultRowHeight="15"/>
  <cols>
    <col width="22" customWidth="1" min="1" max="1"/>
    <col width="32" customWidth="1" min="2" max="2"/>
    <col width="17" customWidth="1" min="3" max="3"/>
    <col width="17" customWidth="1" min="4" max="4"/>
    <col width="34" customWidth="1" min="5" max="5"/>
    <col width="3" customWidth="1" min="6" max="6"/>
    <col width="20" customWidth="1" min="7" max="7"/>
    <col width="24" customWidth="1" min="8" max="8"/>
    <col width="14" customWidth="1" min="9" max="9"/>
    <col width="14" customWidth="1" min="10" max="10"/>
    <col width="14" customWidth="1" min="11" max="11"/>
    <col width="14" customWidth="1" min="12" max="12"/>
    <col width="14" customWidth="1" min="13" max="13"/>
    <col width="14" customWidth="1" min="14" max="14"/>
    <col width="14" customWidth="1" min="15" max="15"/>
    <col width="30" customWidth="1" min="16" max="16"/>
    <col width="30" customWidth="1" min="17" max="17"/>
    <col width="14"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22" customHeight="1">
      <c r="A1" s="119">
        <f>HYPERLINK("#'General Information'!D9","◄ General Information")</f>
        <v/>
      </c>
      <c r="B1" s="120">
        <f>HYPERLINK("#Instructions!B9","Instructions")</f>
        <v/>
      </c>
      <c r="G1" s="121" t="inlineStr">
        <is>
          <t>LCCA SUMMARY</t>
        </is>
      </c>
      <c r="W1" s="122" t="inlineStr">
        <is>
          <t>CHART DATA (calculated automatically from the table on the left; do not edit)</t>
        </is>
      </c>
    </row>
    <row r="2">
      <c r="G2" s="123" t="inlineStr">
        <is>
          <t>Everything from this column onward calculates from the alternative worksheets and updates by itself. Columns A:E and "Chart 1" are written by the Alternative Setup form as before.</t>
        </is>
      </c>
    </row>
    <row r="3">
      <c r="A3" s="124" t="inlineStr">
        <is>
          <t>Alternative</t>
        </is>
      </c>
      <c r="B3" s="124" t="inlineStr">
        <is>
          <t>Name</t>
        </is>
      </c>
      <c r="C3" s="124" t="inlineStr">
        <is>
          <t>Initial Construction</t>
        </is>
      </c>
      <c r="D3" s="124" t="inlineStr">
        <is>
          <t>Present Worth</t>
        </is>
      </c>
      <c r="E3" s="124" t="inlineStr">
        <is>
          <t>Alternative Description</t>
        </is>
      </c>
      <c r="G3" s="124" t="inlineStr">
        <is>
          <t>Worksheet</t>
        </is>
      </c>
      <c r="H3" s="124" t="inlineStr">
        <is>
          <t>Alternative</t>
        </is>
      </c>
      <c r="I3" s="124" t="inlineStr">
        <is>
          <t>Type</t>
        </is>
      </c>
      <c r="J3" s="124" t="inlineStr">
        <is>
          <t>Initial construction</t>
        </is>
      </c>
      <c r="K3" s="124" t="inlineStr">
        <is>
          <t>Maintenance PW</t>
        </is>
      </c>
      <c r="L3" s="124" t="inlineStr">
        <is>
          <t>Rehabilitation PW</t>
        </is>
      </c>
      <c r="M3" s="124" t="inlineStr">
        <is>
          <t>Lost revenue PW</t>
        </is>
      </c>
      <c r="N3" s="124" t="inlineStr">
        <is>
          <t>Salvage PW</t>
        </is>
      </c>
      <c r="O3" s="124" t="inlineStr">
        <is>
          <t>Net present worth</t>
        </is>
      </c>
      <c r="P3" s="124" t="inlineStr">
        <is>
          <t>vs. lowest NPW</t>
        </is>
      </c>
      <c r="Q3" s="124" t="inlineStr">
        <is>
          <t>Closure days in period</t>
        </is>
      </c>
      <c r="R3" s="124" t="inlineStr">
        <is>
          <t>Runway availability</t>
        </is>
      </c>
      <c r="W3" s="122" t="inlineStr">
        <is>
          <t>Present worth by category</t>
        </is>
      </c>
    </row>
    <row r="4">
      <c r="G4" s="125">
        <f>IF(INDEX(Database!$D:$D,4)="","",INDEX(Database!$D:$D,4))</f>
        <v/>
      </c>
      <c r="H4" s="125">
        <f>IF($G4="","",INDEX(Database!$A:$A,4))</f>
        <v/>
      </c>
      <c r="I4" s="125">
        <f>IF($G4="","",INDEX(Database!$B:$B,4))</f>
        <v/>
      </c>
      <c r="J4" s="126">
        <f>IF($G4="","",IFERROR(INDEX(INDIRECT("'"&amp;$G4&amp;"'!$G$1:$G$70"),MATCH("Total",INDIRECT("'"&amp;$G4&amp;"'!$A$1:$A$70"),0)),0))</f>
        <v/>
      </c>
      <c r="K4" s="126">
        <f>IF($G4="","",IFERROR(SUMIFS(INDIRECT("'"&amp;$G4&amp;"'!$E$37:$E$52"),INDIRECT("'"&amp;$G4&amp;"'!$B$37:$B$52"),"Maintenance*",INDIRECT("'"&amp;$G4&amp;"'!$B$37:$B$52"),"&lt;&gt;*Indirect*"),0))</f>
        <v/>
      </c>
      <c r="L4" s="126">
        <f>IF($G4="","",IFERROR(SUMIFS(INDIRECT("'"&amp;$G4&amp;"'!$E$37:$E$52"),INDIRECT("'"&amp;$G4&amp;"'!$B$37:$B$52"),"Rehabilitation*",INDIRECT("'"&amp;$G4&amp;"'!$B$37:$B$52"),"&lt;&gt;*Indirect*"),0))</f>
        <v/>
      </c>
      <c r="M4" s="126">
        <f>IF($G4="","",IFERROR(SUMIFS(INDIRECT("'"&amp;$G4&amp;"'!$E$37:$E$52"),INDIRECT("'"&amp;$G4&amp;"'!$B$37:$B$52"),"*Indirect*"),0))</f>
        <v/>
      </c>
      <c r="N4" s="126">
        <f>IF($G4="","",IFERROR(SUMIFS(INDIRECT("'"&amp;$G4&amp;"'!$E$37:$E$52"),INDIRECT("'"&amp;$G4&amp;"'!$B$37:$B$52"),"Salvage*"),0))</f>
        <v/>
      </c>
      <c r="O4" s="126">
        <f>IF($G4="","",IFERROR(INDEX(INDIRECT("'"&amp;$G4&amp;"'!$E$1:$E$70"),MATCH("Net Present Worth",INDIRECT("'"&amp;$G4&amp;"'!$B$1:$B$70"),0)),0))</f>
        <v/>
      </c>
      <c r="P4" s="126">
        <f>IF($G4="","",O4-MIN($O$4:$O$7))</f>
        <v/>
      </c>
      <c r="Q4" s="125">
        <f>IF($G4="","",IF(IFERROR(INDIRECT("'"&amp;$G4&amp;"'!$F$2"),0)&gt;0,SUM($AG$41:$AG$71),IFERROR(SUM(INDIRECT("'"&amp;$G4&amp;"'!$F$4:$F$10")),0)))</f>
        <v/>
      </c>
      <c r="R4" s="127">
        <f>IF($G4="","",1-Q4/('General Information'!$D$33*365))</f>
        <v/>
      </c>
      <c r="W4" s="124" t="inlineStr">
        <is>
          <t>Category</t>
        </is>
      </c>
      <c r="X4" s="124">
        <f>IF($H$4="","Alt "&amp;1,$H$4)</f>
        <v/>
      </c>
      <c r="Y4" s="124">
        <f>IF($H$5="","Alt "&amp;2,$H$5)</f>
        <v/>
      </c>
      <c r="Z4" s="124">
        <f>IF($H$6="","Alt "&amp;3,$H$6)</f>
        <v/>
      </c>
      <c r="AA4" s="124">
        <f>IF($H$7="","Alt "&amp;4,$H$7)</f>
        <v/>
      </c>
    </row>
    <row r="5">
      <c r="G5" s="125">
        <f>IF(INDEX(Database!$D:$D,5)="","",INDEX(Database!$D:$D,5))</f>
        <v/>
      </c>
      <c r="H5" s="125">
        <f>IF($G5="","",INDEX(Database!$A:$A,5))</f>
        <v/>
      </c>
      <c r="I5" s="125">
        <f>IF($G5="","",INDEX(Database!$B:$B,5))</f>
        <v/>
      </c>
      <c r="J5" s="126">
        <f>IF($G5="","",IFERROR(INDEX(INDIRECT("'"&amp;$G5&amp;"'!$G$1:$G$70"),MATCH("Total",INDIRECT("'"&amp;$G5&amp;"'!$A$1:$A$70"),0)),0))</f>
        <v/>
      </c>
      <c r="K5" s="126">
        <f>IF($G5="","",IFERROR(SUMIFS(INDIRECT("'"&amp;$G5&amp;"'!$E$37:$E$52"),INDIRECT("'"&amp;$G5&amp;"'!$B$37:$B$52"),"Maintenance*",INDIRECT("'"&amp;$G5&amp;"'!$B$37:$B$52"),"&lt;&gt;*Indirect*"),0))</f>
        <v/>
      </c>
      <c r="L5" s="126">
        <f>IF($G5="","",IFERROR(SUMIFS(INDIRECT("'"&amp;$G5&amp;"'!$E$37:$E$52"),INDIRECT("'"&amp;$G5&amp;"'!$B$37:$B$52"),"Rehabilitation*",INDIRECT("'"&amp;$G5&amp;"'!$B$37:$B$52"),"&lt;&gt;*Indirect*"),0))</f>
        <v/>
      </c>
      <c r="M5" s="126">
        <f>IF($G5="","",IFERROR(SUMIFS(INDIRECT("'"&amp;$G5&amp;"'!$E$37:$E$52"),INDIRECT("'"&amp;$G5&amp;"'!$B$37:$B$52"),"*Indirect*"),0))</f>
        <v/>
      </c>
      <c r="N5" s="126">
        <f>IF($G5="","",IFERROR(SUMIFS(INDIRECT("'"&amp;$G5&amp;"'!$E$37:$E$52"),INDIRECT("'"&amp;$G5&amp;"'!$B$37:$B$52"),"Salvage*"),0))</f>
        <v/>
      </c>
      <c r="O5" s="126">
        <f>IF($G5="","",IFERROR(INDEX(INDIRECT("'"&amp;$G5&amp;"'!$E$1:$E$70"),MATCH("Net Present Worth",INDIRECT("'"&amp;$G5&amp;"'!$B$1:$B$70"),0)),0))</f>
        <v/>
      </c>
      <c r="P5" s="126">
        <f>IF($G5="","",O5-MIN($O$4:$O$7))</f>
        <v/>
      </c>
      <c r="Q5" s="125">
        <f>IF($G5="","",IF(IFERROR(INDIRECT("'"&amp;$G5&amp;"'!$F$2"),0)&gt;0,SUM($AH$41:$AH$71),IFERROR(SUM(INDIRECT("'"&amp;$G5&amp;"'!$F$4:$F$10")),0)))</f>
        <v/>
      </c>
      <c r="R5" s="127">
        <f>IF($G5="","",1-Q5/('General Information'!$D$33*365))</f>
        <v/>
      </c>
      <c r="W5" s="128" t="inlineStr">
        <is>
          <t>Initial construction</t>
        </is>
      </c>
      <c r="X5" s="129">
        <f>IF(J4="",0,J4)</f>
        <v/>
      </c>
      <c r="Y5" s="129">
        <f>IF(J5="",0,J5)</f>
        <v/>
      </c>
      <c r="Z5" s="129">
        <f>IF(J6="",0,J6)</f>
        <v/>
      </c>
      <c r="AA5" s="129">
        <f>IF(J7="",0,J7)</f>
        <v/>
      </c>
    </row>
    <row r="6">
      <c r="G6" s="125">
        <f>IF(INDEX(Database!$D:$D,6)="","",INDEX(Database!$D:$D,6))</f>
        <v/>
      </c>
      <c r="H6" s="125">
        <f>IF($G6="","",INDEX(Database!$A:$A,6))</f>
        <v/>
      </c>
      <c r="I6" s="125">
        <f>IF($G6="","",INDEX(Database!$B:$B,6))</f>
        <v/>
      </c>
      <c r="J6" s="126">
        <f>IF($G6="","",IFERROR(INDEX(INDIRECT("'"&amp;$G6&amp;"'!$G$1:$G$70"),MATCH("Total",INDIRECT("'"&amp;$G6&amp;"'!$A$1:$A$70"),0)),0))</f>
        <v/>
      </c>
      <c r="K6" s="126">
        <f>IF($G6="","",IFERROR(SUMIFS(INDIRECT("'"&amp;$G6&amp;"'!$E$37:$E$52"),INDIRECT("'"&amp;$G6&amp;"'!$B$37:$B$52"),"Maintenance*",INDIRECT("'"&amp;$G6&amp;"'!$B$37:$B$52"),"&lt;&gt;*Indirect*"),0))</f>
        <v/>
      </c>
      <c r="L6" s="126">
        <f>IF($G6="","",IFERROR(SUMIFS(INDIRECT("'"&amp;$G6&amp;"'!$E$37:$E$52"),INDIRECT("'"&amp;$G6&amp;"'!$B$37:$B$52"),"Rehabilitation*",INDIRECT("'"&amp;$G6&amp;"'!$B$37:$B$52"),"&lt;&gt;*Indirect*"),0))</f>
        <v/>
      </c>
      <c r="M6" s="126">
        <f>IF($G6="","",IFERROR(SUMIFS(INDIRECT("'"&amp;$G6&amp;"'!$E$37:$E$52"),INDIRECT("'"&amp;$G6&amp;"'!$B$37:$B$52"),"*Indirect*"),0))</f>
        <v/>
      </c>
      <c r="N6" s="126">
        <f>IF($G6="","",IFERROR(SUMIFS(INDIRECT("'"&amp;$G6&amp;"'!$E$37:$E$52"),INDIRECT("'"&amp;$G6&amp;"'!$B$37:$B$52"),"Salvage*"),0))</f>
        <v/>
      </c>
      <c r="O6" s="126">
        <f>IF($G6="","",IFERROR(INDEX(INDIRECT("'"&amp;$G6&amp;"'!$E$1:$E$70"),MATCH("Net Present Worth",INDIRECT("'"&amp;$G6&amp;"'!$B$1:$B$70"),0)),0))</f>
        <v/>
      </c>
      <c r="P6" s="126">
        <f>IF($G6="","",O6-MIN($O$4:$O$7))</f>
        <v/>
      </c>
      <c r="Q6" s="125">
        <f>IF($G6="","",IF(IFERROR(INDIRECT("'"&amp;$G6&amp;"'!$F$2"),0)&gt;0,SUM($AI$41:$AI$71),IFERROR(SUM(INDIRECT("'"&amp;$G6&amp;"'!$F$4:$F$10")),0)))</f>
        <v/>
      </c>
      <c r="R6" s="127">
        <f>IF($G6="","",1-Q6/('General Information'!$D$33*365))</f>
        <v/>
      </c>
      <c r="W6" s="128" t="inlineStr">
        <is>
          <t>Maintenance</t>
        </is>
      </c>
      <c r="X6" s="129">
        <f>IF(K4="",0,K4)</f>
        <v/>
      </c>
      <c r="Y6" s="129">
        <f>IF(K5="",0,K5)</f>
        <v/>
      </c>
      <c r="Z6" s="129">
        <f>IF(K6="",0,K6)</f>
        <v/>
      </c>
      <c r="AA6" s="129">
        <f>IF(K7="",0,K7)</f>
        <v/>
      </c>
    </row>
    <row r="7">
      <c r="G7" s="125">
        <f>IF(INDEX(Database!$D:$D,7)="","",INDEX(Database!$D:$D,7))</f>
        <v/>
      </c>
      <c r="H7" s="125">
        <f>IF($G7="","",INDEX(Database!$A:$A,7))</f>
        <v/>
      </c>
      <c r="I7" s="125">
        <f>IF($G7="","",INDEX(Database!$B:$B,7))</f>
        <v/>
      </c>
      <c r="J7" s="126">
        <f>IF($G7="","",IFERROR(INDEX(INDIRECT("'"&amp;$G7&amp;"'!$G$1:$G$70"),MATCH("Total",INDIRECT("'"&amp;$G7&amp;"'!$A$1:$A$70"),0)),0))</f>
        <v/>
      </c>
      <c r="K7" s="126">
        <f>IF($G7="","",IFERROR(SUMIFS(INDIRECT("'"&amp;$G7&amp;"'!$E$37:$E$52"),INDIRECT("'"&amp;$G7&amp;"'!$B$37:$B$52"),"Maintenance*",INDIRECT("'"&amp;$G7&amp;"'!$B$37:$B$52"),"&lt;&gt;*Indirect*"),0))</f>
        <v/>
      </c>
      <c r="L7" s="126">
        <f>IF($G7="","",IFERROR(SUMIFS(INDIRECT("'"&amp;$G7&amp;"'!$E$37:$E$52"),INDIRECT("'"&amp;$G7&amp;"'!$B$37:$B$52"),"Rehabilitation*",INDIRECT("'"&amp;$G7&amp;"'!$B$37:$B$52"),"&lt;&gt;*Indirect*"),0))</f>
        <v/>
      </c>
      <c r="M7" s="126">
        <f>IF($G7="","",IFERROR(SUMIFS(INDIRECT("'"&amp;$G7&amp;"'!$E$37:$E$52"),INDIRECT("'"&amp;$G7&amp;"'!$B$37:$B$52"),"*Indirect*"),0))</f>
        <v/>
      </c>
      <c r="N7" s="126">
        <f>IF($G7="","",IFERROR(SUMIFS(INDIRECT("'"&amp;$G7&amp;"'!$E$37:$E$52"),INDIRECT("'"&amp;$G7&amp;"'!$B$37:$B$52"),"Salvage*"),0))</f>
        <v/>
      </c>
      <c r="O7" s="126">
        <f>IF($G7="","",IFERROR(INDEX(INDIRECT("'"&amp;$G7&amp;"'!$E$1:$E$70"),MATCH("Net Present Worth",INDIRECT("'"&amp;$G7&amp;"'!$B$1:$B$70"),0)),0))</f>
        <v/>
      </c>
      <c r="P7" s="126">
        <f>IF($G7="","",O7-MIN($O$4:$O$7))</f>
        <v/>
      </c>
      <c r="Q7" s="125">
        <f>IF($G7="","",IF(IFERROR(INDIRECT("'"&amp;$G7&amp;"'!$F$2"),0)&gt;0,SUM($AJ$41:$AJ$71),IFERROR(SUM(INDIRECT("'"&amp;$G7&amp;"'!$F$4:$F$10")),0)))</f>
        <v/>
      </c>
      <c r="R7" s="127">
        <f>IF($G7="","",1-Q7/('General Information'!$D$33*365))</f>
        <v/>
      </c>
      <c r="W7" s="128" t="inlineStr">
        <is>
          <t>Rehabilitation</t>
        </is>
      </c>
      <c r="X7" s="129">
        <f>IF(L4="",0,L4)</f>
        <v/>
      </c>
      <c r="Y7" s="129">
        <f>IF(L5="",0,L5)</f>
        <v/>
      </c>
      <c r="Z7" s="129">
        <f>IF(L6="",0,L6)</f>
        <v/>
      </c>
      <c r="AA7" s="129">
        <f>IF(L7="",0,L7)</f>
        <v/>
      </c>
    </row>
    <row r="8">
      <c r="W8" s="128" t="inlineStr">
        <is>
          <t>Lost revenue</t>
        </is>
      </c>
      <c r="X8" s="129">
        <f>IF(M4="",0,M4)</f>
        <v/>
      </c>
      <c r="Y8" s="129">
        <f>IF(M5="",0,M5)</f>
        <v/>
      </c>
      <c r="Z8" s="129">
        <f>IF(M6="",0,M6)</f>
        <v/>
      </c>
      <c r="AA8" s="129">
        <f>IF(M7="",0,M7)</f>
        <v/>
      </c>
    </row>
    <row r="9">
      <c r="G9" s="130">
        <f>IF(COUNT($O$4:$O$7)=0,"No alternatives yet. Go to General Information and click Alternative Setup.","Lowest present worth: "&amp;INDEX($H$4:$H$7,MATCH(MIN($O$4:$O$7),$O$4:$O$7,0))&amp;IF(COUNT($O$4:$O$7)&lt;2,"   |   only one alternative so far",IF(SMALL($O$4:$O$7,2)=MIN($O$4:$O$7),"   |   tied with the next alternative","   |   margin to next: "&amp;TEXT(SMALL($O$4:$O$7,2)-MIN($O$4:$O$7),"$#,##0")))&amp;"   |   "&amp;'General Information'!$D$34&amp;"% over "&amp;'General Information'!$D$33&amp;" years   |   lost revenue: "&amp;'General Information'!$D$38)</f>
        <v/>
      </c>
      <c r="H9" s="131" t="n"/>
      <c r="I9" s="131" t="n"/>
      <c r="J9" s="131" t="n"/>
      <c r="K9" s="131" t="n"/>
      <c r="L9" s="131" t="n"/>
      <c r="M9" s="131" t="n"/>
      <c r="N9" s="131" t="n"/>
      <c r="O9" s="131" t="n"/>
      <c r="P9" s="131" t="n"/>
      <c r="Q9" s="131" t="n"/>
      <c r="R9" s="131" t="n"/>
      <c r="W9" s="128" t="inlineStr">
        <is>
          <t>Salvage</t>
        </is>
      </c>
      <c r="X9" s="129">
        <f>IF(N4="",0,N4)</f>
        <v/>
      </c>
      <c r="Y9" s="129">
        <f>IF(N5="",0,N5)</f>
        <v/>
      </c>
      <c r="Z9" s="129">
        <f>IF(N6="",0,N6)</f>
        <v/>
      </c>
      <c r="AA9" s="129">
        <f>IF(N7="",0,N7)</f>
        <v/>
      </c>
    </row>
    <row r="10">
      <c r="G10" s="123">
        <f>IF(COUNT($O$4:$O$7)&lt;2,"",IF(INDEX($H$4:$H$7,MATCH(MIN($O$4:$O$7),$O$4:$O$7,0))=INDEX($H$4:$H$7,MATCH(SMALL($X$12:$AA$12,COUNTIF($X$12:$AA$12,0)+1),$X$12:$AA$12,0)),"Same lowest-cost alternative at 2% (OMB A-94 real rate, FAA PGL 22-01)","At 2% (OMB A-94 real rate, FAA PGL 22-01) the lowest-cost alternative changes")&amp;"   |   "&amp;IF(INDEX($H$4:$H$7,MATCH(MIN($O$4:$O$7),$O$4:$O$7,0))=INDEX($H$4:$H$7,MATCH(SMALL($X$32:$AA$32,COUNTIF($X$32:$AA$32,0)+1),$X$32:$AA$32,0)),"same at 7% (pre-2022 AIP rule)","changes at 7% (pre-2022 AIP rule): see chart 2"))</f>
        <v/>
      </c>
      <c r="W10" s="122" t="inlineStr">
        <is>
          <t>Net present worth vs. discount rate</t>
        </is>
      </c>
    </row>
    <row r="11">
      <c r="W11" s="124" t="inlineStr">
        <is>
          <t>Rate (%)</t>
        </is>
      </c>
      <c r="X11" s="124">
        <f>X$4</f>
        <v/>
      </c>
      <c r="Y11" s="124">
        <f>Y$4</f>
        <v/>
      </c>
      <c r="Z11" s="124">
        <f>Z$4</f>
        <v/>
      </c>
      <c r="AA11" s="124">
        <f>AA$4</f>
        <v/>
      </c>
    </row>
    <row r="12">
      <c r="G12" s="121" t="inlineStr">
        <is>
          <t>COMPARISON  (RealCost layout: agency cost, user cost, total; present worth and equivalent uniform annual cost)</t>
        </is>
      </c>
      <c r="W12" s="132" t="n">
        <v>2</v>
      </c>
      <c r="X12" s="129">
        <f>IF($G$4="",0,IFERROR($J$4+SUMPRODUCT((INDIRECT("'"&amp;$G$4&amp;"'!$C$37:$C$52")&lt;='General Information'!$D$33)*INDIRECT("'"&amp;$G$4&amp;"'!$D$37:$D$52")/(1+$W12/100)^INDIRECT("'"&amp;$G$4&amp;"'!$C$37:$C$52")),0))</f>
        <v/>
      </c>
      <c r="Y12" s="129">
        <f>IF($G$5="",0,IFERROR($J$5+SUMPRODUCT((INDIRECT("'"&amp;$G$5&amp;"'!$C$37:$C$52")&lt;='General Information'!$D$33)*INDIRECT("'"&amp;$G$5&amp;"'!$D$37:$D$52")/(1+$W12/100)^INDIRECT("'"&amp;$G$5&amp;"'!$C$37:$C$52")),0))</f>
        <v/>
      </c>
      <c r="Z12" s="129">
        <f>IF($G$6="",0,IFERROR($J$6+SUMPRODUCT((INDIRECT("'"&amp;$G$6&amp;"'!$C$37:$C$52")&lt;='General Information'!$D$33)*INDIRECT("'"&amp;$G$6&amp;"'!$D$37:$D$52")/(1+$W12/100)^INDIRECT("'"&amp;$G$6&amp;"'!$C$37:$C$52")),0))</f>
        <v/>
      </c>
      <c r="AA12" s="129">
        <f>IF($G$7="",0,IFERROR($J$7+SUMPRODUCT((INDIRECT("'"&amp;$G$7&amp;"'!$C$37:$C$52")&lt;='General Information'!$D$33)*INDIRECT("'"&amp;$G$7&amp;"'!$D$37:$D$52")/(1+$W12/100)^INDIRECT("'"&amp;$G$7&amp;"'!$C$37:$C$52")),0))</f>
        <v/>
      </c>
    </row>
    <row r="13" ht="27" customHeight="1">
      <c r="G13" s="124" t="inlineStr">
        <is>
          <t>Alternative</t>
        </is>
      </c>
      <c r="H13" s="124" t="inlineStr">
        <is>
          <t>Agency cost PW</t>
        </is>
      </c>
      <c r="I13" s="124" t="inlineStr">
        <is>
          <t>Agency EUAC</t>
        </is>
      </c>
      <c r="J13" s="124" t="inlineStr">
        <is>
          <t>User cost PW (lost revenue)</t>
        </is>
      </c>
      <c r="K13" s="124" t="inlineStr">
        <is>
          <t>User EUAC</t>
        </is>
      </c>
      <c r="L13" s="124" t="inlineStr">
        <is>
          <t>Total PW</t>
        </is>
      </c>
      <c r="M13" s="124" t="inlineStr">
        <is>
          <t>Total EUAC</t>
        </is>
      </c>
      <c r="N13" s="124" t="inlineStr">
        <is>
          <t>vs. lowest ($)</t>
        </is>
      </c>
      <c r="O13" s="124" t="inlineStr">
        <is>
          <t>vs. lowest (%)</t>
        </is>
      </c>
      <c r="P13" s="124" t="inlineStr">
        <is>
          <t>Lowest?</t>
        </is>
      </c>
      <c r="W13" s="132" t="n">
        <v>2.25</v>
      </c>
      <c r="X13" s="129">
        <f>IF($G$4="",0,IFERROR($J$4+SUMPRODUCT((INDIRECT("'"&amp;$G$4&amp;"'!$C$37:$C$52")&lt;='General Information'!$D$33)*INDIRECT("'"&amp;$G$4&amp;"'!$D$37:$D$52")/(1+$W13/100)^INDIRECT("'"&amp;$G$4&amp;"'!$C$37:$C$52")),0))</f>
        <v/>
      </c>
      <c r="Y13" s="129">
        <f>IF($G$5="",0,IFERROR($J$5+SUMPRODUCT((INDIRECT("'"&amp;$G$5&amp;"'!$C$37:$C$52")&lt;='General Information'!$D$33)*INDIRECT("'"&amp;$G$5&amp;"'!$D$37:$D$52")/(1+$W13/100)^INDIRECT("'"&amp;$G$5&amp;"'!$C$37:$C$52")),0))</f>
        <v/>
      </c>
      <c r="Z13" s="129">
        <f>IF($G$6="",0,IFERROR($J$6+SUMPRODUCT((INDIRECT("'"&amp;$G$6&amp;"'!$C$37:$C$52")&lt;='General Information'!$D$33)*INDIRECT("'"&amp;$G$6&amp;"'!$D$37:$D$52")/(1+$W13/100)^INDIRECT("'"&amp;$G$6&amp;"'!$C$37:$C$52")),0))</f>
        <v/>
      </c>
      <c r="AA13" s="129">
        <f>IF($G$7="",0,IFERROR($J$7+SUMPRODUCT((INDIRECT("'"&amp;$G$7&amp;"'!$C$37:$C$52")&lt;='General Information'!$D$33)*INDIRECT("'"&amp;$G$7&amp;"'!$D$37:$D$52")/(1+$W13/100)^INDIRECT("'"&amp;$G$7&amp;"'!$C$37:$C$52")),0))</f>
        <v/>
      </c>
    </row>
    <row r="14">
      <c r="G14" s="125">
        <f>IF($G$4="","",$H$4)</f>
        <v/>
      </c>
      <c r="H14" s="126">
        <f>IF($G$4="","",$J$4+$K$4+$L$4+$N$4)</f>
        <v/>
      </c>
      <c r="I14" s="126">
        <f>IF($G$4="","",H14*(('General Information'!$D$34/100)*(1+'General Information'!$D$34/100)^'General Information'!$D$33/((1+'General Information'!$D$34/100)^'General Information'!$D$33-1)))</f>
        <v/>
      </c>
      <c r="J14" s="126">
        <f>IF($G$4="","",$M$4)</f>
        <v/>
      </c>
      <c r="K14" s="126">
        <f>IF($G$4="","",J14*(('General Information'!$D$34/100)*(1+'General Information'!$D$34/100)^'General Information'!$D$33/((1+'General Information'!$D$34/100)^'General Information'!$D$33-1)))</f>
        <v/>
      </c>
      <c r="L14" s="126">
        <f>IF($G$4="","",$O$4)</f>
        <v/>
      </c>
      <c r="M14" s="126">
        <f>IF($G$4="","",L14*(('General Information'!$D$34/100)*(1+'General Information'!$D$34/100)^'General Information'!$D$33/((1+'General Information'!$D$34/100)^'General Information'!$D$33-1)))</f>
        <v/>
      </c>
      <c r="N14" s="126">
        <f>IF($G$4="","",$P$4)</f>
        <v/>
      </c>
      <c r="O14" s="133">
        <f>IF($G$4="","",IFERROR($P$4/MIN($O$4:$O$7),0))</f>
        <v/>
      </c>
      <c r="P14" s="125">
        <f>IF($G$4="","",IF($O$4=MIN($O$4:$O$7),"lowest",""))</f>
        <v/>
      </c>
      <c r="W14" s="132" t="n">
        <v>2.5</v>
      </c>
      <c r="X14" s="129">
        <f>IF($G$4="",0,IFERROR($J$4+SUMPRODUCT((INDIRECT("'"&amp;$G$4&amp;"'!$C$37:$C$52")&lt;='General Information'!$D$33)*INDIRECT("'"&amp;$G$4&amp;"'!$D$37:$D$52")/(1+$W14/100)^INDIRECT("'"&amp;$G$4&amp;"'!$C$37:$C$52")),0))</f>
        <v/>
      </c>
      <c r="Y14" s="129">
        <f>IF($G$5="",0,IFERROR($J$5+SUMPRODUCT((INDIRECT("'"&amp;$G$5&amp;"'!$C$37:$C$52")&lt;='General Information'!$D$33)*INDIRECT("'"&amp;$G$5&amp;"'!$D$37:$D$52")/(1+$W14/100)^INDIRECT("'"&amp;$G$5&amp;"'!$C$37:$C$52")),0))</f>
        <v/>
      </c>
      <c r="Z14" s="129">
        <f>IF($G$6="",0,IFERROR($J$6+SUMPRODUCT((INDIRECT("'"&amp;$G$6&amp;"'!$C$37:$C$52")&lt;='General Information'!$D$33)*INDIRECT("'"&amp;$G$6&amp;"'!$D$37:$D$52")/(1+$W14/100)^INDIRECT("'"&amp;$G$6&amp;"'!$C$37:$C$52")),0))</f>
        <v/>
      </c>
      <c r="AA14" s="129">
        <f>IF($G$7="",0,IFERROR($J$7+SUMPRODUCT((INDIRECT("'"&amp;$G$7&amp;"'!$C$37:$C$52")&lt;='General Information'!$D$33)*INDIRECT("'"&amp;$G$7&amp;"'!$D$37:$D$52")/(1+$W14/100)^INDIRECT("'"&amp;$G$7&amp;"'!$C$37:$C$52")),0))</f>
        <v/>
      </c>
    </row>
    <row r="15">
      <c r="G15" s="125">
        <f>IF($G$5="","",$H$5)</f>
        <v/>
      </c>
      <c r="H15" s="126">
        <f>IF($G$5="","",$J$5+$K$5+$L$5+$N$5)</f>
        <v/>
      </c>
      <c r="I15" s="126">
        <f>IF($G$5="","",H15*(('General Information'!$D$34/100)*(1+'General Information'!$D$34/100)^'General Information'!$D$33/((1+'General Information'!$D$34/100)^'General Information'!$D$33-1)))</f>
        <v/>
      </c>
      <c r="J15" s="126">
        <f>IF($G$5="","",$M$5)</f>
        <v/>
      </c>
      <c r="K15" s="126">
        <f>IF($G$5="","",J15*(('General Information'!$D$34/100)*(1+'General Information'!$D$34/100)^'General Information'!$D$33/((1+'General Information'!$D$34/100)^'General Information'!$D$33-1)))</f>
        <v/>
      </c>
      <c r="L15" s="126">
        <f>IF($G$5="","",$O$5)</f>
        <v/>
      </c>
      <c r="M15" s="126">
        <f>IF($G$5="","",L15*(('General Information'!$D$34/100)*(1+'General Information'!$D$34/100)^'General Information'!$D$33/((1+'General Information'!$D$34/100)^'General Information'!$D$33-1)))</f>
        <v/>
      </c>
      <c r="N15" s="126">
        <f>IF($G$5="","",$P$5)</f>
        <v/>
      </c>
      <c r="O15" s="133">
        <f>IF($G$5="","",IFERROR($P$5/MIN($O$4:$O$7),0))</f>
        <v/>
      </c>
      <c r="P15" s="125">
        <f>IF($G$5="","",IF($O$5=MIN($O$4:$O$7),"lowest",""))</f>
        <v/>
      </c>
      <c r="W15" s="132" t="n">
        <v>2.75</v>
      </c>
      <c r="X15" s="129">
        <f>IF($G$4="",0,IFERROR($J$4+SUMPRODUCT((INDIRECT("'"&amp;$G$4&amp;"'!$C$37:$C$52")&lt;='General Information'!$D$33)*INDIRECT("'"&amp;$G$4&amp;"'!$D$37:$D$52")/(1+$W15/100)^INDIRECT("'"&amp;$G$4&amp;"'!$C$37:$C$52")),0))</f>
        <v/>
      </c>
      <c r="Y15" s="129">
        <f>IF($G$5="",0,IFERROR($J$5+SUMPRODUCT((INDIRECT("'"&amp;$G$5&amp;"'!$C$37:$C$52")&lt;='General Information'!$D$33)*INDIRECT("'"&amp;$G$5&amp;"'!$D$37:$D$52")/(1+$W15/100)^INDIRECT("'"&amp;$G$5&amp;"'!$C$37:$C$52")),0))</f>
        <v/>
      </c>
      <c r="Z15" s="129">
        <f>IF($G$6="",0,IFERROR($J$6+SUMPRODUCT((INDIRECT("'"&amp;$G$6&amp;"'!$C$37:$C$52")&lt;='General Information'!$D$33)*INDIRECT("'"&amp;$G$6&amp;"'!$D$37:$D$52")/(1+$W15/100)^INDIRECT("'"&amp;$G$6&amp;"'!$C$37:$C$52")),0))</f>
        <v/>
      </c>
      <c r="AA15" s="129">
        <f>IF($G$7="",0,IFERROR($J$7+SUMPRODUCT((INDIRECT("'"&amp;$G$7&amp;"'!$C$37:$C$52")&lt;='General Information'!$D$33)*INDIRECT("'"&amp;$G$7&amp;"'!$D$37:$D$52")/(1+$W15/100)^INDIRECT("'"&amp;$G$7&amp;"'!$C$37:$C$52")),0))</f>
        <v/>
      </c>
    </row>
    <row r="16">
      <c r="G16" s="125">
        <f>IF($G$6="","",$H$6)</f>
        <v/>
      </c>
      <c r="H16" s="126">
        <f>IF($G$6="","",$J$6+$K$6+$L$6+$N$6)</f>
        <v/>
      </c>
      <c r="I16" s="126">
        <f>IF($G$6="","",H16*(('General Information'!$D$34/100)*(1+'General Information'!$D$34/100)^'General Information'!$D$33/((1+'General Information'!$D$34/100)^'General Information'!$D$33-1)))</f>
        <v/>
      </c>
      <c r="J16" s="126">
        <f>IF($G$6="","",$M$6)</f>
        <v/>
      </c>
      <c r="K16" s="126">
        <f>IF($G$6="","",J16*(('General Information'!$D$34/100)*(1+'General Information'!$D$34/100)^'General Information'!$D$33/((1+'General Information'!$D$34/100)^'General Information'!$D$33-1)))</f>
        <v/>
      </c>
      <c r="L16" s="126">
        <f>IF($G$6="","",$O$6)</f>
        <v/>
      </c>
      <c r="M16" s="126">
        <f>IF($G$6="","",L16*(('General Information'!$D$34/100)*(1+'General Information'!$D$34/100)^'General Information'!$D$33/((1+'General Information'!$D$34/100)^'General Information'!$D$33-1)))</f>
        <v/>
      </c>
      <c r="N16" s="126">
        <f>IF($G$6="","",$P$6)</f>
        <v/>
      </c>
      <c r="O16" s="133">
        <f>IF($G$6="","",IFERROR($P$6/MIN($O$4:$O$7),0))</f>
        <v/>
      </c>
      <c r="P16" s="125">
        <f>IF($G$6="","",IF($O$6=MIN($O$4:$O$7),"lowest",""))</f>
        <v/>
      </c>
      <c r="W16" s="132" t="n">
        <v>3</v>
      </c>
      <c r="X16" s="129">
        <f>IF($G$4="",0,IFERROR($J$4+SUMPRODUCT((INDIRECT("'"&amp;$G$4&amp;"'!$C$37:$C$52")&lt;='General Information'!$D$33)*INDIRECT("'"&amp;$G$4&amp;"'!$D$37:$D$52")/(1+$W16/100)^INDIRECT("'"&amp;$G$4&amp;"'!$C$37:$C$52")),0))</f>
        <v/>
      </c>
      <c r="Y16" s="129">
        <f>IF($G$5="",0,IFERROR($J$5+SUMPRODUCT((INDIRECT("'"&amp;$G$5&amp;"'!$C$37:$C$52")&lt;='General Information'!$D$33)*INDIRECT("'"&amp;$G$5&amp;"'!$D$37:$D$52")/(1+$W16/100)^INDIRECT("'"&amp;$G$5&amp;"'!$C$37:$C$52")),0))</f>
        <v/>
      </c>
      <c r="Z16" s="129">
        <f>IF($G$6="",0,IFERROR($J$6+SUMPRODUCT((INDIRECT("'"&amp;$G$6&amp;"'!$C$37:$C$52")&lt;='General Information'!$D$33)*INDIRECT("'"&amp;$G$6&amp;"'!$D$37:$D$52")/(1+$W16/100)^INDIRECT("'"&amp;$G$6&amp;"'!$C$37:$C$52")),0))</f>
        <v/>
      </c>
      <c r="AA16" s="129">
        <f>IF($G$7="",0,IFERROR($J$7+SUMPRODUCT((INDIRECT("'"&amp;$G$7&amp;"'!$C$37:$C$52")&lt;='General Information'!$D$33)*INDIRECT("'"&amp;$G$7&amp;"'!$D$37:$D$52")/(1+$W16/100)^INDIRECT("'"&amp;$G$7&amp;"'!$C$37:$C$52")),0))</f>
        <v/>
      </c>
    </row>
    <row r="17">
      <c r="G17" s="125">
        <f>IF($G$7="","",$H$7)</f>
        <v/>
      </c>
      <c r="H17" s="126">
        <f>IF($G$7="","",$J$7+$K$7+$L$7+$N$7)</f>
        <v/>
      </c>
      <c r="I17" s="126">
        <f>IF($G$7="","",H17*(('General Information'!$D$34/100)*(1+'General Information'!$D$34/100)^'General Information'!$D$33/((1+'General Information'!$D$34/100)^'General Information'!$D$33-1)))</f>
        <v/>
      </c>
      <c r="J17" s="126">
        <f>IF($G$7="","",$M$7)</f>
        <v/>
      </c>
      <c r="K17" s="126">
        <f>IF($G$7="","",J17*(('General Information'!$D$34/100)*(1+'General Information'!$D$34/100)^'General Information'!$D$33/((1+'General Information'!$D$34/100)^'General Information'!$D$33-1)))</f>
        <v/>
      </c>
      <c r="L17" s="126">
        <f>IF($G$7="","",$O$7)</f>
        <v/>
      </c>
      <c r="M17" s="126">
        <f>IF($G$7="","",L17*(('General Information'!$D$34/100)*(1+'General Information'!$D$34/100)^'General Information'!$D$33/((1+'General Information'!$D$34/100)^'General Information'!$D$33-1)))</f>
        <v/>
      </c>
      <c r="N17" s="126">
        <f>IF($G$7="","",$P$7)</f>
        <v/>
      </c>
      <c r="O17" s="133">
        <f>IF($G$7="","",IFERROR($P$7/MIN($O$4:$O$7),0))</f>
        <v/>
      </c>
      <c r="P17" s="125">
        <f>IF($G$7="","",IF($O$7=MIN($O$4:$O$7),"lowest",""))</f>
        <v/>
      </c>
      <c r="W17" s="132" t="n">
        <v>3.25</v>
      </c>
      <c r="X17" s="129">
        <f>IF($G$4="",0,IFERROR($J$4+SUMPRODUCT((INDIRECT("'"&amp;$G$4&amp;"'!$C$37:$C$52")&lt;='General Information'!$D$33)*INDIRECT("'"&amp;$G$4&amp;"'!$D$37:$D$52")/(1+$W17/100)^INDIRECT("'"&amp;$G$4&amp;"'!$C$37:$C$52")),0))</f>
        <v/>
      </c>
      <c r="Y17" s="129">
        <f>IF($G$5="",0,IFERROR($J$5+SUMPRODUCT((INDIRECT("'"&amp;$G$5&amp;"'!$C$37:$C$52")&lt;='General Information'!$D$33)*INDIRECT("'"&amp;$G$5&amp;"'!$D$37:$D$52")/(1+$W17/100)^INDIRECT("'"&amp;$G$5&amp;"'!$C$37:$C$52")),0))</f>
        <v/>
      </c>
      <c r="Z17" s="129">
        <f>IF($G$6="",0,IFERROR($J$6+SUMPRODUCT((INDIRECT("'"&amp;$G$6&amp;"'!$C$37:$C$52")&lt;='General Information'!$D$33)*INDIRECT("'"&amp;$G$6&amp;"'!$D$37:$D$52")/(1+$W17/100)^INDIRECT("'"&amp;$G$6&amp;"'!$C$37:$C$52")),0))</f>
        <v/>
      </c>
      <c r="AA17" s="129">
        <f>IF($G$7="",0,IFERROR($J$7+SUMPRODUCT((INDIRECT("'"&amp;$G$7&amp;"'!$C$37:$C$52")&lt;='General Information'!$D$33)*INDIRECT("'"&amp;$G$7&amp;"'!$D$37:$D$52")/(1+$W17/100)^INDIRECT("'"&amp;$G$7&amp;"'!$C$37:$C$52")),0))</f>
        <v/>
      </c>
    </row>
    <row r="18">
      <c r="G18" s="123"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W18" s="132" t="n">
        <v>3.5</v>
      </c>
      <c r="X18" s="129">
        <f>IF($G$4="",0,IFERROR($J$4+SUMPRODUCT((INDIRECT("'"&amp;$G$4&amp;"'!$C$37:$C$52")&lt;='General Information'!$D$33)*INDIRECT("'"&amp;$G$4&amp;"'!$D$37:$D$52")/(1+$W18/100)^INDIRECT("'"&amp;$G$4&amp;"'!$C$37:$C$52")),0))</f>
        <v/>
      </c>
      <c r="Y18" s="129">
        <f>IF($G$5="",0,IFERROR($J$5+SUMPRODUCT((INDIRECT("'"&amp;$G$5&amp;"'!$C$37:$C$52")&lt;='General Information'!$D$33)*INDIRECT("'"&amp;$G$5&amp;"'!$D$37:$D$52")/(1+$W18/100)^INDIRECT("'"&amp;$G$5&amp;"'!$C$37:$C$52")),0))</f>
        <v/>
      </c>
      <c r="Z18" s="129">
        <f>IF($G$6="",0,IFERROR($J$6+SUMPRODUCT((INDIRECT("'"&amp;$G$6&amp;"'!$C$37:$C$52")&lt;='General Information'!$D$33)*INDIRECT("'"&amp;$G$6&amp;"'!$D$37:$D$52")/(1+$W18/100)^INDIRECT("'"&amp;$G$6&amp;"'!$C$37:$C$52")),0))</f>
        <v/>
      </c>
      <c r="AA18" s="129">
        <f>IF($G$7="",0,IFERROR($J$7+SUMPRODUCT((INDIRECT("'"&amp;$G$7&amp;"'!$C$37:$C$52")&lt;='General Information'!$D$33)*INDIRECT("'"&amp;$G$7&amp;"'!$D$37:$D$52")/(1+$W18/100)^INDIRECT("'"&amp;$G$7&amp;"'!$C$37:$C$52")),0))</f>
        <v/>
      </c>
    </row>
    <row r="19">
      <c r="W19" s="132" t="n">
        <v>3.75</v>
      </c>
      <c r="X19" s="129">
        <f>IF($G$4="",0,IFERROR($J$4+SUMPRODUCT((INDIRECT("'"&amp;$G$4&amp;"'!$C$37:$C$52")&lt;='General Information'!$D$33)*INDIRECT("'"&amp;$G$4&amp;"'!$D$37:$D$52")/(1+$W19/100)^INDIRECT("'"&amp;$G$4&amp;"'!$C$37:$C$52")),0))</f>
        <v/>
      </c>
      <c r="Y19" s="129">
        <f>IF($G$5="",0,IFERROR($J$5+SUMPRODUCT((INDIRECT("'"&amp;$G$5&amp;"'!$C$37:$C$52")&lt;='General Information'!$D$33)*INDIRECT("'"&amp;$G$5&amp;"'!$D$37:$D$52")/(1+$W19/100)^INDIRECT("'"&amp;$G$5&amp;"'!$C$37:$C$52")),0))</f>
        <v/>
      </c>
      <c r="Z19" s="129">
        <f>IF($G$6="",0,IFERROR($J$6+SUMPRODUCT((INDIRECT("'"&amp;$G$6&amp;"'!$C$37:$C$52")&lt;='General Information'!$D$33)*INDIRECT("'"&amp;$G$6&amp;"'!$D$37:$D$52")/(1+$W19/100)^INDIRECT("'"&amp;$G$6&amp;"'!$C$37:$C$52")),0))</f>
        <v/>
      </c>
      <c r="AA19" s="129">
        <f>IF($G$7="",0,IFERROR($J$7+SUMPRODUCT((INDIRECT("'"&amp;$G$7&amp;"'!$C$37:$C$52")&lt;='General Information'!$D$33)*INDIRECT("'"&amp;$G$7&amp;"'!$D$37:$D$52")/(1+$W19/100)^INDIRECT("'"&amp;$G$7&amp;"'!$C$37:$C$52")),0))</f>
        <v/>
      </c>
    </row>
    <row r="20">
      <c r="G20" s="121" t="inlineStr">
        <is>
          <t>CHARTS</t>
        </is>
      </c>
      <c r="W20" s="132" t="n">
        <v>4</v>
      </c>
      <c r="X20" s="129">
        <f>IF($G$4="",0,IFERROR($J$4+SUMPRODUCT((INDIRECT("'"&amp;$G$4&amp;"'!$C$37:$C$52")&lt;='General Information'!$D$33)*INDIRECT("'"&amp;$G$4&amp;"'!$D$37:$D$52")/(1+$W20/100)^INDIRECT("'"&amp;$G$4&amp;"'!$C$37:$C$52")),0))</f>
        <v/>
      </c>
      <c r="Y20" s="129">
        <f>IF($G$5="",0,IFERROR($J$5+SUMPRODUCT((INDIRECT("'"&amp;$G$5&amp;"'!$C$37:$C$52")&lt;='General Information'!$D$33)*INDIRECT("'"&amp;$G$5&amp;"'!$D$37:$D$52")/(1+$W20/100)^INDIRECT("'"&amp;$G$5&amp;"'!$C$37:$C$52")),0))</f>
        <v/>
      </c>
      <c r="Z20" s="129">
        <f>IF($G$6="",0,IFERROR($J$6+SUMPRODUCT((INDIRECT("'"&amp;$G$6&amp;"'!$C$37:$C$52")&lt;='General Information'!$D$33)*INDIRECT("'"&amp;$G$6&amp;"'!$D$37:$D$52")/(1+$W20/100)^INDIRECT("'"&amp;$G$6&amp;"'!$C$37:$C$52")),0))</f>
        <v/>
      </c>
      <c r="AA20" s="129">
        <f>IF($G$7="",0,IFERROR($J$7+SUMPRODUCT((INDIRECT("'"&amp;$G$7&amp;"'!$C$37:$C$52")&lt;='General Information'!$D$33)*INDIRECT("'"&amp;$G$7&amp;"'!$D$37:$D$52")/(1+$W20/100)^INDIRECT("'"&amp;$G$7&amp;"'!$C$37:$C$52")),0))</f>
        <v/>
      </c>
    </row>
    <row r="21">
      <c r="W21" s="132" t="n">
        <v>4.25</v>
      </c>
      <c r="X21" s="129">
        <f>IF($G$4="",0,IFERROR($J$4+SUMPRODUCT((INDIRECT("'"&amp;$G$4&amp;"'!$C$37:$C$52")&lt;='General Information'!$D$33)*INDIRECT("'"&amp;$G$4&amp;"'!$D$37:$D$52")/(1+$W21/100)^INDIRECT("'"&amp;$G$4&amp;"'!$C$37:$C$52")),0))</f>
        <v/>
      </c>
      <c r="Y21" s="129">
        <f>IF($G$5="",0,IFERROR($J$5+SUMPRODUCT((INDIRECT("'"&amp;$G$5&amp;"'!$C$37:$C$52")&lt;='General Information'!$D$33)*INDIRECT("'"&amp;$G$5&amp;"'!$D$37:$D$52")/(1+$W21/100)^INDIRECT("'"&amp;$G$5&amp;"'!$C$37:$C$52")),0))</f>
        <v/>
      </c>
      <c r="Z21" s="129">
        <f>IF($G$6="",0,IFERROR($J$6+SUMPRODUCT((INDIRECT("'"&amp;$G$6&amp;"'!$C$37:$C$52")&lt;='General Information'!$D$33)*INDIRECT("'"&amp;$G$6&amp;"'!$D$37:$D$52")/(1+$W21/100)^INDIRECT("'"&amp;$G$6&amp;"'!$C$37:$C$52")),0))</f>
        <v/>
      </c>
      <c r="AA21" s="129">
        <f>IF($G$7="",0,IFERROR($J$7+SUMPRODUCT((INDIRECT("'"&amp;$G$7&amp;"'!$C$37:$C$52")&lt;='General Information'!$D$33)*INDIRECT("'"&amp;$G$7&amp;"'!$D$37:$D$52")/(1+$W21/100)^INDIRECT("'"&amp;$G$7&amp;"'!$C$37:$C$52")),0))</f>
        <v/>
      </c>
    </row>
    <row r="22">
      <c r="W22" s="132" t="n">
        <v>4.5</v>
      </c>
      <c r="X22" s="129">
        <f>IF($G$4="",0,IFERROR($J$4+SUMPRODUCT((INDIRECT("'"&amp;$G$4&amp;"'!$C$37:$C$52")&lt;='General Information'!$D$33)*INDIRECT("'"&amp;$G$4&amp;"'!$D$37:$D$52")/(1+$W22/100)^INDIRECT("'"&amp;$G$4&amp;"'!$C$37:$C$52")),0))</f>
        <v/>
      </c>
      <c r="Y22" s="129">
        <f>IF($G$5="",0,IFERROR($J$5+SUMPRODUCT((INDIRECT("'"&amp;$G$5&amp;"'!$C$37:$C$52")&lt;='General Information'!$D$33)*INDIRECT("'"&amp;$G$5&amp;"'!$D$37:$D$52")/(1+$W22/100)^INDIRECT("'"&amp;$G$5&amp;"'!$C$37:$C$52")),0))</f>
        <v/>
      </c>
      <c r="Z22" s="129">
        <f>IF($G$6="",0,IFERROR($J$6+SUMPRODUCT((INDIRECT("'"&amp;$G$6&amp;"'!$C$37:$C$52")&lt;='General Information'!$D$33)*INDIRECT("'"&amp;$G$6&amp;"'!$D$37:$D$52")/(1+$W22/100)^INDIRECT("'"&amp;$G$6&amp;"'!$C$37:$C$52")),0))</f>
        <v/>
      </c>
      <c r="AA22" s="129">
        <f>IF($G$7="",0,IFERROR($J$7+SUMPRODUCT((INDIRECT("'"&amp;$G$7&amp;"'!$C$37:$C$52")&lt;='General Information'!$D$33)*INDIRECT("'"&amp;$G$7&amp;"'!$D$37:$D$52")/(1+$W22/100)^INDIRECT("'"&amp;$G$7&amp;"'!$C$37:$C$52")),0))</f>
        <v/>
      </c>
    </row>
    <row r="23">
      <c r="W23" s="132" t="n">
        <v>4.75</v>
      </c>
      <c r="X23" s="129">
        <f>IF($G$4="",0,IFERROR($J$4+SUMPRODUCT((INDIRECT("'"&amp;$G$4&amp;"'!$C$37:$C$52")&lt;='General Information'!$D$33)*INDIRECT("'"&amp;$G$4&amp;"'!$D$37:$D$52")/(1+$W23/100)^INDIRECT("'"&amp;$G$4&amp;"'!$C$37:$C$52")),0))</f>
        <v/>
      </c>
      <c r="Y23" s="129">
        <f>IF($G$5="",0,IFERROR($J$5+SUMPRODUCT((INDIRECT("'"&amp;$G$5&amp;"'!$C$37:$C$52")&lt;='General Information'!$D$33)*INDIRECT("'"&amp;$G$5&amp;"'!$D$37:$D$52")/(1+$W23/100)^INDIRECT("'"&amp;$G$5&amp;"'!$C$37:$C$52")),0))</f>
        <v/>
      </c>
      <c r="Z23" s="129">
        <f>IF($G$6="",0,IFERROR($J$6+SUMPRODUCT((INDIRECT("'"&amp;$G$6&amp;"'!$C$37:$C$52")&lt;='General Information'!$D$33)*INDIRECT("'"&amp;$G$6&amp;"'!$D$37:$D$52")/(1+$W23/100)^INDIRECT("'"&amp;$G$6&amp;"'!$C$37:$C$52")),0))</f>
        <v/>
      </c>
      <c r="AA23" s="129">
        <f>IF($G$7="",0,IFERROR($J$7+SUMPRODUCT((INDIRECT("'"&amp;$G$7&amp;"'!$C$37:$C$52")&lt;='General Information'!$D$33)*INDIRECT("'"&amp;$G$7&amp;"'!$D$37:$D$52")/(1+$W23/100)^INDIRECT("'"&amp;$G$7&amp;"'!$C$37:$C$52")),0))</f>
        <v/>
      </c>
    </row>
    <row r="24">
      <c r="W24" s="132" t="n">
        <v>5</v>
      </c>
      <c r="X24" s="129">
        <f>IF($G$4="",0,IFERROR($J$4+SUMPRODUCT((INDIRECT("'"&amp;$G$4&amp;"'!$C$37:$C$52")&lt;='General Information'!$D$33)*INDIRECT("'"&amp;$G$4&amp;"'!$D$37:$D$52")/(1+$W24/100)^INDIRECT("'"&amp;$G$4&amp;"'!$C$37:$C$52")),0))</f>
        <v/>
      </c>
      <c r="Y24" s="129">
        <f>IF($G$5="",0,IFERROR($J$5+SUMPRODUCT((INDIRECT("'"&amp;$G$5&amp;"'!$C$37:$C$52")&lt;='General Information'!$D$33)*INDIRECT("'"&amp;$G$5&amp;"'!$D$37:$D$52")/(1+$W24/100)^INDIRECT("'"&amp;$G$5&amp;"'!$C$37:$C$52")),0))</f>
        <v/>
      </c>
      <c r="Z24" s="129">
        <f>IF($G$6="",0,IFERROR($J$6+SUMPRODUCT((INDIRECT("'"&amp;$G$6&amp;"'!$C$37:$C$52")&lt;='General Information'!$D$33)*INDIRECT("'"&amp;$G$6&amp;"'!$D$37:$D$52")/(1+$W24/100)^INDIRECT("'"&amp;$G$6&amp;"'!$C$37:$C$52")),0))</f>
        <v/>
      </c>
      <c r="AA24" s="129">
        <f>IF($G$7="",0,IFERROR($J$7+SUMPRODUCT((INDIRECT("'"&amp;$G$7&amp;"'!$C$37:$C$52")&lt;='General Information'!$D$33)*INDIRECT("'"&amp;$G$7&amp;"'!$D$37:$D$52")/(1+$W24/100)^INDIRECT("'"&amp;$G$7&amp;"'!$C$37:$C$52")),0))</f>
        <v/>
      </c>
    </row>
    <row r="25">
      <c r="W25" s="132" t="n">
        <v>5.25</v>
      </c>
      <c r="X25" s="129">
        <f>IF($G$4="",0,IFERROR($J$4+SUMPRODUCT((INDIRECT("'"&amp;$G$4&amp;"'!$C$37:$C$52")&lt;='General Information'!$D$33)*INDIRECT("'"&amp;$G$4&amp;"'!$D$37:$D$52")/(1+$W25/100)^INDIRECT("'"&amp;$G$4&amp;"'!$C$37:$C$52")),0))</f>
        <v/>
      </c>
      <c r="Y25" s="129">
        <f>IF($G$5="",0,IFERROR($J$5+SUMPRODUCT((INDIRECT("'"&amp;$G$5&amp;"'!$C$37:$C$52")&lt;='General Information'!$D$33)*INDIRECT("'"&amp;$G$5&amp;"'!$D$37:$D$52")/(1+$W25/100)^INDIRECT("'"&amp;$G$5&amp;"'!$C$37:$C$52")),0))</f>
        <v/>
      </c>
      <c r="Z25" s="129">
        <f>IF($G$6="",0,IFERROR($J$6+SUMPRODUCT((INDIRECT("'"&amp;$G$6&amp;"'!$C$37:$C$52")&lt;='General Information'!$D$33)*INDIRECT("'"&amp;$G$6&amp;"'!$D$37:$D$52")/(1+$W25/100)^INDIRECT("'"&amp;$G$6&amp;"'!$C$37:$C$52")),0))</f>
        <v/>
      </c>
      <c r="AA25" s="129">
        <f>IF($G$7="",0,IFERROR($J$7+SUMPRODUCT((INDIRECT("'"&amp;$G$7&amp;"'!$C$37:$C$52")&lt;='General Information'!$D$33)*INDIRECT("'"&amp;$G$7&amp;"'!$D$37:$D$52")/(1+$W25/100)^INDIRECT("'"&amp;$G$7&amp;"'!$C$37:$C$52")),0))</f>
        <v/>
      </c>
    </row>
    <row r="26">
      <c r="W26" s="132" t="n">
        <v>5.5</v>
      </c>
      <c r="X26" s="129">
        <f>IF($G$4="",0,IFERROR($J$4+SUMPRODUCT((INDIRECT("'"&amp;$G$4&amp;"'!$C$37:$C$52")&lt;='General Information'!$D$33)*INDIRECT("'"&amp;$G$4&amp;"'!$D$37:$D$52")/(1+$W26/100)^INDIRECT("'"&amp;$G$4&amp;"'!$C$37:$C$52")),0))</f>
        <v/>
      </c>
      <c r="Y26" s="129">
        <f>IF($G$5="",0,IFERROR($J$5+SUMPRODUCT((INDIRECT("'"&amp;$G$5&amp;"'!$C$37:$C$52")&lt;='General Information'!$D$33)*INDIRECT("'"&amp;$G$5&amp;"'!$D$37:$D$52")/(1+$W26/100)^INDIRECT("'"&amp;$G$5&amp;"'!$C$37:$C$52")),0))</f>
        <v/>
      </c>
      <c r="Z26" s="129">
        <f>IF($G$6="",0,IFERROR($J$6+SUMPRODUCT((INDIRECT("'"&amp;$G$6&amp;"'!$C$37:$C$52")&lt;='General Information'!$D$33)*INDIRECT("'"&amp;$G$6&amp;"'!$D$37:$D$52")/(1+$W26/100)^INDIRECT("'"&amp;$G$6&amp;"'!$C$37:$C$52")),0))</f>
        <v/>
      </c>
      <c r="AA26" s="129">
        <f>IF($G$7="",0,IFERROR($J$7+SUMPRODUCT((INDIRECT("'"&amp;$G$7&amp;"'!$C$37:$C$52")&lt;='General Information'!$D$33)*INDIRECT("'"&amp;$G$7&amp;"'!$D$37:$D$52")/(1+$W26/100)^INDIRECT("'"&amp;$G$7&amp;"'!$C$37:$C$52")),0))</f>
        <v/>
      </c>
    </row>
    <row r="27">
      <c r="W27" s="132" t="n">
        <v>5.75</v>
      </c>
      <c r="X27" s="129">
        <f>IF($G$4="",0,IFERROR($J$4+SUMPRODUCT((INDIRECT("'"&amp;$G$4&amp;"'!$C$37:$C$52")&lt;='General Information'!$D$33)*INDIRECT("'"&amp;$G$4&amp;"'!$D$37:$D$52")/(1+$W27/100)^INDIRECT("'"&amp;$G$4&amp;"'!$C$37:$C$52")),0))</f>
        <v/>
      </c>
      <c r="Y27" s="129">
        <f>IF($G$5="",0,IFERROR($J$5+SUMPRODUCT((INDIRECT("'"&amp;$G$5&amp;"'!$C$37:$C$52")&lt;='General Information'!$D$33)*INDIRECT("'"&amp;$G$5&amp;"'!$D$37:$D$52")/(1+$W27/100)^INDIRECT("'"&amp;$G$5&amp;"'!$C$37:$C$52")),0))</f>
        <v/>
      </c>
      <c r="Z27" s="129">
        <f>IF($G$6="",0,IFERROR($J$6+SUMPRODUCT((INDIRECT("'"&amp;$G$6&amp;"'!$C$37:$C$52")&lt;='General Information'!$D$33)*INDIRECT("'"&amp;$G$6&amp;"'!$D$37:$D$52")/(1+$W27/100)^INDIRECT("'"&amp;$G$6&amp;"'!$C$37:$C$52")),0))</f>
        <v/>
      </c>
      <c r="AA27" s="129">
        <f>IF($G$7="",0,IFERROR($J$7+SUMPRODUCT((INDIRECT("'"&amp;$G$7&amp;"'!$C$37:$C$52")&lt;='General Information'!$D$33)*INDIRECT("'"&amp;$G$7&amp;"'!$D$37:$D$52")/(1+$W27/100)^INDIRECT("'"&amp;$G$7&amp;"'!$C$37:$C$52")),0))</f>
        <v/>
      </c>
    </row>
    <row r="28">
      <c r="W28" s="132" t="n">
        <v>6</v>
      </c>
      <c r="X28" s="129">
        <f>IF($G$4="",0,IFERROR($J$4+SUMPRODUCT((INDIRECT("'"&amp;$G$4&amp;"'!$C$37:$C$52")&lt;='General Information'!$D$33)*INDIRECT("'"&amp;$G$4&amp;"'!$D$37:$D$52")/(1+$W28/100)^INDIRECT("'"&amp;$G$4&amp;"'!$C$37:$C$52")),0))</f>
        <v/>
      </c>
      <c r="Y28" s="129">
        <f>IF($G$5="",0,IFERROR($J$5+SUMPRODUCT((INDIRECT("'"&amp;$G$5&amp;"'!$C$37:$C$52")&lt;='General Information'!$D$33)*INDIRECT("'"&amp;$G$5&amp;"'!$D$37:$D$52")/(1+$W28/100)^INDIRECT("'"&amp;$G$5&amp;"'!$C$37:$C$52")),0))</f>
        <v/>
      </c>
      <c r="Z28" s="129">
        <f>IF($G$6="",0,IFERROR($J$6+SUMPRODUCT((INDIRECT("'"&amp;$G$6&amp;"'!$C$37:$C$52")&lt;='General Information'!$D$33)*INDIRECT("'"&amp;$G$6&amp;"'!$D$37:$D$52")/(1+$W28/100)^INDIRECT("'"&amp;$G$6&amp;"'!$C$37:$C$52")),0))</f>
        <v/>
      </c>
      <c r="AA28" s="129">
        <f>IF($G$7="",0,IFERROR($J$7+SUMPRODUCT((INDIRECT("'"&amp;$G$7&amp;"'!$C$37:$C$52")&lt;='General Information'!$D$33)*INDIRECT("'"&amp;$G$7&amp;"'!$D$37:$D$52")/(1+$W28/100)^INDIRECT("'"&amp;$G$7&amp;"'!$C$37:$C$52")),0))</f>
        <v/>
      </c>
    </row>
    <row r="29">
      <c r="W29" s="132" t="n">
        <v>6.25</v>
      </c>
      <c r="X29" s="129">
        <f>IF($G$4="",0,IFERROR($J$4+SUMPRODUCT((INDIRECT("'"&amp;$G$4&amp;"'!$C$37:$C$52")&lt;='General Information'!$D$33)*INDIRECT("'"&amp;$G$4&amp;"'!$D$37:$D$52")/(1+$W29/100)^INDIRECT("'"&amp;$G$4&amp;"'!$C$37:$C$52")),0))</f>
        <v/>
      </c>
      <c r="Y29" s="129">
        <f>IF($G$5="",0,IFERROR($J$5+SUMPRODUCT((INDIRECT("'"&amp;$G$5&amp;"'!$C$37:$C$52")&lt;='General Information'!$D$33)*INDIRECT("'"&amp;$G$5&amp;"'!$D$37:$D$52")/(1+$W29/100)^INDIRECT("'"&amp;$G$5&amp;"'!$C$37:$C$52")),0))</f>
        <v/>
      </c>
      <c r="Z29" s="129">
        <f>IF($G$6="",0,IFERROR($J$6+SUMPRODUCT((INDIRECT("'"&amp;$G$6&amp;"'!$C$37:$C$52")&lt;='General Information'!$D$33)*INDIRECT("'"&amp;$G$6&amp;"'!$D$37:$D$52")/(1+$W29/100)^INDIRECT("'"&amp;$G$6&amp;"'!$C$37:$C$52")),0))</f>
        <v/>
      </c>
      <c r="AA29" s="129">
        <f>IF($G$7="",0,IFERROR($J$7+SUMPRODUCT((INDIRECT("'"&amp;$G$7&amp;"'!$C$37:$C$52")&lt;='General Information'!$D$33)*INDIRECT("'"&amp;$G$7&amp;"'!$D$37:$D$52")/(1+$W29/100)^INDIRECT("'"&amp;$G$7&amp;"'!$C$37:$C$52")),0))</f>
        <v/>
      </c>
    </row>
    <row r="30">
      <c r="W30" s="132" t="n">
        <v>6.5</v>
      </c>
      <c r="X30" s="129">
        <f>IF($G$4="",0,IFERROR($J$4+SUMPRODUCT((INDIRECT("'"&amp;$G$4&amp;"'!$C$37:$C$52")&lt;='General Information'!$D$33)*INDIRECT("'"&amp;$G$4&amp;"'!$D$37:$D$52")/(1+$W30/100)^INDIRECT("'"&amp;$G$4&amp;"'!$C$37:$C$52")),0))</f>
        <v/>
      </c>
      <c r="Y30" s="129">
        <f>IF($G$5="",0,IFERROR($J$5+SUMPRODUCT((INDIRECT("'"&amp;$G$5&amp;"'!$C$37:$C$52")&lt;='General Information'!$D$33)*INDIRECT("'"&amp;$G$5&amp;"'!$D$37:$D$52")/(1+$W30/100)^INDIRECT("'"&amp;$G$5&amp;"'!$C$37:$C$52")),0))</f>
        <v/>
      </c>
      <c r="Z30" s="129">
        <f>IF($G$6="",0,IFERROR($J$6+SUMPRODUCT((INDIRECT("'"&amp;$G$6&amp;"'!$C$37:$C$52")&lt;='General Information'!$D$33)*INDIRECT("'"&amp;$G$6&amp;"'!$D$37:$D$52")/(1+$W30/100)^INDIRECT("'"&amp;$G$6&amp;"'!$C$37:$C$52")),0))</f>
        <v/>
      </c>
      <c r="AA30" s="129">
        <f>IF($G$7="",0,IFERROR($J$7+SUMPRODUCT((INDIRECT("'"&amp;$G$7&amp;"'!$C$37:$C$52")&lt;='General Information'!$D$33)*INDIRECT("'"&amp;$G$7&amp;"'!$D$37:$D$52")/(1+$W30/100)^INDIRECT("'"&amp;$G$7&amp;"'!$C$37:$C$52")),0))</f>
        <v/>
      </c>
    </row>
    <row r="31">
      <c r="W31" s="132" t="n">
        <v>6.75</v>
      </c>
      <c r="X31" s="129">
        <f>IF($G$4="",0,IFERROR($J$4+SUMPRODUCT((INDIRECT("'"&amp;$G$4&amp;"'!$C$37:$C$52")&lt;='General Information'!$D$33)*INDIRECT("'"&amp;$G$4&amp;"'!$D$37:$D$52")/(1+$W31/100)^INDIRECT("'"&amp;$G$4&amp;"'!$C$37:$C$52")),0))</f>
        <v/>
      </c>
      <c r="Y31" s="129">
        <f>IF($G$5="",0,IFERROR($J$5+SUMPRODUCT((INDIRECT("'"&amp;$G$5&amp;"'!$C$37:$C$52")&lt;='General Information'!$D$33)*INDIRECT("'"&amp;$G$5&amp;"'!$D$37:$D$52")/(1+$W31/100)^INDIRECT("'"&amp;$G$5&amp;"'!$C$37:$C$52")),0))</f>
        <v/>
      </c>
      <c r="Z31" s="129">
        <f>IF($G$6="",0,IFERROR($J$6+SUMPRODUCT((INDIRECT("'"&amp;$G$6&amp;"'!$C$37:$C$52")&lt;='General Information'!$D$33)*INDIRECT("'"&amp;$G$6&amp;"'!$D$37:$D$52")/(1+$W31/100)^INDIRECT("'"&amp;$G$6&amp;"'!$C$37:$C$52")),0))</f>
        <v/>
      </c>
      <c r="AA31" s="129">
        <f>IF($G$7="",0,IFERROR($J$7+SUMPRODUCT((INDIRECT("'"&amp;$G$7&amp;"'!$C$37:$C$52")&lt;='General Information'!$D$33)*INDIRECT("'"&amp;$G$7&amp;"'!$D$37:$D$52")/(1+$W31/100)^INDIRECT("'"&amp;$G$7&amp;"'!$C$37:$C$52")),0))</f>
        <v/>
      </c>
    </row>
    <row r="32">
      <c r="W32" s="132" t="n">
        <v>7</v>
      </c>
      <c r="X32" s="129">
        <f>IF($G$4="",0,IFERROR($J$4+SUMPRODUCT((INDIRECT("'"&amp;$G$4&amp;"'!$C$37:$C$52")&lt;='General Information'!$D$33)*INDIRECT("'"&amp;$G$4&amp;"'!$D$37:$D$52")/(1+$W32/100)^INDIRECT("'"&amp;$G$4&amp;"'!$C$37:$C$52")),0))</f>
        <v/>
      </c>
      <c r="Y32" s="129">
        <f>IF($G$5="",0,IFERROR($J$5+SUMPRODUCT((INDIRECT("'"&amp;$G$5&amp;"'!$C$37:$C$52")&lt;='General Information'!$D$33)*INDIRECT("'"&amp;$G$5&amp;"'!$D$37:$D$52")/(1+$W32/100)^INDIRECT("'"&amp;$G$5&amp;"'!$C$37:$C$52")),0))</f>
        <v/>
      </c>
      <c r="Z32" s="129">
        <f>IF($G$6="",0,IFERROR($J$6+SUMPRODUCT((INDIRECT("'"&amp;$G$6&amp;"'!$C$37:$C$52")&lt;='General Information'!$D$33)*INDIRECT("'"&amp;$G$6&amp;"'!$D$37:$D$52")/(1+$W32/100)^INDIRECT("'"&amp;$G$6&amp;"'!$C$37:$C$52")),0))</f>
        <v/>
      </c>
      <c r="AA32" s="129">
        <f>IF($G$7="",0,IFERROR($J$7+SUMPRODUCT((INDIRECT("'"&amp;$G$7&amp;"'!$C$37:$C$52")&lt;='General Information'!$D$33)*INDIRECT("'"&amp;$G$7&amp;"'!$D$37:$D$52")/(1+$W32/100)^INDIRECT("'"&amp;$G$7&amp;"'!$C$37:$C$52")),0))</f>
        <v/>
      </c>
    </row>
    <row r="33">
      <c r="W33" s="132" t="n">
        <v>7.25</v>
      </c>
      <c r="X33" s="129">
        <f>IF($G$4="",0,IFERROR($J$4+SUMPRODUCT((INDIRECT("'"&amp;$G$4&amp;"'!$C$37:$C$52")&lt;='General Information'!$D$33)*INDIRECT("'"&amp;$G$4&amp;"'!$D$37:$D$52")/(1+$W33/100)^INDIRECT("'"&amp;$G$4&amp;"'!$C$37:$C$52")),0))</f>
        <v/>
      </c>
      <c r="Y33" s="129">
        <f>IF($G$5="",0,IFERROR($J$5+SUMPRODUCT((INDIRECT("'"&amp;$G$5&amp;"'!$C$37:$C$52")&lt;='General Information'!$D$33)*INDIRECT("'"&amp;$G$5&amp;"'!$D$37:$D$52")/(1+$W33/100)^INDIRECT("'"&amp;$G$5&amp;"'!$C$37:$C$52")),0))</f>
        <v/>
      </c>
      <c r="Z33" s="129">
        <f>IF($G$6="",0,IFERROR($J$6+SUMPRODUCT((INDIRECT("'"&amp;$G$6&amp;"'!$C$37:$C$52")&lt;='General Information'!$D$33)*INDIRECT("'"&amp;$G$6&amp;"'!$D$37:$D$52")/(1+$W33/100)^INDIRECT("'"&amp;$G$6&amp;"'!$C$37:$C$52")),0))</f>
        <v/>
      </c>
      <c r="AA33" s="129">
        <f>IF($G$7="",0,IFERROR($J$7+SUMPRODUCT((INDIRECT("'"&amp;$G$7&amp;"'!$C$37:$C$52")&lt;='General Information'!$D$33)*INDIRECT("'"&amp;$G$7&amp;"'!$D$37:$D$52")/(1+$W33/100)^INDIRECT("'"&amp;$G$7&amp;"'!$C$37:$C$52")),0))</f>
        <v/>
      </c>
    </row>
    <row r="34">
      <c r="W34" s="132" t="n">
        <v>7.5</v>
      </c>
      <c r="X34" s="129">
        <f>IF($G$4="",0,IFERROR($J$4+SUMPRODUCT((INDIRECT("'"&amp;$G$4&amp;"'!$C$37:$C$52")&lt;='General Information'!$D$33)*INDIRECT("'"&amp;$G$4&amp;"'!$D$37:$D$52")/(1+$W34/100)^INDIRECT("'"&amp;$G$4&amp;"'!$C$37:$C$52")),0))</f>
        <v/>
      </c>
      <c r="Y34" s="129">
        <f>IF($G$5="",0,IFERROR($J$5+SUMPRODUCT((INDIRECT("'"&amp;$G$5&amp;"'!$C$37:$C$52")&lt;='General Information'!$D$33)*INDIRECT("'"&amp;$G$5&amp;"'!$D$37:$D$52")/(1+$W34/100)^INDIRECT("'"&amp;$G$5&amp;"'!$C$37:$C$52")),0))</f>
        <v/>
      </c>
      <c r="Z34" s="129">
        <f>IF($G$6="",0,IFERROR($J$6+SUMPRODUCT((INDIRECT("'"&amp;$G$6&amp;"'!$C$37:$C$52")&lt;='General Information'!$D$33)*INDIRECT("'"&amp;$G$6&amp;"'!$D$37:$D$52")/(1+$W34/100)^INDIRECT("'"&amp;$G$6&amp;"'!$C$37:$C$52")),0))</f>
        <v/>
      </c>
      <c r="AA34" s="129">
        <f>IF($G$7="",0,IFERROR($J$7+SUMPRODUCT((INDIRECT("'"&amp;$G$7&amp;"'!$C$37:$C$52")&lt;='General Information'!$D$33)*INDIRECT("'"&amp;$G$7&amp;"'!$D$37:$D$52")/(1+$W34/100)^INDIRECT("'"&amp;$G$7&amp;"'!$C$37:$C$52")),0))</f>
        <v/>
      </c>
    </row>
    <row r="35">
      <c r="W35" s="132" t="n">
        <v>7.75</v>
      </c>
      <c r="X35" s="129">
        <f>IF($G$4="",0,IFERROR($J$4+SUMPRODUCT((INDIRECT("'"&amp;$G$4&amp;"'!$C$37:$C$52")&lt;='General Information'!$D$33)*INDIRECT("'"&amp;$G$4&amp;"'!$D$37:$D$52")/(1+$W35/100)^INDIRECT("'"&amp;$G$4&amp;"'!$C$37:$C$52")),0))</f>
        <v/>
      </c>
      <c r="Y35" s="129">
        <f>IF($G$5="",0,IFERROR($J$5+SUMPRODUCT((INDIRECT("'"&amp;$G$5&amp;"'!$C$37:$C$52")&lt;='General Information'!$D$33)*INDIRECT("'"&amp;$G$5&amp;"'!$D$37:$D$52")/(1+$W35/100)^INDIRECT("'"&amp;$G$5&amp;"'!$C$37:$C$52")),0))</f>
        <v/>
      </c>
      <c r="Z35" s="129">
        <f>IF($G$6="",0,IFERROR($J$6+SUMPRODUCT((INDIRECT("'"&amp;$G$6&amp;"'!$C$37:$C$52")&lt;='General Information'!$D$33)*INDIRECT("'"&amp;$G$6&amp;"'!$D$37:$D$52")/(1+$W35/100)^INDIRECT("'"&amp;$G$6&amp;"'!$C$37:$C$52")),0))</f>
        <v/>
      </c>
      <c r="AA35" s="129">
        <f>IF($G$7="",0,IFERROR($J$7+SUMPRODUCT((INDIRECT("'"&amp;$G$7&amp;"'!$C$37:$C$52")&lt;='General Information'!$D$33)*INDIRECT("'"&amp;$G$7&amp;"'!$D$37:$D$52")/(1+$W35/100)^INDIRECT("'"&amp;$G$7&amp;"'!$C$37:$C$52")),0))</f>
        <v/>
      </c>
    </row>
    <row r="36">
      <c r="W36" s="132" t="n">
        <v>8</v>
      </c>
      <c r="X36" s="129">
        <f>IF($G$4="",0,IFERROR($J$4+SUMPRODUCT((INDIRECT("'"&amp;$G$4&amp;"'!$C$37:$C$52")&lt;='General Information'!$D$33)*INDIRECT("'"&amp;$G$4&amp;"'!$D$37:$D$52")/(1+$W36/100)^INDIRECT("'"&amp;$G$4&amp;"'!$C$37:$C$52")),0))</f>
        <v/>
      </c>
      <c r="Y36" s="129">
        <f>IF($G$5="",0,IFERROR($J$5+SUMPRODUCT((INDIRECT("'"&amp;$G$5&amp;"'!$C$37:$C$52")&lt;='General Information'!$D$33)*INDIRECT("'"&amp;$G$5&amp;"'!$D$37:$D$52")/(1+$W36/100)^INDIRECT("'"&amp;$G$5&amp;"'!$C$37:$C$52")),0))</f>
        <v/>
      </c>
      <c r="Z36" s="129">
        <f>IF($G$6="",0,IFERROR($J$6+SUMPRODUCT((INDIRECT("'"&amp;$G$6&amp;"'!$C$37:$C$52")&lt;='General Information'!$D$33)*INDIRECT("'"&amp;$G$6&amp;"'!$D$37:$D$52")/(1+$W36/100)^INDIRECT("'"&amp;$G$6&amp;"'!$C$37:$C$52")),0))</f>
        <v/>
      </c>
      <c r="AA36" s="129">
        <f>IF($G$7="",0,IFERROR($J$7+SUMPRODUCT((INDIRECT("'"&amp;$G$7&amp;"'!$C$37:$C$52")&lt;='General Information'!$D$33)*INDIRECT("'"&amp;$G$7&amp;"'!$D$37:$D$52")/(1+$W36/100)^INDIRECT("'"&amp;$G$7&amp;"'!$C$37:$C$52")),0))</f>
        <v/>
      </c>
    </row>
    <row r="39">
      <c r="W39" s="122" t="inlineStr">
        <is>
          <t>By calendar year: spend (undiscounted), cumulative discounted cost, closure days</t>
        </is>
      </c>
    </row>
    <row r="40">
      <c r="W40" s="124" t="inlineStr">
        <is>
          <t>Year</t>
        </is>
      </c>
      <c r="X40" s="124" t="inlineStr">
        <is>
          <t>Calendar year</t>
        </is>
      </c>
      <c r="Y40" s="124">
        <f>X$4&amp;" spend"</f>
        <v/>
      </c>
      <c r="Z40" s="124">
        <f>Y$4&amp;" spend"</f>
        <v/>
      </c>
      <c r="AA40" s="124">
        <f>Z$4&amp;" spend"</f>
        <v/>
      </c>
      <c r="AB40" s="124">
        <f>AA$4&amp;" spend"</f>
        <v/>
      </c>
      <c r="AC40" s="124">
        <f>X$4&amp;" cumulative PW"</f>
        <v/>
      </c>
      <c r="AD40" s="124">
        <f>Y$4&amp;" cumulative PW"</f>
        <v/>
      </c>
      <c r="AE40" s="124">
        <f>Z$4&amp;" cumulative PW"</f>
        <v/>
      </c>
      <c r="AF40" s="124">
        <f>AA$4&amp;" cumulative PW"</f>
        <v/>
      </c>
      <c r="AG40" s="124">
        <f>X$4&amp;" closure days"</f>
        <v/>
      </c>
      <c r="AH40" s="124">
        <f>Y$4&amp;" closure days"</f>
        <v/>
      </c>
      <c r="AI40" s="124">
        <f>Z$4&amp;" closure days"</f>
        <v/>
      </c>
      <c r="AJ40" s="124">
        <f>AA$4&amp;" closure days"</f>
        <v/>
      </c>
    </row>
    <row r="41">
      <c r="W41" s="128" t="n">
        <v>0</v>
      </c>
      <c r="X41" s="128">
        <f>'General Information'!$D$25+W41</f>
        <v/>
      </c>
      <c r="Y41" s="129">
        <f>IF($G$4="",0,IF(W41&gt;'General Information'!$D$33,0,IF(W41=0,$J$4,IFERROR(SUMIF(INDIRECT("'"&amp;$G$4&amp;"'!$C$37:$C$52"),W41,INDIRECT("'"&amp;$G$4&amp;"'!$D$37:$D$52")),0))))</f>
        <v/>
      </c>
      <c r="Z41" s="129">
        <f>IF($G$5="",0,IF(W41&gt;'General Information'!$D$33,0,IF(W41=0,$J$5,IFERROR(SUMIF(INDIRECT("'"&amp;$G$5&amp;"'!$C$37:$C$52"),W41,INDIRECT("'"&amp;$G$5&amp;"'!$D$37:$D$52")),0))))</f>
        <v/>
      </c>
      <c r="AA41" s="129">
        <f>IF($G$6="",0,IF(W41&gt;'General Information'!$D$33,0,IF(W41=0,$J$6,IFERROR(SUMIF(INDIRECT("'"&amp;$G$6&amp;"'!$C$37:$C$52"),W41,INDIRECT("'"&amp;$G$6&amp;"'!$D$37:$D$52")),0))))</f>
        <v/>
      </c>
      <c r="AB41" s="129">
        <f>IF($G$7="",0,IF(W41&gt;'General Information'!$D$33,0,IF(W41=0,$J$7,IFERROR(SUMIF(INDIRECT("'"&amp;$G$7&amp;"'!$C$37:$C$52"),W41,INDIRECT("'"&amp;$G$7&amp;"'!$D$37:$D$52")),0))))</f>
        <v/>
      </c>
      <c r="AC41" s="129">
        <f>IF($G$4="",0,IF(W41&gt;'General Information'!$D$33,0,IF(W41=0,$J$4,IFERROR(SUMIF(INDIRECT("'"&amp;$G$4&amp;"'!$C$37:$C$52"),W41,INDIRECT("'"&amp;$G$4&amp;"'!$E$37:$E$52")),0))))</f>
        <v/>
      </c>
      <c r="AD41" s="129">
        <f>IF($G$5="",0,IF(W41&gt;'General Information'!$D$33,0,IF(W41=0,$J$5,IFERROR(SUMIF(INDIRECT("'"&amp;$G$5&amp;"'!$C$37:$C$52"),W41,INDIRECT("'"&amp;$G$5&amp;"'!$E$37:$E$52")),0))))</f>
        <v/>
      </c>
      <c r="AE41" s="129">
        <f>IF($G$6="",0,IF(W41&gt;'General Information'!$D$33,0,IF(W41=0,$J$6,IFERROR(SUMIF(INDIRECT("'"&amp;$G$6&amp;"'!$C$37:$C$52"),W41,INDIRECT("'"&amp;$G$6&amp;"'!$E$37:$E$52")),0))))</f>
        <v/>
      </c>
      <c r="AF41" s="129">
        <f>IF($G$7="",0,IF(W41&gt;'General Information'!$D$33,0,IF(W41=0,$J$7,IFERROR(SUMIF(INDIRECT("'"&amp;$G$7&amp;"'!$C$37:$C$52"),W41,INDIRECT("'"&amp;$G$7&amp;"'!$E$37:$E$52")),0))))</f>
        <v/>
      </c>
      <c r="AG41" s="134">
        <f>IF($G$4="",0,IF(W41&gt;'General Information'!$D$33,0,IFERROR(SUMIFS(INDIRECT("'"&amp;$G$4&amp;"'!$D$37:$D$52"),INDIRECT("'"&amp;$G$4&amp;"'!$C$37:$C$52"),W41,INDIRECT("'"&amp;$G$4&amp;"'!$B$37:$B$52"),"*Indirect*")/INDIRECT("'"&amp;$G$4&amp;"'!$F$2"),0)))</f>
        <v/>
      </c>
      <c r="AH41" s="134">
        <f>IF($G$5="",0,IF(W41&gt;'General Information'!$D$33,0,IFERROR(SUMIFS(INDIRECT("'"&amp;$G$5&amp;"'!$D$37:$D$52"),INDIRECT("'"&amp;$G$5&amp;"'!$C$37:$C$52"),W41,INDIRECT("'"&amp;$G$5&amp;"'!$B$37:$B$52"),"*Indirect*")/INDIRECT("'"&amp;$G$5&amp;"'!$F$2"),0)))</f>
        <v/>
      </c>
      <c r="AI41" s="134">
        <f>IF($G$6="",0,IF(W41&gt;'General Information'!$D$33,0,IFERROR(SUMIFS(INDIRECT("'"&amp;$G$6&amp;"'!$D$37:$D$52"),INDIRECT("'"&amp;$G$6&amp;"'!$C$37:$C$52"),W41,INDIRECT("'"&amp;$G$6&amp;"'!$B$37:$B$52"),"*Indirect*")/INDIRECT("'"&amp;$G$6&amp;"'!$F$2"),0)))</f>
        <v/>
      </c>
      <c r="AJ41" s="134">
        <f>IF($G$7="",0,IF(W41&gt;'General Information'!$D$33,0,IFERROR(SUMIFS(INDIRECT("'"&amp;$G$7&amp;"'!$D$37:$D$52"),INDIRECT("'"&amp;$G$7&amp;"'!$C$37:$C$52"),W41,INDIRECT("'"&amp;$G$7&amp;"'!$B$37:$B$52"),"*Indirect*")/INDIRECT("'"&amp;$G$7&amp;"'!$F$2"),0)))</f>
        <v/>
      </c>
    </row>
    <row r="42">
      <c r="W42" s="128" t="n">
        <v>1</v>
      </c>
      <c r="X42" s="128">
        <f>'General Information'!$D$25+W42</f>
        <v/>
      </c>
      <c r="Y42" s="129">
        <f>IF($G$4="",0,IF(W42&gt;'General Information'!$D$33,0,IF(W42=0,$J$4,IFERROR(SUMIF(INDIRECT("'"&amp;$G$4&amp;"'!$C$37:$C$52"),W42,INDIRECT("'"&amp;$G$4&amp;"'!$D$37:$D$52")),0))))</f>
        <v/>
      </c>
      <c r="Z42" s="129">
        <f>IF($G$5="",0,IF(W42&gt;'General Information'!$D$33,0,IF(W42=0,$J$5,IFERROR(SUMIF(INDIRECT("'"&amp;$G$5&amp;"'!$C$37:$C$52"),W42,INDIRECT("'"&amp;$G$5&amp;"'!$D$37:$D$52")),0))))</f>
        <v/>
      </c>
      <c r="AA42" s="129">
        <f>IF($G$6="",0,IF(W42&gt;'General Information'!$D$33,0,IF(W42=0,$J$6,IFERROR(SUMIF(INDIRECT("'"&amp;$G$6&amp;"'!$C$37:$C$52"),W42,INDIRECT("'"&amp;$G$6&amp;"'!$D$37:$D$52")),0))))</f>
        <v/>
      </c>
      <c r="AB42" s="129">
        <f>IF($G$7="",0,IF(W42&gt;'General Information'!$D$33,0,IF(W42=0,$J$7,IFERROR(SUMIF(INDIRECT("'"&amp;$G$7&amp;"'!$C$37:$C$52"),W42,INDIRECT("'"&amp;$G$7&amp;"'!$D$37:$D$52")),0))))</f>
        <v/>
      </c>
      <c r="AC42" s="129">
        <f>IF($G$4="",0,AC41+IF(W42&gt;'General Information'!$D$33,0,IF(W42=0,$J$4,IFERROR(SUMIF(INDIRECT("'"&amp;$G$4&amp;"'!$C$37:$C$52"),W42,INDIRECT("'"&amp;$G$4&amp;"'!$E$37:$E$52")),0))))</f>
        <v/>
      </c>
      <c r="AD42" s="129">
        <f>IF($G$5="",0,AD41+IF(W42&gt;'General Information'!$D$33,0,IF(W42=0,$J$5,IFERROR(SUMIF(INDIRECT("'"&amp;$G$5&amp;"'!$C$37:$C$52"),W42,INDIRECT("'"&amp;$G$5&amp;"'!$E$37:$E$52")),0))))</f>
        <v/>
      </c>
      <c r="AE42" s="129">
        <f>IF($G$6="",0,AE41+IF(W42&gt;'General Information'!$D$33,0,IF(W42=0,$J$6,IFERROR(SUMIF(INDIRECT("'"&amp;$G$6&amp;"'!$C$37:$C$52"),W42,INDIRECT("'"&amp;$G$6&amp;"'!$E$37:$E$52")),0))))</f>
        <v/>
      </c>
      <c r="AF42" s="129">
        <f>IF($G$7="",0,AF41+IF(W42&gt;'General Information'!$D$33,0,IF(W42=0,$J$7,IFERROR(SUMIF(INDIRECT("'"&amp;$G$7&amp;"'!$C$37:$C$52"),W42,INDIRECT("'"&amp;$G$7&amp;"'!$E$37:$E$52")),0))))</f>
        <v/>
      </c>
      <c r="AG42" s="134">
        <f>IF($G$4="",0,IF(W42&gt;'General Information'!$D$33,0,IFERROR(SUMIFS(INDIRECT("'"&amp;$G$4&amp;"'!$D$37:$D$52"),INDIRECT("'"&amp;$G$4&amp;"'!$C$37:$C$52"),W42,INDIRECT("'"&amp;$G$4&amp;"'!$B$37:$B$52"),"*Indirect*")/INDIRECT("'"&amp;$G$4&amp;"'!$F$2"),0)))</f>
        <v/>
      </c>
      <c r="AH42" s="134">
        <f>IF($G$5="",0,IF(W42&gt;'General Information'!$D$33,0,IFERROR(SUMIFS(INDIRECT("'"&amp;$G$5&amp;"'!$D$37:$D$52"),INDIRECT("'"&amp;$G$5&amp;"'!$C$37:$C$52"),W42,INDIRECT("'"&amp;$G$5&amp;"'!$B$37:$B$52"),"*Indirect*")/INDIRECT("'"&amp;$G$5&amp;"'!$F$2"),0)))</f>
        <v/>
      </c>
      <c r="AI42" s="134">
        <f>IF($G$6="",0,IF(W42&gt;'General Information'!$D$33,0,IFERROR(SUMIFS(INDIRECT("'"&amp;$G$6&amp;"'!$D$37:$D$52"),INDIRECT("'"&amp;$G$6&amp;"'!$C$37:$C$52"),W42,INDIRECT("'"&amp;$G$6&amp;"'!$B$37:$B$52"),"*Indirect*")/INDIRECT("'"&amp;$G$6&amp;"'!$F$2"),0)))</f>
        <v/>
      </c>
      <c r="AJ42" s="134">
        <f>IF($G$7="",0,IF(W42&gt;'General Information'!$D$33,0,IFERROR(SUMIFS(INDIRECT("'"&amp;$G$7&amp;"'!$D$37:$D$52"),INDIRECT("'"&amp;$G$7&amp;"'!$C$37:$C$52"),W42,INDIRECT("'"&amp;$G$7&amp;"'!$B$37:$B$52"),"*Indirect*")/INDIRECT("'"&amp;$G$7&amp;"'!$F$2"),0)))</f>
        <v/>
      </c>
    </row>
    <row r="43">
      <c r="W43" s="128" t="n">
        <v>2</v>
      </c>
      <c r="X43" s="128">
        <f>'General Information'!$D$25+W43</f>
        <v/>
      </c>
      <c r="Y43" s="129">
        <f>IF($G$4="",0,IF(W43&gt;'General Information'!$D$33,0,IF(W43=0,$J$4,IFERROR(SUMIF(INDIRECT("'"&amp;$G$4&amp;"'!$C$37:$C$52"),W43,INDIRECT("'"&amp;$G$4&amp;"'!$D$37:$D$52")),0))))</f>
        <v/>
      </c>
      <c r="Z43" s="129">
        <f>IF($G$5="",0,IF(W43&gt;'General Information'!$D$33,0,IF(W43=0,$J$5,IFERROR(SUMIF(INDIRECT("'"&amp;$G$5&amp;"'!$C$37:$C$52"),W43,INDIRECT("'"&amp;$G$5&amp;"'!$D$37:$D$52")),0))))</f>
        <v/>
      </c>
      <c r="AA43" s="129">
        <f>IF($G$6="",0,IF(W43&gt;'General Information'!$D$33,0,IF(W43=0,$J$6,IFERROR(SUMIF(INDIRECT("'"&amp;$G$6&amp;"'!$C$37:$C$52"),W43,INDIRECT("'"&amp;$G$6&amp;"'!$D$37:$D$52")),0))))</f>
        <v/>
      </c>
      <c r="AB43" s="129">
        <f>IF($G$7="",0,IF(W43&gt;'General Information'!$D$33,0,IF(W43=0,$J$7,IFERROR(SUMIF(INDIRECT("'"&amp;$G$7&amp;"'!$C$37:$C$52"),W43,INDIRECT("'"&amp;$G$7&amp;"'!$D$37:$D$52")),0))))</f>
        <v/>
      </c>
      <c r="AC43" s="129">
        <f>IF($G$4="",0,AC42+IF(W43&gt;'General Information'!$D$33,0,IF(W43=0,$J$4,IFERROR(SUMIF(INDIRECT("'"&amp;$G$4&amp;"'!$C$37:$C$52"),W43,INDIRECT("'"&amp;$G$4&amp;"'!$E$37:$E$52")),0))))</f>
        <v/>
      </c>
      <c r="AD43" s="129">
        <f>IF($G$5="",0,AD42+IF(W43&gt;'General Information'!$D$33,0,IF(W43=0,$J$5,IFERROR(SUMIF(INDIRECT("'"&amp;$G$5&amp;"'!$C$37:$C$52"),W43,INDIRECT("'"&amp;$G$5&amp;"'!$E$37:$E$52")),0))))</f>
        <v/>
      </c>
      <c r="AE43" s="129">
        <f>IF($G$6="",0,AE42+IF(W43&gt;'General Information'!$D$33,0,IF(W43=0,$J$6,IFERROR(SUMIF(INDIRECT("'"&amp;$G$6&amp;"'!$C$37:$C$52"),W43,INDIRECT("'"&amp;$G$6&amp;"'!$E$37:$E$52")),0))))</f>
        <v/>
      </c>
      <c r="AF43" s="129">
        <f>IF($G$7="",0,AF42+IF(W43&gt;'General Information'!$D$33,0,IF(W43=0,$J$7,IFERROR(SUMIF(INDIRECT("'"&amp;$G$7&amp;"'!$C$37:$C$52"),W43,INDIRECT("'"&amp;$G$7&amp;"'!$E$37:$E$52")),0))))</f>
        <v/>
      </c>
      <c r="AG43" s="134">
        <f>IF($G$4="",0,IF(W43&gt;'General Information'!$D$33,0,IFERROR(SUMIFS(INDIRECT("'"&amp;$G$4&amp;"'!$D$37:$D$52"),INDIRECT("'"&amp;$G$4&amp;"'!$C$37:$C$52"),W43,INDIRECT("'"&amp;$G$4&amp;"'!$B$37:$B$52"),"*Indirect*")/INDIRECT("'"&amp;$G$4&amp;"'!$F$2"),0)))</f>
        <v/>
      </c>
      <c r="AH43" s="134">
        <f>IF($G$5="",0,IF(W43&gt;'General Information'!$D$33,0,IFERROR(SUMIFS(INDIRECT("'"&amp;$G$5&amp;"'!$D$37:$D$52"),INDIRECT("'"&amp;$G$5&amp;"'!$C$37:$C$52"),W43,INDIRECT("'"&amp;$G$5&amp;"'!$B$37:$B$52"),"*Indirect*")/INDIRECT("'"&amp;$G$5&amp;"'!$F$2"),0)))</f>
        <v/>
      </c>
      <c r="AI43" s="134">
        <f>IF($G$6="",0,IF(W43&gt;'General Information'!$D$33,0,IFERROR(SUMIFS(INDIRECT("'"&amp;$G$6&amp;"'!$D$37:$D$52"),INDIRECT("'"&amp;$G$6&amp;"'!$C$37:$C$52"),W43,INDIRECT("'"&amp;$G$6&amp;"'!$B$37:$B$52"),"*Indirect*")/INDIRECT("'"&amp;$G$6&amp;"'!$F$2"),0)))</f>
        <v/>
      </c>
      <c r="AJ43" s="134">
        <f>IF($G$7="",0,IF(W43&gt;'General Information'!$D$33,0,IFERROR(SUMIFS(INDIRECT("'"&amp;$G$7&amp;"'!$D$37:$D$52"),INDIRECT("'"&amp;$G$7&amp;"'!$C$37:$C$52"),W43,INDIRECT("'"&amp;$G$7&amp;"'!$B$37:$B$52"),"*Indirect*")/INDIRECT("'"&amp;$G$7&amp;"'!$F$2"),0)))</f>
        <v/>
      </c>
    </row>
    <row r="44">
      <c r="W44" s="128" t="n">
        <v>3</v>
      </c>
      <c r="X44" s="128">
        <f>'General Information'!$D$25+W44</f>
        <v/>
      </c>
      <c r="Y44" s="129">
        <f>IF($G$4="",0,IF(W44&gt;'General Information'!$D$33,0,IF(W44=0,$J$4,IFERROR(SUMIF(INDIRECT("'"&amp;$G$4&amp;"'!$C$37:$C$52"),W44,INDIRECT("'"&amp;$G$4&amp;"'!$D$37:$D$52")),0))))</f>
        <v/>
      </c>
      <c r="Z44" s="129">
        <f>IF($G$5="",0,IF(W44&gt;'General Information'!$D$33,0,IF(W44=0,$J$5,IFERROR(SUMIF(INDIRECT("'"&amp;$G$5&amp;"'!$C$37:$C$52"),W44,INDIRECT("'"&amp;$G$5&amp;"'!$D$37:$D$52")),0))))</f>
        <v/>
      </c>
      <c r="AA44" s="129">
        <f>IF($G$6="",0,IF(W44&gt;'General Information'!$D$33,0,IF(W44=0,$J$6,IFERROR(SUMIF(INDIRECT("'"&amp;$G$6&amp;"'!$C$37:$C$52"),W44,INDIRECT("'"&amp;$G$6&amp;"'!$D$37:$D$52")),0))))</f>
        <v/>
      </c>
      <c r="AB44" s="129">
        <f>IF($G$7="",0,IF(W44&gt;'General Information'!$D$33,0,IF(W44=0,$J$7,IFERROR(SUMIF(INDIRECT("'"&amp;$G$7&amp;"'!$C$37:$C$52"),W44,INDIRECT("'"&amp;$G$7&amp;"'!$D$37:$D$52")),0))))</f>
        <v/>
      </c>
      <c r="AC44" s="129">
        <f>IF($G$4="",0,AC43+IF(W44&gt;'General Information'!$D$33,0,IF(W44=0,$J$4,IFERROR(SUMIF(INDIRECT("'"&amp;$G$4&amp;"'!$C$37:$C$52"),W44,INDIRECT("'"&amp;$G$4&amp;"'!$E$37:$E$52")),0))))</f>
        <v/>
      </c>
      <c r="AD44" s="129">
        <f>IF($G$5="",0,AD43+IF(W44&gt;'General Information'!$D$33,0,IF(W44=0,$J$5,IFERROR(SUMIF(INDIRECT("'"&amp;$G$5&amp;"'!$C$37:$C$52"),W44,INDIRECT("'"&amp;$G$5&amp;"'!$E$37:$E$52")),0))))</f>
        <v/>
      </c>
      <c r="AE44" s="129">
        <f>IF($G$6="",0,AE43+IF(W44&gt;'General Information'!$D$33,0,IF(W44=0,$J$6,IFERROR(SUMIF(INDIRECT("'"&amp;$G$6&amp;"'!$C$37:$C$52"),W44,INDIRECT("'"&amp;$G$6&amp;"'!$E$37:$E$52")),0))))</f>
        <v/>
      </c>
      <c r="AF44" s="129">
        <f>IF($G$7="",0,AF43+IF(W44&gt;'General Information'!$D$33,0,IF(W44=0,$J$7,IFERROR(SUMIF(INDIRECT("'"&amp;$G$7&amp;"'!$C$37:$C$52"),W44,INDIRECT("'"&amp;$G$7&amp;"'!$E$37:$E$52")),0))))</f>
        <v/>
      </c>
      <c r="AG44" s="134">
        <f>IF($G$4="",0,IF(W44&gt;'General Information'!$D$33,0,IFERROR(SUMIFS(INDIRECT("'"&amp;$G$4&amp;"'!$D$37:$D$52"),INDIRECT("'"&amp;$G$4&amp;"'!$C$37:$C$52"),W44,INDIRECT("'"&amp;$G$4&amp;"'!$B$37:$B$52"),"*Indirect*")/INDIRECT("'"&amp;$G$4&amp;"'!$F$2"),0)))</f>
        <v/>
      </c>
      <c r="AH44" s="134">
        <f>IF($G$5="",0,IF(W44&gt;'General Information'!$D$33,0,IFERROR(SUMIFS(INDIRECT("'"&amp;$G$5&amp;"'!$D$37:$D$52"),INDIRECT("'"&amp;$G$5&amp;"'!$C$37:$C$52"),W44,INDIRECT("'"&amp;$G$5&amp;"'!$B$37:$B$52"),"*Indirect*")/INDIRECT("'"&amp;$G$5&amp;"'!$F$2"),0)))</f>
        <v/>
      </c>
      <c r="AI44" s="134">
        <f>IF($G$6="",0,IF(W44&gt;'General Information'!$D$33,0,IFERROR(SUMIFS(INDIRECT("'"&amp;$G$6&amp;"'!$D$37:$D$52"),INDIRECT("'"&amp;$G$6&amp;"'!$C$37:$C$52"),W44,INDIRECT("'"&amp;$G$6&amp;"'!$B$37:$B$52"),"*Indirect*")/INDIRECT("'"&amp;$G$6&amp;"'!$F$2"),0)))</f>
        <v/>
      </c>
      <c r="AJ44" s="134">
        <f>IF($G$7="",0,IF(W44&gt;'General Information'!$D$33,0,IFERROR(SUMIFS(INDIRECT("'"&amp;$G$7&amp;"'!$D$37:$D$52"),INDIRECT("'"&amp;$G$7&amp;"'!$C$37:$C$52"),W44,INDIRECT("'"&amp;$G$7&amp;"'!$B$37:$B$52"),"*Indirect*")/INDIRECT("'"&amp;$G$7&amp;"'!$F$2"),0)))</f>
        <v/>
      </c>
    </row>
    <row r="45">
      <c r="W45" s="128" t="n">
        <v>4</v>
      </c>
      <c r="X45" s="128">
        <f>'General Information'!$D$25+W45</f>
        <v/>
      </c>
      <c r="Y45" s="129">
        <f>IF($G$4="",0,IF(W45&gt;'General Information'!$D$33,0,IF(W45=0,$J$4,IFERROR(SUMIF(INDIRECT("'"&amp;$G$4&amp;"'!$C$37:$C$52"),W45,INDIRECT("'"&amp;$G$4&amp;"'!$D$37:$D$52")),0))))</f>
        <v/>
      </c>
      <c r="Z45" s="129">
        <f>IF($G$5="",0,IF(W45&gt;'General Information'!$D$33,0,IF(W45=0,$J$5,IFERROR(SUMIF(INDIRECT("'"&amp;$G$5&amp;"'!$C$37:$C$52"),W45,INDIRECT("'"&amp;$G$5&amp;"'!$D$37:$D$52")),0))))</f>
        <v/>
      </c>
      <c r="AA45" s="129">
        <f>IF($G$6="",0,IF(W45&gt;'General Information'!$D$33,0,IF(W45=0,$J$6,IFERROR(SUMIF(INDIRECT("'"&amp;$G$6&amp;"'!$C$37:$C$52"),W45,INDIRECT("'"&amp;$G$6&amp;"'!$D$37:$D$52")),0))))</f>
        <v/>
      </c>
      <c r="AB45" s="129">
        <f>IF($G$7="",0,IF(W45&gt;'General Information'!$D$33,0,IF(W45=0,$J$7,IFERROR(SUMIF(INDIRECT("'"&amp;$G$7&amp;"'!$C$37:$C$52"),W45,INDIRECT("'"&amp;$G$7&amp;"'!$D$37:$D$52")),0))))</f>
        <v/>
      </c>
      <c r="AC45" s="129">
        <f>IF($G$4="",0,AC44+IF(W45&gt;'General Information'!$D$33,0,IF(W45=0,$J$4,IFERROR(SUMIF(INDIRECT("'"&amp;$G$4&amp;"'!$C$37:$C$52"),W45,INDIRECT("'"&amp;$G$4&amp;"'!$E$37:$E$52")),0))))</f>
        <v/>
      </c>
      <c r="AD45" s="129">
        <f>IF($G$5="",0,AD44+IF(W45&gt;'General Information'!$D$33,0,IF(W45=0,$J$5,IFERROR(SUMIF(INDIRECT("'"&amp;$G$5&amp;"'!$C$37:$C$52"),W45,INDIRECT("'"&amp;$G$5&amp;"'!$E$37:$E$52")),0))))</f>
        <v/>
      </c>
      <c r="AE45" s="129">
        <f>IF($G$6="",0,AE44+IF(W45&gt;'General Information'!$D$33,0,IF(W45=0,$J$6,IFERROR(SUMIF(INDIRECT("'"&amp;$G$6&amp;"'!$C$37:$C$52"),W45,INDIRECT("'"&amp;$G$6&amp;"'!$E$37:$E$52")),0))))</f>
        <v/>
      </c>
      <c r="AF45" s="129">
        <f>IF($G$7="",0,AF44+IF(W45&gt;'General Information'!$D$33,0,IF(W45=0,$J$7,IFERROR(SUMIF(INDIRECT("'"&amp;$G$7&amp;"'!$C$37:$C$52"),W45,INDIRECT("'"&amp;$G$7&amp;"'!$E$37:$E$52")),0))))</f>
        <v/>
      </c>
      <c r="AG45" s="134">
        <f>IF($G$4="",0,IF(W45&gt;'General Information'!$D$33,0,IFERROR(SUMIFS(INDIRECT("'"&amp;$G$4&amp;"'!$D$37:$D$52"),INDIRECT("'"&amp;$G$4&amp;"'!$C$37:$C$52"),W45,INDIRECT("'"&amp;$G$4&amp;"'!$B$37:$B$52"),"*Indirect*")/INDIRECT("'"&amp;$G$4&amp;"'!$F$2"),0)))</f>
        <v/>
      </c>
      <c r="AH45" s="134">
        <f>IF($G$5="",0,IF(W45&gt;'General Information'!$D$33,0,IFERROR(SUMIFS(INDIRECT("'"&amp;$G$5&amp;"'!$D$37:$D$52"),INDIRECT("'"&amp;$G$5&amp;"'!$C$37:$C$52"),W45,INDIRECT("'"&amp;$G$5&amp;"'!$B$37:$B$52"),"*Indirect*")/INDIRECT("'"&amp;$G$5&amp;"'!$F$2"),0)))</f>
        <v/>
      </c>
      <c r="AI45" s="134">
        <f>IF($G$6="",0,IF(W45&gt;'General Information'!$D$33,0,IFERROR(SUMIFS(INDIRECT("'"&amp;$G$6&amp;"'!$D$37:$D$52"),INDIRECT("'"&amp;$G$6&amp;"'!$C$37:$C$52"),W45,INDIRECT("'"&amp;$G$6&amp;"'!$B$37:$B$52"),"*Indirect*")/INDIRECT("'"&amp;$G$6&amp;"'!$F$2"),0)))</f>
        <v/>
      </c>
      <c r="AJ45" s="134">
        <f>IF($G$7="",0,IF(W45&gt;'General Information'!$D$33,0,IFERROR(SUMIFS(INDIRECT("'"&amp;$G$7&amp;"'!$D$37:$D$52"),INDIRECT("'"&amp;$G$7&amp;"'!$C$37:$C$52"),W45,INDIRECT("'"&amp;$G$7&amp;"'!$B$37:$B$52"),"*Indirect*")/INDIRECT("'"&amp;$G$7&amp;"'!$F$2"),0)))</f>
        <v/>
      </c>
    </row>
    <row r="46">
      <c r="W46" s="128" t="n">
        <v>5</v>
      </c>
      <c r="X46" s="128">
        <f>'General Information'!$D$25+W46</f>
        <v/>
      </c>
      <c r="Y46" s="129">
        <f>IF($G$4="",0,IF(W46&gt;'General Information'!$D$33,0,IF(W46=0,$J$4,IFERROR(SUMIF(INDIRECT("'"&amp;$G$4&amp;"'!$C$37:$C$52"),W46,INDIRECT("'"&amp;$G$4&amp;"'!$D$37:$D$52")),0))))</f>
        <v/>
      </c>
      <c r="Z46" s="129">
        <f>IF($G$5="",0,IF(W46&gt;'General Information'!$D$33,0,IF(W46=0,$J$5,IFERROR(SUMIF(INDIRECT("'"&amp;$G$5&amp;"'!$C$37:$C$52"),W46,INDIRECT("'"&amp;$G$5&amp;"'!$D$37:$D$52")),0))))</f>
        <v/>
      </c>
      <c r="AA46" s="129">
        <f>IF($G$6="",0,IF(W46&gt;'General Information'!$D$33,0,IF(W46=0,$J$6,IFERROR(SUMIF(INDIRECT("'"&amp;$G$6&amp;"'!$C$37:$C$52"),W46,INDIRECT("'"&amp;$G$6&amp;"'!$D$37:$D$52")),0))))</f>
        <v/>
      </c>
      <c r="AB46" s="129">
        <f>IF($G$7="",0,IF(W46&gt;'General Information'!$D$33,0,IF(W46=0,$J$7,IFERROR(SUMIF(INDIRECT("'"&amp;$G$7&amp;"'!$C$37:$C$52"),W46,INDIRECT("'"&amp;$G$7&amp;"'!$D$37:$D$52")),0))))</f>
        <v/>
      </c>
      <c r="AC46" s="129">
        <f>IF($G$4="",0,AC45+IF(W46&gt;'General Information'!$D$33,0,IF(W46=0,$J$4,IFERROR(SUMIF(INDIRECT("'"&amp;$G$4&amp;"'!$C$37:$C$52"),W46,INDIRECT("'"&amp;$G$4&amp;"'!$E$37:$E$52")),0))))</f>
        <v/>
      </c>
      <c r="AD46" s="129">
        <f>IF($G$5="",0,AD45+IF(W46&gt;'General Information'!$D$33,0,IF(W46=0,$J$5,IFERROR(SUMIF(INDIRECT("'"&amp;$G$5&amp;"'!$C$37:$C$52"),W46,INDIRECT("'"&amp;$G$5&amp;"'!$E$37:$E$52")),0))))</f>
        <v/>
      </c>
      <c r="AE46" s="129">
        <f>IF($G$6="",0,AE45+IF(W46&gt;'General Information'!$D$33,0,IF(W46=0,$J$6,IFERROR(SUMIF(INDIRECT("'"&amp;$G$6&amp;"'!$C$37:$C$52"),W46,INDIRECT("'"&amp;$G$6&amp;"'!$E$37:$E$52")),0))))</f>
        <v/>
      </c>
      <c r="AF46" s="129">
        <f>IF($G$7="",0,AF45+IF(W46&gt;'General Information'!$D$33,0,IF(W46=0,$J$7,IFERROR(SUMIF(INDIRECT("'"&amp;$G$7&amp;"'!$C$37:$C$52"),W46,INDIRECT("'"&amp;$G$7&amp;"'!$E$37:$E$52")),0))))</f>
        <v/>
      </c>
      <c r="AG46" s="134">
        <f>IF($G$4="",0,IF(W46&gt;'General Information'!$D$33,0,IFERROR(SUMIFS(INDIRECT("'"&amp;$G$4&amp;"'!$D$37:$D$52"),INDIRECT("'"&amp;$G$4&amp;"'!$C$37:$C$52"),W46,INDIRECT("'"&amp;$G$4&amp;"'!$B$37:$B$52"),"*Indirect*")/INDIRECT("'"&amp;$G$4&amp;"'!$F$2"),0)))</f>
        <v/>
      </c>
      <c r="AH46" s="134">
        <f>IF($G$5="",0,IF(W46&gt;'General Information'!$D$33,0,IFERROR(SUMIFS(INDIRECT("'"&amp;$G$5&amp;"'!$D$37:$D$52"),INDIRECT("'"&amp;$G$5&amp;"'!$C$37:$C$52"),W46,INDIRECT("'"&amp;$G$5&amp;"'!$B$37:$B$52"),"*Indirect*")/INDIRECT("'"&amp;$G$5&amp;"'!$F$2"),0)))</f>
        <v/>
      </c>
      <c r="AI46" s="134">
        <f>IF($G$6="",0,IF(W46&gt;'General Information'!$D$33,0,IFERROR(SUMIFS(INDIRECT("'"&amp;$G$6&amp;"'!$D$37:$D$52"),INDIRECT("'"&amp;$G$6&amp;"'!$C$37:$C$52"),W46,INDIRECT("'"&amp;$G$6&amp;"'!$B$37:$B$52"),"*Indirect*")/INDIRECT("'"&amp;$G$6&amp;"'!$F$2"),0)))</f>
        <v/>
      </c>
      <c r="AJ46" s="134">
        <f>IF($G$7="",0,IF(W46&gt;'General Information'!$D$33,0,IFERROR(SUMIFS(INDIRECT("'"&amp;$G$7&amp;"'!$D$37:$D$52"),INDIRECT("'"&amp;$G$7&amp;"'!$C$37:$C$52"),W46,INDIRECT("'"&amp;$G$7&amp;"'!$B$37:$B$52"),"*Indirect*")/INDIRECT("'"&amp;$G$7&amp;"'!$F$2"),0)))</f>
        <v/>
      </c>
    </row>
    <row r="47">
      <c r="W47" s="128" t="n">
        <v>6</v>
      </c>
      <c r="X47" s="128">
        <f>'General Information'!$D$25+W47</f>
        <v/>
      </c>
      <c r="Y47" s="129">
        <f>IF($G$4="",0,IF(W47&gt;'General Information'!$D$33,0,IF(W47=0,$J$4,IFERROR(SUMIF(INDIRECT("'"&amp;$G$4&amp;"'!$C$37:$C$52"),W47,INDIRECT("'"&amp;$G$4&amp;"'!$D$37:$D$52")),0))))</f>
        <v/>
      </c>
      <c r="Z47" s="129">
        <f>IF($G$5="",0,IF(W47&gt;'General Information'!$D$33,0,IF(W47=0,$J$5,IFERROR(SUMIF(INDIRECT("'"&amp;$G$5&amp;"'!$C$37:$C$52"),W47,INDIRECT("'"&amp;$G$5&amp;"'!$D$37:$D$52")),0))))</f>
        <v/>
      </c>
      <c r="AA47" s="129">
        <f>IF($G$6="",0,IF(W47&gt;'General Information'!$D$33,0,IF(W47=0,$J$6,IFERROR(SUMIF(INDIRECT("'"&amp;$G$6&amp;"'!$C$37:$C$52"),W47,INDIRECT("'"&amp;$G$6&amp;"'!$D$37:$D$52")),0))))</f>
        <v/>
      </c>
      <c r="AB47" s="129">
        <f>IF($G$7="",0,IF(W47&gt;'General Information'!$D$33,0,IF(W47=0,$J$7,IFERROR(SUMIF(INDIRECT("'"&amp;$G$7&amp;"'!$C$37:$C$52"),W47,INDIRECT("'"&amp;$G$7&amp;"'!$D$37:$D$52")),0))))</f>
        <v/>
      </c>
      <c r="AC47" s="129">
        <f>IF($G$4="",0,AC46+IF(W47&gt;'General Information'!$D$33,0,IF(W47=0,$J$4,IFERROR(SUMIF(INDIRECT("'"&amp;$G$4&amp;"'!$C$37:$C$52"),W47,INDIRECT("'"&amp;$G$4&amp;"'!$E$37:$E$52")),0))))</f>
        <v/>
      </c>
      <c r="AD47" s="129">
        <f>IF($G$5="",0,AD46+IF(W47&gt;'General Information'!$D$33,0,IF(W47=0,$J$5,IFERROR(SUMIF(INDIRECT("'"&amp;$G$5&amp;"'!$C$37:$C$52"),W47,INDIRECT("'"&amp;$G$5&amp;"'!$E$37:$E$52")),0))))</f>
        <v/>
      </c>
      <c r="AE47" s="129">
        <f>IF($G$6="",0,AE46+IF(W47&gt;'General Information'!$D$33,0,IF(W47=0,$J$6,IFERROR(SUMIF(INDIRECT("'"&amp;$G$6&amp;"'!$C$37:$C$52"),W47,INDIRECT("'"&amp;$G$6&amp;"'!$E$37:$E$52")),0))))</f>
        <v/>
      </c>
      <c r="AF47" s="129">
        <f>IF($G$7="",0,AF46+IF(W47&gt;'General Information'!$D$33,0,IF(W47=0,$J$7,IFERROR(SUMIF(INDIRECT("'"&amp;$G$7&amp;"'!$C$37:$C$52"),W47,INDIRECT("'"&amp;$G$7&amp;"'!$E$37:$E$52")),0))))</f>
        <v/>
      </c>
      <c r="AG47" s="134">
        <f>IF($G$4="",0,IF(W47&gt;'General Information'!$D$33,0,IFERROR(SUMIFS(INDIRECT("'"&amp;$G$4&amp;"'!$D$37:$D$52"),INDIRECT("'"&amp;$G$4&amp;"'!$C$37:$C$52"),W47,INDIRECT("'"&amp;$G$4&amp;"'!$B$37:$B$52"),"*Indirect*")/INDIRECT("'"&amp;$G$4&amp;"'!$F$2"),0)))</f>
        <v/>
      </c>
      <c r="AH47" s="134">
        <f>IF($G$5="",0,IF(W47&gt;'General Information'!$D$33,0,IFERROR(SUMIFS(INDIRECT("'"&amp;$G$5&amp;"'!$D$37:$D$52"),INDIRECT("'"&amp;$G$5&amp;"'!$C$37:$C$52"),W47,INDIRECT("'"&amp;$G$5&amp;"'!$B$37:$B$52"),"*Indirect*")/INDIRECT("'"&amp;$G$5&amp;"'!$F$2"),0)))</f>
        <v/>
      </c>
      <c r="AI47" s="134">
        <f>IF($G$6="",0,IF(W47&gt;'General Information'!$D$33,0,IFERROR(SUMIFS(INDIRECT("'"&amp;$G$6&amp;"'!$D$37:$D$52"),INDIRECT("'"&amp;$G$6&amp;"'!$C$37:$C$52"),W47,INDIRECT("'"&amp;$G$6&amp;"'!$B$37:$B$52"),"*Indirect*")/INDIRECT("'"&amp;$G$6&amp;"'!$F$2"),0)))</f>
        <v/>
      </c>
      <c r="AJ47" s="134">
        <f>IF($G$7="",0,IF(W47&gt;'General Information'!$D$33,0,IFERROR(SUMIFS(INDIRECT("'"&amp;$G$7&amp;"'!$D$37:$D$52"),INDIRECT("'"&amp;$G$7&amp;"'!$C$37:$C$52"),W47,INDIRECT("'"&amp;$G$7&amp;"'!$B$37:$B$52"),"*Indirect*")/INDIRECT("'"&amp;$G$7&amp;"'!$F$2"),0)))</f>
        <v/>
      </c>
    </row>
    <row r="48">
      <c r="W48" s="128" t="n">
        <v>7</v>
      </c>
      <c r="X48" s="128">
        <f>'General Information'!$D$25+W48</f>
        <v/>
      </c>
      <c r="Y48" s="129">
        <f>IF($G$4="",0,IF(W48&gt;'General Information'!$D$33,0,IF(W48=0,$J$4,IFERROR(SUMIF(INDIRECT("'"&amp;$G$4&amp;"'!$C$37:$C$52"),W48,INDIRECT("'"&amp;$G$4&amp;"'!$D$37:$D$52")),0))))</f>
        <v/>
      </c>
      <c r="Z48" s="129">
        <f>IF($G$5="",0,IF(W48&gt;'General Information'!$D$33,0,IF(W48=0,$J$5,IFERROR(SUMIF(INDIRECT("'"&amp;$G$5&amp;"'!$C$37:$C$52"),W48,INDIRECT("'"&amp;$G$5&amp;"'!$D$37:$D$52")),0))))</f>
        <v/>
      </c>
      <c r="AA48" s="129">
        <f>IF($G$6="",0,IF(W48&gt;'General Information'!$D$33,0,IF(W48=0,$J$6,IFERROR(SUMIF(INDIRECT("'"&amp;$G$6&amp;"'!$C$37:$C$52"),W48,INDIRECT("'"&amp;$G$6&amp;"'!$D$37:$D$52")),0))))</f>
        <v/>
      </c>
      <c r="AB48" s="129">
        <f>IF($G$7="",0,IF(W48&gt;'General Information'!$D$33,0,IF(W48=0,$J$7,IFERROR(SUMIF(INDIRECT("'"&amp;$G$7&amp;"'!$C$37:$C$52"),W48,INDIRECT("'"&amp;$G$7&amp;"'!$D$37:$D$52")),0))))</f>
        <v/>
      </c>
      <c r="AC48" s="129">
        <f>IF($G$4="",0,AC47+IF(W48&gt;'General Information'!$D$33,0,IF(W48=0,$J$4,IFERROR(SUMIF(INDIRECT("'"&amp;$G$4&amp;"'!$C$37:$C$52"),W48,INDIRECT("'"&amp;$G$4&amp;"'!$E$37:$E$52")),0))))</f>
        <v/>
      </c>
      <c r="AD48" s="129">
        <f>IF($G$5="",0,AD47+IF(W48&gt;'General Information'!$D$33,0,IF(W48=0,$J$5,IFERROR(SUMIF(INDIRECT("'"&amp;$G$5&amp;"'!$C$37:$C$52"),W48,INDIRECT("'"&amp;$G$5&amp;"'!$E$37:$E$52")),0))))</f>
        <v/>
      </c>
      <c r="AE48" s="129">
        <f>IF($G$6="",0,AE47+IF(W48&gt;'General Information'!$D$33,0,IF(W48=0,$J$6,IFERROR(SUMIF(INDIRECT("'"&amp;$G$6&amp;"'!$C$37:$C$52"),W48,INDIRECT("'"&amp;$G$6&amp;"'!$E$37:$E$52")),0))))</f>
        <v/>
      </c>
      <c r="AF48" s="129">
        <f>IF($G$7="",0,AF47+IF(W48&gt;'General Information'!$D$33,0,IF(W48=0,$J$7,IFERROR(SUMIF(INDIRECT("'"&amp;$G$7&amp;"'!$C$37:$C$52"),W48,INDIRECT("'"&amp;$G$7&amp;"'!$E$37:$E$52")),0))))</f>
        <v/>
      </c>
      <c r="AG48" s="134">
        <f>IF($G$4="",0,IF(W48&gt;'General Information'!$D$33,0,IFERROR(SUMIFS(INDIRECT("'"&amp;$G$4&amp;"'!$D$37:$D$52"),INDIRECT("'"&amp;$G$4&amp;"'!$C$37:$C$52"),W48,INDIRECT("'"&amp;$G$4&amp;"'!$B$37:$B$52"),"*Indirect*")/INDIRECT("'"&amp;$G$4&amp;"'!$F$2"),0)))</f>
        <v/>
      </c>
      <c r="AH48" s="134">
        <f>IF($G$5="",0,IF(W48&gt;'General Information'!$D$33,0,IFERROR(SUMIFS(INDIRECT("'"&amp;$G$5&amp;"'!$D$37:$D$52"),INDIRECT("'"&amp;$G$5&amp;"'!$C$37:$C$52"),W48,INDIRECT("'"&amp;$G$5&amp;"'!$B$37:$B$52"),"*Indirect*")/INDIRECT("'"&amp;$G$5&amp;"'!$F$2"),0)))</f>
        <v/>
      </c>
      <c r="AI48" s="134">
        <f>IF($G$6="",0,IF(W48&gt;'General Information'!$D$33,0,IFERROR(SUMIFS(INDIRECT("'"&amp;$G$6&amp;"'!$D$37:$D$52"),INDIRECT("'"&amp;$G$6&amp;"'!$C$37:$C$52"),W48,INDIRECT("'"&amp;$G$6&amp;"'!$B$37:$B$52"),"*Indirect*")/INDIRECT("'"&amp;$G$6&amp;"'!$F$2"),0)))</f>
        <v/>
      </c>
      <c r="AJ48" s="134">
        <f>IF($G$7="",0,IF(W48&gt;'General Information'!$D$33,0,IFERROR(SUMIFS(INDIRECT("'"&amp;$G$7&amp;"'!$D$37:$D$52"),INDIRECT("'"&amp;$G$7&amp;"'!$C$37:$C$52"),W48,INDIRECT("'"&amp;$G$7&amp;"'!$B$37:$B$52"),"*Indirect*")/INDIRECT("'"&amp;$G$7&amp;"'!$F$2"),0)))</f>
        <v/>
      </c>
    </row>
    <row r="49">
      <c r="W49" s="128" t="n">
        <v>8</v>
      </c>
      <c r="X49" s="128">
        <f>'General Information'!$D$25+W49</f>
        <v/>
      </c>
      <c r="Y49" s="129">
        <f>IF($G$4="",0,IF(W49&gt;'General Information'!$D$33,0,IF(W49=0,$J$4,IFERROR(SUMIF(INDIRECT("'"&amp;$G$4&amp;"'!$C$37:$C$52"),W49,INDIRECT("'"&amp;$G$4&amp;"'!$D$37:$D$52")),0))))</f>
        <v/>
      </c>
      <c r="Z49" s="129">
        <f>IF($G$5="",0,IF(W49&gt;'General Information'!$D$33,0,IF(W49=0,$J$5,IFERROR(SUMIF(INDIRECT("'"&amp;$G$5&amp;"'!$C$37:$C$52"),W49,INDIRECT("'"&amp;$G$5&amp;"'!$D$37:$D$52")),0))))</f>
        <v/>
      </c>
      <c r="AA49" s="129">
        <f>IF($G$6="",0,IF(W49&gt;'General Information'!$D$33,0,IF(W49=0,$J$6,IFERROR(SUMIF(INDIRECT("'"&amp;$G$6&amp;"'!$C$37:$C$52"),W49,INDIRECT("'"&amp;$G$6&amp;"'!$D$37:$D$52")),0))))</f>
        <v/>
      </c>
      <c r="AB49" s="129">
        <f>IF($G$7="",0,IF(W49&gt;'General Information'!$D$33,0,IF(W49=0,$J$7,IFERROR(SUMIF(INDIRECT("'"&amp;$G$7&amp;"'!$C$37:$C$52"),W49,INDIRECT("'"&amp;$G$7&amp;"'!$D$37:$D$52")),0))))</f>
        <v/>
      </c>
      <c r="AC49" s="129">
        <f>IF($G$4="",0,AC48+IF(W49&gt;'General Information'!$D$33,0,IF(W49=0,$J$4,IFERROR(SUMIF(INDIRECT("'"&amp;$G$4&amp;"'!$C$37:$C$52"),W49,INDIRECT("'"&amp;$G$4&amp;"'!$E$37:$E$52")),0))))</f>
        <v/>
      </c>
      <c r="AD49" s="129">
        <f>IF($G$5="",0,AD48+IF(W49&gt;'General Information'!$D$33,0,IF(W49=0,$J$5,IFERROR(SUMIF(INDIRECT("'"&amp;$G$5&amp;"'!$C$37:$C$52"),W49,INDIRECT("'"&amp;$G$5&amp;"'!$E$37:$E$52")),0))))</f>
        <v/>
      </c>
      <c r="AE49" s="129">
        <f>IF($G$6="",0,AE48+IF(W49&gt;'General Information'!$D$33,0,IF(W49=0,$J$6,IFERROR(SUMIF(INDIRECT("'"&amp;$G$6&amp;"'!$C$37:$C$52"),W49,INDIRECT("'"&amp;$G$6&amp;"'!$E$37:$E$52")),0))))</f>
        <v/>
      </c>
      <c r="AF49" s="129">
        <f>IF($G$7="",0,AF48+IF(W49&gt;'General Information'!$D$33,0,IF(W49=0,$J$7,IFERROR(SUMIF(INDIRECT("'"&amp;$G$7&amp;"'!$C$37:$C$52"),W49,INDIRECT("'"&amp;$G$7&amp;"'!$E$37:$E$52")),0))))</f>
        <v/>
      </c>
      <c r="AG49" s="134">
        <f>IF($G$4="",0,IF(W49&gt;'General Information'!$D$33,0,IFERROR(SUMIFS(INDIRECT("'"&amp;$G$4&amp;"'!$D$37:$D$52"),INDIRECT("'"&amp;$G$4&amp;"'!$C$37:$C$52"),W49,INDIRECT("'"&amp;$G$4&amp;"'!$B$37:$B$52"),"*Indirect*")/INDIRECT("'"&amp;$G$4&amp;"'!$F$2"),0)))</f>
        <v/>
      </c>
      <c r="AH49" s="134">
        <f>IF($G$5="",0,IF(W49&gt;'General Information'!$D$33,0,IFERROR(SUMIFS(INDIRECT("'"&amp;$G$5&amp;"'!$D$37:$D$52"),INDIRECT("'"&amp;$G$5&amp;"'!$C$37:$C$52"),W49,INDIRECT("'"&amp;$G$5&amp;"'!$B$37:$B$52"),"*Indirect*")/INDIRECT("'"&amp;$G$5&amp;"'!$F$2"),0)))</f>
        <v/>
      </c>
      <c r="AI49" s="134">
        <f>IF($G$6="",0,IF(W49&gt;'General Information'!$D$33,0,IFERROR(SUMIFS(INDIRECT("'"&amp;$G$6&amp;"'!$D$37:$D$52"),INDIRECT("'"&amp;$G$6&amp;"'!$C$37:$C$52"),W49,INDIRECT("'"&amp;$G$6&amp;"'!$B$37:$B$52"),"*Indirect*")/INDIRECT("'"&amp;$G$6&amp;"'!$F$2"),0)))</f>
        <v/>
      </c>
      <c r="AJ49" s="134">
        <f>IF($G$7="",0,IF(W49&gt;'General Information'!$D$33,0,IFERROR(SUMIFS(INDIRECT("'"&amp;$G$7&amp;"'!$D$37:$D$52"),INDIRECT("'"&amp;$G$7&amp;"'!$C$37:$C$52"),W49,INDIRECT("'"&amp;$G$7&amp;"'!$B$37:$B$52"),"*Indirect*")/INDIRECT("'"&amp;$G$7&amp;"'!$F$2"),0)))</f>
        <v/>
      </c>
    </row>
    <row r="50">
      <c r="W50" s="128" t="n">
        <v>9</v>
      </c>
      <c r="X50" s="128">
        <f>'General Information'!$D$25+W50</f>
        <v/>
      </c>
      <c r="Y50" s="129">
        <f>IF($G$4="",0,IF(W50&gt;'General Information'!$D$33,0,IF(W50=0,$J$4,IFERROR(SUMIF(INDIRECT("'"&amp;$G$4&amp;"'!$C$37:$C$52"),W50,INDIRECT("'"&amp;$G$4&amp;"'!$D$37:$D$52")),0))))</f>
        <v/>
      </c>
      <c r="Z50" s="129">
        <f>IF($G$5="",0,IF(W50&gt;'General Information'!$D$33,0,IF(W50=0,$J$5,IFERROR(SUMIF(INDIRECT("'"&amp;$G$5&amp;"'!$C$37:$C$52"),W50,INDIRECT("'"&amp;$G$5&amp;"'!$D$37:$D$52")),0))))</f>
        <v/>
      </c>
      <c r="AA50" s="129">
        <f>IF($G$6="",0,IF(W50&gt;'General Information'!$D$33,0,IF(W50=0,$J$6,IFERROR(SUMIF(INDIRECT("'"&amp;$G$6&amp;"'!$C$37:$C$52"),W50,INDIRECT("'"&amp;$G$6&amp;"'!$D$37:$D$52")),0))))</f>
        <v/>
      </c>
      <c r="AB50" s="129">
        <f>IF($G$7="",0,IF(W50&gt;'General Information'!$D$33,0,IF(W50=0,$J$7,IFERROR(SUMIF(INDIRECT("'"&amp;$G$7&amp;"'!$C$37:$C$52"),W50,INDIRECT("'"&amp;$G$7&amp;"'!$D$37:$D$52")),0))))</f>
        <v/>
      </c>
      <c r="AC50" s="129">
        <f>IF($G$4="",0,AC49+IF(W50&gt;'General Information'!$D$33,0,IF(W50=0,$J$4,IFERROR(SUMIF(INDIRECT("'"&amp;$G$4&amp;"'!$C$37:$C$52"),W50,INDIRECT("'"&amp;$G$4&amp;"'!$E$37:$E$52")),0))))</f>
        <v/>
      </c>
      <c r="AD50" s="129">
        <f>IF($G$5="",0,AD49+IF(W50&gt;'General Information'!$D$33,0,IF(W50=0,$J$5,IFERROR(SUMIF(INDIRECT("'"&amp;$G$5&amp;"'!$C$37:$C$52"),W50,INDIRECT("'"&amp;$G$5&amp;"'!$E$37:$E$52")),0))))</f>
        <v/>
      </c>
      <c r="AE50" s="129">
        <f>IF($G$6="",0,AE49+IF(W50&gt;'General Information'!$D$33,0,IF(W50=0,$J$6,IFERROR(SUMIF(INDIRECT("'"&amp;$G$6&amp;"'!$C$37:$C$52"),W50,INDIRECT("'"&amp;$G$6&amp;"'!$E$37:$E$52")),0))))</f>
        <v/>
      </c>
      <c r="AF50" s="129">
        <f>IF($G$7="",0,AF49+IF(W50&gt;'General Information'!$D$33,0,IF(W50=0,$J$7,IFERROR(SUMIF(INDIRECT("'"&amp;$G$7&amp;"'!$C$37:$C$52"),W50,INDIRECT("'"&amp;$G$7&amp;"'!$E$37:$E$52")),0))))</f>
        <v/>
      </c>
      <c r="AG50" s="134">
        <f>IF($G$4="",0,IF(W50&gt;'General Information'!$D$33,0,IFERROR(SUMIFS(INDIRECT("'"&amp;$G$4&amp;"'!$D$37:$D$52"),INDIRECT("'"&amp;$G$4&amp;"'!$C$37:$C$52"),W50,INDIRECT("'"&amp;$G$4&amp;"'!$B$37:$B$52"),"*Indirect*")/INDIRECT("'"&amp;$G$4&amp;"'!$F$2"),0)))</f>
        <v/>
      </c>
      <c r="AH50" s="134">
        <f>IF($G$5="",0,IF(W50&gt;'General Information'!$D$33,0,IFERROR(SUMIFS(INDIRECT("'"&amp;$G$5&amp;"'!$D$37:$D$52"),INDIRECT("'"&amp;$G$5&amp;"'!$C$37:$C$52"),W50,INDIRECT("'"&amp;$G$5&amp;"'!$B$37:$B$52"),"*Indirect*")/INDIRECT("'"&amp;$G$5&amp;"'!$F$2"),0)))</f>
        <v/>
      </c>
      <c r="AI50" s="134">
        <f>IF($G$6="",0,IF(W50&gt;'General Information'!$D$33,0,IFERROR(SUMIFS(INDIRECT("'"&amp;$G$6&amp;"'!$D$37:$D$52"),INDIRECT("'"&amp;$G$6&amp;"'!$C$37:$C$52"),W50,INDIRECT("'"&amp;$G$6&amp;"'!$B$37:$B$52"),"*Indirect*")/INDIRECT("'"&amp;$G$6&amp;"'!$F$2"),0)))</f>
        <v/>
      </c>
      <c r="AJ50" s="134">
        <f>IF($G$7="",0,IF(W50&gt;'General Information'!$D$33,0,IFERROR(SUMIFS(INDIRECT("'"&amp;$G$7&amp;"'!$D$37:$D$52"),INDIRECT("'"&amp;$G$7&amp;"'!$C$37:$C$52"),W50,INDIRECT("'"&amp;$G$7&amp;"'!$B$37:$B$52"),"*Indirect*")/INDIRECT("'"&amp;$G$7&amp;"'!$F$2"),0)))</f>
        <v/>
      </c>
    </row>
    <row r="51">
      <c r="W51" s="128" t="n">
        <v>10</v>
      </c>
      <c r="X51" s="128">
        <f>'General Information'!$D$25+W51</f>
        <v/>
      </c>
      <c r="Y51" s="129">
        <f>IF($G$4="",0,IF(W51&gt;'General Information'!$D$33,0,IF(W51=0,$J$4,IFERROR(SUMIF(INDIRECT("'"&amp;$G$4&amp;"'!$C$37:$C$52"),W51,INDIRECT("'"&amp;$G$4&amp;"'!$D$37:$D$52")),0))))</f>
        <v/>
      </c>
      <c r="Z51" s="129">
        <f>IF($G$5="",0,IF(W51&gt;'General Information'!$D$33,0,IF(W51=0,$J$5,IFERROR(SUMIF(INDIRECT("'"&amp;$G$5&amp;"'!$C$37:$C$52"),W51,INDIRECT("'"&amp;$G$5&amp;"'!$D$37:$D$52")),0))))</f>
        <v/>
      </c>
      <c r="AA51" s="129">
        <f>IF($G$6="",0,IF(W51&gt;'General Information'!$D$33,0,IF(W51=0,$J$6,IFERROR(SUMIF(INDIRECT("'"&amp;$G$6&amp;"'!$C$37:$C$52"),W51,INDIRECT("'"&amp;$G$6&amp;"'!$D$37:$D$52")),0))))</f>
        <v/>
      </c>
      <c r="AB51" s="129">
        <f>IF($G$7="",0,IF(W51&gt;'General Information'!$D$33,0,IF(W51=0,$J$7,IFERROR(SUMIF(INDIRECT("'"&amp;$G$7&amp;"'!$C$37:$C$52"),W51,INDIRECT("'"&amp;$G$7&amp;"'!$D$37:$D$52")),0))))</f>
        <v/>
      </c>
      <c r="AC51" s="129">
        <f>IF($G$4="",0,AC50+IF(W51&gt;'General Information'!$D$33,0,IF(W51=0,$J$4,IFERROR(SUMIF(INDIRECT("'"&amp;$G$4&amp;"'!$C$37:$C$52"),W51,INDIRECT("'"&amp;$G$4&amp;"'!$E$37:$E$52")),0))))</f>
        <v/>
      </c>
      <c r="AD51" s="129">
        <f>IF($G$5="",0,AD50+IF(W51&gt;'General Information'!$D$33,0,IF(W51=0,$J$5,IFERROR(SUMIF(INDIRECT("'"&amp;$G$5&amp;"'!$C$37:$C$52"),W51,INDIRECT("'"&amp;$G$5&amp;"'!$E$37:$E$52")),0))))</f>
        <v/>
      </c>
      <c r="AE51" s="129">
        <f>IF($G$6="",0,AE50+IF(W51&gt;'General Information'!$D$33,0,IF(W51=0,$J$6,IFERROR(SUMIF(INDIRECT("'"&amp;$G$6&amp;"'!$C$37:$C$52"),W51,INDIRECT("'"&amp;$G$6&amp;"'!$E$37:$E$52")),0))))</f>
        <v/>
      </c>
      <c r="AF51" s="129">
        <f>IF($G$7="",0,AF50+IF(W51&gt;'General Information'!$D$33,0,IF(W51=0,$J$7,IFERROR(SUMIF(INDIRECT("'"&amp;$G$7&amp;"'!$C$37:$C$52"),W51,INDIRECT("'"&amp;$G$7&amp;"'!$E$37:$E$52")),0))))</f>
        <v/>
      </c>
      <c r="AG51" s="134">
        <f>IF($G$4="",0,IF(W51&gt;'General Information'!$D$33,0,IFERROR(SUMIFS(INDIRECT("'"&amp;$G$4&amp;"'!$D$37:$D$52"),INDIRECT("'"&amp;$G$4&amp;"'!$C$37:$C$52"),W51,INDIRECT("'"&amp;$G$4&amp;"'!$B$37:$B$52"),"*Indirect*")/INDIRECT("'"&amp;$G$4&amp;"'!$F$2"),0)))</f>
        <v/>
      </c>
      <c r="AH51" s="134">
        <f>IF($G$5="",0,IF(W51&gt;'General Information'!$D$33,0,IFERROR(SUMIFS(INDIRECT("'"&amp;$G$5&amp;"'!$D$37:$D$52"),INDIRECT("'"&amp;$G$5&amp;"'!$C$37:$C$52"),W51,INDIRECT("'"&amp;$G$5&amp;"'!$B$37:$B$52"),"*Indirect*")/INDIRECT("'"&amp;$G$5&amp;"'!$F$2"),0)))</f>
        <v/>
      </c>
      <c r="AI51" s="134">
        <f>IF($G$6="",0,IF(W51&gt;'General Information'!$D$33,0,IFERROR(SUMIFS(INDIRECT("'"&amp;$G$6&amp;"'!$D$37:$D$52"),INDIRECT("'"&amp;$G$6&amp;"'!$C$37:$C$52"),W51,INDIRECT("'"&amp;$G$6&amp;"'!$B$37:$B$52"),"*Indirect*")/INDIRECT("'"&amp;$G$6&amp;"'!$F$2"),0)))</f>
        <v/>
      </c>
      <c r="AJ51" s="134">
        <f>IF($G$7="",0,IF(W51&gt;'General Information'!$D$33,0,IFERROR(SUMIFS(INDIRECT("'"&amp;$G$7&amp;"'!$D$37:$D$52"),INDIRECT("'"&amp;$G$7&amp;"'!$C$37:$C$52"),W51,INDIRECT("'"&amp;$G$7&amp;"'!$B$37:$B$52"),"*Indirect*")/INDIRECT("'"&amp;$G$7&amp;"'!$F$2"),0)))</f>
        <v/>
      </c>
    </row>
    <row r="52">
      <c r="W52" s="128" t="n">
        <v>11</v>
      </c>
      <c r="X52" s="128">
        <f>'General Information'!$D$25+W52</f>
        <v/>
      </c>
      <c r="Y52" s="129">
        <f>IF($G$4="",0,IF(W52&gt;'General Information'!$D$33,0,IF(W52=0,$J$4,IFERROR(SUMIF(INDIRECT("'"&amp;$G$4&amp;"'!$C$37:$C$52"),W52,INDIRECT("'"&amp;$G$4&amp;"'!$D$37:$D$52")),0))))</f>
        <v/>
      </c>
      <c r="Z52" s="129">
        <f>IF($G$5="",0,IF(W52&gt;'General Information'!$D$33,0,IF(W52=0,$J$5,IFERROR(SUMIF(INDIRECT("'"&amp;$G$5&amp;"'!$C$37:$C$52"),W52,INDIRECT("'"&amp;$G$5&amp;"'!$D$37:$D$52")),0))))</f>
        <v/>
      </c>
      <c r="AA52" s="129">
        <f>IF($G$6="",0,IF(W52&gt;'General Information'!$D$33,0,IF(W52=0,$J$6,IFERROR(SUMIF(INDIRECT("'"&amp;$G$6&amp;"'!$C$37:$C$52"),W52,INDIRECT("'"&amp;$G$6&amp;"'!$D$37:$D$52")),0))))</f>
        <v/>
      </c>
      <c r="AB52" s="129">
        <f>IF($G$7="",0,IF(W52&gt;'General Information'!$D$33,0,IF(W52=0,$J$7,IFERROR(SUMIF(INDIRECT("'"&amp;$G$7&amp;"'!$C$37:$C$52"),W52,INDIRECT("'"&amp;$G$7&amp;"'!$D$37:$D$52")),0))))</f>
        <v/>
      </c>
      <c r="AC52" s="129">
        <f>IF($G$4="",0,AC51+IF(W52&gt;'General Information'!$D$33,0,IF(W52=0,$J$4,IFERROR(SUMIF(INDIRECT("'"&amp;$G$4&amp;"'!$C$37:$C$52"),W52,INDIRECT("'"&amp;$G$4&amp;"'!$E$37:$E$52")),0))))</f>
        <v/>
      </c>
      <c r="AD52" s="129">
        <f>IF($G$5="",0,AD51+IF(W52&gt;'General Information'!$D$33,0,IF(W52=0,$J$5,IFERROR(SUMIF(INDIRECT("'"&amp;$G$5&amp;"'!$C$37:$C$52"),W52,INDIRECT("'"&amp;$G$5&amp;"'!$E$37:$E$52")),0))))</f>
        <v/>
      </c>
      <c r="AE52" s="129">
        <f>IF($G$6="",0,AE51+IF(W52&gt;'General Information'!$D$33,0,IF(W52=0,$J$6,IFERROR(SUMIF(INDIRECT("'"&amp;$G$6&amp;"'!$C$37:$C$52"),W52,INDIRECT("'"&amp;$G$6&amp;"'!$E$37:$E$52")),0))))</f>
        <v/>
      </c>
      <c r="AF52" s="129">
        <f>IF($G$7="",0,AF51+IF(W52&gt;'General Information'!$D$33,0,IF(W52=0,$J$7,IFERROR(SUMIF(INDIRECT("'"&amp;$G$7&amp;"'!$C$37:$C$52"),W52,INDIRECT("'"&amp;$G$7&amp;"'!$E$37:$E$52")),0))))</f>
        <v/>
      </c>
      <c r="AG52" s="134">
        <f>IF($G$4="",0,IF(W52&gt;'General Information'!$D$33,0,IFERROR(SUMIFS(INDIRECT("'"&amp;$G$4&amp;"'!$D$37:$D$52"),INDIRECT("'"&amp;$G$4&amp;"'!$C$37:$C$52"),W52,INDIRECT("'"&amp;$G$4&amp;"'!$B$37:$B$52"),"*Indirect*")/INDIRECT("'"&amp;$G$4&amp;"'!$F$2"),0)))</f>
        <v/>
      </c>
      <c r="AH52" s="134">
        <f>IF($G$5="",0,IF(W52&gt;'General Information'!$D$33,0,IFERROR(SUMIFS(INDIRECT("'"&amp;$G$5&amp;"'!$D$37:$D$52"),INDIRECT("'"&amp;$G$5&amp;"'!$C$37:$C$52"),W52,INDIRECT("'"&amp;$G$5&amp;"'!$B$37:$B$52"),"*Indirect*")/INDIRECT("'"&amp;$G$5&amp;"'!$F$2"),0)))</f>
        <v/>
      </c>
      <c r="AI52" s="134">
        <f>IF($G$6="",0,IF(W52&gt;'General Information'!$D$33,0,IFERROR(SUMIFS(INDIRECT("'"&amp;$G$6&amp;"'!$D$37:$D$52"),INDIRECT("'"&amp;$G$6&amp;"'!$C$37:$C$52"),W52,INDIRECT("'"&amp;$G$6&amp;"'!$B$37:$B$52"),"*Indirect*")/INDIRECT("'"&amp;$G$6&amp;"'!$F$2"),0)))</f>
        <v/>
      </c>
      <c r="AJ52" s="134">
        <f>IF($G$7="",0,IF(W52&gt;'General Information'!$D$33,0,IFERROR(SUMIFS(INDIRECT("'"&amp;$G$7&amp;"'!$D$37:$D$52"),INDIRECT("'"&amp;$G$7&amp;"'!$C$37:$C$52"),W52,INDIRECT("'"&amp;$G$7&amp;"'!$B$37:$B$52"),"*Indirect*")/INDIRECT("'"&amp;$G$7&amp;"'!$F$2"),0)))</f>
        <v/>
      </c>
    </row>
    <row r="53">
      <c r="W53" s="128" t="n">
        <v>12</v>
      </c>
      <c r="X53" s="128">
        <f>'General Information'!$D$25+W53</f>
        <v/>
      </c>
      <c r="Y53" s="129">
        <f>IF($G$4="",0,IF(W53&gt;'General Information'!$D$33,0,IF(W53=0,$J$4,IFERROR(SUMIF(INDIRECT("'"&amp;$G$4&amp;"'!$C$37:$C$52"),W53,INDIRECT("'"&amp;$G$4&amp;"'!$D$37:$D$52")),0))))</f>
        <v/>
      </c>
      <c r="Z53" s="129">
        <f>IF($G$5="",0,IF(W53&gt;'General Information'!$D$33,0,IF(W53=0,$J$5,IFERROR(SUMIF(INDIRECT("'"&amp;$G$5&amp;"'!$C$37:$C$52"),W53,INDIRECT("'"&amp;$G$5&amp;"'!$D$37:$D$52")),0))))</f>
        <v/>
      </c>
      <c r="AA53" s="129">
        <f>IF($G$6="",0,IF(W53&gt;'General Information'!$D$33,0,IF(W53=0,$J$6,IFERROR(SUMIF(INDIRECT("'"&amp;$G$6&amp;"'!$C$37:$C$52"),W53,INDIRECT("'"&amp;$G$6&amp;"'!$D$37:$D$52")),0))))</f>
        <v/>
      </c>
      <c r="AB53" s="129">
        <f>IF($G$7="",0,IF(W53&gt;'General Information'!$D$33,0,IF(W53=0,$J$7,IFERROR(SUMIF(INDIRECT("'"&amp;$G$7&amp;"'!$C$37:$C$52"),W53,INDIRECT("'"&amp;$G$7&amp;"'!$D$37:$D$52")),0))))</f>
        <v/>
      </c>
      <c r="AC53" s="129">
        <f>IF($G$4="",0,AC52+IF(W53&gt;'General Information'!$D$33,0,IF(W53=0,$J$4,IFERROR(SUMIF(INDIRECT("'"&amp;$G$4&amp;"'!$C$37:$C$52"),W53,INDIRECT("'"&amp;$G$4&amp;"'!$E$37:$E$52")),0))))</f>
        <v/>
      </c>
      <c r="AD53" s="129">
        <f>IF($G$5="",0,AD52+IF(W53&gt;'General Information'!$D$33,0,IF(W53=0,$J$5,IFERROR(SUMIF(INDIRECT("'"&amp;$G$5&amp;"'!$C$37:$C$52"),W53,INDIRECT("'"&amp;$G$5&amp;"'!$E$37:$E$52")),0))))</f>
        <v/>
      </c>
      <c r="AE53" s="129">
        <f>IF($G$6="",0,AE52+IF(W53&gt;'General Information'!$D$33,0,IF(W53=0,$J$6,IFERROR(SUMIF(INDIRECT("'"&amp;$G$6&amp;"'!$C$37:$C$52"),W53,INDIRECT("'"&amp;$G$6&amp;"'!$E$37:$E$52")),0))))</f>
        <v/>
      </c>
      <c r="AF53" s="129">
        <f>IF($G$7="",0,AF52+IF(W53&gt;'General Information'!$D$33,0,IF(W53=0,$J$7,IFERROR(SUMIF(INDIRECT("'"&amp;$G$7&amp;"'!$C$37:$C$52"),W53,INDIRECT("'"&amp;$G$7&amp;"'!$E$37:$E$52")),0))))</f>
        <v/>
      </c>
      <c r="AG53" s="134">
        <f>IF($G$4="",0,IF(W53&gt;'General Information'!$D$33,0,IFERROR(SUMIFS(INDIRECT("'"&amp;$G$4&amp;"'!$D$37:$D$52"),INDIRECT("'"&amp;$G$4&amp;"'!$C$37:$C$52"),W53,INDIRECT("'"&amp;$G$4&amp;"'!$B$37:$B$52"),"*Indirect*")/INDIRECT("'"&amp;$G$4&amp;"'!$F$2"),0)))</f>
        <v/>
      </c>
      <c r="AH53" s="134">
        <f>IF($G$5="",0,IF(W53&gt;'General Information'!$D$33,0,IFERROR(SUMIFS(INDIRECT("'"&amp;$G$5&amp;"'!$D$37:$D$52"),INDIRECT("'"&amp;$G$5&amp;"'!$C$37:$C$52"),W53,INDIRECT("'"&amp;$G$5&amp;"'!$B$37:$B$52"),"*Indirect*")/INDIRECT("'"&amp;$G$5&amp;"'!$F$2"),0)))</f>
        <v/>
      </c>
      <c r="AI53" s="134">
        <f>IF($G$6="",0,IF(W53&gt;'General Information'!$D$33,0,IFERROR(SUMIFS(INDIRECT("'"&amp;$G$6&amp;"'!$D$37:$D$52"),INDIRECT("'"&amp;$G$6&amp;"'!$C$37:$C$52"),W53,INDIRECT("'"&amp;$G$6&amp;"'!$B$37:$B$52"),"*Indirect*")/INDIRECT("'"&amp;$G$6&amp;"'!$F$2"),0)))</f>
        <v/>
      </c>
      <c r="AJ53" s="134">
        <f>IF($G$7="",0,IF(W53&gt;'General Information'!$D$33,0,IFERROR(SUMIFS(INDIRECT("'"&amp;$G$7&amp;"'!$D$37:$D$52"),INDIRECT("'"&amp;$G$7&amp;"'!$C$37:$C$52"),W53,INDIRECT("'"&amp;$G$7&amp;"'!$B$37:$B$52"),"*Indirect*")/INDIRECT("'"&amp;$G$7&amp;"'!$F$2"),0)))</f>
        <v/>
      </c>
    </row>
    <row r="54">
      <c r="W54" s="128" t="n">
        <v>13</v>
      </c>
      <c r="X54" s="128">
        <f>'General Information'!$D$25+W54</f>
        <v/>
      </c>
      <c r="Y54" s="129">
        <f>IF($G$4="",0,IF(W54&gt;'General Information'!$D$33,0,IF(W54=0,$J$4,IFERROR(SUMIF(INDIRECT("'"&amp;$G$4&amp;"'!$C$37:$C$52"),W54,INDIRECT("'"&amp;$G$4&amp;"'!$D$37:$D$52")),0))))</f>
        <v/>
      </c>
      <c r="Z54" s="129">
        <f>IF($G$5="",0,IF(W54&gt;'General Information'!$D$33,0,IF(W54=0,$J$5,IFERROR(SUMIF(INDIRECT("'"&amp;$G$5&amp;"'!$C$37:$C$52"),W54,INDIRECT("'"&amp;$G$5&amp;"'!$D$37:$D$52")),0))))</f>
        <v/>
      </c>
      <c r="AA54" s="129">
        <f>IF($G$6="",0,IF(W54&gt;'General Information'!$D$33,0,IF(W54=0,$J$6,IFERROR(SUMIF(INDIRECT("'"&amp;$G$6&amp;"'!$C$37:$C$52"),W54,INDIRECT("'"&amp;$G$6&amp;"'!$D$37:$D$52")),0))))</f>
        <v/>
      </c>
      <c r="AB54" s="129">
        <f>IF($G$7="",0,IF(W54&gt;'General Information'!$D$33,0,IF(W54=0,$J$7,IFERROR(SUMIF(INDIRECT("'"&amp;$G$7&amp;"'!$C$37:$C$52"),W54,INDIRECT("'"&amp;$G$7&amp;"'!$D$37:$D$52")),0))))</f>
        <v/>
      </c>
      <c r="AC54" s="129">
        <f>IF($G$4="",0,AC53+IF(W54&gt;'General Information'!$D$33,0,IF(W54=0,$J$4,IFERROR(SUMIF(INDIRECT("'"&amp;$G$4&amp;"'!$C$37:$C$52"),W54,INDIRECT("'"&amp;$G$4&amp;"'!$E$37:$E$52")),0))))</f>
        <v/>
      </c>
      <c r="AD54" s="129">
        <f>IF($G$5="",0,AD53+IF(W54&gt;'General Information'!$D$33,0,IF(W54=0,$J$5,IFERROR(SUMIF(INDIRECT("'"&amp;$G$5&amp;"'!$C$37:$C$52"),W54,INDIRECT("'"&amp;$G$5&amp;"'!$E$37:$E$52")),0))))</f>
        <v/>
      </c>
      <c r="AE54" s="129">
        <f>IF($G$6="",0,AE53+IF(W54&gt;'General Information'!$D$33,0,IF(W54=0,$J$6,IFERROR(SUMIF(INDIRECT("'"&amp;$G$6&amp;"'!$C$37:$C$52"),W54,INDIRECT("'"&amp;$G$6&amp;"'!$E$37:$E$52")),0))))</f>
        <v/>
      </c>
      <c r="AF54" s="129">
        <f>IF($G$7="",0,AF53+IF(W54&gt;'General Information'!$D$33,0,IF(W54=0,$J$7,IFERROR(SUMIF(INDIRECT("'"&amp;$G$7&amp;"'!$C$37:$C$52"),W54,INDIRECT("'"&amp;$G$7&amp;"'!$E$37:$E$52")),0))))</f>
        <v/>
      </c>
      <c r="AG54" s="134">
        <f>IF($G$4="",0,IF(W54&gt;'General Information'!$D$33,0,IFERROR(SUMIFS(INDIRECT("'"&amp;$G$4&amp;"'!$D$37:$D$52"),INDIRECT("'"&amp;$G$4&amp;"'!$C$37:$C$52"),W54,INDIRECT("'"&amp;$G$4&amp;"'!$B$37:$B$52"),"*Indirect*")/INDIRECT("'"&amp;$G$4&amp;"'!$F$2"),0)))</f>
        <v/>
      </c>
      <c r="AH54" s="134">
        <f>IF($G$5="",0,IF(W54&gt;'General Information'!$D$33,0,IFERROR(SUMIFS(INDIRECT("'"&amp;$G$5&amp;"'!$D$37:$D$52"),INDIRECT("'"&amp;$G$5&amp;"'!$C$37:$C$52"),W54,INDIRECT("'"&amp;$G$5&amp;"'!$B$37:$B$52"),"*Indirect*")/INDIRECT("'"&amp;$G$5&amp;"'!$F$2"),0)))</f>
        <v/>
      </c>
      <c r="AI54" s="134">
        <f>IF($G$6="",0,IF(W54&gt;'General Information'!$D$33,0,IFERROR(SUMIFS(INDIRECT("'"&amp;$G$6&amp;"'!$D$37:$D$52"),INDIRECT("'"&amp;$G$6&amp;"'!$C$37:$C$52"),W54,INDIRECT("'"&amp;$G$6&amp;"'!$B$37:$B$52"),"*Indirect*")/INDIRECT("'"&amp;$G$6&amp;"'!$F$2"),0)))</f>
        <v/>
      </c>
      <c r="AJ54" s="134">
        <f>IF($G$7="",0,IF(W54&gt;'General Information'!$D$33,0,IFERROR(SUMIFS(INDIRECT("'"&amp;$G$7&amp;"'!$D$37:$D$52"),INDIRECT("'"&amp;$G$7&amp;"'!$C$37:$C$52"),W54,INDIRECT("'"&amp;$G$7&amp;"'!$B$37:$B$52"),"*Indirect*")/INDIRECT("'"&amp;$G$7&amp;"'!$F$2"),0)))</f>
        <v/>
      </c>
    </row>
    <row r="55">
      <c r="W55" s="128" t="n">
        <v>14</v>
      </c>
      <c r="X55" s="128">
        <f>'General Information'!$D$25+W55</f>
        <v/>
      </c>
      <c r="Y55" s="129">
        <f>IF($G$4="",0,IF(W55&gt;'General Information'!$D$33,0,IF(W55=0,$J$4,IFERROR(SUMIF(INDIRECT("'"&amp;$G$4&amp;"'!$C$37:$C$52"),W55,INDIRECT("'"&amp;$G$4&amp;"'!$D$37:$D$52")),0))))</f>
        <v/>
      </c>
      <c r="Z55" s="129">
        <f>IF($G$5="",0,IF(W55&gt;'General Information'!$D$33,0,IF(W55=0,$J$5,IFERROR(SUMIF(INDIRECT("'"&amp;$G$5&amp;"'!$C$37:$C$52"),W55,INDIRECT("'"&amp;$G$5&amp;"'!$D$37:$D$52")),0))))</f>
        <v/>
      </c>
      <c r="AA55" s="129">
        <f>IF($G$6="",0,IF(W55&gt;'General Information'!$D$33,0,IF(W55=0,$J$6,IFERROR(SUMIF(INDIRECT("'"&amp;$G$6&amp;"'!$C$37:$C$52"),W55,INDIRECT("'"&amp;$G$6&amp;"'!$D$37:$D$52")),0))))</f>
        <v/>
      </c>
      <c r="AB55" s="129">
        <f>IF($G$7="",0,IF(W55&gt;'General Information'!$D$33,0,IF(W55=0,$J$7,IFERROR(SUMIF(INDIRECT("'"&amp;$G$7&amp;"'!$C$37:$C$52"),W55,INDIRECT("'"&amp;$G$7&amp;"'!$D$37:$D$52")),0))))</f>
        <v/>
      </c>
      <c r="AC55" s="129">
        <f>IF($G$4="",0,AC54+IF(W55&gt;'General Information'!$D$33,0,IF(W55=0,$J$4,IFERROR(SUMIF(INDIRECT("'"&amp;$G$4&amp;"'!$C$37:$C$52"),W55,INDIRECT("'"&amp;$G$4&amp;"'!$E$37:$E$52")),0))))</f>
        <v/>
      </c>
      <c r="AD55" s="129">
        <f>IF($G$5="",0,AD54+IF(W55&gt;'General Information'!$D$33,0,IF(W55=0,$J$5,IFERROR(SUMIF(INDIRECT("'"&amp;$G$5&amp;"'!$C$37:$C$52"),W55,INDIRECT("'"&amp;$G$5&amp;"'!$E$37:$E$52")),0))))</f>
        <v/>
      </c>
      <c r="AE55" s="129">
        <f>IF($G$6="",0,AE54+IF(W55&gt;'General Information'!$D$33,0,IF(W55=0,$J$6,IFERROR(SUMIF(INDIRECT("'"&amp;$G$6&amp;"'!$C$37:$C$52"),W55,INDIRECT("'"&amp;$G$6&amp;"'!$E$37:$E$52")),0))))</f>
        <v/>
      </c>
      <c r="AF55" s="129">
        <f>IF($G$7="",0,AF54+IF(W55&gt;'General Information'!$D$33,0,IF(W55=0,$J$7,IFERROR(SUMIF(INDIRECT("'"&amp;$G$7&amp;"'!$C$37:$C$52"),W55,INDIRECT("'"&amp;$G$7&amp;"'!$E$37:$E$52")),0))))</f>
        <v/>
      </c>
      <c r="AG55" s="134">
        <f>IF($G$4="",0,IF(W55&gt;'General Information'!$D$33,0,IFERROR(SUMIFS(INDIRECT("'"&amp;$G$4&amp;"'!$D$37:$D$52"),INDIRECT("'"&amp;$G$4&amp;"'!$C$37:$C$52"),W55,INDIRECT("'"&amp;$G$4&amp;"'!$B$37:$B$52"),"*Indirect*")/INDIRECT("'"&amp;$G$4&amp;"'!$F$2"),0)))</f>
        <v/>
      </c>
      <c r="AH55" s="134">
        <f>IF($G$5="",0,IF(W55&gt;'General Information'!$D$33,0,IFERROR(SUMIFS(INDIRECT("'"&amp;$G$5&amp;"'!$D$37:$D$52"),INDIRECT("'"&amp;$G$5&amp;"'!$C$37:$C$52"),W55,INDIRECT("'"&amp;$G$5&amp;"'!$B$37:$B$52"),"*Indirect*")/INDIRECT("'"&amp;$G$5&amp;"'!$F$2"),0)))</f>
        <v/>
      </c>
      <c r="AI55" s="134">
        <f>IF($G$6="",0,IF(W55&gt;'General Information'!$D$33,0,IFERROR(SUMIFS(INDIRECT("'"&amp;$G$6&amp;"'!$D$37:$D$52"),INDIRECT("'"&amp;$G$6&amp;"'!$C$37:$C$52"),W55,INDIRECT("'"&amp;$G$6&amp;"'!$B$37:$B$52"),"*Indirect*")/INDIRECT("'"&amp;$G$6&amp;"'!$F$2"),0)))</f>
        <v/>
      </c>
      <c r="AJ55" s="134">
        <f>IF($G$7="",0,IF(W55&gt;'General Information'!$D$33,0,IFERROR(SUMIFS(INDIRECT("'"&amp;$G$7&amp;"'!$D$37:$D$52"),INDIRECT("'"&amp;$G$7&amp;"'!$C$37:$C$52"),W55,INDIRECT("'"&amp;$G$7&amp;"'!$B$37:$B$52"),"*Indirect*")/INDIRECT("'"&amp;$G$7&amp;"'!$F$2"),0)))</f>
        <v/>
      </c>
    </row>
    <row r="56">
      <c r="W56" s="128" t="n">
        <v>15</v>
      </c>
      <c r="X56" s="128">
        <f>'General Information'!$D$25+W56</f>
        <v/>
      </c>
      <c r="Y56" s="129">
        <f>IF($G$4="",0,IF(W56&gt;'General Information'!$D$33,0,IF(W56=0,$J$4,IFERROR(SUMIF(INDIRECT("'"&amp;$G$4&amp;"'!$C$37:$C$52"),W56,INDIRECT("'"&amp;$G$4&amp;"'!$D$37:$D$52")),0))))</f>
        <v/>
      </c>
      <c r="Z56" s="129">
        <f>IF($G$5="",0,IF(W56&gt;'General Information'!$D$33,0,IF(W56=0,$J$5,IFERROR(SUMIF(INDIRECT("'"&amp;$G$5&amp;"'!$C$37:$C$52"),W56,INDIRECT("'"&amp;$G$5&amp;"'!$D$37:$D$52")),0))))</f>
        <v/>
      </c>
      <c r="AA56" s="129">
        <f>IF($G$6="",0,IF(W56&gt;'General Information'!$D$33,0,IF(W56=0,$J$6,IFERROR(SUMIF(INDIRECT("'"&amp;$G$6&amp;"'!$C$37:$C$52"),W56,INDIRECT("'"&amp;$G$6&amp;"'!$D$37:$D$52")),0))))</f>
        <v/>
      </c>
      <c r="AB56" s="129">
        <f>IF($G$7="",0,IF(W56&gt;'General Information'!$D$33,0,IF(W56=0,$J$7,IFERROR(SUMIF(INDIRECT("'"&amp;$G$7&amp;"'!$C$37:$C$52"),W56,INDIRECT("'"&amp;$G$7&amp;"'!$D$37:$D$52")),0))))</f>
        <v/>
      </c>
      <c r="AC56" s="129">
        <f>IF($G$4="",0,AC55+IF(W56&gt;'General Information'!$D$33,0,IF(W56=0,$J$4,IFERROR(SUMIF(INDIRECT("'"&amp;$G$4&amp;"'!$C$37:$C$52"),W56,INDIRECT("'"&amp;$G$4&amp;"'!$E$37:$E$52")),0))))</f>
        <v/>
      </c>
      <c r="AD56" s="129">
        <f>IF($G$5="",0,AD55+IF(W56&gt;'General Information'!$D$33,0,IF(W56=0,$J$5,IFERROR(SUMIF(INDIRECT("'"&amp;$G$5&amp;"'!$C$37:$C$52"),W56,INDIRECT("'"&amp;$G$5&amp;"'!$E$37:$E$52")),0))))</f>
        <v/>
      </c>
      <c r="AE56" s="129">
        <f>IF($G$6="",0,AE55+IF(W56&gt;'General Information'!$D$33,0,IF(W56=0,$J$6,IFERROR(SUMIF(INDIRECT("'"&amp;$G$6&amp;"'!$C$37:$C$52"),W56,INDIRECT("'"&amp;$G$6&amp;"'!$E$37:$E$52")),0))))</f>
        <v/>
      </c>
      <c r="AF56" s="129">
        <f>IF($G$7="",0,AF55+IF(W56&gt;'General Information'!$D$33,0,IF(W56=0,$J$7,IFERROR(SUMIF(INDIRECT("'"&amp;$G$7&amp;"'!$C$37:$C$52"),W56,INDIRECT("'"&amp;$G$7&amp;"'!$E$37:$E$52")),0))))</f>
        <v/>
      </c>
      <c r="AG56" s="134">
        <f>IF($G$4="",0,IF(W56&gt;'General Information'!$D$33,0,IFERROR(SUMIFS(INDIRECT("'"&amp;$G$4&amp;"'!$D$37:$D$52"),INDIRECT("'"&amp;$G$4&amp;"'!$C$37:$C$52"),W56,INDIRECT("'"&amp;$G$4&amp;"'!$B$37:$B$52"),"*Indirect*")/INDIRECT("'"&amp;$G$4&amp;"'!$F$2"),0)))</f>
        <v/>
      </c>
      <c r="AH56" s="134">
        <f>IF($G$5="",0,IF(W56&gt;'General Information'!$D$33,0,IFERROR(SUMIFS(INDIRECT("'"&amp;$G$5&amp;"'!$D$37:$D$52"),INDIRECT("'"&amp;$G$5&amp;"'!$C$37:$C$52"),W56,INDIRECT("'"&amp;$G$5&amp;"'!$B$37:$B$52"),"*Indirect*")/INDIRECT("'"&amp;$G$5&amp;"'!$F$2"),0)))</f>
        <v/>
      </c>
      <c r="AI56" s="134">
        <f>IF($G$6="",0,IF(W56&gt;'General Information'!$D$33,0,IFERROR(SUMIFS(INDIRECT("'"&amp;$G$6&amp;"'!$D$37:$D$52"),INDIRECT("'"&amp;$G$6&amp;"'!$C$37:$C$52"),W56,INDIRECT("'"&amp;$G$6&amp;"'!$B$37:$B$52"),"*Indirect*")/INDIRECT("'"&amp;$G$6&amp;"'!$F$2"),0)))</f>
        <v/>
      </c>
      <c r="AJ56" s="134">
        <f>IF($G$7="",0,IF(W56&gt;'General Information'!$D$33,0,IFERROR(SUMIFS(INDIRECT("'"&amp;$G$7&amp;"'!$D$37:$D$52"),INDIRECT("'"&amp;$G$7&amp;"'!$C$37:$C$52"),W56,INDIRECT("'"&amp;$G$7&amp;"'!$B$37:$B$52"),"*Indirect*")/INDIRECT("'"&amp;$G$7&amp;"'!$F$2"),0)))</f>
        <v/>
      </c>
    </row>
    <row r="57">
      <c r="W57" s="128" t="n">
        <v>16</v>
      </c>
      <c r="X57" s="128">
        <f>'General Information'!$D$25+W57</f>
        <v/>
      </c>
      <c r="Y57" s="129">
        <f>IF($G$4="",0,IF(W57&gt;'General Information'!$D$33,0,IF(W57=0,$J$4,IFERROR(SUMIF(INDIRECT("'"&amp;$G$4&amp;"'!$C$37:$C$52"),W57,INDIRECT("'"&amp;$G$4&amp;"'!$D$37:$D$52")),0))))</f>
        <v/>
      </c>
      <c r="Z57" s="129">
        <f>IF($G$5="",0,IF(W57&gt;'General Information'!$D$33,0,IF(W57=0,$J$5,IFERROR(SUMIF(INDIRECT("'"&amp;$G$5&amp;"'!$C$37:$C$52"),W57,INDIRECT("'"&amp;$G$5&amp;"'!$D$37:$D$52")),0))))</f>
        <v/>
      </c>
      <c r="AA57" s="129">
        <f>IF($G$6="",0,IF(W57&gt;'General Information'!$D$33,0,IF(W57=0,$J$6,IFERROR(SUMIF(INDIRECT("'"&amp;$G$6&amp;"'!$C$37:$C$52"),W57,INDIRECT("'"&amp;$G$6&amp;"'!$D$37:$D$52")),0))))</f>
        <v/>
      </c>
      <c r="AB57" s="129">
        <f>IF($G$7="",0,IF(W57&gt;'General Information'!$D$33,0,IF(W57=0,$J$7,IFERROR(SUMIF(INDIRECT("'"&amp;$G$7&amp;"'!$C$37:$C$52"),W57,INDIRECT("'"&amp;$G$7&amp;"'!$D$37:$D$52")),0))))</f>
        <v/>
      </c>
      <c r="AC57" s="129">
        <f>IF($G$4="",0,AC56+IF(W57&gt;'General Information'!$D$33,0,IF(W57=0,$J$4,IFERROR(SUMIF(INDIRECT("'"&amp;$G$4&amp;"'!$C$37:$C$52"),W57,INDIRECT("'"&amp;$G$4&amp;"'!$E$37:$E$52")),0))))</f>
        <v/>
      </c>
      <c r="AD57" s="129">
        <f>IF($G$5="",0,AD56+IF(W57&gt;'General Information'!$D$33,0,IF(W57=0,$J$5,IFERROR(SUMIF(INDIRECT("'"&amp;$G$5&amp;"'!$C$37:$C$52"),W57,INDIRECT("'"&amp;$G$5&amp;"'!$E$37:$E$52")),0))))</f>
        <v/>
      </c>
      <c r="AE57" s="129">
        <f>IF($G$6="",0,AE56+IF(W57&gt;'General Information'!$D$33,0,IF(W57=0,$J$6,IFERROR(SUMIF(INDIRECT("'"&amp;$G$6&amp;"'!$C$37:$C$52"),W57,INDIRECT("'"&amp;$G$6&amp;"'!$E$37:$E$52")),0))))</f>
        <v/>
      </c>
      <c r="AF57" s="129">
        <f>IF($G$7="",0,AF56+IF(W57&gt;'General Information'!$D$33,0,IF(W57=0,$J$7,IFERROR(SUMIF(INDIRECT("'"&amp;$G$7&amp;"'!$C$37:$C$52"),W57,INDIRECT("'"&amp;$G$7&amp;"'!$E$37:$E$52")),0))))</f>
        <v/>
      </c>
      <c r="AG57" s="134">
        <f>IF($G$4="",0,IF(W57&gt;'General Information'!$D$33,0,IFERROR(SUMIFS(INDIRECT("'"&amp;$G$4&amp;"'!$D$37:$D$52"),INDIRECT("'"&amp;$G$4&amp;"'!$C$37:$C$52"),W57,INDIRECT("'"&amp;$G$4&amp;"'!$B$37:$B$52"),"*Indirect*")/INDIRECT("'"&amp;$G$4&amp;"'!$F$2"),0)))</f>
        <v/>
      </c>
      <c r="AH57" s="134">
        <f>IF($G$5="",0,IF(W57&gt;'General Information'!$D$33,0,IFERROR(SUMIFS(INDIRECT("'"&amp;$G$5&amp;"'!$D$37:$D$52"),INDIRECT("'"&amp;$G$5&amp;"'!$C$37:$C$52"),W57,INDIRECT("'"&amp;$G$5&amp;"'!$B$37:$B$52"),"*Indirect*")/INDIRECT("'"&amp;$G$5&amp;"'!$F$2"),0)))</f>
        <v/>
      </c>
      <c r="AI57" s="134">
        <f>IF($G$6="",0,IF(W57&gt;'General Information'!$D$33,0,IFERROR(SUMIFS(INDIRECT("'"&amp;$G$6&amp;"'!$D$37:$D$52"),INDIRECT("'"&amp;$G$6&amp;"'!$C$37:$C$52"),W57,INDIRECT("'"&amp;$G$6&amp;"'!$B$37:$B$52"),"*Indirect*")/INDIRECT("'"&amp;$G$6&amp;"'!$F$2"),0)))</f>
        <v/>
      </c>
      <c r="AJ57" s="134">
        <f>IF($G$7="",0,IF(W57&gt;'General Information'!$D$33,0,IFERROR(SUMIFS(INDIRECT("'"&amp;$G$7&amp;"'!$D$37:$D$52"),INDIRECT("'"&amp;$G$7&amp;"'!$C$37:$C$52"),W57,INDIRECT("'"&amp;$G$7&amp;"'!$B$37:$B$52"),"*Indirect*")/INDIRECT("'"&amp;$G$7&amp;"'!$F$2"),0)))</f>
        <v/>
      </c>
    </row>
    <row r="58">
      <c r="W58" s="128" t="n">
        <v>17</v>
      </c>
      <c r="X58" s="128">
        <f>'General Information'!$D$25+W58</f>
        <v/>
      </c>
      <c r="Y58" s="129">
        <f>IF($G$4="",0,IF(W58&gt;'General Information'!$D$33,0,IF(W58=0,$J$4,IFERROR(SUMIF(INDIRECT("'"&amp;$G$4&amp;"'!$C$37:$C$52"),W58,INDIRECT("'"&amp;$G$4&amp;"'!$D$37:$D$52")),0))))</f>
        <v/>
      </c>
      <c r="Z58" s="129">
        <f>IF($G$5="",0,IF(W58&gt;'General Information'!$D$33,0,IF(W58=0,$J$5,IFERROR(SUMIF(INDIRECT("'"&amp;$G$5&amp;"'!$C$37:$C$52"),W58,INDIRECT("'"&amp;$G$5&amp;"'!$D$37:$D$52")),0))))</f>
        <v/>
      </c>
      <c r="AA58" s="129">
        <f>IF($G$6="",0,IF(W58&gt;'General Information'!$D$33,0,IF(W58=0,$J$6,IFERROR(SUMIF(INDIRECT("'"&amp;$G$6&amp;"'!$C$37:$C$52"),W58,INDIRECT("'"&amp;$G$6&amp;"'!$D$37:$D$52")),0))))</f>
        <v/>
      </c>
      <c r="AB58" s="129">
        <f>IF($G$7="",0,IF(W58&gt;'General Information'!$D$33,0,IF(W58=0,$J$7,IFERROR(SUMIF(INDIRECT("'"&amp;$G$7&amp;"'!$C$37:$C$52"),W58,INDIRECT("'"&amp;$G$7&amp;"'!$D$37:$D$52")),0))))</f>
        <v/>
      </c>
      <c r="AC58" s="129">
        <f>IF($G$4="",0,AC57+IF(W58&gt;'General Information'!$D$33,0,IF(W58=0,$J$4,IFERROR(SUMIF(INDIRECT("'"&amp;$G$4&amp;"'!$C$37:$C$52"),W58,INDIRECT("'"&amp;$G$4&amp;"'!$E$37:$E$52")),0))))</f>
        <v/>
      </c>
      <c r="AD58" s="129">
        <f>IF($G$5="",0,AD57+IF(W58&gt;'General Information'!$D$33,0,IF(W58=0,$J$5,IFERROR(SUMIF(INDIRECT("'"&amp;$G$5&amp;"'!$C$37:$C$52"),W58,INDIRECT("'"&amp;$G$5&amp;"'!$E$37:$E$52")),0))))</f>
        <v/>
      </c>
      <c r="AE58" s="129">
        <f>IF($G$6="",0,AE57+IF(W58&gt;'General Information'!$D$33,0,IF(W58=0,$J$6,IFERROR(SUMIF(INDIRECT("'"&amp;$G$6&amp;"'!$C$37:$C$52"),W58,INDIRECT("'"&amp;$G$6&amp;"'!$E$37:$E$52")),0))))</f>
        <v/>
      </c>
      <c r="AF58" s="129">
        <f>IF($G$7="",0,AF57+IF(W58&gt;'General Information'!$D$33,0,IF(W58=0,$J$7,IFERROR(SUMIF(INDIRECT("'"&amp;$G$7&amp;"'!$C$37:$C$52"),W58,INDIRECT("'"&amp;$G$7&amp;"'!$E$37:$E$52")),0))))</f>
        <v/>
      </c>
      <c r="AG58" s="134">
        <f>IF($G$4="",0,IF(W58&gt;'General Information'!$D$33,0,IFERROR(SUMIFS(INDIRECT("'"&amp;$G$4&amp;"'!$D$37:$D$52"),INDIRECT("'"&amp;$G$4&amp;"'!$C$37:$C$52"),W58,INDIRECT("'"&amp;$G$4&amp;"'!$B$37:$B$52"),"*Indirect*")/INDIRECT("'"&amp;$G$4&amp;"'!$F$2"),0)))</f>
        <v/>
      </c>
      <c r="AH58" s="134">
        <f>IF($G$5="",0,IF(W58&gt;'General Information'!$D$33,0,IFERROR(SUMIFS(INDIRECT("'"&amp;$G$5&amp;"'!$D$37:$D$52"),INDIRECT("'"&amp;$G$5&amp;"'!$C$37:$C$52"),W58,INDIRECT("'"&amp;$G$5&amp;"'!$B$37:$B$52"),"*Indirect*")/INDIRECT("'"&amp;$G$5&amp;"'!$F$2"),0)))</f>
        <v/>
      </c>
      <c r="AI58" s="134">
        <f>IF($G$6="",0,IF(W58&gt;'General Information'!$D$33,0,IFERROR(SUMIFS(INDIRECT("'"&amp;$G$6&amp;"'!$D$37:$D$52"),INDIRECT("'"&amp;$G$6&amp;"'!$C$37:$C$52"),W58,INDIRECT("'"&amp;$G$6&amp;"'!$B$37:$B$52"),"*Indirect*")/INDIRECT("'"&amp;$G$6&amp;"'!$F$2"),0)))</f>
        <v/>
      </c>
      <c r="AJ58" s="134">
        <f>IF($G$7="",0,IF(W58&gt;'General Information'!$D$33,0,IFERROR(SUMIFS(INDIRECT("'"&amp;$G$7&amp;"'!$D$37:$D$52"),INDIRECT("'"&amp;$G$7&amp;"'!$C$37:$C$52"),W58,INDIRECT("'"&amp;$G$7&amp;"'!$B$37:$B$52"),"*Indirect*")/INDIRECT("'"&amp;$G$7&amp;"'!$F$2"),0)))</f>
        <v/>
      </c>
    </row>
    <row r="59">
      <c r="W59" s="128" t="n">
        <v>18</v>
      </c>
      <c r="X59" s="128">
        <f>'General Information'!$D$25+W59</f>
        <v/>
      </c>
      <c r="Y59" s="129">
        <f>IF($G$4="",0,IF(W59&gt;'General Information'!$D$33,0,IF(W59=0,$J$4,IFERROR(SUMIF(INDIRECT("'"&amp;$G$4&amp;"'!$C$37:$C$52"),W59,INDIRECT("'"&amp;$G$4&amp;"'!$D$37:$D$52")),0))))</f>
        <v/>
      </c>
      <c r="Z59" s="129">
        <f>IF($G$5="",0,IF(W59&gt;'General Information'!$D$33,0,IF(W59=0,$J$5,IFERROR(SUMIF(INDIRECT("'"&amp;$G$5&amp;"'!$C$37:$C$52"),W59,INDIRECT("'"&amp;$G$5&amp;"'!$D$37:$D$52")),0))))</f>
        <v/>
      </c>
      <c r="AA59" s="129">
        <f>IF($G$6="",0,IF(W59&gt;'General Information'!$D$33,0,IF(W59=0,$J$6,IFERROR(SUMIF(INDIRECT("'"&amp;$G$6&amp;"'!$C$37:$C$52"),W59,INDIRECT("'"&amp;$G$6&amp;"'!$D$37:$D$52")),0))))</f>
        <v/>
      </c>
      <c r="AB59" s="129">
        <f>IF($G$7="",0,IF(W59&gt;'General Information'!$D$33,0,IF(W59=0,$J$7,IFERROR(SUMIF(INDIRECT("'"&amp;$G$7&amp;"'!$C$37:$C$52"),W59,INDIRECT("'"&amp;$G$7&amp;"'!$D$37:$D$52")),0))))</f>
        <v/>
      </c>
      <c r="AC59" s="129">
        <f>IF($G$4="",0,AC58+IF(W59&gt;'General Information'!$D$33,0,IF(W59=0,$J$4,IFERROR(SUMIF(INDIRECT("'"&amp;$G$4&amp;"'!$C$37:$C$52"),W59,INDIRECT("'"&amp;$G$4&amp;"'!$E$37:$E$52")),0))))</f>
        <v/>
      </c>
      <c r="AD59" s="129">
        <f>IF($G$5="",0,AD58+IF(W59&gt;'General Information'!$D$33,0,IF(W59=0,$J$5,IFERROR(SUMIF(INDIRECT("'"&amp;$G$5&amp;"'!$C$37:$C$52"),W59,INDIRECT("'"&amp;$G$5&amp;"'!$E$37:$E$52")),0))))</f>
        <v/>
      </c>
      <c r="AE59" s="129">
        <f>IF($G$6="",0,AE58+IF(W59&gt;'General Information'!$D$33,0,IF(W59=0,$J$6,IFERROR(SUMIF(INDIRECT("'"&amp;$G$6&amp;"'!$C$37:$C$52"),W59,INDIRECT("'"&amp;$G$6&amp;"'!$E$37:$E$52")),0))))</f>
        <v/>
      </c>
      <c r="AF59" s="129">
        <f>IF($G$7="",0,AF58+IF(W59&gt;'General Information'!$D$33,0,IF(W59=0,$J$7,IFERROR(SUMIF(INDIRECT("'"&amp;$G$7&amp;"'!$C$37:$C$52"),W59,INDIRECT("'"&amp;$G$7&amp;"'!$E$37:$E$52")),0))))</f>
        <v/>
      </c>
      <c r="AG59" s="134">
        <f>IF($G$4="",0,IF(W59&gt;'General Information'!$D$33,0,IFERROR(SUMIFS(INDIRECT("'"&amp;$G$4&amp;"'!$D$37:$D$52"),INDIRECT("'"&amp;$G$4&amp;"'!$C$37:$C$52"),W59,INDIRECT("'"&amp;$G$4&amp;"'!$B$37:$B$52"),"*Indirect*")/INDIRECT("'"&amp;$G$4&amp;"'!$F$2"),0)))</f>
        <v/>
      </c>
      <c r="AH59" s="134">
        <f>IF($G$5="",0,IF(W59&gt;'General Information'!$D$33,0,IFERROR(SUMIFS(INDIRECT("'"&amp;$G$5&amp;"'!$D$37:$D$52"),INDIRECT("'"&amp;$G$5&amp;"'!$C$37:$C$52"),W59,INDIRECT("'"&amp;$G$5&amp;"'!$B$37:$B$52"),"*Indirect*")/INDIRECT("'"&amp;$G$5&amp;"'!$F$2"),0)))</f>
        <v/>
      </c>
      <c r="AI59" s="134">
        <f>IF($G$6="",0,IF(W59&gt;'General Information'!$D$33,0,IFERROR(SUMIFS(INDIRECT("'"&amp;$G$6&amp;"'!$D$37:$D$52"),INDIRECT("'"&amp;$G$6&amp;"'!$C$37:$C$52"),W59,INDIRECT("'"&amp;$G$6&amp;"'!$B$37:$B$52"),"*Indirect*")/INDIRECT("'"&amp;$G$6&amp;"'!$F$2"),0)))</f>
        <v/>
      </c>
      <c r="AJ59" s="134">
        <f>IF($G$7="",0,IF(W59&gt;'General Information'!$D$33,0,IFERROR(SUMIFS(INDIRECT("'"&amp;$G$7&amp;"'!$D$37:$D$52"),INDIRECT("'"&amp;$G$7&amp;"'!$C$37:$C$52"),W59,INDIRECT("'"&amp;$G$7&amp;"'!$B$37:$B$52"),"*Indirect*")/INDIRECT("'"&amp;$G$7&amp;"'!$F$2"),0)))</f>
        <v/>
      </c>
    </row>
    <row r="60">
      <c r="W60" s="128" t="n">
        <v>19</v>
      </c>
      <c r="X60" s="128">
        <f>'General Information'!$D$25+W60</f>
        <v/>
      </c>
      <c r="Y60" s="129">
        <f>IF($G$4="",0,IF(W60&gt;'General Information'!$D$33,0,IF(W60=0,$J$4,IFERROR(SUMIF(INDIRECT("'"&amp;$G$4&amp;"'!$C$37:$C$52"),W60,INDIRECT("'"&amp;$G$4&amp;"'!$D$37:$D$52")),0))))</f>
        <v/>
      </c>
      <c r="Z60" s="129">
        <f>IF($G$5="",0,IF(W60&gt;'General Information'!$D$33,0,IF(W60=0,$J$5,IFERROR(SUMIF(INDIRECT("'"&amp;$G$5&amp;"'!$C$37:$C$52"),W60,INDIRECT("'"&amp;$G$5&amp;"'!$D$37:$D$52")),0))))</f>
        <v/>
      </c>
      <c r="AA60" s="129">
        <f>IF($G$6="",0,IF(W60&gt;'General Information'!$D$33,0,IF(W60=0,$J$6,IFERROR(SUMIF(INDIRECT("'"&amp;$G$6&amp;"'!$C$37:$C$52"),W60,INDIRECT("'"&amp;$G$6&amp;"'!$D$37:$D$52")),0))))</f>
        <v/>
      </c>
      <c r="AB60" s="129">
        <f>IF($G$7="",0,IF(W60&gt;'General Information'!$D$33,0,IF(W60=0,$J$7,IFERROR(SUMIF(INDIRECT("'"&amp;$G$7&amp;"'!$C$37:$C$52"),W60,INDIRECT("'"&amp;$G$7&amp;"'!$D$37:$D$52")),0))))</f>
        <v/>
      </c>
      <c r="AC60" s="129">
        <f>IF($G$4="",0,AC59+IF(W60&gt;'General Information'!$D$33,0,IF(W60=0,$J$4,IFERROR(SUMIF(INDIRECT("'"&amp;$G$4&amp;"'!$C$37:$C$52"),W60,INDIRECT("'"&amp;$G$4&amp;"'!$E$37:$E$52")),0))))</f>
        <v/>
      </c>
      <c r="AD60" s="129">
        <f>IF($G$5="",0,AD59+IF(W60&gt;'General Information'!$D$33,0,IF(W60=0,$J$5,IFERROR(SUMIF(INDIRECT("'"&amp;$G$5&amp;"'!$C$37:$C$52"),W60,INDIRECT("'"&amp;$G$5&amp;"'!$E$37:$E$52")),0))))</f>
        <v/>
      </c>
      <c r="AE60" s="129">
        <f>IF($G$6="",0,AE59+IF(W60&gt;'General Information'!$D$33,0,IF(W60=0,$J$6,IFERROR(SUMIF(INDIRECT("'"&amp;$G$6&amp;"'!$C$37:$C$52"),W60,INDIRECT("'"&amp;$G$6&amp;"'!$E$37:$E$52")),0))))</f>
        <v/>
      </c>
      <c r="AF60" s="129">
        <f>IF($G$7="",0,AF59+IF(W60&gt;'General Information'!$D$33,0,IF(W60=0,$J$7,IFERROR(SUMIF(INDIRECT("'"&amp;$G$7&amp;"'!$C$37:$C$52"),W60,INDIRECT("'"&amp;$G$7&amp;"'!$E$37:$E$52")),0))))</f>
        <v/>
      </c>
      <c r="AG60" s="134">
        <f>IF($G$4="",0,IF(W60&gt;'General Information'!$D$33,0,IFERROR(SUMIFS(INDIRECT("'"&amp;$G$4&amp;"'!$D$37:$D$52"),INDIRECT("'"&amp;$G$4&amp;"'!$C$37:$C$52"),W60,INDIRECT("'"&amp;$G$4&amp;"'!$B$37:$B$52"),"*Indirect*")/INDIRECT("'"&amp;$G$4&amp;"'!$F$2"),0)))</f>
        <v/>
      </c>
      <c r="AH60" s="134">
        <f>IF($G$5="",0,IF(W60&gt;'General Information'!$D$33,0,IFERROR(SUMIFS(INDIRECT("'"&amp;$G$5&amp;"'!$D$37:$D$52"),INDIRECT("'"&amp;$G$5&amp;"'!$C$37:$C$52"),W60,INDIRECT("'"&amp;$G$5&amp;"'!$B$37:$B$52"),"*Indirect*")/INDIRECT("'"&amp;$G$5&amp;"'!$F$2"),0)))</f>
        <v/>
      </c>
      <c r="AI60" s="134">
        <f>IF($G$6="",0,IF(W60&gt;'General Information'!$D$33,0,IFERROR(SUMIFS(INDIRECT("'"&amp;$G$6&amp;"'!$D$37:$D$52"),INDIRECT("'"&amp;$G$6&amp;"'!$C$37:$C$52"),W60,INDIRECT("'"&amp;$G$6&amp;"'!$B$37:$B$52"),"*Indirect*")/INDIRECT("'"&amp;$G$6&amp;"'!$F$2"),0)))</f>
        <v/>
      </c>
      <c r="AJ60" s="134">
        <f>IF($G$7="",0,IF(W60&gt;'General Information'!$D$33,0,IFERROR(SUMIFS(INDIRECT("'"&amp;$G$7&amp;"'!$D$37:$D$52"),INDIRECT("'"&amp;$G$7&amp;"'!$C$37:$C$52"),W60,INDIRECT("'"&amp;$G$7&amp;"'!$B$37:$B$52"),"*Indirect*")/INDIRECT("'"&amp;$G$7&amp;"'!$F$2"),0)))</f>
        <v/>
      </c>
    </row>
    <row r="61">
      <c r="W61" s="128" t="n">
        <v>20</v>
      </c>
      <c r="X61" s="128">
        <f>'General Information'!$D$25+W61</f>
        <v/>
      </c>
      <c r="Y61" s="129">
        <f>IF($G$4="",0,IF(W61&gt;'General Information'!$D$33,0,IF(W61=0,$J$4,IFERROR(SUMIF(INDIRECT("'"&amp;$G$4&amp;"'!$C$37:$C$52"),W61,INDIRECT("'"&amp;$G$4&amp;"'!$D$37:$D$52")),0))))</f>
        <v/>
      </c>
      <c r="Z61" s="129">
        <f>IF($G$5="",0,IF(W61&gt;'General Information'!$D$33,0,IF(W61=0,$J$5,IFERROR(SUMIF(INDIRECT("'"&amp;$G$5&amp;"'!$C$37:$C$52"),W61,INDIRECT("'"&amp;$G$5&amp;"'!$D$37:$D$52")),0))))</f>
        <v/>
      </c>
      <c r="AA61" s="129">
        <f>IF($G$6="",0,IF(W61&gt;'General Information'!$D$33,0,IF(W61=0,$J$6,IFERROR(SUMIF(INDIRECT("'"&amp;$G$6&amp;"'!$C$37:$C$52"),W61,INDIRECT("'"&amp;$G$6&amp;"'!$D$37:$D$52")),0))))</f>
        <v/>
      </c>
      <c r="AB61" s="129">
        <f>IF($G$7="",0,IF(W61&gt;'General Information'!$D$33,0,IF(W61=0,$J$7,IFERROR(SUMIF(INDIRECT("'"&amp;$G$7&amp;"'!$C$37:$C$52"),W61,INDIRECT("'"&amp;$G$7&amp;"'!$D$37:$D$52")),0))))</f>
        <v/>
      </c>
      <c r="AC61" s="129">
        <f>IF($G$4="",0,AC60+IF(W61&gt;'General Information'!$D$33,0,IF(W61=0,$J$4,IFERROR(SUMIF(INDIRECT("'"&amp;$G$4&amp;"'!$C$37:$C$52"),W61,INDIRECT("'"&amp;$G$4&amp;"'!$E$37:$E$52")),0))))</f>
        <v/>
      </c>
      <c r="AD61" s="129">
        <f>IF($G$5="",0,AD60+IF(W61&gt;'General Information'!$D$33,0,IF(W61=0,$J$5,IFERROR(SUMIF(INDIRECT("'"&amp;$G$5&amp;"'!$C$37:$C$52"),W61,INDIRECT("'"&amp;$G$5&amp;"'!$E$37:$E$52")),0))))</f>
        <v/>
      </c>
      <c r="AE61" s="129">
        <f>IF($G$6="",0,AE60+IF(W61&gt;'General Information'!$D$33,0,IF(W61=0,$J$6,IFERROR(SUMIF(INDIRECT("'"&amp;$G$6&amp;"'!$C$37:$C$52"),W61,INDIRECT("'"&amp;$G$6&amp;"'!$E$37:$E$52")),0))))</f>
        <v/>
      </c>
      <c r="AF61" s="129">
        <f>IF($G$7="",0,AF60+IF(W61&gt;'General Information'!$D$33,0,IF(W61=0,$J$7,IFERROR(SUMIF(INDIRECT("'"&amp;$G$7&amp;"'!$C$37:$C$52"),W61,INDIRECT("'"&amp;$G$7&amp;"'!$E$37:$E$52")),0))))</f>
        <v/>
      </c>
      <c r="AG61" s="134">
        <f>IF($G$4="",0,IF(W61&gt;'General Information'!$D$33,0,IFERROR(SUMIFS(INDIRECT("'"&amp;$G$4&amp;"'!$D$37:$D$52"),INDIRECT("'"&amp;$G$4&amp;"'!$C$37:$C$52"),W61,INDIRECT("'"&amp;$G$4&amp;"'!$B$37:$B$52"),"*Indirect*")/INDIRECT("'"&amp;$G$4&amp;"'!$F$2"),0)))</f>
        <v/>
      </c>
      <c r="AH61" s="134">
        <f>IF($G$5="",0,IF(W61&gt;'General Information'!$D$33,0,IFERROR(SUMIFS(INDIRECT("'"&amp;$G$5&amp;"'!$D$37:$D$52"),INDIRECT("'"&amp;$G$5&amp;"'!$C$37:$C$52"),W61,INDIRECT("'"&amp;$G$5&amp;"'!$B$37:$B$52"),"*Indirect*")/INDIRECT("'"&amp;$G$5&amp;"'!$F$2"),0)))</f>
        <v/>
      </c>
      <c r="AI61" s="134">
        <f>IF($G$6="",0,IF(W61&gt;'General Information'!$D$33,0,IFERROR(SUMIFS(INDIRECT("'"&amp;$G$6&amp;"'!$D$37:$D$52"),INDIRECT("'"&amp;$G$6&amp;"'!$C$37:$C$52"),W61,INDIRECT("'"&amp;$G$6&amp;"'!$B$37:$B$52"),"*Indirect*")/INDIRECT("'"&amp;$G$6&amp;"'!$F$2"),0)))</f>
        <v/>
      </c>
      <c r="AJ61" s="134">
        <f>IF($G$7="",0,IF(W61&gt;'General Information'!$D$33,0,IFERROR(SUMIFS(INDIRECT("'"&amp;$G$7&amp;"'!$D$37:$D$52"),INDIRECT("'"&amp;$G$7&amp;"'!$C$37:$C$52"),W61,INDIRECT("'"&amp;$G$7&amp;"'!$B$37:$B$52"),"*Indirect*")/INDIRECT("'"&amp;$G$7&amp;"'!$F$2"),0)))</f>
        <v/>
      </c>
    </row>
    <row r="62">
      <c r="W62" s="128" t="n">
        <v>21</v>
      </c>
      <c r="X62" s="128">
        <f>'General Information'!$D$25+W62</f>
        <v/>
      </c>
      <c r="Y62" s="129">
        <f>IF($G$4="",0,IF(W62&gt;'General Information'!$D$33,0,IF(W62=0,$J$4,IFERROR(SUMIF(INDIRECT("'"&amp;$G$4&amp;"'!$C$37:$C$52"),W62,INDIRECT("'"&amp;$G$4&amp;"'!$D$37:$D$52")),0))))</f>
        <v/>
      </c>
      <c r="Z62" s="129">
        <f>IF($G$5="",0,IF(W62&gt;'General Information'!$D$33,0,IF(W62=0,$J$5,IFERROR(SUMIF(INDIRECT("'"&amp;$G$5&amp;"'!$C$37:$C$52"),W62,INDIRECT("'"&amp;$G$5&amp;"'!$D$37:$D$52")),0))))</f>
        <v/>
      </c>
      <c r="AA62" s="129">
        <f>IF($G$6="",0,IF(W62&gt;'General Information'!$D$33,0,IF(W62=0,$J$6,IFERROR(SUMIF(INDIRECT("'"&amp;$G$6&amp;"'!$C$37:$C$52"),W62,INDIRECT("'"&amp;$G$6&amp;"'!$D$37:$D$52")),0))))</f>
        <v/>
      </c>
      <c r="AB62" s="129">
        <f>IF($G$7="",0,IF(W62&gt;'General Information'!$D$33,0,IF(W62=0,$J$7,IFERROR(SUMIF(INDIRECT("'"&amp;$G$7&amp;"'!$C$37:$C$52"),W62,INDIRECT("'"&amp;$G$7&amp;"'!$D$37:$D$52")),0))))</f>
        <v/>
      </c>
      <c r="AC62" s="129">
        <f>IF($G$4="",0,AC61+IF(W62&gt;'General Information'!$D$33,0,IF(W62=0,$J$4,IFERROR(SUMIF(INDIRECT("'"&amp;$G$4&amp;"'!$C$37:$C$52"),W62,INDIRECT("'"&amp;$G$4&amp;"'!$E$37:$E$52")),0))))</f>
        <v/>
      </c>
      <c r="AD62" s="129">
        <f>IF($G$5="",0,AD61+IF(W62&gt;'General Information'!$D$33,0,IF(W62=0,$J$5,IFERROR(SUMIF(INDIRECT("'"&amp;$G$5&amp;"'!$C$37:$C$52"),W62,INDIRECT("'"&amp;$G$5&amp;"'!$E$37:$E$52")),0))))</f>
        <v/>
      </c>
      <c r="AE62" s="129">
        <f>IF($G$6="",0,AE61+IF(W62&gt;'General Information'!$D$33,0,IF(W62=0,$J$6,IFERROR(SUMIF(INDIRECT("'"&amp;$G$6&amp;"'!$C$37:$C$52"),W62,INDIRECT("'"&amp;$G$6&amp;"'!$E$37:$E$52")),0))))</f>
        <v/>
      </c>
      <c r="AF62" s="129">
        <f>IF($G$7="",0,AF61+IF(W62&gt;'General Information'!$D$33,0,IF(W62=0,$J$7,IFERROR(SUMIF(INDIRECT("'"&amp;$G$7&amp;"'!$C$37:$C$52"),W62,INDIRECT("'"&amp;$G$7&amp;"'!$E$37:$E$52")),0))))</f>
        <v/>
      </c>
      <c r="AG62" s="134">
        <f>IF($G$4="",0,IF(W62&gt;'General Information'!$D$33,0,IFERROR(SUMIFS(INDIRECT("'"&amp;$G$4&amp;"'!$D$37:$D$52"),INDIRECT("'"&amp;$G$4&amp;"'!$C$37:$C$52"),W62,INDIRECT("'"&amp;$G$4&amp;"'!$B$37:$B$52"),"*Indirect*")/INDIRECT("'"&amp;$G$4&amp;"'!$F$2"),0)))</f>
        <v/>
      </c>
      <c r="AH62" s="134">
        <f>IF($G$5="",0,IF(W62&gt;'General Information'!$D$33,0,IFERROR(SUMIFS(INDIRECT("'"&amp;$G$5&amp;"'!$D$37:$D$52"),INDIRECT("'"&amp;$G$5&amp;"'!$C$37:$C$52"),W62,INDIRECT("'"&amp;$G$5&amp;"'!$B$37:$B$52"),"*Indirect*")/INDIRECT("'"&amp;$G$5&amp;"'!$F$2"),0)))</f>
        <v/>
      </c>
      <c r="AI62" s="134">
        <f>IF($G$6="",0,IF(W62&gt;'General Information'!$D$33,0,IFERROR(SUMIFS(INDIRECT("'"&amp;$G$6&amp;"'!$D$37:$D$52"),INDIRECT("'"&amp;$G$6&amp;"'!$C$37:$C$52"),W62,INDIRECT("'"&amp;$G$6&amp;"'!$B$37:$B$52"),"*Indirect*")/INDIRECT("'"&amp;$G$6&amp;"'!$F$2"),0)))</f>
        <v/>
      </c>
      <c r="AJ62" s="134">
        <f>IF($G$7="",0,IF(W62&gt;'General Information'!$D$33,0,IFERROR(SUMIFS(INDIRECT("'"&amp;$G$7&amp;"'!$D$37:$D$52"),INDIRECT("'"&amp;$G$7&amp;"'!$C$37:$C$52"),W62,INDIRECT("'"&amp;$G$7&amp;"'!$B$37:$B$52"),"*Indirect*")/INDIRECT("'"&amp;$G$7&amp;"'!$F$2"),0)))</f>
        <v/>
      </c>
    </row>
    <row r="63">
      <c r="W63" s="128" t="n">
        <v>22</v>
      </c>
      <c r="X63" s="128">
        <f>'General Information'!$D$25+W63</f>
        <v/>
      </c>
      <c r="Y63" s="129">
        <f>IF($G$4="",0,IF(W63&gt;'General Information'!$D$33,0,IF(W63=0,$J$4,IFERROR(SUMIF(INDIRECT("'"&amp;$G$4&amp;"'!$C$37:$C$52"),W63,INDIRECT("'"&amp;$G$4&amp;"'!$D$37:$D$52")),0))))</f>
        <v/>
      </c>
      <c r="Z63" s="129">
        <f>IF($G$5="",0,IF(W63&gt;'General Information'!$D$33,0,IF(W63=0,$J$5,IFERROR(SUMIF(INDIRECT("'"&amp;$G$5&amp;"'!$C$37:$C$52"),W63,INDIRECT("'"&amp;$G$5&amp;"'!$D$37:$D$52")),0))))</f>
        <v/>
      </c>
      <c r="AA63" s="129">
        <f>IF($G$6="",0,IF(W63&gt;'General Information'!$D$33,0,IF(W63=0,$J$6,IFERROR(SUMIF(INDIRECT("'"&amp;$G$6&amp;"'!$C$37:$C$52"),W63,INDIRECT("'"&amp;$G$6&amp;"'!$D$37:$D$52")),0))))</f>
        <v/>
      </c>
      <c r="AB63" s="129">
        <f>IF($G$7="",0,IF(W63&gt;'General Information'!$D$33,0,IF(W63=0,$J$7,IFERROR(SUMIF(INDIRECT("'"&amp;$G$7&amp;"'!$C$37:$C$52"),W63,INDIRECT("'"&amp;$G$7&amp;"'!$D$37:$D$52")),0))))</f>
        <v/>
      </c>
      <c r="AC63" s="129">
        <f>IF($G$4="",0,AC62+IF(W63&gt;'General Information'!$D$33,0,IF(W63=0,$J$4,IFERROR(SUMIF(INDIRECT("'"&amp;$G$4&amp;"'!$C$37:$C$52"),W63,INDIRECT("'"&amp;$G$4&amp;"'!$E$37:$E$52")),0))))</f>
        <v/>
      </c>
      <c r="AD63" s="129">
        <f>IF($G$5="",0,AD62+IF(W63&gt;'General Information'!$D$33,0,IF(W63=0,$J$5,IFERROR(SUMIF(INDIRECT("'"&amp;$G$5&amp;"'!$C$37:$C$52"),W63,INDIRECT("'"&amp;$G$5&amp;"'!$E$37:$E$52")),0))))</f>
        <v/>
      </c>
      <c r="AE63" s="129">
        <f>IF($G$6="",0,AE62+IF(W63&gt;'General Information'!$D$33,0,IF(W63=0,$J$6,IFERROR(SUMIF(INDIRECT("'"&amp;$G$6&amp;"'!$C$37:$C$52"),W63,INDIRECT("'"&amp;$G$6&amp;"'!$E$37:$E$52")),0))))</f>
        <v/>
      </c>
      <c r="AF63" s="129">
        <f>IF($G$7="",0,AF62+IF(W63&gt;'General Information'!$D$33,0,IF(W63=0,$J$7,IFERROR(SUMIF(INDIRECT("'"&amp;$G$7&amp;"'!$C$37:$C$52"),W63,INDIRECT("'"&amp;$G$7&amp;"'!$E$37:$E$52")),0))))</f>
        <v/>
      </c>
      <c r="AG63" s="134">
        <f>IF($G$4="",0,IF(W63&gt;'General Information'!$D$33,0,IFERROR(SUMIFS(INDIRECT("'"&amp;$G$4&amp;"'!$D$37:$D$52"),INDIRECT("'"&amp;$G$4&amp;"'!$C$37:$C$52"),W63,INDIRECT("'"&amp;$G$4&amp;"'!$B$37:$B$52"),"*Indirect*")/INDIRECT("'"&amp;$G$4&amp;"'!$F$2"),0)))</f>
        <v/>
      </c>
      <c r="AH63" s="134">
        <f>IF($G$5="",0,IF(W63&gt;'General Information'!$D$33,0,IFERROR(SUMIFS(INDIRECT("'"&amp;$G$5&amp;"'!$D$37:$D$52"),INDIRECT("'"&amp;$G$5&amp;"'!$C$37:$C$52"),W63,INDIRECT("'"&amp;$G$5&amp;"'!$B$37:$B$52"),"*Indirect*")/INDIRECT("'"&amp;$G$5&amp;"'!$F$2"),0)))</f>
        <v/>
      </c>
      <c r="AI63" s="134">
        <f>IF($G$6="",0,IF(W63&gt;'General Information'!$D$33,0,IFERROR(SUMIFS(INDIRECT("'"&amp;$G$6&amp;"'!$D$37:$D$52"),INDIRECT("'"&amp;$G$6&amp;"'!$C$37:$C$52"),W63,INDIRECT("'"&amp;$G$6&amp;"'!$B$37:$B$52"),"*Indirect*")/INDIRECT("'"&amp;$G$6&amp;"'!$F$2"),0)))</f>
        <v/>
      </c>
      <c r="AJ63" s="134">
        <f>IF($G$7="",0,IF(W63&gt;'General Information'!$D$33,0,IFERROR(SUMIFS(INDIRECT("'"&amp;$G$7&amp;"'!$D$37:$D$52"),INDIRECT("'"&amp;$G$7&amp;"'!$C$37:$C$52"),W63,INDIRECT("'"&amp;$G$7&amp;"'!$B$37:$B$52"),"*Indirect*")/INDIRECT("'"&amp;$G$7&amp;"'!$F$2"),0)))</f>
        <v/>
      </c>
    </row>
    <row r="64">
      <c r="W64" s="128" t="n">
        <v>23</v>
      </c>
      <c r="X64" s="128">
        <f>'General Information'!$D$25+W64</f>
        <v/>
      </c>
      <c r="Y64" s="129">
        <f>IF($G$4="",0,IF(W64&gt;'General Information'!$D$33,0,IF(W64=0,$J$4,IFERROR(SUMIF(INDIRECT("'"&amp;$G$4&amp;"'!$C$37:$C$52"),W64,INDIRECT("'"&amp;$G$4&amp;"'!$D$37:$D$52")),0))))</f>
        <v/>
      </c>
      <c r="Z64" s="129">
        <f>IF($G$5="",0,IF(W64&gt;'General Information'!$D$33,0,IF(W64=0,$J$5,IFERROR(SUMIF(INDIRECT("'"&amp;$G$5&amp;"'!$C$37:$C$52"),W64,INDIRECT("'"&amp;$G$5&amp;"'!$D$37:$D$52")),0))))</f>
        <v/>
      </c>
      <c r="AA64" s="129">
        <f>IF($G$6="",0,IF(W64&gt;'General Information'!$D$33,0,IF(W64=0,$J$6,IFERROR(SUMIF(INDIRECT("'"&amp;$G$6&amp;"'!$C$37:$C$52"),W64,INDIRECT("'"&amp;$G$6&amp;"'!$D$37:$D$52")),0))))</f>
        <v/>
      </c>
      <c r="AB64" s="129">
        <f>IF($G$7="",0,IF(W64&gt;'General Information'!$D$33,0,IF(W64=0,$J$7,IFERROR(SUMIF(INDIRECT("'"&amp;$G$7&amp;"'!$C$37:$C$52"),W64,INDIRECT("'"&amp;$G$7&amp;"'!$D$37:$D$52")),0))))</f>
        <v/>
      </c>
      <c r="AC64" s="129">
        <f>IF($G$4="",0,AC63+IF(W64&gt;'General Information'!$D$33,0,IF(W64=0,$J$4,IFERROR(SUMIF(INDIRECT("'"&amp;$G$4&amp;"'!$C$37:$C$52"),W64,INDIRECT("'"&amp;$G$4&amp;"'!$E$37:$E$52")),0))))</f>
        <v/>
      </c>
      <c r="AD64" s="129">
        <f>IF($G$5="",0,AD63+IF(W64&gt;'General Information'!$D$33,0,IF(W64=0,$J$5,IFERROR(SUMIF(INDIRECT("'"&amp;$G$5&amp;"'!$C$37:$C$52"),W64,INDIRECT("'"&amp;$G$5&amp;"'!$E$37:$E$52")),0))))</f>
        <v/>
      </c>
      <c r="AE64" s="129">
        <f>IF($G$6="",0,AE63+IF(W64&gt;'General Information'!$D$33,0,IF(W64=0,$J$6,IFERROR(SUMIF(INDIRECT("'"&amp;$G$6&amp;"'!$C$37:$C$52"),W64,INDIRECT("'"&amp;$G$6&amp;"'!$E$37:$E$52")),0))))</f>
        <v/>
      </c>
      <c r="AF64" s="129">
        <f>IF($G$7="",0,AF63+IF(W64&gt;'General Information'!$D$33,0,IF(W64=0,$J$7,IFERROR(SUMIF(INDIRECT("'"&amp;$G$7&amp;"'!$C$37:$C$52"),W64,INDIRECT("'"&amp;$G$7&amp;"'!$E$37:$E$52")),0))))</f>
        <v/>
      </c>
      <c r="AG64" s="134">
        <f>IF($G$4="",0,IF(W64&gt;'General Information'!$D$33,0,IFERROR(SUMIFS(INDIRECT("'"&amp;$G$4&amp;"'!$D$37:$D$52"),INDIRECT("'"&amp;$G$4&amp;"'!$C$37:$C$52"),W64,INDIRECT("'"&amp;$G$4&amp;"'!$B$37:$B$52"),"*Indirect*")/INDIRECT("'"&amp;$G$4&amp;"'!$F$2"),0)))</f>
        <v/>
      </c>
      <c r="AH64" s="134">
        <f>IF($G$5="",0,IF(W64&gt;'General Information'!$D$33,0,IFERROR(SUMIFS(INDIRECT("'"&amp;$G$5&amp;"'!$D$37:$D$52"),INDIRECT("'"&amp;$G$5&amp;"'!$C$37:$C$52"),W64,INDIRECT("'"&amp;$G$5&amp;"'!$B$37:$B$52"),"*Indirect*")/INDIRECT("'"&amp;$G$5&amp;"'!$F$2"),0)))</f>
        <v/>
      </c>
      <c r="AI64" s="134">
        <f>IF($G$6="",0,IF(W64&gt;'General Information'!$D$33,0,IFERROR(SUMIFS(INDIRECT("'"&amp;$G$6&amp;"'!$D$37:$D$52"),INDIRECT("'"&amp;$G$6&amp;"'!$C$37:$C$52"),W64,INDIRECT("'"&amp;$G$6&amp;"'!$B$37:$B$52"),"*Indirect*")/INDIRECT("'"&amp;$G$6&amp;"'!$F$2"),0)))</f>
        <v/>
      </c>
      <c r="AJ64" s="134">
        <f>IF($G$7="",0,IF(W64&gt;'General Information'!$D$33,0,IFERROR(SUMIFS(INDIRECT("'"&amp;$G$7&amp;"'!$D$37:$D$52"),INDIRECT("'"&amp;$G$7&amp;"'!$C$37:$C$52"),W64,INDIRECT("'"&amp;$G$7&amp;"'!$B$37:$B$52"),"*Indirect*")/INDIRECT("'"&amp;$G$7&amp;"'!$F$2"),0)))</f>
        <v/>
      </c>
    </row>
    <row r="65">
      <c r="W65" s="128" t="n">
        <v>24</v>
      </c>
      <c r="X65" s="128">
        <f>'General Information'!$D$25+W65</f>
        <v/>
      </c>
      <c r="Y65" s="129">
        <f>IF($G$4="",0,IF(W65&gt;'General Information'!$D$33,0,IF(W65=0,$J$4,IFERROR(SUMIF(INDIRECT("'"&amp;$G$4&amp;"'!$C$37:$C$52"),W65,INDIRECT("'"&amp;$G$4&amp;"'!$D$37:$D$52")),0))))</f>
        <v/>
      </c>
      <c r="Z65" s="129">
        <f>IF($G$5="",0,IF(W65&gt;'General Information'!$D$33,0,IF(W65=0,$J$5,IFERROR(SUMIF(INDIRECT("'"&amp;$G$5&amp;"'!$C$37:$C$52"),W65,INDIRECT("'"&amp;$G$5&amp;"'!$D$37:$D$52")),0))))</f>
        <v/>
      </c>
      <c r="AA65" s="129">
        <f>IF($G$6="",0,IF(W65&gt;'General Information'!$D$33,0,IF(W65=0,$J$6,IFERROR(SUMIF(INDIRECT("'"&amp;$G$6&amp;"'!$C$37:$C$52"),W65,INDIRECT("'"&amp;$G$6&amp;"'!$D$37:$D$52")),0))))</f>
        <v/>
      </c>
      <c r="AB65" s="129">
        <f>IF($G$7="",0,IF(W65&gt;'General Information'!$D$33,0,IF(W65=0,$J$7,IFERROR(SUMIF(INDIRECT("'"&amp;$G$7&amp;"'!$C$37:$C$52"),W65,INDIRECT("'"&amp;$G$7&amp;"'!$D$37:$D$52")),0))))</f>
        <v/>
      </c>
      <c r="AC65" s="129">
        <f>IF($G$4="",0,AC64+IF(W65&gt;'General Information'!$D$33,0,IF(W65=0,$J$4,IFERROR(SUMIF(INDIRECT("'"&amp;$G$4&amp;"'!$C$37:$C$52"),W65,INDIRECT("'"&amp;$G$4&amp;"'!$E$37:$E$52")),0))))</f>
        <v/>
      </c>
      <c r="AD65" s="129">
        <f>IF($G$5="",0,AD64+IF(W65&gt;'General Information'!$D$33,0,IF(W65=0,$J$5,IFERROR(SUMIF(INDIRECT("'"&amp;$G$5&amp;"'!$C$37:$C$52"),W65,INDIRECT("'"&amp;$G$5&amp;"'!$E$37:$E$52")),0))))</f>
        <v/>
      </c>
      <c r="AE65" s="129">
        <f>IF($G$6="",0,AE64+IF(W65&gt;'General Information'!$D$33,0,IF(W65=0,$J$6,IFERROR(SUMIF(INDIRECT("'"&amp;$G$6&amp;"'!$C$37:$C$52"),W65,INDIRECT("'"&amp;$G$6&amp;"'!$E$37:$E$52")),0))))</f>
        <v/>
      </c>
      <c r="AF65" s="129">
        <f>IF($G$7="",0,AF64+IF(W65&gt;'General Information'!$D$33,0,IF(W65=0,$J$7,IFERROR(SUMIF(INDIRECT("'"&amp;$G$7&amp;"'!$C$37:$C$52"),W65,INDIRECT("'"&amp;$G$7&amp;"'!$E$37:$E$52")),0))))</f>
        <v/>
      </c>
      <c r="AG65" s="134">
        <f>IF($G$4="",0,IF(W65&gt;'General Information'!$D$33,0,IFERROR(SUMIFS(INDIRECT("'"&amp;$G$4&amp;"'!$D$37:$D$52"),INDIRECT("'"&amp;$G$4&amp;"'!$C$37:$C$52"),W65,INDIRECT("'"&amp;$G$4&amp;"'!$B$37:$B$52"),"*Indirect*")/INDIRECT("'"&amp;$G$4&amp;"'!$F$2"),0)))</f>
        <v/>
      </c>
      <c r="AH65" s="134">
        <f>IF($G$5="",0,IF(W65&gt;'General Information'!$D$33,0,IFERROR(SUMIFS(INDIRECT("'"&amp;$G$5&amp;"'!$D$37:$D$52"),INDIRECT("'"&amp;$G$5&amp;"'!$C$37:$C$52"),W65,INDIRECT("'"&amp;$G$5&amp;"'!$B$37:$B$52"),"*Indirect*")/INDIRECT("'"&amp;$G$5&amp;"'!$F$2"),0)))</f>
        <v/>
      </c>
      <c r="AI65" s="134">
        <f>IF($G$6="",0,IF(W65&gt;'General Information'!$D$33,0,IFERROR(SUMIFS(INDIRECT("'"&amp;$G$6&amp;"'!$D$37:$D$52"),INDIRECT("'"&amp;$G$6&amp;"'!$C$37:$C$52"),W65,INDIRECT("'"&amp;$G$6&amp;"'!$B$37:$B$52"),"*Indirect*")/INDIRECT("'"&amp;$G$6&amp;"'!$F$2"),0)))</f>
        <v/>
      </c>
      <c r="AJ65" s="134">
        <f>IF($G$7="",0,IF(W65&gt;'General Information'!$D$33,0,IFERROR(SUMIFS(INDIRECT("'"&amp;$G$7&amp;"'!$D$37:$D$52"),INDIRECT("'"&amp;$G$7&amp;"'!$C$37:$C$52"),W65,INDIRECT("'"&amp;$G$7&amp;"'!$B$37:$B$52"),"*Indirect*")/INDIRECT("'"&amp;$G$7&amp;"'!$F$2"),0)))</f>
        <v/>
      </c>
    </row>
    <row r="66">
      <c r="W66" s="128" t="n">
        <v>25</v>
      </c>
      <c r="X66" s="128">
        <f>'General Information'!$D$25+W66</f>
        <v/>
      </c>
      <c r="Y66" s="129">
        <f>IF($G$4="",0,IF(W66&gt;'General Information'!$D$33,0,IF(W66=0,$J$4,IFERROR(SUMIF(INDIRECT("'"&amp;$G$4&amp;"'!$C$37:$C$52"),W66,INDIRECT("'"&amp;$G$4&amp;"'!$D$37:$D$52")),0))))</f>
        <v/>
      </c>
      <c r="Z66" s="129">
        <f>IF($G$5="",0,IF(W66&gt;'General Information'!$D$33,0,IF(W66=0,$J$5,IFERROR(SUMIF(INDIRECT("'"&amp;$G$5&amp;"'!$C$37:$C$52"),W66,INDIRECT("'"&amp;$G$5&amp;"'!$D$37:$D$52")),0))))</f>
        <v/>
      </c>
      <c r="AA66" s="129">
        <f>IF($G$6="",0,IF(W66&gt;'General Information'!$D$33,0,IF(W66=0,$J$6,IFERROR(SUMIF(INDIRECT("'"&amp;$G$6&amp;"'!$C$37:$C$52"),W66,INDIRECT("'"&amp;$G$6&amp;"'!$D$37:$D$52")),0))))</f>
        <v/>
      </c>
      <c r="AB66" s="129">
        <f>IF($G$7="",0,IF(W66&gt;'General Information'!$D$33,0,IF(W66=0,$J$7,IFERROR(SUMIF(INDIRECT("'"&amp;$G$7&amp;"'!$C$37:$C$52"),W66,INDIRECT("'"&amp;$G$7&amp;"'!$D$37:$D$52")),0))))</f>
        <v/>
      </c>
      <c r="AC66" s="129">
        <f>IF($G$4="",0,AC65+IF(W66&gt;'General Information'!$D$33,0,IF(W66=0,$J$4,IFERROR(SUMIF(INDIRECT("'"&amp;$G$4&amp;"'!$C$37:$C$52"),W66,INDIRECT("'"&amp;$G$4&amp;"'!$E$37:$E$52")),0))))</f>
        <v/>
      </c>
      <c r="AD66" s="129">
        <f>IF($G$5="",0,AD65+IF(W66&gt;'General Information'!$D$33,0,IF(W66=0,$J$5,IFERROR(SUMIF(INDIRECT("'"&amp;$G$5&amp;"'!$C$37:$C$52"),W66,INDIRECT("'"&amp;$G$5&amp;"'!$E$37:$E$52")),0))))</f>
        <v/>
      </c>
      <c r="AE66" s="129">
        <f>IF($G$6="",0,AE65+IF(W66&gt;'General Information'!$D$33,0,IF(W66=0,$J$6,IFERROR(SUMIF(INDIRECT("'"&amp;$G$6&amp;"'!$C$37:$C$52"),W66,INDIRECT("'"&amp;$G$6&amp;"'!$E$37:$E$52")),0))))</f>
        <v/>
      </c>
      <c r="AF66" s="129">
        <f>IF($G$7="",0,AF65+IF(W66&gt;'General Information'!$D$33,0,IF(W66=0,$J$7,IFERROR(SUMIF(INDIRECT("'"&amp;$G$7&amp;"'!$C$37:$C$52"),W66,INDIRECT("'"&amp;$G$7&amp;"'!$E$37:$E$52")),0))))</f>
        <v/>
      </c>
      <c r="AG66" s="134">
        <f>IF($G$4="",0,IF(W66&gt;'General Information'!$D$33,0,IFERROR(SUMIFS(INDIRECT("'"&amp;$G$4&amp;"'!$D$37:$D$52"),INDIRECT("'"&amp;$G$4&amp;"'!$C$37:$C$52"),W66,INDIRECT("'"&amp;$G$4&amp;"'!$B$37:$B$52"),"*Indirect*")/INDIRECT("'"&amp;$G$4&amp;"'!$F$2"),0)))</f>
        <v/>
      </c>
      <c r="AH66" s="134">
        <f>IF($G$5="",0,IF(W66&gt;'General Information'!$D$33,0,IFERROR(SUMIFS(INDIRECT("'"&amp;$G$5&amp;"'!$D$37:$D$52"),INDIRECT("'"&amp;$G$5&amp;"'!$C$37:$C$52"),W66,INDIRECT("'"&amp;$G$5&amp;"'!$B$37:$B$52"),"*Indirect*")/INDIRECT("'"&amp;$G$5&amp;"'!$F$2"),0)))</f>
        <v/>
      </c>
      <c r="AI66" s="134">
        <f>IF($G$6="",0,IF(W66&gt;'General Information'!$D$33,0,IFERROR(SUMIFS(INDIRECT("'"&amp;$G$6&amp;"'!$D$37:$D$52"),INDIRECT("'"&amp;$G$6&amp;"'!$C$37:$C$52"),W66,INDIRECT("'"&amp;$G$6&amp;"'!$B$37:$B$52"),"*Indirect*")/INDIRECT("'"&amp;$G$6&amp;"'!$F$2"),0)))</f>
        <v/>
      </c>
      <c r="AJ66" s="134">
        <f>IF($G$7="",0,IF(W66&gt;'General Information'!$D$33,0,IFERROR(SUMIFS(INDIRECT("'"&amp;$G$7&amp;"'!$D$37:$D$52"),INDIRECT("'"&amp;$G$7&amp;"'!$C$37:$C$52"),W66,INDIRECT("'"&amp;$G$7&amp;"'!$B$37:$B$52"),"*Indirect*")/INDIRECT("'"&amp;$G$7&amp;"'!$F$2"),0)))</f>
        <v/>
      </c>
    </row>
    <row r="67">
      <c r="W67" s="128" t="n">
        <v>26</v>
      </c>
      <c r="X67" s="128">
        <f>'General Information'!$D$25+W67</f>
        <v/>
      </c>
      <c r="Y67" s="129">
        <f>IF($G$4="",0,IF(W67&gt;'General Information'!$D$33,0,IF(W67=0,$J$4,IFERROR(SUMIF(INDIRECT("'"&amp;$G$4&amp;"'!$C$37:$C$52"),W67,INDIRECT("'"&amp;$G$4&amp;"'!$D$37:$D$52")),0))))</f>
        <v/>
      </c>
      <c r="Z67" s="129">
        <f>IF($G$5="",0,IF(W67&gt;'General Information'!$D$33,0,IF(W67=0,$J$5,IFERROR(SUMIF(INDIRECT("'"&amp;$G$5&amp;"'!$C$37:$C$52"),W67,INDIRECT("'"&amp;$G$5&amp;"'!$D$37:$D$52")),0))))</f>
        <v/>
      </c>
      <c r="AA67" s="129">
        <f>IF($G$6="",0,IF(W67&gt;'General Information'!$D$33,0,IF(W67=0,$J$6,IFERROR(SUMIF(INDIRECT("'"&amp;$G$6&amp;"'!$C$37:$C$52"),W67,INDIRECT("'"&amp;$G$6&amp;"'!$D$37:$D$52")),0))))</f>
        <v/>
      </c>
      <c r="AB67" s="129">
        <f>IF($G$7="",0,IF(W67&gt;'General Information'!$D$33,0,IF(W67=0,$J$7,IFERROR(SUMIF(INDIRECT("'"&amp;$G$7&amp;"'!$C$37:$C$52"),W67,INDIRECT("'"&amp;$G$7&amp;"'!$D$37:$D$52")),0))))</f>
        <v/>
      </c>
      <c r="AC67" s="129">
        <f>IF($G$4="",0,AC66+IF(W67&gt;'General Information'!$D$33,0,IF(W67=0,$J$4,IFERROR(SUMIF(INDIRECT("'"&amp;$G$4&amp;"'!$C$37:$C$52"),W67,INDIRECT("'"&amp;$G$4&amp;"'!$E$37:$E$52")),0))))</f>
        <v/>
      </c>
      <c r="AD67" s="129">
        <f>IF($G$5="",0,AD66+IF(W67&gt;'General Information'!$D$33,0,IF(W67=0,$J$5,IFERROR(SUMIF(INDIRECT("'"&amp;$G$5&amp;"'!$C$37:$C$52"),W67,INDIRECT("'"&amp;$G$5&amp;"'!$E$37:$E$52")),0))))</f>
        <v/>
      </c>
      <c r="AE67" s="129">
        <f>IF($G$6="",0,AE66+IF(W67&gt;'General Information'!$D$33,0,IF(W67=0,$J$6,IFERROR(SUMIF(INDIRECT("'"&amp;$G$6&amp;"'!$C$37:$C$52"),W67,INDIRECT("'"&amp;$G$6&amp;"'!$E$37:$E$52")),0))))</f>
        <v/>
      </c>
      <c r="AF67" s="129">
        <f>IF($G$7="",0,AF66+IF(W67&gt;'General Information'!$D$33,0,IF(W67=0,$J$7,IFERROR(SUMIF(INDIRECT("'"&amp;$G$7&amp;"'!$C$37:$C$52"),W67,INDIRECT("'"&amp;$G$7&amp;"'!$E$37:$E$52")),0))))</f>
        <v/>
      </c>
      <c r="AG67" s="134">
        <f>IF($G$4="",0,IF(W67&gt;'General Information'!$D$33,0,IFERROR(SUMIFS(INDIRECT("'"&amp;$G$4&amp;"'!$D$37:$D$52"),INDIRECT("'"&amp;$G$4&amp;"'!$C$37:$C$52"),W67,INDIRECT("'"&amp;$G$4&amp;"'!$B$37:$B$52"),"*Indirect*")/INDIRECT("'"&amp;$G$4&amp;"'!$F$2"),0)))</f>
        <v/>
      </c>
      <c r="AH67" s="134">
        <f>IF($G$5="",0,IF(W67&gt;'General Information'!$D$33,0,IFERROR(SUMIFS(INDIRECT("'"&amp;$G$5&amp;"'!$D$37:$D$52"),INDIRECT("'"&amp;$G$5&amp;"'!$C$37:$C$52"),W67,INDIRECT("'"&amp;$G$5&amp;"'!$B$37:$B$52"),"*Indirect*")/INDIRECT("'"&amp;$G$5&amp;"'!$F$2"),0)))</f>
        <v/>
      </c>
      <c r="AI67" s="134">
        <f>IF($G$6="",0,IF(W67&gt;'General Information'!$D$33,0,IFERROR(SUMIFS(INDIRECT("'"&amp;$G$6&amp;"'!$D$37:$D$52"),INDIRECT("'"&amp;$G$6&amp;"'!$C$37:$C$52"),W67,INDIRECT("'"&amp;$G$6&amp;"'!$B$37:$B$52"),"*Indirect*")/INDIRECT("'"&amp;$G$6&amp;"'!$F$2"),0)))</f>
        <v/>
      </c>
      <c r="AJ67" s="134">
        <f>IF($G$7="",0,IF(W67&gt;'General Information'!$D$33,0,IFERROR(SUMIFS(INDIRECT("'"&amp;$G$7&amp;"'!$D$37:$D$52"),INDIRECT("'"&amp;$G$7&amp;"'!$C$37:$C$52"),W67,INDIRECT("'"&amp;$G$7&amp;"'!$B$37:$B$52"),"*Indirect*")/INDIRECT("'"&amp;$G$7&amp;"'!$F$2"),0)))</f>
        <v/>
      </c>
    </row>
    <row r="68">
      <c r="W68" s="128" t="n">
        <v>27</v>
      </c>
      <c r="X68" s="128">
        <f>'General Information'!$D$25+W68</f>
        <v/>
      </c>
      <c r="Y68" s="129">
        <f>IF($G$4="",0,IF(W68&gt;'General Information'!$D$33,0,IF(W68=0,$J$4,IFERROR(SUMIF(INDIRECT("'"&amp;$G$4&amp;"'!$C$37:$C$52"),W68,INDIRECT("'"&amp;$G$4&amp;"'!$D$37:$D$52")),0))))</f>
        <v/>
      </c>
      <c r="Z68" s="129">
        <f>IF($G$5="",0,IF(W68&gt;'General Information'!$D$33,0,IF(W68=0,$J$5,IFERROR(SUMIF(INDIRECT("'"&amp;$G$5&amp;"'!$C$37:$C$52"),W68,INDIRECT("'"&amp;$G$5&amp;"'!$D$37:$D$52")),0))))</f>
        <v/>
      </c>
      <c r="AA68" s="129">
        <f>IF($G$6="",0,IF(W68&gt;'General Information'!$D$33,0,IF(W68=0,$J$6,IFERROR(SUMIF(INDIRECT("'"&amp;$G$6&amp;"'!$C$37:$C$52"),W68,INDIRECT("'"&amp;$G$6&amp;"'!$D$37:$D$52")),0))))</f>
        <v/>
      </c>
      <c r="AB68" s="129">
        <f>IF($G$7="",0,IF(W68&gt;'General Information'!$D$33,0,IF(W68=0,$J$7,IFERROR(SUMIF(INDIRECT("'"&amp;$G$7&amp;"'!$C$37:$C$52"),W68,INDIRECT("'"&amp;$G$7&amp;"'!$D$37:$D$52")),0))))</f>
        <v/>
      </c>
      <c r="AC68" s="129">
        <f>IF($G$4="",0,AC67+IF(W68&gt;'General Information'!$D$33,0,IF(W68=0,$J$4,IFERROR(SUMIF(INDIRECT("'"&amp;$G$4&amp;"'!$C$37:$C$52"),W68,INDIRECT("'"&amp;$G$4&amp;"'!$E$37:$E$52")),0))))</f>
        <v/>
      </c>
      <c r="AD68" s="129">
        <f>IF($G$5="",0,AD67+IF(W68&gt;'General Information'!$D$33,0,IF(W68=0,$J$5,IFERROR(SUMIF(INDIRECT("'"&amp;$G$5&amp;"'!$C$37:$C$52"),W68,INDIRECT("'"&amp;$G$5&amp;"'!$E$37:$E$52")),0))))</f>
        <v/>
      </c>
      <c r="AE68" s="129">
        <f>IF($G$6="",0,AE67+IF(W68&gt;'General Information'!$D$33,0,IF(W68=0,$J$6,IFERROR(SUMIF(INDIRECT("'"&amp;$G$6&amp;"'!$C$37:$C$52"),W68,INDIRECT("'"&amp;$G$6&amp;"'!$E$37:$E$52")),0))))</f>
        <v/>
      </c>
      <c r="AF68" s="129">
        <f>IF($G$7="",0,AF67+IF(W68&gt;'General Information'!$D$33,0,IF(W68=0,$J$7,IFERROR(SUMIF(INDIRECT("'"&amp;$G$7&amp;"'!$C$37:$C$52"),W68,INDIRECT("'"&amp;$G$7&amp;"'!$E$37:$E$52")),0))))</f>
        <v/>
      </c>
      <c r="AG68" s="134">
        <f>IF($G$4="",0,IF(W68&gt;'General Information'!$D$33,0,IFERROR(SUMIFS(INDIRECT("'"&amp;$G$4&amp;"'!$D$37:$D$52"),INDIRECT("'"&amp;$G$4&amp;"'!$C$37:$C$52"),W68,INDIRECT("'"&amp;$G$4&amp;"'!$B$37:$B$52"),"*Indirect*")/INDIRECT("'"&amp;$G$4&amp;"'!$F$2"),0)))</f>
        <v/>
      </c>
      <c r="AH68" s="134">
        <f>IF($G$5="",0,IF(W68&gt;'General Information'!$D$33,0,IFERROR(SUMIFS(INDIRECT("'"&amp;$G$5&amp;"'!$D$37:$D$52"),INDIRECT("'"&amp;$G$5&amp;"'!$C$37:$C$52"),W68,INDIRECT("'"&amp;$G$5&amp;"'!$B$37:$B$52"),"*Indirect*")/INDIRECT("'"&amp;$G$5&amp;"'!$F$2"),0)))</f>
        <v/>
      </c>
      <c r="AI68" s="134">
        <f>IF($G$6="",0,IF(W68&gt;'General Information'!$D$33,0,IFERROR(SUMIFS(INDIRECT("'"&amp;$G$6&amp;"'!$D$37:$D$52"),INDIRECT("'"&amp;$G$6&amp;"'!$C$37:$C$52"),W68,INDIRECT("'"&amp;$G$6&amp;"'!$B$37:$B$52"),"*Indirect*")/INDIRECT("'"&amp;$G$6&amp;"'!$F$2"),0)))</f>
        <v/>
      </c>
      <c r="AJ68" s="134">
        <f>IF($G$7="",0,IF(W68&gt;'General Information'!$D$33,0,IFERROR(SUMIFS(INDIRECT("'"&amp;$G$7&amp;"'!$D$37:$D$52"),INDIRECT("'"&amp;$G$7&amp;"'!$C$37:$C$52"),W68,INDIRECT("'"&amp;$G$7&amp;"'!$B$37:$B$52"),"*Indirect*")/INDIRECT("'"&amp;$G$7&amp;"'!$F$2"),0)))</f>
        <v/>
      </c>
    </row>
    <row r="69">
      <c r="W69" s="128" t="n">
        <v>28</v>
      </c>
      <c r="X69" s="128">
        <f>'General Information'!$D$25+W69</f>
        <v/>
      </c>
      <c r="Y69" s="129">
        <f>IF($G$4="",0,IF(W69&gt;'General Information'!$D$33,0,IF(W69=0,$J$4,IFERROR(SUMIF(INDIRECT("'"&amp;$G$4&amp;"'!$C$37:$C$52"),W69,INDIRECT("'"&amp;$G$4&amp;"'!$D$37:$D$52")),0))))</f>
        <v/>
      </c>
      <c r="Z69" s="129">
        <f>IF($G$5="",0,IF(W69&gt;'General Information'!$D$33,0,IF(W69=0,$J$5,IFERROR(SUMIF(INDIRECT("'"&amp;$G$5&amp;"'!$C$37:$C$52"),W69,INDIRECT("'"&amp;$G$5&amp;"'!$D$37:$D$52")),0))))</f>
        <v/>
      </c>
      <c r="AA69" s="129">
        <f>IF($G$6="",0,IF(W69&gt;'General Information'!$D$33,0,IF(W69=0,$J$6,IFERROR(SUMIF(INDIRECT("'"&amp;$G$6&amp;"'!$C$37:$C$52"),W69,INDIRECT("'"&amp;$G$6&amp;"'!$D$37:$D$52")),0))))</f>
        <v/>
      </c>
      <c r="AB69" s="129">
        <f>IF($G$7="",0,IF(W69&gt;'General Information'!$D$33,0,IF(W69=0,$J$7,IFERROR(SUMIF(INDIRECT("'"&amp;$G$7&amp;"'!$C$37:$C$52"),W69,INDIRECT("'"&amp;$G$7&amp;"'!$D$37:$D$52")),0))))</f>
        <v/>
      </c>
      <c r="AC69" s="129">
        <f>IF($G$4="",0,AC68+IF(W69&gt;'General Information'!$D$33,0,IF(W69=0,$J$4,IFERROR(SUMIF(INDIRECT("'"&amp;$G$4&amp;"'!$C$37:$C$52"),W69,INDIRECT("'"&amp;$G$4&amp;"'!$E$37:$E$52")),0))))</f>
        <v/>
      </c>
      <c r="AD69" s="129">
        <f>IF($G$5="",0,AD68+IF(W69&gt;'General Information'!$D$33,0,IF(W69=0,$J$5,IFERROR(SUMIF(INDIRECT("'"&amp;$G$5&amp;"'!$C$37:$C$52"),W69,INDIRECT("'"&amp;$G$5&amp;"'!$E$37:$E$52")),0))))</f>
        <v/>
      </c>
      <c r="AE69" s="129">
        <f>IF($G$6="",0,AE68+IF(W69&gt;'General Information'!$D$33,0,IF(W69=0,$J$6,IFERROR(SUMIF(INDIRECT("'"&amp;$G$6&amp;"'!$C$37:$C$52"),W69,INDIRECT("'"&amp;$G$6&amp;"'!$E$37:$E$52")),0))))</f>
        <v/>
      </c>
      <c r="AF69" s="129">
        <f>IF($G$7="",0,AF68+IF(W69&gt;'General Information'!$D$33,0,IF(W69=0,$J$7,IFERROR(SUMIF(INDIRECT("'"&amp;$G$7&amp;"'!$C$37:$C$52"),W69,INDIRECT("'"&amp;$G$7&amp;"'!$E$37:$E$52")),0))))</f>
        <v/>
      </c>
      <c r="AG69" s="134">
        <f>IF($G$4="",0,IF(W69&gt;'General Information'!$D$33,0,IFERROR(SUMIFS(INDIRECT("'"&amp;$G$4&amp;"'!$D$37:$D$52"),INDIRECT("'"&amp;$G$4&amp;"'!$C$37:$C$52"),W69,INDIRECT("'"&amp;$G$4&amp;"'!$B$37:$B$52"),"*Indirect*")/INDIRECT("'"&amp;$G$4&amp;"'!$F$2"),0)))</f>
        <v/>
      </c>
      <c r="AH69" s="134">
        <f>IF($G$5="",0,IF(W69&gt;'General Information'!$D$33,0,IFERROR(SUMIFS(INDIRECT("'"&amp;$G$5&amp;"'!$D$37:$D$52"),INDIRECT("'"&amp;$G$5&amp;"'!$C$37:$C$52"),W69,INDIRECT("'"&amp;$G$5&amp;"'!$B$37:$B$52"),"*Indirect*")/INDIRECT("'"&amp;$G$5&amp;"'!$F$2"),0)))</f>
        <v/>
      </c>
      <c r="AI69" s="134">
        <f>IF($G$6="",0,IF(W69&gt;'General Information'!$D$33,0,IFERROR(SUMIFS(INDIRECT("'"&amp;$G$6&amp;"'!$D$37:$D$52"),INDIRECT("'"&amp;$G$6&amp;"'!$C$37:$C$52"),W69,INDIRECT("'"&amp;$G$6&amp;"'!$B$37:$B$52"),"*Indirect*")/INDIRECT("'"&amp;$G$6&amp;"'!$F$2"),0)))</f>
        <v/>
      </c>
      <c r="AJ69" s="134">
        <f>IF($G$7="",0,IF(W69&gt;'General Information'!$D$33,0,IFERROR(SUMIFS(INDIRECT("'"&amp;$G$7&amp;"'!$D$37:$D$52"),INDIRECT("'"&amp;$G$7&amp;"'!$C$37:$C$52"),W69,INDIRECT("'"&amp;$G$7&amp;"'!$B$37:$B$52"),"*Indirect*")/INDIRECT("'"&amp;$G$7&amp;"'!$F$2"),0)))</f>
        <v/>
      </c>
    </row>
    <row r="70">
      <c r="W70" s="128" t="n">
        <v>29</v>
      </c>
      <c r="X70" s="128">
        <f>'General Information'!$D$25+W70</f>
        <v/>
      </c>
      <c r="Y70" s="129">
        <f>IF($G$4="",0,IF(W70&gt;'General Information'!$D$33,0,IF(W70=0,$J$4,IFERROR(SUMIF(INDIRECT("'"&amp;$G$4&amp;"'!$C$37:$C$52"),W70,INDIRECT("'"&amp;$G$4&amp;"'!$D$37:$D$52")),0))))</f>
        <v/>
      </c>
      <c r="Z70" s="129">
        <f>IF($G$5="",0,IF(W70&gt;'General Information'!$D$33,0,IF(W70=0,$J$5,IFERROR(SUMIF(INDIRECT("'"&amp;$G$5&amp;"'!$C$37:$C$52"),W70,INDIRECT("'"&amp;$G$5&amp;"'!$D$37:$D$52")),0))))</f>
        <v/>
      </c>
      <c r="AA70" s="129">
        <f>IF($G$6="",0,IF(W70&gt;'General Information'!$D$33,0,IF(W70=0,$J$6,IFERROR(SUMIF(INDIRECT("'"&amp;$G$6&amp;"'!$C$37:$C$52"),W70,INDIRECT("'"&amp;$G$6&amp;"'!$D$37:$D$52")),0))))</f>
        <v/>
      </c>
      <c r="AB70" s="129">
        <f>IF($G$7="",0,IF(W70&gt;'General Information'!$D$33,0,IF(W70=0,$J$7,IFERROR(SUMIF(INDIRECT("'"&amp;$G$7&amp;"'!$C$37:$C$52"),W70,INDIRECT("'"&amp;$G$7&amp;"'!$D$37:$D$52")),0))))</f>
        <v/>
      </c>
      <c r="AC70" s="129">
        <f>IF($G$4="",0,AC69+IF(W70&gt;'General Information'!$D$33,0,IF(W70=0,$J$4,IFERROR(SUMIF(INDIRECT("'"&amp;$G$4&amp;"'!$C$37:$C$52"),W70,INDIRECT("'"&amp;$G$4&amp;"'!$E$37:$E$52")),0))))</f>
        <v/>
      </c>
      <c r="AD70" s="129">
        <f>IF($G$5="",0,AD69+IF(W70&gt;'General Information'!$D$33,0,IF(W70=0,$J$5,IFERROR(SUMIF(INDIRECT("'"&amp;$G$5&amp;"'!$C$37:$C$52"),W70,INDIRECT("'"&amp;$G$5&amp;"'!$E$37:$E$52")),0))))</f>
        <v/>
      </c>
      <c r="AE70" s="129">
        <f>IF($G$6="",0,AE69+IF(W70&gt;'General Information'!$D$33,0,IF(W70=0,$J$6,IFERROR(SUMIF(INDIRECT("'"&amp;$G$6&amp;"'!$C$37:$C$52"),W70,INDIRECT("'"&amp;$G$6&amp;"'!$E$37:$E$52")),0))))</f>
        <v/>
      </c>
      <c r="AF70" s="129">
        <f>IF($G$7="",0,AF69+IF(W70&gt;'General Information'!$D$33,0,IF(W70=0,$J$7,IFERROR(SUMIF(INDIRECT("'"&amp;$G$7&amp;"'!$C$37:$C$52"),W70,INDIRECT("'"&amp;$G$7&amp;"'!$E$37:$E$52")),0))))</f>
        <v/>
      </c>
      <c r="AG70" s="134">
        <f>IF($G$4="",0,IF(W70&gt;'General Information'!$D$33,0,IFERROR(SUMIFS(INDIRECT("'"&amp;$G$4&amp;"'!$D$37:$D$52"),INDIRECT("'"&amp;$G$4&amp;"'!$C$37:$C$52"),W70,INDIRECT("'"&amp;$G$4&amp;"'!$B$37:$B$52"),"*Indirect*")/INDIRECT("'"&amp;$G$4&amp;"'!$F$2"),0)))</f>
        <v/>
      </c>
      <c r="AH70" s="134">
        <f>IF($G$5="",0,IF(W70&gt;'General Information'!$D$33,0,IFERROR(SUMIFS(INDIRECT("'"&amp;$G$5&amp;"'!$D$37:$D$52"),INDIRECT("'"&amp;$G$5&amp;"'!$C$37:$C$52"),W70,INDIRECT("'"&amp;$G$5&amp;"'!$B$37:$B$52"),"*Indirect*")/INDIRECT("'"&amp;$G$5&amp;"'!$F$2"),0)))</f>
        <v/>
      </c>
      <c r="AI70" s="134">
        <f>IF($G$6="",0,IF(W70&gt;'General Information'!$D$33,0,IFERROR(SUMIFS(INDIRECT("'"&amp;$G$6&amp;"'!$D$37:$D$52"),INDIRECT("'"&amp;$G$6&amp;"'!$C$37:$C$52"),W70,INDIRECT("'"&amp;$G$6&amp;"'!$B$37:$B$52"),"*Indirect*")/INDIRECT("'"&amp;$G$6&amp;"'!$F$2"),0)))</f>
        <v/>
      </c>
      <c r="AJ70" s="134">
        <f>IF($G$7="",0,IF(W70&gt;'General Information'!$D$33,0,IFERROR(SUMIFS(INDIRECT("'"&amp;$G$7&amp;"'!$D$37:$D$52"),INDIRECT("'"&amp;$G$7&amp;"'!$C$37:$C$52"),W70,INDIRECT("'"&amp;$G$7&amp;"'!$B$37:$B$52"),"*Indirect*")/INDIRECT("'"&amp;$G$7&amp;"'!$F$2"),0)))</f>
        <v/>
      </c>
    </row>
    <row r="71">
      <c r="W71" s="128" t="n">
        <v>30</v>
      </c>
      <c r="X71" s="128">
        <f>'General Information'!$D$25+W71</f>
        <v/>
      </c>
      <c r="Y71" s="129">
        <f>IF($G$4="",0,IF(W71&gt;'General Information'!$D$33,0,IF(W71=0,$J$4,IFERROR(SUMIF(INDIRECT("'"&amp;$G$4&amp;"'!$C$37:$C$52"),W71,INDIRECT("'"&amp;$G$4&amp;"'!$D$37:$D$52")),0))))</f>
        <v/>
      </c>
      <c r="Z71" s="129">
        <f>IF($G$5="",0,IF(W71&gt;'General Information'!$D$33,0,IF(W71=0,$J$5,IFERROR(SUMIF(INDIRECT("'"&amp;$G$5&amp;"'!$C$37:$C$52"),W71,INDIRECT("'"&amp;$G$5&amp;"'!$D$37:$D$52")),0))))</f>
        <v/>
      </c>
      <c r="AA71" s="129">
        <f>IF($G$6="",0,IF(W71&gt;'General Information'!$D$33,0,IF(W71=0,$J$6,IFERROR(SUMIF(INDIRECT("'"&amp;$G$6&amp;"'!$C$37:$C$52"),W71,INDIRECT("'"&amp;$G$6&amp;"'!$D$37:$D$52")),0))))</f>
        <v/>
      </c>
      <c r="AB71" s="129">
        <f>IF($G$7="",0,IF(W71&gt;'General Information'!$D$33,0,IF(W71=0,$J$7,IFERROR(SUMIF(INDIRECT("'"&amp;$G$7&amp;"'!$C$37:$C$52"),W71,INDIRECT("'"&amp;$G$7&amp;"'!$D$37:$D$52")),0))))</f>
        <v/>
      </c>
      <c r="AC71" s="129">
        <f>IF($G$4="",0,AC70+IF(W71&gt;'General Information'!$D$33,0,IF(W71=0,$J$4,IFERROR(SUMIF(INDIRECT("'"&amp;$G$4&amp;"'!$C$37:$C$52"),W71,INDIRECT("'"&amp;$G$4&amp;"'!$E$37:$E$52")),0))))</f>
        <v/>
      </c>
      <c r="AD71" s="129">
        <f>IF($G$5="",0,AD70+IF(W71&gt;'General Information'!$D$33,0,IF(W71=0,$J$5,IFERROR(SUMIF(INDIRECT("'"&amp;$G$5&amp;"'!$C$37:$C$52"),W71,INDIRECT("'"&amp;$G$5&amp;"'!$E$37:$E$52")),0))))</f>
        <v/>
      </c>
      <c r="AE71" s="129">
        <f>IF($G$6="",0,AE70+IF(W71&gt;'General Information'!$D$33,0,IF(W71=0,$J$6,IFERROR(SUMIF(INDIRECT("'"&amp;$G$6&amp;"'!$C$37:$C$52"),W71,INDIRECT("'"&amp;$G$6&amp;"'!$E$37:$E$52")),0))))</f>
        <v/>
      </c>
      <c r="AF71" s="129">
        <f>IF($G$7="",0,AF70+IF(W71&gt;'General Information'!$D$33,0,IF(W71=0,$J$7,IFERROR(SUMIF(INDIRECT("'"&amp;$G$7&amp;"'!$C$37:$C$52"),W71,INDIRECT("'"&amp;$G$7&amp;"'!$E$37:$E$52")),0))))</f>
        <v/>
      </c>
      <c r="AG71" s="134">
        <f>IF($G$4="",0,IF(W71&gt;'General Information'!$D$33,0,IFERROR(SUMIFS(INDIRECT("'"&amp;$G$4&amp;"'!$D$37:$D$52"),INDIRECT("'"&amp;$G$4&amp;"'!$C$37:$C$52"),W71,INDIRECT("'"&amp;$G$4&amp;"'!$B$37:$B$52"),"*Indirect*")/INDIRECT("'"&amp;$G$4&amp;"'!$F$2"),0)))</f>
        <v/>
      </c>
      <c r="AH71" s="134">
        <f>IF($G$5="",0,IF(W71&gt;'General Information'!$D$33,0,IFERROR(SUMIFS(INDIRECT("'"&amp;$G$5&amp;"'!$D$37:$D$52"),INDIRECT("'"&amp;$G$5&amp;"'!$C$37:$C$52"),W71,INDIRECT("'"&amp;$G$5&amp;"'!$B$37:$B$52"),"*Indirect*")/INDIRECT("'"&amp;$G$5&amp;"'!$F$2"),0)))</f>
        <v/>
      </c>
      <c r="AI71" s="134">
        <f>IF($G$6="",0,IF(W71&gt;'General Information'!$D$33,0,IFERROR(SUMIFS(INDIRECT("'"&amp;$G$6&amp;"'!$D$37:$D$52"),INDIRECT("'"&amp;$G$6&amp;"'!$C$37:$C$52"),W71,INDIRECT("'"&amp;$G$6&amp;"'!$B$37:$B$52"),"*Indirect*")/INDIRECT("'"&amp;$G$6&amp;"'!$F$2"),0)))</f>
        <v/>
      </c>
      <c r="AJ71" s="134">
        <f>IF($G$7="",0,IF(W71&gt;'General Information'!$D$33,0,IFERROR(SUMIFS(INDIRECT("'"&amp;$G$7&amp;"'!$D$37:$D$52"),INDIRECT("'"&amp;$G$7&amp;"'!$C$37:$C$52"),W71,INDIRECT("'"&amp;$G$7&amp;"'!$B$37:$B$52"),"*Indirect*")/INDIRECT("'"&amp;$G$7&amp;"'!$F$2"),0)))</f>
        <v/>
      </c>
    </row>
    <row r="74">
      <c r="W74" s="122" t="inlineStr">
        <is>
          <t>PAVEMENT SECTION (inches): mainline, then the reading if the quantities also cover the shoulder</t>
        </is>
      </c>
    </row>
    <row r="75">
      <c r="W75" s="124" t="inlineStr">
        <is>
          <t>Layer</t>
        </is>
      </c>
      <c r="X75" s="124">
        <f>X$4</f>
        <v/>
      </c>
      <c r="Y75" s="124">
        <f>Y$4</f>
        <v/>
      </c>
      <c r="Z75" s="124">
        <f>Z$4</f>
        <v/>
      </c>
      <c r="AA75" s="124">
        <f>AA$4</f>
        <v/>
      </c>
    </row>
    <row r="76">
      <c r="W76" s="128" t="inlineStr">
        <is>
          <t>Subbase (P-154)</t>
        </is>
      </c>
      <c r="X76" s="135">
        <f>IF($G$4="",0,IFERROR(J83,0))</f>
        <v/>
      </c>
      <c r="Y76" s="135">
        <f>IF($G$5="",0,IFERROR(J84,0))</f>
        <v/>
      </c>
      <c r="Z76" s="135">
        <f>IF($G$6="",0,IFERROR(J85,0))</f>
        <v/>
      </c>
      <c r="AA76" s="135">
        <f>IF($G$7="",0,IFERROR(J86,0))</f>
        <v/>
      </c>
    </row>
    <row r="77">
      <c r="G77" s="123" t="inlineStr">
        <is>
          <t>How to read: 1 shows where each alternative's cost sits; 2 whether the lowest-cost alternative holds at other discount rates (FAA now uses the OMB A-94 real rate, about 2%; 7% was the rule before 2022); 3 and 4 when the money is spent and when the higher first cost is paid back; 5 how often and how long the runway closes.</t>
        </is>
      </c>
      <c r="W77" s="128" t="inlineStr">
        <is>
          <t>Aggregate base</t>
        </is>
      </c>
      <c r="X77" s="135">
        <f>IF($G$4="",0,IFERROR(I83,0))</f>
        <v/>
      </c>
      <c r="Y77" s="135">
        <f>IF($G$5="",0,IFERROR(I84,0))</f>
        <v/>
      </c>
      <c r="Z77" s="135">
        <f>IF($G$6="",0,IFERROR(I85,0))</f>
        <v/>
      </c>
      <c r="AA77" s="135">
        <f>IF($G$7="",0,IFERROR(I86,0))</f>
        <v/>
      </c>
    </row>
    <row r="78">
      <c r="W78" s="128" t="inlineStr">
        <is>
          <t>Asphalt</t>
        </is>
      </c>
      <c r="X78" s="135">
        <f>IF($G$4="",0,IFERROR(IF(SUMIFS(INDIRECT("'"&amp;$G$4&amp;"'!$E$13:$E$22"),INDIRECT("'"&amp;$G$4&amp;"'!$D$13:$D$22"),"TON")&gt;0,H83,0),0))</f>
        <v/>
      </c>
      <c r="Y78" s="135">
        <f>IF($G$5="",0,IFERROR(IF(SUMIFS(INDIRECT("'"&amp;$G$5&amp;"'!$E$13:$E$22"),INDIRECT("'"&amp;$G$5&amp;"'!$D$13:$D$22"),"TON")&gt;0,H84,0),0))</f>
        <v/>
      </c>
      <c r="Z78" s="135">
        <f>IF($G$6="",0,IFERROR(IF(SUMIFS(INDIRECT("'"&amp;$G$6&amp;"'!$E$13:$E$22"),INDIRECT("'"&amp;$G$6&amp;"'!$D$13:$D$22"),"TON")&gt;0,H85,0),0))</f>
        <v/>
      </c>
      <c r="AA78" s="135">
        <f>IF($G$7="",0,IFERROR(IF(SUMIFS(INDIRECT("'"&amp;$G$7&amp;"'!$E$13:$E$22"),INDIRECT("'"&amp;$G$7&amp;"'!$D$13:$D$22"),"TON")&gt;0,H86,0),0))</f>
        <v/>
      </c>
    </row>
    <row r="79">
      <c r="W79" s="128" t="inlineStr">
        <is>
          <t>Concrete</t>
        </is>
      </c>
      <c r="X79" s="135">
        <f>IF($G$4="",0,IFERROR(IF(SUMIFS(INDIRECT("'"&amp;$G$4&amp;"'!$E$13:$E$22"),INDIRECT("'"&amp;$G$4&amp;"'!$D$13:$D$22"),"TON")&gt;0,0,H83),0))</f>
        <v/>
      </c>
      <c r="Y79" s="135">
        <f>IF($G$5="",0,IFERROR(IF(SUMIFS(INDIRECT("'"&amp;$G$5&amp;"'!$E$13:$E$22"),INDIRECT("'"&amp;$G$5&amp;"'!$D$13:$D$22"),"TON")&gt;0,0,H84),0))</f>
        <v/>
      </c>
      <c r="Z79" s="135">
        <f>IF($G$6="",0,IFERROR(IF(SUMIFS(INDIRECT("'"&amp;$G$6&amp;"'!$E$13:$E$22"),INDIRECT("'"&amp;$G$6&amp;"'!$D$13:$D$22"),"TON")&gt;0,0,H85),0))</f>
        <v/>
      </c>
      <c r="AA79" s="135">
        <f>IF($G$7="",0,IFERROR(IF(SUMIFS(INDIRECT("'"&amp;$G$7&amp;"'!$E$13:$E$22"),INDIRECT("'"&amp;$G$7&amp;"'!$D$13:$D$22"),"TON")&gt;0,0,H86),0))</f>
        <v/>
      </c>
    </row>
    <row r="80">
      <c r="G80" s="121" t="inlineStr">
        <is>
          <t>PAVEMENT SECTION  (read back from the quantities already entered; nothing here changes a cost)</t>
        </is>
      </c>
    </row>
    <row r="81">
      <c r="G81" s="122" t="inlineStr">
        <is>
          <t>Asphalt unit weight, pcf:</t>
        </is>
      </c>
      <c r="J81" s="136" t="n">
        <v>145</v>
      </c>
      <c r="K81" s="123" t="inlineStr">
        <is>
          <t>Only asphalt needs an assumption: 145 pcf reproduces the Murfreesboro section to the hundredth of an inch. Volume items convert directly, and concrete carries its thickness in the pay-item name.</t>
        </is>
      </c>
      <c r="W81" s="122" t="inlineStr">
        <is>
          <t>Shoulder reading (blank unless shoulder area is entered)</t>
        </is>
      </c>
    </row>
    <row r="82" ht="27" customHeight="1">
      <c r="G82" s="124" t="inlineStr">
        <is>
          <t>Alternative</t>
        </is>
      </c>
      <c r="H82" s="124" t="inlineStr">
        <is>
          <t>Surface course (in)</t>
        </is>
      </c>
      <c r="I82" s="124" t="inlineStr">
        <is>
          <t>Aggregate base (in)</t>
        </is>
      </c>
      <c r="J82" s="124" t="inlineStr">
        <is>
          <t>Subbase (in)</t>
        </is>
      </c>
      <c r="K82" s="124" t="inlineStr">
        <is>
          <t>Treated subgrade</t>
        </is>
      </c>
      <c r="L82" s="124" t="inlineStr">
        <is>
          <t>Total section (in)</t>
        </is>
      </c>
      <c r="M82" s="124" t="inlineStr">
        <is>
          <t>Excavation (in)</t>
        </is>
      </c>
      <c r="N82" s="124" t="inlineStr">
        <is>
          <t>Excavation check</t>
        </is>
      </c>
      <c r="O82" s="124" t="n"/>
      <c r="P82" s="124" t="inlineStr">
        <is>
          <t>Section from the quantities</t>
        </is>
      </c>
      <c r="Q82" s="124" t="inlineStr">
        <is>
          <t>Same quantities over mainline + shoulder</t>
        </is>
      </c>
      <c r="W82" s="124" t="inlineStr">
        <is>
          <t>Layer</t>
        </is>
      </c>
      <c r="X82" s="124">
        <f>X$4</f>
        <v/>
      </c>
      <c r="Y82" s="124">
        <f>Y$4</f>
        <v/>
      </c>
      <c r="Z82" s="124">
        <f>Z$4</f>
        <v/>
      </c>
      <c r="AA82" s="124">
        <f>AA$4</f>
        <v/>
      </c>
    </row>
    <row r="83">
      <c r="G83" s="125">
        <f>IF($G$4="","",$H$4)</f>
        <v/>
      </c>
      <c r="H83" s="137">
        <f>IF($G$4="","",IF(SUMIFS(INDIRECT("'"&amp;$G$4&amp;"'!$E$13:$E$22"),INDIRECT("'"&amp;$G$4&amp;"'!$D$13:$D$22"),"TON")&gt;0,SUMIFS(INDIRECT("'"&amp;$G$4&amp;"'!$E$13:$E$22"),INDIRECT("'"&amp;$G$4&amp;"'!$D$13:$D$22"),"TON")*2666.6667/($J$81*'General Information'!$D$26),IFERROR(VALUE(TRIM(SUBSTITUTE(MID(IFERROR(INDEX(INDIRECT("'"&amp;$G$4&amp;"'!$C$13:$C$22"),MATCH("Concrete Pavement*",INDIRECT("'"&amp;$G$4&amp;"'!$C$13:$C$22"),0)),""),FIND(",",IFERROR(INDEX(INDIRECT("'"&amp;$G$4&amp;"'!$C$13:$C$22"),MATCH("Concrete Pavement*",INDIRECT("'"&amp;$G$4&amp;"'!$C$13:$C$22"),0)),""))+1,99),"-inch",""))),0)))</f>
        <v/>
      </c>
      <c r="I83" s="137">
        <f>IF($G$4="","",36*(SUMIFS(INDIRECT("'"&amp;$G$4&amp;"'!$E$13:$E$22"),INDIRECT("'"&amp;$G$4&amp;"'!$D$13:$D$22"),"C.Y.",INDIRECT("'"&amp;$G$4&amp;"'!$B$13:$B$22"),"P-2*")+SUMIFS(INDIRECT("'"&amp;$G$4&amp;"'!$E$13:$E$22"),INDIRECT("'"&amp;$G$4&amp;"'!$D$13:$D$22"),"C.Y.",INDIRECT("'"&amp;$G$4&amp;"'!$B$13:$B$22"),"P-3*"))/'General Information'!$D$26)</f>
        <v/>
      </c>
      <c r="J83" s="137">
        <f>IF($G$4="","",36*SUMIFS(INDIRECT("'"&amp;$G$4&amp;"'!$E$13:$E$22"),INDIRECT("'"&amp;$G$4&amp;"'!$D$13:$D$22"),"C.Y.",INDIRECT("'"&amp;$G$4&amp;"'!$B$13:$B$22"),"P-154*")/'General Information'!$D$26)</f>
        <v/>
      </c>
      <c r="K83" s="137">
        <f>IF($G$4="","",IF(SUMIFS(INDIRECT("'"&amp;$G$4&amp;"'!$E$13:$E$22"),INDIRECT("'"&amp;$G$4&amp;"'!$D$13:$D$22"),"S.Y.",INDIRECT("'"&amp;$G$4&amp;"'!$B$13:$B$22"),"P-155*")+SUMIFS(INDIRECT("'"&amp;$G$4&amp;"'!$E$13:$E$22"),INDIRECT("'"&amp;$G$4&amp;"'!$D$13:$D$22"),"S.Y.",INDIRECT("'"&amp;$G$4&amp;"'!$B$13:$B$22"),"P-156*")+SUMIFS(INDIRECT("'"&amp;$G$4&amp;"'!$E$13:$E$22"),INDIRECT("'"&amp;$G$4&amp;"'!$D$13:$D$22"),"S.Y.",INDIRECT("'"&amp;$G$4&amp;"'!$B$13:$B$22"),"P-157*")+SUMIFS(INDIRECT("'"&amp;$G$4&amp;"'!$E$13:$E$22"),INDIRECT("'"&amp;$G$4&amp;"'!$D$13:$D$22"),"S.Y.",INDIRECT("'"&amp;$G$4&amp;"'!$B$13:$B$22"),"P-158*")&gt;0,"yes","-"))</f>
        <v/>
      </c>
      <c r="L83" s="137">
        <f>IF($G$4="","",H83+I83+J83)</f>
        <v/>
      </c>
      <c r="M83" s="137">
        <f>IF($G$4="","",36*SUMIFS(INDIRECT("'"&amp;$G$4&amp;"'!$E$13:$E$22"),INDIRECT("'"&amp;$G$4&amp;"'!$D$13:$D$22"),"C.Y.",INDIRECT("'"&amp;$G$4&amp;"'!$B$13:$B$22"),"P-152*")/'General Information'!$D$26)</f>
        <v/>
      </c>
      <c r="N83" s="125">
        <f>IF($G$4="","",IF(M83=0,"no excavation item",IF(ABS(M83-L83)&lt;=0.5,"agrees","differs by "&amp;TEXT(M83-L83,"0.0")&amp;" in")))</f>
        <v/>
      </c>
      <c r="P83" s="125">
        <f>IF($G$4="","",TEXT(H83,"0")&amp;""" "&amp;IF(SUMIFS(INDIRECT("'"&amp;$G$4&amp;"'!$E$13:$E$22"),INDIRECT("'"&amp;$G$4&amp;"'!$D$13:$D$22"),"TON")&gt;0,IFERROR(SUBSTITUTE(LEFT(INDEX(INDIRECT("'"&amp;$G$4&amp;"'!$B$13:$B$22"),MATCH("P-4*",INDIRECT("'"&amp;$G$4&amp;"'!$B$13:$B$22"),0)),5),"-",""),""),IFERROR(SUBSTITUTE(LEFT(INDEX(INDIRECT("'"&amp;$G$4&amp;"'!$B$13:$B$22"),MATCH("P-501*",INDIRECT("'"&amp;$G$4&amp;"'!$B$13:$B$22"),0)),5),"-",""),""))&amp;IF(I83&gt;0," on "&amp;TEXT(I83,"0")&amp;""" "&amp;IFERROR(SUBSTITUTE(LEFT(INDEX(INDIRECT("'"&amp;$G$4&amp;"'!$B$13:$B$22"),MATCH("P-2*",INDIRECT("'"&amp;$G$4&amp;"'!$B$13:$B$22"),0)),5),"-",""),""),"")&amp;IF(J83&gt;0," on "&amp;TEXT(J83,"0")&amp;""" P154",""))</f>
        <v/>
      </c>
      <c r="Q83" s="125">
        <f>IF(OR($G$4="",'General Information'!$D$27=0),"",TEXT(IF(SUMIFS(INDIRECT("'"&amp;$G$4&amp;"'!$E$13:$E$22"),INDIRECT("'"&amp;$G$4&amp;"'!$D$13:$D$22"),"TON")&gt;0,H83*'General Information'!$D$26/('General Information'!$D$26+'General Information'!$D$27),H83),"0")&amp;""" "&amp;IF(SUMIFS(INDIRECT("'"&amp;$G$4&amp;"'!$E$13:$E$22"),INDIRECT("'"&amp;$G$4&amp;"'!$D$13:$D$22"),"TON")&gt;0,IFERROR(SUBSTITUTE(LEFT(INDEX(INDIRECT("'"&amp;$G$4&amp;"'!$B$13:$B$22"),MATCH("P-4*",INDIRECT("'"&amp;$G$4&amp;"'!$B$13:$B$22"),0)),5),"-",""),""),IFERROR(SUBSTITUTE(LEFT(INDEX(INDIRECT("'"&amp;$G$4&amp;"'!$B$13:$B$22"),MATCH("P-501*",INDIRECT("'"&amp;$G$4&amp;"'!$B$13:$B$22"),0)),5),"-",""),""))&amp;IF(I83&gt;0," on "&amp;TEXT(I83*'General Information'!$D$26/('General Information'!$D$26+'General Information'!$D$27),"0")&amp;""" "&amp;IFERROR(SUBSTITUTE(LEFT(INDEX(INDIRECT("'"&amp;$G$4&amp;"'!$B$13:$B$22"),MATCH("P-2*",INDIRECT("'"&amp;$G$4&amp;"'!$B$13:$B$22"),0)),5),"-",""),""),"")&amp;IF(J83&gt;0," on "&amp;TEXT(J83*'General Information'!$D$26/('General Information'!$D$26+'General Information'!$D$27),"0")&amp;""" P154",""))</f>
        <v/>
      </c>
      <c r="W83" s="128" t="inlineStr">
        <is>
          <t>Subbase (P-154)</t>
        </is>
      </c>
      <c r="X83" s="135">
        <f>IFERROR(X76*IF('General Information'!$D$27&gt;0,'General Information'!$D$26/('General Information'!$D$26+'General Information'!$D$27),0),0)</f>
        <v/>
      </c>
      <c r="Y83" s="135">
        <f>IFERROR(Y76*IF('General Information'!$D$27&gt;0,'General Information'!$D$26/('General Information'!$D$26+'General Information'!$D$27),0),0)</f>
        <v/>
      </c>
      <c r="Z83" s="135">
        <f>IFERROR(Z76*IF('General Information'!$D$27&gt;0,'General Information'!$D$26/('General Information'!$D$26+'General Information'!$D$27),0),0)</f>
        <v/>
      </c>
      <c r="AA83" s="135">
        <f>IFERROR(AA76*IF('General Information'!$D$27&gt;0,'General Information'!$D$26/('General Information'!$D$26+'General Information'!$D$27),0),0)</f>
        <v/>
      </c>
    </row>
    <row r="84">
      <c r="G84" s="125">
        <f>IF($G$5="","",$H$5)</f>
        <v/>
      </c>
      <c r="H84" s="137">
        <f>IF($G$5="","",IF(SUMIFS(INDIRECT("'"&amp;$G$5&amp;"'!$E$13:$E$22"),INDIRECT("'"&amp;$G$5&amp;"'!$D$13:$D$22"),"TON")&gt;0,SUMIFS(INDIRECT("'"&amp;$G$5&amp;"'!$E$13:$E$22"),INDIRECT("'"&amp;$G$5&amp;"'!$D$13:$D$22"),"TON")*2666.6667/($J$81*'General Information'!$D$26),IFERROR(VALUE(TRIM(SUBSTITUTE(MID(IFERROR(INDEX(INDIRECT("'"&amp;$G$5&amp;"'!$C$13:$C$22"),MATCH("Concrete Pavement*",INDIRECT("'"&amp;$G$5&amp;"'!$C$13:$C$22"),0)),""),FIND(",",IFERROR(INDEX(INDIRECT("'"&amp;$G$5&amp;"'!$C$13:$C$22"),MATCH("Concrete Pavement*",INDIRECT("'"&amp;$G$5&amp;"'!$C$13:$C$22"),0)),""))+1,99),"-inch",""))),0)))</f>
        <v/>
      </c>
      <c r="I84" s="137">
        <f>IF($G$5="","",36*(SUMIFS(INDIRECT("'"&amp;$G$5&amp;"'!$E$13:$E$22"),INDIRECT("'"&amp;$G$5&amp;"'!$D$13:$D$22"),"C.Y.",INDIRECT("'"&amp;$G$5&amp;"'!$B$13:$B$22"),"P-2*")+SUMIFS(INDIRECT("'"&amp;$G$5&amp;"'!$E$13:$E$22"),INDIRECT("'"&amp;$G$5&amp;"'!$D$13:$D$22"),"C.Y.",INDIRECT("'"&amp;$G$5&amp;"'!$B$13:$B$22"),"P-3*"))/'General Information'!$D$26)</f>
        <v/>
      </c>
      <c r="J84" s="137">
        <f>IF($G$5="","",36*SUMIFS(INDIRECT("'"&amp;$G$5&amp;"'!$E$13:$E$22"),INDIRECT("'"&amp;$G$5&amp;"'!$D$13:$D$22"),"C.Y.",INDIRECT("'"&amp;$G$5&amp;"'!$B$13:$B$22"),"P-154*")/'General Information'!$D$26)</f>
        <v/>
      </c>
      <c r="K84" s="137">
        <f>IF($G$5="","",IF(SUMIFS(INDIRECT("'"&amp;$G$5&amp;"'!$E$13:$E$22"),INDIRECT("'"&amp;$G$5&amp;"'!$D$13:$D$22"),"S.Y.",INDIRECT("'"&amp;$G$5&amp;"'!$B$13:$B$22"),"P-155*")+SUMIFS(INDIRECT("'"&amp;$G$5&amp;"'!$E$13:$E$22"),INDIRECT("'"&amp;$G$5&amp;"'!$D$13:$D$22"),"S.Y.",INDIRECT("'"&amp;$G$5&amp;"'!$B$13:$B$22"),"P-156*")+SUMIFS(INDIRECT("'"&amp;$G$5&amp;"'!$E$13:$E$22"),INDIRECT("'"&amp;$G$5&amp;"'!$D$13:$D$22"),"S.Y.",INDIRECT("'"&amp;$G$5&amp;"'!$B$13:$B$22"),"P-157*")+SUMIFS(INDIRECT("'"&amp;$G$5&amp;"'!$E$13:$E$22"),INDIRECT("'"&amp;$G$5&amp;"'!$D$13:$D$22"),"S.Y.",INDIRECT("'"&amp;$G$5&amp;"'!$B$13:$B$22"),"P-158*")&gt;0,"yes","-"))</f>
        <v/>
      </c>
      <c r="L84" s="137">
        <f>IF($G$5="","",H84+I84+J84)</f>
        <v/>
      </c>
      <c r="M84" s="137">
        <f>IF($G$5="","",36*SUMIFS(INDIRECT("'"&amp;$G$5&amp;"'!$E$13:$E$22"),INDIRECT("'"&amp;$G$5&amp;"'!$D$13:$D$22"),"C.Y.",INDIRECT("'"&amp;$G$5&amp;"'!$B$13:$B$22"),"P-152*")/'General Information'!$D$26)</f>
        <v/>
      </c>
      <c r="N84" s="125">
        <f>IF($G$5="","",IF(M84=0,"no excavation item",IF(ABS(M84-L84)&lt;=0.5,"agrees","differs by "&amp;TEXT(M84-L84,"0.0")&amp;" in")))</f>
        <v/>
      </c>
      <c r="P84" s="125">
        <f>IF($G$5="","",TEXT(H84,"0")&amp;""" "&amp;IF(SUMIFS(INDIRECT("'"&amp;$G$5&amp;"'!$E$13:$E$22"),INDIRECT("'"&amp;$G$5&amp;"'!$D$13:$D$22"),"TON")&gt;0,IFERROR(SUBSTITUTE(LEFT(INDEX(INDIRECT("'"&amp;$G$5&amp;"'!$B$13:$B$22"),MATCH("P-4*",INDIRECT("'"&amp;$G$5&amp;"'!$B$13:$B$22"),0)),5),"-",""),""),IFERROR(SUBSTITUTE(LEFT(INDEX(INDIRECT("'"&amp;$G$5&amp;"'!$B$13:$B$22"),MATCH("P-501*",INDIRECT("'"&amp;$G$5&amp;"'!$B$13:$B$22"),0)),5),"-",""),""))&amp;IF(I84&gt;0," on "&amp;TEXT(I84,"0")&amp;""" "&amp;IFERROR(SUBSTITUTE(LEFT(INDEX(INDIRECT("'"&amp;$G$5&amp;"'!$B$13:$B$22"),MATCH("P-2*",INDIRECT("'"&amp;$G$5&amp;"'!$B$13:$B$22"),0)),5),"-",""),""),"")&amp;IF(J84&gt;0," on "&amp;TEXT(J84,"0")&amp;""" P154",""))</f>
        <v/>
      </c>
      <c r="Q84" s="125">
        <f>IF(OR($G$5="",'General Information'!$D$27=0),"",TEXT(IF(SUMIFS(INDIRECT("'"&amp;$G$5&amp;"'!$E$13:$E$22"),INDIRECT("'"&amp;$G$5&amp;"'!$D$13:$D$22"),"TON")&gt;0,H84*'General Information'!$D$26/('General Information'!$D$26+'General Information'!$D$27),H84),"0")&amp;""" "&amp;IF(SUMIFS(INDIRECT("'"&amp;$G$5&amp;"'!$E$13:$E$22"),INDIRECT("'"&amp;$G$5&amp;"'!$D$13:$D$22"),"TON")&gt;0,IFERROR(SUBSTITUTE(LEFT(INDEX(INDIRECT("'"&amp;$G$5&amp;"'!$B$13:$B$22"),MATCH("P-4*",INDIRECT("'"&amp;$G$5&amp;"'!$B$13:$B$22"),0)),5),"-",""),""),IFERROR(SUBSTITUTE(LEFT(INDEX(INDIRECT("'"&amp;$G$5&amp;"'!$B$13:$B$22"),MATCH("P-501*",INDIRECT("'"&amp;$G$5&amp;"'!$B$13:$B$22"),0)),5),"-",""),""))&amp;IF(I84&gt;0," on "&amp;TEXT(I84*'General Information'!$D$26/('General Information'!$D$26+'General Information'!$D$27),"0")&amp;""" "&amp;IFERROR(SUBSTITUTE(LEFT(INDEX(INDIRECT("'"&amp;$G$5&amp;"'!$B$13:$B$22"),MATCH("P-2*",INDIRECT("'"&amp;$G$5&amp;"'!$B$13:$B$22"),0)),5),"-",""),""),"")&amp;IF(J84&gt;0," on "&amp;TEXT(J84*'General Information'!$D$26/('General Information'!$D$26+'General Information'!$D$27),"0")&amp;""" P154",""))</f>
        <v/>
      </c>
      <c r="W84" s="128" t="inlineStr">
        <is>
          <t>Aggregate base</t>
        </is>
      </c>
      <c r="X84" s="135">
        <f>IFERROR(X77*IF('General Information'!$D$27&gt;0,'General Information'!$D$26/('General Information'!$D$26+'General Information'!$D$27),0),0)</f>
        <v/>
      </c>
      <c r="Y84" s="135">
        <f>IFERROR(Y77*IF('General Information'!$D$27&gt;0,'General Information'!$D$26/('General Information'!$D$26+'General Information'!$D$27),0),0)</f>
        <v/>
      </c>
      <c r="Z84" s="135">
        <f>IFERROR(Z77*IF('General Information'!$D$27&gt;0,'General Information'!$D$26/('General Information'!$D$26+'General Information'!$D$27),0),0)</f>
        <v/>
      </c>
      <c r="AA84" s="135">
        <f>IFERROR(AA77*IF('General Information'!$D$27&gt;0,'General Information'!$D$26/('General Information'!$D$26+'General Information'!$D$27),0),0)</f>
        <v/>
      </c>
    </row>
    <row r="85">
      <c r="G85" s="125">
        <f>IF($G$6="","",$H$6)</f>
        <v/>
      </c>
      <c r="H85" s="137">
        <f>IF($G$6="","",IF(SUMIFS(INDIRECT("'"&amp;$G$6&amp;"'!$E$13:$E$22"),INDIRECT("'"&amp;$G$6&amp;"'!$D$13:$D$22"),"TON")&gt;0,SUMIFS(INDIRECT("'"&amp;$G$6&amp;"'!$E$13:$E$22"),INDIRECT("'"&amp;$G$6&amp;"'!$D$13:$D$22"),"TON")*2666.6667/($J$81*'General Information'!$D$26),IFERROR(VALUE(TRIM(SUBSTITUTE(MID(IFERROR(INDEX(INDIRECT("'"&amp;$G$6&amp;"'!$C$13:$C$22"),MATCH("Concrete Pavement*",INDIRECT("'"&amp;$G$6&amp;"'!$C$13:$C$22"),0)),""),FIND(",",IFERROR(INDEX(INDIRECT("'"&amp;$G$6&amp;"'!$C$13:$C$22"),MATCH("Concrete Pavement*",INDIRECT("'"&amp;$G$6&amp;"'!$C$13:$C$22"),0)),""))+1,99),"-inch",""))),0)))</f>
        <v/>
      </c>
      <c r="I85" s="137">
        <f>IF($G$6="","",36*(SUMIFS(INDIRECT("'"&amp;$G$6&amp;"'!$E$13:$E$22"),INDIRECT("'"&amp;$G$6&amp;"'!$D$13:$D$22"),"C.Y.",INDIRECT("'"&amp;$G$6&amp;"'!$B$13:$B$22"),"P-2*")+SUMIFS(INDIRECT("'"&amp;$G$6&amp;"'!$E$13:$E$22"),INDIRECT("'"&amp;$G$6&amp;"'!$D$13:$D$22"),"C.Y.",INDIRECT("'"&amp;$G$6&amp;"'!$B$13:$B$22"),"P-3*"))/'General Information'!$D$26)</f>
        <v/>
      </c>
      <c r="J85" s="137">
        <f>IF($G$6="","",36*SUMIFS(INDIRECT("'"&amp;$G$6&amp;"'!$E$13:$E$22"),INDIRECT("'"&amp;$G$6&amp;"'!$D$13:$D$22"),"C.Y.",INDIRECT("'"&amp;$G$6&amp;"'!$B$13:$B$22"),"P-154*")/'General Information'!$D$26)</f>
        <v/>
      </c>
      <c r="K85" s="137">
        <f>IF($G$6="","",IF(SUMIFS(INDIRECT("'"&amp;$G$6&amp;"'!$E$13:$E$22"),INDIRECT("'"&amp;$G$6&amp;"'!$D$13:$D$22"),"S.Y.",INDIRECT("'"&amp;$G$6&amp;"'!$B$13:$B$22"),"P-155*")+SUMIFS(INDIRECT("'"&amp;$G$6&amp;"'!$E$13:$E$22"),INDIRECT("'"&amp;$G$6&amp;"'!$D$13:$D$22"),"S.Y.",INDIRECT("'"&amp;$G$6&amp;"'!$B$13:$B$22"),"P-156*")+SUMIFS(INDIRECT("'"&amp;$G$6&amp;"'!$E$13:$E$22"),INDIRECT("'"&amp;$G$6&amp;"'!$D$13:$D$22"),"S.Y.",INDIRECT("'"&amp;$G$6&amp;"'!$B$13:$B$22"),"P-157*")+SUMIFS(INDIRECT("'"&amp;$G$6&amp;"'!$E$13:$E$22"),INDIRECT("'"&amp;$G$6&amp;"'!$D$13:$D$22"),"S.Y.",INDIRECT("'"&amp;$G$6&amp;"'!$B$13:$B$22"),"P-158*")&gt;0,"yes","-"))</f>
        <v/>
      </c>
      <c r="L85" s="137">
        <f>IF($G$6="","",H85+I85+J85)</f>
        <v/>
      </c>
      <c r="M85" s="137">
        <f>IF($G$6="","",36*SUMIFS(INDIRECT("'"&amp;$G$6&amp;"'!$E$13:$E$22"),INDIRECT("'"&amp;$G$6&amp;"'!$D$13:$D$22"),"C.Y.",INDIRECT("'"&amp;$G$6&amp;"'!$B$13:$B$22"),"P-152*")/'General Information'!$D$26)</f>
        <v/>
      </c>
      <c r="N85" s="125">
        <f>IF($G$6="","",IF(M85=0,"no excavation item",IF(ABS(M85-L85)&lt;=0.5,"agrees","differs by "&amp;TEXT(M85-L85,"0.0")&amp;" in")))</f>
        <v/>
      </c>
      <c r="P85" s="125">
        <f>IF($G$6="","",TEXT(H85,"0")&amp;""" "&amp;IF(SUMIFS(INDIRECT("'"&amp;$G$6&amp;"'!$E$13:$E$22"),INDIRECT("'"&amp;$G$6&amp;"'!$D$13:$D$22"),"TON")&gt;0,IFERROR(SUBSTITUTE(LEFT(INDEX(INDIRECT("'"&amp;$G$6&amp;"'!$B$13:$B$22"),MATCH("P-4*",INDIRECT("'"&amp;$G$6&amp;"'!$B$13:$B$22"),0)),5),"-",""),""),IFERROR(SUBSTITUTE(LEFT(INDEX(INDIRECT("'"&amp;$G$6&amp;"'!$B$13:$B$22"),MATCH("P-501*",INDIRECT("'"&amp;$G$6&amp;"'!$B$13:$B$22"),0)),5),"-",""),""))&amp;IF(I85&gt;0," on "&amp;TEXT(I85,"0")&amp;""" "&amp;IFERROR(SUBSTITUTE(LEFT(INDEX(INDIRECT("'"&amp;$G$6&amp;"'!$B$13:$B$22"),MATCH("P-2*",INDIRECT("'"&amp;$G$6&amp;"'!$B$13:$B$22"),0)),5),"-",""),""),"")&amp;IF(J85&gt;0," on "&amp;TEXT(J85,"0")&amp;""" P154",""))</f>
        <v/>
      </c>
      <c r="Q85" s="125">
        <f>IF(OR($G$6="",'General Information'!$D$27=0),"",TEXT(IF(SUMIFS(INDIRECT("'"&amp;$G$6&amp;"'!$E$13:$E$22"),INDIRECT("'"&amp;$G$6&amp;"'!$D$13:$D$22"),"TON")&gt;0,H85*'General Information'!$D$26/('General Information'!$D$26+'General Information'!$D$27),H85),"0")&amp;""" "&amp;IF(SUMIFS(INDIRECT("'"&amp;$G$6&amp;"'!$E$13:$E$22"),INDIRECT("'"&amp;$G$6&amp;"'!$D$13:$D$22"),"TON")&gt;0,IFERROR(SUBSTITUTE(LEFT(INDEX(INDIRECT("'"&amp;$G$6&amp;"'!$B$13:$B$22"),MATCH("P-4*",INDIRECT("'"&amp;$G$6&amp;"'!$B$13:$B$22"),0)),5),"-",""),""),IFERROR(SUBSTITUTE(LEFT(INDEX(INDIRECT("'"&amp;$G$6&amp;"'!$B$13:$B$22"),MATCH("P-501*",INDIRECT("'"&amp;$G$6&amp;"'!$B$13:$B$22"),0)),5),"-",""),""))&amp;IF(I85&gt;0," on "&amp;TEXT(I85*'General Information'!$D$26/('General Information'!$D$26+'General Information'!$D$27),"0")&amp;""" "&amp;IFERROR(SUBSTITUTE(LEFT(INDEX(INDIRECT("'"&amp;$G$6&amp;"'!$B$13:$B$22"),MATCH("P-2*",INDIRECT("'"&amp;$G$6&amp;"'!$B$13:$B$22"),0)),5),"-",""),""),"")&amp;IF(J85&gt;0," on "&amp;TEXT(J85*'General Information'!$D$26/('General Information'!$D$26+'General Information'!$D$27),"0")&amp;""" P154",""))</f>
        <v/>
      </c>
      <c r="W85" s="128" t="inlineStr">
        <is>
          <t>Asphalt</t>
        </is>
      </c>
      <c r="X85" s="135">
        <f>IFERROR(X78*IF('General Information'!$D$27&gt;0,'General Information'!$D$26/('General Information'!$D$26+'General Information'!$D$27),0),0)</f>
        <v/>
      </c>
      <c r="Y85" s="135">
        <f>IFERROR(Y78*IF('General Information'!$D$27&gt;0,'General Information'!$D$26/('General Information'!$D$26+'General Information'!$D$27),0),0)</f>
        <v/>
      </c>
      <c r="Z85" s="135">
        <f>IFERROR(Z78*IF('General Information'!$D$27&gt;0,'General Information'!$D$26/('General Information'!$D$26+'General Information'!$D$27),0),0)</f>
        <v/>
      </c>
      <c r="AA85" s="135">
        <f>IFERROR(AA78*IF('General Information'!$D$27&gt;0,'General Information'!$D$26/('General Information'!$D$26+'General Information'!$D$27),0),0)</f>
        <v/>
      </c>
    </row>
    <row r="86">
      <c r="G86" s="125">
        <f>IF($G$7="","",$H$7)</f>
        <v/>
      </c>
      <c r="H86" s="137">
        <f>IF($G$7="","",IF(SUMIFS(INDIRECT("'"&amp;$G$7&amp;"'!$E$13:$E$22"),INDIRECT("'"&amp;$G$7&amp;"'!$D$13:$D$22"),"TON")&gt;0,SUMIFS(INDIRECT("'"&amp;$G$7&amp;"'!$E$13:$E$22"),INDIRECT("'"&amp;$G$7&amp;"'!$D$13:$D$22"),"TON")*2666.6667/($J$81*'General Information'!$D$26),IFERROR(VALUE(TRIM(SUBSTITUTE(MID(IFERROR(INDEX(INDIRECT("'"&amp;$G$7&amp;"'!$C$13:$C$22"),MATCH("Concrete Pavement*",INDIRECT("'"&amp;$G$7&amp;"'!$C$13:$C$22"),0)),""),FIND(",",IFERROR(INDEX(INDIRECT("'"&amp;$G$7&amp;"'!$C$13:$C$22"),MATCH("Concrete Pavement*",INDIRECT("'"&amp;$G$7&amp;"'!$C$13:$C$22"),0)),""))+1,99),"-inch",""))),0)))</f>
        <v/>
      </c>
      <c r="I86" s="137">
        <f>IF($G$7="","",36*(SUMIFS(INDIRECT("'"&amp;$G$7&amp;"'!$E$13:$E$22"),INDIRECT("'"&amp;$G$7&amp;"'!$D$13:$D$22"),"C.Y.",INDIRECT("'"&amp;$G$7&amp;"'!$B$13:$B$22"),"P-2*")+SUMIFS(INDIRECT("'"&amp;$G$7&amp;"'!$E$13:$E$22"),INDIRECT("'"&amp;$G$7&amp;"'!$D$13:$D$22"),"C.Y.",INDIRECT("'"&amp;$G$7&amp;"'!$B$13:$B$22"),"P-3*"))/'General Information'!$D$26)</f>
        <v/>
      </c>
      <c r="J86" s="137">
        <f>IF($G$7="","",36*SUMIFS(INDIRECT("'"&amp;$G$7&amp;"'!$E$13:$E$22"),INDIRECT("'"&amp;$G$7&amp;"'!$D$13:$D$22"),"C.Y.",INDIRECT("'"&amp;$G$7&amp;"'!$B$13:$B$22"),"P-154*")/'General Information'!$D$26)</f>
        <v/>
      </c>
      <c r="K86" s="137">
        <f>IF($G$7="","",IF(SUMIFS(INDIRECT("'"&amp;$G$7&amp;"'!$E$13:$E$22"),INDIRECT("'"&amp;$G$7&amp;"'!$D$13:$D$22"),"S.Y.",INDIRECT("'"&amp;$G$7&amp;"'!$B$13:$B$22"),"P-155*")+SUMIFS(INDIRECT("'"&amp;$G$7&amp;"'!$E$13:$E$22"),INDIRECT("'"&amp;$G$7&amp;"'!$D$13:$D$22"),"S.Y.",INDIRECT("'"&amp;$G$7&amp;"'!$B$13:$B$22"),"P-156*")+SUMIFS(INDIRECT("'"&amp;$G$7&amp;"'!$E$13:$E$22"),INDIRECT("'"&amp;$G$7&amp;"'!$D$13:$D$22"),"S.Y.",INDIRECT("'"&amp;$G$7&amp;"'!$B$13:$B$22"),"P-157*")+SUMIFS(INDIRECT("'"&amp;$G$7&amp;"'!$E$13:$E$22"),INDIRECT("'"&amp;$G$7&amp;"'!$D$13:$D$22"),"S.Y.",INDIRECT("'"&amp;$G$7&amp;"'!$B$13:$B$22"),"P-158*")&gt;0,"yes","-"))</f>
        <v/>
      </c>
      <c r="L86" s="137">
        <f>IF($G$7="","",H86+I86+J86)</f>
        <v/>
      </c>
      <c r="M86" s="137">
        <f>IF($G$7="","",36*SUMIFS(INDIRECT("'"&amp;$G$7&amp;"'!$E$13:$E$22"),INDIRECT("'"&amp;$G$7&amp;"'!$D$13:$D$22"),"C.Y.",INDIRECT("'"&amp;$G$7&amp;"'!$B$13:$B$22"),"P-152*")/'General Information'!$D$26)</f>
        <v/>
      </c>
      <c r="N86" s="125">
        <f>IF($G$7="","",IF(M86=0,"no excavation item",IF(ABS(M86-L86)&lt;=0.5,"agrees","differs by "&amp;TEXT(M86-L86,"0.0")&amp;" in")))</f>
        <v/>
      </c>
      <c r="P86" s="125">
        <f>IF($G$7="","",TEXT(H86,"0")&amp;""" "&amp;IF(SUMIFS(INDIRECT("'"&amp;$G$7&amp;"'!$E$13:$E$22"),INDIRECT("'"&amp;$G$7&amp;"'!$D$13:$D$22"),"TON")&gt;0,IFERROR(SUBSTITUTE(LEFT(INDEX(INDIRECT("'"&amp;$G$7&amp;"'!$B$13:$B$22"),MATCH("P-4*",INDIRECT("'"&amp;$G$7&amp;"'!$B$13:$B$22"),0)),5),"-",""),""),IFERROR(SUBSTITUTE(LEFT(INDEX(INDIRECT("'"&amp;$G$7&amp;"'!$B$13:$B$22"),MATCH("P-501*",INDIRECT("'"&amp;$G$7&amp;"'!$B$13:$B$22"),0)),5),"-",""),""))&amp;IF(I86&gt;0," on "&amp;TEXT(I86,"0")&amp;""" "&amp;IFERROR(SUBSTITUTE(LEFT(INDEX(INDIRECT("'"&amp;$G$7&amp;"'!$B$13:$B$22"),MATCH("P-2*",INDIRECT("'"&amp;$G$7&amp;"'!$B$13:$B$22"),0)),5),"-",""),""),"")&amp;IF(J86&gt;0," on "&amp;TEXT(J86,"0")&amp;""" P154",""))</f>
        <v/>
      </c>
      <c r="Q86" s="125">
        <f>IF(OR($G$7="",'General Information'!$D$27=0),"",TEXT(IF(SUMIFS(INDIRECT("'"&amp;$G$7&amp;"'!$E$13:$E$22"),INDIRECT("'"&amp;$G$7&amp;"'!$D$13:$D$22"),"TON")&gt;0,H86*'General Information'!$D$26/('General Information'!$D$26+'General Information'!$D$27),H86),"0")&amp;""" "&amp;IF(SUMIFS(INDIRECT("'"&amp;$G$7&amp;"'!$E$13:$E$22"),INDIRECT("'"&amp;$G$7&amp;"'!$D$13:$D$22"),"TON")&gt;0,IFERROR(SUBSTITUTE(LEFT(INDEX(INDIRECT("'"&amp;$G$7&amp;"'!$B$13:$B$22"),MATCH("P-4*",INDIRECT("'"&amp;$G$7&amp;"'!$B$13:$B$22"),0)),5),"-",""),""),IFERROR(SUBSTITUTE(LEFT(INDEX(INDIRECT("'"&amp;$G$7&amp;"'!$B$13:$B$22"),MATCH("P-501*",INDIRECT("'"&amp;$G$7&amp;"'!$B$13:$B$22"),0)),5),"-",""),""))&amp;IF(I86&gt;0," on "&amp;TEXT(I86*'General Information'!$D$26/('General Information'!$D$26+'General Information'!$D$27),"0")&amp;""" "&amp;IFERROR(SUBSTITUTE(LEFT(INDEX(INDIRECT("'"&amp;$G$7&amp;"'!$B$13:$B$22"),MATCH("P-2*",INDIRECT("'"&amp;$G$7&amp;"'!$B$13:$B$22"),0)),5),"-",""),""),"")&amp;IF(J86&gt;0," on "&amp;TEXT(J86*'General Information'!$D$26/('General Information'!$D$26+'General Information'!$D$27),"0")&amp;""" P154",""))</f>
        <v/>
      </c>
      <c r="W86" s="128" t="inlineStr">
        <is>
          <t>Concrete</t>
        </is>
      </c>
      <c r="X86" s="135">
        <f>IFERROR(X79*IF('General Information'!$D$27&gt;0,1,0),0)</f>
        <v/>
      </c>
      <c r="Y86" s="135">
        <f>IFERROR(Y79*IF('General Information'!$D$27&gt;0,1,0),0)</f>
        <v/>
      </c>
      <c r="Z86" s="135">
        <f>IFERROR(Z79*IF('General Information'!$D$27&gt;0,1,0),0)</f>
        <v/>
      </c>
      <c r="AA86" s="135">
        <f>IFERROR(AA79*IF('General Information'!$D$27&gt;0,1,0),0)</f>
        <v/>
      </c>
    </row>
    <row r="87">
      <c r="G87" s="123" t="inlineStr">
        <is>
          <t>Thickness is not an input. Volume items give inches = 36 x C.Y. / mainline S.Y.; asphalt gives inches = 2,666.67 x tons / (pcf x mainline S.Y.); items measured by area carry no implied thickness. The last column is the section as the quantities describe it: paste it into the alternative description so the two can never disagree. The read-back divides by the mainline area only; when a shoulder area is entered, the last column spreads the same quantities over mainline plus shoulder, which is the reading to use if the quantities were taken off both.</t>
        </is>
      </c>
    </row>
    <row r="108">
      <c r="G108" s="123" t="inlineStr">
        <is>
          <t>Charts 6 and 7 stack the layers as they sit in the ground, surface on top. Chart 7 stays empty unless a shoulder area is entered on General Information, and then shows the same quantities spread over mainline plus shoulder, which is the lower bound on each thickness.</t>
        </is>
      </c>
    </row>
  </sheetData>
  <conditionalFormatting sqref="G4:R7">
    <cfRule type="expression" priority="1" dxfId="27" stopIfTrue="0">
      <formula>AND($G4&lt;&gt;"",COUNT($O$4:$O$7)&gt;0,$O4=MIN($O$4:$O$7))</formula>
    </cfRule>
  </conditionalFormatting>
  <conditionalFormatting sqref="G14:P17">
    <cfRule type="expression" priority="2" dxfId="27" stopIfTrue="0">
      <formula>AND($G14&lt;&gt;"",COUNT($L$14:$L$17)&gt;0,$L14=MIN($L$14:$L$17))</formula>
    </cfRule>
  </conditionalFormatting>
  <pageMargins left="0.75" right="0.75" top="1" bottom="1" header="0.5" footer="0.5"/>
  <pageSetup orientation="landscape" fitToWidth="1" fitToHeight="0"/>
  <drawing r:id="rId1"/>
</worksheet>
</file>

<file path=xl/worksheets/sheet15.xml><?xml version="1.0" encoding="utf-8"?>
<worksheet xmlns="http://schemas.openxmlformats.org/spreadsheetml/2006/main">
  <sheetPr>
    <tabColor rgb="FFBFBFBF"/>
    <outlinePr summaryBelow="1" summaryRight="1"/>
    <pageSetUpPr fitToPage="1"/>
  </sheetPr>
  <dimension ref="A1:G114"/>
  <sheetViews>
    <sheetView workbookViewId="0">
      <pane ySplit="4" topLeftCell="A5" activePane="bottomLeft" state="frozen"/>
      <selection pane="bottomLeft" activeCell="A1" sqref="A1"/>
    </sheetView>
  </sheetViews>
  <sheetFormatPr baseColWidth="8" defaultRowHeight="15"/>
  <cols>
    <col width="40" customWidth="1" min="1" max="1"/>
    <col width="22" customWidth="1" min="2" max="2"/>
    <col width="20" customWidth="1" min="3" max="3"/>
    <col width="24" customWidth="1" min="4" max="4"/>
    <col width="14" customWidth="1" min="5" max="5"/>
    <col width="40" customWidth="1" min="6" max="6"/>
    <col width="52" customWidth="1" min="7" max="7"/>
  </cols>
  <sheetData>
    <row r="1" ht="22" customHeight="1">
      <c r="A1" s="139">
        <f>HYPERLINK("#'General Information'!D9","◄ General Information")</f>
        <v/>
      </c>
      <c r="B1" s="140">
        <f>HYPERLINK("#Summary!G1","Summary")</f>
        <v/>
      </c>
    </row>
    <row r="2">
      <c r="A2" s="141" t="inlineStr">
        <is>
          <t>Reference sheet: nothing here feeds the calculation.</t>
        </is>
      </c>
    </row>
    <row r="3">
      <c r="A3" s="142" t="inlineStr">
        <is>
          <t>TYPICAL VALUES AND HELPERS FOR THE INPUTS</t>
        </is>
      </c>
    </row>
    <row r="4" ht="30" customHeight="1">
      <c r="A4" s="143"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row>
    <row r="6">
      <c r="A6" s="144" t="inlineStr">
        <is>
          <t>1. What TDOT Aeronautics manages (context for project size)</t>
        </is>
      </c>
      <c r="B6" s="145" t="n"/>
      <c r="C6" s="145" t="n"/>
      <c r="D6" s="145" t="n"/>
      <c r="E6" s="145" t="n"/>
      <c r="F6" s="145" t="n"/>
      <c r="G6" s="145" t="n"/>
    </row>
    <row r="7">
      <c r="A7" s="146" t="inlineStr">
        <is>
          <t>Item</t>
        </is>
      </c>
      <c r="B7" s="146" t="inlineStr">
        <is>
          <t>Value</t>
        </is>
      </c>
      <c r="C7" s="146" t="inlineStr">
        <is>
          <t>Unit</t>
        </is>
      </c>
      <c r="D7" s="146" t="inlineStr">
        <is>
          <t>Year</t>
        </is>
      </c>
      <c r="E7" s="146" t="inlineStr"/>
      <c r="F7" s="146" t="inlineStr"/>
      <c r="G7" s="146" t="inlineStr">
        <is>
          <t>Source</t>
        </is>
      </c>
    </row>
    <row r="8">
      <c r="A8" s="147" t="inlineStr">
        <is>
          <t>Public-use airports in the Tennessee system (TASP 2040)</t>
        </is>
      </c>
      <c r="B8" s="148" t="n">
        <v>78</v>
      </c>
      <c r="C8" s="147" t="inlineStr">
        <is>
          <t>airports</t>
        </is>
      </c>
      <c r="D8" s="149" t="n">
        <v>2021</v>
      </c>
      <c r="E8" s="147" t="inlineStr"/>
      <c r="F8" s="147" t="inlineStr"/>
      <c r="G8" s="150" t="inlineStr">
        <is>
          <t>https://www.tasp2040.com/wp-content/uploads/2021/03/Updated-TASP-Inventory-Existing-System-Conditions-March-2021-v3.pdf</t>
        </is>
      </c>
    </row>
    <row r="9">
      <c r="A9" s="147" t="inlineStr">
        <is>
          <t>Commercial service / general aviation</t>
        </is>
      </c>
      <c r="B9" s="147" t="inlineStr">
        <is>
          <t>6 / 72</t>
        </is>
      </c>
      <c r="C9" s="147" t="inlineStr">
        <is>
          <t>airports</t>
        </is>
      </c>
      <c r="D9" s="149" t="n">
        <v>2021</v>
      </c>
      <c r="E9" s="147" t="inlineStr"/>
      <c r="F9" s="147" t="inlineStr"/>
      <c r="G9" s="150" t="inlineStr">
        <is>
          <t>https://www.tasp2040.com/wp-content/uploads/2021/03/Updated-TASP-Inventory-Existing-System-Conditions-March-2021-v3.pdf</t>
        </is>
      </c>
    </row>
    <row r="10">
      <c r="A10" s="147" t="inlineStr">
        <is>
          <t>Airports in the FAA NPIAS (eligible for AIP)</t>
        </is>
      </c>
      <c r="B10" s="148" t="n">
        <v>69</v>
      </c>
      <c r="C10" s="147" t="inlineStr">
        <is>
          <t>airports</t>
        </is>
      </c>
      <c r="D10" s="149" t="n">
        <v>2021</v>
      </c>
      <c r="E10" s="147" t="inlineStr"/>
      <c r="F10" s="147" t="inlineStr"/>
      <c r="G10" s="150" t="inlineStr">
        <is>
          <t>https://www.tasp2040.com/wp-content/uploads/2020/12/Chapter-7-Airport-Classifications-and-NPIAS-Evaluation.pdf</t>
        </is>
      </c>
    </row>
    <row r="11">
      <c r="A11" s="147" t="inlineStr">
        <is>
          <t>Airports in the TDOT pavement management network (APTech APMS, PCI per ASTM D5340)</t>
        </is>
      </c>
      <c r="B11" s="147" t="inlineStr">
        <is>
          <t>~70</t>
        </is>
      </c>
      <c r="C11" s="147" t="inlineStr">
        <is>
          <t>airports</t>
        </is>
      </c>
      <c r="D11" s="149" t="n">
        <v>2022</v>
      </c>
      <c r="E11" s="147" t="inlineStr"/>
      <c r="F11" s="147" t="inlineStr"/>
      <c r="G11" s="150" t="inlineStr">
        <is>
          <t>https://www.appliedpavement.com/tennessee-apms</t>
        </is>
      </c>
    </row>
    <row r="12">
      <c r="A12" s="147" t="inlineStr">
        <is>
          <t>PCI performance objective, runways / taxiways</t>
        </is>
      </c>
      <c r="B12" s="147" t="inlineStr">
        <is>
          <t>78 / 75</t>
        </is>
      </c>
      <c r="C12" s="147" t="inlineStr">
        <is>
          <t>PCI</t>
        </is>
      </c>
      <c r="D12" s="149" t="n">
        <v>2021</v>
      </c>
      <c r="E12" s="147" t="inlineStr"/>
      <c r="F12" s="147" t="inlineStr"/>
      <c r="G12" s="150" t="inlineStr">
        <is>
          <t>https://www.tn.gov/content/dam/tn/tdot/aeronautics/TN%20Airport%20Management%20Guide%20FINAL.pdf</t>
        </is>
      </c>
    </row>
    <row r="13">
      <c r="A13" s="147" t="inlineStr">
        <is>
          <t>TASP system-wide estimate: pavement rehabilitation (10-yr life goal)</t>
        </is>
      </c>
      <c r="B13" s="148" t="n">
        <v>70865874</v>
      </c>
      <c r="C13" s="147" t="inlineStr">
        <is>
          <t>$</t>
        </is>
      </c>
      <c r="D13" s="149" t="n">
        <v>2021</v>
      </c>
      <c r="E13" s="147" t="inlineStr"/>
      <c r="F13" s="147" t="inlineStr"/>
      <c r="G13" s="150" t="inlineStr">
        <is>
          <t>https://www.tasp2040.com/wp-content/uploads/2021/09/TASP-Cost-Estimate-Chapter.pdf</t>
        </is>
      </c>
    </row>
    <row r="14">
      <c r="A14" s="147" t="inlineStr">
        <is>
          <t>TASP system-wide estimate: pavement new / reconstruction (20-yr life goal)</t>
        </is>
      </c>
      <c r="B14" s="148" t="n">
        <v>173117648</v>
      </c>
      <c r="C14" s="147" t="inlineStr">
        <is>
          <t>$</t>
        </is>
      </c>
      <c r="D14" s="149" t="n">
        <v>2021</v>
      </c>
      <c r="E14" s="147" t="inlineStr"/>
      <c r="F14" s="147" t="inlineStr"/>
      <c r="G14" s="150" t="inlineStr">
        <is>
          <t>https://www.tasp2040.com/wp-content/uploads/2021/09/TASP-Cost-Estimate-Chapter.pdf</t>
        </is>
      </c>
    </row>
    <row r="15">
      <c r="A15" s="147" t="inlineStr">
        <is>
          <t>State share on GA capital projects (federal or state funded)</t>
        </is>
      </c>
      <c r="B15" s="147" t="inlineStr">
        <is>
          <t>up to 90% (10% local); 95/5 on federal discretionary</t>
        </is>
      </c>
      <c r="C15" s="147" t="inlineStr"/>
      <c r="D15" s="149" t="n">
        <v>2023</v>
      </c>
      <c r="E15" s="147" t="inlineStr"/>
      <c r="F15" s="147" t="inlineStr"/>
      <c r="G15" s="150" t="inlineStr">
        <is>
          <t>https://www.tn.gov/content/dam/tn/tdot/documents/170-02.pdf</t>
        </is>
      </c>
    </row>
    <row r="16">
      <c r="A16" s="147" t="inlineStr">
        <is>
          <t>Statewide Airfield Pavement and Marking Maintenance Program (crack seal, seal coat, markings)</t>
        </is>
      </c>
      <c r="B16" s="147" t="inlineStr">
        <is>
          <t>100% state funded, no local share</t>
        </is>
      </c>
      <c r="C16" s="147" t="inlineStr"/>
      <c r="D16" s="149" t="n">
        <v>2024</v>
      </c>
      <c r="E16" s="147" t="inlineStr"/>
      <c r="F16" s="147" t="inlineStr"/>
      <c r="G16" s="150" t="inlineStr">
        <is>
          <t>https://www.tn.gov/tdot/aeronautics/apmm-contract.html</t>
        </is>
      </c>
    </row>
    <row r="17">
      <c r="A17" s="147" t="inlineStr">
        <is>
          <t>Pavement areas and PCI by airport (statewide tables)</t>
        </is>
      </c>
      <c r="B17" s="147" t="inlineStr">
        <is>
          <t>see APTech IDEA portal</t>
        </is>
      </c>
      <c r="C17" s="147" t="inlineStr"/>
      <c r="D17" s="149" t="n">
        <v>2022</v>
      </c>
      <c r="E17" s="147" t="inlineStr"/>
      <c r="F17" s="147" t="inlineStr"/>
      <c r="G17" s="150" t="inlineStr">
        <is>
          <t>https://idea.appliedpavement.com/hosting/tennessee/statewide-summary/inventory-area/area-by-airport-table.html</t>
        </is>
      </c>
    </row>
    <row r="18">
      <c r="A18" s="147" t="inlineStr">
        <is>
          <t>NPIAS 2025-2029 classification of each TN airport (National / Regional / Local / Basic)</t>
        </is>
      </c>
      <c r="B18" s="147" t="inlineStr">
        <is>
          <t>see Appendix A</t>
        </is>
      </c>
      <c r="C18" s="147" t="inlineStr"/>
      <c r="D18" s="149" t="n">
        <v>2024</v>
      </c>
      <c r="E18" s="147" t="inlineStr"/>
      <c r="F18" s="147" t="inlineStr"/>
      <c r="G18" s="150" t="inlineStr">
        <is>
          <t>https://www.faa.gov/sites/faa.gov/files/airports/planning_capacity/npias/current/ARP-NPIAS-2025-2029-Appendix-A.pdf</t>
        </is>
      </c>
    </row>
    <row r="19" ht="26" customHeight="1">
      <c r="A19" s="143" t="inlineStr">
        <is>
          <t>The workbook dropdown holds the TASP airports (count in the live section below). The 17 airports with revenue data are those meeting Aeronautics' activity criteria.</t>
        </is>
      </c>
    </row>
    <row r="21">
      <c r="A21" s="144" t="inlineStr">
        <is>
          <t>2. Typical runway geometry at Tennessee GA airports (for D26 mainline area and D28 markings)</t>
        </is>
      </c>
      <c r="B21" s="145" t="n"/>
      <c r="C21" s="145" t="n"/>
      <c r="D21" s="145" t="n"/>
      <c r="E21" s="145" t="n"/>
      <c r="F21" s="145" t="n"/>
      <c r="G21" s="145" t="n"/>
    </row>
    <row r="22">
      <c r="A22" s="146" t="inlineStr">
        <is>
          <t>Airport</t>
        </is>
      </c>
      <c r="B22" s="146" t="inlineStr">
        <is>
          <t>Runway</t>
        </is>
      </c>
      <c r="C22" s="146" t="inlineStr">
        <is>
          <t>Length x width (ft)</t>
        </is>
      </c>
      <c r="D22" s="146" t="inlineStr">
        <is>
          <t>Mainline area (SY)</t>
        </is>
      </c>
      <c r="E22" s="146" t="inlineStr">
        <is>
          <t>Role</t>
        </is>
      </c>
      <c r="F22" s="146" t="inlineStr">
        <is>
          <t>Note</t>
        </is>
      </c>
      <c r="G22" s="146" t="inlineStr">
        <is>
          <t>Source</t>
        </is>
      </c>
    </row>
    <row r="23">
      <c r="A23" s="147" t="inlineStr">
        <is>
          <t>Murfreesboro Municipal (MBT)</t>
        </is>
      </c>
      <c r="B23" s="147" t="inlineStr">
        <is>
          <t>18/36</t>
        </is>
      </c>
      <c r="C23" s="147" t="inlineStr">
        <is>
          <t>4,753 x 100</t>
        </is>
      </c>
      <c r="D23" s="148" t="n">
        <v>52811</v>
      </c>
      <c r="E23" s="147" t="inlineStr">
        <is>
          <t>GA, Middle</t>
        </is>
      </c>
      <c r="F23" s="147" t="inlineStr">
        <is>
          <t>workbook MBT run used 52,778 SY</t>
        </is>
      </c>
      <c r="G23" s="150" t="inlineStr">
        <is>
          <t>https://en.wikipedia.org/wiki/Murfreesboro_Municipal_Airport</t>
        </is>
      </c>
    </row>
    <row r="24">
      <c r="A24" s="147" t="inlineStr">
        <is>
          <t>Bomar Field, Shelbyville (SYI)</t>
        </is>
      </c>
      <c r="B24" s="147" t="inlineStr">
        <is>
          <t>18/36</t>
        </is>
      </c>
      <c r="C24" s="147" t="inlineStr">
        <is>
          <t>5,503 x 100</t>
        </is>
      </c>
      <c r="D24" s="148" t="n">
        <v>61144</v>
      </c>
      <c r="E24" s="147" t="inlineStr">
        <is>
          <t>GA, Middle</t>
        </is>
      </c>
      <c r="F24" s="147" t="inlineStr"/>
      <c r="G24" s="150" t="inlineStr">
        <is>
          <t>https://en.wikipedia.org/wiki/Shelbyville_Municipal_Airport_(Tennessee)</t>
        </is>
      </c>
    </row>
    <row r="25">
      <c r="A25" s="147" t="inlineStr">
        <is>
          <t>Gatlinburg-Pigeon Forge (GKT)</t>
        </is>
      </c>
      <c r="B25" s="147" t="inlineStr">
        <is>
          <t>10/28</t>
        </is>
      </c>
      <c r="C25" s="147" t="inlineStr">
        <is>
          <t>5,506 x 75</t>
        </is>
      </c>
      <c r="D25" s="148" t="n">
        <v>45883</v>
      </c>
      <c r="E25" s="147" t="inlineStr">
        <is>
          <t>GA, East</t>
        </is>
      </c>
      <c r="F25" s="147" t="inlineStr">
        <is>
          <t>75-ft width</t>
        </is>
      </c>
      <c r="G25" s="150" t="inlineStr">
        <is>
          <t>https://en.wikipedia.org/wiki/Gatlinburg%E2%80%93Pigeon_Forge_Airport</t>
        </is>
      </c>
    </row>
    <row r="26">
      <c r="A26" s="147" t="inlineStr">
        <is>
          <t>Outlaw Field, Clarksville (CKV)</t>
        </is>
      </c>
      <c r="B26" s="147" t="inlineStr">
        <is>
          <t>17/35</t>
        </is>
      </c>
      <c r="C26" s="147" t="inlineStr">
        <is>
          <t>5,999 x 100</t>
        </is>
      </c>
      <c r="D26" s="148" t="n">
        <v>66656</v>
      </c>
      <c r="E26" s="147" t="inlineStr">
        <is>
          <t>GA, Middle</t>
        </is>
      </c>
      <c r="F26" s="147" t="inlineStr">
        <is>
          <t>used in the new-project test</t>
        </is>
      </c>
      <c r="G26" s="150" t="inlineStr">
        <is>
          <t>https://en.wikipedia.org/wiki/Clarksville%E2%80%93Montgomery_County_Regional_Airport</t>
        </is>
      </c>
    </row>
    <row r="27">
      <c r="A27" s="147" t="inlineStr">
        <is>
          <t>McKellar-Sipes Regional (MKL)</t>
        </is>
      </c>
      <c r="B27" s="147" t="inlineStr">
        <is>
          <t>2/20</t>
        </is>
      </c>
      <c r="C27" s="147" t="inlineStr">
        <is>
          <t>6,005 x 150</t>
        </is>
      </c>
      <c r="D27" s="148" t="n">
        <v>100083</v>
      </c>
      <c r="E27" s="147" t="inlineStr">
        <is>
          <t>GA, West</t>
        </is>
      </c>
      <c r="F27" s="147" t="inlineStr">
        <is>
          <t>rebuilt 2024, ~$28M all-in</t>
        </is>
      </c>
      <c r="G27" s="150" t="inlineStr">
        <is>
          <t>https://www.wbbjtv.com/2024/08/28/mckellar-sipes-regional-airport-set-to-complete-runway-2-20-paving-preparing-for-new-jet-service/</t>
        </is>
      </c>
    </row>
    <row r="28">
      <c r="A28" s="147" t="inlineStr">
        <is>
          <t>Smyrna (MQY)</t>
        </is>
      </c>
      <c r="B28" s="147" t="inlineStr">
        <is>
          <t>1/19</t>
        </is>
      </c>
      <c r="C28" s="147" t="inlineStr">
        <is>
          <t>5,546 x 100</t>
        </is>
      </c>
      <c r="D28" s="148" t="n">
        <v>61622</v>
      </c>
      <c r="E28" s="147" t="inlineStr">
        <is>
          <t>GA, Middle</t>
        </is>
      </c>
      <c r="F28" s="147" t="inlineStr">
        <is>
          <t>reconstructed 2025, ~$13M all-in</t>
        </is>
      </c>
      <c r="G28" s="150" t="inlineStr">
        <is>
          <t>https://www.smyrnaairport.com/news-events/smyrna-airport-runway-119-grand-opening</t>
        </is>
      </c>
    </row>
    <row r="29">
      <c r="A29" s="147" t="inlineStr">
        <is>
          <t>Smyrna (MQY)</t>
        </is>
      </c>
      <c r="B29" s="147" t="inlineStr">
        <is>
          <t>14/32</t>
        </is>
      </c>
      <c r="C29" s="147" t="inlineStr">
        <is>
          <t>8,038 x 150</t>
        </is>
      </c>
      <c r="D29" s="148" t="n">
        <v>133967</v>
      </c>
      <c r="E29" s="147" t="inlineStr">
        <is>
          <t>GA, Middle</t>
        </is>
      </c>
      <c r="F29" s="147" t="inlineStr">
        <is>
          <t>former military</t>
        </is>
      </c>
      <c r="G29" s="150" t="inlineStr">
        <is>
          <t>https://en.wikipedia.org/wiki/Smyrna_Airport_(Tennessee)</t>
        </is>
      </c>
    </row>
    <row r="30">
      <c r="A30" s="147" t="inlineStr">
        <is>
          <t>Typical TN GA runway</t>
        </is>
      </c>
      <c r="B30" s="147" t="inlineStr"/>
      <c r="C30" s="147" t="inlineStr">
        <is>
          <t>4,000 to 6,000 x 75 or 100</t>
        </is>
      </c>
      <c r="D30" s="147" t="inlineStr">
        <is>
          <t>33,000 to 67,000</t>
        </is>
      </c>
      <c r="E30" s="147" t="inlineStr"/>
      <c r="F30" s="147" t="inlineStr">
        <is>
          <t>TASP Regional Service minimum width 100 ft</t>
        </is>
      </c>
      <c r="G30" s="150" t="inlineStr">
        <is>
          <t>https://www.tasp2040.com/wp-content/uploads/2020/12/Chapter-7-Airport-Classifications-and-NPIAS-Evaluation.pdf</t>
        </is>
      </c>
    </row>
    <row r="31">
      <c r="A31" s="147" t="inlineStr">
        <is>
          <t>Markings area rule of thumb</t>
        </is>
      </c>
      <c r="B31" s="147" t="inlineStr"/>
      <c r="C31" s="147" t="inlineStr"/>
      <c r="D31" s="147" t="inlineStr"/>
      <c r="E31" s="147" t="inlineStr"/>
      <c r="F31" s="147" t="inlineStr">
        <is>
          <t>2,000 to 3,000 SF per 1,000 ft of runway for a full runway marking set (centerline, thresholds, designators, aiming points, TDZ where applicable); use the marking plan quantity when available</t>
        </is>
      </c>
      <c r="G31" s="147" t="inlineStr">
        <is>
          <t>engineering judgement; verify with the marking plan</t>
        </is>
      </c>
    </row>
    <row r="32" ht="26" customHeight="1">
      <c r="A32" s="143" t="inlineStr">
        <is>
          <t>Mainline area = length x width / 9. Shoulders (D27) are usually unpaved at TN GA airports; enter paved shoulders only. Area drives the closure-day defaults on the alternative sheets.</t>
        </is>
      </c>
    </row>
    <row r="34">
      <c r="A34" s="144" t="inlineStr">
        <is>
          <t>3. Unit costs: workbook defaults (Pay_Items, column F) against recent bids</t>
        </is>
      </c>
      <c r="B34" s="145" t="n"/>
      <c r="C34" s="145" t="n"/>
      <c r="D34" s="145" t="n"/>
      <c r="E34" s="145" t="n"/>
      <c r="F34" s="145" t="n"/>
      <c r="G34" s="145" t="n"/>
    </row>
    <row r="35">
      <c r="A35" s="146" t="inlineStr">
        <is>
          <t>Pay item</t>
        </is>
      </c>
      <c r="B35" s="146" t="inlineStr">
        <is>
          <t>Workbook default (live)</t>
        </is>
      </c>
      <c r="C35" s="146" t="inlineStr">
        <is>
          <t>Unit</t>
        </is>
      </c>
      <c r="D35" s="146" t="inlineStr">
        <is>
          <t>Recent bid range</t>
        </is>
      </c>
      <c r="E35" s="146" t="inlineStr">
        <is>
          <t>Year</t>
        </is>
      </c>
      <c r="F35" s="146" t="inlineStr">
        <is>
          <t>Reading</t>
        </is>
      </c>
      <c r="G35" s="146" t="inlineStr">
        <is>
          <t>Source</t>
        </is>
      </c>
    </row>
    <row r="36">
      <c r="A36" s="147" t="inlineStr">
        <is>
          <t>P-401 Asphalt Surface Course</t>
        </is>
      </c>
      <c r="B36" s="151">
        <f>IFERROR(VLOOKUP("Asphalt Surface Course",Pay_Items!$D:$F,3,0),"")</f>
        <v/>
      </c>
      <c r="C36" s="147" t="inlineStr">
        <is>
          <t>$/ton</t>
        </is>
      </c>
      <c r="D36" s="147" t="inlineStr">
        <is>
          <t>185 (low bid) to 232 (engineer's estimate)</t>
        </is>
      </c>
      <c r="E36" s="148" t="n">
        <v>2025</v>
      </c>
      <c r="F36" s="147" t="inlineStr">
        <is>
          <t>Workbook default looks low against 2025 southeastern bids; confirm before relying on the default</t>
        </is>
      </c>
      <c r="G36" s="150" t="inlineStr">
        <is>
          <t>https://aeronautics.sc.gov/sites/default/files/2025-05/250521_FLO_Rehab_Twy_A.pdf</t>
        </is>
      </c>
    </row>
    <row r="37">
      <c r="A37" s="147" t="inlineStr">
        <is>
          <t>P-401 Asphalt Base Course</t>
        </is>
      </c>
      <c r="B37" s="151">
        <f>IFERROR(VLOOKUP("Asphalt Base Course",Pay_Items!$D:$F,3,0),"")</f>
        <v/>
      </c>
      <c r="C37" s="147" t="inlineStr">
        <is>
          <t>$/ton</t>
        </is>
      </c>
      <c r="D37" s="147" t="inlineStr">
        <is>
          <t>typically 5 to 10% below surface course</t>
        </is>
      </c>
      <c r="E37" s="147" t="inlineStr"/>
      <c r="F37" s="147" t="inlineStr"/>
      <c r="G37" s="150" t="inlineStr">
        <is>
          <t>https://aeronautics.sc.gov/airport-development/sc-airport-capital-project-bid-tabulations</t>
        </is>
      </c>
    </row>
    <row r="38">
      <c r="A38" s="147" t="inlineStr">
        <is>
          <t>P-501 Concrete Pavement, 9-inch</t>
        </is>
      </c>
      <c r="B38" s="151">
        <f>IFERROR(VLOOKUP("Concrete Pavement, 9-inch",Pay_Items!$D:$F,3,0),"")</f>
        <v/>
      </c>
      <c r="C38" s="147" t="inlineStr">
        <is>
          <t>$/SY</t>
        </is>
      </c>
      <c r="D38" s="147" t="inlineStr">
        <is>
          <t>165 (8-in doweled apron, planning value)</t>
        </is>
      </c>
      <c r="E38" s="148" t="n">
        <v>2023</v>
      </c>
      <c r="F38" s="147" t="inlineStr">
        <is>
          <t>Planning value from another state DOT; obtain a TN or southeastern PCC bid before use</t>
        </is>
      </c>
      <c r="G38" s="150" t="inlineStr">
        <is>
          <t>https://www.dot.state.mn.us/aero/planning/documents/sasp/saspappendixf.pdf</t>
        </is>
      </c>
    </row>
    <row r="39">
      <c r="A39" s="147" t="inlineStr">
        <is>
          <t>P-209 Crushed Aggregate Base Course</t>
        </is>
      </c>
      <c r="B39" s="151">
        <f>IFERROR(VLOOKUP("Crushed Aggregate Base Course",Pay_Items!$D:$F,3,0),"")</f>
        <v/>
      </c>
      <c r="C39" s="147" t="inlineStr">
        <is>
          <t>$/CY</t>
        </is>
      </c>
      <c r="D39" s="147" t="inlineStr">
        <is>
          <t>not found in open sources; see SC bid tabs</t>
        </is>
      </c>
      <c r="E39" s="147" t="inlineStr"/>
      <c r="F39" s="147" t="inlineStr"/>
      <c r="G39" s="150" t="inlineStr">
        <is>
          <t>https://aeronautics.sc.gov/airport-development/sc-airport-capital-project-bid-tabulations</t>
        </is>
      </c>
    </row>
    <row r="40">
      <c r="A40" s="147" t="inlineStr">
        <is>
          <t>P-154 Subbase Course</t>
        </is>
      </c>
      <c r="B40" s="151">
        <f>IFERROR(VLOOKUP("Subbase Course",Pay_Items!$D:$F,3,0),"")</f>
        <v/>
      </c>
      <c r="C40" s="147" t="inlineStr">
        <is>
          <t>$/CY</t>
        </is>
      </c>
      <c r="D40" s="147" t="inlineStr">
        <is>
          <t>not found in open sources; see SC bid tabs</t>
        </is>
      </c>
      <c r="E40" s="147" t="inlineStr"/>
      <c r="F40" s="147" t="inlineStr"/>
      <c r="G40" s="150" t="inlineStr">
        <is>
          <t>https://aeronautics.sc.gov/airport-development/sc-airport-capital-project-bid-tabulations</t>
        </is>
      </c>
    </row>
    <row r="41">
      <c r="A41" s="147" t="inlineStr">
        <is>
          <t>P-101 Cold Milling</t>
        </is>
      </c>
      <c r="B41" s="151">
        <f>IFERROR(VLOOKUP("Cold Milling",Pay_Items!$D:$F,3,0),"")</f>
        <v/>
      </c>
      <c r="C41" s="147" t="inlineStr">
        <is>
          <t>$/SY</t>
        </is>
      </c>
      <c r="D41" s="147" t="inlineStr">
        <is>
          <t>4.70 (3-in, low bid) to 10.00 (variable depth, EE)</t>
        </is>
      </c>
      <c r="E41" s="148" t="n">
        <v>2025</v>
      </c>
      <c r="F41" s="147" t="inlineStr"/>
      <c r="G41" s="150" t="inlineStr">
        <is>
          <t>https://aeronautics.sc.gov/sites/default/files/2025-05/250521_FLO_Rehab_Twy_A.pdf</t>
        </is>
      </c>
    </row>
    <row r="42">
      <c r="A42" s="147" t="inlineStr">
        <is>
          <t>P-608 Emulsified Asphalt Surface Treatment</t>
        </is>
      </c>
      <c r="B42" s="151">
        <f>IFERROR(VLOOKUP("Emulsified Asphalt Surface Treatment",Pay_Items!$D:$F,3,0),"")</f>
        <v/>
      </c>
      <c r="C42" s="147" t="inlineStr">
        <is>
          <t>$/SY</t>
        </is>
      </c>
      <c r="D42" s="147" t="inlineStr">
        <is>
          <t>TDOT APMM 2022 Summary of Bids</t>
        </is>
      </c>
      <c r="E42" s="148" t="n">
        <v>2022</v>
      </c>
      <c r="F42" s="147" t="inlineStr">
        <is>
          <t>State maintenance contract prices apply to seal coats and crack sealing</t>
        </is>
      </c>
      <c r="G42" s="150" t="inlineStr">
        <is>
          <t>https://www.tn.gov/tdot/aeronautics/apmm-contract.html</t>
        </is>
      </c>
    </row>
    <row r="43">
      <c r="A43" s="147" t="inlineStr">
        <is>
          <t>P-620 Markings (reflective)</t>
        </is>
      </c>
      <c r="B43" s="151">
        <f>IFERROR(VLOOKUP("Markings (prep, markings, reflective media)",Pay_Items!$D:$F,3,0),"")</f>
        <v/>
      </c>
      <c r="C43" s="147" t="inlineStr">
        <is>
          <t>$/SF</t>
        </is>
      </c>
      <c r="D43" s="147" t="inlineStr">
        <is>
          <t>TDOT APMM 2022 Summary of Bids</t>
        </is>
      </c>
      <c r="E43" s="148" t="n">
        <v>2022</v>
      </c>
      <c r="F43" s="147" t="inlineStr"/>
      <c r="G43" s="150" t="inlineStr">
        <is>
          <t>https://www.tn.gov/tdot/aeronautics/apmm-contract.html</t>
        </is>
      </c>
    </row>
    <row r="44">
      <c r="A44" s="147" t="inlineStr">
        <is>
          <t>All-in runway reconstruction, TN 2024-2025 (pavement + lighting + grading)</t>
        </is>
      </c>
      <c r="B44" s="147" t="inlineStr"/>
      <c r="C44" s="147" t="inlineStr">
        <is>
          <t>$/SY</t>
        </is>
      </c>
      <c r="D44" s="147" t="inlineStr">
        <is>
          <t>210 (Smyrna 1/19) to 280 (MKL 2/20)</t>
        </is>
      </c>
      <c r="E44" s="148" t="n">
        <v>2025</v>
      </c>
      <c r="F44" s="147" t="inlineStr">
        <is>
          <t>Project-level figures; the LCCA compares pavement pay items only</t>
        </is>
      </c>
      <c r="G44" s="150" t="inlineStr">
        <is>
          <t>https://www.smyrnaairport.com/news-events/smyrna-airport-runway-119-grand-opening</t>
        </is>
      </c>
    </row>
    <row r="45">
      <c r="A45" s="147" t="inlineStr">
        <is>
          <t>State maintenance project example (Dyersburg): &gt;200,000 LF crack seal, &gt;121,000 SY seal coat, markings</t>
        </is>
      </c>
      <c r="B45" s="148" t="n">
        <v>820000</v>
      </c>
      <c r="C45" s="147" t="inlineStr">
        <is>
          <t>$</t>
        </is>
      </c>
      <c r="D45" s="147" t="inlineStr"/>
      <c r="E45" s="148" t="n">
        <v>2023</v>
      </c>
      <c r="F45" s="147" t="inlineStr">
        <is>
          <t>about $5/SY of runway treated</t>
        </is>
      </c>
      <c r="G45" s="150" t="inlineStr">
        <is>
          <t>https://www.stategazette.com/news/regional-airport-receives-state-grant/article_5fd852fd-1d67-525c-b6fc-b32fbc676bdc.html</t>
        </is>
      </c>
    </row>
    <row r="46" ht="26" customHeight="1">
      <c r="A46" s="143"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row>
    <row r="48">
      <c r="A48" s="144" t="inlineStr">
        <is>
          <t>4. Closure-day defaults built into the alternative sheets (cells F4:F10; override with project-specific values)</t>
        </is>
      </c>
      <c r="B48" s="145" t="n"/>
      <c r="C48" s="145" t="n"/>
      <c r="D48" s="145" t="n"/>
      <c r="E48" s="145" t="n"/>
      <c r="F48" s="145" t="n"/>
      <c r="G48" s="145" t="n"/>
    </row>
    <row r="49">
      <c r="A49" s="146" t="inlineStr">
        <is>
          <t>Operation</t>
        </is>
      </c>
      <c r="B49" s="146" t="inlineStr">
        <is>
          <t>Production rate in the formula</t>
        </is>
      </c>
      <c r="C49" s="146" t="inlineStr">
        <is>
          <t>Days for a 6,000 x 100 ft runway (66,667 SY, 15,000 SF markings)</t>
        </is>
      </c>
      <c r="D49" s="146" t="inlineStr">
        <is>
          <t>Where used</t>
        </is>
      </c>
      <c r="E49" s="146" t="inlineStr">
        <is>
          <t>Note</t>
        </is>
      </c>
      <c r="F49" s="146" t="inlineStr"/>
      <c r="G49" s="146" t="inlineStr">
        <is>
          <t>Source</t>
        </is>
      </c>
    </row>
    <row r="50">
      <c r="A50" s="147" t="inlineStr">
        <is>
          <t>Surface treatment (seal coat)</t>
        </is>
      </c>
      <c r="B50" s="147" t="inlineStr">
        <is>
          <t>15,000 SY/day</t>
        </is>
      </c>
      <c r="C50" s="147">
        <f>ROUNDUP(66667/15000,0)</f>
        <v/>
      </c>
      <c r="D50" s="147" t="inlineStr">
        <is>
          <t>HMA Maintenance 1-6</t>
        </is>
      </c>
      <c r="E50" s="147" t="inlineStr">
        <is>
          <t>each operation is rounded up to whole days</t>
        </is>
      </c>
      <c r="F50" s="147" t="inlineStr"/>
      <c r="G50" s="147" t="inlineStr">
        <is>
          <t>this workbook (MBT and SRB runs)</t>
        </is>
      </c>
    </row>
    <row r="51">
      <c r="A51" s="147" t="inlineStr">
        <is>
          <t>Markings: paint / layout and removal</t>
        </is>
      </c>
      <c r="B51" s="147" t="inlineStr">
        <is>
          <t>20,000 SF/day and 50,000 SF/day</t>
        </is>
      </c>
      <c r="C51" s="147">
        <f>ROUNDUP(15000/20000,0)+ROUNDUP(15000/50000,0)</f>
        <v/>
      </c>
      <c r="D51" s="147" t="inlineStr">
        <is>
          <t>every HMA activity</t>
        </is>
      </c>
      <c r="E51" s="147" t="inlineStr"/>
      <c r="F51" s="147" t="inlineStr"/>
      <c r="G51" s="147" t="inlineStr">
        <is>
          <t>this workbook</t>
        </is>
      </c>
    </row>
    <row r="52">
      <c r="A52" s="147" t="inlineStr">
        <is>
          <t>Patching</t>
        </is>
      </c>
      <c r="B52" s="147" t="inlineStr">
        <is>
          <t>10,000 SY of pavement per day at the policy rate (0.75% to 1.25% of area)</t>
        </is>
      </c>
      <c r="C52" s="147">
        <f>ROUNDUP(66667*0.0075/10000,0)</f>
        <v/>
      </c>
      <c r="D52" s="147" t="inlineStr">
        <is>
          <t>HMA Maintenance 3, 4, 6</t>
        </is>
      </c>
      <c r="E52" s="147" t="inlineStr"/>
      <c r="F52" s="147" t="inlineStr"/>
      <c r="G52" s="147" t="inlineStr">
        <is>
          <t>this workbook</t>
        </is>
      </c>
    </row>
    <row r="53">
      <c r="A53" s="147" t="inlineStr">
        <is>
          <t>Crack sealing</t>
        </is>
      </c>
      <c r="B53" s="147" t="inlineStr">
        <is>
          <t>5,000 SY of pavement per day at the policy rate (3.25% to 4% of area)</t>
        </is>
      </c>
      <c r="C53" s="147">
        <f>ROUNDUP(66667*0.0325/5000,0)</f>
        <v/>
      </c>
      <c r="D53" s="147" t="inlineStr">
        <is>
          <t>HMA Maintenance 3, 4, 6</t>
        </is>
      </c>
      <c r="E53" s="147" t="inlineStr"/>
      <c r="F53" s="147" t="inlineStr"/>
      <c r="G53" s="147" t="inlineStr">
        <is>
          <t>this workbook</t>
        </is>
      </c>
    </row>
    <row r="54">
      <c r="A54" s="147" t="inlineStr">
        <is>
          <t>Mill and overlay (4 in)</t>
        </is>
      </c>
      <c r="B54" s="147" t="inlineStr">
        <is>
          <t>3,800 SY/day</t>
        </is>
      </c>
      <c r="C54" s="147">
        <f>ROUNDUP(66667/3800,0)+ROUNDUP(15000/50000,0)</f>
        <v/>
      </c>
      <c r="D54" s="147" t="inlineStr">
        <is>
          <t>HMA Rehabilitation 1</t>
        </is>
      </c>
      <c r="E54" s="147" t="inlineStr">
        <is>
          <t>the largest HMA closure</t>
        </is>
      </c>
      <c r="F54" s="147" t="inlineStr"/>
      <c r="G54" s="147" t="inlineStr">
        <is>
          <t>this workbook</t>
        </is>
      </c>
    </row>
    <row r="55">
      <c r="A55" s="147" t="inlineStr">
        <is>
          <t>PCC joint resealing</t>
        </is>
      </c>
      <c r="B55" s="147" t="inlineStr">
        <is>
          <t>about 1 LF of joint per SY of slab, 10,000 LF/day</t>
        </is>
      </c>
      <c r="C55" s="147">
        <f>ROUNDUP(66667*550/(50*100/9)/10000,0)</f>
        <v/>
      </c>
      <c r="D55" s="147" t="inlineStr">
        <is>
          <t>PCC Maintenance 1 and Rehabilitation 1</t>
        </is>
      </c>
      <c r="E55" s="147" t="inlineStr"/>
      <c r="F55" s="147" t="inlineStr"/>
      <c r="G55" s="147" t="inlineStr">
        <is>
          <t>this workbook</t>
        </is>
      </c>
    </row>
    <row r="56">
      <c r="A56" s="147" t="inlineStr">
        <is>
          <t>PCC crack sealing, partial- and full-depth patching</t>
        </is>
      </c>
      <c r="B56" s="147" t="inlineStr">
        <is>
          <t>5,000 to 10,000 SY of pavement per day at the policy rate</t>
        </is>
      </c>
      <c r="C56" s="147">
        <f>ROUNDUP(66667*0.003/10000,0)+ROUNDUP(66667*0.0013/5000,0)+ROUNDUP(66667*0.0025/5000,0)</f>
        <v/>
      </c>
      <c r="D56" s="147" t="inlineStr">
        <is>
          <t>PCC Maintenance 1</t>
        </is>
      </c>
      <c r="E56" s="147" t="inlineStr"/>
      <c r="F56" s="147" t="inlineStr"/>
      <c r="G56" s="147" t="inlineStr">
        <is>
          <t>this workbook</t>
        </is>
      </c>
    </row>
    <row r="57">
      <c r="A57" s="147" t="inlineStr">
        <is>
          <t>PCC slab replacement (2% of area) + cure</t>
        </is>
      </c>
      <c r="B57" s="147" t="inlineStr">
        <is>
          <t>1,000 SY/day plus 7 days cure</t>
        </is>
      </c>
      <c r="C57" s="147">
        <f>ROUNDUP(66667*0.02/1000,0)+7</f>
        <v/>
      </c>
      <c r="D57" s="147" t="inlineStr">
        <is>
          <t>PCC Rehabilitation 1</t>
        </is>
      </c>
      <c r="E57" s="147" t="inlineStr">
        <is>
          <t>the largest PCC closure</t>
        </is>
      </c>
      <c r="F57" s="147" t="inlineStr"/>
      <c r="G57" s="147" t="inlineStr">
        <is>
          <t>this workbook</t>
        </is>
      </c>
    </row>
    <row r="58">
      <c r="A58" s="147" t="inlineStr">
        <is>
          <t>Typical totals over 30 years</t>
        </is>
      </c>
      <c r="B58" s="147" t="inlineStr"/>
      <c r="C58" s="147" t="inlineStr">
        <is>
          <t>HMA 57 to 67 days in 7 closures; PCC 27 to 29 days in 2 closures</t>
        </is>
      </c>
      <c r="D58" s="147" t="inlineStr">
        <is>
          <t>Summary column Q</t>
        </is>
      </c>
      <c r="E58" s="147" t="inlineStr">
        <is>
          <t>MBT (52,778 SY) and CKV test (66,667 SY)</t>
        </is>
      </c>
      <c r="F58" s="147" t="inlineStr"/>
      <c r="G58" s="147" t="inlineStr">
        <is>
          <t>this workbook</t>
        </is>
      </c>
    </row>
    <row r="59" ht="26" customHeight="1">
      <c r="A59" s="143"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row>
    <row r="61">
      <c r="A61" s="144" t="inlineStr">
        <is>
          <t>5. Economic parameters (D33 analysis period, D34 discount rate, salvage)</t>
        </is>
      </c>
      <c r="B61" s="145" t="n"/>
      <c r="C61" s="145" t="n"/>
      <c r="D61" s="145" t="n"/>
      <c r="E61" s="145" t="n"/>
      <c r="F61" s="145" t="n"/>
      <c r="G61" s="145" t="n"/>
    </row>
    <row r="62">
      <c r="A62" s="146" t="inlineStr">
        <is>
          <t>Parameter</t>
        </is>
      </c>
      <c r="B62" s="146" t="inlineStr">
        <is>
          <t>Value</t>
        </is>
      </c>
      <c r="C62" s="146" t="inlineStr">
        <is>
          <t>Applies to</t>
        </is>
      </c>
      <c r="D62" s="146" t="inlineStr">
        <is>
          <t>Year</t>
        </is>
      </c>
      <c r="E62" s="146" t="inlineStr"/>
      <c r="F62" s="146" t="inlineStr">
        <is>
          <t>Reading</t>
        </is>
      </c>
      <c r="G62" s="146" t="inlineStr">
        <is>
          <t>Source</t>
        </is>
      </c>
    </row>
    <row r="63">
      <c r="A63" s="147" t="inlineStr">
        <is>
          <t>TDOT policy discount rate (workbook default)</t>
        </is>
      </c>
      <c r="B63" s="151">
        <f>'General Information'!$D$34</f>
        <v/>
      </c>
      <c r="C63" s="147" t="inlineStr">
        <is>
          <t>%</t>
        </is>
      </c>
      <c r="D63" s="147" t="inlineStr"/>
      <c r="E63" s="147" t="inlineStr"/>
      <c r="F63" s="147" t="inlineStr">
        <is>
          <t>live from General Information D34</t>
        </is>
      </c>
      <c r="G63" s="147" t="inlineStr">
        <is>
          <t>this workbook</t>
        </is>
      </c>
    </row>
    <row r="64">
      <c r="A64" s="147" t="inlineStr">
        <is>
          <t>TDOT policy analysis period (workbook default)</t>
        </is>
      </c>
      <c r="B64" s="151">
        <f>'General Information'!$D$33</f>
        <v/>
      </c>
      <c r="C64" s="147" t="inlineStr">
        <is>
          <t>years</t>
        </is>
      </c>
      <c r="D64" s="147" t="inlineStr"/>
      <c r="E64" s="147" t="inlineStr"/>
      <c r="F64" s="147" t="inlineStr">
        <is>
          <t>live from General Information D33</t>
        </is>
      </c>
      <c r="G64" s="147" t="inlineStr">
        <is>
          <t>this workbook</t>
        </is>
      </c>
    </row>
    <row r="65">
      <c r="A65" s="147" t="inlineStr">
        <is>
          <t>FAA AIP: discount rate for pavement cost-effectiveness (PGL 22-01, June 2022)</t>
        </is>
      </c>
      <c r="B65" s="147" t="inlineStr">
        <is>
          <t>OMB Circular A-94 Appendix C real rate for the analysis period</t>
        </is>
      </c>
      <c r="C65" s="147" t="inlineStr">
        <is>
          <t>%</t>
        </is>
      </c>
      <c r="D65" s="149" t="n">
        <v>2022</v>
      </c>
      <c r="E65" s="147" t="inlineStr"/>
      <c r="F65" s="147" t="inlineStr">
        <is>
          <t>Replaced the fixed 7% rule; the analysis period is now the engineer's choice (the fixed 20-year requirement was removed)</t>
        </is>
      </c>
      <c r="G65" s="150" t="inlineStr">
        <is>
          <t>https://www.faa.gov/airports/aip/guidance_letters/aip_pgl_22_01</t>
        </is>
      </c>
    </row>
    <row r="66">
      <c r="A66" s="147" t="inlineStr">
        <is>
          <t>OMB A-94 Appendix C real rate, 20-year and 30-year (calendar 2026)</t>
        </is>
      </c>
      <c r="B66" s="148" t="n">
        <v>2</v>
      </c>
      <c r="C66" s="147" t="inlineStr">
        <is>
          <t>%</t>
        </is>
      </c>
      <c r="D66" s="149" t="n">
        <v>2026</v>
      </c>
      <c r="E66" s="147" t="inlineStr"/>
      <c r="F66" s="147" t="inlineStr">
        <is>
          <t>Revised March 2026 (OMB memo M-26-09); 2025 values were 1.8% (10-yr) and 2.3% (30-yr)</t>
        </is>
      </c>
      <c r="G66" s="150" t="inlineStr">
        <is>
          <t>https://www.whitehouse.gov/wp-content/uploads/2026/03/CircularA-94Appendix-C.pdf</t>
        </is>
      </c>
    </row>
    <row r="67">
      <c r="A67" s="147" t="inlineStr">
        <is>
          <t>Legacy FAA AIP rule before PGL 22-01</t>
        </is>
      </c>
      <c r="B67" s="147" t="inlineStr">
        <is>
          <t>7% and 20 years</t>
        </is>
      </c>
      <c r="C67" s="147" t="inlineStr"/>
      <c r="D67" s="149" t="n">
        <v>2014</v>
      </c>
      <c r="E67" s="147" t="inlineStr"/>
      <c r="F67" s="147" t="inlineStr">
        <is>
          <t>AIP Handbook (Order 5100.38D) pavement LCCA table; also the 1992 A-94 benefit-cost base case reinstated by OMB M-25-23 (April 2025) for BCA, not for cost-effectiveness</t>
        </is>
      </c>
      <c r="G67" s="150" t="inlineStr">
        <is>
          <t>https://www.whitehouse.gov/wp-content/uploads/2025/02/M-25-23-Rescission-and-Reinstatement-of-Circular-No.-A-94.pdf</t>
        </is>
      </c>
    </row>
    <row r="68">
      <c r="A68" s="147" t="inlineStr">
        <is>
          <t>FAA AC 150/5320-6E Appendix 1 (superseded)</t>
        </is>
      </c>
      <c r="B68" s="147" t="inlineStr">
        <is>
          <t>4% and 20 years; straight-line residual value</t>
        </is>
      </c>
      <c r="C68" s="147" t="inlineStr"/>
      <c r="D68" s="149" t="n">
        <v>2009</v>
      </c>
      <c r="E68" s="147" t="inlineStr"/>
      <c r="F68" s="147" t="inlineStr">
        <is>
          <t>Dropped in 6F/6G; still widely cited</t>
        </is>
      </c>
      <c r="G68" s="150" t="inlineStr">
        <is>
          <t>https://www.faa.gov/documentLibrary/media/Advisory_Circular/150_5320_6e_part4.pdf</t>
        </is>
      </c>
    </row>
    <row r="69">
      <c r="A69" s="147" t="inlineStr">
        <is>
          <t>AAPTP 06-06 airport LCCA guide (Auburn/NCAT)</t>
        </is>
      </c>
      <c r="B69" s="147" t="inlineStr">
        <is>
          <t>4%, 20 years, NPW, remaining-life salvage; user cost includes lost airport revenue</t>
        </is>
      </c>
      <c r="C69" s="147" t="inlineStr"/>
      <c r="D69" s="149" t="n">
        <v>2011</v>
      </c>
      <c r="E69" s="147" t="inlineStr"/>
      <c r="F69" s="147" t="inlineStr">
        <is>
          <t>Basis for the "airport daily revenue" approach used here</t>
        </is>
      </c>
      <c r="G69" s="150" t="inlineStr">
        <is>
          <t>https://www.eng.auburn.edu/research/centers/ncat/files/aaptp/Report.Final.06-06.pdf</t>
        </is>
      </c>
    </row>
    <row r="70">
      <c r="A70" s="147" t="inlineStr">
        <is>
          <t>Caltrans LCCA manual / RealCost</t>
        </is>
      </c>
      <c r="B70" s="147" t="inlineStr">
        <is>
          <t>4% real; 20 / 35 / 55 years (CAPM / rehabilitation / new construction)</t>
        </is>
      </c>
      <c r="C70" s="147" t="inlineStr"/>
      <c r="D70" s="149" t="n">
        <v>2013</v>
      </c>
      <c r="E70" s="147" t="inlineStr"/>
      <c r="F70" s="147" t="inlineStr">
        <is>
          <t>Agency and user costs reported as present value and EUAC; the Summary comparison block follows that layout</t>
        </is>
      </c>
      <c r="G70" s="150" t="inlineStr">
        <is>
          <t>https://dot.ca.gov/-/media/dot-media/programs/maintenance/documents/office-of-concrete-pavement/life-cycle-cost-analysis/lcca-25ca-manual-final-aug-1-2013-v2-a11y.pdf</t>
        </is>
      </c>
    </row>
    <row r="71">
      <c r="A71" s="147" t="inlineStr">
        <is>
          <t>Structural design life (FAARFIELD, AC 150/5320-6G)</t>
        </is>
      </c>
      <c r="B71" s="148" t="n">
        <v>20</v>
      </c>
      <c r="C71" s="147" t="inlineStr">
        <is>
          <t>years</t>
        </is>
      </c>
      <c r="D71" s="149" t="n">
        <v>2021</v>
      </c>
      <c r="E71" s="147" t="inlineStr"/>
      <c r="F71" s="147" t="inlineStr">
        <is>
          <t>design life, not service life</t>
        </is>
      </c>
      <c r="G71" s="150" t="inlineStr">
        <is>
          <t>https://www.faa.gov/documentLibrary/media/Advisory_Circular/150-5320-6G-Pavement-Design.pdf</t>
        </is>
      </c>
    </row>
    <row r="72">
      <c r="A72" s="147" t="inlineStr">
        <is>
          <t>Salvage: HMA</t>
        </is>
      </c>
      <c r="B72" s="151">
        <f>'Maintenance Policies'!$D$32</f>
        <v/>
      </c>
      <c r="C72" s="147" t="inlineStr">
        <is>
          <t>fraction of the last mill-and-overlay</t>
        </is>
      </c>
      <c r="D72" s="147" t="inlineStr"/>
      <c r="E72" s="147" t="inlineStr"/>
      <c r="F72" s="147" t="inlineStr">
        <is>
          <t>live from Maintenance Policies D32 (policy: 2 of 16 years remaining)</t>
        </is>
      </c>
      <c r="G72" s="147" t="inlineStr">
        <is>
          <t>this workbook</t>
        </is>
      </c>
    </row>
    <row r="73">
      <c r="A73" s="147" t="inlineStr">
        <is>
          <t>Salvage: PCC</t>
        </is>
      </c>
      <c r="B73" s="151">
        <f>'Maintenance Policies'!$D$46</f>
        <v/>
      </c>
      <c r="C73" s="147" t="inlineStr">
        <is>
          <t>fraction of initial construction</t>
        </is>
      </c>
      <c r="D73" s="147" t="inlineStr"/>
      <c r="E73" s="147" t="inlineStr"/>
      <c r="F73" s="147" t="inlineStr">
        <is>
          <t>live from Maintenance Policies D46 (policy: 10 of 40 years remaining)</t>
        </is>
      </c>
      <c r="G73" s="147" t="inlineStr">
        <is>
          <t>this workbook</t>
        </is>
      </c>
    </row>
    <row r="74">
      <c r="A74" s="147" t="inlineStr">
        <is>
          <t>Salvage method in FAA / AAPTP guidance</t>
        </is>
      </c>
      <c r="B74" s="147" t="inlineStr">
        <is>
          <t>remaining life / expected life x cost of the last treatment (straight line)</t>
        </is>
      </c>
      <c r="C74" s="147" t="inlineStr"/>
      <c r="D74" s="149" t="n">
        <v>2011</v>
      </c>
      <c r="E74" s="147" t="inlineStr"/>
      <c r="F74" s="147" t="inlineStr">
        <is>
          <t>the workbook policy follows this form; the fractions above are the policy decision flagged in the change notes</t>
        </is>
      </c>
      <c r="G74" s="150" t="inlineStr">
        <is>
          <t>https://www.eng.auburn.edu/research/centers/ncat/files/aaptp/Report.Final.06-06.pdf</t>
        </is>
      </c>
    </row>
    <row r="75" ht="26" customHeight="1">
      <c r="A75" s="143" t="inlineStr">
        <is>
          <t>The Summary sensitivity chart runs 2% to 8% so both the current FAA rate (about 2%) and the legacy 7% are on the curve. G10 on the Summary states whether the lowest-cost alternative changes at either rate.</t>
        </is>
      </c>
    </row>
    <row r="77">
      <c r="A77" s="144" t="inlineStr">
        <is>
          <t>6. Maintenance timing and service life (Maintenance Policies sheet against published experience)</t>
        </is>
      </c>
      <c r="B77" s="145" t="n"/>
      <c r="C77" s="145" t="n"/>
      <c r="D77" s="145" t="n"/>
      <c r="E77" s="145" t="n"/>
      <c r="F77" s="145" t="n"/>
      <c r="G77" s="145" t="n"/>
    </row>
    <row r="78">
      <c r="A78" s="146" t="inlineStr">
        <is>
          <t>Item</t>
        </is>
      </c>
      <c r="B78" s="146" t="inlineStr">
        <is>
          <t>Workbook policy (live)</t>
        </is>
      </c>
      <c r="C78" s="146" t="inlineStr">
        <is>
          <t>Published range</t>
        </is>
      </c>
      <c r="D78" s="146" t="inlineStr">
        <is>
          <t>Year</t>
        </is>
      </c>
      <c r="E78" s="146" t="inlineStr"/>
      <c r="F78" s="146" t="inlineStr">
        <is>
          <t>Reading</t>
        </is>
      </c>
      <c r="G78" s="146" t="inlineStr">
        <is>
          <t>Source</t>
        </is>
      </c>
    </row>
    <row r="79">
      <c r="A79" s="147" t="inlineStr">
        <is>
          <t>HMA surface treatment / markings</t>
        </is>
      </c>
      <c r="B79" s="151">
        <f>"years "&amp;'Maintenance Policies'!$E$10&amp;", "&amp;'Maintenance Policies'!$E$12&amp;", "&amp;'Maintenance Policies'!$E$26</f>
        <v/>
      </c>
      <c r="C79" s="147" t="inlineStr">
        <is>
          <t>preventive-maintenance window PCI 60-80; inspect PCI every 3 years (AIP airports)</t>
        </is>
      </c>
      <c r="D79" s="149" t="n">
        <v>2014</v>
      </c>
      <c r="E79" s="147" t="inlineStr"/>
      <c r="F79" s="147" t="inlineStr">
        <is>
          <t>FAA ACs give the PCI window, not fixed year intervals; 4-year cycles are the TDOT policy</t>
        </is>
      </c>
      <c r="G79" s="150" t="inlineStr">
        <is>
          <t>https://www.faa.gov/documentlibrary/media/advisory_circular/150-5380-7b.pdf</t>
        </is>
      </c>
    </row>
    <row r="80">
      <c r="A80" s="147" t="inlineStr">
        <is>
          <t>HMA patching + crack sealing + treatment</t>
        </is>
      </c>
      <c r="B80" s="151">
        <f>"years "&amp;'Maintenance Policies'!$E$14&amp;", "&amp;'Maintenance Policies'!$E$18&amp;", "&amp;'Maintenance Policies'!$E$28</f>
        <v/>
      </c>
      <c r="C80" s="147" t="inlineStr">
        <is>
          <t>crack sealing, patching, seal coats per AC 150/5380-6C</t>
        </is>
      </c>
      <c r="D80" s="149" t="n">
        <v>2014</v>
      </c>
      <c r="E80" s="147" t="inlineStr"/>
      <c r="F80" s="147" t="inlineStr"/>
      <c r="G80" s="150" t="inlineStr">
        <is>
          <t>https://www.faa.gov/documentlibrary/media/advisory_circular/150-5380-6c.pdf</t>
        </is>
      </c>
    </row>
    <row r="81">
      <c r="A81" s="147" t="inlineStr">
        <is>
          <t>HMA mill and overlay</t>
        </is>
      </c>
      <c r="B81" s="151">
        <f>"year "&amp;'Maintenance Policies'!$E$22</f>
        <v/>
      </c>
      <c r="C81" s="147" t="inlineStr">
        <is>
          <t>asphalt runways reach PCI 70 in about 12 to 15 years (FAA 2014 performance trends)</t>
        </is>
      </c>
      <c r="D81" s="149" t="n">
        <v>2014</v>
      </c>
      <c r="E81" s="147" t="inlineStr"/>
      <c r="F81" s="147" t="inlineStr">
        <is>
          <t>policy year 20 is at the optimistic end of the published range</t>
        </is>
      </c>
      <c r="G81" s="150" t="inlineStr">
        <is>
          <t>https://www.acpa.org/wp-content/uploads/2025/03/ACPA-Achieving-the-Goals-of-the-FAAs-Extended-Airport-Pavement-Life-Program.pdf</t>
        </is>
      </c>
    </row>
    <row r="82">
      <c r="A82" s="147" t="inlineStr">
        <is>
          <t>PCC joint resealing + patching</t>
        </is>
      </c>
      <c r="B82" s="151">
        <f>"year "&amp;'Maintenance Policies'!$E$37</f>
        <v/>
      </c>
      <c r="C82" s="147" t="inlineStr">
        <is>
          <t>hot-pour sealant 3-8 yr; silicone 8-15 yr; compression seals 15-20 yr</t>
        </is>
      </c>
      <c r="D82" s="147" t="inlineStr"/>
      <c r="E82" s="147" t="inlineStr"/>
      <c r="F82" s="147" t="inlineStr">
        <is>
          <t>policy year 19 assumes silicone-class sealant life</t>
        </is>
      </c>
      <c r="G82" s="150" t="inlineStr">
        <is>
          <t>https://www.tarmacview.com/glossary/joint-sealant/</t>
        </is>
      </c>
    </row>
    <row r="83">
      <c r="A83" s="147" t="inlineStr">
        <is>
          <t>PCC slab replacement (2%) + joints</t>
        </is>
      </c>
      <c r="B83" s="151">
        <f>"year "&amp;'Maintenance Policies'!$E$41</f>
        <v/>
      </c>
      <c r="C83" s="147" t="inlineStr">
        <is>
          <t>PCC runways reach PCI 70 at about 40 years (FAA 2014)</t>
        </is>
      </c>
      <c r="D83" s="149" t="n">
        <v>2014</v>
      </c>
      <c r="E83" s="147" t="inlineStr"/>
      <c r="F83" s="147" t="inlineStr"/>
      <c r="G83" s="150" t="inlineStr">
        <is>
          <t>https://www.acpa.org/wp-content/uploads/2025/03/ACPA-Achieving-the-Goals-of-the-FAAs-Extended-Airport-Pavement-Life-Program.pdf</t>
        </is>
      </c>
    </row>
    <row r="84">
      <c r="A84" s="147" t="inlineStr">
        <is>
          <t>Expected service life</t>
        </is>
      </c>
      <c r="B84" s="147" t="inlineStr">
        <is>
          <t>HMA 20 yr design; PCC 30-40 yr</t>
        </is>
      </c>
      <c r="C84" s="147" t="inlineStr">
        <is>
          <t>FAA Extended Airport Pavement Life program targets 40 years</t>
        </is>
      </c>
      <c r="D84" s="149" t="n">
        <v>2024</v>
      </c>
      <c r="E84" s="147" t="inlineStr"/>
      <c r="F84" s="147" t="inlineStr"/>
      <c r="G84" s="150" t="inlineStr">
        <is>
          <t>https://www.airporttech.tc.faa.gov/Portals/0/FactSheets/Extended%20Airport%20Pavement%20Life%20Factsheet_May%202024.pdf</t>
        </is>
      </c>
    </row>
    <row r="85">
      <c r="A85" s="147" t="inlineStr">
        <is>
          <t>Treatment fact sheets with life and cost by treatment</t>
        </is>
      </c>
      <c r="B85" s="147" t="inlineStr"/>
      <c r="C85" s="147" t="inlineStr">
        <is>
          <t>ACRP Report 159 (GA airports) and ACRP Synthesis 22</t>
        </is>
      </c>
      <c r="D85" s="149" t="n">
        <v>2016</v>
      </c>
      <c r="E85" s="147" t="inlineStr"/>
      <c r="F85" s="147" t="inlineStr">
        <is>
          <t>use for project-specific overrides of the policy years</t>
        </is>
      </c>
      <c r="G85" s="150" t="inlineStr">
        <is>
          <t>https://nap.nationalacademies.org/catalog/23649/</t>
        </is>
      </c>
    </row>
    <row r="86">
      <c r="A86" s="147" t="inlineStr">
        <is>
          <t>Minimum layer thickness, AC 150/5320-6G</t>
        </is>
      </c>
      <c r="B86" s="147" t="inlineStr"/>
      <c r="C86" s="147" t="inlineStr">
        <is>
          <t>P-401 surface 4 in (&gt;= 12,500 lb); P-209 base 6 in; P-501 6 in (5 in under 12,500 lb)</t>
        </is>
      </c>
      <c r="D86" s="149" t="n">
        <v>2021</v>
      </c>
      <c r="E86" s="147" t="inlineStr"/>
      <c r="F86" s="147" t="inlineStr">
        <is>
          <t>check the pay-item quantities against these minimums</t>
        </is>
      </c>
      <c r="G86" s="150" t="inlineStr">
        <is>
          <t>https://www.faa.gov/documentLibrary/media/Advisory_Circular/150-5320-6G-Pavement-Design.pdf</t>
        </is>
      </c>
    </row>
    <row r="87" ht="26" customHeight="1">
      <c r="A87" s="143"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row>
    <row r="89">
      <c r="A89" s="144" t="inlineStr">
        <is>
          <t>Airport daily revenue used for lost-revenue cost (the 17 airports with revenue data; live from RevenueData)</t>
        </is>
      </c>
      <c r="B89" s="145" t="n"/>
      <c r="C89" s="145" t="n"/>
      <c r="D89" s="145" t="n"/>
      <c r="E89" s="145" t="n"/>
      <c r="F89" s="145" t="n"/>
      <c r="G89" s="145" t="n"/>
    </row>
    <row r="90">
      <c r="A90" s="146" t="inlineStr">
        <is>
          <t>Airport ID</t>
        </is>
      </c>
      <c r="B90" s="146" t="inlineStr">
        <is>
          <t>Daily revenue ($/day)</t>
        </is>
      </c>
      <c r="C90" s="146" t="inlineStr">
        <is>
          <t>Lost revenue, 7-day closure ($)</t>
        </is>
      </c>
      <c r="D90" s="146" t="inlineStr">
        <is>
          <t>Lost revenue, 19-day closure ($)</t>
        </is>
      </c>
      <c r="E90" s="146" t="inlineStr">
        <is>
          <t>Columns holding text (counted as $0)</t>
        </is>
      </c>
      <c r="F90" s="146" t="inlineStr"/>
      <c r="G90" s="146" t="inlineStr">
        <is>
          <t>Source</t>
        </is>
      </c>
    </row>
    <row r="91">
      <c r="A91" s="147">
        <f>IF(RevenueData!A2="","",RevenueData!A2)</f>
        <v/>
      </c>
      <c r="B91" s="151">
        <f>IF(A91="","",SUMIF(RevenueData!$A:$A,A91,RevenueData!$B:$B)+SUMIF(RevenueData!$A:$A,A91,RevenueData!$C:$C)+SUMIF(RevenueData!$A:$A,A91,RevenueData!$D:$D)+SUMIF(RevenueData!$A:$A,A91,RevenueData!$E:$E)+SUMIF(RevenueData!$A:$A,A91,RevenueData!$F:$F)+SUMIF(RevenueData!$A:$A,A91,RevenueData!$G:$G)+SUMIF(RevenueData!$A:$A,A91,RevenueData!$H:$H))</f>
        <v/>
      </c>
      <c r="C91" s="147">
        <f>IF(A91="","",B91*7)</f>
        <v/>
      </c>
      <c r="D91" s="147">
        <f>IF(A91="","",B91*19)</f>
        <v/>
      </c>
      <c r="E91" s="147">
        <f>IF(A91="","",TRIM(IF(ISNUMBER(RevenueData!B2),"","100LL ")&amp;IF(ISNUMBER(RevenueData!C2),"","Jet-A ")&amp;IF(ISNUMBER(RevenueData!G2),"","tenant ")&amp;IF(ISNUMBER(RevenueData!H2),"","other")))</f>
        <v/>
      </c>
      <c r="F91" s="147" t="inlineStr"/>
      <c r="G91" s="147" t="inlineStr">
        <is>
          <t>RevenueData sheet in this workbook (hidden)</t>
        </is>
      </c>
    </row>
    <row r="92">
      <c r="A92" s="147">
        <f>IF(RevenueData!A3="","",RevenueData!A3)</f>
        <v/>
      </c>
      <c r="B92" s="151">
        <f>IF(A92="","",SUMIF(RevenueData!$A:$A,A92,RevenueData!$B:$B)+SUMIF(RevenueData!$A:$A,A92,RevenueData!$C:$C)+SUMIF(RevenueData!$A:$A,A92,RevenueData!$D:$D)+SUMIF(RevenueData!$A:$A,A92,RevenueData!$E:$E)+SUMIF(RevenueData!$A:$A,A92,RevenueData!$F:$F)+SUMIF(RevenueData!$A:$A,A92,RevenueData!$G:$G)+SUMIF(RevenueData!$A:$A,A92,RevenueData!$H:$H))</f>
        <v/>
      </c>
      <c r="C92" s="147">
        <f>IF(A92="","",B92*7)</f>
        <v/>
      </c>
      <c r="D92" s="147">
        <f>IF(A92="","",B92*19)</f>
        <v/>
      </c>
      <c r="E92" s="147">
        <f>IF(A92="","",TRIM(IF(ISNUMBER(RevenueData!B3),"","100LL ")&amp;IF(ISNUMBER(RevenueData!C3),"","Jet-A ")&amp;IF(ISNUMBER(RevenueData!G3),"","tenant ")&amp;IF(ISNUMBER(RevenueData!H3),"","other")))</f>
        <v/>
      </c>
      <c r="F92" s="147" t="inlineStr"/>
      <c r="G92" s="147" t="inlineStr">
        <is>
          <t>RevenueData sheet in this workbook (hidden)</t>
        </is>
      </c>
    </row>
    <row r="93">
      <c r="A93" s="147">
        <f>IF(RevenueData!A4="","",RevenueData!A4)</f>
        <v/>
      </c>
      <c r="B93" s="151">
        <f>IF(A93="","",SUMIF(RevenueData!$A:$A,A93,RevenueData!$B:$B)+SUMIF(RevenueData!$A:$A,A93,RevenueData!$C:$C)+SUMIF(RevenueData!$A:$A,A93,RevenueData!$D:$D)+SUMIF(RevenueData!$A:$A,A93,RevenueData!$E:$E)+SUMIF(RevenueData!$A:$A,A93,RevenueData!$F:$F)+SUMIF(RevenueData!$A:$A,A93,RevenueData!$G:$G)+SUMIF(RevenueData!$A:$A,A93,RevenueData!$H:$H))</f>
        <v/>
      </c>
      <c r="C93" s="147">
        <f>IF(A93="","",B93*7)</f>
        <v/>
      </c>
      <c r="D93" s="147">
        <f>IF(A93="","",B93*19)</f>
        <v/>
      </c>
      <c r="E93" s="147">
        <f>IF(A93="","",TRIM(IF(ISNUMBER(RevenueData!B4),"","100LL ")&amp;IF(ISNUMBER(RevenueData!C4),"","Jet-A ")&amp;IF(ISNUMBER(RevenueData!G4),"","tenant ")&amp;IF(ISNUMBER(RevenueData!H4),"","other")))</f>
        <v/>
      </c>
      <c r="F93" s="147" t="inlineStr"/>
      <c r="G93" s="147" t="inlineStr">
        <is>
          <t>RevenueData sheet in this workbook (hidden)</t>
        </is>
      </c>
    </row>
    <row r="94">
      <c r="A94" s="147">
        <f>IF(RevenueData!A5="","",RevenueData!A5)</f>
        <v/>
      </c>
      <c r="B94" s="151">
        <f>IF(A94="","",SUMIF(RevenueData!$A:$A,A94,RevenueData!$B:$B)+SUMIF(RevenueData!$A:$A,A94,RevenueData!$C:$C)+SUMIF(RevenueData!$A:$A,A94,RevenueData!$D:$D)+SUMIF(RevenueData!$A:$A,A94,RevenueData!$E:$E)+SUMIF(RevenueData!$A:$A,A94,RevenueData!$F:$F)+SUMIF(RevenueData!$A:$A,A94,RevenueData!$G:$G)+SUMIF(RevenueData!$A:$A,A94,RevenueData!$H:$H))</f>
        <v/>
      </c>
      <c r="C94" s="147">
        <f>IF(A94="","",B94*7)</f>
        <v/>
      </c>
      <c r="D94" s="147">
        <f>IF(A94="","",B94*19)</f>
        <v/>
      </c>
      <c r="E94" s="147">
        <f>IF(A94="","",TRIM(IF(ISNUMBER(RevenueData!B5),"","100LL ")&amp;IF(ISNUMBER(RevenueData!C5),"","Jet-A ")&amp;IF(ISNUMBER(RevenueData!G5),"","tenant ")&amp;IF(ISNUMBER(RevenueData!H5),"","other")))</f>
        <v/>
      </c>
      <c r="F94" s="147" t="inlineStr"/>
      <c r="G94" s="147" t="inlineStr">
        <is>
          <t>RevenueData sheet in this workbook (hidden)</t>
        </is>
      </c>
    </row>
    <row r="95">
      <c r="A95" s="147">
        <f>IF(RevenueData!A6="","",RevenueData!A6)</f>
        <v/>
      </c>
      <c r="B95" s="151">
        <f>IF(A95="","",SUMIF(RevenueData!$A:$A,A95,RevenueData!$B:$B)+SUMIF(RevenueData!$A:$A,A95,RevenueData!$C:$C)+SUMIF(RevenueData!$A:$A,A95,RevenueData!$D:$D)+SUMIF(RevenueData!$A:$A,A95,RevenueData!$E:$E)+SUMIF(RevenueData!$A:$A,A95,RevenueData!$F:$F)+SUMIF(RevenueData!$A:$A,A95,RevenueData!$G:$G)+SUMIF(RevenueData!$A:$A,A95,RevenueData!$H:$H))</f>
        <v/>
      </c>
      <c r="C95" s="147">
        <f>IF(A95="","",B95*7)</f>
        <v/>
      </c>
      <c r="D95" s="147">
        <f>IF(A95="","",B95*19)</f>
        <v/>
      </c>
      <c r="E95" s="147">
        <f>IF(A95="","",TRIM(IF(ISNUMBER(RevenueData!B6),"","100LL ")&amp;IF(ISNUMBER(RevenueData!C6),"","Jet-A ")&amp;IF(ISNUMBER(RevenueData!G6),"","tenant ")&amp;IF(ISNUMBER(RevenueData!H6),"","other")))</f>
        <v/>
      </c>
      <c r="F95" s="147" t="inlineStr"/>
      <c r="G95" s="147" t="inlineStr">
        <is>
          <t>RevenueData sheet in this workbook (hidden)</t>
        </is>
      </c>
    </row>
    <row r="96">
      <c r="A96" s="147">
        <f>IF(RevenueData!A7="","",RevenueData!A7)</f>
        <v/>
      </c>
      <c r="B96" s="151">
        <f>IF(A96="","",SUMIF(RevenueData!$A:$A,A96,RevenueData!$B:$B)+SUMIF(RevenueData!$A:$A,A96,RevenueData!$C:$C)+SUMIF(RevenueData!$A:$A,A96,RevenueData!$D:$D)+SUMIF(RevenueData!$A:$A,A96,RevenueData!$E:$E)+SUMIF(RevenueData!$A:$A,A96,RevenueData!$F:$F)+SUMIF(RevenueData!$A:$A,A96,RevenueData!$G:$G)+SUMIF(RevenueData!$A:$A,A96,RevenueData!$H:$H))</f>
        <v/>
      </c>
      <c r="C96" s="147">
        <f>IF(A96="","",B96*7)</f>
        <v/>
      </c>
      <c r="D96" s="147">
        <f>IF(A96="","",B96*19)</f>
        <v/>
      </c>
      <c r="E96" s="147">
        <f>IF(A96="","",TRIM(IF(ISNUMBER(RevenueData!B7),"","100LL ")&amp;IF(ISNUMBER(RevenueData!C7),"","Jet-A ")&amp;IF(ISNUMBER(RevenueData!G7),"","tenant ")&amp;IF(ISNUMBER(RevenueData!H7),"","other")))</f>
        <v/>
      </c>
      <c r="F96" s="147" t="inlineStr"/>
      <c r="G96" s="147" t="inlineStr">
        <is>
          <t>RevenueData sheet in this workbook (hidden)</t>
        </is>
      </c>
    </row>
    <row r="97">
      <c r="A97" s="147">
        <f>IF(RevenueData!A8="","",RevenueData!A8)</f>
        <v/>
      </c>
      <c r="B97" s="151">
        <f>IF(A97="","",SUMIF(RevenueData!$A:$A,A97,RevenueData!$B:$B)+SUMIF(RevenueData!$A:$A,A97,RevenueData!$C:$C)+SUMIF(RevenueData!$A:$A,A97,RevenueData!$D:$D)+SUMIF(RevenueData!$A:$A,A97,RevenueData!$E:$E)+SUMIF(RevenueData!$A:$A,A97,RevenueData!$F:$F)+SUMIF(RevenueData!$A:$A,A97,RevenueData!$G:$G)+SUMIF(RevenueData!$A:$A,A97,RevenueData!$H:$H))</f>
        <v/>
      </c>
      <c r="C97" s="147">
        <f>IF(A97="","",B97*7)</f>
        <v/>
      </c>
      <c r="D97" s="147">
        <f>IF(A97="","",B97*19)</f>
        <v/>
      </c>
      <c r="E97" s="147">
        <f>IF(A97="","",TRIM(IF(ISNUMBER(RevenueData!B8),"","100LL ")&amp;IF(ISNUMBER(RevenueData!C8),"","Jet-A ")&amp;IF(ISNUMBER(RevenueData!G8),"","tenant ")&amp;IF(ISNUMBER(RevenueData!H8),"","other")))</f>
        <v/>
      </c>
      <c r="F97" s="147" t="inlineStr"/>
      <c r="G97" s="147" t="inlineStr">
        <is>
          <t>RevenueData sheet in this workbook (hidden)</t>
        </is>
      </c>
    </row>
    <row r="98">
      <c r="A98" s="147">
        <f>IF(RevenueData!A9="","",RevenueData!A9)</f>
        <v/>
      </c>
      <c r="B98" s="151">
        <f>IF(A98="","",SUMIF(RevenueData!$A:$A,A98,RevenueData!$B:$B)+SUMIF(RevenueData!$A:$A,A98,RevenueData!$C:$C)+SUMIF(RevenueData!$A:$A,A98,RevenueData!$D:$D)+SUMIF(RevenueData!$A:$A,A98,RevenueData!$E:$E)+SUMIF(RevenueData!$A:$A,A98,RevenueData!$F:$F)+SUMIF(RevenueData!$A:$A,A98,RevenueData!$G:$G)+SUMIF(RevenueData!$A:$A,A98,RevenueData!$H:$H))</f>
        <v/>
      </c>
      <c r="C98" s="147">
        <f>IF(A98="","",B98*7)</f>
        <v/>
      </c>
      <c r="D98" s="147">
        <f>IF(A98="","",B98*19)</f>
        <v/>
      </c>
      <c r="E98" s="147">
        <f>IF(A98="","",TRIM(IF(ISNUMBER(RevenueData!B9),"","100LL ")&amp;IF(ISNUMBER(RevenueData!C9),"","Jet-A ")&amp;IF(ISNUMBER(RevenueData!G9),"","tenant ")&amp;IF(ISNUMBER(RevenueData!H9),"","other")))</f>
        <v/>
      </c>
      <c r="F98" s="147" t="inlineStr"/>
      <c r="G98" s="147" t="inlineStr">
        <is>
          <t>RevenueData sheet in this workbook (hidden)</t>
        </is>
      </c>
    </row>
    <row r="99">
      <c r="A99" s="147">
        <f>IF(RevenueData!A10="","",RevenueData!A10)</f>
        <v/>
      </c>
      <c r="B99" s="151">
        <f>IF(A99="","",SUMIF(RevenueData!$A:$A,A99,RevenueData!$B:$B)+SUMIF(RevenueData!$A:$A,A99,RevenueData!$C:$C)+SUMIF(RevenueData!$A:$A,A99,RevenueData!$D:$D)+SUMIF(RevenueData!$A:$A,A99,RevenueData!$E:$E)+SUMIF(RevenueData!$A:$A,A99,RevenueData!$F:$F)+SUMIF(RevenueData!$A:$A,A99,RevenueData!$G:$G)+SUMIF(RevenueData!$A:$A,A99,RevenueData!$H:$H))</f>
        <v/>
      </c>
      <c r="C99" s="147">
        <f>IF(A99="","",B99*7)</f>
        <v/>
      </c>
      <c r="D99" s="147">
        <f>IF(A99="","",B99*19)</f>
        <v/>
      </c>
      <c r="E99" s="147">
        <f>IF(A99="","",TRIM(IF(ISNUMBER(RevenueData!B10),"","100LL ")&amp;IF(ISNUMBER(RevenueData!C10),"","Jet-A ")&amp;IF(ISNUMBER(RevenueData!G10),"","tenant ")&amp;IF(ISNUMBER(RevenueData!H10),"","other")))</f>
        <v/>
      </c>
      <c r="F99" s="147" t="inlineStr"/>
      <c r="G99" s="147" t="inlineStr">
        <is>
          <t>RevenueData sheet in this workbook (hidden)</t>
        </is>
      </c>
    </row>
    <row r="100">
      <c r="A100" s="147">
        <f>IF(RevenueData!A11="","",RevenueData!A11)</f>
        <v/>
      </c>
      <c r="B100" s="151">
        <f>IF(A100="","",SUMIF(RevenueData!$A:$A,A100,RevenueData!$B:$B)+SUMIF(RevenueData!$A:$A,A100,RevenueData!$C:$C)+SUMIF(RevenueData!$A:$A,A100,RevenueData!$D:$D)+SUMIF(RevenueData!$A:$A,A100,RevenueData!$E:$E)+SUMIF(RevenueData!$A:$A,A100,RevenueData!$F:$F)+SUMIF(RevenueData!$A:$A,A100,RevenueData!$G:$G)+SUMIF(RevenueData!$A:$A,A100,RevenueData!$H:$H))</f>
        <v/>
      </c>
      <c r="C100" s="147">
        <f>IF(A100="","",B100*7)</f>
        <v/>
      </c>
      <c r="D100" s="147">
        <f>IF(A100="","",B100*19)</f>
        <v/>
      </c>
      <c r="E100" s="147">
        <f>IF(A100="","",TRIM(IF(ISNUMBER(RevenueData!B11),"","100LL ")&amp;IF(ISNUMBER(RevenueData!C11),"","Jet-A ")&amp;IF(ISNUMBER(RevenueData!G11),"","tenant ")&amp;IF(ISNUMBER(RevenueData!H11),"","other")))</f>
        <v/>
      </c>
      <c r="F100" s="147" t="inlineStr"/>
      <c r="G100" s="147" t="inlineStr">
        <is>
          <t>RevenueData sheet in this workbook (hidden)</t>
        </is>
      </c>
    </row>
    <row r="101">
      <c r="A101" s="147">
        <f>IF(RevenueData!A12="","",RevenueData!A12)</f>
        <v/>
      </c>
      <c r="B101" s="151">
        <f>IF(A101="","",SUMIF(RevenueData!$A:$A,A101,RevenueData!$B:$B)+SUMIF(RevenueData!$A:$A,A101,RevenueData!$C:$C)+SUMIF(RevenueData!$A:$A,A101,RevenueData!$D:$D)+SUMIF(RevenueData!$A:$A,A101,RevenueData!$E:$E)+SUMIF(RevenueData!$A:$A,A101,RevenueData!$F:$F)+SUMIF(RevenueData!$A:$A,A101,RevenueData!$G:$G)+SUMIF(RevenueData!$A:$A,A101,RevenueData!$H:$H))</f>
        <v/>
      </c>
      <c r="C101" s="147">
        <f>IF(A101="","",B101*7)</f>
        <v/>
      </c>
      <c r="D101" s="147">
        <f>IF(A101="","",B101*19)</f>
        <v/>
      </c>
      <c r="E101" s="147">
        <f>IF(A101="","",TRIM(IF(ISNUMBER(RevenueData!B12),"","100LL ")&amp;IF(ISNUMBER(RevenueData!C12),"","Jet-A ")&amp;IF(ISNUMBER(RevenueData!G12),"","tenant ")&amp;IF(ISNUMBER(RevenueData!H12),"","other")))</f>
        <v/>
      </c>
      <c r="F101" s="147" t="inlineStr"/>
      <c r="G101" s="147" t="inlineStr">
        <is>
          <t>RevenueData sheet in this workbook (hidden)</t>
        </is>
      </c>
    </row>
    <row r="102">
      <c r="A102" s="147">
        <f>IF(RevenueData!A13="","",RevenueData!A13)</f>
        <v/>
      </c>
      <c r="B102" s="151">
        <f>IF(A102="","",SUMIF(RevenueData!$A:$A,A102,RevenueData!$B:$B)+SUMIF(RevenueData!$A:$A,A102,RevenueData!$C:$C)+SUMIF(RevenueData!$A:$A,A102,RevenueData!$D:$D)+SUMIF(RevenueData!$A:$A,A102,RevenueData!$E:$E)+SUMIF(RevenueData!$A:$A,A102,RevenueData!$F:$F)+SUMIF(RevenueData!$A:$A,A102,RevenueData!$G:$G)+SUMIF(RevenueData!$A:$A,A102,RevenueData!$H:$H))</f>
        <v/>
      </c>
      <c r="C102" s="147">
        <f>IF(A102="","",B102*7)</f>
        <v/>
      </c>
      <c r="D102" s="147">
        <f>IF(A102="","",B102*19)</f>
        <v/>
      </c>
      <c r="E102" s="147">
        <f>IF(A102="","",TRIM(IF(ISNUMBER(RevenueData!B13),"","100LL ")&amp;IF(ISNUMBER(RevenueData!C13),"","Jet-A ")&amp;IF(ISNUMBER(RevenueData!G13),"","tenant ")&amp;IF(ISNUMBER(RevenueData!H13),"","other")))</f>
        <v/>
      </c>
      <c r="F102" s="147" t="inlineStr"/>
      <c r="G102" s="147" t="inlineStr">
        <is>
          <t>RevenueData sheet in this workbook (hidden)</t>
        </is>
      </c>
    </row>
    <row r="103">
      <c r="A103" s="147">
        <f>IF(RevenueData!A14="","",RevenueData!A14)</f>
        <v/>
      </c>
      <c r="B103" s="151">
        <f>IF(A103="","",SUMIF(RevenueData!$A:$A,A103,RevenueData!$B:$B)+SUMIF(RevenueData!$A:$A,A103,RevenueData!$C:$C)+SUMIF(RevenueData!$A:$A,A103,RevenueData!$D:$D)+SUMIF(RevenueData!$A:$A,A103,RevenueData!$E:$E)+SUMIF(RevenueData!$A:$A,A103,RevenueData!$F:$F)+SUMIF(RevenueData!$A:$A,A103,RevenueData!$G:$G)+SUMIF(RevenueData!$A:$A,A103,RevenueData!$H:$H))</f>
        <v/>
      </c>
      <c r="C103" s="147">
        <f>IF(A103="","",B103*7)</f>
        <v/>
      </c>
      <c r="D103" s="147">
        <f>IF(A103="","",B103*19)</f>
        <v/>
      </c>
      <c r="E103" s="147">
        <f>IF(A103="","",TRIM(IF(ISNUMBER(RevenueData!B14),"","100LL ")&amp;IF(ISNUMBER(RevenueData!C14),"","Jet-A ")&amp;IF(ISNUMBER(RevenueData!G14),"","tenant ")&amp;IF(ISNUMBER(RevenueData!H14),"","other")))</f>
        <v/>
      </c>
      <c r="F103" s="147" t="inlineStr"/>
      <c r="G103" s="147" t="inlineStr">
        <is>
          <t>RevenueData sheet in this workbook (hidden)</t>
        </is>
      </c>
    </row>
    <row r="104">
      <c r="A104" s="147">
        <f>IF(RevenueData!A15="","",RevenueData!A15)</f>
        <v/>
      </c>
      <c r="B104" s="151">
        <f>IF(A104="","",SUMIF(RevenueData!$A:$A,A104,RevenueData!$B:$B)+SUMIF(RevenueData!$A:$A,A104,RevenueData!$C:$C)+SUMIF(RevenueData!$A:$A,A104,RevenueData!$D:$D)+SUMIF(RevenueData!$A:$A,A104,RevenueData!$E:$E)+SUMIF(RevenueData!$A:$A,A104,RevenueData!$F:$F)+SUMIF(RevenueData!$A:$A,A104,RevenueData!$G:$G)+SUMIF(RevenueData!$A:$A,A104,RevenueData!$H:$H))</f>
        <v/>
      </c>
      <c r="C104" s="147">
        <f>IF(A104="","",B104*7)</f>
        <v/>
      </c>
      <c r="D104" s="147">
        <f>IF(A104="","",B104*19)</f>
        <v/>
      </c>
      <c r="E104" s="147">
        <f>IF(A104="","",TRIM(IF(ISNUMBER(RevenueData!B15),"","100LL ")&amp;IF(ISNUMBER(RevenueData!C15),"","Jet-A ")&amp;IF(ISNUMBER(RevenueData!G15),"","tenant ")&amp;IF(ISNUMBER(RevenueData!H15),"","other")))</f>
        <v/>
      </c>
      <c r="F104" s="147" t="inlineStr"/>
      <c r="G104" s="147" t="inlineStr">
        <is>
          <t>RevenueData sheet in this workbook (hidden)</t>
        </is>
      </c>
    </row>
    <row r="105">
      <c r="A105" s="147">
        <f>IF(RevenueData!A16="","",RevenueData!A16)</f>
        <v/>
      </c>
      <c r="B105" s="151">
        <f>IF(A105="","",SUMIF(RevenueData!$A:$A,A105,RevenueData!$B:$B)+SUMIF(RevenueData!$A:$A,A105,RevenueData!$C:$C)+SUMIF(RevenueData!$A:$A,A105,RevenueData!$D:$D)+SUMIF(RevenueData!$A:$A,A105,RevenueData!$E:$E)+SUMIF(RevenueData!$A:$A,A105,RevenueData!$F:$F)+SUMIF(RevenueData!$A:$A,A105,RevenueData!$G:$G)+SUMIF(RevenueData!$A:$A,A105,RevenueData!$H:$H))</f>
        <v/>
      </c>
      <c r="C105" s="147">
        <f>IF(A105="","",B105*7)</f>
        <v/>
      </c>
      <c r="D105" s="147">
        <f>IF(A105="","",B105*19)</f>
        <v/>
      </c>
      <c r="E105" s="147">
        <f>IF(A105="","",TRIM(IF(ISNUMBER(RevenueData!B16),"","100LL ")&amp;IF(ISNUMBER(RevenueData!C16),"","Jet-A ")&amp;IF(ISNUMBER(RevenueData!G16),"","tenant ")&amp;IF(ISNUMBER(RevenueData!H16),"","other")))</f>
        <v/>
      </c>
      <c r="F105" s="147" t="inlineStr"/>
      <c r="G105" s="147" t="inlineStr">
        <is>
          <t>RevenueData sheet in this workbook (hidden)</t>
        </is>
      </c>
    </row>
    <row r="106">
      <c r="A106" s="147">
        <f>IF(RevenueData!A17="","",RevenueData!A17)</f>
        <v/>
      </c>
      <c r="B106" s="151">
        <f>IF(A106="","",SUMIF(RevenueData!$A:$A,A106,RevenueData!$B:$B)+SUMIF(RevenueData!$A:$A,A106,RevenueData!$C:$C)+SUMIF(RevenueData!$A:$A,A106,RevenueData!$D:$D)+SUMIF(RevenueData!$A:$A,A106,RevenueData!$E:$E)+SUMIF(RevenueData!$A:$A,A106,RevenueData!$F:$F)+SUMIF(RevenueData!$A:$A,A106,RevenueData!$G:$G)+SUMIF(RevenueData!$A:$A,A106,RevenueData!$H:$H))</f>
        <v/>
      </c>
      <c r="C106" s="147">
        <f>IF(A106="","",B106*7)</f>
        <v/>
      </c>
      <c r="D106" s="147">
        <f>IF(A106="","",B106*19)</f>
        <v/>
      </c>
      <c r="E106" s="147">
        <f>IF(A106="","",TRIM(IF(ISNUMBER(RevenueData!B17),"","100LL ")&amp;IF(ISNUMBER(RevenueData!C17),"","Jet-A ")&amp;IF(ISNUMBER(RevenueData!G17),"","tenant ")&amp;IF(ISNUMBER(RevenueData!H17),"","other")))</f>
        <v/>
      </c>
      <c r="F106" s="147" t="inlineStr"/>
      <c r="G106" s="147" t="inlineStr">
        <is>
          <t>RevenueData sheet in this workbook (hidden)</t>
        </is>
      </c>
    </row>
    <row r="107">
      <c r="A107" s="147">
        <f>IF(RevenueData!A18="","",RevenueData!A18)</f>
        <v/>
      </c>
      <c r="B107" s="151">
        <f>IF(A107="","",SUMIF(RevenueData!$A:$A,A107,RevenueData!$B:$B)+SUMIF(RevenueData!$A:$A,A107,RevenueData!$C:$C)+SUMIF(RevenueData!$A:$A,A107,RevenueData!$D:$D)+SUMIF(RevenueData!$A:$A,A107,RevenueData!$E:$E)+SUMIF(RevenueData!$A:$A,A107,RevenueData!$F:$F)+SUMIF(RevenueData!$A:$A,A107,RevenueData!$G:$G)+SUMIF(RevenueData!$A:$A,A107,RevenueData!$H:$H))</f>
        <v/>
      </c>
      <c r="C107" s="147">
        <f>IF(A107="","",B107*7)</f>
        <v/>
      </c>
      <c r="D107" s="147">
        <f>IF(A107="","",B107*19)</f>
        <v/>
      </c>
      <c r="E107" s="147">
        <f>IF(A107="","",TRIM(IF(ISNUMBER(RevenueData!B18),"","100LL ")&amp;IF(ISNUMBER(RevenueData!C18),"","Jet-A ")&amp;IF(ISNUMBER(RevenueData!G18),"","tenant ")&amp;IF(ISNUMBER(RevenueData!H18),"","other")))</f>
        <v/>
      </c>
      <c r="F107" s="147" t="inlineStr"/>
      <c r="G107" s="147" t="inlineStr">
        <is>
          <t>RevenueData sheet in this workbook (hidden)</t>
        </is>
      </c>
    </row>
    <row r="108" ht="26" customHeight="1">
      <c r="A108" s="143" t="inlineStr">
        <is>
          <t>Same SUMIF chain as General Information D39: text entries in RevenueData (" $-   ", " NA ", descriptions on XNX and M54) count as zero. 7 days is a typical surface-treatment closure and 19 days a mill-and-overlay closure for a 6,000 x 100 ft runway (see production rates).</t>
        </is>
      </c>
    </row>
    <row r="110">
      <c r="A110" s="144" t="inlineStr">
        <is>
          <t>Airports in the General Information dropdown</t>
        </is>
      </c>
      <c r="B110" s="145" t="n"/>
      <c r="C110" s="145" t="n"/>
      <c r="D110" s="145" t="n"/>
      <c r="E110" s="145" t="n"/>
      <c r="F110" s="145" t="n"/>
      <c r="G110" s="145" t="n"/>
    </row>
    <row r="111">
      <c r="A111" s="146" t="inlineStr">
        <is>
          <t>Item</t>
        </is>
      </c>
      <c r="B111" s="146" t="inlineStr">
        <is>
          <t>Value</t>
        </is>
      </c>
      <c r="C111" s="146" t="inlineStr"/>
      <c r="D111" s="146" t="inlineStr"/>
      <c r="E111" s="146" t="inlineStr"/>
      <c r="F111" s="146" t="inlineStr"/>
      <c r="G111" s="146" t="inlineStr">
        <is>
          <t>Source</t>
        </is>
      </c>
    </row>
    <row r="112">
      <c r="A112" s="147" t="inlineStr">
        <is>
          <t>Airports selectable in D9</t>
        </is>
      </c>
      <c r="B112" s="151">
        <f>COUNTA('General Information'!$L$10:$L$88)</f>
        <v/>
      </c>
      <c r="C112" s="147" t="inlineStr"/>
      <c r="D112" s="147" t="inlineStr"/>
      <c r="E112" s="147" t="inlineStr"/>
      <c r="F112" s="147" t="inlineStr"/>
      <c r="G112" s="147" t="inlineStr">
        <is>
          <t>General Information, hidden columns L:P</t>
        </is>
      </c>
    </row>
    <row r="113">
      <c r="A113" s="147" t="inlineStr">
        <is>
          <t>Airports with revenue data</t>
        </is>
      </c>
      <c r="B113" s="151">
        <f>COUNTA(RevenueData!$A$2:$A$60)</f>
        <v/>
      </c>
      <c r="C113" s="147" t="inlineStr"/>
      <c r="D113" s="147" t="inlineStr"/>
      <c r="E113" s="147" t="inlineStr"/>
      <c r="F113" s="147" t="inlineStr"/>
      <c r="G113" s="147" t="inlineStr">
        <is>
          <t>RevenueData</t>
        </is>
      </c>
    </row>
    <row r="114">
      <c r="A114" s="147" t="inlineStr">
        <is>
          <t>Airports with a Middle / West / East region tag</t>
        </is>
      </c>
      <c r="B114" s="151">
        <f>COUNTIF('General Information'!$P$10:$P$88,"Middle")&amp;" / "&amp;COUNTIF('General Information'!$P$10:$P$88,"West")&amp;" / "&amp;COUNTIF('General Information'!$P$10:$P$88,"East")</f>
        <v/>
      </c>
      <c r="C114" s="147" t="inlineStr"/>
      <c r="D114" s="147" t="inlineStr"/>
      <c r="E114" s="147" t="inlineStr"/>
      <c r="F114" s="147" t="inlineStr"/>
      <c r="G114" s="147" t="inlineStr">
        <is>
          <t>General Information, hidden columns L:P</t>
        </is>
      </c>
    </row>
  </sheetData>
  <mergeCells count="8">
    <mergeCell ref="A32:G32"/>
    <mergeCell ref="A87:G87"/>
    <mergeCell ref="A4:G4"/>
    <mergeCell ref="A75:G75"/>
    <mergeCell ref="A59:G59"/>
    <mergeCell ref="A19:G19"/>
    <mergeCell ref="A108:G108"/>
    <mergeCell ref="A46:G46"/>
  </mergeCells>
  <pageMargins left="0.75" right="0.75" top="1" bottom="1" header="0.5" footer="0.5"/>
  <pageSetup orientation="landscape" fitToWidth="1" fitToHeight="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TDOT Aeronautics Division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TDOT Aeronautics Division / Applied Research Associates</dc:creator>
  <cp:lastModifiedBy>ARA</cp:lastModifiedBy>
  <dcterms:created xsi:type="dcterms:W3CDTF">2021-03-15T15:18:27Z</dcterms:created>
  <dcterms:modified xsi:type="dcterms:W3CDTF">2026-09-12T23:09:44Z</dcterms:modified>
</cp:coreProperties>
</file>
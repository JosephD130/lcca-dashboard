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<sst xmlns="http://schemas.openxmlformats.org/spreadsheetml/2006/main" count="1480" uniqueCount="637">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</sst>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75"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s>
  <fills count="4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1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34075"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934075"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2417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619125</xdr:colOff>
      <xdr:row>47</xdr:row>
      <xdr:rowOff>0</xdr:rowOff>
    </xdr:from>
    <xdr:ext cx="292417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238125</xdr:colOff>
      <xdr:row>47</xdr:row>
      <xdr:rowOff>0</xdr:rowOff>
    </xdr:from>
    <xdr:ext cx="292417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92417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619125</xdr:colOff>
      <xdr:row>58</xdr:row>
      <xdr:rowOff>0</xdr:rowOff>
    </xdr:from>
    <xdr:ext cx="292417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657225</xdr:colOff>
      <xdr:row>47</xdr:row>
      <xdr:rowOff>0</xdr:rowOff>
    </xdr:from>
    <xdr:ext cx="292417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ht="21" customHeight="1" spans="2:16" x14ac:dyDescent="0.2">
      <c r="B45" s="6" t="inlineStr">
        <is>
          <t>Typical input values:</t>
        </is>
      </c>
      <c r="D45" s="119" t="str">
        <f>HYPERLINK("#'Typical Values'!A1","Typical Values  ►")</f>
        <v>Typical Values  ►</v>
      </c>
      <c r="L45" s="5" t="s">
        <v>129</v>
      </c>
      <c r="M45" s="5" t="s">
        <v>128</v>
      </c>
      <c r="N45" s="5" t="s">
        <v>396</v>
      </c>
      <c r="O45" s="5" t="s">
        <v>543</v>
      </c>
      <c r="P45" s="5" t="s">
        <v>64</v>
      </c>
    </row>
    <row r="46" ht="21" customHeight="1" spans="2:16" x14ac:dyDescent="0.2">
      <c r="B46" s="6" t="inlineStr">
        <is>
          <t>How it is calculated:</t>
        </is>
      </c>
      <c r="D46" s="119" t="str">
        <f>HYPERLINK("#Method!A1","Method  ►")</f>
        <v>Method  ►</v>
      </c>
      <c r="L46" s="5" t="s">
        <v>115</v>
      </c>
      <c r="M46" s="5" t="s">
        <v>114</v>
      </c>
      <c r="N46" s="5" t="s">
        <v>391</v>
      </c>
      <c r="O46" s="5" t="s">
        <v>544</v>
      </c>
      <c r="P46" s="5" t="s">
        <v>64</v>
      </c>
    </row>
    <row r="47" ht="21" customHeight="1" spans="2:16" x14ac:dyDescent="0.2">
      <c r="B47" s="6" t="inlineStr">
        <is>
          <t>Unit costs:</t>
        </is>
      </c>
      <c r="D47" s="119" t="str">
        <f>HYPERLINK("#Pay_Items!A1","Pay_Items  ►")</f>
        <v>Pay_Items  ►</v>
      </c>
      <c r="L47" s="5" t="s">
        <v>448</v>
      </c>
      <c r="M47" s="5" t="s">
        <v>418</v>
      </c>
      <c r="N47" s="5" t="s">
        <v>417</v>
      </c>
      <c r="O47" s="5" t="s">
        <v>545</v>
      </c>
      <c r="P47" s="5" t="s">
        <v>64</v>
      </c>
    </row>
    <row r="48" ht="21" customHeight="1" spans="2:16" x14ac:dyDescent="0.2">
      <c r="B48" s="6" t="inlineStr">
        <is>
          <t>Maintenance policies:</t>
        </is>
      </c>
      <c r="D48" s="119"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M1" s="211" t="inlineStr">
        <is>
          <t>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ht="6" customHeight="1"/>
    <row r="114" ht="6" customHeight="1"/>
    <row r="115" ht="6" customHeight="1"/>
    <row r="116" ht="6" customHeight="1"/>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2">
    <mergeCell ref="G10:R10"/>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
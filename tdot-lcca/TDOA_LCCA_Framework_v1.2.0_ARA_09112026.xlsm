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sheets/sheet1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Summary!$A$1:$U$78</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<sst xmlns="http://schemas.openxmlformats.org/spreadsheetml/2006/main" count="1480" uniqueCount="637">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</sst>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s>
  <fonts count="34"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1F4E9C"/>
      <sz val="9"/>
      <u val="single"/>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25">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2">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5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xfId="0" fontId="29" applyFont="1" fillId="21" applyFill="1" applyAlignment="1">
      <alignment horizontal="left" vertical="center" indent="1"/>
    </xf>
    <xf numFmtId="0" xfId="0" fontId="30" applyFont="1" fillId="22" applyFill="1" applyAlignment="1">
      <alignment horizontal="left" vertical="top" wrapText="1" indent="1"/>
    </xf>
    <xf numFmtId="0" xfId="0" fontId="31" applyFont="1" fillId="23" applyFill="1" borderId="40" applyBorder="1" applyAlignment="1">
      <alignment horizontal="left" vertical="center" wrapText="1" indent="1"/>
    </xf>
    <xf numFmtId="0" xfId="0" fontId="32" applyFont="1" fillId="24" applyFill="1" borderId="41" applyBorder="1" applyAlignment="1">
      <alignment horizontal="left" vertical="center"/>
    </xf>
    <xf numFmtId="0" xfId="0" fontId="33"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4" Type="http://schemas.openxmlformats.org/officeDocument/2006/relationships/worksheet" Target="worksheets/sheet1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53"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49" t="inlineStr">
        <is>
          <t>HOW TO USE THIS WORKBOOK</t>
        </is>
      </c>
    </row>
    <row r="3" ht="15" customHeight="1">
      <c r="F3" s="150"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52" t="s">
        <v>93</v>
      </c>
      <c r="C8" s="152"/>
      <c r="D8" s="152"/>
      <c r="E8" s="152"/>
      <c r="L8" s="7" t="s">
        <v>246</v>
      </c>
      <c r="M8" s="7" t="s">
        <v>245</v>
      </c>
      <c r="N8" s="7" t="s">
        <v>509</v>
      </c>
      <c r="O8" s="7" t="s">
        <v>510</v>
      </c>
      <c r="P8" s="7" t="s">
        <v>247</v>
      </c>
      <c r="Q8" s="7" t="s">
        <v>250</v>
      </c>
      <c r="S8" s="5" t="s">
        <v>455</v>
      </c>
    </row>
    <row r="9" spans="2:19" x14ac:dyDescent="0.2" ht="28" customHeight="1">
      <c r="C9" s="5" t="s">
        <v>87</v>
      </c>
      <c r="D9" s="73"/>
      <c r="F9" s="151"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52" t="s">
        <v>94</v>
      </c>
      <c r="C20" s="152"/>
      <c r="D20" s="152"/>
      <c r="E20" s="152"/>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38"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38" t="inlineStr">
        <is>
          <t xml:space="preserve">Length x width / 9. TN GA: 4,000-6,000 ft x 75-100 ft wide.</t>
        </is>
      </c>
      <c r="L26" s="5" t="s">
        <v>152</v>
      </c>
      <c r="M26" s="5" t="s">
        <v>151</v>
      </c>
      <c r="N26" s="5" t="s">
        <v>384</v>
      </c>
      <c r="O26" s="5" t="s">
        <v>527</v>
      </c>
      <c r="P26" s="5" t="s">
        <v>65</v>
      </c>
    </row>
    <row r="27" spans="2:19" x14ac:dyDescent="0.2">
      <c r="C27" s="5" t="s">
        <v>269</v>
      </c>
      <c r="D27" s="73"/>
      <c r="F27" s="138" t="inlineStr">
        <is>
          <t xml:space="preserve">Paved shoulders only; usually 0 at TN GA airports.</t>
        </is>
      </c>
      <c r="L27" s="5" t="s">
        <v>113</v>
      </c>
      <c r="M27" s="5" t="s">
        <v>112</v>
      </c>
      <c r="N27" s="5" t="s">
        <v>385</v>
      </c>
      <c r="O27" s="5" t="s">
        <v>528</v>
      </c>
      <c r="P27" s="5" t="s">
        <v>66</v>
      </c>
    </row>
    <row r="28" spans="2:19" x14ac:dyDescent="0.2">
      <c r="C28" s="5" t="s">
        <v>270</v>
      </c>
      <c r="D28" s="73"/>
      <c r="F28" s="138"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52" t="s">
        <v>252</v>
      </c>
      <c r="C32" s="152"/>
      <c r="D32" s="152"/>
      <c r="E32" s="152"/>
      <c r="L32" s="5" t="s">
        <v>238</v>
      </c>
      <c r="M32" s="5" t="s">
        <v>237</v>
      </c>
      <c r="N32" s="5" t="s">
        <v>429</v>
      </c>
      <c r="O32" s="5" t="s">
        <v>533</v>
      </c>
      <c r="P32" s="5" t="s">
        <v>64</v>
      </c>
    </row>
    <row r="33" spans="2:16" x14ac:dyDescent="0.2">
      <c r="C33" s="5" t="s">
        <v>253</v>
      </c>
      <c r="D33" s="88">
        <v>30</v>
      </c>
      <c r="F33" s="138"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38" t="inlineStr">
        <is>
          <t xml:space="preserve">TDOT 3%. FAA uses the OMB A-94 real rate, 2.0% in 2026.</t>
        </is>
      </c>
      <c r="L34" s="5" t="s">
        <v>173</v>
      </c>
      <c r="M34" s="5" t="s">
        <v>172</v>
      </c>
      <c r="N34" s="5" t="s">
        <v>411</v>
      </c>
      <c r="O34" s="5" t="s">
        <v>518</v>
      </c>
      <c r="P34" s="5" t="s">
        <v>65</v>
      </c>
    </row>
    <row r="35" spans="2:16" x14ac:dyDescent="0.2">
      <c r="C35" s="5" t="s">
        <v>254</v>
      </c>
      <c r="D35" s="153"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38" t="inlineStr">
        <is>
          <t xml:space="preserve">Percent of pay items; workbook default 10.</t>
        </is>
      </c>
      <c r="L36" s="5" t="s">
        <v>160</v>
      </c>
      <c r="M36" s="5" t="s">
        <v>159</v>
      </c>
      <c r="N36" s="5" t="s">
        <v>389</v>
      </c>
      <c r="O36" s="5" t="s">
        <v>536</v>
      </c>
      <c r="P36" s="5" t="s">
        <v>66</v>
      </c>
    </row>
    <row r="37" spans="2:16" x14ac:dyDescent="0.2">
      <c r="C37" s="5" t="s">
        <v>258</v>
      </c>
      <c r="D37" s="88">
        <v>5</v>
      </c>
      <c r="F37" s="138"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38"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5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5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53"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5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77"/>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X$4</f>
        <v/>
      </c>
      <c r="Y11" s="124">
        <f>Y$4</f>
        <v/>
      </c>
      <c r="Z11" s="124">
        <f>Z$4</f>
        <v/>
      </c>
      <c r="AA11" s="124">
        <f>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6">
        <f>HYPERLINK("#'General Information'!D9","◄ General Information")</f>
        <v/>
      </c>
      <c r="B1" s="137">
        <f>HYPERLINK("#Summary!G1","Summary")</f>
        <v/>
      </c>
    </row>
    <row r="2">
      <c r="A2" s="138" t="inlineStr">
        <is>
          <t>Reference sheet: nothing here feeds the calculation.</t>
        </is>
      </c>
    </row>
    <row r="3">
      <c r="A3" s="139" t="inlineStr">
        <is>
          <t>TYPICAL VALUES AND HELPERS FOR THE INPUTS</t>
        </is>
      </c>
    </row>
    <row r="4" ht="30" customHeight="1">
      <c r="A4" s="140"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1" t="inlineStr">
        <is>
          <t>1. What TDOT Aeronautics manages (context for project size)</t>
        </is>
      </c>
      <c r="B6" s="142" t="n"/>
      <c r="C6" s="142" t="n"/>
      <c r="D6" s="142" t="n"/>
      <c r="E6" s="142" t="n"/>
      <c r="F6" s="142" t="n"/>
      <c r="G6" s="142" t="n"/>
    </row>
    <row r="7">
      <c r="A7" s="143" t="inlineStr">
        <is>
          <t>Item</t>
        </is>
      </c>
      <c r="B7" s="143" t="inlineStr">
        <is>
          <t>Value</t>
        </is>
      </c>
      <c r="C7" s="143" t="inlineStr">
        <is>
          <t>Unit</t>
        </is>
      </c>
      <c r="D7" s="143" t="inlineStr">
        <is>
          <t>Year</t>
        </is>
      </c>
      <c r="E7" s="143" t="inlineStr"/>
      <c r="F7" s="143" t="inlineStr"/>
      <c r="G7" s="143" t="inlineStr">
        <is>
          <t>Source</t>
        </is>
      </c>
    </row>
    <row r="8">
      <c r="A8" s="144" t="inlineStr">
        <is>
          <t>Public-use airports in the Tennessee system (TASP 2040)</t>
        </is>
      </c>
      <c r="B8" s="145" t="n">
        <v>78</v>
      </c>
      <c r="C8" s="144" t="inlineStr">
        <is>
          <t>airports</t>
        </is>
      </c>
      <c r="D8" s="146" t="n">
        <v>2021</v>
      </c>
      <c r="E8" s="144" t="inlineStr"/>
      <c r="F8" s="144" t="inlineStr"/>
      <c r="G8" s="147">
        <f>HYPERLINK("https://www.tasp2040.com/wp-content/uploads/2021/03/Updated-TASP-Inventory-Existing-System-Conditions-March-2021-v3.pdf","https://www.tasp2040.com/wp-content/uploads/2021/03/Updated-TASP-Inven")</f>
        <v/>
      </c>
    </row>
    <row r="9">
      <c r="A9" s="144" t="inlineStr">
        <is>
          <t>Commercial service / general aviation</t>
        </is>
      </c>
      <c r="B9" s="144" t="inlineStr">
        <is>
          <t>6 / 72</t>
        </is>
      </c>
      <c r="C9" s="144" t="inlineStr">
        <is>
          <t>airports</t>
        </is>
      </c>
      <c r="D9" s="146" t="n">
        <v>2021</v>
      </c>
      <c r="E9" s="144" t="inlineStr"/>
      <c r="F9" s="144" t="inlineStr"/>
      <c r="G9" s="147">
        <f>HYPERLINK("https://www.tasp2040.com/wp-content/uploads/2021/03/Updated-TASP-Inventory-Existing-System-Conditions-March-2021-v3.pdf","https://www.tasp2040.com/wp-content/uploads/2021/03/Updated-TASP-Inven")</f>
        <v/>
      </c>
    </row>
    <row r="10">
      <c r="A10" s="144" t="inlineStr">
        <is>
          <t>Airports in the FAA NPIAS (eligible for AIP)</t>
        </is>
      </c>
      <c r="B10" s="145" t="n">
        <v>69</v>
      </c>
      <c r="C10" s="144" t="inlineStr">
        <is>
          <t>airports</t>
        </is>
      </c>
      <c r="D10" s="146" t="n">
        <v>2021</v>
      </c>
      <c r="E10" s="144" t="inlineStr"/>
      <c r="F10" s="144" t="inlineStr"/>
      <c r="G10" s="147">
        <f>HYPERLINK("https://www.tasp2040.com/wp-content/uploads/2020/12/Chapter-7-Airport-Classifications-and-NPIAS-Evaluation.pdf","https://www.tasp2040.com/wp-content/uploads/2020/12/Chapter-7-Airport-")</f>
        <v/>
      </c>
    </row>
    <row r="11">
      <c r="A11" s="144" t="inlineStr">
        <is>
          <t>Airports in the TDOT pavement management network (APTech APMS, PCI per ASTM D5340)</t>
        </is>
      </c>
      <c r="B11" s="144" t="inlineStr">
        <is>
          <t>~70</t>
        </is>
      </c>
      <c r="C11" s="144" t="inlineStr">
        <is>
          <t>airports</t>
        </is>
      </c>
      <c r="D11" s="146" t="n">
        <v>2022</v>
      </c>
      <c r="E11" s="144" t="inlineStr"/>
      <c r="F11" s="144" t="inlineStr"/>
      <c r="G11" s="147">
        <f>HYPERLINK("https://www.appliedpavement.com/tennessee-apms","https://www.appliedpavement.com/tennessee-apms")</f>
        <v/>
      </c>
    </row>
    <row r="12">
      <c r="A12" s="144" t="inlineStr">
        <is>
          <t>PCI performance objective, runways / taxiways</t>
        </is>
      </c>
      <c r="B12" s="144" t="inlineStr">
        <is>
          <t>78 / 75</t>
        </is>
      </c>
      <c r="C12" s="144" t="inlineStr">
        <is>
          <t>PCI</t>
        </is>
      </c>
      <c r="D12" s="146" t="n">
        <v>2021</v>
      </c>
      <c r="E12" s="144" t="inlineStr"/>
      <c r="F12" s="144" t="inlineStr"/>
      <c r="G12" s="147">
        <f>HYPERLINK("https://www.tn.gov/content/dam/tn/tdot/aeronautics/TN%20Airport%20Management%20Guide%20FINAL.pdf","https://www.tn.gov/content/dam/tn/tdot/aeronautics/TN%20Airport%20Mana")</f>
        <v/>
      </c>
    </row>
    <row r="13">
      <c r="A13" s="144" t="inlineStr">
        <is>
          <t>TASP system-wide estimate: pavement rehabilitation (10-yr life goal)</t>
        </is>
      </c>
      <c r="B13" s="145" t="n">
        <v>70865874</v>
      </c>
      <c r="C13" s="144" t="inlineStr">
        <is>
          <t>$</t>
        </is>
      </c>
      <c r="D13" s="146" t="n">
        <v>2021</v>
      </c>
      <c r="E13" s="144" t="inlineStr"/>
      <c r="F13" s="144" t="inlineStr"/>
      <c r="G13" s="147">
        <f>HYPERLINK("https://www.tasp2040.com/wp-content/uploads/2021/09/TASP-Cost-Estimate-Chapter.pdf","https://www.tasp2040.com/wp-content/uploads/2021/09/TASP-Cost-Estimate")</f>
        <v/>
      </c>
    </row>
    <row r="14">
      <c r="A14" s="144" t="inlineStr">
        <is>
          <t>TASP system-wide estimate: pavement new / reconstruction (20-yr life goal)</t>
        </is>
      </c>
      <c r="B14" s="145" t="n">
        <v>173117648</v>
      </c>
      <c r="C14" s="144" t="inlineStr">
        <is>
          <t>$</t>
        </is>
      </c>
      <c r="D14" s="146" t="n">
        <v>2021</v>
      </c>
      <c r="E14" s="144" t="inlineStr"/>
      <c r="F14" s="144" t="inlineStr"/>
      <c r="G14" s="147">
        <f>HYPERLINK("https://www.tasp2040.com/wp-content/uploads/2021/09/TASP-Cost-Estimate-Chapter.pdf","https://www.tasp2040.com/wp-content/uploads/2021/09/TASP-Cost-Estimate")</f>
        <v/>
      </c>
    </row>
    <row r="15">
      <c r="A15" s="144" t="inlineStr">
        <is>
          <t>State share on GA capital projects (federal or state funded)</t>
        </is>
      </c>
      <c r="B15" s="144" t="inlineStr">
        <is>
          <t>up to 90% (10% local); 95/5 on federal discretionary</t>
        </is>
      </c>
      <c r="C15" s="144" t="inlineStr"/>
      <c r="D15" s="146" t="n">
        <v>2023</v>
      </c>
      <c r="E15" s="144" t="inlineStr"/>
      <c r="F15" s="144" t="inlineStr"/>
      <c r="G15" s="147">
        <f>HYPERLINK("https://www.tn.gov/content/dam/tn/tdot/documents/170-02.pdf","https://www.tn.gov/content/dam/tn/tdot/documents/170-02.pdf")</f>
        <v/>
      </c>
    </row>
    <row r="16">
      <c r="A16" s="144" t="inlineStr">
        <is>
          <t>Statewide Airfield Pavement and Marking Maintenance Program (crack seal, seal coat, markings)</t>
        </is>
      </c>
      <c r="B16" s="144" t="inlineStr">
        <is>
          <t>100% state funded, no local share</t>
        </is>
      </c>
      <c r="C16" s="144" t="inlineStr"/>
      <c r="D16" s="146" t="n">
        <v>2024</v>
      </c>
      <c r="E16" s="144" t="inlineStr"/>
      <c r="F16" s="144" t="inlineStr"/>
      <c r="G16" s="147">
        <f>HYPERLINK("https://www.tn.gov/tdot/aeronautics/apmm-contract.html","https://www.tn.gov/tdot/aeronautics/apmm-contract.html")</f>
        <v/>
      </c>
    </row>
    <row r="17">
      <c r="A17" s="144" t="inlineStr">
        <is>
          <t>Pavement areas and PCI by airport (statewide tables)</t>
        </is>
      </c>
      <c r="B17" s="144" t="inlineStr">
        <is>
          <t>see APTech IDEA portal</t>
        </is>
      </c>
      <c r="C17" s="144" t="inlineStr"/>
      <c r="D17" s="146" t="n">
        <v>2022</v>
      </c>
      <c r="E17" s="144" t="inlineStr"/>
      <c r="F17" s="144" t="inlineStr"/>
      <c r="G17" s="147">
        <f>HYPERLINK("https://idea.appliedpavement.com/hosting/tennessee/statewide-summary/inventory-area/area-by-airport-table.html","https://idea.appliedpavement.com/hosting/tennessee/statewide-summary/i")</f>
        <v/>
      </c>
    </row>
    <row r="18">
      <c r="A18" s="144" t="inlineStr">
        <is>
          <t>NPIAS 2025-2029 classification of each TN airport (National / Regional / Local / Basic)</t>
        </is>
      </c>
      <c r="B18" s="144" t="inlineStr">
        <is>
          <t>see Appendix A</t>
        </is>
      </c>
      <c r="C18" s="144" t="inlineStr"/>
      <c r="D18" s="146" t="n">
        <v>2024</v>
      </c>
      <c r="E18" s="144" t="inlineStr"/>
      <c r="F18" s="144" t="inlineStr"/>
      <c r="G18" s="147">
        <f>HYPERLINK("https://www.faa.gov/sites/faa.gov/files/airports/planning_capacity/npias/current/ARP-NPIAS-2025-2029-Appendix-A.pdf","https://www.faa.gov/sites/faa.gov/files/airports/planning_capacity/npi")</f>
        <v/>
      </c>
    </row>
    <row r="19" ht="26" customHeight="1">
      <c r="A19" s="140" t="inlineStr">
        <is>
          <t>The workbook dropdown holds the TASP airports (count in the live section below). The 17 airports with revenue data are those meeting Aeronautics' activity criteria.</t>
        </is>
      </c>
    </row>
    <row r="21">
      <c r="A21" s="141" t="inlineStr">
        <is>
          <t>2. Typical runway geometry at Tennessee GA airports (for D26 mainline area and D28 markings)</t>
        </is>
      </c>
      <c r="B21" s="142" t="n"/>
      <c r="C21" s="142" t="n"/>
      <c r="D21" s="142" t="n"/>
      <c r="E21" s="142" t="n"/>
      <c r="F21" s="142" t="n"/>
      <c r="G21" s="142" t="n"/>
    </row>
    <row r="22">
      <c r="A22" s="143" t="inlineStr">
        <is>
          <t>Airport</t>
        </is>
      </c>
      <c r="B22" s="143" t="inlineStr">
        <is>
          <t>Runway</t>
        </is>
      </c>
      <c r="C22" s="143" t="inlineStr">
        <is>
          <t>Length x width (ft)</t>
        </is>
      </c>
      <c r="D22" s="143" t="inlineStr">
        <is>
          <t>Mainline area (SY)</t>
        </is>
      </c>
      <c r="E22" s="143" t="inlineStr">
        <is>
          <t>Role</t>
        </is>
      </c>
      <c r="F22" s="143" t="inlineStr">
        <is>
          <t>Note</t>
        </is>
      </c>
      <c r="G22" s="143" t="inlineStr">
        <is>
          <t>Source</t>
        </is>
      </c>
    </row>
    <row r="23">
      <c r="A23" s="144" t="inlineStr">
        <is>
          <t>Murfreesboro Municipal (MBT)</t>
        </is>
      </c>
      <c r="B23" s="144" t="inlineStr">
        <is>
          <t>18/36</t>
        </is>
      </c>
      <c r="C23" s="144" t="inlineStr">
        <is>
          <t>4,753 x 100</t>
        </is>
      </c>
      <c r="D23" s="145" t="n">
        <v>52811</v>
      </c>
      <c r="E23" s="144" t="inlineStr">
        <is>
          <t>GA, Middle</t>
        </is>
      </c>
      <c r="F23" s="144" t="inlineStr">
        <is>
          <t>workbook MBT run used 52,778 SY</t>
        </is>
      </c>
      <c r="G23" s="147">
        <f>HYPERLINK("https://en.wikipedia.org/wiki/Murfreesboro_Municipal_Airport","https://en.wikipedia.org/wiki/Murfreesboro_Municipal_Airport")</f>
        <v/>
      </c>
    </row>
    <row r="24">
      <c r="A24" s="144" t="inlineStr">
        <is>
          <t>Bomar Field, Shelbyville (SYI)</t>
        </is>
      </c>
      <c r="B24" s="144" t="inlineStr">
        <is>
          <t>18/36</t>
        </is>
      </c>
      <c r="C24" s="144" t="inlineStr">
        <is>
          <t>5,503 x 100</t>
        </is>
      </c>
      <c r="D24" s="145" t="n">
        <v>61144</v>
      </c>
      <c r="E24" s="144" t="inlineStr">
        <is>
          <t>GA, Middle</t>
        </is>
      </c>
      <c r="F24" s="144" t="inlineStr"/>
      <c r="G24" s="147">
        <f>HYPERLINK("https://en.wikipedia.org/wiki/Shelbyville_Municipal_Airport_(Tennessee)","https://en.wikipedia.org/wiki/Shelbyville_Municipal_Airport_(Tennessee")</f>
        <v/>
      </c>
    </row>
    <row r="25">
      <c r="A25" s="144" t="inlineStr">
        <is>
          <t>Gatlinburg-Pigeon Forge (GKT)</t>
        </is>
      </c>
      <c r="B25" s="144" t="inlineStr">
        <is>
          <t>10/28</t>
        </is>
      </c>
      <c r="C25" s="144" t="inlineStr">
        <is>
          <t>5,506 x 75</t>
        </is>
      </c>
      <c r="D25" s="145" t="n">
        <v>45883</v>
      </c>
      <c r="E25" s="144" t="inlineStr">
        <is>
          <t>GA, East</t>
        </is>
      </c>
      <c r="F25" s="144" t="inlineStr">
        <is>
          <t>75-ft width</t>
        </is>
      </c>
      <c r="G25" s="147">
        <f>HYPERLINK("https://en.wikipedia.org/wiki/Gatlinburg%E2%80%93Pigeon_Forge_Airport","https://en.wikipedia.org/wiki/Gatlinburg%E2%80%93Pigeon_Forge_Airport")</f>
        <v/>
      </c>
    </row>
    <row r="26">
      <c r="A26" s="144" t="inlineStr">
        <is>
          <t>Outlaw Field, Clarksville (CKV)</t>
        </is>
      </c>
      <c r="B26" s="144" t="inlineStr">
        <is>
          <t>17/35</t>
        </is>
      </c>
      <c r="C26" s="144" t="inlineStr">
        <is>
          <t>5,999 x 100</t>
        </is>
      </c>
      <c r="D26" s="145" t="n">
        <v>66656</v>
      </c>
      <c r="E26" s="144" t="inlineStr">
        <is>
          <t>GA, Middle</t>
        </is>
      </c>
      <c r="F26" s="144" t="inlineStr">
        <is>
          <t>used in the new-project test</t>
        </is>
      </c>
      <c r="G26" s="147">
        <f>HYPERLINK("https://en.wikipedia.org/wiki/Clarksville%E2%80%93Montgomery_County_Regional_Airport","https://en.wikipedia.org/wiki/Clarksville%E2%80%93Montgomery_County_Re")</f>
        <v/>
      </c>
    </row>
    <row r="27">
      <c r="A27" s="144" t="inlineStr">
        <is>
          <t>McKellar-Sipes Regional (MKL)</t>
        </is>
      </c>
      <c r="B27" s="144" t="inlineStr">
        <is>
          <t>2/20</t>
        </is>
      </c>
      <c r="C27" s="144" t="inlineStr">
        <is>
          <t>6,005 x 150</t>
        </is>
      </c>
      <c r="D27" s="145" t="n">
        <v>100083</v>
      </c>
      <c r="E27" s="144" t="inlineStr">
        <is>
          <t>GA, West</t>
        </is>
      </c>
      <c r="F27" s="144" t="inlineStr">
        <is>
          <t>rebuilt 2024, ~$28M all-in</t>
        </is>
      </c>
      <c r="G27" s="147">
        <f>HYPERLINK("https://www.wbbjtv.com/2024/08/28/mckellar-sipes-regional-airport-set-to-complete-runway-2-20-paving-preparing-for-new-jet-service/","https://www.wbbjtv.com/2024/08/28/mckellar-sipes-regional-airport-set-")</f>
        <v/>
      </c>
    </row>
    <row r="28">
      <c r="A28" s="144" t="inlineStr">
        <is>
          <t>Smyrna (MQY)</t>
        </is>
      </c>
      <c r="B28" s="144" t="inlineStr">
        <is>
          <t>1/19</t>
        </is>
      </c>
      <c r="C28" s="144" t="inlineStr">
        <is>
          <t>5,546 x 100</t>
        </is>
      </c>
      <c r="D28" s="145" t="n">
        <v>61622</v>
      </c>
      <c r="E28" s="144" t="inlineStr">
        <is>
          <t>GA, Middle</t>
        </is>
      </c>
      <c r="F28" s="144" t="inlineStr">
        <is>
          <t>reconstructed 2025, ~$13M all-in</t>
        </is>
      </c>
      <c r="G28" s="147">
        <f>HYPERLINK("https://www.smyrnaairport.com/news-events/smyrna-airport-runway-119-grand-opening","https://www.smyrnaairport.com/news-events/smyrna-airport-runway-119-gr")</f>
        <v/>
      </c>
    </row>
    <row r="29">
      <c r="A29" s="144" t="inlineStr">
        <is>
          <t>Smyrna (MQY)</t>
        </is>
      </c>
      <c r="B29" s="144" t="inlineStr">
        <is>
          <t>14/32</t>
        </is>
      </c>
      <c r="C29" s="144" t="inlineStr">
        <is>
          <t>8,038 x 150</t>
        </is>
      </c>
      <c r="D29" s="145" t="n">
        <v>133967</v>
      </c>
      <c r="E29" s="144" t="inlineStr">
        <is>
          <t>GA, Middle</t>
        </is>
      </c>
      <c r="F29" s="144" t="inlineStr">
        <is>
          <t>former military</t>
        </is>
      </c>
      <c r="G29" s="147">
        <f>HYPERLINK("https://en.wikipedia.org/wiki/Smyrna_Airport_(Tennessee)","https://en.wikipedia.org/wiki/Smyrna_Airport_(Tennessee)")</f>
        <v/>
      </c>
    </row>
    <row r="30">
      <c r="A30" s="144" t="inlineStr">
        <is>
          <t>Typical TN GA runway</t>
        </is>
      </c>
      <c r="B30" s="144" t="inlineStr"/>
      <c r="C30" s="144" t="inlineStr">
        <is>
          <t>4,000 to 6,000 x 75 or 100</t>
        </is>
      </c>
      <c r="D30" s="144" t="inlineStr">
        <is>
          <t>33,000 to 67,000</t>
        </is>
      </c>
      <c r="E30" s="144" t="inlineStr"/>
      <c r="F30" s="144" t="inlineStr">
        <is>
          <t>TASP Regional Service minimum width 100 ft</t>
        </is>
      </c>
      <c r="G30" s="147">
        <f>HYPERLINK("https://www.tasp2040.com/wp-content/uploads/2020/12/Chapter-7-Airport-Classifications-and-NPIAS-Evaluation.pdf","https://www.tasp2040.com/wp-content/uploads/2020/12/Chapter-7-Airport-")</f>
        <v/>
      </c>
    </row>
    <row r="31">
      <c r="A31" s="144" t="inlineStr">
        <is>
          <t>Markings area rule of thumb</t>
        </is>
      </c>
      <c r="B31" s="144" t="inlineStr"/>
      <c r="C31" s="144" t="inlineStr"/>
      <c r="D31" s="144" t="inlineStr"/>
      <c r="E31" s="144" t="inlineStr"/>
      <c r="F31" s="144" t="inlineStr">
        <is>
          <t>2,000 to 3,000 SF per 1,000 ft of runway for a full runway marking set (centerline, thresholds, designators, aiming points, TDZ where applicable); use the marking plan quantity when available</t>
        </is>
      </c>
      <c r="G31" s="144" t="inlineStr">
        <is>
          <t>engineering judgement; verify with the marking plan</t>
        </is>
      </c>
    </row>
    <row r="32" ht="26" customHeight="1">
      <c r="A32" s="140" t="inlineStr">
        <is>
          <t>Mainline area = length x width / 9. Shoulders (D27) are usually unpaved at TN GA airports; enter paved shoulders only. Area drives the closure-day defaults on the alternative sheets.</t>
        </is>
      </c>
    </row>
    <row r="34">
      <c r="A34" s="141" t="inlineStr">
        <is>
          <t>3. Unit costs: workbook defaults (Pay_Items, column F) against recent bids</t>
        </is>
      </c>
      <c r="B34" s="142" t="n"/>
      <c r="C34" s="142" t="n"/>
      <c r="D34" s="142" t="n"/>
      <c r="E34" s="142" t="n"/>
      <c r="F34" s="142" t="n"/>
      <c r="G34" s="142" t="n"/>
    </row>
    <row r="35">
      <c r="A35" s="143" t="inlineStr">
        <is>
          <t>Pay item</t>
        </is>
      </c>
      <c r="B35" s="143" t="inlineStr">
        <is>
          <t>Workbook default (live)</t>
        </is>
      </c>
      <c r="C35" s="143" t="inlineStr">
        <is>
          <t>Unit</t>
        </is>
      </c>
      <c r="D35" s="143" t="inlineStr">
        <is>
          <t>Recent bid range</t>
        </is>
      </c>
      <c r="E35" s="143" t="inlineStr">
        <is>
          <t>Year</t>
        </is>
      </c>
      <c r="F35" s="143" t="inlineStr">
        <is>
          <t>Reading</t>
        </is>
      </c>
      <c r="G35" s="143" t="inlineStr">
        <is>
          <t>Source</t>
        </is>
      </c>
    </row>
    <row r="36">
      <c r="A36" s="144" t="inlineStr">
        <is>
          <t>P-401 Asphalt Surface Course</t>
        </is>
      </c>
      <c r="B36" s="148">
        <f>IFERROR(VLOOKUP("Asphalt Surface Course",Pay_Items!$D:$F,3,0),"")</f>
        <v/>
      </c>
      <c r="C36" s="144" t="inlineStr">
        <is>
          <t>$/ton</t>
        </is>
      </c>
      <c r="D36" s="144" t="inlineStr">
        <is>
          <t>185 (low bid) to 232 (engineer's estimate)</t>
        </is>
      </c>
      <c r="E36" s="145" t="n">
        <v>2025</v>
      </c>
      <c r="F36" s="144" t="inlineStr">
        <is>
          <t>Workbook default looks low against 2025 southeastern bids; confirm before relying on the default</t>
        </is>
      </c>
      <c r="G36" s="147">
        <f>HYPERLINK("https://aeronautics.sc.gov/sites/default/files/2025-05/250521_FLO_Rehab_Twy_A.pdf","https://aeronautics.sc.gov/sites/default/files/2025-05/250521_FLO_Reha")</f>
        <v/>
      </c>
    </row>
    <row r="37">
      <c r="A37" s="144" t="inlineStr">
        <is>
          <t>P-401 Asphalt Base Course</t>
        </is>
      </c>
      <c r="B37" s="148">
        <f>IFERROR(VLOOKUP("Asphalt Base Course",Pay_Items!$D:$F,3,0),"")</f>
        <v/>
      </c>
      <c r="C37" s="144" t="inlineStr">
        <is>
          <t>$/ton</t>
        </is>
      </c>
      <c r="D37" s="144" t="inlineStr">
        <is>
          <t>typically 5 to 10% below surface course</t>
        </is>
      </c>
      <c r="E37" s="144" t="inlineStr"/>
      <c r="F37" s="144" t="inlineStr"/>
      <c r="G37" s="147">
        <f>HYPERLINK("https://aeronautics.sc.gov/airport-development/sc-airport-capital-project-bid-tabulations","https://aeronautics.sc.gov/airport-development/sc-airport-capital-proj")</f>
        <v/>
      </c>
    </row>
    <row r="38">
      <c r="A38" s="144" t="inlineStr">
        <is>
          <t>P-501 Concrete Pavement, 9-inch</t>
        </is>
      </c>
      <c r="B38" s="148">
        <f>IFERROR(VLOOKUP("Concrete Pavement, 9-inch",Pay_Items!$D:$F,3,0),"")</f>
        <v/>
      </c>
      <c r="C38" s="144" t="inlineStr">
        <is>
          <t>$/SY</t>
        </is>
      </c>
      <c r="D38" s="144" t="inlineStr">
        <is>
          <t>165 (8-in doweled apron, planning value)</t>
        </is>
      </c>
      <c r="E38" s="145" t="n">
        <v>2023</v>
      </c>
      <c r="F38" s="144" t="inlineStr">
        <is>
          <t>Planning value from another state DOT; obtain a TN or southeastern PCC bid before use</t>
        </is>
      </c>
      <c r="G38" s="147">
        <f>HYPERLINK("https://www.dot.state.mn.us/aero/planning/documents/sasp/saspappendixf.pdf","https://www.dot.state.mn.us/aero/planning/documents/sasp/saspappendixf")</f>
        <v/>
      </c>
    </row>
    <row r="39">
      <c r="A39" s="144" t="inlineStr">
        <is>
          <t>P-209 Crushed Aggregate Base Course</t>
        </is>
      </c>
      <c r="B39" s="148">
        <f>IFERROR(VLOOKUP("Crushed Aggregate Base Course",Pay_Items!$D:$F,3,0),"")</f>
        <v/>
      </c>
      <c r="C39" s="144" t="inlineStr">
        <is>
          <t>$/CY</t>
        </is>
      </c>
      <c r="D39" s="144" t="inlineStr">
        <is>
          <t>not found in open sources; see SC bid tabs</t>
        </is>
      </c>
      <c r="E39" s="144" t="inlineStr"/>
      <c r="F39" s="144" t="inlineStr"/>
      <c r="G39" s="147">
        <f>HYPERLINK("https://aeronautics.sc.gov/airport-development/sc-airport-capital-project-bid-tabulations","https://aeronautics.sc.gov/airport-development/sc-airport-capital-proj")</f>
        <v/>
      </c>
    </row>
    <row r="40">
      <c r="A40" s="144" t="inlineStr">
        <is>
          <t>P-154 Subbase Course</t>
        </is>
      </c>
      <c r="B40" s="148">
        <f>IFERROR(VLOOKUP("Subbase Course",Pay_Items!$D:$F,3,0),"")</f>
        <v/>
      </c>
      <c r="C40" s="144" t="inlineStr">
        <is>
          <t>$/CY</t>
        </is>
      </c>
      <c r="D40" s="144" t="inlineStr">
        <is>
          <t>not found in open sources; see SC bid tabs</t>
        </is>
      </c>
      <c r="E40" s="144" t="inlineStr"/>
      <c r="F40" s="144" t="inlineStr"/>
      <c r="G40" s="147">
        <f>HYPERLINK("https://aeronautics.sc.gov/airport-development/sc-airport-capital-project-bid-tabulations","https://aeronautics.sc.gov/airport-development/sc-airport-capital-proj")</f>
        <v/>
      </c>
    </row>
    <row r="41">
      <c r="A41" s="144" t="inlineStr">
        <is>
          <t>P-101 Cold Milling</t>
        </is>
      </c>
      <c r="B41" s="148">
        <f>IFERROR(VLOOKUP("Cold Milling",Pay_Items!$D:$F,3,0),"")</f>
        <v/>
      </c>
      <c r="C41" s="144" t="inlineStr">
        <is>
          <t>$/SY</t>
        </is>
      </c>
      <c r="D41" s="144" t="inlineStr">
        <is>
          <t>4.70 (3-in, low bid) to 10.00 (variable depth, EE)</t>
        </is>
      </c>
      <c r="E41" s="145" t="n">
        <v>2025</v>
      </c>
      <c r="F41" s="144" t="inlineStr"/>
      <c r="G41" s="147">
        <f>HYPERLINK("https://aeronautics.sc.gov/sites/default/files/2025-05/250521_FLO_Rehab_Twy_A.pdf","https://aeronautics.sc.gov/sites/default/files/2025-05/250521_FLO_Reha")</f>
        <v/>
      </c>
    </row>
    <row r="42">
      <c r="A42" s="144" t="inlineStr">
        <is>
          <t>P-608 Emulsified Asphalt Surface Treatment</t>
        </is>
      </c>
      <c r="B42" s="148">
        <f>IFERROR(VLOOKUP("Emulsified Asphalt Surface Treatment",Pay_Items!$D:$F,3,0),"")</f>
        <v/>
      </c>
      <c r="C42" s="144" t="inlineStr">
        <is>
          <t>$/SY</t>
        </is>
      </c>
      <c r="D42" s="144" t="inlineStr">
        <is>
          <t>TDOT APMM 2022 Summary of Bids</t>
        </is>
      </c>
      <c r="E42" s="145" t="n">
        <v>2022</v>
      </c>
      <c r="F42" s="144" t="inlineStr">
        <is>
          <t>State maintenance contract prices apply to seal coats and crack sealing</t>
        </is>
      </c>
      <c r="G42" s="147">
        <f>HYPERLINK("https://www.tn.gov/tdot/aeronautics/apmm-contract.html","https://www.tn.gov/tdot/aeronautics/apmm-contract.html")</f>
        <v/>
      </c>
    </row>
    <row r="43">
      <c r="A43" s="144" t="inlineStr">
        <is>
          <t>P-620 Markings (reflective)</t>
        </is>
      </c>
      <c r="B43" s="148">
        <f>IFERROR(VLOOKUP("Markings (prep, markings, reflective media)",Pay_Items!$D:$F,3,0),"")</f>
        <v/>
      </c>
      <c r="C43" s="144" t="inlineStr">
        <is>
          <t>$/SF</t>
        </is>
      </c>
      <c r="D43" s="144" t="inlineStr">
        <is>
          <t>TDOT APMM 2022 Summary of Bids</t>
        </is>
      </c>
      <c r="E43" s="145" t="n">
        <v>2022</v>
      </c>
      <c r="F43" s="144" t="inlineStr"/>
      <c r="G43" s="147">
        <f>HYPERLINK("https://www.tn.gov/tdot/aeronautics/apmm-contract.html","https://www.tn.gov/tdot/aeronautics/apmm-contract.html")</f>
        <v/>
      </c>
    </row>
    <row r="44">
      <c r="A44" s="144" t="inlineStr">
        <is>
          <t>All-in runway reconstruction, TN 2024-2025 (pavement + lighting + grading)</t>
        </is>
      </c>
      <c r="B44" s="144" t="inlineStr"/>
      <c r="C44" s="144" t="inlineStr">
        <is>
          <t>$/SY</t>
        </is>
      </c>
      <c r="D44" s="144" t="inlineStr">
        <is>
          <t>210 (Smyrna 1/19) to 280 (MKL 2/20)</t>
        </is>
      </c>
      <c r="E44" s="145" t="n">
        <v>2025</v>
      </c>
      <c r="F44" s="144" t="inlineStr">
        <is>
          <t>Project-level figures; the LCCA compares pavement pay items only</t>
        </is>
      </c>
      <c r="G44" s="147">
        <f>HYPERLINK("https://www.smyrnaairport.com/news-events/smyrna-airport-runway-119-grand-opening","https://www.smyrnaairport.com/news-events/smyrna-airport-runway-119-gr")</f>
        <v/>
      </c>
    </row>
    <row r="45">
      <c r="A45" s="144" t="inlineStr">
        <is>
          <t>State maintenance project example (Dyersburg): &gt;200,000 LF crack seal, &gt;121,000 SY seal coat, markings</t>
        </is>
      </c>
      <c r="B45" s="145" t="n">
        <v>820000</v>
      </c>
      <c r="C45" s="144" t="inlineStr">
        <is>
          <t>$</t>
        </is>
      </c>
      <c r="D45" s="144" t="inlineStr"/>
      <c r="E45" s="145" t="n">
        <v>2023</v>
      </c>
      <c r="F45" s="144" t="inlineStr">
        <is>
          <t>about $5/SY of runway treated</t>
        </is>
      </c>
      <c r="G45" s="147">
        <f>HYPERLINK("https://www.stategazette.com/news/regional-airport-receives-state-grant/article_5fd852fd-1d67-525c-b6fc-b32fbc676bdc.html","https://www.stategazette.com/news/regional-airport-receives-state-gran")</f>
        <v/>
      </c>
    </row>
    <row r="46" ht="26" customHeight="1">
      <c r="A46" s="140"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1" t="inlineStr">
        <is>
          <t>4. Closure-day defaults built into the alternative sheets (cells F4:F10; override with project-specific values)</t>
        </is>
      </c>
      <c r="B48" s="142" t="n"/>
      <c r="C48" s="142" t="n"/>
      <c r="D48" s="142" t="n"/>
      <c r="E48" s="142" t="n"/>
      <c r="F48" s="142" t="n"/>
      <c r="G48" s="142" t="n"/>
    </row>
    <row r="49">
      <c r="A49" s="143" t="inlineStr">
        <is>
          <t>Operation</t>
        </is>
      </c>
      <c r="B49" s="143" t="inlineStr">
        <is>
          <t>Production rate in the formula</t>
        </is>
      </c>
      <c r="C49" s="143" t="inlineStr">
        <is>
          <t>Days for a 6,000 x 100 ft runway (66,667 SY, 15,000 SF markings)</t>
        </is>
      </c>
      <c r="D49" s="143" t="inlineStr">
        <is>
          <t>Where used</t>
        </is>
      </c>
      <c r="E49" s="143" t="inlineStr">
        <is>
          <t>Note</t>
        </is>
      </c>
      <c r="F49" s="143" t="inlineStr"/>
      <c r="G49" s="143" t="inlineStr">
        <is>
          <t>Source</t>
        </is>
      </c>
    </row>
    <row r="50">
      <c r="A50" s="144" t="inlineStr">
        <is>
          <t>Surface treatment (seal coat)</t>
        </is>
      </c>
      <c r="B50" s="144" t="inlineStr">
        <is>
          <t>15,000 SY/day</t>
        </is>
      </c>
      <c r="C50" s="144">
        <f>ROUNDUP(66667/15000,0)</f>
        <v/>
      </c>
      <c r="D50" s="144" t="inlineStr">
        <is>
          <t>HMA Maintenance 1-6</t>
        </is>
      </c>
      <c r="E50" s="144" t="inlineStr">
        <is>
          <t>each operation is rounded up to whole days</t>
        </is>
      </c>
      <c r="F50" s="144" t="inlineStr"/>
      <c r="G50" s="144" t="inlineStr">
        <is>
          <t>this workbook (MBT and SRB runs)</t>
        </is>
      </c>
    </row>
    <row r="51">
      <c r="A51" s="144" t="inlineStr">
        <is>
          <t>Markings: paint / layout and removal</t>
        </is>
      </c>
      <c r="B51" s="144" t="inlineStr">
        <is>
          <t>20,000 SF/day and 50,000 SF/day</t>
        </is>
      </c>
      <c r="C51" s="144">
        <f>ROUNDUP(15000/20000,0)+ROUNDUP(15000/50000,0)</f>
        <v/>
      </c>
      <c r="D51" s="144" t="inlineStr">
        <is>
          <t>every HMA activity</t>
        </is>
      </c>
      <c r="E51" s="144" t="inlineStr"/>
      <c r="F51" s="144" t="inlineStr"/>
      <c r="G51" s="144" t="inlineStr">
        <is>
          <t>this workbook</t>
        </is>
      </c>
    </row>
    <row r="52">
      <c r="A52" s="144" t="inlineStr">
        <is>
          <t>Patching</t>
        </is>
      </c>
      <c r="B52" s="144" t="inlineStr">
        <is>
          <t>10,000 SY of pavement per day at the policy rate (0.75% to 1.25% of area)</t>
        </is>
      </c>
      <c r="C52" s="144">
        <f>ROUNDUP(66667*0.0075/10000,0)</f>
        <v/>
      </c>
      <c r="D52" s="144" t="inlineStr">
        <is>
          <t>HMA Maintenance 3, 4, 6</t>
        </is>
      </c>
      <c r="E52" s="144" t="inlineStr"/>
      <c r="F52" s="144" t="inlineStr"/>
      <c r="G52" s="144" t="inlineStr">
        <is>
          <t>this workbook</t>
        </is>
      </c>
    </row>
    <row r="53">
      <c r="A53" s="144" t="inlineStr">
        <is>
          <t>Crack sealing</t>
        </is>
      </c>
      <c r="B53" s="144" t="inlineStr">
        <is>
          <t>5,000 SY of pavement per day at the policy rate (3.25% to 4% of area)</t>
        </is>
      </c>
      <c r="C53" s="144">
        <f>ROUNDUP(66667*0.0325/5000,0)</f>
        <v/>
      </c>
      <c r="D53" s="144" t="inlineStr">
        <is>
          <t>HMA Maintenance 3, 4, 6</t>
        </is>
      </c>
      <c r="E53" s="144" t="inlineStr"/>
      <c r="F53" s="144" t="inlineStr"/>
      <c r="G53" s="144" t="inlineStr">
        <is>
          <t>this workbook</t>
        </is>
      </c>
    </row>
    <row r="54">
      <c r="A54" s="144" t="inlineStr">
        <is>
          <t>Mill and overlay (4 in)</t>
        </is>
      </c>
      <c r="B54" s="144" t="inlineStr">
        <is>
          <t>3,800 SY/day</t>
        </is>
      </c>
      <c r="C54" s="144">
        <f>ROUNDUP(66667/3800,0)+ROUNDUP(15000/50000,0)</f>
        <v/>
      </c>
      <c r="D54" s="144" t="inlineStr">
        <is>
          <t>HMA Rehabilitation 1</t>
        </is>
      </c>
      <c r="E54" s="144" t="inlineStr">
        <is>
          <t>the largest HMA closure</t>
        </is>
      </c>
      <c r="F54" s="144" t="inlineStr"/>
      <c r="G54" s="144" t="inlineStr">
        <is>
          <t>this workbook</t>
        </is>
      </c>
    </row>
    <row r="55">
      <c r="A55" s="144" t="inlineStr">
        <is>
          <t>PCC joint resealing</t>
        </is>
      </c>
      <c r="B55" s="144" t="inlineStr">
        <is>
          <t>about 1 LF of joint per SY of slab, 10,000 LF/day</t>
        </is>
      </c>
      <c r="C55" s="144">
        <f>ROUNDUP(66667*550/(50*100/9)/10000,0)</f>
        <v/>
      </c>
      <c r="D55" s="144" t="inlineStr">
        <is>
          <t>PCC Maintenance 1 and Rehabilitation 1</t>
        </is>
      </c>
      <c r="E55" s="144" t="inlineStr"/>
      <c r="F55" s="144" t="inlineStr"/>
      <c r="G55" s="144" t="inlineStr">
        <is>
          <t>this workbook</t>
        </is>
      </c>
    </row>
    <row r="56">
      <c r="A56" s="144" t="inlineStr">
        <is>
          <t>PCC crack sealing, partial- and full-depth patching</t>
        </is>
      </c>
      <c r="B56" s="144" t="inlineStr">
        <is>
          <t>5,000 to 10,000 SY of pavement per day at the policy rate</t>
        </is>
      </c>
      <c r="C56" s="144">
        <f>ROUNDUP(66667*0.003/10000,0)+ROUNDUP(66667*0.0013/5000,0)+ROUNDUP(66667*0.0025/5000,0)</f>
        <v/>
      </c>
      <c r="D56" s="144" t="inlineStr">
        <is>
          <t>PCC Maintenance 1</t>
        </is>
      </c>
      <c r="E56" s="144" t="inlineStr"/>
      <c r="F56" s="144" t="inlineStr"/>
      <c r="G56" s="144" t="inlineStr">
        <is>
          <t>this workbook</t>
        </is>
      </c>
    </row>
    <row r="57">
      <c r="A57" s="144" t="inlineStr">
        <is>
          <t>PCC slab replacement (2% of area) + cure</t>
        </is>
      </c>
      <c r="B57" s="144" t="inlineStr">
        <is>
          <t>1,000 SY/day plus 7 days cure</t>
        </is>
      </c>
      <c r="C57" s="144">
        <f>ROUNDUP(66667*0.02/1000,0)+7</f>
        <v/>
      </c>
      <c r="D57" s="144" t="inlineStr">
        <is>
          <t>PCC Rehabilitation 1</t>
        </is>
      </c>
      <c r="E57" s="144" t="inlineStr">
        <is>
          <t>the largest PCC closure</t>
        </is>
      </c>
      <c r="F57" s="144" t="inlineStr"/>
      <c r="G57" s="144" t="inlineStr">
        <is>
          <t>this workbook</t>
        </is>
      </c>
    </row>
    <row r="58">
      <c r="A58" s="144" t="inlineStr">
        <is>
          <t>Typical totals over 30 years</t>
        </is>
      </c>
      <c r="B58" s="144" t="inlineStr"/>
      <c r="C58" s="144" t="inlineStr">
        <is>
          <t>HMA 57 to 67 days in 7 closures; PCC 27 to 29 days in 2 closures</t>
        </is>
      </c>
      <c r="D58" s="144" t="inlineStr">
        <is>
          <t>Summary column Q</t>
        </is>
      </c>
      <c r="E58" s="144" t="inlineStr">
        <is>
          <t>MBT (52,778 SY) and CKV test (66,667 SY)</t>
        </is>
      </c>
      <c r="F58" s="144" t="inlineStr"/>
      <c r="G58" s="144" t="inlineStr">
        <is>
          <t>this workbook</t>
        </is>
      </c>
    </row>
    <row r="59" ht="26" customHeight="1">
      <c r="A59" s="140"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1" t="inlineStr">
        <is>
          <t>5. Economic parameters (D33 analysis period, D34 discount rate, salvage)</t>
        </is>
      </c>
      <c r="B61" s="142" t="n"/>
      <c r="C61" s="142" t="n"/>
      <c r="D61" s="142" t="n"/>
      <c r="E61" s="142" t="n"/>
      <c r="F61" s="142" t="n"/>
      <c r="G61" s="142" t="n"/>
    </row>
    <row r="62">
      <c r="A62" s="143" t="inlineStr">
        <is>
          <t>Parameter</t>
        </is>
      </c>
      <c r="B62" s="143" t="inlineStr">
        <is>
          <t>Value</t>
        </is>
      </c>
      <c r="C62" s="143" t="inlineStr">
        <is>
          <t>Applies to</t>
        </is>
      </c>
      <c r="D62" s="143" t="inlineStr">
        <is>
          <t>Year</t>
        </is>
      </c>
      <c r="E62" s="143" t="inlineStr"/>
      <c r="F62" s="143" t="inlineStr">
        <is>
          <t>Reading</t>
        </is>
      </c>
      <c r="G62" s="143" t="inlineStr">
        <is>
          <t>Source</t>
        </is>
      </c>
    </row>
    <row r="63">
      <c r="A63" s="144" t="inlineStr">
        <is>
          <t>TDOT policy discount rate (workbook default)</t>
        </is>
      </c>
      <c r="B63" s="148">
        <f>'General Information'!$D$34</f>
        <v/>
      </c>
      <c r="C63" s="144" t="inlineStr">
        <is>
          <t>%</t>
        </is>
      </c>
      <c r="D63" s="144" t="inlineStr"/>
      <c r="E63" s="144" t="inlineStr"/>
      <c r="F63" s="144" t="inlineStr">
        <is>
          <t>live from General Information D34</t>
        </is>
      </c>
      <c r="G63" s="144" t="inlineStr">
        <is>
          <t>this workbook</t>
        </is>
      </c>
    </row>
    <row r="64">
      <c r="A64" s="144" t="inlineStr">
        <is>
          <t>TDOT policy analysis period (workbook default)</t>
        </is>
      </c>
      <c r="B64" s="148">
        <f>'General Information'!$D$33</f>
        <v/>
      </c>
      <c r="C64" s="144" t="inlineStr">
        <is>
          <t>years</t>
        </is>
      </c>
      <c r="D64" s="144" t="inlineStr"/>
      <c r="E64" s="144" t="inlineStr"/>
      <c r="F64" s="144" t="inlineStr">
        <is>
          <t>live from General Information D33</t>
        </is>
      </c>
      <c r="G64" s="144" t="inlineStr">
        <is>
          <t>this workbook</t>
        </is>
      </c>
    </row>
    <row r="65">
      <c r="A65" s="144" t="inlineStr">
        <is>
          <t>FAA AIP: discount rate for pavement cost-effectiveness (PGL 22-01, June 2022)</t>
        </is>
      </c>
      <c r="B65" s="144" t="inlineStr">
        <is>
          <t>OMB Circular A-94 Appendix C real rate for the analysis period</t>
        </is>
      </c>
      <c r="C65" s="144" t="inlineStr">
        <is>
          <t>%</t>
        </is>
      </c>
      <c r="D65" s="146" t="n">
        <v>2022</v>
      </c>
      <c r="E65" s="144" t="inlineStr"/>
      <c r="F65" s="144" t="inlineStr">
        <is>
          <t>Replaced the fixed 7% rule; the analysis period is now the engineer's choice (the fixed 20-year requirement was removed)</t>
        </is>
      </c>
      <c r="G65" s="147">
        <f>HYPERLINK("https://www.faa.gov/airports/aip/guidance_letters/aip_pgl_22_01","https://www.faa.gov/airports/aip/guidance_letters/aip_pgl_22_01")</f>
        <v/>
      </c>
    </row>
    <row r="66">
      <c r="A66" s="144" t="inlineStr">
        <is>
          <t>OMB A-94 Appendix C real rate, 20-year and 30-year (calendar 2026)</t>
        </is>
      </c>
      <c r="B66" s="145" t="n">
        <v>2</v>
      </c>
      <c r="C66" s="144" t="inlineStr">
        <is>
          <t>%</t>
        </is>
      </c>
      <c r="D66" s="146" t="n">
        <v>2026</v>
      </c>
      <c r="E66" s="144" t="inlineStr"/>
      <c r="F66" s="144" t="inlineStr">
        <is>
          <t>Revised March 2026 (OMB memo M-26-09); 2025 values were 1.8% (10-yr) and 2.3% (30-yr)</t>
        </is>
      </c>
      <c r="G66" s="147">
        <f>HYPERLINK("https://www.whitehouse.gov/wp-content/uploads/2026/03/CircularA-94Appendix-C.pdf","https://www.whitehouse.gov/wp-content/uploads/2026/03/CircularA-94Appe")</f>
        <v/>
      </c>
    </row>
    <row r="67">
      <c r="A67" s="144" t="inlineStr">
        <is>
          <t>Legacy FAA AIP rule before PGL 22-01</t>
        </is>
      </c>
      <c r="B67" s="144" t="inlineStr">
        <is>
          <t>7% and 20 years</t>
        </is>
      </c>
      <c r="C67" s="144" t="inlineStr"/>
      <c r="D67" s="146" t="n">
        <v>2014</v>
      </c>
      <c r="E67" s="144" t="inlineStr"/>
      <c r="F67" s="144" t="inlineStr">
        <is>
          <t>AIP Handbook (Order 5100.38D) pavement LCCA table; also the 1992 A-94 benefit-cost base case reinstated by OMB M-25-23 (April 2025) for BCA, not for cost-effectiveness</t>
        </is>
      </c>
      <c r="G67" s="147">
        <f>HYPERLINK("https://www.whitehouse.gov/wp-content/uploads/2025/02/M-25-23-Rescission-and-Reinstatement-of-Circular-No.-A-94.pdf","https://www.whitehouse.gov/wp-content/uploads/2025/02/M-25-23-Rescissi")</f>
        <v/>
      </c>
    </row>
    <row r="68">
      <c r="A68" s="144" t="inlineStr">
        <is>
          <t>FAA AC 150/5320-6E Appendix 1 (superseded)</t>
        </is>
      </c>
      <c r="B68" s="144" t="inlineStr">
        <is>
          <t>4% and 20 years; straight-line residual value</t>
        </is>
      </c>
      <c r="C68" s="144" t="inlineStr"/>
      <c r="D68" s="146" t="n">
        <v>2009</v>
      </c>
      <c r="E68" s="144" t="inlineStr"/>
      <c r="F68" s="144" t="inlineStr">
        <is>
          <t>Dropped in 6F/6G; still widely cited</t>
        </is>
      </c>
      <c r="G68" s="147">
        <f>HYPERLINK("https://www.faa.gov/documentLibrary/media/Advisory_Circular/150_5320_6e_part4.pdf","https://www.faa.gov/documentLibrary/media/Advisory_Circular/150_5320_6")</f>
        <v/>
      </c>
    </row>
    <row r="69">
      <c r="A69" s="144" t="inlineStr">
        <is>
          <t>AAPTP 06-06 airport LCCA guide (Auburn/NCAT)</t>
        </is>
      </c>
      <c r="B69" s="144" t="inlineStr">
        <is>
          <t>4%, 20 years, NPW, remaining-life salvage; user cost includes lost airport revenue</t>
        </is>
      </c>
      <c r="C69" s="144" t="inlineStr"/>
      <c r="D69" s="146" t="n">
        <v>2011</v>
      </c>
      <c r="E69" s="144" t="inlineStr"/>
      <c r="F69" s="144" t="inlineStr">
        <is>
          <t>Basis for the "airport daily revenue" approach used here</t>
        </is>
      </c>
      <c r="G69" s="147">
        <f>HYPERLINK("https://www.eng.auburn.edu/research/centers/ncat/files/aaptp/Report.Final.06-06.pdf","https://www.eng.auburn.edu/research/centers/ncat/files/aaptp/Report.Fi")</f>
        <v/>
      </c>
    </row>
    <row r="70">
      <c r="A70" s="144" t="inlineStr">
        <is>
          <t>Caltrans LCCA manual / RealCost</t>
        </is>
      </c>
      <c r="B70" s="144" t="inlineStr">
        <is>
          <t>4% real; 20 / 35 / 55 years (CAPM / rehabilitation / new construction)</t>
        </is>
      </c>
      <c r="C70" s="144" t="inlineStr"/>
      <c r="D70" s="146" t="n">
        <v>2013</v>
      </c>
      <c r="E70" s="144" t="inlineStr"/>
      <c r="F70" s="144" t="inlineStr">
        <is>
          <t>Agency and user costs reported as present value and EUAC; the Summary comparison block follows that layout</t>
        </is>
      </c>
      <c r="G70" s="147">
        <f>HYPERLINK("https://dot.ca.gov/-/media/dot-media/programs/maintenance/documents/office-of-concrete-pavement/life-cycle-cost-analysis/lcca-25ca-manual-final-aug-1-2013-v2-a11y.pdf","https://dot.ca.gov/-/media/dot-media/programs/maintenance/documents/of")</f>
        <v/>
      </c>
    </row>
    <row r="71">
      <c r="A71" s="144" t="inlineStr">
        <is>
          <t>Structural design life (FAARFIELD, AC 150/5320-6G)</t>
        </is>
      </c>
      <c r="B71" s="145" t="n">
        <v>20</v>
      </c>
      <c r="C71" s="144" t="inlineStr">
        <is>
          <t>years</t>
        </is>
      </c>
      <c r="D71" s="146" t="n">
        <v>2021</v>
      </c>
      <c r="E71" s="144" t="inlineStr"/>
      <c r="F71" s="144" t="inlineStr">
        <is>
          <t>design life, not service life</t>
        </is>
      </c>
      <c r="G71" s="147">
        <f>HYPERLINK("https://www.faa.gov/documentLibrary/media/Advisory_Circular/150-5320-6G-Pavement-Design.pdf","https://www.faa.gov/documentLibrary/media/Advisory_Circular/150-5320-6")</f>
        <v/>
      </c>
    </row>
    <row r="72">
      <c r="A72" s="144" t="inlineStr">
        <is>
          <t>Salvage: HMA</t>
        </is>
      </c>
      <c r="B72" s="148">
        <f>'Maintenance Policies'!$D$32</f>
        <v/>
      </c>
      <c r="C72" s="144" t="inlineStr">
        <is>
          <t>fraction of the last mill-and-overlay</t>
        </is>
      </c>
      <c r="D72" s="144" t="inlineStr"/>
      <c r="E72" s="144" t="inlineStr"/>
      <c r="F72" s="144" t="inlineStr">
        <is>
          <t>live from Maintenance Policies D32 (policy: 2 of 16 years remaining)</t>
        </is>
      </c>
      <c r="G72" s="144" t="inlineStr">
        <is>
          <t>this workbook</t>
        </is>
      </c>
    </row>
    <row r="73">
      <c r="A73" s="144" t="inlineStr">
        <is>
          <t>Salvage: PCC</t>
        </is>
      </c>
      <c r="B73" s="148">
        <f>'Maintenance Policies'!$D$46</f>
        <v/>
      </c>
      <c r="C73" s="144" t="inlineStr">
        <is>
          <t>fraction of initial construction</t>
        </is>
      </c>
      <c r="D73" s="144" t="inlineStr"/>
      <c r="E73" s="144" t="inlineStr"/>
      <c r="F73" s="144" t="inlineStr">
        <is>
          <t>live from Maintenance Policies D46 (policy: 10 of 40 years remaining)</t>
        </is>
      </c>
      <c r="G73" s="144" t="inlineStr">
        <is>
          <t>this workbook</t>
        </is>
      </c>
    </row>
    <row r="74">
      <c r="A74" s="144" t="inlineStr">
        <is>
          <t>Salvage method in FAA / AAPTP guidance</t>
        </is>
      </c>
      <c r="B74" s="144" t="inlineStr">
        <is>
          <t>remaining life / expected life x cost of the last treatment (straight line)</t>
        </is>
      </c>
      <c r="C74" s="144" t="inlineStr"/>
      <c r="D74" s="146" t="n">
        <v>2011</v>
      </c>
      <c r="E74" s="144" t="inlineStr"/>
      <c r="F74" s="144" t="inlineStr">
        <is>
          <t>the workbook policy follows this form; the fractions above are the policy decision flagged in the change notes</t>
        </is>
      </c>
      <c r="G74" s="147">
        <f>HYPERLINK("https://www.eng.auburn.edu/research/centers/ncat/files/aaptp/Report.Final.06-06.pdf","https://www.eng.auburn.edu/research/centers/ncat/files/aaptp/Report.Fi")</f>
        <v/>
      </c>
    </row>
    <row r="75" ht="26" customHeight="1">
      <c r="A75" s="140" t="inlineStr">
        <is>
          <t>The Summary sensitivity chart runs 2% to 8% so both the current FAA rate (about 2%) and the legacy 7% are on the curve. G10 on the Summary states whether the lowest-cost alternative changes at either rate.</t>
        </is>
      </c>
    </row>
    <row r="77">
      <c r="A77" s="141" t="inlineStr">
        <is>
          <t>6. Maintenance timing and service life (Maintenance Policies sheet against published experience)</t>
        </is>
      </c>
      <c r="B77" s="142" t="n"/>
      <c r="C77" s="142" t="n"/>
      <c r="D77" s="142" t="n"/>
      <c r="E77" s="142" t="n"/>
      <c r="F77" s="142" t="n"/>
      <c r="G77" s="142" t="n"/>
    </row>
    <row r="78">
      <c r="A78" s="143" t="inlineStr">
        <is>
          <t>Item</t>
        </is>
      </c>
      <c r="B78" s="143" t="inlineStr">
        <is>
          <t>Workbook policy (live)</t>
        </is>
      </c>
      <c r="C78" s="143" t="inlineStr">
        <is>
          <t>Published range</t>
        </is>
      </c>
      <c r="D78" s="143" t="inlineStr">
        <is>
          <t>Year</t>
        </is>
      </c>
      <c r="E78" s="143" t="inlineStr"/>
      <c r="F78" s="143" t="inlineStr">
        <is>
          <t>Reading</t>
        </is>
      </c>
      <c r="G78" s="143" t="inlineStr">
        <is>
          <t>Source</t>
        </is>
      </c>
    </row>
    <row r="79">
      <c r="A79" s="144" t="inlineStr">
        <is>
          <t>HMA surface treatment / markings</t>
        </is>
      </c>
      <c r="B79" s="148">
        <f>"years "&amp;'Maintenance Policies'!$E$10&amp;", "&amp;'Maintenance Policies'!$E$12&amp;", "&amp;'Maintenance Policies'!$E$26</f>
        <v/>
      </c>
      <c r="C79" s="144" t="inlineStr">
        <is>
          <t>preventive-maintenance window PCI 60-80; inspect PCI every 3 years (AIP airports)</t>
        </is>
      </c>
      <c r="D79" s="146" t="n">
        <v>2014</v>
      </c>
      <c r="E79" s="144" t="inlineStr"/>
      <c r="F79" s="144" t="inlineStr">
        <is>
          <t>FAA ACs give the PCI window, not fixed year intervals; 4-year cycles are the TDOT policy</t>
        </is>
      </c>
      <c r="G79" s="147">
        <f>HYPERLINK("https://www.faa.gov/documentlibrary/media/advisory_circular/150-5380-7b.pdf","https://www.faa.gov/documentlibrary/media/advisory_circular/150-5380-7")</f>
        <v/>
      </c>
    </row>
    <row r="80">
      <c r="A80" s="144" t="inlineStr">
        <is>
          <t>HMA patching + crack sealing + treatment</t>
        </is>
      </c>
      <c r="B80" s="148">
        <f>"years "&amp;'Maintenance Policies'!$E$14&amp;", "&amp;'Maintenance Policies'!$E$18&amp;", "&amp;'Maintenance Policies'!$E$28</f>
        <v/>
      </c>
      <c r="C80" s="144" t="inlineStr">
        <is>
          <t>crack sealing, patching, seal coats per AC 150/5380-6C</t>
        </is>
      </c>
      <c r="D80" s="146" t="n">
        <v>2014</v>
      </c>
      <c r="E80" s="144" t="inlineStr"/>
      <c r="F80" s="144" t="inlineStr"/>
      <c r="G80" s="147">
        <f>HYPERLINK("https://www.faa.gov/documentlibrary/media/advisory_circular/150-5380-6c.pdf","https://www.faa.gov/documentlibrary/media/advisory_circular/150-5380-6")</f>
        <v/>
      </c>
    </row>
    <row r="81">
      <c r="A81" s="144" t="inlineStr">
        <is>
          <t>HMA mill and overlay</t>
        </is>
      </c>
      <c r="B81" s="148">
        <f>"year "&amp;'Maintenance Policies'!$E$22</f>
        <v/>
      </c>
      <c r="C81" s="144" t="inlineStr">
        <is>
          <t>asphalt runways reach PCI 70 in about 12 to 15 years (FAA 2014 performance trends)</t>
        </is>
      </c>
      <c r="D81" s="146" t="n">
        <v>2014</v>
      </c>
      <c r="E81" s="144" t="inlineStr"/>
      <c r="F81" s="144" t="inlineStr">
        <is>
          <t>policy year 20 is at the optimistic end of the published range</t>
        </is>
      </c>
      <c r="G81" s="147">
        <f>HYPERLINK("https://www.acpa.org/wp-content/uploads/2025/03/ACPA-Achieving-the-Goals-of-the-FAAs-Extended-Airport-Pavement-Life-Program.pdf","https://www.acpa.org/wp-content/uploads/2025/03/ACPA-Achieving-the-Goa")</f>
        <v/>
      </c>
    </row>
    <row r="82">
      <c r="A82" s="144" t="inlineStr">
        <is>
          <t>PCC joint resealing + patching</t>
        </is>
      </c>
      <c r="B82" s="148">
        <f>"year "&amp;'Maintenance Policies'!$E$37</f>
        <v/>
      </c>
      <c r="C82" s="144" t="inlineStr">
        <is>
          <t>hot-pour sealant 3-8 yr; silicone 8-15 yr; compression seals 15-20 yr</t>
        </is>
      </c>
      <c r="D82" s="144" t="inlineStr"/>
      <c r="E82" s="144" t="inlineStr"/>
      <c r="F82" s="144" t="inlineStr">
        <is>
          <t>policy year 19 assumes silicone-class sealant life</t>
        </is>
      </c>
      <c r="G82" s="147">
        <f>HYPERLINK("https://www.tarmacview.com/glossary/joint-sealant/","https://www.tarmacview.com/glossary/joint-sealant/")</f>
        <v/>
      </c>
    </row>
    <row r="83">
      <c r="A83" s="144" t="inlineStr">
        <is>
          <t>PCC slab replacement (2%) + joints</t>
        </is>
      </c>
      <c r="B83" s="148">
        <f>"year "&amp;'Maintenance Policies'!$E$41</f>
        <v/>
      </c>
      <c r="C83" s="144" t="inlineStr">
        <is>
          <t>PCC runways reach PCI 70 at about 40 years (FAA 2014)</t>
        </is>
      </c>
      <c r="D83" s="146" t="n">
        <v>2014</v>
      </c>
      <c r="E83" s="144" t="inlineStr"/>
      <c r="F83" s="144" t="inlineStr"/>
      <c r="G83" s="147">
        <f>HYPERLINK("https://www.acpa.org/wp-content/uploads/2025/03/ACPA-Achieving-the-Goals-of-the-FAAs-Extended-Airport-Pavement-Life-Program.pdf","https://www.acpa.org/wp-content/uploads/2025/03/ACPA-Achieving-the-Goa")</f>
        <v/>
      </c>
    </row>
    <row r="84">
      <c r="A84" s="144" t="inlineStr">
        <is>
          <t>Expected service life</t>
        </is>
      </c>
      <c r="B84" s="144" t="inlineStr">
        <is>
          <t>HMA 20 yr design; PCC 30-40 yr</t>
        </is>
      </c>
      <c r="C84" s="144" t="inlineStr">
        <is>
          <t>FAA Extended Airport Pavement Life program targets 40 years</t>
        </is>
      </c>
      <c r="D84" s="146" t="n">
        <v>2024</v>
      </c>
      <c r="E84" s="144" t="inlineStr"/>
      <c r="F84" s="144" t="inlineStr"/>
      <c r="G84" s="147">
        <f>HYPERLINK("https://www.airporttech.tc.faa.gov/Portals/0/FactSheets/Extended%20Airport%20Pavement%20Life%20Factsheet_May%202024.pdf","https://www.airporttech.tc.faa.gov/Portals/0/FactSheets/Extended%20Air")</f>
        <v/>
      </c>
    </row>
    <row r="85">
      <c r="A85" s="144" t="inlineStr">
        <is>
          <t>Treatment fact sheets with life and cost by treatment</t>
        </is>
      </c>
      <c r="B85" s="144" t="inlineStr"/>
      <c r="C85" s="144" t="inlineStr">
        <is>
          <t>ACRP Report 159 (GA airports) and ACRP Synthesis 22</t>
        </is>
      </c>
      <c r="D85" s="146" t="n">
        <v>2016</v>
      </c>
      <c r="E85" s="144" t="inlineStr"/>
      <c r="F85" s="144" t="inlineStr">
        <is>
          <t>use for project-specific overrides of the policy years</t>
        </is>
      </c>
      <c r="G85" s="147">
        <f>HYPERLINK("https://nap.nationalacademies.org/catalog/23649/","https://nap.nationalacademies.org/catalog/23649/")</f>
        <v/>
      </c>
    </row>
    <row r="86">
      <c r="A86" s="144" t="inlineStr">
        <is>
          <t>Minimum layer thickness, AC 150/5320-6G</t>
        </is>
      </c>
      <c r="B86" s="144" t="inlineStr"/>
      <c r="C86" s="144" t="inlineStr">
        <is>
          <t>P-401 surface 4 in (&gt;= 12,500 lb); P-209 base 6 in; P-501 6 in (5 in under 12,500 lb)</t>
        </is>
      </c>
      <c r="D86" s="146" t="n">
        <v>2021</v>
      </c>
      <c r="E86" s="144" t="inlineStr"/>
      <c r="F86" s="144" t="inlineStr">
        <is>
          <t>check the pay-item quantities against these minimums</t>
        </is>
      </c>
      <c r="G86" s="147">
        <f>HYPERLINK("https://www.faa.gov/documentLibrary/media/Advisory_Circular/150-5320-6G-Pavement-Design.pdf","https://www.faa.gov/documentLibrary/media/Advisory_Circular/150-5320-6")</f>
        <v/>
      </c>
    </row>
    <row r="87" ht="26" customHeight="1">
      <c r="A87" s="140"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1" t="inlineStr">
        <is>
          <t>Airport daily revenue used for lost-revenue cost (the 17 airports with revenue data; live from RevenueData)</t>
        </is>
      </c>
      <c r="B89" s="142" t="n"/>
      <c r="C89" s="142" t="n"/>
      <c r="D89" s="142" t="n"/>
      <c r="E89" s="142" t="n"/>
      <c r="F89" s="142" t="n"/>
      <c r="G89" s="142" t="n"/>
    </row>
    <row r="90">
      <c r="A90" s="143" t="inlineStr">
        <is>
          <t>Airport ID</t>
        </is>
      </c>
      <c r="B90" s="143" t="inlineStr">
        <is>
          <t>Daily revenue ($/day)</t>
        </is>
      </c>
      <c r="C90" s="143" t="inlineStr">
        <is>
          <t>Lost revenue, 7-day closure ($)</t>
        </is>
      </c>
      <c r="D90" s="143" t="inlineStr">
        <is>
          <t>Lost revenue, 19-day closure ($)</t>
        </is>
      </c>
      <c r="E90" s="143" t="inlineStr">
        <is>
          <t>Columns holding text (counted as $0)</t>
        </is>
      </c>
      <c r="F90" s="143" t="inlineStr"/>
      <c r="G90" s="143" t="inlineStr">
        <is>
          <t>Source</t>
        </is>
      </c>
    </row>
    <row r="91">
      <c r="A91" s="144">
        <f>IF(RevenueData!A2="","",RevenueData!A2)</f>
        <v/>
      </c>
      <c r="B91" s="148">
        <f>IF(A91="","",SUMIF(RevenueData!$A:$A,A91,RevenueData!$B:$B)+SUMIF(RevenueData!$A:$A,A91,RevenueData!$C:$C)+SUMIF(RevenueData!$A:$A,A91,RevenueData!$D:$D)+SUMIF(RevenueData!$A:$A,A91,RevenueData!$E:$E)+SUMIF(RevenueData!$A:$A,A91,RevenueData!$F:$F)+SUMIF(RevenueData!$A:$A,A91,RevenueData!$G:$G)+SUMIF(RevenueData!$A:$A,A91,RevenueData!$H:$H))</f>
        <v/>
      </c>
      <c r="C91" s="144">
        <f>IF(A91="","",B91*7)</f>
        <v/>
      </c>
      <c r="D91" s="144">
        <f>IF(A91="","",B91*19)</f>
        <v/>
      </c>
      <c r="E91" s="144">
        <f>IF(A91="","",TRIM(IF(ISNUMBER(RevenueData!B2),"","100LL ")&amp;IF(ISNUMBER(RevenueData!C2),"","Jet-A ")&amp;IF(ISNUMBER(RevenueData!G2),"","tenant ")&amp;IF(ISNUMBER(RevenueData!H2),"","other")))</f>
        <v/>
      </c>
      <c r="F91" s="144" t="inlineStr"/>
      <c r="G91" s="144" t="inlineStr">
        <is>
          <t>RevenueData sheet in this workbook (hidden)</t>
        </is>
      </c>
    </row>
    <row r="92">
      <c r="A92" s="144">
        <f>IF(RevenueData!A3="","",RevenueData!A3)</f>
        <v/>
      </c>
      <c r="B92" s="148">
        <f>IF(A92="","",SUMIF(RevenueData!$A:$A,A92,RevenueData!$B:$B)+SUMIF(RevenueData!$A:$A,A92,RevenueData!$C:$C)+SUMIF(RevenueData!$A:$A,A92,RevenueData!$D:$D)+SUMIF(RevenueData!$A:$A,A92,RevenueData!$E:$E)+SUMIF(RevenueData!$A:$A,A92,RevenueData!$F:$F)+SUMIF(RevenueData!$A:$A,A92,RevenueData!$G:$G)+SUMIF(RevenueData!$A:$A,A92,RevenueData!$H:$H))</f>
        <v/>
      </c>
      <c r="C92" s="144">
        <f>IF(A92="","",B92*7)</f>
        <v/>
      </c>
      <c r="D92" s="144">
        <f>IF(A92="","",B92*19)</f>
        <v/>
      </c>
      <c r="E92" s="144">
        <f>IF(A92="","",TRIM(IF(ISNUMBER(RevenueData!B3),"","100LL ")&amp;IF(ISNUMBER(RevenueData!C3),"","Jet-A ")&amp;IF(ISNUMBER(RevenueData!G3),"","tenant ")&amp;IF(ISNUMBER(RevenueData!H3),"","other")))</f>
        <v/>
      </c>
      <c r="F92" s="144" t="inlineStr"/>
      <c r="G92" s="144" t="inlineStr">
        <is>
          <t>RevenueData sheet in this workbook (hidden)</t>
        </is>
      </c>
    </row>
    <row r="93">
      <c r="A93" s="144">
        <f>IF(RevenueData!A4="","",RevenueData!A4)</f>
        <v/>
      </c>
      <c r="B93" s="148">
        <f>IF(A93="","",SUMIF(RevenueData!$A:$A,A93,RevenueData!$B:$B)+SUMIF(RevenueData!$A:$A,A93,RevenueData!$C:$C)+SUMIF(RevenueData!$A:$A,A93,RevenueData!$D:$D)+SUMIF(RevenueData!$A:$A,A93,RevenueData!$E:$E)+SUMIF(RevenueData!$A:$A,A93,RevenueData!$F:$F)+SUMIF(RevenueData!$A:$A,A93,RevenueData!$G:$G)+SUMIF(RevenueData!$A:$A,A93,RevenueData!$H:$H))</f>
        <v/>
      </c>
      <c r="C93" s="144">
        <f>IF(A93="","",B93*7)</f>
        <v/>
      </c>
      <c r="D93" s="144">
        <f>IF(A93="","",B93*19)</f>
        <v/>
      </c>
      <c r="E93" s="144">
        <f>IF(A93="","",TRIM(IF(ISNUMBER(RevenueData!B4),"","100LL ")&amp;IF(ISNUMBER(RevenueData!C4),"","Jet-A ")&amp;IF(ISNUMBER(RevenueData!G4),"","tenant ")&amp;IF(ISNUMBER(RevenueData!H4),"","other")))</f>
        <v/>
      </c>
      <c r="F93" s="144" t="inlineStr"/>
      <c r="G93" s="144" t="inlineStr">
        <is>
          <t>RevenueData sheet in this workbook (hidden)</t>
        </is>
      </c>
    </row>
    <row r="94">
      <c r="A94" s="144">
        <f>IF(RevenueData!A5="","",RevenueData!A5)</f>
        <v/>
      </c>
      <c r="B94" s="148">
        <f>IF(A94="","",SUMIF(RevenueData!$A:$A,A94,RevenueData!$B:$B)+SUMIF(RevenueData!$A:$A,A94,RevenueData!$C:$C)+SUMIF(RevenueData!$A:$A,A94,RevenueData!$D:$D)+SUMIF(RevenueData!$A:$A,A94,RevenueData!$E:$E)+SUMIF(RevenueData!$A:$A,A94,RevenueData!$F:$F)+SUMIF(RevenueData!$A:$A,A94,RevenueData!$G:$G)+SUMIF(RevenueData!$A:$A,A94,RevenueData!$H:$H))</f>
        <v/>
      </c>
      <c r="C94" s="144">
        <f>IF(A94="","",B94*7)</f>
        <v/>
      </c>
      <c r="D94" s="144">
        <f>IF(A94="","",B94*19)</f>
        <v/>
      </c>
      <c r="E94" s="144">
        <f>IF(A94="","",TRIM(IF(ISNUMBER(RevenueData!B5),"","100LL ")&amp;IF(ISNUMBER(RevenueData!C5),"","Jet-A ")&amp;IF(ISNUMBER(RevenueData!G5),"","tenant ")&amp;IF(ISNUMBER(RevenueData!H5),"","other")))</f>
        <v/>
      </c>
      <c r="F94" s="144" t="inlineStr"/>
      <c r="G94" s="144" t="inlineStr">
        <is>
          <t>RevenueData sheet in this workbook (hidden)</t>
        </is>
      </c>
    </row>
    <row r="95">
      <c r="A95" s="144">
        <f>IF(RevenueData!A6="","",RevenueData!A6)</f>
        <v/>
      </c>
      <c r="B95" s="148">
        <f>IF(A95="","",SUMIF(RevenueData!$A:$A,A95,RevenueData!$B:$B)+SUMIF(RevenueData!$A:$A,A95,RevenueData!$C:$C)+SUMIF(RevenueData!$A:$A,A95,RevenueData!$D:$D)+SUMIF(RevenueData!$A:$A,A95,RevenueData!$E:$E)+SUMIF(RevenueData!$A:$A,A95,RevenueData!$F:$F)+SUMIF(RevenueData!$A:$A,A95,RevenueData!$G:$G)+SUMIF(RevenueData!$A:$A,A95,RevenueData!$H:$H))</f>
        <v/>
      </c>
      <c r="C95" s="144">
        <f>IF(A95="","",B95*7)</f>
        <v/>
      </c>
      <c r="D95" s="144">
        <f>IF(A95="","",B95*19)</f>
        <v/>
      </c>
      <c r="E95" s="144">
        <f>IF(A95="","",TRIM(IF(ISNUMBER(RevenueData!B6),"","100LL ")&amp;IF(ISNUMBER(RevenueData!C6),"","Jet-A ")&amp;IF(ISNUMBER(RevenueData!G6),"","tenant ")&amp;IF(ISNUMBER(RevenueData!H6),"","other")))</f>
        <v/>
      </c>
      <c r="F95" s="144" t="inlineStr"/>
      <c r="G95" s="144" t="inlineStr">
        <is>
          <t>RevenueData sheet in this workbook (hidden)</t>
        </is>
      </c>
    </row>
    <row r="96">
      <c r="A96" s="144">
        <f>IF(RevenueData!A7="","",RevenueData!A7)</f>
        <v/>
      </c>
      <c r="B96" s="148">
        <f>IF(A96="","",SUMIF(RevenueData!$A:$A,A96,RevenueData!$B:$B)+SUMIF(RevenueData!$A:$A,A96,RevenueData!$C:$C)+SUMIF(RevenueData!$A:$A,A96,RevenueData!$D:$D)+SUMIF(RevenueData!$A:$A,A96,RevenueData!$E:$E)+SUMIF(RevenueData!$A:$A,A96,RevenueData!$F:$F)+SUMIF(RevenueData!$A:$A,A96,RevenueData!$G:$G)+SUMIF(RevenueData!$A:$A,A96,RevenueData!$H:$H))</f>
        <v/>
      </c>
      <c r="C96" s="144">
        <f>IF(A96="","",B96*7)</f>
        <v/>
      </c>
      <c r="D96" s="144">
        <f>IF(A96="","",B96*19)</f>
        <v/>
      </c>
      <c r="E96" s="144">
        <f>IF(A96="","",TRIM(IF(ISNUMBER(RevenueData!B7),"","100LL ")&amp;IF(ISNUMBER(RevenueData!C7),"","Jet-A ")&amp;IF(ISNUMBER(RevenueData!G7),"","tenant ")&amp;IF(ISNUMBER(RevenueData!H7),"","other")))</f>
        <v/>
      </c>
      <c r="F96" s="144" t="inlineStr"/>
      <c r="G96" s="144" t="inlineStr">
        <is>
          <t>RevenueData sheet in this workbook (hidden)</t>
        </is>
      </c>
    </row>
    <row r="97">
      <c r="A97" s="144">
        <f>IF(RevenueData!A8="","",RevenueData!A8)</f>
        <v/>
      </c>
      <c r="B97" s="148">
        <f>IF(A97="","",SUMIF(RevenueData!$A:$A,A97,RevenueData!$B:$B)+SUMIF(RevenueData!$A:$A,A97,RevenueData!$C:$C)+SUMIF(RevenueData!$A:$A,A97,RevenueData!$D:$D)+SUMIF(RevenueData!$A:$A,A97,RevenueData!$E:$E)+SUMIF(RevenueData!$A:$A,A97,RevenueData!$F:$F)+SUMIF(RevenueData!$A:$A,A97,RevenueData!$G:$G)+SUMIF(RevenueData!$A:$A,A97,RevenueData!$H:$H))</f>
        <v/>
      </c>
      <c r="C97" s="144">
        <f>IF(A97="","",B97*7)</f>
        <v/>
      </c>
      <c r="D97" s="144">
        <f>IF(A97="","",B97*19)</f>
        <v/>
      </c>
      <c r="E97" s="144">
        <f>IF(A97="","",TRIM(IF(ISNUMBER(RevenueData!B8),"","100LL ")&amp;IF(ISNUMBER(RevenueData!C8),"","Jet-A ")&amp;IF(ISNUMBER(RevenueData!G8),"","tenant ")&amp;IF(ISNUMBER(RevenueData!H8),"","other")))</f>
        <v/>
      </c>
      <c r="F97" s="144" t="inlineStr"/>
      <c r="G97" s="144" t="inlineStr">
        <is>
          <t>RevenueData sheet in this workbook (hidden)</t>
        </is>
      </c>
    </row>
    <row r="98">
      <c r="A98" s="144">
        <f>IF(RevenueData!A9="","",RevenueData!A9)</f>
        <v/>
      </c>
      <c r="B98" s="148">
        <f>IF(A98="","",SUMIF(RevenueData!$A:$A,A98,RevenueData!$B:$B)+SUMIF(RevenueData!$A:$A,A98,RevenueData!$C:$C)+SUMIF(RevenueData!$A:$A,A98,RevenueData!$D:$D)+SUMIF(RevenueData!$A:$A,A98,RevenueData!$E:$E)+SUMIF(RevenueData!$A:$A,A98,RevenueData!$F:$F)+SUMIF(RevenueData!$A:$A,A98,RevenueData!$G:$G)+SUMIF(RevenueData!$A:$A,A98,RevenueData!$H:$H))</f>
        <v/>
      </c>
      <c r="C98" s="144">
        <f>IF(A98="","",B98*7)</f>
        <v/>
      </c>
      <c r="D98" s="144">
        <f>IF(A98="","",B98*19)</f>
        <v/>
      </c>
      <c r="E98" s="144">
        <f>IF(A98="","",TRIM(IF(ISNUMBER(RevenueData!B9),"","100LL ")&amp;IF(ISNUMBER(RevenueData!C9),"","Jet-A ")&amp;IF(ISNUMBER(RevenueData!G9),"","tenant ")&amp;IF(ISNUMBER(RevenueData!H9),"","other")))</f>
        <v/>
      </c>
      <c r="F98" s="144" t="inlineStr"/>
      <c r="G98" s="144" t="inlineStr">
        <is>
          <t>RevenueData sheet in this workbook (hidden)</t>
        </is>
      </c>
    </row>
    <row r="99">
      <c r="A99" s="144">
        <f>IF(RevenueData!A10="","",RevenueData!A10)</f>
        <v/>
      </c>
      <c r="B99" s="148">
        <f>IF(A99="","",SUMIF(RevenueData!$A:$A,A99,RevenueData!$B:$B)+SUMIF(RevenueData!$A:$A,A99,RevenueData!$C:$C)+SUMIF(RevenueData!$A:$A,A99,RevenueData!$D:$D)+SUMIF(RevenueData!$A:$A,A99,RevenueData!$E:$E)+SUMIF(RevenueData!$A:$A,A99,RevenueData!$F:$F)+SUMIF(RevenueData!$A:$A,A99,RevenueData!$G:$G)+SUMIF(RevenueData!$A:$A,A99,RevenueData!$H:$H))</f>
        <v/>
      </c>
      <c r="C99" s="144">
        <f>IF(A99="","",B99*7)</f>
        <v/>
      </c>
      <c r="D99" s="144">
        <f>IF(A99="","",B99*19)</f>
        <v/>
      </c>
      <c r="E99" s="144">
        <f>IF(A99="","",TRIM(IF(ISNUMBER(RevenueData!B10),"","100LL ")&amp;IF(ISNUMBER(RevenueData!C10),"","Jet-A ")&amp;IF(ISNUMBER(RevenueData!G10),"","tenant ")&amp;IF(ISNUMBER(RevenueData!H10),"","other")))</f>
        <v/>
      </c>
      <c r="F99" s="144" t="inlineStr"/>
      <c r="G99" s="144" t="inlineStr">
        <is>
          <t>RevenueData sheet in this workbook (hidden)</t>
        </is>
      </c>
    </row>
    <row r="100">
      <c r="A100" s="144">
        <f>IF(RevenueData!A11="","",RevenueData!A11)</f>
        <v/>
      </c>
      <c r="B100" s="148">
        <f>IF(A100="","",SUMIF(RevenueData!$A:$A,A100,RevenueData!$B:$B)+SUMIF(RevenueData!$A:$A,A100,RevenueData!$C:$C)+SUMIF(RevenueData!$A:$A,A100,RevenueData!$D:$D)+SUMIF(RevenueData!$A:$A,A100,RevenueData!$E:$E)+SUMIF(RevenueData!$A:$A,A100,RevenueData!$F:$F)+SUMIF(RevenueData!$A:$A,A100,RevenueData!$G:$G)+SUMIF(RevenueData!$A:$A,A100,RevenueData!$H:$H))</f>
        <v/>
      </c>
      <c r="C100" s="144">
        <f>IF(A100="","",B100*7)</f>
        <v/>
      </c>
      <c r="D100" s="144">
        <f>IF(A100="","",B100*19)</f>
        <v/>
      </c>
      <c r="E100" s="144">
        <f>IF(A100="","",TRIM(IF(ISNUMBER(RevenueData!B11),"","100LL ")&amp;IF(ISNUMBER(RevenueData!C11),"","Jet-A ")&amp;IF(ISNUMBER(RevenueData!G11),"","tenant ")&amp;IF(ISNUMBER(RevenueData!H11),"","other")))</f>
        <v/>
      </c>
      <c r="F100" s="144" t="inlineStr"/>
      <c r="G100" s="144" t="inlineStr">
        <is>
          <t>RevenueData sheet in this workbook (hidden)</t>
        </is>
      </c>
    </row>
    <row r="101">
      <c r="A101" s="144">
        <f>IF(RevenueData!A12="","",RevenueData!A12)</f>
        <v/>
      </c>
      <c r="B101" s="148">
        <f>IF(A101="","",SUMIF(RevenueData!$A:$A,A101,RevenueData!$B:$B)+SUMIF(RevenueData!$A:$A,A101,RevenueData!$C:$C)+SUMIF(RevenueData!$A:$A,A101,RevenueData!$D:$D)+SUMIF(RevenueData!$A:$A,A101,RevenueData!$E:$E)+SUMIF(RevenueData!$A:$A,A101,RevenueData!$F:$F)+SUMIF(RevenueData!$A:$A,A101,RevenueData!$G:$G)+SUMIF(RevenueData!$A:$A,A101,RevenueData!$H:$H))</f>
        <v/>
      </c>
      <c r="C101" s="144">
        <f>IF(A101="","",B101*7)</f>
        <v/>
      </c>
      <c r="D101" s="144">
        <f>IF(A101="","",B101*19)</f>
        <v/>
      </c>
      <c r="E101" s="144">
        <f>IF(A101="","",TRIM(IF(ISNUMBER(RevenueData!B12),"","100LL ")&amp;IF(ISNUMBER(RevenueData!C12),"","Jet-A ")&amp;IF(ISNUMBER(RevenueData!G12),"","tenant ")&amp;IF(ISNUMBER(RevenueData!H12),"","other")))</f>
        <v/>
      </c>
      <c r="F101" s="144" t="inlineStr"/>
      <c r="G101" s="144" t="inlineStr">
        <is>
          <t>RevenueData sheet in this workbook (hidden)</t>
        </is>
      </c>
    </row>
    <row r="102">
      <c r="A102" s="144">
        <f>IF(RevenueData!A13="","",RevenueData!A13)</f>
        <v/>
      </c>
      <c r="B102" s="148">
        <f>IF(A102="","",SUMIF(RevenueData!$A:$A,A102,RevenueData!$B:$B)+SUMIF(RevenueData!$A:$A,A102,RevenueData!$C:$C)+SUMIF(RevenueData!$A:$A,A102,RevenueData!$D:$D)+SUMIF(RevenueData!$A:$A,A102,RevenueData!$E:$E)+SUMIF(RevenueData!$A:$A,A102,RevenueData!$F:$F)+SUMIF(RevenueData!$A:$A,A102,RevenueData!$G:$G)+SUMIF(RevenueData!$A:$A,A102,RevenueData!$H:$H))</f>
        <v/>
      </c>
      <c r="C102" s="144">
        <f>IF(A102="","",B102*7)</f>
        <v/>
      </c>
      <c r="D102" s="144">
        <f>IF(A102="","",B102*19)</f>
        <v/>
      </c>
      <c r="E102" s="144">
        <f>IF(A102="","",TRIM(IF(ISNUMBER(RevenueData!B13),"","100LL ")&amp;IF(ISNUMBER(RevenueData!C13),"","Jet-A ")&amp;IF(ISNUMBER(RevenueData!G13),"","tenant ")&amp;IF(ISNUMBER(RevenueData!H13),"","other")))</f>
        <v/>
      </c>
      <c r="F102" s="144" t="inlineStr"/>
      <c r="G102" s="144" t="inlineStr">
        <is>
          <t>RevenueData sheet in this workbook (hidden)</t>
        </is>
      </c>
    </row>
    <row r="103">
      <c r="A103" s="144">
        <f>IF(RevenueData!A14="","",RevenueData!A14)</f>
        <v/>
      </c>
      <c r="B103" s="148">
        <f>IF(A103="","",SUMIF(RevenueData!$A:$A,A103,RevenueData!$B:$B)+SUMIF(RevenueData!$A:$A,A103,RevenueData!$C:$C)+SUMIF(RevenueData!$A:$A,A103,RevenueData!$D:$D)+SUMIF(RevenueData!$A:$A,A103,RevenueData!$E:$E)+SUMIF(RevenueData!$A:$A,A103,RevenueData!$F:$F)+SUMIF(RevenueData!$A:$A,A103,RevenueData!$G:$G)+SUMIF(RevenueData!$A:$A,A103,RevenueData!$H:$H))</f>
        <v/>
      </c>
      <c r="C103" s="144">
        <f>IF(A103="","",B103*7)</f>
        <v/>
      </c>
      <c r="D103" s="144">
        <f>IF(A103="","",B103*19)</f>
        <v/>
      </c>
      <c r="E103" s="144">
        <f>IF(A103="","",TRIM(IF(ISNUMBER(RevenueData!B14),"","100LL ")&amp;IF(ISNUMBER(RevenueData!C14),"","Jet-A ")&amp;IF(ISNUMBER(RevenueData!G14),"","tenant ")&amp;IF(ISNUMBER(RevenueData!H14),"","other")))</f>
        <v/>
      </c>
      <c r="F103" s="144" t="inlineStr"/>
      <c r="G103" s="144" t="inlineStr">
        <is>
          <t>RevenueData sheet in this workbook (hidden)</t>
        </is>
      </c>
    </row>
    <row r="104">
      <c r="A104" s="144">
        <f>IF(RevenueData!A15="","",RevenueData!A15)</f>
        <v/>
      </c>
      <c r="B104" s="148">
        <f>IF(A104="","",SUMIF(RevenueData!$A:$A,A104,RevenueData!$B:$B)+SUMIF(RevenueData!$A:$A,A104,RevenueData!$C:$C)+SUMIF(RevenueData!$A:$A,A104,RevenueData!$D:$D)+SUMIF(RevenueData!$A:$A,A104,RevenueData!$E:$E)+SUMIF(RevenueData!$A:$A,A104,RevenueData!$F:$F)+SUMIF(RevenueData!$A:$A,A104,RevenueData!$G:$G)+SUMIF(RevenueData!$A:$A,A104,RevenueData!$H:$H))</f>
        <v/>
      </c>
      <c r="C104" s="144">
        <f>IF(A104="","",B104*7)</f>
        <v/>
      </c>
      <c r="D104" s="144">
        <f>IF(A104="","",B104*19)</f>
        <v/>
      </c>
      <c r="E104" s="144">
        <f>IF(A104="","",TRIM(IF(ISNUMBER(RevenueData!B15),"","100LL ")&amp;IF(ISNUMBER(RevenueData!C15),"","Jet-A ")&amp;IF(ISNUMBER(RevenueData!G15),"","tenant ")&amp;IF(ISNUMBER(RevenueData!H15),"","other")))</f>
        <v/>
      </c>
      <c r="F104" s="144" t="inlineStr"/>
      <c r="G104" s="144" t="inlineStr">
        <is>
          <t>RevenueData sheet in this workbook (hidden)</t>
        </is>
      </c>
    </row>
    <row r="105">
      <c r="A105" s="144">
        <f>IF(RevenueData!A16="","",RevenueData!A16)</f>
        <v/>
      </c>
      <c r="B105" s="148">
        <f>IF(A105="","",SUMIF(RevenueData!$A:$A,A105,RevenueData!$B:$B)+SUMIF(RevenueData!$A:$A,A105,RevenueData!$C:$C)+SUMIF(RevenueData!$A:$A,A105,RevenueData!$D:$D)+SUMIF(RevenueData!$A:$A,A105,RevenueData!$E:$E)+SUMIF(RevenueData!$A:$A,A105,RevenueData!$F:$F)+SUMIF(RevenueData!$A:$A,A105,RevenueData!$G:$G)+SUMIF(RevenueData!$A:$A,A105,RevenueData!$H:$H))</f>
        <v/>
      </c>
      <c r="C105" s="144">
        <f>IF(A105="","",B105*7)</f>
        <v/>
      </c>
      <c r="D105" s="144">
        <f>IF(A105="","",B105*19)</f>
        <v/>
      </c>
      <c r="E105" s="144">
        <f>IF(A105="","",TRIM(IF(ISNUMBER(RevenueData!B16),"","100LL ")&amp;IF(ISNUMBER(RevenueData!C16),"","Jet-A ")&amp;IF(ISNUMBER(RevenueData!G16),"","tenant ")&amp;IF(ISNUMBER(RevenueData!H16),"","other")))</f>
        <v/>
      </c>
      <c r="F105" s="144" t="inlineStr"/>
      <c r="G105" s="144" t="inlineStr">
        <is>
          <t>RevenueData sheet in this workbook (hidden)</t>
        </is>
      </c>
    </row>
    <row r="106">
      <c r="A106" s="144">
        <f>IF(RevenueData!A17="","",RevenueData!A17)</f>
        <v/>
      </c>
      <c r="B106" s="148">
        <f>IF(A106="","",SUMIF(RevenueData!$A:$A,A106,RevenueData!$B:$B)+SUMIF(RevenueData!$A:$A,A106,RevenueData!$C:$C)+SUMIF(RevenueData!$A:$A,A106,RevenueData!$D:$D)+SUMIF(RevenueData!$A:$A,A106,RevenueData!$E:$E)+SUMIF(RevenueData!$A:$A,A106,RevenueData!$F:$F)+SUMIF(RevenueData!$A:$A,A106,RevenueData!$G:$G)+SUMIF(RevenueData!$A:$A,A106,RevenueData!$H:$H))</f>
        <v/>
      </c>
      <c r="C106" s="144">
        <f>IF(A106="","",B106*7)</f>
        <v/>
      </c>
      <c r="D106" s="144">
        <f>IF(A106="","",B106*19)</f>
        <v/>
      </c>
      <c r="E106" s="144">
        <f>IF(A106="","",TRIM(IF(ISNUMBER(RevenueData!B17),"","100LL ")&amp;IF(ISNUMBER(RevenueData!C17),"","Jet-A ")&amp;IF(ISNUMBER(RevenueData!G17),"","tenant ")&amp;IF(ISNUMBER(RevenueData!H17),"","other")))</f>
        <v/>
      </c>
      <c r="F106" s="144" t="inlineStr"/>
      <c r="G106" s="144" t="inlineStr">
        <is>
          <t>RevenueData sheet in this workbook (hidden)</t>
        </is>
      </c>
    </row>
    <row r="107">
      <c r="A107" s="144">
        <f>IF(RevenueData!A18="","",RevenueData!A18)</f>
        <v/>
      </c>
      <c r="B107" s="148">
        <f>IF(A107="","",SUMIF(RevenueData!$A:$A,A107,RevenueData!$B:$B)+SUMIF(RevenueData!$A:$A,A107,RevenueData!$C:$C)+SUMIF(RevenueData!$A:$A,A107,RevenueData!$D:$D)+SUMIF(RevenueData!$A:$A,A107,RevenueData!$E:$E)+SUMIF(RevenueData!$A:$A,A107,RevenueData!$F:$F)+SUMIF(RevenueData!$A:$A,A107,RevenueData!$G:$G)+SUMIF(RevenueData!$A:$A,A107,RevenueData!$H:$H))</f>
        <v/>
      </c>
      <c r="C107" s="144">
        <f>IF(A107="","",B107*7)</f>
        <v/>
      </c>
      <c r="D107" s="144">
        <f>IF(A107="","",B107*19)</f>
        <v/>
      </c>
      <c r="E107" s="144">
        <f>IF(A107="","",TRIM(IF(ISNUMBER(RevenueData!B18),"","100LL ")&amp;IF(ISNUMBER(RevenueData!C18),"","Jet-A ")&amp;IF(ISNUMBER(RevenueData!G18),"","tenant ")&amp;IF(ISNUMBER(RevenueData!H18),"","other")))</f>
        <v/>
      </c>
      <c r="F107" s="144" t="inlineStr"/>
      <c r="G107" s="144" t="inlineStr">
        <is>
          <t>RevenueData sheet in this workbook (hidden)</t>
        </is>
      </c>
    </row>
    <row r="108" ht="26" customHeight="1">
      <c r="A108" s="140"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1" t="inlineStr">
        <is>
          <t>Airports in the General Information dropdown</t>
        </is>
      </c>
      <c r="B110" s="142" t="n"/>
      <c r="C110" s="142" t="n"/>
      <c r="D110" s="142" t="n"/>
      <c r="E110" s="142" t="n"/>
      <c r="F110" s="142" t="n"/>
      <c r="G110" s="142" t="n"/>
    </row>
    <row r="111">
      <c r="A111" s="143" t="inlineStr">
        <is>
          <t>Item</t>
        </is>
      </c>
      <c r="B111" s="143" t="inlineStr">
        <is>
          <t>Value</t>
        </is>
      </c>
      <c r="C111" s="143" t="inlineStr"/>
      <c r="D111" s="143" t="inlineStr"/>
      <c r="E111" s="143" t="inlineStr"/>
      <c r="F111" s="143" t="inlineStr"/>
      <c r="G111" s="143" t="inlineStr">
        <is>
          <t>Source</t>
        </is>
      </c>
    </row>
    <row r="112">
      <c r="A112" s="144" t="inlineStr">
        <is>
          <t>Airports selectable in D9</t>
        </is>
      </c>
      <c r="B112" s="148">
        <f>COUNTA('General Information'!$L$10:$L$88)</f>
        <v/>
      </c>
      <c r="C112" s="144" t="inlineStr"/>
      <c r="D112" s="144" t="inlineStr"/>
      <c r="E112" s="144" t="inlineStr"/>
      <c r="F112" s="144" t="inlineStr"/>
      <c r="G112" s="144" t="inlineStr">
        <is>
          <t>General Information, hidden columns L:P</t>
        </is>
      </c>
    </row>
    <row r="113">
      <c r="A113" s="144" t="inlineStr">
        <is>
          <t>Airports with revenue data</t>
        </is>
      </c>
      <c r="B113" s="148">
        <f>COUNTA(RevenueData!$A$2:$A$60)</f>
        <v/>
      </c>
      <c r="C113" s="144" t="inlineStr"/>
      <c r="D113" s="144" t="inlineStr"/>
      <c r="E113" s="144" t="inlineStr"/>
      <c r="F113" s="144" t="inlineStr"/>
      <c r="G113" s="144" t="inlineStr">
        <is>
          <t>RevenueData</t>
        </is>
      </c>
    </row>
    <row r="114">
      <c r="A114" s="144" t="inlineStr">
        <is>
          <t>Airports with a Middle / West / East region tag</t>
        </is>
      </c>
      <c r="B114" s="148">
        <f>COUNTIF('General Information'!$P$10:$P$88,"Middle")&amp;" / "&amp;COUNTIF('General Information'!$P$10:$P$88,"West")&amp;" / "&amp;COUNTIF('General Information'!$P$10:$P$88,"East")</f>
        <v/>
      </c>
      <c r="C114" s="144" t="inlineStr"/>
      <c r="D114" s="144" t="inlineStr"/>
      <c r="E114" s="144" t="inlineStr"/>
      <c r="F114" s="144" t="inlineStr"/>
      <c r="G114" s="144"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
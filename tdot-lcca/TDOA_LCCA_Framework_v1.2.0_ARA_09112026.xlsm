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Summary!$A$1:$R$118</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<sst xmlns="http://schemas.openxmlformats.org/spreadsheetml/2006/main" count="1480" uniqueCount="637">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</sst>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2"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4">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1">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1">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fillId="128" applyFill="1" applyAlignment="1">
      <alignment horizontal="left" vertical="center" indent="1"/>
    </xf>
    <xf numFmtId="0" xfId="0" fontId="144" applyFont="1" applyAlignment="1">
      <alignment horizontal="left" vertical="center" indent="1"/>
    </xf>
    <xf numFmtId="0" xfId="0" fontId="145" applyFont="1" applyAlignment="1">
      <alignment horizontal="left" vertical="center" indent="1"/>
    </xf>
    <xf numFmtId="0" xfId="0" fontId="146" applyFont="1" fillId="129" applyFill="1" borderId="126" applyBorder="1" applyAlignment="1">
      <alignment horizontal="right" vertical="center"/>
    </xf>
    <xf numFmtId="0" xfId="0" fontId="147" applyFont="1" applyAlignment="1">
      <alignment horizontal="left" vertical="center" indent="1"/>
    </xf>
    <xf numFmtId="0" xfId="0" fontId="148" applyFont="1" borderId="127" applyBorder="1" applyAlignment="1">
      <alignment horizontal="left" vertical="center" wrapText="1" indent="1"/>
    </xf>
    <xf numFmtId="0" xfId="0" fontId="149" applyFont="1" fillId="130" applyFill="1" borderId="128" applyBorder="1" applyAlignment="1">
      <alignment horizontal="left" vertical="center"/>
    </xf>
    <xf numFmtId="0" xfId="0" fillId="131" applyFill="1"/>
    <xf numFmtId="0" xfId="0" fontId="150" applyFont="1" fillId="132" applyFill="1" borderId="129" applyBorder="1" applyAlignment="1">
      <alignment horizontal="left" vertical="center"/>
    </xf>
    <xf numFmtId="0" xfId="0" fontId="151" applyFont="1" fillId="133" applyFill="1" borderId="130"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9"/>
          <w val="0.89"/>
          <h val="0.56"/>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9"/>
          <w val="0.89"/>
          <h val="0.56"/>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9"/>
          <w val="0.89"/>
          <h val="0.56"/>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9"/>
          <w val="0.89"/>
          <h val="0.56"/>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9"/>
          <w val="0.89"/>
          <h val="0.56"/>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9"/>
          <w val="0.89"/>
          <h val="0.6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805488"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33338</xdr:colOff>
      <xdr:row>29</xdr:row>
      <xdr:rowOff>0</xdr:rowOff>
    </xdr:from>
    <xdr:ext cx="5805488"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855119"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483394</xdr:colOff>
      <xdr:row>47</xdr:row>
      <xdr:rowOff>0</xdr:rowOff>
    </xdr:from>
    <xdr:ext cx="2855119"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33338</xdr:colOff>
      <xdr:row>47</xdr:row>
      <xdr:rowOff>0</xdr:rowOff>
    </xdr:from>
    <xdr:ext cx="2855119"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58</xdr:row>
      <xdr:rowOff>0</xdr:rowOff>
    </xdr:from>
    <xdr:ext cx="2855119"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483394</xdr:colOff>
      <xdr:row>58</xdr:row>
      <xdr:rowOff>0</xdr:rowOff>
    </xdr:from>
    <xdr:ext cx="2855119"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383381</xdr:colOff>
      <xdr:row>47</xdr:row>
      <xdr:rowOff>0</xdr:rowOff>
    </xdr:from>
    <xdr:ext cx="2855119"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6</xdr:col>
      <xdr:colOff>0</xdr:colOff>
      <xdr:row>99</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8</xdr:col>
      <xdr:colOff>620813</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18"/>
      <c r="L8" s="7" t="s">
        <v>246</v>
      </c>
      <c r="M8" s="7" t="s">
        <v>245</v>
      </c>
      <c r="N8" s="7" t="s">
        <v>509</v>
      </c>
      <c r="O8" s="7" t="s">
        <v>510</v>
      </c>
      <c r="P8" s="7" t="s">
        <v>247</v>
      </c>
      <c r="Q8" s="7" t="s">
        <v>250</v>
      </c>
      <c r="S8" s="5" t="s">
        <v>455</v>
      </c>
    </row>
    <row r="9" spans="2:19" x14ac:dyDescent="0.2" ht="28" customHeight="1">
      <c r="B9" s="226"/>
      <c r="C9" s="319"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19" t="s">
        <v>249</v>
      </c>
      <c r="D10" s="92" t="str">
        <f>IF(D9="","N/A",VLOOKUP(Airport_Name,Table17[],2))</f>
        <v>N/A</v>
      </c>
      <c r="L10" s="5" t="s">
        <v>166</v>
      </c>
      <c r="M10" s="5" t="s">
        <v>165</v>
      </c>
      <c r="N10" s="5" t="s">
        <v>423</v>
      </c>
      <c r="O10" s="5" t="s">
        <v>511</v>
      </c>
      <c r="P10" s="5" t="s">
        <v>64</v>
      </c>
      <c r="S10" s="5" t="s">
        <v>456</v>
      </c>
    </row>
    <row r="11" spans="2:19" x14ac:dyDescent="0.2">
      <c r="B11" s="226"/>
      <c r="C11" s="319" t="s">
        <v>586</v>
      </c>
      <c r="D11" s="92" t="str">
        <f>IF(D9="","N/A",VLOOKUP(Airport_Name,Table17[],3))</f>
        <v>N/A</v>
      </c>
      <c r="L11" s="5" t="s">
        <v>184</v>
      </c>
      <c r="M11" s="5" t="s">
        <v>183</v>
      </c>
      <c r="N11" s="5" t="s">
        <v>390</v>
      </c>
      <c r="O11" s="5" t="s">
        <v>512</v>
      </c>
      <c r="P11" s="5" t="s">
        <v>65</v>
      </c>
      <c r="S11" s="5" t="s">
        <v>457</v>
      </c>
    </row>
    <row r="12" spans="2:19" x14ac:dyDescent="0.2">
      <c r="B12" s="226"/>
      <c r="C12" s="319" t="inlineStr">
        <is>
          <t>County:</t>
        </is>
      </c>
      <c r="D12" s="92" t="str">
        <f>IF(D9="","N/A",VLOOKUP(Airport_Name,Table17[],4))</f>
        <v>N/A</v>
      </c>
      <c r="L12" s="5" t="s">
        <v>212</v>
      </c>
      <c r="M12" s="5" t="s">
        <v>211</v>
      </c>
      <c r="N12" s="5" t="s">
        <v>405</v>
      </c>
      <c r="O12" s="5" t="s">
        <v>513</v>
      </c>
      <c r="P12" s="5" t="s">
        <v>65</v>
      </c>
      <c r="S12" s="5" t="s">
        <v>458</v>
      </c>
    </row>
    <row r="13" spans="2:19" x14ac:dyDescent="0.2">
      <c r="B13" s="226"/>
      <c r="C13" s="319" t="s">
        <v>451</v>
      </c>
      <c r="D13" s="92" t="str">
        <f>IF(D9="","N/A",VLOOKUP(Airport_Name,Table17[],5))</f>
        <v>N/A</v>
      </c>
      <c r="L13" s="5" t="s">
        <v>117</v>
      </c>
      <c r="M13" s="5" t="s">
        <v>116</v>
      </c>
      <c r="N13" s="5" t="s">
        <v>370</v>
      </c>
      <c r="O13" s="5" t="s">
        <v>514</v>
      </c>
      <c r="P13" s="5" t="s">
        <v>65</v>
      </c>
    </row>
    <row r="14" spans="2:19" x14ac:dyDescent="0.2">
      <c r="B14" s="226"/>
      <c r="C14" s="319" t="s">
        <v>90</v>
      </c>
      <c r="D14" s="207"/>
      <c r="L14" s="5" t="s">
        <v>228</v>
      </c>
      <c r="M14" s="5" t="s">
        <v>227</v>
      </c>
      <c r="N14" s="5" t="s">
        <v>430</v>
      </c>
      <c r="O14" s="5" t="s">
        <v>515</v>
      </c>
      <c r="P14" s="5" t="s">
        <v>64</v>
      </c>
    </row>
    <row r="15" spans="2:19" x14ac:dyDescent="0.2">
      <c r="B15" s="226"/>
      <c r="C15" s="319" t="s">
        <v>91</v>
      </c>
      <c r="D15" s="207"/>
      <c r="L15" s="5" t="s">
        <v>168</v>
      </c>
      <c r="M15" s="5" t="s">
        <v>167</v>
      </c>
      <c r="N15" s="5" t="s">
        <v>393</v>
      </c>
      <c r="O15" s="5" t="s">
        <v>516</v>
      </c>
      <c r="P15" s="5" t="s">
        <v>65</v>
      </c>
      <c r="S15" s="5" t="s">
        <v>460</v>
      </c>
    </row>
    <row r="16" spans="2:19" x14ac:dyDescent="0.2">
      <c r="B16" s="226"/>
      <c r="C16" s="319" t="s">
        <v>92</v>
      </c>
      <c r="D16" s="207"/>
      <c r="L16" s="5" t="s">
        <v>162</v>
      </c>
      <c r="M16" s="5" t="s">
        <v>161</v>
      </c>
      <c r="N16" s="5" t="s">
        <v>371</v>
      </c>
      <c r="O16" s="5" t="s">
        <v>517</v>
      </c>
      <c r="P16" s="5" t="s">
        <v>64</v>
      </c>
    </row>
    <row r="17" spans="2:19" x14ac:dyDescent="0.2">
      <c r="B17" s="229"/>
      <c r="C17" s="320"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18"/>
      <c r="L20" s="5" t="s">
        <v>154</v>
      </c>
      <c r="M20" s="5" t="s">
        <v>153</v>
      </c>
      <c r="N20" s="5" t="s">
        <v>377</v>
      </c>
      <c r="O20" s="5" t="s">
        <v>523</v>
      </c>
      <c r="P20" s="5" t="s">
        <v>66</v>
      </c>
    </row>
    <row r="21" spans="2:19" x14ac:dyDescent="0.2">
      <c r="B21" s="226"/>
      <c r="C21" s="319" t="s">
        <v>251</v>
      </c>
      <c r="D21" s="207"/>
      <c r="L21" s="5" t="s">
        <v>450</v>
      </c>
      <c r="M21" s="5" t="s">
        <v>169</v>
      </c>
      <c r="N21" s="5" t="s">
        <v>394</v>
      </c>
      <c r="O21" s="5" t="s">
        <v>524</v>
      </c>
      <c r="P21" s="5" t="s">
        <v>66</v>
      </c>
      <c r="S21" s="5" t="s">
        <v>485</v>
      </c>
    </row>
    <row r="22" spans="2:19" x14ac:dyDescent="0.2">
      <c r="B22" s="226"/>
      <c r="C22" s="319" t="s">
        <v>260</v>
      </c>
      <c r="D22" s="207"/>
      <c r="L22" s="5" t="s">
        <v>177</v>
      </c>
      <c r="M22" s="5" t="s">
        <v>176</v>
      </c>
      <c r="N22" s="5" t="s">
        <v>380</v>
      </c>
      <c r="O22" s="5" t="s">
        <v>525</v>
      </c>
      <c r="P22" s="5" t="s">
        <v>65</v>
      </c>
    </row>
    <row r="23" spans="2:19" x14ac:dyDescent="0.2">
      <c r="B23" s="226"/>
      <c r="C23" s="319" t="s">
        <v>261</v>
      </c>
      <c r="D23" s="207"/>
      <c r="L23" s="5" t="s">
        <v>149</v>
      </c>
      <c r="M23" s="5" t="s">
        <v>148</v>
      </c>
      <c r="N23" s="5" t="s">
        <v>381</v>
      </c>
      <c r="O23" s="5" t="s">
        <v>526</v>
      </c>
      <c r="P23" s="5" t="s">
        <v>66</v>
      </c>
      <c r="S23" s="5" t="s">
        <v>484</v>
      </c>
    </row>
    <row r="24" spans="2:19" x14ac:dyDescent="0.2">
      <c r="B24" s="226"/>
      <c r="C24" s="319" t="s">
        <v>256</v>
      </c>
      <c r="D24" s="207"/>
      <c r="L24" s="5" t="s">
        <v>244</v>
      </c>
      <c r="M24" s="5" t="s">
        <v>243</v>
      </c>
      <c r="N24" s="5" t="s">
        <v>372</v>
      </c>
      <c r="O24" s="5" t="s">
        <v>523</v>
      </c>
      <c r="P24" s="5" t="s">
        <v>66</v>
      </c>
      <c r="S24" s="5" t="s">
        <v>483</v>
      </c>
    </row>
    <row r="25" spans="2:19" x14ac:dyDescent="0.2">
      <c r="B25" s="226"/>
      <c r="C25" s="319"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19"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19"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19" t="s">
        <v>270</v>
      </c>
      <c r="D28" s="73"/>
      <c r="F28" s="160" t="inlineStr">
        <is>
          <t xml:space="preserve">About 2,000-3,000 SF per 1,000 ft of runway.</t>
        </is>
      </c>
      <c r="L28" s="5" t="s">
        <v>171</v>
      </c>
      <c r="M28" s="5" t="s">
        <v>170</v>
      </c>
      <c r="N28" s="5" t="s">
        <v>404</v>
      </c>
      <c r="O28" s="5" t="s">
        <v>529</v>
      </c>
      <c r="P28" s="5" t="s">
        <v>64</v>
      </c>
    </row>
    <row r="29" spans="2:19" x14ac:dyDescent="0.2">
      <c r="B29" s="229"/>
      <c r="C29" s="320"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18"/>
      <c r="L32" s="5" t="s">
        <v>238</v>
      </c>
      <c r="M32" s="5" t="s">
        <v>237</v>
      </c>
      <c r="N32" s="5" t="s">
        <v>429</v>
      </c>
      <c r="O32" s="5" t="s">
        <v>533</v>
      </c>
      <c r="P32" s="5" t="s">
        <v>64</v>
      </c>
    </row>
    <row r="33" spans="2:16" x14ac:dyDescent="0.2">
      <c r="B33" s="226"/>
      <c r="C33" s="319"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19"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19"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19"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19"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19"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0"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18"/>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17"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17"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17" t="str">
        <f>HYPERLINK("#Method!A1","Method  ►")</f>
        <v>Method  ►</v>
      </c>
      <c r="L46" s="5" t="s">
        <v>115</v>
      </c>
      <c r="M46" s="5" t="s">
        <v>114</v>
      </c>
      <c r="N46" s="5" t="s">
        <v>391</v>
      </c>
      <c r="O46" s="5" t="s">
        <v>544</v>
      </c>
      <c r="P46" s="5" t="s">
        <v>64</v>
      </c>
    </row>
    <row r="47" spans="2:16" x14ac:dyDescent="0.2" ht="19" customHeight="1">
      <c r="B47" s="234" t="inlineStr">
        <is>
          <t>Unit costs:</t>
        </is>
      </c>
      <c r="C47" s="234"/>
      <c r="D47" s="317"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17"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19" style="5" customWidth="1"/>
    <col min="2" max="2" width="18" style="5" customWidth="1"/>
    <col min="3" max="3" width="13" style="5" customWidth="1"/>
    <col min="4" max="4" width="63" style="5" customWidth="1"/>
    <col min="5" max="5" width="7" style="5" customWidth="1"/>
    <col min="6" max="6" width="11" style="5" customWidth="1"/>
    <col min="7" max="7" width="10" style="5" customWidth="1"/>
    <col min="8" max="8" width="10" style="5" customWidth="1"/>
    <col min="9" max="9" width="10" style="5" customWidth="1"/>
    <col min="10" max="10" width="15"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8" customWidth="1" min="7" max="7"/>
    <col width="19"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19" customWidth="1" min="16" max="16"/>
    <col width="19"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4"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H3" s="308"/>
      <c r="I3" s="308"/>
      <c r="J3" s="308"/>
      <c r="K3" s="308" t="inlineStr">
        <is>
          <t>MARGIN TO NEXT</t>
        </is>
      </c>
      <c r="L3" s="308"/>
      <c r="M3" s="308"/>
      <c r="N3" s="308"/>
      <c r="O3" s="308" t="inlineStr">
        <is>
          <t>EQUIVALENT ANNUAL COST</t>
        </is>
      </c>
      <c r="P3" s="308"/>
      <c r="Q3" s="308"/>
      <c r="R3" s="308"/>
      <c r="W3" s="122" t="inlineStr">
        <is>
          <t>Present worth by category</t>
        </is>
      </c>
    </row>
    <row r="4" ht="26" customHeight="1">
      <c r="G4" s="309">
        <f>IF(COUNT($O$12:$O$15)=0,"-",TEXT(MIN($O$12:$O$15),"$#,##0"))</f>
        <v/>
      </c>
      <c r="H4" s="309"/>
      <c r="I4" s="309"/>
      <c r="J4" s="309"/>
      <c r="K4" s="309">
        <f>IF(COUNT($O$12:$O$15)&lt;2,"-",TEXT(IF(COUNT($O$12:$O$15)&lt;2,0,SMALL($O$12:$O$15,2)-MIN($O$12:$O$15)),"$#,##0"))</f>
        <v/>
      </c>
      <c r="L4" s="309"/>
      <c r="M4" s="309"/>
      <c r="N4" s="309"/>
      <c r="O4" s="309">
        <f>IF(COUNT($O$12:$O$15)=0,"-",TEXT(MIN($O$12:$O$15)*(('General Information'!$D$34/100)*(1+'General Information'!$D$34/100)^'General Information'!$D$33/((1+'General Information'!$D$34/100)^'General Information'!$D$33-1)),"$#,##0"))</f>
        <v/>
      </c>
      <c r="P4" s="309"/>
      <c r="Q4" s="309"/>
      <c r="R4" s="309"/>
      <c r="W4" s="124" t="inlineStr">
        <is>
          <t>Category</t>
        </is>
      </c>
      <c r="X4" s="124">
        <f>IF($H$12="","",$H$12)</f>
        <v/>
      </c>
      <c r="Y4" s="124">
        <f>IF($H$13="","",$H$13)</f>
        <v/>
      </c>
      <c r="Z4" s="124">
        <f>IF($H$14="","",$H$14)</f>
        <v/>
      </c>
      <c r="AA4" s="124">
        <f>IF($H$15="","",$H$15)</f>
        <v/>
      </c>
    </row>
    <row r="5" ht="20" customHeight="1">
      <c r="G5" s="310">
        <f>IF(COUNT($O$12:$O$15)=0,"No alternatives yet",INDEX($H$12:$H$15,MATCH(MIN($O$12:$O$15),$O$12:$O$15,0))&amp;IF(INDEX($P$93:$P$96,MATCH(MIN($O$12:$O$15),$O$12:$O$15,0))="",""," - "&amp;INDEX($P$93:$P$96,MATCH(MIN($O$12:$O$15),$O$12:$O$15,0))))</f>
        <v/>
      </c>
      <c r="H5" s="310"/>
      <c r="I5" s="310"/>
      <c r="J5" s="310"/>
      <c r="K5" s="310">
        <f>IF(COUNT($O$12:$O$15)&lt;2,"only one alternative so far",TEXT(IF(COUNT($O$12:$O$15)&lt;2,0,SMALL($O$12:$O$15,2)-MIN($O$12:$O$15))/MIN($O$12:$O$15),"0.0%")&amp;IF(IF(COUNT($O$12:$O$15)&lt;2,0,SMALL($O$12:$O$15,2)-MIN($O$12:$O$15))/MIN($O$12:$O$15)&lt;0.05," - under 5%, treat the two as tied"," of the lowest present worth"))</f>
        <v/>
      </c>
      <c r="L5" s="310"/>
      <c r="M5" s="310"/>
      <c r="N5" s="310"/>
      <c r="O5" s="310">
        <f>"per year, "&amp;'General Information'!$D$33&amp;" years at "&amp;'General Information'!$D$34&amp;"%"</f>
        <v/>
      </c>
      <c r="P5" s="310"/>
      <c r="Q5" s="310"/>
      <c r="R5" s="310"/>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4" customHeight="1">
      <c r="G7" s="308" t="inlineStr">
        <is>
          <t>INITIAL CONSTRUCTION</t>
        </is>
      </c>
      <c r="H7" s="308"/>
      <c r="I7" s="308"/>
      <c r="J7" s="308"/>
      <c r="K7" s="308" t="inlineStr">
        <is>
          <t>UNIT COST</t>
        </is>
      </c>
      <c r="L7" s="308"/>
      <c r="M7" s="308"/>
      <c r="N7" s="308"/>
      <c r="O7" s="308" t="inlineStr">
        <is>
          <t>RATE SENSITIVITY</t>
        </is>
      </c>
      <c r="P7" s="308"/>
      <c r="Q7" s="308"/>
      <c r="R7" s="308"/>
      <c r="W7" s="134" t="inlineStr">
        <is>
          <t>Rehabilitation</t>
        </is>
      </c>
      <c r="X7" s="135">
        <f>IF(L12="",0,L12)</f>
        <v/>
      </c>
      <c r="Y7" s="135">
        <f>IF(L13="",0,L13)</f>
        <v/>
      </c>
      <c r="Z7" s="135">
        <f>IF(L14="",0,L14)</f>
        <v/>
      </c>
      <c r="AA7" s="135">
        <f>IF(L15="",0,L15)</f>
        <v/>
      </c>
    </row>
    <row r="8" ht="26" customHeight="1">
      <c r="G8" s="309">
        <f>IF(COUNT($O$12:$O$15)=0,"-",TEXT(INDEX($J$12:$J$15,MATCH(MIN($O$12:$O$15),$O$12:$O$15,0)),"$#,##0"))</f>
        <v/>
      </c>
      <c r="H8" s="309"/>
      <c r="I8" s="309"/>
      <c r="J8" s="309"/>
      <c r="K8" s="309">
        <f>IF(OR(COUNT($O$12:$O$15)=0,'General Information'!$D$26=0,'General Information'!$D$26=""),"-",TEXT(INDEX($J$12:$J$15,MATCH(MIN($O$12:$O$15),$O$12:$O$15,0))/'General Information'!$D$26,"$#,##0")&amp;" / S.Y.")</f>
        <v/>
      </c>
      <c r="L8" s="309"/>
      <c r="M8" s="309"/>
      <c r="N8" s="309"/>
      <c r="O8" s="309">
        <f>IF(COUNT($O$12:$O$15)&lt;2,"-",IF(COUNTIF($AB$12:$AB$36,INDEX($H$12:$H$15,MATCH(MIN($O$12:$O$15),$O$12:$O$15,0)))=25,"holds 2-8%","the winner changes"))</f>
        <v/>
      </c>
      <c r="P8" s="309"/>
      <c r="Q8" s="309"/>
      <c r="R8" s="309"/>
      <c r="W8" s="134" t="inlineStr">
        <is>
          <t>Lost revenue</t>
        </is>
      </c>
      <c r="X8" s="135">
        <f>IF(M12="",0,M12)</f>
        <v/>
      </c>
      <c r="Y8" s="135">
        <f>IF(M13="",0,M13)</f>
        <v/>
      </c>
      <c r="Z8" s="135">
        <f>IF(M14="",0,M14)</f>
        <v/>
      </c>
      <c r="AA8" s="135">
        <f>IF(M15="",0,M15)</f>
        <v/>
      </c>
    </row>
    <row r="9" ht="20" customHeight="1">
      <c r="G9" s="310" t="inlineStr">
        <is>
          <t>lowest initial construction cost</t>
        </is>
      </c>
      <c r="H9" s="310"/>
      <c r="I9" s="310"/>
      <c r="J9" s="310"/>
      <c r="K9" s="310" t="inlineStr">
        <is>
          <t>per S.Y. of mainline area</t>
        </is>
      </c>
      <c r="L9" s="310"/>
      <c r="M9" s="310"/>
      <c r="N9" s="310"/>
      <c r="O9" s="310">
        <f>IF(COUNT($O$12:$O$15)&lt;2,"needs two alternatives",IF(COUNTIF($AB$12:$AB$36,INDEX($H$12:$H$15,MATCH(MIN($O$12:$O$15),$O$12:$O$15,0)))=25,"the same alternative is lowest at all 25 rates tested, 2% to 8%","the lowest-cost alternative is not the same at every rate: see chart 2"))</f>
        <v/>
      </c>
      <c r="P9" s="310"/>
      <c r="Q9" s="310"/>
      <c r="R9" s="310"/>
      <c r="W9" s="134" t="inlineStr">
        <is>
          <t>Salvage</t>
        </is>
      </c>
      <c r="X9" s="135">
        <f>IF(N12="",0,N12)</f>
        <v/>
      </c>
      <c r="Y9" s="135">
        <f>IF(N13="",0,N13)</f>
        <v/>
      </c>
      <c r="Z9" s="135">
        <f>IF(N14="",0,N14)</f>
        <v/>
      </c>
      <c r="AA9" s="135">
        <f>IF(N15="",0,N15)</f>
        <v/>
      </c>
    </row>
    <row r="10" ht="26" customHeight="1">
      <c r="G10" s="208">
        <f>IF(COUNT($O$12:$O$15)=0,"No alternatives yet. Add them from General Information and this line names the winner.","Lowest present worth:  "&amp;INDEX($H$12:$H$15,MATCH(MIN($O$12:$O$15),$O$12:$O$15,0))&amp;"     "&amp;TEXT(MIN($O$12:$O$15),"$#,##0")&amp;"     "&amp;IF(COUNT($O$12:$O$15)&lt;2,"only one alternative so far",TEXT(SMALL($O$12:$O$15,2)-MIN($O$12:$O$15),"$#,##0")&amp;" ahead of the next"))</f>
        <v/>
      </c>
      <c r="W10" s="122" t="inlineStr">
        <is>
          <t>Net present worth vs. discount rate</t>
        </is>
      </c>
    </row>
    <row r="11">
      <c r="G11" s="209" t="inlineStr">
        <is>
          <t>Worksheet</t>
        </is>
      </c>
      <c r="H11" s="209" t="inlineStr">
        <is>
          <t>Alternative</t>
        </is>
      </c>
      <c r="I11" s="209" t="inlineStr">
        <is>
          <t>Type</t>
        </is>
      </c>
      <c r="J11" s="209" t="inlineStr">
        <is>
          <t>Initial construction</t>
        </is>
      </c>
      <c r="K11" s="209" t="inlineStr">
        <is>
          <t>Maintenance PW</t>
        </is>
      </c>
      <c r="L11" s="209" t="inlineStr">
        <is>
          <t>Rehabilitation PW</t>
        </is>
      </c>
      <c r="M11" s="209" t="inlineStr">
        <is>
          <t>Lost revenue PW</t>
        </is>
      </c>
      <c r="N11" s="209" t="inlineStr">
        <is>
          <t>Salvage PW</t>
        </is>
      </c>
      <c r="O11" s="209" t="inlineStr">
        <is>
          <t>Net present worth</t>
        </is>
      </c>
      <c r="P11" s="209" t="inlineStr">
        <is>
          <t>vs. lowest NPW</t>
        </is>
      </c>
      <c r="Q11" s="209" t="inlineStr">
        <is>
          <t>Closure days in period</t>
        </is>
      </c>
      <c r="R11" s="209"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KEY RESULTS — the two plots that decide it</t>
        </is>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G46" s="210" t="inlineStr">
        <is>
          <t>SUPPORTING DETAIL</t>
        </is>
      </c>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22" customHeight="1">
      <c r="G98" s="304" t="inlineStr">
        <is>
          <t xml:space="preserve">PROJECT AND LOCATION</t>
        </is>
      </c>
      <c r="H98" s="305"/>
      <c r="I98" s="305"/>
      <c r="J98" s="305"/>
      <c r="K98" s="305"/>
      <c r="L98" s="305"/>
      <c r="M98" s="305"/>
      <c r="N98" s="305"/>
      <c r="O98" s="305"/>
      <c r="P98" s="305"/>
      <c r="Q98" s="305"/>
      <c r="R98" s="305"/>
    </row>
    <row r="99" ht="18" customHeight="1">
      <c r="G99" s="311" t="inlineStr">
        <is>
          <t xml:space="preserve">PROJECT LOCATION</t>
        </is>
      </c>
      <c r="H99" s="311"/>
      <c r="I99" s="311"/>
      <c r="J99" s="311"/>
      <c r="K99" s="311"/>
      <c r="L99" s="311"/>
      <c r="M99" s="311" t="inlineStr">
        <is>
          <t xml:space="preserve">PROJECT</t>
        </is>
      </c>
      <c r="N99" s="311"/>
      <c r="O99" s="311"/>
      <c r="P99" s="311"/>
      <c r="Q99" s="311"/>
      <c r="R99" s="311"/>
    </row>
    <row r="100" ht="17" customHeight="1">
      <c r="M100" s="312" t="inlineStr">
        <is>
          <t>Airport</t>
        </is>
      </c>
      <c r="N100" s="312"/>
      <c r="O100" s="313">
        <f>IF('General Information'!$D$9="","",'General Information'!$D$9&amp;" ("&amp;'General Information'!$D$10&amp;")")</f>
        <v/>
      </c>
      <c r="P100" s="313"/>
      <c r="Q100" s="313"/>
      <c r="R100" s="313"/>
    </row>
    <row r="101" ht="17" customHeight="1">
      <c r="M101" s="312" t="inlineStr">
        <is>
          <t>City / county</t>
        </is>
      </c>
      <c r="N101" s="312"/>
      <c r="O101" s="313">
        <f>IF('General Information'!$D$9="","",'General Information'!$D$11&amp;IF(IFERROR(VLOOKUP('General Information'!$D$9,'General Information'!$L$10:$Q$88,4,FALSE),"")="",""," / "&amp;IFERROR(VLOOKUP('General Information'!$D$9,'General Information'!$L$10:$Q$88,4,FALSE),"")&amp;" County"))</f>
        <v/>
      </c>
      <c r="P101" s="313"/>
      <c r="Q101" s="313"/>
      <c r="R101" s="313"/>
    </row>
    <row r="102" ht="17" customHeight="1">
      <c r="M102" s="312" t="inlineStr">
        <is>
          <t>TDOT Grand Division</t>
        </is>
      </c>
      <c r="N102" s="312"/>
      <c r="O102" s="313">
        <f>IF('General Information'!$D$9="","",'General Information'!$D$13)</f>
        <v/>
      </c>
      <c r="P102" s="313"/>
      <c r="Q102" s="313"/>
      <c r="R102" s="313"/>
    </row>
    <row r="103" ht="17" customHeight="1">
      <c r="M103" s="312" t="inlineStr">
        <is>
          <t>Coordinates</t>
        </is>
      </c>
      <c r="N103" s="312"/>
      <c r="O103" s="313">
        <f>IF(AE132="","not in the reference list",TEXT(AE132,"0.0000")&amp;"° N, "&amp;TEXT(-AD132,"0.0000")&amp;"° W")</f>
        <v/>
      </c>
      <c r="P103" s="313"/>
      <c r="Q103" s="313"/>
      <c r="R103" s="313"/>
    </row>
    <row r="104" ht="17" customHeight="1">
      <c r="M104" s="312" t="inlineStr">
        <is>
          <t>Elevation</t>
        </is>
      </c>
      <c r="N104" s="312"/>
      <c r="O104" s="313">
        <f>IFERROR(IF(INDEX($AB$132:$AB$210,MATCH('General Information'!$D$10,$X$132:$X$210,0))="","",TEXT(INDEX($AB$132:$AB$210,MATCH('General Information'!$D$10,$X$132:$X$210,0)),"#,##0")&amp;" ft"),"")</f>
        <v/>
      </c>
      <c r="P104" s="313"/>
      <c r="Q104" s="313"/>
      <c r="R104" s="313"/>
    </row>
    <row r="105" ht="17" customHeight="1">
      <c r="M105" s="312" t="inlineStr">
        <is>
          <t>Branch / project</t>
        </is>
      </c>
      <c r="N105" s="312"/>
      <c r="O105" s="313">
        <f>IF('General Information'!$D$22="","",'General Information'!$D$22&amp;IF('General Information'!$D$23=""," ",", "&amp;'General Information'!$D$23))</f>
        <v/>
      </c>
      <c r="P105" s="313"/>
      <c r="Q105" s="313"/>
      <c r="R105" s="313"/>
    </row>
    <row r="106" ht="17" customHeight="1">
      <c r="M106" s="312" t="inlineStr">
        <is>
          <t>Mainline area</t>
        </is>
      </c>
      <c r="N106" s="312"/>
      <c r="O106" s="313">
        <f>IF('General Information'!$D$26="","",TEXT('General Information'!$D$26,"#,##0")&amp;" S.Y."&amp;IF('General Information'!$D$27&gt;0," + "&amp;TEXT('General Information'!$D$27,"#,##0")&amp;" S.Y. shoulder",""))</f>
        <v/>
      </c>
      <c r="P106" s="313"/>
      <c r="Q106" s="313"/>
      <c r="R106" s="313"/>
    </row>
    <row r="107" ht="17" customHeight="1">
      <c r="M107" s="312" t="inlineStr">
        <is>
          <t>Runway width, ft</t>
        </is>
      </c>
      <c r="N107" s="312"/>
      <c r="O107" s="314" t="n">
        <v>100</v>
      </c>
      <c r="P107" s="315" t="inlineStr">
        <is>
          <t xml:space="preserve">used only by the Google Earth footprint</t>
        </is>
      </c>
      <c r="Q107" s="315"/>
      <c r="R107" s="315"/>
    </row>
    <row r="108" ht="17" customHeight="1"/>
    <row r="109" ht="17" customHeight="1"/>
    <row r="110" ht="17" customHeight="1"/>
    <row r="111" ht="17" customHeight="1"/>
    <row r="112" ht="18" customHeight="1">
      <c r="G112" s="143" t="inlineStr">
        <is>
          <t>■ West</t>
        </is>
      </c>
      <c r="H112" s="144" t="inlineStr">
        <is>
          <t>■ Middle</t>
        </is>
      </c>
      <c r="I112" s="145" t="inlineStr">
        <is>
          <t>■ East</t>
        </is>
      </c>
      <c r="J112" s="146" t="inlineStr">
        <is>
          <t>■ This project</t>
        </is>
      </c>
    </row>
    <row r="113" ht="18" customHeight="1"/>
    <row r="114" ht="18" customHeight="1">
      <c r="G114"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114" s="256"/>
      <c r="I114" s="256"/>
      <c r="J114" s="256"/>
      <c r="K114" s="256"/>
      <c r="L114" s="256"/>
      <c r="M114" s="256"/>
      <c r="N114" s="256"/>
      <c r="O114" s="256"/>
      <c r="P114" s="256"/>
      <c r="Q114" s="256"/>
      <c r="R114" s="256"/>
    </row>
    <row r="115" ht="18" customHeight="1">
      <c r="G115" s="256" t="inlineStr">
        <is>
          <t>Coordinates are embedded (Method sheet); nothing here goes online. Five private fields have none and plot no dot.</t>
        </is>
      </c>
      <c r="H115" s="256"/>
      <c r="I115" s="256"/>
      <c r="J115" s="256"/>
      <c r="K115" s="256"/>
      <c r="L115" s="256"/>
      <c r="M115" s="256"/>
      <c r="N115" s="256"/>
      <c r="O115" s="256"/>
      <c r="P115" s="256"/>
      <c r="Q115" s="256"/>
      <c r="R115" s="256"/>
    </row>
    <row r="116" ht="18" customHeight="1">
      <c r="G116" s="256" t="inlineStr">
        <is>
          <t>Google Earth: import LCCA_KML_Export.bas once (Alt+F11, File, Import File), then Alt+F8 and run ExportLCCAKML.</t>
        </is>
      </c>
      <c r="H116" s="256"/>
      <c r="I116" s="256"/>
      <c r="J116" s="256"/>
      <c r="K116" s="256"/>
      <c r="L116" s="256"/>
      <c r="M116" s="256"/>
      <c r="N116" s="256"/>
      <c r="O116" s="256"/>
      <c r="P116" s="256"/>
      <c r="Q116" s="256"/>
      <c r="R116" s="256"/>
    </row>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41">
    <mergeCell ref="G10:R10"/>
    <mergeCell ref="G3:J3"/>
    <mergeCell ref="G4:J4"/>
    <mergeCell ref="G5:J5"/>
    <mergeCell ref="K3:N3"/>
    <mergeCell ref="K4:N4"/>
    <mergeCell ref="K5:N5"/>
    <mergeCell ref="O3:R3"/>
    <mergeCell ref="O4:R4"/>
    <mergeCell ref="O5:R5"/>
    <mergeCell ref="G7:J7"/>
    <mergeCell ref="G8:J8"/>
    <mergeCell ref="G9:J9"/>
    <mergeCell ref="K7:N7"/>
    <mergeCell ref="K8:N8"/>
    <mergeCell ref="K9:N9"/>
    <mergeCell ref="O7:R7"/>
    <mergeCell ref="O8:R8"/>
    <mergeCell ref="O9:R9"/>
    <mergeCell ref="G98:R98"/>
    <mergeCell ref="G99:L99"/>
    <mergeCell ref="M99:R99"/>
    <mergeCell ref="M100:N100"/>
    <mergeCell ref="M101:N101"/>
    <mergeCell ref="M102:N102"/>
    <mergeCell ref="M103:N103"/>
    <mergeCell ref="M104:N104"/>
    <mergeCell ref="M105:N105"/>
    <mergeCell ref="M106:N106"/>
    <mergeCell ref="M107:N107"/>
    <mergeCell ref="O100:R100"/>
    <mergeCell ref="O101:R101"/>
    <mergeCell ref="O102:R102"/>
    <mergeCell ref="O103:R103"/>
    <mergeCell ref="O104:R104"/>
    <mergeCell ref="O105:R105"/>
    <mergeCell ref="O106:R106"/>
    <mergeCell ref="P107:R107"/>
    <mergeCell ref="G114:R114"/>
    <mergeCell ref="G115:R115"/>
    <mergeCell ref="G116:R116"/>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
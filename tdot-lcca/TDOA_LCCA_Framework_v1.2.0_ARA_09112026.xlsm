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Summary!$A$1:$V$112</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<sst xmlns="http://schemas.openxmlformats.org/spreadsheetml/2006/main" count="1480" uniqueCount="637">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</sst>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00000"/>
    <numFmt numFmtId="172" formatCode="0.0000"/>
  </numFmts>
  <fonts count="4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33">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81">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6" fillId="11"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0" fontId="22" fillId="9" borderId="36" pivotButton="0" quotePrefix="0" xfId="0"/>
    <xf numFmtId="0" fontId="23" fillId="9" borderId="36" pivotButton="0" quotePrefix="0" xfId="0"/>
    <xf numFmtId="0" fontId="24" fillId="9" borderId="36" pivotButton="0" quotePrefix="0" xfId="0"/>
    <xf numFmtId="0" fontId="25" fillId="9" borderId="36" pivotButton="0" quotePrefix="0" xfId="0"/>
    <xf numFmtId="0" fontId="20" fillId="9" borderId="36" pivotButton="0" quotePrefix="0" xfId="0"/>
    <xf numFmtId="1" fontId="20" fillId="13" borderId="37" pivotButton="0" quotePrefix="0" xfId="0"/>
    <xf numFmtId="0" fontId="26" fillId="15" borderId="36" applyAlignment="1" pivotButton="0" quotePrefix="0" xfId="0">
      <alignment vertical="top" wrapText="1"/>
    </xf>
    <xf numFmtId="0" fontId="19" fillId="9" borderId="36" applyAlignment="1" pivotButton="0" quotePrefix="0" xfId="0">
      <alignment vertical="top" wrapText="1"/>
    </xf>
    <xf numFmtId="1" fontId="21" fillId="9" borderId="36" pivotButton="0" quotePrefix="0" xfId="0"/>
    <xf numFmtId="2" fontId="21" fillId="9" borderId="36" pivotButton="0" quotePrefix="0" xfId="0"/>
    <xf numFmtId="2" fontId="20" fillId="9" borderId="37" pivotButton="0" quotePrefix="0" xfId="0"/>
    <xf numFmtId="171" fontId="21" fillId="9" borderId="36" pivotButton="0" quotePrefix="0" xfId="0"/>
    <xf numFmtId="0" fontId="27" fillId="16" borderId="38" pivotButton="0" quotePrefix="0" xfId="0"/>
    <xf numFmtId="0" fontId="28" fillId="18" borderId="39" applyAlignment="1" pivotButton="0" quotePrefix="0" xfId="0">
      <alignment horizontal="center" vertical="center"/>
    </xf>
    <xf numFmtId="0" fontId="28" fillId="19" borderId="39" applyAlignment="1" pivotButton="0" quotePrefix="0" xfId="0">
      <alignment horizontal="center" vertical="center"/>
    </xf>
    <xf numFmtId="0" fontId="29" fillId="16" borderId="38" pivotButton="0" quotePrefix="0" xfId="0"/>
    <xf numFmtId="0" fontId="30" fillId="16" borderId="38" pivotButton="0" quotePrefix="0" xfId="0"/>
    <xf numFmtId="0" fontId="29" fillId="16" borderId="38" applyAlignment="1" pivotButton="0" quotePrefix="0" xfId="0">
      <alignment vertical="top" wrapText="1"/>
    </xf>
    <xf numFmtId="0" fontId="31" fillId="20" borderId="38" pivotButton="0" quotePrefix="0" xfId="0"/>
    <xf numFmtId="0" fontId="27" fillId="20" borderId="38" pivotButton="0" quotePrefix="0" xfId="0"/>
    <xf numFmtId="0" fontId="31" fillId="21" borderId="39" applyAlignment="1" pivotButton="0" quotePrefix="0" xfId="0">
      <alignment vertical="center" wrapText="1"/>
    </xf>
    <xf numFmtId="0" fontId="32" fillId="16" borderId="39" applyAlignment="1" pivotButton="0" quotePrefix="0" xfId="0">
      <alignment vertical="top" wrapText="1"/>
    </xf>
    <xf numFmtId="3" fontId="32" fillId="16" borderId="39" applyAlignment="1" pivotButton="0" quotePrefix="0" xfId="0">
      <alignment vertical="top" wrapText="1"/>
    </xf>
    <xf numFmtId="1" fontId="32" fillId="16" borderId="39" applyAlignment="1" pivotButton="0" quotePrefix="0" xfId="0">
      <alignment vertical="top" wrapText="1"/>
    </xf>
    <xf numFmtId="0" fontId="33" fillId="16" borderId="39" applyAlignment="1" pivotButton="0" quotePrefix="0" xfId="0">
      <alignment vertical="top" wrapText="1"/>
    </xf>
    <xf numFmtId="4" fontId="32" fillId="16" borderId="39" applyAlignment="1" pivotButton="0" quotePrefix="0" xfId="0">
      <alignment vertical="top" wrapText="1"/>
    </xf>
    <xf numFmtId="0" fontId="34" fillId="22" borderId="40" pivotButton="0" quotePrefix="0" xfId="0"/>
    <xf numFmtId="0" fontId="35" fillId="24" borderId="41" applyAlignment="1" pivotButton="0" quotePrefix="0" xfId="0">
      <alignment horizontal="center" vertical="center"/>
    </xf>
    <xf numFmtId="0" fontId="35" fillId="25" borderId="41" applyAlignment="1" pivotButton="0" quotePrefix="0" xfId="0">
      <alignment horizontal="center" vertical="center"/>
    </xf>
    <xf numFmtId="0" fontId="36" fillId="22" borderId="40" pivotButton="0" quotePrefix="0" xfId="0"/>
    <xf numFmtId="0" fontId="37" fillId="22" borderId="40" pivotButton="0" quotePrefix="0" xfId="0"/>
    <xf numFmtId="0" fontId="36" fillId="22" borderId="40" applyAlignment="1" pivotButton="0" quotePrefix="0" xfId="0">
      <alignment vertical="top" wrapText="1"/>
    </xf>
    <xf numFmtId="0" fontId="38" fillId="26" borderId="40" pivotButton="0" quotePrefix="0" xfId="0"/>
    <xf numFmtId="0" fontId="34" fillId="26" borderId="40" pivotButton="0" quotePrefix="0" xfId="0"/>
    <xf numFmtId="0" fontId="38" fillId="27" borderId="41" applyAlignment="1" pivotButton="0" quotePrefix="0" xfId="0">
      <alignment vertical="center" wrapText="1"/>
    </xf>
    <xf numFmtId="0" fontId="39" fillId="22" borderId="41" applyAlignment="1" pivotButton="0" quotePrefix="0" xfId="0">
      <alignment vertical="top" wrapText="1"/>
    </xf>
    <xf numFmtId="0" fontId="40" fillId="22" borderId="41" applyAlignment="1" pivotButton="0" quotePrefix="0" xfId="0">
      <alignment vertical="top" wrapText="1"/>
    </xf>
    <xf numFmtId="1" fontId="40" fillId="22" borderId="41" applyAlignment="1" pivotButton="0" quotePrefix="0" xfId="0">
      <alignment vertical="top" wrapText="1"/>
    </xf>
    <xf numFmtId="2" fontId="40" fillId="22" borderId="41" applyAlignment="1" pivotButton="0" quotePrefix="0" xfId="0">
      <alignment vertical="top" wrapText="1"/>
    </xf>
    <xf numFmtId="172" fontId="40" fillId="22" borderId="41" applyAlignment="1" pivotButton="0" quotePrefix="0" xfId="0">
      <alignment vertical="top" wrapText="1"/>
    </xf>
    <xf numFmtId="0" fontId="39" fillId="28" borderId="41" applyAlignment="1" pivotButton="0" quotePrefix="0" xfId="0">
      <alignment vertical="top" wrapText="1"/>
    </xf>
    <xf numFmtId="0" xfId="0" fontId="41" applyFont="1" fillId="29" applyFill="1" applyAlignment="1">
      <alignment horizontal="left" vertical="center" indent="1"/>
    </xf>
    <xf numFmtId="0" xfId="0" fontId="42" applyFont="1" fillId="30" applyFill="1" applyAlignment="1">
      <alignment horizontal="left" vertical="top" wrapText="1" indent="1"/>
    </xf>
    <xf numFmtId="0" xfId="0" fontId="43" applyFont="1" fillId="31" applyFill="1" borderId="42" applyBorder="1" applyAlignment="1">
      <alignment horizontal="left" vertical="center" wrapText="1" indent="1"/>
    </xf>
    <xf numFmtId="0" xfId="0" fontId="44" applyFont="1" fillId="32" applyFill="1" borderId="43" applyBorder="1" applyAlignment="1">
      <alignment horizontal="left" vertical="center"/>
    </xf>
    <xf numFmtId="0" xfId="0" fontId="45"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'Summary'!$AH$117:$AH$307</f>
            </numRef>
          </xVal>
          <yVal>
            <numRef>
              <f>'Summary'!$AI$117:$AI$307</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'Summary'!$Y$117:$Y$137</f>
            </numRef>
          </xVal>
          <yVal>
            <numRef>
              <f>'Summary'!$Z$117:$Z$137</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'Summary'!$Y$138:$Y$170</f>
            </numRef>
          </xVal>
          <yVal>
            <numRef>
              <f>'Summary'!$Z$138:$Z$170</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'Summary'!$Y$171:$Y$195</f>
            </numRef>
          </xVal>
          <yVal>
            <numRef>
              <f>'Summary'!$Z$171:$Z$195</f>
            </numRef>
          </yVal>
        </ser>
        <ser>
          <idx val="4"/>
          <order val="4"/>
          <tx>
            <strRef>
              <f>Summary!$AF$117</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'Summary'!$AD$117</f>
            </numRef>
          </xVal>
          <yVal>
            <numRef>
              <f>'Summary'!$AE$117</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89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89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18</xdr:col>
      <xdr:colOff>0</xdr:colOff>
      <xdr:row>2</xdr:row>
      <xdr:rowOff>0</xdr:rowOff>
    </xdr:from>
    <xdr:ext cx="3960000" cy="1872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80"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76" t="inlineStr">
        <is>
          <t>HOW TO USE THIS WORKBOOK</t>
        </is>
      </c>
    </row>
    <row r="3" ht="15" customHeight="1">
      <c r="F3" s="177"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79" t="s">
        <v>93</v>
      </c>
      <c r="C8" s="179"/>
      <c r="D8" s="179"/>
      <c r="E8" s="179"/>
      <c r="L8" s="7" t="s">
        <v>246</v>
      </c>
      <c r="M8" s="7" t="s">
        <v>245</v>
      </c>
      <c r="N8" s="7" t="s">
        <v>509</v>
      </c>
      <c r="O8" s="7" t="s">
        <v>510</v>
      </c>
      <c r="P8" s="7" t="s">
        <v>247</v>
      </c>
      <c r="Q8" s="7" t="s">
        <v>250</v>
      </c>
      <c r="S8" s="5" t="s">
        <v>455</v>
      </c>
    </row>
    <row r="9" spans="2:19" x14ac:dyDescent="0.2" ht="28" customHeight="1">
      <c r="C9" s="5" t="s">
        <v>87</v>
      </c>
      <c r="D9" s="73"/>
      <c r="F9" s="17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79" t="s">
        <v>94</v>
      </c>
      <c r="C20" s="179"/>
      <c r="D20" s="179"/>
      <c r="E20" s="179"/>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5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50" t="inlineStr">
        <is>
          <t xml:space="preserve">Length x width / 9. TN GA: 4,000-6,000 ft x 75-100 ft wide.</t>
        </is>
      </c>
      <c r="L26" s="5" t="s">
        <v>152</v>
      </c>
      <c r="M26" s="5" t="s">
        <v>151</v>
      </c>
      <c r="N26" s="5" t="s">
        <v>384</v>
      </c>
      <c r="O26" s="5" t="s">
        <v>527</v>
      </c>
      <c r="P26" s="5" t="s">
        <v>65</v>
      </c>
    </row>
    <row r="27" spans="2:19" x14ac:dyDescent="0.2">
      <c r="C27" s="5" t="s">
        <v>269</v>
      </c>
      <c r="D27" s="73"/>
      <c r="F27" s="150" t="inlineStr">
        <is>
          <t xml:space="preserve">Paved shoulders only; usually 0 at TN GA airports.</t>
        </is>
      </c>
      <c r="L27" s="5" t="s">
        <v>113</v>
      </c>
      <c r="M27" s="5" t="s">
        <v>112</v>
      </c>
      <c r="N27" s="5" t="s">
        <v>385</v>
      </c>
      <c r="O27" s="5" t="s">
        <v>528</v>
      </c>
      <c r="P27" s="5" t="s">
        <v>66</v>
      </c>
    </row>
    <row r="28" spans="2:19" x14ac:dyDescent="0.2">
      <c r="C28" s="5" t="s">
        <v>270</v>
      </c>
      <c r="D28" s="73"/>
      <c r="F28" s="15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79" t="s">
        <v>252</v>
      </c>
      <c r="C32" s="179"/>
      <c r="D32" s="179"/>
      <c r="E32" s="179"/>
      <c r="L32" s="5" t="s">
        <v>238</v>
      </c>
      <c r="M32" s="5" t="s">
        <v>237</v>
      </c>
      <c r="N32" s="5" t="s">
        <v>429</v>
      </c>
      <c r="O32" s="5" t="s">
        <v>533</v>
      </c>
      <c r="P32" s="5" t="s">
        <v>64</v>
      </c>
    </row>
    <row r="33" spans="2:16" x14ac:dyDescent="0.2">
      <c r="C33" s="5" t="s">
        <v>253</v>
      </c>
      <c r="D33" s="88">
        <v>30</v>
      </c>
      <c r="F33" s="15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50" t="inlineStr">
        <is>
          <t xml:space="preserve">TDOT 3%. FAA uses the OMB A-94 real rate, 2.0% in 2026.</t>
        </is>
      </c>
      <c r="L34" s="5" t="s">
        <v>173</v>
      </c>
      <c r="M34" s="5" t="s">
        <v>172</v>
      </c>
      <c r="N34" s="5" t="s">
        <v>411</v>
      </c>
      <c r="O34" s="5" t="s">
        <v>518</v>
      </c>
      <c r="P34" s="5" t="s">
        <v>65</v>
      </c>
    </row>
    <row r="35" spans="2:16" x14ac:dyDescent="0.2">
      <c r="C35" s="5" t="s">
        <v>254</v>
      </c>
      <c r="D35" s="180"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50" t="inlineStr">
        <is>
          <t xml:space="preserve">Percent of pay items; workbook default 10.</t>
        </is>
      </c>
      <c r="L36" s="5" t="s">
        <v>160</v>
      </c>
      <c r="M36" s="5" t="s">
        <v>159</v>
      </c>
      <c r="N36" s="5" t="s">
        <v>389</v>
      </c>
      <c r="O36" s="5" t="s">
        <v>536</v>
      </c>
      <c r="P36" s="5" t="s">
        <v>66</v>
      </c>
    </row>
    <row r="37" spans="2:16" x14ac:dyDescent="0.2">
      <c r="C37" s="5" t="s">
        <v>258</v>
      </c>
      <c r="D37" s="88">
        <v>5</v>
      </c>
      <c r="F37" s="15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5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80"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80"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80"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80"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06"/>
  <sheetViews>
    <sheetView workbookViewId="0">
      <pane ySplit="3" topLeftCell="A4"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G1" s="119">
        <f>HYPERLINK("#'General Information'!D9","◄ General Information")</f>
        <v/>
      </c>
      <c r="H1" s="120">
        <f>HYPERLINK("#Instructions!B9","Instructions")</f>
        <v/>
      </c>
      <c r="J1" s="121" t="inlineStr">
        <is>
          <t>LCCA SUMMARY</t>
        </is>
      </c>
      <c r="L1"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W1" s="122" t="inlineStr">
        <is>
          <t>CHART DATA (calculated automatically from the table on the left; do not edit)</t>
        </is>
      </c>
    </row>
    <row r="2">
      <c r="G2" s="123" t="inlineStr">
        <is>
          <t>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S2" s="124" t="inlineStr">
        <is>
          <t>PROJECT LOCATION</t>
        </is>
      </c>
      <c r="T2" s="124" t="n"/>
      <c r="U2" s="124" t="n"/>
      <c r="V2" s="124" t="n"/>
    </row>
    <row r="3">
      <c r="A3" s="125" t="inlineStr">
        <is>
          <t>Alternative</t>
        </is>
      </c>
      <c r="B3" s="125" t="inlineStr">
        <is>
          <t>Name</t>
        </is>
      </c>
      <c r="C3" s="125" t="inlineStr">
        <is>
          <t>Initial Construction</t>
        </is>
      </c>
      <c r="D3" s="125" t="inlineStr">
        <is>
          <t>Present Worth</t>
        </is>
      </c>
      <c r="E3" s="125" t="inlineStr">
        <is>
          <t>Alternative Description</t>
        </is>
      </c>
      <c r="G3" s="125" t="inlineStr">
        <is>
          <t>Worksheet</t>
        </is>
      </c>
      <c r="H3" s="125" t="inlineStr">
        <is>
          <t>Alternative</t>
        </is>
      </c>
      <c r="I3" s="125" t="inlineStr">
        <is>
          <t>Type</t>
        </is>
      </c>
      <c r="J3" s="125" t="inlineStr">
        <is>
          <t>Initial construction</t>
        </is>
      </c>
      <c r="K3" s="125" t="inlineStr">
        <is>
          <t>Maintenance PW</t>
        </is>
      </c>
      <c r="L3" s="125" t="inlineStr">
        <is>
          <t>Rehabilitation PW</t>
        </is>
      </c>
      <c r="M3" s="125" t="inlineStr">
        <is>
          <t>Lost revenue PW</t>
        </is>
      </c>
      <c r="N3" s="125" t="inlineStr">
        <is>
          <t>Salvage PW</t>
        </is>
      </c>
      <c r="O3" s="125" t="inlineStr">
        <is>
          <t>Net present worth</t>
        </is>
      </c>
      <c r="P3" s="125" t="inlineStr">
        <is>
          <t>vs. lowest NPW</t>
        </is>
      </c>
      <c r="Q3" s="125" t="inlineStr">
        <is>
          <t>Closure days in period</t>
        </is>
      </c>
      <c r="R3" s="125" t="inlineStr">
        <is>
          <t>Runway availability</t>
        </is>
      </c>
      <c r="W3" s="122" t="inlineStr">
        <is>
          <t>Present worth by category</t>
        </is>
      </c>
    </row>
    <row r="4">
      <c r="G4" s="126">
        <f>IF(INDEX(Database!$D:$D,4)="","",INDEX(Database!$D:$D,4))</f>
        <v/>
      </c>
      <c r="H4" s="126">
        <f>IF($G4="","",INDEX(Database!$A:$A,4))</f>
        <v/>
      </c>
      <c r="I4" s="126">
        <f>IF($G4="","",INDEX(Database!$B:$B,4))</f>
        <v/>
      </c>
      <c r="J4" s="127">
        <f>IF($G4="","",IFERROR(INDEX(INDIRECT("'"&amp;$G4&amp;"'!$G$1:$G$70"),MATCH("Total",INDIRECT("'"&amp;$G4&amp;"'!$A$1:$A$70"),0)),0))</f>
        <v/>
      </c>
      <c r="K4" s="127">
        <f>IF($G4="","",IFERROR(SUMIFS(INDIRECT("'"&amp;$G4&amp;"'!$E$37:$E$52"),INDIRECT("'"&amp;$G4&amp;"'!$B$37:$B$52"),"Maintenance*",INDIRECT("'"&amp;$G4&amp;"'!$B$37:$B$52"),"&lt;&gt;*Indirect*"),0))</f>
        <v/>
      </c>
      <c r="L4" s="127">
        <f>IF($G4="","",IFERROR(SUMIFS(INDIRECT("'"&amp;$G4&amp;"'!$E$37:$E$52"),INDIRECT("'"&amp;$G4&amp;"'!$B$37:$B$52"),"Rehabilitation*",INDIRECT("'"&amp;$G4&amp;"'!$B$37:$B$52"),"&lt;&gt;*Indirect*"),0))</f>
        <v/>
      </c>
      <c r="M4" s="127">
        <f>IF($G4="","",IFERROR(SUMIFS(INDIRECT("'"&amp;$G4&amp;"'!$E$37:$E$52"),INDIRECT("'"&amp;$G4&amp;"'!$B$37:$B$52"),"*Indirect*"),0))</f>
        <v/>
      </c>
      <c r="N4" s="127">
        <f>IF($G4="","",IFERROR(SUMIFS(INDIRECT("'"&amp;$G4&amp;"'!$E$37:$E$52"),INDIRECT("'"&amp;$G4&amp;"'!$B$37:$B$52"),"Salvage*"),0))</f>
        <v/>
      </c>
      <c r="O4" s="127">
        <f>IF($G4="","",IFERROR(INDEX(INDIRECT("'"&amp;$G4&amp;"'!$E$1:$E$70"),MATCH("Net Present Worth",INDIRECT("'"&amp;$G4&amp;"'!$B$1:$B$70"),0)),0))</f>
        <v/>
      </c>
      <c r="P4" s="127">
        <f>IF($G4="","",O4-MIN($O$4:$O$7))</f>
        <v/>
      </c>
      <c r="Q4" s="126">
        <f>IF($G4="","",IF(IFERROR(INDIRECT("'"&amp;$G4&amp;"'!$F$2"),0)&gt;0,SUM($AG$41:$AG$71),IFERROR(SUM(INDIRECT("'"&amp;$G4&amp;"'!$F$4:$F$10")),0)))</f>
        <v/>
      </c>
      <c r="R4" s="128">
        <f>IF($G4="","",1-Q4/('General Information'!$D$33*365))</f>
        <v/>
      </c>
      <c r="W4" s="125" t="inlineStr">
        <is>
          <t>Category</t>
        </is>
      </c>
      <c r="X4" s="125">
        <f>IF($H$4="","",$H$4)</f>
        <v/>
      </c>
      <c r="Y4" s="125">
        <f>IF($H$5="","",$H$5)</f>
        <v/>
      </c>
      <c r="Z4" s="125">
        <f>IF($H$6="","",$H$6)</f>
        <v/>
      </c>
      <c r="AA4" s="125">
        <f>IF($H$7="","",$H$7)</f>
        <v/>
      </c>
    </row>
    <row r="5">
      <c r="G5" s="126">
        <f>IF(INDEX(Database!$D:$D,5)="","",INDEX(Database!$D:$D,5))</f>
        <v/>
      </c>
      <c r="H5" s="126">
        <f>IF($G5="","",INDEX(Database!$A:$A,5))</f>
        <v/>
      </c>
      <c r="I5" s="126">
        <f>IF($G5="","",INDEX(Database!$B:$B,5))</f>
        <v/>
      </c>
      <c r="J5" s="127">
        <f>IF($G5="","",IFERROR(INDEX(INDIRECT("'"&amp;$G5&amp;"'!$G$1:$G$70"),MATCH("Total",INDIRECT("'"&amp;$G5&amp;"'!$A$1:$A$70"),0)),0))</f>
        <v/>
      </c>
      <c r="K5" s="127">
        <f>IF($G5="","",IFERROR(SUMIFS(INDIRECT("'"&amp;$G5&amp;"'!$E$37:$E$52"),INDIRECT("'"&amp;$G5&amp;"'!$B$37:$B$52"),"Maintenance*",INDIRECT("'"&amp;$G5&amp;"'!$B$37:$B$52"),"&lt;&gt;*Indirect*"),0))</f>
        <v/>
      </c>
      <c r="L5" s="127">
        <f>IF($G5="","",IFERROR(SUMIFS(INDIRECT("'"&amp;$G5&amp;"'!$E$37:$E$52"),INDIRECT("'"&amp;$G5&amp;"'!$B$37:$B$52"),"Rehabilitation*",INDIRECT("'"&amp;$G5&amp;"'!$B$37:$B$52"),"&lt;&gt;*Indirect*"),0))</f>
        <v/>
      </c>
      <c r="M5" s="127">
        <f>IF($G5="","",IFERROR(SUMIFS(INDIRECT("'"&amp;$G5&amp;"'!$E$37:$E$52"),INDIRECT("'"&amp;$G5&amp;"'!$B$37:$B$52"),"*Indirect*"),0))</f>
        <v/>
      </c>
      <c r="N5" s="127">
        <f>IF($G5="","",IFERROR(SUMIFS(INDIRECT("'"&amp;$G5&amp;"'!$E$37:$E$52"),INDIRECT("'"&amp;$G5&amp;"'!$B$37:$B$52"),"Salvage*"),0))</f>
        <v/>
      </c>
      <c r="O5" s="127">
        <f>IF($G5="","",IFERROR(INDEX(INDIRECT("'"&amp;$G5&amp;"'!$E$1:$E$70"),MATCH("Net Present Worth",INDIRECT("'"&amp;$G5&amp;"'!$B$1:$B$70"),0)),0))</f>
        <v/>
      </c>
      <c r="P5" s="127">
        <f>IF($G5="","",O5-MIN($O$4:$O$7))</f>
        <v/>
      </c>
      <c r="Q5" s="126">
        <f>IF($G5="","",IF(IFERROR(INDIRECT("'"&amp;$G5&amp;"'!$F$2"),0)&gt;0,SUM($AH$41:$AH$71),IFERROR(SUM(INDIRECT("'"&amp;$G5&amp;"'!$F$4:$F$10")),0)))</f>
        <v/>
      </c>
      <c r="R5" s="128">
        <f>IF($G5="","",1-Q5/('General Information'!$D$33*365))</f>
        <v/>
      </c>
      <c r="W5" s="129" t="inlineStr">
        <is>
          <t>Initial construction</t>
        </is>
      </c>
      <c r="X5" s="130">
        <f>IF(J4="",0,J4)</f>
        <v/>
      </c>
      <c r="Y5" s="130">
        <f>IF(J5="",0,J5)</f>
        <v/>
      </c>
      <c r="Z5" s="130">
        <f>IF(J6="",0,J6)</f>
        <v/>
      </c>
      <c r="AA5" s="130">
        <f>IF(J7="",0,J7)</f>
        <v/>
      </c>
    </row>
    <row r="6">
      <c r="G6" s="126">
        <f>IF(INDEX(Database!$D:$D,6)="","",INDEX(Database!$D:$D,6))</f>
        <v/>
      </c>
      <c r="H6" s="126">
        <f>IF($G6="","",INDEX(Database!$A:$A,6))</f>
        <v/>
      </c>
      <c r="I6" s="126">
        <f>IF($G6="","",INDEX(Database!$B:$B,6))</f>
        <v/>
      </c>
      <c r="J6" s="127">
        <f>IF($G6="","",IFERROR(INDEX(INDIRECT("'"&amp;$G6&amp;"'!$G$1:$G$70"),MATCH("Total",INDIRECT("'"&amp;$G6&amp;"'!$A$1:$A$70"),0)),0))</f>
        <v/>
      </c>
      <c r="K6" s="127">
        <f>IF($G6="","",IFERROR(SUMIFS(INDIRECT("'"&amp;$G6&amp;"'!$E$37:$E$52"),INDIRECT("'"&amp;$G6&amp;"'!$B$37:$B$52"),"Maintenance*",INDIRECT("'"&amp;$G6&amp;"'!$B$37:$B$52"),"&lt;&gt;*Indirect*"),0))</f>
        <v/>
      </c>
      <c r="L6" s="127">
        <f>IF($G6="","",IFERROR(SUMIFS(INDIRECT("'"&amp;$G6&amp;"'!$E$37:$E$52"),INDIRECT("'"&amp;$G6&amp;"'!$B$37:$B$52"),"Rehabilitation*",INDIRECT("'"&amp;$G6&amp;"'!$B$37:$B$52"),"&lt;&gt;*Indirect*"),0))</f>
        <v/>
      </c>
      <c r="M6" s="127">
        <f>IF($G6="","",IFERROR(SUMIFS(INDIRECT("'"&amp;$G6&amp;"'!$E$37:$E$52"),INDIRECT("'"&amp;$G6&amp;"'!$B$37:$B$52"),"*Indirect*"),0))</f>
        <v/>
      </c>
      <c r="N6" s="127">
        <f>IF($G6="","",IFERROR(SUMIFS(INDIRECT("'"&amp;$G6&amp;"'!$E$37:$E$52"),INDIRECT("'"&amp;$G6&amp;"'!$B$37:$B$52"),"Salvage*"),0))</f>
        <v/>
      </c>
      <c r="O6" s="127">
        <f>IF($G6="","",IFERROR(INDEX(INDIRECT("'"&amp;$G6&amp;"'!$E$1:$E$70"),MATCH("Net Present Worth",INDIRECT("'"&amp;$G6&amp;"'!$B$1:$B$70"),0)),0))</f>
        <v/>
      </c>
      <c r="P6" s="127">
        <f>IF($G6="","",O6-MIN($O$4:$O$7))</f>
        <v/>
      </c>
      <c r="Q6" s="126">
        <f>IF($G6="","",IF(IFERROR(INDIRECT("'"&amp;$G6&amp;"'!$F$2"),0)&gt;0,SUM($AI$41:$AI$71),IFERROR(SUM(INDIRECT("'"&amp;$G6&amp;"'!$F$4:$F$10")),0)))</f>
        <v/>
      </c>
      <c r="R6" s="128">
        <f>IF($G6="","",1-Q6/('General Information'!$D$33*365))</f>
        <v/>
      </c>
      <c r="W6" s="129" t="inlineStr">
        <is>
          <t>Maintenance</t>
        </is>
      </c>
      <c r="X6" s="130">
        <f>IF(K4="",0,K4)</f>
        <v/>
      </c>
      <c r="Y6" s="130">
        <f>IF(K5="",0,K5)</f>
        <v/>
      </c>
      <c r="Z6" s="130">
        <f>IF(K6="",0,K6)</f>
        <v/>
      </c>
      <c r="AA6" s="130">
        <f>IF(K7="",0,K7)</f>
        <v/>
      </c>
    </row>
    <row r="7">
      <c r="G7" s="126">
        <f>IF(INDEX(Database!$D:$D,7)="","",INDEX(Database!$D:$D,7))</f>
        <v/>
      </c>
      <c r="H7" s="126">
        <f>IF($G7="","",INDEX(Database!$A:$A,7))</f>
        <v/>
      </c>
      <c r="I7" s="126">
        <f>IF($G7="","",INDEX(Database!$B:$B,7))</f>
        <v/>
      </c>
      <c r="J7" s="127">
        <f>IF($G7="","",IFERROR(INDEX(INDIRECT("'"&amp;$G7&amp;"'!$G$1:$G$70"),MATCH("Total",INDIRECT("'"&amp;$G7&amp;"'!$A$1:$A$70"),0)),0))</f>
        <v/>
      </c>
      <c r="K7" s="127">
        <f>IF($G7="","",IFERROR(SUMIFS(INDIRECT("'"&amp;$G7&amp;"'!$E$37:$E$52"),INDIRECT("'"&amp;$G7&amp;"'!$B$37:$B$52"),"Maintenance*",INDIRECT("'"&amp;$G7&amp;"'!$B$37:$B$52"),"&lt;&gt;*Indirect*"),0))</f>
        <v/>
      </c>
      <c r="L7" s="127">
        <f>IF($G7="","",IFERROR(SUMIFS(INDIRECT("'"&amp;$G7&amp;"'!$E$37:$E$52"),INDIRECT("'"&amp;$G7&amp;"'!$B$37:$B$52"),"Rehabilitation*",INDIRECT("'"&amp;$G7&amp;"'!$B$37:$B$52"),"&lt;&gt;*Indirect*"),0))</f>
        <v/>
      </c>
      <c r="M7" s="127">
        <f>IF($G7="","",IFERROR(SUMIFS(INDIRECT("'"&amp;$G7&amp;"'!$E$37:$E$52"),INDIRECT("'"&amp;$G7&amp;"'!$B$37:$B$52"),"*Indirect*"),0))</f>
        <v/>
      </c>
      <c r="N7" s="127">
        <f>IF($G7="","",IFERROR(SUMIFS(INDIRECT("'"&amp;$G7&amp;"'!$E$37:$E$52"),INDIRECT("'"&amp;$G7&amp;"'!$B$37:$B$52"),"Salvage*"),0))</f>
        <v/>
      </c>
      <c r="O7" s="127">
        <f>IF($G7="","",IFERROR(INDEX(INDIRECT("'"&amp;$G7&amp;"'!$E$1:$E$70"),MATCH("Net Present Worth",INDIRECT("'"&amp;$G7&amp;"'!$B$1:$B$70"),0)),0))</f>
        <v/>
      </c>
      <c r="P7" s="127">
        <f>IF($G7="","",O7-MIN($O$4:$O$7))</f>
        <v/>
      </c>
      <c r="Q7" s="126">
        <f>IF($G7="","",IF(IFERROR(INDIRECT("'"&amp;$G7&amp;"'!$F$2"),0)&gt;0,SUM($AJ$41:$AJ$71),IFERROR(SUM(INDIRECT("'"&amp;$G7&amp;"'!$F$4:$F$10")),0)))</f>
        <v/>
      </c>
      <c r="R7" s="128">
        <f>IF($G7="","",1-Q7/('General Information'!$D$33*365))</f>
        <v/>
      </c>
      <c r="W7" s="129" t="inlineStr">
        <is>
          <t>Rehabilitation</t>
        </is>
      </c>
      <c r="X7" s="130">
        <f>IF(L4="",0,L4)</f>
        <v/>
      </c>
      <c r="Y7" s="130">
        <f>IF(L5="",0,L5)</f>
        <v/>
      </c>
      <c r="Z7" s="130">
        <f>IF(L6="",0,L6)</f>
        <v/>
      </c>
      <c r="AA7" s="130">
        <f>IF(L7="",0,L7)</f>
        <v/>
      </c>
    </row>
    <row r="8">
      <c r="W8" s="129" t="inlineStr">
        <is>
          <t>Lost revenue</t>
        </is>
      </c>
      <c r="X8" s="130">
        <f>IF(M4="",0,M4)</f>
        <v/>
      </c>
      <c r="Y8" s="130">
        <f>IF(M5="",0,M5)</f>
        <v/>
      </c>
      <c r="Z8" s="130">
        <f>IF(M6="",0,M6)</f>
        <v/>
      </c>
      <c r="AA8" s="130">
        <f>IF(M7="",0,M7)</f>
        <v/>
      </c>
    </row>
    <row r="9">
      <c r="G9" s="131">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2" t="n"/>
      <c r="I9" s="132" t="n"/>
      <c r="J9" s="132" t="n"/>
      <c r="K9" s="132" t="n"/>
      <c r="L9" s="132" t="n"/>
      <c r="M9" s="132" t="n"/>
      <c r="N9" s="132" t="n"/>
      <c r="O9" s="132" t="n"/>
      <c r="P9" s="132" t="n"/>
      <c r="Q9" s="132" t="n"/>
      <c r="R9" s="132" t="n"/>
      <c r="W9" s="129" t="inlineStr">
        <is>
          <t>Salvage</t>
        </is>
      </c>
      <c r="X9" s="130">
        <f>IF(N4="",0,N4)</f>
        <v/>
      </c>
      <c r="Y9" s="130">
        <f>IF(N5="",0,N5)</f>
        <v/>
      </c>
      <c r="Z9" s="130">
        <f>IF(N6="",0,N6)</f>
        <v/>
      </c>
      <c r="AA9" s="130">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5" t="inlineStr">
        <is>
          <t>Rate (%)</t>
        </is>
      </c>
      <c r="X11" s="125">
        <f>IF(X$4="","",X$4)</f>
        <v/>
      </c>
      <c r="Y11" s="125">
        <f>IF(Y$4="","",Y$4)</f>
        <v/>
      </c>
      <c r="Z11" s="125">
        <f>IF(Z$4="","",Z$4)</f>
        <v/>
      </c>
      <c r="AA11" s="125">
        <f>IF(AA$4="","",AA$4)</f>
        <v/>
      </c>
    </row>
    <row r="12">
      <c r="G12" s="121" t="inlineStr">
        <is>
          <t>COMPARISON  (RealCost layout: agency cost, user cost, total; present worth and equivalent uniform annual cost)</t>
        </is>
      </c>
      <c r="W12" s="133" t="n">
        <v>2</v>
      </c>
      <c r="X12" s="130">
        <f>IF($G$4="",0,IFERROR($J$4+SUMPRODUCT((INDIRECT("'"&amp;$G$4&amp;"'!$C$37:$C$52")&lt;='General Information'!$D$33)*INDIRECT("'"&amp;$G$4&amp;"'!$D$37:$D$52")/(1+$W12/100)^INDIRECT("'"&amp;$G$4&amp;"'!$C$37:$C$52")),0))</f>
        <v/>
      </c>
      <c r="Y12" s="130">
        <f>IF($G$5="",0,IFERROR($J$5+SUMPRODUCT((INDIRECT("'"&amp;$G$5&amp;"'!$C$37:$C$52")&lt;='General Information'!$D$33)*INDIRECT("'"&amp;$G$5&amp;"'!$D$37:$D$52")/(1+$W12/100)^INDIRECT("'"&amp;$G$5&amp;"'!$C$37:$C$52")),0))</f>
        <v/>
      </c>
      <c r="Z12" s="130">
        <f>IF($G$6="",0,IFERROR($J$6+SUMPRODUCT((INDIRECT("'"&amp;$G$6&amp;"'!$C$37:$C$52")&lt;='General Information'!$D$33)*INDIRECT("'"&amp;$G$6&amp;"'!$D$37:$D$52")/(1+$W12/100)^INDIRECT("'"&amp;$G$6&amp;"'!$C$37:$C$52")),0))</f>
        <v/>
      </c>
      <c r="AA12" s="130">
        <f>IF($G$7="",0,IFERROR($J$7+SUMPRODUCT((INDIRECT("'"&amp;$G$7&amp;"'!$C$37:$C$52")&lt;='General Information'!$D$33)*INDIRECT("'"&amp;$G$7&amp;"'!$D$37:$D$52")/(1+$W12/100)^INDIRECT("'"&amp;$G$7&amp;"'!$C$37:$C$52")),0))</f>
        <v/>
      </c>
    </row>
    <row r="13" ht="27" customHeight="1">
      <c r="G13" s="125" t="inlineStr">
        <is>
          <t>Alternative</t>
        </is>
      </c>
      <c r="H13" s="125" t="inlineStr">
        <is>
          <t>Agency cost PW</t>
        </is>
      </c>
      <c r="I13" s="125" t="inlineStr">
        <is>
          <t>Agency EUAC</t>
        </is>
      </c>
      <c r="J13" s="125" t="inlineStr">
        <is>
          <t>User cost PW (lost revenue)</t>
        </is>
      </c>
      <c r="K13" s="125" t="inlineStr">
        <is>
          <t>User EUAC</t>
        </is>
      </c>
      <c r="L13" s="125" t="inlineStr">
        <is>
          <t>Total PW</t>
        </is>
      </c>
      <c r="M13" s="125" t="inlineStr">
        <is>
          <t>Total EUAC</t>
        </is>
      </c>
      <c r="N13" s="125" t="inlineStr">
        <is>
          <t>vs. lowest ($)</t>
        </is>
      </c>
      <c r="O13" s="125" t="inlineStr">
        <is>
          <t>vs. lowest (%)</t>
        </is>
      </c>
      <c r="P13" s="125" t="inlineStr">
        <is>
          <t>Lowest?</t>
        </is>
      </c>
      <c r="W13" s="133" t="n">
        <v>2.25</v>
      </c>
      <c r="X13" s="130">
        <f>IF($G$4="",0,IFERROR($J$4+SUMPRODUCT((INDIRECT("'"&amp;$G$4&amp;"'!$C$37:$C$52")&lt;='General Information'!$D$33)*INDIRECT("'"&amp;$G$4&amp;"'!$D$37:$D$52")/(1+$W13/100)^INDIRECT("'"&amp;$G$4&amp;"'!$C$37:$C$52")),0))</f>
        <v/>
      </c>
      <c r="Y13" s="130">
        <f>IF($G$5="",0,IFERROR($J$5+SUMPRODUCT((INDIRECT("'"&amp;$G$5&amp;"'!$C$37:$C$52")&lt;='General Information'!$D$33)*INDIRECT("'"&amp;$G$5&amp;"'!$D$37:$D$52")/(1+$W13/100)^INDIRECT("'"&amp;$G$5&amp;"'!$C$37:$C$52")),0))</f>
        <v/>
      </c>
      <c r="Z13" s="130">
        <f>IF($G$6="",0,IFERROR($J$6+SUMPRODUCT((INDIRECT("'"&amp;$G$6&amp;"'!$C$37:$C$52")&lt;='General Information'!$D$33)*INDIRECT("'"&amp;$G$6&amp;"'!$D$37:$D$52")/(1+$W13/100)^INDIRECT("'"&amp;$G$6&amp;"'!$C$37:$C$52")),0))</f>
        <v/>
      </c>
      <c r="AA13" s="130">
        <f>IF($G$7="",0,IFERROR($J$7+SUMPRODUCT((INDIRECT("'"&amp;$G$7&amp;"'!$C$37:$C$52")&lt;='General Information'!$D$33)*INDIRECT("'"&amp;$G$7&amp;"'!$D$37:$D$52")/(1+$W13/100)^INDIRECT("'"&amp;$G$7&amp;"'!$C$37:$C$52")),0))</f>
        <v/>
      </c>
    </row>
    <row r="14">
      <c r="G14" s="126">
        <f>IF($G$4="","",$H$4)</f>
        <v/>
      </c>
      <c r="H14" s="127">
        <f>IF($G$4="","",$J$4+$K$4+$L$4+$N$4)</f>
        <v/>
      </c>
      <c r="I14" s="127">
        <f>IF($G$4="","",H14*(('General Information'!$D$34/100)*(1+'General Information'!$D$34/100)^'General Information'!$D$33/((1+'General Information'!$D$34/100)^'General Information'!$D$33-1)))</f>
        <v/>
      </c>
      <c r="J14" s="127">
        <f>IF($G$4="","",$M$4)</f>
        <v/>
      </c>
      <c r="K14" s="127">
        <f>IF($G$4="","",J14*(('General Information'!$D$34/100)*(1+'General Information'!$D$34/100)^'General Information'!$D$33/((1+'General Information'!$D$34/100)^'General Information'!$D$33-1)))</f>
        <v/>
      </c>
      <c r="L14" s="127">
        <f>IF($G$4="","",$O$4)</f>
        <v/>
      </c>
      <c r="M14" s="127">
        <f>IF($G$4="","",L14*(('General Information'!$D$34/100)*(1+'General Information'!$D$34/100)^'General Information'!$D$33/((1+'General Information'!$D$34/100)^'General Information'!$D$33-1)))</f>
        <v/>
      </c>
      <c r="N14" s="127">
        <f>IF($G$4="","",$P$4)</f>
        <v/>
      </c>
      <c r="O14" s="134">
        <f>IF($G$4="","",IFERROR($P$4/MIN($O$4:$O$7),0))</f>
        <v/>
      </c>
      <c r="P14" s="126">
        <f>IF($G$4="","",IF($O$4=MIN($O$4:$O$7),"lowest",""))</f>
        <v/>
      </c>
      <c r="W14" s="133" t="n">
        <v>2.5</v>
      </c>
      <c r="X14" s="130">
        <f>IF($G$4="",0,IFERROR($J$4+SUMPRODUCT((INDIRECT("'"&amp;$G$4&amp;"'!$C$37:$C$52")&lt;='General Information'!$D$33)*INDIRECT("'"&amp;$G$4&amp;"'!$D$37:$D$52")/(1+$W14/100)^INDIRECT("'"&amp;$G$4&amp;"'!$C$37:$C$52")),0))</f>
        <v/>
      </c>
      <c r="Y14" s="130">
        <f>IF($G$5="",0,IFERROR($J$5+SUMPRODUCT((INDIRECT("'"&amp;$G$5&amp;"'!$C$37:$C$52")&lt;='General Information'!$D$33)*INDIRECT("'"&amp;$G$5&amp;"'!$D$37:$D$52")/(1+$W14/100)^INDIRECT("'"&amp;$G$5&amp;"'!$C$37:$C$52")),0))</f>
        <v/>
      </c>
      <c r="Z14" s="130">
        <f>IF($G$6="",0,IFERROR($J$6+SUMPRODUCT((INDIRECT("'"&amp;$G$6&amp;"'!$C$37:$C$52")&lt;='General Information'!$D$33)*INDIRECT("'"&amp;$G$6&amp;"'!$D$37:$D$52")/(1+$W14/100)^INDIRECT("'"&amp;$G$6&amp;"'!$C$37:$C$52")),0))</f>
        <v/>
      </c>
      <c r="AA14" s="130">
        <f>IF($G$7="",0,IFERROR($J$7+SUMPRODUCT((INDIRECT("'"&amp;$G$7&amp;"'!$C$37:$C$52")&lt;='General Information'!$D$33)*INDIRECT("'"&amp;$G$7&amp;"'!$D$37:$D$52")/(1+$W14/100)^INDIRECT("'"&amp;$G$7&amp;"'!$C$37:$C$52")),0))</f>
        <v/>
      </c>
    </row>
    <row r="15">
      <c r="G15" s="126">
        <f>IF($G$5="","",$H$5)</f>
        <v/>
      </c>
      <c r="H15" s="127">
        <f>IF($G$5="","",$J$5+$K$5+$L$5+$N$5)</f>
        <v/>
      </c>
      <c r="I15" s="127">
        <f>IF($G$5="","",H15*(('General Information'!$D$34/100)*(1+'General Information'!$D$34/100)^'General Information'!$D$33/((1+'General Information'!$D$34/100)^'General Information'!$D$33-1)))</f>
        <v/>
      </c>
      <c r="J15" s="127">
        <f>IF($G$5="","",$M$5)</f>
        <v/>
      </c>
      <c r="K15" s="127">
        <f>IF($G$5="","",J15*(('General Information'!$D$34/100)*(1+'General Information'!$D$34/100)^'General Information'!$D$33/((1+'General Information'!$D$34/100)^'General Information'!$D$33-1)))</f>
        <v/>
      </c>
      <c r="L15" s="127">
        <f>IF($G$5="","",$O$5)</f>
        <v/>
      </c>
      <c r="M15" s="127">
        <f>IF($G$5="","",L15*(('General Information'!$D$34/100)*(1+'General Information'!$D$34/100)^'General Information'!$D$33/((1+'General Information'!$D$34/100)^'General Information'!$D$33-1)))</f>
        <v/>
      </c>
      <c r="N15" s="127">
        <f>IF($G$5="","",$P$5)</f>
        <v/>
      </c>
      <c r="O15" s="134">
        <f>IF($G$5="","",IFERROR($P$5/MIN($O$4:$O$7),0))</f>
        <v/>
      </c>
      <c r="P15" s="126">
        <f>IF($G$5="","",IF($O$5=MIN($O$4:$O$7),"lowest",""))</f>
        <v/>
      </c>
      <c r="W15" s="133" t="n">
        <v>2.75</v>
      </c>
      <c r="X15" s="130">
        <f>IF($G$4="",0,IFERROR($J$4+SUMPRODUCT((INDIRECT("'"&amp;$G$4&amp;"'!$C$37:$C$52")&lt;='General Information'!$D$33)*INDIRECT("'"&amp;$G$4&amp;"'!$D$37:$D$52")/(1+$W15/100)^INDIRECT("'"&amp;$G$4&amp;"'!$C$37:$C$52")),0))</f>
        <v/>
      </c>
      <c r="Y15" s="130">
        <f>IF($G$5="",0,IFERROR($J$5+SUMPRODUCT((INDIRECT("'"&amp;$G$5&amp;"'!$C$37:$C$52")&lt;='General Information'!$D$33)*INDIRECT("'"&amp;$G$5&amp;"'!$D$37:$D$52")/(1+$W15/100)^INDIRECT("'"&amp;$G$5&amp;"'!$C$37:$C$52")),0))</f>
        <v/>
      </c>
      <c r="Z15" s="130">
        <f>IF($G$6="",0,IFERROR($J$6+SUMPRODUCT((INDIRECT("'"&amp;$G$6&amp;"'!$C$37:$C$52")&lt;='General Information'!$D$33)*INDIRECT("'"&amp;$G$6&amp;"'!$D$37:$D$52")/(1+$W15/100)^INDIRECT("'"&amp;$G$6&amp;"'!$C$37:$C$52")),0))</f>
        <v/>
      </c>
      <c r="AA15" s="130">
        <f>IF($G$7="",0,IFERROR($J$7+SUMPRODUCT((INDIRECT("'"&amp;$G$7&amp;"'!$C$37:$C$52")&lt;='General Information'!$D$33)*INDIRECT("'"&amp;$G$7&amp;"'!$D$37:$D$52")/(1+$W15/100)^INDIRECT("'"&amp;$G$7&amp;"'!$C$37:$C$52")),0))</f>
        <v/>
      </c>
    </row>
    <row r="16">
      <c r="G16" s="126">
        <f>IF($G$6="","",$H$6)</f>
        <v/>
      </c>
      <c r="H16" s="127">
        <f>IF($G$6="","",$J$6+$K$6+$L$6+$N$6)</f>
        <v/>
      </c>
      <c r="I16" s="127">
        <f>IF($G$6="","",H16*(('General Information'!$D$34/100)*(1+'General Information'!$D$34/100)^'General Information'!$D$33/((1+'General Information'!$D$34/100)^'General Information'!$D$33-1)))</f>
        <v/>
      </c>
      <c r="J16" s="127">
        <f>IF($G$6="","",$M$6)</f>
        <v/>
      </c>
      <c r="K16" s="127">
        <f>IF($G$6="","",J16*(('General Information'!$D$34/100)*(1+'General Information'!$D$34/100)^'General Information'!$D$33/((1+'General Information'!$D$34/100)^'General Information'!$D$33-1)))</f>
        <v/>
      </c>
      <c r="L16" s="127">
        <f>IF($G$6="","",$O$6)</f>
        <v/>
      </c>
      <c r="M16" s="127">
        <f>IF($G$6="","",L16*(('General Information'!$D$34/100)*(1+'General Information'!$D$34/100)^'General Information'!$D$33/((1+'General Information'!$D$34/100)^'General Information'!$D$33-1)))</f>
        <v/>
      </c>
      <c r="N16" s="127">
        <f>IF($G$6="","",$P$6)</f>
        <v/>
      </c>
      <c r="O16" s="134">
        <f>IF($G$6="","",IFERROR($P$6/MIN($O$4:$O$7),0))</f>
        <v/>
      </c>
      <c r="P16" s="126">
        <f>IF($G$6="","",IF($O$6=MIN($O$4:$O$7),"lowest",""))</f>
        <v/>
      </c>
      <c r="W16" s="133" t="n">
        <v>3</v>
      </c>
      <c r="X16" s="130">
        <f>IF($G$4="",0,IFERROR($J$4+SUMPRODUCT((INDIRECT("'"&amp;$G$4&amp;"'!$C$37:$C$52")&lt;='General Information'!$D$33)*INDIRECT("'"&amp;$G$4&amp;"'!$D$37:$D$52")/(1+$W16/100)^INDIRECT("'"&amp;$G$4&amp;"'!$C$37:$C$52")),0))</f>
        <v/>
      </c>
      <c r="Y16" s="130">
        <f>IF($G$5="",0,IFERROR($J$5+SUMPRODUCT((INDIRECT("'"&amp;$G$5&amp;"'!$C$37:$C$52")&lt;='General Information'!$D$33)*INDIRECT("'"&amp;$G$5&amp;"'!$D$37:$D$52")/(1+$W16/100)^INDIRECT("'"&amp;$G$5&amp;"'!$C$37:$C$52")),0))</f>
        <v/>
      </c>
      <c r="Z16" s="130">
        <f>IF($G$6="",0,IFERROR($J$6+SUMPRODUCT((INDIRECT("'"&amp;$G$6&amp;"'!$C$37:$C$52")&lt;='General Information'!$D$33)*INDIRECT("'"&amp;$G$6&amp;"'!$D$37:$D$52")/(1+$W16/100)^INDIRECT("'"&amp;$G$6&amp;"'!$C$37:$C$52")),0))</f>
        <v/>
      </c>
      <c r="AA16" s="130">
        <f>IF($G$7="",0,IFERROR($J$7+SUMPRODUCT((INDIRECT("'"&amp;$G$7&amp;"'!$C$37:$C$52")&lt;='General Information'!$D$33)*INDIRECT("'"&amp;$G$7&amp;"'!$D$37:$D$52")/(1+$W16/100)^INDIRECT("'"&amp;$G$7&amp;"'!$C$37:$C$52")),0))</f>
        <v/>
      </c>
    </row>
    <row r="17">
      <c r="G17" s="126">
        <f>IF($G$7="","",$H$7)</f>
        <v/>
      </c>
      <c r="H17" s="127">
        <f>IF($G$7="","",$J$7+$K$7+$L$7+$N$7)</f>
        <v/>
      </c>
      <c r="I17" s="127">
        <f>IF($G$7="","",H17*(('General Information'!$D$34/100)*(1+'General Information'!$D$34/100)^'General Information'!$D$33/((1+'General Information'!$D$34/100)^'General Information'!$D$33-1)))</f>
        <v/>
      </c>
      <c r="J17" s="127">
        <f>IF($G$7="","",$M$7)</f>
        <v/>
      </c>
      <c r="K17" s="127">
        <f>IF($G$7="","",J17*(('General Information'!$D$34/100)*(1+'General Information'!$D$34/100)^'General Information'!$D$33/((1+'General Information'!$D$34/100)^'General Information'!$D$33-1)))</f>
        <v/>
      </c>
      <c r="L17" s="127">
        <f>IF($G$7="","",$O$7)</f>
        <v/>
      </c>
      <c r="M17" s="127">
        <f>IF($G$7="","",L17*(('General Information'!$D$34/100)*(1+'General Information'!$D$34/100)^'General Information'!$D$33/((1+'General Information'!$D$34/100)^'General Information'!$D$33-1)))</f>
        <v/>
      </c>
      <c r="N17" s="127">
        <f>IF($G$7="","",$P$7)</f>
        <v/>
      </c>
      <c r="O17" s="134">
        <f>IF($G$7="","",IFERROR($P$7/MIN($O$4:$O$7),0))</f>
        <v/>
      </c>
      <c r="P17" s="126">
        <f>IF($G$7="","",IF($O$7=MIN($O$4:$O$7),"lowest",""))</f>
        <v/>
      </c>
      <c r="S17" s="135" t="inlineStr">
        <is>
          <t>■ West</t>
        </is>
      </c>
      <c r="T17" s="136" t="inlineStr">
        <is>
          <t>■ Middle</t>
        </is>
      </c>
      <c r="U17" s="137" t="inlineStr">
        <is>
          <t>■ East</t>
        </is>
      </c>
      <c r="V17" s="138" t="inlineStr">
        <is>
          <t>■ This project</t>
        </is>
      </c>
      <c r="W17" s="133" t="n">
        <v>3.25</v>
      </c>
      <c r="X17" s="130">
        <f>IF($G$4="",0,IFERROR($J$4+SUMPRODUCT((INDIRECT("'"&amp;$G$4&amp;"'!$C$37:$C$52")&lt;='General Information'!$D$33)*INDIRECT("'"&amp;$G$4&amp;"'!$D$37:$D$52")/(1+$W17/100)^INDIRECT("'"&amp;$G$4&amp;"'!$C$37:$C$52")),0))</f>
        <v/>
      </c>
      <c r="Y17" s="130">
        <f>IF($G$5="",0,IFERROR($J$5+SUMPRODUCT((INDIRECT("'"&amp;$G$5&amp;"'!$C$37:$C$52")&lt;='General Information'!$D$33)*INDIRECT("'"&amp;$G$5&amp;"'!$D$37:$D$52")/(1+$W17/100)^INDIRECT("'"&amp;$G$5&amp;"'!$C$37:$C$52")),0))</f>
        <v/>
      </c>
      <c r="Z17" s="130">
        <f>IF($G$6="",0,IFERROR($J$6+SUMPRODUCT((INDIRECT("'"&amp;$G$6&amp;"'!$C$37:$C$52")&lt;='General Information'!$D$33)*INDIRECT("'"&amp;$G$6&amp;"'!$D$37:$D$52")/(1+$W17/100)^INDIRECT("'"&amp;$G$6&amp;"'!$C$37:$C$52")),0))</f>
        <v/>
      </c>
      <c r="AA17" s="130">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3" t="n">
        <v>3.5</v>
      </c>
      <c r="X18" s="130">
        <f>IF($G$4="",0,IFERROR($J$4+SUMPRODUCT((INDIRECT("'"&amp;$G$4&amp;"'!$C$37:$C$52")&lt;='General Information'!$D$33)*INDIRECT("'"&amp;$G$4&amp;"'!$D$37:$D$52")/(1+$W18/100)^INDIRECT("'"&amp;$G$4&amp;"'!$C$37:$C$52")),0))</f>
        <v/>
      </c>
      <c r="Y18" s="130">
        <f>IF($G$5="",0,IFERROR($J$5+SUMPRODUCT((INDIRECT("'"&amp;$G$5&amp;"'!$C$37:$C$52")&lt;='General Information'!$D$33)*INDIRECT("'"&amp;$G$5&amp;"'!$D$37:$D$52")/(1+$W18/100)^INDIRECT("'"&amp;$G$5&amp;"'!$C$37:$C$52")),0))</f>
        <v/>
      </c>
      <c r="Z18" s="130">
        <f>IF($G$6="",0,IFERROR($J$6+SUMPRODUCT((INDIRECT("'"&amp;$G$6&amp;"'!$C$37:$C$52")&lt;='General Information'!$D$33)*INDIRECT("'"&amp;$G$6&amp;"'!$D$37:$D$52")/(1+$W18/100)^INDIRECT("'"&amp;$G$6&amp;"'!$C$37:$C$52")),0))</f>
        <v/>
      </c>
      <c r="AA18" s="130">
        <f>IF($G$7="",0,IFERROR($J$7+SUMPRODUCT((INDIRECT("'"&amp;$G$7&amp;"'!$C$37:$C$52")&lt;='General Information'!$D$33)*INDIRECT("'"&amp;$G$7&amp;"'!$D$37:$D$52")/(1+$W18/100)^INDIRECT("'"&amp;$G$7&amp;"'!$C$37:$C$52")),0))</f>
        <v/>
      </c>
    </row>
    <row r="19">
      <c r="S19" s="122" t="inlineStr">
        <is>
          <t>PROJECT</t>
        </is>
      </c>
      <c r="W19" s="133" t="n">
        <v>3.75</v>
      </c>
      <c r="X19" s="130">
        <f>IF($G$4="",0,IFERROR($J$4+SUMPRODUCT((INDIRECT("'"&amp;$G$4&amp;"'!$C$37:$C$52")&lt;='General Information'!$D$33)*INDIRECT("'"&amp;$G$4&amp;"'!$D$37:$D$52")/(1+$W19/100)^INDIRECT("'"&amp;$G$4&amp;"'!$C$37:$C$52")),0))</f>
        <v/>
      </c>
      <c r="Y19" s="130">
        <f>IF($G$5="",0,IFERROR($J$5+SUMPRODUCT((INDIRECT("'"&amp;$G$5&amp;"'!$C$37:$C$52")&lt;='General Information'!$D$33)*INDIRECT("'"&amp;$G$5&amp;"'!$D$37:$D$52")/(1+$W19/100)^INDIRECT("'"&amp;$G$5&amp;"'!$C$37:$C$52")),0))</f>
        <v/>
      </c>
      <c r="Z19" s="130">
        <f>IF($G$6="",0,IFERROR($J$6+SUMPRODUCT((INDIRECT("'"&amp;$G$6&amp;"'!$C$37:$C$52")&lt;='General Information'!$D$33)*INDIRECT("'"&amp;$G$6&amp;"'!$D$37:$D$52")/(1+$W19/100)^INDIRECT("'"&amp;$G$6&amp;"'!$C$37:$C$52")),0))</f>
        <v/>
      </c>
      <c r="AA19" s="130">
        <f>IF($G$7="",0,IFERROR($J$7+SUMPRODUCT((INDIRECT("'"&amp;$G$7&amp;"'!$C$37:$C$52")&lt;='General Information'!$D$33)*INDIRECT("'"&amp;$G$7&amp;"'!$D$37:$D$52")/(1+$W19/100)^INDIRECT("'"&amp;$G$7&amp;"'!$C$37:$C$52")),0))</f>
        <v/>
      </c>
    </row>
    <row r="20">
      <c r="G20" s="121" t="inlineStr">
        <is>
          <t>CHARTS</t>
        </is>
      </c>
      <c r="S20" s="139" t="inlineStr">
        <is>
          <t>Airport</t>
        </is>
      </c>
      <c r="T20" s="139">
        <f>IF('General Information'!$D$9="","",'General Information'!$D$9&amp;" ("&amp;'General Information'!$D$10&amp;")")</f>
        <v/>
      </c>
      <c r="W20" s="133" t="n">
        <v>4</v>
      </c>
      <c r="X20" s="130">
        <f>IF($G$4="",0,IFERROR($J$4+SUMPRODUCT((INDIRECT("'"&amp;$G$4&amp;"'!$C$37:$C$52")&lt;='General Information'!$D$33)*INDIRECT("'"&amp;$G$4&amp;"'!$D$37:$D$52")/(1+$W20/100)^INDIRECT("'"&amp;$G$4&amp;"'!$C$37:$C$52")),0))</f>
        <v/>
      </c>
      <c r="Y20" s="130">
        <f>IF($G$5="",0,IFERROR($J$5+SUMPRODUCT((INDIRECT("'"&amp;$G$5&amp;"'!$C$37:$C$52")&lt;='General Information'!$D$33)*INDIRECT("'"&amp;$G$5&amp;"'!$D$37:$D$52")/(1+$W20/100)^INDIRECT("'"&amp;$G$5&amp;"'!$C$37:$C$52")),0))</f>
        <v/>
      </c>
      <c r="Z20" s="130">
        <f>IF($G$6="",0,IFERROR($J$6+SUMPRODUCT((INDIRECT("'"&amp;$G$6&amp;"'!$C$37:$C$52")&lt;='General Information'!$D$33)*INDIRECT("'"&amp;$G$6&amp;"'!$D$37:$D$52")/(1+$W20/100)^INDIRECT("'"&amp;$G$6&amp;"'!$C$37:$C$52")),0))</f>
        <v/>
      </c>
      <c r="AA20" s="130">
        <f>IF($G$7="",0,IFERROR($J$7+SUMPRODUCT((INDIRECT("'"&amp;$G$7&amp;"'!$C$37:$C$52")&lt;='General Information'!$D$33)*INDIRECT("'"&amp;$G$7&amp;"'!$D$37:$D$52")/(1+$W20/100)^INDIRECT("'"&amp;$G$7&amp;"'!$C$37:$C$52")),0))</f>
        <v/>
      </c>
    </row>
    <row r="21">
      <c r="S21" s="139" t="inlineStr">
        <is>
          <t>City / county</t>
        </is>
      </c>
      <c r="T21" s="139">
        <f>IF('General Information'!$D$9="","",'General Information'!$D$11&amp;IF(IFERROR(VLOOKUP('General Information'!$D$9,'General Information'!$L$10:$Q$88,4,FALSE),"")="",""," / "&amp;IFERROR(VLOOKUP('General Information'!$D$9,'General Information'!$L$10:$Q$88,4,FALSE),"")&amp;" County"))</f>
        <v/>
      </c>
      <c r="W21" s="133" t="n">
        <v>4.25</v>
      </c>
      <c r="X21" s="130">
        <f>IF($G$4="",0,IFERROR($J$4+SUMPRODUCT((INDIRECT("'"&amp;$G$4&amp;"'!$C$37:$C$52")&lt;='General Information'!$D$33)*INDIRECT("'"&amp;$G$4&amp;"'!$D$37:$D$52")/(1+$W21/100)^INDIRECT("'"&amp;$G$4&amp;"'!$C$37:$C$52")),0))</f>
        <v/>
      </c>
      <c r="Y21" s="130">
        <f>IF($G$5="",0,IFERROR($J$5+SUMPRODUCT((INDIRECT("'"&amp;$G$5&amp;"'!$C$37:$C$52")&lt;='General Information'!$D$33)*INDIRECT("'"&amp;$G$5&amp;"'!$D$37:$D$52")/(1+$W21/100)^INDIRECT("'"&amp;$G$5&amp;"'!$C$37:$C$52")),0))</f>
        <v/>
      </c>
      <c r="Z21" s="130">
        <f>IF($G$6="",0,IFERROR($J$6+SUMPRODUCT((INDIRECT("'"&amp;$G$6&amp;"'!$C$37:$C$52")&lt;='General Information'!$D$33)*INDIRECT("'"&amp;$G$6&amp;"'!$D$37:$D$52")/(1+$W21/100)^INDIRECT("'"&amp;$G$6&amp;"'!$C$37:$C$52")),0))</f>
        <v/>
      </c>
      <c r="AA21" s="130">
        <f>IF($G$7="",0,IFERROR($J$7+SUMPRODUCT((INDIRECT("'"&amp;$G$7&amp;"'!$C$37:$C$52")&lt;='General Information'!$D$33)*INDIRECT("'"&amp;$G$7&amp;"'!$D$37:$D$52")/(1+$W21/100)^INDIRECT("'"&amp;$G$7&amp;"'!$C$37:$C$52")),0))</f>
        <v/>
      </c>
    </row>
    <row r="22">
      <c r="S22" s="139" t="inlineStr">
        <is>
          <t>TDOT region</t>
        </is>
      </c>
      <c r="T22" s="139">
        <f>IF('General Information'!$D$9="","",'General Information'!$D$13)</f>
        <v/>
      </c>
      <c r="W22" s="133" t="n">
        <v>4.5</v>
      </c>
      <c r="X22" s="130">
        <f>IF($G$4="",0,IFERROR($J$4+SUMPRODUCT((INDIRECT("'"&amp;$G$4&amp;"'!$C$37:$C$52")&lt;='General Information'!$D$33)*INDIRECT("'"&amp;$G$4&amp;"'!$D$37:$D$52")/(1+$W22/100)^INDIRECT("'"&amp;$G$4&amp;"'!$C$37:$C$52")),0))</f>
        <v/>
      </c>
      <c r="Y22" s="130">
        <f>IF($G$5="",0,IFERROR($J$5+SUMPRODUCT((INDIRECT("'"&amp;$G$5&amp;"'!$C$37:$C$52")&lt;='General Information'!$D$33)*INDIRECT("'"&amp;$G$5&amp;"'!$D$37:$D$52")/(1+$W22/100)^INDIRECT("'"&amp;$G$5&amp;"'!$C$37:$C$52")),0))</f>
        <v/>
      </c>
      <c r="Z22" s="130">
        <f>IF($G$6="",0,IFERROR($J$6+SUMPRODUCT((INDIRECT("'"&amp;$G$6&amp;"'!$C$37:$C$52")&lt;='General Information'!$D$33)*INDIRECT("'"&amp;$G$6&amp;"'!$D$37:$D$52")/(1+$W22/100)^INDIRECT("'"&amp;$G$6&amp;"'!$C$37:$C$52")),0))</f>
        <v/>
      </c>
      <c r="AA22" s="130">
        <f>IF($G$7="",0,IFERROR($J$7+SUMPRODUCT((INDIRECT("'"&amp;$G$7&amp;"'!$C$37:$C$52")&lt;='General Information'!$D$33)*INDIRECT("'"&amp;$G$7&amp;"'!$D$37:$D$52")/(1+$W22/100)^INDIRECT("'"&amp;$G$7&amp;"'!$C$37:$C$52")),0))</f>
        <v/>
      </c>
    </row>
    <row r="23">
      <c r="S23" s="139" t="inlineStr">
        <is>
          <t>Coordinates</t>
        </is>
      </c>
      <c r="T23" s="139">
        <f>IF(AE117="","not in the reference list",TEXT(AE117,"0.0000")&amp;"° N, "&amp;TEXT(-AD117,"0.0000")&amp;"° W")</f>
        <v/>
      </c>
      <c r="W23" s="133" t="n">
        <v>4.75</v>
      </c>
      <c r="X23" s="130">
        <f>IF($G$4="",0,IFERROR($J$4+SUMPRODUCT((INDIRECT("'"&amp;$G$4&amp;"'!$C$37:$C$52")&lt;='General Information'!$D$33)*INDIRECT("'"&amp;$G$4&amp;"'!$D$37:$D$52")/(1+$W23/100)^INDIRECT("'"&amp;$G$4&amp;"'!$C$37:$C$52")),0))</f>
        <v/>
      </c>
      <c r="Y23" s="130">
        <f>IF($G$5="",0,IFERROR($J$5+SUMPRODUCT((INDIRECT("'"&amp;$G$5&amp;"'!$C$37:$C$52")&lt;='General Information'!$D$33)*INDIRECT("'"&amp;$G$5&amp;"'!$D$37:$D$52")/(1+$W23/100)^INDIRECT("'"&amp;$G$5&amp;"'!$C$37:$C$52")),0))</f>
        <v/>
      </c>
      <c r="Z23" s="130">
        <f>IF($G$6="",0,IFERROR($J$6+SUMPRODUCT((INDIRECT("'"&amp;$G$6&amp;"'!$C$37:$C$52")&lt;='General Information'!$D$33)*INDIRECT("'"&amp;$G$6&amp;"'!$D$37:$D$52")/(1+$W23/100)^INDIRECT("'"&amp;$G$6&amp;"'!$C$37:$C$52")),0))</f>
        <v/>
      </c>
      <c r="AA23" s="130">
        <f>IF($G$7="",0,IFERROR($J$7+SUMPRODUCT((INDIRECT("'"&amp;$G$7&amp;"'!$C$37:$C$52")&lt;='General Information'!$D$33)*INDIRECT("'"&amp;$G$7&amp;"'!$D$37:$D$52")/(1+$W23/100)^INDIRECT("'"&amp;$G$7&amp;"'!$C$37:$C$52")),0))</f>
        <v/>
      </c>
    </row>
    <row r="24">
      <c r="S24" s="139" t="inlineStr">
        <is>
          <t>Elevation</t>
        </is>
      </c>
      <c r="T24" s="139">
        <f>IFERROR(IF(INDEX($AB$117:$AB$195,MATCH('General Information'!$D$10,$X$117:$X$195,0))="","",TEXT(INDEX($AB$117:$AB$195,MATCH('General Information'!$D$10,$X$117:$X$195,0)),"#,##0")&amp;" ft"),"")</f>
        <v/>
      </c>
      <c r="W24" s="133" t="n">
        <v>5</v>
      </c>
      <c r="X24" s="130">
        <f>IF($G$4="",0,IFERROR($J$4+SUMPRODUCT((INDIRECT("'"&amp;$G$4&amp;"'!$C$37:$C$52")&lt;='General Information'!$D$33)*INDIRECT("'"&amp;$G$4&amp;"'!$D$37:$D$52")/(1+$W24/100)^INDIRECT("'"&amp;$G$4&amp;"'!$C$37:$C$52")),0))</f>
        <v/>
      </c>
      <c r="Y24" s="130">
        <f>IF($G$5="",0,IFERROR($J$5+SUMPRODUCT((INDIRECT("'"&amp;$G$5&amp;"'!$C$37:$C$52")&lt;='General Information'!$D$33)*INDIRECT("'"&amp;$G$5&amp;"'!$D$37:$D$52")/(1+$W24/100)^INDIRECT("'"&amp;$G$5&amp;"'!$C$37:$C$52")),0))</f>
        <v/>
      </c>
      <c r="Z24" s="130">
        <f>IF($G$6="",0,IFERROR($J$6+SUMPRODUCT((INDIRECT("'"&amp;$G$6&amp;"'!$C$37:$C$52")&lt;='General Information'!$D$33)*INDIRECT("'"&amp;$G$6&amp;"'!$D$37:$D$52")/(1+$W24/100)^INDIRECT("'"&amp;$G$6&amp;"'!$C$37:$C$52")),0))</f>
        <v/>
      </c>
      <c r="AA24" s="130">
        <f>IF($G$7="",0,IFERROR($J$7+SUMPRODUCT((INDIRECT("'"&amp;$G$7&amp;"'!$C$37:$C$52")&lt;='General Information'!$D$33)*INDIRECT("'"&amp;$G$7&amp;"'!$D$37:$D$52")/(1+$W24/100)^INDIRECT("'"&amp;$G$7&amp;"'!$C$37:$C$52")),0))</f>
        <v/>
      </c>
    </row>
    <row r="25">
      <c r="S25" s="139" t="inlineStr">
        <is>
          <t>Branch / project</t>
        </is>
      </c>
      <c r="T25" s="139">
        <f>IF('General Information'!$D$22="","",'General Information'!$D$22&amp;IF('General Information'!$D$23=""," ",", "&amp;'General Information'!$D$23))</f>
        <v/>
      </c>
      <c r="W25" s="133" t="n">
        <v>5.25</v>
      </c>
      <c r="X25" s="130">
        <f>IF($G$4="",0,IFERROR($J$4+SUMPRODUCT((INDIRECT("'"&amp;$G$4&amp;"'!$C$37:$C$52")&lt;='General Information'!$D$33)*INDIRECT("'"&amp;$G$4&amp;"'!$D$37:$D$52")/(1+$W25/100)^INDIRECT("'"&amp;$G$4&amp;"'!$C$37:$C$52")),0))</f>
        <v/>
      </c>
      <c r="Y25" s="130">
        <f>IF($G$5="",0,IFERROR($J$5+SUMPRODUCT((INDIRECT("'"&amp;$G$5&amp;"'!$C$37:$C$52")&lt;='General Information'!$D$33)*INDIRECT("'"&amp;$G$5&amp;"'!$D$37:$D$52")/(1+$W25/100)^INDIRECT("'"&amp;$G$5&amp;"'!$C$37:$C$52")),0))</f>
        <v/>
      </c>
      <c r="Z25" s="130">
        <f>IF($G$6="",0,IFERROR($J$6+SUMPRODUCT((INDIRECT("'"&amp;$G$6&amp;"'!$C$37:$C$52")&lt;='General Information'!$D$33)*INDIRECT("'"&amp;$G$6&amp;"'!$D$37:$D$52")/(1+$W25/100)^INDIRECT("'"&amp;$G$6&amp;"'!$C$37:$C$52")),0))</f>
        <v/>
      </c>
      <c r="AA25" s="130">
        <f>IF($G$7="",0,IFERROR($J$7+SUMPRODUCT((INDIRECT("'"&amp;$G$7&amp;"'!$C$37:$C$52")&lt;='General Information'!$D$33)*INDIRECT("'"&amp;$G$7&amp;"'!$D$37:$D$52")/(1+$W25/100)^INDIRECT("'"&amp;$G$7&amp;"'!$C$37:$C$52")),0))</f>
        <v/>
      </c>
    </row>
    <row r="26">
      <c r="S26" s="139" t="inlineStr">
        <is>
          <t>Mainline area</t>
        </is>
      </c>
      <c r="T26" s="139">
        <f>IF('General Information'!$D$26="","",TEXT('General Information'!$D$26,"#,##0")&amp;" S.Y."&amp;IF('General Information'!$D$27&gt;0," + "&amp;TEXT('General Information'!$D$27,"#,##0")&amp;" S.Y. shoulder",""))</f>
        <v/>
      </c>
      <c r="W26" s="133" t="n">
        <v>5.5</v>
      </c>
      <c r="X26" s="130">
        <f>IF($G$4="",0,IFERROR($J$4+SUMPRODUCT((INDIRECT("'"&amp;$G$4&amp;"'!$C$37:$C$52")&lt;='General Information'!$D$33)*INDIRECT("'"&amp;$G$4&amp;"'!$D$37:$D$52")/(1+$W26/100)^INDIRECT("'"&amp;$G$4&amp;"'!$C$37:$C$52")),0))</f>
        <v/>
      </c>
      <c r="Y26" s="130">
        <f>IF($G$5="",0,IFERROR($J$5+SUMPRODUCT((INDIRECT("'"&amp;$G$5&amp;"'!$C$37:$C$52")&lt;='General Information'!$D$33)*INDIRECT("'"&amp;$G$5&amp;"'!$D$37:$D$52")/(1+$W26/100)^INDIRECT("'"&amp;$G$5&amp;"'!$C$37:$C$52")),0))</f>
        <v/>
      </c>
      <c r="Z26" s="130">
        <f>IF($G$6="",0,IFERROR($J$6+SUMPRODUCT((INDIRECT("'"&amp;$G$6&amp;"'!$C$37:$C$52")&lt;='General Information'!$D$33)*INDIRECT("'"&amp;$G$6&amp;"'!$D$37:$D$52")/(1+$W26/100)^INDIRECT("'"&amp;$G$6&amp;"'!$C$37:$C$52")),0))</f>
        <v/>
      </c>
      <c r="AA26" s="130">
        <f>IF($G$7="",0,IFERROR($J$7+SUMPRODUCT((INDIRECT("'"&amp;$G$7&amp;"'!$C$37:$C$52")&lt;='General Information'!$D$33)*INDIRECT("'"&amp;$G$7&amp;"'!$D$37:$D$52")/(1+$W26/100)^INDIRECT("'"&amp;$G$7&amp;"'!$C$37:$C$52")),0))</f>
        <v/>
      </c>
    </row>
    <row r="27">
      <c r="S27" s="139" t="inlineStr">
        <is>
          <t>Runway width, ft</t>
        </is>
      </c>
      <c r="T27" s="140" t="n">
        <v>100</v>
      </c>
      <c r="W27" s="133" t="n">
        <v>5.75</v>
      </c>
      <c r="X27" s="130">
        <f>IF($G$4="",0,IFERROR($J$4+SUMPRODUCT((INDIRECT("'"&amp;$G$4&amp;"'!$C$37:$C$52")&lt;='General Information'!$D$33)*INDIRECT("'"&amp;$G$4&amp;"'!$D$37:$D$52")/(1+$W27/100)^INDIRECT("'"&amp;$G$4&amp;"'!$C$37:$C$52")),0))</f>
        <v/>
      </c>
      <c r="Y27" s="130">
        <f>IF($G$5="",0,IFERROR($J$5+SUMPRODUCT((INDIRECT("'"&amp;$G$5&amp;"'!$C$37:$C$52")&lt;='General Information'!$D$33)*INDIRECT("'"&amp;$G$5&amp;"'!$D$37:$D$52")/(1+$W27/100)^INDIRECT("'"&amp;$G$5&amp;"'!$C$37:$C$52")),0))</f>
        <v/>
      </c>
      <c r="Z27" s="130">
        <f>IF($G$6="",0,IFERROR($J$6+SUMPRODUCT((INDIRECT("'"&amp;$G$6&amp;"'!$C$37:$C$52")&lt;='General Information'!$D$33)*INDIRECT("'"&amp;$G$6&amp;"'!$D$37:$D$52")/(1+$W27/100)^INDIRECT("'"&amp;$G$6&amp;"'!$C$37:$C$52")),0))</f>
        <v/>
      </c>
      <c r="AA27" s="130">
        <f>IF($G$7="",0,IFERROR($J$7+SUMPRODUCT((INDIRECT("'"&amp;$G$7&amp;"'!$C$37:$C$52")&lt;='General Information'!$D$33)*INDIRECT("'"&amp;$G$7&amp;"'!$D$37:$D$52")/(1+$W27/100)^INDIRECT("'"&amp;$G$7&amp;"'!$C$37:$C$52")),0))</f>
        <v/>
      </c>
    </row>
    <row r="28" ht="44" customHeight="1">
      <c r="S28" s="141">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33" t="n">
        <v>6</v>
      </c>
      <c r="X28" s="130">
        <f>IF($G$4="",0,IFERROR($J$4+SUMPRODUCT((INDIRECT("'"&amp;$G$4&amp;"'!$C$37:$C$52")&lt;='General Information'!$D$33)*INDIRECT("'"&amp;$G$4&amp;"'!$D$37:$D$52")/(1+$W28/100)^INDIRECT("'"&amp;$G$4&amp;"'!$C$37:$C$52")),0))</f>
        <v/>
      </c>
      <c r="Y28" s="130">
        <f>IF($G$5="",0,IFERROR($J$5+SUMPRODUCT((INDIRECT("'"&amp;$G$5&amp;"'!$C$37:$C$52")&lt;='General Information'!$D$33)*INDIRECT("'"&amp;$G$5&amp;"'!$D$37:$D$52")/(1+$W28/100)^INDIRECT("'"&amp;$G$5&amp;"'!$C$37:$C$52")),0))</f>
        <v/>
      </c>
      <c r="Z28" s="130">
        <f>IF($G$6="",0,IFERROR($J$6+SUMPRODUCT((INDIRECT("'"&amp;$G$6&amp;"'!$C$37:$C$52")&lt;='General Information'!$D$33)*INDIRECT("'"&amp;$G$6&amp;"'!$D$37:$D$52")/(1+$W28/100)^INDIRECT("'"&amp;$G$6&amp;"'!$C$37:$C$52")),0))</f>
        <v/>
      </c>
      <c r="AA28" s="130">
        <f>IF($G$7="",0,IFERROR($J$7+SUMPRODUCT((INDIRECT("'"&amp;$G$7&amp;"'!$C$37:$C$52")&lt;='General Information'!$D$33)*INDIRECT("'"&amp;$G$7&amp;"'!$D$37:$D$52")/(1+$W28/100)^INDIRECT("'"&amp;$G$7&amp;"'!$C$37:$C$52")),0))</f>
        <v/>
      </c>
    </row>
    <row r="29" ht="26" customHeight="1">
      <c r="S29" s="142" t="inlineStr">
        <is>
          <t>Coordinates are embedded (Method sheet); nothing here goes online. Five private fields have none and plot no dot.</t>
        </is>
      </c>
      <c r="W29" s="133" t="n">
        <v>6.25</v>
      </c>
      <c r="X29" s="130">
        <f>IF($G$4="",0,IFERROR($J$4+SUMPRODUCT((INDIRECT("'"&amp;$G$4&amp;"'!$C$37:$C$52")&lt;='General Information'!$D$33)*INDIRECT("'"&amp;$G$4&amp;"'!$D$37:$D$52")/(1+$W29/100)^INDIRECT("'"&amp;$G$4&amp;"'!$C$37:$C$52")),0))</f>
        <v/>
      </c>
      <c r="Y29" s="130">
        <f>IF($G$5="",0,IFERROR($J$5+SUMPRODUCT((INDIRECT("'"&amp;$G$5&amp;"'!$C$37:$C$52")&lt;='General Information'!$D$33)*INDIRECT("'"&amp;$G$5&amp;"'!$D$37:$D$52")/(1+$W29/100)^INDIRECT("'"&amp;$G$5&amp;"'!$C$37:$C$52")),0))</f>
        <v/>
      </c>
      <c r="Z29" s="130">
        <f>IF($G$6="",0,IFERROR($J$6+SUMPRODUCT((INDIRECT("'"&amp;$G$6&amp;"'!$C$37:$C$52")&lt;='General Information'!$D$33)*INDIRECT("'"&amp;$G$6&amp;"'!$D$37:$D$52")/(1+$W29/100)^INDIRECT("'"&amp;$G$6&amp;"'!$C$37:$C$52")),0))</f>
        <v/>
      </c>
      <c r="AA29" s="130">
        <f>IF($G$7="",0,IFERROR($J$7+SUMPRODUCT((INDIRECT("'"&amp;$G$7&amp;"'!$C$37:$C$52")&lt;='General Information'!$D$33)*INDIRECT("'"&amp;$G$7&amp;"'!$D$37:$D$52")/(1+$W29/100)^INDIRECT("'"&amp;$G$7&amp;"'!$C$37:$C$52")),0))</f>
        <v/>
      </c>
    </row>
    <row r="30" ht="26" customHeight="1">
      <c r="S30" s="142" t="inlineStr">
        <is>
          <t>Google Earth: import LCCA_KML_Export.bas once (Alt+F11, File, Import File), then Alt+F8 and run ExportLCCAKML.</t>
        </is>
      </c>
      <c r="W30" s="133" t="n">
        <v>6.5</v>
      </c>
      <c r="X30" s="130">
        <f>IF($G$4="",0,IFERROR($J$4+SUMPRODUCT((INDIRECT("'"&amp;$G$4&amp;"'!$C$37:$C$52")&lt;='General Information'!$D$33)*INDIRECT("'"&amp;$G$4&amp;"'!$D$37:$D$52")/(1+$W30/100)^INDIRECT("'"&amp;$G$4&amp;"'!$C$37:$C$52")),0))</f>
        <v/>
      </c>
      <c r="Y30" s="130">
        <f>IF($G$5="",0,IFERROR($J$5+SUMPRODUCT((INDIRECT("'"&amp;$G$5&amp;"'!$C$37:$C$52")&lt;='General Information'!$D$33)*INDIRECT("'"&amp;$G$5&amp;"'!$D$37:$D$52")/(1+$W30/100)^INDIRECT("'"&amp;$G$5&amp;"'!$C$37:$C$52")),0))</f>
        <v/>
      </c>
      <c r="Z30" s="130">
        <f>IF($G$6="",0,IFERROR($J$6+SUMPRODUCT((INDIRECT("'"&amp;$G$6&amp;"'!$C$37:$C$52")&lt;='General Information'!$D$33)*INDIRECT("'"&amp;$G$6&amp;"'!$D$37:$D$52")/(1+$W30/100)^INDIRECT("'"&amp;$G$6&amp;"'!$C$37:$C$52")),0))</f>
        <v/>
      </c>
      <c r="AA30" s="130">
        <f>IF($G$7="",0,IFERROR($J$7+SUMPRODUCT((INDIRECT("'"&amp;$G$7&amp;"'!$C$37:$C$52")&lt;='General Information'!$D$33)*INDIRECT("'"&amp;$G$7&amp;"'!$D$37:$D$52")/(1+$W30/100)^INDIRECT("'"&amp;$G$7&amp;"'!$C$37:$C$52")),0))</f>
        <v/>
      </c>
    </row>
    <row r="31">
      <c r="W31" s="133" t="n">
        <v>6.75</v>
      </c>
      <c r="X31" s="130">
        <f>IF($G$4="",0,IFERROR($J$4+SUMPRODUCT((INDIRECT("'"&amp;$G$4&amp;"'!$C$37:$C$52")&lt;='General Information'!$D$33)*INDIRECT("'"&amp;$G$4&amp;"'!$D$37:$D$52")/(1+$W31/100)^INDIRECT("'"&amp;$G$4&amp;"'!$C$37:$C$52")),0))</f>
        <v/>
      </c>
      <c r="Y31" s="130">
        <f>IF($G$5="",0,IFERROR($J$5+SUMPRODUCT((INDIRECT("'"&amp;$G$5&amp;"'!$C$37:$C$52")&lt;='General Information'!$D$33)*INDIRECT("'"&amp;$G$5&amp;"'!$D$37:$D$52")/(1+$W31/100)^INDIRECT("'"&amp;$G$5&amp;"'!$C$37:$C$52")),0))</f>
        <v/>
      </c>
      <c r="Z31" s="130">
        <f>IF($G$6="",0,IFERROR($J$6+SUMPRODUCT((INDIRECT("'"&amp;$G$6&amp;"'!$C$37:$C$52")&lt;='General Information'!$D$33)*INDIRECT("'"&amp;$G$6&amp;"'!$D$37:$D$52")/(1+$W31/100)^INDIRECT("'"&amp;$G$6&amp;"'!$C$37:$C$52")),0))</f>
        <v/>
      </c>
      <c r="AA31" s="130">
        <f>IF($G$7="",0,IFERROR($J$7+SUMPRODUCT((INDIRECT("'"&amp;$G$7&amp;"'!$C$37:$C$52")&lt;='General Information'!$D$33)*INDIRECT("'"&amp;$G$7&amp;"'!$D$37:$D$52")/(1+$W31/100)^INDIRECT("'"&amp;$G$7&amp;"'!$C$37:$C$52")),0))</f>
        <v/>
      </c>
    </row>
    <row r="32">
      <c r="W32" s="133" t="n">
        <v>7</v>
      </c>
      <c r="X32" s="130">
        <f>IF($G$4="",0,IFERROR($J$4+SUMPRODUCT((INDIRECT("'"&amp;$G$4&amp;"'!$C$37:$C$52")&lt;='General Information'!$D$33)*INDIRECT("'"&amp;$G$4&amp;"'!$D$37:$D$52")/(1+$W32/100)^INDIRECT("'"&amp;$G$4&amp;"'!$C$37:$C$52")),0))</f>
        <v/>
      </c>
      <c r="Y32" s="130">
        <f>IF($G$5="",0,IFERROR($J$5+SUMPRODUCT((INDIRECT("'"&amp;$G$5&amp;"'!$C$37:$C$52")&lt;='General Information'!$D$33)*INDIRECT("'"&amp;$G$5&amp;"'!$D$37:$D$52")/(1+$W32/100)^INDIRECT("'"&amp;$G$5&amp;"'!$C$37:$C$52")),0))</f>
        <v/>
      </c>
      <c r="Z32" s="130">
        <f>IF($G$6="",0,IFERROR($J$6+SUMPRODUCT((INDIRECT("'"&amp;$G$6&amp;"'!$C$37:$C$52")&lt;='General Information'!$D$33)*INDIRECT("'"&amp;$G$6&amp;"'!$D$37:$D$52")/(1+$W32/100)^INDIRECT("'"&amp;$G$6&amp;"'!$C$37:$C$52")),0))</f>
        <v/>
      </c>
      <c r="AA32" s="130">
        <f>IF($G$7="",0,IFERROR($J$7+SUMPRODUCT((INDIRECT("'"&amp;$G$7&amp;"'!$C$37:$C$52")&lt;='General Information'!$D$33)*INDIRECT("'"&amp;$G$7&amp;"'!$D$37:$D$52")/(1+$W32/100)^INDIRECT("'"&amp;$G$7&amp;"'!$C$37:$C$52")),0))</f>
        <v/>
      </c>
    </row>
    <row r="33">
      <c r="W33" s="133" t="n">
        <v>7.25</v>
      </c>
      <c r="X33" s="130">
        <f>IF($G$4="",0,IFERROR($J$4+SUMPRODUCT((INDIRECT("'"&amp;$G$4&amp;"'!$C$37:$C$52")&lt;='General Information'!$D$33)*INDIRECT("'"&amp;$G$4&amp;"'!$D$37:$D$52")/(1+$W33/100)^INDIRECT("'"&amp;$G$4&amp;"'!$C$37:$C$52")),0))</f>
        <v/>
      </c>
      <c r="Y33" s="130">
        <f>IF($G$5="",0,IFERROR($J$5+SUMPRODUCT((INDIRECT("'"&amp;$G$5&amp;"'!$C$37:$C$52")&lt;='General Information'!$D$33)*INDIRECT("'"&amp;$G$5&amp;"'!$D$37:$D$52")/(1+$W33/100)^INDIRECT("'"&amp;$G$5&amp;"'!$C$37:$C$52")),0))</f>
        <v/>
      </c>
      <c r="Z33" s="130">
        <f>IF($G$6="",0,IFERROR($J$6+SUMPRODUCT((INDIRECT("'"&amp;$G$6&amp;"'!$C$37:$C$52")&lt;='General Information'!$D$33)*INDIRECT("'"&amp;$G$6&amp;"'!$D$37:$D$52")/(1+$W33/100)^INDIRECT("'"&amp;$G$6&amp;"'!$C$37:$C$52")),0))</f>
        <v/>
      </c>
      <c r="AA33" s="130">
        <f>IF($G$7="",0,IFERROR($J$7+SUMPRODUCT((INDIRECT("'"&amp;$G$7&amp;"'!$C$37:$C$52")&lt;='General Information'!$D$33)*INDIRECT("'"&amp;$G$7&amp;"'!$D$37:$D$52")/(1+$W33/100)^INDIRECT("'"&amp;$G$7&amp;"'!$C$37:$C$52")),0))</f>
        <v/>
      </c>
    </row>
    <row r="34">
      <c r="W34" s="133" t="n">
        <v>7.5</v>
      </c>
      <c r="X34" s="130">
        <f>IF($G$4="",0,IFERROR($J$4+SUMPRODUCT((INDIRECT("'"&amp;$G$4&amp;"'!$C$37:$C$52")&lt;='General Information'!$D$33)*INDIRECT("'"&amp;$G$4&amp;"'!$D$37:$D$52")/(1+$W34/100)^INDIRECT("'"&amp;$G$4&amp;"'!$C$37:$C$52")),0))</f>
        <v/>
      </c>
      <c r="Y34" s="130">
        <f>IF($G$5="",0,IFERROR($J$5+SUMPRODUCT((INDIRECT("'"&amp;$G$5&amp;"'!$C$37:$C$52")&lt;='General Information'!$D$33)*INDIRECT("'"&amp;$G$5&amp;"'!$D$37:$D$52")/(1+$W34/100)^INDIRECT("'"&amp;$G$5&amp;"'!$C$37:$C$52")),0))</f>
        <v/>
      </c>
      <c r="Z34" s="130">
        <f>IF($G$6="",0,IFERROR($J$6+SUMPRODUCT((INDIRECT("'"&amp;$G$6&amp;"'!$C$37:$C$52")&lt;='General Information'!$D$33)*INDIRECT("'"&amp;$G$6&amp;"'!$D$37:$D$52")/(1+$W34/100)^INDIRECT("'"&amp;$G$6&amp;"'!$C$37:$C$52")),0))</f>
        <v/>
      </c>
      <c r="AA34" s="130">
        <f>IF($G$7="",0,IFERROR($J$7+SUMPRODUCT((INDIRECT("'"&amp;$G$7&amp;"'!$C$37:$C$52")&lt;='General Information'!$D$33)*INDIRECT("'"&amp;$G$7&amp;"'!$D$37:$D$52")/(1+$W34/100)^INDIRECT("'"&amp;$G$7&amp;"'!$C$37:$C$52")),0))</f>
        <v/>
      </c>
    </row>
    <row r="35">
      <c r="W35" s="133" t="n">
        <v>7.75</v>
      </c>
      <c r="X35" s="130">
        <f>IF($G$4="",0,IFERROR($J$4+SUMPRODUCT((INDIRECT("'"&amp;$G$4&amp;"'!$C$37:$C$52")&lt;='General Information'!$D$33)*INDIRECT("'"&amp;$G$4&amp;"'!$D$37:$D$52")/(1+$W35/100)^INDIRECT("'"&amp;$G$4&amp;"'!$C$37:$C$52")),0))</f>
        <v/>
      </c>
      <c r="Y35" s="130">
        <f>IF($G$5="",0,IFERROR($J$5+SUMPRODUCT((INDIRECT("'"&amp;$G$5&amp;"'!$C$37:$C$52")&lt;='General Information'!$D$33)*INDIRECT("'"&amp;$G$5&amp;"'!$D$37:$D$52")/(1+$W35/100)^INDIRECT("'"&amp;$G$5&amp;"'!$C$37:$C$52")),0))</f>
        <v/>
      </c>
      <c r="Z35" s="130">
        <f>IF($G$6="",0,IFERROR($J$6+SUMPRODUCT((INDIRECT("'"&amp;$G$6&amp;"'!$C$37:$C$52")&lt;='General Information'!$D$33)*INDIRECT("'"&amp;$G$6&amp;"'!$D$37:$D$52")/(1+$W35/100)^INDIRECT("'"&amp;$G$6&amp;"'!$C$37:$C$52")),0))</f>
        <v/>
      </c>
      <c r="AA35" s="130">
        <f>IF($G$7="",0,IFERROR($J$7+SUMPRODUCT((INDIRECT("'"&amp;$G$7&amp;"'!$C$37:$C$52")&lt;='General Information'!$D$33)*INDIRECT("'"&amp;$G$7&amp;"'!$D$37:$D$52")/(1+$W35/100)^INDIRECT("'"&amp;$G$7&amp;"'!$C$37:$C$52")),0))</f>
        <v/>
      </c>
    </row>
    <row r="36">
      <c r="W36" s="133" t="n">
        <v>8</v>
      </c>
      <c r="X36" s="130">
        <f>IF($G$4="",0,IFERROR($J$4+SUMPRODUCT((INDIRECT("'"&amp;$G$4&amp;"'!$C$37:$C$52")&lt;='General Information'!$D$33)*INDIRECT("'"&amp;$G$4&amp;"'!$D$37:$D$52")/(1+$W36/100)^INDIRECT("'"&amp;$G$4&amp;"'!$C$37:$C$52")),0))</f>
        <v/>
      </c>
      <c r="Y36" s="130">
        <f>IF($G$5="",0,IFERROR($J$5+SUMPRODUCT((INDIRECT("'"&amp;$G$5&amp;"'!$C$37:$C$52")&lt;='General Information'!$D$33)*INDIRECT("'"&amp;$G$5&amp;"'!$D$37:$D$52")/(1+$W36/100)^INDIRECT("'"&amp;$G$5&amp;"'!$C$37:$C$52")),0))</f>
        <v/>
      </c>
      <c r="Z36" s="130">
        <f>IF($G$6="",0,IFERROR($J$6+SUMPRODUCT((INDIRECT("'"&amp;$G$6&amp;"'!$C$37:$C$52")&lt;='General Information'!$D$33)*INDIRECT("'"&amp;$G$6&amp;"'!$D$37:$D$52")/(1+$W36/100)^INDIRECT("'"&amp;$G$6&amp;"'!$C$37:$C$52")),0))</f>
        <v/>
      </c>
      <c r="AA36" s="130">
        <f>IF($G$7="",0,IFERROR($J$7+SUMPRODUCT((INDIRECT("'"&amp;$G$7&amp;"'!$C$37:$C$52")&lt;='General Information'!$D$33)*INDIRECT("'"&amp;$G$7&amp;"'!$D$37:$D$52")/(1+$W36/100)^INDIRECT("'"&amp;$G$7&amp;"'!$C$37:$C$52")),0))</f>
        <v/>
      </c>
    </row>
    <row r="39">
      <c r="W39" s="122" t="inlineStr">
        <is>
          <t>By calendar year: spend (undiscounted), cumulative discounted cost, closure days</t>
        </is>
      </c>
    </row>
    <row r="40">
      <c r="W40" s="125" t="inlineStr">
        <is>
          <t>Year</t>
        </is>
      </c>
      <c r="X40" s="125" t="inlineStr">
        <is>
          <t>Calendar year</t>
        </is>
      </c>
      <c r="Y40" s="125">
        <f>IF(X$4="","",X$4&amp;" spend")</f>
        <v/>
      </c>
      <c r="Z40" s="125">
        <f>IF(Y$4="","",Y$4&amp;" spend")</f>
        <v/>
      </c>
      <c r="AA40" s="125">
        <f>IF(Z$4="","",Z$4&amp;" spend")</f>
        <v/>
      </c>
      <c r="AB40" s="125">
        <f>IF(AA$4="","",AA$4&amp;" spend")</f>
        <v/>
      </c>
      <c r="AC40" s="125">
        <f>IF(X$4="","",X$4&amp;" cumulative PW")</f>
        <v/>
      </c>
      <c r="AD40" s="125">
        <f>IF(Y$4="","",Y$4&amp;" cumulative PW")</f>
        <v/>
      </c>
      <c r="AE40" s="125">
        <f>IF(Z$4="","",Z$4&amp;" cumulative PW")</f>
        <v/>
      </c>
      <c r="AF40" s="125">
        <f>IF(AA$4="","",AA$4&amp;" cumulative PW")</f>
        <v/>
      </c>
      <c r="AG40" s="125">
        <f>IF(X$4="","",X$4&amp;" closure days")</f>
        <v/>
      </c>
      <c r="AH40" s="125">
        <f>IF(Y$4="","",Y$4&amp;" closure days")</f>
        <v/>
      </c>
      <c r="AI40" s="125">
        <f>IF(Z$4="","",Z$4&amp;" closure days")</f>
        <v/>
      </c>
      <c r="AJ40" s="125">
        <f>IF(AA$4="","",AA$4&amp;" closure days")</f>
        <v/>
      </c>
    </row>
    <row r="41">
      <c r="W41" s="129" t="n">
        <v>0</v>
      </c>
      <c r="X41" s="129">
        <f>'General Information'!$D$25+W41</f>
        <v/>
      </c>
      <c r="Y41" s="130">
        <f>IF($G$4="",0,IF(W41&gt;'General Information'!$D$33,0,IF(W41=0,$J$4,IFERROR(SUMIF(INDIRECT("'"&amp;$G$4&amp;"'!$C$37:$C$52"),W41,INDIRECT("'"&amp;$G$4&amp;"'!$D$37:$D$52")),0))))</f>
        <v/>
      </c>
      <c r="Z41" s="130">
        <f>IF($G$5="",0,IF(W41&gt;'General Information'!$D$33,0,IF(W41=0,$J$5,IFERROR(SUMIF(INDIRECT("'"&amp;$G$5&amp;"'!$C$37:$C$52"),W41,INDIRECT("'"&amp;$G$5&amp;"'!$D$37:$D$52")),0))))</f>
        <v/>
      </c>
      <c r="AA41" s="130">
        <f>IF($G$6="",0,IF(W41&gt;'General Information'!$D$33,0,IF(W41=0,$J$6,IFERROR(SUMIF(INDIRECT("'"&amp;$G$6&amp;"'!$C$37:$C$52"),W41,INDIRECT("'"&amp;$G$6&amp;"'!$D$37:$D$52")),0))))</f>
        <v/>
      </c>
      <c r="AB41" s="130">
        <f>IF($G$7="",0,IF(W41&gt;'General Information'!$D$33,0,IF(W41=0,$J$7,IFERROR(SUMIF(INDIRECT("'"&amp;$G$7&amp;"'!$C$37:$C$52"),W41,INDIRECT("'"&amp;$G$7&amp;"'!$D$37:$D$52")),0))))</f>
        <v/>
      </c>
      <c r="AC41" s="130">
        <f>IF($G$4="",0,IF(W41&gt;'General Information'!$D$33,0,IF(W41=0,$J$4,IFERROR(SUMIF(INDIRECT("'"&amp;$G$4&amp;"'!$C$37:$C$52"),W41,INDIRECT("'"&amp;$G$4&amp;"'!$E$37:$E$52")),0))))</f>
        <v/>
      </c>
      <c r="AD41" s="130">
        <f>IF($G$5="",0,IF(W41&gt;'General Information'!$D$33,0,IF(W41=0,$J$5,IFERROR(SUMIF(INDIRECT("'"&amp;$G$5&amp;"'!$C$37:$C$52"),W41,INDIRECT("'"&amp;$G$5&amp;"'!$E$37:$E$52")),0))))</f>
        <v/>
      </c>
      <c r="AE41" s="130">
        <f>IF($G$6="",0,IF(W41&gt;'General Information'!$D$33,0,IF(W41=0,$J$6,IFERROR(SUMIF(INDIRECT("'"&amp;$G$6&amp;"'!$C$37:$C$52"),W41,INDIRECT("'"&amp;$G$6&amp;"'!$E$37:$E$52")),0))))</f>
        <v/>
      </c>
      <c r="AF41" s="130">
        <f>IF($G$7="",0,IF(W41&gt;'General Information'!$D$33,0,IF(W41=0,$J$7,IFERROR(SUMIF(INDIRECT("'"&amp;$G$7&amp;"'!$C$37:$C$52"),W41,INDIRECT("'"&amp;$G$7&amp;"'!$E$37:$E$52")),0))))</f>
        <v/>
      </c>
      <c r="AG41" s="143">
        <f>IF($G$4="",0,IF(W41&gt;'General Information'!$D$33,0,IFERROR(SUMIFS(INDIRECT("'"&amp;$G$4&amp;"'!$D$37:$D$52"),INDIRECT("'"&amp;$G$4&amp;"'!$C$37:$C$52"),W41,INDIRECT("'"&amp;$G$4&amp;"'!$B$37:$B$52"),"*Indirect*")/INDIRECT("'"&amp;$G$4&amp;"'!$F$2"),0)))</f>
        <v/>
      </c>
      <c r="AH41" s="143">
        <f>IF($G$5="",0,IF(W41&gt;'General Information'!$D$33,0,IFERROR(SUMIFS(INDIRECT("'"&amp;$G$5&amp;"'!$D$37:$D$52"),INDIRECT("'"&amp;$G$5&amp;"'!$C$37:$C$52"),W41,INDIRECT("'"&amp;$G$5&amp;"'!$B$37:$B$52"),"*Indirect*")/INDIRECT("'"&amp;$G$5&amp;"'!$F$2"),0)))</f>
        <v/>
      </c>
      <c r="AI41" s="143">
        <f>IF($G$6="",0,IF(W41&gt;'General Information'!$D$33,0,IFERROR(SUMIFS(INDIRECT("'"&amp;$G$6&amp;"'!$D$37:$D$52"),INDIRECT("'"&amp;$G$6&amp;"'!$C$37:$C$52"),W41,INDIRECT("'"&amp;$G$6&amp;"'!$B$37:$B$52"),"*Indirect*")/INDIRECT("'"&amp;$G$6&amp;"'!$F$2"),0)))</f>
        <v/>
      </c>
      <c r="AJ41" s="143">
        <f>IF($G$7="",0,IF(W41&gt;'General Information'!$D$33,0,IFERROR(SUMIFS(INDIRECT("'"&amp;$G$7&amp;"'!$D$37:$D$52"),INDIRECT("'"&amp;$G$7&amp;"'!$C$37:$C$52"),W41,INDIRECT("'"&amp;$G$7&amp;"'!$B$37:$B$52"),"*Indirect*")/INDIRECT("'"&amp;$G$7&amp;"'!$F$2"),0)))</f>
        <v/>
      </c>
    </row>
    <row r="42">
      <c r="W42" s="129" t="n">
        <v>1</v>
      </c>
      <c r="X42" s="129">
        <f>'General Information'!$D$25+W42</f>
        <v/>
      </c>
      <c r="Y42" s="130">
        <f>IF($G$4="",0,IF(W42&gt;'General Information'!$D$33,0,IF(W42=0,$J$4,IFERROR(SUMIF(INDIRECT("'"&amp;$G$4&amp;"'!$C$37:$C$52"),W42,INDIRECT("'"&amp;$G$4&amp;"'!$D$37:$D$52")),0))))</f>
        <v/>
      </c>
      <c r="Z42" s="130">
        <f>IF($G$5="",0,IF(W42&gt;'General Information'!$D$33,0,IF(W42=0,$J$5,IFERROR(SUMIF(INDIRECT("'"&amp;$G$5&amp;"'!$C$37:$C$52"),W42,INDIRECT("'"&amp;$G$5&amp;"'!$D$37:$D$52")),0))))</f>
        <v/>
      </c>
      <c r="AA42" s="130">
        <f>IF($G$6="",0,IF(W42&gt;'General Information'!$D$33,0,IF(W42=0,$J$6,IFERROR(SUMIF(INDIRECT("'"&amp;$G$6&amp;"'!$C$37:$C$52"),W42,INDIRECT("'"&amp;$G$6&amp;"'!$D$37:$D$52")),0))))</f>
        <v/>
      </c>
      <c r="AB42" s="130">
        <f>IF($G$7="",0,IF(W42&gt;'General Information'!$D$33,0,IF(W42=0,$J$7,IFERROR(SUMIF(INDIRECT("'"&amp;$G$7&amp;"'!$C$37:$C$52"),W42,INDIRECT("'"&amp;$G$7&amp;"'!$D$37:$D$52")),0))))</f>
        <v/>
      </c>
      <c r="AC42" s="130">
        <f>IF($G$4="",0,AC41+IF(W42&gt;'General Information'!$D$33,0,IF(W42=0,$J$4,IFERROR(SUMIF(INDIRECT("'"&amp;$G$4&amp;"'!$C$37:$C$52"),W42,INDIRECT("'"&amp;$G$4&amp;"'!$E$37:$E$52")),0))))</f>
        <v/>
      </c>
      <c r="AD42" s="130">
        <f>IF($G$5="",0,AD41+IF(W42&gt;'General Information'!$D$33,0,IF(W42=0,$J$5,IFERROR(SUMIF(INDIRECT("'"&amp;$G$5&amp;"'!$C$37:$C$52"),W42,INDIRECT("'"&amp;$G$5&amp;"'!$E$37:$E$52")),0))))</f>
        <v/>
      </c>
      <c r="AE42" s="130">
        <f>IF($G$6="",0,AE41+IF(W42&gt;'General Information'!$D$33,0,IF(W42=0,$J$6,IFERROR(SUMIF(INDIRECT("'"&amp;$G$6&amp;"'!$C$37:$C$52"),W42,INDIRECT("'"&amp;$G$6&amp;"'!$E$37:$E$52")),0))))</f>
        <v/>
      </c>
      <c r="AF42" s="130">
        <f>IF($G$7="",0,AF41+IF(W42&gt;'General Information'!$D$33,0,IF(W42=0,$J$7,IFERROR(SUMIF(INDIRECT("'"&amp;$G$7&amp;"'!$C$37:$C$52"),W42,INDIRECT("'"&amp;$G$7&amp;"'!$E$37:$E$52")),0))))</f>
        <v/>
      </c>
      <c r="AG42" s="143">
        <f>IF($G$4="",0,IF(W42&gt;'General Information'!$D$33,0,IFERROR(SUMIFS(INDIRECT("'"&amp;$G$4&amp;"'!$D$37:$D$52"),INDIRECT("'"&amp;$G$4&amp;"'!$C$37:$C$52"),W42,INDIRECT("'"&amp;$G$4&amp;"'!$B$37:$B$52"),"*Indirect*")/INDIRECT("'"&amp;$G$4&amp;"'!$F$2"),0)))</f>
        <v/>
      </c>
      <c r="AH42" s="143">
        <f>IF($G$5="",0,IF(W42&gt;'General Information'!$D$33,0,IFERROR(SUMIFS(INDIRECT("'"&amp;$G$5&amp;"'!$D$37:$D$52"),INDIRECT("'"&amp;$G$5&amp;"'!$C$37:$C$52"),W42,INDIRECT("'"&amp;$G$5&amp;"'!$B$37:$B$52"),"*Indirect*")/INDIRECT("'"&amp;$G$5&amp;"'!$F$2"),0)))</f>
        <v/>
      </c>
      <c r="AI42" s="143">
        <f>IF($G$6="",0,IF(W42&gt;'General Information'!$D$33,0,IFERROR(SUMIFS(INDIRECT("'"&amp;$G$6&amp;"'!$D$37:$D$52"),INDIRECT("'"&amp;$G$6&amp;"'!$C$37:$C$52"),W42,INDIRECT("'"&amp;$G$6&amp;"'!$B$37:$B$52"),"*Indirect*")/INDIRECT("'"&amp;$G$6&amp;"'!$F$2"),0)))</f>
        <v/>
      </c>
      <c r="AJ42" s="143">
        <f>IF($G$7="",0,IF(W42&gt;'General Information'!$D$33,0,IFERROR(SUMIFS(INDIRECT("'"&amp;$G$7&amp;"'!$D$37:$D$52"),INDIRECT("'"&amp;$G$7&amp;"'!$C$37:$C$52"),W42,INDIRECT("'"&amp;$G$7&amp;"'!$B$37:$B$52"),"*Indirect*")/INDIRECT("'"&amp;$G$7&amp;"'!$F$2"),0)))</f>
        <v/>
      </c>
    </row>
    <row r="43">
      <c r="W43" s="129" t="n">
        <v>2</v>
      </c>
      <c r="X43" s="129">
        <f>'General Information'!$D$25+W43</f>
        <v/>
      </c>
      <c r="Y43" s="130">
        <f>IF($G$4="",0,IF(W43&gt;'General Information'!$D$33,0,IF(W43=0,$J$4,IFERROR(SUMIF(INDIRECT("'"&amp;$G$4&amp;"'!$C$37:$C$52"),W43,INDIRECT("'"&amp;$G$4&amp;"'!$D$37:$D$52")),0))))</f>
        <v/>
      </c>
      <c r="Z43" s="130">
        <f>IF($G$5="",0,IF(W43&gt;'General Information'!$D$33,0,IF(W43=0,$J$5,IFERROR(SUMIF(INDIRECT("'"&amp;$G$5&amp;"'!$C$37:$C$52"),W43,INDIRECT("'"&amp;$G$5&amp;"'!$D$37:$D$52")),0))))</f>
        <v/>
      </c>
      <c r="AA43" s="130">
        <f>IF($G$6="",0,IF(W43&gt;'General Information'!$D$33,0,IF(W43=0,$J$6,IFERROR(SUMIF(INDIRECT("'"&amp;$G$6&amp;"'!$C$37:$C$52"),W43,INDIRECT("'"&amp;$G$6&amp;"'!$D$37:$D$52")),0))))</f>
        <v/>
      </c>
      <c r="AB43" s="130">
        <f>IF($G$7="",0,IF(W43&gt;'General Information'!$D$33,0,IF(W43=0,$J$7,IFERROR(SUMIF(INDIRECT("'"&amp;$G$7&amp;"'!$C$37:$C$52"),W43,INDIRECT("'"&amp;$G$7&amp;"'!$D$37:$D$52")),0))))</f>
        <v/>
      </c>
      <c r="AC43" s="130">
        <f>IF($G$4="",0,AC42+IF(W43&gt;'General Information'!$D$33,0,IF(W43=0,$J$4,IFERROR(SUMIF(INDIRECT("'"&amp;$G$4&amp;"'!$C$37:$C$52"),W43,INDIRECT("'"&amp;$G$4&amp;"'!$E$37:$E$52")),0))))</f>
        <v/>
      </c>
      <c r="AD43" s="130">
        <f>IF($G$5="",0,AD42+IF(W43&gt;'General Information'!$D$33,0,IF(W43=0,$J$5,IFERROR(SUMIF(INDIRECT("'"&amp;$G$5&amp;"'!$C$37:$C$52"),W43,INDIRECT("'"&amp;$G$5&amp;"'!$E$37:$E$52")),0))))</f>
        <v/>
      </c>
      <c r="AE43" s="130">
        <f>IF($G$6="",0,AE42+IF(W43&gt;'General Information'!$D$33,0,IF(W43=0,$J$6,IFERROR(SUMIF(INDIRECT("'"&amp;$G$6&amp;"'!$C$37:$C$52"),W43,INDIRECT("'"&amp;$G$6&amp;"'!$E$37:$E$52")),0))))</f>
        <v/>
      </c>
      <c r="AF43" s="130">
        <f>IF($G$7="",0,AF42+IF(W43&gt;'General Information'!$D$33,0,IF(W43=0,$J$7,IFERROR(SUMIF(INDIRECT("'"&amp;$G$7&amp;"'!$C$37:$C$52"),W43,INDIRECT("'"&amp;$G$7&amp;"'!$E$37:$E$52")),0))))</f>
        <v/>
      </c>
      <c r="AG43" s="143">
        <f>IF($G$4="",0,IF(W43&gt;'General Information'!$D$33,0,IFERROR(SUMIFS(INDIRECT("'"&amp;$G$4&amp;"'!$D$37:$D$52"),INDIRECT("'"&amp;$G$4&amp;"'!$C$37:$C$52"),W43,INDIRECT("'"&amp;$G$4&amp;"'!$B$37:$B$52"),"*Indirect*")/INDIRECT("'"&amp;$G$4&amp;"'!$F$2"),0)))</f>
        <v/>
      </c>
      <c r="AH43" s="143">
        <f>IF($G$5="",0,IF(W43&gt;'General Information'!$D$33,0,IFERROR(SUMIFS(INDIRECT("'"&amp;$G$5&amp;"'!$D$37:$D$52"),INDIRECT("'"&amp;$G$5&amp;"'!$C$37:$C$52"),W43,INDIRECT("'"&amp;$G$5&amp;"'!$B$37:$B$52"),"*Indirect*")/INDIRECT("'"&amp;$G$5&amp;"'!$F$2"),0)))</f>
        <v/>
      </c>
      <c r="AI43" s="143">
        <f>IF($G$6="",0,IF(W43&gt;'General Information'!$D$33,0,IFERROR(SUMIFS(INDIRECT("'"&amp;$G$6&amp;"'!$D$37:$D$52"),INDIRECT("'"&amp;$G$6&amp;"'!$C$37:$C$52"),W43,INDIRECT("'"&amp;$G$6&amp;"'!$B$37:$B$52"),"*Indirect*")/INDIRECT("'"&amp;$G$6&amp;"'!$F$2"),0)))</f>
        <v/>
      </c>
      <c r="AJ43" s="143">
        <f>IF($G$7="",0,IF(W43&gt;'General Information'!$D$33,0,IFERROR(SUMIFS(INDIRECT("'"&amp;$G$7&amp;"'!$D$37:$D$52"),INDIRECT("'"&amp;$G$7&amp;"'!$C$37:$C$52"),W43,INDIRECT("'"&amp;$G$7&amp;"'!$B$37:$B$52"),"*Indirect*")/INDIRECT("'"&amp;$G$7&amp;"'!$F$2"),0)))</f>
        <v/>
      </c>
    </row>
    <row r="44">
      <c r="W44" s="129" t="n">
        <v>3</v>
      </c>
      <c r="X44" s="129">
        <f>'General Information'!$D$25+W44</f>
        <v/>
      </c>
      <c r="Y44" s="130">
        <f>IF($G$4="",0,IF(W44&gt;'General Information'!$D$33,0,IF(W44=0,$J$4,IFERROR(SUMIF(INDIRECT("'"&amp;$G$4&amp;"'!$C$37:$C$52"),W44,INDIRECT("'"&amp;$G$4&amp;"'!$D$37:$D$52")),0))))</f>
        <v/>
      </c>
      <c r="Z44" s="130">
        <f>IF($G$5="",0,IF(W44&gt;'General Information'!$D$33,0,IF(W44=0,$J$5,IFERROR(SUMIF(INDIRECT("'"&amp;$G$5&amp;"'!$C$37:$C$52"),W44,INDIRECT("'"&amp;$G$5&amp;"'!$D$37:$D$52")),0))))</f>
        <v/>
      </c>
      <c r="AA44" s="130">
        <f>IF($G$6="",0,IF(W44&gt;'General Information'!$D$33,0,IF(W44=0,$J$6,IFERROR(SUMIF(INDIRECT("'"&amp;$G$6&amp;"'!$C$37:$C$52"),W44,INDIRECT("'"&amp;$G$6&amp;"'!$D$37:$D$52")),0))))</f>
        <v/>
      </c>
      <c r="AB44" s="130">
        <f>IF($G$7="",0,IF(W44&gt;'General Information'!$D$33,0,IF(W44=0,$J$7,IFERROR(SUMIF(INDIRECT("'"&amp;$G$7&amp;"'!$C$37:$C$52"),W44,INDIRECT("'"&amp;$G$7&amp;"'!$D$37:$D$52")),0))))</f>
        <v/>
      </c>
      <c r="AC44" s="130">
        <f>IF($G$4="",0,AC43+IF(W44&gt;'General Information'!$D$33,0,IF(W44=0,$J$4,IFERROR(SUMIF(INDIRECT("'"&amp;$G$4&amp;"'!$C$37:$C$52"),W44,INDIRECT("'"&amp;$G$4&amp;"'!$E$37:$E$52")),0))))</f>
        <v/>
      </c>
      <c r="AD44" s="130">
        <f>IF($G$5="",0,AD43+IF(W44&gt;'General Information'!$D$33,0,IF(W44=0,$J$5,IFERROR(SUMIF(INDIRECT("'"&amp;$G$5&amp;"'!$C$37:$C$52"),W44,INDIRECT("'"&amp;$G$5&amp;"'!$E$37:$E$52")),0))))</f>
        <v/>
      </c>
      <c r="AE44" s="130">
        <f>IF($G$6="",0,AE43+IF(W44&gt;'General Information'!$D$33,0,IF(W44=0,$J$6,IFERROR(SUMIF(INDIRECT("'"&amp;$G$6&amp;"'!$C$37:$C$52"),W44,INDIRECT("'"&amp;$G$6&amp;"'!$E$37:$E$52")),0))))</f>
        <v/>
      </c>
      <c r="AF44" s="130">
        <f>IF($G$7="",0,AF43+IF(W44&gt;'General Information'!$D$33,0,IF(W44=0,$J$7,IFERROR(SUMIF(INDIRECT("'"&amp;$G$7&amp;"'!$C$37:$C$52"),W44,INDIRECT("'"&amp;$G$7&amp;"'!$E$37:$E$52")),0))))</f>
        <v/>
      </c>
      <c r="AG44" s="143">
        <f>IF($G$4="",0,IF(W44&gt;'General Information'!$D$33,0,IFERROR(SUMIFS(INDIRECT("'"&amp;$G$4&amp;"'!$D$37:$D$52"),INDIRECT("'"&amp;$G$4&amp;"'!$C$37:$C$52"),W44,INDIRECT("'"&amp;$G$4&amp;"'!$B$37:$B$52"),"*Indirect*")/INDIRECT("'"&amp;$G$4&amp;"'!$F$2"),0)))</f>
        <v/>
      </c>
      <c r="AH44" s="143">
        <f>IF($G$5="",0,IF(W44&gt;'General Information'!$D$33,0,IFERROR(SUMIFS(INDIRECT("'"&amp;$G$5&amp;"'!$D$37:$D$52"),INDIRECT("'"&amp;$G$5&amp;"'!$C$37:$C$52"),W44,INDIRECT("'"&amp;$G$5&amp;"'!$B$37:$B$52"),"*Indirect*")/INDIRECT("'"&amp;$G$5&amp;"'!$F$2"),0)))</f>
        <v/>
      </c>
      <c r="AI44" s="143">
        <f>IF($G$6="",0,IF(W44&gt;'General Information'!$D$33,0,IFERROR(SUMIFS(INDIRECT("'"&amp;$G$6&amp;"'!$D$37:$D$52"),INDIRECT("'"&amp;$G$6&amp;"'!$C$37:$C$52"),W44,INDIRECT("'"&amp;$G$6&amp;"'!$B$37:$B$52"),"*Indirect*")/INDIRECT("'"&amp;$G$6&amp;"'!$F$2"),0)))</f>
        <v/>
      </c>
      <c r="AJ44" s="143">
        <f>IF($G$7="",0,IF(W44&gt;'General Information'!$D$33,0,IFERROR(SUMIFS(INDIRECT("'"&amp;$G$7&amp;"'!$D$37:$D$52"),INDIRECT("'"&amp;$G$7&amp;"'!$C$37:$C$52"),W44,INDIRECT("'"&amp;$G$7&amp;"'!$B$37:$B$52"),"*Indirect*")/INDIRECT("'"&amp;$G$7&amp;"'!$F$2"),0)))</f>
        <v/>
      </c>
    </row>
    <row r="45">
      <c r="W45" s="129" t="n">
        <v>4</v>
      </c>
      <c r="X45" s="129">
        <f>'General Information'!$D$25+W45</f>
        <v/>
      </c>
      <c r="Y45" s="130">
        <f>IF($G$4="",0,IF(W45&gt;'General Information'!$D$33,0,IF(W45=0,$J$4,IFERROR(SUMIF(INDIRECT("'"&amp;$G$4&amp;"'!$C$37:$C$52"),W45,INDIRECT("'"&amp;$G$4&amp;"'!$D$37:$D$52")),0))))</f>
        <v/>
      </c>
      <c r="Z45" s="130">
        <f>IF($G$5="",0,IF(W45&gt;'General Information'!$D$33,0,IF(W45=0,$J$5,IFERROR(SUMIF(INDIRECT("'"&amp;$G$5&amp;"'!$C$37:$C$52"),W45,INDIRECT("'"&amp;$G$5&amp;"'!$D$37:$D$52")),0))))</f>
        <v/>
      </c>
      <c r="AA45" s="130">
        <f>IF($G$6="",0,IF(W45&gt;'General Information'!$D$33,0,IF(W45=0,$J$6,IFERROR(SUMIF(INDIRECT("'"&amp;$G$6&amp;"'!$C$37:$C$52"),W45,INDIRECT("'"&amp;$G$6&amp;"'!$D$37:$D$52")),0))))</f>
        <v/>
      </c>
      <c r="AB45" s="130">
        <f>IF($G$7="",0,IF(W45&gt;'General Information'!$D$33,0,IF(W45=0,$J$7,IFERROR(SUMIF(INDIRECT("'"&amp;$G$7&amp;"'!$C$37:$C$52"),W45,INDIRECT("'"&amp;$G$7&amp;"'!$D$37:$D$52")),0))))</f>
        <v/>
      </c>
      <c r="AC45" s="130">
        <f>IF($G$4="",0,AC44+IF(W45&gt;'General Information'!$D$33,0,IF(W45=0,$J$4,IFERROR(SUMIF(INDIRECT("'"&amp;$G$4&amp;"'!$C$37:$C$52"),W45,INDIRECT("'"&amp;$G$4&amp;"'!$E$37:$E$52")),0))))</f>
        <v/>
      </c>
      <c r="AD45" s="130">
        <f>IF($G$5="",0,AD44+IF(W45&gt;'General Information'!$D$33,0,IF(W45=0,$J$5,IFERROR(SUMIF(INDIRECT("'"&amp;$G$5&amp;"'!$C$37:$C$52"),W45,INDIRECT("'"&amp;$G$5&amp;"'!$E$37:$E$52")),0))))</f>
        <v/>
      </c>
      <c r="AE45" s="130">
        <f>IF($G$6="",0,AE44+IF(W45&gt;'General Information'!$D$33,0,IF(W45=0,$J$6,IFERROR(SUMIF(INDIRECT("'"&amp;$G$6&amp;"'!$C$37:$C$52"),W45,INDIRECT("'"&amp;$G$6&amp;"'!$E$37:$E$52")),0))))</f>
        <v/>
      </c>
      <c r="AF45" s="130">
        <f>IF($G$7="",0,AF44+IF(W45&gt;'General Information'!$D$33,0,IF(W45=0,$J$7,IFERROR(SUMIF(INDIRECT("'"&amp;$G$7&amp;"'!$C$37:$C$52"),W45,INDIRECT("'"&amp;$G$7&amp;"'!$E$37:$E$52")),0))))</f>
        <v/>
      </c>
      <c r="AG45" s="143">
        <f>IF($G$4="",0,IF(W45&gt;'General Information'!$D$33,0,IFERROR(SUMIFS(INDIRECT("'"&amp;$G$4&amp;"'!$D$37:$D$52"),INDIRECT("'"&amp;$G$4&amp;"'!$C$37:$C$52"),W45,INDIRECT("'"&amp;$G$4&amp;"'!$B$37:$B$52"),"*Indirect*")/INDIRECT("'"&amp;$G$4&amp;"'!$F$2"),0)))</f>
        <v/>
      </c>
      <c r="AH45" s="143">
        <f>IF($G$5="",0,IF(W45&gt;'General Information'!$D$33,0,IFERROR(SUMIFS(INDIRECT("'"&amp;$G$5&amp;"'!$D$37:$D$52"),INDIRECT("'"&amp;$G$5&amp;"'!$C$37:$C$52"),W45,INDIRECT("'"&amp;$G$5&amp;"'!$B$37:$B$52"),"*Indirect*")/INDIRECT("'"&amp;$G$5&amp;"'!$F$2"),0)))</f>
        <v/>
      </c>
      <c r="AI45" s="143">
        <f>IF($G$6="",0,IF(W45&gt;'General Information'!$D$33,0,IFERROR(SUMIFS(INDIRECT("'"&amp;$G$6&amp;"'!$D$37:$D$52"),INDIRECT("'"&amp;$G$6&amp;"'!$C$37:$C$52"),W45,INDIRECT("'"&amp;$G$6&amp;"'!$B$37:$B$52"),"*Indirect*")/INDIRECT("'"&amp;$G$6&amp;"'!$F$2"),0)))</f>
        <v/>
      </c>
      <c r="AJ45" s="143">
        <f>IF($G$7="",0,IF(W45&gt;'General Information'!$D$33,0,IFERROR(SUMIFS(INDIRECT("'"&amp;$G$7&amp;"'!$D$37:$D$52"),INDIRECT("'"&amp;$G$7&amp;"'!$C$37:$C$52"),W45,INDIRECT("'"&amp;$G$7&amp;"'!$B$37:$B$52"),"*Indirect*")/INDIRECT("'"&amp;$G$7&amp;"'!$F$2"),0)))</f>
        <v/>
      </c>
    </row>
    <row r="46">
      <c r="W46" s="129" t="n">
        <v>5</v>
      </c>
      <c r="X46" s="129">
        <f>'General Information'!$D$25+W46</f>
        <v/>
      </c>
      <c r="Y46" s="130">
        <f>IF($G$4="",0,IF(W46&gt;'General Information'!$D$33,0,IF(W46=0,$J$4,IFERROR(SUMIF(INDIRECT("'"&amp;$G$4&amp;"'!$C$37:$C$52"),W46,INDIRECT("'"&amp;$G$4&amp;"'!$D$37:$D$52")),0))))</f>
        <v/>
      </c>
      <c r="Z46" s="130">
        <f>IF($G$5="",0,IF(W46&gt;'General Information'!$D$33,0,IF(W46=0,$J$5,IFERROR(SUMIF(INDIRECT("'"&amp;$G$5&amp;"'!$C$37:$C$52"),W46,INDIRECT("'"&amp;$G$5&amp;"'!$D$37:$D$52")),0))))</f>
        <v/>
      </c>
      <c r="AA46" s="130">
        <f>IF($G$6="",0,IF(W46&gt;'General Information'!$D$33,0,IF(W46=0,$J$6,IFERROR(SUMIF(INDIRECT("'"&amp;$G$6&amp;"'!$C$37:$C$52"),W46,INDIRECT("'"&amp;$G$6&amp;"'!$D$37:$D$52")),0))))</f>
        <v/>
      </c>
      <c r="AB46" s="130">
        <f>IF($G$7="",0,IF(W46&gt;'General Information'!$D$33,0,IF(W46=0,$J$7,IFERROR(SUMIF(INDIRECT("'"&amp;$G$7&amp;"'!$C$37:$C$52"),W46,INDIRECT("'"&amp;$G$7&amp;"'!$D$37:$D$52")),0))))</f>
        <v/>
      </c>
      <c r="AC46" s="130">
        <f>IF($G$4="",0,AC45+IF(W46&gt;'General Information'!$D$33,0,IF(W46=0,$J$4,IFERROR(SUMIF(INDIRECT("'"&amp;$G$4&amp;"'!$C$37:$C$52"),W46,INDIRECT("'"&amp;$G$4&amp;"'!$E$37:$E$52")),0))))</f>
        <v/>
      </c>
      <c r="AD46" s="130">
        <f>IF($G$5="",0,AD45+IF(W46&gt;'General Information'!$D$33,0,IF(W46=0,$J$5,IFERROR(SUMIF(INDIRECT("'"&amp;$G$5&amp;"'!$C$37:$C$52"),W46,INDIRECT("'"&amp;$G$5&amp;"'!$E$37:$E$52")),0))))</f>
        <v/>
      </c>
      <c r="AE46" s="130">
        <f>IF($G$6="",0,AE45+IF(W46&gt;'General Information'!$D$33,0,IF(W46=0,$J$6,IFERROR(SUMIF(INDIRECT("'"&amp;$G$6&amp;"'!$C$37:$C$52"),W46,INDIRECT("'"&amp;$G$6&amp;"'!$E$37:$E$52")),0))))</f>
        <v/>
      </c>
      <c r="AF46" s="130">
        <f>IF($G$7="",0,AF45+IF(W46&gt;'General Information'!$D$33,0,IF(W46=0,$J$7,IFERROR(SUMIF(INDIRECT("'"&amp;$G$7&amp;"'!$C$37:$C$52"),W46,INDIRECT("'"&amp;$G$7&amp;"'!$E$37:$E$52")),0))))</f>
        <v/>
      </c>
      <c r="AG46" s="143">
        <f>IF($G$4="",0,IF(W46&gt;'General Information'!$D$33,0,IFERROR(SUMIFS(INDIRECT("'"&amp;$G$4&amp;"'!$D$37:$D$52"),INDIRECT("'"&amp;$G$4&amp;"'!$C$37:$C$52"),W46,INDIRECT("'"&amp;$G$4&amp;"'!$B$37:$B$52"),"*Indirect*")/INDIRECT("'"&amp;$G$4&amp;"'!$F$2"),0)))</f>
        <v/>
      </c>
      <c r="AH46" s="143">
        <f>IF($G$5="",0,IF(W46&gt;'General Information'!$D$33,0,IFERROR(SUMIFS(INDIRECT("'"&amp;$G$5&amp;"'!$D$37:$D$52"),INDIRECT("'"&amp;$G$5&amp;"'!$C$37:$C$52"),W46,INDIRECT("'"&amp;$G$5&amp;"'!$B$37:$B$52"),"*Indirect*")/INDIRECT("'"&amp;$G$5&amp;"'!$F$2"),0)))</f>
        <v/>
      </c>
      <c r="AI46" s="143">
        <f>IF($G$6="",0,IF(W46&gt;'General Information'!$D$33,0,IFERROR(SUMIFS(INDIRECT("'"&amp;$G$6&amp;"'!$D$37:$D$52"),INDIRECT("'"&amp;$G$6&amp;"'!$C$37:$C$52"),W46,INDIRECT("'"&amp;$G$6&amp;"'!$B$37:$B$52"),"*Indirect*")/INDIRECT("'"&amp;$G$6&amp;"'!$F$2"),0)))</f>
        <v/>
      </c>
      <c r="AJ46" s="143">
        <f>IF($G$7="",0,IF(W46&gt;'General Information'!$D$33,0,IFERROR(SUMIFS(INDIRECT("'"&amp;$G$7&amp;"'!$D$37:$D$52"),INDIRECT("'"&amp;$G$7&amp;"'!$C$37:$C$52"),W46,INDIRECT("'"&amp;$G$7&amp;"'!$B$37:$B$52"),"*Indirect*")/INDIRECT("'"&amp;$G$7&amp;"'!$F$2"),0)))</f>
        <v/>
      </c>
    </row>
    <row r="47">
      <c r="W47" s="129" t="n">
        <v>6</v>
      </c>
      <c r="X47" s="129">
        <f>'General Information'!$D$25+W47</f>
        <v/>
      </c>
      <c r="Y47" s="130">
        <f>IF($G$4="",0,IF(W47&gt;'General Information'!$D$33,0,IF(W47=0,$J$4,IFERROR(SUMIF(INDIRECT("'"&amp;$G$4&amp;"'!$C$37:$C$52"),W47,INDIRECT("'"&amp;$G$4&amp;"'!$D$37:$D$52")),0))))</f>
        <v/>
      </c>
      <c r="Z47" s="130">
        <f>IF($G$5="",0,IF(W47&gt;'General Information'!$D$33,0,IF(W47=0,$J$5,IFERROR(SUMIF(INDIRECT("'"&amp;$G$5&amp;"'!$C$37:$C$52"),W47,INDIRECT("'"&amp;$G$5&amp;"'!$D$37:$D$52")),0))))</f>
        <v/>
      </c>
      <c r="AA47" s="130">
        <f>IF($G$6="",0,IF(W47&gt;'General Information'!$D$33,0,IF(W47=0,$J$6,IFERROR(SUMIF(INDIRECT("'"&amp;$G$6&amp;"'!$C$37:$C$52"),W47,INDIRECT("'"&amp;$G$6&amp;"'!$D$37:$D$52")),0))))</f>
        <v/>
      </c>
      <c r="AB47" s="130">
        <f>IF($G$7="",0,IF(W47&gt;'General Information'!$D$33,0,IF(W47=0,$J$7,IFERROR(SUMIF(INDIRECT("'"&amp;$G$7&amp;"'!$C$37:$C$52"),W47,INDIRECT("'"&amp;$G$7&amp;"'!$D$37:$D$52")),0))))</f>
        <v/>
      </c>
      <c r="AC47" s="130">
        <f>IF($G$4="",0,AC46+IF(W47&gt;'General Information'!$D$33,0,IF(W47=0,$J$4,IFERROR(SUMIF(INDIRECT("'"&amp;$G$4&amp;"'!$C$37:$C$52"),W47,INDIRECT("'"&amp;$G$4&amp;"'!$E$37:$E$52")),0))))</f>
        <v/>
      </c>
      <c r="AD47" s="130">
        <f>IF($G$5="",0,AD46+IF(W47&gt;'General Information'!$D$33,0,IF(W47=0,$J$5,IFERROR(SUMIF(INDIRECT("'"&amp;$G$5&amp;"'!$C$37:$C$52"),W47,INDIRECT("'"&amp;$G$5&amp;"'!$E$37:$E$52")),0))))</f>
        <v/>
      </c>
      <c r="AE47" s="130">
        <f>IF($G$6="",0,AE46+IF(W47&gt;'General Information'!$D$33,0,IF(W47=0,$J$6,IFERROR(SUMIF(INDIRECT("'"&amp;$G$6&amp;"'!$C$37:$C$52"),W47,INDIRECT("'"&amp;$G$6&amp;"'!$E$37:$E$52")),0))))</f>
        <v/>
      </c>
      <c r="AF47" s="130">
        <f>IF($G$7="",0,AF46+IF(W47&gt;'General Information'!$D$33,0,IF(W47=0,$J$7,IFERROR(SUMIF(INDIRECT("'"&amp;$G$7&amp;"'!$C$37:$C$52"),W47,INDIRECT("'"&amp;$G$7&amp;"'!$E$37:$E$52")),0))))</f>
        <v/>
      </c>
      <c r="AG47" s="143">
        <f>IF($G$4="",0,IF(W47&gt;'General Information'!$D$33,0,IFERROR(SUMIFS(INDIRECT("'"&amp;$G$4&amp;"'!$D$37:$D$52"),INDIRECT("'"&amp;$G$4&amp;"'!$C$37:$C$52"),W47,INDIRECT("'"&amp;$G$4&amp;"'!$B$37:$B$52"),"*Indirect*")/INDIRECT("'"&amp;$G$4&amp;"'!$F$2"),0)))</f>
        <v/>
      </c>
      <c r="AH47" s="143">
        <f>IF($G$5="",0,IF(W47&gt;'General Information'!$D$33,0,IFERROR(SUMIFS(INDIRECT("'"&amp;$G$5&amp;"'!$D$37:$D$52"),INDIRECT("'"&amp;$G$5&amp;"'!$C$37:$C$52"),W47,INDIRECT("'"&amp;$G$5&amp;"'!$B$37:$B$52"),"*Indirect*")/INDIRECT("'"&amp;$G$5&amp;"'!$F$2"),0)))</f>
        <v/>
      </c>
      <c r="AI47" s="143">
        <f>IF($G$6="",0,IF(W47&gt;'General Information'!$D$33,0,IFERROR(SUMIFS(INDIRECT("'"&amp;$G$6&amp;"'!$D$37:$D$52"),INDIRECT("'"&amp;$G$6&amp;"'!$C$37:$C$52"),W47,INDIRECT("'"&amp;$G$6&amp;"'!$B$37:$B$52"),"*Indirect*")/INDIRECT("'"&amp;$G$6&amp;"'!$F$2"),0)))</f>
        <v/>
      </c>
      <c r="AJ47" s="143">
        <f>IF($G$7="",0,IF(W47&gt;'General Information'!$D$33,0,IFERROR(SUMIFS(INDIRECT("'"&amp;$G$7&amp;"'!$D$37:$D$52"),INDIRECT("'"&amp;$G$7&amp;"'!$C$37:$C$52"),W47,INDIRECT("'"&amp;$G$7&amp;"'!$B$37:$B$52"),"*Indirect*")/INDIRECT("'"&amp;$G$7&amp;"'!$F$2"),0)))</f>
        <v/>
      </c>
    </row>
    <row r="48">
      <c r="W48" s="129" t="n">
        <v>7</v>
      </c>
      <c r="X48" s="129">
        <f>'General Information'!$D$25+W48</f>
        <v/>
      </c>
      <c r="Y48" s="130">
        <f>IF($G$4="",0,IF(W48&gt;'General Information'!$D$33,0,IF(W48=0,$J$4,IFERROR(SUMIF(INDIRECT("'"&amp;$G$4&amp;"'!$C$37:$C$52"),W48,INDIRECT("'"&amp;$G$4&amp;"'!$D$37:$D$52")),0))))</f>
        <v/>
      </c>
      <c r="Z48" s="130">
        <f>IF($G$5="",0,IF(W48&gt;'General Information'!$D$33,0,IF(W48=0,$J$5,IFERROR(SUMIF(INDIRECT("'"&amp;$G$5&amp;"'!$C$37:$C$52"),W48,INDIRECT("'"&amp;$G$5&amp;"'!$D$37:$D$52")),0))))</f>
        <v/>
      </c>
      <c r="AA48" s="130">
        <f>IF($G$6="",0,IF(W48&gt;'General Information'!$D$33,0,IF(W48=0,$J$6,IFERROR(SUMIF(INDIRECT("'"&amp;$G$6&amp;"'!$C$37:$C$52"),W48,INDIRECT("'"&amp;$G$6&amp;"'!$D$37:$D$52")),0))))</f>
        <v/>
      </c>
      <c r="AB48" s="130">
        <f>IF($G$7="",0,IF(W48&gt;'General Information'!$D$33,0,IF(W48=0,$J$7,IFERROR(SUMIF(INDIRECT("'"&amp;$G$7&amp;"'!$C$37:$C$52"),W48,INDIRECT("'"&amp;$G$7&amp;"'!$D$37:$D$52")),0))))</f>
        <v/>
      </c>
      <c r="AC48" s="130">
        <f>IF($G$4="",0,AC47+IF(W48&gt;'General Information'!$D$33,0,IF(W48=0,$J$4,IFERROR(SUMIF(INDIRECT("'"&amp;$G$4&amp;"'!$C$37:$C$52"),W48,INDIRECT("'"&amp;$G$4&amp;"'!$E$37:$E$52")),0))))</f>
        <v/>
      </c>
      <c r="AD48" s="130">
        <f>IF($G$5="",0,AD47+IF(W48&gt;'General Information'!$D$33,0,IF(W48=0,$J$5,IFERROR(SUMIF(INDIRECT("'"&amp;$G$5&amp;"'!$C$37:$C$52"),W48,INDIRECT("'"&amp;$G$5&amp;"'!$E$37:$E$52")),0))))</f>
        <v/>
      </c>
      <c r="AE48" s="130">
        <f>IF($G$6="",0,AE47+IF(W48&gt;'General Information'!$D$33,0,IF(W48=0,$J$6,IFERROR(SUMIF(INDIRECT("'"&amp;$G$6&amp;"'!$C$37:$C$52"),W48,INDIRECT("'"&amp;$G$6&amp;"'!$E$37:$E$52")),0))))</f>
        <v/>
      </c>
      <c r="AF48" s="130">
        <f>IF($G$7="",0,AF47+IF(W48&gt;'General Information'!$D$33,0,IF(W48=0,$J$7,IFERROR(SUMIF(INDIRECT("'"&amp;$G$7&amp;"'!$C$37:$C$52"),W48,INDIRECT("'"&amp;$G$7&amp;"'!$E$37:$E$52")),0))))</f>
        <v/>
      </c>
      <c r="AG48" s="143">
        <f>IF($G$4="",0,IF(W48&gt;'General Information'!$D$33,0,IFERROR(SUMIFS(INDIRECT("'"&amp;$G$4&amp;"'!$D$37:$D$52"),INDIRECT("'"&amp;$G$4&amp;"'!$C$37:$C$52"),W48,INDIRECT("'"&amp;$G$4&amp;"'!$B$37:$B$52"),"*Indirect*")/INDIRECT("'"&amp;$G$4&amp;"'!$F$2"),0)))</f>
        <v/>
      </c>
      <c r="AH48" s="143">
        <f>IF($G$5="",0,IF(W48&gt;'General Information'!$D$33,0,IFERROR(SUMIFS(INDIRECT("'"&amp;$G$5&amp;"'!$D$37:$D$52"),INDIRECT("'"&amp;$G$5&amp;"'!$C$37:$C$52"),W48,INDIRECT("'"&amp;$G$5&amp;"'!$B$37:$B$52"),"*Indirect*")/INDIRECT("'"&amp;$G$5&amp;"'!$F$2"),0)))</f>
        <v/>
      </c>
      <c r="AI48" s="143">
        <f>IF($G$6="",0,IF(W48&gt;'General Information'!$D$33,0,IFERROR(SUMIFS(INDIRECT("'"&amp;$G$6&amp;"'!$D$37:$D$52"),INDIRECT("'"&amp;$G$6&amp;"'!$C$37:$C$52"),W48,INDIRECT("'"&amp;$G$6&amp;"'!$B$37:$B$52"),"*Indirect*")/INDIRECT("'"&amp;$G$6&amp;"'!$F$2"),0)))</f>
        <v/>
      </c>
      <c r="AJ48" s="143">
        <f>IF($G$7="",0,IF(W48&gt;'General Information'!$D$33,0,IFERROR(SUMIFS(INDIRECT("'"&amp;$G$7&amp;"'!$D$37:$D$52"),INDIRECT("'"&amp;$G$7&amp;"'!$C$37:$C$52"),W48,INDIRECT("'"&amp;$G$7&amp;"'!$B$37:$B$52"),"*Indirect*")/INDIRECT("'"&amp;$G$7&amp;"'!$F$2"),0)))</f>
        <v/>
      </c>
    </row>
    <row r="49">
      <c r="W49" s="129" t="n">
        <v>8</v>
      </c>
      <c r="X49" s="129">
        <f>'General Information'!$D$25+W49</f>
        <v/>
      </c>
      <c r="Y49" s="130">
        <f>IF($G$4="",0,IF(W49&gt;'General Information'!$D$33,0,IF(W49=0,$J$4,IFERROR(SUMIF(INDIRECT("'"&amp;$G$4&amp;"'!$C$37:$C$52"),W49,INDIRECT("'"&amp;$G$4&amp;"'!$D$37:$D$52")),0))))</f>
        <v/>
      </c>
      <c r="Z49" s="130">
        <f>IF($G$5="",0,IF(W49&gt;'General Information'!$D$33,0,IF(W49=0,$J$5,IFERROR(SUMIF(INDIRECT("'"&amp;$G$5&amp;"'!$C$37:$C$52"),W49,INDIRECT("'"&amp;$G$5&amp;"'!$D$37:$D$52")),0))))</f>
        <v/>
      </c>
      <c r="AA49" s="130">
        <f>IF($G$6="",0,IF(W49&gt;'General Information'!$D$33,0,IF(W49=0,$J$6,IFERROR(SUMIF(INDIRECT("'"&amp;$G$6&amp;"'!$C$37:$C$52"),W49,INDIRECT("'"&amp;$G$6&amp;"'!$D$37:$D$52")),0))))</f>
        <v/>
      </c>
      <c r="AB49" s="130">
        <f>IF($G$7="",0,IF(W49&gt;'General Information'!$D$33,0,IF(W49=0,$J$7,IFERROR(SUMIF(INDIRECT("'"&amp;$G$7&amp;"'!$C$37:$C$52"),W49,INDIRECT("'"&amp;$G$7&amp;"'!$D$37:$D$52")),0))))</f>
        <v/>
      </c>
      <c r="AC49" s="130">
        <f>IF($G$4="",0,AC48+IF(W49&gt;'General Information'!$D$33,0,IF(W49=0,$J$4,IFERROR(SUMIF(INDIRECT("'"&amp;$G$4&amp;"'!$C$37:$C$52"),W49,INDIRECT("'"&amp;$G$4&amp;"'!$E$37:$E$52")),0))))</f>
        <v/>
      </c>
      <c r="AD49" s="130">
        <f>IF($G$5="",0,AD48+IF(W49&gt;'General Information'!$D$33,0,IF(W49=0,$J$5,IFERROR(SUMIF(INDIRECT("'"&amp;$G$5&amp;"'!$C$37:$C$52"),W49,INDIRECT("'"&amp;$G$5&amp;"'!$E$37:$E$52")),0))))</f>
        <v/>
      </c>
      <c r="AE49" s="130">
        <f>IF($G$6="",0,AE48+IF(W49&gt;'General Information'!$D$33,0,IF(W49=0,$J$6,IFERROR(SUMIF(INDIRECT("'"&amp;$G$6&amp;"'!$C$37:$C$52"),W49,INDIRECT("'"&amp;$G$6&amp;"'!$E$37:$E$52")),0))))</f>
        <v/>
      </c>
      <c r="AF49" s="130">
        <f>IF($G$7="",0,AF48+IF(W49&gt;'General Information'!$D$33,0,IF(W49=0,$J$7,IFERROR(SUMIF(INDIRECT("'"&amp;$G$7&amp;"'!$C$37:$C$52"),W49,INDIRECT("'"&amp;$G$7&amp;"'!$E$37:$E$52")),0))))</f>
        <v/>
      </c>
      <c r="AG49" s="143">
        <f>IF($G$4="",0,IF(W49&gt;'General Information'!$D$33,0,IFERROR(SUMIFS(INDIRECT("'"&amp;$G$4&amp;"'!$D$37:$D$52"),INDIRECT("'"&amp;$G$4&amp;"'!$C$37:$C$52"),W49,INDIRECT("'"&amp;$G$4&amp;"'!$B$37:$B$52"),"*Indirect*")/INDIRECT("'"&amp;$G$4&amp;"'!$F$2"),0)))</f>
        <v/>
      </c>
      <c r="AH49" s="143">
        <f>IF($G$5="",0,IF(W49&gt;'General Information'!$D$33,0,IFERROR(SUMIFS(INDIRECT("'"&amp;$G$5&amp;"'!$D$37:$D$52"),INDIRECT("'"&amp;$G$5&amp;"'!$C$37:$C$52"),W49,INDIRECT("'"&amp;$G$5&amp;"'!$B$37:$B$52"),"*Indirect*")/INDIRECT("'"&amp;$G$5&amp;"'!$F$2"),0)))</f>
        <v/>
      </c>
      <c r="AI49" s="143">
        <f>IF($G$6="",0,IF(W49&gt;'General Information'!$D$33,0,IFERROR(SUMIFS(INDIRECT("'"&amp;$G$6&amp;"'!$D$37:$D$52"),INDIRECT("'"&amp;$G$6&amp;"'!$C$37:$C$52"),W49,INDIRECT("'"&amp;$G$6&amp;"'!$B$37:$B$52"),"*Indirect*")/INDIRECT("'"&amp;$G$6&amp;"'!$F$2"),0)))</f>
        <v/>
      </c>
      <c r="AJ49" s="143">
        <f>IF($G$7="",0,IF(W49&gt;'General Information'!$D$33,0,IFERROR(SUMIFS(INDIRECT("'"&amp;$G$7&amp;"'!$D$37:$D$52"),INDIRECT("'"&amp;$G$7&amp;"'!$C$37:$C$52"),W49,INDIRECT("'"&amp;$G$7&amp;"'!$B$37:$B$52"),"*Indirect*")/INDIRECT("'"&amp;$G$7&amp;"'!$F$2"),0)))</f>
        <v/>
      </c>
    </row>
    <row r="50">
      <c r="W50" s="129" t="n">
        <v>9</v>
      </c>
      <c r="X50" s="129">
        <f>'General Information'!$D$25+W50</f>
        <v/>
      </c>
      <c r="Y50" s="130">
        <f>IF($G$4="",0,IF(W50&gt;'General Information'!$D$33,0,IF(W50=0,$J$4,IFERROR(SUMIF(INDIRECT("'"&amp;$G$4&amp;"'!$C$37:$C$52"),W50,INDIRECT("'"&amp;$G$4&amp;"'!$D$37:$D$52")),0))))</f>
        <v/>
      </c>
      <c r="Z50" s="130">
        <f>IF($G$5="",0,IF(W50&gt;'General Information'!$D$33,0,IF(W50=0,$J$5,IFERROR(SUMIF(INDIRECT("'"&amp;$G$5&amp;"'!$C$37:$C$52"),W50,INDIRECT("'"&amp;$G$5&amp;"'!$D$37:$D$52")),0))))</f>
        <v/>
      </c>
      <c r="AA50" s="130">
        <f>IF($G$6="",0,IF(W50&gt;'General Information'!$D$33,0,IF(W50=0,$J$6,IFERROR(SUMIF(INDIRECT("'"&amp;$G$6&amp;"'!$C$37:$C$52"),W50,INDIRECT("'"&amp;$G$6&amp;"'!$D$37:$D$52")),0))))</f>
        <v/>
      </c>
      <c r="AB50" s="130">
        <f>IF($G$7="",0,IF(W50&gt;'General Information'!$D$33,0,IF(W50=0,$J$7,IFERROR(SUMIF(INDIRECT("'"&amp;$G$7&amp;"'!$C$37:$C$52"),W50,INDIRECT("'"&amp;$G$7&amp;"'!$D$37:$D$52")),0))))</f>
        <v/>
      </c>
      <c r="AC50" s="130">
        <f>IF($G$4="",0,AC49+IF(W50&gt;'General Information'!$D$33,0,IF(W50=0,$J$4,IFERROR(SUMIF(INDIRECT("'"&amp;$G$4&amp;"'!$C$37:$C$52"),W50,INDIRECT("'"&amp;$G$4&amp;"'!$E$37:$E$52")),0))))</f>
        <v/>
      </c>
      <c r="AD50" s="130">
        <f>IF($G$5="",0,AD49+IF(W50&gt;'General Information'!$D$33,0,IF(W50=0,$J$5,IFERROR(SUMIF(INDIRECT("'"&amp;$G$5&amp;"'!$C$37:$C$52"),W50,INDIRECT("'"&amp;$G$5&amp;"'!$E$37:$E$52")),0))))</f>
        <v/>
      </c>
      <c r="AE50" s="130">
        <f>IF($G$6="",0,AE49+IF(W50&gt;'General Information'!$D$33,0,IF(W50=0,$J$6,IFERROR(SUMIF(INDIRECT("'"&amp;$G$6&amp;"'!$C$37:$C$52"),W50,INDIRECT("'"&amp;$G$6&amp;"'!$E$37:$E$52")),0))))</f>
        <v/>
      </c>
      <c r="AF50" s="130">
        <f>IF($G$7="",0,AF49+IF(W50&gt;'General Information'!$D$33,0,IF(W50=0,$J$7,IFERROR(SUMIF(INDIRECT("'"&amp;$G$7&amp;"'!$C$37:$C$52"),W50,INDIRECT("'"&amp;$G$7&amp;"'!$E$37:$E$52")),0))))</f>
        <v/>
      </c>
      <c r="AG50" s="143">
        <f>IF($G$4="",0,IF(W50&gt;'General Information'!$D$33,0,IFERROR(SUMIFS(INDIRECT("'"&amp;$G$4&amp;"'!$D$37:$D$52"),INDIRECT("'"&amp;$G$4&amp;"'!$C$37:$C$52"),W50,INDIRECT("'"&amp;$G$4&amp;"'!$B$37:$B$52"),"*Indirect*")/INDIRECT("'"&amp;$G$4&amp;"'!$F$2"),0)))</f>
        <v/>
      </c>
      <c r="AH50" s="143">
        <f>IF($G$5="",0,IF(W50&gt;'General Information'!$D$33,0,IFERROR(SUMIFS(INDIRECT("'"&amp;$G$5&amp;"'!$D$37:$D$52"),INDIRECT("'"&amp;$G$5&amp;"'!$C$37:$C$52"),W50,INDIRECT("'"&amp;$G$5&amp;"'!$B$37:$B$52"),"*Indirect*")/INDIRECT("'"&amp;$G$5&amp;"'!$F$2"),0)))</f>
        <v/>
      </c>
      <c r="AI50" s="143">
        <f>IF($G$6="",0,IF(W50&gt;'General Information'!$D$33,0,IFERROR(SUMIFS(INDIRECT("'"&amp;$G$6&amp;"'!$D$37:$D$52"),INDIRECT("'"&amp;$G$6&amp;"'!$C$37:$C$52"),W50,INDIRECT("'"&amp;$G$6&amp;"'!$B$37:$B$52"),"*Indirect*")/INDIRECT("'"&amp;$G$6&amp;"'!$F$2"),0)))</f>
        <v/>
      </c>
      <c r="AJ50" s="143">
        <f>IF($G$7="",0,IF(W50&gt;'General Information'!$D$33,0,IFERROR(SUMIFS(INDIRECT("'"&amp;$G$7&amp;"'!$D$37:$D$52"),INDIRECT("'"&amp;$G$7&amp;"'!$C$37:$C$52"),W50,INDIRECT("'"&amp;$G$7&amp;"'!$B$37:$B$52"),"*Indirect*")/INDIRECT("'"&amp;$G$7&amp;"'!$F$2"),0)))</f>
        <v/>
      </c>
    </row>
    <row r="51">
      <c r="W51" s="129" t="n">
        <v>10</v>
      </c>
      <c r="X51" s="129">
        <f>'General Information'!$D$25+W51</f>
        <v/>
      </c>
      <c r="Y51" s="130">
        <f>IF($G$4="",0,IF(W51&gt;'General Information'!$D$33,0,IF(W51=0,$J$4,IFERROR(SUMIF(INDIRECT("'"&amp;$G$4&amp;"'!$C$37:$C$52"),W51,INDIRECT("'"&amp;$G$4&amp;"'!$D$37:$D$52")),0))))</f>
        <v/>
      </c>
      <c r="Z51" s="130">
        <f>IF($G$5="",0,IF(W51&gt;'General Information'!$D$33,0,IF(W51=0,$J$5,IFERROR(SUMIF(INDIRECT("'"&amp;$G$5&amp;"'!$C$37:$C$52"),W51,INDIRECT("'"&amp;$G$5&amp;"'!$D$37:$D$52")),0))))</f>
        <v/>
      </c>
      <c r="AA51" s="130">
        <f>IF($G$6="",0,IF(W51&gt;'General Information'!$D$33,0,IF(W51=0,$J$6,IFERROR(SUMIF(INDIRECT("'"&amp;$G$6&amp;"'!$C$37:$C$52"),W51,INDIRECT("'"&amp;$G$6&amp;"'!$D$37:$D$52")),0))))</f>
        <v/>
      </c>
      <c r="AB51" s="130">
        <f>IF($G$7="",0,IF(W51&gt;'General Information'!$D$33,0,IF(W51=0,$J$7,IFERROR(SUMIF(INDIRECT("'"&amp;$G$7&amp;"'!$C$37:$C$52"),W51,INDIRECT("'"&amp;$G$7&amp;"'!$D$37:$D$52")),0))))</f>
        <v/>
      </c>
      <c r="AC51" s="130">
        <f>IF($G$4="",0,AC50+IF(W51&gt;'General Information'!$D$33,0,IF(W51=0,$J$4,IFERROR(SUMIF(INDIRECT("'"&amp;$G$4&amp;"'!$C$37:$C$52"),W51,INDIRECT("'"&amp;$G$4&amp;"'!$E$37:$E$52")),0))))</f>
        <v/>
      </c>
      <c r="AD51" s="130">
        <f>IF($G$5="",0,AD50+IF(W51&gt;'General Information'!$D$33,0,IF(W51=0,$J$5,IFERROR(SUMIF(INDIRECT("'"&amp;$G$5&amp;"'!$C$37:$C$52"),W51,INDIRECT("'"&amp;$G$5&amp;"'!$E$37:$E$52")),0))))</f>
        <v/>
      </c>
      <c r="AE51" s="130">
        <f>IF($G$6="",0,AE50+IF(W51&gt;'General Information'!$D$33,0,IF(W51=0,$J$6,IFERROR(SUMIF(INDIRECT("'"&amp;$G$6&amp;"'!$C$37:$C$52"),W51,INDIRECT("'"&amp;$G$6&amp;"'!$E$37:$E$52")),0))))</f>
        <v/>
      </c>
      <c r="AF51" s="130">
        <f>IF($G$7="",0,AF50+IF(W51&gt;'General Information'!$D$33,0,IF(W51=0,$J$7,IFERROR(SUMIF(INDIRECT("'"&amp;$G$7&amp;"'!$C$37:$C$52"),W51,INDIRECT("'"&amp;$G$7&amp;"'!$E$37:$E$52")),0))))</f>
        <v/>
      </c>
      <c r="AG51" s="143">
        <f>IF($G$4="",0,IF(W51&gt;'General Information'!$D$33,0,IFERROR(SUMIFS(INDIRECT("'"&amp;$G$4&amp;"'!$D$37:$D$52"),INDIRECT("'"&amp;$G$4&amp;"'!$C$37:$C$52"),W51,INDIRECT("'"&amp;$G$4&amp;"'!$B$37:$B$52"),"*Indirect*")/INDIRECT("'"&amp;$G$4&amp;"'!$F$2"),0)))</f>
        <v/>
      </c>
      <c r="AH51" s="143">
        <f>IF($G$5="",0,IF(W51&gt;'General Information'!$D$33,0,IFERROR(SUMIFS(INDIRECT("'"&amp;$G$5&amp;"'!$D$37:$D$52"),INDIRECT("'"&amp;$G$5&amp;"'!$C$37:$C$52"),W51,INDIRECT("'"&amp;$G$5&amp;"'!$B$37:$B$52"),"*Indirect*")/INDIRECT("'"&amp;$G$5&amp;"'!$F$2"),0)))</f>
        <v/>
      </c>
      <c r="AI51" s="143">
        <f>IF($G$6="",0,IF(W51&gt;'General Information'!$D$33,0,IFERROR(SUMIFS(INDIRECT("'"&amp;$G$6&amp;"'!$D$37:$D$52"),INDIRECT("'"&amp;$G$6&amp;"'!$C$37:$C$52"),W51,INDIRECT("'"&amp;$G$6&amp;"'!$B$37:$B$52"),"*Indirect*")/INDIRECT("'"&amp;$G$6&amp;"'!$F$2"),0)))</f>
        <v/>
      </c>
      <c r="AJ51" s="143">
        <f>IF($G$7="",0,IF(W51&gt;'General Information'!$D$33,0,IFERROR(SUMIFS(INDIRECT("'"&amp;$G$7&amp;"'!$D$37:$D$52"),INDIRECT("'"&amp;$G$7&amp;"'!$C$37:$C$52"),W51,INDIRECT("'"&amp;$G$7&amp;"'!$B$37:$B$52"),"*Indirect*")/INDIRECT("'"&amp;$G$7&amp;"'!$F$2"),0)))</f>
        <v/>
      </c>
    </row>
    <row r="52">
      <c r="W52" s="129" t="n">
        <v>11</v>
      </c>
      <c r="X52" s="129">
        <f>'General Information'!$D$25+W52</f>
        <v/>
      </c>
      <c r="Y52" s="130">
        <f>IF($G$4="",0,IF(W52&gt;'General Information'!$D$33,0,IF(W52=0,$J$4,IFERROR(SUMIF(INDIRECT("'"&amp;$G$4&amp;"'!$C$37:$C$52"),W52,INDIRECT("'"&amp;$G$4&amp;"'!$D$37:$D$52")),0))))</f>
        <v/>
      </c>
      <c r="Z52" s="130">
        <f>IF($G$5="",0,IF(W52&gt;'General Information'!$D$33,0,IF(W52=0,$J$5,IFERROR(SUMIF(INDIRECT("'"&amp;$G$5&amp;"'!$C$37:$C$52"),W52,INDIRECT("'"&amp;$G$5&amp;"'!$D$37:$D$52")),0))))</f>
        <v/>
      </c>
      <c r="AA52" s="130">
        <f>IF($G$6="",0,IF(W52&gt;'General Information'!$D$33,0,IF(W52=0,$J$6,IFERROR(SUMIF(INDIRECT("'"&amp;$G$6&amp;"'!$C$37:$C$52"),W52,INDIRECT("'"&amp;$G$6&amp;"'!$D$37:$D$52")),0))))</f>
        <v/>
      </c>
      <c r="AB52" s="130">
        <f>IF($G$7="",0,IF(W52&gt;'General Information'!$D$33,0,IF(W52=0,$J$7,IFERROR(SUMIF(INDIRECT("'"&amp;$G$7&amp;"'!$C$37:$C$52"),W52,INDIRECT("'"&amp;$G$7&amp;"'!$D$37:$D$52")),0))))</f>
        <v/>
      </c>
      <c r="AC52" s="130">
        <f>IF($G$4="",0,AC51+IF(W52&gt;'General Information'!$D$33,0,IF(W52=0,$J$4,IFERROR(SUMIF(INDIRECT("'"&amp;$G$4&amp;"'!$C$37:$C$52"),W52,INDIRECT("'"&amp;$G$4&amp;"'!$E$37:$E$52")),0))))</f>
        <v/>
      </c>
      <c r="AD52" s="130">
        <f>IF($G$5="",0,AD51+IF(W52&gt;'General Information'!$D$33,0,IF(W52=0,$J$5,IFERROR(SUMIF(INDIRECT("'"&amp;$G$5&amp;"'!$C$37:$C$52"),W52,INDIRECT("'"&amp;$G$5&amp;"'!$E$37:$E$52")),0))))</f>
        <v/>
      </c>
      <c r="AE52" s="130">
        <f>IF($G$6="",0,AE51+IF(W52&gt;'General Information'!$D$33,0,IF(W52=0,$J$6,IFERROR(SUMIF(INDIRECT("'"&amp;$G$6&amp;"'!$C$37:$C$52"),W52,INDIRECT("'"&amp;$G$6&amp;"'!$E$37:$E$52")),0))))</f>
        <v/>
      </c>
      <c r="AF52" s="130">
        <f>IF($G$7="",0,AF51+IF(W52&gt;'General Information'!$D$33,0,IF(W52=0,$J$7,IFERROR(SUMIF(INDIRECT("'"&amp;$G$7&amp;"'!$C$37:$C$52"),W52,INDIRECT("'"&amp;$G$7&amp;"'!$E$37:$E$52")),0))))</f>
        <v/>
      </c>
      <c r="AG52" s="143">
        <f>IF($G$4="",0,IF(W52&gt;'General Information'!$D$33,0,IFERROR(SUMIFS(INDIRECT("'"&amp;$G$4&amp;"'!$D$37:$D$52"),INDIRECT("'"&amp;$G$4&amp;"'!$C$37:$C$52"),W52,INDIRECT("'"&amp;$G$4&amp;"'!$B$37:$B$52"),"*Indirect*")/INDIRECT("'"&amp;$G$4&amp;"'!$F$2"),0)))</f>
        <v/>
      </c>
      <c r="AH52" s="143">
        <f>IF($G$5="",0,IF(W52&gt;'General Information'!$D$33,0,IFERROR(SUMIFS(INDIRECT("'"&amp;$G$5&amp;"'!$D$37:$D$52"),INDIRECT("'"&amp;$G$5&amp;"'!$C$37:$C$52"),W52,INDIRECT("'"&amp;$G$5&amp;"'!$B$37:$B$52"),"*Indirect*")/INDIRECT("'"&amp;$G$5&amp;"'!$F$2"),0)))</f>
        <v/>
      </c>
      <c r="AI52" s="143">
        <f>IF($G$6="",0,IF(W52&gt;'General Information'!$D$33,0,IFERROR(SUMIFS(INDIRECT("'"&amp;$G$6&amp;"'!$D$37:$D$52"),INDIRECT("'"&amp;$G$6&amp;"'!$C$37:$C$52"),W52,INDIRECT("'"&amp;$G$6&amp;"'!$B$37:$B$52"),"*Indirect*")/INDIRECT("'"&amp;$G$6&amp;"'!$F$2"),0)))</f>
        <v/>
      </c>
      <c r="AJ52" s="143">
        <f>IF($G$7="",0,IF(W52&gt;'General Information'!$D$33,0,IFERROR(SUMIFS(INDIRECT("'"&amp;$G$7&amp;"'!$D$37:$D$52"),INDIRECT("'"&amp;$G$7&amp;"'!$C$37:$C$52"),W52,INDIRECT("'"&amp;$G$7&amp;"'!$B$37:$B$52"),"*Indirect*")/INDIRECT("'"&amp;$G$7&amp;"'!$F$2"),0)))</f>
        <v/>
      </c>
    </row>
    <row r="53">
      <c r="W53" s="129" t="n">
        <v>12</v>
      </c>
      <c r="X53" s="129">
        <f>'General Information'!$D$25+W53</f>
        <v/>
      </c>
      <c r="Y53" s="130">
        <f>IF($G$4="",0,IF(W53&gt;'General Information'!$D$33,0,IF(W53=0,$J$4,IFERROR(SUMIF(INDIRECT("'"&amp;$G$4&amp;"'!$C$37:$C$52"),W53,INDIRECT("'"&amp;$G$4&amp;"'!$D$37:$D$52")),0))))</f>
        <v/>
      </c>
      <c r="Z53" s="130">
        <f>IF($G$5="",0,IF(W53&gt;'General Information'!$D$33,0,IF(W53=0,$J$5,IFERROR(SUMIF(INDIRECT("'"&amp;$G$5&amp;"'!$C$37:$C$52"),W53,INDIRECT("'"&amp;$G$5&amp;"'!$D$37:$D$52")),0))))</f>
        <v/>
      </c>
      <c r="AA53" s="130">
        <f>IF($G$6="",0,IF(W53&gt;'General Information'!$D$33,0,IF(W53=0,$J$6,IFERROR(SUMIF(INDIRECT("'"&amp;$G$6&amp;"'!$C$37:$C$52"),W53,INDIRECT("'"&amp;$G$6&amp;"'!$D$37:$D$52")),0))))</f>
        <v/>
      </c>
      <c r="AB53" s="130">
        <f>IF($G$7="",0,IF(W53&gt;'General Information'!$D$33,0,IF(W53=0,$J$7,IFERROR(SUMIF(INDIRECT("'"&amp;$G$7&amp;"'!$C$37:$C$52"),W53,INDIRECT("'"&amp;$G$7&amp;"'!$D$37:$D$52")),0))))</f>
        <v/>
      </c>
      <c r="AC53" s="130">
        <f>IF($G$4="",0,AC52+IF(W53&gt;'General Information'!$D$33,0,IF(W53=0,$J$4,IFERROR(SUMIF(INDIRECT("'"&amp;$G$4&amp;"'!$C$37:$C$52"),W53,INDIRECT("'"&amp;$G$4&amp;"'!$E$37:$E$52")),0))))</f>
        <v/>
      </c>
      <c r="AD53" s="130">
        <f>IF($G$5="",0,AD52+IF(W53&gt;'General Information'!$D$33,0,IF(W53=0,$J$5,IFERROR(SUMIF(INDIRECT("'"&amp;$G$5&amp;"'!$C$37:$C$52"),W53,INDIRECT("'"&amp;$G$5&amp;"'!$E$37:$E$52")),0))))</f>
        <v/>
      </c>
      <c r="AE53" s="130">
        <f>IF($G$6="",0,AE52+IF(W53&gt;'General Information'!$D$33,0,IF(W53=0,$J$6,IFERROR(SUMIF(INDIRECT("'"&amp;$G$6&amp;"'!$C$37:$C$52"),W53,INDIRECT("'"&amp;$G$6&amp;"'!$E$37:$E$52")),0))))</f>
        <v/>
      </c>
      <c r="AF53" s="130">
        <f>IF($G$7="",0,AF52+IF(W53&gt;'General Information'!$D$33,0,IF(W53=0,$J$7,IFERROR(SUMIF(INDIRECT("'"&amp;$G$7&amp;"'!$C$37:$C$52"),W53,INDIRECT("'"&amp;$G$7&amp;"'!$E$37:$E$52")),0))))</f>
        <v/>
      </c>
      <c r="AG53" s="143">
        <f>IF($G$4="",0,IF(W53&gt;'General Information'!$D$33,0,IFERROR(SUMIFS(INDIRECT("'"&amp;$G$4&amp;"'!$D$37:$D$52"),INDIRECT("'"&amp;$G$4&amp;"'!$C$37:$C$52"),W53,INDIRECT("'"&amp;$G$4&amp;"'!$B$37:$B$52"),"*Indirect*")/INDIRECT("'"&amp;$G$4&amp;"'!$F$2"),0)))</f>
        <v/>
      </c>
      <c r="AH53" s="143">
        <f>IF($G$5="",0,IF(W53&gt;'General Information'!$D$33,0,IFERROR(SUMIFS(INDIRECT("'"&amp;$G$5&amp;"'!$D$37:$D$52"),INDIRECT("'"&amp;$G$5&amp;"'!$C$37:$C$52"),W53,INDIRECT("'"&amp;$G$5&amp;"'!$B$37:$B$52"),"*Indirect*")/INDIRECT("'"&amp;$G$5&amp;"'!$F$2"),0)))</f>
        <v/>
      </c>
      <c r="AI53" s="143">
        <f>IF($G$6="",0,IF(W53&gt;'General Information'!$D$33,0,IFERROR(SUMIFS(INDIRECT("'"&amp;$G$6&amp;"'!$D$37:$D$52"),INDIRECT("'"&amp;$G$6&amp;"'!$C$37:$C$52"),W53,INDIRECT("'"&amp;$G$6&amp;"'!$B$37:$B$52"),"*Indirect*")/INDIRECT("'"&amp;$G$6&amp;"'!$F$2"),0)))</f>
        <v/>
      </c>
      <c r="AJ53" s="143">
        <f>IF($G$7="",0,IF(W53&gt;'General Information'!$D$33,0,IFERROR(SUMIFS(INDIRECT("'"&amp;$G$7&amp;"'!$D$37:$D$52"),INDIRECT("'"&amp;$G$7&amp;"'!$C$37:$C$52"),W53,INDIRECT("'"&amp;$G$7&amp;"'!$B$37:$B$52"),"*Indirect*")/INDIRECT("'"&amp;$G$7&amp;"'!$F$2"),0)))</f>
        <v/>
      </c>
    </row>
    <row r="54">
      <c r="W54" s="129" t="n">
        <v>13</v>
      </c>
      <c r="X54" s="129">
        <f>'General Information'!$D$25+W54</f>
        <v/>
      </c>
      <c r="Y54" s="130">
        <f>IF($G$4="",0,IF(W54&gt;'General Information'!$D$33,0,IF(W54=0,$J$4,IFERROR(SUMIF(INDIRECT("'"&amp;$G$4&amp;"'!$C$37:$C$52"),W54,INDIRECT("'"&amp;$G$4&amp;"'!$D$37:$D$52")),0))))</f>
        <v/>
      </c>
      <c r="Z54" s="130">
        <f>IF($G$5="",0,IF(W54&gt;'General Information'!$D$33,0,IF(W54=0,$J$5,IFERROR(SUMIF(INDIRECT("'"&amp;$G$5&amp;"'!$C$37:$C$52"),W54,INDIRECT("'"&amp;$G$5&amp;"'!$D$37:$D$52")),0))))</f>
        <v/>
      </c>
      <c r="AA54" s="130">
        <f>IF($G$6="",0,IF(W54&gt;'General Information'!$D$33,0,IF(W54=0,$J$6,IFERROR(SUMIF(INDIRECT("'"&amp;$G$6&amp;"'!$C$37:$C$52"),W54,INDIRECT("'"&amp;$G$6&amp;"'!$D$37:$D$52")),0))))</f>
        <v/>
      </c>
      <c r="AB54" s="130">
        <f>IF($G$7="",0,IF(W54&gt;'General Information'!$D$33,0,IF(W54=0,$J$7,IFERROR(SUMIF(INDIRECT("'"&amp;$G$7&amp;"'!$C$37:$C$52"),W54,INDIRECT("'"&amp;$G$7&amp;"'!$D$37:$D$52")),0))))</f>
        <v/>
      </c>
      <c r="AC54" s="130">
        <f>IF($G$4="",0,AC53+IF(W54&gt;'General Information'!$D$33,0,IF(W54=0,$J$4,IFERROR(SUMIF(INDIRECT("'"&amp;$G$4&amp;"'!$C$37:$C$52"),W54,INDIRECT("'"&amp;$G$4&amp;"'!$E$37:$E$52")),0))))</f>
        <v/>
      </c>
      <c r="AD54" s="130">
        <f>IF($G$5="",0,AD53+IF(W54&gt;'General Information'!$D$33,0,IF(W54=0,$J$5,IFERROR(SUMIF(INDIRECT("'"&amp;$G$5&amp;"'!$C$37:$C$52"),W54,INDIRECT("'"&amp;$G$5&amp;"'!$E$37:$E$52")),0))))</f>
        <v/>
      </c>
      <c r="AE54" s="130">
        <f>IF($G$6="",0,AE53+IF(W54&gt;'General Information'!$D$33,0,IF(W54=0,$J$6,IFERROR(SUMIF(INDIRECT("'"&amp;$G$6&amp;"'!$C$37:$C$52"),W54,INDIRECT("'"&amp;$G$6&amp;"'!$E$37:$E$52")),0))))</f>
        <v/>
      </c>
      <c r="AF54" s="130">
        <f>IF($G$7="",0,AF53+IF(W54&gt;'General Information'!$D$33,0,IF(W54=0,$J$7,IFERROR(SUMIF(INDIRECT("'"&amp;$G$7&amp;"'!$C$37:$C$52"),W54,INDIRECT("'"&amp;$G$7&amp;"'!$E$37:$E$52")),0))))</f>
        <v/>
      </c>
      <c r="AG54" s="143">
        <f>IF($G$4="",0,IF(W54&gt;'General Information'!$D$33,0,IFERROR(SUMIFS(INDIRECT("'"&amp;$G$4&amp;"'!$D$37:$D$52"),INDIRECT("'"&amp;$G$4&amp;"'!$C$37:$C$52"),W54,INDIRECT("'"&amp;$G$4&amp;"'!$B$37:$B$52"),"*Indirect*")/INDIRECT("'"&amp;$G$4&amp;"'!$F$2"),0)))</f>
        <v/>
      </c>
      <c r="AH54" s="143">
        <f>IF($G$5="",0,IF(W54&gt;'General Information'!$D$33,0,IFERROR(SUMIFS(INDIRECT("'"&amp;$G$5&amp;"'!$D$37:$D$52"),INDIRECT("'"&amp;$G$5&amp;"'!$C$37:$C$52"),W54,INDIRECT("'"&amp;$G$5&amp;"'!$B$37:$B$52"),"*Indirect*")/INDIRECT("'"&amp;$G$5&amp;"'!$F$2"),0)))</f>
        <v/>
      </c>
      <c r="AI54" s="143">
        <f>IF($G$6="",0,IF(W54&gt;'General Information'!$D$33,0,IFERROR(SUMIFS(INDIRECT("'"&amp;$G$6&amp;"'!$D$37:$D$52"),INDIRECT("'"&amp;$G$6&amp;"'!$C$37:$C$52"),W54,INDIRECT("'"&amp;$G$6&amp;"'!$B$37:$B$52"),"*Indirect*")/INDIRECT("'"&amp;$G$6&amp;"'!$F$2"),0)))</f>
        <v/>
      </c>
      <c r="AJ54" s="143">
        <f>IF($G$7="",0,IF(W54&gt;'General Information'!$D$33,0,IFERROR(SUMIFS(INDIRECT("'"&amp;$G$7&amp;"'!$D$37:$D$52"),INDIRECT("'"&amp;$G$7&amp;"'!$C$37:$C$52"),W54,INDIRECT("'"&amp;$G$7&amp;"'!$B$37:$B$52"),"*Indirect*")/INDIRECT("'"&amp;$G$7&amp;"'!$F$2"),0)))</f>
        <v/>
      </c>
    </row>
    <row r="55">
      <c r="W55" s="129" t="n">
        <v>14</v>
      </c>
      <c r="X55" s="129">
        <f>'General Information'!$D$25+W55</f>
        <v/>
      </c>
      <c r="Y55" s="130">
        <f>IF($G$4="",0,IF(W55&gt;'General Information'!$D$33,0,IF(W55=0,$J$4,IFERROR(SUMIF(INDIRECT("'"&amp;$G$4&amp;"'!$C$37:$C$52"),W55,INDIRECT("'"&amp;$G$4&amp;"'!$D$37:$D$52")),0))))</f>
        <v/>
      </c>
      <c r="Z55" s="130">
        <f>IF($G$5="",0,IF(W55&gt;'General Information'!$D$33,0,IF(W55=0,$J$5,IFERROR(SUMIF(INDIRECT("'"&amp;$G$5&amp;"'!$C$37:$C$52"),W55,INDIRECT("'"&amp;$G$5&amp;"'!$D$37:$D$52")),0))))</f>
        <v/>
      </c>
      <c r="AA55" s="130">
        <f>IF($G$6="",0,IF(W55&gt;'General Information'!$D$33,0,IF(W55=0,$J$6,IFERROR(SUMIF(INDIRECT("'"&amp;$G$6&amp;"'!$C$37:$C$52"),W55,INDIRECT("'"&amp;$G$6&amp;"'!$D$37:$D$52")),0))))</f>
        <v/>
      </c>
      <c r="AB55" s="130">
        <f>IF($G$7="",0,IF(W55&gt;'General Information'!$D$33,0,IF(W55=0,$J$7,IFERROR(SUMIF(INDIRECT("'"&amp;$G$7&amp;"'!$C$37:$C$52"),W55,INDIRECT("'"&amp;$G$7&amp;"'!$D$37:$D$52")),0))))</f>
        <v/>
      </c>
      <c r="AC55" s="130">
        <f>IF($G$4="",0,AC54+IF(W55&gt;'General Information'!$D$33,0,IF(W55=0,$J$4,IFERROR(SUMIF(INDIRECT("'"&amp;$G$4&amp;"'!$C$37:$C$52"),W55,INDIRECT("'"&amp;$G$4&amp;"'!$E$37:$E$52")),0))))</f>
        <v/>
      </c>
      <c r="AD55" s="130">
        <f>IF($G$5="",0,AD54+IF(W55&gt;'General Information'!$D$33,0,IF(W55=0,$J$5,IFERROR(SUMIF(INDIRECT("'"&amp;$G$5&amp;"'!$C$37:$C$52"),W55,INDIRECT("'"&amp;$G$5&amp;"'!$E$37:$E$52")),0))))</f>
        <v/>
      </c>
      <c r="AE55" s="130">
        <f>IF($G$6="",0,AE54+IF(W55&gt;'General Information'!$D$33,0,IF(W55=0,$J$6,IFERROR(SUMIF(INDIRECT("'"&amp;$G$6&amp;"'!$C$37:$C$52"),W55,INDIRECT("'"&amp;$G$6&amp;"'!$E$37:$E$52")),0))))</f>
        <v/>
      </c>
      <c r="AF55" s="130">
        <f>IF($G$7="",0,AF54+IF(W55&gt;'General Information'!$D$33,0,IF(W55=0,$J$7,IFERROR(SUMIF(INDIRECT("'"&amp;$G$7&amp;"'!$C$37:$C$52"),W55,INDIRECT("'"&amp;$G$7&amp;"'!$E$37:$E$52")),0))))</f>
        <v/>
      </c>
      <c r="AG55" s="143">
        <f>IF($G$4="",0,IF(W55&gt;'General Information'!$D$33,0,IFERROR(SUMIFS(INDIRECT("'"&amp;$G$4&amp;"'!$D$37:$D$52"),INDIRECT("'"&amp;$G$4&amp;"'!$C$37:$C$52"),W55,INDIRECT("'"&amp;$G$4&amp;"'!$B$37:$B$52"),"*Indirect*")/INDIRECT("'"&amp;$G$4&amp;"'!$F$2"),0)))</f>
        <v/>
      </c>
      <c r="AH55" s="143">
        <f>IF($G$5="",0,IF(W55&gt;'General Information'!$D$33,0,IFERROR(SUMIFS(INDIRECT("'"&amp;$G$5&amp;"'!$D$37:$D$52"),INDIRECT("'"&amp;$G$5&amp;"'!$C$37:$C$52"),W55,INDIRECT("'"&amp;$G$5&amp;"'!$B$37:$B$52"),"*Indirect*")/INDIRECT("'"&amp;$G$5&amp;"'!$F$2"),0)))</f>
        <v/>
      </c>
      <c r="AI55" s="143">
        <f>IF($G$6="",0,IF(W55&gt;'General Information'!$D$33,0,IFERROR(SUMIFS(INDIRECT("'"&amp;$G$6&amp;"'!$D$37:$D$52"),INDIRECT("'"&amp;$G$6&amp;"'!$C$37:$C$52"),W55,INDIRECT("'"&amp;$G$6&amp;"'!$B$37:$B$52"),"*Indirect*")/INDIRECT("'"&amp;$G$6&amp;"'!$F$2"),0)))</f>
        <v/>
      </c>
      <c r="AJ55" s="143">
        <f>IF($G$7="",0,IF(W55&gt;'General Information'!$D$33,0,IFERROR(SUMIFS(INDIRECT("'"&amp;$G$7&amp;"'!$D$37:$D$52"),INDIRECT("'"&amp;$G$7&amp;"'!$C$37:$C$52"),W55,INDIRECT("'"&amp;$G$7&amp;"'!$B$37:$B$52"),"*Indirect*")/INDIRECT("'"&amp;$G$7&amp;"'!$F$2"),0)))</f>
        <v/>
      </c>
    </row>
    <row r="56">
      <c r="W56" s="129" t="n">
        <v>15</v>
      </c>
      <c r="X56" s="129">
        <f>'General Information'!$D$25+W56</f>
        <v/>
      </c>
      <c r="Y56" s="130">
        <f>IF($G$4="",0,IF(W56&gt;'General Information'!$D$33,0,IF(W56=0,$J$4,IFERROR(SUMIF(INDIRECT("'"&amp;$G$4&amp;"'!$C$37:$C$52"),W56,INDIRECT("'"&amp;$G$4&amp;"'!$D$37:$D$52")),0))))</f>
        <v/>
      </c>
      <c r="Z56" s="130">
        <f>IF($G$5="",0,IF(W56&gt;'General Information'!$D$33,0,IF(W56=0,$J$5,IFERROR(SUMIF(INDIRECT("'"&amp;$G$5&amp;"'!$C$37:$C$52"),W56,INDIRECT("'"&amp;$G$5&amp;"'!$D$37:$D$52")),0))))</f>
        <v/>
      </c>
      <c r="AA56" s="130">
        <f>IF($G$6="",0,IF(W56&gt;'General Information'!$D$33,0,IF(W56=0,$J$6,IFERROR(SUMIF(INDIRECT("'"&amp;$G$6&amp;"'!$C$37:$C$52"),W56,INDIRECT("'"&amp;$G$6&amp;"'!$D$37:$D$52")),0))))</f>
        <v/>
      </c>
      <c r="AB56" s="130">
        <f>IF($G$7="",0,IF(W56&gt;'General Information'!$D$33,0,IF(W56=0,$J$7,IFERROR(SUMIF(INDIRECT("'"&amp;$G$7&amp;"'!$C$37:$C$52"),W56,INDIRECT("'"&amp;$G$7&amp;"'!$D$37:$D$52")),0))))</f>
        <v/>
      </c>
      <c r="AC56" s="130">
        <f>IF($G$4="",0,AC55+IF(W56&gt;'General Information'!$D$33,0,IF(W56=0,$J$4,IFERROR(SUMIF(INDIRECT("'"&amp;$G$4&amp;"'!$C$37:$C$52"),W56,INDIRECT("'"&amp;$G$4&amp;"'!$E$37:$E$52")),0))))</f>
        <v/>
      </c>
      <c r="AD56" s="130">
        <f>IF($G$5="",0,AD55+IF(W56&gt;'General Information'!$D$33,0,IF(W56=0,$J$5,IFERROR(SUMIF(INDIRECT("'"&amp;$G$5&amp;"'!$C$37:$C$52"),W56,INDIRECT("'"&amp;$G$5&amp;"'!$E$37:$E$52")),0))))</f>
        <v/>
      </c>
      <c r="AE56" s="130">
        <f>IF($G$6="",0,AE55+IF(W56&gt;'General Information'!$D$33,0,IF(W56=0,$J$6,IFERROR(SUMIF(INDIRECT("'"&amp;$G$6&amp;"'!$C$37:$C$52"),W56,INDIRECT("'"&amp;$G$6&amp;"'!$E$37:$E$52")),0))))</f>
        <v/>
      </c>
      <c r="AF56" s="130">
        <f>IF($G$7="",0,AF55+IF(W56&gt;'General Information'!$D$33,0,IF(W56=0,$J$7,IFERROR(SUMIF(INDIRECT("'"&amp;$G$7&amp;"'!$C$37:$C$52"),W56,INDIRECT("'"&amp;$G$7&amp;"'!$E$37:$E$52")),0))))</f>
        <v/>
      </c>
      <c r="AG56" s="143">
        <f>IF($G$4="",0,IF(W56&gt;'General Information'!$D$33,0,IFERROR(SUMIFS(INDIRECT("'"&amp;$G$4&amp;"'!$D$37:$D$52"),INDIRECT("'"&amp;$G$4&amp;"'!$C$37:$C$52"),W56,INDIRECT("'"&amp;$G$4&amp;"'!$B$37:$B$52"),"*Indirect*")/INDIRECT("'"&amp;$G$4&amp;"'!$F$2"),0)))</f>
        <v/>
      </c>
      <c r="AH56" s="143">
        <f>IF($G$5="",0,IF(W56&gt;'General Information'!$D$33,0,IFERROR(SUMIFS(INDIRECT("'"&amp;$G$5&amp;"'!$D$37:$D$52"),INDIRECT("'"&amp;$G$5&amp;"'!$C$37:$C$52"),W56,INDIRECT("'"&amp;$G$5&amp;"'!$B$37:$B$52"),"*Indirect*")/INDIRECT("'"&amp;$G$5&amp;"'!$F$2"),0)))</f>
        <v/>
      </c>
      <c r="AI56" s="143">
        <f>IF($G$6="",0,IF(W56&gt;'General Information'!$D$33,0,IFERROR(SUMIFS(INDIRECT("'"&amp;$G$6&amp;"'!$D$37:$D$52"),INDIRECT("'"&amp;$G$6&amp;"'!$C$37:$C$52"),W56,INDIRECT("'"&amp;$G$6&amp;"'!$B$37:$B$52"),"*Indirect*")/INDIRECT("'"&amp;$G$6&amp;"'!$F$2"),0)))</f>
        <v/>
      </c>
      <c r="AJ56" s="143">
        <f>IF($G$7="",0,IF(W56&gt;'General Information'!$D$33,0,IFERROR(SUMIFS(INDIRECT("'"&amp;$G$7&amp;"'!$D$37:$D$52"),INDIRECT("'"&amp;$G$7&amp;"'!$C$37:$C$52"),W56,INDIRECT("'"&amp;$G$7&amp;"'!$B$37:$B$52"),"*Indirect*")/INDIRECT("'"&amp;$G$7&amp;"'!$F$2"),0)))</f>
        <v/>
      </c>
    </row>
    <row r="57">
      <c r="W57" s="129" t="n">
        <v>16</v>
      </c>
      <c r="X57" s="129">
        <f>'General Information'!$D$25+W57</f>
        <v/>
      </c>
      <c r="Y57" s="130">
        <f>IF($G$4="",0,IF(W57&gt;'General Information'!$D$33,0,IF(W57=0,$J$4,IFERROR(SUMIF(INDIRECT("'"&amp;$G$4&amp;"'!$C$37:$C$52"),W57,INDIRECT("'"&amp;$G$4&amp;"'!$D$37:$D$52")),0))))</f>
        <v/>
      </c>
      <c r="Z57" s="130">
        <f>IF($G$5="",0,IF(W57&gt;'General Information'!$D$33,0,IF(W57=0,$J$5,IFERROR(SUMIF(INDIRECT("'"&amp;$G$5&amp;"'!$C$37:$C$52"),W57,INDIRECT("'"&amp;$G$5&amp;"'!$D$37:$D$52")),0))))</f>
        <v/>
      </c>
      <c r="AA57" s="130">
        <f>IF($G$6="",0,IF(W57&gt;'General Information'!$D$33,0,IF(W57=0,$J$6,IFERROR(SUMIF(INDIRECT("'"&amp;$G$6&amp;"'!$C$37:$C$52"),W57,INDIRECT("'"&amp;$G$6&amp;"'!$D$37:$D$52")),0))))</f>
        <v/>
      </c>
      <c r="AB57" s="130">
        <f>IF($G$7="",0,IF(W57&gt;'General Information'!$D$33,0,IF(W57=0,$J$7,IFERROR(SUMIF(INDIRECT("'"&amp;$G$7&amp;"'!$C$37:$C$52"),W57,INDIRECT("'"&amp;$G$7&amp;"'!$D$37:$D$52")),0))))</f>
        <v/>
      </c>
      <c r="AC57" s="130">
        <f>IF($G$4="",0,AC56+IF(W57&gt;'General Information'!$D$33,0,IF(W57=0,$J$4,IFERROR(SUMIF(INDIRECT("'"&amp;$G$4&amp;"'!$C$37:$C$52"),W57,INDIRECT("'"&amp;$G$4&amp;"'!$E$37:$E$52")),0))))</f>
        <v/>
      </c>
      <c r="AD57" s="130">
        <f>IF($G$5="",0,AD56+IF(W57&gt;'General Information'!$D$33,0,IF(W57=0,$J$5,IFERROR(SUMIF(INDIRECT("'"&amp;$G$5&amp;"'!$C$37:$C$52"),W57,INDIRECT("'"&amp;$G$5&amp;"'!$E$37:$E$52")),0))))</f>
        <v/>
      </c>
      <c r="AE57" s="130">
        <f>IF($G$6="",0,AE56+IF(W57&gt;'General Information'!$D$33,0,IF(W57=0,$J$6,IFERROR(SUMIF(INDIRECT("'"&amp;$G$6&amp;"'!$C$37:$C$52"),W57,INDIRECT("'"&amp;$G$6&amp;"'!$E$37:$E$52")),0))))</f>
        <v/>
      </c>
      <c r="AF57" s="130">
        <f>IF($G$7="",0,AF56+IF(W57&gt;'General Information'!$D$33,0,IF(W57=0,$J$7,IFERROR(SUMIF(INDIRECT("'"&amp;$G$7&amp;"'!$C$37:$C$52"),W57,INDIRECT("'"&amp;$G$7&amp;"'!$E$37:$E$52")),0))))</f>
        <v/>
      </c>
      <c r="AG57" s="143">
        <f>IF($G$4="",0,IF(W57&gt;'General Information'!$D$33,0,IFERROR(SUMIFS(INDIRECT("'"&amp;$G$4&amp;"'!$D$37:$D$52"),INDIRECT("'"&amp;$G$4&amp;"'!$C$37:$C$52"),W57,INDIRECT("'"&amp;$G$4&amp;"'!$B$37:$B$52"),"*Indirect*")/INDIRECT("'"&amp;$G$4&amp;"'!$F$2"),0)))</f>
        <v/>
      </c>
      <c r="AH57" s="143">
        <f>IF($G$5="",0,IF(W57&gt;'General Information'!$D$33,0,IFERROR(SUMIFS(INDIRECT("'"&amp;$G$5&amp;"'!$D$37:$D$52"),INDIRECT("'"&amp;$G$5&amp;"'!$C$37:$C$52"),W57,INDIRECT("'"&amp;$G$5&amp;"'!$B$37:$B$52"),"*Indirect*")/INDIRECT("'"&amp;$G$5&amp;"'!$F$2"),0)))</f>
        <v/>
      </c>
      <c r="AI57" s="143">
        <f>IF($G$6="",0,IF(W57&gt;'General Information'!$D$33,0,IFERROR(SUMIFS(INDIRECT("'"&amp;$G$6&amp;"'!$D$37:$D$52"),INDIRECT("'"&amp;$G$6&amp;"'!$C$37:$C$52"),W57,INDIRECT("'"&amp;$G$6&amp;"'!$B$37:$B$52"),"*Indirect*")/INDIRECT("'"&amp;$G$6&amp;"'!$F$2"),0)))</f>
        <v/>
      </c>
      <c r="AJ57" s="143">
        <f>IF($G$7="",0,IF(W57&gt;'General Information'!$D$33,0,IFERROR(SUMIFS(INDIRECT("'"&amp;$G$7&amp;"'!$D$37:$D$52"),INDIRECT("'"&amp;$G$7&amp;"'!$C$37:$C$52"),W57,INDIRECT("'"&amp;$G$7&amp;"'!$B$37:$B$52"),"*Indirect*")/INDIRECT("'"&amp;$G$7&amp;"'!$F$2"),0)))</f>
        <v/>
      </c>
    </row>
    <row r="58">
      <c r="W58" s="129" t="n">
        <v>17</v>
      </c>
      <c r="X58" s="129">
        <f>'General Information'!$D$25+W58</f>
        <v/>
      </c>
      <c r="Y58" s="130">
        <f>IF($G$4="",0,IF(W58&gt;'General Information'!$D$33,0,IF(W58=0,$J$4,IFERROR(SUMIF(INDIRECT("'"&amp;$G$4&amp;"'!$C$37:$C$52"),W58,INDIRECT("'"&amp;$G$4&amp;"'!$D$37:$D$52")),0))))</f>
        <v/>
      </c>
      <c r="Z58" s="130">
        <f>IF($G$5="",0,IF(W58&gt;'General Information'!$D$33,0,IF(W58=0,$J$5,IFERROR(SUMIF(INDIRECT("'"&amp;$G$5&amp;"'!$C$37:$C$52"),W58,INDIRECT("'"&amp;$G$5&amp;"'!$D$37:$D$52")),0))))</f>
        <v/>
      </c>
      <c r="AA58" s="130">
        <f>IF($G$6="",0,IF(W58&gt;'General Information'!$D$33,0,IF(W58=0,$J$6,IFERROR(SUMIF(INDIRECT("'"&amp;$G$6&amp;"'!$C$37:$C$52"),W58,INDIRECT("'"&amp;$G$6&amp;"'!$D$37:$D$52")),0))))</f>
        <v/>
      </c>
      <c r="AB58" s="130">
        <f>IF($G$7="",0,IF(W58&gt;'General Information'!$D$33,0,IF(W58=0,$J$7,IFERROR(SUMIF(INDIRECT("'"&amp;$G$7&amp;"'!$C$37:$C$52"),W58,INDIRECT("'"&amp;$G$7&amp;"'!$D$37:$D$52")),0))))</f>
        <v/>
      </c>
      <c r="AC58" s="130">
        <f>IF($G$4="",0,AC57+IF(W58&gt;'General Information'!$D$33,0,IF(W58=0,$J$4,IFERROR(SUMIF(INDIRECT("'"&amp;$G$4&amp;"'!$C$37:$C$52"),W58,INDIRECT("'"&amp;$G$4&amp;"'!$E$37:$E$52")),0))))</f>
        <v/>
      </c>
      <c r="AD58" s="130">
        <f>IF($G$5="",0,AD57+IF(W58&gt;'General Information'!$D$33,0,IF(W58=0,$J$5,IFERROR(SUMIF(INDIRECT("'"&amp;$G$5&amp;"'!$C$37:$C$52"),W58,INDIRECT("'"&amp;$G$5&amp;"'!$E$37:$E$52")),0))))</f>
        <v/>
      </c>
      <c r="AE58" s="130">
        <f>IF($G$6="",0,AE57+IF(W58&gt;'General Information'!$D$33,0,IF(W58=0,$J$6,IFERROR(SUMIF(INDIRECT("'"&amp;$G$6&amp;"'!$C$37:$C$52"),W58,INDIRECT("'"&amp;$G$6&amp;"'!$E$37:$E$52")),0))))</f>
        <v/>
      </c>
      <c r="AF58" s="130">
        <f>IF($G$7="",0,AF57+IF(W58&gt;'General Information'!$D$33,0,IF(W58=0,$J$7,IFERROR(SUMIF(INDIRECT("'"&amp;$G$7&amp;"'!$C$37:$C$52"),W58,INDIRECT("'"&amp;$G$7&amp;"'!$E$37:$E$52")),0))))</f>
        <v/>
      </c>
      <c r="AG58" s="143">
        <f>IF($G$4="",0,IF(W58&gt;'General Information'!$D$33,0,IFERROR(SUMIFS(INDIRECT("'"&amp;$G$4&amp;"'!$D$37:$D$52"),INDIRECT("'"&amp;$G$4&amp;"'!$C$37:$C$52"),W58,INDIRECT("'"&amp;$G$4&amp;"'!$B$37:$B$52"),"*Indirect*")/INDIRECT("'"&amp;$G$4&amp;"'!$F$2"),0)))</f>
        <v/>
      </c>
      <c r="AH58" s="143">
        <f>IF($G$5="",0,IF(W58&gt;'General Information'!$D$33,0,IFERROR(SUMIFS(INDIRECT("'"&amp;$G$5&amp;"'!$D$37:$D$52"),INDIRECT("'"&amp;$G$5&amp;"'!$C$37:$C$52"),W58,INDIRECT("'"&amp;$G$5&amp;"'!$B$37:$B$52"),"*Indirect*")/INDIRECT("'"&amp;$G$5&amp;"'!$F$2"),0)))</f>
        <v/>
      </c>
      <c r="AI58" s="143">
        <f>IF($G$6="",0,IF(W58&gt;'General Information'!$D$33,0,IFERROR(SUMIFS(INDIRECT("'"&amp;$G$6&amp;"'!$D$37:$D$52"),INDIRECT("'"&amp;$G$6&amp;"'!$C$37:$C$52"),W58,INDIRECT("'"&amp;$G$6&amp;"'!$B$37:$B$52"),"*Indirect*")/INDIRECT("'"&amp;$G$6&amp;"'!$F$2"),0)))</f>
        <v/>
      </c>
      <c r="AJ58" s="143">
        <f>IF($G$7="",0,IF(W58&gt;'General Information'!$D$33,0,IFERROR(SUMIFS(INDIRECT("'"&amp;$G$7&amp;"'!$D$37:$D$52"),INDIRECT("'"&amp;$G$7&amp;"'!$C$37:$C$52"),W58,INDIRECT("'"&amp;$G$7&amp;"'!$B$37:$B$52"),"*Indirect*")/INDIRECT("'"&amp;$G$7&amp;"'!$F$2"),0)))</f>
        <v/>
      </c>
    </row>
    <row r="59">
      <c r="W59" s="129" t="n">
        <v>18</v>
      </c>
      <c r="X59" s="129">
        <f>'General Information'!$D$25+W59</f>
        <v/>
      </c>
      <c r="Y59" s="130">
        <f>IF($G$4="",0,IF(W59&gt;'General Information'!$D$33,0,IF(W59=0,$J$4,IFERROR(SUMIF(INDIRECT("'"&amp;$G$4&amp;"'!$C$37:$C$52"),W59,INDIRECT("'"&amp;$G$4&amp;"'!$D$37:$D$52")),0))))</f>
        <v/>
      </c>
      <c r="Z59" s="130">
        <f>IF($G$5="",0,IF(W59&gt;'General Information'!$D$33,0,IF(W59=0,$J$5,IFERROR(SUMIF(INDIRECT("'"&amp;$G$5&amp;"'!$C$37:$C$52"),W59,INDIRECT("'"&amp;$G$5&amp;"'!$D$37:$D$52")),0))))</f>
        <v/>
      </c>
      <c r="AA59" s="130">
        <f>IF($G$6="",0,IF(W59&gt;'General Information'!$D$33,0,IF(W59=0,$J$6,IFERROR(SUMIF(INDIRECT("'"&amp;$G$6&amp;"'!$C$37:$C$52"),W59,INDIRECT("'"&amp;$G$6&amp;"'!$D$37:$D$52")),0))))</f>
        <v/>
      </c>
      <c r="AB59" s="130">
        <f>IF($G$7="",0,IF(W59&gt;'General Information'!$D$33,0,IF(W59=0,$J$7,IFERROR(SUMIF(INDIRECT("'"&amp;$G$7&amp;"'!$C$37:$C$52"),W59,INDIRECT("'"&amp;$G$7&amp;"'!$D$37:$D$52")),0))))</f>
        <v/>
      </c>
      <c r="AC59" s="130">
        <f>IF($G$4="",0,AC58+IF(W59&gt;'General Information'!$D$33,0,IF(W59=0,$J$4,IFERROR(SUMIF(INDIRECT("'"&amp;$G$4&amp;"'!$C$37:$C$52"),W59,INDIRECT("'"&amp;$G$4&amp;"'!$E$37:$E$52")),0))))</f>
        <v/>
      </c>
      <c r="AD59" s="130">
        <f>IF($G$5="",0,AD58+IF(W59&gt;'General Information'!$D$33,0,IF(W59=0,$J$5,IFERROR(SUMIF(INDIRECT("'"&amp;$G$5&amp;"'!$C$37:$C$52"),W59,INDIRECT("'"&amp;$G$5&amp;"'!$E$37:$E$52")),0))))</f>
        <v/>
      </c>
      <c r="AE59" s="130">
        <f>IF($G$6="",0,AE58+IF(W59&gt;'General Information'!$D$33,0,IF(W59=0,$J$6,IFERROR(SUMIF(INDIRECT("'"&amp;$G$6&amp;"'!$C$37:$C$52"),W59,INDIRECT("'"&amp;$G$6&amp;"'!$E$37:$E$52")),0))))</f>
        <v/>
      </c>
      <c r="AF59" s="130">
        <f>IF($G$7="",0,AF58+IF(W59&gt;'General Information'!$D$33,0,IF(W59=0,$J$7,IFERROR(SUMIF(INDIRECT("'"&amp;$G$7&amp;"'!$C$37:$C$52"),W59,INDIRECT("'"&amp;$G$7&amp;"'!$E$37:$E$52")),0))))</f>
        <v/>
      </c>
      <c r="AG59" s="143">
        <f>IF($G$4="",0,IF(W59&gt;'General Information'!$D$33,0,IFERROR(SUMIFS(INDIRECT("'"&amp;$G$4&amp;"'!$D$37:$D$52"),INDIRECT("'"&amp;$G$4&amp;"'!$C$37:$C$52"),W59,INDIRECT("'"&amp;$G$4&amp;"'!$B$37:$B$52"),"*Indirect*")/INDIRECT("'"&amp;$G$4&amp;"'!$F$2"),0)))</f>
        <v/>
      </c>
      <c r="AH59" s="143">
        <f>IF($G$5="",0,IF(W59&gt;'General Information'!$D$33,0,IFERROR(SUMIFS(INDIRECT("'"&amp;$G$5&amp;"'!$D$37:$D$52"),INDIRECT("'"&amp;$G$5&amp;"'!$C$37:$C$52"),W59,INDIRECT("'"&amp;$G$5&amp;"'!$B$37:$B$52"),"*Indirect*")/INDIRECT("'"&amp;$G$5&amp;"'!$F$2"),0)))</f>
        <v/>
      </c>
      <c r="AI59" s="143">
        <f>IF($G$6="",0,IF(W59&gt;'General Information'!$D$33,0,IFERROR(SUMIFS(INDIRECT("'"&amp;$G$6&amp;"'!$D$37:$D$52"),INDIRECT("'"&amp;$G$6&amp;"'!$C$37:$C$52"),W59,INDIRECT("'"&amp;$G$6&amp;"'!$B$37:$B$52"),"*Indirect*")/INDIRECT("'"&amp;$G$6&amp;"'!$F$2"),0)))</f>
        <v/>
      </c>
      <c r="AJ59" s="143">
        <f>IF($G$7="",0,IF(W59&gt;'General Information'!$D$33,0,IFERROR(SUMIFS(INDIRECT("'"&amp;$G$7&amp;"'!$D$37:$D$52"),INDIRECT("'"&amp;$G$7&amp;"'!$C$37:$C$52"),W59,INDIRECT("'"&amp;$G$7&amp;"'!$B$37:$B$52"),"*Indirect*")/INDIRECT("'"&amp;$G$7&amp;"'!$F$2"),0)))</f>
        <v/>
      </c>
    </row>
    <row r="60">
      <c r="W60" s="129" t="n">
        <v>19</v>
      </c>
      <c r="X60" s="129">
        <f>'General Information'!$D$25+W60</f>
        <v/>
      </c>
      <c r="Y60" s="130">
        <f>IF($G$4="",0,IF(W60&gt;'General Information'!$D$33,0,IF(W60=0,$J$4,IFERROR(SUMIF(INDIRECT("'"&amp;$G$4&amp;"'!$C$37:$C$52"),W60,INDIRECT("'"&amp;$G$4&amp;"'!$D$37:$D$52")),0))))</f>
        <v/>
      </c>
      <c r="Z60" s="130">
        <f>IF($G$5="",0,IF(W60&gt;'General Information'!$D$33,0,IF(W60=0,$J$5,IFERROR(SUMIF(INDIRECT("'"&amp;$G$5&amp;"'!$C$37:$C$52"),W60,INDIRECT("'"&amp;$G$5&amp;"'!$D$37:$D$52")),0))))</f>
        <v/>
      </c>
      <c r="AA60" s="130">
        <f>IF($G$6="",0,IF(W60&gt;'General Information'!$D$33,0,IF(W60=0,$J$6,IFERROR(SUMIF(INDIRECT("'"&amp;$G$6&amp;"'!$C$37:$C$52"),W60,INDIRECT("'"&amp;$G$6&amp;"'!$D$37:$D$52")),0))))</f>
        <v/>
      </c>
      <c r="AB60" s="130">
        <f>IF($G$7="",0,IF(W60&gt;'General Information'!$D$33,0,IF(W60=0,$J$7,IFERROR(SUMIF(INDIRECT("'"&amp;$G$7&amp;"'!$C$37:$C$52"),W60,INDIRECT("'"&amp;$G$7&amp;"'!$D$37:$D$52")),0))))</f>
        <v/>
      </c>
      <c r="AC60" s="130">
        <f>IF($G$4="",0,AC59+IF(W60&gt;'General Information'!$D$33,0,IF(W60=0,$J$4,IFERROR(SUMIF(INDIRECT("'"&amp;$G$4&amp;"'!$C$37:$C$52"),W60,INDIRECT("'"&amp;$G$4&amp;"'!$E$37:$E$52")),0))))</f>
        <v/>
      </c>
      <c r="AD60" s="130">
        <f>IF($G$5="",0,AD59+IF(W60&gt;'General Information'!$D$33,0,IF(W60=0,$J$5,IFERROR(SUMIF(INDIRECT("'"&amp;$G$5&amp;"'!$C$37:$C$52"),W60,INDIRECT("'"&amp;$G$5&amp;"'!$E$37:$E$52")),0))))</f>
        <v/>
      </c>
      <c r="AE60" s="130">
        <f>IF($G$6="",0,AE59+IF(W60&gt;'General Information'!$D$33,0,IF(W60=0,$J$6,IFERROR(SUMIF(INDIRECT("'"&amp;$G$6&amp;"'!$C$37:$C$52"),W60,INDIRECT("'"&amp;$G$6&amp;"'!$E$37:$E$52")),0))))</f>
        <v/>
      </c>
      <c r="AF60" s="130">
        <f>IF($G$7="",0,AF59+IF(W60&gt;'General Information'!$D$33,0,IF(W60=0,$J$7,IFERROR(SUMIF(INDIRECT("'"&amp;$G$7&amp;"'!$C$37:$C$52"),W60,INDIRECT("'"&amp;$G$7&amp;"'!$E$37:$E$52")),0))))</f>
        <v/>
      </c>
      <c r="AG60" s="143">
        <f>IF($G$4="",0,IF(W60&gt;'General Information'!$D$33,0,IFERROR(SUMIFS(INDIRECT("'"&amp;$G$4&amp;"'!$D$37:$D$52"),INDIRECT("'"&amp;$G$4&amp;"'!$C$37:$C$52"),W60,INDIRECT("'"&amp;$G$4&amp;"'!$B$37:$B$52"),"*Indirect*")/INDIRECT("'"&amp;$G$4&amp;"'!$F$2"),0)))</f>
        <v/>
      </c>
      <c r="AH60" s="143">
        <f>IF($G$5="",0,IF(W60&gt;'General Information'!$D$33,0,IFERROR(SUMIFS(INDIRECT("'"&amp;$G$5&amp;"'!$D$37:$D$52"),INDIRECT("'"&amp;$G$5&amp;"'!$C$37:$C$52"),W60,INDIRECT("'"&amp;$G$5&amp;"'!$B$37:$B$52"),"*Indirect*")/INDIRECT("'"&amp;$G$5&amp;"'!$F$2"),0)))</f>
        <v/>
      </c>
      <c r="AI60" s="143">
        <f>IF($G$6="",0,IF(W60&gt;'General Information'!$D$33,0,IFERROR(SUMIFS(INDIRECT("'"&amp;$G$6&amp;"'!$D$37:$D$52"),INDIRECT("'"&amp;$G$6&amp;"'!$C$37:$C$52"),W60,INDIRECT("'"&amp;$G$6&amp;"'!$B$37:$B$52"),"*Indirect*")/INDIRECT("'"&amp;$G$6&amp;"'!$F$2"),0)))</f>
        <v/>
      </c>
      <c r="AJ60" s="143">
        <f>IF($G$7="",0,IF(W60&gt;'General Information'!$D$33,0,IFERROR(SUMIFS(INDIRECT("'"&amp;$G$7&amp;"'!$D$37:$D$52"),INDIRECT("'"&amp;$G$7&amp;"'!$C$37:$C$52"),W60,INDIRECT("'"&amp;$G$7&amp;"'!$B$37:$B$52"),"*Indirect*")/INDIRECT("'"&amp;$G$7&amp;"'!$F$2"),0)))</f>
        <v/>
      </c>
    </row>
    <row r="61">
      <c r="W61" s="129" t="n">
        <v>20</v>
      </c>
      <c r="X61" s="129">
        <f>'General Information'!$D$25+W61</f>
        <v/>
      </c>
      <c r="Y61" s="130">
        <f>IF($G$4="",0,IF(W61&gt;'General Information'!$D$33,0,IF(W61=0,$J$4,IFERROR(SUMIF(INDIRECT("'"&amp;$G$4&amp;"'!$C$37:$C$52"),W61,INDIRECT("'"&amp;$G$4&amp;"'!$D$37:$D$52")),0))))</f>
        <v/>
      </c>
      <c r="Z61" s="130">
        <f>IF($G$5="",0,IF(W61&gt;'General Information'!$D$33,0,IF(W61=0,$J$5,IFERROR(SUMIF(INDIRECT("'"&amp;$G$5&amp;"'!$C$37:$C$52"),W61,INDIRECT("'"&amp;$G$5&amp;"'!$D$37:$D$52")),0))))</f>
        <v/>
      </c>
      <c r="AA61" s="130">
        <f>IF($G$6="",0,IF(W61&gt;'General Information'!$D$33,0,IF(W61=0,$J$6,IFERROR(SUMIF(INDIRECT("'"&amp;$G$6&amp;"'!$C$37:$C$52"),W61,INDIRECT("'"&amp;$G$6&amp;"'!$D$37:$D$52")),0))))</f>
        <v/>
      </c>
      <c r="AB61" s="130">
        <f>IF($G$7="",0,IF(W61&gt;'General Information'!$D$33,0,IF(W61=0,$J$7,IFERROR(SUMIF(INDIRECT("'"&amp;$G$7&amp;"'!$C$37:$C$52"),W61,INDIRECT("'"&amp;$G$7&amp;"'!$D$37:$D$52")),0))))</f>
        <v/>
      </c>
      <c r="AC61" s="130">
        <f>IF($G$4="",0,AC60+IF(W61&gt;'General Information'!$D$33,0,IF(W61=0,$J$4,IFERROR(SUMIF(INDIRECT("'"&amp;$G$4&amp;"'!$C$37:$C$52"),W61,INDIRECT("'"&amp;$G$4&amp;"'!$E$37:$E$52")),0))))</f>
        <v/>
      </c>
      <c r="AD61" s="130">
        <f>IF($G$5="",0,AD60+IF(W61&gt;'General Information'!$D$33,0,IF(W61=0,$J$5,IFERROR(SUMIF(INDIRECT("'"&amp;$G$5&amp;"'!$C$37:$C$52"),W61,INDIRECT("'"&amp;$G$5&amp;"'!$E$37:$E$52")),0))))</f>
        <v/>
      </c>
      <c r="AE61" s="130">
        <f>IF($G$6="",0,AE60+IF(W61&gt;'General Information'!$D$33,0,IF(W61=0,$J$6,IFERROR(SUMIF(INDIRECT("'"&amp;$G$6&amp;"'!$C$37:$C$52"),W61,INDIRECT("'"&amp;$G$6&amp;"'!$E$37:$E$52")),0))))</f>
        <v/>
      </c>
      <c r="AF61" s="130">
        <f>IF($G$7="",0,AF60+IF(W61&gt;'General Information'!$D$33,0,IF(W61=0,$J$7,IFERROR(SUMIF(INDIRECT("'"&amp;$G$7&amp;"'!$C$37:$C$52"),W61,INDIRECT("'"&amp;$G$7&amp;"'!$E$37:$E$52")),0))))</f>
        <v/>
      </c>
      <c r="AG61" s="143">
        <f>IF($G$4="",0,IF(W61&gt;'General Information'!$D$33,0,IFERROR(SUMIFS(INDIRECT("'"&amp;$G$4&amp;"'!$D$37:$D$52"),INDIRECT("'"&amp;$G$4&amp;"'!$C$37:$C$52"),W61,INDIRECT("'"&amp;$G$4&amp;"'!$B$37:$B$52"),"*Indirect*")/INDIRECT("'"&amp;$G$4&amp;"'!$F$2"),0)))</f>
        <v/>
      </c>
      <c r="AH61" s="143">
        <f>IF($G$5="",0,IF(W61&gt;'General Information'!$D$33,0,IFERROR(SUMIFS(INDIRECT("'"&amp;$G$5&amp;"'!$D$37:$D$52"),INDIRECT("'"&amp;$G$5&amp;"'!$C$37:$C$52"),W61,INDIRECT("'"&amp;$G$5&amp;"'!$B$37:$B$52"),"*Indirect*")/INDIRECT("'"&amp;$G$5&amp;"'!$F$2"),0)))</f>
        <v/>
      </c>
      <c r="AI61" s="143">
        <f>IF($G$6="",0,IF(W61&gt;'General Information'!$D$33,0,IFERROR(SUMIFS(INDIRECT("'"&amp;$G$6&amp;"'!$D$37:$D$52"),INDIRECT("'"&amp;$G$6&amp;"'!$C$37:$C$52"),W61,INDIRECT("'"&amp;$G$6&amp;"'!$B$37:$B$52"),"*Indirect*")/INDIRECT("'"&amp;$G$6&amp;"'!$F$2"),0)))</f>
        <v/>
      </c>
      <c r="AJ61" s="143">
        <f>IF($G$7="",0,IF(W61&gt;'General Information'!$D$33,0,IFERROR(SUMIFS(INDIRECT("'"&amp;$G$7&amp;"'!$D$37:$D$52"),INDIRECT("'"&amp;$G$7&amp;"'!$C$37:$C$52"),W61,INDIRECT("'"&amp;$G$7&amp;"'!$B$37:$B$52"),"*Indirect*")/INDIRECT("'"&amp;$G$7&amp;"'!$F$2"),0)))</f>
        <v/>
      </c>
    </row>
    <row r="62">
      <c r="W62" s="129" t="n">
        <v>21</v>
      </c>
      <c r="X62" s="129">
        <f>'General Information'!$D$25+W62</f>
        <v/>
      </c>
      <c r="Y62" s="130">
        <f>IF($G$4="",0,IF(W62&gt;'General Information'!$D$33,0,IF(W62=0,$J$4,IFERROR(SUMIF(INDIRECT("'"&amp;$G$4&amp;"'!$C$37:$C$52"),W62,INDIRECT("'"&amp;$G$4&amp;"'!$D$37:$D$52")),0))))</f>
        <v/>
      </c>
      <c r="Z62" s="130">
        <f>IF($G$5="",0,IF(W62&gt;'General Information'!$D$33,0,IF(W62=0,$J$5,IFERROR(SUMIF(INDIRECT("'"&amp;$G$5&amp;"'!$C$37:$C$52"),W62,INDIRECT("'"&amp;$G$5&amp;"'!$D$37:$D$52")),0))))</f>
        <v/>
      </c>
      <c r="AA62" s="130">
        <f>IF($G$6="",0,IF(W62&gt;'General Information'!$D$33,0,IF(W62=0,$J$6,IFERROR(SUMIF(INDIRECT("'"&amp;$G$6&amp;"'!$C$37:$C$52"),W62,INDIRECT("'"&amp;$G$6&amp;"'!$D$37:$D$52")),0))))</f>
        <v/>
      </c>
      <c r="AB62" s="130">
        <f>IF($G$7="",0,IF(W62&gt;'General Information'!$D$33,0,IF(W62=0,$J$7,IFERROR(SUMIF(INDIRECT("'"&amp;$G$7&amp;"'!$C$37:$C$52"),W62,INDIRECT("'"&amp;$G$7&amp;"'!$D$37:$D$52")),0))))</f>
        <v/>
      </c>
      <c r="AC62" s="130">
        <f>IF($G$4="",0,AC61+IF(W62&gt;'General Information'!$D$33,0,IF(W62=0,$J$4,IFERROR(SUMIF(INDIRECT("'"&amp;$G$4&amp;"'!$C$37:$C$52"),W62,INDIRECT("'"&amp;$G$4&amp;"'!$E$37:$E$52")),0))))</f>
        <v/>
      </c>
      <c r="AD62" s="130">
        <f>IF($G$5="",0,AD61+IF(W62&gt;'General Information'!$D$33,0,IF(W62=0,$J$5,IFERROR(SUMIF(INDIRECT("'"&amp;$G$5&amp;"'!$C$37:$C$52"),W62,INDIRECT("'"&amp;$G$5&amp;"'!$E$37:$E$52")),0))))</f>
        <v/>
      </c>
      <c r="AE62" s="130">
        <f>IF($G$6="",0,AE61+IF(W62&gt;'General Information'!$D$33,0,IF(W62=0,$J$6,IFERROR(SUMIF(INDIRECT("'"&amp;$G$6&amp;"'!$C$37:$C$52"),W62,INDIRECT("'"&amp;$G$6&amp;"'!$E$37:$E$52")),0))))</f>
        <v/>
      </c>
      <c r="AF62" s="130">
        <f>IF($G$7="",0,AF61+IF(W62&gt;'General Information'!$D$33,0,IF(W62=0,$J$7,IFERROR(SUMIF(INDIRECT("'"&amp;$G$7&amp;"'!$C$37:$C$52"),W62,INDIRECT("'"&amp;$G$7&amp;"'!$E$37:$E$52")),0))))</f>
        <v/>
      </c>
      <c r="AG62" s="143">
        <f>IF($G$4="",0,IF(W62&gt;'General Information'!$D$33,0,IFERROR(SUMIFS(INDIRECT("'"&amp;$G$4&amp;"'!$D$37:$D$52"),INDIRECT("'"&amp;$G$4&amp;"'!$C$37:$C$52"),W62,INDIRECT("'"&amp;$G$4&amp;"'!$B$37:$B$52"),"*Indirect*")/INDIRECT("'"&amp;$G$4&amp;"'!$F$2"),0)))</f>
        <v/>
      </c>
      <c r="AH62" s="143">
        <f>IF($G$5="",0,IF(W62&gt;'General Information'!$D$33,0,IFERROR(SUMIFS(INDIRECT("'"&amp;$G$5&amp;"'!$D$37:$D$52"),INDIRECT("'"&amp;$G$5&amp;"'!$C$37:$C$52"),W62,INDIRECT("'"&amp;$G$5&amp;"'!$B$37:$B$52"),"*Indirect*")/INDIRECT("'"&amp;$G$5&amp;"'!$F$2"),0)))</f>
        <v/>
      </c>
      <c r="AI62" s="143">
        <f>IF($G$6="",0,IF(W62&gt;'General Information'!$D$33,0,IFERROR(SUMIFS(INDIRECT("'"&amp;$G$6&amp;"'!$D$37:$D$52"),INDIRECT("'"&amp;$G$6&amp;"'!$C$37:$C$52"),W62,INDIRECT("'"&amp;$G$6&amp;"'!$B$37:$B$52"),"*Indirect*")/INDIRECT("'"&amp;$G$6&amp;"'!$F$2"),0)))</f>
        <v/>
      </c>
      <c r="AJ62" s="143">
        <f>IF($G$7="",0,IF(W62&gt;'General Information'!$D$33,0,IFERROR(SUMIFS(INDIRECT("'"&amp;$G$7&amp;"'!$D$37:$D$52"),INDIRECT("'"&amp;$G$7&amp;"'!$C$37:$C$52"),W62,INDIRECT("'"&amp;$G$7&amp;"'!$B$37:$B$52"),"*Indirect*")/INDIRECT("'"&amp;$G$7&amp;"'!$F$2"),0)))</f>
        <v/>
      </c>
    </row>
    <row r="63">
      <c r="W63" s="129" t="n">
        <v>22</v>
      </c>
      <c r="X63" s="129">
        <f>'General Information'!$D$25+W63</f>
        <v/>
      </c>
      <c r="Y63" s="130">
        <f>IF($G$4="",0,IF(W63&gt;'General Information'!$D$33,0,IF(W63=0,$J$4,IFERROR(SUMIF(INDIRECT("'"&amp;$G$4&amp;"'!$C$37:$C$52"),W63,INDIRECT("'"&amp;$G$4&amp;"'!$D$37:$D$52")),0))))</f>
        <v/>
      </c>
      <c r="Z63" s="130">
        <f>IF($G$5="",0,IF(W63&gt;'General Information'!$D$33,0,IF(W63=0,$J$5,IFERROR(SUMIF(INDIRECT("'"&amp;$G$5&amp;"'!$C$37:$C$52"),W63,INDIRECT("'"&amp;$G$5&amp;"'!$D$37:$D$52")),0))))</f>
        <v/>
      </c>
      <c r="AA63" s="130">
        <f>IF($G$6="",0,IF(W63&gt;'General Information'!$D$33,0,IF(W63=0,$J$6,IFERROR(SUMIF(INDIRECT("'"&amp;$G$6&amp;"'!$C$37:$C$52"),W63,INDIRECT("'"&amp;$G$6&amp;"'!$D$37:$D$52")),0))))</f>
        <v/>
      </c>
      <c r="AB63" s="130">
        <f>IF($G$7="",0,IF(W63&gt;'General Information'!$D$33,0,IF(W63=0,$J$7,IFERROR(SUMIF(INDIRECT("'"&amp;$G$7&amp;"'!$C$37:$C$52"),W63,INDIRECT("'"&amp;$G$7&amp;"'!$D$37:$D$52")),0))))</f>
        <v/>
      </c>
      <c r="AC63" s="130">
        <f>IF($G$4="",0,AC62+IF(W63&gt;'General Information'!$D$33,0,IF(W63=0,$J$4,IFERROR(SUMIF(INDIRECT("'"&amp;$G$4&amp;"'!$C$37:$C$52"),W63,INDIRECT("'"&amp;$G$4&amp;"'!$E$37:$E$52")),0))))</f>
        <v/>
      </c>
      <c r="AD63" s="130">
        <f>IF($G$5="",0,AD62+IF(W63&gt;'General Information'!$D$33,0,IF(W63=0,$J$5,IFERROR(SUMIF(INDIRECT("'"&amp;$G$5&amp;"'!$C$37:$C$52"),W63,INDIRECT("'"&amp;$G$5&amp;"'!$E$37:$E$52")),0))))</f>
        <v/>
      </c>
      <c r="AE63" s="130">
        <f>IF($G$6="",0,AE62+IF(W63&gt;'General Information'!$D$33,0,IF(W63=0,$J$6,IFERROR(SUMIF(INDIRECT("'"&amp;$G$6&amp;"'!$C$37:$C$52"),W63,INDIRECT("'"&amp;$G$6&amp;"'!$E$37:$E$52")),0))))</f>
        <v/>
      </c>
      <c r="AF63" s="130">
        <f>IF($G$7="",0,AF62+IF(W63&gt;'General Information'!$D$33,0,IF(W63=0,$J$7,IFERROR(SUMIF(INDIRECT("'"&amp;$G$7&amp;"'!$C$37:$C$52"),W63,INDIRECT("'"&amp;$G$7&amp;"'!$E$37:$E$52")),0))))</f>
        <v/>
      </c>
      <c r="AG63" s="143">
        <f>IF($G$4="",0,IF(W63&gt;'General Information'!$D$33,0,IFERROR(SUMIFS(INDIRECT("'"&amp;$G$4&amp;"'!$D$37:$D$52"),INDIRECT("'"&amp;$G$4&amp;"'!$C$37:$C$52"),W63,INDIRECT("'"&amp;$G$4&amp;"'!$B$37:$B$52"),"*Indirect*")/INDIRECT("'"&amp;$G$4&amp;"'!$F$2"),0)))</f>
        <v/>
      </c>
      <c r="AH63" s="143">
        <f>IF($G$5="",0,IF(W63&gt;'General Information'!$D$33,0,IFERROR(SUMIFS(INDIRECT("'"&amp;$G$5&amp;"'!$D$37:$D$52"),INDIRECT("'"&amp;$G$5&amp;"'!$C$37:$C$52"),W63,INDIRECT("'"&amp;$G$5&amp;"'!$B$37:$B$52"),"*Indirect*")/INDIRECT("'"&amp;$G$5&amp;"'!$F$2"),0)))</f>
        <v/>
      </c>
      <c r="AI63" s="143">
        <f>IF($G$6="",0,IF(W63&gt;'General Information'!$D$33,0,IFERROR(SUMIFS(INDIRECT("'"&amp;$G$6&amp;"'!$D$37:$D$52"),INDIRECT("'"&amp;$G$6&amp;"'!$C$37:$C$52"),W63,INDIRECT("'"&amp;$G$6&amp;"'!$B$37:$B$52"),"*Indirect*")/INDIRECT("'"&amp;$G$6&amp;"'!$F$2"),0)))</f>
        <v/>
      </c>
      <c r="AJ63" s="143">
        <f>IF($G$7="",0,IF(W63&gt;'General Information'!$D$33,0,IFERROR(SUMIFS(INDIRECT("'"&amp;$G$7&amp;"'!$D$37:$D$52"),INDIRECT("'"&amp;$G$7&amp;"'!$C$37:$C$52"),W63,INDIRECT("'"&amp;$G$7&amp;"'!$B$37:$B$52"),"*Indirect*")/INDIRECT("'"&amp;$G$7&amp;"'!$F$2"),0)))</f>
        <v/>
      </c>
    </row>
    <row r="64">
      <c r="W64" s="129" t="n">
        <v>23</v>
      </c>
      <c r="X64" s="129">
        <f>'General Information'!$D$25+W64</f>
        <v/>
      </c>
      <c r="Y64" s="130">
        <f>IF($G$4="",0,IF(W64&gt;'General Information'!$D$33,0,IF(W64=0,$J$4,IFERROR(SUMIF(INDIRECT("'"&amp;$G$4&amp;"'!$C$37:$C$52"),W64,INDIRECT("'"&amp;$G$4&amp;"'!$D$37:$D$52")),0))))</f>
        <v/>
      </c>
      <c r="Z64" s="130">
        <f>IF($G$5="",0,IF(W64&gt;'General Information'!$D$33,0,IF(W64=0,$J$5,IFERROR(SUMIF(INDIRECT("'"&amp;$G$5&amp;"'!$C$37:$C$52"),W64,INDIRECT("'"&amp;$G$5&amp;"'!$D$37:$D$52")),0))))</f>
        <v/>
      </c>
      <c r="AA64" s="130">
        <f>IF($G$6="",0,IF(W64&gt;'General Information'!$D$33,0,IF(W64=0,$J$6,IFERROR(SUMIF(INDIRECT("'"&amp;$G$6&amp;"'!$C$37:$C$52"),W64,INDIRECT("'"&amp;$G$6&amp;"'!$D$37:$D$52")),0))))</f>
        <v/>
      </c>
      <c r="AB64" s="130">
        <f>IF($G$7="",0,IF(W64&gt;'General Information'!$D$33,0,IF(W64=0,$J$7,IFERROR(SUMIF(INDIRECT("'"&amp;$G$7&amp;"'!$C$37:$C$52"),W64,INDIRECT("'"&amp;$G$7&amp;"'!$D$37:$D$52")),0))))</f>
        <v/>
      </c>
      <c r="AC64" s="130">
        <f>IF($G$4="",0,AC63+IF(W64&gt;'General Information'!$D$33,0,IF(W64=0,$J$4,IFERROR(SUMIF(INDIRECT("'"&amp;$G$4&amp;"'!$C$37:$C$52"),W64,INDIRECT("'"&amp;$G$4&amp;"'!$E$37:$E$52")),0))))</f>
        <v/>
      </c>
      <c r="AD64" s="130">
        <f>IF($G$5="",0,AD63+IF(W64&gt;'General Information'!$D$33,0,IF(W64=0,$J$5,IFERROR(SUMIF(INDIRECT("'"&amp;$G$5&amp;"'!$C$37:$C$52"),W64,INDIRECT("'"&amp;$G$5&amp;"'!$E$37:$E$52")),0))))</f>
        <v/>
      </c>
      <c r="AE64" s="130">
        <f>IF($G$6="",0,AE63+IF(W64&gt;'General Information'!$D$33,0,IF(W64=0,$J$6,IFERROR(SUMIF(INDIRECT("'"&amp;$G$6&amp;"'!$C$37:$C$52"),W64,INDIRECT("'"&amp;$G$6&amp;"'!$E$37:$E$52")),0))))</f>
        <v/>
      </c>
      <c r="AF64" s="130">
        <f>IF($G$7="",0,AF63+IF(W64&gt;'General Information'!$D$33,0,IF(W64=0,$J$7,IFERROR(SUMIF(INDIRECT("'"&amp;$G$7&amp;"'!$C$37:$C$52"),W64,INDIRECT("'"&amp;$G$7&amp;"'!$E$37:$E$52")),0))))</f>
        <v/>
      </c>
      <c r="AG64" s="143">
        <f>IF($G$4="",0,IF(W64&gt;'General Information'!$D$33,0,IFERROR(SUMIFS(INDIRECT("'"&amp;$G$4&amp;"'!$D$37:$D$52"),INDIRECT("'"&amp;$G$4&amp;"'!$C$37:$C$52"),W64,INDIRECT("'"&amp;$G$4&amp;"'!$B$37:$B$52"),"*Indirect*")/INDIRECT("'"&amp;$G$4&amp;"'!$F$2"),0)))</f>
        <v/>
      </c>
      <c r="AH64" s="143">
        <f>IF($G$5="",0,IF(W64&gt;'General Information'!$D$33,0,IFERROR(SUMIFS(INDIRECT("'"&amp;$G$5&amp;"'!$D$37:$D$52"),INDIRECT("'"&amp;$G$5&amp;"'!$C$37:$C$52"),W64,INDIRECT("'"&amp;$G$5&amp;"'!$B$37:$B$52"),"*Indirect*")/INDIRECT("'"&amp;$G$5&amp;"'!$F$2"),0)))</f>
        <v/>
      </c>
      <c r="AI64" s="143">
        <f>IF($G$6="",0,IF(W64&gt;'General Information'!$D$33,0,IFERROR(SUMIFS(INDIRECT("'"&amp;$G$6&amp;"'!$D$37:$D$52"),INDIRECT("'"&amp;$G$6&amp;"'!$C$37:$C$52"),W64,INDIRECT("'"&amp;$G$6&amp;"'!$B$37:$B$52"),"*Indirect*")/INDIRECT("'"&amp;$G$6&amp;"'!$F$2"),0)))</f>
        <v/>
      </c>
      <c r="AJ64" s="143">
        <f>IF($G$7="",0,IF(W64&gt;'General Information'!$D$33,0,IFERROR(SUMIFS(INDIRECT("'"&amp;$G$7&amp;"'!$D$37:$D$52"),INDIRECT("'"&amp;$G$7&amp;"'!$C$37:$C$52"),W64,INDIRECT("'"&amp;$G$7&amp;"'!$B$37:$B$52"),"*Indirect*")/INDIRECT("'"&amp;$G$7&amp;"'!$F$2"),0)))</f>
        <v/>
      </c>
    </row>
    <row r="65">
      <c r="W65" s="129" t="n">
        <v>24</v>
      </c>
      <c r="X65" s="129">
        <f>'General Information'!$D$25+W65</f>
        <v/>
      </c>
      <c r="Y65" s="130">
        <f>IF($G$4="",0,IF(W65&gt;'General Information'!$D$33,0,IF(W65=0,$J$4,IFERROR(SUMIF(INDIRECT("'"&amp;$G$4&amp;"'!$C$37:$C$52"),W65,INDIRECT("'"&amp;$G$4&amp;"'!$D$37:$D$52")),0))))</f>
        <v/>
      </c>
      <c r="Z65" s="130">
        <f>IF($G$5="",0,IF(W65&gt;'General Information'!$D$33,0,IF(W65=0,$J$5,IFERROR(SUMIF(INDIRECT("'"&amp;$G$5&amp;"'!$C$37:$C$52"),W65,INDIRECT("'"&amp;$G$5&amp;"'!$D$37:$D$52")),0))))</f>
        <v/>
      </c>
      <c r="AA65" s="130">
        <f>IF($G$6="",0,IF(W65&gt;'General Information'!$D$33,0,IF(W65=0,$J$6,IFERROR(SUMIF(INDIRECT("'"&amp;$G$6&amp;"'!$C$37:$C$52"),W65,INDIRECT("'"&amp;$G$6&amp;"'!$D$37:$D$52")),0))))</f>
        <v/>
      </c>
      <c r="AB65" s="130">
        <f>IF($G$7="",0,IF(W65&gt;'General Information'!$D$33,0,IF(W65=0,$J$7,IFERROR(SUMIF(INDIRECT("'"&amp;$G$7&amp;"'!$C$37:$C$52"),W65,INDIRECT("'"&amp;$G$7&amp;"'!$D$37:$D$52")),0))))</f>
        <v/>
      </c>
      <c r="AC65" s="130">
        <f>IF($G$4="",0,AC64+IF(W65&gt;'General Information'!$D$33,0,IF(W65=0,$J$4,IFERROR(SUMIF(INDIRECT("'"&amp;$G$4&amp;"'!$C$37:$C$52"),W65,INDIRECT("'"&amp;$G$4&amp;"'!$E$37:$E$52")),0))))</f>
        <v/>
      </c>
      <c r="AD65" s="130">
        <f>IF($G$5="",0,AD64+IF(W65&gt;'General Information'!$D$33,0,IF(W65=0,$J$5,IFERROR(SUMIF(INDIRECT("'"&amp;$G$5&amp;"'!$C$37:$C$52"),W65,INDIRECT("'"&amp;$G$5&amp;"'!$E$37:$E$52")),0))))</f>
        <v/>
      </c>
      <c r="AE65" s="130">
        <f>IF($G$6="",0,AE64+IF(W65&gt;'General Information'!$D$33,0,IF(W65=0,$J$6,IFERROR(SUMIF(INDIRECT("'"&amp;$G$6&amp;"'!$C$37:$C$52"),W65,INDIRECT("'"&amp;$G$6&amp;"'!$E$37:$E$52")),0))))</f>
        <v/>
      </c>
      <c r="AF65" s="130">
        <f>IF($G$7="",0,AF64+IF(W65&gt;'General Information'!$D$33,0,IF(W65=0,$J$7,IFERROR(SUMIF(INDIRECT("'"&amp;$G$7&amp;"'!$C$37:$C$52"),W65,INDIRECT("'"&amp;$G$7&amp;"'!$E$37:$E$52")),0))))</f>
        <v/>
      </c>
      <c r="AG65" s="143">
        <f>IF($G$4="",0,IF(W65&gt;'General Information'!$D$33,0,IFERROR(SUMIFS(INDIRECT("'"&amp;$G$4&amp;"'!$D$37:$D$52"),INDIRECT("'"&amp;$G$4&amp;"'!$C$37:$C$52"),W65,INDIRECT("'"&amp;$G$4&amp;"'!$B$37:$B$52"),"*Indirect*")/INDIRECT("'"&amp;$G$4&amp;"'!$F$2"),0)))</f>
        <v/>
      </c>
      <c r="AH65" s="143">
        <f>IF($G$5="",0,IF(W65&gt;'General Information'!$D$33,0,IFERROR(SUMIFS(INDIRECT("'"&amp;$G$5&amp;"'!$D$37:$D$52"),INDIRECT("'"&amp;$G$5&amp;"'!$C$37:$C$52"),W65,INDIRECT("'"&amp;$G$5&amp;"'!$B$37:$B$52"),"*Indirect*")/INDIRECT("'"&amp;$G$5&amp;"'!$F$2"),0)))</f>
        <v/>
      </c>
      <c r="AI65" s="143">
        <f>IF($G$6="",0,IF(W65&gt;'General Information'!$D$33,0,IFERROR(SUMIFS(INDIRECT("'"&amp;$G$6&amp;"'!$D$37:$D$52"),INDIRECT("'"&amp;$G$6&amp;"'!$C$37:$C$52"),W65,INDIRECT("'"&amp;$G$6&amp;"'!$B$37:$B$52"),"*Indirect*")/INDIRECT("'"&amp;$G$6&amp;"'!$F$2"),0)))</f>
        <v/>
      </c>
      <c r="AJ65" s="143">
        <f>IF($G$7="",0,IF(W65&gt;'General Information'!$D$33,0,IFERROR(SUMIFS(INDIRECT("'"&amp;$G$7&amp;"'!$D$37:$D$52"),INDIRECT("'"&amp;$G$7&amp;"'!$C$37:$C$52"),W65,INDIRECT("'"&amp;$G$7&amp;"'!$B$37:$B$52"),"*Indirect*")/INDIRECT("'"&amp;$G$7&amp;"'!$F$2"),0)))</f>
        <v/>
      </c>
    </row>
    <row r="66">
      <c r="W66" s="129" t="n">
        <v>25</v>
      </c>
      <c r="X66" s="129">
        <f>'General Information'!$D$25+W66</f>
        <v/>
      </c>
      <c r="Y66" s="130">
        <f>IF($G$4="",0,IF(W66&gt;'General Information'!$D$33,0,IF(W66=0,$J$4,IFERROR(SUMIF(INDIRECT("'"&amp;$G$4&amp;"'!$C$37:$C$52"),W66,INDIRECT("'"&amp;$G$4&amp;"'!$D$37:$D$52")),0))))</f>
        <v/>
      </c>
      <c r="Z66" s="130">
        <f>IF($G$5="",0,IF(W66&gt;'General Information'!$D$33,0,IF(W66=0,$J$5,IFERROR(SUMIF(INDIRECT("'"&amp;$G$5&amp;"'!$C$37:$C$52"),W66,INDIRECT("'"&amp;$G$5&amp;"'!$D$37:$D$52")),0))))</f>
        <v/>
      </c>
      <c r="AA66" s="130">
        <f>IF($G$6="",0,IF(W66&gt;'General Information'!$D$33,0,IF(W66=0,$J$6,IFERROR(SUMIF(INDIRECT("'"&amp;$G$6&amp;"'!$C$37:$C$52"),W66,INDIRECT("'"&amp;$G$6&amp;"'!$D$37:$D$52")),0))))</f>
        <v/>
      </c>
      <c r="AB66" s="130">
        <f>IF($G$7="",0,IF(W66&gt;'General Information'!$D$33,0,IF(W66=0,$J$7,IFERROR(SUMIF(INDIRECT("'"&amp;$G$7&amp;"'!$C$37:$C$52"),W66,INDIRECT("'"&amp;$G$7&amp;"'!$D$37:$D$52")),0))))</f>
        <v/>
      </c>
      <c r="AC66" s="130">
        <f>IF($G$4="",0,AC65+IF(W66&gt;'General Information'!$D$33,0,IF(W66=0,$J$4,IFERROR(SUMIF(INDIRECT("'"&amp;$G$4&amp;"'!$C$37:$C$52"),W66,INDIRECT("'"&amp;$G$4&amp;"'!$E$37:$E$52")),0))))</f>
        <v/>
      </c>
      <c r="AD66" s="130">
        <f>IF($G$5="",0,AD65+IF(W66&gt;'General Information'!$D$33,0,IF(W66=0,$J$5,IFERROR(SUMIF(INDIRECT("'"&amp;$G$5&amp;"'!$C$37:$C$52"),W66,INDIRECT("'"&amp;$G$5&amp;"'!$E$37:$E$52")),0))))</f>
        <v/>
      </c>
      <c r="AE66" s="130">
        <f>IF($G$6="",0,AE65+IF(W66&gt;'General Information'!$D$33,0,IF(W66=0,$J$6,IFERROR(SUMIF(INDIRECT("'"&amp;$G$6&amp;"'!$C$37:$C$52"),W66,INDIRECT("'"&amp;$G$6&amp;"'!$E$37:$E$52")),0))))</f>
        <v/>
      </c>
      <c r="AF66" s="130">
        <f>IF($G$7="",0,AF65+IF(W66&gt;'General Information'!$D$33,0,IF(W66=0,$J$7,IFERROR(SUMIF(INDIRECT("'"&amp;$G$7&amp;"'!$C$37:$C$52"),W66,INDIRECT("'"&amp;$G$7&amp;"'!$E$37:$E$52")),0))))</f>
        <v/>
      </c>
      <c r="AG66" s="143">
        <f>IF($G$4="",0,IF(W66&gt;'General Information'!$D$33,0,IFERROR(SUMIFS(INDIRECT("'"&amp;$G$4&amp;"'!$D$37:$D$52"),INDIRECT("'"&amp;$G$4&amp;"'!$C$37:$C$52"),W66,INDIRECT("'"&amp;$G$4&amp;"'!$B$37:$B$52"),"*Indirect*")/INDIRECT("'"&amp;$G$4&amp;"'!$F$2"),0)))</f>
        <v/>
      </c>
      <c r="AH66" s="143">
        <f>IF($G$5="",0,IF(W66&gt;'General Information'!$D$33,0,IFERROR(SUMIFS(INDIRECT("'"&amp;$G$5&amp;"'!$D$37:$D$52"),INDIRECT("'"&amp;$G$5&amp;"'!$C$37:$C$52"),W66,INDIRECT("'"&amp;$G$5&amp;"'!$B$37:$B$52"),"*Indirect*")/INDIRECT("'"&amp;$G$5&amp;"'!$F$2"),0)))</f>
        <v/>
      </c>
      <c r="AI66" s="143">
        <f>IF($G$6="",0,IF(W66&gt;'General Information'!$D$33,0,IFERROR(SUMIFS(INDIRECT("'"&amp;$G$6&amp;"'!$D$37:$D$52"),INDIRECT("'"&amp;$G$6&amp;"'!$C$37:$C$52"),W66,INDIRECT("'"&amp;$G$6&amp;"'!$B$37:$B$52"),"*Indirect*")/INDIRECT("'"&amp;$G$6&amp;"'!$F$2"),0)))</f>
        <v/>
      </c>
      <c r="AJ66" s="143">
        <f>IF($G$7="",0,IF(W66&gt;'General Information'!$D$33,0,IFERROR(SUMIFS(INDIRECT("'"&amp;$G$7&amp;"'!$D$37:$D$52"),INDIRECT("'"&amp;$G$7&amp;"'!$C$37:$C$52"),W66,INDIRECT("'"&amp;$G$7&amp;"'!$B$37:$B$52"),"*Indirect*")/INDIRECT("'"&amp;$G$7&amp;"'!$F$2"),0)))</f>
        <v/>
      </c>
    </row>
    <row r="67">
      <c r="W67" s="129" t="n">
        <v>26</v>
      </c>
      <c r="X67" s="129">
        <f>'General Information'!$D$25+W67</f>
        <v/>
      </c>
      <c r="Y67" s="130">
        <f>IF($G$4="",0,IF(W67&gt;'General Information'!$D$33,0,IF(W67=0,$J$4,IFERROR(SUMIF(INDIRECT("'"&amp;$G$4&amp;"'!$C$37:$C$52"),W67,INDIRECT("'"&amp;$G$4&amp;"'!$D$37:$D$52")),0))))</f>
        <v/>
      </c>
      <c r="Z67" s="130">
        <f>IF($G$5="",0,IF(W67&gt;'General Information'!$D$33,0,IF(W67=0,$J$5,IFERROR(SUMIF(INDIRECT("'"&amp;$G$5&amp;"'!$C$37:$C$52"),W67,INDIRECT("'"&amp;$G$5&amp;"'!$D$37:$D$52")),0))))</f>
        <v/>
      </c>
      <c r="AA67" s="130">
        <f>IF($G$6="",0,IF(W67&gt;'General Information'!$D$33,0,IF(W67=0,$J$6,IFERROR(SUMIF(INDIRECT("'"&amp;$G$6&amp;"'!$C$37:$C$52"),W67,INDIRECT("'"&amp;$G$6&amp;"'!$D$37:$D$52")),0))))</f>
        <v/>
      </c>
      <c r="AB67" s="130">
        <f>IF($G$7="",0,IF(W67&gt;'General Information'!$D$33,0,IF(W67=0,$J$7,IFERROR(SUMIF(INDIRECT("'"&amp;$G$7&amp;"'!$C$37:$C$52"),W67,INDIRECT("'"&amp;$G$7&amp;"'!$D$37:$D$52")),0))))</f>
        <v/>
      </c>
      <c r="AC67" s="130">
        <f>IF($G$4="",0,AC66+IF(W67&gt;'General Information'!$D$33,0,IF(W67=0,$J$4,IFERROR(SUMIF(INDIRECT("'"&amp;$G$4&amp;"'!$C$37:$C$52"),W67,INDIRECT("'"&amp;$G$4&amp;"'!$E$37:$E$52")),0))))</f>
        <v/>
      </c>
      <c r="AD67" s="130">
        <f>IF($G$5="",0,AD66+IF(W67&gt;'General Information'!$D$33,0,IF(W67=0,$J$5,IFERROR(SUMIF(INDIRECT("'"&amp;$G$5&amp;"'!$C$37:$C$52"),W67,INDIRECT("'"&amp;$G$5&amp;"'!$E$37:$E$52")),0))))</f>
        <v/>
      </c>
      <c r="AE67" s="130">
        <f>IF($G$6="",0,AE66+IF(W67&gt;'General Information'!$D$33,0,IF(W67=0,$J$6,IFERROR(SUMIF(INDIRECT("'"&amp;$G$6&amp;"'!$C$37:$C$52"),W67,INDIRECT("'"&amp;$G$6&amp;"'!$E$37:$E$52")),0))))</f>
        <v/>
      </c>
      <c r="AF67" s="130">
        <f>IF($G$7="",0,AF66+IF(W67&gt;'General Information'!$D$33,0,IF(W67=0,$J$7,IFERROR(SUMIF(INDIRECT("'"&amp;$G$7&amp;"'!$C$37:$C$52"),W67,INDIRECT("'"&amp;$G$7&amp;"'!$E$37:$E$52")),0))))</f>
        <v/>
      </c>
      <c r="AG67" s="143">
        <f>IF($G$4="",0,IF(W67&gt;'General Information'!$D$33,0,IFERROR(SUMIFS(INDIRECT("'"&amp;$G$4&amp;"'!$D$37:$D$52"),INDIRECT("'"&amp;$G$4&amp;"'!$C$37:$C$52"),W67,INDIRECT("'"&amp;$G$4&amp;"'!$B$37:$B$52"),"*Indirect*")/INDIRECT("'"&amp;$G$4&amp;"'!$F$2"),0)))</f>
        <v/>
      </c>
      <c r="AH67" s="143">
        <f>IF($G$5="",0,IF(W67&gt;'General Information'!$D$33,0,IFERROR(SUMIFS(INDIRECT("'"&amp;$G$5&amp;"'!$D$37:$D$52"),INDIRECT("'"&amp;$G$5&amp;"'!$C$37:$C$52"),W67,INDIRECT("'"&amp;$G$5&amp;"'!$B$37:$B$52"),"*Indirect*")/INDIRECT("'"&amp;$G$5&amp;"'!$F$2"),0)))</f>
        <v/>
      </c>
      <c r="AI67" s="143">
        <f>IF($G$6="",0,IF(W67&gt;'General Information'!$D$33,0,IFERROR(SUMIFS(INDIRECT("'"&amp;$G$6&amp;"'!$D$37:$D$52"),INDIRECT("'"&amp;$G$6&amp;"'!$C$37:$C$52"),W67,INDIRECT("'"&amp;$G$6&amp;"'!$B$37:$B$52"),"*Indirect*")/INDIRECT("'"&amp;$G$6&amp;"'!$F$2"),0)))</f>
        <v/>
      </c>
      <c r="AJ67" s="143">
        <f>IF($G$7="",0,IF(W67&gt;'General Information'!$D$33,0,IFERROR(SUMIFS(INDIRECT("'"&amp;$G$7&amp;"'!$D$37:$D$52"),INDIRECT("'"&amp;$G$7&amp;"'!$C$37:$C$52"),W67,INDIRECT("'"&amp;$G$7&amp;"'!$B$37:$B$52"),"*Indirect*")/INDIRECT("'"&amp;$G$7&amp;"'!$F$2"),0)))</f>
        <v/>
      </c>
    </row>
    <row r="68">
      <c r="W68" s="129" t="n">
        <v>27</v>
      </c>
      <c r="X68" s="129">
        <f>'General Information'!$D$25+W68</f>
        <v/>
      </c>
      <c r="Y68" s="130">
        <f>IF($G$4="",0,IF(W68&gt;'General Information'!$D$33,0,IF(W68=0,$J$4,IFERROR(SUMIF(INDIRECT("'"&amp;$G$4&amp;"'!$C$37:$C$52"),W68,INDIRECT("'"&amp;$G$4&amp;"'!$D$37:$D$52")),0))))</f>
        <v/>
      </c>
      <c r="Z68" s="130">
        <f>IF($G$5="",0,IF(W68&gt;'General Information'!$D$33,0,IF(W68=0,$J$5,IFERROR(SUMIF(INDIRECT("'"&amp;$G$5&amp;"'!$C$37:$C$52"),W68,INDIRECT("'"&amp;$G$5&amp;"'!$D$37:$D$52")),0))))</f>
        <v/>
      </c>
      <c r="AA68" s="130">
        <f>IF($G$6="",0,IF(W68&gt;'General Information'!$D$33,0,IF(W68=0,$J$6,IFERROR(SUMIF(INDIRECT("'"&amp;$G$6&amp;"'!$C$37:$C$52"),W68,INDIRECT("'"&amp;$G$6&amp;"'!$D$37:$D$52")),0))))</f>
        <v/>
      </c>
      <c r="AB68" s="130">
        <f>IF($G$7="",0,IF(W68&gt;'General Information'!$D$33,0,IF(W68=0,$J$7,IFERROR(SUMIF(INDIRECT("'"&amp;$G$7&amp;"'!$C$37:$C$52"),W68,INDIRECT("'"&amp;$G$7&amp;"'!$D$37:$D$52")),0))))</f>
        <v/>
      </c>
      <c r="AC68" s="130">
        <f>IF($G$4="",0,AC67+IF(W68&gt;'General Information'!$D$33,0,IF(W68=0,$J$4,IFERROR(SUMIF(INDIRECT("'"&amp;$G$4&amp;"'!$C$37:$C$52"),W68,INDIRECT("'"&amp;$G$4&amp;"'!$E$37:$E$52")),0))))</f>
        <v/>
      </c>
      <c r="AD68" s="130">
        <f>IF($G$5="",0,AD67+IF(W68&gt;'General Information'!$D$33,0,IF(W68=0,$J$5,IFERROR(SUMIF(INDIRECT("'"&amp;$G$5&amp;"'!$C$37:$C$52"),W68,INDIRECT("'"&amp;$G$5&amp;"'!$E$37:$E$52")),0))))</f>
        <v/>
      </c>
      <c r="AE68" s="130">
        <f>IF($G$6="",0,AE67+IF(W68&gt;'General Information'!$D$33,0,IF(W68=0,$J$6,IFERROR(SUMIF(INDIRECT("'"&amp;$G$6&amp;"'!$C$37:$C$52"),W68,INDIRECT("'"&amp;$G$6&amp;"'!$E$37:$E$52")),0))))</f>
        <v/>
      </c>
      <c r="AF68" s="130">
        <f>IF($G$7="",0,AF67+IF(W68&gt;'General Information'!$D$33,0,IF(W68=0,$J$7,IFERROR(SUMIF(INDIRECT("'"&amp;$G$7&amp;"'!$C$37:$C$52"),W68,INDIRECT("'"&amp;$G$7&amp;"'!$E$37:$E$52")),0))))</f>
        <v/>
      </c>
      <c r="AG68" s="143">
        <f>IF($G$4="",0,IF(W68&gt;'General Information'!$D$33,0,IFERROR(SUMIFS(INDIRECT("'"&amp;$G$4&amp;"'!$D$37:$D$52"),INDIRECT("'"&amp;$G$4&amp;"'!$C$37:$C$52"),W68,INDIRECT("'"&amp;$G$4&amp;"'!$B$37:$B$52"),"*Indirect*")/INDIRECT("'"&amp;$G$4&amp;"'!$F$2"),0)))</f>
        <v/>
      </c>
      <c r="AH68" s="143">
        <f>IF($G$5="",0,IF(W68&gt;'General Information'!$D$33,0,IFERROR(SUMIFS(INDIRECT("'"&amp;$G$5&amp;"'!$D$37:$D$52"),INDIRECT("'"&amp;$G$5&amp;"'!$C$37:$C$52"),W68,INDIRECT("'"&amp;$G$5&amp;"'!$B$37:$B$52"),"*Indirect*")/INDIRECT("'"&amp;$G$5&amp;"'!$F$2"),0)))</f>
        <v/>
      </c>
      <c r="AI68" s="143">
        <f>IF($G$6="",0,IF(W68&gt;'General Information'!$D$33,0,IFERROR(SUMIFS(INDIRECT("'"&amp;$G$6&amp;"'!$D$37:$D$52"),INDIRECT("'"&amp;$G$6&amp;"'!$C$37:$C$52"),W68,INDIRECT("'"&amp;$G$6&amp;"'!$B$37:$B$52"),"*Indirect*")/INDIRECT("'"&amp;$G$6&amp;"'!$F$2"),0)))</f>
        <v/>
      </c>
      <c r="AJ68" s="143">
        <f>IF($G$7="",0,IF(W68&gt;'General Information'!$D$33,0,IFERROR(SUMIFS(INDIRECT("'"&amp;$G$7&amp;"'!$D$37:$D$52"),INDIRECT("'"&amp;$G$7&amp;"'!$C$37:$C$52"),W68,INDIRECT("'"&amp;$G$7&amp;"'!$B$37:$B$52"),"*Indirect*")/INDIRECT("'"&amp;$G$7&amp;"'!$F$2"),0)))</f>
        <v/>
      </c>
    </row>
    <row r="69">
      <c r="W69" s="129" t="n">
        <v>28</v>
      </c>
      <c r="X69" s="129">
        <f>'General Information'!$D$25+W69</f>
        <v/>
      </c>
      <c r="Y69" s="130">
        <f>IF($G$4="",0,IF(W69&gt;'General Information'!$D$33,0,IF(W69=0,$J$4,IFERROR(SUMIF(INDIRECT("'"&amp;$G$4&amp;"'!$C$37:$C$52"),W69,INDIRECT("'"&amp;$G$4&amp;"'!$D$37:$D$52")),0))))</f>
        <v/>
      </c>
      <c r="Z69" s="130">
        <f>IF($G$5="",0,IF(W69&gt;'General Information'!$D$33,0,IF(W69=0,$J$5,IFERROR(SUMIF(INDIRECT("'"&amp;$G$5&amp;"'!$C$37:$C$52"),W69,INDIRECT("'"&amp;$G$5&amp;"'!$D$37:$D$52")),0))))</f>
        <v/>
      </c>
      <c r="AA69" s="130">
        <f>IF($G$6="",0,IF(W69&gt;'General Information'!$D$33,0,IF(W69=0,$J$6,IFERROR(SUMIF(INDIRECT("'"&amp;$G$6&amp;"'!$C$37:$C$52"),W69,INDIRECT("'"&amp;$G$6&amp;"'!$D$37:$D$52")),0))))</f>
        <v/>
      </c>
      <c r="AB69" s="130">
        <f>IF($G$7="",0,IF(W69&gt;'General Information'!$D$33,0,IF(W69=0,$J$7,IFERROR(SUMIF(INDIRECT("'"&amp;$G$7&amp;"'!$C$37:$C$52"),W69,INDIRECT("'"&amp;$G$7&amp;"'!$D$37:$D$52")),0))))</f>
        <v/>
      </c>
      <c r="AC69" s="130">
        <f>IF($G$4="",0,AC68+IF(W69&gt;'General Information'!$D$33,0,IF(W69=0,$J$4,IFERROR(SUMIF(INDIRECT("'"&amp;$G$4&amp;"'!$C$37:$C$52"),W69,INDIRECT("'"&amp;$G$4&amp;"'!$E$37:$E$52")),0))))</f>
        <v/>
      </c>
      <c r="AD69" s="130">
        <f>IF($G$5="",0,AD68+IF(W69&gt;'General Information'!$D$33,0,IF(W69=0,$J$5,IFERROR(SUMIF(INDIRECT("'"&amp;$G$5&amp;"'!$C$37:$C$52"),W69,INDIRECT("'"&amp;$G$5&amp;"'!$E$37:$E$52")),0))))</f>
        <v/>
      </c>
      <c r="AE69" s="130">
        <f>IF($G$6="",0,AE68+IF(W69&gt;'General Information'!$D$33,0,IF(W69=0,$J$6,IFERROR(SUMIF(INDIRECT("'"&amp;$G$6&amp;"'!$C$37:$C$52"),W69,INDIRECT("'"&amp;$G$6&amp;"'!$E$37:$E$52")),0))))</f>
        <v/>
      </c>
      <c r="AF69" s="130">
        <f>IF($G$7="",0,AF68+IF(W69&gt;'General Information'!$D$33,0,IF(W69=0,$J$7,IFERROR(SUMIF(INDIRECT("'"&amp;$G$7&amp;"'!$C$37:$C$52"),W69,INDIRECT("'"&amp;$G$7&amp;"'!$E$37:$E$52")),0))))</f>
        <v/>
      </c>
      <c r="AG69" s="143">
        <f>IF($G$4="",0,IF(W69&gt;'General Information'!$D$33,0,IFERROR(SUMIFS(INDIRECT("'"&amp;$G$4&amp;"'!$D$37:$D$52"),INDIRECT("'"&amp;$G$4&amp;"'!$C$37:$C$52"),W69,INDIRECT("'"&amp;$G$4&amp;"'!$B$37:$B$52"),"*Indirect*")/INDIRECT("'"&amp;$G$4&amp;"'!$F$2"),0)))</f>
        <v/>
      </c>
      <c r="AH69" s="143">
        <f>IF($G$5="",0,IF(W69&gt;'General Information'!$D$33,0,IFERROR(SUMIFS(INDIRECT("'"&amp;$G$5&amp;"'!$D$37:$D$52"),INDIRECT("'"&amp;$G$5&amp;"'!$C$37:$C$52"),W69,INDIRECT("'"&amp;$G$5&amp;"'!$B$37:$B$52"),"*Indirect*")/INDIRECT("'"&amp;$G$5&amp;"'!$F$2"),0)))</f>
        <v/>
      </c>
      <c r="AI69" s="143">
        <f>IF($G$6="",0,IF(W69&gt;'General Information'!$D$33,0,IFERROR(SUMIFS(INDIRECT("'"&amp;$G$6&amp;"'!$D$37:$D$52"),INDIRECT("'"&amp;$G$6&amp;"'!$C$37:$C$52"),W69,INDIRECT("'"&amp;$G$6&amp;"'!$B$37:$B$52"),"*Indirect*")/INDIRECT("'"&amp;$G$6&amp;"'!$F$2"),0)))</f>
        <v/>
      </c>
      <c r="AJ69" s="143">
        <f>IF($G$7="",0,IF(W69&gt;'General Information'!$D$33,0,IFERROR(SUMIFS(INDIRECT("'"&amp;$G$7&amp;"'!$D$37:$D$52"),INDIRECT("'"&amp;$G$7&amp;"'!$C$37:$C$52"),W69,INDIRECT("'"&amp;$G$7&amp;"'!$B$37:$B$52"),"*Indirect*")/INDIRECT("'"&amp;$G$7&amp;"'!$F$2"),0)))</f>
        <v/>
      </c>
    </row>
    <row r="70">
      <c r="W70" s="129" t="n">
        <v>29</v>
      </c>
      <c r="X70" s="129">
        <f>'General Information'!$D$25+W70</f>
        <v/>
      </c>
      <c r="Y70" s="130">
        <f>IF($G$4="",0,IF(W70&gt;'General Information'!$D$33,0,IF(W70=0,$J$4,IFERROR(SUMIF(INDIRECT("'"&amp;$G$4&amp;"'!$C$37:$C$52"),W70,INDIRECT("'"&amp;$G$4&amp;"'!$D$37:$D$52")),0))))</f>
        <v/>
      </c>
      <c r="Z70" s="130">
        <f>IF($G$5="",0,IF(W70&gt;'General Information'!$D$33,0,IF(W70=0,$J$5,IFERROR(SUMIF(INDIRECT("'"&amp;$G$5&amp;"'!$C$37:$C$52"),W70,INDIRECT("'"&amp;$G$5&amp;"'!$D$37:$D$52")),0))))</f>
        <v/>
      </c>
      <c r="AA70" s="130">
        <f>IF($G$6="",0,IF(W70&gt;'General Information'!$D$33,0,IF(W70=0,$J$6,IFERROR(SUMIF(INDIRECT("'"&amp;$G$6&amp;"'!$C$37:$C$52"),W70,INDIRECT("'"&amp;$G$6&amp;"'!$D$37:$D$52")),0))))</f>
        <v/>
      </c>
      <c r="AB70" s="130">
        <f>IF($G$7="",0,IF(W70&gt;'General Information'!$D$33,0,IF(W70=0,$J$7,IFERROR(SUMIF(INDIRECT("'"&amp;$G$7&amp;"'!$C$37:$C$52"),W70,INDIRECT("'"&amp;$G$7&amp;"'!$D$37:$D$52")),0))))</f>
        <v/>
      </c>
      <c r="AC70" s="130">
        <f>IF($G$4="",0,AC69+IF(W70&gt;'General Information'!$D$33,0,IF(W70=0,$J$4,IFERROR(SUMIF(INDIRECT("'"&amp;$G$4&amp;"'!$C$37:$C$52"),W70,INDIRECT("'"&amp;$G$4&amp;"'!$E$37:$E$52")),0))))</f>
        <v/>
      </c>
      <c r="AD70" s="130">
        <f>IF($G$5="",0,AD69+IF(W70&gt;'General Information'!$D$33,0,IF(W70=0,$J$5,IFERROR(SUMIF(INDIRECT("'"&amp;$G$5&amp;"'!$C$37:$C$52"),W70,INDIRECT("'"&amp;$G$5&amp;"'!$E$37:$E$52")),0))))</f>
        <v/>
      </c>
      <c r="AE70" s="130">
        <f>IF($G$6="",0,AE69+IF(W70&gt;'General Information'!$D$33,0,IF(W70=0,$J$6,IFERROR(SUMIF(INDIRECT("'"&amp;$G$6&amp;"'!$C$37:$C$52"),W70,INDIRECT("'"&amp;$G$6&amp;"'!$E$37:$E$52")),0))))</f>
        <v/>
      </c>
      <c r="AF70" s="130">
        <f>IF($G$7="",0,AF69+IF(W70&gt;'General Information'!$D$33,0,IF(W70=0,$J$7,IFERROR(SUMIF(INDIRECT("'"&amp;$G$7&amp;"'!$C$37:$C$52"),W70,INDIRECT("'"&amp;$G$7&amp;"'!$E$37:$E$52")),0))))</f>
        <v/>
      </c>
      <c r="AG70" s="143">
        <f>IF($G$4="",0,IF(W70&gt;'General Information'!$D$33,0,IFERROR(SUMIFS(INDIRECT("'"&amp;$G$4&amp;"'!$D$37:$D$52"),INDIRECT("'"&amp;$G$4&amp;"'!$C$37:$C$52"),W70,INDIRECT("'"&amp;$G$4&amp;"'!$B$37:$B$52"),"*Indirect*")/INDIRECT("'"&amp;$G$4&amp;"'!$F$2"),0)))</f>
        <v/>
      </c>
      <c r="AH70" s="143">
        <f>IF($G$5="",0,IF(W70&gt;'General Information'!$D$33,0,IFERROR(SUMIFS(INDIRECT("'"&amp;$G$5&amp;"'!$D$37:$D$52"),INDIRECT("'"&amp;$G$5&amp;"'!$C$37:$C$52"),W70,INDIRECT("'"&amp;$G$5&amp;"'!$B$37:$B$52"),"*Indirect*")/INDIRECT("'"&amp;$G$5&amp;"'!$F$2"),0)))</f>
        <v/>
      </c>
      <c r="AI70" s="143">
        <f>IF($G$6="",0,IF(W70&gt;'General Information'!$D$33,0,IFERROR(SUMIFS(INDIRECT("'"&amp;$G$6&amp;"'!$D$37:$D$52"),INDIRECT("'"&amp;$G$6&amp;"'!$C$37:$C$52"),W70,INDIRECT("'"&amp;$G$6&amp;"'!$B$37:$B$52"),"*Indirect*")/INDIRECT("'"&amp;$G$6&amp;"'!$F$2"),0)))</f>
        <v/>
      </c>
      <c r="AJ70" s="143">
        <f>IF($G$7="",0,IF(W70&gt;'General Information'!$D$33,0,IFERROR(SUMIFS(INDIRECT("'"&amp;$G$7&amp;"'!$D$37:$D$52"),INDIRECT("'"&amp;$G$7&amp;"'!$C$37:$C$52"),W70,INDIRECT("'"&amp;$G$7&amp;"'!$B$37:$B$52"),"*Indirect*")/INDIRECT("'"&amp;$G$7&amp;"'!$F$2"),0)))</f>
        <v/>
      </c>
    </row>
    <row r="71">
      <c r="W71" s="129" t="n">
        <v>30</v>
      </c>
      <c r="X71" s="129">
        <f>'General Information'!$D$25+W71</f>
        <v/>
      </c>
      <c r="Y71" s="130">
        <f>IF($G$4="",0,IF(W71&gt;'General Information'!$D$33,0,IF(W71=0,$J$4,IFERROR(SUMIF(INDIRECT("'"&amp;$G$4&amp;"'!$C$37:$C$52"),W71,INDIRECT("'"&amp;$G$4&amp;"'!$D$37:$D$52")),0))))</f>
        <v/>
      </c>
      <c r="Z71" s="130">
        <f>IF($G$5="",0,IF(W71&gt;'General Information'!$D$33,0,IF(W71=0,$J$5,IFERROR(SUMIF(INDIRECT("'"&amp;$G$5&amp;"'!$C$37:$C$52"),W71,INDIRECT("'"&amp;$G$5&amp;"'!$D$37:$D$52")),0))))</f>
        <v/>
      </c>
      <c r="AA71" s="130">
        <f>IF($G$6="",0,IF(W71&gt;'General Information'!$D$33,0,IF(W71=0,$J$6,IFERROR(SUMIF(INDIRECT("'"&amp;$G$6&amp;"'!$C$37:$C$52"),W71,INDIRECT("'"&amp;$G$6&amp;"'!$D$37:$D$52")),0))))</f>
        <v/>
      </c>
      <c r="AB71" s="130">
        <f>IF($G$7="",0,IF(W71&gt;'General Information'!$D$33,0,IF(W71=0,$J$7,IFERROR(SUMIF(INDIRECT("'"&amp;$G$7&amp;"'!$C$37:$C$52"),W71,INDIRECT("'"&amp;$G$7&amp;"'!$D$37:$D$52")),0))))</f>
        <v/>
      </c>
      <c r="AC71" s="130">
        <f>IF($G$4="",0,AC70+IF(W71&gt;'General Information'!$D$33,0,IF(W71=0,$J$4,IFERROR(SUMIF(INDIRECT("'"&amp;$G$4&amp;"'!$C$37:$C$52"),W71,INDIRECT("'"&amp;$G$4&amp;"'!$E$37:$E$52")),0))))</f>
        <v/>
      </c>
      <c r="AD71" s="130">
        <f>IF($G$5="",0,AD70+IF(W71&gt;'General Information'!$D$33,0,IF(W71=0,$J$5,IFERROR(SUMIF(INDIRECT("'"&amp;$G$5&amp;"'!$C$37:$C$52"),W71,INDIRECT("'"&amp;$G$5&amp;"'!$E$37:$E$52")),0))))</f>
        <v/>
      </c>
      <c r="AE71" s="130">
        <f>IF($G$6="",0,AE70+IF(W71&gt;'General Information'!$D$33,0,IF(W71=0,$J$6,IFERROR(SUMIF(INDIRECT("'"&amp;$G$6&amp;"'!$C$37:$C$52"),W71,INDIRECT("'"&amp;$G$6&amp;"'!$E$37:$E$52")),0))))</f>
        <v/>
      </c>
      <c r="AF71" s="130">
        <f>IF($G$7="",0,AF70+IF(W71&gt;'General Information'!$D$33,0,IF(W71=0,$J$7,IFERROR(SUMIF(INDIRECT("'"&amp;$G$7&amp;"'!$C$37:$C$52"),W71,INDIRECT("'"&amp;$G$7&amp;"'!$E$37:$E$52")),0))))</f>
        <v/>
      </c>
      <c r="AG71" s="143">
        <f>IF($G$4="",0,IF(W71&gt;'General Information'!$D$33,0,IFERROR(SUMIFS(INDIRECT("'"&amp;$G$4&amp;"'!$D$37:$D$52"),INDIRECT("'"&amp;$G$4&amp;"'!$C$37:$C$52"),W71,INDIRECT("'"&amp;$G$4&amp;"'!$B$37:$B$52"),"*Indirect*")/INDIRECT("'"&amp;$G$4&amp;"'!$F$2"),0)))</f>
        <v/>
      </c>
      <c r="AH71" s="143">
        <f>IF($G$5="",0,IF(W71&gt;'General Information'!$D$33,0,IFERROR(SUMIFS(INDIRECT("'"&amp;$G$5&amp;"'!$D$37:$D$52"),INDIRECT("'"&amp;$G$5&amp;"'!$C$37:$C$52"),W71,INDIRECT("'"&amp;$G$5&amp;"'!$B$37:$B$52"),"*Indirect*")/INDIRECT("'"&amp;$G$5&amp;"'!$F$2"),0)))</f>
        <v/>
      </c>
      <c r="AI71" s="143">
        <f>IF($G$6="",0,IF(W71&gt;'General Information'!$D$33,0,IFERROR(SUMIFS(INDIRECT("'"&amp;$G$6&amp;"'!$D$37:$D$52"),INDIRECT("'"&amp;$G$6&amp;"'!$C$37:$C$52"),W71,INDIRECT("'"&amp;$G$6&amp;"'!$B$37:$B$52"),"*Indirect*")/INDIRECT("'"&amp;$G$6&amp;"'!$F$2"),0)))</f>
        <v/>
      </c>
      <c r="AJ71" s="143">
        <f>IF($G$7="",0,IF(W71&gt;'General Information'!$D$33,0,IFERROR(SUMIFS(INDIRECT("'"&amp;$G$7&amp;"'!$D$37:$D$52"),INDIRECT("'"&amp;$G$7&amp;"'!$C$37:$C$52"),W71,INDIRECT("'"&amp;$G$7&amp;"'!$B$37:$B$52"),"*Indirect*")/INDIRECT("'"&amp;$G$7&amp;"'!$F$2"),0)))</f>
        <v/>
      </c>
    </row>
    <row r="74">
      <c r="W74" s="122" t="inlineStr">
        <is>
          <t>PAVEMENT SECTION (inches): mainline, then the reading if the quantities also cover the shoulder</t>
        </is>
      </c>
    </row>
    <row r="75">
      <c r="W75" s="125" t="inlineStr">
        <is>
          <t>Layer</t>
        </is>
      </c>
      <c r="X75" s="125">
        <f>IF(X$4="","",X$4)</f>
        <v/>
      </c>
      <c r="Y75" s="125">
        <f>IF(Y$4="","",Y$4)</f>
        <v/>
      </c>
      <c r="Z75" s="125">
        <f>IF(Z$4="","",Z$4)</f>
        <v/>
      </c>
      <c r="AA75" s="125">
        <f>IF(AA$4="","",AA$4)</f>
        <v/>
      </c>
    </row>
    <row r="76">
      <c r="W76" s="129" t="inlineStr">
        <is>
          <t>Subbase (P-154)</t>
        </is>
      </c>
      <c r="X76" s="144">
        <f>IF($G$4="",0,IFERROR(J83,0))</f>
        <v/>
      </c>
      <c r="Y76" s="144">
        <f>IF($G$5="",0,IFERROR(J84,0))</f>
        <v/>
      </c>
      <c r="Z76" s="144">
        <f>IF($G$6="",0,IFERROR(J85,0))</f>
        <v/>
      </c>
      <c r="AA76" s="144">
        <f>IF($G$7="",0,IFERROR(J86,0))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W77" s="129" t="inlineStr">
        <is>
          <t>Aggregate base</t>
        </is>
      </c>
      <c r="X77" s="144">
        <f>IF($G$4="",0,IFERROR(I83,0))</f>
        <v/>
      </c>
      <c r="Y77" s="144">
        <f>IF($G$5="",0,IFERROR(I84,0))</f>
        <v/>
      </c>
      <c r="Z77" s="144">
        <f>IF($G$6="",0,IFERROR(I85,0))</f>
        <v/>
      </c>
      <c r="AA77" s="144">
        <f>IF($G$7="",0,IFERROR(I86,0))</f>
        <v/>
      </c>
    </row>
    <row r="78">
      <c r="W78" s="129" t="inlineStr">
        <is>
          <t>Asphalt</t>
        </is>
      </c>
      <c r="X78" s="144">
        <f>IF($G$4="",0,IFERROR(IF(SUMIFS(INDIRECT("'"&amp;$G$4&amp;"'!$E$13:$E$22"),INDIRECT("'"&amp;$G$4&amp;"'!$D$13:$D$22"),"TON")&gt;0,H83,0),0))</f>
        <v/>
      </c>
      <c r="Y78" s="144">
        <f>IF($G$5="",0,IFERROR(IF(SUMIFS(INDIRECT("'"&amp;$G$5&amp;"'!$E$13:$E$22"),INDIRECT("'"&amp;$G$5&amp;"'!$D$13:$D$22"),"TON")&gt;0,H84,0),0))</f>
        <v/>
      </c>
      <c r="Z78" s="144">
        <f>IF($G$6="",0,IFERROR(IF(SUMIFS(INDIRECT("'"&amp;$G$6&amp;"'!$E$13:$E$22"),INDIRECT("'"&amp;$G$6&amp;"'!$D$13:$D$22"),"TON")&gt;0,H85,0),0))</f>
        <v/>
      </c>
      <c r="AA78" s="144">
        <f>IF($G$7="",0,IFERROR(IF(SUMIFS(INDIRECT("'"&amp;$G$7&amp;"'!$E$13:$E$22"),INDIRECT("'"&amp;$G$7&amp;"'!$D$13:$D$22"),"TON")&gt;0,H86,0),0))</f>
        <v/>
      </c>
    </row>
    <row r="79">
      <c r="W79" s="129" t="inlineStr">
        <is>
          <t>Concrete</t>
        </is>
      </c>
      <c r="X79" s="144">
        <f>IF($G$4="",0,IFERROR(IF(SUMIFS(INDIRECT("'"&amp;$G$4&amp;"'!$E$13:$E$22"),INDIRECT("'"&amp;$G$4&amp;"'!$D$13:$D$22"),"TON")&gt;0,0,H83),0))</f>
        <v/>
      </c>
      <c r="Y79" s="144">
        <f>IF($G$5="",0,IFERROR(IF(SUMIFS(INDIRECT("'"&amp;$G$5&amp;"'!$E$13:$E$22"),INDIRECT("'"&amp;$G$5&amp;"'!$D$13:$D$22"),"TON")&gt;0,0,H84),0))</f>
        <v/>
      </c>
      <c r="Z79" s="144">
        <f>IF($G$6="",0,IFERROR(IF(SUMIFS(INDIRECT("'"&amp;$G$6&amp;"'!$E$13:$E$22"),INDIRECT("'"&amp;$G$6&amp;"'!$D$13:$D$22"),"TON")&gt;0,0,H85),0))</f>
        <v/>
      </c>
      <c r="AA79" s="144">
        <f>IF($G$7="",0,IFERROR(IF(SUMIFS(INDIRECT("'"&amp;$G$7&amp;"'!$E$13:$E$22"),INDIRECT("'"&amp;$G$7&amp;"'!$D$13:$D$22"),"TON")&gt;0,0,H86),0))</f>
        <v/>
      </c>
    </row>
    <row r="80">
      <c r="G80" s="121" t="inlineStr">
        <is>
          <t>PAVEMENT SECTION  (read back from the quantities already entered; nothing here changes a cost)</t>
        </is>
      </c>
    </row>
    <row r="81">
      <c r="G81" s="122" t="inlineStr">
        <is>
          <t>Asphalt unit weight, pcf:</t>
        </is>
      </c>
      <c r="J81" s="140" t="n">
        <v>145</v>
      </c>
      <c r="K81" s="123" t="inlineStr">
        <is>
          <t>Only asphalt needs an assumption: 145 pcf reproduces the Murfreesboro section to the hundredth of an inch. Volume items convert directly, and concrete carries its thickness in the pay-item name.</t>
        </is>
      </c>
      <c r="W81" s="122" t="inlineStr">
        <is>
          <t>Shoulder reading (blank unless shoulder area is entered)</t>
        </is>
      </c>
    </row>
    <row r="82" ht="27" customHeight="1">
      <c r="G82" s="125" t="inlineStr">
        <is>
          <t>Alternative</t>
        </is>
      </c>
      <c r="H82" s="125" t="inlineStr">
        <is>
          <t>Surface course (in)</t>
        </is>
      </c>
      <c r="I82" s="125" t="inlineStr">
        <is>
          <t>Aggregate base (in)</t>
        </is>
      </c>
      <c r="J82" s="125" t="inlineStr">
        <is>
          <t>Subbase (in)</t>
        </is>
      </c>
      <c r="K82" s="125" t="inlineStr">
        <is>
          <t>Treated subgrade</t>
        </is>
      </c>
      <c r="L82" s="125" t="inlineStr">
        <is>
          <t>Total section (in)</t>
        </is>
      </c>
      <c r="M82" s="125" t="inlineStr">
        <is>
          <t>Excavation (in)</t>
        </is>
      </c>
      <c r="N82" s="125" t="inlineStr">
        <is>
          <t>Excavation check</t>
        </is>
      </c>
      <c r="O82" s="125" t="n"/>
      <c r="P82" s="125" t="inlineStr">
        <is>
          <t>Section from the quantities</t>
        </is>
      </c>
      <c r="Q82" s="125" t="inlineStr">
        <is>
          <t>Same quantities over mainline + shoulder</t>
        </is>
      </c>
      <c r="W82" s="125" t="inlineStr">
        <is>
          <t>Layer</t>
        </is>
      </c>
      <c r="X82" s="125">
        <f>X$4</f>
        <v/>
      </c>
      <c r="Y82" s="125">
        <f>Y$4</f>
        <v/>
      </c>
      <c r="Z82" s="125">
        <f>Z$4</f>
        <v/>
      </c>
      <c r="AA82" s="125">
        <f>AA$4</f>
        <v/>
      </c>
    </row>
    <row r="83">
      <c r="G83" s="126">
        <f>IF($G$4="","",$H$4)</f>
        <v/>
      </c>
      <c r="H83" s="145">
        <f>IF($G$4="","",IF(SUMIFS(INDIRECT("'"&amp;$G$4&amp;"'!$E$13:$E$22"),INDIRECT("'"&amp;$G$4&amp;"'!$D$13:$D$22"),"TON")&gt;0,SUMIFS(INDIRECT("'"&amp;$G$4&amp;"'!$E$13:$E$22"),INDIRECT("'"&amp;$G$4&amp;"'!$D$13:$D$22"),"TON")*2666.6667/($J$81*'General Information'!$D$26),IFERROR(VALUE(TRIM(SUBSTITUTE(MID(IFERROR(INDEX(INDIRECT("'"&amp;$G$4&amp;"'!$C$13:$C$22"),MATCH("Concrete Pavement*",INDIRECT("'"&amp;$G$4&amp;"'!$C$13:$C$22"),0)),""),FIND(",",IFERROR(INDEX(INDIRECT("'"&amp;$G$4&amp;"'!$C$13:$C$22"),MATCH("Concrete Pavement*",INDIRECT("'"&amp;$G$4&amp;"'!$C$13:$C$22"),0)),""))+1,99),"-inch",""))),0)))</f>
        <v/>
      </c>
      <c r="I83" s="145">
        <f>IF($G$4="","",36*(SUMIFS(INDIRECT("'"&amp;$G$4&amp;"'!$E$13:$E$22"),INDIRECT("'"&amp;$G$4&amp;"'!$D$13:$D$22"),"C.Y.",INDIRECT("'"&amp;$G$4&amp;"'!$B$13:$B$22"),"P-2*")+SUMIFS(INDIRECT("'"&amp;$G$4&amp;"'!$E$13:$E$22"),INDIRECT("'"&amp;$G$4&amp;"'!$D$13:$D$22"),"C.Y.",INDIRECT("'"&amp;$G$4&amp;"'!$B$13:$B$22"),"P-3*"))/'General Information'!$D$26)</f>
        <v/>
      </c>
      <c r="J83" s="145">
        <f>IF($G$4="","",36*SUMIFS(INDIRECT("'"&amp;$G$4&amp;"'!$E$13:$E$22"),INDIRECT("'"&amp;$G$4&amp;"'!$D$13:$D$22"),"C.Y.",INDIRECT("'"&amp;$G$4&amp;"'!$B$13:$B$22"),"P-154*")/'General Information'!$D$26)</f>
        <v/>
      </c>
      <c r="K83" s="145">
        <f>IF($G$4="","",IF(SUMIFS(INDIRECT("'"&amp;$G$4&amp;"'!$E$13:$E$22"),INDIRECT("'"&amp;$G$4&amp;"'!$D$13:$D$22"),"S.Y.",INDIRECT("'"&amp;$G$4&amp;"'!$B$13:$B$22"),"P-155*")+SUMIFS(INDIRECT("'"&amp;$G$4&amp;"'!$E$13:$E$22"),INDIRECT("'"&amp;$G$4&amp;"'!$D$13:$D$22"),"S.Y.",INDIRECT("'"&amp;$G$4&amp;"'!$B$13:$B$22"),"P-156*")+SUMIFS(INDIRECT("'"&amp;$G$4&amp;"'!$E$13:$E$22"),INDIRECT("'"&amp;$G$4&amp;"'!$D$13:$D$22"),"S.Y.",INDIRECT("'"&amp;$G$4&amp;"'!$B$13:$B$22"),"P-157*")+SUMIFS(INDIRECT("'"&amp;$G$4&amp;"'!$E$13:$E$22"),INDIRECT("'"&amp;$G$4&amp;"'!$D$13:$D$22"),"S.Y.",INDIRECT("'"&amp;$G$4&amp;"'!$B$13:$B$22"),"P-158*")&gt;0,"yes","-"))</f>
        <v/>
      </c>
      <c r="L83" s="145">
        <f>IF($G$4="","",H83+I83+J83)</f>
        <v/>
      </c>
      <c r="M83" s="145">
        <f>IF($G$4="","",36*SUMIFS(INDIRECT("'"&amp;$G$4&amp;"'!$E$13:$E$22"),INDIRECT("'"&amp;$G$4&amp;"'!$D$13:$D$22"),"C.Y.",INDIRECT("'"&amp;$G$4&amp;"'!$B$13:$B$22"),"P-152*")/'General Information'!$D$26)</f>
        <v/>
      </c>
      <c r="N83" s="126">
        <f>IF($G$4="","",IF(M83=0,"no excavation item",IF(ABS(M83-L83)&lt;=0.5,"agrees","differs by "&amp;TEXT(M83-L83,"0.0")&amp;" in")))</f>
        <v/>
      </c>
      <c r="P83" s="126">
        <f>IF($G$4="","",TEXT(H83,"0")&amp;""" "&amp;IF(SUMIFS(INDIRECT("'"&amp;$G$4&amp;"'!$E$13:$E$22"),INDIRECT("'"&amp;$G$4&amp;"'!$D$13:$D$22"),"TON")&gt;0,IFERROR(SUBSTITUTE(LEFT(INDEX(INDIRECT("'"&amp;$G$4&amp;"'!$B$13:$B$22"),MATCH("P-4*",INDIRECT("'"&amp;$G$4&amp;"'!$B$13:$B$22"),0)),5),"-",""),""),IFERROR(SUBSTITUTE(LEFT(INDEX(INDIRECT("'"&amp;$G$4&amp;"'!$B$13:$B$22"),MATCH("P-501*",INDIRECT("'"&amp;$G$4&amp;"'!$B$13:$B$22"),0)),5),"-",""),""))&amp;IF(I83&gt;0," on "&amp;TEXT(I83,"0")&amp;""" "&amp;IFERROR(SUBSTITUTE(LEFT(INDEX(INDIRECT("'"&amp;$G$4&amp;"'!$B$13:$B$22"),MATCH("P-2*",INDIRECT("'"&amp;$G$4&amp;"'!$B$13:$B$22"),0)),5),"-",""),""),"")&amp;IF(J83&gt;0," on "&amp;TEXT(J83,"0")&amp;""" P154",""))</f>
        <v/>
      </c>
      <c r="Q83" s="126">
        <f>IF(OR($G$4="",'General Information'!$D$27=0),"",TEXT(IF(SUMIFS(INDIRECT("'"&amp;$G$4&amp;"'!$E$13:$E$22"),INDIRECT("'"&amp;$G$4&amp;"'!$D$13:$D$22"),"TON")&gt;0,H83*'General Information'!$D$26/('General Information'!$D$26+'General Information'!$D$27),H83),"0")&amp;""" "&amp;IF(SUMIFS(INDIRECT("'"&amp;$G$4&amp;"'!$E$13:$E$22"),INDIRECT("'"&amp;$G$4&amp;"'!$D$13:$D$22"),"TON")&gt;0,IFERROR(SUBSTITUTE(LEFT(INDEX(INDIRECT("'"&amp;$G$4&amp;"'!$B$13:$B$22"),MATCH("P-4*",INDIRECT("'"&amp;$G$4&amp;"'!$B$13:$B$22"),0)),5),"-",""),""),IFERROR(SUBSTITUTE(LEFT(INDEX(INDIRECT("'"&amp;$G$4&amp;"'!$B$13:$B$22"),MATCH("P-501*",INDIRECT("'"&amp;$G$4&amp;"'!$B$13:$B$22"),0)),5),"-",""),""))&amp;IF(I83&gt;0," on "&amp;TEXT(I83*'General Information'!$D$26/('General Information'!$D$26+'General Information'!$D$27),"0")&amp;""" "&amp;IFERROR(SUBSTITUTE(LEFT(INDEX(INDIRECT("'"&amp;$G$4&amp;"'!$B$13:$B$22"),MATCH("P-2*",INDIRECT("'"&amp;$G$4&amp;"'!$B$13:$B$22"),0)),5),"-",""),""),"")&amp;IF(J83&gt;0," on "&amp;TEXT(J83*'General Information'!$D$26/('General Information'!$D$26+'General Information'!$D$27),"0")&amp;""" P154",""))</f>
        <v/>
      </c>
      <c r="W83" s="129" t="inlineStr">
        <is>
          <t>Subbase (P-154)</t>
        </is>
      </c>
      <c r="X83" s="144">
        <f>IFERROR(X76*IF('General Information'!$D$27&gt;0,'General Information'!$D$26/('General Information'!$D$26+'General Information'!$D$27),0),0)</f>
        <v/>
      </c>
      <c r="Y83" s="144">
        <f>IFERROR(Y76*IF('General Information'!$D$27&gt;0,'General Information'!$D$26/('General Information'!$D$26+'General Information'!$D$27),0),0)</f>
        <v/>
      </c>
      <c r="Z83" s="144">
        <f>IFERROR(Z76*IF('General Information'!$D$27&gt;0,'General Information'!$D$26/('General Information'!$D$26+'General Information'!$D$27),0),0)</f>
        <v/>
      </c>
      <c r="AA83" s="144">
        <f>IFERROR(AA76*IF('General Information'!$D$27&gt;0,'General Information'!$D$26/('General Information'!$D$26+'General Information'!$D$27),0),0)</f>
        <v/>
      </c>
    </row>
    <row r="84">
      <c r="G84" s="126">
        <f>IF($G$5="","",$H$5)</f>
        <v/>
      </c>
      <c r="H84" s="145">
        <f>IF($G$5="","",IF(SUMIFS(INDIRECT("'"&amp;$G$5&amp;"'!$E$13:$E$22"),INDIRECT("'"&amp;$G$5&amp;"'!$D$13:$D$22"),"TON")&gt;0,SUMIFS(INDIRECT("'"&amp;$G$5&amp;"'!$E$13:$E$22"),INDIRECT("'"&amp;$G$5&amp;"'!$D$13:$D$22"),"TON")*2666.6667/($J$81*'General Information'!$D$26),IFERROR(VALUE(TRIM(SUBSTITUTE(MID(IFERROR(INDEX(INDIRECT("'"&amp;$G$5&amp;"'!$C$13:$C$22"),MATCH("Concrete Pavement*",INDIRECT("'"&amp;$G$5&amp;"'!$C$13:$C$22"),0)),""),FIND(",",IFERROR(INDEX(INDIRECT("'"&amp;$G$5&amp;"'!$C$13:$C$22"),MATCH("Concrete Pavement*",INDIRECT("'"&amp;$G$5&amp;"'!$C$13:$C$22"),0)),""))+1,99),"-inch",""))),0)))</f>
        <v/>
      </c>
      <c r="I84" s="145">
        <f>IF($G$5="","",36*(SUMIFS(INDIRECT("'"&amp;$G$5&amp;"'!$E$13:$E$22"),INDIRECT("'"&amp;$G$5&amp;"'!$D$13:$D$22"),"C.Y.",INDIRECT("'"&amp;$G$5&amp;"'!$B$13:$B$22"),"P-2*")+SUMIFS(INDIRECT("'"&amp;$G$5&amp;"'!$E$13:$E$22"),INDIRECT("'"&amp;$G$5&amp;"'!$D$13:$D$22"),"C.Y.",INDIRECT("'"&amp;$G$5&amp;"'!$B$13:$B$22"),"P-3*"))/'General Information'!$D$26)</f>
        <v/>
      </c>
      <c r="J84" s="145">
        <f>IF($G$5="","",36*SUMIFS(INDIRECT("'"&amp;$G$5&amp;"'!$E$13:$E$22"),INDIRECT("'"&amp;$G$5&amp;"'!$D$13:$D$22"),"C.Y.",INDIRECT("'"&amp;$G$5&amp;"'!$B$13:$B$22"),"P-154*")/'General Information'!$D$26)</f>
        <v/>
      </c>
      <c r="K84" s="145">
        <f>IF($G$5="","",IF(SUMIFS(INDIRECT("'"&amp;$G$5&amp;"'!$E$13:$E$22"),INDIRECT("'"&amp;$G$5&amp;"'!$D$13:$D$22"),"S.Y.",INDIRECT("'"&amp;$G$5&amp;"'!$B$13:$B$22"),"P-155*")+SUMIFS(INDIRECT("'"&amp;$G$5&amp;"'!$E$13:$E$22"),INDIRECT("'"&amp;$G$5&amp;"'!$D$13:$D$22"),"S.Y.",INDIRECT("'"&amp;$G$5&amp;"'!$B$13:$B$22"),"P-156*")+SUMIFS(INDIRECT("'"&amp;$G$5&amp;"'!$E$13:$E$22"),INDIRECT("'"&amp;$G$5&amp;"'!$D$13:$D$22"),"S.Y.",INDIRECT("'"&amp;$G$5&amp;"'!$B$13:$B$22"),"P-157*")+SUMIFS(INDIRECT("'"&amp;$G$5&amp;"'!$E$13:$E$22"),INDIRECT("'"&amp;$G$5&amp;"'!$D$13:$D$22"),"S.Y.",INDIRECT("'"&amp;$G$5&amp;"'!$B$13:$B$22"),"P-158*")&gt;0,"yes","-"))</f>
        <v/>
      </c>
      <c r="L84" s="145">
        <f>IF($G$5="","",H84+I84+J84)</f>
        <v/>
      </c>
      <c r="M84" s="145">
        <f>IF($G$5="","",36*SUMIFS(INDIRECT("'"&amp;$G$5&amp;"'!$E$13:$E$22"),INDIRECT("'"&amp;$G$5&amp;"'!$D$13:$D$22"),"C.Y.",INDIRECT("'"&amp;$G$5&amp;"'!$B$13:$B$22"),"P-152*")/'General Information'!$D$26)</f>
        <v/>
      </c>
      <c r="N84" s="126">
        <f>IF($G$5="","",IF(M84=0,"no excavation item",IF(ABS(M84-L84)&lt;=0.5,"agrees","differs by "&amp;TEXT(M84-L84,"0.0")&amp;" in")))</f>
        <v/>
      </c>
      <c r="P84" s="126">
        <f>IF($G$5="","",TEXT(H84,"0")&amp;""" "&amp;IF(SUMIFS(INDIRECT("'"&amp;$G$5&amp;"'!$E$13:$E$22"),INDIRECT("'"&amp;$G$5&amp;"'!$D$13:$D$22"),"TON")&gt;0,IFERROR(SUBSTITUTE(LEFT(INDEX(INDIRECT("'"&amp;$G$5&amp;"'!$B$13:$B$22"),MATCH("P-4*",INDIRECT("'"&amp;$G$5&amp;"'!$B$13:$B$22"),0)),5),"-",""),""),IFERROR(SUBSTITUTE(LEFT(INDEX(INDIRECT("'"&amp;$G$5&amp;"'!$B$13:$B$22"),MATCH("P-501*",INDIRECT("'"&amp;$G$5&amp;"'!$B$13:$B$22"),0)),5),"-",""),""))&amp;IF(I84&gt;0," on "&amp;TEXT(I84,"0")&amp;""" "&amp;IFERROR(SUBSTITUTE(LEFT(INDEX(INDIRECT("'"&amp;$G$5&amp;"'!$B$13:$B$22"),MATCH("P-2*",INDIRECT("'"&amp;$G$5&amp;"'!$B$13:$B$22"),0)),5),"-",""),""),"")&amp;IF(J84&gt;0," on "&amp;TEXT(J84,"0")&amp;""" P154",""))</f>
        <v/>
      </c>
      <c r="Q84" s="126">
        <f>IF(OR($G$5="",'General Information'!$D$27=0),"",TEXT(IF(SUMIFS(INDIRECT("'"&amp;$G$5&amp;"'!$E$13:$E$22"),INDIRECT("'"&amp;$G$5&amp;"'!$D$13:$D$22"),"TON")&gt;0,H84*'General Information'!$D$26/('General Information'!$D$26+'General Information'!$D$27),H84),"0")&amp;""" "&amp;IF(SUMIFS(INDIRECT("'"&amp;$G$5&amp;"'!$E$13:$E$22"),INDIRECT("'"&amp;$G$5&amp;"'!$D$13:$D$22"),"TON")&gt;0,IFERROR(SUBSTITUTE(LEFT(INDEX(INDIRECT("'"&amp;$G$5&amp;"'!$B$13:$B$22"),MATCH("P-4*",INDIRECT("'"&amp;$G$5&amp;"'!$B$13:$B$22"),0)),5),"-",""),""),IFERROR(SUBSTITUTE(LEFT(INDEX(INDIRECT("'"&amp;$G$5&amp;"'!$B$13:$B$22"),MATCH("P-501*",INDIRECT("'"&amp;$G$5&amp;"'!$B$13:$B$22"),0)),5),"-",""),""))&amp;IF(I84&gt;0," on "&amp;TEXT(I84*'General Information'!$D$26/('General Information'!$D$26+'General Information'!$D$27),"0")&amp;""" "&amp;IFERROR(SUBSTITUTE(LEFT(INDEX(INDIRECT("'"&amp;$G$5&amp;"'!$B$13:$B$22"),MATCH("P-2*",INDIRECT("'"&amp;$G$5&amp;"'!$B$13:$B$22"),0)),5),"-",""),""),"")&amp;IF(J84&gt;0," on "&amp;TEXT(J84*'General Information'!$D$26/('General Information'!$D$26+'General Information'!$D$27),"0")&amp;""" P154",""))</f>
        <v/>
      </c>
      <c r="W84" s="129" t="inlineStr">
        <is>
          <t>Aggregate base</t>
        </is>
      </c>
      <c r="X84" s="144">
        <f>IFERROR(X77*IF('General Information'!$D$27&gt;0,'General Information'!$D$26/('General Information'!$D$26+'General Information'!$D$27),0),0)</f>
        <v/>
      </c>
      <c r="Y84" s="144">
        <f>IFERROR(Y77*IF('General Information'!$D$27&gt;0,'General Information'!$D$26/('General Information'!$D$26+'General Information'!$D$27),0),0)</f>
        <v/>
      </c>
      <c r="Z84" s="144">
        <f>IFERROR(Z77*IF('General Information'!$D$27&gt;0,'General Information'!$D$26/('General Information'!$D$26+'General Information'!$D$27),0),0)</f>
        <v/>
      </c>
      <c r="AA84" s="144">
        <f>IFERROR(AA77*IF('General Information'!$D$27&gt;0,'General Information'!$D$26/('General Information'!$D$26+'General Information'!$D$27),0),0)</f>
        <v/>
      </c>
    </row>
    <row r="85">
      <c r="G85" s="126">
        <f>IF($G$6="","",$H$6)</f>
        <v/>
      </c>
      <c r="H85" s="145">
        <f>IF($G$6="","",IF(SUMIFS(INDIRECT("'"&amp;$G$6&amp;"'!$E$13:$E$22"),INDIRECT("'"&amp;$G$6&amp;"'!$D$13:$D$22"),"TON")&gt;0,SUMIFS(INDIRECT("'"&amp;$G$6&amp;"'!$E$13:$E$22"),INDIRECT("'"&amp;$G$6&amp;"'!$D$13:$D$22"),"TON")*2666.6667/($J$81*'General Information'!$D$26),IFERROR(VALUE(TRIM(SUBSTITUTE(MID(IFERROR(INDEX(INDIRECT("'"&amp;$G$6&amp;"'!$C$13:$C$22"),MATCH("Concrete Pavement*",INDIRECT("'"&amp;$G$6&amp;"'!$C$13:$C$22"),0)),""),FIND(",",IFERROR(INDEX(INDIRECT("'"&amp;$G$6&amp;"'!$C$13:$C$22"),MATCH("Concrete Pavement*",INDIRECT("'"&amp;$G$6&amp;"'!$C$13:$C$22"),0)),""))+1,99),"-inch",""))),0)))</f>
        <v/>
      </c>
      <c r="I85" s="145">
        <f>IF($G$6="","",36*(SUMIFS(INDIRECT("'"&amp;$G$6&amp;"'!$E$13:$E$22"),INDIRECT("'"&amp;$G$6&amp;"'!$D$13:$D$22"),"C.Y.",INDIRECT("'"&amp;$G$6&amp;"'!$B$13:$B$22"),"P-2*")+SUMIFS(INDIRECT("'"&amp;$G$6&amp;"'!$E$13:$E$22"),INDIRECT("'"&amp;$G$6&amp;"'!$D$13:$D$22"),"C.Y.",INDIRECT("'"&amp;$G$6&amp;"'!$B$13:$B$22"),"P-3*"))/'General Information'!$D$26)</f>
        <v/>
      </c>
      <c r="J85" s="145">
        <f>IF($G$6="","",36*SUMIFS(INDIRECT("'"&amp;$G$6&amp;"'!$E$13:$E$22"),INDIRECT("'"&amp;$G$6&amp;"'!$D$13:$D$22"),"C.Y.",INDIRECT("'"&amp;$G$6&amp;"'!$B$13:$B$22"),"P-154*")/'General Information'!$D$26)</f>
        <v/>
      </c>
      <c r="K85" s="145">
        <f>IF($G$6="","",IF(SUMIFS(INDIRECT("'"&amp;$G$6&amp;"'!$E$13:$E$22"),INDIRECT("'"&amp;$G$6&amp;"'!$D$13:$D$22"),"S.Y.",INDIRECT("'"&amp;$G$6&amp;"'!$B$13:$B$22"),"P-155*")+SUMIFS(INDIRECT("'"&amp;$G$6&amp;"'!$E$13:$E$22"),INDIRECT("'"&amp;$G$6&amp;"'!$D$13:$D$22"),"S.Y.",INDIRECT("'"&amp;$G$6&amp;"'!$B$13:$B$22"),"P-156*")+SUMIFS(INDIRECT("'"&amp;$G$6&amp;"'!$E$13:$E$22"),INDIRECT("'"&amp;$G$6&amp;"'!$D$13:$D$22"),"S.Y.",INDIRECT("'"&amp;$G$6&amp;"'!$B$13:$B$22"),"P-157*")+SUMIFS(INDIRECT("'"&amp;$G$6&amp;"'!$E$13:$E$22"),INDIRECT("'"&amp;$G$6&amp;"'!$D$13:$D$22"),"S.Y.",INDIRECT("'"&amp;$G$6&amp;"'!$B$13:$B$22"),"P-158*")&gt;0,"yes","-"))</f>
        <v/>
      </c>
      <c r="L85" s="145">
        <f>IF($G$6="","",H85+I85+J85)</f>
        <v/>
      </c>
      <c r="M85" s="145">
        <f>IF($G$6="","",36*SUMIFS(INDIRECT("'"&amp;$G$6&amp;"'!$E$13:$E$22"),INDIRECT("'"&amp;$G$6&amp;"'!$D$13:$D$22"),"C.Y.",INDIRECT("'"&amp;$G$6&amp;"'!$B$13:$B$22"),"P-152*")/'General Information'!$D$26)</f>
        <v/>
      </c>
      <c r="N85" s="126">
        <f>IF($G$6="","",IF(M85=0,"no excavation item",IF(ABS(M85-L85)&lt;=0.5,"agrees","differs by "&amp;TEXT(M85-L85,"0.0")&amp;" in")))</f>
        <v/>
      </c>
      <c r="P85" s="126">
        <f>IF($G$6="","",TEXT(H85,"0")&amp;""" "&amp;IF(SUMIFS(INDIRECT("'"&amp;$G$6&amp;"'!$E$13:$E$22"),INDIRECT("'"&amp;$G$6&amp;"'!$D$13:$D$22"),"TON")&gt;0,IFERROR(SUBSTITUTE(LEFT(INDEX(INDIRECT("'"&amp;$G$6&amp;"'!$B$13:$B$22"),MATCH("P-4*",INDIRECT("'"&amp;$G$6&amp;"'!$B$13:$B$22"),0)),5),"-",""),""),IFERROR(SUBSTITUTE(LEFT(INDEX(INDIRECT("'"&amp;$G$6&amp;"'!$B$13:$B$22"),MATCH("P-501*",INDIRECT("'"&amp;$G$6&amp;"'!$B$13:$B$22"),0)),5),"-",""),""))&amp;IF(I85&gt;0," on "&amp;TEXT(I85,"0")&amp;""" "&amp;IFERROR(SUBSTITUTE(LEFT(INDEX(INDIRECT("'"&amp;$G$6&amp;"'!$B$13:$B$22"),MATCH("P-2*",INDIRECT("'"&amp;$G$6&amp;"'!$B$13:$B$22"),0)),5),"-",""),""),"")&amp;IF(J85&gt;0," on "&amp;TEXT(J85,"0")&amp;""" P154",""))</f>
        <v/>
      </c>
      <c r="Q85" s="126">
        <f>IF(OR($G$6="",'General Information'!$D$27=0),"",TEXT(IF(SUMIFS(INDIRECT("'"&amp;$G$6&amp;"'!$E$13:$E$22"),INDIRECT("'"&amp;$G$6&amp;"'!$D$13:$D$22"),"TON")&gt;0,H85*'General Information'!$D$26/('General Information'!$D$26+'General Information'!$D$27),H85),"0")&amp;""" "&amp;IF(SUMIFS(INDIRECT("'"&amp;$G$6&amp;"'!$E$13:$E$22"),INDIRECT("'"&amp;$G$6&amp;"'!$D$13:$D$22"),"TON")&gt;0,IFERROR(SUBSTITUTE(LEFT(INDEX(INDIRECT("'"&amp;$G$6&amp;"'!$B$13:$B$22"),MATCH("P-4*",INDIRECT("'"&amp;$G$6&amp;"'!$B$13:$B$22"),0)),5),"-",""),""),IFERROR(SUBSTITUTE(LEFT(INDEX(INDIRECT("'"&amp;$G$6&amp;"'!$B$13:$B$22"),MATCH("P-501*",INDIRECT("'"&amp;$G$6&amp;"'!$B$13:$B$22"),0)),5),"-",""),""))&amp;IF(I85&gt;0," on "&amp;TEXT(I85*'General Information'!$D$26/('General Information'!$D$26+'General Information'!$D$27),"0")&amp;""" "&amp;IFERROR(SUBSTITUTE(LEFT(INDEX(INDIRECT("'"&amp;$G$6&amp;"'!$B$13:$B$22"),MATCH("P-2*",INDIRECT("'"&amp;$G$6&amp;"'!$B$13:$B$22"),0)),5),"-",""),""),"")&amp;IF(J85&gt;0," on "&amp;TEXT(J85*'General Information'!$D$26/('General Information'!$D$26+'General Information'!$D$27),"0")&amp;""" P154",""))</f>
        <v/>
      </c>
      <c r="W85" s="129" t="inlineStr">
        <is>
          <t>Asphalt</t>
        </is>
      </c>
      <c r="X85" s="144">
        <f>IFERROR(X78*IF('General Information'!$D$27&gt;0,'General Information'!$D$26/('General Information'!$D$26+'General Information'!$D$27),0),0)</f>
        <v/>
      </c>
      <c r="Y85" s="144">
        <f>IFERROR(Y78*IF('General Information'!$D$27&gt;0,'General Information'!$D$26/('General Information'!$D$26+'General Information'!$D$27),0),0)</f>
        <v/>
      </c>
      <c r="Z85" s="144">
        <f>IFERROR(Z78*IF('General Information'!$D$27&gt;0,'General Information'!$D$26/('General Information'!$D$26+'General Information'!$D$27),0),0)</f>
        <v/>
      </c>
      <c r="AA85" s="144">
        <f>IFERROR(AA78*IF('General Information'!$D$27&gt;0,'General Information'!$D$26/('General Information'!$D$26+'General Information'!$D$27),0),0)</f>
        <v/>
      </c>
    </row>
    <row r="86">
      <c r="G86" s="126">
        <f>IF($G$7="","",$H$7)</f>
        <v/>
      </c>
      <c r="H86" s="145">
        <f>IF($G$7="","",IF(SUMIFS(INDIRECT("'"&amp;$G$7&amp;"'!$E$13:$E$22"),INDIRECT("'"&amp;$G$7&amp;"'!$D$13:$D$22"),"TON")&gt;0,SUMIFS(INDIRECT("'"&amp;$G$7&amp;"'!$E$13:$E$22"),INDIRECT("'"&amp;$G$7&amp;"'!$D$13:$D$22"),"TON")*2666.6667/($J$81*'General Information'!$D$26),IFERROR(VALUE(TRIM(SUBSTITUTE(MID(IFERROR(INDEX(INDIRECT("'"&amp;$G$7&amp;"'!$C$13:$C$22"),MATCH("Concrete Pavement*",INDIRECT("'"&amp;$G$7&amp;"'!$C$13:$C$22"),0)),""),FIND(",",IFERROR(INDEX(INDIRECT("'"&amp;$G$7&amp;"'!$C$13:$C$22"),MATCH("Concrete Pavement*",INDIRECT("'"&amp;$G$7&amp;"'!$C$13:$C$22"),0)),""))+1,99),"-inch",""))),0)))</f>
        <v/>
      </c>
      <c r="I86" s="145">
        <f>IF($G$7="","",36*(SUMIFS(INDIRECT("'"&amp;$G$7&amp;"'!$E$13:$E$22"),INDIRECT("'"&amp;$G$7&amp;"'!$D$13:$D$22"),"C.Y.",INDIRECT("'"&amp;$G$7&amp;"'!$B$13:$B$22"),"P-2*")+SUMIFS(INDIRECT("'"&amp;$G$7&amp;"'!$E$13:$E$22"),INDIRECT("'"&amp;$G$7&amp;"'!$D$13:$D$22"),"C.Y.",INDIRECT("'"&amp;$G$7&amp;"'!$B$13:$B$22"),"P-3*"))/'General Information'!$D$26)</f>
        <v/>
      </c>
      <c r="J86" s="145">
        <f>IF($G$7="","",36*SUMIFS(INDIRECT("'"&amp;$G$7&amp;"'!$E$13:$E$22"),INDIRECT("'"&amp;$G$7&amp;"'!$D$13:$D$22"),"C.Y.",INDIRECT("'"&amp;$G$7&amp;"'!$B$13:$B$22"),"P-154*")/'General Information'!$D$26)</f>
        <v/>
      </c>
      <c r="K86" s="145">
        <f>IF($G$7="","",IF(SUMIFS(INDIRECT("'"&amp;$G$7&amp;"'!$E$13:$E$22"),INDIRECT("'"&amp;$G$7&amp;"'!$D$13:$D$22"),"S.Y.",INDIRECT("'"&amp;$G$7&amp;"'!$B$13:$B$22"),"P-155*")+SUMIFS(INDIRECT("'"&amp;$G$7&amp;"'!$E$13:$E$22"),INDIRECT("'"&amp;$G$7&amp;"'!$D$13:$D$22"),"S.Y.",INDIRECT("'"&amp;$G$7&amp;"'!$B$13:$B$22"),"P-156*")+SUMIFS(INDIRECT("'"&amp;$G$7&amp;"'!$E$13:$E$22"),INDIRECT("'"&amp;$G$7&amp;"'!$D$13:$D$22"),"S.Y.",INDIRECT("'"&amp;$G$7&amp;"'!$B$13:$B$22"),"P-157*")+SUMIFS(INDIRECT("'"&amp;$G$7&amp;"'!$E$13:$E$22"),INDIRECT("'"&amp;$G$7&amp;"'!$D$13:$D$22"),"S.Y.",INDIRECT("'"&amp;$G$7&amp;"'!$B$13:$B$22"),"P-158*")&gt;0,"yes","-"))</f>
        <v/>
      </c>
      <c r="L86" s="145">
        <f>IF($G$7="","",H86+I86+J86)</f>
        <v/>
      </c>
      <c r="M86" s="145">
        <f>IF($G$7="","",36*SUMIFS(INDIRECT("'"&amp;$G$7&amp;"'!$E$13:$E$22"),INDIRECT("'"&amp;$G$7&amp;"'!$D$13:$D$22"),"C.Y.",INDIRECT("'"&amp;$G$7&amp;"'!$B$13:$B$22"),"P-152*")/'General Information'!$D$26)</f>
        <v/>
      </c>
      <c r="N86" s="126">
        <f>IF($G$7="","",IF(M86=0,"no excavation item",IF(ABS(M86-L86)&lt;=0.5,"agrees","differs by "&amp;TEXT(M86-L86,"0.0")&amp;" in")))</f>
        <v/>
      </c>
      <c r="P86" s="126">
        <f>IF($G$7="","",TEXT(H86,"0")&amp;""" "&amp;IF(SUMIFS(INDIRECT("'"&amp;$G$7&amp;"'!$E$13:$E$22"),INDIRECT("'"&amp;$G$7&amp;"'!$D$13:$D$22"),"TON")&gt;0,IFERROR(SUBSTITUTE(LEFT(INDEX(INDIRECT("'"&amp;$G$7&amp;"'!$B$13:$B$22"),MATCH("P-4*",INDIRECT("'"&amp;$G$7&amp;"'!$B$13:$B$22"),0)),5),"-",""),""),IFERROR(SUBSTITUTE(LEFT(INDEX(INDIRECT("'"&amp;$G$7&amp;"'!$B$13:$B$22"),MATCH("P-501*",INDIRECT("'"&amp;$G$7&amp;"'!$B$13:$B$22"),0)),5),"-",""),""))&amp;IF(I86&gt;0," on "&amp;TEXT(I86,"0")&amp;""" "&amp;IFERROR(SUBSTITUTE(LEFT(INDEX(INDIRECT("'"&amp;$G$7&amp;"'!$B$13:$B$22"),MATCH("P-2*",INDIRECT("'"&amp;$G$7&amp;"'!$B$13:$B$22"),0)),5),"-",""),""),"")&amp;IF(J86&gt;0," on "&amp;TEXT(J86,"0")&amp;""" P154",""))</f>
        <v/>
      </c>
      <c r="Q86" s="126">
        <f>IF(OR($G$7="",'General Information'!$D$27=0),"",TEXT(IF(SUMIFS(INDIRECT("'"&amp;$G$7&amp;"'!$E$13:$E$22"),INDIRECT("'"&amp;$G$7&amp;"'!$D$13:$D$22"),"TON")&gt;0,H86*'General Information'!$D$26/('General Information'!$D$26+'General Information'!$D$27),H86),"0")&amp;""" "&amp;IF(SUMIFS(INDIRECT("'"&amp;$G$7&amp;"'!$E$13:$E$22"),INDIRECT("'"&amp;$G$7&amp;"'!$D$13:$D$22"),"TON")&gt;0,IFERROR(SUBSTITUTE(LEFT(INDEX(INDIRECT("'"&amp;$G$7&amp;"'!$B$13:$B$22"),MATCH("P-4*",INDIRECT("'"&amp;$G$7&amp;"'!$B$13:$B$22"),0)),5),"-",""),""),IFERROR(SUBSTITUTE(LEFT(INDEX(INDIRECT("'"&amp;$G$7&amp;"'!$B$13:$B$22"),MATCH("P-501*",INDIRECT("'"&amp;$G$7&amp;"'!$B$13:$B$22"),0)),5),"-",""),""))&amp;IF(I86&gt;0," on "&amp;TEXT(I86*'General Information'!$D$26/('General Information'!$D$26+'General Information'!$D$27),"0")&amp;""" "&amp;IFERROR(SUBSTITUTE(LEFT(INDEX(INDIRECT("'"&amp;$G$7&amp;"'!$B$13:$B$22"),MATCH("P-2*",INDIRECT("'"&amp;$G$7&amp;"'!$B$13:$B$22"),0)),5),"-",""),""),"")&amp;IF(J86&gt;0," on "&amp;TEXT(J86*'General Information'!$D$26/('General Information'!$D$26+'General Information'!$D$27),"0")&amp;""" P154",""))</f>
        <v/>
      </c>
      <c r="W86" s="129" t="inlineStr">
        <is>
          <t>Concrete</t>
        </is>
      </c>
      <c r="X86" s="144">
        <f>IFERROR(X79*IF('General Information'!$D$27&gt;0,1,0),0)</f>
        <v/>
      </c>
      <c r="Y86" s="144">
        <f>IFERROR(Y79*IF('General Information'!$D$27&gt;0,1,0),0)</f>
        <v/>
      </c>
      <c r="Z86" s="144">
        <f>IFERROR(Z79*IF('General Information'!$D$27&gt;0,1,0),0)</f>
        <v/>
      </c>
      <c r="AA86" s="144">
        <f>IFERROR(AA79*IF('General Information'!$D$27&gt;0,1,0),0)</f>
        <v/>
      </c>
    </row>
    <row r="87">
      <c r="G8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08">
      <c r="G108"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15">
      <c r="W115" s="122" t="inlineStr">
        <is>
          <t>MAP DATA (embedded coordinates and state outline; reference only, do not edit)</t>
        </is>
      </c>
    </row>
    <row r="116">
      <c r="W116" s="125" t="inlineStr">
        <is>
          <t>Airport</t>
        </is>
      </c>
      <c r="X116" s="125" t="inlineStr">
        <is>
          <t>FAA ID</t>
        </is>
      </c>
      <c r="Y116" s="125" t="inlineStr">
        <is>
          <t>Longitude</t>
        </is>
      </c>
      <c r="Z116" s="125" t="inlineStr">
        <is>
          <t>Latitude</t>
        </is>
      </c>
      <c r="AA116" s="125" t="inlineStr">
        <is>
          <t>Region</t>
        </is>
      </c>
      <c r="AB116" s="125" t="inlineStr">
        <is>
          <t>Elevation (ft)</t>
        </is>
      </c>
      <c r="AC116" s="125" t="n"/>
      <c r="AD116" s="125" t="inlineStr">
        <is>
          <t>This project: longitude</t>
        </is>
      </c>
      <c r="AE116" s="125" t="inlineStr">
        <is>
          <t>Latitude</t>
        </is>
      </c>
      <c r="AF116" s="125" t="inlineStr">
        <is>
          <t>Label</t>
        </is>
      </c>
      <c r="AG116" s="125" t="n"/>
      <c r="AH116" s="125" t="inlineStr">
        <is>
          <t>Outline longitude</t>
        </is>
      </c>
      <c r="AI116" s="125" t="inlineStr">
        <is>
          <t>Outline latitude</t>
        </is>
      </c>
    </row>
    <row r="117">
      <c r="W117" s="129" t="inlineStr">
        <is>
          <t>Arnold Field</t>
        </is>
      </c>
      <c r="X117" s="129" t="inlineStr">
        <is>
          <t>M31</t>
        </is>
      </c>
      <c r="Y117" s="146" t="n"/>
      <c r="Z117" s="146" t="n"/>
      <c r="AA117" s="129" t="inlineStr">
        <is>
          <t>West</t>
        </is>
      </c>
      <c r="AB117" s="129" t="n"/>
      <c r="AD117" s="146">
        <f>IFERROR(IF(INDEX($Y$117:$Y$195,MATCH('General Information'!$D$10,$X$117:$X$195,0))="","",INDEX($Y$117:$Y$195,MATCH('General Information'!$D$10,$X$117:$X$195,0))),"")</f>
        <v/>
      </c>
      <c r="AE117" s="146">
        <f>IFERROR(IF(INDEX($Z$117:$Z$195,MATCH('General Information'!$D$10,$X$117:$X$195,0))="","",INDEX($Z$117:$Z$195,MATCH('General Information'!$D$10,$X$117:$X$195,0))),"")</f>
        <v/>
      </c>
      <c r="AF117" s="129">
        <f>IF('General Information'!$D$9="","",'General Information'!$D$10)</f>
        <v/>
      </c>
      <c r="AH117" s="146" t="n">
        <v>-89.425</v>
      </c>
      <c r="AI117" s="146" t="n">
        <v>36.49889</v>
      </c>
    </row>
    <row r="118">
      <c r="W118" s="129" t="inlineStr">
        <is>
          <t>Beech River Regional Airport</t>
        </is>
      </c>
      <c r="X118" s="129" t="inlineStr">
        <is>
          <t>PVE</t>
        </is>
      </c>
      <c r="Y118" s="146" t="n">
        <v>-88.19535</v>
      </c>
      <c r="Z118" s="146" t="n">
        <v>35.65636</v>
      </c>
      <c r="AA118" s="129" t="inlineStr">
        <is>
          <t>West</t>
        </is>
      </c>
      <c r="AB118" s="129" t="n">
        <v>488</v>
      </c>
      <c r="AH118" s="146" t="n">
        <v>-88.04277999999999</v>
      </c>
      <c r="AI118" s="146" t="n">
        <v>36.49861</v>
      </c>
    </row>
    <row r="119">
      <c r="W119" s="129" t="inlineStr">
        <is>
          <t>Benton County Airport</t>
        </is>
      </c>
      <c r="X119" s="129" t="inlineStr">
        <is>
          <t>0M4</t>
        </is>
      </c>
      <c r="Y119" s="146" t="n">
        <v>-88.12473</v>
      </c>
      <c r="Z119" s="146" t="n">
        <v>36.00954</v>
      </c>
      <c r="AA119" s="129" t="inlineStr">
        <is>
          <t>West</t>
        </is>
      </c>
      <c r="AB119" s="129" t="n">
        <v>468</v>
      </c>
      <c r="AH119" s="146" t="n">
        <v>-88.04000000000001</v>
      </c>
      <c r="AI119" s="146" t="n">
        <v>36.57389</v>
      </c>
    </row>
    <row r="120">
      <c r="W120" s="129" t="inlineStr">
        <is>
          <t>Carroll County Airport</t>
        </is>
      </c>
      <c r="X120" s="129" t="inlineStr">
        <is>
          <t>HZD</t>
        </is>
      </c>
      <c r="Y120" s="146" t="n">
        <v>-88.4633</v>
      </c>
      <c r="Z120" s="146" t="n">
        <v>36.0893</v>
      </c>
      <c r="AA120" s="129" t="inlineStr">
        <is>
          <t>West</t>
        </is>
      </c>
      <c r="AB120" s="129" t="n">
        <v>497</v>
      </c>
      <c r="AH120" s="146" t="n">
        <v>-88.07528000000001</v>
      </c>
      <c r="AI120" s="146" t="n">
        <v>36.69055</v>
      </c>
    </row>
    <row r="121">
      <c r="W121" s="129" t="inlineStr">
        <is>
          <t>Charles W. Baker Field</t>
        </is>
      </c>
      <c r="X121" s="129" t="inlineStr">
        <is>
          <t>2M8</t>
        </is>
      </c>
      <c r="Y121" s="146" t="n">
        <v>-89.93300000000001</v>
      </c>
      <c r="Z121" s="146" t="n">
        <v>35.27848</v>
      </c>
      <c r="AA121" s="129" t="inlineStr">
        <is>
          <t>West</t>
        </is>
      </c>
      <c r="AB121" s="129" t="n">
        <v>247</v>
      </c>
      <c r="AH121" s="146" t="n">
        <v>-87.85833</v>
      </c>
      <c r="AI121" s="146" t="n">
        <v>36.67416</v>
      </c>
    </row>
    <row r="122">
      <c r="W122" s="129" t="inlineStr">
        <is>
          <t>Covington Municipal Airport</t>
        </is>
      </c>
      <c r="X122" s="129" t="inlineStr">
        <is>
          <t>M04</t>
        </is>
      </c>
      <c r="Y122" s="146" t="n">
        <v>-89.58723000000001</v>
      </c>
      <c r="Z122" s="146" t="n">
        <v>35.58336</v>
      </c>
      <c r="AA122" s="129" t="inlineStr">
        <is>
          <t>West</t>
        </is>
      </c>
      <c r="AB122" s="129" t="n">
        <v>280</v>
      </c>
      <c r="AH122" s="146" t="n">
        <v>-87.83972</v>
      </c>
      <c r="AI122" s="146" t="n">
        <v>36.63861</v>
      </c>
    </row>
    <row r="123">
      <c r="W123" s="129" t="inlineStr">
        <is>
          <t>Dyersburg Municipal Airport</t>
        </is>
      </c>
      <c r="X123" s="129" t="inlineStr">
        <is>
          <t>DYR</t>
        </is>
      </c>
      <c r="Y123" s="146" t="n">
        <v>-89.40658000000001</v>
      </c>
      <c r="Z123" s="146" t="n">
        <v>35.99797</v>
      </c>
      <c r="AA123" s="129" t="inlineStr">
        <is>
          <t>West</t>
        </is>
      </c>
      <c r="AB123" s="129" t="n">
        <v>338</v>
      </c>
      <c r="AH123" s="146" t="n">
        <v>-87.19056</v>
      </c>
      <c r="AI123" s="146" t="n">
        <v>36.65666</v>
      </c>
    </row>
    <row r="124">
      <c r="W124" s="129" t="inlineStr">
        <is>
          <t>Everett-Stewart Airport</t>
        </is>
      </c>
      <c r="X124" s="129" t="inlineStr">
        <is>
          <t>UCY</t>
        </is>
      </c>
      <c r="Y124" s="146" t="n">
        <v>-88.98569999999999</v>
      </c>
      <c r="Z124" s="146" t="n">
        <v>36.37974</v>
      </c>
      <c r="AA124" s="129" t="inlineStr">
        <is>
          <t>West</t>
        </is>
      </c>
      <c r="AB124" s="129" t="n">
        <v>346</v>
      </c>
      <c r="AH124" s="146" t="n">
        <v>-86.57971999999999</v>
      </c>
      <c r="AI124" s="146" t="n">
        <v>36.65334</v>
      </c>
    </row>
    <row r="125">
      <c r="W125" s="129" t="inlineStr">
        <is>
          <t>Fayette County Airport</t>
        </is>
      </c>
      <c r="X125" s="129" t="inlineStr">
        <is>
          <t>FYE</t>
        </is>
      </c>
      <c r="Y125" s="146" t="n">
        <v>-89.39444</v>
      </c>
      <c r="Z125" s="146" t="n">
        <v>35.20769</v>
      </c>
      <c r="AA125" s="129" t="inlineStr">
        <is>
          <t>West</t>
        </is>
      </c>
      <c r="AB125" s="129" t="n">
        <v>436</v>
      </c>
      <c r="AH125" s="146" t="n">
        <v>-86.57167</v>
      </c>
      <c r="AI125" s="146" t="n">
        <v>36.64</v>
      </c>
    </row>
    <row r="126">
      <c r="W126" s="129" t="inlineStr">
        <is>
          <t>General Dewitt Spain Airport</t>
        </is>
      </c>
      <c r="X126" s="129" t="inlineStr">
        <is>
          <t>M01</t>
        </is>
      </c>
      <c r="Y126" s="146" t="n">
        <v>-90.05397000000001</v>
      </c>
      <c r="Z126" s="146" t="n">
        <v>35.20069</v>
      </c>
      <c r="AA126" s="129" t="inlineStr">
        <is>
          <t>West</t>
        </is>
      </c>
      <c r="AB126" s="129" t="n">
        <v>225</v>
      </c>
      <c r="AH126" s="146" t="n">
        <v>-86.52361000000001</v>
      </c>
      <c r="AI126" s="146" t="n">
        <v>36.665</v>
      </c>
    </row>
    <row r="127">
      <c r="W127" s="129" t="inlineStr">
        <is>
          <t>Gibson County Airport</t>
        </is>
      </c>
      <c r="X127" s="129" t="inlineStr">
        <is>
          <t>TGC</t>
        </is>
      </c>
      <c r="Y127" s="146" t="n">
        <v>-88.84894</v>
      </c>
      <c r="Z127" s="146" t="n">
        <v>35.93245</v>
      </c>
      <c r="AA127" s="129" t="inlineStr">
        <is>
          <t>West</t>
        </is>
      </c>
      <c r="AB127" s="129" t="n">
        <v>358</v>
      </c>
      <c r="AH127" s="146" t="n">
        <v>-85.95944</v>
      </c>
      <c r="AI127" s="146" t="n">
        <v>36.63639</v>
      </c>
    </row>
    <row r="128">
      <c r="W128" s="129" t="inlineStr">
        <is>
          <t>Henry County Airport</t>
        </is>
      </c>
      <c r="X128" s="129" t="inlineStr">
        <is>
          <t>PHT</t>
        </is>
      </c>
      <c r="Y128" s="146" t="n">
        <v>-88.38444</v>
      </c>
      <c r="Z128" s="146" t="n">
        <v>36.33595</v>
      </c>
      <c r="AA128" s="129" t="inlineStr">
        <is>
          <t>West</t>
        </is>
      </c>
      <c r="AB128" s="129" t="n">
        <v>580</v>
      </c>
      <c r="AH128" s="146" t="n">
        <v>-85.50945</v>
      </c>
      <c r="AI128" s="146" t="n">
        <v>36.62389</v>
      </c>
    </row>
    <row r="129">
      <c r="W129" s="129" t="inlineStr">
        <is>
          <t>Humboldt Municipal Airport</t>
        </is>
      </c>
      <c r="X129" s="129" t="inlineStr">
        <is>
          <t>M53</t>
        </is>
      </c>
      <c r="Y129" s="146" t="n">
        <v>-88.87493000000001</v>
      </c>
      <c r="Z129" s="146" t="n">
        <v>35.80218</v>
      </c>
      <c r="AA129" s="129" t="inlineStr">
        <is>
          <t>West</t>
        </is>
      </c>
      <c r="AB129" s="129" t="n">
        <v>421</v>
      </c>
      <c r="AH129" s="146" t="n">
        <v>-85.15472</v>
      </c>
      <c r="AI129" s="146" t="n">
        <v>36.63528</v>
      </c>
    </row>
    <row r="130">
      <c r="W130" s="129" t="inlineStr">
        <is>
          <t>McKellar-Sipes Regional Airport</t>
        </is>
      </c>
      <c r="X130" s="129" t="inlineStr">
        <is>
          <t>MKL</t>
        </is>
      </c>
      <c r="Y130" s="146" t="n">
        <v>-88.91561</v>
      </c>
      <c r="Z130" s="146" t="n">
        <v>35.59988</v>
      </c>
      <c r="AA130" s="129" t="inlineStr">
        <is>
          <t>West</t>
        </is>
      </c>
      <c r="AB130" s="129" t="n">
        <v>435</v>
      </c>
      <c r="AH130" s="146" t="n">
        <v>-83.71222</v>
      </c>
      <c r="AI130" s="146" t="n">
        <v>36.5825</v>
      </c>
    </row>
    <row r="131">
      <c r="W131" s="129" t="inlineStr">
        <is>
          <t>Memphis International Airport</t>
        </is>
      </c>
      <c r="X131" s="129" t="inlineStr">
        <is>
          <t>MEM</t>
        </is>
      </c>
      <c r="Y131" s="146" t="n">
        <v>-89.97668</v>
      </c>
      <c r="Z131" s="146" t="n">
        <v>35.04241</v>
      </c>
      <c r="AA131" s="129" t="inlineStr">
        <is>
          <t>West</t>
        </is>
      </c>
      <c r="AB131" s="129" t="n">
        <v>341</v>
      </c>
      <c r="AH131" s="146" t="n">
        <v>-83.68111</v>
      </c>
      <c r="AI131" s="146" t="n">
        <v>36.60445</v>
      </c>
    </row>
    <row r="132">
      <c r="W132" s="129" t="inlineStr">
        <is>
          <t>Millington Regional Jetport</t>
        </is>
      </c>
      <c r="X132" s="129" t="inlineStr">
        <is>
          <t>NQA</t>
        </is>
      </c>
      <c r="Y132" s="146" t="n">
        <v>-89.87043</v>
      </c>
      <c r="Z132" s="146" t="n">
        <v>35.35664</v>
      </c>
      <c r="AA132" s="129" t="inlineStr">
        <is>
          <t>West</t>
        </is>
      </c>
      <c r="AB132" s="129" t="n">
        <v>322</v>
      </c>
      <c r="AH132" s="146" t="n">
        <v>-81.9525</v>
      </c>
      <c r="AI132" s="146" t="n">
        <v>36.59694</v>
      </c>
    </row>
    <row r="133">
      <c r="W133" s="129" t="inlineStr">
        <is>
          <t>Reelfoot Lake Airport</t>
        </is>
      </c>
      <c r="X133" s="129" t="inlineStr">
        <is>
          <t>0M2</t>
        </is>
      </c>
      <c r="Y133" s="146" t="n">
        <v>-89.34631</v>
      </c>
      <c r="Z133" s="146" t="n">
        <v>36.47533</v>
      </c>
      <c r="AA133" s="129" t="inlineStr">
        <is>
          <t>West</t>
        </is>
      </c>
      <c r="AB133" s="129" t="n">
        <v>289</v>
      </c>
      <c r="AH133" s="146" t="n">
        <v>-81.92278</v>
      </c>
      <c r="AI133" s="146" t="n">
        <v>36.61806</v>
      </c>
    </row>
    <row r="134">
      <c r="W134" s="129" t="inlineStr">
        <is>
          <t>Robert Sibley Airport</t>
        </is>
      </c>
      <c r="X134" s="129" t="inlineStr">
        <is>
          <t>SZY</t>
        </is>
      </c>
      <c r="Y134" s="146" t="n">
        <v>-88.49836000000001</v>
      </c>
      <c r="Z134" s="146" t="n">
        <v>35.20294</v>
      </c>
      <c r="AA134" s="129" t="inlineStr">
        <is>
          <t>West</t>
        </is>
      </c>
      <c r="AB134" s="129" t="n">
        <v>610</v>
      </c>
      <c r="AH134" s="146" t="n">
        <v>-81.65722</v>
      </c>
      <c r="AI134" s="146" t="n">
        <v>36.61139</v>
      </c>
    </row>
    <row r="135">
      <c r="W135" s="129" t="inlineStr">
        <is>
          <t>Savannah-Hardin County Airport</t>
        </is>
      </c>
      <c r="X135" s="129" t="inlineStr">
        <is>
          <t>SNH</t>
        </is>
      </c>
      <c r="Y135" s="146" t="n">
        <v>-88.21673</v>
      </c>
      <c r="Z135" s="146" t="n">
        <v>35.17025</v>
      </c>
      <c r="AA135" s="129" t="inlineStr">
        <is>
          <t>West</t>
        </is>
      </c>
      <c r="AB135" s="129" t="n">
        <v>473</v>
      </c>
      <c r="AH135" s="146" t="n">
        <v>-81.65083</v>
      </c>
      <c r="AI135" s="146" t="n">
        <v>36.59444</v>
      </c>
    </row>
    <row r="136">
      <c r="W136" s="129" t="inlineStr">
        <is>
          <t>William L. Whitehurst Field</t>
        </is>
      </c>
      <c r="X136" s="129" t="inlineStr">
        <is>
          <t>M08</t>
        </is>
      </c>
      <c r="Y136" s="146" t="n">
        <v>-89.04325</v>
      </c>
      <c r="Z136" s="146" t="n">
        <v>35.21514</v>
      </c>
      <c r="AA136" s="129" t="inlineStr">
        <is>
          <t>West</t>
        </is>
      </c>
      <c r="AB136" s="129" t="n">
        <v>499</v>
      </c>
      <c r="AH136" s="146" t="n">
        <v>-81.6109</v>
      </c>
      <c r="AI136" s="146" t="n">
        <v>36.59208</v>
      </c>
    </row>
    <row r="137">
      <c r="W137" s="129" t="inlineStr">
        <is>
          <t>Wolf River</t>
        </is>
      </c>
      <c r="X137" s="129" t="inlineStr">
        <is>
          <t>54M</t>
        </is>
      </c>
      <c r="Y137" s="146" t="n"/>
      <c r="Z137" s="146" t="n"/>
      <c r="AA137" s="129" t="inlineStr">
        <is>
          <t>West</t>
        </is>
      </c>
      <c r="AB137" s="129" t="n"/>
    </row>
    <row r="138">
      <c r="W138" s="129" t="inlineStr">
        <is>
          <t>Abernathy Field</t>
        </is>
      </c>
      <c r="X138" s="129" t="inlineStr">
        <is>
          <t>GZS</t>
        </is>
      </c>
      <c r="Y138" s="146" t="n">
        <v>-87.05706000000001</v>
      </c>
      <c r="Z138" s="146" t="n">
        <v>35.15408</v>
      </c>
      <c r="AA138" s="129" t="inlineStr">
        <is>
          <t>Middle</t>
        </is>
      </c>
      <c r="AB138" s="129" t="n">
        <v>689</v>
      </c>
      <c r="AH138" s="146" t="n">
        <v>-89.175</v>
      </c>
      <c r="AI138" s="146" t="n">
        <v>36.66888</v>
      </c>
    </row>
    <row r="139">
      <c r="W139" s="129" t="inlineStr">
        <is>
          <t>Bomar Field-Shelbyville Municipal Airport</t>
        </is>
      </c>
      <c r="X139" s="129" t="inlineStr">
        <is>
          <t>SYI</t>
        </is>
      </c>
      <c r="Y139" s="146" t="n">
        <v>-86.44247</v>
      </c>
      <c r="Z139" s="146" t="n">
        <v>35.5594</v>
      </c>
      <c r="AA139" s="129" t="inlineStr">
        <is>
          <t>Middle</t>
        </is>
      </c>
      <c r="AB139" s="129" t="n">
        <v>800</v>
      </c>
      <c r="AH139" s="146" t="n">
        <v>-89.22278</v>
      </c>
      <c r="AI139" s="146" t="n">
        <v>36.57667</v>
      </c>
    </row>
    <row r="140">
      <c r="W140" s="129" t="inlineStr">
        <is>
          <t>Centerville Municipal Airport</t>
        </is>
      </c>
      <c r="X140" s="129" t="inlineStr">
        <is>
          <t>GHM</t>
        </is>
      </c>
      <c r="Y140" s="146" t="n">
        <v>-87.44538</v>
      </c>
      <c r="Z140" s="146" t="n">
        <v>35.83742</v>
      </c>
      <c r="AA140" s="129" t="inlineStr">
        <is>
          <t>Middle</t>
        </is>
      </c>
      <c r="AB140" s="129" t="n">
        <v>765</v>
      </c>
      <c r="AH140" s="146" t="n">
        <v>-89.27</v>
      </c>
      <c r="AI140" s="146" t="n">
        <v>36.56861</v>
      </c>
    </row>
    <row r="141">
      <c r="W141" s="129" t="inlineStr">
        <is>
          <t>Dickson Municipal Airport</t>
        </is>
      </c>
      <c r="X141" s="129" t="inlineStr">
        <is>
          <t>M02</t>
        </is>
      </c>
      <c r="Y141" s="146" t="n">
        <v>-87.42984</v>
      </c>
      <c r="Z141" s="146" t="n">
        <v>36.12796</v>
      </c>
      <c r="AA141" s="129" t="inlineStr">
        <is>
          <t>Middle</t>
        </is>
      </c>
      <c r="AB141" s="129" t="n">
        <v>892</v>
      </c>
      <c r="AH141" s="146" t="n">
        <v>-89.33889000000001</v>
      </c>
      <c r="AI141" s="146" t="n">
        <v>36.62556</v>
      </c>
    </row>
    <row r="142">
      <c r="W142" s="129" t="inlineStr">
        <is>
          <t>Ellington Airport</t>
        </is>
      </c>
      <c r="X142" s="129" t="inlineStr">
        <is>
          <t>LUG</t>
        </is>
      </c>
      <c r="Y142" s="146" t="n">
        <v>-86.80389</v>
      </c>
      <c r="Z142" s="146" t="n">
        <v>35.50697</v>
      </c>
      <c r="AA142" s="129" t="inlineStr">
        <is>
          <t>Middle</t>
        </is>
      </c>
      <c r="AB142" s="129" t="n">
        <v>718</v>
      </c>
      <c r="AH142" s="146" t="n">
        <v>-89.37222</v>
      </c>
      <c r="AI142" s="146" t="n">
        <v>36.62778</v>
      </c>
    </row>
    <row r="143">
      <c r="W143" s="129" t="inlineStr">
        <is>
          <t>Fayetteville Municipal Airport</t>
        </is>
      </c>
      <c r="X143" s="129" t="inlineStr">
        <is>
          <t>FYM</t>
        </is>
      </c>
      <c r="Y143" s="146" t="n">
        <v>-86.56399999999999</v>
      </c>
      <c r="Z143" s="146" t="n">
        <v>35.05969</v>
      </c>
      <c r="AA143" s="129" t="inlineStr">
        <is>
          <t>Middle</t>
        </is>
      </c>
      <c r="AB143" s="129" t="n">
        <v>984</v>
      </c>
      <c r="AH143" s="146" t="n">
        <v>-89.42639</v>
      </c>
      <c r="AI143" s="146" t="n">
        <v>36.49695</v>
      </c>
    </row>
    <row r="144">
      <c r="W144" s="129" t="inlineStr">
        <is>
          <t>Franklin County Airport</t>
        </is>
      </c>
      <c r="X144" s="129" t="inlineStr">
        <is>
          <t>UOS</t>
        </is>
      </c>
      <c r="Y144" s="146" t="n">
        <v>-85.89815</v>
      </c>
      <c r="Z144" s="146" t="n">
        <v>35.20515</v>
      </c>
      <c r="AA144" s="129" t="inlineStr">
        <is>
          <t>Middle</t>
        </is>
      </c>
      <c r="AB144" s="129" t="n">
        <v>1953</v>
      </c>
      <c r="AH144" s="146" t="n">
        <v>-89.48583000000001</v>
      </c>
      <c r="AI144" s="146" t="n">
        <v>36.44833</v>
      </c>
    </row>
    <row r="145">
      <c r="W145" s="129" t="inlineStr">
        <is>
          <t>Hassell-Carroll Field</t>
        </is>
      </c>
      <c r="X145" s="129" t="inlineStr">
        <is>
          <t>M29</t>
        </is>
      </c>
      <c r="Y145" s="146" t="n">
        <v>-87.96827</v>
      </c>
      <c r="Z145" s="146" t="n">
        <v>35.38303</v>
      </c>
      <c r="AA145" s="129" t="inlineStr">
        <is>
          <t>Middle</t>
        </is>
      </c>
      <c r="AB145" s="129" t="n">
        <v>407</v>
      </c>
      <c r="AH145" s="146" t="n">
        <v>-89.50776999999999</v>
      </c>
      <c r="AI145" s="146" t="n">
        <v>36.45639</v>
      </c>
    </row>
    <row r="146">
      <c r="W146" s="129" t="inlineStr">
        <is>
          <t>Houston County Airport</t>
        </is>
      </c>
      <c r="X146" s="129" t="inlineStr">
        <is>
          <t>M93</t>
        </is>
      </c>
      <c r="Y146" s="146" t="n">
        <v>-87.91670000000001</v>
      </c>
      <c r="Z146" s="146" t="n">
        <v>36.31672</v>
      </c>
      <c r="AA146" s="129" t="inlineStr">
        <is>
          <t>Middle</t>
        </is>
      </c>
      <c r="AB146" s="129" t="n">
        <v>370</v>
      </c>
      <c r="AH146" s="146" t="n">
        <v>-89.48889</v>
      </c>
      <c r="AI146" s="146" t="n">
        <v>36.51889</v>
      </c>
    </row>
    <row r="147">
      <c r="W147" s="129" t="inlineStr">
        <is>
          <t>Humphreys County Airport</t>
        </is>
      </c>
      <c r="X147" s="129" t="inlineStr">
        <is>
          <t>0M5</t>
        </is>
      </c>
      <c r="Y147" s="146" t="n">
        <v>-87.73817</v>
      </c>
      <c r="Z147" s="146" t="n">
        <v>36.11661</v>
      </c>
      <c r="AA147" s="129" t="inlineStr">
        <is>
          <t>Middle</t>
        </is>
      </c>
      <c r="AB147" s="129" t="n">
        <v>756</v>
      </c>
      <c r="AH147" s="146" t="n">
        <v>-89.50417</v>
      </c>
      <c r="AI147" s="146" t="n">
        <v>36.55667</v>
      </c>
    </row>
    <row r="148">
      <c r="W148" s="129" t="inlineStr">
        <is>
          <t>Jackson County Airport</t>
        </is>
      </c>
      <c r="X148" s="129" t="inlineStr">
        <is>
          <t>1A7</t>
        </is>
      </c>
      <c r="Y148" s="146" t="n">
        <v>-85.64131999999999</v>
      </c>
      <c r="Z148" s="146" t="n">
        <v>36.39682</v>
      </c>
      <c r="AA148" s="129" t="inlineStr">
        <is>
          <t>Middle</t>
        </is>
      </c>
      <c r="AB148" s="129" t="n">
        <v>517</v>
      </c>
      <c r="AH148" s="146" t="n">
        <v>-89.54611</v>
      </c>
      <c r="AI148" s="146" t="n">
        <v>36.56639</v>
      </c>
    </row>
    <row r="149">
      <c r="W149" s="129" t="inlineStr">
        <is>
          <t>James Tucker-Perry County Airport</t>
        </is>
      </c>
      <c r="X149" s="129" t="inlineStr">
        <is>
          <t>M15</t>
        </is>
      </c>
      <c r="Y149" s="146" t="n">
        <v>-87.87663000000001</v>
      </c>
      <c r="Z149" s="146" t="n">
        <v>35.59484</v>
      </c>
      <c r="AA149" s="129" t="inlineStr">
        <is>
          <t>Middle</t>
        </is>
      </c>
      <c r="AB149" s="129" t="n">
        <v>740</v>
      </c>
      <c r="AH149" s="146" t="n">
        <v>-89.57528000000001</v>
      </c>
      <c r="AI149" s="146" t="n">
        <v>36.54445</v>
      </c>
    </row>
    <row r="150">
      <c r="W150" s="129" t="inlineStr">
        <is>
          <t>Jamestown Municipal Airport</t>
        </is>
      </c>
      <c r="X150" s="129" t="inlineStr">
        <is>
          <t>2A1</t>
        </is>
      </c>
      <c r="Y150" s="146" t="n">
        <v>-84.94665000000001</v>
      </c>
      <c r="Z150" s="146" t="n">
        <v>36.3497</v>
      </c>
      <c r="AA150" s="129" t="inlineStr">
        <is>
          <t>Middle</t>
        </is>
      </c>
      <c r="AB150" s="129" t="n">
        <v>1694</v>
      </c>
      <c r="AH150" s="146" t="n">
        <v>-89.57611</v>
      </c>
      <c r="AI150" s="146" t="n">
        <v>36.51778</v>
      </c>
    </row>
    <row r="151">
      <c r="W151" s="129" t="inlineStr">
        <is>
          <t>John A. Baker Field</t>
        </is>
      </c>
      <c r="X151" s="129" t="inlineStr">
        <is>
          <t>0M3</t>
        </is>
      </c>
      <c r="Y151" s="146" t="n">
        <v>-87.59732</v>
      </c>
      <c r="Z151" s="146" t="n">
        <v>35.54597</v>
      </c>
      <c r="AA151" s="129" t="inlineStr">
        <is>
          <t>Middle</t>
        </is>
      </c>
      <c r="AB151" s="129" t="n">
        <v>972</v>
      </c>
      <c r="AH151" s="146" t="n">
        <v>-89.54361</v>
      </c>
      <c r="AI151" s="146" t="n">
        <v>36.47945</v>
      </c>
    </row>
    <row r="152">
      <c r="W152" s="129" t="inlineStr">
        <is>
          <t>John C. Tune Airport</t>
        </is>
      </c>
      <c r="X152" s="129" t="inlineStr">
        <is>
          <t>JWN</t>
        </is>
      </c>
      <c r="Y152" s="146" t="n">
        <v>-86.88648999999999</v>
      </c>
      <c r="Z152" s="146" t="n">
        <v>36.18302</v>
      </c>
      <c r="AA152" s="129" t="inlineStr">
        <is>
          <t>Middle</t>
        </is>
      </c>
      <c r="AB152" s="129" t="n">
        <v>501</v>
      </c>
      <c r="AH152" s="146" t="n">
        <v>-89.55695</v>
      </c>
      <c r="AI152" s="146" t="n">
        <v>36.45167</v>
      </c>
    </row>
    <row r="153">
      <c r="W153" s="129" t="inlineStr">
        <is>
          <t>Lafayette Municipal Airport</t>
        </is>
      </c>
      <c r="X153" s="129" t="inlineStr">
        <is>
          <t>3M7</t>
        </is>
      </c>
      <c r="Y153" s="146" t="n">
        <v>-86.05806</v>
      </c>
      <c r="Z153" s="146" t="n">
        <v>36.52003</v>
      </c>
      <c r="AA153" s="129" t="inlineStr">
        <is>
          <t>Middle</t>
        </is>
      </c>
      <c r="AB153" s="129" t="n">
        <v>969</v>
      </c>
      <c r="AH153" s="146" t="n">
        <v>-89.52778000000001</v>
      </c>
      <c r="AI153" s="146" t="n">
        <v>36.37527</v>
      </c>
    </row>
    <row r="154">
      <c r="W154" s="129" t="inlineStr">
        <is>
          <t>Lawrenceburg-Lawrence County Airport</t>
        </is>
      </c>
      <c r="X154" s="129" t="inlineStr">
        <is>
          <t>2M2</t>
        </is>
      </c>
      <c r="Y154" s="146" t="n">
        <v>-87.25794</v>
      </c>
      <c r="Z154" s="146" t="n">
        <v>35.2343</v>
      </c>
      <c r="AA154" s="129" t="inlineStr">
        <is>
          <t>Middle</t>
        </is>
      </c>
      <c r="AB154" s="129" t="n">
        <v>936</v>
      </c>
      <c r="AH154" s="146" t="n">
        <v>-89.55417</v>
      </c>
      <c r="AI154" s="146" t="n">
        <v>36.34889</v>
      </c>
    </row>
    <row r="155">
      <c r="W155" s="129" t="inlineStr">
        <is>
          <t>Lebanon Municipal Airport</t>
        </is>
      </c>
      <c r="X155" s="129" t="inlineStr">
        <is>
          <t>M54</t>
        </is>
      </c>
      <c r="Y155" s="146" t="n">
        <v>-86.31569</v>
      </c>
      <c r="Z155" s="146" t="n">
        <v>36.19041</v>
      </c>
      <c r="AA155" s="129" t="inlineStr">
        <is>
          <t>Middle</t>
        </is>
      </c>
      <c r="AB155" s="129" t="n">
        <v>588</v>
      </c>
      <c r="AH155" s="146" t="n">
        <v>-89.61583</v>
      </c>
      <c r="AI155" s="146" t="n">
        <v>36.34473</v>
      </c>
    </row>
    <row r="156">
      <c r="W156" s="129" t="inlineStr">
        <is>
          <t>Livingston Municipal Airport</t>
        </is>
      </c>
      <c r="X156" s="129" t="inlineStr">
        <is>
          <t>8A3</t>
        </is>
      </c>
      <c r="Y156" s="146" t="n">
        <v>-85.31046000000001</v>
      </c>
      <c r="Z156" s="146" t="n">
        <v>36.4135</v>
      </c>
      <c r="AA156" s="129" t="inlineStr">
        <is>
          <t>Middle</t>
        </is>
      </c>
      <c r="AB156" s="129" t="n">
        <v>1372</v>
      </c>
      <c r="AH156" s="146" t="n">
        <v>-89.62917</v>
      </c>
      <c r="AI156" s="146" t="n">
        <v>36.31694</v>
      </c>
    </row>
    <row r="157">
      <c r="W157" s="129" t="inlineStr">
        <is>
          <t>Maury County Airport</t>
        </is>
      </c>
      <c r="X157" s="129" t="inlineStr">
        <is>
          <t>MRC</t>
        </is>
      </c>
      <c r="Y157" s="146" t="n">
        <v>-87.17914</v>
      </c>
      <c r="Z157" s="146" t="n">
        <v>35.55434</v>
      </c>
      <c r="AA157" s="129" t="inlineStr">
        <is>
          <t>Middle</t>
        </is>
      </c>
      <c r="AB157" s="129" t="n">
        <v>681</v>
      </c>
      <c r="AH157" s="146" t="n">
        <v>-89.55889000000001</v>
      </c>
      <c r="AI157" s="146" t="n">
        <v>36.26584</v>
      </c>
    </row>
    <row r="158">
      <c r="W158" s="129" t="inlineStr">
        <is>
          <t>Murfreesboro Municipal Airport</t>
        </is>
      </c>
      <c r="X158" s="129" t="inlineStr">
        <is>
          <t>MBT</t>
        </is>
      </c>
      <c r="Y158" s="146" t="n">
        <v>-86.37747</v>
      </c>
      <c r="Z158" s="146" t="n">
        <v>35.87865</v>
      </c>
      <c r="AA158" s="129" t="inlineStr">
        <is>
          <t>Middle</t>
        </is>
      </c>
      <c r="AB158" s="129" t="n">
        <v>614</v>
      </c>
      <c r="AH158" s="146" t="n">
        <v>-89.58334000000001</v>
      </c>
      <c r="AI158" s="146" t="n">
        <v>36.25</v>
      </c>
    </row>
    <row r="159">
      <c r="W159" s="129" t="inlineStr">
        <is>
          <t>Music City Executive Airport</t>
        </is>
      </c>
      <c r="X159" s="129" t="inlineStr">
        <is>
          <t>XNX</t>
        </is>
      </c>
      <c r="Y159" s="146" t="n">
        <v>-86.40841</v>
      </c>
      <c r="Z159" s="146" t="n">
        <v>36.37508</v>
      </c>
      <c r="AA159" s="129" t="inlineStr">
        <is>
          <t>Middle</t>
        </is>
      </c>
      <c r="AB159" s="129" t="n">
        <v>583</v>
      </c>
      <c r="AH159" s="146" t="n">
        <v>-89.69110999999999</v>
      </c>
      <c r="AI159" s="146" t="n">
        <v>36.24111</v>
      </c>
    </row>
    <row r="160">
      <c r="W160" s="129" t="inlineStr">
        <is>
          <t>Nashville International Airport</t>
        </is>
      </c>
      <c r="X160" s="129" t="inlineStr">
        <is>
          <t>BNA</t>
        </is>
      </c>
      <c r="Y160" s="146" t="n">
        <v>-86.67818</v>
      </c>
      <c r="Z160" s="146" t="n">
        <v>36.12447</v>
      </c>
      <c r="AA160" s="129" t="inlineStr">
        <is>
          <t>Middle</t>
        </is>
      </c>
      <c r="AB160" s="129" t="n">
        <v>599</v>
      </c>
      <c r="AH160" s="146" t="n">
        <v>-89.60722</v>
      </c>
      <c r="AI160" s="146" t="n">
        <v>36.13306</v>
      </c>
    </row>
    <row r="161">
      <c r="W161" s="129" t="inlineStr">
        <is>
          <t>Outlaw Field</t>
        </is>
      </c>
      <c r="X161" s="129" t="inlineStr">
        <is>
          <t>CKV</t>
        </is>
      </c>
      <c r="Y161" s="146" t="n">
        <v>-87.41495</v>
      </c>
      <c r="Z161" s="146" t="n">
        <v>36.62186</v>
      </c>
      <c r="AA161" s="129" t="inlineStr">
        <is>
          <t>Middle</t>
        </is>
      </c>
      <c r="AB161" s="129" t="n">
        <v>550</v>
      </c>
      <c r="AH161" s="146" t="n">
        <v>-89.67416</v>
      </c>
      <c r="AI161" s="146" t="n">
        <v>36.09583</v>
      </c>
    </row>
    <row r="162">
      <c r="W162" s="129" t="inlineStr">
        <is>
          <t>Portland Municipal Airport</t>
        </is>
      </c>
      <c r="X162" s="129" t="inlineStr">
        <is>
          <t>1M5</t>
        </is>
      </c>
      <c r="Y162" s="146" t="n">
        <v>-86.47691</v>
      </c>
      <c r="Z162" s="146" t="n">
        <v>36.59287</v>
      </c>
      <c r="AA162" s="129" t="inlineStr">
        <is>
          <t>Middle</t>
        </is>
      </c>
      <c r="AB162" s="129" t="n">
        <v>818</v>
      </c>
      <c r="AH162" s="146" t="n">
        <v>-89.73083</v>
      </c>
      <c r="AI162" s="146" t="n">
        <v>36.00222</v>
      </c>
    </row>
    <row r="163">
      <c r="W163" s="129" t="inlineStr">
        <is>
          <t>Puckett Airport</t>
        </is>
      </c>
      <c r="X163" s="129" t="inlineStr">
        <is>
          <t>50M</t>
        </is>
      </c>
      <c r="Y163" s="146" t="n"/>
      <c r="Z163" s="146" t="n"/>
      <c r="AA163" s="129" t="inlineStr">
        <is>
          <t>Middle</t>
        </is>
      </c>
      <c r="AB163" s="129" t="n"/>
      <c r="AH163" s="146" t="n">
        <v>-89.66444</v>
      </c>
      <c r="AI163" s="146" t="n">
        <v>35.89778</v>
      </c>
    </row>
    <row r="164">
      <c r="W164" s="129" t="inlineStr">
        <is>
          <t>Smithville Municipal Airport</t>
        </is>
      </c>
      <c r="X164" s="129" t="inlineStr">
        <is>
          <t>0A3</t>
        </is>
      </c>
      <c r="Y164" s="146" t="n">
        <v>-85.80911</v>
      </c>
      <c r="Z164" s="146" t="n">
        <v>35.98544</v>
      </c>
      <c r="AA164" s="129" t="inlineStr">
        <is>
          <t>Middle</t>
        </is>
      </c>
      <c r="AB164" s="129" t="n">
        <v>1084</v>
      </c>
      <c r="AH164" s="146" t="n">
        <v>-89.74889</v>
      </c>
      <c r="AI164" s="146" t="n">
        <v>35.91055</v>
      </c>
    </row>
    <row r="165">
      <c r="W165" s="129" t="inlineStr">
        <is>
          <t>Smyrna Airport</t>
        </is>
      </c>
      <c r="X165" s="129" t="inlineStr">
        <is>
          <t>MQY</t>
        </is>
      </c>
      <c r="Y165" s="146" t="n">
        <v>-86.52009</v>
      </c>
      <c r="Z165" s="146" t="n">
        <v>36.00897</v>
      </c>
      <c r="AA165" s="129" t="inlineStr">
        <is>
          <t>Middle</t>
        </is>
      </c>
      <c r="AB165" s="129" t="n">
        <v>543</v>
      </c>
      <c r="AH165" s="146" t="n">
        <v>-89.78111</v>
      </c>
      <c r="AI165" s="146" t="n">
        <v>35.87917</v>
      </c>
    </row>
    <row r="166">
      <c r="W166" s="129" t="inlineStr">
        <is>
          <t>Springfield-Robertson County Airport</t>
        </is>
      </c>
      <c r="X166" s="129" t="inlineStr">
        <is>
          <t>M91</t>
        </is>
      </c>
      <c r="Y166" s="146" t="n">
        <v>-86.92117</v>
      </c>
      <c r="Z166" s="146" t="n">
        <v>36.53669</v>
      </c>
      <c r="AA166" s="129" t="inlineStr">
        <is>
          <t>Middle</t>
        </is>
      </c>
      <c r="AB166" s="129" t="n">
        <v>706</v>
      </c>
      <c r="AH166" s="146" t="n">
        <v>-89.72638999999999</v>
      </c>
      <c r="AI166" s="146" t="n">
        <v>35.85056</v>
      </c>
    </row>
    <row r="167">
      <c r="W167" s="129" t="inlineStr">
        <is>
          <t>Tullahoma Regional Airport/Northern Field</t>
        </is>
      </c>
      <c r="X167" s="129" t="inlineStr">
        <is>
          <t>THA</t>
        </is>
      </c>
      <c r="Y167" s="146" t="n">
        <v>-86.24678</v>
      </c>
      <c r="Z167" s="146" t="n">
        <v>35.38012</v>
      </c>
      <c r="AA167" s="129" t="inlineStr">
        <is>
          <t>Middle</t>
        </is>
      </c>
      <c r="AB167" s="129" t="n">
        <v>1084</v>
      </c>
      <c r="AH167" s="146" t="n">
        <v>-89.72915999999999</v>
      </c>
      <c r="AI167" s="146" t="n">
        <v>35.82278</v>
      </c>
    </row>
    <row r="168">
      <c r="W168" s="129" t="inlineStr">
        <is>
          <t>Upper Cumberland Regional Airport</t>
        </is>
      </c>
      <c r="X168" s="129" t="inlineStr">
        <is>
          <t>SRB</t>
        </is>
      </c>
      <c r="Y168" s="146" t="n">
        <v>-85.53010999999999</v>
      </c>
      <c r="Z168" s="146" t="n">
        <v>36.05674</v>
      </c>
      <c r="AA168" s="129" t="inlineStr">
        <is>
          <t>Middle</t>
        </is>
      </c>
      <c r="AB168" s="129" t="n">
        <v>1025</v>
      </c>
      <c r="AH168" s="146" t="n">
        <v>-89.79528000000001</v>
      </c>
      <c r="AI168" s="146" t="n">
        <v>35.81055</v>
      </c>
    </row>
    <row r="169">
      <c r="W169" s="129" t="inlineStr">
        <is>
          <t>Warren County Memorial Airport</t>
        </is>
      </c>
      <c r="X169" s="129" t="inlineStr">
        <is>
          <t>RNC</t>
        </is>
      </c>
      <c r="Y169" s="146" t="n">
        <v>-85.84381999999999</v>
      </c>
      <c r="Z169" s="146" t="n">
        <v>35.6987</v>
      </c>
      <c r="AA169" s="129" t="inlineStr">
        <is>
          <t>Middle</t>
        </is>
      </c>
      <c r="AB169" s="129" t="n">
        <v>1032</v>
      </c>
      <c r="AH169" s="146" t="n">
        <v>-89.80944</v>
      </c>
      <c r="AI169" s="146" t="n">
        <v>35.77417</v>
      </c>
    </row>
    <row r="170">
      <c r="W170" s="129" t="inlineStr">
        <is>
          <t>Winchester Municipal Airport</t>
        </is>
      </c>
      <c r="X170" s="129" t="inlineStr">
        <is>
          <t>BGF</t>
        </is>
      </c>
      <c r="Y170" s="146" t="n">
        <v>-86.06617</v>
      </c>
      <c r="Z170" s="146" t="n">
        <v>35.17753</v>
      </c>
      <c r="AA170" s="129" t="inlineStr">
        <is>
          <t>Middle</t>
        </is>
      </c>
      <c r="AB170" s="129" t="n">
        <v>979</v>
      </c>
      <c r="AH170" s="146" t="n">
        <v>-89.83694</v>
      </c>
      <c r="AI170" s="146" t="n">
        <v>35.75999</v>
      </c>
    </row>
    <row r="171">
      <c r="W171" s="129" t="inlineStr">
        <is>
          <t>Chilhowee Gliderport</t>
        </is>
      </c>
      <c r="X171" s="129" t="inlineStr">
        <is>
          <t>92A</t>
        </is>
      </c>
      <c r="Y171" s="146" t="n"/>
      <c r="Z171" s="146" t="n"/>
      <c r="AA171" s="129" t="inlineStr">
        <is>
          <t>East</t>
        </is>
      </c>
      <c r="AB171" s="129" t="n"/>
      <c r="AH171" s="146" t="n">
        <v>-89.95944</v>
      </c>
      <c r="AI171" s="146" t="n">
        <v>35.73833</v>
      </c>
    </row>
    <row r="172">
      <c r="W172" s="129" t="inlineStr">
        <is>
          <t>Cleveland Regional Jetport</t>
        </is>
      </c>
      <c r="X172" s="129" t="inlineStr">
        <is>
          <t>RZR</t>
        </is>
      </c>
      <c r="Y172" s="146" t="n">
        <v>-84.7992</v>
      </c>
      <c r="Z172" s="146" t="n">
        <v>35.21234</v>
      </c>
      <c r="AA172" s="129" t="inlineStr">
        <is>
          <t>East</t>
        </is>
      </c>
      <c r="AB172" s="129" t="n">
        <v>866</v>
      </c>
      <c r="AH172" s="146" t="n">
        <v>-89.96111000000001</v>
      </c>
      <c r="AI172" s="146" t="n">
        <v>35.71389</v>
      </c>
    </row>
    <row r="173">
      <c r="W173" s="129" t="inlineStr">
        <is>
          <t>Collegedale Municipal Airport</t>
        </is>
      </c>
      <c r="X173" s="129" t="inlineStr">
        <is>
          <t>FGU</t>
        </is>
      </c>
      <c r="Y173" s="146" t="n">
        <v>-85.02007</v>
      </c>
      <c r="Z173" s="146" t="n">
        <v>35.04442</v>
      </c>
      <c r="AA173" s="129" t="inlineStr">
        <is>
          <t>East</t>
        </is>
      </c>
      <c r="AB173" s="129" t="n">
        <v>860</v>
      </c>
      <c r="AH173" s="146" t="n">
        <v>-89.91639000000001</v>
      </c>
      <c r="AI173" s="146" t="n">
        <v>35.65944</v>
      </c>
    </row>
    <row r="174">
      <c r="W174" s="129" t="inlineStr">
        <is>
          <t>Colonel Tommy C. Stiner-Campbell County Airport</t>
        </is>
      </c>
      <c r="X174" s="129" t="inlineStr">
        <is>
          <t>JAU</t>
        </is>
      </c>
      <c r="Y174" s="146" t="n">
        <v>-84.16296</v>
      </c>
      <c r="Z174" s="146" t="n">
        <v>36.33409</v>
      </c>
      <c r="AA174" s="129" t="inlineStr">
        <is>
          <t>East</t>
        </is>
      </c>
      <c r="AB174" s="129" t="n">
        <v>1180</v>
      </c>
      <c r="AH174" s="146" t="n">
        <v>-89.87361</v>
      </c>
      <c r="AI174" s="146" t="n">
        <v>35.67166</v>
      </c>
    </row>
    <row r="175">
      <c r="W175" s="129" t="inlineStr">
        <is>
          <t>Crossville Memorial Airport/Whitson Field</t>
        </is>
      </c>
      <c r="X175" s="129" t="inlineStr">
        <is>
          <t>CSV</t>
        </is>
      </c>
      <c r="Y175" s="146" t="n">
        <v>-85.08498</v>
      </c>
      <c r="Z175" s="146" t="n">
        <v>35.95129</v>
      </c>
      <c r="AA175" s="129" t="inlineStr">
        <is>
          <t>East</t>
        </is>
      </c>
      <c r="AB175" s="129" t="n">
        <v>1882</v>
      </c>
      <c r="AH175" s="146" t="n">
        <v>-89.85583</v>
      </c>
      <c r="AI175" s="146" t="n">
        <v>35.65167</v>
      </c>
    </row>
    <row r="176">
      <c r="W176" s="129" t="inlineStr">
        <is>
          <t>Dallas Bay Skypark Airport</t>
        </is>
      </c>
      <c r="X176" s="129" t="inlineStr">
        <is>
          <t>1A0</t>
        </is>
      </c>
      <c r="Y176" s="146" t="n"/>
      <c r="Z176" s="146" t="n"/>
      <c r="AA176" s="129" t="inlineStr">
        <is>
          <t>East</t>
        </is>
      </c>
      <c r="AB176" s="129" t="n"/>
      <c r="AH176" s="146" t="n">
        <v>-89.95</v>
      </c>
      <c r="AI176" s="146" t="n">
        <v>35.60472</v>
      </c>
    </row>
    <row r="177">
      <c r="W177" s="129" t="inlineStr">
        <is>
          <t>Elizabethton Municipal Airport</t>
        </is>
      </c>
      <c r="X177" s="129" t="inlineStr">
        <is>
          <t>0A9</t>
        </is>
      </c>
      <c r="Y177" s="146" t="n">
        <v>-82.17272</v>
      </c>
      <c r="Z177" s="146" t="n">
        <v>36.37156</v>
      </c>
      <c r="AA177" s="129" t="inlineStr">
        <is>
          <t>East</t>
        </is>
      </c>
      <c r="AB177" s="129" t="n">
        <v>1592</v>
      </c>
      <c r="AH177" s="146" t="n">
        <v>-89.95860999999999</v>
      </c>
      <c r="AI177" s="146" t="n">
        <v>35.58305</v>
      </c>
    </row>
    <row r="178">
      <c r="W178" s="129" t="inlineStr">
        <is>
          <t>Gatlinburg-Pigeon Forge Airport</t>
        </is>
      </c>
      <c r="X178" s="129" t="inlineStr">
        <is>
          <t>GKT</t>
        </is>
      </c>
      <c r="Y178" s="146" t="n">
        <v>-83.5287</v>
      </c>
      <c r="Z178" s="146" t="n">
        <v>35.85776</v>
      </c>
      <c r="AA178" s="129" t="inlineStr">
        <is>
          <t>East</t>
        </is>
      </c>
      <c r="AB178" s="129" t="n">
        <v>1014</v>
      </c>
      <c r="AH178" s="146" t="n">
        <v>-89.93889</v>
      </c>
      <c r="AI178" s="146" t="n">
        <v>35.53889</v>
      </c>
    </row>
    <row r="179">
      <c r="W179" s="129" t="inlineStr">
        <is>
          <t>Greeneville-Green County Municipal Airport</t>
        </is>
      </c>
      <c r="X179" s="129" t="inlineStr">
        <is>
          <t>GCY</t>
        </is>
      </c>
      <c r="Y179" s="146" t="n">
        <v>-82.81137</v>
      </c>
      <c r="Z179" s="146" t="n">
        <v>36.19573</v>
      </c>
      <c r="AA179" s="129" t="inlineStr">
        <is>
          <t>East</t>
        </is>
      </c>
      <c r="AB179" s="129" t="n">
        <v>1608</v>
      </c>
      <c r="AH179" s="146" t="n">
        <v>-90.01639</v>
      </c>
      <c r="AI179" s="146" t="n">
        <v>35.56111</v>
      </c>
    </row>
    <row r="180">
      <c r="W180" s="129" t="inlineStr">
        <is>
          <t>Hawkins County Airport</t>
        </is>
      </c>
      <c r="X180" s="129" t="inlineStr">
        <is>
          <t>RVN</t>
        </is>
      </c>
      <c r="Y180" s="146" t="n">
        <v>-82.88503</v>
      </c>
      <c r="Z180" s="146" t="n">
        <v>36.45758</v>
      </c>
      <c r="AA180" s="129" t="inlineStr">
        <is>
          <t>East</t>
        </is>
      </c>
      <c r="AB180" s="129" t="n">
        <v>1255</v>
      </c>
      <c r="AH180" s="146" t="n">
        <v>-90.04416999999999</v>
      </c>
      <c r="AI180" s="146" t="n">
        <v>35.54972</v>
      </c>
    </row>
    <row r="181">
      <c r="W181" s="129" t="inlineStr">
        <is>
          <t>Johnson City Airport</t>
        </is>
      </c>
      <c r="X181" s="129" t="inlineStr">
        <is>
          <t>0A4</t>
        </is>
      </c>
      <c r="Y181" s="146" t="n">
        <v>-82.30903000000001</v>
      </c>
      <c r="Z181" s="146" t="n">
        <v>36.36372</v>
      </c>
      <c r="AA181" s="129" t="inlineStr">
        <is>
          <t>East</t>
        </is>
      </c>
      <c r="AB181" s="129" t="n">
        <v>1550</v>
      </c>
      <c r="AH181" s="146" t="n">
        <v>-90.05139</v>
      </c>
      <c r="AI181" s="146" t="n">
        <v>35.5175</v>
      </c>
    </row>
    <row r="182">
      <c r="W182" s="129" t="inlineStr">
        <is>
          <t>Johnson County Airport</t>
        </is>
      </c>
      <c r="X182" s="129" t="inlineStr">
        <is>
          <t>6A4</t>
        </is>
      </c>
      <c r="Y182" s="146" t="n">
        <v>-81.82513</v>
      </c>
      <c r="Z182" s="146" t="n">
        <v>36.41784</v>
      </c>
      <c r="AA182" s="129" t="inlineStr">
        <is>
          <t>East</t>
        </is>
      </c>
      <c r="AB182" s="129" t="n">
        <v>2241</v>
      </c>
      <c r="AH182" s="146" t="n">
        <v>-90.00694</v>
      </c>
      <c r="AI182" s="146" t="n">
        <v>35.45639</v>
      </c>
    </row>
    <row r="183">
      <c r="W183" s="129" t="inlineStr">
        <is>
          <t>Knoxville Downtown Island Airport</t>
        </is>
      </c>
      <c r="X183" s="129" t="inlineStr">
        <is>
          <t>DKX</t>
        </is>
      </c>
      <c r="Y183" s="146" t="n">
        <v>-83.87367</v>
      </c>
      <c r="Z183" s="146" t="n">
        <v>35.96383</v>
      </c>
      <c r="AA183" s="129" t="inlineStr">
        <is>
          <t>East</t>
        </is>
      </c>
      <c r="AB183" s="129" t="n">
        <v>833</v>
      </c>
      <c r="AH183" s="146" t="n">
        <v>-90.01334</v>
      </c>
      <c r="AI183" s="146" t="n">
        <v>35.43361</v>
      </c>
    </row>
    <row r="184">
      <c r="W184" s="129" t="inlineStr">
        <is>
          <t>Lovell Field</t>
        </is>
      </c>
      <c r="X184" s="129" t="inlineStr">
        <is>
          <t>CHA</t>
        </is>
      </c>
      <c r="Y184" s="146" t="n">
        <v>-85.20356</v>
      </c>
      <c r="Z184" s="146" t="n">
        <v>35.03519</v>
      </c>
      <c r="AA184" s="129" t="inlineStr">
        <is>
          <t>East</t>
        </is>
      </c>
      <c r="AB184" s="129" t="n">
        <v>682</v>
      </c>
      <c r="AH184" s="146" t="n">
        <v>-90.05278</v>
      </c>
      <c r="AI184" s="146" t="n">
        <v>35.42194</v>
      </c>
    </row>
    <row r="185">
      <c r="W185" s="129" t="inlineStr">
        <is>
          <t>Marion County Airport-Brown Field</t>
        </is>
      </c>
      <c r="X185" s="129" t="inlineStr">
        <is>
          <t>APT</t>
        </is>
      </c>
      <c r="Y185" s="146" t="n">
        <v>-85.58531000000001</v>
      </c>
      <c r="Z185" s="146" t="n">
        <v>35.06067</v>
      </c>
      <c r="AA185" s="129" t="inlineStr">
        <is>
          <t>East</t>
        </is>
      </c>
      <c r="AB185" s="129" t="n">
        <v>641</v>
      </c>
      <c r="AH185" s="146" t="n">
        <v>-90.07805999999999</v>
      </c>
      <c r="AI185" s="146" t="n">
        <v>35.47194</v>
      </c>
    </row>
    <row r="186">
      <c r="W186" s="129" t="inlineStr">
        <is>
          <t>Mark Anton Airport</t>
        </is>
      </c>
      <c r="X186" s="129" t="inlineStr">
        <is>
          <t>2A0</t>
        </is>
      </c>
      <c r="Y186" s="146" t="n">
        <v>-84.93107999999999</v>
      </c>
      <c r="Z186" s="146" t="n">
        <v>35.48625</v>
      </c>
      <c r="AA186" s="129" t="inlineStr">
        <is>
          <t>East</t>
        </is>
      </c>
      <c r="AB186" s="129" t="n">
        <v>718</v>
      </c>
      <c r="AH186" s="146" t="n">
        <v>-90.10639</v>
      </c>
      <c r="AI186" s="146" t="n">
        <v>35.48334</v>
      </c>
    </row>
    <row r="187">
      <c r="W187" s="129" t="inlineStr">
        <is>
          <t>Martin Campbell Field</t>
        </is>
      </c>
      <c r="X187" s="129" t="inlineStr">
        <is>
          <t>1A3</t>
        </is>
      </c>
      <c r="Y187" s="146" t="n">
        <v>-84.34683</v>
      </c>
      <c r="Z187" s="146" t="n">
        <v>35.01582</v>
      </c>
      <c r="AA187" s="129" t="inlineStr">
        <is>
          <t>East</t>
        </is>
      </c>
      <c r="AB187" s="129" t="n">
        <v>1789</v>
      </c>
      <c r="AH187" s="146" t="n">
        <v>-90.17889</v>
      </c>
      <c r="AI187" s="146" t="n">
        <v>35.42416</v>
      </c>
    </row>
    <row r="188">
      <c r="W188" s="129" t="inlineStr">
        <is>
          <t>McGhee Tyson Airport</t>
        </is>
      </c>
      <c r="X188" s="129" t="inlineStr">
        <is>
          <t>TYS</t>
        </is>
      </c>
      <c r="Y188" s="146" t="n">
        <v>-83.99406999999999</v>
      </c>
      <c r="Z188" s="146" t="n">
        <v>35.81109</v>
      </c>
      <c r="AA188" s="129" t="inlineStr">
        <is>
          <t>East</t>
        </is>
      </c>
      <c r="AB188" s="129" t="n">
        <v>986</v>
      </c>
      <c r="AH188" s="146" t="n">
        <v>-90.17861000000001</v>
      </c>
      <c r="AI188" s="146" t="n">
        <v>35.38055</v>
      </c>
    </row>
    <row r="189">
      <c r="W189" s="129" t="inlineStr">
        <is>
          <t>McMinn County Airport</t>
        </is>
      </c>
      <c r="X189" s="129" t="inlineStr">
        <is>
          <t>MMI</t>
        </is>
      </c>
      <c r="Y189" s="146" t="n">
        <v>-84.56178</v>
      </c>
      <c r="Z189" s="146" t="n">
        <v>35.39919</v>
      </c>
      <c r="AA189" s="129" t="inlineStr">
        <is>
          <t>East</t>
        </is>
      </c>
      <c r="AB189" s="129" t="n">
        <v>874</v>
      </c>
      <c r="AH189" s="146" t="n">
        <v>-90.13306</v>
      </c>
      <c r="AI189" s="146" t="n">
        <v>35.40944</v>
      </c>
    </row>
    <row r="190">
      <c r="W190" s="129" t="inlineStr">
        <is>
          <t>Monroe County Airport</t>
        </is>
      </c>
      <c r="X190" s="129" t="inlineStr">
        <is>
          <t>MNV</t>
        </is>
      </c>
      <c r="Y190" s="146" t="n">
        <v>-84.38039999999999</v>
      </c>
      <c r="Z190" s="146" t="n">
        <v>35.54523</v>
      </c>
      <c r="AA190" s="129" t="inlineStr">
        <is>
          <t>East</t>
        </is>
      </c>
      <c r="AB190" s="129" t="n">
        <v>1031</v>
      </c>
      <c r="AH190" s="146" t="n">
        <v>-90.09417000000001</v>
      </c>
      <c r="AI190" s="146" t="n">
        <v>35.38972</v>
      </c>
    </row>
    <row r="191">
      <c r="W191" s="129" t="inlineStr">
        <is>
          <t>Moore-Murrell Field</t>
        </is>
      </c>
      <c r="X191" s="129" t="inlineStr">
        <is>
          <t>MOR</t>
        </is>
      </c>
      <c r="Y191" s="146" t="n">
        <v>-83.37545</v>
      </c>
      <c r="Z191" s="146" t="n">
        <v>36.17938</v>
      </c>
      <c r="AA191" s="129" t="inlineStr">
        <is>
          <t>East</t>
        </is>
      </c>
      <c r="AB191" s="129" t="n">
        <v>1313</v>
      </c>
      <c r="AH191" s="146" t="n">
        <v>-90.11360999999999</v>
      </c>
      <c r="AI191" s="146" t="n">
        <v>35.35777</v>
      </c>
    </row>
    <row r="192">
      <c r="W192" s="129" t="inlineStr">
        <is>
          <t>New Tazewell Municipal Airport</t>
        </is>
      </c>
      <c r="X192" s="129" t="inlineStr">
        <is>
          <t>3A2</t>
        </is>
      </c>
      <c r="Y192" s="146" t="n">
        <v>-83.55719000000001</v>
      </c>
      <c r="Z192" s="146" t="n">
        <v>36.4089</v>
      </c>
      <c r="AA192" s="129" t="inlineStr">
        <is>
          <t>East</t>
        </is>
      </c>
      <c r="AB192" s="129" t="n">
        <v>1179</v>
      </c>
      <c r="AH192" s="146" t="n">
        <v>-90.10833</v>
      </c>
      <c r="AI192" s="146" t="n">
        <v>35.32389</v>
      </c>
    </row>
    <row r="193">
      <c r="W193" s="129" t="inlineStr">
        <is>
          <t>Rockwood Municipal Airport</t>
        </is>
      </c>
      <c r="X193" s="129" t="inlineStr">
        <is>
          <t>RKW</t>
        </is>
      </c>
      <c r="Y193" s="146" t="n">
        <v>-84.68978</v>
      </c>
      <c r="Z193" s="146" t="n">
        <v>35.92233</v>
      </c>
      <c r="AA193" s="129" t="inlineStr">
        <is>
          <t>East</t>
        </is>
      </c>
      <c r="AB193" s="129" t="n">
        <v>1664</v>
      </c>
      <c r="AH193" s="146" t="n">
        <v>-90.17555</v>
      </c>
      <c r="AI193" s="146" t="n">
        <v>35.285</v>
      </c>
    </row>
    <row r="194">
      <c r="W194" s="129" t="inlineStr">
        <is>
          <t>Scott Municipal Airport</t>
        </is>
      </c>
      <c r="X194" s="129" t="inlineStr">
        <is>
          <t>SCX</t>
        </is>
      </c>
      <c r="Y194" s="146" t="n">
        <v>-84.58575</v>
      </c>
      <c r="Z194" s="146" t="n">
        <v>36.45569</v>
      </c>
      <c r="AA194" s="129" t="inlineStr">
        <is>
          <t>East</t>
        </is>
      </c>
      <c r="AB194" s="129" t="n">
        <v>1545</v>
      </c>
      <c r="AH194" s="146" t="n">
        <v>-90.08389</v>
      </c>
      <c r="AI194" s="146" t="n">
        <v>35.23083</v>
      </c>
    </row>
    <row r="195">
      <c r="W195" s="129" t="inlineStr">
        <is>
          <t>Tri-Cities Airport</t>
        </is>
      </c>
      <c r="X195" s="129" t="inlineStr">
        <is>
          <t>TRI</t>
        </is>
      </c>
      <c r="Y195" s="146" t="n">
        <v>-82.40742</v>
      </c>
      <c r="Z195" s="146" t="n">
        <v>36.47521</v>
      </c>
      <c r="AA195" s="129" t="inlineStr">
        <is>
          <t>East</t>
        </is>
      </c>
      <c r="AB195" s="129" t="n">
        <v>1519</v>
      </c>
      <c r="AH195" s="146" t="n">
        <v>-90.09166999999999</v>
      </c>
      <c r="AI195" s="146" t="n">
        <v>35.2</v>
      </c>
    </row>
    <row r="196">
      <c r="AH196" s="146" t="n">
        <v>-90.07778</v>
      </c>
      <c r="AI196" s="146" t="n">
        <v>35.17361</v>
      </c>
    </row>
    <row r="197">
      <c r="AH197" s="146" t="n">
        <v>-90.09222</v>
      </c>
      <c r="AI197" s="146" t="n">
        <v>35.13499</v>
      </c>
    </row>
    <row r="198">
      <c r="AH198" s="146" t="n">
        <v>-90.17944</v>
      </c>
      <c r="AI198" s="146" t="n">
        <v>35.12305</v>
      </c>
    </row>
    <row r="199">
      <c r="AH199" s="146" t="n">
        <v>-90.21416000000001</v>
      </c>
      <c r="AI199" s="146" t="n">
        <v>35.05139</v>
      </c>
    </row>
    <row r="200">
      <c r="AH200" s="146" t="n">
        <v>-90.30139</v>
      </c>
      <c r="AI200" s="146" t="n">
        <v>35.04361</v>
      </c>
    </row>
    <row r="201">
      <c r="AH201" s="146" t="n">
        <v>-90.31305999999999</v>
      </c>
      <c r="AI201" s="146" t="n">
        <v>35.00833</v>
      </c>
    </row>
    <row r="202">
      <c r="AH202" s="146" t="n">
        <v>-90.26833000000001</v>
      </c>
      <c r="AI202" s="146" t="n">
        <v>34.965</v>
      </c>
    </row>
    <row r="204">
      <c r="AH204" s="146" t="n">
        <v>-81.65639</v>
      </c>
      <c r="AI204" s="146" t="n">
        <v>36.61056</v>
      </c>
    </row>
    <row r="205">
      <c r="AH205" s="146" t="n">
        <v>-81.71528000000001</v>
      </c>
      <c r="AI205" s="146" t="n">
        <v>36.53583</v>
      </c>
    </row>
    <row r="206">
      <c r="AH206" s="146" t="n">
        <v>-81.69417</v>
      </c>
      <c r="AI206" s="146" t="n">
        <v>36.49167</v>
      </c>
    </row>
    <row r="207">
      <c r="AH207" s="146" t="n">
        <v>-81.74583</v>
      </c>
      <c r="AI207" s="146" t="n">
        <v>36.40388</v>
      </c>
    </row>
    <row r="208">
      <c r="AH208" s="146" t="n">
        <v>-81.71167</v>
      </c>
      <c r="AI208" s="146" t="n">
        <v>36.34473</v>
      </c>
    </row>
    <row r="209">
      <c r="AH209" s="146" t="n">
        <v>-81.80944</v>
      </c>
      <c r="AI209" s="146" t="n">
        <v>36.36166</v>
      </c>
    </row>
    <row r="210">
      <c r="AH210" s="146" t="n">
        <v>-81.90722</v>
      </c>
      <c r="AI210" s="146" t="n">
        <v>36.30806</v>
      </c>
    </row>
    <row r="211">
      <c r="AH211" s="146" t="n">
        <v>-82.03194000000001</v>
      </c>
      <c r="AI211" s="146" t="n">
        <v>36.12695</v>
      </c>
    </row>
    <row r="212">
      <c r="AH212" s="146" t="n">
        <v>-82.05638999999999</v>
      </c>
      <c r="AI212" s="146" t="n">
        <v>36.12666</v>
      </c>
    </row>
    <row r="213">
      <c r="AH213" s="146" t="n">
        <v>-82.07417</v>
      </c>
      <c r="AI213" s="146" t="n">
        <v>36.10306</v>
      </c>
    </row>
    <row r="214">
      <c r="AH214" s="146" t="n">
        <v>-82.12417000000001</v>
      </c>
      <c r="AI214" s="146" t="n">
        <v>36.10695</v>
      </c>
    </row>
    <row r="215">
      <c r="AH215" s="146" t="n">
        <v>-82.14694</v>
      </c>
      <c r="AI215" s="146" t="n">
        <v>36.14389</v>
      </c>
    </row>
    <row r="216">
      <c r="AH216" s="146" t="n">
        <v>-82.20556000000001</v>
      </c>
      <c r="AI216" s="146" t="n">
        <v>36.16111</v>
      </c>
    </row>
    <row r="217">
      <c r="AH217" s="146" t="n">
        <v>-82.26000000000001</v>
      </c>
      <c r="AI217" s="146" t="n">
        <v>36.13389</v>
      </c>
    </row>
    <row r="218">
      <c r="AH218" s="146" t="n">
        <v>-82.29304999999999</v>
      </c>
      <c r="AI218" s="146" t="n">
        <v>36.1375</v>
      </c>
    </row>
    <row r="219">
      <c r="AH219" s="146" t="n">
        <v>-82.38223000000001</v>
      </c>
      <c r="AI219" s="146" t="n">
        <v>36.105</v>
      </c>
    </row>
    <row r="220">
      <c r="AH220" s="146" t="n">
        <v>-82.48</v>
      </c>
      <c r="AI220" s="146" t="n">
        <v>35.99917</v>
      </c>
    </row>
    <row r="221">
      <c r="AH221" s="146" t="n">
        <v>-82.55916999999999</v>
      </c>
      <c r="AI221" s="146" t="n">
        <v>35.96111</v>
      </c>
    </row>
    <row r="222">
      <c r="AH222" s="146" t="n">
        <v>-82.59472</v>
      </c>
      <c r="AI222" s="146" t="n">
        <v>35.98028</v>
      </c>
    </row>
    <row r="223">
      <c r="AH223" s="146" t="n">
        <v>-82.59</v>
      </c>
      <c r="AI223" s="146" t="n">
        <v>36.03278</v>
      </c>
    </row>
    <row r="224">
      <c r="AH224" s="146" t="n">
        <v>-82.63028</v>
      </c>
      <c r="AI224" s="146" t="n">
        <v>36.06306</v>
      </c>
    </row>
    <row r="225">
      <c r="AH225" s="146" t="n">
        <v>-82.77084000000001</v>
      </c>
      <c r="AI225" s="146" t="n">
        <v>36</v>
      </c>
    </row>
    <row r="226">
      <c r="AH226" s="146" t="n">
        <v>-82.80417</v>
      </c>
      <c r="AI226" s="146" t="n">
        <v>35.93278</v>
      </c>
    </row>
    <row r="227">
      <c r="AH227" s="146" t="n">
        <v>-82.86555</v>
      </c>
      <c r="AI227" s="146" t="n">
        <v>35.95639</v>
      </c>
    </row>
    <row r="228">
      <c r="AH228" s="146" t="n">
        <v>-82.90416999999999</v>
      </c>
      <c r="AI228" s="146" t="n">
        <v>35.95028</v>
      </c>
    </row>
    <row r="229">
      <c r="AH229" s="146" t="n">
        <v>-82.91777999999999</v>
      </c>
      <c r="AI229" s="146" t="n">
        <v>35.92027</v>
      </c>
    </row>
    <row r="230">
      <c r="AH230" s="146" t="n">
        <v>-82.90472</v>
      </c>
      <c r="AI230" s="146" t="n">
        <v>35.88389</v>
      </c>
    </row>
    <row r="231">
      <c r="AH231" s="146" t="n">
        <v>-82.98721999999999</v>
      </c>
      <c r="AI231" s="146" t="n">
        <v>35.78166</v>
      </c>
    </row>
    <row r="232">
      <c r="AH232" s="146" t="n">
        <v>-83.075</v>
      </c>
      <c r="AI232" s="146" t="n">
        <v>35.79167</v>
      </c>
    </row>
    <row r="233">
      <c r="AH233" s="146" t="n">
        <v>-83.16278</v>
      </c>
      <c r="AI233" s="146" t="n">
        <v>35.76139</v>
      </c>
    </row>
    <row r="234">
      <c r="AH234" s="146" t="n">
        <v>-83.24639000000001</v>
      </c>
      <c r="AI234" s="146" t="n">
        <v>35.71667</v>
      </c>
    </row>
    <row r="235">
      <c r="AH235" s="146" t="n">
        <v>-83.29304999999999</v>
      </c>
      <c r="AI235" s="146" t="n">
        <v>35.66583</v>
      </c>
    </row>
    <row r="236">
      <c r="AH236" s="146" t="n">
        <v>-83.33750000000001</v>
      </c>
      <c r="AI236" s="146" t="n">
        <v>35.66806</v>
      </c>
    </row>
    <row r="237">
      <c r="AH237" s="146" t="n">
        <v>-83.37417000000001</v>
      </c>
      <c r="AI237" s="146" t="n">
        <v>35.63722</v>
      </c>
    </row>
    <row r="238">
      <c r="AH238" s="146" t="n">
        <v>-83.44611</v>
      </c>
      <c r="AI238" s="146" t="n">
        <v>35.61222</v>
      </c>
    </row>
    <row r="239">
      <c r="AH239" s="146" t="n">
        <v>-83.49223000000001</v>
      </c>
      <c r="AI239" s="146" t="n">
        <v>35.57111</v>
      </c>
    </row>
    <row r="240">
      <c r="AH240" s="146" t="n">
        <v>-83.57222</v>
      </c>
      <c r="AI240" s="146" t="n">
        <v>35.55888</v>
      </c>
    </row>
    <row r="241">
      <c r="AH241" s="146" t="n">
        <v>-83.60722</v>
      </c>
      <c r="AI241" s="146" t="n">
        <v>35.58112</v>
      </c>
    </row>
    <row r="242">
      <c r="AH242" s="146" t="n">
        <v>-83.63722</v>
      </c>
      <c r="AI242" s="146" t="n">
        <v>35.56528</v>
      </c>
    </row>
    <row r="243">
      <c r="AH243" s="146" t="n">
        <v>-83.74111000000001</v>
      </c>
      <c r="AI243" s="146" t="n">
        <v>35.56583</v>
      </c>
    </row>
    <row r="244">
      <c r="AH244" s="146" t="n">
        <v>-83.88695</v>
      </c>
      <c r="AI244" s="146" t="n">
        <v>35.51556</v>
      </c>
    </row>
    <row r="245">
      <c r="AH245" s="146" t="n">
        <v>-83.925</v>
      </c>
      <c r="AI245" s="146" t="n">
        <v>35.46611</v>
      </c>
    </row>
    <row r="246">
      <c r="AH246" s="146" t="n">
        <v>-83.97945</v>
      </c>
      <c r="AI246" s="146" t="n">
        <v>35.45222</v>
      </c>
    </row>
    <row r="247">
      <c r="AH247" s="146" t="n">
        <v>-84.01195</v>
      </c>
      <c r="AI247" s="146" t="n">
        <v>35.425</v>
      </c>
    </row>
    <row r="248">
      <c r="AH248" s="146" t="n">
        <v>-84.05083</v>
      </c>
      <c r="AI248" s="146" t="n">
        <v>35.28583</v>
      </c>
    </row>
    <row r="249">
      <c r="AH249" s="146" t="n">
        <v>-84.07917</v>
      </c>
      <c r="AI249" s="146" t="n">
        <v>35.265</v>
      </c>
    </row>
    <row r="250">
      <c r="AH250" s="146" t="n">
        <v>-84.19305</v>
      </c>
      <c r="AI250" s="146" t="n">
        <v>35.25195</v>
      </c>
    </row>
    <row r="251">
      <c r="AH251" s="146" t="n">
        <v>-84.23833</v>
      </c>
      <c r="AI251" s="146" t="n">
        <v>35.27</v>
      </c>
    </row>
    <row r="252">
      <c r="AH252" s="146" t="n">
        <v>-84.29111</v>
      </c>
      <c r="AI252" s="146" t="n">
        <v>35.23</v>
      </c>
    </row>
    <row r="253">
      <c r="AH253" s="146" t="n">
        <v>-84.32417</v>
      </c>
      <c r="AI253" s="146" t="n">
        <v>34.98611</v>
      </c>
    </row>
    <row r="255">
      <c r="AH255" s="146" t="n">
        <v>-86.83360999999999</v>
      </c>
      <c r="AI255" s="146" t="n">
        <v>34.99944</v>
      </c>
    </row>
    <row r="256">
      <c r="AH256" s="146" t="n">
        <v>-84.58417</v>
      </c>
      <c r="AI256" s="146" t="n">
        <v>35</v>
      </c>
    </row>
    <row r="258">
      <c r="AH258" s="146" t="n">
        <v>-90.30083</v>
      </c>
      <c r="AI258" s="146" t="n">
        <v>35.00166</v>
      </c>
    </row>
    <row r="259">
      <c r="AH259" s="146" t="n">
        <v>-88.19083000000001</v>
      </c>
      <c r="AI259" s="146" t="n">
        <v>35.0025</v>
      </c>
    </row>
    <row r="261">
      <c r="AH261" s="146" t="n">
        <v>-83.09778</v>
      </c>
      <c r="AI261" s="146" t="n">
        <v>35.00027</v>
      </c>
    </row>
    <row r="262">
      <c r="AH262" s="146" t="n">
        <v>-82.7775</v>
      </c>
      <c r="AI262" s="146" t="n">
        <v>35.09138</v>
      </c>
    </row>
    <row r="263">
      <c r="AH263" s="146" t="n">
        <v>-82.75444</v>
      </c>
      <c r="AI263" s="146" t="n">
        <v>35.07028</v>
      </c>
    </row>
    <row r="264">
      <c r="AH264" s="146" t="n">
        <v>-82.69667</v>
      </c>
      <c r="AI264" s="146" t="n">
        <v>35.0975</v>
      </c>
    </row>
    <row r="265">
      <c r="AH265" s="146" t="n">
        <v>-82.67722000000001</v>
      </c>
      <c r="AI265" s="146" t="n">
        <v>35.13083</v>
      </c>
    </row>
    <row r="266">
      <c r="AH266" s="146" t="n">
        <v>-82.65222</v>
      </c>
      <c r="AI266" s="146" t="n">
        <v>35.125</v>
      </c>
    </row>
    <row r="267">
      <c r="AH267" s="146" t="n">
        <v>-82.48389</v>
      </c>
      <c r="AI267" s="146" t="n">
        <v>35.17667</v>
      </c>
    </row>
    <row r="268">
      <c r="AH268" s="146" t="n">
        <v>-82.43555000000001</v>
      </c>
      <c r="AI268" s="146" t="n">
        <v>35.17472</v>
      </c>
    </row>
    <row r="269">
      <c r="AH269" s="146" t="n">
        <v>-82.39139</v>
      </c>
      <c r="AI269" s="146" t="n">
        <v>35.22083</v>
      </c>
    </row>
    <row r="270">
      <c r="AH270" s="146" t="n">
        <v>-82.36806</v>
      </c>
      <c r="AI270" s="146" t="n">
        <v>35.20056</v>
      </c>
    </row>
    <row r="271">
      <c r="AH271" s="146" t="n">
        <v>-82.325</v>
      </c>
      <c r="AI271" s="146" t="n">
        <v>35.19611</v>
      </c>
    </row>
    <row r="272">
      <c r="AH272" s="146" t="n">
        <v>-82.29056</v>
      </c>
      <c r="AI272" s="146" t="n">
        <v>35.20694</v>
      </c>
    </row>
    <row r="273">
      <c r="AH273" s="146" t="n">
        <v>-81.61104</v>
      </c>
      <c r="AI273" s="146" t="n">
        <v>35.18138</v>
      </c>
    </row>
    <row r="275">
      <c r="AH275" s="146" t="n">
        <v>-84.57971999999999</v>
      </c>
      <c r="AI275" s="146" t="n">
        <v>34.99722</v>
      </c>
    </row>
    <row r="276">
      <c r="AH276" s="146" t="n">
        <v>-84.315</v>
      </c>
      <c r="AI276" s="146" t="n">
        <v>34.98611</v>
      </c>
    </row>
    <row r="277">
      <c r="AH277" s="146" t="n">
        <v>-83.09639</v>
      </c>
      <c r="AI277" s="146" t="n">
        <v>35</v>
      </c>
    </row>
    <row r="279">
      <c r="AH279" s="146" t="n">
        <v>-86.8325</v>
      </c>
      <c r="AI279" s="146" t="n">
        <v>35.00222</v>
      </c>
    </row>
    <row r="280">
      <c r="AH280" s="146" t="n">
        <v>-88.19638999999999</v>
      </c>
      <c r="AI280" s="146" t="n">
        <v>35.02361</v>
      </c>
    </row>
    <row r="282">
      <c r="AH282" s="146" t="n">
        <v>-90.3775</v>
      </c>
      <c r="AI282" s="146" t="n">
        <v>36.49976</v>
      </c>
    </row>
    <row r="283">
      <c r="AH283" s="146" t="n">
        <v>-90.16222</v>
      </c>
      <c r="AI283" s="146" t="n">
        <v>36.49973</v>
      </c>
    </row>
    <row r="284">
      <c r="AH284" s="146" t="n">
        <v>-90.12694999999999</v>
      </c>
      <c r="AI284" s="146" t="n">
        <v>36.45361</v>
      </c>
    </row>
    <row r="285">
      <c r="AH285" s="146" t="n">
        <v>-90.12027999999999</v>
      </c>
      <c r="AI285" s="146" t="n">
        <v>36.41361</v>
      </c>
    </row>
    <row r="286">
      <c r="AH286" s="146" t="n">
        <v>-90.06416</v>
      </c>
      <c r="AI286" s="146" t="n">
        <v>36.37473</v>
      </c>
    </row>
    <row r="287">
      <c r="AH287" s="146" t="n">
        <v>-90.06944</v>
      </c>
      <c r="AI287" s="146" t="n">
        <v>36.28194</v>
      </c>
    </row>
    <row r="288">
      <c r="AH288" s="146" t="n">
        <v>-90.12139000000001</v>
      </c>
      <c r="AI288" s="146" t="n">
        <v>36.25694</v>
      </c>
    </row>
    <row r="289">
      <c r="AH289" s="146" t="n">
        <v>-90.13805000000001</v>
      </c>
      <c r="AI289" s="146" t="n">
        <v>36.21389</v>
      </c>
    </row>
    <row r="290">
      <c r="AH290" s="146" t="n">
        <v>-90.22583</v>
      </c>
      <c r="AI290" s="146" t="n">
        <v>36.17944</v>
      </c>
    </row>
    <row r="291">
      <c r="AH291" s="146" t="n">
        <v>-90.24834</v>
      </c>
      <c r="AI291" s="146" t="n">
        <v>36.13194</v>
      </c>
    </row>
    <row r="292">
      <c r="AH292" s="146" t="n">
        <v>-90.29861</v>
      </c>
      <c r="AI292" s="146" t="n">
        <v>36.11361</v>
      </c>
    </row>
    <row r="293">
      <c r="AH293" s="146" t="n">
        <v>-90.38276999999999</v>
      </c>
      <c r="AI293" s="146" t="n">
        <v>35.98556</v>
      </c>
    </row>
    <row r="294">
      <c r="AH294" s="146" t="n">
        <v>-89.72915999999999</v>
      </c>
      <c r="AI294" s="146" t="n">
        <v>36</v>
      </c>
    </row>
    <row r="296">
      <c r="AH296" s="146" t="n">
        <v>-83.35639</v>
      </c>
      <c r="AI296" s="146" t="n">
        <v>36.70639</v>
      </c>
    </row>
    <row r="297">
      <c r="AH297" s="146" t="n">
        <v>-83.41222</v>
      </c>
      <c r="AI297" s="146" t="n">
        <v>36.67416</v>
      </c>
    </row>
    <row r="298">
      <c r="AH298" s="146" t="n">
        <v>-83.50888999999999</v>
      </c>
      <c r="AI298" s="146" t="n">
        <v>36.66888</v>
      </c>
    </row>
    <row r="299">
      <c r="AH299" s="146" t="n">
        <v>-83.61750000000001</v>
      </c>
      <c r="AI299" s="146" t="n">
        <v>36.64056</v>
      </c>
    </row>
    <row r="300">
      <c r="AH300" s="146" t="n">
        <v>-83.67278</v>
      </c>
      <c r="AI300" s="146" t="n">
        <v>36.6025</v>
      </c>
    </row>
    <row r="302">
      <c r="AH302" s="146" t="n">
        <v>-85.61707</v>
      </c>
      <c r="AI302" s="146" t="n">
        <v>34.97196</v>
      </c>
    </row>
    <row r="303">
      <c r="AH303" s="146" t="n">
        <v>-85.62334</v>
      </c>
      <c r="AI303" s="146" t="n">
        <v>34.99917</v>
      </c>
    </row>
    <row r="305">
      <c r="AH305" s="146" t="n">
        <v>-89.56389</v>
      </c>
      <c r="AI305" s="146" t="n">
        <v>36.50083</v>
      </c>
    </row>
    <row r="306">
      <c r="AH306" s="146" t="n">
        <v>-89.49223000000001</v>
      </c>
      <c r="AI306" s="146" t="n">
        <v>36.50139</v>
      </c>
    </row>
  </sheetData>
  <mergeCells count="3">
    <mergeCell ref="S28:V28"/>
    <mergeCell ref="S29:V29"/>
    <mergeCell ref="S30:V30"/>
  </mergeCells>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48">
        <f>HYPERLINK("#'General Information'!D9","◄ General Information")</f>
        <v/>
      </c>
      <c r="B1" s="149">
        <f>HYPERLINK("#Summary!G1","Summary")</f>
        <v/>
      </c>
    </row>
    <row r="2">
      <c r="A2" s="150" t="inlineStr">
        <is>
          <t>Reference sheet: nothing here feeds the calculation.</t>
        </is>
      </c>
    </row>
    <row r="3">
      <c r="A3" s="151" t="inlineStr">
        <is>
          <t>TYPICAL VALUES AND HELPERS FOR THE INPUTS</t>
        </is>
      </c>
    </row>
    <row r="4" ht="30" customHeight="1">
      <c r="A4" s="15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53" t="inlineStr">
        <is>
          <t>1. What TDOT Aeronautics manages (context for project size)</t>
        </is>
      </c>
      <c r="B6" s="154" t="n"/>
      <c r="C6" s="154" t="n"/>
      <c r="D6" s="154" t="n"/>
      <c r="E6" s="154" t="n"/>
      <c r="F6" s="154" t="n"/>
      <c r="G6" s="154" t="n"/>
    </row>
    <row r="7">
      <c r="A7" s="155" t="inlineStr">
        <is>
          <t>Item</t>
        </is>
      </c>
      <c r="B7" s="155" t="inlineStr">
        <is>
          <t>Value</t>
        </is>
      </c>
      <c r="C7" s="155" t="inlineStr">
        <is>
          <t>Unit</t>
        </is>
      </c>
      <c r="D7" s="155" t="inlineStr">
        <is>
          <t>Year</t>
        </is>
      </c>
      <c r="E7" s="155" t="inlineStr"/>
      <c r="F7" s="155" t="inlineStr"/>
      <c r="G7" s="155" t="inlineStr">
        <is>
          <t>Source</t>
        </is>
      </c>
    </row>
    <row r="8">
      <c r="A8" s="156" t="inlineStr">
        <is>
          <t>Public-use airports in the Tennessee system (TASP 2040)</t>
        </is>
      </c>
      <c r="B8" s="157" t="n">
        <v>78</v>
      </c>
      <c r="C8" s="156" t="inlineStr">
        <is>
          <t>airports</t>
        </is>
      </c>
      <c r="D8" s="158" t="n">
        <v>2021</v>
      </c>
      <c r="E8" s="156" t="inlineStr"/>
      <c r="F8" s="156" t="inlineStr"/>
      <c r="G8" s="159" t="inlineStr">
        <is>
          <t>https://www.tasp2040.com/wp-content/uploads/2021/03/Updated-TASP-Inventory-Existing-System-Conditions-March-2021-v3.pdf</t>
        </is>
      </c>
    </row>
    <row r="9">
      <c r="A9" s="156" t="inlineStr">
        <is>
          <t>Commercial service / general aviation</t>
        </is>
      </c>
      <c r="B9" s="156" t="inlineStr">
        <is>
          <t>6 / 72</t>
        </is>
      </c>
      <c r="C9" s="156" t="inlineStr">
        <is>
          <t>airports</t>
        </is>
      </c>
      <c r="D9" s="158" t="n">
        <v>2021</v>
      </c>
      <c r="E9" s="156" t="inlineStr"/>
      <c r="F9" s="156" t="inlineStr"/>
      <c r="G9" s="159" t="inlineStr">
        <is>
          <t>https://www.tasp2040.com/wp-content/uploads/2021/03/Updated-TASP-Inventory-Existing-System-Conditions-March-2021-v3.pdf</t>
        </is>
      </c>
    </row>
    <row r="10">
      <c r="A10" s="156" t="inlineStr">
        <is>
          <t>Airports in the FAA NPIAS (eligible for AIP)</t>
        </is>
      </c>
      <c r="B10" s="157" t="n">
        <v>69</v>
      </c>
      <c r="C10" s="156" t="inlineStr">
        <is>
          <t>airports</t>
        </is>
      </c>
      <c r="D10" s="158" t="n">
        <v>2021</v>
      </c>
      <c r="E10" s="156" t="inlineStr"/>
      <c r="F10" s="156" t="inlineStr"/>
      <c r="G10" s="159" t="inlineStr">
        <is>
          <t>https://www.tasp2040.com/wp-content/uploads/2020/12/Chapter-7-Airport-Classifications-and-NPIAS-Evaluation.pdf</t>
        </is>
      </c>
    </row>
    <row r="11">
      <c r="A11" s="156" t="inlineStr">
        <is>
          <t>Airports in the TDOT pavement management network (APTech APMS, PCI per ASTM D5340)</t>
        </is>
      </c>
      <c r="B11" s="156" t="inlineStr">
        <is>
          <t>~70</t>
        </is>
      </c>
      <c r="C11" s="156" t="inlineStr">
        <is>
          <t>airports</t>
        </is>
      </c>
      <c r="D11" s="158" t="n">
        <v>2022</v>
      </c>
      <c r="E11" s="156" t="inlineStr"/>
      <c r="F11" s="156" t="inlineStr"/>
      <c r="G11" s="159" t="inlineStr">
        <is>
          <t>https://www.appliedpavement.com/tennessee-apms</t>
        </is>
      </c>
    </row>
    <row r="12">
      <c r="A12" s="156" t="inlineStr">
        <is>
          <t>PCI performance objective, runways / taxiways</t>
        </is>
      </c>
      <c r="B12" s="156" t="inlineStr">
        <is>
          <t>78 / 75</t>
        </is>
      </c>
      <c r="C12" s="156" t="inlineStr">
        <is>
          <t>PCI</t>
        </is>
      </c>
      <c r="D12" s="158" t="n">
        <v>2021</v>
      </c>
      <c r="E12" s="156" t="inlineStr"/>
      <c r="F12" s="156" t="inlineStr"/>
      <c r="G12" s="159" t="inlineStr">
        <is>
          <t>https://www.tn.gov/content/dam/tn/tdot/aeronautics/TN%20Airport%20Management%20Guide%20FINAL.pdf</t>
        </is>
      </c>
    </row>
    <row r="13">
      <c r="A13" s="156" t="inlineStr">
        <is>
          <t>TASP system-wide estimate: pavement rehabilitation (10-yr life goal)</t>
        </is>
      </c>
      <c r="B13" s="157" t="n">
        <v>70865874</v>
      </c>
      <c r="C13" s="156" t="inlineStr">
        <is>
          <t>$</t>
        </is>
      </c>
      <c r="D13" s="158" t="n">
        <v>2021</v>
      </c>
      <c r="E13" s="156" t="inlineStr"/>
      <c r="F13" s="156" t="inlineStr"/>
      <c r="G13" s="159" t="inlineStr">
        <is>
          <t>https://www.tasp2040.com/wp-content/uploads/2021/09/TASP-Cost-Estimate-Chapter.pdf</t>
        </is>
      </c>
    </row>
    <row r="14">
      <c r="A14" s="156" t="inlineStr">
        <is>
          <t>TASP system-wide estimate: pavement new / reconstruction (20-yr life goal)</t>
        </is>
      </c>
      <c r="B14" s="157" t="n">
        <v>173117648</v>
      </c>
      <c r="C14" s="156" t="inlineStr">
        <is>
          <t>$</t>
        </is>
      </c>
      <c r="D14" s="158" t="n">
        <v>2021</v>
      </c>
      <c r="E14" s="156" t="inlineStr"/>
      <c r="F14" s="156" t="inlineStr"/>
      <c r="G14" s="159" t="inlineStr">
        <is>
          <t>https://www.tasp2040.com/wp-content/uploads/2021/09/TASP-Cost-Estimate-Chapter.pdf</t>
        </is>
      </c>
    </row>
    <row r="15">
      <c r="A15" s="156" t="inlineStr">
        <is>
          <t>State share on GA capital projects (federal or state funded)</t>
        </is>
      </c>
      <c r="B15" s="156" t="inlineStr">
        <is>
          <t>up to 90% (10% local); 95/5 on federal discretionary</t>
        </is>
      </c>
      <c r="C15" s="156" t="inlineStr"/>
      <c r="D15" s="158" t="n">
        <v>2023</v>
      </c>
      <c r="E15" s="156" t="inlineStr"/>
      <c r="F15" s="156" t="inlineStr"/>
      <c r="G15" s="159" t="inlineStr">
        <is>
          <t>https://www.tn.gov/content/dam/tn/tdot/documents/170-02.pdf</t>
        </is>
      </c>
    </row>
    <row r="16">
      <c r="A16" s="156" t="inlineStr">
        <is>
          <t>Statewide Airfield Pavement and Marking Maintenance Program (crack seal, seal coat, markings)</t>
        </is>
      </c>
      <c r="B16" s="156" t="inlineStr">
        <is>
          <t>100% state funded, no local share</t>
        </is>
      </c>
      <c r="C16" s="156" t="inlineStr"/>
      <c r="D16" s="158" t="n">
        <v>2024</v>
      </c>
      <c r="E16" s="156" t="inlineStr"/>
      <c r="F16" s="156" t="inlineStr"/>
      <c r="G16" s="159" t="inlineStr">
        <is>
          <t>https://www.tn.gov/tdot/aeronautics/apmm-contract.html</t>
        </is>
      </c>
    </row>
    <row r="17">
      <c r="A17" s="156" t="inlineStr">
        <is>
          <t>Pavement areas and PCI by airport (statewide tables)</t>
        </is>
      </c>
      <c r="B17" s="156" t="inlineStr">
        <is>
          <t>see APTech IDEA portal</t>
        </is>
      </c>
      <c r="C17" s="156" t="inlineStr"/>
      <c r="D17" s="158" t="n">
        <v>2022</v>
      </c>
      <c r="E17" s="156" t="inlineStr"/>
      <c r="F17" s="156" t="inlineStr"/>
      <c r="G17" s="159" t="inlineStr">
        <is>
          <t>https://idea.appliedpavement.com/hosting/tennessee/statewide-summary/inventory-area/area-by-airport-table.html</t>
        </is>
      </c>
    </row>
    <row r="18">
      <c r="A18" s="156" t="inlineStr">
        <is>
          <t>NPIAS 2025-2029 classification of each TN airport (National / Regional / Local / Basic)</t>
        </is>
      </c>
      <c r="B18" s="156" t="inlineStr">
        <is>
          <t>see Appendix A</t>
        </is>
      </c>
      <c r="C18" s="156" t="inlineStr"/>
      <c r="D18" s="158" t="n">
        <v>2024</v>
      </c>
      <c r="E18" s="156" t="inlineStr"/>
      <c r="F18" s="156" t="inlineStr"/>
      <c r="G18" s="159" t="inlineStr">
        <is>
          <t>https://www.faa.gov/sites/faa.gov/files/airports/planning_capacity/npias/current/ARP-NPIAS-2025-2029-Appendix-A.pdf</t>
        </is>
      </c>
    </row>
    <row r="19" ht="26" customHeight="1">
      <c r="A19" s="152" t="inlineStr">
        <is>
          <t>The workbook dropdown holds the TASP airports (count in the live section below). The 17 airports with revenue data are those meeting Aeronautics' activity criteria.</t>
        </is>
      </c>
    </row>
    <row r="21">
      <c r="A21" s="153" t="inlineStr">
        <is>
          <t>2. Typical runway geometry at Tennessee GA airports (for D26 mainline area and D28 markings)</t>
        </is>
      </c>
      <c r="B21" s="154" t="n"/>
      <c r="C21" s="154" t="n"/>
      <c r="D21" s="154" t="n"/>
      <c r="E21" s="154" t="n"/>
      <c r="F21" s="154" t="n"/>
      <c r="G21" s="154" t="n"/>
    </row>
    <row r="22">
      <c r="A22" s="155" t="inlineStr">
        <is>
          <t>Airport</t>
        </is>
      </c>
      <c r="B22" s="155" t="inlineStr">
        <is>
          <t>Runway</t>
        </is>
      </c>
      <c r="C22" s="155" t="inlineStr">
        <is>
          <t>Length x width (ft)</t>
        </is>
      </c>
      <c r="D22" s="155" t="inlineStr">
        <is>
          <t>Mainline area (SY)</t>
        </is>
      </c>
      <c r="E22" s="155" t="inlineStr">
        <is>
          <t>Role</t>
        </is>
      </c>
      <c r="F22" s="155" t="inlineStr">
        <is>
          <t>Note</t>
        </is>
      </c>
      <c r="G22" s="155" t="inlineStr">
        <is>
          <t>Source</t>
        </is>
      </c>
    </row>
    <row r="23">
      <c r="A23" s="156" t="inlineStr">
        <is>
          <t>Murfreesboro Municipal (MBT)</t>
        </is>
      </c>
      <c r="B23" s="156" t="inlineStr">
        <is>
          <t>18/36</t>
        </is>
      </c>
      <c r="C23" s="156" t="inlineStr">
        <is>
          <t>4,753 x 100</t>
        </is>
      </c>
      <c r="D23" s="157" t="n">
        <v>52811</v>
      </c>
      <c r="E23" s="156" t="inlineStr">
        <is>
          <t>GA, Middle</t>
        </is>
      </c>
      <c r="F23" s="156" t="inlineStr">
        <is>
          <t>workbook MBT run used 52,778 SY</t>
        </is>
      </c>
      <c r="G23" s="159" t="inlineStr">
        <is>
          <t>https://en.wikipedia.org/wiki/Murfreesboro_Municipal_Airport</t>
        </is>
      </c>
    </row>
    <row r="24">
      <c r="A24" s="156" t="inlineStr">
        <is>
          <t>Bomar Field, Shelbyville (SYI)</t>
        </is>
      </c>
      <c r="B24" s="156" t="inlineStr">
        <is>
          <t>18/36</t>
        </is>
      </c>
      <c r="C24" s="156" t="inlineStr">
        <is>
          <t>5,503 x 100</t>
        </is>
      </c>
      <c r="D24" s="157" t="n">
        <v>61144</v>
      </c>
      <c r="E24" s="156" t="inlineStr">
        <is>
          <t>GA, Middle</t>
        </is>
      </c>
      <c r="F24" s="156" t="inlineStr"/>
      <c r="G24" s="159" t="inlineStr">
        <is>
          <t>https://en.wikipedia.org/wiki/Shelbyville_Municipal_Airport_(Tennessee)</t>
        </is>
      </c>
    </row>
    <row r="25">
      <c r="A25" s="156" t="inlineStr">
        <is>
          <t>Gatlinburg-Pigeon Forge (GKT)</t>
        </is>
      </c>
      <c r="B25" s="156" t="inlineStr">
        <is>
          <t>10/28</t>
        </is>
      </c>
      <c r="C25" s="156" t="inlineStr">
        <is>
          <t>5,506 x 75</t>
        </is>
      </c>
      <c r="D25" s="157" t="n">
        <v>45883</v>
      </c>
      <c r="E25" s="156" t="inlineStr">
        <is>
          <t>GA, East</t>
        </is>
      </c>
      <c r="F25" s="156" t="inlineStr">
        <is>
          <t>75-ft width</t>
        </is>
      </c>
      <c r="G25" s="159" t="inlineStr">
        <is>
          <t>https://en.wikipedia.org/wiki/Gatlinburg%E2%80%93Pigeon_Forge_Airport</t>
        </is>
      </c>
    </row>
    <row r="26">
      <c r="A26" s="156" t="inlineStr">
        <is>
          <t>Outlaw Field, Clarksville (CKV)</t>
        </is>
      </c>
      <c r="B26" s="156" t="inlineStr">
        <is>
          <t>17/35</t>
        </is>
      </c>
      <c r="C26" s="156" t="inlineStr">
        <is>
          <t>5,999 x 100</t>
        </is>
      </c>
      <c r="D26" s="157" t="n">
        <v>66656</v>
      </c>
      <c r="E26" s="156" t="inlineStr">
        <is>
          <t>GA, Middle</t>
        </is>
      </c>
      <c r="F26" s="156" t="inlineStr">
        <is>
          <t>used in the new-project test</t>
        </is>
      </c>
      <c r="G26" s="159" t="inlineStr">
        <is>
          <t>https://en.wikipedia.org/wiki/Clarksville%E2%80%93Montgomery_County_Regional_Airport</t>
        </is>
      </c>
    </row>
    <row r="27">
      <c r="A27" s="156" t="inlineStr">
        <is>
          <t>McKellar-Sipes Regional (MKL)</t>
        </is>
      </c>
      <c r="B27" s="156" t="inlineStr">
        <is>
          <t>2/20</t>
        </is>
      </c>
      <c r="C27" s="156" t="inlineStr">
        <is>
          <t>6,005 x 150</t>
        </is>
      </c>
      <c r="D27" s="157" t="n">
        <v>100083</v>
      </c>
      <c r="E27" s="156" t="inlineStr">
        <is>
          <t>GA, West</t>
        </is>
      </c>
      <c r="F27" s="156" t="inlineStr">
        <is>
          <t>rebuilt 2024, ~$28M all-in</t>
        </is>
      </c>
      <c r="G27" s="159" t="inlineStr">
        <is>
          <t>https://www.wbbjtv.com/2024/08/28/mckellar-sipes-regional-airport-set-to-complete-runway-2-20-paving-preparing-for-new-jet-service/</t>
        </is>
      </c>
    </row>
    <row r="28">
      <c r="A28" s="156" t="inlineStr">
        <is>
          <t>Smyrna (MQY)</t>
        </is>
      </c>
      <c r="B28" s="156" t="inlineStr">
        <is>
          <t>1/19</t>
        </is>
      </c>
      <c r="C28" s="156" t="inlineStr">
        <is>
          <t>5,546 x 100</t>
        </is>
      </c>
      <c r="D28" s="157" t="n">
        <v>61622</v>
      </c>
      <c r="E28" s="156" t="inlineStr">
        <is>
          <t>GA, Middle</t>
        </is>
      </c>
      <c r="F28" s="156" t="inlineStr">
        <is>
          <t>reconstructed 2025, ~$13M all-in</t>
        </is>
      </c>
      <c r="G28" s="159" t="inlineStr">
        <is>
          <t>https://www.smyrnaairport.com/news-events/smyrna-airport-runway-119-grand-opening</t>
        </is>
      </c>
    </row>
    <row r="29">
      <c r="A29" s="156" t="inlineStr">
        <is>
          <t>Smyrna (MQY)</t>
        </is>
      </c>
      <c r="B29" s="156" t="inlineStr">
        <is>
          <t>14/32</t>
        </is>
      </c>
      <c r="C29" s="156" t="inlineStr">
        <is>
          <t>8,038 x 150</t>
        </is>
      </c>
      <c r="D29" s="157" t="n">
        <v>133967</v>
      </c>
      <c r="E29" s="156" t="inlineStr">
        <is>
          <t>GA, Middle</t>
        </is>
      </c>
      <c r="F29" s="156" t="inlineStr">
        <is>
          <t>former military</t>
        </is>
      </c>
      <c r="G29" s="159" t="inlineStr">
        <is>
          <t>https://en.wikipedia.org/wiki/Smyrna_Airport_(Tennessee)</t>
        </is>
      </c>
    </row>
    <row r="30">
      <c r="A30" s="156" t="inlineStr">
        <is>
          <t>Typical TN GA runway</t>
        </is>
      </c>
      <c r="B30" s="156" t="inlineStr"/>
      <c r="C30" s="156" t="inlineStr">
        <is>
          <t>4,000 to 6,000 x 75 or 100</t>
        </is>
      </c>
      <c r="D30" s="156" t="inlineStr">
        <is>
          <t>33,000 to 67,000</t>
        </is>
      </c>
      <c r="E30" s="156" t="inlineStr"/>
      <c r="F30" s="156" t="inlineStr">
        <is>
          <t>TASP Regional Service minimum width 100 ft</t>
        </is>
      </c>
      <c r="G30" s="159" t="inlineStr">
        <is>
          <t>https://www.tasp2040.com/wp-content/uploads/2020/12/Chapter-7-Airport-Classifications-and-NPIAS-Evaluation.pdf</t>
        </is>
      </c>
    </row>
    <row r="31">
      <c r="A31" s="156" t="inlineStr">
        <is>
          <t>Markings area rule of thumb</t>
        </is>
      </c>
      <c r="B31" s="156" t="inlineStr"/>
      <c r="C31" s="156" t="inlineStr"/>
      <c r="D31" s="156" t="inlineStr"/>
      <c r="E31" s="156" t="inlineStr"/>
      <c r="F31" s="156" t="inlineStr">
        <is>
          <t>2,000 to 3,000 SF per 1,000 ft of runway for a full runway marking set (centerline, thresholds, designators, aiming points, TDZ where applicable); use the marking plan quantity when available</t>
        </is>
      </c>
      <c r="G31" s="156" t="inlineStr">
        <is>
          <t>engineering judgement; verify with the marking plan</t>
        </is>
      </c>
    </row>
    <row r="32" ht="26" customHeight="1">
      <c r="A32" s="152" t="inlineStr">
        <is>
          <t>Mainline area = length x width / 9. Shoulders (D27) are usually unpaved at TN GA airports; enter paved shoulders only. Area drives the closure-day defaults on the alternative sheets.</t>
        </is>
      </c>
    </row>
    <row r="34">
      <c r="A34" s="153" t="inlineStr">
        <is>
          <t>3. Unit costs: workbook defaults (Pay_Items, column F) against recent bids</t>
        </is>
      </c>
      <c r="B34" s="154" t="n"/>
      <c r="C34" s="154" t="n"/>
      <c r="D34" s="154" t="n"/>
      <c r="E34" s="154" t="n"/>
      <c r="F34" s="154" t="n"/>
      <c r="G34" s="154" t="n"/>
    </row>
    <row r="35">
      <c r="A35" s="155" t="inlineStr">
        <is>
          <t>Pay item</t>
        </is>
      </c>
      <c r="B35" s="155" t="inlineStr">
        <is>
          <t>Workbook default (live)</t>
        </is>
      </c>
      <c r="C35" s="155" t="inlineStr">
        <is>
          <t>Unit</t>
        </is>
      </c>
      <c r="D35" s="155" t="inlineStr">
        <is>
          <t>Recent bid range</t>
        </is>
      </c>
      <c r="E35" s="155" t="inlineStr">
        <is>
          <t>Year</t>
        </is>
      </c>
      <c r="F35" s="155" t="inlineStr">
        <is>
          <t>Reading</t>
        </is>
      </c>
      <c r="G35" s="155" t="inlineStr">
        <is>
          <t>Source</t>
        </is>
      </c>
    </row>
    <row r="36">
      <c r="A36" s="156" t="inlineStr">
        <is>
          <t>P-401 Asphalt Surface Course</t>
        </is>
      </c>
      <c r="B36" s="160">
        <f>IFERROR(VLOOKUP("Asphalt Surface Course",Pay_Items!$D:$F,3,0),"")</f>
        <v/>
      </c>
      <c r="C36" s="156" t="inlineStr">
        <is>
          <t>$/ton</t>
        </is>
      </c>
      <c r="D36" s="156" t="inlineStr">
        <is>
          <t>185 (low bid) to 232 (engineer's estimate)</t>
        </is>
      </c>
      <c r="E36" s="157" t="n">
        <v>2025</v>
      </c>
      <c r="F36" s="156" t="inlineStr">
        <is>
          <t>Workbook default looks low against 2025 southeastern bids; confirm before relying on the default</t>
        </is>
      </c>
      <c r="G36" s="159" t="inlineStr">
        <is>
          <t>https://aeronautics.sc.gov/sites/default/files/2025-05/250521_FLO_Rehab_Twy_A.pdf</t>
        </is>
      </c>
    </row>
    <row r="37">
      <c r="A37" s="156" t="inlineStr">
        <is>
          <t>P-401 Asphalt Base Course</t>
        </is>
      </c>
      <c r="B37" s="160">
        <f>IFERROR(VLOOKUP("Asphalt Base Course",Pay_Items!$D:$F,3,0),"")</f>
        <v/>
      </c>
      <c r="C37" s="156" t="inlineStr">
        <is>
          <t>$/ton</t>
        </is>
      </c>
      <c r="D37" s="156" t="inlineStr">
        <is>
          <t>typically 5 to 10% below surface course</t>
        </is>
      </c>
      <c r="E37" s="156" t="inlineStr"/>
      <c r="F37" s="156" t="inlineStr"/>
      <c r="G37" s="159" t="inlineStr">
        <is>
          <t>https://aeronautics.sc.gov/airport-development/sc-airport-capital-project-bid-tabulations</t>
        </is>
      </c>
    </row>
    <row r="38">
      <c r="A38" s="156" t="inlineStr">
        <is>
          <t>P-501 Concrete Pavement, 9-inch</t>
        </is>
      </c>
      <c r="B38" s="160">
        <f>IFERROR(VLOOKUP("Concrete Pavement, 9-inch",Pay_Items!$D:$F,3,0),"")</f>
        <v/>
      </c>
      <c r="C38" s="156" t="inlineStr">
        <is>
          <t>$/SY</t>
        </is>
      </c>
      <c r="D38" s="156" t="inlineStr">
        <is>
          <t>165 (8-in doweled apron, planning value)</t>
        </is>
      </c>
      <c r="E38" s="157" t="n">
        <v>2023</v>
      </c>
      <c r="F38" s="156" t="inlineStr">
        <is>
          <t>Planning value from another state DOT; obtain a TN or southeastern PCC bid before use</t>
        </is>
      </c>
      <c r="G38" s="159" t="inlineStr">
        <is>
          <t>https://www.dot.state.mn.us/aero/planning/documents/sasp/saspappendixf.pdf</t>
        </is>
      </c>
    </row>
    <row r="39">
      <c r="A39" s="156" t="inlineStr">
        <is>
          <t>P-209 Crushed Aggregate Base Course</t>
        </is>
      </c>
      <c r="B39" s="160">
        <f>IFERROR(VLOOKUP("Crushed Aggregate Base Course",Pay_Items!$D:$F,3,0),"")</f>
        <v/>
      </c>
      <c r="C39" s="156" t="inlineStr">
        <is>
          <t>$/CY</t>
        </is>
      </c>
      <c r="D39" s="156" t="inlineStr">
        <is>
          <t>not found in open sources; see SC bid tabs</t>
        </is>
      </c>
      <c r="E39" s="156" t="inlineStr"/>
      <c r="F39" s="156" t="inlineStr"/>
      <c r="G39" s="159" t="inlineStr">
        <is>
          <t>https://aeronautics.sc.gov/airport-development/sc-airport-capital-project-bid-tabulations</t>
        </is>
      </c>
    </row>
    <row r="40">
      <c r="A40" s="156" t="inlineStr">
        <is>
          <t>P-154 Subbase Course</t>
        </is>
      </c>
      <c r="B40" s="160">
        <f>IFERROR(VLOOKUP("Subbase Course",Pay_Items!$D:$F,3,0),"")</f>
        <v/>
      </c>
      <c r="C40" s="156" t="inlineStr">
        <is>
          <t>$/CY</t>
        </is>
      </c>
      <c r="D40" s="156" t="inlineStr">
        <is>
          <t>not found in open sources; see SC bid tabs</t>
        </is>
      </c>
      <c r="E40" s="156" t="inlineStr"/>
      <c r="F40" s="156" t="inlineStr"/>
      <c r="G40" s="159" t="inlineStr">
        <is>
          <t>https://aeronautics.sc.gov/airport-development/sc-airport-capital-project-bid-tabulations</t>
        </is>
      </c>
    </row>
    <row r="41">
      <c r="A41" s="156" t="inlineStr">
        <is>
          <t>P-101 Cold Milling</t>
        </is>
      </c>
      <c r="B41" s="160">
        <f>IFERROR(VLOOKUP("Cold Milling",Pay_Items!$D:$F,3,0),"")</f>
        <v/>
      </c>
      <c r="C41" s="156" t="inlineStr">
        <is>
          <t>$/SY</t>
        </is>
      </c>
      <c r="D41" s="156" t="inlineStr">
        <is>
          <t>4.70 (3-in, low bid) to 10.00 (variable depth, EE)</t>
        </is>
      </c>
      <c r="E41" s="157" t="n">
        <v>2025</v>
      </c>
      <c r="F41" s="156" t="inlineStr"/>
      <c r="G41" s="159" t="inlineStr">
        <is>
          <t>https://aeronautics.sc.gov/sites/default/files/2025-05/250521_FLO_Rehab_Twy_A.pdf</t>
        </is>
      </c>
    </row>
    <row r="42">
      <c r="A42" s="156" t="inlineStr">
        <is>
          <t>P-608 Emulsified Asphalt Surface Treatment</t>
        </is>
      </c>
      <c r="B42" s="160">
        <f>IFERROR(VLOOKUP("Emulsified Asphalt Surface Treatment",Pay_Items!$D:$F,3,0),"")</f>
        <v/>
      </c>
      <c r="C42" s="156" t="inlineStr">
        <is>
          <t>$/SY</t>
        </is>
      </c>
      <c r="D42" s="156" t="inlineStr">
        <is>
          <t>TDOT APMM 2022 Summary of Bids</t>
        </is>
      </c>
      <c r="E42" s="157" t="n">
        <v>2022</v>
      </c>
      <c r="F42" s="156" t="inlineStr">
        <is>
          <t>State maintenance contract prices apply to seal coats and crack sealing</t>
        </is>
      </c>
      <c r="G42" s="159" t="inlineStr">
        <is>
          <t>https://www.tn.gov/tdot/aeronautics/apmm-contract.html</t>
        </is>
      </c>
    </row>
    <row r="43">
      <c r="A43" s="156" t="inlineStr">
        <is>
          <t>P-620 Markings (reflective)</t>
        </is>
      </c>
      <c r="B43" s="160">
        <f>IFERROR(VLOOKUP("Markings (prep, markings, reflective media)",Pay_Items!$D:$F,3,0),"")</f>
        <v/>
      </c>
      <c r="C43" s="156" t="inlineStr">
        <is>
          <t>$/SF</t>
        </is>
      </c>
      <c r="D43" s="156" t="inlineStr">
        <is>
          <t>TDOT APMM 2022 Summary of Bids</t>
        </is>
      </c>
      <c r="E43" s="157" t="n">
        <v>2022</v>
      </c>
      <c r="F43" s="156" t="inlineStr"/>
      <c r="G43" s="159" t="inlineStr">
        <is>
          <t>https://www.tn.gov/tdot/aeronautics/apmm-contract.html</t>
        </is>
      </c>
    </row>
    <row r="44">
      <c r="A44" s="156" t="inlineStr">
        <is>
          <t>All-in runway reconstruction, TN 2024-2025 (pavement + lighting + grading)</t>
        </is>
      </c>
      <c r="B44" s="156" t="inlineStr"/>
      <c r="C44" s="156" t="inlineStr">
        <is>
          <t>$/SY</t>
        </is>
      </c>
      <c r="D44" s="156" t="inlineStr">
        <is>
          <t>210 (Smyrna 1/19) to 280 (MKL 2/20)</t>
        </is>
      </c>
      <c r="E44" s="157" t="n">
        <v>2025</v>
      </c>
      <c r="F44" s="156" t="inlineStr">
        <is>
          <t>Project-level figures; the LCCA compares pavement pay items only</t>
        </is>
      </c>
      <c r="G44" s="159" t="inlineStr">
        <is>
          <t>https://www.smyrnaairport.com/news-events/smyrna-airport-runway-119-grand-opening</t>
        </is>
      </c>
    </row>
    <row r="45">
      <c r="A45" s="156" t="inlineStr">
        <is>
          <t>State maintenance project example (Dyersburg): &gt;200,000 LF crack seal, &gt;121,000 SY seal coat, markings</t>
        </is>
      </c>
      <c r="B45" s="157" t="n">
        <v>820000</v>
      </c>
      <c r="C45" s="156" t="inlineStr">
        <is>
          <t>$</t>
        </is>
      </c>
      <c r="D45" s="156" t="inlineStr"/>
      <c r="E45" s="157" t="n">
        <v>2023</v>
      </c>
      <c r="F45" s="156" t="inlineStr">
        <is>
          <t>about $5/SY of runway treated</t>
        </is>
      </c>
      <c r="G45" s="159" t="inlineStr">
        <is>
          <t>https://www.stategazette.com/news/regional-airport-receives-state-grant/article_5fd852fd-1d67-525c-b6fc-b32fbc676bdc.html</t>
        </is>
      </c>
    </row>
    <row r="46" ht="26" customHeight="1">
      <c r="A46" s="15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53" t="inlineStr">
        <is>
          <t>4. Closure-day defaults built into the alternative sheets (cells F4:F10; override with project-specific values)</t>
        </is>
      </c>
      <c r="B48" s="154" t="n"/>
      <c r="C48" s="154" t="n"/>
      <c r="D48" s="154" t="n"/>
      <c r="E48" s="154" t="n"/>
      <c r="F48" s="154" t="n"/>
      <c r="G48" s="154" t="n"/>
    </row>
    <row r="49">
      <c r="A49" s="155" t="inlineStr">
        <is>
          <t>Operation</t>
        </is>
      </c>
      <c r="B49" s="155" t="inlineStr">
        <is>
          <t>Production rate in the formula</t>
        </is>
      </c>
      <c r="C49" s="155" t="inlineStr">
        <is>
          <t>Days for a 6,000 x 100 ft runway (66,667 SY, 15,000 SF markings)</t>
        </is>
      </c>
      <c r="D49" s="155" t="inlineStr">
        <is>
          <t>Where used</t>
        </is>
      </c>
      <c r="E49" s="155" t="inlineStr">
        <is>
          <t>Note</t>
        </is>
      </c>
      <c r="F49" s="155" t="inlineStr"/>
      <c r="G49" s="155" t="inlineStr">
        <is>
          <t>Source</t>
        </is>
      </c>
    </row>
    <row r="50">
      <c r="A50" s="156" t="inlineStr">
        <is>
          <t>Surface treatment (seal coat)</t>
        </is>
      </c>
      <c r="B50" s="156" t="inlineStr">
        <is>
          <t>15,000 SY/day</t>
        </is>
      </c>
      <c r="C50" s="156">
        <f>ROUNDUP(66667/15000,0)</f>
        <v/>
      </c>
      <c r="D50" s="156" t="inlineStr">
        <is>
          <t>HMA Maintenance 1-6</t>
        </is>
      </c>
      <c r="E50" s="156" t="inlineStr">
        <is>
          <t>each operation is rounded up to whole days</t>
        </is>
      </c>
      <c r="F50" s="156" t="inlineStr"/>
      <c r="G50" s="156" t="inlineStr">
        <is>
          <t>this workbook (MBT and SRB runs)</t>
        </is>
      </c>
    </row>
    <row r="51">
      <c r="A51" s="156" t="inlineStr">
        <is>
          <t>Markings: paint / layout and removal</t>
        </is>
      </c>
      <c r="B51" s="156" t="inlineStr">
        <is>
          <t>20,000 SF/day and 50,000 SF/day</t>
        </is>
      </c>
      <c r="C51" s="156">
        <f>ROUNDUP(15000/20000,0)+ROUNDUP(15000/50000,0)</f>
        <v/>
      </c>
      <c r="D51" s="156" t="inlineStr">
        <is>
          <t>every HMA activity</t>
        </is>
      </c>
      <c r="E51" s="156" t="inlineStr"/>
      <c r="F51" s="156" t="inlineStr"/>
      <c r="G51" s="156" t="inlineStr">
        <is>
          <t>this workbook</t>
        </is>
      </c>
    </row>
    <row r="52">
      <c r="A52" s="156" t="inlineStr">
        <is>
          <t>Patching</t>
        </is>
      </c>
      <c r="B52" s="156" t="inlineStr">
        <is>
          <t>10,000 SY of pavement per day at the policy rate (0.75% to 1.25% of area)</t>
        </is>
      </c>
      <c r="C52" s="156">
        <f>ROUNDUP(66667*0.0075/10000,0)</f>
        <v/>
      </c>
      <c r="D52" s="156" t="inlineStr">
        <is>
          <t>HMA Maintenance 3, 4, 6</t>
        </is>
      </c>
      <c r="E52" s="156" t="inlineStr"/>
      <c r="F52" s="156" t="inlineStr"/>
      <c r="G52" s="156" t="inlineStr">
        <is>
          <t>this workbook</t>
        </is>
      </c>
    </row>
    <row r="53">
      <c r="A53" s="156" t="inlineStr">
        <is>
          <t>Crack sealing</t>
        </is>
      </c>
      <c r="B53" s="156" t="inlineStr">
        <is>
          <t>5,000 SY of pavement per day at the policy rate (3.25% to 4% of area)</t>
        </is>
      </c>
      <c r="C53" s="156">
        <f>ROUNDUP(66667*0.0325/5000,0)</f>
        <v/>
      </c>
      <c r="D53" s="156" t="inlineStr">
        <is>
          <t>HMA Maintenance 3, 4, 6</t>
        </is>
      </c>
      <c r="E53" s="156" t="inlineStr"/>
      <c r="F53" s="156" t="inlineStr"/>
      <c r="G53" s="156" t="inlineStr">
        <is>
          <t>this workbook</t>
        </is>
      </c>
    </row>
    <row r="54">
      <c r="A54" s="156" t="inlineStr">
        <is>
          <t>Mill and overlay (4 in)</t>
        </is>
      </c>
      <c r="B54" s="156" t="inlineStr">
        <is>
          <t>3,800 SY/day</t>
        </is>
      </c>
      <c r="C54" s="156">
        <f>ROUNDUP(66667/3800,0)+ROUNDUP(15000/50000,0)</f>
        <v/>
      </c>
      <c r="D54" s="156" t="inlineStr">
        <is>
          <t>HMA Rehabilitation 1</t>
        </is>
      </c>
      <c r="E54" s="156" t="inlineStr">
        <is>
          <t>the largest HMA closure</t>
        </is>
      </c>
      <c r="F54" s="156" t="inlineStr"/>
      <c r="G54" s="156" t="inlineStr">
        <is>
          <t>this workbook</t>
        </is>
      </c>
    </row>
    <row r="55">
      <c r="A55" s="156" t="inlineStr">
        <is>
          <t>PCC joint resealing</t>
        </is>
      </c>
      <c r="B55" s="156" t="inlineStr">
        <is>
          <t>about 1 LF of joint per SY of slab, 10,000 LF/day</t>
        </is>
      </c>
      <c r="C55" s="156">
        <f>ROUNDUP(66667*550/(50*100/9)/10000,0)</f>
        <v/>
      </c>
      <c r="D55" s="156" t="inlineStr">
        <is>
          <t>PCC Maintenance 1 and Rehabilitation 1</t>
        </is>
      </c>
      <c r="E55" s="156" t="inlineStr"/>
      <c r="F55" s="156" t="inlineStr"/>
      <c r="G55" s="156" t="inlineStr">
        <is>
          <t>this workbook</t>
        </is>
      </c>
    </row>
    <row r="56">
      <c r="A56" s="156" t="inlineStr">
        <is>
          <t>PCC crack sealing, partial- and full-depth patching</t>
        </is>
      </c>
      <c r="B56" s="156" t="inlineStr">
        <is>
          <t>5,000 to 10,000 SY of pavement per day at the policy rate</t>
        </is>
      </c>
      <c r="C56" s="156">
        <f>ROUNDUP(66667*0.003/10000,0)+ROUNDUP(66667*0.0013/5000,0)+ROUNDUP(66667*0.0025/5000,0)</f>
        <v/>
      </c>
      <c r="D56" s="156" t="inlineStr">
        <is>
          <t>PCC Maintenance 1</t>
        </is>
      </c>
      <c r="E56" s="156" t="inlineStr"/>
      <c r="F56" s="156" t="inlineStr"/>
      <c r="G56" s="156" t="inlineStr">
        <is>
          <t>this workbook</t>
        </is>
      </c>
    </row>
    <row r="57">
      <c r="A57" s="156" t="inlineStr">
        <is>
          <t>PCC slab replacement (2% of area) + cure</t>
        </is>
      </c>
      <c r="B57" s="156" t="inlineStr">
        <is>
          <t>1,000 SY/day plus 7 days cure</t>
        </is>
      </c>
      <c r="C57" s="156">
        <f>ROUNDUP(66667*0.02/1000,0)+7</f>
        <v/>
      </c>
      <c r="D57" s="156" t="inlineStr">
        <is>
          <t>PCC Rehabilitation 1</t>
        </is>
      </c>
      <c r="E57" s="156" t="inlineStr">
        <is>
          <t>the largest PCC closure</t>
        </is>
      </c>
      <c r="F57" s="156" t="inlineStr"/>
      <c r="G57" s="156" t="inlineStr">
        <is>
          <t>this workbook</t>
        </is>
      </c>
    </row>
    <row r="58">
      <c r="A58" s="156" t="inlineStr">
        <is>
          <t>Typical totals over 30 years</t>
        </is>
      </c>
      <c r="B58" s="156" t="inlineStr"/>
      <c r="C58" s="156" t="inlineStr">
        <is>
          <t>HMA 57 to 67 days in 7 closures; PCC 27 to 29 days in 2 closures</t>
        </is>
      </c>
      <c r="D58" s="156" t="inlineStr">
        <is>
          <t>Summary column Q</t>
        </is>
      </c>
      <c r="E58" s="156" t="inlineStr">
        <is>
          <t>MBT (52,778 SY) and CKV test (66,667 SY)</t>
        </is>
      </c>
      <c r="F58" s="156" t="inlineStr"/>
      <c r="G58" s="156" t="inlineStr">
        <is>
          <t>this workbook</t>
        </is>
      </c>
    </row>
    <row r="59" ht="26" customHeight="1">
      <c r="A59" s="15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53" t="inlineStr">
        <is>
          <t>5. Economic parameters (D33 analysis period, D34 discount rate, salvage)</t>
        </is>
      </c>
      <c r="B61" s="154" t="n"/>
      <c r="C61" s="154" t="n"/>
      <c r="D61" s="154" t="n"/>
      <c r="E61" s="154" t="n"/>
      <c r="F61" s="154" t="n"/>
      <c r="G61" s="154" t="n"/>
    </row>
    <row r="62">
      <c r="A62" s="155" t="inlineStr">
        <is>
          <t>Parameter</t>
        </is>
      </c>
      <c r="B62" s="155" t="inlineStr">
        <is>
          <t>Value</t>
        </is>
      </c>
      <c r="C62" s="155" t="inlineStr">
        <is>
          <t>Applies to</t>
        </is>
      </c>
      <c r="D62" s="155" t="inlineStr">
        <is>
          <t>Year</t>
        </is>
      </c>
      <c r="E62" s="155" t="inlineStr"/>
      <c r="F62" s="155" t="inlineStr">
        <is>
          <t>Reading</t>
        </is>
      </c>
      <c r="G62" s="155" t="inlineStr">
        <is>
          <t>Source</t>
        </is>
      </c>
    </row>
    <row r="63">
      <c r="A63" s="156" t="inlineStr">
        <is>
          <t>TDOT policy discount rate (workbook default)</t>
        </is>
      </c>
      <c r="B63" s="160">
        <f>'General Information'!$D$34</f>
        <v/>
      </c>
      <c r="C63" s="156" t="inlineStr">
        <is>
          <t>%</t>
        </is>
      </c>
      <c r="D63" s="156" t="inlineStr"/>
      <c r="E63" s="156" t="inlineStr"/>
      <c r="F63" s="156" t="inlineStr">
        <is>
          <t>live from General Information D34</t>
        </is>
      </c>
      <c r="G63" s="156" t="inlineStr">
        <is>
          <t>this workbook</t>
        </is>
      </c>
    </row>
    <row r="64">
      <c r="A64" s="156" t="inlineStr">
        <is>
          <t>TDOT policy analysis period (workbook default)</t>
        </is>
      </c>
      <c r="B64" s="160">
        <f>'General Information'!$D$33</f>
        <v/>
      </c>
      <c r="C64" s="156" t="inlineStr">
        <is>
          <t>years</t>
        </is>
      </c>
      <c r="D64" s="156" t="inlineStr"/>
      <c r="E64" s="156" t="inlineStr"/>
      <c r="F64" s="156" t="inlineStr">
        <is>
          <t>live from General Information D33</t>
        </is>
      </c>
      <c r="G64" s="156" t="inlineStr">
        <is>
          <t>this workbook</t>
        </is>
      </c>
    </row>
    <row r="65">
      <c r="A65" s="156" t="inlineStr">
        <is>
          <t>FAA AIP: discount rate for pavement cost-effectiveness (PGL 22-01, June 2022)</t>
        </is>
      </c>
      <c r="B65" s="156" t="inlineStr">
        <is>
          <t>OMB Circular A-94 Appendix C real rate for the analysis period</t>
        </is>
      </c>
      <c r="C65" s="156" t="inlineStr">
        <is>
          <t>%</t>
        </is>
      </c>
      <c r="D65" s="158" t="n">
        <v>2022</v>
      </c>
      <c r="E65" s="156" t="inlineStr"/>
      <c r="F65" s="156" t="inlineStr">
        <is>
          <t>Replaced the fixed 7% rule; the analysis period is now the engineer's choice (the fixed 20-year requirement was removed)</t>
        </is>
      </c>
      <c r="G65" s="159" t="inlineStr">
        <is>
          <t>https://www.faa.gov/airports/aip/guidance_letters/aip_pgl_22_01</t>
        </is>
      </c>
    </row>
    <row r="66">
      <c r="A66" s="156" t="inlineStr">
        <is>
          <t>OMB A-94 Appendix C real rate, 20-year and 30-year (calendar 2026)</t>
        </is>
      </c>
      <c r="B66" s="157" t="n">
        <v>2</v>
      </c>
      <c r="C66" s="156" t="inlineStr">
        <is>
          <t>%</t>
        </is>
      </c>
      <c r="D66" s="158" t="n">
        <v>2026</v>
      </c>
      <c r="E66" s="156" t="inlineStr"/>
      <c r="F66" s="156" t="inlineStr">
        <is>
          <t>Revised March 2026 (OMB memo M-26-09); 2025 values were 1.8% (10-yr) and 2.3% (30-yr)</t>
        </is>
      </c>
      <c r="G66" s="159" t="inlineStr">
        <is>
          <t>https://www.whitehouse.gov/wp-content/uploads/2026/03/CircularA-94Appendix-C.pdf</t>
        </is>
      </c>
    </row>
    <row r="67">
      <c r="A67" s="156" t="inlineStr">
        <is>
          <t>Legacy FAA AIP rule before PGL 22-01</t>
        </is>
      </c>
      <c r="B67" s="156" t="inlineStr">
        <is>
          <t>7% and 20 years</t>
        </is>
      </c>
      <c r="C67" s="156" t="inlineStr"/>
      <c r="D67" s="158" t="n">
        <v>2014</v>
      </c>
      <c r="E67" s="156" t="inlineStr"/>
      <c r="F67" s="156" t="inlineStr">
        <is>
          <t>AIP Handbook (Order 5100.38D) pavement LCCA table; also the 1992 A-94 benefit-cost base case reinstated by OMB M-25-23 (April 2025) for BCA, not for cost-effectiveness</t>
        </is>
      </c>
      <c r="G67" s="159" t="inlineStr">
        <is>
          <t>https://www.whitehouse.gov/wp-content/uploads/2025/02/M-25-23-Rescission-and-Reinstatement-of-Circular-No.-A-94.pdf</t>
        </is>
      </c>
    </row>
    <row r="68">
      <c r="A68" s="156" t="inlineStr">
        <is>
          <t>FAA AC 150/5320-6E Appendix 1 (superseded)</t>
        </is>
      </c>
      <c r="B68" s="156" t="inlineStr">
        <is>
          <t>4% and 20 years; straight-line residual value</t>
        </is>
      </c>
      <c r="C68" s="156" t="inlineStr"/>
      <c r="D68" s="158" t="n">
        <v>2009</v>
      </c>
      <c r="E68" s="156" t="inlineStr"/>
      <c r="F68" s="156" t="inlineStr">
        <is>
          <t>Dropped in 6F/6G; still widely cited</t>
        </is>
      </c>
      <c r="G68" s="159" t="inlineStr">
        <is>
          <t>https://www.faa.gov/documentLibrary/media/Advisory_Circular/150_5320_6e_part4.pdf</t>
        </is>
      </c>
    </row>
    <row r="69">
      <c r="A69" s="156" t="inlineStr">
        <is>
          <t>AAPTP 06-06 airport LCCA guide (Auburn/NCAT)</t>
        </is>
      </c>
      <c r="B69" s="156" t="inlineStr">
        <is>
          <t>4%, 20 years, NPW, remaining-life salvage; user cost includes lost airport revenue</t>
        </is>
      </c>
      <c r="C69" s="156" t="inlineStr"/>
      <c r="D69" s="158" t="n">
        <v>2011</v>
      </c>
      <c r="E69" s="156" t="inlineStr"/>
      <c r="F69" s="156" t="inlineStr">
        <is>
          <t>Basis for the "airport daily revenue" approach used here</t>
        </is>
      </c>
      <c r="G69" s="159" t="inlineStr">
        <is>
          <t>https://www.eng.auburn.edu/research/centers/ncat/files/aaptp/Report.Final.06-06.pdf</t>
        </is>
      </c>
    </row>
    <row r="70">
      <c r="A70" s="156" t="inlineStr">
        <is>
          <t>Caltrans LCCA manual / RealCost</t>
        </is>
      </c>
      <c r="B70" s="156" t="inlineStr">
        <is>
          <t>4% real; 20 / 35 / 55 years (CAPM / rehabilitation / new construction)</t>
        </is>
      </c>
      <c r="C70" s="156" t="inlineStr"/>
      <c r="D70" s="158" t="n">
        <v>2013</v>
      </c>
      <c r="E70" s="156" t="inlineStr"/>
      <c r="F70" s="156" t="inlineStr">
        <is>
          <t>Agency and user costs reported as present value and EUAC; the Summary comparison block follows that layout</t>
        </is>
      </c>
      <c r="G70" s="159" t="inlineStr">
        <is>
          <t>https://dot.ca.gov/-/media/dot-media/programs/maintenance/documents/office-of-concrete-pavement/life-cycle-cost-analysis/lcca-25ca-manual-final-aug-1-2013-v2-a11y.pdf</t>
        </is>
      </c>
    </row>
    <row r="71">
      <c r="A71" s="156" t="inlineStr">
        <is>
          <t>Structural design life (FAARFIELD, AC 150/5320-6G)</t>
        </is>
      </c>
      <c r="B71" s="157" t="n">
        <v>20</v>
      </c>
      <c r="C71" s="156" t="inlineStr">
        <is>
          <t>years</t>
        </is>
      </c>
      <c r="D71" s="158" t="n">
        <v>2021</v>
      </c>
      <c r="E71" s="156" t="inlineStr"/>
      <c r="F71" s="156" t="inlineStr">
        <is>
          <t>design life, not service life</t>
        </is>
      </c>
      <c r="G71" s="159" t="inlineStr">
        <is>
          <t>https://www.faa.gov/documentLibrary/media/Advisory_Circular/150-5320-6G-Pavement-Design.pdf</t>
        </is>
      </c>
    </row>
    <row r="72">
      <c r="A72" s="156" t="inlineStr">
        <is>
          <t>Salvage: HMA</t>
        </is>
      </c>
      <c r="B72" s="160">
        <f>'Maintenance Policies'!$D$32</f>
        <v/>
      </c>
      <c r="C72" s="156" t="inlineStr">
        <is>
          <t>fraction of the last mill-and-overlay</t>
        </is>
      </c>
      <c r="D72" s="156" t="inlineStr"/>
      <c r="E72" s="156" t="inlineStr"/>
      <c r="F72" s="156" t="inlineStr">
        <is>
          <t>live from Maintenance Policies D32 (policy: 2 of 16 years remaining)</t>
        </is>
      </c>
      <c r="G72" s="156" t="inlineStr">
        <is>
          <t>this workbook</t>
        </is>
      </c>
    </row>
    <row r="73">
      <c r="A73" s="156" t="inlineStr">
        <is>
          <t>Salvage: PCC</t>
        </is>
      </c>
      <c r="B73" s="160">
        <f>'Maintenance Policies'!$D$46</f>
        <v/>
      </c>
      <c r="C73" s="156" t="inlineStr">
        <is>
          <t>fraction of initial construction</t>
        </is>
      </c>
      <c r="D73" s="156" t="inlineStr"/>
      <c r="E73" s="156" t="inlineStr"/>
      <c r="F73" s="156" t="inlineStr">
        <is>
          <t>live from Maintenance Policies D46 (policy: 10 of 40 years remaining)</t>
        </is>
      </c>
      <c r="G73" s="156" t="inlineStr">
        <is>
          <t>this workbook</t>
        </is>
      </c>
    </row>
    <row r="74">
      <c r="A74" s="156" t="inlineStr">
        <is>
          <t>Salvage method in FAA / AAPTP guidance</t>
        </is>
      </c>
      <c r="B74" s="156" t="inlineStr">
        <is>
          <t>remaining life / expected life x cost of the last treatment (straight line)</t>
        </is>
      </c>
      <c r="C74" s="156" t="inlineStr"/>
      <c r="D74" s="158" t="n">
        <v>2011</v>
      </c>
      <c r="E74" s="156" t="inlineStr"/>
      <c r="F74" s="156" t="inlineStr">
        <is>
          <t>the workbook policy follows this form; the fractions above are the policy decision flagged in the change notes</t>
        </is>
      </c>
      <c r="G74" s="159" t="inlineStr">
        <is>
          <t>https://www.eng.auburn.edu/research/centers/ncat/files/aaptp/Report.Final.06-06.pdf</t>
        </is>
      </c>
    </row>
    <row r="75" ht="26" customHeight="1">
      <c r="A75" s="152" t="inlineStr">
        <is>
          <t>The Summary sensitivity chart runs 2% to 8% so both the current FAA rate (about 2%) and the legacy 7% are on the curve. G10 on the Summary states whether the lowest-cost alternative changes at either rate.</t>
        </is>
      </c>
    </row>
    <row r="77">
      <c r="A77" s="153" t="inlineStr">
        <is>
          <t>6. Maintenance timing and service life (Maintenance Policies sheet against published experience)</t>
        </is>
      </c>
      <c r="B77" s="154" t="n"/>
      <c r="C77" s="154" t="n"/>
      <c r="D77" s="154" t="n"/>
      <c r="E77" s="154" t="n"/>
      <c r="F77" s="154" t="n"/>
      <c r="G77" s="154" t="n"/>
    </row>
    <row r="78">
      <c r="A78" s="155" t="inlineStr">
        <is>
          <t>Item</t>
        </is>
      </c>
      <c r="B78" s="155" t="inlineStr">
        <is>
          <t>Workbook policy (live)</t>
        </is>
      </c>
      <c r="C78" s="155" t="inlineStr">
        <is>
          <t>Published range</t>
        </is>
      </c>
      <c r="D78" s="155" t="inlineStr">
        <is>
          <t>Year</t>
        </is>
      </c>
      <c r="E78" s="155" t="inlineStr"/>
      <c r="F78" s="155" t="inlineStr">
        <is>
          <t>Reading</t>
        </is>
      </c>
      <c r="G78" s="155" t="inlineStr">
        <is>
          <t>Source</t>
        </is>
      </c>
    </row>
    <row r="79">
      <c r="A79" s="156" t="inlineStr">
        <is>
          <t>HMA surface treatment / markings</t>
        </is>
      </c>
      <c r="B79" s="160">
        <f>"years "&amp;'Maintenance Policies'!$E$10&amp;", "&amp;'Maintenance Policies'!$E$12&amp;", "&amp;'Maintenance Policies'!$E$26</f>
        <v/>
      </c>
      <c r="C79" s="156" t="inlineStr">
        <is>
          <t>preventive-maintenance window PCI 60-80; inspect PCI every 3 years (AIP airports)</t>
        </is>
      </c>
      <c r="D79" s="158" t="n">
        <v>2014</v>
      </c>
      <c r="E79" s="156" t="inlineStr"/>
      <c r="F79" s="156" t="inlineStr">
        <is>
          <t>FAA ACs give the PCI window, not fixed year intervals; 4-year cycles are the TDOT policy</t>
        </is>
      </c>
      <c r="G79" s="159" t="inlineStr">
        <is>
          <t>https://www.faa.gov/documentlibrary/media/advisory_circular/150-5380-7b.pdf</t>
        </is>
      </c>
    </row>
    <row r="80">
      <c r="A80" s="156" t="inlineStr">
        <is>
          <t>HMA patching + crack sealing + treatment</t>
        </is>
      </c>
      <c r="B80" s="160">
        <f>"years "&amp;'Maintenance Policies'!$E$14&amp;", "&amp;'Maintenance Policies'!$E$18&amp;", "&amp;'Maintenance Policies'!$E$28</f>
        <v/>
      </c>
      <c r="C80" s="156" t="inlineStr">
        <is>
          <t>crack sealing, patching, seal coats per AC 150/5380-6C</t>
        </is>
      </c>
      <c r="D80" s="158" t="n">
        <v>2014</v>
      </c>
      <c r="E80" s="156" t="inlineStr"/>
      <c r="F80" s="156" t="inlineStr"/>
      <c r="G80" s="159" t="inlineStr">
        <is>
          <t>https://www.faa.gov/documentlibrary/media/advisory_circular/150-5380-6c.pdf</t>
        </is>
      </c>
    </row>
    <row r="81">
      <c r="A81" s="156" t="inlineStr">
        <is>
          <t>HMA mill and overlay</t>
        </is>
      </c>
      <c r="B81" s="160">
        <f>"year "&amp;'Maintenance Policies'!$E$22</f>
        <v/>
      </c>
      <c r="C81" s="156" t="inlineStr">
        <is>
          <t>asphalt runways reach PCI 70 in about 12 to 15 years (FAA 2014 performance trends)</t>
        </is>
      </c>
      <c r="D81" s="158" t="n">
        <v>2014</v>
      </c>
      <c r="E81" s="156" t="inlineStr"/>
      <c r="F81" s="156" t="inlineStr">
        <is>
          <t>policy year 20 is at the optimistic end of the published range</t>
        </is>
      </c>
      <c r="G81" s="159" t="inlineStr">
        <is>
          <t>https://www.acpa.org/wp-content/uploads/2025/03/ACPA-Achieving-the-Goals-of-the-FAAs-Extended-Airport-Pavement-Life-Program.pdf</t>
        </is>
      </c>
    </row>
    <row r="82">
      <c r="A82" s="156" t="inlineStr">
        <is>
          <t>PCC joint resealing + patching</t>
        </is>
      </c>
      <c r="B82" s="160">
        <f>"year "&amp;'Maintenance Policies'!$E$37</f>
        <v/>
      </c>
      <c r="C82" s="156" t="inlineStr">
        <is>
          <t>hot-pour sealant 3-8 yr; silicone 8-15 yr; compression seals 15-20 yr</t>
        </is>
      </c>
      <c r="D82" s="156" t="inlineStr"/>
      <c r="E82" s="156" t="inlineStr"/>
      <c r="F82" s="156" t="inlineStr">
        <is>
          <t>policy year 19 assumes silicone-class sealant life</t>
        </is>
      </c>
      <c r="G82" s="159" t="inlineStr">
        <is>
          <t>https://www.tarmacview.com/glossary/joint-sealant/</t>
        </is>
      </c>
    </row>
    <row r="83">
      <c r="A83" s="156" t="inlineStr">
        <is>
          <t>PCC slab replacement (2%) + joints</t>
        </is>
      </c>
      <c r="B83" s="160">
        <f>"year "&amp;'Maintenance Policies'!$E$41</f>
        <v/>
      </c>
      <c r="C83" s="156" t="inlineStr">
        <is>
          <t>PCC runways reach PCI 70 at about 40 years (FAA 2014)</t>
        </is>
      </c>
      <c r="D83" s="158" t="n">
        <v>2014</v>
      </c>
      <c r="E83" s="156" t="inlineStr"/>
      <c r="F83" s="156" t="inlineStr"/>
      <c r="G83" s="159" t="inlineStr">
        <is>
          <t>https://www.acpa.org/wp-content/uploads/2025/03/ACPA-Achieving-the-Goals-of-the-FAAs-Extended-Airport-Pavement-Life-Program.pdf</t>
        </is>
      </c>
    </row>
    <row r="84">
      <c r="A84" s="156" t="inlineStr">
        <is>
          <t>Expected service life</t>
        </is>
      </c>
      <c r="B84" s="156" t="inlineStr">
        <is>
          <t>HMA 20 yr design; PCC 30-40 yr</t>
        </is>
      </c>
      <c r="C84" s="156" t="inlineStr">
        <is>
          <t>FAA Extended Airport Pavement Life program targets 40 years</t>
        </is>
      </c>
      <c r="D84" s="158" t="n">
        <v>2024</v>
      </c>
      <c r="E84" s="156" t="inlineStr"/>
      <c r="F84" s="156" t="inlineStr"/>
      <c r="G84" s="159" t="inlineStr">
        <is>
          <t>https://www.airporttech.tc.faa.gov/Portals/0/FactSheets/Extended%20Airport%20Pavement%20Life%20Factsheet_May%202024.pdf</t>
        </is>
      </c>
    </row>
    <row r="85">
      <c r="A85" s="156" t="inlineStr">
        <is>
          <t>Treatment fact sheets with life and cost by treatment</t>
        </is>
      </c>
      <c r="B85" s="156" t="inlineStr"/>
      <c r="C85" s="156" t="inlineStr">
        <is>
          <t>ACRP Report 159 (GA airports) and ACRP Synthesis 22</t>
        </is>
      </c>
      <c r="D85" s="158" t="n">
        <v>2016</v>
      </c>
      <c r="E85" s="156" t="inlineStr"/>
      <c r="F85" s="156" t="inlineStr">
        <is>
          <t>use for project-specific overrides of the policy years</t>
        </is>
      </c>
      <c r="G85" s="159" t="inlineStr">
        <is>
          <t>https://nap.nationalacademies.org/catalog/23649/</t>
        </is>
      </c>
    </row>
    <row r="86">
      <c r="A86" s="156" t="inlineStr">
        <is>
          <t>Minimum layer thickness, AC 150/5320-6G</t>
        </is>
      </c>
      <c r="B86" s="156" t="inlineStr"/>
      <c r="C86" s="156" t="inlineStr">
        <is>
          <t>P-401 surface 4 in (&gt;= 12,500 lb); P-209 base 6 in; P-501 6 in (5 in under 12,500 lb)</t>
        </is>
      </c>
      <c r="D86" s="158" t="n">
        <v>2021</v>
      </c>
      <c r="E86" s="156" t="inlineStr"/>
      <c r="F86" s="156" t="inlineStr">
        <is>
          <t>check the pay-item quantities against these minimums</t>
        </is>
      </c>
      <c r="G86" s="159" t="inlineStr">
        <is>
          <t>https://www.faa.gov/documentLibrary/media/Advisory_Circular/150-5320-6G-Pavement-Design.pdf</t>
        </is>
      </c>
    </row>
    <row r="87" ht="26" customHeight="1">
      <c r="A87" s="15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53" t="inlineStr">
        <is>
          <t>Airport daily revenue used for lost-revenue cost (the 17 airports with revenue data; live from RevenueData)</t>
        </is>
      </c>
      <c r="B89" s="154" t="n"/>
      <c r="C89" s="154" t="n"/>
      <c r="D89" s="154" t="n"/>
      <c r="E89" s="154" t="n"/>
      <c r="F89" s="154" t="n"/>
      <c r="G89" s="154" t="n"/>
    </row>
    <row r="90">
      <c r="A90" s="155" t="inlineStr">
        <is>
          <t>Airport ID</t>
        </is>
      </c>
      <c r="B90" s="155" t="inlineStr">
        <is>
          <t>Daily revenue ($/day)</t>
        </is>
      </c>
      <c r="C90" s="155" t="inlineStr">
        <is>
          <t>Lost revenue, 7-day closure ($)</t>
        </is>
      </c>
      <c r="D90" s="155" t="inlineStr">
        <is>
          <t>Lost revenue, 19-day closure ($)</t>
        </is>
      </c>
      <c r="E90" s="155" t="inlineStr">
        <is>
          <t>Columns holding text (counted as $0)</t>
        </is>
      </c>
      <c r="F90" s="155" t="inlineStr"/>
      <c r="G90" s="155" t="inlineStr">
        <is>
          <t>Source</t>
        </is>
      </c>
    </row>
    <row r="91">
      <c r="A91" s="156">
        <f>IF(RevenueData!A2="","",RevenueData!A2)</f>
        <v/>
      </c>
      <c r="B91" s="160">
        <f>IF(A91="","",SUMIF(RevenueData!$A:$A,A91,RevenueData!$B:$B)+SUMIF(RevenueData!$A:$A,A91,RevenueData!$C:$C)+SUMIF(RevenueData!$A:$A,A91,RevenueData!$D:$D)+SUMIF(RevenueData!$A:$A,A91,RevenueData!$E:$E)+SUMIF(RevenueData!$A:$A,A91,RevenueData!$F:$F)+SUMIF(RevenueData!$A:$A,A91,RevenueData!$G:$G)+SUMIF(RevenueData!$A:$A,A91,RevenueData!$H:$H))</f>
        <v/>
      </c>
      <c r="C91" s="156">
        <f>IF(A91="","",B91*7)</f>
        <v/>
      </c>
      <c r="D91" s="156">
        <f>IF(A91="","",B91*19)</f>
        <v/>
      </c>
      <c r="E91" s="156">
        <f>IF(A91="","",TRIM(IF(ISNUMBER(RevenueData!B2),"","100LL ")&amp;IF(ISNUMBER(RevenueData!C2),"","Jet-A ")&amp;IF(ISNUMBER(RevenueData!G2),"","tenant ")&amp;IF(ISNUMBER(RevenueData!H2),"","other")))</f>
        <v/>
      </c>
      <c r="F91" s="156" t="inlineStr"/>
      <c r="G91" s="156" t="inlineStr">
        <is>
          <t>RevenueData sheet in this workbook (hidden)</t>
        </is>
      </c>
    </row>
    <row r="92">
      <c r="A92" s="156">
        <f>IF(RevenueData!A3="","",RevenueData!A3)</f>
        <v/>
      </c>
      <c r="B92" s="160">
        <f>IF(A92="","",SUMIF(RevenueData!$A:$A,A92,RevenueData!$B:$B)+SUMIF(RevenueData!$A:$A,A92,RevenueData!$C:$C)+SUMIF(RevenueData!$A:$A,A92,RevenueData!$D:$D)+SUMIF(RevenueData!$A:$A,A92,RevenueData!$E:$E)+SUMIF(RevenueData!$A:$A,A92,RevenueData!$F:$F)+SUMIF(RevenueData!$A:$A,A92,RevenueData!$G:$G)+SUMIF(RevenueData!$A:$A,A92,RevenueData!$H:$H))</f>
        <v/>
      </c>
      <c r="C92" s="156">
        <f>IF(A92="","",B92*7)</f>
        <v/>
      </c>
      <c r="D92" s="156">
        <f>IF(A92="","",B92*19)</f>
        <v/>
      </c>
      <c r="E92" s="156">
        <f>IF(A92="","",TRIM(IF(ISNUMBER(RevenueData!B3),"","100LL ")&amp;IF(ISNUMBER(RevenueData!C3),"","Jet-A ")&amp;IF(ISNUMBER(RevenueData!G3),"","tenant ")&amp;IF(ISNUMBER(RevenueData!H3),"","other")))</f>
        <v/>
      </c>
      <c r="F92" s="156" t="inlineStr"/>
      <c r="G92" s="156" t="inlineStr">
        <is>
          <t>RevenueData sheet in this workbook (hidden)</t>
        </is>
      </c>
    </row>
    <row r="93">
      <c r="A93" s="156">
        <f>IF(RevenueData!A4="","",RevenueData!A4)</f>
        <v/>
      </c>
      <c r="B93" s="160">
        <f>IF(A93="","",SUMIF(RevenueData!$A:$A,A93,RevenueData!$B:$B)+SUMIF(RevenueData!$A:$A,A93,RevenueData!$C:$C)+SUMIF(RevenueData!$A:$A,A93,RevenueData!$D:$D)+SUMIF(RevenueData!$A:$A,A93,RevenueData!$E:$E)+SUMIF(RevenueData!$A:$A,A93,RevenueData!$F:$F)+SUMIF(RevenueData!$A:$A,A93,RevenueData!$G:$G)+SUMIF(RevenueData!$A:$A,A93,RevenueData!$H:$H))</f>
        <v/>
      </c>
      <c r="C93" s="156">
        <f>IF(A93="","",B93*7)</f>
        <v/>
      </c>
      <c r="D93" s="156">
        <f>IF(A93="","",B93*19)</f>
        <v/>
      </c>
      <c r="E93" s="156">
        <f>IF(A93="","",TRIM(IF(ISNUMBER(RevenueData!B4),"","100LL ")&amp;IF(ISNUMBER(RevenueData!C4),"","Jet-A ")&amp;IF(ISNUMBER(RevenueData!G4),"","tenant ")&amp;IF(ISNUMBER(RevenueData!H4),"","other")))</f>
        <v/>
      </c>
      <c r="F93" s="156" t="inlineStr"/>
      <c r="G93" s="156" t="inlineStr">
        <is>
          <t>RevenueData sheet in this workbook (hidden)</t>
        </is>
      </c>
    </row>
    <row r="94">
      <c r="A94" s="156">
        <f>IF(RevenueData!A5="","",RevenueData!A5)</f>
        <v/>
      </c>
      <c r="B94" s="160">
        <f>IF(A94="","",SUMIF(RevenueData!$A:$A,A94,RevenueData!$B:$B)+SUMIF(RevenueData!$A:$A,A94,RevenueData!$C:$C)+SUMIF(RevenueData!$A:$A,A94,RevenueData!$D:$D)+SUMIF(RevenueData!$A:$A,A94,RevenueData!$E:$E)+SUMIF(RevenueData!$A:$A,A94,RevenueData!$F:$F)+SUMIF(RevenueData!$A:$A,A94,RevenueData!$G:$G)+SUMIF(RevenueData!$A:$A,A94,RevenueData!$H:$H))</f>
        <v/>
      </c>
      <c r="C94" s="156">
        <f>IF(A94="","",B94*7)</f>
        <v/>
      </c>
      <c r="D94" s="156">
        <f>IF(A94="","",B94*19)</f>
        <v/>
      </c>
      <c r="E94" s="156">
        <f>IF(A94="","",TRIM(IF(ISNUMBER(RevenueData!B5),"","100LL ")&amp;IF(ISNUMBER(RevenueData!C5),"","Jet-A ")&amp;IF(ISNUMBER(RevenueData!G5),"","tenant ")&amp;IF(ISNUMBER(RevenueData!H5),"","other")))</f>
        <v/>
      </c>
      <c r="F94" s="156" t="inlineStr"/>
      <c r="G94" s="156" t="inlineStr">
        <is>
          <t>RevenueData sheet in this workbook (hidden)</t>
        </is>
      </c>
    </row>
    <row r="95">
      <c r="A95" s="156">
        <f>IF(RevenueData!A6="","",RevenueData!A6)</f>
        <v/>
      </c>
      <c r="B95" s="160">
        <f>IF(A95="","",SUMIF(RevenueData!$A:$A,A95,RevenueData!$B:$B)+SUMIF(RevenueData!$A:$A,A95,RevenueData!$C:$C)+SUMIF(RevenueData!$A:$A,A95,RevenueData!$D:$D)+SUMIF(RevenueData!$A:$A,A95,RevenueData!$E:$E)+SUMIF(RevenueData!$A:$A,A95,RevenueData!$F:$F)+SUMIF(RevenueData!$A:$A,A95,RevenueData!$G:$G)+SUMIF(RevenueData!$A:$A,A95,RevenueData!$H:$H))</f>
        <v/>
      </c>
      <c r="C95" s="156">
        <f>IF(A95="","",B95*7)</f>
        <v/>
      </c>
      <c r="D95" s="156">
        <f>IF(A95="","",B95*19)</f>
        <v/>
      </c>
      <c r="E95" s="156">
        <f>IF(A95="","",TRIM(IF(ISNUMBER(RevenueData!B6),"","100LL ")&amp;IF(ISNUMBER(RevenueData!C6),"","Jet-A ")&amp;IF(ISNUMBER(RevenueData!G6),"","tenant ")&amp;IF(ISNUMBER(RevenueData!H6),"","other")))</f>
        <v/>
      </c>
      <c r="F95" s="156" t="inlineStr"/>
      <c r="G95" s="156" t="inlineStr">
        <is>
          <t>RevenueData sheet in this workbook (hidden)</t>
        </is>
      </c>
    </row>
    <row r="96">
      <c r="A96" s="156">
        <f>IF(RevenueData!A7="","",RevenueData!A7)</f>
        <v/>
      </c>
      <c r="B96" s="160">
        <f>IF(A96="","",SUMIF(RevenueData!$A:$A,A96,RevenueData!$B:$B)+SUMIF(RevenueData!$A:$A,A96,RevenueData!$C:$C)+SUMIF(RevenueData!$A:$A,A96,RevenueData!$D:$D)+SUMIF(RevenueData!$A:$A,A96,RevenueData!$E:$E)+SUMIF(RevenueData!$A:$A,A96,RevenueData!$F:$F)+SUMIF(RevenueData!$A:$A,A96,RevenueData!$G:$G)+SUMIF(RevenueData!$A:$A,A96,RevenueData!$H:$H))</f>
        <v/>
      </c>
      <c r="C96" s="156">
        <f>IF(A96="","",B96*7)</f>
        <v/>
      </c>
      <c r="D96" s="156">
        <f>IF(A96="","",B96*19)</f>
        <v/>
      </c>
      <c r="E96" s="156">
        <f>IF(A96="","",TRIM(IF(ISNUMBER(RevenueData!B7),"","100LL ")&amp;IF(ISNUMBER(RevenueData!C7),"","Jet-A ")&amp;IF(ISNUMBER(RevenueData!G7),"","tenant ")&amp;IF(ISNUMBER(RevenueData!H7),"","other")))</f>
        <v/>
      </c>
      <c r="F96" s="156" t="inlineStr"/>
      <c r="G96" s="156" t="inlineStr">
        <is>
          <t>RevenueData sheet in this workbook (hidden)</t>
        </is>
      </c>
    </row>
    <row r="97">
      <c r="A97" s="156">
        <f>IF(RevenueData!A8="","",RevenueData!A8)</f>
        <v/>
      </c>
      <c r="B97" s="160">
        <f>IF(A97="","",SUMIF(RevenueData!$A:$A,A97,RevenueData!$B:$B)+SUMIF(RevenueData!$A:$A,A97,RevenueData!$C:$C)+SUMIF(RevenueData!$A:$A,A97,RevenueData!$D:$D)+SUMIF(RevenueData!$A:$A,A97,RevenueData!$E:$E)+SUMIF(RevenueData!$A:$A,A97,RevenueData!$F:$F)+SUMIF(RevenueData!$A:$A,A97,RevenueData!$G:$G)+SUMIF(RevenueData!$A:$A,A97,RevenueData!$H:$H))</f>
        <v/>
      </c>
      <c r="C97" s="156">
        <f>IF(A97="","",B97*7)</f>
        <v/>
      </c>
      <c r="D97" s="156">
        <f>IF(A97="","",B97*19)</f>
        <v/>
      </c>
      <c r="E97" s="156">
        <f>IF(A97="","",TRIM(IF(ISNUMBER(RevenueData!B8),"","100LL ")&amp;IF(ISNUMBER(RevenueData!C8),"","Jet-A ")&amp;IF(ISNUMBER(RevenueData!G8),"","tenant ")&amp;IF(ISNUMBER(RevenueData!H8),"","other")))</f>
        <v/>
      </c>
      <c r="F97" s="156" t="inlineStr"/>
      <c r="G97" s="156" t="inlineStr">
        <is>
          <t>RevenueData sheet in this workbook (hidden)</t>
        </is>
      </c>
    </row>
    <row r="98">
      <c r="A98" s="156">
        <f>IF(RevenueData!A9="","",RevenueData!A9)</f>
        <v/>
      </c>
      <c r="B98" s="160">
        <f>IF(A98="","",SUMIF(RevenueData!$A:$A,A98,RevenueData!$B:$B)+SUMIF(RevenueData!$A:$A,A98,RevenueData!$C:$C)+SUMIF(RevenueData!$A:$A,A98,RevenueData!$D:$D)+SUMIF(RevenueData!$A:$A,A98,RevenueData!$E:$E)+SUMIF(RevenueData!$A:$A,A98,RevenueData!$F:$F)+SUMIF(RevenueData!$A:$A,A98,RevenueData!$G:$G)+SUMIF(RevenueData!$A:$A,A98,RevenueData!$H:$H))</f>
        <v/>
      </c>
      <c r="C98" s="156">
        <f>IF(A98="","",B98*7)</f>
        <v/>
      </c>
      <c r="D98" s="156">
        <f>IF(A98="","",B98*19)</f>
        <v/>
      </c>
      <c r="E98" s="156">
        <f>IF(A98="","",TRIM(IF(ISNUMBER(RevenueData!B9),"","100LL ")&amp;IF(ISNUMBER(RevenueData!C9),"","Jet-A ")&amp;IF(ISNUMBER(RevenueData!G9),"","tenant ")&amp;IF(ISNUMBER(RevenueData!H9),"","other")))</f>
        <v/>
      </c>
      <c r="F98" s="156" t="inlineStr"/>
      <c r="G98" s="156" t="inlineStr">
        <is>
          <t>RevenueData sheet in this workbook (hidden)</t>
        </is>
      </c>
    </row>
    <row r="99">
      <c r="A99" s="156">
        <f>IF(RevenueData!A10="","",RevenueData!A10)</f>
        <v/>
      </c>
      <c r="B99" s="160">
        <f>IF(A99="","",SUMIF(RevenueData!$A:$A,A99,RevenueData!$B:$B)+SUMIF(RevenueData!$A:$A,A99,RevenueData!$C:$C)+SUMIF(RevenueData!$A:$A,A99,RevenueData!$D:$D)+SUMIF(RevenueData!$A:$A,A99,RevenueData!$E:$E)+SUMIF(RevenueData!$A:$A,A99,RevenueData!$F:$F)+SUMIF(RevenueData!$A:$A,A99,RevenueData!$G:$G)+SUMIF(RevenueData!$A:$A,A99,RevenueData!$H:$H))</f>
        <v/>
      </c>
      <c r="C99" s="156">
        <f>IF(A99="","",B99*7)</f>
        <v/>
      </c>
      <c r="D99" s="156">
        <f>IF(A99="","",B99*19)</f>
        <v/>
      </c>
      <c r="E99" s="156">
        <f>IF(A99="","",TRIM(IF(ISNUMBER(RevenueData!B10),"","100LL ")&amp;IF(ISNUMBER(RevenueData!C10),"","Jet-A ")&amp;IF(ISNUMBER(RevenueData!G10),"","tenant ")&amp;IF(ISNUMBER(RevenueData!H10),"","other")))</f>
        <v/>
      </c>
      <c r="F99" s="156" t="inlineStr"/>
      <c r="G99" s="156" t="inlineStr">
        <is>
          <t>RevenueData sheet in this workbook (hidden)</t>
        </is>
      </c>
    </row>
    <row r="100">
      <c r="A100" s="156">
        <f>IF(RevenueData!A11="","",RevenueData!A11)</f>
        <v/>
      </c>
      <c r="B100" s="160">
        <f>IF(A100="","",SUMIF(RevenueData!$A:$A,A100,RevenueData!$B:$B)+SUMIF(RevenueData!$A:$A,A100,RevenueData!$C:$C)+SUMIF(RevenueData!$A:$A,A100,RevenueData!$D:$D)+SUMIF(RevenueData!$A:$A,A100,RevenueData!$E:$E)+SUMIF(RevenueData!$A:$A,A100,RevenueData!$F:$F)+SUMIF(RevenueData!$A:$A,A100,RevenueData!$G:$G)+SUMIF(RevenueData!$A:$A,A100,RevenueData!$H:$H))</f>
        <v/>
      </c>
      <c r="C100" s="156">
        <f>IF(A100="","",B100*7)</f>
        <v/>
      </c>
      <c r="D100" s="156">
        <f>IF(A100="","",B100*19)</f>
        <v/>
      </c>
      <c r="E100" s="156">
        <f>IF(A100="","",TRIM(IF(ISNUMBER(RevenueData!B11),"","100LL ")&amp;IF(ISNUMBER(RevenueData!C11),"","Jet-A ")&amp;IF(ISNUMBER(RevenueData!G11),"","tenant ")&amp;IF(ISNUMBER(RevenueData!H11),"","other")))</f>
        <v/>
      </c>
      <c r="F100" s="156" t="inlineStr"/>
      <c r="G100" s="156" t="inlineStr">
        <is>
          <t>RevenueData sheet in this workbook (hidden)</t>
        </is>
      </c>
    </row>
    <row r="101">
      <c r="A101" s="156">
        <f>IF(RevenueData!A12="","",RevenueData!A12)</f>
        <v/>
      </c>
      <c r="B101" s="160">
        <f>IF(A101="","",SUMIF(RevenueData!$A:$A,A101,RevenueData!$B:$B)+SUMIF(RevenueData!$A:$A,A101,RevenueData!$C:$C)+SUMIF(RevenueData!$A:$A,A101,RevenueData!$D:$D)+SUMIF(RevenueData!$A:$A,A101,RevenueData!$E:$E)+SUMIF(RevenueData!$A:$A,A101,RevenueData!$F:$F)+SUMIF(RevenueData!$A:$A,A101,RevenueData!$G:$G)+SUMIF(RevenueData!$A:$A,A101,RevenueData!$H:$H))</f>
        <v/>
      </c>
      <c r="C101" s="156">
        <f>IF(A101="","",B101*7)</f>
        <v/>
      </c>
      <c r="D101" s="156">
        <f>IF(A101="","",B101*19)</f>
        <v/>
      </c>
      <c r="E101" s="156">
        <f>IF(A101="","",TRIM(IF(ISNUMBER(RevenueData!B12),"","100LL ")&amp;IF(ISNUMBER(RevenueData!C12),"","Jet-A ")&amp;IF(ISNUMBER(RevenueData!G12),"","tenant ")&amp;IF(ISNUMBER(RevenueData!H12),"","other")))</f>
        <v/>
      </c>
      <c r="F101" s="156" t="inlineStr"/>
      <c r="G101" s="156" t="inlineStr">
        <is>
          <t>RevenueData sheet in this workbook (hidden)</t>
        </is>
      </c>
    </row>
    <row r="102">
      <c r="A102" s="156">
        <f>IF(RevenueData!A13="","",RevenueData!A13)</f>
        <v/>
      </c>
      <c r="B102" s="160">
        <f>IF(A102="","",SUMIF(RevenueData!$A:$A,A102,RevenueData!$B:$B)+SUMIF(RevenueData!$A:$A,A102,RevenueData!$C:$C)+SUMIF(RevenueData!$A:$A,A102,RevenueData!$D:$D)+SUMIF(RevenueData!$A:$A,A102,RevenueData!$E:$E)+SUMIF(RevenueData!$A:$A,A102,RevenueData!$F:$F)+SUMIF(RevenueData!$A:$A,A102,RevenueData!$G:$G)+SUMIF(RevenueData!$A:$A,A102,RevenueData!$H:$H))</f>
        <v/>
      </c>
      <c r="C102" s="156">
        <f>IF(A102="","",B102*7)</f>
        <v/>
      </c>
      <c r="D102" s="156">
        <f>IF(A102="","",B102*19)</f>
        <v/>
      </c>
      <c r="E102" s="156">
        <f>IF(A102="","",TRIM(IF(ISNUMBER(RevenueData!B13),"","100LL ")&amp;IF(ISNUMBER(RevenueData!C13),"","Jet-A ")&amp;IF(ISNUMBER(RevenueData!G13),"","tenant ")&amp;IF(ISNUMBER(RevenueData!H13),"","other")))</f>
        <v/>
      </c>
      <c r="F102" s="156" t="inlineStr"/>
      <c r="G102" s="156" t="inlineStr">
        <is>
          <t>RevenueData sheet in this workbook (hidden)</t>
        </is>
      </c>
    </row>
    <row r="103">
      <c r="A103" s="156">
        <f>IF(RevenueData!A14="","",RevenueData!A14)</f>
        <v/>
      </c>
      <c r="B103" s="160">
        <f>IF(A103="","",SUMIF(RevenueData!$A:$A,A103,RevenueData!$B:$B)+SUMIF(RevenueData!$A:$A,A103,RevenueData!$C:$C)+SUMIF(RevenueData!$A:$A,A103,RevenueData!$D:$D)+SUMIF(RevenueData!$A:$A,A103,RevenueData!$E:$E)+SUMIF(RevenueData!$A:$A,A103,RevenueData!$F:$F)+SUMIF(RevenueData!$A:$A,A103,RevenueData!$G:$G)+SUMIF(RevenueData!$A:$A,A103,RevenueData!$H:$H))</f>
        <v/>
      </c>
      <c r="C103" s="156">
        <f>IF(A103="","",B103*7)</f>
        <v/>
      </c>
      <c r="D103" s="156">
        <f>IF(A103="","",B103*19)</f>
        <v/>
      </c>
      <c r="E103" s="156">
        <f>IF(A103="","",TRIM(IF(ISNUMBER(RevenueData!B14),"","100LL ")&amp;IF(ISNUMBER(RevenueData!C14),"","Jet-A ")&amp;IF(ISNUMBER(RevenueData!G14),"","tenant ")&amp;IF(ISNUMBER(RevenueData!H14),"","other")))</f>
        <v/>
      </c>
      <c r="F103" s="156" t="inlineStr"/>
      <c r="G103" s="156" t="inlineStr">
        <is>
          <t>RevenueData sheet in this workbook (hidden)</t>
        </is>
      </c>
    </row>
    <row r="104">
      <c r="A104" s="156">
        <f>IF(RevenueData!A15="","",RevenueData!A15)</f>
        <v/>
      </c>
      <c r="B104" s="160">
        <f>IF(A104="","",SUMIF(RevenueData!$A:$A,A104,RevenueData!$B:$B)+SUMIF(RevenueData!$A:$A,A104,RevenueData!$C:$C)+SUMIF(RevenueData!$A:$A,A104,RevenueData!$D:$D)+SUMIF(RevenueData!$A:$A,A104,RevenueData!$E:$E)+SUMIF(RevenueData!$A:$A,A104,RevenueData!$F:$F)+SUMIF(RevenueData!$A:$A,A104,RevenueData!$G:$G)+SUMIF(RevenueData!$A:$A,A104,RevenueData!$H:$H))</f>
        <v/>
      </c>
      <c r="C104" s="156">
        <f>IF(A104="","",B104*7)</f>
        <v/>
      </c>
      <c r="D104" s="156">
        <f>IF(A104="","",B104*19)</f>
        <v/>
      </c>
      <c r="E104" s="156">
        <f>IF(A104="","",TRIM(IF(ISNUMBER(RevenueData!B15),"","100LL ")&amp;IF(ISNUMBER(RevenueData!C15),"","Jet-A ")&amp;IF(ISNUMBER(RevenueData!G15),"","tenant ")&amp;IF(ISNUMBER(RevenueData!H15),"","other")))</f>
        <v/>
      </c>
      <c r="F104" s="156" t="inlineStr"/>
      <c r="G104" s="156" t="inlineStr">
        <is>
          <t>RevenueData sheet in this workbook (hidden)</t>
        </is>
      </c>
    </row>
    <row r="105">
      <c r="A105" s="156">
        <f>IF(RevenueData!A16="","",RevenueData!A16)</f>
        <v/>
      </c>
      <c r="B105" s="160">
        <f>IF(A105="","",SUMIF(RevenueData!$A:$A,A105,RevenueData!$B:$B)+SUMIF(RevenueData!$A:$A,A105,RevenueData!$C:$C)+SUMIF(RevenueData!$A:$A,A105,RevenueData!$D:$D)+SUMIF(RevenueData!$A:$A,A105,RevenueData!$E:$E)+SUMIF(RevenueData!$A:$A,A105,RevenueData!$F:$F)+SUMIF(RevenueData!$A:$A,A105,RevenueData!$G:$G)+SUMIF(RevenueData!$A:$A,A105,RevenueData!$H:$H))</f>
        <v/>
      </c>
      <c r="C105" s="156">
        <f>IF(A105="","",B105*7)</f>
        <v/>
      </c>
      <c r="D105" s="156">
        <f>IF(A105="","",B105*19)</f>
        <v/>
      </c>
      <c r="E105" s="156">
        <f>IF(A105="","",TRIM(IF(ISNUMBER(RevenueData!B16),"","100LL ")&amp;IF(ISNUMBER(RevenueData!C16),"","Jet-A ")&amp;IF(ISNUMBER(RevenueData!G16),"","tenant ")&amp;IF(ISNUMBER(RevenueData!H16),"","other")))</f>
        <v/>
      </c>
      <c r="F105" s="156" t="inlineStr"/>
      <c r="G105" s="156" t="inlineStr">
        <is>
          <t>RevenueData sheet in this workbook (hidden)</t>
        </is>
      </c>
    </row>
    <row r="106">
      <c r="A106" s="156">
        <f>IF(RevenueData!A17="","",RevenueData!A17)</f>
        <v/>
      </c>
      <c r="B106" s="160">
        <f>IF(A106="","",SUMIF(RevenueData!$A:$A,A106,RevenueData!$B:$B)+SUMIF(RevenueData!$A:$A,A106,RevenueData!$C:$C)+SUMIF(RevenueData!$A:$A,A106,RevenueData!$D:$D)+SUMIF(RevenueData!$A:$A,A106,RevenueData!$E:$E)+SUMIF(RevenueData!$A:$A,A106,RevenueData!$F:$F)+SUMIF(RevenueData!$A:$A,A106,RevenueData!$G:$G)+SUMIF(RevenueData!$A:$A,A106,RevenueData!$H:$H))</f>
        <v/>
      </c>
      <c r="C106" s="156">
        <f>IF(A106="","",B106*7)</f>
        <v/>
      </c>
      <c r="D106" s="156">
        <f>IF(A106="","",B106*19)</f>
        <v/>
      </c>
      <c r="E106" s="156">
        <f>IF(A106="","",TRIM(IF(ISNUMBER(RevenueData!B17),"","100LL ")&amp;IF(ISNUMBER(RevenueData!C17),"","Jet-A ")&amp;IF(ISNUMBER(RevenueData!G17),"","tenant ")&amp;IF(ISNUMBER(RevenueData!H17),"","other")))</f>
        <v/>
      </c>
      <c r="F106" s="156" t="inlineStr"/>
      <c r="G106" s="156" t="inlineStr">
        <is>
          <t>RevenueData sheet in this workbook (hidden)</t>
        </is>
      </c>
    </row>
    <row r="107">
      <c r="A107" s="156">
        <f>IF(RevenueData!A18="","",RevenueData!A18)</f>
        <v/>
      </c>
      <c r="B107" s="160">
        <f>IF(A107="","",SUMIF(RevenueData!$A:$A,A107,RevenueData!$B:$B)+SUMIF(RevenueData!$A:$A,A107,RevenueData!$C:$C)+SUMIF(RevenueData!$A:$A,A107,RevenueData!$D:$D)+SUMIF(RevenueData!$A:$A,A107,RevenueData!$E:$E)+SUMIF(RevenueData!$A:$A,A107,RevenueData!$F:$F)+SUMIF(RevenueData!$A:$A,A107,RevenueData!$G:$G)+SUMIF(RevenueData!$A:$A,A107,RevenueData!$H:$H))</f>
        <v/>
      </c>
      <c r="C107" s="156">
        <f>IF(A107="","",B107*7)</f>
        <v/>
      </c>
      <c r="D107" s="156">
        <f>IF(A107="","",B107*19)</f>
        <v/>
      </c>
      <c r="E107" s="156">
        <f>IF(A107="","",TRIM(IF(ISNUMBER(RevenueData!B18),"","100LL ")&amp;IF(ISNUMBER(RevenueData!C18),"","Jet-A ")&amp;IF(ISNUMBER(RevenueData!G18),"","tenant ")&amp;IF(ISNUMBER(RevenueData!H18),"","other")))</f>
        <v/>
      </c>
      <c r="F107" s="156" t="inlineStr"/>
      <c r="G107" s="156" t="inlineStr">
        <is>
          <t>RevenueData sheet in this workbook (hidden)</t>
        </is>
      </c>
    </row>
    <row r="108" ht="26" customHeight="1">
      <c r="A108" s="15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53" t="inlineStr">
        <is>
          <t>Airports in the General Information dropdown</t>
        </is>
      </c>
      <c r="B110" s="154" t="n"/>
      <c r="C110" s="154" t="n"/>
      <c r="D110" s="154" t="n"/>
      <c r="E110" s="154" t="n"/>
      <c r="F110" s="154" t="n"/>
      <c r="G110" s="154" t="n"/>
    </row>
    <row r="111">
      <c r="A111" s="155" t="inlineStr">
        <is>
          <t>Item</t>
        </is>
      </c>
      <c r="B111" s="155" t="inlineStr">
        <is>
          <t>Value</t>
        </is>
      </c>
      <c r="C111" s="155" t="inlineStr"/>
      <c r="D111" s="155" t="inlineStr"/>
      <c r="E111" s="155" t="inlineStr"/>
      <c r="F111" s="155" t="inlineStr"/>
      <c r="G111" s="155" t="inlineStr">
        <is>
          <t>Source</t>
        </is>
      </c>
    </row>
    <row r="112">
      <c r="A112" s="156" t="inlineStr">
        <is>
          <t>Airports selectable in D9</t>
        </is>
      </c>
      <c r="B112" s="160">
        <f>COUNTA('General Information'!$L$10:$L$88)</f>
        <v/>
      </c>
      <c r="C112" s="156" t="inlineStr"/>
      <c r="D112" s="156" t="inlineStr"/>
      <c r="E112" s="156" t="inlineStr"/>
      <c r="F112" s="156" t="inlineStr"/>
      <c r="G112" s="156" t="inlineStr">
        <is>
          <t>General Information, hidden columns L:P</t>
        </is>
      </c>
    </row>
    <row r="113">
      <c r="A113" s="156" t="inlineStr">
        <is>
          <t>Airports with revenue data</t>
        </is>
      </c>
      <c r="B113" s="160">
        <f>COUNTA(RevenueData!$A$2:$A$60)</f>
        <v/>
      </c>
      <c r="C113" s="156" t="inlineStr"/>
      <c r="D113" s="156" t="inlineStr"/>
      <c r="E113" s="156" t="inlineStr"/>
      <c r="F113" s="156" t="inlineStr"/>
      <c r="G113" s="156" t="inlineStr">
        <is>
          <t>RevenueData</t>
        </is>
      </c>
    </row>
    <row r="114">
      <c r="A114" s="156" t="inlineStr">
        <is>
          <t>Airports with a Middle / West / East region tag</t>
        </is>
      </c>
      <c r="B114" s="160">
        <f>COUNTIF('General Information'!$P$10:$P$88,"Middle")&amp;" / "&amp;COUNTIF('General Information'!$P$10:$P$88,"West")&amp;" / "&amp;COUNTIF('General Information'!$P$10:$P$88,"East")</f>
        <v/>
      </c>
      <c r="C114" s="156" t="inlineStr"/>
      <c r="D114" s="156" t="inlineStr"/>
      <c r="E114" s="156" t="inlineStr"/>
      <c r="F114" s="156" t="inlineStr"/>
      <c r="G114" s="15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xl/worksheets/sheet16.xml><?xml version="1.0" encoding="utf-8"?>
<worksheet xmlns="http://schemas.openxmlformats.org/spreadsheetml/2006/main">
  <sheetPr>
    <tabColor rgb="FFBFBFBF"/>
    <outlinePr summaryBelow="1" summaryRight="1"/>
    <pageSetUpPr fitToPage="1"/>
  </sheetPr>
  <dimension ref="A1:E101"/>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22" customHeight="1">
      <c r="A1" s="162">
        <f>HYPERLINK("#'General Information'!D9","◄ General Information")</f>
        <v/>
      </c>
      <c r="B1" s="163">
        <f>HYPERLINK("#Summary!G1","Summary")</f>
        <v/>
      </c>
    </row>
    <row r="2">
      <c r="A2" s="164" t="inlineStr">
        <is>
          <t>Reference sheet: nothing here feeds the calculation.</t>
        </is>
      </c>
    </row>
    <row r="3">
      <c r="A3" s="165" t="inlineStr">
        <is>
          <t>METHOD: WHAT THIS WORKBOOK CALCULATES, AND WHY</t>
        </is>
      </c>
    </row>
    <row r="4" ht="42" customHeight="1">
      <c r="A4" s="16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67" t="inlineStr">
        <is>
          <t>1. The answer the workbook produces</t>
        </is>
      </c>
      <c r="B6" s="168" t="n"/>
      <c r="C6" s="168" t="n"/>
      <c r="D6" s="168" t="n"/>
      <c r="E6" s="168" t="n"/>
    </row>
    <row r="7">
      <c r="A7" s="169" t="inlineStr">
        <is>
          <t>Step / quantity</t>
        </is>
      </c>
      <c r="B7" s="169" t="inlineStr">
        <is>
          <t>Where it lives</t>
        </is>
      </c>
      <c r="C7" s="169" t="inlineStr">
        <is>
          <t>Formula as it stands</t>
        </is>
      </c>
      <c r="D7" s="169" t="inlineStr">
        <is>
          <t>What it means</t>
        </is>
      </c>
      <c r="E7" s="169" t="inlineStr">
        <is>
          <t>Source of the rule</t>
        </is>
      </c>
    </row>
    <row r="8">
      <c r="A8" s="170" t="inlineStr">
        <is>
          <t>Net present worth (NPW)</t>
        </is>
      </c>
      <c r="B8" s="170" t="inlineStr">
        <is>
          <t>Alt sheet E52 (HMA), E43 (PCC)</t>
        </is>
      </c>
      <c r="C8" s="171" t="inlineStr">
        <is>
          <t>=SUM(E36:E51)</t>
        </is>
      </c>
      <c r="D8" s="17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70" t="inlineStr">
        <is>
          <t>FHWA LCCA Primer; TDOT framework</t>
        </is>
      </c>
    </row>
    <row r="9">
      <c r="A9" s="170" t="inlineStr">
        <is>
          <t>Where it is reported</t>
        </is>
      </c>
      <c r="B9" s="170" t="inlineStr">
        <is>
          <t>Summary O4:O7 and D4:D7</t>
        </is>
      </c>
      <c r="C9" s="171" t="inlineStr">
        <is>
          <t>=IFERROR(INDEX(INDIRECT("'"&amp;$G4&amp;"'!$E$1:$E$70"),MATCH("Net Present Worth",...)),0)</t>
        </is>
      </c>
      <c r="D9" s="170" t="inlineStr">
        <is>
          <t>The Summary reads the NPW out of each alternative worksheet by name, so it follows whatever alternatives exist.</t>
        </is>
      </c>
      <c r="E9" s="170" t="inlineStr">
        <is>
          <t>Summary, v1.2.0</t>
        </is>
      </c>
    </row>
    <row r="10">
      <c r="A10" s="170" t="inlineStr">
        <is>
          <t>Everything else is presentation</t>
        </is>
      </c>
      <c r="B10" s="170" t="inlineStr">
        <is>
          <t>Summary G3:R7, G12:O17, charts 1 to 7</t>
        </is>
      </c>
      <c r="C10" s="171" t="inlineStr"/>
      <c r="D10" s="170" t="inlineStr">
        <is>
          <t>The results table, the comparison block, the five cost charts and the two section charts all restate the same numbers. No chart or block feeds a cost back into the calculation.</t>
        </is>
      </c>
      <c r="E10" s="170" t="inlineStr">
        <is>
          <t>Summary, v1.2.0</t>
        </is>
      </c>
    </row>
    <row r="11" ht="26" customHeight="1">
      <c r="A11" s="166" t="inlineStr">
        <is>
          <t>Read the steps below in order: they follow the money from the quantities you type to the NPW.</t>
        </is>
      </c>
    </row>
    <row r="13">
      <c r="A13" s="167" t="inlineStr">
        <is>
          <t>2. Step 1: initial construction cost</t>
        </is>
      </c>
      <c r="B13" s="168" t="n"/>
      <c r="C13" s="168" t="n"/>
      <c r="D13" s="168" t="n"/>
      <c r="E13" s="168" t="n"/>
    </row>
    <row r="14">
      <c r="A14" s="169" t="inlineStr">
        <is>
          <t>Step / quantity</t>
        </is>
      </c>
      <c r="B14" s="169" t="inlineStr">
        <is>
          <t>Where it lives</t>
        </is>
      </c>
      <c r="C14" s="169" t="inlineStr">
        <is>
          <t>Formula as it stands</t>
        </is>
      </c>
      <c r="D14" s="169" t="inlineStr">
        <is>
          <t>What it means</t>
        </is>
      </c>
      <c r="E14" s="169" t="inlineStr">
        <is>
          <t>Source of the rule</t>
        </is>
      </c>
    </row>
    <row r="15">
      <c r="A15" s="170" t="inlineStr">
        <is>
          <t>Item cost</t>
        </is>
      </c>
      <c r="B15" s="170" t="inlineStr">
        <is>
          <t>Alt sheet G13:G22</t>
        </is>
      </c>
      <c r="C15" s="171" t="inlineStr">
        <is>
          <t>=IF(B13&lt;&gt;0,F13*E13,0)</t>
        </is>
      </c>
      <c r="D15" s="170" t="inlineStr">
        <is>
          <t>The quantity you type in column E times the unit cost the item carries on Pay_Items. Ten item lines are available.</t>
        </is>
      </c>
      <c r="E15" s="170" t="inlineStr">
        <is>
          <t>Alternative worksheet</t>
        </is>
      </c>
    </row>
    <row r="16">
      <c r="A16" s="170" t="inlineStr">
        <is>
          <t>Unit cost, item number, unit</t>
        </is>
      </c>
      <c r="B16" s="170" t="inlineStr">
        <is>
          <t>Alt sheet B, D and F columns</t>
        </is>
      </c>
      <c r="C16" s="171" t="inlineStr">
        <is>
          <t>=VLOOKUP(C13,CHOOSE({1,2},Table2[Pay Item Description],Table2[Unit Cost]),2,0)</t>
        </is>
      </c>
      <c r="D16" s="170" t="inlineStr">
        <is>
          <t>Unit costs are never typed on an alternative sheet. Picking a description in column C pulls the item number, the unit and the price from Pay_Items, so a price change for every future project is one edit on Pay_Items column F.</t>
        </is>
      </c>
      <c r="E16" s="170" t="inlineStr">
        <is>
          <t>Pay_Items (Table2), column F</t>
        </is>
      </c>
    </row>
    <row r="17">
      <c r="A17" s="170" t="inlineStr">
        <is>
          <t>Pay-item subtotal</t>
        </is>
      </c>
      <c r="B17" s="170" t="inlineStr">
        <is>
          <t>Alt sheet G24</t>
        </is>
      </c>
      <c r="C17" s="171" t="inlineStr">
        <is>
          <t>=SUM(G13:G22)</t>
        </is>
      </c>
      <c r="D17" s="170" t="inlineStr">
        <is>
          <t>The ten item lines. (In v1.1.2 this summed G14:G22 and silently dropped item 1.)</t>
        </is>
      </c>
      <c r="E17" s="170" t="inlineStr">
        <is>
          <t>v1.2.0 fix 1</t>
        </is>
      </c>
    </row>
    <row r="18">
      <c r="A18" s="170" t="inlineStr">
        <is>
          <t>Mobilization</t>
        </is>
      </c>
      <c r="B18" s="170" t="inlineStr">
        <is>
          <t>Alt sheet G25</t>
        </is>
      </c>
      <c r="C18" s="171" t="inlineStr">
        <is>
          <t>=('General Information'!$D$36/100)*G24</t>
        </is>
      </c>
      <c r="D18" s="170" t="inlineStr">
        <is>
          <t>A percentage of the pay-item subtotal. Default 10 percent, set on General Information D36.</t>
        </is>
      </c>
      <c r="E18" s="170" t="inlineStr">
        <is>
          <t>General Information D36</t>
        </is>
      </c>
    </row>
    <row r="19">
      <c r="A19" s="170" t="inlineStr">
        <is>
          <t>Engineering</t>
        </is>
      </c>
      <c r="B19" s="170" t="inlineStr">
        <is>
          <t>Alt sheet G26</t>
        </is>
      </c>
      <c r="C19" s="171" t="inlineStr">
        <is>
          <t>=('General Information'!$D$37/100)*G24</t>
        </is>
      </c>
      <c r="D19" s="170" t="inlineStr">
        <is>
          <t>A percentage of the pay-item subtotal. Default 5 percent, set on General Information D37. Applied to initial construction from v1.2.0; before that it was charged only on later work.</t>
        </is>
      </c>
      <c r="E19" s="170" t="inlineStr">
        <is>
          <t>General Information D37; v1.2.0 fix 2</t>
        </is>
      </c>
    </row>
    <row r="20">
      <c r="A20" s="170" t="inlineStr">
        <is>
          <t>Initial construction total</t>
        </is>
      </c>
      <c r="B20" s="170" t="inlineStr">
        <is>
          <t>Alt sheet G27</t>
        </is>
      </c>
      <c r="C20" s="171" t="inlineStr">
        <is>
          <t>=SUM(G24:G26)</t>
        </is>
      </c>
      <c r="D20" s="170" t="inlineStr">
        <is>
          <t>Subtotal plus mobilization plus engineering. This is the "Initial construction" column on the Summary and the year-0 row of the life-cycle table.</t>
        </is>
      </c>
      <c r="E20" s="170" t="inlineStr">
        <is>
          <t>Alternative worksheet</t>
        </is>
      </c>
    </row>
    <row r="22">
      <c r="A22" s="167" t="inlineStr">
        <is>
          <t>3. Step 2: when the later work happens</t>
        </is>
      </c>
      <c r="B22" s="168" t="n"/>
      <c r="C22" s="168" t="n"/>
      <c r="D22" s="168" t="n"/>
      <c r="E22" s="168" t="n"/>
    </row>
    <row r="23">
      <c r="A23" s="169" t="inlineStr">
        <is>
          <t>Step / quantity</t>
        </is>
      </c>
      <c r="B23" s="169" t="inlineStr">
        <is>
          <t>Where it lives</t>
        </is>
      </c>
      <c r="C23" s="169" t="inlineStr">
        <is>
          <t>Formula as it stands</t>
        </is>
      </c>
      <c r="D23" s="169" t="inlineStr">
        <is>
          <t>What it means</t>
        </is>
      </c>
      <c r="E23" s="169" t="inlineStr">
        <is>
          <t>Source of the rule</t>
        </is>
      </c>
    </row>
    <row r="24">
      <c r="A24" s="170" t="inlineStr">
        <is>
          <t>Year of each event</t>
        </is>
      </c>
      <c r="B24" s="170" t="inlineStr">
        <is>
          <t>Alt sheet C37:C51</t>
        </is>
      </c>
      <c r="C24" s="171" t="inlineStr">
        <is>
          <t>='Maintenance Policies'!E10</t>
        </is>
      </c>
      <c r="D24" s="170" t="inlineStr">
        <is>
          <t>Years come from the maintenance policy tables, not from the project. New HMA: maintenance at 4, 8, 12 and 16, mill-and-overlay rehabilitation at 20, maintenance at 24 and 28, salvage at 30. New PCC: maintenance at 19, rehabilitation at 27, salvage at 30.</t>
        </is>
      </c>
      <c r="E24" s="170" t="inlineStr">
        <is>
          <t>Maintenance Policies, Tables 1 and 2</t>
        </is>
      </c>
    </row>
    <row r="25">
      <c r="A25" s="170" t="inlineStr">
        <is>
          <t>The year is an offset</t>
        </is>
      </c>
      <c r="B25" s="170" t="inlineStr">
        <is>
          <t>Alt sheet column C</t>
        </is>
      </c>
      <c r="C25" s="171" t="inlineStr"/>
      <c r="D25" s="170" t="inlineStr">
        <is>
          <t>Column C counts years after construction, not calendar years. Calendar years appear only on the Summary charts, where the construction year is added back.</t>
        </is>
      </c>
      <c r="E25" s="170" t="inlineStr">
        <is>
          <t>Alternative worksheet</t>
        </is>
      </c>
    </row>
    <row r="26">
      <c r="A26" s="170" t="inlineStr">
        <is>
          <t>Events beyond the analysis period</t>
        </is>
      </c>
      <c r="B26" s="170" t="inlineStr">
        <is>
          <t>Alt sheet column E</t>
        </is>
      </c>
      <c r="C26" s="171" t="inlineStr">
        <is>
          <t>=IF(C37&gt;'General Information'!$D$33,0,...)</t>
        </is>
      </c>
      <c r="D26" s="170" t="inlineStr">
        <is>
          <t>An event later than the analysis period is dropped to zero. A 20-year run therefore drops HMA maintenance 5 and 6 and the PCC rehabilitation. Added in v1.2.0; before that every event was counted whatever the period.</t>
        </is>
      </c>
      <c r="E26" s="170" t="inlineStr">
        <is>
          <t>General Information D33; v1.2.0 fix 3</t>
        </is>
      </c>
    </row>
    <row r="27" ht="26" customHeight="1">
      <c r="A27" s="166" t="inlineStr">
        <is>
          <t>Changing a policy year on Maintenance Policies moves the event everywhere: the cost, the chart and the closure.</t>
        </is>
      </c>
    </row>
    <row r="29">
      <c r="A29" s="167" t="inlineStr">
        <is>
          <t>4. Step 3: what each maintenance and rehabilitation event costs</t>
        </is>
      </c>
      <c r="B29" s="168" t="n"/>
      <c r="C29" s="168" t="n"/>
      <c r="D29" s="168" t="n"/>
      <c r="E29" s="168" t="n"/>
    </row>
    <row r="30">
      <c r="A30" s="169" t="inlineStr">
        <is>
          <t>Step / quantity</t>
        </is>
      </c>
      <c r="B30" s="169" t="inlineStr">
        <is>
          <t>Where it lives</t>
        </is>
      </c>
      <c r="C30" s="169" t="inlineStr">
        <is>
          <t>Formula as it stands</t>
        </is>
      </c>
      <c r="D30" s="169" t="inlineStr">
        <is>
          <t>What it means</t>
        </is>
      </c>
      <c r="E30" s="169" t="inlineStr">
        <is>
          <t>Source of the rule</t>
        </is>
      </c>
    </row>
    <row r="31">
      <c r="A31" s="170" t="inlineStr">
        <is>
          <t>HMA maintenance 1 and 2 (years 4, 8)</t>
        </is>
      </c>
      <c r="B31" s="170" t="inlineStr">
        <is>
          <t>Alt sheet J13:P19 and R13:X19 (hidden to the right)</t>
        </is>
      </c>
      <c r="C31" s="171" t="inlineStr">
        <is>
          <t>qty = 'Maintenance Policies'!D10*$C$5 ; cost = unit cost x qty</t>
        </is>
      </c>
      <c r="D31" s="170" t="inlineStr">
        <is>
          <t>Surface treatment over 100 percent of the mainline area, the old markings removed and 100 percent of the markings repainted. The treatment product is the one chosen in C7.</t>
        </is>
      </c>
      <c r="E31" s="170" t="inlineStr">
        <is>
          <t>Maintenance Policies rows 10 to 13</t>
        </is>
      </c>
    </row>
    <row r="32">
      <c r="A32" s="170" t="inlineStr">
        <is>
          <t>HMA maintenance 3 and 4 (years 12, 16)</t>
        </is>
      </c>
      <c r="B32" s="170" t="inlineStr">
        <is>
          <t>Alt sheet Z13:AD20 and AH13:AN21</t>
        </is>
      </c>
      <c r="C32" s="171" t="inlineStr">
        <is>
          <t>qty = 'Maintenance Policies'!D14*($C$5*9)</t>
        </is>
      </c>
      <c r="D32" s="170" t="inlineStr">
        <is>
          <t>Patching 0.75 and 1.00 percent of the area (converted to square feet, hence x9), crack sealing 3.25 and 3.50 percent of the area as linear feet, then a full surface treatment and markings.</t>
        </is>
      </c>
      <c r="E32" s="170" t="inlineStr">
        <is>
          <t>Maintenance Policies rows 14 to 21</t>
        </is>
      </c>
    </row>
    <row r="33">
      <c r="A33" s="170" t="inlineStr">
        <is>
          <t>HMA rehabilitation 1 (year 20)</t>
        </is>
      </c>
      <c r="B33" s="170" t="inlineStr">
        <is>
          <t>Alt sheet AP13:AV22</t>
        </is>
      </c>
      <c r="C33" s="171" t="inlineStr">
        <is>
          <t>qty = 'Maintenance Policies'!D22*$C$5</t>
        </is>
      </c>
      <c r="D33" s="170" t="inlineStr">
        <is>
          <t>4-inch cold mill, tack coat and asphalt overlay over 100 percent of the area, with pre-overlay crack repair on 1.5 percent and patching on 0.5 percent, plus markings.</t>
        </is>
      </c>
      <c r="E33" s="170" t="inlineStr">
        <is>
          <t>Maintenance Policies rows 22 to 25</t>
        </is>
      </c>
    </row>
    <row r="34">
      <c r="A34" s="170" t="inlineStr">
        <is>
          <t>PCC maintenance 1 (year 19)</t>
        </is>
      </c>
      <c r="B34" s="170" t="inlineStr">
        <is>
          <t>Alt sheet J13:P20</t>
        </is>
      </c>
      <c r="C34" s="171" t="inlineStr">
        <is>
          <t>qty = K8*'Maintenance Policies'!D37 and 'Maintenance Policies'!D38*(C5*9)</t>
        </is>
      </c>
      <c r="D34" s="170" t="inlineStr">
        <is>
          <t>Joint resealing over the whole estimated joint length, crack sealing 0.25 percent of the area as linear feet, partial-depth patching 0.13 percent and full-depth patching 0.30 percent.</t>
        </is>
      </c>
      <c r="E34" s="170" t="inlineStr">
        <is>
          <t>Maintenance Policies rows 37 to 40</t>
        </is>
      </c>
    </row>
    <row r="35">
      <c r="A35" s="170" t="inlineStr">
        <is>
          <t>PCC rehabilitation 1 (year 27)</t>
        </is>
      </c>
      <c r="B35" s="170" t="inlineStr">
        <is>
          <t>Alt sheet R13:X21</t>
        </is>
      </c>
      <c r="C35" s="171" t="inlineStr">
        <is>
          <t>qty = 'Maintenance Policies'!D41*C5 (slabs) and 'Maintenance Policies'!D45*K8 (joints)</t>
        </is>
      </c>
      <c r="D35" s="170" t="inlineStr">
        <is>
          <t>Slab replacement on 2 percent of the area, full-depth patching 0.30 percent, partial-depth 0.13 percent, crack sealing 0.30 percent as linear feet and joint sealing over the full joint length.</t>
        </is>
      </c>
      <c r="E35" s="170" t="inlineStr">
        <is>
          <t>Maintenance Policies rows 41 to 45</t>
        </is>
      </c>
    </row>
    <row r="36">
      <c r="A36" s="170" t="inlineStr">
        <is>
          <t>Joint length (PCC only)</t>
        </is>
      </c>
      <c r="B36" s="170" t="inlineStr">
        <is>
          <t>Alt sheet K7 and K8</t>
        </is>
      </c>
      <c r="C36" s="171" t="inlineStr">
        <is>
          <t>=C5/((12.5*12.5)/9) then =K7*25+((K7/8)*12.5)</t>
        </is>
      </c>
      <c r="D36" s="170" t="inlineStr">
        <is>
          <t>Slabs are assumed 12.5 x 12.5 ft; the joint length follows from the panel count. Nothing asks the user for a joint layout.</t>
        </is>
      </c>
      <c r="E36" s="170" t="inlineStr">
        <is>
          <t>Alternative worksheet (PCC)</t>
        </is>
      </c>
    </row>
    <row r="37">
      <c r="A37" s="170" t="inlineStr">
        <is>
          <t>Mobilization and engineering on each event</t>
        </is>
      </c>
      <c r="B37" s="170" t="inlineStr">
        <is>
          <t>Alt sheet P17, P18 and the matching cells in each block</t>
        </is>
      </c>
      <c r="C37" s="171" t="inlineStr">
        <is>
          <t>=('General Information'!$D$36/100)*P16</t>
        </is>
      </c>
      <c r="D37" s="170" t="inlineStr">
        <is>
          <t>Every maintenance and rehabilitation event carries the same mobilization and engineering percentages as initial construction.</t>
        </is>
      </c>
      <c r="E37" s="170" t="inlineStr">
        <is>
          <t>General Information D36, D37</t>
        </is>
      </c>
    </row>
    <row r="38" ht="26" customHeight="1">
      <c r="A38" s="166" t="inlineStr">
        <is>
          <t>The quantities of later work are computed from the policy rates and the project area. They are not typed anywhere.</t>
        </is>
      </c>
    </row>
    <row r="40">
      <c r="A40" s="167" t="inlineStr">
        <is>
          <t>5. Step 4: how long the runway closes</t>
        </is>
      </c>
      <c r="B40" s="168" t="n"/>
      <c r="C40" s="168" t="n"/>
      <c r="D40" s="168" t="n"/>
      <c r="E40" s="168" t="n"/>
    </row>
    <row r="41">
      <c r="A41" s="169" t="inlineStr">
        <is>
          <t>Step / quantity</t>
        </is>
      </c>
      <c r="B41" s="169" t="inlineStr">
        <is>
          <t>Where it lives</t>
        </is>
      </c>
      <c r="C41" s="169" t="inlineStr">
        <is>
          <t>Formula as it stands</t>
        </is>
      </c>
      <c r="D41" s="169" t="inlineStr">
        <is>
          <t>What it means</t>
        </is>
      </c>
      <c r="E41" s="169" t="inlineStr">
        <is>
          <t>Source of the rule</t>
        </is>
      </c>
    </row>
    <row r="42">
      <c r="A42" s="170" t="inlineStr">
        <is>
          <t>HMA surface treatment (F4, F5, F9)</t>
        </is>
      </c>
      <c r="B42" s="170" t="inlineStr">
        <is>
          <t>Alt sheet F4:F10 (grey, editable)</t>
        </is>
      </c>
      <c r="C42" s="171" t="inlineStr">
        <is>
          <t>=ROUNDUP((C5/15000),0)+ROUNDUP((C8/20000),0)+ROUNDUP((C8/50000),0)</t>
        </is>
      </c>
      <c r="D42" s="170" t="inlineStr">
        <is>
          <t>Production rates: 15,000 S.Y. a day of surface treatment, plus the two marking operations at 20,000 and 50,000 S.F. a day.</t>
        </is>
      </c>
      <c r="E42" s="170" t="inlineStr">
        <is>
          <t>v1.2.0 defaults, taken from the MBT and SRB runs</t>
        </is>
      </c>
    </row>
    <row r="43">
      <c r="A43" s="170" t="inlineStr">
        <is>
          <t>HMA with patching and crack sealing (F6, F7, F10)</t>
        </is>
      </c>
      <c r="B43" s="170" t="inlineStr">
        <is>
          <t>Alt sheet F6, F7, F10</t>
        </is>
      </c>
      <c r="C43" s="171" t="inlineStr">
        <is>
          <t>... +ROUNDUP((C5*'Maintenance Policies'!D15/10000),0)+ROUNDUP((C5*'Maintenance Policies'!D14/5000),0)</t>
        </is>
      </c>
      <c r="D43" s="170" t="inlineStr">
        <is>
          <t>Adds crack sealing at 10,000 L.F. a day and patching at 5,000 S.Y. a day, on the policy quantities for that event.</t>
        </is>
      </c>
      <c r="E43" s="170" t="inlineStr">
        <is>
          <t>v1.2.0 defaults</t>
        </is>
      </c>
    </row>
    <row r="44">
      <c r="A44" s="170" t="inlineStr">
        <is>
          <t>HMA mill and overlay (F8)</t>
        </is>
      </c>
      <c r="B44" s="170" t="inlineStr">
        <is>
          <t>Alt sheet F8</t>
        </is>
      </c>
      <c r="C44" s="171" t="inlineStr">
        <is>
          <t>=ROUNDUP((C5/3800),0)+ROUNDUP((C8/50000),0)</t>
        </is>
      </c>
      <c r="D44" s="170" t="inlineStr">
        <is>
          <t>Mill and overlay at 3,800 S.Y. a day, plus markings.</t>
        </is>
      </c>
      <c r="E44" s="170" t="inlineStr">
        <is>
          <t>v1.2.0 defaults</t>
        </is>
      </c>
    </row>
    <row r="45">
      <c r="A45" s="170" t="inlineStr">
        <is>
          <t>PCC (F4, F5)</t>
        </is>
      </c>
      <c r="B45" s="170" t="inlineStr">
        <is>
          <t>Alt sheet F4, F5</t>
        </is>
      </c>
      <c r="C45" s="171" t="inlineStr">
        <is>
          <t>=ROUNDUP(C5*550/(50*100/9)/10000,0)+... +7 on F5</t>
        </is>
      </c>
      <c r="D45" s="170" t="inlineStr">
        <is>
          <t>Joint work at 10,000 L.F. a day, patching and sealing at 5,000 a day, slab replacement at 1,000 S.Y. a day, plus seven days of cure before the runway reopens.</t>
        </is>
      </c>
      <c r="E45" s="170" t="inlineStr">
        <is>
          <t>v1.2.0 defaults</t>
        </is>
      </c>
    </row>
    <row r="46">
      <c r="A46" s="170" t="inlineStr">
        <is>
          <t>These are inputs</t>
        </is>
      </c>
      <c r="B46" s="170" t="inlineStr">
        <is>
          <t>Alt sheet F4:F10</t>
        </is>
      </c>
      <c r="C46" s="171" t="inlineStr"/>
      <c r="D46" s="170" t="inlineStr">
        <is>
          <t>The cells are grey because a project can override them. Type a number and the formula is replaced for that alternative only.</t>
        </is>
      </c>
      <c r="E46" s="170" t="inlineStr">
        <is>
          <t>Alternative worksheet</t>
        </is>
      </c>
    </row>
    <row r="47" ht="26" customHeight="1">
      <c r="A47" s="166" t="inlineStr">
        <is>
          <t>Closure days matter only when lost revenue is switched on, but they are always reported on the Summary.</t>
        </is>
      </c>
    </row>
    <row r="49">
      <c r="A49" s="167" t="inlineStr">
        <is>
          <t>6. Step 5: lost airport revenue (the "indirect cost")</t>
        </is>
      </c>
      <c r="B49" s="168" t="n"/>
      <c r="C49" s="168" t="n"/>
      <c r="D49" s="168" t="n"/>
      <c r="E49" s="168" t="n"/>
    </row>
    <row r="50">
      <c r="A50" s="169" t="inlineStr">
        <is>
          <t>Step / quantity</t>
        </is>
      </c>
      <c r="B50" s="169" t="inlineStr">
        <is>
          <t>Where it lives</t>
        </is>
      </c>
      <c r="C50" s="169" t="inlineStr">
        <is>
          <t>Formula as it stands</t>
        </is>
      </c>
      <c r="D50" s="169" t="inlineStr">
        <is>
          <t>What it means</t>
        </is>
      </c>
      <c r="E50" s="169" t="inlineStr">
        <is>
          <t>Source of the rule</t>
        </is>
      </c>
    </row>
    <row r="51">
      <c r="A51" s="170" t="inlineStr">
        <is>
          <t>Switch</t>
        </is>
      </c>
      <c r="B51" s="170" t="inlineStr">
        <is>
          <t>General Information D38</t>
        </is>
      </c>
      <c r="C51" s="171" t="inlineStr"/>
      <c r="D51" s="170" t="inlineStr">
        <is>
          <t>Yes adds a lost-revenue row beside every maintenance and rehabilitation event. No leaves the analysis as agency cost only.</t>
        </is>
      </c>
      <c r="E51" s="170" t="inlineStr">
        <is>
          <t>General Information D38</t>
        </is>
      </c>
    </row>
    <row r="52">
      <c r="A52" s="170" t="inlineStr">
        <is>
          <t>Daily revenue</t>
        </is>
      </c>
      <c r="B52" s="170" t="inlineStr">
        <is>
          <t>Alt sheet F2</t>
        </is>
      </c>
      <c r="C52" s="171" t="inlineStr">
        <is>
          <t>=IF('General Information'!$D$38="Yes",SUMIF(RevenueData!$A:$A,'General Information'!$D$10,RevenueData!$B:$B)+... ,0)</t>
        </is>
      </c>
      <c r="D52" s="170" t="inlineStr">
        <is>
          <t>Adds the airport's revenue lines on the hidden RevenueData sheet (fuel, tenant, other). Only 17 of the 79 airports have revenue data; text entries such as " NA " count as zero.</t>
        </is>
      </c>
      <c r="E52" s="170" t="inlineStr">
        <is>
          <t>RevenueData (hidden); v1.2.0 fix 5</t>
        </is>
      </c>
    </row>
    <row r="53">
      <c r="A53" s="170" t="inlineStr">
        <is>
          <t>Warning when there is no data</t>
        </is>
      </c>
      <c r="B53" s="170" t="inlineStr">
        <is>
          <t>Alt sheet G2</t>
        </is>
      </c>
      <c r="C53" s="171" t="inlineStr">
        <is>
          <t>=IF(AND('General Information'!$D$38="Yes",F2=0),"No revenue data for this airport...","")</t>
        </is>
      </c>
      <c r="D53" s="170" t="inlineStr">
        <is>
          <t>An airport outside the 17 returns $0 lost revenue with a visible warning, instead of the not-available error it produced before.</t>
        </is>
      </c>
      <c r="E53" s="170" t="inlineStr">
        <is>
          <t>v1.2.0 fix 5</t>
        </is>
      </c>
    </row>
    <row r="54">
      <c r="A54" s="170" t="inlineStr">
        <is>
          <t>Cost of one closure</t>
        </is>
      </c>
      <c r="B54" s="170" t="inlineStr">
        <is>
          <t>Alt sheet D38, D40, D42 ... (the "Indirect Cost" rows)</t>
        </is>
      </c>
      <c r="C54" s="171" t="inlineStr">
        <is>
          <t>=F2*F4</t>
        </is>
      </c>
      <c r="D54" s="170" t="inlineStr">
        <is>
          <t>Daily revenue times the closure days for that event, then discounted like any other cost.</t>
        </is>
      </c>
      <c r="E54" s="170" t="inlineStr">
        <is>
          <t>Alternative worksheet</t>
        </is>
      </c>
    </row>
    <row r="55" ht="26" customHeight="1">
      <c r="A55" s="166" t="inlineStr">
        <is>
          <t>This is the airport-side counterpart of the road user delay cost in the Caltrans and FHWA RealCost method.</t>
        </is>
      </c>
    </row>
    <row r="57">
      <c r="A57" s="167" t="inlineStr">
        <is>
          <t>7. Step 6: salvage value</t>
        </is>
      </c>
      <c r="B57" s="168" t="n"/>
      <c r="C57" s="168" t="n"/>
      <c r="D57" s="168" t="n"/>
      <c r="E57" s="168" t="n"/>
    </row>
    <row r="58">
      <c r="A58" s="169" t="inlineStr">
        <is>
          <t>Step / quantity</t>
        </is>
      </c>
      <c r="B58" s="169" t="inlineStr">
        <is>
          <t>Where it lives</t>
        </is>
      </c>
      <c r="C58" s="169" t="inlineStr">
        <is>
          <t>Formula as it stands</t>
        </is>
      </c>
      <c r="D58" s="169" t="inlineStr">
        <is>
          <t>What it means</t>
        </is>
      </c>
      <c r="E58" s="169" t="inlineStr">
        <is>
          <t>Source of the rule</t>
        </is>
      </c>
    </row>
    <row r="59">
      <c r="A59" s="170" t="inlineStr">
        <is>
          <t>New HMA</t>
        </is>
      </c>
      <c r="B59" s="170" t="inlineStr">
        <is>
          <t>Alt sheet D51</t>
        </is>
      </c>
      <c r="C59" s="171" t="inlineStr">
        <is>
          <t>=-'Maintenance Policies'!D32*AV22</t>
        </is>
      </c>
      <c r="D59" s="170" t="inlineStr">
        <is>
          <t>12.5 percent of the mill-and-overlay cost, credited at the end of the analysis period. The policy sheet describes it as two years of remaining life on a 16-year overlay.</t>
        </is>
      </c>
      <c r="E59" s="170" t="inlineStr">
        <is>
          <t>Maintenance Policies row 32</t>
        </is>
      </c>
    </row>
    <row r="60">
      <c r="A60" s="170" t="inlineStr">
        <is>
          <t>New PCC</t>
        </is>
      </c>
      <c r="B60" s="170" t="inlineStr">
        <is>
          <t>Alt sheet D42</t>
        </is>
      </c>
      <c r="C60" s="171" t="inlineStr">
        <is>
          <t>=-'Maintenance Policies'!D46*G27</t>
        </is>
      </c>
      <c r="D60" s="170" t="inlineStr">
        <is>
          <t>25 percent of the whole initial construction cost, credited at the end of the analysis period. The policy sheet describes it as ten years of remaining life.</t>
        </is>
      </c>
      <c r="E60" s="170" t="inlineStr">
        <is>
          <t>Maintenance Policies row 46</t>
        </is>
      </c>
    </row>
    <row r="61">
      <c r="A61" s="170" t="inlineStr">
        <is>
          <t>When it is credited</t>
        </is>
      </c>
      <c r="B61" s="170" t="inlineStr">
        <is>
          <t>Alt sheet C51 (HMA), C42 (PCC)</t>
        </is>
      </c>
      <c r="C61" s="171" t="inlineStr">
        <is>
          <t>='General Information'!D33</t>
        </is>
      </c>
      <c r="D61" s="170" t="inlineStr">
        <is>
          <t>Always at the last year of the analysis period, so it is discounted the hardest of any line.</t>
        </is>
      </c>
      <c r="E61" s="170" t="inlineStr">
        <is>
          <t>General Information D33</t>
        </is>
      </c>
    </row>
    <row r="62" ht="26" customHeight="1">
      <c r="A62" s="166" t="inlineStr">
        <is>
          <t>The two rules are not symmetric: concrete recovers a share of everything spent up front, asphalt a share of one rehabilitation. See section 11.</t>
        </is>
      </c>
    </row>
    <row r="64">
      <c r="A64" s="167" t="inlineStr">
        <is>
          <t>8. Step 7: discounting and the total</t>
        </is>
      </c>
      <c r="B64" s="168" t="n"/>
      <c r="C64" s="168" t="n"/>
      <c r="D64" s="168" t="n"/>
      <c r="E64" s="168" t="n"/>
    </row>
    <row r="65">
      <c r="A65" s="169" t="inlineStr">
        <is>
          <t>Step / quantity</t>
        </is>
      </c>
      <c r="B65" s="169" t="inlineStr">
        <is>
          <t>Where it lives</t>
        </is>
      </c>
      <c r="C65" s="169" t="inlineStr">
        <is>
          <t>Formula as it stands</t>
        </is>
      </c>
      <c r="D65" s="169" t="inlineStr">
        <is>
          <t>What it means</t>
        </is>
      </c>
      <c r="E65" s="169" t="inlineStr">
        <is>
          <t>Source of the rule</t>
        </is>
      </c>
    </row>
    <row r="66">
      <c r="A66" s="170" t="inlineStr">
        <is>
          <t>Present worth of one event</t>
        </is>
      </c>
      <c r="B66" s="170" t="inlineStr">
        <is>
          <t>Alt sheet column E</t>
        </is>
      </c>
      <c r="C66" s="171" t="inlineStr">
        <is>
          <t>=IF(C37&gt;'General Information'!$D$33,0,D37/(1+('General Information'!$D$34/100))^C37)</t>
        </is>
      </c>
      <c r="D66" s="170" t="inlineStr">
        <is>
          <t>Cost divided by (1 + rate) raised to the number of years after construction. Constant-dollar costs with a real discount rate: no inflation is added anywhere in the workbook.</t>
        </is>
      </c>
      <c r="E66" s="170" t="inlineStr">
        <is>
          <t>General Information D33, D34</t>
        </is>
      </c>
    </row>
    <row r="67">
      <c r="A67" s="170" t="inlineStr">
        <is>
          <t>Discount rate</t>
        </is>
      </c>
      <c r="B67" s="170" t="inlineStr">
        <is>
          <t>General Information D34</t>
        </is>
      </c>
      <c r="C67" s="171" t="inlineStr"/>
      <c r="D67" s="170" t="inlineStr">
        <is>
          <t>TDOT uses 3 percent. FAA PGL 22-01 (June 2022) replaced the fixed 7 percent with the OMB Circular A-94 Appendix C real rate, 2.0 percent for 2026. Chart 2 on the Summary shows the answer from 2 to 8 percent.</t>
        </is>
      </c>
      <c r="E67" s="170" t="inlineStr">
        <is>
          <t>TDOT policy; FAA PGL 22-01; OMB A-94</t>
        </is>
      </c>
    </row>
    <row r="68">
      <c r="A68" s="170" t="inlineStr">
        <is>
          <t>Analysis period</t>
        </is>
      </c>
      <c r="B68" s="170" t="inlineStr">
        <is>
          <t>General Information D33</t>
        </is>
      </c>
      <c r="C68" s="171" t="inlineStr"/>
      <c r="D68" s="170" t="inlineStr">
        <is>
          <t>TDOT uses 30 years. FAA leaves the period to the engineer. Events beyond it are dropped, salvage moves with it.</t>
        </is>
      </c>
      <c r="E68" s="170" t="inlineStr">
        <is>
          <t>TDOT policy</t>
        </is>
      </c>
    </row>
    <row r="69">
      <c r="A69" s="170" t="inlineStr">
        <is>
          <t>Net present worth</t>
        </is>
      </c>
      <c r="B69" s="170" t="inlineStr">
        <is>
          <t>Alt sheet E52 (HMA), E43 (PCC)</t>
        </is>
      </c>
      <c r="C69" s="171" t="inlineStr">
        <is>
          <t>=SUM(E36:E51)</t>
        </is>
      </c>
      <c r="D69" s="170" t="inlineStr">
        <is>
          <t>The sum of the discounted column, initial construction included.</t>
        </is>
      </c>
      <c r="E69" s="170" t="inlineStr">
        <is>
          <t>Alternative worksheet</t>
        </is>
      </c>
    </row>
    <row r="71">
      <c r="A71" s="167" t="inlineStr">
        <is>
          <t>9. What the Summary adds on top</t>
        </is>
      </c>
      <c r="B71" s="168" t="n"/>
      <c r="C71" s="168" t="n"/>
      <c r="D71" s="168" t="n"/>
      <c r="E71" s="168" t="n"/>
    </row>
    <row r="72">
      <c r="A72" s="169" t="inlineStr">
        <is>
          <t>Step / quantity</t>
        </is>
      </c>
      <c r="B72" s="169" t="inlineStr">
        <is>
          <t>Where it lives</t>
        </is>
      </c>
      <c r="C72" s="169" t="inlineStr">
        <is>
          <t>Formula as it stands</t>
        </is>
      </c>
      <c r="D72" s="169" t="inlineStr">
        <is>
          <t>What it means</t>
        </is>
      </c>
      <c r="E72" s="169" t="inlineStr">
        <is>
          <t>Source of the rule</t>
        </is>
      </c>
    </row>
    <row r="73">
      <c r="A73" s="170" t="inlineStr">
        <is>
          <t>Results table</t>
        </is>
      </c>
      <c r="B73" s="170" t="inlineStr">
        <is>
          <t>Summary G3:R7</t>
        </is>
      </c>
      <c r="C73" s="171" t="inlineStr">
        <is>
          <t>=IFERROR(SUMIFS(INDIRECT("'"&amp;$G4&amp;"'!$E$37:$E$52"),...),0)</t>
        </is>
      </c>
      <c r="D73" s="17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3" s="170" t="inlineStr">
        <is>
          <t>Summary, v1.2.0</t>
        </is>
      </c>
    </row>
    <row r="74">
      <c r="A74" s="170" t="inlineStr">
        <is>
          <t>Which alternatives exist</t>
        </is>
      </c>
      <c r="B74" s="170" t="inlineStr">
        <is>
          <t>Summary G4:I7</t>
        </is>
      </c>
      <c r="C74" s="171" t="inlineStr">
        <is>
          <t>=INDEX(Database!$D:$D,4)</t>
        </is>
      </c>
      <c r="D74" s="170" t="inlineStr">
        <is>
          <t>Names and worksheet names come from the hidden Database sheet that the Alternative Setup form writes. INDEX on whole columns survives the row deletion the form performs when an alternative is removed.</t>
        </is>
      </c>
      <c r="E74" s="170" t="inlineStr">
        <is>
          <t>Database (hidden)</t>
        </is>
      </c>
    </row>
    <row r="75">
      <c r="A75" s="170" t="inlineStr">
        <is>
          <t>Verdict</t>
        </is>
      </c>
      <c r="B75" s="170" t="inlineStr">
        <is>
          <t>Summary G9, G10</t>
        </is>
      </c>
      <c r="C75" s="171" t="inlineStr"/>
      <c r="D75" s="170" t="inlineStr">
        <is>
          <t>Names the lowest-NPW alternative, the margin to the next, the rate and period, and whether the same alternative still wins at 2 and at 7 percent.</t>
        </is>
      </c>
      <c r="E75" s="170" t="inlineStr">
        <is>
          <t>Summary, v1.2.0</t>
        </is>
      </c>
    </row>
    <row r="76">
      <c r="A76" s="170" t="inlineStr">
        <is>
          <t>Comparison block (RealCost layout)</t>
        </is>
      </c>
      <c r="B76" s="170" t="inlineStr">
        <is>
          <t>Summary G13:O17</t>
        </is>
      </c>
      <c r="C76" s="171" t="inlineStr">
        <is>
          <t>=H14*(('General Information'!$D$34/100)*(1+'General Information'!$D$34/100)^'General Information'!$D$33)/((1+'General Information'!$D$34/100)^'General Information'!$D$33-1)</t>
        </is>
      </c>
      <c r="D76" s="170" t="inlineStr">
        <is>
          <t>Agency cost (initial + maintenance + rehabilitation + salvage) and user cost (lost revenue) as present worth and as equivalent uniform annual cost. EUAC = PW x capital recovery factor.</t>
        </is>
      </c>
      <c r="E76" s="170" t="inlineStr">
        <is>
          <t>Caltrans / FHWA RealCost layout</t>
        </is>
      </c>
    </row>
    <row r="77">
      <c r="A77" s="170" t="inlineStr">
        <is>
          <t>Sensitivity to the discount rate</t>
        </is>
      </c>
      <c r="B77" s="170" t="inlineStr">
        <is>
          <t>Summary W10:AA36, chart 2</t>
        </is>
      </c>
      <c r="C77" s="171" t="inlineStr">
        <is>
          <t>=SUMPRODUCT((year&lt;=period)*cost/(1+r)^year)</t>
        </is>
      </c>
      <c r="D77" s="170" t="inlineStr">
        <is>
          <t>Recomputes every alternative at 25 rates from 2 to 8 percent without touching the alternative sheets.</t>
        </is>
      </c>
      <c r="E77" s="170" t="inlineStr">
        <is>
          <t>Summary, v1.2.0</t>
        </is>
      </c>
    </row>
    <row r="78">
      <c r="A78" s="170" t="inlineStr">
        <is>
          <t>By calendar year</t>
        </is>
      </c>
      <c r="B78" s="170" t="inlineStr">
        <is>
          <t>Summary W39:AJ71, charts 3, 4 and 5</t>
        </is>
      </c>
      <c r="C78" s="171" t="inlineStr">
        <is>
          <t>=SUMIF(year applied, ...)</t>
        </is>
      </c>
      <c r="D78" s="170" t="inlineStr">
        <is>
          <t>Spend by year undiscounted, cumulative discounted cost (the payback crossing) and closure days by year.</t>
        </is>
      </c>
      <c r="E78" s="170" t="inlineStr">
        <is>
          <t>Summary, v1.2.0</t>
        </is>
      </c>
    </row>
    <row r="79">
      <c r="A79" s="170" t="inlineStr">
        <is>
          <t>Pavement section read-back</t>
        </is>
      </c>
      <c r="B79" s="170" t="inlineStr">
        <is>
          <t>Summary G80:Q86, charts 6 and 7</t>
        </is>
      </c>
      <c r="C79" s="171" t="inlineStr">
        <is>
          <t>=36*C.Y./mainline S.Y. ; =2666.6667*tons/(pcf*mainline S.Y.)</t>
        </is>
      </c>
      <c r="D79" s="170" t="inlineStr">
        <is>
          <t>Derives each layer thickness from the quantities already entered, totals the section, cross-checks it against the excavation quantity and writes the section out as a string for the alternative description. Display only.</t>
        </is>
      </c>
      <c r="E79" s="170" t="inlineStr">
        <is>
          <t>Summary, v1.2.0</t>
        </is>
      </c>
    </row>
    <row r="81">
      <c r="A81" s="167" t="inlineStr">
        <is>
          <t>10. Current settings in this file (live)</t>
        </is>
      </c>
      <c r="B81" s="168" t="n"/>
      <c r="C81" s="168" t="n"/>
      <c r="D81" s="168" t="n"/>
      <c r="E81" s="168" t="n"/>
    </row>
    <row r="82">
      <c r="A82" s="169" t="inlineStr">
        <is>
          <t>Step / quantity</t>
        </is>
      </c>
      <c r="B82" s="169" t="inlineStr">
        <is>
          <t>Where it lives</t>
        </is>
      </c>
      <c r="C82" s="169" t="inlineStr">
        <is>
          <t>Formula as it stands</t>
        </is>
      </c>
      <c r="D82" s="169" t="inlineStr">
        <is>
          <t>What it means</t>
        </is>
      </c>
      <c r="E82" s="169" t="inlineStr">
        <is>
          <t>Source of the rule</t>
        </is>
      </c>
    </row>
    <row r="83">
      <c r="A83" s="170" t="inlineStr">
        <is>
          <t>Analysis period, years</t>
        </is>
      </c>
      <c r="B83" s="170" t="inlineStr">
        <is>
          <t>General Information D33</t>
        </is>
      </c>
      <c r="C83" s="172">
        <f>'General Information'!$D$33</f>
        <v/>
      </c>
      <c r="D83" s="170" t="inlineStr">
        <is>
          <t>The period every alternative is measured over.</t>
        </is>
      </c>
      <c r="E83" s="170" t="inlineStr"/>
    </row>
    <row r="84">
      <c r="A84" s="170" t="inlineStr">
        <is>
          <t>Discount rate, percent</t>
        </is>
      </c>
      <c r="B84" s="170" t="inlineStr">
        <is>
          <t>General Information D34</t>
        </is>
      </c>
      <c r="C84" s="173">
        <f>'General Information'!$D$34</f>
        <v/>
      </c>
      <c r="D84" s="170" t="inlineStr">
        <is>
          <t>The real rate used for every present worth above.</t>
        </is>
      </c>
      <c r="E84" s="170" t="inlineStr"/>
    </row>
    <row r="85">
      <c r="A85" s="170" t="inlineStr">
        <is>
          <t>Capital recovery factor</t>
        </is>
      </c>
      <c r="B85" s="170" t="inlineStr">
        <is>
          <t>computed here</t>
        </is>
      </c>
      <c r="C85" s="174">
        <f>IF('General Information'!$D$34=0,0,('General Information'!$D$34/100)*(1+'General Information'!$D$34/100)^'General Information'!$D$33/((1+'General Information'!$D$34/100)^'General Information'!$D$33-1))</f>
        <v/>
      </c>
      <c r="D85" s="170" t="inlineStr">
        <is>
          <t>Multiply any present worth by this to get the equivalent uniform annual cost.</t>
        </is>
      </c>
      <c r="E85" s="170" t="inlineStr"/>
    </row>
    <row r="86">
      <c r="A86" s="170" t="inlineStr">
        <is>
          <t>Present worth of $1 spent at year 20</t>
        </is>
      </c>
      <c r="B86" s="170" t="inlineStr">
        <is>
          <t>computed here</t>
        </is>
      </c>
      <c r="C86" s="174">
        <f>1/(1+'General Information'!$D$34/100)^20</f>
        <v/>
      </c>
      <c r="D86" s="170" t="inlineStr">
        <is>
          <t>What a dollar of rehabilitation at year 20 is worth today at the current rate.</t>
        </is>
      </c>
      <c r="E86" s="170" t="inlineStr"/>
    </row>
    <row r="87">
      <c r="A87" s="170" t="inlineStr">
        <is>
          <t>Lost revenue counted</t>
        </is>
      </c>
      <c r="B87" s="170" t="inlineStr">
        <is>
          <t>General Information D38</t>
        </is>
      </c>
      <c r="C87" s="171">
        <f>'General Information'!$D$38</f>
        <v/>
      </c>
      <c r="D87" s="170" t="inlineStr">
        <is>
          <t>Yes adds the closure cost rows.</t>
        </is>
      </c>
      <c r="E87" s="170" t="inlineStr"/>
    </row>
    <row r="88">
      <c r="A88" s="170" t="inlineStr">
        <is>
          <t>Alternatives registered</t>
        </is>
      </c>
      <c r="B88" s="170" t="inlineStr">
        <is>
          <t>Database A4:A7</t>
        </is>
      </c>
      <c r="C88" s="172">
        <f>COUNTA(Database!$A$4:$A$7)</f>
        <v/>
      </c>
      <c r="D88" s="170" t="inlineStr">
        <is>
          <t>How many alternatives the form has created.</t>
        </is>
      </c>
      <c r="E88" s="170" t="inlineStr"/>
    </row>
    <row r="89" ht="26" customHeight="1">
      <c r="A89" s="166" t="inlineStr">
        <is>
          <t>These cells read the workbook as it stands right now, so they change with the inputs.</t>
        </is>
      </c>
    </row>
    <row r="91">
      <c r="A91" s="167" t="inlineStr">
        <is>
          <t>11. Assumptions and policy choices worth knowing</t>
        </is>
      </c>
      <c r="B91" s="168" t="n"/>
      <c r="C91" s="168" t="n"/>
      <c r="D91" s="168" t="n"/>
      <c r="E91" s="168" t="n"/>
    </row>
    <row r="92">
      <c r="A92" s="169" t="inlineStr">
        <is>
          <t>Step / quantity</t>
        </is>
      </c>
      <c r="B92" s="169" t="inlineStr">
        <is>
          <t>Where it lives</t>
        </is>
      </c>
      <c r="C92" s="169" t="inlineStr">
        <is>
          <t>Formula as it stands</t>
        </is>
      </c>
      <c r="D92" s="169" t="inlineStr">
        <is>
          <t>What it means</t>
        </is>
      </c>
      <c r="E92" s="169" t="inlineStr">
        <is>
          <t>Source of the rule</t>
        </is>
      </c>
    </row>
    <row r="93">
      <c r="A93" s="175" t="inlineStr">
        <is>
          <t>Engineering on initial construction</t>
        </is>
      </c>
      <c r="B93" s="170" t="inlineStr">
        <is>
          <t>Alt sheet G26</t>
        </is>
      </c>
      <c r="C93" s="171" t="inlineStr"/>
      <c r="D93" s="170" t="inlineStr">
        <is>
          <t>v1.2.0 charges engineering on initial construction as well as on later work. It raises every initial cost by the engineering percentage against v1.1.2 results, and it affects PCC more than HMA because PCC salvage is a share of initial cost.</t>
        </is>
      </c>
      <c r="E93" s="170" t="inlineStr">
        <is>
          <t>v1.2.0 fix 2</t>
        </is>
      </c>
    </row>
    <row r="94">
      <c r="A94" s="175" t="inlineStr">
        <is>
          <t>Salvage is not symmetric</t>
        </is>
      </c>
      <c r="B94" s="170" t="inlineStr">
        <is>
          <t>Maintenance Policies D32 and D46</t>
        </is>
      </c>
      <c r="C94" s="171" t="inlineStr"/>
      <c r="D94" s="170"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t>
        </is>
      </c>
      <c r="E94" s="170" t="inlineStr">
        <is>
          <t>Pre-existing policy; flagged for decision</t>
        </is>
      </c>
    </row>
    <row r="95">
      <c r="A95" s="175" t="inlineStr">
        <is>
          <t>Lost revenue is gross revenue</t>
        </is>
      </c>
      <c r="B95" s="170" t="inlineStr">
        <is>
          <t>RevenueData; Alt sheet F2</t>
        </is>
      </c>
      <c r="C95" s="171" t="inlineStr"/>
      <c r="D95" s="170" t="inlineStr">
        <is>
          <t>The whole of the airport's fuel, tenant and other revenue is treated as lost for every closure day. A percentage lost by category would be more defensible.</t>
        </is>
      </c>
      <c r="E95" s="170" t="inlineStr">
        <is>
          <t>Pre-existing; flagged for decision</t>
        </is>
      </c>
    </row>
    <row r="96">
      <c r="A96" s="175" t="inlineStr">
        <is>
          <t>PCC joint length is estimated two ways</t>
        </is>
      </c>
      <c r="B96" s="170" t="inlineStr">
        <is>
          <t>Alt sheet K8 versus F4 and F5</t>
        </is>
      </c>
      <c r="C96" s="171" t="inlineStr"/>
      <c r="D96" s="17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6" s="170" t="inlineStr">
        <is>
          <t>Pre-existing; worth a decision</t>
        </is>
      </c>
    </row>
    <row r="97">
      <c r="A97" s="175" t="inlineStr">
        <is>
          <t>Closure production rates are defaults</t>
        </is>
      </c>
      <c r="B97" s="170" t="inlineStr">
        <is>
          <t>Alt sheet F4:F10</t>
        </is>
      </c>
      <c r="C97" s="171" t="inlineStr"/>
      <c r="D97" s="170" t="inlineStr">
        <is>
          <t>They reproduce the durations used in the completed Murfreesboro and Upper Cumberland runs. A project with unusual phasing should override them.</t>
        </is>
      </c>
      <c r="E97" s="170" t="inlineStr">
        <is>
          <t>v1.2.0 defaults</t>
        </is>
      </c>
    </row>
    <row r="98">
      <c r="A98" s="175" t="inlineStr">
        <is>
          <t>Asphalt unit weight for the section read-back</t>
        </is>
      </c>
      <c r="B98" s="170" t="inlineStr">
        <is>
          <t>Summary J81</t>
        </is>
      </c>
      <c r="C98" s="171" t="inlineStr"/>
      <c r="D98" s="170" t="inlineStr">
        <is>
          <t>145 pcf, the value that reproduces the Murfreesboro section exactly. It affects the displayed thickness only, never a cost.</t>
        </is>
      </c>
      <c r="E98" s="170" t="inlineStr">
        <is>
          <t>Summary, v1.2.0</t>
        </is>
      </c>
    </row>
    <row r="99">
      <c r="A99" s="175" t="inlineStr">
        <is>
          <t>Unit costs are statewide, not regional</t>
        </is>
      </c>
      <c r="B99" s="170" t="inlineStr">
        <is>
          <t>Pay_Items columns G, H, I</t>
        </is>
      </c>
      <c r="C99" s="171" t="inlineStr"/>
      <c r="D99" s="170" t="inlineStr">
        <is>
          <t>The sheet carries a header "Average Pay Item Unit Cost" spanning Middle, West and East columns, and all three are empty. Every alternative prices off the single Unit Cost column, so a West-division project is estimated on the same numbers as a Middle one. The locator map on the Summary colors the airports by division so the project's region sits beside the pricing basis.</t>
        </is>
      </c>
      <c r="E99" s="170" t="inlineStr">
        <is>
          <t>Pre-existing; worth a decision</t>
        </is>
      </c>
    </row>
    <row r="100">
      <c r="A100" s="175" t="inlineStr">
        <is>
          <t>Unit costs date from the 2022 framework</t>
        </is>
      </c>
      <c r="B100" s="170" t="inlineStr">
        <is>
          <t>Pay_Items column F</t>
        </is>
      </c>
      <c r="C100" s="171" t="inlineStr"/>
      <c r="D100" s="170" t="inlineStr">
        <is>
          <t>The Typical Values sheet compares them with recent bid prices. The asphalt defaults look low against 2025 southeastern bids.</t>
        </is>
      </c>
      <c r="E100" s="170" t="inlineStr">
        <is>
          <t>Typical Values, section 3</t>
        </is>
      </c>
    </row>
    <row r="101">
      <c r="A101" s="175" t="inlineStr">
        <is>
          <t>No inflation, no risk analysis</t>
        </is>
      </c>
      <c r="B101" s="170" t="inlineStr">
        <is>
          <t>throughout</t>
        </is>
      </c>
      <c r="C101" s="171" t="inlineStr"/>
      <c r="D101" s="170" t="inlineStr">
        <is>
          <t>Costs are constant dollars discounted at a real rate, and every input is a single value. There is no probabilistic treatment of cost or timing.</t>
        </is>
      </c>
      <c r="E101" s="170" t="inlineStr">
        <is>
          <t>FHWA LCCA Primer, deterministic method</t>
        </is>
      </c>
    </row>
  </sheetData>
  <mergeCells count="8">
    <mergeCell ref="A55:E55"/>
    <mergeCell ref="A4:E4"/>
    <mergeCell ref="A62:E62"/>
    <mergeCell ref="A38:E38"/>
    <mergeCell ref="A11:E11"/>
    <mergeCell ref="A47:E47"/>
    <mergeCell ref="A89:E89"/>
    <mergeCell ref="A27:E27"/>
  </mergeCells>
  <pageMargins left="0.75" right="0.75" top="1" bottom="1" header="0.5" footer="0.5"/>
  <pageSetup orientation="landscape" fitToWidth="1" fitToHeigh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2026-09-13T05:48:09Z</dcterms:modified>
</cp:coreProperties>
</file>
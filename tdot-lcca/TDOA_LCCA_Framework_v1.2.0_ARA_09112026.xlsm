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<sst xmlns="http://schemas.openxmlformats.org/spreadsheetml/2006/main" count="1480" uniqueCount="637">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</sst>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75"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
      <b/>
      <sz val="11"/>
      <color rgb="FF0B5C3B"/>
      <name val="Arial"/>
      <family val="2"/>
    </font>
    <font>
      <b/>
      <sz val="10"/>
      <color rgb="FFFFFFFF"/>
      <name val="Arial"/>
      <family val="2"/>
    </font>
    <font>
      <b/>
      <sz val="10"/>
      <color rgb="FF5B6675"/>
      <name val="Arial"/>
      <family val="2"/>
    </font>
    <font>
      <name val="Arial"/>
      <b val="1"/>
      <color rgb="001D2733"/>
      <sz val="16"/>
    </font>
    <font>
      <name val="Calibri"/>
      <family val="2"/>
      <color theme="1"/>
      <sz val="16"/>
      <scheme val="minor"/>
    </font>
    <font>
      <name val="Calibri"/>
      <family val="2"/>
      <color theme="1"/>
      <sz val="16"/>
      <scheme val="minor"/>
    </font>
    <font>
      <i/>
      <sz val="9"/>
      <color rgb="FF5B6675"/>
      <name val="Arial"/>
      <family val="2"/>
    </font>
    <font>
      <b/>
      <sz val="9"/>
      <color rgb="FF5B6675"/>
      <name val="Arial"/>
      <family val="2"/>
    </font>
    <font>
      <sz val="10"/>
      <color rgb="FF5B6675"/>
      <name val="Arial"/>
      <family val="2"/>
    </font>
  </fonts>
  <fills count="44">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
      <patternFill patternType="solid">
        <fgColor rgb="FFE4F2EA"/>
        <bgColor indexed="64"/>
      </patternFill>
    </fill>
    <fill>
      <patternFill patternType="solid">
        <fgColor rgb="FF1C2634"/>
        <bgColor indexed="64"/>
      </patternFill>
    </fill>
    <fill>
      <patternFill patternType="solid">
        <fgColor rgb="FFEEF1F4"/>
        <bgColor indexed="64"/>
      </patternFill>
    </fill>
  </fills>
  <borders count="57">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14">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69" fillId="14" borderId="41" applyAlignment="1" pivotButton="0" quotePrefix="0" xfId="0">
      <alignment vertical="center"/>
    </xf>
    <xf numFmtId="0" fontId="70" fillId="14" borderId="42" pivotButton="0" quotePrefix="0" xfId="0"/>
    <xf numFmtId="0" fontId="71"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xf numFmtId="0" xfId="0" fontId="66" applyFont="1" fillId="41" applyFill="1" applyAlignment="1">
      <alignment vertical="center" indent="1"/>
    </xf>
    <xf numFmtId="0" xfId="0" fontId="67" applyFont="1" fillId="42" applyFill="1" applyAlignment="1">
      <alignment vertical="center" wrapText="1"/>
    </xf>
    <xf numFmtId="0" xfId="0" fontId="68" applyFont="1" fillId="43" applyFill="1" applyAlignment="1">
      <alignment vertical="center" indent="1"/>
    </xf>
    <xf numFmtId="0" xfId="0" fontId="72" applyFont="1" applyAlignment="1">
      <alignment vertical="center"/>
    </xf>
    <xf numFmtId="0" xfId="0" fontId="73" applyFont="1" applyAlignment="1">
      <alignment vertical="center"/>
    </xf>
    <xf numFmtId="0" xfId="0" fontId="74" applyFont="1" applyAlignment="1">
      <alignment vertical="center"/>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0B5C3B"/>
      </font>
      <fill>
        <patternFill>
          <bgColor rgb="FFE4F2EA"/>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800" b="0"/>
            </a:pPr>
            <a:r>
              <a:t>3. Expenditure by year (undiscounted)</a:t>
            </a:r>
          </a:p>
        </rich>
      </tx>
    </title>
    <plotArea>
      <layout>
        <manualLayout>
          <xMode val="edge"/>
          <yMode val="edge"/>
          <wMode val="factor"/>
          <hMode val="factor"/>
          <x val="0.09"/>
          <y val="0.19"/>
          <w val="0.89"/>
          <h val="0.56"/>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800" b="0"/>
            </a:pPr>
            <a:r>
              <a:t>4. Cumulative discounted cost</a:t>
            </a:r>
          </a:p>
        </rich>
      </tx>
    </title>
    <plotArea>
      <layout>
        <manualLayout>
          <xMode val="edge"/>
          <yMode val="edge"/>
          <wMode val="factor"/>
          <hMode val="factor"/>
          <x val="0.09"/>
          <y val="0.19"/>
          <w val="0.89"/>
          <h val="0.56"/>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800" b="0"/>
            </a:pPr>
            <a:r>
              <a:t>5. Runway closure days by year</a:t>
            </a:r>
          </a:p>
        </rich>
      </tx>
    </title>
    <plotArea>
      <layout>
        <manualLayout>
          <xMode val="edge"/>
          <yMode val="edge"/>
          <wMode val="factor"/>
          <hMode val="factor"/>
          <x val="0.09"/>
          <y val="0.19"/>
          <w val="0.89"/>
          <h val="0.56"/>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800" b="0"/>
            </a:pPr>
            <a:r>
              <a:t>6. Section, mainline (inches)</a:t>
            </a:r>
          </a:p>
        </rich>
      </tx>
    </title>
    <plotArea>
      <layout>
        <manualLayout>
          <xMode val="edge"/>
          <yMode val="edge"/>
          <wMode val="factor"/>
          <hMode val="factor"/>
          <x val="0.09"/>
          <y val="0.19"/>
          <w val="0.89"/>
          <h val="0.56"/>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800" b="0"/>
            </a:pPr>
            <a:r>
              <a:t>7. Section with shoulder (inches)</a:t>
            </a:r>
          </a:p>
        </rich>
      </tx>
    </title>
    <plotArea>
      <layout>
        <manualLayout>
          <xMode val="edge"/>
          <yMode val="edge"/>
          <wMode val="factor"/>
          <hMode val="factor"/>
          <x val="0.09"/>
          <y val="0.19"/>
          <w val="0.89"/>
          <h val="0.56"/>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800" b="0"/>
            </a:pPr>
            <a:r>
              <a:t>8. Unit cost vs. published TN work</a:t>
            </a:r>
          </a:p>
        </rich>
      </tx>
    </title>
    <plotArea>
      <layout>
        <manualLayout>
          <xMode val="edge"/>
          <yMode val="edge"/>
          <wMode val="factor"/>
          <hMode val="factor"/>
          <x val="0.09"/>
          <y val="0.19"/>
          <w val="0.89"/>
          <h val="0.68"/>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34075" cy="300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12</xdr:col>
      <xdr:colOff>266700</xdr:colOff>
      <xdr:row>29</xdr:row>
      <xdr:rowOff>0</xdr:rowOff>
    </xdr:from>
    <xdr:ext cx="5934075" cy="300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2924175" cy="180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8</xdr:col>
      <xdr:colOff>619125</xdr:colOff>
      <xdr:row>47</xdr:row>
      <xdr:rowOff>0</xdr:rowOff>
    </xdr:from>
    <xdr:ext cx="2924175" cy="180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12</xdr:col>
      <xdr:colOff>238125</xdr:colOff>
      <xdr:row>47</xdr:row>
      <xdr:rowOff>0</xdr:rowOff>
    </xdr:from>
    <xdr:ext cx="2924175" cy="180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58</xdr:row>
      <xdr:rowOff>0</xdr:rowOff>
    </xdr:from>
    <xdr:ext cx="2924175" cy="180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8</xdr:col>
      <xdr:colOff>619125</xdr:colOff>
      <xdr:row>58</xdr:row>
      <xdr:rowOff>0</xdr:rowOff>
    </xdr:from>
    <xdr:ext cx="2924175" cy="180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15</xdr:col>
      <xdr:colOff>657225</xdr:colOff>
      <xdr:row>47</xdr:row>
      <xdr:rowOff>0</xdr:rowOff>
    </xdr:from>
    <xdr:ext cx="2924175" cy="180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70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What the framework does and the rules behind it. Read this and Instructions, then go to General Information.</t>
        </is>
      </c>
    </row>
    <row r="3" spans="2:5" x14ac:dyDescent="0.2">
      <c r="B3" s="204" t="s">
        <v>360</v>
      </c>
    </row>
    <row r="4" spans="2:5" x14ac:dyDescent="0.2">
      <c r="B4" s="204" t="s">
        <v>361</v>
      </c>
    </row>
    <row r="5" spans="2:5" x14ac:dyDescent="0.2">
      <c r="B5" s="204" t="s">
        <v>362</v>
      </c>
    </row>
    <row r="6" spans="2:5" x14ac:dyDescent="0.2">
      <c r="B6" s="204" t="s">
        <v>363</v>
      </c>
    </row>
    <row r="7" spans="2:5" ht="15" x14ac:dyDescent="0.25">
      <c r="B7" s="204" t="s">
        <v>364</v>
      </c>
    </row>
    <row r="8">
      <c r="B8" s="204"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How to run an analysis, start to finish. When you are ready, go to General Information and fill in the grey cells.</t>
        </is>
      </c>
    </row>
    <row r="3" spans="2:5" x14ac:dyDescent="0.2">
      <c r="B3" s="204" t="s">
        <v>360</v>
      </c>
    </row>
    <row r="4" spans="2:5" x14ac:dyDescent="0.2">
      <c r="B4" s="204" t="s">
        <v>361</v>
      </c>
    </row>
    <row r="5" spans="2:5" x14ac:dyDescent="0.2">
      <c r="B5" s="204" t="s">
        <v>362</v>
      </c>
    </row>
    <row r="6" spans="2:5" x14ac:dyDescent="0.2">
      <c r="B6" s="204" t="s">
        <v>363</v>
      </c>
    </row>
    <row r="7" spans="2:5" x14ac:dyDescent="0.2">
      <c r="B7" s="204" t="s">
        <v>364</v>
      </c>
    </row>
    <row r="8">
      <c r="B8" s="204"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06" t="inlineStr">
        <is>
          <t xml:space="preserve">STEP 2 of 5: the project and the LCCA parameters. Fill in the grey cells below.</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c r="B4" s="213" t="inlineStr">
        <is>
          <t>1 Overview  ›  2 General Information  ›  3 Pay Items  ›  4 Alternatives  ›  5 Summary</t>
        </is>
      </c>
    </row>
    <row r="5" ht="22" customHeight="1"/>
    <row r="6" ht="22" customHeight="1"/>
    <row r="7" ht="22" customHeight="1" spans="2:19" x14ac:dyDescent="0.2">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207"/>
      <c r="L14" s="5" t="s">
        <v>228</v>
      </c>
      <c r="M14" s="5" t="s">
        <v>227</v>
      </c>
      <c r="N14" s="5" t="s">
        <v>430</v>
      </c>
      <c r="O14" s="5" t="s">
        <v>515</v>
      </c>
      <c r="P14" s="5" t="s">
        <v>64</v>
      </c>
    </row>
    <row r="15" spans="2:19" x14ac:dyDescent="0.2">
      <c r="C15" s="5" t="s">
        <v>91</v>
      </c>
      <c r="D15" s="207"/>
      <c r="L15" s="5" t="s">
        <v>168</v>
      </c>
      <c r="M15" s="5" t="s">
        <v>167</v>
      </c>
      <c r="N15" s="5" t="s">
        <v>393</v>
      </c>
      <c r="O15" s="5" t="s">
        <v>516</v>
      </c>
      <c r="P15" s="5" t="s">
        <v>65</v>
      </c>
      <c r="S15" s="5" t="s">
        <v>460</v>
      </c>
    </row>
    <row r="16" spans="2:19" x14ac:dyDescent="0.2">
      <c r="C16" s="5" t="s">
        <v>92</v>
      </c>
      <c r="D16" s="207"/>
      <c r="L16" s="5" t="s">
        <v>162</v>
      </c>
      <c r="M16" s="5" t="s">
        <v>161</v>
      </c>
      <c r="N16" s="5" t="s">
        <v>371</v>
      </c>
      <c r="O16" s="5" t="s">
        <v>517</v>
      </c>
      <c r="P16" s="5" t="s">
        <v>64</v>
      </c>
    </row>
    <row r="17" spans="2:19" x14ac:dyDescent="0.2">
      <c r="C17" s="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207"/>
      <c r="L21" s="5" t="s">
        <v>450</v>
      </c>
      <c r="M21" s="5" t="s">
        <v>169</v>
      </c>
      <c r="N21" s="5" t="s">
        <v>394</v>
      </c>
      <c r="O21" s="5" t="s">
        <v>524</v>
      </c>
      <c r="P21" s="5" t="s">
        <v>66</v>
      </c>
      <c r="S21" s="5" t="s">
        <v>485</v>
      </c>
    </row>
    <row r="22" spans="2:19" x14ac:dyDescent="0.2">
      <c r="C22" s="5" t="s">
        <v>260</v>
      </c>
      <c r="D22" s="207"/>
      <c r="L22" s="5" t="s">
        <v>177</v>
      </c>
      <c r="M22" s="5" t="s">
        <v>176</v>
      </c>
      <c r="N22" s="5" t="s">
        <v>380</v>
      </c>
      <c r="O22" s="5" t="s">
        <v>525</v>
      </c>
      <c r="P22" s="5" t="s">
        <v>65</v>
      </c>
    </row>
    <row r="23" spans="2:19" x14ac:dyDescent="0.2">
      <c r="C23" s="5" t="s">
        <v>261</v>
      </c>
      <c r="D23" s="207"/>
      <c r="L23" s="5" t="s">
        <v>149</v>
      </c>
      <c r="M23" s="5" t="s">
        <v>148</v>
      </c>
      <c r="N23" s="5" t="s">
        <v>381</v>
      </c>
      <c r="O23" s="5" t="s">
        <v>526</v>
      </c>
      <c r="P23" s="5" t="s">
        <v>66</v>
      </c>
      <c r="S23" s="5" t="s">
        <v>484</v>
      </c>
    </row>
    <row r="24" spans="2:19" x14ac:dyDescent="0.2">
      <c r="C24" s="5" t="s">
        <v>256</v>
      </c>
      <c r="D24" s="207"/>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ht="21" customHeight="1" spans="2:16" x14ac:dyDescent="0.2">
      <c r="B45" s="6" t="inlineStr">
        <is>
          <t>Typical input values:</t>
        </is>
      </c>
      <c r="D45" s="119" t="str">
        <f>HYPERLINK("#'Typical Values'!A1","Typical Values  ►")</f>
        <v>Typical Values  ►</v>
      </c>
      <c r="L45" s="5" t="s">
        <v>129</v>
      </c>
      <c r="M45" s="5" t="s">
        <v>128</v>
      </c>
      <c r="N45" s="5" t="s">
        <v>396</v>
      </c>
      <c r="O45" s="5" t="s">
        <v>543</v>
      </c>
      <c r="P45" s="5" t="s">
        <v>64</v>
      </c>
    </row>
    <row r="46" ht="21" customHeight="1" spans="2:16" x14ac:dyDescent="0.2">
      <c r="B46" s="6" t="inlineStr">
        <is>
          <t>How it is calculated:</t>
        </is>
      </c>
      <c r="D46" s="119" t="str">
        <f>HYPERLINK("#Method!A1","Method  ►")</f>
        <v>Method  ►</v>
      </c>
      <c r="L46" s="5" t="s">
        <v>115</v>
      </c>
      <c r="M46" s="5" t="s">
        <v>114</v>
      </c>
      <c r="N46" s="5" t="s">
        <v>391</v>
      </c>
      <c r="O46" s="5" t="s">
        <v>544</v>
      </c>
      <c r="P46" s="5" t="s">
        <v>64</v>
      </c>
    </row>
    <row r="47" ht="21" customHeight="1" spans="2:16" x14ac:dyDescent="0.2">
      <c r="B47" s="6" t="inlineStr">
        <is>
          <t>Unit costs:</t>
        </is>
      </c>
      <c r="D47" s="119" t="str">
        <f>HYPERLINK("#Pay_Items!A1","Pay_Items  ►")</f>
        <v>Pay_Items  ►</v>
      </c>
      <c r="L47" s="5" t="s">
        <v>448</v>
      </c>
      <c r="M47" s="5" t="s">
        <v>418</v>
      </c>
      <c r="N47" s="5" t="s">
        <v>417</v>
      </c>
      <c r="O47" s="5" t="s">
        <v>545</v>
      </c>
      <c r="P47" s="5" t="s">
        <v>64</v>
      </c>
    </row>
    <row r="48" ht="21" customHeight="1" spans="2:16" x14ac:dyDescent="0.2">
      <c r="B48" s="6" t="inlineStr">
        <is>
          <t>Maintenance policies:</t>
        </is>
      </c>
      <c r="D48" s="119" t="str">
        <f>HYPERLINK("#'Maintenance Policies'!C2","Maintenance Policies  ►")</f>
        <v>Maintenance Policies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workbookViewId="0">
      <pane ySplit="2" topLeftCell="A3" activePane="bottomLeft" state="frozen"/>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9" width="12" style="5" customWidth="1"/>
    <col min="10" max="16384" width="8.7109375" style="5"/>
  </cols>
  <sheetData>
    <row r="1" ht="40" customHeight="1" spans="1:10" x14ac:dyDescent="0.2">
      <c r="A1" s="119" t="str">
        <f>HYPERLINK("#'General Information'!D9","◄ General Information")</f>
        <v>◄ General Information</v>
      </c>
      <c r="B1" s="120" t="str">
        <f>HYPERLINK("#Summary!G1","Summary")</f>
        <v>Summary</v>
      </c>
      <c r="C1" s="198" t="inlineStr">
        <is>
          <t xml:space="preserve">STEP 3 of 5</t>
        </is>
      </c>
      <c r="D1" s="198"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03" t="inlineStr">
        <is>
          <t xml:space="preserve">29 of the 56 pay items carry no unit cost. An alternative that uses one of them prices it at $0, so check the Unit Cost column before entering quantities.</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workbookViewId="0">
      <pane ySplit="7" topLeftCell="A8" activePane="bottomLeft" state="frozen"/>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5" width="8.7109375" style="5"/>
    <col min="6" max="6" width="11.7109375" customWidth="1"/>
    <col min="7" max="16384" width="8.7109375" style="5"/>
  </cols>
  <sheetData>
    <row r="1" ht="40" customHeight="1">
      <c r="B1" s="119" t="str">
        <f>HYPERLINK("#'General Information'!D9","◄ General Information")</f>
        <v>◄ General Information</v>
      </c>
      <c r="C1" s="120" t="str">
        <f>HYPERLINK("#Summary!G1","Summary")</f>
        <v>Summary</v>
      </c>
    </row>
    <row r="2" ht="20" customHeight="1">
      <c r="C2" s="199" t="inlineStr">
        <is>
          <t xml:space="preserve">MAINTENANCE AND REHABILITATION POLICIES</t>
        </is>
      </c>
    </row>
    <row r="3" ht="46" customHeight="1">
      <c r="C3" s="198" t="inlineStr">
        <is>
          <t xml:space="preserve">This sheet is live: the alternatives read every Rate and Year Applied cell below. Rate is the share an activity covers (1 = the whole area or length); Year Applied is years after construction.</t>
        </is>
      </c>
    </row>
    <row r="4" ht="6" customHeight="1">
      <c r="C4" s="198"/>
    </row>
    <row r="5" ht="6" customHeight="1">
      <c r="C5" s="198"/>
    </row>
    <row r="6" ht="6" customHeight="1">
      <c r="C6" s="198"/>
    </row>
    <row r="7"/>
    <row r="8" spans="2:5" ht="13.5" thickBot="1" x14ac:dyDescent="0.25">
      <c r="B8" s="199" t="s">
        <v>494</v>
      </c>
    </row>
    <row r="9" ht="30" customHeight="1" spans="2:5" thickTop="1" thickBot="1" x14ac:dyDescent="0.25">
      <c r="B9" s="201" t="s">
        <v>96</v>
      </c>
      <c r="C9" s="201" t="s">
        <v>95</v>
      </c>
      <c r="D9" s="201" t="s">
        <v>106</v>
      </c>
      <c r="E9" s="201" t="s">
        <v>259</v>
      </c>
      <c r="F9" s="201" t="inlineStr">
        <is>
          <t>Asset life (yrs)</t>
        </is>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1">
        <f>'General Information'!$D$33</f>
      </c>
      <c r="F32" s="21">
        <v>16</v>
      </c>
    </row>
    <row r="33" spans="2:5" ht="13.5" thickTop="1" x14ac:dyDescent="0.2"/>
    <row r="35" spans="2:5" ht="13.5" thickBot="1" x14ac:dyDescent="0.25">
      <c r="B35" s="199" t="s">
        <v>495</v>
      </c>
    </row>
    <row r="36" ht="30" customHeight="1" spans="2:5" thickTop="1" thickBot="1" x14ac:dyDescent="0.25">
      <c r="B36" s="201" t="s">
        <v>105</v>
      </c>
      <c r="C36" s="201" t="s">
        <v>95</v>
      </c>
      <c r="D36" s="201" t="s">
        <v>106</v>
      </c>
      <c r="E36" s="201" t="s">
        <v>259</v>
      </c>
      <c r="F36" s="201" t="inlineStr">
        <is>
          <t>Asset life (yrs)</t>
        </is>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20" t="str">
        <f>"Salvage value: "&amp;TEXT(D46*F46,"0.#")&amp;" of 40 years left on the initial construction"&amp;" ("&amp;TEXT(D46,"0.0%")&amp;" of its cost) at the "&amp;'General Information'!$D$33&amp;"-year analysis period"</f>
      </c>
      <c r="D46" s="40">
        <f>MAX(0,MIN(1,(0+F46-'General Information'!$D$33)/F46))</f>
      </c>
      <c r="E46" s="21">
        <f>'General Information'!$D$33</f>
      </c>
      <c r="F46" s="21">
        <v>40</v>
      </c>
    </row>
    <row r="47" spans="2:5" ht="13.5" thickTop="1" x14ac:dyDescent="0.2"/>
    <row r="49" spans="2:5" ht="13.5" thickBot="1" x14ac:dyDescent="0.25">
      <c r="B49" s="199" t="s">
        <v>496</v>
      </c>
    </row>
    <row r="50" ht="30" customHeight="1" spans="2:5" thickTop="1" thickBot="1" x14ac:dyDescent="0.25">
      <c r="B50" s="201" t="s">
        <v>96</v>
      </c>
      <c r="C50" s="201" t="s">
        <v>95</v>
      </c>
      <c r="D50" s="201" t="s">
        <v>106</v>
      </c>
      <c r="E50" s="201" t="s">
        <v>259</v>
      </c>
      <c r="F50" s="201" t="inlineStr">
        <is>
          <t>Asset life (yrs)</t>
        </is>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f>'General Information'!$D$33</f>
      </c>
    </row>
    <row r="72" spans="2:5" ht="13.5" thickTop="1" x14ac:dyDescent="0.2"/>
    <row r="74" spans="2:5" ht="13.5" thickBot="1" x14ac:dyDescent="0.25">
      <c r="B74" s="199" t="s">
        <v>497</v>
      </c>
    </row>
    <row r="75" ht="30" customHeight="1" spans="2:5" thickTop="1" thickBot="1" x14ac:dyDescent="0.25">
      <c r="B75" s="201" t="s">
        <v>105</v>
      </c>
      <c r="C75" s="201" t="s">
        <v>95</v>
      </c>
      <c r="D75" s="201" t="s">
        <v>106</v>
      </c>
      <c r="E75" s="201" t="s">
        <v>259</v>
      </c>
      <c r="F75" s="201" t="inlineStr">
        <is>
          <t>Asset life (yrs)</t>
        </is>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21">
        <f>'General Information'!$D$33</f>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6" customWidth="1" min="7" max="7"/>
    <col width="20" customWidth="1" min="8" max="8"/>
    <col width="12" customWidth="1" min="9" max="9"/>
    <col width="13" customWidth="1" min="10" max="10"/>
    <col width="13" customWidth="1" min="11" max="11"/>
    <col width="13" customWidth="1" min="12" max="12"/>
    <col width="13" customWidth="1" min="13" max="13"/>
    <col width="13" customWidth="1" min="14" max="14"/>
    <col width="13" customWidth="1" min="15" max="15"/>
    <col width="21" customWidth="1" min="16" max="16"/>
    <col width="21" customWidth="1" min="17" max="17"/>
    <col width="12"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M1" s="211" t="inlineStr">
        <is>
          <t>STEP 5 of 5</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5"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7" t="n"/>
      <c r="J3" s="125" t="inlineStr">
        <is>
          <t>MARGIN TO NEXT</t>
        </is>
      </c>
      <c r="K3" s="126" t="n"/>
      <c r="L3" s="126" t="n"/>
      <c r="M3" s="127" t="n"/>
      <c r="N3" s="125" t="inlineStr">
        <is>
          <t>EQUIVALENT ANNUAL COST</t>
        </is>
      </c>
      <c r="O3" s="126" t="n"/>
      <c r="P3" s="126" t="n"/>
      <c r="Q3" s="127" t="n"/>
      <c r="W3" s="122" t="inlineStr">
        <is>
          <t>Present worth by category</t>
        </is>
      </c>
    </row>
    <row r="4" ht="29" customHeight="1">
      <c r="G4" s="128">
        <f>IF(COUNT($O$12:$O$15)=0,"-",TEXT(MIN($O$12:$O$15),"$#,##0"))</f>
        <v/>
      </c>
      <c r="H4" s="129" t="n"/>
      <c r="I4" s="130" t="n"/>
      <c r="J4" s="128">
        <f>IF(COUNT($O$12:$O$15)&lt;2,"-",TEXT(IF(COUNT($O$12:$O$15)&lt;2,0,SMALL($O$12:$O$15,2)-MIN($O$12:$O$15)),"$#,##0"))</f>
        <v/>
      </c>
      <c r="K4" s="129" t="n"/>
      <c r="L4" s="129" t="n"/>
      <c r="M4" s="130" t="n"/>
      <c r="N4" s="128">
        <f>IF(COUNT($O$12:$O$15)=0,"-",TEXT(MIN($O$12:$O$15)*(('General Information'!$D$34/100)*(1+'General Information'!$D$34/100)^'General Information'!$D$33/((1+'General Information'!$D$34/100)^'General Information'!$D$33-1)),"$#,##0"))</f>
        <v/>
      </c>
      <c r="O4" s="129" t="n"/>
      <c r="P4" s="129" t="n"/>
      <c r="Q4" s="130" t="n"/>
      <c r="W4" s="124" t="inlineStr">
        <is>
          <t>Category</t>
        </is>
      </c>
      <c r="X4" s="124">
        <f>IF($H$12="","",$H$12)</f>
        <v/>
      </c>
      <c r="Y4" s="124">
        <f>IF($H$13="","",$H$13)</f>
        <v/>
      </c>
      <c r="Z4" s="124">
        <f>IF($H$14="","",$H$14)</f>
        <v/>
      </c>
      <c r="AA4" s="124">
        <f>IF($H$15="","",$H$15)</f>
        <v/>
      </c>
    </row>
    <row r="5" ht="16" customHeight="1">
      <c r="G5" s="131">
        <f>IF(COUNT($O$12:$O$15)=0,"No alternatives yet",INDEX($H$12:$H$15,MATCH(MIN($O$12:$O$15),$O$12:$O$15,0))&amp;IF(INDEX($P$93:$P$96,MATCH(MIN($O$12:$O$15),$O$12:$O$15,0))="",""," - "&amp;INDEX($P$93:$P$96,MATCH(MIN($O$12:$O$15),$O$12:$O$15,0))))</f>
        <v/>
      </c>
      <c r="H5" s="132" t="n"/>
      <c r="I5" s="133" t="n"/>
      <c r="J5" s="131">
        <f>IF(COUNT($O$12:$O$15)&lt;2,"only one alternative so far",TEXT(IF(COUNT($O$12:$O$15)&lt;2,0,SMALL($O$12:$O$15,2)-MIN($O$12:$O$15))/MIN($O$12:$O$15),"0.0%")&amp;IF(IF(COUNT($O$12:$O$15)&lt;2,0,SMALL($O$12:$O$15,2)-MIN($O$12:$O$15))/MIN($O$12:$O$15)&lt;0.05," - under 5%, treat the two as tied"," of the lowest present worth"))</f>
        <v/>
      </c>
      <c r="K5" s="132" t="n"/>
      <c r="L5" s="132" t="n"/>
      <c r="M5" s="133" t="n"/>
      <c r="N5" s="131">
        <f>"per year, "&amp;'General Information'!$D$33&amp;" years at "&amp;'General Information'!$D$34&amp;"%"</f>
        <v/>
      </c>
      <c r="O5" s="132" t="n"/>
      <c r="P5" s="132" t="n"/>
      <c r="Q5" s="133" t="n"/>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5" customHeight="1">
      <c r="G7" s="125" t="inlineStr">
        <is>
          <t>INITIAL CONSTRUCTION</t>
        </is>
      </c>
      <c r="H7" s="126" t="n"/>
      <c r="I7" s="127" t="n"/>
      <c r="J7" s="125" t="inlineStr">
        <is>
          <t>UNIT COST</t>
        </is>
      </c>
      <c r="K7" s="126" t="n"/>
      <c r="L7" s="126" t="n"/>
      <c r="M7" s="127" t="n"/>
      <c r="N7" s="125" t="inlineStr">
        <is>
          <t>RATE SENSITIVITY</t>
        </is>
      </c>
      <c r="O7" s="126" t="n"/>
      <c r="P7" s="126" t="n"/>
      <c r="Q7" s="127" t="n"/>
      <c r="W7" s="134" t="inlineStr">
        <is>
          <t>Rehabilitation</t>
        </is>
      </c>
      <c r="X7" s="135">
        <f>IF(L12="",0,L12)</f>
        <v/>
      </c>
      <c r="Y7" s="135">
        <f>IF(L13="",0,L13)</f>
        <v/>
      </c>
      <c r="Z7" s="135">
        <f>IF(L14="",0,L14)</f>
        <v/>
      </c>
      <c r="AA7" s="135">
        <f>IF(L15="",0,L15)</f>
        <v/>
      </c>
    </row>
    <row r="8" ht="29" customHeight="1">
      <c r="G8" s="128">
        <f>IF(COUNT($O$12:$O$15)=0,"-",TEXT(INDEX($J$12:$J$15,MATCH(MIN($O$12:$O$15),$O$12:$O$15,0)),"$#,##0"))</f>
        <v/>
      </c>
      <c r="H8" s="129" t="n"/>
      <c r="I8" s="130" t="n"/>
      <c r="J8" s="128">
        <f>IF(OR(COUNT($O$12:$O$15)=0,'General Information'!$D$26=0,'General Information'!$D$26=""),"-",TEXT(INDEX($J$12:$J$15,MATCH(MIN($O$12:$O$15),$O$12:$O$15,0))/'General Information'!$D$26,"$#,##0")&amp;" / S.Y.")</f>
        <v/>
      </c>
      <c r="K8" s="129" t="n"/>
      <c r="L8" s="129" t="n"/>
      <c r="M8" s="130" t="n"/>
      <c r="N8" s="128">
        <f>IF(COUNT($O$12:$O$15)&lt;2,"-",IF(COUNTIF($AB$12:$AB$36,INDEX($H$12:$H$15,MATCH(MIN($O$12:$O$15),$O$12:$O$15,0)))=25,"holds 2-8%","the winner changes"))</f>
        <v/>
      </c>
      <c r="O8" s="129" t="n"/>
      <c r="P8" s="129" t="n"/>
      <c r="Q8" s="130" t="n"/>
      <c r="W8" s="134" t="inlineStr">
        <is>
          <t>Lost revenue</t>
        </is>
      </c>
      <c r="X8" s="135">
        <f>IF(M12="",0,M12)</f>
        <v/>
      </c>
      <c r="Y8" s="135">
        <f>IF(M13="",0,M13)</f>
        <v/>
      </c>
      <c r="Z8" s="135">
        <f>IF(M14="",0,M14)</f>
        <v/>
      </c>
      <c r="AA8" s="135">
        <f>IF(M15="",0,M15)</f>
        <v/>
      </c>
    </row>
    <row r="9" ht="16" customHeight="1">
      <c r="G9" s="131" t="inlineStr">
        <is>
          <t>lowest initial construction cost</t>
        </is>
      </c>
      <c r="H9" s="132" t="n"/>
      <c r="I9" s="133" t="n"/>
      <c r="J9" s="131" t="inlineStr">
        <is>
          <t>per S.Y. of mainline area</t>
        </is>
      </c>
      <c r="K9" s="132" t="n"/>
      <c r="L9" s="132" t="n"/>
      <c r="M9" s="133" t="n"/>
      <c r="N9" s="131">
        <f>IF(COUNT($O$12:$O$15)&lt;2,"needs two alternatives",IF(COUNTIF($AB$12:$AB$36,INDEX($H$12:$H$15,MATCH(MIN($O$12:$O$15),$O$12:$O$15,0)))=25,"the same alternative is lowest at all 25 rates tested, 2% to 8%","the lowest-cost alternative is not the same at every rate: see chart 2"))</f>
        <v/>
      </c>
      <c r="O9" s="132" t="n"/>
      <c r="P9" s="132" t="n"/>
      <c r="Q9" s="133" t="n"/>
      <c r="W9" s="134" t="inlineStr">
        <is>
          <t>Salvage</t>
        </is>
      </c>
      <c r="X9" s="135">
        <f>IF(N12="",0,N12)</f>
        <v/>
      </c>
      <c r="Y9" s="135">
        <f>IF(N13="",0,N13)</f>
        <v/>
      </c>
      <c r="Z9" s="135">
        <f>IF(N14="",0,N14)</f>
        <v/>
      </c>
      <c r="AA9" s="135">
        <f>IF(N15="",0,N15)</f>
        <v/>
      </c>
    </row>
    <row r="10" ht="26" customHeight="1">
      <c r="G10" s="208">
        <f>IF(COUNT($O$12:$O$15)=0,"No alternatives yet. Add them from General Information and this line names the winner.","Lowest present worth:  "&amp;INDEX($H$12:$H$15,MATCH(MIN($O$12:$O$15),$O$12:$O$15,0))&amp;"     "&amp;TEXT(MIN($O$12:$O$15),"$#,##0")&amp;"     "&amp;IF(COUNT($O$12:$O$15)&lt;2,"only one alternative so far",TEXT(SMALL($O$12:$O$15,2)-MIN($O$12:$O$15),"$#,##0")&amp;" ahead of the next"))</f>
        <v/>
      </c>
      <c r="W10" s="122" t="inlineStr">
        <is>
          <t>Net present worth vs. discount rate</t>
        </is>
      </c>
    </row>
    <row r="11">
      <c r="G11" s="209" t="inlineStr">
        <is>
          <t>Worksheet</t>
        </is>
      </c>
      <c r="H11" s="209" t="inlineStr">
        <is>
          <t>Alternative</t>
        </is>
      </c>
      <c r="I11" s="209" t="inlineStr">
        <is>
          <t>Type</t>
        </is>
      </c>
      <c r="J11" s="209" t="inlineStr">
        <is>
          <t>Initial construction</t>
        </is>
      </c>
      <c r="K11" s="209" t="inlineStr">
        <is>
          <t>Maintenance PW</t>
        </is>
      </c>
      <c r="L11" s="209" t="inlineStr">
        <is>
          <t>Rehabilitation PW</t>
        </is>
      </c>
      <c r="M11" s="209" t="inlineStr">
        <is>
          <t>Lost revenue PW</t>
        </is>
      </c>
      <c r="N11" s="209" t="inlineStr">
        <is>
          <t>Salvage PW</t>
        </is>
      </c>
      <c r="O11" s="209" t="inlineStr">
        <is>
          <t>Net present worth</t>
        </is>
      </c>
      <c r="P11" s="209" t="inlineStr">
        <is>
          <t>vs. lowest NPW</t>
        </is>
      </c>
      <c r="Q11" s="209" t="inlineStr">
        <is>
          <t>Closure days in period</t>
        </is>
      </c>
      <c r="R11" s="209"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KEY RESULTS — the two plots that decide it</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charts 1 and 2 are the key results, the total cost by category and whether that winner holds at other discount rates. Charts 3 to 8 below are supporting detail Columns A to F are hidden helper data; unhide them only to type an alternative description.</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 ",X$4&amp;" spend")</f>
        <v/>
      </c>
      <c r="Z40" s="124">
        <f>IF(Y$4=""," ",Y$4&amp;" spend")</f>
        <v/>
      </c>
      <c r="AA40" s="124">
        <f>IF(Z$4=""," ",Z$4&amp;" spend")</f>
        <v/>
      </c>
      <c r="AB40" s="124">
        <f>IF(AA$4=""," ",AA$4&amp;" spend")</f>
        <v/>
      </c>
      <c r="AC40" s="124">
        <f>IF(X$4=""," ",X$4&amp;" cumulative PW")</f>
        <v/>
      </c>
      <c r="AD40" s="124">
        <f>IF(Y$4=""," ",Y$4&amp;" cumulative PW")</f>
        <v/>
      </c>
      <c r="AE40" s="124">
        <f>IF(Z$4=""," ",Z$4&amp;" cumulative PW")</f>
        <v/>
      </c>
      <c r="AF40" s="124">
        <f>IF(AA$4=""," ",AA$4&amp;" cumulative PW")</f>
        <v/>
      </c>
      <c r="AG40" s="124">
        <f>IF(X$4=""," ",X$4&amp;" closure days")</f>
        <v/>
      </c>
      <c r="AH40" s="124">
        <f>IF(Y$4=""," ",Y$4&amp;" closure days")</f>
        <v/>
      </c>
      <c r="AI40" s="124">
        <f>IF(Z$4=""," ",Z$4&amp;" closure days")</f>
        <v/>
      </c>
      <c r="AJ40" s="124">
        <f>IF(AA$4=""," ",AA$4&amp;"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G46" s="210" t="inlineStr">
        <is>
          <t>SUPPORTING DETAIL</t>
        </is>
      </c>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ht="6" customHeight="1"/>
    <row r="114" ht="6" customHeight="1"/>
    <row r="115" ht="6" customHeight="1"/>
    <row r="116" ht="6" customHeight="1"/>
    <row r="117" ht="6" customHeight="1"/>
    <row r="118" ht="6" customHeight="1"/>
    <row r="119" ht="6" customHeight="1"/>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v>-89.39722</v>
      </c>
      <c r="Z132" s="156" t="n">
        <v>35.90333</v>
      </c>
      <c r="AA132" s="134" t="inlineStr">
        <is>
          <t>West</t>
        </is>
      </c>
      <c r="AB132" s="134" t="n">
        <v>292</v>
      </c>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v>-89.58003</v>
      </c>
      <c r="Z152" s="156" t="n">
        <v>35.05402</v>
      </c>
      <c r="AA152" s="134" t="inlineStr">
        <is>
          <t>West</t>
        </is>
      </c>
      <c r="AB152" s="134" t="n">
        <v>310</v>
      </c>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v>-86.615</v>
      </c>
      <c r="Z178" s="156" t="n">
        <v>35.68944</v>
      </c>
      <c r="AA178" s="134" t="inlineStr">
        <is>
          <t>Middle</t>
        </is>
      </c>
      <c r="AB178" s="134" t="n">
        <v>780</v>
      </c>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v>-84.585</v>
      </c>
      <c r="Z186" s="156" t="n">
        <v>35.22639</v>
      </c>
      <c r="AA186" s="134" t="inlineStr">
        <is>
          <t>East</t>
        </is>
      </c>
      <c r="AB186" s="134" t="n">
        <v>770</v>
      </c>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v>-85.17778</v>
      </c>
      <c r="Z191" s="156" t="n">
        <v>35.1875</v>
      </c>
      <c r="AA191" s="134" t="inlineStr">
        <is>
          <t>East</t>
        </is>
      </c>
      <c r="AB191" s="134" t="n">
        <v>690</v>
      </c>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2">
    <mergeCell ref="G10:R10"/>
    <mergeCell ref="N9:Q9"/>
    <mergeCell ref="J3:M3"/>
    <mergeCell ref="S30:V30"/>
    <mergeCell ref="S29:V29"/>
    <mergeCell ref="G3:I3"/>
    <mergeCell ref="G5:I5"/>
    <mergeCell ref="J8:M8"/>
    <mergeCell ref="N4:Q4"/>
    <mergeCell ref="G4:I4"/>
    <mergeCell ref="J5:M5"/>
    <mergeCell ref="N7:Q7"/>
    <mergeCell ref="J9:M9"/>
    <mergeCell ref="N3:Q3"/>
    <mergeCell ref="G9:I9"/>
    <mergeCell ref="S28:V28"/>
    <mergeCell ref="N5:Q5"/>
    <mergeCell ref="N8:Q8"/>
    <mergeCell ref="J4:M4"/>
    <mergeCell ref="G8:I8"/>
    <mergeCell ref="J7:M7"/>
    <mergeCell ref="G7:I7"/>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176" t="inlineStr">
        <is>
          <t>The two rules are not symmetric: concrete recovers a share of everything spent up front, asphalt a share of one rehabilitation. See section 11.</t>
        </is>
      </c>
    </row>
    <row r="68">
      <c r="A68" s="177" t="inlineStr">
        <is>
          <t>8. Step 7: discounting and the total</t>
        </is>
      </c>
      <c r="B68" s="178" t="n"/>
      <c r="C68" s="178" t="n"/>
      <c r="D68" s="178" t="n"/>
      <c r="E68" s="178" t="n"/>
    </row>
    <row r="69">
      <c r="A69" s="179" t="inlineStr">
        <is>
          <t>Step / quantity</t>
        </is>
      </c>
      <c r="B69" s="179" t="inlineStr">
        <is>
          <t>Where it lives</t>
        </is>
      </c>
      <c r="C69" s="179" t="inlineStr">
        <is>
          <t>Formula as it stands</t>
        </is>
      </c>
      <c r="D69" s="179" t="inlineStr">
        <is>
          <t>What it means</t>
        </is>
      </c>
      <c r="E69" s="179"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c r="A75" s="177" t="inlineStr">
        <is>
          <t>9. What the Summary adds on top</t>
        </is>
      </c>
      <c r="B75" s="178" t="n"/>
      <c r="C75" s="178" t="n"/>
      <c r="D75" s="178" t="n"/>
      <c r="E75" s="178" t="n"/>
    </row>
    <row r="76">
      <c r="A76" s="179" t="inlineStr">
        <is>
          <t>Step / quantity</t>
        </is>
      </c>
      <c r="B76" s="179" t="inlineStr">
        <is>
          <t>Where it lives</t>
        </is>
      </c>
      <c r="C76" s="179" t="inlineStr">
        <is>
          <t>Formula as it stands</t>
        </is>
      </c>
      <c r="D76" s="179" t="inlineStr">
        <is>
          <t>What it means</t>
        </is>
      </c>
      <c r="E76" s="179"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c r="A85" s="177" t="inlineStr">
        <is>
          <t>10. Current settings in this file (live)</t>
        </is>
      </c>
      <c r="B85" s="178" t="n"/>
      <c r="C85" s="178" t="n"/>
      <c r="D85" s="178" t="n"/>
      <c r="E85" s="178" t="n"/>
    </row>
    <row r="86">
      <c r="A86" s="179" t="inlineStr">
        <is>
          <t>Step / quantity</t>
        </is>
      </c>
      <c r="B86" s="179" t="inlineStr">
        <is>
          <t>Where it lives</t>
        </is>
      </c>
      <c r="C86" s="179" t="inlineStr">
        <is>
          <t>Formula as it stands</t>
        </is>
      </c>
      <c r="D86" s="179" t="inlineStr">
        <is>
          <t>What it means</t>
        </is>
      </c>
      <c r="E86" s="179"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176" t="inlineStr">
        <is>
          <t>These cells read the workbook as it stands right now, so they change with the inputs.</t>
        </is>
      </c>
    </row>
    <row r="95">
      <c r="A95" s="177" t="inlineStr">
        <is>
          <t>11. Assumptions and policy choices worth knowing</t>
        </is>
      </c>
      <c r="B95" s="178" t="n"/>
      <c r="C95" s="178" t="n"/>
      <c r="D95" s="178" t="n"/>
      <c r="E95" s="178" t="n"/>
    </row>
    <row r="96">
      <c r="A96" s="179" t="inlineStr">
        <is>
          <t>Step / quantity</t>
        </is>
      </c>
      <c r="B96" s="179" t="inlineStr">
        <is>
          <t>Where it lives</t>
        </is>
      </c>
      <c r="C96" s="179" t="inlineStr">
        <is>
          <t>Formula as it stands</t>
        </is>
      </c>
      <c r="D96" s="179" t="inlineStr">
        <is>
          <t>What it means</t>
        </is>
      </c>
      <c r="E96" s="179"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8">
    <mergeCell ref="A39:E39"/>
    <mergeCell ref="A4:E4"/>
    <mergeCell ref="A48:E48"/>
    <mergeCell ref="A28:E28"/>
    <mergeCell ref="A11:E11"/>
    <mergeCell ref="A93:E93"/>
    <mergeCell ref="A66:E66"/>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
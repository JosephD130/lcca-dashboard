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Summary!$A$1:$R$73</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<sst xmlns="http://schemas.openxmlformats.org/spreadsheetml/2006/main" count="1480" uniqueCount="637">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</sst>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 numFmtId="201" formatCode="&quot;$&quot;#,##0"/>
    <numFmt numFmtId="202" formatCode="&quot;$&quot;#,##0"/>
    <numFmt numFmtId="203" formatCode="&quot;$&quot;#,##0"/>
    <numFmt numFmtId="204" formatCode="&quot;$&quot;#,##0"/>
  </numFmts>
  <fonts count="15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
      <i/>
      <sz val="9"/>
      <color rgb="FF595959"/>
      <name val="Arial"/>
      <family val="2"/>
    </font>
    <font>
      <b/>
      <sz val="13"/>
      <color rgb="FF1D2733"/>
      <name val="Arial"/>
      <family val="2"/>
    </font>
    <font>
      <b/>
      <sz val="8"/>
      <color rgb="FF5B6675"/>
      <name val="Arial"/>
      <family val="2"/>
    </font>
    <font>
      <b/>
      <sz val="10"/>
      <color rgb="FFFFFFFF"/>
      <name val="Arial"/>
      <family val="2"/>
    </font>
    <font>
      <b/>
      <sz val="10"/>
      <color rgb="FF7F6000"/>
      <name val="Arial"/>
      <family val="2"/>
    </font>
    <font>
      <b/>
      <sz val="9"/>
      <color rgb="FF2A78D6"/>
      <name val="Arial"/>
      <family val="2"/>
    </font>
    <font>
      <b/>
      <sz val="9"/>
      <color rgb="FFFFFFFF"/>
      <name val="Arial"/>
      <family val="2"/>
    </font>
    <font>
      <b/>
      <sz val="14"/>
      <color rgb="FF2A78D6"/>
      <name val="Arial"/>
      <family val="2"/>
    </font>
    <font>
      <b/>
      <sz val="10"/>
      <color rgb="FF1D2733"/>
      <name val="Arial"/>
      <family val="2"/>
    </font>
    <font>
      <b/>
      <sz val="14"/>
      <color rgb="FF1D2733"/>
      <name val="Arial"/>
      <family val="2"/>
    </font>
    <font>
      <sz val="10"/>
      <color rgb="FF5B6675"/>
      <name val="Arial"/>
      <family val="2"/>
    </font>
    <font>
      <sz val="9"/>
      <color rgb="FF5B6675"/>
      <name val="Arial"/>
      <family val="2"/>
    </font>
    <font>
      <sz val="9"/>
      <color rgb="FF5B6675"/>
      <name val="Arial"/>
      <family val="2"/>
    </font>
    <font>
      <sz val="8"/>
      <color rgb="FF5B6675"/>
      <name val="Arial"/>
      <family val="2"/>
    </font>
    <font>
      <b/>
      <sz val="14"/>
      <color rgb="FF1D2733"/>
      <name val="Arial"/>
      <family val="2"/>
    </font>
    <font>
      <sz val="8"/>
      <color rgb="FF5B6675"/>
      <name val="Arial"/>
      <family val="2"/>
    </font>
    <font>
      <sz val="9"/>
      <color rgb="FF2A78D6"/>
      <name val="Arial"/>
      <family val="2"/>
    </font>
    <font>
      <sz val="9"/>
      <color rgb="FF7F6000"/>
      <name val="Arial"/>
      <family val="2"/>
    </font>
    <font>
      <b/>
      <sz val="11"/>
      <color rgb="FF7F6000"/>
      <name val="Arial"/>
      <family val="2"/>
    </font>
    <font>
      <sz val="9"/>
      <color rgb="FF7F6000"/>
      <name val="Arial"/>
      <family val="2"/>
    </font>
    <font>
      <b/>
      <sz val="10"/>
      <color rgb="FF1D2733"/>
      <name val="Arial"/>
      <family val="2"/>
    </font>
    <font>
      <sz val="9"/>
      <color rgb="FF5B6675"/>
      <name val="Arial"/>
      <family val="2"/>
    </font>
    <font>
      <sz val="9"/>
      <color rgb="FF5B6675"/>
      <name val="Arial"/>
      <family val="2"/>
    </font>
    <font>
      <sz val="9"/>
      <color rgb="FF5B6675"/>
      <name val="Arial"/>
      <family val="2"/>
    </font>
    <font>
      <i/>
      <sz val="9"/>
      <color rgb="FF595959"/>
      <name val="Arial"/>
      <family val="2"/>
    </font>
    <font>
      <b/>
      <sz val="9"/>
      <color rgb="FF7F6000"/>
      <name val="Arial"/>
      <family val="2"/>
    </font>
    <font>
      <b/>
      <sz val="10"/>
      <color rgb="FFFFFFFF"/>
      <name val="Arial"/>
      <family val="2"/>
    </font>
    <font>
      <sz val="9"/>
      <color rgb="FF7F6000"/>
      <name val="Arial"/>
      <family val="2"/>
    </font>
    <font>
      <b/>
      <sz val="11"/>
      <color rgb="FF1D2733"/>
      <name val="Arial"/>
      <family val="2"/>
    </font>
    <font>
      <sz val="9"/>
      <color rgb="FF1D2733"/>
      <name val="Arial"/>
      <family val="2"/>
    </font>
    <font>
      <sz val="9"/>
      <color rgb="FF1D2733"/>
      <name val="Arial"/>
      <family val="2"/>
    </font>
    <font>
      <sz val="10"/>
      <color rgb="FF1D2733"/>
      <name val="Arial"/>
      <family val="2"/>
    </font>
    <font>
      <b/>
      <sz val="10"/>
      <color rgb="FF1D2733"/>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0F7B4F"/>
      <name val="Arial"/>
      <family val="2"/>
    </font>
    <font>
      <sz val="10"/>
      <color rgb="FF7F6000"/>
      <name val="Arial"/>
      <family val="2"/>
    </font>
    <font>
      <sz val="10"/>
      <color rgb="FF5B6675"/>
      <name val="Arial"/>
      <family val="2"/>
    </font>
    <font>
      <b/>
      <sz val="11"/>
      <color rgb="FF1D2733"/>
      <name val="Arial"/>
      <family val="2"/>
    </font>
    <font>
      <sz val="10"/>
      <color rgb="FF5B6675"/>
      <name val="Arial"/>
      <family val="2"/>
    </font>
    <font>
      <b/>
      <sz val="11"/>
      <color rgb="FF1D2733"/>
      <name val="Arial"/>
      <family val="2"/>
    </font>
    <font>
      <b/>
      <sz val="13"/>
      <color rgb="FF2A78D6"/>
      <name val="Arial"/>
      <family val="2"/>
    </font>
    <font>
      <b/>
      <sz val="10"/>
      <color rgb="FFC8102E"/>
      <name val="Arial"/>
      <family val="2"/>
    </font>
    <font>
      <b/>
      <sz val="10"/>
      <color rgb="FFC8102E"/>
      <name val="Arial"/>
      <family val="2"/>
    </font>
    <font>
      <sz val="10"/>
      <color rgb="FFC8102E"/>
      <name val="Arial"/>
      <family val="2"/>
    </font>
    <font>
      <b/>
      <sz val="10"/>
      <color rgb="FF0F7B4F"/>
      <name val="Arial"/>
      <family val="2"/>
    </font>
    <font>
      <b/>
      <sz val="10"/>
      <color rgb="FF0F7B4F"/>
      <name val="Arial"/>
      <family val="2"/>
    </font>
    <font>
      <sz val="10"/>
      <color rgb="FF0F7B4F"/>
      <name val="Arial"/>
      <family val="2"/>
    </font>
    <font>
      <i/>
      <sz val="9"/>
      <color rgb="FF5B6675"/>
      <name val="Arial"/>
      <family val="2"/>
    </font>
    <font>
      <b/>
      <sz val="12"/>
      <color rgb="FFFFFFFF"/>
      <name val="Arial"/>
      <family val="2"/>
    </font>
    <font>
      <b/>
      <sz val="14"/>
      <color rgb="FFFFFFFF"/>
      <name val="Arial"/>
      <family val="2"/>
    </font>
    <font>
      <b/>
      <sz val="9"/>
      <color rgb="FFFFFFFF"/>
      <name val="Arial"/>
      <family val="2"/>
    </font>
    <font>
      <b/>
      <sz val="11"/>
      <color rgb="FF1D2733"/>
      <name val="Arial"/>
      <family val="2"/>
    </font>
    <font>
      <b/>
      <sz val="10"/>
      <color rgb="FFFFFFFF"/>
      <name val="Arial"/>
      <family val="2"/>
    </font>
    <font>
      <i/>
      <sz val="9"/>
      <color rgb="FF5B6675"/>
      <name val="Arial"/>
      <family val="2"/>
    </font>
    <font>
      <b/>
      <sz val="8"/>
      <color rgb="FF5B6675"/>
      <name val="Arial"/>
      <family val="2"/>
    </font>
    <font>
      <b/>
      <sz val="18"/>
      <color rgb="FF1D2733"/>
      <name val="Arial"/>
      <family val="2"/>
    </font>
    <font>
      <sz val="8"/>
      <color rgb="FF5B6675"/>
      <name val="Arial"/>
      <family val="2"/>
    </font>
    <font>
      <sz val="9"/>
      <color rgb="FF5B6675"/>
      <name val="Arial"/>
      <family val="2"/>
    </font>
    <font>
      <b/>
      <sz val="9"/>
      <color rgb="FFFFFFFF"/>
      <name val="Arial"/>
      <family val="2"/>
    </font>
    <font>
      <sz val="9"/>
      <color rgb="FF5B6675"/>
      <name val="Arial"/>
      <family val="2"/>
    </font>
    <font>
      <sz val="9"/>
      <color rgb="FF1D2733"/>
      <name val="Arial"/>
      <family val="2"/>
    </font>
    <font>
      <sz val="9"/>
      <color rgb="FF1D2733"/>
      <name val="Arial"/>
      <family val="2"/>
    </font>
    <font>
      <i/>
      <sz val="8"/>
      <color rgb="FF5B6675"/>
      <name val="Arial"/>
      <family val="2"/>
    </font>
    <font>
      <sz val="9"/>
      <color rgb="FF5B6675"/>
      <name val="Arial"/>
      <family val="2"/>
    </font>
    <font>
      <b/>
      <sz val="9"/>
      <color rgb="FF1D2733"/>
      <name val="Arial"/>
      <family val="2"/>
    </font>
    <font>
      <b/>
      <sz val="9"/>
      <color rgb="FF1D2733"/>
      <name val="Arial"/>
      <family val="2"/>
    </font>
    <font>
      <i/>
      <sz val="8"/>
      <color rgb="FF5B6675"/>
      <name val="Arial"/>
      <family val="2"/>
    </font>
    <font>
      <b/>
      <sz val="10"/>
      <color rgb="FF2A78D6"/>
      <name val="Arial"/>
      <family val="2"/>
    </font>
    <font>
      <sz val="10"/>
      <color rgb="FF5B6675"/>
      <name val="Arial"/>
      <family val="2"/>
    </font>
    <font>
      <sz val="10"/>
      <color rgb="FF5B6675"/>
      <name val="Arial"/>
      <family val="2"/>
    </font>
  </fonts>
  <fills count="137">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0F7B4F"/>
        <bgColor indexed="64"/>
      </patternFill>
    </fill>
    <fill>
      <patternFill patternType="solid">
        <fgColor rgb="FFEAF2FB"/>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1D2733"/>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s>
  <borders count="13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E6CF76"/>
      </left>
      <right style="thin">
        <color rgb="FFE6CF76"/>
      </right>
      <top style="thin">
        <color rgb="FFE6CF76"/>
      </top>
      <bottom/>
      <diagonal/>
    </border>
    <border>
      <left style="thin">
        <color rgb="FFC6D9EC"/>
      </left>
      <right style="thin">
        <color rgb="FFC6D9EC"/>
      </right>
      <top style="thin">
        <color rgb="FFC6D9EC"/>
      </top>
      <bottom style="thin">
        <color rgb="FFC6D9EC"/>
      </bottom>
      <diagonal/>
    </border>
    <border>
      <left style="thin">
        <color rgb="FF0F7B4F"/>
      </left>
      <right style="thin">
        <color rgb="FF0F7B4F"/>
      </right>
      <top style="thin">
        <color rgb="FF0F7B4F"/>
      </top>
      <bottom style="thin">
        <color rgb="FF0F7B4F"/>
      </bottom>
      <diagonal/>
    </border>
    <border>
      <left/>
      <right/>
      <top/>
      <bottom style="thin">
        <color rgb="FF2A78D6"/>
      </bottom>
      <diagonal/>
    </border>
    <border>
      <left style="thin">
        <color rgb="FFDFE4EA"/>
      </left>
      <right/>
      <top style="thin">
        <color rgb="FFDFE4EA"/>
      </top>
      <bottom/>
      <diagonal/>
    </border>
    <border>
      <left/>
      <right/>
      <top style="thin">
        <color rgb="FFDFE4EA"/>
      </top>
      <bottom/>
      <diagonal/>
    </border>
    <border>
      <left/>
      <right style="thin">
        <color rgb="FFDFE4EA"/>
      </right>
      <top style="thin">
        <color rgb="FFDFE4EA"/>
      </top>
      <bottom/>
      <diagonal/>
    </border>
    <border>
      <left style="thin">
        <color rgb="FFDFE4EA"/>
      </left>
      <right/>
      <top/>
      <bottom/>
      <diagonal/>
    </border>
    <border>
      <left/>
      <right/>
      <top/>
      <bottom/>
      <diagonal/>
    </border>
    <border>
      <left/>
      <right style="thin">
        <color rgb="FFDFE4EA"/>
      </right>
      <top/>
      <bottom/>
      <diagonal/>
    </border>
    <border>
      <left style="thin">
        <color rgb="FFDFE4EA"/>
      </left>
      <right/>
      <top/>
      <bottom style="thin">
        <color rgb="FFDFE4EA"/>
      </bottom>
      <diagonal/>
    </border>
    <border>
      <left/>
      <right/>
      <top/>
      <bottom style="thin">
        <color rgb="FFDFE4EA"/>
      </bottom>
      <diagonal/>
    </border>
    <border>
      <left/>
      <right style="thin">
        <color rgb="FFDFE4EA"/>
      </right>
      <top/>
      <bottom style="thin">
        <color rgb="FFDFE4EA"/>
      </bottom>
      <diagonal/>
    </border>
    <border>
      <left style="thin">
        <color rgb="FFDFE4EA"/>
      </left>
      <right/>
      <top style="thin">
        <color rgb="FFDFE4EA"/>
      </top>
      <bottom/>
      <diagonal/>
    </border>
    <border>
      <left style="thin">
        <color rgb="FFDFE4EA"/>
      </left>
      <right/>
      <top/>
      <bottom/>
      <diagonal/>
    </border>
    <border>
      <left style="thin">
        <color rgb="FFDFE4EA"/>
      </left>
      <right/>
      <top/>
      <bottom/>
      <diagonal/>
    </border>
    <border>
      <left style="thin">
        <color rgb="FFDFE4EA"/>
      </left>
      <right/>
      <top/>
      <bottom style="thin">
        <color rgb="FFDFE4EA"/>
      </bottom>
      <diagonal/>
    </border>
    <border>
      <left style="thin">
        <color rgb="FFDFE4EA"/>
      </left>
      <right/>
      <top/>
      <bottom style="thin">
        <color rgb="FFDFE4EA"/>
      </bottom>
      <diagonal/>
    </border>
    <border>
      <left/>
      <right/>
      <top style="thin">
        <color rgb="FFDFE4EA"/>
      </top>
      <bottom/>
      <diagonal/>
    </border>
    <border>
      <left/>
      <right/>
      <top/>
      <bottom style="thin">
        <color rgb="FFDFE4EA"/>
      </bottom>
      <diagonal/>
    </border>
    <border>
      <left style="thin">
        <color rgb="FFDFE4EA"/>
      </left>
      <right/>
      <top/>
      <bottom style="thin">
        <color rgb="FFDFE4EA"/>
      </bottom>
      <diagonal/>
    </border>
    <border>
      <left style="thin">
        <color rgb="FFE6CF76"/>
      </left>
      <right/>
      <top style="thin">
        <color rgb="FFE6CF76"/>
      </top>
      <bottom/>
      <diagonal/>
    </border>
    <border>
      <left/>
      <right/>
      <top style="thin">
        <color rgb="FFE6CF76"/>
      </top>
      <bottom/>
      <diagonal/>
    </border>
    <border>
      <left/>
      <right style="thin">
        <color rgb="FFE6CF76"/>
      </right>
      <top style="thin">
        <color rgb="FFE6CF76"/>
      </top>
      <bottom/>
      <diagonal/>
    </border>
    <border>
      <left style="thin">
        <color rgb="FFE6CF76"/>
      </left>
      <right/>
      <top/>
      <bottom/>
      <diagonal/>
    </border>
    <border>
      <left/>
      <right/>
      <top/>
      <bottom/>
      <diagonal/>
    </border>
    <border>
      <left/>
      <right style="thin">
        <color rgb="FFE6CF76"/>
      </right>
      <top/>
      <bottom/>
      <diagonal/>
    </border>
    <border>
      <left style="thin">
        <color rgb="FFE6CF76"/>
      </left>
      <right/>
      <top/>
      <bottom style="thin">
        <color rgb="FFE6CF76"/>
      </bottom>
      <diagonal/>
    </border>
    <border>
      <left/>
      <right/>
      <top/>
      <bottom style="thin">
        <color rgb="FFE6CF76"/>
      </bottom>
      <diagonal/>
    </border>
    <border>
      <left/>
      <right style="thin">
        <color rgb="FFE6CF76"/>
      </right>
      <top/>
      <bottom style="thin">
        <color rgb="FFE6CF76"/>
      </bottom>
      <diagonal/>
    </border>
    <border>
      <left style="thin">
        <color rgb="FFE6CF76"/>
      </left>
      <right/>
      <top/>
      <bottom/>
      <diagonal/>
    </border>
    <border>
      <left style="thin">
        <color rgb="FFE6CF76"/>
      </left>
      <right/>
      <top style="thin">
        <color rgb="FFE6CF76"/>
      </top>
      <bottom/>
      <diagonal/>
    </border>
    <border>
      <left style="thin">
        <color rgb="FFE6CF76"/>
      </left>
      <right/>
      <top/>
      <bottom style="thin">
        <color rgb="FFE6CF76"/>
      </bottom>
      <diagonal/>
    </border>
    <border>
      <left style="thin">
        <color rgb="FFDFE4EA"/>
      </left>
      <right/>
      <top/>
      <bottom/>
      <diagonal/>
    </border>
    <border>
      <left style="thin">
        <color rgb="FFDFE4EA"/>
      </left>
      <right/>
      <top/>
      <bottom style="thin">
        <color rgb="FFDFE4EA"/>
      </bottom>
      <diagonal/>
    </border>
    <border>
      <left style="thin">
        <color rgb="FFE6CF76"/>
      </left>
      <right style="thin">
        <color rgb="FFE6CF76"/>
      </right>
      <top style="thin">
        <color rgb="FFE6CF76"/>
      </top>
      <bottom style="thin">
        <color rgb="FFE6CF76"/>
      </bottom>
      <diagonal/>
    </border>
    <border>
      <left style="medium">
        <color rgb="FF2A78D6"/>
      </left>
      <right/>
      <top/>
      <bottom/>
      <diagonal/>
    </border>
    <border>
      <left style="thin">
        <color rgb="FFBFBFBF"/>
      </left>
      <right style="thin">
        <color rgb="FFBFBFBF"/>
      </right>
      <top style="thin">
        <color rgb="FFBFBFBF"/>
      </top>
      <bottom style="thin">
        <color rgb="FFBFBFBF"/>
      </bottom>
      <diagonal/>
    </border>
    <border>
      <left style="thin">
        <color rgb="FF1D2733"/>
      </left>
      <right style="thin">
        <color rgb="FF1D2733"/>
      </right>
      <top style="thin">
        <color rgb="FF1D2733"/>
      </top>
      <bottom/>
      <diagonal/>
    </border>
    <border>
      <left style="thin">
        <color rgb="FF1D2733"/>
      </left>
      <right style="thin">
        <color rgb="FF1D2733"/>
      </right>
      <top/>
      <bottom/>
      <diagonal/>
    </border>
    <border>
      <left style="thin">
        <color rgb="FF1D2733"/>
      </left>
      <right style="thin">
        <color rgb="FF1D2733"/>
      </right>
      <top/>
      <bottom style="thin">
        <color rgb="FF1D2733"/>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diagonal/>
    </border>
    <border>
      <left style="thin">
        <color rgb="FF0F7B4F"/>
      </left>
      <right style="thin">
        <color rgb="FF0F7B4F"/>
      </right>
      <top/>
      <bottom/>
      <diagonal/>
    </border>
    <border>
      <left style="thin">
        <color rgb="FF0F7B4F"/>
      </left>
      <right style="thin">
        <color rgb="FF0F7B4F"/>
      </right>
      <top/>
      <bottom style="thin">
        <color rgb="FF0F7B4F"/>
      </bottom>
      <diagonal/>
    </border>
    <border>
      <left style="thin">
        <color rgb="FF7F6000"/>
      </left>
      <right style="thin">
        <color rgb="FF7F6000"/>
      </right>
      <top style="thin">
        <color rgb="FF7F6000"/>
      </top>
      <bottom/>
      <diagonal/>
    </border>
    <border>
      <left style="thin">
        <color rgb="FF7F6000"/>
      </left>
      <right style="thin">
        <color rgb="FF7F6000"/>
      </right>
      <top/>
      <bottom/>
      <diagonal/>
    </border>
    <border>
      <left style="thin">
        <color rgb="FF7F6000"/>
      </left>
      <right style="thin">
        <color rgb="FF7F6000"/>
      </right>
      <top/>
      <bottom style="thin">
        <color rgb="FF7F6000"/>
      </bottom>
      <diagonal/>
    </border>
    <border>
      <left style="thin">
        <color rgb="FFC8102E"/>
      </left>
      <right style="thin">
        <color rgb="FFC8102E"/>
      </right>
      <top style="thin">
        <color rgb="FFC8102E"/>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thin">
        <color rgb="FFC8102E"/>
      </left>
      <right style="thin">
        <color rgb="FFC8102E"/>
      </right>
      <top style="thin">
        <color rgb="FFC8102E"/>
      </top>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medium">
        <color rgb="FF2A78D6"/>
      </left>
      <right/>
      <top/>
      <bottom/>
      <diagonal/>
    </border>
    <border>
      <left/>
      <right/>
      <top style="medium">
        <color rgb="FF1D2733"/>
      </top>
      <bottom/>
      <diagonal/>
    </border>
    <border>
      <left/>
      <right/>
      <top style="medium">
        <color rgb="FF1D2733"/>
      </top>
      <bottom/>
      <diagonal/>
    </border>
    <border>
      <left/>
      <right/>
      <top/>
      <bottom style="thin">
        <color rgb="FF2A78D6"/>
      </bottom>
      <diagonal/>
    </border>
    <border>
      <left/>
      <right/>
      <top/>
      <bottom style="thin">
        <color rgb="FF2A78D6"/>
      </bottom>
      <diagonal/>
    </border>
    <border>
      <left style="thin">
        <color rgb="FFDFE4EA"/>
      </left>
      <right style="thin">
        <color rgb="FFDFE4EA"/>
      </right>
      <top style="thin">
        <color rgb="FFDFE4EA"/>
      </top>
      <bottom/>
      <diagonal/>
    </border>
    <border>
      <left style="thin">
        <color rgb="FFDFE4EA"/>
      </left>
      <right style="thin">
        <color rgb="FFDFE4EA"/>
      </right>
      <top/>
      <bottom/>
      <diagonal/>
    </border>
    <border>
      <left style="thin">
        <color rgb="FFDFE4EA"/>
      </left>
      <right style="thin">
        <color rgb="FFDFE4EA"/>
      </right>
      <top/>
      <bottom style="thin">
        <color rgb="FFDFE4EA"/>
      </bottom>
      <diagonal/>
    </border>
    <border>
      <left style="thin">
        <color rgb="FFBFBFBF"/>
      </left>
      <right style="thin">
        <color rgb="FFBFBFBF"/>
      </right>
      <top style="thin">
        <color rgb="FFBFBFBF"/>
      </top>
      <bottom style="thin">
        <color rgb="FFBFBFBF"/>
      </bottom>
      <diagonal/>
    </border>
    <border>
      <left/>
      <right/>
      <top/>
      <bottom style="thin">
        <color rgb="FFF0F3F7"/>
      </bottom>
      <diagonal/>
    </border>
    <border>
      <left/>
      <right/>
      <top/>
      <bottom style="thin">
        <color rgb="FFF0F3F7"/>
      </bottom>
      <diagonal/>
    </border>
    <border>
      <left style="thin">
        <color rgb="FFBFBFBF"/>
      </left>
      <right style="thin">
        <color rgb="FFBFBFBF"/>
      </right>
      <top style="thin">
        <color rgb="FFBFBFBF"/>
      </top>
      <bottom style="thin">
        <color rgb="FFBFBFBF"/>
      </bottom>
      <diagonal/>
    </border>
    <border>
      <left style="thin">
        <color rgb="FFDFE4EA"/>
      </left>
      <right/>
      <top/>
      <bottom/>
      <diagonal/>
    </border>
    <border>
      <left/>
      <right style="thin">
        <color rgb="FFDFE4EA"/>
      </right>
      <top/>
      <bottom/>
      <diagonal/>
    </border>
    <border>
      <left/>
      <right/>
      <top/>
      <bottom/>
      <diagonal/>
    </border>
    <border>
      <left/>
      <right/>
      <top/>
      <bottom style="thin">
        <color rgb="FFDFE4EA"/>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325">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xf numFmtId="0" xfId="0" fontId="75" applyFont="1" applyAlignment="1">
      <alignment horizontal="left" vertical="center"/>
    </xf>
    <xf numFmtId="0" xfId="0" fontId="76" applyFont="1" applyAlignment="1">
      <alignment horizontal="left" vertical="center"/>
    </xf>
    <xf numFmtId="0" xfId="0" fontId="77" applyFont="1" applyAlignment="1">
      <alignment horizontal="left" vertical="bottom"/>
    </xf>
    <xf numFmtId="0" xfId="0" fontId="78" applyFont="1" fillId="44" applyFill="1" applyAlignment="1">
      <alignment horizontal="left" vertical="center" indent="1"/>
    </xf>
    <xf numFmtId="0" xfId="0" fontId="79" applyFont="1" fillId="45" applyFill="1" borderId="57" applyBorder="1" applyAlignment="1">
      <alignment horizontal="left" vertical="center" indent="1"/>
    </xf>
    <xf numFmtId="0" xfId="0" fontId="80" applyFont="1" fillId="46" applyFill="1" borderId="58" applyBorder="1" applyAlignment="1">
      <alignment horizontal="center" vertical="center"/>
    </xf>
    <xf numFmtId="0" xfId="0" fontId="81" applyFont="1" fillId="47" applyFill="1" borderId="59" applyBorder="1" applyAlignment="1">
      <alignment horizontal="center" vertical="center"/>
    </xf>
    <xf numFmtId="0" xfId="0" fontId="82" applyFont="1" fillId="48" applyFill="1" applyAlignment="1">
      <alignment horizontal="center" vertical="center"/>
    </xf>
    <xf numFmtId="0" xfId="0" fontId="83" applyFont="1" borderId="60" applyBorder="1" applyAlignment="1">
      <alignment horizontal="left" vertical="center"/>
    </xf>
    <xf numFmtId="0" xfId="0" fillId="49" applyFill="1" borderId="61" applyBorder="1"/>
    <xf numFmtId="0" xfId="0" fillId="50" applyFill="1" borderId="62" applyBorder="1"/>
    <xf numFmtId="0" xfId="0" fillId="51" applyFill="1" borderId="63" applyBorder="1"/>
    <xf numFmtId="0" xfId="0" fillId="52" applyFill="1" borderId="64" applyBorder="1"/>
    <xf numFmtId="0" xfId="0" fillId="53" applyFill="1" borderId="65" applyBorder="1"/>
    <xf numFmtId="0" xfId="0" fillId="54" applyFill="1" borderId="66" applyBorder="1"/>
    <xf numFmtId="0" xfId="0" fillId="55" applyFill="1" borderId="67" applyBorder="1"/>
    <xf numFmtId="0" xfId="0" fillId="56" applyFill="1" borderId="68" applyBorder="1"/>
    <xf numFmtId="0" xfId="0" fillId="57" applyFill="1" borderId="69" applyBorder="1"/>
    <xf numFmtId="0" xfId="0" fontId="84" applyFont="1" fillId="58" applyFill="1" borderId="70" applyBorder="1" applyAlignment="1">
      <alignment horizontal="left" vertical="center" indent="1"/>
    </xf>
    <xf numFmtId="0" xfId="0" fontId="85" applyFont="1" fillId="59" applyFill="1" borderId="71" applyBorder="1" applyAlignment="1">
      <alignment horizontal="left" vertical="top" wrapText="1" indent="1"/>
    </xf>
    <xf numFmtId="0" xfId="0" fontId="86" applyFont="1" fillId="60" applyFill="1" borderId="72" applyBorder="1" applyAlignment="1">
      <alignment horizontal="left" vertical="center" indent="1"/>
    </xf>
    <xf numFmtId="0" xfId="0" fontId="87" applyFont="1" fillId="61" applyFill="1" borderId="73" applyBorder="1" applyAlignment="1">
      <alignment horizontal="left" vertical="center" indent="1"/>
    </xf>
    <xf numFmtId="0" xfId="0" fontId="88" applyFont="1" fillId="62" applyFill="1" borderId="74" applyBorder="1" applyAlignment="1">
      <alignment horizontal="left" vertical="top" wrapText="1" indent="1"/>
    </xf>
    <xf numFmtId="0" xfId="0" fontId="89" applyFont="1" fillId="63" applyFill="1" borderId="75" applyBorder="1" applyAlignment="1">
      <alignment horizontal="left" vertical="center" indent="1"/>
    </xf>
    <xf numFmtId="0" xfId="0" fontId="90" applyFont="1" fillId="64" applyFill="1" borderId="76" applyBorder="1" applyAlignment="1">
      <alignment horizontal="left" vertical="top" wrapText="1" indent="1"/>
    </xf>
    <xf numFmtId="0" xfId="0" fontId="91" applyFont="1" fillId="65" applyFill="1" borderId="77" applyBorder="1" applyAlignment="1">
      <alignment horizontal="left" vertical="center" indent="1"/>
    </xf>
    <xf numFmtId="0" xfId="0" fillId="66" applyFill="1" borderId="78" applyBorder="1"/>
    <xf numFmtId="0" xfId="0" fillId="67" applyFill="1" borderId="79" applyBorder="1"/>
    <xf numFmtId="0" xfId="0" fillId="68" applyFill="1" borderId="80" applyBorder="1"/>
    <xf numFmtId="0" xfId="0" fillId="69" applyFill="1" borderId="81" applyBorder="1"/>
    <xf numFmtId="0" xfId="0" fillId="70" applyFill="1" borderId="82" applyBorder="1"/>
    <xf numFmtId="0" xfId="0" fillId="71" applyFill="1" borderId="83" applyBorder="1"/>
    <xf numFmtId="0" xfId="0" fillId="72" applyFill="1" borderId="84" applyBorder="1"/>
    <xf numFmtId="0" xfId="0" fillId="73" applyFill="1" borderId="85" applyBorder="1"/>
    <xf numFmtId="0" xfId="0" fillId="74" applyFill="1" borderId="86" applyBorder="1"/>
    <xf numFmtId="0" xfId="0" fontId="92" applyFont="1" fillId="75" applyFill="1" borderId="87" applyBorder="1" applyAlignment="1">
      <alignment horizontal="left" vertical="top" wrapText="1" indent="1"/>
    </xf>
    <xf numFmtId="0" xfId="0" fontId="93" applyFont="1" fillId="76" applyFill="1" borderId="88" applyBorder="1" applyAlignment="1">
      <alignment horizontal="left" vertical="center" indent="1"/>
    </xf>
    <xf numFmtId="0" xfId="0" fontId="94" applyFont="1" fillId="77" applyFill="1" borderId="89" applyBorder="1" applyAlignment="1">
      <alignment horizontal="left" vertical="center" indent="1"/>
    </xf>
    <xf numFmtId="0" xfId="0" fontId="95" applyFont="1" fillId="78" applyFill="1" applyAlignment="1">
      <alignment horizontal="left" vertical="center"/>
    </xf>
    <xf numFmtId="0" xfId="0" fontId="96" applyFont="1" fillId="79" applyFill="1" applyAlignment="1">
      <alignment horizontal="left" vertical="top" wrapText="1"/>
    </xf>
    <xf numFmtId="0" xfId="0" fontId="97" applyFont="1" fillId="80" applyFill="1" borderId="90" applyBorder="1" applyAlignment="1">
      <alignment horizontal="left" vertical="top" wrapText="1" indent="1"/>
    </xf>
    <xf numFmtId="0" xfId="0" fontId="98" applyFont="1" fillId="81" applyFill="1" borderId="91" applyBorder="1" applyAlignment="1">
      <alignment horizontal="left" vertical="top" wrapText="1" indent="1"/>
    </xf>
    <xf numFmtId="0" xfId="0" fontId="99" applyFont="1" applyAlignment="1">
      <alignment horizontal="left" vertical="center" wrapText="1"/>
    </xf>
    <xf numFmtId="0" xfId="0" fontId="100" applyFont="1" fillId="82" applyFill="1" borderId="92" applyBorder="1" applyAlignment="1">
      <alignment horizontal="left" vertical="center" indent="1"/>
    </xf>
    <xf numFmtId="0" xfId="0" fontId="101" applyFont="1" fillId="83" applyFill="1" applyAlignment="1">
      <alignment horizontal="center" vertical="center"/>
    </xf>
    <xf numFmtId="0" xfId="0" fontId="102" applyFont="1" fillId="84" applyFill="1" applyAlignment="1">
      <alignment horizontal="left" vertical="center" wrapText="1" indent="1"/>
    </xf>
    <xf numFmtId="0" xfId="0" fontId="103" applyFont="1" applyAlignment="1">
      <alignment horizontal="left" vertical="center"/>
    </xf>
    <xf numFmtId="0" xfId="0" fontId="104" applyFont="1" fillId="85" applyFill="1" borderId="93" applyBorder="1" applyAlignment="1">
      <alignment horizontal="left" vertical="center" wrapText="1" indent="1"/>
    </xf>
    <xf numFmtId="0" xfId="0" fontId="105" applyFont="1" fillId="86" applyFill="1" applyAlignment="1">
      <alignment horizontal="left" vertical="center" wrapText="1"/>
    </xf>
    <xf numFmtId="0" xfId="0" fontId="106" applyFont="1" fillId="87" applyFill="1" borderId="94" applyBorder="1" applyAlignment="1">
      <alignment horizontal="right" vertical="center"/>
    </xf>
    <xf numFmtId="0" xfId="0" fontId="107" applyFont="1" fillId="88" applyFill="1" borderId="95" applyBorder="1" applyAlignment="1">
      <alignment horizontal="center" vertical="center"/>
    </xf>
    <xf numFmtId="0" xfId="0" fillId="89" applyFill="1" borderId="96" applyBorder="1"/>
    <xf numFmtId="0" xfId="0" fillId="90" applyFill="1" borderId="97" applyBorder="1"/>
    <xf numFmtId="0" xfId="0" fontId="108" applyFont="1" fillId="91" applyFill="1" borderId="98" applyBorder="1" applyAlignment="1">
      <alignment horizontal="center" vertical="center"/>
    </xf>
    <xf numFmtId="0" xfId="0" fillId="92" applyFill="1" borderId="99" applyBorder="1"/>
    <xf numFmtId="0" xfId="0" fillId="93" applyFill="1" borderId="100" applyBorder="1"/>
    <xf numFmtId="0" xfId="0" fontId="109" applyFont="1" fillId="94" applyFill="1" borderId="101" applyBorder="1" applyAlignment="1">
      <alignment horizontal="center" vertical="center"/>
    </xf>
    <xf numFmtId="0" xfId="0" fillId="95" applyFill="1" borderId="102" applyBorder="1"/>
    <xf numFmtId="0" xfId="0" fillId="96" applyFill="1" borderId="103" applyBorder="1"/>
    <xf numFmtId="0" xfId="0" fontId="110" applyFont="1" fillId="97" applyFill="1" borderId="104" applyBorder="1" applyAlignment="1">
      <alignment horizontal="center" vertical="center"/>
    </xf>
    <xf numFmtId="0" xfId="0" fillId="98" applyFill="1" borderId="105" applyBorder="1"/>
    <xf numFmtId="0" xfId="0" fillId="99" applyFill="1" borderId="106" applyBorder="1"/>
    <xf numFmtId="0" xfId="0" fontId="111" applyFont="1" fillId="100" applyFill="1" borderId="107" applyBorder="1" applyAlignment="1">
      <alignment horizontal="left" vertical="center" indent="1"/>
    </xf>
    <xf numFmtId="0" xfId="0" fontId="112" applyFont="1" fillId="101" applyFill="1" borderId="108" applyBorder="1" applyAlignment="1">
      <alignment horizontal="left" vertical="center" indent="1"/>
    </xf>
    <xf numFmtId="0" xfId="0" fontId="113" applyFont="1" fillId="102" applyFill="1" borderId="109" applyBorder="1" applyAlignment="1">
      <alignment horizontal="left" vertical="center" indent="1"/>
    </xf>
    <xf numFmtId="0" xfId="0" fontId="114" applyFont="1" fillId="103" applyFill="1" borderId="110" applyBorder="1" applyAlignment="1">
      <alignment horizontal="left" vertical="center" indent="1"/>
    </xf>
    <xf numFmtId="0" xfId="0" fontId="115" applyFont="1" fillId="104" applyFill="1" borderId="111" applyBorder="1" applyAlignment="1">
      <alignment horizontal="left" vertical="center"/>
    </xf>
    <xf numFmtId="0" xfId="0" fontId="116" applyFont="1" fillId="105" applyFill="1" borderId="112" applyBorder="1" applyAlignment="1">
      <alignment horizontal="left" vertical="center" indent="1"/>
    </xf>
    <xf numFmtId="0" xfId="0" fontId="117" applyFont="1" fillId="106" applyFill="1" borderId="113" applyBorder="1" applyAlignment="1">
      <alignment horizontal="left" vertical="center"/>
    </xf>
    <xf numFmtId="0" xfId="0" fontId="118" applyFont="1" fillId="107" applyFill="1" borderId="114" applyBorder="1" applyAlignment="1">
      <alignment horizontal="left" vertical="center" indent="1"/>
    </xf>
    <xf numFmtId="0" xfId="0" fontId="119" applyFont="1" fillId="108" applyFill="1" borderId="115" applyBorder="1" applyAlignment="1">
      <alignment horizontal="left" vertical="center"/>
    </xf>
    <xf numFmtId="0" xfId="0" fontId="120" applyFont="1" fillId="109" applyFill="1" borderId="116" applyBorder="1" applyAlignment="1">
      <alignment horizontal="left" vertical="center"/>
    </xf>
    <xf numFmtId="0" xfId="0" fontId="121" applyFont="1" fillId="110" applyFill="1" borderId="117" applyBorder="1" applyAlignment="1">
      <alignment horizontal="left" vertical="center"/>
    </xf>
    <xf numFmtId="0" xfId="0" fontId="122" applyFont="1" fillId="111" applyFill="1" borderId="118" applyBorder="1" applyAlignment="1">
      <alignment horizontal="left" vertical="center" indent="1"/>
    </xf>
    <xf numFmtId="0" xfId="0" fillId="112" applyFill="1"/>
    <xf numFmtId="0" xfId="0" fontId="123" applyFont="1" fillId="113" applyFill="1" applyAlignment="1">
      <alignment horizontal="left" vertical="center"/>
    </xf>
    <xf numFmtId="0" xfId="0" fontId="124" applyFont="1" applyAlignment="1">
      <alignment horizontal="left" vertical="center" indent="1"/>
    </xf>
    <xf numFmtId="0" xfId="0" fontId="125" applyFont="1" borderId="119" applyBorder="1" applyAlignment="1">
      <alignment horizontal="left" vertical="center" indent="1"/>
    </xf>
    <xf numFmtId="201" xfId="0" applyNumberFormat="1" fontId="126" applyFont="1" borderId="120" applyBorder="1" applyAlignment="1">
      <alignment horizontal="right" vertical="center"/>
    </xf>
    <xf numFmtId="0" xfId="0" fontId="127" applyFont="1" fillId="114" applyFill="1" applyAlignment="1">
      <alignment horizontal="left" vertical="center" indent="1"/>
    </xf>
    <xf numFmtId="0" xfId="0" fontId="128" applyFont="1" fillId="115" applyFill="1" applyAlignment="1">
      <alignment horizontal="center" vertical="center"/>
    </xf>
    <xf numFmtId="202" xfId="0" applyNumberFormat="1" fontId="129" applyFont="1" fillId="116" applyFill="1" applyAlignment="1">
      <alignment horizontal="right" vertical="center"/>
    </xf>
    <xf numFmtId="0" xfId="0" fontId="130" applyFont="1" fillId="117" applyFill="1" applyAlignment="1">
      <alignment horizontal="left" vertical="center" indent="1"/>
    </xf>
    <xf numFmtId="0" xfId="0" fontId="131" applyFont="1" fillId="118" applyFill="1" applyAlignment="1">
      <alignment horizontal="center" vertical="center"/>
    </xf>
    <xf numFmtId="203" xfId="0" applyNumberFormat="1" fontId="132" applyFont="1" fillId="119" applyFill="1" applyAlignment="1">
      <alignment horizontal="right" vertical="center"/>
    </xf>
    <xf numFmtId="0" xfId="0" fontId="133" applyFont="1" applyAlignment="1">
      <alignment horizontal="left" vertical="center" indent="2"/>
    </xf>
    <xf numFmtId="0" xfId="0" fontId="134" applyFont="1" fillId="120" applyFill="1" applyAlignment="1">
      <alignment horizontal="left" vertical="center" indent="1"/>
    </xf>
    <xf numFmtId="0" xfId="0" fillId="121" applyFill="1"/>
    <xf numFmtId="204" xfId="0" applyNumberFormat="1" fontId="135" applyFont="1" fillId="122" applyFill="1" applyAlignment="1">
      <alignment horizontal="right" vertical="center"/>
    </xf>
    <xf numFmtId="0" xfId="0" fontId="136" applyFont="1" fillId="123" applyFill="1" applyAlignment="1">
      <alignment horizontal="center" vertical="center"/>
    </xf>
    <xf numFmtId="0" xfId="0" fontId="137" applyFont="1" borderId="121" applyBorder="1" applyAlignment="1">
      <alignment horizontal="left" vertical="center"/>
    </xf>
    <xf numFmtId="0" xfId="0" borderId="122" applyBorder="1"/>
    <xf numFmtId="0" xfId="0" fontId="138" applyFont="1" fillId="124" applyFill="1" applyAlignment="1">
      <alignment horizontal="left" vertical="center" wrapText="1" indent="1"/>
    </xf>
    <xf numFmtId="0" xfId="0" fontId="139" applyFont="1" applyAlignment="1">
      <alignment horizontal="left" vertical="center" wrapText="1" indent="1"/>
    </xf>
    <xf numFmtId="0" xfId="0" fontId="140" applyFont="1" fillId="125" applyFill="1" borderId="123" applyBorder="1" applyAlignment="1">
      <alignment horizontal="left" vertical="center" indent="1"/>
    </xf>
    <xf numFmtId="0" xfId="0" fontId="141" applyFont="1" fillId="126" applyFill="1" borderId="124" applyBorder="1" applyAlignment="1">
      <alignment horizontal="left" vertical="center" indent="1"/>
    </xf>
    <xf numFmtId="0" xfId="0" fontId="142" applyFont="1" fillId="127" applyFill="1" borderId="125" applyBorder="1" applyAlignment="1">
      <alignment horizontal="left" vertical="top" wrapText="1" indent="1"/>
    </xf>
    <xf numFmtId="0" xfId="0" fontId="143" applyFont="1"/>
    <xf numFmtId="0" xfId="0" fontId="144" applyFont="1" fillId="128" applyFill="1" applyAlignment="1">
      <alignment horizontal="left" vertical="center" indent="1"/>
    </xf>
    <xf numFmtId="0" xfId="0" fontId="145" applyFont="1" applyAlignment="1">
      <alignment horizontal="left" vertical="center" indent="1"/>
    </xf>
    <xf numFmtId="0" xfId="0" fontId="146" applyFont="1" applyAlignment="1">
      <alignment horizontal="left" vertical="center" indent="1"/>
    </xf>
    <xf numFmtId="0" xfId="0" fontId="147" applyFont="1" fillId="129" applyFill="1" borderId="126" applyBorder="1" applyAlignment="1">
      <alignment horizontal="right" vertical="center"/>
    </xf>
    <xf numFmtId="0" xfId="0" fontId="148" applyFont="1" applyAlignment="1">
      <alignment horizontal="left" vertical="center" indent="1"/>
    </xf>
    <xf numFmtId="0" xfId="0" fontId="149" applyFont="1" fillId="130" applyFill="1" borderId="127" applyBorder="1" applyAlignment="1">
      <alignment horizontal="left" vertical="center" indent="1"/>
    </xf>
    <xf numFmtId="0" xfId="0" fontId="150" applyFont="1" fillId="131" applyFill="1" borderId="128" applyBorder="1" applyAlignment="1">
      <alignment horizontal="left" vertical="center" indent="1"/>
    </xf>
    <xf numFmtId="0" xfId="0" fontId="151" applyFont="1" fillId="132" applyFill="1" borderId="129" applyBorder="1" applyAlignment="1">
      <alignment horizontal="left" vertical="center" indent="1"/>
    </xf>
    <xf numFmtId="0" xfId="0" fontId="152" applyFont="1" borderId="130" applyBorder="1" applyAlignment="1">
      <alignment horizontal="left" vertical="center" wrapText="1" indent="1"/>
    </xf>
    <xf numFmtId="0" xfId="0" fontId="153" applyFont="1" fillId="133" applyFill="1" borderId="131" applyBorder="1" applyAlignment="1">
      <alignment horizontal="left" vertical="center"/>
    </xf>
    <xf numFmtId="0" xfId="0" fillId="134" applyFill="1"/>
    <xf numFmtId="0" xfId="0" fontId="154" applyFont="1" fillId="135" applyFill="1" borderId="132" applyBorder="1" applyAlignment="1">
      <alignment horizontal="left" vertical="center"/>
    </xf>
    <xf numFmtId="0" xfId="0" fontId="155" applyFont="1" fillId="136" applyFill="1" borderId="133" applyBorder="1" applyAlignment="1">
      <alignment horizontal="left" vertical="center"/>
    </xf>
  </cellXfs>
  <cellStyles count="3">
    <cellStyle name="Currency" xfId="2" builtinId="4"/>
    <cellStyle name="Hyperlink" xfId="1" builtinId="8"/>
    <cellStyle name="Normal" xfId="0" builtinId="0"/>
  </cellStyles>
  <dxfs count="33">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
      <font>
        <b/>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0"/>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0"/>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800" b="0"/>
            </a:pPr>
            <a:r>
              <a:t>3. Expenditure by year (undiscounted)</a:t>
            </a:r>
          </a:p>
        </rich>
      </tx>
    </title>
    <plotArea>
      <layout>
        <manualLayout>
          <xMode val="edge"/>
          <yMode val="edge"/>
          <wMode val="factor"/>
          <hMode val="factor"/>
          <x val="0.09"/>
          <y val="0.19"/>
          <w val="0.89"/>
          <h val="0.56"/>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800" b="0"/>
            </a:pPr>
            <a:r>
              <a:t>4. Cumulative discounted cost</a:t>
            </a:r>
          </a:p>
        </rich>
      </tx>
    </title>
    <plotArea>
      <layout>
        <manualLayout>
          <xMode val="edge"/>
          <yMode val="edge"/>
          <wMode val="factor"/>
          <hMode val="factor"/>
          <x val="0.09"/>
          <y val="0.19"/>
          <w val="0.89"/>
          <h val="0.56"/>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800" b="0"/>
            </a:pPr>
            <a:r>
              <a:t>5. Runway closure days by year</a:t>
            </a:r>
          </a:p>
        </rich>
      </tx>
    </title>
    <plotArea>
      <layout>
        <manualLayout>
          <xMode val="edge"/>
          <yMode val="edge"/>
          <wMode val="factor"/>
          <hMode val="factor"/>
          <x val="0.09"/>
          <y val="0.19"/>
          <w val="0.89"/>
          <h val="0.56"/>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800" b="0"/>
            </a:pPr>
            <a:r>
              <a:t>6. Section, mainline (inches)</a:t>
            </a:r>
          </a:p>
        </rich>
      </tx>
    </title>
    <plotArea>
      <layout>
        <manualLayout>
          <xMode val="edge"/>
          <yMode val="edge"/>
          <wMode val="factor"/>
          <hMode val="factor"/>
          <x val="0.09"/>
          <y val="0.19"/>
          <w val="0.89"/>
          <h val="0.56"/>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800" b="0"/>
            </a:pPr>
            <a:r>
              <a:t>7. Section with shoulder (inches)</a:t>
            </a:r>
          </a:p>
        </rich>
      </tx>
    </title>
    <plotArea>
      <layout>
        <manualLayout>
          <xMode val="edge"/>
          <yMode val="edge"/>
          <wMode val="factor"/>
          <hMode val="factor"/>
          <x val="0.09"/>
          <y val="0.19"/>
          <w val="0.89"/>
          <h val="0.56"/>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800" b="0"/>
            </a:pPr>
            <a:r>
              <a:t>8. Unit cost vs. published TN work</a:t>
            </a:r>
          </a:p>
        </rich>
      </tx>
    </title>
    <plotArea>
      <layout>
        <manualLayout>
          <xMode val="edge"/>
          <yMode val="edge"/>
          <wMode val="factor"/>
          <hMode val="factor"/>
          <x val="0.09"/>
          <y val="0.19"/>
          <w val="0.89"/>
          <h val="0.68"/>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0"/>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27</xdr:row>
      <xdr:rowOff>12699</xdr:rowOff>
    </xdr:from>
    <xdr:to>
      <xdr:col>13</xdr:col>
      <xdr:colOff>6350</xdr:colOff>
      <xdr:row>67</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11</xdr:col>
      <xdr:colOff>916088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26</xdr:row>
      <xdr:rowOff>0</xdr:rowOff>
    </xdr:from>
    <xdr:to>
      <xdr:col>13</xdr:col>
      <xdr:colOff>361950</xdr:colOff>
      <xdr:row>93</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11</xdr:col>
      <xdr:colOff>916088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4</xdr:col>
      <xdr:colOff>782738</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73</xdr:row>
      <xdr:rowOff>0</xdr:rowOff>
    </xdr:from>
    <xdr:to>
      <xdr:col>13</xdr:col>
      <xdr:colOff>0</xdr:colOff>
      <xdr:row>90</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6</xdr:row>
      <xdr:rowOff>0</xdr:rowOff>
    </xdr:from>
    <xdr:ext cx="5324475" cy="2286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10</xdr:col>
      <xdr:colOff>619125</xdr:colOff>
      <xdr:row>6</xdr:row>
      <xdr:rowOff>0</xdr:rowOff>
    </xdr:from>
    <xdr:ext cx="5324475" cy="2286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18</xdr:row>
      <xdr:rowOff>0</xdr:rowOff>
    </xdr:from>
    <xdr:ext cx="3529012" cy="17145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9</xdr:col>
      <xdr:colOff>223838</xdr:colOff>
      <xdr:row>18</xdr:row>
      <xdr:rowOff>0</xdr:rowOff>
    </xdr:from>
    <xdr:ext cx="3529012" cy="17145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12</xdr:col>
      <xdr:colOff>0</xdr:colOff>
      <xdr:row>18</xdr:row>
      <xdr:rowOff>0</xdr:rowOff>
    </xdr:from>
    <xdr:ext cx="3529012" cy="17145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27</xdr:row>
      <xdr:rowOff>0</xdr:rowOff>
    </xdr:from>
    <xdr:ext cx="7058025" cy="1524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12</xdr:col>
      <xdr:colOff>0</xdr:colOff>
      <xdr:row>27</xdr:row>
      <xdr:rowOff>0</xdr:rowOff>
    </xdr:from>
    <xdr:ext cx="7058025" cy="1524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14</xdr:col>
      <xdr:colOff>1176338</xdr:colOff>
      <xdr:row>18</xdr:row>
      <xdr:rowOff>0</xdr:rowOff>
    </xdr:from>
    <xdr:ext cx="3529012" cy="17145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15</xdr:col>
      <xdr:colOff>0</xdr:colOff>
      <xdr:row>7</xdr:row>
      <xdr:rowOff>0</xdr:rowOff>
    </xdr:from>
    <xdr:ext cx="3467100" cy="9525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8</xdr:col>
      <xdr:colOff>620813</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1220888</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687488</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howGridLines="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s="287" t="s">
        <v>263</v>
      </c>
      <c r="B4" s="288"/>
      <c r="C4" s="289" t="s">
        <v>487</v>
      </c>
      <c r="D4" s="288"/>
      <c r="E4" s="97" t="s">
        <v>600</v>
      </c>
      <c r="F4" s="112">
        <f>ROUNDUP(C5*550/(50*100/9)/10000,0)+ROUNDUP(C5*'Maintenance Policies'!D38/10000,0)+ROUNDUP(C5*'Maintenance Policies'!D39/5000,0)+ROUNDUP(C5*'Maintenance Policies'!D40/5000,0)</f>
        <v>0</v>
      </c>
    </row>
    <row r="5" spans="1:24" x14ac:dyDescent="0.25">
      <c r="A5" s="287" t="s">
        <v>346</v>
      </c>
      <c r="B5" s="288"/>
      <c r="C5" s="289">
        <f>'General Information'!D26</f>
        <v>0</v>
      </c>
      <c r="D5" s="288" t="s">
        <v>6</v>
      </c>
      <c r="E5" s="99" t="s">
        <v>604</v>
      </c>
      <c r="F5" s="113">
        <f>ROUNDUP(C5*550/(50*100/9)/10000,0)+ROUNDUP(C5*'Maintenance Policies'!D44/10000,0)+ROUNDUP(C5*'Maintenance Policies'!D43/5000,0)+ROUNDUP(C5*'Maintenance Policies'!D42/5000,0)+ROUNDUP(C5*'Maintenance Policies'!D41/1000,0)+7</f>
        <v>0</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110"/>
      <c r="M27" s="62"/>
      <c r="N27" s="62"/>
      <c r="O27" s="62"/>
      <c r="P27" s="62"/>
    </row>
    <row r="33" spans="1:14" x14ac:dyDescent="0.25">
      <c r="A33" s="4" t="s">
        <v>328</v>
      </c>
    </row>
    <row r="34" spans="1:14" x14ac:dyDescent="0.25" ht="20" customHeight="1">
      <c r="A34" s="215" t="s">
        <v>506</v>
      </c>
      <c r="I34" t="s">
        <v>248</v>
      </c>
    </row>
    <row r="35" spans="1:14" ht="15.75" thickBot="1" x14ac:dyDescent="0.3"/>
    <row r="36" spans="1:14" thickTop="1" thickBot="1" x14ac:dyDescent="0.3" ht="20" customHeight="1">
      <c r="B36" s="217" t="s">
        <v>326</v>
      </c>
      <c r="C36" s="258" t="s">
        <v>259</v>
      </c>
      <c r="D36" s="258" t="s">
        <v>327</v>
      </c>
      <c r="E36" s="258"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299"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293" t="s">
        <v>77</v>
      </c>
      <c r="C40" s="294">
        <f>'Maintenance Policies'!E41</f>
        <v>27</v>
      </c>
      <c r="D40" s="295">
        <f>X21</f>
        <v>0</v>
      </c>
      <c r="E40" s="295">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299"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296" t="s">
        <v>85</v>
      </c>
      <c r="C42" s="297">
        <f>'General Information'!D33</f>
        <v>10</v>
      </c>
      <c r="D42" s="298">
        <f>-'Maintenance Policies'!D46*G27</f>
        <v>0</v>
      </c>
      <c r="E42" s="298">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thickBot="1" x14ac:dyDescent="0.3" ht="26" customHeight="1">
      <c r="B43" s="300" t="s">
        <v>328</v>
      </c>
      <c r="C43" s="301"/>
      <c r="D43" s="301"/>
      <c r="E43" s="302"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Overview</t>
        </is>
      </c>
    </row>
    <row r="2" spans="2:5" x14ac:dyDescent="0.2" ht="16" customHeight="1">
      <c r="B2" s="214" t="inlineStr">
        <is>
          <t xml:space="preserve">STEP 1 of 5   ·   What the framework does and the rules behind it. Read this and Instructions, then go to General Information.</t>
        </is>
      </c>
    </row>
    <row r="3" spans="2:5" x14ac:dyDescent="0.2" ht="6" customHeight="1"/>
    <row r="4" spans="2:5" x14ac:dyDescent="0.2" ht="26" customHeight="1">
      <c r="B4" s="232" t="inlineStr">
        <is>
          <t xml:space="preserve">A life-cycle cost analysis compares alternatives over their whole life, not their first bill.</t>
        </is>
      </c>
      <c r="C4" s="224"/>
      <c r="D4" s="224"/>
      <c r="E4" s="224"/>
      <c r="F4" s="224"/>
      <c r="G4" s="224"/>
      <c r="H4" s="224"/>
      <c r="I4" s="224"/>
      <c r="J4" s="224"/>
      <c r="K4" s="224"/>
      <c r="L4" s="224"/>
      <c r="M4" s="225"/>
    </row>
    <row r="5" spans="2:5" x14ac:dyDescent="0.2" ht="17" customHeight="1">
      <c r="B5" s="233" t="inlineStr">
        <is>
          <t xml:space="preserve">You describe two or more ways to build the same runway. The workbook prices each one from the TDOT pay-item list, adds the maintenance and rehabilitation each will need over the analysis period, discounts it all to today’s money, and reports which costs least in present worth.</t>
        </is>
      </c>
      <c r="C5" s="227"/>
      <c r="D5" s="227"/>
      <c r="E5" s="227"/>
      <c r="F5" s="227"/>
      <c r="G5" s="227"/>
      <c r="H5" s="227"/>
      <c r="I5" s="227"/>
      <c r="J5" s="227"/>
      <c r="K5" s="227"/>
      <c r="L5" s="227"/>
      <c r="M5" s="228"/>
    </row>
    <row r="6" spans="2:5" x14ac:dyDescent="0.2" ht="17" customHeight="1">
      <c r="B6" s="229"/>
      <c r="C6" s="230"/>
      <c r="D6" s="230"/>
      <c r="E6" s="230"/>
      <c r="F6" s="230"/>
      <c r="G6" s="230"/>
      <c r="H6" s="230"/>
      <c r="I6" s="230"/>
      <c r="J6" s="230"/>
      <c r="K6" s="230"/>
      <c r="L6" s="230"/>
      <c r="M6" s="231"/>
    </row>
    <row r="7" spans="2:5" x14ac:dyDescent="0.25" ht="8" customHeight="1"/>
    <row r="8" ht="20" customHeight="1">
      <c r="B8" s="217" t="inlineStr">
        <is>
          <t xml:space="preserve">What you provide</t>
        </is>
      </c>
      <c r="C8" s="217"/>
      <c r="D8" s="217"/>
      <c r="E8" s="217"/>
      <c r="F8" s="217" t="inlineStr">
        <is>
          <t xml:space="preserve">What the workbook adds</t>
        </is>
      </c>
      <c r="G8" s="217"/>
      <c r="H8" s="217"/>
      <c r="I8" s="217"/>
      <c r="J8" s="217" t="inlineStr">
        <is>
          <t xml:space="preserve">What you get</t>
        </is>
      </c>
      <c r="K8" s="217"/>
      <c r="L8" s="217"/>
      <c r="M8" s="217"/>
    </row>
    <row r="9" spans="2:5" x14ac:dyDescent="0.2" ht="15" customHeight="1">
      <c r="B9" s="234" t="inlineStr">
        <is>
          <t xml:space="preserve">•  The airport and the runway</t>
        </is>
      </c>
      <c r="C9" s="224"/>
      <c r="D9" s="224"/>
      <c r="E9" s="225"/>
      <c r="F9" s="234" t="inlineStr">
        <is>
          <t xml:space="preserve">•  Unit costs by division</t>
        </is>
      </c>
      <c r="G9" s="224"/>
      <c r="H9" s="224"/>
      <c r="I9" s="225"/>
      <c r="J9" s="234" t="inlineStr">
        <is>
          <t xml:space="preserve">•  Net present worth per option</t>
        </is>
      </c>
      <c r="K9" s="224"/>
      <c r="L9" s="224"/>
      <c r="M9" s="225"/>
    </row>
    <row r="10" ht="15" customHeight="1">
      <c r="B10" s="234" t="inlineStr">
        <is>
          <t xml:space="preserve">•  Pavement areas and markings</t>
        </is>
      </c>
      <c r="C10" s="227"/>
      <c r="D10" s="227"/>
      <c r="E10" s="228"/>
      <c r="F10" s="234" t="inlineStr">
        <is>
          <t xml:space="preserve">•  Maintenance and rehabilitation timing</t>
        </is>
      </c>
      <c r="G10" s="227"/>
      <c r="H10" s="227"/>
      <c r="I10" s="228"/>
      <c r="J10" s="234" t="inlineStr">
        <is>
          <t xml:space="preserve">•  Equivalent annual cost</t>
        </is>
      </c>
      <c r="K10" s="227"/>
      <c r="L10" s="227"/>
      <c r="M10" s="228"/>
    </row>
    <row r="11" ht="15" customHeight="1">
      <c r="B11" s="234" t="inlineStr">
        <is>
          <t xml:space="preserve">•  Two or more alternatives</t>
        </is>
      </c>
      <c r="C11" s="227"/>
      <c r="D11" s="227"/>
      <c r="E11" s="228"/>
      <c r="F11" s="234" t="inlineStr">
        <is>
          <t xml:space="preserve">•  Salvage on remaining life</t>
        </is>
      </c>
      <c r="G11" s="227"/>
      <c r="H11" s="227"/>
      <c r="I11" s="228"/>
      <c r="J11" s="234" t="inlineStr">
        <is>
          <t xml:space="preserve">•  Sensitivity to the discount rate</t>
        </is>
      </c>
      <c r="K11" s="227"/>
      <c r="L11" s="227"/>
      <c r="M11" s="228"/>
    </row>
    <row r="12" ht="15" customHeight="1">
      <c r="B12" s="235" t="inlineStr">
        <is>
          <t xml:space="preserve">•  Quantities per pay item</t>
        </is>
      </c>
      <c r="C12" s="230"/>
      <c r="D12" s="230"/>
      <c r="E12" s="231"/>
      <c r="F12" s="235" t="inlineStr">
        <is>
          <t xml:space="preserve">•  Lost revenue during closures</t>
        </is>
      </c>
      <c r="G12" s="230"/>
      <c r="H12" s="230"/>
      <c r="I12" s="231"/>
      <c r="J12" s="235" t="inlineStr">
        <is>
          <t xml:space="preserve">•  Eight charts and a comparison</t>
        </is>
      </c>
      <c r="K12" s="230"/>
      <c r="L12" s="230"/>
      <c r="M12" s="231"/>
    </row>
    <row r="13" ht="8" customHeight="1"/>
    <row r="14" ht="14" customHeight="1">
      <c r="B14" s="216" t="inlineStr">
        <is>
          <t xml:space="preserve">THE RULES BEHIND IT</t>
        </is>
      </c>
    </row>
    <row r="15" ht="22" customHeight="1">
      <c r="B15" s="232" t="str">
        <f>IF('General Information'!$D$33="","30",'General Information'!$D$33)&amp;" years"</f>
        <v/>
      </c>
      <c r="C15" s="224"/>
      <c r="D15" s="224"/>
      <c r="E15" s="237" t="str">
        <f>IF('General Information'!$D$34="","3",'General Information'!$D$34)&amp;"%"</f>
        <v/>
      </c>
      <c r="F15" s="224"/>
      <c r="G15" s="224"/>
      <c r="H15" s="237" t="str">
        <f>IF('General Information'!$D$36="","10",'General Information'!$D$36)&amp;" / "&amp;IF('General Information'!$D$37="","5",'General Information'!$D$37)&amp;"%"</f>
        <v/>
      </c>
      <c r="I15" s="224"/>
      <c r="J15" s="224"/>
      <c r="K15" s="237" t="inlineStr">
        <is>
          <t xml:space="preserve">Remaining life</t>
        </is>
      </c>
      <c r="L15" s="224"/>
      <c r="M15" s="225"/>
    </row>
    <row r="16" ht="20" customHeight="1">
      <c r="B16" s="236" t="inlineStr">
        <is>
          <t xml:space="preserve">analysis period, live from General Information D33</t>
        </is>
      </c>
      <c r="C16" s="230"/>
      <c r="D16" s="230"/>
      <c r="E16" s="238" t="inlineStr">
        <is>
          <t xml:space="preserve">discount rate, D34; FAA follows OMB Circular A-94</t>
        </is>
      </c>
      <c r="F16" s="230"/>
      <c r="G16" s="230"/>
      <c r="H16" s="238" t="inlineStr">
        <is>
          <t xml:space="preserve">mobilization and engineering, D36 and D37</t>
        </is>
      </c>
      <c r="I16" s="230"/>
      <c r="J16" s="230"/>
      <c r="K16" s="238" t="inlineStr">
        <is>
          <t xml:space="preserve">salvage basis: remaining life over expected life (AAPTP, FAA)</t>
        </is>
      </c>
      <c r="L16" s="230"/>
      <c r="M16" s="231"/>
    </row>
    <row r="17" ht="8" customHeight="1"/>
    <row r="18" ht="14" customHeight="1">
      <c r="B18" s="216" t="inlineStr">
        <is>
          <t xml:space="preserve">HOW A STUDY RUNS</t>
        </is>
      </c>
    </row>
    <row r="19" ht="20" customHeight="1">
      <c r="B19" s="220" t="str">
        <f>HYPERLINK("#Instructions!B1","1  Overview &amp; Instructions")</f>
        <v>1  Overview &amp; Instructions</v>
      </c>
      <c r="C19" s="220"/>
      <c r="D19" s="220"/>
      <c r="E19" s="219" t="str">
        <f>HYPERLINK("#'General Information'!D9","2  General Information")</f>
        <v>2  General Information</v>
      </c>
      <c r="F19" s="219"/>
      <c r="G19" s="219" t="str">
        <f>HYPERLINK("#Pay_Items!A1","3  Pay Items")</f>
        <v>3  Pay Items</v>
      </c>
      <c r="H19" s="219"/>
      <c r="I19" s="219" t="str">
        <f>HYPERLINK("#'General Information'!D9","4  Alternatives")</f>
        <v>4  Alternatives</v>
      </c>
      <c r="J19" s="219"/>
      <c r="K19" s="219" t="str">
        <f>HYPERLINK("#Summary!G1","5  Summary")</f>
        <v>5  Summary</v>
      </c>
      <c r="L19" s="219"/>
      <c r="M19" s="219"/>
    </row>
    <row r="20" ht="8" customHeight="1"/>
    <row r="21" ht="20" customHeight="1">
      <c r="B21" s="217" t="inlineStr">
        <is>
          <t xml:space="preserve">TDOT Aeronautics Division</t>
        </is>
      </c>
      <c r="C21" s="217"/>
      <c r="D21" s="217"/>
      <c r="E21" s="217"/>
      <c r="F21" s="217"/>
      <c r="H21" s="218" t="inlineStr">
        <is>
          <t xml:space="preserve">Before you start</t>
        </is>
      </c>
      <c r="I21" s="218"/>
      <c r="J21" s="218"/>
      <c r="K21" s="218"/>
      <c r="L21" s="218"/>
      <c r="M21" s="218"/>
    </row>
    <row r="22" ht="15" customHeight="1">
      <c r="B22" s="234" t="inlineStr">
        <is>
          <t xml:space="preserve">7335 Centennial Boulevard</t>
        </is>
      </c>
      <c r="C22" s="224"/>
      <c r="D22" s="224"/>
      <c r="E22" s="224"/>
      <c r="F22" s="225"/>
      <c r="H22" s="249" t="inlineStr">
        <is>
          <t xml:space="preserve">Enable macros and ActiveX when Excel asks. The Alternative Setup form and the pay-item pickers need them. If the yellow bar does not appear, check Trust Center › ActiveX Settings and restart Excel.</t>
        </is>
      </c>
      <c r="I22" s="241"/>
      <c r="J22" s="241"/>
      <c r="K22" s="241"/>
      <c r="L22" s="241"/>
      <c r="M22" s="242"/>
    </row>
    <row r="23" ht="15" customHeight="1">
      <c r="B23" s="234" t="inlineStr">
        <is>
          <t xml:space="preserve">Nashville, Tennessee 37209</t>
        </is>
      </c>
      <c r="C23" s="227"/>
      <c r="D23" s="227"/>
      <c r="E23" s="227"/>
      <c r="F23" s="228"/>
      <c r="H23" s="243"/>
      <c r="I23" s="244"/>
      <c r="J23" s="244"/>
      <c r="K23" s="244"/>
      <c r="L23" s="244"/>
      <c r="M23" s="245"/>
    </row>
    <row r="24" ht="15" customHeight="1">
      <c r="B24" s="234" t="inlineStr">
        <is>
          <t xml:space="preserve">615-741-3208</t>
        </is>
      </c>
      <c r="C24" s="227"/>
      <c r="D24" s="227"/>
      <c r="E24" s="227"/>
      <c r="F24" s="228"/>
      <c r="H24" s="243"/>
      <c r="I24" s="244"/>
      <c r="J24" s="244"/>
      <c r="K24" s="244"/>
      <c r="L24" s="244"/>
      <c r="M24" s="245"/>
    </row>
    <row r="25" ht="15" customHeight="1">
      <c r="B25" s="239" t="inlineStr">
        <is>
          <t>tn.gov/tdot/aeronautics.html</t>
        </is>
      </c>
      <c r="C25" s="230"/>
      <c r="D25" s="230"/>
      <c r="E25" s="230"/>
      <c r="F25" s="231"/>
      <c r="H25" s="246"/>
      <c r="I25" s="247"/>
      <c r="J25" s="247"/>
      <c r="K25" s="247"/>
      <c r="L25" s="247"/>
      <c r="M25" s="248"/>
    </row>
    <row r="26" ht="10" customHeight="1"/>
    <row r="27" ht="20" customHeight="1">
      <c r="B27" s="222" t="inlineStr">
        <is>
          <t xml:space="preserve">BACKGROUND</t>
        </is>
      </c>
      <c r="C27" s="222"/>
      <c r="D27" s="222"/>
      <c r="E27" s="222"/>
      <c r="F27" s="222"/>
      <c r="G27" s="222"/>
      <c r="H27" s="222"/>
      <c r="I27" s="222"/>
      <c r="J27" s="222"/>
      <c r="K27" s="222"/>
      <c r="L27" s="222"/>
      <c r="M27" s="222"/>
    </row>
    <row r="28" spans="2:2" x14ac:dyDescent="0.2">
      <c r="B28" s="6"/>
    </row>
  </sheetData>
  <mergeCells count="43">
    <mergeCell ref="B1:D1"/>
    <mergeCell ref="E1:F1"/>
    <mergeCell ref="B2:M2"/>
    <mergeCell ref="B4:M4"/>
    <mergeCell ref="B5:M6"/>
    <mergeCell ref="B8:E8"/>
    <mergeCell ref="B9:E9"/>
    <mergeCell ref="B10:E10"/>
    <mergeCell ref="B11:E11"/>
    <mergeCell ref="B12:E12"/>
    <mergeCell ref="F8:I8"/>
    <mergeCell ref="F9:I9"/>
    <mergeCell ref="F10:I10"/>
    <mergeCell ref="F11:I11"/>
    <mergeCell ref="F12:I12"/>
    <mergeCell ref="J8:M8"/>
    <mergeCell ref="J9:M9"/>
    <mergeCell ref="J10:M10"/>
    <mergeCell ref="J11:M11"/>
    <mergeCell ref="J12:M12"/>
    <mergeCell ref="B14:M14"/>
    <mergeCell ref="B18:M18"/>
    <mergeCell ref="B15:D15"/>
    <mergeCell ref="B16:D16"/>
    <mergeCell ref="E15:G15"/>
    <mergeCell ref="E16:G16"/>
    <mergeCell ref="H15:J15"/>
    <mergeCell ref="H16:J16"/>
    <mergeCell ref="K15:M15"/>
    <mergeCell ref="K16:M16"/>
    <mergeCell ref="B19:D19"/>
    <mergeCell ref="E19:F19"/>
    <mergeCell ref="G19:H19"/>
    <mergeCell ref="I19:J19"/>
    <mergeCell ref="K19:M19"/>
    <mergeCell ref="B21:F21"/>
    <mergeCell ref="H21:M21"/>
    <mergeCell ref="H22:M25"/>
    <mergeCell ref="B27:M27"/>
    <mergeCell ref="B22:F22"/>
    <mergeCell ref="B23:F23"/>
    <mergeCell ref="B24:F24"/>
    <mergeCell ref="B25:F25"/>
  </mergeCells>
  <hyperlinks>
    <hyperlink ref="B25" r:id="rId1" xr:uid="{42931B7E-9F18-4423-8A96-98F5B7FB2656}"/>
  </hyperlinks>
  <pageMargins left="0.7" right="0.7" top="0.75" bottom="0.75" header="0.3" footer="0.3"/>
  <pageSetup orientation="landscape"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Instructions</t>
        </is>
      </c>
    </row>
    <row r="2" spans="2:5" x14ac:dyDescent="0.2" ht="16" customHeight="1">
      <c r="B2" s="214" t="inlineStr">
        <is>
          <t xml:space="preserve">STEP 1 of 5   ·   How to run an analysis, start to finish. When you are ready, go to General Information and fill in the grey cells.</t>
        </is>
      </c>
    </row>
    <row r="3" spans="2:5" x14ac:dyDescent="0.2" ht="6" customHeight="1"/>
    <row r="4" spans="2:5" x14ac:dyDescent="0.2" ht="18" customHeight="1">
      <c r="B4" s="250" t="inlineStr">
        <is>
          <t xml:space="preserve">First, enable content.</t>
        </is>
      </c>
      <c r="C4" s="241"/>
      <c r="D4" s="241"/>
      <c r="E4" s="241"/>
      <c r="F4" s="241"/>
      <c r="G4" s="241"/>
      <c r="H4" s="241"/>
      <c r="I4" s="241"/>
      <c r="J4" s="241"/>
      <c r="K4" s="241"/>
      <c r="L4" s="241"/>
      <c r="M4" s="242"/>
    </row>
    <row r="5" spans="2:5" x14ac:dyDescent="0.2" ht="16" customHeight="1">
      <c r="B5" s="251" t="inlineStr">
        <is>
          <t xml:space="preserve">Macros and ActiveX must be on, or the Alternative Setup form and the pay-item pickers will not run. Trust Center › ActiveX Settings, then restart Excel.</t>
        </is>
      </c>
      <c r="C5" s="247"/>
      <c r="D5" s="247"/>
      <c r="E5" s="247"/>
      <c r="F5" s="247"/>
      <c r="G5" s="247"/>
      <c r="H5" s="247"/>
      <c r="I5" s="247"/>
      <c r="J5" s="247"/>
      <c r="K5" s="247"/>
      <c r="L5" s="247"/>
      <c r="M5" s="248"/>
    </row>
    <row r="6" spans="2:5" x14ac:dyDescent="0.2" ht="8" customHeight="1"/>
    <row r="7" spans="2:5" x14ac:dyDescent="0.2" ht="20" customHeight="1">
      <c r="B7" s="217" t="inlineStr">
        <is>
          <t xml:space="preserve">Set the study up</t>
        </is>
      </c>
      <c r="C7" s="217"/>
      <c r="D7" s="217"/>
      <c r="E7" s="217"/>
      <c r="F7" s="217"/>
      <c r="G7" s="217"/>
      <c r="H7" s="217" t="inlineStr">
        <is>
          <t xml:space="preserve">Run it</t>
        </is>
      </c>
      <c r="I7" s="217"/>
      <c r="J7" s="217"/>
      <c r="K7" s="217"/>
      <c r="L7" s="217"/>
      <c r="M7" s="217"/>
    </row>
    <row r="8" ht="15" customHeight="1">
      <c r="B8" s="221" t="inlineStr">
        <is>
          <t xml:space="preserve">1</t>
        </is>
      </c>
      <c r="C8" s="252" t="inlineStr">
        <is>
          <t xml:space="preserve">Fill in General Information</t>
        </is>
      </c>
      <c r="D8" s="224"/>
      <c r="E8" s="224"/>
      <c r="F8" s="224"/>
      <c r="G8" s="225"/>
      <c r="H8" s="221" t="inlineStr">
        <is>
          <t xml:space="preserve">4</t>
        </is>
      </c>
      <c r="I8" s="252" t="inlineStr">
        <is>
          <t xml:space="preserve">Add each alternative</t>
        </is>
      </c>
      <c r="J8" s="224"/>
      <c r="K8" s="224"/>
      <c r="L8" s="224"/>
      <c r="M8" s="225"/>
    </row>
    <row r="9" spans="2:5" x14ac:dyDescent="0.2" ht="14" customHeight="1">
      <c r="B9" s="226"/>
      <c r="C9" s="253" t="inlineStr">
        <is>
          <t xml:space="preserve">Pick the airport from the dropdown and the ID, city, county and region fill themselves. Then the runway areas and the LCCA parameters, D9 to D39. The amber banner lists whatever is still missing.</t>
        </is>
      </c>
      <c r="D9" s="227"/>
      <c r="E9" s="227"/>
      <c r="F9" s="227"/>
      <c r="G9" s="228"/>
      <c r="H9" s="226"/>
      <c r="I9" s="253" t="inlineStr">
        <is>
          <t xml:space="preserve">Back on General Information, click Alternative Setup. Name it, choose the pavement type, and the form builds a worksheet for it. Enter quantities against the pay items there.</t>
        </is>
      </c>
      <c r="J9" s="227"/>
      <c r="K9" s="227"/>
      <c r="L9" s="227"/>
      <c r="M9" s="228"/>
    </row>
    <row r="10" ht="14" customHeight="1">
      <c r="B10" s="226"/>
      <c r="C10" s="227"/>
      <c r="D10" s="227"/>
      <c r="E10" s="227"/>
      <c r="F10" s="227"/>
      <c r="G10" s="228"/>
      <c r="H10" s="226"/>
      <c r="I10" s="227"/>
      <c r="J10" s="227"/>
      <c r="K10" s="227"/>
      <c r="L10" s="227"/>
      <c r="M10" s="228"/>
    </row>
    <row r="11" ht="6" customHeight="1">
      <c r="B11" s="226"/>
      <c r="C11" s="227"/>
      <c r="D11" s="227"/>
      <c r="E11" s="227"/>
      <c r="F11" s="227"/>
      <c r="G11" s="228"/>
      <c r="H11" s="226"/>
      <c r="I11" s="227"/>
      <c r="J11" s="227"/>
      <c r="K11" s="227"/>
      <c r="L11" s="227"/>
      <c r="M11" s="228"/>
    </row>
    <row r="12" ht="15" customHeight="1">
      <c r="B12" s="221" t="inlineStr">
        <is>
          <t xml:space="preserve">2</t>
        </is>
      </c>
      <c r="C12" s="252" t="inlineStr">
        <is>
          <t xml:space="preserve">Check the unit costs on Pay_Items</t>
        </is>
      </c>
      <c r="D12" s="227"/>
      <c r="E12" s="227"/>
      <c r="F12" s="227"/>
      <c r="G12" s="228"/>
      <c r="H12" s="221" t="inlineStr">
        <is>
          <t xml:space="preserve">5</t>
        </is>
      </c>
      <c r="I12" s="252" t="inlineStr">
        <is>
          <t xml:space="preserve">Read the Summary</t>
        </is>
      </c>
      <c r="J12" s="227"/>
      <c r="K12" s="227"/>
      <c r="L12" s="227"/>
      <c r="M12" s="228"/>
    </row>
    <row r="13" ht="14" customHeight="1">
      <c r="B13" s="226"/>
      <c r="C13" s="253" t="inlineStr">
        <is>
          <t xml:space="preserve">Every alternative is priced from that sheet, and the grey Unit Cost column is the one to edit. An item that ships with no cost prices at zero.</t>
        </is>
      </c>
      <c r="D13" s="227"/>
      <c r="E13" s="227"/>
      <c r="F13" s="227"/>
      <c r="G13" s="228"/>
      <c r="H13" s="226"/>
      <c r="I13" s="253" t="inlineStr">
        <is>
          <t xml:space="preserve">It updates by itself. The banner names the lowest present worth; the two key plots show why it wins and whether it still wins at other discount rates.</t>
        </is>
      </c>
      <c r="J13" s="227"/>
      <c r="K13" s="227"/>
      <c r="L13" s="227"/>
      <c r="M13" s="228"/>
    </row>
    <row r="14" ht="14" customHeight="1">
      <c r="B14" s="226"/>
      <c r="C14" s="227"/>
      <c r="D14" s="227"/>
      <c r="E14" s="227"/>
      <c r="F14" s="227"/>
      <c r="G14" s="228"/>
      <c r="H14" s="226"/>
      <c r="I14" s="227"/>
      <c r="J14" s="227"/>
      <c r="K14" s="227"/>
      <c r="L14" s="227"/>
      <c r="M14" s="228"/>
    </row>
    <row r="15" ht="6" customHeight="1">
      <c r="B15" s="226"/>
      <c r="C15" s="227"/>
      <c r="D15" s="227"/>
      <c r="E15" s="227"/>
      <c r="F15" s="227"/>
      <c r="G15" s="228"/>
      <c r="H15" s="226"/>
      <c r="I15" s="227"/>
      <c r="J15" s="227"/>
      <c r="K15" s="227"/>
      <c r="L15" s="227"/>
      <c r="M15" s="228"/>
    </row>
    <row r="16" ht="15" customHeight="1">
      <c r="B16" s="221" t="inlineStr">
        <is>
          <t xml:space="preserve">3</t>
        </is>
      </c>
      <c r="C16" s="252" t="inlineStr">
        <is>
          <t xml:space="preserve">Review the maintenance policies</t>
        </is>
      </c>
      <c r="D16" s="227"/>
      <c r="E16" s="227"/>
      <c r="F16" s="227"/>
      <c r="G16" s="228"/>
      <c r="H16" s="221" t="inlineStr">
        <is>
          <t xml:space="preserve">6</t>
        </is>
      </c>
      <c r="I16" s="252" t="inlineStr">
        <is>
          <t xml:space="preserve">Start the next study</t>
        </is>
      </c>
      <c r="J16" s="227"/>
      <c r="K16" s="227"/>
      <c r="L16" s="227"/>
      <c r="M16" s="228"/>
    </row>
    <row r="17" ht="14" customHeight="1">
      <c r="B17" s="226"/>
      <c r="C17" s="253" t="inlineStr">
        <is>
          <t xml:space="preserve">Four tables set what each pavement type gets done to it and in which year. They are live: a rate or a year changed there moves every alternative of that type.</t>
        </is>
      </c>
      <c r="D17" s="227"/>
      <c r="E17" s="227"/>
      <c r="F17" s="227"/>
      <c r="G17" s="228"/>
      <c r="H17" s="226"/>
      <c r="I17" s="253" t="inlineStr">
        <is>
          <t xml:space="preserve">The + New Study button saves a cleared copy wherever you choose, with every input blank and every alternative removed. The study you have open is untouched.</t>
        </is>
      </c>
      <c r="J17" s="227"/>
      <c r="K17" s="227"/>
      <c r="L17" s="227"/>
      <c r="M17" s="228"/>
    </row>
    <row r="18" ht="14" customHeight="1">
      <c r="B18" s="226"/>
      <c r="C18" s="227"/>
      <c r="D18" s="227"/>
      <c r="E18" s="227"/>
      <c r="F18" s="227"/>
      <c r="G18" s="228"/>
      <c r="H18" s="226"/>
      <c r="I18" s="227"/>
      <c r="J18" s="227"/>
      <c r="K18" s="227"/>
      <c r="L18" s="227"/>
      <c r="M18" s="228"/>
    </row>
    <row r="19" ht="6" customHeight="1">
      <c r="B19" s="229"/>
      <c r="C19" s="230"/>
      <c r="D19" s="230"/>
      <c r="E19" s="230"/>
      <c r="F19" s="230"/>
      <c r="G19" s="231"/>
      <c r="H19" s="229"/>
      <c r="I19" s="230"/>
      <c r="J19" s="230"/>
      <c r="K19" s="230"/>
      <c r="L19" s="230"/>
      <c r="M19" s="231"/>
    </row>
    <row r="20" ht="8" customHeight="1"/>
    <row r="21" ht="20" customHeight="1">
      <c r="B21" s="217" t="inlineStr">
        <is>
          <t xml:space="preserve">Grey means yours</t>
        </is>
      </c>
      <c r="C21" s="217"/>
      <c r="D21" s="217"/>
      <c r="E21" s="217"/>
      <c r="F21" s="217" t="inlineStr">
        <is>
          <t xml:space="preserve">Where to look things up</t>
        </is>
      </c>
      <c r="G21" s="217"/>
      <c r="H21" s="217"/>
      <c r="I21" s="217"/>
      <c r="J21" s="217" t="inlineStr">
        <is>
          <t xml:space="preserve">If a number looks wrong</t>
        </is>
      </c>
      <c r="K21" s="217"/>
      <c r="L21" s="217"/>
      <c r="M21" s="217"/>
    </row>
    <row r="22" ht="22" customHeight="1">
      <c r="B22" s="254" t="inlineStr">
        <is>
          <t xml:space="preserve">A grey cell is one you type in.</t>
        </is>
      </c>
      <c r="C22" s="224"/>
      <c r="D22" s="224"/>
      <c r="E22" s="225"/>
      <c r="F22" s="254" t="inlineStr">
        <is>
          <t xml:space="preserve">Typical Values: the usual ranges, with sources.</t>
        </is>
      </c>
      <c r="G22" s="224"/>
      <c r="H22" s="224"/>
      <c r="I22" s="225"/>
      <c r="J22" s="254" t="inlineStr">
        <is>
          <t xml:space="preserve">Check the Unit Cost column first, then the year a policy is applied.</t>
        </is>
      </c>
      <c r="K22" s="224"/>
      <c r="L22" s="224"/>
      <c r="M22" s="225"/>
    </row>
    <row r="23" ht="22" customHeight="1">
      <c r="B23" s="255" t="inlineStr">
        <is>
          <t xml:space="preserve">Everything else calculates: leave it alone.</t>
        </is>
      </c>
      <c r="C23" s="230"/>
      <c r="D23" s="230"/>
      <c r="E23" s="231"/>
      <c r="F23" s="255" t="inlineStr">
        <is>
          <t xml:space="preserve">Method: every formula as it stands in the sheet.</t>
        </is>
      </c>
      <c r="G23" s="230"/>
      <c r="H23" s="230"/>
      <c r="I23" s="231"/>
      <c r="J23" s="255" t="inlineStr">
        <is>
          <t xml:space="preserve">Both feed every alternative of that pavement type at once.</t>
        </is>
      </c>
      <c r="K23" s="230"/>
      <c r="L23" s="230"/>
      <c r="M23" s="231"/>
    </row>
    <row r="24" ht="5" customHeight="1"/>
    <row r="25" ht="5" customHeight="1"/>
    <row r="26" ht="20" customHeight="1">
      <c r="B26" s="222" t="inlineStr">
        <is>
          <t xml:space="preserve">THE ORIGINAL STEP-BY-STEP NOTES</t>
        </is>
      </c>
      <c r="C26" s="222"/>
      <c r="D26" s="222"/>
      <c r="E26" s="222"/>
      <c r="F26" s="222"/>
      <c r="G26" s="222"/>
      <c r="H26" s="222"/>
      <c r="I26" s="222"/>
      <c r="J26" s="222"/>
      <c r="K26" s="222"/>
      <c r="L26" s="222"/>
      <c r="M26" s="222"/>
    </row>
  </sheetData>
  <mergeCells count="35">
    <mergeCell ref="B1:D1"/>
    <mergeCell ref="E1:F1"/>
    <mergeCell ref="B2:M2"/>
    <mergeCell ref="B4:M4"/>
    <mergeCell ref="B5:M5"/>
    <mergeCell ref="B7:G7"/>
    <mergeCell ref="H7:M7"/>
    <mergeCell ref="B8:B10"/>
    <mergeCell ref="B12:B14"/>
    <mergeCell ref="B16:B18"/>
    <mergeCell ref="H8:H10"/>
    <mergeCell ref="H12:H14"/>
    <mergeCell ref="H16:H18"/>
    <mergeCell ref="C8:G8"/>
    <mergeCell ref="C12:G12"/>
    <mergeCell ref="C16:G16"/>
    <mergeCell ref="I8:M8"/>
    <mergeCell ref="I12:M12"/>
    <mergeCell ref="I16:M16"/>
    <mergeCell ref="C9:G10"/>
    <mergeCell ref="C13:G14"/>
    <mergeCell ref="C17:G18"/>
    <mergeCell ref="I9:M10"/>
    <mergeCell ref="I13:M14"/>
    <mergeCell ref="I17:M18"/>
    <mergeCell ref="B21:E21"/>
    <mergeCell ref="B22:E22"/>
    <mergeCell ref="B23:E23"/>
    <mergeCell ref="F21:I21"/>
    <mergeCell ref="F22:I22"/>
    <mergeCell ref="F23:I23"/>
    <mergeCell ref="J21:M21"/>
    <mergeCell ref="J22:M22"/>
    <mergeCell ref="J23:M23"/>
    <mergeCell ref="B26:M26"/>
  </mergeCells>
  <pageMargins left="0.7" right="0.7" top="0.75" bottom="0.75" header="0.3" footer="0.3"/>
  <pageSetup orientation="landscape"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15" t="inlineStr">
        <is>
          <t xml:space="preserve">General Information</t>
        </is>
      </c>
      <c r="D1" s="214" t="inlineStr">
        <is>
          <t xml:space="preserve">STEP 2 of 5   ·   fill in the grey cells, D9 to D39.</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ht="20" customHeight="1">
      <c r="B8" s="217" t="inlineStr">
        <is>
          <t xml:space="preserve">Airport information</t>
        </is>
      </c>
      <c r="D8" s="217"/>
      <c r="E8" s="322"/>
      <c r="L8" s="7" t="s">
        <v>246</v>
      </c>
      <c r="M8" s="7" t="s">
        <v>245</v>
      </c>
      <c r="N8" s="7" t="s">
        <v>509</v>
      </c>
      <c r="O8" s="7" t="s">
        <v>510</v>
      </c>
      <c r="P8" s="7" t="s">
        <v>247</v>
      </c>
      <c r="Q8" s="7" t="s">
        <v>250</v>
      </c>
      <c r="S8" s="5" t="s">
        <v>455</v>
      </c>
    </row>
    <row r="9" spans="2:19" x14ac:dyDescent="0.2" ht="28" customHeight="1">
      <c r="B9" s="226"/>
      <c r="C9" s="323"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B10" s="226"/>
      <c r="C10" s="323" t="s">
        <v>249</v>
      </c>
      <c r="D10" s="92" t="str">
        <f>IF(D9="","N/A",VLOOKUP(Airport_Name,Table17[],2))</f>
        <v>N/A</v>
      </c>
      <c r="L10" s="5" t="s">
        <v>166</v>
      </c>
      <c r="M10" s="5" t="s">
        <v>165</v>
      </c>
      <c r="N10" s="5" t="s">
        <v>423</v>
      </c>
      <c r="O10" s="5" t="s">
        <v>511</v>
      </c>
      <c r="P10" s="5" t="s">
        <v>64</v>
      </c>
      <c r="S10" s="5" t="s">
        <v>456</v>
      </c>
    </row>
    <row r="11" spans="2:19" x14ac:dyDescent="0.2">
      <c r="B11" s="226"/>
      <c r="C11" s="323" t="s">
        <v>586</v>
      </c>
      <c r="D11" s="92" t="str">
        <f>IF(D9="","N/A",VLOOKUP(Airport_Name,Table17[],3))</f>
        <v>N/A</v>
      </c>
      <c r="L11" s="5" t="s">
        <v>184</v>
      </c>
      <c r="M11" s="5" t="s">
        <v>183</v>
      </c>
      <c r="N11" s="5" t="s">
        <v>390</v>
      </c>
      <c r="O11" s="5" t="s">
        <v>512</v>
      </c>
      <c r="P11" s="5" t="s">
        <v>65</v>
      </c>
      <c r="S11" s="5" t="s">
        <v>457</v>
      </c>
    </row>
    <row r="12" spans="2:19" x14ac:dyDescent="0.2">
      <c r="B12" s="226"/>
      <c r="C12" s="323" t="inlineStr">
        <is>
          <t>County:</t>
        </is>
      </c>
      <c r="D12" s="92" t="str">
        <f>IF(D9="","N/A",VLOOKUP(Airport_Name,Table17[],4))</f>
        <v>N/A</v>
      </c>
      <c r="L12" s="5" t="s">
        <v>212</v>
      </c>
      <c r="M12" s="5" t="s">
        <v>211</v>
      </c>
      <c r="N12" s="5" t="s">
        <v>405</v>
      </c>
      <c r="O12" s="5" t="s">
        <v>513</v>
      </c>
      <c r="P12" s="5" t="s">
        <v>65</v>
      </c>
      <c r="S12" s="5" t="s">
        <v>458</v>
      </c>
    </row>
    <row r="13" spans="2:19" x14ac:dyDescent="0.2">
      <c r="B13" s="226"/>
      <c r="C13" s="323" t="s">
        <v>451</v>
      </c>
      <c r="D13" s="92" t="str">
        <f>IF(D9="","N/A",VLOOKUP(Airport_Name,Table17[],5))</f>
        <v>N/A</v>
      </c>
      <c r="L13" s="5" t="s">
        <v>117</v>
      </c>
      <c r="M13" s="5" t="s">
        <v>116</v>
      </c>
      <c r="N13" s="5" t="s">
        <v>370</v>
      </c>
      <c r="O13" s="5" t="s">
        <v>514</v>
      </c>
      <c r="P13" s="5" t="s">
        <v>65</v>
      </c>
    </row>
    <row r="14" spans="2:19" x14ac:dyDescent="0.2">
      <c r="B14" s="226"/>
      <c r="C14" s="323" t="s">
        <v>90</v>
      </c>
      <c r="D14" s="207"/>
      <c r="L14" s="5" t="s">
        <v>228</v>
      </c>
      <c r="M14" s="5" t="s">
        <v>227</v>
      </c>
      <c r="N14" s="5" t="s">
        <v>430</v>
      </c>
      <c r="O14" s="5" t="s">
        <v>515</v>
      </c>
      <c r="P14" s="5" t="s">
        <v>64</v>
      </c>
    </row>
    <row r="15" spans="2:19" x14ac:dyDescent="0.2">
      <c r="B15" s="226"/>
      <c r="C15" s="323" t="s">
        <v>91</v>
      </c>
      <c r="D15" s="207"/>
      <c r="L15" s="5" t="s">
        <v>168</v>
      </c>
      <c r="M15" s="5" t="s">
        <v>167</v>
      </c>
      <c r="N15" s="5" t="s">
        <v>393</v>
      </c>
      <c r="O15" s="5" t="s">
        <v>516</v>
      </c>
      <c r="P15" s="5" t="s">
        <v>65</v>
      </c>
      <c r="S15" s="5" t="s">
        <v>460</v>
      </c>
    </row>
    <row r="16" spans="2:19" x14ac:dyDescent="0.2">
      <c r="B16" s="226"/>
      <c r="C16" s="323" t="s">
        <v>92</v>
      </c>
      <c r="D16" s="207"/>
      <c r="L16" s="5" t="s">
        <v>162</v>
      </c>
      <c r="M16" s="5" t="s">
        <v>161</v>
      </c>
      <c r="N16" s="5" t="s">
        <v>371</v>
      </c>
      <c r="O16" s="5" t="s">
        <v>517</v>
      </c>
      <c r="P16" s="5" t="s">
        <v>64</v>
      </c>
    </row>
    <row r="17" spans="2:19" x14ac:dyDescent="0.2">
      <c r="B17" s="229"/>
      <c r="C17" s="324"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ht="20" customHeight="1">
      <c r="B20" s="217" t="inlineStr">
        <is>
          <t xml:space="preserve">Project and pavement</t>
        </is>
      </c>
      <c r="D20" s="217"/>
      <c r="E20" s="322"/>
      <c r="L20" s="5" t="s">
        <v>154</v>
      </c>
      <c r="M20" s="5" t="s">
        <v>153</v>
      </c>
      <c r="N20" s="5" t="s">
        <v>377</v>
      </c>
      <c r="O20" s="5" t="s">
        <v>523</v>
      </c>
      <c r="P20" s="5" t="s">
        <v>66</v>
      </c>
    </row>
    <row r="21" spans="2:19" x14ac:dyDescent="0.2">
      <c r="B21" s="226"/>
      <c r="C21" s="323" t="s">
        <v>251</v>
      </c>
      <c r="D21" s="207"/>
      <c r="L21" s="5" t="s">
        <v>450</v>
      </c>
      <c r="M21" s="5" t="s">
        <v>169</v>
      </c>
      <c r="N21" s="5" t="s">
        <v>394</v>
      </c>
      <c r="O21" s="5" t="s">
        <v>524</v>
      </c>
      <c r="P21" s="5" t="s">
        <v>66</v>
      </c>
      <c r="S21" s="5" t="s">
        <v>485</v>
      </c>
    </row>
    <row r="22" spans="2:19" x14ac:dyDescent="0.2">
      <c r="B22" s="226"/>
      <c r="C22" s="323" t="s">
        <v>260</v>
      </c>
      <c r="D22" s="207"/>
      <c r="L22" s="5" t="s">
        <v>177</v>
      </c>
      <c r="M22" s="5" t="s">
        <v>176</v>
      </c>
      <c r="N22" s="5" t="s">
        <v>380</v>
      </c>
      <c r="O22" s="5" t="s">
        <v>525</v>
      </c>
      <c r="P22" s="5" t="s">
        <v>65</v>
      </c>
    </row>
    <row r="23" spans="2:19" x14ac:dyDescent="0.2">
      <c r="B23" s="226"/>
      <c r="C23" s="323" t="s">
        <v>261</v>
      </c>
      <c r="D23" s="207"/>
      <c r="L23" s="5" t="s">
        <v>149</v>
      </c>
      <c r="M23" s="5" t="s">
        <v>148</v>
      </c>
      <c r="N23" s="5" t="s">
        <v>381</v>
      </c>
      <c r="O23" s="5" t="s">
        <v>526</v>
      </c>
      <c r="P23" s="5" t="s">
        <v>66</v>
      </c>
      <c r="S23" s="5" t="s">
        <v>484</v>
      </c>
    </row>
    <row r="24" spans="2:19" x14ac:dyDescent="0.2">
      <c r="B24" s="226"/>
      <c r="C24" s="323" t="s">
        <v>256</v>
      </c>
      <c r="D24" s="207"/>
      <c r="L24" s="5" t="s">
        <v>244</v>
      </c>
      <c r="M24" s="5" t="s">
        <v>243</v>
      </c>
      <c r="N24" s="5" t="s">
        <v>372</v>
      </c>
      <c r="O24" s="5" t="s">
        <v>523</v>
      </c>
      <c r="P24" s="5" t="s">
        <v>66</v>
      </c>
      <c r="S24" s="5" t="s">
        <v>483</v>
      </c>
    </row>
    <row r="25" spans="2:19" x14ac:dyDescent="0.2">
      <c r="B25" s="226"/>
      <c r="C25" s="323"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B26" s="226"/>
      <c r="C26" s="323" t="s">
        <v>268</v>
      </c>
      <c r="D26" s="73"/>
      <c r="F26" s="160" t="inlineStr">
        <is>
          <t xml:space="preserve">Length x width / 9. TN GA: 4,000-6,000 ft x 75-100 ft wide.</t>
        </is>
      </c>
      <c r="L26" s="5" t="s">
        <v>152</v>
      </c>
      <c r="M26" s="5" t="s">
        <v>151</v>
      </c>
      <c r="N26" s="5" t="s">
        <v>384</v>
      </c>
      <c r="O26" s="5" t="s">
        <v>527</v>
      </c>
      <c r="P26" s="5" t="s">
        <v>65</v>
      </c>
    </row>
    <row r="27" spans="2:19" x14ac:dyDescent="0.2">
      <c r="B27" s="226"/>
      <c r="C27" s="323" t="s">
        <v>269</v>
      </c>
      <c r="D27" s="73"/>
      <c r="F27" s="160" t="inlineStr">
        <is>
          <t xml:space="preserve">Paved shoulders only; usually 0 at TN GA airports.</t>
        </is>
      </c>
      <c r="L27" s="5" t="s">
        <v>113</v>
      </c>
      <c r="M27" s="5" t="s">
        <v>112</v>
      </c>
      <c r="N27" s="5" t="s">
        <v>385</v>
      </c>
      <c r="O27" s="5" t="s">
        <v>528</v>
      </c>
      <c r="P27" s="5" t="s">
        <v>66</v>
      </c>
    </row>
    <row r="28" spans="2:19" x14ac:dyDescent="0.2">
      <c r="B28" s="226"/>
      <c r="C28" s="323" t="s">
        <v>270</v>
      </c>
      <c r="D28" s="73"/>
      <c r="F28" s="160" t="inlineStr">
        <is>
          <t xml:space="preserve">About 2,000-3,000 SF per 1,000 ft of runway.</t>
        </is>
      </c>
      <c r="L28" s="5" t="s">
        <v>171</v>
      </c>
      <c r="M28" s="5" t="s">
        <v>170</v>
      </c>
      <c r="N28" s="5" t="s">
        <v>404</v>
      </c>
      <c r="O28" s="5" t="s">
        <v>529</v>
      </c>
      <c r="P28" s="5" t="s">
        <v>64</v>
      </c>
    </row>
    <row r="29" spans="2:19" x14ac:dyDescent="0.2">
      <c r="B29" s="229"/>
      <c r="C29" s="324"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ht="20" customHeight="1">
      <c r="B32" s="217" t="inlineStr">
        <is>
          <t xml:space="preserve">LCCA parameters</t>
        </is>
      </c>
      <c r="D32" s="217"/>
      <c r="E32" s="322"/>
      <c r="L32" s="5" t="s">
        <v>238</v>
      </c>
      <c r="M32" s="5" t="s">
        <v>237</v>
      </c>
      <c r="N32" s="5" t="s">
        <v>429</v>
      </c>
      <c r="O32" s="5" t="s">
        <v>533</v>
      </c>
      <c r="P32" s="5" t="s">
        <v>64</v>
      </c>
    </row>
    <row r="33" spans="2:16" x14ac:dyDescent="0.2">
      <c r="B33" s="226"/>
      <c r="C33" s="323"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B34" s="226"/>
      <c r="C34" s="323" t="s">
        <v>271</v>
      </c>
      <c r="D34" s="88">
        <v>3</v>
      </c>
      <c r="F34" s="160" t="inlineStr">
        <is>
          <t xml:space="preserve">TDOT 3%. FAA uses the OMB A-94 real rate, 2.0% in 2026.</t>
        </is>
      </c>
      <c r="L34" s="5" t="s">
        <v>173</v>
      </c>
      <c r="M34" s="5" t="s">
        <v>172</v>
      </c>
      <c r="N34" s="5" t="s">
        <v>411</v>
      </c>
      <c r="O34" s="5" t="s">
        <v>518</v>
      </c>
      <c r="P34" s="5" t="s">
        <v>65</v>
      </c>
    </row>
    <row r="35" spans="2:16" x14ac:dyDescent="0.2">
      <c r="B35" s="226"/>
      <c r="C35" s="323"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B36" s="226"/>
      <c r="C36" s="323" t="s">
        <v>257</v>
      </c>
      <c r="D36" s="88">
        <v>10</v>
      </c>
      <c r="F36" s="160" t="inlineStr">
        <is>
          <t xml:space="preserve">Percent of pay items; workbook default 10.</t>
        </is>
      </c>
      <c r="L36" s="5" t="s">
        <v>160</v>
      </c>
      <c r="M36" s="5" t="s">
        <v>159</v>
      </c>
      <c r="N36" s="5" t="s">
        <v>389</v>
      </c>
      <c r="O36" s="5" t="s">
        <v>536</v>
      </c>
      <c r="P36" s="5" t="s">
        <v>66</v>
      </c>
    </row>
    <row r="37" spans="2:16" x14ac:dyDescent="0.2">
      <c r="B37" s="226"/>
      <c r="C37" s="323"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B38" s="226"/>
      <c r="C38" s="323"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B39" s="229"/>
      <c r="C39" s="324"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ht="20" customHeight="1">
      <c r="B41" s="217" t="inlineStr">
        <is>
          <t xml:space="preserve">Alternative Setup</t>
        </is>
      </c>
      <c r="C41" s="217"/>
      <c r="E41" s="322"/>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ht="20" customHeight="1">
      <c r="B43" s="217" t="inlineStr">
        <is>
          <t xml:space="preserve">Where to go next</t>
        </is>
      </c>
      <c r="C43" s="217"/>
      <c r="D43" s="217"/>
      <c r="L43" s="5" t="s">
        <v>123</v>
      </c>
      <c r="M43" s="5" t="s">
        <v>122</v>
      </c>
      <c r="N43" s="5" t="s">
        <v>387</v>
      </c>
      <c r="O43" s="5" t="s">
        <v>395</v>
      </c>
      <c r="P43" s="5" t="s">
        <v>64</v>
      </c>
    </row>
    <row r="44" spans="2:16" x14ac:dyDescent="0.2" ht="19" customHeight="1">
      <c r="B44" s="234" t="inlineStr">
        <is>
          <t>LCCA Summary:</t>
        </is>
      </c>
      <c r="C44" s="234"/>
      <c r="D44" s="321" t="str">
        <f>HYPERLINK("#Summary!G1","View Summary  ►")</f>
        <v>View Summary  ►</v>
      </c>
      <c r="L44" s="5" t="s">
        <v>449</v>
      </c>
      <c r="M44" s="5" t="s">
        <v>180</v>
      </c>
      <c r="N44" s="5" t="s">
        <v>406</v>
      </c>
      <c r="O44" s="5" t="s">
        <v>542</v>
      </c>
      <c r="P44" s="5" t="s">
        <v>64</v>
      </c>
    </row>
    <row r="45" spans="2:16" x14ac:dyDescent="0.2" ht="19" customHeight="1">
      <c r="B45" s="234" t="inlineStr">
        <is>
          <t>Typical input values:</t>
        </is>
      </c>
      <c r="C45" s="234"/>
      <c r="D45" s="321" t="str">
        <f>HYPERLINK("#'Typical Values'!A1","Typical Values  ►")</f>
        <v>Typical Values  ►</v>
      </c>
      <c r="L45" s="5" t="s">
        <v>129</v>
      </c>
      <c r="M45" s="5" t="s">
        <v>128</v>
      </c>
      <c r="N45" s="5" t="s">
        <v>396</v>
      </c>
      <c r="O45" s="5" t="s">
        <v>543</v>
      </c>
      <c r="P45" s="5" t="s">
        <v>64</v>
      </c>
    </row>
    <row r="46" spans="2:16" x14ac:dyDescent="0.2" ht="19" customHeight="1">
      <c r="B46" s="234" t="inlineStr">
        <is>
          <t>How it is calculated:</t>
        </is>
      </c>
      <c r="C46" s="234"/>
      <c r="D46" s="321" t="str">
        <f>HYPERLINK("#Method!A1","Method  ►")</f>
        <v>Method  ►</v>
      </c>
      <c r="L46" s="5" t="s">
        <v>115</v>
      </c>
      <c r="M46" s="5" t="s">
        <v>114</v>
      </c>
      <c r="N46" s="5" t="s">
        <v>391</v>
      </c>
      <c r="O46" s="5" t="s">
        <v>544</v>
      </c>
      <c r="P46" s="5" t="s">
        <v>64</v>
      </c>
    </row>
    <row r="47" spans="2:16" x14ac:dyDescent="0.2" ht="19" customHeight="1">
      <c r="B47" s="234" t="inlineStr">
        <is>
          <t>Unit costs:</t>
        </is>
      </c>
      <c r="C47" s="234"/>
      <c r="D47" s="321" t="str">
        <f>HYPERLINK("#Pay_Items!A1","Pay_Items  ►")</f>
        <v>Pay_Items  ►</v>
      </c>
      <c r="L47" s="5" t="s">
        <v>448</v>
      </c>
      <c r="M47" s="5" t="s">
        <v>418</v>
      </c>
      <c r="N47" s="5" t="s">
        <v>417</v>
      </c>
      <c r="O47" s="5" t="s">
        <v>545</v>
      </c>
      <c r="P47" s="5" t="s">
        <v>64</v>
      </c>
    </row>
    <row r="48" spans="2:16" x14ac:dyDescent="0.2" ht="19" customHeight="1">
      <c r="B48" s="234" t="inlineStr">
        <is>
          <t>Maintenance policies:</t>
        </is>
      </c>
      <c r="C48" s="234"/>
      <c r="D48" s="321"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13">
    <mergeCell ref="F2:J2"/>
    <mergeCell ref="F3:J7"/>
    <mergeCell ref="F9:J9"/>
    <mergeCell ref="B43:D43"/>
    <mergeCell ref="B41:C41"/>
    <mergeCell ref="B44:C44"/>
    <mergeCell ref="B45:C45"/>
    <mergeCell ref="B46:C46"/>
    <mergeCell ref="B47:C47"/>
    <mergeCell ref="B48:C48"/>
    <mergeCell ref="B8:D8"/>
    <mergeCell ref="B20:D20"/>
    <mergeCell ref="B32:D32"/>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40</xdr:row>
                <xdr:rowOff>19050</xdr:rowOff>
              </from>
              <to>
                <xdr:col>3</xdr:col>
                <xdr:colOff>1238250</xdr:colOff>
                <xdr:row>42</xdr:row>
                <xdr:rowOff>57150</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workbookViewId="0" showGridLines="0">
      <pane ySplit="2" topLeftCell="A3" activePane="bottomLeft" state="frozen"/>
    </sheetView>
  </sheetViews>
  <sheetFormatPr defaultColWidth="8.7109375" defaultRowHeight="12.75" x14ac:dyDescent="0.2"/>
  <cols>
    <col min="1" max="1" width="19" style="5" customWidth="1"/>
    <col min="2" max="2" width="18" style="5" customWidth="1"/>
    <col min="3" max="3" width="13" style="5" customWidth="1"/>
    <col min="4" max="4" width="63" style="5" customWidth="1"/>
    <col min="5" max="5" width="7" style="5" customWidth="1"/>
    <col min="6" max="6" width="11" style="5" customWidth="1"/>
    <col min="7" max="7" width="10" style="5" customWidth="1"/>
    <col min="8" max="8" width="10" style="5" customWidth="1"/>
    <col min="9" max="9" width="10" style="5" customWidth="1"/>
    <col min="10" max="10" width="15" style="5" customWidth="1"/>
    <col min="11" max="16384" width="8.7109375" style="5"/>
  </cols>
  <sheetData>
    <row r="1" spans="1:10" x14ac:dyDescent="0.2" ht="40" customHeight="1">
      <c r="A1" s="119" t="str">
        <f>HYPERLINK("#'General Information'!D9","◄ General Information")</f>
        <v>◄ General Information</v>
      </c>
      <c r="B1" s="120" t="str">
        <f>HYPERLINK("#Summary!G1","Summary")</f>
        <v>Summary</v>
      </c>
      <c r="C1" s="215" t="inlineStr">
        <is>
          <t xml:space="preserve">Pay Items</t>
        </is>
      </c>
      <c r="D1" s="257" t="str">
        <f>IF(COUNTBLANK($F$4:$F$59)=0,"Every pay item carries a unit cost.",COUNTBLANK($F$4:$F$59)&amp;" of "&amp;COUNTA($D$4:$D$59)&amp;" pay items carry no unit cost, flagged amber below.")</f>
        <v/>
      </c>
      <c r="E1" s="257"/>
      <c r="F1" s="256" t="inlineStr">
        <is>
          <t xml:space="preserve">STEP 3 of 5</t>
        </is>
      </c>
      <c r="G1" s="115" t="s">
        <v>267</v>
      </c>
      <c r="H1" s="115"/>
      <c r="I1" s="115"/>
    </row>
    <row r="2" spans="1:10" x14ac:dyDescent="0.2" ht="22" customHeight="1">
      <c r="A2" s="217" t="s">
        <v>51</v>
      </c>
      <c r="B2" s="217" t="s">
        <v>505</v>
      </c>
      <c r="C2" s="217" t="s">
        <v>52</v>
      </c>
      <c r="D2" s="217" t="s">
        <v>53</v>
      </c>
      <c r="E2" s="258" t="s">
        <v>266</v>
      </c>
      <c r="F2" s="258" t="s">
        <v>320</v>
      </c>
      <c r="G2" s="258" t="s">
        <v>64</v>
      </c>
      <c r="H2" s="258" t="s">
        <v>65</v>
      </c>
      <c r="I2" s="258" t="s">
        <v>66</v>
      </c>
      <c r="J2" s="21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59" t="inlineStr">
        <is>
          <t xml:space="preserve">An item with no unit cost prices at $0. The Unit Cost column flags those in amber: fill one in before entering a quantity against it.</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6">
    <mergeCell ref="G1:I1"/>
    <mergeCell ref="A61:J61"/>
    <mergeCell ref="A62:J62"/>
    <mergeCell ref="A63:J63"/>
    <mergeCell ref="A64:J64"/>
    <mergeCell ref="D1:E1"/>
  </mergeCells>
  <phoneticPr fontId="6" type="noConversion"/>
  <conditionalFormatting sqref="F4:F59">
    <cfRule type="containsBlanks" dxfId="32" priority="1">
      <formula>LEN(TRIM(F4))=0</formula>
    </cfRule>
  </conditionalFormatting>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workbookViewId="0" showGridLines="0">
      <pane ySplit="7" topLeftCell="A8" activePane="bottomLeft" state="frozen"/>
    </sheetView>
  </sheetViews>
  <sheetFormatPr defaultColWidth="8.7109375" defaultRowHeight="12.75" x14ac:dyDescent="0.2"/>
  <cols>
    <col min="1" max="1" width="3" style="5" customWidth="1"/>
    <col min="2" max="2" width="29.43" style="5" customWidth="1"/>
    <col min="3" max="3" width="56" style="5" customWidth="1"/>
    <col min="4" max="4" width="13.71" style="5" customWidth="1"/>
    <col min="5" max="5" width="13.71" style="5" customWidth="1"/>
    <col min="6" max="6" width="13.71" style="5" customWidth="1"/>
    <col min="7" max="16384" width="8.7109375" style="5"/>
  </cols>
  <sheetData>
    <row r="1" ht="40" customHeight="1">
      <c r="B1" s="119" t="str">
        <f>HYPERLINK("#'General Information'!D9","◄ General Information")</f>
        <v>◄ General Information</v>
      </c>
      <c r="C1" s="120" t="str">
        <f>HYPERLINK("#Summary!G1","Summary")</f>
        <v>Summary</v>
      </c>
    </row>
    <row r="2" ht="22" customHeight="1">
      <c r="B2" s="215" t="inlineStr">
        <is>
          <t xml:space="preserve">Maintenance &amp; Rehabilitation Policies</t>
        </is>
      </c>
    </row>
    <row r="3" ht="40" customHeight="1">
      <c r="B3" s="261" t="inlineStr">
        <is>
          <t xml:space="preserve">This sheet is live. Every alternative reads its Rate and Year Applied straight from these four tables, so a year moved here moves that event on every alternative of that type and every number on the Summary. The grey cells are the ones to edit.</t>
        </is>
      </c>
      <c r="C3" s="262"/>
      <c r="D3" s="262"/>
      <c r="E3" s="262"/>
      <c r="F3" s="262"/>
    </row>
    <row r="4" ht="28" customHeight="1">
      <c r="B4" s="256" t="inlineStr">
        <is>
          <t xml:space="preserve">Rate is the share of the quantity the activity covers: 1 is the whole mainline area, the whole markings area or the whole joint length. Year Applied counts years after construction, and an event past the analysis period drops to zero.</t>
        </is>
      </c>
    </row>
    <row r="5" ht="16" customHeight="1">
      <c r="B5" s="256" t="inlineStr">
        <is>
          <t xml:space="preserve">Table 1 drives a New HMA alternative, Table 2 a New PCC alternative, Table 3 an HMA overlay and Table 4 a PCC rehabilitation.</t>
        </is>
      </c>
    </row>
    <row r="6" ht="18" customHeight="1">
      <c r="B6" s="276" t="inlineStr">
        <is>
          <t xml:space="preserve">Rehabilitation</t>
        </is>
      </c>
      <c r="C6" s="277" t="inlineStr">
        <is>
          <t xml:space="preserve">Salvage credit</t>
        </is>
      </c>
      <c r="D6" s="278" t="inlineStr">
        <is>
          <t xml:space="preserve">No salvage</t>
        </is>
      </c>
      <c r="E6" s="256" t="inlineStr">
        <is>
          <t xml:space="preserve">Closure days come from Typical Values, not this sheet.</t>
        </is>
      </c>
    </row>
    <row r="7" ht="6" customHeight="1"/>
    <row r="8" spans="2:5" ht="13.5" thickBot="1" x14ac:dyDescent="0.25">
      <c r="B8" s="260" t="s">
        <v>494</v>
      </c>
    </row>
    <row r="9" spans="2:5" thickTop="1" thickBot="1" x14ac:dyDescent="0.25" ht="20" customHeight="1">
      <c r="B9" s="217" t="s">
        <v>96</v>
      </c>
      <c r="C9" s="217" t="s">
        <v>95</v>
      </c>
      <c r="D9" s="258" t="s">
        <v>106</v>
      </c>
      <c r="E9" s="258" t="s">
        <v>259</v>
      </c>
      <c r="F9" s="258" t="inlineStr">
        <is>
          <t>Asset life (yrs)</t>
        </is>
      </c>
    </row>
    <row r="10" spans="2:5" ht="13.15" customHeight="1" thickTop="1" x14ac:dyDescent="0.2">
      <c r="B10" s="13" t="s">
        <v>67</v>
      </c>
      <c r="C10" s="14" t="s">
        <v>107</v>
      </c>
      <c r="D10" s="263">
        <v>1</v>
      </c>
      <c r="E10" s="264">
        <v>4</v>
      </c>
    </row>
    <row r="11" spans="2:5" ht="13.15" customHeight="1" thickBot="1" x14ac:dyDescent="0.25">
      <c r="B11" s="15"/>
      <c r="C11" s="16" t="s">
        <v>108</v>
      </c>
      <c r="D11" s="263">
        <v>1</v>
      </c>
      <c r="E11" s="266"/>
    </row>
    <row r="12" spans="2:5" ht="12.6" customHeight="1" x14ac:dyDescent="0.2">
      <c r="B12" s="17" t="s">
        <v>70</v>
      </c>
      <c r="C12" s="14" t="s">
        <v>107</v>
      </c>
      <c r="D12" s="263">
        <v>1</v>
      </c>
      <c r="E12" s="264">
        <v>8</v>
      </c>
    </row>
    <row r="13" spans="2:5" ht="13.15" customHeight="1" thickBot="1" x14ac:dyDescent="0.25">
      <c r="B13" s="15"/>
      <c r="C13" s="16" t="s">
        <v>108</v>
      </c>
      <c r="D13" s="263">
        <v>1</v>
      </c>
      <c r="E13" s="266"/>
    </row>
    <row r="14" spans="2:5" ht="12.6" customHeight="1" x14ac:dyDescent="0.2">
      <c r="B14" s="17" t="s">
        <v>71</v>
      </c>
      <c r="C14" s="14" t="s">
        <v>72</v>
      </c>
      <c r="D14" s="263">
        <v>7.4999999999999997E-3</v>
      </c>
      <c r="E14" s="264">
        <v>12</v>
      </c>
    </row>
    <row r="15" spans="2:5" ht="12.6" customHeight="1" x14ac:dyDescent="0.2">
      <c r="B15" s="18"/>
      <c r="C15" s="14" t="s">
        <v>73</v>
      </c>
      <c r="D15" s="263">
        <v>3.2500000000000001E-2</v>
      </c>
      <c r="E15" s="265"/>
    </row>
    <row r="16" spans="2:5" ht="12.6" customHeight="1" x14ac:dyDescent="0.2">
      <c r="B16" s="18"/>
      <c r="C16" s="14" t="s">
        <v>68</v>
      </c>
      <c r="D16" s="263">
        <v>1</v>
      </c>
      <c r="E16" s="265"/>
    </row>
    <row r="17" spans="2:5" ht="13.15" customHeight="1" thickBot="1" x14ac:dyDescent="0.25">
      <c r="B17" s="15"/>
      <c r="C17" s="16" t="s">
        <v>69</v>
      </c>
      <c r="D17" s="263">
        <v>1</v>
      </c>
      <c r="E17" s="266"/>
    </row>
    <row r="18" spans="2:5" ht="12.6" customHeight="1" x14ac:dyDescent="0.2">
      <c r="B18" s="17" t="s">
        <v>74</v>
      </c>
      <c r="C18" s="14" t="s">
        <v>75</v>
      </c>
      <c r="D18" s="263">
        <v>0.01</v>
      </c>
      <c r="E18" s="264">
        <v>16</v>
      </c>
    </row>
    <row r="19" spans="2:5" ht="12.6" customHeight="1" x14ac:dyDescent="0.2">
      <c r="B19" s="18"/>
      <c r="C19" s="14" t="s">
        <v>76</v>
      </c>
      <c r="D19" s="263">
        <v>3.5000000000000003E-2</v>
      </c>
      <c r="E19" s="265"/>
    </row>
    <row r="20" spans="2:5" ht="12.6" customHeight="1" x14ac:dyDescent="0.2">
      <c r="B20" s="18"/>
      <c r="C20" s="14" t="s">
        <v>68</v>
      </c>
      <c r="D20" s="263">
        <v>1</v>
      </c>
      <c r="E20" s="265"/>
    </row>
    <row r="21" spans="2:5" ht="13.15" customHeight="1" thickBot="1" x14ac:dyDescent="0.25">
      <c r="B21" s="15"/>
      <c r="C21" s="16" t="s">
        <v>69</v>
      </c>
      <c r="D21" s="263">
        <v>1</v>
      </c>
      <c r="E21" s="266"/>
    </row>
    <row r="22" spans="2:5" ht="12.6" customHeight="1" x14ac:dyDescent="0.2">
      <c r="B22" s="279" t="s">
        <v>77</v>
      </c>
      <c r="C22" s="280" t="s">
        <v>78</v>
      </c>
      <c r="D22" s="263">
        <v>1</v>
      </c>
      <c r="E22" s="267">
        <v>20</v>
      </c>
      <c r="F22" s="280"/>
    </row>
    <row r="23" spans="2:5" ht="12.6" customHeight="1" x14ac:dyDescent="0.2">
      <c r="B23" s="281"/>
      <c r="C23" s="282" t="s">
        <v>79</v>
      </c>
      <c r="D23" s="263">
        <v>1.4999999999999999E-2</v>
      </c>
      <c r="E23" s="268"/>
      <c r="F23" s="282"/>
    </row>
    <row r="24" spans="2:5" ht="12.6" customHeight="1" x14ac:dyDescent="0.2">
      <c r="B24" s="281"/>
      <c r="C24" s="282" t="s">
        <v>80</v>
      </c>
      <c r="D24" s="263">
        <v>5.0000000000000001E-3</v>
      </c>
      <c r="E24" s="268"/>
      <c r="F24" s="282"/>
    </row>
    <row r="25" spans="2:5" ht="13.15" customHeight="1" thickBot="1" x14ac:dyDescent="0.25">
      <c r="B25" s="283"/>
      <c r="C25" s="284" t="s">
        <v>69</v>
      </c>
      <c r="D25" s="263">
        <v>1</v>
      </c>
      <c r="E25" s="269"/>
      <c r="F25" s="284"/>
    </row>
    <row r="26" spans="2:5" ht="12.6" customHeight="1" x14ac:dyDescent="0.2">
      <c r="B26" s="17" t="s">
        <v>81</v>
      </c>
      <c r="C26" s="14" t="s">
        <v>68</v>
      </c>
      <c r="D26" s="263">
        <v>1</v>
      </c>
      <c r="E26" s="264">
        <v>24</v>
      </c>
    </row>
    <row r="27" spans="2:5" ht="13.15" customHeight="1" thickBot="1" x14ac:dyDescent="0.25">
      <c r="B27" s="15"/>
      <c r="C27" s="16" t="s">
        <v>69</v>
      </c>
      <c r="D27" s="263">
        <v>1</v>
      </c>
      <c r="E27" s="266"/>
    </row>
    <row r="28" spans="2:5" ht="12.6" customHeight="1" x14ac:dyDescent="0.2">
      <c r="B28" s="17" t="s">
        <v>82</v>
      </c>
      <c r="C28" s="14" t="s">
        <v>83</v>
      </c>
      <c r="D28" s="263">
        <v>1.2500000000000001E-2</v>
      </c>
      <c r="E28" s="264">
        <v>28</v>
      </c>
    </row>
    <row r="29" spans="2:5" ht="12.6" customHeight="1" x14ac:dyDescent="0.2">
      <c r="B29" s="18"/>
      <c r="C29" s="14" t="s">
        <v>84</v>
      </c>
      <c r="D29" s="263">
        <v>0.04</v>
      </c>
      <c r="E29" s="265"/>
    </row>
    <row r="30" spans="2:5" ht="12.6" customHeight="1" x14ac:dyDescent="0.2">
      <c r="B30" s="18"/>
      <c r="C30" s="14" t="s">
        <v>68</v>
      </c>
      <c r="D30" s="263">
        <v>1</v>
      </c>
      <c r="E30" s="265"/>
    </row>
    <row r="31" spans="2:5" ht="13.15" customHeight="1" thickBot="1" x14ac:dyDescent="0.25">
      <c r="B31" s="15"/>
      <c r="C31" s="16" t="s">
        <v>69</v>
      </c>
      <c r="D31" s="263">
        <v>1</v>
      </c>
      <c r="E31" s="266"/>
    </row>
    <row r="32" spans="2:5" ht="13.5" thickBot="1" x14ac:dyDescent="0.25">
      <c r="B32" s="277" t="s">
        <v>85</v>
      </c>
      <c r="C32" s="285"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70">
        <f>'General Information'!$D$33</f>
      </c>
      <c r="F32" s="285">
        <v>16</v>
      </c>
    </row>
    <row r="33" spans="2:5" ht="13.5" thickTop="1" x14ac:dyDescent="0.2"/>
    <row r="35" spans="2:5" ht="13.5" thickBot="1" x14ac:dyDescent="0.25">
      <c r="B35" s="260" t="s">
        <v>495</v>
      </c>
    </row>
    <row r="36" spans="2:5" thickTop="1" thickBot="1" x14ac:dyDescent="0.25" ht="20" customHeight="1">
      <c r="B36" s="217" t="s">
        <v>105</v>
      </c>
      <c r="C36" s="217" t="s">
        <v>95</v>
      </c>
      <c r="D36" s="258" t="s">
        <v>106</v>
      </c>
      <c r="E36" s="258" t="s">
        <v>259</v>
      </c>
      <c r="F36" s="258" t="inlineStr">
        <is>
          <t>Asset life (yrs)</t>
        </is>
      </c>
    </row>
    <row r="37" spans="2:5" ht="13.15" customHeight="1" thickTop="1" x14ac:dyDescent="0.2">
      <c r="B37" s="22" t="s">
        <v>67</v>
      </c>
      <c r="C37" s="23" t="s">
        <v>97</v>
      </c>
      <c r="D37" s="263">
        <v>1</v>
      </c>
      <c r="E37" s="264">
        <v>19</v>
      </c>
    </row>
    <row r="38" spans="2:5" ht="12.6" customHeight="1" x14ac:dyDescent="0.2">
      <c r="B38" s="24"/>
      <c r="C38" s="23" t="s">
        <v>98</v>
      </c>
      <c r="D38" s="263">
        <v>2.5000000000000001E-3</v>
      </c>
      <c r="E38" s="265"/>
    </row>
    <row r="39" spans="2:5" ht="12.6" customHeight="1" x14ac:dyDescent="0.2">
      <c r="B39" s="24"/>
      <c r="C39" s="23" t="s">
        <v>99</v>
      </c>
      <c r="D39" s="263">
        <v>1.2999999999999999E-3</v>
      </c>
      <c r="E39" s="265"/>
    </row>
    <row r="40" spans="2:5" ht="13.15" customHeight="1" thickBot="1" x14ac:dyDescent="0.25">
      <c r="B40" s="25"/>
      <c r="C40" s="26" t="s">
        <v>100</v>
      </c>
      <c r="D40" s="263">
        <v>3.0000000000000001E-3</v>
      </c>
      <c r="E40" s="266"/>
    </row>
    <row r="41" spans="2:5" ht="12.6" customHeight="1" x14ac:dyDescent="0.2">
      <c r="B41" s="279" t="s">
        <v>77</v>
      </c>
      <c r="C41" s="280" t="s">
        <v>101</v>
      </c>
      <c r="D41" s="263">
        <v>0.02</v>
      </c>
      <c r="E41" s="267">
        <v>27</v>
      </c>
      <c r="F41" s="280"/>
    </row>
    <row r="42" spans="2:5" ht="12.6" customHeight="1" x14ac:dyDescent="0.2">
      <c r="B42" s="281"/>
      <c r="C42" s="282" t="s">
        <v>100</v>
      </c>
      <c r="D42" s="263">
        <v>3.0000000000000001E-3</v>
      </c>
      <c r="E42" s="268"/>
      <c r="F42" s="282"/>
    </row>
    <row r="43" spans="2:5" ht="12.6" customHeight="1" x14ac:dyDescent="0.2">
      <c r="B43" s="281"/>
      <c r="C43" s="282" t="s">
        <v>99</v>
      </c>
      <c r="D43" s="263">
        <v>1.2999999999999999E-3</v>
      </c>
      <c r="E43" s="268"/>
      <c r="F43" s="282"/>
    </row>
    <row r="44" spans="2:5" ht="12.6" customHeight="1" x14ac:dyDescent="0.2">
      <c r="B44" s="281"/>
      <c r="C44" s="282" t="s">
        <v>102</v>
      </c>
      <c r="D44" s="263">
        <v>3.0000000000000001E-3</v>
      </c>
      <c r="E44" s="268"/>
      <c r="F44" s="282"/>
    </row>
    <row r="45" spans="2:5" ht="13.15" customHeight="1" thickBot="1" x14ac:dyDescent="0.25">
      <c r="B45" s="283"/>
      <c r="C45" s="284" t="s">
        <v>103</v>
      </c>
      <c r="D45" s="263">
        <v>1</v>
      </c>
      <c r="E45" s="269"/>
      <c r="F45" s="284"/>
    </row>
    <row r="46" spans="2:5" ht="13.5" thickBot="1" x14ac:dyDescent="0.25">
      <c r="B46" s="277" t="s">
        <v>85</v>
      </c>
      <c r="C46" s="285" t="str">
        <f>"Salvage value: "&amp;TEXT(D46*F46,"0.#")&amp;" of 40 years left on the initial construction"&amp;" ("&amp;TEXT(D46,"0.0%")&amp;" of its cost) at the "&amp;'General Information'!$D$33&amp;"-year analysis period"</f>
      </c>
      <c r="D46" s="40">
        <f>MAX(0,MIN(1,(0+F46-'General Information'!$D$33)/F46))</f>
      </c>
      <c r="E46" s="270">
        <f>'General Information'!$D$33</f>
      </c>
      <c r="F46" s="285">
        <v>40</v>
      </c>
    </row>
    <row r="47" spans="2:5" ht="13.5" thickTop="1" x14ac:dyDescent="0.2"/>
    <row r="49" spans="2:5" ht="13.5" thickBot="1" x14ac:dyDescent="0.25">
      <c r="B49" s="260" t="s">
        <v>496</v>
      </c>
    </row>
    <row r="50" spans="2:5" thickTop="1" thickBot="1" x14ac:dyDescent="0.25" ht="20" customHeight="1">
      <c r="B50" s="217" t="s">
        <v>96</v>
      </c>
      <c r="C50" s="217" t="s">
        <v>95</v>
      </c>
      <c r="D50" s="258" t="s">
        <v>106</v>
      </c>
      <c r="E50" s="258" t="s">
        <v>259</v>
      </c>
      <c r="F50" s="258" t="inlineStr">
        <is>
          <t>Asset life (yrs)</t>
        </is>
      </c>
    </row>
    <row r="51" spans="2:5" ht="13.5" thickTop="1" x14ac:dyDescent="0.2">
      <c r="B51" s="17" t="s">
        <v>67</v>
      </c>
      <c r="C51" s="14" t="s">
        <v>68</v>
      </c>
      <c r="D51" s="263">
        <v>1</v>
      </c>
      <c r="E51" s="264">
        <v>4</v>
      </c>
    </row>
    <row r="52" spans="2:5" ht="13.5" thickBot="1" x14ac:dyDescent="0.25">
      <c r="B52" s="15"/>
      <c r="C52" s="16" t="s">
        <v>69</v>
      </c>
      <c r="D52" s="263">
        <v>1</v>
      </c>
      <c r="E52" s="266"/>
    </row>
    <row r="53" spans="2:5" x14ac:dyDescent="0.2">
      <c r="B53" s="17" t="s">
        <v>70</v>
      </c>
      <c r="C53" s="14" t="s">
        <v>83</v>
      </c>
      <c r="D53" s="263">
        <v>1.2500000000000001E-2</v>
      </c>
      <c r="E53" s="264">
        <v>8</v>
      </c>
    </row>
    <row r="54" spans="2:5" x14ac:dyDescent="0.2">
      <c r="B54" s="18"/>
      <c r="C54" s="14" t="s">
        <v>84</v>
      </c>
      <c r="D54" s="263">
        <v>0.04</v>
      </c>
      <c r="E54" s="265"/>
    </row>
    <row r="55" spans="2:5" x14ac:dyDescent="0.2">
      <c r="B55" s="18"/>
      <c r="C55" s="14" t="s">
        <v>68</v>
      </c>
      <c r="D55" s="263">
        <v>1</v>
      </c>
      <c r="E55" s="265"/>
    </row>
    <row r="56" spans="2:5" ht="13.5" thickBot="1" x14ac:dyDescent="0.25">
      <c r="B56" s="15"/>
      <c r="C56" s="16" t="s">
        <v>69</v>
      </c>
      <c r="D56" s="263">
        <v>1</v>
      </c>
      <c r="E56" s="266"/>
    </row>
    <row r="57" spans="2:5" x14ac:dyDescent="0.2">
      <c r="B57" s="17" t="s">
        <v>71</v>
      </c>
      <c r="C57" s="14" t="s">
        <v>107</v>
      </c>
      <c r="D57" s="263">
        <v>1</v>
      </c>
      <c r="E57" s="264">
        <v>12</v>
      </c>
    </row>
    <row r="58" spans="2:5" ht="13.5" thickBot="1" x14ac:dyDescent="0.25">
      <c r="B58" s="15"/>
      <c r="C58" s="16" t="s">
        <v>108</v>
      </c>
      <c r="D58" s="263">
        <v>1</v>
      </c>
      <c r="E58" s="266"/>
    </row>
    <row r="59" spans="2:5" ht="25.5" x14ac:dyDescent="0.2">
      <c r="B59" s="279" t="s">
        <v>491</v>
      </c>
      <c r="C59" s="280" t="s">
        <v>78</v>
      </c>
      <c r="D59" s="263">
        <v>1</v>
      </c>
      <c r="E59" s="267">
        <v>16</v>
      </c>
      <c r="F59" s="280"/>
    </row>
    <row r="60" spans="2:5" x14ac:dyDescent="0.2">
      <c r="B60" s="281"/>
      <c r="C60" s="282" t="s">
        <v>492</v>
      </c>
      <c r="D60" s="263">
        <v>1.4999999999999999E-2</v>
      </c>
      <c r="E60" s="268"/>
      <c r="F60" s="282"/>
    </row>
    <row r="61" spans="2:5" x14ac:dyDescent="0.2">
      <c r="B61" s="281"/>
      <c r="C61" s="282" t="s">
        <v>493</v>
      </c>
      <c r="D61" s="263">
        <v>5.0000000000000001E-3</v>
      </c>
      <c r="E61" s="268"/>
      <c r="F61" s="282"/>
    </row>
    <row r="62" spans="2:5" ht="13.5" thickBot="1" x14ac:dyDescent="0.25">
      <c r="B62" s="283"/>
      <c r="C62" s="284" t="s">
        <v>69</v>
      </c>
      <c r="D62" s="263">
        <v>1</v>
      </c>
      <c r="E62" s="269"/>
      <c r="F62" s="284"/>
    </row>
    <row r="63" spans="2:5" x14ac:dyDescent="0.2">
      <c r="B63" s="17" t="s">
        <v>74</v>
      </c>
      <c r="C63" s="14" t="s">
        <v>68</v>
      </c>
      <c r="D63" s="263">
        <v>1</v>
      </c>
      <c r="E63" s="264">
        <v>20</v>
      </c>
    </row>
    <row r="64" spans="2:5" ht="13.5" thickBot="1" x14ac:dyDescent="0.25">
      <c r="B64" s="15"/>
      <c r="C64" s="16" t="s">
        <v>69</v>
      </c>
      <c r="D64" s="263">
        <v>1</v>
      </c>
      <c r="E64" s="266"/>
    </row>
    <row r="65" spans="2:5" x14ac:dyDescent="0.2">
      <c r="B65" s="17" t="s">
        <v>81</v>
      </c>
      <c r="C65" s="14" t="s">
        <v>83</v>
      </c>
      <c r="D65" s="263">
        <v>1.2500000000000001E-2</v>
      </c>
      <c r="E65" s="264">
        <v>24</v>
      </c>
    </row>
    <row r="66" spans="2:5" x14ac:dyDescent="0.2">
      <c r="B66" s="18"/>
      <c r="C66" s="14" t="s">
        <v>84</v>
      </c>
      <c r="D66" s="263">
        <v>0.04</v>
      </c>
      <c r="E66" s="265"/>
    </row>
    <row r="67" spans="2:5" x14ac:dyDescent="0.2">
      <c r="B67" s="18"/>
      <c r="C67" s="14" t="s">
        <v>68</v>
      </c>
      <c r="D67" s="263">
        <v>1</v>
      </c>
      <c r="E67" s="265"/>
    </row>
    <row r="68" spans="2:5" ht="13.5" thickBot="1" x14ac:dyDescent="0.25">
      <c r="B68" s="15"/>
      <c r="C68" s="16" t="s">
        <v>69</v>
      </c>
      <c r="D68" s="263">
        <v>1</v>
      </c>
      <c r="E68" s="266"/>
    </row>
    <row r="69" spans="2:5" x14ac:dyDescent="0.2">
      <c r="B69" s="17" t="s">
        <v>82</v>
      </c>
      <c r="C69" s="14" t="s">
        <v>68</v>
      </c>
      <c r="D69" s="263">
        <v>1</v>
      </c>
      <c r="E69" s="264">
        <v>28</v>
      </c>
    </row>
    <row r="70" spans="2:5" ht="13.5" thickBot="1" x14ac:dyDescent="0.25">
      <c r="B70" s="15"/>
      <c r="C70" s="16" t="s">
        <v>69</v>
      </c>
      <c r="D70" s="263">
        <v>1</v>
      </c>
      <c r="E70" s="266"/>
    </row>
    <row r="71" spans="2:5" ht="13.5" thickBot="1" x14ac:dyDescent="0.25">
      <c r="B71" s="278" t="s">
        <v>85</v>
      </c>
      <c r="C71" s="286" t="s">
        <v>498</v>
      </c>
      <c r="D71" s="40">
        <v>0</v>
      </c>
      <c r="E71" s="273">
        <f>'General Information'!$D$33</f>
      </c>
      <c r="F71" s="286"/>
    </row>
    <row r="72" spans="2:5" ht="13.5" thickTop="1" x14ac:dyDescent="0.2"/>
    <row r="74" spans="2:5" ht="13.5" thickBot="1" x14ac:dyDescent="0.25">
      <c r="B74" s="260" t="s">
        <v>497</v>
      </c>
    </row>
    <row r="75" spans="2:5" thickTop="1" thickBot="1" x14ac:dyDescent="0.25" ht="20" customHeight="1">
      <c r="B75" s="217" t="s">
        <v>105</v>
      </c>
      <c r="C75" s="217" t="s">
        <v>95</v>
      </c>
      <c r="D75" s="258" t="s">
        <v>106</v>
      </c>
      <c r="E75" s="258" t="s">
        <v>259</v>
      </c>
      <c r="F75" s="258" t="inlineStr">
        <is>
          <t>Asset life (yrs)</t>
        </is>
      </c>
    </row>
    <row r="76" spans="2:5" ht="13.5" thickTop="1" x14ac:dyDescent="0.2">
      <c r="B76" s="22" t="s">
        <v>67</v>
      </c>
      <c r="C76" s="23" t="s">
        <v>97</v>
      </c>
      <c r="D76" s="263">
        <v>1</v>
      </c>
      <c r="E76" s="264">
        <v>15</v>
      </c>
    </row>
    <row r="77" spans="2:5" x14ac:dyDescent="0.2">
      <c r="B77" s="24"/>
      <c r="C77" s="23" t="s">
        <v>501</v>
      </c>
      <c r="D77" s="263">
        <v>3.5000000000000001E-3</v>
      </c>
      <c r="E77" s="265"/>
    </row>
    <row r="78" spans="2:5" x14ac:dyDescent="0.2">
      <c r="B78" s="24"/>
      <c r="C78" s="23" t="s">
        <v>502</v>
      </c>
      <c r="D78" s="263">
        <v>2E-3</v>
      </c>
      <c r="E78" s="265"/>
    </row>
    <row r="79" spans="2:5" ht="13.5" thickBot="1" x14ac:dyDescent="0.25">
      <c r="B79" s="25"/>
      <c r="C79" s="26" t="s">
        <v>100</v>
      </c>
      <c r="D79" s="263">
        <v>3.0000000000000001E-3</v>
      </c>
      <c r="E79" s="266"/>
    </row>
    <row r="80" spans="2:5" x14ac:dyDescent="0.2">
      <c r="B80" s="279" t="s">
        <v>77</v>
      </c>
      <c r="C80" s="280" t="s">
        <v>500</v>
      </c>
      <c r="D80" s="263">
        <v>0.05</v>
      </c>
      <c r="E80" s="267">
        <v>25</v>
      </c>
      <c r="F80" s="280"/>
    </row>
    <row r="81" spans="2:5" x14ac:dyDescent="0.2">
      <c r="B81" s="281"/>
      <c r="C81" s="282" t="s">
        <v>100</v>
      </c>
      <c r="D81" s="263">
        <v>3.0000000000000001E-3</v>
      </c>
      <c r="E81" s="268"/>
      <c r="F81" s="282"/>
    </row>
    <row r="82" spans="2:5" x14ac:dyDescent="0.2">
      <c r="B82" s="281"/>
      <c r="C82" s="282" t="s">
        <v>503</v>
      </c>
      <c r="D82" s="263">
        <v>1.5E-3</v>
      </c>
      <c r="E82" s="268"/>
      <c r="F82" s="282"/>
    </row>
    <row r="83" spans="2:5" x14ac:dyDescent="0.2">
      <c r="B83" s="281"/>
      <c r="C83" s="282" t="s">
        <v>102</v>
      </c>
      <c r="D83" s="263">
        <v>3.0000000000000001E-3</v>
      </c>
      <c r="E83" s="268"/>
      <c r="F83" s="282"/>
    </row>
    <row r="84" spans="2:5" ht="13.5" thickBot="1" x14ac:dyDescent="0.25">
      <c r="B84" s="283"/>
      <c r="C84" s="284" t="s">
        <v>103</v>
      </c>
      <c r="D84" s="263">
        <v>1</v>
      </c>
      <c r="E84" s="269"/>
      <c r="F84" s="284"/>
    </row>
    <row r="85" spans="2:5" ht="13.5" thickBot="1" x14ac:dyDescent="0.25">
      <c r="B85" s="278" t="s">
        <v>85</v>
      </c>
      <c r="C85" s="286" t="s">
        <v>498</v>
      </c>
      <c r="D85" s="43">
        <v>0</v>
      </c>
      <c r="E85" s="273">
        <f>'General Information'!$D$33</f>
      </c>
      <c r="F85" s="286"/>
    </row>
    <row r="86" spans="2:5" ht="13.5" thickTop="1" x14ac:dyDescent="0.2"/>
  </sheetData>
  <mergeCells count="4">
    <mergeCell ref="B3:F3"/>
    <mergeCell ref="B4:F4"/>
    <mergeCell ref="B5:F5"/>
    <mergeCell ref="E6:F6"/>
  </mergeCells>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howGridLines="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s="287" t="s">
        <v>263</v>
      </c>
      <c r="B4" s="288"/>
      <c r="C4" s="289" t="s">
        <v>486</v>
      </c>
      <c r="D4" s="288"/>
      <c r="E4" s="97" t="s">
        <v>600</v>
      </c>
      <c r="F4" s="112">
        <f>ROUNDUP((C5/15000),0)+ROUNDUP((C8/20000),0)+ROUNDUP((C8/50000),0)</f>
        <v>0</v>
      </c>
    </row>
    <row r="5" spans="1:64" x14ac:dyDescent="0.25">
      <c r="A5" s="287" t="s">
        <v>346</v>
      </c>
      <c r="B5" s="288"/>
      <c r="C5" s="289">
        <f>'General Information'!D26</f>
        <v>0</v>
      </c>
      <c r="D5" s="288" t="s">
        <v>6</v>
      </c>
      <c r="E5" s="97" t="s">
        <v>601</v>
      </c>
      <c r="F5" s="112">
        <f>ROUNDUP((C5/15000),0)+ROUNDUP((C8/20000),0)+ROUNDUP((C8/50000),0)</f>
        <v>0</v>
      </c>
    </row>
    <row r="6" spans="1:64" x14ac:dyDescent="0.25">
      <c r="A6" s="287" t="s">
        <v>262</v>
      </c>
      <c r="B6" s="288"/>
      <c r="C6" s="289">
        <f>'General Information'!D25</f>
        <v>0</v>
      </c>
      <c r="D6" s="288"/>
      <c r="E6" s="97" t="s">
        <v>602</v>
      </c>
      <c r="F6" s="112">
        <f>ROUNDUP((C5/15000),0)+ROUNDUP((C8/20000),0)+ROUNDUP((C8/50000),0)+ROUNDUP((C5*'Maintenance Policies'!D15/10000),0)+ROUNDUP((C5*'Maintenance Policies'!D14/5000),0)</f>
        <v>0</v>
      </c>
      <c r="AP6" s="61" t="s">
        <v>355</v>
      </c>
      <c r="AQ6" s="61">
        <v>2</v>
      </c>
      <c r="AR6" s="61" t="s">
        <v>356</v>
      </c>
    </row>
    <row r="7" spans="1:64" x14ac:dyDescent="0.25">
      <c r="A7" s="287" t="s">
        <v>324</v>
      </c>
      <c r="B7" s="288"/>
      <c r="C7" s="289" t="s">
        <v>276</v>
      </c>
      <c r="D7" s="288"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s="287" t="s">
        <v>345</v>
      </c>
      <c r="B8" s="288"/>
      <c r="C8" s="289">
        <f>'General Information'!D28</f>
        <v>0</v>
      </c>
      <c r="D8" s="28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4" x14ac:dyDescent="0.25" ht="20" customHeight="1">
      <c r="A33" s="215" t="s">
        <v>508</v>
      </c>
      <c r="I33" t="s">
        <v>248</v>
      </c>
    </row>
    <row r="34" spans="1:14" ht="15.75" thickBot="1" x14ac:dyDescent="0.3"/>
    <row r="35" spans="1:14" thickTop="1" thickBot="1" x14ac:dyDescent="0.3" ht="20" customHeight="1">
      <c r="B35" s="217" t="s">
        <v>326</v>
      </c>
      <c r="C35" s="258" t="s">
        <v>259</v>
      </c>
      <c r="D35" s="258" t="s">
        <v>327</v>
      </c>
      <c r="E35" s="258"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299"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299"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299"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299"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293" t="s">
        <v>77</v>
      </c>
      <c r="C45" s="294">
        <f>'Maintenance Policies'!E22</f>
        <v>20</v>
      </c>
      <c r="D45" s="295">
        <f>AV22</f>
        <v>0</v>
      </c>
      <c r="E45" s="295">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299"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299"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299"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296" t="s">
        <v>85</v>
      </c>
      <c r="C51" s="297">
        <f>'General Information'!D33</f>
        <v>10</v>
      </c>
      <c r="D51" s="298">
        <f>-'Maintenance Policies'!D32*AV22</f>
        <v>0</v>
      </c>
      <c r="E51" s="298">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thickBot="1" x14ac:dyDescent="0.3" ht="26" customHeight="1">
      <c r="B52" s="300" t="s">
        <v>328</v>
      </c>
      <c r="C52" s="301"/>
      <c r="D52" s="301"/>
      <c r="E52" s="302"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howGridLines="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74</v>
      </c>
      <c r="AP2" s="62" t="s">
        <v>77</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486</v>
      </c>
      <c r="D4" s="288"/>
    </row>
    <row r="5" spans="1:64" x14ac:dyDescent="0.25">
      <c r="A5" s="287" t="s">
        <v>346</v>
      </c>
      <c r="B5" s="288"/>
      <c r="C5" s="289">
        <f>'General Information'!D26</f>
        <v>0</v>
      </c>
      <c r="D5" s="288" t="s">
        <v>6</v>
      </c>
    </row>
    <row r="6" spans="1:64" x14ac:dyDescent="0.25">
      <c r="A6" s="287" t="s">
        <v>262</v>
      </c>
      <c r="B6" s="288"/>
      <c r="C6" s="289">
        <f>'General Information'!D25</f>
        <v>0</v>
      </c>
      <c r="D6" s="288"/>
      <c r="AP6" s="61" t="s">
        <v>355</v>
      </c>
      <c r="AQ6" s="61">
        <v>2</v>
      </c>
      <c r="AR6" s="61" t="s">
        <v>356</v>
      </c>
    </row>
    <row r="7" spans="1:64" x14ac:dyDescent="0.25">
      <c r="A7" s="287" t="s">
        <v>324</v>
      </c>
      <c r="B7" s="288"/>
      <c r="C7" s="289" t="s">
        <v>276</v>
      </c>
      <c r="D7" s="288" t="s">
        <v>476</v>
      </c>
      <c r="AP7" s="61" t="s">
        <v>357</v>
      </c>
      <c r="AQ7" s="61">
        <v>120</v>
      </c>
      <c r="AR7" s="61" t="s">
        <v>358</v>
      </c>
    </row>
    <row r="8" spans="1:64" x14ac:dyDescent="0.25">
      <c r="A8" s="287" t="s">
        <v>345</v>
      </c>
      <c r="B8" s="288"/>
      <c r="C8" s="289">
        <f>'General Information'!D28</f>
        <v>0</v>
      </c>
      <c r="D8" s="28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3" x14ac:dyDescent="0.25" ht="20" customHeight="1">
      <c r="A33" s="215" t="s">
        <v>508</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293" t="s">
        <v>77</v>
      </c>
      <c r="C41" s="294">
        <f>'Maintenance Policies'!E22</f>
        <v>20</v>
      </c>
      <c r="D41" s="295">
        <f>AV22</f>
        <v>0</v>
      </c>
      <c r="E41" s="295">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Policies'!D32*AV22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howGridLines="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J2" s="62" t="s">
        <v>67</v>
      </c>
      <c r="R2" s="4" t="s">
        <v>77</v>
      </c>
    </row>
    <row r="3"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s="287" t="s">
        <v>263</v>
      </c>
      <c r="B4" s="288"/>
      <c r="C4" s="289" t="s">
        <v>487</v>
      </c>
      <c r="D4" s="288"/>
    </row>
    <row r="5" spans="1:24" x14ac:dyDescent="0.25">
      <c r="A5" s="287" t="s">
        <v>346</v>
      </c>
      <c r="B5" s="288"/>
      <c r="C5" s="289">
        <f>'General Information'!D26</f>
        <v>0</v>
      </c>
      <c r="D5" s="288" t="s">
        <v>6</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62"/>
      <c r="M27" s="62"/>
      <c r="N27" s="62"/>
      <c r="O27" s="62"/>
      <c r="P27" s="62"/>
    </row>
    <row r="33" spans="1:13" x14ac:dyDescent="0.25">
      <c r="A33" s="4" t="s">
        <v>328</v>
      </c>
    </row>
    <row r="34" spans="1:13" x14ac:dyDescent="0.25" ht="20" customHeight="1">
      <c r="A34" s="215" t="s">
        <v>506</v>
      </c>
      <c r="I34" t="s">
        <v>248</v>
      </c>
    </row>
    <row r="35" spans="1:13" ht="15.75" thickBot="1" x14ac:dyDescent="0.3"/>
    <row r="36" spans="1:13" thickTop="1" thickBot="1" x14ac:dyDescent="0.3" ht="20" customHeight="1">
      <c r="B36" s="217" t="s">
        <v>326</v>
      </c>
      <c r="C36" s="258" t="s">
        <v>259</v>
      </c>
      <c r="D36" s="258" t="s">
        <v>327</v>
      </c>
      <c r="E36" s="258"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293" t="s">
        <v>77</v>
      </c>
      <c r="C39" s="294">
        <f>'Maintenance Policies'!E41</f>
        <v>27</v>
      </c>
      <c r="D39" s="295">
        <f>X21</f>
        <v>0</v>
      </c>
      <c r="E39" s="295">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296" t="s">
        <v>85</v>
      </c>
      <c r="C40" s="297">
        <f>'General Information'!D33</f>
        <v>10</v>
      </c>
      <c r="D40" s="298">
        <f>-'Maintenance Policies'!D46*G27</f>
        <v>0</v>
      </c>
      <c r="E40" s="298">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thickBot="1" x14ac:dyDescent="0.3" ht="26" customHeight="1">
      <c r="B41" s="300" t="s">
        <v>328</v>
      </c>
      <c r="C41" s="301"/>
      <c r="D41" s="301"/>
      <c r="E41" s="302">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owGridLines="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77</v>
      </c>
      <c r="AP2" s="62" t="s">
        <v>74</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499</v>
      </c>
      <c r="D4" s="288"/>
    </row>
    <row r="5" spans="1:64" x14ac:dyDescent="0.25">
      <c r="A5" s="287" t="s">
        <v>346</v>
      </c>
      <c r="B5" s="288"/>
      <c r="C5" s="289">
        <f>'General Information'!D26</f>
        <v>0</v>
      </c>
      <c r="D5" s="288" t="s">
        <v>6</v>
      </c>
    </row>
    <row r="6" spans="1:64" x14ac:dyDescent="0.25">
      <c r="A6" s="287" t="s">
        <v>262</v>
      </c>
      <c r="B6" s="288"/>
      <c r="C6" s="289">
        <f>'General Information'!D25</f>
        <v>0</v>
      </c>
      <c r="D6" s="288"/>
      <c r="AH6" t="s">
        <v>355</v>
      </c>
      <c r="AI6">
        <v>2</v>
      </c>
      <c r="AJ6" t="s">
        <v>356</v>
      </c>
    </row>
    <row r="7" spans="1:64" x14ac:dyDescent="0.25">
      <c r="A7" s="287" t="s">
        <v>324</v>
      </c>
      <c r="B7" s="288"/>
      <c r="C7" s="289" t="s">
        <v>276</v>
      </c>
      <c r="D7" s="288" t="s">
        <v>476</v>
      </c>
      <c r="AH7" t="s">
        <v>357</v>
      </c>
      <c r="AI7">
        <v>120</v>
      </c>
      <c r="AJ7" t="s">
        <v>358</v>
      </c>
    </row>
    <row r="8" spans="1:64" x14ac:dyDescent="0.25">
      <c r="A8" s="287" t="s">
        <v>345</v>
      </c>
      <c r="B8" s="288"/>
      <c r="C8" s="289">
        <f>'General Information'!D28</f>
        <v>0</v>
      </c>
      <c r="D8" s="28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s="4" customFormat="1" x14ac:dyDescent="0.25" ht="22" customHeight="1">
      <c r="A27" s="291" t="s">
        <v>349</v>
      </c>
      <c r="B27" s="291"/>
      <c r="C27" s="291"/>
      <c r="D27" s="291"/>
      <c r="E27" s="291"/>
      <c r="F27" s="291"/>
      <c r="G27" s="292">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ht="20" customHeight="1">
      <c r="A33" s="215" t="s">
        <v>507</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293" t="s">
        <v>77</v>
      </c>
      <c r="C40" s="294">
        <f>'Maintenance Policies'!E59</f>
        <v>16</v>
      </c>
      <c r="D40" s="295">
        <f>AN22</f>
        <v>0</v>
      </c>
      <c r="E40" s="295">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Policies'!D71*AN22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owGridLines="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showGridLines="0">
      <pane ySplit="6" topLeftCell="A7"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7.79" customWidth="1" min="7" max="7"/>
    <col width="17.36" customWidth="1" min="8" max="8"/>
    <col width="14.22" customWidth="1" min="9" max="9"/>
    <col width="20.93" customWidth="1" min="10" max="10"/>
    <col width="17.51" customWidth="1" min="11" max="11"/>
    <col width="17.65" customWidth="1" min="12" max="12"/>
    <col width="17.51" customWidth="1" min="13" max="13"/>
    <col width="17.65" customWidth="1" min="14" max="14"/>
    <col width="18.51" customWidth="1" min="15" max="15"/>
    <col width="16.65" customWidth="1" min="16" max="16"/>
    <col width="17.08" customWidth="1" min="17" max="17"/>
    <col width="18.08"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I1" s="215" t="inlineStr">
        <is>
          <t xml:space="preserve">LCCA SUMMARY</t>
        </is>
      </c>
      <c r="K1" s="214" t="inlineStr">
        <is>
          <t xml:space="preserve">STEP 5 of 5</t>
        </is>
      </c>
      <c r="W1" s="122" t="inlineStr">
        <is>
          <t>CHART DATA (calculated automatically from the table on the left; do not edit)</t>
        </is>
      </c>
    </row>
    <row r="2" ht="15"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row>
    <row r="3" ht="11" customHeight="1">
      <c r="A3" s="124" t="inlineStr">
        <is>
          <t>Alternative</t>
        </is>
      </c>
      <c r="B3" s="124" t="inlineStr">
        <is>
          <t>Name</t>
        </is>
      </c>
      <c r="C3" s="124" t="inlineStr">
        <is>
          <t>Initial Construction</t>
        </is>
      </c>
      <c r="D3" s="124" t="inlineStr">
        <is>
          <t>Present Worth</t>
        </is>
      </c>
      <c r="E3" s="124" t="inlineStr">
        <is>
          <t>Alternative Description</t>
        </is>
      </c>
      <c r="G3" s="308" t="inlineStr">
        <is>
          <t>LOWEST PRESENT WORTH</t>
        </is>
      </c>
      <c r="I3" s="308" t="inlineStr">
        <is>
          <t>MARGIN TO NEXT</t>
        </is>
      </c>
      <c r="K3" s="308" t="inlineStr">
        <is>
          <t>EQUIVALENT ANNUAL COST</t>
        </is>
      </c>
      <c r="M3" s="308" t="inlineStr">
        <is>
          <t>INITIAL CONSTRUCTION</t>
        </is>
      </c>
      <c r="O3" s="308" t="inlineStr">
        <is>
          <t>UNIT COST</t>
        </is>
      </c>
      <c r="Q3" s="308" t="inlineStr">
        <is>
          <t>RATE SENSITIVITY</t>
        </is>
      </c>
      <c r="W3" s="122" t="inlineStr">
        <is>
          <t>Present worth by category</t>
        </is>
      </c>
    </row>
    <row r="4" ht="19" customHeight="1">
      <c r="G4" s="309">
        <f>IF(COUNT($O$39:$O$42)=0,"-",TEXT(MIN($O$39:$O$42),"$#,##0"))</f>
        <v/>
      </c>
      <c r="I4" s="309">
        <f>IF(COUNT($O$39:$O$42)&lt;2,"-",TEXT(IF(COUNT($O$39:$O$42)&lt;2,0,SMALL($O$39:$O$42,2)-MIN($O$39:$O$42)),"$#,##0"))</f>
        <v/>
      </c>
      <c r="K4" s="309">
        <f>IF(COUNT($O$39:$O$42)=0,"-",TEXT(MIN($O$39:$O$42)*(('General Information'!$D$34/100)*(1+'General Information'!$D$34/100)^'General Information'!$D$33/((1+'General Information'!$D$34/100)^'General Information'!$D$33-1)),"$#,##0"))</f>
        <v/>
      </c>
      <c r="M4" s="309">
        <f>IF(COUNT($O$39:$O$42)=0,"-",TEXT(INDEX($J$39:$J$42,MATCH(MIN($O$39:$O$42),$O$39:$O$42,0)),"$#,##0"))</f>
        <v/>
      </c>
      <c r="O4" s="309">
        <f>IF(OR(COUNT($O$39:$O$42)=0,'General Information'!$D$26=0,'General Information'!$D$26=""),"-",TEXT(INDEX($J$39:$J$42,MATCH(MIN($O$39:$O$42),$O$39:$O$42,0))/'General Information'!$D$26,"$#,##0")&amp;" / S.Y.")</f>
        <v/>
      </c>
      <c r="Q4" s="309">
        <f>IF(COUNT($O$39:$O$42)&lt;2,"-",IF(COUNTIF($AB$12:$AB$36,INDEX($H$39:$H$42,MATCH(MIN($O$39:$O$42),$O$39:$O$42,0)))=25,"holds 2-8%","the winner changes"))</f>
        <v/>
      </c>
      <c r="W4" s="124" t="inlineStr">
        <is>
          <t>Category</t>
        </is>
      </c>
      <c r="X4" s="124">
        <f>IF($H$39="","",$H$39)</f>
        <v/>
      </c>
      <c r="Y4" s="124">
        <f>IF($H$40="","",$H$40)</f>
        <v/>
      </c>
      <c r="Z4" s="124">
        <f>IF($H$41="","",$H$41)</f>
        <v/>
      </c>
      <c r="AA4" s="124">
        <f>IF($H$42="","",$H$42)</f>
        <v/>
      </c>
    </row>
    <row r="5" ht="15" customHeight="1">
      <c r="G5" s="310">
        <f>IF(COUNT($O$39:$O$42)=0,"No alternatives yet",INDEX($H$39:$H$42,MATCH(MIN($O$39:$O$42),$O$39:$O$42,0))&amp;IF(INDEX($P$58:$P$61,MATCH(MIN($O$39:$O$42),$O$39:$O$42,0))="",""," - "&amp;INDEX($P$58:$P$61,MATCH(MIN($O$39:$O$42),$O$39:$O$42,0))))</f>
        <v/>
      </c>
      <c r="I5" s="310">
        <f>IF(COUNT($O$39:$O$42)&lt;2,"only one alternative so far",TEXT(IF(COUNT($O$39:$O$42)&lt;2,0,SMALL($O$39:$O$42,2)-MIN($O$39:$O$42))/MIN($O$39:$O$42),"0.0%")&amp;IF(IF(COUNT($O$39:$O$42)&lt;2,0,SMALL($O$39:$O$42,2)-MIN($O$39:$O$42))/MIN($O$39:$O$42)&lt;0.05," - under 5%, treat the two as tied"," of the lowest present worth"))</f>
        <v/>
      </c>
      <c r="K5" s="310">
        <f>"per year, "&amp;'General Information'!$D$33&amp;" years at "&amp;'General Information'!$D$34&amp;"%"</f>
        <v/>
      </c>
      <c r="M5" s="310" t="inlineStr">
        <is>
          <t>for the lowest-present-worth alternative</t>
        </is>
      </c>
      <c r="O5" s="310" t="inlineStr">
        <is>
          <t>per S.Y. of mainline area</t>
        </is>
      </c>
      <c r="Q5" s="310">
        <f>IF(COUNT($O$39:$O$42)&lt;2,"needs two alternatives",IF(COUNTIF($AB$12:$AB$36,INDEX($H$39:$H$42,MATCH(MIN($O$39:$O$42),$O$39:$O$42,0)))=25,"the same alternative is lowest at all 25 rates tested, 2% to 8%","the lowest-cost alternative is not the same at every rate: see chart 2"))</f>
        <v/>
      </c>
      <c r="W5" s="134" t="inlineStr">
        <is>
          <t>Initial construction</t>
        </is>
      </c>
      <c r="X5" s="135">
        <f>IF(J39="",0,J39)</f>
        <v/>
      </c>
      <c r="Y5" s="135">
        <f>IF(J40="",0,J40)</f>
        <v/>
      </c>
      <c r="Z5" s="135">
        <f>IF(J41="",0,J41)</f>
        <v/>
      </c>
      <c r="AA5" s="135">
        <f>IF(J42="",0,J42)</f>
        <v/>
      </c>
    </row>
    <row r="6" ht="30" customHeight="1">
      <c r="G6" s="208">
        <f>IF(COUNT($O$39:$O$42)=0,"No alternatives yet. Add them from General Information and this line names the winner.","Lowest present worth:  "&amp;INDEX($H$39:$H$42,MATCH(MIN($O$39:$O$42),$O$39:$O$42,0))&amp;"     "&amp;TEXT(MIN($O$39:$O$42),"$#,##0")&amp;"     "&amp;IF(COUNT($O$39:$O$42)&lt;2,"only one alternative so far",TEXT(SMALL($O$39:$O$42,2)-MIN($O$39:$O$42),"$#,##0")&amp;" ahead of the next"))</f>
        <v/>
      </c>
      <c r="H6" s="208"/>
      <c r="I6" s="208"/>
      <c r="J6" s="208"/>
      <c r="K6" s="208"/>
      <c r="L6" s="208"/>
      <c r="M6" s="208"/>
      <c r="N6" s="208"/>
      <c r="O6" s="208"/>
      <c r="P6" s="208"/>
      <c r="Q6" s="208"/>
      <c r="R6" s="208"/>
      <c r="W6" s="134" t="inlineStr">
        <is>
          <t>Maintenance</t>
        </is>
      </c>
      <c r="X6" s="135">
        <f>IF(K39="",0,K39)</f>
        <v/>
      </c>
      <c r="Y6" s="135">
        <f>IF(K40="",0,K40)</f>
        <v/>
      </c>
      <c r="Z6" s="135">
        <f>IF(K41="",0,K41)</f>
        <v/>
      </c>
      <c r="AA6" s="135">
        <f>IF(K42="",0,K42)</f>
        <v/>
      </c>
    </row>
    <row r="7">
      <c r="P7" s="312" t="inlineStr">
        <is>
          <t xml:space="preserve">PROJECT LOCATION</t>
        </is>
      </c>
      <c r="Q7" s="312"/>
      <c r="R7" s="312"/>
      <c r="W7" s="134" t="inlineStr">
        <is>
          <t>Rehabilitation</t>
        </is>
      </c>
      <c r="X7" s="135">
        <f>IF(L39="",0,L39)</f>
        <v/>
      </c>
      <c r="Y7" s="135">
        <f>IF(L40="",0,L40)</f>
        <v/>
      </c>
      <c r="Z7" s="135">
        <f>IF(L41="",0,L41)</f>
        <v/>
      </c>
      <c r="AA7" s="135">
        <f>IF(L42="",0,L42)</f>
        <v/>
      </c>
    </row>
    <row r="8">
      <c r="W8" s="134" t="inlineStr">
        <is>
          <t>Lost revenue</t>
        </is>
      </c>
      <c r="X8" s="135">
        <f>IF(M39="",0,M39)</f>
        <v/>
      </c>
      <c r="Y8" s="135">
        <f>IF(M40="",0,M40)</f>
        <v/>
      </c>
      <c r="Z8" s="135">
        <f>IF(M41="",0,M41)</f>
        <v/>
      </c>
      <c r="AA8" s="135">
        <f>IF(M42="",0,M42)</f>
        <v/>
      </c>
    </row>
    <row r="9">
      <c r="W9" s="134" t="inlineStr">
        <is>
          <t>Salvage</t>
        </is>
      </c>
      <c r="X9" s="135">
        <f>IF(N39="",0,N39)</f>
        <v/>
      </c>
      <c r="Y9" s="135">
        <f>IF(N40="",0,N40)</f>
        <v/>
      </c>
      <c r="Z9" s="135">
        <f>IF(N41="",0,N41)</f>
        <v/>
      </c>
      <c r="AA9" s="135">
        <f>IF(N42="",0,N42)</f>
        <v/>
      </c>
    </row>
    <row r="10">
      <c r="W10" s="122" t="inlineStr">
        <is>
          <t>Net present worth vs. discount rate</t>
        </is>
      </c>
    </row>
    <row r="11">
      <c r="W11" s="124" t="inlineStr">
        <is>
          <t>Rate (%)</t>
        </is>
      </c>
      <c r="X11" s="124">
        <f>IF(X$4=""," ",X$4)</f>
        <v/>
      </c>
      <c r="Y11" s="124">
        <f>IF(Y$4=""," ",Y$4)</f>
        <v/>
      </c>
      <c r="Z11" s="124">
        <f>IF(Z$4=""," ",Z$4)</f>
        <v/>
      </c>
      <c r="AA11" s="124">
        <f>IF(AA$4=""," ",AA$4)</f>
        <v/>
      </c>
      <c r="AB11" s="122" t="inlineStr">
        <is>
          <t>Lowest at this rate</t>
        </is>
      </c>
      <c r="AC11" s="311" t="inlineStr">
        <is>
          <t xml:space="preserve">lowest value at this rate</t>
        </is>
      </c>
    </row>
    <row r="12">
      <c r="W12" s="140" t="n">
        <v>2</v>
      </c>
      <c r="X12" s="135">
        <f>IF($G$39="",NA(),IFERROR($J$39+SUMPRODUCT((INDIRECT("'"&amp;$G$39&amp;"'!$C$37:$C$52")&lt;='General Information'!$D$33)*INDIRECT("'"&amp;$G$39&amp;"'!$D$37:$D$52")/(1+$W12/100)^INDIRECT("'"&amp;$G$39&amp;"'!$C$37:$C$52")),0))</f>
        <v/>
      </c>
      <c r="Y12" s="135">
        <f>IF($G$40="",NA(),IFERROR($J$40+SUMPRODUCT((INDIRECT("'"&amp;$G$40&amp;"'!$C$37:$C$52")&lt;='General Information'!$D$33)*INDIRECT("'"&amp;$G$40&amp;"'!$D$37:$D$52")/(1+$W12/100)^INDIRECT("'"&amp;$G$40&amp;"'!$C$37:$C$52")),0))</f>
        <v/>
      </c>
      <c r="Z12" s="135">
        <f>IF($G$41="",NA(),IFERROR($J$41+SUMPRODUCT((INDIRECT("'"&amp;$G$41&amp;"'!$C$37:$C$52")&lt;='General Information'!$D$33)*INDIRECT("'"&amp;$G$41&amp;"'!$D$37:$D$52")/(1+$W12/100)^INDIRECT("'"&amp;$G$41&amp;"'!$C$37:$C$52")),0))</f>
        <v/>
      </c>
      <c r="AA12" s="135">
        <f>IF($G$42="",NA(),IFERROR($J$42+SUMPRODUCT((INDIRECT("'"&amp;$G$42&amp;"'!$C$37:$C$52")&lt;='General Information'!$D$33)*INDIRECT("'"&amp;$G$42&amp;"'!$D$37:$D$52")/(1+$W12/100)^INDIRECT("'"&amp;$G$42&amp;"'!$C$37:$C$52")),0))</f>
        <v/>
      </c>
      <c r="AB12" s="134">
        <f>IF(COUNT($X12:$AA12)=0,"",IF($AC12=IFERROR($X12,9E+99),$H$39,IF($AC12=IFERROR($Y12,9E+99),$H$40,IF($AC12=IFERROR($Z12,9E+99),$H$41,$H$42))))</f>
        <v/>
      </c>
      <c r="AC12" s="311">
        <f>MIN(IFERROR($X12,9E+99),IFERROR($Y12,9E+99),IFERROR($Z12,9E+99),IFERROR($AA12,9E+99))</f>
        <v>0</v>
      </c>
    </row>
    <row r="13">
      <c r="P13" s="317" t="inlineStr">
        <is>
          <t xml:space="preserve">City / county</t>
        </is>
      </c>
      <c r="Q13" s="318">
        <f>IF('General Information'!$D$9="","",'General Information'!$D$11&amp;IF(IFERROR(VLOOKUP('General Information'!$D$9,'General Information'!$L$10:$Q$88,4,FALSE),"")="",""," / "&amp;IFERROR(VLOOKUP('General Information'!$D$9,'General Information'!$L$10:$Q$88,4,FALSE),"")&amp;" County"))</f>
        <v/>
      </c>
      <c r="R13" s="318"/>
      <c r="W13" s="140" t="n">
        <v>2.25</v>
      </c>
      <c r="X13" s="135">
        <f>IF($G$39="",NA(),IFERROR($J$39+SUMPRODUCT((INDIRECT("'"&amp;$G$39&amp;"'!$C$37:$C$52")&lt;='General Information'!$D$33)*INDIRECT("'"&amp;$G$39&amp;"'!$D$37:$D$52")/(1+$W13/100)^INDIRECT("'"&amp;$G$39&amp;"'!$C$37:$C$52")),0))</f>
        <v/>
      </c>
      <c r="Y13" s="135">
        <f>IF($G$40="",NA(),IFERROR($J$40+SUMPRODUCT((INDIRECT("'"&amp;$G$40&amp;"'!$C$37:$C$52")&lt;='General Information'!$D$33)*INDIRECT("'"&amp;$G$40&amp;"'!$D$37:$D$52")/(1+$W13/100)^INDIRECT("'"&amp;$G$40&amp;"'!$C$37:$C$52")),0))</f>
        <v/>
      </c>
      <c r="Z13" s="135">
        <f>IF($G$41="",NA(),IFERROR($J$41+SUMPRODUCT((INDIRECT("'"&amp;$G$41&amp;"'!$C$37:$C$52")&lt;='General Information'!$D$33)*INDIRECT("'"&amp;$G$41&amp;"'!$D$37:$D$52")/(1+$W13/100)^INDIRECT("'"&amp;$G$41&amp;"'!$C$37:$C$52")),0))</f>
        <v/>
      </c>
      <c r="AA13" s="135">
        <f>IF($G$42="",NA(),IFERROR($J$42+SUMPRODUCT((INDIRECT("'"&amp;$G$42&amp;"'!$C$37:$C$52")&lt;='General Information'!$D$33)*INDIRECT("'"&amp;$G$42&amp;"'!$D$37:$D$52")/(1+$W13/100)^INDIRECT("'"&amp;$G$42&amp;"'!$C$37:$C$52")),0))</f>
        <v/>
      </c>
      <c r="AB13" s="134">
        <f>IF(COUNT($X13:$AA13)=0,"",IF($AC13=IFERROR($X13,9E+99),$H$39,IF($AC13=IFERROR($Y13,9E+99),$H$40,IF($AC13=IFERROR($Z13,9E+99),$H$41,$H$42))))</f>
        <v/>
      </c>
      <c r="AC13" s="311">
        <f>MIN(IFERROR($X13,9E+99),IFERROR($Y13,9E+99),IFERROR($Z13,9E+99),IFERROR($AA13,9E+99))</f>
        <v>0</v>
      </c>
    </row>
    <row r="14">
      <c r="P14" s="317" t="inlineStr">
        <is>
          <t xml:space="preserve">TDOT Grand Division</t>
        </is>
      </c>
      <c r="Q14" s="318">
        <f>IF('General Information'!$D$9="","",'General Information'!$D$13)</f>
        <v/>
      </c>
      <c r="R14" s="318"/>
      <c r="W14" s="140" t="n">
        <v>2.5</v>
      </c>
      <c r="X14" s="135">
        <f>IF($G$39="",NA(),IFERROR($J$39+SUMPRODUCT((INDIRECT("'"&amp;$G$39&amp;"'!$C$37:$C$52")&lt;='General Information'!$D$33)*INDIRECT("'"&amp;$G$39&amp;"'!$D$37:$D$52")/(1+$W14/100)^INDIRECT("'"&amp;$G$39&amp;"'!$C$37:$C$52")),0))</f>
        <v/>
      </c>
      <c r="Y14" s="135">
        <f>IF($G$40="",NA(),IFERROR($J$40+SUMPRODUCT((INDIRECT("'"&amp;$G$40&amp;"'!$C$37:$C$52")&lt;='General Information'!$D$33)*INDIRECT("'"&amp;$G$40&amp;"'!$D$37:$D$52")/(1+$W14/100)^INDIRECT("'"&amp;$G$40&amp;"'!$C$37:$C$52")),0))</f>
        <v/>
      </c>
      <c r="Z14" s="135">
        <f>IF($G$41="",NA(),IFERROR($J$41+SUMPRODUCT((INDIRECT("'"&amp;$G$41&amp;"'!$C$37:$C$52")&lt;='General Information'!$D$33)*INDIRECT("'"&amp;$G$41&amp;"'!$D$37:$D$52")/(1+$W14/100)^INDIRECT("'"&amp;$G$41&amp;"'!$C$37:$C$52")),0))</f>
        <v/>
      </c>
      <c r="AA14" s="135">
        <f>IF($G$42="",NA(),IFERROR($J$42+SUMPRODUCT((INDIRECT("'"&amp;$G$42&amp;"'!$C$37:$C$52")&lt;='General Information'!$D$33)*INDIRECT("'"&amp;$G$42&amp;"'!$D$37:$D$52")/(1+$W14/100)^INDIRECT("'"&amp;$G$42&amp;"'!$C$37:$C$52")),0))</f>
        <v/>
      </c>
      <c r="AB14" s="134">
        <f>IF(COUNT($X14:$AA14)=0,"",IF($AC14=IFERROR($X14,9E+99),$H$39,IF($AC14=IFERROR($Y14,9E+99),$H$40,IF($AC14=IFERROR($Z14,9E+99),$H$41,$H$42))))</f>
        <v/>
      </c>
      <c r="AC14" s="311">
        <f>MIN(IFERROR($X14,9E+99),IFERROR($Y14,9E+99),IFERROR($Z14,9E+99),IFERROR($AA14,9E+99))</f>
        <v>0</v>
      </c>
    </row>
    <row r="15">
      <c r="P15" s="317" t="inlineStr">
        <is>
          <t xml:space="preserve">Coordinates</t>
        </is>
      </c>
      <c r="Q15" s="318">
        <f>IF(AE132="","not in the reference list",TEXT(AE132,"0.0000")&amp;"° N, "&amp;TEXT(-AD132,"0.0000")&amp;"° W")</f>
        <v/>
      </c>
      <c r="R15" s="318"/>
      <c r="W15" s="140" t="n">
        <v>2.75</v>
      </c>
      <c r="X15" s="135">
        <f>IF($G$39="",NA(),IFERROR($J$39+SUMPRODUCT((INDIRECT("'"&amp;$G$39&amp;"'!$C$37:$C$52")&lt;='General Information'!$D$33)*INDIRECT("'"&amp;$G$39&amp;"'!$D$37:$D$52")/(1+$W15/100)^INDIRECT("'"&amp;$G$39&amp;"'!$C$37:$C$52")),0))</f>
        <v/>
      </c>
      <c r="Y15" s="135">
        <f>IF($G$40="",NA(),IFERROR($J$40+SUMPRODUCT((INDIRECT("'"&amp;$G$40&amp;"'!$C$37:$C$52")&lt;='General Information'!$D$33)*INDIRECT("'"&amp;$G$40&amp;"'!$D$37:$D$52")/(1+$W15/100)^INDIRECT("'"&amp;$G$40&amp;"'!$C$37:$C$52")),0))</f>
        <v/>
      </c>
      <c r="Z15" s="135">
        <f>IF($G$41="",NA(),IFERROR($J$41+SUMPRODUCT((INDIRECT("'"&amp;$G$41&amp;"'!$C$37:$C$52")&lt;='General Information'!$D$33)*INDIRECT("'"&amp;$G$41&amp;"'!$D$37:$D$52")/(1+$W15/100)^INDIRECT("'"&amp;$G$41&amp;"'!$C$37:$C$52")),0))</f>
        <v/>
      </c>
      <c r="AA15" s="135">
        <f>IF($G$42="",NA(),IFERROR($J$42+SUMPRODUCT((INDIRECT("'"&amp;$G$42&amp;"'!$C$37:$C$52")&lt;='General Information'!$D$33)*INDIRECT("'"&amp;$G$42&amp;"'!$D$37:$D$52")/(1+$W15/100)^INDIRECT("'"&amp;$G$42&amp;"'!$C$37:$C$52")),0))</f>
        <v/>
      </c>
      <c r="AB15" s="134">
        <f>IF(COUNT($X15:$AA15)=0,"",IF($AC15=IFERROR($X15,9E+99),$H$39,IF($AC15=IFERROR($Y15,9E+99),$H$40,IF($AC15=IFERROR($Z15,9E+99),$H$41,$H$42))))</f>
        <v/>
      </c>
      <c r="AC15" s="311">
        <f>MIN(IFERROR($X15,9E+99),IFERROR($Y15,9E+99),IFERROR($Z15,9E+99),IFERROR($AA15,9E+99))</f>
        <v>0</v>
      </c>
    </row>
    <row r="16">
      <c r="P16" s="317" t="inlineStr">
        <is>
          <t xml:space="preserve">Elevation</t>
        </is>
      </c>
      <c r="Q16" s="318">
        <f>IFERROR(IF(INDEX($AB$132:$AB$210,MATCH('General Information'!$D$10,$X$132:$X$210,0))="","",TEXT(INDEX($AB$132:$AB$210,MATCH('General Information'!$D$10,$X$132:$X$210,0)),"#,##0")&amp;" ft"),"")</f>
        <v/>
      </c>
      <c r="R16" s="318"/>
      <c r="W16" s="140" t="n">
        <v>3</v>
      </c>
      <c r="X16" s="135">
        <f>IF($G$39="",NA(),IFERROR($J$39+SUMPRODUCT((INDIRECT("'"&amp;$G$39&amp;"'!$C$37:$C$52")&lt;='General Information'!$D$33)*INDIRECT("'"&amp;$G$39&amp;"'!$D$37:$D$52")/(1+$W16/100)^INDIRECT("'"&amp;$G$39&amp;"'!$C$37:$C$52")),0))</f>
        <v/>
      </c>
      <c r="Y16" s="135">
        <f>IF($G$40="",NA(),IFERROR($J$40+SUMPRODUCT((INDIRECT("'"&amp;$G$40&amp;"'!$C$37:$C$52")&lt;='General Information'!$D$33)*INDIRECT("'"&amp;$G$40&amp;"'!$D$37:$D$52")/(1+$W16/100)^INDIRECT("'"&amp;$G$40&amp;"'!$C$37:$C$52")),0))</f>
        <v/>
      </c>
      <c r="Z16" s="135">
        <f>IF($G$41="",NA(),IFERROR($J$41+SUMPRODUCT((INDIRECT("'"&amp;$G$41&amp;"'!$C$37:$C$52")&lt;='General Information'!$D$33)*INDIRECT("'"&amp;$G$41&amp;"'!$D$37:$D$52")/(1+$W16/100)^INDIRECT("'"&amp;$G$41&amp;"'!$C$37:$C$52")),0))</f>
        <v/>
      </c>
      <c r="AA16" s="135">
        <f>IF($G$42="",NA(),IFERROR($J$42+SUMPRODUCT((INDIRECT("'"&amp;$G$42&amp;"'!$C$37:$C$52")&lt;='General Information'!$D$33)*INDIRECT("'"&amp;$G$42&amp;"'!$D$37:$D$52")/(1+$W16/100)^INDIRECT("'"&amp;$G$42&amp;"'!$C$37:$C$52")),0))</f>
        <v/>
      </c>
      <c r="AB16" s="134">
        <f>IF(COUNT($X16:$AA16)=0,"",IF($AC16=IFERROR($X16,9E+99),$H$39,IF($AC16=IFERROR($Y16,9E+99),$H$40,IF($AC16=IFERROR($Z16,9E+99),$H$41,$H$42))))</f>
        <v/>
      </c>
      <c r="AC16" s="311">
        <f>MIN(IFERROR($X16,9E+99),IFERROR($Y16,9E+99),IFERROR($Z16,9E+99),IFERROR($AA16,9E+99))</f>
        <v>0</v>
      </c>
    </row>
    <row r="17">
      <c r="P17" s="317" t="inlineStr">
        <is>
          <t xml:space="preserve">Mainline area</t>
        </is>
      </c>
      <c r="Q17" s="318">
        <f>IF('General Information'!$D$26="","",TEXT('General Information'!$D$26,"#,##0")&amp;" S.Y."&amp;IF('General Information'!$D$27&gt;0," + "&amp;TEXT('General Information'!$D$27,"#,##0")&amp;" S.Y. shoulder",""))</f>
        <v/>
      </c>
      <c r="R17" s="318"/>
      <c r="W17" s="140" t="n">
        <v>3.25</v>
      </c>
      <c r="X17" s="135">
        <f>IF($G$39="",NA(),IFERROR($J$39+SUMPRODUCT((INDIRECT("'"&amp;$G$39&amp;"'!$C$37:$C$52")&lt;='General Information'!$D$33)*INDIRECT("'"&amp;$G$39&amp;"'!$D$37:$D$52")/(1+$W17/100)^INDIRECT("'"&amp;$G$39&amp;"'!$C$37:$C$52")),0))</f>
        <v/>
      </c>
      <c r="Y17" s="135">
        <f>IF($G$40="",NA(),IFERROR($J$40+SUMPRODUCT((INDIRECT("'"&amp;$G$40&amp;"'!$C$37:$C$52")&lt;='General Information'!$D$33)*INDIRECT("'"&amp;$G$40&amp;"'!$D$37:$D$52")/(1+$W17/100)^INDIRECT("'"&amp;$G$40&amp;"'!$C$37:$C$52")),0))</f>
        <v/>
      </c>
      <c r="Z17" s="135">
        <f>IF($G$41="",NA(),IFERROR($J$41+SUMPRODUCT((INDIRECT("'"&amp;$G$41&amp;"'!$C$37:$C$52")&lt;='General Information'!$D$33)*INDIRECT("'"&amp;$G$41&amp;"'!$D$37:$D$52")/(1+$W17/100)^INDIRECT("'"&amp;$G$41&amp;"'!$C$37:$C$52")),0))</f>
        <v/>
      </c>
      <c r="AA17" s="135">
        <f>IF($G$42="",NA(),IFERROR($J$42+SUMPRODUCT((INDIRECT("'"&amp;$G$42&amp;"'!$C$37:$C$52")&lt;='General Information'!$D$33)*INDIRECT("'"&amp;$G$42&amp;"'!$D$37:$D$52")/(1+$W17/100)^INDIRECT("'"&amp;$G$42&amp;"'!$C$37:$C$52")),0))</f>
        <v/>
      </c>
      <c r="AB17" s="134">
        <f>IF(COUNT($X17:$AA17)=0,"",IF($AC17=IFERROR($X17,9E+99),$H$39,IF($AC17=IFERROR($Y17,9E+99),$H$40,IF($AC17=IFERROR($Z17,9E+99),$H$41,$H$42))))</f>
        <v/>
      </c>
      <c r="AC17" s="311">
        <f>MIN(IFERROR($X17,9E+99),IFERROR($Y17,9E+99),IFERROR($Z17,9E+99),IFERROR($AA17,9E+99))</f>
        <v>0</v>
      </c>
    </row>
    <row r="18">
      <c r="P18" s="317" t="inlineStr">
        <is>
          <t xml:space="preserve">Runway width, ft</t>
        </is>
      </c>
      <c r="Q18" s="319" t="n">
        <v>100</v>
      </c>
      <c r="R18" s="319"/>
      <c r="W18" s="140" t="n">
        <v>3.5</v>
      </c>
      <c r="X18" s="135">
        <f>IF($G$39="",NA(),IFERROR($J$39+SUMPRODUCT((INDIRECT("'"&amp;$G$39&amp;"'!$C$37:$C$52")&lt;='General Information'!$D$33)*INDIRECT("'"&amp;$G$39&amp;"'!$D$37:$D$52")/(1+$W18/100)^INDIRECT("'"&amp;$G$39&amp;"'!$C$37:$C$52")),0))</f>
        <v/>
      </c>
      <c r="Y18" s="135">
        <f>IF($G$40="",NA(),IFERROR($J$40+SUMPRODUCT((INDIRECT("'"&amp;$G$40&amp;"'!$C$37:$C$52")&lt;='General Information'!$D$33)*INDIRECT("'"&amp;$G$40&amp;"'!$D$37:$D$52")/(1+$W18/100)^INDIRECT("'"&amp;$G$40&amp;"'!$C$37:$C$52")),0))</f>
        <v/>
      </c>
      <c r="Z18" s="135">
        <f>IF($G$41="",NA(),IFERROR($J$41+SUMPRODUCT((INDIRECT("'"&amp;$G$41&amp;"'!$C$37:$C$52")&lt;='General Information'!$D$33)*INDIRECT("'"&amp;$G$41&amp;"'!$D$37:$D$52")/(1+$W18/100)^INDIRECT("'"&amp;$G$41&amp;"'!$C$37:$C$52")),0))</f>
        <v/>
      </c>
      <c r="AA18" s="135">
        <f>IF($G$42="",NA(),IFERROR($J$42+SUMPRODUCT((INDIRECT("'"&amp;$G$42&amp;"'!$C$37:$C$52")&lt;='General Information'!$D$33)*INDIRECT("'"&amp;$G$42&amp;"'!$D$37:$D$52")/(1+$W18/100)^INDIRECT("'"&amp;$G$42&amp;"'!$C$37:$C$52")),0))</f>
        <v/>
      </c>
      <c r="AB18" s="134">
        <f>IF(COUNT($X18:$AA18)=0,"",IF($AC18=IFERROR($X18,9E+99),$H$39,IF($AC18=IFERROR($Y18,9E+99),$H$40,IF($AC18=IFERROR($Z18,9E+99),$H$41,$H$42))))</f>
        <v/>
      </c>
      <c r="AC18" s="311">
        <f>MIN(IFERROR($X18,9E+99),IFERROR($Y18,9E+99),IFERROR($Z18,9E+99),IFERROR($AA18,9E+99))</f>
        <v>0</v>
      </c>
    </row>
    <row r="19">
      <c r="W19" s="140" t="n">
        <v>3.75</v>
      </c>
      <c r="X19" s="135">
        <f>IF($G$39="",NA(),IFERROR($J$39+SUMPRODUCT((INDIRECT("'"&amp;$G$39&amp;"'!$C$37:$C$52")&lt;='General Information'!$D$33)*INDIRECT("'"&amp;$G$39&amp;"'!$D$37:$D$52")/(1+$W19/100)^INDIRECT("'"&amp;$G$39&amp;"'!$C$37:$C$52")),0))</f>
        <v/>
      </c>
      <c r="Y19" s="135">
        <f>IF($G$40="",NA(),IFERROR($J$40+SUMPRODUCT((INDIRECT("'"&amp;$G$40&amp;"'!$C$37:$C$52")&lt;='General Information'!$D$33)*INDIRECT("'"&amp;$G$40&amp;"'!$D$37:$D$52")/(1+$W19/100)^INDIRECT("'"&amp;$G$40&amp;"'!$C$37:$C$52")),0))</f>
        <v/>
      </c>
      <c r="Z19" s="135">
        <f>IF($G$41="",NA(),IFERROR($J$41+SUMPRODUCT((INDIRECT("'"&amp;$G$41&amp;"'!$C$37:$C$52")&lt;='General Information'!$D$33)*INDIRECT("'"&amp;$G$41&amp;"'!$D$37:$D$52")/(1+$W19/100)^INDIRECT("'"&amp;$G$41&amp;"'!$C$37:$C$52")),0))</f>
        <v/>
      </c>
      <c r="AA19" s="135">
        <f>IF($G$42="",NA(),IFERROR($J$42+SUMPRODUCT((INDIRECT("'"&amp;$G$42&amp;"'!$C$37:$C$52")&lt;='General Information'!$D$33)*INDIRECT("'"&amp;$G$42&amp;"'!$D$37:$D$52")/(1+$W19/100)^INDIRECT("'"&amp;$G$42&amp;"'!$C$37:$C$52")),0))</f>
        <v/>
      </c>
      <c r="AB19" s="134">
        <f>IF(COUNT($X19:$AA19)=0,"",IF($AC19=IFERROR($X19,9E+99),$H$39,IF($AC19=IFERROR($Y19,9E+99),$H$40,IF($AC19=IFERROR($Z19,9E+99),$H$41,$H$42))))</f>
        <v/>
      </c>
      <c r="AC19" s="311">
        <f>MIN(IFERROR($X19,9E+99),IFERROR($Y19,9E+99),IFERROR($Z19,9E+99),IFERROR($AA19,9E+99))</f>
        <v>0</v>
      </c>
    </row>
    <row r="20">
      <c r="W20" s="140" t="n">
        <v>4</v>
      </c>
      <c r="X20" s="135">
        <f>IF($G$39="",NA(),IFERROR($J$39+SUMPRODUCT((INDIRECT("'"&amp;$G$39&amp;"'!$C$37:$C$52")&lt;='General Information'!$D$33)*INDIRECT("'"&amp;$G$39&amp;"'!$D$37:$D$52")/(1+$W20/100)^INDIRECT("'"&amp;$G$39&amp;"'!$C$37:$C$52")),0))</f>
        <v/>
      </c>
      <c r="Y20" s="135">
        <f>IF($G$40="",NA(),IFERROR($J$40+SUMPRODUCT((INDIRECT("'"&amp;$G$40&amp;"'!$C$37:$C$52")&lt;='General Information'!$D$33)*INDIRECT("'"&amp;$G$40&amp;"'!$D$37:$D$52")/(1+$W20/100)^INDIRECT("'"&amp;$G$40&amp;"'!$C$37:$C$52")),0))</f>
        <v/>
      </c>
      <c r="Z20" s="135">
        <f>IF($G$41="",NA(),IFERROR($J$41+SUMPRODUCT((INDIRECT("'"&amp;$G$41&amp;"'!$C$37:$C$52")&lt;='General Information'!$D$33)*INDIRECT("'"&amp;$G$41&amp;"'!$D$37:$D$52")/(1+$W20/100)^INDIRECT("'"&amp;$G$41&amp;"'!$C$37:$C$52")),0))</f>
        <v/>
      </c>
      <c r="AA20" s="135">
        <f>IF($G$42="",NA(),IFERROR($J$42+SUMPRODUCT((INDIRECT("'"&amp;$G$42&amp;"'!$C$37:$C$52")&lt;='General Information'!$D$33)*INDIRECT("'"&amp;$G$42&amp;"'!$D$37:$D$52")/(1+$W20/100)^INDIRECT("'"&amp;$G$42&amp;"'!$C$37:$C$52")),0))</f>
        <v/>
      </c>
      <c r="AB20" s="134">
        <f>IF(COUNT($X20:$AA20)=0,"",IF($AC20=IFERROR($X20,9E+99),$H$39,IF($AC20=IFERROR($Y20,9E+99),$H$40,IF($AC20=IFERROR($Z20,9E+99),$H$41,$H$42))))</f>
        <v/>
      </c>
      <c r="AC20" s="311">
        <f>MIN(IFERROR($X20,9E+99),IFERROR($Y20,9E+99),IFERROR($Z20,9E+99),IFERROR($AA20,9E+99))</f>
        <v>0</v>
      </c>
    </row>
    <row r="21">
      <c r="W21" s="140" t="n">
        <v>4.25</v>
      </c>
      <c r="X21" s="135">
        <f>IF($G$39="",NA(),IFERROR($J$39+SUMPRODUCT((INDIRECT("'"&amp;$G$39&amp;"'!$C$37:$C$52")&lt;='General Information'!$D$33)*INDIRECT("'"&amp;$G$39&amp;"'!$D$37:$D$52")/(1+$W21/100)^INDIRECT("'"&amp;$G$39&amp;"'!$C$37:$C$52")),0))</f>
        <v/>
      </c>
      <c r="Y21" s="135">
        <f>IF($G$40="",NA(),IFERROR($J$40+SUMPRODUCT((INDIRECT("'"&amp;$G$40&amp;"'!$C$37:$C$52")&lt;='General Information'!$D$33)*INDIRECT("'"&amp;$G$40&amp;"'!$D$37:$D$52")/(1+$W21/100)^INDIRECT("'"&amp;$G$40&amp;"'!$C$37:$C$52")),0))</f>
        <v/>
      </c>
      <c r="Z21" s="135">
        <f>IF($G$41="",NA(),IFERROR($J$41+SUMPRODUCT((INDIRECT("'"&amp;$G$41&amp;"'!$C$37:$C$52")&lt;='General Information'!$D$33)*INDIRECT("'"&amp;$G$41&amp;"'!$D$37:$D$52")/(1+$W21/100)^INDIRECT("'"&amp;$G$41&amp;"'!$C$37:$C$52")),0))</f>
        <v/>
      </c>
      <c r="AA21" s="135">
        <f>IF($G$42="",NA(),IFERROR($J$42+SUMPRODUCT((INDIRECT("'"&amp;$G$42&amp;"'!$C$37:$C$52")&lt;='General Information'!$D$33)*INDIRECT("'"&amp;$G$42&amp;"'!$D$37:$D$52")/(1+$W21/100)^INDIRECT("'"&amp;$G$42&amp;"'!$C$37:$C$52")),0))</f>
        <v/>
      </c>
      <c r="AB21" s="134">
        <f>IF(COUNT($X21:$AA21)=0,"",IF($AC21=IFERROR($X21,9E+99),$H$39,IF($AC21=IFERROR($Y21,9E+99),$H$40,IF($AC21=IFERROR($Z21,9E+99),$H$41,$H$42))))</f>
        <v/>
      </c>
      <c r="AC21" s="311">
        <f>MIN(IFERROR($X21,9E+99),IFERROR($Y21,9E+99),IFERROR($Z21,9E+99),IFERROR($AA21,9E+99))</f>
        <v>0</v>
      </c>
    </row>
    <row r="22">
      <c r="W22" s="140" t="n">
        <v>4.5</v>
      </c>
      <c r="X22" s="135">
        <f>IF($G$39="",NA(),IFERROR($J$39+SUMPRODUCT((INDIRECT("'"&amp;$G$39&amp;"'!$C$37:$C$52")&lt;='General Information'!$D$33)*INDIRECT("'"&amp;$G$39&amp;"'!$D$37:$D$52")/(1+$W22/100)^INDIRECT("'"&amp;$G$39&amp;"'!$C$37:$C$52")),0))</f>
        <v/>
      </c>
      <c r="Y22" s="135">
        <f>IF($G$40="",NA(),IFERROR($J$40+SUMPRODUCT((INDIRECT("'"&amp;$G$40&amp;"'!$C$37:$C$52")&lt;='General Information'!$D$33)*INDIRECT("'"&amp;$G$40&amp;"'!$D$37:$D$52")/(1+$W22/100)^INDIRECT("'"&amp;$G$40&amp;"'!$C$37:$C$52")),0))</f>
        <v/>
      </c>
      <c r="Z22" s="135">
        <f>IF($G$41="",NA(),IFERROR($J$41+SUMPRODUCT((INDIRECT("'"&amp;$G$41&amp;"'!$C$37:$C$52")&lt;='General Information'!$D$33)*INDIRECT("'"&amp;$G$41&amp;"'!$D$37:$D$52")/(1+$W22/100)^INDIRECT("'"&amp;$G$41&amp;"'!$C$37:$C$52")),0))</f>
        <v/>
      </c>
      <c r="AA22" s="135">
        <f>IF($G$42="",NA(),IFERROR($J$42+SUMPRODUCT((INDIRECT("'"&amp;$G$42&amp;"'!$C$37:$C$52")&lt;='General Information'!$D$33)*INDIRECT("'"&amp;$G$42&amp;"'!$D$37:$D$52")/(1+$W22/100)^INDIRECT("'"&amp;$G$42&amp;"'!$C$37:$C$52")),0))</f>
        <v/>
      </c>
      <c r="AB22" s="134">
        <f>IF(COUNT($X22:$AA22)=0,"",IF($AC22=IFERROR($X22,9E+99),$H$39,IF($AC22=IFERROR($Y22,9E+99),$H$40,IF($AC22=IFERROR($Z22,9E+99),$H$41,$H$42))))</f>
        <v/>
      </c>
      <c r="AC22" s="311">
        <f>MIN(IFERROR($X22,9E+99),IFERROR($Y22,9E+99),IFERROR($Z22,9E+99),IFERROR($AA22,9E+99))</f>
        <v>0</v>
      </c>
    </row>
    <row r="23">
      <c r="W23" s="140" t="n">
        <v>4.75</v>
      </c>
      <c r="X23" s="135">
        <f>IF($G$39="",NA(),IFERROR($J$39+SUMPRODUCT((INDIRECT("'"&amp;$G$39&amp;"'!$C$37:$C$52")&lt;='General Information'!$D$33)*INDIRECT("'"&amp;$G$39&amp;"'!$D$37:$D$52")/(1+$W23/100)^INDIRECT("'"&amp;$G$39&amp;"'!$C$37:$C$52")),0))</f>
        <v/>
      </c>
      <c r="Y23" s="135">
        <f>IF($G$40="",NA(),IFERROR($J$40+SUMPRODUCT((INDIRECT("'"&amp;$G$40&amp;"'!$C$37:$C$52")&lt;='General Information'!$D$33)*INDIRECT("'"&amp;$G$40&amp;"'!$D$37:$D$52")/(1+$W23/100)^INDIRECT("'"&amp;$G$40&amp;"'!$C$37:$C$52")),0))</f>
        <v/>
      </c>
      <c r="Z23" s="135">
        <f>IF($G$41="",NA(),IFERROR($J$41+SUMPRODUCT((INDIRECT("'"&amp;$G$41&amp;"'!$C$37:$C$52")&lt;='General Information'!$D$33)*INDIRECT("'"&amp;$G$41&amp;"'!$D$37:$D$52")/(1+$W23/100)^INDIRECT("'"&amp;$G$41&amp;"'!$C$37:$C$52")),0))</f>
        <v/>
      </c>
      <c r="AA23" s="135">
        <f>IF($G$42="",NA(),IFERROR($J$42+SUMPRODUCT((INDIRECT("'"&amp;$G$42&amp;"'!$C$37:$C$52")&lt;='General Information'!$D$33)*INDIRECT("'"&amp;$G$42&amp;"'!$D$37:$D$52")/(1+$W23/100)^INDIRECT("'"&amp;$G$42&amp;"'!$C$37:$C$52")),0))</f>
        <v/>
      </c>
      <c r="AB23" s="134">
        <f>IF(COUNT($X23:$AA23)=0,"",IF($AC23=IFERROR($X23,9E+99),$H$39,IF($AC23=IFERROR($Y23,9E+99),$H$40,IF($AC23=IFERROR($Z23,9E+99),$H$41,$H$42))))</f>
        <v/>
      </c>
      <c r="AC23" s="311">
        <f>MIN(IFERROR($X23,9E+99),IFERROR($Y23,9E+99),IFERROR($Z23,9E+99),IFERROR($AA23,9E+99))</f>
        <v>0</v>
      </c>
    </row>
    <row r="24">
      <c r="W24" s="140" t="n">
        <v>5</v>
      </c>
      <c r="X24" s="135">
        <f>IF($G$39="",NA(),IFERROR($J$39+SUMPRODUCT((INDIRECT("'"&amp;$G$39&amp;"'!$C$37:$C$52")&lt;='General Information'!$D$33)*INDIRECT("'"&amp;$G$39&amp;"'!$D$37:$D$52")/(1+$W24/100)^INDIRECT("'"&amp;$G$39&amp;"'!$C$37:$C$52")),0))</f>
        <v/>
      </c>
      <c r="Y24" s="135">
        <f>IF($G$40="",NA(),IFERROR($J$40+SUMPRODUCT((INDIRECT("'"&amp;$G$40&amp;"'!$C$37:$C$52")&lt;='General Information'!$D$33)*INDIRECT("'"&amp;$G$40&amp;"'!$D$37:$D$52")/(1+$W24/100)^INDIRECT("'"&amp;$G$40&amp;"'!$C$37:$C$52")),0))</f>
        <v/>
      </c>
      <c r="Z24" s="135">
        <f>IF($G$41="",NA(),IFERROR($J$41+SUMPRODUCT((INDIRECT("'"&amp;$G$41&amp;"'!$C$37:$C$52")&lt;='General Information'!$D$33)*INDIRECT("'"&amp;$G$41&amp;"'!$D$37:$D$52")/(1+$W24/100)^INDIRECT("'"&amp;$G$41&amp;"'!$C$37:$C$52")),0))</f>
        <v/>
      </c>
      <c r="AA24" s="135">
        <f>IF($G$42="",NA(),IFERROR($J$42+SUMPRODUCT((INDIRECT("'"&amp;$G$42&amp;"'!$C$37:$C$52")&lt;='General Information'!$D$33)*INDIRECT("'"&amp;$G$42&amp;"'!$D$37:$D$52")/(1+$W24/100)^INDIRECT("'"&amp;$G$42&amp;"'!$C$37:$C$52")),0))</f>
        <v/>
      </c>
      <c r="AB24" s="134">
        <f>IF(COUNT($X24:$AA24)=0,"",IF($AC24=IFERROR($X24,9E+99),$H$39,IF($AC24=IFERROR($Y24,9E+99),$H$40,IF($AC24=IFERROR($Z24,9E+99),$H$41,$H$42))))</f>
        <v/>
      </c>
      <c r="AC24" s="311">
        <f>MIN(IFERROR($X24,9E+99),IFERROR($Y24,9E+99),IFERROR($Z24,9E+99),IFERROR($AA24,9E+99))</f>
        <v>0</v>
      </c>
    </row>
    <row r="25">
      <c r="W25" s="140" t="n">
        <v>5.25</v>
      </c>
      <c r="X25" s="135">
        <f>IF($G$39="",NA(),IFERROR($J$39+SUMPRODUCT((INDIRECT("'"&amp;$G$39&amp;"'!$C$37:$C$52")&lt;='General Information'!$D$33)*INDIRECT("'"&amp;$G$39&amp;"'!$D$37:$D$52")/(1+$W25/100)^INDIRECT("'"&amp;$G$39&amp;"'!$C$37:$C$52")),0))</f>
        <v/>
      </c>
      <c r="Y25" s="135">
        <f>IF($G$40="",NA(),IFERROR($J$40+SUMPRODUCT((INDIRECT("'"&amp;$G$40&amp;"'!$C$37:$C$52")&lt;='General Information'!$D$33)*INDIRECT("'"&amp;$G$40&amp;"'!$D$37:$D$52")/(1+$W25/100)^INDIRECT("'"&amp;$G$40&amp;"'!$C$37:$C$52")),0))</f>
        <v/>
      </c>
      <c r="Z25" s="135">
        <f>IF($G$41="",NA(),IFERROR($J$41+SUMPRODUCT((INDIRECT("'"&amp;$G$41&amp;"'!$C$37:$C$52")&lt;='General Information'!$D$33)*INDIRECT("'"&amp;$G$41&amp;"'!$D$37:$D$52")/(1+$W25/100)^INDIRECT("'"&amp;$G$41&amp;"'!$C$37:$C$52")),0))</f>
        <v/>
      </c>
      <c r="AA25" s="135">
        <f>IF($G$42="",NA(),IFERROR($J$42+SUMPRODUCT((INDIRECT("'"&amp;$G$42&amp;"'!$C$37:$C$52")&lt;='General Information'!$D$33)*INDIRECT("'"&amp;$G$42&amp;"'!$D$37:$D$52")/(1+$W25/100)^INDIRECT("'"&amp;$G$42&amp;"'!$C$37:$C$52")),0))</f>
        <v/>
      </c>
      <c r="AB25" s="134">
        <f>IF(COUNT($X25:$AA25)=0,"",IF($AC25=IFERROR($X25,9E+99),$H$39,IF($AC25=IFERROR($Y25,9E+99),$H$40,IF($AC25=IFERROR($Z25,9E+99),$H$41,$H$42))))</f>
        <v/>
      </c>
      <c r="AC25" s="311">
        <f>MIN(IFERROR($X25,9E+99),IFERROR($Y25,9E+99),IFERROR($Z25,9E+99),IFERROR($AA25,9E+99))</f>
        <v>0</v>
      </c>
    </row>
    <row r="26">
      <c r="W26" s="140" t="n">
        <v>5.5</v>
      </c>
      <c r="X26" s="135">
        <f>IF($G$39="",NA(),IFERROR($J$39+SUMPRODUCT((INDIRECT("'"&amp;$G$39&amp;"'!$C$37:$C$52")&lt;='General Information'!$D$33)*INDIRECT("'"&amp;$G$39&amp;"'!$D$37:$D$52")/(1+$W26/100)^INDIRECT("'"&amp;$G$39&amp;"'!$C$37:$C$52")),0))</f>
        <v/>
      </c>
      <c r="Y26" s="135">
        <f>IF($G$40="",NA(),IFERROR($J$40+SUMPRODUCT((INDIRECT("'"&amp;$G$40&amp;"'!$C$37:$C$52")&lt;='General Information'!$D$33)*INDIRECT("'"&amp;$G$40&amp;"'!$D$37:$D$52")/(1+$W26/100)^INDIRECT("'"&amp;$G$40&amp;"'!$C$37:$C$52")),0))</f>
        <v/>
      </c>
      <c r="Z26" s="135">
        <f>IF($G$41="",NA(),IFERROR($J$41+SUMPRODUCT((INDIRECT("'"&amp;$G$41&amp;"'!$C$37:$C$52")&lt;='General Information'!$D$33)*INDIRECT("'"&amp;$G$41&amp;"'!$D$37:$D$52")/(1+$W26/100)^INDIRECT("'"&amp;$G$41&amp;"'!$C$37:$C$52")),0))</f>
        <v/>
      </c>
      <c r="AA26" s="135">
        <f>IF($G$42="",NA(),IFERROR($J$42+SUMPRODUCT((INDIRECT("'"&amp;$G$42&amp;"'!$C$37:$C$52")&lt;='General Information'!$D$33)*INDIRECT("'"&amp;$G$42&amp;"'!$D$37:$D$52")/(1+$W26/100)^INDIRECT("'"&amp;$G$42&amp;"'!$C$37:$C$52")),0))</f>
        <v/>
      </c>
      <c r="AB26" s="134">
        <f>IF(COUNT($X26:$AA26)=0,"",IF($AC26=IFERROR($X26,9E+99),$H$39,IF($AC26=IFERROR($Y26,9E+99),$H$40,IF($AC26=IFERROR($Z26,9E+99),$H$41,$H$42))))</f>
        <v/>
      </c>
      <c r="AC26" s="311">
        <f>MIN(IFERROR($X26,9E+99),IFERROR($Y26,9E+99),IFERROR($Z26,9E+99),IFERROR($AA26,9E+99))</f>
        <v>0</v>
      </c>
    </row>
    <row r="27">
      <c r="W27" s="140" t="n">
        <v>5.75</v>
      </c>
      <c r="X27" s="135">
        <f>IF($G$39="",NA(),IFERROR($J$39+SUMPRODUCT((INDIRECT("'"&amp;$G$39&amp;"'!$C$37:$C$52")&lt;='General Information'!$D$33)*INDIRECT("'"&amp;$G$39&amp;"'!$D$37:$D$52")/(1+$W27/100)^INDIRECT("'"&amp;$G$39&amp;"'!$C$37:$C$52")),0))</f>
        <v/>
      </c>
      <c r="Y27" s="135">
        <f>IF($G$40="",NA(),IFERROR($J$40+SUMPRODUCT((INDIRECT("'"&amp;$G$40&amp;"'!$C$37:$C$52")&lt;='General Information'!$D$33)*INDIRECT("'"&amp;$G$40&amp;"'!$D$37:$D$52")/(1+$W27/100)^INDIRECT("'"&amp;$G$40&amp;"'!$C$37:$C$52")),0))</f>
        <v/>
      </c>
      <c r="Z27" s="135">
        <f>IF($G$41="",NA(),IFERROR($J$41+SUMPRODUCT((INDIRECT("'"&amp;$G$41&amp;"'!$C$37:$C$52")&lt;='General Information'!$D$33)*INDIRECT("'"&amp;$G$41&amp;"'!$D$37:$D$52")/(1+$W27/100)^INDIRECT("'"&amp;$G$41&amp;"'!$C$37:$C$52")),0))</f>
        <v/>
      </c>
      <c r="AA27" s="135">
        <f>IF($G$42="",NA(),IFERROR($J$42+SUMPRODUCT((INDIRECT("'"&amp;$G$42&amp;"'!$C$37:$C$52")&lt;='General Information'!$D$33)*INDIRECT("'"&amp;$G$42&amp;"'!$D$37:$D$52")/(1+$W27/100)^INDIRECT("'"&amp;$G$42&amp;"'!$C$37:$C$52")),0))</f>
        <v/>
      </c>
      <c r="AB27" s="134">
        <f>IF(COUNT($X27:$AA27)=0,"",IF($AC27=IFERROR($X27,9E+99),$H$39,IF($AC27=IFERROR($Y27,9E+99),$H$40,IF($AC27=IFERROR($Z27,9E+99),$H$41,$H$42))))</f>
        <v/>
      </c>
      <c r="AC27" s="311">
        <f>MIN(IFERROR($X27,9E+99),IFERROR($Y27,9E+99),IFERROR($Z27,9E+99),IFERROR($AA27,9E+99))</f>
        <v>0</v>
      </c>
    </row>
    <row r="28">
      <c r="W28" s="140" t="n">
        <v>6</v>
      </c>
      <c r="X28" s="135">
        <f>IF($G$39="",NA(),IFERROR($J$39+SUMPRODUCT((INDIRECT("'"&amp;$G$39&amp;"'!$C$37:$C$52")&lt;='General Information'!$D$33)*INDIRECT("'"&amp;$G$39&amp;"'!$D$37:$D$52")/(1+$W28/100)^INDIRECT("'"&amp;$G$39&amp;"'!$C$37:$C$52")),0))</f>
        <v/>
      </c>
      <c r="Y28" s="135">
        <f>IF($G$40="",NA(),IFERROR($J$40+SUMPRODUCT((INDIRECT("'"&amp;$G$40&amp;"'!$C$37:$C$52")&lt;='General Information'!$D$33)*INDIRECT("'"&amp;$G$40&amp;"'!$D$37:$D$52")/(1+$W28/100)^INDIRECT("'"&amp;$G$40&amp;"'!$C$37:$C$52")),0))</f>
        <v/>
      </c>
      <c r="Z28" s="135">
        <f>IF($G$41="",NA(),IFERROR($J$41+SUMPRODUCT((INDIRECT("'"&amp;$G$41&amp;"'!$C$37:$C$52")&lt;='General Information'!$D$33)*INDIRECT("'"&amp;$G$41&amp;"'!$D$37:$D$52")/(1+$W28/100)^INDIRECT("'"&amp;$G$41&amp;"'!$C$37:$C$52")),0))</f>
        <v/>
      </c>
      <c r="AA28" s="135">
        <f>IF($G$42="",NA(),IFERROR($J$42+SUMPRODUCT((INDIRECT("'"&amp;$G$42&amp;"'!$C$37:$C$52")&lt;='General Information'!$D$33)*INDIRECT("'"&amp;$G$42&amp;"'!$D$37:$D$52")/(1+$W28/100)^INDIRECT("'"&amp;$G$42&amp;"'!$C$37:$C$52")),0))</f>
        <v/>
      </c>
      <c r="AB28" s="134">
        <f>IF(COUNT($X28:$AA28)=0,"",IF($AC28=IFERROR($X28,9E+99),$H$39,IF($AC28=IFERROR($Y28,9E+99),$H$40,IF($AC28=IFERROR($Z28,9E+99),$H$41,$H$42))))</f>
        <v/>
      </c>
      <c r="AC28" s="311">
        <f>MIN(IFERROR($X28,9E+99),IFERROR($Y28,9E+99),IFERROR($Z28,9E+99),IFERROR($AA28,9E+99))</f>
        <v>0</v>
      </c>
    </row>
    <row r="29">
      <c r="W29" s="140" t="n">
        <v>6.25</v>
      </c>
      <c r="X29" s="135">
        <f>IF($G$39="",NA(),IFERROR($J$39+SUMPRODUCT((INDIRECT("'"&amp;$G$39&amp;"'!$C$37:$C$52")&lt;='General Information'!$D$33)*INDIRECT("'"&amp;$G$39&amp;"'!$D$37:$D$52")/(1+$W29/100)^INDIRECT("'"&amp;$G$39&amp;"'!$C$37:$C$52")),0))</f>
        <v/>
      </c>
      <c r="Y29" s="135">
        <f>IF($G$40="",NA(),IFERROR($J$40+SUMPRODUCT((INDIRECT("'"&amp;$G$40&amp;"'!$C$37:$C$52")&lt;='General Information'!$D$33)*INDIRECT("'"&amp;$G$40&amp;"'!$D$37:$D$52")/(1+$W29/100)^INDIRECT("'"&amp;$G$40&amp;"'!$C$37:$C$52")),0))</f>
        <v/>
      </c>
      <c r="Z29" s="135">
        <f>IF($G$41="",NA(),IFERROR($J$41+SUMPRODUCT((INDIRECT("'"&amp;$G$41&amp;"'!$C$37:$C$52")&lt;='General Information'!$D$33)*INDIRECT("'"&amp;$G$41&amp;"'!$D$37:$D$52")/(1+$W29/100)^INDIRECT("'"&amp;$G$41&amp;"'!$C$37:$C$52")),0))</f>
        <v/>
      </c>
      <c r="AA29" s="135">
        <f>IF($G$42="",NA(),IFERROR($J$42+SUMPRODUCT((INDIRECT("'"&amp;$G$42&amp;"'!$C$37:$C$52")&lt;='General Information'!$D$33)*INDIRECT("'"&amp;$G$42&amp;"'!$D$37:$D$52")/(1+$W29/100)^INDIRECT("'"&amp;$G$42&amp;"'!$C$37:$C$52")),0))</f>
        <v/>
      </c>
      <c r="AB29" s="134">
        <f>IF(COUNT($X29:$AA29)=0,"",IF($AC29=IFERROR($X29,9E+99),$H$39,IF($AC29=IFERROR($Y29,9E+99),$H$40,IF($AC29=IFERROR($Z29,9E+99),$H$41,$H$42))))</f>
        <v/>
      </c>
      <c r="AC29" s="311">
        <f>MIN(IFERROR($X29,9E+99),IFERROR($Y29,9E+99),IFERROR($Z29,9E+99),IFERROR($AA29,9E+99))</f>
        <v>0</v>
      </c>
    </row>
    <row r="30">
      <c r="G30" s="304" t="inlineStr">
        <is>
          <t xml:space="preserve">SUPPORTING DETAIL</t>
        </is>
      </c>
      <c r="H30" s="305"/>
      <c r="I30" s="305"/>
      <c r="J30" s="305"/>
      <c r="K30" s="305"/>
      <c r="L30" s="305"/>
      <c r="M30" s="305"/>
      <c r="N30" s="305"/>
      <c r="O30" s="305"/>
      <c r="P30" s="305"/>
      <c r="Q30" s="305"/>
      <c r="R30" s="305"/>
      <c r="W30" s="140" t="n">
        <v>6.5</v>
      </c>
      <c r="X30" s="135">
        <f>IF($G$39="",NA(),IFERROR($J$39+SUMPRODUCT((INDIRECT("'"&amp;$G$39&amp;"'!$C$37:$C$52")&lt;='General Information'!$D$33)*INDIRECT("'"&amp;$G$39&amp;"'!$D$37:$D$52")/(1+$W30/100)^INDIRECT("'"&amp;$G$39&amp;"'!$C$37:$C$52")),0))</f>
        <v/>
      </c>
      <c r="Y30" s="135">
        <f>IF($G$40="",NA(),IFERROR($J$40+SUMPRODUCT((INDIRECT("'"&amp;$G$40&amp;"'!$C$37:$C$52")&lt;='General Information'!$D$33)*INDIRECT("'"&amp;$G$40&amp;"'!$D$37:$D$52")/(1+$W30/100)^INDIRECT("'"&amp;$G$40&amp;"'!$C$37:$C$52")),0))</f>
        <v/>
      </c>
      <c r="Z30" s="135">
        <f>IF($G$41="",NA(),IFERROR($J$41+SUMPRODUCT((INDIRECT("'"&amp;$G$41&amp;"'!$C$37:$C$52")&lt;='General Information'!$D$33)*INDIRECT("'"&amp;$G$41&amp;"'!$D$37:$D$52")/(1+$W30/100)^INDIRECT("'"&amp;$G$41&amp;"'!$C$37:$C$52")),0))</f>
        <v/>
      </c>
      <c r="AA30" s="135">
        <f>IF($G$42="",NA(),IFERROR($J$42+SUMPRODUCT((INDIRECT("'"&amp;$G$42&amp;"'!$C$37:$C$52")&lt;='General Information'!$D$33)*INDIRECT("'"&amp;$G$42&amp;"'!$D$37:$D$52")/(1+$W30/100)^INDIRECT("'"&amp;$G$42&amp;"'!$C$37:$C$52")),0))</f>
        <v/>
      </c>
      <c r="AB30" s="134">
        <f>IF(COUNT($X30:$AA30)=0,"",IF($AC30=IFERROR($X30,9E+99),$H$39,IF($AC30=IFERROR($Y30,9E+99),$H$40,IF($AC30=IFERROR($Z30,9E+99),$H$41,$H$42))))</f>
        <v/>
      </c>
      <c r="AC30" s="311">
        <f>MIN(IFERROR($X30,9E+99),IFERROR($Y30,9E+99),IFERROR($Z30,9E+99),IFERROR($AA30,9E+99))</f>
        <v>0</v>
      </c>
    </row>
    <row r="31">
      <c r="W31" s="140" t="n">
        <v>6.75</v>
      </c>
      <c r="X31" s="135">
        <f>IF($G$39="",NA(),IFERROR($J$39+SUMPRODUCT((INDIRECT("'"&amp;$G$39&amp;"'!$C$37:$C$52")&lt;='General Information'!$D$33)*INDIRECT("'"&amp;$G$39&amp;"'!$D$37:$D$52")/(1+$W31/100)^INDIRECT("'"&amp;$G$39&amp;"'!$C$37:$C$52")),0))</f>
        <v/>
      </c>
      <c r="Y31" s="135">
        <f>IF($G$40="",NA(),IFERROR($J$40+SUMPRODUCT((INDIRECT("'"&amp;$G$40&amp;"'!$C$37:$C$52")&lt;='General Information'!$D$33)*INDIRECT("'"&amp;$G$40&amp;"'!$D$37:$D$52")/(1+$W31/100)^INDIRECT("'"&amp;$G$40&amp;"'!$C$37:$C$52")),0))</f>
        <v/>
      </c>
      <c r="Z31" s="135">
        <f>IF($G$41="",NA(),IFERROR($J$41+SUMPRODUCT((INDIRECT("'"&amp;$G$41&amp;"'!$C$37:$C$52")&lt;='General Information'!$D$33)*INDIRECT("'"&amp;$G$41&amp;"'!$D$37:$D$52")/(1+$W31/100)^INDIRECT("'"&amp;$G$41&amp;"'!$C$37:$C$52")),0))</f>
        <v/>
      </c>
      <c r="AA31" s="135">
        <f>IF($G$42="",NA(),IFERROR($J$42+SUMPRODUCT((INDIRECT("'"&amp;$G$42&amp;"'!$C$37:$C$52")&lt;='General Information'!$D$33)*INDIRECT("'"&amp;$G$42&amp;"'!$D$37:$D$52")/(1+$W31/100)^INDIRECT("'"&amp;$G$42&amp;"'!$C$37:$C$52")),0))</f>
        <v/>
      </c>
      <c r="AB31" s="134">
        <f>IF(COUNT($X31:$AA31)=0,"",IF($AC31=IFERROR($X31,9E+99),$H$39,IF($AC31=IFERROR($Y31,9E+99),$H$40,IF($AC31=IFERROR($Z31,9E+99),$H$41,$H$42))))</f>
        <v/>
      </c>
      <c r="AC31" s="311">
        <f>MIN(IFERROR($X31,9E+99),IFERROR($Y31,9E+99),IFERROR($Z31,9E+99),IFERROR($AA31,9E+99))</f>
        <v>0</v>
      </c>
    </row>
    <row r="32">
      <c r="W32" s="140" t="n">
        <v>7</v>
      </c>
      <c r="X32" s="135">
        <f>IF($G$39="",NA(),IFERROR($J$39+SUMPRODUCT((INDIRECT("'"&amp;$G$39&amp;"'!$C$37:$C$52")&lt;='General Information'!$D$33)*INDIRECT("'"&amp;$G$39&amp;"'!$D$37:$D$52")/(1+$W32/100)^INDIRECT("'"&amp;$G$39&amp;"'!$C$37:$C$52")),0))</f>
        <v/>
      </c>
      <c r="Y32" s="135">
        <f>IF($G$40="",NA(),IFERROR($J$40+SUMPRODUCT((INDIRECT("'"&amp;$G$40&amp;"'!$C$37:$C$52")&lt;='General Information'!$D$33)*INDIRECT("'"&amp;$G$40&amp;"'!$D$37:$D$52")/(1+$W32/100)^INDIRECT("'"&amp;$G$40&amp;"'!$C$37:$C$52")),0))</f>
        <v/>
      </c>
      <c r="Z32" s="135">
        <f>IF($G$41="",NA(),IFERROR($J$41+SUMPRODUCT((INDIRECT("'"&amp;$G$41&amp;"'!$C$37:$C$52")&lt;='General Information'!$D$33)*INDIRECT("'"&amp;$G$41&amp;"'!$D$37:$D$52")/(1+$W32/100)^INDIRECT("'"&amp;$G$41&amp;"'!$C$37:$C$52")),0))</f>
        <v/>
      </c>
      <c r="AA32" s="135">
        <f>IF($G$42="",NA(),IFERROR($J$42+SUMPRODUCT((INDIRECT("'"&amp;$G$42&amp;"'!$C$37:$C$52")&lt;='General Information'!$D$33)*INDIRECT("'"&amp;$G$42&amp;"'!$D$37:$D$52")/(1+$W32/100)^INDIRECT("'"&amp;$G$42&amp;"'!$C$37:$C$52")),0))</f>
        <v/>
      </c>
      <c r="AB32" s="134">
        <f>IF(COUNT($X32:$AA32)=0,"",IF($AC32=IFERROR($X32,9E+99),$H$39,IF($AC32=IFERROR($Y32,9E+99),$H$40,IF($AC32=IFERROR($Z32,9E+99),$H$41,$H$42))))</f>
        <v/>
      </c>
      <c r="AC32" s="311">
        <f>MIN(IFERROR($X32,9E+99),IFERROR($Y32,9E+99),IFERROR($Z32,9E+99),IFERROR($AA32,9E+99))</f>
        <v>0</v>
      </c>
    </row>
    <row r="33">
      <c r="W33" s="140" t="n">
        <v>7.25</v>
      </c>
      <c r="X33" s="135">
        <f>IF($G$39="",NA(),IFERROR($J$39+SUMPRODUCT((INDIRECT("'"&amp;$G$39&amp;"'!$C$37:$C$52")&lt;='General Information'!$D$33)*INDIRECT("'"&amp;$G$39&amp;"'!$D$37:$D$52")/(1+$W33/100)^INDIRECT("'"&amp;$G$39&amp;"'!$C$37:$C$52")),0))</f>
        <v/>
      </c>
      <c r="Y33" s="135">
        <f>IF($G$40="",NA(),IFERROR($J$40+SUMPRODUCT((INDIRECT("'"&amp;$G$40&amp;"'!$C$37:$C$52")&lt;='General Information'!$D$33)*INDIRECT("'"&amp;$G$40&amp;"'!$D$37:$D$52")/(1+$W33/100)^INDIRECT("'"&amp;$G$40&amp;"'!$C$37:$C$52")),0))</f>
        <v/>
      </c>
      <c r="Z33" s="135">
        <f>IF($G$41="",NA(),IFERROR($J$41+SUMPRODUCT((INDIRECT("'"&amp;$G$41&amp;"'!$C$37:$C$52")&lt;='General Information'!$D$33)*INDIRECT("'"&amp;$G$41&amp;"'!$D$37:$D$52")/(1+$W33/100)^INDIRECT("'"&amp;$G$41&amp;"'!$C$37:$C$52")),0))</f>
        <v/>
      </c>
      <c r="AA33" s="135">
        <f>IF($G$42="",NA(),IFERROR($J$42+SUMPRODUCT((INDIRECT("'"&amp;$G$42&amp;"'!$C$37:$C$52")&lt;='General Information'!$D$33)*INDIRECT("'"&amp;$G$42&amp;"'!$D$37:$D$52")/(1+$W33/100)^INDIRECT("'"&amp;$G$42&amp;"'!$C$37:$C$52")),0))</f>
        <v/>
      </c>
      <c r="AB33" s="134">
        <f>IF(COUNT($X33:$AA33)=0,"",IF($AC33=IFERROR($X33,9E+99),$H$39,IF($AC33=IFERROR($Y33,9E+99),$H$40,IF($AC33=IFERROR($Z33,9E+99),$H$41,$H$42))))</f>
        <v/>
      </c>
      <c r="AC33" s="311">
        <f>MIN(IFERROR($X33,9E+99),IFERROR($Y33,9E+99),IFERROR($Z33,9E+99),IFERROR($AA33,9E+99))</f>
        <v>0</v>
      </c>
    </row>
    <row r="34">
      <c r="W34" s="140" t="n">
        <v>7.5</v>
      </c>
      <c r="X34" s="135">
        <f>IF($G$39="",NA(),IFERROR($J$39+SUMPRODUCT((INDIRECT("'"&amp;$G$39&amp;"'!$C$37:$C$52")&lt;='General Information'!$D$33)*INDIRECT("'"&amp;$G$39&amp;"'!$D$37:$D$52")/(1+$W34/100)^INDIRECT("'"&amp;$G$39&amp;"'!$C$37:$C$52")),0))</f>
        <v/>
      </c>
      <c r="Y34" s="135">
        <f>IF($G$40="",NA(),IFERROR($J$40+SUMPRODUCT((INDIRECT("'"&amp;$G$40&amp;"'!$C$37:$C$52")&lt;='General Information'!$D$33)*INDIRECT("'"&amp;$G$40&amp;"'!$D$37:$D$52")/(1+$W34/100)^INDIRECT("'"&amp;$G$40&amp;"'!$C$37:$C$52")),0))</f>
        <v/>
      </c>
      <c r="Z34" s="135">
        <f>IF($G$41="",NA(),IFERROR($J$41+SUMPRODUCT((INDIRECT("'"&amp;$G$41&amp;"'!$C$37:$C$52")&lt;='General Information'!$D$33)*INDIRECT("'"&amp;$G$41&amp;"'!$D$37:$D$52")/(1+$W34/100)^INDIRECT("'"&amp;$G$41&amp;"'!$C$37:$C$52")),0))</f>
        <v/>
      </c>
      <c r="AA34" s="135">
        <f>IF($G$42="",NA(),IFERROR($J$42+SUMPRODUCT((INDIRECT("'"&amp;$G$42&amp;"'!$C$37:$C$52")&lt;='General Information'!$D$33)*INDIRECT("'"&amp;$G$42&amp;"'!$D$37:$D$52")/(1+$W34/100)^INDIRECT("'"&amp;$G$42&amp;"'!$C$37:$C$52")),0))</f>
        <v/>
      </c>
      <c r="AB34" s="134">
        <f>IF(COUNT($X34:$AA34)=0,"",IF($AC34=IFERROR($X34,9E+99),$H$39,IF($AC34=IFERROR($Y34,9E+99),$H$40,IF($AC34=IFERROR($Z34,9E+99),$H$41,$H$42))))</f>
        <v/>
      </c>
      <c r="AC34" s="311">
        <f>MIN(IFERROR($X34,9E+99),IFERROR($Y34,9E+99),IFERROR($Z34,9E+99),IFERROR($AA34,9E+99))</f>
        <v>0</v>
      </c>
    </row>
    <row r="35">
      <c r="W35" s="140" t="n">
        <v>7.75</v>
      </c>
      <c r="X35" s="135">
        <f>IF($G$39="",NA(),IFERROR($J$39+SUMPRODUCT((INDIRECT("'"&amp;$G$39&amp;"'!$C$37:$C$52")&lt;='General Information'!$D$33)*INDIRECT("'"&amp;$G$39&amp;"'!$D$37:$D$52")/(1+$W35/100)^INDIRECT("'"&amp;$G$39&amp;"'!$C$37:$C$52")),0))</f>
        <v/>
      </c>
      <c r="Y35" s="135">
        <f>IF($G$40="",NA(),IFERROR($J$40+SUMPRODUCT((INDIRECT("'"&amp;$G$40&amp;"'!$C$37:$C$52")&lt;='General Information'!$D$33)*INDIRECT("'"&amp;$G$40&amp;"'!$D$37:$D$52")/(1+$W35/100)^INDIRECT("'"&amp;$G$40&amp;"'!$C$37:$C$52")),0))</f>
        <v/>
      </c>
      <c r="Z35" s="135">
        <f>IF($G$41="",NA(),IFERROR($J$41+SUMPRODUCT((INDIRECT("'"&amp;$G$41&amp;"'!$C$37:$C$52")&lt;='General Information'!$D$33)*INDIRECT("'"&amp;$G$41&amp;"'!$D$37:$D$52")/(1+$W35/100)^INDIRECT("'"&amp;$G$41&amp;"'!$C$37:$C$52")),0))</f>
        <v/>
      </c>
      <c r="AA35" s="135">
        <f>IF($G$42="",NA(),IFERROR($J$42+SUMPRODUCT((INDIRECT("'"&amp;$G$42&amp;"'!$C$37:$C$52")&lt;='General Information'!$D$33)*INDIRECT("'"&amp;$G$42&amp;"'!$D$37:$D$52")/(1+$W35/100)^INDIRECT("'"&amp;$G$42&amp;"'!$C$37:$C$52")),0))</f>
        <v/>
      </c>
      <c r="AB35" s="134">
        <f>IF(COUNT($X35:$AA35)=0,"",IF($AC35=IFERROR($X35,9E+99),$H$39,IF($AC35=IFERROR($Y35,9E+99),$H$40,IF($AC35=IFERROR($Z35,9E+99),$H$41,$H$42))))</f>
        <v/>
      </c>
      <c r="AC35" s="311">
        <f>MIN(IFERROR($X35,9E+99),IFERROR($Y35,9E+99),IFERROR($Z35,9E+99),IFERROR($AA35,9E+99))</f>
        <v>0</v>
      </c>
    </row>
    <row r="36">
      <c r="G36"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c r="W36" s="140" t="n">
        <v>8</v>
      </c>
      <c r="X36" s="135">
        <f>IF($G$39="",NA(),IFERROR($J$39+SUMPRODUCT((INDIRECT("'"&amp;$G$39&amp;"'!$C$37:$C$52")&lt;='General Information'!$D$33)*INDIRECT("'"&amp;$G$39&amp;"'!$D$37:$D$52")/(1+$W36/100)^INDIRECT("'"&amp;$G$39&amp;"'!$C$37:$C$52")),0))</f>
        <v/>
      </c>
      <c r="Y36" s="135">
        <f>IF($G$40="",NA(),IFERROR($J$40+SUMPRODUCT((INDIRECT("'"&amp;$G$40&amp;"'!$C$37:$C$52")&lt;='General Information'!$D$33)*INDIRECT("'"&amp;$G$40&amp;"'!$D$37:$D$52")/(1+$W36/100)^INDIRECT("'"&amp;$G$40&amp;"'!$C$37:$C$52")),0))</f>
        <v/>
      </c>
      <c r="Z36" s="135">
        <f>IF($G$41="",NA(),IFERROR($J$41+SUMPRODUCT((INDIRECT("'"&amp;$G$41&amp;"'!$C$37:$C$52")&lt;='General Information'!$D$33)*INDIRECT("'"&amp;$G$41&amp;"'!$D$37:$D$52")/(1+$W36/100)^INDIRECT("'"&amp;$G$41&amp;"'!$C$37:$C$52")),0))</f>
        <v/>
      </c>
      <c r="AA36" s="135">
        <f>IF($G$42="",NA(),IFERROR($J$42+SUMPRODUCT((INDIRECT("'"&amp;$G$42&amp;"'!$C$37:$C$52")&lt;='General Information'!$D$33)*INDIRECT("'"&amp;$G$42&amp;"'!$D$37:$D$52")/(1+$W36/100)^INDIRECT("'"&amp;$G$42&amp;"'!$C$37:$C$52")),0))</f>
        <v/>
      </c>
      <c r="AB36" s="134">
        <f>IF(COUNT($X36:$AA36)=0,"",IF($AC36=IFERROR($X36,9E+99),$H$39,IF($AC36=IFERROR($Y36,9E+99),$H$40,IF($AC36=IFERROR($Z36,9E+99),$H$41,$H$42))))</f>
        <v/>
      </c>
      <c r="AC36" s="311">
        <f>MIN(IFERROR($X36,9E+99),IFERROR($Y36,9E+99),IFERROR($Z36,9E+99),IFERROR($AA36,9E+99))</f>
        <v>0</v>
      </c>
    </row>
    <row r="37" ht="22" customHeight="1">
      <c r="G37" s="304" t="inlineStr">
        <is>
          <t xml:space="preserve">THE NUMBERS — every alternative, in full</t>
        </is>
      </c>
      <c r="H37" s="305"/>
      <c r="I37" s="305"/>
      <c r="J37" s="305"/>
      <c r="K37" s="305"/>
      <c r="L37" s="305"/>
      <c r="M37" s="305"/>
      <c r="N37" s="305"/>
      <c r="O37" s="305"/>
      <c r="P37" s="305"/>
      <c r="Q37" s="305"/>
      <c r="R37" s="305"/>
    </row>
    <row r="38">
      <c r="G38" s="209" t="inlineStr">
        <is>
          <t>Worksheet</t>
        </is>
      </c>
      <c r="H38" s="209" t="inlineStr">
        <is>
          <t>Alternative</t>
        </is>
      </c>
      <c r="I38" s="209" t="inlineStr">
        <is>
          <t>Type</t>
        </is>
      </c>
      <c r="J38" s="209" t="inlineStr">
        <is>
          <t>Initial construction</t>
        </is>
      </c>
      <c r="K38" s="209" t="inlineStr">
        <is>
          <t>Maintenance PW</t>
        </is>
      </c>
      <c r="L38" s="209" t="inlineStr">
        <is>
          <t>Rehabilitation PW</t>
        </is>
      </c>
      <c r="M38" s="209" t="inlineStr">
        <is>
          <t>Lost revenue PW</t>
        </is>
      </c>
      <c r="N38" s="209" t="inlineStr">
        <is>
          <t>Salvage PW</t>
        </is>
      </c>
      <c r="O38" s="209" t="inlineStr">
        <is>
          <t>Net present worth</t>
        </is>
      </c>
      <c r="P38" s="209" t="inlineStr">
        <is>
          <t>vs. lowest NPW</t>
        </is>
      </c>
      <c r="Q38" s="209" t="inlineStr">
        <is>
          <t>Closure days in period</t>
        </is>
      </c>
      <c r="R38" s="209" t="inlineStr">
        <is>
          <t>Runway availability</t>
        </is>
      </c>
    </row>
    <row r="39">
      <c r="G39" s="137">
        <f>IF(INDEX(Database!$D:$D,4)="","",INDEX(Database!$D:$D,4))</f>
        <v/>
      </c>
      <c r="H39" s="137">
        <f>IF($G39="","",INDEX(Database!$A:$A,4))</f>
        <v/>
      </c>
      <c r="I39" s="137">
        <f>IF($G39="","",INDEX(Database!$B:$B,4))</f>
        <v/>
      </c>
      <c r="J39" s="138">
        <f>IF($G39="","",IFERROR(INDEX(INDIRECT("'"&amp;$G39&amp;"'!$G$1:$G$70"),MATCH("Total",INDIRECT("'"&amp;$G39&amp;"'!$A$1:$A$70"),0)),0))</f>
        <v/>
      </c>
      <c r="K39" s="138">
        <f>IF($G39="","",IFERROR(SUMIFS(INDIRECT("'"&amp;$G39&amp;"'!$E$37:$E$52"),INDIRECT("'"&amp;$G39&amp;"'!$B$37:$B$52"),"Maintenance*",INDIRECT("'"&amp;$G39&amp;"'!$B$37:$B$52"),"&lt;&gt;*Indirect*"),0))</f>
        <v/>
      </c>
      <c r="L39" s="138">
        <f>IF($G39="","",IFERROR(SUMIFS(INDIRECT("'"&amp;$G39&amp;"'!$E$37:$E$52"),INDIRECT("'"&amp;$G39&amp;"'!$B$37:$B$52"),"Rehabilitation*",INDIRECT("'"&amp;$G39&amp;"'!$B$37:$B$52"),"&lt;&gt;*Indirect*"),0))</f>
        <v/>
      </c>
      <c r="M39" s="138">
        <f>IF($G39="","",IFERROR(SUMIFS(INDIRECT("'"&amp;$G39&amp;"'!$E$37:$E$52"),INDIRECT("'"&amp;$G39&amp;"'!$B$37:$B$52"),"*Indirect*"),0))</f>
        <v/>
      </c>
      <c r="N39" s="138">
        <f>IF($G39="","",IFERROR(SUMIFS(INDIRECT("'"&amp;$G39&amp;"'!$E$37:$E$52"),INDIRECT("'"&amp;$G39&amp;"'!$B$37:$B$52"),"Salvage*"),0))</f>
        <v/>
      </c>
      <c r="O39" s="138">
        <f>IF($G39="","",IFERROR(INDEX(INDIRECT("'"&amp;$G39&amp;"'!$E$1:$E$70"),MATCH("Net Present Worth",INDIRECT("'"&amp;$G39&amp;"'!$B$1:$B$70"),0)),0))</f>
        <v/>
      </c>
      <c r="P39" s="138">
        <f>IF($G39="","",O39-MIN($O$39:$O$42))</f>
        <v/>
      </c>
      <c r="Q39" s="137">
        <f>IF($G39="","",IF(IFERROR(INDIRECT("'"&amp;$G39&amp;"'!$F$2"),0)&gt;0,SUM($AG$41:$AG$71),IFERROR(SUM(INDIRECT("'"&amp;$G39&amp;"'!$F$4:$F$10")),0)))</f>
        <v/>
      </c>
      <c r="R39" s="139">
        <f>IF($G39="","",1-Q39/('General Information'!$D$33*365))</f>
        <v/>
      </c>
      <c r="W39" s="122" t="inlineStr">
        <is>
          <t>By calendar year: spend (undiscounted), cumulative discounted cost, closure days</t>
        </is>
      </c>
    </row>
    <row r="40">
      <c r="G40" s="137">
        <f>IF(INDEX(Database!$D:$D,5)="","",INDEX(Database!$D:$D,5))</f>
        <v/>
      </c>
      <c r="H40" s="137">
        <f>IF($G40="","",INDEX(Database!$A:$A,5))</f>
        <v/>
      </c>
      <c r="I40" s="137">
        <f>IF($G40="","",INDEX(Database!$B:$B,5))</f>
        <v/>
      </c>
      <c r="J40" s="138">
        <f>IF($G40="","",IFERROR(INDEX(INDIRECT("'"&amp;$G40&amp;"'!$G$1:$G$70"),MATCH("Total",INDIRECT("'"&amp;$G40&amp;"'!$A$1:$A$70"),0)),0))</f>
        <v/>
      </c>
      <c r="K40" s="138">
        <f>IF($G40="","",IFERROR(SUMIFS(INDIRECT("'"&amp;$G40&amp;"'!$E$37:$E$52"),INDIRECT("'"&amp;$G40&amp;"'!$B$37:$B$52"),"Maintenance*",INDIRECT("'"&amp;$G40&amp;"'!$B$37:$B$52"),"&lt;&gt;*Indirect*"),0))</f>
        <v/>
      </c>
      <c r="L40" s="138">
        <f>IF($G40="","",IFERROR(SUMIFS(INDIRECT("'"&amp;$G40&amp;"'!$E$37:$E$52"),INDIRECT("'"&amp;$G40&amp;"'!$B$37:$B$52"),"Rehabilitation*",INDIRECT("'"&amp;$G40&amp;"'!$B$37:$B$52"),"&lt;&gt;*Indirect*"),0))</f>
        <v/>
      </c>
      <c r="M40" s="138">
        <f>IF($G40="","",IFERROR(SUMIFS(INDIRECT("'"&amp;$G40&amp;"'!$E$37:$E$52"),INDIRECT("'"&amp;$G40&amp;"'!$B$37:$B$52"),"*Indirect*"),0))</f>
        <v/>
      </c>
      <c r="N40" s="138">
        <f>IF($G40="","",IFERROR(SUMIFS(INDIRECT("'"&amp;$G40&amp;"'!$E$37:$E$52"),INDIRECT("'"&amp;$G40&amp;"'!$B$37:$B$52"),"Salvage*"),0))</f>
        <v/>
      </c>
      <c r="O40" s="138">
        <f>IF($G40="","",IFERROR(INDEX(INDIRECT("'"&amp;$G40&amp;"'!$E$1:$E$70"),MATCH("Net Present Worth",INDIRECT("'"&amp;$G40&amp;"'!$B$1:$B$70"),0)),0))</f>
        <v/>
      </c>
      <c r="P40" s="138">
        <f>IF($G40="","",O40-MIN($O$39:$O$42))</f>
        <v/>
      </c>
      <c r="Q40" s="137">
        <f>IF($G40="","",IF(IFERROR(INDIRECT("'"&amp;$G40&amp;"'!$F$2"),0)&gt;0,SUM($AH$41:$AH$71),IFERROR(SUM(INDIRECT("'"&amp;$G40&amp;"'!$F$4:$F$10")),0)))</f>
        <v/>
      </c>
      <c r="R40" s="139">
        <f>IF($G40="","",1-Q40/('General Information'!$D$33*365))</f>
        <v/>
      </c>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c r="G41" s="137">
        <f>IF(INDEX(Database!$D:$D,6)="","",INDEX(Database!$D:$D,6))</f>
        <v/>
      </c>
      <c r="H41" s="137">
        <f>IF($G41="","",INDEX(Database!$A:$A,6))</f>
        <v/>
      </c>
      <c r="I41" s="137">
        <f>IF($G41="","",INDEX(Database!$B:$B,6))</f>
        <v/>
      </c>
      <c r="J41" s="138">
        <f>IF($G41="","",IFERROR(INDEX(INDIRECT("'"&amp;$G41&amp;"'!$G$1:$G$70"),MATCH("Total",INDIRECT("'"&amp;$G41&amp;"'!$A$1:$A$70"),0)),0))</f>
        <v/>
      </c>
      <c r="K41" s="138">
        <f>IF($G41="","",IFERROR(SUMIFS(INDIRECT("'"&amp;$G41&amp;"'!$E$37:$E$52"),INDIRECT("'"&amp;$G41&amp;"'!$B$37:$B$52"),"Maintenance*",INDIRECT("'"&amp;$G41&amp;"'!$B$37:$B$52"),"&lt;&gt;*Indirect*"),0))</f>
        <v/>
      </c>
      <c r="L41" s="138">
        <f>IF($G41="","",IFERROR(SUMIFS(INDIRECT("'"&amp;$G41&amp;"'!$E$37:$E$52"),INDIRECT("'"&amp;$G41&amp;"'!$B$37:$B$52"),"Rehabilitation*",INDIRECT("'"&amp;$G41&amp;"'!$B$37:$B$52"),"&lt;&gt;*Indirect*"),0))</f>
        <v/>
      </c>
      <c r="M41" s="138">
        <f>IF($G41="","",IFERROR(SUMIFS(INDIRECT("'"&amp;$G41&amp;"'!$E$37:$E$52"),INDIRECT("'"&amp;$G41&amp;"'!$B$37:$B$52"),"*Indirect*"),0))</f>
        <v/>
      </c>
      <c r="N41" s="138">
        <f>IF($G41="","",IFERROR(SUMIFS(INDIRECT("'"&amp;$G41&amp;"'!$E$37:$E$52"),INDIRECT("'"&amp;$G41&amp;"'!$B$37:$B$52"),"Salvage*"),0))</f>
        <v/>
      </c>
      <c r="O41" s="138">
        <f>IF($G41="","",IFERROR(INDEX(INDIRECT("'"&amp;$G41&amp;"'!$E$1:$E$70"),MATCH("Net Present Worth",INDIRECT("'"&amp;$G41&amp;"'!$B$1:$B$70"),0)),0))</f>
        <v/>
      </c>
      <c r="P41" s="138">
        <f>IF($G41="","",O41-MIN($O$39:$O$42))</f>
        <v/>
      </c>
      <c r="Q41" s="137">
        <f>IF($G41="","",IF(IFERROR(INDIRECT("'"&amp;$G41&amp;"'!$F$2"),0)&gt;0,SUM($AI$41:$AI$71),IFERROR(SUM(INDIRECT("'"&amp;$G41&amp;"'!$F$4:$F$10")),0)))</f>
        <v/>
      </c>
      <c r="R41" s="139">
        <f>IF($G41="","",1-Q41/('General Information'!$D$33*365))</f>
        <v/>
      </c>
      <c r="W41" s="134" t="n">
        <v>0</v>
      </c>
      <c r="X41" s="134">
        <f>'General Information'!$D$25+W41</f>
        <v/>
      </c>
      <c r="Y41" s="135">
        <f>IF($G$39="",0,IF(W41&gt;'General Information'!$D$33,0,IF(W41=0,$J$39,IFERROR(SUMIF(INDIRECT("'"&amp;$G$39&amp;"'!$C$37:$C$52"),W41,INDIRECT("'"&amp;$G$39&amp;"'!$D$37:$D$52")),0))))</f>
        <v/>
      </c>
      <c r="Z41" s="135">
        <f>IF($G$40="",0,IF(W41&gt;'General Information'!$D$33,0,IF(W41=0,$J$40,IFERROR(SUMIF(INDIRECT("'"&amp;$G$40&amp;"'!$C$37:$C$52"),W41,INDIRECT("'"&amp;$G$40&amp;"'!$D$37:$D$52")),0))))</f>
        <v/>
      </c>
      <c r="AA41" s="135">
        <f>IF($G$41="",0,IF(W41&gt;'General Information'!$D$33,0,IF(W41=0,$J$41,IFERROR(SUMIF(INDIRECT("'"&amp;$G$41&amp;"'!$C$37:$C$52"),W41,INDIRECT("'"&amp;$G$41&amp;"'!$D$37:$D$52")),0))))</f>
        <v/>
      </c>
      <c r="AB41" s="135">
        <f>IF($G$42="",0,IF(W41&gt;'General Information'!$D$33,0,IF(W41=0,$J$42,IFERROR(SUMIF(INDIRECT("'"&amp;$G$42&amp;"'!$C$37:$C$52"),W41,INDIRECT("'"&amp;$G$42&amp;"'!$D$37:$D$52")),0))))</f>
        <v/>
      </c>
      <c r="AC41" s="135">
        <f>IF($G$39="",NA(),IF(W41&gt;'General Information'!$D$33,0,IF(W41=0,$J$39,IFERROR(SUMIF(INDIRECT("'"&amp;$G$39&amp;"'!$C$37:$C$52"),W41,INDIRECT("'"&amp;$G$39&amp;"'!$E$37:$E$52")),0))))</f>
        <v/>
      </c>
      <c r="AD41" s="135">
        <f>IF($G$40="",NA(),IF(W41&gt;'General Information'!$D$33,0,IF(W41=0,$J$40,IFERROR(SUMIF(INDIRECT("'"&amp;$G$40&amp;"'!$C$37:$C$52"),W41,INDIRECT("'"&amp;$G$40&amp;"'!$E$37:$E$52")),0))))</f>
        <v/>
      </c>
      <c r="AE41" s="135">
        <f>IF($G$41="",NA(),IF(W41&gt;'General Information'!$D$33,0,IF(W41=0,$J$41,IFERROR(SUMIF(INDIRECT("'"&amp;$G$41&amp;"'!$C$37:$C$52"),W41,INDIRECT("'"&amp;$G$41&amp;"'!$E$37:$E$52")),0))))</f>
        <v/>
      </c>
      <c r="AF41" s="135">
        <f>IF($G$42="",NA(),IF(W41&gt;'General Information'!$D$33,0,IF(W41=0,$J$42,IFERROR(SUMIF(INDIRECT("'"&amp;$G$42&amp;"'!$C$37:$C$52"),W41,INDIRECT("'"&amp;$G$42&amp;"'!$E$37:$E$52")),0))))</f>
        <v/>
      </c>
      <c r="AG41" s="152">
        <f>IF($G$39="",0,IF(W41&gt;'General Information'!$D$33,0,IFERROR(SUMIFS(INDIRECT("'"&amp;$G$39&amp;"'!$D$37:$D$52"),INDIRECT("'"&amp;$G$39&amp;"'!$C$37:$C$52"),W41,INDIRECT("'"&amp;$G$39&amp;"'!$B$37:$B$52"),"*Indirect*")/INDIRECT("'"&amp;$G$39&amp;"'!$F$2"),0)))</f>
        <v/>
      </c>
      <c r="AH41" s="152">
        <f>IF($G$40="",0,IF(W41&gt;'General Information'!$D$33,0,IFERROR(SUMIFS(INDIRECT("'"&amp;$G$40&amp;"'!$D$37:$D$52"),INDIRECT("'"&amp;$G$40&amp;"'!$C$37:$C$52"),W41,INDIRECT("'"&amp;$G$40&amp;"'!$B$37:$B$52"),"*Indirect*")/INDIRECT("'"&amp;$G$40&amp;"'!$F$2"),0)))</f>
        <v/>
      </c>
      <c r="AI41" s="152">
        <f>IF($G$41="",0,IF(W41&gt;'General Information'!$D$33,0,IFERROR(SUMIFS(INDIRECT("'"&amp;$G$41&amp;"'!$D$37:$D$52"),INDIRECT("'"&amp;$G$41&amp;"'!$C$37:$C$52"),W41,INDIRECT("'"&amp;$G$41&amp;"'!$B$37:$B$52"),"*Indirect*")/INDIRECT("'"&amp;$G$41&amp;"'!$F$2"),0)))</f>
        <v/>
      </c>
      <c r="AJ41" s="152">
        <f>IF($G$42="",0,IF(W41&gt;'General Information'!$D$33,0,IFERROR(SUMIFS(INDIRECT("'"&amp;$G$42&amp;"'!$D$37:$D$52"),INDIRECT("'"&amp;$G$42&amp;"'!$C$37:$C$52"),W41,INDIRECT("'"&amp;$G$42&amp;"'!$B$37:$B$52"),"*Indirect*")/INDIRECT("'"&amp;$G$42&amp;"'!$F$2"),0)))</f>
        <v/>
      </c>
    </row>
    <row r="42">
      <c r="G42" s="137">
        <f>IF(INDEX(Database!$D:$D,7)="","",INDEX(Database!$D:$D,7))</f>
        <v/>
      </c>
      <c r="H42" s="137">
        <f>IF($G42="","",INDEX(Database!$A:$A,7))</f>
        <v/>
      </c>
      <c r="I42" s="137">
        <f>IF($G42="","",INDEX(Database!$B:$B,7))</f>
        <v/>
      </c>
      <c r="J42" s="138">
        <f>IF($G42="","",IFERROR(INDEX(INDIRECT("'"&amp;$G42&amp;"'!$G$1:$G$70"),MATCH("Total",INDIRECT("'"&amp;$G42&amp;"'!$A$1:$A$70"),0)),0))</f>
        <v/>
      </c>
      <c r="K42" s="138">
        <f>IF($G42="","",IFERROR(SUMIFS(INDIRECT("'"&amp;$G42&amp;"'!$E$37:$E$52"),INDIRECT("'"&amp;$G42&amp;"'!$B$37:$B$52"),"Maintenance*",INDIRECT("'"&amp;$G42&amp;"'!$B$37:$B$52"),"&lt;&gt;*Indirect*"),0))</f>
        <v/>
      </c>
      <c r="L42" s="138">
        <f>IF($G42="","",IFERROR(SUMIFS(INDIRECT("'"&amp;$G42&amp;"'!$E$37:$E$52"),INDIRECT("'"&amp;$G42&amp;"'!$B$37:$B$52"),"Rehabilitation*",INDIRECT("'"&amp;$G42&amp;"'!$B$37:$B$52"),"&lt;&gt;*Indirect*"),0))</f>
        <v/>
      </c>
      <c r="M42" s="138">
        <f>IF($G42="","",IFERROR(SUMIFS(INDIRECT("'"&amp;$G42&amp;"'!$E$37:$E$52"),INDIRECT("'"&amp;$G42&amp;"'!$B$37:$B$52"),"*Indirect*"),0))</f>
        <v/>
      </c>
      <c r="N42" s="138">
        <f>IF($G42="","",IFERROR(SUMIFS(INDIRECT("'"&amp;$G42&amp;"'!$E$37:$E$52"),INDIRECT("'"&amp;$G42&amp;"'!$B$37:$B$52"),"Salvage*"),0))</f>
        <v/>
      </c>
      <c r="O42" s="138">
        <f>IF($G42="","",IFERROR(INDEX(INDIRECT("'"&amp;$G42&amp;"'!$E$1:$E$70"),MATCH("Net Present Worth",INDIRECT("'"&amp;$G42&amp;"'!$B$1:$B$70"),0)),0))</f>
        <v/>
      </c>
      <c r="P42" s="138">
        <f>IF($G42="","",O42-MIN($O$39:$O$42))</f>
        <v/>
      </c>
      <c r="Q42" s="137">
        <f>IF($G42="","",IF(IFERROR(INDIRECT("'"&amp;$G42&amp;"'!$F$2"),0)&gt;0,SUM($AJ$41:$AJ$71),IFERROR(SUM(INDIRECT("'"&amp;$G42&amp;"'!$F$4:$F$10")),0)))</f>
        <v/>
      </c>
      <c r="R42" s="139">
        <f>IF($G42="","",1-Q42/('General Information'!$D$33*365))</f>
        <v/>
      </c>
      <c r="W42" s="134" t="n">
        <v>1</v>
      </c>
      <c r="X42" s="134">
        <f>'General Information'!$D$25+W42</f>
        <v/>
      </c>
      <c r="Y42" s="135">
        <f>IF($G$39="",0,IF(W42&gt;'General Information'!$D$33,0,IF(W42=0,$J$39,IFERROR(SUMIF(INDIRECT("'"&amp;$G$39&amp;"'!$C$37:$C$52"),W42,INDIRECT("'"&amp;$G$39&amp;"'!$D$37:$D$52")),0))))</f>
        <v/>
      </c>
      <c r="Z42" s="135">
        <f>IF($G$40="",0,IF(W42&gt;'General Information'!$D$33,0,IF(W42=0,$J$40,IFERROR(SUMIF(INDIRECT("'"&amp;$G$40&amp;"'!$C$37:$C$52"),W42,INDIRECT("'"&amp;$G$40&amp;"'!$D$37:$D$52")),0))))</f>
        <v/>
      </c>
      <c r="AA42" s="135">
        <f>IF($G$41="",0,IF(W42&gt;'General Information'!$D$33,0,IF(W42=0,$J$41,IFERROR(SUMIF(INDIRECT("'"&amp;$G$41&amp;"'!$C$37:$C$52"),W42,INDIRECT("'"&amp;$G$41&amp;"'!$D$37:$D$52")),0))))</f>
        <v/>
      </c>
      <c r="AB42" s="135">
        <f>IF($G$42="",0,IF(W42&gt;'General Information'!$D$33,0,IF(W42=0,$J$42,IFERROR(SUMIF(INDIRECT("'"&amp;$G$42&amp;"'!$C$37:$C$52"),W42,INDIRECT("'"&amp;$G$42&amp;"'!$D$37:$D$52")),0))))</f>
        <v/>
      </c>
      <c r="AC42" s="135">
        <f>IF($G$39="",NA(),AC41+IF(W42&gt;'General Information'!$D$33,0,IF(W42=0,$J$39,IFERROR(SUMIF(INDIRECT("'"&amp;$G$39&amp;"'!$C$37:$C$52"),W42,INDIRECT("'"&amp;$G$39&amp;"'!$E$37:$E$52")),0))))</f>
        <v/>
      </c>
      <c r="AD42" s="135">
        <f>IF($G$40="",NA(),AD41+IF(W42&gt;'General Information'!$D$33,0,IF(W42=0,$J$40,IFERROR(SUMIF(INDIRECT("'"&amp;$G$40&amp;"'!$C$37:$C$52"),W42,INDIRECT("'"&amp;$G$40&amp;"'!$E$37:$E$52")),0))))</f>
        <v/>
      </c>
      <c r="AE42" s="135">
        <f>IF($G$41="",NA(),AE41+IF(W42&gt;'General Information'!$D$33,0,IF(W42=0,$J$41,IFERROR(SUMIF(INDIRECT("'"&amp;$G$41&amp;"'!$C$37:$C$52"),W42,INDIRECT("'"&amp;$G$41&amp;"'!$E$37:$E$52")),0))))</f>
        <v/>
      </c>
      <c r="AF42" s="135">
        <f>IF($G$42="",NA(),AF41+IF(W42&gt;'General Information'!$D$33,0,IF(W42=0,$J$42,IFERROR(SUMIF(INDIRECT("'"&amp;$G$42&amp;"'!$C$37:$C$52"),W42,INDIRECT("'"&amp;$G$42&amp;"'!$E$37:$E$52")),0))))</f>
        <v/>
      </c>
      <c r="AG42" s="152">
        <f>IF($G$39="",0,IF(W42&gt;'General Information'!$D$33,0,IFERROR(SUMIFS(INDIRECT("'"&amp;$G$39&amp;"'!$D$37:$D$52"),INDIRECT("'"&amp;$G$39&amp;"'!$C$37:$C$52"),W42,INDIRECT("'"&amp;$G$39&amp;"'!$B$37:$B$52"),"*Indirect*")/INDIRECT("'"&amp;$G$39&amp;"'!$F$2"),0)))</f>
        <v/>
      </c>
      <c r="AH42" s="152">
        <f>IF($G$40="",0,IF(W42&gt;'General Information'!$D$33,0,IFERROR(SUMIFS(INDIRECT("'"&amp;$G$40&amp;"'!$D$37:$D$52"),INDIRECT("'"&amp;$G$40&amp;"'!$C$37:$C$52"),W42,INDIRECT("'"&amp;$G$40&amp;"'!$B$37:$B$52"),"*Indirect*")/INDIRECT("'"&amp;$G$40&amp;"'!$F$2"),0)))</f>
        <v/>
      </c>
      <c r="AI42" s="152">
        <f>IF($G$41="",0,IF(W42&gt;'General Information'!$D$33,0,IFERROR(SUMIFS(INDIRECT("'"&amp;$G$41&amp;"'!$D$37:$D$52"),INDIRECT("'"&amp;$G$41&amp;"'!$C$37:$C$52"),W42,INDIRECT("'"&amp;$G$41&amp;"'!$B$37:$B$52"),"*Indirect*")/INDIRECT("'"&amp;$G$41&amp;"'!$F$2"),0)))</f>
        <v/>
      </c>
      <c r="AJ42" s="152">
        <f>IF($G$42="",0,IF(W42&gt;'General Information'!$D$33,0,IFERROR(SUMIFS(INDIRECT("'"&amp;$G$42&amp;"'!$D$37:$D$52"),INDIRECT("'"&amp;$G$42&amp;"'!$C$37:$C$52"),W42,INDIRECT("'"&amp;$G$42&amp;"'!$B$37:$B$52"),"*Indirect*")/INDIRECT("'"&amp;$G$42&amp;"'!$F$2"),0)))</f>
        <v/>
      </c>
    </row>
    <row r="43">
      <c r="W43" s="134" t="n">
        <v>2</v>
      </c>
      <c r="X43" s="134">
        <f>'General Information'!$D$25+W43</f>
        <v/>
      </c>
      <c r="Y43" s="135">
        <f>IF($G$39="",0,IF(W43&gt;'General Information'!$D$33,0,IF(W43=0,$J$39,IFERROR(SUMIF(INDIRECT("'"&amp;$G$39&amp;"'!$C$37:$C$52"),W43,INDIRECT("'"&amp;$G$39&amp;"'!$D$37:$D$52")),0))))</f>
        <v/>
      </c>
      <c r="Z43" s="135">
        <f>IF($G$40="",0,IF(W43&gt;'General Information'!$D$33,0,IF(W43=0,$J$40,IFERROR(SUMIF(INDIRECT("'"&amp;$G$40&amp;"'!$C$37:$C$52"),W43,INDIRECT("'"&amp;$G$40&amp;"'!$D$37:$D$52")),0))))</f>
        <v/>
      </c>
      <c r="AA43" s="135">
        <f>IF($G$41="",0,IF(W43&gt;'General Information'!$D$33,0,IF(W43=0,$J$41,IFERROR(SUMIF(INDIRECT("'"&amp;$G$41&amp;"'!$C$37:$C$52"),W43,INDIRECT("'"&amp;$G$41&amp;"'!$D$37:$D$52")),0))))</f>
        <v/>
      </c>
      <c r="AB43" s="135">
        <f>IF($G$42="",0,IF(W43&gt;'General Information'!$D$33,0,IF(W43=0,$J$42,IFERROR(SUMIF(INDIRECT("'"&amp;$G$42&amp;"'!$C$37:$C$52"),W43,INDIRECT("'"&amp;$G$42&amp;"'!$D$37:$D$52")),0))))</f>
        <v/>
      </c>
      <c r="AC43" s="135">
        <f>IF($G$39="",NA(),AC42+IF(W43&gt;'General Information'!$D$33,0,IF(W43=0,$J$39,IFERROR(SUMIF(INDIRECT("'"&amp;$G$39&amp;"'!$C$37:$C$52"),W43,INDIRECT("'"&amp;$G$39&amp;"'!$E$37:$E$52")),0))))</f>
        <v/>
      </c>
      <c r="AD43" s="135">
        <f>IF($G$40="",NA(),AD42+IF(W43&gt;'General Information'!$D$33,0,IF(W43=0,$J$40,IFERROR(SUMIF(INDIRECT("'"&amp;$G$40&amp;"'!$C$37:$C$52"),W43,INDIRECT("'"&amp;$G$40&amp;"'!$E$37:$E$52")),0))))</f>
        <v/>
      </c>
      <c r="AE43" s="135">
        <f>IF($G$41="",NA(),AE42+IF(W43&gt;'General Information'!$D$33,0,IF(W43=0,$J$41,IFERROR(SUMIF(INDIRECT("'"&amp;$G$41&amp;"'!$C$37:$C$52"),W43,INDIRECT("'"&amp;$G$41&amp;"'!$E$37:$E$52")),0))))</f>
        <v/>
      </c>
      <c r="AF43" s="135">
        <f>IF($G$42="",NA(),AF42+IF(W43&gt;'General Information'!$D$33,0,IF(W43=0,$J$42,IFERROR(SUMIF(INDIRECT("'"&amp;$G$42&amp;"'!$C$37:$C$52"),W43,INDIRECT("'"&amp;$G$42&amp;"'!$E$37:$E$52")),0))))</f>
        <v/>
      </c>
      <c r="AG43" s="152">
        <f>IF($G$39="",0,IF(W43&gt;'General Information'!$D$33,0,IFERROR(SUMIFS(INDIRECT("'"&amp;$G$39&amp;"'!$D$37:$D$52"),INDIRECT("'"&amp;$G$39&amp;"'!$C$37:$C$52"),W43,INDIRECT("'"&amp;$G$39&amp;"'!$B$37:$B$52"),"*Indirect*")/INDIRECT("'"&amp;$G$39&amp;"'!$F$2"),0)))</f>
        <v/>
      </c>
      <c r="AH43" s="152">
        <f>IF($G$40="",0,IF(W43&gt;'General Information'!$D$33,0,IFERROR(SUMIFS(INDIRECT("'"&amp;$G$40&amp;"'!$D$37:$D$52"),INDIRECT("'"&amp;$G$40&amp;"'!$C$37:$C$52"),W43,INDIRECT("'"&amp;$G$40&amp;"'!$B$37:$B$52"),"*Indirect*")/INDIRECT("'"&amp;$G$40&amp;"'!$F$2"),0)))</f>
        <v/>
      </c>
      <c r="AI43" s="152">
        <f>IF($G$41="",0,IF(W43&gt;'General Information'!$D$33,0,IFERROR(SUMIFS(INDIRECT("'"&amp;$G$41&amp;"'!$D$37:$D$52"),INDIRECT("'"&amp;$G$41&amp;"'!$C$37:$C$52"),W43,INDIRECT("'"&amp;$G$41&amp;"'!$B$37:$B$52"),"*Indirect*")/INDIRECT("'"&amp;$G$41&amp;"'!$F$2"),0)))</f>
        <v/>
      </c>
      <c r="AJ43" s="152">
        <f>IF($G$42="",0,IF(W43&gt;'General Information'!$D$33,0,IFERROR(SUMIFS(INDIRECT("'"&amp;$G$42&amp;"'!$D$37:$D$52"),INDIRECT("'"&amp;$G$42&amp;"'!$C$37:$C$52"),W43,INDIRECT("'"&amp;$G$42&amp;"'!$B$37:$B$52"),"*Indirect*")/INDIRECT("'"&amp;$G$42&amp;"'!$F$2"),0)))</f>
        <v/>
      </c>
    </row>
    <row r="44">
      <c r="G44" s="141">
        <f>IF(COUNT($O$39:$O$42)=0,"No alternatives yet. Go to General Information and click Alternative Setup.","Lowest present worth: "&amp;INDEX($H$39:$H$42,MATCH(MIN($O$39:$O$42),$O$39:$O$42,0))&amp;IF(COUNT($O$39:$O$42)&lt;2,"   |   only one alternative so far",IF(SMALL($O$39:$O$42,2)=MIN($O$39:$O$42),"   |   tied with the next alternative","   |   margin to next: "&amp;TEXT(SMALL($O$39:$O$42,2)-MIN($O$39:$O$42),"$#,##0")))&amp;"   |   "&amp;'General Information'!$D$34&amp;"% over "&amp;'General Information'!$D$33&amp;" years   |   lost revenue: "&amp;'General Information'!$D$38)</f>
        <v/>
      </c>
      <c r="H44" s="142" t="n"/>
      <c r="I44" s="142" t="n"/>
      <c r="J44" s="142" t="n"/>
      <c r="K44" s="142" t="n"/>
      <c r="L44" s="142" t="n"/>
      <c r="M44" s="142" t="n"/>
      <c r="N44" s="142" t="n"/>
      <c r="O44" s="142" t="n"/>
      <c r="P44" s="142" t="n"/>
      <c r="Q44" s="142" t="n"/>
      <c r="R44" s="142" t="n"/>
      <c r="W44" s="134" t="n">
        <v>3</v>
      </c>
      <c r="X44" s="134">
        <f>'General Information'!$D$25+W44</f>
        <v/>
      </c>
      <c r="Y44" s="135">
        <f>IF($G$39="",0,IF(W44&gt;'General Information'!$D$33,0,IF(W44=0,$J$39,IFERROR(SUMIF(INDIRECT("'"&amp;$G$39&amp;"'!$C$37:$C$52"),W44,INDIRECT("'"&amp;$G$39&amp;"'!$D$37:$D$52")),0))))</f>
        <v/>
      </c>
      <c r="Z44" s="135">
        <f>IF($G$40="",0,IF(W44&gt;'General Information'!$D$33,0,IF(W44=0,$J$40,IFERROR(SUMIF(INDIRECT("'"&amp;$G$40&amp;"'!$C$37:$C$52"),W44,INDIRECT("'"&amp;$G$40&amp;"'!$D$37:$D$52")),0))))</f>
        <v/>
      </c>
      <c r="AA44" s="135">
        <f>IF($G$41="",0,IF(W44&gt;'General Information'!$D$33,0,IF(W44=0,$J$41,IFERROR(SUMIF(INDIRECT("'"&amp;$G$41&amp;"'!$C$37:$C$52"),W44,INDIRECT("'"&amp;$G$41&amp;"'!$D$37:$D$52")),0))))</f>
        <v/>
      </c>
      <c r="AB44" s="135">
        <f>IF($G$42="",0,IF(W44&gt;'General Information'!$D$33,0,IF(W44=0,$J$42,IFERROR(SUMIF(INDIRECT("'"&amp;$G$42&amp;"'!$C$37:$C$52"),W44,INDIRECT("'"&amp;$G$42&amp;"'!$D$37:$D$52")),0))))</f>
        <v/>
      </c>
      <c r="AC44" s="135">
        <f>IF($G$39="",NA(),AC43+IF(W44&gt;'General Information'!$D$33,0,IF(W44=0,$J$39,IFERROR(SUMIF(INDIRECT("'"&amp;$G$39&amp;"'!$C$37:$C$52"),W44,INDIRECT("'"&amp;$G$39&amp;"'!$E$37:$E$52")),0))))</f>
        <v/>
      </c>
      <c r="AD44" s="135">
        <f>IF($G$40="",NA(),AD43+IF(W44&gt;'General Information'!$D$33,0,IF(W44=0,$J$40,IFERROR(SUMIF(INDIRECT("'"&amp;$G$40&amp;"'!$C$37:$C$52"),W44,INDIRECT("'"&amp;$G$40&amp;"'!$E$37:$E$52")),0))))</f>
        <v/>
      </c>
      <c r="AE44" s="135">
        <f>IF($G$41="",NA(),AE43+IF(W44&gt;'General Information'!$D$33,0,IF(W44=0,$J$41,IFERROR(SUMIF(INDIRECT("'"&amp;$G$41&amp;"'!$C$37:$C$52"),W44,INDIRECT("'"&amp;$G$41&amp;"'!$E$37:$E$52")),0))))</f>
        <v/>
      </c>
      <c r="AF44" s="135">
        <f>IF($G$42="",NA(),AF43+IF(W44&gt;'General Information'!$D$33,0,IF(W44=0,$J$42,IFERROR(SUMIF(INDIRECT("'"&amp;$G$42&amp;"'!$C$37:$C$52"),W44,INDIRECT("'"&amp;$G$42&amp;"'!$E$37:$E$52")),0))))</f>
        <v/>
      </c>
      <c r="AG44" s="152">
        <f>IF($G$39="",0,IF(W44&gt;'General Information'!$D$33,0,IFERROR(SUMIFS(INDIRECT("'"&amp;$G$39&amp;"'!$D$37:$D$52"),INDIRECT("'"&amp;$G$39&amp;"'!$C$37:$C$52"),W44,INDIRECT("'"&amp;$G$39&amp;"'!$B$37:$B$52"),"*Indirect*")/INDIRECT("'"&amp;$G$39&amp;"'!$F$2"),0)))</f>
        <v/>
      </c>
      <c r="AH44" s="152">
        <f>IF($G$40="",0,IF(W44&gt;'General Information'!$D$33,0,IFERROR(SUMIFS(INDIRECT("'"&amp;$G$40&amp;"'!$D$37:$D$52"),INDIRECT("'"&amp;$G$40&amp;"'!$C$37:$C$52"),W44,INDIRECT("'"&amp;$G$40&amp;"'!$B$37:$B$52"),"*Indirect*")/INDIRECT("'"&amp;$G$40&amp;"'!$F$2"),0)))</f>
        <v/>
      </c>
      <c r="AI44" s="152">
        <f>IF($G$41="",0,IF(W44&gt;'General Information'!$D$33,0,IFERROR(SUMIFS(INDIRECT("'"&amp;$G$41&amp;"'!$D$37:$D$52"),INDIRECT("'"&amp;$G$41&amp;"'!$C$37:$C$52"),W44,INDIRECT("'"&amp;$G$41&amp;"'!$B$37:$B$52"),"*Indirect*")/INDIRECT("'"&amp;$G$41&amp;"'!$F$2"),0)))</f>
        <v/>
      </c>
      <c r="AJ44" s="152">
        <f>IF($G$42="",0,IF(W44&gt;'General Information'!$D$33,0,IFERROR(SUMIFS(INDIRECT("'"&amp;$G$42&amp;"'!$D$37:$D$52"),INDIRECT("'"&amp;$G$42&amp;"'!$C$37:$C$52"),W44,INDIRECT("'"&amp;$G$42&amp;"'!$B$37:$B$52"),"*Indirect*")/INDIRECT("'"&amp;$G$42&amp;"'!$F$2"),0)))</f>
        <v/>
      </c>
    </row>
    <row r="45">
      <c r="G45" s="136">
        <f>IF(COUNT($O$39:$O$42)&lt;2,"",IF(INDEX($H$39:$H$42,MATCH(MIN($O$39:$O$42),$O$39:$O$42,0))=$AB$12,"Same lowest-cost alternative at 2% (OMB A-94 real rate, FAA PGL 22-01)","At 2% (OMB A-94 real rate, FAA PGL 22-01) the lowest-cost alternative changes")&amp;"   |   "&amp;IF(INDEX($H$39:$H$42,MATCH(MIN($O$39:$O$42),$O$39:$O$42,0))=$AB$32,"same at 7% (pre-2022 AIP rule)","changes at 7% (pre-2022 AIP rule): see chart 2"))</f>
        <v/>
      </c>
      <c r="W45" s="134" t="n">
        <v>4</v>
      </c>
      <c r="X45" s="134">
        <f>'General Information'!$D$25+W45</f>
        <v/>
      </c>
      <c r="Y45" s="135">
        <f>IF($G$39="",0,IF(W45&gt;'General Information'!$D$33,0,IF(W45=0,$J$39,IFERROR(SUMIF(INDIRECT("'"&amp;$G$39&amp;"'!$C$37:$C$52"),W45,INDIRECT("'"&amp;$G$39&amp;"'!$D$37:$D$52")),0))))</f>
        <v/>
      </c>
      <c r="Z45" s="135">
        <f>IF($G$40="",0,IF(W45&gt;'General Information'!$D$33,0,IF(W45=0,$J$40,IFERROR(SUMIF(INDIRECT("'"&amp;$G$40&amp;"'!$C$37:$C$52"),W45,INDIRECT("'"&amp;$G$40&amp;"'!$D$37:$D$52")),0))))</f>
        <v/>
      </c>
      <c r="AA45" s="135">
        <f>IF($G$41="",0,IF(W45&gt;'General Information'!$D$33,0,IF(W45=0,$J$41,IFERROR(SUMIF(INDIRECT("'"&amp;$G$41&amp;"'!$C$37:$C$52"),W45,INDIRECT("'"&amp;$G$41&amp;"'!$D$37:$D$52")),0))))</f>
        <v/>
      </c>
      <c r="AB45" s="135">
        <f>IF($G$42="",0,IF(W45&gt;'General Information'!$D$33,0,IF(W45=0,$J$42,IFERROR(SUMIF(INDIRECT("'"&amp;$G$42&amp;"'!$C$37:$C$52"),W45,INDIRECT("'"&amp;$G$42&amp;"'!$D$37:$D$52")),0))))</f>
        <v/>
      </c>
      <c r="AC45" s="135">
        <f>IF($G$39="",NA(),AC44+IF(W45&gt;'General Information'!$D$33,0,IF(W45=0,$J$39,IFERROR(SUMIF(INDIRECT("'"&amp;$G$39&amp;"'!$C$37:$C$52"),W45,INDIRECT("'"&amp;$G$39&amp;"'!$E$37:$E$52")),0))))</f>
        <v/>
      </c>
      <c r="AD45" s="135">
        <f>IF($G$40="",NA(),AD44+IF(W45&gt;'General Information'!$D$33,0,IF(W45=0,$J$40,IFERROR(SUMIF(INDIRECT("'"&amp;$G$40&amp;"'!$C$37:$C$52"),W45,INDIRECT("'"&amp;$G$40&amp;"'!$E$37:$E$52")),0))))</f>
        <v/>
      </c>
      <c r="AE45" s="135">
        <f>IF($G$41="",NA(),AE44+IF(W45&gt;'General Information'!$D$33,0,IF(W45=0,$J$41,IFERROR(SUMIF(INDIRECT("'"&amp;$G$41&amp;"'!$C$37:$C$52"),W45,INDIRECT("'"&amp;$G$41&amp;"'!$E$37:$E$52")),0))))</f>
        <v/>
      </c>
      <c r="AF45" s="135">
        <f>IF($G$42="",NA(),AF44+IF(W45&gt;'General Information'!$D$33,0,IF(W45=0,$J$42,IFERROR(SUMIF(INDIRECT("'"&amp;$G$42&amp;"'!$C$37:$C$52"),W45,INDIRECT("'"&amp;$G$42&amp;"'!$E$37:$E$52")),0))))</f>
        <v/>
      </c>
      <c r="AG45" s="152">
        <f>IF($G$39="",0,IF(W45&gt;'General Information'!$D$33,0,IFERROR(SUMIFS(INDIRECT("'"&amp;$G$39&amp;"'!$D$37:$D$52"),INDIRECT("'"&amp;$G$39&amp;"'!$C$37:$C$52"),W45,INDIRECT("'"&amp;$G$39&amp;"'!$B$37:$B$52"),"*Indirect*")/INDIRECT("'"&amp;$G$39&amp;"'!$F$2"),0)))</f>
        <v/>
      </c>
      <c r="AH45" s="152">
        <f>IF($G$40="",0,IF(W45&gt;'General Information'!$D$33,0,IFERROR(SUMIFS(INDIRECT("'"&amp;$G$40&amp;"'!$D$37:$D$52"),INDIRECT("'"&amp;$G$40&amp;"'!$C$37:$C$52"),W45,INDIRECT("'"&amp;$G$40&amp;"'!$B$37:$B$52"),"*Indirect*")/INDIRECT("'"&amp;$G$40&amp;"'!$F$2"),0)))</f>
        <v/>
      </c>
      <c r="AI45" s="152">
        <f>IF($G$41="",0,IF(W45&gt;'General Information'!$D$33,0,IFERROR(SUMIFS(INDIRECT("'"&amp;$G$41&amp;"'!$D$37:$D$52"),INDIRECT("'"&amp;$G$41&amp;"'!$C$37:$C$52"),W45,INDIRECT("'"&amp;$G$41&amp;"'!$B$37:$B$52"),"*Indirect*")/INDIRECT("'"&amp;$G$41&amp;"'!$F$2"),0)))</f>
        <v/>
      </c>
      <c r="AJ45" s="152">
        <f>IF($G$42="",0,IF(W45&gt;'General Information'!$D$33,0,IFERROR(SUMIFS(INDIRECT("'"&amp;$G$42&amp;"'!$D$37:$D$52"),INDIRECT("'"&amp;$G$42&amp;"'!$C$37:$C$52"),W45,INDIRECT("'"&amp;$G$42&amp;"'!$B$37:$B$52"),"*Indirect*")/INDIRECT("'"&amp;$G$42&amp;"'!$F$2"),0)))</f>
        <v/>
      </c>
    </row>
    <row r="46">
      <c r="W46" s="134" t="n">
        <v>5</v>
      </c>
      <c r="X46" s="134">
        <f>'General Information'!$D$25+W46</f>
        <v/>
      </c>
      <c r="Y46" s="135">
        <f>IF($G$39="",0,IF(W46&gt;'General Information'!$D$33,0,IF(W46=0,$J$39,IFERROR(SUMIF(INDIRECT("'"&amp;$G$39&amp;"'!$C$37:$C$52"),W46,INDIRECT("'"&amp;$G$39&amp;"'!$D$37:$D$52")),0))))</f>
        <v/>
      </c>
      <c r="Z46" s="135">
        <f>IF($G$40="",0,IF(W46&gt;'General Information'!$D$33,0,IF(W46=0,$J$40,IFERROR(SUMIF(INDIRECT("'"&amp;$G$40&amp;"'!$C$37:$C$52"),W46,INDIRECT("'"&amp;$G$40&amp;"'!$D$37:$D$52")),0))))</f>
        <v/>
      </c>
      <c r="AA46" s="135">
        <f>IF($G$41="",0,IF(W46&gt;'General Information'!$D$33,0,IF(W46=0,$J$41,IFERROR(SUMIF(INDIRECT("'"&amp;$G$41&amp;"'!$C$37:$C$52"),W46,INDIRECT("'"&amp;$G$41&amp;"'!$D$37:$D$52")),0))))</f>
        <v/>
      </c>
      <c r="AB46" s="135">
        <f>IF($G$42="",0,IF(W46&gt;'General Information'!$D$33,0,IF(W46=0,$J$42,IFERROR(SUMIF(INDIRECT("'"&amp;$G$42&amp;"'!$C$37:$C$52"),W46,INDIRECT("'"&amp;$G$42&amp;"'!$D$37:$D$52")),0))))</f>
        <v/>
      </c>
      <c r="AC46" s="135">
        <f>IF($G$39="",NA(),AC45+IF(W46&gt;'General Information'!$D$33,0,IF(W46=0,$J$39,IFERROR(SUMIF(INDIRECT("'"&amp;$G$39&amp;"'!$C$37:$C$52"),W46,INDIRECT("'"&amp;$G$39&amp;"'!$E$37:$E$52")),0))))</f>
        <v/>
      </c>
      <c r="AD46" s="135">
        <f>IF($G$40="",NA(),AD45+IF(W46&gt;'General Information'!$D$33,0,IF(W46=0,$J$40,IFERROR(SUMIF(INDIRECT("'"&amp;$G$40&amp;"'!$C$37:$C$52"),W46,INDIRECT("'"&amp;$G$40&amp;"'!$E$37:$E$52")),0))))</f>
        <v/>
      </c>
      <c r="AE46" s="135">
        <f>IF($G$41="",NA(),AE45+IF(W46&gt;'General Information'!$D$33,0,IF(W46=0,$J$41,IFERROR(SUMIF(INDIRECT("'"&amp;$G$41&amp;"'!$C$37:$C$52"),W46,INDIRECT("'"&amp;$G$41&amp;"'!$E$37:$E$52")),0))))</f>
        <v/>
      </c>
      <c r="AF46" s="135">
        <f>IF($G$42="",NA(),AF45+IF(W46&gt;'General Information'!$D$33,0,IF(W46=0,$J$42,IFERROR(SUMIF(INDIRECT("'"&amp;$G$42&amp;"'!$C$37:$C$52"),W46,INDIRECT("'"&amp;$G$42&amp;"'!$E$37:$E$52")),0))))</f>
        <v/>
      </c>
      <c r="AG46" s="152">
        <f>IF($G$39="",0,IF(W46&gt;'General Information'!$D$33,0,IFERROR(SUMIFS(INDIRECT("'"&amp;$G$39&amp;"'!$D$37:$D$52"),INDIRECT("'"&amp;$G$39&amp;"'!$C$37:$C$52"),W46,INDIRECT("'"&amp;$G$39&amp;"'!$B$37:$B$52"),"*Indirect*")/INDIRECT("'"&amp;$G$39&amp;"'!$F$2"),0)))</f>
        <v/>
      </c>
      <c r="AH46" s="152">
        <f>IF($G$40="",0,IF(W46&gt;'General Information'!$D$33,0,IFERROR(SUMIFS(INDIRECT("'"&amp;$G$40&amp;"'!$D$37:$D$52"),INDIRECT("'"&amp;$G$40&amp;"'!$C$37:$C$52"),W46,INDIRECT("'"&amp;$G$40&amp;"'!$B$37:$B$52"),"*Indirect*")/INDIRECT("'"&amp;$G$40&amp;"'!$F$2"),0)))</f>
        <v/>
      </c>
      <c r="AI46" s="152">
        <f>IF($G$41="",0,IF(W46&gt;'General Information'!$D$33,0,IFERROR(SUMIFS(INDIRECT("'"&amp;$G$41&amp;"'!$D$37:$D$52"),INDIRECT("'"&amp;$G$41&amp;"'!$C$37:$C$52"),W46,INDIRECT("'"&amp;$G$41&amp;"'!$B$37:$B$52"),"*Indirect*")/INDIRECT("'"&amp;$G$41&amp;"'!$F$2"),0)))</f>
        <v/>
      </c>
      <c r="AJ46" s="152">
        <f>IF($G$42="",0,IF(W46&gt;'General Information'!$D$33,0,IFERROR(SUMIFS(INDIRECT("'"&amp;$G$42&amp;"'!$D$37:$D$52"),INDIRECT("'"&amp;$G$42&amp;"'!$C$37:$C$52"),W46,INDIRECT("'"&amp;$G$42&amp;"'!$B$37:$B$52"),"*Indirect*")/INDIRECT("'"&amp;$G$42&amp;"'!$F$2"),0)))</f>
        <v/>
      </c>
    </row>
    <row r="47">
      <c r="G47" s="121" t="inlineStr">
        <is>
          <t>COMPARISON  (RealCost layout: agency cost, user cost, total; present worth and equivalent uniform annual cost)</t>
        </is>
      </c>
      <c r="W47" s="134" t="n">
        <v>6</v>
      </c>
      <c r="X47" s="134">
        <f>'General Information'!$D$25+W47</f>
        <v/>
      </c>
      <c r="Y47" s="135">
        <f>IF($G$39="",0,IF(W47&gt;'General Information'!$D$33,0,IF(W47=0,$J$39,IFERROR(SUMIF(INDIRECT("'"&amp;$G$39&amp;"'!$C$37:$C$52"),W47,INDIRECT("'"&amp;$G$39&amp;"'!$D$37:$D$52")),0))))</f>
        <v/>
      </c>
      <c r="Z47" s="135">
        <f>IF($G$40="",0,IF(W47&gt;'General Information'!$D$33,0,IF(W47=0,$J$40,IFERROR(SUMIF(INDIRECT("'"&amp;$G$40&amp;"'!$C$37:$C$52"),W47,INDIRECT("'"&amp;$G$40&amp;"'!$D$37:$D$52")),0))))</f>
        <v/>
      </c>
      <c r="AA47" s="135">
        <f>IF($G$41="",0,IF(W47&gt;'General Information'!$D$33,0,IF(W47=0,$J$41,IFERROR(SUMIF(INDIRECT("'"&amp;$G$41&amp;"'!$C$37:$C$52"),W47,INDIRECT("'"&amp;$G$41&amp;"'!$D$37:$D$52")),0))))</f>
        <v/>
      </c>
      <c r="AB47" s="135">
        <f>IF($G$42="",0,IF(W47&gt;'General Information'!$D$33,0,IF(W47=0,$J$42,IFERROR(SUMIF(INDIRECT("'"&amp;$G$42&amp;"'!$C$37:$C$52"),W47,INDIRECT("'"&amp;$G$42&amp;"'!$D$37:$D$52")),0))))</f>
        <v/>
      </c>
      <c r="AC47" s="135">
        <f>IF($G$39="",NA(),AC46+IF(W47&gt;'General Information'!$D$33,0,IF(W47=0,$J$39,IFERROR(SUMIF(INDIRECT("'"&amp;$G$39&amp;"'!$C$37:$C$52"),W47,INDIRECT("'"&amp;$G$39&amp;"'!$E$37:$E$52")),0))))</f>
        <v/>
      </c>
      <c r="AD47" s="135">
        <f>IF($G$40="",NA(),AD46+IF(W47&gt;'General Information'!$D$33,0,IF(W47=0,$J$40,IFERROR(SUMIF(INDIRECT("'"&amp;$G$40&amp;"'!$C$37:$C$52"),W47,INDIRECT("'"&amp;$G$40&amp;"'!$E$37:$E$52")),0))))</f>
        <v/>
      </c>
      <c r="AE47" s="135">
        <f>IF($G$41="",NA(),AE46+IF(W47&gt;'General Information'!$D$33,0,IF(W47=0,$J$41,IFERROR(SUMIF(INDIRECT("'"&amp;$G$41&amp;"'!$C$37:$C$52"),W47,INDIRECT("'"&amp;$G$41&amp;"'!$E$37:$E$52")),0))))</f>
        <v/>
      </c>
      <c r="AF47" s="135">
        <f>IF($G$42="",NA(),AF46+IF(W47&gt;'General Information'!$D$33,0,IF(W47=0,$J$42,IFERROR(SUMIF(INDIRECT("'"&amp;$G$42&amp;"'!$C$37:$C$52"),W47,INDIRECT("'"&amp;$G$42&amp;"'!$E$37:$E$52")),0))))</f>
        <v/>
      </c>
      <c r="AG47" s="152">
        <f>IF($G$39="",0,IF(W47&gt;'General Information'!$D$33,0,IFERROR(SUMIFS(INDIRECT("'"&amp;$G$39&amp;"'!$D$37:$D$52"),INDIRECT("'"&amp;$G$39&amp;"'!$C$37:$C$52"),W47,INDIRECT("'"&amp;$G$39&amp;"'!$B$37:$B$52"),"*Indirect*")/INDIRECT("'"&amp;$G$39&amp;"'!$F$2"),0)))</f>
        <v/>
      </c>
      <c r="AH47" s="152">
        <f>IF($G$40="",0,IF(W47&gt;'General Information'!$D$33,0,IFERROR(SUMIFS(INDIRECT("'"&amp;$G$40&amp;"'!$D$37:$D$52"),INDIRECT("'"&amp;$G$40&amp;"'!$C$37:$C$52"),W47,INDIRECT("'"&amp;$G$40&amp;"'!$B$37:$B$52"),"*Indirect*")/INDIRECT("'"&amp;$G$40&amp;"'!$F$2"),0)))</f>
        <v/>
      </c>
      <c r="AI47" s="152">
        <f>IF($G$41="",0,IF(W47&gt;'General Information'!$D$33,0,IFERROR(SUMIFS(INDIRECT("'"&amp;$G$41&amp;"'!$D$37:$D$52"),INDIRECT("'"&amp;$G$41&amp;"'!$C$37:$C$52"),W47,INDIRECT("'"&amp;$G$41&amp;"'!$B$37:$B$52"),"*Indirect*")/INDIRECT("'"&amp;$G$41&amp;"'!$F$2"),0)))</f>
        <v/>
      </c>
      <c r="AJ47" s="152">
        <f>IF($G$42="",0,IF(W47&gt;'General Information'!$D$33,0,IFERROR(SUMIFS(INDIRECT("'"&amp;$G$42&amp;"'!$D$37:$D$52"),INDIRECT("'"&amp;$G$42&amp;"'!$C$37:$C$52"),W47,INDIRECT("'"&amp;$G$42&amp;"'!$B$37:$B$52"),"*Indirect*")/INDIRECT("'"&amp;$G$42&amp;"'!$F$2"),0)))</f>
        <v/>
      </c>
    </row>
    <row r="48" ht="27" customHeight="1">
      <c r="G48" s="124" t="inlineStr">
        <is>
          <t>Alternative</t>
        </is>
      </c>
      <c r="H48" s="124" t="inlineStr">
        <is>
          <t>Agency cost PW</t>
        </is>
      </c>
      <c r="I48" s="124" t="inlineStr">
        <is>
          <t>Agency EUAC</t>
        </is>
      </c>
      <c r="J48" s="124" t="inlineStr">
        <is>
          <t>User cost PW (lost revenue)</t>
        </is>
      </c>
      <c r="K48" s="124" t="inlineStr">
        <is>
          <t>User EUAC</t>
        </is>
      </c>
      <c r="L48" s="124" t="inlineStr">
        <is>
          <t>Total PW</t>
        </is>
      </c>
      <c r="M48" s="124" t="inlineStr">
        <is>
          <t>Total EUAC</t>
        </is>
      </c>
      <c r="N48" s="124" t="inlineStr">
        <is>
          <t>vs. lowest ($)</t>
        </is>
      </c>
      <c r="O48" s="124" t="inlineStr">
        <is>
          <t>vs. lowest (%)</t>
        </is>
      </c>
      <c r="P48" s="124" t="inlineStr">
        <is>
          <t>Lowest?</t>
        </is>
      </c>
      <c r="W48" s="134" t="n">
        <v>7</v>
      </c>
      <c r="X48" s="134">
        <f>'General Information'!$D$25+W48</f>
        <v/>
      </c>
      <c r="Y48" s="135">
        <f>IF($G$39="",0,IF(W48&gt;'General Information'!$D$33,0,IF(W48=0,$J$39,IFERROR(SUMIF(INDIRECT("'"&amp;$G$39&amp;"'!$C$37:$C$52"),W48,INDIRECT("'"&amp;$G$39&amp;"'!$D$37:$D$52")),0))))</f>
        <v/>
      </c>
      <c r="Z48" s="135">
        <f>IF($G$40="",0,IF(W48&gt;'General Information'!$D$33,0,IF(W48=0,$J$40,IFERROR(SUMIF(INDIRECT("'"&amp;$G$40&amp;"'!$C$37:$C$52"),W48,INDIRECT("'"&amp;$G$40&amp;"'!$D$37:$D$52")),0))))</f>
        <v/>
      </c>
      <c r="AA48" s="135">
        <f>IF($G$41="",0,IF(W48&gt;'General Information'!$D$33,0,IF(W48=0,$J$41,IFERROR(SUMIF(INDIRECT("'"&amp;$G$41&amp;"'!$C$37:$C$52"),W48,INDIRECT("'"&amp;$G$41&amp;"'!$D$37:$D$52")),0))))</f>
        <v/>
      </c>
      <c r="AB48" s="135">
        <f>IF($G$42="",0,IF(W48&gt;'General Information'!$D$33,0,IF(W48=0,$J$42,IFERROR(SUMIF(INDIRECT("'"&amp;$G$42&amp;"'!$C$37:$C$52"),W48,INDIRECT("'"&amp;$G$42&amp;"'!$D$37:$D$52")),0))))</f>
        <v/>
      </c>
      <c r="AC48" s="135">
        <f>IF($G$39="",NA(),AC47+IF(W48&gt;'General Information'!$D$33,0,IF(W48=0,$J$39,IFERROR(SUMIF(INDIRECT("'"&amp;$G$39&amp;"'!$C$37:$C$52"),W48,INDIRECT("'"&amp;$G$39&amp;"'!$E$37:$E$52")),0))))</f>
        <v/>
      </c>
      <c r="AD48" s="135">
        <f>IF($G$40="",NA(),AD47+IF(W48&gt;'General Information'!$D$33,0,IF(W48=0,$J$40,IFERROR(SUMIF(INDIRECT("'"&amp;$G$40&amp;"'!$C$37:$C$52"),W48,INDIRECT("'"&amp;$G$40&amp;"'!$E$37:$E$52")),0))))</f>
        <v/>
      </c>
      <c r="AE48" s="135">
        <f>IF($G$41="",NA(),AE47+IF(W48&gt;'General Information'!$D$33,0,IF(W48=0,$J$41,IFERROR(SUMIF(INDIRECT("'"&amp;$G$41&amp;"'!$C$37:$C$52"),W48,INDIRECT("'"&amp;$G$41&amp;"'!$E$37:$E$52")),0))))</f>
        <v/>
      </c>
      <c r="AF48" s="135">
        <f>IF($G$42="",NA(),AF47+IF(W48&gt;'General Information'!$D$33,0,IF(W48=0,$J$42,IFERROR(SUMIF(INDIRECT("'"&amp;$G$42&amp;"'!$C$37:$C$52"),W48,INDIRECT("'"&amp;$G$42&amp;"'!$E$37:$E$52")),0))))</f>
        <v/>
      </c>
      <c r="AG48" s="152">
        <f>IF($G$39="",0,IF(W48&gt;'General Information'!$D$33,0,IFERROR(SUMIFS(INDIRECT("'"&amp;$G$39&amp;"'!$D$37:$D$52"),INDIRECT("'"&amp;$G$39&amp;"'!$C$37:$C$52"),W48,INDIRECT("'"&amp;$G$39&amp;"'!$B$37:$B$52"),"*Indirect*")/INDIRECT("'"&amp;$G$39&amp;"'!$F$2"),0)))</f>
        <v/>
      </c>
      <c r="AH48" s="152">
        <f>IF($G$40="",0,IF(W48&gt;'General Information'!$D$33,0,IFERROR(SUMIFS(INDIRECT("'"&amp;$G$40&amp;"'!$D$37:$D$52"),INDIRECT("'"&amp;$G$40&amp;"'!$C$37:$C$52"),W48,INDIRECT("'"&amp;$G$40&amp;"'!$B$37:$B$52"),"*Indirect*")/INDIRECT("'"&amp;$G$40&amp;"'!$F$2"),0)))</f>
        <v/>
      </c>
      <c r="AI48" s="152">
        <f>IF($G$41="",0,IF(W48&gt;'General Information'!$D$33,0,IFERROR(SUMIFS(INDIRECT("'"&amp;$G$41&amp;"'!$D$37:$D$52"),INDIRECT("'"&amp;$G$41&amp;"'!$C$37:$C$52"),W48,INDIRECT("'"&amp;$G$41&amp;"'!$B$37:$B$52"),"*Indirect*")/INDIRECT("'"&amp;$G$41&amp;"'!$F$2"),0)))</f>
        <v/>
      </c>
      <c r="AJ48" s="152">
        <f>IF($G$42="",0,IF(W48&gt;'General Information'!$D$33,0,IFERROR(SUMIFS(INDIRECT("'"&amp;$G$42&amp;"'!$D$37:$D$52"),INDIRECT("'"&amp;$G$42&amp;"'!$C$37:$C$52"),W48,INDIRECT("'"&amp;$G$42&amp;"'!$B$37:$B$52"),"*Indirect*")/INDIRECT("'"&amp;$G$42&amp;"'!$F$2"),0)))</f>
        <v/>
      </c>
    </row>
    <row r="49">
      <c r="G49" s="137">
        <f>IF($G$39="","",$H$39)</f>
        <v/>
      </c>
      <c r="H49" s="138">
        <f>IF($G$39="","",$J$39+$K$39+$L$39+$N$39)</f>
        <v/>
      </c>
      <c r="I49" s="138">
        <f>IF($G$39="","",H49*(('General Information'!$D$34/100)*(1+'General Information'!$D$34/100)^'General Information'!$D$33/((1+'General Information'!$D$34/100)^'General Information'!$D$33-1)))</f>
        <v/>
      </c>
      <c r="J49" s="138">
        <f>IF($G$39="","",$M$39)</f>
        <v/>
      </c>
      <c r="K49" s="138">
        <f>IF($G$39="","",J49*(('General Information'!$D$34/100)*(1+'General Information'!$D$34/100)^'General Information'!$D$33/((1+'General Information'!$D$34/100)^'General Information'!$D$33-1)))</f>
        <v/>
      </c>
      <c r="L49" s="138">
        <f>IF($G$39="","",$O$39)</f>
        <v/>
      </c>
      <c r="M49" s="138">
        <f>IF($G$39="","",L49*(('General Information'!$D$34/100)*(1+'General Information'!$D$34/100)^'General Information'!$D$33/((1+'General Information'!$D$34/100)^'General Information'!$D$33-1)))</f>
        <v/>
      </c>
      <c r="N49" s="138">
        <f>IF($G$39="","",$P$39)</f>
        <v/>
      </c>
      <c r="O49" s="148">
        <f>IF($G$39="","",IFERROR($P$39/MIN($O$39:$O$42),0))</f>
        <v/>
      </c>
      <c r="P49" s="137">
        <f>IF($G$39="","",IF($O$39=MIN($O$39:$O$42),"lowest",""))</f>
        <v/>
      </c>
      <c r="W49" s="134" t="n">
        <v>8</v>
      </c>
      <c r="X49" s="134">
        <f>'General Information'!$D$25+W49</f>
        <v/>
      </c>
      <c r="Y49" s="135">
        <f>IF($G$39="",0,IF(W49&gt;'General Information'!$D$33,0,IF(W49=0,$J$39,IFERROR(SUMIF(INDIRECT("'"&amp;$G$39&amp;"'!$C$37:$C$52"),W49,INDIRECT("'"&amp;$G$39&amp;"'!$D$37:$D$52")),0))))</f>
        <v/>
      </c>
      <c r="Z49" s="135">
        <f>IF($G$40="",0,IF(W49&gt;'General Information'!$D$33,0,IF(W49=0,$J$40,IFERROR(SUMIF(INDIRECT("'"&amp;$G$40&amp;"'!$C$37:$C$52"),W49,INDIRECT("'"&amp;$G$40&amp;"'!$D$37:$D$52")),0))))</f>
        <v/>
      </c>
      <c r="AA49" s="135">
        <f>IF($G$41="",0,IF(W49&gt;'General Information'!$D$33,0,IF(W49=0,$J$41,IFERROR(SUMIF(INDIRECT("'"&amp;$G$41&amp;"'!$C$37:$C$52"),W49,INDIRECT("'"&amp;$G$41&amp;"'!$D$37:$D$52")),0))))</f>
        <v/>
      </c>
      <c r="AB49" s="135">
        <f>IF($G$42="",0,IF(W49&gt;'General Information'!$D$33,0,IF(W49=0,$J$42,IFERROR(SUMIF(INDIRECT("'"&amp;$G$42&amp;"'!$C$37:$C$52"),W49,INDIRECT("'"&amp;$G$42&amp;"'!$D$37:$D$52")),0))))</f>
        <v/>
      </c>
      <c r="AC49" s="135">
        <f>IF($G$39="",NA(),AC48+IF(W49&gt;'General Information'!$D$33,0,IF(W49=0,$J$39,IFERROR(SUMIF(INDIRECT("'"&amp;$G$39&amp;"'!$C$37:$C$52"),W49,INDIRECT("'"&amp;$G$39&amp;"'!$E$37:$E$52")),0))))</f>
        <v/>
      </c>
      <c r="AD49" s="135">
        <f>IF($G$40="",NA(),AD48+IF(W49&gt;'General Information'!$D$33,0,IF(W49=0,$J$40,IFERROR(SUMIF(INDIRECT("'"&amp;$G$40&amp;"'!$C$37:$C$52"),W49,INDIRECT("'"&amp;$G$40&amp;"'!$E$37:$E$52")),0))))</f>
        <v/>
      </c>
      <c r="AE49" s="135">
        <f>IF($G$41="",NA(),AE48+IF(W49&gt;'General Information'!$D$33,0,IF(W49=0,$J$41,IFERROR(SUMIF(INDIRECT("'"&amp;$G$41&amp;"'!$C$37:$C$52"),W49,INDIRECT("'"&amp;$G$41&amp;"'!$E$37:$E$52")),0))))</f>
        <v/>
      </c>
      <c r="AF49" s="135">
        <f>IF($G$42="",NA(),AF48+IF(W49&gt;'General Information'!$D$33,0,IF(W49=0,$J$42,IFERROR(SUMIF(INDIRECT("'"&amp;$G$42&amp;"'!$C$37:$C$52"),W49,INDIRECT("'"&amp;$G$42&amp;"'!$E$37:$E$52")),0))))</f>
        <v/>
      </c>
      <c r="AG49" s="152">
        <f>IF($G$39="",0,IF(W49&gt;'General Information'!$D$33,0,IFERROR(SUMIFS(INDIRECT("'"&amp;$G$39&amp;"'!$D$37:$D$52"),INDIRECT("'"&amp;$G$39&amp;"'!$C$37:$C$52"),W49,INDIRECT("'"&amp;$G$39&amp;"'!$B$37:$B$52"),"*Indirect*")/INDIRECT("'"&amp;$G$39&amp;"'!$F$2"),0)))</f>
        <v/>
      </c>
      <c r="AH49" s="152">
        <f>IF($G$40="",0,IF(W49&gt;'General Information'!$D$33,0,IFERROR(SUMIFS(INDIRECT("'"&amp;$G$40&amp;"'!$D$37:$D$52"),INDIRECT("'"&amp;$G$40&amp;"'!$C$37:$C$52"),W49,INDIRECT("'"&amp;$G$40&amp;"'!$B$37:$B$52"),"*Indirect*")/INDIRECT("'"&amp;$G$40&amp;"'!$F$2"),0)))</f>
        <v/>
      </c>
      <c r="AI49" s="152">
        <f>IF($G$41="",0,IF(W49&gt;'General Information'!$D$33,0,IFERROR(SUMIFS(INDIRECT("'"&amp;$G$41&amp;"'!$D$37:$D$52"),INDIRECT("'"&amp;$G$41&amp;"'!$C$37:$C$52"),W49,INDIRECT("'"&amp;$G$41&amp;"'!$B$37:$B$52"),"*Indirect*")/INDIRECT("'"&amp;$G$41&amp;"'!$F$2"),0)))</f>
        <v/>
      </c>
      <c r="AJ49" s="152">
        <f>IF($G$42="",0,IF(W49&gt;'General Information'!$D$33,0,IFERROR(SUMIFS(INDIRECT("'"&amp;$G$42&amp;"'!$D$37:$D$52"),INDIRECT("'"&amp;$G$42&amp;"'!$C$37:$C$52"),W49,INDIRECT("'"&amp;$G$42&amp;"'!$B$37:$B$52"),"*Indirect*")/INDIRECT("'"&amp;$G$42&amp;"'!$F$2"),0)))</f>
        <v/>
      </c>
    </row>
    <row r="50">
      <c r="G50" s="137">
        <f>IF($G$40="","",$H$40)</f>
        <v/>
      </c>
      <c r="H50" s="138">
        <f>IF($G$40="","",$J$40+$K$40+$L$40+$N$40)</f>
        <v/>
      </c>
      <c r="I50" s="138">
        <f>IF($G$40="","",H50*(('General Information'!$D$34/100)*(1+'General Information'!$D$34/100)^'General Information'!$D$33/((1+'General Information'!$D$34/100)^'General Information'!$D$33-1)))</f>
        <v/>
      </c>
      <c r="J50" s="138">
        <f>IF($G$40="","",$M$40)</f>
        <v/>
      </c>
      <c r="K50" s="138">
        <f>IF($G$40="","",J50*(('General Information'!$D$34/100)*(1+'General Information'!$D$34/100)^'General Information'!$D$33/((1+'General Information'!$D$34/100)^'General Information'!$D$33-1)))</f>
        <v/>
      </c>
      <c r="L50" s="138">
        <f>IF($G$40="","",$O$40)</f>
        <v/>
      </c>
      <c r="M50" s="138">
        <f>IF($G$40="","",L50*(('General Information'!$D$34/100)*(1+'General Information'!$D$34/100)^'General Information'!$D$33/((1+'General Information'!$D$34/100)^'General Information'!$D$33-1)))</f>
        <v/>
      </c>
      <c r="N50" s="138">
        <f>IF($G$40="","",$P$40)</f>
        <v/>
      </c>
      <c r="O50" s="148">
        <f>IF($G$40="","",IFERROR($P$40/MIN($O$39:$O$42),0))</f>
        <v/>
      </c>
      <c r="P50" s="137">
        <f>IF($G$40="","",IF($O$40=MIN($O$39:$O$42),"lowest",""))</f>
        <v/>
      </c>
      <c r="W50" s="134" t="n">
        <v>9</v>
      </c>
      <c r="X50" s="134">
        <f>'General Information'!$D$25+W50</f>
        <v/>
      </c>
      <c r="Y50" s="135">
        <f>IF($G$39="",0,IF(W50&gt;'General Information'!$D$33,0,IF(W50=0,$J$39,IFERROR(SUMIF(INDIRECT("'"&amp;$G$39&amp;"'!$C$37:$C$52"),W50,INDIRECT("'"&amp;$G$39&amp;"'!$D$37:$D$52")),0))))</f>
        <v/>
      </c>
      <c r="Z50" s="135">
        <f>IF($G$40="",0,IF(W50&gt;'General Information'!$D$33,0,IF(W50=0,$J$40,IFERROR(SUMIF(INDIRECT("'"&amp;$G$40&amp;"'!$C$37:$C$52"),W50,INDIRECT("'"&amp;$G$40&amp;"'!$D$37:$D$52")),0))))</f>
        <v/>
      </c>
      <c r="AA50" s="135">
        <f>IF($G$41="",0,IF(W50&gt;'General Information'!$D$33,0,IF(W50=0,$J$41,IFERROR(SUMIF(INDIRECT("'"&amp;$G$41&amp;"'!$C$37:$C$52"),W50,INDIRECT("'"&amp;$G$41&amp;"'!$D$37:$D$52")),0))))</f>
        <v/>
      </c>
      <c r="AB50" s="135">
        <f>IF($G$42="",0,IF(W50&gt;'General Information'!$D$33,0,IF(W50=0,$J$42,IFERROR(SUMIF(INDIRECT("'"&amp;$G$42&amp;"'!$C$37:$C$52"),W50,INDIRECT("'"&amp;$G$42&amp;"'!$D$37:$D$52")),0))))</f>
        <v/>
      </c>
      <c r="AC50" s="135">
        <f>IF($G$39="",NA(),AC49+IF(W50&gt;'General Information'!$D$33,0,IF(W50=0,$J$39,IFERROR(SUMIF(INDIRECT("'"&amp;$G$39&amp;"'!$C$37:$C$52"),W50,INDIRECT("'"&amp;$G$39&amp;"'!$E$37:$E$52")),0))))</f>
        <v/>
      </c>
      <c r="AD50" s="135">
        <f>IF($G$40="",NA(),AD49+IF(W50&gt;'General Information'!$D$33,0,IF(W50=0,$J$40,IFERROR(SUMIF(INDIRECT("'"&amp;$G$40&amp;"'!$C$37:$C$52"),W50,INDIRECT("'"&amp;$G$40&amp;"'!$E$37:$E$52")),0))))</f>
        <v/>
      </c>
      <c r="AE50" s="135">
        <f>IF($G$41="",NA(),AE49+IF(W50&gt;'General Information'!$D$33,0,IF(W50=0,$J$41,IFERROR(SUMIF(INDIRECT("'"&amp;$G$41&amp;"'!$C$37:$C$52"),W50,INDIRECT("'"&amp;$G$41&amp;"'!$E$37:$E$52")),0))))</f>
        <v/>
      </c>
      <c r="AF50" s="135">
        <f>IF($G$42="",NA(),AF49+IF(W50&gt;'General Information'!$D$33,0,IF(W50=0,$J$42,IFERROR(SUMIF(INDIRECT("'"&amp;$G$42&amp;"'!$C$37:$C$52"),W50,INDIRECT("'"&amp;$G$42&amp;"'!$E$37:$E$52")),0))))</f>
        <v/>
      </c>
      <c r="AG50" s="152">
        <f>IF($G$39="",0,IF(W50&gt;'General Information'!$D$33,0,IFERROR(SUMIFS(INDIRECT("'"&amp;$G$39&amp;"'!$D$37:$D$52"),INDIRECT("'"&amp;$G$39&amp;"'!$C$37:$C$52"),W50,INDIRECT("'"&amp;$G$39&amp;"'!$B$37:$B$52"),"*Indirect*")/INDIRECT("'"&amp;$G$39&amp;"'!$F$2"),0)))</f>
        <v/>
      </c>
      <c r="AH50" s="152">
        <f>IF($G$40="",0,IF(W50&gt;'General Information'!$D$33,0,IFERROR(SUMIFS(INDIRECT("'"&amp;$G$40&amp;"'!$D$37:$D$52"),INDIRECT("'"&amp;$G$40&amp;"'!$C$37:$C$52"),W50,INDIRECT("'"&amp;$G$40&amp;"'!$B$37:$B$52"),"*Indirect*")/INDIRECT("'"&amp;$G$40&amp;"'!$F$2"),0)))</f>
        <v/>
      </c>
      <c r="AI50" s="152">
        <f>IF($G$41="",0,IF(W50&gt;'General Information'!$D$33,0,IFERROR(SUMIFS(INDIRECT("'"&amp;$G$41&amp;"'!$D$37:$D$52"),INDIRECT("'"&amp;$G$41&amp;"'!$C$37:$C$52"),W50,INDIRECT("'"&amp;$G$41&amp;"'!$B$37:$B$52"),"*Indirect*")/INDIRECT("'"&amp;$G$41&amp;"'!$F$2"),0)))</f>
        <v/>
      </c>
      <c r="AJ50" s="152">
        <f>IF($G$42="",0,IF(W50&gt;'General Information'!$D$33,0,IFERROR(SUMIFS(INDIRECT("'"&amp;$G$42&amp;"'!$D$37:$D$52"),INDIRECT("'"&amp;$G$42&amp;"'!$C$37:$C$52"),W50,INDIRECT("'"&amp;$G$42&amp;"'!$B$37:$B$52"),"*Indirect*")/INDIRECT("'"&amp;$G$42&amp;"'!$F$2"),0)))</f>
        <v/>
      </c>
    </row>
    <row r="51">
      <c r="G51" s="137">
        <f>IF($G$41="","",$H$41)</f>
        <v/>
      </c>
      <c r="H51" s="138">
        <f>IF($G$41="","",$J$41+$K$41+$L$41+$N$41)</f>
        <v/>
      </c>
      <c r="I51" s="138">
        <f>IF($G$41="","",H51*(('General Information'!$D$34/100)*(1+'General Information'!$D$34/100)^'General Information'!$D$33/((1+'General Information'!$D$34/100)^'General Information'!$D$33-1)))</f>
        <v/>
      </c>
      <c r="J51" s="138">
        <f>IF($G$41="","",$M$41)</f>
        <v/>
      </c>
      <c r="K51" s="138">
        <f>IF($G$41="","",J51*(('General Information'!$D$34/100)*(1+'General Information'!$D$34/100)^'General Information'!$D$33/((1+'General Information'!$D$34/100)^'General Information'!$D$33-1)))</f>
        <v/>
      </c>
      <c r="L51" s="138">
        <f>IF($G$41="","",$O$41)</f>
        <v/>
      </c>
      <c r="M51" s="138">
        <f>IF($G$41="","",L51*(('General Information'!$D$34/100)*(1+'General Information'!$D$34/100)^'General Information'!$D$33/((1+'General Information'!$D$34/100)^'General Information'!$D$33-1)))</f>
        <v/>
      </c>
      <c r="N51" s="138">
        <f>IF($G$41="","",$P$41)</f>
        <v/>
      </c>
      <c r="O51" s="148">
        <f>IF($G$41="","",IFERROR($P$41/MIN($O$39:$O$42),0))</f>
        <v/>
      </c>
      <c r="P51" s="137">
        <f>IF($G$41="","",IF($O$41=MIN($O$39:$O$42),"lowest",""))</f>
        <v/>
      </c>
      <c r="W51" s="134" t="n">
        <v>10</v>
      </c>
      <c r="X51" s="134">
        <f>'General Information'!$D$25+W51</f>
        <v/>
      </c>
      <c r="Y51" s="135">
        <f>IF($G$39="",0,IF(W51&gt;'General Information'!$D$33,0,IF(W51=0,$J$39,IFERROR(SUMIF(INDIRECT("'"&amp;$G$39&amp;"'!$C$37:$C$52"),W51,INDIRECT("'"&amp;$G$39&amp;"'!$D$37:$D$52")),0))))</f>
        <v/>
      </c>
      <c r="Z51" s="135">
        <f>IF($G$40="",0,IF(W51&gt;'General Information'!$D$33,0,IF(W51=0,$J$40,IFERROR(SUMIF(INDIRECT("'"&amp;$G$40&amp;"'!$C$37:$C$52"),W51,INDIRECT("'"&amp;$G$40&amp;"'!$D$37:$D$52")),0))))</f>
        <v/>
      </c>
      <c r="AA51" s="135">
        <f>IF($G$41="",0,IF(W51&gt;'General Information'!$D$33,0,IF(W51=0,$J$41,IFERROR(SUMIF(INDIRECT("'"&amp;$G$41&amp;"'!$C$37:$C$52"),W51,INDIRECT("'"&amp;$G$41&amp;"'!$D$37:$D$52")),0))))</f>
        <v/>
      </c>
      <c r="AB51" s="135">
        <f>IF($G$42="",0,IF(W51&gt;'General Information'!$D$33,0,IF(W51=0,$J$42,IFERROR(SUMIF(INDIRECT("'"&amp;$G$42&amp;"'!$C$37:$C$52"),W51,INDIRECT("'"&amp;$G$42&amp;"'!$D$37:$D$52")),0))))</f>
        <v/>
      </c>
      <c r="AC51" s="135">
        <f>IF($G$39="",NA(),AC50+IF(W51&gt;'General Information'!$D$33,0,IF(W51=0,$J$39,IFERROR(SUMIF(INDIRECT("'"&amp;$G$39&amp;"'!$C$37:$C$52"),W51,INDIRECT("'"&amp;$G$39&amp;"'!$E$37:$E$52")),0))))</f>
        <v/>
      </c>
      <c r="AD51" s="135">
        <f>IF($G$40="",NA(),AD50+IF(W51&gt;'General Information'!$D$33,0,IF(W51=0,$J$40,IFERROR(SUMIF(INDIRECT("'"&amp;$G$40&amp;"'!$C$37:$C$52"),W51,INDIRECT("'"&amp;$G$40&amp;"'!$E$37:$E$52")),0))))</f>
        <v/>
      </c>
      <c r="AE51" s="135">
        <f>IF($G$41="",NA(),AE50+IF(W51&gt;'General Information'!$D$33,0,IF(W51=0,$J$41,IFERROR(SUMIF(INDIRECT("'"&amp;$G$41&amp;"'!$C$37:$C$52"),W51,INDIRECT("'"&amp;$G$41&amp;"'!$E$37:$E$52")),0))))</f>
        <v/>
      </c>
      <c r="AF51" s="135">
        <f>IF($G$42="",NA(),AF50+IF(W51&gt;'General Information'!$D$33,0,IF(W51=0,$J$42,IFERROR(SUMIF(INDIRECT("'"&amp;$G$42&amp;"'!$C$37:$C$52"),W51,INDIRECT("'"&amp;$G$42&amp;"'!$E$37:$E$52")),0))))</f>
        <v/>
      </c>
      <c r="AG51" s="152">
        <f>IF($G$39="",0,IF(W51&gt;'General Information'!$D$33,0,IFERROR(SUMIFS(INDIRECT("'"&amp;$G$39&amp;"'!$D$37:$D$52"),INDIRECT("'"&amp;$G$39&amp;"'!$C$37:$C$52"),W51,INDIRECT("'"&amp;$G$39&amp;"'!$B$37:$B$52"),"*Indirect*")/INDIRECT("'"&amp;$G$39&amp;"'!$F$2"),0)))</f>
        <v/>
      </c>
      <c r="AH51" s="152">
        <f>IF($G$40="",0,IF(W51&gt;'General Information'!$D$33,0,IFERROR(SUMIFS(INDIRECT("'"&amp;$G$40&amp;"'!$D$37:$D$52"),INDIRECT("'"&amp;$G$40&amp;"'!$C$37:$C$52"),W51,INDIRECT("'"&amp;$G$40&amp;"'!$B$37:$B$52"),"*Indirect*")/INDIRECT("'"&amp;$G$40&amp;"'!$F$2"),0)))</f>
        <v/>
      </c>
      <c r="AI51" s="152">
        <f>IF($G$41="",0,IF(W51&gt;'General Information'!$D$33,0,IFERROR(SUMIFS(INDIRECT("'"&amp;$G$41&amp;"'!$D$37:$D$52"),INDIRECT("'"&amp;$G$41&amp;"'!$C$37:$C$52"),W51,INDIRECT("'"&amp;$G$41&amp;"'!$B$37:$B$52"),"*Indirect*")/INDIRECT("'"&amp;$G$41&amp;"'!$F$2"),0)))</f>
        <v/>
      </c>
      <c r="AJ51" s="152">
        <f>IF($G$42="",0,IF(W51&gt;'General Information'!$D$33,0,IFERROR(SUMIFS(INDIRECT("'"&amp;$G$42&amp;"'!$D$37:$D$52"),INDIRECT("'"&amp;$G$42&amp;"'!$C$37:$C$52"),W51,INDIRECT("'"&amp;$G$42&amp;"'!$B$37:$B$52"),"*Indirect*")/INDIRECT("'"&amp;$G$42&amp;"'!$F$2"),0)))</f>
        <v/>
      </c>
    </row>
    <row r="52">
      <c r="G52" s="137">
        <f>IF($G$42="","",$H$42)</f>
        <v/>
      </c>
      <c r="H52" s="138">
        <f>IF($G$42="","",$J$42+$K$42+$L$42+$N$42)</f>
        <v/>
      </c>
      <c r="I52" s="138">
        <f>IF($G$42="","",H52*(('General Information'!$D$34/100)*(1+'General Information'!$D$34/100)^'General Information'!$D$33/((1+'General Information'!$D$34/100)^'General Information'!$D$33-1)))</f>
        <v/>
      </c>
      <c r="J52" s="138">
        <f>IF($G$42="","",$M$42)</f>
        <v/>
      </c>
      <c r="K52" s="138">
        <f>IF($G$42="","",J52*(('General Information'!$D$34/100)*(1+'General Information'!$D$34/100)^'General Information'!$D$33/((1+'General Information'!$D$34/100)^'General Information'!$D$33-1)))</f>
        <v/>
      </c>
      <c r="L52" s="138">
        <f>IF($G$42="","",$O$42)</f>
        <v/>
      </c>
      <c r="M52" s="138">
        <f>IF($G$42="","",L52*(('General Information'!$D$34/100)*(1+'General Information'!$D$34/100)^'General Information'!$D$33/((1+'General Information'!$D$34/100)^'General Information'!$D$33-1)))</f>
        <v/>
      </c>
      <c r="N52" s="138">
        <f>IF($G$42="","",$P$42)</f>
        <v/>
      </c>
      <c r="O52" s="148">
        <f>IF($G$42="","",IFERROR($P$42/MIN($O$39:$O$42),0))</f>
        <v/>
      </c>
      <c r="P52" s="137">
        <f>IF($G$42="","",IF($O$42=MIN($O$39:$O$42),"lowest",""))</f>
        <v/>
      </c>
      <c r="W52" s="134" t="n">
        <v>11</v>
      </c>
      <c r="X52" s="134">
        <f>'General Information'!$D$25+W52</f>
        <v/>
      </c>
      <c r="Y52" s="135">
        <f>IF($G$39="",0,IF(W52&gt;'General Information'!$D$33,0,IF(W52=0,$J$39,IFERROR(SUMIF(INDIRECT("'"&amp;$G$39&amp;"'!$C$37:$C$52"),W52,INDIRECT("'"&amp;$G$39&amp;"'!$D$37:$D$52")),0))))</f>
        <v/>
      </c>
      <c r="Z52" s="135">
        <f>IF($G$40="",0,IF(W52&gt;'General Information'!$D$33,0,IF(W52=0,$J$40,IFERROR(SUMIF(INDIRECT("'"&amp;$G$40&amp;"'!$C$37:$C$52"),W52,INDIRECT("'"&amp;$G$40&amp;"'!$D$37:$D$52")),0))))</f>
        <v/>
      </c>
      <c r="AA52" s="135">
        <f>IF($G$41="",0,IF(W52&gt;'General Information'!$D$33,0,IF(W52=0,$J$41,IFERROR(SUMIF(INDIRECT("'"&amp;$G$41&amp;"'!$C$37:$C$52"),W52,INDIRECT("'"&amp;$G$41&amp;"'!$D$37:$D$52")),0))))</f>
        <v/>
      </c>
      <c r="AB52" s="135">
        <f>IF($G$42="",0,IF(W52&gt;'General Information'!$D$33,0,IF(W52=0,$J$42,IFERROR(SUMIF(INDIRECT("'"&amp;$G$42&amp;"'!$C$37:$C$52"),W52,INDIRECT("'"&amp;$G$42&amp;"'!$D$37:$D$52")),0))))</f>
        <v/>
      </c>
      <c r="AC52" s="135">
        <f>IF($G$39="",NA(),AC51+IF(W52&gt;'General Information'!$D$33,0,IF(W52=0,$J$39,IFERROR(SUMIF(INDIRECT("'"&amp;$G$39&amp;"'!$C$37:$C$52"),W52,INDIRECT("'"&amp;$G$39&amp;"'!$E$37:$E$52")),0))))</f>
        <v/>
      </c>
      <c r="AD52" s="135">
        <f>IF($G$40="",NA(),AD51+IF(W52&gt;'General Information'!$D$33,0,IF(W52=0,$J$40,IFERROR(SUMIF(INDIRECT("'"&amp;$G$40&amp;"'!$C$37:$C$52"),W52,INDIRECT("'"&amp;$G$40&amp;"'!$E$37:$E$52")),0))))</f>
        <v/>
      </c>
      <c r="AE52" s="135">
        <f>IF($G$41="",NA(),AE51+IF(W52&gt;'General Information'!$D$33,0,IF(W52=0,$J$41,IFERROR(SUMIF(INDIRECT("'"&amp;$G$41&amp;"'!$C$37:$C$52"),W52,INDIRECT("'"&amp;$G$41&amp;"'!$E$37:$E$52")),0))))</f>
        <v/>
      </c>
      <c r="AF52" s="135">
        <f>IF($G$42="",NA(),AF51+IF(W52&gt;'General Information'!$D$33,0,IF(W52=0,$J$42,IFERROR(SUMIF(INDIRECT("'"&amp;$G$42&amp;"'!$C$37:$C$52"),W52,INDIRECT("'"&amp;$G$42&amp;"'!$E$37:$E$52")),0))))</f>
        <v/>
      </c>
      <c r="AG52" s="152">
        <f>IF($G$39="",0,IF(W52&gt;'General Information'!$D$33,0,IFERROR(SUMIFS(INDIRECT("'"&amp;$G$39&amp;"'!$D$37:$D$52"),INDIRECT("'"&amp;$G$39&amp;"'!$C$37:$C$52"),W52,INDIRECT("'"&amp;$G$39&amp;"'!$B$37:$B$52"),"*Indirect*")/INDIRECT("'"&amp;$G$39&amp;"'!$F$2"),0)))</f>
        <v/>
      </c>
      <c r="AH52" s="152">
        <f>IF($G$40="",0,IF(W52&gt;'General Information'!$D$33,0,IFERROR(SUMIFS(INDIRECT("'"&amp;$G$40&amp;"'!$D$37:$D$52"),INDIRECT("'"&amp;$G$40&amp;"'!$C$37:$C$52"),W52,INDIRECT("'"&amp;$G$40&amp;"'!$B$37:$B$52"),"*Indirect*")/INDIRECT("'"&amp;$G$40&amp;"'!$F$2"),0)))</f>
        <v/>
      </c>
      <c r="AI52" s="152">
        <f>IF($G$41="",0,IF(W52&gt;'General Information'!$D$33,0,IFERROR(SUMIFS(INDIRECT("'"&amp;$G$41&amp;"'!$D$37:$D$52"),INDIRECT("'"&amp;$G$41&amp;"'!$C$37:$C$52"),W52,INDIRECT("'"&amp;$G$41&amp;"'!$B$37:$B$52"),"*Indirect*")/INDIRECT("'"&amp;$G$41&amp;"'!$F$2"),0)))</f>
        <v/>
      </c>
      <c r="AJ52" s="152">
        <f>IF($G$42="",0,IF(W52&gt;'General Information'!$D$33,0,IFERROR(SUMIFS(INDIRECT("'"&amp;$G$42&amp;"'!$D$37:$D$52"),INDIRECT("'"&amp;$G$42&amp;"'!$C$37:$C$52"),W52,INDIRECT("'"&amp;$G$42&amp;"'!$B$37:$B$52"),"*Indirect*")/INDIRECT("'"&amp;$G$42&amp;"'!$F$2"),0)))</f>
        <v/>
      </c>
    </row>
    <row r="53">
      <c r="G53"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53" s="134" t="n">
        <v>12</v>
      </c>
      <c r="X53" s="134">
        <f>'General Information'!$D$25+W53</f>
        <v/>
      </c>
      <c r="Y53" s="135">
        <f>IF($G$39="",0,IF(W53&gt;'General Information'!$D$33,0,IF(W53=0,$J$39,IFERROR(SUMIF(INDIRECT("'"&amp;$G$39&amp;"'!$C$37:$C$52"),W53,INDIRECT("'"&amp;$G$39&amp;"'!$D$37:$D$52")),0))))</f>
        <v/>
      </c>
      <c r="Z53" s="135">
        <f>IF($G$40="",0,IF(W53&gt;'General Information'!$D$33,0,IF(W53=0,$J$40,IFERROR(SUMIF(INDIRECT("'"&amp;$G$40&amp;"'!$C$37:$C$52"),W53,INDIRECT("'"&amp;$G$40&amp;"'!$D$37:$D$52")),0))))</f>
        <v/>
      </c>
      <c r="AA53" s="135">
        <f>IF($G$41="",0,IF(W53&gt;'General Information'!$D$33,0,IF(W53=0,$J$41,IFERROR(SUMIF(INDIRECT("'"&amp;$G$41&amp;"'!$C$37:$C$52"),W53,INDIRECT("'"&amp;$G$41&amp;"'!$D$37:$D$52")),0))))</f>
        <v/>
      </c>
      <c r="AB53" s="135">
        <f>IF($G$42="",0,IF(W53&gt;'General Information'!$D$33,0,IF(W53=0,$J$42,IFERROR(SUMIF(INDIRECT("'"&amp;$G$42&amp;"'!$C$37:$C$52"),W53,INDIRECT("'"&amp;$G$42&amp;"'!$D$37:$D$52")),0))))</f>
        <v/>
      </c>
      <c r="AC53" s="135">
        <f>IF($G$39="",NA(),AC52+IF(W53&gt;'General Information'!$D$33,0,IF(W53=0,$J$39,IFERROR(SUMIF(INDIRECT("'"&amp;$G$39&amp;"'!$C$37:$C$52"),W53,INDIRECT("'"&amp;$G$39&amp;"'!$E$37:$E$52")),0))))</f>
        <v/>
      </c>
      <c r="AD53" s="135">
        <f>IF($G$40="",NA(),AD52+IF(W53&gt;'General Information'!$D$33,0,IF(W53=0,$J$40,IFERROR(SUMIF(INDIRECT("'"&amp;$G$40&amp;"'!$C$37:$C$52"),W53,INDIRECT("'"&amp;$G$40&amp;"'!$E$37:$E$52")),0))))</f>
        <v/>
      </c>
      <c r="AE53" s="135">
        <f>IF($G$41="",NA(),AE52+IF(W53&gt;'General Information'!$D$33,0,IF(W53=0,$J$41,IFERROR(SUMIF(INDIRECT("'"&amp;$G$41&amp;"'!$C$37:$C$52"),W53,INDIRECT("'"&amp;$G$41&amp;"'!$E$37:$E$52")),0))))</f>
        <v/>
      </c>
      <c r="AF53" s="135">
        <f>IF($G$42="",NA(),AF52+IF(W53&gt;'General Information'!$D$33,0,IF(W53=0,$J$42,IFERROR(SUMIF(INDIRECT("'"&amp;$G$42&amp;"'!$C$37:$C$52"),W53,INDIRECT("'"&amp;$G$42&amp;"'!$E$37:$E$52")),0))))</f>
        <v/>
      </c>
      <c r="AG53" s="152">
        <f>IF($G$39="",0,IF(W53&gt;'General Information'!$D$33,0,IFERROR(SUMIFS(INDIRECT("'"&amp;$G$39&amp;"'!$D$37:$D$52"),INDIRECT("'"&amp;$G$39&amp;"'!$C$37:$C$52"),W53,INDIRECT("'"&amp;$G$39&amp;"'!$B$37:$B$52"),"*Indirect*")/INDIRECT("'"&amp;$G$39&amp;"'!$F$2"),0)))</f>
        <v/>
      </c>
      <c r="AH53" s="152">
        <f>IF($G$40="",0,IF(W53&gt;'General Information'!$D$33,0,IFERROR(SUMIFS(INDIRECT("'"&amp;$G$40&amp;"'!$D$37:$D$52"),INDIRECT("'"&amp;$G$40&amp;"'!$C$37:$C$52"),W53,INDIRECT("'"&amp;$G$40&amp;"'!$B$37:$B$52"),"*Indirect*")/INDIRECT("'"&amp;$G$40&amp;"'!$F$2"),0)))</f>
        <v/>
      </c>
      <c r="AI53" s="152">
        <f>IF($G$41="",0,IF(W53&gt;'General Information'!$D$33,0,IFERROR(SUMIFS(INDIRECT("'"&amp;$G$41&amp;"'!$D$37:$D$52"),INDIRECT("'"&amp;$G$41&amp;"'!$C$37:$C$52"),W53,INDIRECT("'"&amp;$G$41&amp;"'!$B$37:$B$52"),"*Indirect*")/INDIRECT("'"&amp;$G$41&amp;"'!$F$2"),0)))</f>
        <v/>
      </c>
      <c r="AJ53" s="152">
        <f>IF($G$42="",0,IF(W53&gt;'General Information'!$D$33,0,IFERROR(SUMIFS(INDIRECT("'"&amp;$G$42&amp;"'!$D$37:$D$52"),INDIRECT("'"&amp;$G$42&amp;"'!$C$37:$C$52"),W53,INDIRECT("'"&amp;$G$42&amp;"'!$B$37:$B$52"),"*Indirect*")/INDIRECT("'"&amp;$G$42&amp;"'!$F$2"),0)))</f>
        <v/>
      </c>
    </row>
    <row r="54">
      <c r="W54" s="134" t="n">
        <v>13</v>
      </c>
      <c r="X54" s="134">
        <f>'General Information'!$D$25+W54</f>
        <v/>
      </c>
      <c r="Y54" s="135">
        <f>IF($G$39="",0,IF(W54&gt;'General Information'!$D$33,0,IF(W54=0,$J$39,IFERROR(SUMIF(INDIRECT("'"&amp;$G$39&amp;"'!$C$37:$C$52"),W54,INDIRECT("'"&amp;$G$39&amp;"'!$D$37:$D$52")),0))))</f>
        <v/>
      </c>
      <c r="Z54" s="135">
        <f>IF($G$40="",0,IF(W54&gt;'General Information'!$D$33,0,IF(W54=0,$J$40,IFERROR(SUMIF(INDIRECT("'"&amp;$G$40&amp;"'!$C$37:$C$52"),W54,INDIRECT("'"&amp;$G$40&amp;"'!$D$37:$D$52")),0))))</f>
        <v/>
      </c>
      <c r="AA54" s="135">
        <f>IF($G$41="",0,IF(W54&gt;'General Information'!$D$33,0,IF(W54=0,$J$41,IFERROR(SUMIF(INDIRECT("'"&amp;$G$41&amp;"'!$C$37:$C$52"),W54,INDIRECT("'"&amp;$G$41&amp;"'!$D$37:$D$52")),0))))</f>
        <v/>
      </c>
      <c r="AB54" s="135">
        <f>IF($G$42="",0,IF(W54&gt;'General Information'!$D$33,0,IF(W54=0,$J$42,IFERROR(SUMIF(INDIRECT("'"&amp;$G$42&amp;"'!$C$37:$C$52"),W54,INDIRECT("'"&amp;$G$42&amp;"'!$D$37:$D$52")),0))))</f>
        <v/>
      </c>
      <c r="AC54" s="135">
        <f>IF($G$39="",NA(),AC53+IF(W54&gt;'General Information'!$D$33,0,IF(W54=0,$J$39,IFERROR(SUMIF(INDIRECT("'"&amp;$G$39&amp;"'!$C$37:$C$52"),W54,INDIRECT("'"&amp;$G$39&amp;"'!$E$37:$E$52")),0))))</f>
        <v/>
      </c>
      <c r="AD54" s="135">
        <f>IF($G$40="",NA(),AD53+IF(W54&gt;'General Information'!$D$33,0,IF(W54=0,$J$40,IFERROR(SUMIF(INDIRECT("'"&amp;$G$40&amp;"'!$C$37:$C$52"),W54,INDIRECT("'"&amp;$G$40&amp;"'!$E$37:$E$52")),0))))</f>
        <v/>
      </c>
      <c r="AE54" s="135">
        <f>IF($G$41="",NA(),AE53+IF(W54&gt;'General Information'!$D$33,0,IF(W54=0,$J$41,IFERROR(SUMIF(INDIRECT("'"&amp;$G$41&amp;"'!$C$37:$C$52"),W54,INDIRECT("'"&amp;$G$41&amp;"'!$E$37:$E$52")),0))))</f>
        <v/>
      </c>
      <c r="AF54" s="135">
        <f>IF($G$42="",NA(),AF53+IF(W54&gt;'General Information'!$D$33,0,IF(W54=0,$J$42,IFERROR(SUMIF(INDIRECT("'"&amp;$G$42&amp;"'!$C$37:$C$52"),W54,INDIRECT("'"&amp;$G$42&amp;"'!$E$37:$E$52")),0))))</f>
        <v/>
      </c>
      <c r="AG54" s="152">
        <f>IF($G$39="",0,IF(W54&gt;'General Information'!$D$33,0,IFERROR(SUMIFS(INDIRECT("'"&amp;$G$39&amp;"'!$D$37:$D$52"),INDIRECT("'"&amp;$G$39&amp;"'!$C$37:$C$52"),W54,INDIRECT("'"&amp;$G$39&amp;"'!$B$37:$B$52"),"*Indirect*")/INDIRECT("'"&amp;$G$39&amp;"'!$F$2"),0)))</f>
        <v/>
      </c>
      <c r="AH54" s="152">
        <f>IF($G$40="",0,IF(W54&gt;'General Information'!$D$33,0,IFERROR(SUMIFS(INDIRECT("'"&amp;$G$40&amp;"'!$D$37:$D$52"),INDIRECT("'"&amp;$G$40&amp;"'!$C$37:$C$52"),W54,INDIRECT("'"&amp;$G$40&amp;"'!$B$37:$B$52"),"*Indirect*")/INDIRECT("'"&amp;$G$40&amp;"'!$F$2"),0)))</f>
        <v/>
      </c>
      <c r="AI54" s="152">
        <f>IF($G$41="",0,IF(W54&gt;'General Information'!$D$33,0,IFERROR(SUMIFS(INDIRECT("'"&amp;$G$41&amp;"'!$D$37:$D$52"),INDIRECT("'"&amp;$G$41&amp;"'!$C$37:$C$52"),W54,INDIRECT("'"&amp;$G$41&amp;"'!$B$37:$B$52"),"*Indirect*")/INDIRECT("'"&amp;$G$41&amp;"'!$F$2"),0)))</f>
        <v/>
      </c>
      <c r="AJ54" s="152">
        <f>IF($G$42="",0,IF(W54&gt;'General Information'!$D$33,0,IFERROR(SUMIFS(INDIRECT("'"&amp;$G$42&amp;"'!$D$37:$D$52"),INDIRECT("'"&amp;$G$42&amp;"'!$C$37:$C$52"),W54,INDIRECT("'"&amp;$G$42&amp;"'!$B$37:$B$52"),"*Indirect*")/INDIRECT("'"&amp;$G$42&amp;"'!$F$2"),0)))</f>
        <v/>
      </c>
    </row>
    <row r="55">
      <c r="G55" s="121" t="inlineStr">
        <is>
          <t>PAVEMENT SECTION  (read back from the quantities already entered; nothing here changes a cost)</t>
        </is>
      </c>
      <c r="W55" s="134" t="n">
        <v>14</v>
      </c>
      <c r="X55" s="134">
        <f>'General Information'!$D$25+W55</f>
        <v/>
      </c>
      <c r="Y55" s="135">
        <f>IF($G$39="",0,IF(W55&gt;'General Information'!$D$33,0,IF(W55=0,$J$39,IFERROR(SUMIF(INDIRECT("'"&amp;$G$39&amp;"'!$C$37:$C$52"),W55,INDIRECT("'"&amp;$G$39&amp;"'!$D$37:$D$52")),0))))</f>
        <v/>
      </c>
      <c r="Z55" s="135">
        <f>IF($G$40="",0,IF(W55&gt;'General Information'!$D$33,0,IF(W55=0,$J$40,IFERROR(SUMIF(INDIRECT("'"&amp;$G$40&amp;"'!$C$37:$C$52"),W55,INDIRECT("'"&amp;$G$40&amp;"'!$D$37:$D$52")),0))))</f>
        <v/>
      </c>
      <c r="AA55" s="135">
        <f>IF($G$41="",0,IF(W55&gt;'General Information'!$D$33,0,IF(W55=0,$J$41,IFERROR(SUMIF(INDIRECT("'"&amp;$G$41&amp;"'!$C$37:$C$52"),W55,INDIRECT("'"&amp;$G$41&amp;"'!$D$37:$D$52")),0))))</f>
        <v/>
      </c>
      <c r="AB55" s="135">
        <f>IF($G$42="",0,IF(W55&gt;'General Information'!$D$33,0,IF(W55=0,$J$42,IFERROR(SUMIF(INDIRECT("'"&amp;$G$42&amp;"'!$C$37:$C$52"),W55,INDIRECT("'"&amp;$G$42&amp;"'!$D$37:$D$52")),0))))</f>
        <v/>
      </c>
      <c r="AC55" s="135">
        <f>IF($G$39="",NA(),AC54+IF(W55&gt;'General Information'!$D$33,0,IF(W55=0,$J$39,IFERROR(SUMIF(INDIRECT("'"&amp;$G$39&amp;"'!$C$37:$C$52"),W55,INDIRECT("'"&amp;$G$39&amp;"'!$E$37:$E$52")),0))))</f>
        <v/>
      </c>
      <c r="AD55" s="135">
        <f>IF($G$40="",NA(),AD54+IF(W55&gt;'General Information'!$D$33,0,IF(W55=0,$J$40,IFERROR(SUMIF(INDIRECT("'"&amp;$G$40&amp;"'!$C$37:$C$52"),W55,INDIRECT("'"&amp;$G$40&amp;"'!$E$37:$E$52")),0))))</f>
        <v/>
      </c>
      <c r="AE55" s="135">
        <f>IF($G$41="",NA(),AE54+IF(W55&gt;'General Information'!$D$33,0,IF(W55=0,$J$41,IFERROR(SUMIF(INDIRECT("'"&amp;$G$41&amp;"'!$C$37:$C$52"),W55,INDIRECT("'"&amp;$G$41&amp;"'!$E$37:$E$52")),0))))</f>
        <v/>
      </c>
      <c r="AF55" s="135">
        <f>IF($G$42="",NA(),AF54+IF(W55&gt;'General Information'!$D$33,0,IF(W55=0,$J$42,IFERROR(SUMIF(INDIRECT("'"&amp;$G$42&amp;"'!$C$37:$C$52"),W55,INDIRECT("'"&amp;$G$42&amp;"'!$E$37:$E$52")),0))))</f>
        <v/>
      </c>
      <c r="AG55" s="152">
        <f>IF($G$39="",0,IF(W55&gt;'General Information'!$D$33,0,IFERROR(SUMIFS(INDIRECT("'"&amp;$G$39&amp;"'!$D$37:$D$52"),INDIRECT("'"&amp;$G$39&amp;"'!$C$37:$C$52"),W55,INDIRECT("'"&amp;$G$39&amp;"'!$B$37:$B$52"),"*Indirect*")/INDIRECT("'"&amp;$G$39&amp;"'!$F$2"),0)))</f>
        <v/>
      </c>
      <c r="AH55" s="152">
        <f>IF($G$40="",0,IF(W55&gt;'General Information'!$D$33,0,IFERROR(SUMIFS(INDIRECT("'"&amp;$G$40&amp;"'!$D$37:$D$52"),INDIRECT("'"&amp;$G$40&amp;"'!$C$37:$C$52"),W55,INDIRECT("'"&amp;$G$40&amp;"'!$B$37:$B$52"),"*Indirect*")/INDIRECT("'"&amp;$G$40&amp;"'!$F$2"),0)))</f>
        <v/>
      </c>
      <c r="AI55" s="152">
        <f>IF($G$41="",0,IF(W55&gt;'General Information'!$D$33,0,IFERROR(SUMIFS(INDIRECT("'"&amp;$G$41&amp;"'!$D$37:$D$52"),INDIRECT("'"&amp;$G$41&amp;"'!$C$37:$C$52"),W55,INDIRECT("'"&amp;$G$41&amp;"'!$B$37:$B$52"),"*Indirect*")/INDIRECT("'"&amp;$G$41&amp;"'!$F$2"),0)))</f>
        <v/>
      </c>
      <c r="AJ55" s="152">
        <f>IF($G$42="",0,IF(W55&gt;'General Information'!$D$33,0,IFERROR(SUMIFS(INDIRECT("'"&amp;$G$42&amp;"'!$D$37:$D$52"),INDIRECT("'"&amp;$G$42&amp;"'!$C$37:$C$52"),W55,INDIRECT("'"&amp;$G$42&amp;"'!$B$37:$B$52"),"*Indirect*")/INDIRECT("'"&amp;$G$42&amp;"'!$F$2"),0)))</f>
        <v/>
      </c>
    </row>
    <row r="56">
      <c r="G56" s="122" t="inlineStr">
        <is>
          <t>Asphalt unit weight, pcf:</t>
        </is>
      </c>
      <c r="J56" s="149" t="n">
        <v>145</v>
      </c>
      <c r="K56" s="136" t="inlineStr">
        <is>
          <t>Only asphalt needs an assumption: 145 pcf reproduces the Murfreesboro section to the hundredth of an inch. Volume items convert directly, and concrete carries its thickness in the pay-item name.</t>
        </is>
      </c>
      <c r="W56" s="134" t="n">
        <v>15</v>
      </c>
      <c r="X56" s="134">
        <f>'General Information'!$D$25+W56</f>
        <v/>
      </c>
      <c r="Y56" s="135">
        <f>IF($G$39="",0,IF(W56&gt;'General Information'!$D$33,0,IF(W56=0,$J$39,IFERROR(SUMIF(INDIRECT("'"&amp;$G$39&amp;"'!$C$37:$C$52"),W56,INDIRECT("'"&amp;$G$39&amp;"'!$D$37:$D$52")),0))))</f>
        <v/>
      </c>
      <c r="Z56" s="135">
        <f>IF($G$40="",0,IF(W56&gt;'General Information'!$D$33,0,IF(W56=0,$J$40,IFERROR(SUMIF(INDIRECT("'"&amp;$G$40&amp;"'!$C$37:$C$52"),W56,INDIRECT("'"&amp;$G$40&amp;"'!$D$37:$D$52")),0))))</f>
        <v/>
      </c>
      <c r="AA56" s="135">
        <f>IF($G$41="",0,IF(W56&gt;'General Information'!$D$33,0,IF(W56=0,$J$41,IFERROR(SUMIF(INDIRECT("'"&amp;$G$41&amp;"'!$C$37:$C$52"),W56,INDIRECT("'"&amp;$G$41&amp;"'!$D$37:$D$52")),0))))</f>
        <v/>
      </c>
      <c r="AB56" s="135">
        <f>IF($G$42="",0,IF(W56&gt;'General Information'!$D$33,0,IF(W56=0,$J$42,IFERROR(SUMIF(INDIRECT("'"&amp;$G$42&amp;"'!$C$37:$C$52"),W56,INDIRECT("'"&amp;$G$42&amp;"'!$D$37:$D$52")),0))))</f>
        <v/>
      </c>
      <c r="AC56" s="135">
        <f>IF($G$39="",NA(),AC55+IF(W56&gt;'General Information'!$D$33,0,IF(W56=0,$J$39,IFERROR(SUMIF(INDIRECT("'"&amp;$G$39&amp;"'!$C$37:$C$52"),W56,INDIRECT("'"&amp;$G$39&amp;"'!$E$37:$E$52")),0))))</f>
        <v/>
      </c>
      <c r="AD56" s="135">
        <f>IF($G$40="",NA(),AD55+IF(W56&gt;'General Information'!$D$33,0,IF(W56=0,$J$40,IFERROR(SUMIF(INDIRECT("'"&amp;$G$40&amp;"'!$C$37:$C$52"),W56,INDIRECT("'"&amp;$G$40&amp;"'!$E$37:$E$52")),0))))</f>
        <v/>
      </c>
      <c r="AE56" s="135">
        <f>IF($G$41="",NA(),AE55+IF(W56&gt;'General Information'!$D$33,0,IF(W56=0,$J$41,IFERROR(SUMIF(INDIRECT("'"&amp;$G$41&amp;"'!$C$37:$C$52"),W56,INDIRECT("'"&amp;$G$41&amp;"'!$E$37:$E$52")),0))))</f>
        <v/>
      </c>
      <c r="AF56" s="135">
        <f>IF($G$42="",NA(),AF55+IF(W56&gt;'General Information'!$D$33,0,IF(W56=0,$J$42,IFERROR(SUMIF(INDIRECT("'"&amp;$G$42&amp;"'!$C$37:$C$52"),W56,INDIRECT("'"&amp;$G$42&amp;"'!$E$37:$E$52")),0))))</f>
        <v/>
      </c>
      <c r="AG56" s="152">
        <f>IF($G$39="",0,IF(W56&gt;'General Information'!$D$33,0,IFERROR(SUMIFS(INDIRECT("'"&amp;$G$39&amp;"'!$D$37:$D$52"),INDIRECT("'"&amp;$G$39&amp;"'!$C$37:$C$52"),W56,INDIRECT("'"&amp;$G$39&amp;"'!$B$37:$B$52"),"*Indirect*")/INDIRECT("'"&amp;$G$39&amp;"'!$F$2"),0)))</f>
        <v/>
      </c>
      <c r="AH56" s="152">
        <f>IF($G$40="",0,IF(W56&gt;'General Information'!$D$33,0,IFERROR(SUMIFS(INDIRECT("'"&amp;$G$40&amp;"'!$D$37:$D$52"),INDIRECT("'"&amp;$G$40&amp;"'!$C$37:$C$52"),W56,INDIRECT("'"&amp;$G$40&amp;"'!$B$37:$B$52"),"*Indirect*")/INDIRECT("'"&amp;$G$40&amp;"'!$F$2"),0)))</f>
        <v/>
      </c>
      <c r="AI56" s="152">
        <f>IF($G$41="",0,IF(W56&gt;'General Information'!$D$33,0,IFERROR(SUMIFS(INDIRECT("'"&amp;$G$41&amp;"'!$D$37:$D$52"),INDIRECT("'"&amp;$G$41&amp;"'!$C$37:$C$52"),W56,INDIRECT("'"&amp;$G$41&amp;"'!$B$37:$B$52"),"*Indirect*")/INDIRECT("'"&amp;$G$41&amp;"'!$F$2"),0)))</f>
        <v/>
      </c>
      <c r="AJ56" s="152">
        <f>IF($G$42="",0,IF(W56&gt;'General Information'!$D$33,0,IFERROR(SUMIFS(INDIRECT("'"&amp;$G$42&amp;"'!$D$37:$D$52"),INDIRECT("'"&amp;$G$42&amp;"'!$C$37:$C$52"),W56,INDIRECT("'"&amp;$G$42&amp;"'!$B$37:$B$52"),"*Indirect*")/INDIRECT("'"&amp;$G$42&amp;"'!$F$2"),0)))</f>
        <v/>
      </c>
    </row>
    <row r="57" ht="27" customHeight="1">
      <c r="G57" s="124" t="inlineStr">
        <is>
          <t>Alternative</t>
        </is>
      </c>
      <c r="H57" s="124" t="inlineStr">
        <is>
          <t>Surface course (in)</t>
        </is>
      </c>
      <c r="I57" s="124" t="inlineStr">
        <is>
          <t>Aggregate base (in)</t>
        </is>
      </c>
      <c r="J57" s="124" t="inlineStr">
        <is>
          <t>Subbase (in)</t>
        </is>
      </c>
      <c r="K57" s="124" t="inlineStr">
        <is>
          <t>Treated subgrade</t>
        </is>
      </c>
      <c r="L57" s="124" t="inlineStr">
        <is>
          <t>Total section (in)</t>
        </is>
      </c>
      <c r="M57" s="124" t="inlineStr">
        <is>
          <t>Excavation (in)</t>
        </is>
      </c>
      <c r="N57" s="124" t="inlineStr">
        <is>
          <t>Excavation check</t>
        </is>
      </c>
      <c r="O57" s="124" t="n"/>
      <c r="P57" s="124" t="inlineStr">
        <is>
          <t>Section from the quantities</t>
        </is>
      </c>
      <c r="Q57" s="124" t="inlineStr">
        <is>
          <t>Same quantities over mainline + shoulder</t>
        </is>
      </c>
      <c r="W57" s="134" t="n">
        <v>16</v>
      </c>
      <c r="X57" s="134">
        <f>'General Information'!$D$25+W57</f>
        <v/>
      </c>
      <c r="Y57" s="135">
        <f>IF($G$39="",0,IF(W57&gt;'General Information'!$D$33,0,IF(W57=0,$J$39,IFERROR(SUMIF(INDIRECT("'"&amp;$G$39&amp;"'!$C$37:$C$52"),W57,INDIRECT("'"&amp;$G$39&amp;"'!$D$37:$D$52")),0))))</f>
        <v/>
      </c>
      <c r="Z57" s="135">
        <f>IF($G$40="",0,IF(W57&gt;'General Information'!$D$33,0,IF(W57=0,$J$40,IFERROR(SUMIF(INDIRECT("'"&amp;$G$40&amp;"'!$C$37:$C$52"),W57,INDIRECT("'"&amp;$G$40&amp;"'!$D$37:$D$52")),0))))</f>
        <v/>
      </c>
      <c r="AA57" s="135">
        <f>IF($G$41="",0,IF(W57&gt;'General Information'!$D$33,0,IF(W57=0,$J$41,IFERROR(SUMIF(INDIRECT("'"&amp;$G$41&amp;"'!$C$37:$C$52"),W57,INDIRECT("'"&amp;$G$41&amp;"'!$D$37:$D$52")),0))))</f>
        <v/>
      </c>
      <c r="AB57" s="135">
        <f>IF($G$42="",0,IF(W57&gt;'General Information'!$D$33,0,IF(W57=0,$J$42,IFERROR(SUMIF(INDIRECT("'"&amp;$G$42&amp;"'!$C$37:$C$52"),W57,INDIRECT("'"&amp;$G$42&amp;"'!$D$37:$D$52")),0))))</f>
        <v/>
      </c>
      <c r="AC57" s="135">
        <f>IF($G$39="",NA(),AC56+IF(W57&gt;'General Information'!$D$33,0,IF(W57=0,$J$39,IFERROR(SUMIF(INDIRECT("'"&amp;$G$39&amp;"'!$C$37:$C$52"),W57,INDIRECT("'"&amp;$G$39&amp;"'!$E$37:$E$52")),0))))</f>
        <v/>
      </c>
      <c r="AD57" s="135">
        <f>IF($G$40="",NA(),AD56+IF(W57&gt;'General Information'!$D$33,0,IF(W57=0,$J$40,IFERROR(SUMIF(INDIRECT("'"&amp;$G$40&amp;"'!$C$37:$C$52"),W57,INDIRECT("'"&amp;$G$40&amp;"'!$E$37:$E$52")),0))))</f>
        <v/>
      </c>
      <c r="AE57" s="135">
        <f>IF($G$41="",NA(),AE56+IF(W57&gt;'General Information'!$D$33,0,IF(W57=0,$J$41,IFERROR(SUMIF(INDIRECT("'"&amp;$G$41&amp;"'!$C$37:$C$52"),W57,INDIRECT("'"&amp;$G$41&amp;"'!$E$37:$E$52")),0))))</f>
        <v/>
      </c>
      <c r="AF57" s="135">
        <f>IF($G$42="",NA(),AF56+IF(W57&gt;'General Information'!$D$33,0,IF(W57=0,$J$42,IFERROR(SUMIF(INDIRECT("'"&amp;$G$42&amp;"'!$C$37:$C$52"),W57,INDIRECT("'"&amp;$G$42&amp;"'!$E$37:$E$52")),0))))</f>
        <v/>
      </c>
      <c r="AG57" s="152">
        <f>IF($G$39="",0,IF(W57&gt;'General Information'!$D$33,0,IFERROR(SUMIFS(INDIRECT("'"&amp;$G$39&amp;"'!$D$37:$D$52"),INDIRECT("'"&amp;$G$39&amp;"'!$C$37:$C$52"),W57,INDIRECT("'"&amp;$G$39&amp;"'!$B$37:$B$52"),"*Indirect*")/INDIRECT("'"&amp;$G$39&amp;"'!$F$2"),0)))</f>
        <v/>
      </c>
      <c r="AH57" s="152">
        <f>IF($G$40="",0,IF(W57&gt;'General Information'!$D$33,0,IFERROR(SUMIFS(INDIRECT("'"&amp;$G$40&amp;"'!$D$37:$D$52"),INDIRECT("'"&amp;$G$40&amp;"'!$C$37:$C$52"),W57,INDIRECT("'"&amp;$G$40&amp;"'!$B$37:$B$52"),"*Indirect*")/INDIRECT("'"&amp;$G$40&amp;"'!$F$2"),0)))</f>
        <v/>
      </c>
      <c r="AI57" s="152">
        <f>IF($G$41="",0,IF(W57&gt;'General Information'!$D$33,0,IFERROR(SUMIFS(INDIRECT("'"&amp;$G$41&amp;"'!$D$37:$D$52"),INDIRECT("'"&amp;$G$41&amp;"'!$C$37:$C$52"),W57,INDIRECT("'"&amp;$G$41&amp;"'!$B$37:$B$52"),"*Indirect*")/INDIRECT("'"&amp;$G$41&amp;"'!$F$2"),0)))</f>
        <v/>
      </c>
      <c r="AJ57" s="152">
        <f>IF($G$42="",0,IF(W57&gt;'General Information'!$D$33,0,IFERROR(SUMIFS(INDIRECT("'"&amp;$G$42&amp;"'!$D$37:$D$52"),INDIRECT("'"&amp;$G$42&amp;"'!$C$37:$C$52"),W57,INDIRECT("'"&amp;$G$42&amp;"'!$B$37:$B$52"),"*Indirect*")/INDIRECT("'"&amp;$G$42&amp;"'!$F$2"),0)))</f>
        <v/>
      </c>
    </row>
    <row r="58">
      <c r="G58" s="137">
        <f>IF($G$39="","",$H$39)</f>
        <v/>
      </c>
      <c r="H58" s="155">
        <f>IF(OR($G$39="",N('General Information'!$D$26)&lt;=0),"",IF(SUMIFS(INDIRECT("'"&amp;$G$39&amp;"'!$E$13:$E$22"),INDIRECT("'"&amp;$G$39&amp;"'!$D$13:$D$22"),"TON")&gt;0,SUMIFS(INDIRECT("'"&amp;$G$39&amp;"'!$E$13:$E$22"),INDIRECT("'"&amp;$G$39&amp;"'!$D$13:$D$22"),"TON")*2666.6667/($J$56*'General Information'!$D$26),IFERROR(VALUE(TRIM(SUBSTITUTE(MID(IFERROR(INDEX(INDIRECT("'"&amp;$G$39&amp;"'!$C$13:$C$22"),MATCH("Concrete Pavement*",INDIRECT("'"&amp;$G$39&amp;"'!$C$13:$C$22"),0)),""),FIND(",",IFERROR(INDEX(INDIRECT("'"&amp;$G$39&amp;"'!$C$13:$C$22"),MATCH("Concrete Pavement*",INDIRECT("'"&amp;$G$39&amp;"'!$C$13:$C$22"),0)),""))+1,99),"-inch",""))),0)))</f>
        <v/>
      </c>
      <c r="I58" s="155">
        <f>IF(OR($G$39="",N('General Information'!$D$26)&lt;=0),"",36*(SUMIFS(INDIRECT("'"&amp;$G$39&amp;"'!$E$13:$E$22"),INDIRECT("'"&amp;$G$39&amp;"'!$D$13:$D$22"),"C.Y.",INDIRECT("'"&amp;$G$39&amp;"'!$B$13:$B$22"),"P-2*")+SUMIFS(INDIRECT("'"&amp;$G$39&amp;"'!$E$13:$E$22"),INDIRECT("'"&amp;$G$39&amp;"'!$D$13:$D$22"),"C.Y.",INDIRECT("'"&amp;$G$39&amp;"'!$B$13:$B$22"),"P-3*"))/'General Information'!$D$26)</f>
        <v/>
      </c>
      <c r="J58" s="155">
        <f>IF(OR($G$39="",N('General Information'!$D$26)&lt;=0),"",36*SUMIFS(INDIRECT("'"&amp;$G$39&amp;"'!$E$13:$E$22"),INDIRECT("'"&amp;$G$39&amp;"'!$D$13:$D$22"),"C.Y.",INDIRECT("'"&amp;$G$39&amp;"'!$B$13:$B$22"),"P-154*")/'General Information'!$D$26)</f>
        <v/>
      </c>
      <c r="K58" s="155">
        <f>IF(OR($G$39="",N('General Information'!$D$26)&lt;=0),"",IF(SUMIFS(INDIRECT("'"&amp;$G$39&amp;"'!$E$13:$E$22"),INDIRECT("'"&amp;$G$39&amp;"'!$D$13:$D$22"),"S.Y.",INDIRECT("'"&amp;$G$39&amp;"'!$B$13:$B$22"),"P-155*")+SUMIFS(INDIRECT("'"&amp;$G$39&amp;"'!$E$13:$E$22"),INDIRECT("'"&amp;$G$39&amp;"'!$D$13:$D$22"),"S.Y.",INDIRECT("'"&amp;$G$39&amp;"'!$B$13:$B$22"),"P-156*")+SUMIFS(INDIRECT("'"&amp;$G$39&amp;"'!$E$13:$E$22"),INDIRECT("'"&amp;$G$39&amp;"'!$D$13:$D$22"),"S.Y.",INDIRECT("'"&amp;$G$39&amp;"'!$B$13:$B$22"),"P-157*")+SUMIFS(INDIRECT("'"&amp;$G$39&amp;"'!$E$13:$E$22"),INDIRECT("'"&amp;$G$39&amp;"'!$D$13:$D$22"),"S.Y.",INDIRECT("'"&amp;$G$39&amp;"'!$B$13:$B$22"),"P-158*")&gt;0,"yes","-"))</f>
        <v/>
      </c>
      <c r="L58" s="155">
        <f>IF(OR($G$39="",N('General Information'!$D$26)&lt;=0),"",H58+I58+J58)</f>
        <v/>
      </c>
      <c r="M58" s="155">
        <f>IF(OR($G$39="",N('General Information'!$D$26)&lt;=0),"",36*SUMIFS(INDIRECT("'"&amp;$G$39&amp;"'!$E$13:$E$22"),INDIRECT("'"&amp;$G$39&amp;"'!$D$13:$D$22"),"C.Y.",INDIRECT("'"&amp;$G$39&amp;"'!$B$13:$B$22"),"P-152*")/'General Information'!$D$26)</f>
        <v/>
      </c>
      <c r="N58" s="137">
        <f>IF(OR($G$39="",N('General Information'!$D$26)&lt;=0),"",IF(M58=0,"no excavation item",IF(ABS(M58-L58)&lt;=0.5,"agrees","differs by "&amp;TEXT(M58-L58,"0.0")&amp;" in")))</f>
        <v/>
      </c>
      <c r="P58" s="137">
        <f>IF(OR($G$39="",N('General Information'!$D$26)&lt;=0),"",TEXT(H58,"0")&amp;""" "&amp;IF(SUMIFS(INDIRECT("'"&amp;$G$39&amp;"'!$E$13:$E$22"),INDIRECT("'"&amp;$G$39&amp;"'!$D$13:$D$22"),"TON")&gt;0,IFERROR(SUBSTITUTE(LEFT(INDEX(INDIRECT("'"&amp;$G$39&amp;"'!$B$13:$B$22"),MATCH("P-4*",INDIRECT("'"&amp;$G$39&amp;"'!$B$13:$B$22"),0)),5),"-",""),""),IFERROR(SUBSTITUTE(LEFT(INDEX(INDIRECT("'"&amp;$G$39&amp;"'!$B$13:$B$22"),MATCH("P-501*",INDIRECT("'"&amp;$G$39&amp;"'!$B$13:$B$22"),0)),5),"-",""),""))&amp;IF(I58&gt;0," on "&amp;TEXT(I58,"0")&amp;""" "&amp;IFERROR(SUBSTITUTE(LEFT(INDEX(INDIRECT("'"&amp;$G$39&amp;"'!$B$13:$B$22"),MATCH("P-2*",INDIRECT("'"&amp;$G$39&amp;"'!$B$13:$B$22"),0)),5),"-",""),""),"")&amp;IF(J58&gt;0," on "&amp;TEXT(J58,"0")&amp;""" P154",""))</f>
        <v/>
      </c>
      <c r="Q58" s="137">
        <f>IF(OR(OR($G$39="",N('General Information'!$D$26)&lt;=0),'General Information'!$D$27=0),"",TEXT(IF(SUMIFS(INDIRECT("'"&amp;$G$39&amp;"'!$E$13:$E$22"),INDIRECT("'"&amp;$G$39&amp;"'!$D$13:$D$22"),"TON")&gt;0,H58*'General Information'!$D$26/('General Information'!$D$26+'General Information'!$D$27),H58),"0")&amp;""" "&amp;IF(SUMIFS(INDIRECT("'"&amp;$G$39&amp;"'!$E$13:$E$22"),INDIRECT("'"&amp;$G$39&amp;"'!$D$13:$D$22"),"TON")&gt;0,IFERROR(SUBSTITUTE(LEFT(INDEX(INDIRECT("'"&amp;$G$39&amp;"'!$B$13:$B$22"),MATCH("P-4*",INDIRECT("'"&amp;$G$39&amp;"'!$B$13:$B$22"),0)),5),"-",""),""),IFERROR(SUBSTITUTE(LEFT(INDEX(INDIRECT("'"&amp;$G$39&amp;"'!$B$13:$B$22"),MATCH("P-501*",INDIRECT("'"&amp;$G$39&amp;"'!$B$13:$B$22"),0)),5),"-",""),""))&amp;IF(I58&gt;0," on "&amp;TEXT(I58*'General Information'!$D$26/('General Information'!$D$26+'General Information'!$D$27),"0")&amp;""" "&amp;IFERROR(SUBSTITUTE(LEFT(INDEX(INDIRECT("'"&amp;$G$39&amp;"'!$B$13:$B$22"),MATCH("P-2*",INDIRECT("'"&amp;$G$39&amp;"'!$B$13:$B$22"),0)),5),"-",""),""),"")&amp;IF(J58&gt;0," on "&amp;TEXT(J58*'General Information'!$D$26/('General Information'!$D$26+'General Information'!$D$27),"0")&amp;""" P154",""))</f>
        <v/>
      </c>
      <c r="W58" s="134" t="n">
        <v>17</v>
      </c>
      <c r="X58" s="134">
        <f>'General Information'!$D$25+W58</f>
        <v/>
      </c>
      <c r="Y58" s="135">
        <f>IF($G$39="",0,IF(W58&gt;'General Information'!$D$33,0,IF(W58=0,$J$39,IFERROR(SUMIF(INDIRECT("'"&amp;$G$39&amp;"'!$C$37:$C$52"),W58,INDIRECT("'"&amp;$G$39&amp;"'!$D$37:$D$52")),0))))</f>
        <v/>
      </c>
      <c r="Z58" s="135">
        <f>IF($G$40="",0,IF(W58&gt;'General Information'!$D$33,0,IF(W58=0,$J$40,IFERROR(SUMIF(INDIRECT("'"&amp;$G$40&amp;"'!$C$37:$C$52"),W58,INDIRECT("'"&amp;$G$40&amp;"'!$D$37:$D$52")),0))))</f>
        <v/>
      </c>
      <c r="AA58" s="135">
        <f>IF($G$41="",0,IF(W58&gt;'General Information'!$D$33,0,IF(W58=0,$J$41,IFERROR(SUMIF(INDIRECT("'"&amp;$G$41&amp;"'!$C$37:$C$52"),W58,INDIRECT("'"&amp;$G$41&amp;"'!$D$37:$D$52")),0))))</f>
        <v/>
      </c>
      <c r="AB58" s="135">
        <f>IF($G$42="",0,IF(W58&gt;'General Information'!$D$33,0,IF(W58=0,$J$42,IFERROR(SUMIF(INDIRECT("'"&amp;$G$42&amp;"'!$C$37:$C$52"),W58,INDIRECT("'"&amp;$G$42&amp;"'!$D$37:$D$52")),0))))</f>
        <v/>
      </c>
      <c r="AC58" s="135">
        <f>IF($G$39="",NA(),AC57+IF(W58&gt;'General Information'!$D$33,0,IF(W58=0,$J$39,IFERROR(SUMIF(INDIRECT("'"&amp;$G$39&amp;"'!$C$37:$C$52"),W58,INDIRECT("'"&amp;$G$39&amp;"'!$E$37:$E$52")),0))))</f>
        <v/>
      </c>
      <c r="AD58" s="135">
        <f>IF($G$40="",NA(),AD57+IF(W58&gt;'General Information'!$D$33,0,IF(W58=0,$J$40,IFERROR(SUMIF(INDIRECT("'"&amp;$G$40&amp;"'!$C$37:$C$52"),W58,INDIRECT("'"&amp;$G$40&amp;"'!$E$37:$E$52")),0))))</f>
        <v/>
      </c>
      <c r="AE58" s="135">
        <f>IF($G$41="",NA(),AE57+IF(W58&gt;'General Information'!$D$33,0,IF(W58=0,$J$41,IFERROR(SUMIF(INDIRECT("'"&amp;$G$41&amp;"'!$C$37:$C$52"),W58,INDIRECT("'"&amp;$G$41&amp;"'!$E$37:$E$52")),0))))</f>
        <v/>
      </c>
      <c r="AF58" s="135">
        <f>IF($G$42="",NA(),AF57+IF(W58&gt;'General Information'!$D$33,0,IF(W58=0,$J$42,IFERROR(SUMIF(INDIRECT("'"&amp;$G$42&amp;"'!$C$37:$C$52"),W58,INDIRECT("'"&amp;$G$42&amp;"'!$E$37:$E$52")),0))))</f>
        <v/>
      </c>
      <c r="AG58" s="152">
        <f>IF($G$39="",0,IF(W58&gt;'General Information'!$D$33,0,IFERROR(SUMIFS(INDIRECT("'"&amp;$G$39&amp;"'!$D$37:$D$52"),INDIRECT("'"&amp;$G$39&amp;"'!$C$37:$C$52"),W58,INDIRECT("'"&amp;$G$39&amp;"'!$B$37:$B$52"),"*Indirect*")/INDIRECT("'"&amp;$G$39&amp;"'!$F$2"),0)))</f>
        <v/>
      </c>
      <c r="AH58" s="152">
        <f>IF($G$40="",0,IF(W58&gt;'General Information'!$D$33,0,IFERROR(SUMIFS(INDIRECT("'"&amp;$G$40&amp;"'!$D$37:$D$52"),INDIRECT("'"&amp;$G$40&amp;"'!$C$37:$C$52"),W58,INDIRECT("'"&amp;$G$40&amp;"'!$B$37:$B$52"),"*Indirect*")/INDIRECT("'"&amp;$G$40&amp;"'!$F$2"),0)))</f>
        <v/>
      </c>
      <c r="AI58" s="152">
        <f>IF($G$41="",0,IF(W58&gt;'General Information'!$D$33,0,IFERROR(SUMIFS(INDIRECT("'"&amp;$G$41&amp;"'!$D$37:$D$52"),INDIRECT("'"&amp;$G$41&amp;"'!$C$37:$C$52"),W58,INDIRECT("'"&amp;$G$41&amp;"'!$B$37:$B$52"),"*Indirect*")/INDIRECT("'"&amp;$G$41&amp;"'!$F$2"),0)))</f>
        <v/>
      </c>
      <c r="AJ58" s="152">
        <f>IF($G$42="",0,IF(W58&gt;'General Information'!$D$33,0,IFERROR(SUMIFS(INDIRECT("'"&amp;$G$42&amp;"'!$D$37:$D$52"),INDIRECT("'"&amp;$G$42&amp;"'!$C$37:$C$52"),W58,INDIRECT("'"&amp;$G$42&amp;"'!$B$37:$B$52"),"*Indirect*")/INDIRECT("'"&amp;$G$42&amp;"'!$F$2"),0)))</f>
        <v/>
      </c>
    </row>
    <row r="59">
      <c r="G59" s="137">
        <f>IF($G$40="","",$H$40)</f>
        <v/>
      </c>
      <c r="H59" s="155">
        <f>IF(OR($G$40="",N('General Information'!$D$26)&lt;=0),"",IF(SUMIFS(INDIRECT("'"&amp;$G$40&amp;"'!$E$13:$E$22"),INDIRECT("'"&amp;$G$40&amp;"'!$D$13:$D$22"),"TON")&gt;0,SUMIFS(INDIRECT("'"&amp;$G$40&amp;"'!$E$13:$E$22"),INDIRECT("'"&amp;$G$40&amp;"'!$D$13:$D$22"),"TON")*2666.6667/($J$56*'General Information'!$D$26),IFERROR(VALUE(TRIM(SUBSTITUTE(MID(IFERROR(INDEX(INDIRECT("'"&amp;$G$40&amp;"'!$C$13:$C$22"),MATCH("Concrete Pavement*",INDIRECT("'"&amp;$G$40&amp;"'!$C$13:$C$22"),0)),""),FIND(",",IFERROR(INDEX(INDIRECT("'"&amp;$G$40&amp;"'!$C$13:$C$22"),MATCH("Concrete Pavement*",INDIRECT("'"&amp;$G$40&amp;"'!$C$13:$C$22"),0)),""))+1,99),"-inch",""))),0)))</f>
        <v/>
      </c>
      <c r="I59" s="155">
        <f>IF(OR($G$40="",N('General Information'!$D$26)&lt;=0),"",36*(SUMIFS(INDIRECT("'"&amp;$G$40&amp;"'!$E$13:$E$22"),INDIRECT("'"&amp;$G$40&amp;"'!$D$13:$D$22"),"C.Y.",INDIRECT("'"&amp;$G$40&amp;"'!$B$13:$B$22"),"P-2*")+SUMIFS(INDIRECT("'"&amp;$G$40&amp;"'!$E$13:$E$22"),INDIRECT("'"&amp;$G$40&amp;"'!$D$13:$D$22"),"C.Y.",INDIRECT("'"&amp;$G$40&amp;"'!$B$13:$B$22"),"P-3*"))/'General Information'!$D$26)</f>
        <v/>
      </c>
      <c r="J59" s="155">
        <f>IF(OR($G$40="",N('General Information'!$D$26)&lt;=0),"",36*SUMIFS(INDIRECT("'"&amp;$G$40&amp;"'!$E$13:$E$22"),INDIRECT("'"&amp;$G$40&amp;"'!$D$13:$D$22"),"C.Y.",INDIRECT("'"&amp;$G$40&amp;"'!$B$13:$B$22"),"P-154*")/'General Information'!$D$26)</f>
        <v/>
      </c>
      <c r="K59" s="155">
        <f>IF(OR($G$40="",N('General Information'!$D$26)&lt;=0),"",IF(SUMIFS(INDIRECT("'"&amp;$G$40&amp;"'!$E$13:$E$22"),INDIRECT("'"&amp;$G$40&amp;"'!$D$13:$D$22"),"S.Y.",INDIRECT("'"&amp;$G$40&amp;"'!$B$13:$B$22"),"P-155*")+SUMIFS(INDIRECT("'"&amp;$G$40&amp;"'!$E$13:$E$22"),INDIRECT("'"&amp;$G$40&amp;"'!$D$13:$D$22"),"S.Y.",INDIRECT("'"&amp;$G$40&amp;"'!$B$13:$B$22"),"P-156*")+SUMIFS(INDIRECT("'"&amp;$G$40&amp;"'!$E$13:$E$22"),INDIRECT("'"&amp;$G$40&amp;"'!$D$13:$D$22"),"S.Y.",INDIRECT("'"&amp;$G$40&amp;"'!$B$13:$B$22"),"P-157*")+SUMIFS(INDIRECT("'"&amp;$G$40&amp;"'!$E$13:$E$22"),INDIRECT("'"&amp;$G$40&amp;"'!$D$13:$D$22"),"S.Y.",INDIRECT("'"&amp;$G$40&amp;"'!$B$13:$B$22"),"P-158*")&gt;0,"yes","-"))</f>
        <v/>
      </c>
      <c r="L59" s="155">
        <f>IF(OR($G$40="",N('General Information'!$D$26)&lt;=0),"",H59+I59+J59)</f>
        <v/>
      </c>
      <c r="M59" s="155">
        <f>IF(OR($G$40="",N('General Information'!$D$26)&lt;=0),"",36*SUMIFS(INDIRECT("'"&amp;$G$40&amp;"'!$E$13:$E$22"),INDIRECT("'"&amp;$G$40&amp;"'!$D$13:$D$22"),"C.Y.",INDIRECT("'"&amp;$G$40&amp;"'!$B$13:$B$22"),"P-152*")/'General Information'!$D$26)</f>
        <v/>
      </c>
      <c r="N59" s="137">
        <f>IF(OR($G$40="",N('General Information'!$D$26)&lt;=0),"",IF(M59=0,"no excavation item",IF(ABS(M59-L59)&lt;=0.5,"agrees","differs by "&amp;TEXT(M59-L59,"0.0")&amp;" in")))</f>
        <v/>
      </c>
      <c r="P59" s="137">
        <f>IF(OR($G$40="",N('General Information'!$D$26)&lt;=0),"",TEXT(H59,"0")&amp;""" "&amp;IF(SUMIFS(INDIRECT("'"&amp;$G$40&amp;"'!$E$13:$E$22"),INDIRECT("'"&amp;$G$40&amp;"'!$D$13:$D$22"),"TON")&gt;0,IFERROR(SUBSTITUTE(LEFT(INDEX(INDIRECT("'"&amp;$G$40&amp;"'!$B$13:$B$22"),MATCH("P-4*",INDIRECT("'"&amp;$G$40&amp;"'!$B$13:$B$22"),0)),5),"-",""),""),IFERROR(SUBSTITUTE(LEFT(INDEX(INDIRECT("'"&amp;$G$40&amp;"'!$B$13:$B$22"),MATCH("P-501*",INDIRECT("'"&amp;$G$40&amp;"'!$B$13:$B$22"),0)),5),"-",""),""))&amp;IF(I59&gt;0," on "&amp;TEXT(I59,"0")&amp;""" "&amp;IFERROR(SUBSTITUTE(LEFT(INDEX(INDIRECT("'"&amp;$G$40&amp;"'!$B$13:$B$22"),MATCH("P-2*",INDIRECT("'"&amp;$G$40&amp;"'!$B$13:$B$22"),0)),5),"-",""),""),"")&amp;IF(J59&gt;0," on "&amp;TEXT(J59,"0")&amp;""" P154",""))</f>
        <v/>
      </c>
      <c r="Q59" s="137">
        <f>IF(OR(OR($G$40="",N('General Information'!$D$26)&lt;=0),'General Information'!$D$27=0),"",TEXT(IF(SUMIFS(INDIRECT("'"&amp;$G$40&amp;"'!$E$13:$E$22"),INDIRECT("'"&amp;$G$40&amp;"'!$D$13:$D$22"),"TON")&gt;0,H59*'General Information'!$D$26/('General Information'!$D$26+'General Information'!$D$27),H59),"0")&amp;""" "&amp;IF(SUMIFS(INDIRECT("'"&amp;$G$40&amp;"'!$E$13:$E$22"),INDIRECT("'"&amp;$G$40&amp;"'!$D$13:$D$22"),"TON")&gt;0,IFERROR(SUBSTITUTE(LEFT(INDEX(INDIRECT("'"&amp;$G$40&amp;"'!$B$13:$B$22"),MATCH("P-4*",INDIRECT("'"&amp;$G$40&amp;"'!$B$13:$B$22"),0)),5),"-",""),""),IFERROR(SUBSTITUTE(LEFT(INDEX(INDIRECT("'"&amp;$G$40&amp;"'!$B$13:$B$22"),MATCH("P-501*",INDIRECT("'"&amp;$G$40&amp;"'!$B$13:$B$22"),0)),5),"-",""),""))&amp;IF(I59&gt;0," on "&amp;TEXT(I59*'General Information'!$D$26/('General Information'!$D$26+'General Information'!$D$27),"0")&amp;""" "&amp;IFERROR(SUBSTITUTE(LEFT(INDEX(INDIRECT("'"&amp;$G$40&amp;"'!$B$13:$B$22"),MATCH("P-2*",INDIRECT("'"&amp;$G$40&amp;"'!$B$13:$B$22"),0)),5),"-",""),""),"")&amp;IF(J59&gt;0," on "&amp;TEXT(J59*'General Information'!$D$26/('General Information'!$D$26+'General Information'!$D$27),"0")&amp;""" P154",""))</f>
        <v/>
      </c>
      <c r="W59" s="134" t="n">
        <v>18</v>
      </c>
      <c r="X59" s="134">
        <f>'General Information'!$D$25+W59</f>
        <v/>
      </c>
      <c r="Y59" s="135">
        <f>IF($G$39="",0,IF(W59&gt;'General Information'!$D$33,0,IF(W59=0,$J$39,IFERROR(SUMIF(INDIRECT("'"&amp;$G$39&amp;"'!$C$37:$C$52"),W59,INDIRECT("'"&amp;$G$39&amp;"'!$D$37:$D$52")),0))))</f>
        <v/>
      </c>
      <c r="Z59" s="135">
        <f>IF($G$40="",0,IF(W59&gt;'General Information'!$D$33,0,IF(W59=0,$J$40,IFERROR(SUMIF(INDIRECT("'"&amp;$G$40&amp;"'!$C$37:$C$52"),W59,INDIRECT("'"&amp;$G$40&amp;"'!$D$37:$D$52")),0))))</f>
        <v/>
      </c>
      <c r="AA59" s="135">
        <f>IF($G$41="",0,IF(W59&gt;'General Information'!$D$33,0,IF(W59=0,$J$41,IFERROR(SUMIF(INDIRECT("'"&amp;$G$41&amp;"'!$C$37:$C$52"),W59,INDIRECT("'"&amp;$G$41&amp;"'!$D$37:$D$52")),0))))</f>
        <v/>
      </c>
      <c r="AB59" s="135">
        <f>IF($G$42="",0,IF(W59&gt;'General Information'!$D$33,0,IF(W59=0,$J$42,IFERROR(SUMIF(INDIRECT("'"&amp;$G$42&amp;"'!$C$37:$C$52"),W59,INDIRECT("'"&amp;$G$42&amp;"'!$D$37:$D$52")),0))))</f>
        <v/>
      </c>
      <c r="AC59" s="135">
        <f>IF($G$39="",NA(),AC58+IF(W59&gt;'General Information'!$D$33,0,IF(W59=0,$J$39,IFERROR(SUMIF(INDIRECT("'"&amp;$G$39&amp;"'!$C$37:$C$52"),W59,INDIRECT("'"&amp;$G$39&amp;"'!$E$37:$E$52")),0))))</f>
        <v/>
      </c>
      <c r="AD59" s="135">
        <f>IF($G$40="",NA(),AD58+IF(W59&gt;'General Information'!$D$33,0,IF(W59=0,$J$40,IFERROR(SUMIF(INDIRECT("'"&amp;$G$40&amp;"'!$C$37:$C$52"),W59,INDIRECT("'"&amp;$G$40&amp;"'!$E$37:$E$52")),0))))</f>
        <v/>
      </c>
      <c r="AE59" s="135">
        <f>IF($G$41="",NA(),AE58+IF(W59&gt;'General Information'!$D$33,0,IF(W59=0,$J$41,IFERROR(SUMIF(INDIRECT("'"&amp;$G$41&amp;"'!$C$37:$C$52"),W59,INDIRECT("'"&amp;$G$41&amp;"'!$E$37:$E$52")),0))))</f>
        <v/>
      </c>
      <c r="AF59" s="135">
        <f>IF($G$42="",NA(),AF58+IF(W59&gt;'General Information'!$D$33,0,IF(W59=0,$J$42,IFERROR(SUMIF(INDIRECT("'"&amp;$G$42&amp;"'!$C$37:$C$52"),W59,INDIRECT("'"&amp;$G$42&amp;"'!$E$37:$E$52")),0))))</f>
        <v/>
      </c>
      <c r="AG59" s="152">
        <f>IF($G$39="",0,IF(W59&gt;'General Information'!$D$33,0,IFERROR(SUMIFS(INDIRECT("'"&amp;$G$39&amp;"'!$D$37:$D$52"),INDIRECT("'"&amp;$G$39&amp;"'!$C$37:$C$52"),W59,INDIRECT("'"&amp;$G$39&amp;"'!$B$37:$B$52"),"*Indirect*")/INDIRECT("'"&amp;$G$39&amp;"'!$F$2"),0)))</f>
        <v/>
      </c>
      <c r="AH59" s="152">
        <f>IF($G$40="",0,IF(W59&gt;'General Information'!$D$33,0,IFERROR(SUMIFS(INDIRECT("'"&amp;$G$40&amp;"'!$D$37:$D$52"),INDIRECT("'"&amp;$G$40&amp;"'!$C$37:$C$52"),W59,INDIRECT("'"&amp;$G$40&amp;"'!$B$37:$B$52"),"*Indirect*")/INDIRECT("'"&amp;$G$40&amp;"'!$F$2"),0)))</f>
        <v/>
      </c>
      <c r="AI59" s="152">
        <f>IF($G$41="",0,IF(W59&gt;'General Information'!$D$33,0,IFERROR(SUMIFS(INDIRECT("'"&amp;$G$41&amp;"'!$D$37:$D$52"),INDIRECT("'"&amp;$G$41&amp;"'!$C$37:$C$52"),W59,INDIRECT("'"&amp;$G$41&amp;"'!$B$37:$B$52"),"*Indirect*")/INDIRECT("'"&amp;$G$41&amp;"'!$F$2"),0)))</f>
        <v/>
      </c>
      <c r="AJ59" s="152">
        <f>IF($G$42="",0,IF(W59&gt;'General Information'!$D$33,0,IFERROR(SUMIFS(INDIRECT("'"&amp;$G$42&amp;"'!$D$37:$D$52"),INDIRECT("'"&amp;$G$42&amp;"'!$C$37:$C$52"),W59,INDIRECT("'"&amp;$G$42&amp;"'!$B$37:$B$52"),"*Indirect*")/INDIRECT("'"&amp;$G$42&amp;"'!$F$2"),0)))</f>
        <v/>
      </c>
    </row>
    <row r="60">
      <c r="G60" s="137">
        <f>IF($G$41="","",$H$41)</f>
        <v/>
      </c>
      <c r="H60" s="155">
        <f>IF(OR($G$41="",N('General Information'!$D$26)&lt;=0),"",IF(SUMIFS(INDIRECT("'"&amp;$G$41&amp;"'!$E$13:$E$22"),INDIRECT("'"&amp;$G$41&amp;"'!$D$13:$D$22"),"TON")&gt;0,SUMIFS(INDIRECT("'"&amp;$G$41&amp;"'!$E$13:$E$22"),INDIRECT("'"&amp;$G$41&amp;"'!$D$13:$D$22"),"TON")*2666.6667/($J$56*'General Information'!$D$26),IFERROR(VALUE(TRIM(SUBSTITUTE(MID(IFERROR(INDEX(INDIRECT("'"&amp;$G$41&amp;"'!$C$13:$C$22"),MATCH("Concrete Pavement*",INDIRECT("'"&amp;$G$41&amp;"'!$C$13:$C$22"),0)),""),FIND(",",IFERROR(INDEX(INDIRECT("'"&amp;$G$41&amp;"'!$C$13:$C$22"),MATCH("Concrete Pavement*",INDIRECT("'"&amp;$G$41&amp;"'!$C$13:$C$22"),0)),""))+1,99),"-inch",""))),0)))</f>
        <v/>
      </c>
      <c r="I60" s="155">
        <f>IF(OR($G$41="",N('General Information'!$D$26)&lt;=0),"",36*(SUMIFS(INDIRECT("'"&amp;$G$41&amp;"'!$E$13:$E$22"),INDIRECT("'"&amp;$G$41&amp;"'!$D$13:$D$22"),"C.Y.",INDIRECT("'"&amp;$G$41&amp;"'!$B$13:$B$22"),"P-2*")+SUMIFS(INDIRECT("'"&amp;$G$41&amp;"'!$E$13:$E$22"),INDIRECT("'"&amp;$G$41&amp;"'!$D$13:$D$22"),"C.Y.",INDIRECT("'"&amp;$G$41&amp;"'!$B$13:$B$22"),"P-3*"))/'General Information'!$D$26)</f>
        <v/>
      </c>
      <c r="J60" s="155">
        <f>IF(OR($G$41="",N('General Information'!$D$26)&lt;=0),"",36*SUMIFS(INDIRECT("'"&amp;$G$41&amp;"'!$E$13:$E$22"),INDIRECT("'"&amp;$G$41&amp;"'!$D$13:$D$22"),"C.Y.",INDIRECT("'"&amp;$G$41&amp;"'!$B$13:$B$22"),"P-154*")/'General Information'!$D$26)</f>
        <v/>
      </c>
      <c r="K60" s="155">
        <f>IF(OR($G$41="",N('General Information'!$D$26)&lt;=0),"",IF(SUMIFS(INDIRECT("'"&amp;$G$41&amp;"'!$E$13:$E$22"),INDIRECT("'"&amp;$G$41&amp;"'!$D$13:$D$22"),"S.Y.",INDIRECT("'"&amp;$G$41&amp;"'!$B$13:$B$22"),"P-155*")+SUMIFS(INDIRECT("'"&amp;$G$41&amp;"'!$E$13:$E$22"),INDIRECT("'"&amp;$G$41&amp;"'!$D$13:$D$22"),"S.Y.",INDIRECT("'"&amp;$G$41&amp;"'!$B$13:$B$22"),"P-156*")+SUMIFS(INDIRECT("'"&amp;$G$41&amp;"'!$E$13:$E$22"),INDIRECT("'"&amp;$G$41&amp;"'!$D$13:$D$22"),"S.Y.",INDIRECT("'"&amp;$G$41&amp;"'!$B$13:$B$22"),"P-157*")+SUMIFS(INDIRECT("'"&amp;$G$41&amp;"'!$E$13:$E$22"),INDIRECT("'"&amp;$G$41&amp;"'!$D$13:$D$22"),"S.Y.",INDIRECT("'"&amp;$G$41&amp;"'!$B$13:$B$22"),"P-158*")&gt;0,"yes","-"))</f>
        <v/>
      </c>
      <c r="L60" s="155">
        <f>IF(OR($G$41="",N('General Information'!$D$26)&lt;=0),"",H60+I60+J60)</f>
        <v/>
      </c>
      <c r="M60" s="155">
        <f>IF(OR($G$41="",N('General Information'!$D$26)&lt;=0),"",36*SUMIFS(INDIRECT("'"&amp;$G$41&amp;"'!$E$13:$E$22"),INDIRECT("'"&amp;$G$41&amp;"'!$D$13:$D$22"),"C.Y.",INDIRECT("'"&amp;$G$41&amp;"'!$B$13:$B$22"),"P-152*")/'General Information'!$D$26)</f>
        <v/>
      </c>
      <c r="N60" s="137">
        <f>IF(OR($G$41="",N('General Information'!$D$26)&lt;=0),"",IF(M60=0,"no excavation item",IF(ABS(M60-L60)&lt;=0.5,"agrees","differs by "&amp;TEXT(M60-L60,"0.0")&amp;" in")))</f>
        <v/>
      </c>
      <c r="P60" s="137">
        <f>IF(OR($G$41="",N('General Information'!$D$26)&lt;=0),"",TEXT(H60,"0")&amp;""" "&amp;IF(SUMIFS(INDIRECT("'"&amp;$G$41&amp;"'!$E$13:$E$22"),INDIRECT("'"&amp;$G$41&amp;"'!$D$13:$D$22"),"TON")&gt;0,IFERROR(SUBSTITUTE(LEFT(INDEX(INDIRECT("'"&amp;$G$41&amp;"'!$B$13:$B$22"),MATCH("P-4*",INDIRECT("'"&amp;$G$41&amp;"'!$B$13:$B$22"),0)),5),"-",""),""),IFERROR(SUBSTITUTE(LEFT(INDEX(INDIRECT("'"&amp;$G$41&amp;"'!$B$13:$B$22"),MATCH("P-501*",INDIRECT("'"&amp;$G$41&amp;"'!$B$13:$B$22"),0)),5),"-",""),""))&amp;IF(I60&gt;0," on "&amp;TEXT(I60,"0")&amp;""" "&amp;IFERROR(SUBSTITUTE(LEFT(INDEX(INDIRECT("'"&amp;$G$41&amp;"'!$B$13:$B$22"),MATCH("P-2*",INDIRECT("'"&amp;$G$41&amp;"'!$B$13:$B$22"),0)),5),"-",""),""),"")&amp;IF(J60&gt;0," on "&amp;TEXT(J60,"0")&amp;""" P154",""))</f>
        <v/>
      </c>
      <c r="Q60" s="137">
        <f>IF(OR(OR($G$41="",N('General Information'!$D$26)&lt;=0),'General Information'!$D$27=0),"",TEXT(IF(SUMIFS(INDIRECT("'"&amp;$G$41&amp;"'!$E$13:$E$22"),INDIRECT("'"&amp;$G$41&amp;"'!$D$13:$D$22"),"TON")&gt;0,H60*'General Information'!$D$26/('General Information'!$D$26+'General Information'!$D$27),H60),"0")&amp;""" "&amp;IF(SUMIFS(INDIRECT("'"&amp;$G$41&amp;"'!$E$13:$E$22"),INDIRECT("'"&amp;$G$41&amp;"'!$D$13:$D$22"),"TON")&gt;0,IFERROR(SUBSTITUTE(LEFT(INDEX(INDIRECT("'"&amp;$G$41&amp;"'!$B$13:$B$22"),MATCH("P-4*",INDIRECT("'"&amp;$G$41&amp;"'!$B$13:$B$22"),0)),5),"-",""),""),IFERROR(SUBSTITUTE(LEFT(INDEX(INDIRECT("'"&amp;$G$41&amp;"'!$B$13:$B$22"),MATCH("P-501*",INDIRECT("'"&amp;$G$41&amp;"'!$B$13:$B$22"),0)),5),"-",""),""))&amp;IF(I60&gt;0," on "&amp;TEXT(I60*'General Information'!$D$26/('General Information'!$D$26+'General Information'!$D$27),"0")&amp;""" "&amp;IFERROR(SUBSTITUTE(LEFT(INDEX(INDIRECT("'"&amp;$G$41&amp;"'!$B$13:$B$22"),MATCH("P-2*",INDIRECT("'"&amp;$G$41&amp;"'!$B$13:$B$22"),0)),5),"-",""),""),"")&amp;IF(J60&gt;0," on "&amp;TEXT(J60*'General Information'!$D$26/('General Information'!$D$26+'General Information'!$D$27),"0")&amp;""" P154",""))</f>
        <v/>
      </c>
      <c r="W60" s="134" t="n">
        <v>19</v>
      </c>
      <c r="X60" s="134">
        <f>'General Information'!$D$25+W60</f>
        <v/>
      </c>
      <c r="Y60" s="135">
        <f>IF($G$39="",0,IF(W60&gt;'General Information'!$D$33,0,IF(W60=0,$J$39,IFERROR(SUMIF(INDIRECT("'"&amp;$G$39&amp;"'!$C$37:$C$52"),W60,INDIRECT("'"&amp;$G$39&amp;"'!$D$37:$D$52")),0))))</f>
        <v/>
      </c>
      <c r="Z60" s="135">
        <f>IF($G$40="",0,IF(W60&gt;'General Information'!$D$33,0,IF(W60=0,$J$40,IFERROR(SUMIF(INDIRECT("'"&amp;$G$40&amp;"'!$C$37:$C$52"),W60,INDIRECT("'"&amp;$G$40&amp;"'!$D$37:$D$52")),0))))</f>
        <v/>
      </c>
      <c r="AA60" s="135">
        <f>IF($G$41="",0,IF(W60&gt;'General Information'!$D$33,0,IF(W60=0,$J$41,IFERROR(SUMIF(INDIRECT("'"&amp;$G$41&amp;"'!$C$37:$C$52"),W60,INDIRECT("'"&amp;$G$41&amp;"'!$D$37:$D$52")),0))))</f>
        <v/>
      </c>
      <c r="AB60" s="135">
        <f>IF($G$42="",0,IF(W60&gt;'General Information'!$D$33,0,IF(W60=0,$J$42,IFERROR(SUMIF(INDIRECT("'"&amp;$G$42&amp;"'!$C$37:$C$52"),W60,INDIRECT("'"&amp;$G$42&amp;"'!$D$37:$D$52")),0))))</f>
        <v/>
      </c>
      <c r="AC60" s="135">
        <f>IF($G$39="",NA(),AC59+IF(W60&gt;'General Information'!$D$33,0,IF(W60=0,$J$39,IFERROR(SUMIF(INDIRECT("'"&amp;$G$39&amp;"'!$C$37:$C$52"),W60,INDIRECT("'"&amp;$G$39&amp;"'!$E$37:$E$52")),0))))</f>
        <v/>
      </c>
      <c r="AD60" s="135">
        <f>IF($G$40="",NA(),AD59+IF(W60&gt;'General Information'!$D$33,0,IF(W60=0,$J$40,IFERROR(SUMIF(INDIRECT("'"&amp;$G$40&amp;"'!$C$37:$C$52"),W60,INDIRECT("'"&amp;$G$40&amp;"'!$E$37:$E$52")),0))))</f>
        <v/>
      </c>
      <c r="AE60" s="135">
        <f>IF($G$41="",NA(),AE59+IF(W60&gt;'General Information'!$D$33,0,IF(W60=0,$J$41,IFERROR(SUMIF(INDIRECT("'"&amp;$G$41&amp;"'!$C$37:$C$52"),W60,INDIRECT("'"&amp;$G$41&amp;"'!$E$37:$E$52")),0))))</f>
        <v/>
      </c>
      <c r="AF60" s="135">
        <f>IF($G$42="",NA(),AF59+IF(W60&gt;'General Information'!$D$33,0,IF(W60=0,$J$42,IFERROR(SUMIF(INDIRECT("'"&amp;$G$42&amp;"'!$C$37:$C$52"),W60,INDIRECT("'"&amp;$G$42&amp;"'!$E$37:$E$52")),0))))</f>
        <v/>
      </c>
      <c r="AG60" s="152">
        <f>IF($G$39="",0,IF(W60&gt;'General Information'!$D$33,0,IFERROR(SUMIFS(INDIRECT("'"&amp;$G$39&amp;"'!$D$37:$D$52"),INDIRECT("'"&amp;$G$39&amp;"'!$C$37:$C$52"),W60,INDIRECT("'"&amp;$G$39&amp;"'!$B$37:$B$52"),"*Indirect*")/INDIRECT("'"&amp;$G$39&amp;"'!$F$2"),0)))</f>
        <v/>
      </c>
      <c r="AH60" s="152">
        <f>IF($G$40="",0,IF(W60&gt;'General Information'!$D$33,0,IFERROR(SUMIFS(INDIRECT("'"&amp;$G$40&amp;"'!$D$37:$D$52"),INDIRECT("'"&amp;$G$40&amp;"'!$C$37:$C$52"),W60,INDIRECT("'"&amp;$G$40&amp;"'!$B$37:$B$52"),"*Indirect*")/INDIRECT("'"&amp;$G$40&amp;"'!$F$2"),0)))</f>
        <v/>
      </c>
      <c r="AI60" s="152">
        <f>IF($G$41="",0,IF(W60&gt;'General Information'!$D$33,0,IFERROR(SUMIFS(INDIRECT("'"&amp;$G$41&amp;"'!$D$37:$D$52"),INDIRECT("'"&amp;$G$41&amp;"'!$C$37:$C$52"),W60,INDIRECT("'"&amp;$G$41&amp;"'!$B$37:$B$52"),"*Indirect*")/INDIRECT("'"&amp;$G$41&amp;"'!$F$2"),0)))</f>
        <v/>
      </c>
      <c r="AJ60" s="152">
        <f>IF($G$42="",0,IF(W60&gt;'General Information'!$D$33,0,IFERROR(SUMIFS(INDIRECT("'"&amp;$G$42&amp;"'!$D$37:$D$52"),INDIRECT("'"&amp;$G$42&amp;"'!$C$37:$C$52"),W60,INDIRECT("'"&amp;$G$42&amp;"'!$B$37:$B$52"),"*Indirect*")/INDIRECT("'"&amp;$G$42&amp;"'!$F$2"),0)))</f>
        <v/>
      </c>
    </row>
    <row r="61">
      <c r="G61" s="137">
        <f>IF($G$42="","",$H$42)</f>
        <v/>
      </c>
      <c r="H61" s="155">
        <f>IF(OR($G$42="",N('General Information'!$D$26)&lt;=0),"",IF(SUMIFS(INDIRECT("'"&amp;$G$42&amp;"'!$E$13:$E$22"),INDIRECT("'"&amp;$G$42&amp;"'!$D$13:$D$22"),"TON")&gt;0,SUMIFS(INDIRECT("'"&amp;$G$42&amp;"'!$E$13:$E$22"),INDIRECT("'"&amp;$G$42&amp;"'!$D$13:$D$22"),"TON")*2666.6667/($J$56*'General Information'!$D$26),IFERROR(VALUE(TRIM(SUBSTITUTE(MID(IFERROR(INDEX(INDIRECT("'"&amp;$G$42&amp;"'!$C$13:$C$22"),MATCH("Concrete Pavement*",INDIRECT("'"&amp;$G$42&amp;"'!$C$13:$C$22"),0)),""),FIND(",",IFERROR(INDEX(INDIRECT("'"&amp;$G$42&amp;"'!$C$13:$C$22"),MATCH("Concrete Pavement*",INDIRECT("'"&amp;$G$42&amp;"'!$C$13:$C$22"),0)),""))+1,99),"-inch",""))),0)))</f>
        <v/>
      </c>
      <c r="I61" s="155">
        <f>IF(OR($G$42="",N('General Information'!$D$26)&lt;=0),"",36*(SUMIFS(INDIRECT("'"&amp;$G$42&amp;"'!$E$13:$E$22"),INDIRECT("'"&amp;$G$42&amp;"'!$D$13:$D$22"),"C.Y.",INDIRECT("'"&amp;$G$42&amp;"'!$B$13:$B$22"),"P-2*")+SUMIFS(INDIRECT("'"&amp;$G$42&amp;"'!$E$13:$E$22"),INDIRECT("'"&amp;$G$42&amp;"'!$D$13:$D$22"),"C.Y.",INDIRECT("'"&amp;$G$42&amp;"'!$B$13:$B$22"),"P-3*"))/'General Information'!$D$26)</f>
        <v/>
      </c>
      <c r="J61" s="155">
        <f>IF(OR($G$42="",N('General Information'!$D$26)&lt;=0),"",36*SUMIFS(INDIRECT("'"&amp;$G$42&amp;"'!$E$13:$E$22"),INDIRECT("'"&amp;$G$42&amp;"'!$D$13:$D$22"),"C.Y.",INDIRECT("'"&amp;$G$42&amp;"'!$B$13:$B$22"),"P-154*")/'General Information'!$D$26)</f>
        <v/>
      </c>
      <c r="K61" s="155">
        <f>IF(OR($G$42="",N('General Information'!$D$26)&lt;=0),"",IF(SUMIFS(INDIRECT("'"&amp;$G$42&amp;"'!$E$13:$E$22"),INDIRECT("'"&amp;$G$42&amp;"'!$D$13:$D$22"),"S.Y.",INDIRECT("'"&amp;$G$42&amp;"'!$B$13:$B$22"),"P-155*")+SUMIFS(INDIRECT("'"&amp;$G$42&amp;"'!$E$13:$E$22"),INDIRECT("'"&amp;$G$42&amp;"'!$D$13:$D$22"),"S.Y.",INDIRECT("'"&amp;$G$42&amp;"'!$B$13:$B$22"),"P-156*")+SUMIFS(INDIRECT("'"&amp;$G$42&amp;"'!$E$13:$E$22"),INDIRECT("'"&amp;$G$42&amp;"'!$D$13:$D$22"),"S.Y.",INDIRECT("'"&amp;$G$42&amp;"'!$B$13:$B$22"),"P-157*")+SUMIFS(INDIRECT("'"&amp;$G$42&amp;"'!$E$13:$E$22"),INDIRECT("'"&amp;$G$42&amp;"'!$D$13:$D$22"),"S.Y.",INDIRECT("'"&amp;$G$42&amp;"'!$B$13:$B$22"),"P-158*")&gt;0,"yes","-"))</f>
        <v/>
      </c>
      <c r="L61" s="155">
        <f>IF(OR($G$42="",N('General Information'!$D$26)&lt;=0),"",H61+I61+J61)</f>
        <v/>
      </c>
      <c r="M61" s="155">
        <f>IF(OR($G$42="",N('General Information'!$D$26)&lt;=0),"",36*SUMIFS(INDIRECT("'"&amp;$G$42&amp;"'!$E$13:$E$22"),INDIRECT("'"&amp;$G$42&amp;"'!$D$13:$D$22"),"C.Y.",INDIRECT("'"&amp;$G$42&amp;"'!$B$13:$B$22"),"P-152*")/'General Information'!$D$26)</f>
        <v/>
      </c>
      <c r="N61" s="137">
        <f>IF(OR($G$42="",N('General Information'!$D$26)&lt;=0),"",IF(M61=0,"no excavation item",IF(ABS(M61-L61)&lt;=0.5,"agrees","differs by "&amp;TEXT(M61-L61,"0.0")&amp;" in")))</f>
        <v/>
      </c>
      <c r="P61" s="137">
        <f>IF(OR($G$42="",N('General Information'!$D$26)&lt;=0),"",TEXT(H61,"0")&amp;""" "&amp;IF(SUMIFS(INDIRECT("'"&amp;$G$42&amp;"'!$E$13:$E$22"),INDIRECT("'"&amp;$G$42&amp;"'!$D$13:$D$22"),"TON")&gt;0,IFERROR(SUBSTITUTE(LEFT(INDEX(INDIRECT("'"&amp;$G$42&amp;"'!$B$13:$B$22"),MATCH("P-4*",INDIRECT("'"&amp;$G$42&amp;"'!$B$13:$B$22"),0)),5),"-",""),""),IFERROR(SUBSTITUTE(LEFT(INDEX(INDIRECT("'"&amp;$G$42&amp;"'!$B$13:$B$22"),MATCH("P-501*",INDIRECT("'"&amp;$G$42&amp;"'!$B$13:$B$22"),0)),5),"-",""),""))&amp;IF(I61&gt;0," on "&amp;TEXT(I61,"0")&amp;""" "&amp;IFERROR(SUBSTITUTE(LEFT(INDEX(INDIRECT("'"&amp;$G$42&amp;"'!$B$13:$B$22"),MATCH("P-2*",INDIRECT("'"&amp;$G$42&amp;"'!$B$13:$B$22"),0)),5),"-",""),""),"")&amp;IF(J61&gt;0," on "&amp;TEXT(J61,"0")&amp;""" P154",""))</f>
        <v/>
      </c>
      <c r="Q61" s="137">
        <f>IF(OR(OR($G$42="",N('General Information'!$D$26)&lt;=0),'General Information'!$D$27=0),"",TEXT(IF(SUMIFS(INDIRECT("'"&amp;$G$42&amp;"'!$E$13:$E$22"),INDIRECT("'"&amp;$G$42&amp;"'!$D$13:$D$22"),"TON")&gt;0,H61*'General Information'!$D$26/('General Information'!$D$26+'General Information'!$D$27),H61),"0")&amp;""" "&amp;IF(SUMIFS(INDIRECT("'"&amp;$G$42&amp;"'!$E$13:$E$22"),INDIRECT("'"&amp;$G$42&amp;"'!$D$13:$D$22"),"TON")&gt;0,IFERROR(SUBSTITUTE(LEFT(INDEX(INDIRECT("'"&amp;$G$42&amp;"'!$B$13:$B$22"),MATCH("P-4*",INDIRECT("'"&amp;$G$42&amp;"'!$B$13:$B$22"),0)),5),"-",""),""),IFERROR(SUBSTITUTE(LEFT(INDEX(INDIRECT("'"&amp;$G$42&amp;"'!$B$13:$B$22"),MATCH("P-501*",INDIRECT("'"&amp;$G$42&amp;"'!$B$13:$B$22"),0)),5),"-",""),""))&amp;IF(I61&gt;0," on "&amp;TEXT(I61*'General Information'!$D$26/('General Information'!$D$26+'General Information'!$D$27),"0")&amp;""" "&amp;IFERROR(SUBSTITUTE(LEFT(INDEX(INDIRECT("'"&amp;$G$42&amp;"'!$B$13:$B$22"),MATCH("P-2*",INDIRECT("'"&amp;$G$42&amp;"'!$B$13:$B$22"),0)),5),"-",""),""),"")&amp;IF(J61&gt;0," on "&amp;TEXT(J61*'General Information'!$D$26/('General Information'!$D$26+'General Information'!$D$27),"0")&amp;""" P154",""))</f>
        <v/>
      </c>
      <c r="W61" s="134" t="n">
        <v>20</v>
      </c>
      <c r="X61" s="134">
        <f>'General Information'!$D$25+W61</f>
        <v/>
      </c>
      <c r="Y61" s="135">
        <f>IF($G$39="",0,IF(W61&gt;'General Information'!$D$33,0,IF(W61=0,$J$39,IFERROR(SUMIF(INDIRECT("'"&amp;$G$39&amp;"'!$C$37:$C$52"),W61,INDIRECT("'"&amp;$G$39&amp;"'!$D$37:$D$52")),0))))</f>
        <v/>
      </c>
      <c r="Z61" s="135">
        <f>IF($G$40="",0,IF(W61&gt;'General Information'!$D$33,0,IF(W61=0,$J$40,IFERROR(SUMIF(INDIRECT("'"&amp;$G$40&amp;"'!$C$37:$C$52"),W61,INDIRECT("'"&amp;$G$40&amp;"'!$D$37:$D$52")),0))))</f>
        <v/>
      </c>
      <c r="AA61" s="135">
        <f>IF($G$41="",0,IF(W61&gt;'General Information'!$D$33,0,IF(W61=0,$J$41,IFERROR(SUMIF(INDIRECT("'"&amp;$G$41&amp;"'!$C$37:$C$52"),W61,INDIRECT("'"&amp;$G$41&amp;"'!$D$37:$D$52")),0))))</f>
        <v/>
      </c>
      <c r="AB61" s="135">
        <f>IF($G$42="",0,IF(W61&gt;'General Information'!$D$33,0,IF(W61=0,$J$42,IFERROR(SUMIF(INDIRECT("'"&amp;$G$42&amp;"'!$C$37:$C$52"),W61,INDIRECT("'"&amp;$G$42&amp;"'!$D$37:$D$52")),0))))</f>
        <v/>
      </c>
      <c r="AC61" s="135">
        <f>IF($G$39="",NA(),AC60+IF(W61&gt;'General Information'!$D$33,0,IF(W61=0,$J$39,IFERROR(SUMIF(INDIRECT("'"&amp;$G$39&amp;"'!$C$37:$C$52"),W61,INDIRECT("'"&amp;$G$39&amp;"'!$E$37:$E$52")),0))))</f>
        <v/>
      </c>
      <c r="AD61" s="135">
        <f>IF($G$40="",NA(),AD60+IF(W61&gt;'General Information'!$D$33,0,IF(W61=0,$J$40,IFERROR(SUMIF(INDIRECT("'"&amp;$G$40&amp;"'!$C$37:$C$52"),W61,INDIRECT("'"&amp;$G$40&amp;"'!$E$37:$E$52")),0))))</f>
        <v/>
      </c>
      <c r="AE61" s="135">
        <f>IF($G$41="",NA(),AE60+IF(W61&gt;'General Information'!$D$33,0,IF(W61=0,$J$41,IFERROR(SUMIF(INDIRECT("'"&amp;$G$41&amp;"'!$C$37:$C$52"),W61,INDIRECT("'"&amp;$G$41&amp;"'!$E$37:$E$52")),0))))</f>
        <v/>
      </c>
      <c r="AF61" s="135">
        <f>IF($G$42="",NA(),AF60+IF(W61&gt;'General Information'!$D$33,0,IF(W61=0,$J$42,IFERROR(SUMIF(INDIRECT("'"&amp;$G$42&amp;"'!$C$37:$C$52"),W61,INDIRECT("'"&amp;$G$42&amp;"'!$E$37:$E$52")),0))))</f>
        <v/>
      </c>
      <c r="AG61" s="152">
        <f>IF($G$39="",0,IF(W61&gt;'General Information'!$D$33,0,IFERROR(SUMIFS(INDIRECT("'"&amp;$G$39&amp;"'!$D$37:$D$52"),INDIRECT("'"&amp;$G$39&amp;"'!$C$37:$C$52"),W61,INDIRECT("'"&amp;$G$39&amp;"'!$B$37:$B$52"),"*Indirect*")/INDIRECT("'"&amp;$G$39&amp;"'!$F$2"),0)))</f>
        <v/>
      </c>
      <c r="AH61" s="152">
        <f>IF($G$40="",0,IF(W61&gt;'General Information'!$D$33,0,IFERROR(SUMIFS(INDIRECT("'"&amp;$G$40&amp;"'!$D$37:$D$52"),INDIRECT("'"&amp;$G$40&amp;"'!$C$37:$C$52"),W61,INDIRECT("'"&amp;$G$40&amp;"'!$B$37:$B$52"),"*Indirect*")/INDIRECT("'"&amp;$G$40&amp;"'!$F$2"),0)))</f>
        <v/>
      </c>
      <c r="AI61" s="152">
        <f>IF($G$41="",0,IF(W61&gt;'General Information'!$D$33,0,IFERROR(SUMIFS(INDIRECT("'"&amp;$G$41&amp;"'!$D$37:$D$52"),INDIRECT("'"&amp;$G$41&amp;"'!$C$37:$C$52"),W61,INDIRECT("'"&amp;$G$41&amp;"'!$B$37:$B$52"),"*Indirect*")/INDIRECT("'"&amp;$G$41&amp;"'!$F$2"),0)))</f>
        <v/>
      </c>
      <c r="AJ61" s="152">
        <f>IF($G$42="",0,IF(W61&gt;'General Information'!$D$33,0,IFERROR(SUMIFS(INDIRECT("'"&amp;$G$42&amp;"'!$D$37:$D$52"),INDIRECT("'"&amp;$G$42&amp;"'!$C$37:$C$52"),W61,INDIRECT("'"&amp;$G$42&amp;"'!$B$37:$B$52"),"*Indirect*")/INDIRECT("'"&amp;$G$42&amp;"'!$F$2"),0)))</f>
        <v/>
      </c>
    </row>
    <row r="62">
      <c r="G62"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c r="W62" s="134" t="n">
        <v>21</v>
      </c>
      <c r="X62" s="134">
        <f>'General Information'!$D$25+W62</f>
        <v/>
      </c>
      <c r="Y62" s="135">
        <f>IF($G$39="",0,IF(W62&gt;'General Information'!$D$33,0,IF(W62=0,$J$39,IFERROR(SUMIF(INDIRECT("'"&amp;$G$39&amp;"'!$C$37:$C$52"),W62,INDIRECT("'"&amp;$G$39&amp;"'!$D$37:$D$52")),0))))</f>
        <v/>
      </c>
      <c r="Z62" s="135">
        <f>IF($G$40="",0,IF(W62&gt;'General Information'!$D$33,0,IF(W62=0,$J$40,IFERROR(SUMIF(INDIRECT("'"&amp;$G$40&amp;"'!$C$37:$C$52"),W62,INDIRECT("'"&amp;$G$40&amp;"'!$D$37:$D$52")),0))))</f>
        <v/>
      </c>
      <c r="AA62" s="135">
        <f>IF($G$41="",0,IF(W62&gt;'General Information'!$D$33,0,IF(W62=0,$J$41,IFERROR(SUMIF(INDIRECT("'"&amp;$G$41&amp;"'!$C$37:$C$52"),W62,INDIRECT("'"&amp;$G$41&amp;"'!$D$37:$D$52")),0))))</f>
        <v/>
      </c>
      <c r="AB62" s="135">
        <f>IF($G$42="",0,IF(W62&gt;'General Information'!$D$33,0,IF(W62=0,$J$42,IFERROR(SUMIF(INDIRECT("'"&amp;$G$42&amp;"'!$C$37:$C$52"),W62,INDIRECT("'"&amp;$G$42&amp;"'!$D$37:$D$52")),0))))</f>
        <v/>
      </c>
      <c r="AC62" s="135">
        <f>IF($G$39="",NA(),AC61+IF(W62&gt;'General Information'!$D$33,0,IF(W62=0,$J$39,IFERROR(SUMIF(INDIRECT("'"&amp;$G$39&amp;"'!$C$37:$C$52"),W62,INDIRECT("'"&amp;$G$39&amp;"'!$E$37:$E$52")),0))))</f>
        <v/>
      </c>
      <c r="AD62" s="135">
        <f>IF($G$40="",NA(),AD61+IF(W62&gt;'General Information'!$D$33,0,IF(W62=0,$J$40,IFERROR(SUMIF(INDIRECT("'"&amp;$G$40&amp;"'!$C$37:$C$52"),W62,INDIRECT("'"&amp;$G$40&amp;"'!$E$37:$E$52")),0))))</f>
        <v/>
      </c>
      <c r="AE62" s="135">
        <f>IF($G$41="",NA(),AE61+IF(W62&gt;'General Information'!$D$33,0,IF(W62=0,$J$41,IFERROR(SUMIF(INDIRECT("'"&amp;$G$41&amp;"'!$C$37:$C$52"),W62,INDIRECT("'"&amp;$G$41&amp;"'!$E$37:$E$52")),0))))</f>
        <v/>
      </c>
      <c r="AF62" s="135">
        <f>IF($G$42="",NA(),AF61+IF(W62&gt;'General Information'!$D$33,0,IF(W62=0,$J$42,IFERROR(SUMIF(INDIRECT("'"&amp;$G$42&amp;"'!$C$37:$C$52"),W62,INDIRECT("'"&amp;$G$42&amp;"'!$E$37:$E$52")),0))))</f>
        <v/>
      </c>
      <c r="AG62" s="152">
        <f>IF($G$39="",0,IF(W62&gt;'General Information'!$D$33,0,IFERROR(SUMIFS(INDIRECT("'"&amp;$G$39&amp;"'!$D$37:$D$52"),INDIRECT("'"&amp;$G$39&amp;"'!$C$37:$C$52"),W62,INDIRECT("'"&amp;$G$39&amp;"'!$B$37:$B$52"),"*Indirect*")/INDIRECT("'"&amp;$G$39&amp;"'!$F$2"),0)))</f>
        <v/>
      </c>
      <c r="AH62" s="152">
        <f>IF($G$40="",0,IF(W62&gt;'General Information'!$D$33,0,IFERROR(SUMIFS(INDIRECT("'"&amp;$G$40&amp;"'!$D$37:$D$52"),INDIRECT("'"&amp;$G$40&amp;"'!$C$37:$C$52"),W62,INDIRECT("'"&amp;$G$40&amp;"'!$B$37:$B$52"),"*Indirect*")/INDIRECT("'"&amp;$G$40&amp;"'!$F$2"),0)))</f>
        <v/>
      </c>
      <c r="AI62" s="152">
        <f>IF($G$41="",0,IF(W62&gt;'General Information'!$D$33,0,IFERROR(SUMIFS(INDIRECT("'"&amp;$G$41&amp;"'!$D$37:$D$52"),INDIRECT("'"&amp;$G$41&amp;"'!$C$37:$C$52"),W62,INDIRECT("'"&amp;$G$41&amp;"'!$B$37:$B$52"),"*Indirect*")/INDIRECT("'"&amp;$G$41&amp;"'!$F$2"),0)))</f>
        <v/>
      </c>
      <c r="AJ62" s="152">
        <f>IF($G$42="",0,IF(W62&gt;'General Information'!$D$33,0,IFERROR(SUMIFS(INDIRECT("'"&amp;$G$42&amp;"'!$D$37:$D$52"),INDIRECT("'"&amp;$G$42&amp;"'!$C$37:$C$52"),W62,INDIRECT("'"&amp;$G$42&amp;"'!$B$37:$B$52"),"*Indirect*")/INDIRECT("'"&amp;$G$42&amp;"'!$F$2"),0)))</f>
        <v/>
      </c>
    </row>
    <row r="63">
      <c r="W63" s="134" t="n">
        <v>22</v>
      </c>
      <c r="X63" s="134">
        <f>'General Information'!$D$25+W63</f>
        <v/>
      </c>
      <c r="Y63" s="135">
        <f>IF($G$39="",0,IF(W63&gt;'General Information'!$D$33,0,IF(W63=0,$J$39,IFERROR(SUMIF(INDIRECT("'"&amp;$G$39&amp;"'!$C$37:$C$52"),W63,INDIRECT("'"&amp;$G$39&amp;"'!$D$37:$D$52")),0))))</f>
        <v/>
      </c>
      <c r="Z63" s="135">
        <f>IF($G$40="",0,IF(W63&gt;'General Information'!$D$33,0,IF(W63=0,$J$40,IFERROR(SUMIF(INDIRECT("'"&amp;$G$40&amp;"'!$C$37:$C$52"),W63,INDIRECT("'"&amp;$G$40&amp;"'!$D$37:$D$52")),0))))</f>
        <v/>
      </c>
      <c r="AA63" s="135">
        <f>IF($G$41="",0,IF(W63&gt;'General Information'!$D$33,0,IF(W63=0,$J$41,IFERROR(SUMIF(INDIRECT("'"&amp;$G$41&amp;"'!$C$37:$C$52"),W63,INDIRECT("'"&amp;$G$41&amp;"'!$D$37:$D$52")),0))))</f>
        <v/>
      </c>
      <c r="AB63" s="135">
        <f>IF($G$42="",0,IF(W63&gt;'General Information'!$D$33,0,IF(W63=0,$J$42,IFERROR(SUMIF(INDIRECT("'"&amp;$G$42&amp;"'!$C$37:$C$52"),W63,INDIRECT("'"&amp;$G$42&amp;"'!$D$37:$D$52")),0))))</f>
        <v/>
      </c>
      <c r="AC63" s="135">
        <f>IF($G$39="",NA(),AC62+IF(W63&gt;'General Information'!$D$33,0,IF(W63=0,$J$39,IFERROR(SUMIF(INDIRECT("'"&amp;$G$39&amp;"'!$C$37:$C$52"),W63,INDIRECT("'"&amp;$G$39&amp;"'!$E$37:$E$52")),0))))</f>
        <v/>
      </c>
      <c r="AD63" s="135">
        <f>IF($G$40="",NA(),AD62+IF(W63&gt;'General Information'!$D$33,0,IF(W63=0,$J$40,IFERROR(SUMIF(INDIRECT("'"&amp;$G$40&amp;"'!$C$37:$C$52"),W63,INDIRECT("'"&amp;$G$40&amp;"'!$E$37:$E$52")),0))))</f>
        <v/>
      </c>
      <c r="AE63" s="135">
        <f>IF($G$41="",NA(),AE62+IF(W63&gt;'General Information'!$D$33,0,IF(W63=0,$J$41,IFERROR(SUMIF(INDIRECT("'"&amp;$G$41&amp;"'!$C$37:$C$52"),W63,INDIRECT("'"&amp;$G$41&amp;"'!$E$37:$E$52")),0))))</f>
        <v/>
      </c>
      <c r="AF63" s="135">
        <f>IF($G$42="",NA(),AF62+IF(W63&gt;'General Information'!$D$33,0,IF(W63=0,$J$42,IFERROR(SUMIF(INDIRECT("'"&amp;$G$42&amp;"'!$C$37:$C$52"),W63,INDIRECT("'"&amp;$G$42&amp;"'!$E$37:$E$52")),0))))</f>
        <v/>
      </c>
      <c r="AG63" s="152">
        <f>IF($G$39="",0,IF(W63&gt;'General Information'!$D$33,0,IFERROR(SUMIFS(INDIRECT("'"&amp;$G$39&amp;"'!$D$37:$D$52"),INDIRECT("'"&amp;$G$39&amp;"'!$C$37:$C$52"),W63,INDIRECT("'"&amp;$G$39&amp;"'!$B$37:$B$52"),"*Indirect*")/INDIRECT("'"&amp;$G$39&amp;"'!$F$2"),0)))</f>
        <v/>
      </c>
      <c r="AH63" s="152">
        <f>IF($G$40="",0,IF(W63&gt;'General Information'!$D$33,0,IFERROR(SUMIFS(INDIRECT("'"&amp;$G$40&amp;"'!$D$37:$D$52"),INDIRECT("'"&amp;$G$40&amp;"'!$C$37:$C$52"),W63,INDIRECT("'"&amp;$G$40&amp;"'!$B$37:$B$52"),"*Indirect*")/INDIRECT("'"&amp;$G$40&amp;"'!$F$2"),0)))</f>
        <v/>
      </c>
      <c r="AI63" s="152">
        <f>IF($G$41="",0,IF(W63&gt;'General Information'!$D$33,0,IFERROR(SUMIFS(INDIRECT("'"&amp;$G$41&amp;"'!$D$37:$D$52"),INDIRECT("'"&amp;$G$41&amp;"'!$C$37:$C$52"),W63,INDIRECT("'"&amp;$G$41&amp;"'!$B$37:$B$52"),"*Indirect*")/INDIRECT("'"&amp;$G$41&amp;"'!$F$2"),0)))</f>
        <v/>
      </c>
      <c r="AJ63" s="152">
        <f>IF($G$42="",0,IF(W63&gt;'General Information'!$D$33,0,IFERROR(SUMIFS(INDIRECT("'"&amp;$G$42&amp;"'!$D$37:$D$52"),INDIRECT("'"&amp;$G$42&amp;"'!$C$37:$C$52"),W63,INDIRECT("'"&amp;$G$42&amp;"'!$B$37:$B$52"),"*Indirect*")/INDIRECT("'"&amp;$G$42&amp;"'!$F$2"),0)))</f>
        <v/>
      </c>
    </row>
    <row r="64" ht="18" customHeight="1">
      <c r="G64" s="143" t="inlineStr">
        <is>
          <t>■ West</t>
        </is>
      </c>
      <c r="H64" s="144" t="inlineStr">
        <is>
          <t>■ Middle</t>
        </is>
      </c>
      <c r="I64" s="145" t="inlineStr">
        <is>
          <t>■ East</t>
        </is>
      </c>
      <c r="J64" s="146" t="inlineStr">
        <is>
          <t>■ This project</t>
        </is>
      </c>
      <c r="W64" s="134" t="n">
        <v>23</v>
      </c>
      <c r="X64" s="134">
        <f>'General Information'!$D$25+W64</f>
        <v/>
      </c>
      <c r="Y64" s="135">
        <f>IF($G$39="",0,IF(W64&gt;'General Information'!$D$33,0,IF(W64=0,$J$39,IFERROR(SUMIF(INDIRECT("'"&amp;$G$39&amp;"'!$C$37:$C$52"),W64,INDIRECT("'"&amp;$G$39&amp;"'!$D$37:$D$52")),0))))</f>
        <v/>
      </c>
      <c r="Z64" s="135">
        <f>IF($G$40="",0,IF(W64&gt;'General Information'!$D$33,0,IF(W64=0,$J$40,IFERROR(SUMIF(INDIRECT("'"&amp;$G$40&amp;"'!$C$37:$C$52"),W64,INDIRECT("'"&amp;$G$40&amp;"'!$D$37:$D$52")),0))))</f>
        <v/>
      </c>
      <c r="AA64" s="135">
        <f>IF($G$41="",0,IF(W64&gt;'General Information'!$D$33,0,IF(W64=0,$J$41,IFERROR(SUMIF(INDIRECT("'"&amp;$G$41&amp;"'!$C$37:$C$52"),W64,INDIRECT("'"&amp;$G$41&amp;"'!$D$37:$D$52")),0))))</f>
        <v/>
      </c>
      <c r="AB64" s="135">
        <f>IF($G$42="",0,IF(W64&gt;'General Information'!$D$33,0,IF(W64=0,$J$42,IFERROR(SUMIF(INDIRECT("'"&amp;$G$42&amp;"'!$C$37:$C$52"),W64,INDIRECT("'"&amp;$G$42&amp;"'!$D$37:$D$52")),0))))</f>
        <v/>
      </c>
      <c r="AC64" s="135">
        <f>IF($G$39="",NA(),AC63+IF(W64&gt;'General Information'!$D$33,0,IF(W64=0,$J$39,IFERROR(SUMIF(INDIRECT("'"&amp;$G$39&amp;"'!$C$37:$C$52"),W64,INDIRECT("'"&amp;$G$39&amp;"'!$E$37:$E$52")),0))))</f>
        <v/>
      </c>
      <c r="AD64" s="135">
        <f>IF($G$40="",NA(),AD63+IF(W64&gt;'General Information'!$D$33,0,IF(W64=0,$J$40,IFERROR(SUMIF(INDIRECT("'"&amp;$G$40&amp;"'!$C$37:$C$52"),W64,INDIRECT("'"&amp;$G$40&amp;"'!$E$37:$E$52")),0))))</f>
        <v/>
      </c>
      <c r="AE64" s="135">
        <f>IF($G$41="",NA(),AE63+IF(W64&gt;'General Information'!$D$33,0,IF(W64=0,$J$41,IFERROR(SUMIF(INDIRECT("'"&amp;$G$41&amp;"'!$C$37:$C$52"),W64,INDIRECT("'"&amp;$G$41&amp;"'!$E$37:$E$52")),0))))</f>
        <v/>
      </c>
      <c r="AF64" s="135">
        <f>IF($G$42="",NA(),AF63+IF(W64&gt;'General Information'!$D$33,0,IF(W64=0,$J$42,IFERROR(SUMIF(INDIRECT("'"&amp;$G$42&amp;"'!$C$37:$C$52"),W64,INDIRECT("'"&amp;$G$42&amp;"'!$E$37:$E$52")),0))))</f>
        <v/>
      </c>
      <c r="AG64" s="152">
        <f>IF($G$39="",0,IF(W64&gt;'General Information'!$D$33,0,IFERROR(SUMIFS(INDIRECT("'"&amp;$G$39&amp;"'!$D$37:$D$52"),INDIRECT("'"&amp;$G$39&amp;"'!$C$37:$C$52"),W64,INDIRECT("'"&amp;$G$39&amp;"'!$B$37:$B$52"),"*Indirect*")/INDIRECT("'"&amp;$G$39&amp;"'!$F$2"),0)))</f>
        <v/>
      </c>
      <c r="AH64" s="152">
        <f>IF($G$40="",0,IF(W64&gt;'General Information'!$D$33,0,IFERROR(SUMIFS(INDIRECT("'"&amp;$G$40&amp;"'!$D$37:$D$52"),INDIRECT("'"&amp;$G$40&amp;"'!$C$37:$C$52"),W64,INDIRECT("'"&amp;$G$40&amp;"'!$B$37:$B$52"),"*Indirect*")/INDIRECT("'"&amp;$G$40&amp;"'!$F$2"),0)))</f>
        <v/>
      </c>
      <c r="AI64" s="152">
        <f>IF($G$41="",0,IF(W64&gt;'General Information'!$D$33,0,IFERROR(SUMIFS(INDIRECT("'"&amp;$G$41&amp;"'!$D$37:$D$52"),INDIRECT("'"&amp;$G$41&amp;"'!$C$37:$C$52"),W64,INDIRECT("'"&amp;$G$41&amp;"'!$B$37:$B$52"),"*Indirect*")/INDIRECT("'"&amp;$G$41&amp;"'!$F$2"),0)))</f>
        <v/>
      </c>
      <c r="AJ64" s="152">
        <f>IF($G$42="",0,IF(W64&gt;'General Information'!$D$33,0,IFERROR(SUMIFS(INDIRECT("'"&amp;$G$42&amp;"'!$D$37:$D$52"),INDIRECT("'"&amp;$G$42&amp;"'!$C$37:$C$52"),W64,INDIRECT("'"&amp;$G$42&amp;"'!$B$37:$B$52"),"*Indirect*")/INDIRECT("'"&amp;$G$42&amp;"'!$F$2"),0)))</f>
        <v/>
      </c>
    </row>
    <row r="65">
      <c r="W65" s="134" t="n">
        <v>24</v>
      </c>
      <c r="X65" s="134">
        <f>'General Information'!$D$25+W65</f>
        <v/>
      </c>
      <c r="Y65" s="135">
        <f>IF($G$39="",0,IF(W65&gt;'General Information'!$D$33,0,IF(W65=0,$J$39,IFERROR(SUMIF(INDIRECT("'"&amp;$G$39&amp;"'!$C$37:$C$52"),W65,INDIRECT("'"&amp;$G$39&amp;"'!$D$37:$D$52")),0))))</f>
        <v/>
      </c>
      <c r="Z65" s="135">
        <f>IF($G$40="",0,IF(W65&gt;'General Information'!$D$33,0,IF(W65=0,$J$40,IFERROR(SUMIF(INDIRECT("'"&amp;$G$40&amp;"'!$C$37:$C$52"),W65,INDIRECT("'"&amp;$G$40&amp;"'!$D$37:$D$52")),0))))</f>
        <v/>
      </c>
      <c r="AA65" s="135">
        <f>IF($G$41="",0,IF(W65&gt;'General Information'!$D$33,0,IF(W65=0,$J$41,IFERROR(SUMIF(INDIRECT("'"&amp;$G$41&amp;"'!$C$37:$C$52"),W65,INDIRECT("'"&amp;$G$41&amp;"'!$D$37:$D$52")),0))))</f>
        <v/>
      </c>
      <c r="AB65" s="135">
        <f>IF($G$42="",0,IF(W65&gt;'General Information'!$D$33,0,IF(W65=0,$J$42,IFERROR(SUMIF(INDIRECT("'"&amp;$G$42&amp;"'!$C$37:$C$52"),W65,INDIRECT("'"&amp;$G$42&amp;"'!$D$37:$D$52")),0))))</f>
        <v/>
      </c>
      <c r="AC65" s="135">
        <f>IF($G$39="",NA(),AC64+IF(W65&gt;'General Information'!$D$33,0,IF(W65=0,$J$39,IFERROR(SUMIF(INDIRECT("'"&amp;$G$39&amp;"'!$C$37:$C$52"),W65,INDIRECT("'"&amp;$G$39&amp;"'!$E$37:$E$52")),0))))</f>
        <v/>
      </c>
      <c r="AD65" s="135">
        <f>IF($G$40="",NA(),AD64+IF(W65&gt;'General Information'!$D$33,0,IF(W65=0,$J$40,IFERROR(SUMIF(INDIRECT("'"&amp;$G$40&amp;"'!$C$37:$C$52"),W65,INDIRECT("'"&amp;$G$40&amp;"'!$E$37:$E$52")),0))))</f>
        <v/>
      </c>
      <c r="AE65" s="135">
        <f>IF($G$41="",NA(),AE64+IF(W65&gt;'General Information'!$D$33,0,IF(W65=0,$J$41,IFERROR(SUMIF(INDIRECT("'"&amp;$G$41&amp;"'!$C$37:$C$52"),W65,INDIRECT("'"&amp;$G$41&amp;"'!$E$37:$E$52")),0))))</f>
        <v/>
      </c>
      <c r="AF65" s="135">
        <f>IF($G$42="",NA(),AF64+IF(W65&gt;'General Information'!$D$33,0,IF(W65=0,$J$42,IFERROR(SUMIF(INDIRECT("'"&amp;$G$42&amp;"'!$C$37:$C$52"),W65,INDIRECT("'"&amp;$G$42&amp;"'!$E$37:$E$52")),0))))</f>
        <v/>
      </c>
      <c r="AG65" s="152">
        <f>IF($G$39="",0,IF(W65&gt;'General Information'!$D$33,0,IFERROR(SUMIFS(INDIRECT("'"&amp;$G$39&amp;"'!$D$37:$D$52"),INDIRECT("'"&amp;$G$39&amp;"'!$C$37:$C$52"),W65,INDIRECT("'"&amp;$G$39&amp;"'!$B$37:$B$52"),"*Indirect*")/INDIRECT("'"&amp;$G$39&amp;"'!$F$2"),0)))</f>
        <v/>
      </c>
      <c r="AH65" s="152">
        <f>IF($G$40="",0,IF(W65&gt;'General Information'!$D$33,0,IFERROR(SUMIFS(INDIRECT("'"&amp;$G$40&amp;"'!$D$37:$D$52"),INDIRECT("'"&amp;$G$40&amp;"'!$C$37:$C$52"),W65,INDIRECT("'"&amp;$G$40&amp;"'!$B$37:$B$52"),"*Indirect*")/INDIRECT("'"&amp;$G$40&amp;"'!$F$2"),0)))</f>
        <v/>
      </c>
      <c r="AI65" s="152">
        <f>IF($G$41="",0,IF(W65&gt;'General Information'!$D$33,0,IFERROR(SUMIFS(INDIRECT("'"&amp;$G$41&amp;"'!$D$37:$D$52"),INDIRECT("'"&amp;$G$41&amp;"'!$C$37:$C$52"),W65,INDIRECT("'"&amp;$G$41&amp;"'!$B$37:$B$52"),"*Indirect*")/INDIRECT("'"&amp;$G$41&amp;"'!$F$2"),0)))</f>
        <v/>
      </c>
      <c r="AJ65" s="152">
        <f>IF($G$42="",0,IF(W65&gt;'General Information'!$D$33,0,IFERROR(SUMIFS(INDIRECT("'"&amp;$G$42&amp;"'!$D$37:$D$52"),INDIRECT("'"&amp;$G$42&amp;"'!$C$37:$C$52"),W65,INDIRECT("'"&amp;$G$42&amp;"'!$B$37:$B$52"),"*Indirect*")/INDIRECT("'"&amp;$G$42&amp;"'!$F$2"),0)))</f>
        <v/>
      </c>
    </row>
    <row r="66" ht="18" customHeight="1">
      <c r="G66" s="256">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H66" s="256"/>
      <c r="I66" s="256"/>
      <c r="J66" s="256"/>
      <c r="K66" s="256"/>
      <c r="L66" s="256"/>
      <c r="M66" s="256"/>
      <c r="N66" s="256"/>
      <c r="O66" s="256"/>
      <c r="P66" s="256"/>
      <c r="Q66" s="256"/>
      <c r="R66" s="256"/>
      <c r="W66" s="134" t="n">
        <v>25</v>
      </c>
      <c r="X66" s="134">
        <f>'General Information'!$D$25+W66</f>
        <v/>
      </c>
      <c r="Y66" s="135">
        <f>IF($G$39="",0,IF(W66&gt;'General Information'!$D$33,0,IF(W66=0,$J$39,IFERROR(SUMIF(INDIRECT("'"&amp;$G$39&amp;"'!$C$37:$C$52"),W66,INDIRECT("'"&amp;$G$39&amp;"'!$D$37:$D$52")),0))))</f>
        <v/>
      </c>
      <c r="Z66" s="135">
        <f>IF($G$40="",0,IF(W66&gt;'General Information'!$D$33,0,IF(W66=0,$J$40,IFERROR(SUMIF(INDIRECT("'"&amp;$G$40&amp;"'!$C$37:$C$52"),W66,INDIRECT("'"&amp;$G$40&amp;"'!$D$37:$D$52")),0))))</f>
        <v/>
      </c>
      <c r="AA66" s="135">
        <f>IF($G$41="",0,IF(W66&gt;'General Information'!$D$33,0,IF(W66=0,$J$41,IFERROR(SUMIF(INDIRECT("'"&amp;$G$41&amp;"'!$C$37:$C$52"),W66,INDIRECT("'"&amp;$G$41&amp;"'!$D$37:$D$52")),0))))</f>
        <v/>
      </c>
      <c r="AB66" s="135">
        <f>IF($G$42="",0,IF(W66&gt;'General Information'!$D$33,0,IF(W66=0,$J$42,IFERROR(SUMIF(INDIRECT("'"&amp;$G$42&amp;"'!$C$37:$C$52"),W66,INDIRECT("'"&amp;$G$42&amp;"'!$D$37:$D$52")),0))))</f>
        <v/>
      </c>
      <c r="AC66" s="135">
        <f>IF($G$39="",NA(),AC65+IF(W66&gt;'General Information'!$D$33,0,IF(W66=0,$J$39,IFERROR(SUMIF(INDIRECT("'"&amp;$G$39&amp;"'!$C$37:$C$52"),W66,INDIRECT("'"&amp;$G$39&amp;"'!$E$37:$E$52")),0))))</f>
        <v/>
      </c>
      <c r="AD66" s="135">
        <f>IF($G$40="",NA(),AD65+IF(W66&gt;'General Information'!$D$33,0,IF(W66=0,$J$40,IFERROR(SUMIF(INDIRECT("'"&amp;$G$40&amp;"'!$C$37:$C$52"),W66,INDIRECT("'"&amp;$G$40&amp;"'!$E$37:$E$52")),0))))</f>
        <v/>
      </c>
      <c r="AE66" s="135">
        <f>IF($G$41="",NA(),AE65+IF(W66&gt;'General Information'!$D$33,0,IF(W66=0,$J$41,IFERROR(SUMIF(INDIRECT("'"&amp;$G$41&amp;"'!$C$37:$C$52"),W66,INDIRECT("'"&amp;$G$41&amp;"'!$E$37:$E$52")),0))))</f>
        <v/>
      </c>
      <c r="AF66" s="135">
        <f>IF($G$42="",NA(),AF65+IF(W66&gt;'General Information'!$D$33,0,IF(W66=0,$J$42,IFERROR(SUMIF(INDIRECT("'"&amp;$G$42&amp;"'!$C$37:$C$52"),W66,INDIRECT("'"&amp;$G$42&amp;"'!$E$37:$E$52")),0))))</f>
        <v/>
      </c>
      <c r="AG66" s="152">
        <f>IF($G$39="",0,IF(W66&gt;'General Information'!$D$33,0,IFERROR(SUMIFS(INDIRECT("'"&amp;$G$39&amp;"'!$D$37:$D$52"),INDIRECT("'"&amp;$G$39&amp;"'!$C$37:$C$52"),W66,INDIRECT("'"&amp;$G$39&amp;"'!$B$37:$B$52"),"*Indirect*")/INDIRECT("'"&amp;$G$39&amp;"'!$F$2"),0)))</f>
        <v/>
      </c>
      <c r="AH66" s="152">
        <f>IF($G$40="",0,IF(W66&gt;'General Information'!$D$33,0,IFERROR(SUMIFS(INDIRECT("'"&amp;$G$40&amp;"'!$D$37:$D$52"),INDIRECT("'"&amp;$G$40&amp;"'!$C$37:$C$52"),W66,INDIRECT("'"&amp;$G$40&amp;"'!$B$37:$B$52"),"*Indirect*")/INDIRECT("'"&amp;$G$40&amp;"'!$F$2"),0)))</f>
        <v/>
      </c>
      <c r="AI66" s="152">
        <f>IF($G$41="",0,IF(W66&gt;'General Information'!$D$33,0,IFERROR(SUMIFS(INDIRECT("'"&amp;$G$41&amp;"'!$D$37:$D$52"),INDIRECT("'"&amp;$G$41&amp;"'!$C$37:$C$52"),W66,INDIRECT("'"&amp;$G$41&amp;"'!$B$37:$B$52"),"*Indirect*")/INDIRECT("'"&amp;$G$41&amp;"'!$F$2"),0)))</f>
        <v/>
      </c>
      <c r="AJ66" s="152">
        <f>IF($G$42="",0,IF(W66&gt;'General Information'!$D$33,0,IFERROR(SUMIFS(INDIRECT("'"&amp;$G$42&amp;"'!$D$37:$D$52"),INDIRECT("'"&amp;$G$42&amp;"'!$C$37:$C$52"),W66,INDIRECT("'"&amp;$G$42&amp;"'!$B$37:$B$52"),"*Indirect*")/INDIRECT("'"&amp;$G$42&amp;"'!$F$2"),0)))</f>
        <v/>
      </c>
    </row>
    <row r="67" ht="18" customHeight="1">
      <c r="G67" s="256" t="inlineStr">
        <is>
          <t>Coordinates are embedded (Method sheet); nothing here goes online. Five private fields have none and plot no dot.</t>
        </is>
      </c>
      <c r="H67" s="256"/>
      <c r="I67" s="256"/>
      <c r="J67" s="256"/>
      <c r="K67" s="256"/>
      <c r="L67" s="256"/>
      <c r="M67" s="256"/>
      <c r="N67" s="256"/>
      <c r="O67" s="256"/>
      <c r="P67" s="256"/>
      <c r="Q67" s="256"/>
      <c r="R67" s="256"/>
      <c r="W67" s="134" t="n">
        <v>26</v>
      </c>
      <c r="X67" s="134">
        <f>'General Information'!$D$25+W67</f>
        <v/>
      </c>
      <c r="Y67" s="135">
        <f>IF($G$39="",0,IF(W67&gt;'General Information'!$D$33,0,IF(W67=0,$J$39,IFERROR(SUMIF(INDIRECT("'"&amp;$G$39&amp;"'!$C$37:$C$52"),W67,INDIRECT("'"&amp;$G$39&amp;"'!$D$37:$D$52")),0))))</f>
        <v/>
      </c>
      <c r="Z67" s="135">
        <f>IF($G$40="",0,IF(W67&gt;'General Information'!$D$33,0,IF(W67=0,$J$40,IFERROR(SUMIF(INDIRECT("'"&amp;$G$40&amp;"'!$C$37:$C$52"),W67,INDIRECT("'"&amp;$G$40&amp;"'!$D$37:$D$52")),0))))</f>
        <v/>
      </c>
      <c r="AA67" s="135">
        <f>IF($G$41="",0,IF(W67&gt;'General Information'!$D$33,0,IF(W67=0,$J$41,IFERROR(SUMIF(INDIRECT("'"&amp;$G$41&amp;"'!$C$37:$C$52"),W67,INDIRECT("'"&amp;$G$41&amp;"'!$D$37:$D$52")),0))))</f>
        <v/>
      </c>
      <c r="AB67" s="135">
        <f>IF($G$42="",0,IF(W67&gt;'General Information'!$D$33,0,IF(W67=0,$J$42,IFERROR(SUMIF(INDIRECT("'"&amp;$G$42&amp;"'!$C$37:$C$52"),W67,INDIRECT("'"&amp;$G$42&amp;"'!$D$37:$D$52")),0))))</f>
        <v/>
      </c>
      <c r="AC67" s="135">
        <f>IF($G$39="",NA(),AC66+IF(W67&gt;'General Information'!$D$33,0,IF(W67=0,$J$39,IFERROR(SUMIF(INDIRECT("'"&amp;$G$39&amp;"'!$C$37:$C$52"),W67,INDIRECT("'"&amp;$G$39&amp;"'!$E$37:$E$52")),0))))</f>
        <v/>
      </c>
      <c r="AD67" s="135">
        <f>IF($G$40="",NA(),AD66+IF(W67&gt;'General Information'!$D$33,0,IF(W67=0,$J$40,IFERROR(SUMIF(INDIRECT("'"&amp;$G$40&amp;"'!$C$37:$C$52"),W67,INDIRECT("'"&amp;$G$40&amp;"'!$E$37:$E$52")),0))))</f>
        <v/>
      </c>
      <c r="AE67" s="135">
        <f>IF($G$41="",NA(),AE66+IF(W67&gt;'General Information'!$D$33,0,IF(W67=0,$J$41,IFERROR(SUMIF(INDIRECT("'"&amp;$G$41&amp;"'!$C$37:$C$52"),W67,INDIRECT("'"&amp;$G$41&amp;"'!$E$37:$E$52")),0))))</f>
        <v/>
      </c>
      <c r="AF67" s="135">
        <f>IF($G$42="",NA(),AF66+IF(W67&gt;'General Information'!$D$33,0,IF(W67=0,$J$42,IFERROR(SUMIF(INDIRECT("'"&amp;$G$42&amp;"'!$C$37:$C$52"),W67,INDIRECT("'"&amp;$G$42&amp;"'!$E$37:$E$52")),0))))</f>
        <v/>
      </c>
      <c r="AG67" s="152">
        <f>IF($G$39="",0,IF(W67&gt;'General Information'!$D$33,0,IFERROR(SUMIFS(INDIRECT("'"&amp;$G$39&amp;"'!$D$37:$D$52"),INDIRECT("'"&amp;$G$39&amp;"'!$C$37:$C$52"),W67,INDIRECT("'"&amp;$G$39&amp;"'!$B$37:$B$52"),"*Indirect*")/INDIRECT("'"&amp;$G$39&amp;"'!$F$2"),0)))</f>
        <v/>
      </c>
      <c r="AH67" s="152">
        <f>IF($G$40="",0,IF(W67&gt;'General Information'!$D$33,0,IFERROR(SUMIFS(INDIRECT("'"&amp;$G$40&amp;"'!$D$37:$D$52"),INDIRECT("'"&amp;$G$40&amp;"'!$C$37:$C$52"),W67,INDIRECT("'"&amp;$G$40&amp;"'!$B$37:$B$52"),"*Indirect*")/INDIRECT("'"&amp;$G$40&amp;"'!$F$2"),0)))</f>
        <v/>
      </c>
      <c r="AI67" s="152">
        <f>IF($G$41="",0,IF(W67&gt;'General Information'!$D$33,0,IFERROR(SUMIFS(INDIRECT("'"&amp;$G$41&amp;"'!$D$37:$D$52"),INDIRECT("'"&amp;$G$41&amp;"'!$C$37:$C$52"),W67,INDIRECT("'"&amp;$G$41&amp;"'!$B$37:$B$52"),"*Indirect*")/INDIRECT("'"&amp;$G$41&amp;"'!$F$2"),0)))</f>
        <v/>
      </c>
      <c r="AJ67" s="152">
        <f>IF($G$42="",0,IF(W67&gt;'General Information'!$D$33,0,IFERROR(SUMIFS(INDIRECT("'"&amp;$G$42&amp;"'!$D$37:$D$52"),INDIRECT("'"&amp;$G$42&amp;"'!$C$37:$C$52"),W67,INDIRECT("'"&amp;$G$42&amp;"'!$B$37:$B$52"),"*Indirect*")/INDIRECT("'"&amp;$G$42&amp;"'!$F$2"),0)))</f>
        <v/>
      </c>
    </row>
    <row r="68" ht="18" customHeight="1">
      <c r="G68" s="256" t="inlineStr">
        <is>
          <t>Google Earth: import LCCA_KML_Export.bas once (Alt+F11, File, Import File), then Alt+F8 and run ExportLCCAKML.</t>
        </is>
      </c>
      <c r="H68" s="256"/>
      <c r="I68" s="256"/>
      <c r="J68" s="256"/>
      <c r="K68" s="256"/>
      <c r="L68" s="256"/>
      <c r="M68" s="256"/>
      <c r="N68" s="256"/>
      <c r="O68" s="256"/>
      <c r="P68" s="256"/>
      <c r="Q68" s="256"/>
      <c r="R68" s="256"/>
      <c r="W68" s="134" t="n">
        <v>27</v>
      </c>
      <c r="X68" s="134">
        <f>'General Information'!$D$25+W68</f>
        <v/>
      </c>
      <c r="Y68" s="135">
        <f>IF($G$39="",0,IF(W68&gt;'General Information'!$D$33,0,IF(W68=0,$J$39,IFERROR(SUMIF(INDIRECT("'"&amp;$G$39&amp;"'!$C$37:$C$52"),W68,INDIRECT("'"&amp;$G$39&amp;"'!$D$37:$D$52")),0))))</f>
        <v/>
      </c>
      <c r="Z68" s="135">
        <f>IF($G$40="",0,IF(W68&gt;'General Information'!$D$33,0,IF(W68=0,$J$40,IFERROR(SUMIF(INDIRECT("'"&amp;$G$40&amp;"'!$C$37:$C$52"),W68,INDIRECT("'"&amp;$G$40&amp;"'!$D$37:$D$52")),0))))</f>
        <v/>
      </c>
      <c r="AA68" s="135">
        <f>IF($G$41="",0,IF(W68&gt;'General Information'!$D$33,0,IF(W68=0,$J$41,IFERROR(SUMIF(INDIRECT("'"&amp;$G$41&amp;"'!$C$37:$C$52"),W68,INDIRECT("'"&amp;$G$41&amp;"'!$D$37:$D$52")),0))))</f>
        <v/>
      </c>
      <c r="AB68" s="135">
        <f>IF($G$42="",0,IF(W68&gt;'General Information'!$D$33,0,IF(W68=0,$J$42,IFERROR(SUMIF(INDIRECT("'"&amp;$G$42&amp;"'!$C$37:$C$52"),W68,INDIRECT("'"&amp;$G$42&amp;"'!$D$37:$D$52")),0))))</f>
        <v/>
      </c>
      <c r="AC68" s="135">
        <f>IF($G$39="",NA(),AC67+IF(W68&gt;'General Information'!$D$33,0,IF(W68=0,$J$39,IFERROR(SUMIF(INDIRECT("'"&amp;$G$39&amp;"'!$C$37:$C$52"),W68,INDIRECT("'"&amp;$G$39&amp;"'!$E$37:$E$52")),0))))</f>
        <v/>
      </c>
      <c r="AD68" s="135">
        <f>IF($G$40="",NA(),AD67+IF(W68&gt;'General Information'!$D$33,0,IF(W68=0,$J$40,IFERROR(SUMIF(INDIRECT("'"&amp;$G$40&amp;"'!$C$37:$C$52"),W68,INDIRECT("'"&amp;$G$40&amp;"'!$E$37:$E$52")),0))))</f>
        <v/>
      </c>
      <c r="AE68" s="135">
        <f>IF($G$41="",NA(),AE67+IF(W68&gt;'General Information'!$D$33,0,IF(W68=0,$J$41,IFERROR(SUMIF(INDIRECT("'"&amp;$G$41&amp;"'!$C$37:$C$52"),W68,INDIRECT("'"&amp;$G$41&amp;"'!$E$37:$E$52")),0))))</f>
        <v/>
      </c>
      <c r="AF68" s="135">
        <f>IF($G$42="",NA(),AF67+IF(W68&gt;'General Information'!$D$33,0,IF(W68=0,$J$42,IFERROR(SUMIF(INDIRECT("'"&amp;$G$42&amp;"'!$C$37:$C$52"),W68,INDIRECT("'"&amp;$G$42&amp;"'!$E$37:$E$52")),0))))</f>
        <v/>
      </c>
      <c r="AG68" s="152">
        <f>IF($G$39="",0,IF(W68&gt;'General Information'!$D$33,0,IFERROR(SUMIFS(INDIRECT("'"&amp;$G$39&amp;"'!$D$37:$D$52"),INDIRECT("'"&amp;$G$39&amp;"'!$C$37:$C$52"),W68,INDIRECT("'"&amp;$G$39&amp;"'!$B$37:$B$52"),"*Indirect*")/INDIRECT("'"&amp;$G$39&amp;"'!$F$2"),0)))</f>
        <v/>
      </c>
      <c r="AH68" s="152">
        <f>IF($G$40="",0,IF(W68&gt;'General Information'!$D$33,0,IFERROR(SUMIFS(INDIRECT("'"&amp;$G$40&amp;"'!$D$37:$D$52"),INDIRECT("'"&amp;$G$40&amp;"'!$C$37:$C$52"),W68,INDIRECT("'"&amp;$G$40&amp;"'!$B$37:$B$52"),"*Indirect*")/INDIRECT("'"&amp;$G$40&amp;"'!$F$2"),0)))</f>
        <v/>
      </c>
      <c r="AI68" s="152">
        <f>IF($G$41="",0,IF(W68&gt;'General Information'!$D$33,0,IFERROR(SUMIFS(INDIRECT("'"&amp;$G$41&amp;"'!$D$37:$D$52"),INDIRECT("'"&amp;$G$41&amp;"'!$C$37:$C$52"),W68,INDIRECT("'"&amp;$G$41&amp;"'!$B$37:$B$52"),"*Indirect*")/INDIRECT("'"&amp;$G$41&amp;"'!$F$2"),0)))</f>
        <v/>
      </c>
      <c r="AJ68" s="152">
        <f>IF($G$42="",0,IF(W68&gt;'General Information'!$D$33,0,IFERROR(SUMIFS(INDIRECT("'"&amp;$G$42&amp;"'!$D$37:$D$52"),INDIRECT("'"&amp;$G$42&amp;"'!$C$37:$C$52"),W68,INDIRECT("'"&amp;$G$42&amp;"'!$B$37:$B$52"),"*Indirect*")/INDIRECT("'"&amp;$G$42&amp;"'!$F$2"),0)))</f>
        <v/>
      </c>
    </row>
    <row r="69">
      <c r="G69"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W69" s="134" t="n">
        <v>28</v>
      </c>
      <c r="X69" s="134">
        <f>'General Information'!$D$25+W69</f>
        <v/>
      </c>
      <c r="Y69" s="135">
        <f>IF($G$39="",0,IF(W69&gt;'General Information'!$D$33,0,IF(W69=0,$J$39,IFERROR(SUMIF(INDIRECT("'"&amp;$G$39&amp;"'!$C$37:$C$52"),W69,INDIRECT("'"&amp;$G$39&amp;"'!$D$37:$D$52")),0))))</f>
        <v/>
      </c>
      <c r="Z69" s="135">
        <f>IF($G$40="",0,IF(W69&gt;'General Information'!$D$33,0,IF(W69=0,$J$40,IFERROR(SUMIF(INDIRECT("'"&amp;$G$40&amp;"'!$C$37:$C$52"),W69,INDIRECT("'"&amp;$G$40&amp;"'!$D$37:$D$52")),0))))</f>
        <v/>
      </c>
      <c r="AA69" s="135">
        <f>IF($G$41="",0,IF(W69&gt;'General Information'!$D$33,0,IF(W69=0,$J$41,IFERROR(SUMIF(INDIRECT("'"&amp;$G$41&amp;"'!$C$37:$C$52"),W69,INDIRECT("'"&amp;$G$41&amp;"'!$D$37:$D$52")),0))))</f>
        <v/>
      </c>
      <c r="AB69" s="135">
        <f>IF($G$42="",0,IF(W69&gt;'General Information'!$D$33,0,IF(W69=0,$J$42,IFERROR(SUMIF(INDIRECT("'"&amp;$G$42&amp;"'!$C$37:$C$52"),W69,INDIRECT("'"&amp;$G$42&amp;"'!$D$37:$D$52")),0))))</f>
        <v/>
      </c>
      <c r="AC69" s="135">
        <f>IF($G$39="",NA(),AC68+IF(W69&gt;'General Information'!$D$33,0,IF(W69=0,$J$39,IFERROR(SUMIF(INDIRECT("'"&amp;$G$39&amp;"'!$C$37:$C$52"),W69,INDIRECT("'"&amp;$G$39&amp;"'!$E$37:$E$52")),0))))</f>
        <v/>
      </c>
      <c r="AD69" s="135">
        <f>IF($G$40="",NA(),AD68+IF(W69&gt;'General Information'!$D$33,0,IF(W69=0,$J$40,IFERROR(SUMIF(INDIRECT("'"&amp;$G$40&amp;"'!$C$37:$C$52"),W69,INDIRECT("'"&amp;$G$40&amp;"'!$E$37:$E$52")),0))))</f>
        <v/>
      </c>
      <c r="AE69" s="135">
        <f>IF($G$41="",NA(),AE68+IF(W69&gt;'General Information'!$D$33,0,IF(W69=0,$J$41,IFERROR(SUMIF(INDIRECT("'"&amp;$G$41&amp;"'!$C$37:$C$52"),W69,INDIRECT("'"&amp;$G$41&amp;"'!$E$37:$E$52")),0))))</f>
        <v/>
      </c>
      <c r="AF69" s="135">
        <f>IF($G$42="",NA(),AF68+IF(W69&gt;'General Information'!$D$33,0,IF(W69=0,$J$42,IFERROR(SUMIF(INDIRECT("'"&amp;$G$42&amp;"'!$C$37:$C$52"),W69,INDIRECT("'"&amp;$G$42&amp;"'!$E$37:$E$52")),0))))</f>
        <v/>
      </c>
      <c r="AG69" s="152">
        <f>IF($G$39="",0,IF(W69&gt;'General Information'!$D$33,0,IFERROR(SUMIFS(INDIRECT("'"&amp;$G$39&amp;"'!$D$37:$D$52"),INDIRECT("'"&amp;$G$39&amp;"'!$C$37:$C$52"),W69,INDIRECT("'"&amp;$G$39&amp;"'!$B$37:$B$52"),"*Indirect*")/INDIRECT("'"&amp;$G$39&amp;"'!$F$2"),0)))</f>
        <v/>
      </c>
      <c r="AH69" s="152">
        <f>IF($G$40="",0,IF(W69&gt;'General Information'!$D$33,0,IFERROR(SUMIFS(INDIRECT("'"&amp;$G$40&amp;"'!$D$37:$D$52"),INDIRECT("'"&amp;$G$40&amp;"'!$C$37:$C$52"),W69,INDIRECT("'"&amp;$G$40&amp;"'!$B$37:$B$52"),"*Indirect*")/INDIRECT("'"&amp;$G$40&amp;"'!$F$2"),0)))</f>
        <v/>
      </c>
      <c r="AI69" s="152">
        <f>IF($G$41="",0,IF(W69&gt;'General Information'!$D$33,0,IFERROR(SUMIFS(INDIRECT("'"&amp;$G$41&amp;"'!$D$37:$D$52"),INDIRECT("'"&amp;$G$41&amp;"'!$C$37:$C$52"),W69,INDIRECT("'"&amp;$G$41&amp;"'!$B$37:$B$52"),"*Indirect*")/INDIRECT("'"&amp;$G$41&amp;"'!$F$2"),0)))</f>
        <v/>
      </c>
      <c r="AJ69" s="152">
        <f>IF($G$42="",0,IF(W69&gt;'General Information'!$D$33,0,IFERROR(SUMIFS(INDIRECT("'"&amp;$G$42&amp;"'!$D$37:$D$52"),INDIRECT("'"&amp;$G$42&amp;"'!$C$37:$C$52"),W69,INDIRECT("'"&amp;$G$42&amp;"'!$B$37:$B$52"),"*Indirect*")/INDIRECT("'"&amp;$G$42&amp;"'!$F$2"),0)))</f>
        <v/>
      </c>
    </row>
    <row r="70">
      <c r="G7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c r="W70" s="134" t="n">
        <v>29</v>
      </c>
      <c r="X70" s="134">
        <f>'General Information'!$D$25+W70</f>
        <v/>
      </c>
      <c r="Y70" s="135">
        <f>IF($G$39="",0,IF(W70&gt;'General Information'!$D$33,0,IF(W70=0,$J$39,IFERROR(SUMIF(INDIRECT("'"&amp;$G$39&amp;"'!$C$37:$C$52"),W70,INDIRECT("'"&amp;$G$39&amp;"'!$D$37:$D$52")),0))))</f>
        <v/>
      </c>
      <c r="Z70" s="135">
        <f>IF($G$40="",0,IF(W70&gt;'General Information'!$D$33,0,IF(W70=0,$J$40,IFERROR(SUMIF(INDIRECT("'"&amp;$G$40&amp;"'!$C$37:$C$52"),W70,INDIRECT("'"&amp;$G$40&amp;"'!$D$37:$D$52")),0))))</f>
        <v/>
      </c>
      <c r="AA70" s="135">
        <f>IF($G$41="",0,IF(W70&gt;'General Information'!$D$33,0,IF(W70=0,$J$41,IFERROR(SUMIF(INDIRECT("'"&amp;$G$41&amp;"'!$C$37:$C$52"),W70,INDIRECT("'"&amp;$G$41&amp;"'!$D$37:$D$52")),0))))</f>
        <v/>
      </c>
      <c r="AB70" s="135">
        <f>IF($G$42="",0,IF(W70&gt;'General Information'!$D$33,0,IF(W70=0,$J$42,IFERROR(SUMIF(INDIRECT("'"&amp;$G$42&amp;"'!$C$37:$C$52"),W70,INDIRECT("'"&amp;$G$42&amp;"'!$D$37:$D$52")),0))))</f>
        <v/>
      </c>
      <c r="AC70" s="135">
        <f>IF($G$39="",NA(),AC69+IF(W70&gt;'General Information'!$D$33,0,IF(W70=0,$J$39,IFERROR(SUMIF(INDIRECT("'"&amp;$G$39&amp;"'!$C$37:$C$52"),W70,INDIRECT("'"&amp;$G$39&amp;"'!$E$37:$E$52")),0))))</f>
        <v/>
      </c>
      <c r="AD70" s="135">
        <f>IF($G$40="",NA(),AD69+IF(W70&gt;'General Information'!$D$33,0,IF(W70=0,$J$40,IFERROR(SUMIF(INDIRECT("'"&amp;$G$40&amp;"'!$C$37:$C$52"),W70,INDIRECT("'"&amp;$G$40&amp;"'!$E$37:$E$52")),0))))</f>
        <v/>
      </c>
      <c r="AE70" s="135">
        <f>IF($G$41="",NA(),AE69+IF(W70&gt;'General Information'!$D$33,0,IF(W70=0,$J$41,IFERROR(SUMIF(INDIRECT("'"&amp;$G$41&amp;"'!$C$37:$C$52"),W70,INDIRECT("'"&amp;$G$41&amp;"'!$E$37:$E$52")),0))))</f>
        <v/>
      </c>
      <c r="AF70" s="135">
        <f>IF($G$42="",NA(),AF69+IF(W70&gt;'General Information'!$D$33,0,IF(W70=0,$J$42,IFERROR(SUMIF(INDIRECT("'"&amp;$G$42&amp;"'!$C$37:$C$52"),W70,INDIRECT("'"&amp;$G$42&amp;"'!$E$37:$E$52")),0))))</f>
        <v/>
      </c>
      <c r="AG70" s="152">
        <f>IF($G$39="",0,IF(W70&gt;'General Information'!$D$33,0,IFERROR(SUMIFS(INDIRECT("'"&amp;$G$39&amp;"'!$D$37:$D$52"),INDIRECT("'"&amp;$G$39&amp;"'!$C$37:$C$52"),W70,INDIRECT("'"&amp;$G$39&amp;"'!$B$37:$B$52"),"*Indirect*")/INDIRECT("'"&amp;$G$39&amp;"'!$F$2"),0)))</f>
        <v/>
      </c>
      <c r="AH70" s="152">
        <f>IF($G$40="",0,IF(W70&gt;'General Information'!$D$33,0,IFERROR(SUMIFS(INDIRECT("'"&amp;$G$40&amp;"'!$D$37:$D$52"),INDIRECT("'"&amp;$G$40&amp;"'!$C$37:$C$52"),W70,INDIRECT("'"&amp;$G$40&amp;"'!$B$37:$B$52"),"*Indirect*")/INDIRECT("'"&amp;$G$40&amp;"'!$F$2"),0)))</f>
        <v/>
      </c>
      <c r="AI70" s="152">
        <f>IF($G$41="",0,IF(W70&gt;'General Information'!$D$33,0,IFERROR(SUMIFS(INDIRECT("'"&amp;$G$41&amp;"'!$D$37:$D$52"),INDIRECT("'"&amp;$G$41&amp;"'!$C$37:$C$52"),W70,INDIRECT("'"&amp;$G$41&amp;"'!$B$37:$B$52"),"*Indirect*")/INDIRECT("'"&amp;$G$41&amp;"'!$F$2"),0)))</f>
        <v/>
      </c>
      <c r="AJ70" s="152">
        <f>IF($G$42="",0,IF(W70&gt;'General Information'!$D$33,0,IFERROR(SUMIFS(INDIRECT("'"&amp;$G$42&amp;"'!$D$37:$D$52"),INDIRECT("'"&amp;$G$42&amp;"'!$C$37:$C$52"),W70,INDIRECT("'"&amp;$G$42&amp;"'!$B$37:$B$52"),"*Indirect*")/INDIRECT("'"&amp;$G$42&amp;"'!$F$2"),0)))</f>
        <v/>
      </c>
    </row>
    <row r="71">
      <c r="W71" s="134" t="n">
        <v>30</v>
      </c>
      <c r="X71" s="134">
        <f>'General Information'!$D$25+W71</f>
        <v/>
      </c>
      <c r="Y71" s="135">
        <f>IF($G$39="",0,IF(W71&gt;'General Information'!$D$33,0,IF(W71=0,$J$39,IFERROR(SUMIF(INDIRECT("'"&amp;$G$39&amp;"'!$C$37:$C$52"),W71,INDIRECT("'"&amp;$G$39&amp;"'!$D$37:$D$52")),0))))</f>
        <v/>
      </c>
      <c r="Z71" s="135">
        <f>IF($G$40="",0,IF(W71&gt;'General Information'!$D$33,0,IF(W71=0,$J$40,IFERROR(SUMIF(INDIRECT("'"&amp;$G$40&amp;"'!$C$37:$C$52"),W71,INDIRECT("'"&amp;$G$40&amp;"'!$D$37:$D$52")),0))))</f>
        <v/>
      </c>
      <c r="AA71" s="135">
        <f>IF($G$41="",0,IF(W71&gt;'General Information'!$D$33,0,IF(W71=0,$J$41,IFERROR(SUMIF(INDIRECT("'"&amp;$G$41&amp;"'!$C$37:$C$52"),W71,INDIRECT("'"&amp;$G$41&amp;"'!$D$37:$D$52")),0))))</f>
        <v/>
      </c>
      <c r="AB71" s="135">
        <f>IF($G$42="",0,IF(W71&gt;'General Information'!$D$33,0,IF(W71=0,$J$42,IFERROR(SUMIF(INDIRECT("'"&amp;$G$42&amp;"'!$C$37:$C$52"),W71,INDIRECT("'"&amp;$G$42&amp;"'!$D$37:$D$52")),0))))</f>
        <v/>
      </c>
      <c r="AC71" s="135">
        <f>IF($G$39="",NA(),AC70+IF(W71&gt;'General Information'!$D$33,0,IF(W71=0,$J$39,IFERROR(SUMIF(INDIRECT("'"&amp;$G$39&amp;"'!$C$37:$C$52"),W71,INDIRECT("'"&amp;$G$39&amp;"'!$E$37:$E$52")),0))))</f>
        <v/>
      </c>
      <c r="AD71" s="135">
        <f>IF($G$40="",NA(),AD70+IF(W71&gt;'General Information'!$D$33,0,IF(W71=0,$J$40,IFERROR(SUMIF(INDIRECT("'"&amp;$G$40&amp;"'!$C$37:$C$52"),W71,INDIRECT("'"&amp;$G$40&amp;"'!$E$37:$E$52")),0))))</f>
        <v/>
      </c>
      <c r="AE71" s="135">
        <f>IF($G$41="",NA(),AE70+IF(W71&gt;'General Information'!$D$33,0,IF(W71=0,$J$41,IFERROR(SUMIF(INDIRECT("'"&amp;$G$41&amp;"'!$C$37:$C$52"),W71,INDIRECT("'"&amp;$G$41&amp;"'!$E$37:$E$52")),0))))</f>
        <v/>
      </c>
      <c r="AF71" s="135">
        <f>IF($G$42="",NA(),AF70+IF(W71&gt;'General Information'!$D$33,0,IF(W71=0,$J$42,IFERROR(SUMIF(INDIRECT("'"&amp;$G$42&amp;"'!$C$37:$C$52"),W71,INDIRECT("'"&amp;$G$42&amp;"'!$E$37:$E$52")),0))))</f>
        <v/>
      </c>
      <c r="AG71" s="152">
        <f>IF($G$39="",0,IF(W71&gt;'General Information'!$D$33,0,IFERROR(SUMIFS(INDIRECT("'"&amp;$G$39&amp;"'!$D$37:$D$52"),INDIRECT("'"&amp;$G$39&amp;"'!$C$37:$C$52"),W71,INDIRECT("'"&amp;$G$39&amp;"'!$B$37:$B$52"),"*Indirect*")/INDIRECT("'"&amp;$G$39&amp;"'!$F$2"),0)))</f>
        <v/>
      </c>
      <c r="AH71" s="152">
        <f>IF($G$40="",0,IF(W71&gt;'General Information'!$D$33,0,IFERROR(SUMIFS(INDIRECT("'"&amp;$G$40&amp;"'!$D$37:$D$52"),INDIRECT("'"&amp;$G$40&amp;"'!$C$37:$C$52"),W71,INDIRECT("'"&amp;$G$40&amp;"'!$B$37:$B$52"),"*Indirect*")/INDIRECT("'"&amp;$G$40&amp;"'!$F$2"),0)))</f>
        <v/>
      </c>
      <c r="AI71" s="152">
        <f>IF($G$41="",0,IF(W71&gt;'General Information'!$D$33,0,IFERROR(SUMIFS(INDIRECT("'"&amp;$G$41&amp;"'!$D$37:$D$52"),INDIRECT("'"&amp;$G$41&amp;"'!$C$37:$C$52"),W71,INDIRECT("'"&amp;$G$41&amp;"'!$B$37:$B$52"),"*Indirect*")/INDIRECT("'"&amp;$G$41&amp;"'!$F$2"),0)))</f>
        <v/>
      </c>
      <c r="AJ71" s="152">
        <f>IF($G$42="",0,IF(W71&gt;'General Information'!$D$33,0,IFERROR(SUMIFS(INDIRECT("'"&amp;$G$42&amp;"'!$D$37:$D$52"),INDIRECT("'"&amp;$G$42&amp;"'!$C$37:$C$52"),W71,INDIRECT("'"&amp;$G$42&amp;"'!$B$37:$B$52"),"*Indirect*")/INDIRECT("'"&amp;$G$42&amp;"'!$F$2"),0)))</f>
        <v/>
      </c>
    </row>
    <row r="72">
      <c r="G7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73"/>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IF($G$39="",0,IFERROR(J58,0))</f>
        <v/>
      </c>
      <c r="Y76" s="153">
        <f>IF($G$40="",0,IFERROR(J59,0))</f>
        <v/>
      </c>
      <c r="Z76" s="153">
        <f>IF($G$41="",0,IFERROR(J60,0))</f>
        <v/>
      </c>
      <c r="AA76" s="153">
        <f>IF($G$42="",0,IFERROR(J61,0))</f>
        <v/>
      </c>
    </row>
    <row r="77">
      <c r="W77" s="134" t="inlineStr">
        <is>
          <t>Aggregate base</t>
        </is>
      </c>
      <c r="X77" s="153">
        <f>IF($G$39="",0,IFERROR(I58,0))</f>
        <v/>
      </c>
      <c r="Y77" s="153">
        <f>IF($G$40="",0,IFERROR(I59,0))</f>
        <v/>
      </c>
      <c r="Z77" s="153">
        <f>IF($G$41="",0,IFERROR(I60,0))</f>
        <v/>
      </c>
      <c r="AA77" s="153">
        <f>IF($G$42="",0,IFERROR(I61,0))</f>
        <v/>
      </c>
    </row>
    <row r="78">
      <c r="W78" s="134" t="inlineStr">
        <is>
          <t>Asphalt</t>
        </is>
      </c>
      <c r="X78" s="153">
        <f>IF($G$39="",0,IFERROR(IF(SUMIFS(INDIRECT("'"&amp;$G$39&amp;"'!$E$13:$E$22"),INDIRECT("'"&amp;$G$39&amp;"'!$D$13:$D$22"),"TON")&gt;0,H58,0),0))</f>
        <v/>
      </c>
      <c r="Y78" s="153">
        <f>IF($G$40="",0,IFERROR(IF(SUMIFS(INDIRECT("'"&amp;$G$40&amp;"'!$E$13:$E$22"),INDIRECT("'"&amp;$G$40&amp;"'!$D$13:$D$22"),"TON")&gt;0,H59,0),0))</f>
        <v/>
      </c>
      <c r="Z78" s="153">
        <f>IF($G$41="",0,IFERROR(IF(SUMIFS(INDIRECT("'"&amp;$G$41&amp;"'!$E$13:$E$22"),INDIRECT("'"&amp;$G$41&amp;"'!$D$13:$D$22"),"TON")&gt;0,H60,0),0))</f>
        <v/>
      </c>
      <c r="AA78" s="153">
        <f>IF($G$42="",0,IFERROR(IF(SUMIFS(INDIRECT("'"&amp;$G$42&amp;"'!$E$13:$E$22"),INDIRECT("'"&amp;$G$42&amp;"'!$D$13:$D$22"),"TON")&gt;0,H61,0),0))</f>
        <v/>
      </c>
    </row>
    <row r="79">
      <c r="W79" s="134" t="inlineStr">
        <is>
          <t>Concrete</t>
        </is>
      </c>
      <c r="X79" s="153">
        <f>IF($G$39="",0,IFERROR(IF(SUMIFS(INDIRECT("'"&amp;$G$39&amp;"'!$E$13:$E$22"),INDIRECT("'"&amp;$G$39&amp;"'!$D$13:$D$22"),"TON")&gt;0,0,H58),0))</f>
        <v/>
      </c>
      <c r="Y79" s="153">
        <f>IF($G$40="",0,IFERROR(IF(SUMIFS(INDIRECT("'"&amp;$G$40&amp;"'!$E$13:$E$22"),INDIRECT("'"&amp;$G$40&amp;"'!$D$13:$D$22"),"TON")&gt;0,0,H59),0))</f>
        <v/>
      </c>
      <c r="Z79" s="153">
        <f>IF($G$41="",0,IFERROR(IF(SUMIFS(INDIRECT("'"&amp;$G$41&amp;"'!$E$13:$E$22"),INDIRECT("'"&amp;$G$41&amp;"'!$D$13:$D$22"),"TON")&gt;0,0,H60),0))</f>
        <v/>
      </c>
      <c r="AA79" s="153">
        <f>IF($G$42="",0,IFERROR(IF(SUMIFS(INDIRECT("'"&amp;$G$42&amp;"'!$E$13:$E$22"),INDIRECT("'"&amp;$G$42&amp;"'!$D$13:$D$22"),"TON")&gt;0,0,H61),0))</f>
        <v/>
      </c>
    </row>
    <row r="80"/>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row r="88"/>
    <row r="89">
      <c r="W89" s="122" t="inlineStr">
        <is>
          <t>UNIT COST ($/S.Y.) against published Tennessee runway work (Typical Values, unit costs)</t>
        </is>
      </c>
    </row>
    <row r="90">
      <c r="W90" s="124" t="inlineStr">
        <is>
          <t>Series</t>
        </is>
      </c>
      <c r="X90" s="124">
        <f>IF(X$4="","",X$4)</f>
        <v/>
      </c>
      <c r="Y90" s="124">
        <f>IF(Y$4="","",Y$4)</f>
        <v/>
      </c>
      <c r="Z90" s="124">
        <f>IF(Z$4="","",Z$4)</f>
        <v/>
      </c>
      <c r="AA90" s="124">
        <f>IF(AA$4="","",AA$4)</f>
        <v/>
      </c>
      <c r="AB90" s="124" t="inlineStr">
        <is>
          <t>TN 2024-25, all-in</t>
        </is>
      </c>
    </row>
    <row r="91">
      <c r="W91" s="134" t="inlineStr">
        <is>
          <t>Below the published range</t>
        </is>
      </c>
      <c r="X91" s="154" t="n">
        <v>0</v>
      </c>
      <c r="Y91" s="154" t="n">
        <v>0</v>
      </c>
      <c r="Z91" s="154" t="n">
        <v>0</v>
      </c>
      <c r="AA91" s="154" t="n">
        <v>0</v>
      </c>
      <c r="AB91" s="154" t="n">
        <v>210</v>
      </c>
    </row>
    <row r="92">
      <c r="W92" s="134" t="inlineStr">
        <is>
          <t>Unit cost / published range</t>
        </is>
      </c>
      <c r="X92" s="154">
        <f>IFERROR(IF($G$39="",0,$J$39/'General Information'!$D$26),0)</f>
        <v/>
      </c>
      <c r="Y92" s="154">
        <f>IFERROR(IF($G$40="",0,$J$40/'General Information'!$D$26),0)</f>
        <v/>
      </c>
      <c r="Z92" s="154">
        <f>IFERROR(IF($G$41="",0,$J$41/'General Information'!$D$26),0)</f>
        <v/>
      </c>
      <c r="AA92" s="154">
        <f>IFERROR(IF($G$42="",0,$J$42/'General Information'!$D$26),0)</f>
        <v/>
      </c>
      <c r="AB92" s="154" t="n">
        <v>70</v>
      </c>
    </row>
    <row r="93"/>
    <row r="94"/>
    <row r="95"/>
    <row r="96"/>
    <row r="97"/>
    <row r="98"/>
    <row r="99"/>
    <row r="100"/>
    <row r="101"/>
    <row r="102"/>
    <row r="103"/>
    <row r="104"/>
    <row r="105"/>
    <row r="106"/>
    <row r="107"/>
    <row r="108"/>
    <row r="109"/>
    <row r="110"/>
    <row r="111"/>
    <row r="112"/>
    <row r="113"/>
    <row r="114"/>
    <row r="115"/>
    <row r="116"/>
    <row r="117"/>
    <row r="118"/>
    <row r="119"/>
    <row r="120"/>
    <row r="122"/>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32">
    <mergeCell ref="G30:R30"/>
    <mergeCell ref="G37:R37"/>
    <mergeCell ref="G66:R66"/>
    <mergeCell ref="G67:R67"/>
    <mergeCell ref="G68:R68"/>
    <mergeCell ref="G3:H3"/>
    <mergeCell ref="I3:J3"/>
    <mergeCell ref="K3:L3"/>
    <mergeCell ref="M3:N3"/>
    <mergeCell ref="O3:P3"/>
    <mergeCell ref="Q3:R3"/>
    <mergeCell ref="G4:H4"/>
    <mergeCell ref="I4:J4"/>
    <mergeCell ref="K4:L4"/>
    <mergeCell ref="M4:N4"/>
    <mergeCell ref="O4:P4"/>
    <mergeCell ref="Q4:R4"/>
    <mergeCell ref="G5:H5"/>
    <mergeCell ref="I5:J5"/>
    <mergeCell ref="K5:L5"/>
    <mergeCell ref="M5:N5"/>
    <mergeCell ref="O5:P5"/>
    <mergeCell ref="Q5:R5"/>
    <mergeCell ref="G2:R2"/>
    <mergeCell ref="G6:R6"/>
    <mergeCell ref="P7:R7"/>
    <mergeCell ref="Q13:R13"/>
    <mergeCell ref="Q14:R14"/>
    <mergeCell ref="Q15:R15"/>
    <mergeCell ref="Q16:R16"/>
    <mergeCell ref="Q17:R17"/>
    <mergeCell ref="Q18:R18"/>
  </mergeCells>
  <conditionalFormatting sqref="O39:O42">
    <cfRule type="dataBar" priority="1">
      <dataBar showValue="1">
        <cfvo type="num" val="0"/>
        <cfvo type="max"/>
        <color rgb="FFBBD4EE"/>
      </dataBar>
    </cfRule>
  </conditionalFormatting>
  <conditionalFormatting sqref="I3:J5">
    <cfRule type="expression" priority="2" dxfId="27" stopIfTrue="0">
      <formula>AND(COUNT($O$39:$O$42)&gt;1,(SMALL($O$39:$O$42,2)-MIN($O$39:$O$42))/MIN($O$39:$O$42)&lt;0.05)</formula>
    </cfRule>
  </conditionalFormatting>
  <conditionalFormatting sqref="Q4">
    <cfRule type="expression" priority="3" dxfId="28" stopIfTrue="1">
      <formula>AND(COUNT($O$39:$O$42)&gt;1,COUNTIF($AB$12:$AB$36,INDEX($H$39:$H$42,MATCH(MIN($O$39:$O$42),$O$39:$O$42,0)))=25)</formula>
    </cfRule>
    <cfRule type="expression" priority="4" dxfId="27" stopIfTrue="0">
      <formula>AND(COUNT($O$39:$O$42)&gt;1,NOT(COUNTIF($AB$12:$AB$36,INDEX($H$39:$H$42,MATCH(MIN($O$39:$O$42),$O$39:$O$42,0)))=25))</formula>
    </cfRule>
  </conditionalFormatting>
  <conditionalFormatting sqref="G39:R42">
    <cfRule type="expression" priority="5" dxfId="29" stopIfTrue="0">
      <formula>AND($G39&lt;&gt;"",COUNT($O$39:$O$42)&gt;0,$O39=MIN($O$39:$O$42))</formula>
    </cfRule>
  </conditionalFormatting>
  <conditionalFormatting sqref="G49:P52">
    <cfRule type="expression" priority="6" dxfId="29" stopIfTrue="0">
      <formula>AND($G49&lt;&gt;"",COUNT($L$49:$L$52)&gt;0,$L49=MIN($L$49:$L$52))</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showGridLines="0">
      <pane ySplit="3" topLeftCell="A4" activePane="bottomLeft" state="frozen"/>
      <selection pane="bottomLeft" activeCell="A1" sqref="A1"/>
    </sheetView>
  </sheetViews>
  <sheetFormatPr baseColWidth="8" defaultRowHeight="15"/>
  <cols>
    <col min="1" max="1" width="38" customWidth="1"/>
    <col min="2" max="2" width="20" customWidth="1"/>
    <col min="3" max="3" width="16" customWidth="1"/>
    <col min="4" max="4" width="26" customWidth="1"/>
    <col min="5" max="5" width="10" customWidth="1"/>
    <col min="6" max="6" width="32" customWidth="1"/>
    <col min="7" max="7" width="34" customWidth="1"/>
    <col min="8" max="16384" width="8.7109375"/>
  </cols>
  <sheetData>
    <row r="1" ht="40" customHeight="1">
      <c r="A1" s="158">
        <f>HYPERLINK("#'General Information'!D9","◄ General Information")</f>
        <v/>
      </c>
      <c r="B1" s="159">
        <f>HYPERLINK("#Summary!G1","Summary")</f>
        <v/>
      </c>
      <c r="C1" s="215" t="inlineStr">
        <is>
          <t xml:space="preserve">Typical Values</t>
        </is>
      </c>
      <c r="D1" s="214" t="inlineStr">
        <is>
          <t xml:space="preserve">reference   ·   what a reasonable number looks like, with its source</t>
        </is>
      </c>
    </row>
    <row r="2" ht="32" customHeight="1">
      <c r="A2" s="261" t="inlineStr">
        <is>
          <t xml:space="preserve">Reference only: nothing here feeds the calculation. Six sourced sections, covering the system, runway geometry, unit costs, closure days, the economic parameters and the timing of each treatment.</t>
        </is>
      </c>
      <c r="B2" s="262"/>
      <c r="C2" s="262"/>
      <c r="D2" s="262"/>
      <c r="E2" s="262"/>
      <c r="F2" s="262"/>
      <c r="G2" s="262"/>
    </row>
    <row r="3" ht="6" customHeight="1"/>
    <row r="4" ht="26" customHeight="1">
      <c r="A4" s="307"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c r="B4" s="307"/>
      <c r="C4" s="307"/>
      <c r="D4" s="307"/>
      <c r="E4" s="307"/>
      <c r="F4" s="307"/>
      <c r="G4" s="307"/>
    </row>
    <row r="6" ht="22" customHeight="1">
      <c r="A6" s="304" t="inlineStr">
        <is>
          <t>1. What TDOT Aeronautics manages (context for project size)</t>
        </is>
      </c>
      <c r="B6" s="305" t="n"/>
      <c r="C6" s="305" t="n"/>
      <c r="D6" s="305" t="n"/>
      <c r="E6" s="305" t="n"/>
      <c r="F6" s="305" t="n"/>
      <c r="G6" s="305" t="n"/>
    </row>
    <row r="7" ht="24" customHeight="1">
      <c r="A7" s="306" t="inlineStr">
        <is>
          <t>Item</t>
        </is>
      </c>
      <c r="B7" s="306" t="inlineStr">
        <is>
          <t>Value</t>
        </is>
      </c>
      <c r="C7" s="306" t="inlineStr">
        <is>
          <t>Unit</t>
        </is>
      </c>
      <c r="D7" s="306" t="inlineStr">
        <is>
          <t>Year</t>
        </is>
      </c>
      <c r="E7" s="306" t="inlineStr"/>
      <c r="F7" s="306" t="inlineStr"/>
      <c r="G7" s="306"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307" t="inlineStr">
        <is>
          <t>The workbook dropdown holds the TASP airports (count in the live section below). The 17 airports with revenue data are those meeting Aeronautics' activity criteria.</t>
        </is>
      </c>
      <c r="B19" s="307"/>
      <c r="C19" s="307"/>
      <c r="D19" s="307"/>
      <c r="E19" s="307"/>
      <c r="F19" s="307"/>
      <c r="G19" s="307"/>
    </row>
    <row r="21" ht="22" customHeight="1">
      <c r="A21" s="304" t="inlineStr">
        <is>
          <t>2. Typical runway geometry at Tennessee GA airports (for D26 mainline area and D28 markings)</t>
        </is>
      </c>
      <c r="B21" s="305" t="n"/>
      <c r="C21" s="305" t="n"/>
      <c r="D21" s="305" t="n"/>
      <c r="E21" s="305" t="n"/>
      <c r="F21" s="305" t="n"/>
      <c r="G21" s="305" t="n"/>
    </row>
    <row r="22" ht="24" customHeight="1">
      <c r="A22" s="306" t="inlineStr">
        <is>
          <t>Airport</t>
        </is>
      </c>
      <c r="B22" s="306" t="inlineStr">
        <is>
          <t>Runway</t>
        </is>
      </c>
      <c r="C22" s="306" t="inlineStr">
        <is>
          <t>Length x width (ft)</t>
        </is>
      </c>
      <c r="D22" s="306" t="inlineStr">
        <is>
          <t>Mainline area (SY)</t>
        </is>
      </c>
      <c r="E22" s="306" t="inlineStr">
        <is>
          <t>Role</t>
        </is>
      </c>
      <c r="F22" s="306" t="inlineStr">
        <is>
          <t>Note</t>
        </is>
      </c>
      <c r="G22" s="306"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307" t="inlineStr">
        <is>
          <t>Mainline area = length x width / 9. Shoulders (D27) are usually unpaved at TN GA airports; enter paved shoulders only. Area drives the closure-day defaults on the alternative sheets.</t>
        </is>
      </c>
      <c r="B32" s="307"/>
      <c r="C32" s="307"/>
      <c r="D32" s="307"/>
      <c r="E32" s="307"/>
      <c r="F32" s="307"/>
      <c r="G32" s="307"/>
    </row>
    <row r="34" ht="22" customHeight="1">
      <c r="A34" s="304" t="inlineStr">
        <is>
          <t>3. Unit costs: workbook defaults (Pay_Items, column F) against recent bids</t>
        </is>
      </c>
      <c r="B34" s="305" t="n"/>
      <c r="C34" s="305" t="n"/>
      <c r="D34" s="305" t="n"/>
      <c r="E34" s="305" t="n"/>
      <c r="F34" s="305" t="n"/>
      <c r="G34" s="305" t="n"/>
    </row>
    <row r="35" ht="24" customHeight="1">
      <c r="A35" s="306" t="inlineStr">
        <is>
          <t>Pay item</t>
        </is>
      </c>
      <c r="B35" s="306" t="inlineStr">
        <is>
          <t>Workbook default (live)</t>
        </is>
      </c>
      <c r="C35" s="306" t="inlineStr">
        <is>
          <t>Unit</t>
        </is>
      </c>
      <c r="D35" s="306" t="inlineStr">
        <is>
          <t>Recent bid range</t>
        </is>
      </c>
      <c r="E35" s="306" t="inlineStr">
        <is>
          <t>Year</t>
        </is>
      </c>
      <c r="F35" s="306" t="inlineStr">
        <is>
          <t>Reading</t>
        </is>
      </c>
      <c r="G35" s="306"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307"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c r="B46" s="307"/>
      <c r="C46" s="307"/>
      <c r="D46" s="307"/>
      <c r="E46" s="307"/>
      <c r="F46" s="307"/>
      <c r="G46" s="307"/>
    </row>
    <row r="48" ht="22" customHeight="1">
      <c r="A48" s="304" t="inlineStr">
        <is>
          <t>4. Closure-day defaults built into the alternative sheets (cells F4:F10; override with project-specific values)</t>
        </is>
      </c>
      <c r="B48" s="305" t="n"/>
      <c r="C48" s="305" t="n"/>
      <c r="D48" s="305" t="n"/>
      <c r="E48" s="305" t="n"/>
      <c r="F48" s="305" t="n"/>
      <c r="G48" s="305" t="n"/>
    </row>
    <row r="49" ht="24" customHeight="1">
      <c r="A49" s="306" t="inlineStr">
        <is>
          <t>Operation</t>
        </is>
      </c>
      <c r="B49" s="306" t="inlineStr">
        <is>
          <t>Production rate in the formula</t>
        </is>
      </c>
      <c r="C49" s="306" t="inlineStr">
        <is>
          <t>Days for a 6,000 x 100 ft runway (66,667 SY, 15,000 SF markings)</t>
        </is>
      </c>
      <c r="D49" s="306" t="inlineStr">
        <is>
          <t>Where used</t>
        </is>
      </c>
      <c r="E49" s="306" t="inlineStr">
        <is>
          <t>Note</t>
        </is>
      </c>
      <c r="F49" s="306" t="inlineStr"/>
      <c r="G49" s="306"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307"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c r="B59" s="307"/>
      <c r="C59" s="307"/>
      <c r="D59" s="307"/>
      <c r="E59" s="307"/>
      <c r="F59" s="307"/>
      <c r="G59" s="307"/>
    </row>
    <row r="61" ht="22" customHeight="1">
      <c r="A61" s="304" t="inlineStr">
        <is>
          <t>5. Economic parameters (D33 analysis period, D34 discount rate, salvage)</t>
        </is>
      </c>
      <c r="B61" s="305" t="n"/>
      <c r="C61" s="305" t="n"/>
      <c r="D61" s="305" t="n"/>
      <c r="E61" s="305" t="n"/>
      <c r="F61" s="305" t="n"/>
      <c r="G61" s="305" t="n"/>
    </row>
    <row r="62" ht="24" customHeight="1">
      <c r="A62" s="306" t="inlineStr">
        <is>
          <t>Parameter</t>
        </is>
      </c>
      <c r="B62" s="306" t="inlineStr">
        <is>
          <t>Value</t>
        </is>
      </c>
      <c r="C62" s="306" t="inlineStr">
        <is>
          <t>Applies to</t>
        </is>
      </c>
      <c r="D62" s="306" t="inlineStr">
        <is>
          <t>Year</t>
        </is>
      </c>
      <c r="E62" s="306" t="inlineStr"/>
      <c r="F62" s="306" t="inlineStr">
        <is>
          <t>Reading</t>
        </is>
      </c>
      <c r="G62" s="306"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307" t="inlineStr">
        <is>
          <t>The Summary sensitivity chart runs 2% to 8% so both the current FAA rate (about 2%) and the legacy 7% are on the curve. G10 on the Summary states whether the lowest-cost alternative changes at either rate.</t>
        </is>
      </c>
      <c r="B75" s="307"/>
      <c r="C75" s="307"/>
      <c r="D75" s="307"/>
      <c r="E75" s="307"/>
      <c r="F75" s="307"/>
      <c r="G75" s="307"/>
    </row>
    <row r="77" ht="22" customHeight="1">
      <c r="A77" s="304" t="inlineStr">
        <is>
          <t>6. Maintenance timing and service life (Maintenance Policies sheet against published experience)</t>
        </is>
      </c>
      <c r="B77" s="305" t="n"/>
      <c r="C77" s="305" t="n"/>
      <c r="D77" s="305" t="n"/>
      <c r="E77" s="305" t="n"/>
      <c r="F77" s="305" t="n"/>
      <c r="G77" s="305" t="n"/>
    </row>
    <row r="78" ht="24" customHeight="1">
      <c r="A78" s="306" t="inlineStr">
        <is>
          <t>Item</t>
        </is>
      </c>
      <c r="B78" s="306" t="inlineStr">
        <is>
          <t>Workbook policy (live)</t>
        </is>
      </c>
      <c r="C78" s="306" t="inlineStr">
        <is>
          <t>Published range</t>
        </is>
      </c>
      <c r="D78" s="306" t="inlineStr">
        <is>
          <t>Year</t>
        </is>
      </c>
      <c r="E78" s="306" t="inlineStr"/>
      <c r="F78" s="306" t="inlineStr">
        <is>
          <t>Reading</t>
        </is>
      </c>
      <c r="G78" s="306"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307"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c r="B87" s="307"/>
      <c r="C87" s="307"/>
      <c r="D87" s="307"/>
      <c r="E87" s="307"/>
      <c r="F87" s="307"/>
      <c r="G87" s="307"/>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307" t="inlineStr">
        <is>
          <t>Same SUMIF chain as General Information D39: text entries in RevenueData (" $-   ", " NA ", descriptions on XNX and M54) count as zero. 7 days is a typical surface-treatment closure and 19 days a mill-and-overlay closure for a 6,000 x 100 ft runway (see production rates).</t>
        </is>
      </c>
      <c r="B108" s="307"/>
      <c r="C108" s="307"/>
      <c r="D108" s="307"/>
      <c r="E108" s="307"/>
      <c r="F108" s="307"/>
      <c r="G108" s="307"/>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9">
    <mergeCell ref="A32:G32"/>
    <mergeCell ref="A87:G87"/>
    <mergeCell ref="A4:G4"/>
    <mergeCell ref="A75:G75"/>
    <mergeCell ref="A59:G59"/>
    <mergeCell ref="A19:G19"/>
    <mergeCell ref="A108:G108"/>
    <mergeCell ref="A46:G46"/>
    <mergeCell ref="A2:G2"/>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showGridLines="0">
      <pane ySplit="3" topLeftCell="A4" activePane="bottomLeft" state="frozen"/>
      <selection pane="bottomLeft" activeCell="A1" sqref="A1"/>
    </sheetView>
  </sheetViews>
  <sheetFormatPr baseColWidth="8" defaultRowHeight="15"/>
  <cols>
    <col min="1" max="1" width="30" customWidth="1"/>
    <col min="2" max="2" width="22" customWidth="1"/>
    <col min="3" max="3" width="46" customWidth="1"/>
    <col min="4" max="4" width="52" customWidth="1"/>
    <col min="5" max="5" width="26" customWidth="1"/>
    <col min="6" max="16384" width="8.7109375"/>
  </cols>
  <sheetData>
    <row r="1" ht="40" customHeight="1">
      <c r="A1" s="172">
        <f>HYPERLINK("#'General Information'!D9","◄ General Information")</f>
        <v/>
      </c>
      <c r="B1" s="173">
        <f>HYPERLINK("#Summary!G1","Summary")</f>
        <v/>
      </c>
      <c r="C1" s="215" t="inlineStr">
        <is>
          <t xml:space="preserve">Method</t>
        </is>
      </c>
      <c r="D1" s="214" t="inlineStr">
        <is>
          <t xml:space="preserve">reference   ·   every formula as it stands in the sheet, and why</t>
        </is>
      </c>
    </row>
    <row r="2" ht="32" customHeight="1">
      <c r="A2" s="261" t="inlineStr">
        <is>
          <t xml:space="preserve">Reference only: nothing here feeds the calculation. Eleven sections, each row giving the cell a formula lives in, the formula itself, what it means and the rule it comes from.</t>
        </is>
      </c>
      <c r="B2" s="262"/>
      <c r="C2" s="262"/>
      <c r="D2" s="262"/>
      <c r="E2" s="262"/>
    </row>
    <row r="3" ht="6" customHeight="1"/>
    <row r="4" ht="26" customHeight="1">
      <c r="A4" s="30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c r="B4" s="307"/>
      <c r="C4" s="307"/>
      <c r="D4" s="307"/>
      <c r="E4" s="307"/>
    </row>
    <row r="5" ht="22" customHeight="1">
      <c r="A5" s="303" t="inlineStr">
        <is>
          <t xml:space="preserve">Quantity × unit cost   ›   + mobilization &amp; engineering   ›   policy year for each event   ›   + closure days × daily revenue   ›   − salvage   ›   discount to today = net present worth</t>
        </is>
      </c>
      <c r="B5" s="303"/>
      <c r="C5" s="303"/>
      <c r="D5" s="303"/>
      <c r="E5" s="303"/>
    </row>
    <row r="6" ht="22" customHeight="1">
      <c r="A6" s="304" t="inlineStr">
        <is>
          <t>1. The answer the workbook produces</t>
        </is>
      </c>
      <c r="B6" s="305" t="n"/>
      <c r="C6" s="305" t="n"/>
      <c r="D6" s="305" t="n"/>
      <c r="E6" s="305" t="n"/>
    </row>
    <row r="7" ht="24" customHeight="1">
      <c r="A7" s="306" t="inlineStr">
        <is>
          <t>Step / quantity</t>
        </is>
      </c>
      <c r="B7" s="306" t="inlineStr">
        <is>
          <t>Where it lives</t>
        </is>
      </c>
      <c r="C7" s="306" t="inlineStr">
        <is>
          <t>Formula as it stands</t>
        </is>
      </c>
      <c r="D7" s="306" t="inlineStr">
        <is>
          <t>What it means</t>
        </is>
      </c>
      <c r="E7" s="306"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307" t="inlineStr">
        <is>
          <t>Read the steps below in order: they follow the money from the quantities you type to the NPW.</t>
        </is>
      </c>
      <c r="B11" s="307"/>
      <c r="C11" s="307"/>
      <c r="D11" s="307"/>
      <c r="E11" s="307"/>
    </row>
    <row r="13" ht="22" customHeight="1">
      <c r="A13" s="304" t="inlineStr">
        <is>
          <t>2. Step 1: initial construction cost</t>
        </is>
      </c>
      <c r="B13" s="305" t="n"/>
      <c r="C13" s="305" t="n"/>
      <c r="D13" s="305" t="n"/>
      <c r="E13" s="305" t="n"/>
    </row>
    <row r="14" ht="24" customHeight="1">
      <c r="A14" s="306" t="inlineStr">
        <is>
          <t>Step / quantity</t>
        </is>
      </c>
      <c r="B14" s="306" t="inlineStr">
        <is>
          <t>Where it lives</t>
        </is>
      </c>
      <c r="C14" s="306" t="inlineStr">
        <is>
          <t>Formula as it stands</t>
        </is>
      </c>
      <c r="D14" s="306" t="inlineStr">
        <is>
          <t>What it means</t>
        </is>
      </c>
      <c r="E14" s="306"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ht="22" customHeight="1">
      <c r="A23" s="304" t="inlineStr">
        <is>
          <t>3. Step 2: when the later work happens</t>
        </is>
      </c>
      <c r="B23" s="305" t="n"/>
      <c r="C23" s="305" t="n"/>
      <c r="D23" s="305" t="n"/>
      <c r="E23" s="305" t="n"/>
    </row>
    <row r="24" ht="24" customHeight="1">
      <c r="A24" s="306" t="inlineStr">
        <is>
          <t>Step / quantity</t>
        </is>
      </c>
      <c r="B24" s="306" t="inlineStr">
        <is>
          <t>Where it lives</t>
        </is>
      </c>
      <c r="C24" s="306" t="inlineStr">
        <is>
          <t>Formula as it stands</t>
        </is>
      </c>
      <c r="D24" s="306" t="inlineStr">
        <is>
          <t>What it means</t>
        </is>
      </c>
      <c r="E24" s="306"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307" t="inlineStr">
        <is>
          <t>Changing a policy year on Maintenance Policies moves the event everywhere: the cost, the chart and the closure.</t>
        </is>
      </c>
      <c r="B28" s="307"/>
      <c r="C28" s="307"/>
      <c r="D28" s="307"/>
      <c r="E28" s="307"/>
    </row>
    <row r="30" ht="22" customHeight="1">
      <c r="A30" s="304" t="inlineStr">
        <is>
          <t>4. Step 3: what each maintenance and rehabilitation event costs</t>
        </is>
      </c>
      <c r="B30" s="305" t="n"/>
      <c r="C30" s="305" t="n"/>
      <c r="D30" s="305" t="n"/>
      <c r="E30" s="305" t="n"/>
    </row>
    <row r="31" ht="24" customHeight="1">
      <c r="A31" s="306" t="inlineStr">
        <is>
          <t>Step / quantity</t>
        </is>
      </c>
      <c r="B31" s="306" t="inlineStr">
        <is>
          <t>Where it lives</t>
        </is>
      </c>
      <c r="C31" s="306" t="inlineStr">
        <is>
          <t>Formula as it stands</t>
        </is>
      </c>
      <c r="D31" s="306" t="inlineStr">
        <is>
          <t>What it means</t>
        </is>
      </c>
      <c r="E31" s="306"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307" t="inlineStr">
        <is>
          <t>The quantities of later work are computed from the policy rates and the project area. They are not typed anywhere.</t>
        </is>
      </c>
      <c r="B39" s="307"/>
      <c r="C39" s="307"/>
      <c r="D39" s="307"/>
      <c r="E39" s="307"/>
    </row>
    <row r="41" ht="22" customHeight="1">
      <c r="A41" s="304" t="inlineStr">
        <is>
          <t>5. Step 4: how long the runway closes</t>
        </is>
      </c>
      <c r="B41" s="305" t="n"/>
      <c r="C41" s="305" t="n"/>
      <c r="D41" s="305" t="n"/>
      <c r="E41" s="305" t="n"/>
    </row>
    <row r="42" ht="24" customHeight="1">
      <c r="A42" s="306" t="inlineStr">
        <is>
          <t>Step / quantity</t>
        </is>
      </c>
      <c r="B42" s="306" t="inlineStr">
        <is>
          <t>Where it lives</t>
        </is>
      </c>
      <c r="C42" s="306" t="inlineStr">
        <is>
          <t>Formula as it stands</t>
        </is>
      </c>
      <c r="D42" s="306" t="inlineStr">
        <is>
          <t>What it means</t>
        </is>
      </c>
      <c r="E42" s="306"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307" t="inlineStr">
        <is>
          <t>Closure days matter only when lost revenue is switched on, but they are always reported on the Summary.</t>
        </is>
      </c>
      <c r="B48" s="307"/>
      <c r="C48" s="307"/>
      <c r="D48" s="307"/>
      <c r="E48" s="307"/>
    </row>
    <row r="50" ht="22" customHeight="1">
      <c r="A50" s="304" t="inlineStr">
        <is>
          <t>6. Step 5: lost airport revenue (the "indirect cost")</t>
        </is>
      </c>
      <c r="B50" s="305" t="n"/>
      <c r="C50" s="305" t="n"/>
      <c r="D50" s="305" t="n"/>
      <c r="E50" s="305" t="n"/>
    </row>
    <row r="51" ht="24" customHeight="1">
      <c r="A51" s="306" t="inlineStr">
        <is>
          <t>Step / quantity</t>
        </is>
      </c>
      <c r="B51" s="306" t="inlineStr">
        <is>
          <t>Where it lives</t>
        </is>
      </c>
      <c r="C51" s="306" t="inlineStr">
        <is>
          <t>Formula as it stands</t>
        </is>
      </c>
      <c r="D51" s="306" t="inlineStr">
        <is>
          <t>What it means</t>
        </is>
      </c>
      <c r="E51" s="306"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307" t="inlineStr">
        <is>
          <t>This is the airport-side counterpart of the road user delay cost in the Caltrans and FHWA RealCost method.</t>
        </is>
      </c>
      <c r="B56" s="307"/>
      <c r="C56" s="307"/>
      <c r="D56" s="307"/>
      <c r="E56" s="307"/>
    </row>
    <row r="58" ht="22" customHeight="1">
      <c r="A58" s="304" t="inlineStr">
        <is>
          <t>7. Step 6: salvage value</t>
        </is>
      </c>
      <c r="B58" s="305" t="n"/>
      <c r="C58" s="305" t="n"/>
      <c r="D58" s="305" t="n"/>
      <c r="E58" s="305" t="n"/>
    </row>
    <row r="59" ht="24" customHeight="1">
      <c r="A59" s="306" t="inlineStr">
        <is>
          <t>Step / quantity</t>
        </is>
      </c>
      <c r="B59" s="306" t="inlineStr">
        <is>
          <t>Where it lives</t>
        </is>
      </c>
      <c r="C59" s="306" t="inlineStr">
        <is>
          <t>Formula as it stands</t>
        </is>
      </c>
      <c r="D59" s="306" t="inlineStr">
        <is>
          <t>What it means</t>
        </is>
      </c>
      <c r="E59" s="306"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307" t="inlineStr">
        <is>
          <t>The two rules are not symmetric: concrete recovers a share of everything spent up front, asphalt a share of one rehabilitation. See section 11.</t>
        </is>
      </c>
      <c r="B66" s="307"/>
      <c r="C66" s="307"/>
      <c r="D66" s="307"/>
      <c r="E66" s="307"/>
    </row>
    <row r="68" ht="22" customHeight="1">
      <c r="A68" s="304" t="inlineStr">
        <is>
          <t>8. Step 7: discounting and the total</t>
        </is>
      </c>
      <c r="B68" s="305" t="n"/>
      <c r="C68" s="305" t="n"/>
      <c r="D68" s="305" t="n"/>
      <c r="E68" s="305" t="n"/>
    </row>
    <row r="69" ht="24" customHeight="1">
      <c r="A69" s="306" t="inlineStr">
        <is>
          <t>Step / quantity</t>
        </is>
      </c>
      <c r="B69" s="306" t="inlineStr">
        <is>
          <t>Where it lives</t>
        </is>
      </c>
      <c r="C69" s="306" t="inlineStr">
        <is>
          <t>Formula as it stands</t>
        </is>
      </c>
      <c r="D69" s="306" t="inlineStr">
        <is>
          <t>What it means</t>
        </is>
      </c>
      <c r="E69" s="306"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ht="22" customHeight="1">
      <c r="A75" s="304" t="inlineStr">
        <is>
          <t>9. What the Summary adds on top</t>
        </is>
      </c>
      <c r="B75" s="305" t="n"/>
      <c r="C75" s="305" t="n"/>
      <c r="D75" s="305" t="n"/>
      <c r="E75" s="305" t="n"/>
    </row>
    <row r="76" ht="24" customHeight="1">
      <c r="A76" s="306" t="inlineStr">
        <is>
          <t>Step / quantity</t>
        </is>
      </c>
      <c r="B76" s="306" t="inlineStr">
        <is>
          <t>Where it lives</t>
        </is>
      </c>
      <c r="C76" s="306" t="inlineStr">
        <is>
          <t>Formula as it stands</t>
        </is>
      </c>
      <c r="D76" s="306" t="inlineStr">
        <is>
          <t>What it means</t>
        </is>
      </c>
      <c r="E76" s="306"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ht="22" customHeight="1">
      <c r="A85" s="304" t="inlineStr">
        <is>
          <t>10. Current settings in this file (live)</t>
        </is>
      </c>
      <c r="B85" s="305" t="n"/>
      <c r="C85" s="305" t="n"/>
      <c r="D85" s="305" t="n"/>
      <c r="E85" s="305" t="n"/>
    </row>
    <row r="86" ht="24" customHeight="1">
      <c r="A86" s="306" t="inlineStr">
        <is>
          <t>Step / quantity</t>
        </is>
      </c>
      <c r="B86" s="306" t="inlineStr">
        <is>
          <t>Where it lives</t>
        </is>
      </c>
      <c r="C86" s="306" t="inlineStr">
        <is>
          <t>Formula as it stands</t>
        </is>
      </c>
      <c r="D86" s="306" t="inlineStr">
        <is>
          <t>What it means</t>
        </is>
      </c>
      <c r="E86" s="306"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307" t="inlineStr">
        <is>
          <t>These cells read the workbook as it stands right now, so they change with the inputs.</t>
        </is>
      </c>
      <c r="B93" s="307"/>
      <c r="C93" s="307"/>
      <c r="D93" s="307"/>
      <c r="E93" s="307"/>
    </row>
    <row r="95" ht="22" customHeight="1">
      <c r="A95" s="304" t="inlineStr">
        <is>
          <t>11. Assumptions and policy choices worth knowing</t>
        </is>
      </c>
      <c r="B95" s="305" t="n"/>
      <c r="C95" s="305" t="n"/>
      <c r="D95" s="305" t="n"/>
      <c r="E95" s="305" t="n"/>
    </row>
    <row r="96" ht="24" customHeight="1">
      <c r="A96" s="306" t="inlineStr">
        <is>
          <t>Step / quantity</t>
        </is>
      </c>
      <c r="B96" s="306" t="inlineStr">
        <is>
          <t>Where it lives</t>
        </is>
      </c>
      <c r="C96" s="306" t="inlineStr">
        <is>
          <t>Formula as it stands</t>
        </is>
      </c>
      <c r="D96" s="306" t="inlineStr">
        <is>
          <t>What it means</t>
        </is>
      </c>
      <c r="E96" s="306"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10">
    <mergeCell ref="A39:E39"/>
    <mergeCell ref="A4:E4"/>
    <mergeCell ref="A48:E48"/>
    <mergeCell ref="A28:E28"/>
    <mergeCell ref="A11:E11"/>
    <mergeCell ref="A93:E93"/>
    <mergeCell ref="A66:E66"/>
    <mergeCell ref="A56:E56"/>
    <mergeCell ref="A2:E2"/>
    <mergeCell ref="A5:E5"/>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
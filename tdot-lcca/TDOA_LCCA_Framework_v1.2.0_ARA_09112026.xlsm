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appliedresearchassociates-my.sharepoint.us/personal/mdenis_ara_com/Documents/Documents/Projects/005935 TDOT PCC and LCCA/LCCA_Task2/"/>
    </mc:Choice>
  </mc:AlternateContent>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Summary!$A$1:$U$70</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<sst xmlns="http://schemas.openxmlformats.org/spreadsheetml/2006/main" count="1480" uniqueCount="637">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</sst>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s>
  <fonts count="22"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s>
  <fills count="15">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s>
  <borders count="38">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34">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 fontId="21" fillId="9" borderId="36" pivotButton="0" quotePrefix="0" xfId="0"/>
  </cellXfs>
  <cellStyles count="3">
    <cellStyle name="Currency" xfId="2" builtinId="4"/>
    <cellStyle name="Hyperlink" xfId="1" builtinId="8"/>
    <cellStyle name="Normal" xfId="0" builtinId="0"/>
  </cellStyles>
  <dxfs count="27">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AIP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numFmt formatCode="0.00&quot;%&quot;" sourceLinked="0"/>
        <majorTickMark val="none"/>
        <minorTickMark val="none"/>
        <crossAx val="100"/>
        <lblOffset val="100"/>
        <tickLblSkip val="4"/>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 sourceLinked="0"/>
        <majorTickMark val="none"/>
        <minorTickMark val="none"/>
        <crossAx val="10"/>
      </valAx>
    </plotArea>
    <legend>
      <legendPos val="b"/>
    </legend>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59</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821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provides a summary table and chart for the initial construction cost and NPW for each included alternative.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49</xdr:row>
      <xdr:rowOff>0</xdr:rowOff>
    </xdr:from>
    <xdr:to>
      <xdr:col>20</xdr:col>
      <xdr:colOff>0</xdr:colOff>
      <xdr:row>66</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13</xdr:row>
      <xdr:rowOff>0</xdr:rowOff>
    </xdr:from>
    <xdr:ext cx="558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13</xdr:row>
      <xdr:rowOff>0</xdr:rowOff>
    </xdr:from>
    <xdr:ext cx="558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31</xdr:row>
      <xdr:rowOff>0</xdr:rowOff>
    </xdr:from>
    <xdr:ext cx="558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31</xdr:row>
      <xdr:rowOff>0</xdr:rowOff>
    </xdr:from>
    <xdr:ext cx="558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49</xdr:row>
      <xdr:rowOff>0</xdr:rowOff>
    </xdr:from>
    <xdr:ext cx="558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1" Type="http://schemas.openxmlformats.org/officeDocument/2006/relationships/printerSettings" Target="../printerSettings/printerSettings4.bin"/><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1" Type="http://schemas.openxmlformats.org/officeDocument/2006/relationships/printerSettings" Target="../printerSettings/printerSettings5.bin"/><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1" Type="http://schemas.openxmlformats.org/officeDocument/2006/relationships/printerSettings" Target="../printerSettings/printerSettings6.bin"/><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theme="0" tint="-0.34998626667073579"/>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c r="C1" t="str">
        <f>Pay_Items!D55</f>
        <v>Joint Clean and Reseal, Concrete</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92D050"/>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92D050"/>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theme="0" tint="-0.34998626667073579"/>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7" spans="2:19" x14ac:dyDescent="0.2">
      <c r="K7" s="5" t="s">
        <v>248</v>
      </c>
    </row>
    <row r="8" spans="2:19" x14ac:dyDescent="0.2">
      <c r="B8" s="6" t="s">
        <v>93</v>
      </c>
      <c r="L8" s="7" t="s">
        <v>246</v>
      </c>
      <c r="M8" s="7" t="s">
        <v>245</v>
      </c>
      <c r="N8" s="7" t="s">
        <v>509</v>
      </c>
      <c r="O8" s="7" t="s">
        <v>510</v>
      </c>
      <c r="P8" s="7" t="s">
        <v>247</v>
      </c>
      <c r="Q8" s="7" t="s">
        <v>250</v>
      </c>
      <c r="S8" s="5" t="s">
        <v>455</v>
      </c>
    </row>
    <row r="9" spans="2:19" x14ac:dyDescent="0.2">
      <c r="C9" s="5" t="s">
        <v>87</v>
      </c>
      <c r="D9" s="73"/>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6" t="s">
        <v>94</v>
      </c>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L25" s="5" t="s">
        <v>175</v>
      </c>
      <c r="M25" s="5" t="s">
        <v>174</v>
      </c>
      <c r="N25" s="5" t="s">
        <v>383</v>
      </c>
      <c r="O25" s="5" t="s">
        <v>383</v>
      </c>
      <c r="P25" s="5" t="s">
        <v>64</v>
      </c>
      <c r="S25" s="5" t="s">
        <v>482</v>
      </c>
    </row>
    <row r="26" spans="2:19" x14ac:dyDescent="0.2">
      <c r="C26" s="5" t="s">
        <v>268</v>
      </c>
      <c r="D26" s="73"/>
      <c r="L26" s="5" t="s">
        <v>152</v>
      </c>
      <c r="M26" s="5" t="s">
        <v>151</v>
      </c>
      <c r="N26" s="5" t="s">
        <v>384</v>
      </c>
      <c r="O26" s="5" t="s">
        <v>527</v>
      </c>
      <c r="P26" s="5" t="s">
        <v>65</v>
      </c>
    </row>
    <row r="27" spans="2:19" x14ac:dyDescent="0.2">
      <c r="C27" s="5" t="s">
        <v>269</v>
      </c>
      <c r="D27" s="73"/>
      <c r="L27" s="5" t="s">
        <v>113</v>
      </c>
      <c r="M27" s="5" t="s">
        <v>112</v>
      </c>
      <c r="N27" s="5" t="s">
        <v>385</v>
      </c>
      <c r="O27" s="5" t="s">
        <v>528</v>
      </c>
      <c r="P27" s="5" t="s">
        <v>66</v>
      </c>
    </row>
    <row r="28" spans="2:19" x14ac:dyDescent="0.2">
      <c r="C28" s="5" t="s">
        <v>270</v>
      </c>
      <c r="D28" s="73"/>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6" t="s">
        <v>252</v>
      </c>
      <c r="L32" s="5" t="s">
        <v>238</v>
      </c>
      <c r="M32" s="5" t="s">
        <v>237</v>
      </c>
      <c r="N32" s="5" t="s">
        <v>429</v>
      </c>
      <c r="O32" s="5" t="s">
        <v>533</v>
      </c>
      <c r="P32" s="5" t="s">
        <v>64</v>
      </c>
    </row>
    <row r="33" spans="2:16" x14ac:dyDescent="0.2">
      <c r="C33" s="5" t="s">
        <v>253</v>
      </c>
      <c r="D33" s="88">
        <v>30</v>
      </c>
      <c r="L33" s="5" t="s">
        <v>164</v>
      </c>
      <c r="M33" s="5" t="s">
        <v>163</v>
      </c>
      <c r="N33" s="5" t="s">
        <v>428</v>
      </c>
      <c r="O33" s="5" t="s">
        <v>534</v>
      </c>
      <c r="P33" s="5" t="s">
        <v>66</v>
      </c>
    </row>
    <row r="34" spans="2:16" x14ac:dyDescent="0.2">
      <c r="C34" s="5" t="s">
        <v>271</v>
      </c>
      <c r="D34" s="88">
        <v>3</v>
      </c>
      <c r="L34" s="5" t="s">
        <v>173</v>
      </c>
      <c r="M34" s="5" t="s">
        <v>172</v>
      </c>
      <c r="N34" s="5" t="s">
        <v>411</v>
      </c>
      <c r="O34" s="5" t="s">
        <v>518</v>
      </c>
      <c r="P34" s="5" t="s">
        <v>65</v>
      </c>
    </row>
    <row r="35" spans="2:16" x14ac:dyDescent="0.2">
      <c r="C35" s="5" t="s">
        <v>254</v>
      </c>
      <c r="D35" s="88" t="s">
        <v>452</v>
      </c>
      <c r="L35" s="5" t="s">
        <v>232</v>
      </c>
      <c r="M35" s="5" t="s">
        <v>231</v>
      </c>
      <c r="N35" s="5" t="s">
        <v>438</v>
      </c>
      <c r="O35" s="5" t="s">
        <v>535</v>
      </c>
      <c r="P35" s="5" t="s">
        <v>65</v>
      </c>
    </row>
    <row r="36" spans="2:16" x14ac:dyDescent="0.2">
      <c r="C36" s="5" t="s">
        <v>257</v>
      </c>
      <c r="D36" s="88">
        <v>10</v>
      </c>
      <c r="L36" s="5" t="s">
        <v>160</v>
      </c>
      <c r="M36" s="5" t="s">
        <v>159</v>
      </c>
      <c r="N36" s="5" t="s">
        <v>389</v>
      </c>
      <c r="O36" s="5" t="s">
        <v>536</v>
      </c>
      <c r="P36" s="5" t="s">
        <v>66</v>
      </c>
    </row>
    <row r="37" spans="2:16" x14ac:dyDescent="0.2">
      <c r="C37" s="5" t="s">
        <v>258</v>
      </c>
      <c r="D37" s="88">
        <v>5</v>
      </c>
      <c r="L37" s="5" t="s">
        <v>182</v>
      </c>
      <c r="M37" s="5" t="s">
        <v>181</v>
      </c>
      <c r="N37" s="5" t="s">
        <v>376</v>
      </c>
      <c r="O37" s="5" t="s">
        <v>537</v>
      </c>
      <c r="P37" s="5" t="s">
        <v>64</v>
      </c>
    </row>
    <row r="38" spans="2:16" x14ac:dyDescent="0.2">
      <c r="C38" s="5" t="s">
        <v>613</v>
      </c>
      <c r="D38" s="100" t="s">
        <v>632</v>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spans="2:16" x14ac:dyDescent="0.2">
      <c r="L46" s="5" t="s">
        <v>115</v>
      </c>
      <c r="M46" s="5" t="s">
        <v>114</v>
      </c>
      <c r="N46" s="5" t="s">
        <v>391</v>
      </c>
      <c r="O46" s="5" t="s">
        <v>544</v>
      </c>
      <c r="P46" s="5" t="s">
        <v>64</v>
      </c>
    </row>
    <row r="47" spans="2:16" x14ac:dyDescent="0.2">
      <c r="L47" s="5" t="s">
        <v>448</v>
      </c>
      <c r="M47" s="5" t="s">
        <v>418</v>
      </c>
      <c r="N47" s="5" t="s">
        <v>417</v>
      </c>
      <c r="O47" s="5" t="s">
        <v>545</v>
      </c>
      <c r="P47" s="5" t="s">
        <v>64</v>
      </c>
    </row>
    <row r="48" spans="2:16" x14ac:dyDescent="0.2">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FFC000"/>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FFC000"/>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theme="0" tint="-0.34998626667073579"/>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theme="0" tint="-0.34998626667073579"/>
  </sheetPr>
  <dimension ref="A1:BL67"/>
  <sheetViews>
    <sheetView topLeftCell="A5"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theme="0" tint="-0.34998626667073579"/>
  </sheetPr>
  <dimension ref="A1:X68"/>
  <sheetViews>
    <sheetView topLeftCell="A2"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theme="0" tint="-0.34998626667073579"/>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92D050"/>
    <pageSetUpPr fitToPage="1"/>
  </sheetPr>
  <dimension ref="A1:AJ71"/>
  <sheetViews>
    <sheetView workbookViewId="0">
      <pane ySplit="3" topLeftCell="A4" activePane="bottomLeft" state="frozen"/>
      <selection pane="bottomLeft" activeCell="A1" sqref="A1"/>
    </sheetView>
  </sheetViews>
  <sheetFormatPr baseColWidth="8" defaultRowHeight="15"/>
  <cols>
    <col width="22" customWidth="1" min="1" max="1"/>
    <col width="32" customWidth="1" min="2" max="2"/>
    <col width="17" customWidth="1" min="3" max="3"/>
    <col width="17" customWidth="1" min="4" max="4"/>
    <col width="34" customWidth="1" min="5" max="5"/>
    <col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A1" s="119">
        <f>HYPERLINK("#'General Information'!D9","◄ General Information")</f>
        <v/>
      </c>
      <c r="B1" s="120">
        <f>HYPERLINK("#Instructions!B9","Instructions")</f>
        <v/>
      </c>
      <c r="G1" s="121" t="inlineStr">
        <is>
          <t>LCCA SUMMARY</t>
        </is>
      </c>
      <c r="W1" s="122" t="inlineStr">
        <is>
          <t>CHART DATA (calculated automatically from the table on the left; do not edit)</t>
        </is>
      </c>
    </row>
    <row r="2">
      <c r="G2" s="123" t="inlineStr">
        <is>
          <t>Everything from this column onward calculates from the alternative worksheets and updates by itself. Columns A:E and "Chart 1" are written by the Alternative Setup form as before.</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IF(Database!$D$4="","",Database!$D$4)</f>
        <v/>
      </c>
      <c r="H4" s="125">
        <f>IF($G4="","",Database!$A$4)</f>
        <v/>
      </c>
      <c r="I4" s="125">
        <f>IF($G4="","",Database!$B$4)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IF($G4="","",IF(IFERROR(INDIRECT("'"&amp;$G4&amp;"'!$F$2"),0)&gt;0,SUM($AG$41:$AG$71),IFERROR(SUM(INDIRECT("'"&amp;$G4&amp;"'!$F$4:$F$10")),0)))</f>
        <v/>
      </c>
      <c r="R4" s="127">
        <f>IF($G4="","",1-Q4/('General Information'!$D$33*365))</f>
        <v/>
      </c>
      <c r="W4" s="124" t="inlineStr">
        <is>
          <t>Category</t>
        </is>
      </c>
      <c r="X4" s="124">
        <f>IF($H$4="","Alt "&amp;1,$H$4)</f>
        <v/>
      </c>
      <c r="Y4" s="124">
        <f>IF($H$5="","Alt "&amp;2,$H$5)</f>
        <v/>
      </c>
      <c r="Z4" s="124">
        <f>IF($H$6="","Alt "&amp;3,$H$6)</f>
        <v/>
      </c>
      <c r="AA4" s="124">
        <f>IF($H$7="","Alt "&amp;4,$H$7)</f>
        <v/>
      </c>
    </row>
    <row r="5">
      <c r="G5" s="125">
        <f>IF(Database!$D$5="","",Database!$D$5)</f>
        <v/>
      </c>
      <c r="H5" s="125">
        <f>IF($G5="","",Database!$A$5)</f>
        <v/>
      </c>
      <c r="I5" s="125">
        <f>IF($G5="","",Database!$B$5)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IF($G5="","",IF(IFERROR(INDIRECT("'"&amp;$G5&amp;"'!$F$2"),0)&gt;0,SUM($AH$41:$AH$71),IFERROR(SUM(INDIRECT("'"&amp;$G5&amp;"'!$F$4:$F$10")),0)))</f>
        <v/>
      </c>
      <c r="R5" s="127">
        <f>IF($G5="","",1-Q5/('General Information'!$D$33*365))</f>
        <v/>
      </c>
      <c r="W5" s="128" t="inlineStr">
        <is>
          <t>Initial construction</t>
        </is>
      </c>
      <c r="X5" s="129">
        <f>IF(J4="",0,J4)</f>
        <v/>
      </c>
      <c r="Y5" s="129">
        <f>IF(J5="",0,J5)</f>
        <v/>
      </c>
      <c r="Z5" s="129">
        <f>IF(J6="",0,J6)</f>
        <v/>
      </c>
      <c r="AA5" s="129">
        <f>IF(J7="",0,J7)</f>
        <v/>
      </c>
    </row>
    <row r="6">
      <c r="G6" s="125">
        <f>IF(Database!$D$6="","",Database!$D$6)</f>
        <v/>
      </c>
      <c r="H6" s="125">
        <f>IF($G6="","",Database!$A$6)</f>
        <v/>
      </c>
      <c r="I6" s="125">
        <f>IF($G6="","",Database!$B$6)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IF($G6="","",IF(IFERROR(INDIRECT("'"&amp;$G6&amp;"'!$F$2"),0)&gt;0,SUM($AI$41:$AI$71),IFERROR(SUM(INDIRECT("'"&amp;$G6&amp;"'!$F$4:$F$10")),0)))</f>
        <v/>
      </c>
      <c r="R6" s="127">
        <f>IF($G6="","",1-Q6/('General Information'!$D$33*365))</f>
        <v/>
      </c>
      <c r="W6" s="128" t="inlineStr">
        <is>
          <t>Maintenance</t>
        </is>
      </c>
      <c r="X6" s="129">
        <f>IF(K4="",0,K4)</f>
        <v/>
      </c>
      <c r="Y6" s="129">
        <f>IF(K5="",0,K5)</f>
        <v/>
      </c>
      <c r="Z6" s="129">
        <f>IF(K6="",0,K6)</f>
        <v/>
      </c>
      <c r="AA6" s="129">
        <f>IF(K7="",0,K7)</f>
        <v/>
      </c>
    </row>
    <row r="7">
      <c r="G7" s="125">
        <f>IF(Database!$D$7="","",Database!$D$7)</f>
        <v/>
      </c>
      <c r="H7" s="125">
        <f>IF($G7="","",Database!$A$7)</f>
        <v/>
      </c>
      <c r="I7" s="125">
        <f>IF($G7="","",Database!$B$7)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IF($G7="","",IF(IFERROR(INDIRECT("'"&amp;$G7&amp;"'!$F$2"),0)&gt;0,SUM($AJ$41:$AJ$71),IFERROR(SUM(INDIRECT("'"&amp;$G7&amp;"'!$F$4:$F$10")),0)))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"&amp;INDEX($H$4:$H$7,MATCH(MIN($O$4:$O$7),$O$4:$O$7,0))&amp;IF(COUNT($O$4:$O$7)&lt;2,"   |   only one alternative so far","   |   margin to next: "&amp;TEXT(SMALL($O$4:$O$7,2)-MIN($O$4:$O$7),"$#,##0"))&amp;"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IF(COUNT($O$4:$O$7)&lt;2,"",IF(INDEX($H$4:$H$7,MATCH(MIN($O$4:$O$7),$O$4:$O$7,0))=INDEX($H$4:$H$7,MATCH(MIN($X$32:$AA$32),$X$32:$AA$32,0)),"The same alternative is lowest at the FAA AIP rate of 7%.","At the FAA AIP rate of 7% the lowest-cost alternative changes: see chart 2."))</f>
        <v/>
      </c>
      <c r="W10" s="122" t="inlineStr">
        <is>
          <t>Net present worth vs. discount rate</t>
        </is>
      </c>
    </row>
    <row r="11">
      <c r="W11" s="124" t="inlineStr">
        <is>
          <t>Rate (%)</t>
        </is>
      </c>
      <c r="X11" s="124">
        <f>X$4</f>
        <v/>
      </c>
      <c r="Y11" s="124">
        <f>Y$4</f>
        <v/>
      </c>
      <c r="Z11" s="124">
        <f>Z$4</f>
        <v/>
      </c>
      <c r="AA11" s="124">
        <f>AA$4</f>
        <v/>
      </c>
    </row>
    <row r="12">
      <c r="G12" s="121" t="inlineStr">
        <is>
          <t>CHARTS</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X$4&amp;" spend"</f>
        <v/>
      </c>
      <c r="Z40" s="124">
        <f>Y$4&amp;" spend"</f>
        <v/>
      </c>
      <c r="AA40" s="124">
        <f>Z$4&amp;" spend"</f>
        <v/>
      </c>
      <c r="AB40" s="124">
        <f>AA$4&amp;" spend"</f>
        <v/>
      </c>
      <c r="AC40" s="124">
        <f>X$4&amp;" cumulative PW"</f>
        <v/>
      </c>
      <c r="AD40" s="124">
        <f>Y$4&amp;" cumulative PW"</f>
        <v/>
      </c>
      <c r="AE40" s="124">
        <f>Z$4&amp;" cumulative PW"</f>
        <v/>
      </c>
      <c r="AF40" s="124">
        <f>AA$4&amp;" cumulative PW"</f>
        <v/>
      </c>
      <c r="AG40" s="124">
        <f>X$4&amp;" closure days"</f>
        <v/>
      </c>
      <c r="AH40" s="124">
        <f>Y$4&amp;" closure days"</f>
        <v/>
      </c>
      <c r="AI40" s="124">
        <f>Z$4&amp;" closure days"</f>
        <v/>
      </c>
      <c r="AJ40" s="124">
        <f>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3">
        <f>IF($G$4="",0,IF(W41&gt;'General Information'!$D$33,0,IFERROR(SUMIFS(INDIRECT("'"&amp;$G$4&amp;"'!$D$37:$D$52"),INDIRECT("'"&amp;$G$4&amp;"'!$C$37:$C$52"),W41,INDIRECT("'"&amp;$G$4&amp;"'!$B$37:$B$52"),"*Indirect*")/INDIRECT("'"&amp;$G$4&amp;"'!$F$2"),0)))</f>
        <v/>
      </c>
      <c r="AH41" s="133">
        <f>IF($G$5="",0,IF(W41&gt;'General Information'!$D$33,0,IFERROR(SUMIFS(INDIRECT("'"&amp;$G$5&amp;"'!$D$37:$D$52"),INDIRECT("'"&amp;$G$5&amp;"'!$C$37:$C$52"),W41,INDIRECT("'"&amp;$G$5&amp;"'!$B$37:$B$52"),"*Indirect*")/INDIRECT("'"&amp;$G$5&amp;"'!$F$2"),0)))</f>
        <v/>
      </c>
      <c r="AI41" s="133">
        <f>IF($G$6="",0,IF(W41&gt;'General Information'!$D$33,0,IFERROR(SUMIFS(INDIRECT("'"&amp;$G$6&amp;"'!$D$37:$D$52"),INDIRECT("'"&amp;$G$6&amp;"'!$C$37:$C$52"),W41,INDIRECT("'"&amp;$G$6&amp;"'!$B$37:$B$52"),"*Indirect*")/INDIRECT("'"&amp;$G$6&amp;"'!$F$2"),0)))</f>
        <v/>
      </c>
      <c r="AJ41" s="133">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3">
        <f>IF($G$4="",0,IF(W42&gt;'General Information'!$D$33,0,IFERROR(SUMIFS(INDIRECT("'"&amp;$G$4&amp;"'!$D$37:$D$52"),INDIRECT("'"&amp;$G$4&amp;"'!$C$37:$C$52"),W42,INDIRECT("'"&amp;$G$4&amp;"'!$B$37:$B$52"),"*Indirect*")/INDIRECT("'"&amp;$G$4&amp;"'!$F$2"),0)))</f>
        <v/>
      </c>
      <c r="AH42" s="133">
        <f>IF($G$5="",0,IF(W42&gt;'General Information'!$D$33,0,IFERROR(SUMIFS(INDIRECT("'"&amp;$G$5&amp;"'!$D$37:$D$52"),INDIRECT("'"&amp;$G$5&amp;"'!$C$37:$C$52"),W42,INDIRECT("'"&amp;$G$5&amp;"'!$B$37:$B$52"),"*Indirect*")/INDIRECT("'"&amp;$G$5&amp;"'!$F$2"),0)))</f>
        <v/>
      </c>
      <c r="AI42" s="133">
        <f>IF($G$6="",0,IF(W42&gt;'General Information'!$D$33,0,IFERROR(SUMIFS(INDIRECT("'"&amp;$G$6&amp;"'!$D$37:$D$52"),INDIRECT("'"&amp;$G$6&amp;"'!$C$37:$C$52"),W42,INDIRECT("'"&amp;$G$6&amp;"'!$B$37:$B$52"),"*Indirect*")/INDIRECT("'"&amp;$G$6&amp;"'!$F$2"),0)))</f>
        <v/>
      </c>
      <c r="AJ42" s="133">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3">
        <f>IF($G$4="",0,IF(W43&gt;'General Information'!$D$33,0,IFERROR(SUMIFS(INDIRECT("'"&amp;$G$4&amp;"'!$D$37:$D$52"),INDIRECT("'"&amp;$G$4&amp;"'!$C$37:$C$52"),W43,INDIRECT("'"&amp;$G$4&amp;"'!$B$37:$B$52"),"*Indirect*")/INDIRECT("'"&amp;$G$4&amp;"'!$F$2"),0)))</f>
        <v/>
      </c>
      <c r="AH43" s="133">
        <f>IF($G$5="",0,IF(W43&gt;'General Information'!$D$33,0,IFERROR(SUMIFS(INDIRECT("'"&amp;$G$5&amp;"'!$D$37:$D$52"),INDIRECT("'"&amp;$G$5&amp;"'!$C$37:$C$52"),W43,INDIRECT("'"&amp;$G$5&amp;"'!$B$37:$B$52"),"*Indirect*")/INDIRECT("'"&amp;$G$5&amp;"'!$F$2"),0)))</f>
        <v/>
      </c>
      <c r="AI43" s="133">
        <f>IF($G$6="",0,IF(W43&gt;'General Information'!$D$33,0,IFERROR(SUMIFS(INDIRECT("'"&amp;$G$6&amp;"'!$D$37:$D$52"),INDIRECT("'"&amp;$G$6&amp;"'!$C$37:$C$52"),W43,INDIRECT("'"&amp;$G$6&amp;"'!$B$37:$B$52"),"*Indirect*")/INDIRECT("'"&amp;$G$6&amp;"'!$F$2"),0)))</f>
        <v/>
      </c>
      <c r="AJ43" s="133">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3">
        <f>IF($G$4="",0,IF(W44&gt;'General Information'!$D$33,0,IFERROR(SUMIFS(INDIRECT("'"&amp;$G$4&amp;"'!$D$37:$D$52"),INDIRECT("'"&amp;$G$4&amp;"'!$C$37:$C$52"),W44,INDIRECT("'"&amp;$G$4&amp;"'!$B$37:$B$52"),"*Indirect*")/INDIRECT("'"&amp;$G$4&amp;"'!$F$2"),0)))</f>
        <v/>
      </c>
      <c r="AH44" s="133">
        <f>IF($G$5="",0,IF(W44&gt;'General Information'!$D$33,0,IFERROR(SUMIFS(INDIRECT("'"&amp;$G$5&amp;"'!$D$37:$D$52"),INDIRECT("'"&amp;$G$5&amp;"'!$C$37:$C$52"),W44,INDIRECT("'"&amp;$G$5&amp;"'!$B$37:$B$52"),"*Indirect*")/INDIRECT("'"&amp;$G$5&amp;"'!$F$2"),0)))</f>
        <v/>
      </c>
      <c r="AI44" s="133">
        <f>IF($G$6="",0,IF(W44&gt;'General Information'!$D$33,0,IFERROR(SUMIFS(INDIRECT("'"&amp;$G$6&amp;"'!$D$37:$D$52"),INDIRECT("'"&amp;$G$6&amp;"'!$C$37:$C$52"),W44,INDIRECT("'"&amp;$G$6&amp;"'!$B$37:$B$52"),"*Indirect*")/INDIRECT("'"&amp;$G$6&amp;"'!$F$2"),0)))</f>
        <v/>
      </c>
      <c r="AJ44" s="133">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3">
        <f>IF($G$4="",0,IF(W45&gt;'General Information'!$D$33,0,IFERROR(SUMIFS(INDIRECT("'"&amp;$G$4&amp;"'!$D$37:$D$52"),INDIRECT("'"&amp;$G$4&amp;"'!$C$37:$C$52"),W45,INDIRECT("'"&amp;$G$4&amp;"'!$B$37:$B$52"),"*Indirect*")/INDIRECT("'"&amp;$G$4&amp;"'!$F$2"),0)))</f>
        <v/>
      </c>
      <c r="AH45" s="133">
        <f>IF($G$5="",0,IF(W45&gt;'General Information'!$D$33,0,IFERROR(SUMIFS(INDIRECT("'"&amp;$G$5&amp;"'!$D$37:$D$52"),INDIRECT("'"&amp;$G$5&amp;"'!$C$37:$C$52"),W45,INDIRECT("'"&amp;$G$5&amp;"'!$B$37:$B$52"),"*Indirect*")/INDIRECT("'"&amp;$G$5&amp;"'!$F$2"),0)))</f>
        <v/>
      </c>
      <c r="AI45" s="133">
        <f>IF($G$6="",0,IF(W45&gt;'General Information'!$D$33,0,IFERROR(SUMIFS(INDIRECT("'"&amp;$G$6&amp;"'!$D$37:$D$52"),INDIRECT("'"&amp;$G$6&amp;"'!$C$37:$C$52"),W45,INDIRECT("'"&amp;$G$6&amp;"'!$B$37:$B$52"),"*Indirect*")/INDIRECT("'"&amp;$G$6&amp;"'!$F$2"),0)))</f>
        <v/>
      </c>
      <c r="AJ45" s="133">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3">
        <f>IF($G$4="",0,IF(W46&gt;'General Information'!$D$33,0,IFERROR(SUMIFS(INDIRECT("'"&amp;$G$4&amp;"'!$D$37:$D$52"),INDIRECT("'"&amp;$G$4&amp;"'!$C$37:$C$52"),W46,INDIRECT("'"&amp;$G$4&amp;"'!$B$37:$B$52"),"*Indirect*")/INDIRECT("'"&amp;$G$4&amp;"'!$F$2"),0)))</f>
        <v/>
      </c>
      <c r="AH46" s="133">
        <f>IF($G$5="",0,IF(W46&gt;'General Information'!$D$33,0,IFERROR(SUMIFS(INDIRECT("'"&amp;$G$5&amp;"'!$D$37:$D$52"),INDIRECT("'"&amp;$G$5&amp;"'!$C$37:$C$52"),W46,INDIRECT("'"&amp;$G$5&amp;"'!$B$37:$B$52"),"*Indirect*")/INDIRECT("'"&amp;$G$5&amp;"'!$F$2"),0)))</f>
        <v/>
      </c>
      <c r="AI46" s="133">
        <f>IF($G$6="",0,IF(W46&gt;'General Information'!$D$33,0,IFERROR(SUMIFS(INDIRECT("'"&amp;$G$6&amp;"'!$D$37:$D$52"),INDIRECT("'"&amp;$G$6&amp;"'!$C$37:$C$52"),W46,INDIRECT("'"&amp;$G$6&amp;"'!$B$37:$B$52"),"*Indirect*")/INDIRECT("'"&amp;$G$6&amp;"'!$F$2"),0)))</f>
        <v/>
      </c>
      <c r="AJ46" s="133">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3">
        <f>IF($G$4="",0,IF(W47&gt;'General Information'!$D$33,0,IFERROR(SUMIFS(INDIRECT("'"&amp;$G$4&amp;"'!$D$37:$D$52"),INDIRECT("'"&amp;$G$4&amp;"'!$C$37:$C$52"),W47,INDIRECT("'"&amp;$G$4&amp;"'!$B$37:$B$52"),"*Indirect*")/INDIRECT("'"&amp;$G$4&amp;"'!$F$2"),0)))</f>
        <v/>
      </c>
      <c r="AH47" s="133">
        <f>IF($G$5="",0,IF(W47&gt;'General Information'!$D$33,0,IFERROR(SUMIFS(INDIRECT("'"&amp;$G$5&amp;"'!$D$37:$D$52"),INDIRECT("'"&amp;$G$5&amp;"'!$C$37:$C$52"),W47,INDIRECT("'"&amp;$G$5&amp;"'!$B$37:$B$52"),"*Indirect*")/INDIRECT("'"&amp;$G$5&amp;"'!$F$2"),0)))</f>
        <v/>
      </c>
      <c r="AI47" s="133">
        <f>IF($G$6="",0,IF(W47&gt;'General Information'!$D$33,0,IFERROR(SUMIFS(INDIRECT("'"&amp;$G$6&amp;"'!$D$37:$D$52"),INDIRECT("'"&amp;$G$6&amp;"'!$C$37:$C$52"),W47,INDIRECT("'"&amp;$G$6&amp;"'!$B$37:$B$52"),"*Indirect*")/INDIRECT("'"&amp;$G$6&amp;"'!$F$2"),0)))</f>
        <v/>
      </c>
      <c r="AJ47" s="133">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3">
        <f>IF($G$4="",0,IF(W48&gt;'General Information'!$D$33,0,IFERROR(SUMIFS(INDIRECT("'"&amp;$G$4&amp;"'!$D$37:$D$52"),INDIRECT("'"&amp;$G$4&amp;"'!$C$37:$C$52"),W48,INDIRECT("'"&amp;$G$4&amp;"'!$B$37:$B$52"),"*Indirect*")/INDIRECT("'"&amp;$G$4&amp;"'!$F$2"),0)))</f>
        <v/>
      </c>
      <c r="AH48" s="133">
        <f>IF($G$5="",0,IF(W48&gt;'General Information'!$D$33,0,IFERROR(SUMIFS(INDIRECT("'"&amp;$G$5&amp;"'!$D$37:$D$52"),INDIRECT("'"&amp;$G$5&amp;"'!$C$37:$C$52"),W48,INDIRECT("'"&amp;$G$5&amp;"'!$B$37:$B$52"),"*Indirect*")/INDIRECT("'"&amp;$G$5&amp;"'!$F$2"),0)))</f>
        <v/>
      </c>
      <c r="AI48" s="133">
        <f>IF($G$6="",0,IF(W48&gt;'General Information'!$D$33,0,IFERROR(SUMIFS(INDIRECT("'"&amp;$G$6&amp;"'!$D$37:$D$52"),INDIRECT("'"&amp;$G$6&amp;"'!$C$37:$C$52"),W48,INDIRECT("'"&amp;$G$6&amp;"'!$B$37:$B$52"),"*Indirect*")/INDIRECT("'"&amp;$G$6&amp;"'!$F$2"),0)))</f>
        <v/>
      </c>
      <c r="AJ48" s="133">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3">
        <f>IF($G$4="",0,IF(W49&gt;'General Information'!$D$33,0,IFERROR(SUMIFS(INDIRECT("'"&amp;$G$4&amp;"'!$D$37:$D$52"),INDIRECT("'"&amp;$G$4&amp;"'!$C$37:$C$52"),W49,INDIRECT("'"&amp;$G$4&amp;"'!$B$37:$B$52"),"*Indirect*")/INDIRECT("'"&amp;$G$4&amp;"'!$F$2"),0)))</f>
        <v/>
      </c>
      <c r="AH49" s="133">
        <f>IF($G$5="",0,IF(W49&gt;'General Information'!$D$33,0,IFERROR(SUMIFS(INDIRECT("'"&amp;$G$5&amp;"'!$D$37:$D$52"),INDIRECT("'"&amp;$G$5&amp;"'!$C$37:$C$52"),W49,INDIRECT("'"&amp;$G$5&amp;"'!$B$37:$B$52"),"*Indirect*")/INDIRECT("'"&amp;$G$5&amp;"'!$F$2"),0)))</f>
        <v/>
      </c>
      <c r="AI49" s="133">
        <f>IF($G$6="",0,IF(W49&gt;'General Information'!$D$33,0,IFERROR(SUMIFS(INDIRECT("'"&amp;$G$6&amp;"'!$D$37:$D$52"),INDIRECT("'"&amp;$G$6&amp;"'!$C$37:$C$52"),W49,INDIRECT("'"&amp;$G$6&amp;"'!$B$37:$B$52"),"*Indirect*")/INDIRECT("'"&amp;$G$6&amp;"'!$F$2"),0)))</f>
        <v/>
      </c>
      <c r="AJ49" s="133">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3">
        <f>IF($G$4="",0,IF(W50&gt;'General Information'!$D$33,0,IFERROR(SUMIFS(INDIRECT("'"&amp;$G$4&amp;"'!$D$37:$D$52"),INDIRECT("'"&amp;$G$4&amp;"'!$C$37:$C$52"),W50,INDIRECT("'"&amp;$G$4&amp;"'!$B$37:$B$52"),"*Indirect*")/INDIRECT("'"&amp;$G$4&amp;"'!$F$2"),0)))</f>
        <v/>
      </c>
      <c r="AH50" s="133">
        <f>IF($G$5="",0,IF(W50&gt;'General Information'!$D$33,0,IFERROR(SUMIFS(INDIRECT("'"&amp;$G$5&amp;"'!$D$37:$D$52"),INDIRECT("'"&amp;$G$5&amp;"'!$C$37:$C$52"),W50,INDIRECT("'"&amp;$G$5&amp;"'!$B$37:$B$52"),"*Indirect*")/INDIRECT("'"&amp;$G$5&amp;"'!$F$2"),0)))</f>
        <v/>
      </c>
      <c r="AI50" s="133">
        <f>IF($G$6="",0,IF(W50&gt;'General Information'!$D$33,0,IFERROR(SUMIFS(INDIRECT("'"&amp;$G$6&amp;"'!$D$37:$D$52"),INDIRECT("'"&amp;$G$6&amp;"'!$C$37:$C$52"),W50,INDIRECT("'"&amp;$G$6&amp;"'!$B$37:$B$52"),"*Indirect*")/INDIRECT("'"&amp;$G$6&amp;"'!$F$2"),0)))</f>
        <v/>
      </c>
      <c r="AJ50" s="133">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3">
        <f>IF($G$4="",0,IF(W51&gt;'General Information'!$D$33,0,IFERROR(SUMIFS(INDIRECT("'"&amp;$G$4&amp;"'!$D$37:$D$52"),INDIRECT("'"&amp;$G$4&amp;"'!$C$37:$C$52"),W51,INDIRECT("'"&amp;$G$4&amp;"'!$B$37:$B$52"),"*Indirect*")/INDIRECT("'"&amp;$G$4&amp;"'!$F$2"),0)))</f>
        <v/>
      </c>
      <c r="AH51" s="133">
        <f>IF($G$5="",0,IF(W51&gt;'General Information'!$D$33,0,IFERROR(SUMIFS(INDIRECT("'"&amp;$G$5&amp;"'!$D$37:$D$52"),INDIRECT("'"&amp;$G$5&amp;"'!$C$37:$C$52"),W51,INDIRECT("'"&amp;$G$5&amp;"'!$B$37:$B$52"),"*Indirect*")/INDIRECT("'"&amp;$G$5&amp;"'!$F$2"),0)))</f>
        <v/>
      </c>
      <c r="AI51" s="133">
        <f>IF($G$6="",0,IF(W51&gt;'General Information'!$D$33,0,IFERROR(SUMIFS(INDIRECT("'"&amp;$G$6&amp;"'!$D$37:$D$52"),INDIRECT("'"&amp;$G$6&amp;"'!$C$37:$C$52"),W51,INDIRECT("'"&amp;$G$6&amp;"'!$B$37:$B$52"),"*Indirect*")/INDIRECT("'"&amp;$G$6&amp;"'!$F$2"),0)))</f>
        <v/>
      </c>
      <c r="AJ51" s="133">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3">
        <f>IF($G$4="",0,IF(W52&gt;'General Information'!$D$33,0,IFERROR(SUMIFS(INDIRECT("'"&amp;$G$4&amp;"'!$D$37:$D$52"),INDIRECT("'"&amp;$G$4&amp;"'!$C$37:$C$52"),W52,INDIRECT("'"&amp;$G$4&amp;"'!$B$37:$B$52"),"*Indirect*")/INDIRECT("'"&amp;$G$4&amp;"'!$F$2"),0)))</f>
        <v/>
      </c>
      <c r="AH52" s="133">
        <f>IF($G$5="",0,IF(W52&gt;'General Information'!$D$33,0,IFERROR(SUMIFS(INDIRECT("'"&amp;$G$5&amp;"'!$D$37:$D$52"),INDIRECT("'"&amp;$G$5&amp;"'!$C$37:$C$52"),W52,INDIRECT("'"&amp;$G$5&amp;"'!$B$37:$B$52"),"*Indirect*")/INDIRECT("'"&amp;$G$5&amp;"'!$F$2"),0)))</f>
        <v/>
      </c>
      <c r="AI52" s="133">
        <f>IF($G$6="",0,IF(W52&gt;'General Information'!$D$33,0,IFERROR(SUMIFS(INDIRECT("'"&amp;$G$6&amp;"'!$D$37:$D$52"),INDIRECT("'"&amp;$G$6&amp;"'!$C$37:$C$52"),W52,INDIRECT("'"&amp;$G$6&amp;"'!$B$37:$B$52"),"*Indirect*")/INDIRECT("'"&amp;$G$6&amp;"'!$F$2"),0)))</f>
        <v/>
      </c>
      <c r="AJ52" s="133">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3">
        <f>IF($G$4="",0,IF(W53&gt;'General Information'!$D$33,0,IFERROR(SUMIFS(INDIRECT("'"&amp;$G$4&amp;"'!$D$37:$D$52"),INDIRECT("'"&amp;$G$4&amp;"'!$C$37:$C$52"),W53,INDIRECT("'"&amp;$G$4&amp;"'!$B$37:$B$52"),"*Indirect*")/INDIRECT("'"&amp;$G$4&amp;"'!$F$2"),0)))</f>
        <v/>
      </c>
      <c r="AH53" s="133">
        <f>IF($G$5="",0,IF(W53&gt;'General Information'!$D$33,0,IFERROR(SUMIFS(INDIRECT("'"&amp;$G$5&amp;"'!$D$37:$D$52"),INDIRECT("'"&amp;$G$5&amp;"'!$C$37:$C$52"),W53,INDIRECT("'"&amp;$G$5&amp;"'!$B$37:$B$52"),"*Indirect*")/INDIRECT("'"&amp;$G$5&amp;"'!$F$2"),0)))</f>
        <v/>
      </c>
      <c r="AI53" s="133">
        <f>IF($G$6="",0,IF(W53&gt;'General Information'!$D$33,0,IFERROR(SUMIFS(INDIRECT("'"&amp;$G$6&amp;"'!$D$37:$D$52"),INDIRECT("'"&amp;$G$6&amp;"'!$C$37:$C$52"),W53,INDIRECT("'"&amp;$G$6&amp;"'!$B$37:$B$52"),"*Indirect*")/INDIRECT("'"&amp;$G$6&amp;"'!$F$2"),0)))</f>
        <v/>
      </c>
      <c r="AJ53" s="133">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3">
        <f>IF($G$4="",0,IF(W54&gt;'General Information'!$D$33,0,IFERROR(SUMIFS(INDIRECT("'"&amp;$G$4&amp;"'!$D$37:$D$52"),INDIRECT("'"&amp;$G$4&amp;"'!$C$37:$C$52"),W54,INDIRECT("'"&amp;$G$4&amp;"'!$B$37:$B$52"),"*Indirect*")/INDIRECT("'"&amp;$G$4&amp;"'!$F$2"),0)))</f>
        <v/>
      </c>
      <c r="AH54" s="133">
        <f>IF($G$5="",0,IF(W54&gt;'General Information'!$D$33,0,IFERROR(SUMIFS(INDIRECT("'"&amp;$G$5&amp;"'!$D$37:$D$52"),INDIRECT("'"&amp;$G$5&amp;"'!$C$37:$C$52"),W54,INDIRECT("'"&amp;$G$5&amp;"'!$B$37:$B$52"),"*Indirect*")/INDIRECT("'"&amp;$G$5&amp;"'!$F$2"),0)))</f>
        <v/>
      </c>
      <c r="AI54" s="133">
        <f>IF($G$6="",0,IF(W54&gt;'General Information'!$D$33,0,IFERROR(SUMIFS(INDIRECT("'"&amp;$G$6&amp;"'!$D$37:$D$52"),INDIRECT("'"&amp;$G$6&amp;"'!$C$37:$C$52"),W54,INDIRECT("'"&amp;$G$6&amp;"'!$B$37:$B$52"),"*Indirect*")/INDIRECT("'"&amp;$G$6&amp;"'!$F$2"),0)))</f>
        <v/>
      </c>
      <c r="AJ54" s="133">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3">
        <f>IF($G$4="",0,IF(W55&gt;'General Information'!$D$33,0,IFERROR(SUMIFS(INDIRECT("'"&amp;$G$4&amp;"'!$D$37:$D$52"),INDIRECT("'"&amp;$G$4&amp;"'!$C$37:$C$52"),W55,INDIRECT("'"&amp;$G$4&amp;"'!$B$37:$B$52"),"*Indirect*")/INDIRECT("'"&amp;$G$4&amp;"'!$F$2"),0)))</f>
        <v/>
      </c>
      <c r="AH55" s="133">
        <f>IF($G$5="",0,IF(W55&gt;'General Information'!$D$33,0,IFERROR(SUMIFS(INDIRECT("'"&amp;$G$5&amp;"'!$D$37:$D$52"),INDIRECT("'"&amp;$G$5&amp;"'!$C$37:$C$52"),W55,INDIRECT("'"&amp;$G$5&amp;"'!$B$37:$B$52"),"*Indirect*")/INDIRECT("'"&amp;$G$5&amp;"'!$F$2"),0)))</f>
        <v/>
      </c>
      <c r="AI55" s="133">
        <f>IF($G$6="",0,IF(W55&gt;'General Information'!$D$33,0,IFERROR(SUMIFS(INDIRECT("'"&amp;$G$6&amp;"'!$D$37:$D$52"),INDIRECT("'"&amp;$G$6&amp;"'!$C$37:$C$52"),W55,INDIRECT("'"&amp;$G$6&amp;"'!$B$37:$B$52"),"*Indirect*")/INDIRECT("'"&amp;$G$6&amp;"'!$F$2"),0)))</f>
        <v/>
      </c>
      <c r="AJ55" s="133">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3">
        <f>IF($G$4="",0,IF(W56&gt;'General Information'!$D$33,0,IFERROR(SUMIFS(INDIRECT("'"&amp;$G$4&amp;"'!$D$37:$D$52"),INDIRECT("'"&amp;$G$4&amp;"'!$C$37:$C$52"),W56,INDIRECT("'"&amp;$G$4&amp;"'!$B$37:$B$52"),"*Indirect*")/INDIRECT("'"&amp;$G$4&amp;"'!$F$2"),0)))</f>
        <v/>
      </c>
      <c r="AH56" s="133">
        <f>IF($G$5="",0,IF(W56&gt;'General Information'!$D$33,0,IFERROR(SUMIFS(INDIRECT("'"&amp;$G$5&amp;"'!$D$37:$D$52"),INDIRECT("'"&amp;$G$5&amp;"'!$C$37:$C$52"),W56,INDIRECT("'"&amp;$G$5&amp;"'!$B$37:$B$52"),"*Indirect*")/INDIRECT("'"&amp;$G$5&amp;"'!$F$2"),0)))</f>
        <v/>
      </c>
      <c r="AI56" s="133">
        <f>IF($G$6="",0,IF(W56&gt;'General Information'!$D$33,0,IFERROR(SUMIFS(INDIRECT("'"&amp;$G$6&amp;"'!$D$37:$D$52"),INDIRECT("'"&amp;$G$6&amp;"'!$C$37:$C$52"),W56,INDIRECT("'"&amp;$G$6&amp;"'!$B$37:$B$52"),"*Indirect*")/INDIRECT("'"&amp;$G$6&amp;"'!$F$2"),0)))</f>
        <v/>
      </c>
      <c r="AJ56" s="133">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3">
        <f>IF($G$4="",0,IF(W57&gt;'General Information'!$D$33,0,IFERROR(SUMIFS(INDIRECT("'"&amp;$G$4&amp;"'!$D$37:$D$52"),INDIRECT("'"&amp;$G$4&amp;"'!$C$37:$C$52"),W57,INDIRECT("'"&amp;$G$4&amp;"'!$B$37:$B$52"),"*Indirect*")/INDIRECT("'"&amp;$G$4&amp;"'!$F$2"),0)))</f>
        <v/>
      </c>
      <c r="AH57" s="133">
        <f>IF($G$5="",0,IF(W57&gt;'General Information'!$D$33,0,IFERROR(SUMIFS(INDIRECT("'"&amp;$G$5&amp;"'!$D$37:$D$52"),INDIRECT("'"&amp;$G$5&amp;"'!$C$37:$C$52"),W57,INDIRECT("'"&amp;$G$5&amp;"'!$B$37:$B$52"),"*Indirect*")/INDIRECT("'"&amp;$G$5&amp;"'!$F$2"),0)))</f>
        <v/>
      </c>
      <c r="AI57" s="133">
        <f>IF($G$6="",0,IF(W57&gt;'General Information'!$D$33,0,IFERROR(SUMIFS(INDIRECT("'"&amp;$G$6&amp;"'!$D$37:$D$52"),INDIRECT("'"&amp;$G$6&amp;"'!$C$37:$C$52"),W57,INDIRECT("'"&amp;$G$6&amp;"'!$B$37:$B$52"),"*Indirect*")/INDIRECT("'"&amp;$G$6&amp;"'!$F$2"),0)))</f>
        <v/>
      </c>
      <c r="AJ57" s="133">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3">
        <f>IF($G$4="",0,IF(W58&gt;'General Information'!$D$33,0,IFERROR(SUMIFS(INDIRECT("'"&amp;$G$4&amp;"'!$D$37:$D$52"),INDIRECT("'"&amp;$G$4&amp;"'!$C$37:$C$52"),W58,INDIRECT("'"&amp;$G$4&amp;"'!$B$37:$B$52"),"*Indirect*")/INDIRECT("'"&amp;$G$4&amp;"'!$F$2"),0)))</f>
        <v/>
      </c>
      <c r="AH58" s="133">
        <f>IF($G$5="",0,IF(W58&gt;'General Information'!$D$33,0,IFERROR(SUMIFS(INDIRECT("'"&amp;$G$5&amp;"'!$D$37:$D$52"),INDIRECT("'"&amp;$G$5&amp;"'!$C$37:$C$52"),W58,INDIRECT("'"&amp;$G$5&amp;"'!$B$37:$B$52"),"*Indirect*")/INDIRECT("'"&amp;$G$5&amp;"'!$F$2"),0)))</f>
        <v/>
      </c>
      <c r="AI58" s="133">
        <f>IF($G$6="",0,IF(W58&gt;'General Information'!$D$33,0,IFERROR(SUMIFS(INDIRECT("'"&amp;$G$6&amp;"'!$D$37:$D$52"),INDIRECT("'"&amp;$G$6&amp;"'!$C$37:$C$52"),W58,INDIRECT("'"&amp;$G$6&amp;"'!$B$37:$B$52"),"*Indirect*")/INDIRECT("'"&amp;$G$6&amp;"'!$F$2"),0)))</f>
        <v/>
      </c>
      <c r="AJ58" s="133">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3">
        <f>IF($G$4="",0,IF(W59&gt;'General Information'!$D$33,0,IFERROR(SUMIFS(INDIRECT("'"&amp;$G$4&amp;"'!$D$37:$D$52"),INDIRECT("'"&amp;$G$4&amp;"'!$C$37:$C$52"),W59,INDIRECT("'"&amp;$G$4&amp;"'!$B$37:$B$52"),"*Indirect*")/INDIRECT("'"&amp;$G$4&amp;"'!$F$2"),0)))</f>
        <v/>
      </c>
      <c r="AH59" s="133">
        <f>IF($G$5="",0,IF(W59&gt;'General Information'!$D$33,0,IFERROR(SUMIFS(INDIRECT("'"&amp;$G$5&amp;"'!$D$37:$D$52"),INDIRECT("'"&amp;$G$5&amp;"'!$C$37:$C$52"),W59,INDIRECT("'"&amp;$G$5&amp;"'!$B$37:$B$52"),"*Indirect*")/INDIRECT("'"&amp;$G$5&amp;"'!$F$2"),0)))</f>
        <v/>
      </c>
      <c r="AI59" s="133">
        <f>IF($G$6="",0,IF(W59&gt;'General Information'!$D$33,0,IFERROR(SUMIFS(INDIRECT("'"&amp;$G$6&amp;"'!$D$37:$D$52"),INDIRECT("'"&amp;$G$6&amp;"'!$C$37:$C$52"),W59,INDIRECT("'"&amp;$G$6&amp;"'!$B$37:$B$52"),"*Indirect*")/INDIRECT("'"&amp;$G$6&amp;"'!$F$2"),0)))</f>
        <v/>
      </c>
      <c r="AJ59" s="133">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3">
        <f>IF($G$4="",0,IF(W60&gt;'General Information'!$D$33,0,IFERROR(SUMIFS(INDIRECT("'"&amp;$G$4&amp;"'!$D$37:$D$52"),INDIRECT("'"&amp;$G$4&amp;"'!$C$37:$C$52"),W60,INDIRECT("'"&amp;$G$4&amp;"'!$B$37:$B$52"),"*Indirect*")/INDIRECT("'"&amp;$G$4&amp;"'!$F$2"),0)))</f>
        <v/>
      </c>
      <c r="AH60" s="133">
        <f>IF($G$5="",0,IF(W60&gt;'General Information'!$D$33,0,IFERROR(SUMIFS(INDIRECT("'"&amp;$G$5&amp;"'!$D$37:$D$52"),INDIRECT("'"&amp;$G$5&amp;"'!$C$37:$C$52"),W60,INDIRECT("'"&amp;$G$5&amp;"'!$B$37:$B$52"),"*Indirect*")/INDIRECT("'"&amp;$G$5&amp;"'!$F$2"),0)))</f>
        <v/>
      </c>
      <c r="AI60" s="133">
        <f>IF($G$6="",0,IF(W60&gt;'General Information'!$D$33,0,IFERROR(SUMIFS(INDIRECT("'"&amp;$G$6&amp;"'!$D$37:$D$52"),INDIRECT("'"&amp;$G$6&amp;"'!$C$37:$C$52"),W60,INDIRECT("'"&amp;$G$6&amp;"'!$B$37:$B$52"),"*Indirect*")/INDIRECT("'"&amp;$G$6&amp;"'!$F$2"),0)))</f>
        <v/>
      </c>
      <c r="AJ60" s="133">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3">
        <f>IF($G$4="",0,IF(W61&gt;'General Information'!$D$33,0,IFERROR(SUMIFS(INDIRECT("'"&amp;$G$4&amp;"'!$D$37:$D$52"),INDIRECT("'"&amp;$G$4&amp;"'!$C$37:$C$52"),W61,INDIRECT("'"&amp;$G$4&amp;"'!$B$37:$B$52"),"*Indirect*")/INDIRECT("'"&amp;$G$4&amp;"'!$F$2"),0)))</f>
        <v/>
      </c>
      <c r="AH61" s="133">
        <f>IF($G$5="",0,IF(W61&gt;'General Information'!$D$33,0,IFERROR(SUMIFS(INDIRECT("'"&amp;$G$5&amp;"'!$D$37:$D$52"),INDIRECT("'"&amp;$G$5&amp;"'!$C$37:$C$52"),W61,INDIRECT("'"&amp;$G$5&amp;"'!$B$37:$B$52"),"*Indirect*")/INDIRECT("'"&amp;$G$5&amp;"'!$F$2"),0)))</f>
        <v/>
      </c>
      <c r="AI61" s="133">
        <f>IF($G$6="",0,IF(W61&gt;'General Information'!$D$33,0,IFERROR(SUMIFS(INDIRECT("'"&amp;$G$6&amp;"'!$D$37:$D$52"),INDIRECT("'"&amp;$G$6&amp;"'!$C$37:$C$52"),W61,INDIRECT("'"&amp;$G$6&amp;"'!$B$37:$B$52"),"*Indirect*")/INDIRECT("'"&amp;$G$6&amp;"'!$F$2"),0)))</f>
        <v/>
      </c>
      <c r="AJ61" s="133">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3">
        <f>IF($G$4="",0,IF(W62&gt;'General Information'!$D$33,0,IFERROR(SUMIFS(INDIRECT("'"&amp;$G$4&amp;"'!$D$37:$D$52"),INDIRECT("'"&amp;$G$4&amp;"'!$C$37:$C$52"),W62,INDIRECT("'"&amp;$G$4&amp;"'!$B$37:$B$52"),"*Indirect*")/INDIRECT("'"&amp;$G$4&amp;"'!$F$2"),0)))</f>
        <v/>
      </c>
      <c r="AH62" s="133">
        <f>IF($G$5="",0,IF(W62&gt;'General Information'!$D$33,0,IFERROR(SUMIFS(INDIRECT("'"&amp;$G$5&amp;"'!$D$37:$D$52"),INDIRECT("'"&amp;$G$5&amp;"'!$C$37:$C$52"),W62,INDIRECT("'"&amp;$G$5&amp;"'!$B$37:$B$52"),"*Indirect*")/INDIRECT("'"&amp;$G$5&amp;"'!$F$2"),0)))</f>
        <v/>
      </c>
      <c r="AI62" s="133">
        <f>IF($G$6="",0,IF(W62&gt;'General Information'!$D$33,0,IFERROR(SUMIFS(INDIRECT("'"&amp;$G$6&amp;"'!$D$37:$D$52"),INDIRECT("'"&amp;$G$6&amp;"'!$C$37:$C$52"),W62,INDIRECT("'"&amp;$G$6&amp;"'!$B$37:$B$52"),"*Indirect*")/INDIRECT("'"&amp;$G$6&amp;"'!$F$2"),0)))</f>
        <v/>
      </c>
      <c r="AJ62" s="133">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3">
        <f>IF($G$4="",0,IF(W63&gt;'General Information'!$D$33,0,IFERROR(SUMIFS(INDIRECT("'"&amp;$G$4&amp;"'!$D$37:$D$52"),INDIRECT("'"&amp;$G$4&amp;"'!$C$37:$C$52"),W63,INDIRECT("'"&amp;$G$4&amp;"'!$B$37:$B$52"),"*Indirect*")/INDIRECT("'"&amp;$G$4&amp;"'!$F$2"),0)))</f>
        <v/>
      </c>
      <c r="AH63" s="133">
        <f>IF($G$5="",0,IF(W63&gt;'General Information'!$D$33,0,IFERROR(SUMIFS(INDIRECT("'"&amp;$G$5&amp;"'!$D$37:$D$52"),INDIRECT("'"&amp;$G$5&amp;"'!$C$37:$C$52"),W63,INDIRECT("'"&amp;$G$5&amp;"'!$B$37:$B$52"),"*Indirect*")/INDIRECT("'"&amp;$G$5&amp;"'!$F$2"),0)))</f>
        <v/>
      </c>
      <c r="AI63" s="133">
        <f>IF($G$6="",0,IF(W63&gt;'General Information'!$D$33,0,IFERROR(SUMIFS(INDIRECT("'"&amp;$G$6&amp;"'!$D$37:$D$52"),INDIRECT("'"&amp;$G$6&amp;"'!$C$37:$C$52"),W63,INDIRECT("'"&amp;$G$6&amp;"'!$B$37:$B$52"),"*Indirect*")/INDIRECT("'"&amp;$G$6&amp;"'!$F$2"),0)))</f>
        <v/>
      </c>
      <c r="AJ63" s="133">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3">
        <f>IF($G$4="",0,IF(W64&gt;'General Information'!$D$33,0,IFERROR(SUMIFS(INDIRECT("'"&amp;$G$4&amp;"'!$D$37:$D$52"),INDIRECT("'"&amp;$G$4&amp;"'!$C$37:$C$52"),W64,INDIRECT("'"&amp;$G$4&amp;"'!$B$37:$B$52"),"*Indirect*")/INDIRECT("'"&amp;$G$4&amp;"'!$F$2"),0)))</f>
        <v/>
      </c>
      <c r="AH64" s="133">
        <f>IF($G$5="",0,IF(W64&gt;'General Information'!$D$33,0,IFERROR(SUMIFS(INDIRECT("'"&amp;$G$5&amp;"'!$D$37:$D$52"),INDIRECT("'"&amp;$G$5&amp;"'!$C$37:$C$52"),W64,INDIRECT("'"&amp;$G$5&amp;"'!$B$37:$B$52"),"*Indirect*")/INDIRECT("'"&amp;$G$5&amp;"'!$F$2"),0)))</f>
        <v/>
      </c>
      <c r="AI64" s="133">
        <f>IF($G$6="",0,IF(W64&gt;'General Information'!$D$33,0,IFERROR(SUMIFS(INDIRECT("'"&amp;$G$6&amp;"'!$D$37:$D$52"),INDIRECT("'"&amp;$G$6&amp;"'!$C$37:$C$52"),W64,INDIRECT("'"&amp;$G$6&amp;"'!$B$37:$B$52"),"*Indirect*")/INDIRECT("'"&amp;$G$6&amp;"'!$F$2"),0)))</f>
        <v/>
      </c>
      <c r="AJ64" s="133">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3">
        <f>IF($G$4="",0,IF(W65&gt;'General Information'!$D$33,0,IFERROR(SUMIFS(INDIRECT("'"&amp;$G$4&amp;"'!$D$37:$D$52"),INDIRECT("'"&amp;$G$4&amp;"'!$C$37:$C$52"),W65,INDIRECT("'"&amp;$G$4&amp;"'!$B$37:$B$52"),"*Indirect*")/INDIRECT("'"&amp;$G$4&amp;"'!$F$2"),0)))</f>
        <v/>
      </c>
      <c r="AH65" s="133">
        <f>IF($G$5="",0,IF(W65&gt;'General Information'!$D$33,0,IFERROR(SUMIFS(INDIRECT("'"&amp;$G$5&amp;"'!$D$37:$D$52"),INDIRECT("'"&amp;$G$5&amp;"'!$C$37:$C$52"),W65,INDIRECT("'"&amp;$G$5&amp;"'!$B$37:$B$52"),"*Indirect*")/INDIRECT("'"&amp;$G$5&amp;"'!$F$2"),0)))</f>
        <v/>
      </c>
      <c r="AI65" s="133">
        <f>IF($G$6="",0,IF(W65&gt;'General Information'!$D$33,0,IFERROR(SUMIFS(INDIRECT("'"&amp;$G$6&amp;"'!$D$37:$D$52"),INDIRECT("'"&amp;$G$6&amp;"'!$C$37:$C$52"),W65,INDIRECT("'"&amp;$G$6&amp;"'!$B$37:$B$52"),"*Indirect*")/INDIRECT("'"&amp;$G$6&amp;"'!$F$2"),0)))</f>
        <v/>
      </c>
      <c r="AJ65" s="133">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3">
        <f>IF($G$4="",0,IF(W66&gt;'General Information'!$D$33,0,IFERROR(SUMIFS(INDIRECT("'"&amp;$G$4&amp;"'!$D$37:$D$52"),INDIRECT("'"&amp;$G$4&amp;"'!$C$37:$C$52"),W66,INDIRECT("'"&amp;$G$4&amp;"'!$B$37:$B$52"),"*Indirect*")/INDIRECT("'"&amp;$G$4&amp;"'!$F$2"),0)))</f>
        <v/>
      </c>
      <c r="AH66" s="133">
        <f>IF($G$5="",0,IF(W66&gt;'General Information'!$D$33,0,IFERROR(SUMIFS(INDIRECT("'"&amp;$G$5&amp;"'!$D$37:$D$52"),INDIRECT("'"&amp;$G$5&amp;"'!$C$37:$C$52"),W66,INDIRECT("'"&amp;$G$5&amp;"'!$B$37:$B$52"),"*Indirect*")/INDIRECT("'"&amp;$G$5&amp;"'!$F$2"),0)))</f>
        <v/>
      </c>
      <c r="AI66" s="133">
        <f>IF($G$6="",0,IF(W66&gt;'General Information'!$D$33,0,IFERROR(SUMIFS(INDIRECT("'"&amp;$G$6&amp;"'!$D$37:$D$52"),INDIRECT("'"&amp;$G$6&amp;"'!$C$37:$C$52"),W66,INDIRECT("'"&amp;$G$6&amp;"'!$B$37:$B$52"),"*Indirect*")/INDIRECT("'"&amp;$G$6&amp;"'!$F$2"),0)))</f>
        <v/>
      </c>
      <c r="AJ66" s="133">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3">
        <f>IF($G$4="",0,IF(W67&gt;'General Information'!$D$33,0,IFERROR(SUMIFS(INDIRECT("'"&amp;$G$4&amp;"'!$D$37:$D$52"),INDIRECT("'"&amp;$G$4&amp;"'!$C$37:$C$52"),W67,INDIRECT("'"&amp;$G$4&amp;"'!$B$37:$B$52"),"*Indirect*")/INDIRECT("'"&amp;$G$4&amp;"'!$F$2"),0)))</f>
        <v/>
      </c>
      <c r="AH67" s="133">
        <f>IF($G$5="",0,IF(W67&gt;'General Information'!$D$33,0,IFERROR(SUMIFS(INDIRECT("'"&amp;$G$5&amp;"'!$D$37:$D$52"),INDIRECT("'"&amp;$G$5&amp;"'!$C$37:$C$52"),W67,INDIRECT("'"&amp;$G$5&amp;"'!$B$37:$B$52"),"*Indirect*")/INDIRECT("'"&amp;$G$5&amp;"'!$F$2"),0)))</f>
        <v/>
      </c>
      <c r="AI67" s="133">
        <f>IF($G$6="",0,IF(W67&gt;'General Information'!$D$33,0,IFERROR(SUMIFS(INDIRECT("'"&amp;$G$6&amp;"'!$D$37:$D$52"),INDIRECT("'"&amp;$G$6&amp;"'!$C$37:$C$52"),W67,INDIRECT("'"&amp;$G$6&amp;"'!$B$37:$B$52"),"*Indirect*")/INDIRECT("'"&amp;$G$6&amp;"'!$F$2"),0)))</f>
        <v/>
      </c>
      <c r="AJ67" s="133">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3">
        <f>IF($G$4="",0,IF(W68&gt;'General Information'!$D$33,0,IFERROR(SUMIFS(INDIRECT("'"&amp;$G$4&amp;"'!$D$37:$D$52"),INDIRECT("'"&amp;$G$4&amp;"'!$C$37:$C$52"),W68,INDIRECT("'"&amp;$G$4&amp;"'!$B$37:$B$52"),"*Indirect*")/INDIRECT("'"&amp;$G$4&amp;"'!$F$2"),0)))</f>
        <v/>
      </c>
      <c r="AH68" s="133">
        <f>IF($G$5="",0,IF(W68&gt;'General Information'!$D$33,0,IFERROR(SUMIFS(INDIRECT("'"&amp;$G$5&amp;"'!$D$37:$D$52"),INDIRECT("'"&amp;$G$5&amp;"'!$C$37:$C$52"),W68,INDIRECT("'"&amp;$G$5&amp;"'!$B$37:$B$52"),"*Indirect*")/INDIRECT("'"&amp;$G$5&amp;"'!$F$2"),0)))</f>
        <v/>
      </c>
      <c r="AI68" s="133">
        <f>IF($G$6="",0,IF(W68&gt;'General Information'!$D$33,0,IFERROR(SUMIFS(INDIRECT("'"&amp;$G$6&amp;"'!$D$37:$D$52"),INDIRECT("'"&amp;$G$6&amp;"'!$C$37:$C$52"),W68,INDIRECT("'"&amp;$G$6&amp;"'!$B$37:$B$52"),"*Indirect*")/INDIRECT("'"&amp;$G$6&amp;"'!$F$2"),0)))</f>
        <v/>
      </c>
      <c r="AJ68" s="133">
        <f>IF($G$7="",0,IF(W68&gt;'General Information'!$D$33,0,IFERROR(SUMIFS(INDIRECT("'"&amp;$G$7&amp;"'!$D$37:$D$52"),INDIRECT("'"&amp;$G$7&amp;"'!$C$37:$C$52"),W68,INDIRECT("'"&amp;$G$7&amp;"'!$B$37:$B$52"),"*Indirect*")/INDIRECT("'"&amp;$G$7&amp;"'!$F$2"),0)))</f>
        <v/>
      </c>
    </row>
    <row r="69">
      <c r="G69" s="123" t="inlineStr">
        <is>
          <t>How to read: 1 shows where each alternative's cost sits; 2 whether the lowest-cost alternative holds at other discount rates (FAA AIP uses 7%); 3 and 4 when the money is spent and when the higher first cost is paid back; 5 how often and how long the runway closes.</t>
        </is>
      </c>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3">
        <f>IF($G$4="",0,IF(W69&gt;'General Information'!$D$33,0,IFERROR(SUMIFS(INDIRECT("'"&amp;$G$4&amp;"'!$D$37:$D$52"),INDIRECT("'"&amp;$G$4&amp;"'!$C$37:$C$52"),W69,INDIRECT("'"&amp;$G$4&amp;"'!$B$37:$B$52"),"*Indirect*")/INDIRECT("'"&amp;$G$4&amp;"'!$F$2"),0)))</f>
        <v/>
      </c>
      <c r="AH69" s="133">
        <f>IF($G$5="",0,IF(W69&gt;'General Information'!$D$33,0,IFERROR(SUMIFS(INDIRECT("'"&amp;$G$5&amp;"'!$D$37:$D$52"),INDIRECT("'"&amp;$G$5&amp;"'!$C$37:$C$52"),W69,INDIRECT("'"&amp;$G$5&amp;"'!$B$37:$B$52"),"*Indirect*")/INDIRECT("'"&amp;$G$5&amp;"'!$F$2"),0)))</f>
        <v/>
      </c>
      <c r="AI69" s="133">
        <f>IF($G$6="",0,IF(W69&gt;'General Information'!$D$33,0,IFERROR(SUMIFS(INDIRECT("'"&amp;$G$6&amp;"'!$D$37:$D$52"),INDIRECT("'"&amp;$G$6&amp;"'!$C$37:$C$52"),W69,INDIRECT("'"&amp;$G$6&amp;"'!$B$37:$B$52"),"*Indirect*")/INDIRECT("'"&amp;$G$6&amp;"'!$F$2"),0)))</f>
        <v/>
      </c>
      <c r="AJ69" s="133">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3">
        <f>IF($G$4="",0,IF(W70&gt;'General Information'!$D$33,0,IFERROR(SUMIFS(INDIRECT("'"&amp;$G$4&amp;"'!$D$37:$D$52"),INDIRECT("'"&amp;$G$4&amp;"'!$C$37:$C$52"),W70,INDIRECT("'"&amp;$G$4&amp;"'!$B$37:$B$52"),"*Indirect*")/INDIRECT("'"&amp;$G$4&amp;"'!$F$2"),0)))</f>
        <v/>
      </c>
      <c r="AH70" s="133">
        <f>IF($G$5="",0,IF(W70&gt;'General Information'!$D$33,0,IFERROR(SUMIFS(INDIRECT("'"&amp;$G$5&amp;"'!$D$37:$D$52"),INDIRECT("'"&amp;$G$5&amp;"'!$C$37:$C$52"),W70,INDIRECT("'"&amp;$G$5&amp;"'!$B$37:$B$52"),"*Indirect*")/INDIRECT("'"&amp;$G$5&amp;"'!$F$2"),0)))</f>
        <v/>
      </c>
      <c r="AI70" s="133">
        <f>IF($G$6="",0,IF(W70&gt;'General Information'!$D$33,0,IFERROR(SUMIFS(INDIRECT("'"&amp;$G$6&amp;"'!$D$37:$D$52"),INDIRECT("'"&amp;$G$6&amp;"'!$C$37:$C$52"),W70,INDIRECT("'"&amp;$G$6&amp;"'!$B$37:$B$52"),"*Indirect*")/INDIRECT("'"&amp;$G$6&amp;"'!$F$2"),0)))</f>
        <v/>
      </c>
      <c r="AJ70" s="133">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3">
        <f>IF($G$4="",0,IF(W71&gt;'General Information'!$D$33,0,IFERROR(SUMIFS(INDIRECT("'"&amp;$G$4&amp;"'!$D$37:$D$52"),INDIRECT("'"&amp;$G$4&amp;"'!$C$37:$C$52"),W71,INDIRECT("'"&amp;$G$4&amp;"'!$B$37:$B$52"),"*Indirect*")/INDIRECT("'"&amp;$G$4&amp;"'!$F$2"),0)))</f>
        <v/>
      </c>
      <c r="AH71" s="133">
        <f>IF($G$5="",0,IF(W71&gt;'General Information'!$D$33,0,IFERROR(SUMIFS(INDIRECT("'"&amp;$G$5&amp;"'!$D$37:$D$52"),INDIRECT("'"&amp;$G$5&amp;"'!$C$37:$C$52"),W71,INDIRECT("'"&amp;$G$5&amp;"'!$B$37:$B$52"),"*Indirect*")/INDIRECT("'"&amp;$G$5&amp;"'!$F$2"),0)))</f>
        <v/>
      </c>
      <c r="AI71" s="133">
        <f>IF($G$6="",0,IF(W71&gt;'General Information'!$D$33,0,IFERROR(SUMIFS(INDIRECT("'"&amp;$G$6&amp;"'!$D$37:$D$52"),INDIRECT("'"&amp;$G$6&amp;"'!$C$37:$C$52"),W71,INDIRECT("'"&amp;$G$6&amp;"'!$B$37:$B$52"),"*Indirect*")/INDIRECT("'"&amp;$G$6&amp;"'!$F$2"),0)))</f>
        <v/>
      </c>
      <c r="AJ71" s="133">
        <f>IF($G$7="",0,IF(W71&gt;'General Information'!$D$33,0,IFERROR(SUMIFS(INDIRECT("'"&amp;$G$7&amp;"'!$D$37:$D$52"),INDIRECT("'"&amp;$G$7&amp;"'!$C$37:$C$52"),W71,INDIRECT("'"&amp;$G$7&amp;"'!$B$37:$B$52"),"*Indirect*")/INDIRECT("'"&amp;$G$7&amp;"'!$F$2"),0)))</f>
        <v/>
      </c>
    </row>
  </sheetData>
  <pageMargins left="0.75" right="0.75" top="1" bottom="1" header="0.5" footer="0.5"/>
  <pageSetup orientation="landscape" fitToWidth="1" fitToHeight="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4B88566-E933-4244-856C-A2F9DB7159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Bruinsma</dc:creator>
  <cp:lastModifiedBy>Marti Denis</cp:lastModifiedBy>
  <dcterms:created xsi:type="dcterms:W3CDTF">2021-03-15T15:18:27Z</dcterms:created>
  <dcterms:modified xsi:type="dcterms:W3CDTF">2026-08-18T19:02:43Z</dcterms:modified>
</cp:coreProperties>
</file>
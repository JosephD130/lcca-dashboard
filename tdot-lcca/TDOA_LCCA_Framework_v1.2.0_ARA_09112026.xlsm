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Summary!$A$1:$R$118</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<sst xmlns="http://schemas.openxmlformats.org/spreadsheetml/2006/main" count="1480" uniqueCount="637">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</sst>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52"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0F7B4F"/>
      <name val="Arial"/>
      <family val="2"/>
    </font>
    <font>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
      <b/>
      <sz val="8"/>
      <color rgb="FF5B6675"/>
      <name val="Arial"/>
      <family val="2"/>
    </font>
    <font>
      <b/>
      <sz val="18"/>
      <color rgb="FF1D2733"/>
      <name val="Arial"/>
      <family val="2"/>
    </font>
    <font>
      <sz val="8"/>
      <color rgb="FF5B6675"/>
      <name val="Arial"/>
      <family val="2"/>
    </font>
    <font>
      <b/>
      <sz val="9"/>
      <color rgb="FFFFFFFF"/>
      <name val="Arial"/>
      <family val="2"/>
    </font>
    <font>
      <sz val="9"/>
      <color rgb="FF5B6675"/>
      <name val="Arial"/>
      <family val="2"/>
    </font>
    <font>
      <sz val="9"/>
      <color rgb="FF1D2733"/>
      <name val="Arial"/>
      <family val="2"/>
    </font>
    <font>
      <sz val="9"/>
      <color rgb="FF1D2733"/>
      <name val="Arial"/>
      <family val="2"/>
    </font>
    <font>
      <i/>
      <sz val="8"/>
      <color rgb="FF5B6675"/>
      <name val="Arial"/>
      <family val="2"/>
    </font>
    <font>
      <i/>
      <sz val="8"/>
      <color rgb="FF5B6675"/>
      <name val="Arial"/>
      <family val="2"/>
    </font>
    <font>
      <b/>
      <sz val="10"/>
      <color rgb="FF2A78D6"/>
      <name val="Arial"/>
      <family val="2"/>
    </font>
    <font>
      <sz val="10"/>
      <color rgb="FF5B6675"/>
      <name val="Arial"/>
      <family val="2"/>
    </font>
    <font>
      <sz val="10"/>
      <color rgb="FF5B6675"/>
      <name val="Arial"/>
      <family val="2"/>
    </font>
  </fonts>
  <fills count="134">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1D2733"/>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s>
  <borders count="131">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thin">
        <color rgb="FFC8102E"/>
      </left>
      <right style="thin">
        <color rgb="FFC8102E"/>
      </right>
      <top style="thin">
        <color rgb="FFC8102E"/>
      </top>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
      <left style="thin">
        <color rgb="FFDFE4EA"/>
      </left>
      <right style="thin">
        <color rgb="FFDFE4EA"/>
      </right>
      <top style="thin">
        <color rgb="FFDFE4EA"/>
      </top>
      <bottom/>
      <diagonal/>
    </border>
    <border>
      <left style="thin">
        <color rgb="FFDFE4EA"/>
      </left>
      <right style="thin">
        <color rgb="FFDFE4EA"/>
      </right>
      <top/>
      <bottom/>
      <diagonal/>
    </border>
    <border>
      <left style="thin">
        <color rgb="FFDFE4EA"/>
      </left>
      <right style="thin">
        <color rgb="FFDFE4EA"/>
      </right>
      <top/>
      <bottom style="thin">
        <color rgb="FFDFE4EA"/>
      </bottom>
      <diagonal/>
    </border>
    <border>
      <left style="thin">
        <color rgb="FFBFBFBF"/>
      </left>
      <right style="thin">
        <color rgb="FFBFBFBF"/>
      </right>
      <top style="thin">
        <color rgb="FFBFBFBF"/>
      </top>
      <bottom style="thin">
        <color rgb="FFBFBFBF"/>
      </bottom>
      <diagonal/>
    </border>
    <border>
      <left style="thin">
        <color rgb="FFDFE4EA"/>
      </left>
      <right/>
      <top/>
      <bottom/>
      <diagonal/>
    </border>
    <border>
      <left/>
      <right style="thin">
        <color rgb="FFDFE4EA"/>
      </right>
      <top/>
      <bottom/>
      <diagonal/>
    </border>
    <border>
      <left/>
      <right/>
      <top/>
      <bottom/>
      <diagonal/>
    </border>
    <border>
      <left/>
      <right/>
      <top/>
      <bottom style="thin">
        <color rgb="FFDFE4EA"/>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21">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borderId="107" applyBorder="1" applyAlignment="1">
      <alignment horizontal="left" vertical="center" indent="1"/>
    </xf>
    <xf numFmtId="0" xfId="0" fontId="112" applyFont="1" fillId="101" applyFill="1" borderId="108" applyBorder="1" applyAlignment="1">
      <alignment horizontal="left" vertical="center" indent="1"/>
    </xf>
    <xf numFmtId="0" xfId="0" fontId="113" applyFont="1" fillId="102" applyFill="1" borderId="109" applyBorder="1" applyAlignment="1">
      <alignment horizontal="left" vertical="center" indent="1"/>
    </xf>
    <xf numFmtId="0" xfId="0" fontId="114" applyFont="1" fillId="103" applyFill="1" borderId="110" applyBorder="1" applyAlignment="1">
      <alignment horizontal="left" vertical="center" indent="1"/>
    </xf>
    <xf numFmtId="0" xfId="0" fontId="115" applyFont="1" fillId="104" applyFill="1" borderId="111" applyBorder="1" applyAlignment="1">
      <alignment horizontal="left" vertical="center"/>
    </xf>
    <xf numFmtId="0" xfId="0" fontId="116" applyFont="1" fillId="105" applyFill="1" borderId="112" applyBorder="1" applyAlignment="1">
      <alignment horizontal="left" vertical="center" indent="1"/>
    </xf>
    <xf numFmtId="0" xfId="0" fontId="117" applyFont="1" fillId="106" applyFill="1" borderId="113" applyBorder="1" applyAlignment="1">
      <alignment horizontal="left" vertical="center"/>
    </xf>
    <xf numFmtId="0" xfId="0" fontId="118" applyFont="1" fillId="107" applyFill="1" borderId="114" applyBorder="1" applyAlignment="1">
      <alignment horizontal="left" vertical="center" indent="1"/>
    </xf>
    <xf numFmtId="0" xfId="0" fontId="119" applyFont="1" fillId="108" applyFill="1" borderId="115" applyBorder="1" applyAlignment="1">
      <alignment horizontal="left" vertical="center"/>
    </xf>
    <xf numFmtId="0" xfId="0" fontId="120" applyFont="1" fillId="109" applyFill="1" borderId="116" applyBorder="1" applyAlignment="1">
      <alignment horizontal="left" vertical="center"/>
    </xf>
    <xf numFmtId="0" xfId="0" fontId="121" applyFont="1" fillId="110" applyFill="1" borderId="117" applyBorder="1" applyAlignment="1">
      <alignment horizontal="left" vertical="center"/>
    </xf>
    <xf numFmtId="0" xfId="0" fontId="122" applyFont="1" fillId="111" applyFill="1" borderId="118" applyBorder="1" applyAlignment="1">
      <alignment horizontal="left" vertical="center" indent="1"/>
    </xf>
    <xf numFmtId="0" xfId="0" fillId="112" applyFill="1"/>
    <xf numFmtId="0" xfId="0" fontId="123" applyFont="1" fillId="113" applyFill="1" applyAlignment="1">
      <alignment horizontal="left" vertical="center"/>
    </xf>
    <xf numFmtId="0" xfId="0" fontId="124" applyFont="1" applyAlignment="1">
      <alignment horizontal="left" vertical="center" indent="1"/>
    </xf>
    <xf numFmtId="0" xfId="0" fontId="125" applyFont="1" borderId="119" applyBorder="1" applyAlignment="1">
      <alignment horizontal="left" vertical="center" indent="1"/>
    </xf>
    <xf numFmtId="201" xfId="0" applyNumberFormat="1" fontId="126" applyFont="1" borderId="120" applyBorder="1" applyAlignment="1">
      <alignment horizontal="right" vertical="center"/>
    </xf>
    <xf numFmtId="0" xfId="0" fontId="127" applyFont="1" fillId="114" applyFill="1" applyAlignment="1">
      <alignment horizontal="left" vertical="center" indent="1"/>
    </xf>
    <xf numFmtId="0" xfId="0" fontId="128" applyFont="1" fillId="115" applyFill="1" applyAlignment="1">
      <alignment horizontal="center" vertical="center"/>
    </xf>
    <xf numFmtId="202" xfId="0" applyNumberFormat="1" fontId="129" applyFont="1" fillId="116" applyFill="1" applyAlignment="1">
      <alignment horizontal="right" vertical="center"/>
    </xf>
    <xf numFmtId="0" xfId="0" fontId="130" applyFont="1" fillId="117" applyFill="1" applyAlignment="1">
      <alignment horizontal="left" vertical="center" indent="1"/>
    </xf>
    <xf numFmtId="0" xfId="0" fontId="131" applyFont="1" fillId="118" applyFill="1" applyAlignment="1">
      <alignment horizontal="center" vertical="center"/>
    </xf>
    <xf numFmtId="203" xfId="0" applyNumberFormat="1" fontId="132" applyFont="1" fillId="119" applyFill="1" applyAlignment="1">
      <alignment horizontal="right" vertical="center"/>
    </xf>
    <xf numFmtId="0" xfId="0" fontId="133" applyFont="1" applyAlignment="1">
      <alignment horizontal="left" vertical="center" indent="2"/>
    </xf>
    <xf numFmtId="0" xfId="0" fontId="134" applyFont="1" fillId="120" applyFill="1" applyAlignment="1">
      <alignment horizontal="left" vertical="center" indent="1"/>
    </xf>
    <xf numFmtId="0" xfId="0" fillId="121" applyFill="1"/>
    <xf numFmtId="204" xfId="0" applyNumberFormat="1" fontId="135" applyFont="1" fillId="122" applyFill="1" applyAlignment="1">
      <alignment horizontal="right" vertical="center"/>
    </xf>
    <xf numFmtId="0" xfId="0" fontId="136" applyFont="1" fillId="123" applyFill="1" applyAlignment="1">
      <alignment horizontal="center" vertical="center"/>
    </xf>
    <xf numFmtId="0" xfId="0" fontId="137" applyFont="1" borderId="121" applyBorder="1" applyAlignment="1">
      <alignment horizontal="left" vertical="center"/>
    </xf>
    <xf numFmtId="0" xfId="0" borderId="122" applyBorder="1"/>
    <xf numFmtId="0" xfId="0" fontId="138" applyFont="1" fillId="124" applyFill="1" applyAlignment="1">
      <alignment horizontal="left" vertical="center" wrapText="1" indent="1"/>
    </xf>
    <xf numFmtId="0" xfId="0" fontId="139" applyFont="1" applyAlignment="1">
      <alignment horizontal="left" vertical="center" wrapText="1" indent="1"/>
    </xf>
    <xf numFmtId="0" xfId="0" fontId="140" applyFont="1" fillId="125" applyFill="1" borderId="123" applyBorder="1" applyAlignment="1">
      <alignment horizontal="left" vertical="center" indent="1"/>
    </xf>
    <xf numFmtId="0" xfId="0" fontId="141" applyFont="1" fillId="126" applyFill="1" borderId="124" applyBorder="1" applyAlignment="1">
      <alignment horizontal="left" vertical="center" indent="1"/>
    </xf>
    <xf numFmtId="0" xfId="0" fontId="142" applyFont="1" fillId="127" applyFill="1" borderId="125" applyBorder="1" applyAlignment="1">
      <alignment horizontal="left" vertical="top" wrapText="1" indent="1"/>
    </xf>
    <xf numFmtId="0" xfId="0" fontId="143" applyFont="1" fillId="128" applyFill="1" applyAlignment="1">
      <alignment horizontal="left" vertical="center" indent="1"/>
    </xf>
    <xf numFmtId="0" xfId="0" fontId="144" applyFont="1" applyAlignment="1">
      <alignment horizontal="left" vertical="center" indent="1"/>
    </xf>
    <xf numFmtId="0" xfId="0" fontId="145" applyFont="1" applyAlignment="1">
      <alignment horizontal="left" vertical="center" indent="1"/>
    </xf>
    <xf numFmtId="0" xfId="0" fontId="146" applyFont="1" fillId="129" applyFill="1" borderId="126" applyBorder="1" applyAlignment="1">
      <alignment horizontal="right" vertical="center"/>
    </xf>
    <xf numFmtId="0" xfId="0" fontId="147" applyFont="1" applyAlignment="1">
      <alignment horizontal="left" vertical="center" indent="1"/>
    </xf>
    <xf numFmtId="0" xfId="0" fontId="148" applyFont="1" borderId="127" applyBorder="1" applyAlignment="1">
      <alignment horizontal="left" vertical="center" wrapText="1" indent="1"/>
    </xf>
    <xf numFmtId="0" xfId="0" fontId="149" applyFont="1" fillId="130" applyFill="1" borderId="128" applyBorder="1" applyAlignment="1">
      <alignment horizontal="left" vertical="center"/>
    </xf>
    <xf numFmtId="0" xfId="0" fillId="131" applyFill="1"/>
    <xf numFmtId="0" xfId="0" fontId="150" applyFont="1" fillId="132" applyFill="1" borderId="129" applyBorder="1" applyAlignment="1">
      <alignment horizontal="left" vertical="center"/>
    </xf>
    <xf numFmtId="0" xfId="0" fontId="151" applyFont="1" fillId="133" applyFill="1" borderId="130" applyBorder="1" applyAlignment="1">
      <alignment horizontal="left" vertical="center"/>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9"/>
          <y val="0.19"/>
          <w val="0.89"/>
          <h val="0.56"/>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9"/>
          <y val="0.19"/>
          <w val="0.89"/>
          <h val="0.56"/>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9"/>
          <y val="0.19"/>
          <w val="0.89"/>
          <h val="0.56"/>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9"/>
          <y val="0.19"/>
          <w val="0.89"/>
          <h val="0.56"/>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9"/>
          <y val="0.19"/>
          <w val="0.89"/>
          <h val="0.56"/>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9"/>
          <y val="0.19"/>
          <w val="0.89"/>
          <h val="0.6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805488" cy="30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33338</xdr:colOff>
      <xdr:row>29</xdr:row>
      <xdr:rowOff>0</xdr:rowOff>
    </xdr:from>
    <xdr:ext cx="5805488" cy="30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2855119" cy="180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483394</xdr:colOff>
      <xdr:row>47</xdr:row>
      <xdr:rowOff>0</xdr:rowOff>
    </xdr:from>
    <xdr:ext cx="2855119" cy="180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33338</xdr:colOff>
      <xdr:row>47</xdr:row>
      <xdr:rowOff>0</xdr:rowOff>
    </xdr:from>
    <xdr:ext cx="2855119" cy="180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58</xdr:row>
      <xdr:rowOff>0</xdr:rowOff>
    </xdr:from>
    <xdr:ext cx="2855119" cy="180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483394</xdr:colOff>
      <xdr:row>58</xdr:row>
      <xdr:rowOff>0</xdr:rowOff>
    </xdr:from>
    <xdr:ext cx="2855119" cy="180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383381</xdr:colOff>
      <xdr:row>47</xdr:row>
      <xdr:rowOff>0</xdr:rowOff>
    </xdr:from>
    <xdr:ext cx="2855119" cy="180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6</xdr:col>
      <xdr:colOff>0</xdr:colOff>
      <xdr:row>99</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8</xdr:col>
      <xdr:colOff>620813</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7" t="s">
        <v>263</v>
      </c>
      <c r="B4" s="288"/>
      <c r="C4" s="289" t="s">
        <v>487</v>
      </c>
      <c r="D4" s="288"/>
      <c r="E4" s="97" t="s">
        <v>600</v>
      </c>
      <c r="F4" s="112">
        <f>ROUNDUP(C5*550/(50*100/9)/10000,0)+ROUNDUP(C5*'Maintenance Policies'!D38/10000,0)+ROUNDUP(C5*'Maintenance Policies'!D39/5000,0)+ROUNDUP(C5*'Maintenance Policies'!D40/5000,0)</f>
        <v>0</v>
      </c>
    </row>
    <row r="5" spans="1:24" x14ac:dyDescent="0.25">
      <c r="A5" s="287" t="s">
        <v>346</v>
      </c>
      <c r="B5" s="288"/>
      <c r="C5" s="289">
        <f>'General Information'!D26</f>
        <v>0</v>
      </c>
      <c r="D5" s="288" t="s">
        <v>6</v>
      </c>
      <c r="E5" s="99" t="s">
        <v>604</v>
      </c>
      <c r="F5" s="113">
        <f>ROUNDUP(C5*550/(50*100/9)/10000,0)+ROUNDUP(C5*'Maintenance Policies'!D44/10000,0)+ROUNDUP(C5*'Maintenance Policies'!D43/5000,0)+ROUNDUP(C5*'Maintenance Policies'!D42/5000,0)+ROUNDUP(C5*'Maintenance Policies'!D41/1000,0)+7</f>
        <v>0</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9"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3" t="s">
        <v>77</v>
      </c>
      <c r="C40" s="294">
        <f>'Maintenance Policies'!E41</f>
        <v>27</v>
      </c>
      <c r="D40" s="295">
        <f>X21</f>
        <v>0</v>
      </c>
      <c r="E40" s="295">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9"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6" t="s">
        <v>85</v>
      </c>
      <c r="C42" s="297">
        <f>'General Information'!D33</f>
        <v>10</v>
      </c>
      <c r="D42" s="298">
        <f>-'Maintenance Policies'!D46*G27</f>
        <v>0</v>
      </c>
      <c r="E42" s="298">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300" t="s">
        <v>328</v>
      </c>
      <c r="C43" s="301"/>
      <c r="D43" s="301"/>
      <c r="E43" s="302"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15" t="inlineStr">
        <is>
          <t xml:space="preserve">General Information</t>
        </is>
      </c>
      <c r="D1" s="214" t="inlineStr">
        <is>
          <t xml:space="preserve">STEP 2 of 5   ·   fill in the grey cells, D9 to D39.</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ht="20" customHeight="1">
      <c r="B8" s="217" t="inlineStr">
        <is>
          <t xml:space="preserve">Airport information</t>
        </is>
      </c>
      <c r="D8" s="217"/>
      <c r="E8" s="318"/>
      <c r="L8" s="7" t="s">
        <v>246</v>
      </c>
      <c r="M8" s="7" t="s">
        <v>245</v>
      </c>
      <c r="N8" s="7" t="s">
        <v>509</v>
      </c>
      <c r="O8" s="7" t="s">
        <v>510</v>
      </c>
      <c r="P8" s="7" t="s">
        <v>247</v>
      </c>
      <c r="Q8" s="7" t="s">
        <v>250</v>
      </c>
      <c r="S8" s="5" t="s">
        <v>455</v>
      </c>
    </row>
    <row r="9" spans="2:19" x14ac:dyDescent="0.2" ht="28" customHeight="1">
      <c r="B9" s="226"/>
      <c r="C9" s="319"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B10" s="226"/>
      <c r="C10" s="319" t="s">
        <v>249</v>
      </c>
      <c r="D10" s="92" t="str">
        <f>IF(D9="","N/A",VLOOKUP(Airport_Name,Table17[],2))</f>
        <v>N/A</v>
      </c>
      <c r="L10" s="5" t="s">
        <v>166</v>
      </c>
      <c r="M10" s="5" t="s">
        <v>165</v>
      </c>
      <c r="N10" s="5" t="s">
        <v>423</v>
      </c>
      <c r="O10" s="5" t="s">
        <v>511</v>
      </c>
      <c r="P10" s="5" t="s">
        <v>64</v>
      </c>
      <c r="S10" s="5" t="s">
        <v>456</v>
      </c>
    </row>
    <row r="11" spans="2:19" x14ac:dyDescent="0.2">
      <c r="B11" s="226"/>
      <c r="C11" s="319" t="s">
        <v>586</v>
      </c>
      <c r="D11" s="92" t="str">
        <f>IF(D9="","N/A",VLOOKUP(Airport_Name,Table17[],3))</f>
        <v>N/A</v>
      </c>
      <c r="L11" s="5" t="s">
        <v>184</v>
      </c>
      <c r="M11" s="5" t="s">
        <v>183</v>
      </c>
      <c r="N11" s="5" t="s">
        <v>390</v>
      </c>
      <c r="O11" s="5" t="s">
        <v>512</v>
      </c>
      <c r="P11" s="5" t="s">
        <v>65</v>
      </c>
      <c r="S11" s="5" t="s">
        <v>457</v>
      </c>
    </row>
    <row r="12" spans="2:19" x14ac:dyDescent="0.2">
      <c r="B12" s="226"/>
      <c r="C12" s="319" t="inlineStr">
        <is>
          <t>County:</t>
        </is>
      </c>
      <c r="D12" s="92" t="str">
        <f>IF(D9="","N/A",VLOOKUP(Airport_Name,Table17[],4))</f>
        <v>N/A</v>
      </c>
      <c r="L12" s="5" t="s">
        <v>212</v>
      </c>
      <c r="M12" s="5" t="s">
        <v>211</v>
      </c>
      <c r="N12" s="5" t="s">
        <v>405</v>
      </c>
      <c r="O12" s="5" t="s">
        <v>513</v>
      </c>
      <c r="P12" s="5" t="s">
        <v>65</v>
      </c>
      <c r="S12" s="5" t="s">
        <v>458</v>
      </c>
    </row>
    <row r="13" spans="2:19" x14ac:dyDescent="0.2">
      <c r="B13" s="226"/>
      <c r="C13" s="319" t="s">
        <v>451</v>
      </c>
      <c r="D13" s="92" t="str">
        <f>IF(D9="","N/A",VLOOKUP(Airport_Name,Table17[],5))</f>
        <v>N/A</v>
      </c>
      <c r="L13" s="5" t="s">
        <v>117</v>
      </c>
      <c r="M13" s="5" t="s">
        <v>116</v>
      </c>
      <c r="N13" s="5" t="s">
        <v>370</v>
      </c>
      <c r="O13" s="5" t="s">
        <v>514</v>
      </c>
      <c r="P13" s="5" t="s">
        <v>65</v>
      </c>
    </row>
    <row r="14" spans="2:19" x14ac:dyDescent="0.2">
      <c r="B14" s="226"/>
      <c r="C14" s="319" t="s">
        <v>90</v>
      </c>
      <c r="D14" s="207"/>
      <c r="L14" s="5" t="s">
        <v>228</v>
      </c>
      <c r="M14" s="5" t="s">
        <v>227</v>
      </c>
      <c r="N14" s="5" t="s">
        <v>430</v>
      </c>
      <c r="O14" s="5" t="s">
        <v>515</v>
      </c>
      <c r="P14" s="5" t="s">
        <v>64</v>
      </c>
    </row>
    <row r="15" spans="2:19" x14ac:dyDescent="0.2">
      <c r="B15" s="226"/>
      <c r="C15" s="319" t="s">
        <v>91</v>
      </c>
      <c r="D15" s="207"/>
      <c r="L15" s="5" t="s">
        <v>168</v>
      </c>
      <c r="M15" s="5" t="s">
        <v>167</v>
      </c>
      <c r="N15" s="5" t="s">
        <v>393</v>
      </c>
      <c r="O15" s="5" t="s">
        <v>516</v>
      </c>
      <c r="P15" s="5" t="s">
        <v>65</v>
      </c>
      <c r="S15" s="5" t="s">
        <v>460</v>
      </c>
    </row>
    <row r="16" spans="2:19" x14ac:dyDescent="0.2">
      <c r="B16" s="226"/>
      <c r="C16" s="319" t="s">
        <v>92</v>
      </c>
      <c r="D16" s="207"/>
      <c r="L16" s="5" t="s">
        <v>162</v>
      </c>
      <c r="M16" s="5" t="s">
        <v>161</v>
      </c>
      <c r="N16" s="5" t="s">
        <v>371</v>
      </c>
      <c r="O16" s="5" t="s">
        <v>517</v>
      </c>
      <c r="P16" s="5" t="s">
        <v>64</v>
      </c>
    </row>
    <row r="17" spans="2:19" x14ac:dyDescent="0.2">
      <c r="B17" s="229"/>
      <c r="C17" s="320"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ht="20" customHeight="1">
      <c r="B20" s="217" t="inlineStr">
        <is>
          <t xml:space="preserve">Project and pavement</t>
        </is>
      </c>
      <c r="D20" s="217"/>
      <c r="E20" s="318"/>
      <c r="L20" s="5" t="s">
        <v>154</v>
      </c>
      <c r="M20" s="5" t="s">
        <v>153</v>
      </c>
      <c r="N20" s="5" t="s">
        <v>377</v>
      </c>
      <c r="O20" s="5" t="s">
        <v>523</v>
      </c>
      <c r="P20" s="5" t="s">
        <v>66</v>
      </c>
    </row>
    <row r="21" spans="2:19" x14ac:dyDescent="0.2">
      <c r="B21" s="226"/>
      <c r="C21" s="319" t="s">
        <v>251</v>
      </c>
      <c r="D21" s="207"/>
      <c r="L21" s="5" t="s">
        <v>450</v>
      </c>
      <c r="M21" s="5" t="s">
        <v>169</v>
      </c>
      <c r="N21" s="5" t="s">
        <v>394</v>
      </c>
      <c r="O21" s="5" t="s">
        <v>524</v>
      </c>
      <c r="P21" s="5" t="s">
        <v>66</v>
      </c>
      <c r="S21" s="5" t="s">
        <v>485</v>
      </c>
    </row>
    <row r="22" spans="2:19" x14ac:dyDescent="0.2">
      <c r="B22" s="226"/>
      <c r="C22" s="319" t="s">
        <v>260</v>
      </c>
      <c r="D22" s="207"/>
      <c r="L22" s="5" t="s">
        <v>177</v>
      </c>
      <c r="M22" s="5" t="s">
        <v>176</v>
      </c>
      <c r="N22" s="5" t="s">
        <v>380</v>
      </c>
      <c r="O22" s="5" t="s">
        <v>525</v>
      </c>
      <c r="P22" s="5" t="s">
        <v>65</v>
      </c>
    </row>
    <row r="23" spans="2:19" x14ac:dyDescent="0.2">
      <c r="B23" s="226"/>
      <c r="C23" s="319" t="s">
        <v>261</v>
      </c>
      <c r="D23" s="207"/>
      <c r="L23" s="5" t="s">
        <v>149</v>
      </c>
      <c r="M23" s="5" t="s">
        <v>148</v>
      </c>
      <c r="N23" s="5" t="s">
        <v>381</v>
      </c>
      <c r="O23" s="5" t="s">
        <v>526</v>
      </c>
      <c r="P23" s="5" t="s">
        <v>66</v>
      </c>
      <c r="S23" s="5" t="s">
        <v>484</v>
      </c>
    </row>
    <row r="24" spans="2:19" x14ac:dyDescent="0.2">
      <c r="B24" s="226"/>
      <c r="C24" s="319" t="s">
        <v>256</v>
      </c>
      <c r="D24" s="207"/>
      <c r="L24" s="5" t="s">
        <v>244</v>
      </c>
      <c r="M24" s="5" t="s">
        <v>243</v>
      </c>
      <c r="N24" s="5" t="s">
        <v>372</v>
      </c>
      <c r="O24" s="5" t="s">
        <v>523</v>
      </c>
      <c r="P24" s="5" t="s">
        <v>66</v>
      </c>
      <c r="S24" s="5" t="s">
        <v>483</v>
      </c>
    </row>
    <row r="25" spans="2:19" x14ac:dyDescent="0.2">
      <c r="B25" s="226"/>
      <c r="C25" s="319"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B26" s="226"/>
      <c r="C26" s="319" t="s">
        <v>268</v>
      </c>
      <c r="D26" s="73"/>
      <c r="F26" s="160" t="inlineStr">
        <is>
          <t xml:space="preserve">Length x width / 9. TN GA: 4,000-6,000 ft x 75-100 ft wide.</t>
        </is>
      </c>
      <c r="L26" s="5" t="s">
        <v>152</v>
      </c>
      <c r="M26" s="5" t="s">
        <v>151</v>
      </c>
      <c r="N26" s="5" t="s">
        <v>384</v>
      </c>
      <c r="O26" s="5" t="s">
        <v>527</v>
      </c>
      <c r="P26" s="5" t="s">
        <v>65</v>
      </c>
    </row>
    <row r="27" spans="2:19" x14ac:dyDescent="0.2">
      <c r="B27" s="226"/>
      <c r="C27" s="319" t="s">
        <v>269</v>
      </c>
      <c r="D27" s="73"/>
      <c r="F27" s="160" t="inlineStr">
        <is>
          <t xml:space="preserve">Paved shoulders only; usually 0 at TN GA airports.</t>
        </is>
      </c>
      <c r="L27" s="5" t="s">
        <v>113</v>
      </c>
      <c r="M27" s="5" t="s">
        <v>112</v>
      </c>
      <c r="N27" s="5" t="s">
        <v>385</v>
      </c>
      <c r="O27" s="5" t="s">
        <v>528</v>
      </c>
      <c r="P27" s="5" t="s">
        <v>66</v>
      </c>
    </row>
    <row r="28" spans="2:19" x14ac:dyDescent="0.2">
      <c r="B28" s="226"/>
      <c r="C28" s="319" t="s">
        <v>270</v>
      </c>
      <c r="D28" s="73"/>
      <c r="F28" s="160" t="inlineStr">
        <is>
          <t xml:space="preserve">About 2,000-3,000 SF per 1,000 ft of runway.</t>
        </is>
      </c>
      <c r="L28" s="5" t="s">
        <v>171</v>
      </c>
      <c r="M28" s="5" t="s">
        <v>170</v>
      </c>
      <c r="N28" s="5" t="s">
        <v>404</v>
      </c>
      <c r="O28" s="5" t="s">
        <v>529</v>
      </c>
      <c r="P28" s="5" t="s">
        <v>64</v>
      </c>
    </row>
    <row r="29" spans="2:19" x14ac:dyDescent="0.2">
      <c r="B29" s="229"/>
      <c r="C29" s="320"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ht="20" customHeight="1">
      <c r="B32" s="217" t="inlineStr">
        <is>
          <t xml:space="preserve">LCCA parameters</t>
        </is>
      </c>
      <c r="D32" s="217"/>
      <c r="E32" s="318"/>
      <c r="L32" s="5" t="s">
        <v>238</v>
      </c>
      <c r="M32" s="5" t="s">
        <v>237</v>
      </c>
      <c r="N32" s="5" t="s">
        <v>429</v>
      </c>
      <c r="O32" s="5" t="s">
        <v>533</v>
      </c>
      <c r="P32" s="5" t="s">
        <v>64</v>
      </c>
    </row>
    <row r="33" spans="2:16" x14ac:dyDescent="0.2">
      <c r="B33" s="226"/>
      <c r="C33" s="319"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B34" s="226"/>
      <c r="C34" s="319" t="s">
        <v>271</v>
      </c>
      <c r="D34" s="88">
        <v>3</v>
      </c>
      <c r="F34" s="160" t="inlineStr">
        <is>
          <t xml:space="preserve">TDOT 3%. FAA uses the OMB A-94 real rate, 2.0% in 2026.</t>
        </is>
      </c>
      <c r="L34" s="5" t="s">
        <v>173</v>
      </c>
      <c r="M34" s="5" t="s">
        <v>172</v>
      </c>
      <c r="N34" s="5" t="s">
        <v>411</v>
      </c>
      <c r="O34" s="5" t="s">
        <v>518</v>
      </c>
      <c r="P34" s="5" t="s">
        <v>65</v>
      </c>
    </row>
    <row r="35" spans="2:16" x14ac:dyDescent="0.2">
      <c r="B35" s="226"/>
      <c r="C35" s="319"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B36" s="226"/>
      <c r="C36" s="319" t="s">
        <v>257</v>
      </c>
      <c r="D36" s="88">
        <v>10</v>
      </c>
      <c r="F36" s="160" t="inlineStr">
        <is>
          <t xml:space="preserve">Percent of pay items; workbook default 10.</t>
        </is>
      </c>
      <c r="L36" s="5" t="s">
        <v>160</v>
      </c>
      <c r="M36" s="5" t="s">
        <v>159</v>
      </c>
      <c r="N36" s="5" t="s">
        <v>389</v>
      </c>
      <c r="O36" s="5" t="s">
        <v>536</v>
      </c>
      <c r="P36" s="5" t="s">
        <v>66</v>
      </c>
    </row>
    <row r="37" spans="2:16" x14ac:dyDescent="0.2">
      <c r="B37" s="226"/>
      <c r="C37" s="319"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B38" s="226"/>
      <c r="C38" s="319"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B39" s="229"/>
      <c r="C39" s="320"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ht="20" customHeight="1">
      <c r="B41" s="217" t="inlineStr">
        <is>
          <t xml:space="preserve">Alternative Setup</t>
        </is>
      </c>
      <c r="C41" s="217"/>
      <c r="E41" s="318"/>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ht="20" customHeight="1">
      <c r="B43" s="217" t="inlineStr">
        <is>
          <t xml:space="preserve">Where to go next</t>
        </is>
      </c>
      <c r="C43" s="217"/>
      <c r="D43" s="217"/>
      <c r="L43" s="5" t="s">
        <v>123</v>
      </c>
      <c r="M43" s="5" t="s">
        <v>122</v>
      </c>
      <c r="N43" s="5" t="s">
        <v>387</v>
      </c>
      <c r="O43" s="5" t="s">
        <v>395</v>
      </c>
      <c r="P43" s="5" t="s">
        <v>64</v>
      </c>
    </row>
    <row r="44" spans="2:16" x14ac:dyDescent="0.2" ht="19" customHeight="1">
      <c r="B44" s="234" t="inlineStr">
        <is>
          <t>LCCA Summary:</t>
        </is>
      </c>
      <c r="C44" s="234"/>
      <c r="D44" s="317" t="str">
        <f>HYPERLINK("#Summary!G1","View Summary  ►")</f>
        <v>View Summary  ►</v>
      </c>
      <c r="L44" s="5" t="s">
        <v>449</v>
      </c>
      <c r="M44" s="5" t="s">
        <v>180</v>
      </c>
      <c r="N44" s="5" t="s">
        <v>406</v>
      </c>
      <c r="O44" s="5" t="s">
        <v>542</v>
      </c>
      <c r="P44" s="5" t="s">
        <v>64</v>
      </c>
    </row>
    <row r="45" spans="2:16" x14ac:dyDescent="0.2" ht="19" customHeight="1">
      <c r="B45" s="234" t="inlineStr">
        <is>
          <t>Typical input values:</t>
        </is>
      </c>
      <c r="C45" s="234"/>
      <c r="D45" s="317" t="str">
        <f>HYPERLINK("#'Typical Values'!A1","Typical Values  ►")</f>
        <v>Typical Values  ►</v>
      </c>
      <c r="L45" s="5" t="s">
        <v>129</v>
      </c>
      <c r="M45" s="5" t="s">
        <v>128</v>
      </c>
      <c r="N45" s="5" t="s">
        <v>396</v>
      </c>
      <c r="O45" s="5" t="s">
        <v>543</v>
      </c>
      <c r="P45" s="5" t="s">
        <v>64</v>
      </c>
    </row>
    <row r="46" spans="2:16" x14ac:dyDescent="0.2" ht="19" customHeight="1">
      <c r="B46" s="234" t="inlineStr">
        <is>
          <t>How it is calculated:</t>
        </is>
      </c>
      <c r="C46" s="234"/>
      <c r="D46" s="317" t="str">
        <f>HYPERLINK("#Method!A1","Method  ►")</f>
        <v>Method  ►</v>
      </c>
      <c r="L46" s="5" t="s">
        <v>115</v>
      </c>
      <c r="M46" s="5" t="s">
        <v>114</v>
      </c>
      <c r="N46" s="5" t="s">
        <v>391</v>
      </c>
      <c r="O46" s="5" t="s">
        <v>544</v>
      </c>
      <c r="P46" s="5" t="s">
        <v>64</v>
      </c>
    </row>
    <row r="47" spans="2:16" x14ac:dyDescent="0.2" ht="19" customHeight="1">
      <c r="B47" s="234" t="inlineStr">
        <is>
          <t>Unit costs:</t>
        </is>
      </c>
      <c r="C47" s="234"/>
      <c r="D47" s="317" t="str">
        <f>HYPERLINK("#Pay_Items!A1","Pay_Items  ►")</f>
        <v>Pay_Items  ►</v>
      </c>
      <c r="L47" s="5" t="s">
        <v>448</v>
      </c>
      <c r="M47" s="5" t="s">
        <v>418</v>
      </c>
      <c r="N47" s="5" t="s">
        <v>417</v>
      </c>
      <c r="O47" s="5" t="s">
        <v>545</v>
      </c>
      <c r="P47" s="5" t="s">
        <v>64</v>
      </c>
    </row>
    <row r="48" spans="2:16" x14ac:dyDescent="0.2" ht="19" customHeight="1">
      <c r="B48" s="234" t="inlineStr">
        <is>
          <t>Maintenance policies:</t>
        </is>
      </c>
      <c r="C48" s="234"/>
      <c r="D48" s="317"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13">
    <mergeCell ref="F2:J2"/>
    <mergeCell ref="F3:J7"/>
    <mergeCell ref="F9:J9"/>
    <mergeCell ref="B43:D43"/>
    <mergeCell ref="B41:C41"/>
    <mergeCell ref="B44:C44"/>
    <mergeCell ref="B45:C45"/>
    <mergeCell ref="B46:C46"/>
    <mergeCell ref="B47:C47"/>
    <mergeCell ref="B48:C48"/>
    <mergeCell ref="B8:D8"/>
    <mergeCell ref="B20:D20"/>
    <mergeCell ref="B32:D32"/>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19" style="5" customWidth="1"/>
    <col min="2" max="2" width="18" style="5" customWidth="1"/>
    <col min="3" max="3" width="13" style="5" customWidth="1"/>
    <col min="4" max="4" width="63" style="5" customWidth="1"/>
    <col min="5" max="5" width="7" style="5" customWidth="1"/>
    <col min="6" max="6" width="11" style="5" customWidth="1"/>
    <col min="7" max="7" width="10" style="5" customWidth="1"/>
    <col min="8" max="8" width="10" style="5" customWidth="1"/>
    <col min="9" max="9" width="10" style="5" customWidth="1"/>
    <col min="10" max="10" width="15"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7"/>
      <c r="F1" s="256" t="inlineStr">
        <is>
          <t xml:space="preserve">STEP 3 of 5</t>
        </is>
      </c>
      <c r="G1" s="115" t="s">
        <v>267</v>
      </c>
      <c r="H1" s="115"/>
      <c r="I1" s="115"/>
    </row>
    <row r="2" spans="1:10" x14ac:dyDescent="0.2" ht="22" customHeight="1">
      <c r="A2" s="217" t="s">
        <v>51</v>
      </c>
      <c r="B2" s="217" t="s">
        <v>505</v>
      </c>
      <c r="C2" s="217" t="s">
        <v>52</v>
      </c>
      <c r="D2" s="217" t="s">
        <v>53</v>
      </c>
      <c r="E2" s="258" t="s">
        <v>266</v>
      </c>
      <c r="F2" s="258" t="s">
        <v>320</v>
      </c>
      <c r="G2" s="258" t="s">
        <v>64</v>
      </c>
      <c r="H2" s="258" t="s">
        <v>65</v>
      </c>
      <c r="I2" s="258" t="s">
        <v>66</v>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6">
    <mergeCell ref="G1:I1"/>
    <mergeCell ref="A61:J61"/>
    <mergeCell ref="A62:J62"/>
    <mergeCell ref="A63:J63"/>
    <mergeCell ref="A64:J64"/>
    <mergeCell ref="D1:E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7" t="inlineStr">
        <is>
          <t xml:space="preserve">Salvage credit</t>
        </is>
      </c>
      <c r="D6" s="278"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9" t="s">
        <v>77</v>
      </c>
      <c r="C22" s="280" t="s">
        <v>78</v>
      </c>
      <c r="D22" s="263">
        <v>1</v>
      </c>
      <c r="E22" s="267">
        <v>20</v>
      </c>
      <c r="F22" s="280"/>
    </row>
    <row r="23" spans="2:5" ht="12.6" customHeight="1" x14ac:dyDescent="0.2">
      <c r="B23" s="281"/>
      <c r="C23" s="282" t="s">
        <v>79</v>
      </c>
      <c r="D23" s="263">
        <v>1.4999999999999999E-2</v>
      </c>
      <c r="E23" s="268"/>
      <c r="F23" s="282"/>
    </row>
    <row r="24" spans="2:5" ht="12.6" customHeight="1" x14ac:dyDescent="0.2">
      <c r="B24" s="281"/>
      <c r="C24" s="282" t="s">
        <v>80</v>
      </c>
      <c r="D24" s="263">
        <v>5.0000000000000001E-3</v>
      </c>
      <c r="E24" s="268"/>
      <c r="F24" s="282"/>
    </row>
    <row r="25" spans="2:5" ht="13.15" customHeight="1" thickBot="1" x14ac:dyDescent="0.25">
      <c r="B25" s="283"/>
      <c r="C25" s="284" t="s">
        <v>69</v>
      </c>
      <c r="D25" s="263">
        <v>1</v>
      </c>
      <c r="E25" s="269"/>
      <c r="F25" s="284"/>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7" t="s">
        <v>85</v>
      </c>
      <c r="C32" s="285"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70">
        <f>'General Information'!$D$33</f>
      </c>
      <c r="F32" s="285">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9" t="s">
        <v>77</v>
      </c>
      <c r="C41" s="280" t="s">
        <v>101</v>
      </c>
      <c r="D41" s="263">
        <v>0.02</v>
      </c>
      <c r="E41" s="267">
        <v>27</v>
      </c>
      <c r="F41" s="280"/>
    </row>
    <row r="42" spans="2:5" ht="12.6" customHeight="1" x14ac:dyDescent="0.2">
      <c r="B42" s="281"/>
      <c r="C42" s="282" t="s">
        <v>100</v>
      </c>
      <c r="D42" s="263">
        <v>3.0000000000000001E-3</v>
      </c>
      <c r="E42" s="268"/>
      <c r="F42" s="282"/>
    </row>
    <row r="43" spans="2:5" ht="12.6" customHeight="1" x14ac:dyDescent="0.2">
      <c r="B43" s="281"/>
      <c r="C43" s="282" t="s">
        <v>99</v>
      </c>
      <c r="D43" s="263">
        <v>1.2999999999999999E-3</v>
      </c>
      <c r="E43" s="268"/>
      <c r="F43" s="282"/>
    </row>
    <row r="44" spans="2:5" ht="12.6" customHeight="1" x14ac:dyDescent="0.2">
      <c r="B44" s="281"/>
      <c r="C44" s="282" t="s">
        <v>102</v>
      </c>
      <c r="D44" s="263">
        <v>3.0000000000000001E-3</v>
      </c>
      <c r="E44" s="268"/>
      <c r="F44" s="282"/>
    </row>
    <row r="45" spans="2:5" ht="13.15" customHeight="1" thickBot="1" x14ac:dyDescent="0.25">
      <c r="B45" s="283"/>
      <c r="C45" s="284" t="s">
        <v>103</v>
      </c>
      <c r="D45" s="263">
        <v>1</v>
      </c>
      <c r="E45" s="269"/>
      <c r="F45" s="284"/>
    </row>
    <row r="46" spans="2:5" ht="13.5" thickBot="1" x14ac:dyDescent="0.25">
      <c r="B46" s="277" t="s">
        <v>85</v>
      </c>
      <c r="C46" s="285" t="str">
        <f>"Salvage value: "&amp;TEXT(D46*F46,"0.#")&amp;" of 40 years left on the initial construction"&amp;" ("&amp;TEXT(D46,"0.0%")&amp;" of its cost) at the "&amp;'General Information'!$D$33&amp;"-year analysis period"</f>
      </c>
      <c r="D46" s="40">
        <f>MAX(0,MIN(1,(0+F46-'General Information'!$D$33)/F46))</f>
      </c>
      <c r="E46" s="270">
        <f>'General Information'!$D$33</f>
      </c>
      <c r="F46" s="285">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9" t="s">
        <v>491</v>
      </c>
      <c r="C59" s="280" t="s">
        <v>78</v>
      </c>
      <c r="D59" s="263">
        <v>1</v>
      </c>
      <c r="E59" s="267">
        <v>16</v>
      </c>
      <c r="F59" s="280"/>
    </row>
    <row r="60" spans="2:5" x14ac:dyDescent="0.2">
      <c r="B60" s="281"/>
      <c r="C60" s="282" t="s">
        <v>492</v>
      </c>
      <c r="D60" s="263">
        <v>1.4999999999999999E-2</v>
      </c>
      <c r="E60" s="268"/>
      <c r="F60" s="282"/>
    </row>
    <row r="61" spans="2:5" x14ac:dyDescent="0.2">
      <c r="B61" s="281"/>
      <c r="C61" s="282" t="s">
        <v>493</v>
      </c>
      <c r="D61" s="263">
        <v>5.0000000000000001E-3</v>
      </c>
      <c r="E61" s="268"/>
      <c r="F61" s="282"/>
    </row>
    <row r="62" spans="2:5" ht="13.5" thickBot="1" x14ac:dyDescent="0.25">
      <c r="B62" s="283"/>
      <c r="C62" s="284" t="s">
        <v>69</v>
      </c>
      <c r="D62" s="263">
        <v>1</v>
      </c>
      <c r="E62" s="269"/>
      <c r="F62" s="284"/>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78" t="s">
        <v>85</v>
      </c>
      <c r="C71" s="286" t="s">
        <v>498</v>
      </c>
      <c r="D71" s="40">
        <v>0</v>
      </c>
      <c r="E71" s="273">
        <f>'General Information'!$D$33</f>
      </c>
      <c r="F71" s="286"/>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9" t="s">
        <v>77</v>
      </c>
      <c r="C80" s="280" t="s">
        <v>500</v>
      </c>
      <c r="D80" s="263">
        <v>0.05</v>
      </c>
      <c r="E80" s="267">
        <v>25</v>
      </c>
      <c r="F80" s="280"/>
    </row>
    <row r="81" spans="2:5" x14ac:dyDescent="0.2">
      <c r="B81" s="281"/>
      <c r="C81" s="282" t="s">
        <v>100</v>
      </c>
      <c r="D81" s="263">
        <v>3.0000000000000001E-3</v>
      </c>
      <c r="E81" s="268"/>
      <c r="F81" s="282"/>
    </row>
    <row r="82" spans="2:5" x14ac:dyDescent="0.2">
      <c r="B82" s="281"/>
      <c r="C82" s="282" t="s">
        <v>503</v>
      </c>
      <c r="D82" s="263">
        <v>1.5E-3</v>
      </c>
      <c r="E82" s="268"/>
      <c r="F82" s="282"/>
    </row>
    <row r="83" spans="2:5" x14ac:dyDescent="0.2">
      <c r="B83" s="281"/>
      <c r="C83" s="282" t="s">
        <v>102</v>
      </c>
      <c r="D83" s="263">
        <v>3.0000000000000001E-3</v>
      </c>
      <c r="E83" s="268"/>
      <c r="F83" s="282"/>
    </row>
    <row r="84" spans="2:5" ht="13.5" thickBot="1" x14ac:dyDescent="0.25">
      <c r="B84" s="283"/>
      <c r="C84" s="284" t="s">
        <v>103</v>
      </c>
      <c r="D84" s="263">
        <v>1</v>
      </c>
      <c r="E84" s="269"/>
      <c r="F84" s="284"/>
    </row>
    <row r="85" spans="2:5" ht="13.5" thickBot="1" x14ac:dyDescent="0.25">
      <c r="B85" s="278" t="s">
        <v>85</v>
      </c>
      <c r="C85" s="286" t="s">
        <v>498</v>
      </c>
      <c r="D85" s="43">
        <v>0</v>
      </c>
      <c r="E85" s="273">
        <f>'General Information'!$D$33</f>
      </c>
      <c r="F85" s="286"/>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7" t="s">
        <v>263</v>
      </c>
      <c r="B4" s="288"/>
      <c r="C4" s="289" t="s">
        <v>486</v>
      </c>
      <c r="D4" s="288"/>
      <c r="E4" s="97" t="s">
        <v>600</v>
      </c>
      <c r="F4" s="112">
        <f>ROUNDUP((C5/15000),0)+ROUNDUP((C8/20000),0)+ROUNDUP((C8/50000),0)</f>
        <v>0</v>
      </c>
    </row>
    <row r="5" spans="1:64" x14ac:dyDescent="0.25">
      <c r="A5" s="287" t="s">
        <v>346</v>
      </c>
      <c r="B5" s="288"/>
      <c r="C5" s="289">
        <f>'General Information'!D26</f>
        <v>0</v>
      </c>
      <c r="D5" s="288" t="s">
        <v>6</v>
      </c>
      <c r="E5" s="97" t="s">
        <v>601</v>
      </c>
      <c r="F5" s="112">
        <f>ROUNDUP((C5/15000),0)+ROUNDUP((C8/20000),0)+ROUNDUP((C8/50000),0)</f>
        <v>0</v>
      </c>
    </row>
    <row r="6" spans="1:64" x14ac:dyDescent="0.25">
      <c r="A6" s="287" t="s">
        <v>262</v>
      </c>
      <c r="B6" s="288"/>
      <c r="C6" s="289">
        <f>'General Information'!D25</f>
        <v>0</v>
      </c>
      <c r="D6" s="288"/>
      <c r="E6" s="97" t="s">
        <v>602</v>
      </c>
      <c r="F6" s="112">
        <f>ROUNDUP((C5/15000),0)+ROUNDUP((C8/20000),0)+ROUNDUP((C8/50000),0)+ROUNDUP((C5*'Maintenance Policies'!D15/10000),0)+ROUNDUP((C5*'Maintenance Policies'!D14/5000),0)</f>
        <v>0</v>
      </c>
      <c r="AP6" s="61" t="s">
        <v>355</v>
      </c>
      <c r="AQ6" s="61">
        <v>2</v>
      </c>
      <c r="AR6" s="61" t="s">
        <v>356</v>
      </c>
    </row>
    <row r="7" spans="1:64" x14ac:dyDescent="0.25">
      <c r="A7" s="287" t="s">
        <v>324</v>
      </c>
      <c r="B7" s="288"/>
      <c r="C7" s="289" t="s">
        <v>276</v>
      </c>
      <c r="D7" s="288"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7" t="s">
        <v>345</v>
      </c>
      <c r="B8" s="288"/>
      <c r="C8" s="289">
        <f>'General Information'!D28</f>
        <v>0</v>
      </c>
      <c r="D8" s="28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9"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9"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9"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9"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3" t="s">
        <v>77</v>
      </c>
      <c r="C45" s="294">
        <f>'Maintenance Policies'!E22</f>
        <v>20</v>
      </c>
      <c r="D45" s="295">
        <f>AV22</f>
        <v>0</v>
      </c>
      <c r="E45" s="295">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9"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9"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9"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6" t="s">
        <v>85</v>
      </c>
      <c r="C51" s="297">
        <f>'General Information'!D33</f>
        <v>10</v>
      </c>
      <c r="D51" s="298">
        <f>-'Maintenance Policies'!D32*AV22</f>
        <v>0</v>
      </c>
      <c r="E51" s="298">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300" t="s">
        <v>328</v>
      </c>
      <c r="C52" s="301"/>
      <c r="D52" s="301"/>
      <c r="E52" s="302"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486</v>
      </c>
      <c r="D4" s="288"/>
    </row>
    <row r="5" spans="1:64" x14ac:dyDescent="0.25">
      <c r="A5" s="287" t="s">
        <v>346</v>
      </c>
      <c r="B5" s="288"/>
      <c r="C5" s="289">
        <f>'General Information'!D26</f>
        <v>0</v>
      </c>
      <c r="D5" s="288" t="s">
        <v>6</v>
      </c>
    </row>
    <row r="6" spans="1:64" x14ac:dyDescent="0.25">
      <c r="A6" s="287" t="s">
        <v>262</v>
      </c>
      <c r="B6" s="288"/>
      <c r="C6" s="289">
        <f>'General Information'!D25</f>
        <v>0</v>
      </c>
      <c r="D6" s="288"/>
      <c r="AP6" s="61" t="s">
        <v>355</v>
      </c>
      <c r="AQ6" s="61">
        <v>2</v>
      </c>
      <c r="AR6" s="61" t="s">
        <v>356</v>
      </c>
    </row>
    <row r="7" spans="1:64" x14ac:dyDescent="0.25">
      <c r="A7" s="287" t="s">
        <v>324</v>
      </c>
      <c r="B7" s="288"/>
      <c r="C7" s="289" t="s">
        <v>276</v>
      </c>
      <c r="D7" s="288" t="s">
        <v>476</v>
      </c>
      <c r="AP7" s="61" t="s">
        <v>357</v>
      </c>
      <c r="AQ7" s="61">
        <v>120</v>
      </c>
      <c r="AR7" s="61" t="s">
        <v>358</v>
      </c>
    </row>
    <row r="8" spans="1:64" x14ac:dyDescent="0.25">
      <c r="A8" s="287" t="s">
        <v>345</v>
      </c>
      <c r="B8" s="288"/>
      <c r="C8" s="289">
        <f>'General Information'!D28</f>
        <v>0</v>
      </c>
      <c r="D8" s="28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3" t="s">
        <v>77</v>
      </c>
      <c r="C41" s="294">
        <f>'Maintenance Policies'!E22</f>
        <v>20</v>
      </c>
      <c r="D41" s="295">
        <f>AV22</f>
        <v>0</v>
      </c>
      <c r="E41" s="295">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Policies'!D32*AV22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7" t="s">
        <v>263</v>
      </c>
      <c r="B4" s="288"/>
      <c r="C4" s="289" t="s">
        <v>487</v>
      </c>
      <c r="D4" s="288"/>
    </row>
    <row r="5" spans="1:24" x14ac:dyDescent="0.25">
      <c r="A5" s="287" t="s">
        <v>346</v>
      </c>
      <c r="B5" s="288"/>
      <c r="C5" s="289">
        <f>'General Information'!D26</f>
        <v>0</v>
      </c>
      <c r="D5" s="288" t="s">
        <v>6</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3" t="s">
        <v>77</v>
      </c>
      <c r="C39" s="294">
        <f>'Maintenance Policies'!E41</f>
        <v>27</v>
      </c>
      <c r="D39" s="295">
        <f>X21</f>
        <v>0</v>
      </c>
      <c r="E39" s="295">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6" t="s">
        <v>85</v>
      </c>
      <c r="C40" s="297">
        <f>'General Information'!D33</f>
        <v>10</v>
      </c>
      <c r="D40" s="298">
        <f>-'Maintenance Policies'!D46*G27</f>
        <v>0</v>
      </c>
      <c r="E40" s="298">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300" t="s">
        <v>328</v>
      </c>
      <c r="C41" s="301"/>
      <c r="D41" s="301"/>
      <c r="E41" s="302">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499</v>
      </c>
      <c r="D4" s="288"/>
    </row>
    <row r="5" spans="1:64" x14ac:dyDescent="0.25">
      <c r="A5" s="287" t="s">
        <v>346</v>
      </c>
      <c r="B5" s="288"/>
      <c r="C5" s="289">
        <f>'General Information'!D26</f>
        <v>0</v>
      </c>
      <c r="D5" s="288" t="s">
        <v>6</v>
      </c>
    </row>
    <row r="6" spans="1:64" x14ac:dyDescent="0.25">
      <c r="A6" s="287" t="s">
        <v>262</v>
      </c>
      <c r="B6" s="288"/>
      <c r="C6" s="289">
        <f>'General Information'!D25</f>
        <v>0</v>
      </c>
      <c r="D6" s="288"/>
      <c r="AH6" t="s">
        <v>355</v>
      </c>
      <c r="AI6">
        <v>2</v>
      </c>
      <c r="AJ6" t="s">
        <v>356</v>
      </c>
    </row>
    <row r="7" spans="1:64" x14ac:dyDescent="0.25">
      <c r="A7" s="287" t="s">
        <v>324</v>
      </c>
      <c r="B7" s="288"/>
      <c r="C7" s="289" t="s">
        <v>276</v>
      </c>
      <c r="D7" s="288" t="s">
        <v>476</v>
      </c>
      <c r="AH7" t="s">
        <v>357</v>
      </c>
      <c r="AI7">
        <v>120</v>
      </c>
      <c r="AJ7" t="s">
        <v>358</v>
      </c>
    </row>
    <row r="8" spans="1:64" x14ac:dyDescent="0.25">
      <c r="A8" s="287" t="s">
        <v>345</v>
      </c>
      <c r="B8" s="288"/>
      <c r="C8" s="289">
        <f>'General Information'!D28</f>
        <v>0</v>
      </c>
      <c r="D8" s="28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s="4" customFormat="1" x14ac:dyDescent="0.25" ht="22" customHeight="1">
      <c r="A27" s="291" t="s">
        <v>349</v>
      </c>
      <c r="B27" s="291"/>
      <c r="C27" s="291"/>
      <c r="D27" s="291"/>
      <c r="E27" s="291"/>
      <c r="F27" s="291"/>
      <c r="G27" s="292">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3" t="s">
        <v>77</v>
      </c>
      <c r="C40" s="294">
        <f>'Maintenance Policies'!E59</f>
        <v>16</v>
      </c>
      <c r="D40" s="295">
        <f>AN22</f>
        <v>0</v>
      </c>
      <c r="E40" s="295">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Policies'!D71*AN22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showGridLines="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6" customWidth="1" min="7" max="7"/>
    <col width="20" customWidth="1" min="8" max="8"/>
    <col width="12" customWidth="1" min="9" max="9"/>
    <col width="13" customWidth="1" min="10" max="10"/>
    <col width="13" customWidth="1" min="11" max="11"/>
    <col width="13" customWidth="1" min="12" max="12"/>
    <col width="13" customWidth="1" min="13" max="13"/>
    <col width="13" customWidth="1" min="14" max="14"/>
    <col width="13" customWidth="1" min="15" max="15"/>
    <col width="21" customWidth="1" min="16" max="16"/>
    <col width="21"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I1" s="215" t="inlineStr">
        <is>
          <t xml:space="preserve">LCCA SUMMARY</t>
        </is>
      </c>
      <c r="K1" s="214" t="inlineStr">
        <is>
          <t xml:space="preserve">STEP 5 of 5</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row>
    <row r="3" ht="14" customHeight="1">
      <c r="A3" s="124" t="inlineStr">
        <is>
          <t>Alternative</t>
        </is>
      </c>
      <c r="B3" s="124" t="inlineStr">
        <is>
          <t>Name</t>
        </is>
      </c>
      <c r="C3" s="124" t="inlineStr">
        <is>
          <t>Initial Construction</t>
        </is>
      </c>
      <c r="D3" s="124" t="inlineStr">
        <is>
          <t>Present Worth</t>
        </is>
      </c>
      <c r="E3" s="124" t="inlineStr">
        <is>
          <t>Alternative Description</t>
        </is>
      </c>
      <c r="G3" s="308" t="inlineStr">
        <is>
          <t>LOWEST PRESENT WORTH</t>
        </is>
      </c>
      <c r="H3" s="308"/>
      <c r="I3" s="308"/>
      <c r="J3" s="308"/>
      <c r="K3" s="308" t="inlineStr">
        <is>
          <t>MARGIN TO NEXT</t>
        </is>
      </c>
      <c r="L3" s="308"/>
      <c r="M3" s="308"/>
      <c r="N3" s="308"/>
      <c r="O3" s="308" t="inlineStr">
        <is>
          <t>EQUIVALENT ANNUAL COST</t>
        </is>
      </c>
      <c r="P3" s="308"/>
      <c r="Q3" s="308"/>
      <c r="R3" s="308"/>
      <c r="W3" s="122" t="inlineStr">
        <is>
          <t>Present worth by category</t>
        </is>
      </c>
    </row>
    <row r="4" ht="26" customHeight="1">
      <c r="G4" s="309">
        <f>IF(COUNT($O$12:$O$15)=0,"-",TEXT(MIN($O$12:$O$15),"$#,##0"))</f>
        <v/>
      </c>
      <c r="H4" s="309"/>
      <c r="I4" s="309"/>
      <c r="J4" s="309"/>
      <c r="K4" s="309">
        <f>IF(COUNT($O$12:$O$15)&lt;2,"-",TEXT(IF(COUNT($O$12:$O$15)&lt;2,0,SMALL($O$12:$O$15,2)-MIN($O$12:$O$15)),"$#,##0"))</f>
        <v/>
      </c>
      <c r="L4" s="309"/>
      <c r="M4" s="309"/>
      <c r="N4" s="309"/>
      <c r="O4" s="309">
        <f>IF(COUNT($O$12:$O$15)=0,"-",TEXT(MIN($O$12:$O$15)*(('General Information'!$D$34/100)*(1+'General Information'!$D$34/100)^'General Information'!$D$33/((1+'General Information'!$D$34/100)^'General Information'!$D$33-1)),"$#,##0"))</f>
        <v/>
      </c>
      <c r="P4" s="309"/>
      <c r="Q4" s="309"/>
      <c r="R4" s="309"/>
      <c r="W4" s="124" t="inlineStr">
        <is>
          <t>Category</t>
        </is>
      </c>
      <c r="X4" s="124">
        <f>IF($H$12="","",$H$12)</f>
        <v/>
      </c>
      <c r="Y4" s="124">
        <f>IF($H$13="","",$H$13)</f>
        <v/>
      </c>
      <c r="Z4" s="124">
        <f>IF($H$14="","",$H$14)</f>
        <v/>
      </c>
      <c r="AA4" s="124">
        <f>IF($H$15="","",$H$15)</f>
        <v/>
      </c>
    </row>
    <row r="5" ht="20" customHeight="1">
      <c r="G5" s="310">
        <f>IF(COUNT($O$12:$O$15)=0,"No alternatives yet",INDEX($H$12:$H$15,MATCH(MIN($O$12:$O$15),$O$12:$O$15,0))&amp;IF(INDEX($P$93:$P$96,MATCH(MIN($O$12:$O$15),$O$12:$O$15,0))="",""," - "&amp;INDEX($P$93:$P$96,MATCH(MIN($O$12:$O$15),$O$12:$O$15,0))))</f>
        <v/>
      </c>
      <c r="H5" s="310"/>
      <c r="I5" s="310"/>
      <c r="J5" s="310"/>
      <c r="K5" s="310">
        <f>IF(COUNT($O$12:$O$15)&lt;2,"only one alternative so far",TEXT(IF(COUNT($O$12:$O$15)&lt;2,0,SMALL($O$12:$O$15,2)-MIN($O$12:$O$15))/MIN($O$12:$O$15),"0.0%")&amp;IF(IF(COUNT($O$12:$O$15)&lt;2,0,SMALL($O$12:$O$15,2)-MIN($O$12:$O$15))/MIN($O$12:$O$15)&lt;0.05," - under 5%, treat the two as tied"," of the lowest present worth"))</f>
        <v/>
      </c>
      <c r="L5" s="310"/>
      <c r="M5" s="310"/>
      <c r="N5" s="310"/>
      <c r="O5" s="310">
        <f>"per year, "&amp;'General Information'!$D$33&amp;" years at "&amp;'General Information'!$D$34&amp;"%"</f>
        <v/>
      </c>
      <c r="P5" s="310"/>
      <c r="Q5" s="310"/>
      <c r="R5" s="310"/>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4" customHeight="1">
      <c r="G7" s="308" t="inlineStr">
        <is>
          <t>INITIAL CONSTRUCTION</t>
        </is>
      </c>
      <c r="H7" s="308"/>
      <c r="I7" s="308"/>
      <c r="J7" s="308"/>
      <c r="K7" s="308" t="inlineStr">
        <is>
          <t>UNIT COST</t>
        </is>
      </c>
      <c r="L7" s="308"/>
      <c r="M7" s="308"/>
      <c r="N7" s="308"/>
      <c r="O7" s="308" t="inlineStr">
        <is>
          <t>RATE SENSITIVITY</t>
        </is>
      </c>
      <c r="P7" s="308"/>
      <c r="Q7" s="308"/>
      <c r="R7" s="308"/>
      <c r="W7" s="134" t="inlineStr">
        <is>
          <t>Rehabilitation</t>
        </is>
      </c>
      <c r="X7" s="135">
        <f>IF(L12="",0,L12)</f>
        <v/>
      </c>
      <c r="Y7" s="135">
        <f>IF(L13="",0,L13)</f>
        <v/>
      </c>
      <c r="Z7" s="135">
        <f>IF(L14="",0,L14)</f>
        <v/>
      </c>
      <c r="AA7" s="135">
        <f>IF(L15="",0,L15)</f>
        <v/>
      </c>
    </row>
    <row r="8" ht="26" customHeight="1">
      <c r="G8" s="309">
        <f>IF(COUNT($O$12:$O$15)=0,"-",TEXT(INDEX($J$12:$J$15,MATCH(MIN($O$12:$O$15),$O$12:$O$15,0)),"$#,##0"))</f>
        <v/>
      </c>
      <c r="H8" s="309"/>
      <c r="I8" s="309"/>
      <c r="J8" s="309"/>
      <c r="K8" s="309">
        <f>IF(OR(COUNT($O$12:$O$15)=0,'General Information'!$D$26=0,'General Information'!$D$26=""),"-",TEXT(INDEX($J$12:$J$15,MATCH(MIN($O$12:$O$15),$O$12:$O$15,0))/'General Information'!$D$26,"$#,##0")&amp;" / S.Y.")</f>
        <v/>
      </c>
      <c r="L8" s="309"/>
      <c r="M8" s="309"/>
      <c r="N8" s="309"/>
      <c r="O8" s="309">
        <f>IF(COUNT($O$12:$O$15)&lt;2,"-",IF(COUNTIF($AB$12:$AB$36,INDEX($H$12:$H$15,MATCH(MIN($O$12:$O$15),$O$12:$O$15,0)))=25,"holds 2-8%","the winner changes"))</f>
        <v/>
      </c>
      <c r="P8" s="309"/>
      <c r="Q8" s="309"/>
      <c r="R8" s="309"/>
      <c r="W8" s="134" t="inlineStr">
        <is>
          <t>Lost revenue</t>
        </is>
      </c>
      <c r="X8" s="135">
        <f>IF(M12="",0,M12)</f>
        <v/>
      </c>
      <c r="Y8" s="135">
        <f>IF(M13="",0,M13)</f>
        <v/>
      </c>
      <c r="Z8" s="135">
        <f>IF(M14="",0,M14)</f>
        <v/>
      </c>
      <c r="AA8" s="135">
        <f>IF(M15="",0,M15)</f>
        <v/>
      </c>
    </row>
    <row r="9" ht="20" customHeight="1">
      <c r="G9" s="310" t="inlineStr">
        <is>
          <t>lowest initial construction cost</t>
        </is>
      </c>
      <c r="H9" s="310"/>
      <c r="I9" s="310"/>
      <c r="J9" s="310"/>
      <c r="K9" s="310" t="inlineStr">
        <is>
          <t>per S.Y. of mainline area</t>
        </is>
      </c>
      <c r="L9" s="310"/>
      <c r="M9" s="310"/>
      <c r="N9" s="310"/>
      <c r="O9" s="310">
        <f>IF(COUNT($O$12:$O$15)&lt;2,"needs two alternatives",IF(COUNTIF($AB$12:$AB$36,INDEX($H$12:$H$15,MATCH(MIN($O$12:$O$15),$O$12:$O$15,0)))=25,"the same alternative is lowest at all 25 rates tested, 2% to 8%","the lowest-cost alternative is not the same at every rate: see chart 2"))</f>
        <v/>
      </c>
      <c r="P9" s="310"/>
      <c r="Q9" s="310"/>
      <c r="R9" s="310"/>
      <c r="W9" s="134" t="inlineStr">
        <is>
          <t>Salvage</t>
        </is>
      </c>
      <c r="X9" s="135">
        <f>IF(N12="",0,N12)</f>
        <v/>
      </c>
      <c r="Y9" s="135">
        <f>IF(N13="",0,N13)</f>
        <v/>
      </c>
      <c r="Z9" s="135">
        <f>IF(N14="",0,N14)</f>
        <v/>
      </c>
      <c r="AA9" s="135">
        <f>IF(N15="",0,N15)</f>
        <v/>
      </c>
    </row>
    <row r="10" ht="26" customHeight="1">
      <c r="G10" s="208">
        <f>IF(COUNT($O$12:$O$15)=0,"No alternatives yet. Add them from General Information and this line names the winner.","Lowest present worth:  "&amp;INDEX($H$12:$H$15,MATCH(MIN($O$12:$O$15),$O$12:$O$15,0))&amp;"     "&amp;TEXT(MIN($O$12:$O$15),"$#,##0")&amp;"     "&amp;IF(COUNT($O$12:$O$15)&lt;2,"only one alternative so far",TEXT(SMALL($O$12:$O$15,2)-MIN($O$12:$O$15),"$#,##0")&amp;" ahead of the next"))</f>
        <v/>
      </c>
      <c r="W10" s="122" t="inlineStr">
        <is>
          <t>Net present worth vs. discount rate</t>
        </is>
      </c>
    </row>
    <row r="11">
      <c r="G11" s="209" t="inlineStr">
        <is>
          <t>Worksheet</t>
        </is>
      </c>
      <c r="H11" s="209" t="inlineStr">
        <is>
          <t>Alternative</t>
        </is>
      </c>
      <c r="I11" s="209" t="inlineStr">
        <is>
          <t>Type</t>
        </is>
      </c>
      <c r="J11" s="209" t="inlineStr">
        <is>
          <t>Initial construction</t>
        </is>
      </c>
      <c r="K11" s="209" t="inlineStr">
        <is>
          <t>Maintenance PW</t>
        </is>
      </c>
      <c r="L11" s="209" t="inlineStr">
        <is>
          <t>Rehabilitation PW</t>
        </is>
      </c>
      <c r="M11" s="209" t="inlineStr">
        <is>
          <t>Lost revenue PW</t>
        </is>
      </c>
      <c r="N11" s="209" t="inlineStr">
        <is>
          <t>Salvage PW</t>
        </is>
      </c>
      <c r="O11" s="209" t="inlineStr">
        <is>
          <t>Net present worth</t>
        </is>
      </c>
      <c r="P11" s="209" t="inlineStr">
        <is>
          <t>vs. lowest NPW</t>
        </is>
      </c>
      <c r="Q11" s="209" t="inlineStr">
        <is>
          <t>Closure days in period</t>
        </is>
      </c>
      <c r="R11" s="209"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KEY RESULTS — the two plots that decide it</t>
        </is>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G46" s="210" t="inlineStr">
        <is>
          <t>SUPPORTING DETAIL</t>
        </is>
      </c>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98" ht="22" customHeight="1">
      <c r="G98" s="304" t="inlineStr">
        <is>
          <t xml:space="preserve">PROJECT AND LOCATION</t>
        </is>
      </c>
      <c r="H98" s="305"/>
      <c r="I98" s="305"/>
      <c r="J98" s="305"/>
      <c r="K98" s="305"/>
      <c r="L98" s="305"/>
      <c r="M98" s="305"/>
      <c r="N98" s="305"/>
      <c r="O98" s="305"/>
      <c r="P98" s="305"/>
      <c r="Q98" s="305"/>
      <c r="R98" s="305"/>
    </row>
    <row r="99" ht="18" customHeight="1">
      <c r="G99" s="311" t="inlineStr">
        <is>
          <t xml:space="preserve">PROJECT LOCATION</t>
        </is>
      </c>
      <c r="H99" s="311"/>
      <c r="I99" s="311"/>
      <c r="J99" s="311"/>
      <c r="K99" s="311"/>
      <c r="L99" s="311"/>
      <c r="M99" s="311" t="inlineStr">
        <is>
          <t xml:space="preserve">PROJECT</t>
        </is>
      </c>
      <c r="N99" s="311"/>
      <c r="O99" s="311"/>
      <c r="P99" s="311"/>
      <c r="Q99" s="311"/>
      <c r="R99" s="311"/>
    </row>
    <row r="100" ht="17" customHeight="1">
      <c r="M100" s="312" t="inlineStr">
        <is>
          <t>Airport</t>
        </is>
      </c>
      <c r="N100" s="312"/>
      <c r="O100" s="313">
        <f>IF('General Information'!$D$9="","",'General Information'!$D$9&amp;" ("&amp;'General Information'!$D$10&amp;")")</f>
        <v/>
      </c>
      <c r="P100" s="313"/>
      <c r="Q100" s="313"/>
      <c r="R100" s="313"/>
    </row>
    <row r="101" ht="17" customHeight="1">
      <c r="M101" s="312" t="inlineStr">
        <is>
          <t>City / county</t>
        </is>
      </c>
      <c r="N101" s="312"/>
      <c r="O101" s="313">
        <f>IF('General Information'!$D$9="","",'General Information'!$D$11&amp;IF(IFERROR(VLOOKUP('General Information'!$D$9,'General Information'!$L$10:$Q$88,4,FALSE),"")="",""," / "&amp;IFERROR(VLOOKUP('General Information'!$D$9,'General Information'!$L$10:$Q$88,4,FALSE),"")&amp;" County"))</f>
        <v/>
      </c>
      <c r="P101" s="313"/>
      <c r="Q101" s="313"/>
      <c r="R101" s="313"/>
    </row>
    <row r="102" ht="17" customHeight="1">
      <c r="M102" s="312" t="inlineStr">
        <is>
          <t>TDOT Grand Division</t>
        </is>
      </c>
      <c r="N102" s="312"/>
      <c r="O102" s="313">
        <f>IF('General Information'!$D$9="","",'General Information'!$D$13)</f>
        <v/>
      </c>
      <c r="P102" s="313"/>
      <c r="Q102" s="313"/>
      <c r="R102" s="313"/>
    </row>
    <row r="103" ht="17" customHeight="1">
      <c r="M103" s="312" t="inlineStr">
        <is>
          <t>Coordinates</t>
        </is>
      </c>
      <c r="N103" s="312"/>
      <c r="O103" s="313">
        <f>IF(AE132="","not in the reference list",TEXT(AE132,"0.0000")&amp;"° N, "&amp;TEXT(-AD132,"0.0000")&amp;"° W")</f>
        <v/>
      </c>
      <c r="P103" s="313"/>
      <c r="Q103" s="313"/>
      <c r="R103" s="313"/>
    </row>
    <row r="104" ht="17" customHeight="1">
      <c r="M104" s="312" t="inlineStr">
        <is>
          <t>Elevation</t>
        </is>
      </c>
      <c r="N104" s="312"/>
      <c r="O104" s="313">
        <f>IFERROR(IF(INDEX($AB$132:$AB$210,MATCH('General Information'!$D$10,$X$132:$X$210,0))="","",TEXT(INDEX($AB$132:$AB$210,MATCH('General Information'!$D$10,$X$132:$X$210,0)),"#,##0")&amp;" ft"),"")</f>
        <v/>
      </c>
      <c r="P104" s="313"/>
      <c r="Q104" s="313"/>
      <c r="R104" s="313"/>
    </row>
    <row r="105" ht="17" customHeight="1">
      <c r="M105" s="312" t="inlineStr">
        <is>
          <t>Branch / project</t>
        </is>
      </c>
      <c r="N105" s="312"/>
      <c r="O105" s="313">
        <f>IF('General Information'!$D$22="","",'General Information'!$D$22&amp;IF('General Information'!$D$23=""," ",", "&amp;'General Information'!$D$23))</f>
        <v/>
      </c>
      <c r="P105" s="313"/>
      <c r="Q105" s="313"/>
      <c r="R105" s="313"/>
    </row>
    <row r="106" ht="17" customHeight="1">
      <c r="M106" s="312" t="inlineStr">
        <is>
          <t>Mainline area</t>
        </is>
      </c>
      <c r="N106" s="312"/>
      <c r="O106" s="313">
        <f>IF('General Information'!$D$26="","",TEXT('General Information'!$D$26,"#,##0")&amp;" S.Y."&amp;IF('General Information'!$D$27&gt;0," + "&amp;TEXT('General Information'!$D$27,"#,##0")&amp;" S.Y. shoulder",""))</f>
        <v/>
      </c>
      <c r="P106" s="313"/>
      <c r="Q106" s="313"/>
      <c r="R106" s="313"/>
    </row>
    <row r="107" ht="17" customHeight="1">
      <c r="M107" s="312" t="inlineStr">
        <is>
          <t>Runway width, ft</t>
        </is>
      </c>
      <c r="N107" s="312"/>
      <c r="O107" s="314" t="n">
        <v>100</v>
      </c>
      <c r="P107" s="315" t="inlineStr">
        <is>
          <t xml:space="preserve">used only by the Google Earth footprint</t>
        </is>
      </c>
      <c r="Q107" s="315"/>
      <c r="R107" s="315"/>
    </row>
    <row r="108" ht="17" customHeight="1"/>
    <row r="109" ht="17" customHeight="1"/>
    <row r="110" ht="17" customHeight="1"/>
    <row r="111" ht="17" customHeight="1"/>
    <row r="112" ht="18" customHeight="1">
      <c r="G112" s="143" t="inlineStr">
        <is>
          <t>■ West</t>
        </is>
      </c>
      <c r="H112" s="144" t="inlineStr">
        <is>
          <t>■ Middle</t>
        </is>
      </c>
      <c r="I112" s="145" t="inlineStr">
        <is>
          <t>■ East</t>
        </is>
      </c>
      <c r="J112" s="146" t="inlineStr">
        <is>
          <t>■ This project</t>
        </is>
      </c>
    </row>
    <row r="113" ht="18" customHeight="1"/>
    <row r="114" ht="18" customHeight="1">
      <c r="G114" s="256">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H114" s="256"/>
      <c r="I114" s="256"/>
      <c r="J114" s="256"/>
      <c r="K114" s="256"/>
      <c r="L114" s="256"/>
      <c r="M114" s="256"/>
      <c r="N114" s="256"/>
      <c r="O114" s="256"/>
      <c r="P114" s="256"/>
      <c r="Q114" s="256"/>
      <c r="R114" s="256"/>
    </row>
    <row r="115" ht="18" customHeight="1">
      <c r="G115" s="256" t="inlineStr">
        <is>
          <t>Coordinates are embedded (Method sheet); nothing here goes online. Five private fields have none and plot no dot.</t>
        </is>
      </c>
      <c r="H115" s="256"/>
      <c r="I115" s="256"/>
      <c r="J115" s="256"/>
      <c r="K115" s="256"/>
      <c r="L115" s="256"/>
      <c r="M115" s="256"/>
      <c r="N115" s="256"/>
      <c r="O115" s="256"/>
      <c r="P115" s="256"/>
      <c r="Q115" s="256"/>
      <c r="R115" s="256"/>
    </row>
    <row r="116" ht="18" customHeight="1">
      <c r="G116" s="256" t="inlineStr">
        <is>
          <t>Google Earth: import LCCA_KML_Export.bas once (Alt+F11, File, Import File), then Alt+F8 and run ExportLCCAKML.</t>
        </is>
      </c>
      <c r="H116" s="256"/>
      <c r="I116" s="256"/>
      <c r="J116" s="256"/>
      <c r="K116" s="256"/>
      <c r="L116" s="256"/>
      <c r="M116" s="256"/>
      <c r="N116" s="256"/>
      <c r="O116" s="256"/>
      <c r="P116" s="256"/>
      <c r="Q116" s="256"/>
      <c r="R116" s="256"/>
    </row>
    <row r="117" ht="6" customHeight="1"/>
    <row r="118" ht="6" customHeight="1"/>
    <row r="119" ht="6" customHeight="1"/>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41">
    <mergeCell ref="G10:R10"/>
    <mergeCell ref="G3:J3"/>
    <mergeCell ref="G4:J4"/>
    <mergeCell ref="G5:J5"/>
    <mergeCell ref="K3:N3"/>
    <mergeCell ref="K4:N4"/>
    <mergeCell ref="K5:N5"/>
    <mergeCell ref="O3:R3"/>
    <mergeCell ref="O4:R4"/>
    <mergeCell ref="O5:R5"/>
    <mergeCell ref="G7:J7"/>
    <mergeCell ref="G8:J8"/>
    <mergeCell ref="G9:J9"/>
    <mergeCell ref="K7:N7"/>
    <mergeCell ref="K8:N8"/>
    <mergeCell ref="K9:N9"/>
    <mergeCell ref="O7:R7"/>
    <mergeCell ref="O8:R8"/>
    <mergeCell ref="O9:R9"/>
    <mergeCell ref="G98:R98"/>
    <mergeCell ref="G99:L99"/>
    <mergeCell ref="M99:R99"/>
    <mergeCell ref="M100:N100"/>
    <mergeCell ref="M101:N101"/>
    <mergeCell ref="M102:N102"/>
    <mergeCell ref="M103:N103"/>
    <mergeCell ref="M104:N104"/>
    <mergeCell ref="M105:N105"/>
    <mergeCell ref="M106:N106"/>
    <mergeCell ref="M107:N107"/>
    <mergeCell ref="O100:R100"/>
    <mergeCell ref="O101:R101"/>
    <mergeCell ref="O102:R102"/>
    <mergeCell ref="O103:R103"/>
    <mergeCell ref="O104:R104"/>
    <mergeCell ref="O105:R105"/>
    <mergeCell ref="O106:R106"/>
    <mergeCell ref="P107:R107"/>
    <mergeCell ref="G114:R114"/>
    <mergeCell ref="G115:R115"/>
    <mergeCell ref="G116:R116"/>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7"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7"/>
      <c r="C4" s="307"/>
      <c r="D4" s="307"/>
      <c r="E4" s="307"/>
      <c r="F4" s="307"/>
      <c r="G4" s="307"/>
    </row>
    <row r="6" ht="22" customHeight="1">
      <c r="A6" s="304" t="inlineStr">
        <is>
          <t>1. What TDOT Aeronautics manages (context for project size)</t>
        </is>
      </c>
      <c r="B6" s="305" t="n"/>
      <c r="C6" s="305" t="n"/>
      <c r="D6" s="305" t="n"/>
      <c r="E6" s="305" t="n"/>
      <c r="F6" s="305" t="n"/>
      <c r="G6" s="305" t="n"/>
    </row>
    <row r="7" ht="24" customHeight="1">
      <c r="A7" s="306" t="inlineStr">
        <is>
          <t>Item</t>
        </is>
      </c>
      <c r="B7" s="306" t="inlineStr">
        <is>
          <t>Value</t>
        </is>
      </c>
      <c r="C7" s="306" t="inlineStr">
        <is>
          <t>Unit</t>
        </is>
      </c>
      <c r="D7" s="306" t="inlineStr">
        <is>
          <t>Year</t>
        </is>
      </c>
      <c r="E7" s="306" t="inlineStr"/>
      <c r="F7" s="306" t="inlineStr"/>
      <c r="G7" s="306"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7" t="inlineStr">
        <is>
          <t>The workbook dropdown holds the TASP airports (count in the live section below). The 17 airports with revenue data are those meeting Aeronautics' activity criteria.</t>
        </is>
      </c>
      <c r="B19" s="307"/>
      <c r="C19" s="307"/>
      <c r="D19" s="307"/>
      <c r="E19" s="307"/>
      <c r="F19" s="307"/>
      <c r="G19" s="307"/>
    </row>
    <row r="21" ht="22" customHeight="1">
      <c r="A21" s="304" t="inlineStr">
        <is>
          <t>2. Typical runway geometry at Tennessee GA airports (for D26 mainline area and D28 markings)</t>
        </is>
      </c>
      <c r="B21" s="305" t="n"/>
      <c r="C21" s="305" t="n"/>
      <c r="D21" s="305" t="n"/>
      <c r="E21" s="305" t="n"/>
      <c r="F21" s="305" t="n"/>
      <c r="G21" s="305" t="n"/>
    </row>
    <row r="22" ht="24" customHeight="1">
      <c r="A22" s="306" t="inlineStr">
        <is>
          <t>Airport</t>
        </is>
      </c>
      <c r="B22" s="306" t="inlineStr">
        <is>
          <t>Runway</t>
        </is>
      </c>
      <c r="C22" s="306" t="inlineStr">
        <is>
          <t>Length x width (ft)</t>
        </is>
      </c>
      <c r="D22" s="306" t="inlineStr">
        <is>
          <t>Mainline area (SY)</t>
        </is>
      </c>
      <c r="E22" s="306" t="inlineStr">
        <is>
          <t>Role</t>
        </is>
      </c>
      <c r="F22" s="306" t="inlineStr">
        <is>
          <t>Note</t>
        </is>
      </c>
      <c r="G22" s="306"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7" t="inlineStr">
        <is>
          <t>Mainline area = length x width / 9. Shoulders (D27) are usually unpaved at TN GA airports; enter paved shoulders only. Area drives the closure-day defaults on the alternative sheets.</t>
        </is>
      </c>
      <c r="B32" s="307"/>
      <c r="C32" s="307"/>
      <c r="D32" s="307"/>
      <c r="E32" s="307"/>
      <c r="F32" s="307"/>
      <c r="G32" s="307"/>
    </row>
    <row r="34" ht="22" customHeight="1">
      <c r="A34" s="304" t="inlineStr">
        <is>
          <t>3. Unit costs: workbook defaults (Pay_Items, column F) against recent bids</t>
        </is>
      </c>
      <c r="B34" s="305" t="n"/>
      <c r="C34" s="305" t="n"/>
      <c r="D34" s="305" t="n"/>
      <c r="E34" s="305" t="n"/>
      <c r="F34" s="305" t="n"/>
      <c r="G34" s="305" t="n"/>
    </row>
    <row r="35" ht="24" customHeight="1">
      <c r="A35" s="306" t="inlineStr">
        <is>
          <t>Pay item</t>
        </is>
      </c>
      <c r="B35" s="306" t="inlineStr">
        <is>
          <t>Workbook default (live)</t>
        </is>
      </c>
      <c r="C35" s="306" t="inlineStr">
        <is>
          <t>Unit</t>
        </is>
      </c>
      <c r="D35" s="306" t="inlineStr">
        <is>
          <t>Recent bid range</t>
        </is>
      </c>
      <c r="E35" s="306" t="inlineStr">
        <is>
          <t>Year</t>
        </is>
      </c>
      <c r="F35" s="306" t="inlineStr">
        <is>
          <t>Reading</t>
        </is>
      </c>
      <c r="G35" s="306"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7"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7"/>
      <c r="C46" s="307"/>
      <c r="D46" s="307"/>
      <c r="E46" s="307"/>
      <c r="F46" s="307"/>
      <c r="G46" s="307"/>
    </row>
    <row r="48" ht="22" customHeight="1">
      <c r="A48" s="304" t="inlineStr">
        <is>
          <t>4. Closure-day defaults built into the alternative sheets (cells F4:F10; override with project-specific values)</t>
        </is>
      </c>
      <c r="B48" s="305" t="n"/>
      <c r="C48" s="305" t="n"/>
      <c r="D48" s="305" t="n"/>
      <c r="E48" s="305" t="n"/>
      <c r="F48" s="305" t="n"/>
      <c r="G48" s="305" t="n"/>
    </row>
    <row r="49" ht="24" customHeight="1">
      <c r="A49" s="306" t="inlineStr">
        <is>
          <t>Operation</t>
        </is>
      </c>
      <c r="B49" s="306" t="inlineStr">
        <is>
          <t>Production rate in the formula</t>
        </is>
      </c>
      <c r="C49" s="306" t="inlineStr">
        <is>
          <t>Days for a 6,000 x 100 ft runway (66,667 SY, 15,000 SF markings)</t>
        </is>
      </c>
      <c r="D49" s="306" t="inlineStr">
        <is>
          <t>Where used</t>
        </is>
      </c>
      <c r="E49" s="306" t="inlineStr">
        <is>
          <t>Note</t>
        </is>
      </c>
      <c r="F49" s="306" t="inlineStr"/>
      <c r="G49" s="306"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7"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7"/>
      <c r="C59" s="307"/>
      <c r="D59" s="307"/>
      <c r="E59" s="307"/>
      <c r="F59" s="307"/>
      <c r="G59" s="307"/>
    </row>
    <row r="61" ht="22" customHeight="1">
      <c r="A61" s="304" t="inlineStr">
        <is>
          <t>5. Economic parameters (D33 analysis period, D34 discount rate, salvage)</t>
        </is>
      </c>
      <c r="B61" s="305" t="n"/>
      <c r="C61" s="305" t="n"/>
      <c r="D61" s="305" t="n"/>
      <c r="E61" s="305" t="n"/>
      <c r="F61" s="305" t="n"/>
      <c r="G61" s="305" t="n"/>
    </row>
    <row r="62" ht="24" customHeight="1">
      <c r="A62" s="306" t="inlineStr">
        <is>
          <t>Parameter</t>
        </is>
      </c>
      <c r="B62" s="306" t="inlineStr">
        <is>
          <t>Value</t>
        </is>
      </c>
      <c r="C62" s="306" t="inlineStr">
        <is>
          <t>Applies to</t>
        </is>
      </c>
      <c r="D62" s="306" t="inlineStr">
        <is>
          <t>Year</t>
        </is>
      </c>
      <c r="E62" s="306" t="inlineStr"/>
      <c r="F62" s="306" t="inlineStr">
        <is>
          <t>Reading</t>
        </is>
      </c>
      <c r="G62" s="306"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7" t="inlineStr">
        <is>
          <t>The Summary sensitivity chart runs 2% to 8% so both the current FAA rate (about 2%) and the legacy 7% are on the curve. G10 on the Summary states whether the lowest-cost alternative changes at either rate.</t>
        </is>
      </c>
      <c r="B75" s="307"/>
      <c r="C75" s="307"/>
      <c r="D75" s="307"/>
      <c r="E75" s="307"/>
      <c r="F75" s="307"/>
      <c r="G75" s="307"/>
    </row>
    <row r="77" ht="22" customHeight="1">
      <c r="A77" s="304" t="inlineStr">
        <is>
          <t>6. Maintenance timing and service life (Maintenance Policies sheet against published experience)</t>
        </is>
      </c>
      <c r="B77" s="305" t="n"/>
      <c r="C77" s="305" t="n"/>
      <c r="D77" s="305" t="n"/>
      <c r="E77" s="305" t="n"/>
      <c r="F77" s="305" t="n"/>
      <c r="G77" s="305" t="n"/>
    </row>
    <row r="78" ht="24" customHeight="1">
      <c r="A78" s="306" t="inlineStr">
        <is>
          <t>Item</t>
        </is>
      </c>
      <c r="B78" s="306" t="inlineStr">
        <is>
          <t>Workbook policy (live)</t>
        </is>
      </c>
      <c r="C78" s="306" t="inlineStr">
        <is>
          <t>Published range</t>
        </is>
      </c>
      <c r="D78" s="306" t="inlineStr">
        <is>
          <t>Year</t>
        </is>
      </c>
      <c r="E78" s="306" t="inlineStr"/>
      <c r="F78" s="306" t="inlineStr">
        <is>
          <t>Reading</t>
        </is>
      </c>
      <c r="G78" s="306"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7"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7"/>
      <c r="C87" s="307"/>
      <c r="D87" s="307"/>
      <c r="E87" s="307"/>
      <c r="F87" s="307"/>
      <c r="G87" s="307"/>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7"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7"/>
      <c r="C108" s="307"/>
      <c r="D108" s="307"/>
      <c r="E108" s="307"/>
      <c r="F108" s="307"/>
      <c r="G108" s="307"/>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7"/>
      <c r="C4" s="307"/>
      <c r="D4" s="307"/>
      <c r="E4" s="307"/>
    </row>
    <row r="5" ht="22" customHeight="1">
      <c r="A5" s="303" t="inlineStr">
        <is>
          <t xml:space="preserve">Quantity × unit cost   ›   + mobilization &amp; engineering   ›   policy year for each event   ›   + closure days × daily revenue   ›   − salvage   ›   discount to today = net present worth</t>
        </is>
      </c>
      <c r="B5" s="303"/>
      <c r="C5" s="303"/>
      <c r="D5" s="303"/>
      <c r="E5" s="303"/>
    </row>
    <row r="6" ht="22" customHeight="1">
      <c r="A6" s="304" t="inlineStr">
        <is>
          <t>1. The answer the workbook produces</t>
        </is>
      </c>
      <c r="B6" s="305" t="n"/>
      <c r="C6" s="305" t="n"/>
      <c r="D6" s="305" t="n"/>
      <c r="E6" s="305" t="n"/>
    </row>
    <row r="7" ht="24" customHeight="1">
      <c r="A7" s="306" t="inlineStr">
        <is>
          <t>Step / quantity</t>
        </is>
      </c>
      <c r="B7" s="306" t="inlineStr">
        <is>
          <t>Where it lives</t>
        </is>
      </c>
      <c r="C7" s="306" t="inlineStr">
        <is>
          <t>Formula as it stands</t>
        </is>
      </c>
      <c r="D7" s="306" t="inlineStr">
        <is>
          <t>What it means</t>
        </is>
      </c>
      <c r="E7" s="306"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7" t="inlineStr">
        <is>
          <t>Read the steps below in order: they follow the money from the quantities you type to the NPW.</t>
        </is>
      </c>
      <c r="B11" s="307"/>
      <c r="C11" s="307"/>
      <c r="D11" s="307"/>
      <c r="E11" s="307"/>
    </row>
    <row r="13" ht="22" customHeight="1">
      <c r="A13" s="304" t="inlineStr">
        <is>
          <t>2. Step 1: initial construction cost</t>
        </is>
      </c>
      <c r="B13" s="305" t="n"/>
      <c r="C13" s="305" t="n"/>
      <c r="D13" s="305" t="n"/>
      <c r="E13" s="305" t="n"/>
    </row>
    <row r="14" ht="24" customHeight="1">
      <c r="A14" s="306" t="inlineStr">
        <is>
          <t>Step / quantity</t>
        </is>
      </c>
      <c r="B14" s="306" t="inlineStr">
        <is>
          <t>Where it lives</t>
        </is>
      </c>
      <c r="C14" s="306" t="inlineStr">
        <is>
          <t>Formula as it stands</t>
        </is>
      </c>
      <c r="D14" s="306" t="inlineStr">
        <is>
          <t>What it means</t>
        </is>
      </c>
      <c r="E14" s="306"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4" t="inlineStr">
        <is>
          <t>3. Step 2: when the later work happens</t>
        </is>
      </c>
      <c r="B23" s="305" t="n"/>
      <c r="C23" s="305" t="n"/>
      <c r="D23" s="305" t="n"/>
      <c r="E23" s="305" t="n"/>
    </row>
    <row r="24" ht="24" customHeight="1">
      <c r="A24" s="306" t="inlineStr">
        <is>
          <t>Step / quantity</t>
        </is>
      </c>
      <c r="B24" s="306" t="inlineStr">
        <is>
          <t>Where it lives</t>
        </is>
      </c>
      <c r="C24" s="306" t="inlineStr">
        <is>
          <t>Formula as it stands</t>
        </is>
      </c>
      <c r="D24" s="306" t="inlineStr">
        <is>
          <t>What it means</t>
        </is>
      </c>
      <c r="E24" s="306"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7" t="inlineStr">
        <is>
          <t>Changing a policy year on Maintenance Policies moves the event everywhere: the cost, the chart and the closure.</t>
        </is>
      </c>
      <c r="B28" s="307"/>
      <c r="C28" s="307"/>
      <c r="D28" s="307"/>
      <c r="E28" s="307"/>
    </row>
    <row r="30" ht="22" customHeight="1">
      <c r="A30" s="304" t="inlineStr">
        <is>
          <t>4. Step 3: what each maintenance and rehabilitation event costs</t>
        </is>
      </c>
      <c r="B30" s="305" t="n"/>
      <c r="C30" s="305" t="n"/>
      <c r="D30" s="305" t="n"/>
      <c r="E30" s="305" t="n"/>
    </row>
    <row r="31" ht="24" customHeight="1">
      <c r="A31" s="306" t="inlineStr">
        <is>
          <t>Step / quantity</t>
        </is>
      </c>
      <c r="B31" s="306" t="inlineStr">
        <is>
          <t>Where it lives</t>
        </is>
      </c>
      <c r="C31" s="306" t="inlineStr">
        <is>
          <t>Formula as it stands</t>
        </is>
      </c>
      <c r="D31" s="306" t="inlineStr">
        <is>
          <t>What it means</t>
        </is>
      </c>
      <c r="E31" s="306"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7" t="inlineStr">
        <is>
          <t>The quantities of later work are computed from the policy rates and the project area. They are not typed anywhere.</t>
        </is>
      </c>
      <c r="B39" s="307"/>
      <c r="C39" s="307"/>
      <c r="D39" s="307"/>
      <c r="E39" s="307"/>
    </row>
    <row r="41" ht="22" customHeight="1">
      <c r="A41" s="304" t="inlineStr">
        <is>
          <t>5. Step 4: how long the runway closes</t>
        </is>
      </c>
      <c r="B41" s="305" t="n"/>
      <c r="C41" s="305" t="n"/>
      <c r="D41" s="305" t="n"/>
      <c r="E41" s="305" t="n"/>
    </row>
    <row r="42" ht="24" customHeight="1">
      <c r="A42" s="306" t="inlineStr">
        <is>
          <t>Step / quantity</t>
        </is>
      </c>
      <c r="B42" s="306" t="inlineStr">
        <is>
          <t>Where it lives</t>
        </is>
      </c>
      <c r="C42" s="306" t="inlineStr">
        <is>
          <t>Formula as it stands</t>
        </is>
      </c>
      <c r="D42" s="306" t="inlineStr">
        <is>
          <t>What it means</t>
        </is>
      </c>
      <c r="E42" s="306"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7" t="inlineStr">
        <is>
          <t>Closure days matter only when lost revenue is switched on, but they are always reported on the Summary.</t>
        </is>
      </c>
      <c r="B48" s="307"/>
      <c r="C48" s="307"/>
      <c r="D48" s="307"/>
      <c r="E48" s="307"/>
    </row>
    <row r="50" ht="22" customHeight="1">
      <c r="A50" s="304" t="inlineStr">
        <is>
          <t>6. Step 5: lost airport revenue (the "indirect cost")</t>
        </is>
      </c>
      <c r="B50" s="305" t="n"/>
      <c r="C50" s="305" t="n"/>
      <c r="D50" s="305" t="n"/>
      <c r="E50" s="305" t="n"/>
    </row>
    <row r="51" ht="24" customHeight="1">
      <c r="A51" s="306" t="inlineStr">
        <is>
          <t>Step / quantity</t>
        </is>
      </c>
      <c r="B51" s="306" t="inlineStr">
        <is>
          <t>Where it lives</t>
        </is>
      </c>
      <c r="C51" s="306" t="inlineStr">
        <is>
          <t>Formula as it stands</t>
        </is>
      </c>
      <c r="D51" s="306" t="inlineStr">
        <is>
          <t>What it means</t>
        </is>
      </c>
      <c r="E51" s="306"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7" t="inlineStr">
        <is>
          <t>This is the airport-side counterpart of the road user delay cost in the Caltrans and FHWA RealCost method.</t>
        </is>
      </c>
      <c r="B56" s="307"/>
      <c r="C56" s="307"/>
      <c r="D56" s="307"/>
      <c r="E56" s="307"/>
    </row>
    <row r="58" ht="22" customHeight="1">
      <c r="A58" s="304" t="inlineStr">
        <is>
          <t>7. Step 6: salvage value</t>
        </is>
      </c>
      <c r="B58" s="305" t="n"/>
      <c r="C58" s="305" t="n"/>
      <c r="D58" s="305" t="n"/>
      <c r="E58" s="305" t="n"/>
    </row>
    <row r="59" ht="24" customHeight="1">
      <c r="A59" s="306" t="inlineStr">
        <is>
          <t>Step / quantity</t>
        </is>
      </c>
      <c r="B59" s="306" t="inlineStr">
        <is>
          <t>Where it lives</t>
        </is>
      </c>
      <c r="C59" s="306" t="inlineStr">
        <is>
          <t>Formula as it stands</t>
        </is>
      </c>
      <c r="D59" s="306" t="inlineStr">
        <is>
          <t>What it means</t>
        </is>
      </c>
      <c r="E59" s="306"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7" t="inlineStr">
        <is>
          <t>The two rules are not symmetric: concrete recovers a share of everything spent up front, asphalt a share of one rehabilitation. See section 11.</t>
        </is>
      </c>
      <c r="B66" s="307"/>
      <c r="C66" s="307"/>
      <c r="D66" s="307"/>
      <c r="E66" s="307"/>
    </row>
    <row r="68" ht="22" customHeight="1">
      <c r="A68" s="304" t="inlineStr">
        <is>
          <t>8. Step 7: discounting and the total</t>
        </is>
      </c>
      <c r="B68" s="305" t="n"/>
      <c r="C68" s="305" t="n"/>
      <c r="D68" s="305" t="n"/>
      <c r="E68" s="305" t="n"/>
    </row>
    <row r="69" ht="24" customHeight="1">
      <c r="A69" s="306" t="inlineStr">
        <is>
          <t>Step / quantity</t>
        </is>
      </c>
      <c r="B69" s="306" t="inlineStr">
        <is>
          <t>Where it lives</t>
        </is>
      </c>
      <c r="C69" s="306" t="inlineStr">
        <is>
          <t>Formula as it stands</t>
        </is>
      </c>
      <c r="D69" s="306" t="inlineStr">
        <is>
          <t>What it means</t>
        </is>
      </c>
      <c r="E69" s="306"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4" t="inlineStr">
        <is>
          <t>9. What the Summary adds on top</t>
        </is>
      </c>
      <c r="B75" s="305" t="n"/>
      <c r="C75" s="305" t="n"/>
      <c r="D75" s="305" t="n"/>
      <c r="E75" s="305" t="n"/>
    </row>
    <row r="76" ht="24" customHeight="1">
      <c r="A76" s="306" t="inlineStr">
        <is>
          <t>Step / quantity</t>
        </is>
      </c>
      <c r="B76" s="306" t="inlineStr">
        <is>
          <t>Where it lives</t>
        </is>
      </c>
      <c r="C76" s="306" t="inlineStr">
        <is>
          <t>Formula as it stands</t>
        </is>
      </c>
      <c r="D76" s="306" t="inlineStr">
        <is>
          <t>What it means</t>
        </is>
      </c>
      <c r="E76" s="306"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4" t="inlineStr">
        <is>
          <t>10. Current settings in this file (live)</t>
        </is>
      </c>
      <c r="B85" s="305" t="n"/>
      <c r="C85" s="305" t="n"/>
      <c r="D85" s="305" t="n"/>
      <c r="E85" s="305" t="n"/>
    </row>
    <row r="86" ht="24" customHeight="1">
      <c r="A86" s="306" t="inlineStr">
        <is>
          <t>Step / quantity</t>
        </is>
      </c>
      <c r="B86" s="306" t="inlineStr">
        <is>
          <t>Where it lives</t>
        </is>
      </c>
      <c r="C86" s="306" t="inlineStr">
        <is>
          <t>Formula as it stands</t>
        </is>
      </c>
      <c r="D86" s="306" t="inlineStr">
        <is>
          <t>What it means</t>
        </is>
      </c>
      <c r="E86" s="306"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7" t="inlineStr">
        <is>
          <t>These cells read the workbook as it stands right now, so they change with the inputs.</t>
        </is>
      </c>
      <c r="B93" s="307"/>
      <c r="C93" s="307"/>
      <c r="D93" s="307"/>
      <c r="E93" s="307"/>
    </row>
    <row r="95" ht="22" customHeight="1">
      <c r="A95" s="304" t="inlineStr">
        <is>
          <t>11. Assumptions and policy choices worth knowing</t>
        </is>
      </c>
      <c r="B95" s="305" t="n"/>
      <c r="C95" s="305" t="n"/>
      <c r="D95" s="305" t="n"/>
      <c r="E95" s="305" t="n"/>
    </row>
    <row r="96" ht="24" customHeight="1">
      <c r="A96" s="306" t="inlineStr">
        <is>
          <t>Step / quantity</t>
        </is>
      </c>
      <c r="B96" s="306" t="inlineStr">
        <is>
          <t>Where it lives</t>
        </is>
      </c>
      <c r="C96" s="306" t="inlineStr">
        <is>
          <t>Formula as it stands</t>
        </is>
      </c>
      <c r="D96" s="306" t="inlineStr">
        <is>
          <t>What it means</t>
        </is>
      </c>
      <c r="E96" s="306"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
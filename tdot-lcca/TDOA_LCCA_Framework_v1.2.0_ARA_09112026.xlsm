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Summary!$A$1:$R$75</definedName>
    <definedName name="_xlnm.Print_Area" localSheetId="3">'General Information'!$A$1:$J$52</definedName>
    <definedName name="_xlnm.Print_Area" localSheetId="7">'TMP(NewHMA)_IndirectCost'!$A$1:$G$56</definedName>
    <definedName name="_xlnm.Print_Area" localSheetId="9">'TMP(NewHMA)'!$A$1:$G$56</definedName>
    <definedName name="_xlnm.Print_Area" localSheetId="0">'TMP(NewPCC)_IndirectCost'!$A$1:$G$56</definedName>
    <definedName name="_xlnm.Print_Area" localSheetId="10">'TMP(NewPCC)'!$A$1:$G$56</definedName>
    <definedName name="_xlnm.Print_Area" localSheetId="11">'TMP(HMARehab)'!$A$1:$G$56</definedName>
    <definedName name="PriceSources">{"Regular","Middle","West","East"}</definedName>
    <definedName name="UnitCostGrid">Table2[[Unit Cost]:[East]]</definedName>
    <definedName name="PayItemKeys">Table2[Pay Item Description]</definedName>
    <definedName name="_xlnm.Print_Titles" localSheetId="1">Overview!$1:$1</definedName>
    <definedName name="_xlnm.Print_Titles" localSheetId="2">Instructions!$1:$1</definedName>
    <definedName name="_xlnm.Print_Titles" localSheetId="3">'General Information'!$1:$1</definedName>
    <definedName name="_xlnm.Print_Titles" localSheetId="4">Pay_Items!$1:$2</definedName>
    <definedName name="_xlnm.Print_Titles" localSheetId="6">'Maintenance Policies'!$1:$1</definedName>
    <definedName name="_xlnm.Print_Titles" localSheetId="0">'TMP(NewPCC)_IndirectCost'!$1:$1</definedName>
    <definedName name="_xlnm.Print_Titles" localSheetId="7">'TMP(NewHMA)_IndirectCost'!$1:$1</definedName>
    <definedName name="_xlnm.Print_Titles" localSheetId="9">'TMP(NewHMA)'!$1:$1</definedName>
    <definedName name="_xlnm.Print_Titles" localSheetId="10">'TMP(NewPCC)'!$1:$1</definedName>
    <definedName name="_xlnm.Print_Titles" localSheetId="11">'TMP(HMARehab)'!$1:$1</definedName>
    <definedName name="_xlnm.Print_Titles" localSheetId="13">Summary!$1:$1</definedName>
    <definedName name="_xlnm.Print_Titles" localSheetId="14">'Typical Values'!$1:$1</definedName>
    <definedName name="_xlnm.Print_Titles" localSheetId="15">Method!$1:$1</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<sst xmlns="http://schemas.openxmlformats.org/spreadsheetml/2006/main" count="1480" uniqueCount="637">
  <si>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</si>
  <si>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</si>
  <si>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</si>
  <si>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</si>
  <si>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</si>
  <si>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</si>
  <si>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</si>
  <si>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</si>
  <si>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</si>
  <si>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</si>
  <si>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</si>
  <si>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</si>
  <si>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</si>
  <si>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</si>
  <si>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</si>
  <si>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</si>
  <si>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</si>
  <si>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</si>
  <si>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</si>
  <si>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</si>
  <si>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</si>
  <si>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</si>
  <si>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</si>
  <si>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</si>
  <si>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</si>
  <si>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</si>
  <si>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</si>
  <si>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</si>
  <si>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</si>
  <si>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</si>
  <si>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</si>
  <si>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</si>
  <si>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</si>
  <si>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</si>
  <si>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</si>
  <si>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</si>
  <si>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</si>
  <si>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</si>
  <si>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</si>
  <si>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</si>
  <si>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</si>
  <si>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</si>
  <si>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</si>
  <si>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</si>
  <si>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</si>
  <si>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</si>
  <si>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</si>
  <si>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</si>
  <si>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</si>
  <si>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</si>
  <si>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</si>
  <si>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</si>
  <si>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</si>
  <si>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</si>
  <si>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</si>
  <si>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</si>
  <si>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</si>
  <si>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</si>
  <si>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</si>
  <si>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</si>
  <si>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</si>
  <si>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</si>
  <si>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</si>
  <si>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</si>
  <si>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</si>
  <si>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</si>
  <si>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</si>
  <si>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</si>
  <si>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</si>
  <si>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</si>
  <si>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</si>
  <si>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</si>
  <si>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</si>
  <si>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</si>
  <si>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</si>
  <si>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</si>
  <si>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</si>
  <si>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</si>
  <si>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</si>
  <si>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</si>
  <si>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</si>
  <si>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</si>
  <si>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</si>
  <si>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</si>
  <si>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</si>
  <si>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</si>
  <si>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</si>
  <si>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</si>
  <si>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</si>
  <si>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</si>
  <si>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</si>
  <si>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</si>
  <si>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</si>
  <si>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</si>
  <si>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</si>
  <si>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</si>
  <si>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</si>
  <si>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</si>
  <si>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</si>
  <si>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</si>
  <si>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</si>
  <si>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</si>
  <si>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</si>
  <si>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</si>
  <si>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</si>
  <si>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</si>
  <si>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</si>
  <si>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</si>
  <si>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</si>
  <si>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</si>
  <si>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</si>
  <si>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</si>
  <si>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</si>
  <si>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</si>
  <si>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</si>
  <si>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</si>
  <si>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</si>
  <si>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</si>
  <si>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</si>
  <si>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</si>
  <si>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</si>
  <si>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</si>
  <si>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</si>
  <si>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</si>
  <si>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</si>
  <si>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</si>
  <si>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</si>
  <si>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</si>
  <si>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</si>
  <si>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</si>
  <si>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</si>
  <si>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</si>
  <si>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</si>
  <si>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</si>
  <si>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</si>
  <si>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</si>
  <si>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</si>
  <si>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</si>
  <si>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</si>
  <si>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</si>
  <si>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</si>
  <si>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</si>
  <si>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</si>
  <si>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</si>
  <si>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</si>
  <si>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</si>
  <si>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</si>
  <si>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</si>
  <si>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</si>
  <si>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</si>
  <si>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</si>
  <si>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</si>
  <si>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</si>
  <si>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</si>
  <si>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</si>
  <si>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</si>
  <si>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</si>
  <si>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</si>
  <si>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</si>
  <si>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</si>
  <si>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</si>
  <si>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</si>
  <si>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</si>
  <si>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</si>
  <si>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</si>
  <si>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</si>
  <si>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</si>
  <si>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</si>
  <si>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</si>
  <si>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</si>
  <si>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</si>
  <si>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</si>
  <si>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</si>
  <si>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</si>
  <si>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</si>
  <si>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</si>
  <si>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</si>
  <si>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</si>
  <si>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</si>
  <si>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</si>
  <si>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</si>
  <si>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</si>
  <si>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</si>
  <si>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</si>
  <si>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</si>
  <si>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</si>
  <si>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</si>
  <si>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</si>
  <si>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</si>
  <si>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</si>
  <si>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</si>
  <si>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</si>
  <si>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</si>
  <si>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</si>
  <si>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</si>
  <si>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</si>
  <si>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</si>
  <si>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</si>
  <si>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</si>
  <si>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</si>
  <si>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</si>
  <si>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</si>
  <si>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</si>
  <si>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</si>
  <si>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</si>
  <si>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</si>
  <si>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</si>
  <si>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</si>
  <si>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</si>
  <si>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</si>
  <si>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</si>
  <si>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</si>
  <si>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</si>
  <si>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</si>
  <si>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</si>
  <si>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</si>
  <si>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</si>
  <si>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</si>
  <si>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</si>
  <si>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</si>
  <si>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</si>
  <si>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</si>
  <si>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</si>
  <si>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</si>
  <si>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</si>
  <si>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</si>
  <si>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</si>
  <si>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</si>
  <si>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</si>
  <si>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</si>
  <si>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</si>
  <si>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</si>
  <si>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</si>
  <si>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</si>
  <si>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</si>
  <si>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</si>
  <si>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</si>
  <si>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</si>
  <si>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</si>
  <si>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</si>
  <si>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</si>
  <si>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</si>
  <si>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</si>
  <si>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</si>
  <si>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</si>
  <si>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</si>
  <si>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</si>
  <si>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</si>
  <si>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</si>
  <si>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</si>
  <si>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</si>
  <si>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</si>
  <si>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</si>
  <si>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</si>
  <si>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</si>
  <si>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Initial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</si>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</sst>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
    <numFmt numFmtId="172" formatCode="0.00000"/>
    <numFmt numFmtId="173" formatCode="0.0000"/>
    <numFmt numFmtId="174" formatCode="&quot;$&quot;#,##0.00"/>
    <numFmt numFmtId="175" formatCode="&quot;$&quot;#,##0.00"/>
    <numFmt numFmtId="201" formatCode="&quot;$&quot;#,##0"/>
    <numFmt numFmtId="202" formatCode="&quot;$&quot;#,##0"/>
    <numFmt numFmtId="203" formatCode="&quot;$&quot;#,##0"/>
    <numFmt numFmtId="204" formatCode="&quot;$&quot;#,##0"/>
  </numFmts>
  <fonts count="157"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b val="1"/>
      <color rgb="00595959"/>
      <sz val="8"/>
    </font>
    <font>
      <name val="Arial"/>
      <b val="1"/>
      <color rgb="001D2733"/>
      <sz val="16"/>
    </font>
    <font>
      <name val="Arial"/>
      <color rgb="00595959"/>
      <sz val="9"/>
    </font>
    <font>
      <name val="Arial"/>
      <color rgb="007F7F7F"/>
      <sz val="9"/>
    </font>
    <font>
      <name val="Arial"/>
      <b val="1"/>
      <color rgb="007FA8CF"/>
      <sz val="9"/>
    </font>
    <font>
      <name val="Arial"/>
      <b val="1"/>
      <color rgb="002A78D6"/>
      <sz val="9"/>
    </font>
    <font>
      <name val="Arial"/>
      <b val="1"/>
      <color rgb="001D3F6E"/>
      <sz val="9"/>
    </font>
    <font>
      <name val="Arial"/>
      <b val="1"/>
      <color rgb="00C1440E"/>
      <sz val="9"/>
    </font>
    <font>
      <name val="Arial"/>
      <color rgb="007F6000"/>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
      <i/>
      <sz val="9"/>
      <color rgb="FF595959"/>
      <name val="Arial"/>
      <family val="2"/>
    </font>
    <font>
      <b/>
      <sz val="9"/>
      <color rgb="FF595959"/>
      <name val="Arial"/>
      <family val="2"/>
    </font>
    <font>
      <sz val="10"/>
      <color rgb="FF1D2733"/>
      <name val="Arial"/>
      <family val="2"/>
    </font>
    <font>
      <i/>
      <sz val="9"/>
      <color rgb="FF595959"/>
      <name val="Arial"/>
      <family val="2"/>
    </font>
    <font>
      <i/>
      <sz val="9"/>
      <color rgb="FF595959"/>
      <name val="Arial"/>
      <family val="2"/>
    </font>
    <font>
      <sz val="8"/>
      <color rgb="FF595959"/>
      <name val="Arial"/>
      <family val="2"/>
    </font>
    <font>
      <sz val="10"/>
      <color rgb="FF1D2733"/>
      <name val="Arial"/>
      <family val="2"/>
    </font>
    <font>
      <i/>
      <sz val="9"/>
      <color rgb="FF595959"/>
      <name val="Arial"/>
      <family val="2"/>
    </font>
    <font>
      <b/>
      <sz val="12"/>
      <color rgb="FF1D2733"/>
      <name val="Arial"/>
      <family val="2"/>
    </font>
    <font>
      <b/>
      <sz val="10"/>
      <color rgb="FF1D2733"/>
      <name val="Arial"/>
      <family val="2"/>
    </font>
    <font>
      <b/>
      <sz val="10"/>
      <color rgb="FFFFFFFF"/>
      <name val="Arial"/>
      <family val="2"/>
    </font>
    <font>
      <sz val="10"/>
      <color rgb="FF1D2733"/>
      <name val="Arial"/>
      <family val="2"/>
    </font>
    <font>
      <sz val="9"/>
      <color rgb="FF7F6000"/>
      <name val="Arial"/>
      <family val="2"/>
    </font>
    <font>
      <sz val="9"/>
      <color rgb="FF595959"/>
      <name val="Arial"/>
      <family val="2"/>
    </font>
    <font>
      <i/>
      <sz val="9"/>
      <color rgb="FF595959"/>
      <name val="Arial"/>
      <family val="2"/>
    </font>
    <font>
      <i/>
      <sz val="9"/>
      <color rgb="FF595959"/>
      <name val="Arial"/>
      <family val="2"/>
    </font>
    <font>
      <sz val="10"/>
      <color rgb="FF1D2733"/>
      <name val="Arial"/>
      <family val="2"/>
    </font>
    <font>
      <b/>
      <sz val="11"/>
      <color rgb="FF0B5C3B"/>
      <name val="Arial"/>
      <family val="2"/>
    </font>
    <font>
      <b/>
      <sz val="10"/>
      <color rgb="FFFFFFFF"/>
      <name val="Arial"/>
      <family val="2"/>
    </font>
    <font>
      <b/>
      <sz val="10"/>
      <color rgb="FF5B6675"/>
      <name val="Arial"/>
      <family val="2"/>
    </font>
    <font>
      <name val="Arial"/>
      <b val="1"/>
      <color rgb="001D2733"/>
      <sz val="16"/>
    </font>
    <font>
      <name val="Calibri"/>
      <family val="2"/>
      <color theme="1"/>
      <sz val="16"/>
      <scheme val="minor"/>
    </font>
    <font>
      <name val="Calibri"/>
      <family val="2"/>
      <color theme="1"/>
      <sz val="16"/>
      <scheme val="minor"/>
    </font>
    <font>
      <i/>
      <sz val="9"/>
      <color rgb="FF5B6675"/>
      <name val="Arial"/>
      <family val="2"/>
    </font>
    <font>
      <b/>
      <sz val="9"/>
      <color rgb="FF5B6675"/>
      <name val="Arial"/>
      <family val="2"/>
    </font>
    <font>
      <sz val="10"/>
      <color rgb="FF5B6675"/>
      <name val="Arial"/>
      <family val="2"/>
    </font>
    <font>
      <i/>
      <sz val="9"/>
      <color rgb="FF595959"/>
      <name val="Arial"/>
      <family val="2"/>
    </font>
    <font>
      <b/>
      <sz val="13"/>
      <color rgb="FF1D2733"/>
      <name val="Arial"/>
      <family val="2"/>
    </font>
    <font>
      <b/>
      <sz val="8"/>
      <color rgb="FF5B6675"/>
      <name val="Arial"/>
      <family val="2"/>
    </font>
    <font>
      <b/>
      <sz val="10"/>
      <color rgb="FFFFFFFF"/>
      <name val="Arial"/>
      <family val="2"/>
    </font>
    <font>
      <b/>
      <sz val="10"/>
      <color rgb="FF7F6000"/>
      <name val="Arial"/>
      <family val="2"/>
    </font>
    <font>
      <b/>
      <sz val="9"/>
      <color rgb="FF2A78D6"/>
      <name val="Arial"/>
      <family val="2"/>
    </font>
    <font>
      <b/>
      <sz val="9"/>
      <color rgb="FFFFFFFF"/>
      <name val="Arial"/>
      <family val="2"/>
    </font>
    <font>
      <b/>
      <sz val="14"/>
      <color rgb="FF2A78D6"/>
      <name val="Arial"/>
      <family val="2"/>
    </font>
    <font>
      <b/>
      <sz val="10"/>
      <color rgb="FF1D2733"/>
      <name val="Arial"/>
      <family val="2"/>
    </font>
    <font>
      <b/>
      <sz val="14"/>
      <color rgb="FF1D2733"/>
      <name val="Arial"/>
      <family val="2"/>
    </font>
    <font>
      <sz val="10"/>
      <color rgb="FF5B6675"/>
      <name val="Arial"/>
      <family val="2"/>
    </font>
    <font>
      <sz val="9"/>
      <color rgb="FF5B6675"/>
      <name val="Arial"/>
      <family val="2"/>
    </font>
    <font>
      <sz val="9"/>
      <color rgb="FF5B6675"/>
      <name val="Arial"/>
      <family val="2"/>
    </font>
    <font>
      <sz val="8"/>
      <color rgb="FF5B6675"/>
      <name val="Arial"/>
      <family val="2"/>
    </font>
    <font>
      <b/>
      <sz val="14"/>
      <color rgb="FF1D2733"/>
      <name val="Arial"/>
      <family val="2"/>
    </font>
    <font>
      <sz val="8"/>
      <color rgb="FF5B6675"/>
      <name val="Arial"/>
      <family val="2"/>
    </font>
    <font>
      <sz val="9"/>
      <color rgb="FF2A78D6"/>
      <name val="Arial"/>
      <family val="2"/>
    </font>
    <font>
      <sz val="9"/>
      <color rgb="FF7F6000"/>
      <name val="Arial"/>
      <family val="2"/>
    </font>
    <font>
      <b/>
      <sz val="11"/>
      <color rgb="FF7F6000"/>
      <name val="Arial"/>
      <family val="2"/>
    </font>
    <font>
      <sz val="9"/>
      <color rgb="FF7F6000"/>
      <name val="Arial"/>
      <family val="2"/>
    </font>
    <font>
      <b/>
      <sz val="10"/>
      <color rgb="FF1D2733"/>
      <name val="Arial"/>
      <family val="2"/>
    </font>
    <font>
      <sz val="9"/>
      <color rgb="FF5B6675"/>
      <name val="Arial"/>
      <family val="2"/>
    </font>
    <font>
      <sz val="9"/>
      <color rgb="FF5B6675"/>
      <name val="Arial"/>
      <family val="2"/>
    </font>
    <font>
      <sz val="9"/>
      <color rgb="FF5B6675"/>
      <name val="Arial"/>
      <family val="2"/>
    </font>
    <font>
      <i/>
      <sz val="9"/>
      <color rgb="FF595959"/>
      <name val="Arial"/>
      <family val="2"/>
    </font>
    <font>
      <b/>
      <sz val="9"/>
      <color rgb="FF7F6000"/>
      <name val="Arial"/>
      <family val="2"/>
    </font>
    <font>
      <b/>
      <sz val="10"/>
      <color rgb="FFFFFFFF"/>
      <name val="Arial"/>
      <family val="2"/>
    </font>
    <font>
      <sz val="9"/>
      <color rgb="FF7F6000"/>
      <name val="Arial"/>
      <family val="2"/>
    </font>
    <font>
      <b/>
      <sz val="11"/>
      <color rgb="FF1D2733"/>
      <name val="Arial"/>
      <family val="2"/>
    </font>
    <font>
      <sz val="9"/>
      <color rgb="FF1D2733"/>
      <name val="Arial"/>
      <family val="2"/>
    </font>
    <font>
      <sz val="9"/>
      <color rgb="FF1D2733"/>
      <name val="Arial"/>
      <family val="2"/>
    </font>
    <font>
      <sz val="10"/>
      <color rgb="FF1D2733"/>
      <name val="Arial"/>
      <family val="2"/>
    </font>
    <font>
      <b/>
      <sz val="10"/>
      <color rgb="FF1D2733"/>
      <name val="Arial"/>
      <family val="2"/>
    </font>
    <font>
      <b/>
      <sz val="10"/>
      <color rgb="FFC8102E"/>
      <name val="Arial"/>
      <family val="2"/>
    </font>
    <font>
      <b/>
      <sz val="10"/>
      <color rgb="FF0F7B4F"/>
      <name val="Arial"/>
      <family val="2"/>
    </font>
    <font>
      <b/>
      <sz val="10"/>
      <color rgb="FF7F6000"/>
      <name val="Arial"/>
      <family val="2"/>
    </font>
    <font>
      <b/>
      <sz val="10"/>
      <color rgb="FFC8102E"/>
      <name val="Arial"/>
      <family val="2"/>
    </font>
    <font>
      <b/>
      <sz val="10"/>
      <color rgb="FF0F7B4F"/>
      <name val="Arial"/>
      <family val="2"/>
    </font>
    <font>
      <b/>
      <sz val="10"/>
      <color rgb="FF7F6000"/>
      <name val="Arial"/>
      <family val="2"/>
    </font>
    <font>
      <b/>
      <sz val="10"/>
      <color rgb="FFC8102E"/>
      <name val="Arial"/>
      <family val="2"/>
    </font>
    <font>
      <sz val="10"/>
      <color rgb="FFC8102E"/>
      <name val="Arial"/>
      <family val="2"/>
    </font>
    <font>
      <sz val="10"/>
      <color rgb="FFC8102E"/>
      <name val="Arial"/>
      <family val="2"/>
    </font>
    <font>
      <sz val="10"/>
      <color rgb="FFC8102E"/>
      <name val="Arial"/>
      <family val="2"/>
    </font>
    <font>
      <sz val="10"/>
      <color rgb="FFC8102E"/>
      <name val="Arial"/>
      <family val="2"/>
    </font>
    <font>
      <sz val="10"/>
      <color rgb="FFC8102E"/>
      <name val="Arial"/>
      <family val="2"/>
    </font>
    <font>
      <sz val="10"/>
      <color rgb="FF0F7B4F"/>
      <name val="Arial"/>
      <family val="2"/>
    </font>
    <font>
      <sz val="10"/>
      <color rgb="FF7F6000"/>
      <name val="Arial"/>
      <family val="2"/>
    </font>
    <font>
      <sz val="10"/>
      <color rgb="FF5B6675"/>
      <name val="Arial"/>
      <family val="2"/>
    </font>
    <font>
      <b/>
      <sz val="11"/>
      <color rgb="FF1D2733"/>
      <name val="Arial"/>
      <family val="2"/>
    </font>
    <font>
      <sz val="10"/>
      <color rgb="FF5B6675"/>
      <name val="Arial"/>
      <family val="2"/>
    </font>
    <font>
      <b/>
      <sz val="11"/>
      <color rgb="FF1D2733"/>
      <name val="Arial"/>
      <family val="2"/>
    </font>
    <font>
      <b/>
      <sz val="13"/>
      <color rgb="FF2A78D6"/>
      <name val="Arial"/>
      <family val="2"/>
    </font>
    <font>
      <b/>
      <sz val="10"/>
      <color rgb="FFC8102E"/>
      <name val="Arial"/>
      <family val="2"/>
    </font>
    <font>
      <b/>
      <sz val="10"/>
      <color rgb="FFC8102E"/>
      <name val="Arial"/>
      <family val="2"/>
    </font>
    <font>
      <sz val="10"/>
      <color rgb="FFC8102E"/>
      <name val="Arial"/>
      <family val="2"/>
    </font>
    <font>
      <b/>
      <sz val="10"/>
      <color rgb="FF0F7B4F"/>
      <name val="Arial"/>
      <family val="2"/>
    </font>
    <font>
      <b/>
      <sz val="10"/>
      <color rgb="FF0F7B4F"/>
      <name val="Arial"/>
      <family val="2"/>
    </font>
    <font>
      <sz val="10"/>
      <color rgb="FF0F7B4F"/>
      <name val="Arial"/>
      <family val="2"/>
    </font>
    <font>
      <i/>
      <sz val="9"/>
      <color rgb="FF5B6675"/>
      <name val="Arial"/>
      <family val="2"/>
    </font>
    <font>
      <b/>
      <sz val="12"/>
      <color rgb="FFFFFFFF"/>
      <name val="Arial"/>
      <family val="2"/>
    </font>
    <font>
      <b/>
      <sz val="14"/>
      <color rgb="FFFFFFFF"/>
      <name val="Arial"/>
      <family val="2"/>
    </font>
    <font>
      <b/>
      <sz val="9"/>
      <color rgb="FFFFFFFF"/>
      <name val="Arial"/>
      <family val="2"/>
    </font>
    <font>
      <b/>
      <sz val="11"/>
      <color rgb="FF1D2733"/>
      <name val="Arial"/>
      <family val="2"/>
    </font>
    <font>
      <b/>
      <sz val="10"/>
      <color rgb="FFFFFFFF"/>
      <name val="Arial"/>
      <family val="2"/>
    </font>
    <font>
      <i/>
      <sz val="9"/>
      <color rgb="FF5B6675"/>
      <name val="Arial"/>
      <family val="2"/>
    </font>
    <font>
      <b/>
      <sz val="8"/>
      <color rgb="FF5B6675"/>
      <name val="Arial"/>
      <family val="2"/>
    </font>
    <font>
      <b/>
      <sz val="18"/>
      <color rgb="FF1D2733"/>
      <name val="Arial"/>
      <family val="2"/>
    </font>
    <font>
      <sz val="8"/>
      <color rgb="FF5B6675"/>
      <name val="Arial"/>
      <family val="2"/>
    </font>
    <font>
      <sz val="9"/>
      <color rgb="FF5B6675"/>
      <name val="Arial"/>
      <family val="2"/>
    </font>
    <font>
      <b/>
      <sz val="9"/>
      <color rgb="FFFFFFFF"/>
      <name val="Arial"/>
      <family val="2"/>
    </font>
    <font>
      <sz val="9"/>
      <color rgb="FF5B6675"/>
      <name val="Arial"/>
      <family val="2"/>
    </font>
    <font>
      <sz val="9"/>
      <color rgb="FF1D2733"/>
      <name val="Arial"/>
      <family val="2"/>
    </font>
    <font>
      <sz val="9"/>
      <color rgb="FF1D2733"/>
      <name val="Arial"/>
      <family val="2"/>
    </font>
    <font>
      <i/>
      <sz val="8"/>
      <color rgb="FF5B6675"/>
      <name val="Arial"/>
      <family val="2"/>
    </font>
    <font>
      <sz val="9"/>
      <color rgb="FF5B6675"/>
      <name val="Arial"/>
      <family val="2"/>
    </font>
    <font>
      <b/>
      <sz val="9"/>
      <color rgb="FF1D2733"/>
      <name val="Arial"/>
      <family val="2"/>
    </font>
    <font>
      <b/>
      <sz val="9"/>
      <color rgb="FF1D2733"/>
      <name val="Arial"/>
      <family val="2"/>
    </font>
    <font>
      <sz val="8"/>
      <color rgb="FF1D2733"/>
      <name val="Arial"/>
      <family val="2"/>
    </font>
    <font>
      <i/>
      <sz val="8"/>
      <color rgb="FF5B6675"/>
      <name val="Arial"/>
      <family val="2"/>
    </font>
    <font>
      <b/>
      <sz val="10"/>
      <color rgb="FF2A78D6"/>
      <name val="Arial"/>
      <family val="2"/>
    </font>
    <font>
      <sz val="10"/>
      <color rgb="FF5B6675"/>
      <name val="Arial"/>
      <family val="2"/>
    </font>
    <font>
      <sz val="10"/>
      <color rgb="FF5B6675"/>
      <name val="Arial"/>
      <family val="2"/>
    </font>
  </fonts>
  <fills count="138">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F5F7FA"/>
      </patternFill>
    </fill>
    <fill>
      <patternFill patternType="solid">
        <fgColor rgb="00EAF2FB"/>
      </patternFill>
    </fill>
    <fill>
      <patternFill patternType="solid">
        <fgColor rgb="00FFF3CD"/>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DEDED"/>
        <bgColor indexed="64"/>
      </patternFill>
    </fill>
    <fill>
      <patternFill patternType="solid">
        <fgColor rgb="FFEAF2FB"/>
        <bgColor indexed="64"/>
      </patternFill>
    </fill>
    <fill>
      <patternFill patternType="solid">
        <fgColor rgb="FF1D2733"/>
        <bgColor indexed="64"/>
      </patternFill>
    </fill>
    <fill>
      <patternFill patternType="solid">
        <fgColor rgb="FFD9D9D9"/>
        <bgColor indexed="64"/>
      </patternFill>
    </fill>
    <fill>
      <patternFill patternType="solid">
        <fgColor rgb="FFFFF3CD"/>
        <bgColor indexed="64"/>
      </patternFill>
    </fill>
    <fill>
      <patternFill patternType="solid">
        <fgColor rgb="FFD9D9D9"/>
        <bgColor indexed="64"/>
      </patternFill>
    </fill>
    <fill>
      <patternFill patternType="solid">
        <fgColor rgb="FFE4F2EA"/>
        <bgColor indexed="64"/>
      </patternFill>
    </fill>
    <fill>
      <patternFill patternType="solid">
        <fgColor rgb="FF1C2634"/>
        <bgColor indexed="64"/>
      </patternFill>
    </fill>
    <fill>
      <patternFill patternType="solid">
        <fgColor rgb="FFEEF1F4"/>
        <bgColor indexed="64"/>
      </patternFill>
    </fill>
    <fill>
      <patternFill patternType="solid">
        <fgColor rgb="FF1D2733"/>
        <bgColor indexed="64"/>
      </patternFill>
    </fill>
    <fill>
      <patternFill patternType="solid">
        <fgColor rgb="FFFFF3CD"/>
        <bgColor indexed="64"/>
      </patternFill>
    </fill>
    <fill>
      <patternFill patternType="solid">
        <fgColor rgb="FFEAF2FB"/>
        <bgColor indexed="64"/>
      </patternFill>
    </fill>
    <fill>
      <patternFill patternType="solid">
        <fgColor rgb="FF0F7B4F"/>
        <bgColor indexed="64"/>
      </patternFill>
    </fill>
    <fill>
      <patternFill patternType="solid">
        <fgColor rgb="FFEAF2FB"/>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3CD"/>
        <bgColor indexed="64"/>
      </patternFill>
    </fill>
    <fill>
      <patternFill patternType="solid">
        <fgColor rgb="FF1D2733"/>
        <bgColor indexed="64"/>
      </patternFill>
    </fill>
    <fill>
      <patternFill patternType="solid">
        <fgColor rgb="FFFFF3CD"/>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E4F2EA"/>
        <bgColor indexed="64"/>
      </patternFill>
    </fill>
    <fill>
      <patternFill patternType="solid">
        <fgColor rgb="FFE4F2EA"/>
        <bgColor indexed="64"/>
      </patternFill>
    </fill>
    <fill>
      <patternFill patternType="solid">
        <fgColor rgb="FFE4F2EA"/>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6DFE3"/>
        <bgColor indexed="64"/>
      </patternFill>
    </fill>
    <fill>
      <patternFill patternType="solid">
        <fgColor rgb="FFE4F2EA"/>
        <bgColor indexed="64"/>
      </patternFill>
    </fill>
    <fill>
      <patternFill patternType="solid">
        <fgColor rgb="FFFFF3CD"/>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E4F2EA"/>
        <bgColor indexed="64"/>
      </patternFill>
    </fill>
    <fill>
      <patternFill patternType="solid">
        <fgColor rgb="FFFFF3CD"/>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E4F2EA"/>
        <bgColor indexed="64"/>
      </patternFill>
    </fill>
    <fill>
      <patternFill patternType="solid">
        <fgColor rgb="FFE4F2EA"/>
        <bgColor indexed="64"/>
      </patternFill>
    </fill>
    <fill>
      <patternFill patternType="solid">
        <fgColor rgb="FFE4F2EA"/>
        <bgColor indexed="64"/>
      </patternFill>
    </fill>
    <fill>
      <patternFill patternType="solid">
        <fgColor rgb="FF1D2733"/>
        <bgColor indexed="64"/>
      </patternFill>
    </fill>
    <fill>
      <patternFill patternType="solid">
        <fgColor rgb="FF1D2733"/>
        <bgColor indexed="64"/>
      </patternFill>
    </fill>
    <fill>
      <patternFill patternType="solid">
        <fgColor rgb="FF1D2733"/>
        <bgColor indexed="64"/>
      </patternFill>
    </fill>
    <fill>
      <patternFill patternType="solid">
        <fgColor rgb="FF1D2733"/>
        <bgColor indexed="64"/>
      </patternFill>
    </fill>
    <fill>
      <patternFill patternType="solid">
        <fgColor rgb="FF1D2733"/>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1D2733"/>
        <bgColor indexed="64"/>
      </patternFill>
    </fill>
    <fill>
      <patternFill patternType="solid">
        <fgColor rgb="FFD9D9D9"/>
        <bgColor indexed="64"/>
      </patternFill>
    </fill>
    <fill>
      <patternFill patternType="solid">
        <fgColor rgb="FFFFFFFF"/>
        <bgColor indexed="64"/>
      </patternFill>
    </fill>
    <fill>
      <patternFill patternType="solid">
        <fgColor rgb="FFFFFFFF"/>
        <bgColor indexed="64"/>
      </patternFill>
    </fill>
    <fill>
      <patternFill patternType="solid">
        <fgColor rgb="FFD9D9D9"/>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s>
  <borders count="135">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style="thin">
        <color rgb="00BFC7D1"/>
      </left>
      <top style="thin">
        <color rgb="00BFC7D1"/>
      </top>
    </border>
    <border>
      <top style="thin">
        <color rgb="00BFC7D1"/>
      </top>
    </border>
    <border>
      <right style="thin">
        <color rgb="00BFC7D1"/>
      </right>
      <top style="thin">
        <color rgb="00BFC7D1"/>
      </top>
    </border>
    <border>
      <left style="thin">
        <color rgb="00BFC7D1"/>
      </left>
    </border>
    <border/>
    <border>
      <right style="thin">
        <color rgb="00BFC7D1"/>
      </right>
    </border>
    <border>
      <left style="thin">
        <color rgb="00BFC7D1"/>
      </left>
      <bottom style="thin">
        <color rgb="00BFC7D1"/>
      </bottom>
    </border>
    <border>
      <bottom style="thin">
        <color rgb="00BFC7D1"/>
      </bottom>
    </border>
    <border>
      <right style="thin">
        <color rgb="00BFC7D1"/>
      </right>
      <bottom style="thin">
        <color rgb="00BFC7D1"/>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E6CF76"/>
      </left>
      <right style="thin">
        <color rgb="FFE6CF76"/>
      </right>
      <top style="thin">
        <color rgb="FFE6CF76"/>
      </top>
      <bottom/>
      <diagonal/>
    </border>
    <border>
      <left style="thin">
        <color rgb="FFC6D9EC"/>
      </left>
      <right style="thin">
        <color rgb="FFC6D9EC"/>
      </right>
      <top style="thin">
        <color rgb="FFC6D9EC"/>
      </top>
      <bottom style="thin">
        <color rgb="FFC6D9EC"/>
      </bottom>
      <diagonal/>
    </border>
    <border>
      <left style="thin">
        <color rgb="FF0F7B4F"/>
      </left>
      <right style="thin">
        <color rgb="FF0F7B4F"/>
      </right>
      <top style="thin">
        <color rgb="FF0F7B4F"/>
      </top>
      <bottom style="thin">
        <color rgb="FF0F7B4F"/>
      </bottom>
      <diagonal/>
    </border>
    <border>
      <left/>
      <right/>
      <top/>
      <bottom style="thin">
        <color rgb="FF2A78D6"/>
      </bottom>
      <diagonal/>
    </border>
    <border>
      <left style="thin">
        <color rgb="FFDFE4EA"/>
      </left>
      <right/>
      <top style="thin">
        <color rgb="FFDFE4EA"/>
      </top>
      <bottom/>
      <diagonal/>
    </border>
    <border>
      <left/>
      <right/>
      <top style="thin">
        <color rgb="FFDFE4EA"/>
      </top>
      <bottom/>
      <diagonal/>
    </border>
    <border>
      <left/>
      <right style="thin">
        <color rgb="FFDFE4EA"/>
      </right>
      <top style="thin">
        <color rgb="FFDFE4EA"/>
      </top>
      <bottom/>
      <diagonal/>
    </border>
    <border>
      <left style="thin">
        <color rgb="FFDFE4EA"/>
      </left>
      <right/>
      <top/>
      <bottom/>
      <diagonal/>
    </border>
    <border>
      <left/>
      <right/>
      <top/>
      <bottom/>
      <diagonal/>
    </border>
    <border>
      <left/>
      <right style="thin">
        <color rgb="FFDFE4EA"/>
      </right>
      <top/>
      <bottom/>
      <diagonal/>
    </border>
    <border>
      <left style="thin">
        <color rgb="FFDFE4EA"/>
      </left>
      <right/>
      <top/>
      <bottom style="thin">
        <color rgb="FFDFE4EA"/>
      </bottom>
      <diagonal/>
    </border>
    <border>
      <left/>
      <right/>
      <top/>
      <bottom style="thin">
        <color rgb="FFDFE4EA"/>
      </bottom>
      <diagonal/>
    </border>
    <border>
      <left/>
      <right style="thin">
        <color rgb="FFDFE4EA"/>
      </right>
      <top/>
      <bottom style="thin">
        <color rgb="FFDFE4EA"/>
      </bottom>
      <diagonal/>
    </border>
    <border>
      <left style="thin">
        <color rgb="FFDFE4EA"/>
      </left>
      <right/>
      <top style="thin">
        <color rgb="FFDFE4EA"/>
      </top>
      <bottom/>
      <diagonal/>
    </border>
    <border>
      <left style="thin">
        <color rgb="FFDFE4EA"/>
      </left>
      <right/>
      <top/>
      <bottom/>
      <diagonal/>
    </border>
    <border>
      <left style="thin">
        <color rgb="FFDFE4EA"/>
      </left>
      <right/>
      <top/>
      <bottom/>
      <diagonal/>
    </border>
    <border>
      <left style="thin">
        <color rgb="FFDFE4EA"/>
      </left>
      <right/>
      <top/>
      <bottom style="thin">
        <color rgb="FFDFE4EA"/>
      </bottom>
      <diagonal/>
    </border>
    <border>
      <left style="thin">
        <color rgb="FFDFE4EA"/>
      </left>
      <right/>
      <top/>
      <bottom style="thin">
        <color rgb="FFDFE4EA"/>
      </bottom>
      <diagonal/>
    </border>
    <border>
      <left/>
      <right/>
      <top style="thin">
        <color rgb="FFDFE4EA"/>
      </top>
      <bottom/>
      <diagonal/>
    </border>
    <border>
      <left/>
      <right/>
      <top/>
      <bottom style="thin">
        <color rgb="FFDFE4EA"/>
      </bottom>
      <diagonal/>
    </border>
    <border>
      <left style="thin">
        <color rgb="FFDFE4EA"/>
      </left>
      <right/>
      <top/>
      <bottom style="thin">
        <color rgb="FFDFE4EA"/>
      </bottom>
      <diagonal/>
    </border>
    <border>
      <left style="thin">
        <color rgb="FFE6CF76"/>
      </left>
      <right/>
      <top style="thin">
        <color rgb="FFE6CF76"/>
      </top>
      <bottom/>
      <diagonal/>
    </border>
    <border>
      <left/>
      <right/>
      <top style="thin">
        <color rgb="FFE6CF76"/>
      </top>
      <bottom/>
      <diagonal/>
    </border>
    <border>
      <left/>
      <right style="thin">
        <color rgb="FFE6CF76"/>
      </right>
      <top style="thin">
        <color rgb="FFE6CF76"/>
      </top>
      <bottom/>
      <diagonal/>
    </border>
    <border>
      <left style="thin">
        <color rgb="FFE6CF76"/>
      </left>
      <right/>
      <top/>
      <bottom/>
      <diagonal/>
    </border>
    <border>
      <left/>
      <right/>
      <top/>
      <bottom/>
      <diagonal/>
    </border>
    <border>
      <left/>
      <right style="thin">
        <color rgb="FFE6CF76"/>
      </right>
      <top/>
      <bottom/>
      <diagonal/>
    </border>
    <border>
      <left style="thin">
        <color rgb="FFE6CF76"/>
      </left>
      <right/>
      <top/>
      <bottom style="thin">
        <color rgb="FFE6CF76"/>
      </bottom>
      <diagonal/>
    </border>
    <border>
      <left/>
      <right/>
      <top/>
      <bottom style="thin">
        <color rgb="FFE6CF76"/>
      </bottom>
      <diagonal/>
    </border>
    <border>
      <left/>
      <right style="thin">
        <color rgb="FFE6CF76"/>
      </right>
      <top/>
      <bottom style="thin">
        <color rgb="FFE6CF76"/>
      </bottom>
      <diagonal/>
    </border>
    <border>
      <left style="thin">
        <color rgb="FFE6CF76"/>
      </left>
      <right/>
      <top/>
      <bottom/>
      <diagonal/>
    </border>
    <border>
      <left style="thin">
        <color rgb="FFE6CF76"/>
      </left>
      <right/>
      <top style="thin">
        <color rgb="FFE6CF76"/>
      </top>
      <bottom/>
      <diagonal/>
    </border>
    <border>
      <left style="thin">
        <color rgb="FFE6CF76"/>
      </left>
      <right/>
      <top/>
      <bottom style="thin">
        <color rgb="FFE6CF76"/>
      </bottom>
      <diagonal/>
    </border>
    <border>
      <left style="thin">
        <color rgb="FFDFE4EA"/>
      </left>
      <right/>
      <top/>
      <bottom/>
      <diagonal/>
    </border>
    <border>
      <left style="thin">
        <color rgb="FFDFE4EA"/>
      </left>
      <right/>
      <top/>
      <bottom style="thin">
        <color rgb="FFDFE4EA"/>
      </bottom>
      <diagonal/>
    </border>
    <border>
      <left style="thin">
        <color rgb="FFE6CF76"/>
      </left>
      <right style="thin">
        <color rgb="FFE6CF76"/>
      </right>
      <top style="thin">
        <color rgb="FFE6CF76"/>
      </top>
      <bottom style="thin">
        <color rgb="FFE6CF76"/>
      </bottom>
      <diagonal/>
    </border>
    <border>
      <left style="medium">
        <color rgb="FF2A78D6"/>
      </left>
      <right/>
      <top/>
      <bottom/>
      <diagonal/>
    </border>
    <border>
      <left style="thin">
        <color rgb="FFBFBFBF"/>
      </left>
      <right style="thin">
        <color rgb="FFBFBFBF"/>
      </right>
      <top style="thin">
        <color rgb="FFBFBFBF"/>
      </top>
      <bottom style="thin">
        <color rgb="FFBFBFBF"/>
      </bottom>
      <diagonal/>
    </border>
    <border>
      <left style="thin">
        <color rgb="FF1D2733"/>
      </left>
      <right style="thin">
        <color rgb="FF1D2733"/>
      </right>
      <top style="thin">
        <color rgb="FF1D2733"/>
      </top>
      <bottom/>
      <diagonal/>
    </border>
    <border>
      <left style="thin">
        <color rgb="FF1D2733"/>
      </left>
      <right style="thin">
        <color rgb="FF1D2733"/>
      </right>
      <top/>
      <bottom/>
      <diagonal/>
    </border>
    <border>
      <left style="thin">
        <color rgb="FF1D2733"/>
      </left>
      <right style="thin">
        <color rgb="FF1D2733"/>
      </right>
      <top/>
      <bottom style="thin">
        <color rgb="FF1D2733"/>
      </bottom>
      <diagonal/>
    </border>
    <border>
      <left style="thin">
        <color rgb="FFC8102E"/>
      </left>
      <right style="thin">
        <color rgb="FFC8102E"/>
      </right>
      <top style="thin">
        <color rgb="FFC8102E"/>
      </top>
      <bottom/>
      <diagonal/>
    </border>
    <border>
      <left style="thin">
        <color rgb="FFC8102E"/>
      </left>
      <right style="thin">
        <color rgb="FFC8102E"/>
      </right>
      <top/>
      <bottom/>
      <diagonal/>
    </border>
    <border>
      <left style="thin">
        <color rgb="FFC8102E"/>
      </left>
      <right style="thin">
        <color rgb="FFC8102E"/>
      </right>
      <top/>
      <bottom style="thin">
        <color rgb="FFC8102E"/>
      </bottom>
      <diagonal/>
    </border>
    <border>
      <left style="thin">
        <color rgb="FF0F7B4F"/>
      </left>
      <right style="thin">
        <color rgb="FF0F7B4F"/>
      </right>
      <top style="thin">
        <color rgb="FF0F7B4F"/>
      </top>
      <bottom/>
      <diagonal/>
    </border>
    <border>
      <left style="thin">
        <color rgb="FF0F7B4F"/>
      </left>
      <right style="thin">
        <color rgb="FF0F7B4F"/>
      </right>
      <top/>
      <bottom/>
      <diagonal/>
    </border>
    <border>
      <left style="thin">
        <color rgb="FF0F7B4F"/>
      </left>
      <right style="thin">
        <color rgb="FF0F7B4F"/>
      </right>
      <top/>
      <bottom style="thin">
        <color rgb="FF0F7B4F"/>
      </bottom>
      <diagonal/>
    </border>
    <border>
      <left style="thin">
        <color rgb="FF7F6000"/>
      </left>
      <right style="thin">
        <color rgb="FF7F6000"/>
      </right>
      <top style="thin">
        <color rgb="FF7F6000"/>
      </top>
      <bottom/>
      <diagonal/>
    </border>
    <border>
      <left style="thin">
        <color rgb="FF7F6000"/>
      </left>
      <right style="thin">
        <color rgb="FF7F6000"/>
      </right>
      <top/>
      <bottom/>
      <diagonal/>
    </border>
    <border>
      <left style="thin">
        <color rgb="FF7F6000"/>
      </left>
      <right style="thin">
        <color rgb="FF7F6000"/>
      </right>
      <top/>
      <bottom style="thin">
        <color rgb="FF7F6000"/>
      </bottom>
      <diagonal/>
    </border>
    <border>
      <left style="thin">
        <color rgb="FFC8102E"/>
      </left>
      <right style="thin">
        <color rgb="FFC8102E"/>
      </right>
      <top style="thin">
        <color rgb="FFC8102E"/>
      </top>
      <bottom style="thin">
        <color rgb="FFC8102E"/>
      </bottom>
      <diagonal/>
    </border>
    <border>
      <left style="thin">
        <color rgb="FF0F7B4F"/>
      </left>
      <right style="thin">
        <color rgb="FF0F7B4F"/>
      </right>
      <top style="thin">
        <color rgb="FF0F7B4F"/>
      </top>
      <bottom style="thin">
        <color rgb="FF0F7B4F"/>
      </bottom>
      <diagonal/>
    </border>
    <border>
      <left style="thin">
        <color rgb="FF7F6000"/>
      </left>
      <right style="thin">
        <color rgb="FF7F6000"/>
      </right>
      <top style="thin">
        <color rgb="FF7F6000"/>
      </top>
      <bottom style="thin">
        <color rgb="FF7F6000"/>
      </bottom>
      <diagonal/>
    </border>
    <border>
      <left style="thin">
        <color rgb="FFC8102E"/>
      </left>
      <right style="thin">
        <color rgb="FFC8102E"/>
      </right>
      <top style="thin">
        <color rgb="FFC8102E"/>
      </top>
      <bottom/>
      <diagonal/>
    </border>
    <border>
      <left style="thin">
        <color rgb="FFC8102E"/>
      </left>
      <right style="thin">
        <color rgb="FFC8102E"/>
      </right>
      <top style="thin">
        <color rgb="FFC8102E"/>
      </top>
      <bottom/>
      <diagonal/>
    </border>
    <border>
      <left style="thin">
        <color rgb="FFC8102E"/>
      </left>
      <right style="thin">
        <color rgb="FFC8102E"/>
      </right>
      <top/>
      <bottom/>
      <diagonal/>
    </border>
    <border>
      <left style="thin">
        <color rgb="FFC8102E"/>
      </left>
      <right style="thin">
        <color rgb="FFC8102E"/>
      </right>
      <top/>
      <bottom/>
      <diagonal/>
    </border>
    <border>
      <left style="thin">
        <color rgb="FFC8102E"/>
      </left>
      <right style="thin">
        <color rgb="FFC8102E"/>
      </right>
      <top/>
      <bottom style="thin">
        <color rgb="FFC8102E"/>
      </bottom>
      <diagonal/>
    </border>
    <border>
      <left style="thin">
        <color rgb="FFC8102E"/>
      </left>
      <right style="thin">
        <color rgb="FFC8102E"/>
      </right>
      <top/>
      <bottom style="thin">
        <color rgb="FFC8102E"/>
      </bottom>
      <diagonal/>
    </border>
    <border>
      <left style="thin">
        <color rgb="FF0F7B4F"/>
      </left>
      <right style="thin">
        <color rgb="FF0F7B4F"/>
      </right>
      <top style="thin">
        <color rgb="FF0F7B4F"/>
      </top>
      <bottom style="thin">
        <color rgb="FF0F7B4F"/>
      </bottom>
      <diagonal/>
    </border>
    <border>
      <left style="thin">
        <color rgb="FF7F6000"/>
      </left>
      <right style="thin">
        <color rgb="FF7F6000"/>
      </right>
      <top style="thin">
        <color rgb="FF7F6000"/>
      </top>
      <bottom style="thin">
        <color rgb="FF7F6000"/>
      </bottom>
      <diagonal/>
    </border>
    <border>
      <left style="medium">
        <color rgb="FF2A78D6"/>
      </left>
      <right/>
      <top/>
      <bottom/>
      <diagonal/>
    </border>
    <border>
      <left/>
      <right/>
      <top style="medium">
        <color rgb="FF1D2733"/>
      </top>
      <bottom/>
      <diagonal/>
    </border>
    <border>
      <left/>
      <right/>
      <top style="medium">
        <color rgb="FF1D2733"/>
      </top>
      <bottom/>
      <diagonal/>
    </border>
    <border>
      <left/>
      <right/>
      <top/>
      <bottom style="thin">
        <color rgb="FF2A78D6"/>
      </bottom>
      <diagonal/>
    </border>
    <border>
      <left/>
      <right/>
      <top/>
      <bottom style="thin">
        <color rgb="FF2A78D6"/>
      </bottom>
      <diagonal/>
    </border>
    <border>
      <left style="thin">
        <color rgb="FFDFE4EA"/>
      </left>
      <right style="thin">
        <color rgb="FFDFE4EA"/>
      </right>
      <top style="thin">
        <color rgb="FFDFE4EA"/>
      </top>
      <bottom/>
      <diagonal/>
    </border>
    <border>
      <left style="thin">
        <color rgb="FFDFE4EA"/>
      </left>
      <right style="thin">
        <color rgb="FFDFE4EA"/>
      </right>
      <top/>
      <bottom/>
      <diagonal/>
    </border>
    <border>
      <left style="thin">
        <color rgb="FFDFE4EA"/>
      </left>
      <right style="thin">
        <color rgb="FFDFE4EA"/>
      </right>
      <top/>
      <bottom style="thin">
        <color rgb="FFDFE4EA"/>
      </bottom>
      <diagonal/>
    </border>
    <border>
      <left style="thin">
        <color rgb="FFBFBFBF"/>
      </left>
      <right style="thin">
        <color rgb="FFBFBFBF"/>
      </right>
      <top style="thin">
        <color rgb="FFBFBFBF"/>
      </top>
      <bottom style="thin">
        <color rgb="FFBFBFBF"/>
      </bottom>
      <diagonal/>
    </border>
    <border>
      <left/>
      <right/>
      <top/>
      <bottom style="thin">
        <color rgb="FFF0F3F7"/>
      </bottom>
      <diagonal/>
    </border>
    <border>
      <left/>
      <right/>
      <top/>
      <bottom style="thin">
        <color rgb="FFF0F3F7"/>
      </bottom>
      <diagonal/>
    </border>
    <border>
      <left style="thin">
        <color rgb="FFBFBFBF"/>
      </left>
      <right style="thin">
        <color rgb="FFBFBFBF"/>
      </right>
      <top style="thin">
        <color rgb="FFBFBFBF"/>
      </top>
      <bottom style="thin">
        <color rgb="FFBFBFBF"/>
      </bottom>
      <diagonal/>
    </border>
    <border>
      <left/>
      <right/>
      <top/>
      <bottom style="thin">
        <color rgb="FFBCC6D2"/>
      </bottom>
      <diagonal/>
    </border>
    <border>
      <left style="thin">
        <color rgb="FFDFE4EA"/>
      </left>
      <right/>
      <top/>
      <bottom/>
      <diagonal/>
    </border>
    <border>
      <left/>
      <right style="thin">
        <color rgb="FFDFE4EA"/>
      </right>
      <top/>
      <bottom/>
      <diagonal/>
    </border>
    <border>
      <left/>
      <right/>
      <top/>
      <bottom/>
      <diagonal/>
    </border>
    <border>
      <left/>
      <right/>
      <top/>
      <bottom style="thin">
        <color rgb="FFDFE4EA"/>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326">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6" fillId="11" borderId="36" pivotButton="0" quotePrefix="0" xfId="0"/>
    <xf numFmtId="0" fontId="17" fillId="13" borderId="37" applyAlignment="1" pivotButton="0" quotePrefix="0" xfId="0">
      <alignment vertical="center" wrapText="1"/>
    </xf>
    <xf numFmtId="0" fontId="21" fillId="14" borderId="38" applyAlignment="1" pivotButton="0" quotePrefix="0" xfId="0">
      <alignment vertical="center"/>
    </xf>
    <xf numFmtId="0" fontId="15" fillId="14" borderId="39" pivotButton="0" quotePrefix="0" xfId="0"/>
    <xf numFmtId="0" fontId="15" fillId="14" borderId="40" pivotButton="0" quotePrefix="0" xfId="0"/>
    <xf numFmtId="0" fontId="69" fillId="14" borderId="41" applyAlignment="1" pivotButton="0" quotePrefix="0" xfId="0">
      <alignment vertical="center"/>
    </xf>
    <xf numFmtId="0" fontId="70" fillId="14" borderId="42" pivotButton="0" quotePrefix="0" xfId="0"/>
    <xf numFmtId="0" fontId="71" fillId="14" borderId="43" pivotButton="0" quotePrefix="0" xfId="0"/>
    <xf numFmtId="0" fontId="23" fillId="14" borderId="44" applyAlignment="1" pivotButton="0" quotePrefix="0" xfId="0">
      <alignment vertical="center" wrapText="1"/>
    </xf>
    <xf numFmtId="0" fontId="15" fillId="14" borderId="45" pivotButton="0" quotePrefix="0" xfId="0"/>
    <xf numFmtId="0" fontId="15" fillId="14" borderId="46" pivotButton="0" quotePrefix="0" xfId="0"/>
    <xf numFmtId="0" fontId="24" fillId="9" borderId="36" pivotButton="0" quotePrefix="0" xfId="0"/>
    <xf numFmtId="168" fontId="24" fillId="9" borderId="36" pivotButton="0" quotePrefix="0" xfId="0"/>
    <xf numFmtId="0" fontId="19" fillId="9" borderId="36" pivotButton="0" quotePrefix="0" xfId="0"/>
    <xf numFmtId="0" fontId="20" fillId="9" borderId="37" pivotButton="0" quotePrefix="0" xfId="0"/>
    <xf numFmtId="168" fontId="20" fillId="9" borderId="37" pivotButton="0" quotePrefix="0" xfId="0"/>
    <xf numFmtId="10" fontId="20" fillId="9" borderId="37" pivotButton="0" quotePrefix="0" xfId="0"/>
    <xf numFmtId="169" fontId="24" fillId="9" borderId="36" pivotButton="0" quotePrefix="0" xfId="0"/>
    <xf numFmtId="0" fontId="17" fillId="15" borderId="36" pivotButton="0" quotePrefix="0" xfId="0"/>
    <xf numFmtId="0" fontId="15" fillId="15" borderId="36" pivotButton="0" quotePrefix="0" xfId="0"/>
    <xf numFmtId="0" fontId="25" fillId="9" borderId="36" pivotButton="0" quotePrefix="0" xfId="0"/>
    <xf numFmtId="0" fontId="26" fillId="9" borderId="36" pivotButton="0" quotePrefix="0" xfId="0"/>
    <xf numFmtId="0" fontId="27" fillId="9" borderId="36" pivotButton="0" quotePrefix="0" xfId="0"/>
    <xf numFmtId="0" fontId="28" fillId="9" borderId="36" pivotButton="0" quotePrefix="0" xfId="0"/>
    <xf numFmtId="0" fontId="20" fillId="9" borderId="36" pivotButton="0" quotePrefix="0" xfId="0"/>
    <xf numFmtId="170" fontId="20" fillId="9" borderId="37" pivotButton="0" quotePrefix="0" xfId="0"/>
    <xf numFmtId="1" fontId="20" fillId="13" borderId="37" pivotButton="0" quotePrefix="0" xfId="0"/>
    <xf numFmtId="0" fontId="29" fillId="16" borderId="36" applyAlignment="1" pivotButton="0" quotePrefix="0" xfId="0">
      <alignment vertical="top" wrapText="1"/>
    </xf>
    <xf numFmtId="0" fontId="19" fillId="9" borderId="36" applyAlignment="1" pivotButton="0" quotePrefix="0" xfId="0">
      <alignment vertical="top" wrapText="1"/>
    </xf>
    <xf numFmtId="1" fontId="24" fillId="9" borderId="36" pivotButton="0" quotePrefix="0" xfId="0"/>
    <xf numFmtId="2" fontId="24" fillId="9" borderId="36" pivotButton="0" quotePrefix="0" xfId="0"/>
    <xf numFmtId="171" fontId="24" fillId="9" borderId="36" pivotButton="0" quotePrefix="0" xfId="0"/>
    <xf numFmtId="2" fontId="20" fillId="9" borderId="37" pivotButton="0" quotePrefix="0" xfId="0"/>
    <xf numFmtId="172" fontId="24" fillId="9" borderId="36" pivotButton="0" quotePrefix="0" xfId="0"/>
    <xf numFmtId="0" fontId="30" fillId="17" borderId="47" pivotButton="0" quotePrefix="0" xfId="0"/>
    <xf numFmtId="0" fontId="31" fillId="19" borderId="48" applyAlignment="1" pivotButton="0" quotePrefix="0" xfId="0">
      <alignment horizontal="center" vertical="center"/>
    </xf>
    <xf numFmtId="0" fontId="31" fillId="20" borderId="48" applyAlignment="1" pivotButton="0" quotePrefix="0" xfId="0">
      <alignment horizontal="center" vertical="center"/>
    </xf>
    <xf numFmtId="0" fontId="32" fillId="17" borderId="47" pivotButton="0" quotePrefix="0" xfId="0"/>
    <xf numFmtId="0" fontId="33" fillId="17" borderId="47" pivotButton="0" quotePrefix="0" xfId="0"/>
    <xf numFmtId="0" fontId="32" fillId="17" borderId="47" applyAlignment="1" pivotButton="0" quotePrefix="0" xfId="0">
      <alignment vertical="top" wrapText="1"/>
    </xf>
    <xf numFmtId="0" fontId="34" fillId="21" borderId="47" pivotButton="0" quotePrefix="0" xfId="0"/>
    <xf numFmtId="0" fontId="30" fillId="21" borderId="47" pivotButton="0" quotePrefix="0" xfId="0"/>
    <xf numFmtId="0" fontId="34" fillId="22" borderId="48" applyAlignment="1" pivotButton="0" quotePrefix="0" xfId="0">
      <alignment vertical="center" wrapText="1"/>
    </xf>
    <xf numFmtId="0" fontId="35" fillId="17" borderId="48" applyAlignment="1" pivotButton="0" quotePrefix="0" xfId="0">
      <alignment vertical="top" wrapText="1"/>
    </xf>
    <xf numFmtId="3" fontId="35" fillId="17" borderId="48" applyAlignment="1" pivotButton="0" quotePrefix="0" xfId="0">
      <alignment vertical="top" wrapText="1"/>
    </xf>
    <xf numFmtId="1" fontId="35" fillId="17" borderId="48" applyAlignment="1" pivotButton="0" quotePrefix="0" xfId="0">
      <alignment vertical="top" wrapText="1"/>
    </xf>
    <xf numFmtId="0" fontId="36" fillId="17" borderId="48" applyAlignment="1" pivotButton="0" quotePrefix="0" xfId="0">
      <alignment vertical="top" wrapText="1"/>
    </xf>
    <xf numFmtId="4" fontId="35" fillId="17" borderId="48" applyAlignment="1" pivotButton="0" quotePrefix="0" xfId="0">
      <alignment vertical="top" wrapText="1"/>
    </xf>
    <xf numFmtId="0" fontId="37" fillId="23" borderId="49" pivotButton="0" quotePrefix="0" xfId="0"/>
    <xf numFmtId="0" fontId="38" fillId="25" borderId="50" applyAlignment="1" pivotButton="0" quotePrefix="0" xfId="0">
      <alignment horizontal="center" vertical="center"/>
    </xf>
    <xf numFmtId="0" fontId="38" fillId="26" borderId="50" applyAlignment="1" pivotButton="0" quotePrefix="0" xfId="0">
      <alignment horizontal="center" vertical="center"/>
    </xf>
    <xf numFmtId="0" fontId="39" fillId="23" borderId="49" pivotButton="0" quotePrefix="0" xfId="0"/>
    <xf numFmtId="0" fontId="40" fillId="23" borderId="49" pivotButton="0" quotePrefix="0" xfId="0"/>
    <xf numFmtId="0" fontId="39" fillId="23" borderId="49" applyAlignment="1" pivotButton="0" quotePrefix="0" xfId="0">
      <alignment vertical="top" wrapText="1"/>
    </xf>
    <xf numFmtId="0" fontId="41" fillId="27" borderId="49" pivotButton="0" quotePrefix="0" xfId="0"/>
    <xf numFmtId="0" fontId="37" fillId="27" borderId="49" pivotButton="0" quotePrefix="0" xfId="0"/>
    <xf numFmtId="0" fontId="41" fillId="28" borderId="50" applyAlignment="1" pivotButton="0" quotePrefix="0" xfId="0">
      <alignment vertical="center" wrapText="1"/>
    </xf>
    <xf numFmtId="0" fontId="42" fillId="23" borderId="50" applyAlignment="1" pivotButton="0" quotePrefix="0" xfId="0">
      <alignment vertical="top" wrapText="1"/>
    </xf>
    <xf numFmtId="0" fontId="43" fillId="23" borderId="50" applyAlignment="1" pivotButton="0" quotePrefix="0" xfId="0">
      <alignment vertical="top" wrapText="1"/>
    </xf>
    <xf numFmtId="1" fontId="43" fillId="23" borderId="50" applyAlignment="1" pivotButton="0" quotePrefix="0" xfId="0">
      <alignment vertical="top" wrapText="1"/>
    </xf>
    <xf numFmtId="2" fontId="43" fillId="23" borderId="50" applyAlignment="1" pivotButton="0" quotePrefix="0" xfId="0">
      <alignment vertical="top" wrapText="1"/>
    </xf>
    <xf numFmtId="173" fontId="43" fillId="23" borderId="50" applyAlignment="1" pivotButton="0" quotePrefix="0" xfId="0">
      <alignment vertical="top" wrapText="1"/>
    </xf>
    <xf numFmtId="0" fontId="42" fillId="29" borderId="50" applyAlignment="1" pivotButton="0" quotePrefix="0" xfId="0">
      <alignment vertical="top" wrapText="1"/>
    </xf>
    <xf numFmtId="0" xfId="0" fontId="44" applyFont="1" fillId="30" applyFill="1" applyAlignment="1">
      <alignment horizontal="left" vertical="center" indent="1"/>
    </xf>
    <xf numFmtId="0" xfId="0" fontId="45" applyFont="1" fillId="31" applyFill="1" applyAlignment="1">
      <alignment horizontal="left" vertical="top" wrapText="1" indent="1"/>
    </xf>
    <xf numFmtId="0" xfId="0" fontId="46" applyFont="1" fillId="32" applyFill="1" borderId="51" applyBorder="1" applyAlignment="1">
      <alignment horizontal="left" vertical="center" wrapText="1" indent="1"/>
    </xf>
    <xf numFmtId="0" xfId="0" fontId="47" applyFont="1" fillId="33" applyFill="1" borderId="52" applyBorder="1" applyAlignment="1">
      <alignment horizontal="left" vertical="center"/>
    </xf>
    <xf numFmtId="0" xfId="0" fontId="48" applyFont="1" applyAlignment="1">
      <alignment horizontal="left" vertical="center"/>
    </xf>
    <xf numFmtId="0" xfId="0" fontId="49" applyFont="1" applyAlignment="1">
      <alignment horizontal="left" vertical="center" wrapText="1"/>
    </xf>
    <xf numFmtId="0" xfId="0" fontId="50" applyFont="1" applyAlignment="1">
      <alignment horizontal="right" vertical="center"/>
    </xf>
    <xf numFmtId="0" xfId="0" fontId="51" applyFont="1" fillId="34" applyFill="1" borderId="53" applyBorder="1" applyAlignment="1">
      <alignment horizontal="left" vertical="center" indent="1"/>
    </xf>
    <xf numFmtId="0" xfId="0" fontId="52" applyFont="1" applyAlignment="1">
      <alignment horizontal="left" vertical="center"/>
    </xf>
    <xf numFmtId="0" xfId="0" fontId="53" applyFont="1" applyAlignment="1">
      <alignment horizontal="left" vertical="center" wrapText="1"/>
    </xf>
    <xf numFmtId="0" xfId="0" fontId="54" applyFont="1" applyAlignment="1">
      <alignment horizontal="left"/>
    </xf>
    <xf numFmtId="174" xfId="0" applyNumberFormat="1" fontId="55" applyFont="1" fillId="35" applyFill="1" borderId="54" applyBorder="1" applyAlignment="1">
      <alignment horizontal="right" vertical="center"/>
    </xf>
    <xf numFmtId="0" xfId="0" fontId="56" applyFont="1" applyAlignment="1">
      <alignment horizontal="left" vertical="center" wrapText="1"/>
    </xf>
    <xf numFmtId="0" xfId="0" fontId="57" applyFont="1"/>
    <xf numFmtId="0" xfId="0" fontId="58" applyFont="1" fillId="36" applyFill="1" applyAlignment="1">
      <alignment horizontal="left" vertical="center" wrapText="1"/>
    </xf>
    <xf numFmtId="0" xfId="0" fontId="59" applyFont="1" fillId="37" applyFill="1" applyAlignment="1">
      <alignment horizontal="left" vertical="center" wrapText="1"/>
    </xf>
    <xf numFmtId="175" xfId="0" applyNumberFormat="1" fontId="60" applyFont="1" fillId="38" applyFill="1" borderId="55" applyBorder="1" applyAlignment="1">
      <alignment horizontal="right" vertical="center"/>
    </xf>
    <xf numFmtId="0" xfId="0" fontId="61" applyFont="1" fillId="39" applyFill="1" applyAlignment="1">
      <alignment horizontal="left" vertical="center" wrapText="1"/>
    </xf>
    <xf numFmtId="0" xfId="0" fontId="62" applyFont="1" applyAlignment="1">
      <alignment horizontal="left" vertical="center"/>
    </xf>
    <xf numFmtId="0" xfId="0" fontId="63" applyFont="1" applyAlignment="1">
      <alignment horizontal="left" vertical="center"/>
    </xf>
    <xf numFmtId="0" xfId="0" fontId="64" applyFont="1" applyAlignment="1">
      <alignment horizontal="left" vertical="center"/>
    </xf>
    <xf numFmtId="0" xfId="0" fontId="65" applyFont="1" fillId="40" applyFill="1" borderId="56" applyBorder="1" applyAlignment="1">
      <alignment horizontal="left" vertical="center" indent="1"/>
    </xf>
    <xf numFmtId="0" xfId="0" fontId="66" applyFont="1" fillId="41" applyFill="1" applyAlignment="1">
      <alignment vertical="center" indent="1"/>
    </xf>
    <xf numFmtId="0" xfId="0" fontId="67" applyFont="1" fillId="42" applyFill="1" applyAlignment="1">
      <alignment vertical="center" wrapText="1"/>
    </xf>
    <xf numFmtId="0" xfId="0" fontId="68" applyFont="1" fillId="43" applyFill="1" applyAlignment="1">
      <alignment vertical="center" indent="1"/>
    </xf>
    <xf numFmtId="0" xfId="0" fontId="72" applyFont="1" applyAlignment="1">
      <alignment vertical="center"/>
    </xf>
    <xf numFmtId="0" xfId="0" fontId="73" applyFont="1" applyAlignment="1">
      <alignment vertical="center"/>
    </xf>
    <xf numFmtId="0" xfId="0" fontId="74" applyFont="1" applyAlignment="1">
      <alignment vertical="center"/>
    </xf>
    <xf numFmtId="0" xfId="0" fontId="75" applyFont="1" applyAlignment="1">
      <alignment horizontal="left" vertical="center"/>
    </xf>
    <xf numFmtId="0" xfId="0" fontId="76" applyFont="1" applyAlignment="1">
      <alignment horizontal="left" vertical="center"/>
    </xf>
    <xf numFmtId="0" xfId="0" fontId="77" applyFont="1" applyAlignment="1">
      <alignment horizontal="left" vertical="bottom"/>
    </xf>
    <xf numFmtId="0" xfId="0" fontId="78" applyFont="1" fillId="44" applyFill="1" applyAlignment="1">
      <alignment horizontal="left" vertical="center" indent="1"/>
    </xf>
    <xf numFmtId="0" xfId="0" fontId="79" applyFont="1" fillId="45" applyFill="1" borderId="57" applyBorder="1" applyAlignment="1">
      <alignment horizontal="left" vertical="center" indent="1"/>
    </xf>
    <xf numFmtId="0" xfId="0" fontId="80" applyFont="1" fillId="46" applyFill="1" borderId="58" applyBorder="1" applyAlignment="1">
      <alignment horizontal="center" vertical="center"/>
    </xf>
    <xf numFmtId="0" xfId="0" fontId="81" applyFont="1" fillId="47" applyFill="1" borderId="59" applyBorder="1" applyAlignment="1">
      <alignment horizontal="center" vertical="center"/>
    </xf>
    <xf numFmtId="0" xfId="0" fontId="82" applyFont="1" fillId="48" applyFill="1" applyAlignment="1">
      <alignment horizontal="center" vertical="center"/>
    </xf>
    <xf numFmtId="0" xfId="0" fontId="83" applyFont="1" borderId="60" applyBorder="1" applyAlignment="1">
      <alignment horizontal="left" vertical="center"/>
    </xf>
    <xf numFmtId="0" xfId="0" fillId="49" applyFill="1" borderId="61" applyBorder="1"/>
    <xf numFmtId="0" xfId="0" fillId="50" applyFill="1" borderId="62" applyBorder="1"/>
    <xf numFmtId="0" xfId="0" fillId="51" applyFill="1" borderId="63" applyBorder="1"/>
    <xf numFmtId="0" xfId="0" fillId="52" applyFill="1" borderId="64" applyBorder="1"/>
    <xf numFmtId="0" xfId="0" fillId="53" applyFill="1" borderId="65" applyBorder="1"/>
    <xf numFmtId="0" xfId="0" fillId="54" applyFill="1" borderId="66" applyBorder="1"/>
    <xf numFmtId="0" xfId="0" fillId="55" applyFill="1" borderId="67" applyBorder="1"/>
    <xf numFmtId="0" xfId="0" fillId="56" applyFill="1" borderId="68" applyBorder="1"/>
    <xf numFmtId="0" xfId="0" fillId="57" applyFill="1" borderId="69" applyBorder="1"/>
    <xf numFmtId="0" xfId="0" fontId="84" applyFont="1" fillId="58" applyFill="1" borderId="70" applyBorder="1" applyAlignment="1">
      <alignment horizontal="left" vertical="center" indent="1"/>
    </xf>
    <xf numFmtId="0" xfId="0" fontId="85" applyFont="1" fillId="59" applyFill="1" borderId="71" applyBorder="1" applyAlignment="1">
      <alignment horizontal="left" vertical="top" wrapText="1" indent="1"/>
    </xf>
    <xf numFmtId="0" xfId="0" fontId="86" applyFont="1" fillId="60" applyFill="1" borderId="72" applyBorder="1" applyAlignment="1">
      <alignment horizontal="left" vertical="center" indent="1"/>
    </xf>
    <xf numFmtId="0" xfId="0" fontId="87" applyFont="1" fillId="61" applyFill="1" borderId="73" applyBorder="1" applyAlignment="1">
      <alignment horizontal="left" vertical="center" indent="1"/>
    </xf>
    <xf numFmtId="0" xfId="0" fontId="88" applyFont="1" fillId="62" applyFill="1" borderId="74" applyBorder="1" applyAlignment="1">
      <alignment horizontal="left" vertical="top" wrapText="1" indent="1"/>
    </xf>
    <xf numFmtId="0" xfId="0" fontId="89" applyFont="1" fillId="63" applyFill="1" borderId="75" applyBorder="1" applyAlignment="1">
      <alignment horizontal="left" vertical="center" indent="1"/>
    </xf>
    <xf numFmtId="0" xfId="0" fontId="90" applyFont="1" fillId="64" applyFill="1" borderId="76" applyBorder="1" applyAlignment="1">
      <alignment horizontal="left" vertical="top" wrapText="1" indent="1"/>
    </xf>
    <xf numFmtId="0" xfId="0" fontId="91" applyFont="1" fillId="65" applyFill="1" borderId="77" applyBorder="1" applyAlignment="1">
      <alignment horizontal="left" vertical="center" indent="1"/>
    </xf>
    <xf numFmtId="0" xfId="0" fillId="66" applyFill="1" borderId="78" applyBorder="1"/>
    <xf numFmtId="0" xfId="0" fillId="67" applyFill="1" borderId="79" applyBorder="1"/>
    <xf numFmtId="0" xfId="0" fillId="68" applyFill="1" borderId="80" applyBorder="1"/>
    <xf numFmtId="0" xfId="0" fillId="69" applyFill="1" borderId="81" applyBorder="1"/>
    <xf numFmtId="0" xfId="0" fillId="70" applyFill="1" borderId="82" applyBorder="1"/>
    <xf numFmtId="0" xfId="0" fillId="71" applyFill="1" borderId="83" applyBorder="1"/>
    <xf numFmtId="0" xfId="0" fillId="72" applyFill="1" borderId="84" applyBorder="1"/>
    <xf numFmtId="0" xfId="0" fillId="73" applyFill="1" borderId="85" applyBorder="1"/>
    <xf numFmtId="0" xfId="0" fillId="74" applyFill="1" borderId="86" applyBorder="1"/>
    <xf numFmtId="0" xfId="0" fontId="92" applyFont="1" fillId="75" applyFill="1" borderId="87" applyBorder="1" applyAlignment="1">
      <alignment horizontal="left" vertical="top" wrapText="1" indent="1"/>
    </xf>
    <xf numFmtId="0" xfId="0" fontId="93" applyFont="1" fillId="76" applyFill="1" borderId="88" applyBorder="1" applyAlignment="1">
      <alignment horizontal="left" vertical="center" indent="1"/>
    </xf>
    <xf numFmtId="0" xfId="0" fontId="94" applyFont="1" fillId="77" applyFill="1" borderId="89" applyBorder="1" applyAlignment="1">
      <alignment horizontal="left" vertical="center" indent="1"/>
    </xf>
    <xf numFmtId="0" xfId="0" fontId="95" applyFont="1" fillId="78" applyFill="1" applyAlignment="1">
      <alignment horizontal="left" vertical="center"/>
    </xf>
    <xf numFmtId="0" xfId="0" fontId="96" applyFont="1" fillId="79" applyFill="1" applyAlignment="1">
      <alignment horizontal="left" vertical="top" wrapText="1"/>
    </xf>
    <xf numFmtId="0" xfId="0" fontId="97" applyFont="1" fillId="80" applyFill="1" borderId="90" applyBorder="1" applyAlignment="1">
      <alignment horizontal="left" vertical="top" wrapText="1" indent="1"/>
    </xf>
    <xf numFmtId="0" xfId="0" fontId="98" applyFont="1" fillId="81" applyFill="1" borderId="91" applyBorder="1" applyAlignment="1">
      <alignment horizontal="left" vertical="top" wrapText="1" indent="1"/>
    </xf>
    <xf numFmtId="0" xfId="0" fontId="99" applyFont="1" applyAlignment="1">
      <alignment horizontal="left" vertical="center" wrapText="1"/>
    </xf>
    <xf numFmtId="0" xfId="0" fontId="100" applyFont="1" fillId="82" applyFill="1" borderId="92" applyBorder="1" applyAlignment="1">
      <alignment horizontal="left" vertical="center" indent="1"/>
    </xf>
    <xf numFmtId="0" xfId="0" fontId="101" applyFont="1" fillId="83" applyFill="1" applyAlignment="1">
      <alignment horizontal="center" vertical="center"/>
    </xf>
    <xf numFmtId="0" xfId="0" fontId="102" applyFont="1" fillId="84" applyFill="1" applyAlignment="1">
      <alignment horizontal="left" vertical="center" wrapText="1" indent="1"/>
    </xf>
    <xf numFmtId="0" xfId="0" fontId="103" applyFont="1" applyAlignment="1">
      <alignment horizontal="left" vertical="center"/>
    </xf>
    <xf numFmtId="0" xfId="0" fontId="104" applyFont="1" fillId="85" applyFill="1" borderId="93" applyBorder="1" applyAlignment="1">
      <alignment horizontal="left" vertical="center" wrapText="1" indent="1"/>
    </xf>
    <xf numFmtId="0" xfId="0" fontId="105" applyFont="1" fillId="86" applyFill="1" applyAlignment="1">
      <alignment horizontal="left" vertical="center" wrapText="1"/>
    </xf>
    <xf numFmtId="0" xfId="0" fontId="106" applyFont="1" fillId="87" applyFill="1" borderId="94" applyBorder="1" applyAlignment="1">
      <alignment horizontal="right" vertical="center"/>
    </xf>
    <xf numFmtId="0" xfId="0" fontId="107" applyFont="1" fillId="88" applyFill="1" borderId="95" applyBorder="1" applyAlignment="1">
      <alignment horizontal="center" vertical="center"/>
    </xf>
    <xf numFmtId="0" xfId="0" fillId="89" applyFill="1" borderId="96" applyBorder="1"/>
    <xf numFmtId="0" xfId="0" fillId="90" applyFill="1" borderId="97" applyBorder="1"/>
    <xf numFmtId="0" xfId="0" fontId="108" applyFont="1" fillId="91" applyFill="1" borderId="98" applyBorder="1" applyAlignment="1">
      <alignment horizontal="center" vertical="center"/>
    </xf>
    <xf numFmtId="0" xfId="0" fillId="92" applyFill="1" borderId="99" applyBorder="1"/>
    <xf numFmtId="0" xfId="0" fillId="93" applyFill="1" borderId="100" applyBorder="1"/>
    <xf numFmtId="0" xfId="0" fontId="109" applyFont="1" fillId="94" applyFill="1" borderId="101" applyBorder="1" applyAlignment="1">
      <alignment horizontal="center" vertical="center"/>
    </xf>
    <xf numFmtId="0" xfId="0" fillId="95" applyFill="1" borderId="102" applyBorder="1"/>
    <xf numFmtId="0" xfId="0" fillId="96" applyFill="1" borderId="103" applyBorder="1"/>
    <xf numFmtId="0" xfId="0" fontId="110" applyFont="1" fillId="97" applyFill="1" borderId="104" applyBorder="1" applyAlignment="1">
      <alignment horizontal="center" vertical="center"/>
    </xf>
    <xf numFmtId="0" xfId="0" fillId="98" applyFill="1" borderId="105" applyBorder="1"/>
    <xf numFmtId="0" xfId="0" fillId="99" applyFill="1" borderId="106" applyBorder="1"/>
    <xf numFmtId="0" xfId="0" fontId="111" applyFont="1" fillId="100" applyFill="1" borderId="107" applyBorder="1" applyAlignment="1">
      <alignment horizontal="left" vertical="center" indent="1"/>
    </xf>
    <xf numFmtId="0" xfId="0" fontId="112" applyFont="1" fillId="101" applyFill="1" borderId="108" applyBorder="1" applyAlignment="1">
      <alignment horizontal="left" vertical="center" indent="1"/>
    </xf>
    <xf numFmtId="0" xfId="0" fontId="113" applyFont="1" fillId="102" applyFill="1" borderId="109" applyBorder="1" applyAlignment="1">
      <alignment horizontal="left" vertical="center" indent="1"/>
    </xf>
    <xf numFmtId="0" xfId="0" fontId="114" applyFont="1" fillId="103" applyFill="1" borderId="110" applyBorder="1" applyAlignment="1">
      <alignment horizontal="left" vertical="center" indent="1"/>
    </xf>
    <xf numFmtId="0" xfId="0" fontId="115" applyFont="1" fillId="104" applyFill="1" borderId="111" applyBorder="1" applyAlignment="1">
      <alignment horizontal="left" vertical="center"/>
    </xf>
    <xf numFmtId="0" xfId="0" fontId="116" applyFont="1" fillId="105" applyFill="1" borderId="112" applyBorder="1" applyAlignment="1">
      <alignment horizontal="left" vertical="center" indent="1"/>
    </xf>
    <xf numFmtId="0" xfId="0" fontId="117" applyFont="1" fillId="106" applyFill="1" borderId="113" applyBorder="1" applyAlignment="1">
      <alignment horizontal="left" vertical="center"/>
    </xf>
    <xf numFmtId="0" xfId="0" fontId="118" applyFont="1" fillId="107" applyFill="1" borderId="114" applyBorder="1" applyAlignment="1">
      <alignment horizontal="left" vertical="center" indent="1"/>
    </xf>
    <xf numFmtId="0" xfId="0" fontId="119" applyFont="1" fillId="108" applyFill="1" borderId="115" applyBorder="1" applyAlignment="1">
      <alignment horizontal="left" vertical="center"/>
    </xf>
    <xf numFmtId="0" xfId="0" fontId="120" applyFont="1" fillId="109" applyFill="1" borderId="116" applyBorder="1" applyAlignment="1">
      <alignment horizontal="left" vertical="center"/>
    </xf>
    <xf numFmtId="0" xfId="0" fontId="121" applyFont="1" fillId="110" applyFill="1" borderId="117" applyBorder="1" applyAlignment="1">
      <alignment horizontal="left" vertical="center"/>
    </xf>
    <xf numFmtId="0" xfId="0" fontId="122" applyFont="1" fillId="111" applyFill="1" borderId="118" applyBorder="1" applyAlignment="1">
      <alignment horizontal="left" vertical="center" indent="1"/>
    </xf>
    <xf numFmtId="0" xfId="0" fillId="112" applyFill="1"/>
    <xf numFmtId="0" xfId="0" fontId="123" applyFont="1" fillId="113" applyFill="1" applyAlignment="1">
      <alignment horizontal="left" vertical="center"/>
    </xf>
    <xf numFmtId="0" xfId="0" fontId="124" applyFont="1" applyAlignment="1">
      <alignment horizontal="left" vertical="center" indent="1"/>
    </xf>
    <xf numFmtId="0" xfId="0" fontId="125" applyFont="1" borderId="119" applyBorder="1" applyAlignment="1">
      <alignment horizontal="left" vertical="center" indent="1"/>
    </xf>
    <xf numFmtId="201" xfId="0" applyNumberFormat="1" fontId="126" applyFont="1" borderId="120" applyBorder="1" applyAlignment="1">
      <alignment horizontal="right" vertical="center"/>
    </xf>
    <xf numFmtId="0" xfId="0" fontId="127" applyFont="1" fillId="114" applyFill="1" applyAlignment="1">
      <alignment horizontal="left" vertical="center" indent="1"/>
    </xf>
    <xf numFmtId="0" xfId="0" fontId="128" applyFont="1" fillId="115" applyFill="1" applyAlignment="1">
      <alignment horizontal="center" vertical="center"/>
    </xf>
    <xf numFmtId="202" xfId="0" applyNumberFormat="1" fontId="129" applyFont="1" fillId="116" applyFill="1" applyAlignment="1">
      <alignment horizontal="right" vertical="center"/>
    </xf>
    <xf numFmtId="0" xfId="0" fontId="130" applyFont="1" fillId="117" applyFill="1" applyAlignment="1">
      <alignment horizontal="left" vertical="center" indent="1"/>
    </xf>
    <xf numFmtId="0" xfId="0" fontId="131" applyFont="1" fillId="118" applyFill="1" applyAlignment="1">
      <alignment horizontal="center" vertical="center"/>
    </xf>
    <xf numFmtId="203" xfId="0" applyNumberFormat="1" fontId="132" applyFont="1" fillId="119" applyFill="1" applyAlignment="1">
      <alignment horizontal="right" vertical="center"/>
    </xf>
    <xf numFmtId="0" xfId="0" fontId="133" applyFont="1" applyAlignment="1">
      <alignment horizontal="left" vertical="center" indent="2"/>
    </xf>
    <xf numFmtId="0" xfId="0" fontId="134" applyFont="1" fillId="120" applyFill="1" applyAlignment="1">
      <alignment horizontal="left" vertical="center" indent="1"/>
    </xf>
    <xf numFmtId="0" xfId="0" fillId="121" applyFill="1"/>
    <xf numFmtId="204" xfId="0" applyNumberFormat="1" fontId="135" applyFont="1" fillId="122" applyFill="1" applyAlignment="1">
      <alignment horizontal="right" vertical="center"/>
    </xf>
    <xf numFmtId="0" xfId="0" fontId="136" applyFont="1" fillId="123" applyFill="1" applyAlignment="1">
      <alignment horizontal="center" vertical="center"/>
    </xf>
    <xf numFmtId="0" xfId="0" fontId="137" applyFont="1" borderId="121" applyBorder="1" applyAlignment="1">
      <alignment horizontal="left" vertical="center"/>
    </xf>
    <xf numFmtId="0" xfId="0" borderId="122" applyBorder="1"/>
    <xf numFmtId="0" xfId="0" fontId="138" applyFont="1" fillId="124" applyFill="1" applyAlignment="1">
      <alignment horizontal="left" vertical="center" wrapText="1" indent="1"/>
    </xf>
    <xf numFmtId="0" xfId="0" fontId="139" applyFont="1" applyAlignment="1">
      <alignment horizontal="left" vertical="center" wrapText="1" indent="1"/>
    </xf>
    <xf numFmtId="0" xfId="0" fontId="140" applyFont="1" fillId="125" applyFill="1" borderId="123" applyBorder="1" applyAlignment="1">
      <alignment horizontal="left" vertical="center" indent="1"/>
    </xf>
    <xf numFmtId="0" xfId="0" fontId="141" applyFont="1" fillId="126" applyFill="1" borderId="124" applyBorder="1" applyAlignment="1">
      <alignment horizontal="left" vertical="center" indent="1"/>
    </xf>
    <xf numFmtId="0" xfId="0" fontId="142" applyFont="1" fillId="127" applyFill="1" borderId="125" applyBorder="1" applyAlignment="1">
      <alignment horizontal="left" vertical="top" wrapText="1" indent="1"/>
    </xf>
    <xf numFmtId="0" xfId="0" fontId="143" applyFont="1"/>
    <xf numFmtId="0" xfId="0" fontId="144" applyFont="1" fillId="128" applyFill="1" applyAlignment="1">
      <alignment horizontal="left" vertical="center" indent="1"/>
    </xf>
    <xf numFmtId="0" xfId="0" fontId="145" applyFont="1" applyAlignment="1">
      <alignment horizontal="left" vertical="center" indent="1"/>
    </xf>
    <xf numFmtId="0" xfId="0" fontId="146" applyFont="1" applyAlignment="1">
      <alignment horizontal="left" vertical="center" indent="1"/>
    </xf>
    <xf numFmtId="0" xfId="0" fontId="147" applyFont="1" fillId="129" applyFill="1" borderId="126" applyBorder="1" applyAlignment="1">
      <alignment horizontal="right" vertical="center"/>
    </xf>
    <xf numFmtId="0" xfId="0" fontId="148" applyFont="1" applyAlignment="1">
      <alignment horizontal="left" vertical="center" indent="1"/>
    </xf>
    <xf numFmtId="0" xfId="0" fontId="149" applyFont="1" fillId="130" applyFill="1" borderId="127" applyBorder="1" applyAlignment="1">
      <alignment horizontal="left" vertical="center" indent="1"/>
    </xf>
    <xf numFmtId="0" xfId="0" fontId="150" applyFont="1" fillId="131" applyFill="1" borderId="128" applyBorder="1" applyAlignment="1">
      <alignment horizontal="left" vertical="center" indent="1"/>
    </xf>
    <xf numFmtId="0" xfId="0" fontId="151" applyFont="1" fillId="132" applyFill="1" borderId="129" applyBorder="1" applyAlignment="1">
      <alignment horizontal="left" vertical="center" indent="1"/>
    </xf>
    <xf numFmtId="0" xfId="0" fontId="152" applyFont="1" fillId="133" applyFill="1" borderId="130" applyBorder="1" applyAlignment="1">
      <alignment horizontal="left" vertical="center" indent="1"/>
    </xf>
    <xf numFmtId="0" xfId="0" fontId="153" applyFont="1" borderId="131" applyBorder="1" applyAlignment="1">
      <alignment horizontal="left" vertical="center" wrapText="1" indent="1"/>
    </xf>
    <xf numFmtId="0" xfId="0" fontId="154" applyFont="1" fillId="134" applyFill="1" borderId="132" applyBorder="1" applyAlignment="1">
      <alignment horizontal="left" vertical="center"/>
    </xf>
    <xf numFmtId="0" xfId="0" fillId="135" applyFill="1"/>
    <xf numFmtId="0" xfId="0" fontId="155" applyFont="1" fillId="136" applyFill="1" borderId="133" applyBorder="1" applyAlignment="1">
      <alignment horizontal="left" vertical="center"/>
    </xf>
    <xf numFmtId="0" xfId="0" fontId="156" applyFont="1" fillId="137" applyFill="1" borderId="134" applyBorder="1" applyAlignment="1">
      <alignment horizontal="left" vertical="center"/>
    </xf>
  </cellXfs>
  <cellStyles count="3">
    <cellStyle name="Currency" xfId="2" builtinId="4"/>
    <cellStyle name="Hyperlink" xfId="1" builtinId="8"/>
    <cellStyle name="Normal" xfId="0" builtinId="0"/>
  </cellStyles>
  <dxfs count="33">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7F6000"/>
      </font>
      <fill>
        <patternFill>
          <bgColor rgb="FFFFF3CD"/>
        </patternFill>
      </fill>
    </dxf>
    <dxf>
      <font>
        <b val="1"/>
        <color rgb="FF2E8B1F"/>
      </font>
    </dxf>
    <dxf>
      <font>
        <b val="1"/>
        <color rgb="FF0B5C3B"/>
      </font>
      <fill>
        <patternFill>
          <bgColor rgb="FFE4F2EA"/>
        </patternFill>
      </fill>
    </dxf>
    <dxf>
      <font>
        <color rgb="FF186A3B"/>
      </font>
      <fill>
        <patternFill>
          <bgColor rgb="FFE8F6EC"/>
        </patternFill>
      </fill>
    </dxf>
    <dxf>
      <font>
        <color rgb="FF7F6000"/>
      </font>
      <fill>
        <patternFill>
          <bgColor rgb="FFFFF3CD"/>
        </patternFill>
      </fill>
    </dxf>
    <dxf>
      <font>
        <b/>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roundedCorners val="0"/>
  <chart>
    <title>
      <tx>
        <rich>
          <a:bodyPr xmlns:a="http://schemas.openxmlformats.org/drawingml/2006/main"/>
          <a:p xmlns:a="http://schemas.openxmlformats.org/drawingml/2006/main">
            <a:pPr>
              <a:defRPr sz="1100" b="0"/>
            </a:pPr>
            <a:r>
              <a:t>1. Present worth by category (salvage below zero)</a:t>
            </a:r>
          </a:p>
        </rich>
      </tx>
    </title>
    <plotArea>
      <layout>
        <manualLayout>
          <xMode val="edge"/>
          <yMode val="edge"/>
          <wMode val="factor"/>
          <hMode val="factor"/>
          <x val="0.065"/>
          <y val="0.115"/>
          <w val="0.92"/>
          <h val="0.7"/>
        </manualLayout>
      </layout>
      <barChart>
        <barDir val="col"/>
        <grouping val="stacked"/>
        <ser>
          <idx val="0"/>
          <order val="0"/>
          <tx>
            <strRef>
              <f>'Summary'!W5</f>
            </strRef>
          </tx>
          <spPr>
            <a:solidFill xmlns:a="http://schemas.openxmlformats.org/drawingml/2006/main">
              <a:srgbClr val="3E4C59"/>
            </a:solidFill>
            <a:ln xmlns:a="http://schemas.openxmlformats.org/drawingml/2006/main">
              <a:solidFill>
                <a:srgbClr val="3E4C59"/>
              </a:solidFill>
              <a:prstDash val="solid"/>
            </a:ln>
          </spPr>
          <cat>
            <numRef>
              <f>'Summary'!$X$4:$AA$4</f>
            </numRef>
          </cat>
          <val>
            <numRef>
              <f>'Summary'!$X$5:$AA$5</f>
            </numRef>
          </val>
        </ser>
        <ser>
          <idx val="1"/>
          <order val="1"/>
          <tx>
            <strRef>
              <f>'Summary'!W6</f>
            </strRef>
          </tx>
          <spPr>
            <a:solidFill xmlns:a="http://schemas.openxmlformats.org/drawingml/2006/main">
              <a:srgbClr val="6B7A88"/>
            </a:solidFill>
            <a:ln xmlns:a="http://schemas.openxmlformats.org/drawingml/2006/main">
              <a:solidFill>
                <a:srgbClr val="6B7A88"/>
              </a:solidFill>
              <a:prstDash val="solid"/>
            </a:ln>
          </spPr>
          <cat>
            <numRef>
              <f>'Summary'!$X$4:$AA$4</f>
            </numRef>
          </cat>
          <val>
            <numRef>
              <f>'Summary'!$X$6:$AA$6</f>
            </numRef>
          </val>
        </ser>
        <ser>
          <idx val="2"/>
          <order val="2"/>
          <tx>
            <strRef>
              <f>'Summary'!W7</f>
            </strRef>
          </tx>
          <spPr>
            <a:solidFill xmlns:a="http://schemas.openxmlformats.org/drawingml/2006/main">
              <a:srgbClr val="98A4AF"/>
            </a:solidFill>
            <a:ln xmlns:a="http://schemas.openxmlformats.org/drawingml/2006/main">
              <a:solidFill>
                <a:srgbClr val="98A4AF"/>
              </a:solidFill>
              <a:prstDash val="solid"/>
            </a:ln>
          </spPr>
          <cat>
            <numRef>
              <f>'Summary'!$X$4:$AA$4</f>
            </numRef>
          </cat>
          <val>
            <numRef>
              <f>'Summary'!$X$7:$AA$7</f>
            </numRef>
          </val>
        </ser>
        <ser>
          <idx val="3"/>
          <order val="3"/>
          <tx>
            <strRef>
              <f>'Summary'!W8</f>
            </strRef>
          </tx>
          <spPr>
            <a:solidFill xmlns:a="http://schemas.openxmlformats.org/drawingml/2006/main">
              <a:srgbClr val="C4CDD5"/>
            </a:solidFill>
            <a:ln xmlns:a="http://schemas.openxmlformats.org/drawingml/2006/main">
              <a:solidFill>
                <a:srgbClr val="C4CDD5"/>
              </a:solidFill>
              <a:prstDash val="solid"/>
            </a:ln>
          </spPr>
          <cat>
            <numRef>
              <f>'Summary'!$X$4:$AA$4</f>
            </numRef>
          </cat>
          <val>
            <numRef>
              <f>'Summary'!$X$8:$AA$8</f>
            </numRef>
          </val>
        </ser>
        <ser>
          <idx val="4"/>
          <order val="4"/>
          <tx>
            <strRef>
              <f>'Summary'!W9</f>
            </strRef>
          </tx>
          <spPr>
            <a:solidFill xmlns:a="http://schemas.openxmlformats.org/drawingml/2006/main">
              <a:srgbClr val="E4E9ED"/>
            </a:solidFill>
            <a:ln xmlns:a="http://schemas.openxmlformats.org/drawingml/2006/main">
              <a:solidFill>
                <a:srgbClr val="E4E9ED"/>
              </a:solidFill>
              <a:prstDash val="solid"/>
            </a:ln>
          </spPr>
          <cat>
            <numRef>
              <f>'Summary'!$X$4:$AA$4</f>
            </numRef>
          </cat>
          <val>
            <numRef>
              <f>'Summary'!$X$9:$AA$9</f>
            </numRef>
          </val>
        </ser>
        <gapWidth val="60"/>
        <overlap val="10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numFmt formatCode="$#,##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b"/>
      <overlay val="0"/>
      <txPr>
        <a:bodyPr xmlns:a="http://schemas.openxmlformats.org/drawingml/2006/main"/>
        <a:p xmlns:a="http://schemas.openxmlformats.org/drawingml/2006/main">
          <a:pPr>
            <a:defRPr sz="800"/>
          </a:pPr>
          <a:r>
            <a:t/>
          </a:r>
          <a:endParaRPr sz="800"/>
        </a:p>
      </txPr>
    </legend>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hart8.xml><?xml version="1.0" encoding="utf-8"?>
<chartSpace xmlns="http://schemas.openxmlformats.org/drawingml/2006/chart">
  <roundedCorners val="0"/>
  <chart>
    <title>
      <tx>
        <rich>
          <a:bodyPr xmlns:a="http://schemas.openxmlformats.org/drawingml/2006/main"/>
          <a:p xmlns:a="http://schemas.openxmlformats.org/drawingml/2006/main">
            <a:pPr>
              <a:defRPr sz="1100" b="0"/>
            </a:pPr>
            <a:r>
              <a:t>2. Net present worth vs. discount rate</a:t>
            </a:r>
          </a:p>
        </rich>
      </tx>
    </title>
    <plotArea>
      <layout>
        <manualLayout>
          <xMode val="edge"/>
          <yMode val="edge"/>
          <wMode val="factor"/>
          <hMode val="factor"/>
          <x val="0.065"/>
          <y val="0.115"/>
          <w val="0.92"/>
          <h val="0.7"/>
        </manualLayout>
      </layout>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numFmt formatCode="0.00&quot;%&quot;" sourceLinked="0"/>
        <majorTickMark val="none"/>
        <minorTickMark val="none"/>
        <txPr>
          <a:bodyPr xmlns:a="http://schemas.openxmlformats.org/drawingml/2006/main"/>
          <a:p xmlns:a="http://schemas.openxmlformats.org/drawingml/2006/main">
            <a:pPr>
              <a:defRPr sz="800"/>
            </a:pPr>
            <a:r>
              <a:t/>
            </a:r>
            <a:endParaRPr sz="800"/>
          </a:p>
        </txPr>
        <crossAx val="100"/>
        <lblOffset val="100"/>
        <tickLblSkip val="4"/>
      </catAx>
      <valAx>
        <axId val="100"/>
        <scaling>
          <orientation val="minMax"/>
        </scaling>
        <delete val="0"/>
        <axPos val="l"/>
        <numFmt formatCode="$#,##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b"/>
      <overlay val="0"/>
      <txPr>
        <a:bodyPr xmlns:a="http://schemas.openxmlformats.org/drawingml/2006/main"/>
        <a:p xmlns:a="http://schemas.openxmlformats.org/drawingml/2006/main">
          <a:pPr>
            <a:defRPr sz="800"/>
          </a:pPr>
          <a:r>
            <a:t/>
          </a:r>
          <a:endParaRPr sz="800"/>
        </a:p>
      </txPr>
    </legend>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hart9.xml><?xml version="1.0" encoding="utf-8"?>
<chartSpace xmlns="http://schemas.openxmlformats.org/drawingml/2006/chart">
  <roundedCorners val="0"/>
  <chart>
    <title>
      <tx>
        <rich>
          <a:bodyPr xmlns:a="http://schemas.openxmlformats.org/drawingml/2006/main"/>
          <a:p xmlns:a="http://schemas.openxmlformats.org/drawingml/2006/main">
            <a:pPr>
              <a:defRPr sz="800" b="0"/>
            </a:pPr>
            <a:r>
              <a:t>3. Expenditure by year (undiscounted)</a:t>
            </a:r>
          </a:p>
        </rich>
      </tx>
    </title>
    <plotArea>
      <layout>
        <manualLayout>
          <xMode val="edge"/>
          <yMode val="edge"/>
          <wMode val="factor"/>
          <hMode val="factor"/>
          <x val="0.065"/>
          <y val="0.115"/>
          <w val="0.925"/>
          <h val="0.775"/>
        </manualLayout>
      </layout>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quot;M&quot;" sourceLinked="0"/>
        <majorTickMark val="none"/>
        <minorTickMark val="none"/>
        <txPr>
          <a:bodyPr xmlns:a="http://schemas.openxmlformats.org/drawingml/2006/main"/>
          <a:p xmlns:a="http://schemas.openxmlformats.org/drawingml/2006/main">
            <a:pPr>
              <a:defRPr sz="700"/>
            </a:pPr>
            <a:r>
              <a:t/>
            </a:r>
            <a:endParaRPr sz="700"/>
          </a:p>
        </txPr>
        <crossAx val="10"/>
      </valAx>
    </plotArea>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hart10.xml><?xml version="1.0" encoding="utf-8"?>
<chartSpace xmlns="http://schemas.openxmlformats.org/drawingml/2006/chart">
  <roundedCorners val="0"/>
  <chart>
    <title>
      <tx>
        <rich>
          <a:bodyPr xmlns:a="http://schemas.openxmlformats.org/drawingml/2006/main"/>
          <a:p xmlns:a="http://schemas.openxmlformats.org/drawingml/2006/main">
            <a:pPr>
              <a:defRPr sz="800" b="0"/>
            </a:pPr>
            <a:r>
              <a:t>4. Cumulative discounted cost</a:t>
            </a:r>
          </a:p>
        </rich>
      </tx>
    </title>
    <plotArea>
      <layout>
        <manualLayout>
          <xMode val="edge"/>
          <yMode val="edge"/>
          <wMode val="factor"/>
          <hMode val="factor"/>
          <x val="0.065"/>
          <y val="0.115"/>
          <w val="0.925"/>
          <h val="0.775"/>
        </manualLayout>
      </layout>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quot;M&quot;" sourceLinked="0"/>
        <majorTickMark val="none"/>
        <minorTickMark val="none"/>
        <txPr>
          <a:bodyPr xmlns:a="http://schemas.openxmlformats.org/drawingml/2006/main"/>
          <a:p xmlns:a="http://schemas.openxmlformats.org/drawingml/2006/main">
            <a:pPr>
              <a:defRPr sz="700"/>
            </a:pPr>
            <a:r>
              <a:t/>
            </a:r>
            <a:endParaRPr sz="700"/>
          </a:p>
        </txPr>
        <crossAx val="10"/>
      </valAx>
    </plotArea>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hart11.xml><?xml version="1.0" encoding="utf-8"?>
<chartSpace xmlns="http://schemas.openxmlformats.org/drawingml/2006/chart">
  <roundedCorners val="0"/>
  <chart>
    <title>
      <tx>
        <rich>
          <a:bodyPr xmlns:a="http://schemas.openxmlformats.org/drawingml/2006/main"/>
          <a:p xmlns:a="http://schemas.openxmlformats.org/drawingml/2006/main">
            <a:pPr>
              <a:defRPr sz="800" b="0"/>
            </a:pPr>
            <a:r>
              <a:t>5. Runway closure days by year</a:t>
            </a:r>
          </a:p>
        </rich>
      </tx>
    </title>
    <plotArea>
      <layout>
        <manualLayout>
          <xMode val="edge"/>
          <yMode val="edge"/>
          <wMode val="factor"/>
          <hMode val="factor"/>
          <x val="0.065"/>
          <y val="0.115"/>
          <w val="0.925"/>
          <h val="0.775"/>
        </manualLayout>
      </layout>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hart12.xml><?xml version="1.0" encoding="utf-8"?>
<chartSpace xmlns="http://schemas.openxmlformats.org/drawingml/2006/chart">
  <roundedCorners val="0"/>
  <chart>
    <title>
      <tx>
        <rich>
          <a:bodyPr xmlns:a="http://schemas.openxmlformats.org/drawingml/2006/main"/>
          <a:p xmlns:a="http://schemas.openxmlformats.org/drawingml/2006/main">
            <a:pPr>
              <a:defRPr sz="800" b="0"/>
            </a:pPr>
            <a:r>
              <a:t>6. Section, mainline (inches)</a:t>
            </a:r>
          </a:p>
        </rich>
      </tx>
    </title>
    <plotArea>
      <layout>
        <manualLayout>
          <xMode val="edge"/>
          <yMode val="edge"/>
          <wMode val="factor"/>
          <hMode val="factor"/>
          <x val="0.065"/>
          <y val="0.115"/>
          <w val="0.925"/>
          <h val="0.775"/>
        </manualLayout>
      </layout>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hart13.xml><?xml version="1.0" encoding="utf-8"?>
<chartSpace xmlns="http://schemas.openxmlformats.org/drawingml/2006/chart">
  <roundedCorners val="0"/>
  <chart>
    <title>
      <tx>
        <rich>
          <a:bodyPr xmlns:a="http://schemas.openxmlformats.org/drawingml/2006/main"/>
          <a:p xmlns:a="http://schemas.openxmlformats.org/drawingml/2006/main">
            <a:pPr>
              <a:defRPr sz="800" b="0"/>
            </a:pPr>
            <a:r>
              <a:t>7. Section with shoulder (inches)</a:t>
            </a:r>
          </a:p>
        </rich>
      </tx>
    </title>
    <plotArea>
      <layout>
        <manualLayout>
          <xMode val="edge"/>
          <yMode val="edge"/>
          <wMode val="factor"/>
          <hMode val="factor"/>
          <x val="0.065"/>
          <y val="0.115"/>
          <w val="0.925"/>
          <h val="0.775"/>
        </manualLayout>
      </layout>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hart14.xml><?xml version="1.0" encoding="utf-8"?>
<chartSpace xmlns="http://schemas.openxmlformats.org/drawingml/2006/chart">
  <roundedCorners val="0"/>
  <chart>
    <title>
      <tx>
        <rich>
          <a:bodyPr xmlns:a="http://schemas.openxmlformats.org/drawingml/2006/main"/>
          <a:p xmlns:a="http://schemas.openxmlformats.org/drawingml/2006/main">
            <a:pPr>
              <a:defRPr sz="800" b="0"/>
            </a:pPr>
            <a:r>
              <a:t>8. Unit cost vs. published TN work</a:t>
            </a:r>
          </a:p>
        </rich>
      </tx>
    </title>
    <plotArea>
      <layout>
        <manualLayout>
          <xMode val="edge"/>
          <yMode val="edge"/>
          <wMode val="factor"/>
          <hMode val="factor"/>
          <x val="0.065"/>
          <y val="0.115"/>
          <w val="0.925"/>
          <h val="0.775"/>
        </manualLayout>
      </layout>
      <barChart>
        <barDir val="bar"/>
        <grouping val="stacked"/>
        <ser>
          <idx val="0"/>
          <order val="0"/>
          <tx>
            <strRef>
              <f>'Summary'!W91</f>
            </strRef>
          </tx>
          <spPr>
            <a:noFill xmlns:a="http://schemas.openxmlformats.org/drawingml/2006/main"/>
            <a:ln xmlns:a="http://schemas.openxmlformats.org/drawingml/2006/main">
              <a:noFill/>
              <a:prstDash val="solid"/>
            </a:ln>
          </spPr>
          <cat>
            <numRef>
              <f>'Summary'!$X$90:$AB$90</f>
            </numRef>
          </cat>
          <val>
            <numRef>
              <f>'Summary'!$X$91:$AB$91</f>
            </numRef>
          </val>
        </ser>
        <ser>
          <idx val="1"/>
          <order val="1"/>
          <tx>
            <strRef>
              <f>'Summary'!W92</f>
            </strRef>
          </tx>
          <spPr>
            <a:solidFill xmlns:a="http://schemas.openxmlformats.org/drawingml/2006/main">
              <a:srgbClr val="BBD4EE"/>
            </a:solidFill>
            <a:ln xmlns:a="http://schemas.openxmlformats.org/drawingml/2006/main">
              <a:solidFill>
                <a:srgbClr val="BBD4EE"/>
              </a:solidFill>
              <a:prstDash val="solid"/>
            </a:ln>
          </spPr>
          <dPt>
            <idx val="4"/>
            <spPr>
              <a:solidFill xmlns:a="http://schemas.openxmlformats.org/drawingml/2006/main">
                <a:srgbClr val="CBD5DF"/>
              </a:solidFill>
              <a:ln xmlns:a="http://schemas.openxmlformats.org/drawingml/2006/main">
                <a:prstDash val="solid"/>
              </a:ln>
            </spPr>
          </dPt>
          <dLbls>
            <dLblPos val="inEnd"/>
            <showLegendKey val="0"/>
            <showVal val="1"/>
            <showCatName val="0"/>
            <showSerName val="0"/>
            <showPercent val="0"/>
            <showBubbleSize val="0"/>
          </dLbls>
          <cat>
            <numRef>
              <f>'Summary'!$X$90:$AB$90</f>
            </numRef>
          </cat>
          <val>
            <numRef>
              <f>'Summary'!$X$92:$AB$92</f>
            </numRef>
          </val>
        </ser>
        <gapWidth val="60"/>
        <overlap val="100"/>
        <axId val="10"/>
        <axId val="100"/>
      </bar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hart15.xml><?xml version="1.0" encoding="utf-8"?>
<chartSpace xmlns="http://schemas.openxmlformats.org/drawingml/2006/chart">
  <roundedCorners val="0"/>
  <chart>
    <plotArea>
      <scatterChart>
        <ser>
          <idx val="0"/>
          <order val="0"/>
          <tx>
            <v>Tennessee</v>
          </tx>
          <spPr>
            <a:ln xmlns:a="http://schemas.openxmlformats.org/drawingml/2006/main" w="9525">
              <a:solidFill>
                <a:srgbClr val="9AA0A6"/>
              </a:solidFill>
              <a:prstDash val="solid"/>
            </a:ln>
          </spPr>
          <marker>
            <symbol val="none"/>
            <spPr>
              <a:ln xmlns:a="http://schemas.openxmlformats.org/drawingml/2006/main">
                <a:prstDash val="solid"/>
              </a:ln>
            </spPr>
          </marker>
          <xVal>
            <numRef>
              <f>'Summary'!$AH$132:$AH$322</f>
            </numRef>
          </xVal>
          <yVal>
            <numRef>
              <f>'Summary'!$AI$132:$AI$322</f>
            </numRef>
          </yVal>
        </ser>
        <ser>
          <idx val="1"/>
          <order val="1"/>
          <tx>
            <v>West</v>
          </tx>
          <spPr>
            <a:ln xmlns:a="http://schemas.openxmlformats.org/drawingml/2006/main">
              <a:noFill/>
              <a:prstDash val="solid"/>
            </a:ln>
          </spPr>
          <marker>
            <symbol val="circle"/>
            <size val="4"/>
            <spPr>
              <a:solidFill xmlns:a="http://schemas.openxmlformats.org/drawingml/2006/main">
                <a:srgbClr val="7FA8CF"/>
              </a:solidFill>
              <a:ln xmlns:a="http://schemas.openxmlformats.org/drawingml/2006/main">
                <a:solidFill>
                  <a:srgbClr val="7FA8CF"/>
                </a:solidFill>
                <a:prstDash val="solid"/>
              </a:ln>
            </spPr>
          </marker>
          <xVal>
            <numRef>
              <f>'Summary'!$Y$132:$Y$152</f>
            </numRef>
          </xVal>
          <yVal>
            <numRef>
              <f>'Summary'!$Z$132:$Z$152</f>
            </numRef>
          </yVal>
        </ser>
        <ser>
          <idx val="2"/>
          <order val="2"/>
          <tx>
            <v>Middle</v>
          </tx>
          <spPr>
            <a:ln xmlns:a="http://schemas.openxmlformats.org/drawingml/2006/main">
              <a:noFill/>
              <a:prstDash val="solid"/>
            </a:ln>
          </spPr>
          <marker>
            <symbol val="circle"/>
            <size val="4"/>
            <spPr>
              <a:solidFill xmlns:a="http://schemas.openxmlformats.org/drawingml/2006/main">
                <a:srgbClr val="2A78D6"/>
              </a:solidFill>
              <a:ln xmlns:a="http://schemas.openxmlformats.org/drawingml/2006/main">
                <a:solidFill>
                  <a:srgbClr val="2A78D6"/>
                </a:solidFill>
                <a:prstDash val="solid"/>
              </a:ln>
            </spPr>
          </marker>
          <xVal>
            <numRef>
              <f>'Summary'!$Y$153:$Y$185</f>
            </numRef>
          </xVal>
          <yVal>
            <numRef>
              <f>'Summary'!$Z$153:$Z$185</f>
            </numRef>
          </yVal>
        </ser>
        <ser>
          <idx val="3"/>
          <order val="3"/>
          <tx>
            <v>East</v>
          </tx>
          <spPr>
            <a:ln xmlns:a="http://schemas.openxmlformats.org/drawingml/2006/main">
              <a:noFill/>
              <a:prstDash val="solid"/>
            </a:ln>
          </spPr>
          <marker>
            <symbol val="circle"/>
            <size val="4"/>
            <spPr>
              <a:solidFill xmlns:a="http://schemas.openxmlformats.org/drawingml/2006/main">
                <a:srgbClr val="1D3F6E"/>
              </a:solidFill>
              <a:ln xmlns:a="http://schemas.openxmlformats.org/drawingml/2006/main">
                <a:solidFill>
                  <a:srgbClr val="1D3F6E"/>
                </a:solidFill>
                <a:prstDash val="solid"/>
              </a:ln>
            </spPr>
          </marker>
          <xVal>
            <numRef>
              <f>'Summary'!$Y$186:$Y$210</f>
            </numRef>
          </xVal>
          <yVal>
            <numRef>
              <f>'Summary'!$Z$186:$Z$210</f>
            </numRef>
          </yVal>
        </ser>
        <ser>
          <idx val="4"/>
          <order val="4"/>
          <tx>
            <strRef>
              <f>Summary!$AF$132</f>
            </strRef>
          </tx>
          <spPr>
            <a:ln xmlns:a="http://schemas.openxmlformats.org/drawingml/2006/main">
              <a:noFill/>
              <a:prstDash val="solid"/>
            </a:ln>
          </spPr>
          <marker>
            <symbol val="circle"/>
            <size val="9"/>
            <spPr>
              <a:solidFill xmlns:a="http://schemas.openxmlformats.org/drawingml/2006/main">
                <a:srgbClr val="C1440E"/>
              </a:solidFill>
              <a:ln xmlns:a="http://schemas.openxmlformats.org/drawingml/2006/main">
                <a:solidFill>
                  <a:srgbClr val="7F2D09"/>
                </a:solidFill>
                <a:prstDash val="solid"/>
              </a:ln>
            </spPr>
          </marker>
          <dLbls>
            <dLblPos val="r"/>
            <showLegendKey val="0"/>
            <showVal val="0"/>
            <showCatName val="0"/>
            <showSerName val="1"/>
          </dLbls>
          <xVal>
            <numRef>
              <f>'Summary'!$AD$132</f>
            </numRef>
          </xVal>
          <yVal>
            <numRef>
              <f>'Summary'!$AE$132</f>
            </numRef>
          </yVal>
        </ser>
        <axId val="10"/>
        <axId val="20"/>
      </scatterChart>
      <valAx>
        <axId val="10"/>
        <scaling>
          <orientation val="minMax"/>
          <max val="-81.40000000000001"/>
          <min val="-90.59999999999999"/>
        </scaling>
        <delete val="0"/>
        <axPos val="l"/>
        <numFmt formatCode=";;;" sourceLinked="0"/>
        <majorTickMark val="none"/>
        <minorTickMark val="none"/>
        <crossAx val="20"/>
      </valAx>
      <valAx>
        <axId val="20"/>
        <scaling>
          <orientation val="minMax"/>
          <max val="36.9"/>
          <min val="34.8"/>
        </scaling>
        <delete val="0"/>
        <axPos val="l"/>
        <numFmt formatCode=";;;" sourceLinked="0"/>
        <majorTickMark val="none"/>
        <minorTickMark val="none"/>
        <crossAx val="10"/>
      </valAx>
    </plotArea>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 Id="rId2"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 Id="rId9" Type="http://schemas.openxmlformats.org/officeDocument/2006/relationships/chart" Target="../charts/chart14.xml"/><Relationship Id="rId10" Type="http://schemas.openxmlformats.org/officeDocument/2006/relationships/chart" Target="../charts/chart15.xml"/><Relationship Id="rId1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439838</xdr:colOff>
      <xdr:row>0</xdr:row>
      <xdr:rowOff>25400</xdr:rowOff>
    </xdr:from>
    <xdr:ext cx="1046062" cy="457200"/>
    <xdr:pic>
      <xdr:nvPicPr>
        <xdr:cNvPr id="905"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6350</xdr:colOff>
      <xdr:row>27</xdr:row>
      <xdr:rowOff>12699</xdr:rowOff>
    </xdr:from>
    <xdr:to>
      <xdr:col>13</xdr:col>
      <xdr:colOff>6350</xdr:colOff>
      <xdr:row>67</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associated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oneCellAnchor>
    <xdr:from>
      <xdr:col>11</xdr:col>
      <xdr:colOff>916088</xdr:colOff>
      <xdr:row>0</xdr:row>
      <xdr:rowOff>25400</xdr:rowOff>
    </xdr:from>
    <xdr:ext cx="1046062" cy="457200"/>
    <xdr:pic>
      <xdr:nvPicPr>
        <xdr:cNvPr id="900"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26</xdr:row>
      <xdr:rowOff>0</xdr:rowOff>
    </xdr:from>
    <xdr:to>
      <xdr:col>13</xdr:col>
      <xdr:colOff>361950</xdr:colOff>
      <xdr:row>93</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oneCellAnchor>
    <xdr:from>
      <xdr:col>11</xdr:col>
      <xdr:colOff>916088</xdr:colOff>
      <xdr:row>0</xdr:row>
      <xdr:rowOff>25400</xdr:rowOff>
    </xdr:from>
    <xdr:ext cx="1046062" cy="457200"/>
    <xdr:pic>
      <xdr:nvPicPr>
        <xdr:cNvPr id="90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38100</xdr:colOff>
      <xdr:row>0</xdr:row>
      <xdr:rowOff>38100</xdr:rowOff>
    </xdr:from>
    <xdr:ext cx="1085850" cy="304800"/>
    <xdr:sp macro="NewStudy" textlink="">
      <xdr:nvSpPr>
        <xdr:cNvPr id="2050" name="btnNewStudy"/>
        <xdr:cNvSpPr/>
      </xdr:nvSpPr>
      <xdr:spPr>
        <a:xfrm>
          <a:off x="0" y="0"/>
          <a:ext cx="1085850" cy="304800"/>
        </a:xfrm>
        <a:prstGeom prst="roundRect">
          <a:avLst>
            <a:gd name="adj" fmla="val 14000"/>
          </a:avLst>
        </a:prstGeom>
        <a:solidFill>
          <a:srgbClr val="0F7B4F"/>
        </a:solidFill>
        <a:ln w="9525">
          <a:solidFill>
            <a:srgbClr val="0B5C3B"/>
          </a:solidFill>
        </a:ln>
      </xdr:spPr>
      <xdr:txBody>
        <a:bodyPr vertOverflow="clip" horzOverflow="clip" rtlCol="0" anchor="ctr"/>
        <a:lstStyle/>
        <a:p>
          <a:pPr algn="ctr"/>
          <a:r>
            <a:rPr lang="en-US" sz="900" b="1">
              <a:solidFill>
                <a:srgbClr val="FFFFFF"/>
              </a:solidFill>
              <a:latin typeface="Calibri"/>
            </a:rPr>
            <a:t>+ New Study</a:t>
          </a:r>
        </a:p>
      </xdr:txBody>
    </xdr:sp>
    <xdr:clientData fPrintsWithSheet="0"/>
  </xdr:oneCellAnchor>
  <xdr:oneCellAnchor>
    <xdr:from>
      <xdr:col>8</xdr:col>
      <xdr:colOff>782738</xdr:colOff>
      <xdr:row>0</xdr:row>
      <xdr:rowOff>25400</xdr:rowOff>
    </xdr:from>
    <xdr:ext cx="1046062" cy="457200"/>
    <xdr:pic>
      <xdr:nvPicPr>
        <xdr:cNvPr id="90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4</xdr:col>
      <xdr:colOff>782738</xdr:colOff>
      <xdr:row>0</xdr:row>
      <xdr:rowOff>25400</xdr:rowOff>
    </xdr:from>
    <xdr:ext cx="1046062" cy="457200"/>
    <xdr:pic>
      <xdr:nvPicPr>
        <xdr:cNvPr id="904"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658913</xdr:colOff>
      <xdr:row>0</xdr:row>
      <xdr:rowOff>25400</xdr:rowOff>
    </xdr:from>
    <xdr:ext cx="1046062" cy="457200"/>
    <xdr:pic>
      <xdr:nvPicPr>
        <xdr:cNvPr id="906"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611288</xdr:colOff>
      <xdr:row>0</xdr:row>
      <xdr:rowOff>25400</xdr:rowOff>
    </xdr:from>
    <xdr:ext cx="1046062" cy="457200"/>
    <xdr:pic>
      <xdr:nvPicPr>
        <xdr:cNvPr id="907"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8"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9"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6</xdr:col>
      <xdr:colOff>0</xdr:colOff>
      <xdr:row>75</xdr:row>
      <xdr:rowOff>0</xdr:rowOff>
    </xdr:from>
    <xdr:to>
      <xdr:col>13</xdr:col>
      <xdr:colOff>0</xdr:colOff>
      <xdr:row>92</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6</xdr:row>
      <xdr:rowOff>0</xdr:rowOff>
    </xdr:from>
    <xdr:ext cx="5324475" cy="24765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10</xdr:col>
      <xdr:colOff>619125</xdr:colOff>
      <xdr:row>6</xdr:row>
      <xdr:rowOff>0</xdr:rowOff>
    </xdr:from>
    <xdr:ext cx="5324475" cy="24765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19</xdr:row>
      <xdr:rowOff>0</xdr:rowOff>
    </xdr:from>
    <xdr:ext cx="4705350" cy="17145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10</xdr:col>
      <xdr:colOff>0</xdr:colOff>
      <xdr:row>19</xdr:row>
      <xdr:rowOff>0</xdr:rowOff>
    </xdr:from>
    <xdr:ext cx="4705350" cy="17145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14</xdr:col>
      <xdr:colOff>0</xdr:colOff>
      <xdr:row>19</xdr:row>
      <xdr:rowOff>0</xdr:rowOff>
    </xdr:from>
    <xdr:ext cx="4705350" cy="17145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28</xdr:row>
      <xdr:rowOff>0</xdr:rowOff>
    </xdr:from>
    <xdr:ext cx="4705350" cy="1524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10</xdr:col>
      <xdr:colOff>0</xdr:colOff>
      <xdr:row>28</xdr:row>
      <xdr:rowOff>0</xdr:rowOff>
    </xdr:from>
    <xdr:ext cx="4705350" cy="1524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14</xdr:col>
      <xdr:colOff>0</xdr:colOff>
      <xdr:row>28</xdr:row>
      <xdr:rowOff>0</xdr:rowOff>
    </xdr:from>
    <xdr:ext cx="4705350" cy="1524000"/>
    <xdr:graphicFrame>
      <xdr:nvGraphicFramePr>
        <xdr:cNvPr id="108" name="Summary Chart 8"/>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xdr:graphicFrame>
    <xdr:clientData/>
  </xdr:oneCellAnchor>
  <xdr:oneCellAnchor>
    <xdr:from>
      <xdr:col>15</xdr:col>
      <xdr:colOff>0</xdr:colOff>
      <xdr:row>7</xdr:row>
      <xdr:rowOff>0</xdr:rowOff>
    </xdr:from>
    <xdr:ext cx="3467100" cy="952500"/>
    <xdr:graphicFrame>
      <xdr:nvGraphicFramePr>
        <xdr:cNvPr id="109" name="Summary Chart 9"/>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xdr:graphicFrame>
    <xdr:clientData/>
  </xdr:oneCellAnchor>
  <xdr:oneCellAnchor>
    <xdr:from>
      <xdr:col>20</xdr:col>
      <xdr:colOff>916088</xdr:colOff>
      <xdr:row>0</xdr:row>
      <xdr:rowOff>25400</xdr:rowOff>
    </xdr:from>
    <xdr:ext cx="1046062" cy="457200"/>
    <xdr:pic>
      <xdr:nvPicPr>
        <xdr:cNvPr id="910" name="TDOT logo"/>
        <xdr:cNvPicPr>
          <a:picLocks xmlns:a="http://schemas.openxmlformats.org/drawingml/2006/main" noChangeAspect="1"/>
        </xdr:cNvPicPr>
      </xdr:nvPicPr>
      <xdr:blipFill>
        <a:blip xmlns:a="http://schemas.openxmlformats.org/drawingml/2006/main" xmlns:r="http://schemas.openxmlformats.org/officeDocument/2006/relationships" r:embed="rId1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1.xml><?xml version="1.0" encoding="utf-8"?>
<xdr:wsDr xmlns:xdr="http://schemas.openxmlformats.org/drawingml/2006/spreadsheetDrawing" xmlns:a="http://schemas.openxmlformats.org/drawingml/2006/main">
  <xdr:oneCellAnchor>
    <xdr:from>
      <xdr:col>8</xdr:col>
      <xdr:colOff>620813</xdr:colOff>
      <xdr:row>0</xdr:row>
      <xdr:rowOff>25400</xdr:rowOff>
    </xdr:from>
    <xdr:ext cx="1046062" cy="457200"/>
    <xdr:pic>
      <xdr:nvPicPr>
        <xdr:cNvPr id="903"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2.xml><?xml version="1.0" encoding="utf-8"?>
<xdr:wsDr xmlns:xdr="http://schemas.openxmlformats.org/drawingml/2006/spreadsheetDrawing" xmlns:a="http://schemas.openxmlformats.org/drawingml/2006/main">
  <xdr:oneCellAnchor>
    <xdr:from>
      <xdr:col>6</xdr:col>
      <xdr:colOff>1220888</xdr:colOff>
      <xdr:row>0</xdr:row>
      <xdr:rowOff>25400</xdr:rowOff>
    </xdr:from>
    <xdr:ext cx="1046062" cy="457200"/>
    <xdr:pic>
      <xdr:nvPicPr>
        <xdr:cNvPr id="91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3.xml><?xml version="1.0" encoding="utf-8"?>
<xdr:wsDr xmlns:xdr="http://schemas.openxmlformats.org/drawingml/2006/spreadsheetDrawing" xmlns:a="http://schemas.openxmlformats.org/drawingml/2006/main">
  <xdr:oneCellAnchor>
    <xdr:from>
      <xdr:col>4</xdr:col>
      <xdr:colOff>687488</xdr:colOff>
      <xdr:row>0</xdr:row>
      <xdr:rowOff>25400</xdr:rowOff>
    </xdr:from>
    <xdr:ext cx="1046062" cy="457200"/>
    <xdr:pic>
      <xdr:nvPicPr>
        <xdr:cNvPr id="91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 Id="rId2"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pageSetUpPr fitToPage="1"/>
  </sheetPr>
  <dimension ref="A1:X68"/>
  <sheetViews>
    <sheetView zoomScale="80" zoomScaleNormal="80" workbookViewId="0" showGridLines="0">
      <selection activeCell="B42" sqref="B42"/>
    </sheetView>
  </sheetViews>
  <sheetFormatPr defaultRowHeight="15" x14ac:dyDescent="0.25"/>
  <cols>
    <col min="1" max="1" width="12.28515625" customWidth="1"/>
    <col min="2" max="2" width="19.7109375" customWidth="1"/>
    <col min="3" max="3" width="53.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ht="40" customHeight="1" spans="1:24" x14ac:dyDescent="0.25">
      <c r="A1" s="119" t="str">
        <f>HYPERLINK("#'General Information'!D9","◄ General Information")</f>
        <v>◄ General Information</v>
      </c>
      <c r="B1" s="119"/>
      <c r="C1" s="120" t="str">
        <f>HYPERLINK("#Summary!G1","Summary")</f>
        <v>Summary</v>
      </c>
      <c r="D1" s="260" t="str">
        <f>$A$34</f>
        <v/>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ht="26" customHeight="1">
      <c r="A3" s="256" t="inlineStr">
        <is>
          <t xml:space="preserve">STEP 4 of 5   ·   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c r="E3" s="97"/>
      <c r="F3" s="98"/>
    </row>
    <row r="4" spans="1:24" x14ac:dyDescent="0.25">
      <c r="A4" s="287" t="s">
        <v>263</v>
      </c>
      <c r="B4" s="288"/>
      <c r="C4" s="289" t="s">
        <v>487</v>
      </c>
      <c r="D4" s="288"/>
      <c r="E4" s="97" t="s">
        <v>600</v>
      </c>
      <c r="F4" s="112">
        <f>ROUNDUP(C5*550/(50*100/9)/10000,0)+ROUNDUP(C5*'Maintenance Policies'!D38/10000,0)+ROUNDUP(C5*'Maintenance Policies'!D39/5000,0)+ROUNDUP(C5*'Maintenance Policies'!D40/5000,0)</f>
        <v>0</v>
      </c>
    </row>
    <row r="5" spans="1:24" x14ac:dyDescent="0.25">
      <c r="A5" s="287" t="s">
        <v>346</v>
      </c>
      <c r="B5" s="288"/>
      <c r="C5" s="289">
        <f>'General Information'!D26</f>
        <v>0</v>
      </c>
      <c r="D5" s="288" t="s">
        <v>6</v>
      </c>
      <c r="E5" s="99" t="s">
        <v>604</v>
      </c>
      <c r="F5" s="113">
        <f>ROUNDUP(C5*550/(50*100/9)/10000,0)+ROUNDUP(C5*'Maintenance Policies'!D44/10000,0)+ROUNDUP(C5*'Maintenance Policies'!D43/5000,0)+ROUNDUP(C5*'Maintenance Policies'!D42/5000,0)+ROUNDUP(C5*'Maintenance Policies'!D41/1000,0)+7</f>
        <v>0</v>
      </c>
    </row>
    <row r="6" spans="1:24" x14ac:dyDescent="0.25">
      <c r="A6" s="287" t="s">
        <v>262</v>
      </c>
      <c r="B6" s="288"/>
      <c r="C6" s="289">
        <f>'General Information'!D25</f>
        <v>0</v>
      </c>
      <c r="D6" s="288"/>
    </row>
    <row r="7" spans="1:24" x14ac:dyDescent="0.25">
      <c r="A7" s="287" t="s">
        <v>345</v>
      </c>
      <c r="B7" s="288"/>
      <c r="C7" s="289">
        <f>'General Information'!D28</f>
        <v>0</v>
      </c>
      <c r="D7" s="288"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ht="20" customHeight="1">
      <c r="A12" s="217" t="s">
        <v>344</v>
      </c>
      <c r="B12" s="217" t="s">
        <v>264</v>
      </c>
      <c r="C12" s="217" t="s">
        <v>265</v>
      </c>
      <c r="D12" s="258" t="s">
        <v>319</v>
      </c>
      <c r="E12" s="258" t="s">
        <v>322</v>
      </c>
      <c r="F12" s="258" t="s">
        <v>320</v>
      </c>
      <c r="G12" s="258"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109"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109"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si="1"/>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1"/>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s="290" t="s">
        <v>348</v>
      </c>
      <c r="B24" s="290"/>
      <c r="G24" s="72">
        <f>SUM(G13:G22)</f>
        <v>0</v>
      </c>
    </row>
    <row r="25" spans="1:24" x14ac:dyDescent="0.25">
      <c r="A25" s="290"/>
      <c r="B25" s="290" t="s">
        <v>9</v>
      </c>
      <c r="G25" s="72">
        <f>('General Information'!$D$36/100)*G24</f>
        <v>0</v>
      </c>
    </row>
    <row r="26" spans="1:24" x14ac:dyDescent="0.25">
      <c r="A26" s="290"/>
      <c r="B26" s="290" t="s">
        <v>323</v>
      </c>
      <c r="G26" s="72">
        <f>('General Information'!$D$37/100)*G24</f>
        <v>0</v>
      </c>
    </row>
    <row r="27" spans="1:24" s="4" customFormat="1" x14ac:dyDescent="0.25" ht="22" customHeight="1">
      <c r="A27" s="291" t="s">
        <v>349</v>
      </c>
      <c r="B27" s="291"/>
      <c r="C27" s="291"/>
      <c r="D27" s="291"/>
      <c r="E27" s="291"/>
      <c r="F27" s="291"/>
      <c r="G27" s="292">
        <f>SUM(G24:G26)</f>
        <v>0</v>
      </c>
      <c r="J27" s="62"/>
      <c r="K27" s="62"/>
      <c r="L27" s="110"/>
      <c r="M27" s="62"/>
      <c r="N27" s="62"/>
      <c r="O27" s="62"/>
      <c r="P27" s="62"/>
    </row>
    <row r="33" spans="1:14" x14ac:dyDescent="0.25">
      <c r="A33" s="4" t="s">
        <v>328</v>
      </c>
    </row>
    <row r="34" spans="1:14" x14ac:dyDescent="0.25" ht="20" customHeight="1">
      <c r="A34" s="215" t="s">
        <v>506</v>
      </c>
      <c r="I34" t="s">
        <v>248</v>
      </c>
    </row>
    <row r="35" spans="1:14" ht="15.75" thickBot="1" x14ac:dyDescent="0.3"/>
    <row r="36" spans="1:14" thickTop="1" thickBot="1" x14ac:dyDescent="0.3" ht="20" customHeight="1">
      <c r="B36" s="217" t="s">
        <v>326</v>
      </c>
      <c r="C36" s="258" t="s">
        <v>259</v>
      </c>
      <c r="D36" s="258" t="s">
        <v>327</v>
      </c>
      <c r="E36" s="258"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299"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293" t="s">
        <v>77</v>
      </c>
      <c r="C40" s="294">
        <f>'Maintenance Policies'!E41</f>
        <v>27</v>
      </c>
      <c r="D40" s="295">
        <f>X21</f>
        <v>0</v>
      </c>
      <c r="E40" s="295">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299"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296" t="s">
        <v>85</v>
      </c>
      <c r="C42" s="297">
        <f>'General Information'!D33</f>
        <v>10</v>
      </c>
      <c r="D42" s="298">
        <f>-'Maintenance Policies'!D46*G27</f>
        <v>0</v>
      </c>
      <c r="E42" s="298">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thickBot="1" x14ac:dyDescent="0.3" ht="26" customHeight="1">
      <c r="B43" s="300" t="s">
        <v>328</v>
      </c>
      <c r="C43" s="301"/>
      <c r="D43" s="301"/>
      <c r="E43" s="302"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0</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pageSetUpPr fitToPage="1"/>
  </sheetPr>
  <dimension ref="B2:E28"/>
  <sheetViews>
    <sheetView workbookViewId="0" showGridLines="0"/>
  </sheetViews>
  <sheetFormatPr defaultColWidth="8.7109375" defaultRowHeight="12.75" x14ac:dyDescent="0.2"/>
  <cols>
    <col min="1" max="1" width="1.5" style="5" customWidth="1"/>
    <col min="2" max="2" width="14.71" style="5" customWidth="1"/>
    <col min="3" max="3" width="14.71" style="5" customWidth="1"/>
    <col min="4" max="4" width="14.71" style="5" customWidth="1"/>
    <col min="5" max="5" width="14.71" style="5" customWidth="1"/>
    <col min="6" max="6" width="14.71" style="5" customWidth="1"/>
    <col min="7" max="7" width="14.71" style="5" customWidth="1"/>
    <col min="8" max="8" width="14.71" style="5" customWidth="1"/>
    <col min="9" max="9" width="14.71" style="5" customWidth="1"/>
    <col min="10" max="10" width="14.71" style="5" customWidth="1"/>
    <col min="11" max="11" width="14.71" style="5" customWidth="1"/>
    <col min="12" max="12" width="14.71" style="5" customWidth="1"/>
    <col min="13" max="13" width="14.71" style="5" customWidth="1"/>
    <col min="14" max="16384" width="8.7109375" style="5"/>
  </cols>
  <sheetData>
    <row r="1" ht="40" customHeight="1">
      <c r="B1" s="119" t="str">
        <f>HYPERLINK("#'General Information'!D9","◄ General Information")</f>
        <v>◄ General Information</v>
      </c>
      <c r="C1" s="119"/>
      <c r="D1" s="119"/>
      <c r="E1" s="120" t="str">
        <f>HYPERLINK("#Summary!G1","Summary")</f>
        <v>Summary</v>
      </c>
      <c r="F1" s="120"/>
      <c r="G1" s="215" t="inlineStr">
        <is>
          <t xml:space="preserve">Overview</t>
        </is>
      </c>
    </row>
    <row r="2" spans="2:5" x14ac:dyDescent="0.2" ht="16" customHeight="1">
      <c r="B2" s="214" t="inlineStr">
        <is>
          <t xml:space="preserve">STEP 1 of 5   ·   What the framework does and the rules behind it. Read this and Instructions, then go to General Information.</t>
        </is>
      </c>
    </row>
    <row r="3" spans="2:5" x14ac:dyDescent="0.2" ht="6" customHeight="1"/>
    <row r="4" spans="2:5" x14ac:dyDescent="0.2" ht="26" customHeight="1">
      <c r="B4" s="232" t="inlineStr">
        <is>
          <t xml:space="preserve">A life-cycle cost analysis compares alternatives over their whole life, not their first bill.</t>
        </is>
      </c>
      <c r="C4" s="224"/>
      <c r="D4" s="224"/>
      <c r="E4" s="224"/>
      <c r="F4" s="224"/>
      <c r="G4" s="224"/>
      <c r="H4" s="224"/>
      <c r="I4" s="224"/>
      <c r="J4" s="224"/>
      <c r="K4" s="224"/>
      <c r="L4" s="224"/>
      <c r="M4" s="225"/>
    </row>
    <row r="5" spans="2:5" x14ac:dyDescent="0.2" ht="17" customHeight="1">
      <c r="B5" s="233" t="inlineStr">
        <is>
          <t xml:space="preserve">You describe two or more ways to build the same runway. The workbook prices each one from the TDOT pay-item list, adds the maintenance and rehabilitation each will need over the analysis period, discounts it all to today’s money, and reports which costs least in present worth.</t>
        </is>
      </c>
      <c r="C5" s="227"/>
      <c r="D5" s="227"/>
      <c r="E5" s="227"/>
      <c r="F5" s="227"/>
      <c r="G5" s="227"/>
      <c r="H5" s="227"/>
      <c r="I5" s="227"/>
      <c r="J5" s="227"/>
      <c r="K5" s="227"/>
      <c r="L5" s="227"/>
      <c r="M5" s="228"/>
    </row>
    <row r="6" spans="2:5" x14ac:dyDescent="0.2" ht="17" customHeight="1">
      <c r="B6" s="229"/>
      <c r="C6" s="230"/>
      <c r="D6" s="230"/>
      <c r="E6" s="230"/>
      <c r="F6" s="230"/>
      <c r="G6" s="230"/>
      <c r="H6" s="230"/>
      <c r="I6" s="230"/>
      <c r="J6" s="230"/>
      <c r="K6" s="230"/>
      <c r="L6" s="230"/>
      <c r="M6" s="231"/>
    </row>
    <row r="7" spans="2:5" x14ac:dyDescent="0.25" ht="8" customHeight="1"/>
    <row r="8" ht="20" customHeight="1">
      <c r="B8" s="217" t="inlineStr">
        <is>
          <t xml:space="preserve">What you provide</t>
        </is>
      </c>
      <c r="C8" s="217"/>
      <c r="D8" s="217"/>
      <c r="E8" s="217"/>
      <c r="F8" s="217" t="inlineStr">
        <is>
          <t xml:space="preserve">What the workbook adds</t>
        </is>
      </c>
      <c r="G8" s="217"/>
      <c r="H8" s="217"/>
      <c r="I8" s="217"/>
      <c r="J8" s="217" t="inlineStr">
        <is>
          <t xml:space="preserve">What you get</t>
        </is>
      </c>
      <c r="K8" s="217"/>
      <c r="L8" s="217"/>
      <c r="M8" s="217"/>
    </row>
    <row r="9" spans="2:5" x14ac:dyDescent="0.2" ht="15" customHeight="1">
      <c r="B9" s="234" t="inlineStr">
        <is>
          <t xml:space="preserve">•  The airport and the runway</t>
        </is>
      </c>
      <c r="C9" s="224"/>
      <c r="D9" s="224"/>
      <c r="E9" s="225"/>
      <c r="F9" s="234" t="inlineStr">
        <is>
          <t xml:space="preserve">•  Unit costs by division</t>
        </is>
      </c>
      <c r="G9" s="224"/>
      <c r="H9" s="224"/>
      <c r="I9" s="225"/>
      <c r="J9" s="234" t="inlineStr">
        <is>
          <t xml:space="preserve">•  Net present worth per option</t>
        </is>
      </c>
      <c r="K9" s="224"/>
      <c r="L9" s="224"/>
      <c r="M9" s="225"/>
    </row>
    <row r="10" ht="15" customHeight="1">
      <c r="B10" s="234" t="inlineStr">
        <is>
          <t xml:space="preserve">•  Pavement areas and markings</t>
        </is>
      </c>
      <c r="C10" s="227"/>
      <c r="D10" s="227"/>
      <c r="E10" s="228"/>
      <c r="F10" s="234" t="inlineStr">
        <is>
          <t xml:space="preserve">•  Maintenance and rehabilitation timing</t>
        </is>
      </c>
      <c r="G10" s="227"/>
      <c r="H10" s="227"/>
      <c r="I10" s="228"/>
      <c r="J10" s="234" t="inlineStr">
        <is>
          <t xml:space="preserve">•  Equivalent annual cost</t>
        </is>
      </c>
      <c r="K10" s="227"/>
      <c r="L10" s="227"/>
      <c r="M10" s="228"/>
    </row>
    <row r="11" ht="15" customHeight="1">
      <c r="B11" s="234" t="inlineStr">
        <is>
          <t xml:space="preserve">•  Two or more alternatives</t>
        </is>
      </c>
      <c r="C11" s="227"/>
      <c r="D11" s="227"/>
      <c r="E11" s="228"/>
      <c r="F11" s="234" t="inlineStr">
        <is>
          <t xml:space="preserve">•  Salvage on remaining life</t>
        </is>
      </c>
      <c r="G11" s="227"/>
      <c r="H11" s="227"/>
      <c r="I11" s="228"/>
      <c r="J11" s="234" t="inlineStr">
        <is>
          <t xml:space="preserve">•  Sensitivity to the discount rate</t>
        </is>
      </c>
      <c r="K11" s="227"/>
      <c r="L11" s="227"/>
      <c r="M11" s="228"/>
    </row>
    <row r="12" ht="15" customHeight="1">
      <c r="B12" s="235" t="inlineStr">
        <is>
          <t xml:space="preserve">•  Quantities per pay item</t>
        </is>
      </c>
      <c r="C12" s="230"/>
      <c r="D12" s="230"/>
      <c r="E12" s="231"/>
      <c r="F12" s="235" t="inlineStr">
        <is>
          <t xml:space="preserve">•  Lost revenue during closures</t>
        </is>
      </c>
      <c r="G12" s="230"/>
      <c r="H12" s="230"/>
      <c r="I12" s="231"/>
      <c r="J12" s="235" t="inlineStr">
        <is>
          <t xml:space="preserve">•  Eight charts and a comparison</t>
        </is>
      </c>
      <c r="K12" s="230"/>
      <c r="L12" s="230"/>
      <c r="M12" s="231"/>
    </row>
    <row r="13" ht="8" customHeight="1"/>
    <row r="14" ht="14" customHeight="1">
      <c r="B14" s="216" t="inlineStr">
        <is>
          <t xml:space="preserve">THE RULES BEHIND IT</t>
        </is>
      </c>
    </row>
    <row r="15" ht="22" customHeight="1">
      <c r="B15" s="232" t="str">
        <f>IF('General Information'!$D$33="","30",'General Information'!$D$33)&amp;" years"</f>
        <v/>
      </c>
      <c r="C15" s="224"/>
      <c r="D15" s="224"/>
      <c r="E15" s="237" t="str">
        <f>IF('General Information'!$D$34="","3",'General Information'!$D$34)&amp;"%"</f>
        <v/>
      </c>
      <c r="F15" s="224"/>
      <c r="G15" s="224"/>
      <c r="H15" s="237" t="str">
        <f>IF('General Information'!$D$36="","10",'General Information'!$D$36)&amp;" / "&amp;IF('General Information'!$D$37="","5",'General Information'!$D$37)&amp;"%"</f>
        <v/>
      </c>
      <c r="I15" s="224"/>
      <c r="J15" s="224"/>
      <c r="K15" s="237" t="inlineStr">
        <is>
          <t xml:space="preserve">Remaining life</t>
        </is>
      </c>
      <c r="L15" s="224"/>
      <c r="M15" s="225"/>
    </row>
    <row r="16" ht="20" customHeight="1">
      <c r="B16" s="236" t="inlineStr">
        <is>
          <t xml:space="preserve">analysis period, live from General Information D33</t>
        </is>
      </c>
      <c r="C16" s="230"/>
      <c r="D16" s="230"/>
      <c r="E16" s="238" t="inlineStr">
        <is>
          <t xml:space="preserve">discount rate, D34; FAA follows OMB Circular A-94</t>
        </is>
      </c>
      <c r="F16" s="230"/>
      <c r="G16" s="230"/>
      <c r="H16" s="238" t="inlineStr">
        <is>
          <t xml:space="preserve">mobilization and engineering, D36 and D37</t>
        </is>
      </c>
      <c r="I16" s="230"/>
      <c r="J16" s="230"/>
      <c r="K16" s="238" t="inlineStr">
        <is>
          <t xml:space="preserve">salvage basis: remaining life over expected life (AAPTP, FAA)</t>
        </is>
      </c>
      <c r="L16" s="230"/>
      <c r="M16" s="231"/>
    </row>
    <row r="17" ht="8" customHeight="1"/>
    <row r="18" ht="14" customHeight="1">
      <c r="B18" s="216" t="inlineStr">
        <is>
          <t xml:space="preserve">HOW A STUDY RUNS</t>
        </is>
      </c>
    </row>
    <row r="19" ht="20" customHeight="1">
      <c r="B19" s="220" t="str">
        <f>HYPERLINK("#Instructions!B1","1  Overview &amp; Instructions")</f>
        <v>1  Overview &amp; Instructions</v>
      </c>
      <c r="C19" s="220"/>
      <c r="D19" s="220"/>
      <c r="E19" s="219" t="str">
        <f>HYPERLINK("#'General Information'!D9","2  General Information")</f>
        <v>2  General Information</v>
      </c>
      <c r="F19" s="219"/>
      <c r="G19" s="219" t="str">
        <f>HYPERLINK("#Pay_Items!A1","3  Pay Items")</f>
        <v>3  Pay Items</v>
      </c>
      <c r="H19" s="219"/>
      <c r="I19" s="219" t="str">
        <f>HYPERLINK("#'General Information'!D9","4  Alternatives")</f>
        <v>4  Alternatives</v>
      </c>
      <c r="J19" s="219"/>
      <c r="K19" s="219" t="str">
        <f>HYPERLINK("#Summary!G1","5  Summary")</f>
        <v>5  Summary</v>
      </c>
      <c r="L19" s="219"/>
      <c r="M19" s="219"/>
    </row>
    <row r="20" ht="8" customHeight="1"/>
    <row r="21" ht="20" customHeight="1">
      <c r="B21" s="217" t="inlineStr">
        <is>
          <t xml:space="preserve">TDOT Aeronautics Division</t>
        </is>
      </c>
      <c r="C21" s="217"/>
      <c r="D21" s="217"/>
      <c r="E21" s="217"/>
      <c r="F21" s="217"/>
      <c r="H21" s="218" t="inlineStr">
        <is>
          <t xml:space="preserve">Before you start</t>
        </is>
      </c>
      <c r="I21" s="218"/>
      <c r="J21" s="218"/>
      <c r="K21" s="218"/>
      <c r="L21" s="218"/>
      <c r="M21" s="218"/>
    </row>
    <row r="22" ht="15" customHeight="1">
      <c r="B22" s="234" t="inlineStr">
        <is>
          <t xml:space="preserve">7335 Centennial Boulevard</t>
        </is>
      </c>
      <c r="C22" s="224"/>
      <c r="D22" s="224"/>
      <c r="E22" s="224"/>
      <c r="F22" s="225"/>
      <c r="H22" s="249" t="inlineStr">
        <is>
          <t xml:space="preserve">Enable macros and ActiveX when Excel asks. The Alternative Setup form and the pay-item pickers need them. If the yellow bar does not appear, check Trust Center › ActiveX Settings and restart Excel.</t>
        </is>
      </c>
      <c r="I22" s="241"/>
      <c r="J22" s="241"/>
      <c r="K22" s="241"/>
      <c r="L22" s="241"/>
      <c r="M22" s="242"/>
    </row>
    <row r="23" ht="15" customHeight="1">
      <c r="B23" s="234" t="inlineStr">
        <is>
          <t xml:space="preserve">Nashville, Tennessee 37209</t>
        </is>
      </c>
      <c r="C23" s="227"/>
      <c r="D23" s="227"/>
      <c r="E23" s="227"/>
      <c r="F23" s="228"/>
      <c r="H23" s="243"/>
      <c r="I23" s="244"/>
      <c r="J23" s="244"/>
      <c r="K23" s="244"/>
      <c r="L23" s="244"/>
      <c r="M23" s="245"/>
    </row>
    <row r="24" ht="15" customHeight="1">
      <c r="B24" s="234" t="inlineStr">
        <is>
          <t xml:space="preserve">615-741-3208</t>
        </is>
      </c>
      <c r="C24" s="227"/>
      <c r="D24" s="227"/>
      <c r="E24" s="227"/>
      <c r="F24" s="228"/>
      <c r="H24" s="243"/>
      <c r="I24" s="244"/>
      <c r="J24" s="244"/>
      <c r="K24" s="244"/>
      <c r="L24" s="244"/>
      <c r="M24" s="245"/>
    </row>
    <row r="25" ht="15" customHeight="1">
      <c r="B25" s="239" t="inlineStr">
        <is>
          <t>tn.gov/tdot/aeronautics.html</t>
        </is>
      </c>
      <c r="C25" s="230"/>
      <c r="D25" s="230"/>
      <c r="E25" s="230"/>
      <c r="F25" s="231"/>
      <c r="H25" s="246"/>
      <c r="I25" s="247"/>
      <c r="J25" s="247"/>
      <c r="K25" s="247"/>
      <c r="L25" s="247"/>
      <c r="M25" s="248"/>
    </row>
    <row r="26" ht="10" customHeight="1"/>
    <row r="27" ht="20" customHeight="1">
      <c r="B27" s="222" t="inlineStr">
        <is>
          <t xml:space="preserve">BACKGROUND</t>
        </is>
      </c>
      <c r="C27" s="222"/>
      <c r="D27" s="222"/>
      <c r="E27" s="222"/>
      <c r="F27" s="222"/>
      <c r="G27" s="222"/>
      <c r="H27" s="222"/>
      <c r="I27" s="222"/>
      <c r="J27" s="222"/>
      <c r="K27" s="222"/>
      <c r="L27" s="222"/>
      <c r="M27" s="222"/>
    </row>
    <row r="28" spans="2:2" x14ac:dyDescent="0.2">
      <c r="B28" s="6"/>
    </row>
  </sheetData>
  <mergeCells count="43">
    <mergeCell ref="B1:D1"/>
    <mergeCell ref="E1:F1"/>
    <mergeCell ref="B2:M2"/>
    <mergeCell ref="B4:M4"/>
    <mergeCell ref="B5:M6"/>
    <mergeCell ref="B8:E8"/>
    <mergeCell ref="B9:E9"/>
    <mergeCell ref="B10:E10"/>
    <mergeCell ref="B11:E11"/>
    <mergeCell ref="B12:E12"/>
    <mergeCell ref="F8:I8"/>
    <mergeCell ref="F9:I9"/>
    <mergeCell ref="F10:I10"/>
    <mergeCell ref="F11:I11"/>
    <mergeCell ref="F12:I12"/>
    <mergeCell ref="J8:M8"/>
    <mergeCell ref="J9:M9"/>
    <mergeCell ref="J10:M10"/>
    <mergeCell ref="J11:M11"/>
    <mergeCell ref="J12:M12"/>
    <mergeCell ref="B14:M14"/>
    <mergeCell ref="B18:M18"/>
    <mergeCell ref="B15:D15"/>
    <mergeCell ref="B16:D16"/>
    <mergeCell ref="E15:G15"/>
    <mergeCell ref="E16:G16"/>
    <mergeCell ref="H15:J15"/>
    <mergeCell ref="H16:J16"/>
    <mergeCell ref="K15:M15"/>
    <mergeCell ref="K16:M16"/>
    <mergeCell ref="B19:D19"/>
    <mergeCell ref="E19:F19"/>
    <mergeCell ref="G19:H19"/>
    <mergeCell ref="I19:J19"/>
    <mergeCell ref="K19:M19"/>
    <mergeCell ref="B21:F21"/>
    <mergeCell ref="H21:M21"/>
    <mergeCell ref="H22:M25"/>
    <mergeCell ref="B27:M27"/>
    <mergeCell ref="B22:F22"/>
    <mergeCell ref="B23:F23"/>
    <mergeCell ref="B24:F24"/>
    <mergeCell ref="B25:F25"/>
  </mergeCells>
  <hyperlinks>
    <hyperlink ref="B25" r:id="rId1" xr:uid="{42931B7E-9F18-4423-8A96-98F5B7FB2656}"/>
  </hyperlinks>
  <pageMargins left="0.7" right="0.7" top="0.75" bottom="0.75" header="0.3" footer="0.3"/>
  <pageSetup orientation="landscape" fitToWidth="1" fitToHeight="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pageSetUpPr fitToPage="1"/>
  </sheetPr>
  <dimension ref="B2:E9"/>
  <sheetViews>
    <sheetView workbookViewId="0" showGridLines="0"/>
  </sheetViews>
  <sheetFormatPr defaultColWidth="8.7109375" defaultRowHeight="12.75" x14ac:dyDescent="0.2"/>
  <cols>
    <col min="1" max="1" width="1.5" style="5" customWidth="1"/>
    <col min="2" max="2" width="14.71" style="5" customWidth="1"/>
    <col min="3" max="3" width="14.71" style="5" customWidth="1"/>
    <col min="4" max="4" width="14.71" style="5" customWidth="1"/>
    <col min="5" max="5" width="14.71" style="5" customWidth="1"/>
    <col min="6" max="6" width="14.71" style="5" customWidth="1"/>
    <col min="7" max="7" width="14.71" style="5" customWidth="1"/>
    <col min="8" max="8" width="14.71" style="5" customWidth="1"/>
    <col min="9" max="9" width="14.71" style="5" customWidth="1"/>
    <col min="10" max="10" width="14.71" style="5" customWidth="1"/>
    <col min="11" max="11" width="14.71" style="5" customWidth="1"/>
    <col min="12" max="12" width="14.71" style="5" customWidth="1"/>
    <col min="13" max="13" width="14.71" style="5" customWidth="1"/>
    <col min="14" max="16384" width="8.7109375" style="5"/>
  </cols>
  <sheetData>
    <row r="1" ht="40" customHeight="1">
      <c r="B1" s="119" t="str">
        <f>HYPERLINK("#'General Information'!D9","◄ General Information")</f>
        <v>◄ General Information</v>
      </c>
      <c r="C1" s="119"/>
      <c r="D1" s="119"/>
      <c r="E1" s="120" t="str">
        <f>HYPERLINK("#Summary!G1","Summary")</f>
        <v>Summary</v>
      </c>
      <c r="F1" s="120"/>
      <c r="G1" s="215" t="inlineStr">
        <is>
          <t xml:space="preserve">Instructions</t>
        </is>
      </c>
    </row>
    <row r="2" spans="2:5" x14ac:dyDescent="0.2" ht="16" customHeight="1">
      <c r="B2" s="214" t="inlineStr">
        <is>
          <t xml:space="preserve">STEP 1 of 5   ·   How to run an analysis, start to finish. When you are ready, go to General Information and fill in the grey cells.</t>
        </is>
      </c>
    </row>
    <row r="3" spans="2:5" x14ac:dyDescent="0.2" ht="6" customHeight="1"/>
    <row r="4" spans="2:5" x14ac:dyDescent="0.2" ht="18" customHeight="1">
      <c r="B4" s="250" t="inlineStr">
        <is>
          <t xml:space="preserve">First, enable content.</t>
        </is>
      </c>
      <c r="C4" s="241"/>
      <c r="D4" s="241"/>
      <c r="E4" s="241"/>
      <c r="F4" s="241"/>
      <c r="G4" s="241"/>
      <c r="H4" s="241"/>
      <c r="I4" s="241"/>
      <c r="J4" s="241"/>
      <c r="K4" s="241"/>
      <c r="L4" s="241"/>
      <c r="M4" s="242"/>
    </row>
    <row r="5" spans="2:5" x14ac:dyDescent="0.2" ht="16" customHeight="1">
      <c r="B5" s="251" t="inlineStr">
        <is>
          <t xml:space="preserve">Macros and ActiveX must be on, or the Alternative Setup form and the pay-item pickers will not run. Trust Center › ActiveX Settings, then restart Excel.</t>
        </is>
      </c>
      <c r="C5" s="247"/>
      <c r="D5" s="247"/>
      <c r="E5" s="247"/>
      <c r="F5" s="247"/>
      <c r="G5" s="247"/>
      <c r="H5" s="247"/>
      <c r="I5" s="247"/>
      <c r="J5" s="247"/>
      <c r="K5" s="247"/>
      <c r="L5" s="247"/>
      <c r="M5" s="248"/>
    </row>
    <row r="6" spans="2:5" x14ac:dyDescent="0.2" ht="8" customHeight="1"/>
    <row r="7" spans="2:5" x14ac:dyDescent="0.2" ht="20" customHeight="1">
      <c r="B7" s="217" t="inlineStr">
        <is>
          <t xml:space="preserve">Set the study up</t>
        </is>
      </c>
      <c r="C7" s="217"/>
      <c r="D7" s="217"/>
      <c r="E7" s="217"/>
      <c r="F7" s="217"/>
      <c r="G7" s="217"/>
      <c r="H7" s="217" t="inlineStr">
        <is>
          <t xml:space="preserve">Run it</t>
        </is>
      </c>
      <c r="I7" s="217"/>
      <c r="J7" s="217"/>
      <c r="K7" s="217"/>
      <c r="L7" s="217"/>
      <c r="M7" s="217"/>
    </row>
    <row r="8" ht="15" customHeight="1">
      <c r="B8" s="221" t="inlineStr">
        <is>
          <t xml:space="preserve">1</t>
        </is>
      </c>
      <c r="C8" s="252" t="inlineStr">
        <is>
          <t xml:space="preserve">Fill in General Information</t>
        </is>
      </c>
      <c r="D8" s="224"/>
      <c r="E8" s="224"/>
      <c r="F8" s="224"/>
      <c r="G8" s="225"/>
      <c r="H8" s="221" t="inlineStr">
        <is>
          <t xml:space="preserve">4</t>
        </is>
      </c>
      <c r="I8" s="252" t="inlineStr">
        <is>
          <t xml:space="preserve">Add each alternative</t>
        </is>
      </c>
      <c r="J8" s="224"/>
      <c r="K8" s="224"/>
      <c r="L8" s="224"/>
      <c r="M8" s="225"/>
    </row>
    <row r="9" spans="2:5" x14ac:dyDescent="0.2" ht="14" customHeight="1">
      <c r="B9" s="226"/>
      <c r="C9" s="253" t="inlineStr">
        <is>
          <t xml:space="preserve">Pick the airport from the dropdown and the ID, city, county and region fill themselves. Then the runway areas and the LCCA parameters, D9 to D39. The amber banner lists whatever is still missing.</t>
        </is>
      </c>
      <c r="D9" s="227"/>
      <c r="E9" s="227"/>
      <c r="F9" s="227"/>
      <c r="G9" s="228"/>
      <c r="H9" s="226"/>
      <c r="I9" s="253" t="inlineStr">
        <is>
          <t xml:space="preserve">Back on General Information, click Alternative Setup. Name it, choose the pavement type, and the form builds a worksheet for it. Enter quantities against the pay items there.</t>
        </is>
      </c>
      <c r="J9" s="227"/>
      <c r="K9" s="227"/>
      <c r="L9" s="227"/>
      <c r="M9" s="228"/>
    </row>
    <row r="10" ht="14" customHeight="1">
      <c r="B10" s="226"/>
      <c r="C10" s="227"/>
      <c r="D10" s="227"/>
      <c r="E10" s="227"/>
      <c r="F10" s="227"/>
      <c r="G10" s="228"/>
      <c r="H10" s="226"/>
      <c r="I10" s="227"/>
      <c r="J10" s="227"/>
      <c r="K10" s="227"/>
      <c r="L10" s="227"/>
      <c r="M10" s="228"/>
    </row>
    <row r="11" ht="6" customHeight="1">
      <c r="B11" s="226"/>
      <c r="C11" s="227"/>
      <c r="D11" s="227"/>
      <c r="E11" s="227"/>
      <c r="F11" s="227"/>
      <c r="G11" s="228"/>
      <c r="H11" s="226"/>
      <c r="I11" s="227"/>
      <c r="J11" s="227"/>
      <c r="K11" s="227"/>
      <c r="L11" s="227"/>
      <c r="M11" s="228"/>
    </row>
    <row r="12" ht="15" customHeight="1">
      <c r="B12" s="221" t="inlineStr">
        <is>
          <t xml:space="preserve">2</t>
        </is>
      </c>
      <c r="C12" s="252" t="inlineStr">
        <is>
          <t xml:space="preserve">Check the unit costs on Pay_Items</t>
        </is>
      </c>
      <c r="D12" s="227"/>
      <c r="E12" s="227"/>
      <c r="F12" s="227"/>
      <c r="G12" s="228"/>
      <c r="H12" s="221" t="inlineStr">
        <is>
          <t xml:space="preserve">5</t>
        </is>
      </c>
      <c r="I12" s="252" t="inlineStr">
        <is>
          <t xml:space="preserve">Read the Summary</t>
        </is>
      </c>
      <c r="J12" s="227"/>
      <c r="K12" s="227"/>
      <c r="L12" s="227"/>
      <c r="M12" s="228"/>
    </row>
    <row r="13" ht="14" customHeight="1">
      <c r="B13" s="226"/>
      <c r="C13" s="253" t="inlineStr">
        <is>
          <t xml:space="preserve">Every alternative is priced from that sheet, and the grey Unit Cost column is the one to edit. An item that ships with no cost prices at zero.</t>
        </is>
      </c>
      <c r="D13" s="227"/>
      <c r="E13" s="227"/>
      <c r="F13" s="227"/>
      <c r="G13" s="228"/>
      <c r="H13" s="226"/>
      <c r="I13" s="253" t="inlineStr">
        <is>
          <t xml:space="preserve">It updates by itself. The banner names the lowest present worth; the two key plots show why it wins and whether it still wins at other discount rates.</t>
        </is>
      </c>
      <c r="J13" s="227"/>
      <c r="K13" s="227"/>
      <c r="L13" s="227"/>
      <c r="M13" s="228"/>
    </row>
    <row r="14" ht="14" customHeight="1">
      <c r="B14" s="226"/>
      <c r="C14" s="227"/>
      <c r="D14" s="227"/>
      <c r="E14" s="227"/>
      <c r="F14" s="227"/>
      <c r="G14" s="228"/>
      <c r="H14" s="226"/>
      <c r="I14" s="227"/>
      <c r="J14" s="227"/>
      <c r="K14" s="227"/>
      <c r="L14" s="227"/>
      <c r="M14" s="228"/>
    </row>
    <row r="15" ht="6" customHeight="1">
      <c r="B15" s="226"/>
      <c r="C15" s="227"/>
      <c r="D15" s="227"/>
      <c r="E15" s="227"/>
      <c r="F15" s="227"/>
      <c r="G15" s="228"/>
      <c r="H15" s="226"/>
      <c r="I15" s="227"/>
      <c r="J15" s="227"/>
      <c r="K15" s="227"/>
      <c r="L15" s="227"/>
      <c r="M15" s="228"/>
    </row>
    <row r="16" ht="15" customHeight="1">
      <c r="B16" s="221" t="inlineStr">
        <is>
          <t xml:space="preserve">3</t>
        </is>
      </c>
      <c r="C16" s="252" t="inlineStr">
        <is>
          <t xml:space="preserve">Review the maintenance policies</t>
        </is>
      </c>
      <c r="D16" s="227"/>
      <c r="E16" s="227"/>
      <c r="F16" s="227"/>
      <c r="G16" s="228"/>
      <c r="H16" s="221" t="inlineStr">
        <is>
          <t xml:space="preserve">6</t>
        </is>
      </c>
      <c r="I16" s="252" t="inlineStr">
        <is>
          <t xml:space="preserve">Start the next study</t>
        </is>
      </c>
      <c r="J16" s="227"/>
      <c r="K16" s="227"/>
      <c r="L16" s="227"/>
      <c r="M16" s="228"/>
    </row>
    <row r="17" ht="14" customHeight="1">
      <c r="B17" s="226"/>
      <c r="C17" s="253" t="inlineStr">
        <is>
          <t xml:space="preserve">Four tables set what each pavement type gets done to it and in which year. They are live: a rate or a year changed there moves every alternative of that type.</t>
        </is>
      </c>
      <c r="D17" s="227"/>
      <c r="E17" s="227"/>
      <c r="F17" s="227"/>
      <c r="G17" s="228"/>
      <c r="H17" s="226"/>
      <c r="I17" s="253" t="inlineStr">
        <is>
          <t xml:space="preserve">The + New Study button saves a cleared copy wherever you choose, with every input blank and every alternative removed. The study you have open is untouched.</t>
        </is>
      </c>
      <c r="J17" s="227"/>
      <c r="K17" s="227"/>
      <c r="L17" s="227"/>
      <c r="M17" s="228"/>
    </row>
    <row r="18" ht="14" customHeight="1">
      <c r="B18" s="226"/>
      <c r="C18" s="227"/>
      <c r="D18" s="227"/>
      <c r="E18" s="227"/>
      <c r="F18" s="227"/>
      <c r="G18" s="228"/>
      <c r="H18" s="226"/>
      <c r="I18" s="227"/>
      <c r="J18" s="227"/>
      <c r="K18" s="227"/>
      <c r="L18" s="227"/>
      <c r="M18" s="228"/>
    </row>
    <row r="19" ht="6" customHeight="1">
      <c r="B19" s="229"/>
      <c r="C19" s="230"/>
      <c r="D19" s="230"/>
      <c r="E19" s="230"/>
      <c r="F19" s="230"/>
      <c r="G19" s="231"/>
      <c r="H19" s="229"/>
      <c r="I19" s="230"/>
      <c r="J19" s="230"/>
      <c r="K19" s="230"/>
      <c r="L19" s="230"/>
      <c r="M19" s="231"/>
    </row>
    <row r="20" ht="8" customHeight="1"/>
    <row r="21" ht="20" customHeight="1">
      <c r="B21" s="217" t="inlineStr">
        <is>
          <t xml:space="preserve">Grey means yours</t>
        </is>
      </c>
      <c r="C21" s="217"/>
      <c r="D21" s="217"/>
      <c r="E21" s="217"/>
      <c r="F21" s="217" t="inlineStr">
        <is>
          <t xml:space="preserve">Where to look things up</t>
        </is>
      </c>
      <c r="G21" s="217"/>
      <c r="H21" s="217"/>
      <c r="I21" s="217"/>
      <c r="J21" s="217" t="inlineStr">
        <is>
          <t xml:space="preserve">If a number looks wrong</t>
        </is>
      </c>
      <c r="K21" s="217"/>
      <c r="L21" s="217"/>
      <c r="M21" s="217"/>
    </row>
    <row r="22" ht="22" customHeight="1">
      <c r="B22" s="254" t="inlineStr">
        <is>
          <t xml:space="preserve">A grey cell is one you type in.</t>
        </is>
      </c>
      <c r="C22" s="224"/>
      <c r="D22" s="224"/>
      <c r="E22" s="225"/>
      <c r="F22" s="254" t="inlineStr">
        <is>
          <t xml:space="preserve">Typical Values: the usual ranges, with sources.</t>
        </is>
      </c>
      <c r="G22" s="224"/>
      <c r="H22" s="224"/>
      <c r="I22" s="225"/>
      <c r="J22" s="254" t="inlineStr">
        <is>
          <t xml:space="preserve">Check the Unit Cost column first, then the year a policy is applied.</t>
        </is>
      </c>
      <c r="K22" s="224"/>
      <c r="L22" s="224"/>
      <c r="M22" s="225"/>
    </row>
    <row r="23" ht="22" customHeight="1">
      <c r="B23" s="255" t="inlineStr">
        <is>
          <t xml:space="preserve">Everything else calculates: leave it alone.</t>
        </is>
      </c>
      <c r="C23" s="230"/>
      <c r="D23" s="230"/>
      <c r="E23" s="231"/>
      <c r="F23" s="255" t="inlineStr">
        <is>
          <t xml:space="preserve">Method: every formula as it stands in the sheet.</t>
        </is>
      </c>
      <c r="G23" s="230"/>
      <c r="H23" s="230"/>
      <c r="I23" s="231"/>
      <c r="J23" s="255" t="inlineStr">
        <is>
          <t xml:space="preserve">Both feed every alternative of that pavement type at once.</t>
        </is>
      </c>
      <c r="K23" s="230"/>
      <c r="L23" s="230"/>
      <c r="M23" s="231"/>
    </row>
    <row r="24" ht="5" customHeight="1"/>
    <row r="25" ht="5" customHeight="1"/>
    <row r="26" ht="20" customHeight="1">
      <c r="B26" s="222" t="inlineStr">
        <is>
          <t xml:space="preserve">THE ORIGINAL STEP-BY-STEP NOTES</t>
        </is>
      </c>
      <c r="C26" s="222"/>
      <c r="D26" s="222"/>
      <c r="E26" s="222"/>
      <c r="F26" s="222"/>
      <c r="G26" s="222"/>
      <c r="H26" s="222"/>
      <c r="I26" s="222"/>
      <c r="J26" s="222"/>
      <c r="K26" s="222"/>
      <c r="L26" s="222"/>
      <c r="M26" s="222"/>
    </row>
  </sheetData>
  <mergeCells count="35">
    <mergeCell ref="B1:D1"/>
    <mergeCell ref="E1:F1"/>
    <mergeCell ref="B2:M2"/>
    <mergeCell ref="B4:M4"/>
    <mergeCell ref="B5:M5"/>
    <mergeCell ref="B7:G7"/>
    <mergeCell ref="H7:M7"/>
    <mergeCell ref="B8:B10"/>
    <mergeCell ref="B12:B14"/>
    <mergeCell ref="B16:B18"/>
    <mergeCell ref="H8:H10"/>
    <mergeCell ref="H12:H14"/>
    <mergeCell ref="H16:H18"/>
    <mergeCell ref="C8:G8"/>
    <mergeCell ref="C12:G12"/>
    <mergeCell ref="C16:G16"/>
    <mergeCell ref="I8:M8"/>
    <mergeCell ref="I12:M12"/>
    <mergeCell ref="I16:M16"/>
    <mergeCell ref="C9:G10"/>
    <mergeCell ref="C13:G14"/>
    <mergeCell ref="C17:G18"/>
    <mergeCell ref="I9:M10"/>
    <mergeCell ref="I13:M14"/>
    <mergeCell ref="I17:M18"/>
    <mergeCell ref="B21:E21"/>
    <mergeCell ref="B22:E22"/>
    <mergeCell ref="B23:E23"/>
    <mergeCell ref="F21:I21"/>
    <mergeCell ref="F22:I22"/>
    <mergeCell ref="F23:I23"/>
    <mergeCell ref="J21:M21"/>
    <mergeCell ref="J22:M22"/>
    <mergeCell ref="J23:M23"/>
    <mergeCell ref="B26:M26"/>
  </mergeCells>
  <pageMargins left="0.7" right="0.7" top="0.75" bottom="0.75" header="0.3" footer="0.3"/>
  <pageSetup orientation="landscape" fitToWidth="1" fitToHeight="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5" width="2.4" customWidth="1"/>
    <col min="6" max="6" width="13.0" customWidth="1"/>
    <col min="7" max="7" width="13.0" customWidth="1"/>
    <col min="8" max="8" width="13.0" customWidth="1"/>
    <col min="9" max="9" width="13.0" customWidth="1"/>
    <col min="10" max="10" width="13.0" customWidth="1"/>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1" ht="40" customHeight="1">
      <c r="C1" s="215" t="inlineStr">
        <is>
          <t xml:space="preserve">General Information</t>
        </is>
      </c>
      <c r="D1" s="214" t="inlineStr">
        <is>
          <t xml:space="preserve">STEP 2 of 5   ·   fill in the grey cells, D9 to D39.</t>
        </is>
      </c>
    </row>
    <row r="2">
      <c r="B2" s="206" t="inlineStr">
        <is>
          <t xml:space="preserve">Saves a fresh copy for the next study. This file stays as is.</t>
        </is>
      </c>
      <c r="F2" s="186" t="inlineStr">
        <is>
          <t>HOW TO USE THIS WORKBOOK</t>
        </is>
      </c>
    </row>
    <row r="3" ht="22" customHeight="1">
      <c r="F3" s="187" t="inlineStr">
        <is>
          <t xml:space="preserve">1.   Overview and Instructions: what the framework does and the rules behind it.
2.   General Information (this sheet): fill in the grey cells, D9 to D39.
3.   Pay_Items: check the unit costs your alternatives will be priced from.
4.   Alternative Setup: add each alternative, then enter its quantities on the sheet it creates.
5.   Summary: read the comparison. It updates by itself.
Grey cells are yours; white cells calculate. Typical Values has the usual ranges, Method every formula.</t>
        </is>
      </c>
    </row>
    <row r="4" ht="22" customHeight="1">
      <c r="B4" s="213" t="inlineStr">
        <is>
          <t>1 Overview  ›  2 General Information  ›  3 Pay Items  ›  4 Alternatives  ›  5 Summary</t>
        </is>
      </c>
    </row>
    <row r="5" ht="22" customHeight="1"/>
    <row r="6" ht="22" customHeight="1"/>
    <row r="7" ht="22" customHeight="1" spans="2:19" x14ac:dyDescent="0.2">
      <c r="K7" s="5" t="s">
        <v>248</v>
      </c>
    </row>
    <row r="8" spans="2:19" x14ac:dyDescent="0.2" ht="20" customHeight="1">
      <c r="B8" s="217" t="inlineStr">
        <is>
          <t xml:space="preserve">Airport information</t>
        </is>
      </c>
      <c r="D8" s="217"/>
      <c r="E8" s="323"/>
      <c r="L8" s="7" t="s">
        <v>246</v>
      </c>
      <c r="M8" s="7" t="s">
        <v>245</v>
      </c>
      <c r="N8" s="7" t="s">
        <v>509</v>
      </c>
      <c r="O8" s="7" t="s">
        <v>510</v>
      </c>
      <c r="P8" s="7" t="s">
        <v>247</v>
      </c>
      <c r="Q8" s="7" t="s">
        <v>250</v>
      </c>
      <c r="S8" s="5" t="s">
        <v>455</v>
      </c>
    </row>
    <row r="9" spans="2:19" x14ac:dyDescent="0.2" ht="28" customHeight="1">
      <c r="B9" s="226"/>
      <c r="C9" s="324" t="s">
        <v>87</v>
      </c>
      <c r="D9" s="73"/>
      <c r="F9" s="188"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B10" s="226"/>
      <c r="C10" s="324" t="s">
        <v>249</v>
      </c>
      <c r="D10" s="92" t="str">
        <f>IF(D9="","N/A",VLOOKUP(Airport_Name,Table17[],2))</f>
        <v>N/A</v>
      </c>
      <c r="L10" s="5" t="s">
        <v>166</v>
      </c>
      <c r="M10" s="5" t="s">
        <v>165</v>
      </c>
      <c r="N10" s="5" t="s">
        <v>423</v>
      </c>
      <c r="O10" s="5" t="s">
        <v>511</v>
      </c>
      <c r="P10" s="5" t="s">
        <v>64</v>
      </c>
      <c r="S10" s="5" t="s">
        <v>456</v>
      </c>
    </row>
    <row r="11" spans="2:19" x14ac:dyDescent="0.2">
      <c r="B11" s="226"/>
      <c r="C11" s="324" t="s">
        <v>586</v>
      </c>
      <c r="D11" s="92" t="str">
        <f>IF(D9="","N/A",VLOOKUP(Airport_Name,Table17[],3))</f>
        <v>N/A</v>
      </c>
      <c r="L11" s="5" t="s">
        <v>184</v>
      </c>
      <c r="M11" s="5" t="s">
        <v>183</v>
      </c>
      <c r="N11" s="5" t="s">
        <v>390</v>
      </c>
      <c r="O11" s="5" t="s">
        <v>512</v>
      </c>
      <c r="P11" s="5" t="s">
        <v>65</v>
      </c>
      <c r="S11" s="5" t="s">
        <v>457</v>
      </c>
    </row>
    <row r="12" spans="2:19" x14ac:dyDescent="0.2">
      <c r="B12" s="226"/>
      <c r="C12" s="324" t="inlineStr">
        <is>
          <t>County:</t>
        </is>
      </c>
      <c r="D12" s="92" t="str">
        <f>IF(D9="","N/A",VLOOKUP(Airport_Name,Table17[],4))</f>
        <v>N/A</v>
      </c>
      <c r="L12" s="5" t="s">
        <v>212</v>
      </c>
      <c r="M12" s="5" t="s">
        <v>211</v>
      </c>
      <c r="N12" s="5" t="s">
        <v>405</v>
      </c>
      <c r="O12" s="5" t="s">
        <v>513</v>
      </c>
      <c r="P12" s="5" t="s">
        <v>65</v>
      </c>
      <c r="S12" s="5" t="s">
        <v>458</v>
      </c>
    </row>
    <row r="13" spans="2:19" x14ac:dyDescent="0.2">
      <c r="B13" s="226"/>
      <c r="C13" s="324" t="s">
        <v>451</v>
      </c>
      <c r="D13" s="92" t="str">
        <f>IF(D9="","N/A",VLOOKUP(Airport_Name,Table17[],5))</f>
        <v>N/A</v>
      </c>
      <c r="L13" s="5" t="s">
        <v>117</v>
      </c>
      <c r="M13" s="5" t="s">
        <v>116</v>
      </c>
      <c r="N13" s="5" t="s">
        <v>370</v>
      </c>
      <c r="O13" s="5" t="s">
        <v>514</v>
      </c>
      <c r="P13" s="5" t="s">
        <v>65</v>
      </c>
    </row>
    <row r="14" spans="2:19" x14ac:dyDescent="0.2">
      <c r="B14" s="226"/>
      <c r="C14" s="324" t="s">
        <v>90</v>
      </c>
      <c r="D14" s="207"/>
      <c r="L14" s="5" t="s">
        <v>228</v>
      </c>
      <c r="M14" s="5" t="s">
        <v>227</v>
      </c>
      <c r="N14" s="5" t="s">
        <v>430</v>
      </c>
      <c r="O14" s="5" t="s">
        <v>515</v>
      </c>
      <c r="P14" s="5" t="s">
        <v>64</v>
      </c>
    </row>
    <row r="15" spans="2:19" x14ac:dyDescent="0.2">
      <c r="B15" s="226"/>
      <c r="C15" s="324" t="s">
        <v>91</v>
      </c>
      <c r="D15" s="207"/>
      <c r="L15" s="5" t="s">
        <v>168</v>
      </c>
      <c r="M15" s="5" t="s">
        <v>167</v>
      </c>
      <c r="N15" s="5" t="s">
        <v>393</v>
      </c>
      <c r="O15" s="5" t="s">
        <v>516</v>
      </c>
      <c r="P15" s="5" t="s">
        <v>65</v>
      </c>
      <c r="S15" s="5" t="s">
        <v>460</v>
      </c>
    </row>
    <row r="16" spans="2:19" x14ac:dyDescent="0.2">
      <c r="B16" s="226"/>
      <c r="C16" s="324" t="s">
        <v>92</v>
      </c>
      <c r="D16" s="207"/>
      <c r="L16" s="5" t="s">
        <v>162</v>
      </c>
      <c r="M16" s="5" t="s">
        <v>161</v>
      </c>
      <c r="N16" s="5" t="s">
        <v>371</v>
      </c>
      <c r="O16" s="5" t="s">
        <v>517</v>
      </c>
      <c r="P16" s="5" t="s">
        <v>64</v>
      </c>
    </row>
    <row r="17" spans="2:19" x14ac:dyDescent="0.2">
      <c r="B17" s="229"/>
      <c r="C17" s="325" t="s">
        <v>89</v>
      </c>
      <c r="D17" s="207"/>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ht="20" customHeight="1">
      <c r="B20" s="217" t="inlineStr">
        <is>
          <t xml:space="preserve">Project and pavement</t>
        </is>
      </c>
      <c r="D20" s="217"/>
      <c r="E20" s="323"/>
      <c r="L20" s="5" t="s">
        <v>154</v>
      </c>
      <c r="M20" s="5" t="s">
        <v>153</v>
      </c>
      <c r="N20" s="5" t="s">
        <v>377</v>
      </c>
      <c r="O20" s="5" t="s">
        <v>523</v>
      </c>
      <c r="P20" s="5" t="s">
        <v>66</v>
      </c>
    </row>
    <row r="21" spans="2:19" x14ac:dyDescent="0.2">
      <c r="B21" s="226"/>
      <c r="C21" s="324" t="s">
        <v>251</v>
      </c>
      <c r="D21" s="207"/>
      <c r="L21" s="5" t="s">
        <v>450</v>
      </c>
      <c r="M21" s="5" t="s">
        <v>169</v>
      </c>
      <c r="N21" s="5" t="s">
        <v>394</v>
      </c>
      <c r="O21" s="5" t="s">
        <v>524</v>
      </c>
      <c r="P21" s="5" t="s">
        <v>66</v>
      </c>
      <c r="S21" s="5" t="s">
        <v>485</v>
      </c>
    </row>
    <row r="22" spans="2:19" x14ac:dyDescent="0.2">
      <c r="B22" s="226"/>
      <c r="C22" s="324" t="s">
        <v>260</v>
      </c>
      <c r="D22" s="207"/>
      <c r="L22" s="5" t="s">
        <v>177</v>
      </c>
      <c r="M22" s="5" t="s">
        <v>176</v>
      </c>
      <c r="N22" s="5" t="s">
        <v>380</v>
      </c>
      <c r="O22" s="5" t="s">
        <v>525</v>
      </c>
      <c r="P22" s="5" t="s">
        <v>65</v>
      </c>
    </row>
    <row r="23" spans="2:19" x14ac:dyDescent="0.2">
      <c r="B23" s="226"/>
      <c r="C23" s="324" t="s">
        <v>261</v>
      </c>
      <c r="D23" s="207"/>
      <c r="L23" s="5" t="s">
        <v>149</v>
      </c>
      <c r="M23" s="5" t="s">
        <v>148</v>
      </c>
      <c r="N23" s="5" t="s">
        <v>381</v>
      </c>
      <c r="O23" s="5" t="s">
        <v>526</v>
      </c>
      <c r="P23" s="5" t="s">
        <v>66</v>
      </c>
      <c r="S23" s="5" t="s">
        <v>484</v>
      </c>
    </row>
    <row r="24" spans="2:19" x14ac:dyDescent="0.2">
      <c r="B24" s="226"/>
      <c r="C24" s="324" t="s">
        <v>256</v>
      </c>
      <c r="D24" s="207"/>
      <c r="L24" s="5" t="s">
        <v>244</v>
      </c>
      <c r="M24" s="5" t="s">
        <v>243</v>
      </c>
      <c r="N24" s="5" t="s">
        <v>372</v>
      </c>
      <c r="O24" s="5" t="s">
        <v>523</v>
      </c>
      <c r="P24" s="5" t="s">
        <v>66</v>
      </c>
      <c r="S24" s="5" t="s">
        <v>483</v>
      </c>
    </row>
    <row r="25" spans="2:19" x14ac:dyDescent="0.2">
      <c r="B25" s="226"/>
      <c r="C25" s="324" t="s">
        <v>255</v>
      </c>
      <c r="D25" s="73"/>
      <c r="F25" s="160" t="inlineStr">
        <is>
          <t xml:space="preserve">Construction year; the analysis period starts here.</t>
        </is>
      </c>
      <c r="L25" s="5" t="s">
        <v>175</v>
      </c>
      <c r="M25" s="5" t="s">
        <v>174</v>
      </c>
      <c r="N25" s="5" t="s">
        <v>383</v>
      </c>
      <c r="O25" s="5" t="s">
        <v>383</v>
      </c>
      <c r="P25" s="5" t="s">
        <v>64</v>
      </c>
      <c r="S25" s="5" t="s">
        <v>482</v>
      </c>
    </row>
    <row r="26" spans="2:19" x14ac:dyDescent="0.2">
      <c r="B26" s="226"/>
      <c r="C26" s="324" t="s">
        <v>268</v>
      </c>
      <c r="D26" s="73"/>
      <c r="F26" s="160" t="inlineStr">
        <is>
          <t xml:space="preserve">Length x width / 9. TN GA: 4,000-6,000 ft x 75-100 ft wide.</t>
        </is>
      </c>
      <c r="L26" s="5" t="s">
        <v>152</v>
      </c>
      <c r="M26" s="5" t="s">
        <v>151</v>
      </c>
      <c r="N26" s="5" t="s">
        <v>384</v>
      </c>
      <c r="O26" s="5" t="s">
        <v>527</v>
      </c>
      <c r="P26" s="5" t="s">
        <v>65</v>
      </c>
    </row>
    <row r="27" spans="2:19" x14ac:dyDescent="0.2">
      <c r="B27" s="226"/>
      <c r="C27" s="324" t="s">
        <v>269</v>
      </c>
      <c r="D27" s="73"/>
      <c r="F27" s="160" t="inlineStr">
        <is>
          <t xml:space="preserve">Paved shoulders only; usually 0 at TN GA airports.</t>
        </is>
      </c>
      <c r="L27" s="5" t="s">
        <v>113</v>
      </c>
      <c r="M27" s="5" t="s">
        <v>112</v>
      </c>
      <c r="N27" s="5" t="s">
        <v>385</v>
      </c>
      <c r="O27" s="5" t="s">
        <v>528</v>
      </c>
      <c r="P27" s="5" t="s">
        <v>66</v>
      </c>
    </row>
    <row r="28" spans="2:19" x14ac:dyDescent="0.2">
      <c r="B28" s="226"/>
      <c r="C28" s="324" t="s">
        <v>270</v>
      </c>
      <c r="D28" s="73"/>
      <c r="F28" s="160" t="inlineStr">
        <is>
          <t xml:space="preserve">About 2,000-3,000 SF per 1,000 ft of runway.</t>
        </is>
      </c>
      <c r="L28" s="5" t="s">
        <v>171</v>
      </c>
      <c r="M28" s="5" t="s">
        <v>170</v>
      </c>
      <c r="N28" s="5" t="s">
        <v>404</v>
      </c>
      <c r="O28" s="5" t="s">
        <v>529</v>
      </c>
      <c r="P28" s="5" t="s">
        <v>64</v>
      </c>
    </row>
    <row r="29" spans="2:19" x14ac:dyDescent="0.2">
      <c r="B29" s="229"/>
      <c r="C29" s="32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ht="20" customHeight="1">
      <c r="B32" s="217" t="inlineStr">
        <is>
          <t xml:space="preserve">LCCA parameters</t>
        </is>
      </c>
      <c r="D32" s="217"/>
      <c r="E32" s="323"/>
      <c r="L32" s="5" t="s">
        <v>238</v>
      </c>
      <c r="M32" s="5" t="s">
        <v>237</v>
      </c>
      <c r="N32" s="5" t="s">
        <v>429</v>
      </c>
      <c r="O32" s="5" t="s">
        <v>533</v>
      </c>
      <c r="P32" s="5" t="s">
        <v>64</v>
      </c>
    </row>
    <row r="33" spans="2:16" x14ac:dyDescent="0.2">
      <c r="B33" s="226"/>
      <c r="C33" s="324" t="s">
        <v>253</v>
      </c>
      <c r="D33" s="88">
        <v>30</v>
      </c>
      <c r="F33" s="160" t="inlineStr">
        <is>
          <t xml:space="preserve">TDOT policy 30 years; FAA leaves the period to the engineer.</t>
        </is>
      </c>
      <c r="L33" s="5" t="s">
        <v>164</v>
      </c>
      <c r="M33" s="5" t="s">
        <v>163</v>
      </c>
      <c r="N33" s="5" t="s">
        <v>428</v>
      </c>
      <c r="O33" s="5" t="s">
        <v>534</v>
      </c>
      <c r="P33" s="5" t="s">
        <v>66</v>
      </c>
    </row>
    <row r="34" spans="2:16" x14ac:dyDescent="0.2">
      <c r="B34" s="226"/>
      <c r="C34" s="324" t="s">
        <v>271</v>
      </c>
      <c r="D34" s="88">
        <v>3</v>
      </c>
      <c r="F34" s="160" t="inlineStr">
        <is>
          <t xml:space="preserve">TDOT 3%. FAA uses the OMB A-94 real rate, 2.0% in 2026.</t>
        </is>
      </c>
      <c r="L34" s="5" t="s">
        <v>173</v>
      </c>
      <c r="M34" s="5" t="s">
        <v>172</v>
      </c>
      <c r="N34" s="5" t="s">
        <v>411</v>
      </c>
      <c r="O34" s="5" t="s">
        <v>518</v>
      </c>
      <c r="P34" s="5" t="s">
        <v>65</v>
      </c>
    </row>
    <row r="35" spans="2:16" x14ac:dyDescent="0.2">
      <c r="B35" s="226"/>
      <c r="C35" s="324" t="s">
        <v>254</v>
      </c>
      <c r="F35" s="206" t="inlineStr">
        <is>
          <t xml:space="preserve">Remaining service life at the end of the analysis period; computed on Maintenance Policies.</t>
        </is>
      </c>
      <c r="L35" s="5" t="s">
        <v>232</v>
      </c>
      <c r="M35" s="5" t="s">
        <v>231</v>
      </c>
      <c r="N35" s="5" t="s">
        <v>438</v>
      </c>
      <c r="O35" s="5" t="s">
        <v>535</v>
      </c>
      <c r="P35" s="5" t="s">
        <v>65</v>
      </c>
    </row>
    <row r="36" spans="2:16" x14ac:dyDescent="0.2">
      <c r="B36" s="226"/>
      <c r="C36" s="324" t="s">
        <v>257</v>
      </c>
      <c r="D36" s="88">
        <v>10</v>
      </c>
      <c r="F36" s="160" t="inlineStr">
        <is>
          <t xml:space="preserve">Percent of pay items; workbook default 10.</t>
        </is>
      </c>
      <c r="L36" s="5" t="s">
        <v>160</v>
      </c>
      <c r="M36" s="5" t="s">
        <v>159</v>
      </c>
      <c r="N36" s="5" t="s">
        <v>389</v>
      </c>
      <c r="O36" s="5" t="s">
        <v>536</v>
      </c>
      <c r="P36" s="5" t="s">
        <v>66</v>
      </c>
    </row>
    <row r="37" spans="2:16" x14ac:dyDescent="0.2">
      <c r="B37" s="226"/>
      <c r="C37" s="324" t="s">
        <v>258</v>
      </c>
      <c r="D37" s="88">
        <v>5</v>
      </c>
      <c r="F37" s="160" t="inlineStr">
        <is>
          <t xml:space="preserve">Percent of pay items; now applied to initial construction too.</t>
        </is>
      </c>
      <c r="L37" s="5" t="s">
        <v>182</v>
      </c>
      <c r="M37" s="5" t="s">
        <v>181</v>
      </c>
      <c r="N37" s="5" t="s">
        <v>376</v>
      </c>
      <c r="O37" s="5" t="s">
        <v>537</v>
      </c>
      <c r="P37" s="5" t="s">
        <v>64</v>
      </c>
    </row>
    <row r="38" spans="2:16" x14ac:dyDescent="0.2">
      <c r="B38" s="226"/>
      <c r="C38" s="324" t="s">
        <v>613</v>
      </c>
      <c r="D38" s="100" t="s">
        <v>632</v>
      </c>
      <c r="F38" s="160" t="inlineStr">
        <is>
          <t xml:space="preserve">Yes counts lost revenue during closures (17 airports have data).</t>
        </is>
      </c>
      <c r="L38" s="5" t="s">
        <v>218</v>
      </c>
      <c r="M38" s="5" t="s">
        <v>217</v>
      </c>
      <c r="N38" s="5" t="s">
        <v>425</v>
      </c>
      <c r="O38" s="5" t="s">
        <v>538</v>
      </c>
      <c r="P38" s="5" t="s">
        <v>66</v>
      </c>
    </row>
    <row r="39" spans="2:16" x14ac:dyDescent="0.2">
      <c r="B39" s="229"/>
      <c r="C39" s="32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ht="20" customHeight="1">
      <c r="B41" s="217" t="inlineStr">
        <is>
          <t xml:space="preserve">Alternative Setup</t>
        </is>
      </c>
      <c r="C41" s="217"/>
      <c r="E41" s="323"/>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ht="20" customHeight="1">
      <c r="B43" s="217" t="inlineStr">
        <is>
          <t xml:space="preserve">Where to go next</t>
        </is>
      </c>
      <c r="C43" s="217"/>
      <c r="D43" s="217"/>
      <c r="L43" s="5" t="s">
        <v>123</v>
      </c>
      <c r="M43" s="5" t="s">
        <v>122</v>
      </c>
      <c r="N43" s="5" t="s">
        <v>387</v>
      </c>
      <c r="O43" s="5" t="s">
        <v>395</v>
      </c>
      <c r="P43" s="5" t="s">
        <v>64</v>
      </c>
    </row>
    <row r="44" spans="2:16" x14ac:dyDescent="0.2" ht="19" customHeight="1">
      <c r="B44" s="234" t="inlineStr">
        <is>
          <t>LCCA Summary:</t>
        </is>
      </c>
      <c r="C44" s="234"/>
      <c r="D44" s="322" t="str">
        <f>HYPERLINK("#Summary!G1","View Summary  ►")</f>
        <v>View Summary  ►</v>
      </c>
      <c r="L44" s="5" t="s">
        <v>449</v>
      </c>
      <c r="M44" s="5" t="s">
        <v>180</v>
      </c>
      <c r="N44" s="5" t="s">
        <v>406</v>
      </c>
      <c r="O44" s="5" t="s">
        <v>542</v>
      </c>
      <c r="P44" s="5" t="s">
        <v>64</v>
      </c>
    </row>
    <row r="45" spans="2:16" x14ac:dyDescent="0.2" ht="19" customHeight="1">
      <c r="B45" s="234" t="inlineStr">
        <is>
          <t>Typical input values:</t>
        </is>
      </c>
      <c r="C45" s="234"/>
      <c r="D45" s="322" t="str">
        <f>HYPERLINK("#'Typical Values'!A1","Typical Values  ►")</f>
        <v>Typical Values  ►</v>
      </c>
      <c r="L45" s="5" t="s">
        <v>129</v>
      </c>
      <c r="M45" s="5" t="s">
        <v>128</v>
      </c>
      <c r="N45" s="5" t="s">
        <v>396</v>
      </c>
      <c r="O45" s="5" t="s">
        <v>543</v>
      </c>
      <c r="P45" s="5" t="s">
        <v>64</v>
      </c>
    </row>
    <row r="46" spans="2:16" x14ac:dyDescent="0.2" ht="19" customHeight="1">
      <c r="B46" s="234" t="inlineStr">
        <is>
          <t>How it is calculated:</t>
        </is>
      </c>
      <c r="C46" s="234"/>
      <c r="D46" s="322" t="str">
        <f>HYPERLINK("#Method!A1","Method  ►")</f>
        <v>Method  ►</v>
      </c>
      <c r="L46" s="5" t="s">
        <v>115</v>
      </c>
      <c r="M46" s="5" t="s">
        <v>114</v>
      </c>
      <c r="N46" s="5" t="s">
        <v>391</v>
      </c>
      <c r="O46" s="5" t="s">
        <v>544</v>
      </c>
      <c r="P46" s="5" t="s">
        <v>64</v>
      </c>
    </row>
    <row r="47" spans="2:16" x14ac:dyDescent="0.2" ht="19" customHeight="1">
      <c r="B47" s="234" t="inlineStr">
        <is>
          <t>Unit costs:</t>
        </is>
      </c>
      <c r="C47" s="234"/>
      <c r="D47" s="322" t="str">
        <f>HYPERLINK("#Pay_Items!A1","Pay_Items  ►")</f>
        <v>Pay_Items  ►</v>
      </c>
      <c r="L47" s="5" t="s">
        <v>448</v>
      </c>
      <c r="M47" s="5" t="s">
        <v>418</v>
      </c>
      <c r="N47" s="5" t="s">
        <v>417</v>
      </c>
      <c r="O47" s="5" t="s">
        <v>545</v>
      </c>
      <c r="P47" s="5" t="s">
        <v>64</v>
      </c>
    </row>
    <row r="48" spans="2:16" x14ac:dyDescent="0.2" ht="19" customHeight="1">
      <c r="B48" s="234" t="inlineStr">
        <is>
          <t>Maintenance policies:</t>
        </is>
      </c>
      <c r="C48" s="234"/>
      <c r="D48" s="322" t="str">
        <f>HYPERLINK("#'Maintenance Policies'!C2","Maintenance Policies  ►")</f>
        <v>Maintenance Policies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13">
    <mergeCell ref="F2:J2"/>
    <mergeCell ref="F3:J7"/>
    <mergeCell ref="F9:J9"/>
    <mergeCell ref="B43:D43"/>
    <mergeCell ref="B41:C41"/>
    <mergeCell ref="B44:C44"/>
    <mergeCell ref="B45:C45"/>
    <mergeCell ref="B46:C46"/>
    <mergeCell ref="B47:C47"/>
    <mergeCell ref="B48:C48"/>
    <mergeCell ref="B8:D8"/>
    <mergeCell ref="B20:D20"/>
    <mergeCell ref="B32:D32"/>
  </mergeCells>
  <conditionalFormatting sqref="F9:J9">
    <cfRule type="expression" dxfId="30" priority="1">
      <formula>LEFT($F$9,3)="All"</formula>
    </cfRule>
    <cfRule type="expression" dxfId="31"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1"/>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40</xdr:row>
                <xdr:rowOff>19050</xdr:rowOff>
              </from>
              <to>
                <xdr:col>3</xdr:col>
                <xdr:colOff>1238250</xdr:colOff>
                <xdr:row>42</xdr:row>
                <xdr:rowOff>57150</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pageSetUpPr fitToPage="1"/>
  </sheetPr>
  <dimension ref="A1:J59"/>
  <sheetViews>
    <sheetView workbookViewId="0" showGridLines="0">
      <pane ySplit="2" topLeftCell="A3" activePane="bottomLeft" state="frozen"/>
    </sheetView>
  </sheetViews>
  <sheetFormatPr defaultColWidth="8.7109375" defaultRowHeight="12.75" x14ac:dyDescent="0.2"/>
  <cols>
    <col min="1" max="1" width="19" style="5" customWidth="1"/>
    <col min="2" max="2" width="18" style="5" customWidth="1"/>
    <col min="3" max="3" width="13" style="5" customWidth="1"/>
    <col min="4" max="4" width="63" style="5" customWidth="1"/>
    <col min="5" max="5" width="7" style="5" customWidth="1"/>
    <col min="6" max="6" width="11" style="5" customWidth="1"/>
    <col min="7" max="7" width="10" style="5" customWidth="1"/>
    <col min="8" max="8" width="10" style="5" customWidth="1"/>
    <col min="9" max="9" width="10" style="5" customWidth="1"/>
    <col min="10" max="10" width="15" style="5" customWidth="1"/>
    <col min="11" max="16384" width="8.7109375" style="5"/>
  </cols>
  <sheetData>
    <row r="1" spans="1:10" x14ac:dyDescent="0.2" ht="40" customHeight="1">
      <c r="A1" s="119" t="str">
        <f>HYPERLINK("#'General Information'!D9","◄ General Information")</f>
        <v>◄ General Information</v>
      </c>
      <c r="B1" s="120" t="str">
        <f>HYPERLINK("#Summary!G1","Summary")</f>
        <v>Summary</v>
      </c>
      <c r="C1" s="215" t="inlineStr">
        <is>
          <t xml:space="preserve">Pay Items</t>
        </is>
      </c>
      <c r="D1" s="257" t="str">
        <f>IF(COUNTBLANK($F$4:$F$59)=0,"Every pay item carries a unit cost.",COUNTBLANK($F$4:$F$59)&amp;" of "&amp;COUNTA($D$4:$D$59)&amp;" pay items carry no unit cost, flagged amber below.")</f>
        <v/>
      </c>
      <c r="E1" s="257"/>
      <c r="F1" s="256" t="inlineStr">
        <is>
          <t xml:space="preserve">STEP 3 of 5</t>
        </is>
      </c>
      <c r="G1" s="115" t="s">
        <v>267</v>
      </c>
      <c r="H1" s="115"/>
      <c r="I1" s="115"/>
    </row>
    <row r="2" spans="1:10" x14ac:dyDescent="0.2" ht="22" customHeight="1">
      <c r="A2" s="217" t="s">
        <v>51</v>
      </c>
      <c r="B2" s="217" t="s">
        <v>505</v>
      </c>
      <c r="C2" s="217" t="s">
        <v>52</v>
      </c>
      <c r="D2" s="217" t="s">
        <v>53</v>
      </c>
      <c r="E2" s="258" t="s">
        <v>266</v>
      </c>
      <c r="F2" s="258" t="s">
        <v>320</v>
      </c>
      <c r="G2" s="258" t="s">
        <v>64</v>
      </c>
      <c r="H2" s="258" t="s">
        <v>65</v>
      </c>
      <c r="I2" s="258" t="s">
        <v>66</v>
      </c>
      <c r="J2" s="217" t="inlineStr">
        <is>
          <t>Notes</t>
        </is>
      </c>
    </row>
    <row r="3" spans="1:10" x14ac:dyDescent="0.2">
      <c r="A3" s="6"/>
      <c r="B3" s="5" t="s">
        <v>454</v>
      </c>
      <c r="C3" s="6"/>
      <c r="D3" s="6"/>
      <c r="E3" s="6" t="s">
        <v>453</v>
      </c>
      <c r="F3" s="202" t="s">
        <v>453</v>
      </c>
      <c r="G3" s="197"/>
      <c r="H3" s="197"/>
      <c r="I3" s="197"/>
    </row>
    <row r="4" spans="1:10" x14ac:dyDescent="0.2">
      <c r="A4" s="200" t="s">
        <v>10</v>
      </c>
      <c r="B4" s="5" t="s">
        <v>54</v>
      </c>
      <c r="C4" s="1" t="s">
        <v>317</v>
      </c>
      <c r="D4" s="2" t="s">
        <v>63</v>
      </c>
      <c r="E4" s="3" t="s">
        <v>6</v>
      </c>
      <c r="F4" s="202">
        <v>4.2</v>
      </c>
      <c r="G4" s="197"/>
      <c r="H4" s="197"/>
      <c r="I4" s="197"/>
      <c r="J4" s="5" t="s">
        <v>590</v>
      </c>
    </row>
    <row r="5" spans="1:10" x14ac:dyDescent="0.2">
      <c r="B5" s="5" t="s">
        <v>54</v>
      </c>
      <c r="C5" s="1" t="s">
        <v>318</v>
      </c>
      <c r="D5" s="2" t="s">
        <v>62</v>
      </c>
      <c r="E5" s="3" t="s">
        <v>6</v>
      </c>
      <c r="F5" s="202"/>
      <c r="G5" s="197"/>
      <c r="H5" s="197"/>
      <c r="I5" s="197"/>
      <c r="J5" s="5" t="s">
        <v>590</v>
      </c>
    </row>
    <row r="6" spans="1:10" x14ac:dyDescent="0.2">
      <c r="B6" s="5" t="s">
        <v>54</v>
      </c>
      <c r="C6" s="1" t="s">
        <v>329</v>
      </c>
      <c r="D6" s="2" t="s">
        <v>331</v>
      </c>
      <c r="E6" s="3" t="s">
        <v>7</v>
      </c>
      <c r="F6" s="202">
        <v>4</v>
      </c>
      <c r="G6" s="197"/>
      <c r="H6" s="197"/>
      <c r="I6" s="197"/>
    </row>
    <row r="7" spans="1:10" x14ac:dyDescent="0.2">
      <c r="B7" s="5" t="s">
        <v>54</v>
      </c>
      <c r="C7" s="1" t="s">
        <v>330</v>
      </c>
      <c r="D7" s="2" t="s">
        <v>332</v>
      </c>
      <c r="E7" s="3" t="s">
        <v>7</v>
      </c>
      <c r="F7" s="202">
        <v>6.5</v>
      </c>
      <c r="G7" s="197"/>
      <c r="H7" s="197"/>
      <c r="I7" s="197"/>
    </row>
    <row r="8" spans="1:10" x14ac:dyDescent="0.2">
      <c r="B8" s="5" t="s">
        <v>54</v>
      </c>
      <c r="C8" s="1" t="s">
        <v>333</v>
      </c>
      <c r="D8" s="2" t="s">
        <v>335</v>
      </c>
      <c r="E8" s="3" t="s">
        <v>7</v>
      </c>
      <c r="F8" s="202">
        <v>8</v>
      </c>
      <c r="G8" s="197"/>
      <c r="H8" s="197"/>
      <c r="I8" s="197"/>
    </row>
    <row r="9" spans="1:10" x14ac:dyDescent="0.2">
      <c r="B9" s="5" t="s">
        <v>54</v>
      </c>
      <c r="C9" s="1" t="s">
        <v>334</v>
      </c>
      <c r="D9" s="2" t="s">
        <v>336</v>
      </c>
      <c r="E9" s="3" t="s">
        <v>7</v>
      </c>
      <c r="F9" s="202">
        <v>8.5</v>
      </c>
      <c r="G9" s="197"/>
      <c r="H9" s="197"/>
      <c r="I9" s="197"/>
    </row>
    <row r="10" spans="1:10" x14ac:dyDescent="0.2">
      <c r="B10" s="5" t="s">
        <v>54</v>
      </c>
      <c r="C10" s="1" t="s">
        <v>11</v>
      </c>
      <c r="D10" s="2" t="s">
        <v>359</v>
      </c>
      <c r="E10" s="3" t="s">
        <v>12</v>
      </c>
      <c r="F10" s="202">
        <f>7/9</f>
        <v>0.77777777777777779</v>
      </c>
      <c r="G10" s="197"/>
      <c r="H10" s="197"/>
      <c r="I10" s="197"/>
    </row>
    <row r="11" spans="1:10" x14ac:dyDescent="0.2">
      <c r="B11" s="5" t="s">
        <v>54</v>
      </c>
      <c r="C11" s="1" t="s">
        <v>488</v>
      </c>
      <c r="D11" s="2" t="s">
        <v>337</v>
      </c>
      <c r="E11" s="3" t="s">
        <v>12</v>
      </c>
      <c r="F11" s="202">
        <v>8.5</v>
      </c>
      <c r="G11" s="197"/>
      <c r="H11" s="197"/>
      <c r="I11" s="197"/>
      <c r="J11" s="5" t="s">
        <v>590</v>
      </c>
    </row>
    <row r="12" spans="1:10" x14ac:dyDescent="0.2">
      <c r="B12" s="5" t="s">
        <v>54</v>
      </c>
      <c r="C12" s="1" t="s">
        <v>489</v>
      </c>
      <c r="D12" s="2" t="s">
        <v>490</v>
      </c>
      <c r="E12" s="3" t="s">
        <v>12</v>
      </c>
      <c r="F12" s="202"/>
      <c r="G12" s="197"/>
      <c r="H12" s="197"/>
      <c r="I12" s="197"/>
      <c r="J12" s="5" t="s">
        <v>593</v>
      </c>
    </row>
    <row r="13" spans="1:10" x14ac:dyDescent="0.2">
      <c r="B13" s="5" t="s">
        <v>54</v>
      </c>
      <c r="C13" s="1" t="s">
        <v>341</v>
      </c>
      <c r="D13" s="2" t="s">
        <v>338</v>
      </c>
      <c r="E13" s="3" t="s">
        <v>12</v>
      </c>
      <c r="F13" s="202">
        <v>60</v>
      </c>
      <c r="G13" s="197"/>
      <c r="H13" s="197"/>
      <c r="I13" s="197"/>
      <c r="J13" s="5" t="s">
        <v>590</v>
      </c>
    </row>
    <row r="14" spans="1:10" x14ac:dyDescent="0.2">
      <c r="B14" s="5" t="s">
        <v>54</v>
      </c>
      <c r="C14" s="1" t="s">
        <v>342</v>
      </c>
      <c r="D14" s="2" t="s">
        <v>339</v>
      </c>
      <c r="E14" s="3" t="s">
        <v>6</v>
      </c>
      <c r="F14" s="202">
        <v>120</v>
      </c>
      <c r="G14" s="197"/>
      <c r="H14" s="197"/>
      <c r="I14" s="197"/>
      <c r="J14" s="5" t="s">
        <v>590</v>
      </c>
    </row>
    <row r="15" spans="1:10" x14ac:dyDescent="0.2">
      <c r="B15" s="5" t="s">
        <v>54</v>
      </c>
      <c r="C15" s="1" t="s">
        <v>343</v>
      </c>
      <c r="D15" s="2" t="s">
        <v>340</v>
      </c>
      <c r="E15" s="3" t="s">
        <v>6</v>
      </c>
      <c r="F15" s="202">
        <v>100</v>
      </c>
      <c r="G15" s="197"/>
      <c r="H15" s="197"/>
      <c r="I15" s="197"/>
    </row>
    <row r="16" spans="1:10" x14ac:dyDescent="0.2">
      <c r="B16" s="5" t="s">
        <v>54</v>
      </c>
      <c r="C16" s="1" t="s">
        <v>1</v>
      </c>
      <c r="D16" s="2" t="s">
        <v>13</v>
      </c>
      <c r="E16" s="3" t="s">
        <v>6</v>
      </c>
      <c r="F16" s="202">
        <f>10/2</f>
        <v>5</v>
      </c>
      <c r="G16" s="197"/>
      <c r="H16" s="197"/>
      <c r="I16" s="197"/>
      <c r="J16" s="5" t="s">
        <v>590</v>
      </c>
    </row>
    <row r="17" spans="1:10" x14ac:dyDescent="0.2">
      <c r="B17" s="5" t="s">
        <v>54</v>
      </c>
      <c r="C17" s="1" t="s">
        <v>14</v>
      </c>
      <c r="D17" s="2" t="s">
        <v>316</v>
      </c>
      <c r="E17" s="3" t="s">
        <v>8</v>
      </c>
      <c r="F17" s="202"/>
      <c r="G17" s="197"/>
      <c r="H17" s="197"/>
      <c r="I17" s="197"/>
    </row>
    <row r="18" spans="1:10" x14ac:dyDescent="0.2">
      <c r="B18" s="5" t="s">
        <v>54</v>
      </c>
      <c r="C18" s="1" t="s">
        <v>15</v>
      </c>
      <c r="D18" s="2" t="s">
        <v>315</v>
      </c>
      <c r="E18" s="3" t="s">
        <v>8</v>
      </c>
      <c r="F18" s="202"/>
      <c r="G18" s="197"/>
      <c r="H18" s="197"/>
      <c r="I18" s="197"/>
    </row>
    <row r="19" spans="1:10" x14ac:dyDescent="0.2">
      <c r="B19" s="5" t="s">
        <v>54</v>
      </c>
      <c r="C19" s="1" t="s">
        <v>16</v>
      </c>
      <c r="D19" s="2" t="s">
        <v>17</v>
      </c>
      <c r="E19" s="3" t="s">
        <v>8</v>
      </c>
      <c r="F19" s="202">
        <v>55</v>
      </c>
      <c r="G19" s="197"/>
      <c r="H19" s="197"/>
      <c r="I19" s="197"/>
    </row>
    <row r="20" spans="1:10" x14ac:dyDescent="0.2">
      <c r="B20" s="5" t="s">
        <v>54</v>
      </c>
      <c r="C20" s="1" t="s">
        <v>18</v>
      </c>
      <c r="D20" s="2" t="s">
        <v>633</v>
      </c>
      <c r="E20" s="3" t="s">
        <v>6</v>
      </c>
      <c r="F20" s="202"/>
      <c r="G20" s="197"/>
      <c r="H20" s="197"/>
      <c r="I20" s="197"/>
    </row>
    <row r="21" spans="1:10" x14ac:dyDescent="0.2">
      <c r="B21" s="5" t="s">
        <v>54</v>
      </c>
      <c r="C21" s="1" t="s">
        <v>20</v>
      </c>
      <c r="D21" s="2" t="s">
        <v>21</v>
      </c>
      <c r="E21" s="3" t="s">
        <v>6</v>
      </c>
      <c r="F21" s="202">
        <v>10</v>
      </c>
      <c r="G21" s="197"/>
      <c r="H21" s="197"/>
      <c r="I21" s="197"/>
      <c r="J21" s="5" t="s">
        <v>590</v>
      </c>
    </row>
    <row r="22" spans="1:10" x14ac:dyDescent="0.2">
      <c r="B22" s="5" t="s">
        <v>54</v>
      </c>
      <c r="C22" s="1" t="s">
        <v>22</v>
      </c>
      <c r="D22" s="2" t="s">
        <v>309</v>
      </c>
      <c r="E22" s="3" t="s">
        <v>6</v>
      </c>
      <c r="F22" s="202"/>
      <c r="G22" s="197"/>
      <c r="H22" s="197"/>
      <c r="I22" s="197"/>
      <c r="J22" s="5" t="s">
        <v>590</v>
      </c>
    </row>
    <row r="23" spans="1:10" x14ac:dyDescent="0.2">
      <c r="B23" s="5" t="s">
        <v>54</v>
      </c>
      <c r="C23" s="1" t="s">
        <v>310</v>
      </c>
      <c r="D23" s="2" t="s">
        <v>312</v>
      </c>
      <c r="E23" s="3" t="s">
        <v>6</v>
      </c>
      <c r="F23" s="202"/>
      <c r="G23" s="197"/>
      <c r="H23" s="197"/>
      <c r="I23" s="197"/>
      <c r="J23" s="5" t="s">
        <v>590</v>
      </c>
    </row>
    <row r="24" spans="1:10" x14ac:dyDescent="0.2">
      <c r="B24" s="5" t="s">
        <v>54</v>
      </c>
      <c r="C24" s="1" t="s">
        <v>311</v>
      </c>
      <c r="D24" s="2" t="s">
        <v>313</v>
      </c>
      <c r="E24" s="3" t="s">
        <v>6</v>
      </c>
      <c r="F24" s="202"/>
      <c r="G24" s="197"/>
      <c r="H24" s="197"/>
      <c r="I24" s="197"/>
      <c r="J24" s="5" t="s">
        <v>590</v>
      </c>
    </row>
    <row r="25" spans="1:10" x14ac:dyDescent="0.2">
      <c r="B25" s="5" t="s">
        <v>54</v>
      </c>
      <c r="C25" s="1" t="s">
        <v>23</v>
      </c>
      <c r="D25" s="2" t="s">
        <v>314</v>
      </c>
      <c r="E25" s="3" t="s">
        <v>6</v>
      </c>
      <c r="F25" s="202"/>
      <c r="G25" s="197"/>
      <c r="H25" s="197"/>
      <c r="I25" s="197"/>
      <c r="J25" s="5" t="s">
        <v>590</v>
      </c>
    </row>
    <row r="26" spans="1:10" ht="12.6" customHeight="1" x14ac:dyDescent="0.2">
      <c r="A26" s="200" t="s">
        <v>24</v>
      </c>
      <c r="B26" s="5" t="s">
        <v>289</v>
      </c>
      <c r="C26" s="1" t="s">
        <v>2</v>
      </c>
      <c r="D26" s="2" t="s">
        <v>288</v>
      </c>
      <c r="E26" s="3" t="s">
        <v>6</v>
      </c>
      <c r="F26" s="202"/>
      <c r="G26" s="197"/>
      <c r="H26" s="197"/>
      <c r="I26" s="197"/>
      <c r="J26" s="5" t="s">
        <v>590</v>
      </c>
    </row>
    <row r="27" spans="1:10" x14ac:dyDescent="0.2">
      <c r="B27" s="5" t="s">
        <v>289</v>
      </c>
      <c r="C27" s="1" t="s">
        <v>25</v>
      </c>
      <c r="D27" s="2" t="s">
        <v>26</v>
      </c>
      <c r="E27" s="3" t="s">
        <v>8</v>
      </c>
      <c r="F27" s="202"/>
      <c r="G27" s="197"/>
      <c r="H27" s="197"/>
      <c r="I27" s="197"/>
    </row>
    <row r="28" spans="1:10" x14ac:dyDescent="0.2">
      <c r="B28" s="5" t="s">
        <v>289</v>
      </c>
      <c r="C28" s="1" t="s">
        <v>27</v>
      </c>
      <c r="D28" s="2" t="s">
        <v>634</v>
      </c>
      <c r="E28" s="3" t="s">
        <v>6</v>
      </c>
      <c r="F28" s="202"/>
      <c r="G28" s="197"/>
      <c r="H28" s="197"/>
      <c r="I28" s="197"/>
    </row>
    <row r="29" spans="1:10" x14ac:dyDescent="0.2">
      <c r="B29" s="5" t="s">
        <v>289</v>
      </c>
      <c r="C29" s="1" t="s">
        <v>0</v>
      </c>
      <c r="D29" s="2" t="s">
        <v>29</v>
      </c>
      <c r="E29" s="3" t="s">
        <v>8</v>
      </c>
      <c r="F29" s="202">
        <v>65</v>
      </c>
      <c r="G29" s="197"/>
      <c r="H29" s="197"/>
      <c r="I29" s="197"/>
    </row>
    <row r="30" spans="1:10" x14ac:dyDescent="0.2">
      <c r="B30" s="5" t="s">
        <v>289</v>
      </c>
      <c r="C30" s="1" t="s">
        <v>30</v>
      </c>
      <c r="D30" s="2" t="s">
        <v>635</v>
      </c>
      <c r="E30" s="3" t="s">
        <v>6</v>
      </c>
      <c r="F30" s="202"/>
      <c r="G30" s="197"/>
      <c r="H30" s="197"/>
      <c r="I30" s="197"/>
    </row>
    <row r="31" spans="1:10" x14ac:dyDescent="0.2">
      <c r="B31" s="5" t="s">
        <v>289</v>
      </c>
      <c r="C31" s="1" t="s">
        <v>31</v>
      </c>
      <c r="D31" s="2" t="s">
        <v>32</v>
      </c>
      <c r="E31" s="3" t="s">
        <v>8</v>
      </c>
      <c r="F31" s="202"/>
      <c r="G31" s="197"/>
      <c r="H31" s="197"/>
      <c r="I31" s="197"/>
    </row>
    <row r="32" spans="1:10" x14ac:dyDescent="0.2">
      <c r="B32" s="5" t="s">
        <v>289</v>
      </c>
      <c r="C32" s="1" t="s">
        <v>33</v>
      </c>
      <c r="D32" s="2" t="s">
        <v>636</v>
      </c>
      <c r="E32" s="3" t="s">
        <v>6</v>
      </c>
      <c r="F32" s="202"/>
      <c r="G32" s="197"/>
      <c r="H32" s="197"/>
      <c r="I32" s="197"/>
    </row>
    <row r="33" spans="1:10" x14ac:dyDescent="0.2">
      <c r="B33" s="5" t="s">
        <v>289</v>
      </c>
      <c r="C33" s="1" t="s">
        <v>34</v>
      </c>
      <c r="D33" s="2" t="s">
        <v>291</v>
      </c>
      <c r="E33" s="3" t="s">
        <v>6</v>
      </c>
      <c r="F33" s="202"/>
      <c r="G33" s="197"/>
      <c r="H33" s="197"/>
      <c r="I33" s="197"/>
      <c r="J33" s="5" t="s">
        <v>590</v>
      </c>
    </row>
    <row r="34" spans="1:10" x14ac:dyDescent="0.2">
      <c r="A34" s="200" t="s">
        <v>35</v>
      </c>
      <c r="B34" s="5" t="s">
        <v>290</v>
      </c>
      <c r="C34" s="1" t="s">
        <v>36</v>
      </c>
      <c r="D34" s="2" t="s">
        <v>292</v>
      </c>
      <c r="E34" s="3" t="s">
        <v>8</v>
      </c>
      <c r="F34" s="202"/>
      <c r="G34" s="197"/>
      <c r="H34" s="197"/>
      <c r="I34" s="197"/>
      <c r="J34" s="5" t="s">
        <v>592</v>
      </c>
    </row>
    <row r="35" spans="1:10" x14ac:dyDescent="0.2">
      <c r="B35" s="5" t="s">
        <v>290</v>
      </c>
      <c r="C35" s="1" t="s">
        <v>37</v>
      </c>
      <c r="D35" s="2" t="s">
        <v>293</v>
      </c>
      <c r="E35" s="3" t="s">
        <v>8</v>
      </c>
      <c r="F35" s="202"/>
      <c r="G35" s="197"/>
      <c r="H35" s="197"/>
      <c r="I35" s="197"/>
      <c r="J35" s="5" t="s">
        <v>592</v>
      </c>
    </row>
    <row r="36" spans="1:10" x14ac:dyDescent="0.2">
      <c r="B36" s="5" t="s">
        <v>290</v>
      </c>
      <c r="C36" s="1" t="s">
        <v>38</v>
      </c>
      <c r="D36" s="2" t="s">
        <v>294</v>
      </c>
      <c r="E36" s="3" t="s">
        <v>8</v>
      </c>
      <c r="F36" s="202"/>
      <c r="G36" s="197"/>
      <c r="H36" s="197"/>
      <c r="I36" s="197"/>
      <c r="J36" s="5" t="s">
        <v>592</v>
      </c>
    </row>
    <row r="37" spans="1:10" x14ac:dyDescent="0.2">
      <c r="A37" s="200" t="s">
        <v>39</v>
      </c>
      <c r="B37" s="5" t="s">
        <v>307</v>
      </c>
      <c r="C37" s="1" t="s">
        <v>301</v>
      </c>
      <c r="D37" s="2" t="s">
        <v>304</v>
      </c>
      <c r="E37" s="3" t="s">
        <v>5</v>
      </c>
      <c r="F37" s="202">
        <v>130</v>
      </c>
      <c r="G37" s="197"/>
      <c r="H37" s="197"/>
      <c r="I37" s="197"/>
    </row>
    <row r="38" spans="1:10" x14ac:dyDescent="0.2">
      <c r="B38" s="5" t="s">
        <v>307</v>
      </c>
      <c r="C38" s="1" t="s">
        <v>302</v>
      </c>
      <c r="D38" s="2" t="s">
        <v>305</v>
      </c>
      <c r="E38" s="3" t="s">
        <v>5</v>
      </c>
      <c r="F38" s="202">
        <v>120</v>
      </c>
      <c r="G38" s="197"/>
      <c r="H38" s="197"/>
      <c r="I38" s="197"/>
    </row>
    <row r="39" spans="1:10" x14ac:dyDescent="0.2">
      <c r="B39" s="5" t="s">
        <v>307</v>
      </c>
      <c r="C39" s="1" t="s">
        <v>303</v>
      </c>
      <c r="D39" s="2" t="s">
        <v>306</v>
      </c>
      <c r="E39" s="3" t="s">
        <v>5</v>
      </c>
      <c r="F39" s="202">
        <v>110</v>
      </c>
      <c r="G39" s="197"/>
      <c r="H39" s="197"/>
      <c r="I39" s="197"/>
    </row>
    <row r="40" spans="1:10" x14ac:dyDescent="0.2">
      <c r="B40" s="5" t="s">
        <v>307</v>
      </c>
      <c r="C40" s="1" t="s">
        <v>295</v>
      </c>
      <c r="D40" s="2" t="s">
        <v>298</v>
      </c>
      <c r="E40" s="3" t="s">
        <v>5</v>
      </c>
      <c r="F40" s="202"/>
      <c r="G40" s="197"/>
      <c r="H40" s="197"/>
      <c r="I40" s="197"/>
    </row>
    <row r="41" spans="1:10" x14ac:dyDescent="0.2">
      <c r="B41" s="5" t="s">
        <v>307</v>
      </c>
      <c r="C41" s="1" t="s">
        <v>296</v>
      </c>
      <c r="D41" s="2" t="s">
        <v>299</v>
      </c>
      <c r="E41" s="3" t="s">
        <v>5</v>
      </c>
      <c r="F41" s="202"/>
      <c r="G41" s="197"/>
      <c r="H41" s="197"/>
      <c r="I41" s="197"/>
    </row>
    <row r="42" spans="1:10" x14ac:dyDescent="0.2">
      <c r="B42" s="5" t="s">
        <v>307</v>
      </c>
      <c r="C42" s="1" t="s">
        <v>297</v>
      </c>
      <c r="D42" s="2" t="s">
        <v>300</v>
      </c>
      <c r="E42" s="3" t="s">
        <v>5</v>
      </c>
      <c r="F42" s="202"/>
      <c r="G42" s="197"/>
      <c r="H42" s="197"/>
      <c r="I42" s="197"/>
    </row>
    <row r="43" spans="1:10" x14ac:dyDescent="0.2">
      <c r="B43" s="5" t="s">
        <v>307</v>
      </c>
      <c r="C43" s="1" t="s">
        <v>50</v>
      </c>
      <c r="D43" s="2" t="s">
        <v>308</v>
      </c>
      <c r="E43" s="3" t="s">
        <v>5</v>
      </c>
      <c r="F43" s="202"/>
      <c r="G43" s="197"/>
      <c r="H43" s="197"/>
      <c r="I43" s="197"/>
    </row>
    <row r="44" spans="1:10" x14ac:dyDescent="0.2">
      <c r="A44" s="200" t="s">
        <v>40</v>
      </c>
      <c r="B44" s="5" t="s">
        <v>55</v>
      </c>
      <c r="C44" s="1" t="s">
        <v>464</v>
      </c>
      <c r="D44" s="2" t="s">
        <v>463</v>
      </c>
      <c r="E44" s="3" t="s">
        <v>6</v>
      </c>
      <c r="F44" s="202">
        <v>79</v>
      </c>
      <c r="G44" s="197"/>
      <c r="H44" s="197"/>
      <c r="I44" s="197"/>
      <c r="J44" s="5" t="s">
        <v>590</v>
      </c>
    </row>
    <row r="45" spans="1:10" x14ac:dyDescent="0.2">
      <c r="A45" s="6"/>
      <c r="B45" s="5" t="s">
        <v>55</v>
      </c>
      <c r="C45" s="1" t="s">
        <v>465</v>
      </c>
      <c r="D45" s="2" t="s">
        <v>468</v>
      </c>
      <c r="E45" s="3" t="s">
        <v>6</v>
      </c>
      <c r="F45" s="202">
        <v>82</v>
      </c>
      <c r="G45" s="197"/>
      <c r="H45" s="197"/>
      <c r="I45" s="197"/>
      <c r="J45" s="5" t="s">
        <v>590</v>
      </c>
    </row>
    <row r="46" spans="1:10" x14ac:dyDescent="0.2">
      <c r="A46" s="6"/>
      <c r="B46" s="5" t="s">
        <v>55</v>
      </c>
      <c r="C46" s="1" t="s">
        <v>466</v>
      </c>
      <c r="D46" s="2" t="s">
        <v>469</v>
      </c>
      <c r="E46" s="3" t="s">
        <v>6</v>
      </c>
      <c r="F46" s="202">
        <v>85</v>
      </c>
      <c r="G46" s="197"/>
      <c r="H46" s="197"/>
      <c r="I46" s="197"/>
      <c r="J46" s="5" t="s">
        <v>590</v>
      </c>
    </row>
    <row r="47" spans="1:10" x14ac:dyDescent="0.2">
      <c r="A47" s="6"/>
      <c r="B47" s="5" t="s">
        <v>55</v>
      </c>
      <c r="C47" s="1" t="s">
        <v>467</v>
      </c>
      <c r="D47" s="2" t="s">
        <v>470</v>
      </c>
      <c r="E47" s="3" t="s">
        <v>6</v>
      </c>
      <c r="F47" s="202">
        <v>91</v>
      </c>
      <c r="G47" s="197"/>
      <c r="H47" s="197"/>
      <c r="I47" s="197"/>
      <c r="J47" s="5" t="s">
        <v>590</v>
      </c>
    </row>
    <row r="48" spans="1:10" x14ac:dyDescent="0.2">
      <c r="A48" s="200" t="s">
        <v>41</v>
      </c>
      <c r="B48" s="5" t="s">
        <v>280</v>
      </c>
      <c r="C48" s="1" t="s">
        <v>42</v>
      </c>
      <c r="D48" s="2" t="s">
        <v>276</v>
      </c>
      <c r="E48" s="3" t="s">
        <v>6</v>
      </c>
      <c r="F48" s="202">
        <v>4</v>
      </c>
      <c r="G48" s="197"/>
      <c r="H48" s="197"/>
      <c r="I48" s="197"/>
    </row>
    <row r="49" spans="1:10" x14ac:dyDescent="0.2">
      <c r="B49" s="5" t="s">
        <v>280</v>
      </c>
      <c r="C49" s="1" t="s">
        <v>43</v>
      </c>
      <c r="D49" s="2" t="s">
        <v>277</v>
      </c>
      <c r="E49" s="3" t="s">
        <v>6</v>
      </c>
      <c r="F49" s="202">
        <v>5</v>
      </c>
      <c r="G49" s="197"/>
      <c r="H49" s="197"/>
      <c r="I49" s="197"/>
    </row>
    <row r="50" spans="1:10" x14ac:dyDescent="0.2">
      <c r="B50" s="5" t="s">
        <v>280</v>
      </c>
      <c r="C50" s="1" t="s">
        <v>44</v>
      </c>
      <c r="D50" s="2" t="s">
        <v>278</v>
      </c>
      <c r="E50" s="3" t="s">
        <v>6</v>
      </c>
      <c r="F50" s="202">
        <v>7</v>
      </c>
      <c r="G50" s="197"/>
      <c r="H50" s="197"/>
      <c r="I50" s="197"/>
    </row>
    <row r="51" spans="1:10" x14ac:dyDescent="0.2">
      <c r="B51" s="5" t="s">
        <v>280</v>
      </c>
      <c r="C51" s="1" t="s">
        <v>45</v>
      </c>
      <c r="D51" s="2" t="s">
        <v>279</v>
      </c>
      <c r="E51" s="3" t="s">
        <v>6</v>
      </c>
      <c r="F51" s="202"/>
      <c r="G51" s="197"/>
      <c r="H51" s="197"/>
      <c r="I51" s="197"/>
    </row>
    <row r="52" spans="1:10" ht="12.6" customHeight="1" x14ac:dyDescent="0.2">
      <c r="B52" s="5" t="s">
        <v>280</v>
      </c>
      <c r="C52" s="1" t="s">
        <v>282</v>
      </c>
      <c r="D52" s="2" t="s">
        <v>281</v>
      </c>
      <c r="E52" s="3" t="s">
        <v>6</v>
      </c>
      <c r="F52" s="202"/>
      <c r="G52" s="197"/>
      <c r="H52" s="197"/>
      <c r="I52" s="197"/>
    </row>
    <row r="53" spans="1:10" ht="12.6" customHeight="1" x14ac:dyDescent="0.2">
      <c r="B53" s="5" t="s">
        <v>280</v>
      </c>
      <c r="C53" s="1" t="s">
        <v>283</v>
      </c>
      <c r="D53" s="2" t="s">
        <v>284</v>
      </c>
      <c r="E53" s="3" t="s">
        <v>6</v>
      </c>
      <c r="F53" s="202"/>
      <c r="G53" s="197"/>
      <c r="H53" s="197"/>
      <c r="I53" s="197"/>
    </row>
    <row r="54" spans="1:10" x14ac:dyDescent="0.2">
      <c r="A54" s="200" t="s">
        <v>46</v>
      </c>
      <c r="B54" s="5" t="s">
        <v>61</v>
      </c>
      <c r="C54" s="1" t="s">
        <v>3</v>
      </c>
      <c r="D54" s="2" t="s">
        <v>4</v>
      </c>
      <c r="E54" s="3" t="s">
        <v>274</v>
      </c>
      <c r="F54" s="202">
        <v>4.5</v>
      </c>
      <c r="G54" s="197"/>
      <c r="H54" s="197"/>
      <c r="I54" s="197"/>
      <c r="J54" s="5" t="s">
        <v>591</v>
      </c>
    </row>
    <row r="55" spans="1:10" x14ac:dyDescent="0.2">
      <c r="B55" s="5" t="s">
        <v>285</v>
      </c>
      <c r="C55" s="1" t="s">
        <v>275</v>
      </c>
      <c r="D55" s="2" t="s">
        <v>286</v>
      </c>
      <c r="E55" s="3" t="s">
        <v>7</v>
      </c>
      <c r="F55" s="202">
        <v>7</v>
      </c>
      <c r="G55" s="197"/>
      <c r="H55" s="197"/>
      <c r="I55" s="197"/>
      <c r="J55" s="5" t="s">
        <v>287</v>
      </c>
    </row>
    <row r="56" spans="1:10" x14ac:dyDescent="0.2">
      <c r="B56" s="5" t="s">
        <v>48</v>
      </c>
      <c r="C56" s="1" t="s">
        <v>47</v>
      </c>
      <c r="D56" s="2" t="s">
        <v>60</v>
      </c>
      <c r="E56" s="3" t="s">
        <v>12</v>
      </c>
      <c r="F56" s="202">
        <f>6/9</f>
        <v>0.66666666666666663</v>
      </c>
      <c r="G56" s="197"/>
      <c r="H56" s="197"/>
      <c r="I56" s="197"/>
    </row>
    <row r="57" spans="1:10" x14ac:dyDescent="0.2">
      <c r="B57" s="5" t="s">
        <v>48</v>
      </c>
      <c r="C57" s="1" t="s">
        <v>272</v>
      </c>
      <c r="D57" s="2" t="s">
        <v>273</v>
      </c>
      <c r="E57" s="3" t="s">
        <v>12</v>
      </c>
      <c r="F57" s="202"/>
      <c r="G57" s="197"/>
      <c r="H57" s="197"/>
      <c r="I57" s="197"/>
    </row>
    <row r="58" spans="1:10" x14ac:dyDescent="0.2">
      <c r="B58" s="5" t="s">
        <v>49</v>
      </c>
      <c r="C58" s="1" t="s">
        <v>58</v>
      </c>
      <c r="D58" s="2" t="s">
        <v>56</v>
      </c>
      <c r="E58" s="3" t="s">
        <v>6</v>
      </c>
      <c r="F58" s="202"/>
      <c r="G58" s="197"/>
      <c r="H58" s="197"/>
      <c r="I58" s="197"/>
    </row>
    <row r="59" spans="1:10" x14ac:dyDescent="0.2">
      <c r="B59" s="5" t="s">
        <v>49</v>
      </c>
      <c r="C59" s="1" t="s">
        <v>59</v>
      </c>
      <c r="D59" s="2" t="s">
        <v>57</v>
      </c>
      <c r="E59" s="3" t="s">
        <v>6</v>
      </c>
      <c r="F59" s="202"/>
      <c r="G59" s="197"/>
      <c r="H59" s="197"/>
      <c r="I59" s="197"/>
    </row>
    <row r="61" ht="30" customHeight="1">
      <c r="A61" s="198" t="inlineStr">
        <is>
          <t xml:space="preserve">Every alternative worksheet prices its quantities from the Unit Cost column above, by looking up the pay item description. Change a cost here and every alternative reprices when the workbook recalculates.</t>
        </is>
      </c>
      <c r="B61" s="198"/>
      <c r="C61" s="198"/>
      <c r="D61" s="198"/>
      <c r="E61" s="198"/>
      <c r="F61" s="198"/>
      <c r="G61" s="198"/>
      <c r="H61" s="198"/>
      <c r="I61" s="198"/>
      <c r="J61" s="198"/>
    </row>
    <row r="62" ht="30" customHeight="1">
      <c r="A62" s="198" t="inlineStr">
        <is>
          <t xml:space="preserve">The Middle, West and East columns under "Average Pay Item Unit Cost" are the division averages. Each alternative worksheet picks one of them in C11, and any cell left blank there is priced from Unit Cost instead. They ship empty, so until they are filled every division prices the same.</t>
        </is>
      </c>
      <c r="B62" s="198"/>
      <c r="C62" s="198"/>
      <c r="D62" s="198"/>
      <c r="E62" s="198"/>
      <c r="F62" s="198"/>
      <c r="G62" s="198"/>
      <c r="H62" s="198"/>
      <c r="I62" s="198"/>
      <c r="J62" s="198"/>
    </row>
    <row r="63" ht="30" customHeight="1">
      <c r="A63" s="259" t="inlineStr">
        <is>
          <t xml:space="preserve">An item with no unit cost prices at $0. The Unit Cost column flags those in amber: fill one in before entering a quantity against it.</t>
        </is>
      </c>
      <c r="B63" s="203"/>
      <c r="C63" s="203"/>
      <c r="D63" s="203"/>
      <c r="E63" s="203"/>
      <c r="F63" s="203"/>
      <c r="G63" s="203"/>
      <c r="H63" s="203"/>
      <c r="I63" s="203"/>
      <c r="J63" s="203"/>
    </row>
    <row r="64" ht="30" customHeight="1">
      <c r="A64" s="198" t="inlineStr">
        <is>
          <t xml:space="preserve">Typical ranges and the published sources behind these costs are on the Typical Values sheet.</t>
        </is>
      </c>
      <c r="B64" s="198"/>
      <c r="C64" s="198"/>
      <c r="D64" s="198"/>
      <c r="E64" s="198"/>
      <c r="F64" s="198"/>
      <c r="G64" s="198"/>
      <c r="H64" s="198"/>
      <c r="I64" s="198"/>
      <c r="J64" s="198"/>
    </row>
  </sheetData>
  <mergeCells count="6">
    <mergeCell ref="G1:I1"/>
    <mergeCell ref="A61:J61"/>
    <mergeCell ref="A62:J62"/>
    <mergeCell ref="A63:J63"/>
    <mergeCell ref="A64:J64"/>
    <mergeCell ref="D1:E1"/>
  </mergeCells>
  <phoneticPr fontId="6" type="noConversion"/>
  <conditionalFormatting sqref="F4:F59">
    <cfRule type="containsBlanks" dxfId="32" priority="1">
      <formula>LEN(TRIM(F4))=0</formula>
    </cfRule>
  </conditionalFormatting>
  <pageMargins left="0.7" right="0.7" top="0.75" bottom="0.75" header="0.3" footer="0.3"/>
  <pageSetup orientation="landscape" fitToWidth="1" fitToHeight="0"/>
  <drawing r:id="rId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pageSetUpPr fitToPage="1"/>
  </sheetPr>
  <dimension ref="B8:E86"/>
  <sheetViews>
    <sheetView workbookViewId="0" showGridLines="0">
      <pane ySplit="7" topLeftCell="A8" activePane="bottomLeft" state="frozen"/>
    </sheetView>
  </sheetViews>
  <sheetFormatPr defaultColWidth="8.7109375" defaultRowHeight="12.75" x14ac:dyDescent="0.2"/>
  <cols>
    <col min="1" max="1" width="3" style="5" customWidth="1"/>
    <col min="2" max="2" width="29.43" style="5" customWidth="1"/>
    <col min="3" max="3" width="56" style="5" customWidth="1"/>
    <col min="4" max="4" width="13.71" style="5" customWidth="1"/>
    <col min="5" max="5" width="13.71" style="5" customWidth="1"/>
    <col min="6" max="6" width="13.71" style="5" customWidth="1"/>
    <col min="7" max="16384" width="8.7109375" style="5"/>
  </cols>
  <sheetData>
    <row r="1" ht="40" customHeight="1">
      <c r="B1" s="119" t="str">
        <f>HYPERLINK("#'General Information'!D9","◄ General Information")</f>
        <v>◄ General Information</v>
      </c>
      <c r="C1" s="120" t="str">
        <f>HYPERLINK("#Summary!G1","Summary")</f>
        <v>Summary</v>
      </c>
    </row>
    <row r="2" ht="22" customHeight="1">
      <c r="B2" s="215" t="inlineStr">
        <is>
          <t xml:space="preserve">Maintenance &amp; Rehabilitation Policies</t>
        </is>
      </c>
    </row>
    <row r="3" ht="40" customHeight="1">
      <c r="B3" s="261" t="inlineStr">
        <is>
          <t xml:space="preserve">This sheet is live. Every alternative reads its Rate and Year Applied straight from these four tables, so a year moved here moves that event on every alternative of that type and every number on the Summary. The grey cells are the ones to edit.</t>
        </is>
      </c>
      <c r="C3" s="262"/>
      <c r="D3" s="262"/>
      <c r="E3" s="262"/>
      <c r="F3" s="262"/>
    </row>
    <row r="4" ht="28" customHeight="1">
      <c r="B4" s="256" t="inlineStr">
        <is>
          <t xml:space="preserve">Rate is the share of the quantity the activity covers: 1 is the whole mainline area, the whole markings area or the whole joint length. Year Applied counts years after construction, and an event past the analysis period drops to zero.</t>
        </is>
      </c>
    </row>
    <row r="5" ht="16" customHeight="1">
      <c r="B5" s="256" t="inlineStr">
        <is>
          <t xml:space="preserve">Table 1 drives a New HMA alternative, Table 2 a New PCC alternative, Table 3 an HMA overlay and Table 4 a PCC rehabilitation.</t>
        </is>
      </c>
    </row>
    <row r="6" ht="18" customHeight="1">
      <c r="B6" s="276" t="inlineStr">
        <is>
          <t xml:space="preserve">Rehabilitation</t>
        </is>
      </c>
      <c r="C6" s="277" t="inlineStr">
        <is>
          <t xml:space="preserve">Salvage credit</t>
        </is>
      </c>
      <c r="D6" s="278" t="inlineStr">
        <is>
          <t xml:space="preserve">No salvage</t>
        </is>
      </c>
      <c r="E6" s="256" t="inlineStr">
        <is>
          <t xml:space="preserve">Closure days come from Typical Values, not this sheet.</t>
        </is>
      </c>
    </row>
    <row r="7" ht="6" customHeight="1"/>
    <row r="8" spans="2:5" ht="13.5" thickBot="1" x14ac:dyDescent="0.25">
      <c r="B8" s="260" t="s">
        <v>494</v>
      </c>
    </row>
    <row r="9" spans="2:5" thickTop="1" thickBot="1" x14ac:dyDescent="0.25" ht="20" customHeight="1">
      <c r="B9" s="217" t="s">
        <v>96</v>
      </c>
      <c r="C9" s="217" t="s">
        <v>95</v>
      </c>
      <c r="D9" s="258" t="s">
        <v>106</v>
      </c>
      <c r="E9" s="258" t="s">
        <v>259</v>
      </c>
      <c r="F9" s="258" t="inlineStr">
        <is>
          <t>Asset life (yrs)</t>
        </is>
      </c>
    </row>
    <row r="10" spans="2:5" ht="13.15" customHeight="1" thickTop="1" x14ac:dyDescent="0.2">
      <c r="B10" s="13" t="s">
        <v>67</v>
      </c>
      <c r="C10" s="14" t="s">
        <v>107</v>
      </c>
      <c r="D10" s="263">
        <v>1</v>
      </c>
      <c r="E10" s="264">
        <v>4</v>
      </c>
    </row>
    <row r="11" spans="2:5" ht="13.15" customHeight="1" thickBot="1" x14ac:dyDescent="0.25">
      <c r="B11" s="15"/>
      <c r="C11" s="16" t="s">
        <v>108</v>
      </c>
      <c r="D11" s="263">
        <v>1</v>
      </c>
      <c r="E11" s="266"/>
    </row>
    <row r="12" spans="2:5" ht="12.6" customHeight="1" x14ac:dyDescent="0.2">
      <c r="B12" s="17" t="s">
        <v>70</v>
      </c>
      <c r="C12" s="14" t="s">
        <v>107</v>
      </c>
      <c r="D12" s="263">
        <v>1</v>
      </c>
      <c r="E12" s="264">
        <v>8</v>
      </c>
    </row>
    <row r="13" spans="2:5" ht="13.15" customHeight="1" thickBot="1" x14ac:dyDescent="0.25">
      <c r="B13" s="15"/>
      <c r="C13" s="16" t="s">
        <v>108</v>
      </c>
      <c r="D13" s="263">
        <v>1</v>
      </c>
      <c r="E13" s="266"/>
    </row>
    <row r="14" spans="2:5" ht="12.6" customHeight="1" x14ac:dyDescent="0.2">
      <c r="B14" s="17" t="s">
        <v>71</v>
      </c>
      <c r="C14" s="14" t="s">
        <v>72</v>
      </c>
      <c r="D14" s="263">
        <v>7.4999999999999997E-3</v>
      </c>
      <c r="E14" s="264">
        <v>12</v>
      </c>
    </row>
    <row r="15" spans="2:5" ht="12.6" customHeight="1" x14ac:dyDescent="0.2">
      <c r="B15" s="18"/>
      <c r="C15" s="14" t="s">
        <v>73</v>
      </c>
      <c r="D15" s="263">
        <v>3.2500000000000001E-2</v>
      </c>
      <c r="E15" s="265"/>
    </row>
    <row r="16" spans="2:5" ht="12.6" customHeight="1" x14ac:dyDescent="0.2">
      <c r="B16" s="18"/>
      <c r="C16" s="14" t="s">
        <v>68</v>
      </c>
      <c r="D16" s="263">
        <v>1</v>
      </c>
      <c r="E16" s="265"/>
    </row>
    <row r="17" spans="2:5" ht="13.15" customHeight="1" thickBot="1" x14ac:dyDescent="0.25">
      <c r="B17" s="15"/>
      <c r="C17" s="16" t="s">
        <v>69</v>
      </c>
      <c r="D17" s="263">
        <v>1</v>
      </c>
      <c r="E17" s="266"/>
    </row>
    <row r="18" spans="2:5" ht="12.6" customHeight="1" x14ac:dyDescent="0.2">
      <c r="B18" s="17" t="s">
        <v>74</v>
      </c>
      <c r="C18" s="14" t="s">
        <v>75</v>
      </c>
      <c r="D18" s="263">
        <v>0.01</v>
      </c>
      <c r="E18" s="264">
        <v>16</v>
      </c>
    </row>
    <row r="19" spans="2:5" ht="12.6" customHeight="1" x14ac:dyDescent="0.2">
      <c r="B19" s="18"/>
      <c r="C19" s="14" t="s">
        <v>76</v>
      </c>
      <c r="D19" s="263">
        <v>3.5000000000000003E-2</v>
      </c>
      <c r="E19" s="265"/>
    </row>
    <row r="20" spans="2:5" ht="12.6" customHeight="1" x14ac:dyDescent="0.2">
      <c r="B20" s="18"/>
      <c r="C20" s="14" t="s">
        <v>68</v>
      </c>
      <c r="D20" s="263">
        <v>1</v>
      </c>
      <c r="E20" s="265"/>
    </row>
    <row r="21" spans="2:5" ht="13.15" customHeight="1" thickBot="1" x14ac:dyDescent="0.25">
      <c r="B21" s="15"/>
      <c r="C21" s="16" t="s">
        <v>69</v>
      </c>
      <c r="D21" s="263">
        <v>1</v>
      </c>
      <c r="E21" s="266"/>
    </row>
    <row r="22" spans="2:5" ht="12.6" customHeight="1" x14ac:dyDescent="0.2">
      <c r="B22" s="279" t="s">
        <v>77</v>
      </c>
      <c r="C22" s="280" t="s">
        <v>78</v>
      </c>
      <c r="D22" s="263">
        <v>1</v>
      </c>
      <c r="E22" s="267">
        <v>20</v>
      </c>
      <c r="F22" s="280"/>
    </row>
    <row r="23" spans="2:5" ht="12.6" customHeight="1" x14ac:dyDescent="0.2">
      <c r="B23" s="281"/>
      <c r="C23" s="282" t="s">
        <v>79</v>
      </c>
      <c r="D23" s="263">
        <v>1.4999999999999999E-2</v>
      </c>
      <c r="E23" s="268"/>
      <c r="F23" s="282"/>
    </row>
    <row r="24" spans="2:5" ht="12.6" customHeight="1" x14ac:dyDescent="0.2">
      <c r="B24" s="281"/>
      <c r="C24" s="282" t="s">
        <v>80</v>
      </c>
      <c r="D24" s="263">
        <v>5.0000000000000001E-3</v>
      </c>
      <c r="E24" s="268"/>
      <c r="F24" s="282"/>
    </row>
    <row r="25" spans="2:5" ht="13.15" customHeight="1" thickBot="1" x14ac:dyDescent="0.25">
      <c r="B25" s="283"/>
      <c r="C25" s="284" t="s">
        <v>69</v>
      </c>
      <c r="D25" s="263">
        <v>1</v>
      </c>
      <c r="E25" s="269"/>
      <c r="F25" s="284"/>
    </row>
    <row r="26" spans="2:5" ht="12.6" customHeight="1" x14ac:dyDescent="0.2">
      <c r="B26" s="17" t="s">
        <v>81</v>
      </c>
      <c r="C26" s="14" t="s">
        <v>68</v>
      </c>
      <c r="D26" s="263">
        <v>1</v>
      </c>
      <c r="E26" s="264">
        <v>24</v>
      </c>
    </row>
    <row r="27" spans="2:5" ht="13.15" customHeight="1" thickBot="1" x14ac:dyDescent="0.25">
      <c r="B27" s="15"/>
      <c r="C27" s="16" t="s">
        <v>69</v>
      </c>
      <c r="D27" s="263">
        <v>1</v>
      </c>
      <c r="E27" s="266"/>
    </row>
    <row r="28" spans="2:5" ht="12.6" customHeight="1" x14ac:dyDescent="0.2">
      <c r="B28" s="17" t="s">
        <v>82</v>
      </c>
      <c r="C28" s="14" t="s">
        <v>83</v>
      </c>
      <c r="D28" s="263">
        <v>1.2500000000000001E-2</v>
      </c>
      <c r="E28" s="264">
        <v>28</v>
      </c>
    </row>
    <row r="29" spans="2:5" ht="12.6" customHeight="1" x14ac:dyDescent="0.2">
      <c r="B29" s="18"/>
      <c r="C29" s="14" t="s">
        <v>84</v>
      </c>
      <c r="D29" s="263">
        <v>0.04</v>
      </c>
      <c r="E29" s="265"/>
    </row>
    <row r="30" spans="2:5" ht="12.6" customHeight="1" x14ac:dyDescent="0.2">
      <c r="B30" s="18"/>
      <c r="C30" s="14" t="s">
        <v>68</v>
      </c>
      <c r="D30" s="263">
        <v>1</v>
      </c>
      <c r="E30" s="265"/>
    </row>
    <row r="31" spans="2:5" ht="13.15" customHeight="1" thickBot="1" x14ac:dyDescent="0.25">
      <c r="B31" s="15"/>
      <c r="C31" s="16" t="s">
        <v>69</v>
      </c>
      <c r="D31" s="263">
        <v>1</v>
      </c>
      <c r="E31" s="266"/>
    </row>
    <row r="32" spans="2:5" ht="13.5" thickBot="1" x14ac:dyDescent="0.25">
      <c r="B32" s="277" t="s">
        <v>85</v>
      </c>
      <c r="C32" s="285" t="str">
        <f>"Salvage value: "&amp;TEXT(D32*F32,"0.#")&amp;" of 16 years left on the mill and overlay"&amp;" placed in year "&amp;E22&amp;" ("&amp;TEXT(D32,"0.0%")&amp;" of its cost) at the "&amp;'General Information'!$D$33&amp;"-year analysis period"</f>
      </c>
      <c r="D32" s="40">
        <f>IF(E22&gt;'General Information'!$D$33,0,MAX(0,MIN(1,(E22+F32-'General Information'!$D$33)/F32)))</f>
      </c>
      <c r="E32" s="270">
        <f>'General Information'!$D$33</f>
      </c>
      <c r="F32" s="285">
        <v>16</v>
      </c>
    </row>
    <row r="33" spans="2:5" ht="13.5" thickTop="1" x14ac:dyDescent="0.2"/>
    <row r="35" spans="2:5" ht="13.5" thickBot="1" x14ac:dyDescent="0.25">
      <c r="B35" s="260" t="s">
        <v>495</v>
      </c>
    </row>
    <row r="36" spans="2:5" thickTop="1" thickBot="1" x14ac:dyDescent="0.25" ht="20" customHeight="1">
      <c r="B36" s="217" t="s">
        <v>105</v>
      </c>
      <c r="C36" s="217" t="s">
        <v>95</v>
      </c>
      <c r="D36" s="258" t="s">
        <v>106</v>
      </c>
      <c r="E36" s="258" t="s">
        <v>259</v>
      </c>
      <c r="F36" s="258" t="inlineStr">
        <is>
          <t>Asset life (yrs)</t>
        </is>
      </c>
    </row>
    <row r="37" spans="2:5" ht="13.15" customHeight="1" thickTop="1" x14ac:dyDescent="0.2">
      <c r="B37" s="22" t="s">
        <v>67</v>
      </c>
      <c r="C37" s="23" t="s">
        <v>97</v>
      </c>
      <c r="D37" s="263">
        <v>1</v>
      </c>
      <c r="E37" s="264">
        <v>19</v>
      </c>
    </row>
    <row r="38" spans="2:5" ht="12.6" customHeight="1" x14ac:dyDescent="0.2">
      <c r="B38" s="24"/>
      <c r="C38" s="23" t="s">
        <v>98</v>
      </c>
      <c r="D38" s="263">
        <v>2.5000000000000001E-3</v>
      </c>
      <c r="E38" s="265"/>
    </row>
    <row r="39" spans="2:5" ht="12.6" customHeight="1" x14ac:dyDescent="0.2">
      <c r="B39" s="24"/>
      <c r="C39" s="23" t="s">
        <v>99</v>
      </c>
      <c r="D39" s="263">
        <v>1.2999999999999999E-3</v>
      </c>
      <c r="E39" s="265"/>
    </row>
    <row r="40" spans="2:5" ht="13.15" customHeight="1" thickBot="1" x14ac:dyDescent="0.25">
      <c r="B40" s="25"/>
      <c r="C40" s="26" t="s">
        <v>100</v>
      </c>
      <c r="D40" s="263">
        <v>3.0000000000000001E-3</v>
      </c>
      <c r="E40" s="266"/>
    </row>
    <row r="41" spans="2:5" ht="12.6" customHeight="1" x14ac:dyDescent="0.2">
      <c r="B41" s="279" t="s">
        <v>77</v>
      </c>
      <c r="C41" s="280" t="s">
        <v>101</v>
      </c>
      <c r="D41" s="263">
        <v>0.02</v>
      </c>
      <c r="E41" s="267">
        <v>27</v>
      </c>
      <c r="F41" s="280"/>
    </row>
    <row r="42" spans="2:5" ht="12.6" customHeight="1" x14ac:dyDescent="0.2">
      <c r="B42" s="281"/>
      <c r="C42" s="282" t="s">
        <v>100</v>
      </c>
      <c r="D42" s="263">
        <v>3.0000000000000001E-3</v>
      </c>
      <c r="E42" s="268"/>
      <c r="F42" s="282"/>
    </row>
    <row r="43" spans="2:5" ht="12.6" customHeight="1" x14ac:dyDescent="0.2">
      <c r="B43" s="281"/>
      <c r="C43" s="282" t="s">
        <v>99</v>
      </c>
      <c r="D43" s="263">
        <v>1.2999999999999999E-3</v>
      </c>
      <c r="E43" s="268"/>
      <c r="F43" s="282"/>
    </row>
    <row r="44" spans="2:5" ht="12.6" customHeight="1" x14ac:dyDescent="0.2">
      <c r="B44" s="281"/>
      <c r="C44" s="282" t="s">
        <v>102</v>
      </c>
      <c r="D44" s="263">
        <v>3.0000000000000001E-3</v>
      </c>
      <c r="E44" s="268"/>
      <c r="F44" s="282"/>
    </row>
    <row r="45" spans="2:5" ht="13.15" customHeight="1" thickBot="1" x14ac:dyDescent="0.25">
      <c r="B45" s="283"/>
      <c r="C45" s="284" t="s">
        <v>103</v>
      </c>
      <c r="D45" s="263">
        <v>1</v>
      </c>
      <c r="E45" s="269"/>
      <c r="F45" s="284"/>
    </row>
    <row r="46" spans="2:5" ht="13.5" thickBot="1" x14ac:dyDescent="0.25">
      <c r="B46" s="277" t="s">
        <v>85</v>
      </c>
      <c r="C46" s="285" t="str">
        <f>"Salvage value: "&amp;TEXT(D46*F46,"0.#")&amp;" of 40 years left on the initial construction"&amp;" ("&amp;TEXT(D46,"0.0%")&amp;" of its cost) at the "&amp;'General Information'!$D$33&amp;"-year analysis period"</f>
      </c>
      <c r="D46" s="40">
        <f>MAX(0,MIN(1,(0+F46-'General Information'!$D$33)/F46))</f>
      </c>
      <c r="E46" s="270">
        <f>'General Information'!$D$33</f>
      </c>
      <c r="F46" s="285">
        <v>40</v>
      </c>
    </row>
    <row r="47" spans="2:5" ht="13.5" thickTop="1" x14ac:dyDescent="0.2"/>
    <row r="49" spans="2:5" ht="13.5" thickBot="1" x14ac:dyDescent="0.25">
      <c r="B49" s="260" t="s">
        <v>496</v>
      </c>
    </row>
    <row r="50" spans="2:5" thickTop="1" thickBot="1" x14ac:dyDescent="0.25" ht="20" customHeight="1">
      <c r="B50" s="217" t="s">
        <v>96</v>
      </c>
      <c r="C50" s="217" t="s">
        <v>95</v>
      </c>
      <c r="D50" s="258" t="s">
        <v>106</v>
      </c>
      <c r="E50" s="258" t="s">
        <v>259</v>
      </c>
      <c r="F50" s="258" t="inlineStr">
        <is>
          <t>Asset life (yrs)</t>
        </is>
      </c>
    </row>
    <row r="51" spans="2:5" ht="13.5" thickTop="1" x14ac:dyDescent="0.2">
      <c r="B51" s="17" t="s">
        <v>67</v>
      </c>
      <c r="C51" s="14" t="s">
        <v>68</v>
      </c>
      <c r="D51" s="263">
        <v>1</v>
      </c>
      <c r="E51" s="264">
        <v>4</v>
      </c>
    </row>
    <row r="52" spans="2:5" ht="13.5" thickBot="1" x14ac:dyDescent="0.25">
      <c r="B52" s="15"/>
      <c r="C52" s="16" t="s">
        <v>69</v>
      </c>
      <c r="D52" s="263">
        <v>1</v>
      </c>
      <c r="E52" s="266"/>
    </row>
    <row r="53" spans="2:5" x14ac:dyDescent="0.2">
      <c r="B53" s="17" t="s">
        <v>70</v>
      </c>
      <c r="C53" s="14" t="s">
        <v>83</v>
      </c>
      <c r="D53" s="263">
        <v>1.2500000000000001E-2</v>
      </c>
      <c r="E53" s="264">
        <v>8</v>
      </c>
    </row>
    <row r="54" spans="2:5" x14ac:dyDescent="0.2">
      <c r="B54" s="18"/>
      <c r="C54" s="14" t="s">
        <v>84</v>
      </c>
      <c r="D54" s="263">
        <v>0.04</v>
      </c>
      <c r="E54" s="265"/>
    </row>
    <row r="55" spans="2:5" x14ac:dyDescent="0.2">
      <c r="B55" s="18"/>
      <c r="C55" s="14" t="s">
        <v>68</v>
      </c>
      <c r="D55" s="263">
        <v>1</v>
      </c>
      <c r="E55" s="265"/>
    </row>
    <row r="56" spans="2:5" ht="13.5" thickBot="1" x14ac:dyDescent="0.25">
      <c r="B56" s="15"/>
      <c r="C56" s="16" t="s">
        <v>69</v>
      </c>
      <c r="D56" s="263">
        <v>1</v>
      </c>
      <c r="E56" s="266"/>
    </row>
    <row r="57" spans="2:5" x14ac:dyDescent="0.2">
      <c r="B57" s="17" t="s">
        <v>71</v>
      </c>
      <c r="C57" s="14" t="s">
        <v>107</v>
      </c>
      <c r="D57" s="263">
        <v>1</v>
      </c>
      <c r="E57" s="264">
        <v>12</v>
      </c>
    </row>
    <row r="58" spans="2:5" ht="13.5" thickBot="1" x14ac:dyDescent="0.25">
      <c r="B58" s="15"/>
      <c r="C58" s="16" t="s">
        <v>108</v>
      </c>
      <c r="D58" s="263">
        <v>1</v>
      </c>
      <c r="E58" s="266"/>
    </row>
    <row r="59" spans="2:5" ht="25.5" x14ac:dyDescent="0.2">
      <c r="B59" s="279" t="s">
        <v>491</v>
      </c>
      <c r="C59" s="280" t="s">
        <v>78</v>
      </c>
      <c r="D59" s="263">
        <v>1</v>
      </c>
      <c r="E59" s="267">
        <v>16</v>
      </c>
      <c r="F59" s="280"/>
    </row>
    <row r="60" spans="2:5" x14ac:dyDescent="0.2">
      <c r="B60" s="281"/>
      <c r="C60" s="282" t="s">
        <v>492</v>
      </c>
      <c r="D60" s="263">
        <v>1.4999999999999999E-2</v>
      </c>
      <c r="E60" s="268"/>
      <c r="F60" s="282"/>
    </row>
    <row r="61" spans="2:5" x14ac:dyDescent="0.2">
      <c r="B61" s="281"/>
      <c r="C61" s="282" t="s">
        <v>493</v>
      </c>
      <c r="D61" s="263">
        <v>5.0000000000000001E-3</v>
      </c>
      <c r="E61" s="268"/>
      <c r="F61" s="282"/>
    </row>
    <row r="62" spans="2:5" ht="13.5" thickBot="1" x14ac:dyDescent="0.25">
      <c r="B62" s="283"/>
      <c r="C62" s="284" t="s">
        <v>69</v>
      </c>
      <c r="D62" s="263">
        <v>1</v>
      </c>
      <c r="E62" s="269"/>
      <c r="F62" s="284"/>
    </row>
    <row r="63" spans="2:5" x14ac:dyDescent="0.2">
      <c r="B63" s="17" t="s">
        <v>74</v>
      </c>
      <c r="C63" s="14" t="s">
        <v>68</v>
      </c>
      <c r="D63" s="263">
        <v>1</v>
      </c>
      <c r="E63" s="264">
        <v>20</v>
      </c>
    </row>
    <row r="64" spans="2:5" ht="13.5" thickBot="1" x14ac:dyDescent="0.25">
      <c r="B64" s="15"/>
      <c r="C64" s="16" t="s">
        <v>69</v>
      </c>
      <c r="D64" s="263">
        <v>1</v>
      </c>
      <c r="E64" s="266"/>
    </row>
    <row r="65" spans="2:5" x14ac:dyDescent="0.2">
      <c r="B65" s="17" t="s">
        <v>81</v>
      </c>
      <c r="C65" s="14" t="s">
        <v>83</v>
      </c>
      <c r="D65" s="263">
        <v>1.2500000000000001E-2</v>
      </c>
      <c r="E65" s="264">
        <v>24</v>
      </c>
    </row>
    <row r="66" spans="2:5" x14ac:dyDescent="0.2">
      <c r="B66" s="18"/>
      <c r="C66" s="14" t="s">
        <v>84</v>
      </c>
      <c r="D66" s="263">
        <v>0.04</v>
      </c>
      <c r="E66" s="265"/>
    </row>
    <row r="67" spans="2:5" x14ac:dyDescent="0.2">
      <c r="B67" s="18"/>
      <c r="C67" s="14" t="s">
        <v>68</v>
      </c>
      <c r="D67" s="263">
        <v>1</v>
      </c>
      <c r="E67" s="265"/>
    </row>
    <row r="68" spans="2:5" ht="13.5" thickBot="1" x14ac:dyDescent="0.25">
      <c r="B68" s="15"/>
      <c r="C68" s="16" t="s">
        <v>69</v>
      </c>
      <c r="D68" s="263">
        <v>1</v>
      </c>
      <c r="E68" s="266"/>
    </row>
    <row r="69" spans="2:5" x14ac:dyDescent="0.2">
      <c r="B69" s="17" t="s">
        <v>82</v>
      </c>
      <c r="C69" s="14" t="s">
        <v>68</v>
      </c>
      <c r="D69" s="263">
        <v>1</v>
      </c>
      <c r="E69" s="264">
        <v>28</v>
      </c>
    </row>
    <row r="70" spans="2:5" ht="13.5" thickBot="1" x14ac:dyDescent="0.25">
      <c r="B70" s="15"/>
      <c r="C70" s="16" t="s">
        <v>69</v>
      </c>
      <c r="D70" s="263">
        <v>1</v>
      </c>
      <c r="E70" s="266"/>
    </row>
    <row r="71" spans="2:5" ht="13.5" thickBot="1" x14ac:dyDescent="0.25">
      <c r="B71" s="278" t="s">
        <v>85</v>
      </c>
      <c r="C71" s="286" t="s">
        <v>498</v>
      </c>
      <c r="D71" s="40">
        <v>0</v>
      </c>
      <c r="E71" s="273">
        <f>'General Information'!$D$33</f>
      </c>
      <c r="F71" s="286"/>
    </row>
    <row r="72" spans="2:5" ht="13.5" thickTop="1" x14ac:dyDescent="0.2"/>
    <row r="74" spans="2:5" ht="13.5" thickBot="1" x14ac:dyDescent="0.25">
      <c r="B74" s="260" t="s">
        <v>497</v>
      </c>
    </row>
    <row r="75" spans="2:5" thickTop="1" thickBot="1" x14ac:dyDescent="0.25" ht="20" customHeight="1">
      <c r="B75" s="217" t="s">
        <v>105</v>
      </c>
      <c r="C75" s="217" t="s">
        <v>95</v>
      </c>
      <c r="D75" s="258" t="s">
        <v>106</v>
      </c>
      <c r="E75" s="258" t="s">
        <v>259</v>
      </c>
      <c r="F75" s="258" t="inlineStr">
        <is>
          <t>Asset life (yrs)</t>
        </is>
      </c>
    </row>
    <row r="76" spans="2:5" ht="13.5" thickTop="1" x14ac:dyDescent="0.2">
      <c r="B76" s="22" t="s">
        <v>67</v>
      </c>
      <c r="C76" s="23" t="s">
        <v>97</v>
      </c>
      <c r="D76" s="263">
        <v>1</v>
      </c>
      <c r="E76" s="264">
        <v>15</v>
      </c>
    </row>
    <row r="77" spans="2:5" x14ac:dyDescent="0.2">
      <c r="B77" s="24"/>
      <c r="C77" s="23" t="s">
        <v>501</v>
      </c>
      <c r="D77" s="263">
        <v>3.5000000000000001E-3</v>
      </c>
      <c r="E77" s="265"/>
    </row>
    <row r="78" spans="2:5" x14ac:dyDescent="0.2">
      <c r="B78" s="24"/>
      <c r="C78" s="23" t="s">
        <v>502</v>
      </c>
      <c r="D78" s="263">
        <v>2E-3</v>
      </c>
      <c r="E78" s="265"/>
    </row>
    <row r="79" spans="2:5" ht="13.5" thickBot="1" x14ac:dyDescent="0.25">
      <c r="B79" s="25"/>
      <c r="C79" s="26" t="s">
        <v>100</v>
      </c>
      <c r="D79" s="263">
        <v>3.0000000000000001E-3</v>
      </c>
      <c r="E79" s="266"/>
    </row>
    <row r="80" spans="2:5" x14ac:dyDescent="0.2">
      <c r="B80" s="279" t="s">
        <v>77</v>
      </c>
      <c r="C80" s="280" t="s">
        <v>500</v>
      </c>
      <c r="D80" s="263">
        <v>0.05</v>
      </c>
      <c r="E80" s="267">
        <v>25</v>
      </c>
      <c r="F80" s="280"/>
    </row>
    <row r="81" spans="2:5" x14ac:dyDescent="0.2">
      <c r="B81" s="281"/>
      <c r="C81" s="282" t="s">
        <v>100</v>
      </c>
      <c r="D81" s="263">
        <v>3.0000000000000001E-3</v>
      </c>
      <c r="E81" s="268"/>
      <c r="F81" s="282"/>
    </row>
    <row r="82" spans="2:5" x14ac:dyDescent="0.2">
      <c r="B82" s="281"/>
      <c r="C82" s="282" t="s">
        <v>503</v>
      </c>
      <c r="D82" s="263">
        <v>1.5E-3</v>
      </c>
      <c r="E82" s="268"/>
      <c r="F82" s="282"/>
    </row>
    <row r="83" spans="2:5" x14ac:dyDescent="0.2">
      <c r="B83" s="281"/>
      <c r="C83" s="282" t="s">
        <v>102</v>
      </c>
      <c r="D83" s="263">
        <v>3.0000000000000001E-3</v>
      </c>
      <c r="E83" s="268"/>
      <c r="F83" s="282"/>
    </row>
    <row r="84" spans="2:5" ht="13.5" thickBot="1" x14ac:dyDescent="0.25">
      <c r="B84" s="283"/>
      <c r="C84" s="284" t="s">
        <v>103</v>
      </c>
      <c r="D84" s="263">
        <v>1</v>
      </c>
      <c r="E84" s="269"/>
      <c r="F84" s="284"/>
    </row>
    <row r="85" spans="2:5" ht="13.5" thickBot="1" x14ac:dyDescent="0.25">
      <c r="B85" s="278" t="s">
        <v>85</v>
      </c>
      <c r="C85" s="286" t="s">
        <v>498</v>
      </c>
      <c r="D85" s="43">
        <v>0</v>
      </c>
      <c r="E85" s="273">
        <f>'General Information'!$D$33</f>
      </c>
      <c r="F85" s="286"/>
    </row>
    <row r="86" spans="2:5" ht="13.5" thickTop="1" x14ac:dyDescent="0.2"/>
  </sheetData>
  <mergeCells count="4">
    <mergeCell ref="B3:F3"/>
    <mergeCell ref="B4:F4"/>
    <mergeCell ref="B5:F5"/>
    <mergeCell ref="E6:F6"/>
  </mergeCells>
  <pageMargins left="0.7" right="0.7" top="0.75" bottom="0.75" header="0.3" footer="0.3"/>
  <pageSetup orientation="landscape" fitToWidth="1" fitToHeight="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pageSetUpPr fitToPage="1"/>
  </sheetPr>
  <dimension ref="A1:BL67"/>
  <sheetViews>
    <sheetView zoomScale="80" zoomScaleNormal="80" workbookViewId="0" showGridLines="0">
      <selection activeCell="A32" sqref="A32"/>
    </sheetView>
  </sheetViews>
  <sheetFormatPr defaultRowHeight="15" x14ac:dyDescent="0.25"/>
  <cols>
    <col min="1" max="1" width="12.28515625" customWidth="1"/>
    <col min="2" max="2" width="19.7109375" customWidth="1"/>
    <col min="3" max="3" width="53.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260" t="str">
        <f>$A$33</f>
        <v/>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ht="26" customHeight="1">
      <c r="A3" s="256" t="inlineStr">
        <is>
          <t xml:space="preserve">STEP 4 of 5   ·   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c r="E3" s="97"/>
      <c r="F3" s="98"/>
    </row>
    <row r="4" spans="1:64" x14ac:dyDescent="0.25">
      <c r="A4" s="287" t="s">
        <v>263</v>
      </c>
      <c r="B4" s="288"/>
      <c r="C4" s="289" t="s">
        <v>486</v>
      </c>
      <c r="D4" s="288"/>
      <c r="E4" s="97" t="s">
        <v>600</v>
      </c>
      <c r="F4" s="112">
        <f>ROUNDUP((C5/15000),0)+ROUNDUP((C8/20000),0)+ROUNDUP((C8/50000),0)</f>
        <v>0</v>
      </c>
    </row>
    <row r="5" spans="1:64" x14ac:dyDescent="0.25">
      <c r="A5" s="287" t="s">
        <v>346</v>
      </c>
      <c r="B5" s="288"/>
      <c r="C5" s="289">
        <f>'General Information'!D26</f>
        <v>0</v>
      </c>
      <c r="D5" s="288" t="s">
        <v>6</v>
      </c>
      <c r="E5" s="97" t="s">
        <v>601</v>
      </c>
      <c r="F5" s="112">
        <f>ROUNDUP((C5/15000),0)+ROUNDUP((C8/20000),0)+ROUNDUP((C8/50000),0)</f>
        <v>0</v>
      </c>
    </row>
    <row r="6" spans="1:64" x14ac:dyDescent="0.25">
      <c r="A6" s="287" t="s">
        <v>262</v>
      </c>
      <c r="B6" s="288"/>
      <c r="C6" s="289">
        <f>'General Information'!D25</f>
        <v>0</v>
      </c>
      <c r="D6" s="288"/>
      <c r="E6" s="97" t="s">
        <v>602</v>
      </c>
      <c r="F6" s="112">
        <f>ROUNDUP((C5/15000),0)+ROUNDUP((C8/20000),0)+ROUNDUP((C8/50000),0)+ROUNDUP((C5*'Maintenance Policies'!D15/10000),0)+ROUNDUP((C5*'Maintenance Policies'!D14/5000),0)</f>
        <v>0</v>
      </c>
      <c r="AP6" s="61" t="s">
        <v>355</v>
      </c>
      <c r="AQ6" s="61">
        <v>2</v>
      </c>
      <c r="AR6" s="61" t="s">
        <v>356</v>
      </c>
    </row>
    <row r="7" spans="1:64" x14ac:dyDescent="0.25">
      <c r="A7" s="287" t="s">
        <v>324</v>
      </c>
      <c r="B7" s="288"/>
      <c r="C7" s="289" t="s">
        <v>276</v>
      </c>
      <c r="D7" s="288"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s="287" t="s">
        <v>345</v>
      </c>
      <c r="B8" s="288"/>
      <c r="C8" s="289">
        <f>'General Information'!D28</f>
        <v>0</v>
      </c>
      <c r="D8" s="28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si="0"/>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0"/>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s="290" t="s">
        <v>348</v>
      </c>
      <c r="B24" s="290"/>
      <c r="G24" s="46">
        <f>SUM(G13:G22)</f>
        <v>0</v>
      </c>
    </row>
    <row r="25" spans="1:64" x14ac:dyDescent="0.25">
      <c r="A25" s="290"/>
      <c r="B25" s="290" t="s">
        <v>9</v>
      </c>
      <c r="G25" s="46">
        <f>('General Information'!$D$36/100)*G24</f>
        <v>0</v>
      </c>
    </row>
    <row r="26" spans="1:64" x14ac:dyDescent="0.25">
      <c r="A26" s="290"/>
      <c r="B26" s="290" t="s">
        <v>323</v>
      </c>
      <c r="G26" s="46">
        <f>('General Information'!$D$37/100)*G24</f>
        <v>0</v>
      </c>
    </row>
    <row r="27" spans="1:64" x14ac:dyDescent="0.25" ht="22" customHeight="1">
      <c r="A27" s="291" t="s">
        <v>349</v>
      </c>
      <c r="B27" s="291"/>
      <c r="C27" s="291"/>
      <c r="D27" s="291"/>
      <c r="E27" s="291"/>
      <c r="F27" s="291"/>
      <c r="G27" s="292">
        <f>SUM(G24:G26)</f>
        <v>0</v>
      </c>
    </row>
    <row r="32" spans="1:64" x14ac:dyDescent="0.25">
      <c r="A32" s="4" t="s">
        <v>328</v>
      </c>
    </row>
    <row r="33" spans="1:14" x14ac:dyDescent="0.25" ht="20" customHeight="1">
      <c r="A33" s="215" t="s">
        <v>508</v>
      </c>
      <c r="I33" t="s">
        <v>248</v>
      </c>
    </row>
    <row r="34" spans="1:14" ht="15.75" thickBot="1" x14ac:dyDescent="0.3"/>
    <row r="35" spans="1:14" thickTop="1" thickBot="1" x14ac:dyDescent="0.3" ht="20" customHeight="1">
      <c r="B35" s="217" t="s">
        <v>326</v>
      </c>
      <c r="C35" s="258" t="s">
        <v>259</v>
      </c>
      <c r="D35" s="258" t="s">
        <v>327</v>
      </c>
      <c r="E35" s="258"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299"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299"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299"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299"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293" t="s">
        <v>77</v>
      </c>
      <c r="C45" s="294">
        <f>'Maintenance Policies'!E22</f>
        <v>20</v>
      </c>
      <c r="D45" s="295">
        <f>AV22</f>
        <v>0</v>
      </c>
      <c r="E45" s="295">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299"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299"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299"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296" t="s">
        <v>85</v>
      </c>
      <c r="C51" s="297">
        <f>'General Information'!D33</f>
        <v>10</v>
      </c>
      <c r="D51" s="298">
        <f>-'Maintenance Policies'!D32*AV22</f>
        <v>0</v>
      </c>
      <c r="E51" s="298">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thickBot="1" x14ac:dyDescent="0.3" ht="26" customHeight="1">
      <c r="B52" s="300" t="s">
        <v>328</v>
      </c>
      <c r="C52" s="301"/>
      <c r="D52" s="301"/>
      <c r="E52" s="302"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3</xdr:col>
                <xdr:colOff>0</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3</xdr:col>
                <xdr:colOff>0</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pageSetUpPr fitToPage="1"/>
  </sheetPr>
  <dimension ref="A1:BL67"/>
  <sheetViews>
    <sheetView zoomScale="80" zoomScaleNormal="80" workbookViewId="0" showGridLines="0">
      <selection activeCell="BQ20" sqref="BQ20"/>
    </sheetView>
  </sheetViews>
  <sheetFormatPr defaultRowHeight="15" x14ac:dyDescent="0.25"/>
  <cols>
    <col min="1" max="1" width="12.28515625" customWidth="1"/>
    <col min="2" max="2" width="19.7109375" customWidth="1"/>
    <col min="3" max="3" width="53.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260" t="str">
        <f>$A$33</f>
        <v/>
      </c>
      <c r="I1" t="s">
        <v>248</v>
      </c>
    </row>
    <row r="2" spans="1:64" x14ac:dyDescent="0.25">
      <c r="A2" s="4" t="s">
        <v>504</v>
      </c>
      <c r="J2" s="62" t="s">
        <v>67</v>
      </c>
      <c r="R2" s="4" t="s">
        <v>70</v>
      </c>
      <c r="Z2" s="62" t="s">
        <v>71</v>
      </c>
      <c r="AH2" s="4" t="s">
        <v>74</v>
      </c>
      <c r="AP2" s="62" t="s">
        <v>77</v>
      </c>
      <c r="AX2" s="4" t="s">
        <v>81</v>
      </c>
      <c r="BF2" s="62" t="s">
        <v>82</v>
      </c>
    </row>
    <row r="3" ht="26" customHeight="1">
      <c r="A3" s="256" t="inlineStr">
        <is>
          <t xml:space="preserve">STEP 4 of 5   ·   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s="287" t="s">
        <v>263</v>
      </c>
      <c r="B4" s="288"/>
      <c r="C4" s="289" t="s">
        <v>486</v>
      </c>
      <c r="D4" s="288"/>
    </row>
    <row r="5" spans="1:64" x14ac:dyDescent="0.25">
      <c r="A5" s="287" t="s">
        <v>346</v>
      </c>
      <c r="B5" s="288"/>
      <c r="C5" s="289">
        <f>'General Information'!D26</f>
        <v>0</v>
      </c>
      <c r="D5" s="288" t="s">
        <v>6</v>
      </c>
    </row>
    <row r="6" spans="1:64" x14ac:dyDescent="0.25">
      <c r="A6" s="287" t="s">
        <v>262</v>
      </c>
      <c r="B6" s="288"/>
      <c r="C6" s="289">
        <f>'General Information'!D25</f>
        <v>0</v>
      </c>
      <c r="D6" s="288"/>
      <c r="AP6" s="61" t="s">
        <v>355</v>
      </c>
      <c r="AQ6" s="61">
        <v>2</v>
      </c>
      <c r="AR6" s="61" t="s">
        <v>356</v>
      </c>
    </row>
    <row r="7" spans="1:64" x14ac:dyDescent="0.25">
      <c r="A7" s="287" t="s">
        <v>324</v>
      </c>
      <c r="B7" s="288"/>
      <c r="C7" s="289" t="s">
        <v>276</v>
      </c>
      <c r="D7" s="288" t="s">
        <v>476</v>
      </c>
      <c r="AP7" s="61" t="s">
        <v>357</v>
      </c>
      <c r="AQ7" s="61">
        <v>120</v>
      </c>
      <c r="AR7" s="61" t="s">
        <v>358</v>
      </c>
    </row>
    <row r="8" spans="1:64" x14ac:dyDescent="0.25">
      <c r="A8" s="287" t="s">
        <v>345</v>
      </c>
      <c r="B8" s="288"/>
      <c r="C8" s="289">
        <f>'General Information'!D28</f>
        <v>0</v>
      </c>
      <c r="D8" s="288" t="s">
        <v>12</v>
      </c>
    </row>
    <row r="9" spans="1:64" x14ac:dyDescent="0.25">
      <c r="C9" s="45"/>
      <c r="AP9" s="61" t="s">
        <v>353</v>
      </c>
      <c r="AQ9" s="61">
        <v>0.1</v>
      </c>
      <c r="AR9" s="61"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ref="G20:G21" si="2">IF(C20="",0,F20*E20)</f>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2"/>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s="290" t="s">
        <v>348</v>
      </c>
      <c r="B24" s="290"/>
      <c r="G24" s="46">
        <f>SUM(G13:G22)</f>
        <v>0</v>
      </c>
    </row>
    <row r="25" spans="1:64" x14ac:dyDescent="0.25">
      <c r="A25" s="290"/>
      <c r="B25" s="290" t="s">
        <v>9</v>
      </c>
      <c r="G25" s="46">
        <f>('General Information'!$D$36/100)*G24</f>
        <v>0</v>
      </c>
    </row>
    <row r="26" spans="1:64" x14ac:dyDescent="0.25">
      <c r="A26" s="290"/>
      <c r="B26" s="290" t="s">
        <v>323</v>
      </c>
      <c r="G26" s="46">
        <f>('General Information'!$D$37/100)*G24</f>
        <v>0</v>
      </c>
    </row>
    <row r="27" spans="1:64" x14ac:dyDescent="0.25" ht="22" customHeight="1">
      <c r="A27" s="291" t="s">
        <v>349</v>
      </c>
      <c r="B27" s="291"/>
      <c r="C27" s="291"/>
      <c r="D27" s="291"/>
      <c r="E27" s="291"/>
      <c r="F27" s="291"/>
      <c r="G27" s="292">
        <f>SUM(G24:G26)</f>
        <v>0</v>
      </c>
    </row>
    <row r="32" spans="1:64" x14ac:dyDescent="0.25">
      <c r="A32" s="4" t="s">
        <v>328</v>
      </c>
    </row>
    <row r="33" spans="1:13" x14ac:dyDescent="0.25" ht="20" customHeight="1">
      <c r="A33" s="215" t="s">
        <v>508</v>
      </c>
      <c r="I33" t="s">
        <v>248</v>
      </c>
    </row>
    <row r="34" spans="1:13" ht="15.75" thickBot="1" x14ac:dyDescent="0.3"/>
    <row r="35" spans="1:13" thickTop="1" thickBot="1" x14ac:dyDescent="0.3" ht="20" customHeight="1">
      <c r="B35" s="217" t="s">
        <v>326</v>
      </c>
      <c r="C35" s="258" t="s">
        <v>259</v>
      </c>
      <c r="D35" s="258" t="s">
        <v>327</v>
      </c>
      <c r="E35" s="258"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293" t="s">
        <v>77</v>
      </c>
      <c r="C41" s="294">
        <f>'Maintenance Policies'!E22</f>
        <v>20</v>
      </c>
      <c r="D41" s="295">
        <f>AV22</f>
        <v>0</v>
      </c>
      <c r="E41" s="295">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296" t="s">
        <v>85</v>
      </c>
      <c r="C44" s="297">
        <f>'General Information'!D33</f>
        <v>10</v>
      </c>
      <c r="D44" s="298">
        <f>-'Maintenance Policies'!D32*AV22</f>
        <v>0</v>
      </c>
      <c r="E44" s="298">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thickBot="1" x14ac:dyDescent="0.3" ht="26" customHeight="1">
      <c r="B45" s="300" t="s">
        <v>328</v>
      </c>
      <c r="C45" s="301"/>
      <c r="D45" s="301"/>
      <c r="E45" s="302">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2">
    <dataValidation allowBlank="1" showInputMessage="1" showErrorMessage="1" promptTitle="Qty" prompt="Enter quantity" sqref="E13" xr:uid="{60E3F3D1-DCAA-49C2-B270-FF9B34BE2F49}"/>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3</xdr:col>
                <xdr:colOff>0</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3</xdr:col>
                <xdr:colOff>0</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3</xdr:col>
                <xdr:colOff>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3</xdr:col>
                <xdr:colOff>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3</xdr:col>
                <xdr:colOff>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3</xdr:col>
                <xdr:colOff>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3</xdr:col>
                <xdr:colOff>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3</xdr:col>
                <xdr:colOff>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3</xdr:col>
                <xdr:colOff>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3</xdr:col>
                <xdr:colOff>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pageSetUpPr fitToPage="1"/>
  </sheetPr>
  <dimension ref="A1:X68"/>
  <sheetViews>
    <sheetView zoomScale="80" zoomScaleNormal="80" workbookViewId="0" showGridLines="0">
      <selection activeCell="H44" sqref="H44"/>
    </sheetView>
  </sheetViews>
  <sheetFormatPr defaultRowHeight="15" x14ac:dyDescent="0.25"/>
  <cols>
    <col min="1" max="1" width="12.28515625" customWidth="1"/>
    <col min="2" max="2" width="19.7109375" customWidth="1"/>
    <col min="3" max="3" width="53.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ht="40" customHeight="1" spans="1:24" x14ac:dyDescent="0.25">
      <c r="A1" s="119" t="str">
        <f>HYPERLINK("#'General Information'!D9","◄ General Information")</f>
        <v>◄ General Information</v>
      </c>
      <c r="B1" s="119"/>
      <c r="C1" s="120" t="str">
        <f>HYPERLINK("#Summary!G1","Summary")</f>
        <v>Summary</v>
      </c>
      <c r="D1" s="260" t="str">
        <f>$A$34</f>
        <v/>
      </c>
      <c r="I1" t="s">
        <v>248</v>
      </c>
    </row>
    <row r="2" spans="1:24" x14ac:dyDescent="0.25">
      <c r="A2" s="4" t="s">
        <v>504</v>
      </c>
      <c r="J2" s="62" t="s">
        <v>67</v>
      </c>
      <c r="R2" s="4" t="s">
        <v>77</v>
      </c>
    </row>
    <row r="3" ht="26" customHeight="1">
      <c r="A3" s="256" t="inlineStr">
        <is>
          <t xml:space="preserve">STEP 4 of 5   ·   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row>
    <row r="4" spans="1:24" x14ac:dyDescent="0.25">
      <c r="A4" s="287" t="s">
        <v>263</v>
      </c>
      <c r="B4" s="288"/>
      <c r="C4" s="289" t="s">
        <v>487</v>
      </c>
      <c r="D4" s="288"/>
    </row>
    <row r="5" spans="1:24" x14ac:dyDescent="0.25">
      <c r="A5" s="287" t="s">
        <v>346</v>
      </c>
      <c r="B5" s="288"/>
      <c r="C5" s="289">
        <f>'General Information'!D26</f>
        <v>0</v>
      </c>
      <c r="D5" s="288" t="s">
        <v>6</v>
      </c>
    </row>
    <row r="6" spans="1:24" x14ac:dyDescent="0.25">
      <c r="A6" s="287" t="s">
        <v>262</v>
      </c>
      <c r="B6" s="288"/>
      <c r="C6" s="289">
        <f>'General Information'!D25</f>
        <v>0</v>
      </c>
      <c r="D6" s="288"/>
    </row>
    <row r="7" spans="1:24" x14ac:dyDescent="0.25">
      <c r="A7" s="287" t="s">
        <v>345</v>
      </c>
      <c r="B7" s="288"/>
      <c r="C7" s="289">
        <f>'General Information'!D28</f>
        <v>0</v>
      </c>
      <c r="D7" s="288"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61"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61"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ref="G20:G21" si="2">IF(C20="",0,F20*E20)</f>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2"/>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s="290" t="s">
        <v>348</v>
      </c>
      <c r="B24" s="290"/>
      <c r="G24" s="72">
        <f>SUM(G13:G22)</f>
        <v>0</v>
      </c>
    </row>
    <row r="25" spans="1:24" x14ac:dyDescent="0.25">
      <c r="A25" s="290"/>
      <c r="B25" s="290" t="s">
        <v>9</v>
      </c>
      <c r="G25" s="72">
        <f>('General Information'!$D$36/100)*G24</f>
        <v>0</v>
      </c>
    </row>
    <row r="26" spans="1:24" x14ac:dyDescent="0.25">
      <c r="A26" s="290"/>
      <c r="B26" s="290" t="s">
        <v>323</v>
      </c>
      <c r="G26" s="72">
        <f>('General Information'!$D$37/100)*G24</f>
        <v>0</v>
      </c>
    </row>
    <row r="27" spans="1:24" s="4" customFormat="1" x14ac:dyDescent="0.25" ht="22" customHeight="1">
      <c r="A27" s="291" t="s">
        <v>349</v>
      </c>
      <c r="B27" s="291"/>
      <c r="C27" s="291"/>
      <c r="D27" s="291"/>
      <c r="E27" s="291"/>
      <c r="F27" s="291"/>
      <c r="G27" s="292">
        <f>SUM(G24:G26)</f>
        <v>0</v>
      </c>
      <c r="J27" s="62"/>
      <c r="K27" s="62"/>
      <c r="L27" s="62"/>
      <c r="M27" s="62"/>
      <c r="N27" s="62"/>
      <c r="O27" s="62"/>
      <c r="P27" s="62"/>
    </row>
    <row r="33" spans="1:13" x14ac:dyDescent="0.25">
      <c r="A33" s="4" t="s">
        <v>328</v>
      </c>
    </row>
    <row r="34" spans="1:13" x14ac:dyDescent="0.25" ht="20" customHeight="1">
      <c r="A34" s="215" t="s">
        <v>506</v>
      </c>
      <c r="I34" t="s">
        <v>248</v>
      </c>
    </row>
    <row r="35" spans="1:13" ht="15.75" thickBot="1" x14ac:dyDescent="0.3"/>
    <row r="36" spans="1:13" thickTop="1" thickBot="1" x14ac:dyDescent="0.3" ht="20" customHeight="1">
      <c r="B36" s="217" t="s">
        <v>326</v>
      </c>
      <c r="C36" s="258" t="s">
        <v>259</v>
      </c>
      <c r="D36" s="258" t="s">
        <v>327</v>
      </c>
      <c r="E36" s="258"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293" t="s">
        <v>77</v>
      </c>
      <c r="C39" s="294">
        <f>'Maintenance Policies'!E41</f>
        <v>27</v>
      </c>
      <c r="D39" s="295">
        <f>X21</f>
        <v>0</v>
      </c>
      <c r="E39" s="295">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296" t="s">
        <v>85</v>
      </c>
      <c r="C40" s="297">
        <f>'General Information'!D33</f>
        <v>10</v>
      </c>
      <c r="D40" s="298">
        <f>-'Maintenance Policies'!D46*G27</f>
        <v>0</v>
      </c>
      <c r="E40" s="298">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thickBot="1" x14ac:dyDescent="0.3" ht="26" customHeight="1">
      <c r="B41" s="300" t="s">
        <v>328</v>
      </c>
      <c r="C41" s="301"/>
      <c r="D41" s="301"/>
      <c r="E41" s="302">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0</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3</xdr:col>
                <xdr:colOff>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3</xdr:col>
                <xdr:colOff>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3</xdr:col>
                <xdr:colOff>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3</xdr:col>
                <xdr:colOff>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3</xdr:col>
                <xdr:colOff>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3</xdr:col>
                <xdr:colOff>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3</xdr:col>
                <xdr:colOff>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3</xdr:col>
                <xdr:colOff>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pageSetUpPr fitToPage="1"/>
  </sheetPr>
  <dimension ref="A1:BL67"/>
  <sheetViews>
    <sheetView zoomScale="80" zoomScaleNormal="80" workbookViewId="0" showGridLines="0"/>
  </sheetViews>
  <sheetFormatPr defaultRowHeight="15" x14ac:dyDescent="0.25"/>
  <cols>
    <col min="1" max="1" width="12.28515625" customWidth="1"/>
    <col min="2" max="2" width="19.7109375" customWidth="1"/>
    <col min="3" max="3" width="53.7109375" customWidth="1"/>
    <col min="4" max="4" width="17.42578125" customWidth="1"/>
    <col min="5" max="5" width="12.7109375" customWidth="1"/>
    <col min="6" max="7" width="10.5703125" customWidth="1"/>
    <col min="9" max="9" width="13.28515625" hidden="1" customWidth="1"/>
    <col min="10" max="10" width="13.28515625" style="61" bestFit="1" customWidth="1" hidden="1"/>
    <col min="11" max="11" width="13.28515625" style="61" customWidth="1" hidden="1"/>
    <col min="12" max="12" width="41.5703125" style="61" customWidth="1" hidden="1"/>
    <col min="13" max="13" width="13.28515625" style="61" customWidth="1" hidden="1"/>
    <col min="14" max="14" width="13.28515625" hidden="1" customWidth="1"/>
    <col min="15" max="15" width="13.28515625" hidden="1" customWidth="1"/>
    <col min="16" max="16" width="13.28515625" style="61" bestFit="1" customWidth="1" hidden="1"/>
    <col min="17" max="17" width="3.5703125" customWidth="1" hidden="1"/>
    <col min="18" max="18" width="13.28515625" hidden="1" customWidth="1"/>
    <col min="19" max="19" width="13.28515625" customWidth="1" hidden="1"/>
    <col min="20" max="20" width="41.140625" customWidth="1" hidden="1"/>
    <col min="21" max="21" width="13.28515625" hidden="1" customWidth="1"/>
    <col min="22" max="22" width="13.28515625" hidden="1" customWidth="1"/>
    <col min="23" max="23" width="13.28515625" hidden="1" customWidth="1"/>
    <col min="24" max="24" width="13.28515625" customWidth="1" hidden="1"/>
    <col min="25" max="25" width="3.5703125" customWidth="1" hidden="1"/>
    <col min="26" max="26" width="13.28515625" style="61" bestFit="1" customWidth="1" hidden="1"/>
    <col min="27" max="27" width="13.28515625" style="61" customWidth="1" hidden="1"/>
    <col min="28" max="28" width="40.5703125" style="61" customWidth="1" hidden="1"/>
    <col min="29" max="29" width="13.28515625" style="61" customWidth="1" hidden="1"/>
    <col min="30" max="30" width="13.28515625" hidden="1" customWidth="1"/>
    <col min="31" max="31" width="13.28515625" hidden="1" customWidth="1"/>
    <col min="32" max="32" width="13.28515625" style="61" bestFit="1" customWidth="1" hidden="1"/>
    <col min="33" max="33" width="3.5703125" customWidth="1" hidden="1"/>
    <col min="34" max="34" width="13.28515625" bestFit="1" customWidth="1" hidden="1"/>
    <col min="35" max="35" width="13.28515625" customWidth="1" hidden="1"/>
    <col min="36" max="36" width="40.7109375" customWidth="1" hidden="1"/>
    <col min="37" max="37" width="13.28515625" customWidth="1" hidden="1"/>
    <col min="38" max="38" width="13.28515625" hidden="1" customWidth="1"/>
    <col min="39" max="39" width="13.28515625" hidden="1" customWidth="1"/>
    <col min="40" max="40" width="13.28515625" bestFit="1" customWidth="1" hidden="1"/>
    <col min="41" max="41" width="3.5703125" customWidth="1" hidden="1"/>
    <col min="42" max="42" width="13.28515625" style="61" bestFit="1" customWidth="1" hidden="1"/>
    <col min="43" max="43" width="13.28515625" style="61" customWidth="1" hidden="1"/>
    <col min="44" max="44" width="40.5703125" style="61" customWidth="1" hidden="1"/>
    <col min="45" max="45" width="13.28515625" style="61" customWidth="1" hidden="1"/>
    <col min="46" max="46" width="13.28515625" hidden="1" customWidth="1"/>
    <col min="47" max="47" width="13.28515625" hidden="1" customWidth="1"/>
    <col min="48" max="48" width="13.28515625" style="61" bestFit="1" customWidth="1" hidden="1"/>
    <col min="49" max="49" width="3.5703125" customWidth="1" hidden="1"/>
    <col min="50" max="50" width="13.28515625" bestFit="1" customWidth="1" hidden="1"/>
    <col min="51" max="51" width="13.28515625" customWidth="1" hidden="1"/>
    <col min="52" max="52" width="40.5703125" customWidth="1" hidden="1"/>
    <col min="53" max="53" width="13.28515625" customWidth="1" hidden="1"/>
    <col min="54" max="54" width="13.28515625" hidden="1" customWidth="1"/>
    <col min="55" max="55" width="13.28515625" hidden="1" customWidth="1"/>
    <col min="56" max="56" width="13.28515625" bestFit="1" customWidth="1" hidden="1"/>
    <col min="57" max="57" width="3.5703125" customWidth="1" hidden="1"/>
    <col min="58" max="58" width="13.28515625" style="61" bestFit="1" customWidth="1" hidden="1"/>
    <col min="59" max="59" width="13.28515625" style="61" customWidth="1" hidden="1"/>
    <col min="60" max="60" width="40.5703125" style="61" customWidth="1" hidden="1"/>
    <col min="61" max="61" width="13.28515625" style="61" customWidth="1" hidden="1"/>
    <col min="62" max="62" width="13.28515625" hidden="1" customWidth="1"/>
    <col min="63" max="63" width="13.28515625" hidden="1" customWidth="1"/>
    <col min="64" max="64" width="13.28515625" style="61" bestFit="1" customWidth="1" hidden="1"/>
    <col min="65" max="65" width="3.5703125" customWidth="1"/>
  </cols>
  <sheetData>
    <row r="1" ht="40" customHeight="1" spans="1:64" x14ac:dyDescent="0.25">
      <c r="A1" s="119" t="str">
        <f>HYPERLINK("#'General Information'!D9","◄ General Information")</f>
        <v>◄ General Information</v>
      </c>
      <c r="B1" s="119"/>
      <c r="C1" s="120" t="str">
        <f>HYPERLINK("#Summary!G1","Summary")</f>
        <v>Summary</v>
      </c>
      <c r="D1" s="260" t="str">
        <f>$A$33</f>
        <v/>
      </c>
      <c r="I1" t="s">
        <v>248</v>
      </c>
    </row>
    <row r="2" spans="1:64" x14ac:dyDescent="0.25">
      <c r="A2" s="4" t="s">
        <v>504</v>
      </c>
      <c r="J2" s="62" t="s">
        <v>67</v>
      </c>
      <c r="R2" s="4" t="s">
        <v>70</v>
      </c>
      <c r="Z2" s="62" t="s">
        <v>71</v>
      </c>
      <c r="AH2" s="4" t="s">
        <v>77</v>
      </c>
      <c r="AP2" s="62" t="s">
        <v>74</v>
      </c>
      <c r="AX2" s="4" t="s">
        <v>81</v>
      </c>
      <c r="BF2" s="62" t="s">
        <v>82</v>
      </c>
    </row>
    <row r="3" ht="26" customHeight="1">
      <c r="A3" s="256" t="inlineStr">
        <is>
          <t xml:space="preserve">STEP 4 of 5   ·   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s="287" t="s">
        <v>263</v>
      </c>
      <c r="B4" s="288"/>
      <c r="C4" s="289" t="s">
        <v>499</v>
      </c>
      <c r="D4" s="288"/>
    </row>
    <row r="5" spans="1:64" x14ac:dyDescent="0.25">
      <c r="A5" s="287" t="s">
        <v>346</v>
      </c>
      <c r="B5" s="288"/>
      <c r="C5" s="289">
        <f>'General Information'!D26</f>
        <v>0</v>
      </c>
      <c r="D5" s="288" t="s">
        <v>6</v>
      </c>
    </row>
    <row r="6" spans="1:64" x14ac:dyDescent="0.25">
      <c r="A6" s="287" t="s">
        <v>262</v>
      </c>
      <c r="B6" s="288"/>
      <c r="C6" s="289">
        <f>'General Information'!D25</f>
        <v>0</v>
      </c>
      <c r="D6" s="288"/>
      <c r="AH6" t="s">
        <v>355</v>
      </c>
      <c r="AI6">
        <v>2</v>
      </c>
      <c r="AJ6" t="s">
        <v>356</v>
      </c>
    </row>
    <row r="7" spans="1:64" x14ac:dyDescent="0.25">
      <c r="A7" s="287" t="s">
        <v>324</v>
      </c>
      <c r="B7" s="288"/>
      <c r="C7" s="289" t="s">
        <v>276</v>
      </c>
      <c r="D7" s="288" t="s">
        <v>476</v>
      </c>
      <c r="AH7" t="s">
        <v>357</v>
      </c>
      <c r="AI7">
        <v>120</v>
      </c>
      <c r="AJ7" t="s">
        <v>358</v>
      </c>
    </row>
    <row r="8" spans="1:64" x14ac:dyDescent="0.25">
      <c r="A8" s="287" t="s">
        <v>345</v>
      </c>
      <c r="B8" s="288"/>
      <c r="C8" s="289">
        <f>'General Information'!D28</f>
        <v>0</v>
      </c>
      <c r="D8" s="288" t="s">
        <v>12</v>
      </c>
    </row>
    <row r="9" spans="1:64" x14ac:dyDescent="0.25">
      <c r="C9" s="45"/>
      <c r="AH9" t="s">
        <v>353</v>
      </c>
      <c r="AI9">
        <v>7.0000000000000007E-2</v>
      </c>
      <c r="AJ9"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v>0</v>
      </c>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IF(L13="","N/A",IF(INDEX(UnitCostGrid,MATCH(L13,PayItemKeys,0),$I$11)="",INDEX(UnitCostGrid,MATCH(L13,PayItemKeys,0),1),INDEX(UnitCostGrid,MATCH(L13,PayItemKeys,0),$I$11)))</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IF(T13="","N/A",IF(INDEX(UnitCostGrid,MATCH(T13,PayItemKeys,0),$I$11)="",INDEX(UnitCostGrid,MATCH(T13,PayItemKeys,0),1),INDEX(UnitCostGrid,MATCH(T13,PayItemKeys,0),$I$11)))</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IF(AB13="","N/A",IF(INDEX(UnitCostGrid,MATCH(AB13,PayItemKeys,0),$I$11)="",INDEX(UnitCostGrid,MATCH(AB13,PayItemKeys,0),1),INDEX(UnitCostGrid,MATCH(AB13,PayItemKeys,0),$I$11)))</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IF(AJ13="","N/A",IF(INDEX(UnitCostGrid,MATCH(AJ13,PayItemKeys,0),$I$11)="",INDEX(UnitCostGrid,MATCH(AJ13,PayItemKeys,0),1),INDEX(UnitCostGrid,MATCH(AJ13,PayItemKeys,0),$I$11)))</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IF(AR13="","N/A",IF(INDEX(UnitCostGrid,MATCH(AR13,PayItemKeys,0),$I$11)="",INDEX(UnitCostGrid,MATCH(AR13,PayItemKeys,0),1),INDEX(UnitCostGrid,MATCH(AR13,PayItemKeys,0),$I$11)))</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IF(AZ13="","N/A",IF(INDEX(UnitCostGrid,MATCH(AZ13,PayItemKeys,0),$I$11)="",INDEX(UnitCostGrid,MATCH(AZ13,PayItemKeys,0),1),INDEX(UnitCostGrid,MATCH(AZ13,PayItemKeys,0),$I$11)))</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IF(BH13="","N/A",IF(INDEX(UnitCostGrid,MATCH(BH13,PayItemKeys,0),$I$11)="",INDEX(UnitCostGrid,MATCH(BH13,PayItemKeys,0),1),INDEX(UnitCostGrid,MATCH(BH13,PayItemKeys,0),$I$11)))</f>
        <v>4</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v>0</v>
      </c>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IF(T14="","N/A",IF(INDEX(UnitCostGrid,MATCH(T14,PayItemKeys,0),$I$11)="",INDEX(UnitCostGrid,MATCH(T14,PayItemKeys,0),1),INDEX(UnitCostGrid,MATCH(T14,PayItemKeys,0),$I$11)))</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IF(AB14="","N/A",IF(INDEX(UnitCostGrid,MATCH(AB14,PayItemKeys,0),$I$11)="",INDEX(UnitCostGrid,MATCH(AB14,PayItemKeys,0),1),INDEX(UnitCostGrid,MATCH(AB14,PayItemKeys,0),$I$11)))</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IF(AJ14="","N/A",IF(INDEX(UnitCostGrid,MATCH(AJ14,PayItemKeys,0),$I$11)="",INDEX(UnitCostGrid,MATCH(AJ14,PayItemKeys,0),1),INDEX(UnitCostGrid,MATCH(AJ14,PayItemKeys,0),$I$11)))</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IF(AR14="","N/A",IF(INDEX(UnitCostGrid,MATCH(AR14,PayItemKeys,0),$I$11)="",INDEX(UnitCostGrid,MATCH(AR14,PayItemKeys,0),1),INDEX(UnitCostGrid,MATCH(AR14,PayItemKeys,0),$I$11)))</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IF(AZ14="","N/A",IF(INDEX(UnitCostGrid,MATCH(AZ14,PayItemKeys,0),$I$11)="",INDEX(UnitCostGrid,MATCH(AZ14,PayItemKeys,0),1),INDEX(UnitCostGrid,MATCH(AZ14,PayItemKeys,0),$I$11)))</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IF(BH14="","N/A",IF(INDEX(UnitCostGrid,MATCH(BH14,PayItemKeys,0),$I$11)="",INDEX(UnitCostGrid,MATCH(BH14,PayItemKeys,0),1),INDEX(UnitCostGrid,MATCH(BH14,PayItemKeys,0),$I$11)))</f>
        <v>0.77777777777777779</v>
      </c>
      <c r="BL14" s="63">
        <f>BK14*BJ14</f>
        <v>0</v>
      </c>
    </row>
    <row r="15" spans="1:64" ht="19.5" customHeight="1" x14ac:dyDescent="0.25">
      <c r="A15">
        <v>3</v>
      </c>
      <c r="B15" s="71">
        <f>IF(C15="","",VLOOKUP(C15,CHOOSE({1,2},Table2[Pay Item Description],Table2[Pay Item No.]),2,0))</f>
      </c>
      <c r="C15" s="70" t="s">
        <v>481</v>
      </c>
      <c r="D15" s="3" t="str">
        <f>IF(C15="","N/A",VLOOKUP(C15,CHOOSE({1,2},Table2[Pay Item Description],Table2[Units]),2,0))</f>
        <v>N/A</v>
      </c>
      <c r="E15" s="76">
        <v>0</v>
      </c>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IF(L15="","N/A",IF(INDEX(UnitCostGrid,MATCH(L15,PayItemKeys,0),$I$11)="",INDEX(UnitCostGrid,MATCH(L15,PayItemKeys,0),1),INDEX(UnitCostGrid,MATCH(L15,PayItemKeys,0),$I$11)))</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IF(T15="","N/A",IF(INDEX(UnitCostGrid,MATCH(T15,PayItemKeys,0),$I$11)="",INDEX(UnitCostGrid,MATCH(T15,PayItemKeys,0),1),INDEX(UnitCostGrid,MATCH(T15,PayItemKeys,0),$I$11)))</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IF(AB15="","N/A",IF(INDEX(UnitCostGrid,MATCH(AB15,PayItemKeys,0),$I$11)="",INDEX(UnitCostGrid,MATCH(AB15,PayItemKeys,0),1),INDEX(UnitCostGrid,MATCH(AB15,PayItemKeys,0),$I$11)))</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IF(AJ15="","N/A",IF(INDEX(UnitCostGrid,MATCH(AJ15,PayItemKeys,0),$I$11)="",INDEX(UnitCostGrid,MATCH(AJ15,PayItemKeys,0),1),INDEX(UnitCostGrid,MATCH(AJ15,PayItemKeys,0),$I$11)))</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IF(AR15="","N/A",IF(INDEX(UnitCostGrid,MATCH(AR15,PayItemKeys,0),$I$11)="",INDEX(UnitCostGrid,MATCH(AR15,PayItemKeys,0),1),INDEX(UnitCostGrid,MATCH(AR15,PayItemKeys,0),$I$11)))</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IF(AZ15="","N/A",IF(INDEX(UnitCostGrid,MATCH(AZ15,PayItemKeys,0),$I$11)="",INDEX(UnitCostGrid,MATCH(AZ15,PayItemKeys,0),1),INDEX(UnitCostGrid,MATCH(AZ15,PayItemKeys,0),$I$11)))</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IF(BH15="","N/A",IF(INDEX(UnitCostGrid,MATCH(BH15,PayItemKeys,0),$I$11)="",INDEX(UnitCostGrid,MATCH(BH15,PayItemKeys,0),1),INDEX(UnitCostGrid,MATCH(BH15,PayItemKeys,0),$I$11)))</f>
        <v>0.66666666666666663</v>
      </c>
      <c r="BL15" s="63">
        <f>BK15*BJ15</f>
        <v>0</v>
      </c>
    </row>
    <row r="16" spans="1:64" ht="19.5" customHeight="1" x14ac:dyDescent="0.25">
      <c r="A16">
        <v>4</v>
      </c>
      <c r="B16" s="71">
        <f>IF(C16="","",VLOOKUP(C16,CHOOSE({1,2},Table2[Pay Item Description],Table2[Pay Item No.]),2,0))</f>
      </c>
      <c r="C16" s="70" t="s">
        <v>481</v>
      </c>
      <c r="D16" s="3" t="str">
        <f>IF(C16="","N/A",VLOOKUP(C16,CHOOSE({1,2},Table2[Pay Item Description],Table2[Units]),2,0))</f>
        <v>N/A</v>
      </c>
      <c r="E16" s="76">
        <v>0</v>
      </c>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IF(T16="","N/A",IF(INDEX(UnitCostGrid,MATCH(T16,PayItemKeys,0),$I$11)="",INDEX(UnitCostGrid,MATCH(T16,PayItemKeys,0),1),INDEX(UnitCostGrid,MATCH(T16,PayItemKeys,0),$I$11)))</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IF(AJ16="","N/A",IF(INDEX(UnitCostGrid,MATCH(AJ16,PayItemKeys,0),$I$11)="",INDEX(UnitCostGrid,MATCH(AJ16,PayItemKeys,0),1),INDEX(UnitCostGrid,MATCH(AJ16,PayItemKeys,0),$I$11)))</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IF(AZ16="","N/A",IF(INDEX(UnitCostGrid,MATCH(AZ16,PayItemKeys,0),$I$11)="",INDEX(UnitCostGrid,MATCH(AZ16,PayItemKeys,0),1),INDEX(UnitCostGrid,MATCH(AZ16,PayItemKeys,0),$I$11)))</f>
        <v>0.77777777777777779</v>
      </c>
      <c r="BD16" s="46">
        <f>BC16*BB16</f>
        <v>0</v>
      </c>
      <c r="BK16" s="61" t="s">
        <v>348</v>
      </c>
      <c r="BL16" s="63">
        <f>SUM(BL13:BL15)</f>
        <v>0</v>
      </c>
    </row>
    <row r="17" spans="1:64" ht="19.5" customHeight="1" x14ac:dyDescent="0.25">
      <c r="A17">
        <v>5</v>
      </c>
      <c r="B17" s="71">
        <f>IF(C17="","",VLOOKUP(C17,CHOOSE({1,2},Table2[Pay Item Description],Table2[Pay Item No.]),2,0))</f>
      </c>
      <c r="C17" s="70" t="s">
        <v>481</v>
      </c>
      <c r="D17" s="3" t="str">
        <f>IF(C17="","N/A",VLOOKUP(C17,CHOOSE({1,2},Table2[Pay Item Description],Table2[Units]),2,0))</f>
        <v>N/A</v>
      </c>
      <c r="E17" s="76">
        <v>0</v>
      </c>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IF(T17="","N/A",IF(INDEX(UnitCostGrid,MATCH(T17,PayItemKeys,0),$I$11)="",INDEX(UnitCostGrid,MATCH(T17,PayItemKeys,0),1),INDEX(UnitCostGrid,MATCH(T17,PayItemKeys,0),$I$11)))</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IF(AJ17="","N/A",IF(INDEX(UnitCostGrid,MATCH(AJ17,PayItemKeys,0),$I$11)="",INDEX(UnitCostGrid,MATCH(AJ17,PayItemKeys,0),1),INDEX(UnitCostGrid,MATCH(AJ17,PayItemKeys,0),$I$11)))</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IF(AZ17="","N/A",IF(INDEX(UnitCostGrid,MATCH(AZ17,PayItemKeys,0),$I$11)="",INDEX(UnitCostGrid,MATCH(AZ17,PayItemKeys,0),1),INDEX(UnitCostGrid,MATCH(AZ17,PayItemKeys,0),$I$11)))</f>
        <v>0.66666666666666663</v>
      </c>
      <c r="BD17" s="46">
        <f>BC17*BB17</f>
        <v>0</v>
      </c>
      <c r="BH17" s="61" t="s">
        <v>9</v>
      </c>
      <c r="BL17" s="63">
        <f>('General Information'!$D$36/100)*BL16</f>
        <v>0</v>
      </c>
    </row>
    <row r="18" spans="1:64" ht="19.5" customHeight="1" x14ac:dyDescent="0.25">
      <c r="A18">
        <v>6</v>
      </c>
      <c r="B18" s="71">
        <f>IF(C18="","",VLOOKUP(C18,CHOOSE({1,2},Table2[Pay Item Description],Table2[Pay Item No.]),2,0))</f>
      </c>
      <c r="C18" s="70" t="s">
        <v>481</v>
      </c>
      <c r="D18" s="3" t="str">
        <f>IF(C18="","N/A",VLOOKUP(C18,CHOOSE({1,2},Table2[Pay Item Description],Table2[Units]),2,0))</f>
        <v>N/A</v>
      </c>
      <c r="E18" s="76">
        <v>0</v>
      </c>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IF(AJ18="","N/A",IF(INDEX(UnitCostGrid,MATCH(AJ18,PayItemKeys,0),$I$11)="",INDEX(UnitCostGrid,MATCH(AJ18,PayItemKeys,0),1),INDEX(UnitCostGrid,MATCH(AJ18,PayItemKeys,0),$I$11)))</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IF(C19="","",VLOOKUP(C19,CHOOSE({1,2},Table2[Pay Item Description],Table2[Pay Item No.]),2,0))</f>
      </c>
      <c r="C19" s="70" t="s">
        <v>481</v>
      </c>
      <c r="D19" s="3" t="str">
        <f>IF(C19="","N/A",VLOOKUP(C19,CHOOSE({1,2},Table2[Pay Item Description],Table2[Units]),2,0))</f>
        <v>N/A</v>
      </c>
      <c r="E19" s="76">
        <v>0</v>
      </c>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IF(C20="","",VLOOKUP(C20,CHOOSE({1,2},Table2[Pay Item Description],Table2[Pay Item No.]),2,0))</f>
      </c>
      <c r="C20" s="70" t="s">
        <v>481</v>
      </c>
      <c r="D20" s="3" t="str">
        <f>IF(C20="","N/A",VLOOKUP(C20,CHOOSE({1,2},Table2[Pay Item Description],Table2[Units]),2,0))</f>
        <v>N/A</v>
      </c>
      <c r="E20" s="76">
        <v>0</v>
      </c>
      <c r="F20" s="75" t="str">
        <f>IF(C20="","N/A",IF(INDEX(UnitCostGrid,MATCH(C20,PayItemKeys,0),$I$11)="",INDEX(UnitCostGrid,MATCH(C20,PayItemKeys,0),1),INDEX(UnitCostGrid,MATCH(C20,PayItemKeys,0),$I$11)))</f>
        <v>N/A</v>
      </c>
      <c r="G20" s="72">
        <f t="shared" si="0"/>
        <v>0</v>
      </c>
      <c r="I20" s="196">
        <f>IF(C20="","",IF(INDEX(UnitCostGrid,MATCH(C20,PayItemKeys,0),$I$11)="",0,1))</f>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IF(C21="","",VLOOKUP(C21,CHOOSE({1,2},Table2[Pay Item Description],Table2[Pay Item No.]),2,0))</f>
      </c>
      <c r="C21" s="70" t="s">
        <v>481</v>
      </c>
      <c r="D21" s="3" t="str">
        <f>IF(C21="","N/A",VLOOKUP(C21,CHOOSE({1,2},Table2[Pay Item Description],Table2[Units]),2,0))</f>
        <v>N/A</v>
      </c>
      <c r="E21" s="76">
        <v>0</v>
      </c>
      <c r="F21" s="75" t="str">
        <f>IF(C21="","N/A",IF(INDEX(UnitCostGrid,MATCH(C21,PayItemKeys,0),$I$11)="",INDEX(UnitCostGrid,MATCH(C21,PayItemKeys,0),1),INDEX(UnitCostGrid,MATCH(C21,PayItemKeys,0),$I$11)))</f>
        <v>N/A</v>
      </c>
      <c r="G21" s="72">
        <f t="shared" si="0"/>
        <v>0</v>
      </c>
      <c r="I21" s="196">
        <f>IF(C21="","",IF(INDEX(UnitCostGrid,MATCH(C21,PayItemKeys,0),$I$11)="",0,1))</f>
      </c>
      <c r="W21" t="s">
        <v>349</v>
      </c>
      <c r="X21" s="46">
        <f>SUM(X18:X20)</f>
        <v>0</v>
      </c>
      <c r="AJ21" t="s">
        <v>323</v>
      </c>
      <c r="AN21" s="46">
        <f>('General Information'!$D$37/100)*AN19</f>
        <v>0</v>
      </c>
      <c r="BC21" t="s">
        <v>349</v>
      </c>
      <c r="BD21" s="46">
        <f>SUM(BD18:BD20)</f>
        <v>0</v>
      </c>
    </row>
    <row r="22" spans="1:64" ht="19.5" customHeight="1" x14ac:dyDescent="0.25">
      <c r="A22">
        <v>10</v>
      </c>
      <c r="B22" s="71">
        <f>IF(C22="","",VLOOKUP(C22,CHOOSE({1,2},Table2[Pay Item Description],Table2[Pay Item No.]),2,0))</f>
      </c>
      <c r="C22" s="70" t="s">
        <v>481</v>
      </c>
      <c r="D22" s="3" t="str">
        <f>IF(C22="","N/A",VLOOKUP(C22,CHOOSE({1,2},Table2[Pay Item Description],Table2[Units]),2,0))</f>
        <v>N/A</v>
      </c>
      <c r="E22" s="76">
        <v>0</v>
      </c>
      <c r="F22" s="75" t="str">
        <f>IF(C22="","N/A",IF(INDEX(UnitCostGrid,MATCH(C22,PayItemKeys,0),$I$11)="",INDEX(UnitCostGrid,MATCH(C22,PayItemKeys,0),1),INDEX(UnitCostGrid,MATCH(C22,PayItemKeys,0),$I$11)))</f>
        <v>N/A</v>
      </c>
      <c r="G22" s="72">
        <f t="shared" si="0"/>
        <v>0</v>
      </c>
      <c r="I22" s="196">
        <f>IF(C22="","",IF(INDEX(UnitCostGrid,MATCH(C22,PayItemKeys,0),$I$11)="",0,1))</f>
      </c>
      <c r="AM22" t="s">
        <v>349</v>
      </c>
      <c r="AN22" s="46">
        <f>SUM(AN19:AN21)</f>
        <v>0</v>
      </c>
    </row>
    <row r="23" spans="1:64" x14ac:dyDescent="0.25">
      <c r="G23" s="46"/>
    </row>
    <row r="24" spans="1:64" x14ac:dyDescent="0.25">
      <c r="A24" s="290" t="s">
        <v>348</v>
      </c>
      <c r="B24" s="290"/>
      <c r="G24" s="46">
        <f>SUM(G13:G22)</f>
        <v>0</v>
      </c>
    </row>
    <row r="25" spans="1:64" x14ac:dyDescent="0.25">
      <c r="A25" s="290"/>
      <c r="B25" s="290" t="s">
        <v>9</v>
      </c>
      <c r="G25" s="46">
        <f>('General Information'!$D$36/100)*G24</f>
        <v>0</v>
      </c>
    </row>
    <row r="26" spans="1:64" x14ac:dyDescent="0.25">
      <c r="A26" s="290"/>
      <c r="B26" s="290" t="s">
        <v>323</v>
      </c>
      <c r="G26" s="46">
        <f>('General Information'!$D$37/100)*G24</f>
        <v>0</v>
      </c>
    </row>
    <row r="27" spans="1:64" s="4" customFormat="1" x14ac:dyDescent="0.25" ht="22" customHeight="1">
      <c r="A27" s="291" t="s">
        <v>349</v>
      </c>
      <c r="B27" s="291"/>
      <c r="C27" s="291"/>
      <c r="D27" s="291"/>
      <c r="E27" s="291"/>
      <c r="F27" s="291"/>
      <c r="G27" s="292">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ht="20" customHeight="1">
      <c r="A33" s="215" t="s">
        <v>507</v>
      </c>
      <c r="I33" t="s">
        <v>248</v>
      </c>
    </row>
    <row r="34" spans="1:13" ht="15.75" thickBot="1" x14ac:dyDescent="0.3"/>
    <row r="35" spans="1:13" thickTop="1" thickBot="1" x14ac:dyDescent="0.3" ht="20" customHeight="1">
      <c r="B35" s="217" t="s">
        <v>326</v>
      </c>
      <c r="C35" s="258" t="s">
        <v>259</v>
      </c>
      <c r="D35" s="258" t="s">
        <v>327</v>
      </c>
      <c r="E35" s="258"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293" t="s">
        <v>77</v>
      </c>
      <c r="C40" s="294">
        <f>'Maintenance Policies'!E59</f>
        <v>16</v>
      </c>
      <c r="D40" s="295">
        <f>AN22</f>
        <v>0</v>
      </c>
      <c r="E40" s="295">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296" t="s">
        <v>85</v>
      </c>
      <c r="C44" s="297">
        <f>'General Information'!D33</f>
        <v>10</v>
      </c>
      <c r="D44" s="298">
        <f>-'Maintenance Policies'!D71*AN22</f>
        <v>0</v>
      </c>
      <c r="E44" s="298">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thickBot="1" x14ac:dyDescent="0.3" ht="26" customHeight="1">
      <c r="B45" s="300" t="s">
        <v>328</v>
      </c>
      <c r="C45" s="301"/>
      <c r="D45" s="301"/>
      <c r="E45" s="302">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0</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0</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0</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0</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0</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0</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0</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0</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0</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0</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workbookViewId="0" showGridLines="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321"/>
  <sheetViews>
    <sheetView workbookViewId="0" showGridLines="0">
      <pane ySplit="6" topLeftCell="A7"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17.79" customWidth="1" min="7" max="7"/>
    <col width="17.36" customWidth="1" min="8" max="8"/>
    <col width="14.22" customWidth="1" min="9" max="9"/>
    <col width="20.93" customWidth="1" min="10" max="10"/>
    <col width="17.51" customWidth="1" min="11" max="11"/>
    <col width="17.65" customWidth="1" min="12" max="12"/>
    <col width="17.51" customWidth="1" min="13" max="13"/>
    <col width="17.65" customWidth="1" min="14" max="14"/>
    <col width="18.51" customWidth="1" min="15" max="15"/>
    <col width="16.65" customWidth="1" min="16" max="16"/>
    <col width="17.08" customWidth="1" min="17" max="17"/>
    <col width="18.08"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40" customHeight="1">
      <c r="G1" s="119">
        <f>HYPERLINK("#'General Information'!D9","◄ General Information")</f>
        <v/>
      </c>
      <c r="H1" s="120">
        <f>HYPERLINK("#Instructions!B9","Instructions")</f>
        <v/>
      </c>
      <c r="I1" s="215" t="inlineStr">
        <is>
          <t xml:space="preserve">LCCA SUMMARY</t>
        </is>
      </c>
      <c r="K1" s="214" t="inlineStr">
        <is>
          <t xml:space="preserve">STEP 5 of 5</t>
        </is>
      </c>
      <c r="W1" s="122" t="inlineStr">
        <is>
          <t>CHART DATA (calculated automatically from the table on the left; do not edit)</t>
        </is>
      </c>
    </row>
    <row r="2" ht="15" customHeight="1">
      <c r="G2" s="122">
        <f>IF('General Information'!$D$9="","No airport selected yet: pick one on General Information.",'General Information'!$D$9&amp;" ("&amp;'General Information'!$D$10&amp;")  |  "&amp;'General Information'!$D$11&amp;", "&amp;'General Information'!$D$13&amp;" region"&amp;IF('General Information'!$D$22="",""," |  "&amp;'General Information'!$D$22)&amp;IF('General Information'!$D$23="",""," ("&amp;'General Information'!$D$23&amp;")")&amp;"  |  construction "&amp;TEXT('General Information'!$D$25,"0")&amp;"  |  "&amp;TEXT('General Information'!$D$33,"0")&amp;" years at "&amp;TEXT('General Information'!$D$34,"0.##")&amp;"%")</f>
        <v/>
      </c>
    </row>
    <row r="3" ht="11" customHeight="1">
      <c r="A3" s="124" t="inlineStr">
        <is>
          <t>Alternative</t>
        </is>
      </c>
      <c r="B3" s="124" t="inlineStr">
        <is>
          <t>Name</t>
        </is>
      </c>
      <c r="C3" s="124" t="inlineStr">
        <is>
          <t>Initial Construction</t>
        </is>
      </c>
      <c r="D3" s="124" t="inlineStr">
        <is>
          <t>Present Worth</t>
        </is>
      </c>
      <c r="E3" s="124" t="inlineStr">
        <is>
          <t>Alternative Description</t>
        </is>
      </c>
      <c r="G3" s="308" t="inlineStr">
        <is>
          <t>LOWEST PRESENT WORTH</t>
        </is>
      </c>
      <c r="I3" s="308" t="inlineStr">
        <is>
          <t>MARGIN TO NEXT</t>
        </is>
      </c>
      <c r="K3" s="308" t="inlineStr">
        <is>
          <t>EQUIVALENT ANNUAL COST</t>
        </is>
      </c>
      <c r="M3" s="308" t="inlineStr">
        <is>
          <t>INITIAL CONSTRUCTION</t>
        </is>
      </c>
      <c r="O3" s="308" t="inlineStr">
        <is>
          <t>UNIT COST</t>
        </is>
      </c>
      <c r="Q3" s="308" t="inlineStr">
        <is>
          <t>RATE SENSITIVITY</t>
        </is>
      </c>
      <c r="W3" s="122" t="inlineStr">
        <is>
          <t>Present worth by category</t>
        </is>
      </c>
    </row>
    <row r="4" ht="19" customHeight="1">
      <c r="G4" s="309">
        <f>IF(COUNT($O$41:$O$44)=0,"-",TEXT(MIN($O$41:$O$44),"$#,##0"))</f>
        <v/>
      </c>
      <c r="I4" s="309">
        <f>IF(COUNT($O$41:$O$44)&lt;2,"-",TEXT(IF(COUNT($O$41:$O$44)&lt;2,0,SMALL($O$41:$O$44,2)-MIN($O$41:$O$44)),"$#,##0"))</f>
        <v/>
      </c>
      <c r="K4" s="309">
        <f>IF(COUNT($O$41:$O$44)=0,"-",TEXT(MIN($O$41:$O$44)*(('General Information'!$D$34/100)*(1+'General Information'!$D$34/100)^'General Information'!$D$33/((1+'General Information'!$D$34/100)^'General Information'!$D$33-1)),"$#,##0"))</f>
        <v/>
      </c>
      <c r="M4" s="309">
        <f>IF(COUNT($O$41:$O$44)=0,"-",TEXT(INDEX($J$41:$J$44,MATCH(MIN($O$41:$O$44),$O$41:$O$44,0)),"$#,##0"))</f>
        <v/>
      </c>
      <c r="O4" s="309">
        <f>IF(OR(COUNT($O$41:$O$44)=0,'General Information'!$D$26=0,'General Information'!$D$26=""),"-",TEXT(INDEX($J$41:$J$44,MATCH(MIN($O$41:$O$44),$O$41:$O$44,0))/'General Information'!$D$26,"$#,##0")&amp;" / S.Y.")</f>
        <v/>
      </c>
      <c r="Q4" s="309">
        <f>IF(COUNT($O$41:$O$44)&lt;2,"-",IF(COUNTIF($AB$12:$AB$36,INDEX($H$41:$H$44,MATCH(MIN($O$41:$O$44),$O$41:$O$44,0)))=25,"holds 2-8%","the winner changes"))</f>
        <v/>
      </c>
      <c r="W4" s="124" t="inlineStr">
        <is>
          <t>Category</t>
        </is>
      </c>
      <c r="X4" s="124">
        <f>IF($H$41="","",$H$41)</f>
        <v/>
      </c>
      <c r="Y4" s="124">
        <f>IF($H$42="","",$H$42)</f>
        <v/>
      </c>
      <c r="Z4" s="124">
        <f>IF($H$43="","",$H$43)</f>
        <v/>
      </c>
      <c r="AA4" s="124">
        <f>IF($H$44="","",$H$44)</f>
        <v/>
      </c>
    </row>
    <row r="5" ht="15" customHeight="1">
      <c r="G5" s="310">
        <f>IF(COUNT($O$41:$O$44)=0,"No alternatives yet",INDEX($H$41:$H$44,MATCH(MIN($O$41:$O$44),$O$41:$O$44,0))&amp;IF(INDEX($P$60:$P$63,MATCH(MIN($O$41:$O$44),$O$41:$O$44,0))="",""," - "&amp;INDEX($P$60:$P$63,MATCH(MIN($O$41:$O$44),$O$41:$O$44,0))))</f>
        <v/>
      </c>
      <c r="I5" s="310">
        <f>IF(COUNT($O$41:$O$44)&lt;2,"only one alternative so far",TEXT(IF(COUNT($O$41:$O$44)&lt;2,0,SMALL($O$41:$O$44,2)-MIN($O$41:$O$44))/MIN($O$41:$O$44),"0.0%")&amp;IF(IF(COUNT($O$41:$O$44)&lt;2,0,SMALL($O$41:$O$44,2)-MIN($O$41:$O$44))/MIN($O$41:$O$44)&lt;0.05," - under 5%, treat the two as tied"," of the lowest present worth"))</f>
        <v/>
      </c>
      <c r="K5" s="310">
        <f>"per year, "&amp;'General Information'!$D$33&amp;" years at "&amp;'General Information'!$D$34&amp;"%"</f>
        <v/>
      </c>
      <c r="M5" s="310" t="inlineStr">
        <is>
          <t>for the lowest-present-worth alternative</t>
        </is>
      </c>
      <c r="O5" s="310" t="inlineStr">
        <is>
          <t>per S.Y. of mainline area</t>
        </is>
      </c>
      <c r="Q5" s="310">
        <f>IF(COUNT($O$41:$O$44)&lt;2,"needs two alternatives",IF(COUNTIF($AB$12:$AB$36,INDEX($H$41:$H$44,MATCH(MIN($O$41:$O$44),$O$41:$O$44,0)))=25,"the same alternative is lowest at all 25 rates tested, 2% to 8%","the lowest-cost alternative is not the same at every rate: see chart 2"))</f>
        <v/>
      </c>
      <c r="W5" s="134" t="inlineStr">
        <is>
          <t>Initial construction</t>
        </is>
      </c>
      <c r="X5" s="135">
        <f>IF(J41="",0,J41)</f>
        <v/>
      </c>
      <c r="Y5" s="135">
        <f>IF(J42="",0,J42)</f>
        <v/>
      </c>
      <c r="Z5" s="135">
        <f>IF(J43="",0,J43)</f>
        <v/>
      </c>
      <c r="AA5" s="135">
        <f>IF(J44="",0,J44)</f>
        <v/>
      </c>
    </row>
    <row r="6" ht="30" customHeight="1">
      <c r="G6" s="208">
        <f>IF(COUNT($O$41:$O$44)=0,"No alternatives yet. Add them from General Information and this line names the winner.","Lowest present worth:  "&amp;INDEX($H$41:$H$44,MATCH(MIN($O$41:$O$44),$O$41:$O$44,0))&amp;"     "&amp;TEXT(MIN($O$41:$O$44),"$#,##0")&amp;"     "&amp;IF(COUNT($O$41:$O$44)&lt;2,"only one alternative so far",TEXT(SMALL($O$41:$O$44,2)-MIN($O$41:$O$44),"$#,##0")&amp;" ahead of the next"))</f>
        <v/>
      </c>
      <c r="H6" s="208"/>
      <c r="I6" s="208"/>
      <c r="J6" s="208"/>
      <c r="K6" s="208"/>
      <c r="L6" s="208"/>
      <c r="M6" s="208"/>
      <c r="N6" s="208"/>
      <c r="O6" s="208"/>
      <c r="P6" s="208"/>
      <c r="Q6" s="208"/>
      <c r="R6" s="208"/>
      <c r="W6" s="134" t="inlineStr">
        <is>
          <t>Maintenance</t>
        </is>
      </c>
      <c r="X6" s="135">
        <f>IF(K41="",0,K41)</f>
        <v/>
      </c>
      <c r="Y6" s="135">
        <f>IF(K42="",0,K42)</f>
        <v/>
      </c>
      <c r="Z6" s="135">
        <f>IF(K43="",0,K43)</f>
        <v/>
      </c>
      <c r="AA6" s="135">
        <f>IF(K44="",0,K44)</f>
        <v/>
      </c>
    </row>
    <row r="7">
      <c r="P7" s="312" t="inlineStr">
        <is>
          <t xml:space="preserve">PROJECT LOCATION</t>
        </is>
      </c>
      <c r="Q7" s="312"/>
      <c r="R7" s="312"/>
      <c r="W7" s="134" t="inlineStr">
        <is>
          <t>Rehabilitation</t>
        </is>
      </c>
      <c r="X7" s="135">
        <f>IF(L41="",0,L41)</f>
        <v/>
      </c>
      <c r="Y7" s="135">
        <f>IF(L42="",0,L42)</f>
        <v/>
      </c>
      <c r="Z7" s="135">
        <f>IF(L43="",0,L43)</f>
        <v/>
      </c>
      <c r="AA7" s="135">
        <f>IF(L44="",0,L44)</f>
        <v/>
      </c>
    </row>
    <row r="8">
      <c r="W8" s="134" t="inlineStr">
        <is>
          <t>Lost revenue</t>
        </is>
      </c>
      <c r="X8" s="135">
        <f>IF(M41="",0,M41)</f>
        <v/>
      </c>
      <c r="Y8" s="135">
        <f>IF(M42="",0,M42)</f>
        <v/>
      </c>
      <c r="Z8" s="135">
        <f>IF(M43="",0,M43)</f>
        <v/>
      </c>
      <c r="AA8" s="135">
        <f>IF(M44="",0,M44)</f>
        <v/>
      </c>
    </row>
    <row r="9">
      <c r="W9" s="134" t="inlineStr">
        <is>
          <t>Salvage</t>
        </is>
      </c>
      <c r="X9" s="135">
        <f>IF(N41="",0,N41)</f>
        <v/>
      </c>
      <c r="Y9" s="135">
        <f>IF(N42="",0,N42)</f>
        <v/>
      </c>
      <c r="Z9" s="135">
        <f>IF(N43="",0,N43)</f>
        <v/>
      </c>
      <c r="AA9" s="135">
        <f>IF(N44="",0,N44)</f>
        <v/>
      </c>
    </row>
    <row r="10">
      <c r="W10" s="122" t="inlineStr">
        <is>
          <t>Net present worth vs. discount rate</t>
        </is>
      </c>
    </row>
    <row r="11">
      <c r="W11" s="124" t="inlineStr">
        <is>
          <t>Rate (%)</t>
        </is>
      </c>
      <c r="X11" s="124">
        <f>IF(X$4=""," ",X$4)</f>
        <v/>
      </c>
      <c r="Y11" s="124">
        <f>IF(Y$4=""," ",Y$4)</f>
        <v/>
      </c>
      <c r="Z11" s="124">
        <f>IF(Z$4=""," ",Z$4)</f>
        <v/>
      </c>
      <c r="AA11" s="124">
        <f>IF(AA$4=""," ",AA$4)</f>
        <v/>
      </c>
      <c r="AB11" s="122" t="inlineStr">
        <is>
          <t>Lowest at this rate</t>
        </is>
      </c>
      <c r="AC11" s="311" t="inlineStr">
        <is>
          <t xml:space="preserve">lowest value at this rate</t>
        </is>
      </c>
    </row>
    <row r="12">
      <c r="W12" s="140" t="n">
        <v>2</v>
      </c>
      <c r="X12" s="135">
        <f>IF($G$41="",NA(),IFERROR($J$41+SUMPRODUCT((INDIRECT("'"&amp;$G$41&amp;"'!$C$37:$C$52")&lt;='General Information'!$D$33)*INDIRECT("'"&amp;$G$41&amp;"'!$D$37:$D$52")/(1+$W12/100)^INDIRECT("'"&amp;$G$41&amp;"'!$C$37:$C$52")),0))</f>
        <v/>
      </c>
      <c r="Y12" s="135">
        <f>IF($G$42="",NA(),IFERROR($J$42+SUMPRODUCT((INDIRECT("'"&amp;$G$42&amp;"'!$C$37:$C$52")&lt;='General Information'!$D$33)*INDIRECT("'"&amp;$G$42&amp;"'!$D$37:$D$52")/(1+$W12/100)^INDIRECT("'"&amp;$G$42&amp;"'!$C$37:$C$52")),0))</f>
        <v/>
      </c>
      <c r="Z12" s="135">
        <f>IF($G$43="",NA(),IFERROR($J$43+SUMPRODUCT((INDIRECT("'"&amp;$G$43&amp;"'!$C$37:$C$52")&lt;='General Information'!$D$33)*INDIRECT("'"&amp;$G$43&amp;"'!$D$37:$D$52")/(1+$W12/100)^INDIRECT("'"&amp;$G$43&amp;"'!$C$37:$C$52")),0))</f>
        <v/>
      </c>
      <c r="AA12" s="135">
        <f>IF($G$44="",NA(),IFERROR($J$44+SUMPRODUCT((INDIRECT("'"&amp;$G$44&amp;"'!$C$37:$C$52")&lt;='General Information'!$D$33)*INDIRECT("'"&amp;$G$44&amp;"'!$D$37:$D$52")/(1+$W12/100)^INDIRECT("'"&amp;$G$44&amp;"'!$C$37:$C$52")),0))</f>
        <v/>
      </c>
      <c r="AB12" s="134">
        <f>IF(COUNT($X12:$AA12)=0,"",IF($AC12=IFERROR($X12,9E+99),$H$41,IF($AC12=IFERROR($Y12,9E+99),$H$42,IF($AC12=IFERROR($Z12,9E+99),$H$43,$H$44))))</f>
        <v/>
      </c>
      <c r="AC12" s="311">
        <f>MIN(IFERROR($X12,9E+99),IFERROR($Y12,9E+99),IFERROR($Z12,9E+99),IFERROR($AA12,9E+99))</f>
        <v>0</v>
      </c>
    </row>
    <row r="13">
      <c r="P13" s="317" t="inlineStr">
        <is>
          <t xml:space="preserve">City / county</t>
        </is>
      </c>
      <c r="Q13" s="318">
        <f>IF('General Information'!$D$9="","",'General Information'!$D$11&amp;IF(IFERROR(VLOOKUP('General Information'!$D$9,'General Information'!$L$10:$Q$88,4,FALSE),"")="",""," / "&amp;IFERROR(VLOOKUP('General Information'!$D$9,'General Information'!$L$10:$Q$88,4,FALSE),"")&amp;" County"))</f>
        <v/>
      </c>
      <c r="R13" s="318"/>
      <c r="W13" s="140" t="n">
        <v>2.25</v>
      </c>
      <c r="X13" s="135">
        <f>IF($G$41="",NA(),IFERROR($J$41+SUMPRODUCT((INDIRECT("'"&amp;$G$41&amp;"'!$C$37:$C$52")&lt;='General Information'!$D$33)*INDIRECT("'"&amp;$G$41&amp;"'!$D$37:$D$52")/(1+$W13/100)^INDIRECT("'"&amp;$G$41&amp;"'!$C$37:$C$52")),0))</f>
        <v/>
      </c>
      <c r="Y13" s="135">
        <f>IF($G$42="",NA(),IFERROR($J$42+SUMPRODUCT((INDIRECT("'"&amp;$G$42&amp;"'!$C$37:$C$52")&lt;='General Information'!$D$33)*INDIRECT("'"&amp;$G$42&amp;"'!$D$37:$D$52")/(1+$W13/100)^INDIRECT("'"&amp;$G$42&amp;"'!$C$37:$C$52")),0))</f>
        <v/>
      </c>
      <c r="Z13" s="135">
        <f>IF($G$43="",NA(),IFERROR($J$43+SUMPRODUCT((INDIRECT("'"&amp;$G$43&amp;"'!$C$37:$C$52")&lt;='General Information'!$D$33)*INDIRECT("'"&amp;$G$43&amp;"'!$D$37:$D$52")/(1+$W13/100)^INDIRECT("'"&amp;$G$43&amp;"'!$C$37:$C$52")),0))</f>
        <v/>
      </c>
      <c r="AA13" s="135">
        <f>IF($G$44="",NA(),IFERROR($J$44+SUMPRODUCT((INDIRECT("'"&amp;$G$44&amp;"'!$C$37:$C$52")&lt;='General Information'!$D$33)*INDIRECT("'"&amp;$G$44&amp;"'!$D$37:$D$52")/(1+$W13/100)^INDIRECT("'"&amp;$G$44&amp;"'!$C$37:$C$52")),0))</f>
        <v/>
      </c>
      <c r="AB13" s="134">
        <f>IF(COUNT($X13:$AA13)=0,"",IF($AC13=IFERROR($X13,9E+99),$H$41,IF($AC13=IFERROR($Y13,9E+99),$H$42,IF($AC13=IFERROR($Z13,9E+99),$H$43,$H$44))))</f>
        <v/>
      </c>
      <c r="AC13" s="311">
        <f>MIN(IFERROR($X13,9E+99),IFERROR($Y13,9E+99),IFERROR($Z13,9E+99),IFERROR($AA13,9E+99))</f>
        <v>0</v>
      </c>
    </row>
    <row r="14">
      <c r="P14" s="317" t="inlineStr">
        <is>
          <t xml:space="preserve">TDOT Grand Division</t>
        </is>
      </c>
      <c r="Q14" s="318">
        <f>IF('General Information'!$D$9="","",'General Information'!$D$13)</f>
        <v/>
      </c>
      <c r="R14" s="318"/>
      <c r="W14" s="140" t="n">
        <v>2.5</v>
      </c>
      <c r="X14" s="135">
        <f>IF($G$41="",NA(),IFERROR($J$41+SUMPRODUCT((INDIRECT("'"&amp;$G$41&amp;"'!$C$37:$C$52")&lt;='General Information'!$D$33)*INDIRECT("'"&amp;$G$41&amp;"'!$D$37:$D$52")/(1+$W14/100)^INDIRECT("'"&amp;$G$41&amp;"'!$C$37:$C$52")),0))</f>
        <v/>
      </c>
      <c r="Y14" s="135">
        <f>IF($G$42="",NA(),IFERROR($J$42+SUMPRODUCT((INDIRECT("'"&amp;$G$42&amp;"'!$C$37:$C$52")&lt;='General Information'!$D$33)*INDIRECT("'"&amp;$G$42&amp;"'!$D$37:$D$52")/(1+$W14/100)^INDIRECT("'"&amp;$G$42&amp;"'!$C$37:$C$52")),0))</f>
        <v/>
      </c>
      <c r="Z14" s="135">
        <f>IF($G$43="",NA(),IFERROR($J$43+SUMPRODUCT((INDIRECT("'"&amp;$G$43&amp;"'!$C$37:$C$52")&lt;='General Information'!$D$33)*INDIRECT("'"&amp;$G$43&amp;"'!$D$37:$D$52")/(1+$W14/100)^INDIRECT("'"&amp;$G$43&amp;"'!$C$37:$C$52")),0))</f>
        <v/>
      </c>
      <c r="AA14" s="135">
        <f>IF($G$44="",NA(),IFERROR($J$44+SUMPRODUCT((INDIRECT("'"&amp;$G$44&amp;"'!$C$37:$C$52")&lt;='General Information'!$D$33)*INDIRECT("'"&amp;$G$44&amp;"'!$D$37:$D$52")/(1+$W14/100)^INDIRECT("'"&amp;$G$44&amp;"'!$C$37:$C$52")),0))</f>
        <v/>
      </c>
      <c r="AB14" s="134">
        <f>IF(COUNT($X14:$AA14)=0,"",IF($AC14=IFERROR($X14,9E+99),$H$41,IF($AC14=IFERROR($Y14,9E+99),$H$42,IF($AC14=IFERROR($Z14,9E+99),$H$43,$H$44))))</f>
        <v/>
      </c>
      <c r="AC14" s="311">
        <f>MIN(IFERROR($X14,9E+99),IFERROR($Y14,9E+99),IFERROR($Z14,9E+99),IFERROR($AA14,9E+99))</f>
        <v>0</v>
      </c>
    </row>
    <row r="15">
      <c r="P15" s="317" t="inlineStr">
        <is>
          <t xml:space="preserve">Coordinates</t>
        </is>
      </c>
      <c r="Q15" s="318">
        <f>IF(AE132="","not in the reference list",TEXT(AE132,"0.0000")&amp;"° N, "&amp;TEXT(-AD132,"0.0000")&amp;"° W")</f>
        <v/>
      </c>
      <c r="R15" s="318"/>
      <c r="W15" s="140" t="n">
        <v>2.75</v>
      </c>
      <c r="X15" s="135">
        <f>IF($G$41="",NA(),IFERROR($J$41+SUMPRODUCT((INDIRECT("'"&amp;$G$41&amp;"'!$C$37:$C$52")&lt;='General Information'!$D$33)*INDIRECT("'"&amp;$G$41&amp;"'!$D$37:$D$52")/(1+$W15/100)^INDIRECT("'"&amp;$G$41&amp;"'!$C$37:$C$52")),0))</f>
        <v/>
      </c>
      <c r="Y15" s="135">
        <f>IF($G$42="",NA(),IFERROR($J$42+SUMPRODUCT((INDIRECT("'"&amp;$G$42&amp;"'!$C$37:$C$52")&lt;='General Information'!$D$33)*INDIRECT("'"&amp;$G$42&amp;"'!$D$37:$D$52")/(1+$W15/100)^INDIRECT("'"&amp;$G$42&amp;"'!$C$37:$C$52")),0))</f>
        <v/>
      </c>
      <c r="Z15" s="135">
        <f>IF($G$43="",NA(),IFERROR($J$43+SUMPRODUCT((INDIRECT("'"&amp;$G$43&amp;"'!$C$37:$C$52")&lt;='General Information'!$D$33)*INDIRECT("'"&amp;$G$43&amp;"'!$D$37:$D$52")/(1+$W15/100)^INDIRECT("'"&amp;$G$43&amp;"'!$C$37:$C$52")),0))</f>
        <v/>
      </c>
      <c r="AA15" s="135">
        <f>IF($G$44="",NA(),IFERROR($J$44+SUMPRODUCT((INDIRECT("'"&amp;$G$44&amp;"'!$C$37:$C$52")&lt;='General Information'!$D$33)*INDIRECT("'"&amp;$G$44&amp;"'!$D$37:$D$52")/(1+$W15/100)^INDIRECT("'"&amp;$G$44&amp;"'!$C$37:$C$52")),0))</f>
        <v/>
      </c>
      <c r="AB15" s="134">
        <f>IF(COUNT($X15:$AA15)=0,"",IF($AC15=IFERROR($X15,9E+99),$H$41,IF($AC15=IFERROR($Y15,9E+99),$H$42,IF($AC15=IFERROR($Z15,9E+99),$H$43,$H$44))))</f>
        <v/>
      </c>
      <c r="AC15" s="311">
        <f>MIN(IFERROR($X15,9E+99),IFERROR($Y15,9E+99),IFERROR($Z15,9E+99),IFERROR($AA15,9E+99))</f>
        <v>0</v>
      </c>
    </row>
    <row r="16">
      <c r="P16" s="317" t="inlineStr">
        <is>
          <t xml:space="preserve">Elevation</t>
        </is>
      </c>
      <c r="Q16" s="318">
        <f>IFERROR(IF(INDEX($AB$132:$AB$210,MATCH('General Information'!$D$10,$X$132:$X$210,0))="","",TEXT(INDEX($AB$132:$AB$210,MATCH('General Information'!$D$10,$X$132:$X$210,0)),"#,##0")&amp;" ft"),"")</f>
        <v/>
      </c>
      <c r="R16" s="318"/>
      <c r="W16" s="140" t="n">
        <v>3</v>
      </c>
      <c r="X16" s="135">
        <f>IF($G$41="",NA(),IFERROR($J$41+SUMPRODUCT((INDIRECT("'"&amp;$G$41&amp;"'!$C$37:$C$52")&lt;='General Information'!$D$33)*INDIRECT("'"&amp;$G$41&amp;"'!$D$37:$D$52")/(1+$W16/100)^INDIRECT("'"&amp;$G$41&amp;"'!$C$37:$C$52")),0))</f>
        <v/>
      </c>
      <c r="Y16" s="135">
        <f>IF($G$42="",NA(),IFERROR($J$42+SUMPRODUCT((INDIRECT("'"&amp;$G$42&amp;"'!$C$37:$C$52")&lt;='General Information'!$D$33)*INDIRECT("'"&amp;$G$42&amp;"'!$D$37:$D$52")/(1+$W16/100)^INDIRECT("'"&amp;$G$42&amp;"'!$C$37:$C$52")),0))</f>
        <v/>
      </c>
      <c r="Z16" s="135">
        <f>IF($G$43="",NA(),IFERROR($J$43+SUMPRODUCT((INDIRECT("'"&amp;$G$43&amp;"'!$C$37:$C$52")&lt;='General Information'!$D$33)*INDIRECT("'"&amp;$G$43&amp;"'!$D$37:$D$52")/(1+$W16/100)^INDIRECT("'"&amp;$G$43&amp;"'!$C$37:$C$52")),0))</f>
        <v/>
      </c>
      <c r="AA16" s="135">
        <f>IF($G$44="",NA(),IFERROR($J$44+SUMPRODUCT((INDIRECT("'"&amp;$G$44&amp;"'!$C$37:$C$52")&lt;='General Information'!$D$33)*INDIRECT("'"&amp;$G$44&amp;"'!$D$37:$D$52")/(1+$W16/100)^INDIRECT("'"&amp;$G$44&amp;"'!$C$37:$C$52")),0))</f>
        <v/>
      </c>
      <c r="AB16" s="134">
        <f>IF(COUNT($X16:$AA16)=0,"",IF($AC16=IFERROR($X16,9E+99),$H$41,IF($AC16=IFERROR($Y16,9E+99),$H$42,IF($AC16=IFERROR($Z16,9E+99),$H$43,$H$44))))</f>
        <v/>
      </c>
      <c r="AC16" s="311">
        <f>MIN(IFERROR($X16,9E+99),IFERROR($Y16,9E+99),IFERROR($Z16,9E+99),IFERROR($AA16,9E+99))</f>
        <v>0</v>
      </c>
    </row>
    <row r="17">
      <c r="P17" s="317" t="inlineStr">
        <is>
          <t xml:space="preserve">Mainline area</t>
        </is>
      </c>
      <c r="Q17" s="318">
        <f>IF('General Information'!$D$26="","",TEXT('General Information'!$D$26,"#,##0")&amp;" S.Y."&amp;IF('General Information'!$D$27&gt;0," + "&amp;TEXT('General Information'!$D$27,"#,##0")&amp;" S.Y. shoulder",""))</f>
        <v/>
      </c>
      <c r="R17" s="318"/>
      <c r="W17" s="140" t="n">
        <v>3.25</v>
      </c>
      <c r="X17" s="135">
        <f>IF($G$41="",NA(),IFERROR($J$41+SUMPRODUCT((INDIRECT("'"&amp;$G$41&amp;"'!$C$37:$C$52")&lt;='General Information'!$D$33)*INDIRECT("'"&amp;$G$41&amp;"'!$D$37:$D$52")/(1+$W17/100)^INDIRECT("'"&amp;$G$41&amp;"'!$C$37:$C$52")),0))</f>
        <v/>
      </c>
      <c r="Y17" s="135">
        <f>IF($G$42="",NA(),IFERROR($J$42+SUMPRODUCT((INDIRECT("'"&amp;$G$42&amp;"'!$C$37:$C$52")&lt;='General Information'!$D$33)*INDIRECT("'"&amp;$G$42&amp;"'!$D$37:$D$52")/(1+$W17/100)^INDIRECT("'"&amp;$G$42&amp;"'!$C$37:$C$52")),0))</f>
        <v/>
      </c>
      <c r="Z17" s="135">
        <f>IF($G$43="",NA(),IFERROR($J$43+SUMPRODUCT((INDIRECT("'"&amp;$G$43&amp;"'!$C$37:$C$52")&lt;='General Information'!$D$33)*INDIRECT("'"&amp;$G$43&amp;"'!$D$37:$D$52")/(1+$W17/100)^INDIRECT("'"&amp;$G$43&amp;"'!$C$37:$C$52")),0))</f>
        <v/>
      </c>
      <c r="AA17" s="135">
        <f>IF($G$44="",NA(),IFERROR($J$44+SUMPRODUCT((INDIRECT("'"&amp;$G$44&amp;"'!$C$37:$C$52")&lt;='General Information'!$D$33)*INDIRECT("'"&amp;$G$44&amp;"'!$D$37:$D$52")/(1+$W17/100)^INDIRECT("'"&amp;$G$44&amp;"'!$C$37:$C$52")),0))</f>
        <v/>
      </c>
      <c r="AB17" s="134">
        <f>IF(COUNT($X17:$AA17)=0,"",IF($AC17=IFERROR($X17,9E+99),$H$41,IF($AC17=IFERROR($Y17,9E+99),$H$42,IF($AC17=IFERROR($Z17,9E+99),$H$43,$H$44))))</f>
        <v/>
      </c>
      <c r="AC17" s="311">
        <f>MIN(IFERROR($X17,9E+99),IFERROR($Y17,9E+99),IFERROR($Z17,9E+99),IFERROR($AA17,9E+99))</f>
        <v>0</v>
      </c>
    </row>
    <row r="18">
      <c r="P18" s="317" t="inlineStr">
        <is>
          <t xml:space="preserve">Runway width, ft</t>
        </is>
      </c>
      <c r="Q18" s="319" t="n">
        <v>100</v>
      </c>
      <c r="R18" s="319"/>
      <c r="W18" s="140" t="n">
        <v>3.5</v>
      </c>
      <c r="X18" s="135">
        <f>IF($G$41="",NA(),IFERROR($J$41+SUMPRODUCT((INDIRECT("'"&amp;$G$41&amp;"'!$C$37:$C$52")&lt;='General Information'!$D$33)*INDIRECT("'"&amp;$G$41&amp;"'!$D$37:$D$52")/(1+$W18/100)^INDIRECT("'"&amp;$G$41&amp;"'!$C$37:$C$52")),0))</f>
        <v/>
      </c>
      <c r="Y18" s="135">
        <f>IF($G$42="",NA(),IFERROR($J$42+SUMPRODUCT((INDIRECT("'"&amp;$G$42&amp;"'!$C$37:$C$52")&lt;='General Information'!$D$33)*INDIRECT("'"&amp;$G$42&amp;"'!$D$37:$D$52")/(1+$W18/100)^INDIRECT("'"&amp;$G$42&amp;"'!$C$37:$C$52")),0))</f>
        <v/>
      </c>
      <c r="Z18" s="135">
        <f>IF($G$43="",NA(),IFERROR($J$43+SUMPRODUCT((INDIRECT("'"&amp;$G$43&amp;"'!$C$37:$C$52")&lt;='General Information'!$D$33)*INDIRECT("'"&amp;$G$43&amp;"'!$D$37:$D$52")/(1+$W18/100)^INDIRECT("'"&amp;$G$43&amp;"'!$C$37:$C$52")),0))</f>
        <v/>
      </c>
      <c r="AA18" s="135">
        <f>IF($G$44="",NA(),IFERROR($J$44+SUMPRODUCT((INDIRECT("'"&amp;$G$44&amp;"'!$C$37:$C$52")&lt;='General Information'!$D$33)*INDIRECT("'"&amp;$G$44&amp;"'!$D$37:$D$52")/(1+$W18/100)^INDIRECT("'"&amp;$G$44&amp;"'!$C$37:$C$52")),0))</f>
        <v/>
      </c>
      <c r="AB18" s="134">
        <f>IF(COUNT($X18:$AA18)=0,"",IF($AC18=IFERROR($X18,9E+99),$H$41,IF($AC18=IFERROR($Y18,9E+99),$H$42,IF($AC18=IFERROR($Z18,9E+99),$H$43,$H$44))))</f>
        <v/>
      </c>
      <c r="AC18" s="311">
        <f>MIN(IFERROR($X18,9E+99),IFERROR($Y18,9E+99),IFERROR($Z18,9E+99),IFERROR($AA18,9E+99))</f>
        <v>0</v>
      </c>
    </row>
    <row r="19">
      <c r="W19" s="140" t="n">
        <v>3.75</v>
      </c>
      <c r="X19" s="135">
        <f>IF($G$41="",NA(),IFERROR($J$41+SUMPRODUCT((INDIRECT("'"&amp;$G$41&amp;"'!$C$37:$C$52")&lt;='General Information'!$D$33)*INDIRECT("'"&amp;$G$41&amp;"'!$D$37:$D$52")/(1+$W19/100)^INDIRECT("'"&amp;$G$41&amp;"'!$C$37:$C$52")),0))</f>
        <v/>
      </c>
      <c r="Y19" s="135">
        <f>IF($G$42="",NA(),IFERROR($J$42+SUMPRODUCT((INDIRECT("'"&amp;$G$42&amp;"'!$C$37:$C$52")&lt;='General Information'!$D$33)*INDIRECT("'"&amp;$G$42&amp;"'!$D$37:$D$52")/(1+$W19/100)^INDIRECT("'"&amp;$G$42&amp;"'!$C$37:$C$52")),0))</f>
        <v/>
      </c>
      <c r="Z19" s="135">
        <f>IF($G$43="",NA(),IFERROR($J$43+SUMPRODUCT((INDIRECT("'"&amp;$G$43&amp;"'!$C$37:$C$52")&lt;='General Information'!$D$33)*INDIRECT("'"&amp;$G$43&amp;"'!$D$37:$D$52")/(1+$W19/100)^INDIRECT("'"&amp;$G$43&amp;"'!$C$37:$C$52")),0))</f>
        <v/>
      </c>
      <c r="AA19" s="135">
        <f>IF($G$44="",NA(),IFERROR($J$44+SUMPRODUCT((INDIRECT("'"&amp;$G$44&amp;"'!$C$37:$C$52")&lt;='General Information'!$D$33)*INDIRECT("'"&amp;$G$44&amp;"'!$D$37:$D$52")/(1+$W19/100)^INDIRECT("'"&amp;$G$44&amp;"'!$C$37:$C$52")),0))</f>
        <v/>
      </c>
      <c r="AB19" s="134">
        <f>IF(COUNT($X19:$AA19)=0,"",IF($AC19=IFERROR($X19,9E+99),$H$41,IF($AC19=IFERROR($Y19,9E+99),$H$42,IF($AC19=IFERROR($Z19,9E+99),$H$43,$H$44))))</f>
        <v/>
      </c>
      <c r="AC19" s="311">
        <f>MIN(IFERROR($X19,9E+99),IFERROR($Y19,9E+99),IFERROR($Z19,9E+99),IFERROR($AA19,9E+99))</f>
        <v>0</v>
      </c>
    </row>
    <row r="20">
      <c r="W20" s="140" t="n">
        <v>4</v>
      </c>
      <c r="X20" s="135">
        <f>IF($G$41="",NA(),IFERROR($J$41+SUMPRODUCT((INDIRECT("'"&amp;$G$41&amp;"'!$C$37:$C$52")&lt;='General Information'!$D$33)*INDIRECT("'"&amp;$G$41&amp;"'!$D$37:$D$52")/(1+$W20/100)^INDIRECT("'"&amp;$G$41&amp;"'!$C$37:$C$52")),0))</f>
        <v/>
      </c>
      <c r="Y20" s="135">
        <f>IF($G$42="",NA(),IFERROR($J$42+SUMPRODUCT((INDIRECT("'"&amp;$G$42&amp;"'!$C$37:$C$52")&lt;='General Information'!$D$33)*INDIRECT("'"&amp;$G$42&amp;"'!$D$37:$D$52")/(1+$W20/100)^INDIRECT("'"&amp;$G$42&amp;"'!$C$37:$C$52")),0))</f>
        <v/>
      </c>
      <c r="Z20" s="135">
        <f>IF($G$43="",NA(),IFERROR($J$43+SUMPRODUCT((INDIRECT("'"&amp;$G$43&amp;"'!$C$37:$C$52")&lt;='General Information'!$D$33)*INDIRECT("'"&amp;$G$43&amp;"'!$D$37:$D$52")/(1+$W20/100)^INDIRECT("'"&amp;$G$43&amp;"'!$C$37:$C$52")),0))</f>
        <v/>
      </c>
      <c r="AA20" s="135">
        <f>IF($G$44="",NA(),IFERROR($J$44+SUMPRODUCT((INDIRECT("'"&amp;$G$44&amp;"'!$C$37:$C$52")&lt;='General Information'!$D$33)*INDIRECT("'"&amp;$G$44&amp;"'!$D$37:$D$52")/(1+$W20/100)^INDIRECT("'"&amp;$G$44&amp;"'!$C$37:$C$52")),0))</f>
        <v/>
      </c>
      <c r="AB20" s="134">
        <f>IF(COUNT($X20:$AA20)=0,"",IF($AC20=IFERROR($X20,9E+99),$H$41,IF($AC20=IFERROR($Y20,9E+99),$H$42,IF($AC20=IFERROR($Z20,9E+99),$H$43,$H$44))))</f>
        <v/>
      </c>
      <c r="AC20" s="311">
        <f>MIN(IFERROR($X20,9E+99),IFERROR($Y20,9E+99),IFERROR($Z20,9E+99),IFERROR($AA20,9E+99))</f>
        <v>0</v>
      </c>
    </row>
    <row r="21">
      <c r="W21" s="140" t="n">
        <v>4.25</v>
      </c>
      <c r="X21" s="135">
        <f>IF($G$41="",NA(),IFERROR($J$41+SUMPRODUCT((INDIRECT("'"&amp;$G$41&amp;"'!$C$37:$C$52")&lt;='General Information'!$D$33)*INDIRECT("'"&amp;$G$41&amp;"'!$D$37:$D$52")/(1+$W21/100)^INDIRECT("'"&amp;$G$41&amp;"'!$C$37:$C$52")),0))</f>
        <v/>
      </c>
      <c r="Y21" s="135">
        <f>IF($G$42="",NA(),IFERROR($J$42+SUMPRODUCT((INDIRECT("'"&amp;$G$42&amp;"'!$C$37:$C$52")&lt;='General Information'!$D$33)*INDIRECT("'"&amp;$G$42&amp;"'!$D$37:$D$52")/(1+$W21/100)^INDIRECT("'"&amp;$G$42&amp;"'!$C$37:$C$52")),0))</f>
        <v/>
      </c>
      <c r="Z21" s="135">
        <f>IF($G$43="",NA(),IFERROR($J$43+SUMPRODUCT((INDIRECT("'"&amp;$G$43&amp;"'!$C$37:$C$52")&lt;='General Information'!$D$33)*INDIRECT("'"&amp;$G$43&amp;"'!$D$37:$D$52")/(1+$W21/100)^INDIRECT("'"&amp;$G$43&amp;"'!$C$37:$C$52")),0))</f>
        <v/>
      </c>
      <c r="AA21" s="135">
        <f>IF($G$44="",NA(),IFERROR($J$44+SUMPRODUCT((INDIRECT("'"&amp;$G$44&amp;"'!$C$37:$C$52")&lt;='General Information'!$D$33)*INDIRECT("'"&amp;$G$44&amp;"'!$D$37:$D$52")/(1+$W21/100)^INDIRECT("'"&amp;$G$44&amp;"'!$C$37:$C$52")),0))</f>
        <v/>
      </c>
      <c r="AB21" s="134">
        <f>IF(COUNT($X21:$AA21)=0,"",IF($AC21=IFERROR($X21,9E+99),$H$41,IF($AC21=IFERROR($Y21,9E+99),$H$42,IF($AC21=IFERROR($Z21,9E+99),$H$43,$H$44))))</f>
        <v/>
      </c>
      <c r="AC21" s="311">
        <f>MIN(IFERROR($X21,9E+99),IFERROR($Y21,9E+99),IFERROR($Z21,9E+99),IFERROR($AA21,9E+99))</f>
        <v>0</v>
      </c>
    </row>
    <row r="22">
      <c r="W22" s="140" t="n">
        <v>4.5</v>
      </c>
      <c r="X22" s="135">
        <f>IF($G$41="",NA(),IFERROR($J$41+SUMPRODUCT((INDIRECT("'"&amp;$G$41&amp;"'!$C$37:$C$52")&lt;='General Information'!$D$33)*INDIRECT("'"&amp;$G$41&amp;"'!$D$37:$D$52")/(1+$W22/100)^INDIRECT("'"&amp;$G$41&amp;"'!$C$37:$C$52")),0))</f>
        <v/>
      </c>
      <c r="Y22" s="135">
        <f>IF($G$42="",NA(),IFERROR($J$42+SUMPRODUCT((INDIRECT("'"&amp;$G$42&amp;"'!$C$37:$C$52")&lt;='General Information'!$D$33)*INDIRECT("'"&amp;$G$42&amp;"'!$D$37:$D$52")/(1+$W22/100)^INDIRECT("'"&amp;$G$42&amp;"'!$C$37:$C$52")),0))</f>
        <v/>
      </c>
      <c r="Z22" s="135">
        <f>IF($G$43="",NA(),IFERROR($J$43+SUMPRODUCT((INDIRECT("'"&amp;$G$43&amp;"'!$C$37:$C$52")&lt;='General Information'!$D$33)*INDIRECT("'"&amp;$G$43&amp;"'!$D$37:$D$52")/(1+$W22/100)^INDIRECT("'"&amp;$G$43&amp;"'!$C$37:$C$52")),0))</f>
        <v/>
      </c>
      <c r="AA22" s="135">
        <f>IF($G$44="",NA(),IFERROR($J$44+SUMPRODUCT((INDIRECT("'"&amp;$G$44&amp;"'!$C$37:$C$52")&lt;='General Information'!$D$33)*INDIRECT("'"&amp;$G$44&amp;"'!$D$37:$D$52")/(1+$W22/100)^INDIRECT("'"&amp;$G$44&amp;"'!$C$37:$C$52")),0))</f>
        <v/>
      </c>
      <c r="AB22" s="134">
        <f>IF(COUNT($X22:$AA22)=0,"",IF($AC22=IFERROR($X22,9E+99),$H$41,IF($AC22=IFERROR($Y22,9E+99),$H$42,IF($AC22=IFERROR($Z22,9E+99),$H$43,$H$44))))</f>
        <v/>
      </c>
      <c r="AC22" s="311">
        <f>MIN(IFERROR($X22,9E+99),IFERROR($Y22,9E+99),IFERROR($Z22,9E+99),IFERROR($AA22,9E+99))</f>
        <v>0</v>
      </c>
    </row>
    <row r="23">
      <c r="W23" s="140" t="n">
        <v>4.75</v>
      </c>
      <c r="X23" s="135">
        <f>IF($G$41="",NA(),IFERROR($J$41+SUMPRODUCT((INDIRECT("'"&amp;$G$41&amp;"'!$C$37:$C$52")&lt;='General Information'!$D$33)*INDIRECT("'"&amp;$G$41&amp;"'!$D$37:$D$52")/(1+$W23/100)^INDIRECT("'"&amp;$G$41&amp;"'!$C$37:$C$52")),0))</f>
        <v/>
      </c>
      <c r="Y23" s="135">
        <f>IF($G$42="",NA(),IFERROR($J$42+SUMPRODUCT((INDIRECT("'"&amp;$G$42&amp;"'!$C$37:$C$52")&lt;='General Information'!$D$33)*INDIRECT("'"&amp;$G$42&amp;"'!$D$37:$D$52")/(1+$W23/100)^INDIRECT("'"&amp;$G$42&amp;"'!$C$37:$C$52")),0))</f>
        <v/>
      </c>
      <c r="Z23" s="135">
        <f>IF($G$43="",NA(),IFERROR($J$43+SUMPRODUCT((INDIRECT("'"&amp;$G$43&amp;"'!$C$37:$C$52")&lt;='General Information'!$D$33)*INDIRECT("'"&amp;$G$43&amp;"'!$D$37:$D$52")/(1+$W23/100)^INDIRECT("'"&amp;$G$43&amp;"'!$C$37:$C$52")),0))</f>
        <v/>
      </c>
      <c r="AA23" s="135">
        <f>IF($G$44="",NA(),IFERROR($J$44+SUMPRODUCT((INDIRECT("'"&amp;$G$44&amp;"'!$C$37:$C$52")&lt;='General Information'!$D$33)*INDIRECT("'"&amp;$G$44&amp;"'!$D$37:$D$52")/(1+$W23/100)^INDIRECT("'"&amp;$G$44&amp;"'!$C$37:$C$52")),0))</f>
        <v/>
      </c>
      <c r="AB23" s="134">
        <f>IF(COUNT($X23:$AA23)=0,"",IF($AC23=IFERROR($X23,9E+99),$H$41,IF($AC23=IFERROR($Y23,9E+99),$H$42,IF($AC23=IFERROR($Z23,9E+99),$H$43,$H$44))))</f>
        <v/>
      </c>
      <c r="AC23" s="311">
        <f>MIN(IFERROR($X23,9E+99),IFERROR($Y23,9E+99),IFERROR($Z23,9E+99),IFERROR($AA23,9E+99))</f>
        <v>0</v>
      </c>
    </row>
    <row r="24">
      <c r="W24" s="140" t="n">
        <v>5</v>
      </c>
      <c r="X24" s="135">
        <f>IF($G$41="",NA(),IFERROR($J$41+SUMPRODUCT((INDIRECT("'"&amp;$G$41&amp;"'!$C$37:$C$52")&lt;='General Information'!$D$33)*INDIRECT("'"&amp;$G$41&amp;"'!$D$37:$D$52")/(1+$W24/100)^INDIRECT("'"&amp;$G$41&amp;"'!$C$37:$C$52")),0))</f>
        <v/>
      </c>
      <c r="Y24" s="135">
        <f>IF($G$42="",NA(),IFERROR($J$42+SUMPRODUCT((INDIRECT("'"&amp;$G$42&amp;"'!$C$37:$C$52")&lt;='General Information'!$D$33)*INDIRECT("'"&amp;$G$42&amp;"'!$D$37:$D$52")/(1+$W24/100)^INDIRECT("'"&amp;$G$42&amp;"'!$C$37:$C$52")),0))</f>
        <v/>
      </c>
      <c r="Z24" s="135">
        <f>IF($G$43="",NA(),IFERROR($J$43+SUMPRODUCT((INDIRECT("'"&amp;$G$43&amp;"'!$C$37:$C$52")&lt;='General Information'!$D$33)*INDIRECT("'"&amp;$G$43&amp;"'!$D$37:$D$52")/(1+$W24/100)^INDIRECT("'"&amp;$G$43&amp;"'!$C$37:$C$52")),0))</f>
        <v/>
      </c>
      <c r="AA24" s="135">
        <f>IF($G$44="",NA(),IFERROR($J$44+SUMPRODUCT((INDIRECT("'"&amp;$G$44&amp;"'!$C$37:$C$52")&lt;='General Information'!$D$33)*INDIRECT("'"&amp;$G$44&amp;"'!$D$37:$D$52")/(1+$W24/100)^INDIRECT("'"&amp;$G$44&amp;"'!$C$37:$C$52")),0))</f>
        <v/>
      </c>
      <c r="AB24" s="134">
        <f>IF(COUNT($X24:$AA24)=0,"",IF($AC24=IFERROR($X24,9E+99),$H$41,IF($AC24=IFERROR($Y24,9E+99),$H$42,IF($AC24=IFERROR($Z24,9E+99),$H$43,$H$44))))</f>
        <v/>
      </c>
      <c r="AC24" s="311">
        <f>MIN(IFERROR($X24,9E+99),IFERROR($Y24,9E+99),IFERROR($Z24,9E+99),IFERROR($AA24,9E+99))</f>
        <v>0</v>
      </c>
    </row>
    <row r="25">
      <c r="W25" s="140" t="n">
        <v>5.25</v>
      </c>
      <c r="X25" s="135">
        <f>IF($G$41="",NA(),IFERROR($J$41+SUMPRODUCT((INDIRECT("'"&amp;$G$41&amp;"'!$C$37:$C$52")&lt;='General Information'!$D$33)*INDIRECT("'"&amp;$G$41&amp;"'!$D$37:$D$52")/(1+$W25/100)^INDIRECT("'"&amp;$G$41&amp;"'!$C$37:$C$52")),0))</f>
        <v/>
      </c>
      <c r="Y25" s="135">
        <f>IF($G$42="",NA(),IFERROR($J$42+SUMPRODUCT((INDIRECT("'"&amp;$G$42&amp;"'!$C$37:$C$52")&lt;='General Information'!$D$33)*INDIRECT("'"&amp;$G$42&amp;"'!$D$37:$D$52")/(1+$W25/100)^INDIRECT("'"&amp;$G$42&amp;"'!$C$37:$C$52")),0))</f>
        <v/>
      </c>
      <c r="Z25" s="135">
        <f>IF($G$43="",NA(),IFERROR($J$43+SUMPRODUCT((INDIRECT("'"&amp;$G$43&amp;"'!$C$37:$C$52")&lt;='General Information'!$D$33)*INDIRECT("'"&amp;$G$43&amp;"'!$D$37:$D$52")/(1+$W25/100)^INDIRECT("'"&amp;$G$43&amp;"'!$C$37:$C$52")),0))</f>
        <v/>
      </c>
      <c r="AA25" s="135">
        <f>IF($G$44="",NA(),IFERROR($J$44+SUMPRODUCT((INDIRECT("'"&amp;$G$44&amp;"'!$C$37:$C$52")&lt;='General Information'!$D$33)*INDIRECT("'"&amp;$G$44&amp;"'!$D$37:$D$52")/(1+$W25/100)^INDIRECT("'"&amp;$G$44&amp;"'!$C$37:$C$52")),0))</f>
        <v/>
      </c>
      <c r="AB25" s="134">
        <f>IF(COUNT($X25:$AA25)=0,"",IF($AC25=IFERROR($X25,9E+99),$H$41,IF($AC25=IFERROR($Y25,9E+99),$H$42,IF($AC25=IFERROR($Z25,9E+99),$H$43,$H$44))))</f>
        <v/>
      </c>
      <c r="AC25" s="311">
        <f>MIN(IFERROR($X25,9E+99),IFERROR($Y25,9E+99),IFERROR($Z25,9E+99),IFERROR($AA25,9E+99))</f>
        <v>0</v>
      </c>
    </row>
    <row r="26">
      <c r="W26" s="140" t="n">
        <v>5.5</v>
      </c>
      <c r="X26" s="135">
        <f>IF($G$41="",NA(),IFERROR($J$41+SUMPRODUCT((INDIRECT("'"&amp;$G$41&amp;"'!$C$37:$C$52")&lt;='General Information'!$D$33)*INDIRECT("'"&amp;$G$41&amp;"'!$D$37:$D$52")/(1+$W26/100)^INDIRECT("'"&amp;$G$41&amp;"'!$C$37:$C$52")),0))</f>
        <v/>
      </c>
      <c r="Y26" s="135">
        <f>IF($G$42="",NA(),IFERROR($J$42+SUMPRODUCT((INDIRECT("'"&amp;$G$42&amp;"'!$C$37:$C$52")&lt;='General Information'!$D$33)*INDIRECT("'"&amp;$G$42&amp;"'!$D$37:$D$52")/(1+$W26/100)^INDIRECT("'"&amp;$G$42&amp;"'!$C$37:$C$52")),0))</f>
        <v/>
      </c>
      <c r="Z26" s="135">
        <f>IF($G$43="",NA(),IFERROR($J$43+SUMPRODUCT((INDIRECT("'"&amp;$G$43&amp;"'!$C$37:$C$52")&lt;='General Information'!$D$33)*INDIRECT("'"&amp;$G$43&amp;"'!$D$37:$D$52")/(1+$W26/100)^INDIRECT("'"&amp;$G$43&amp;"'!$C$37:$C$52")),0))</f>
        <v/>
      </c>
      <c r="AA26" s="135">
        <f>IF($G$44="",NA(),IFERROR($J$44+SUMPRODUCT((INDIRECT("'"&amp;$G$44&amp;"'!$C$37:$C$52")&lt;='General Information'!$D$33)*INDIRECT("'"&amp;$G$44&amp;"'!$D$37:$D$52")/(1+$W26/100)^INDIRECT("'"&amp;$G$44&amp;"'!$C$37:$C$52")),0))</f>
        <v/>
      </c>
      <c r="AB26" s="134">
        <f>IF(COUNT($X26:$AA26)=0,"",IF($AC26=IFERROR($X26,9E+99),$H$41,IF($AC26=IFERROR($Y26,9E+99),$H$42,IF($AC26=IFERROR($Z26,9E+99),$H$43,$H$44))))</f>
        <v/>
      </c>
      <c r="AC26" s="311">
        <f>MIN(IFERROR($X26,9E+99),IFERROR($Y26,9E+99),IFERROR($Z26,9E+99),IFERROR($AA26,9E+99))</f>
        <v>0</v>
      </c>
    </row>
    <row r="27">
      <c r="W27" s="140" t="n">
        <v>5.75</v>
      </c>
      <c r="X27" s="135">
        <f>IF($G$41="",NA(),IFERROR($J$41+SUMPRODUCT((INDIRECT("'"&amp;$G$41&amp;"'!$C$37:$C$52")&lt;='General Information'!$D$33)*INDIRECT("'"&amp;$G$41&amp;"'!$D$37:$D$52")/(1+$W27/100)^INDIRECT("'"&amp;$G$41&amp;"'!$C$37:$C$52")),0))</f>
        <v/>
      </c>
      <c r="Y27" s="135">
        <f>IF($G$42="",NA(),IFERROR($J$42+SUMPRODUCT((INDIRECT("'"&amp;$G$42&amp;"'!$C$37:$C$52")&lt;='General Information'!$D$33)*INDIRECT("'"&amp;$G$42&amp;"'!$D$37:$D$52")/(1+$W27/100)^INDIRECT("'"&amp;$G$42&amp;"'!$C$37:$C$52")),0))</f>
        <v/>
      </c>
      <c r="Z27" s="135">
        <f>IF($G$43="",NA(),IFERROR($J$43+SUMPRODUCT((INDIRECT("'"&amp;$G$43&amp;"'!$C$37:$C$52")&lt;='General Information'!$D$33)*INDIRECT("'"&amp;$G$43&amp;"'!$D$37:$D$52")/(1+$W27/100)^INDIRECT("'"&amp;$G$43&amp;"'!$C$37:$C$52")),0))</f>
        <v/>
      </c>
      <c r="AA27" s="135">
        <f>IF($G$44="",NA(),IFERROR($J$44+SUMPRODUCT((INDIRECT("'"&amp;$G$44&amp;"'!$C$37:$C$52")&lt;='General Information'!$D$33)*INDIRECT("'"&amp;$G$44&amp;"'!$D$37:$D$52")/(1+$W27/100)^INDIRECT("'"&amp;$G$44&amp;"'!$C$37:$C$52")),0))</f>
        <v/>
      </c>
      <c r="AB27" s="134">
        <f>IF(COUNT($X27:$AA27)=0,"",IF($AC27=IFERROR($X27,9E+99),$H$41,IF($AC27=IFERROR($Y27,9E+99),$H$42,IF($AC27=IFERROR($Z27,9E+99),$H$43,$H$44))))</f>
        <v/>
      </c>
      <c r="AC27" s="311">
        <f>MIN(IFERROR($X27,9E+99),IFERROR($Y27,9E+99),IFERROR($Z27,9E+99),IFERROR($AA27,9E+99))</f>
        <v>0</v>
      </c>
    </row>
    <row r="28">
      <c r="W28" s="140" t="n">
        <v>6</v>
      </c>
      <c r="X28" s="135">
        <f>IF($G$41="",NA(),IFERROR($J$41+SUMPRODUCT((INDIRECT("'"&amp;$G$41&amp;"'!$C$37:$C$52")&lt;='General Information'!$D$33)*INDIRECT("'"&amp;$G$41&amp;"'!$D$37:$D$52")/(1+$W28/100)^INDIRECT("'"&amp;$G$41&amp;"'!$C$37:$C$52")),0))</f>
        <v/>
      </c>
      <c r="Y28" s="135">
        <f>IF($G$42="",NA(),IFERROR($J$42+SUMPRODUCT((INDIRECT("'"&amp;$G$42&amp;"'!$C$37:$C$52")&lt;='General Information'!$D$33)*INDIRECT("'"&amp;$G$42&amp;"'!$D$37:$D$52")/(1+$W28/100)^INDIRECT("'"&amp;$G$42&amp;"'!$C$37:$C$52")),0))</f>
        <v/>
      </c>
      <c r="Z28" s="135">
        <f>IF($G$43="",NA(),IFERROR($J$43+SUMPRODUCT((INDIRECT("'"&amp;$G$43&amp;"'!$C$37:$C$52")&lt;='General Information'!$D$33)*INDIRECT("'"&amp;$G$43&amp;"'!$D$37:$D$52")/(1+$W28/100)^INDIRECT("'"&amp;$G$43&amp;"'!$C$37:$C$52")),0))</f>
        <v/>
      </c>
      <c r="AA28" s="135">
        <f>IF($G$44="",NA(),IFERROR($J$44+SUMPRODUCT((INDIRECT("'"&amp;$G$44&amp;"'!$C$37:$C$52")&lt;='General Information'!$D$33)*INDIRECT("'"&amp;$G$44&amp;"'!$D$37:$D$52")/(1+$W28/100)^INDIRECT("'"&amp;$G$44&amp;"'!$C$37:$C$52")),0))</f>
        <v/>
      </c>
      <c r="AB28" s="134">
        <f>IF(COUNT($X28:$AA28)=0,"",IF($AC28=IFERROR($X28,9E+99),$H$41,IF($AC28=IFERROR($Y28,9E+99),$H$42,IF($AC28=IFERROR($Z28,9E+99),$H$43,$H$44))))</f>
        <v/>
      </c>
      <c r="AC28" s="311">
        <f>MIN(IFERROR($X28,9E+99),IFERROR($Y28,9E+99),IFERROR($Z28,9E+99),IFERROR($AA28,9E+99))</f>
        <v>0</v>
      </c>
    </row>
    <row r="29">
      <c r="W29" s="140" t="n">
        <v>6.25</v>
      </c>
      <c r="X29" s="135">
        <f>IF($G$41="",NA(),IFERROR($J$41+SUMPRODUCT((INDIRECT("'"&amp;$G$41&amp;"'!$C$37:$C$52")&lt;='General Information'!$D$33)*INDIRECT("'"&amp;$G$41&amp;"'!$D$37:$D$52")/(1+$W29/100)^INDIRECT("'"&amp;$G$41&amp;"'!$C$37:$C$52")),0))</f>
        <v/>
      </c>
      <c r="Y29" s="135">
        <f>IF($G$42="",NA(),IFERROR($J$42+SUMPRODUCT((INDIRECT("'"&amp;$G$42&amp;"'!$C$37:$C$52")&lt;='General Information'!$D$33)*INDIRECT("'"&amp;$G$42&amp;"'!$D$37:$D$52")/(1+$W29/100)^INDIRECT("'"&amp;$G$42&amp;"'!$C$37:$C$52")),0))</f>
        <v/>
      </c>
      <c r="Z29" s="135">
        <f>IF($G$43="",NA(),IFERROR($J$43+SUMPRODUCT((INDIRECT("'"&amp;$G$43&amp;"'!$C$37:$C$52")&lt;='General Information'!$D$33)*INDIRECT("'"&amp;$G$43&amp;"'!$D$37:$D$52")/(1+$W29/100)^INDIRECT("'"&amp;$G$43&amp;"'!$C$37:$C$52")),0))</f>
        <v/>
      </c>
      <c r="AA29" s="135">
        <f>IF($G$44="",NA(),IFERROR($J$44+SUMPRODUCT((INDIRECT("'"&amp;$G$44&amp;"'!$C$37:$C$52")&lt;='General Information'!$D$33)*INDIRECT("'"&amp;$G$44&amp;"'!$D$37:$D$52")/(1+$W29/100)^INDIRECT("'"&amp;$G$44&amp;"'!$C$37:$C$52")),0))</f>
        <v/>
      </c>
      <c r="AB29" s="134">
        <f>IF(COUNT($X29:$AA29)=0,"",IF($AC29=IFERROR($X29,9E+99),$H$41,IF($AC29=IFERROR($Y29,9E+99),$H$42,IF($AC29=IFERROR($Z29,9E+99),$H$43,$H$44))))</f>
        <v/>
      </c>
      <c r="AC29" s="311">
        <f>MIN(IFERROR($X29,9E+99),IFERROR($Y29,9E+99),IFERROR($Z29,9E+99),IFERROR($AA29,9E+99))</f>
        <v>0</v>
      </c>
    </row>
    <row r="30">
      <c r="G30" s="304" t="inlineStr">
        <is>
          <t xml:space="preserve">SUPPORTING DETAIL</t>
        </is>
      </c>
      <c r="H30" s="305"/>
      <c r="I30" s="305"/>
      <c r="J30" s="305"/>
      <c r="K30" s="305"/>
      <c r="L30" s="305"/>
      <c r="M30" s="305"/>
      <c r="N30" s="305"/>
      <c r="O30" s="305"/>
      <c r="P30" s="305"/>
      <c r="Q30" s="305"/>
      <c r="R30" s="305"/>
      <c r="W30" s="140" t="n">
        <v>6.5</v>
      </c>
      <c r="X30" s="135">
        <f>IF($G$41="",NA(),IFERROR($J$41+SUMPRODUCT((INDIRECT("'"&amp;$G$41&amp;"'!$C$37:$C$52")&lt;='General Information'!$D$33)*INDIRECT("'"&amp;$G$41&amp;"'!$D$37:$D$52")/(1+$W30/100)^INDIRECT("'"&amp;$G$41&amp;"'!$C$37:$C$52")),0))</f>
        <v/>
      </c>
      <c r="Y30" s="135">
        <f>IF($G$42="",NA(),IFERROR($J$42+SUMPRODUCT((INDIRECT("'"&amp;$G$42&amp;"'!$C$37:$C$52")&lt;='General Information'!$D$33)*INDIRECT("'"&amp;$G$42&amp;"'!$D$37:$D$52")/(1+$W30/100)^INDIRECT("'"&amp;$G$42&amp;"'!$C$37:$C$52")),0))</f>
        <v/>
      </c>
      <c r="Z30" s="135">
        <f>IF($G$43="",NA(),IFERROR($J$43+SUMPRODUCT((INDIRECT("'"&amp;$G$43&amp;"'!$C$37:$C$52")&lt;='General Information'!$D$33)*INDIRECT("'"&amp;$G$43&amp;"'!$D$37:$D$52")/(1+$W30/100)^INDIRECT("'"&amp;$G$43&amp;"'!$C$37:$C$52")),0))</f>
        <v/>
      </c>
      <c r="AA30" s="135">
        <f>IF($G$44="",NA(),IFERROR($J$44+SUMPRODUCT((INDIRECT("'"&amp;$G$44&amp;"'!$C$37:$C$52")&lt;='General Information'!$D$33)*INDIRECT("'"&amp;$G$44&amp;"'!$D$37:$D$52")/(1+$W30/100)^INDIRECT("'"&amp;$G$44&amp;"'!$C$37:$C$52")),0))</f>
        <v/>
      </c>
      <c r="AB30" s="134">
        <f>IF(COUNT($X30:$AA30)=0,"",IF($AC30=IFERROR($X30,9E+99),$H$41,IF($AC30=IFERROR($Y30,9E+99),$H$42,IF($AC30=IFERROR($Z30,9E+99),$H$43,$H$44))))</f>
        <v/>
      </c>
      <c r="AC30" s="311">
        <f>MIN(IFERROR($X30,9E+99),IFERROR($Y30,9E+99),IFERROR($Z30,9E+99),IFERROR($AA30,9E+99))</f>
        <v>0</v>
      </c>
    </row>
    <row r="31">
      <c r="W31" s="140" t="n">
        <v>6.75</v>
      </c>
      <c r="X31" s="135">
        <f>IF($G$41="",NA(),IFERROR($J$41+SUMPRODUCT((INDIRECT("'"&amp;$G$41&amp;"'!$C$37:$C$52")&lt;='General Information'!$D$33)*INDIRECT("'"&amp;$G$41&amp;"'!$D$37:$D$52")/(1+$W31/100)^INDIRECT("'"&amp;$G$41&amp;"'!$C$37:$C$52")),0))</f>
        <v/>
      </c>
      <c r="Y31" s="135">
        <f>IF($G$42="",NA(),IFERROR($J$42+SUMPRODUCT((INDIRECT("'"&amp;$G$42&amp;"'!$C$37:$C$52")&lt;='General Information'!$D$33)*INDIRECT("'"&amp;$G$42&amp;"'!$D$37:$D$52")/(1+$W31/100)^INDIRECT("'"&amp;$G$42&amp;"'!$C$37:$C$52")),0))</f>
        <v/>
      </c>
      <c r="Z31" s="135">
        <f>IF($G$43="",NA(),IFERROR($J$43+SUMPRODUCT((INDIRECT("'"&amp;$G$43&amp;"'!$C$37:$C$52")&lt;='General Information'!$D$33)*INDIRECT("'"&amp;$G$43&amp;"'!$D$37:$D$52")/(1+$W31/100)^INDIRECT("'"&amp;$G$43&amp;"'!$C$37:$C$52")),0))</f>
        <v/>
      </c>
      <c r="AA31" s="135">
        <f>IF($G$44="",NA(),IFERROR($J$44+SUMPRODUCT((INDIRECT("'"&amp;$G$44&amp;"'!$C$37:$C$52")&lt;='General Information'!$D$33)*INDIRECT("'"&amp;$G$44&amp;"'!$D$37:$D$52")/(1+$W31/100)^INDIRECT("'"&amp;$G$44&amp;"'!$C$37:$C$52")),0))</f>
        <v/>
      </c>
      <c r="AB31" s="134">
        <f>IF(COUNT($X31:$AA31)=0,"",IF($AC31=IFERROR($X31,9E+99),$H$41,IF($AC31=IFERROR($Y31,9E+99),$H$42,IF($AC31=IFERROR($Z31,9E+99),$H$43,$H$44))))</f>
        <v/>
      </c>
      <c r="AC31" s="311">
        <f>MIN(IFERROR($X31,9E+99),IFERROR($Y31,9E+99),IFERROR($Z31,9E+99),IFERROR($AA31,9E+99))</f>
        <v>0</v>
      </c>
    </row>
    <row r="32">
      <c r="W32" s="140" t="n">
        <v>7</v>
      </c>
      <c r="X32" s="135">
        <f>IF($G$41="",NA(),IFERROR($J$41+SUMPRODUCT((INDIRECT("'"&amp;$G$41&amp;"'!$C$37:$C$52")&lt;='General Information'!$D$33)*INDIRECT("'"&amp;$G$41&amp;"'!$D$37:$D$52")/(1+$W32/100)^INDIRECT("'"&amp;$G$41&amp;"'!$C$37:$C$52")),0))</f>
        <v/>
      </c>
      <c r="Y32" s="135">
        <f>IF($G$42="",NA(),IFERROR($J$42+SUMPRODUCT((INDIRECT("'"&amp;$G$42&amp;"'!$C$37:$C$52")&lt;='General Information'!$D$33)*INDIRECT("'"&amp;$G$42&amp;"'!$D$37:$D$52")/(1+$W32/100)^INDIRECT("'"&amp;$G$42&amp;"'!$C$37:$C$52")),0))</f>
        <v/>
      </c>
      <c r="Z32" s="135">
        <f>IF($G$43="",NA(),IFERROR($J$43+SUMPRODUCT((INDIRECT("'"&amp;$G$43&amp;"'!$C$37:$C$52")&lt;='General Information'!$D$33)*INDIRECT("'"&amp;$G$43&amp;"'!$D$37:$D$52")/(1+$W32/100)^INDIRECT("'"&amp;$G$43&amp;"'!$C$37:$C$52")),0))</f>
        <v/>
      </c>
      <c r="AA32" s="135">
        <f>IF($G$44="",NA(),IFERROR($J$44+SUMPRODUCT((INDIRECT("'"&amp;$G$44&amp;"'!$C$37:$C$52")&lt;='General Information'!$D$33)*INDIRECT("'"&amp;$G$44&amp;"'!$D$37:$D$52")/(1+$W32/100)^INDIRECT("'"&amp;$G$44&amp;"'!$C$37:$C$52")),0))</f>
        <v/>
      </c>
      <c r="AB32" s="134">
        <f>IF(COUNT($X32:$AA32)=0,"",IF($AC32=IFERROR($X32,9E+99),$H$41,IF($AC32=IFERROR($Y32,9E+99),$H$42,IF($AC32=IFERROR($Z32,9E+99),$H$43,$H$44))))</f>
        <v/>
      </c>
      <c r="AC32" s="311">
        <f>MIN(IFERROR($X32,9E+99),IFERROR($Y32,9E+99),IFERROR($Z32,9E+99),IFERROR($AA32,9E+99))</f>
        <v>0</v>
      </c>
    </row>
    <row r="33">
      <c r="W33" s="140" t="n">
        <v>7.25</v>
      </c>
      <c r="X33" s="135">
        <f>IF($G$41="",NA(),IFERROR($J$41+SUMPRODUCT((INDIRECT("'"&amp;$G$41&amp;"'!$C$37:$C$52")&lt;='General Information'!$D$33)*INDIRECT("'"&amp;$G$41&amp;"'!$D$37:$D$52")/(1+$W33/100)^INDIRECT("'"&amp;$G$41&amp;"'!$C$37:$C$52")),0))</f>
        <v/>
      </c>
      <c r="Y33" s="135">
        <f>IF($G$42="",NA(),IFERROR($J$42+SUMPRODUCT((INDIRECT("'"&amp;$G$42&amp;"'!$C$37:$C$52")&lt;='General Information'!$D$33)*INDIRECT("'"&amp;$G$42&amp;"'!$D$37:$D$52")/(1+$W33/100)^INDIRECT("'"&amp;$G$42&amp;"'!$C$37:$C$52")),0))</f>
        <v/>
      </c>
      <c r="Z33" s="135">
        <f>IF($G$43="",NA(),IFERROR($J$43+SUMPRODUCT((INDIRECT("'"&amp;$G$43&amp;"'!$C$37:$C$52")&lt;='General Information'!$D$33)*INDIRECT("'"&amp;$G$43&amp;"'!$D$37:$D$52")/(1+$W33/100)^INDIRECT("'"&amp;$G$43&amp;"'!$C$37:$C$52")),0))</f>
        <v/>
      </c>
      <c r="AA33" s="135">
        <f>IF($G$44="",NA(),IFERROR($J$44+SUMPRODUCT((INDIRECT("'"&amp;$G$44&amp;"'!$C$37:$C$52")&lt;='General Information'!$D$33)*INDIRECT("'"&amp;$G$44&amp;"'!$D$37:$D$52")/(1+$W33/100)^INDIRECT("'"&amp;$G$44&amp;"'!$C$37:$C$52")),0))</f>
        <v/>
      </c>
      <c r="AB33" s="134">
        <f>IF(COUNT($X33:$AA33)=0,"",IF($AC33=IFERROR($X33,9E+99),$H$41,IF($AC33=IFERROR($Y33,9E+99),$H$42,IF($AC33=IFERROR($Z33,9E+99),$H$43,$H$44))))</f>
        <v/>
      </c>
      <c r="AC33" s="311">
        <f>MIN(IFERROR($X33,9E+99),IFERROR($Y33,9E+99),IFERROR($Z33,9E+99),IFERROR($AA33,9E+99))</f>
        <v>0</v>
      </c>
    </row>
    <row r="34">
      <c r="W34" s="140" t="n">
        <v>7.5</v>
      </c>
      <c r="X34" s="135">
        <f>IF($G$41="",NA(),IFERROR($J$41+SUMPRODUCT((INDIRECT("'"&amp;$G$41&amp;"'!$C$37:$C$52")&lt;='General Information'!$D$33)*INDIRECT("'"&amp;$G$41&amp;"'!$D$37:$D$52")/(1+$W34/100)^INDIRECT("'"&amp;$G$41&amp;"'!$C$37:$C$52")),0))</f>
        <v/>
      </c>
      <c r="Y34" s="135">
        <f>IF($G$42="",NA(),IFERROR($J$42+SUMPRODUCT((INDIRECT("'"&amp;$G$42&amp;"'!$C$37:$C$52")&lt;='General Information'!$D$33)*INDIRECT("'"&amp;$G$42&amp;"'!$D$37:$D$52")/(1+$W34/100)^INDIRECT("'"&amp;$G$42&amp;"'!$C$37:$C$52")),0))</f>
        <v/>
      </c>
      <c r="Z34" s="135">
        <f>IF($G$43="",NA(),IFERROR($J$43+SUMPRODUCT((INDIRECT("'"&amp;$G$43&amp;"'!$C$37:$C$52")&lt;='General Information'!$D$33)*INDIRECT("'"&amp;$G$43&amp;"'!$D$37:$D$52")/(1+$W34/100)^INDIRECT("'"&amp;$G$43&amp;"'!$C$37:$C$52")),0))</f>
        <v/>
      </c>
      <c r="AA34" s="135">
        <f>IF($G$44="",NA(),IFERROR($J$44+SUMPRODUCT((INDIRECT("'"&amp;$G$44&amp;"'!$C$37:$C$52")&lt;='General Information'!$D$33)*INDIRECT("'"&amp;$G$44&amp;"'!$D$37:$D$52")/(1+$W34/100)^INDIRECT("'"&amp;$G$44&amp;"'!$C$37:$C$52")),0))</f>
        <v/>
      </c>
      <c r="AB34" s="134">
        <f>IF(COUNT($X34:$AA34)=0,"",IF($AC34=IFERROR($X34,9E+99),$H$41,IF($AC34=IFERROR($Y34,9E+99),$H$42,IF($AC34=IFERROR($Z34,9E+99),$H$43,$H$44))))</f>
        <v/>
      </c>
      <c r="AC34" s="311">
        <f>MIN(IFERROR($X34,9E+99),IFERROR($Y34,9E+99),IFERROR($Z34,9E+99),IFERROR($AA34,9E+99))</f>
        <v>0</v>
      </c>
    </row>
    <row r="35">
      <c r="W35" s="140" t="n">
        <v>7.75</v>
      </c>
      <c r="X35" s="135">
        <f>IF($G$41="",NA(),IFERROR($J$41+SUMPRODUCT((INDIRECT("'"&amp;$G$41&amp;"'!$C$37:$C$52")&lt;='General Information'!$D$33)*INDIRECT("'"&amp;$G$41&amp;"'!$D$37:$D$52")/(1+$W35/100)^INDIRECT("'"&amp;$G$41&amp;"'!$C$37:$C$52")),0))</f>
        <v/>
      </c>
      <c r="Y35" s="135">
        <f>IF($G$42="",NA(),IFERROR($J$42+SUMPRODUCT((INDIRECT("'"&amp;$G$42&amp;"'!$C$37:$C$52")&lt;='General Information'!$D$33)*INDIRECT("'"&amp;$G$42&amp;"'!$D$37:$D$52")/(1+$W35/100)^INDIRECT("'"&amp;$G$42&amp;"'!$C$37:$C$52")),0))</f>
        <v/>
      </c>
      <c r="Z35" s="135">
        <f>IF($G$43="",NA(),IFERROR($J$43+SUMPRODUCT((INDIRECT("'"&amp;$G$43&amp;"'!$C$37:$C$52")&lt;='General Information'!$D$33)*INDIRECT("'"&amp;$G$43&amp;"'!$D$37:$D$52")/(1+$W35/100)^INDIRECT("'"&amp;$G$43&amp;"'!$C$37:$C$52")),0))</f>
        <v/>
      </c>
      <c r="AA35" s="135">
        <f>IF($G$44="",NA(),IFERROR($J$44+SUMPRODUCT((INDIRECT("'"&amp;$G$44&amp;"'!$C$37:$C$52")&lt;='General Information'!$D$33)*INDIRECT("'"&amp;$G$44&amp;"'!$D$37:$D$52")/(1+$W35/100)^INDIRECT("'"&amp;$G$44&amp;"'!$C$37:$C$52")),0))</f>
        <v/>
      </c>
      <c r="AB35" s="134">
        <f>IF(COUNT($X35:$AA35)=0,"",IF($AC35=IFERROR($X35,9E+99),$H$41,IF($AC35=IFERROR($Y35,9E+99),$H$42,IF($AC35=IFERROR($Z35,9E+99),$H$43,$H$44))))</f>
        <v/>
      </c>
      <c r="AC35" s="311">
        <f>MIN(IFERROR($X35,9E+99),IFERROR($Y35,9E+99),IFERROR($Z35,9E+99),IFERROR($AA35,9E+99))</f>
        <v>0</v>
      </c>
    </row>
    <row r="36">
      <c r="W36" s="140" t="n">
        <v>8</v>
      </c>
      <c r="X36" s="135">
        <f>IF($G$41="",NA(),IFERROR($J$41+SUMPRODUCT((INDIRECT("'"&amp;$G$41&amp;"'!$C$37:$C$52")&lt;='General Information'!$D$33)*INDIRECT("'"&amp;$G$41&amp;"'!$D$37:$D$52")/(1+$W36/100)^INDIRECT("'"&amp;$G$41&amp;"'!$C$37:$C$52")),0))</f>
        <v/>
      </c>
      <c r="Y36" s="135">
        <f>IF($G$42="",NA(),IFERROR($J$42+SUMPRODUCT((INDIRECT("'"&amp;$G$42&amp;"'!$C$37:$C$52")&lt;='General Information'!$D$33)*INDIRECT("'"&amp;$G$42&amp;"'!$D$37:$D$52")/(1+$W36/100)^INDIRECT("'"&amp;$G$42&amp;"'!$C$37:$C$52")),0))</f>
        <v/>
      </c>
      <c r="Z36" s="135">
        <f>IF($G$43="",NA(),IFERROR($J$43+SUMPRODUCT((INDIRECT("'"&amp;$G$43&amp;"'!$C$37:$C$52")&lt;='General Information'!$D$33)*INDIRECT("'"&amp;$G$43&amp;"'!$D$37:$D$52")/(1+$W36/100)^INDIRECT("'"&amp;$G$43&amp;"'!$C$37:$C$52")),0))</f>
        <v/>
      </c>
      <c r="AA36" s="135">
        <f>IF($G$44="",NA(),IFERROR($J$44+SUMPRODUCT((INDIRECT("'"&amp;$G$44&amp;"'!$C$37:$C$52")&lt;='General Information'!$D$33)*INDIRECT("'"&amp;$G$44&amp;"'!$D$37:$D$52")/(1+$W36/100)^INDIRECT("'"&amp;$G$44&amp;"'!$C$37:$C$52")),0))</f>
        <v/>
      </c>
      <c r="AB36" s="134">
        <f>IF(COUNT($X36:$AA36)=0,"",IF($AC36=IFERROR($X36,9E+99),$H$41,IF($AC36=IFERROR($Y36,9E+99),$H$42,IF($AC36=IFERROR($Z36,9E+99),$H$43,$H$44))))</f>
        <v/>
      </c>
      <c r="AC36" s="311">
        <f>MIN(IFERROR($X36,9E+99),IFERROR($Y36,9E+99),IFERROR($Z36,9E+99),IFERROR($AA36,9E+99))</f>
        <v>0</v>
      </c>
    </row>
    <row r="37">
      <c r="G37" s="320" t="inlineStr">
        <is>
          <r>
            <rPr>
              <sz val="8"/>
              <color rgb="FFDCCBA0"/>
              <rFont val="Calibri"/>
              <family val="2"/>
            </rPr>
            <t xml:space="preserve">■ </t>
          </r>
          <r>
            <rPr>
              <sz val="8"/>
              <color rgb="FF5B6675"/>
              <rFont val="Calibri"/>
              <family val="2"/>
            </rPr>
            <t xml:space="preserve">Subbase (P-154)</t>
          </r>
        </is>
      </c>
      <c r="H37" s="320"/>
      <c r="I37" s="320" t="inlineStr">
        <is>
          <r>
            <rPr>
              <sz val="8"/>
              <color rgb="FFC8A96E"/>
              <rFont val="Calibri"/>
              <family val="2"/>
            </rPr>
            <t xml:space="preserve">■ </t>
          </r>
          <r>
            <rPr>
              <sz val="8"/>
              <color rgb="FF5B6675"/>
              <rFont val="Calibri"/>
              <family val="2"/>
            </rPr>
            <t xml:space="preserve">Aggregate base</t>
          </r>
        </is>
      </c>
      <c r="J37" s="320"/>
      <c r="K37" s="320" t="inlineStr">
        <is>
          <r>
            <rPr>
              <sz val="8"/>
              <color rgb="FF3A3A3A"/>
              <rFont val="Calibri"/>
              <family val="2"/>
            </rPr>
            <t xml:space="preserve">■ </t>
          </r>
          <r>
            <rPr>
              <sz val="8"/>
              <color rgb="FF5B6675"/>
              <rFont val="Calibri"/>
              <family val="2"/>
            </rPr>
            <t xml:space="preserve">Asphalt</t>
          </r>
        </is>
      </c>
      <c r="L37" s="320"/>
      <c r="M37" s="320" t="inlineStr">
        <is>
          <r>
            <rPr>
              <sz val="8"/>
              <color rgb="FFC6CBD0"/>
              <rFont val="Calibri"/>
              <family val="2"/>
            </rPr>
            <t xml:space="preserve">■ </t>
          </r>
          <r>
            <rPr>
              <sz val="8"/>
              <color rgb="FF5B6675"/>
              <rFont val="Calibri"/>
              <family val="2"/>
            </rPr>
            <t xml:space="preserve">Concrete</t>
          </r>
        </is>
      </c>
      <c r="N37" s="320"/>
      <c r="O37" s="320" t="inlineStr">
        <is>
          <r>
            <rPr>
              <sz val="8"/>
              <color rgb="FF9AA7B4"/>
              <rFont val="Calibri"/>
              <family val="2"/>
            </rPr>
            <t xml:space="preserve">■ </t>
          </r>
          <r>
            <rPr>
              <sz val="8"/>
              <color rgb="FF5B6675"/>
              <rFont val="Calibri"/>
              <family val="2"/>
            </rPr>
            <t xml:space="preserve">West</t>
          </r>
        </is>
      </c>
      <c r="P37" s="320" t="inlineStr">
        <is>
          <r>
            <rPr>
              <sz val="8"/>
              <color rgb="FF9AA7B4"/>
              <rFont val="Calibri"/>
              <family val="2"/>
            </rPr>
            <t xml:space="preserve">■ </t>
          </r>
          <r>
            <rPr>
              <sz val="8"/>
              <color rgb="FF5B6675"/>
              <rFont val="Calibri"/>
              <family val="2"/>
            </rPr>
            <t xml:space="preserve">Middle</t>
          </r>
        </is>
      </c>
      <c r="Q37" s="320" t="inlineStr">
        <is>
          <r>
            <rPr>
              <sz val="8"/>
              <color rgb="FF9AA7B4"/>
              <rFont val="Calibri"/>
              <family val="2"/>
            </rPr>
            <t xml:space="preserve">■ </t>
          </r>
          <r>
            <rPr>
              <sz val="8"/>
              <color rgb="FF5B6675"/>
              <rFont val="Calibri"/>
              <family val="2"/>
            </rPr>
            <t xml:space="preserve">East</t>
          </r>
        </is>
      </c>
      <c r="R37" s="320" t="inlineStr">
        <is>
          <r>
            <rPr>
              <sz val="8"/>
              <color rgb="FFBBD4EE"/>
              <rFont val="Calibri"/>
              <family val="2"/>
            </rPr>
            <t xml:space="preserve">■ </t>
          </r>
          <r>
            <rPr>
              <sz val="8"/>
              <color rgb="FF5B6675"/>
              <rFont val="Calibri"/>
              <family val="2"/>
            </rPr>
            <t xml:space="preserve">This project</t>
          </r>
        </is>
      </c>
    </row>
    <row r="38">
      <c r="G38" s="136" t="inlineStr">
        <is>
          <t>Chart 8 divides each alternative's initial construction by the mainline area. The band is the all-in range for recent Tennessee runway work, $210 to $280 per S.Y. on Typical Values, which covers pavement, lighting and grading; this workbook prices the pavement contract, so every bar should sit below the band. Far below it, or above it, is worth a second look at the quantities.</t>
        </is>
      </c>
    </row>
    <row r="39" ht="22" customHeight="1">
      <c r="G39" s="304" t="inlineStr">
        <is>
          <t xml:space="preserve">THE NUMBERS — every alternative, in full</t>
        </is>
      </c>
      <c r="H39" s="305"/>
      <c r="I39" s="305"/>
      <c r="J39" s="305"/>
      <c r="K39" s="305"/>
      <c r="L39" s="305"/>
      <c r="M39" s="305"/>
      <c r="N39" s="305"/>
      <c r="O39" s="305"/>
      <c r="P39" s="305"/>
      <c r="Q39" s="305"/>
      <c r="R39" s="305"/>
      <c r="W39" s="122" t="inlineStr">
        <is>
          <t>By calendar year: spend (undiscounted), cumulative discounted cost, closure days</t>
        </is>
      </c>
    </row>
    <row r="40">
      <c r="G40" s="209" t="inlineStr">
        <is>
          <t>Worksheet</t>
        </is>
      </c>
      <c r="H40" s="209" t="inlineStr">
        <is>
          <t>Alternative</t>
        </is>
      </c>
      <c r="I40" s="209" t="inlineStr">
        <is>
          <t>Type</t>
        </is>
      </c>
      <c r="J40" s="209" t="inlineStr">
        <is>
          <t>Initial construction</t>
        </is>
      </c>
      <c r="K40" s="209" t="inlineStr">
        <is>
          <t>Maintenance PW</t>
        </is>
      </c>
      <c r="L40" s="209" t="inlineStr">
        <is>
          <t>Rehabilitation PW</t>
        </is>
      </c>
      <c r="M40" s="209" t="inlineStr">
        <is>
          <t>Lost revenue PW</t>
        </is>
      </c>
      <c r="N40" s="209" t="inlineStr">
        <is>
          <t>Salvage PW</t>
        </is>
      </c>
      <c r="O40" s="209" t="inlineStr">
        <is>
          <t>Net present worth</t>
        </is>
      </c>
      <c r="P40" s="209" t="inlineStr">
        <is>
          <t>vs. lowest NPW</t>
        </is>
      </c>
      <c r="Q40" s="209" t="inlineStr">
        <is>
          <t>Closure days in period</t>
        </is>
      </c>
      <c r="R40" s="209" t="inlineStr">
        <is>
          <t>Runway availability</t>
        </is>
      </c>
      <c r="W40" s="124" t="inlineStr">
        <is>
          <t>Year</t>
        </is>
      </c>
      <c r="X40" s="124" t="inlineStr">
        <is>
          <t>Calendar year</t>
        </is>
      </c>
      <c r="Y40" s="124">
        <f>IF(X$4=""," ",X$4&amp;" spend")</f>
        <v/>
      </c>
      <c r="Z40" s="124">
        <f>IF(Y$4=""," ",Y$4&amp;" spend")</f>
        <v/>
      </c>
      <c r="AA40" s="124">
        <f>IF(Z$4=""," ",Z$4&amp;" spend")</f>
        <v/>
      </c>
      <c r="AB40" s="124">
        <f>IF(AA$4=""," ",AA$4&amp;" spend")</f>
        <v/>
      </c>
      <c r="AC40" s="124">
        <f>IF(X$4=""," ",X$4&amp;" cumulative PW")</f>
        <v/>
      </c>
      <c r="AD40" s="124">
        <f>IF(Y$4=""," ",Y$4&amp;" cumulative PW")</f>
        <v/>
      </c>
      <c r="AE40" s="124">
        <f>IF(Z$4=""," ",Z$4&amp;" cumulative PW")</f>
        <v/>
      </c>
      <c r="AF40" s="124">
        <f>IF(AA$4=""," ",AA$4&amp;" cumulative PW")</f>
        <v/>
      </c>
      <c r="AG40" s="124">
        <f>IF(X$4=""," ",X$4&amp;" closure days")</f>
        <v/>
      </c>
      <c r="AH40" s="124">
        <f>IF(Y$4=""," ",Y$4&amp;" closure days")</f>
        <v/>
      </c>
      <c r="AI40" s="124">
        <f>IF(Z$4=""," ",Z$4&amp;" closure days")</f>
        <v/>
      </c>
      <c r="AJ40" s="124">
        <f>IF(AA$4=""," ",AA$4&amp;" closure days")</f>
        <v/>
      </c>
    </row>
    <row r="41">
      <c r="G41" s="137">
        <f>IF(INDEX(Database!$D:$D,4)="","",INDEX(Database!$D:$D,4))</f>
        <v/>
      </c>
      <c r="H41" s="137">
        <f>IF($G41="","",INDEX(Database!$A:$A,4))</f>
        <v/>
      </c>
      <c r="I41" s="137">
        <f>IF($G41="","",INDEX(Database!$B:$B,4))</f>
        <v/>
      </c>
      <c r="J41" s="138">
        <f>IF($G41="","",IFERROR(INDEX(INDIRECT("'"&amp;$G41&amp;"'!$G$1:$G$70"),MATCH("Total",INDIRECT("'"&amp;$G41&amp;"'!$A$1:$A$70"),0)),0))</f>
        <v/>
      </c>
      <c r="K41" s="138">
        <f>IF($G41="","",IFERROR(SUMIFS(INDIRECT("'"&amp;$G41&amp;"'!$E$37:$E$52"),INDIRECT("'"&amp;$G41&amp;"'!$B$37:$B$52"),"Maintenance*",INDIRECT("'"&amp;$G41&amp;"'!$B$37:$B$52"),"&lt;&gt;*Indirect*"),0))</f>
        <v/>
      </c>
      <c r="L41" s="138">
        <f>IF($G41="","",IFERROR(SUMIFS(INDIRECT("'"&amp;$G41&amp;"'!$E$37:$E$52"),INDIRECT("'"&amp;$G41&amp;"'!$B$37:$B$52"),"Rehabilitation*",INDIRECT("'"&amp;$G41&amp;"'!$B$37:$B$52"),"&lt;&gt;*Indirect*"),0))</f>
        <v/>
      </c>
      <c r="M41" s="138">
        <f>IF($G41="","",IFERROR(SUMIFS(INDIRECT("'"&amp;$G41&amp;"'!$E$37:$E$52"),INDIRECT("'"&amp;$G41&amp;"'!$B$37:$B$52"),"*Indirect*"),0))</f>
        <v/>
      </c>
      <c r="N41" s="138">
        <f>IF($G41="","",IFERROR(SUMIFS(INDIRECT("'"&amp;$G41&amp;"'!$E$37:$E$52"),INDIRECT("'"&amp;$G41&amp;"'!$B$37:$B$52"),"Salvage*"),0))</f>
        <v/>
      </c>
      <c r="O41" s="138">
        <f>IF($G41="","",IFERROR(INDEX(INDIRECT("'"&amp;$G41&amp;"'!$E$1:$E$70"),MATCH("Net Present Worth",INDIRECT("'"&amp;$G41&amp;"'!$B$1:$B$70"),0)),0))</f>
        <v/>
      </c>
      <c r="P41" s="138">
        <f>IF($G41="","",O41-MIN($O$41:$O$44))</f>
        <v/>
      </c>
      <c r="Q41" s="137">
        <f>IF($G41="","",IF(IFERROR(INDIRECT("'"&amp;$G41&amp;"'!$F$2"),0)&gt;0,SUM($AG$41:$AG$71),IFERROR(SUM(INDIRECT("'"&amp;$G41&amp;"'!$F$4:$F$10")),0)))</f>
        <v/>
      </c>
      <c r="R41" s="139">
        <f>IF($G41="","",1-Q41/('General Information'!$D$33*365))</f>
        <v/>
      </c>
      <c r="W41" s="134" t="n">
        <v>0</v>
      </c>
      <c r="X41" s="134">
        <f>'General Information'!$D$25+W41</f>
        <v/>
      </c>
      <c r="Y41" s="135">
        <f>IF($G$41="",0,IF(W41&gt;'General Information'!$D$33,0,IF(W41=0,$J$41,IFERROR(SUMIF(INDIRECT("'"&amp;$G$41&amp;"'!$C$37:$C$52"),W41,INDIRECT("'"&amp;$G$41&amp;"'!$D$37:$D$52")),0))))</f>
        <v/>
      </c>
      <c r="Z41" s="135">
        <f>IF($G$42="",0,IF(W41&gt;'General Information'!$D$33,0,IF(W41=0,$J$42,IFERROR(SUMIF(INDIRECT("'"&amp;$G$42&amp;"'!$C$37:$C$52"),W41,INDIRECT("'"&amp;$G$42&amp;"'!$D$37:$D$52")),0))))</f>
        <v/>
      </c>
      <c r="AA41" s="135">
        <f>IF($G$43="",0,IF(W41&gt;'General Information'!$D$33,0,IF(W41=0,$J$43,IFERROR(SUMIF(INDIRECT("'"&amp;$G$43&amp;"'!$C$37:$C$52"),W41,INDIRECT("'"&amp;$G$43&amp;"'!$D$37:$D$52")),0))))</f>
        <v/>
      </c>
      <c r="AB41" s="135">
        <f>IF($G$44="",0,IF(W41&gt;'General Information'!$D$33,0,IF(W41=0,$J$44,IFERROR(SUMIF(INDIRECT("'"&amp;$G$44&amp;"'!$C$37:$C$52"),W41,INDIRECT("'"&amp;$G$44&amp;"'!$D$37:$D$52")),0))))</f>
        <v/>
      </c>
      <c r="AC41" s="135">
        <f>IF($G$41="",NA(),IF(W41&gt;'General Information'!$D$33,0,IF(W41=0,$J$41,IFERROR(SUMIF(INDIRECT("'"&amp;$G$41&amp;"'!$C$37:$C$52"),W41,INDIRECT("'"&amp;$G$41&amp;"'!$E$37:$E$52")),0))))</f>
        <v/>
      </c>
      <c r="AD41" s="135">
        <f>IF($G$42="",NA(),IF(W41&gt;'General Information'!$D$33,0,IF(W41=0,$J$42,IFERROR(SUMIF(INDIRECT("'"&amp;$G$42&amp;"'!$C$37:$C$52"),W41,INDIRECT("'"&amp;$G$42&amp;"'!$E$37:$E$52")),0))))</f>
        <v/>
      </c>
      <c r="AE41" s="135">
        <f>IF($G$43="",NA(),IF(W41&gt;'General Information'!$D$33,0,IF(W41=0,$J$43,IFERROR(SUMIF(INDIRECT("'"&amp;$G$43&amp;"'!$C$37:$C$52"),W41,INDIRECT("'"&amp;$G$43&amp;"'!$E$37:$E$52")),0))))</f>
        <v/>
      </c>
      <c r="AF41" s="135">
        <f>IF($G$44="",NA(),IF(W41&gt;'General Information'!$D$33,0,IF(W41=0,$J$44,IFERROR(SUMIF(INDIRECT("'"&amp;$G$44&amp;"'!$C$37:$C$52"),W41,INDIRECT("'"&amp;$G$44&amp;"'!$E$37:$E$52")),0))))</f>
        <v/>
      </c>
      <c r="AG41" s="152">
        <f>IF($G$41="",0,IF(W41&gt;'General Information'!$D$33,0,IFERROR(SUMIFS(INDIRECT("'"&amp;$G$41&amp;"'!$D$37:$D$52"),INDIRECT("'"&amp;$G$41&amp;"'!$C$37:$C$52"),W41,INDIRECT("'"&amp;$G$41&amp;"'!$B$37:$B$52"),"*Indirect*")/INDIRECT("'"&amp;$G$41&amp;"'!$F$2"),0)))</f>
        <v/>
      </c>
      <c r="AH41" s="152">
        <f>IF($G$42="",0,IF(W41&gt;'General Information'!$D$33,0,IFERROR(SUMIFS(INDIRECT("'"&amp;$G$42&amp;"'!$D$37:$D$52"),INDIRECT("'"&amp;$G$42&amp;"'!$C$37:$C$52"),W41,INDIRECT("'"&amp;$G$42&amp;"'!$B$37:$B$52"),"*Indirect*")/INDIRECT("'"&amp;$G$42&amp;"'!$F$2"),0)))</f>
        <v/>
      </c>
      <c r="AI41" s="152">
        <f>IF($G$43="",0,IF(W41&gt;'General Information'!$D$33,0,IFERROR(SUMIFS(INDIRECT("'"&amp;$G$43&amp;"'!$D$37:$D$52"),INDIRECT("'"&amp;$G$43&amp;"'!$C$37:$C$52"),W41,INDIRECT("'"&amp;$G$43&amp;"'!$B$37:$B$52"),"*Indirect*")/INDIRECT("'"&amp;$G$43&amp;"'!$F$2"),0)))</f>
        <v/>
      </c>
      <c r="AJ41" s="152">
        <f>IF($G$44="",0,IF(W41&gt;'General Information'!$D$33,0,IFERROR(SUMIFS(INDIRECT("'"&amp;$G$44&amp;"'!$D$37:$D$52"),INDIRECT("'"&amp;$G$44&amp;"'!$C$37:$C$52"),W41,INDIRECT("'"&amp;$G$44&amp;"'!$B$37:$B$52"),"*Indirect*")/INDIRECT("'"&amp;$G$44&amp;"'!$F$2"),0)))</f>
        <v/>
      </c>
    </row>
    <row r="42">
      <c r="G42" s="137">
        <f>IF(INDEX(Database!$D:$D,5)="","",INDEX(Database!$D:$D,5))</f>
        <v/>
      </c>
      <c r="H42" s="137">
        <f>IF($G42="","",INDEX(Database!$A:$A,5))</f>
        <v/>
      </c>
      <c r="I42" s="137">
        <f>IF($G42="","",INDEX(Database!$B:$B,5))</f>
        <v/>
      </c>
      <c r="J42" s="138">
        <f>IF($G42="","",IFERROR(INDEX(INDIRECT("'"&amp;$G42&amp;"'!$G$1:$G$70"),MATCH("Total",INDIRECT("'"&amp;$G42&amp;"'!$A$1:$A$70"),0)),0))</f>
        <v/>
      </c>
      <c r="K42" s="138">
        <f>IF($G42="","",IFERROR(SUMIFS(INDIRECT("'"&amp;$G42&amp;"'!$E$37:$E$52"),INDIRECT("'"&amp;$G42&amp;"'!$B$37:$B$52"),"Maintenance*",INDIRECT("'"&amp;$G42&amp;"'!$B$37:$B$52"),"&lt;&gt;*Indirect*"),0))</f>
        <v/>
      </c>
      <c r="L42" s="138">
        <f>IF($G42="","",IFERROR(SUMIFS(INDIRECT("'"&amp;$G42&amp;"'!$E$37:$E$52"),INDIRECT("'"&amp;$G42&amp;"'!$B$37:$B$52"),"Rehabilitation*",INDIRECT("'"&amp;$G42&amp;"'!$B$37:$B$52"),"&lt;&gt;*Indirect*"),0))</f>
        <v/>
      </c>
      <c r="M42" s="138">
        <f>IF($G42="","",IFERROR(SUMIFS(INDIRECT("'"&amp;$G42&amp;"'!$E$37:$E$52"),INDIRECT("'"&amp;$G42&amp;"'!$B$37:$B$52"),"*Indirect*"),0))</f>
        <v/>
      </c>
      <c r="N42" s="138">
        <f>IF($G42="","",IFERROR(SUMIFS(INDIRECT("'"&amp;$G42&amp;"'!$E$37:$E$52"),INDIRECT("'"&amp;$G42&amp;"'!$B$37:$B$52"),"Salvage*"),0))</f>
        <v/>
      </c>
      <c r="O42" s="138">
        <f>IF($G42="","",IFERROR(INDEX(INDIRECT("'"&amp;$G42&amp;"'!$E$1:$E$70"),MATCH("Net Present Worth",INDIRECT("'"&amp;$G42&amp;"'!$B$1:$B$70"),0)),0))</f>
        <v/>
      </c>
      <c r="P42" s="138">
        <f>IF($G42="","",O42-MIN($O$41:$O$44))</f>
        <v/>
      </c>
      <c r="Q42" s="137">
        <f>IF($G42="","",IF(IFERROR(INDIRECT("'"&amp;$G42&amp;"'!$F$2"),0)&gt;0,SUM($AH$41:$AH$71),IFERROR(SUM(INDIRECT("'"&amp;$G42&amp;"'!$F$4:$F$10")),0)))</f>
        <v/>
      </c>
      <c r="R42" s="139">
        <f>IF($G42="","",1-Q42/('General Information'!$D$33*365))</f>
        <v/>
      </c>
      <c r="W42" s="134" t="n">
        <v>1</v>
      </c>
      <c r="X42" s="134">
        <f>'General Information'!$D$25+W42</f>
        <v/>
      </c>
      <c r="Y42" s="135">
        <f>IF($G$41="",0,IF(W42&gt;'General Information'!$D$33,0,IF(W42=0,$J$41,IFERROR(SUMIF(INDIRECT("'"&amp;$G$41&amp;"'!$C$37:$C$52"),W42,INDIRECT("'"&amp;$G$41&amp;"'!$D$37:$D$52")),0))))</f>
        <v/>
      </c>
      <c r="Z42" s="135">
        <f>IF($G$42="",0,IF(W42&gt;'General Information'!$D$33,0,IF(W42=0,$J$42,IFERROR(SUMIF(INDIRECT("'"&amp;$G$42&amp;"'!$C$37:$C$52"),W42,INDIRECT("'"&amp;$G$42&amp;"'!$D$37:$D$52")),0))))</f>
        <v/>
      </c>
      <c r="AA42" s="135">
        <f>IF($G$43="",0,IF(W42&gt;'General Information'!$D$33,0,IF(W42=0,$J$43,IFERROR(SUMIF(INDIRECT("'"&amp;$G$43&amp;"'!$C$37:$C$52"),W42,INDIRECT("'"&amp;$G$43&amp;"'!$D$37:$D$52")),0))))</f>
        <v/>
      </c>
      <c r="AB42" s="135">
        <f>IF($G$44="",0,IF(W42&gt;'General Information'!$D$33,0,IF(W42=0,$J$44,IFERROR(SUMIF(INDIRECT("'"&amp;$G$44&amp;"'!$C$37:$C$52"),W42,INDIRECT("'"&amp;$G$44&amp;"'!$D$37:$D$52")),0))))</f>
        <v/>
      </c>
      <c r="AC42" s="135">
        <f>IF($G$41="",NA(),AC41+IF(W42&gt;'General Information'!$D$33,0,IF(W42=0,$J$41,IFERROR(SUMIF(INDIRECT("'"&amp;$G$41&amp;"'!$C$37:$C$52"),W42,INDIRECT("'"&amp;$G$41&amp;"'!$E$37:$E$52")),0))))</f>
        <v/>
      </c>
      <c r="AD42" s="135">
        <f>IF($G$42="",NA(),AD41+IF(W42&gt;'General Information'!$D$33,0,IF(W42=0,$J$42,IFERROR(SUMIF(INDIRECT("'"&amp;$G$42&amp;"'!$C$37:$C$52"),W42,INDIRECT("'"&amp;$G$42&amp;"'!$E$37:$E$52")),0))))</f>
        <v/>
      </c>
      <c r="AE42" s="135">
        <f>IF($G$43="",NA(),AE41+IF(W42&gt;'General Information'!$D$33,0,IF(W42=0,$J$43,IFERROR(SUMIF(INDIRECT("'"&amp;$G$43&amp;"'!$C$37:$C$52"),W42,INDIRECT("'"&amp;$G$43&amp;"'!$E$37:$E$52")),0))))</f>
        <v/>
      </c>
      <c r="AF42" s="135">
        <f>IF($G$44="",NA(),AF41+IF(W42&gt;'General Information'!$D$33,0,IF(W42=0,$J$44,IFERROR(SUMIF(INDIRECT("'"&amp;$G$44&amp;"'!$C$37:$C$52"),W42,INDIRECT("'"&amp;$G$44&amp;"'!$E$37:$E$52")),0))))</f>
        <v/>
      </c>
      <c r="AG42" s="152">
        <f>IF($G$41="",0,IF(W42&gt;'General Information'!$D$33,0,IFERROR(SUMIFS(INDIRECT("'"&amp;$G$41&amp;"'!$D$37:$D$52"),INDIRECT("'"&amp;$G$41&amp;"'!$C$37:$C$52"),W42,INDIRECT("'"&amp;$G$41&amp;"'!$B$37:$B$52"),"*Indirect*")/INDIRECT("'"&amp;$G$41&amp;"'!$F$2"),0)))</f>
        <v/>
      </c>
      <c r="AH42" s="152">
        <f>IF($G$42="",0,IF(W42&gt;'General Information'!$D$33,0,IFERROR(SUMIFS(INDIRECT("'"&amp;$G$42&amp;"'!$D$37:$D$52"),INDIRECT("'"&amp;$G$42&amp;"'!$C$37:$C$52"),W42,INDIRECT("'"&amp;$G$42&amp;"'!$B$37:$B$52"),"*Indirect*")/INDIRECT("'"&amp;$G$42&amp;"'!$F$2"),0)))</f>
        <v/>
      </c>
      <c r="AI42" s="152">
        <f>IF($G$43="",0,IF(W42&gt;'General Information'!$D$33,0,IFERROR(SUMIFS(INDIRECT("'"&amp;$G$43&amp;"'!$D$37:$D$52"),INDIRECT("'"&amp;$G$43&amp;"'!$C$37:$C$52"),W42,INDIRECT("'"&amp;$G$43&amp;"'!$B$37:$B$52"),"*Indirect*")/INDIRECT("'"&amp;$G$43&amp;"'!$F$2"),0)))</f>
        <v/>
      </c>
      <c r="AJ42" s="152">
        <f>IF($G$44="",0,IF(W42&gt;'General Information'!$D$33,0,IFERROR(SUMIFS(INDIRECT("'"&amp;$G$44&amp;"'!$D$37:$D$52"),INDIRECT("'"&amp;$G$44&amp;"'!$C$37:$C$52"),W42,INDIRECT("'"&amp;$G$44&amp;"'!$B$37:$B$52"),"*Indirect*")/INDIRECT("'"&amp;$G$44&amp;"'!$F$2"),0)))</f>
        <v/>
      </c>
    </row>
    <row r="43">
      <c r="G43" s="137">
        <f>IF(INDEX(Database!$D:$D,6)="","",INDEX(Database!$D:$D,6))</f>
        <v/>
      </c>
      <c r="H43" s="137">
        <f>IF($G43="","",INDEX(Database!$A:$A,6))</f>
        <v/>
      </c>
      <c r="I43" s="137">
        <f>IF($G43="","",INDEX(Database!$B:$B,6))</f>
        <v/>
      </c>
      <c r="J43" s="138">
        <f>IF($G43="","",IFERROR(INDEX(INDIRECT("'"&amp;$G43&amp;"'!$G$1:$G$70"),MATCH("Total",INDIRECT("'"&amp;$G43&amp;"'!$A$1:$A$70"),0)),0))</f>
        <v/>
      </c>
      <c r="K43" s="138">
        <f>IF($G43="","",IFERROR(SUMIFS(INDIRECT("'"&amp;$G43&amp;"'!$E$37:$E$52"),INDIRECT("'"&amp;$G43&amp;"'!$B$37:$B$52"),"Maintenance*",INDIRECT("'"&amp;$G43&amp;"'!$B$37:$B$52"),"&lt;&gt;*Indirect*"),0))</f>
        <v/>
      </c>
      <c r="L43" s="138">
        <f>IF($G43="","",IFERROR(SUMIFS(INDIRECT("'"&amp;$G43&amp;"'!$E$37:$E$52"),INDIRECT("'"&amp;$G43&amp;"'!$B$37:$B$52"),"Rehabilitation*",INDIRECT("'"&amp;$G43&amp;"'!$B$37:$B$52"),"&lt;&gt;*Indirect*"),0))</f>
        <v/>
      </c>
      <c r="M43" s="138">
        <f>IF($G43="","",IFERROR(SUMIFS(INDIRECT("'"&amp;$G43&amp;"'!$E$37:$E$52"),INDIRECT("'"&amp;$G43&amp;"'!$B$37:$B$52"),"*Indirect*"),0))</f>
        <v/>
      </c>
      <c r="N43" s="138">
        <f>IF($G43="","",IFERROR(SUMIFS(INDIRECT("'"&amp;$G43&amp;"'!$E$37:$E$52"),INDIRECT("'"&amp;$G43&amp;"'!$B$37:$B$52"),"Salvage*"),0))</f>
        <v/>
      </c>
      <c r="O43" s="138">
        <f>IF($G43="","",IFERROR(INDEX(INDIRECT("'"&amp;$G43&amp;"'!$E$1:$E$70"),MATCH("Net Present Worth",INDIRECT("'"&amp;$G43&amp;"'!$B$1:$B$70"),0)),0))</f>
        <v/>
      </c>
      <c r="P43" s="138">
        <f>IF($G43="","",O43-MIN($O$41:$O$44))</f>
        <v/>
      </c>
      <c r="Q43" s="137">
        <f>IF($G43="","",IF(IFERROR(INDIRECT("'"&amp;$G43&amp;"'!$F$2"),0)&gt;0,SUM($AI$41:$AI$71),IFERROR(SUM(INDIRECT("'"&amp;$G43&amp;"'!$F$4:$F$10")),0)))</f>
        <v/>
      </c>
      <c r="R43" s="139">
        <f>IF($G43="","",1-Q43/('General Information'!$D$33*365))</f>
        <v/>
      </c>
      <c r="W43" s="134" t="n">
        <v>2</v>
      </c>
      <c r="X43" s="134">
        <f>'General Information'!$D$25+W43</f>
        <v/>
      </c>
      <c r="Y43" s="135">
        <f>IF($G$41="",0,IF(W43&gt;'General Information'!$D$33,0,IF(W43=0,$J$41,IFERROR(SUMIF(INDIRECT("'"&amp;$G$41&amp;"'!$C$37:$C$52"),W43,INDIRECT("'"&amp;$G$41&amp;"'!$D$37:$D$52")),0))))</f>
        <v/>
      </c>
      <c r="Z43" s="135">
        <f>IF($G$42="",0,IF(W43&gt;'General Information'!$D$33,0,IF(W43=0,$J$42,IFERROR(SUMIF(INDIRECT("'"&amp;$G$42&amp;"'!$C$37:$C$52"),W43,INDIRECT("'"&amp;$G$42&amp;"'!$D$37:$D$52")),0))))</f>
        <v/>
      </c>
      <c r="AA43" s="135">
        <f>IF($G$43="",0,IF(W43&gt;'General Information'!$D$33,0,IF(W43=0,$J$43,IFERROR(SUMIF(INDIRECT("'"&amp;$G$43&amp;"'!$C$37:$C$52"),W43,INDIRECT("'"&amp;$G$43&amp;"'!$D$37:$D$52")),0))))</f>
        <v/>
      </c>
      <c r="AB43" s="135">
        <f>IF($G$44="",0,IF(W43&gt;'General Information'!$D$33,0,IF(W43=0,$J$44,IFERROR(SUMIF(INDIRECT("'"&amp;$G$44&amp;"'!$C$37:$C$52"),W43,INDIRECT("'"&amp;$G$44&amp;"'!$D$37:$D$52")),0))))</f>
        <v/>
      </c>
      <c r="AC43" s="135">
        <f>IF($G$41="",NA(),AC42+IF(W43&gt;'General Information'!$D$33,0,IF(W43=0,$J$41,IFERROR(SUMIF(INDIRECT("'"&amp;$G$41&amp;"'!$C$37:$C$52"),W43,INDIRECT("'"&amp;$G$41&amp;"'!$E$37:$E$52")),0))))</f>
        <v/>
      </c>
      <c r="AD43" s="135">
        <f>IF($G$42="",NA(),AD42+IF(W43&gt;'General Information'!$D$33,0,IF(W43=0,$J$42,IFERROR(SUMIF(INDIRECT("'"&amp;$G$42&amp;"'!$C$37:$C$52"),W43,INDIRECT("'"&amp;$G$42&amp;"'!$E$37:$E$52")),0))))</f>
        <v/>
      </c>
      <c r="AE43" s="135">
        <f>IF($G$43="",NA(),AE42+IF(W43&gt;'General Information'!$D$33,0,IF(W43=0,$J$43,IFERROR(SUMIF(INDIRECT("'"&amp;$G$43&amp;"'!$C$37:$C$52"),W43,INDIRECT("'"&amp;$G$43&amp;"'!$E$37:$E$52")),0))))</f>
        <v/>
      </c>
      <c r="AF43" s="135">
        <f>IF($G$44="",NA(),AF42+IF(W43&gt;'General Information'!$D$33,0,IF(W43=0,$J$44,IFERROR(SUMIF(INDIRECT("'"&amp;$G$44&amp;"'!$C$37:$C$52"),W43,INDIRECT("'"&amp;$G$44&amp;"'!$E$37:$E$52")),0))))</f>
        <v/>
      </c>
      <c r="AG43" s="152">
        <f>IF($G$41="",0,IF(W43&gt;'General Information'!$D$33,0,IFERROR(SUMIFS(INDIRECT("'"&amp;$G$41&amp;"'!$D$37:$D$52"),INDIRECT("'"&amp;$G$41&amp;"'!$C$37:$C$52"),W43,INDIRECT("'"&amp;$G$41&amp;"'!$B$37:$B$52"),"*Indirect*")/INDIRECT("'"&amp;$G$41&amp;"'!$F$2"),0)))</f>
        <v/>
      </c>
      <c r="AH43" s="152">
        <f>IF($G$42="",0,IF(W43&gt;'General Information'!$D$33,0,IFERROR(SUMIFS(INDIRECT("'"&amp;$G$42&amp;"'!$D$37:$D$52"),INDIRECT("'"&amp;$G$42&amp;"'!$C$37:$C$52"),W43,INDIRECT("'"&amp;$G$42&amp;"'!$B$37:$B$52"),"*Indirect*")/INDIRECT("'"&amp;$G$42&amp;"'!$F$2"),0)))</f>
        <v/>
      </c>
      <c r="AI43" s="152">
        <f>IF($G$43="",0,IF(W43&gt;'General Information'!$D$33,0,IFERROR(SUMIFS(INDIRECT("'"&amp;$G$43&amp;"'!$D$37:$D$52"),INDIRECT("'"&amp;$G$43&amp;"'!$C$37:$C$52"),W43,INDIRECT("'"&amp;$G$43&amp;"'!$B$37:$B$52"),"*Indirect*")/INDIRECT("'"&amp;$G$43&amp;"'!$F$2"),0)))</f>
        <v/>
      </c>
      <c r="AJ43" s="152">
        <f>IF($G$44="",0,IF(W43&gt;'General Information'!$D$33,0,IFERROR(SUMIFS(INDIRECT("'"&amp;$G$44&amp;"'!$D$37:$D$52"),INDIRECT("'"&amp;$G$44&amp;"'!$C$37:$C$52"),W43,INDIRECT("'"&amp;$G$44&amp;"'!$B$37:$B$52"),"*Indirect*")/INDIRECT("'"&amp;$G$44&amp;"'!$F$2"),0)))</f>
        <v/>
      </c>
    </row>
    <row r="44">
      <c r="G44" s="137">
        <f>IF(INDEX(Database!$D:$D,7)="","",INDEX(Database!$D:$D,7))</f>
        <v/>
      </c>
      <c r="H44" s="137">
        <f>IF($G44="","",INDEX(Database!$A:$A,7))</f>
        <v/>
      </c>
      <c r="I44" s="137">
        <f>IF($G44="","",INDEX(Database!$B:$B,7))</f>
        <v/>
      </c>
      <c r="J44" s="138">
        <f>IF($G44="","",IFERROR(INDEX(INDIRECT("'"&amp;$G44&amp;"'!$G$1:$G$70"),MATCH("Total",INDIRECT("'"&amp;$G44&amp;"'!$A$1:$A$70"),0)),0))</f>
        <v/>
      </c>
      <c r="K44" s="138">
        <f>IF($G44="","",IFERROR(SUMIFS(INDIRECT("'"&amp;$G44&amp;"'!$E$37:$E$52"),INDIRECT("'"&amp;$G44&amp;"'!$B$37:$B$52"),"Maintenance*",INDIRECT("'"&amp;$G44&amp;"'!$B$37:$B$52"),"&lt;&gt;*Indirect*"),0))</f>
        <v/>
      </c>
      <c r="L44" s="138">
        <f>IF($G44="","",IFERROR(SUMIFS(INDIRECT("'"&amp;$G44&amp;"'!$E$37:$E$52"),INDIRECT("'"&amp;$G44&amp;"'!$B$37:$B$52"),"Rehabilitation*",INDIRECT("'"&amp;$G44&amp;"'!$B$37:$B$52"),"&lt;&gt;*Indirect*"),0))</f>
        <v/>
      </c>
      <c r="M44" s="138">
        <f>IF($G44="","",IFERROR(SUMIFS(INDIRECT("'"&amp;$G44&amp;"'!$E$37:$E$52"),INDIRECT("'"&amp;$G44&amp;"'!$B$37:$B$52"),"*Indirect*"),0))</f>
        <v/>
      </c>
      <c r="N44" s="138">
        <f>IF($G44="","",IFERROR(SUMIFS(INDIRECT("'"&amp;$G44&amp;"'!$E$37:$E$52"),INDIRECT("'"&amp;$G44&amp;"'!$B$37:$B$52"),"Salvage*"),0))</f>
        <v/>
      </c>
      <c r="O44" s="138">
        <f>IF($G44="","",IFERROR(INDEX(INDIRECT("'"&amp;$G44&amp;"'!$E$1:$E$70"),MATCH("Net Present Worth",INDIRECT("'"&amp;$G44&amp;"'!$B$1:$B$70"),0)),0))</f>
        <v/>
      </c>
      <c r="P44" s="138">
        <f>IF($G44="","",O44-MIN($O$41:$O$44))</f>
        <v/>
      </c>
      <c r="Q44" s="137">
        <f>IF($G44="","",IF(IFERROR(INDIRECT("'"&amp;$G44&amp;"'!$F$2"),0)&gt;0,SUM($AJ$41:$AJ$71),IFERROR(SUM(INDIRECT("'"&amp;$G44&amp;"'!$F$4:$F$10")),0)))</f>
        <v/>
      </c>
      <c r="R44" s="139">
        <f>IF($G44="","",1-Q44/('General Information'!$D$33*365))</f>
        <v/>
      </c>
      <c r="W44" s="134" t="n">
        <v>3</v>
      </c>
      <c r="X44" s="134">
        <f>'General Information'!$D$25+W44</f>
        <v/>
      </c>
      <c r="Y44" s="135">
        <f>IF($G$41="",0,IF(W44&gt;'General Information'!$D$33,0,IF(W44=0,$J$41,IFERROR(SUMIF(INDIRECT("'"&amp;$G$41&amp;"'!$C$37:$C$52"),W44,INDIRECT("'"&amp;$G$41&amp;"'!$D$37:$D$52")),0))))</f>
        <v/>
      </c>
      <c r="Z44" s="135">
        <f>IF($G$42="",0,IF(W44&gt;'General Information'!$D$33,0,IF(W44=0,$J$42,IFERROR(SUMIF(INDIRECT("'"&amp;$G$42&amp;"'!$C$37:$C$52"),W44,INDIRECT("'"&amp;$G$42&amp;"'!$D$37:$D$52")),0))))</f>
        <v/>
      </c>
      <c r="AA44" s="135">
        <f>IF($G$43="",0,IF(W44&gt;'General Information'!$D$33,0,IF(W44=0,$J$43,IFERROR(SUMIF(INDIRECT("'"&amp;$G$43&amp;"'!$C$37:$C$52"),W44,INDIRECT("'"&amp;$G$43&amp;"'!$D$37:$D$52")),0))))</f>
        <v/>
      </c>
      <c r="AB44" s="135">
        <f>IF($G$44="",0,IF(W44&gt;'General Information'!$D$33,0,IF(W44=0,$J$44,IFERROR(SUMIF(INDIRECT("'"&amp;$G$44&amp;"'!$C$37:$C$52"),W44,INDIRECT("'"&amp;$G$44&amp;"'!$D$37:$D$52")),0))))</f>
        <v/>
      </c>
      <c r="AC44" s="135">
        <f>IF($G$41="",NA(),AC43+IF(W44&gt;'General Information'!$D$33,0,IF(W44=0,$J$41,IFERROR(SUMIF(INDIRECT("'"&amp;$G$41&amp;"'!$C$37:$C$52"),W44,INDIRECT("'"&amp;$G$41&amp;"'!$E$37:$E$52")),0))))</f>
        <v/>
      </c>
      <c r="AD44" s="135">
        <f>IF($G$42="",NA(),AD43+IF(W44&gt;'General Information'!$D$33,0,IF(W44=0,$J$42,IFERROR(SUMIF(INDIRECT("'"&amp;$G$42&amp;"'!$C$37:$C$52"),W44,INDIRECT("'"&amp;$G$42&amp;"'!$E$37:$E$52")),0))))</f>
        <v/>
      </c>
      <c r="AE44" s="135">
        <f>IF($G$43="",NA(),AE43+IF(W44&gt;'General Information'!$D$33,0,IF(W44=0,$J$43,IFERROR(SUMIF(INDIRECT("'"&amp;$G$43&amp;"'!$C$37:$C$52"),W44,INDIRECT("'"&amp;$G$43&amp;"'!$E$37:$E$52")),0))))</f>
        <v/>
      </c>
      <c r="AF44" s="135">
        <f>IF($G$44="",NA(),AF43+IF(W44&gt;'General Information'!$D$33,0,IF(W44=0,$J$44,IFERROR(SUMIF(INDIRECT("'"&amp;$G$44&amp;"'!$C$37:$C$52"),W44,INDIRECT("'"&amp;$G$44&amp;"'!$E$37:$E$52")),0))))</f>
        <v/>
      </c>
      <c r="AG44" s="152">
        <f>IF($G$41="",0,IF(W44&gt;'General Information'!$D$33,0,IFERROR(SUMIFS(INDIRECT("'"&amp;$G$41&amp;"'!$D$37:$D$52"),INDIRECT("'"&amp;$G$41&amp;"'!$C$37:$C$52"),W44,INDIRECT("'"&amp;$G$41&amp;"'!$B$37:$B$52"),"*Indirect*")/INDIRECT("'"&amp;$G$41&amp;"'!$F$2"),0)))</f>
        <v/>
      </c>
      <c r="AH44" s="152">
        <f>IF($G$42="",0,IF(W44&gt;'General Information'!$D$33,0,IFERROR(SUMIFS(INDIRECT("'"&amp;$G$42&amp;"'!$D$37:$D$52"),INDIRECT("'"&amp;$G$42&amp;"'!$C$37:$C$52"),W44,INDIRECT("'"&amp;$G$42&amp;"'!$B$37:$B$52"),"*Indirect*")/INDIRECT("'"&amp;$G$42&amp;"'!$F$2"),0)))</f>
        <v/>
      </c>
      <c r="AI44" s="152">
        <f>IF($G$43="",0,IF(W44&gt;'General Information'!$D$33,0,IFERROR(SUMIFS(INDIRECT("'"&amp;$G$43&amp;"'!$D$37:$D$52"),INDIRECT("'"&amp;$G$43&amp;"'!$C$37:$C$52"),W44,INDIRECT("'"&amp;$G$43&amp;"'!$B$37:$B$52"),"*Indirect*")/INDIRECT("'"&amp;$G$43&amp;"'!$F$2"),0)))</f>
        <v/>
      </c>
      <c r="AJ44" s="152">
        <f>IF($G$44="",0,IF(W44&gt;'General Information'!$D$33,0,IFERROR(SUMIFS(INDIRECT("'"&amp;$G$44&amp;"'!$D$37:$D$52"),INDIRECT("'"&amp;$G$44&amp;"'!$C$37:$C$52"),W44,INDIRECT("'"&amp;$G$44&amp;"'!$B$37:$B$52"),"*Indirect*")/INDIRECT("'"&amp;$G$44&amp;"'!$F$2"),0)))</f>
        <v/>
      </c>
    </row>
    <row r="45">
      <c r="W45" s="134" t="n">
        <v>4</v>
      </c>
      <c r="X45" s="134">
        <f>'General Information'!$D$25+W45</f>
        <v/>
      </c>
      <c r="Y45" s="135">
        <f>IF($G$41="",0,IF(W45&gt;'General Information'!$D$33,0,IF(W45=0,$J$41,IFERROR(SUMIF(INDIRECT("'"&amp;$G$41&amp;"'!$C$37:$C$52"),W45,INDIRECT("'"&amp;$G$41&amp;"'!$D$37:$D$52")),0))))</f>
        <v/>
      </c>
      <c r="Z45" s="135">
        <f>IF($G$42="",0,IF(W45&gt;'General Information'!$D$33,0,IF(W45=0,$J$42,IFERROR(SUMIF(INDIRECT("'"&amp;$G$42&amp;"'!$C$37:$C$52"),W45,INDIRECT("'"&amp;$G$42&amp;"'!$D$37:$D$52")),0))))</f>
        <v/>
      </c>
      <c r="AA45" s="135">
        <f>IF($G$43="",0,IF(W45&gt;'General Information'!$D$33,0,IF(W45=0,$J$43,IFERROR(SUMIF(INDIRECT("'"&amp;$G$43&amp;"'!$C$37:$C$52"),W45,INDIRECT("'"&amp;$G$43&amp;"'!$D$37:$D$52")),0))))</f>
        <v/>
      </c>
      <c r="AB45" s="135">
        <f>IF($G$44="",0,IF(W45&gt;'General Information'!$D$33,0,IF(W45=0,$J$44,IFERROR(SUMIF(INDIRECT("'"&amp;$G$44&amp;"'!$C$37:$C$52"),W45,INDIRECT("'"&amp;$G$44&amp;"'!$D$37:$D$52")),0))))</f>
        <v/>
      </c>
      <c r="AC45" s="135">
        <f>IF($G$41="",NA(),AC44+IF(W45&gt;'General Information'!$D$33,0,IF(W45=0,$J$41,IFERROR(SUMIF(INDIRECT("'"&amp;$G$41&amp;"'!$C$37:$C$52"),W45,INDIRECT("'"&amp;$G$41&amp;"'!$E$37:$E$52")),0))))</f>
        <v/>
      </c>
      <c r="AD45" s="135">
        <f>IF($G$42="",NA(),AD44+IF(W45&gt;'General Information'!$D$33,0,IF(W45=0,$J$42,IFERROR(SUMIF(INDIRECT("'"&amp;$G$42&amp;"'!$C$37:$C$52"),W45,INDIRECT("'"&amp;$G$42&amp;"'!$E$37:$E$52")),0))))</f>
        <v/>
      </c>
      <c r="AE45" s="135">
        <f>IF($G$43="",NA(),AE44+IF(W45&gt;'General Information'!$D$33,0,IF(W45=0,$J$43,IFERROR(SUMIF(INDIRECT("'"&amp;$G$43&amp;"'!$C$37:$C$52"),W45,INDIRECT("'"&amp;$G$43&amp;"'!$E$37:$E$52")),0))))</f>
        <v/>
      </c>
      <c r="AF45" s="135">
        <f>IF($G$44="",NA(),AF44+IF(W45&gt;'General Information'!$D$33,0,IF(W45=0,$J$44,IFERROR(SUMIF(INDIRECT("'"&amp;$G$44&amp;"'!$C$37:$C$52"),W45,INDIRECT("'"&amp;$G$44&amp;"'!$E$37:$E$52")),0))))</f>
        <v/>
      </c>
      <c r="AG45" s="152">
        <f>IF($G$41="",0,IF(W45&gt;'General Information'!$D$33,0,IFERROR(SUMIFS(INDIRECT("'"&amp;$G$41&amp;"'!$D$37:$D$52"),INDIRECT("'"&amp;$G$41&amp;"'!$C$37:$C$52"),W45,INDIRECT("'"&amp;$G$41&amp;"'!$B$37:$B$52"),"*Indirect*")/INDIRECT("'"&amp;$G$41&amp;"'!$F$2"),0)))</f>
        <v/>
      </c>
      <c r="AH45" s="152">
        <f>IF($G$42="",0,IF(W45&gt;'General Information'!$D$33,0,IFERROR(SUMIFS(INDIRECT("'"&amp;$G$42&amp;"'!$D$37:$D$52"),INDIRECT("'"&amp;$G$42&amp;"'!$C$37:$C$52"),W45,INDIRECT("'"&amp;$G$42&amp;"'!$B$37:$B$52"),"*Indirect*")/INDIRECT("'"&amp;$G$42&amp;"'!$F$2"),0)))</f>
        <v/>
      </c>
      <c r="AI45" s="152">
        <f>IF($G$43="",0,IF(W45&gt;'General Information'!$D$33,0,IFERROR(SUMIFS(INDIRECT("'"&amp;$G$43&amp;"'!$D$37:$D$52"),INDIRECT("'"&amp;$G$43&amp;"'!$C$37:$C$52"),W45,INDIRECT("'"&amp;$G$43&amp;"'!$B$37:$B$52"),"*Indirect*")/INDIRECT("'"&amp;$G$43&amp;"'!$F$2"),0)))</f>
        <v/>
      </c>
      <c r="AJ45" s="152">
        <f>IF($G$44="",0,IF(W45&gt;'General Information'!$D$33,0,IFERROR(SUMIFS(INDIRECT("'"&amp;$G$44&amp;"'!$D$37:$D$52"),INDIRECT("'"&amp;$G$44&amp;"'!$C$37:$C$52"),W45,INDIRECT("'"&amp;$G$44&amp;"'!$B$37:$B$52"),"*Indirect*")/INDIRECT("'"&amp;$G$44&amp;"'!$F$2"),0)))</f>
        <v/>
      </c>
    </row>
    <row r="46">
      <c r="G46" s="141">
        <f>IF(COUNT($O$41:$O$44)=0,"No alternatives yet. Go to General Information and click Alternative Setup.","Lowest present worth: "&amp;INDEX($H$41:$H$44,MATCH(MIN($O$41:$O$44),$O$41:$O$44,0))&amp;IF(COUNT($O$41:$O$44)&lt;2,"   |   only one alternative so far",IF(SMALL($O$41:$O$44,2)=MIN($O$41:$O$44),"   |   tied with the next alternative","   |   margin to next: "&amp;TEXT(SMALL($O$41:$O$44,2)-MIN($O$41:$O$44),"$#,##0")))&amp;"   |   "&amp;'General Information'!$D$34&amp;"% over "&amp;'General Information'!$D$33&amp;" years   |   lost revenue: "&amp;'General Information'!$D$38)</f>
        <v/>
      </c>
      <c r="H46" s="142" t="n"/>
      <c r="I46" s="142" t="n"/>
      <c r="J46" s="142" t="n"/>
      <c r="K46" s="142" t="n"/>
      <c r="L46" s="142" t="n"/>
      <c r="M46" s="142" t="n"/>
      <c r="N46" s="142" t="n"/>
      <c r="O46" s="142" t="n"/>
      <c r="P46" s="142" t="n"/>
      <c r="Q46" s="142" t="n"/>
      <c r="R46" s="142" t="n"/>
      <c r="W46" s="134" t="n">
        <v>5</v>
      </c>
      <c r="X46" s="134">
        <f>'General Information'!$D$25+W46</f>
        <v/>
      </c>
      <c r="Y46" s="135">
        <f>IF($G$41="",0,IF(W46&gt;'General Information'!$D$33,0,IF(W46=0,$J$41,IFERROR(SUMIF(INDIRECT("'"&amp;$G$41&amp;"'!$C$37:$C$52"),W46,INDIRECT("'"&amp;$G$41&amp;"'!$D$37:$D$52")),0))))</f>
        <v/>
      </c>
      <c r="Z46" s="135">
        <f>IF($G$42="",0,IF(W46&gt;'General Information'!$D$33,0,IF(W46=0,$J$42,IFERROR(SUMIF(INDIRECT("'"&amp;$G$42&amp;"'!$C$37:$C$52"),W46,INDIRECT("'"&amp;$G$42&amp;"'!$D$37:$D$52")),0))))</f>
        <v/>
      </c>
      <c r="AA46" s="135">
        <f>IF($G$43="",0,IF(W46&gt;'General Information'!$D$33,0,IF(W46=0,$J$43,IFERROR(SUMIF(INDIRECT("'"&amp;$G$43&amp;"'!$C$37:$C$52"),W46,INDIRECT("'"&amp;$G$43&amp;"'!$D$37:$D$52")),0))))</f>
        <v/>
      </c>
      <c r="AB46" s="135">
        <f>IF($G$44="",0,IF(W46&gt;'General Information'!$D$33,0,IF(W46=0,$J$44,IFERROR(SUMIF(INDIRECT("'"&amp;$G$44&amp;"'!$C$37:$C$52"),W46,INDIRECT("'"&amp;$G$44&amp;"'!$D$37:$D$52")),0))))</f>
        <v/>
      </c>
      <c r="AC46" s="135">
        <f>IF($G$41="",NA(),AC45+IF(W46&gt;'General Information'!$D$33,0,IF(W46=0,$J$41,IFERROR(SUMIF(INDIRECT("'"&amp;$G$41&amp;"'!$C$37:$C$52"),W46,INDIRECT("'"&amp;$G$41&amp;"'!$E$37:$E$52")),0))))</f>
        <v/>
      </c>
      <c r="AD46" s="135">
        <f>IF($G$42="",NA(),AD45+IF(W46&gt;'General Information'!$D$33,0,IF(W46=0,$J$42,IFERROR(SUMIF(INDIRECT("'"&amp;$G$42&amp;"'!$C$37:$C$52"),W46,INDIRECT("'"&amp;$G$42&amp;"'!$E$37:$E$52")),0))))</f>
        <v/>
      </c>
      <c r="AE46" s="135">
        <f>IF($G$43="",NA(),AE45+IF(W46&gt;'General Information'!$D$33,0,IF(W46=0,$J$43,IFERROR(SUMIF(INDIRECT("'"&amp;$G$43&amp;"'!$C$37:$C$52"),W46,INDIRECT("'"&amp;$G$43&amp;"'!$E$37:$E$52")),0))))</f>
        <v/>
      </c>
      <c r="AF46" s="135">
        <f>IF($G$44="",NA(),AF45+IF(W46&gt;'General Information'!$D$33,0,IF(W46=0,$J$44,IFERROR(SUMIF(INDIRECT("'"&amp;$G$44&amp;"'!$C$37:$C$52"),W46,INDIRECT("'"&amp;$G$44&amp;"'!$E$37:$E$52")),0))))</f>
        <v/>
      </c>
      <c r="AG46" s="152">
        <f>IF($G$41="",0,IF(W46&gt;'General Information'!$D$33,0,IFERROR(SUMIFS(INDIRECT("'"&amp;$G$41&amp;"'!$D$37:$D$52"),INDIRECT("'"&amp;$G$41&amp;"'!$C$37:$C$52"),W46,INDIRECT("'"&amp;$G$41&amp;"'!$B$37:$B$52"),"*Indirect*")/INDIRECT("'"&amp;$G$41&amp;"'!$F$2"),0)))</f>
        <v/>
      </c>
      <c r="AH46" s="152">
        <f>IF($G$42="",0,IF(W46&gt;'General Information'!$D$33,0,IFERROR(SUMIFS(INDIRECT("'"&amp;$G$42&amp;"'!$D$37:$D$52"),INDIRECT("'"&amp;$G$42&amp;"'!$C$37:$C$52"),W46,INDIRECT("'"&amp;$G$42&amp;"'!$B$37:$B$52"),"*Indirect*")/INDIRECT("'"&amp;$G$42&amp;"'!$F$2"),0)))</f>
        <v/>
      </c>
      <c r="AI46" s="152">
        <f>IF($G$43="",0,IF(W46&gt;'General Information'!$D$33,0,IFERROR(SUMIFS(INDIRECT("'"&amp;$G$43&amp;"'!$D$37:$D$52"),INDIRECT("'"&amp;$G$43&amp;"'!$C$37:$C$52"),W46,INDIRECT("'"&amp;$G$43&amp;"'!$B$37:$B$52"),"*Indirect*")/INDIRECT("'"&amp;$G$43&amp;"'!$F$2"),0)))</f>
        <v/>
      </c>
      <c r="AJ46" s="152">
        <f>IF($G$44="",0,IF(W46&gt;'General Information'!$D$33,0,IFERROR(SUMIFS(INDIRECT("'"&amp;$G$44&amp;"'!$D$37:$D$52"),INDIRECT("'"&amp;$G$44&amp;"'!$C$37:$C$52"),W46,INDIRECT("'"&amp;$G$44&amp;"'!$B$37:$B$52"),"*Indirect*")/INDIRECT("'"&amp;$G$44&amp;"'!$F$2"),0)))</f>
        <v/>
      </c>
    </row>
    <row r="47">
      <c r="G47" s="136">
        <f>IF(COUNT($O$41:$O$44)&lt;2,"",IF(INDEX($H$41:$H$44,MATCH(MIN($O$41:$O$44),$O$41:$O$44,0))=$AB$12,"Same lowest-cost alternative at 2% (OMB A-94 real rate, FAA PGL 22-01)","At 2% (OMB A-94 real rate, FAA PGL 22-01) the lowest-cost alternative changes")&amp;"   |   "&amp;IF(INDEX($H$41:$H$44,MATCH(MIN($O$41:$O$44),$O$41:$O$44,0))=$AB$32,"same at 7% (pre-2022 AIP rule)","changes at 7% (pre-2022 AIP rule): see chart 2"))</f>
        <v/>
      </c>
      <c r="W47" s="134" t="n">
        <v>6</v>
      </c>
      <c r="X47" s="134">
        <f>'General Information'!$D$25+W47</f>
        <v/>
      </c>
      <c r="Y47" s="135">
        <f>IF($G$41="",0,IF(W47&gt;'General Information'!$D$33,0,IF(W47=0,$J$41,IFERROR(SUMIF(INDIRECT("'"&amp;$G$41&amp;"'!$C$37:$C$52"),W47,INDIRECT("'"&amp;$G$41&amp;"'!$D$37:$D$52")),0))))</f>
        <v/>
      </c>
      <c r="Z47" s="135">
        <f>IF($G$42="",0,IF(W47&gt;'General Information'!$D$33,0,IF(W47=0,$J$42,IFERROR(SUMIF(INDIRECT("'"&amp;$G$42&amp;"'!$C$37:$C$52"),W47,INDIRECT("'"&amp;$G$42&amp;"'!$D$37:$D$52")),0))))</f>
        <v/>
      </c>
      <c r="AA47" s="135">
        <f>IF($G$43="",0,IF(W47&gt;'General Information'!$D$33,0,IF(W47=0,$J$43,IFERROR(SUMIF(INDIRECT("'"&amp;$G$43&amp;"'!$C$37:$C$52"),W47,INDIRECT("'"&amp;$G$43&amp;"'!$D$37:$D$52")),0))))</f>
        <v/>
      </c>
      <c r="AB47" s="135">
        <f>IF($G$44="",0,IF(W47&gt;'General Information'!$D$33,0,IF(W47=0,$J$44,IFERROR(SUMIF(INDIRECT("'"&amp;$G$44&amp;"'!$C$37:$C$52"),W47,INDIRECT("'"&amp;$G$44&amp;"'!$D$37:$D$52")),0))))</f>
        <v/>
      </c>
      <c r="AC47" s="135">
        <f>IF($G$41="",NA(),AC46+IF(W47&gt;'General Information'!$D$33,0,IF(W47=0,$J$41,IFERROR(SUMIF(INDIRECT("'"&amp;$G$41&amp;"'!$C$37:$C$52"),W47,INDIRECT("'"&amp;$G$41&amp;"'!$E$37:$E$52")),0))))</f>
        <v/>
      </c>
      <c r="AD47" s="135">
        <f>IF($G$42="",NA(),AD46+IF(W47&gt;'General Information'!$D$33,0,IF(W47=0,$J$42,IFERROR(SUMIF(INDIRECT("'"&amp;$G$42&amp;"'!$C$37:$C$52"),W47,INDIRECT("'"&amp;$G$42&amp;"'!$E$37:$E$52")),0))))</f>
        <v/>
      </c>
      <c r="AE47" s="135">
        <f>IF($G$43="",NA(),AE46+IF(W47&gt;'General Information'!$D$33,0,IF(W47=0,$J$43,IFERROR(SUMIF(INDIRECT("'"&amp;$G$43&amp;"'!$C$37:$C$52"),W47,INDIRECT("'"&amp;$G$43&amp;"'!$E$37:$E$52")),0))))</f>
        <v/>
      </c>
      <c r="AF47" s="135">
        <f>IF($G$44="",NA(),AF46+IF(W47&gt;'General Information'!$D$33,0,IF(W47=0,$J$44,IFERROR(SUMIF(INDIRECT("'"&amp;$G$44&amp;"'!$C$37:$C$52"),W47,INDIRECT("'"&amp;$G$44&amp;"'!$E$37:$E$52")),0))))</f>
        <v/>
      </c>
      <c r="AG47" s="152">
        <f>IF($G$41="",0,IF(W47&gt;'General Information'!$D$33,0,IFERROR(SUMIFS(INDIRECT("'"&amp;$G$41&amp;"'!$D$37:$D$52"),INDIRECT("'"&amp;$G$41&amp;"'!$C$37:$C$52"),W47,INDIRECT("'"&amp;$G$41&amp;"'!$B$37:$B$52"),"*Indirect*")/INDIRECT("'"&amp;$G$41&amp;"'!$F$2"),0)))</f>
        <v/>
      </c>
      <c r="AH47" s="152">
        <f>IF($G$42="",0,IF(W47&gt;'General Information'!$D$33,0,IFERROR(SUMIFS(INDIRECT("'"&amp;$G$42&amp;"'!$D$37:$D$52"),INDIRECT("'"&amp;$G$42&amp;"'!$C$37:$C$52"),W47,INDIRECT("'"&amp;$G$42&amp;"'!$B$37:$B$52"),"*Indirect*")/INDIRECT("'"&amp;$G$42&amp;"'!$F$2"),0)))</f>
        <v/>
      </c>
      <c r="AI47" s="152">
        <f>IF($G$43="",0,IF(W47&gt;'General Information'!$D$33,0,IFERROR(SUMIFS(INDIRECT("'"&amp;$G$43&amp;"'!$D$37:$D$52"),INDIRECT("'"&amp;$G$43&amp;"'!$C$37:$C$52"),W47,INDIRECT("'"&amp;$G$43&amp;"'!$B$37:$B$52"),"*Indirect*")/INDIRECT("'"&amp;$G$43&amp;"'!$F$2"),0)))</f>
        <v/>
      </c>
      <c r="AJ47" s="152">
        <f>IF($G$44="",0,IF(W47&gt;'General Information'!$D$33,0,IFERROR(SUMIFS(INDIRECT("'"&amp;$G$44&amp;"'!$D$37:$D$52"),INDIRECT("'"&amp;$G$44&amp;"'!$C$37:$C$52"),W47,INDIRECT("'"&amp;$G$44&amp;"'!$B$37:$B$52"),"*Indirect*")/INDIRECT("'"&amp;$G$44&amp;"'!$F$2"),0)))</f>
        <v/>
      </c>
    </row>
    <row r="48">
      <c r="W48" s="134" t="n">
        <v>7</v>
      </c>
      <c r="X48" s="134">
        <f>'General Information'!$D$25+W48</f>
        <v/>
      </c>
      <c r="Y48" s="135">
        <f>IF($G$41="",0,IF(W48&gt;'General Information'!$D$33,0,IF(W48=0,$J$41,IFERROR(SUMIF(INDIRECT("'"&amp;$G$41&amp;"'!$C$37:$C$52"),W48,INDIRECT("'"&amp;$G$41&amp;"'!$D$37:$D$52")),0))))</f>
        <v/>
      </c>
      <c r="Z48" s="135">
        <f>IF($G$42="",0,IF(W48&gt;'General Information'!$D$33,0,IF(W48=0,$J$42,IFERROR(SUMIF(INDIRECT("'"&amp;$G$42&amp;"'!$C$37:$C$52"),W48,INDIRECT("'"&amp;$G$42&amp;"'!$D$37:$D$52")),0))))</f>
        <v/>
      </c>
      <c r="AA48" s="135">
        <f>IF($G$43="",0,IF(W48&gt;'General Information'!$D$33,0,IF(W48=0,$J$43,IFERROR(SUMIF(INDIRECT("'"&amp;$G$43&amp;"'!$C$37:$C$52"),W48,INDIRECT("'"&amp;$G$43&amp;"'!$D$37:$D$52")),0))))</f>
        <v/>
      </c>
      <c r="AB48" s="135">
        <f>IF($G$44="",0,IF(W48&gt;'General Information'!$D$33,0,IF(W48=0,$J$44,IFERROR(SUMIF(INDIRECT("'"&amp;$G$44&amp;"'!$C$37:$C$52"),W48,INDIRECT("'"&amp;$G$44&amp;"'!$D$37:$D$52")),0))))</f>
        <v/>
      </c>
      <c r="AC48" s="135">
        <f>IF($G$41="",NA(),AC47+IF(W48&gt;'General Information'!$D$33,0,IF(W48=0,$J$41,IFERROR(SUMIF(INDIRECT("'"&amp;$G$41&amp;"'!$C$37:$C$52"),W48,INDIRECT("'"&amp;$G$41&amp;"'!$E$37:$E$52")),0))))</f>
        <v/>
      </c>
      <c r="AD48" s="135">
        <f>IF($G$42="",NA(),AD47+IF(W48&gt;'General Information'!$D$33,0,IF(W48=0,$J$42,IFERROR(SUMIF(INDIRECT("'"&amp;$G$42&amp;"'!$C$37:$C$52"),W48,INDIRECT("'"&amp;$G$42&amp;"'!$E$37:$E$52")),0))))</f>
        <v/>
      </c>
      <c r="AE48" s="135">
        <f>IF($G$43="",NA(),AE47+IF(W48&gt;'General Information'!$D$33,0,IF(W48=0,$J$43,IFERROR(SUMIF(INDIRECT("'"&amp;$G$43&amp;"'!$C$37:$C$52"),W48,INDIRECT("'"&amp;$G$43&amp;"'!$E$37:$E$52")),0))))</f>
        <v/>
      </c>
      <c r="AF48" s="135">
        <f>IF($G$44="",NA(),AF47+IF(W48&gt;'General Information'!$D$33,0,IF(W48=0,$J$44,IFERROR(SUMIF(INDIRECT("'"&amp;$G$44&amp;"'!$C$37:$C$52"),W48,INDIRECT("'"&amp;$G$44&amp;"'!$E$37:$E$52")),0))))</f>
        <v/>
      </c>
      <c r="AG48" s="152">
        <f>IF($G$41="",0,IF(W48&gt;'General Information'!$D$33,0,IFERROR(SUMIFS(INDIRECT("'"&amp;$G$41&amp;"'!$D$37:$D$52"),INDIRECT("'"&amp;$G$41&amp;"'!$C$37:$C$52"),W48,INDIRECT("'"&amp;$G$41&amp;"'!$B$37:$B$52"),"*Indirect*")/INDIRECT("'"&amp;$G$41&amp;"'!$F$2"),0)))</f>
        <v/>
      </c>
      <c r="AH48" s="152">
        <f>IF($G$42="",0,IF(W48&gt;'General Information'!$D$33,0,IFERROR(SUMIFS(INDIRECT("'"&amp;$G$42&amp;"'!$D$37:$D$52"),INDIRECT("'"&amp;$G$42&amp;"'!$C$37:$C$52"),W48,INDIRECT("'"&amp;$G$42&amp;"'!$B$37:$B$52"),"*Indirect*")/INDIRECT("'"&amp;$G$42&amp;"'!$F$2"),0)))</f>
        <v/>
      </c>
      <c r="AI48" s="152">
        <f>IF($G$43="",0,IF(W48&gt;'General Information'!$D$33,0,IFERROR(SUMIFS(INDIRECT("'"&amp;$G$43&amp;"'!$D$37:$D$52"),INDIRECT("'"&amp;$G$43&amp;"'!$C$37:$C$52"),W48,INDIRECT("'"&amp;$G$43&amp;"'!$B$37:$B$52"),"*Indirect*")/INDIRECT("'"&amp;$G$43&amp;"'!$F$2"),0)))</f>
        <v/>
      </c>
      <c r="AJ48" s="152">
        <f>IF($G$44="",0,IF(W48&gt;'General Information'!$D$33,0,IFERROR(SUMIFS(INDIRECT("'"&amp;$G$44&amp;"'!$D$37:$D$52"),INDIRECT("'"&amp;$G$44&amp;"'!$C$37:$C$52"),W48,INDIRECT("'"&amp;$G$44&amp;"'!$B$37:$B$52"),"*Indirect*")/INDIRECT("'"&amp;$G$44&amp;"'!$F$2"),0)))</f>
        <v/>
      </c>
    </row>
    <row r="49">
      <c r="G49" s="121" t="inlineStr">
        <is>
          <t>COMPARISON  (RealCost layout: agency cost, user cost, total; present worth and equivalent uniform annual cost)</t>
        </is>
      </c>
      <c r="W49" s="134" t="n">
        <v>8</v>
      </c>
      <c r="X49" s="134">
        <f>'General Information'!$D$25+W49</f>
        <v/>
      </c>
      <c r="Y49" s="135">
        <f>IF($G$41="",0,IF(W49&gt;'General Information'!$D$33,0,IF(W49=0,$J$41,IFERROR(SUMIF(INDIRECT("'"&amp;$G$41&amp;"'!$C$37:$C$52"),W49,INDIRECT("'"&amp;$G$41&amp;"'!$D$37:$D$52")),0))))</f>
        <v/>
      </c>
      <c r="Z49" s="135">
        <f>IF($G$42="",0,IF(W49&gt;'General Information'!$D$33,0,IF(W49=0,$J$42,IFERROR(SUMIF(INDIRECT("'"&amp;$G$42&amp;"'!$C$37:$C$52"),W49,INDIRECT("'"&amp;$G$42&amp;"'!$D$37:$D$52")),0))))</f>
        <v/>
      </c>
      <c r="AA49" s="135">
        <f>IF($G$43="",0,IF(W49&gt;'General Information'!$D$33,0,IF(W49=0,$J$43,IFERROR(SUMIF(INDIRECT("'"&amp;$G$43&amp;"'!$C$37:$C$52"),W49,INDIRECT("'"&amp;$G$43&amp;"'!$D$37:$D$52")),0))))</f>
        <v/>
      </c>
      <c r="AB49" s="135">
        <f>IF($G$44="",0,IF(W49&gt;'General Information'!$D$33,0,IF(W49=0,$J$44,IFERROR(SUMIF(INDIRECT("'"&amp;$G$44&amp;"'!$C$37:$C$52"),W49,INDIRECT("'"&amp;$G$44&amp;"'!$D$37:$D$52")),0))))</f>
        <v/>
      </c>
      <c r="AC49" s="135">
        <f>IF($G$41="",NA(),AC48+IF(W49&gt;'General Information'!$D$33,0,IF(W49=0,$J$41,IFERROR(SUMIF(INDIRECT("'"&amp;$G$41&amp;"'!$C$37:$C$52"),W49,INDIRECT("'"&amp;$G$41&amp;"'!$E$37:$E$52")),0))))</f>
        <v/>
      </c>
      <c r="AD49" s="135">
        <f>IF($G$42="",NA(),AD48+IF(W49&gt;'General Information'!$D$33,0,IF(W49=0,$J$42,IFERROR(SUMIF(INDIRECT("'"&amp;$G$42&amp;"'!$C$37:$C$52"),W49,INDIRECT("'"&amp;$G$42&amp;"'!$E$37:$E$52")),0))))</f>
        <v/>
      </c>
      <c r="AE49" s="135">
        <f>IF($G$43="",NA(),AE48+IF(W49&gt;'General Information'!$D$33,0,IF(W49=0,$J$43,IFERROR(SUMIF(INDIRECT("'"&amp;$G$43&amp;"'!$C$37:$C$52"),W49,INDIRECT("'"&amp;$G$43&amp;"'!$E$37:$E$52")),0))))</f>
        <v/>
      </c>
      <c r="AF49" s="135">
        <f>IF($G$44="",NA(),AF48+IF(W49&gt;'General Information'!$D$33,0,IF(W49=0,$J$44,IFERROR(SUMIF(INDIRECT("'"&amp;$G$44&amp;"'!$C$37:$C$52"),W49,INDIRECT("'"&amp;$G$44&amp;"'!$E$37:$E$52")),0))))</f>
        <v/>
      </c>
      <c r="AG49" s="152">
        <f>IF($G$41="",0,IF(W49&gt;'General Information'!$D$33,0,IFERROR(SUMIFS(INDIRECT("'"&amp;$G$41&amp;"'!$D$37:$D$52"),INDIRECT("'"&amp;$G$41&amp;"'!$C$37:$C$52"),W49,INDIRECT("'"&amp;$G$41&amp;"'!$B$37:$B$52"),"*Indirect*")/INDIRECT("'"&amp;$G$41&amp;"'!$F$2"),0)))</f>
        <v/>
      </c>
      <c r="AH49" s="152">
        <f>IF($G$42="",0,IF(W49&gt;'General Information'!$D$33,0,IFERROR(SUMIFS(INDIRECT("'"&amp;$G$42&amp;"'!$D$37:$D$52"),INDIRECT("'"&amp;$G$42&amp;"'!$C$37:$C$52"),W49,INDIRECT("'"&amp;$G$42&amp;"'!$B$37:$B$52"),"*Indirect*")/INDIRECT("'"&amp;$G$42&amp;"'!$F$2"),0)))</f>
        <v/>
      </c>
      <c r="AI49" s="152">
        <f>IF($G$43="",0,IF(W49&gt;'General Information'!$D$33,0,IFERROR(SUMIFS(INDIRECT("'"&amp;$G$43&amp;"'!$D$37:$D$52"),INDIRECT("'"&amp;$G$43&amp;"'!$C$37:$C$52"),W49,INDIRECT("'"&amp;$G$43&amp;"'!$B$37:$B$52"),"*Indirect*")/INDIRECT("'"&amp;$G$43&amp;"'!$F$2"),0)))</f>
        <v/>
      </c>
      <c r="AJ49" s="152">
        <f>IF($G$44="",0,IF(W49&gt;'General Information'!$D$33,0,IFERROR(SUMIFS(INDIRECT("'"&amp;$G$44&amp;"'!$D$37:$D$52"),INDIRECT("'"&amp;$G$44&amp;"'!$C$37:$C$52"),W49,INDIRECT("'"&amp;$G$44&amp;"'!$B$37:$B$52"),"*Indirect*")/INDIRECT("'"&amp;$G$44&amp;"'!$F$2"),0)))</f>
        <v/>
      </c>
    </row>
    <row r="50" ht="27" customHeight="1">
      <c r="G50" s="124" t="inlineStr">
        <is>
          <t>Alternative</t>
        </is>
      </c>
      <c r="H50" s="124" t="inlineStr">
        <is>
          <t>Agency cost PW</t>
        </is>
      </c>
      <c r="I50" s="124" t="inlineStr">
        <is>
          <t>Agency EUAC</t>
        </is>
      </c>
      <c r="J50" s="124" t="inlineStr">
        <is>
          <t>User cost PW (lost revenue)</t>
        </is>
      </c>
      <c r="K50" s="124" t="inlineStr">
        <is>
          <t>User EUAC</t>
        </is>
      </c>
      <c r="L50" s="124" t="inlineStr">
        <is>
          <t>Total PW</t>
        </is>
      </c>
      <c r="M50" s="124" t="inlineStr">
        <is>
          <t>Total EUAC</t>
        </is>
      </c>
      <c r="N50" s="124" t="inlineStr">
        <is>
          <t>vs. lowest ($)</t>
        </is>
      </c>
      <c r="O50" s="124" t="inlineStr">
        <is>
          <t>vs. lowest (%)</t>
        </is>
      </c>
      <c r="P50" s="124" t="inlineStr">
        <is>
          <t>Lowest?</t>
        </is>
      </c>
      <c r="W50" s="134" t="n">
        <v>9</v>
      </c>
      <c r="X50" s="134">
        <f>'General Information'!$D$25+W50</f>
        <v/>
      </c>
      <c r="Y50" s="135">
        <f>IF($G$41="",0,IF(W50&gt;'General Information'!$D$33,0,IF(W50=0,$J$41,IFERROR(SUMIF(INDIRECT("'"&amp;$G$41&amp;"'!$C$37:$C$52"),W50,INDIRECT("'"&amp;$G$41&amp;"'!$D$37:$D$52")),0))))</f>
        <v/>
      </c>
      <c r="Z50" s="135">
        <f>IF($G$42="",0,IF(W50&gt;'General Information'!$D$33,0,IF(W50=0,$J$42,IFERROR(SUMIF(INDIRECT("'"&amp;$G$42&amp;"'!$C$37:$C$52"),W50,INDIRECT("'"&amp;$G$42&amp;"'!$D$37:$D$52")),0))))</f>
        <v/>
      </c>
      <c r="AA50" s="135">
        <f>IF($G$43="",0,IF(W50&gt;'General Information'!$D$33,0,IF(W50=0,$J$43,IFERROR(SUMIF(INDIRECT("'"&amp;$G$43&amp;"'!$C$37:$C$52"),W50,INDIRECT("'"&amp;$G$43&amp;"'!$D$37:$D$52")),0))))</f>
        <v/>
      </c>
      <c r="AB50" s="135">
        <f>IF($G$44="",0,IF(W50&gt;'General Information'!$D$33,0,IF(W50=0,$J$44,IFERROR(SUMIF(INDIRECT("'"&amp;$G$44&amp;"'!$C$37:$C$52"),W50,INDIRECT("'"&amp;$G$44&amp;"'!$D$37:$D$52")),0))))</f>
        <v/>
      </c>
      <c r="AC50" s="135">
        <f>IF($G$41="",NA(),AC49+IF(W50&gt;'General Information'!$D$33,0,IF(W50=0,$J$41,IFERROR(SUMIF(INDIRECT("'"&amp;$G$41&amp;"'!$C$37:$C$52"),W50,INDIRECT("'"&amp;$G$41&amp;"'!$E$37:$E$52")),0))))</f>
        <v/>
      </c>
      <c r="AD50" s="135">
        <f>IF($G$42="",NA(),AD49+IF(W50&gt;'General Information'!$D$33,0,IF(W50=0,$J$42,IFERROR(SUMIF(INDIRECT("'"&amp;$G$42&amp;"'!$C$37:$C$52"),W50,INDIRECT("'"&amp;$G$42&amp;"'!$E$37:$E$52")),0))))</f>
        <v/>
      </c>
      <c r="AE50" s="135">
        <f>IF($G$43="",NA(),AE49+IF(W50&gt;'General Information'!$D$33,0,IF(W50=0,$J$43,IFERROR(SUMIF(INDIRECT("'"&amp;$G$43&amp;"'!$C$37:$C$52"),W50,INDIRECT("'"&amp;$G$43&amp;"'!$E$37:$E$52")),0))))</f>
        <v/>
      </c>
      <c r="AF50" s="135">
        <f>IF($G$44="",NA(),AF49+IF(W50&gt;'General Information'!$D$33,0,IF(W50=0,$J$44,IFERROR(SUMIF(INDIRECT("'"&amp;$G$44&amp;"'!$C$37:$C$52"),W50,INDIRECT("'"&amp;$G$44&amp;"'!$E$37:$E$52")),0))))</f>
        <v/>
      </c>
      <c r="AG50" s="152">
        <f>IF($G$41="",0,IF(W50&gt;'General Information'!$D$33,0,IFERROR(SUMIFS(INDIRECT("'"&amp;$G$41&amp;"'!$D$37:$D$52"),INDIRECT("'"&amp;$G$41&amp;"'!$C$37:$C$52"),W50,INDIRECT("'"&amp;$G$41&amp;"'!$B$37:$B$52"),"*Indirect*")/INDIRECT("'"&amp;$G$41&amp;"'!$F$2"),0)))</f>
        <v/>
      </c>
      <c r="AH50" s="152">
        <f>IF($G$42="",0,IF(W50&gt;'General Information'!$D$33,0,IFERROR(SUMIFS(INDIRECT("'"&amp;$G$42&amp;"'!$D$37:$D$52"),INDIRECT("'"&amp;$G$42&amp;"'!$C$37:$C$52"),W50,INDIRECT("'"&amp;$G$42&amp;"'!$B$37:$B$52"),"*Indirect*")/INDIRECT("'"&amp;$G$42&amp;"'!$F$2"),0)))</f>
        <v/>
      </c>
      <c r="AI50" s="152">
        <f>IF($G$43="",0,IF(W50&gt;'General Information'!$D$33,0,IFERROR(SUMIFS(INDIRECT("'"&amp;$G$43&amp;"'!$D$37:$D$52"),INDIRECT("'"&amp;$G$43&amp;"'!$C$37:$C$52"),W50,INDIRECT("'"&amp;$G$43&amp;"'!$B$37:$B$52"),"*Indirect*")/INDIRECT("'"&amp;$G$43&amp;"'!$F$2"),0)))</f>
        <v/>
      </c>
      <c r="AJ50" s="152">
        <f>IF($G$44="",0,IF(W50&gt;'General Information'!$D$33,0,IFERROR(SUMIFS(INDIRECT("'"&amp;$G$44&amp;"'!$D$37:$D$52"),INDIRECT("'"&amp;$G$44&amp;"'!$C$37:$C$52"),W50,INDIRECT("'"&amp;$G$44&amp;"'!$B$37:$B$52"),"*Indirect*")/INDIRECT("'"&amp;$G$44&amp;"'!$F$2"),0)))</f>
        <v/>
      </c>
    </row>
    <row r="51">
      <c r="G51" s="137">
        <f>IF($G$41="","",$H$41)</f>
        <v/>
      </c>
      <c r="H51" s="138">
        <f>IF($G$41="","",$J$41+$K$41+$L$41+$N$41)</f>
        <v/>
      </c>
      <c r="I51" s="138">
        <f>IF($G$41="","",H51*(('General Information'!$D$34/100)*(1+'General Information'!$D$34/100)^'General Information'!$D$33/((1+'General Information'!$D$34/100)^'General Information'!$D$33-1)))</f>
        <v/>
      </c>
      <c r="J51" s="138">
        <f>IF($G$41="","",$M$41)</f>
        <v/>
      </c>
      <c r="K51" s="138">
        <f>IF($G$41="","",J51*(('General Information'!$D$34/100)*(1+'General Information'!$D$34/100)^'General Information'!$D$33/((1+'General Information'!$D$34/100)^'General Information'!$D$33-1)))</f>
        <v/>
      </c>
      <c r="L51" s="138">
        <f>IF($G$41="","",$O$41)</f>
        <v/>
      </c>
      <c r="M51" s="138">
        <f>IF($G$41="","",L51*(('General Information'!$D$34/100)*(1+'General Information'!$D$34/100)^'General Information'!$D$33/((1+'General Information'!$D$34/100)^'General Information'!$D$33-1)))</f>
        <v/>
      </c>
      <c r="N51" s="138">
        <f>IF($G$41="","",$P$41)</f>
        <v/>
      </c>
      <c r="O51" s="148">
        <f>IF($G$41="","",IFERROR($P$41/MIN($O$41:$O$44),0))</f>
        <v/>
      </c>
      <c r="P51" s="137">
        <f>IF($G$41="","",IF($O$41=MIN($O$41:$O$44),"lowest",""))</f>
        <v/>
      </c>
      <c r="W51" s="134" t="n">
        <v>10</v>
      </c>
      <c r="X51" s="134">
        <f>'General Information'!$D$25+W51</f>
        <v/>
      </c>
      <c r="Y51" s="135">
        <f>IF($G$41="",0,IF(W51&gt;'General Information'!$D$33,0,IF(W51=0,$J$41,IFERROR(SUMIF(INDIRECT("'"&amp;$G$41&amp;"'!$C$37:$C$52"),W51,INDIRECT("'"&amp;$G$41&amp;"'!$D$37:$D$52")),0))))</f>
        <v/>
      </c>
      <c r="Z51" s="135">
        <f>IF($G$42="",0,IF(W51&gt;'General Information'!$D$33,0,IF(W51=0,$J$42,IFERROR(SUMIF(INDIRECT("'"&amp;$G$42&amp;"'!$C$37:$C$52"),W51,INDIRECT("'"&amp;$G$42&amp;"'!$D$37:$D$52")),0))))</f>
        <v/>
      </c>
      <c r="AA51" s="135">
        <f>IF($G$43="",0,IF(W51&gt;'General Information'!$D$33,0,IF(W51=0,$J$43,IFERROR(SUMIF(INDIRECT("'"&amp;$G$43&amp;"'!$C$37:$C$52"),W51,INDIRECT("'"&amp;$G$43&amp;"'!$D$37:$D$52")),0))))</f>
        <v/>
      </c>
      <c r="AB51" s="135">
        <f>IF($G$44="",0,IF(W51&gt;'General Information'!$D$33,0,IF(W51=0,$J$44,IFERROR(SUMIF(INDIRECT("'"&amp;$G$44&amp;"'!$C$37:$C$52"),W51,INDIRECT("'"&amp;$G$44&amp;"'!$D$37:$D$52")),0))))</f>
        <v/>
      </c>
      <c r="AC51" s="135">
        <f>IF($G$41="",NA(),AC50+IF(W51&gt;'General Information'!$D$33,0,IF(W51=0,$J$41,IFERROR(SUMIF(INDIRECT("'"&amp;$G$41&amp;"'!$C$37:$C$52"),W51,INDIRECT("'"&amp;$G$41&amp;"'!$E$37:$E$52")),0))))</f>
        <v/>
      </c>
      <c r="AD51" s="135">
        <f>IF($G$42="",NA(),AD50+IF(W51&gt;'General Information'!$D$33,0,IF(W51=0,$J$42,IFERROR(SUMIF(INDIRECT("'"&amp;$G$42&amp;"'!$C$37:$C$52"),W51,INDIRECT("'"&amp;$G$42&amp;"'!$E$37:$E$52")),0))))</f>
        <v/>
      </c>
      <c r="AE51" s="135">
        <f>IF($G$43="",NA(),AE50+IF(W51&gt;'General Information'!$D$33,0,IF(W51=0,$J$43,IFERROR(SUMIF(INDIRECT("'"&amp;$G$43&amp;"'!$C$37:$C$52"),W51,INDIRECT("'"&amp;$G$43&amp;"'!$E$37:$E$52")),0))))</f>
        <v/>
      </c>
      <c r="AF51" s="135">
        <f>IF($G$44="",NA(),AF50+IF(W51&gt;'General Information'!$D$33,0,IF(W51=0,$J$44,IFERROR(SUMIF(INDIRECT("'"&amp;$G$44&amp;"'!$C$37:$C$52"),W51,INDIRECT("'"&amp;$G$44&amp;"'!$E$37:$E$52")),0))))</f>
        <v/>
      </c>
      <c r="AG51" s="152">
        <f>IF($G$41="",0,IF(W51&gt;'General Information'!$D$33,0,IFERROR(SUMIFS(INDIRECT("'"&amp;$G$41&amp;"'!$D$37:$D$52"),INDIRECT("'"&amp;$G$41&amp;"'!$C$37:$C$52"),W51,INDIRECT("'"&amp;$G$41&amp;"'!$B$37:$B$52"),"*Indirect*")/INDIRECT("'"&amp;$G$41&amp;"'!$F$2"),0)))</f>
        <v/>
      </c>
      <c r="AH51" s="152">
        <f>IF($G$42="",0,IF(W51&gt;'General Information'!$D$33,0,IFERROR(SUMIFS(INDIRECT("'"&amp;$G$42&amp;"'!$D$37:$D$52"),INDIRECT("'"&amp;$G$42&amp;"'!$C$37:$C$52"),W51,INDIRECT("'"&amp;$G$42&amp;"'!$B$37:$B$52"),"*Indirect*")/INDIRECT("'"&amp;$G$42&amp;"'!$F$2"),0)))</f>
        <v/>
      </c>
      <c r="AI51" s="152">
        <f>IF($G$43="",0,IF(W51&gt;'General Information'!$D$33,0,IFERROR(SUMIFS(INDIRECT("'"&amp;$G$43&amp;"'!$D$37:$D$52"),INDIRECT("'"&amp;$G$43&amp;"'!$C$37:$C$52"),W51,INDIRECT("'"&amp;$G$43&amp;"'!$B$37:$B$52"),"*Indirect*")/INDIRECT("'"&amp;$G$43&amp;"'!$F$2"),0)))</f>
        <v/>
      </c>
      <c r="AJ51" s="152">
        <f>IF($G$44="",0,IF(W51&gt;'General Information'!$D$33,0,IFERROR(SUMIFS(INDIRECT("'"&amp;$G$44&amp;"'!$D$37:$D$52"),INDIRECT("'"&amp;$G$44&amp;"'!$C$37:$C$52"),W51,INDIRECT("'"&amp;$G$44&amp;"'!$B$37:$B$52"),"*Indirect*")/INDIRECT("'"&amp;$G$44&amp;"'!$F$2"),0)))</f>
        <v/>
      </c>
    </row>
    <row r="52">
      <c r="G52" s="137">
        <f>IF($G$42="","",$H$42)</f>
        <v/>
      </c>
      <c r="H52" s="138">
        <f>IF($G$42="","",$J$42+$K$42+$L$42+$N$42)</f>
        <v/>
      </c>
      <c r="I52" s="138">
        <f>IF($G$42="","",H52*(('General Information'!$D$34/100)*(1+'General Information'!$D$34/100)^'General Information'!$D$33/((1+'General Information'!$D$34/100)^'General Information'!$D$33-1)))</f>
        <v/>
      </c>
      <c r="J52" s="138">
        <f>IF($G$42="","",$M$42)</f>
        <v/>
      </c>
      <c r="K52" s="138">
        <f>IF($G$42="","",J52*(('General Information'!$D$34/100)*(1+'General Information'!$D$34/100)^'General Information'!$D$33/((1+'General Information'!$D$34/100)^'General Information'!$D$33-1)))</f>
        <v/>
      </c>
      <c r="L52" s="138">
        <f>IF($G$42="","",$O$42)</f>
        <v/>
      </c>
      <c r="M52" s="138">
        <f>IF($G$42="","",L52*(('General Information'!$D$34/100)*(1+'General Information'!$D$34/100)^'General Information'!$D$33/((1+'General Information'!$D$34/100)^'General Information'!$D$33-1)))</f>
        <v/>
      </c>
      <c r="N52" s="138">
        <f>IF($G$42="","",$P$42)</f>
        <v/>
      </c>
      <c r="O52" s="148">
        <f>IF($G$42="","",IFERROR($P$42/MIN($O$41:$O$44),0))</f>
        <v/>
      </c>
      <c r="P52" s="137">
        <f>IF($G$42="","",IF($O$42=MIN($O$41:$O$44),"lowest",""))</f>
        <v/>
      </c>
      <c r="W52" s="134" t="n">
        <v>11</v>
      </c>
      <c r="X52" s="134">
        <f>'General Information'!$D$25+W52</f>
        <v/>
      </c>
      <c r="Y52" s="135">
        <f>IF($G$41="",0,IF(W52&gt;'General Information'!$D$33,0,IF(W52=0,$J$41,IFERROR(SUMIF(INDIRECT("'"&amp;$G$41&amp;"'!$C$37:$C$52"),W52,INDIRECT("'"&amp;$G$41&amp;"'!$D$37:$D$52")),0))))</f>
        <v/>
      </c>
      <c r="Z52" s="135">
        <f>IF($G$42="",0,IF(W52&gt;'General Information'!$D$33,0,IF(W52=0,$J$42,IFERROR(SUMIF(INDIRECT("'"&amp;$G$42&amp;"'!$C$37:$C$52"),W52,INDIRECT("'"&amp;$G$42&amp;"'!$D$37:$D$52")),0))))</f>
        <v/>
      </c>
      <c r="AA52" s="135">
        <f>IF($G$43="",0,IF(W52&gt;'General Information'!$D$33,0,IF(W52=0,$J$43,IFERROR(SUMIF(INDIRECT("'"&amp;$G$43&amp;"'!$C$37:$C$52"),W52,INDIRECT("'"&amp;$G$43&amp;"'!$D$37:$D$52")),0))))</f>
        <v/>
      </c>
      <c r="AB52" s="135">
        <f>IF($G$44="",0,IF(W52&gt;'General Information'!$D$33,0,IF(W52=0,$J$44,IFERROR(SUMIF(INDIRECT("'"&amp;$G$44&amp;"'!$C$37:$C$52"),W52,INDIRECT("'"&amp;$G$44&amp;"'!$D$37:$D$52")),0))))</f>
        <v/>
      </c>
      <c r="AC52" s="135">
        <f>IF($G$41="",NA(),AC51+IF(W52&gt;'General Information'!$D$33,0,IF(W52=0,$J$41,IFERROR(SUMIF(INDIRECT("'"&amp;$G$41&amp;"'!$C$37:$C$52"),W52,INDIRECT("'"&amp;$G$41&amp;"'!$E$37:$E$52")),0))))</f>
        <v/>
      </c>
      <c r="AD52" s="135">
        <f>IF($G$42="",NA(),AD51+IF(W52&gt;'General Information'!$D$33,0,IF(W52=0,$J$42,IFERROR(SUMIF(INDIRECT("'"&amp;$G$42&amp;"'!$C$37:$C$52"),W52,INDIRECT("'"&amp;$G$42&amp;"'!$E$37:$E$52")),0))))</f>
        <v/>
      </c>
      <c r="AE52" s="135">
        <f>IF($G$43="",NA(),AE51+IF(W52&gt;'General Information'!$D$33,0,IF(W52=0,$J$43,IFERROR(SUMIF(INDIRECT("'"&amp;$G$43&amp;"'!$C$37:$C$52"),W52,INDIRECT("'"&amp;$G$43&amp;"'!$E$37:$E$52")),0))))</f>
        <v/>
      </c>
      <c r="AF52" s="135">
        <f>IF($G$44="",NA(),AF51+IF(W52&gt;'General Information'!$D$33,0,IF(W52=0,$J$44,IFERROR(SUMIF(INDIRECT("'"&amp;$G$44&amp;"'!$C$37:$C$52"),W52,INDIRECT("'"&amp;$G$44&amp;"'!$E$37:$E$52")),0))))</f>
        <v/>
      </c>
      <c r="AG52" s="152">
        <f>IF($G$41="",0,IF(W52&gt;'General Information'!$D$33,0,IFERROR(SUMIFS(INDIRECT("'"&amp;$G$41&amp;"'!$D$37:$D$52"),INDIRECT("'"&amp;$G$41&amp;"'!$C$37:$C$52"),W52,INDIRECT("'"&amp;$G$41&amp;"'!$B$37:$B$52"),"*Indirect*")/INDIRECT("'"&amp;$G$41&amp;"'!$F$2"),0)))</f>
        <v/>
      </c>
      <c r="AH52" s="152">
        <f>IF($G$42="",0,IF(W52&gt;'General Information'!$D$33,0,IFERROR(SUMIFS(INDIRECT("'"&amp;$G$42&amp;"'!$D$37:$D$52"),INDIRECT("'"&amp;$G$42&amp;"'!$C$37:$C$52"),W52,INDIRECT("'"&amp;$G$42&amp;"'!$B$37:$B$52"),"*Indirect*")/INDIRECT("'"&amp;$G$42&amp;"'!$F$2"),0)))</f>
        <v/>
      </c>
      <c r="AI52" s="152">
        <f>IF($G$43="",0,IF(W52&gt;'General Information'!$D$33,0,IFERROR(SUMIFS(INDIRECT("'"&amp;$G$43&amp;"'!$D$37:$D$52"),INDIRECT("'"&amp;$G$43&amp;"'!$C$37:$C$52"),W52,INDIRECT("'"&amp;$G$43&amp;"'!$B$37:$B$52"),"*Indirect*")/INDIRECT("'"&amp;$G$43&amp;"'!$F$2"),0)))</f>
        <v/>
      </c>
      <c r="AJ52" s="152">
        <f>IF($G$44="",0,IF(W52&gt;'General Information'!$D$33,0,IFERROR(SUMIFS(INDIRECT("'"&amp;$G$44&amp;"'!$D$37:$D$52"),INDIRECT("'"&amp;$G$44&amp;"'!$C$37:$C$52"),W52,INDIRECT("'"&amp;$G$44&amp;"'!$B$37:$B$52"),"*Indirect*")/INDIRECT("'"&amp;$G$44&amp;"'!$F$2"),0)))</f>
        <v/>
      </c>
    </row>
    <row r="53">
      <c r="G53" s="137">
        <f>IF($G$43="","",$H$43)</f>
        <v/>
      </c>
      <c r="H53" s="138">
        <f>IF($G$43="","",$J$43+$K$43+$L$43+$N$43)</f>
        <v/>
      </c>
      <c r="I53" s="138">
        <f>IF($G$43="","",H53*(('General Information'!$D$34/100)*(1+'General Information'!$D$34/100)^'General Information'!$D$33/((1+'General Information'!$D$34/100)^'General Information'!$D$33-1)))</f>
        <v/>
      </c>
      <c r="J53" s="138">
        <f>IF($G$43="","",$M$43)</f>
        <v/>
      </c>
      <c r="K53" s="138">
        <f>IF($G$43="","",J53*(('General Information'!$D$34/100)*(1+'General Information'!$D$34/100)^'General Information'!$D$33/((1+'General Information'!$D$34/100)^'General Information'!$D$33-1)))</f>
        <v/>
      </c>
      <c r="L53" s="138">
        <f>IF($G$43="","",$O$43)</f>
        <v/>
      </c>
      <c r="M53" s="138">
        <f>IF($G$43="","",L53*(('General Information'!$D$34/100)*(1+'General Information'!$D$34/100)^'General Information'!$D$33/((1+'General Information'!$D$34/100)^'General Information'!$D$33-1)))</f>
        <v/>
      </c>
      <c r="N53" s="138">
        <f>IF($G$43="","",$P$43)</f>
        <v/>
      </c>
      <c r="O53" s="148">
        <f>IF($G$43="","",IFERROR($P$43/MIN($O$41:$O$44),0))</f>
        <v/>
      </c>
      <c r="P53" s="137">
        <f>IF($G$43="","",IF($O$43=MIN($O$41:$O$44),"lowest",""))</f>
        <v/>
      </c>
      <c r="W53" s="134" t="n">
        <v>12</v>
      </c>
      <c r="X53" s="134">
        <f>'General Information'!$D$25+W53</f>
        <v/>
      </c>
      <c r="Y53" s="135">
        <f>IF($G$41="",0,IF(W53&gt;'General Information'!$D$33,0,IF(W53=0,$J$41,IFERROR(SUMIF(INDIRECT("'"&amp;$G$41&amp;"'!$C$37:$C$52"),W53,INDIRECT("'"&amp;$G$41&amp;"'!$D$37:$D$52")),0))))</f>
        <v/>
      </c>
      <c r="Z53" s="135">
        <f>IF($G$42="",0,IF(W53&gt;'General Information'!$D$33,0,IF(W53=0,$J$42,IFERROR(SUMIF(INDIRECT("'"&amp;$G$42&amp;"'!$C$37:$C$52"),W53,INDIRECT("'"&amp;$G$42&amp;"'!$D$37:$D$52")),0))))</f>
        <v/>
      </c>
      <c r="AA53" s="135">
        <f>IF($G$43="",0,IF(W53&gt;'General Information'!$D$33,0,IF(W53=0,$J$43,IFERROR(SUMIF(INDIRECT("'"&amp;$G$43&amp;"'!$C$37:$C$52"),W53,INDIRECT("'"&amp;$G$43&amp;"'!$D$37:$D$52")),0))))</f>
        <v/>
      </c>
      <c r="AB53" s="135">
        <f>IF($G$44="",0,IF(W53&gt;'General Information'!$D$33,0,IF(W53=0,$J$44,IFERROR(SUMIF(INDIRECT("'"&amp;$G$44&amp;"'!$C$37:$C$52"),W53,INDIRECT("'"&amp;$G$44&amp;"'!$D$37:$D$52")),0))))</f>
        <v/>
      </c>
      <c r="AC53" s="135">
        <f>IF($G$41="",NA(),AC52+IF(W53&gt;'General Information'!$D$33,0,IF(W53=0,$J$41,IFERROR(SUMIF(INDIRECT("'"&amp;$G$41&amp;"'!$C$37:$C$52"),W53,INDIRECT("'"&amp;$G$41&amp;"'!$E$37:$E$52")),0))))</f>
        <v/>
      </c>
      <c r="AD53" s="135">
        <f>IF($G$42="",NA(),AD52+IF(W53&gt;'General Information'!$D$33,0,IF(W53=0,$J$42,IFERROR(SUMIF(INDIRECT("'"&amp;$G$42&amp;"'!$C$37:$C$52"),W53,INDIRECT("'"&amp;$G$42&amp;"'!$E$37:$E$52")),0))))</f>
        <v/>
      </c>
      <c r="AE53" s="135">
        <f>IF($G$43="",NA(),AE52+IF(W53&gt;'General Information'!$D$33,0,IF(W53=0,$J$43,IFERROR(SUMIF(INDIRECT("'"&amp;$G$43&amp;"'!$C$37:$C$52"),W53,INDIRECT("'"&amp;$G$43&amp;"'!$E$37:$E$52")),0))))</f>
        <v/>
      </c>
      <c r="AF53" s="135">
        <f>IF($G$44="",NA(),AF52+IF(W53&gt;'General Information'!$D$33,0,IF(W53=0,$J$44,IFERROR(SUMIF(INDIRECT("'"&amp;$G$44&amp;"'!$C$37:$C$52"),W53,INDIRECT("'"&amp;$G$44&amp;"'!$E$37:$E$52")),0))))</f>
        <v/>
      </c>
      <c r="AG53" s="152">
        <f>IF($G$41="",0,IF(W53&gt;'General Information'!$D$33,0,IFERROR(SUMIFS(INDIRECT("'"&amp;$G$41&amp;"'!$D$37:$D$52"),INDIRECT("'"&amp;$G$41&amp;"'!$C$37:$C$52"),W53,INDIRECT("'"&amp;$G$41&amp;"'!$B$37:$B$52"),"*Indirect*")/INDIRECT("'"&amp;$G$41&amp;"'!$F$2"),0)))</f>
        <v/>
      </c>
      <c r="AH53" s="152">
        <f>IF($G$42="",0,IF(W53&gt;'General Information'!$D$33,0,IFERROR(SUMIFS(INDIRECT("'"&amp;$G$42&amp;"'!$D$37:$D$52"),INDIRECT("'"&amp;$G$42&amp;"'!$C$37:$C$52"),W53,INDIRECT("'"&amp;$G$42&amp;"'!$B$37:$B$52"),"*Indirect*")/INDIRECT("'"&amp;$G$42&amp;"'!$F$2"),0)))</f>
        <v/>
      </c>
      <c r="AI53" s="152">
        <f>IF($G$43="",0,IF(W53&gt;'General Information'!$D$33,0,IFERROR(SUMIFS(INDIRECT("'"&amp;$G$43&amp;"'!$D$37:$D$52"),INDIRECT("'"&amp;$G$43&amp;"'!$C$37:$C$52"),W53,INDIRECT("'"&amp;$G$43&amp;"'!$B$37:$B$52"),"*Indirect*")/INDIRECT("'"&amp;$G$43&amp;"'!$F$2"),0)))</f>
        <v/>
      </c>
      <c r="AJ53" s="152">
        <f>IF($G$44="",0,IF(W53&gt;'General Information'!$D$33,0,IFERROR(SUMIFS(INDIRECT("'"&amp;$G$44&amp;"'!$D$37:$D$52"),INDIRECT("'"&amp;$G$44&amp;"'!$C$37:$C$52"),W53,INDIRECT("'"&amp;$G$44&amp;"'!$B$37:$B$52"),"*Indirect*")/INDIRECT("'"&amp;$G$44&amp;"'!$F$2"),0)))</f>
        <v/>
      </c>
    </row>
    <row r="54">
      <c r="G54" s="137">
        <f>IF($G$44="","",$H$44)</f>
        <v/>
      </c>
      <c r="H54" s="138">
        <f>IF($G$44="","",$J$44+$K$44+$L$44+$N$44)</f>
        <v/>
      </c>
      <c r="I54" s="138">
        <f>IF($G$44="","",H54*(('General Information'!$D$34/100)*(1+'General Information'!$D$34/100)^'General Information'!$D$33/((1+'General Information'!$D$34/100)^'General Information'!$D$33-1)))</f>
        <v/>
      </c>
      <c r="J54" s="138">
        <f>IF($G$44="","",$M$44)</f>
        <v/>
      </c>
      <c r="K54" s="138">
        <f>IF($G$44="","",J54*(('General Information'!$D$34/100)*(1+'General Information'!$D$34/100)^'General Information'!$D$33/((1+'General Information'!$D$34/100)^'General Information'!$D$33-1)))</f>
        <v/>
      </c>
      <c r="L54" s="138">
        <f>IF($G$44="","",$O$44)</f>
        <v/>
      </c>
      <c r="M54" s="138">
        <f>IF($G$44="","",L54*(('General Information'!$D$34/100)*(1+'General Information'!$D$34/100)^'General Information'!$D$33/((1+'General Information'!$D$34/100)^'General Information'!$D$33-1)))</f>
        <v/>
      </c>
      <c r="N54" s="138">
        <f>IF($G$44="","",$P$44)</f>
        <v/>
      </c>
      <c r="O54" s="148">
        <f>IF($G$44="","",IFERROR($P$44/MIN($O$41:$O$44),0))</f>
        <v/>
      </c>
      <c r="P54" s="137">
        <f>IF($G$44="","",IF($O$44=MIN($O$41:$O$44),"lowest",""))</f>
        <v/>
      </c>
      <c r="W54" s="134" t="n">
        <v>13</v>
      </c>
      <c r="X54" s="134">
        <f>'General Information'!$D$25+W54</f>
        <v/>
      </c>
      <c r="Y54" s="135">
        <f>IF($G$41="",0,IF(W54&gt;'General Information'!$D$33,0,IF(W54=0,$J$41,IFERROR(SUMIF(INDIRECT("'"&amp;$G$41&amp;"'!$C$37:$C$52"),W54,INDIRECT("'"&amp;$G$41&amp;"'!$D$37:$D$52")),0))))</f>
        <v/>
      </c>
      <c r="Z54" s="135">
        <f>IF($G$42="",0,IF(W54&gt;'General Information'!$D$33,0,IF(W54=0,$J$42,IFERROR(SUMIF(INDIRECT("'"&amp;$G$42&amp;"'!$C$37:$C$52"),W54,INDIRECT("'"&amp;$G$42&amp;"'!$D$37:$D$52")),0))))</f>
        <v/>
      </c>
      <c r="AA54" s="135">
        <f>IF($G$43="",0,IF(W54&gt;'General Information'!$D$33,0,IF(W54=0,$J$43,IFERROR(SUMIF(INDIRECT("'"&amp;$G$43&amp;"'!$C$37:$C$52"),W54,INDIRECT("'"&amp;$G$43&amp;"'!$D$37:$D$52")),0))))</f>
        <v/>
      </c>
      <c r="AB54" s="135">
        <f>IF($G$44="",0,IF(W54&gt;'General Information'!$D$33,0,IF(W54=0,$J$44,IFERROR(SUMIF(INDIRECT("'"&amp;$G$44&amp;"'!$C$37:$C$52"),W54,INDIRECT("'"&amp;$G$44&amp;"'!$D$37:$D$52")),0))))</f>
        <v/>
      </c>
      <c r="AC54" s="135">
        <f>IF($G$41="",NA(),AC53+IF(W54&gt;'General Information'!$D$33,0,IF(W54=0,$J$41,IFERROR(SUMIF(INDIRECT("'"&amp;$G$41&amp;"'!$C$37:$C$52"),W54,INDIRECT("'"&amp;$G$41&amp;"'!$E$37:$E$52")),0))))</f>
        <v/>
      </c>
      <c r="AD54" s="135">
        <f>IF($G$42="",NA(),AD53+IF(W54&gt;'General Information'!$D$33,0,IF(W54=0,$J$42,IFERROR(SUMIF(INDIRECT("'"&amp;$G$42&amp;"'!$C$37:$C$52"),W54,INDIRECT("'"&amp;$G$42&amp;"'!$E$37:$E$52")),0))))</f>
        <v/>
      </c>
      <c r="AE54" s="135">
        <f>IF($G$43="",NA(),AE53+IF(W54&gt;'General Information'!$D$33,0,IF(W54=0,$J$43,IFERROR(SUMIF(INDIRECT("'"&amp;$G$43&amp;"'!$C$37:$C$52"),W54,INDIRECT("'"&amp;$G$43&amp;"'!$E$37:$E$52")),0))))</f>
        <v/>
      </c>
      <c r="AF54" s="135">
        <f>IF($G$44="",NA(),AF53+IF(W54&gt;'General Information'!$D$33,0,IF(W54=0,$J$44,IFERROR(SUMIF(INDIRECT("'"&amp;$G$44&amp;"'!$C$37:$C$52"),W54,INDIRECT("'"&amp;$G$44&amp;"'!$E$37:$E$52")),0))))</f>
        <v/>
      </c>
      <c r="AG54" s="152">
        <f>IF($G$41="",0,IF(W54&gt;'General Information'!$D$33,0,IFERROR(SUMIFS(INDIRECT("'"&amp;$G$41&amp;"'!$D$37:$D$52"),INDIRECT("'"&amp;$G$41&amp;"'!$C$37:$C$52"),W54,INDIRECT("'"&amp;$G$41&amp;"'!$B$37:$B$52"),"*Indirect*")/INDIRECT("'"&amp;$G$41&amp;"'!$F$2"),0)))</f>
        <v/>
      </c>
      <c r="AH54" s="152">
        <f>IF($G$42="",0,IF(W54&gt;'General Information'!$D$33,0,IFERROR(SUMIFS(INDIRECT("'"&amp;$G$42&amp;"'!$D$37:$D$52"),INDIRECT("'"&amp;$G$42&amp;"'!$C$37:$C$52"),W54,INDIRECT("'"&amp;$G$42&amp;"'!$B$37:$B$52"),"*Indirect*")/INDIRECT("'"&amp;$G$42&amp;"'!$F$2"),0)))</f>
        <v/>
      </c>
      <c r="AI54" s="152">
        <f>IF($G$43="",0,IF(W54&gt;'General Information'!$D$33,0,IFERROR(SUMIFS(INDIRECT("'"&amp;$G$43&amp;"'!$D$37:$D$52"),INDIRECT("'"&amp;$G$43&amp;"'!$C$37:$C$52"),W54,INDIRECT("'"&amp;$G$43&amp;"'!$B$37:$B$52"),"*Indirect*")/INDIRECT("'"&amp;$G$43&amp;"'!$F$2"),0)))</f>
        <v/>
      </c>
      <c r="AJ54" s="152">
        <f>IF($G$44="",0,IF(W54&gt;'General Information'!$D$33,0,IFERROR(SUMIFS(INDIRECT("'"&amp;$G$44&amp;"'!$D$37:$D$52"),INDIRECT("'"&amp;$G$44&amp;"'!$C$37:$C$52"),W54,INDIRECT("'"&amp;$G$44&amp;"'!$B$37:$B$52"),"*Indirect*")/INDIRECT("'"&amp;$G$44&amp;"'!$F$2"),0)))</f>
        <v/>
      </c>
    </row>
    <row r="55">
      <c r="G55" s="136"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W55" s="134" t="n">
        <v>14</v>
      </c>
      <c r="X55" s="134">
        <f>'General Information'!$D$25+W55</f>
        <v/>
      </c>
      <c r="Y55" s="135">
        <f>IF($G$41="",0,IF(W55&gt;'General Information'!$D$33,0,IF(W55=0,$J$41,IFERROR(SUMIF(INDIRECT("'"&amp;$G$41&amp;"'!$C$37:$C$52"),W55,INDIRECT("'"&amp;$G$41&amp;"'!$D$37:$D$52")),0))))</f>
        <v/>
      </c>
      <c r="Z55" s="135">
        <f>IF($G$42="",0,IF(W55&gt;'General Information'!$D$33,0,IF(W55=0,$J$42,IFERROR(SUMIF(INDIRECT("'"&amp;$G$42&amp;"'!$C$37:$C$52"),W55,INDIRECT("'"&amp;$G$42&amp;"'!$D$37:$D$52")),0))))</f>
        <v/>
      </c>
      <c r="AA55" s="135">
        <f>IF($G$43="",0,IF(W55&gt;'General Information'!$D$33,0,IF(W55=0,$J$43,IFERROR(SUMIF(INDIRECT("'"&amp;$G$43&amp;"'!$C$37:$C$52"),W55,INDIRECT("'"&amp;$G$43&amp;"'!$D$37:$D$52")),0))))</f>
        <v/>
      </c>
      <c r="AB55" s="135">
        <f>IF($G$44="",0,IF(W55&gt;'General Information'!$D$33,0,IF(W55=0,$J$44,IFERROR(SUMIF(INDIRECT("'"&amp;$G$44&amp;"'!$C$37:$C$52"),W55,INDIRECT("'"&amp;$G$44&amp;"'!$D$37:$D$52")),0))))</f>
        <v/>
      </c>
      <c r="AC55" s="135">
        <f>IF($G$41="",NA(),AC54+IF(W55&gt;'General Information'!$D$33,0,IF(W55=0,$J$41,IFERROR(SUMIF(INDIRECT("'"&amp;$G$41&amp;"'!$C$37:$C$52"),W55,INDIRECT("'"&amp;$G$41&amp;"'!$E$37:$E$52")),0))))</f>
        <v/>
      </c>
      <c r="AD55" s="135">
        <f>IF($G$42="",NA(),AD54+IF(W55&gt;'General Information'!$D$33,0,IF(W55=0,$J$42,IFERROR(SUMIF(INDIRECT("'"&amp;$G$42&amp;"'!$C$37:$C$52"),W55,INDIRECT("'"&amp;$G$42&amp;"'!$E$37:$E$52")),0))))</f>
        <v/>
      </c>
      <c r="AE55" s="135">
        <f>IF($G$43="",NA(),AE54+IF(W55&gt;'General Information'!$D$33,0,IF(W55=0,$J$43,IFERROR(SUMIF(INDIRECT("'"&amp;$G$43&amp;"'!$C$37:$C$52"),W55,INDIRECT("'"&amp;$G$43&amp;"'!$E$37:$E$52")),0))))</f>
        <v/>
      </c>
      <c r="AF55" s="135">
        <f>IF($G$44="",NA(),AF54+IF(W55&gt;'General Information'!$D$33,0,IF(W55=0,$J$44,IFERROR(SUMIF(INDIRECT("'"&amp;$G$44&amp;"'!$C$37:$C$52"),W55,INDIRECT("'"&amp;$G$44&amp;"'!$E$37:$E$52")),0))))</f>
        <v/>
      </c>
      <c r="AG55" s="152">
        <f>IF($G$41="",0,IF(W55&gt;'General Information'!$D$33,0,IFERROR(SUMIFS(INDIRECT("'"&amp;$G$41&amp;"'!$D$37:$D$52"),INDIRECT("'"&amp;$G$41&amp;"'!$C$37:$C$52"),W55,INDIRECT("'"&amp;$G$41&amp;"'!$B$37:$B$52"),"*Indirect*")/INDIRECT("'"&amp;$G$41&amp;"'!$F$2"),0)))</f>
        <v/>
      </c>
      <c r="AH55" s="152">
        <f>IF($G$42="",0,IF(W55&gt;'General Information'!$D$33,0,IFERROR(SUMIFS(INDIRECT("'"&amp;$G$42&amp;"'!$D$37:$D$52"),INDIRECT("'"&amp;$G$42&amp;"'!$C$37:$C$52"),W55,INDIRECT("'"&amp;$G$42&amp;"'!$B$37:$B$52"),"*Indirect*")/INDIRECT("'"&amp;$G$42&amp;"'!$F$2"),0)))</f>
        <v/>
      </c>
      <c r="AI55" s="152">
        <f>IF($G$43="",0,IF(W55&gt;'General Information'!$D$33,0,IFERROR(SUMIFS(INDIRECT("'"&amp;$G$43&amp;"'!$D$37:$D$52"),INDIRECT("'"&amp;$G$43&amp;"'!$C$37:$C$52"),W55,INDIRECT("'"&amp;$G$43&amp;"'!$B$37:$B$52"),"*Indirect*")/INDIRECT("'"&amp;$G$43&amp;"'!$F$2"),0)))</f>
        <v/>
      </c>
      <c r="AJ55" s="152">
        <f>IF($G$44="",0,IF(W55&gt;'General Information'!$D$33,0,IFERROR(SUMIFS(INDIRECT("'"&amp;$G$44&amp;"'!$D$37:$D$52"),INDIRECT("'"&amp;$G$44&amp;"'!$C$37:$C$52"),W55,INDIRECT("'"&amp;$G$44&amp;"'!$B$37:$B$52"),"*Indirect*")/INDIRECT("'"&amp;$G$44&amp;"'!$F$2"),0)))</f>
        <v/>
      </c>
    </row>
    <row r="56">
      <c r="W56" s="134" t="n">
        <v>15</v>
      </c>
      <c r="X56" s="134">
        <f>'General Information'!$D$25+W56</f>
        <v/>
      </c>
      <c r="Y56" s="135">
        <f>IF($G$41="",0,IF(W56&gt;'General Information'!$D$33,0,IF(W56=0,$J$41,IFERROR(SUMIF(INDIRECT("'"&amp;$G$41&amp;"'!$C$37:$C$52"),W56,INDIRECT("'"&amp;$G$41&amp;"'!$D$37:$D$52")),0))))</f>
        <v/>
      </c>
      <c r="Z56" s="135">
        <f>IF($G$42="",0,IF(W56&gt;'General Information'!$D$33,0,IF(W56=0,$J$42,IFERROR(SUMIF(INDIRECT("'"&amp;$G$42&amp;"'!$C$37:$C$52"),W56,INDIRECT("'"&amp;$G$42&amp;"'!$D$37:$D$52")),0))))</f>
        <v/>
      </c>
      <c r="AA56" s="135">
        <f>IF($G$43="",0,IF(W56&gt;'General Information'!$D$33,0,IF(W56=0,$J$43,IFERROR(SUMIF(INDIRECT("'"&amp;$G$43&amp;"'!$C$37:$C$52"),W56,INDIRECT("'"&amp;$G$43&amp;"'!$D$37:$D$52")),0))))</f>
        <v/>
      </c>
      <c r="AB56" s="135">
        <f>IF($G$44="",0,IF(W56&gt;'General Information'!$D$33,0,IF(W56=0,$J$44,IFERROR(SUMIF(INDIRECT("'"&amp;$G$44&amp;"'!$C$37:$C$52"),W56,INDIRECT("'"&amp;$G$44&amp;"'!$D$37:$D$52")),0))))</f>
        <v/>
      </c>
      <c r="AC56" s="135">
        <f>IF($G$41="",NA(),AC55+IF(W56&gt;'General Information'!$D$33,0,IF(W56=0,$J$41,IFERROR(SUMIF(INDIRECT("'"&amp;$G$41&amp;"'!$C$37:$C$52"),W56,INDIRECT("'"&amp;$G$41&amp;"'!$E$37:$E$52")),0))))</f>
        <v/>
      </c>
      <c r="AD56" s="135">
        <f>IF($G$42="",NA(),AD55+IF(W56&gt;'General Information'!$D$33,0,IF(W56=0,$J$42,IFERROR(SUMIF(INDIRECT("'"&amp;$G$42&amp;"'!$C$37:$C$52"),W56,INDIRECT("'"&amp;$G$42&amp;"'!$E$37:$E$52")),0))))</f>
        <v/>
      </c>
      <c r="AE56" s="135">
        <f>IF($G$43="",NA(),AE55+IF(W56&gt;'General Information'!$D$33,0,IF(W56=0,$J$43,IFERROR(SUMIF(INDIRECT("'"&amp;$G$43&amp;"'!$C$37:$C$52"),W56,INDIRECT("'"&amp;$G$43&amp;"'!$E$37:$E$52")),0))))</f>
        <v/>
      </c>
      <c r="AF56" s="135">
        <f>IF($G$44="",NA(),AF55+IF(W56&gt;'General Information'!$D$33,0,IF(W56=0,$J$44,IFERROR(SUMIF(INDIRECT("'"&amp;$G$44&amp;"'!$C$37:$C$52"),W56,INDIRECT("'"&amp;$G$44&amp;"'!$E$37:$E$52")),0))))</f>
        <v/>
      </c>
      <c r="AG56" s="152">
        <f>IF($G$41="",0,IF(W56&gt;'General Information'!$D$33,0,IFERROR(SUMIFS(INDIRECT("'"&amp;$G$41&amp;"'!$D$37:$D$52"),INDIRECT("'"&amp;$G$41&amp;"'!$C$37:$C$52"),W56,INDIRECT("'"&amp;$G$41&amp;"'!$B$37:$B$52"),"*Indirect*")/INDIRECT("'"&amp;$G$41&amp;"'!$F$2"),0)))</f>
        <v/>
      </c>
      <c r="AH56" s="152">
        <f>IF($G$42="",0,IF(W56&gt;'General Information'!$D$33,0,IFERROR(SUMIFS(INDIRECT("'"&amp;$G$42&amp;"'!$D$37:$D$52"),INDIRECT("'"&amp;$G$42&amp;"'!$C$37:$C$52"),W56,INDIRECT("'"&amp;$G$42&amp;"'!$B$37:$B$52"),"*Indirect*")/INDIRECT("'"&amp;$G$42&amp;"'!$F$2"),0)))</f>
        <v/>
      </c>
      <c r="AI56" s="152">
        <f>IF($G$43="",0,IF(W56&gt;'General Information'!$D$33,0,IFERROR(SUMIFS(INDIRECT("'"&amp;$G$43&amp;"'!$D$37:$D$52"),INDIRECT("'"&amp;$G$43&amp;"'!$C$37:$C$52"),W56,INDIRECT("'"&amp;$G$43&amp;"'!$B$37:$B$52"),"*Indirect*")/INDIRECT("'"&amp;$G$43&amp;"'!$F$2"),0)))</f>
        <v/>
      </c>
      <c r="AJ56" s="152">
        <f>IF($G$44="",0,IF(W56&gt;'General Information'!$D$33,0,IFERROR(SUMIFS(INDIRECT("'"&amp;$G$44&amp;"'!$D$37:$D$52"),INDIRECT("'"&amp;$G$44&amp;"'!$C$37:$C$52"),W56,INDIRECT("'"&amp;$G$44&amp;"'!$B$37:$B$52"),"*Indirect*")/INDIRECT("'"&amp;$G$44&amp;"'!$F$2"),0)))</f>
        <v/>
      </c>
    </row>
    <row r="57">
      <c r="G57" s="121" t="inlineStr">
        <is>
          <t>PAVEMENT SECTION  (read back from the quantities already entered; nothing here changes a cost)</t>
        </is>
      </c>
      <c r="W57" s="134" t="n">
        <v>16</v>
      </c>
      <c r="X57" s="134">
        <f>'General Information'!$D$25+W57</f>
        <v/>
      </c>
      <c r="Y57" s="135">
        <f>IF($G$41="",0,IF(W57&gt;'General Information'!$D$33,0,IF(W57=0,$J$41,IFERROR(SUMIF(INDIRECT("'"&amp;$G$41&amp;"'!$C$37:$C$52"),W57,INDIRECT("'"&amp;$G$41&amp;"'!$D$37:$D$52")),0))))</f>
        <v/>
      </c>
      <c r="Z57" s="135">
        <f>IF($G$42="",0,IF(W57&gt;'General Information'!$D$33,0,IF(W57=0,$J$42,IFERROR(SUMIF(INDIRECT("'"&amp;$G$42&amp;"'!$C$37:$C$52"),W57,INDIRECT("'"&amp;$G$42&amp;"'!$D$37:$D$52")),0))))</f>
        <v/>
      </c>
      <c r="AA57" s="135">
        <f>IF($G$43="",0,IF(W57&gt;'General Information'!$D$33,0,IF(W57=0,$J$43,IFERROR(SUMIF(INDIRECT("'"&amp;$G$43&amp;"'!$C$37:$C$52"),W57,INDIRECT("'"&amp;$G$43&amp;"'!$D$37:$D$52")),0))))</f>
        <v/>
      </c>
      <c r="AB57" s="135">
        <f>IF($G$44="",0,IF(W57&gt;'General Information'!$D$33,0,IF(W57=0,$J$44,IFERROR(SUMIF(INDIRECT("'"&amp;$G$44&amp;"'!$C$37:$C$52"),W57,INDIRECT("'"&amp;$G$44&amp;"'!$D$37:$D$52")),0))))</f>
        <v/>
      </c>
      <c r="AC57" s="135">
        <f>IF($G$41="",NA(),AC56+IF(W57&gt;'General Information'!$D$33,0,IF(W57=0,$J$41,IFERROR(SUMIF(INDIRECT("'"&amp;$G$41&amp;"'!$C$37:$C$52"),W57,INDIRECT("'"&amp;$G$41&amp;"'!$E$37:$E$52")),0))))</f>
        <v/>
      </c>
      <c r="AD57" s="135">
        <f>IF($G$42="",NA(),AD56+IF(W57&gt;'General Information'!$D$33,0,IF(W57=0,$J$42,IFERROR(SUMIF(INDIRECT("'"&amp;$G$42&amp;"'!$C$37:$C$52"),W57,INDIRECT("'"&amp;$G$42&amp;"'!$E$37:$E$52")),0))))</f>
        <v/>
      </c>
      <c r="AE57" s="135">
        <f>IF($G$43="",NA(),AE56+IF(W57&gt;'General Information'!$D$33,0,IF(W57=0,$J$43,IFERROR(SUMIF(INDIRECT("'"&amp;$G$43&amp;"'!$C$37:$C$52"),W57,INDIRECT("'"&amp;$G$43&amp;"'!$E$37:$E$52")),0))))</f>
        <v/>
      </c>
      <c r="AF57" s="135">
        <f>IF($G$44="",NA(),AF56+IF(W57&gt;'General Information'!$D$33,0,IF(W57=0,$J$44,IFERROR(SUMIF(INDIRECT("'"&amp;$G$44&amp;"'!$C$37:$C$52"),W57,INDIRECT("'"&amp;$G$44&amp;"'!$E$37:$E$52")),0))))</f>
        <v/>
      </c>
      <c r="AG57" s="152">
        <f>IF($G$41="",0,IF(W57&gt;'General Information'!$D$33,0,IFERROR(SUMIFS(INDIRECT("'"&amp;$G$41&amp;"'!$D$37:$D$52"),INDIRECT("'"&amp;$G$41&amp;"'!$C$37:$C$52"),W57,INDIRECT("'"&amp;$G$41&amp;"'!$B$37:$B$52"),"*Indirect*")/INDIRECT("'"&amp;$G$41&amp;"'!$F$2"),0)))</f>
        <v/>
      </c>
      <c r="AH57" s="152">
        <f>IF($G$42="",0,IF(W57&gt;'General Information'!$D$33,0,IFERROR(SUMIFS(INDIRECT("'"&amp;$G$42&amp;"'!$D$37:$D$52"),INDIRECT("'"&amp;$G$42&amp;"'!$C$37:$C$52"),W57,INDIRECT("'"&amp;$G$42&amp;"'!$B$37:$B$52"),"*Indirect*")/INDIRECT("'"&amp;$G$42&amp;"'!$F$2"),0)))</f>
        <v/>
      </c>
      <c r="AI57" s="152">
        <f>IF($G$43="",0,IF(W57&gt;'General Information'!$D$33,0,IFERROR(SUMIFS(INDIRECT("'"&amp;$G$43&amp;"'!$D$37:$D$52"),INDIRECT("'"&amp;$G$43&amp;"'!$C$37:$C$52"),W57,INDIRECT("'"&amp;$G$43&amp;"'!$B$37:$B$52"),"*Indirect*")/INDIRECT("'"&amp;$G$43&amp;"'!$F$2"),0)))</f>
        <v/>
      </c>
      <c r="AJ57" s="152">
        <f>IF($G$44="",0,IF(W57&gt;'General Information'!$D$33,0,IFERROR(SUMIFS(INDIRECT("'"&amp;$G$44&amp;"'!$D$37:$D$52"),INDIRECT("'"&amp;$G$44&amp;"'!$C$37:$C$52"),W57,INDIRECT("'"&amp;$G$44&amp;"'!$B$37:$B$52"),"*Indirect*")/INDIRECT("'"&amp;$G$44&amp;"'!$F$2"),0)))</f>
        <v/>
      </c>
    </row>
    <row r="58">
      <c r="G58" s="122" t="inlineStr">
        <is>
          <t>Asphalt unit weight, pcf:</t>
        </is>
      </c>
      <c r="J58" s="149" t="n">
        <v>145</v>
      </c>
      <c r="K58" s="136" t="inlineStr">
        <is>
          <t>Only asphalt needs an assumption: 145 pcf reproduces the Murfreesboro section to the hundredth of an inch. Volume items convert directly, and concrete carries its thickness in the pay-item name.</t>
        </is>
      </c>
      <c r="W58" s="134" t="n">
        <v>17</v>
      </c>
      <c r="X58" s="134">
        <f>'General Information'!$D$25+W58</f>
        <v/>
      </c>
      <c r="Y58" s="135">
        <f>IF($G$41="",0,IF(W58&gt;'General Information'!$D$33,0,IF(W58=0,$J$41,IFERROR(SUMIF(INDIRECT("'"&amp;$G$41&amp;"'!$C$37:$C$52"),W58,INDIRECT("'"&amp;$G$41&amp;"'!$D$37:$D$52")),0))))</f>
        <v/>
      </c>
      <c r="Z58" s="135">
        <f>IF($G$42="",0,IF(W58&gt;'General Information'!$D$33,0,IF(W58=0,$J$42,IFERROR(SUMIF(INDIRECT("'"&amp;$G$42&amp;"'!$C$37:$C$52"),W58,INDIRECT("'"&amp;$G$42&amp;"'!$D$37:$D$52")),0))))</f>
        <v/>
      </c>
      <c r="AA58" s="135">
        <f>IF($G$43="",0,IF(W58&gt;'General Information'!$D$33,0,IF(W58=0,$J$43,IFERROR(SUMIF(INDIRECT("'"&amp;$G$43&amp;"'!$C$37:$C$52"),W58,INDIRECT("'"&amp;$G$43&amp;"'!$D$37:$D$52")),0))))</f>
        <v/>
      </c>
      <c r="AB58" s="135">
        <f>IF($G$44="",0,IF(W58&gt;'General Information'!$D$33,0,IF(W58=0,$J$44,IFERROR(SUMIF(INDIRECT("'"&amp;$G$44&amp;"'!$C$37:$C$52"),W58,INDIRECT("'"&amp;$G$44&amp;"'!$D$37:$D$52")),0))))</f>
        <v/>
      </c>
      <c r="AC58" s="135">
        <f>IF($G$41="",NA(),AC57+IF(W58&gt;'General Information'!$D$33,0,IF(W58=0,$J$41,IFERROR(SUMIF(INDIRECT("'"&amp;$G$41&amp;"'!$C$37:$C$52"),W58,INDIRECT("'"&amp;$G$41&amp;"'!$E$37:$E$52")),0))))</f>
        <v/>
      </c>
      <c r="AD58" s="135">
        <f>IF($G$42="",NA(),AD57+IF(W58&gt;'General Information'!$D$33,0,IF(W58=0,$J$42,IFERROR(SUMIF(INDIRECT("'"&amp;$G$42&amp;"'!$C$37:$C$52"),W58,INDIRECT("'"&amp;$G$42&amp;"'!$E$37:$E$52")),0))))</f>
        <v/>
      </c>
      <c r="AE58" s="135">
        <f>IF($G$43="",NA(),AE57+IF(W58&gt;'General Information'!$D$33,0,IF(W58=0,$J$43,IFERROR(SUMIF(INDIRECT("'"&amp;$G$43&amp;"'!$C$37:$C$52"),W58,INDIRECT("'"&amp;$G$43&amp;"'!$E$37:$E$52")),0))))</f>
        <v/>
      </c>
      <c r="AF58" s="135">
        <f>IF($G$44="",NA(),AF57+IF(W58&gt;'General Information'!$D$33,0,IF(W58=0,$J$44,IFERROR(SUMIF(INDIRECT("'"&amp;$G$44&amp;"'!$C$37:$C$52"),W58,INDIRECT("'"&amp;$G$44&amp;"'!$E$37:$E$52")),0))))</f>
        <v/>
      </c>
      <c r="AG58" s="152">
        <f>IF($G$41="",0,IF(W58&gt;'General Information'!$D$33,0,IFERROR(SUMIFS(INDIRECT("'"&amp;$G$41&amp;"'!$D$37:$D$52"),INDIRECT("'"&amp;$G$41&amp;"'!$C$37:$C$52"),W58,INDIRECT("'"&amp;$G$41&amp;"'!$B$37:$B$52"),"*Indirect*")/INDIRECT("'"&amp;$G$41&amp;"'!$F$2"),0)))</f>
        <v/>
      </c>
      <c r="AH58" s="152">
        <f>IF($G$42="",0,IF(W58&gt;'General Information'!$D$33,0,IFERROR(SUMIFS(INDIRECT("'"&amp;$G$42&amp;"'!$D$37:$D$52"),INDIRECT("'"&amp;$G$42&amp;"'!$C$37:$C$52"),W58,INDIRECT("'"&amp;$G$42&amp;"'!$B$37:$B$52"),"*Indirect*")/INDIRECT("'"&amp;$G$42&amp;"'!$F$2"),0)))</f>
        <v/>
      </c>
      <c r="AI58" s="152">
        <f>IF($G$43="",0,IF(W58&gt;'General Information'!$D$33,0,IFERROR(SUMIFS(INDIRECT("'"&amp;$G$43&amp;"'!$D$37:$D$52"),INDIRECT("'"&amp;$G$43&amp;"'!$C$37:$C$52"),W58,INDIRECT("'"&amp;$G$43&amp;"'!$B$37:$B$52"),"*Indirect*")/INDIRECT("'"&amp;$G$43&amp;"'!$F$2"),0)))</f>
        <v/>
      </c>
      <c r="AJ58" s="152">
        <f>IF($G$44="",0,IF(W58&gt;'General Information'!$D$33,0,IFERROR(SUMIFS(INDIRECT("'"&amp;$G$44&amp;"'!$D$37:$D$52"),INDIRECT("'"&amp;$G$44&amp;"'!$C$37:$C$52"),W58,INDIRECT("'"&amp;$G$44&amp;"'!$B$37:$B$52"),"*Indirect*")/INDIRECT("'"&amp;$G$44&amp;"'!$F$2"),0)))</f>
        <v/>
      </c>
    </row>
    <row r="59" ht="27" customHeight="1">
      <c r="G59" s="124" t="inlineStr">
        <is>
          <t>Alternative</t>
        </is>
      </c>
      <c r="H59" s="124" t="inlineStr">
        <is>
          <t>Surface course (in)</t>
        </is>
      </c>
      <c r="I59" s="124" t="inlineStr">
        <is>
          <t>Aggregate base (in)</t>
        </is>
      </c>
      <c r="J59" s="124" t="inlineStr">
        <is>
          <t>Subbase (in)</t>
        </is>
      </c>
      <c r="K59" s="124" t="inlineStr">
        <is>
          <t>Treated subgrade</t>
        </is>
      </c>
      <c r="L59" s="124" t="inlineStr">
        <is>
          <t>Total section (in)</t>
        </is>
      </c>
      <c r="M59" s="124" t="inlineStr">
        <is>
          <t>Excavation (in)</t>
        </is>
      </c>
      <c r="N59" s="124" t="inlineStr">
        <is>
          <t>Excavation check</t>
        </is>
      </c>
      <c r="O59" s="124" t="n"/>
      <c r="P59" s="124" t="inlineStr">
        <is>
          <t>Section from the quantities</t>
        </is>
      </c>
      <c r="Q59" s="124" t="inlineStr">
        <is>
          <t>Same quantities over mainline + shoulder</t>
        </is>
      </c>
      <c r="W59" s="134" t="n">
        <v>18</v>
      </c>
      <c r="X59" s="134">
        <f>'General Information'!$D$25+W59</f>
        <v/>
      </c>
      <c r="Y59" s="135">
        <f>IF($G$41="",0,IF(W59&gt;'General Information'!$D$33,0,IF(W59=0,$J$41,IFERROR(SUMIF(INDIRECT("'"&amp;$G$41&amp;"'!$C$37:$C$52"),W59,INDIRECT("'"&amp;$G$41&amp;"'!$D$37:$D$52")),0))))</f>
        <v/>
      </c>
      <c r="Z59" s="135">
        <f>IF($G$42="",0,IF(W59&gt;'General Information'!$D$33,0,IF(W59=0,$J$42,IFERROR(SUMIF(INDIRECT("'"&amp;$G$42&amp;"'!$C$37:$C$52"),W59,INDIRECT("'"&amp;$G$42&amp;"'!$D$37:$D$52")),0))))</f>
        <v/>
      </c>
      <c r="AA59" s="135">
        <f>IF($G$43="",0,IF(W59&gt;'General Information'!$D$33,0,IF(W59=0,$J$43,IFERROR(SUMIF(INDIRECT("'"&amp;$G$43&amp;"'!$C$37:$C$52"),W59,INDIRECT("'"&amp;$G$43&amp;"'!$D$37:$D$52")),0))))</f>
        <v/>
      </c>
      <c r="AB59" s="135">
        <f>IF($G$44="",0,IF(W59&gt;'General Information'!$D$33,0,IF(W59=0,$J$44,IFERROR(SUMIF(INDIRECT("'"&amp;$G$44&amp;"'!$C$37:$C$52"),W59,INDIRECT("'"&amp;$G$44&amp;"'!$D$37:$D$52")),0))))</f>
        <v/>
      </c>
      <c r="AC59" s="135">
        <f>IF($G$41="",NA(),AC58+IF(W59&gt;'General Information'!$D$33,0,IF(W59=0,$J$41,IFERROR(SUMIF(INDIRECT("'"&amp;$G$41&amp;"'!$C$37:$C$52"),W59,INDIRECT("'"&amp;$G$41&amp;"'!$E$37:$E$52")),0))))</f>
        <v/>
      </c>
      <c r="AD59" s="135">
        <f>IF($G$42="",NA(),AD58+IF(W59&gt;'General Information'!$D$33,0,IF(W59=0,$J$42,IFERROR(SUMIF(INDIRECT("'"&amp;$G$42&amp;"'!$C$37:$C$52"),W59,INDIRECT("'"&amp;$G$42&amp;"'!$E$37:$E$52")),0))))</f>
        <v/>
      </c>
      <c r="AE59" s="135">
        <f>IF($G$43="",NA(),AE58+IF(W59&gt;'General Information'!$D$33,0,IF(W59=0,$J$43,IFERROR(SUMIF(INDIRECT("'"&amp;$G$43&amp;"'!$C$37:$C$52"),W59,INDIRECT("'"&amp;$G$43&amp;"'!$E$37:$E$52")),0))))</f>
        <v/>
      </c>
      <c r="AF59" s="135">
        <f>IF($G$44="",NA(),AF58+IF(W59&gt;'General Information'!$D$33,0,IF(W59=0,$J$44,IFERROR(SUMIF(INDIRECT("'"&amp;$G$44&amp;"'!$C$37:$C$52"),W59,INDIRECT("'"&amp;$G$44&amp;"'!$E$37:$E$52")),0))))</f>
        <v/>
      </c>
      <c r="AG59" s="152">
        <f>IF($G$41="",0,IF(W59&gt;'General Information'!$D$33,0,IFERROR(SUMIFS(INDIRECT("'"&amp;$G$41&amp;"'!$D$37:$D$52"),INDIRECT("'"&amp;$G$41&amp;"'!$C$37:$C$52"),W59,INDIRECT("'"&amp;$G$41&amp;"'!$B$37:$B$52"),"*Indirect*")/INDIRECT("'"&amp;$G$41&amp;"'!$F$2"),0)))</f>
        <v/>
      </c>
      <c r="AH59" s="152">
        <f>IF($G$42="",0,IF(W59&gt;'General Information'!$D$33,0,IFERROR(SUMIFS(INDIRECT("'"&amp;$G$42&amp;"'!$D$37:$D$52"),INDIRECT("'"&amp;$G$42&amp;"'!$C$37:$C$52"),W59,INDIRECT("'"&amp;$G$42&amp;"'!$B$37:$B$52"),"*Indirect*")/INDIRECT("'"&amp;$G$42&amp;"'!$F$2"),0)))</f>
        <v/>
      </c>
      <c r="AI59" s="152">
        <f>IF($G$43="",0,IF(W59&gt;'General Information'!$D$33,0,IFERROR(SUMIFS(INDIRECT("'"&amp;$G$43&amp;"'!$D$37:$D$52"),INDIRECT("'"&amp;$G$43&amp;"'!$C$37:$C$52"),W59,INDIRECT("'"&amp;$G$43&amp;"'!$B$37:$B$52"),"*Indirect*")/INDIRECT("'"&amp;$G$43&amp;"'!$F$2"),0)))</f>
        <v/>
      </c>
      <c r="AJ59" s="152">
        <f>IF($G$44="",0,IF(W59&gt;'General Information'!$D$33,0,IFERROR(SUMIFS(INDIRECT("'"&amp;$G$44&amp;"'!$D$37:$D$52"),INDIRECT("'"&amp;$G$44&amp;"'!$C$37:$C$52"),W59,INDIRECT("'"&amp;$G$44&amp;"'!$B$37:$B$52"),"*Indirect*")/INDIRECT("'"&amp;$G$44&amp;"'!$F$2"),0)))</f>
        <v/>
      </c>
    </row>
    <row r="60">
      <c r="G60" s="137">
        <f>IF($G$41="","",$H$41)</f>
        <v/>
      </c>
      <c r="H60" s="155">
        <f>IF(OR($G$41="",N('General Information'!$D$26)&lt;=0),"",IF(SUMIFS(INDIRECT("'"&amp;$G$41&amp;"'!$E$13:$E$22"),INDIRECT("'"&amp;$G$41&amp;"'!$D$13:$D$22"),"TON")&gt;0,SUMIFS(INDIRECT("'"&amp;$G$41&amp;"'!$E$13:$E$22"),INDIRECT("'"&amp;$G$41&amp;"'!$D$13:$D$22"),"TON")*2666.6667/($J$58*'General Information'!$D$26),IFERROR(VALUE(TRIM(SUBSTITUTE(MID(IFERROR(INDEX(INDIRECT("'"&amp;$G$41&amp;"'!$C$13:$C$22"),MATCH("Concrete Pavement*",INDIRECT("'"&amp;$G$41&amp;"'!$C$13:$C$22"),0)),""),FIND(",",IFERROR(INDEX(INDIRECT("'"&amp;$G$41&amp;"'!$C$13:$C$22"),MATCH("Concrete Pavement*",INDIRECT("'"&amp;$G$41&amp;"'!$C$13:$C$22"),0)),""))+1,99),"-inch",""))),0)))</f>
        <v/>
      </c>
      <c r="I60" s="155">
        <f>IF(OR($G$41="",N('General Information'!$D$26)&lt;=0),"",36*(SUMIFS(INDIRECT("'"&amp;$G$41&amp;"'!$E$13:$E$22"),INDIRECT("'"&amp;$G$41&amp;"'!$D$13:$D$22"),"C.Y.",INDIRECT("'"&amp;$G$41&amp;"'!$B$13:$B$22"),"P-2*")+SUMIFS(INDIRECT("'"&amp;$G$41&amp;"'!$E$13:$E$22"),INDIRECT("'"&amp;$G$41&amp;"'!$D$13:$D$22"),"C.Y.",INDIRECT("'"&amp;$G$41&amp;"'!$B$13:$B$22"),"P-3*"))/'General Information'!$D$26)</f>
        <v/>
      </c>
      <c r="J60" s="155">
        <f>IF(OR($G$41="",N('General Information'!$D$26)&lt;=0),"",36*SUMIFS(INDIRECT("'"&amp;$G$41&amp;"'!$E$13:$E$22"),INDIRECT("'"&amp;$G$41&amp;"'!$D$13:$D$22"),"C.Y.",INDIRECT("'"&amp;$G$41&amp;"'!$B$13:$B$22"),"P-154*")/'General Information'!$D$26)</f>
        <v/>
      </c>
      <c r="K60" s="155">
        <f>IF(OR($G$41="",N('General Information'!$D$26)&lt;=0),"",IF(SUMIFS(INDIRECT("'"&amp;$G$41&amp;"'!$E$13:$E$22"),INDIRECT("'"&amp;$G$41&amp;"'!$D$13:$D$22"),"S.Y.",INDIRECT("'"&amp;$G$41&amp;"'!$B$13:$B$22"),"P-155*")+SUMIFS(INDIRECT("'"&amp;$G$41&amp;"'!$E$13:$E$22"),INDIRECT("'"&amp;$G$41&amp;"'!$D$13:$D$22"),"S.Y.",INDIRECT("'"&amp;$G$41&amp;"'!$B$13:$B$22"),"P-156*")+SUMIFS(INDIRECT("'"&amp;$G$41&amp;"'!$E$13:$E$22"),INDIRECT("'"&amp;$G$41&amp;"'!$D$13:$D$22"),"S.Y.",INDIRECT("'"&amp;$G$41&amp;"'!$B$13:$B$22"),"P-157*")+SUMIFS(INDIRECT("'"&amp;$G$41&amp;"'!$E$13:$E$22"),INDIRECT("'"&amp;$G$41&amp;"'!$D$13:$D$22"),"S.Y.",INDIRECT("'"&amp;$G$41&amp;"'!$B$13:$B$22"),"P-158*")&gt;0,"yes","-"))</f>
        <v/>
      </c>
      <c r="L60" s="155">
        <f>IF(OR($G$41="",N('General Information'!$D$26)&lt;=0),"",H60+I60+J60)</f>
        <v/>
      </c>
      <c r="M60" s="155">
        <f>IF(OR($G$41="",N('General Information'!$D$26)&lt;=0),"",36*SUMIFS(INDIRECT("'"&amp;$G$41&amp;"'!$E$13:$E$22"),INDIRECT("'"&amp;$G$41&amp;"'!$D$13:$D$22"),"C.Y.",INDIRECT("'"&amp;$G$41&amp;"'!$B$13:$B$22"),"P-152*")/'General Information'!$D$26)</f>
        <v/>
      </c>
      <c r="N60" s="137">
        <f>IF(OR($G$41="",N('General Information'!$D$26)&lt;=0),"",IF(M60=0,"no excavation item",IF(ABS(M60-L60)&lt;=0.5,"agrees","differs by "&amp;TEXT(M60-L60,"0.0")&amp;" in")))</f>
        <v/>
      </c>
      <c r="P60" s="137">
        <f>IF(OR($G$41="",N('General Information'!$D$26)&lt;=0),"",TEXT(H60,"0")&amp;""" "&amp;IF(SUMIFS(INDIRECT("'"&amp;$G$41&amp;"'!$E$13:$E$22"),INDIRECT("'"&amp;$G$41&amp;"'!$D$13:$D$22"),"TON")&gt;0,IFERROR(SUBSTITUTE(LEFT(INDEX(INDIRECT("'"&amp;$G$41&amp;"'!$B$13:$B$22"),MATCH("P-4*",INDIRECT("'"&amp;$G$41&amp;"'!$B$13:$B$22"),0)),5),"-",""),""),IFERROR(SUBSTITUTE(LEFT(INDEX(INDIRECT("'"&amp;$G$41&amp;"'!$B$13:$B$22"),MATCH("P-501*",INDIRECT("'"&amp;$G$41&amp;"'!$B$13:$B$22"),0)),5),"-",""),""))&amp;IF(I60&gt;0," on "&amp;TEXT(I60,"0")&amp;""" "&amp;IFERROR(SUBSTITUTE(LEFT(INDEX(INDIRECT("'"&amp;$G$41&amp;"'!$B$13:$B$22"),MATCH("P-2*",INDIRECT("'"&amp;$G$41&amp;"'!$B$13:$B$22"),0)),5),"-",""),""),"")&amp;IF(J60&gt;0," on "&amp;TEXT(J60,"0")&amp;""" P154",""))</f>
        <v/>
      </c>
      <c r="Q60" s="137">
        <f>IF(OR(OR($G$41="",N('General Information'!$D$26)&lt;=0),'General Information'!$D$27=0),"",TEXT(IF(SUMIFS(INDIRECT("'"&amp;$G$41&amp;"'!$E$13:$E$22"),INDIRECT("'"&amp;$G$41&amp;"'!$D$13:$D$22"),"TON")&gt;0,H60*'General Information'!$D$26/('General Information'!$D$26+'General Information'!$D$27),H60),"0")&amp;""" "&amp;IF(SUMIFS(INDIRECT("'"&amp;$G$41&amp;"'!$E$13:$E$22"),INDIRECT("'"&amp;$G$41&amp;"'!$D$13:$D$22"),"TON")&gt;0,IFERROR(SUBSTITUTE(LEFT(INDEX(INDIRECT("'"&amp;$G$41&amp;"'!$B$13:$B$22"),MATCH("P-4*",INDIRECT("'"&amp;$G$41&amp;"'!$B$13:$B$22"),0)),5),"-",""),""),IFERROR(SUBSTITUTE(LEFT(INDEX(INDIRECT("'"&amp;$G$41&amp;"'!$B$13:$B$22"),MATCH("P-501*",INDIRECT("'"&amp;$G$41&amp;"'!$B$13:$B$22"),0)),5),"-",""),""))&amp;IF(I60&gt;0," on "&amp;TEXT(I60*'General Information'!$D$26/('General Information'!$D$26+'General Information'!$D$27),"0")&amp;""" "&amp;IFERROR(SUBSTITUTE(LEFT(INDEX(INDIRECT("'"&amp;$G$41&amp;"'!$B$13:$B$22"),MATCH("P-2*",INDIRECT("'"&amp;$G$41&amp;"'!$B$13:$B$22"),0)),5),"-",""),""),"")&amp;IF(J60&gt;0," on "&amp;TEXT(J60*'General Information'!$D$26/('General Information'!$D$26+'General Information'!$D$27),"0")&amp;""" P154",""))</f>
        <v/>
      </c>
      <c r="W60" s="134" t="n">
        <v>19</v>
      </c>
      <c r="X60" s="134">
        <f>'General Information'!$D$25+W60</f>
        <v/>
      </c>
      <c r="Y60" s="135">
        <f>IF($G$41="",0,IF(W60&gt;'General Information'!$D$33,0,IF(W60=0,$J$41,IFERROR(SUMIF(INDIRECT("'"&amp;$G$41&amp;"'!$C$37:$C$52"),W60,INDIRECT("'"&amp;$G$41&amp;"'!$D$37:$D$52")),0))))</f>
        <v/>
      </c>
      <c r="Z60" s="135">
        <f>IF($G$42="",0,IF(W60&gt;'General Information'!$D$33,0,IF(W60=0,$J$42,IFERROR(SUMIF(INDIRECT("'"&amp;$G$42&amp;"'!$C$37:$C$52"),W60,INDIRECT("'"&amp;$G$42&amp;"'!$D$37:$D$52")),0))))</f>
        <v/>
      </c>
      <c r="AA60" s="135">
        <f>IF($G$43="",0,IF(W60&gt;'General Information'!$D$33,0,IF(W60=0,$J$43,IFERROR(SUMIF(INDIRECT("'"&amp;$G$43&amp;"'!$C$37:$C$52"),W60,INDIRECT("'"&amp;$G$43&amp;"'!$D$37:$D$52")),0))))</f>
        <v/>
      </c>
      <c r="AB60" s="135">
        <f>IF($G$44="",0,IF(W60&gt;'General Information'!$D$33,0,IF(W60=0,$J$44,IFERROR(SUMIF(INDIRECT("'"&amp;$G$44&amp;"'!$C$37:$C$52"),W60,INDIRECT("'"&amp;$G$44&amp;"'!$D$37:$D$52")),0))))</f>
        <v/>
      </c>
      <c r="AC60" s="135">
        <f>IF($G$41="",NA(),AC59+IF(W60&gt;'General Information'!$D$33,0,IF(W60=0,$J$41,IFERROR(SUMIF(INDIRECT("'"&amp;$G$41&amp;"'!$C$37:$C$52"),W60,INDIRECT("'"&amp;$G$41&amp;"'!$E$37:$E$52")),0))))</f>
        <v/>
      </c>
      <c r="AD60" s="135">
        <f>IF($G$42="",NA(),AD59+IF(W60&gt;'General Information'!$D$33,0,IF(W60=0,$J$42,IFERROR(SUMIF(INDIRECT("'"&amp;$G$42&amp;"'!$C$37:$C$52"),W60,INDIRECT("'"&amp;$G$42&amp;"'!$E$37:$E$52")),0))))</f>
        <v/>
      </c>
      <c r="AE60" s="135">
        <f>IF($G$43="",NA(),AE59+IF(W60&gt;'General Information'!$D$33,0,IF(W60=0,$J$43,IFERROR(SUMIF(INDIRECT("'"&amp;$G$43&amp;"'!$C$37:$C$52"),W60,INDIRECT("'"&amp;$G$43&amp;"'!$E$37:$E$52")),0))))</f>
        <v/>
      </c>
      <c r="AF60" s="135">
        <f>IF($G$44="",NA(),AF59+IF(W60&gt;'General Information'!$D$33,0,IF(W60=0,$J$44,IFERROR(SUMIF(INDIRECT("'"&amp;$G$44&amp;"'!$C$37:$C$52"),W60,INDIRECT("'"&amp;$G$44&amp;"'!$E$37:$E$52")),0))))</f>
        <v/>
      </c>
      <c r="AG60" s="152">
        <f>IF($G$41="",0,IF(W60&gt;'General Information'!$D$33,0,IFERROR(SUMIFS(INDIRECT("'"&amp;$G$41&amp;"'!$D$37:$D$52"),INDIRECT("'"&amp;$G$41&amp;"'!$C$37:$C$52"),W60,INDIRECT("'"&amp;$G$41&amp;"'!$B$37:$B$52"),"*Indirect*")/INDIRECT("'"&amp;$G$41&amp;"'!$F$2"),0)))</f>
        <v/>
      </c>
      <c r="AH60" s="152">
        <f>IF($G$42="",0,IF(W60&gt;'General Information'!$D$33,0,IFERROR(SUMIFS(INDIRECT("'"&amp;$G$42&amp;"'!$D$37:$D$52"),INDIRECT("'"&amp;$G$42&amp;"'!$C$37:$C$52"),W60,INDIRECT("'"&amp;$G$42&amp;"'!$B$37:$B$52"),"*Indirect*")/INDIRECT("'"&amp;$G$42&amp;"'!$F$2"),0)))</f>
        <v/>
      </c>
      <c r="AI60" s="152">
        <f>IF($G$43="",0,IF(W60&gt;'General Information'!$D$33,0,IFERROR(SUMIFS(INDIRECT("'"&amp;$G$43&amp;"'!$D$37:$D$52"),INDIRECT("'"&amp;$G$43&amp;"'!$C$37:$C$52"),W60,INDIRECT("'"&amp;$G$43&amp;"'!$B$37:$B$52"),"*Indirect*")/INDIRECT("'"&amp;$G$43&amp;"'!$F$2"),0)))</f>
        <v/>
      </c>
      <c r="AJ60" s="152">
        <f>IF($G$44="",0,IF(W60&gt;'General Information'!$D$33,0,IFERROR(SUMIFS(INDIRECT("'"&amp;$G$44&amp;"'!$D$37:$D$52"),INDIRECT("'"&amp;$G$44&amp;"'!$C$37:$C$52"),W60,INDIRECT("'"&amp;$G$44&amp;"'!$B$37:$B$52"),"*Indirect*")/INDIRECT("'"&amp;$G$44&amp;"'!$F$2"),0)))</f>
        <v/>
      </c>
    </row>
    <row r="61">
      <c r="G61" s="137">
        <f>IF($G$42="","",$H$42)</f>
        <v/>
      </c>
      <c r="H61" s="155">
        <f>IF(OR($G$42="",N('General Information'!$D$26)&lt;=0),"",IF(SUMIFS(INDIRECT("'"&amp;$G$42&amp;"'!$E$13:$E$22"),INDIRECT("'"&amp;$G$42&amp;"'!$D$13:$D$22"),"TON")&gt;0,SUMIFS(INDIRECT("'"&amp;$G$42&amp;"'!$E$13:$E$22"),INDIRECT("'"&amp;$G$42&amp;"'!$D$13:$D$22"),"TON")*2666.6667/($J$58*'General Information'!$D$26),IFERROR(VALUE(TRIM(SUBSTITUTE(MID(IFERROR(INDEX(INDIRECT("'"&amp;$G$42&amp;"'!$C$13:$C$22"),MATCH("Concrete Pavement*",INDIRECT("'"&amp;$G$42&amp;"'!$C$13:$C$22"),0)),""),FIND(",",IFERROR(INDEX(INDIRECT("'"&amp;$G$42&amp;"'!$C$13:$C$22"),MATCH("Concrete Pavement*",INDIRECT("'"&amp;$G$42&amp;"'!$C$13:$C$22"),0)),""))+1,99),"-inch",""))),0)))</f>
        <v/>
      </c>
      <c r="I61" s="155">
        <f>IF(OR($G$42="",N('General Information'!$D$26)&lt;=0),"",36*(SUMIFS(INDIRECT("'"&amp;$G$42&amp;"'!$E$13:$E$22"),INDIRECT("'"&amp;$G$42&amp;"'!$D$13:$D$22"),"C.Y.",INDIRECT("'"&amp;$G$42&amp;"'!$B$13:$B$22"),"P-2*")+SUMIFS(INDIRECT("'"&amp;$G$42&amp;"'!$E$13:$E$22"),INDIRECT("'"&amp;$G$42&amp;"'!$D$13:$D$22"),"C.Y.",INDIRECT("'"&amp;$G$42&amp;"'!$B$13:$B$22"),"P-3*"))/'General Information'!$D$26)</f>
        <v/>
      </c>
      <c r="J61" s="155">
        <f>IF(OR($G$42="",N('General Information'!$D$26)&lt;=0),"",36*SUMIFS(INDIRECT("'"&amp;$G$42&amp;"'!$E$13:$E$22"),INDIRECT("'"&amp;$G$42&amp;"'!$D$13:$D$22"),"C.Y.",INDIRECT("'"&amp;$G$42&amp;"'!$B$13:$B$22"),"P-154*")/'General Information'!$D$26)</f>
        <v/>
      </c>
      <c r="K61" s="155">
        <f>IF(OR($G$42="",N('General Information'!$D$26)&lt;=0),"",IF(SUMIFS(INDIRECT("'"&amp;$G$42&amp;"'!$E$13:$E$22"),INDIRECT("'"&amp;$G$42&amp;"'!$D$13:$D$22"),"S.Y.",INDIRECT("'"&amp;$G$42&amp;"'!$B$13:$B$22"),"P-155*")+SUMIFS(INDIRECT("'"&amp;$G$42&amp;"'!$E$13:$E$22"),INDIRECT("'"&amp;$G$42&amp;"'!$D$13:$D$22"),"S.Y.",INDIRECT("'"&amp;$G$42&amp;"'!$B$13:$B$22"),"P-156*")+SUMIFS(INDIRECT("'"&amp;$G$42&amp;"'!$E$13:$E$22"),INDIRECT("'"&amp;$G$42&amp;"'!$D$13:$D$22"),"S.Y.",INDIRECT("'"&amp;$G$42&amp;"'!$B$13:$B$22"),"P-157*")+SUMIFS(INDIRECT("'"&amp;$G$42&amp;"'!$E$13:$E$22"),INDIRECT("'"&amp;$G$42&amp;"'!$D$13:$D$22"),"S.Y.",INDIRECT("'"&amp;$G$42&amp;"'!$B$13:$B$22"),"P-158*")&gt;0,"yes","-"))</f>
        <v/>
      </c>
      <c r="L61" s="155">
        <f>IF(OR($G$42="",N('General Information'!$D$26)&lt;=0),"",H61+I61+J61)</f>
        <v/>
      </c>
      <c r="M61" s="155">
        <f>IF(OR($G$42="",N('General Information'!$D$26)&lt;=0),"",36*SUMIFS(INDIRECT("'"&amp;$G$42&amp;"'!$E$13:$E$22"),INDIRECT("'"&amp;$G$42&amp;"'!$D$13:$D$22"),"C.Y.",INDIRECT("'"&amp;$G$42&amp;"'!$B$13:$B$22"),"P-152*")/'General Information'!$D$26)</f>
        <v/>
      </c>
      <c r="N61" s="137">
        <f>IF(OR($G$42="",N('General Information'!$D$26)&lt;=0),"",IF(M61=0,"no excavation item",IF(ABS(M61-L61)&lt;=0.5,"agrees","differs by "&amp;TEXT(M61-L61,"0.0")&amp;" in")))</f>
        <v/>
      </c>
      <c r="P61" s="137">
        <f>IF(OR($G$42="",N('General Information'!$D$26)&lt;=0),"",TEXT(H61,"0")&amp;""" "&amp;IF(SUMIFS(INDIRECT("'"&amp;$G$42&amp;"'!$E$13:$E$22"),INDIRECT("'"&amp;$G$42&amp;"'!$D$13:$D$22"),"TON")&gt;0,IFERROR(SUBSTITUTE(LEFT(INDEX(INDIRECT("'"&amp;$G$42&amp;"'!$B$13:$B$22"),MATCH("P-4*",INDIRECT("'"&amp;$G$42&amp;"'!$B$13:$B$22"),0)),5),"-",""),""),IFERROR(SUBSTITUTE(LEFT(INDEX(INDIRECT("'"&amp;$G$42&amp;"'!$B$13:$B$22"),MATCH("P-501*",INDIRECT("'"&amp;$G$42&amp;"'!$B$13:$B$22"),0)),5),"-",""),""))&amp;IF(I61&gt;0," on "&amp;TEXT(I61,"0")&amp;""" "&amp;IFERROR(SUBSTITUTE(LEFT(INDEX(INDIRECT("'"&amp;$G$42&amp;"'!$B$13:$B$22"),MATCH("P-2*",INDIRECT("'"&amp;$G$42&amp;"'!$B$13:$B$22"),0)),5),"-",""),""),"")&amp;IF(J61&gt;0," on "&amp;TEXT(J61,"0")&amp;""" P154",""))</f>
        <v/>
      </c>
      <c r="Q61" s="137">
        <f>IF(OR(OR($G$42="",N('General Information'!$D$26)&lt;=0),'General Information'!$D$27=0),"",TEXT(IF(SUMIFS(INDIRECT("'"&amp;$G$42&amp;"'!$E$13:$E$22"),INDIRECT("'"&amp;$G$42&amp;"'!$D$13:$D$22"),"TON")&gt;0,H61*'General Information'!$D$26/('General Information'!$D$26+'General Information'!$D$27),H61),"0")&amp;""" "&amp;IF(SUMIFS(INDIRECT("'"&amp;$G$42&amp;"'!$E$13:$E$22"),INDIRECT("'"&amp;$G$42&amp;"'!$D$13:$D$22"),"TON")&gt;0,IFERROR(SUBSTITUTE(LEFT(INDEX(INDIRECT("'"&amp;$G$42&amp;"'!$B$13:$B$22"),MATCH("P-4*",INDIRECT("'"&amp;$G$42&amp;"'!$B$13:$B$22"),0)),5),"-",""),""),IFERROR(SUBSTITUTE(LEFT(INDEX(INDIRECT("'"&amp;$G$42&amp;"'!$B$13:$B$22"),MATCH("P-501*",INDIRECT("'"&amp;$G$42&amp;"'!$B$13:$B$22"),0)),5),"-",""),""))&amp;IF(I61&gt;0," on "&amp;TEXT(I61*'General Information'!$D$26/('General Information'!$D$26+'General Information'!$D$27),"0")&amp;""" "&amp;IFERROR(SUBSTITUTE(LEFT(INDEX(INDIRECT("'"&amp;$G$42&amp;"'!$B$13:$B$22"),MATCH("P-2*",INDIRECT("'"&amp;$G$42&amp;"'!$B$13:$B$22"),0)),5),"-",""),""),"")&amp;IF(J61&gt;0," on "&amp;TEXT(J61*'General Information'!$D$26/('General Information'!$D$26+'General Information'!$D$27),"0")&amp;""" P154",""))</f>
        <v/>
      </c>
      <c r="W61" s="134" t="n">
        <v>20</v>
      </c>
      <c r="X61" s="134">
        <f>'General Information'!$D$25+W61</f>
        <v/>
      </c>
      <c r="Y61" s="135">
        <f>IF($G$41="",0,IF(W61&gt;'General Information'!$D$33,0,IF(W61=0,$J$41,IFERROR(SUMIF(INDIRECT("'"&amp;$G$41&amp;"'!$C$37:$C$52"),W61,INDIRECT("'"&amp;$G$41&amp;"'!$D$37:$D$52")),0))))</f>
        <v/>
      </c>
      <c r="Z61" s="135">
        <f>IF($G$42="",0,IF(W61&gt;'General Information'!$D$33,0,IF(W61=0,$J$42,IFERROR(SUMIF(INDIRECT("'"&amp;$G$42&amp;"'!$C$37:$C$52"),W61,INDIRECT("'"&amp;$G$42&amp;"'!$D$37:$D$52")),0))))</f>
        <v/>
      </c>
      <c r="AA61" s="135">
        <f>IF($G$43="",0,IF(W61&gt;'General Information'!$D$33,0,IF(W61=0,$J$43,IFERROR(SUMIF(INDIRECT("'"&amp;$G$43&amp;"'!$C$37:$C$52"),W61,INDIRECT("'"&amp;$G$43&amp;"'!$D$37:$D$52")),0))))</f>
        <v/>
      </c>
      <c r="AB61" s="135">
        <f>IF($G$44="",0,IF(W61&gt;'General Information'!$D$33,0,IF(W61=0,$J$44,IFERROR(SUMIF(INDIRECT("'"&amp;$G$44&amp;"'!$C$37:$C$52"),W61,INDIRECT("'"&amp;$G$44&amp;"'!$D$37:$D$52")),0))))</f>
        <v/>
      </c>
      <c r="AC61" s="135">
        <f>IF($G$41="",NA(),AC60+IF(W61&gt;'General Information'!$D$33,0,IF(W61=0,$J$41,IFERROR(SUMIF(INDIRECT("'"&amp;$G$41&amp;"'!$C$37:$C$52"),W61,INDIRECT("'"&amp;$G$41&amp;"'!$E$37:$E$52")),0))))</f>
        <v/>
      </c>
      <c r="AD61" s="135">
        <f>IF($G$42="",NA(),AD60+IF(W61&gt;'General Information'!$D$33,0,IF(W61=0,$J$42,IFERROR(SUMIF(INDIRECT("'"&amp;$G$42&amp;"'!$C$37:$C$52"),W61,INDIRECT("'"&amp;$G$42&amp;"'!$E$37:$E$52")),0))))</f>
        <v/>
      </c>
      <c r="AE61" s="135">
        <f>IF($G$43="",NA(),AE60+IF(W61&gt;'General Information'!$D$33,0,IF(W61=0,$J$43,IFERROR(SUMIF(INDIRECT("'"&amp;$G$43&amp;"'!$C$37:$C$52"),W61,INDIRECT("'"&amp;$G$43&amp;"'!$E$37:$E$52")),0))))</f>
        <v/>
      </c>
      <c r="AF61" s="135">
        <f>IF($G$44="",NA(),AF60+IF(W61&gt;'General Information'!$D$33,0,IF(W61=0,$J$44,IFERROR(SUMIF(INDIRECT("'"&amp;$G$44&amp;"'!$C$37:$C$52"),W61,INDIRECT("'"&amp;$G$44&amp;"'!$E$37:$E$52")),0))))</f>
        <v/>
      </c>
      <c r="AG61" s="152">
        <f>IF($G$41="",0,IF(W61&gt;'General Information'!$D$33,0,IFERROR(SUMIFS(INDIRECT("'"&amp;$G$41&amp;"'!$D$37:$D$52"),INDIRECT("'"&amp;$G$41&amp;"'!$C$37:$C$52"),W61,INDIRECT("'"&amp;$G$41&amp;"'!$B$37:$B$52"),"*Indirect*")/INDIRECT("'"&amp;$G$41&amp;"'!$F$2"),0)))</f>
        <v/>
      </c>
      <c r="AH61" s="152">
        <f>IF($G$42="",0,IF(W61&gt;'General Information'!$D$33,0,IFERROR(SUMIFS(INDIRECT("'"&amp;$G$42&amp;"'!$D$37:$D$52"),INDIRECT("'"&amp;$G$42&amp;"'!$C$37:$C$52"),W61,INDIRECT("'"&amp;$G$42&amp;"'!$B$37:$B$52"),"*Indirect*")/INDIRECT("'"&amp;$G$42&amp;"'!$F$2"),0)))</f>
        <v/>
      </c>
      <c r="AI61" s="152">
        <f>IF($G$43="",0,IF(W61&gt;'General Information'!$D$33,0,IFERROR(SUMIFS(INDIRECT("'"&amp;$G$43&amp;"'!$D$37:$D$52"),INDIRECT("'"&amp;$G$43&amp;"'!$C$37:$C$52"),W61,INDIRECT("'"&amp;$G$43&amp;"'!$B$37:$B$52"),"*Indirect*")/INDIRECT("'"&amp;$G$43&amp;"'!$F$2"),0)))</f>
        <v/>
      </c>
      <c r="AJ61" s="152">
        <f>IF($G$44="",0,IF(W61&gt;'General Information'!$D$33,0,IFERROR(SUMIFS(INDIRECT("'"&amp;$G$44&amp;"'!$D$37:$D$52"),INDIRECT("'"&amp;$G$44&amp;"'!$C$37:$C$52"),W61,INDIRECT("'"&amp;$G$44&amp;"'!$B$37:$B$52"),"*Indirect*")/INDIRECT("'"&amp;$G$44&amp;"'!$F$2"),0)))</f>
        <v/>
      </c>
    </row>
    <row r="62">
      <c r="G62" s="137">
        <f>IF($G$43="","",$H$43)</f>
        <v/>
      </c>
      <c r="H62" s="155">
        <f>IF(OR($G$43="",N('General Information'!$D$26)&lt;=0),"",IF(SUMIFS(INDIRECT("'"&amp;$G$43&amp;"'!$E$13:$E$22"),INDIRECT("'"&amp;$G$43&amp;"'!$D$13:$D$22"),"TON")&gt;0,SUMIFS(INDIRECT("'"&amp;$G$43&amp;"'!$E$13:$E$22"),INDIRECT("'"&amp;$G$43&amp;"'!$D$13:$D$22"),"TON")*2666.6667/($J$58*'General Information'!$D$26),IFERROR(VALUE(TRIM(SUBSTITUTE(MID(IFERROR(INDEX(INDIRECT("'"&amp;$G$43&amp;"'!$C$13:$C$22"),MATCH("Concrete Pavement*",INDIRECT("'"&amp;$G$43&amp;"'!$C$13:$C$22"),0)),""),FIND(",",IFERROR(INDEX(INDIRECT("'"&amp;$G$43&amp;"'!$C$13:$C$22"),MATCH("Concrete Pavement*",INDIRECT("'"&amp;$G$43&amp;"'!$C$13:$C$22"),0)),""))+1,99),"-inch",""))),0)))</f>
        <v/>
      </c>
      <c r="I62" s="155">
        <f>IF(OR($G$43="",N('General Information'!$D$26)&lt;=0),"",36*(SUMIFS(INDIRECT("'"&amp;$G$43&amp;"'!$E$13:$E$22"),INDIRECT("'"&amp;$G$43&amp;"'!$D$13:$D$22"),"C.Y.",INDIRECT("'"&amp;$G$43&amp;"'!$B$13:$B$22"),"P-2*")+SUMIFS(INDIRECT("'"&amp;$G$43&amp;"'!$E$13:$E$22"),INDIRECT("'"&amp;$G$43&amp;"'!$D$13:$D$22"),"C.Y.",INDIRECT("'"&amp;$G$43&amp;"'!$B$13:$B$22"),"P-3*"))/'General Information'!$D$26)</f>
        <v/>
      </c>
      <c r="J62" s="155">
        <f>IF(OR($G$43="",N('General Information'!$D$26)&lt;=0),"",36*SUMIFS(INDIRECT("'"&amp;$G$43&amp;"'!$E$13:$E$22"),INDIRECT("'"&amp;$G$43&amp;"'!$D$13:$D$22"),"C.Y.",INDIRECT("'"&amp;$G$43&amp;"'!$B$13:$B$22"),"P-154*")/'General Information'!$D$26)</f>
        <v/>
      </c>
      <c r="K62" s="155">
        <f>IF(OR($G$43="",N('General Information'!$D$26)&lt;=0),"",IF(SUMIFS(INDIRECT("'"&amp;$G$43&amp;"'!$E$13:$E$22"),INDIRECT("'"&amp;$G$43&amp;"'!$D$13:$D$22"),"S.Y.",INDIRECT("'"&amp;$G$43&amp;"'!$B$13:$B$22"),"P-155*")+SUMIFS(INDIRECT("'"&amp;$G$43&amp;"'!$E$13:$E$22"),INDIRECT("'"&amp;$G$43&amp;"'!$D$13:$D$22"),"S.Y.",INDIRECT("'"&amp;$G$43&amp;"'!$B$13:$B$22"),"P-156*")+SUMIFS(INDIRECT("'"&amp;$G$43&amp;"'!$E$13:$E$22"),INDIRECT("'"&amp;$G$43&amp;"'!$D$13:$D$22"),"S.Y.",INDIRECT("'"&amp;$G$43&amp;"'!$B$13:$B$22"),"P-157*")+SUMIFS(INDIRECT("'"&amp;$G$43&amp;"'!$E$13:$E$22"),INDIRECT("'"&amp;$G$43&amp;"'!$D$13:$D$22"),"S.Y.",INDIRECT("'"&amp;$G$43&amp;"'!$B$13:$B$22"),"P-158*")&gt;0,"yes","-"))</f>
        <v/>
      </c>
      <c r="L62" s="155">
        <f>IF(OR($G$43="",N('General Information'!$D$26)&lt;=0),"",H62+I62+J62)</f>
        <v/>
      </c>
      <c r="M62" s="155">
        <f>IF(OR($G$43="",N('General Information'!$D$26)&lt;=0),"",36*SUMIFS(INDIRECT("'"&amp;$G$43&amp;"'!$E$13:$E$22"),INDIRECT("'"&amp;$G$43&amp;"'!$D$13:$D$22"),"C.Y.",INDIRECT("'"&amp;$G$43&amp;"'!$B$13:$B$22"),"P-152*")/'General Information'!$D$26)</f>
        <v/>
      </c>
      <c r="N62" s="137">
        <f>IF(OR($G$43="",N('General Information'!$D$26)&lt;=0),"",IF(M62=0,"no excavation item",IF(ABS(M62-L62)&lt;=0.5,"agrees","differs by "&amp;TEXT(M62-L62,"0.0")&amp;" in")))</f>
        <v/>
      </c>
      <c r="P62" s="137">
        <f>IF(OR($G$43="",N('General Information'!$D$26)&lt;=0),"",TEXT(H62,"0")&amp;""" "&amp;IF(SUMIFS(INDIRECT("'"&amp;$G$43&amp;"'!$E$13:$E$22"),INDIRECT("'"&amp;$G$43&amp;"'!$D$13:$D$22"),"TON")&gt;0,IFERROR(SUBSTITUTE(LEFT(INDEX(INDIRECT("'"&amp;$G$43&amp;"'!$B$13:$B$22"),MATCH("P-4*",INDIRECT("'"&amp;$G$43&amp;"'!$B$13:$B$22"),0)),5),"-",""),""),IFERROR(SUBSTITUTE(LEFT(INDEX(INDIRECT("'"&amp;$G$43&amp;"'!$B$13:$B$22"),MATCH("P-501*",INDIRECT("'"&amp;$G$43&amp;"'!$B$13:$B$22"),0)),5),"-",""),""))&amp;IF(I62&gt;0," on "&amp;TEXT(I62,"0")&amp;""" "&amp;IFERROR(SUBSTITUTE(LEFT(INDEX(INDIRECT("'"&amp;$G$43&amp;"'!$B$13:$B$22"),MATCH("P-2*",INDIRECT("'"&amp;$G$43&amp;"'!$B$13:$B$22"),0)),5),"-",""),""),"")&amp;IF(J62&gt;0," on "&amp;TEXT(J62,"0")&amp;""" P154",""))</f>
        <v/>
      </c>
      <c r="Q62" s="137">
        <f>IF(OR(OR($G$43="",N('General Information'!$D$26)&lt;=0),'General Information'!$D$27=0),"",TEXT(IF(SUMIFS(INDIRECT("'"&amp;$G$43&amp;"'!$E$13:$E$22"),INDIRECT("'"&amp;$G$43&amp;"'!$D$13:$D$22"),"TON")&gt;0,H62*'General Information'!$D$26/('General Information'!$D$26+'General Information'!$D$27),H62),"0")&amp;""" "&amp;IF(SUMIFS(INDIRECT("'"&amp;$G$43&amp;"'!$E$13:$E$22"),INDIRECT("'"&amp;$G$43&amp;"'!$D$13:$D$22"),"TON")&gt;0,IFERROR(SUBSTITUTE(LEFT(INDEX(INDIRECT("'"&amp;$G$43&amp;"'!$B$13:$B$22"),MATCH("P-4*",INDIRECT("'"&amp;$G$43&amp;"'!$B$13:$B$22"),0)),5),"-",""),""),IFERROR(SUBSTITUTE(LEFT(INDEX(INDIRECT("'"&amp;$G$43&amp;"'!$B$13:$B$22"),MATCH("P-501*",INDIRECT("'"&amp;$G$43&amp;"'!$B$13:$B$22"),0)),5),"-",""),""))&amp;IF(I62&gt;0," on "&amp;TEXT(I62*'General Information'!$D$26/('General Information'!$D$26+'General Information'!$D$27),"0")&amp;""" "&amp;IFERROR(SUBSTITUTE(LEFT(INDEX(INDIRECT("'"&amp;$G$43&amp;"'!$B$13:$B$22"),MATCH("P-2*",INDIRECT("'"&amp;$G$43&amp;"'!$B$13:$B$22"),0)),5),"-",""),""),"")&amp;IF(J62&gt;0," on "&amp;TEXT(J62*'General Information'!$D$26/('General Information'!$D$26+'General Information'!$D$27),"0")&amp;""" P154",""))</f>
        <v/>
      </c>
      <c r="W62" s="134" t="n">
        <v>21</v>
      </c>
      <c r="X62" s="134">
        <f>'General Information'!$D$25+W62</f>
        <v/>
      </c>
      <c r="Y62" s="135">
        <f>IF($G$41="",0,IF(W62&gt;'General Information'!$D$33,0,IF(W62=0,$J$41,IFERROR(SUMIF(INDIRECT("'"&amp;$G$41&amp;"'!$C$37:$C$52"),W62,INDIRECT("'"&amp;$G$41&amp;"'!$D$37:$D$52")),0))))</f>
        <v/>
      </c>
      <c r="Z62" s="135">
        <f>IF($G$42="",0,IF(W62&gt;'General Information'!$D$33,0,IF(W62=0,$J$42,IFERROR(SUMIF(INDIRECT("'"&amp;$G$42&amp;"'!$C$37:$C$52"),W62,INDIRECT("'"&amp;$G$42&amp;"'!$D$37:$D$52")),0))))</f>
        <v/>
      </c>
      <c r="AA62" s="135">
        <f>IF($G$43="",0,IF(W62&gt;'General Information'!$D$33,0,IF(W62=0,$J$43,IFERROR(SUMIF(INDIRECT("'"&amp;$G$43&amp;"'!$C$37:$C$52"),W62,INDIRECT("'"&amp;$G$43&amp;"'!$D$37:$D$52")),0))))</f>
        <v/>
      </c>
      <c r="AB62" s="135">
        <f>IF($G$44="",0,IF(W62&gt;'General Information'!$D$33,0,IF(W62=0,$J$44,IFERROR(SUMIF(INDIRECT("'"&amp;$G$44&amp;"'!$C$37:$C$52"),W62,INDIRECT("'"&amp;$G$44&amp;"'!$D$37:$D$52")),0))))</f>
        <v/>
      </c>
      <c r="AC62" s="135">
        <f>IF($G$41="",NA(),AC61+IF(W62&gt;'General Information'!$D$33,0,IF(W62=0,$J$41,IFERROR(SUMIF(INDIRECT("'"&amp;$G$41&amp;"'!$C$37:$C$52"),W62,INDIRECT("'"&amp;$G$41&amp;"'!$E$37:$E$52")),0))))</f>
        <v/>
      </c>
      <c r="AD62" s="135">
        <f>IF($G$42="",NA(),AD61+IF(W62&gt;'General Information'!$D$33,0,IF(W62=0,$J$42,IFERROR(SUMIF(INDIRECT("'"&amp;$G$42&amp;"'!$C$37:$C$52"),W62,INDIRECT("'"&amp;$G$42&amp;"'!$E$37:$E$52")),0))))</f>
        <v/>
      </c>
      <c r="AE62" s="135">
        <f>IF($G$43="",NA(),AE61+IF(W62&gt;'General Information'!$D$33,0,IF(W62=0,$J$43,IFERROR(SUMIF(INDIRECT("'"&amp;$G$43&amp;"'!$C$37:$C$52"),W62,INDIRECT("'"&amp;$G$43&amp;"'!$E$37:$E$52")),0))))</f>
        <v/>
      </c>
      <c r="AF62" s="135">
        <f>IF($G$44="",NA(),AF61+IF(W62&gt;'General Information'!$D$33,0,IF(W62=0,$J$44,IFERROR(SUMIF(INDIRECT("'"&amp;$G$44&amp;"'!$C$37:$C$52"),W62,INDIRECT("'"&amp;$G$44&amp;"'!$E$37:$E$52")),0))))</f>
        <v/>
      </c>
      <c r="AG62" s="152">
        <f>IF($G$41="",0,IF(W62&gt;'General Information'!$D$33,0,IFERROR(SUMIFS(INDIRECT("'"&amp;$G$41&amp;"'!$D$37:$D$52"),INDIRECT("'"&amp;$G$41&amp;"'!$C$37:$C$52"),W62,INDIRECT("'"&amp;$G$41&amp;"'!$B$37:$B$52"),"*Indirect*")/INDIRECT("'"&amp;$G$41&amp;"'!$F$2"),0)))</f>
        <v/>
      </c>
      <c r="AH62" s="152">
        <f>IF($G$42="",0,IF(W62&gt;'General Information'!$D$33,0,IFERROR(SUMIFS(INDIRECT("'"&amp;$G$42&amp;"'!$D$37:$D$52"),INDIRECT("'"&amp;$G$42&amp;"'!$C$37:$C$52"),W62,INDIRECT("'"&amp;$G$42&amp;"'!$B$37:$B$52"),"*Indirect*")/INDIRECT("'"&amp;$G$42&amp;"'!$F$2"),0)))</f>
        <v/>
      </c>
      <c r="AI62" s="152">
        <f>IF($G$43="",0,IF(W62&gt;'General Information'!$D$33,0,IFERROR(SUMIFS(INDIRECT("'"&amp;$G$43&amp;"'!$D$37:$D$52"),INDIRECT("'"&amp;$G$43&amp;"'!$C$37:$C$52"),W62,INDIRECT("'"&amp;$G$43&amp;"'!$B$37:$B$52"),"*Indirect*")/INDIRECT("'"&amp;$G$43&amp;"'!$F$2"),0)))</f>
        <v/>
      </c>
      <c r="AJ62" s="152">
        <f>IF($G$44="",0,IF(W62&gt;'General Information'!$D$33,0,IFERROR(SUMIFS(INDIRECT("'"&amp;$G$44&amp;"'!$D$37:$D$52"),INDIRECT("'"&amp;$G$44&amp;"'!$C$37:$C$52"),W62,INDIRECT("'"&amp;$G$44&amp;"'!$B$37:$B$52"),"*Indirect*")/INDIRECT("'"&amp;$G$44&amp;"'!$F$2"),0)))</f>
        <v/>
      </c>
    </row>
    <row r="63">
      <c r="G63" s="137">
        <f>IF($G$44="","",$H$44)</f>
        <v/>
      </c>
      <c r="H63" s="155">
        <f>IF(OR($G$44="",N('General Information'!$D$26)&lt;=0),"",IF(SUMIFS(INDIRECT("'"&amp;$G$44&amp;"'!$E$13:$E$22"),INDIRECT("'"&amp;$G$44&amp;"'!$D$13:$D$22"),"TON")&gt;0,SUMIFS(INDIRECT("'"&amp;$G$44&amp;"'!$E$13:$E$22"),INDIRECT("'"&amp;$G$44&amp;"'!$D$13:$D$22"),"TON")*2666.6667/($J$58*'General Information'!$D$26),IFERROR(VALUE(TRIM(SUBSTITUTE(MID(IFERROR(INDEX(INDIRECT("'"&amp;$G$44&amp;"'!$C$13:$C$22"),MATCH("Concrete Pavement*",INDIRECT("'"&amp;$G$44&amp;"'!$C$13:$C$22"),0)),""),FIND(",",IFERROR(INDEX(INDIRECT("'"&amp;$G$44&amp;"'!$C$13:$C$22"),MATCH("Concrete Pavement*",INDIRECT("'"&amp;$G$44&amp;"'!$C$13:$C$22"),0)),""))+1,99),"-inch",""))),0)))</f>
        <v/>
      </c>
      <c r="I63" s="155">
        <f>IF(OR($G$44="",N('General Information'!$D$26)&lt;=0),"",36*(SUMIFS(INDIRECT("'"&amp;$G$44&amp;"'!$E$13:$E$22"),INDIRECT("'"&amp;$G$44&amp;"'!$D$13:$D$22"),"C.Y.",INDIRECT("'"&amp;$G$44&amp;"'!$B$13:$B$22"),"P-2*")+SUMIFS(INDIRECT("'"&amp;$G$44&amp;"'!$E$13:$E$22"),INDIRECT("'"&amp;$G$44&amp;"'!$D$13:$D$22"),"C.Y.",INDIRECT("'"&amp;$G$44&amp;"'!$B$13:$B$22"),"P-3*"))/'General Information'!$D$26)</f>
        <v/>
      </c>
      <c r="J63" s="155">
        <f>IF(OR($G$44="",N('General Information'!$D$26)&lt;=0),"",36*SUMIFS(INDIRECT("'"&amp;$G$44&amp;"'!$E$13:$E$22"),INDIRECT("'"&amp;$G$44&amp;"'!$D$13:$D$22"),"C.Y.",INDIRECT("'"&amp;$G$44&amp;"'!$B$13:$B$22"),"P-154*")/'General Information'!$D$26)</f>
        <v/>
      </c>
      <c r="K63" s="155">
        <f>IF(OR($G$44="",N('General Information'!$D$26)&lt;=0),"",IF(SUMIFS(INDIRECT("'"&amp;$G$44&amp;"'!$E$13:$E$22"),INDIRECT("'"&amp;$G$44&amp;"'!$D$13:$D$22"),"S.Y.",INDIRECT("'"&amp;$G$44&amp;"'!$B$13:$B$22"),"P-155*")+SUMIFS(INDIRECT("'"&amp;$G$44&amp;"'!$E$13:$E$22"),INDIRECT("'"&amp;$G$44&amp;"'!$D$13:$D$22"),"S.Y.",INDIRECT("'"&amp;$G$44&amp;"'!$B$13:$B$22"),"P-156*")+SUMIFS(INDIRECT("'"&amp;$G$44&amp;"'!$E$13:$E$22"),INDIRECT("'"&amp;$G$44&amp;"'!$D$13:$D$22"),"S.Y.",INDIRECT("'"&amp;$G$44&amp;"'!$B$13:$B$22"),"P-157*")+SUMIFS(INDIRECT("'"&amp;$G$44&amp;"'!$E$13:$E$22"),INDIRECT("'"&amp;$G$44&amp;"'!$D$13:$D$22"),"S.Y.",INDIRECT("'"&amp;$G$44&amp;"'!$B$13:$B$22"),"P-158*")&gt;0,"yes","-"))</f>
        <v/>
      </c>
      <c r="L63" s="155">
        <f>IF(OR($G$44="",N('General Information'!$D$26)&lt;=0),"",H63+I63+J63)</f>
        <v/>
      </c>
      <c r="M63" s="155">
        <f>IF(OR($G$44="",N('General Information'!$D$26)&lt;=0),"",36*SUMIFS(INDIRECT("'"&amp;$G$44&amp;"'!$E$13:$E$22"),INDIRECT("'"&amp;$G$44&amp;"'!$D$13:$D$22"),"C.Y.",INDIRECT("'"&amp;$G$44&amp;"'!$B$13:$B$22"),"P-152*")/'General Information'!$D$26)</f>
        <v/>
      </c>
      <c r="N63" s="137">
        <f>IF(OR($G$44="",N('General Information'!$D$26)&lt;=0),"",IF(M63=0,"no excavation item",IF(ABS(M63-L63)&lt;=0.5,"agrees","differs by "&amp;TEXT(M63-L63,"0.0")&amp;" in")))</f>
        <v/>
      </c>
      <c r="P63" s="137">
        <f>IF(OR($G$44="",N('General Information'!$D$26)&lt;=0),"",TEXT(H63,"0")&amp;""" "&amp;IF(SUMIFS(INDIRECT("'"&amp;$G$44&amp;"'!$E$13:$E$22"),INDIRECT("'"&amp;$G$44&amp;"'!$D$13:$D$22"),"TON")&gt;0,IFERROR(SUBSTITUTE(LEFT(INDEX(INDIRECT("'"&amp;$G$44&amp;"'!$B$13:$B$22"),MATCH("P-4*",INDIRECT("'"&amp;$G$44&amp;"'!$B$13:$B$22"),0)),5),"-",""),""),IFERROR(SUBSTITUTE(LEFT(INDEX(INDIRECT("'"&amp;$G$44&amp;"'!$B$13:$B$22"),MATCH("P-501*",INDIRECT("'"&amp;$G$44&amp;"'!$B$13:$B$22"),0)),5),"-",""),""))&amp;IF(I63&gt;0," on "&amp;TEXT(I63,"0")&amp;""" "&amp;IFERROR(SUBSTITUTE(LEFT(INDEX(INDIRECT("'"&amp;$G$44&amp;"'!$B$13:$B$22"),MATCH("P-2*",INDIRECT("'"&amp;$G$44&amp;"'!$B$13:$B$22"),0)),5),"-",""),""),"")&amp;IF(J63&gt;0," on "&amp;TEXT(J63,"0")&amp;""" P154",""))</f>
        <v/>
      </c>
      <c r="Q63" s="137">
        <f>IF(OR(OR($G$44="",N('General Information'!$D$26)&lt;=0),'General Information'!$D$27=0),"",TEXT(IF(SUMIFS(INDIRECT("'"&amp;$G$44&amp;"'!$E$13:$E$22"),INDIRECT("'"&amp;$G$44&amp;"'!$D$13:$D$22"),"TON")&gt;0,H63*'General Information'!$D$26/('General Information'!$D$26+'General Information'!$D$27),H63),"0")&amp;""" "&amp;IF(SUMIFS(INDIRECT("'"&amp;$G$44&amp;"'!$E$13:$E$22"),INDIRECT("'"&amp;$G$44&amp;"'!$D$13:$D$22"),"TON")&gt;0,IFERROR(SUBSTITUTE(LEFT(INDEX(INDIRECT("'"&amp;$G$44&amp;"'!$B$13:$B$22"),MATCH("P-4*",INDIRECT("'"&amp;$G$44&amp;"'!$B$13:$B$22"),0)),5),"-",""),""),IFERROR(SUBSTITUTE(LEFT(INDEX(INDIRECT("'"&amp;$G$44&amp;"'!$B$13:$B$22"),MATCH("P-501*",INDIRECT("'"&amp;$G$44&amp;"'!$B$13:$B$22"),0)),5),"-",""),""))&amp;IF(I63&gt;0," on "&amp;TEXT(I63*'General Information'!$D$26/('General Information'!$D$26+'General Information'!$D$27),"0")&amp;""" "&amp;IFERROR(SUBSTITUTE(LEFT(INDEX(INDIRECT("'"&amp;$G$44&amp;"'!$B$13:$B$22"),MATCH("P-2*",INDIRECT("'"&amp;$G$44&amp;"'!$B$13:$B$22"),0)),5),"-",""),""),"")&amp;IF(J63&gt;0," on "&amp;TEXT(J63*'General Information'!$D$26/('General Information'!$D$26+'General Information'!$D$27),"0")&amp;""" P154",""))</f>
        <v/>
      </c>
      <c r="W63" s="134" t="n">
        <v>22</v>
      </c>
      <c r="X63" s="134">
        <f>'General Information'!$D$25+W63</f>
        <v/>
      </c>
      <c r="Y63" s="135">
        <f>IF($G$41="",0,IF(W63&gt;'General Information'!$D$33,0,IF(W63=0,$J$41,IFERROR(SUMIF(INDIRECT("'"&amp;$G$41&amp;"'!$C$37:$C$52"),W63,INDIRECT("'"&amp;$G$41&amp;"'!$D$37:$D$52")),0))))</f>
        <v/>
      </c>
      <c r="Z63" s="135">
        <f>IF($G$42="",0,IF(W63&gt;'General Information'!$D$33,0,IF(W63=0,$J$42,IFERROR(SUMIF(INDIRECT("'"&amp;$G$42&amp;"'!$C$37:$C$52"),W63,INDIRECT("'"&amp;$G$42&amp;"'!$D$37:$D$52")),0))))</f>
        <v/>
      </c>
      <c r="AA63" s="135">
        <f>IF($G$43="",0,IF(W63&gt;'General Information'!$D$33,0,IF(W63=0,$J$43,IFERROR(SUMIF(INDIRECT("'"&amp;$G$43&amp;"'!$C$37:$C$52"),W63,INDIRECT("'"&amp;$G$43&amp;"'!$D$37:$D$52")),0))))</f>
        <v/>
      </c>
      <c r="AB63" s="135">
        <f>IF($G$44="",0,IF(W63&gt;'General Information'!$D$33,0,IF(W63=0,$J$44,IFERROR(SUMIF(INDIRECT("'"&amp;$G$44&amp;"'!$C$37:$C$52"),W63,INDIRECT("'"&amp;$G$44&amp;"'!$D$37:$D$52")),0))))</f>
        <v/>
      </c>
      <c r="AC63" s="135">
        <f>IF($G$41="",NA(),AC62+IF(W63&gt;'General Information'!$D$33,0,IF(W63=0,$J$41,IFERROR(SUMIF(INDIRECT("'"&amp;$G$41&amp;"'!$C$37:$C$52"),W63,INDIRECT("'"&amp;$G$41&amp;"'!$E$37:$E$52")),0))))</f>
        <v/>
      </c>
      <c r="AD63" s="135">
        <f>IF($G$42="",NA(),AD62+IF(W63&gt;'General Information'!$D$33,0,IF(W63=0,$J$42,IFERROR(SUMIF(INDIRECT("'"&amp;$G$42&amp;"'!$C$37:$C$52"),W63,INDIRECT("'"&amp;$G$42&amp;"'!$E$37:$E$52")),0))))</f>
        <v/>
      </c>
      <c r="AE63" s="135">
        <f>IF($G$43="",NA(),AE62+IF(W63&gt;'General Information'!$D$33,0,IF(W63=0,$J$43,IFERROR(SUMIF(INDIRECT("'"&amp;$G$43&amp;"'!$C$37:$C$52"),W63,INDIRECT("'"&amp;$G$43&amp;"'!$E$37:$E$52")),0))))</f>
        <v/>
      </c>
      <c r="AF63" s="135">
        <f>IF($G$44="",NA(),AF62+IF(W63&gt;'General Information'!$D$33,0,IF(W63=0,$J$44,IFERROR(SUMIF(INDIRECT("'"&amp;$G$44&amp;"'!$C$37:$C$52"),W63,INDIRECT("'"&amp;$G$44&amp;"'!$E$37:$E$52")),0))))</f>
        <v/>
      </c>
      <c r="AG63" s="152">
        <f>IF($G$41="",0,IF(W63&gt;'General Information'!$D$33,0,IFERROR(SUMIFS(INDIRECT("'"&amp;$G$41&amp;"'!$D$37:$D$52"),INDIRECT("'"&amp;$G$41&amp;"'!$C$37:$C$52"),W63,INDIRECT("'"&amp;$G$41&amp;"'!$B$37:$B$52"),"*Indirect*")/INDIRECT("'"&amp;$G$41&amp;"'!$F$2"),0)))</f>
        <v/>
      </c>
      <c r="AH63" s="152">
        <f>IF($G$42="",0,IF(W63&gt;'General Information'!$D$33,0,IFERROR(SUMIFS(INDIRECT("'"&amp;$G$42&amp;"'!$D$37:$D$52"),INDIRECT("'"&amp;$G$42&amp;"'!$C$37:$C$52"),W63,INDIRECT("'"&amp;$G$42&amp;"'!$B$37:$B$52"),"*Indirect*")/INDIRECT("'"&amp;$G$42&amp;"'!$F$2"),0)))</f>
        <v/>
      </c>
      <c r="AI63" s="152">
        <f>IF($G$43="",0,IF(W63&gt;'General Information'!$D$33,0,IFERROR(SUMIFS(INDIRECT("'"&amp;$G$43&amp;"'!$D$37:$D$52"),INDIRECT("'"&amp;$G$43&amp;"'!$C$37:$C$52"),W63,INDIRECT("'"&amp;$G$43&amp;"'!$B$37:$B$52"),"*Indirect*")/INDIRECT("'"&amp;$G$43&amp;"'!$F$2"),0)))</f>
        <v/>
      </c>
      <c r="AJ63" s="152">
        <f>IF($G$44="",0,IF(W63&gt;'General Information'!$D$33,0,IFERROR(SUMIFS(INDIRECT("'"&amp;$G$44&amp;"'!$D$37:$D$52"),INDIRECT("'"&amp;$G$44&amp;"'!$C$37:$C$52"),W63,INDIRECT("'"&amp;$G$44&amp;"'!$B$37:$B$52"),"*Indirect*")/INDIRECT("'"&amp;$G$44&amp;"'!$F$2"),0)))</f>
        <v/>
      </c>
    </row>
    <row r="64">
      <c r="G64" s="136"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c r="W64" s="134" t="n">
        <v>23</v>
      </c>
      <c r="X64" s="134">
        <f>'General Information'!$D$25+W64</f>
        <v/>
      </c>
      <c r="Y64" s="135">
        <f>IF($G$41="",0,IF(W64&gt;'General Information'!$D$33,0,IF(W64=0,$J$41,IFERROR(SUMIF(INDIRECT("'"&amp;$G$41&amp;"'!$C$37:$C$52"),W64,INDIRECT("'"&amp;$G$41&amp;"'!$D$37:$D$52")),0))))</f>
        <v/>
      </c>
      <c r="Z64" s="135">
        <f>IF($G$42="",0,IF(W64&gt;'General Information'!$D$33,0,IF(W64=0,$J$42,IFERROR(SUMIF(INDIRECT("'"&amp;$G$42&amp;"'!$C$37:$C$52"),W64,INDIRECT("'"&amp;$G$42&amp;"'!$D$37:$D$52")),0))))</f>
        <v/>
      </c>
      <c r="AA64" s="135">
        <f>IF($G$43="",0,IF(W64&gt;'General Information'!$D$33,0,IF(W64=0,$J$43,IFERROR(SUMIF(INDIRECT("'"&amp;$G$43&amp;"'!$C$37:$C$52"),W64,INDIRECT("'"&amp;$G$43&amp;"'!$D$37:$D$52")),0))))</f>
        <v/>
      </c>
      <c r="AB64" s="135">
        <f>IF($G$44="",0,IF(W64&gt;'General Information'!$D$33,0,IF(W64=0,$J$44,IFERROR(SUMIF(INDIRECT("'"&amp;$G$44&amp;"'!$C$37:$C$52"),W64,INDIRECT("'"&amp;$G$44&amp;"'!$D$37:$D$52")),0))))</f>
        <v/>
      </c>
      <c r="AC64" s="135">
        <f>IF($G$41="",NA(),AC63+IF(W64&gt;'General Information'!$D$33,0,IF(W64=0,$J$41,IFERROR(SUMIF(INDIRECT("'"&amp;$G$41&amp;"'!$C$37:$C$52"),W64,INDIRECT("'"&amp;$G$41&amp;"'!$E$37:$E$52")),0))))</f>
        <v/>
      </c>
      <c r="AD64" s="135">
        <f>IF($G$42="",NA(),AD63+IF(W64&gt;'General Information'!$D$33,0,IF(W64=0,$J$42,IFERROR(SUMIF(INDIRECT("'"&amp;$G$42&amp;"'!$C$37:$C$52"),W64,INDIRECT("'"&amp;$G$42&amp;"'!$E$37:$E$52")),0))))</f>
        <v/>
      </c>
      <c r="AE64" s="135">
        <f>IF($G$43="",NA(),AE63+IF(W64&gt;'General Information'!$D$33,0,IF(W64=0,$J$43,IFERROR(SUMIF(INDIRECT("'"&amp;$G$43&amp;"'!$C$37:$C$52"),W64,INDIRECT("'"&amp;$G$43&amp;"'!$E$37:$E$52")),0))))</f>
        <v/>
      </c>
      <c r="AF64" s="135">
        <f>IF($G$44="",NA(),AF63+IF(W64&gt;'General Information'!$D$33,0,IF(W64=0,$J$44,IFERROR(SUMIF(INDIRECT("'"&amp;$G$44&amp;"'!$C$37:$C$52"),W64,INDIRECT("'"&amp;$G$44&amp;"'!$E$37:$E$52")),0))))</f>
        <v/>
      </c>
      <c r="AG64" s="152">
        <f>IF($G$41="",0,IF(W64&gt;'General Information'!$D$33,0,IFERROR(SUMIFS(INDIRECT("'"&amp;$G$41&amp;"'!$D$37:$D$52"),INDIRECT("'"&amp;$G$41&amp;"'!$C$37:$C$52"),W64,INDIRECT("'"&amp;$G$41&amp;"'!$B$37:$B$52"),"*Indirect*")/INDIRECT("'"&amp;$G$41&amp;"'!$F$2"),0)))</f>
        <v/>
      </c>
      <c r="AH64" s="152">
        <f>IF($G$42="",0,IF(W64&gt;'General Information'!$D$33,0,IFERROR(SUMIFS(INDIRECT("'"&amp;$G$42&amp;"'!$D$37:$D$52"),INDIRECT("'"&amp;$G$42&amp;"'!$C$37:$C$52"),W64,INDIRECT("'"&amp;$G$42&amp;"'!$B$37:$B$52"),"*Indirect*")/INDIRECT("'"&amp;$G$42&amp;"'!$F$2"),0)))</f>
        <v/>
      </c>
      <c r="AI64" s="152">
        <f>IF($G$43="",0,IF(W64&gt;'General Information'!$D$33,0,IFERROR(SUMIFS(INDIRECT("'"&amp;$G$43&amp;"'!$D$37:$D$52"),INDIRECT("'"&amp;$G$43&amp;"'!$C$37:$C$52"),W64,INDIRECT("'"&amp;$G$43&amp;"'!$B$37:$B$52"),"*Indirect*")/INDIRECT("'"&amp;$G$43&amp;"'!$F$2"),0)))</f>
        <v/>
      </c>
      <c r="AJ64" s="152">
        <f>IF($G$44="",0,IF(W64&gt;'General Information'!$D$33,0,IFERROR(SUMIFS(INDIRECT("'"&amp;$G$44&amp;"'!$D$37:$D$52"),INDIRECT("'"&amp;$G$44&amp;"'!$C$37:$C$52"),W64,INDIRECT("'"&amp;$G$44&amp;"'!$B$37:$B$52"),"*Indirect*")/INDIRECT("'"&amp;$G$44&amp;"'!$F$2"),0)))</f>
        <v/>
      </c>
    </row>
    <row r="65">
      <c r="W65" s="134" t="n">
        <v>24</v>
      </c>
      <c r="X65" s="134">
        <f>'General Information'!$D$25+W65</f>
        <v/>
      </c>
      <c r="Y65" s="135">
        <f>IF($G$41="",0,IF(W65&gt;'General Information'!$D$33,0,IF(W65=0,$J$41,IFERROR(SUMIF(INDIRECT("'"&amp;$G$41&amp;"'!$C$37:$C$52"),W65,INDIRECT("'"&amp;$G$41&amp;"'!$D$37:$D$52")),0))))</f>
        <v/>
      </c>
      <c r="Z65" s="135">
        <f>IF($G$42="",0,IF(W65&gt;'General Information'!$D$33,0,IF(W65=0,$J$42,IFERROR(SUMIF(INDIRECT("'"&amp;$G$42&amp;"'!$C$37:$C$52"),W65,INDIRECT("'"&amp;$G$42&amp;"'!$D$37:$D$52")),0))))</f>
        <v/>
      </c>
      <c r="AA65" s="135">
        <f>IF($G$43="",0,IF(W65&gt;'General Information'!$D$33,0,IF(W65=0,$J$43,IFERROR(SUMIF(INDIRECT("'"&amp;$G$43&amp;"'!$C$37:$C$52"),W65,INDIRECT("'"&amp;$G$43&amp;"'!$D$37:$D$52")),0))))</f>
        <v/>
      </c>
      <c r="AB65" s="135">
        <f>IF($G$44="",0,IF(W65&gt;'General Information'!$D$33,0,IF(W65=0,$J$44,IFERROR(SUMIF(INDIRECT("'"&amp;$G$44&amp;"'!$C$37:$C$52"),W65,INDIRECT("'"&amp;$G$44&amp;"'!$D$37:$D$52")),0))))</f>
        <v/>
      </c>
      <c r="AC65" s="135">
        <f>IF($G$41="",NA(),AC64+IF(W65&gt;'General Information'!$D$33,0,IF(W65=0,$J$41,IFERROR(SUMIF(INDIRECT("'"&amp;$G$41&amp;"'!$C$37:$C$52"),W65,INDIRECT("'"&amp;$G$41&amp;"'!$E$37:$E$52")),0))))</f>
        <v/>
      </c>
      <c r="AD65" s="135">
        <f>IF($G$42="",NA(),AD64+IF(W65&gt;'General Information'!$D$33,0,IF(W65=0,$J$42,IFERROR(SUMIF(INDIRECT("'"&amp;$G$42&amp;"'!$C$37:$C$52"),W65,INDIRECT("'"&amp;$G$42&amp;"'!$E$37:$E$52")),0))))</f>
        <v/>
      </c>
      <c r="AE65" s="135">
        <f>IF($G$43="",NA(),AE64+IF(W65&gt;'General Information'!$D$33,0,IF(W65=0,$J$43,IFERROR(SUMIF(INDIRECT("'"&amp;$G$43&amp;"'!$C$37:$C$52"),W65,INDIRECT("'"&amp;$G$43&amp;"'!$E$37:$E$52")),0))))</f>
        <v/>
      </c>
      <c r="AF65" s="135">
        <f>IF($G$44="",NA(),AF64+IF(W65&gt;'General Information'!$D$33,0,IF(W65=0,$J$44,IFERROR(SUMIF(INDIRECT("'"&amp;$G$44&amp;"'!$C$37:$C$52"),W65,INDIRECT("'"&amp;$G$44&amp;"'!$E$37:$E$52")),0))))</f>
        <v/>
      </c>
      <c r="AG65" s="152">
        <f>IF($G$41="",0,IF(W65&gt;'General Information'!$D$33,0,IFERROR(SUMIFS(INDIRECT("'"&amp;$G$41&amp;"'!$D$37:$D$52"),INDIRECT("'"&amp;$G$41&amp;"'!$C$37:$C$52"),W65,INDIRECT("'"&amp;$G$41&amp;"'!$B$37:$B$52"),"*Indirect*")/INDIRECT("'"&amp;$G$41&amp;"'!$F$2"),0)))</f>
        <v/>
      </c>
      <c r="AH65" s="152">
        <f>IF($G$42="",0,IF(W65&gt;'General Information'!$D$33,0,IFERROR(SUMIFS(INDIRECT("'"&amp;$G$42&amp;"'!$D$37:$D$52"),INDIRECT("'"&amp;$G$42&amp;"'!$C$37:$C$52"),W65,INDIRECT("'"&amp;$G$42&amp;"'!$B$37:$B$52"),"*Indirect*")/INDIRECT("'"&amp;$G$42&amp;"'!$F$2"),0)))</f>
        <v/>
      </c>
      <c r="AI65" s="152">
        <f>IF($G$43="",0,IF(W65&gt;'General Information'!$D$33,0,IFERROR(SUMIFS(INDIRECT("'"&amp;$G$43&amp;"'!$D$37:$D$52"),INDIRECT("'"&amp;$G$43&amp;"'!$C$37:$C$52"),W65,INDIRECT("'"&amp;$G$43&amp;"'!$B$37:$B$52"),"*Indirect*")/INDIRECT("'"&amp;$G$43&amp;"'!$F$2"),0)))</f>
        <v/>
      </c>
      <c r="AJ65" s="152">
        <f>IF($G$44="",0,IF(W65&gt;'General Information'!$D$33,0,IFERROR(SUMIFS(INDIRECT("'"&amp;$G$44&amp;"'!$D$37:$D$52"),INDIRECT("'"&amp;$G$44&amp;"'!$C$37:$C$52"),W65,INDIRECT("'"&amp;$G$44&amp;"'!$B$37:$B$52"),"*Indirect*")/INDIRECT("'"&amp;$G$44&amp;"'!$F$2"),0)))</f>
        <v/>
      </c>
    </row>
    <row r="66" ht="18" customHeight="1">
      <c r="W66" s="134" t="n">
        <v>25</v>
      </c>
      <c r="X66" s="134">
        <f>'General Information'!$D$25+W66</f>
        <v/>
      </c>
      <c r="Y66" s="135">
        <f>IF($G$41="",0,IF(W66&gt;'General Information'!$D$33,0,IF(W66=0,$J$41,IFERROR(SUMIF(INDIRECT("'"&amp;$G$41&amp;"'!$C$37:$C$52"),W66,INDIRECT("'"&amp;$G$41&amp;"'!$D$37:$D$52")),0))))</f>
        <v/>
      </c>
      <c r="Z66" s="135">
        <f>IF($G$42="",0,IF(W66&gt;'General Information'!$D$33,0,IF(W66=0,$J$42,IFERROR(SUMIF(INDIRECT("'"&amp;$G$42&amp;"'!$C$37:$C$52"),W66,INDIRECT("'"&amp;$G$42&amp;"'!$D$37:$D$52")),0))))</f>
        <v/>
      </c>
      <c r="AA66" s="135">
        <f>IF($G$43="",0,IF(W66&gt;'General Information'!$D$33,0,IF(W66=0,$J$43,IFERROR(SUMIF(INDIRECT("'"&amp;$G$43&amp;"'!$C$37:$C$52"),W66,INDIRECT("'"&amp;$G$43&amp;"'!$D$37:$D$52")),0))))</f>
        <v/>
      </c>
      <c r="AB66" s="135">
        <f>IF($G$44="",0,IF(W66&gt;'General Information'!$D$33,0,IF(W66=0,$J$44,IFERROR(SUMIF(INDIRECT("'"&amp;$G$44&amp;"'!$C$37:$C$52"),W66,INDIRECT("'"&amp;$G$44&amp;"'!$D$37:$D$52")),0))))</f>
        <v/>
      </c>
      <c r="AC66" s="135">
        <f>IF($G$41="",NA(),AC65+IF(W66&gt;'General Information'!$D$33,0,IF(W66=0,$J$41,IFERROR(SUMIF(INDIRECT("'"&amp;$G$41&amp;"'!$C$37:$C$52"),W66,INDIRECT("'"&amp;$G$41&amp;"'!$E$37:$E$52")),0))))</f>
        <v/>
      </c>
      <c r="AD66" s="135">
        <f>IF($G$42="",NA(),AD65+IF(W66&gt;'General Information'!$D$33,0,IF(W66=0,$J$42,IFERROR(SUMIF(INDIRECT("'"&amp;$G$42&amp;"'!$C$37:$C$52"),W66,INDIRECT("'"&amp;$G$42&amp;"'!$E$37:$E$52")),0))))</f>
        <v/>
      </c>
      <c r="AE66" s="135">
        <f>IF($G$43="",NA(),AE65+IF(W66&gt;'General Information'!$D$33,0,IF(W66=0,$J$43,IFERROR(SUMIF(INDIRECT("'"&amp;$G$43&amp;"'!$C$37:$C$52"),W66,INDIRECT("'"&amp;$G$43&amp;"'!$E$37:$E$52")),0))))</f>
        <v/>
      </c>
      <c r="AF66" s="135">
        <f>IF($G$44="",NA(),AF65+IF(W66&gt;'General Information'!$D$33,0,IF(W66=0,$J$44,IFERROR(SUMIF(INDIRECT("'"&amp;$G$44&amp;"'!$C$37:$C$52"),W66,INDIRECT("'"&amp;$G$44&amp;"'!$E$37:$E$52")),0))))</f>
        <v/>
      </c>
      <c r="AG66" s="152">
        <f>IF($G$41="",0,IF(W66&gt;'General Information'!$D$33,0,IFERROR(SUMIFS(INDIRECT("'"&amp;$G$41&amp;"'!$D$37:$D$52"),INDIRECT("'"&amp;$G$41&amp;"'!$C$37:$C$52"),W66,INDIRECT("'"&amp;$G$41&amp;"'!$B$37:$B$52"),"*Indirect*")/INDIRECT("'"&amp;$G$41&amp;"'!$F$2"),0)))</f>
        <v/>
      </c>
      <c r="AH66" s="152">
        <f>IF($G$42="",0,IF(W66&gt;'General Information'!$D$33,0,IFERROR(SUMIFS(INDIRECT("'"&amp;$G$42&amp;"'!$D$37:$D$52"),INDIRECT("'"&amp;$G$42&amp;"'!$C$37:$C$52"),W66,INDIRECT("'"&amp;$G$42&amp;"'!$B$37:$B$52"),"*Indirect*")/INDIRECT("'"&amp;$G$42&amp;"'!$F$2"),0)))</f>
        <v/>
      </c>
      <c r="AI66" s="152">
        <f>IF($G$43="",0,IF(W66&gt;'General Information'!$D$33,0,IFERROR(SUMIFS(INDIRECT("'"&amp;$G$43&amp;"'!$D$37:$D$52"),INDIRECT("'"&amp;$G$43&amp;"'!$C$37:$C$52"),W66,INDIRECT("'"&amp;$G$43&amp;"'!$B$37:$B$52"),"*Indirect*")/INDIRECT("'"&amp;$G$43&amp;"'!$F$2"),0)))</f>
        <v/>
      </c>
      <c r="AJ66" s="152">
        <f>IF($G$44="",0,IF(W66&gt;'General Information'!$D$33,0,IFERROR(SUMIFS(INDIRECT("'"&amp;$G$44&amp;"'!$D$37:$D$52"),INDIRECT("'"&amp;$G$44&amp;"'!$C$37:$C$52"),W66,INDIRECT("'"&amp;$G$44&amp;"'!$B$37:$B$52"),"*Indirect*")/INDIRECT("'"&amp;$G$44&amp;"'!$F$2"),0)))</f>
        <v/>
      </c>
    </row>
    <row r="67">
      <c r="W67" s="134" t="n">
        <v>26</v>
      </c>
      <c r="X67" s="134">
        <f>'General Information'!$D$25+W67</f>
        <v/>
      </c>
      <c r="Y67" s="135">
        <f>IF($G$41="",0,IF(W67&gt;'General Information'!$D$33,0,IF(W67=0,$J$41,IFERROR(SUMIF(INDIRECT("'"&amp;$G$41&amp;"'!$C$37:$C$52"),W67,INDIRECT("'"&amp;$G$41&amp;"'!$D$37:$D$52")),0))))</f>
        <v/>
      </c>
      <c r="Z67" s="135">
        <f>IF($G$42="",0,IF(W67&gt;'General Information'!$D$33,0,IF(W67=0,$J$42,IFERROR(SUMIF(INDIRECT("'"&amp;$G$42&amp;"'!$C$37:$C$52"),W67,INDIRECT("'"&amp;$G$42&amp;"'!$D$37:$D$52")),0))))</f>
        <v/>
      </c>
      <c r="AA67" s="135">
        <f>IF($G$43="",0,IF(W67&gt;'General Information'!$D$33,0,IF(W67=0,$J$43,IFERROR(SUMIF(INDIRECT("'"&amp;$G$43&amp;"'!$C$37:$C$52"),W67,INDIRECT("'"&amp;$G$43&amp;"'!$D$37:$D$52")),0))))</f>
        <v/>
      </c>
      <c r="AB67" s="135">
        <f>IF($G$44="",0,IF(W67&gt;'General Information'!$D$33,0,IF(W67=0,$J$44,IFERROR(SUMIF(INDIRECT("'"&amp;$G$44&amp;"'!$C$37:$C$52"),W67,INDIRECT("'"&amp;$G$44&amp;"'!$D$37:$D$52")),0))))</f>
        <v/>
      </c>
      <c r="AC67" s="135">
        <f>IF($G$41="",NA(),AC66+IF(W67&gt;'General Information'!$D$33,0,IF(W67=0,$J$41,IFERROR(SUMIF(INDIRECT("'"&amp;$G$41&amp;"'!$C$37:$C$52"),W67,INDIRECT("'"&amp;$G$41&amp;"'!$E$37:$E$52")),0))))</f>
        <v/>
      </c>
      <c r="AD67" s="135">
        <f>IF($G$42="",NA(),AD66+IF(W67&gt;'General Information'!$D$33,0,IF(W67=0,$J$42,IFERROR(SUMIF(INDIRECT("'"&amp;$G$42&amp;"'!$C$37:$C$52"),W67,INDIRECT("'"&amp;$G$42&amp;"'!$E$37:$E$52")),0))))</f>
        <v/>
      </c>
      <c r="AE67" s="135">
        <f>IF($G$43="",NA(),AE66+IF(W67&gt;'General Information'!$D$33,0,IF(W67=0,$J$43,IFERROR(SUMIF(INDIRECT("'"&amp;$G$43&amp;"'!$C$37:$C$52"),W67,INDIRECT("'"&amp;$G$43&amp;"'!$E$37:$E$52")),0))))</f>
        <v/>
      </c>
      <c r="AF67" s="135">
        <f>IF($G$44="",NA(),AF66+IF(W67&gt;'General Information'!$D$33,0,IF(W67=0,$J$44,IFERROR(SUMIF(INDIRECT("'"&amp;$G$44&amp;"'!$C$37:$C$52"),W67,INDIRECT("'"&amp;$G$44&amp;"'!$E$37:$E$52")),0))))</f>
        <v/>
      </c>
      <c r="AG67" s="152">
        <f>IF($G$41="",0,IF(W67&gt;'General Information'!$D$33,0,IFERROR(SUMIFS(INDIRECT("'"&amp;$G$41&amp;"'!$D$37:$D$52"),INDIRECT("'"&amp;$G$41&amp;"'!$C$37:$C$52"),W67,INDIRECT("'"&amp;$G$41&amp;"'!$B$37:$B$52"),"*Indirect*")/INDIRECT("'"&amp;$G$41&amp;"'!$F$2"),0)))</f>
        <v/>
      </c>
      <c r="AH67" s="152">
        <f>IF($G$42="",0,IF(W67&gt;'General Information'!$D$33,0,IFERROR(SUMIFS(INDIRECT("'"&amp;$G$42&amp;"'!$D$37:$D$52"),INDIRECT("'"&amp;$G$42&amp;"'!$C$37:$C$52"),W67,INDIRECT("'"&amp;$G$42&amp;"'!$B$37:$B$52"),"*Indirect*")/INDIRECT("'"&amp;$G$42&amp;"'!$F$2"),0)))</f>
        <v/>
      </c>
      <c r="AI67" s="152">
        <f>IF($G$43="",0,IF(W67&gt;'General Information'!$D$33,0,IFERROR(SUMIFS(INDIRECT("'"&amp;$G$43&amp;"'!$D$37:$D$52"),INDIRECT("'"&amp;$G$43&amp;"'!$C$37:$C$52"),W67,INDIRECT("'"&amp;$G$43&amp;"'!$B$37:$B$52"),"*Indirect*")/INDIRECT("'"&amp;$G$43&amp;"'!$F$2"),0)))</f>
        <v/>
      </c>
      <c r="AJ67" s="152">
        <f>IF($G$44="",0,IF(W67&gt;'General Information'!$D$33,0,IFERROR(SUMIFS(INDIRECT("'"&amp;$G$44&amp;"'!$D$37:$D$52"),INDIRECT("'"&amp;$G$44&amp;"'!$C$37:$C$52"),W67,INDIRECT("'"&amp;$G$44&amp;"'!$B$37:$B$52"),"*Indirect*")/INDIRECT("'"&amp;$G$44&amp;"'!$F$2"),0)))</f>
        <v/>
      </c>
    </row>
    <row r="68" ht="18" customHeight="1">
      <c r="G68" s="256">
        <f>IF('General Information'!$D$9="","","Pricing basis: every unit cost comes from the single Pay_Items 'Unit Cost' column. The Middle, West and East average-cost columns beside it are empty, so this "&amp;'General Information'!$D$13&amp;" division project is priced on the same statewide numbers as any other.")</f>
        <v/>
      </c>
      <c r="H68" s="256"/>
      <c r="I68" s="256"/>
      <c r="J68" s="256"/>
      <c r="K68" s="256"/>
      <c r="L68" s="256"/>
      <c r="M68" s="256"/>
      <c r="N68" s="256"/>
      <c r="O68" s="256"/>
      <c r="P68" s="256"/>
      <c r="Q68" s="256"/>
      <c r="R68" s="256"/>
      <c r="W68" s="134" t="n">
        <v>27</v>
      </c>
      <c r="X68" s="134">
        <f>'General Information'!$D$25+W68</f>
        <v/>
      </c>
      <c r="Y68" s="135">
        <f>IF($G$41="",0,IF(W68&gt;'General Information'!$D$33,0,IF(W68=0,$J$41,IFERROR(SUMIF(INDIRECT("'"&amp;$G$41&amp;"'!$C$37:$C$52"),W68,INDIRECT("'"&amp;$G$41&amp;"'!$D$37:$D$52")),0))))</f>
        <v/>
      </c>
      <c r="Z68" s="135">
        <f>IF($G$42="",0,IF(W68&gt;'General Information'!$D$33,0,IF(W68=0,$J$42,IFERROR(SUMIF(INDIRECT("'"&amp;$G$42&amp;"'!$C$37:$C$52"),W68,INDIRECT("'"&amp;$G$42&amp;"'!$D$37:$D$52")),0))))</f>
        <v/>
      </c>
      <c r="AA68" s="135">
        <f>IF($G$43="",0,IF(W68&gt;'General Information'!$D$33,0,IF(W68=0,$J$43,IFERROR(SUMIF(INDIRECT("'"&amp;$G$43&amp;"'!$C$37:$C$52"),W68,INDIRECT("'"&amp;$G$43&amp;"'!$D$37:$D$52")),0))))</f>
        <v/>
      </c>
      <c r="AB68" s="135">
        <f>IF($G$44="",0,IF(W68&gt;'General Information'!$D$33,0,IF(W68=0,$J$44,IFERROR(SUMIF(INDIRECT("'"&amp;$G$44&amp;"'!$C$37:$C$52"),W68,INDIRECT("'"&amp;$G$44&amp;"'!$D$37:$D$52")),0))))</f>
        <v/>
      </c>
      <c r="AC68" s="135">
        <f>IF($G$41="",NA(),AC67+IF(W68&gt;'General Information'!$D$33,0,IF(W68=0,$J$41,IFERROR(SUMIF(INDIRECT("'"&amp;$G$41&amp;"'!$C$37:$C$52"),W68,INDIRECT("'"&amp;$G$41&amp;"'!$E$37:$E$52")),0))))</f>
        <v/>
      </c>
      <c r="AD68" s="135">
        <f>IF($G$42="",NA(),AD67+IF(W68&gt;'General Information'!$D$33,0,IF(W68=0,$J$42,IFERROR(SUMIF(INDIRECT("'"&amp;$G$42&amp;"'!$C$37:$C$52"),W68,INDIRECT("'"&amp;$G$42&amp;"'!$E$37:$E$52")),0))))</f>
        <v/>
      </c>
      <c r="AE68" s="135">
        <f>IF($G$43="",NA(),AE67+IF(W68&gt;'General Information'!$D$33,0,IF(W68=0,$J$43,IFERROR(SUMIF(INDIRECT("'"&amp;$G$43&amp;"'!$C$37:$C$52"),W68,INDIRECT("'"&amp;$G$43&amp;"'!$E$37:$E$52")),0))))</f>
        <v/>
      </c>
      <c r="AF68" s="135">
        <f>IF($G$44="",NA(),AF67+IF(W68&gt;'General Information'!$D$33,0,IF(W68=0,$J$44,IFERROR(SUMIF(INDIRECT("'"&amp;$G$44&amp;"'!$C$37:$C$52"),W68,INDIRECT("'"&amp;$G$44&amp;"'!$E$37:$E$52")),0))))</f>
        <v/>
      </c>
      <c r="AG68" s="152">
        <f>IF($G$41="",0,IF(W68&gt;'General Information'!$D$33,0,IFERROR(SUMIFS(INDIRECT("'"&amp;$G$41&amp;"'!$D$37:$D$52"),INDIRECT("'"&amp;$G$41&amp;"'!$C$37:$C$52"),W68,INDIRECT("'"&amp;$G$41&amp;"'!$B$37:$B$52"),"*Indirect*")/INDIRECT("'"&amp;$G$41&amp;"'!$F$2"),0)))</f>
        <v/>
      </c>
      <c r="AH68" s="152">
        <f>IF($G$42="",0,IF(W68&gt;'General Information'!$D$33,0,IFERROR(SUMIFS(INDIRECT("'"&amp;$G$42&amp;"'!$D$37:$D$52"),INDIRECT("'"&amp;$G$42&amp;"'!$C$37:$C$52"),W68,INDIRECT("'"&amp;$G$42&amp;"'!$B$37:$B$52"),"*Indirect*")/INDIRECT("'"&amp;$G$42&amp;"'!$F$2"),0)))</f>
        <v/>
      </c>
      <c r="AI68" s="152">
        <f>IF($G$43="",0,IF(W68&gt;'General Information'!$D$33,0,IFERROR(SUMIFS(INDIRECT("'"&amp;$G$43&amp;"'!$D$37:$D$52"),INDIRECT("'"&amp;$G$43&amp;"'!$C$37:$C$52"),W68,INDIRECT("'"&amp;$G$43&amp;"'!$B$37:$B$52"),"*Indirect*")/INDIRECT("'"&amp;$G$43&amp;"'!$F$2"),0)))</f>
        <v/>
      </c>
      <c r="AJ68" s="152">
        <f>IF($G$44="",0,IF(W68&gt;'General Information'!$D$33,0,IFERROR(SUMIFS(INDIRECT("'"&amp;$G$44&amp;"'!$D$37:$D$52"),INDIRECT("'"&amp;$G$44&amp;"'!$C$37:$C$52"),W68,INDIRECT("'"&amp;$G$44&amp;"'!$B$37:$B$52"),"*Indirect*")/INDIRECT("'"&amp;$G$44&amp;"'!$F$2"),0)))</f>
        <v/>
      </c>
    </row>
    <row r="69" ht="18" customHeight="1">
      <c r="G69" s="256" t="inlineStr">
        <is>
          <t>Coordinates are embedded (Method sheet); nothing here goes online. Five private fields have none and plot no dot.</t>
        </is>
      </c>
      <c r="H69" s="256"/>
      <c r="I69" s="256"/>
      <c r="J69" s="256"/>
      <c r="K69" s="256"/>
      <c r="L69" s="256"/>
      <c r="M69" s="256"/>
      <c r="N69" s="256"/>
      <c r="O69" s="256"/>
      <c r="P69" s="256"/>
      <c r="Q69" s="256"/>
      <c r="R69" s="256"/>
      <c r="W69" s="134" t="n">
        <v>28</v>
      </c>
      <c r="X69" s="134">
        <f>'General Information'!$D$25+W69</f>
        <v/>
      </c>
      <c r="Y69" s="135">
        <f>IF($G$41="",0,IF(W69&gt;'General Information'!$D$33,0,IF(W69=0,$J$41,IFERROR(SUMIF(INDIRECT("'"&amp;$G$41&amp;"'!$C$37:$C$52"),W69,INDIRECT("'"&amp;$G$41&amp;"'!$D$37:$D$52")),0))))</f>
        <v/>
      </c>
      <c r="Z69" s="135">
        <f>IF($G$42="",0,IF(W69&gt;'General Information'!$D$33,0,IF(W69=0,$J$42,IFERROR(SUMIF(INDIRECT("'"&amp;$G$42&amp;"'!$C$37:$C$52"),W69,INDIRECT("'"&amp;$G$42&amp;"'!$D$37:$D$52")),0))))</f>
        <v/>
      </c>
      <c r="AA69" s="135">
        <f>IF($G$43="",0,IF(W69&gt;'General Information'!$D$33,0,IF(W69=0,$J$43,IFERROR(SUMIF(INDIRECT("'"&amp;$G$43&amp;"'!$C$37:$C$52"),W69,INDIRECT("'"&amp;$G$43&amp;"'!$D$37:$D$52")),0))))</f>
        <v/>
      </c>
      <c r="AB69" s="135">
        <f>IF($G$44="",0,IF(W69&gt;'General Information'!$D$33,0,IF(W69=0,$J$44,IFERROR(SUMIF(INDIRECT("'"&amp;$G$44&amp;"'!$C$37:$C$52"),W69,INDIRECT("'"&amp;$G$44&amp;"'!$D$37:$D$52")),0))))</f>
        <v/>
      </c>
      <c r="AC69" s="135">
        <f>IF($G$41="",NA(),AC68+IF(W69&gt;'General Information'!$D$33,0,IF(W69=0,$J$41,IFERROR(SUMIF(INDIRECT("'"&amp;$G$41&amp;"'!$C$37:$C$52"),W69,INDIRECT("'"&amp;$G$41&amp;"'!$E$37:$E$52")),0))))</f>
        <v/>
      </c>
      <c r="AD69" s="135">
        <f>IF($G$42="",NA(),AD68+IF(W69&gt;'General Information'!$D$33,0,IF(W69=0,$J$42,IFERROR(SUMIF(INDIRECT("'"&amp;$G$42&amp;"'!$C$37:$C$52"),W69,INDIRECT("'"&amp;$G$42&amp;"'!$E$37:$E$52")),0))))</f>
        <v/>
      </c>
      <c r="AE69" s="135">
        <f>IF($G$43="",NA(),AE68+IF(W69&gt;'General Information'!$D$33,0,IF(W69=0,$J$43,IFERROR(SUMIF(INDIRECT("'"&amp;$G$43&amp;"'!$C$37:$C$52"),W69,INDIRECT("'"&amp;$G$43&amp;"'!$E$37:$E$52")),0))))</f>
        <v/>
      </c>
      <c r="AF69" s="135">
        <f>IF($G$44="",NA(),AF68+IF(W69&gt;'General Information'!$D$33,0,IF(W69=0,$J$44,IFERROR(SUMIF(INDIRECT("'"&amp;$G$44&amp;"'!$C$37:$C$52"),W69,INDIRECT("'"&amp;$G$44&amp;"'!$E$37:$E$52")),0))))</f>
        <v/>
      </c>
      <c r="AG69" s="152">
        <f>IF($G$41="",0,IF(W69&gt;'General Information'!$D$33,0,IFERROR(SUMIFS(INDIRECT("'"&amp;$G$41&amp;"'!$D$37:$D$52"),INDIRECT("'"&amp;$G$41&amp;"'!$C$37:$C$52"),W69,INDIRECT("'"&amp;$G$41&amp;"'!$B$37:$B$52"),"*Indirect*")/INDIRECT("'"&amp;$G$41&amp;"'!$F$2"),0)))</f>
        <v/>
      </c>
      <c r="AH69" s="152">
        <f>IF($G$42="",0,IF(W69&gt;'General Information'!$D$33,0,IFERROR(SUMIFS(INDIRECT("'"&amp;$G$42&amp;"'!$D$37:$D$52"),INDIRECT("'"&amp;$G$42&amp;"'!$C$37:$C$52"),W69,INDIRECT("'"&amp;$G$42&amp;"'!$B$37:$B$52"),"*Indirect*")/INDIRECT("'"&amp;$G$42&amp;"'!$F$2"),0)))</f>
        <v/>
      </c>
      <c r="AI69" s="152">
        <f>IF($G$43="",0,IF(W69&gt;'General Information'!$D$33,0,IFERROR(SUMIFS(INDIRECT("'"&amp;$G$43&amp;"'!$D$37:$D$52"),INDIRECT("'"&amp;$G$43&amp;"'!$C$37:$C$52"),W69,INDIRECT("'"&amp;$G$43&amp;"'!$B$37:$B$52"),"*Indirect*")/INDIRECT("'"&amp;$G$43&amp;"'!$F$2"),0)))</f>
        <v/>
      </c>
      <c r="AJ69" s="152">
        <f>IF($G$44="",0,IF(W69&gt;'General Information'!$D$33,0,IFERROR(SUMIFS(INDIRECT("'"&amp;$G$44&amp;"'!$D$37:$D$52"),INDIRECT("'"&amp;$G$44&amp;"'!$C$37:$C$52"),W69,INDIRECT("'"&amp;$G$44&amp;"'!$B$37:$B$52"),"*Indirect*")/INDIRECT("'"&amp;$G$44&amp;"'!$F$2"),0)))</f>
        <v/>
      </c>
    </row>
    <row r="70" ht="18" customHeight="1">
      <c r="G70" s="256" t="inlineStr">
        <is>
          <t>Google Earth: import LCCA_KML_Export.bas once (Alt+F11, File, Import File), then Alt+F8 and run ExportLCCAKML.</t>
        </is>
      </c>
      <c r="H70" s="256"/>
      <c r="I70" s="256"/>
      <c r="J70" s="256"/>
      <c r="K70" s="256"/>
      <c r="L70" s="256"/>
      <c r="M70" s="256"/>
      <c r="N70" s="256"/>
      <c r="O70" s="256"/>
      <c r="P70" s="256"/>
      <c r="Q70" s="256"/>
      <c r="R70" s="256"/>
      <c r="W70" s="134" t="n">
        <v>29</v>
      </c>
      <c r="X70" s="134">
        <f>'General Information'!$D$25+W70</f>
        <v/>
      </c>
      <c r="Y70" s="135">
        <f>IF($G$41="",0,IF(W70&gt;'General Information'!$D$33,0,IF(W70=0,$J$41,IFERROR(SUMIF(INDIRECT("'"&amp;$G$41&amp;"'!$C$37:$C$52"),W70,INDIRECT("'"&amp;$G$41&amp;"'!$D$37:$D$52")),0))))</f>
        <v/>
      </c>
      <c r="Z70" s="135">
        <f>IF($G$42="",0,IF(W70&gt;'General Information'!$D$33,0,IF(W70=0,$J$42,IFERROR(SUMIF(INDIRECT("'"&amp;$G$42&amp;"'!$C$37:$C$52"),W70,INDIRECT("'"&amp;$G$42&amp;"'!$D$37:$D$52")),0))))</f>
        <v/>
      </c>
      <c r="AA70" s="135">
        <f>IF($G$43="",0,IF(W70&gt;'General Information'!$D$33,0,IF(W70=0,$J$43,IFERROR(SUMIF(INDIRECT("'"&amp;$G$43&amp;"'!$C$37:$C$52"),W70,INDIRECT("'"&amp;$G$43&amp;"'!$D$37:$D$52")),0))))</f>
        <v/>
      </c>
      <c r="AB70" s="135">
        <f>IF($G$44="",0,IF(W70&gt;'General Information'!$D$33,0,IF(W70=0,$J$44,IFERROR(SUMIF(INDIRECT("'"&amp;$G$44&amp;"'!$C$37:$C$52"),W70,INDIRECT("'"&amp;$G$44&amp;"'!$D$37:$D$52")),0))))</f>
        <v/>
      </c>
      <c r="AC70" s="135">
        <f>IF($G$41="",NA(),AC69+IF(W70&gt;'General Information'!$D$33,0,IF(W70=0,$J$41,IFERROR(SUMIF(INDIRECT("'"&amp;$G$41&amp;"'!$C$37:$C$52"),W70,INDIRECT("'"&amp;$G$41&amp;"'!$E$37:$E$52")),0))))</f>
        <v/>
      </c>
      <c r="AD70" s="135">
        <f>IF($G$42="",NA(),AD69+IF(W70&gt;'General Information'!$D$33,0,IF(W70=0,$J$42,IFERROR(SUMIF(INDIRECT("'"&amp;$G$42&amp;"'!$C$37:$C$52"),W70,INDIRECT("'"&amp;$G$42&amp;"'!$E$37:$E$52")),0))))</f>
        <v/>
      </c>
      <c r="AE70" s="135">
        <f>IF($G$43="",NA(),AE69+IF(W70&gt;'General Information'!$D$33,0,IF(W70=0,$J$43,IFERROR(SUMIF(INDIRECT("'"&amp;$G$43&amp;"'!$C$37:$C$52"),W70,INDIRECT("'"&amp;$G$43&amp;"'!$E$37:$E$52")),0))))</f>
        <v/>
      </c>
      <c r="AF70" s="135">
        <f>IF($G$44="",NA(),AF69+IF(W70&gt;'General Information'!$D$33,0,IF(W70=0,$J$44,IFERROR(SUMIF(INDIRECT("'"&amp;$G$44&amp;"'!$C$37:$C$52"),W70,INDIRECT("'"&amp;$G$44&amp;"'!$E$37:$E$52")),0))))</f>
        <v/>
      </c>
      <c r="AG70" s="152">
        <f>IF($G$41="",0,IF(W70&gt;'General Information'!$D$33,0,IFERROR(SUMIFS(INDIRECT("'"&amp;$G$41&amp;"'!$D$37:$D$52"),INDIRECT("'"&amp;$G$41&amp;"'!$C$37:$C$52"),W70,INDIRECT("'"&amp;$G$41&amp;"'!$B$37:$B$52"),"*Indirect*")/INDIRECT("'"&amp;$G$41&amp;"'!$F$2"),0)))</f>
        <v/>
      </c>
      <c r="AH70" s="152">
        <f>IF($G$42="",0,IF(W70&gt;'General Information'!$D$33,0,IFERROR(SUMIFS(INDIRECT("'"&amp;$G$42&amp;"'!$D$37:$D$52"),INDIRECT("'"&amp;$G$42&amp;"'!$C$37:$C$52"),W70,INDIRECT("'"&amp;$G$42&amp;"'!$B$37:$B$52"),"*Indirect*")/INDIRECT("'"&amp;$G$42&amp;"'!$F$2"),0)))</f>
        <v/>
      </c>
      <c r="AI70" s="152">
        <f>IF($G$43="",0,IF(W70&gt;'General Information'!$D$33,0,IFERROR(SUMIFS(INDIRECT("'"&amp;$G$43&amp;"'!$D$37:$D$52"),INDIRECT("'"&amp;$G$43&amp;"'!$C$37:$C$52"),W70,INDIRECT("'"&amp;$G$43&amp;"'!$B$37:$B$52"),"*Indirect*")/INDIRECT("'"&amp;$G$43&amp;"'!$F$2"),0)))</f>
        <v/>
      </c>
      <c r="AJ70" s="152">
        <f>IF($G$44="",0,IF(W70&gt;'General Information'!$D$33,0,IFERROR(SUMIFS(INDIRECT("'"&amp;$G$44&amp;"'!$D$37:$D$52"),INDIRECT("'"&amp;$G$44&amp;"'!$C$37:$C$52"),W70,INDIRECT("'"&amp;$G$44&amp;"'!$B$37:$B$52"),"*Indirect*")/INDIRECT("'"&amp;$G$44&amp;"'!$F$2"),0)))</f>
        <v/>
      </c>
    </row>
    <row r="71">
      <c r="G71" s="136" t="inlineStr">
        <is>
          <t>How to read: charts 1 and 2 are the key results, the total cost by category and whether that winner holds at other discount rates. Charts 3 to 8 below are supporting detail Columns A to F are hidden helper data; unhide them only to type an alternative description.</t>
        </is>
      </c>
      <c r="W71" s="134" t="n">
        <v>30</v>
      </c>
      <c r="X71" s="134">
        <f>'General Information'!$D$25+W71</f>
        <v/>
      </c>
      <c r="Y71" s="135">
        <f>IF($G$41="",0,IF(W71&gt;'General Information'!$D$33,0,IF(W71=0,$J$41,IFERROR(SUMIF(INDIRECT("'"&amp;$G$41&amp;"'!$C$37:$C$52"),W71,INDIRECT("'"&amp;$G$41&amp;"'!$D$37:$D$52")),0))))</f>
        <v/>
      </c>
      <c r="Z71" s="135">
        <f>IF($G$42="",0,IF(W71&gt;'General Information'!$D$33,0,IF(W71=0,$J$42,IFERROR(SUMIF(INDIRECT("'"&amp;$G$42&amp;"'!$C$37:$C$52"),W71,INDIRECT("'"&amp;$G$42&amp;"'!$D$37:$D$52")),0))))</f>
        <v/>
      </c>
      <c r="AA71" s="135">
        <f>IF($G$43="",0,IF(W71&gt;'General Information'!$D$33,0,IF(W71=0,$J$43,IFERROR(SUMIF(INDIRECT("'"&amp;$G$43&amp;"'!$C$37:$C$52"),W71,INDIRECT("'"&amp;$G$43&amp;"'!$D$37:$D$52")),0))))</f>
        <v/>
      </c>
      <c r="AB71" s="135">
        <f>IF($G$44="",0,IF(W71&gt;'General Information'!$D$33,0,IF(W71=0,$J$44,IFERROR(SUMIF(INDIRECT("'"&amp;$G$44&amp;"'!$C$37:$C$52"),W71,INDIRECT("'"&amp;$G$44&amp;"'!$D$37:$D$52")),0))))</f>
        <v/>
      </c>
      <c r="AC71" s="135">
        <f>IF($G$41="",NA(),AC70+IF(W71&gt;'General Information'!$D$33,0,IF(W71=0,$J$41,IFERROR(SUMIF(INDIRECT("'"&amp;$G$41&amp;"'!$C$37:$C$52"),W71,INDIRECT("'"&amp;$G$41&amp;"'!$E$37:$E$52")),0))))</f>
        <v/>
      </c>
      <c r="AD71" s="135">
        <f>IF($G$42="",NA(),AD70+IF(W71&gt;'General Information'!$D$33,0,IF(W71=0,$J$42,IFERROR(SUMIF(INDIRECT("'"&amp;$G$42&amp;"'!$C$37:$C$52"),W71,INDIRECT("'"&amp;$G$42&amp;"'!$E$37:$E$52")),0))))</f>
        <v/>
      </c>
      <c r="AE71" s="135">
        <f>IF($G$43="",NA(),AE70+IF(W71&gt;'General Information'!$D$33,0,IF(W71=0,$J$43,IFERROR(SUMIF(INDIRECT("'"&amp;$G$43&amp;"'!$C$37:$C$52"),W71,INDIRECT("'"&amp;$G$43&amp;"'!$E$37:$E$52")),0))))</f>
        <v/>
      </c>
      <c r="AF71" s="135">
        <f>IF($G$44="",NA(),AF70+IF(W71&gt;'General Information'!$D$33,0,IF(W71=0,$J$44,IFERROR(SUMIF(INDIRECT("'"&amp;$G$44&amp;"'!$C$37:$C$52"),W71,INDIRECT("'"&amp;$G$44&amp;"'!$E$37:$E$52")),0))))</f>
        <v/>
      </c>
      <c r="AG71" s="152">
        <f>IF($G$41="",0,IF(W71&gt;'General Information'!$D$33,0,IFERROR(SUMIFS(INDIRECT("'"&amp;$G$41&amp;"'!$D$37:$D$52"),INDIRECT("'"&amp;$G$41&amp;"'!$C$37:$C$52"),W71,INDIRECT("'"&amp;$G$41&amp;"'!$B$37:$B$52"),"*Indirect*")/INDIRECT("'"&amp;$G$41&amp;"'!$F$2"),0)))</f>
        <v/>
      </c>
      <c r="AH71" s="152">
        <f>IF($G$42="",0,IF(W71&gt;'General Information'!$D$33,0,IFERROR(SUMIFS(INDIRECT("'"&amp;$G$42&amp;"'!$D$37:$D$52"),INDIRECT("'"&amp;$G$42&amp;"'!$C$37:$C$52"),W71,INDIRECT("'"&amp;$G$42&amp;"'!$B$37:$B$52"),"*Indirect*")/INDIRECT("'"&amp;$G$42&amp;"'!$F$2"),0)))</f>
        <v/>
      </c>
      <c r="AI71" s="152">
        <f>IF($G$43="",0,IF(W71&gt;'General Information'!$D$33,0,IFERROR(SUMIFS(INDIRECT("'"&amp;$G$43&amp;"'!$D$37:$D$52"),INDIRECT("'"&amp;$G$43&amp;"'!$C$37:$C$52"),W71,INDIRECT("'"&amp;$G$43&amp;"'!$B$37:$B$52"),"*Indirect*")/INDIRECT("'"&amp;$G$43&amp;"'!$F$2"),0)))</f>
        <v/>
      </c>
      <c r="AJ71" s="152">
        <f>IF($G$44="",0,IF(W71&gt;'General Information'!$D$33,0,IFERROR(SUMIFS(INDIRECT("'"&amp;$G$44&amp;"'!$D$37:$D$52"),INDIRECT("'"&amp;$G$44&amp;"'!$C$37:$C$52"),W71,INDIRECT("'"&amp;$G$44&amp;"'!$B$37:$B$52"),"*Indirect*")/INDIRECT("'"&amp;$G$44&amp;"'!$F$2"),0)))</f>
        <v/>
      </c>
    </row>
    <row r="72">
      <c r="G72" s="136"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row r="73"/>
    <row r="74">
      <c r="G74" s="136" t="inlineStr">
        <is>
          <t>Below: "Chart 1", the chart the Alternative Setup form draws and keeps up to date. It shows initial construction and net present worth per alternative, which chart 1 above shows with the categories broken out. It is left in place so the form keeps working.</t>
        </is>
      </c>
      <c r="W74" s="122" t="inlineStr">
        <is>
          <t>PAVEMENT SECTION (inches): mainline, then the reading if the quantities also cover the shoulder</t>
        </is>
      </c>
    </row>
    <row r="75">
      <c r="W75" s="124" t="inlineStr">
        <is>
          <t>Layer</t>
        </is>
      </c>
      <c r="X75" s="124">
        <f>IF(X$4="","",X$4)</f>
        <v/>
      </c>
      <c r="Y75" s="124">
        <f>IF(Y$4="","",Y$4)</f>
        <v/>
      </c>
      <c r="Z75" s="124">
        <f>IF(Z$4="","",Z$4)</f>
        <v/>
      </c>
      <c r="AA75" s="124">
        <f>IF(AA$4="","",AA$4)</f>
        <v/>
      </c>
    </row>
    <row r="76">
      <c r="W76" s="134" t="inlineStr">
        <is>
          <t>Subbase (P-154)</t>
        </is>
      </c>
      <c r="X76" s="153">
        <f>IF($G$41="",0,IFERROR(J60,0))</f>
        <v/>
      </c>
      <c r="Y76" s="153">
        <f>IF($G$42="",0,IFERROR(J61,0))</f>
        <v/>
      </c>
      <c r="Z76" s="153">
        <f>IF($G$43="",0,IFERROR(J62,0))</f>
        <v/>
      </c>
      <c r="AA76" s="153">
        <f>IF($G$44="",0,IFERROR(J63,0))</f>
        <v/>
      </c>
    </row>
    <row r="77">
      <c r="W77" s="134" t="inlineStr">
        <is>
          <t>Aggregate base</t>
        </is>
      </c>
      <c r="X77" s="153">
        <f>IF($G$41="",0,IFERROR(I60,0))</f>
        <v/>
      </c>
      <c r="Y77" s="153">
        <f>IF($G$42="",0,IFERROR(I61,0))</f>
        <v/>
      </c>
      <c r="Z77" s="153">
        <f>IF($G$43="",0,IFERROR(I62,0))</f>
        <v/>
      </c>
      <c r="AA77" s="153">
        <f>IF($G$44="",0,IFERROR(I63,0))</f>
        <v/>
      </c>
    </row>
    <row r="78">
      <c r="W78" s="134" t="inlineStr">
        <is>
          <t>Asphalt</t>
        </is>
      </c>
      <c r="X78" s="153">
        <f>IF($G$41="",0,IFERROR(IF(SUMIFS(INDIRECT("'"&amp;$G$41&amp;"'!$E$13:$E$22"),INDIRECT("'"&amp;$G$41&amp;"'!$D$13:$D$22"),"TON")&gt;0,H60,0),0))</f>
        <v/>
      </c>
      <c r="Y78" s="153">
        <f>IF($G$42="",0,IFERROR(IF(SUMIFS(INDIRECT("'"&amp;$G$42&amp;"'!$E$13:$E$22"),INDIRECT("'"&amp;$G$42&amp;"'!$D$13:$D$22"),"TON")&gt;0,H61,0),0))</f>
        <v/>
      </c>
      <c r="Z78" s="153">
        <f>IF($G$43="",0,IFERROR(IF(SUMIFS(INDIRECT("'"&amp;$G$43&amp;"'!$E$13:$E$22"),INDIRECT("'"&amp;$G$43&amp;"'!$D$13:$D$22"),"TON")&gt;0,H62,0),0))</f>
        <v/>
      </c>
      <c r="AA78" s="153">
        <f>IF($G$44="",0,IFERROR(IF(SUMIFS(INDIRECT("'"&amp;$G$44&amp;"'!$E$13:$E$22"),INDIRECT("'"&amp;$G$44&amp;"'!$D$13:$D$22"),"TON")&gt;0,H63,0),0))</f>
        <v/>
      </c>
    </row>
    <row r="79">
      <c r="W79" s="134" t="inlineStr">
        <is>
          <t>Concrete</t>
        </is>
      </c>
      <c r="X79" s="153">
        <f>IF($G$41="",0,IFERROR(IF(SUMIFS(INDIRECT("'"&amp;$G$41&amp;"'!$E$13:$E$22"),INDIRECT("'"&amp;$G$41&amp;"'!$D$13:$D$22"),"TON")&gt;0,0,H60),0))</f>
        <v/>
      </c>
      <c r="Y79" s="153">
        <f>IF($G$42="",0,IFERROR(IF(SUMIFS(INDIRECT("'"&amp;$G$42&amp;"'!$E$13:$E$22"),INDIRECT("'"&amp;$G$42&amp;"'!$D$13:$D$22"),"TON")&gt;0,0,H61),0))</f>
        <v/>
      </c>
      <c r="Z79" s="153">
        <f>IF($G$43="",0,IFERROR(IF(SUMIFS(INDIRECT("'"&amp;$G$43&amp;"'!$E$13:$E$22"),INDIRECT("'"&amp;$G$43&amp;"'!$D$13:$D$22"),"TON")&gt;0,0,H62),0))</f>
        <v/>
      </c>
      <c r="AA79" s="153">
        <f>IF($G$44="",0,IFERROR(IF(SUMIFS(INDIRECT("'"&amp;$G$44&amp;"'!$E$13:$E$22"),INDIRECT("'"&amp;$G$44&amp;"'!$D$13:$D$22"),"TON")&gt;0,0,H63),0))</f>
        <v/>
      </c>
    </row>
    <row r="80"/>
    <row r="81">
      <c r="W81" s="122" t="inlineStr">
        <is>
          <t>Shoulder reading (blank unless shoulder area is entered)</t>
        </is>
      </c>
    </row>
    <row r="82">
      <c r="W82" s="124" t="inlineStr">
        <is>
          <t>Layer</t>
        </is>
      </c>
      <c r="X82" s="124">
        <f>X$4</f>
        <v/>
      </c>
      <c r="Y82" s="124">
        <f>Y$4</f>
        <v/>
      </c>
      <c r="Z82" s="124">
        <f>Z$4</f>
        <v/>
      </c>
      <c r="AA82" s="124">
        <f>AA$4</f>
        <v/>
      </c>
    </row>
    <row r="83">
      <c r="W83" s="134" t="inlineStr">
        <is>
          <t>Subbase (P-154)</t>
        </is>
      </c>
      <c r="X83" s="153">
        <f>IFERROR(X76*IF('General Information'!$D$27&gt;0,'General Information'!$D$26/('General Information'!$D$26+'General Information'!$D$27),0),0)</f>
        <v/>
      </c>
      <c r="Y83" s="153">
        <f>IFERROR(Y76*IF('General Information'!$D$27&gt;0,'General Information'!$D$26/('General Information'!$D$26+'General Information'!$D$27),0),0)</f>
        <v/>
      </c>
      <c r="Z83" s="153">
        <f>IFERROR(Z76*IF('General Information'!$D$27&gt;0,'General Information'!$D$26/('General Information'!$D$26+'General Information'!$D$27),0),0)</f>
        <v/>
      </c>
      <c r="AA83" s="153">
        <f>IFERROR(AA76*IF('General Information'!$D$27&gt;0,'General Information'!$D$26/('General Information'!$D$26+'General Information'!$D$27),0),0)</f>
        <v/>
      </c>
    </row>
    <row r="84">
      <c r="W84" s="134" t="inlineStr">
        <is>
          <t>Aggregate base</t>
        </is>
      </c>
      <c r="X84" s="153">
        <f>IFERROR(X77*IF('General Information'!$D$27&gt;0,'General Information'!$D$26/('General Information'!$D$26+'General Information'!$D$27),0),0)</f>
        <v/>
      </c>
      <c r="Y84" s="153">
        <f>IFERROR(Y77*IF('General Information'!$D$27&gt;0,'General Information'!$D$26/('General Information'!$D$26+'General Information'!$D$27),0),0)</f>
        <v/>
      </c>
      <c r="Z84" s="153">
        <f>IFERROR(Z77*IF('General Information'!$D$27&gt;0,'General Information'!$D$26/('General Information'!$D$26+'General Information'!$D$27),0),0)</f>
        <v/>
      </c>
      <c r="AA84" s="153">
        <f>IFERROR(AA77*IF('General Information'!$D$27&gt;0,'General Information'!$D$26/('General Information'!$D$26+'General Information'!$D$27),0),0)</f>
        <v/>
      </c>
    </row>
    <row r="85">
      <c r="W85" s="134" t="inlineStr">
        <is>
          <t>Asphalt</t>
        </is>
      </c>
      <c r="X85" s="153">
        <f>IFERROR(X78*IF('General Information'!$D$27&gt;0,'General Information'!$D$26/('General Information'!$D$26+'General Information'!$D$27),0),0)</f>
        <v/>
      </c>
      <c r="Y85" s="153">
        <f>IFERROR(Y78*IF('General Information'!$D$27&gt;0,'General Information'!$D$26/('General Information'!$D$26+'General Information'!$D$27),0),0)</f>
        <v/>
      </c>
      <c r="Z85" s="153">
        <f>IFERROR(Z78*IF('General Information'!$D$27&gt;0,'General Information'!$D$26/('General Information'!$D$26+'General Information'!$D$27),0),0)</f>
        <v/>
      </c>
      <c r="AA85" s="153">
        <f>IFERROR(AA78*IF('General Information'!$D$27&gt;0,'General Information'!$D$26/('General Information'!$D$26+'General Information'!$D$27),0),0)</f>
        <v/>
      </c>
    </row>
    <row r="86">
      <c r="W86" s="134" t="inlineStr">
        <is>
          <t>Concrete</t>
        </is>
      </c>
      <c r="X86" s="153">
        <f>IFERROR(X79*IF('General Information'!$D$27&gt;0,1,0),0)</f>
        <v/>
      </c>
      <c r="Y86" s="153">
        <f>IFERROR(Y79*IF('General Information'!$D$27&gt;0,1,0),0)</f>
        <v/>
      </c>
      <c r="Z86" s="153">
        <f>IFERROR(Z79*IF('General Information'!$D$27&gt;0,1,0),0)</f>
        <v/>
      </c>
      <c r="AA86" s="153">
        <f>IFERROR(AA79*IF('General Information'!$D$27&gt;0,1,0),0)</f>
        <v/>
      </c>
    </row>
    <row r="87"/>
    <row r="88"/>
    <row r="89">
      <c r="W89" s="122" t="inlineStr">
        <is>
          <t>UNIT COST ($/S.Y.) against published Tennessee runway work (Typical Values, unit costs)</t>
        </is>
      </c>
    </row>
    <row r="90">
      <c r="W90" s="124" t="inlineStr">
        <is>
          <t>Series</t>
        </is>
      </c>
      <c r="X90" s="124">
        <f>IF(X$4="","",X$4)</f>
        <v/>
      </c>
      <c r="Y90" s="124">
        <f>IF(Y$4="","",Y$4)</f>
        <v/>
      </c>
      <c r="Z90" s="124">
        <f>IF(Z$4="","",Z$4)</f>
        <v/>
      </c>
      <c r="AA90" s="124">
        <f>IF(AA$4="","",AA$4)</f>
        <v/>
      </c>
      <c r="AB90" s="124" t="inlineStr">
        <is>
          <t>TN 2024-25, all-in</t>
        </is>
      </c>
    </row>
    <row r="91">
      <c r="W91" s="134" t="inlineStr">
        <is>
          <t>Below the published range</t>
        </is>
      </c>
      <c r="X91" s="154" t="n">
        <v>0</v>
      </c>
      <c r="Y91" s="154" t="n">
        <v>0</v>
      </c>
      <c r="Z91" s="154" t="n">
        <v>0</v>
      </c>
      <c r="AA91" s="154" t="n">
        <v>0</v>
      </c>
      <c r="AB91" s="154" t="n">
        <v>210</v>
      </c>
    </row>
    <row r="92">
      <c r="W92" s="134" t="inlineStr">
        <is>
          <t>Unit cost / published range</t>
        </is>
      </c>
      <c r="X92" s="154">
        <f>IFERROR(IF($G$41="",0,$J$41/'General Information'!$D$26),0)</f>
        <v/>
      </c>
      <c r="Y92" s="154">
        <f>IFERROR(IF($G$42="",0,$J$42/'General Information'!$D$26),0)</f>
        <v/>
      </c>
      <c r="Z92" s="154">
        <f>IFERROR(IF($G$43="",0,$J$43/'General Information'!$D$26),0)</f>
        <v/>
      </c>
      <c r="AA92" s="154">
        <f>IFERROR(IF($G$44="",0,$J$44/'General Information'!$D$26),0)</f>
        <v/>
      </c>
      <c r="AB92" s="154" t="n">
        <v>70</v>
      </c>
    </row>
    <row r="93"/>
    <row r="94"/>
    <row r="95"/>
    <row r="96"/>
    <row r="97"/>
    <row r="98"/>
    <row r="99"/>
    <row r="100"/>
    <row r="101"/>
    <row r="102"/>
    <row r="103"/>
    <row r="104"/>
    <row r="105"/>
    <row r="106"/>
    <row r="107"/>
    <row r="108"/>
    <row r="109"/>
    <row r="110"/>
    <row r="111"/>
    <row r="112"/>
    <row r="113"/>
    <row r="114"/>
    <row r="115"/>
    <row r="116"/>
    <row r="117"/>
    <row r="118"/>
    <row r="119"/>
    <row r="120"/>
    <row r="122"/>
    <row r="130">
      <c r="W130" s="122" t="inlineStr">
        <is>
          <t>MAP DATA (embedded coordinates and state outline; reference only, do not edit)</t>
        </is>
      </c>
    </row>
    <row r="131">
      <c r="W131" s="124" t="inlineStr">
        <is>
          <t>Airport</t>
        </is>
      </c>
      <c r="X131" s="124" t="inlineStr">
        <is>
          <t>FAA ID</t>
        </is>
      </c>
      <c r="Y131" s="124" t="inlineStr">
        <is>
          <t>Longitude</t>
        </is>
      </c>
      <c r="Z131" s="124" t="inlineStr">
        <is>
          <t>Latitude</t>
        </is>
      </c>
      <c r="AA131" s="124" t="inlineStr">
        <is>
          <t>Region</t>
        </is>
      </c>
      <c r="AB131" s="124" t="inlineStr">
        <is>
          <t>Elevation (ft)</t>
        </is>
      </c>
      <c r="AC131" s="124" t="n"/>
      <c r="AD131" s="124" t="inlineStr">
        <is>
          <t>This project: longitude</t>
        </is>
      </c>
      <c r="AE131" s="124" t="inlineStr">
        <is>
          <t>Latitude</t>
        </is>
      </c>
      <c r="AF131" s="124" t="inlineStr">
        <is>
          <t>Label</t>
        </is>
      </c>
      <c r="AG131" s="124" t="n"/>
      <c r="AH131" s="124" t="inlineStr">
        <is>
          <t>Outline longitude</t>
        </is>
      </c>
      <c r="AI131" s="124" t="inlineStr">
        <is>
          <t>Outline latitude</t>
        </is>
      </c>
    </row>
    <row r="132">
      <c r="W132" s="134" t="inlineStr">
        <is>
          <t>Arnold Field</t>
        </is>
      </c>
      <c r="X132" s="134" t="inlineStr">
        <is>
          <t>M31</t>
        </is>
      </c>
      <c r="Y132" s="156" t="n">
        <v>-89.39722</v>
      </c>
      <c r="Z132" s="156" t="n">
        <v>35.90333</v>
      </c>
      <c r="AA132" s="134" t="inlineStr">
        <is>
          <t>West</t>
        </is>
      </c>
      <c r="AB132" s="134" t="n">
        <v>292</v>
      </c>
      <c r="AD132" s="156">
        <f>IFERROR(IF(INDEX($Y$132:$Y$210,MATCH('General Information'!$D$10,$X$132:$X$210,0))="","",INDEX($Y$132:$Y$210,MATCH('General Information'!$D$10,$X$132:$X$210,0))),"")</f>
        <v/>
      </c>
      <c r="AE132" s="156">
        <f>IFERROR(IF(INDEX($Z$132:$Z$210,MATCH('General Information'!$D$10,$X$132:$X$210,0))="","",INDEX($Z$132:$Z$210,MATCH('General Information'!$D$10,$X$132:$X$210,0))),"")</f>
        <v/>
      </c>
      <c r="AF132" s="134">
        <f>IF('General Information'!$D$9="","",'General Information'!$D$10)</f>
        <v/>
      </c>
      <c r="AH132" s="156" t="n">
        <v>-89.425</v>
      </c>
      <c r="AI132" s="156" t="n">
        <v>36.49889</v>
      </c>
    </row>
    <row r="133">
      <c r="W133" s="134" t="inlineStr">
        <is>
          <t>Beech River Regional Airport</t>
        </is>
      </c>
      <c r="X133" s="134" t="inlineStr">
        <is>
          <t>PVE</t>
        </is>
      </c>
      <c r="Y133" s="156" t="n">
        <v>-88.19535</v>
      </c>
      <c r="Z133" s="156" t="n">
        <v>35.65636</v>
      </c>
      <c r="AA133" s="134" t="inlineStr">
        <is>
          <t>West</t>
        </is>
      </c>
      <c r="AB133" s="134" t="n">
        <v>488</v>
      </c>
      <c r="AH133" s="156" t="n">
        <v>-88.04277999999999</v>
      </c>
      <c r="AI133" s="156" t="n">
        <v>36.49861</v>
      </c>
    </row>
    <row r="134">
      <c r="W134" s="134" t="inlineStr">
        <is>
          <t>Benton County Airport</t>
        </is>
      </c>
      <c r="X134" s="134" t="inlineStr">
        <is>
          <t>0M4</t>
        </is>
      </c>
      <c r="Y134" s="156" t="n">
        <v>-88.12473</v>
      </c>
      <c r="Z134" s="156" t="n">
        <v>36.00954</v>
      </c>
      <c r="AA134" s="134" t="inlineStr">
        <is>
          <t>West</t>
        </is>
      </c>
      <c r="AB134" s="134" t="n">
        <v>468</v>
      </c>
      <c r="AH134" s="156" t="n">
        <v>-88.04000000000001</v>
      </c>
      <c r="AI134" s="156" t="n">
        <v>36.57389</v>
      </c>
    </row>
    <row r="135">
      <c r="W135" s="134" t="inlineStr">
        <is>
          <t>Carroll County Airport</t>
        </is>
      </c>
      <c r="X135" s="134" t="inlineStr">
        <is>
          <t>HZD</t>
        </is>
      </c>
      <c r="Y135" s="156" t="n">
        <v>-88.4633</v>
      </c>
      <c r="Z135" s="156" t="n">
        <v>36.0893</v>
      </c>
      <c r="AA135" s="134" t="inlineStr">
        <is>
          <t>West</t>
        </is>
      </c>
      <c r="AB135" s="134" t="n">
        <v>497</v>
      </c>
      <c r="AH135" s="156" t="n">
        <v>-88.07528000000001</v>
      </c>
      <c r="AI135" s="156" t="n">
        <v>36.69055</v>
      </c>
    </row>
    <row r="136">
      <c r="W136" s="134" t="inlineStr">
        <is>
          <t>Charles W. Baker Field</t>
        </is>
      </c>
      <c r="X136" s="134" t="inlineStr">
        <is>
          <t>2M8</t>
        </is>
      </c>
      <c r="Y136" s="156" t="n">
        <v>-89.93300000000001</v>
      </c>
      <c r="Z136" s="156" t="n">
        <v>35.27848</v>
      </c>
      <c r="AA136" s="134" t="inlineStr">
        <is>
          <t>West</t>
        </is>
      </c>
      <c r="AB136" s="134" t="n">
        <v>247</v>
      </c>
      <c r="AH136" s="156" t="n">
        <v>-87.85833</v>
      </c>
      <c r="AI136" s="156" t="n">
        <v>36.67416</v>
      </c>
    </row>
    <row r="137">
      <c r="W137" s="134" t="inlineStr">
        <is>
          <t>Covington Municipal Airport</t>
        </is>
      </c>
      <c r="X137" s="134" t="inlineStr">
        <is>
          <t>M04</t>
        </is>
      </c>
      <c r="Y137" s="156" t="n">
        <v>-89.58723000000001</v>
      </c>
      <c r="Z137" s="156" t="n">
        <v>35.58336</v>
      </c>
      <c r="AA137" s="134" t="inlineStr">
        <is>
          <t>West</t>
        </is>
      </c>
      <c r="AB137" s="134" t="n">
        <v>280</v>
      </c>
      <c r="AH137" s="156" t="n">
        <v>-87.83972</v>
      </c>
      <c r="AI137" s="156" t="n">
        <v>36.63861</v>
      </c>
    </row>
    <row r="138">
      <c r="W138" s="134" t="inlineStr">
        <is>
          <t>Dyersburg Municipal Airport</t>
        </is>
      </c>
      <c r="X138" s="134" t="inlineStr">
        <is>
          <t>DYR</t>
        </is>
      </c>
      <c r="Y138" s="156" t="n">
        <v>-89.40658000000001</v>
      </c>
      <c r="Z138" s="156" t="n">
        <v>35.99797</v>
      </c>
      <c r="AA138" s="134" t="inlineStr">
        <is>
          <t>West</t>
        </is>
      </c>
      <c r="AB138" s="134" t="n">
        <v>338</v>
      </c>
      <c r="AH138" s="156" t="n">
        <v>-87.19056</v>
      </c>
      <c r="AI138" s="156" t="n">
        <v>36.65666</v>
      </c>
    </row>
    <row r="139">
      <c r="W139" s="134" t="inlineStr">
        <is>
          <t>Everett-Stewart Airport</t>
        </is>
      </c>
      <c r="X139" s="134" t="inlineStr">
        <is>
          <t>UCY</t>
        </is>
      </c>
      <c r="Y139" s="156" t="n">
        <v>-88.98569999999999</v>
      </c>
      <c r="Z139" s="156" t="n">
        <v>36.37974</v>
      </c>
      <c r="AA139" s="134" t="inlineStr">
        <is>
          <t>West</t>
        </is>
      </c>
      <c r="AB139" s="134" t="n">
        <v>346</v>
      </c>
      <c r="AH139" s="156" t="n">
        <v>-86.57971999999999</v>
      </c>
      <c r="AI139" s="156" t="n">
        <v>36.65334</v>
      </c>
    </row>
    <row r="140">
      <c r="W140" s="134" t="inlineStr">
        <is>
          <t>Fayette County Airport</t>
        </is>
      </c>
      <c r="X140" s="134" t="inlineStr">
        <is>
          <t>FYE</t>
        </is>
      </c>
      <c r="Y140" s="156" t="n">
        <v>-89.39444</v>
      </c>
      <c r="Z140" s="156" t="n">
        <v>35.20769</v>
      </c>
      <c r="AA140" s="134" t="inlineStr">
        <is>
          <t>West</t>
        </is>
      </c>
      <c r="AB140" s="134" t="n">
        <v>436</v>
      </c>
      <c r="AH140" s="156" t="n">
        <v>-86.57167</v>
      </c>
      <c r="AI140" s="156" t="n">
        <v>36.64</v>
      </c>
    </row>
    <row r="141">
      <c r="W141" s="134" t="inlineStr">
        <is>
          <t>General Dewitt Spain Airport</t>
        </is>
      </c>
      <c r="X141" s="134" t="inlineStr">
        <is>
          <t>M01</t>
        </is>
      </c>
      <c r="Y141" s="156" t="n">
        <v>-90.05397000000001</v>
      </c>
      <c r="Z141" s="156" t="n">
        <v>35.20069</v>
      </c>
      <c r="AA141" s="134" t="inlineStr">
        <is>
          <t>West</t>
        </is>
      </c>
      <c r="AB141" s="134" t="n">
        <v>225</v>
      </c>
      <c r="AH141" s="156" t="n">
        <v>-86.52361000000001</v>
      </c>
      <c r="AI141" s="156" t="n">
        <v>36.665</v>
      </c>
    </row>
    <row r="142">
      <c r="W142" s="134" t="inlineStr">
        <is>
          <t>Gibson County Airport</t>
        </is>
      </c>
      <c r="X142" s="134" t="inlineStr">
        <is>
          <t>TGC</t>
        </is>
      </c>
      <c r="Y142" s="156" t="n">
        <v>-88.84894</v>
      </c>
      <c r="Z142" s="156" t="n">
        <v>35.93245</v>
      </c>
      <c r="AA142" s="134" t="inlineStr">
        <is>
          <t>West</t>
        </is>
      </c>
      <c r="AB142" s="134" t="n">
        <v>358</v>
      </c>
      <c r="AH142" s="156" t="n">
        <v>-85.95944</v>
      </c>
      <c r="AI142" s="156" t="n">
        <v>36.63639</v>
      </c>
    </row>
    <row r="143">
      <c r="W143" s="134" t="inlineStr">
        <is>
          <t>Henry County Airport</t>
        </is>
      </c>
      <c r="X143" s="134" t="inlineStr">
        <is>
          <t>PHT</t>
        </is>
      </c>
      <c r="Y143" s="156" t="n">
        <v>-88.38444</v>
      </c>
      <c r="Z143" s="156" t="n">
        <v>36.33595</v>
      </c>
      <c r="AA143" s="134" t="inlineStr">
        <is>
          <t>West</t>
        </is>
      </c>
      <c r="AB143" s="134" t="n">
        <v>580</v>
      </c>
      <c r="AH143" s="156" t="n">
        <v>-85.50945</v>
      </c>
      <c r="AI143" s="156" t="n">
        <v>36.62389</v>
      </c>
    </row>
    <row r="144">
      <c r="W144" s="134" t="inlineStr">
        <is>
          <t>Humboldt Municipal Airport</t>
        </is>
      </c>
      <c r="X144" s="134" t="inlineStr">
        <is>
          <t>M53</t>
        </is>
      </c>
      <c r="Y144" s="156" t="n">
        <v>-88.87493000000001</v>
      </c>
      <c r="Z144" s="156" t="n">
        <v>35.80218</v>
      </c>
      <c r="AA144" s="134" t="inlineStr">
        <is>
          <t>West</t>
        </is>
      </c>
      <c r="AB144" s="134" t="n">
        <v>421</v>
      </c>
      <c r="AH144" s="156" t="n">
        <v>-85.15472</v>
      </c>
      <c r="AI144" s="156" t="n">
        <v>36.63528</v>
      </c>
    </row>
    <row r="145">
      <c r="W145" s="134" t="inlineStr">
        <is>
          <t>McKellar-Sipes Regional Airport</t>
        </is>
      </c>
      <c r="X145" s="134" t="inlineStr">
        <is>
          <t>MKL</t>
        </is>
      </c>
      <c r="Y145" s="156" t="n">
        <v>-88.91561</v>
      </c>
      <c r="Z145" s="156" t="n">
        <v>35.59988</v>
      </c>
      <c r="AA145" s="134" t="inlineStr">
        <is>
          <t>West</t>
        </is>
      </c>
      <c r="AB145" s="134" t="n">
        <v>435</v>
      </c>
      <c r="AH145" s="156" t="n">
        <v>-83.71222</v>
      </c>
      <c r="AI145" s="156" t="n">
        <v>36.5825</v>
      </c>
    </row>
    <row r="146">
      <c r="W146" s="134" t="inlineStr">
        <is>
          <t>Memphis International Airport</t>
        </is>
      </c>
      <c r="X146" s="134" t="inlineStr">
        <is>
          <t>MEM</t>
        </is>
      </c>
      <c r="Y146" s="156" t="n">
        <v>-89.97668</v>
      </c>
      <c r="Z146" s="156" t="n">
        <v>35.04241</v>
      </c>
      <c r="AA146" s="134" t="inlineStr">
        <is>
          <t>West</t>
        </is>
      </c>
      <c r="AB146" s="134" t="n">
        <v>341</v>
      </c>
      <c r="AH146" s="156" t="n">
        <v>-83.68111</v>
      </c>
      <c r="AI146" s="156" t="n">
        <v>36.60445</v>
      </c>
    </row>
    <row r="147">
      <c r="W147" s="134" t="inlineStr">
        <is>
          <t>Millington Regional Jetport</t>
        </is>
      </c>
      <c r="X147" s="134" t="inlineStr">
        <is>
          <t>NQA</t>
        </is>
      </c>
      <c r="Y147" s="156" t="n">
        <v>-89.87043</v>
      </c>
      <c r="Z147" s="156" t="n">
        <v>35.35664</v>
      </c>
      <c r="AA147" s="134" t="inlineStr">
        <is>
          <t>West</t>
        </is>
      </c>
      <c r="AB147" s="134" t="n">
        <v>322</v>
      </c>
      <c r="AH147" s="156" t="n">
        <v>-81.9525</v>
      </c>
      <c r="AI147" s="156" t="n">
        <v>36.59694</v>
      </c>
    </row>
    <row r="148">
      <c r="W148" s="134" t="inlineStr">
        <is>
          <t>Reelfoot Lake Airport</t>
        </is>
      </c>
      <c r="X148" s="134" t="inlineStr">
        <is>
          <t>0M2</t>
        </is>
      </c>
      <c r="Y148" s="156" t="n">
        <v>-89.34631</v>
      </c>
      <c r="Z148" s="156" t="n">
        <v>36.47533</v>
      </c>
      <c r="AA148" s="134" t="inlineStr">
        <is>
          <t>West</t>
        </is>
      </c>
      <c r="AB148" s="134" t="n">
        <v>289</v>
      </c>
      <c r="AH148" s="156" t="n">
        <v>-81.92278</v>
      </c>
      <c r="AI148" s="156" t="n">
        <v>36.61806</v>
      </c>
    </row>
    <row r="149">
      <c r="W149" s="134" t="inlineStr">
        <is>
          <t>Robert Sibley Airport</t>
        </is>
      </c>
      <c r="X149" s="134" t="inlineStr">
        <is>
          <t>SZY</t>
        </is>
      </c>
      <c r="Y149" s="156" t="n">
        <v>-88.49836000000001</v>
      </c>
      <c r="Z149" s="156" t="n">
        <v>35.20294</v>
      </c>
      <c r="AA149" s="134" t="inlineStr">
        <is>
          <t>West</t>
        </is>
      </c>
      <c r="AB149" s="134" t="n">
        <v>610</v>
      </c>
      <c r="AH149" s="156" t="n">
        <v>-81.65722</v>
      </c>
      <c r="AI149" s="156" t="n">
        <v>36.61139</v>
      </c>
    </row>
    <row r="150">
      <c r="W150" s="134" t="inlineStr">
        <is>
          <t>Savannah-Hardin County Airport</t>
        </is>
      </c>
      <c r="X150" s="134" t="inlineStr">
        <is>
          <t>SNH</t>
        </is>
      </c>
      <c r="Y150" s="156" t="n">
        <v>-88.21673</v>
      </c>
      <c r="Z150" s="156" t="n">
        <v>35.17025</v>
      </c>
      <c r="AA150" s="134" t="inlineStr">
        <is>
          <t>West</t>
        </is>
      </c>
      <c r="AB150" s="134" t="n">
        <v>473</v>
      </c>
      <c r="AH150" s="156" t="n">
        <v>-81.65083</v>
      </c>
      <c r="AI150" s="156" t="n">
        <v>36.59444</v>
      </c>
    </row>
    <row r="151">
      <c r="W151" s="134" t="inlineStr">
        <is>
          <t>William L. Whitehurst Field</t>
        </is>
      </c>
      <c r="X151" s="134" t="inlineStr">
        <is>
          <t>M08</t>
        </is>
      </c>
      <c r="Y151" s="156" t="n">
        <v>-89.04325</v>
      </c>
      <c r="Z151" s="156" t="n">
        <v>35.21514</v>
      </c>
      <c r="AA151" s="134" t="inlineStr">
        <is>
          <t>West</t>
        </is>
      </c>
      <c r="AB151" s="134" t="n">
        <v>499</v>
      </c>
      <c r="AH151" s="156" t="n">
        <v>-81.6109</v>
      </c>
      <c r="AI151" s="156" t="n">
        <v>36.59208</v>
      </c>
    </row>
    <row r="152">
      <c r="W152" s="134" t="inlineStr">
        <is>
          <t>Wolf River</t>
        </is>
      </c>
      <c r="X152" s="134" t="inlineStr">
        <is>
          <t>54M</t>
        </is>
      </c>
      <c r="Y152" s="156" t="n">
        <v>-89.58003</v>
      </c>
      <c r="Z152" s="156" t="n">
        <v>35.05402</v>
      </c>
      <c r="AA152" s="134" t="inlineStr">
        <is>
          <t>West</t>
        </is>
      </c>
      <c r="AB152" s="134" t="n">
        <v>310</v>
      </c>
    </row>
    <row r="153">
      <c r="W153" s="134" t="inlineStr">
        <is>
          <t>Abernathy Field</t>
        </is>
      </c>
      <c r="X153" s="134" t="inlineStr">
        <is>
          <t>GZS</t>
        </is>
      </c>
      <c r="Y153" s="156" t="n">
        <v>-87.05706000000001</v>
      </c>
      <c r="Z153" s="156" t="n">
        <v>35.15408</v>
      </c>
      <c r="AA153" s="134" t="inlineStr">
        <is>
          <t>Middle</t>
        </is>
      </c>
      <c r="AB153" s="134" t="n">
        <v>689</v>
      </c>
      <c r="AH153" s="156" t="n">
        <v>-89.175</v>
      </c>
      <c r="AI153" s="156" t="n">
        <v>36.66888</v>
      </c>
    </row>
    <row r="154">
      <c r="W154" s="134" t="inlineStr">
        <is>
          <t>Bomar Field-Shelbyville Municipal Airport</t>
        </is>
      </c>
      <c r="X154" s="134" t="inlineStr">
        <is>
          <t>SYI</t>
        </is>
      </c>
      <c r="Y154" s="156" t="n">
        <v>-86.44247</v>
      </c>
      <c r="Z154" s="156" t="n">
        <v>35.5594</v>
      </c>
      <c r="AA154" s="134" t="inlineStr">
        <is>
          <t>Middle</t>
        </is>
      </c>
      <c r="AB154" s="134" t="n">
        <v>800</v>
      </c>
      <c r="AH154" s="156" t="n">
        <v>-89.22278</v>
      </c>
      <c r="AI154" s="156" t="n">
        <v>36.57667</v>
      </c>
    </row>
    <row r="155">
      <c r="W155" s="134" t="inlineStr">
        <is>
          <t>Centerville Municipal Airport</t>
        </is>
      </c>
      <c r="X155" s="134" t="inlineStr">
        <is>
          <t>GHM</t>
        </is>
      </c>
      <c r="Y155" s="156" t="n">
        <v>-87.44538</v>
      </c>
      <c r="Z155" s="156" t="n">
        <v>35.83742</v>
      </c>
      <c r="AA155" s="134" t="inlineStr">
        <is>
          <t>Middle</t>
        </is>
      </c>
      <c r="AB155" s="134" t="n">
        <v>765</v>
      </c>
      <c r="AH155" s="156" t="n">
        <v>-89.27</v>
      </c>
      <c r="AI155" s="156" t="n">
        <v>36.56861</v>
      </c>
    </row>
    <row r="156">
      <c r="W156" s="134" t="inlineStr">
        <is>
          <t>Dickson Municipal Airport</t>
        </is>
      </c>
      <c r="X156" s="134" t="inlineStr">
        <is>
          <t>M02</t>
        </is>
      </c>
      <c r="Y156" s="156" t="n">
        <v>-87.42984</v>
      </c>
      <c r="Z156" s="156" t="n">
        <v>36.12796</v>
      </c>
      <c r="AA156" s="134" t="inlineStr">
        <is>
          <t>Middle</t>
        </is>
      </c>
      <c r="AB156" s="134" t="n">
        <v>892</v>
      </c>
      <c r="AH156" s="156" t="n">
        <v>-89.33889000000001</v>
      </c>
      <c r="AI156" s="156" t="n">
        <v>36.62556</v>
      </c>
    </row>
    <row r="157">
      <c r="W157" s="134" t="inlineStr">
        <is>
          <t>Ellington Airport</t>
        </is>
      </c>
      <c r="X157" s="134" t="inlineStr">
        <is>
          <t>LUG</t>
        </is>
      </c>
      <c r="Y157" s="156" t="n">
        <v>-86.80389</v>
      </c>
      <c r="Z157" s="156" t="n">
        <v>35.50697</v>
      </c>
      <c r="AA157" s="134" t="inlineStr">
        <is>
          <t>Middle</t>
        </is>
      </c>
      <c r="AB157" s="134" t="n">
        <v>718</v>
      </c>
      <c r="AH157" s="156" t="n">
        <v>-89.37222</v>
      </c>
      <c r="AI157" s="156" t="n">
        <v>36.62778</v>
      </c>
    </row>
    <row r="158">
      <c r="W158" s="134" t="inlineStr">
        <is>
          <t>Fayetteville Municipal Airport</t>
        </is>
      </c>
      <c r="X158" s="134" t="inlineStr">
        <is>
          <t>FYM</t>
        </is>
      </c>
      <c r="Y158" s="156" t="n">
        <v>-86.56399999999999</v>
      </c>
      <c r="Z158" s="156" t="n">
        <v>35.05969</v>
      </c>
      <c r="AA158" s="134" t="inlineStr">
        <is>
          <t>Middle</t>
        </is>
      </c>
      <c r="AB158" s="134" t="n">
        <v>984</v>
      </c>
      <c r="AH158" s="156" t="n">
        <v>-89.42639</v>
      </c>
      <c r="AI158" s="156" t="n">
        <v>36.49695</v>
      </c>
    </row>
    <row r="159">
      <c r="W159" s="134" t="inlineStr">
        <is>
          <t>Franklin County Airport</t>
        </is>
      </c>
      <c r="X159" s="134" t="inlineStr">
        <is>
          <t>UOS</t>
        </is>
      </c>
      <c r="Y159" s="156" t="n">
        <v>-85.89815</v>
      </c>
      <c r="Z159" s="156" t="n">
        <v>35.20515</v>
      </c>
      <c r="AA159" s="134" t="inlineStr">
        <is>
          <t>Middle</t>
        </is>
      </c>
      <c r="AB159" s="134" t="n">
        <v>1953</v>
      </c>
      <c r="AH159" s="156" t="n">
        <v>-89.48583000000001</v>
      </c>
      <c r="AI159" s="156" t="n">
        <v>36.44833</v>
      </c>
    </row>
    <row r="160">
      <c r="W160" s="134" t="inlineStr">
        <is>
          <t>Hassell-Carroll Field</t>
        </is>
      </c>
      <c r="X160" s="134" t="inlineStr">
        <is>
          <t>M29</t>
        </is>
      </c>
      <c r="Y160" s="156" t="n">
        <v>-87.96827</v>
      </c>
      <c r="Z160" s="156" t="n">
        <v>35.38303</v>
      </c>
      <c r="AA160" s="134" t="inlineStr">
        <is>
          <t>Middle</t>
        </is>
      </c>
      <c r="AB160" s="134" t="n">
        <v>407</v>
      </c>
      <c r="AH160" s="156" t="n">
        <v>-89.50776999999999</v>
      </c>
      <c r="AI160" s="156" t="n">
        <v>36.45639</v>
      </c>
    </row>
    <row r="161">
      <c r="W161" s="134" t="inlineStr">
        <is>
          <t>Houston County Airport</t>
        </is>
      </c>
      <c r="X161" s="134" t="inlineStr">
        <is>
          <t>M93</t>
        </is>
      </c>
      <c r="Y161" s="156" t="n">
        <v>-87.91670000000001</v>
      </c>
      <c r="Z161" s="156" t="n">
        <v>36.31672</v>
      </c>
      <c r="AA161" s="134" t="inlineStr">
        <is>
          <t>Middle</t>
        </is>
      </c>
      <c r="AB161" s="134" t="n">
        <v>370</v>
      </c>
      <c r="AH161" s="156" t="n">
        <v>-89.48889</v>
      </c>
      <c r="AI161" s="156" t="n">
        <v>36.51889</v>
      </c>
    </row>
    <row r="162">
      <c r="W162" s="134" t="inlineStr">
        <is>
          <t>Humphreys County Airport</t>
        </is>
      </c>
      <c r="X162" s="134" t="inlineStr">
        <is>
          <t>0M5</t>
        </is>
      </c>
      <c r="Y162" s="156" t="n">
        <v>-87.73817</v>
      </c>
      <c r="Z162" s="156" t="n">
        <v>36.11661</v>
      </c>
      <c r="AA162" s="134" t="inlineStr">
        <is>
          <t>Middle</t>
        </is>
      </c>
      <c r="AB162" s="134" t="n">
        <v>756</v>
      </c>
      <c r="AH162" s="156" t="n">
        <v>-89.50417</v>
      </c>
      <c r="AI162" s="156" t="n">
        <v>36.55667</v>
      </c>
    </row>
    <row r="163">
      <c r="W163" s="134" t="inlineStr">
        <is>
          <t>Jackson County Airport</t>
        </is>
      </c>
      <c r="X163" s="134" t="inlineStr">
        <is>
          <t>1A7</t>
        </is>
      </c>
      <c r="Y163" s="156" t="n">
        <v>-85.64131999999999</v>
      </c>
      <c r="Z163" s="156" t="n">
        <v>36.39682</v>
      </c>
      <c r="AA163" s="134" t="inlineStr">
        <is>
          <t>Middle</t>
        </is>
      </c>
      <c r="AB163" s="134" t="n">
        <v>517</v>
      </c>
      <c r="AH163" s="156" t="n">
        <v>-89.54611</v>
      </c>
      <c r="AI163" s="156" t="n">
        <v>36.56639</v>
      </c>
    </row>
    <row r="164">
      <c r="W164" s="134" t="inlineStr">
        <is>
          <t>James Tucker-Perry County Airport</t>
        </is>
      </c>
      <c r="X164" s="134" t="inlineStr">
        <is>
          <t>M15</t>
        </is>
      </c>
      <c r="Y164" s="156" t="n">
        <v>-87.87663000000001</v>
      </c>
      <c r="Z164" s="156" t="n">
        <v>35.59484</v>
      </c>
      <c r="AA164" s="134" t="inlineStr">
        <is>
          <t>Middle</t>
        </is>
      </c>
      <c r="AB164" s="134" t="n">
        <v>740</v>
      </c>
      <c r="AH164" s="156" t="n">
        <v>-89.57528000000001</v>
      </c>
      <c r="AI164" s="156" t="n">
        <v>36.54445</v>
      </c>
    </row>
    <row r="165">
      <c r="W165" s="134" t="inlineStr">
        <is>
          <t>Jamestown Municipal Airport</t>
        </is>
      </c>
      <c r="X165" s="134" t="inlineStr">
        <is>
          <t>2A1</t>
        </is>
      </c>
      <c r="Y165" s="156" t="n">
        <v>-84.94665000000001</v>
      </c>
      <c r="Z165" s="156" t="n">
        <v>36.3497</v>
      </c>
      <c r="AA165" s="134" t="inlineStr">
        <is>
          <t>Middle</t>
        </is>
      </c>
      <c r="AB165" s="134" t="n">
        <v>1694</v>
      </c>
      <c r="AH165" s="156" t="n">
        <v>-89.57611</v>
      </c>
      <c r="AI165" s="156" t="n">
        <v>36.51778</v>
      </c>
    </row>
    <row r="166">
      <c r="W166" s="134" t="inlineStr">
        <is>
          <t>John A. Baker Field</t>
        </is>
      </c>
      <c r="X166" s="134" t="inlineStr">
        <is>
          <t>0M3</t>
        </is>
      </c>
      <c r="Y166" s="156" t="n">
        <v>-87.59732</v>
      </c>
      <c r="Z166" s="156" t="n">
        <v>35.54597</v>
      </c>
      <c r="AA166" s="134" t="inlineStr">
        <is>
          <t>Middle</t>
        </is>
      </c>
      <c r="AB166" s="134" t="n">
        <v>972</v>
      </c>
      <c r="AH166" s="156" t="n">
        <v>-89.54361</v>
      </c>
      <c r="AI166" s="156" t="n">
        <v>36.47945</v>
      </c>
    </row>
    <row r="167">
      <c r="W167" s="134" t="inlineStr">
        <is>
          <t>John C. Tune Airport</t>
        </is>
      </c>
      <c r="X167" s="134" t="inlineStr">
        <is>
          <t>JWN</t>
        </is>
      </c>
      <c r="Y167" s="156" t="n">
        <v>-86.88648999999999</v>
      </c>
      <c r="Z167" s="156" t="n">
        <v>36.18302</v>
      </c>
      <c r="AA167" s="134" t="inlineStr">
        <is>
          <t>Middle</t>
        </is>
      </c>
      <c r="AB167" s="134" t="n">
        <v>501</v>
      </c>
      <c r="AH167" s="156" t="n">
        <v>-89.55695</v>
      </c>
      <c r="AI167" s="156" t="n">
        <v>36.45167</v>
      </c>
    </row>
    <row r="168">
      <c r="W168" s="134" t="inlineStr">
        <is>
          <t>Lafayette Municipal Airport</t>
        </is>
      </c>
      <c r="X168" s="134" t="inlineStr">
        <is>
          <t>3M7</t>
        </is>
      </c>
      <c r="Y168" s="156" t="n">
        <v>-86.05806</v>
      </c>
      <c r="Z168" s="156" t="n">
        <v>36.52003</v>
      </c>
      <c r="AA168" s="134" t="inlineStr">
        <is>
          <t>Middle</t>
        </is>
      </c>
      <c r="AB168" s="134" t="n">
        <v>969</v>
      </c>
      <c r="AH168" s="156" t="n">
        <v>-89.52778000000001</v>
      </c>
      <c r="AI168" s="156" t="n">
        <v>36.37527</v>
      </c>
    </row>
    <row r="169">
      <c r="W169" s="134" t="inlineStr">
        <is>
          <t>Lawrenceburg-Lawrence County Airport</t>
        </is>
      </c>
      <c r="X169" s="134" t="inlineStr">
        <is>
          <t>2M2</t>
        </is>
      </c>
      <c r="Y169" s="156" t="n">
        <v>-87.25794</v>
      </c>
      <c r="Z169" s="156" t="n">
        <v>35.2343</v>
      </c>
      <c r="AA169" s="134" t="inlineStr">
        <is>
          <t>Middle</t>
        </is>
      </c>
      <c r="AB169" s="134" t="n">
        <v>936</v>
      </c>
      <c r="AH169" s="156" t="n">
        <v>-89.55417</v>
      </c>
      <c r="AI169" s="156" t="n">
        <v>36.34889</v>
      </c>
    </row>
    <row r="170">
      <c r="W170" s="134" t="inlineStr">
        <is>
          <t>Lebanon Municipal Airport</t>
        </is>
      </c>
      <c r="X170" s="134" t="inlineStr">
        <is>
          <t>M54</t>
        </is>
      </c>
      <c r="Y170" s="156" t="n">
        <v>-86.31569</v>
      </c>
      <c r="Z170" s="156" t="n">
        <v>36.19041</v>
      </c>
      <c r="AA170" s="134" t="inlineStr">
        <is>
          <t>Middle</t>
        </is>
      </c>
      <c r="AB170" s="134" t="n">
        <v>588</v>
      </c>
      <c r="AH170" s="156" t="n">
        <v>-89.61583</v>
      </c>
      <c r="AI170" s="156" t="n">
        <v>36.34473</v>
      </c>
    </row>
    <row r="171">
      <c r="W171" s="134" t="inlineStr">
        <is>
          <t>Livingston Municipal Airport</t>
        </is>
      </c>
      <c r="X171" s="134" t="inlineStr">
        <is>
          <t>8A3</t>
        </is>
      </c>
      <c r="Y171" s="156" t="n">
        <v>-85.31046000000001</v>
      </c>
      <c r="Z171" s="156" t="n">
        <v>36.4135</v>
      </c>
      <c r="AA171" s="134" t="inlineStr">
        <is>
          <t>Middle</t>
        </is>
      </c>
      <c r="AB171" s="134" t="n">
        <v>1372</v>
      </c>
      <c r="AH171" s="156" t="n">
        <v>-89.62917</v>
      </c>
      <c r="AI171" s="156" t="n">
        <v>36.31694</v>
      </c>
    </row>
    <row r="172">
      <c r="W172" s="134" t="inlineStr">
        <is>
          <t>Maury County Airport</t>
        </is>
      </c>
      <c r="X172" s="134" t="inlineStr">
        <is>
          <t>MRC</t>
        </is>
      </c>
      <c r="Y172" s="156" t="n">
        <v>-87.17914</v>
      </c>
      <c r="Z172" s="156" t="n">
        <v>35.55434</v>
      </c>
      <c r="AA172" s="134" t="inlineStr">
        <is>
          <t>Middle</t>
        </is>
      </c>
      <c r="AB172" s="134" t="n">
        <v>681</v>
      </c>
      <c r="AH172" s="156" t="n">
        <v>-89.55889000000001</v>
      </c>
      <c r="AI172" s="156" t="n">
        <v>36.26584</v>
      </c>
    </row>
    <row r="173">
      <c r="W173" s="134" t="inlineStr">
        <is>
          <t>Murfreesboro Municipal Airport</t>
        </is>
      </c>
      <c r="X173" s="134" t="inlineStr">
        <is>
          <t>MBT</t>
        </is>
      </c>
      <c r="Y173" s="156" t="n">
        <v>-86.37747</v>
      </c>
      <c r="Z173" s="156" t="n">
        <v>35.87865</v>
      </c>
      <c r="AA173" s="134" t="inlineStr">
        <is>
          <t>Middle</t>
        </is>
      </c>
      <c r="AB173" s="134" t="n">
        <v>614</v>
      </c>
      <c r="AH173" s="156" t="n">
        <v>-89.58334000000001</v>
      </c>
      <c r="AI173" s="156" t="n">
        <v>36.25</v>
      </c>
    </row>
    <row r="174">
      <c r="W174" s="134" t="inlineStr">
        <is>
          <t>Music City Executive Airport</t>
        </is>
      </c>
      <c r="X174" s="134" t="inlineStr">
        <is>
          <t>XNX</t>
        </is>
      </c>
      <c r="Y174" s="156" t="n">
        <v>-86.40841</v>
      </c>
      <c r="Z174" s="156" t="n">
        <v>36.37508</v>
      </c>
      <c r="AA174" s="134" t="inlineStr">
        <is>
          <t>Middle</t>
        </is>
      </c>
      <c r="AB174" s="134" t="n">
        <v>583</v>
      </c>
      <c r="AH174" s="156" t="n">
        <v>-89.69110999999999</v>
      </c>
      <c r="AI174" s="156" t="n">
        <v>36.24111</v>
      </c>
    </row>
    <row r="175">
      <c r="W175" s="134" t="inlineStr">
        <is>
          <t>Nashville International Airport</t>
        </is>
      </c>
      <c r="X175" s="134" t="inlineStr">
        <is>
          <t>BNA</t>
        </is>
      </c>
      <c r="Y175" s="156" t="n">
        <v>-86.67818</v>
      </c>
      <c r="Z175" s="156" t="n">
        <v>36.12447</v>
      </c>
      <c r="AA175" s="134" t="inlineStr">
        <is>
          <t>Middle</t>
        </is>
      </c>
      <c r="AB175" s="134" t="n">
        <v>599</v>
      </c>
      <c r="AH175" s="156" t="n">
        <v>-89.60722</v>
      </c>
      <c r="AI175" s="156" t="n">
        <v>36.13306</v>
      </c>
    </row>
    <row r="176">
      <c r="W176" s="134" t="inlineStr">
        <is>
          <t>Outlaw Field</t>
        </is>
      </c>
      <c r="X176" s="134" t="inlineStr">
        <is>
          <t>CKV</t>
        </is>
      </c>
      <c r="Y176" s="156" t="n">
        <v>-87.41495</v>
      </c>
      <c r="Z176" s="156" t="n">
        <v>36.62186</v>
      </c>
      <c r="AA176" s="134" t="inlineStr">
        <is>
          <t>Middle</t>
        </is>
      </c>
      <c r="AB176" s="134" t="n">
        <v>550</v>
      </c>
      <c r="AH176" s="156" t="n">
        <v>-89.67416</v>
      </c>
      <c r="AI176" s="156" t="n">
        <v>36.09583</v>
      </c>
    </row>
    <row r="177">
      <c r="W177" s="134" t="inlineStr">
        <is>
          <t>Portland Municipal Airport</t>
        </is>
      </c>
      <c r="X177" s="134" t="inlineStr">
        <is>
          <t>1M5</t>
        </is>
      </c>
      <c r="Y177" s="156" t="n">
        <v>-86.47691</v>
      </c>
      <c r="Z177" s="156" t="n">
        <v>36.59287</v>
      </c>
      <c r="AA177" s="134" t="inlineStr">
        <is>
          <t>Middle</t>
        </is>
      </c>
      <c r="AB177" s="134" t="n">
        <v>818</v>
      </c>
      <c r="AH177" s="156" t="n">
        <v>-89.73083</v>
      </c>
      <c r="AI177" s="156" t="n">
        <v>36.00222</v>
      </c>
    </row>
    <row r="178">
      <c r="W178" s="134" t="inlineStr">
        <is>
          <t>Puckett Airport</t>
        </is>
      </c>
      <c r="X178" s="134" t="inlineStr">
        <is>
          <t>50M</t>
        </is>
      </c>
      <c r="Y178" s="156" t="n">
        <v>-86.615</v>
      </c>
      <c r="Z178" s="156" t="n">
        <v>35.68944</v>
      </c>
      <c r="AA178" s="134" t="inlineStr">
        <is>
          <t>Middle</t>
        </is>
      </c>
      <c r="AB178" s="134" t="n">
        <v>780</v>
      </c>
      <c r="AH178" s="156" t="n">
        <v>-89.66444</v>
      </c>
      <c r="AI178" s="156" t="n">
        <v>35.89778</v>
      </c>
    </row>
    <row r="179">
      <c r="W179" s="134" t="inlineStr">
        <is>
          <t>Smithville Municipal Airport</t>
        </is>
      </c>
      <c r="X179" s="134" t="inlineStr">
        <is>
          <t>0A3</t>
        </is>
      </c>
      <c r="Y179" s="156" t="n">
        <v>-85.80911</v>
      </c>
      <c r="Z179" s="156" t="n">
        <v>35.98544</v>
      </c>
      <c r="AA179" s="134" t="inlineStr">
        <is>
          <t>Middle</t>
        </is>
      </c>
      <c r="AB179" s="134" t="n">
        <v>1084</v>
      </c>
      <c r="AH179" s="156" t="n">
        <v>-89.74889</v>
      </c>
      <c r="AI179" s="156" t="n">
        <v>35.91055</v>
      </c>
    </row>
    <row r="180">
      <c r="W180" s="134" t="inlineStr">
        <is>
          <t>Smyrna Airport</t>
        </is>
      </c>
      <c r="X180" s="134" t="inlineStr">
        <is>
          <t>MQY</t>
        </is>
      </c>
      <c r="Y180" s="156" t="n">
        <v>-86.52009</v>
      </c>
      <c r="Z180" s="156" t="n">
        <v>36.00897</v>
      </c>
      <c r="AA180" s="134" t="inlineStr">
        <is>
          <t>Middle</t>
        </is>
      </c>
      <c r="AB180" s="134" t="n">
        <v>543</v>
      </c>
      <c r="AH180" s="156" t="n">
        <v>-89.78111</v>
      </c>
      <c r="AI180" s="156" t="n">
        <v>35.87917</v>
      </c>
    </row>
    <row r="181">
      <c r="W181" s="134" t="inlineStr">
        <is>
          <t>Springfield-Robertson County Airport</t>
        </is>
      </c>
      <c r="X181" s="134" t="inlineStr">
        <is>
          <t>M91</t>
        </is>
      </c>
      <c r="Y181" s="156" t="n">
        <v>-86.92117</v>
      </c>
      <c r="Z181" s="156" t="n">
        <v>36.53669</v>
      </c>
      <c r="AA181" s="134" t="inlineStr">
        <is>
          <t>Middle</t>
        </is>
      </c>
      <c r="AB181" s="134" t="n">
        <v>706</v>
      </c>
      <c r="AH181" s="156" t="n">
        <v>-89.72638999999999</v>
      </c>
      <c r="AI181" s="156" t="n">
        <v>35.85056</v>
      </c>
    </row>
    <row r="182">
      <c r="W182" s="134" t="inlineStr">
        <is>
          <t>Tullahoma Regional Airport/Northern Field</t>
        </is>
      </c>
      <c r="X182" s="134" t="inlineStr">
        <is>
          <t>THA</t>
        </is>
      </c>
      <c r="Y182" s="156" t="n">
        <v>-86.24678</v>
      </c>
      <c r="Z182" s="156" t="n">
        <v>35.38012</v>
      </c>
      <c r="AA182" s="134" t="inlineStr">
        <is>
          <t>Middle</t>
        </is>
      </c>
      <c r="AB182" s="134" t="n">
        <v>1084</v>
      </c>
      <c r="AH182" s="156" t="n">
        <v>-89.72915999999999</v>
      </c>
      <c r="AI182" s="156" t="n">
        <v>35.82278</v>
      </c>
    </row>
    <row r="183">
      <c r="W183" s="134" t="inlineStr">
        <is>
          <t>Upper Cumberland Regional Airport</t>
        </is>
      </c>
      <c r="X183" s="134" t="inlineStr">
        <is>
          <t>SRB</t>
        </is>
      </c>
      <c r="Y183" s="156" t="n">
        <v>-85.53010999999999</v>
      </c>
      <c r="Z183" s="156" t="n">
        <v>36.05674</v>
      </c>
      <c r="AA183" s="134" t="inlineStr">
        <is>
          <t>Middle</t>
        </is>
      </c>
      <c r="AB183" s="134" t="n">
        <v>1025</v>
      </c>
      <c r="AH183" s="156" t="n">
        <v>-89.79528000000001</v>
      </c>
      <c r="AI183" s="156" t="n">
        <v>35.81055</v>
      </c>
    </row>
    <row r="184">
      <c r="W184" s="134" t="inlineStr">
        <is>
          <t>Warren County Memorial Airport</t>
        </is>
      </c>
      <c r="X184" s="134" t="inlineStr">
        <is>
          <t>RNC</t>
        </is>
      </c>
      <c r="Y184" s="156" t="n">
        <v>-85.84381999999999</v>
      </c>
      <c r="Z184" s="156" t="n">
        <v>35.6987</v>
      </c>
      <c r="AA184" s="134" t="inlineStr">
        <is>
          <t>Middle</t>
        </is>
      </c>
      <c r="AB184" s="134" t="n">
        <v>1032</v>
      </c>
      <c r="AH184" s="156" t="n">
        <v>-89.80944</v>
      </c>
      <c r="AI184" s="156" t="n">
        <v>35.77417</v>
      </c>
    </row>
    <row r="185">
      <c r="W185" s="134" t="inlineStr">
        <is>
          <t>Winchester Municipal Airport</t>
        </is>
      </c>
      <c r="X185" s="134" t="inlineStr">
        <is>
          <t>BGF</t>
        </is>
      </c>
      <c r="Y185" s="156" t="n">
        <v>-86.06617</v>
      </c>
      <c r="Z185" s="156" t="n">
        <v>35.17753</v>
      </c>
      <c r="AA185" s="134" t="inlineStr">
        <is>
          <t>Middle</t>
        </is>
      </c>
      <c r="AB185" s="134" t="n">
        <v>979</v>
      </c>
      <c r="AH185" s="156" t="n">
        <v>-89.83694</v>
      </c>
      <c r="AI185" s="156" t="n">
        <v>35.75999</v>
      </c>
    </row>
    <row r="186">
      <c r="W186" s="134" t="inlineStr">
        <is>
          <t>Chilhowee Gliderport</t>
        </is>
      </c>
      <c r="X186" s="134" t="inlineStr">
        <is>
          <t>92A</t>
        </is>
      </c>
      <c r="Y186" s="156" t="n">
        <v>-84.585</v>
      </c>
      <c r="Z186" s="156" t="n">
        <v>35.22639</v>
      </c>
      <c r="AA186" s="134" t="inlineStr">
        <is>
          <t>East</t>
        </is>
      </c>
      <c r="AB186" s="134" t="n">
        <v>770</v>
      </c>
      <c r="AH186" s="156" t="n">
        <v>-89.95944</v>
      </c>
      <c r="AI186" s="156" t="n">
        <v>35.73833</v>
      </c>
    </row>
    <row r="187">
      <c r="W187" s="134" t="inlineStr">
        <is>
          <t>Cleveland Regional Jetport</t>
        </is>
      </c>
      <c r="X187" s="134" t="inlineStr">
        <is>
          <t>RZR</t>
        </is>
      </c>
      <c r="Y187" s="156" t="n">
        <v>-84.7992</v>
      </c>
      <c r="Z187" s="156" t="n">
        <v>35.21234</v>
      </c>
      <c r="AA187" s="134" t="inlineStr">
        <is>
          <t>East</t>
        </is>
      </c>
      <c r="AB187" s="134" t="n">
        <v>866</v>
      </c>
      <c r="AH187" s="156" t="n">
        <v>-89.96111000000001</v>
      </c>
      <c r="AI187" s="156" t="n">
        <v>35.71389</v>
      </c>
    </row>
    <row r="188">
      <c r="W188" s="134" t="inlineStr">
        <is>
          <t>Collegedale Municipal Airport</t>
        </is>
      </c>
      <c r="X188" s="134" t="inlineStr">
        <is>
          <t>FGU</t>
        </is>
      </c>
      <c r="Y188" s="156" t="n">
        <v>-85.02007</v>
      </c>
      <c r="Z188" s="156" t="n">
        <v>35.04442</v>
      </c>
      <c r="AA188" s="134" t="inlineStr">
        <is>
          <t>East</t>
        </is>
      </c>
      <c r="AB188" s="134" t="n">
        <v>860</v>
      </c>
      <c r="AH188" s="156" t="n">
        <v>-89.91639000000001</v>
      </c>
      <c r="AI188" s="156" t="n">
        <v>35.65944</v>
      </c>
    </row>
    <row r="189">
      <c r="W189" s="134" t="inlineStr">
        <is>
          <t>Colonel Tommy C. Stiner-Campbell County Airport</t>
        </is>
      </c>
      <c r="X189" s="134" t="inlineStr">
        <is>
          <t>JAU</t>
        </is>
      </c>
      <c r="Y189" s="156" t="n">
        <v>-84.16296</v>
      </c>
      <c r="Z189" s="156" t="n">
        <v>36.33409</v>
      </c>
      <c r="AA189" s="134" t="inlineStr">
        <is>
          <t>East</t>
        </is>
      </c>
      <c r="AB189" s="134" t="n">
        <v>1180</v>
      </c>
      <c r="AH189" s="156" t="n">
        <v>-89.87361</v>
      </c>
      <c r="AI189" s="156" t="n">
        <v>35.67166</v>
      </c>
    </row>
    <row r="190">
      <c r="W190" s="134" t="inlineStr">
        <is>
          <t>Crossville Memorial Airport/Whitson Field</t>
        </is>
      </c>
      <c r="X190" s="134" t="inlineStr">
        <is>
          <t>CSV</t>
        </is>
      </c>
      <c r="Y190" s="156" t="n">
        <v>-85.08498</v>
      </c>
      <c r="Z190" s="156" t="n">
        <v>35.95129</v>
      </c>
      <c r="AA190" s="134" t="inlineStr">
        <is>
          <t>East</t>
        </is>
      </c>
      <c r="AB190" s="134" t="n">
        <v>1882</v>
      </c>
      <c r="AH190" s="156" t="n">
        <v>-89.85583</v>
      </c>
      <c r="AI190" s="156" t="n">
        <v>35.65167</v>
      </c>
    </row>
    <row r="191">
      <c r="W191" s="134" t="inlineStr">
        <is>
          <t>Dallas Bay Skypark Airport</t>
        </is>
      </c>
      <c r="X191" s="134" t="inlineStr">
        <is>
          <t>1A0</t>
        </is>
      </c>
      <c r="Y191" s="156" t="n">
        <v>-85.17778</v>
      </c>
      <c r="Z191" s="156" t="n">
        <v>35.1875</v>
      </c>
      <c r="AA191" s="134" t="inlineStr">
        <is>
          <t>East</t>
        </is>
      </c>
      <c r="AB191" s="134" t="n">
        <v>690</v>
      </c>
      <c r="AH191" s="156" t="n">
        <v>-89.95</v>
      </c>
      <c r="AI191" s="156" t="n">
        <v>35.60472</v>
      </c>
    </row>
    <row r="192">
      <c r="W192" s="134" t="inlineStr">
        <is>
          <t>Elizabethton Municipal Airport</t>
        </is>
      </c>
      <c r="X192" s="134" t="inlineStr">
        <is>
          <t>0A9</t>
        </is>
      </c>
      <c r="Y192" s="156" t="n">
        <v>-82.17272</v>
      </c>
      <c r="Z192" s="156" t="n">
        <v>36.37156</v>
      </c>
      <c r="AA192" s="134" t="inlineStr">
        <is>
          <t>East</t>
        </is>
      </c>
      <c r="AB192" s="134" t="n">
        <v>1592</v>
      </c>
      <c r="AH192" s="156" t="n">
        <v>-89.95860999999999</v>
      </c>
      <c r="AI192" s="156" t="n">
        <v>35.58305</v>
      </c>
    </row>
    <row r="193">
      <c r="W193" s="134" t="inlineStr">
        <is>
          <t>Gatlinburg-Pigeon Forge Airport</t>
        </is>
      </c>
      <c r="X193" s="134" t="inlineStr">
        <is>
          <t>GKT</t>
        </is>
      </c>
      <c r="Y193" s="156" t="n">
        <v>-83.5287</v>
      </c>
      <c r="Z193" s="156" t="n">
        <v>35.85776</v>
      </c>
      <c r="AA193" s="134" t="inlineStr">
        <is>
          <t>East</t>
        </is>
      </c>
      <c r="AB193" s="134" t="n">
        <v>1014</v>
      </c>
      <c r="AH193" s="156" t="n">
        <v>-89.93889</v>
      </c>
      <c r="AI193" s="156" t="n">
        <v>35.53889</v>
      </c>
    </row>
    <row r="194">
      <c r="W194" s="134" t="inlineStr">
        <is>
          <t>Greeneville-Green County Municipal Airport</t>
        </is>
      </c>
      <c r="X194" s="134" t="inlineStr">
        <is>
          <t>GCY</t>
        </is>
      </c>
      <c r="Y194" s="156" t="n">
        <v>-82.81137</v>
      </c>
      <c r="Z194" s="156" t="n">
        <v>36.19573</v>
      </c>
      <c r="AA194" s="134" t="inlineStr">
        <is>
          <t>East</t>
        </is>
      </c>
      <c r="AB194" s="134" t="n">
        <v>1608</v>
      </c>
      <c r="AH194" s="156" t="n">
        <v>-90.01639</v>
      </c>
      <c r="AI194" s="156" t="n">
        <v>35.56111</v>
      </c>
    </row>
    <row r="195">
      <c r="W195" s="134" t="inlineStr">
        <is>
          <t>Hawkins County Airport</t>
        </is>
      </c>
      <c r="X195" s="134" t="inlineStr">
        <is>
          <t>RVN</t>
        </is>
      </c>
      <c r="Y195" s="156" t="n">
        <v>-82.88503</v>
      </c>
      <c r="Z195" s="156" t="n">
        <v>36.45758</v>
      </c>
      <c r="AA195" s="134" t="inlineStr">
        <is>
          <t>East</t>
        </is>
      </c>
      <c r="AB195" s="134" t="n">
        <v>1255</v>
      </c>
      <c r="AH195" s="156" t="n">
        <v>-90.04416999999999</v>
      </c>
      <c r="AI195" s="156" t="n">
        <v>35.54972</v>
      </c>
    </row>
    <row r="196">
      <c r="W196" s="134" t="inlineStr">
        <is>
          <t>Johnson City Airport</t>
        </is>
      </c>
      <c r="X196" s="134" t="inlineStr">
        <is>
          <t>0A4</t>
        </is>
      </c>
      <c r="Y196" s="156" t="n">
        <v>-82.30903000000001</v>
      </c>
      <c r="Z196" s="156" t="n">
        <v>36.36372</v>
      </c>
      <c r="AA196" s="134" t="inlineStr">
        <is>
          <t>East</t>
        </is>
      </c>
      <c r="AB196" s="134" t="n">
        <v>1550</v>
      </c>
      <c r="AH196" s="156" t="n">
        <v>-90.05139</v>
      </c>
      <c r="AI196" s="156" t="n">
        <v>35.5175</v>
      </c>
    </row>
    <row r="197">
      <c r="W197" s="134" t="inlineStr">
        <is>
          <t>Johnson County Airport</t>
        </is>
      </c>
      <c r="X197" s="134" t="inlineStr">
        <is>
          <t>6A4</t>
        </is>
      </c>
      <c r="Y197" s="156" t="n">
        <v>-81.82513</v>
      </c>
      <c r="Z197" s="156" t="n">
        <v>36.41784</v>
      </c>
      <c r="AA197" s="134" t="inlineStr">
        <is>
          <t>East</t>
        </is>
      </c>
      <c r="AB197" s="134" t="n">
        <v>2241</v>
      </c>
      <c r="AH197" s="156" t="n">
        <v>-90.00694</v>
      </c>
      <c r="AI197" s="156" t="n">
        <v>35.45639</v>
      </c>
    </row>
    <row r="198">
      <c r="W198" s="134" t="inlineStr">
        <is>
          <t>Knoxville Downtown Island Airport</t>
        </is>
      </c>
      <c r="X198" s="134" t="inlineStr">
        <is>
          <t>DKX</t>
        </is>
      </c>
      <c r="Y198" s="156" t="n">
        <v>-83.87367</v>
      </c>
      <c r="Z198" s="156" t="n">
        <v>35.96383</v>
      </c>
      <c r="AA198" s="134" t="inlineStr">
        <is>
          <t>East</t>
        </is>
      </c>
      <c r="AB198" s="134" t="n">
        <v>833</v>
      </c>
      <c r="AH198" s="156" t="n">
        <v>-90.01334</v>
      </c>
      <c r="AI198" s="156" t="n">
        <v>35.43361</v>
      </c>
    </row>
    <row r="199">
      <c r="W199" s="134" t="inlineStr">
        <is>
          <t>Lovell Field</t>
        </is>
      </c>
      <c r="X199" s="134" t="inlineStr">
        <is>
          <t>CHA</t>
        </is>
      </c>
      <c r="Y199" s="156" t="n">
        <v>-85.20356</v>
      </c>
      <c r="Z199" s="156" t="n">
        <v>35.03519</v>
      </c>
      <c r="AA199" s="134" t="inlineStr">
        <is>
          <t>East</t>
        </is>
      </c>
      <c r="AB199" s="134" t="n">
        <v>682</v>
      </c>
      <c r="AH199" s="156" t="n">
        <v>-90.05278</v>
      </c>
      <c r="AI199" s="156" t="n">
        <v>35.42194</v>
      </c>
    </row>
    <row r="200">
      <c r="W200" s="134" t="inlineStr">
        <is>
          <t>Marion County Airport-Brown Field</t>
        </is>
      </c>
      <c r="X200" s="134" t="inlineStr">
        <is>
          <t>APT</t>
        </is>
      </c>
      <c r="Y200" s="156" t="n">
        <v>-85.58531000000001</v>
      </c>
      <c r="Z200" s="156" t="n">
        <v>35.06067</v>
      </c>
      <c r="AA200" s="134" t="inlineStr">
        <is>
          <t>East</t>
        </is>
      </c>
      <c r="AB200" s="134" t="n">
        <v>641</v>
      </c>
      <c r="AH200" s="156" t="n">
        <v>-90.07805999999999</v>
      </c>
      <c r="AI200" s="156" t="n">
        <v>35.47194</v>
      </c>
    </row>
    <row r="201">
      <c r="W201" s="134" t="inlineStr">
        <is>
          <t>Mark Anton Airport</t>
        </is>
      </c>
      <c r="X201" s="134" t="inlineStr">
        <is>
          <t>2A0</t>
        </is>
      </c>
      <c r="Y201" s="156" t="n">
        <v>-84.93107999999999</v>
      </c>
      <c r="Z201" s="156" t="n">
        <v>35.48625</v>
      </c>
      <c r="AA201" s="134" t="inlineStr">
        <is>
          <t>East</t>
        </is>
      </c>
      <c r="AB201" s="134" t="n">
        <v>718</v>
      </c>
      <c r="AH201" s="156" t="n">
        <v>-90.10639</v>
      </c>
      <c r="AI201" s="156" t="n">
        <v>35.48334</v>
      </c>
    </row>
    <row r="202">
      <c r="W202" s="134" t="inlineStr">
        <is>
          <t>Martin Campbell Field</t>
        </is>
      </c>
      <c r="X202" s="134" t="inlineStr">
        <is>
          <t>1A3</t>
        </is>
      </c>
      <c r="Y202" s="156" t="n">
        <v>-84.34683</v>
      </c>
      <c r="Z202" s="156" t="n">
        <v>35.01582</v>
      </c>
      <c r="AA202" s="134" t="inlineStr">
        <is>
          <t>East</t>
        </is>
      </c>
      <c r="AB202" s="134" t="n">
        <v>1789</v>
      </c>
      <c r="AH202" s="156" t="n">
        <v>-90.17889</v>
      </c>
      <c r="AI202" s="156" t="n">
        <v>35.42416</v>
      </c>
    </row>
    <row r="203">
      <c r="W203" s="134" t="inlineStr">
        <is>
          <t>McGhee Tyson Airport</t>
        </is>
      </c>
      <c r="X203" s="134" t="inlineStr">
        <is>
          <t>TYS</t>
        </is>
      </c>
      <c r="Y203" s="156" t="n">
        <v>-83.99406999999999</v>
      </c>
      <c r="Z203" s="156" t="n">
        <v>35.81109</v>
      </c>
      <c r="AA203" s="134" t="inlineStr">
        <is>
          <t>East</t>
        </is>
      </c>
      <c r="AB203" s="134" t="n">
        <v>986</v>
      </c>
      <c r="AH203" s="156" t="n">
        <v>-90.17861000000001</v>
      </c>
      <c r="AI203" s="156" t="n">
        <v>35.38055</v>
      </c>
    </row>
    <row r="204">
      <c r="W204" s="134" t="inlineStr">
        <is>
          <t>McMinn County Airport</t>
        </is>
      </c>
      <c r="X204" s="134" t="inlineStr">
        <is>
          <t>MMI</t>
        </is>
      </c>
      <c r="Y204" s="156" t="n">
        <v>-84.56178</v>
      </c>
      <c r="Z204" s="156" t="n">
        <v>35.39919</v>
      </c>
      <c r="AA204" s="134" t="inlineStr">
        <is>
          <t>East</t>
        </is>
      </c>
      <c r="AB204" s="134" t="n">
        <v>874</v>
      </c>
      <c r="AH204" s="156" t="n">
        <v>-90.13306</v>
      </c>
      <c r="AI204" s="156" t="n">
        <v>35.40944</v>
      </c>
    </row>
    <row r="205">
      <c r="W205" s="134" t="inlineStr">
        <is>
          <t>Monroe County Airport</t>
        </is>
      </c>
      <c r="X205" s="134" t="inlineStr">
        <is>
          <t>MNV</t>
        </is>
      </c>
      <c r="Y205" s="156" t="n">
        <v>-84.38039999999999</v>
      </c>
      <c r="Z205" s="156" t="n">
        <v>35.54523</v>
      </c>
      <c r="AA205" s="134" t="inlineStr">
        <is>
          <t>East</t>
        </is>
      </c>
      <c r="AB205" s="134" t="n">
        <v>1031</v>
      </c>
      <c r="AH205" s="156" t="n">
        <v>-90.09417000000001</v>
      </c>
      <c r="AI205" s="156" t="n">
        <v>35.38972</v>
      </c>
    </row>
    <row r="206">
      <c r="W206" s="134" t="inlineStr">
        <is>
          <t>Moore-Murrell Field</t>
        </is>
      </c>
      <c r="X206" s="134" t="inlineStr">
        <is>
          <t>MOR</t>
        </is>
      </c>
      <c r="Y206" s="156" t="n">
        <v>-83.37545</v>
      </c>
      <c r="Z206" s="156" t="n">
        <v>36.17938</v>
      </c>
      <c r="AA206" s="134" t="inlineStr">
        <is>
          <t>East</t>
        </is>
      </c>
      <c r="AB206" s="134" t="n">
        <v>1313</v>
      </c>
      <c r="AH206" s="156" t="n">
        <v>-90.11360999999999</v>
      </c>
      <c r="AI206" s="156" t="n">
        <v>35.35777</v>
      </c>
    </row>
    <row r="207">
      <c r="W207" s="134" t="inlineStr">
        <is>
          <t>New Tazewell Municipal Airport</t>
        </is>
      </c>
      <c r="X207" s="134" t="inlineStr">
        <is>
          <t>3A2</t>
        </is>
      </c>
      <c r="Y207" s="156" t="n">
        <v>-83.55719000000001</v>
      </c>
      <c r="Z207" s="156" t="n">
        <v>36.4089</v>
      </c>
      <c r="AA207" s="134" t="inlineStr">
        <is>
          <t>East</t>
        </is>
      </c>
      <c r="AB207" s="134" t="n">
        <v>1179</v>
      </c>
      <c r="AH207" s="156" t="n">
        <v>-90.10833</v>
      </c>
      <c r="AI207" s="156" t="n">
        <v>35.32389</v>
      </c>
    </row>
    <row r="208">
      <c r="W208" s="134" t="inlineStr">
        <is>
          <t>Rockwood Municipal Airport</t>
        </is>
      </c>
      <c r="X208" s="134" t="inlineStr">
        <is>
          <t>RKW</t>
        </is>
      </c>
      <c r="Y208" s="156" t="n">
        <v>-84.68978</v>
      </c>
      <c r="Z208" s="156" t="n">
        <v>35.92233</v>
      </c>
      <c r="AA208" s="134" t="inlineStr">
        <is>
          <t>East</t>
        </is>
      </c>
      <c r="AB208" s="134" t="n">
        <v>1664</v>
      </c>
      <c r="AH208" s="156" t="n">
        <v>-90.17555</v>
      </c>
      <c r="AI208" s="156" t="n">
        <v>35.285</v>
      </c>
    </row>
    <row r="209">
      <c r="W209" s="134" t="inlineStr">
        <is>
          <t>Scott Municipal Airport</t>
        </is>
      </c>
      <c r="X209" s="134" t="inlineStr">
        <is>
          <t>SCX</t>
        </is>
      </c>
      <c r="Y209" s="156" t="n">
        <v>-84.58575</v>
      </c>
      <c r="Z209" s="156" t="n">
        <v>36.45569</v>
      </c>
      <c r="AA209" s="134" t="inlineStr">
        <is>
          <t>East</t>
        </is>
      </c>
      <c r="AB209" s="134" t="n">
        <v>1545</v>
      </c>
      <c r="AH209" s="156" t="n">
        <v>-90.08389</v>
      </c>
      <c r="AI209" s="156" t="n">
        <v>35.23083</v>
      </c>
    </row>
    <row r="210">
      <c r="W210" s="134" t="inlineStr">
        <is>
          <t>Tri-Cities Airport</t>
        </is>
      </c>
      <c r="X210" s="134" t="inlineStr">
        <is>
          <t>TRI</t>
        </is>
      </c>
      <c r="Y210" s="156" t="n">
        <v>-82.40742</v>
      </c>
      <c r="Z210" s="156" t="n">
        <v>36.47521</v>
      </c>
      <c r="AA210" s="134" t="inlineStr">
        <is>
          <t>East</t>
        </is>
      </c>
      <c r="AB210" s="134" t="n">
        <v>1519</v>
      </c>
      <c r="AH210" s="156" t="n">
        <v>-90.09166999999999</v>
      </c>
      <c r="AI210" s="156" t="n">
        <v>35.2</v>
      </c>
    </row>
    <row r="211">
      <c r="AH211" s="156" t="n">
        <v>-90.07778</v>
      </c>
      <c r="AI211" s="156" t="n">
        <v>35.17361</v>
      </c>
    </row>
    <row r="212">
      <c r="AH212" s="156" t="n">
        <v>-90.09222</v>
      </c>
      <c r="AI212" s="156" t="n">
        <v>35.13499</v>
      </c>
    </row>
    <row r="213">
      <c r="AH213" s="156" t="n">
        <v>-90.17944</v>
      </c>
      <c r="AI213" s="156" t="n">
        <v>35.12305</v>
      </c>
    </row>
    <row r="214">
      <c r="AH214" s="156" t="n">
        <v>-90.21416000000001</v>
      </c>
      <c r="AI214" s="156" t="n">
        <v>35.05139</v>
      </c>
    </row>
    <row r="215">
      <c r="AH215" s="156" t="n">
        <v>-90.30139</v>
      </c>
      <c r="AI215" s="156" t="n">
        <v>35.04361</v>
      </c>
    </row>
    <row r="216">
      <c r="AH216" s="156" t="n">
        <v>-90.31305999999999</v>
      </c>
      <c r="AI216" s="156" t="n">
        <v>35.00833</v>
      </c>
    </row>
    <row r="217">
      <c r="AH217" s="156" t="n">
        <v>-90.26833000000001</v>
      </c>
      <c r="AI217" s="156" t="n">
        <v>34.965</v>
      </c>
    </row>
    <row r="219">
      <c r="AH219" s="156" t="n">
        <v>-81.65639</v>
      </c>
      <c r="AI219" s="156" t="n">
        <v>36.61056</v>
      </c>
    </row>
    <row r="220">
      <c r="AH220" s="156" t="n">
        <v>-81.71528000000001</v>
      </c>
      <c r="AI220" s="156" t="n">
        <v>36.53583</v>
      </c>
    </row>
    <row r="221">
      <c r="AH221" s="156" t="n">
        <v>-81.69417</v>
      </c>
      <c r="AI221" s="156" t="n">
        <v>36.49167</v>
      </c>
    </row>
    <row r="222">
      <c r="AH222" s="156" t="n">
        <v>-81.74583</v>
      </c>
      <c r="AI222" s="156" t="n">
        <v>36.40388</v>
      </c>
    </row>
    <row r="223">
      <c r="AH223" s="156" t="n">
        <v>-81.71167</v>
      </c>
      <c r="AI223" s="156" t="n">
        <v>36.34473</v>
      </c>
    </row>
    <row r="224">
      <c r="AH224" s="156" t="n">
        <v>-81.80944</v>
      </c>
      <c r="AI224" s="156" t="n">
        <v>36.36166</v>
      </c>
    </row>
    <row r="225">
      <c r="AH225" s="156" t="n">
        <v>-81.90722</v>
      </c>
      <c r="AI225" s="156" t="n">
        <v>36.30806</v>
      </c>
    </row>
    <row r="226">
      <c r="AH226" s="156" t="n">
        <v>-82.03194000000001</v>
      </c>
      <c r="AI226" s="156" t="n">
        <v>36.12695</v>
      </c>
    </row>
    <row r="227">
      <c r="AH227" s="156" t="n">
        <v>-82.05638999999999</v>
      </c>
      <c r="AI227" s="156" t="n">
        <v>36.12666</v>
      </c>
    </row>
    <row r="228">
      <c r="AH228" s="156" t="n">
        <v>-82.07417</v>
      </c>
      <c r="AI228" s="156" t="n">
        <v>36.10306</v>
      </c>
    </row>
    <row r="229">
      <c r="AH229" s="156" t="n">
        <v>-82.12417000000001</v>
      </c>
      <c r="AI229" s="156" t="n">
        <v>36.10695</v>
      </c>
    </row>
    <row r="230">
      <c r="AH230" s="156" t="n">
        <v>-82.14694</v>
      </c>
      <c r="AI230" s="156" t="n">
        <v>36.14389</v>
      </c>
    </row>
    <row r="231">
      <c r="AH231" s="156" t="n">
        <v>-82.20556000000001</v>
      </c>
      <c r="AI231" s="156" t="n">
        <v>36.16111</v>
      </c>
    </row>
    <row r="232">
      <c r="AH232" s="156" t="n">
        <v>-82.26000000000001</v>
      </c>
      <c r="AI232" s="156" t="n">
        <v>36.13389</v>
      </c>
    </row>
    <row r="233">
      <c r="AH233" s="156" t="n">
        <v>-82.29304999999999</v>
      </c>
      <c r="AI233" s="156" t="n">
        <v>36.1375</v>
      </c>
    </row>
    <row r="234">
      <c r="AH234" s="156" t="n">
        <v>-82.38223000000001</v>
      </c>
      <c r="AI234" s="156" t="n">
        <v>36.105</v>
      </c>
    </row>
    <row r="235">
      <c r="AH235" s="156" t="n">
        <v>-82.48</v>
      </c>
      <c r="AI235" s="156" t="n">
        <v>35.99917</v>
      </c>
    </row>
    <row r="236">
      <c r="AH236" s="156" t="n">
        <v>-82.55916999999999</v>
      </c>
      <c r="AI236" s="156" t="n">
        <v>35.96111</v>
      </c>
    </row>
    <row r="237">
      <c r="AH237" s="156" t="n">
        <v>-82.59472</v>
      </c>
      <c r="AI237" s="156" t="n">
        <v>35.98028</v>
      </c>
    </row>
    <row r="238">
      <c r="AH238" s="156" t="n">
        <v>-82.59</v>
      </c>
      <c r="AI238" s="156" t="n">
        <v>36.03278</v>
      </c>
    </row>
    <row r="239">
      <c r="AH239" s="156" t="n">
        <v>-82.63028</v>
      </c>
      <c r="AI239" s="156" t="n">
        <v>36.06306</v>
      </c>
    </row>
    <row r="240">
      <c r="AH240" s="156" t="n">
        <v>-82.77084000000001</v>
      </c>
      <c r="AI240" s="156" t="n">
        <v>36</v>
      </c>
    </row>
    <row r="241">
      <c r="AH241" s="156" t="n">
        <v>-82.80417</v>
      </c>
      <c r="AI241" s="156" t="n">
        <v>35.93278</v>
      </c>
    </row>
    <row r="242">
      <c r="AH242" s="156" t="n">
        <v>-82.86555</v>
      </c>
      <c r="AI242" s="156" t="n">
        <v>35.95639</v>
      </c>
    </row>
    <row r="243">
      <c r="AH243" s="156" t="n">
        <v>-82.90416999999999</v>
      </c>
      <c r="AI243" s="156" t="n">
        <v>35.95028</v>
      </c>
    </row>
    <row r="244">
      <c r="AH244" s="156" t="n">
        <v>-82.91777999999999</v>
      </c>
      <c r="AI244" s="156" t="n">
        <v>35.92027</v>
      </c>
    </row>
    <row r="245">
      <c r="AH245" s="156" t="n">
        <v>-82.90472</v>
      </c>
      <c r="AI245" s="156" t="n">
        <v>35.88389</v>
      </c>
    </row>
    <row r="246">
      <c r="AH246" s="156" t="n">
        <v>-82.98721999999999</v>
      </c>
      <c r="AI246" s="156" t="n">
        <v>35.78166</v>
      </c>
    </row>
    <row r="247">
      <c r="AH247" s="156" t="n">
        <v>-83.075</v>
      </c>
      <c r="AI247" s="156" t="n">
        <v>35.79167</v>
      </c>
    </row>
    <row r="248">
      <c r="AH248" s="156" t="n">
        <v>-83.16278</v>
      </c>
      <c r="AI248" s="156" t="n">
        <v>35.76139</v>
      </c>
    </row>
    <row r="249">
      <c r="AH249" s="156" t="n">
        <v>-83.24639000000001</v>
      </c>
      <c r="AI249" s="156" t="n">
        <v>35.71667</v>
      </c>
    </row>
    <row r="250">
      <c r="AH250" s="156" t="n">
        <v>-83.29304999999999</v>
      </c>
      <c r="AI250" s="156" t="n">
        <v>35.66583</v>
      </c>
    </row>
    <row r="251">
      <c r="AH251" s="156" t="n">
        <v>-83.33750000000001</v>
      </c>
      <c r="AI251" s="156" t="n">
        <v>35.66806</v>
      </c>
    </row>
    <row r="252">
      <c r="AH252" s="156" t="n">
        <v>-83.37417000000001</v>
      </c>
      <c r="AI252" s="156" t="n">
        <v>35.63722</v>
      </c>
    </row>
    <row r="253">
      <c r="AH253" s="156" t="n">
        <v>-83.44611</v>
      </c>
      <c r="AI253" s="156" t="n">
        <v>35.61222</v>
      </c>
    </row>
    <row r="254">
      <c r="AH254" s="156" t="n">
        <v>-83.49223000000001</v>
      </c>
      <c r="AI254" s="156" t="n">
        <v>35.57111</v>
      </c>
    </row>
    <row r="255">
      <c r="AH255" s="156" t="n">
        <v>-83.57222</v>
      </c>
      <c r="AI255" s="156" t="n">
        <v>35.55888</v>
      </c>
    </row>
    <row r="256">
      <c r="AH256" s="156" t="n">
        <v>-83.60722</v>
      </c>
      <c r="AI256" s="156" t="n">
        <v>35.58112</v>
      </c>
    </row>
    <row r="257">
      <c r="AH257" s="156" t="n">
        <v>-83.63722</v>
      </c>
      <c r="AI257" s="156" t="n">
        <v>35.56528</v>
      </c>
    </row>
    <row r="258">
      <c r="AH258" s="156" t="n">
        <v>-83.74111000000001</v>
      </c>
      <c r="AI258" s="156" t="n">
        <v>35.56583</v>
      </c>
    </row>
    <row r="259">
      <c r="AH259" s="156" t="n">
        <v>-83.88695</v>
      </c>
      <c r="AI259" s="156" t="n">
        <v>35.51556</v>
      </c>
    </row>
    <row r="260">
      <c r="AH260" s="156" t="n">
        <v>-83.925</v>
      </c>
      <c r="AI260" s="156" t="n">
        <v>35.46611</v>
      </c>
    </row>
    <row r="261">
      <c r="AH261" s="156" t="n">
        <v>-83.97945</v>
      </c>
      <c r="AI261" s="156" t="n">
        <v>35.45222</v>
      </c>
    </row>
    <row r="262">
      <c r="AH262" s="156" t="n">
        <v>-84.01195</v>
      </c>
      <c r="AI262" s="156" t="n">
        <v>35.425</v>
      </c>
    </row>
    <row r="263">
      <c r="AH263" s="156" t="n">
        <v>-84.05083</v>
      </c>
      <c r="AI263" s="156" t="n">
        <v>35.28583</v>
      </c>
    </row>
    <row r="264">
      <c r="AH264" s="156" t="n">
        <v>-84.07917</v>
      </c>
      <c r="AI264" s="156" t="n">
        <v>35.265</v>
      </c>
    </row>
    <row r="265">
      <c r="AH265" s="156" t="n">
        <v>-84.19305</v>
      </c>
      <c r="AI265" s="156" t="n">
        <v>35.25195</v>
      </c>
    </row>
    <row r="266">
      <c r="AH266" s="156" t="n">
        <v>-84.23833</v>
      </c>
      <c r="AI266" s="156" t="n">
        <v>35.27</v>
      </c>
    </row>
    <row r="267">
      <c r="AH267" s="156" t="n">
        <v>-84.29111</v>
      </c>
      <c r="AI267" s="156" t="n">
        <v>35.23</v>
      </c>
    </row>
    <row r="268">
      <c r="AH268" s="156" t="n">
        <v>-84.32417</v>
      </c>
      <c r="AI268" s="156" t="n">
        <v>34.98611</v>
      </c>
    </row>
    <row r="270">
      <c r="AH270" s="156" t="n">
        <v>-86.83360999999999</v>
      </c>
      <c r="AI270" s="156" t="n">
        <v>34.99944</v>
      </c>
    </row>
    <row r="271">
      <c r="AH271" s="156" t="n">
        <v>-84.58417</v>
      </c>
      <c r="AI271" s="156" t="n">
        <v>35</v>
      </c>
    </row>
    <row r="273">
      <c r="AH273" s="156" t="n">
        <v>-90.30083</v>
      </c>
      <c r="AI273" s="156" t="n">
        <v>35.00166</v>
      </c>
    </row>
    <row r="274">
      <c r="AH274" s="156" t="n">
        <v>-88.19083000000001</v>
      </c>
      <c r="AI274" s="156" t="n">
        <v>35.0025</v>
      </c>
    </row>
    <row r="276">
      <c r="AH276" s="156" t="n">
        <v>-83.09778</v>
      </c>
      <c r="AI276" s="156" t="n">
        <v>35.00027</v>
      </c>
    </row>
    <row r="277">
      <c r="AH277" s="156" t="n">
        <v>-82.7775</v>
      </c>
      <c r="AI277" s="156" t="n">
        <v>35.09138</v>
      </c>
    </row>
    <row r="278">
      <c r="AH278" s="156" t="n">
        <v>-82.75444</v>
      </c>
      <c r="AI278" s="156" t="n">
        <v>35.07028</v>
      </c>
    </row>
    <row r="279">
      <c r="AH279" s="156" t="n">
        <v>-82.69667</v>
      </c>
      <c r="AI279" s="156" t="n">
        <v>35.0975</v>
      </c>
    </row>
    <row r="280">
      <c r="AH280" s="156" t="n">
        <v>-82.67722000000001</v>
      </c>
      <c r="AI280" s="156" t="n">
        <v>35.13083</v>
      </c>
    </row>
    <row r="281">
      <c r="AH281" s="156" t="n">
        <v>-82.65222</v>
      </c>
      <c r="AI281" s="156" t="n">
        <v>35.125</v>
      </c>
    </row>
    <row r="282">
      <c r="AH282" s="156" t="n">
        <v>-82.48389</v>
      </c>
      <c r="AI282" s="156" t="n">
        <v>35.17667</v>
      </c>
    </row>
    <row r="283">
      <c r="AH283" s="156" t="n">
        <v>-82.43555000000001</v>
      </c>
      <c r="AI283" s="156" t="n">
        <v>35.17472</v>
      </c>
    </row>
    <row r="284">
      <c r="AH284" s="156" t="n">
        <v>-82.39139</v>
      </c>
      <c r="AI284" s="156" t="n">
        <v>35.22083</v>
      </c>
    </row>
    <row r="285">
      <c r="AH285" s="156" t="n">
        <v>-82.36806</v>
      </c>
      <c r="AI285" s="156" t="n">
        <v>35.20056</v>
      </c>
    </row>
    <row r="286">
      <c r="AH286" s="156" t="n">
        <v>-82.325</v>
      </c>
      <c r="AI286" s="156" t="n">
        <v>35.19611</v>
      </c>
    </row>
    <row r="287">
      <c r="AH287" s="156" t="n">
        <v>-82.29056</v>
      </c>
      <c r="AI287" s="156" t="n">
        <v>35.20694</v>
      </c>
    </row>
    <row r="288">
      <c r="AH288" s="156" t="n">
        <v>-81.61104</v>
      </c>
      <c r="AI288" s="156" t="n">
        <v>35.18138</v>
      </c>
    </row>
    <row r="290">
      <c r="AH290" s="156" t="n">
        <v>-84.57971999999999</v>
      </c>
      <c r="AI290" s="156" t="n">
        <v>34.99722</v>
      </c>
    </row>
    <row r="291">
      <c r="AH291" s="156" t="n">
        <v>-84.315</v>
      </c>
      <c r="AI291" s="156" t="n">
        <v>34.98611</v>
      </c>
    </row>
    <row r="292">
      <c r="AH292" s="156" t="n">
        <v>-83.09639</v>
      </c>
      <c r="AI292" s="156" t="n">
        <v>35</v>
      </c>
    </row>
    <row r="294">
      <c r="AH294" s="156" t="n">
        <v>-86.8325</v>
      </c>
      <c r="AI294" s="156" t="n">
        <v>35.00222</v>
      </c>
    </row>
    <row r="295">
      <c r="AH295" s="156" t="n">
        <v>-88.19638999999999</v>
      </c>
      <c r="AI295" s="156" t="n">
        <v>35.02361</v>
      </c>
    </row>
    <row r="297">
      <c r="AH297" s="156" t="n">
        <v>-90.3775</v>
      </c>
      <c r="AI297" s="156" t="n">
        <v>36.49976</v>
      </c>
    </row>
    <row r="298">
      <c r="AH298" s="156" t="n">
        <v>-90.16222</v>
      </c>
      <c r="AI298" s="156" t="n">
        <v>36.49973</v>
      </c>
    </row>
    <row r="299">
      <c r="AH299" s="156" t="n">
        <v>-90.12694999999999</v>
      </c>
      <c r="AI299" s="156" t="n">
        <v>36.45361</v>
      </c>
    </row>
    <row r="300">
      <c r="AH300" s="156" t="n">
        <v>-90.12027999999999</v>
      </c>
      <c r="AI300" s="156" t="n">
        <v>36.41361</v>
      </c>
    </row>
    <row r="301">
      <c r="AH301" s="156" t="n">
        <v>-90.06416</v>
      </c>
      <c r="AI301" s="156" t="n">
        <v>36.37473</v>
      </c>
    </row>
    <row r="302">
      <c r="AH302" s="156" t="n">
        <v>-90.06944</v>
      </c>
      <c r="AI302" s="156" t="n">
        <v>36.28194</v>
      </c>
    </row>
    <row r="303">
      <c r="AH303" s="156" t="n">
        <v>-90.12139000000001</v>
      </c>
      <c r="AI303" s="156" t="n">
        <v>36.25694</v>
      </c>
    </row>
    <row r="304">
      <c r="AH304" s="156" t="n">
        <v>-90.13805000000001</v>
      </c>
      <c r="AI304" s="156" t="n">
        <v>36.21389</v>
      </c>
    </row>
    <row r="305">
      <c r="AH305" s="156" t="n">
        <v>-90.22583</v>
      </c>
      <c r="AI305" s="156" t="n">
        <v>36.17944</v>
      </c>
    </row>
    <row r="306">
      <c r="AH306" s="156" t="n">
        <v>-90.24834</v>
      </c>
      <c r="AI306" s="156" t="n">
        <v>36.13194</v>
      </c>
    </row>
    <row r="307">
      <c r="AH307" s="156" t="n">
        <v>-90.29861</v>
      </c>
      <c r="AI307" s="156" t="n">
        <v>36.11361</v>
      </c>
    </row>
    <row r="308">
      <c r="AH308" s="156" t="n">
        <v>-90.38276999999999</v>
      </c>
      <c r="AI308" s="156" t="n">
        <v>35.98556</v>
      </c>
    </row>
    <row r="309">
      <c r="AH309" s="156" t="n">
        <v>-89.72915999999999</v>
      </c>
      <c r="AI309" s="156" t="n">
        <v>36</v>
      </c>
    </row>
    <row r="311">
      <c r="AH311" s="156" t="n">
        <v>-83.35639</v>
      </c>
      <c r="AI311" s="156" t="n">
        <v>36.70639</v>
      </c>
    </row>
    <row r="312">
      <c r="AH312" s="156" t="n">
        <v>-83.41222</v>
      </c>
      <c r="AI312" s="156" t="n">
        <v>36.67416</v>
      </c>
    </row>
    <row r="313">
      <c r="AH313" s="156" t="n">
        <v>-83.50888999999999</v>
      </c>
      <c r="AI313" s="156" t="n">
        <v>36.66888</v>
      </c>
    </row>
    <row r="314">
      <c r="AH314" s="156" t="n">
        <v>-83.61750000000001</v>
      </c>
      <c r="AI314" s="156" t="n">
        <v>36.64056</v>
      </c>
    </row>
    <row r="315">
      <c r="AH315" s="156" t="n">
        <v>-83.67278</v>
      </c>
      <c r="AI315" s="156" t="n">
        <v>36.6025</v>
      </c>
    </row>
    <row r="317">
      <c r="AH317" s="156" t="n">
        <v>-85.61707</v>
      </c>
      <c r="AI317" s="156" t="n">
        <v>34.97196</v>
      </c>
    </row>
    <row r="318">
      <c r="AH318" s="156" t="n">
        <v>-85.62334</v>
      </c>
      <c r="AI318" s="156" t="n">
        <v>34.99917</v>
      </c>
    </row>
    <row r="320">
      <c r="AH320" s="156" t="n">
        <v>-89.56389</v>
      </c>
      <c r="AI320" s="156" t="n">
        <v>36.50083</v>
      </c>
    </row>
    <row r="321">
      <c r="AH321" s="156" t="n">
        <v>-89.49223000000001</v>
      </c>
      <c r="AI321" s="156" t="n">
        <v>36.50139</v>
      </c>
    </row>
  </sheetData>
  <mergeCells count="36">
    <mergeCell ref="G30:R30"/>
    <mergeCell ref="G39:R39"/>
    <mergeCell ref="G68:R68"/>
    <mergeCell ref="G69:R69"/>
    <mergeCell ref="G70:R70"/>
    <mergeCell ref="G3:H3"/>
    <mergeCell ref="I3:J3"/>
    <mergeCell ref="K3:L3"/>
    <mergeCell ref="M3:N3"/>
    <mergeCell ref="O3:P3"/>
    <mergeCell ref="Q3:R3"/>
    <mergeCell ref="G4:H4"/>
    <mergeCell ref="I4:J4"/>
    <mergeCell ref="K4:L4"/>
    <mergeCell ref="M4:N4"/>
    <mergeCell ref="O4:P4"/>
    <mergeCell ref="Q4:R4"/>
    <mergeCell ref="G5:H5"/>
    <mergeCell ref="I5:J5"/>
    <mergeCell ref="K5:L5"/>
    <mergeCell ref="M5:N5"/>
    <mergeCell ref="O5:P5"/>
    <mergeCell ref="Q5:R5"/>
    <mergeCell ref="G2:R2"/>
    <mergeCell ref="G6:R6"/>
    <mergeCell ref="P7:R7"/>
    <mergeCell ref="Q13:R13"/>
    <mergeCell ref="Q14:R14"/>
    <mergeCell ref="Q15:R15"/>
    <mergeCell ref="Q16:R16"/>
    <mergeCell ref="Q17:R17"/>
    <mergeCell ref="Q18:R18"/>
    <mergeCell ref="G37:H37"/>
    <mergeCell ref="I37:J37"/>
    <mergeCell ref="K37:L37"/>
    <mergeCell ref="M37:N37"/>
  </mergeCells>
  <conditionalFormatting sqref="O41:O44">
    <cfRule type="dataBar" priority="1">
      <dataBar showValue="1">
        <cfvo type="num" val="0"/>
        <cfvo type="max"/>
        <color rgb="FFBBD4EE"/>
      </dataBar>
    </cfRule>
  </conditionalFormatting>
  <conditionalFormatting sqref="I3:J5">
    <cfRule type="expression" priority="2" dxfId="27" stopIfTrue="0">
      <formula>AND(COUNT($O$41:$O$44)&gt;1,(SMALL($O$41:$O$44,2)-MIN($O$41:$O$44))/MIN($O$41:$O$44)&lt;0.05)</formula>
    </cfRule>
  </conditionalFormatting>
  <conditionalFormatting sqref="Q4">
    <cfRule type="expression" priority="3" dxfId="28" stopIfTrue="1">
      <formula>AND(COUNT($O$41:$O$44)&gt;1,COUNTIF($AB$12:$AB$36,INDEX($H$41:$H$44,MATCH(MIN($O$41:$O$44),$O$41:$O$44,0)))=25)</formula>
    </cfRule>
    <cfRule type="expression" priority="4" dxfId="27" stopIfTrue="0">
      <formula>AND(COUNT($O$41:$O$44)&gt;1,NOT(COUNTIF($AB$12:$AB$36,INDEX($H$41:$H$44,MATCH(MIN($O$41:$O$44),$O$41:$O$44,0)))=25))</formula>
    </cfRule>
  </conditionalFormatting>
  <conditionalFormatting sqref="G41:R44">
    <cfRule type="expression" priority="5" dxfId="29" stopIfTrue="0">
      <formula>AND($G41&lt;&gt;"",COUNT($O$41:$O$44)&gt;0,$O41=MIN($O$41:$O$44))</formula>
    </cfRule>
  </conditionalFormatting>
  <conditionalFormatting sqref="G51:P54">
    <cfRule type="expression" priority="6" dxfId="29" stopIfTrue="0">
      <formula>AND($G51&lt;&gt;"",COUNT($L$51:$L$54)&gt;0,$L51=MIN($L$51:$L$54))</formula>
    </cfRule>
  </conditionalFormatting>
  <pageMargins left="0.75" right="0.75" top="1" bottom="1" header="0.5" footer="0.5"/>
  <pageSetup orientation="landscape" fitToWidth="1" fitToHeight="0"/>
  <ignoredErrors>
    <ignoredError sqref="G4 J4 N4 G8 J8 N8" numberStoredAsText="1"/>
  </ignoredErrors>
  <drawing r:id="rId1"/>
</worksheet>
</file>

<file path=xl/worksheets/sheet15.xml><?xml version="1.0" encoding="utf-8"?>
<worksheet xmlns:r="http://schemas.openxmlformats.org/officeDocument/2006/relationships" xmlns="http://schemas.openxmlformats.org/spreadsheetml/2006/main">
  <sheetPr>
    <tabColor rgb="FFBFBFBF"/>
    <outlinePr summaryBelow="1" summaryRight="1"/>
    <pageSetUpPr fitToPage="1"/>
  </sheetPr>
  <dimension ref="A1:G114"/>
  <sheetViews>
    <sheetView workbookViewId="0" showGridLines="0">
      <pane ySplit="3" topLeftCell="A4" activePane="bottomLeft" state="frozen"/>
      <selection pane="bottomLeft" activeCell="A1" sqref="A1"/>
    </sheetView>
  </sheetViews>
  <sheetFormatPr baseColWidth="8" defaultRowHeight="15"/>
  <cols>
    <col min="1" max="1" width="38" customWidth="1"/>
    <col min="2" max="2" width="20" customWidth="1"/>
    <col min="3" max="3" width="16" customWidth="1"/>
    <col min="4" max="4" width="26" customWidth="1"/>
    <col min="5" max="5" width="10" customWidth="1"/>
    <col min="6" max="6" width="32" customWidth="1"/>
    <col min="7" max="7" width="34" customWidth="1"/>
    <col min="8" max="16384" width="8.7109375"/>
  </cols>
  <sheetData>
    <row r="1" ht="40" customHeight="1">
      <c r="A1" s="158">
        <f>HYPERLINK("#'General Information'!D9","◄ General Information")</f>
        <v/>
      </c>
      <c r="B1" s="159">
        <f>HYPERLINK("#Summary!G1","Summary")</f>
        <v/>
      </c>
      <c r="C1" s="215" t="inlineStr">
        <is>
          <t xml:space="preserve">Typical Values</t>
        </is>
      </c>
      <c r="D1" s="214" t="inlineStr">
        <is>
          <t xml:space="preserve">reference   ·   what a reasonable number looks like, with its source</t>
        </is>
      </c>
    </row>
    <row r="2" ht="32" customHeight="1">
      <c r="A2" s="261" t="inlineStr">
        <is>
          <t xml:space="preserve">Reference only: nothing here feeds the calculation. Six sourced sections, covering the system, runway geometry, unit costs, closure days, the economic parameters and the timing of each treatment.</t>
        </is>
      </c>
      <c r="B2" s="262"/>
      <c r="C2" s="262"/>
      <c r="D2" s="262"/>
      <c r="E2" s="262"/>
      <c r="F2" s="262"/>
      <c r="G2" s="262"/>
    </row>
    <row r="3" ht="6" customHeight="1"/>
    <row r="4" ht="26" customHeight="1">
      <c r="A4" s="307"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c r="B4" s="307"/>
      <c r="C4" s="307"/>
      <c r="D4" s="307"/>
      <c r="E4" s="307"/>
      <c r="F4" s="307"/>
      <c r="G4" s="307"/>
    </row>
    <row r="6" ht="22" customHeight="1">
      <c r="A6" s="304" t="inlineStr">
        <is>
          <t>1. What TDOT Aeronautics manages (context for project size)</t>
        </is>
      </c>
      <c r="B6" s="305" t="n"/>
      <c r="C6" s="305" t="n"/>
      <c r="D6" s="305" t="n"/>
      <c r="E6" s="305" t="n"/>
      <c r="F6" s="305" t="n"/>
      <c r="G6" s="305" t="n"/>
    </row>
    <row r="7" ht="24" customHeight="1">
      <c r="A7" s="306" t="inlineStr">
        <is>
          <t>Item</t>
        </is>
      </c>
      <c r="B7" s="306" t="inlineStr">
        <is>
          <t>Value</t>
        </is>
      </c>
      <c r="C7" s="306" t="inlineStr">
        <is>
          <t>Unit</t>
        </is>
      </c>
      <c r="D7" s="306" t="inlineStr">
        <is>
          <t>Year</t>
        </is>
      </c>
      <c r="E7" s="306" t="inlineStr"/>
      <c r="F7" s="306" t="inlineStr"/>
      <c r="G7" s="306" t="inlineStr">
        <is>
          <t>Source</t>
        </is>
      </c>
    </row>
    <row r="8">
      <c r="A8" s="166" t="inlineStr">
        <is>
          <t>Public-use airports in the Tennessee system (TASP 2040)</t>
        </is>
      </c>
      <c r="B8" s="167" t="n">
        <v>78</v>
      </c>
      <c r="C8" s="166" t="inlineStr">
        <is>
          <t>airports</t>
        </is>
      </c>
      <c r="D8" s="168" t="n">
        <v>2021</v>
      </c>
      <c r="E8" s="166" t="inlineStr"/>
      <c r="F8" s="166" t="inlineStr"/>
      <c r="G8" s="169" t="inlineStr">
        <is>
          <t>https://www.tasp2040.com/wp-content/uploads/2021/03/Updated-TASP-Inventory-Existing-System-Conditions-March-2021-v3.pdf</t>
        </is>
      </c>
    </row>
    <row r="9">
      <c r="A9" s="166" t="inlineStr">
        <is>
          <t>Commercial service / general aviation</t>
        </is>
      </c>
      <c r="B9" s="166" t="inlineStr">
        <is>
          <t>6 / 72</t>
        </is>
      </c>
      <c r="C9" s="166" t="inlineStr">
        <is>
          <t>airports</t>
        </is>
      </c>
      <c r="D9" s="168" t="n">
        <v>2021</v>
      </c>
      <c r="E9" s="166" t="inlineStr"/>
      <c r="F9" s="166" t="inlineStr"/>
      <c r="G9" s="169" t="inlineStr">
        <is>
          <t>https://www.tasp2040.com/wp-content/uploads/2021/03/Updated-TASP-Inventory-Existing-System-Conditions-March-2021-v3.pdf</t>
        </is>
      </c>
    </row>
    <row r="10">
      <c r="A10" s="166" t="inlineStr">
        <is>
          <t>Airports in the FAA NPIAS (eligible for AIP)</t>
        </is>
      </c>
      <c r="B10" s="167" t="n">
        <v>69</v>
      </c>
      <c r="C10" s="166" t="inlineStr">
        <is>
          <t>airports</t>
        </is>
      </c>
      <c r="D10" s="168" t="n">
        <v>2021</v>
      </c>
      <c r="E10" s="166" t="inlineStr"/>
      <c r="F10" s="166" t="inlineStr"/>
      <c r="G10" s="169" t="inlineStr">
        <is>
          <t>https://www.tasp2040.com/wp-content/uploads/2020/12/Chapter-7-Airport-Classifications-and-NPIAS-Evaluation.pdf</t>
        </is>
      </c>
    </row>
    <row r="11">
      <c r="A11" s="166" t="inlineStr">
        <is>
          <t>Airports in the TDOT pavement management network (APTech APMS, PCI per ASTM D5340)</t>
        </is>
      </c>
      <c r="B11" s="166" t="inlineStr">
        <is>
          <t>~70</t>
        </is>
      </c>
      <c r="C11" s="166" t="inlineStr">
        <is>
          <t>airports</t>
        </is>
      </c>
      <c r="D11" s="168" t="n">
        <v>2022</v>
      </c>
      <c r="E11" s="166" t="inlineStr"/>
      <c r="F11" s="166" t="inlineStr"/>
      <c r="G11" s="169" t="inlineStr">
        <is>
          <t>https://www.appliedpavement.com/tennessee-apms</t>
        </is>
      </c>
    </row>
    <row r="12">
      <c r="A12" s="166" t="inlineStr">
        <is>
          <t>PCI performance objective, runways / taxiways</t>
        </is>
      </c>
      <c r="B12" s="166" t="inlineStr">
        <is>
          <t>78 / 75</t>
        </is>
      </c>
      <c r="C12" s="166" t="inlineStr">
        <is>
          <t>PCI</t>
        </is>
      </c>
      <c r="D12" s="168" t="n">
        <v>2021</v>
      </c>
      <c r="E12" s="166" t="inlineStr"/>
      <c r="F12" s="166" t="inlineStr"/>
      <c r="G12" s="169" t="inlineStr">
        <is>
          <t>https://www.tn.gov/content/dam/tn/tdot/aeronautics/TN%20Airport%20Management%20Guide%20FINAL.pdf</t>
        </is>
      </c>
    </row>
    <row r="13">
      <c r="A13" s="166" t="inlineStr">
        <is>
          <t>TASP system-wide estimate: pavement rehabilitation (10-yr life goal)</t>
        </is>
      </c>
      <c r="B13" s="167" t="n">
        <v>70865874</v>
      </c>
      <c r="C13" s="166" t="inlineStr">
        <is>
          <t>$</t>
        </is>
      </c>
      <c r="D13" s="168" t="n">
        <v>2021</v>
      </c>
      <c r="E13" s="166" t="inlineStr"/>
      <c r="F13" s="166" t="inlineStr"/>
      <c r="G13" s="169" t="inlineStr">
        <is>
          <t>https://www.tasp2040.com/wp-content/uploads/2021/09/TASP-Cost-Estimate-Chapter.pdf</t>
        </is>
      </c>
    </row>
    <row r="14">
      <c r="A14" s="166" t="inlineStr">
        <is>
          <t>TASP system-wide estimate: pavement new / reconstruction (20-yr life goal)</t>
        </is>
      </c>
      <c r="B14" s="167" t="n">
        <v>173117648</v>
      </c>
      <c r="C14" s="166" t="inlineStr">
        <is>
          <t>$</t>
        </is>
      </c>
      <c r="D14" s="168" t="n">
        <v>2021</v>
      </c>
      <c r="E14" s="166" t="inlineStr"/>
      <c r="F14" s="166" t="inlineStr"/>
      <c r="G14" s="169" t="inlineStr">
        <is>
          <t>https://www.tasp2040.com/wp-content/uploads/2021/09/TASP-Cost-Estimate-Chapter.pdf</t>
        </is>
      </c>
    </row>
    <row r="15">
      <c r="A15" s="166" t="inlineStr">
        <is>
          <t>State share on GA capital projects (federal or state funded)</t>
        </is>
      </c>
      <c r="B15" s="166" t="inlineStr">
        <is>
          <t>up to 90% (10% local); 95/5 on federal discretionary</t>
        </is>
      </c>
      <c r="C15" s="166" t="inlineStr"/>
      <c r="D15" s="168" t="n">
        <v>2023</v>
      </c>
      <c r="E15" s="166" t="inlineStr"/>
      <c r="F15" s="166" t="inlineStr"/>
      <c r="G15" s="169" t="inlineStr">
        <is>
          <t>https://www.tn.gov/content/dam/tn/tdot/documents/170-02.pdf</t>
        </is>
      </c>
    </row>
    <row r="16">
      <c r="A16" s="166" t="inlineStr">
        <is>
          <t>Statewide Airfield Pavement and Marking Maintenance Program (crack seal, seal coat, markings)</t>
        </is>
      </c>
      <c r="B16" s="166" t="inlineStr">
        <is>
          <t>100% state funded, no local share</t>
        </is>
      </c>
      <c r="C16" s="166" t="inlineStr"/>
      <c r="D16" s="168" t="n">
        <v>2024</v>
      </c>
      <c r="E16" s="166" t="inlineStr"/>
      <c r="F16" s="166" t="inlineStr"/>
      <c r="G16" s="169" t="inlineStr">
        <is>
          <t>https://www.tn.gov/tdot/aeronautics/apmm-contract.html</t>
        </is>
      </c>
    </row>
    <row r="17">
      <c r="A17" s="166" t="inlineStr">
        <is>
          <t>Pavement areas and PCI by airport (statewide tables)</t>
        </is>
      </c>
      <c r="B17" s="166" t="inlineStr">
        <is>
          <t>see APTech IDEA portal</t>
        </is>
      </c>
      <c r="C17" s="166" t="inlineStr"/>
      <c r="D17" s="168" t="n">
        <v>2022</v>
      </c>
      <c r="E17" s="166" t="inlineStr"/>
      <c r="F17" s="166" t="inlineStr"/>
      <c r="G17" s="169" t="inlineStr">
        <is>
          <t>https://idea.appliedpavement.com/hosting/tennessee/statewide-summary/inventory-area/area-by-airport-table.html</t>
        </is>
      </c>
    </row>
    <row r="18">
      <c r="A18" s="166" t="inlineStr">
        <is>
          <t>NPIAS 2025-2029 classification of each TN airport (National / Regional / Local / Basic)</t>
        </is>
      </c>
      <c r="B18" s="166" t="inlineStr">
        <is>
          <t>see Appendix A</t>
        </is>
      </c>
      <c r="C18" s="166" t="inlineStr"/>
      <c r="D18" s="168" t="n">
        <v>2024</v>
      </c>
      <c r="E18" s="166" t="inlineStr"/>
      <c r="F18" s="166" t="inlineStr"/>
      <c r="G18" s="169" t="inlineStr">
        <is>
          <t>https://www.faa.gov/sites/faa.gov/files/airports/planning_capacity/npias/current/ARP-NPIAS-2025-2029-Appendix-A.pdf</t>
        </is>
      </c>
    </row>
    <row r="19" ht="26" customHeight="1">
      <c r="A19" s="307" t="inlineStr">
        <is>
          <t>The workbook dropdown holds the TASP airports (count in the live section below). The 17 airports with revenue data are those meeting Aeronautics' activity criteria.</t>
        </is>
      </c>
      <c r="B19" s="307"/>
      <c r="C19" s="307"/>
      <c r="D19" s="307"/>
      <c r="E19" s="307"/>
      <c r="F19" s="307"/>
      <c r="G19" s="307"/>
    </row>
    <row r="21" ht="22" customHeight="1">
      <c r="A21" s="304" t="inlineStr">
        <is>
          <t>2. Typical runway geometry at Tennessee GA airports (for D26 mainline area and D28 markings)</t>
        </is>
      </c>
      <c r="B21" s="305" t="n"/>
      <c r="C21" s="305" t="n"/>
      <c r="D21" s="305" t="n"/>
      <c r="E21" s="305" t="n"/>
      <c r="F21" s="305" t="n"/>
      <c r="G21" s="305" t="n"/>
    </row>
    <row r="22" ht="24" customHeight="1">
      <c r="A22" s="306" t="inlineStr">
        <is>
          <t>Airport</t>
        </is>
      </c>
      <c r="B22" s="306" t="inlineStr">
        <is>
          <t>Runway</t>
        </is>
      </c>
      <c r="C22" s="306" t="inlineStr">
        <is>
          <t>Length x width (ft)</t>
        </is>
      </c>
      <c r="D22" s="306" t="inlineStr">
        <is>
          <t>Mainline area (SY)</t>
        </is>
      </c>
      <c r="E22" s="306" t="inlineStr">
        <is>
          <t>Role</t>
        </is>
      </c>
      <c r="F22" s="306" t="inlineStr">
        <is>
          <t>Note</t>
        </is>
      </c>
      <c r="G22" s="306" t="inlineStr">
        <is>
          <t>Source</t>
        </is>
      </c>
    </row>
    <row r="23">
      <c r="A23" s="166" t="inlineStr">
        <is>
          <t>Murfreesboro Municipal (MBT)</t>
        </is>
      </c>
      <c r="B23" s="166" t="inlineStr">
        <is>
          <t>18/36</t>
        </is>
      </c>
      <c r="C23" s="166" t="inlineStr">
        <is>
          <t>4,753 x 100</t>
        </is>
      </c>
      <c r="D23" s="167" t="n">
        <v>52811</v>
      </c>
      <c r="E23" s="166" t="inlineStr">
        <is>
          <t>GA, Middle</t>
        </is>
      </c>
      <c r="F23" s="166" t="inlineStr">
        <is>
          <t>workbook MBT run used 52,778 SY</t>
        </is>
      </c>
      <c r="G23" s="169" t="inlineStr">
        <is>
          <t>https://en.wikipedia.org/wiki/Murfreesboro_Municipal_Airport</t>
        </is>
      </c>
    </row>
    <row r="24">
      <c r="A24" s="166" t="inlineStr">
        <is>
          <t>Bomar Field, Shelbyville (SYI)</t>
        </is>
      </c>
      <c r="B24" s="166" t="inlineStr">
        <is>
          <t>18/36</t>
        </is>
      </c>
      <c r="C24" s="166" t="inlineStr">
        <is>
          <t>5,503 x 100</t>
        </is>
      </c>
      <c r="D24" s="167" t="n">
        <v>61144</v>
      </c>
      <c r="E24" s="166" t="inlineStr">
        <is>
          <t>GA, Middle</t>
        </is>
      </c>
      <c r="F24" s="166" t="inlineStr"/>
      <c r="G24" s="169" t="inlineStr">
        <is>
          <t>https://en.wikipedia.org/wiki/Shelbyville_Municipal_Airport_(Tennessee)</t>
        </is>
      </c>
    </row>
    <row r="25">
      <c r="A25" s="166" t="inlineStr">
        <is>
          <t>Gatlinburg-Pigeon Forge (GKT)</t>
        </is>
      </c>
      <c r="B25" s="166" t="inlineStr">
        <is>
          <t>10/28</t>
        </is>
      </c>
      <c r="C25" s="166" t="inlineStr">
        <is>
          <t>5,506 x 75</t>
        </is>
      </c>
      <c r="D25" s="167" t="n">
        <v>45883</v>
      </c>
      <c r="E25" s="166" t="inlineStr">
        <is>
          <t>GA, East</t>
        </is>
      </c>
      <c r="F25" s="166" t="inlineStr">
        <is>
          <t>75-ft width</t>
        </is>
      </c>
      <c r="G25" s="169" t="inlineStr">
        <is>
          <t>https://en.wikipedia.org/wiki/Gatlinburg%E2%80%93Pigeon_Forge_Airport</t>
        </is>
      </c>
    </row>
    <row r="26">
      <c r="A26" s="166" t="inlineStr">
        <is>
          <t>Outlaw Field, Clarksville (CKV)</t>
        </is>
      </c>
      <c r="B26" s="166" t="inlineStr">
        <is>
          <t>17/35</t>
        </is>
      </c>
      <c r="C26" s="166" t="inlineStr">
        <is>
          <t>5,999 x 100</t>
        </is>
      </c>
      <c r="D26" s="167" t="n">
        <v>66656</v>
      </c>
      <c r="E26" s="166" t="inlineStr">
        <is>
          <t>GA, Middle</t>
        </is>
      </c>
      <c r="F26" s="166" t="inlineStr">
        <is>
          <t>used in the new-project test</t>
        </is>
      </c>
      <c r="G26" s="169" t="inlineStr">
        <is>
          <t>https://en.wikipedia.org/wiki/Clarksville%E2%80%93Montgomery_County_Regional_Airport</t>
        </is>
      </c>
    </row>
    <row r="27">
      <c r="A27" s="166" t="inlineStr">
        <is>
          <t>McKellar-Sipes Regional (MKL)</t>
        </is>
      </c>
      <c r="B27" s="166" t="inlineStr">
        <is>
          <t>2/20</t>
        </is>
      </c>
      <c r="C27" s="166" t="inlineStr">
        <is>
          <t>6,005 x 150</t>
        </is>
      </c>
      <c r="D27" s="167" t="n">
        <v>100083</v>
      </c>
      <c r="E27" s="166" t="inlineStr">
        <is>
          <t>GA, West</t>
        </is>
      </c>
      <c r="F27" s="166" t="inlineStr">
        <is>
          <t>rebuilt 2024, ~$28M all-in</t>
        </is>
      </c>
      <c r="G27" s="169" t="inlineStr">
        <is>
          <t>https://www.wbbjtv.com/2024/08/28/mckellar-sipes-regional-airport-set-to-complete-runway-2-20-paving-preparing-for-new-jet-service/</t>
        </is>
      </c>
    </row>
    <row r="28">
      <c r="A28" s="166" t="inlineStr">
        <is>
          <t>Smyrna (MQY)</t>
        </is>
      </c>
      <c r="B28" s="166" t="inlineStr">
        <is>
          <t>1/19</t>
        </is>
      </c>
      <c r="C28" s="166" t="inlineStr">
        <is>
          <t>5,546 x 100</t>
        </is>
      </c>
      <c r="D28" s="167" t="n">
        <v>61622</v>
      </c>
      <c r="E28" s="166" t="inlineStr">
        <is>
          <t>GA, Middle</t>
        </is>
      </c>
      <c r="F28" s="166" t="inlineStr">
        <is>
          <t>reconstructed 2025, ~$13M all-in</t>
        </is>
      </c>
      <c r="G28" s="169" t="inlineStr">
        <is>
          <t>https://www.smyrnaairport.com/news-events/smyrna-airport-runway-119-grand-opening</t>
        </is>
      </c>
    </row>
    <row r="29">
      <c r="A29" s="166" t="inlineStr">
        <is>
          <t>Smyrna (MQY)</t>
        </is>
      </c>
      <c r="B29" s="166" t="inlineStr">
        <is>
          <t>14/32</t>
        </is>
      </c>
      <c r="C29" s="166" t="inlineStr">
        <is>
          <t>8,038 x 150</t>
        </is>
      </c>
      <c r="D29" s="167" t="n">
        <v>133967</v>
      </c>
      <c r="E29" s="166" t="inlineStr">
        <is>
          <t>GA, Middle</t>
        </is>
      </c>
      <c r="F29" s="166" t="inlineStr">
        <is>
          <t>former military</t>
        </is>
      </c>
      <c r="G29" s="169" t="inlineStr">
        <is>
          <t>https://en.wikipedia.org/wiki/Smyrna_Airport_(Tennessee)</t>
        </is>
      </c>
    </row>
    <row r="30">
      <c r="A30" s="166" t="inlineStr">
        <is>
          <t>Typical TN GA runway</t>
        </is>
      </c>
      <c r="B30" s="166" t="inlineStr"/>
      <c r="C30" s="166" t="inlineStr">
        <is>
          <t>4,000 to 6,000 x 75 or 100</t>
        </is>
      </c>
      <c r="D30" s="166" t="inlineStr">
        <is>
          <t>33,000 to 67,000</t>
        </is>
      </c>
      <c r="E30" s="166" t="inlineStr"/>
      <c r="F30" s="166" t="inlineStr">
        <is>
          <t>TASP Regional Service minimum width 100 ft</t>
        </is>
      </c>
      <c r="G30" s="169" t="inlineStr">
        <is>
          <t>https://www.tasp2040.com/wp-content/uploads/2020/12/Chapter-7-Airport-Classifications-and-NPIAS-Evaluation.pdf</t>
        </is>
      </c>
    </row>
    <row r="31">
      <c r="A31" s="166" t="inlineStr">
        <is>
          <t>Markings area rule of thumb</t>
        </is>
      </c>
      <c r="B31" s="166" t="inlineStr"/>
      <c r="C31" s="166" t="inlineStr"/>
      <c r="D31" s="166" t="inlineStr"/>
      <c r="E31" s="166" t="inlineStr"/>
      <c r="F31" s="166" t="inlineStr">
        <is>
          <t>2,000 to 3,000 SF per 1,000 ft of runway for a full runway marking set (centerline, thresholds, designators, aiming points, TDZ where applicable); use the marking plan quantity when available</t>
        </is>
      </c>
      <c r="G31" s="166" t="inlineStr">
        <is>
          <t>engineering judgement; verify with the marking plan</t>
        </is>
      </c>
    </row>
    <row r="32" ht="26" customHeight="1">
      <c r="A32" s="307" t="inlineStr">
        <is>
          <t>Mainline area = length x width / 9. Shoulders (D27) are usually unpaved at TN GA airports; enter paved shoulders only. Area drives the closure-day defaults on the alternative sheets.</t>
        </is>
      </c>
      <c r="B32" s="307"/>
      <c r="C32" s="307"/>
      <c r="D32" s="307"/>
      <c r="E32" s="307"/>
      <c r="F32" s="307"/>
      <c r="G32" s="307"/>
    </row>
    <row r="34" ht="22" customHeight="1">
      <c r="A34" s="304" t="inlineStr">
        <is>
          <t>3. Unit costs: workbook defaults (Pay_Items, column F) against recent bids</t>
        </is>
      </c>
      <c r="B34" s="305" t="n"/>
      <c r="C34" s="305" t="n"/>
      <c r="D34" s="305" t="n"/>
      <c r="E34" s="305" t="n"/>
      <c r="F34" s="305" t="n"/>
      <c r="G34" s="305" t="n"/>
    </row>
    <row r="35" ht="24" customHeight="1">
      <c r="A35" s="306" t="inlineStr">
        <is>
          <t>Pay item</t>
        </is>
      </c>
      <c r="B35" s="306" t="inlineStr">
        <is>
          <t>Workbook default (live)</t>
        </is>
      </c>
      <c r="C35" s="306" t="inlineStr">
        <is>
          <t>Unit</t>
        </is>
      </c>
      <c r="D35" s="306" t="inlineStr">
        <is>
          <t>Recent bid range</t>
        </is>
      </c>
      <c r="E35" s="306" t="inlineStr">
        <is>
          <t>Year</t>
        </is>
      </c>
      <c r="F35" s="306" t="inlineStr">
        <is>
          <t>Reading</t>
        </is>
      </c>
      <c r="G35" s="306" t="inlineStr">
        <is>
          <t>Source</t>
        </is>
      </c>
    </row>
    <row r="36">
      <c r="A36" s="166" t="inlineStr">
        <is>
          <t>P-401 Asphalt Surface Course</t>
        </is>
      </c>
      <c r="B36" s="170">
        <f>IFERROR(VLOOKUP("Asphalt Surface Course",Pay_Items!$D:$F,3,0),"")</f>
        <v/>
      </c>
      <c r="C36" s="166" t="inlineStr">
        <is>
          <t>$/ton</t>
        </is>
      </c>
      <c r="D36" s="166" t="inlineStr">
        <is>
          <t>185 (low bid) to 232 (engineer's estimate)</t>
        </is>
      </c>
      <c r="E36" s="167" t="n">
        <v>2025</v>
      </c>
      <c r="F36" s="166" t="inlineStr">
        <is>
          <t>Workbook default looks low against 2025 southeastern bids; confirm before relying on the default</t>
        </is>
      </c>
      <c r="G36" s="169" t="inlineStr">
        <is>
          <t>https://aeronautics.sc.gov/sites/default/files/2025-05/250521_FLO_Rehab_Twy_A.pdf</t>
        </is>
      </c>
    </row>
    <row r="37">
      <c r="A37" s="166" t="inlineStr">
        <is>
          <t>P-401 Asphalt Base Course</t>
        </is>
      </c>
      <c r="B37" s="170">
        <f>IFERROR(VLOOKUP("Asphalt Base Course",Pay_Items!$D:$F,3,0),"")</f>
        <v/>
      </c>
      <c r="C37" s="166" t="inlineStr">
        <is>
          <t>$/ton</t>
        </is>
      </c>
      <c r="D37" s="166" t="inlineStr">
        <is>
          <t>typically 5 to 10% below surface course</t>
        </is>
      </c>
      <c r="E37" s="166" t="inlineStr"/>
      <c r="F37" s="166" t="inlineStr"/>
      <c r="G37" s="169" t="inlineStr">
        <is>
          <t>https://aeronautics.sc.gov/airport-development/sc-airport-capital-project-bid-tabulations</t>
        </is>
      </c>
    </row>
    <row r="38">
      <c r="A38" s="166" t="inlineStr">
        <is>
          <t>P-501 Concrete Pavement, 9-inch</t>
        </is>
      </c>
      <c r="B38" s="170">
        <f>IFERROR(VLOOKUP("Concrete Pavement, 9-inch",Pay_Items!$D:$F,3,0),"")</f>
        <v/>
      </c>
      <c r="C38" s="166" t="inlineStr">
        <is>
          <t>$/SY</t>
        </is>
      </c>
      <c r="D38" s="166" t="inlineStr">
        <is>
          <t>165 (8-in doweled apron, planning value)</t>
        </is>
      </c>
      <c r="E38" s="167" t="n">
        <v>2023</v>
      </c>
      <c r="F38" s="166" t="inlineStr">
        <is>
          <t>Planning value from another state DOT; obtain a TN or southeastern PCC bid before use</t>
        </is>
      </c>
      <c r="G38" s="169" t="inlineStr">
        <is>
          <t>https://www.dot.state.mn.us/aero/planning/documents/sasp/saspappendixf.pdf</t>
        </is>
      </c>
    </row>
    <row r="39">
      <c r="A39" s="166" t="inlineStr">
        <is>
          <t>P-209 Crushed Aggregate Base Course</t>
        </is>
      </c>
      <c r="B39" s="170">
        <f>IFERROR(VLOOKUP("Crushed Aggregate Base Course",Pay_Items!$D:$F,3,0),"")</f>
        <v/>
      </c>
      <c r="C39" s="166" t="inlineStr">
        <is>
          <t>$/CY</t>
        </is>
      </c>
      <c r="D39" s="166" t="inlineStr">
        <is>
          <t>not found in open sources; see SC bid tabs</t>
        </is>
      </c>
      <c r="E39" s="166" t="inlineStr"/>
      <c r="F39" s="166" t="inlineStr"/>
      <c r="G39" s="169" t="inlineStr">
        <is>
          <t>https://aeronautics.sc.gov/airport-development/sc-airport-capital-project-bid-tabulations</t>
        </is>
      </c>
    </row>
    <row r="40">
      <c r="A40" s="166" t="inlineStr">
        <is>
          <t>P-154 Subbase Course</t>
        </is>
      </c>
      <c r="B40" s="170">
        <f>IFERROR(VLOOKUP("Subbase Course",Pay_Items!$D:$F,3,0),"")</f>
        <v/>
      </c>
      <c r="C40" s="166" t="inlineStr">
        <is>
          <t>$/CY</t>
        </is>
      </c>
      <c r="D40" s="166" t="inlineStr">
        <is>
          <t>not found in open sources; see SC bid tabs</t>
        </is>
      </c>
      <c r="E40" s="166" t="inlineStr"/>
      <c r="F40" s="166" t="inlineStr"/>
      <c r="G40" s="169" t="inlineStr">
        <is>
          <t>https://aeronautics.sc.gov/airport-development/sc-airport-capital-project-bid-tabulations</t>
        </is>
      </c>
    </row>
    <row r="41">
      <c r="A41" s="166" t="inlineStr">
        <is>
          <t>P-101 Cold Milling</t>
        </is>
      </c>
      <c r="B41" s="170">
        <f>IFERROR(VLOOKUP("Cold Milling",Pay_Items!$D:$F,3,0),"")</f>
        <v/>
      </c>
      <c r="C41" s="166" t="inlineStr">
        <is>
          <t>$/SY</t>
        </is>
      </c>
      <c r="D41" s="166" t="inlineStr">
        <is>
          <t>4.70 (3-in, low bid) to 10.00 (variable depth, EE)</t>
        </is>
      </c>
      <c r="E41" s="167" t="n">
        <v>2025</v>
      </c>
      <c r="F41" s="166" t="inlineStr"/>
      <c r="G41" s="169" t="inlineStr">
        <is>
          <t>https://aeronautics.sc.gov/sites/default/files/2025-05/250521_FLO_Rehab_Twy_A.pdf</t>
        </is>
      </c>
    </row>
    <row r="42">
      <c r="A42" s="166" t="inlineStr">
        <is>
          <t>P-608 Emulsified Asphalt Surface Treatment</t>
        </is>
      </c>
      <c r="B42" s="170">
        <f>IFERROR(VLOOKUP("Emulsified Asphalt Surface Treatment",Pay_Items!$D:$F,3,0),"")</f>
        <v/>
      </c>
      <c r="C42" s="166" t="inlineStr">
        <is>
          <t>$/SY</t>
        </is>
      </c>
      <c r="D42" s="166" t="inlineStr">
        <is>
          <t>TDOT APMM 2022 Summary of Bids</t>
        </is>
      </c>
      <c r="E42" s="167" t="n">
        <v>2022</v>
      </c>
      <c r="F42" s="166" t="inlineStr">
        <is>
          <t>State maintenance contract prices apply to seal coats and crack sealing</t>
        </is>
      </c>
      <c r="G42" s="169" t="inlineStr">
        <is>
          <t>https://www.tn.gov/tdot/aeronautics/apmm-contract.html</t>
        </is>
      </c>
    </row>
    <row r="43">
      <c r="A43" s="166" t="inlineStr">
        <is>
          <t>P-620 Markings (reflective)</t>
        </is>
      </c>
      <c r="B43" s="170">
        <f>IFERROR(VLOOKUP("Markings (prep, markings, reflective media)",Pay_Items!$D:$F,3,0),"")</f>
        <v/>
      </c>
      <c r="C43" s="166" t="inlineStr">
        <is>
          <t>$/SF</t>
        </is>
      </c>
      <c r="D43" s="166" t="inlineStr">
        <is>
          <t>TDOT APMM 2022 Summary of Bids</t>
        </is>
      </c>
      <c r="E43" s="167" t="n">
        <v>2022</v>
      </c>
      <c r="F43" s="166" t="inlineStr"/>
      <c r="G43" s="169" t="inlineStr">
        <is>
          <t>https://www.tn.gov/tdot/aeronautics/apmm-contract.html</t>
        </is>
      </c>
    </row>
    <row r="44">
      <c r="A44" s="166" t="inlineStr">
        <is>
          <t>All-in runway reconstruction, TN 2024-2025 (pavement + lighting + grading)</t>
        </is>
      </c>
      <c r="B44" s="166" t="inlineStr"/>
      <c r="C44" s="166" t="inlineStr">
        <is>
          <t>$/SY</t>
        </is>
      </c>
      <c r="D44" s="166" t="inlineStr">
        <is>
          <t>210 (Smyrna 1/19) to 280 (MKL 2/20)</t>
        </is>
      </c>
      <c r="E44" s="167" t="n">
        <v>2025</v>
      </c>
      <c r="F44" s="166" t="inlineStr">
        <is>
          <t>Project-level figures; the LCCA compares pavement pay items only</t>
        </is>
      </c>
      <c r="G44" s="169" t="inlineStr">
        <is>
          <t>https://www.smyrnaairport.com/news-events/smyrna-airport-runway-119-grand-opening</t>
        </is>
      </c>
    </row>
    <row r="45">
      <c r="A45" s="166" t="inlineStr">
        <is>
          <t>State maintenance project example (Dyersburg): &gt;200,000 LF crack seal, &gt;121,000 SY seal coat, markings</t>
        </is>
      </c>
      <c r="B45" s="167" t="n">
        <v>820000</v>
      </c>
      <c r="C45" s="166" t="inlineStr">
        <is>
          <t>$</t>
        </is>
      </c>
      <c r="D45" s="166" t="inlineStr"/>
      <c r="E45" s="167" t="n">
        <v>2023</v>
      </c>
      <c r="F45" s="166" t="inlineStr">
        <is>
          <t>about $5/SY of runway treated</t>
        </is>
      </c>
      <c r="G45" s="169" t="inlineStr">
        <is>
          <t>https://www.stategazette.com/news/regional-airport-receives-state-grant/article_5fd852fd-1d67-525c-b6fc-b32fbc676bdc.html</t>
        </is>
      </c>
    </row>
    <row r="46" ht="26" customHeight="1">
      <c r="A46" s="307"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c r="B46" s="307"/>
      <c r="C46" s="307"/>
      <c r="D46" s="307"/>
      <c r="E46" s="307"/>
      <c r="F46" s="307"/>
      <c r="G46" s="307"/>
    </row>
    <row r="48" ht="22" customHeight="1">
      <c r="A48" s="304" t="inlineStr">
        <is>
          <t>4. Closure-day defaults built into the alternative sheets (cells F4:F10; override with project-specific values)</t>
        </is>
      </c>
      <c r="B48" s="305" t="n"/>
      <c r="C48" s="305" t="n"/>
      <c r="D48" s="305" t="n"/>
      <c r="E48" s="305" t="n"/>
      <c r="F48" s="305" t="n"/>
      <c r="G48" s="305" t="n"/>
    </row>
    <row r="49" ht="24" customHeight="1">
      <c r="A49" s="306" t="inlineStr">
        <is>
          <t>Operation</t>
        </is>
      </c>
      <c r="B49" s="306" t="inlineStr">
        <is>
          <t>Production rate in the formula</t>
        </is>
      </c>
      <c r="C49" s="306" t="inlineStr">
        <is>
          <t>Days for a 6,000 x 100 ft runway (66,667 SY, 15,000 SF markings)</t>
        </is>
      </c>
      <c r="D49" s="306" t="inlineStr">
        <is>
          <t>Where used</t>
        </is>
      </c>
      <c r="E49" s="306" t="inlineStr">
        <is>
          <t>Note</t>
        </is>
      </c>
      <c r="F49" s="306" t="inlineStr"/>
      <c r="G49" s="306" t="inlineStr">
        <is>
          <t>Source</t>
        </is>
      </c>
    </row>
    <row r="50">
      <c r="A50" s="166" t="inlineStr">
        <is>
          <t>Surface treatment (seal coat)</t>
        </is>
      </c>
      <c r="B50" s="166" t="inlineStr">
        <is>
          <t>15,000 SY/day</t>
        </is>
      </c>
      <c r="C50" s="166">
        <f>ROUNDUP(66667/15000,0)</f>
        <v/>
      </c>
      <c r="D50" s="166" t="inlineStr">
        <is>
          <t>HMA Maintenance 1-6</t>
        </is>
      </c>
      <c r="E50" s="166" t="inlineStr">
        <is>
          <t>each operation is rounded up to whole days</t>
        </is>
      </c>
      <c r="F50" s="166" t="inlineStr"/>
      <c r="G50" s="166" t="inlineStr">
        <is>
          <t>this workbook (MBT and SRB runs)</t>
        </is>
      </c>
    </row>
    <row r="51">
      <c r="A51" s="166" t="inlineStr">
        <is>
          <t>Markings: paint / layout and removal</t>
        </is>
      </c>
      <c r="B51" s="166" t="inlineStr">
        <is>
          <t>20,000 SF/day and 50,000 SF/day</t>
        </is>
      </c>
      <c r="C51" s="166">
        <f>ROUNDUP(15000/20000,0)+ROUNDUP(15000/50000,0)</f>
        <v/>
      </c>
      <c r="D51" s="166" t="inlineStr">
        <is>
          <t>every HMA activity</t>
        </is>
      </c>
      <c r="E51" s="166" t="inlineStr"/>
      <c r="F51" s="166" t="inlineStr"/>
      <c r="G51" s="166" t="inlineStr">
        <is>
          <t>this workbook</t>
        </is>
      </c>
    </row>
    <row r="52">
      <c r="A52" s="166" t="inlineStr">
        <is>
          <t>Patching</t>
        </is>
      </c>
      <c r="B52" s="166" t="inlineStr">
        <is>
          <t>10,000 SY of pavement per day at the policy rate (0.75% to 1.25% of area)</t>
        </is>
      </c>
      <c r="C52" s="166">
        <f>ROUNDUP(66667*0.0075/10000,0)</f>
        <v/>
      </c>
      <c r="D52" s="166" t="inlineStr">
        <is>
          <t>HMA Maintenance 3, 4, 6</t>
        </is>
      </c>
      <c r="E52" s="166" t="inlineStr"/>
      <c r="F52" s="166" t="inlineStr"/>
      <c r="G52" s="166" t="inlineStr">
        <is>
          <t>this workbook</t>
        </is>
      </c>
    </row>
    <row r="53">
      <c r="A53" s="166" t="inlineStr">
        <is>
          <t>Crack sealing</t>
        </is>
      </c>
      <c r="B53" s="166" t="inlineStr">
        <is>
          <t>5,000 SY of pavement per day at the policy rate (3.25% to 4% of area)</t>
        </is>
      </c>
      <c r="C53" s="166">
        <f>ROUNDUP(66667*0.0325/5000,0)</f>
        <v/>
      </c>
      <c r="D53" s="166" t="inlineStr">
        <is>
          <t>HMA Maintenance 3, 4, 6</t>
        </is>
      </c>
      <c r="E53" s="166" t="inlineStr"/>
      <c r="F53" s="166" t="inlineStr"/>
      <c r="G53" s="166" t="inlineStr">
        <is>
          <t>this workbook</t>
        </is>
      </c>
    </row>
    <row r="54">
      <c r="A54" s="166" t="inlineStr">
        <is>
          <t>Mill and overlay (4 in)</t>
        </is>
      </c>
      <c r="B54" s="166" t="inlineStr">
        <is>
          <t>3,800 SY/day</t>
        </is>
      </c>
      <c r="C54" s="166">
        <f>ROUNDUP(66667/3800,0)+ROUNDUP(15000/50000,0)</f>
        <v/>
      </c>
      <c r="D54" s="166" t="inlineStr">
        <is>
          <t>HMA Rehabilitation 1</t>
        </is>
      </c>
      <c r="E54" s="166" t="inlineStr">
        <is>
          <t>the largest HMA closure</t>
        </is>
      </c>
      <c r="F54" s="166" t="inlineStr"/>
      <c r="G54" s="166" t="inlineStr">
        <is>
          <t>this workbook</t>
        </is>
      </c>
    </row>
    <row r="55">
      <c r="A55" s="166" t="inlineStr">
        <is>
          <t>PCC joint resealing</t>
        </is>
      </c>
      <c r="B55" s="166" t="inlineStr">
        <is>
          <t>about 1 LF of joint per SY of slab, 10,000 LF/day</t>
        </is>
      </c>
      <c r="C55" s="166">
        <f>ROUNDUP(66667*550/(50*100/9)/10000,0)</f>
        <v/>
      </c>
      <c r="D55" s="166" t="inlineStr">
        <is>
          <t>PCC Maintenance 1 and Rehabilitation 1</t>
        </is>
      </c>
      <c r="E55" s="166" t="inlineStr"/>
      <c r="F55" s="166" t="inlineStr"/>
      <c r="G55" s="166" t="inlineStr">
        <is>
          <t>this workbook</t>
        </is>
      </c>
    </row>
    <row r="56">
      <c r="A56" s="166" t="inlineStr">
        <is>
          <t>PCC crack sealing, partial- and full-depth patching</t>
        </is>
      </c>
      <c r="B56" s="166" t="inlineStr">
        <is>
          <t>5,000 to 10,000 SY of pavement per day at the policy rate</t>
        </is>
      </c>
      <c r="C56" s="166">
        <f>ROUNDUP(66667*0.003/10000,0)+ROUNDUP(66667*0.0013/5000,0)+ROUNDUP(66667*0.0025/5000,0)</f>
        <v/>
      </c>
      <c r="D56" s="166" t="inlineStr">
        <is>
          <t>PCC Maintenance 1</t>
        </is>
      </c>
      <c r="E56" s="166" t="inlineStr"/>
      <c r="F56" s="166" t="inlineStr"/>
      <c r="G56" s="166" t="inlineStr">
        <is>
          <t>this workbook</t>
        </is>
      </c>
    </row>
    <row r="57">
      <c r="A57" s="166" t="inlineStr">
        <is>
          <t>PCC slab replacement (2% of area) + cure</t>
        </is>
      </c>
      <c r="B57" s="166" t="inlineStr">
        <is>
          <t>1,000 SY/day plus 7 days cure</t>
        </is>
      </c>
      <c r="C57" s="166">
        <f>ROUNDUP(66667*0.02/1000,0)+7</f>
        <v/>
      </c>
      <c r="D57" s="166" t="inlineStr">
        <is>
          <t>PCC Rehabilitation 1</t>
        </is>
      </c>
      <c r="E57" s="166" t="inlineStr">
        <is>
          <t>the largest PCC closure</t>
        </is>
      </c>
      <c r="F57" s="166" t="inlineStr"/>
      <c r="G57" s="166" t="inlineStr">
        <is>
          <t>this workbook</t>
        </is>
      </c>
    </row>
    <row r="58">
      <c r="A58" s="166" t="inlineStr">
        <is>
          <t>Typical totals over 30 years</t>
        </is>
      </c>
      <c r="B58" s="166" t="inlineStr"/>
      <c r="C58" s="166" t="inlineStr">
        <is>
          <t>HMA 57 to 67 days in 7 closures; PCC 27 to 29 days in 2 closures</t>
        </is>
      </c>
      <c r="D58" s="166" t="inlineStr">
        <is>
          <t>Summary column Q</t>
        </is>
      </c>
      <c r="E58" s="166" t="inlineStr">
        <is>
          <t>MBT (52,778 SY) and CKV test (66,667 SY)</t>
        </is>
      </c>
      <c r="F58" s="166" t="inlineStr"/>
      <c r="G58" s="166" t="inlineStr">
        <is>
          <t>this workbook</t>
        </is>
      </c>
    </row>
    <row r="59" ht="26" customHeight="1">
      <c r="A59" s="307"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c r="B59" s="307"/>
      <c r="C59" s="307"/>
      <c r="D59" s="307"/>
      <c r="E59" s="307"/>
      <c r="F59" s="307"/>
      <c r="G59" s="307"/>
    </row>
    <row r="61" ht="22" customHeight="1">
      <c r="A61" s="304" t="inlineStr">
        <is>
          <t>5. Economic parameters (D33 analysis period, D34 discount rate, salvage)</t>
        </is>
      </c>
      <c r="B61" s="305" t="n"/>
      <c r="C61" s="305" t="n"/>
      <c r="D61" s="305" t="n"/>
      <c r="E61" s="305" t="n"/>
      <c r="F61" s="305" t="n"/>
      <c r="G61" s="305" t="n"/>
    </row>
    <row r="62" ht="24" customHeight="1">
      <c r="A62" s="306" t="inlineStr">
        <is>
          <t>Parameter</t>
        </is>
      </c>
      <c r="B62" s="306" t="inlineStr">
        <is>
          <t>Value</t>
        </is>
      </c>
      <c r="C62" s="306" t="inlineStr">
        <is>
          <t>Applies to</t>
        </is>
      </c>
      <c r="D62" s="306" t="inlineStr">
        <is>
          <t>Year</t>
        </is>
      </c>
      <c r="E62" s="306" t="inlineStr"/>
      <c r="F62" s="306" t="inlineStr">
        <is>
          <t>Reading</t>
        </is>
      </c>
      <c r="G62" s="306" t="inlineStr">
        <is>
          <t>Source</t>
        </is>
      </c>
    </row>
    <row r="63">
      <c r="A63" s="166" t="inlineStr">
        <is>
          <t>TDOT policy discount rate (workbook default)</t>
        </is>
      </c>
      <c r="B63" s="170">
        <f>'General Information'!$D$34</f>
        <v/>
      </c>
      <c r="C63" s="166" t="inlineStr">
        <is>
          <t>%</t>
        </is>
      </c>
      <c r="D63" s="166" t="inlineStr"/>
      <c r="E63" s="166" t="inlineStr"/>
      <c r="F63" s="166" t="inlineStr">
        <is>
          <t>live from General Information D34</t>
        </is>
      </c>
      <c r="G63" s="166" t="inlineStr">
        <is>
          <t>this workbook</t>
        </is>
      </c>
    </row>
    <row r="64">
      <c r="A64" s="166" t="inlineStr">
        <is>
          <t>TDOT policy analysis period (workbook default)</t>
        </is>
      </c>
      <c r="B64" s="170">
        <f>'General Information'!$D$33</f>
        <v/>
      </c>
      <c r="C64" s="166" t="inlineStr">
        <is>
          <t>years</t>
        </is>
      </c>
      <c r="D64" s="166" t="inlineStr"/>
      <c r="E64" s="166" t="inlineStr"/>
      <c r="F64" s="166" t="inlineStr">
        <is>
          <t>live from General Information D33</t>
        </is>
      </c>
      <c r="G64" s="166" t="inlineStr">
        <is>
          <t>this workbook</t>
        </is>
      </c>
    </row>
    <row r="65">
      <c r="A65" s="166" t="inlineStr">
        <is>
          <t>FAA AIP: discount rate for pavement cost-effectiveness (PGL 22-01, June 2022)</t>
        </is>
      </c>
      <c r="B65" s="166" t="inlineStr">
        <is>
          <t>OMB Circular A-94 Appendix C real rate for the analysis period</t>
        </is>
      </c>
      <c r="C65" s="166" t="inlineStr">
        <is>
          <t>%</t>
        </is>
      </c>
      <c r="D65" s="168" t="n">
        <v>2022</v>
      </c>
      <c r="E65" s="166" t="inlineStr"/>
      <c r="F65" s="166" t="inlineStr">
        <is>
          <t>Replaced the fixed 7% rule; the analysis period is now the engineer's choice (the fixed 20-year requirement was removed)</t>
        </is>
      </c>
      <c r="G65" s="169" t="inlineStr">
        <is>
          <t>https://www.faa.gov/airports/aip/guidance_letters/aip_pgl_22_01</t>
        </is>
      </c>
    </row>
    <row r="66">
      <c r="A66" s="166" t="inlineStr">
        <is>
          <t>OMB A-94 Appendix C real rate, 20-year and 30-year (calendar 2026)</t>
        </is>
      </c>
      <c r="B66" s="167" t="n">
        <v>2</v>
      </c>
      <c r="C66" s="166" t="inlineStr">
        <is>
          <t>%</t>
        </is>
      </c>
      <c r="D66" s="168" t="n">
        <v>2026</v>
      </c>
      <c r="E66" s="166" t="inlineStr"/>
      <c r="F66" s="166" t="inlineStr">
        <is>
          <t>Revised March 2026 (OMB memo M-26-09); 2025 values were 1.8% (10-yr) and 2.3% (30-yr)</t>
        </is>
      </c>
      <c r="G66" s="169" t="inlineStr">
        <is>
          <t>https://www.whitehouse.gov/wp-content/uploads/2026/03/CircularA-94Appendix-C.pdf</t>
        </is>
      </c>
    </row>
    <row r="67">
      <c r="A67" s="166" t="inlineStr">
        <is>
          <t>Legacy FAA AIP rule before PGL 22-01</t>
        </is>
      </c>
      <c r="B67" s="166" t="inlineStr">
        <is>
          <t>7% and 20 years</t>
        </is>
      </c>
      <c r="C67" s="166" t="inlineStr"/>
      <c r="D67" s="168" t="n">
        <v>2014</v>
      </c>
      <c r="E67" s="166" t="inlineStr"/>
      <c r="F67" s="166" t="inlineStr">
        <is>
          <t>AIP Handbook (Order 5100.38D) pavement LCCA table; also the 1992 A-94 benefit-cost base case reinstated by OMB M-25-23 (April 2025) for BCA, not for cost-effectiveness</t>
        </is>
      </c>
      <c r="G67" s="169" t="inlineStr">
        <is>
          <t>https://www.whitehouse.gov/wp-content/uploads/2025/02/M-25-23-Rescission-and-Reinstatement-of-Circular-No.-A-94.pdf</t>
        </is>
      </c>
    </row>
    <row r="68">
      <c r="A68" s="166" t="inlineStr">
        <is>
          <t>FAA AC 150/5320-6E Appendix 1 (superseded)</t>
        </is>
      </c>
      <c r="B68" s="166" t="inlineStr">
        <is>
          <t>4% and 20 years; straight-line residual value</t>
        </is>
      </c>
      <c r="C68" s="166" t="inlineStr"/>
      <c r="D68" s="168" t="n">
        <v>2009</v>
      </c>
      <c r="E68" s="166" t="inlineStr"/>
      <c r="F68" s="166" t="inlineStr">
        <is>
          <t>Dropped in 6F/6G; still widely cited</t>
        </is>
      </c>
      <c r="G68" s="169" t="inlineStr">
        <is>
          <t>https://www.faa.gov/documentLibrary/media/Advisory_Circular/150_5320_6e_part4.pdf</t>
        </is>
      </c>
    </row>
    <row r="69">
      <c r="A69" s="166" t="inlineStr">
        <is>
          <t>AAPTP 06-06 airport LCCA guide (Auburn/NCAT)</t>
        </is>
      </c>
      <c r="B69" s="166" t="inlineStr">
        <is>
          <t>4%, 20 years, NPW, remaining-life salvage; user cost includes lost airport revenue</t>
        </is>
      </c>
      <c r="C69" s="166" t="inlineStr"/>
      <c r="D69" s="168" t="n">
        <v>2011</v>
      </c>
      <c r="E69" s="166" t="inlineStr"/>
      <c r="F69" s="166" t="inlineStr">
        <is>
          <t>Basis for the "airport daily revenue" approach used here</t>
        </is>
      </c>
      <c r="G69" s="169" t="inlineStr">
        <is>
          <t>https://www.eng.auburn.edu/research/centers/ncat/files/aaptp/Report.Final.06-06.pdf</t>
        </is>
      </c>
    </row>
    <row r="70">
      <c r="A70" s="166" t="inlineStr">
        <is>
          <t>Caltrans LCCA manual / RealCost</t>
        </is>
      </c>
      <c r="B70" s="166" t="inlineStr">
        <is>
          <t>4% real; 20 / 35 / 55 years (CAPM / rehabilitation / new construction)</t>
        </is>
      </c>
      <c r="C70" s="166" t="inlineStr"/>
      <c r="D70" s="168" t="n">
        <v>2013</v>
      </c>
      <c r="E70" s="166" t="inlineStr"/>
      <c r="F70" s="166" t="inlineStr">
        <is>
          <t>Agency and user costs reported as present value and EUAC; the Summary comparison block follows that layout</t>
        </is>
      </c>
      <c r="G70" s="169" t="inlineStr">
        <is>
          <t>https://dot.ca.gov/-/media/dot-media/programs/maintenance/documents/office-of-concrete-pavement/life-cycle-cost-analysis/lcca-25ca-manual-final-aug-1-2013-v2-a11y.pdf</t>
        </is>
      </c>
    </row>
    <row r="71">
      <c r="A71" s="166" t="inlineStr">
        <is>
          <t>Structural design life (FAARFIELD, AC 150/5320-6G)</t>
        </is>
      </c>
      <c r="B71" s="167" t="n">
        <v>20</v>
      </c>
      <c r="C71" s="166" t="inlineStr">
        <is>
          <t>years</t>
        </is>
      </c>
      <c r="D71" s="168" t="n">
        <v>2021</v>
      </c>
      <c r="E71" s="166" t="inlineStr"/>
      <c r="F71" s="166" t="inlineStr">
        <is>
          <t>design life, not service life</t>
        </is>
      </c>
      <c r="G71" s="169" t="inlineStr">
        <is>
          <t>https://www.faa.gov/documentLibrary/media/Advisory_Circular/150-5320-6G-Pavement-Design.pdf</t>
        </is>
      </c>
    </row>
    <row r="72">
      <c r="A72" s="166" t="inlineStr">
        <is>
          <t>Salvage: HMA</t>
        </is>
      </c>
      <c r="B72" s="170">
        <f>'Maintenance Policies'!$D$32</f>
        <v/>
      </c>
      <c r="C72" s="166" t="inlineStr">
        <is>
          <t>fraction of the last mill-and-overlay</t>
        </is>
      </c>
      <c r="D72" s="166" t="inlineStr"/>
      <c r="E72" s="166" t="inlineStr"/>
      <c r="F72" s="166" t="inlineStr">
        <is>
          <t>computed in Maintenance Policies D32: remaining life of the year-20 overlay at the analysis period, over a 16-year overlay life</t>
        </is>
      </c>
      <c r="G72" s="166" t="inlineStr">
        <is>
          <t>this workbook</t>
        </is>
      </c>
    </row>
    <row r="73">
      <c r="A73" s="166" t="inlineStr">
        <is>
          <t>Salvage: PCC</t>
        </is>
      </c>
      <c r="B73" s="170">
        <f>'Maintenance Policies'!$D$46</f>
        <v/>
      </c>
      <c r="C73" s="166" t="inlineStr">
        <is>
          <t>fraction of initial construction</t>
        </is>
      </c>
      <c r="D73" s="166" t="inlineStr"/>
      <c r="E73" s="166" t="inlineStr"/>
      <c r="F73" s="166" t="inlineStr">
        <is>
          <t>computed in Maintenance Policies D46: remaining life of the initial construction at the analysis period, over a 40-year life</t>
        </is>
      </c>
      <c r="G73" s="166" t="inlineStr">
        <is>
          <t>this workbook</t>
        </is>
      </c>
    </row>
    <row r="74">
      <c r="A74" s="166" t="inlineStr">
        <is>
          <t>Salvage method in FAA / AAPTP guidance</t>
        </is>
      </c>
      <c r="B74" s="166" t="inlineStr">
        <is>
          <t>remaining life / expected life x cost of the last treatment (straight line)</t>
        </is>
      </c>
      <c r="C74" s="166" t="inlineStr"/>
      <c r="D74" s="168" t="n">
        <v>2011</v>
      </c>
      <c r="E74" s="166" t="inlineStr"/>
      <c r="F74" s="166" t="inlineStr">
        <is>
          <t>the method is theirs, and from v1.2.0 the workbook computes it rather than carrying the two fractions as constants</t>
        </is>
      </c>
      <c r="G74" s="169" t="inlineStr">
        <is>
          <t>https://www.eng.auburn.edu/research/centers/ncat/files/aaptp/Report.Final.06-06.pdf</t>
        </is>
      </c>
    </row>
    <row r="75" ht="26" customHeight="1">
      <c r="A75" s="307" t="inlineStr">
        <is>
          <t>The Summary sensitivity chart runs 2% to 8% so both the current FAA rate (about 2%) and the legacy 7% are on the curve. G10 on the Summary states whether the lowest-cost alternative changes at either rate.</t>
        </is>
      </c>
      <c r="B75" s="307"/>
      <c r="C75" s="307"/>
      <c r="D75" s="307"/>
      <c r="E75" s="307"/>
      <c r="F75" s="307"/>
      <c r="G75" s="307"/>
    </row>
    <row r="77" ht="22" customHeight="1">
      <c r="A77" s="304" t="inlineStr">
        <is>
          <t>6. Maintenance timing and service life (Maintenance Policies sheet against published experience)</t>
        </is>
      </c>
      <c r="B77" s="305" t="n"/>
      <c r="C77" s="305" t="n"/>
      <c r="D77" s="305" t="n"/>
      <c r="E77" s="305" t="n"/>
      <c r="F77" s="305" t="n"/>
      <c r="G77" s="305" t="n"/>
    </row>
    <row r="78" ht="24" customHeight="1">
      <c r="A78" s="306" t="inlineStr">
        <is>
          <t>Item</t>
        </is>
      </c>
      <c r="B78" s="306" t="inlineStr">
        <is>
          <t>Workbook policy (live)</t>
        </is>
      </c>
      <c r="C78" s="306" t="inlineStr">
        <is>
          <t>Published range</t>
        </is>
      </c>
      <c r="D78" s="306" t="inlineStr">
        <is>
          <t>Year</t>
        </is>
      </c>
      <c r="E78" s="306" t="inlineStr"/>
      <c r="F78" s="306" t="inlineStr">
        <is>
          <t>Reading</t>
        </is>
      </c>
      <c r="G78" s="306" t="inlineStr">
        <is>
          <t>Source</t>
        </is>
      </c>
    </row>
    <row r="79">
      <c r="A79" s="166" t="inlineStr">
        <is>
          <t>HMA surface treatment / markings</t>
        </is>
      </c>
      <c r="B79" s="170">
        <f>"years "&amp;'Maintenance Policies'!$E$10&amp;", "&amp;'Maintenance Policies'!$E$12&amp;", "&amp;'Maintenance Policies'!$E$26</f>
        <v/>
      </c>
      <c r="C79" s="166" t="inlineStr">
        <is>
          <t>preventive-maintenance window PCI 60-80; inspect PCI every 3 years (AIP airports)</t>
        </is>
      </c>
      <c r="D79" s="168" t="n">
        <v>2014</v>
      </c>
      <c r="E79" s="166" t="inlineStr"/>
      <c r="F79" s="166" t="inlineStr">
        <is>
          <t>FAA ACs give the PCI window, not fixed year intervals; 4-year cycles are the TDOT policy</t>
        </is>
      </c>
      <c r="G79" s="169" t="inlineStr">
        <is>
          <t>https://www.faa.gov/documentlibrary/media/advisory_circular/150-5380-7b.pdf</t>
        </is>
      </c>
    </row>
    <row r="80">
      <c r="A80" s="166" t="inlineStr">
        <is>
          <t>HMA patching + crack sealing + treatment</t>
        </is>
      </c>
      <c r="B80" s="170">
        <f>"years "&amp;'Maintenance Policies'!$E$14&amp;", "&amp;'Maintenance Policies'!$E$18&amp;", "&amp;'Maintenance Policies'!$E$28</f>
        <v/>
      </c>
      <c r="C80" s="166" t="inlineStr">
        <is>
          <t>crack sealing, patching, seal coats per AC 150/5380-6C</t>
        </is>
      </c>
      <c r="D80" s="168" t="n">
        <v>2014</v>
      </c>
      <c r="E80" s="166" t="inlineStr"/>
      <c r="F80" s="166" t="inlineStr"/>
      <c r="G80" s="169" t="inlineStr">
        <is>
          <t>https://www.faa.gov/documentlibrary/media/advisory_circular/150-5380-6c.pdf</t>
        </is>
      </c>
    </row>
    <row r="81">
      <c r="A81" s="166" t="inlineStr">
        <is>
          <t>HMA mill and overlay</t>
        </is>
      </c>
      <c r="B81" s="170">
        <f>"year "&amp;'Maintenance Policies'!$E$22</f>
        <v/>
      </c>
      <c r="C81" s="166" t="inlineStr">
        <is>
          <t>asphalt runways reach PCI 70 in about 12 to 15 years (FAA 2014 performance trends)</t>
        </is>
      </c>
      <c r="D81" s="168" t="n">
        <v>2014</v>
      </c>
      <c r="E81" s="166" t="inlineStr"/>
      <c r="F81" s="166" t="inlineStr">
        <is>
          <t>policy year 20 is at the optimistic end of the published range</t>
        </is>
      </c>
      <c r="G81" s="169" t="inlineStr">
        <is>
          <t>https://www.acpa.org/wp-content/uploads/2025/03/ACPA-Achieving-the-Goals-of-the-FAAs-Extended-Airport-Pavement-Life-Program.pdf</t>
        </is>
      </c>
    </row>
    <row r="82">
      <c r="A82" s="166" t="inlineStr">
        <is>
          <t>PCC joint resealing + patching</t>
        </is>
      </c>
      <c r="B82" s="170">
        <f>"year "&amp;'Maintenance Policies'!$E$37</f>
        <v/>
      </c>
      <c r="C82" s="166" t="inlineStr">
        <is>
          <t>hot-pour sealant 3-8 yr; silicone 8-15 yr; compression seals 15-20 yr</t>
        </is>
      </c>
      <c r="D82" s="166" t="inlineStr"/>
      <c r="E82" s="166" t="inlineStr"/>
      <c r="F82" s="166" t="inlineStr">
        <is>
          <t>policy year 19 assumes silicone-class sealant life</t>
        </is>
      </c>
      <c r="G82" s="169" t="inlineStr">
        <is>
          <t>https://www.tarmacview.com/glossary/joint-sealant/</t>
        </is>
      </c>
    </row>
    <row r="83">
      <c r="A83" s="166" t="inlineStr">
        <is>
          <t>PCC slab replacement (2%) + joints</t>
        </is>
      </c>
      <c r="B83" s="170">
        <f>"year "&amp;'Maintenance Policies'!$E$41</f>
        <v/>
      </c>
      <c r="C83" s="166" t="inlineStr">
        <is>
          <t>PCC runways reach PCI 70 at about 40 years (FAA 2014)</t>
        </is>
      </c>
      <c r="D83" s="168" t="n">
        <v>2014</v>
      </c>
      <c r="E83" s="166" t="inlineStr"/>
      <c r="F83" s="166" t="inlineStr"/>
      <c r="G83" s="169" t="inlineStr">
        <is>
          <t>https://www.acpa.org/wp-content/uploads/2025/03/ACPA-Achieving-the-Goals-of-the-FAAs-Extended-Airport-Pavement-Life-Program.pdf</t>
        </is>
      </c>
    </row>
    <row r="84">
      <c r="A84" s="166" t="inlineStr">
        <is>
          <t>Expected service life</t>
        </is>
      </c>
      <c r="B84" s="166" t="inlineStr">
        <is>
          <t>HMA 20 yr design; PCC 30-40 yr</t>
        </is>
      </c>
      <c r="C84" s="166" t="inlineStr">
        <is>
          <t>FAA Extended Airport Pavement Life program targets 40 years</t>
        </is>
      </c>
      <c r="D84" s="168" t="n">
        <v>2024</v>
      </c>
      <c r="E84" s="166" t="inlineStr"/>
      <c r="F84" s="166" t="inlineStr"/>
      <c r="G84" s="169" t="inlineStr">
        <is>
          <t>https://www.airporttech.tc.faa.gov/Portals/0/FactSheets/Extended%20Airport%20Pavement%20Life%20Factsheet_May%202024.pdf</t>
        </is>
      </c>
    </row>
    <row r="85">
      <c r="A85" s="166" t="inlineStr">
        <is>
          <t>Treatment fact sheets with life and cost by treatment</t>
        </is>
      </c>
      <c r="B85" s="166" t="inlineStr"/>
      <c r="C85" s="166" t="inlineStr">
        <is>
          <t>ACRP Report 159 (GA airports) and ACRP Synthesis 22</t>
        </is>
      </c>
      <c r="D85" s="168" t="n">
        <v>2016</v>
      </c>
      <c r="E85" s="166" t="inlineStr"/>
      <c r="F85" s="166" t="inlineStr">
        <is>
          <t>use for project-specific overrides of the policy years</t>
        </is>
      </c>
      <c r="G85" s="169" t="inlineStr">
        <is>
          <t>https://nap.nationalacademies.org/catalog/23649/</t>
        </is>
      </c>
    </row>
    <row r="86">
      <c r="A86" s="166" t="inlineStr">
        <is>
          <t>Minimum layer thickness, AC 150/5320-6G</t>
        </is>
      </c>
      <c r="B86" s="166" t="inlineStr"/>
      <c r="C86" s="166" t="inlineStr">
        <is>
          <t>P-401 surface 4 in (&gt;= 12,500 lb); P-209 base 6 in; P-501 6 in (5 in under 12,500 lb)</t>
        </is>
      </c>
      <c r="D86" s="168" t="n">
        <v>2021</v>
      </c>
      <c r="E86" s="166" t="inlineStr"/>
      <c r="F86" s="166" t="inlineStr">
        <is>
          <t>check the pay-item quantities against these minimums</t>
        </is>
      </c>
      <c r="G86" s="169" t="inlineStr">
        <is>
          <t>https://www.faa.gov/documentLibrary/media/Advisory_Circular/150-5320-6G-Pavement-Design.pdf</t>
        </is>
      </c>
    </row>
    <row r="87" ht="26" customHeight="1">
      <c r="A87" s="307"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c r="B87" s="307"/>
      <c r="C87" s="307"/>
      <c r="D87" s="307"/>
      <c r="E87" s="307"/>
      <c r="F87" s="307"/>
      <c r="G87" s="307"/>
    </row>
    <row r="89">
      <c r="A89" s="163" t="inlineStr">
        <is>
          <t>Airport daily revenue used for lost-revenue cost (the 17 airports with revenue data; live from RevenueData)</t>
        </is>
      </c>
      <c r="B89" s="164" t="n"/>
      <c r="C89" s="164" t="n"/>
      <c r="D89" s="164" t="n"/>
      <c r="E89" s="164" t="n"/>
      <c r="F89" s="164" t="n"/>
      <c r="G89" s="164" t="n"/>
    </row>
    <row r="90">
      <c r="A90" s="165" t="inlineStr">
        <is>
          <t>Airport ID</t>
        </is>
      </c>
      <c r="B90" s="165" t="inlineStr">
        <is>
          <t>Daily revenue ($/day)</t>
        </is>
      </c>
      <c r="C90" s="165" t="inlineStr">
        <is>
          <t>Lost revenue, 7-day closure ($)</t>
        </is>
      </c>
      <c r="D90" s="165" t="inlineStr">
        <is>
          <t>Lost revenue, 19-day closure ($)</t>
        </is>
      </c>
      <c r="E90" s="165" t="inlineStr">
        <is>
          <t>Columns holding text (counted as $0)</t>
        </is>
      </c>
      <c r="F90" s="165" t="inlineStr"/>
      <c r="G90" s="165" t="inlineStr">
        <is>
          <t>Source</t>
        </is>
      </c>
    </row>
    <row r="91">
      <c r="A91" s="166">
        <f>IF(RevenueData!A2="","",RevenueData!A2)</f>
        <v/>
      </c>
      <c r="B91" s="170">
        <f>IF(A91="","",SUMIF(RevenueData!$A:$A,A91,RevenueData!$B:$B)+SUMIF(RevenueData!$A:$A,A91,RevenueData!$C:$C)+SUMIF(RevenueData!$A:$A,A91,RevenueData!$D:$D)+SUMIF(RevenueData!$A:$A,A91,RevenueData!$E:$E)+SUMIF(RevenueData!$A:$A,A91,RevenueData!$F:$F)+SUMIF(RevenueData!$A:$A,A91,RevenueData!$G:$G)+SUMIF(RevenueData!$A:$A,A91,RevenueData!$H:$H))</f>
        <v/>
      </c>
      <c r="C91" s="166">
        <f>IF(A91="","",B91*7)</f>
        <v/>
      </c>
      <c r="D91" s="166">
        <f>IF(A91="","",B91*19)</f>
        <v/>
      </c>
      <c r="E91" s="166">
        <f>IF(A91="","",TRIM(IF(ISNUMBER(RevenueData!B2),"","100LL ")&amp;IF(ISNUMBER(RevenueData!C2),"","Jet-A ")&amp;IF(ISNUMBER(RevenueData!G2),"","tenant ")&amp;IF(ISNUMBER(RevenueData!H2),"","other")))</f>
        <v/>
      </c>
      <c r="F91" s="166" t="inlineStr"/>
      <c r="G91" s="166" t="inlineStr">
        <is>
          <t>RevenueData sheet in this workbook (hidden)</t>
        </is>
      </c>
    </row>
    <row r="92">
      <c r="A92" s="166">
        <f>IF(RevenueData!A3="","",RevenueData!A3)</f>
        <v/>
      </c>
      <c r="B92" s="170">
        <f>IF(A92="","",SUMIF(RevenueData!$A:$A,A92,RevenueData!$B:$B)+SUMIF(RevenueData!$A:$A,A92,RevenueData!$C:$C)+SUMIF(RevenueData!$A:$A,A92,RevenueData!$D:$D)+SUMIF(RevenueData!$A:$A,A92,RevenueData!$E:$E)+SUMIF(RevenueData!$A:$A,A92,RevenueData!$F:$F)+SUMIF(RevenueData!$A:$A,A92,RevenueData!$G:$G)+SUMIF(RevenueData!$A:$A,A92,RevenueData!$H:$H))</f>
        <v/>
      </c>
      <c r="C92" s="166">
        <f>IF(A92="","",B92*7)</f>
        <v/>
      </c>
      <c r="D92" s="166">
        <f>IF(A92="","",B92*19)</f>
        <v/>
      </c>
      <c r="E92" s="166">
        <f>IF(A92="","",TRIM(IF(ISNUMBER(RevenueData!B3),"","100LL ")&amp;IF(ISNUMBER(RevenueData!C3),"","Jet-A ")&amp;IF(ISNUMBER(RevenueData!G3),"","tenant ")&amp;IF(ISNUMBER(RevenueData!H3),"","other")))</f>
        <v/>
      </c>
      <c r="F92" s="166" t="inlineStr"/>
      <c r="G92" s="166" t="inlineStr">
        <is>
          <t>RevenueData sheet in this workbook (hidden)</t>
        </is>
      </c>
    </row>
    <row r="93">
      <c r="A93" s="166">
        <f>IF(RevenueData!A4="","",RevenueData!A4)</f>
        <v/>
      </c>
      <c r="B93" s="170">
        <f>IF(A93="","",SUMIF(RevenueData!$A:$A,A93,RevenueData!$B:$B)+SUMIF(RevenueData!$A:$A,A93,RevenueData!$C:$C)+SUMIF(RevenueData!$A:$A,A93,RevenueData!$D:$D)+SUMIF(RevenueData!$A:$A,A93,RevenueData!$E:$E)+SUMIF(RevenueData!$A:$A,A93,RevenueData!$F:$F)+SUMIF(RevenueData!$A:$A,A93,RevenueData!$G:$G)+SUMIF(RevenueData!$A:$A,A93,RevenueData!$H:$H))</f>
        <v/>
      </c>
      <c r="C93" s="166">
        <f>IF(A93="","",B93*7)</f>
        <v/>
      </c>
      <c r="D93" s="166">
        <f>IF(A93="","",B93*19)</f>
        <v/>
      </c>
      <c r="E93" s="166">
        <f>IF(A93="","",TRIM(IF(ISNUMBER(RevenueData!B4),"","100LL ")&amp;IF(ISNUMBER(RevenueData!C4),"","Jet-A ")&amp;IF(ISNUMBER(RevenueData!G4),"","tenant ")&amp;IF(ISNUMBER(RevenueData!H4),"","other")))</f>
        <v/>
      </c>
      <c r="F93" s="166" t="inlineStr"/>
      <c r="G93" s="166" t="inlineStr">
        <is>
          <t>RevenueData sheet in this workbook (hidden)</t>
        </is>
      </c>
    </row>
    <row r="94">
      <c r="A94" s="166">
        <f>IF(RevenueData!A5="","",RevenueData!A5)</f>
        <v/>
      </c>
      <c r="B94" s="170">
        <f>IF(A94="","",SUMIF(RevenueData!$A:$A,A94,RevenueData!$B:$B)+SUMIF(RevenueData!$A:$A,A94,RevenueData!$C:$C)+SUMIF(RevenueData!$A:$A,A94,RevenueData!$D:$D)+SUMIF(RevenueData!$A:$A,A94,RevenueData!$E:$E)+SUMIF(RevenueData!$A:$A,A94,RevenueData!$F:$F)+SUMIF(RevenueData!$A:$A,A94,RevenueData!$G:$G)+SUMIF(RevenueData!$A:$A,A94,RevenueData!$H:$H))</f>
        <v/>
      </c>
      <c r="C94" s="166">
        <f>IF(A94="","",B94*7)</f>
        <v/>
      </c>
      <c r="D94" s="166">
        <f>IF(A94="","",B94*19)</f>
        <v/>
      </c>
      <c r="E94" s="166">
        <f>IF(A94="","",TRIM(IF(ISNUMBER(RevenueData!B5),"","100LL ")&amp;IF(ISNUMBER(RevenueData!C5),"","Jet-A ")&amp;IF(ISNUMBER(RevenueData!G5),"","tenant ")&amp;IF(ISNUMBER(RevenueData!H5),"","other")))</f>
        <v/>
      </c>
      <c r="F94" s="166" t="inlineStr"/>
      <c r="G94" s="166" t="inlineStr">
        <is>
          <t>RevenueData sheet in this workbook (hidden)</t>
        </is>
      </c>
    </row>
    <row r="95">
      <c r="A95" s="166">
        <f>IF(RevenueData!A6="","",RevenueData!A6)</f>
        <v/>
      </c>
      <c r="B95" s="170">
        <f>IF(A95="","",SUMIF(RevenueData!$A:$A,A95,RevenueData!$B:$B)+SUMIF(RevenueData!$A:$A,A95,RevenueData!$C:$C)+SUMIF(RevenueData!$A:$A,A95,RevenueData!$D:$D)+SUMIF(RevenueData!$A:$A,A95,RevenueData!$E:$E)+SUMIF(RevenueData!$A:$A,A95,RevenueData!$F:$F)+SUMIF(RevenueData!$A:$A,A95,RevenueData!$G:$G)+SUMIF(RevenueData!$A:$A,A95,RevenueData!$H:$H))</f>
        <v/>
      </c>
      <c r="C95" s="166">
        <f>IF(A95="","",B95*7)</f>
        <v/>
      </c>
      <c r="D95" s="166">
        <f>IF(A95="","",B95*19)</f>
        <v/>
      </c>
      <c r="E95" s="166">
        <f>IF(A95="","",TRIM(IF(ISNUMBER(RevenueData!B6),"","100LL ")&amp;IF(ISNUMBER(RevenueData!C6),"","Jet-A ")&amp;IF(ISNUMBER(RevenueData!G6),"","tenant ")&amp;IF(ISNUMBER(RevenueData!H6),"","other")))</f>
        <v/>
      </c>
      <c r="F95" s="166" t="inlineStr"/>
      <c r="G95" s="166" t="inlineStr">
        <is>
          <t>RevenueData sheet in this workbook (hidden)</t>
        </is>
      </c>
    </row>
    <row r="96">
      <c r="A96" s="166">
        <f>IF(RevenueData!A7="","",RevenueData!A7)</f>
        <v/>
      </c>
      <c r="B96" s="170">
        <f>IF(A96="","",SUMIF(RevenueData!$A:$A,A96,RevenueData!$B:$B)+SUMIF(RevenueData!$A:$A,A96,RevenueData!$C:$C)+SUMIF(RevenueData!$A:$A,A96,RevenueData!$D:$D)+SUMIF(RevenueData!$A:$A,A96,RevenueData!$E:$E)+SUMIF(RevenueData!$A:$A,A96,RevenueData!$F:$F)+SUMIF(RevenueData!$A:$A,A96,RevenueData!$G:$G)+SUMIF(RevenueData!$A:$A,A96,RevenueData!$H:$H))</f>
        <v/>
      </c>
      <c r="C96" s="166">
        <f>IF(A96="","",B96*7)</f>
        <v/>
      </c>
      <c r="D96" s="166">
        <f>IF(A96="","",B96*19)</f>
        <v/>
      </c>
      <c r="E96" s="166">
        <f>IF(A96="","",TRIM(IF(ISNUMBER(RevenueData!B7),"","100LL ")&amp;IF(ISNUMBER(RevenueData!C7),"","Jet-A ")&amp;IF(ISNUMBER(RevenueData!G7),"","tenant ")&amp;IF(ISNUMBER(RevenueData!H7),"","other")))</f>
        <v/>
      </c>
      <c r="F96" s="166" t="inlineStr"/>
      <c r="G96" s="166" t="inlineStr">
        <is>
          <t>RevenueData sheet in this workbook (hidden)</t>
        </is>
      </c>
    </row>
    <row r="97">
      <c r="A97" s="166">
        <f>IF(RevenueData!A8="","",RevenueData!A8)</f>
        <v/>
      </c>
      <c r="B97" s="170">
        <f>IF(A97="","",SUMIF(RevenueData!$A:$A,A97,RevenueData!$B:$B)+SUMIF(RevenueData!$A:$A,A97,RevenueData!$C:$C)+SUMIF(RevenueData!$A:$A,A97,RevenueData!$D:$D)+SUMIF(RevenueData!$A:$A,A97,RevenueData!$E:$E)+SUMIF(RevenueData!$A:$A,A97,RevenueData!$F:$F)+SUMIF(RevenueData!$A:$A,A97,RevenueData!$G:$G)+SUMIF(RevenueData!$A:$A,A97,RevenueData!$H:$H))</f>
        <v/>
      </c>
      <c r="C97" s="166">
        <f>IF(A97="","",B97*7)</f>
        <v/>
      </c>
      <c r="D97" s="166">
        <f>IF(A97="","",B97*19)</f>
        <v/>
      </c>
      <c r="E97" s="166">
        <f>IF(A97="","",TRIM(IF(ISNUMBER(RevenueData!B8),"","100LL ")&amp;IF(ISNUMBER(RevenueData!C8),"","Jet-A ")&amp;IF(ISNUMBER(RevenueData!G8),"","tenant ")&amp;IF(ISNUMBER(RevenueData!H8),"","other")))</f>
        <v/>
      </c>
      <c r="F97" s="166" t="inlineStr"/>
      <c r="G97" s="166" t="inlineStr">
        <is>
          <t>RevenueData sheet in this workbook (hidden)</t>
        </is>
      </c>
    </row>
    <row r="98">
      <c r="A98" s="166">
        <f>IF(RevenueData!A9="","",RevenueData!A9)</f>
        <v/>
      </c>
      <c r="B98" s="170">
        <f>IF(A98="","",SUMIF(RevenueData!$A:$A,A98,RevenueData!$B:$B)+SUMIF(RevenueData!$A:$A,A98,RevenueData!$C:$C)+SUMIF(RevenueData!$A:$A,A98,RevenueData!$D:$D)+SUMIF(RevenueData!$A:$A,A98,RevenueData!$E:$E)+SUMIF(RevenueData!$A:$A,A98,RevenueData!$F:$F)+SUMIF(RevenueData!$A:$A,A98,RevenueData!$G:$G)+SUMIF(RevenueData!$A:$A,A98,RevenueData!$H:$H))</f>
        <v/>
      </c>
      <c r="C98" s="166">
        <f>IF(A98="","",B98*7)</f>
        <v/>
      </c>
      <c r="D98" s="166">
        <f>IF(A98="","",B98*19)</f>
        <v/>
      </c>
      <c r="E98" s="166">
        <f>IF(A98="","",TRIM(IF(ISNUMBER(RevenueData!B9),"","100LL ")&amp;IF(ISNUMBER(RevenueData!C9),"","Jet-A ")&amp;IF(ISNUMBER(RevenueData!G9),"","tenant ")&amp;IF(ISNUMBER(RevenueData!H9),"","other")))</f>
        <v/>
      </c>
      <c r="F98" s="166" t="inlineStr"/>
      <c r="G98" s="166" t="inlineStr">
        <is>
          <t>RevenueData sheet in this workbook (hidden)</t>
        </is>
      </c>
    </row>
    <row r="99">
      <c r="A99" s="166">
        <f>IF(RevenueData!A10="","",RevenueData!A10)</f>
        <v/>
      </c>
      <c r="B99" s="170">
        <f>IF(A99="","",SUMIF(RevenueData!$A:$A,A99,RevenueData!$B:$B)+SUMIF(RevenueData!$A:$A,A99,RevenueData!$C:$C)+SUMIF(RevenueData!$A:$A,A99,RevenueData!$D:$D)+SUMIF(RevenueData!$A:$A,A99,RevenueData!$E:$E)+SUMIF(RevenueData!$A:$A,A99,RevenueData!$F:$F)+SUMIF(RevenueData!$A:$A,A99,RevenueData!$G:$G)+SUMIF(RevenueData!$A:$A,A99,RevenueData!$H:$H))</f>
        <v/>
      </c>
      <c r="C99" s="166">
        <f>IF(A99="","",B99*7)</f>
        <v/>
      </c>
      <c r="D99" s="166">
        <f>IF(A99="","",B99*19)</f>
        <v/>
      </c>
      <c r="E99" s="166">
        <f>IF(A99="","",TRIM(IF(ISNUMBER(RevenueData!B10),"","100LL ")&amp;IF(ISNUMBER(RevenueData!C10),"","Jet-A ")&amp;IF(ISNUMBER(RevenueData!G10),"","tenant ")&amp;IF(ISNUMBER(RevenueData!H10),"","other")))</f>
        <v/>
      </c>
      <c r="F99" s="166" t="inlineStr"/>
      <c r="G99" s="166" t="inlineStr">
        <is>
          <t>RevenueData sheet in this workbook (hidden)</t>
        </is>
      </c>
    </row>
    <row r="100">
      <c r="A100" s="166">
        <f>IF(RevenueData!A11="","",RevenueData!A11)</f>
        <v/>
      </c>
      <c r="B100" s="170">
        <f>IF(A100="","",SUMIF(RevenueData!$A:$A,A100,RevenueData!$B:$B)+SUMIF(RevenueData!$A:$A,A100,RevenueData!$C:$C)+SUMIF(RevenueData!$A:$A,A100,RevenueData!$D:$D)+SUMIF(RevenueData!$A:$A,A100,RevenueData!$E:$E)+SUMIF(RevenueData!$A:$A,A100,RevenueData!$F:$F)+SUMIF(RevenueData!$A:$A,A100,RevenueData!$G:$G)+SUMIF(RevenueData!$A:$A,A100,RevenueData!$H:$H))</f>
        <v/>
      </c>
      <c r="C100" s="166">
        <f>IF(A100="","",B100*7)</f>
        <v/>
      </c>
      <c r="D100" s="166">
        <f>IF(A100="","",B100*19)</f>
        <v/>
      </c>
      <c r="E100" s="166">
        <f>IF(A100="","",TRIM(IF(ISNUMBER(RevenueData!B11),"","100LL ")&amp;IF(ISNUMBER(RevenueData!C11),"","Jet-A ")&amp;IF(ISNUMBER(RevenueData!G11),"","tenant ")&amp;IF(ISNUMBER(RevenueData!H11),"","other")))</f>
        <v/>
      </c>
      <c r="F100" s="166" t="inlineStr"/>
      <c r="G100" s="166" t="inlineStr">
        <is>
          <t>RevenueData sheet in this workbook (hidden)</t>
        </is>
      </c>
    </row>
    <row r="101">
      <c r="A101" s="166">
        <f>IF(RevenueData!A12="","",RevenueData!A12)</f>
        <v/>
      </c>
      <c r="B101" s="170">
        <f>IF(A101="","",SUMIF(RevenueData!$A:$A,A101,RevenueData!$B:$B)+SUMIF(RevenueData!$A:$A,A101,RevenueData!$C:$C)+SUMIF(RevenueData!$A:$A,A101,RevenueData!$D:$D)+SUMIF(RevenueData!$A:$A,A101,RevenueData!$E:$E)+SUMIF(RevenueData!$A:$A,A101,RevenueData!$F:$F)+SUMIF(RevenueData!$A:$A,A101,RevenueData!$G:$G)+SUMIF(RevenueData!$A:$A,A101,RevenueData!$H:$H))</f>
        <v/>
      </c>
      <c r="C101" s="166">
        <f>IF(A101="","",B101*7)</f>
        <v/>
      </c>
      <c r="D101" s="166">
        <f>IF(A101="","",B101*19)</f>
        <v/>
      </c>
      <c r="E101" s="166">
        <f>IF(A101="","",TRIM(IF(ISNUMBER(RevenueData!B12),"","100LL ")&amp;IF(ISNUMBER(RevenueData!C12),"","Jet-A ")&amp;IF(ISNUMBER(RevenueData!G12),"","tenant ")&amp;IF(ISNUMBER(RevenueData!H12),"","other")))</f>
        <v/>
      </c>
      <c r="F101" s="166" t="inlineStr"/>
      <c r="G101" s="166" t="inlineStr">
        <is>
          <t>RevenueData sheet in this workbook (hidden)</t>
        </is>
      </c>
    </row>
    <row r="102">
      <c r="A102" s="166">
        <f>IF(RevenueData!A13="","",RevenueData!A13)</f>
        <v/>
      </c>
      <c r="B102" s="170">
        <f>IF(A102="","",SUMIF(RevenueData!$A:$A,A102,RevenueData!$B:$B)+SUMIF(RevenueData!$A:$A,A102,RevenueData!$C:$C)+SUMIF(RevenueData!$A:$A,A102,RevenueData!$D:$D)+SUMIF(RevenueData!$A:$A,A102,RevenueData!$E:$E)+SUMIF(RevenueData!$A:$A,A102,RevenueData!$F:$F)+SUMIF(RevenueData!$A:$A,A102,RevenueData!$G:$G)+SUMIF(RevenueData!$A:$A,A102,RevenueData!$H:$H))</f>
        <v/>
      </c>
      <c r="C102" s="166">
        <f>IF(A102="","",B102*7)</f>
        <v/>
      </c>
      <c r="D102" s="166">
        <f>IF(A102="","",B102*19)</f>
        <v/>
      </c>
      <c r="E102" s="166">
        <f>IF(A102="","",TRIM(IF(ISNUMBER(RevenueData!B13),"","100LL ")&amp;IF(ISNUMBER(RevenueData!C13),"","Jet-A ")&amp;IF(ISNUMBER(RevenueData!G13),"","tenant ")&amp;IF(ISNUMBER(RevenueData!H13),"","other")))</f>
        <v/>
      </c>
      <c r="F102" s="166" t="inlineStr"/>
      <c r="G102" s="166" t="inlineStr">
        <is>
          <t>RevenueData sheet in this workbook (hidden)</t>
        </is>
      </c>
    </row>
    <row r="103">
      <c r="A103" s="166">
        <f>IF(RevenueData!A14="","",RevenueData!A14)</f>
        <v/>
      </c>
      <c r="B103" s="170">
        <f>IF(A103="","",SUMIF(RevenueData!$A:$A,A103,RevenueData!$B:$B)+SUMIF(RevenueData!$A:$A,A103,RevenueData!$C:$C)+SUMIF(RevenueData!$A:$A,A103,RevenueData!$D:$D)+SUMIF(RevenueData!$A:$A,A103,RevenueData!$E:$E)+SUMIF(RevenueData!$A:$A,A103,RevenueData!$F:$F)+SUMIF(RevenueData!$A:$A,A103,RevenueData!$G:$G)+SUMIF(RevenueData!$A:$A,A103,RevenueData!$H:$H))</f>
        <v/>
      </c>
      <c r="C103" s="166">
        <f>IF(A103="","",B103*7)</f>
        <v/>
      </c>
      <c r="D103" s="166">
        <f>IF(A103="","",B103*19)</f>
        <v/>
      </c>
      <c r="E103" s="166">
        <f>IF(A103="","",TRIM(IF(ISNUMBER(RevenueData!B14),"","100LL ")&amp;IF(ISNUMBER(RevenueData!C14),"","Jet-A ")&amp;IF(ISNUMBER(RevenueData!G14),"","tenant ")&amp;IF(ISNUMBER(RevenueData!H14),"","other")))</f>
        <v/>
      </c>
      <c r="F103" s="166" t="inlineStr"/>
      <c r="G103" s="166" t="inlineStr">
        <is>
          <t>RevenueData sheet in this workbook (hidden)</t>
        </is>
      </c>
    </row>
    <row r="104">
      <c r="A104" s="166">
        <f>IF(RevenueData!A15="","",RevenueData!A15)</f>
        <v/>
      </c>
      <c r="B104" s="170">
        <f>IF(A104="","",SUMIF(RevenueData!$A:$A,A104,RevenueData!$B:$B)+SUMIF(RevenueData!$A:$A,A104,RevenueData!$C:$C)+SUMIF(RevenueData!$A:$A,A104,RevenueData!$D:$D)+SUMIF(RevenueData!$A:$A,A104,RevenueData!$E:$E)+SUMIF(RevenueData!$A:$A,A104,RevenueData!$F:$F)+SUMIF(RevenueData!$A:$A,A104,RevenueData!$G:$G)+SUMIF(RevenueData!$A:$A,A104,RevenueData!$H:$H))</f>
        <v/>
      </c>
      <c r="C104" s="166">
        <f>IF(A104="","",B104*7)</f>
        <v/>
      </c>
      <c r="D104" s="166">
        <f>IF(A104="","",B104*19)</f>
        <v/>
      </c>
      <c r="E104" s="166">
        <f>IF(A104="","",TRIM(IF(ISNUMBER(RevenueData!B15),"","100LL ")&amp;IF(ISNUMBER(RevenueData!C15),"","Jet-A ")&amp;IF(ISNUMBER(RevenueData!G15),"","tenant ")&amp;IF(ISNUMBER(RevenueData!H15),"","other")))</f>
        <v/>
      </c>
      <c r="F104" s="166" t="inlineStr"/>
      <c r="G104" s="166" t="inlineStr">
        <is>
          <t>RevenueData sheet in this workbook (hidden)</t>
        </is>
      </c>
    </row>
    <row r="105">
      <c r="A105" s="166">
        <f>IF(RevenueData!A16="","",RevenueData!A16)</f>
        <v/>
      </c>
      <c r="B105" s="170">
        <f>IF(A105="","",SUMIF(RevenueData!$A:$A,A105,RevenueData!$B:$B)+SUMIF(RevenueData!$A:$A,A105,RevenueData!$C:$C)+SUMIF(RevenueData!$A:$A,A105,RevenueData!$D:$D)+SUMIF(RevenueData!$A:$A,A105,RevenueData!$E:$E)+SUMIF(RevenueData!$A:$A,A105,RevenueData!$F:$F)+SUMIF(RevenueData!$A:$A,A105,RevenueData!$G:$G)+SUMIF(RevenueData!$A:$A,A105,RevenueData!$H:$H))</f>
        <v/>
      </c>
      <c r="C105" s="166">
        <f>IF(A105="","",B105*7)</f>
        <v/>
      </c>
      <c r="D105" s="166">
        <f>IF(A105="","",B105*19)</f>
        <v/>
      </c>
      <c r="E105" s="166">
        <f>IF(A105="","",TRIM(IF(ISNUMBER(RevenueData!B16),"","100LL ")&amp;IF(ISNUMBER(RevenueData!C16),"","Jet-A ")&amp;IF(ISNUMBER(RevenueData!G16),"","tenant ")&amp;IF(ISNUMBER(RevenueData!H16),"","other")))</f>
        <v/>
      </c>
      <c r="F105" s="166" t="inlineStr"/>
      <c r="G105" s="166" t="inlineStr">
        <is>
          <t>RevenueData sheet in this workbook (hidden)</t>
        </is>
      </c>
    </row>
    <row r="106">
      <c r="A106" s="166">
        <f>IF(RevenueData!A17="","",RevenueData!A17)</f>
        <v/>
      </c>
      <c r="B106" s="170">
        <f>IF(A106="","",SUMIF(RevenueData!$A:$A,A106,RevenueData!$B:$B)+SUMIF(RevenueData!$A:$A,A106,RevenueData!$C:$C)+SUMIF(RevenueData!$A:$A,A106,RevenueData!$D:$D)+SUMIF(RevenueData!$A:$A,A106,RevenueData!$E:$E)+SUMIF(RevenueData!$A:$A,A106,RevenueData!$F:$F)+SUMIF(RevenueData!$A:$A,A106,RevenueData!$G:$G)+SUMIF(RevenueData!$A:$A,A106,RevenueData!$H:$H))</f>
        <v/>
      </c>
      <c r="C106" s="166">
        <f>IF(A106="","",B106*7)</f>
        <v/>
      </c>
      <c r="D106" s="166">
        <f>IF(A106="","",B106*19)</f>
        <v/>
      </c>
      <c r="E106" s="166">
        <f>IF(A106="","",TRIM(IF(ISNUMBER(RevenueData!B17),"","100LL ")&amp;IF(ISNUMBER(RevenueData!C17),"","Jet-A ")&amp;IF(ISNUMBER(RevenueData!G17),"","tenant ")&amp;IF(ISNUMBER(RevenueData!H17),"","other")))</f>
        <v/>
      </c>
      <c r="F106" s="166" t="inlineStr"/>
      <c r="G106" s="166" t="inlineStr">
        <is>
          <t>RevenueData sheet in this workbook (hidden)</t>
        </is>
      </c>
    </row>
    <row r="107">
      <c r="A107" s="166">
        <f>IF(RevenueData!A18="","",RevenueData!A18)</f>
        <v/>
      </c>
      <c r="B107" s="170">
        <f>IF(A107="","",SUMIF(RevenueData!$A:$A,A107,RevenueData!$B:$B)+SUMIF(RevenueData!$A:$A,A107,RevenueData!$C:$C)+SUMIF(RevenueData!$A:$A,A107,RevenueData!$D:$D)+SUMIF(RevenueData!$A:$A,A107,RevenueData!$E:$E)+SUMIF(RevenueData!$A:$A,A107,RevenueData!$F:$F)+SUMIF(RevenueData!$A:$A,A107,RevenueData!$G:$G)+SUMIF(RevenueData!$A:$A,A107,RevenueData!$H:$H))</f>
        <v/>
      </c>
      <c r="C107" s="166">
        <f>IF(A107="","",B107*7)</f>
        <v/>
      </c>
      <c r="D107" s="166">
        <f>IF(A107="","",B107*19)</f>
        <v/>
      </c>
      <c r="E107" s="166">
        <f>IF(A107="","",TRIM(IF(ISNUMBER(RevenueData!B18),"","100LL ")&amp;IF(ISNUMBER(RevenueData!C18),"","Jet-A ")&amp;IF(ISNUMBER(RevenueData!G18),"","tenant ")&amp;IF(ISNUMBER(RevenueData!H18),"","other")))</f>
        <v/>
      </c>
      <c r="F107" s="166" t="inlineStr"/>
      <c r="G107" s="166" t="inlineStr">
        <is>
          <t>RevenueData sheet in this workbook (hidden)</t>
        </is>
      </c>
    </row>
    <row r="108" ht="26" customHeight="1">
      <c r="A108" s="307" t="inlineStr">
        <is>
          <t>Same SUMIF chain as General Information D39: text entries in RevenueData (" $-   ", " NA ", descriptions on XNX and M54) count as zero. 7 days is a typical surface-treatment closure and 19 days a mill-and-overlay closure for a 6,000 x 100 ft runway (see production rates).</t>
        </is>
      </c>
      <c r="B108" s="307"/>
      <c r="C108" s="307"/>
      <c r="D108" s="307"/>
      <c r="E108" s="307"/>
      <c r="F108" s="307"/>
      <c r="G108" s="307"/>
    </row>
    <row r="110">
      <c r="A110" s="163" t="inlineStr">
        <is>
          <t>Airports in the General Information dropdown</t>
        </is>
      </c>
      <c r="B110" s="164" t="n"/>
      <c r="C110" s="164" t="n"/>
      <c r="D110" s="164" t="n"/>
      <c r="E110" s="164" t="n"/>
      <c r="F110" s="164" t="n"/>
      <c r="G110" s="164" t="n"/>
    </row>
    <row r="111">
      <c r="A111" s="165" t="inlineStr">
        <is>
          <t>Item</t>
        </is>
      </c>
      <c r="B111" s="165" t="inlineStr">
        <is>
          <t>Value</t>
        </is>
      </c>
      <c r="C111" s="165" t="inlineStr"/>
      <c r="D111" s="165" t="inlineStr"/>
      <c r="E111" s="165" t="inlineStr"/>
      <c r="F111" s="165" t="inlineStr"/>
      <c r="G111" s="165" t="inlineStr">
        <is>
          <t>Source</t>
        </is>
      </c>
    </row>
    <row r="112">
      <c r="A112" s="166" t="inlineStr">
        <is>
          <t>Airports selectable in D9</t>
        </is>
      </c>
      <c r="B112" s="170">
        <f>COUNTA('General Information'!$L$10:$L$88)</f>
        <v/>
      </c>
      <c r="C112" s="166" t="inlineStr"/>
      <c r="D112" s="166" t="inlineStr"/>
      <c r="E112" s="166" t="inlineStr"/>
      <c r="F112" s="166" t="inlineStr"/>
      <c r="G112" s="166" t="inlineStr">
        <is>
          <t>General Information, hidden columns L:P</t>
        </is>
      </c>
    </row>
    <row r="113">
      <c r="A113" s="166" t="inlineStr">
        <is>
          <t>Airports with revenue data</t>
        </is>
      </c>
      <c r="B113" s="170">
        <f>COUNTA(RevenueData!$A$2:$A$60)</f>
        <v/>
      </c>
      <c r="C113" s="166" t="inlineStr"/>
      <c r="D113" s="166" t="inlineStr"/>
      <c r="E113" s="166" t="inlineStr"/>
      <c r="F113" s="166" t="inlineStr"/>
      <c r="G113" s="166" t="inlineStr">
        <is>
          <t>RevenueData</t>
        </is>
      </c>
    </row>
    <row r="114">
      <c r="A114" s="166" t="inlineStr">
        <is>
          <t>Airports with a Middle / West / East region tag</t>
        </is>
      </c>
      <c r="B114" s="170">
        <f>COUNTIF('General Information'!$P$10:$P$88,"Middle")&amp;" / "&amp;COUNTIF('General Information'!$P$10:$P$88,"West")&amp;" / "&amp;COUNTIF('General Information'!$P$10:$P$88,"East")</f>
        <v/>
      </c>
      <c r="C114" s="166" t="inlineStr"/>
      <c r="D114" s="166" t="inlineStr"/>
      <c r="E114" s="166" t="inlineStr"/>
      <c r="F114" s="166" t="inlineStr"/>
      <c r="G114" s="166" t="inlineStr">
        <is>
          <t>General Information, hidden columns L:P</t>
        </is>
      </c>
    </row>
  </sheetData>
  <mergeCells count="9">
    <mergeCell ref="A32:G32"/>
    <mergeCell ref="A87:G87"/>
    <mergeCell ref="A4:G4"/>
    <mergeCell ref="A75:G75"/>
    <mergeCell ref="A59:G59"/>
    <mergeCell ref="A19:G19"/>
    <mergeCell ref="A108:G108"/>
    <mergeCell ref="A46:G46"/>
    <mergeCell ref="A2:G2"/>
  </mergeCells>
  <pageMargins left="0.75" right="0.75" top="1" bottom="1" header="0.5" footer="0.5"/>
  <pageSetup orientation="landscape" fitToWidth="1" fitToHeight="0"/>
  <drawing r:id="rId1"/>
</worksheet>
</file>

<file path=xl/worksheets/sheet16.xml><?xml version="1.0" encoding="utf-8"?>
<worksheet xmlns:r="http://schemas.openxmlformats.org/officeDocument/2006/relationships" xmlns="http://schemas.openxmlformats.org/spreadsheetml/2006/main">
  <sheetPr>
    <tabColor rgb="FFBFBFBF"/>
    <outlinePr summaryBelow="1" summaryRight="1"/>
    <pageSetUpPr fitToPage="1"/>
  </sheetPr>
  <dimension ref="A1:E105"/>
  <sheetViews>
    <sheetView workbookViewId="0" showGridLines="0">
      <pane ySplit="3" topLeftCell="A4" activePane="bottomLeft" state="frozen"/>
      <selection pane="bottomLeft" activeCell="A1" sqref="A1"/>
    </sheetView>
  </sheetViews>
  <sheetFormatPr baseColWidth="8" defaultRowHeight="15"/>
  <cols>
    <col min="1" max="1" width="30" customWidth="1"/>
    <col min="2" max="2" width="22" customWidth="1"/>
    <col min="3" max="3" width="46" customWidth="1"/>
    <col min="4" max="4" width="52" customWidth="1"/>
    <col min="5" max="5" width="26" customWidth="1"/>
    <col min="6" max="16384" width="8.7109375"/>
  </cols>
  <sheetData>
    <row r="1" ht="40" customHeight="1">
      <c r="A1" s="172">
        <f>HYPERLINK("#'General Information'!D9","◄ General Information")</f>
        <v/>
      </c>
      <c r="B1" s="173">
        <f>HYPERLINK("#Summary!G1","Summary")</f>
        <v/>
      </c>
      <c r="C1" s="215" t="inlineStr">
        <is>
          <t xml:space="preserve">Method</t>
        </is>
      </c>
      <c r="D1" s="214" t="inlineStr">
        <is>
          <t xml:space="preserve">reference   ·   every formula as it stands in the sheet, and why</t>
        </is>
      </c>
    </row>
    <row r="2" ht="32" customHeight="1">
      <c r="A2" s="261" t="inlineStr">
        <is>
          <t xml:space="preserve">Reference only: nothing here feeds the calculation. Eleven sections, each row giving the cell a formula lives in, the formula itself, what it means and the rule it comes from.</t>
        </is>
      </c>
      <c r="B2" s="262"/>
      <c r="C2" s="262"/>
      <c r="D2" s="262"/>
      <c r="E2" s="262"/>
    </row>
    <row r="3" ht="6" customHeight="1"/>
    <row r="4" ht="26" customHeight="1">
      <c r="A4" s="307"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c r="B4" s="307"/>
      <c r="C4" s="307"/>
      <c r="D4" s="307"/>
      <c r="E4" s="307"/>
    </row>
    <row r="5" ht="22" customHeight="1">
      <c r="A5" s="303" t="inlineStr">
        <is>
          <t xml:space="preserve">Quantity × unit cost   ›   + mobilization &amp; engineering   ›   policy year for each event   ›   + closure days × daily revenue   ›   − salvage   ›   discount to today = net present worth</t>
        </is>
      </c>
      <c r="B5" s="303"/>
      <c r="C5" s="303"/>
      <c r="D5" s="303"/>
      <c r="E5" s="303"/>
    </row>
    <row r="6" ht="22" customHeight="1">
      <c r="A6" s="304" t="inlineStr">
        <is>
          <t>1. The answer the workbook produces</t>
        </is>
      </c>
      <c r="B6" s="305" t="n"/>
      <c r="C6" s="305" t="n"/>
      <c r="D6" s="305" t="n"/>
      <c r="E6" s="305" t="n"/>
    </row>
    <row r="7" ht="24" customHeight="1">
      <c r="A7" s="306" t="inlineStr">
        <is>
          <t>Step / quantity</t>
        </is>
      </c>
      <c r="B7" s="306" t="inlineStr">
        <is>
          <t>Where it lives</t>
        </is>
      </c>
      <c r="C7" s="306" t="inlineStr">
        <is>
          <t>Formula as it stands</t>
        </is>
      </c>
      <c r="D7" s="306" t="inlineStr">
        <is>
          <t>What it means</t>
        </is>
      </c>
      <c r="E7" s="306" t="inlineStr">
        <is>
          <t>Source of the rule</t>
        </is>
      </c>
    </row>
    <row r="8">
      <c r="A8" s="180" t="inlineStr">
        <is>
          <t>Net present worth (NPW)</t>
        </is>
      </c>
      <c r="B8" s="180" t="inlineStr">
        <is>
          <t>Alt sheet E52 (HMA), E43 (PCC)</t>
        </is>
      </c>
      <c r="C8" s="181" t="inlineStr">
        <is>
          <t>=SUM(E36:E51)</t>
        </is>
      </c>
      <c r="D8" s="180"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80" t="inlineStr">
        <is>
          <t>FHWA LCCA Primer; TDOT framework</t>
        </is>
      </c>
    </row>
    <row r="9">
      <c r="A9" s="180" t="inlineStr">
        <is>
          <t>Where it is reported</t>
        </is>
      </c>
      <c r="B9" s="180" t="inlineStr">
        <is>
          <t>Summary O4:O7 and D4:D7</t>
        </is>
      </c>
      <c r="C9" s="181" t="inlineStr">
        <is>
          <t>=IFERROR(INDEX(INDIRECT("'"&amp;$G4&amp;"'!$E$1:$E$70"),MATCH("Net Present Worth",...)),0)</t>
        </is>
      </c>
      <c r="D9" s="180" t="inlineStr">
        <is>
          <t>The Summary reads the NPW out of each alternative worksheet by name, so it follows whatever alternatives exist.</t>
        </is>
      </c>
      <c r="E9" s="180" t="inlineStr">
        <is>
          <t>Summary, v1.2.0</t>
        </is>
      </c>
    </row>
    <row r="10">
      <c r="A10" s="180" t="inlineStr">
        <is>
          <t>Everything else is presentation</t>
        </is>
      </c>
      <c r="B10" s="180" t="inlineStr">
        <is>
          <t>Summary G3:R7, G12:O17, charts 1 to 7</t>
        </is>
      </c>
      <c r="C10" s="181" t="inlineStr"/>
      <c r="D10" s="180" t="inlineStr">
        <is>
          <t>The results table, the comparison block, the five cost charts and the two section charts all restate the same numbers. No chart or block feeds a cost back into the calculation.</t>
        </is>
      </c>
      <c r="E10" s="180" t="inlineStr">
        <is>
          <t>Summary, v1.2.0</t>
        </is>
      </c>
    </row>
    <row r="11" ht="26" customHeight="1">
      <c r="A11" s="307" t="inlineStr">
        <is>
          <t>Read the steps below in order: they follow the money from the quantities you type to the NPW.</t>
        </is>
      </c>
      <c r="B11" s="307"/>
      <c r="C11" s="307"/>
      <c r="D11" s="307"/>
      <c r="E11" s="307"/>
    </row>
    <row r="13" ht="22" customHeight="1">
      <c r="A13" s="304" t="inlineStr">
        <is>
          <t>2. Step 1: initial construction cost</t>
        </is>
      </c>
      <c r="B13" s="305" t="n"/>
      <c r="C13" s="305" t="n"/>
      <c r="D13" s="305" t="n"/>
      <c r="E13" s="305" t="n"/>
    </row>
    <row r="14" ht="24" customHeight="1">
      <c r="A14" s="306" t="inlineStr">
        <is>
          <t>Step / quantity</t>
        </is>
      </c>
      <c r="B14" s="306" t="inlineStr">
        <is>
          <t>Where it lives</t>
        </is>
      </c>
      <c r="C14" s="306" t="inlineStr">
        <is>
          <t>Formula as it stands</t>
        </is>
      </c>
      <c r="D14" s="306" t="inlineStr">
        <is>
          <t>What it means</t>
        </is>
      </c>
      <c r="E14" s="306" t="inlineStr">
        <is>
          <t>Source of the rule</t>
        </is>
      </c>
    </row>
    <row r="15">
      <c r="A15" s="180" t="inlineStr">
        <is>
          <t>Item cost</t>
        </is>
      </c>
      <c r="B15" s="180" t="inlineStr">
        <is>
          <t>Alt sheet G13:G22</t>
        </is>
      </c>
      <c r="C15" s="181" t="inlineStr">
        <is>
          <t>=IF(B13&lt;&gt;0,F13*E13,0)</t>
        </is>
      </c>
      <c r="D15" s="180" t="inlineStr">
        <is>
          <t>The quantity you type in column E times the unit cost the item carries on Pay_Items. Ten item lines are available.</t>
        </is>
      </c>
      <c r="E15" s="180" t="inlineStr">
        <is>
          <t>Alternative worksheet</t>
        </is>
      </c>
    </row>
    <row r="16">
      <c r="A16" s="180" t="inlineStr">
        <is>
          <t>Unit cost, item number, unit</t>
        </is>
      </c>
      <c r="B16" s="180" t="inlineStr">
        <is>
          <t>Alt sheet B, D and F columns</t>
        </is>
      </c>
      <c r="C16" s="181" t="inlineStr">
        <is>
          <t>=IF(C13="","N/A",IF(INDEX(UnitCostGrid,MATCH(C13,PayItemKeys,0),$I$11)="",INDEX(UnitCostGrid,MATCH(C13,PayItemKeys,0),1),INDEX(UnitCostGrid,MATCH(C13,PayItemKeys,0),$I$11)))</t>
        </is>
      </c>
      <c r="D16" s="180" t="inlineStr">
        <is>
          <t>Unit costs are never typed on an alternative sheet. Picking a description in column C pulls the item number, the unit and the price from Pay_Items, so a price change for every future project is one edit on Pay_Items. UnitCostGrid is Table2[[Unit Cost]:[East]], the four price columns; I11 turns the division picked in C11 into which of them to read.</t>
        </is>
      </c>
      <c r="E16" s="180" t="inlineStr">
        <is>
          <t>Pay_Items (Table2), columns F to I</t>
        </is>
      </c>
    </row>
    <row r="17">
      <c r="A17" s="180" t="inlineStr">
        <is>
          <t>Which division the alternative is priced from</t>
        </is>
      </c>
      <c r="B17" s="180" t="inlineStr">
        <is>
          <t>Alt sheet C11 and I11</t>
        </is>
      </c>
      <c r="C17" s="181" t="inlineStr">
        <is>
          <t>=IFERROR(MATCH($C$11,PriceSources,0),1)</t>
        </is>
      </c>
      <c r="D17" s="180" t="inlineStr">
        <is>
          <t>C11 is a list: Regular, Middle, West or East. Regular is the statewide Unit Cost column and is what a new alternative ships with. Any item the chosen division leaves blank is priced from Unit Cost instead, so filling one regional cost prices that item regionally and changes nothing else. An empty C11 reads as Regular.</t>
        </is>
      </c>
      <c r="E17" s="180" t="inlineStr">
        <is>
          <t>v1.2.0, Pay_Items columns F to I</t>
        </is>
      </c>
    </row>
    <row r="18">
      <c r="A18" s="180" t="inlineStr">
        <is>
          <t>Pay-item subtotal</t>
        </is>
      </c>
      <c r="B18" s="180" t="inlineStr">
        <is>
          <t>Alt sheet G24</t>
        </is>
      </c>
      <c r="C18" s="181" t="inlineStr">
        <is>
          <t>=SUM(G13:G22)</t>
        </is>
      </c>
      <c r="D18" s="180" t="inlineStr">
        <is>
          <t>The ten item lines. (In v1.1.2 this summed G14:G22 and silently dropped item 1.)</t>
        </is>
      </c>
      <c r="E18" s="180" t="inlineStr">
        <is>
          <t>v1.2.0 fix 1</t>
        </is>
      </c>
    </row>
    <row r="19">
      <c r="A19" s="180" t="inlineStr">
        <is>
          <t>Mobilization</t>
        </is>
      </c>
      <c r="B19" s="180" t="inlineStr">
        <is>
          <t>Alt sheet G25</t>
        </is>
      </c>
      <c r="C19" s="181" t="inlineStr">
        <is>
          <t>=('General Information'!$D$36/100)*G24</t>
        </is>
      </c>
      <c r="D19" s="180" t="inlineStr">
        <is>
          <t>A percentage of the pay-item subtotal. Default 10 percent, set on General Information D36.</t>
        </is>
      </c>
      <c r="E19" s="180" t="inlineStr">
        <is>
          <t>General Information D36</t>
        </is>
      </c>
    </row>
    <row r="20">
      <c r="A20" s="180" t="inlineStr">
        <is>
          <t>Engineering</t>
        </is>
      </c>
      <c r="B20" s="180" t="inlineStr">
        <is>
          <t>Alt sheet G26</t>
        </is>
      </c>
      <c r="C20" s="181" t="inlineStr">
        <is>
          <t>=('General Information'!$D$37/100)*G24</t>
        </is>
      </c>
      <c r="D20" s="180" t="inlineStr">
        <is>
          <t>A percentage of the pay-item subtotal. Default 5 percent, set on General Information D37. Applied to initial construction from v1.2.0; before that it was charged only on later work.</t>
        </is>
      </c>
      <c r="E20" s="180" t="inlineStr">
        <is>
          <t>General Information D37; v1.2.0 fix 2</t>
        </is>
      </c>
    </row>
    <row r="21">
      <c r="A21" s="180" t="inlineStr">
        <is>
          <t>Initial construction total</t>
        </is>
      </c>
      <c r="B21" s="180" t="inlineStr">
        <is>
          <t>Alt sheet G27</t>
        </is>
      </c>
      <c r="C21" s="181" t="inlineStr">
        <is>
          <t>=SUM(G24:G26)</t>
        </is>
      </c>
      <c r="D21" s="180" t="inlineStr">
        <is>
          <t>Subtotal plus mobilization plus engineering. This is the "Initial construction" column on the Summary and the year-0 row of the life-cycle table.</t>
        </is>
      </c>
      <c r="E21" s="180" t="inlineStr">
        <is>
          <t>Alternative worksheet</t>
        </is>
      </c>
    </row>
    <row r="23" ht="22" customHeight="1">
      <c r="A23" s="304" t="inlineStr">
        <is>
          <t>3. Step 2: when the later work happens</t>
        </is>
      </c>
      <c r="B23" s="305" t="n"/>
      <c r="C23" s="305" t="n"/>
      <c r="D23" s="305" t="n"/>
      <c r="E23" s="305" t="n"/>
    </row>
    <row r="24" ht="24" customHeight="1">
      <c r="A24" s="306" t="inlineStr">
        <is>
          <t>Step / quantity</t>
        </is>
      </c>
      <c r="B24" s="306" t="inlineStr">
        <is>
          <t>Where it lives</t>
        </is>
      </c>
      <c r="C24" s="306" t="inlineStr">
        <is>
          <t>Formula as it stands</t>
        </is>
      </c>
      <c r="D24" s="306" t="inlineStr">
        <is>
          <t>What it means</t>
        </is>
      </c>
      <c r="E24" s="306" t="inlineStr">
        <is>
          <t>Source of the rule</t>
        </is>
      </c>
    </row>
    <row r="25">
      <c r="A25" s="180" t="inlineStr">
        <is>
          <t>Year of each event</t>
        </is>
      </c>
      <c r="B25" s="180" t="inlineStr">
        <is>
          <t>Alt sheet C37:C51</t>
        </is>
      </c>
      <c r="C25" s="181" t="inlineStr">
        <is>
          <t>='Maintenance Policies'!E10</t>
        </is>
      </c>
      <c r="D25" s="180" t="inlineStr">
        <is>
          <t>Years come from the maintenance policy tables, not from the project. New HMA: maintenance at 4, 8, 12 and 16, mill-and-overlay rehabilitation at 20, maintenance at 24 and 28, salvage at 30. New PCC: maintenance at 19, rehabilitation at 27, salvage at 30.</t>
        </is>
      </c>
      <c r="E25" s="180" t="inlineStr">
        <is>
          <t>Maintenance Policies, Tables 1 and 2</t>
        </is>
      </c>
    </row>
    <row r="26">
      <c r="A26" s="180" t="inlineStr">
        <is>
          <t>The year is an offset</t>
        </is>
      </c>
      <c r="B26" s="180" t="inlineStr">
        <is>
          <t>Alt sheet column C</t>
        </is>
      </c>
      <c r="C26" s="181" t="inlineStr"/>
      <c r="D26" s="180" t="inlineStr">
        <is>
          <t>Column C counts years after construction, not calendar years. Calendar years appear only on the Summary charts, where the construction year is added back.</t>
        </is>
      </c>
      <c r="E26" s="180" t="inlineStr">
        <is>
          <t>Alternative worksheet</t>
        </is>
      </c>
    </row>
    <row r="27">
      <c r="A27" s="180" t="inlineStr">
        <is>
          <t>Events beyond the analysis period</t>
        </is>
      </c>
      <c r="B27" s="180" t="inlineStr">
        <is>
          <t>Alt sheet column E</t>
        </is>
      </c>
      <c r="C27" s="181" t="inlineStr">
        <is>
          <t>=IF(C37&gt;'General Information'!$D$33,0,...)</t>
        </is>
      </c>
      <c r="D27" s="180" t="inlineStr">
        <is>
          <t>An event later than the analysis period is dropped to zero. A 20-year run therefore drops HMA maintenance 5 and 6 and the PCC rehabilitation. Added in v1.2.0; before that every event was counted whatever the period.</t>
        </is>
      </c>
      <c r="E27" s="180" t="inlineStr">
        <is>
          <t>General Information D33; v1.2.0 fix 3</t>
        </is>
      </c>
    </row>
    <row r="28" ht="26" customHeight="1">
      <c r="A28" s="307" t="inlineStr">
        <is>
          <t>Changing a policy year on Maintenance Policies moves the event everywhere: the cost, the chart and the closure.</t>
        </is>
      </c>
      <c r="B28" s="307"/>
      <c r="C28" s="307"/>
      <c r="D28" s="307"/>
      <c r="E28" s="307"/>
    </row>
    <row r="30" ht="22" customHeight="1">
      <c r="A30" s="304" t="inlineStr">
        <is>
          <t>4. Step 3: what each maintenance and rehabilitation event costs</t>
        </is>
      </c>
      <c r="B30" s="305" t="n"/>
      <c r="C30" s="305" t="n"/>
      <c r="D30" s="305" t="n"/>
      <c r="E30" s="305" t="n"/>
    </row>
    <row r="31" ht="24" customHeight="1">
      <c r="A31" s="306" t="inlineStr">
        <is>
          <t>Step / quantity</t>
        </is>
      </c>
      <c r="B31" s="306" t="inlineStr">
        <is>
          <t>Where it lives</t>
        </is>
      </c>
      <c r="C31" s="306" t="inlineStr">
        <is>
          <t>Formula as it stands</t>
        </is>
      </c>
      <c r="D31" s="306" t="inlineStr">
        <is>
          <t>What it means</t>
        </is>
      </c>
      <c r="E31" s="306" t="inlineStr">
        <is>
          <t>Source of the rule</t>
        </is>
      </c>
    </row>
    <row r="32">
      <c r="A32" s="180" t="inlineStr">
        <is>
          <t>HMA maintenance 1 and 2 (years 4, 8)</t>
        </is>
      </c>
      <c r="B32" s="180" t="inlineStr">
        <is>
          <t>Alt sheet J13:P19 and R13:X19 (hidden to the right)</t>
        </is>
      </c>
      <c r="C32" s="181" t="inlineStr">
        <is>
          <t>qty = 'Maintenance Policies'!D10*$C$5 ; cost = unit cost x qty</t>
        </is>
      </c>
      <c r="D32" s="180" t="inlineStr">
        <is>
          <t>Surface treatment over 100 percent of the mainline area, the old markings removed and 100 percent of the markings repainted. The treatment product is the one chosen in C7.</t>
        </is>
      </c>
      <c r="E32" s="180" t="inlineStr">
        <is>
          <t>Maintenance Policies rows 10 to 13</t>
        </is>
      </c>
    </row>
    <row r="33">
      <c r="A33" s="180" t="inlineStr">
        <is>
          <t>HMA maintenance 3 and 4 (years 12, 16)</t>
        </is>
      </c>
      <c r="B33" s="180" t="inlineStr">
        <is>
          <t>Alt sheet Z13:AD20 and AH13:AN21</t>
        </is>
      </c>
      <c r="C33" s="181" t="inlineStr">
        <is>
          <t>qty = 'Maintenance Policies'!D14*($C$5*9)</t>
        </is>
      </c>
      <c r="D33" s="180" t="inlineStr">
        <is>
          <t>Patching 0.75 and 1.00 percent of the area (converted to square feet, hence x9), crack sealing 3.25 and 3.50 percent of the area as linear feet, then a full surface treatment and markings.</t>
        </is>
      </c>
      <c r="E33" s="180" t="inlineStr">
        <is>
          <t>Maintenance Policies rows 14 to 21</t>
        </is>
      </c>
    </row>
    <row r="34">
      <c r="A34" s="180" t="inlineStr">
        <is>
          <t>HMA rehabilitation 1 (year 20)</t>
        </is>
      </c>
      <c r="B34" s="180" t="inlineStr">
        <is>
          <t>Alt sheet AP13:AV22</t>
        </is>
      </c>
      <c r="C34" s="181" t="inlineStr">
        <is>
          <t>qty = 'Maintenance Policies'!D22*$C$5</t>
        </is>
      </c>
      <c r="D34" s="180" t="inlineStr">
        <is>
          <t>4-inch cold mill, tack coat and asphalt overlay over 100 percent of the area, with pre-overlay crack repair on 1.5 percent and patching on 0.5 percent, plus markings.</t>
        </is>
      </c>
      <c r="E34" s="180" t="inlineStr">
        <is>
          <t>Maintenance Policies rows 22 to 25</t>
        </is>
      </c>
    </row>
    <row r="35">
      <c r="A35" s="180" t="inlineStr">
        <is>
          <t>PCC maintenance 1 (year 19)</t>
        </is>
      </c>
      <c r="B35" s="180" t="inlineStr">
        <is>
          <t>Alt sheet J13:P20</t>
        </is>
      </c>
      <c r="C35" s="181" t="inlineStr">
        <is>
          <t>qty = K8*'Maintenance Policies'!D37 and 'Maintenance Policies'!D38*(C5*9)</t>
        </is>
      </c>
      <c r="D35" s="180" t="inlineStr">
        <is>
          <t>Joint resealing over the whole estimated joint length, crack sealing 0.25 percent of the area as linear feet, partial-depth patching 0.13 percent and full-depth patching 0.30 percent.</t>
        </is>
      </c>
      <c r="E35" s="180" t="inlineStr">
        <is>
          <t>Maintenance Policies rows 37 to 40</t>
        </is>
      </c>
    </row>
    <row r="36">
      <c r="A36" s="180" t="inlineStr">
        <is>
          <t>PCC rehabilitation 1 (year 27)</t>
        </is>
      </c>
      <c r="B36" s="180" t="inlineStr">
        <is>
          <t>Alt sheet R13:X21</t>
        </is>
      </c>
      <c r="C36" s="181" t="inlineStr">
        <is>
          <t>qty = 'Maintenance Policies'!D41*C5 (slabs) and 'Maintenance Policies'!D45*K8 (joints)</t>
        </is>
      </c>
      <c r="D36" s="180" t="inlineStr">
        <is>
          <t>Slab replacement on 2 percent of the area, full-depth patching 0.30 percent, partial-depth 0.13 percent, crack sealing 0.30 percent as linear feet and joint sealing over the full joint length.</t>
        </is>
      </c>
      <c r="E36" s="180" t="inlineStr">
        <is>
          <t>Maintenance Policies rows 41 to 45</t>
        </is>
      </c>
    </row>
    <row r="37">
      <c r="A37" s="180" t="inlineStr">
        <is>
          <t>Joint length (PCC only)</t>
        </is>
      </c>
      <c r="B37" s="180" t="inlineStr">
        <is>
          <t>Alt sheet K7 and K8</t>
        </is>
      </c>
      <c r="C37" s="181" t="inlineStr">
        <is>
          <t>=C5/((12.5*12.5)/9) then =K7*25+((K7/8)*12.5)</t>
        </is>
      </c>
      <c r="D37" s="180" t="inlineStr">
        <is>
          <t>Slabs are assumed 12.5 x 12.5 ft; the joint length follows from the panel count. Nothing asks the user for a joint layout.</t>
        </is>
      </c>
      <c r="E37" s="180" t="inlineStr">
        <is>
          <t>Alternative worksheet (PCC)</t>
        </is>
      </c>
    </row>
    <row r="38">
      <c r="A38" s="180" t="inlineStr">
        <is>
          <t>Mobilization and engineering on each event</t>
        </is>
      </c>
      <c r="B38" s="180" t="inlineStr">
        <is>
          <t>Alt sheet P17, P18 and the matching cells in each block</t>
        </is>
      </c>
      <c r="C38" s="181" t="inlineStr">
        <is>
          <t>=('General Information'!$D$36/100)*P16</t>
        </is>
      </c>
      <c r="D38" s="180" t="inlineStr">
        <is>
          <t>Every maintenance and rehabilitation event carries the same mobilization and engineering percentages as initial construction.</t>
        </is>
      </c>
      <c r="E38" s="180" t="inlineStr">
        <is>
          <t>General Information D36, D37</t>
        </is>
      </c>
    </row>
    <row r="39" ht="26" customHeight="1">
      <c r="A39" s="307" t="inlineStr">
        <is>
          <t>The quantities of later work are computed from the policy rates and the project area. They are not typed anywhere.</t>
        </is>
      </c>
      <c r="B39" s="307"/>
      <c r="C39" s="307"/>
      <c r="D39" s="307"/>
      <c r="E39" s="307"/>
    </row>
    <row r="41" ht="22" customHeight="1">
      <c r="A41" s="304" t="inlineStr">
        <is>
          <t>5. Step 4: how long the runway closes</t>
        </is>
      </c>
      <c r="B41" s="305" t="n"/>
      <c r="C41" s="305" t="n"/>
      <c r="D41" s="305" t="n"/>
      <c r="E41" s="305" t="n"/>
    </row>
    <row r="42" ht="24" customHeight="1">
      <c r="A42" s="306" t="inlineStr">
        <is>
          <t>Step / quantity</t>
        </is>
      </c>
      <c r="B42" s="306" t="inlineStr">
        <is>
          <t>Where it lives</t>
        </is>
      </c>
      <c r="C42" s="306" t="inlineStr">
        <is>
          <t>Formula as it stands</t>
        </is>
      </c>
      <c r="D42" s="306" t="inlineStr">
        <is>
          <t>What it means</t>
        </is>
      </c>
      <c r="E42" s="306" t="inlineStr">
        <is>
          <t>Source of the rule</t>
        </is>
      </c>
    </row>
    <row r="43">
      <c r="A43" s="180" t="inlineStr">
        <is>
          <t>HMA surface treatment (F4, F5, F9)</t>
        </is>
      </c>
      <c r="B43" s="180" t="inlineStr">
        <is>
          <t>Alt sheet F4:F10 (grey, editable)</t>
        </is>
      </c>
      <c r="C43" s="181" t="inlineStr">
        <is>
          <t>=ROUNDUP((C5/15000),0)+ROUNDUP((C8/20000),0)+ROUNDUP((C8/50000),0)</t>
        </is>
      </c>
      <c r="D43" s="180" t="inlineStr">
        <is>
          <t>Production rates: 15,000 S.Y. a day of surface treatment, plus the two marking operations at 20,000 and 50,000 S.F. a day.</t>
        </is>
      </c>
      <c r="E43" s="180" t="inlineStr">
        <is>
          <t>v1.2.0 defaults, taken from the MBT and SRB runs</t>
        </is>
      </c>
    </row>
    <row r="44">
      <c r="A44" s="180" t="inlineStr">
        <is>
          <t>HMA with patching and crack sealing (F6, F7, F10)</t>
        </is>
      </c>
      <c r="B44" s="180" t="inlineStr">
        <is>
          <t>Alt sheet F6, F7, F10</t>
        </is>
      </c>
      <c r="C44" s="181" t="inlineStr">
        <is>
          <t>... +ROUNDUP((C5*'Maintenance Policies'!D15/10000),0)+ROUNDUP((C5*'Maintenance Policies'!D14/5000),0)</t>
        </is>
      </c>
      <c r="D44" s="180" t="inlineStr">
        <is>
          <t>Adds crack sealing at 10,000 L.F. a day and patching at 5,000 S.Y. a day, on the policy quantities for that event.</t>
        </is>
      </c>
      <c r="E44" s="180" t="inlineStr">
        <is>
          <t>v1.2.0 defaults</t>
        </is>
      </c>
    </row>
    <row r="45">
      <c r="A45" s="180" t="inlineStr">
        <is>
          <t>HMA mill and overlay (F8)</t>
        </is>
      </c>
      <c r="B45" s="180" t="inlineStr">
        <is>
          <t>Alt sheet F8</t>
        </is>
      </c>
      <c r="C45" s="181" t="inlineStr">
        <is>
          <t>=ROUNDUP((C5/3800),0)+ROUNDUP((C8/50000),0)</t>
        </is>
      </c>
      <c r="D45" s="180" t="inlineStr">
        <is>
          <t>Mill and overlay at 3,800 S.Y. a day, plus markings.</t>
        </is>
      </c>
      <c r="E45" s="180" t="inlineStr">
        <is>
          <t>v1.2.0 defaults</t>
        </is>
      </c>
    </row>
    <row r="46">
      <c r="A46" s="180" t="inlineStr">
        <is>
          <t>PCC (F4, F5)</t>
        </is>
      </c>
      <c r="B46" s="180" t="inlineStr">
        <is>
          <t>Alt sheet F4, F5</t>
        </is>
      </c>
      <c r="C46" s="181" t="inlineStr">
        <is>
          <t>=ROUNDUP(C5*550/(50*100/9)/10000,0)+... +7 on F5</t>
        </is>
      </c>
      <c r="D46" s="180" t="inlineStr">
        <is>
          <t>Joint work at 10,000 L.F. a day, patching and sealing at 5,000 a day, slab replacement at 1,000 S.Y. a day, plus seven days of cure before the runway reopens.</t>
        </is>
      </c>
      <c r="E46" s="180" t="inlineStr">
        <is>
          <t>v1.2.0 defaults</t>
        </is>
      </c>
    </row>
    <row r="47">
      <c r="A47" s="180" t="inlineStr">
        <is>
          <t>These are inputs</t>
        </is>
      </c>
      <c r="B47" s="180" t="inlineStr">
        <is>
          <t>Alt sheet F4:F10</t>
        </is>
      </c>
      <c r="C47" s="181" t="inlineStr"/>
      <c r="D47" s="180" t="inlineStr">
        <is>
          <t>The cells are grey because a project can override them. Type a number and the formula is replaced for that alternative only.</t>
        </is>
      </c>
      <c r="E47" s="180" t="inlineStr">
        <is>
          <t>Alternative worksheet</t>
        </is>
      </c>
    </row>
    <row r="48" ht="26" customHeight="1">
      <c r="A48" s="307" t="inlineStr">
        <is>
          <t>Closure days matter only when lost revenue is switched on, but they are always reported on the Summary.</t>
        </is>
      </c>
      <c r="B48" s="307"/>
      <c r="C48" s="307"/>
      <c r="D48" s="307"/>
      <c r="E48" s="307"/>
    </row>
    <row r="50" ht="22" customHeight="1">
      <c r="A50" s="304" t="inlineStr">
        <is>
          <t>6. Step 5: lost airport revenue (the "indirect cost")</t>
        </is>
      </c>
      <c r="B50" s="305" t="n"/>
      <c r="C50" s="305" t="n"/>
      <c r="D50" s="305" t="n"/>
      <c r="E50" s="305" t="n"/>
    </row>
    <row r="51" ht="24" customHeight="1">
      <c r="A51" s="306" t="inlineStr">
        <is>
          <t>Step / quantity</t>
        </is>
      </c>
      <c r="B51" s="306" t="inlineStr">
        <is>
          <t>Where it lives</t>
        </is>
      </c>
      <c r="C51" s="306" t="inlineStr">
        <is>
          <t>Formula as it stands</t>
        </is>
      </c>
      <c r="D51" s="306" t="inlineStr">
        <is>
          <t>What it means</t>
        </is>
      </c>
      <c r="E51" s="306" t="inlineStr">
        <is>
          <t>Source of the rule</t>
        </is>
      </c>
    </row>
    <row r="52">
      <c r="A52" s="180" t="inlineStr">
        <is>
          <t>Switch</t>
        </is>
      </c>
      <c r="B52" s="180" t="inlineStr">
        <is>
          <t>General Information D38</t>
        </is>
      </c>
      <c r="C52" s="181" t="inlineStr"/>
      <c r="D52" s="180" t="inlineStr">
        <is>
          <t>Yes adds a lost-revenue row beside every maintenance and rehabilitation event. No leaves the analysis as agency cost only.</t>
        </is>
      </c>
      <c r="E52" s="180" t="inlineStr">
        <is>
          <t>General Information D38</t>
        </is>
      </c>
    </row>
    <row r="53">
      <c r="A53" s="180" t="inlineStr">
        <is>
          <t>Daily revenue</t>
        </is>
      </c>
      <c r="B53" s="180" t="inlineStr">
        <is>
          <t>Alt sheet F2</t>
        </is>
      </c>
      <c r="C53" s="181" t="inlineStr">
        <is>
          <t>=IF('General Information'!$D$38="Yes",SUMIF(RevenueData!$A:$A,'General Information'!$D$10,RevenueData!$B:$B)+... ,0)</t>
        </is>
      </c>
      <c r="D53" s="180" t="inlineStr">
        <is>
          <t>Adds the airport's revenue lines on the hidden RevenueData sheet (fuel, tenant, other). Only 17 of the 79 airports have revenue data; text entries such as " NA " count as zero.</t>
        </is>
      </c>
      <c r="E53" s="180" t="inlineStr">
        <is>
          <t>RevenueData (hidden); v1.2.0 fix 5</t>
        </is>
      </c>
    </row>
    <row r="54">
      <c r="A54" s="180" t="inlineStr">
        <is>
          <t>Warning when there is no data</t>
        </is>
      </c>
      <c r="B54" s="180" t="inlineStr">
        <is>
          <t>Alt sheet G2</t>
        </is>
      </c>
      <c r="C54" s="181" t="inlineStr">
        <is>
          <t>=IF(AND('General Information'!$D$38="Yes",F2=0),"No revenue data for this airport...","")</t>
        </is>
      </c>
      <c r="D54" s="180" t="inlineStr">
        <is>
          <t>An airport outside the 17 returns $0 lost revenue with a visible warning, instead of the not-available error it produced before.</t>
        </is>
      </c>
      <c r="E54" s="180" t="inlineStr">
        <is>
          <t>v1.2.0 fix 5</t>
        </is>
      </c>
    </row>
    <row r="55">
      <c r="A55" s="180" t="inlineStr">
        <is>
          <t>Cost of one closure</t>
        </is>
      </c>
      <c r="B55" s="180" t="inlineStr">
        <is>
          <t>Alt sheet D38, D40, D42 ... (the "Indirect Cost" rows)</t>
        </is>
      </c>
      <c r="C55" s="181" t="inlineStr">
        <is>
          <t>=F2*F4</t>
        </is>
      </c>
      <c r="D55" s="180" t="inlineStr">
        <is>
          <t>Daily revenue times the closure days for that event, then discounted like any other cost.</t>
        </is>
      </c>
      <c r="E55" s="180" t="inlineStr">
        <is>
          <t>Alternative worksheet</t>
        </is>
      </c>
    </row>
    <row r="56" ht="26" customHeight="1">
      <c r="A56" s="307" t="inlineStr">
        <is>
          <t>This is the airport-side counterpart of the road user delay cost in the Caltrans and FHWA RealCost method.</t>
        </is>
      </c>
      <c r="B56" s="307"/>
      <c r="C56" s="307"/>
      <c r="D56" s="307"/>
      <c r="E56" s="307"/>
    </row>
    <row r="58" ht="22" customHeight="1">
      <c r="A58" s="304" t="inlineStr">
        <is>
          <t>7. Step 6: salvage value</t>
        </is>
      </c>
      <c r="B58" s="305" t="n"/>
      <c r="C58" s="305" t="n"/>
      <c r="D58" s="305" t="n"/>
      <c r="E58" s="305" t="n"/>
    </row>
    <row r="59" ht="24" customHeight="1">
      <c r="A59" s="306" t="inlineStr">
        <is>
          <t>Step / quantity</t>
        </is>
      </c>
      <c r="B59" s="306" t="inlineStr">
        <is>
          <t>Where it lives</t>
        </is>
      </c>
      <c r="C59" s="306" t="inlineStr">
        <is>
          <t>Formula as it stands</t>
        </is>
      </c>
      <c r="D59" s="306" t="inlineStr">
        <is>
          <t>What it means</t>
        </is>
      </c>
      <c r="E59" s="306" t="inlineStr">
        <is>
          <t>Source of the rule</t>
        </is>
      </c>
    </row>
    <row r="60">
      <c r="A60" s="180" t="inlineStr">
        <is>
          <t>The rule</t>
        </is>
      </c>
      <c r="B60" s="180" t="inlineStr">
        <is>
          <t>Maintenance Policies D32 and D46</t>
        </is>
      </c>
      <c r="C60" s="181" t="inlineStr">
        <is>
          <t>=MAX(0,MIN(1,(placed+life-'General Information'!$D$33)/life))</t>
        </is>
      </c>
      <c r="D60" s="180" t="inlineStr">
        <is>
          <t>Remaining life over expected life, times the cost of the asset being salvaged. Both terms are live: the credit is taken at the analysis period and the HMA overlay happens in the year the policy sheet names, so the fraction is computed, never typed. The expected life it divides by sits in column F beside each salvage row.</t>
        </is>
      </c>
      <c r="E60" s="180" t="inlineStr">
        <is>
          <t>AAPTP 06-06 and FAA remaining-life salvage; v1.2.0 made it a formula</t>
        </is>
      </c>
    </row>
    <row r="61">
      <c r="A61" s="180" t="inlineStr">
        <is>
          <t>New HMA</t>
        </is>
      </c>
      <c r="B61" s="180" t="inlineStr">
        <is>
          <t>Alt sheet D51</t>
        </is>
      </c>
      <c r="C61" s="181" t="inlineStr">
        <is>
          <t>=-'Maintenance Policies'!D32*AV22</t>
        </is>
      </c>
      <c r="D61" s="180" t="inlineStr">
        <is>
          <t>A share of the mill-and-overlay cost. The overlay is laid in year 20 and lasts 16 years, so at a 30-year period 6 of 16 years remain and the credit is 37.5 percent. Through v1.2.0 this cell held a fixed 12.5 percent, which is what 16 years of life would leave from an overlay laid in year 16, not year 20.</t>
        </is>
      </c>
      <c r="E61" s="180" t="inlineStr">
        <is>
          <t>Maintenance Policies row 32</t>
        </is>
      </c>
    </row>
    <row r="62">
      <c r="A62" s="180" t="inlineStr">
        <is>
          <t>New PCC</t>
        </is>
      </c>
      <c r="B62" s="180" t="inlineStr">
        <is>
          <t>Alt sheet D42</t>
        </is>
      </c>
      <c r="C62" s="181" t="inlineStr">
        <is>
          <t>=-'Maintenance Policies'!D46*G27</t>
        </is>
      </c>
      <c r="D62" s="180" t="inlineStr">
        <is>
          <t>A share of the whole initial construction cost, on a 40-year life from year 0. At a 30-year period 10 of 40 years remain and the credit is 25 percent, which is what the cell held as a constant; it was right at 30 years and at no other period.</t>
        </is>
      </c>
      <c r="E62" s="180" t="inlineStr">
        <is>
          <t>Maintenance Policies row 46</t>
        </is>
      </c>
    </row>
    <row r="63">
      <c r="A63" s="180" t="inlineStr">
        <is>
          <t>What it does at other periods</t>
        </is>
      </c>
      <c r="B63" s="180" t="inlineStr">
        <is>
          <t>Maintenance Policies D32, D46</t>
        </is>
      </c>
      <c r="C63" s="181" t="inlineStr"/>
      <c r="D63" s="180" t="inlineStr">
        <is>
          <t>At 25 years the credits become 68.8 and 37.5 percent; at 20 years the HMA overlay is laid in the salvage year itself, so 100 and 50 percent; at 36 years the overlay is fully consumed and HMA credits nothing. A period that ends before the overlay is ever laid credits nothing for HMA, because there is no overlay to salvage.</t>
        </is>
      </c>
      <c r="E63" s="180" t="inlineStr">
        <is>
          <t>v1.2.0</t>
        </is>
      </c>
    </row>
    <row r="64">
      <c r="A64" s="180" t="inlineStr">
        <is>
          <t>The two rehabilitation tables</t>
        </is>
      </c>
      <c r="B64" s="180" t="inlineStr">
        <is>
          <t>Maintenance Policies D71 and D85</t>
        </is>
      </c>
      <c r="C64" s="181" t="inlineStr">
        <is>
          <t>0</t>
        </is>
      </c>
      <c r="D64" s="180" t="inlineStr">
        <is>
          <t>Tables 3 and 4 credit no salvage at all. That is a stated policy, "need for reconstruction", not a remaining-life calculation, and it is left as it was.</t>
        </is>
      </c>
      <c r="E64" s="180" t="inlineStr">
        <is>
          <t>Pre-existing policy</t>
        </is>
      </c>
    </row>
    <row r="65">
      <c r="A65" s="180" t="inlineStr">
        <is>
          <t>When it is credited</t>
        </is>
      </c>
      <c r="B65" s="180" t="inlineStr">
        <is>
          <t>Alt sheet C51 (HMA), C42 (PCC)</t>
        </is>
      </c>
      <c r="C65" s="181" t="inlineStr">
        <is>
          <t>='General Information'!D33</t>
        </is>
      </c>
      <c r="D65" s="180" t="inlineStr">
        <is>
          <t>Always at the last year of the analysis period, so it is discounted the hardest of any line.</t>
        </is>
      </c>
      <c r="E65" s="180" t="inlineStr">
        <is>
          <t>General Information D33</t>
        </is>
      </c>
    </row>
    <row r="66" ht="26" customHeight="1">
      <c r="A66" s="307" t="inlineStr">
        <is>
          <t>The two rules are not symmetric: concrete recovers a share of everything spent up front, asphalt a share of one rehabilitation. See section 11.</t>
        </is>
      </c>
      <c r="B66" s="307"/>
      <c r="C66" s="307"/>
      <c r="D66" s="307"/>
      <c r="E66" s="307"/>
    </row>
    <row r="68" ht="22" customHeight="1">
      <c r="A68" s="304" t="inlineStr">
        <is>
          <t>8. Step 7: discounting and the total</t>
        </is>
      </c>
      <c r="B68" s="305" t="n"/>
      <c r="C68" s="305" t="n"/>
      <c r="D68" s="305" t="n"/>
      <c r="E68" s="305" t="n"/>
    </row>
    <row r="69" ht="24" customHeight="1">
      <c r="A69" s="306" t="inlineStr">
        <is>
          <t>Step / quantity</t>
        </is>
      </c>
      <c r="B69" s="306" t="inlineStr">
        <is>
          <t>Where it lives</t>
        </is>
      </c>
      <c r="C69" s="306" t="inlineStr">
        <is>
          <t>Formula as it stands</t>
        </is>
      </c>
      <c r="D69" s="306" t="inlineStr">
        <is>
          <t>What it means</t>
        </is>
      </c>
      <c r="E69" s="306" t="inlineStr">
        <is>
          <t>Source of the rule</t>
        </is>
      </c>
    </row>
    <row r="70">
      <c r="A70" s="180" t="inlineStr">
        <is>
          <t>Present worth of one event</t>
        </is>
      </c>
      <c r="B70" s="180" t="inlineStr">
        <is>
          <t>Alt sheet column E</t>
        </is>
      </c>
      <c r="C70" s="181" t="inlineStr">
        <is>
          <t>=IF(C37&gt;'General Information'!$D$33,0,D37/(1+('General Information'!$D$34/100))^C37)</t>
        </is>
      </c>
      <c r="D70" s="180" t="inlineStr">
        <is>
          <t>Cost divided by (1 + rate) raised to the number of years after construction. Constant-dollar costs with a real discount rate: no inflation is added anywhere in the workbook.</t>
        </is>
      </c>
      <c r="E70" s="180" t="inlineStr">
        <is>
          <t>General Information D33, D34</t>
        </is>
      </c>
    </row>
    <row r="71">
      <c r="A71" s="180" t="inlineStr">
        <is>
          <t>Discount rate</t>
        </is>
      </c>
      <c r="B71" s="180" t="inlineStr">
        <is>
          <t>General Information D34</t>
        </is>
      </c>
      <c r="C71" s="181" t="inlineStr"/>
      <c r="D71" s="180" t="inlineStr">
        <is>
          <t>TDOT uses 3 percent. FAA PGL 22-01 (June 2022) replaced the fixed 7 percent with the OMB Circular A-94 Appendix C real rate, 2.0 percent for 2026. Chart 2 on the Summary shows the answer from 2 to 8 percent.</t>
        </is>
      </c>
      <c r="E71" s="180" t="inlineStr">
        <is>
          <t>TDOT policy; FAA PGL 22-01; OMB A-94</t>
        </is>
      </c>
    </row>
    <row r="72">
      <c r="A72" s="180" t="inlineStr">
        <is>
          <t>Analysis period</t>
        </is>
      </c>
      <c r="B72" s="180" t="inlineStr">
        <is>
          <t>General Information D33</t>
        </is>
      </c>
      <c r="C72" s="181" t="inlineStr"/>
      <c r="D72" s="180" t="inlineStr">
        <is>
          <t>TDOT uses 30 years. FAA leaves the period to the engineer. Events beyond it are dropped, salvage moves with it.</t>
        </is>
      </c>
      <c r="E72" s="180" t="inlineStr">
        <is>
          <t>TDOT policy</t>
        </is>
      </c>
    </row>
    <row r="73">
      <c r="A73" s="180" t="inlineStr">
        <is>
          <t>Net present worth</t>
        </is>
      </c>
      <c r="B73" s="180" t="inlineStr">
        <is>
          <t>Alt sheet E52 (HMA), E43 (PCC)</t>
        </is>
      </c>
      <c r="C73" s="181" t="inlineStr">
        <is>
          <t>=SUM(E36:E51)</t>
        </is>
      </c>
      <c r="D73" s="180" t="inlineStr">
        <is>
          <t>The sum of the discounted column, initial construction included.</t>
        </is>
      </c>
      <c r="E73" s="180" t="inlineStr">
        <is>
          <t>Alternative worksheet</t>
        </is>
      </c>
    </row>
    <row r="75" ht="22" customHeight="1">
      <c r="A75" s="304" t="inlineStr">
        <is>
          <t>9. What the Summary adds on top</t>
        </is>
      </c>
      <c r="B75" s="305" t="n"/>
      <c r="C75" s="305" t="n"/>
      <c r="D75" s="305" t="n"/>
      <c r="E75" s="305" t="n"/>
    </row>
    <row r="76" ht="24" customHeight="1">
      <c r="A76" s="306" t="inlineStr">
        <is>
          <t>Step / quantity</t>
        </is>
      </c>
      <c r="B76" s="306" t="inlineStr">
        <is>
          <t>Where it lives</t>
        </is>
      </c>
      <c r="C76" s="306" t="inlineStr">
        <is>
          <t>Formula as it stands</t>
        </is>
      </c>
      <c r="D76" s="306" t="inlineStr">
        <is>
          <t>What it means</t>
        </is>
      </c>
      <c r="E76" s="306" t="inlineStr">
        <is>
          <t>Source of the rule</t>
        </is>
      </c>
    </row>
    <row r="77">
      <c r="A77" s="180" t="inlineStr">
        <is>
          <t>Results table</t>
        </is>
      </c>
      <c r="B77" s="180" t="inlineStr">
        <is>
          <t>Summary G3:R7</t>
        </is>
      </c>
      <c r="C77" s="181" t="inlineStr">
        <is>
          <t>=IFERROR(SUMIFS(INDIRECT("'"&amp;$G4&amp;"'!$E$37:$E$52"),...),0)</t>
        </is>
      </c>
      <c r="D77" s="180"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7" s="180" t="inlineStr">
        <is>
          <t>Summary, v1.2.0</t>
        </is>
      </c>
    </row>
    <row r="78">
      <c r="A78" s="180" t="inlineStr">
        <is>
          <t>Which alternatives exist</t>
        </is>
      </c>
      <c r="B78" s="180" t="inlineStr">
        <is>
          <t>Summary G4:I7</t>
        </is>
      </c>
      <c r="C78" s="181" t="inlineStr">
        <is>
          <t>=INDEX(Database!$D:$D,4)</t>
        </is>
      </c>
      <c r="D78" s="180" t="inlineStr">
        <is>
          <t>Names and worksheet names come from the hidden Database sheet that the Alternative Setup form writes. INDEX on whole columns survives the row deletion the form performs when an alternative is removed.</t>
        </is>
      </c>
      <c r="E78" s="180" t="inlineStr">
        <is>
          <t>Database (hidden)</t>
        </is>
      </c>
    </row>
    <row r="79">
      <c r="A79" s="180" t="inlineStr">
        <is>
          <t>Verdict</t>
        </is>
      </c>
      <c r="B79" s="180" t="inlineStr">
        <is>
          <t>Summary G9, G10</t>
        </is>
      </c>
      <c r="C79" s="181" t="inlineStr"/>
      <c r="D79" s="180" t="inlineStr">
        <is>
          <t>Names the lowest-NPW alternative, the margin to the next, the rate and period, and whether the same alternative still wins at 2 and at 7 percent.</t>
        </is>
      </c>
      <c r="E79" s="180" t="inlineStr">
        <is>
          <t>Summary, v1.2.0</t>
        </is>
      </c>
    </row>
    <row r="80">
      <c r="A80" s="180" t="inlineStr">
        <is>
          <t>Comparison block (RealCost layout)</t>
        </is>
      </c>
      <c r="B80" s="180" t="inlineStr">
        <is>
          <t>Summary G13:O17</t>
        </is>
      </c>
      <c r="C80" s="181" t="inlineStr">
        <is>
          <t>=H14*(('General Information'!$D$34/100)*(1+'General Information'!$D$34/100)^'General Information'!$D$33)/((1+'General Information'!$D$34/100)^'General Information'!$D$33-1)</t>
        </is>
      </c>
      <c r="D80" s="180" t="inlineStr">
        <is>
          <t>Agency cost (initial + maintenance + rehabilitation + salvage) and user cost (lost revenue) as present worth and as equivalent uniform annual cost. EUAC = PW x capital recovery factor.</t>
        </is>
      </c>
      <c r="E80" s="180" t="inlineStr">
        <is>
          <t>Caltrans / FHWA RealCost layout</t>
        </is>
      </c>
    </row>
    <row r="81">
      <c r="A81" s="180" t="inlineStr">
        <is>
          <t>Sensitivity to the discount rate</t>
        </is>
      </c>
      <c r="B81" s="180" t="inlineStr">
        <is>
          <t>Summary W10:AA36, chart 2</t>
        </is>
      </c>
      <c r="C81" s="181" t="inlineStr">
        <is>
          <t>=SUMPRODUCT((year&lt;=period)*cost/(1+r)^year)</t>
        </is>
      </c>
      <c r="D81" s="180" t="inlineStr">
        <is>
          <t>Recomputes every alternative at 25 rates from 2 to 8 percent without touching the alternative sheets.</t>
        </is>
      </c>
      <c r="E81" s="180" t="inlineStr">
        <is>
          <t>Summary, v1.2.0</t>
        </is>
      </c>
    </row>
    <row r="82">
      <c r="A82" s="180" t="inlineStr">
        <is>
          <t>By calendar year</t>
        </is>
      </c>
      <c r="B82" s="180" t="inlineStr">
        <is>
          <t>Summary W39:AJ71, charts 3, 4 and 5</t>
        </is>
      </c>
      <c r="C82" s="181" t="inlineStr">
        <is>
          <t>=SUMIF(year applied, ...)</t>
        </is>
      </c>
      <c r="D82" s="180" t="inlineStr">
        <is>
          <t>Spend by year undiscounted, cumulative discounted cost (the payback crossing) and closure days by year.</t>
        </is>
      </c>
      <c r="E82" s="180" t="inlineStr">
        <is>
          <t>Summary, v1.2.0</t>
        </is>
      </c>
    </row>
    <row r="83">
      <c r="A83" s="180" t="inlineStr">
        <is>
          <t>Pavement section read-back</t>
        </is>
      </c>
      <c r="B83" s="180" t="inlineStr">
        <is>
          <t>Summary G80:Q86, charts 6 and 7</t>
        </is>
      </c>
      <c r="C83" s="181" t="inlineStr">
        <is>
          <t>=36*C.Y./mainline S.Y. ; =2666.6667*tons/(pcf*mainline S.Y.)</t>
        </is>
      </c>
      <c r="D83" s="180" t="inlineStr">
        <is>
          <t>Derives each layer thickness from the quantities already entered, totals the section, cross-checks it against the excavation quantity and writes the section out as a string for the alternative description. Display only.</t>
        </is>
      </c>
      <c r="E83" s="180" t="inlineStr">
        <is>
          <t>Summary, v1.2.0</t>
        </is>
      </c>
    </row>
    <row r="85" ht="22" customHeight="1">
      <c r="A85" s="304" t="inlineStr">
        <is>
          <t>10. Current settings in this file (live)</t>
        </is>
      </c>
      <c r="B85" s="305" t="n"/>
      <c r="C85" s="305" t="n"/>
      <c r="D85" s="305" t="n"/>
      <c r="E85" s="305" t="n"/>
    </row>
    <row r="86" ht="24" customHeight="1">
      <c r="A86" s="306" t="inlineStr">
        <is>
          <t>Step / quantity</t>
        </is>
      </c>
      <c r="B86" s="306" t="inlineStr">
        <is>
          <t>Where it lives</t>
        </is>
      </c>
      <c r="C86" s="306" t="inlineStr">
        <is>
          <t>Formula as it stands</t>
        </is>
      </c>
      <c r="D86" s="306" t="inlineStr">
        <is>
          <t>What it means</t>
        </is>
      </c>
      <c r="E86" s="306" t="inlineStr">
        <is>
          <t>Source of the rule</t>
        </is>
      </c>
    </row>
    <row r="87">
      <c r="A87" s="180" t="inlineStr">
        <is>
          <t>Analysis period, years</t>
        </is>
      </c>
      <c r="B87" s="180" t="inlineStr">
        <is>
          <t>General Information D33</t>
        </is>
      </c>
      <c r="C87" s="182">
        <f>'General Information'!$D$33</f>
        <v/>
      </c>
      <c r="D87" s="180" t="inlineStr">
        <is>
          <t>The period every alternative is measured over.</t>
        </is>
      </c>
      <c r="E87" s="180" t="inlineStr"/>
    </row>
    <row r="88">
      <c r="A88" s="180" t="inlineStr">
        <is>
          <t>Discount rate, percent</t>
        </is>
      </c>
      <c r="B88" s="180" t="inlineStr">
        <is>
          <t>General Information D34</t>
        </is>
      </c>
      <c r="C88" s="183">
        <f>'General Information'!$D$34</f>
        <v/>
      </c>
      <c r="D88" s="180" t="inlineStr">
        <is>
          <t>The real rate used for every present worth above.</t>
        </is>
      </c>
      <c r="E88" s="180" t="inlineStr"/>
    </row>
    <row r="89">
      <c r="A89" s="180" t="inlineStr">
        <is>
          <t>Capital recovery factor</t>
        </is>
      </c>
      <c r="B89" s="180" t="inlineStr">
        <is>
          <t>computed here</t>
        </is>
      </c>
      <c r="C89" s="184">
        <f>IF('General Information'!$D$34=0,0,('General Information'!$D$34/100)*(1+'General Information'!$D$34/100)^'General Information'!$D$33/((1+'General Information'!$D$34/100)^'General Information'!$D$33-1))</f>
        <v/>
      </c>
      <c r="D89" s="180" t="inlineStr">
        <is>
          <t>Multiply any present worth by this to get the equivalent uniform annual cost.</t>
        </is>
      </c>
      <c r="E89" s="180" t="inlineStr"/>
    </row>
    <row r="90">
      <c r="A90" s="180" t="inlineStr">
        <is>
          <t>Present worth of $1 spent at year 20</t>
        </is>
      </c>
      <c r="B90" s="180" t="inlineStr">
        <is>
          <t>computed here</t>
        </is>
      </c>
      <c r="C90" s="184">
        <f>1/(1+'General Information'!$D$34/100)^20</f>
        <v/>
      </c>
      <c r="D90" s="180" t="inlineStr">
        <is>
          <t>What a dollar of rehabilitation at year 20 is worth today at the current rate.</t>
        </is>
      </c>
      <c r="E90" s="180" t="inlineStr"/>
    </row>
    <row r="91">
      <c r="A91" s="180" t="inlineStr">
        <is>
          <t>Lost revenue counted</t>
        </is>
      </c>
      <c r="B91" s="180" t="inlineStr">
        <is>
          <t>General Information D38</t>
        </is>
      </c>
      <c r="C91" s="181">
        <f>'General Information'!$D$38</f>
        <v/>
      </c>
      <c r="D91" s="180" t="inlineStr">
        <is>
          <t>Yes adds the closure cost rows.</t>
        </is>
      </c>
      <c r="E91" s="180" t="inlineStr"/>
    </row>
    <row r="92">
      <c r="A92" s="180" t="inlineStr">
        <is>
          <t>Alternatives registered</t>
        </is>
      </c>
      <c r="B92" s="180" t="inlineStr">
        <is>
          <t>Database A4:A7</t>
        </is>
      </c>
      <c r="C92" s="182">
        <f>COUNTA(Database!$A$4:$A$7)</f>
        <v/>
      </c>
      <c r="D92" s="180" t="inlineStr">
        <is>
          <t>How many alternatives the form has created.</t>
        </is>
      </c>
      <c r="E92" s="180" t="inlineStr"/>
    </row>
    <row r="93" ht="26" customHeight="1">
      <c r="A93" s="307" t="inlineStr">
        <is>
          <t>These cells read the workbook as it stands right now, so they change with the inputs.</t>
        </is>
      </c>
      <c r="B93" s="307"/>
      <c r="C93" s="307"/>
      <c r="D93" s="307"/>
      <c r="E93" s="307"/>
    </row>
    <row r="95" ht="22" customHeight="1">
      <c r="A95" s="304" t="inlineStr">
        <is>
          <t>11. Assumptions and policy choices worth knowing</t>
        </is>
      </c>
      <c r="B95" s="305" t="n"/>
      <c r="C95" s="305" t="n"/>
      <c r="D95" s="305" t="n"/>
      <c r="E95" s="305" t="n"/>
    </row>
    <row r="96" ht="24" customHeight="1">
      <c r="A96" s="306" t="inlineStr">
        <is>
          <t>Step / quantity</t>
        </is>
      </c>
      <c r="B96" s="306" t="inlineStr">
        <is>
          <t>Where it lives</t>
        </is>
      </c>
      <c r="C96" s="306" t="inlineStr">
        <is>
          <t>Formula as it stands</t>
        </is>
      </c>
      <c r="D96" s="306" t="inlineStr">
        <is>
          <t>What it means</t>
        </is>
      </c>
      <c r="E96" s="306" t="inlineStr">
        <is>
          <t>Source of the rule</t>
        </is>
      </c>
    </row>
    <row r="97">
      <c r="A97" s="185" t="inlineStr">
        <is>
          <t>Engineering on initial construction</t>
        </is>
      </c>
      <c r="B97" s="180" t="inlineStr">
        <is>
          <t>Alt sheet G26</t>
        </is>
      </c>
      <c r="C97" s="181" t="inlineStr"/>
      <c r="D97" s="180" t="inlineStr">
        <is>
          <t>v1.2.0 charges engineering on initial construction as well as on later work. It raises every initial cost by the engineering percentage against v1.1.2 results, and it affects PCC more than HMA because PCC salvage is a share of initial cost.</t>
        </is>
      </c>
      <c r="E97" s="180" t="inlineStr">
        <is>
          <t>v1.2.0 fix 2</t>
        </is>
      </c>
    </row>
    <row r="98">
      <c r="A98" s="185" t="inlineStr">
        <is>
          <t>Salvage is not symmetric, but it is now computed</t>
        </is>
      </c>
      <c r="B98" s="180" t="inlineStr">
        <is>
          <t>Maintenance Policies D32 and D46</t>
        </is>
      </c>
      <c r="C98" s="181" t="inlineStr"/>
      <c r="D98" s="180" t="inlineStr">
        <is>
          <t>Concrete salvages a share of its whole initial construction; asphalt salvages a share of one overlay. Concrete therefore carries a large end-of-period credit that moves with the discount rate in step with its costs, which is why the concrete curves in chart 2 are nearly flat while the asphalt curve falls. The asymmetry of the basis is a real modelling choice and is unchanged. What changed in v1.2.0 is that both fractions are now computed from remaining life instead of being typed in: the HMA figure had been 12.5 percent against a table that places the overlay at year 20, where 37.5 percent is the arithmetic, and the PCC figure had been right only at exactly a 30-year period.</t>
        </is>
      </c>
      <c r="E98" s="180" t="inlineStr">
        <is>
          <t>Corrected in v1.2.0; the basis remains a policy choice</t>
        </is>
      </c>
    </row>
    <row r="99">
      <c r="A99" s="185" t="inlineStr">
        <is>
          <t>Lost revenue is gross revenue</t>
        </is>
      </c>
      <c r="B99" s="180" t="inlineStr">
        <is>
          <t>RevenueData; Alt sheet F2</t>
        </is>
      </c>
      <c r="C99" s="181" t="inlineStr"/>
      <c r="D99" s="180" t="inlineStr">
        <is>
          <t>The whole of the airport's fuel, tenant and other revenue is treated as lost for every closure day. A percentage lost by category would be more defensible.</t>
        </is>
      </c>
      <c r="E99" s="180" t="inlineStr">
        <is>
          <t>Pre-existing; flagged for decision</t>
        </is>
      </c>
    </row>
    <row r="100">
      <c r="A100" s="185" t="inlineStr">
        <is>
          <t>PCC joint length is estimated two ways</t>
        </is>
      </c>
      <c r="B100" s="180" t="inlineStr">
        <is>
          <t>Alt sheet K8 versus F4 and F5</t>
        </is>
      </c>
      <c r="C100" s="181" t="inlineStr"/>
      <c r="D100" s="180"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100" s="180" t="inlineStr">
        <is>
          <t>Pre-existing; worth a decision</t>
        </is>
      </c>
    </row>
    <row r="101">
      <c r="A101" s="185" t="inlineStr">
        <is>
          <t>Closure production rates are defaults</t>
        </is>
      </c>
      <c r="B101" s="180" t="inlineStr">
        <is>
          <t>Alt sheet F4:F10</t>
        </is>
      </c>
      <c r="C101" s="181" t="inlineStr"/>
      <c r="D101" s="180" t="inlineStr">
        <is>
          <t>They reproduce the durations used in the completed Murfreesboro and Upper Cumberland runs. A project with unusual phasing should override them.</t>
        </is>
      </c>
      <c r="E101" s="180" t="inlineStr">
        <is>
          <t>v1.2.0 defaults</t>
        </is>
      </c>
    </row>
    <row r="102">
      <c r="A102" s="185" t="inlineStr">
        <is>
          <t>Asphalt unit weight for the section read-back</t>
        </is>
      </c>
      <c r="B102" s="180" t="inlineStr">
        <is>
          <t>Summary J81</t>
        </is>
      </c>
      <c r="C102" s="181" t="inlineStr"/>
      <c r="D102" s="180" t="inlineStr">
        <is>
          <t>145 pcf, the value that reproduces the Murfreesboro section exactly. It affects the displayed thickness only, never a cost.</t>
        </is>
      </c>
      <c r="E102" s="180" t="inlineStr">
        <is>
          <t>Summary, v1.2.0</t>
        </is>
      </c>
    </row>
    <row r="103">
      <c r="A103" s="185" t="inlineStr">
        <is>
          <t>The division columns are wired but empty</t>
        </is>
      </c>
      <c r="B103" s="180" t="inlineStr">
        <is>
          <t>Pay_Items columns G, H, I</t>
        </is>
      </c>
      <c r="C103" s="181" t="inlineStr"/>
      <c r="D103" s="180" t="inlineStr">
        <is>
          <t>Middle, West and East are read from v1.2.0: each alternative picks one in C11 and prices from it. They ship empty, and a blank cell falls back to the statewide Unit Cost, so until Aeronautics fills them every division still prices the same. The locator map on the Summary colors the airports by division, and General Information D13 names the one the selected airport sits in.</t>
        </is>
      </c>
      <c r="E103" s="180" t="inlineStr">
        <is>
          <t>v1.2.0; the numbers are still a decision</t>
        </is>
      </c>
    </row>
    <row r="104">
      <c r="A104" s="185" t="inlineStr">
        <is>
          <t>Unit costs date from the 2022 framework</t>
        </is>
      </c>
      <c r="B104" s="180" t="inlineStr">
        <is>
          <t>Pay_Items column F</t>
        </is>
      </c>
      <c r="C104" s="181" t="inlineStr"/>
      <c r="D104" s="180" t="inlineStr">
        <is>
          <t>The Typical Values sheet compares them with recent bid prices. The asphalt defaults look low against 2025 southeastern bids.</t>
        </is>
      </c>
      <c r="E104" s="180" t="inlineStr">
        <is>
          <t>Typical Values, section 3</t>
        </is>
      </c>
    </row>
    <row r="105">
      <c r="A105" s="185" t="inlineStr">
        <is>
          <t>No inflation, no risk analysis</t>
        </is>
      </c>
      <c r="B105" s="180" t="inlineStr">
        <is>
          <t>throughout</t>
        </is>
      </c>
      <c r="C105" s="181" t="inlineStr"/>
      <c r="D105" s="180" t="inlineStr">
        <is>
          <t>Costs are constant dollars discounted at a real rate, and every input is a single value. There is no probabilistic treatment of cost or timing.</t>
        </is>
      </c>
      <c r="E105" s="180" t="inlineStr">
        <is>
          <t>FHWA LCCA Primer, deterministic method</t>
        </is>
      </c>
    </row>
  </sheetData>
  <mergeCells count="10">
    <mergeCell ref="A39:E39"/>
    <mergeCell ref="A4:E4"/>
    <mergeCell ref="A48:E48"/>
    <mergeCell ref="A28:E28"/>
    <mergeCell ref="A11:E11"/>
    <mergeCell ref="A93:E93"/>
    <mergeCell ref="A66:E66"/>
    <mergeCell ref="A56:E56"/>
    <mergeCell ref="A2:E2"/>
    <mergeCell ref="A5:E5"/>
  </mergeCells>
  <pageMargins left="0.75" right="0.75" top="1" bottom="1" header="0.5" footer="0.5"/>
  <pageSetup orientation="landscape" fitToWidth="1" fitToHeight="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2026-09-14T02:27:02Z</dcterms:modified>
</cp:coreProperties>
</file>
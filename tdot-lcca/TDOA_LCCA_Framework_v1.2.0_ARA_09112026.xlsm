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appliedresearchassociates-my.sharepoint.us/personal/mdenis_ara_com/Documents/Documents/Projects/005935 TDOT PCC and LCCA/LCCA_Task2/"/>
    </mc:Choice>
  </mc:AlternateContent>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<sst xmlns="http://schemas.openxmlformats.org/spreadsheetml/2006/main" count="1480" uniqueCount="637">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</sst>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000"/>
    <numFmt numFmtId="165" formatCode="&quot;$&quot;#,##0"/>
    <numFmt numFmtId="166" formatCode="&quot;$&quot;#,##0.00"/>
    <numFmt numFmtId="167" formatCode="_(&quot;$&quot;* #,##0_);_(&quot;$&quot;* \(#,##0\);_(&quot;$&quot;* &quot;-&quot;??_);_(@_)"/>
  </numFmts>
  <fonts count="15"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s>
  <borders count="36">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18">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cellXfs>
  <cellStyles count="3">
    <cellStyle name="Currency" xfId="2" builtinId="4"/>
    <cellStyle name="Hyperlink" xfId="1" builtinId="8"/>
    <cellStyle name="Normal" xfId="0" builtinId="0"/>
  </cellStyles>
  <dxfs count="27">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59</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821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provides a summary table and chart for the initial construction cost and NPW for each included alternative.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5</xdr:col>
      <xdr:colOff>78104</xdr:colOff>
      <xdr:row>3</xdr:row>
      <xdr:rowOff>8889</xdr:rowOff>
    </xdr:from>
    <xdr:to>
      <xdr:col>12</xdr:col>
      <xdr:colOff>190500</xdr:colOff>
      <xdr:row>19</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1" Type="http://schemas.openxmlformats.org/officeDocument/2006/relationships/printerSettings" Target="../printerSettings/printerSettings4.bin"/><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1" Type="http://schemas.openxmlformats.org/officeDocument/2006/relationships/printerSettings" Target="../printerSettings/printerSettings6.bin"/><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theme="0" tint="-0.34998626667073579"/>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c r="C1" t="str">
        <f>Pay_Items!D55</f>
        <v>Joint Clean and Reseal, Concrete</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92D050"/>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92D050"/>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theme="0" tint="-0.34998626667073579"/>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7" spans="2:19" x14ac:dyDescent="0.2">
      <c r="K7" s="5" t="s">
        <v>248</v>
      </c>
    </row>
    <row r="8" spans="2:19" x14ac:dyDescent="0.2">
      <c r="B8" s="6" t="s">
        <v>93</v>
      </c>
      <c r="L8" s="7" t="s">
        <v>246</v>
      </c>
      <c r="M8" s="7" t="s">
        <v>245</v>
      </c>
      <c r="N8" s="7" t="s">
        <v>509</v>
      </c>
      <c r="O8" s="7" t="s">
        <v>510</v>
      </c>
      <c r="P8" s="7" t="s">
        <v>247</v>
      </c>
      <c r="Q8" s="7" t="s">
        <v>250</v>
      </c>
      <c r="S8" s="5" t="s">
        <v>455</v>
      </c>
    </row>
    <row r="9" spans="2:19" x14ac:dyDescent="0.2">
      <c r="C9" s="5" t="s">
        <v>87</v>
      </c>
      <c r="D9" s="73"/>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6" t="s">
        <v>94</v>
      </c>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L25" s="5" t="s">
        <v>175</v>
      </c>
      <c r="M25" s="5" t="s">
        <v>174</v>
      </c>
      <c r="N25" s="5" t="s">
        <v>383</v>
      </c>
      <c r="O25" s="5" t="s">
        <v>383</v>
      </c>
      <c r="P25" s="5" t="s">
        <v>64</v>
      </c>
      <c r="S25" s="5" t="s">
        <v>482</v>
      </c>
    </row>
    <row r="26" spans="2:19" x14ac:dyDescent="0.2">
      <c r="C26" s="5" t="s">
        <v>268</v>
      </c>
      <c r="D26" s="73"/>
      <c r="L26" s="5" t="s">
        <v>152</v>
      </c>
      <c r="M26" s="5" t="s">
        <v>151</v>
      </c>
      <c r="N26" s="5" t="s">
        <v>384</v>
      </c>
      <c r="O26" s="5" t="s">
        <v>527</v>
      </c>
      <c r="P26" s="5" t="s">
        <v>65</v>
      </c>
    </row>
    <row r="27" spans="2:19" x14ac:dyDescent="0.2">
      <c r="C27" s="5" t="s">
        <v>269</v>
      </c>
      <c r="D27" s="73"/>
      <c r="L27" s="5" t="s">
        <v>113</v>
      </c>
      <c r="M27" s="5" t="s">
        <v>112</v>
      </c>
      <c r="N27" s="5" t="s">
        <v>385</v>
      </c>
      <c r="O27" s="5" t="s">
        <v>528</v>
      </c>
      <c r="P27" s="5" t="s">
        <v>66</v>
      </c>
    </row>
    <row r="28" spans="2:19" x14ac:dyDescent="0.2">
      <c r="C28" s="5" t="s">
        <v>270</v>
      </c>
      <c r="D28" s="73"/>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6" t="s">
        <v>252</v>
      </c>
      <c r="L32" s="5" t="s">
        <v>238</v>
      </c>
      <c r="M32" s="5" t="s">
        <v>237</v>
      </c>
      <c r="N32" s="5" t="s">
        <v>429</v>
      </c>
      <c r="O32" s="5" t="s">
        <v>533</v>
      </c>
      <c r="P32" s="5" t="s">
        <v>64</v>
      </c>
    </row>
    <row r="33" spans="2:16" x14ac:dyDescent="0.2">
      <c r="C33" s="5" t="s">
        <v>253</v>
      </c>
      <c r="D33" s="88">
        <v>30</v>
      </c>
      <c r="L33" s="5" t="s">
        <v>164</v>
      </c>
      <c r="M33" s="5" t="s">
        <v>163</v>
      </c>
      <c r="N33" s="5" t="s">
        <v>428</v>
      </c>
      <c r="O33" s="5" t="s">
        <v>534</v>
      </c>
      <c r="P33" s="5" t="s">
        <v>66</v>
      </c>
    </row>
    <row r="34" spans="2:16" x14ac:dyDescent="0.2">
      <c r="C34" s="5" t="s">
        <v>271</v>
      </c>
      <c r="D34" s="88">
        <v>3</v>
      </c>
      <c r="L34" s="5" t="s">
        <v>173</v>
      </c>
      <c r="M34" s="5" t="s">
        <v>172</v>
      </c>
      <c r="N34" s="5" t="s">
        <v>411</v>
      </c>
      <c r="O34" s="5" t="s">
        <v>518</v>
      </c>
      <c r="P34" s="5" t="s">
        <v>65</v>
      </c>
    </row>
    <row r="35" spans="2:16" x14ac:dyDescent="0.2">
      <c r="C35" s="5" t="s">
        <v>254</v>
      </c>
      <c r="D35" s="88" t="s">
        <v>452</v>
      </c>
      <c r="L35" s="5" t="s">
        <v>232</v>
      </c>
      <c r="M35" s="5" t="s">
        <v>231</v>
      </c>
      <c r="N35" s="5" t="s">
        <v>438</v>
      </c>
      <c r="O35" s="5" t="s">
        <v>535</v>
      </c>
      <c r="P35" s="5" t="s">
        <v>65</v>
      </c>
    </row>
    <row r="36" spans="2:16" x14ac:dyDescent="0.2">
      <c r="C36" s="5" t="s">
        <v>257</v>
      </c>
      <c r="D36" s="88">
        <v>10</v>
      </c>
      <c r="L36" s="5" t="s">
        <v>160</v>
      </c>
      <c r="M36" s="5" t="s">
        <v>159</v>
      </c>
      <c r="N36" s="5" t="s">
        <v>389</v>
      </c>
      <c r="O36" s="5" t="s">
        <v>536</v>
      </c>
      <c r="P36" s="5" t="s">
        <v>66</v>
      </c>
    </row>
    <row r="37" spans="2:16" x14ac:dyDescent="0.2">
      <c r="C37" s="5" t="s">
        <v>258</v>
      </c>
      <c r="D37" s="88">
        <v>5</v>
      </c>
      <c r="L37" s="5" t="s">
        <v>182</v>
      </c>
      <c r="M37" s="5" t="s">
        <v>181</v>
      </c>
      <c r="N37" s="5" t="s">
        <v>376</v>
      </c>
      <c r="O37" s="5" t="s">
        <v>537</v>
      </c>
      <c r="P37" s="5" t="s">
        <v>64</v>
      </c>
    </row>
    <row r="38" spans="2:16" x14ac:dyDescent="0.2">
      <c r="C38" s="5" t="s">
        <v>613</v>
      </c>
      <c r="D38" s="100" t="s">
        <v>632</v>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spans="2:16" x14ac:dyDescent="0.2">
      <c r="L44" s="5" t="s">
        <v>449</v>
      </c>
      <c r="M44" s="5" t="s">
        <v>180</v>
      </c>
      <c r="N44" s="5" t="s">
        <v>406</v>
      </c>
      <c r="O44" s="5" t="s">
        <v>542</v>
      </c>
      <c r="P44" s="5" t="s">
        <v>64</v>
      </c>
    </row>
    <row r="45" spans="2:16" x14ac:dyDescent="0.2">
      <c r="L45" s="5" t="s">
        <v>129</v>
      </c>
      <c r="M45" s="5" t="s">
        <v>128</v>
      </c>
      <c r="N45" s="5" t="s">
        <v>396</v>
      </c>
      <c r="O45" s="5" t="s">
        <v>543</v>
      </c>
      <c r="P45" s="5" t="s">
        <v>64</v>
      </c>
    </row>
    <row r="46" spans="2:16" x14ac:dyDescent="0.2">
      <c r="L46" s="5" t="s">
        <v>115</v>
      </c>
      <c r="M46" s="5" t="s">
        <v>114</v>
      </c>
      <c r="N46" s="5" t="s">
        <v>391</v>
      </c>
      <c r="O46" s="5" t="s">
        <v>544</v>
      </c>
      <c r="P46" s="5" t="s">
        <v>64</v>
      </c>
    </row>
    <row r="47" spans="2:16" x14ac:dyDescent="0.2">
      <c r="L47" s="5" t="s">
        <v>448</v>
      </c>
      <c r="M47" s="5" t="s">
        <v>418</v>
      </c>
      <c r="N47" s="5" t="s">
        <v>417</v>
      </c>
      <c r="O47" s="5" t="s">
        <v>545</v>
      </c>
      <c r="P47" s="5" t="s">
        <v>64</v>
      </c>
    </row>
    <row r="48" spans="2:16" x14ac:dyDescent="0.2">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FFC000"/>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FFC000"/>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theme="0" tint="-0.34998626667073579"/>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theme="0" tint="-0.34998626667073579"/>
  </sheetPr>
  <dimension ref="A1:BL67"/>
  <sheetViews>
    <sheetView topLeftCell="A5"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theme="0" tint="-0.34998626667073579"/>
  </sheetPr>
  <dimension ref="A1:X68"/>
  <sheetViews>
    <sheetView topLeftCell="A2"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theme="0" tint="-0.34998626667073579"/>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7B57A-5385-4934-95CB-3B9B1B993AD4}">
  <sheetPr codeName="Sheet10">
    <tabColor rgb="FF92D050"/>
  </sheetPr>
  <dimension ref="A3:E3"/>
  <sheetViews>
    <sheetView workbookViewId="0">
      <selection activeCell="C4" sqref="C4"/>
    </sheetView>
  </sheetViews>
  <sheetFormatPr defaultRowHeight="15" x14ac:dyDescent="0.25"/>
  <cols>
    <col min="1" max="1" width="11" bestFit="1" customWidth="1"/>
    <col min="2" max="2" width="32.28515625" customWidth="1"/>
    <col min="3" max="4" width="16.7109375" customWidth="1"/>
    <col min="5" max="5" width="34" customWidth="1"/>
  </cols>
  <sheetData>
    <row r="3" spans="1:5" s="87" customFormat="1" ht="30" x14ac:dyDescent="0.25">
      <c r="A3" s="87" t="s">
        <v>471</v>
      </c>
      <c r="B3" s="87" t="s">
        <v>246</v>
      </c>
      <c r="C3" s="87" t="s">
        <v>325</v>
      </c>
      <c r="D3" s="87" t="s">
        <v>472</v>
      </c>
      <c r="E3" s="87" t="s">
        <v>480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B88566-E933-4244-856C-A2F9DB7159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Bruinsma</dc:creator>
  <cp:lastModifiedBy>Marti Denis</cp:lastModifiedBy>
  <dcterms:created xsi:type="dcterms:W3CDTF">2021-03-15T15:18:27Z</dcterms:created>
  <dcterms:modified xsi:type="dcterms:W3CDTF">2026-08-18T19:02:43Z</dcterms:modified>
</cp:coreProperties>
</file>
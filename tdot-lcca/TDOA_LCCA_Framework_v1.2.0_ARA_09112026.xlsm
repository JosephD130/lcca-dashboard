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<sst xmlns="http://schemas.openxmlformats.org/spreadsheetml/2006/main" count="1480" uniqueCount="637">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</sst>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38"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b/>
      <sz val="10"/>
      <color rgb="FFC8102E"/>
      <name val="Arial"/>
      <family val="2"/>
    </font>
    <font>
      <b/>
      <sz val="10"/>
      <color rgb="FF0F7B4F"/>
      <name val="Arial"/>
      <family val="2"/>
    </font>
    <font>
      <sz val="10"/>
      <color rgb="FF0F7B4F"/>
      <name val="Arial"/>
      <family val="2"/>
    </font>
    <font>
      <b/>
      <sz val="10"/>
      <color rgb="FF0F7B4F"/>
      <name val="Arial"/>
      <family val="2"/>
    </font>
    <font>
      <b/>
      <sz val="10"/>
      <color rgb="FF7F6000"/>
      <name val="Arial"/>
      <family val="2"/>
    </font>
    <font>
      <sz val="10"/>
      <color rgb="FF7F6000"/>
      <name val="Arial"/>
      <family val="2"/>
    </font>
    <font>
      <b/>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s>
  <fills count="123">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s>
  <borders count="115">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06">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applyAlignment="1">
      <alignment horizontal="left" vertical="center"/>
    </xf>
    <xf numFmtId="0" xfId="0" fontId="112" applyFont="1" fillId="101" applyFill="1" applyAlignment="1">
      <alignment horizontal="left" vertical="center"/>
    </xf>
    <xf numFmtId="0" xfId="0" fontId="113" applyFont="1" fillId="102" applyFill="1" borderId="107" applyBorder="1" applyAlignment="1">
      <alignment horizontal="center" vertical="center"/>
    </xf>
    <xf numFmtId="0" xfId="0" fontId="114" applyFont="1" fillId="103" applyFill="1" applyAlignment="1">
      <alignment horizontal="left" vertical="center"/>
    </xf>
    <xf numFmtId="0" xfId="0" fontId="115" applyFont="1" fillId="104" applyFill="1" applyAlignment="1">
      <alignment horizontal="left" vertical="center"/>
    </xf>
    <xf numFmtId="0" xfId="0" fontId="116" applyFont="1" fillId="105" applyFill="1" borderId="108" applyBorder="1" applyAlignment="1">
      <alignment horizontal="center" vertical="center"/>
    </xf>
    <xf numFmtId="0" xfId="0" fontId="117" applyFont="1" fillId="106" applyFill="1" applyAlignment="1">
      <alignment horizontal="left" vertical="center"/>
    </xf>
    <xf numFmtId="0" xfId="0" fontId="118" applyFont="1" fillId="107" applyFill="1" applyAlignment="1">
      <alignment horizontal="left" vertical="center"/>
    </xf>
    <xf numFmtId="0" xfId="0" fontId="119" applyFont="1" fillId="108" applyFill="1" borderId="109" applyBorder="1" applyAlignment="1">
      <alignment horizontal="center" vertical="center"/>
    </xf>
    <xf numFmtId="0" xfId="0" fontId="120" applyFont="1" fillId="109" applyFill="1" borderId="110" applyBorder="1" applyAlignment="1">
      <alignment horizontal="left" vertical="center" indent="1"/>
    </xf>
    <xf numFmtId="0" xfId="0" fillId="110" applyFill="1"/>
    <xf numFmtId="0" xfId="0" fontId="121" applyFont="1" fillId="111" applyFill="1" applyAlignment="1">
      <alignment horizontal="left" vertical="center"/>
    </xf>
    <xf numFmtId="0" xfId="0" fontId="122" applyFont="1" applyAlignment="1">
      <alignment horizontal="left" vertical="center" indent="1"/>
    </xf>
    <xf numFmtId="0" xfId="0" fontId="123" applyFont="1" borderId="111" applyBorder="1" applyAlignment="1">
      <alignment horizontal="left" vertical="center" indent="1"/>
    </xf>
    <xf numFmtId="201" xfId="0" applyNumberFormat="1" fontId="124" applyFont="1" borderId="112" applyBorder="1" applyAlignment="1">
      <alignment horizontal="right" vertical="center"/>
    </xf>
    <xf numFmtId="0" xfId="0" fontId="125" applyFont="1" fillId="112" applyFill="1" applyAlignment="1">
      <alignment horizontal="left" vertical="center" indent="1"/>
    </xf>
    <xf numFmtId="0" xfId="0" fontId="126" applyFont="1" fillId="113" applyFill="1" applyAlignment="1">
      <alignment horizontal="center" vertical="center"/>
    </xf>
    <xf numFmtId="202" xfId="0" applyNumberFormat="1" fontId="127" applyFont="1" fillId="114" applyFill="1" applyAlignment="1">
      <alignment horizontal="right" vertical="center"/>
    </xf>
    <xf numFmtId="0" xfId="0" fontId="128" applyFont="1" fillId="115" applyFill="1" applyAlignment="1">
      <alignment horizontal="left" vertical="center" indent="1"/>
    </xf>
    <xf numFmtId="0" xfId="0" fontId="129" applyFont="1" fillId="116" applyFill="1" applyAlignment="1">
      <alignment horizontal="center" vertical="center"/>
    </xf>
    <xf numFmtId="203" xfId="0" applyNumberFormat="1" fontId="130" applyFont="1" fillId="117" applyFill="1" applyAlignment="1">
      <alignment horizontal="right" vertical="center"/>
    </xf>
    <xf numFmtId="0" xfId="0" fontId="131" applyFont="1" applyAlignment="1">
      <alignment horizontal="left" vertical="center" indent="2"/>
    </xf>
    <xf numFmtId="0" xfId="0" fontId="132" applyFont="1" fillId="118" applyFill="1" applyAlignment="1">
      <alignment horizontal="left" vertical="center" indent="1"/>
    </xf>
    <xf numFmtId="0" xfId="0" fillId="119" applyFill="1"/>
    <xf numFmtId="204" xfId="0" applyNumberFormat="1" fontId="133" applyFont="1" fillId="120" applyFill="1" applyAlignment="1">
      <alignment horizontal="right" vertical="center"/>
    </xf>
    <xf numFmtId="0" xfId="0" fontId="134" applyFont="1" fillId="121" applyFill="1" applyAlignment="1">
      <alignment horizontal="center" vertical="center"/>
    </xf>
    <xf numFmtId="0" xfId="0" fontId="135" applyFont="1" borderId="113" applyBorder="1" applyAlignment="1">
      <alignment horizontal="left" vertical="center"/>
    </xf>
    <xf numFmtId="0" xfId="0" borderId="114" applyBorder="1"/>
    <xf numFmtId="0" xfId="0" fontId="136" applyFont="1" fillId="122" applyFill="1" applyAlignment="1">
      <alignment horizontal="left" vertical="center" wrapText="1" indent="1"/>
    </xf>
    <xf numFmtId="0" xfId="0" fontId="137" applyFont="1" applyAlignment="1">
      <alignment horizontal="left" vertical="center" wrapText="1" indent="1"/>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34075"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266700</xdr:colOff>
      <xdr:row>29</xdr:row>
      <xdr:rowOff>0</xdr:rowOff>
    </xdr:from>
    <xdr:ext cx="5934075"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92417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619125</xdr:colOff>
      <xdr:row>47</xdr:row>
      <xdr:rowOff>0</xdr:rowOff>
    </xdr:from>
    <xdr:ext cx="292417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238125</xdr:colOff>
      <xdr:row>47</xdr:row>
      <xdr:rowOff>0</xdr:rowOff>
    </xdr:from>
    <xdr:ext cx="292417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92417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619125</xdr:colOff>
      <xdr:row>58</xdr:row>
      <xdr:rowOff>0</xdr:rowOff>
    </xdr:from>
    <xdr:ext cx="292417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657225</xdr:colOff>
      <xdr:row>47</xdr:row>
      <xdr:rowOff>0</xdr:rowOff>
    </xdr:from>
    <xdr:ext cx="292417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9</xdr:col>
      <xdr:colOff>154088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5" t="s">
        <v>263</v>
      </c>
      <c r="B4" s="286"/>
      <c r="C4" s="287" t="s">
        <v>487</v>
      </c>
      <c r="D4" s="286"/>
      <c r="E4" s="97" t="s">
        <v>600</v>
      </c>
      <c r="F4" s="112">
        <f>ROUNDUP(C5*550/(50*100/9)/10000,0)+ROUNDUP(C5*'Maintenance Policies'!D38/10000,0)+ROUNDUP(C5*'Maintenance Policies'!D39/5000,0)+ROUNDUP(C5*'Maintenance Policies'!D40/5000,0)</f>
        <v>0</v>
      </c>
    </row>
    <row r="5" spans="1:24" x14ac:dyDescent="0.25">
      <c r="A5" s="285" t="s">
        <v>346</v>
      </c>
      <c r="B5" s="286"/>
      <c r="C5" s="287">
        <f>'General Information'!D26</f>
        <v>0</v>
      </c>
      <c r="D5" s="286" t="s">
        <v>6</v>
      </c>
      <c r="E5" s="99" t="s">
        <v>604</v>
      </c>
      <c r="F5" s="113">
        <f>ROUNDUP(C5*550/(50*100/9)/10000,0)+ROUNDUP(C5*'Maintenance Policies'!D44/10000,0)+ROUNDUP(C5*'Maintenance Policies'!D43/5000,0)+ROUNDUP(C5*'Maintenance Policies'!D42/5000,0)+ROUNDUP(C5*'Maintenance Policies'!D41/1000,0)+7</f>
        <v>0</v>
      </c>
    </row>
    <row r="6" spans="1:24" x14ac:dyDescent="0.25">
      <c r="A6" s="285" t="s">
        <v>262</v>
      </c>
      <c r="B6" s="286"/>
      <c r="C6" s="287">
        <f>'General Information'!D25</f>
        <v>0</v>
      </c>
      <c r="D6" s="286"/>
    </row>
    <row r="7" spans="1:24" x14ac:dyDescent="0.25">
      <c r="A7" s="285" t="s">
        <v>345</v>
      </c>
      <c r="B7" s="286"/>
      <c r="C7" s="287">
        <f>'General Information'!D28</f>
        <v>0</v>
      </c>
      <c r="D7" s="286"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88" t="s">
        <v>348</v>
      </c>
      <c r="B24" s="288"/>
      <c r="G24" s="72">
        <f>SUM(G13:G22)</f>
        <v>0</v>
      </c>
    </row>
    <row r="25" spans="1:24" x14ac:dyDescent="0.25">
      <c r="A25" s="288"/>
      <c r="B25" s="288" t="s">
        <v>9</v>
      </c>
      <c r="G25" s="72">
        <f>('General Information'!$D$36/100)*G24</f>
        <v>0</v>
      </c>
    </row>
    <row r="26" spans="1:24" x14ac:dyDescent="0.25">
      <c r="A26" s="288"/>
      <c r="B26" s="288" t="s">
        <v>323</v>
      </c>
      <c r="G26" s="72">
        <f>('General Information'!$D$37/100)*G24</f>
        <v>0</v>
      </c>
    </row>
    <row r="27" spans="1:24" s="4" customFormat="1" x14ac:dyDescent="0.25" ht="22" customHeight="1">
      <c r="A27" s="289" t="s">
        <v>349</v>
      </c>
      <c r="B27" s="289"/>
      <c r="C27" s="289"/>
      <c r="D27" s="289"/>
      <c r="E27" s="289"/>
      <c r="F27" s="289"/>
      <c r="G27" s="290">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7"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1" t="s">
        <v>77</v>
      </c>
      <c r="C40" s="292">
        <f>'Maintenance Policies'!E41</f>
        <v>27</v>
      </c>
      <c r="D40" s="293">
        <f>X21</f>
        <v>0</v>
      </c>
      <c r="E40" s="293">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7"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4" t="s">
        <v>85</v>
      </c>
      <c r="C42" s="295">
        <f>'General Information'!D33</f>
        <v>10</v>
      </c>
      <c r="D42" s="296">
        <f>-'Maintenance Policies'!D46*G27</f>
        <v>0</v>
      </c>
      <c r="E42" s="296">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298" t="s">
        <v>328</v>
      </c>
      <c r="C43" s="299"/>
      <c r="D43" s="299"/>
      <c r="E43" s="30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ht="21" customHeight="1" spans="2:16" x14ac:dyDescent="0.2">
      <c r="B45" s="6" t="inlineStr">
        <is>
          <t>Typical input values:</t>
        </is>
      </c>
      <c r="D45" s="119" t="str">
        <f>HYPERLINK("#'Typical Values'!A1","Typical Values  ►")</f>
        <v>Typical Values  ►</v>
      </c>
      <c r="L45" s="5" t="s">
        <v>129</v>
      </c>
      <c r="M45" s="5" t="s">
        <v>128</v>
      </c>
      <c r="N45" s="5" t="s">
        <v>396</v>
      </c>
      <c r="O45" s="5" t="s">
        <v>543</v>
      </c>
      <c r="P45" s="5" t="s">
        <v>64</v>
      </c>
    </row>
    <row r="46" ht="21" customHeight="1" spans="2:16" x14ac:dyDescent="0.2">
      <c r="B46" s="6" t="inlineStr">
        <is>
          <t>How it is calculated:</t>
        </is>
      </c>
      <c r="D46" s="119" t="str">
        <f>HYPERLINK("#Method!A1","Method  ►")</f>
        <v>Method  ►</v>
      </c>
      <c r="L46" s="5" t="s">
        <v>115</v>
      </c>
      <c r="M46" s="5" t="s">
        <v>114</v>
      </c>
      <c r="N46" s="5" t="s">
        <v>391</v>
      </c>
      <c r="O46" s="5" t="s">
        <v>544</v>
      </c>
      <c r="P46" s="5" t="s">
        <v>64</v>
      </c>
    </row>
    <row r="47" ht="21" customHeight="1" spans="2:16" x14ac:dyDescent="0.2">
      <c r="B47" s="6" t="inlineStr">
        <is>
          <t>Unit costs:</t>
        </is>
      </c>
      <c r="D47" s="119" t="str">
        <f>HYPERLINK("#Pay_Items!A1","Pay_Items  ►")</f>
        <v>Pay_Items  ►</v>
      </c>
      <c r="L47" s="5" t="s">
        <v>448</v>
      </c>
      <c r="M47" s="5" t="s">
        <v>418</v>
      </c>
      <c r="N47" s="5" t="s">
        <v>417</v>
      </c>
      <c r="O47" s="5" t="s">
        <v>545</v>
      </c>
      <c r="P47" s="5" t="s">
        <v>64</v>
      </c>
    </row>
    <row r="48" ht="21" customHeight="1" spans="2:16" x14ac:dyDescent="0.2">
      <c r="B48" s="6" t="inlineStr">
        <is>
          <t>Maintenance policies:</t>
        </is>
      </c>
      <c r="D48" s="119"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22" style="5" customWidth="1"/>
    <col min="2" max="2" width="16" style="5" customWidth="1"/>
    <col min="3" max="3" width="14" style="5" customWidth="1"/>
    <col min="4" max="4" width="64" style="5" customWidth="1"/>
    <col min="5" max="5" width="7" style="5" customWidth="1"/>
    <col min="6" max="6" width="11" style="5" customWidth="1"/>
    <col min="7" max="7" width="10" style="5" customWidth="1"/>
    <col min="8" max="8" width="10" style="5" customWidth="1"/>
    <col min="9" max="9" width="10" style="5" customWidth="1"/>
    <col min="10" max="10" width="18"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6" t="inlineStr">
        <is>
          <t xml:space="preserve">STEP 3 of 5   ·   the unit costs every alternative is priced from. The grey Unit Cost column is the one to edit.</t>
        </is>
      </c>
      <c r="F1" s="256"/>
      <c r="H1" s="256"/>
      <c r="I1" s="256"/>
    </row>
    <row r="2" spans="1:10" x14ac:dyDescent="0.2" ht="22" customHeight="1">
      <c r="A2" s="217" t="s">
        <v>51</v>
      </c>
      <c r="B2" s="217" t="s">
        <v>505</v>
      </c>
      <c r="C2" s="217" t="s">
        <v>52</v>
      </c>
      <c r="D2" s="217" t="s">
        <v>53</v>
      </c>
      <c r="E2" s="258" t="s">
        <v>266</v>
      </c>
      <c r="F2" s="258" t="s">
        <v>320</v>
      </c>
      <c r="G2" s="258" t="inlineStr">
        <is>
          <t xml:space="preserve">Middle avg</t>
        </is>
      </c>
      <c r="H2" s="258" t="inlineStr">
        <is>
          <t xml:space="preserve">West avg</t>
        </is>
      </c>
      <c r="I2" s="258" t="inlineStr">
        <is>
          <t xml:space="preserve">East avg</t>
        </is>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A61:J61"/>
    <mergeCell ref="A62:J62"/>
    <mergeCell ref="A63:J63"/>
    <mergeCell ref="A64:J64"/>
    <mergeCell ref="E1:I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9" t="inlineStr">
        <is>
          <t xml:space="preserve">Salvage credit</t>
        </is>
      </c>
      <c r="D6" s="282"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6" t="s">
        <v>77</v>
      </c>
      <c r="C22" s="277" t="s">
        <v>78</v>
      </c>
      <c r="D22" s="263">
        <v>1</v>
      </c>
      <c r="E22" s="267">
        <v>20</v>
      </c>
      <c r="F22" s="277"/>
    </row>
    <row r="23" spans="2:5" ht="12.6" customHeight="1" x14ac:dyDescent="0.2">
      <c r="B23" s="277"/>
      <c r="C23" s="277" t="s">
        <v>79</v>
      </c>
      <c r="D23" s="263">
        <v>1.4999999999999999E-2</v>
      </c>
      <c r="E23" s="268"/>
      <c r="F23" s="277"/>
    </row>
    <row r="24" spans="2:5" ht="12.6" customHeight="1" x14ac:dyDescent="0.2">
      <c r="B24" s="277"/>
      <c r="C24" s="277" t="s">
        <v>80</v>
      </c>
      <c r="D24" s="263">
        <v>5.0000000000000001E-3</v>
      </c>
      <c r="E24" s="268"/>
      <c r="F24" s="277"/>
    </row>
    <row r="25" spans="2:5" ht="13.15" customHeight="1" thickBot="1" x14ac:dyDescent="0.25">
      <c r="B25" s="277"/>
      <c r="C25" s="277" t="s">
        <v>69</v>
      </c>
      <c r="D25" s="263">
        <v>1</v>
      </c>
      <c r="E25" s="269"/>
      <c r="F25" s="277"/>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9" t="s">
        <v>85</v>
      </c>
      <c r="C32" s="280" t="str">
        <f>"Salvage value: "&amp;TEXT(D32*F32,"0.#")&amp;" of 16 years left on the mill and overlay"&amp;" placed in year "&amp;E22&amp;" ("&amp;TEXT(D32,"0.0%")&amp;" of its cost) at the "&amp;'General Information'!$D$33&amp;"-year analysis period"</f>
      </c>
      <c r="D32" s="280">
        <f>IF(E22&gt;'General Information'!$D$33,0,MAX(0,MIN(1,(E22+F32-'General Information'!$D$33)/F32)))</f>
      </c>
      <c r="E32" s="270">
        <f>'General Information'!$D$33</f>
      </c>
      <c r="F32" s="280">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6" t="s">
        <v>77</v>
      </c>
      <c r="C41" s="277" t="s">
        <v>101</v>
      </c>
      <c r="D41" s="263">
        <v>0.02</v>
      </c>
      <c r="E41" s="267">
        <v>27</v>
      </c>
      <c r="F41" s="277"/>
    </row>
    <row r="42" spans="2:5" ht="12.6" customHeight="1" x14ac:dyDescent="0.2">
      <c r="B42" s="277"/>
      <c r="C42" s="277" t="s">
        <v>100</v>
      </c>
      <c r="D42" s="263">
        <v>3.0000000000000001E-3</v>
      </c>
      <c r="E42" s="268"/>
      <c r="F42" s="277"/>
    </row>
    <row r="43" spans="2:5" ht="12.6" customHeight="1" x14ac:dyDescent="0.2">
      <c r="B43" s="277"/>
      <c r="C43" s="277" t="s">
        <v>99</v>
      </c>
      <c r="D43" s="263">
        <v>1.2999999999999999E-3</v>
      </c>
      <c r="E43" s="268"/>
      <c r="F43" s="277"/>
    </row>
    <row r="44" spans="2:5" ht="12.6" customHeight="1" x14ac:dyDescent="0.2">
      <c r="B44" s="277"/>
      <c r="C44" s="277" t="s">
        <v>102</v>
      </c>
      <c r="D44" s="263">
        <v>3.0000000000000001E-3</v>
      </c>
      <c r="E44" s="268"/>
      <c r="F44" s="277"/>
    </row>
    <row r="45" spans="2:5" ht="13.15" customHeight="1" thickBot="1" x14ac:dyDescent="0.25">
      <c r="B45" s="277"/>
      <c r="C45" s="277" t="s">
        <v>103</v>
      </c>
      <c r="D45" s="263">
        <v>1</v>
      </c>
      <c r="E45" s="269"/>
      <c r="F45" s="277"/>
    </row>
    <row r="46" spans="2:5" ht="13.5" thickBot="1" x14ac:dyDescent="0.25">
      <c r="B46" s="279" t="s">
        <v>85</v>
      </c>
      <c r="C46" s="280" t="str">
        <f>"Salvage value: "&amp;TEXT(D46*F46,"0.#")&amp;" of 40 years left on the initial construction"&amp;" ("&amp;TEXT(D46,"0.0%")&amp;" of its cost) at the "&amp;'General Information'!$D$33&amp;"-year analysis period"</f>
      </c>
      <c r="D46" s="280">
        <f>MAX(0,MIN(1,(0+F46-'General Information'!$D$33)/F46))</f>
      </c>
      <c r="E46" s="270">
        <f>'General Information'!$D$33</f>
      </c>
      <c r="F46" s="280">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6" t="s">
        <v>491</v>
      </c>
      <c r="C59" s="277" t="s">
        <v>78</v>
      </c>
      <c r="D59" s="263">
        <v>1</v>
      </c>
      <c r="E59" s="267">
        <v>16</v>
      </c>
      <c r="F59" s="277"/>
    </row>
    <row r="60" spans="2:5" x14ac:dyDescent="0.2">
      <c r="B60" s="277"/>
      <c r="C60" s="277" t="s">
        <v>492</v>
      </c>
      <c r="D60" s="263">
        <v>1.4999999999999999E-2</v>
      </c>
      <c r="E60" s="268"/>
      <c r="F60" s="277"/>
    </row>
    <row r="61" spans="2:5" x14ac:dyDescent="0.2">
      <c r="B61" s="277"/>
      <c r="C61" s="277" t="s">
        <v>493</v>
      </c>
      <c r="D61" s="263">
        <v>5.0000000000000001E-3</v>
      </c>
      <c r="E61" s="268"/>
      <c r="F61" s="277"/>
    </row>
    <row r="62" spans="2:5" ht="13.5" thickBot="1" x14ac:dyDescent="0.25">
      <c r="B62" s="277"/>
      <c r="C62" s="277" t="s">
        <v>69</v>
      </c>
      <c r="D62" s="263">
        <v>1</v>
      </c>
      <c r="E62" s="269"/>
      <c r="F62" s="277"/>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82" t="s">
        <v>85</v>
      </c>
      <c r="C71" s="283" t="s">
        <v>498</v>
      </c>
      <c r="D71" s="283">
        <v>0</v>
      </c>
      <c r="E71" s="273">
        <f>'General Information'!$D$33</f>
      </c>
      <c r="F71" s="283"/>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6" t="s">
        <v>77</v>
      </c>
      <c r="C80" s="277" t="s">
        <v>500</v>
      </c>
      <c r="D80" s="263">
        <v>0.05</v>
      </c>
      <c r="E80" s="267">
        <v>25</v>
      </c>
      <c r="F80" s="277"/>
    </row>
    <row r="81" spans="2:5" x14ac:dyDescent="0.2">
      <c r="B81" s="277"/>
      <c r="C81" s="277" t="s">
        <v>100</v>
      </c>
      <c r="D81" s="263">
        <v>3.0000000000000001E-3</v>
      </c>
      <c r="E81" s="268"/>
      <c r="F81" s="277"/>
    </row>
    <row r="82" spans="2:5" x14ac:dyDescent="0.2">
      <c r="B82" s="277"/>
      <c r="C82" s="277" t="s">
        <v>503</v>
      </c>
      <c r="D82" s="263">
        <v>1.5E-3</v>
      </c>
      <c r="E82" s="268"/>
      <c r="F82" s="277"/>
    </row>
    <row r="83" spans="2:5" x14ac:dyDescent="0.2">
      <c r="B83" s="277"/>
      <c r="C83" s="277" t="s">
        <v>102</v>
      </c>
      <c r="D83" s="263">
        <v>3.0000000000000001E-3</v>
      </c>
      <c r="E83" s="268"/>
      <c r="F83" s="277"/>
    </row>
    <row r="84" spans="2:5" ht="13.5" thickBot="1" x14ac:dyDescent="0.25">
      <c r="B84" s="277"/>
      <c r="C84" s="277" t="s">
        <v>103</v>
      </c>
      <c r="D84" s="263">
        <v>1</v>
      </c>
      <c r="E84" s="269"/>
      <c r="F84" s="277"/>
    </row>
    <row r="85" spans="2:5" ht="13.5" thickBot="1" x14ac:dyDescent="0.25">
      <c r="B85" s="282" t="s">
        <v>85</v>
      </c>
      <c r="C85" s="283" t="s">
        <v>498</v>
      </c>
      <c r="D85" s="283">
        <v>0</v>
      </c>
      <c r="E85" s="273">
        <f>'General Information'!$D$33</f>
      </c>
      <c r="F85" s="283"/>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5" t="s">
        <v>263</v>
      </c>
      <c r="B4" s="286"/>
      <c r="C4" s="287" t="s">
        <v>486</v>
      </c>
      <c r="D4" s="286"/>
      <c r="E4" s="97" t="s">
        <v>600</v>
      </c>
      <c r="F4" s="112">
        <f>ROUNDUP((C5/15000),0)+ROUNDUP((C8/20000),0)+ROUNDUP((C8/50000),0)</f>
        <v>0</v>
      </c>
    </row>
    <row r="5" spans="1:64" x14ac:dyDescent="0.25">
      <c r="A5" s="285" t="s">
        <v>346</v>
      </c>
      <c r="B5" s="286"/>
      <c r="C5" s="287">
        <f>'General Information'!D26</f>
        <v>0</v>
      </c>
      <c r="D5" s="286" t="s">
        <v>6</v>
      </c>
      <c r="E5" s="97" t="s">
        <v>601</v>
      </c>
      <c r="F5" s="112">
        <f>ROUNDUP((C5/15000),0)+ROUNDUP((C8/20000),0)+ROUNDUP((C8/50000),0)</f>
        <v>0</v>
      </c>
    </row>
    <row r="6" spans="1:64" x14ac:dyDescent="0.25">
      <c r="A6" s="285" t="s">
        <v>262</v>
      </c>
      <c r="B6" s="286"/>
      <c r="C6" s="287">
        <f>'General Information'!D25</f>
        <v>0</v>
      </c>
      <c r="D6" s="286"/>
      <c r="E6" s="97" t="s">
        <v>602</v>
      </c>
      <c r="F6" s="112">
        <f>ROUNDUP((C5/15000),0)+ROUNDUP((C8/20000),0)+ROUNDUP((C8/50000),0)+ROUNDUP((C5*'Maintenance Policies'!D15/10000),0)+ROUNDUP((C5*'Maintenance Policies'!D14/5000),0)</f>
        <v>0</v>
      </c>
      <c r="AP6" s="61" t="s">
        <v>355</v>
      </c>
      <c r="AQ6" s="61">
        <v>2</v>
      </c>
      <c r="AR6" s="61" t="s">
        <v>356</v>
      </c>
    </row>
    <row r="7" spans="1:64" x14ac:dyDescent="0.25">
      <c r="A7" s="285" t="s">
        <v>324</v>
      </c>
      <c r="B7" s="286"/>
      <c r="C7" s="287" t="s">
        <v>276</v>
      </c>
      <c r="D7" s="286"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5" t="s">
        <v>345</v>
      </c>
      <c r="B8" s="286"/>
      <c r="C8" s="287">
        <f>'General Information'!D28</f>
        <v>0</v>
      </c>
      <c r="D8" s="286"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88" t="s">
        <v>348</v>
      </c>
      <c r="B24" s="288"/>
      <c r="G24" s="46">
        <f>SUM(G13:G22)</f>
        <v>0</v>
      </c>
    </row>
    <row r="25" spans="1:64" x14ac:dyDescent="0.25">
      <c r="A25" s="288"/>
      <c r="B25" s="288" t="s">
        <v>9</v>
      </c>
      <c r="G25" s="46">
        <f>('General Information'!$D$36/100)*G24</f>
        <v>0</v>
      </c>
    </row>
    <row r="26" spans="1:64" x14ac:dyDescent="0.25">
      <c r="A26" s="288"/>
      <c r="B26" s="288" t="s">
        <v>323</v>
      </c>
      <c r="G26" s="46">
        <f>('General Information'!$D$37/100)*G24</f>
        <v>0</v>
      </c>
    </row>
    <row r="27" spans="1:64" x14ac:dyDescent="0.25" ht="22" customHeight="1">
      <c r="A27" s="289" t="s">
        <v>349</v>
      </c>
      <c r="B27" s="289"/>
      <c r="C27" s="289"/>
      <c r="D27" s="289"/>
      <c r="E27" s="289"/>
      <c r="F27" s="289"/>
      <c r="G27" s="290">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7"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7"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7"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7"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1" t="s">
        <v>77</v>
      </c>
      <c r="C45" s="292">
        <f>'Maintenance Policies'!E22</f>
        <v>20</v>
      </c>
      <c r="D45" s="293">
        <f>AV22</f>
        <v>0</v>
      </c>
      <c r="E45" s="293">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7"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7"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7"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4" t="s">
        <v>85</v>
      </c>
      <c r="C51" s="295">
        <f>'General Information'!D33</f>
        <v>10</v>
      </c>
      <c r="D51" s="296">
        <f>-'Maintenance Policies'!D32*AV22</f>
        <v>0</v>
      </c>
      <c r="E51" s="296">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298" t="s">
        <v>328</v>
      </c>
      <c r="C52" s="299"/>
      <c r="D52" s="299"/>
      <c r="E52" s="30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5" t="s">
        <v>263</v>
      </c>
      <c r="B4" s="286"/>
      <c r="C4" s="287" t="s">
        <v>486</v>
      </c>
      <c r="D4" s="286"/>
    </row>
    <row r="5" spans="1:64" x14ac:dyDescent="0.25">
      <c r="A5" s="285" t="s">
        <v>346</v>
      </c>
      <c r="B5" s="286"/>
      <c r="C5" s="287">
        <f>'General Information'!D26</f>
        <v>0</v>
      </c>
      <c r="D5" s="286" t="s">
        <v>6</v>
      </c>
    </row>
    <row r="6" spans="1:64" x14ac:dyDescent="0.25">
      <c r="A6" s="285" t="s">
        <v>262</v>
      </c>
      <c r="B6" s="286"/>
      <c r="C6" s="287">
        <f>'General Information'!D25</f>
        <v>0</v>
      </c>
      <c r="D6" s="286"/>
      <c r="AP6" s="61" t="s">
        <v>355</v>
      </c>
      <c r="AQ6" s="61">
        <v>2</v>
      </c>
      <c r="AR6" s="61" t="s">
        <v>356</v>
      </c>
    </row>
    <row r="7" spans="1:64" x14ac:dyDescent="0.25">
      <c r="A7" s="285" t="s">
        <v>324</v>
      </c>
      <c r="B7" s="286"/>
      <c r="C7" s="287" t="s">
        <v>276</v>
      </c>
      <c r="D7" s="286" t="s">
        <v>476</v>
      </c>
      <c r="AP7" s="61" t="s">
        <v>357</v>
      </c>
      <c r="AQ7" s="61">
        <v>120</v>
      </c>
      <c r="AR7" s="61" t="s">
        <v>358</v>
      </c>
    </row>
    <row r="8" spans="1:64" x14ac:dyDescent="0.25">
      <c r="A8" s="285" t="s">
        <v>345</v>
      </c>
      <c r="B8" s="286"/>
      <c r="C8" s="287">
        <f>'General Information'!D28</f>
        <v>0</v>
      </c>
      <c r="D8" s="286"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88" t="s">
        <v>348</v>
      </c>
      <c r="B24" s="288"/>
      <c r="G24" s="46">
        <f>SUM(G13:G22)</f>
        <v>0</v>
      </c>
    </row>
    <row r="25" spans="1:64" x14ac:dyDescent="0.25">
      <c r="A25" s="288"/>
      <c r="B25" s="288" t="s">
        <v>9</v>
      </c>
      <c r="G25" s="46">
        <f>('General Information'!$D$36/100)*G24</f>
        <v>0</v>
      </c>
    </row>
    <row r="26" spans="1:64" x14ac:dyDescent="0.25">
      <c r="A26" s="288"/>
      <c r="B26" s="288" t="s">
        <v>323</v>
      </c>
      <c r="G26" s="46">
        <f>('General Information'!$D$37/100)*G24</f>
        <v>0</v>
      </c>
    </row>
    <row r="27" spans="1:64" x14ac:dyDescent="0.25" ht="22" customHeight="1">
      <c r="A27" s="289" t="s">
        <v>349</v>
      </c>
      <c r="B27" s="289"/>
      <c r="C27" s="289"/>
      <c r="D27" s="289"/>
      <c r="E27" s="289"/>
      <c r="F27" s="289"/>
      <c r="G27" s="290">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1" t="s">
        <v>77</v>
      </c>
      <c r="C41" s="292">
        <f>'Maintenance Policies'!E22</f>
        <v>20</v>
      </c>
      <c r="D41" s="293">
        <f>AV22</f>
        <v>0</v>
      </c>
      <c r="E41" s="293">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4" t="s">
        <v>85</v>
      </c>
      <c r="C44" s="295">
        <f>'General Information'!D33</f>
        <v>10</v>
      </c>
      <c r="D44" s="296">
        <f>-'Maintenance Policies'!D32*AV22</f>
        <v>0</v>
      </c>
      <c r="E44" s="296">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298" t="s">
        <v>328</v>
      </c>
      <c r="C45" s="299"/>
      <c r="D45" s="299"/>
      <c r="E45" s="30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5" t="s">
        <v>263</v>
      </c>
      <c r="B4" s="286"/>
      <c r="C4" s="287" t="s">
        <v>487</v>
      </c>
      <c r="D4" s="286"/>
    </row>
    <row r="5" spans="1:24" x14ac:dyDescent="0.25">
      <c r="A5" s="285" t="s">
        <v>346</v>
      </c>
      <c r="B5" s="286"/>
      <c r="C5" s="287">
        <f>'General Information'!D26</f>
        <v>0</v>
      </c>
      <c r="D5" s="286" t="s">
        <v>6</v>
      </c>
    </row>
    <row r="6" spans="1:24" x14ac:dyDescent="0.25">
      <c r="A6" s="285" t="s">
        <v>262</v>
      </c>
      <c r="B6" s="286"/>
      <c r="C6" s="287">
        <f>'General Information'!D25</f>
        <v>0</v>
      </c>
      <c r="D6" s="286"/>
    </row>
    <row r="7" spans="1:24" x14ac:dyDescent="0.25">
      <c r="A7" s="285" t="s">
        <v>345</v>
      </c>
      <c r="B7" s="286"/>
      <c r="C7" s="287">
        <f>'General Information'!D28</f>
        <v>0</v>
      </c>
      <c r="D7" s="286"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88" t="s">
        <v>348</v>
      </c>
      <c r="B24" s="288"/>
      <c r="G24" s="72">
        <f>SUM(G13:G22)</f>
        <v>0</v>
      </c>
    </row>
    <row r="25" spans="1:24" x14ac:dyDescent="0.25">
      <c r="A25" s="288"/>
      <c r="B25" s="288" t="s">
        <v>9</v>
      </c>
      <c r="G25" s="72">
        <f>('General Information'!$D$36/100)*G24</f>
        <v>0</v>
      </c>
    </row>
    <row r="26" spans="1:24" x14ac:dyDescent="0.25">
      <c r="A26" s="288"/>
      <c r="B26" s="288" t="s">
        <v>323</v>
      </c>
      <c r="G26" s="72">
        <f>('General Information'!$D$37/100)*G24</f>
        <v>0</v>
      </c>
    </row>
    <row r="27" spans="1:24" s="4" customFormat="1" x14ac:dyDescent="0.25" ht="22" customHeight="1">
      <c r="A27" s="289" t="s">
        <v>349</v>
      </c>
      <c r="B27" s="289"/>
      <c r="C27" s="289"/>
      <c r="D27" s="289"/>
      <c r="E27" s="289"/>
      <c r="F27" s="289"/>
      <c r="G27" s="290">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1" t="s">
        <v>77</v>
      </c>
      <c r="C39" s="292">
        <f>'Maintenance Policies'!E41</f>
        <v>27</v>
      </c>
      <c r="D39" s="293">
        <f>X21</f>
        <v>0</v>
      </c>
      <c r="E39" s="293">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4" t="s">
        <v>85</v>
      </c>
      <c r="C40" s="295">
        <f>'General Information'!D33</f>
        <v>10</v>
      </c>
      <c r="D40" s="296">
        <f>-'Maintenance Policies'!D46*G27</f>
        <v>0</v>
      </c>
      <c r="E40" s="296">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298" t="s">
        <v>328</v>
      </c>
      <c r="C41" s="299"/>
      <c r="D41" s="299"/>
      <c r="E41" s="30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5" t="s">
        <v>263</v>
      </c>
      <c r="B4" s="286"/>
      <c r="C4" s="287" t="s">
        <v>499</v>
      </c>
      <c r="D4" s="286"/>
    </row>
    <row r="5" spans="1:64" x14ac:dyDescent="0.25">
      <c r="A5" s="285" t="s">
        <v>346</v>
      </c>
      <c r="B5" s="286"/>
      <c r="C5" s="287">
        <f>'General Information'!D26</f>
        <v>0</v>
      </c>
      <c r="D5" s="286" t="s">
        <v>6</v>
      </c>
    </row>
    <row r="6" spans="1:64" x14ac:dyDescent="0.25">
      <c r="A6" s="285" t="s">
        <v>262</v>
      </c>
      <c r="B6" s="286"/>
      <c r="C6" s="287">
        <f>'General Information'!D25</f>
        <v>0</v>
      </c>
      <c r="D6" s="286"/>
      <c r="AH6" t="s">
        <v>355</v>
      </c>
      <c r="AI6">
        <v>2</v>
      </c>
      <c r="AJ6" t="s">
        <v>356</v>
      </c>
    </row>
    <row r="7" spans="1:64" x14ac:dyDescent="0.25">
      <c r="A7" s="285" t="s">
        <v>324</v>
      </c>
      <c r="B7" s="286"/>
      <c r="C7" s="287" t="s">
        <v>276</v>
      </c>
      <c r="D7" s="286" t="s">
        <v>476</v>
      </c>
      <c r="AH7" t="s">
        <v>357</v>
      </c>
      <c r="AI7">
        <v>120</v>
      </c>
      <c r="AJ7" t="s">
        <v>358</v>
      </c>
    </row>
    <row r="8" spans="1:64" x14ac:dyDescent="0.25">
      <c r="A8" s="285" t="s">
        <v>345</v>
      </c>
      <c r="B8" s="286"/>
      <c r="C8" s="287">
        <f>'General Information'!D28</f>
        <v>0</v>
      </c>
      <c r="D8" s="286"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88" t="s">
        <v>348</v>
      </c>
      <c r="B24" s="288"/>
      <c r="G24" s="46">
        <f>SUM(G13:G22)</f>
        <v>0</v>
      </c>
    </row>
    <row r="25" spans="1:64" x14ac:dyDescent="0.25">
      <c r="A25" s="288"/>
      <c r="B25" s="288" t="s">
        <v>9</v>
      </c>
      <c r="G25" s="46">
        <f>('General Information'!$D$36/100)*G24</f>
        <v>0</v>
      </c>
    </row>
    <row r="26" spans="1:64" x14ac:dyDescent="0.25">
      <c r="A26" s="288"/>
      <c r="B26" s="288" t="s">
        <v>323</v>
      </c>
      <c r="G26" s="46">
        <f>('General Information'!$D$37/100)*G24</f>
        <v>0</v>
      </c>
    </row>
    <row r="27" spans="1:64" s="4" customFormat="1" x14ac:dyDescent="0.25" ht="22" customHeight="1">
      <c r="A27" s="289" t="s">
        <v>349</v>
      </c>
      <c r="B27" s="289"/>
      <c r="C27" s="289"/>
      <c r="D27" s="289"/>
      <c r="E27" s="289"/>
      <c r="F27" s="289"/>
      <c r="G27" s="290">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1" t="s">
        <v>77</v>
      </c>
      <c r="C40" s="292">
        <f>'Maintenance Policies'!E59</f>
        <v>16</v>
      </c>
      <c r="D40" s="293">
        <f>AN22</f>
        <v>0</v>
      </c>
      <c r="E40" s="293">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4" t="s">
        <v>85</v>
      </c>
      <c r="C44" s="295">
        <f>'General Information'!D33</f>
        <v>10</v>
      </c>
      <c r="D44" s="296">
        <f>-'Maintenance Policies'!D71*AN22</f>
        <v>0</v>
      </c>
      <c r="E44" s="296">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298" t="s">
        <v>328</v>
      </c>
      <c r="C45" s="299"/>
      <c r="D45" s="299"/>
      <c r="E45" s="30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M1" s="211" t="inlineStr">
        <is>
          <t>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ht="6" customHeight="1"/>
    <row r="114" ht="6" customHeight="1"/>
    <row r="115" ht="6" customHeight="1"/>
    <row r="116" ht="6" customHeight="1"/>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2">
    <mergeCell ref="G10:R10"/>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5"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5"/>
      <c r="C4" s="305"/>
      <c r="D4" s="305"/>
      <c r="E4" s="305"/>
      <c r="F4" s="305"/>
      <c r="G4" s="305"/>
    </row>
    <row r="6" ht="22" customHeight="1">
      <c r="A6" s="302" t="inlineStr">
        <is>
          <t>1. What TDOT Aeronautics manages (context for project size)</t>
        </is>
      </c>
      <c r="B6" s="303" t="n"/>
      <c r="C6" s="303" t="n"/>
      <c r="D6" s="303" t="n"/>
      <c r="E6" s="303" t="n"/>
      <c r="F6" s="303" t="n"/>
      <c r="G6" s="303" t="n"/>
    </row>
    <row r="7" ht="24" customHeight="1">
      <c r="A7" s="304" t="inlineStr">
        <is>
          <t>Item</t>
        </is>
      </c>
      <c r="B7" s="304" t="inlineStr">
        <is>
          <t>Value</t>
        </is>
      </c>
      <c r="C7" s="304" t="inlineStr">
        <is>
          <t>Unit</t>
        </is>
      </c>
      <c r="D7" s="304" t="inlineStr">
        <is>
          <t>Year</t>
        </is>
      </c>
      <c r="E7" s="304" t="inlineStr"/>
      <c r="F7" s="304" t="inlineStr"/>
      <c r="G7" s="304"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5" t="inlineStr">
        <is>
          <t>The workbook dropdown holds the TASP airports (count in the live section below). The 17 airports with revenue data are those meeting Aeronautics' activity criteria.</t>
        </is>
      </c>
      <c r="B19" s="305"/>
      <c r="C19" s="305"/>
      <c r="D19" s="305"/>
      <c r="E19" s="305"/>
      <c r="F19" s="305"/>
      <c r="G19" s="305"/>
    </row>
    <row r="21" ht="22" customHeight="1">
      <c r="A21" s="302" t="inlineStr">
        <is>
          <t>2. Typical runway geometry at Tennessee GA airports (for D26 mainline area and D28 markings)</t>
        </is>
      </c>
      <c r="B21" s="303" t="n"/>
      <c r="C21" s="303" t="n"/>
      <c r="D21" s="303" t="n"/>
      <c r="E21" s="303" t="n"/>
      <c r="F21" s="303" t="n"/>
      <c r="G21" s="303" t="n"/>
    </row>
    <row r="22" ht="24" customHeight="1">
      <c r="A22" s="304" t="inlineStr">
        <is>
          <t>Airport</t>
        </is>
      </c>
      <c r="B22" s="304" t="inlineStr">
        <is>
          <t>Runway</t>
        </is>
      </c>
      <c r="C22" s="304" t="inlineStr">
        <is>
          <t>Length x width (ft)</t>
        </is>
      </c>
      <c r="D22" s="304" t="inlineStr">
        <is>
          <t>Mainline area (SY)</t>
        </is>
      </c>
      <c r="E22" s="304" t="inlineStr">
        <is>
          <t>Role</t>
        </is>
      </c>
      <c r="F22" s="304" t="inlineStr">
        <is>
          <t>Note</t>
        </is>
      </c>
      <c r="G22" s="304"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5" t="inlineStr">
        <is>
          <t>Mainline area = length x width / 9. Shoulders (D27) are usually unpaved at TN GA airports; enter paved shoulders only. Area drives the closure-day defaults on the alternative sheets.</t>
        </is>
      </c>
      <c r="B32" s="305"/>
      <c r="C32" s="305"/>
      <c r="D32" s="305"/>
      <c r="E32" s="305"/>
      <c r="F32" s="305"/>
      <c r="G32" s="305"/>
    </row>
    <row r="34" ht="22" customHeight="1">
      <c r="A34" s="302" t="inlineStr">
        <is>
          <t>3. Unit costs: workbook defaults (Pay_Items, column F) against recent bids</t>
        </is>
      </c>
      <c r="B34" s="303" t="n"/>
      <c r="C34" s="303" t="n"/>
      <c r="D34" s="303" t="n"/>
      <c r="E34" s="303" t="n"/>
      <c r="F34" s="303" t="n"/>
      <c r="G34" s="303" t="n"/>
    </row>
    <row r="35" ht="24" customHeight="1">
      <c r="A35" s="304" t="inlineStr">
        <is>
          <t>Pay item</t>
        </is>
      </c>
      <c r="B35" s="304" t="inlineStr">
        <is>
          <t>Workbook default (live)</t>
        </is>
      </c>
      <c r="C35" s="304" t="inlineStr">
        <is>
          <t>Unit</t>
        </is>
      </c>
      <c r="D35" s="304" t="inlineStr">
        <is>
          <t>Recent bid range</t>
        </is>
      </c>
      <c r="E35" s="304" t="inlineStr">
        <is>
          <t>Year</t>
        </is>
      </c>
      <c r="F35" s="304" t="inlineStr">
        <is>
          <t>Reading</t>
        </is>
      </c>
      <c r="G35" s="304"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5"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5"/>
      <c r="C46" s="305"/>
      <c r="D46" s="305"/>
      <c r="E46" s="305"/>
      <c r="F46" s="305"/>
      <c r="G46" s="305"/>
    </row>
    <row r="48" ht="22" customHeight="1">
      <c r="A48" s="302" t="inlineStr">
        <is>
          <t>4. Closure-day defaults built into the alternative sheets (cells F4:F10; override with project-specific values)</t>
        </is>
      </c>
      <c r="B48" s="303" t="n"/>
      <c r="C48" s="303" t="n"/>
      <c r="D48" s="303" t="n"/>
      <c r="E48" s="303" t="n"/>
      <c r="F48" s="303" t="n"/>
      <c r="G48" s="303" t="n"/>
    </row>
    <row r="49" ht="24" customHeight="1">
      <c r="A49" s="304" t="inlineStr">
        <is>
          <t>Operation</t>
        </is>
      </c>
      <c r="B49" s="304" t="inlineStr">
        <is>
          <t>Production rate in the formula</t>
        </is>
      </c>
      <c r="C49" s="304" t="inlineStr">
        <is>
          <t>Days for a 6,000 x 100 ft runway (66,667 SY, 15,000 SF markings)</t>
        </is>
      </c>
      <c r="D49" s="304" t="inlineStr">
        <is>
          <t>Where used</t>
        </is>
      </c>
      <c r="E49" s="304" t="inlineStr">
        <is>
          <t>Note</t>
        </is>
      </c>
      <c r="F49" s="304" t="inlineStr"/>
      <c r="G49" s="304"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5"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5"/>
      <c r="C59" s="305"/>
      <c r="D59" s="305"/>
      <c r="E59" s="305"/>
      <c r="F59" s="305"/>
      <c r="G59" s="305"/>
    </row>
    <row r="61" ht="22" customHeight="1">
      <c r="A61" s="302" t="inlineStr">
        <is>
          <t>5. Economic parameters (D33 analysis period, D34 discount rate, salvage)</t>
        </is>
      </c>
      <c r="B61" s="303" t="n"/>
      <c r="C61" s="303" t="n"/>
      <c r="D61" s="303" t="n"/>
      <c r="E61" s="303" t="n"/>
      <c r="F61" s="303" t="n"/>
      <c r="G61" s="303" t="n"/>
    </row>
    <row r="62" ht="24" customHeight="1">
      <c r="A62" s="304" t="inlineStr">
        <is>
          <t>Parameter</t>
        </is>
      </c>
      <c r="B62" s="304" t="inlineStr">
        <is>
          <t>Value</t>
        </is>
      </c>
      <c r="C62" s="304" t="inlineStr">
        <is>
          <t>Applies to</t>
        </is>
      </c>
      <c r="D62" s="304" t="inlineStr">
        <is>
          <t>Year</t>
        </is>
      </c>
      <c r="E62" s="304" t="inlineStr"/>
      <c r="F62" s="304" t="inlineStr">
        <is>
          <t>Reading</t>
        </is>
      </c>
      <c r="G62" s="304"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5" t="inlineStr">
        <is>
          <t>The Summary sensitivity chart runs 2% to 8% so both the current FAA rate (about 2%) and the legacy 7% are on the curve. G10 on the Summary states whether the lowest-cost alternative changes at either rate.</t>
        </is>
      </c>
      <c r="B75" s="305"/>
      <c r="C75" s="305"/>
      <c r="D75" s="305"/>
      <c r="E75" s="305"/>
      <c r="F75" s="305"/>
      <c r="G75" s="305"/>
    </row>
    <row r="77" ht="22" customHeight="1">
      <c r="A77" s="302" t="inlineStr">
        <is>
          <t>6. Maintenance timing and service life (Maintenance Policies sheet against published experience)</t>
        </is>
      </c>
      <c r="B77" s="303" t="n"/>
      <c r="C77" s="303" t="n"/>
      <c r="D77" s="303" t="n"/>
      <c r="E77" s="303" t="n"/>
      <c r="F77" s="303" t="n"/>
      <c r="G77" s="303" t="n"/>
    </row>
    <row r="78" ht="24" customHeight="1">
      <c r="A78" s="304" t="inlineStr">
        <is>
          <t>Item</t>
        </is>
      </c>
      <c r="B78" s="304" t="inlineStr">
        <is>
          <t>Workbook policy (live)</t>
        </is>
      </c>
      <c r="C78" s="304" t="inlineStr">
        <is>
          <t>Published range</t>
        </is>
      </c>
      <c r="D78" s="304" t="inlineStr">
        <is>
          <t>Year</t>
        </is>
      </c>
      <c r="E78" s="304" t="inlineStr"/>
      <c r="F78" s="304" t="inlineStr">
        <is>
          <t>Reading</t>
        </is>
      </c>
      <c r="G78" s="304"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5"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5"/>
      <c r="C87" s="305"/>
      <c r="D87" s="305"/>
      <c r="E87" s="305"/>
      <c r="F87" s="305"/>
      <c r="G87" s="305"/>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5"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5"/>
      <c r="C108" s="305"/>
      <c r="D108" s="305"/>
      <c r="E108" s="305"/>
      <c r="F108" s="305"/>
      <c r="G108" s="305"/>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5"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5"/>
      <c r="C4" s="305"/>
      <c r="D4" s="305"/>
      <c r="E4" s="305"/>
    </row>
    <row r="5" ht="22" customHeight="1">
      <c r="A5" s="301" t="inlineStr">
        <is>
          <t xml:space="preserve">Quantity × unit cost   ›   + mobilization &amp; engineering   ›   policy year for each event   ›   + closure days × daily revenue   ›   − salvage   ›   discount to today = net present worth</t>
        </is>
      </c>
      <c r="B5" s="301"/>
      <c r="C5" s="301"/>
      <c r="D5" s="301"/>
      <c r="E5" s="301"/>
    </row>
    <row r="6" ht="22" customHeight="1">
      <c r="A6" s="302" t="inlineStr">
        <is>
          <t>1. The answer the workbook produces</t>
        </is>
      </c>
      <c r="B6" s="303" t="n"/>
      <c r="C6" s="303" t="n"/>
      <c r="D6" s="303" t="n"/>
      <c r="E6" s="303" t="n"/>
    </row>
    <row r="7" ht="24" customHeight="1">
      <c r="A7" s="304" t="inlineStr">
        <is>
          <t>Step / quantity</t>
        </is>
      </c>
      <c r="B7" s="304" t="inlineStr">
        <is>
          <t>Where it lives</t>
        </is>
      </c>
      <c r="C7" s="304" t="inlineStr">
        <is>
          <t>Formula as it stands</t>
        </is>
      </c>
      <c r="D7" s="304" t="inlineStr">
        <is>
          <t>What it means</t>
        </is>
      </c>
      <c r="E7" s="304"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5" t="inlineStr">
        <is>
          <t>Read the steps below in order: they follow the money from the quantities you type to the NPW.</t>
        </is>
      </c>
      <c r="B11" s="305"/>
      <c r="C11" s="305"/>
      <c r="D11" s="305"/>
      <c r="E11" s="305"/>
    </row>
    <row r="13" ht="22" customHeight="1">
      <c r="A13" s="302" t="inlineStr">
        <is>
          <t>2. Step 1: initial construction cost</t>
        </is>
      </c>
      <c r="B13" s="303" t="n"/>
      <c r="C13" s="303" t="n"/>
      <c r="D13" s="303" t="n"/>
      <c r="E13" s="303" t="n"/>
    </row>
    <row r="14" ht="24" customHeight="1">
      <c r="A14" s="304" t="inlineStr">
        <is>
          <t>Step / quantity</t>
        </is>
      </c>
      <c r="B14" s="304" t="inlineStr">
        <is>
          <t>Where it lives</t>
        </is>
      </c>
      <c r="C14" s="304" t="inlineStr">
        <is>
          <t>Formula as it stands</t>
        </is>
      </c>
      <c r="D14" s="304" t="inlineStr">
        <is>
          <t>What it means</t>
        </is>
      </c>
      <c r="E14" s="304"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2" t="inlineStr">
        <is>
          <t>3. Step 2: when the later work happens</t>
        </is>
      </c>
      <c r="B23" s="303" t="n"/>
      <c r="C23" s="303" t="n"/>
      <c r="D23" s="303" t="n"/>
      <c r="E23" s="303" t="n"/>
    </row>
    <row r="24" ht="24" customHeight="1">
      <c r="A24" s="304" t="inlineStr">
        <is>
          <t>Step / quantity</t>
        </is>
      </c>
      <c r="B24" s="304" t="inlineStr">
        <is>
          <t>Where it lives</t>
        </is>
      </c>
      <c r="C24" s="304" t="inlineStr">
        <is>
          <t>Formula as it stands</t>
        </is>
      </c>
      <c r="D24" s="304" t="inlineStr">
        <is>
          <t>What it means</t>
        </is>
      </c>
      <c r="E24" s="304"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5" t="inlineStr">
        <is>
          <t>Changing a policy year on Maintenance Policies moves the event everywhere: the cost, the chart and the closure.</t>
        </is>
      </c>
      <c r="B28" s="305"/>
      <c r="C28" s="305"/>
      <c r="D28" s="305"/>
      <c r="E28" s="305"/>
    </row>
    <row r="30" ht="22" customHeight="1">
      <c r="A30" s="302" t="inlineStr">
        <is>
          <t>4. Step 3: what each maintenance and rehabilitation event costs</t>
        </is>
      </c>
      <c r="B30" s="303" t="n"/>
      <c r="C30" s="303" t="n"/>
      <c r="D30" s="303" t="n"/>
      <c r="E30" s="303" t="n"/>
    </row>
    <row r="31" ht="24" customHeight="1">
      <c r="A31" s="304" t="inlineStr">
        <is>
          <t>Step / quantity</t>
        </is>
      </c>
      <c r="B31" s="304" t="inlineStr">
        <is>
          <t>Where it lives</t>
        </is>
      </c>
      <c r="C31" s="304" t="inlineStr">
        <is>
          <t>Formula as it stands</t>
        </is>
      </c>
      <c r="D31" s="304" t="inlineStr">
        <is>
          <t>What it means</t>
        </is>
      </c>
      <c r="E31" s="304"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5" t="inlineStr">
        <is>
          <t>The quantities of later work are computed from the policy rates and the project area. They are not typed anywhere.</t>
        </is>
      </c>
      <c r="B39" s="305"/>
      <c r="C39" s="305"/>
      <c r="D39" s="305"/>
      <c r="E39" s="305"/>
    </row>
    <row r="41" ht="22" customHeight="1">
      <c r="A41" s="302" t="inlineStr">
        <is>
          <t>5. Step 4: how long the runway closes</t>
        </is>
      </c>
      <c r="B41" s="303" t="n"/>
      <c r="C41" s="303" t="n"/>
      <c r="D41" s="303" t="n"/>
      <c r="E41" s="303" t="n"/>
    </row>
    <row r="42" ht="24" customHeight="1">
      <c r="A42" s="304" t="inlineStr">
        <is>
          <t>Step / quantity</t>
        </is>
      </c>
      <c r="B42" s="304" t="inlineStr">
        <is>
          <t>Where it lives</t>
        </is>
      </c>
      <c r="C42" s="304" t="inlineStr">
        <is>
          <t>Formula as it stands</t>
        </is>
      </c>
      <c r="D42" s="304" t="inlineStr">
        <is>
          <t>What it means</t>
        </is>
      </c>
      <c r="E42" s="304"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5" t="inlineStr">
        <is>
          <t>Closure days matter only when lost revenue is switched on, but they are always reported on the Summary.</t>
        </is>
      </c>
      <c r="B48" s="305"/>
      <c r="C48" s="305"/>
      <c r="D48" s="305"/>
      <c r="E48" s="305"/>
    </row>
    <row r="50" ht="22" customHeight="1">
      <c r="A50" s="302" t="inlineStr">
        <is>
          <t>6. Step 5: lost airport revenue (the "indirect cost")</t>
        </is>
      </c>
      <c r="B50" s="303" t="n"/>
      <c r="C50" s="303" t="n"/>
      <c r="D50" s="303" t="n"/>
      <c r="E50" s="303" t="n"/>
    </row>
    <row r="51" ht="24" customHeight="1">
      <c r="A51" s="304" t="inlineStr">
        <is>
          <t>Step / quantity</t>
        </is>
      </c>
      <c r="B51" s="304" t="inlineStr">
        <is>
          <t>Where it lives</t>
        </is>
      </c>
      <c r="C51" s="304" t="inlineStr">
        <is>
          <t>Formula as it stands</t>
        </is>
      </c>
      <c r="D51" s="304" t="inlineStr">
        <is>
          <t>What it means</t>
        </is>
      </c>
      <c r="E51" s="304"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5" t="inlineStr">
        <is>
          <t>This is the airport-side counterpart of the road user delay cost in the Caltrans and FHWA RealCost method.</t>
        </is>
      </c>
      <c r="B56" s="305"/>
      <c r="C56" s="305"/>
      <c r="D56" s="305"/>
      <c r="E56" s="305"/>
    </row>
    <row r="58" ht="22" customHeight="1">
      <c r="A58" s="302" t="inlineStr">
        <is>
          <t>7. Step 6: salvage value</t>
        </is>
      </c>
      <c r="B58" s="303" t="n"/>
      <c r="C58" s="303" t="n"/>
      <c r="D58" s="303" t="n"/>
      <c r="E58" s="303" t="n"/>
    </row>
    <row r="59" ht="24" customHeight="1">
      <c r="A59" s="304" t="inlineStr">
        <is>
          <t>Step / quantity</t>
        </is>
      </c>
      <c r="B59" s="304" t="inlineStr">
        <is>
          <t>Where it lives</t>
        </is>
      </c>
      <c r="C59" s="304" t="inlineStr">
        <is>
          <t>Formula as it stands</t>
        </is>
      </c>
      <c r="D59" s="304" t="inlineStr">
        <is>
          <t>What it means</t>
        </is>
      </c>
      <c r="E59" s="304"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5" t="inlineStr">
        <is>
          <t>The two rules are not symmetric: concrete recovers a share of everything spent up front, asphalt a share of one rehabilitation. See section 11.</t>
        </is>
      </c>
      <c r="B66" s="305"/>
      <c r="C66" s="305"/>
      <c r="D66" s="305"/>
      <c r="E66" s="305"/>
    </row>
    <row r="68" ht="22" customHeight="1">
      <c r="A68" s="302" t="inlineStr">
        <is>
          <t>8. Step 7: discounting and the total</t>
        </is>
      </c>
      <c r="B68" s="303" t="n"/>
      <c r="C68" s="303" t="n"/>
      <c r="D68" s="303" t="n"/>
      <c r="E68" s="303" t="n"/>
    </row>
    <row r="69" ht="24" customHeight="1">
      <c r="A69" s="304" t="inlineStr">
        <is>
          <t>Step / quantity</t>
        </is>
      </c>
      <c r="B69" s="304" t="inlineStr">
        <is>
          <t>Where it lives</t>
        </is>
      </c>
      <c r="C69" s="304" t="inlineStr">
        <is>
          <t>Formula as it stands</t>
        </is>
      </c>
      <c r="D69" s="304" t="inlineStr">
        <is>
          <t>What it means</t>
        </is>
      </c>
      <c r="E69" s="304"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2" t="inlineStr">
        <is>
          <t>9. What the Summary adds on top</t>
        </is>
      </c>
      <c r="B75" s="303" t="n"/>
      <c r="C75" s="303" t="n"/>
      <c r="D75" s="303" t="n"/>
      <c r="E75" s="303" t="n"/>
    </row>
    <row r="76" ht="24" customHeight="1">
      <c r="A76" s="304" t="inlineStr">
        <is>
          <t>Step / quantity</t>
        </is>
      </c>
      <c r="B76" s="304" t="inlineStr">
        <is>
          <t>Where it lives</t>
        </is>
      </c>
      <c r="C76" s="304" t="inlineStr">
        <is>
          <t>Formula as it stands</t>
        </is>
      </c>
      <c r="D76" s="304" t="inlineStr">
        <is>
          <t>What it means</t>
        </is>
      </c>
      <c r="E76" s="304"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2" t="inlineStr">
        <is>
          <t>10. Current settings in this file (live)</t>
        </is>
      </c>
      <c r="B85" s="303" t="n"/>
      <c r="C85" s="303" t="n"/>
      <c r="D85" s="303" t="n"/>
      <c r="E85" s="303" t="n"/>
    </row>
    <row r="86" ht="24" customHeight="1">
      <c r="A86" s="304" t="inlineStr">
        <is>
          <t>Step / quantity</t>
        </is>
      </c>
      <c r="B86" s="304" t="inlineStr">
        <is>
          <t>Where it lives</t>
        </is>
      </c>
      <c r="C86" s="304" t="inlineStr">
        <is>
          <t>Formula as it stands</t>
        </is>
      </c>
      <c r="D86" s="304" t="inlineStr">
        <is>
          <t>What it means</t>
        </is>
      </c>
      <c r="E86" s="304"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5" t="inlineStr">
        <is>
          <t>These cells read the workbook as it stands right now, so they change with the inputs.</t>
        </is>
      </c>
      <c r="B93" s="305"/>
      <c r="C93" s="305"/>
      <c r="D93" s="305"/>
      <c r="E93" s="305"/>
    </row>
    <row r="95" ht="22" customHeight="1">
      <c r="A95" s="302" t="inlineStr">
        <is>
          <t>11. Assumptions and policy choices worth knowing</t>
        </is>
      </c>
      <c r="B95" s="303" t="n"/>
      <c r="C95" s="303" t="n"/>
      <c r="D95" s="303" t="n"/>
      <c r="E95" s="303" t="n"/>
    </row>
    <row r="96" ht="24" customHeight="1">
      <c r="A96" s="304" t="inlineStr">
        <is>
          <t>Step / quantity</t>
        </is>
      </c>
      <c r="B96" s="304" t="inlineStr">
        <is>
          <t>Where it lives</t>
        </is>
      </c>
      <c r="C96" s="304" t="inlineStr">
        <is>
          <t>Formula as it stands</t>
        </is>
      </c>
      <c r="D96" s="304" t="inlineStr">
        <is>
          <t>What it means</t>
        </is>
      </c>
      <c r="E96" s="304"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